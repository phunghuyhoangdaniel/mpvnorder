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x equipment per day" sheetId="1" state="visible" r:id="rId3"/>
    <sheet name="Sheet1" sheetId="2" state="hidden" r:id="rId4"/>
    <sheet name="Matrix Model line per day" sheetId="3" state="visible" r:id="rId5"/>
    <sheet name="Database total equipment use pe" sheetId="4" state="visible" r:id="rId6"/>
    <sheet name="Database Equipment flowchart fo" sheetId="5" state="visible" r:id="rId7"/>
    <sheet name="Database VN LineChart" sheetId="6" state="visible" r:id="rId8"/>
    <sheet name="VN Line Chart" sheetId="7" state="visible" r:id="rId9"/>
  </sheets>
  <definedNames>
    <definedName function="false" hidden="true" localSheetId="4" name="_xlnm._FilterDatabase" vbProcedure="false">'Database Equipment flowchart fo'!$A$1:$U$1502</definedName>
    <definedName function="false" hidden="true" localSheetId="3" name="_xlnm._FilterDatabase" vbProcedure="false">'Database total equipment use pe'!$A$1:$GS$6085</definedName>
    <definedName function="false" hidden="true" localSheetId="5" name="_xlnm._FilterDatabase" vbProcedure="false">'Database VN LineChart'!$A$1:$Z$1303</definedName>
    <definedName function="false" hidden="true" localSheetId="2" name="_xlnm._FilterDatabase" vbProcedure="false">'Matrix Model line per day'!$A$1:$CX$84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29" authorId="0">
      <text>
        <r>
          <rPr>
            <sz val="10"/>
            <rFont val="Arial"/>
            <family val="2"/>
          </rPr>
          <t xml:space="preserve">Spare part ship :02/27</t>
        </r>
      </text>
    </comment>
    <comment ref="D130" authorId="0">
      <text>
        <r>
          <rPr>
            <sz val="11"/>
            <color rgb="FF0000FF"/>
            <rFont val="Arial"/>
            <family val="0"/>
          </rPr>
          <t xml:space="preserve"> KEY ASSY: 10pcs shipment ‘02/27
</t>
        </r>
      </text>
    </comment>
    <comment ref="E130" authorId="0">
      <text>
        <r>
          <rPr>
            <sz val="10"/>
            <rFont val="Arial"/>
            <family val="2"/>
          </rPr>
          <t xml:space="preserve">Spare part :  </t>
        </r>
        <r>
          <rPr>
            <sz val="11"/>
            <color rgb="FF0000FF"/>
            <rFont val="Arial"/>
            <family val="0"/>
          </rPr>
          <t xml:space="preserve">KEY ASSY, GS:05pcs ship 02/27</t>
        </r>
      </text>
    </comment>
    <comment ref="M17" authorId="0">
      <text>
        <r>
          <rPr>
            <sz val="10"/>
            <rFont val="Microsoft YaHei"/>
            <family val="2"/>
          </rPr>
          <t xml:space="preserve">Production more than 4wks in advance → ask customer for approval</t>
        </r>
      </text>
    </comment>
    <comment ref="X165" authorId="0">
      <text>
        <r>
          <rPr>
            <sz val="10"/>
            <rFont val="Arial"/>
            <family val="2"/>
          </rPr>
          <t xml:space="preserve">The AC-22LX, KTN MINI and D-CUBE LX models use the same RC3 machine; therefore, they cannot be produced at the same time.</t>
        </r>
      </text>
    </comment>
  </commentList>
</comments>
</file>

<file path=xl/sharedStrings.xml><?xml version="1.0" encoding="utf-8"?>
<sst xmlns="http://schemas.openxmlformats.org/spreadsheetml/2006/main" count="41052" uniqueCount="6407">
  <si>
    <t xml:space="preserve">Thiết bị</t>
  </si>
  <si>
    <t xml:space="preserve">English name</t>
  </si>
  <si>
    <t xml:space="preserve">Total received</t>
  </si>
  <si>
    <t xml:space="preserve">NG</t>
  </si>
  <si>
    <t xml:space="preserve">Available</t>
  </si>
  <si>
    <t xml:space="preserve">Gave others</t>
  </si>
  <si>
    <t xml:space="preserve">Stock</t>
  </si>
  <si>
    <t xml:space="preserve">Bàn đạp EV-5</t>
  </si>
  <si>
    <t xml:space="preserve">EV-5 Expression Pedal</t>
  </si>
  <si>
    <t xml:space="preserve">Bàn đạp FS-5U</t>
  </si>
  <si>
    <t xml:space="preserve">FS-5U Foot Switch</t>
  </si>
  <si>
    <t xml:space="preserve">Bàn đạp giả (EV-5 + FS-5U )</t>
  </si>
  <si>
    <t xml:space="preserve">Dummy Pedal (EV-5 + FS-5U)</t>
  </si>
  <si>
    <t xml:space="preserve">Bàn đạp vòng lặp RC-3</t>
  </si>
  <si>
    <t xml:space="preserve">RC-3 Loop Station Pedal</t>
  </si>
  <si>
    <t xml:space="preserve">Bàn đạp vòng lặp SL-2</t>
  </si>
  <si>
    <t xml:space="preserve">SL-2 Slicer Pedal</t>
  </si>
  <si>
    <t xml:space="preserve">Cân</t>
  </si>
  <si>
    <t xml:space="preserve">Scale / Weighing Scale</t>
  </si>
  <si>
    <t xml:space="preserve">DB-90</t>
  </si>
  <si>
    <t xml:space="preserve">DB-90 Metronome</t>
  </si>
  <si>
    <t xml:space="preserve">Hộp pin giả DCB-LX/D-CUBE</t>
  </si>
  <si>
    <t xml:space="preserve">DCB-LX/D-CUBE Dummy Battery Box</t>
  </si>
  <si>
    <t xml:space="preserve">Hộp tạo nhiệt độ lạnh</t>
  </si>
  <si>
    <t xml:space="preserve">Cooling Chamber / Cold Box</t>
  </si>
  <si>
    <t xml:space="preserve">Iphone</t>
  </si>
  <si>
    <t xml:space="preserve">iPhone</t>
  </si>
  <si>
    <t xml:space="preserve">Kính lúp để bàn</t>
  </si>
  <si>
    <t xml:space="preserve">Desktop Magnifying Glass</t>
  </si>
  <si>
    <t xml:space="preserve">Loa CM-30</t>
  </si>
  <si>
    <t xml:space="preserve">CM-30 Monitor Speaker</t>
  </si>
  <si>
    <t xml:space="preserve">Lực kế</t>
  </si>
  <si>
    <t xml:space="preserve">Force Gauge / Dynamometer</t>
  </si>
  <si>
    <t xml:space="preserve">Màn hình</t>
  </si>
  <si>
    <t xml:space="preserve">Monitor / Display</t>
  </si>
  <si>
    <t xml:space="preserve">Máy buộc dây tự động</t>
  </si>
  <si>
    <t xml:space="preserve">Automatic Wire Tying Machine</t>
  </si>
  <si>
    <t xml:space="preserve">Máy bơm keo</t>
  </si>
  <si>
    <t xml:space="preserve">Glue Dispenser / Glue Dispensing Machine</t>
  </si>
  <si>
    <t xml:space="preserve">Máy bắn vít tự động</t>
  </si>
  <si>
    <t xml:space="preserve">Automatic Screw Driving Machine</t>
  </si>
  <si>
    <t xml:space="preserve">Máy cấp nguồn KA3005D</t>
  </si>
  <si>
    <t xml:space="preserve">KA3005D DC Power Supply</t>
  </si>
  <si>
    <t xml:space="preserve">Máy cắt băng dính</t>
  </si>
  <si>
    <t xml:space="preserve">Tape Dispenser / Tape Cutting Machine</t>
  </si>
  <si>
    <t xml:space="preserve">Máy dập hot stamping</t>
  </si>
  <si>
    <t xml:space="preserve">Hot Stamping Machine</t>
  </si>
  <si>
    <t xml:space="preserve">Máy dập khí nén</t>
  </si>
  <si>
    <t xml:space="preserve">Pneumatic Press Machine</t>
  </si>
  <si>
    <t xml:space="preserve">Máy dập tay</t>
  </si>
  <si>
    <t xml:space="preserve">Manual Press Machine</t>
  </si>
  <si>
    <t xml:space="preserve">Máy dập đinh tán</t>
  </si>
  <si>
    <t xml:space="preserve">Riveting Machine</t>
  </si>
  <si>
    <t xml:space="preserve">Máy hiện sóng</t>
  </si>
  <si>
    <t xml:space="preserve">Oscilloscope</t>
  </si>
  <si>
    <t xml:space="preserve">Máy hàn</t>
  </si>
  <si>
    <t xml:space="preserve">Soldering Machine / Welder</t>
  </si>
  <si>
    <t xml:space="preserve">Máy hàn sóng siêu âm</t>
  </si>
  <si>
    <t xml:space="preserve">Ultrasonic Welding Machine</t>
  </si>
  <si>
    <t xml:space="preserve">Máy hút khói di động</t>
  </si>
  <si>
    <t xml:space="preserve">Portable Fume Extractor</t>
  </si>
  <si>
    <t xml:space="preserve">Máy kiểm tra pin</t>
  </si>
  <si>
    <t xml:space="preserve">Battery Tester</t>
  </si>
  <si>
    <t xml:space="preserve">Máy laser</t>
  </si>
  <si>
    <t xml:space="preserve">Laser Machine</t>
  </si>
  <si>
    <t xml:space="preserve">Máy phân cực</t>
  </si>
  <si>
    <t xml:space="preserve">Polarizer / Polarizing Machine</t>
  </si>
  <si>
    <t xml:space="preserve">Máy quét tần số</t>
  </si>
  <si>
    <t xml:space="preserve">Frequency Sweeper / Scanner</t>
  </si>
  <si>
    <t xml:space="preserve">Máy tính</t>
  </si>
  <si>
    <t xml:space="preserve">Computer / PC</t>
  </si>
  <si>
    <t xml:space="preserve">Máy tạo sóng</t>
  </si>
  <si>
    <t xml:space="preserve">Signal Generator / Waveform Generator</t>
  </si>
  <si>
    <t xml:space="preserve">Noise Meter</t>
  </si>
  <si>
    <t xml:space="preserve">Noise Meter / Sound Level Meter</t>
  </si>
  <si>
    <t xml:space="preserve">Quạt ion</t>
  </si>
  <si>
    <t xml:space="preserve">Ionizing Blower / Ion Fan</t>
  </si>
  <si>
    <t xml:space="preserve">Súng Scan Barcode</t>
  </si>
  <si>
    <t xml:space="preserve">Barcode Scanner Gun</t>
  </si>
  <si>
    <t xml:space="preserve">Súng bắn dây thít</t>
  </si>
  <si>
    <t xml:space="preserve">Cable Tie Gun</t>
  </si>
  <si>
    <t xml:space="preserve">Súng bắn vít</t>
  </si>
  <si>
    <t xml:space="preserve">Electric Screwdriver / Power Screwdriver</t>
  </si>
  <si>
    <t xml:space="preserve">Tai nghe có mic</t>
  </si>
  <si>
    <t xml:space="preserve">Headset with Microphone</t>
  </si>
  <si>
    <t xml:space="preserve">Tai nghe không mic RH-5</t>
  </si>
  <si>
    <t xml:space="preserve">RH-5 Headphones (without mic)</t>
  </si>
  <si>
    <t xml:space="preserve">Thước lá</t>
  </si>
  <si>
    <t xml:space="preserve">Steel Ruler</t>
  </si>
  <si>
    <t xml:space="preserve">Trạm khò</t>
  </si>
  <si>
    <t xml:space="preserve">Hot Air Rework Station</t>
  </si>
  <si>
    <t xml:space="preserve">USB Memory</t>
  </si>
  <si>
    <t xml:space="preserve">USB Flash Drive / USB Memory</t>
  </si>
  <si>
    <t xml:space="preserve">Đồng hồ vạn năng</t>
  </si>
  <si>
    <t xml:space="preserve">Multimeter</t>
  </si>
  <si>
    <t xml:space="preserve">STT</t>
  </si>
  <si>
    <t xml:space="preserve">Tên thiết bị (Tiếng Việt)</t>
  </si>
  <si>
    <t xml:space="preserve">English Name</t>
  </si>
  <si>
    <t xml:space="preserve">Bàn đạp giả (EV-5 + FS-5U)</t>
  </si>
  <si>
    <t xml:space="preserve">Máy thu âm kỹ thuật số</t>
  </si>
  <si>
    <t xml:space="preserve">Digital Audio Recorder</t>
  </si>
  <si>
    <t xml:space="preserve">Jig kiểm tra chức năng</t>
  </si>
  <si>
    <t xml:space="preserve">Functional Test Jig (FCT Jig)</t>
  </si>
  <si>
    <t xml:space="preserve">Hộp nguồn súng bắn vít</t>
  </si>
  <si>
    <t xml:space="preserve">Power Controller for Screwdriver</t>
  </si>
  <si>
    <t xml:space="preserve">Máy hàn tự động</t>
  </si>
  <si>
    <t xml:space="preserve">Automatic Soldering Machine</t>
  </si>
  <si>
    <t xml:space="preserve">Hộp test Logtag</t>
  </si>
  <si>
    <t xml:space="preserve">Logtag Test Box</t>
  </si>
  <si>
    <t xml:space="preserve">Máy đo tần số</t>
  </si>
  <si>
    <t xml:space="preserve">Frequency Meter</t>
  </si>
  <si>
    <t xml:space="preserve">Máy khò cầm tay</t>
  </si>
  <si>
    <t xml:space="preserve">Portable Hot Air Gun</t>
  </si>
  <si>
    <t xml:space="preserve">Máy cấp vít tự động</t>
  </si>
  <si>
    <t xml:space="preserve">Automatic Screw Feeder</t>
  </si>
  <si>
    <t xml:space="preserve">Máy đo mức âm thanh kỹ thuật số</t>
  </si>
  <si>
    <t xml:space="preserve">Digital Sound Level Meter</t>
  </si>
  <si>
    <t xml:space="preserve">Thước mét</t>
  </si>
  <si>
    <t xml:space="preserve">Tape Measure</t>
  </si>
  <si>
    <t xml:space="preserve">Jig kiểm tra chức năng bán thành phẩm</t>
  </si>
  <si>
    <t xml:space="preserve">Semi-finished Product Functional Test Jig</t>
  </si>
  <si>
    <t xml:space="preserve">Module Bluetooth</t>
  </si>
  <si>
    <t xml:space="preserve">Bluetooth Module</t>
  </si>
  <si>
    <t xml:space="preserve">Hộp đèn tia UV</t>
  </si>
  <si>
    <t xml:space="preserve">UV Light Box</t>
  </si>
  <si>
    <t xml:space="preserve">Đồ gá</t>
  </si>
  <si>
    <t xml:space="preserve">Fixture / Jig</t>
  </si>
  <si>
    <t xml:space="preserve">Ampe kế</t>
  </si>
  <si>
    <t xml:space="preserve">Ammeter</t>
  </si>
  <si>
    <t xml:space="preserve">Máy đo lực súng</t>
  </si>
  <si>
    <t xml:space="preserve">Screwdriver Torque/Force Tester</t>
  </si>
  <si>
    <t xml:space="preserve">Cục nặng 150g</t>
  </si>
  <si>
    <t xml:space="preserve">150g Test Weight</t>
  </si>
  <si>
    <t xml:space="preserve">Hộp ra nhiệt</t>
  </si>
  <si>
    <t xml:space="preserve">Heating Box / Heating Chamber</t>
  </si>
  <si>
    <t xml:space="preserve">Thiết bị đo âm thanh</t>
  </si>
  <si>
    <t xml:space="preserve">Audio Measuring Device</t>
  </si>
  <si>
    <t xml:space="preserve">Jig kiểm tra chức năng PCBA</t>
  </si>
  <si>
    <t xml:space="preserve">PCBA Functional Test Jig</t>
  </si>
  <si>
    <t xml:space="preserve">Thiết bị đo ánh sáng</t>
  </si>
  <si>
    <t xml:space="preserve">Light Meter / Lux Meter</t>
  </si>
  <si>
    <t xml:space="preserve">Thiết bị đo ESD</t>
  </si>
  <si>
    <t xml:space="preserve">ESD Measuring Device / Static Meter</t>
  </si>
  <si>
    <t xml:space="preserve">Bể thiếc Mini</t>
  </si>
  <si>
    <t xml:space="preserve">Mini Solder Pot</t>
  </si>
  <si>
    <t xml:space="preserve">Máy hút bụi</t>
  </si>
  <si>
    <t xml:space="preserve">Vacuum Cleaner</t>
  </si>
  <si>
    <t xml:space="preserve">Khoan điện</t>
  </si>
  <si>
    <t xml:space="preserve">Electric Drill</t>
  </si>
  <si>
    <t xml:space="preserve">Máy cắt chân linh kiện</t>
  </si>
  <si>
    <t xml:space="preserve">Lead Cutting Machine</t>
  </si>
  <si>
    <t xml:space="preserve">Máy sàng ốc</t>
  </si>
  <si>
    <t xml:space="preserve">Screw Sifting Machine</t>
  </si>
  <si>
    <t xml:space="preserve">Máy cắt dây</t>
  </si>
  <si>
    <t xml:space="preserve">Wire Cutting Machine</t>
  </si>
  <si>
    <t xml:space="preserve">Máy dập chân thạch anh</t>
  </si>
  <si>
    <t xml:space="preserve">Crystal Lead Forming/Press Machine</t>
  </si>
  <si>
    <t xml:space="preserve">Khuôn máy hàn sóng siêu âm</t>
  </si>
  <si>
    <t xml:space="preserve">Ultrasonic Welding Mold/Horn</t>
  </si>
  <si>
    <t xml:space="preserve">Cục nặng 400g</t>
  </si>
  <si>
    <t xml:space="preserve">400g Test Weight</t>
  </si>
  <si>
    <t xml:space="preserve">Cục nặng 350g</t>
  </si>
  <si>
    <t xml:space="preserve">350g Test Weight</t>
  </si>
  <si>
    <t xml:space="preserve">Cục nặng 600g</t>
  </si>
  <si>
    <t xml:space="preserve">600g Test Weight</t>
  </si>
  <si>
    <t xml:space="preserve">Đồ gá hàn MI</t>
  </si>
  <si>
    <t xml:space="preserve">MI (Manual Insertion) Soldering Fixture</t>
  </si>
  <si>
    <t xml:space="preserve">Hộp nhiệt</t>
  </si>
  <si>
    <t xml:space="preserve">Thermal Box</t>
  </si>
  <si>
    <t xml:space="preserve">Máy đo momen xoắn cơ học</t>
  </si>
  <si>
    <t xml:space="preserve">Mechanical Torque Meter</t>
  </si>
  <si>
    <t xml:space="preserve">Máy kiểm tra độ rung</t>
  </si>
  <si>
    <t xml:space="preserve">Vibration Tester</t>
  </si>
  <si>
    <t xml:space="preserve">Drop Test</t>
  </si>
  <si>
    <t xml:space="preserve">Drop Tester</t>
  </si>
  <si>
    <t xml:space="preserve">Máy đo mô-men xoắn</t>
  </si>
  <si>
    <t xml:space="preserve">Torque Meter</t>
  </si>
  <si>
    <t xml:space="preserve">Máy đo độ cứng</t>
  </si>
  <si>
    <t xml:space="preserve">Hardness Tester</t>
  </si>
  <si>
    <t xml:space="preserve">Máy kiểm tra điểm nhọn</t>
  </si>
  <si>
    <t xml:space="preserve">Sharp Point Tester</t>
  </si>
  <si>
    <t xml:space="preserve">Máy đo nhịp điệu cơ học piano</t>
  </si>
  <si>
    <t xml:space="preserve">Piano Mechanical Rhythm Meter</t>
  </si>
  <si>
    <t xml:space="preserve">Tua vít điều chỉnh mô-men xoắn</t>
  </si>
  <si>
    <t xml:space="preserve">Torque Adjusting Screwdriver</t>
  </si>
  <si>
    <t xml:space="preserve">Máy đo áp suất âm thanh</t>
  </si>
  <si>
    <t xml:space="preserve">Sound Pressure Level Meter</t>
  </si>
  <si>
    <t xml:space="preserve">Máy kiểm tra cạnh sắc</t>
  </si>
  <si>
    <t xml:space="preserve">Sharp Edge Tester</t>
  </si>
  <si>
    <t xml:space="preserve">Máy đo kéo đẩy</t>
  </si>
  <si>
    <t xml:space="preserve">Push-Pull Force Gauge</t>
  </si>
  <si>
    <t xml:space="preserve">Thước kẹp</t>
  </si>
  <si>
    <t xml:space="preserve">Caliper (Vernier/Digital)</t>
  </si>
  <si>
    <t xml:space="preserve">Cân to</t>
  </si>
  <si>
    <t xml:space="preserve">Large Scale / Heavy Duty Scale</t>
  </si>
  <si>
    <t xml:space="preserve">Panme kỹ thuật số</t>
  </si>
  <si>
    <t xml:space="preserve">Digital Micrometer</t>
  </si>
  <si>
    <t xml:space="preserve">Jig kiểm tra độ dày sản phẩm</t>
  </si>
  <si>
    <t xml:space="preserve">Product Thickness Inspection Jig</t>
  </si>
  <si>
    <t xml:space="preserve">Máy nạp chương trình</t>
  </si>
  <si>
    <t xml:space="preserve">IC Programmer / Flashing Machine</t>
  </si>
  <si>
    <t xml:space="preserve">Dây treo súng</t>
  </si>
  <si>
    <t xml:space="preserve">Tool Balancer / Screwdriver Suspension Wire</t>
  </si>
  <si>
    <t xml:space="preserve">Máy dập inlay</t>
  </si>
  <si>
    <t xml:space="preserve">Inlay Press Machine</t>
  </si>
  <si>
    <t xml:space="preserve">LTI-HID</t>
  </si>
  <si>
    <t xml:space="preserve">LTI-HID Device</t>
  </si>
  <si>
    <t xml:space="preserve">Đồng hồ đo nhiệt độ</t>
  </si>
  <si>
    <t xml:space="preserve">Thermometer / Temperature Gauge</t>
  </si>
  <si>
    <t xml:space="preserve">Bộ chuyển đổi hình ảnh Camera</t>
  </si>
  <si>
    <t xml:space="preserve">Camera Image Converter / Capture Card</t>
  </si>
  <si>
    <t xml:space="preserve">Máy dập miệng túi bóng</t>
  </si>
  <si>
    <t xml:space="preserve">Polybag Heat Sealer</t>
  </si>
  <si>
    <t xml:space="preserve">Máy soi mạch</t>
  </si>
  <si>
    <t xml:space="preserve">PCB Inspection Machine / Microscope</t>
  </si>
  <si>
    <t xml:space="preserve">Bàn nhiệt</t>
  </si>
  <si>
    <t xml:space="preserve">Heating Plate / Hot Plate</t>
  </si>
  <si>
    <t xml:space="preserve">Máy kiểm tra phím</t>
  </si>
  <si>
    <t xml:space="preserve">Key/Button Tester</t>
  </si>
  <si>
    <t xml:space="preserve">Eto</t>
  </si>
  <si>
    <t xml:space="preserve">Bench Vise</t>
  </si>
  <si>
    <t xml:space="preserve">Máy kiểm tra độ bong tróc sơn</t>
  </si>
  <si>
    <t xml:space="preserve">Paint Peel Tester / Adhesion Tester</t>
  </si>
  <si>
    <t xml:space="preserve">Máy dập khí nén (Relay thời gian)</t>
  </si>
  <si>
    <t xml:space="preserve">Time Relay Controlled Pneumatic Press</t>
  </si>
  <si>
    <t xml:space="preserve">Thước đo độ sâu</t>
  </si>
  <si>
    <t xml:space="preserve">Depth Gauge</t>
  </si>
  <si>
    <t xml:space="preserve">Súng bắn nhiệt độ</t>
  </si>
  <si>
    <t xml:space="preserve">Infrared (IR) Thermometer Gun</t>
  </si>
  <si>
    <t xml:space="preserve">Máy kiểm tra nhiệt độ</t>
  </si>
  <si>
    <t xml:space="preserve">Temperature Tester / Logger</t>
  </si>
  <si>
    <t xml:space="preserve">Máy quấn băng dính tự động</t>
  </si>
  <si>
    <t xml:space="preserve">Automatic Tape Winding Machine</t>
  </si>
  <si>
    <t xml:space="preserve">Hộp vít auto</t>
  </si>
  <si>
    <t xml:space="preserve">Auto Screw Box / Feeder</t>
  </si>
  <si>
    <t xml:space="preserve">Súng xịt khí</t>
  </si>
  <si>
    <t xml:space="preserve">Air Blow Gun</t>
  </si>
  <si>
    <t xml:space="preserve">Máy dập đôi</t>
  </si>
  <si>
    <t xml:space="preserve">Double Press Machine</t>
  </si>
  <si>
    <t xml:space="preserve">Máy dập khí nén loại to</t>
  </si>
  <si>
    <t xml:space="preserve">Large Pneumatic Press Machine</t>
  </si>
  <si>
    <t xml:space="preserve">Máy in tem</t>
  </si>
  <si>
    <t xml:space="preserve">Label Printer</t>
  </si>
  <si>
    <t xml:space="preserve">Hộp tô vít</t>
  </si>
  <si>
    <t xml:space="preserve">Screwdriver Set Box</t>
  </si>
  <si>
    <t xml:space="preserve">Hộp lục giác</t>
  </si>
  <si>
    <t xml:space="preserve">Hex Key Set / Allen Key Set</t>
  </si>
  <si>
    <t xml:space="preserve">Kìm</t>
  </si>
  <si>
    <t xml:space="preserve">Pliers</t>
  </si>
  <si>
    <t xml:space="preserve">Máy cấp nguồn RXN-3020D</t>
  </si>
  <si>
    <t xml:space="preserve">RXN-3020D DC Power Supply</t>
  </si>
  <si>
    <t xml:space="preserve">Màn hình cảm ứng</t>
  </si>
  <si>
    <t xml:space="preserve">Touch Screen</t>
  </si>
  <si>
    <t xml:space="preserve">Dây chuyền</t>
  </si>
  <si>
    <t xml:space="preserve">Assembly Line / Production Line</t>
  </si>
  <si>
    <t xml:space="preserve">Máy kiểm tra Key Level</t>
  </si>
  <si>
    <t xml:space="preserve">Key Level Tester</t>
  </si>
  <si>
    <t xml:space="preserve">Máy kiểm tra Velocity Checker</t>
  </si>
  <si>
    <t xml:space="preserve">Velocity Checker</t>
  </si>
  <si>
    <t xml:space="preserve">Súng bắn keo nến</t>
  </si>
  <si>
    <t xml:space="preserve">Hot Glue Gun</t>
  </si>
  <si>
    <t xml:space="preserve">Máy kiểm tra nhiệt độ mỏ hàn</t>
  </si>
  <si>
    <t xml:space="preserve">Soldering Iron Tip Thermometer</t>
  </si>
  <si>
    <t xml:space="preserve">Tai nghe chống ồn</t>
  </si>
  <si>
    <t xml:space="preserve">Noise-Canceling Headphones</t>
  </si>
  <si>
    <t xml:space="preserve">Bộ đếm</t>
  </si>
  <si>
    <t xml:space="preserve">Counter</t>
  </si>
  <si>
    <t xml:space="preserve">Lọ đựng keo</t>
  </si>
  <si>
    <t xml:space="preserve">Glue Bottle / Dispenser Bottle</t>
  </si>
  <si>
    <t xml:space="preserve">Máy quét kem thiếc</t>
  </si>
  <si>
    <t xml:space="preserve">Solder Paste Screen Printer</t>
  </si>
  <si>
    <t xml:space="preserve">Máy gắn linh kiện</t>
  </si>
  <si>
    <t xml:space="preserve">Mounter / Pick and Place Machine</t>
  </si>
  <si>
    <t xml:space="preserve">Máy làm nguội bảng mạch</t>
  </si>
  <si>
    <t xml:space="preserve">PCB Cooling Machine</t>
  </si>
  <si>
    <t xml:space="preserve">Máy AOI</t>
  </si>
  <si>
    <t xml:space="preserve">AOI Machine (Automated Optical Inspection)</t>
  </si>
  <si>
    <t xml:space="preserve">Máy Reflow</t>
  </si>
  <si>
    <t xml:space="preserve">Reflow Oven</t>
  </si>
  <si>
    <t xml:space="preserve">Máy vận chuyển bảng mạch</t>
  </si>
  <si>
    <t xml:space="preserve">PCB Conveyor</t>
  </si>
  <si>
    <t xml:space="preserve">Máy hút chân không</t>
  </si>
  <si>
    <t xml:space="preserve">Vacuum Machine / Sealer</t>
  </si>
  <si>
    <t xml:space="preserve">Tủ chống ẩm</t>
  </si>
  <si>
    <t xml:space="preserve">Dry Cabinet / Dehumidifying Cabinet</t>
  </si>
  <si>
    <t xml:space="preserve">Tủ sấy</t>
  </si>
  <si>
    <t xml:space="preserve">Drying Oven</t>
  </si>
  <si>
    <t xml:space="preserve">Máy Coating</t>
  </si>
  <si>
    <t xml:space="preserve">Coating Machine</t>
  </si>
  <si>
    <t xml:space="preserve">Máy đo độ căng khung in</t>
  </si>
  <si>
    <t xml:space="preserve">Stencil Tension Gauge</t>
  </si>
  <si>
    <t xml:space="preserve">Stencil</t>
  </si>
  <si>
    <t xml:space="preserve">Camera</t>
  </si>
  <si>
    <t xml:space="preserve">Máy cắt mạch</t>
  </si>
  <si>
    <t xml:space="preserve">PCB Depaneling Machine / PCB Cutter</t>
  </si>
  <si>
    <t xml:space="preserve">Lò dipping MI</t>
  </si>
  <si>
    <t xml:space="preserve">MI Dipping Solder Pot / Wave Solder</t>
  </si>
  <si>
    <t xml:space="preserve">Máy AI</t>
  </si>
  <si>
    <t xml:space="preserve">AI Machine (Automatic Insertion)</t>
  </si>
  <si>
    <t xml:space="preserve">Máy xả tĩnh điện</t>
  </si>
  <si>
    <t xml:space="preserve">ESD Discharger / Ionizer</t>
  </si>
  <si>
    <t xml:space="preserve">Tủ lạnh</t>
  </si>
  <si>
    <t xml:space="preserve">Refrigerator / Fridge</t>
  </si>
  <si>
    <t xml:space="preserve">Feeder</t>
  </si>
  <si>
    <t xml:space="preserve">Mic thu tần số</t>
  </si>
  <si>
    <t xml:space="preserve">Frequency Pick-up Microphone</t>
  </si>
  <si>
    <t xml:space="preserve">Thước dây</t>
  </si>
  <si>
    <t xml:space="preserve">Hộp nguồn</t>
  </si>
  <si>
    <t xml:space="preserve">Power Box / Power Supply Unit</t>
  </si>
  <si>
    <t xml:space="preserve">Cục nặng 450g</t>
  </si>
  <si>
    <t xml:space="preserve">450g Test Weight</t>
  </si>
  <si>
    <t xml:space="preserve">Kéo</t>
  </si>
  <si>
    <t xml:space="preserve">Scissors</t>
  </si>
  <si>
    <t xml:space="preserve">Tấm film kiểm tra độ xước</t>
  </si>
  <si>
    <t xml:space="preserve">Scratch Inspection Film</t>
  </si>
  <si>
    <t xml:space="preserve">Máy khoan pin</t>
  </si>
  <si>
    <t xml:space="preserve">Cordless Drill</t>
  </si>
  <si>
    <t xml:space="preserve">Module Bluetooth RF</t>
  </si>
  <si>
    <t xml:space="preserve">RF Bluetooth Module</t>
  </si>
  <si>
    <t xml:space="preserve">Cưa sắt</t>
  </si>
  <si>
    <t xml:space="preserve">Hacksaw</t>
  </si>
  <si>
    <t xml:space="preserve">Dũa</t>
  </si>
  <si>
    <t xml:space="preserve">File</t>
  </si>
  <si>
    <t xml:space="preserve">Máy cuốn dây</t>
  </si>
  <si>
    <t xml:space="preserve">Winding Machine</t>
  </si>
  <si>
    <t xml:space="preserve">Dụng cụ</t>
  </si>
  <si>
    <t xml:space="preserve">Tool / Equipment</t>
  </si>
  <si>
    <t xml:space="preserve">Máy đo nhiệt độ lò Reflow</t>
  </si>
  <si>
    <t xml:space="preserve">Reflow Profiler / Thermal Profiler</t>
  </si>
  <si>
    <t xml:space="preserve">Jig nạp chương trình</t>
  </si>
  <si>
    <t xml:space="preserve">Programming Jig</t>
  </si>
  <si>
    <t xml:space="preserve">Cục nạp chương trình</t>
  </si>
  <si>
    <t xml:space="preserve">IC Programmer Unit</t>
  </si>
  <si>
    <t xml:space="preserve">ST-LINK</t>
  </si>
  <si>
    <t xml:space="preserve">ST-LINK Debugger/Programmer</t>
  </si>
  <si>
    <t xml:space="preserve">Thiết bị đo linh kiện SMD</t>
  </si>
  <si>
    <t xml:space="preserve">SMD Component Tester / LCR Meter</t>
  </si>
  <si>
    <t xml:space="preserve">Đèn soi UV</t>
  </si>
  <si>
    <t xml:space="preserve">UV Inspection Lamp</t>
  </si>
  <si>
    <t xml:space="preserve">Thiết bị đo nhiệt độ lò</t>
  </si>
  <si>
    <t xml:space="preserve">Oven Temperature Gauge / Profiler</t>
  </si>
  <si>
    <t xml:space="preserve">Quả cân</t>
  </si>
  <si>
    <t xml:space="preserve">Calibration Weight</t>
  </si>
  <si>
    <t xml:space="preserve">Bộ căn mẫu chuẩn</t>
  </si>
  <si>
    <t xml:space="preserve">Gauge Block Set</t>
  </si>
  <si>
    <t xml:space="preserve">Bộ quả cân</t>
  </si>
  <si>
    <t xml:space="preserve">Weight Set</t>
  </si>
  <si>
    <t xml:space="preserve">Cục khử từ</t>
  </si>
  <si>
    <t xml:space="preserve">Demagnetizer</t>
  </si>
  <si>
    <t xml:space="preserve">Hộp ngăn cách tín hiệu</t>
  </si>
  <si>
    <t xml:space="preserve">Signal Isolation Box</t>
  </si>
  <si>
    <t xml:space="preserve">Máy tạo hình Jumper</t>
  </si>
  <si>
    <t xml:space="preserve">Jumper Wire Forming Machine</t>
  </si>
  <si>
    <t xml:space="preserve">Hộp nguồn Roland</t>
  </si>
  <si>
    <t xml:space="preserve">Roland Power Supply Box</t>
  </si>
  <si>
    <t xml:space="preserve">HUB USB 3.0</t>
  </si>
  <si>
    <t xml:space="preserve">USB 3.0 Hub</t>
  </si>
  <si>
    <t xml:space="preserve">Máy hàn tự động tích hợp</t>
  </si>
  <si>
    <t xml:space="preserve">Integrated Automatic Soldering Machine</t>
  </si>
  <si>
    <t xml:space="preserve">Máy kiểm tra Feeder</t>
  </si>
  <si>
    <t xml:space="preserve">Feeder Calibration/Inspection Tester</t>
  </si>
  <si>
    <t xml:space="preserve">Đồng hồ bấm giờ</t>
  </si>
  <si>
    <t xml:space="preserve">Stopwatch</t>
  </si>
  <si>
    <t xml:space="preserve">Kính mắt chống tia laser</t>
  </si>
  <si>
    <t xml:space="preserve">Laser Safety Glasses</t>
  </si>
  <si>
    <t xml:space="preserve">Hộp điều khiển máy bắn vít</t>
  </si>
  <si>
    <t xml:space="preserve">Screwdriver Control Box</t>
  </si>
  <si>
    <t xml:space="preserve">Tủ cấp ẩm</t>
  </si>
  <si>
    <t xml:space="preserve">Humidifying Cabinet</t>
  </si>
  <si>
    <t xml:space="preserve">Đồ gá bẻ tấm sắt</t>
  </si>
  <si>
    <t xml:space="preserve">Metal Sheet Bending Fixture</t>
  </si>
  <si>
    <t xml:space="preserve">Đồ gá tủ đông</t>
  </si>
  <si>
    <t xml:space="preserve">Freezer Fixture</t>
  </si>
  <si>
    <t xml:space="preserve">Thước thăng bằng</t>
  </si>
  <si>
    <t xml:space="preserve">Spirit Level / Bubble Level</t>
  </si>
  <si>
    <t xml:space="preserve">Máy barcode</t>
  </si>
  <si>
    <t xml:space="preserve">Barcode Machine / Printer</t>
  </si>
  <si>
    <t xml:space="preserve">Thước đo cao điện tử</t>
  </si>
  <si>
    <t xml:space="preserve">Digital Height Gauge</t>
  </si>
  <si>
    <t xml:space="preserve">Cục nặng 680g</t>
  </si>
  <si>
    <t xml:space="preserve">680g Test Weight</t>
  </si>
  <si>
    <t xml:space="preserve">Cục nguồn máy hàn siêu âm</t>
  </si>
  <si>
    <t xml:space="preserve">Ultrasonic Welding Generator</t>
  </si>
  <si>
    <t xml:space="preserve">Cờ lê lực</t>
  </si>
  <si>
    <t xml:space="preserve">Torque Wrench</t>
  </si>
  <si>
    <t xml:space="preserve">Máy kiểm tra kem thiếc</t>
  </si>
  <si>
    <t xml:space="preserve">Solder Paste Inspection (SPI) Machine</t>
  </si>
  <si>
    <t xml:space="preserve">Máy cấp bảng mạch tự động</t>
  </si>
  <si>
    <t xml:space="preserve">Automatic PCB Loader</t>
  </si>
  <si>
    <t xml:space="preserve">Đồng hồ đo nhiệt độ/độ ẩm</t>
  </si>
  <si>
    <t xml:space="preserve">Thermo-Hygrometer</t>
  </si>
  <si>
    <t xml:space="preserve">Cục nặng 250g</t>
  </si>
  <si>
    <t xml:space="preserve">250g Test Weight</t>
  </si>
  <si>
    <t xml:space="preserve">Cảo chữ C</t>
  </si>
  <si>
    <t xml:space="preserve">C-Clamp</t>
  </si>
  <si>
    <t xml:space="preserve">Tay cầm dũa</t>
  </si>
  <si>
    <t xml:space="preserve">File Handle</t>
  </si>
  <si>
    <t xml:space="preserve">Hộp kiểm tra chức năng</t>
  </si>
  <si>
    <t xml:space="preserve">Functional Test Box</t>
  </si>
  <si>
    <t xml:space="preserve">Máy khò</t>
  </si>
  <si>
    <t xml:space="preserve">Hot Air Station / Heat Gun</t>
  </si>
  <si>
    <t xml:space="preserve">Hộp đựng tải giả 4 Ohm</t>
  </si>
  <si>
    <t xml:space="preserve">4 Ohm Dummy Load Box</t>
  </si>
  <si>
    <t xml:space="preserve">Dưỡng đo độ dày</t>
  </si>
  <si>
    <t xml:space="preserve">Thickness Gauge / Feeler Gauge</t>
  </si>
  <si>
    <t xml:space="preserve">Máy dập</t>
  </si>
  <si>
    <t xml:space="preserve">Press Machine</t>
  </si>
  <si>
    <t xml:space="preserve">Máy in phun cầm tay</t>
  </si>
  <si>
    <t xml:space="preserve">Handheld Inkjet Printer</t>
  </si>
  <si>
    <t xml:space="preserve">Súng bắn vít chỉnh tốc độ</t>
  </si>
  <si>
    <t xml:space="preserve">Variable Speed Electric Screwdriver</t>
  </si>
  <si>
    <t xml:space="preserve">Jig test AE-BRISA</t>
  </si>
  <si>
    <t xml:space="preserve">AE-BRISA Test Jig</t>
  </si>
  <si>
    <t xml:space="preserve">Máy đo điện trở cách điện</t>
  </si>
  <si>
    <t xml:space="preserve">Insulation Resistance Tester (Megohmmeter)</t>
  </si>
  <si>
    <t xml:space="preserve">Máy đo tốc độ quay</t>
  </si>
  <si>
    <t xml:space="preserve">Tachometer (for Screwdrivers)</t>
  </si>
  <si>
    <t xml:space="preserve">Máy hút thiếc</t>
  </si>
  <si>
    <t xml:space="preserve">Desoldering Pump / Solder Sucker</t>
  </si>
  <si>
    <t xml:space="preserve">Bàn cắt giấy A4</t>
  </si>
  <si>
    <t xml:space="preserve">A4 Paper Cutter / Guillotine</t>
  </si>
  <si>
    <t xml:space="preserve">Hộp kiểm tra nguồn</t>
  </si>
  <si>
    <t xml:space="preserve">Power Supply Test Box</t>
  </si>
  <si>
    <t xml:space="preserve">Lioa</t>
  </si>
  <si>
    <t xml:space="preserve">Voltage Stabilizer (Lioa brand)</t>
  </si>
  <si>
    <t xml:space="preserve">Đèn soi mạch</t>
  </si>
  <si>
    <t xml:space="preserve">PCB Inspection Light</t>
  </si>
  <si>
    <t xml:space="preserve">jig FCT</t>
  </si>
  <si>
    <t xml:space="preserve">FCT Jig (Functional Test Jig)</t>
  </si>
  <si>
    <t xml:space="preserve">Đầu dập</t>
  </si>
  <si>
    <t xml:space="preserve">Punch Head / Press Die</t>
  </si>
  <si>
    <t xml:space="preserve">Máy mài</t>
  </si>
  <si>
    <t xml:space="preserve">Grinding Machine / Grinder</t>
  </si>
  <si>
    <t xml:space="preserve">Jig đo kích thước</t>
  </si>
  <si>
    <t xml:space="preserve">Dimensional Inspection Jig</t>
  </si>
  <si>
    <t xml:space="preserve">jig test</t>
  </si>
  <si>
    <t xml:space="preserve">Test Jig</t>
  </si>
  <si>
    <t xml:space="preserve">Thiết bị đo EOS</t>
  </si>
  <si>
    <t xml:space="preserve">EOS (Electrical Overstress) Measuring Device</t>
  </si>
  <si>
    <t xml:space="preserve">Công cụ kiểm tra của QE</t>
  </si>
  <si>
    <t xml:space="preserve">QE Inspection Tools</t>
  </si>
  <si>
    <t xml:space="preserve">Máy kiểm tra RH CALIBRATOR</t>
  </si>
  <si>
    <t xml:space="preserve">RH Calibrator Tester</t>
  </si>
  <si>
    <t xml:space="preserve">Hộp chuyển đổi OPTIDEW</t>
  </si>
  <si>
    <t xml:space="preserve">OPTIDEW Signal Converter Box</t>
  </si>
  <si>
    <t xml:space="preserve">J-Link</t>
  </si>
  <si>
    <t xml:space="preserve">J-Link Debug Probe</t>
  </si>
  <si>
    <t xml:space="preserve">Cục phát Wifi</t>
  </si>
  <si>
    <t xml:space="preserve">Wifi Router / Access Point</t>
  </si>
  <si>
    <t xml:space="preserve">Model</t>
  </si>
  <si>
    <t xml:space="preserve">AC-22LX</t>
  </si>
  <si>
    <t xml:space="preserve">AD-10</t>
  </si>
  <si>
    <t xml:space="preserve">AE-BRISA</t>
  </si>
  <si>
    <t xml:space="preserve">BOP IT</t>
  </si>
  <si>
    <t xml:space="preserve">BOP IT BLUEY</t>
  </si>
  <si>
    <t xml:space="preserve">BOP IT MARVEL HULK</t>
  </si>
  <si>
    <t xml:space="preserve">BOP IT MICRO</t>
  </si>
  <si>
    <t xml:space="preserve">BOP IT NFL CEEDEE LAMB EDITION</t>
  </si>
  <si>
    <t xml:space="preserve">BOP IT NFL JOSH ALLEN EDITION</t>
  </si>
  <si>
    <t xml:space="preserve">BOP IT NFL JUSTIN JEFFERSON EDITION</t>
  </si>
  <si>
    <t xml:space="preserve">BOP IT NFL LAMAR JACKSON EDITION</t>
  </si>
  <si>
    <t xml:space="preserve">BOP IT NFL PATRICK MAHOMES EDITION</t>
  </si>
  <si>
    <t xml:space="preserve">BOP IT NFL SAQUON BARKLEY EDITION</t>
  </si>
  <si>
    <t xml:space="preserve">CP110K-15</t>
  </si>
  <si>
    <t xml:space="preserve">CROSSFIRE</t>
  </si>
  <si>
    <t xml:space="preserve">CUBE-ST2</t>
  </si>
  <si>
    <t xml:space="preserve">D-CUBELX</t>
  </si>
  <si>
    <t xml:space="preserve">DEER PONG</t>
  </si>
  <si>
    <t xml:space="preserve">E BATTLESHIP</t>
  </si>
  <si>
    <t xml:space="preserve">E-100</t>
  </si>
  <si>
    <t xml:space="preserve">FCT AD-10</t>
  </si>
  <si>
    <t xml:space="preserve">FCT AE-BRISA</t>
  </si>
  <si>
    <t xml:space="preserve">FCT GO-88PX</t>
  </si>
  <si>
    <t xml:space="preserve">FCT GOKEYS3</t>
  </si>
  <si>
    <t xml:space="preserve">FCT GOKEYS5</t>
  </si>
  <si>
    <t xml:space="preserve">FCT GOMIXERST</t>
  </si>
  <si>
    <t xml:space="preserve">FCT GT-1000</t>
  </si>
  <si>
    <t xml:space="preserve">FCT GX-1</t>
  </si>
  <si>
    <t xml:space="preserve">FCT VE-1</t>
  </si>
  <si>
    <t xml:space="preserve">FCT VE-2</t>
  </si>
  <si>
    <t xml:space="preserve">FCT VE-500</t>
  </si>
  <si>
    <t xml:space="preserve">FCT VE-8</t>
  </si>
  <si>
    <t xml:space="preserve">FSC-10</t>
  </si>
  <si>
    <t xml:space="preserve">FV-500</t>
  </si>
  <si>
    <t xml:space="preserve">GA-FC EX</t>
  </si>
  <si>
    <t xml:space="preserve">GA-FC(C)</t>
  </si>
  <si>
    <t xml:space="preserve">GO-88PX</t>
  </si>
  <si>
    <t xml:space="preserve">GOKEYS3</t>
  </si>
  <si>
    <t xml:space="preserve">GOKEYS5</t>
  </si>
  <si>
    <t xml:space="preserve">GOMIXERST</t>
  </si>
  <si>
    <t xml:space="preserve">GT-1000</t>
  </si>
  <si>
    <t xml:space="preserve">GX-1</t>
  </si>
  <si>
    <t xml:space="preserve">HAXO-8 V3</t>
  </si>
  <si>
    <t xml:space="preserve">JENGA MINI</t>
  </si>
  <si>
    <t xml:space="preserve">KTN-AIR</t>
  </si>
  <si>
    <t xml:space="preserve">KTN-GO2</t>
  </si>
  <si>
    <t xml:space="preserve">KTN-MINI</t>
  </si>
  <si>
    <t xml:space="preserve">MRGK</t>
  </si>
  <si>
    <t xml:space="preserve">MSK GO-88PX</t>
  </si>
  <si>
    <t xml:space="preserve">MSK GOKEYS3</t>
  </si>
  <si>
    <t xml:space="preserve">MSK GOKEYS5</t>
  </si>
  <si>
    <t xml:space="preserve">N/A</t>
  </si>
  <si>
    <t xml:space="preserve">OP GRINCH</t>
  </si>
  <si>
    <t xml:space="preserve">OP Module Class</t>
  </si>
  <si>
    <t xml:space="preserve">OP REFRESH</t>
  </si>
  <si>
    <t xml:space="preserve">OPERATION BLUEY</t>
  </si>
  <si>
    <t xml:space="preserve">SIMON HARRY POTTER</t>
  </si>
  <si>
    <t xml:space="preserve">SIMON MICRO</t>
  </si>
  <si>
    <t xml:space="preserve">SIMON SPRING</t>
  </si>
  <si>
    <t xml:space="preserve">SRIC-4</t>
  </si>
  <si>
    <t xml:space="preserve">ST100J-15</t>
  </si>
  <si>
    <t xml:space="preserve">ST100S-15</t>
  </si>
  <si>
    <t xml:space="preserve">ST10S-15</t>
  </si>
  <si>
    <t xml:space="preserve">STITCH BOP IT</t>
  </si>
  <si>
    <t xml:space="preserve">TRAVEL OPERATION</t>
  </si>
  <si>
    <t xml:space="preserve">TRED30-16R</t>
  </si>
  <si>
    <t xml:space="preserve">TRID30-7R</t>
  </si>
  <si>
    <t xml:space="preserve">TRIL-8</t>
  </si>
  <si>
    <t xml:space="preserve">TRIX-8 V2</t>
  </si>
  <si>
    <t xml:space="preserve">UHADO-16</t>
  </si>
  <si>
    <t xml:space="preserve">UM-ONE MK2B</t>
  </si>
  <si>
    <t xml:space="preserve">USRIC-8/16 V3</t>
  </si>
  <si>
    <t xml:space="preserve">USRID-16</t>
  </si>
  <si>
    <t xml:space="preserve">USRID-16W</t>
  </si>
  <si>
    <t xml:space="preserve">UTRED30-WIFI V3</t>
  </si>
  <si>
    <t xml:space="preserve">UTRID-16</t>
  </si>
  <si>
    <t xml:space="preserve">UTRIX-16 V3</t>
  </si>
  <si>
    <t xml:space="preserve">VE-1</t>
  </si>
  <si>
    <t xml:space="preserve">VE-2</t>
  </si>
  <si>
    <t xml:space="preserve">VE-500</t>
  </si>
  <si>
    <t xml:space="preserve">VE-8</t>
  </si>
  <si>
    <t xml:space="preserve">Ngày</t>
  </si>
  <si>
    <t xml:space="preserve">Device</t>
  </si>
  <si>
    <t xml:space="preserve">Số lượng</t>
  </si>
  <si>
    <t xml:space="preserve">Screw gun</t>
  </si>
  <si>
    <t xml:space="preserve">Computer</t>
  </si>
  <si>
    <t xml:space="preserve">Screen</t>
  </si>
  <si>
    <t xml:space="preserve">Hand press</t>
  </si>
  <si>
    <t xml:space="preserve">Tape cutting machine</t>
  </si>
  <si>
    <t xml:space="preserve">Welding machine</t>
  </si>
  <si>
    <t xml:space="preserve">Hot stamping machine</t>
  </si>
  <si>
    <t xml:space="preserve">Máy cấp nguồn KA3005D dùng cho sản xuất</t>
  </si>
  <si>
    <t xml:space="preserve">The KA3005D power supply is used for manufacturing.</t>
  </si>
  <si>
    <t xml:space="preserve">Loa CM-30 dùng cho sản xuất</t>
  </si>
  <si>
    <t xml:space="preserve">CM-30 speakers for production use</t>
  </si>
  <si>
    <t xml:space="preserve">Noise Meter dùng cho sản xuất</t>
  </si>
  <si>
    <t xml:space="preserve">Noise Meter for production</t>
  </si>
  <si>
    <t xml:space="preserve">Đồng hồ vạn năng dùng cho sản xuất</t>
  </si>
  <si>
    <t xml:space="preserve">Multimeters for manufacturing</t>
  </si>
  <si>
    <t xml:space="preserve">Pneumatic stamping machine</t>
  </si>
  <si>
    <t xml:space="preserve">Automatic screw gun</t>
  </si>
  <si>
    <t xml:space="preserve">Laser machine</t>
  </si>
  <si>
    <t xml:space="preserve">Automatic tying machine</t>
  </si>
  <si>
    <t xml:space="preserve">Ultrasonic welding machine</t>
  </si>
  <si>
    <t xml:space="preserve">Weigh</t>
  </si>
  <si>
    <t xml:space="preserve">Máy hiện sóng dùng cho sản xuất</t>
  </si>
  <si>
    <t xml:space="preserve">Oscilloscopes for production</t>
  </si>
  <si>
    <t xml:space="preserve">Bàn đạp vòng lặp SL-2 dùng cho sản xuất</t>
  </si>
  <si>
    <t xml:space="preserve">SL-2 loop pedal for production</t>
  </si>
  <si>
    <t xml:space="preserve">Force meter</t>
  </si>
  <si>
    <t xml:space="preserve">Ion fan</t>
  </si>
  <si>
    <t xml:space="preserve">Glue dispenser</t>
  </si>
  <si>
    <t xml:space="preserve">Portable range hood</t>
  </si>
  <si>
    <t xml:space="preserve">Leafy porcelain</t>
  </si>
  <si>
    <t xml:space="preserve">Cable tie gun</t>
  </si>
  <si>
    <t xml:space="preserve">Máy tạo sóng dùng cho sản xuất</t>
  </si>
  <si>
    <t xml:space="preserve">Wave generators used in production.</t>
  </si>
  <si>
    <t xml:space="preserve">Bàn đạp vòng lặp RC-3 dùng cho sản xuất</t>
  </si>
  <si>
    <t xml:space="preserve">RC-3 loop pedal for production</t>
  </si>
  <si>
    <t xml:space="preserve">Frequency scanner</t>
  </si>
  <si>
    <t xml:space="preserve">Bàn đạp FS-5U dùng cho sản xuất</t>
  </si>
  <si>
    <t xml:space="preserve">FS-5U pedal for production</t>
  </si>
  <si>
    <t xml:space="preserve">Replica pedals (EV-5 + FS-5U)</t>
  </si>
  <si>
    <t xml:space="preserve">Rivet press</t>
  </si>
  <si>
    <t xml:space="preserve">Soldering station</t>
  </si>
  <si>
    <t xml:space="preserve">Cooling box</t>
  </si>
  <si>
    <t xml:space="preserve">Battery tester</t>
  </si>
  <si>
    <t xml:space="preserve">Tabletop magnifying glass</t>
  </si>
  <si>
    <t xml:space="preserve">Bàn đạp EV-5 dùng cho sản xuất</t>
  </si>
  <si>
    <t xml:space="preserve">EV-5 pedals for production</t>
  </si>
  <si>
    <t xml:space="preserve">Polarizer</t>
  </si>
  <si>
    <t xml:space="preserve">Headphones with microphone</t>
  </si>
  <si>
    <t xml:space="preserve">RH-5 Headphones without Microphone</t>
  </si>
  <si>
    <t xml:space="preserve">Dummy battery box DCB-LX/D-CUBE</t>
  </si>
  <si>
    <t xml:space="preserve">ID</t>
  </si>
  <si>
    <t xml:space="preserve">Khách hàng</t>
  </si>
  <si>
    <t xml:space="preserve">Công đoạn</t>
  </si>
  <si>
    <t xml:space="preserve">Dây kết nối</t>
  </si>
  <si>
    <t xml:space="preserve">Thời gian chỉnh sửa</t>
  </si>
  <si>
    <t xml:space="preserve">Nội dung trước khi sửa đổi</t>
  </si>
  <si>
    <t xml:space="preserve">Nội dung sau khi sửa đổi</t>
  </si>
  <si>
    <t xml:space="preserve">Lịch sử sửa đổi</t>
  </si>
  <si>
    <t xml:space="preserve">Số lần lặp lại của thiết bị</t>
  </si>
  <si>
    <t xml:space="preserve">Số thứ tự của từng thiết bị riêng biệt</t>
  </si>
  <si>
    <t xml:space="preserve">Xác nhận</t>
  </si>
  <si>
    <t xml:space="preserve">Số lượng cần xác nhận</t>
  </si>
  <si>
    <t xml:space="preserve">% hoàn thành</t>
  </si>
  <si>
    <t xml:space="preserve">Name of process</t>
  </si>
  <si>
    <t xml:space="preserve">Equipment need</t>
  </si>
  <si>
    <t xml:space="preserve">Q.ty</t>
  </si>
  <si>
    <t xml:space="preserve">Roland</t>
  </si>
  <si>
    <t xml:space="preserve">Tách bo mạch, hàn led, cắt chân</t>
  </si>
  <si>
    <t xml:space="preserve">UM-ONE MK2B...Tách bo mạch, hàn led, cắt chân...Máy hàn......1</t>
  </si>
  <si>
    <t xml:space="preserve">Đã xác nhận</t>
  </si>
  <si>
    <t xml:space="preserve">Separate the circuit board, solder the LEDs, and cut the pins.</t>
  </si>
  <si>
    <t xml:space="preserve">Hàn cáp USB, cắt chân</t>
  </si>
  <si>
    <t xml:space="preserve">UM-ONE MK2B...Hàn cáp USB, cắt chân...Máy hàn......1</t>
  </si>
  <si>
    <t xml:space="preserve">Solder USB cable, cut the pins.</t>
  </si>
  <si>
    <t xml:space="preserve">Hàn cáp MIDI, cắt chân</t>
  </si>
  <si>
    <t xml:space="preserve">UM-ONE MK2B...Hàn cáp MIDI, cắt chân...Máy hàn......1</t>
  </si>
  <si>
    <t xml:space="preserve">Solder MIDI cables, cut pins.</t>
  </si>
  <si>
    <t xml:space="preserve">Nạp chương trình IC</t>
  </si>
  <si>
    <t xml:space="preserve">UM-ONE MK2B...Nạp chương trình IC...Máy tính......1</t>
  </si>
  <si>
    <t xml:space="preserve">IC programming</t>
  </si>
  <si>
    <t xml:space="preserve">Đóng vỏ hộp và bắn vít</t>
  </si>
  <si>
    <t xml:space="preserve">UM-ONE MK2B...Đóng vỏ hộp và bắn vít...Súng bắn vít......1</t>
  </si>
  <si>
    <t xml:space="preserve">Close the box and screw it in place.</t>
  </si>
  <si>
    <t xml:space="preserve">Kiểm tra chức năng sản phẩm</t>
  </si>
  <si>
    <t xml:space="preserve">UM-ONE MK2B...Kiểm tra chức năng sản phẩm...Máy tính......1</t>
  </si>
  <si>
    <t xml:space="preserve">Product functionality testing</t>
  </si>
  <si>
    <t xml:space="preserve">Đóng gói</t>
  </si>
  <si>
    <t xml:space="preserve">UM-ONE MK2B...Đóng gói...Máy tính......2</t>
  </si>
  <si>
    <t xml:space="preserve">Pack</t>
  </si>
  <si>
    <t xml:space="preserve">UM-ONE MK2B...Đóng gói...Súng Scan Barcode......2</t>
  </si>
  <si>
    <t xml:space="preserve">Lắp ráp housing</t>
  </si>
  <si>
    <t xml:space="preserve">KTN-MINI...Lắp ráp housing...Súng bắn vít......1</t>
  </si>
  <si>
    <t xml:space="preserve">Housing assembly</t>
  </si>
  <si>
    <t xml:space="preserve">KTN-MINI...Lắp ráp housing...Máy dập khí nén......1</t>
  </si>
  <si>
    <t xml:space="preserve">Lắp , hàn khay pin</t>
  </si>
  <si>
    <t xml:space="preserve">KTN-MINI...Lắp , hàn khay pin...Máy hàn......1</t>
  </si>
  <si>
    <t xml:space="preserve">Install and solder the battery tray.</t>
  </si>
  <si>
    <t xml:space="preserve">Lắp ráp PCBA vào housing</t>
  </si>
  <si>
    <t xml:space="preserve">KTN-MINI...Lắp ráp PCBA vào housing...Súng bắn vít......2</t>
  </si>
  <si>
    <t xml:space="preserve">Assemble the PCBA into the housing.</t>
  </si>
  <si>
    <t xml:space="preserve">Bắt vít cố định PCBA</t>
  </si>
  <si>
    <t xml:space="preserve">KTN-MINI...Bắt vít cố định PCBA...Súng bắn vít......3</t>
  </si>
  <si>
    <t xml:space="preserve">KTN-MINI...Bắt vít cố định PCBA...Súng bắn vít......2</t>
  </si>
  <si>
    <t xml:space="preserve">;13/01/2026 16:42:04: KTN-MINI...Bắt vít cố định PCBA...Súng bắn vít......2</t>
  </si>
  <si>
    <t xml:space="preserve">Secure the PCBA with screws.</t>
  </si>
  <si>
    <t xml:space="preserve">Test chassis 1</t>
  </si>
  <si>
    <t xml:space="preserve">KTN-MINI...Test chassis 1...Bàn đạp vòng lặp RC-3......1</t>
  </si>
  <si>
    <t xml:space="preserve">KTN-MINI...Test chassis 1...Noise Meter......2</t>
  </si>
  <si>
    <t xml:space="preserve">KTN-MINI...Test chassis 1...Đồng hồ vạn năng......1</t>
  </si>
  <si>
    <t xml:space="preserve">KTN-MINI...Test chassis 1...Đồng hồ vạn năng dùng cho sản xuất......1</t>
  </si>
  <si>
    <t xml:space="preserve">;16/01/2026 11:37:35: KTN-MINI...Test chassis 1...Đồng hồ vạn năng dùng cho sản xuất......1</t>
  </si>
  <si>
    <t xml:space="preserve">KTN-MINI...Test chassis 1...Máy hiện sóng......2</t>
  </si>
  <si>
    <t xml:space="preserve">KTN-MINI...Test chassis 1...Máy cấp nguồn KA3005D......2</t>
  </si>
  <si>
    <t xml:space="preserve">Test chassis 2</t>
  </si>
  <si>
    <t xml:space="preserve">KTN-MINI...Test chassis 2...Bàn đạp vòng lặp RC-3......1</t>
  </si>
  <si>
    <t xml:space="preserve">KTN-MINI...Test chassis 2...Noise Meter......1</t>
  </si>
  <si>
    <t xml:space="preserve">KTN-MINI...Test chassis 2...Máy cấp nguồn KA3005D......2</t>
  </si>
  <si>
    <t xml:space="preserve">KTN-MINI...Test chassis 2...Máy hiện sóng......2</t>
  </si>
  <si>
    <t xml:space="preserve">Hotstamping</t>
  </si>
  <si>
    <t xml:space="preserve">KTN-MINI...Hotstamping...Máy dập hot stamping......1</t>
  </si>
  <si>
    <t xml:space="preserve">Chuẩn bị lưới 1</t>
  </si>
  <si>
    <t xml:space="preserve">KTN-MINI...Chuẩn bị lưới 1...Máy dập khí nén......2</t>
  </si>
  <si>
    <t xml:space="preserve">Prepare net 1</t>
  </si>
  <si>
    <t xml:space="preserve">Chuẩn bị lưới 2</t>
  </si>
  <si>
    <t xml:space="preserve">KTN-MINI...Chuẩn bị lưới 2...Máy dập khí nén......1</t>
  </si>
  <si>
    <t xml:space="preserve">Prepare net 2</t>
  </si>
  <si>
    <t xml:space="preserve">Lắp loa bôi keo hoàn thiện lưới</t>
  </si>
  <si>
    <t xml:space="preserve">KTN-MINI...Lắp loa bôi keo hoàn thiện lưới...Máy bơm keo......1</t>
  </si>
  <si>
    <t xml:space="preserve">Install the speaker, apply sealant, and finish the grille.</t>
  </si>
  <si>
    <t xml:space="preserve">KTN-MINI...Lắp loa bôi keo hoàn thiện lưới...Súng bắn vít......1</t>
  </si>
  <si>
    <t xml:space="preserve">KTN-MINI...Lắp loa bôi keo hoàn thiện lưới...Máy hàn......1</t>
  </si>
  <si>
    <t xml:space="preserve">Lắp ráp mặt trước và sau</t>
  </si>
  <si>
    <t xml:space="preserve">KTN-MINI...Lắp ráp mặt trước và sau...Súng bắn vít......1</t>
  </si>
  <si>
    <t xml:space="preserve">Assemble the front and back panels.</t>
  </si>
  <si>
    <t xml:space="preserve">Test Function 1</t>
  </si>
  <si>
    <t xml:space="preserve">KTN-MINI...Test Function 1...Bàn đạp vòng lặp RC-3......1</t>
  </si>
  <si>
    <t xml:space="preserve">KTN-MINI...Test Function 1...Loa CM-30......2</t>
  </si>
  <si>
    <t xml:space="preserve">Test Function 2</t>
  </si>
  <si>
    <t xml:space="preserve">KTN-MINI...Test Function 2...Loa CM-30......2</t>
  </si>
  <si>
    <t xml:space="preserve">Packing</t>
  </si>
  <si>
    <t xml:space="preserve">KTN-MINI...Packing...Máy tính......2</t>
  </si>
  <si>
    <t xml:space="preserve">shirt</t>
  </si>
  <si>
    <t xml:space="preserve">KTN-MINI...Packing...Súng Scan Barcode......2</t>
  </si>
  <si>
    <t xml:space="preserve">Hàn Jack vào mạch PCBA</t>
  </si>
  <si>
    <t xml:space="preserve">KTN-GO2...Hàn Jack vào mạch PCBA...Máy hàn......2</t>
  </si>
  <si>
    <t xml:space="preserve">KTN-GO2...Hàn Jack vào mạch PCBA...Máy hàn......1</t>
  </si>
  <si>
    <t xml:space="preserve">;13/01/2026 16:49:23: KTN-GO2...Hàn Jack vào mạch PCBA...Máy hàn......2;13/01/2026 16:49:41: KTN-GO2...Hàn Jack vào mạch PCBA...Máy hàn......1</t>
  </si>
  <si>
    <t xml:space="preserve">Solder the jacks onto the PCBA circuit.</t>
  </si>
  <si>
    <t xml:space="preserve">Bắn ốc PCBA &amp; Lắp chụp đèn LED</t>
  </si>
  <si>
    <t xml:space="preserve">KTN-GO2...Bắn ốc PCBA &amp; Lắp chụp đèn LED...Súng bắn vít......1</t>
  </si>
  <si>
    <t xml:space="preserve">Screwing PCBA and installing LED light covers.</t>
  </si>
  <si>
    <t xml:space="preserve">Lắp  MAIN PCBA chính vào vỏ và bắn vít</t>
  </si>
  <si>
    <t xml:space="preserve">KTN-GO2...Lắp  MAIN PCBA chính vào vỏ và bắn vít...Súng bắn vít......1</t>
  </si>
  <si>
    <t xml:space="preserve">Install the main PCBA into the case and tighten the screws.</t>
  </si>
  <si>
    <t xml:space="preserve">Bắn vít và dán miếng đệm vỏ dưới</t>
  </si>
  <si>
    <t xml:space="preserve">KTN-GO2...Bắn vít và dán miếng đệm vỏ dưới...Súng bắn vít......1</t>
  </si>
  <si>
    <t xml:space="preserve">Screw in the screws and attach the bottom cover gasket.</t>
  </si>
  <si>
    <t xml:space="preserve">Đặt Tape núm dính tròn vào vỏ trên</t>
  </si>
  <si>
    <t xml:space="preserve">KTN-GO2...Đặt Tape núm dính tròn vào vỏ trên...Quạt ion......1</t>
  </si>
  <si>
    <t xml:space="preserve">Attach the round adhesive tape knob to the top casing.</t>
  </si>
  <si>
    <t xml:space="preserve">KTN-GO2...Kết nối dây pin với Main PCBA , Đi dây &amp; Dán Tape...Máy kiểm tra pin......1</t>
  </si>
  <si>
    <t xml:space="preserve">............0</t>
  </si>
  <si>
    <t xml:space="preserve">;13/01/2026 16:50:54: ............0</t>
  </si>
  <si>
    <t xml:space="preserve">Lắp LCD</t>
  </si>
  <si>
    <t xml:space="preserve">KTN-GO2...Lắp LCD...Máy cắt băng dính......1</t>
  </si>
  <si>
    <t xml:space="preserve">Install an LCD screen.</t>
  </si>
  <si>
    <t xml:space="preserve">Kiểm tra nút bấm , đèn Led &amp; đậy nắp</t>
  </si>
  <si>
    <t xml:space="preserve">KTN-GO2...Kiểm tra nút bấm , đèn Led &amp; đậy nắp...Máy tính......3</t>
  </si>
  <si>
    <t xml:space="preserve">Check the buttons, LED lights, and cover.</t>
  </si>
  <si>
    <t xml:space="preserve">KTN-GO2...Kiểm tra nút bấm , đèn Led &amp; đậy nắp...Đồng hồ vạn năng......3</t>
  </si>
  <si>
    <t xml:space="preserve">KTN-GO2...Kiểm tra nút bấm , đèn Led &amp; đậy nắp...Đồng hồ vạn năng dùng cho sản xuất......3</t>
  </si>
  <si>
    <t xml:space="preserve">;16/01/2026 11:37:30: KTN-GO2...Kiểm tra nút bấm , đèn Led &amp; đậy nắp...Đồng hồ vạn năng dùng cho sản xuất......3</t>
  </si>
  <si>
    <t xml:space="preserve">KTN-GO2...Kiểm tra nút bấm , đèn Led &amp; đậy nắp...Iphone......3</t>
  </si>
  <si>
    <t xml:space="preserve">Kiểm tra nút nguồn và nút bấm chức năng</t>
  </si>
  <si>
    <t xml:space="preserve">KTN-GO2...Kiểm tra nút nguồn và nút bấm chức năng...Loa CM-30......2</t>
  </si>
  <si>
    <t xml:space="preserve">Check the power button and function buttons.</t>
  </si>
  <si>
    <t xml:space="preserve">KTN-GO2...Kiểm tra nút nguồn và nút bấm chức năng...Noise Meter......1</t>
  </si>
  <si>
    <t xml:space="preserve">Bắn lazer vỏ</t>
  </si>
  <si>
    <t xml:space="preserve">KTN-GO2...Bắn lazer vỏ...Máy laser......1</t>
  </si>
  <si>
    <t xml:space="preserve">Laser shell</t>
  </si>
  <si>
    <t xml:space="preserve">KTN-GO2...Bắn lazer vỏ...Súng Scan Barcode......1</t>
  </si>
  <si>
    <t xml:space="preserve">KTN-GO2...Packing...Máy tính......2</t>
  </si>
  <si>
    <t xml:space="preserve">KTN-GO2...Packing...Súng Scan Barcode......2</t>
  </si>
  <si>
    <t xml:space="preserve">Kiểm tra chức năng tự kiểm tra PCBA</t>
  </si>
  <si>
    <t xml:space="preserve">D-CUBELX...Kiểm tra chức năng tự kiểm tra PCBA...Bàn đạp FS-5U......2</t>
  </si>
  <si>
    <t xml:space="preserve">Check the PCBA self-test function.</t>
  </si>
  <si>
    <t xml:space="preserve">D-CUBELX...Kiểm tra chức năng tự kiểm tra PCBA...Máy tạo sóng......2</t>
  </si>
  <si>
    <t xml:space="preserve">D-CUBELX...Kiểm tra chức năng tự kiểm tra PCBA...Máy tính......1</t>
  </si>
  <si>
    <t xml:space="preserve">D-CUBELX...Kiểm tra chức năng tự kiểm tra PCBA...Đồng hồ vạn năng......2</t>
  </si>
  <si>
    <t xml:space="preserve">D-CUBELX...Kiểm tra chức năng tự kiểm tra PCBA...Đồng hồ vạn năng dùng cho sản xuất......2</t>
  </si>
  <si>
    <t xml:space="preserve">;16/01/2026 11:37:16: D-CUBELX...Kiểm tra chức năng tự kiểm tra PCBA...Đồng hồ vạn năng dùng cho sản xuất......2</t>
  </si>
  <si>
    <t xml:space="preserve">Bẻ mạch, dán tape, bội keo</t>
  </si>
  <si>
    <t xml:space="preserve">Break the circuit, apply tape, apply glue.</t>
  </si>
  <si>
    <t xml:space="preserve">Dán card visit, lắp tôn, bắt vít, dán xốp</t>
  </si>
  <si>
    <t xml:space="preserve">D-CUBELX...Dán card visit, lắp tôn, bắt vít, dán xốp...Máy dập khí nén......1</t>
  </si>
  <si>
    <t xml:space="preserve">Attaching business cards, installing roofing sheets, screwing in fasteners, applying foam insulation.</t>
  </si>
  <si>
    <t xml:space="preserve">D-CUBELX...Dán card visit, lắp tôn, bắt vít, dán xốp...Súng bắn vít......2</t>
  </si>
  <si>
    <t xml:space="preserve">Cài đặt công tắc, dán keo, cài đặt bảng PCBA và vít</t>
  </si>
  <si>
    <t xml:space="preserve">D-CUBELX...Cài đặt công tắc, dán keo, cài đặt bảng PCBA và vít...Súng bắn vít......2</t>
  </si>
  <si>
    <t xml:space="preserve">Install the switch, apply adhesive, install the PCBA board, and screw it in.</t>
  </si>
  <si>
    <t xml:space="preserve">Lắp các miếng đệm, đai ốc khóa, chèn và kéo dài cáp</t>
  </si>
  <si>
    <t xml:space="preserve">D-CUBELX...Lắp các miếng đệm, đai ốc khóa, chèn và kéo dài cáp...Súng bắn vít......2</t>
  </si>
  <si>
    <t xml:space="preserve">Install the washers, locking nuts, inserts, and extend the cable.</t>
  </si>
  <si>
    <t xml:space="preserve">Công tắc hàn, nút bấm</t>
  </si>
  <si>
    <t xml:space="preserve">D-CUBELX...Công tắc hàn, nút bấm...Máy hàn......1</t>
  </si>
  <si>
    <t xml:space="preserve">Welding switch, push button</t>
  </si>
  <si>
    <t xml:space="preserve">Kiểm tra chức năng (chasiss test)</t>
  </si>
  <si>
    <t xml:space="preserve">D-CUBELX...Kiểm tra chức năng (chasiss test)...Bàn đạp vòng lặp RC-3......1</t>
  </si>
  <si>
    <t xml:space="preserve">Chassis test</t>
  </si>
  <si>
    <t xml:space="preserve">D-CUBELX...Kiểm tra chức năng (chasiss test)...Đồng hồ vạn năng......2</t>
  </si>
  <si>
    <t xml:space="preserve">D-CUBELX...Kiểm tra chức năng (chasiss test)...Đồng hồ vạn năng dùng cho sản xuất......2</t>
  </si>
  <si>
    <t xml:space="preserve">;16/01/2026 11:36:44: D-CUBELX...Kiểm tra chức năng (chasiss test)...Đồng hồ vạn năng dùng cho sản xuất......2</t>
  </si>
  <si>
    <t xml:space="preserve">D-CUBELX...Kiểm tra chức năng (chasiss test)...Bàn đạp FS-5U......2</t>
  </si>
  <si>
    <t xml:space="preserve">D-CUBELX...Kiểm tra chức năng (chasiss test)...Noise Meter......4</t>
  </si>
  <si>
    <t xml:space="preserve">D-CUBELX...Kiểm tra chức năng (chasiss test)...Máy tạo sóng......2</t>
  </si>
  <si>
    <t xml:space="preserve">D-CUBELX...Kiểm tra chức năng (chasiss test)...Máy tính......1</t>
  </si>
  <si>
    <t xml:space="preserve">Bảo vệ góc, vít khóa</t>
  </si>
  <si>
    <t xml:space="preserve">D-CUBELX...Bảo vệ góc, vít khóa...Súng bắn vít......1</t>
  </si>
  <si>
    <t xml:space="preserve">Corner protectors, locking screws</t>
  </si>
  <si>
    <t xml:space="preserve">Gia công ngăn chứa pin (có thể gia công offline)</t>
  </si>
  <si>
    <t xml:space="preserve">D-CUBELX...Gia công ngăn chứa pin (có thể gia công offline)...Máy hàn......1</t>
  </si>
  <si>
    <t xml:space="preserve">Battery compartment machining (can be done offline)</t>
  </si>
  <si>
    <t xml:space="preserve">Ngăn chứa pin, bông cách âm, tay cầm, vít khóa</t>
  </si>
  <si>
    <t xml:space="preserve">D-CUBELX...Ngăn chứa pin, bông cách âm, tay cầm, vít khóa...Súng bắn vít......2</t>
  </si>
  <si>
    <t xml:space="preserve">Battery compartment, soundproofing material, handle, locking screws</t>
  </si>
  <si>
    <t xml:space="preserve">Miếng bọt biển trên cửa pin, cài đặt máy chủ, khóa vít, cài đặt loa, khóa vít</t>
  </si>
  <si>
    <t xml:space="preserve">D-CUBELX...Miếng bọt biển trên cửa pin, cài đặt máy chủ, khóa vít, cài đặt loa, khóa vít...Súng bắn vít......2</t>
  </si>
  <si>
    <t xml:space="preserve">Sponge pad on battery door, server installation, screw lock, speaker installation, screw lock</t>
  </si>
  <si>
    <t xml:space="preserve">Lắp còi, khóa ốc, logo bia BOSS, ốc khóa</t>
  </si>
  <si>
    <t xml:space="preserve">D-CUBELX...Lắp còi, khóa ốc, logo bia BOSS, ốc khóa...Súng bắn vít......2</t>
  </si>
  <si>
    <t xml:space="preserve">Install horn, lock screws, BOSS beer logo, lock screws.</t>
  </si>
  <si>
    <t xml:space="preserve">D-CUBELX...Lắp còi, khóa ốc, logo bia BOSS, ốc khóa...Máy dập khí nén......1</t>
  </si>
  <si>
    <t xml:space="preserve">Kiểm tra chức năng (final test)</t>
  </si>
  <si>
    <t xml:space="preserve">D-CUBELX...Kiểm tra chức năng (final test)...Máy tính......1</t>
  </si>
  <si>
    <t xml:space="preserve">Final test</t>
  </si>
  <si>
    <t xml:space="preserve">D-CUBELX...Kiểm tra chức năng (final test)...Đồng hồ vạn năng......2</t>
  </si>
  <si>
    <t xml:space="preserve">D-CUBELX...Kiểm tra chức năng (final test)...Đồng hồ vạn năng dùng cho sản xuất......2</t>
  </si>
  <si>
    <t xml:space="preserve">;16/01/2026 11:36:49: D-CUBELX...Kiểm tra chức năng (final test)...Đồng hồ vạn năng dùng cho sản xuất......2</t>
  </si>
  <si>
    <t xml:space="preserve">D-CUBELX...Kiểm tra chức năng (final test)...Bàn đạp FS-5U......2</t>
  </si>
  <si>
    <t xml:space="preserve">D-CUBELX...Kiểm tra chức năng (final test)...Bàn đạp vòng lặp RC-3......2</t>
  </si>
  <si>
    <t xml:space="preserve">Kiểm tra chức năng âm thanh (final test 2)</t>
  </si>
  <si>
    <t xml:space="preserve">D-CUBELX...Kiểm tra chức năng âm thanh (final test 2)...Loa CM-30......2</t>
  </si>
  <si>
    <t xml:space="preserve">Audio function test (final test 2)</t>
  </si>
  <si>
    <t xml:space="preserve">D-CUBELX...Kiểm tra chức năng âm thanh (final test 2)...Tai nghe có mic......1</t>
  </si>
  <si>
    <t xml:space="preserve">Kiểm tra chức năng (final 3)</t>
  </si>
  <si>
    <t xml:space="preserve">D-CUBELX...Kiểm tra chức năng (final 3)...Máy hiện sóng......3</t>
  </si>
  <si>
    <t xml:space="preserve">Functional testing (final 3)</t>
  </si>
  <si>
    <t xml:space="preserve">D-CUBELX...Kiểm tra chức năng (final 3)...Bàn đạp vòng lặp RC-3......1</t>
  </si>
  <si>
    <t xml:space="preserve">D-CUBELX...Packing...Máy tính......2</t>
  </si>
  <si>
    <t xml:space="preserve">D-CUBELX...Packing...Súng Scan Barcode......2</t>
  </si>
  <si>
    <t xml:space="preserve">DCB-LX</t>
  </si>
  <si>
    <t xml:space="preserve">DCB-LX...Kiểm tra chức năng tự kiểm tra PCBA...Bàn đạp FS-5U......2</t>
  </si>
  <si>
    <t xml:space="preserve">DCB-LX...Kiểm tra chức năng tự kiểm tra PCBA...Đồng hồ vạn năng......2</t>
  </si>
  <si>
    <t xml:space="preserve">DCB-LX...Kiểm tra chức năng tự kiểm tra PCBA...Đồng hồ vạn năng dùng cho sản xuất......2</t>
  </si>
  <si>
    <t xml:space="preserve">;16/01/2026 11:37:19: DCB-LX...Kiểm tra chức năng tự kiểm tra PCBA...Đồng hồ vạn năng dùng cho sản xuất......2</t>
  </si>
  <si>
    <t xml:space="preserve">Dán card visit, lắp tôn, bắt vít, lắp công tắc</t>
  </si>
  <si>
    <t xml:space="preserve">Attaching business cards, installing roofing sheets, tightening screws, installing switches.</t>
  </si>
  <si>
    <t xml:space="preserve">DCB-LX...Dán card visit, lắp tôn, bắt vít, lắp công tắc...Súng bắn vít to......1</t>
  </si>
  <si>
    <t xml:space="preserve">DCB-LX...Dán card visit, lắp tôn, bắt vít, lắp công tắc...Súng bắn vít......1</t>
  </si>
  <si>
    <t xml:space="preserve">;05/11/2025 06:52:27: DCB-LX...Dán card visit, lắp tôn, bắt vít, lắp công tắc...Súng bắn vít......1</t>
  </si>
  <si>
    <t xml:space="preserve">Cài đặt bảng mạch PCBA và vít</t>
  </si>
  <si>
    <t xml:space="preserve">DCB-LX...Cài đặt bảng mạch PCBA và vít...Súng bắn vít to......3</t>
  </si>
  <si>
    <t xml:space="preserve">DCB-LX...Cài đặt bảng mạch PCBA và vít...Súng bắn vít......3</t>
  </si>
  <si>
    <t xml:space="preserve">;05/11/2025 06:51:09: DCB-LX...Cài đặt bảng mạch PCBA và vít...Súng bắn vít......3</t>
  </si>
  <si>
    <t xml:space="preserve">Install the PCBA circuit board and screws.</t>
  </si>
  <si>
    <t xml:space="preserve">Hàn công tắc</t>
  </si>
  <si>
    <t xml:space="preserve">Solder the switch</t>
  </si>
  <si>
    <t xml:space="preserve">DCB-LX...Kiểm tra chức năng (chasiss test)...Đồng hồ vạn năng......2</t>
  </si>
  <si>
    <t xml:space="preserve">DCB-LX...Kiểm tra chức năng (chasiss test)...Đồng hồ vạn năng dùng cho sản xuất......2</t>
  </si>
  <si>
    <t xml:space="preserve">;16/01/2026 11:36:46: DCB-LX...Kiểm tra chức năng (chasiss test)...Đồng hồ vạn năng dùng cho sản xuất......2</t>
  </si>
  <si>
    <t xml:space="preserve">DCB-LX...Kiểm tra chức năng (chasiss test)...Bàn đạp giả (EV-5 + FS-5U )......6</t>
  </si>
  <si>
    <t xml:space="preserve">DCB-LX...Kiểm tra chức năng (chasiss test)...Noise Meter......4</t>
  </si>
  <si>
    <t xml:space="preserve">Ốp góc, siết vít</t>
  </si>
  <si>
    <t xml:space="preserve">DCB-LX...Ốp góc, siết vít...Súng bắn vít to......2</t>
  </si>
  <si>
    <t xml:space="preserve">DCB-LX...Ốp góc, siết vít...Súng bắn vít......2</t>
  </si>
  <si>
    <t xml:space="preserve">;06/11/2025 09:27:43: DCB-LX...Ốp góc, siết vít...Súng bắn vít......2</t>
  </si>
  <si>
    <t xml:space="preserve">Corner protectors, tighten screws.</t>
  </si>
  <si>
    <t xml:space="preserve">DCB-LX...Gia công ngăn chứa pin (có thể gia công offline)...Súng bắn vít......1</t>
  </si>
  <si>
    <t xml:space="preserve">DCB-LX...Gia công ngăn chứa pin (có thể gia công offline)...Súng bắn vít......2</t>
  </si>
  <si>
    <t xml:space="preserve">;05/11/2025 07:05:02: DCB-LX...Gia công ngăn chứa pin (có thể gia công offline)...Súng bắn vít......1;14/11/2025 14:00:25: DCB-LX...Gia công ngăn chứa pin (có thể gia công offline)...Súng bắn vít......2</t>
  </si>
  <si>
    <t xml:space="preserve">Lắp tay nắm, bắt ốc khóa, lắp khay pin, khóa ốc, lắp bông cách âm</t>
  </si>
  <si>
    <t xml:space="preserve">DCB-LX...Lắp tay nắm, bắt ốc khóa, lắp khay pin, khóa ốc, lắp bông cách âm...Súng bắn vít to......1</t>
  </si>
  <si>
    <t xml:space="preserve">DCB-LX...Lắp tay nắm, bắt ốc khóa, lắp khay pin, khóa ốc, lắp bông cách âm...Súng bắn vít......1</t>
  </si>
  <si>
    <t xml:space="preserve">;06/11/2025 09:27:10: DCB-LX...Lắp tay nắm, bắt ốc khóa, lắp khay pin, khóa ốc, lắp bông cách âm...Súng bắn vít......1</t>
  </si>
  <si>
    <t xml:space="preserve">Install the handle, tighten the lock screws, install the battery tray, tighten the screws, and install the sound insulation.</t>
  </si>
  <si>
    <t xml:space="preserve">Lắp loa, khóa vít, bố trí cáp, buộc cáp, khóa vít chủ</t>
  </si>
  <si>
    <t xml:space="preserve">DCB-LX...Lắp loa, khóa vít, bố trí cáp, buộc cáp, khóa vít chủ...Súng bắn vít......2</t>
  </si>
  <si>
    <t xml:space="preserve">DCB-LX...Lắp loa, khóa vít, bố trí cáp, buộc cáp, khóa vít chủ...Súng bắn vít......4</t>
  </si>
  <si>
    <t xml:space="preserve">;06/11/2025 09:23:37: DCB-LX...Lắp loa, khóa vít, bố trí cáp, buộc cáp, khóa vít chủ...Súng bắn vít......2;14/11/2025 14:00:10: DCB-LX...Lắp loa, khóa vít, bố trí cáp, buộc cáp, khóa vít chủ...Súng bắn vít......4</t>
  </si>
  <si>
    <t xml:space="preserve">Install speakers, lock screws, arrange cables, tie cables, lock main screws.</t>
  </si>
  <si>
    <t xml:space="preserve">Miếng xốp dán cửa pin, logo  BOSS, siết vít</t>
  </si>
  <si>
    <t xml:space="preserve">DCB-LX...Miếng xốp dán cửa pin, logo  BOSS, siết vít...Súng bắn vít to......1</t>
  </si>
  <si>
    <t xml:space="preserve">DCB-LX...Miếng xốp dán cửa pin, logo  BOSS, siết vít...Súng bắn vít......1</t>
  </si>
  <si>
    <t xml:space="preserve">;06/11/2025 09:27:50: DCB-LX...Miếng xốp dán cửa pin, logo  BOSS, siết vít...Súng bắn vít......1</t>
  </si>
  <si>
    <t xml:space="preserve">Foam door sticker for battery, BOSS logo, screw fasteners.</t>
  </si>
  <si>
    <t xml:space="preserve">DCB-LX...Miếng xốp dán cửa pin, logo  BOSS, siết vít...Máy dập khí nén......1</t>
  </si>
  <si>
    <t xml:space="preserve">DCB-LX...Miếng xốp dán cửa pin, logo  BOSS, siết vít...Máy dập khí nén......2</t>
  </si>
  <si>
    <t xml:space="preserve">;14/11/2025 14:02:44: DCB-LX...Miếng xốp dán cửa pin, logo  BOSS, siết vít...Máy dập khí nén......2</t>
  </si>
  <si>
    <t xml:space="preserve">DCB-LX...Kiểm tra chức năng (final test)...Đồng hồ vạn năng......2</t>
  </si>
  <si>
    <t xml:space="preserve">DCB-LX...Kiểm tra chức năng (final test)...Đồng hồ vạn năng dùng cho sản xuất......2</t>
  </si>
  <si>
    <t xml:space="preserve">;16/01/2026 11:36:51: DCB-LX...Kiểm tra chức năng (final test)...Đồng hồ vạn năng dùng cho sản xuất......2</t>
  </si>
  <si>
    <t xml:space="preserve">DCB-LX...Kiểm tra chức năng (final test)...Bàn đạp FS-5U......2</t>
  </si>
  <si>
    <t xml:space="preserve">DCB-LX...Kiểm tra chức năng (final test)...Bàn đạp vòng lặp RC-3......1</t>
  </si>
  <si>
    <t xml:space="preserve">DCB-LX...Kiểm tra chức năng âm thanh (final test 2)...Loa CM-30......2</t>
  </si>
  <si>
    <t xml:space="preserve">DCB-LX...Kiểm tra chức năng (final 3)...Bàn đạp vòng lặp RC-3......1</t>
  </si>
  <si>
    <t xml:space="preserve">Kiểm tra chức năng tự test (BTP)</t>
  </si>
  <si>
    <t xml:space="preserve">KTN-AIR...Kiểm tra chức năng tự test (BTP)...Iphone......2</t>
  </si>
  <si>
    <t xml:space="preserve">Test the Self-Testing Function (BTP).</t>
  </si>
  <si>
    <t xml:space="preserve">KTN-AIR...Dán nhãn dán, cho pk vào túi nhựa và đặt máy chủ vào túi...Máy tính......1</t>
  </si>
  <si>
    <t xml:space="preserve">;24/10/2025 10:55:07: KTN-AIR...Dán nhãn dán, cho pk vào túi nhựa và đặt máy chủ vào túi...Máy tính......1;05/01/2026 16:09:26: ............0</t>
  </si>
  <si>
    <t xml:space="preserve">KTN-AIR...Kiểm tra chức năng tự test (BTP)...Đồng hồ vạn năng......2</t>
  </si>
  <si>
    <t xml:space="preserve">KTN-AIR...Kiểm tra chức năng tự test (BTP)...Đồng hồ vạn năng dùng cho sản xuất......2</t>
  </si>
  <si>
    <t xml:space="preserve">;16/01/2026 11:37:21: KTN-AIR...Kiểm tra chức năng tự test (BTP)...Đồng hồ vạn năng dùng cho sản xuất......2</t>
  </si>
  <si>
    <t xml:space="preserve">Kiểm tra chức năng ( Final 2)</t>
  </si>
  <si>
    <t xml:space="preserve">KTN-AIR...Kiểm tra chức năng ( Final 2)...Loa CM-30......2</t>
  </si>
  <si>
    <t xml:space="preserve">Functional testing (Final 2)</t>
  </si>
  <si>
    <t xml:space="preserve">KTN-AIR...Kiểm tra chức năng tự test (BTP)...Noise Meter......2</t>
  </si>
  <si>
    <t xml:space="preserve">KTN-AIR...Kiểm tra chức năng tự test (BTP)...Máy hiện sóng......2</t>
  </si>
  <si>
    <t xml:space="preserve">Gia công lưới loa Hotstamping</t>
  </si>
  <si>
    <t xml:space="preserve">KTN-AIR...Gia công lưới loa Hotstamping...Máy dập hot stamping......1</t>
  </si>
  <si>
    <t xml:space="preserve">Hotstamping speaker grille fabrication</t>
  </si>
  <si>
    <t xml:space="preserve">Lắp lò xo, siết bắt mạch nhỏ, dán EVA, lắp chân caosu</t>
  </si>
  <si>
    <t xml:space="preserve">KTN-AIR...Lắp lò xo, siết bắt mạch nhỏ, dán EVA, lắp chân caosu...Máy hút khói di động......1</t>
  </si>
  <si>
    <t xml:space="preserve">Install the springs, tighten the small circuits, apply EVA material, and attach the rubber feet.</t>
  </si>
  <si>
    <t xml:space="preserve">Kiểm tra chức năng ( Final 1)</t>
  </si>
  <si>
    <t xml:space="preserve">KTN-AIR...Kiểm tra chức năng ( Final 1)...Đồng hồ vạn năng......1</t>
  </si>
  <si>
    <t xml:space="preserve">KTN-AIR...Kiểm tra chức năng ( Final 1)...Đồng hồ vạn năng dùng cho sản xuất......1</t>
  </si>
  <si>
    <t xml:space="preserve">;16/01/2026 11:36:39: KTN-AIR...Kiểm tra chức năng ( Final 1)...Đồng hồ vạn năng dùng cho sản xuất......1</t>
  </si>
  <si>
    <t xml:space="preserve">Functionality Test (Final 1)</t>
  </si>
  <si>
    <t xml:space="preserve">KTN-AIR...Kiểm tra chức năng ( Final 2)...Iphone......1</t>
  </si>
  <si>
    <t xml:space="preserve">KTN-AIR...Kiểm tra chức năng ( Final 2)...Noise Meter......2</t>
  </si>
  <si>
    <t xml:space="preserve">KTN-AIR...Kiểm tra chức năng ( Final 2)...Máy hiện sóng......1</t>
  </si>
  <si>
    <t xml:space="preserve">Đóng gói thẻ, niêm phong hộp</t>
  </si>
  <si>
    <t xml:space="preserve">KTN-AIR...Đóng gói thẻ, niêm phong hộp...Máy tính......1</t>
  </si>
  <si>
    <t xml:space="preserve">Pack the cards, seal the box.</t>
  </si>
  <si>
    <t xml:space="preserve">1 (1 of 3 )</t>
  </si>
  <si>
    <t xml:space="preserve">VE-500...1 (1 of 3 )...Súng bắn vít......5</t>
  </si>
  <si>
    <t xml:space="preserve">1 (1 of 3)</t>
  </si>
  <si>
    <t xml:space="preserve">1 (2 of 3 )</t>
  </si>
  <si>
    <t xml:space="preserve">VE-500...1 (2 of 3 )...Súng bắn vít......1</t>
  </si>
  <si>
    <t xml:space="preserve">1 (2 of 3)</t>
  </si>
  <si>
    <t xml:space="preserve">3 ( 2 of 3 )</t>
  </si>
  <si>
    <t xml:space="preserve">VE-500...3 ( 2 of 3 )...Súng bắn vít......1</t>
  </si>
  <si>
    <t xml:space="preserve">3 (2 of 3)</t>
  </si>
  <si>
    <t xml:space="preserve">Test final</t>
  </si>
  <si>
    <t xml:space="preserve">VE-500...Test final...Loa CM-30......2</t>
  </si>
  <si>
    <t xml:space="preserve">VE-500...Test final...Noise Meter......1</t>
  </si>
  <si>
    <t xml:space="preserve">VE-500...Test final...Máy tính......1</t>
  </si>
  <si>
    <t xml:space="preserve">VE-500...Packing...Máy tính......2</t>
  </si>
  <si>
    <t xml:space="preserve">VE-500...Packing...Súng Scan Barcode......2</t>
  </si>
  <si>
    <t xml:space="preserve">GA-FC©...Packing...Máy tính......2</t>
  </si>
  <si>
    <t xml:space="preserve">Dán label, bọc vỏ nilon, gấp vỏ hộp</t>
  </si>
  <si>
    <t xml:space="preserve">GA-FC EX...Dán label, bọc vỏ nilon, gấp vỏ hộp...Máy tính......1</t>
  </si>
  <si>
    <t xml:space="preserve">Attach labels, wrap in plastic, fold the box.</t>
  </si>
  <si>
    <t xml:space="preserve">Dập chữ BOSS, lắp nắp trước, siết vít, dán bọt biển</t>
  </si>
  <si>
    <t xml:space="preserve">CUBE-ST2...Dập chữ BOSS, lắp nắp trước, siết vít, dán bọt biển...Máy dập khí nén......1</t>
  </si>
  <si>
    <t xml:space="preserve">CUBE-ST2...Dập chữ BOSS, lắp nắp trước, siết vít, dán bọt biển...Máy dập khí nén......2</t>
  </si>
  <si>
    <t xml:space="preserve">;05/01/2026 09:42:53: CUBE-ST2...Dập chữ BOSS, lắp nắp trước, siết vít, dán bọt biển...Máy dập khí nén......2</t>
  </si>
  <si>
    <t xml:space="preserve">Stamp the word BOSS, install the front cover, tighten the screws, and apply the foam seal.</t>
  </si>
  <si>
    <t xml:space="preserve">Lắp tấm sắt chữ L, dán giấy bạc, siết vít PCBA</t>
  </si>
  <si>
    <t xml:space="preserve">CUBE-ST2...Lắp tấm sắt chữ L, dán giấy bạc, siết vít PCBA...Súng bắn vít......1</t>
  </si>
  <si>
    <t xml:space="preserve">Install the L-shaped metal plate, apply aluminum foil, and tighten the PCBA screws.</t>
  </si>
  <si>
    <t xml:space="preserve">Siết vít, siết đai ốc, lắp đệm caosu, dán bọt biển</t>
  </si>
  <si>
    <t xml:space="preserve">CUBE-ST2...Siết vít, siết đai ốc, lắp đệm caosu, dán bọt biển...Súng bắn vít......4</t>
  </si>
  <si>
    <t xml:space="preserve">Tighten screws, tighten nuts, install rubber gaskets, and apply foam.</t>
  </si>
  <si>
    <t xml:space="preserve">Siết đai ốc, đi dây cáp, buộc nạt thít, dán bọt biển</t>
  </si>
  <si>
    <t xml:space="preserve">CUBE-ST2...Siết đai ốc, đi dây cáp, buộc nạt thít, dán bọt biển...Súng bắn vít......1</t>
  </si>
  <si>
    <t xml:space="preserve">Tighten nuts, lay cables, tie fasteners, apply foam.</t>
  </si>
  <si>
    <t xml:space="preserve">Hàn công tắc, lắp chao đèn, dán nhãn, lắp VR</t>
  </si>
  <si>
    <t xml:space="preserve">CUBE-ST2...Hàn công tắc, lắp chao đèn, dán nhãn, lắp VR...Máy hàn......1</t>
  </si>
  <si>
    <t xml:space="preserve">Solder the switch, install the lampshade, apply the label, and install the VR.</t>
  </si>
  <si>
    <t xml:space="preserve">Chassis</t>
  </si>
  <si>
    <t xml:space="preserve">CUBE-ST2...Chassis...Máy tính......2</t>
  </si>
  <si>
    <t xml:space="preserve">assembly</t>
  </si>
  <si>
    <t xml:space="preserve">CUBE-ST2...Chassis...Máy hiện sóng......2</t>
  </si>
  <si>
    <t xml:space="preserve">SP-83-Dây 3.5 to BNC</t>
  </si>
  <si>
    <t xml:space="preserve">CUBE-ST2...Chassis...Máy tạo sóng...SP-83-Dây 3.5 to BNC...2</t>
  </si>
  <si>
    <t xml:space="preserve">CUBE-ST2...Chassis...Bàn đạp FS-5U......6</t>
  </si>
  <si>
    <t xml:space="preserve">Lắp đế caosu, siết vít, lắp tay cầm, siết vít, dán bọt biển</t>
  </si>
  <si>
    <t xml:space="preserve">CUBE-ST2...Lắp đế caosu, siết vít, lắp tay cầm, siết vít, dán bọt biển...Súng bắn vít......2</t>
  </si>
  <si>
    <t xml:space="preserve">Install the rubber base, tighten the screws, install the handle, tighten the screws, and attach the foam.</t>
  </si>
  <si>
    <t xml:space="preserve">Lắp lò xo, lắp mạch Terminal, siết vít, dán bọt biển</t>
  </si>
  <si>
    <t xml:space="preserve">CUBE-ST2...Lắp lò xo, lắp mạch Terminal, siết vít, dán bọt biển...Máy hàn......1</t>
  </si>
  <si>
    <t xml:space="preserve">Install the springs, install the terminal circuit, tighten the screws, and apply the foam.</t>
  </si>
  <si>
    <t xml:space="preserve">CUBE-ST2...Lắp lò xo, lắp mạch Terminal, siết vít, dán bọt biển...Súng bắn vít......1</t>
  </si>
  <si>
    <t xml:space="preserve">Nhỏ keo trắng, lắp bông, cắm dây cáp, lắp sản phẩm vào đáy vỏ, siết vít</t>
  </si>
  <si>
    <t xml:space="preserve">CUBE-ST2...Nhỏ keo trắng, lắp bông, cắm dây cáp, lắp sản phẩm vào đáy vỏ, siết vít...Súng bắn vít......2</t>
  </si>
  <si>
    <t xml:space="preserve">Apply white glue, insert the cotton, connect the cable, install the product into the bottom of the casing, and tighten the screws.</t>
  </si>
  <si>
    <t xml:space="preserve">CUBE-ST2...Dập chữ BOSS, lắp nắp trước, siết vít, dán bọt biển...Máy dập hot stamping......2</t>
  </si>
  <si>
    <t xml:space="preserve">CUBE-ST2...Dập chữ BOSS, lắp nắp trước, siết vít, dán bọt biển...Súng bắn vít......1</t>
  </si>
  <si>
    <t xml:space="preserve">Lắp loa, siết vít, lắp lưới loa, siết viets, dán Logo</t>
  </si>
  <si>
    <t xml:space="preserve">CUBE-ST2...Lắp loa, siết vít, lắp lưới loa, siết viets, dán Logo...Súng bắn vít......1</t>
  </si>
  <si>
    <t xml:space="preserve">Install the speaker, tighten the screws, install the speaker grille, tighten the screws, and attach the logo.</t>
  </si>
  <si>
    <t xml:space="preserve">CUBE-ST2...Final test 1.........2</t>
  </si>
  <si>
    <t xml:space="preserve">;20/10/2025 15:15:43: CUBE-ST2...Final test 1.........2;14/01/2026 10:25:15: ............0</t>
  </si>
  <si>
    <t xml:space="preserve">CUBE-ST2...Chassis...Đồng hồ vạn năng......2</t>
  </si>
  <si>
    <t xml:space="preserve">CUBE-ST2...Chassis...Đồng hồ vạn năng dùng cho sản xuất......2</t>
  </si>
  <si>
    <t xml:space="preserve">;16/01/2026 11:36:18: CUBE-ST2...Chassis...Đồng hồ vạn năng dùng cho sản xuất......2</t>
  </si>
  <si>
    <t xml:space="preserve">Final inspection</t>
  </si>
  <si>
    <t xml:space="preserve">CUBE-ST2...Final inspection...Bàn đạp vòng lặp RC-3......1</t>
  </si>
  <si>
    <t xml:space="preserve">double inspection</t>
  </si>
  <si>
    <t xml:space="preserve">CUBE-ST2...Final inspection...Loa CM-30......3</t>
  </si>
  <si>
    <t xml:space="preserve">Final test 3 (Phòng Noise)</t>
  </si>
  <si>
    <t xml:space="preserve">CUBE-ST2...Final test 3 (Phòng Noise)...Máy hiện sóng......1</t>
  </si>
  <si>
    <t xml:space="preserve">Final test 3 (Noise Room)</t>
  </si>
  <si>
    <t xml:space="preserve">CUBE-ST2...Final test 3 (Phòng Noise)...Iphone......1</t>
  </si>
  <si>
    <t xml:space="preserve">CUBE-ST2...Final test 3 (Phòng Noise)...Bàn đạp vòng lặp RC-3......1</t>
  </si>
  <si>
    <t xml:space="preserve">CUBE-ST2...Packing...Máy tính......2</t>
  </si>
  <si>
    <t xml:space="preserve">CUBE-ST2...Packing...Súng Scan Barcode......2</t>
  </si>
  <si>
    <t xml:space="preserve">GT-1</t>
  </si>
  <si>
    <t xml:space="preserve">Kiểm tra chức năng PCBA</t>
  </si>
  <si>
    <t xml:space="preserve">GT-1...Kiểm tra chức năng PCBA...Đồng hồ vạn năng......2</t>
  </si>
  <si>
    <t xml:space="preserve">GT-1...Kiểm tra chức năng PCBA...Đồng hồ vạn năng dùng cho sản xuất......2</t>
  </si>
  <si>
    <t xml:space="preserve">;16/01/2026 11:37:10: GT-1...Kiểm tra chức năng PCBA...Đồng hồ vạn năng dùng cho sản xuất......2</t>
  </si>
  <si>
    <t xml:space="preserve">PCBA functionality testing</t>
  </si>
  <si>
    <t xml:space="preserve">Lắp đặt các thành phần bàn đạp, vít khóa và xử lý nút nhựa</t>
  </si>
  <si>
    <t xml:space="preserve">GT-1...Lắp đặt các thành phần bàn đạp, vít khóa và xử lý nút nhựa...Máy dập khí nén......1</t>
  </si>
  <si>
    <t xml:space="preserve">Install the pedal components, lock screws, and handle the plastic knobs.</t>
  </si>
  <si>
    <t xml:space="preserve">Dập lò xo tiếp xúc pin, hàn dây pin</t>
  </si>
  <si>
    <t xml:space="preserve">GT-1...Dập lò xo tiếp xúc pin, hàn dây pin...Máy dập khí nén......1</t>
  </si>
  <si>
    <t xml:space="preserve">Press the battery contact springs, solder the battery wires.</t>
  </si>
  <si>
    <t xml:space="preserve">Cài đặt khóa VR, cài đặt các bộ  phận nhựa lõm, quản lý cáp</t>
  </si>
  <si>
    <t xml:space="preserve">GX-1...Cài đặt khóa VR, cài đặt các bộ  phận nhựa lõm, quản lý cáp...Máy bơm keo......1</t>
  </si>
  <si>
    <t xml:space="preserve">Install VR lock, install recessed plastic parts, manage cables.</t>
  </si>
  <si>
    <t xml:space="preserve">Bắn vít cố định hai mặt TOP và mặt BOT</t>
  </si>
  <si>
    <t xml:space="preserve">GX-1...Bắn vít cố định hai mặt TOP và mặt BOT...Súng bắn vít......1</t>
  </si>
  <si>
    <t xml:space="preserve">Secure the TOP and BOT surfaces with screws.</t>
  </si>
  <si>
    <t xml:space="preserve">Lắp bàn đạp và cố định</t>
  </si>
  <si>
    <t xml:space="preserve">GX-1...Lắp bàn đạp và cố định...Súng bắn vít......1</t>
  </si>
  <si>
    <t xml:space="preserve">Install the pedals and secure them in place.</t>
  </si>
  <si>
    <t xml:space="preserve">Kiểm tra chức năng máy chủ 1</t>
  </si>
  <si>
    <t xml:space="preserve">GT-1...Kiểm tra chức năng máy chủ 1...Đồng hồ vạn năng......1</t>
  </si>
  <si>
    <t xml:space="preserve">GT-1...Kiểm tra chức năng máy chủ 1...Đồng hồ vạn năng dùng cho sản xuất......1</t>
  </si>
  <si>
    <t xml:space="preserve">;16/01/2026 11:37:08: GT-1...Kiểm tra chức năng máy chủ 1...Đồng hồ vạn năng dùng cho sản xuất......1</t>
  </si>
  <si>
    <t xml:space="preserve">Test server functionality 1</t>
  </si>
  <si>
    <t xml:space="preserve">GO-88PX...Dán tape...Súng bắn vít......1</t>
  </si>
  <si>
    <t xml:space="preserve">;28/10/2025 09:19:28: GO-88PX...Dán tape...Súng Bắn vít to......1;05/11/2025 06:52:44: GO-88PX...Dán tape...Súng bắn vít......1;13/01/2026 13:35:54: ............0</t>
  </si>
  <si>
    <t xml:space="preserve">Hàn loa</t>
  </si>
  <si>
    <t xml:space="preserve">GO-88PX...Hàn loa...Máy hàn......1</t>
  </si>
  <si>
    <t xml:space="preserve">Speaker welding</t>
  </si>
  <si>
    <t xml:space="preserve">GO-88PX...Lắp nút...Súng bắn vít......1</t>
  </si>
  <si>
    <t xml:space="preserve">;06/11/2025 09:24:34: GO-88PX...Lắp nút...Súng bắn vít......1;13/01/2026 13:36:21: ............0</t>
  </si>
  <si>
    <t xml:space="preserve">Lắp chân đế và lắp pin</t>
  </si>
  <si>
    <t xml:space="preserve">GO-88PX...Lắp chân đế và lắp pin...Súng bắn vít......1</t>
  </si>
  <si>
    <t xml:space="preserve">Attach the base and install the battery.</t>
  </si>
  <si>
    <t xml:space="preserve">Test Final 1</t>
  </si>
  <si>
    <t xml:space="preserve">GO-88PX...Test Final 1...Máy tính......1</t>
  </si>
  <si>
    <t xml:space="preserve">GO-88PX...Test Final 1...Iphone......1</t>
  </si>
  <si>
    <t xml:space="preserve">GO-88PX...Test Final 1...Bàn đạp giả (EV-5 + FS-5U )......1</t>
  </si>
  <si>
    <t xml:space="preserve">GO-88PX...Test Final 1...Máy hiện sóng......1</t>
  </si>
  <si>
    <t xml:space="preserve">GO-88PX...Test final 2...Đồng hồ vạn năng dùng cho sản xuất......1</t>
  </si>
  <si>
    <t xml:space="preserve">;16/01/2026 11:37:42: GO-88PX...Test final 2...Đồng hồ vạn năng dùng cho sản xuất......1;06/02/2026 14:10:31: ............0</t>
  </si>
  <si>
    <t xml:space="preserve">Final 3</t>
  </si>
  <si>
    <t xml:space="preserve">GO-88PX...Final 3...Máy tính......1</t>
  </si>
  <si>
    <t xml:space="preserve">GO-88PX...Final 3...Loa CM-30......2</t>
  </si>
  <si>
    <t xml:space="preserve">GO-88PX...Final 3...Noise Meter......1</t>
  </si>
  <si>
    <t xml:space="preserve">Đóng gói sản phẩm</t>
  </si>
  <si>
    <t xml:space="preserve">GO-88PX...Đóng gói sản phẩm...Máy tính......1</t>
  </si>
  <si>
    <t xml:space="preserve">Product packaging</t>
  </si>
  <si>
    <t xml:space="preserve">GO-88PX...Packing...Súng Scan Barcode......2</t>
  </si>
  <si>
    <t xml:space="preserve">MSK-3 GOKEYS...Kiểm tra lực phím...Máy tính......1</t>
  </si>
  <si>
    <t xml:space="preserve">;02/01/2026 16:58:26: ............0</t>
  </si>
  <si>
    <t xml:space="preserve">GOKEYS3...Hàn loa...Máy hàn......1</t>
  </si>
  <si>
    <t xml:space="preserve">Lắp màn hình</t>
  </si>
  <si>
    <t xml:space="preserve">GOKEYS3...Lắp màn hình...Súng bắn vít......2</t>
  </si>
  <si>
    <t xml:space="preserve">Install the monitor.</t>
  </si>
  <si>
    <t xml:space="preserve">Lắp mạch panel</t>
  </si>
  <si>
    <t xml:space="preserve">GOKEYS3...Lắp mạch panel...Súng bắn vít......1</t>
  </si>
  <si>
    <t xml:space="preserve">Install the circuit board.</t>
  </si>
  <si>
    <t xml:space="preserve">Lắp thanh đỡ PCBA</t>
  </si>
  <si>
    <t xml:space="preserve">GOKEYS3...Lắp thanh đỡ PCBA...Súng bắn vít......1</t>
  </si>
  <si>
    <t xml:space="preserve">Install the PCBA support bracket.</t>
  </si>
  <si>
    <t xml:space="preserve">Lắp thanh sắt giữ giá đỡ</t>
  </si>
  <si>
    <t xml:space="preserve">GOKEYS3...Lắp thanh sắt giữ giá đỡ...Súng bắn vít......1</t>
  </si>
  <si>
    <t xml:space="preserve">Install the metal support bars.</t>
  </si>
  <si>
    <t xml:space="preserve">Đi dây và cố định loa bên phải</t>
  </si>
  <si>
    <t xml:space="preserve">GOKEYS3...Đi dây và cố định loa bên phải...Súng bắn vít......1</t>
  </si>
  <si>
    <t xml:space="preserve">Wire and secure the right speaker.</t>
  </si>
  <si>
    <t xml:space="preserve">Bắn ốc PCBA</t>
  </si>
  <si>
    <t xml:space="preserve">GOKEYS3...Bắn ốc PCBA...Súng bắn vít......2</t>
  </si>
  <si>
    <t xml:space="preserve">PCBA screw fastening</t>
  </si>
  <si>
    <t xml:space="preserve">Lắp chân đế</t>
  </si>
  <si>
    <t xml:space="preserve">GOKEYS3...Lắp chân đế...Súng bắn vít......1</t>
  </si>
  <si>
    <t xml:space="preserve">Install the base</t>
  </si>
  <si>
    <t xml:space="preserve">GOKEYS3...Test Final 1...Máy hiện sóng......1</t>
  </si>
  <si>
    <t xml:space="preserve">GOKEYS3...Test Final 1...Bàn đạp FS-5U......1</t>
  </si>
  <si>
    <t xml:space="preserve">GOKEYS3...Test Final 1...Iphone......1</t>
  </si>
  <si>
    <t xml:space="preserve">Test Final 2</t>
  </si>
  <si>
    <t xml:space="preserve">GOKEYS3...Test Final 2...USB Memory......1</t>
  </si>
  <si>
    <t xml:space="preserve">GOKEYS3...Test Final 2...Loa CM-30......1</t>
  </si>
  <si>
    <t xml:space="preserve">Test Final 3</t>
  </si>
  <si>
    <t xml:space="preserve">GOKEYS3...Test Final 3...Noise Meter......1</t>
  </si>
  <si>
    <t xml:space="preserve">GOKEYS3...Test Final 3...Loa CM-30......2</t>
  </si>
  <si>
    <t xml:space="preserve">Test Noise</t>
  </si>
  <si>
    <t xml:space="preserve">GOKEYS3...Test Noise...USB Memory......1</t>
  </si>
  <si>
    <t xml:space="preserve">Kiểm tra ngoại quan</t>
  </si>
  <si>
    <t xml:space="preserve">GOKEYS3...Kiểm tra ngoại quan...Máy tính......1</t>
  </si>
  <si>
    <t xml:space="preserve">External quality inspection</t>
  </si>
  <si>
    <t xml:space="preserve">GOKEYS3...Kiểm tra ngoại quan...Súng Scan Barcode......1</t>
  </si>
  <si>
    <t xml:space="preserve">GOKEYS3...Packing...Máy tính......2</t>
  </si>
  <si>
    <t xml:space="preserve">GOKEYS3...Packing...Súng Scan Barcode......2</t>
  </si>
  <si>
    <t xml:space="preserve">TEST FINAL 3</t>
  </si>
  <si>
    <t xml:space="preserve">GOKEYS5...TEST FINAL 3...Máy tính......1</t>
  </si>
  <si>
    <t xml:space="preserve">GOKEYS5...Packing...Máy tính......2</t>
  </si>
  <si>
    <t xml:space="preserve">ST100...Gia công dây đầu dò nhiệt...Máy hàn......1</t>
  </si>
  <si>
    <t xml:space="preserve">;25/02/2026 16:49:18: ............0</t>
  </si>
  <si>
    <t xml:space="preserve">ST100...Gia công dây đầu dò nhiệt , hàn điện trở cảm biến nhiệt vào dây đầu dò nhiệt...Máy hàn......1</t>
  </si>
  <si>
    <t xml:space="preserve">;25/02/2026 16:49:20: ............0</t>
  </si>
  <si>
    <t xml:space="preserve">ST100...Test dây cảm biến BTP và ống co...Trạm khò......1</t>
  </si>
  <si>
    <t xml:space="preserve">;31/10/2025 09:28:23: ST100...Test dây cảm biến BTP và ống co...Trạm khò......1;25/02/2026 16:49:27: ............0</t>
  </si>
  <si>
    <t xml:space="preserve">ST100...Test dây cảm biến BTP và ống co...Hộp tạo nhiệt độ lạnh......1</t>
  </si>
  <si>
    <t xml:space="preserve">;06/11/2025 16:28:18: ST100...Test dây cảm biến BTP và ống co...Hộp tạo nhiệt độ lạnh......1;25/02/2026 16:49:07: ............0</t>
  </si>
  <si>
    <t xml:space="preserve">ST100...Sấy ống co nhiệt...Trạm khò......1</t>
  </si>
  <si>
    <t xml:space="preserve">;31/10/2025 09:28:17: ST100...Sấy ống co nhiệt...Trạm khò......1;25/02/2026 16:49:29: ............0</t>
  </si>
  <si>
    <t xml:space="preserve">ST100...Sấy ống co nhiệt...Máy cuốn dây......1</t>
  </si>
  <si>
    <t xml:space="preserve">;25/02/2026 16:49:14: ............0</t>
  </si>
  <si>
    <t xml:space="preserve">Lắp nhóm linh kiện bàn đạp/gia công</t>
  </si>
  <si>
    <t xml:space="preserve">GT-1000...Lắp nhóm linh kiện bàn đạp/gia công...Súng bắn vít......2</t>
  </si>
  <si>
    <t xml:space="preserve">Assemble the pedal/machining component group.</t>
  </si>
  <si>
    <t xml:space="preserve">GT-1000...Gia công núm vặn/test màn hình LCD...Máy bơm keo......1</t>
  </si>
  <si>
    <t xml:space="preserve">;13/01/2026 16:38:33: ............0</t>
  </si>
  <si>
    <t xml:space="preserve">Gia công núm vặn/test màn hình LCD</t>
  </si>
  <si>
    <t xml:space="preserve">GT-1000...Gia công núm vặn/test màn hình LCD...Quạt ion......1</t>
  </si>
  <si>
    <t xml:space="preserve">Machining knobs/testing LCD screens</t>
  </si>
  <si>
    <t xml:space="preserve">GT-1000...Gia công núm vặn/test màn hình LCD...Súng bắn vít......3</t>
  </si>
  <si>
    <t xml:space="preserve">Tách mạch/ lắp dây cáp/dán băng dính vải/lắp nút nhấn/siết đai ốc/siết vít và lắp màn hình LCD/dán băng dính vải</t>
  </si>
  <si>
    <t xml:space="preserve">GT-1000...Tách mạch/ lắp dây cáp/dán băng dính vải/lắp nút nhấn/siết đai ốc/siết vít và lắp màn hình LCD/dán băng dính vải...Súng bắn vít......2</t>
  </si>
  <si>
    <t xml:space="preserve">Disconnect circuits/connect cables/apply fabric tape/install push buttons/tighten nuts/tighten screws and install LCD screen/apply fabric tape</t>
  </si>
  <si>
    <t xml:space="preserve">Lắp chụp đèn LED/ siết đai ốc/ dán băng dính xốp/ lắp thấu kính LED</t>
  </si>
  <si>
    <t xml:space="preserve">GT-1000...Lắp chụp đèn LED/ siết đai ốc/ dán băng dính xốp/ lắp thấu kính LED...Súng bắn vít......2</t>
  </si>
  <si>
    <t xml:space="preserve">Install LED lamp cover/tighten nuts/apply foam tape/install LED lens</t>
  </si>
  <si>
    <t xml:space="preserve">Lắp giá cố định / siết đai ốc/ lắp giá bàn đạp/ siết vít</t>
  </si>
  <si>
    <t xml:space="preserve">GT-1000...Lắp giá cố định / siết đai ốc/ lắp giá bàn đạp/ siết vít...Súng bắn vít......2</t>
  </si>
  <si>
    <t xml:space="preserve">Install the mounting bracket / tighten the nuts / install the pedal bracket / tighten the screws</t>
  </si>
  <si>
    <t xml:space="preserve">GT-1000...Lắp giá cố định / siết đai ốc/ lắp giá bàn đạp/ siết vít...Máy bơm keo......1</t>
  </si>
  <si>
    <t xml:space="preserve">Lắp ráp PCBA với vỏ mặt/ siết đai ốc/ lắp cột định vị/ lắp PCBA/siết vít</t>
  </si>
  <si>
    <t xml:space="preserve">GT-1000...Lắp ráp PCBA với vỏ mặt/ siết đai ốc/ lắp cột định vị/ lắp PCBA/siết vít...Súng bắn vít......2</t>
  </si>
  <si>
    <t xml:space="preserve">Assemble PCBA with faceplate/tighten nuts/install locating posts/install PCBA/tighten screws</t>
  </si>
  <si>
    <t xml:space="preserve">Lắp chân bàn đạp/ đệm chân/ siết vít/ lắp mạch LED và EXP/ siết đai ốc/ lắp mạch  Main/ lắp tấm đệm/ siết đai ốc</t>
  </si>
  <si>
    <t xml:space="preserve">GT-1000...Lắp chân bàn đạp/ đệm chân/ siết vít/ lắp mạch LED và EXP/ siết đai ốc/ lắp mạch  Main/ lắp tấm đệm/ siết đai ốc...Súng bắn vít......2</t>
  </si>
  <si>
    <t xml:space="preserve">Install pedal feet/foot pads/tighten screws/install LED and EXP circuit board/tighten nuts/install main board/install pad/tighten nuts</t>
  </si>
  <si>
    <t xml:space="preserve">Kết  nối ESC và móc dây / lắp ráp PCBA/ siết vít/lắp mạch INPUT/ siết đai ốc/ siết vít PCBA</t>
  </si>
  <si>
    <t xml:space="preserve">GT-1000...Kết  nối ESC và móc dây / lắp ráp PCBA/ siết vít/lắp mạch INPUT/ siết đai ốc/ siết vít PCBA...Súng bắn vít......2</t>
  </si>
  <si>
    <t xml:space="preserve">Connect the ESC and wire/assemble the PCBA/tighten screws/install the INPUT circuit/tighten nuts/tighten PCBA screws.</t>
  </si>
  <si>
    <t xml:space="preserve">Lắp tấm bàn đạp, siết vít</t>
  </si>
  <si>
    <t xml:space="preserve">GT-1000...Lắp tấm bàn đạp, siết vít...Súng bắn vít......2</t>
  </si>
  <si>
    <t xml:space="preserve">Install the pedal plate and tighten the screws.</t>
  </si>
  <si>
    <t xml:space="preserve">Nối dây cáp/ dán băng dính vải/ lắp nhựa 2 bên trái phải/ siết ốc</t>
  </si>
  <si>
    <t xml:space="preserve">GT-1000...Nối dây cáp/ dán băng dính vải/ lắp nhựa 2 bên trái phải/ siết ốc...Súng bắn vít......2</t>
  </si>
  <si>
    <t xml:space="preserve">Connect the cables/apply fabric tape/install the plastic covers on both the left and right sides/tighten the screws.</t>
  </si>
  <si>
    <t xml:space="preserve">Lắp nắp đáy, siết vít, dán đệm cao su và tem</t>
  </si>
  <si>
    <t xml:space="preserve">GT-1000...Lắp nắp đáy, siết vít, dán đệm cao su và tem...Súng bắn vít......2</t>
  </si>
  <si>
    <t xml:space="preserve">Install the bottom cover, tighten the screws, attach the rubber gasket and the label.</t>
  </si>
  <si>
    <t xml:space="preserve">Test final 1</t>
  </si>
  <si>
    <t xml:space="preserve">GT-1000...Test final 1...Máy tính......1</t>
  </si>
  <si>
    <t xml:space="preserve">GT-1000...Test final 1...Đồng hồ vạn năng......1</t>
  </si>
  <si>
    <t xml:space="preserve">GT-1000...Test final 1...Đồng hồ vạn năng dùng cho sản xuất......1</t>
  </si>
  <si>
    <t xml:space="preserve">;16/01/2026 11:37:38: GT-1000...Test final 1...Đồng hồ vạn năng dùng cho sản xuất......1</t>
  </si>
  <si>
    <t xml:space="preserve">Test final 2</t>
  </si>
  <si>
    <t xml:space="preserve">GT-1000...Test final 2...Noise Meter......2</t>
  </si>
  <si>
    <t xml:space="preserve">GT-1000...Test final 2...Loa CM-30......2</t>
  </si>
  <si>
    <t xml:space="preserve">GT-1000...Test final 2...Đồng hồ vạn năng......1</t>
  </si>
  <si>
    <t xml:space="preserve">;13/01/2026 16:38:57: ............0</t>
  </si>
  <si>
    <t xml:space="preserve">Ngoại quan</t>
  </si>
  <si>
    <t xml:space="preserve">GT-1000...Ngoại quan...Máy tính......1</t>
  </si>
  <si>
    <t xml:space="preserve">External inspection</t>
  </si>
  <si>
    <t xml:space="preserve">GT-1000...Ngoại quan...Súng Scan Barcode......1</t>
  </si>
  <si>
    <t xml:space="preserve">GT-1000...Packing...Máy tính......2</t>
  </si>
  <si>
    <t xml:space="preserve">GT-1000...Packing...Súng Scan Barcode......2</t>
  </si>
  <si>
    <t xml:space="preserve">Hasbro</t>
  </si>
  <si>
    <t xml:space="preserve">ULTIMATE CATCH PHRASE</t>
  </si>
  <si>
    <t xml:space="preserve">Siết vít bản mạch PCB và LCD</t>
  </si>
  <si>
    <t xml:space="preserve">ULTIMATE CATCH PHRASE...Siết vít bản mạch PCB và LCD...Súng bắn vít nhỏ......2</t>
  </si>
  <si>
    <t xml:space="preserve">ULTIMATE CATCH PHRASE...Siết vít bản mạch PCB và LCD...Súng bắn vít......2</t>
  </si>
  <si>
    <t xml:space="preserve">;06/11/2025 09:28:52: ULTIMATE CATCH PHRASE...Siết vít bản mạch PCB và LCD...Súng bắn vít......2</t>
  </si>
  <si>
    <t xml:space="preserve">Tighten the screws on the PCB and LCD boards.</t>
  </si>
  <si>
    <t xml:space="preserve">Dập datecode hộp màu</t>
  </si>
  <si>
    <t xml:space="preserve">ULTIMATE CATCH PHRASE...Dập datecode hộp màu...Máy dập nhiệt......1</t>
  </si>
  <si>
    <t xml:space="preserve">ULTIMATE CATCH PHRASE...Dập datecode hộp màu...Máy dập khí nén......1</t>
  </si>
  <si>
    <t xml:space="preserve">;13/10/2025 10:22:54: ULTIMATE CATCH PHRASE...Dập datecode hộp màu...Máy dập nhiệt......1;06/11/2025 16:11:37: ULTIMATE CATCH PHRASE...Dập datecode hộp màu...Máy dập khí nén......1</t>
  </si>
  <si>
    <t xml:space="preserve">Stamping date codes on color boxes</t>
  </si>
  <si>
    <t xml:space="preserve">Dập chân pin</t>
  </si>
  <si>
    <t xml:space="preserve">ULTIMATE CATCH PHRASE...Dập lát pin...Máy dập khí nén......1</t>
  </si>
  <si>
    <t xml:space="preserve">ULTIMATE CATCH PHRASE...Dập chân pin...Máy dập khí nén......1</t>
  </si>
  <si>
    <t xml:space="preserve">;13/10/2025 09:48:52: ULTIMATE CATCH PHRASE...Dập chân pin...Máy dập khí nén......1</t>
  </si>
  <si>
    <t xml:space="preserve">Press the battery terminals.</t>
  </si>
  <si>
    <t xml:space="preserve">Hàn dây loa</t>
  </si>
  <si>
    <t xml:space="preserve">ULTIMATE CATCH PHRASE...Hàn dây loa...Máy hàn......1</t>
  </si>
  <si>
    <t xml:space="preserve">Soldering speaker wires</t>
  </si>
  <si>
    <t xml:space="preserve">Lắp cover loa va siết vít</t>
  </si>
  <si>
    <t xml:space="preserve">ULTIMATE CATCH PHRASE...Lắp cover loa va siết vít...Súng bắn vít nhỏ......1</t>
  </si>
  <si>
    <t xml:space="preserve">ULTIMATE CATCH PHRASE...Lắp cover loa va siết vít...Súng bắn vít......1</t>
  </si>
  <si>
    <t xml:space="preserve">;13/10/2025 10:17:15: ULTIMATE CATCH PHRASE...Lắp cover loa va siết vít...Súng bắn vít nhỏ......1;06/11/2025 09:23:04: ULTIMATE CATCH PHRASE...Lắp cover loa va siết vít...Súng bắn vít......1</t>
  </si>
  <si>
    <t xml:space="preserve">Install the speaker cover and tighten the screws.</t>
  </si>
  <si>
    <t xml:space="preserve">Hàn dây pin</t>
  </si>
  <si>
    <t xml:space="preserve">ULTIMATE CATCH PHRASE...Hàn dây pin...Máy hàn......1</t>
  </si>
  <si>
    <t xml:space="preserve">Soldering battery wires</t>
  </si>
  <si>
    <t xml:space="preserve">Siết vít bản mạch PCB</t>
  </si>
  <si>
    <t xml:space="preserve">ULTIMATE CATCH PHRASE...Siết vít bản mạch PCB...Súng bắn vít nhỏ......1</t>
  </si>
  <si>
    <t xml:space="preserve">ULTIMATE CATCH PHRASE...Siết vít bản mạch PCB...Súng bắn vít......1</t>
  </si>
  <si>
    <t xml:space="preserve">;06/11/2025 09:28:51: ULTIMATE CATCH PHRASE...Siết vít bản mạch PCB...Súng bắn vít......1</t>
  </si>
  <si>
    <t xml:space="preserve">Tighten the PCB board screws.</t>
  </si>
  <si>
    <t xml:space="preserve">Lắp nút gạt vào vỏ</t>
  </si>
  <si>
    <t xml:space="preserve">ULTIMATE CATCH PHRASE...Lắp nút gạt vào vỏ...Máy dập tay......1</t>
  </si>
  <si>
    <t xml:space="preserve">Install the switch into the housing.</t>
  </si>
  <si>
    <t xml:space="preserve">Laser datecode sản phẩm, lắp cover pin và dán LBL</t>
  </si>
  <si>
    <t xml:space="preserve">ULTIMATE CATCH PHRASE...Laser datecode sản phẩm, lắp cover pin và dán LBL...Súng bắn vít nhỏ......1</t>
  </si>
  <si>
    <t xml:space="preserve">ULTIMATE CATCH PHRASE...Laser datecode sản phẩm, lắp cover pin và dán LBL...Súng bắn vít......1</t>
  </si>
  <si>
    <t xml:space="preserve">;13/10/2025 10:24:56: ULTIMATE CATCH PHRASE...Laser datecode sản phẩm, lắp cover pin và dán LBL...Súng bắn vít nhỏ......1;06/11/2025 09:28:48: ULTIMATE CATCH PHRASE...Laser datecode sản phẩm, lắp cover pin và dán LBL...Súng bắn vít......1</t>
  </si>
  <si>
    <t xml:space="preserve">Laser the product datecode, install the battery cover, and apply the LBL sticker.</t>
  </si>
  <si>
    <t xml:space="preserve">Kiểm tra tần số âm thanh cường độ ánh sáng điện áp</t>
  </si>
  <si>
    <t xml:space="preserve">Test sound frequency, light intensity, and voltage.</t>
  </si>
  <si>
    <t xml:space="preserve">Frequency meter</t>
  </si>
  <si>
    <t xml:space="preserve">ULTIMATE CATCH PHRASE...In ngày lên sản phẩm và lắp cover pin...Máy laser......1</t>
  </si>
  <si>
    <t xml:space="preserve">ULTIMATE CATCH PHRASE...Laser datecode sản phẩm, lắp cover pin và dán LBL...Máy laser......1</t>
  </si>
  <si>
    <t xml:space="preserve">;13/10/2025 10:26:28: ULTIMATE CATCH PHRASE...Laser datecode sản phẩm, lắp cover pin và dán LBL...Máy laser......1</t>
  </si>
  <si>
    <t xml:space="preserve">Dập đai ốc</t>
  </si>
  <si>
    <t xml:space="preserve">OP REFRESH...Dập đai ốc...Máy dập khí nén......1</t>
  </si>
  <si>
    <t xml:space="preserve">Nut stamping</t>
  </si>
  <si>
    <t xml:space="preserve">Hàn dây tấm MET, dây pin và motor</t>
  </si>
  <si>
    <t xml:space="preserve">OP REFRESH...Hàn dây tấm MET, dây pin và motor...Máy hàn......2</t>
  </si>
  <si>
    <t xml:space="preserve">Soldering MET sheet wire, battery wire, and motor wire.</t>
  </si>
  <si>
    <t xml:space="preserve">Hàn tấm MET</t>
  </si>
  <si>
    <t xml:space="preserve">OP REFRESH...Hàn tấm MET...Máy hàn......1</t>
  </si>
  <si>
    <t xml:space="preserve">Welding MET plates</t>
  </si>
  <si>
    <t xml:space="preserve">OP REFRESH...Hàn dây loa...Máy hàn......1</t>
  </si>
  <si>
    <t xml:space="preserve">Hàn kẹp và luồn dây</t>
  </si>
  <si>
    <t xml:space="preserve">OP REFRESH...Hàn kẹp và luồn dây...Máy hàn......1</t>
  </si>
  <si>
    <t xml:space="preserve">Solder clamps and thread wires.</t>
  </si>
  <si>
    <t xml:space="preserve">Lắp thanh nối, PCB, tấm MET, siết vít và lắp motor</t>
  </si>
  <si>
    <t xml:space="preserve">OP REFRESH...Lắp thanh nối, PCB, tấm MET, siết vít và lắp motor...Súng bắn vít......2</t>
  </si>
  <si>
    <t xml:space="preserve">Install the connecting rod, PCB, MET board, tighten the screws, and install the motor.</t>
  </si>
  <si>
    <t xml:space="preserve">Lắp loa , cover và siết vít</t>
  </si>
  <si>
    <t xml:space="preserve">OP REFRESH...Lắp loa , cover và siết vít...Súng bắn vít......1</t>
  </si>
  <si>
    <t xml:space="preserve">Install the speaker, cover, and tighten the screws.</t>
  </si>
  <si>
    <t xml:space="preserve">Hàn dây kẹp vào PCB</t>
  </si>
  <si>
    <t xml:space="preserve">OP REFRESH...Hàn dây kẹp vào PCB...Máy hàn......1</t>
  </si>
  <si>
    <t xml:space="preserve">Solder the clamp wires to the PCB.</t>
  </si>
  <si>
    <t xml:space="preserve">Siết vít và lắp nhựa khóa</t>
  </si>
  <si>
    <t xml:space="preserve">OP REFRESH...Siết vít và lắp nhựa khóa...Máy bắn vít tự động......1</t>
  </si>
  <si>
    <t xml:space="preserve">Tighten the screws and install the plastic lock.</t>
  </si>
  <si>
    <t xml:space="preserve">OP REFRESH...Siết vít và lắp nhựa khóa...Súng bắn vít......1</t>
  </si>
  <si>
    <t xml:space="preserve">Lắp nhựa PLC3, tấm MET và vỏ nhựa PLC1</t>
  </si>
  <si>
    <t xml:space="preserve">OP REFRESH...Lắp nhựa PLC3, tấm MET và vỏ nhựa PLC1...Súng bắn vít......2</t>
  </si>
  <si>
    <t xml:space="preserve">Assemble PLC3 plastic, MET plate, and PLC1 plastic housing.</t>
  </si>
  <si>
    <t xml:space="preserve">Laser datecode sản phẩm và siết nắp pin</t>
  </si>
  <si>
    <t xml:space="preserve">OP REFRESH...Laser datecode sản phẩm và siết nắp pin...Máy laser......1</t>
  </si>
  <si>
    <t xml:space="preserve">Laser datecode the product and tighten the battery cap.</t>
  </si>
  <si>
    <t xml:space="preserve">OP REFRESH...Laser datecode sản phẩm và siết nắp pin...Súng bắn vít......1</t>
  </si>
  <si>
    <t xml:space="preserve">Dập datecode hộp màu và gấp bìa</t>
  </si>
  <si>
    <t xml:space="preserve">OP REFRESH...Dập datecode hộp màu và gấp bìa...Máy dập khí nén......1</t>
  </si>
  <si>
    <t xml:space="preserve">Stamp the date code on the color box and fold the cover.</t>
  </si>
  <si>
    <t xml:space="preserve">VADER BOP IT</t>
  </si>
  <si>
    <t xml:space="preserve">VADER BOP IT......Súng bắn vít to......10</t>
  </si>
  <si>
    <t xml:space="preserve">VADER BOP IT......Súng bắn vít......10</t>
  </si>
  <si>
    <t xml:space="preserve">;05/11/2025 06:48:45: VADER BOP IT......Súng bắn vít......10</t>
  </si>
  <si>
    <t xml:space="preserve">VADER BOP IT......Máy hàn......3</t>
  </si>
  <si>
    <t xml:space="preserve">VADER BOP IT......Máy hàn......2</t>
  </si>
  <si>
    <t xml:space="preserve">;09/26/2025 11:07:47: VADER BOP IT......Máy hàn......2;09/26/2025 11:08:22: VADER BOP IT......Máy hàn......3;09/26/2025 11:08:26: VADER BOP IT......Máy hàn......2;09/26/2025 11:10:52: VADER BOP IT......Máy hàn......3;26/09/2025: VADER BOP IT......Máy hàn......2;26/09/2025 11:12:37: VADER BOP IT......Máy hàn......3;26/09/2025 11:13:08: VADER BOP IT......Máy hàn......2</t>
  </si>
  <si>
    <t xml:space="preserve">OP Module Class......Súng bắn vít to......2</t>
  </si>
  <si>
    <t xml:space="preserve">OP Module Class......Súng bắn vít......2</t>
  </si>
  <si>
    <t xml:space="preserve">;05/11/2025 06:48:59: OP Module Class......Súng bắn vít......2</t>
  </si>
  <si>
    <t xml:space="preserve">Sửa hàng</t>
  </si>
  <si>
    <t xml:space="preserve">ULTIMATE CATCH PHRASE...Sửa hàng...Súng bắn vít to......1</t>
  </si>
  <si>
    <t xml:space="preserve">ULTIMATE CATCH PHRASE...Sửa hàng...Súng bắn vít......1</t>
  </si>
  <si>
    <t xml:space="preserve">;13/10/2025 10:21:14: ULTIMATE CATCH PHRASE...Sửa hàng...Súng bắn vít to......1;06/11/2025 09:28:20: ULTIMATE CATCH PHRASE...Sửa hàng...Súng bắn vít......1</t>
  </si>
  <si>
    <t xml:space="preserve">Repair</t>
  </si>
  <si>
    <t xml:space="preserve">Hàn đèn vào PCB</t>
  </si>
  <si>
    <t xml:space="preserve">ULTIMATE CATCH PHRASE...Hàn đèn vào PCB...Máy hàn......1</t>
  </si>
  <si>
    <t xml:space="preserve">ULTIMATE CATCH PHRASE...Hàn đèn vào PCB...Máy hàn......2</t>
  </si>
  <si>
    <t xml:space="preserve">;13/10/2025 09:50:15: ULTIMATE CATCH PHRASE...Hàn đèn vào PCB...Máy hàn......1;13/10/2025 10:28:21: ULTIMATE CATCH PHRASE...Hàn đèn vào PCB...Máy hàn......2</t>
  </si>
  <si>
    <t xml:space="preserve">Soldering LEDs onto PCBs</t>
  </si>
  <si>
    <t xml:space="preserve">Lắp ráp vỏ mặt dưới vào vỏ mặt trên và siết vít</t>
  </si>
  <si>
    <t xml:space="preserve">ULTIMATE CATCH PHRASE......Máy bắn vít tự động......1</t>
  </si>
  <si>
    <t xml:space="preserve">ULTIMATE CATCH PHRASE...Lắp ráp vỏ mặt dưới vào vỏ mặt trên và siết vít...Máy bắn vít tự động......1</t>
  </si>
  <si>
    <t xml:space="preserve">;13/10/2025 10:18:38: ULTIMATE CATCH PHRASE...Lắp ráp vỏ mặt dưới vào vỏ mặt trên và siết vít...Máy bắn vít tự động......1</t>
  </si>
  <si>
    <t xml:space="preserve">Assemble the bottom cover onto the top cover and tighten the screws.</t>
  </si>
  <si>
    <t xml:space="preserve">Hàn dây pin vào bo mạch chính</t>
  </si>
  <si>
    <t xml:space="preserve">SIMON SPRING...Hàn dây pin vào bo mạch chính...Máy hàn......2</t>
  </si>
  <si>
    <t xml:space="preserve">Solder the battery wires to the motherboard.</t>
  </si>
  <si>
    <t xml:space="preserve">SIMON SPRING...Hàn dây loa...Máy hàn......1</t>
  </si>
  <si>
    <t xml:space="preserve">Siết vít cố định cover</t>
  </si>
  <si>
    <t xml:space="preserve">SIMON SPRING...Siết vít cố định cover...Súng bắn vít......1</t>
  </si>
  <si>
    <t xml:space="preserve">Tighten the screws to secure the cover.</t>
  </si>
  <si>
    <t xml:space="preserve">SIMON SPRING...Siết vít cố định cover...Máy bắn vít tự động......1</t>
  </si>
  <si>
    <t xml:space="preserve">Lắp ráp PCBA</t>
  </si>
  <si>
    <t xml:space="preserve">SIMON SPRING...Lắp ráp PCBA...Súng bắn vít......6</t>
  </si>
  <si>
    <t xml:space="preserve">PCBA assembly</t>
  </si>
  <si>
    <t xml:space="preserve">SIMON SPRING...Dập đai ốc...Máy dập khí nén......1</t>
  </si>
  <si>
    <t xml:space="preserve">SIMON SPRING...Hàn dây pin...Máy hàn......2</t>
  </si>
  <si>
    <t xml:space="preserve">Siết vít</t>
  </si>
  <si>
    <t xml:space="preserve">SIMON SPRING...Siết vít...Máy bắn vít tự động......1</t>
  </si>
  <si>
    <t xml:space="preserve">Tighten the screw.</t>
  </si>
  <si>
    <t xml:space="preserve">SIMON SPRING...Siết vít...Súng bắn vít......1</t>
  </si>
  <si>
    <t xml:space="preserve">Laser datcode sản phẩm và hộp màu</t>
  </si>
  <si>
    <t xml:space="preserve">SIMON SPRING...Laser datcode sản phẩm và hộp màu...Máy laser......1</t>
  </si>
  <si>
    <t xml:space="preserve">Laser product data code and color box</t>
  </si>
  <si>
    <t xml:space="preserve">Lắp pin và siết vít cửa pin</t>
  </si>
  <si>
    <t xml:space="preserve">SIMON SPRING...Lắp pin và siết vít cửa pin...Súng bắn vít......1</t>
  </si>
  <si>
    <t xml:space="preserve">Install the batteries and tighten the battery door screws.</t>
  </si>
  <si>
    <t xml:space="preserve">BOP IT...Dập đai ốc...Máy dập khí nén......1</t>
  </si>
  <si>
    <t xml:space="preserve">Hàn nút bấm vào PCBA</t>
  </si>
  <si>
    <t xml:space="preserve">BOP IT...Hàn nút bấm vào PCBA...Máy hàn......2</t>
  </si>
  <si>
    <t xml:space="preserve">Solder the push button to the PCBA</t>
  </si>
  <si>
    <t xml:space="preserve">BOP IT...Hàn dây loa...Máy hàn......1</t>
  </si>
  <si>
    <t xml:space="preserve">Siết vít cover loa</t>
  </si>
  <si>
    <t xml:space="preserve">BOP IT...Siết vít cover loa...Súng bắn vít......1</t>
  </si>
  <si>
    <t xml:space="preserve">Tighten the speaker cover screws.</t>
  </si>
  <si>
    <t xml:space="preserve">Siết vít PCBA và xếp dây</t>
  </si>
  <si>
    <t xml:space="preserve">BOP IT...Siết vít PCBA và xếp dây...Súng bắn vít......2</t>
  </si>
  <si>
    <t xml:space="preserve">Tighten PCBA screws and arrange wires.</t>
  </si>
  <si>
    <t xml:space="preserve">Siết vít tay cầm màu vàng và xanh</t>
  </si>
  <si>
    <t xml:space="preserve">BOP IT...Siết vít tay cầm màu vàng và xanh...Súng bắn vít......1</t>
  </si>
  <si>
    <t xml:space="preserve">Tighten the yellow and blue handle screws.</t>
  </si>
  <si>
    <t xml:space="preserve">Lắp tay cầm vàng và tay cầm xanh</t>
  </si>
  <si>
    <t xml:space="preserve">BOP IT...Lắp tay cầm vàng và tay cầm xanh...Máy bắn vít tự động......1</t>
  </si>
  <si>
    <t xml:space="preserve">Install the gold handle and the blue handle.</t>
  </si>
  <si>
    <t xml:space="preserve">Lắp ráp mặt top Housing</t>
  </si>
  <si>
    <t xml:space="preserve">BOP IT...Lắp ráp mặt top Housing...Máy bắn vít tự động......1</t>
  </si>
  <si>
    <t xml:space="preserve">Assembly of the top housing</t>
  </si>
  <si>
    <t xml:space="preserve">BOP IT...Lắp ráp mặt top Housing...Súng bắn vít......2</t>
  </si>
  <si>
    <t xml:space="preserve">Dập date sản phẩm</t>
  </si>
  <si>
    <t xml:space="preserve">BOP IT...Dập date sản phẩm...Máy laser......1</t>
  </si>
  <si>
    <t xml:space="preserve">Stamp the product date.</t>
  </si>
  <si>
    <t xml:space="preserve">Siết vít cửa pin</t>
  </si>
  <si>
    <t xml:space="preserve">BOP IT...Siết vít cửa pin...Súng bắn vít......1</t>
  </si>
  <si>
    <t xml:space="preserve">Tighten the battery door screws.</t>
  </si>
  <si>
    <t xml:space="preserve">HYPER SHOT</t>
  </si>
  <si>
    <t xml:space="preserve">Lắp ráp và dập chân pin</t>
  </si>
  <si>
    <t xml:space="preserve">Hypershot...Lắp ráp và dập chân pin...Máy dập khí nén......1</t>
  </si>
  <si>
    <t xml:space="preserve">HYPER SHOT...Lắp ráp và dập chân pin...Máy dập khí nén......1</t>
  </si>
  <si>
    <t xml:space="preserve">;30/10/2025 14:33:21: HYPER SHOT...Lắp ráp và dập chân pin...Máy dập khí nén......1</t>
  </si>
  <si>
    <t xml:space="preserve">Assemble and press the pins.</t>
  </si>
  <si>
    <t xml:space="preserve">DROP TRIVIA</t>
  </si>
  <si>
    <t xml:space="preserve">DROP TRIVIA...Sửa hàng...Súng bắn vít to......1</t>
  </si>
  <si>
    <t xml:space="preserve">DROP TRIVIA...Sửa hàng...Súng bắn vít......1</t>
  </si>
  <si>
    <t xml:space="preserve">;30/10/2025 09:17:55: DROP TRIVIA...Sửa hàng...Súng bắn vít to......1;06/11/2025 09:28:22: DROP TRIVIA...Sửa hàng...Súng bắn vít......1</t>
  </si>
  <si>
    <t xml:space="preserve">DROP TRIVIA......Máy hàn......3</t>
  </si>
  <si>
    <t xml:space="preserve">DROP TRIVIA...Hàn dây pin...Máy hàn......1</t>
  </si>
  <si>
    <t xml:space="preserve">;30/10/2025 09:16:19: DROP TRIVIA...Hàn dây pin...Máy hàn......1</t>
  </si>
  <si>
    <t xml:space="preserve">Lắp nút và thêm thiếc vào thạch anh</t>
  </si>
  <si>
    <t xml:space="preserve">DROP TRIVIA...Lắp nút và thêm thiếc vào thạch anh...Máy hàn......1</t>
  </si>
  <si>
    <t xml:space="preserve">Install the plug and add tin to the quartz crystal.</t>
  </si>
  <si>
    <t xml:space="preserve">BATTLESHIP ELECTRONIC REFRESH</t>
  </si>
  <si>
    <t xml:space="preserve">In ngày tháng và siết vít nắp pin</t>
  </si>
  <si>
    <t xml:space="preserve">BATTLESHIP ELECTRONIC REFRESH...In ngày tháng và siết vít nắp pin...Máy laser......1</t>
  </si>
  <si>
    <t xml:space="preserve">Print the date and tighten the battery cover screws.</t>
  </si>
  <si>
    <t xml:space="preserve">OPTIMUS BOP IT</t>
  </si>
  <si>
    <t xml:space="preserve">OPTIMUS BOP IT......Súng bắn vít to......12</t>
  </si>
  <si>
    <t xml:space="preserve">OPTIMUS BOP IT......Súng bắn vít......12</t>
  </si>
  <si>
    <t xml:space="preserve">;06/11/2025 09:19:07: OPTIMUS BOP IT......Súng bắn vít......12</t>
  </si>
  <si>
    <t xml:space="preserve">OPTIMUS BOP IT......Máy dập khí nén......2</t>
  </si>
  <si>
    <t xml:space="preserve">Sao chép chương trình IC</t>
  </si>
  <si>
    <t xml:space="preserve">DB-90...Sao chép chương trình IC...Máy tính......1</t>
  </si>
  <si>
    <t xml:space="preserve">Copy IC program</t>
  </si>
  <si>
    <t xml:space="preserve">Bôi thiếc mặt dưới</t>
  </si>
  <si>
    <t xml:space="preserve">Apply tin to the underside.</t>
  </si>
  <si>
    <t xml:space="preserve">Hàn đầu micro, VR1-6 và dây đỏ đây đen</t>
  </si>
  <si>
    <t xml:space="preserve">Solder the microphone head, VR1-6, and the red and black wires.</t>
  </si>
  <si>
    <t xml:space="preserve">Hàn loa, dán bông chống bụi, hàn dây cáp, dán băng dính</t>
  </si>
  <si>
    <t xml:space="preserve">Soldering speakers, applying dustproofing material, soldering cables, applying adhesive tape.</t>
  </si>
  <si>
    <t xml:space="preserve">Dán băng dính giấy 2 mặt, lắp loa và nhỏ keo đen</t>
  </si>
  <si>
    <t xml:space="preserve">Apply double-sided tape, install the speaker, and apply black glue.</t>
  </si>
  <si>
    <t xml:space="preserve">DB-90©...Kiểm tra chức năng PCBA...Máy tính......1</t>
  </si>
  <si>
    <t xml:space="preserve">DB-90©...Kiểm tra chức năng PCBA...Máy tính......2</t>
  </si>
  <si>
    <t xml:space="preserve">;07/11/2025 10:58:17: DB-90©...Kiểm tra chức năng PCBA...Máy tính......2</t>
  </si>
  <si>
    <t xml:space="preserve">Hàn loa dán bông chống bụi , hàn dây cáp</t>
  </si>
  <si>
    <t xml:space="preserve">Soldering speakers, applying dust-proofing material, soldering cables.</t>
  </si>
  <si>
    <t xml:space="preserve">Keo dẫn điện, lắp màn hình hiển thị, dán băng keo 2 mặt, bắn vít</t>
  </si>
  <si>
    <t xml:space="preserve">Conductive glue, display screen installation, double-sided tape application, screw fastening.</t>
  </si>
  <si>
    <t xml:space="preserve">DB-90©...Keo dẫn điện, lắp màn hình hiển thị, dán băng keo 2 mặt, bắn vít...Súng bắn vít to......1</t>
  </si>
  <si>
    <t xml:space="preserve">DB-90©...Keo dẫn điện, lắp màn hình hiển thị, dán băng keo 2 mặt, bắn vít...Súng bắn vít......1</t>
  </si>
  <si>
    <t xml:space="preserve">;05/11/2025 07:05:22: DB-90©...Keo dẫn điện, lắp màn hình hiển thị, dán băng keo 2 mặt, bắn vít...Súng bắn vít......1</t>
  </si>
  <si>
    <t xml:space="preserve">Lắp bảng PCBA, bắn ốc , sắp xếp dây, dán tấm bọt biển</t>
  </si>
  <si>
    <t xml:space="preserve">DB-90©...Lắp bảng PCBA, bắn ốc , sắp xếp dây, dán tấm bọt biển...Súng bắn vít to......1</t>
  </si>
  <si>
    <t xml:space="preserve">DB-90©...Lắp bảng PCBA, bắn ốc , sắp xếp dây, dán tấm bọt biển...Súng bắn vít......1</t>
  </si>
  <si>
    <t xml:space="preserve">;06/11/2025 09:22:15: DB-90©...Lắp bảng PCBA, bắn ốc , sắp xếp dây, dán tấm bọt biển...Súng bắn vít......1</t>
  </si>
  <si>
    <t xml:space="preserve">Install the PCBA board, screw in the fasteners, arrange the wires, and attach the foam backing.</t>
  </si>
  <si>
    <t xml:space="preserve">Kiểm tra chức năng 1</t>
  </si>
  <si>
    <t xml:space="preserve">Function Test 1</t>
  </si>
  <si>
    <t xml:space="preserve">Kiểm tra chức năng 2</t>
  </si>
  <si>
    <t xml:space="preserve">Function test 2</t>
  </si>
  <si>
    <t xml:space="preserve">Ghép vỏ hộp , bắn vít , dán cao su , lắp nút , dán logo</t>
  </si>
  <si>
    <t xml:space="preserve">DB-90©...Ghép vỏ hộp , bắn vít , dán cao su , lắp nút , dán logo...Súng bắn vít......1</t>
  </si>
  <si>
    <t xml:space="preserve">DB-90©...Ghép vỏ hộp , bắn vít , dán cao su , lắp nút , dán logo...Súng bắn vít......2</t>
  </si>
  <si>
    <t xml:space="preserve">;05/11/2025 07:04:44: DB-90©...Ghép vỏ hộp , bắn vít , dán cao su , lắp nút , dán logo...Súng bắn vít......1;07/11/2025 10:59:24: DB-90©...Ghép vỏ hộp , bắn vít , dán cao su , lắp nút , dán logo...Súng bắn vít......2</t>
  </si>
  <si>
    <t xml:space="preserve">Assemble the box, screw it in, apply rubber seals, install the buttons, and attach the logo.</t>
  </si>
  <si>
    <t xml:space="preserve">Bẻ mạch, dán tape, bôi keo</t>
  </si>
  <si>
    <t xml:space="preserve">AC-22LX...Bẻ mạch, dán tape, bôi keo...Máy bơm keo......1</t>
  </si>
  <si>
    <t xml:space="preserve">Dáp tape , chuẩn bị chassis nhựa và bắn vít</t>
  </si>
  <si>
    <t xml:space="preserve">AC-22LX...Dáp tape , chuẩn bị chassis nhựa và bắn vít...Máy dập khí nén......2</t>
  </si>
  <si>
    <t xml:space="preserve">Apply tape, prepare the plastic chassis, and screw it in place.</t>
  </si>
  <si>
    <t xml:space="preserve">AC-22LX...Dáp tape , chuẩn bị chassis nhựa và bắn vít...Súng bắn vít to......1</t>
  </si>
  <si>
    <t xml:space="preserve">AC-22LX...Dáp tape , chuẩn bị chassis nhựa và bắn vít...Súng bắn vít......1</t>
  </si>
  <si>
    <t xml:space="preserve">;05/11/2025 07:03:27: AC-22LX...Dáp tape , chuẩn bị chassis nhựa và bắn vít...Súng bắn vít......1</t>
  </si>
  <si>
    <t xml:space="preserve">Chuẩn bị tấm siết vít, hàn-lắp công tắc và dán tape</t>
  </si>
  <si>
    <t xml:space="preserve">AC-22LX...Chuẩn bị tấm siết vít, hàn-lắp công tắc và dán tape...Máy hàn......2</t>
  </si>
  <si>
    <t xml:space="preserve">Prepare the mounting plate, solder and install the switch, and apply tape.</t>
  </si>
  <si>
    <t xml:space="preserve">Lắp mạch panel, kết nối dây và lắp đai ốc</t>
  </si>
  <si>
    <t xml:space="preserve">AC-22LX...Lắp mạch panel, kết nối dây và lắp đai ốc...Súng bắn vít to......3</t>
  </si>
  <si>
    <t xml:space="preserve">AC-22LX...Lắp mạch panel, kết nối dây và lắp đai ốc...Súng bắn vít......3</t>
  </si>
  <si>
    <t xml:space="preserve">;06/11/2025 09:24:10: AC-22LX...Lắp mạch panel, kết nối dây và lắp đai ốc...Súng bắn vít......3</t>
  </si>
  <si>
    <t xml:space="preserve">Install the circuit board, connect the wires, and install the nuts.</t>
  </si>
  <si>
    <t xml:space="preserve">Lắp mạch main và chuẩn bị kết nối dây</t>
  </si>
  <si>
    <t xml:space="preserve">AC-22LX...Lắp mạch main và chuẩn bị kết nối dây...Súng bắn vít to......3</t>
  </si>
  <si>
    <t xml:space="preserve">AC-22LX...Lắp mạch main và chuẩn bị kết nối dây...Súng bắn vít......3</t>
  </si>
  <si>
    <t xml:space="preserve">;06/11/2025 09:23:49: AC-22LX...Lắp mạch main và chuẩn bị kết nối dây...Súng bắn vít......3</t>
  </si>
  <si>
    <t xml:space="preserve">Install the motherboard and prepare to connect the wires.</t>
  </si>
  <si>
    <t xml:space="preserve">Test kiểm tra chức năng (BTP)</t>
  </si>
  <si>
    <t xml:space="preserve">AC-22LX...Test kiểm tra chức năng (BTP)...Máy tạo sóng......4</t>
  </si>
  <si>
    <t xml:space="preserve">Functional Testing (BTP)</t>
  </si>
  <si>
    <t xml:space="preserve">AC-22LX...Test kiểm tra chức năng (BTP)...Máy hiện sóng......1</t>
  </si>
  <si>
    <t xml:space="preserve">AC-22LX...Test kiểm tra chức năng (BTP)...Noise Meter......4</t>
  </si>
  <si>
    <t xml:space="preserve">AC-22LX...Test kiểm tra chức năng (BTP)...Đồng hồ vạn năng......6</t>
  </si>
  <si>
    <t xml:space="preserve">AC-22LX...Test kiểm tra chức năng (BTP)...Đồng hồ vạn năng dùng cho sản xuất......6</t>
  </si>
  <si>
    <t xml:space="preserve">;16/01/2026 11:37:44: AC-22LX...Test kiểm tra chức năng (BTP)...Đồng hồ vạn năng dùng cho sản xuất......6</t>
  </si>
  <si>
    <t xml:space="preserve">AC-22LX...Test kiểm tra chức năng (BTP)...Bàn đạp FS-5U......2</t>
  </si>
  <si>
    <t xml:space="preserve">AC-22LX...Test kiểm tra chức năng (BTP)...Bàn đạp vòng lặp RC-3......1</t>
  </si>
  <si>
    <t xml:space="preserve">Lắp chân đế và láp chassis</t>
  </si>
  <si>
    <t xml:space="preserve">AC-22LX...Lắp chân đế và láp chassis...Súng bắn vít to......1</t>
  </si>
  <si>
    <t xml:space="preserve">AC-22LX...Lắp chân đế và láp chassis...Súng bắn vít......1</t>
  </si>
  <si>
    <t xml:space="preserve">;06/11/2025 09:22:40: AC-22LX...Lắp chân đế và láp chassis...Súng bắn vít......1</t>
  </si>
  <si>
    <t xml:space="preserve">Install the base and chassis.</t>
  </si>
  <si>
    <t xml:space="preserve">AC-22LX...Ngăn chứa pin, bông cách âm, tay cầm, vít khóa...Súng bắn vít to......2</t>
  </si>
  <si>
    <t xml:space="preserve">AC-22LX...Ngăn chứa pin, bông cách âm, tay cầm, vít khóa...Súng bắn vít......2</t>
  </si>
  <si>
    <t xml:space="preserve">;06/11/2025 09:27:45: AC-22LX...Ngăn chứa pin, bông cách âm, tay cầm, vít khóa...Súng bắn vít......2</t>
  </si>
  <si>
    <t xml:space="preserve">Khóa vít, lắp đặt loa</t>
  </si>
  <si>
    <t xml:space="preserve">AC-22LX...Khóa vít, lắp đặt loa...Súng bắn vít to......1</t>
  </si>
  <si>
    <t xml:space="preserve">AC-22LX...Khóa vít, lắp đặt loa...Súng bắn vít......1</t>
  </si>
  <si>
    <t xml:space="preserve">;05/11/2025 07:05:37: AC-22LX...Khóa vít, lắp đặt loa...Súng bắn vít......1</t>
  </si>
  <si>
    <t xml:space="preserve">Tighten screws, install speakers.</t>
  </si>
  <si>
    <t xml:space="preserve">AC-22LX...Lắp còi, khóa ốc, logo bia BOSS, ốc khóa...Súng bắn vít to......1</t>
  </si>
  <si>
    <t xml:space="preserve">AC-22LX...Lắp còi, khóa ốc, logo bia BOSS, ốc khóa...Súng bắn vít......1</t>
  </si>
  <si>
    <t xml:space="preserve">;06/11/2025 09:22:59: AC-22LX...Lắp còi, khóa ốc, logo bia BOSS, ốc khóa...Súng bắn vít......1</t>
  </si>
  <si>
    <t xml:space="preserve">AC-22LX...Lắp còi, khóa ốc, logo bia BOSS, ốc khóa...Máy dập khí nén......1</t>
  </si>
  <si>
    <t xml:space="preserve">Tự kiểm tra tính năng</t>
  </si>
  <si>
    <t xml:space="preserve">AC-22LX...Tự kiểm tra tính năng...Máy tính......5</t>
  </si>
  <si>
    <t xml:space="preserve">Self-test features</t>
  </si>
  <si>
    <t xml:space="preserve">AC-22LX...Tự kiểm tra tính năng...Bàn đạp FS-5U......4</t>
  </si>
  <si>
    <t xml:space="preserve">AC-22LX...Tự kiểm tra tính năng...Đồng hồ vạn năng......3</t>
  </si>
  <si>
    <t xml:space="preserve">AC-22LX...Tự kiểm tra tính năng...Đồng hồ vạn năng dùng cho sản xuất......3</t>
  </si>
  <si>
    <t xml:space="preserve">;16/01/2026 11:37:46: AC-22LX...Tự kiểm tra tính năng...Đồng hồ vạn năng dùng cho sản xuất......3</t>
  </si>
  <si>
    <t xml:space="preserve">AC-22LX...Tự kiểm tra tính năng...Bàn đạp vòng lặp RC-3......2</t>
  </si>
  <si>
    <t xml:space="preserve">AC-22LX...Test final 1...Loa CM-30......4</t>
  </si>
  <si>
    <t xml:space="preserve">AC-22LX...Test final 2...Máy hiện sóng......2</t>
  </si>
  <si>
    <t xml:space="preserve">AC-22LX...Test final 2...Bàn đạp vòng lặp RC-3......1</t>
  </si>
  <si>
    <t xml:space="preserve">c94115cc</t>
  </si>
  <si>
    <t xml:space="preserve">Dán băng dính và xỏ dây</t>
  </si>
  <si>
    <t xml:space="preserve">BOP IT...Dán băng dính và xỏ dây...Máy buộc dây tự động......1</t>
  </si>
  <si>
    <t xml:space="preserve">Apply tape and thread the string.</t>
  </si>
  <si>
    <t xml:space="preserve">4067782e</t>
  </si>
  <si>
    <t xml:space="preserve">Xỏ dây sản phẩm</t>
  </si>
  <si>
    <t xml:space="preserve">BOP IT...Xỏ dây sản phẩm...Máy buộc dây tự động......1</t>
  </si>
  <si>
    <t xml:space="preserve">Thread the product</t>
  </si>
  <si>
    <t xml:space="preserve">ade399a2</t>
  </si>
  <si>
    <t xml:space="preserve">BOP IT...Lắp ráp và dập chân pin...Máy dập khí nén......1</t>
  </si>
  <si>
    <t xml:space="preserve">e97d2452</t>
  </si>
  <si>
    <t xml:space="preserve">Siết vít Housing</t>
  </si>
  <si>
    <t xml:space="preserve">BOP IT...Siết vít Housing...Súng bắn vít......1</t>
  </si>
  <si>
    <t xml:space="preserve">Tighten Housing screws</t>
  </si>
  <si>
    <t xml:space="preserve">11d17745</t>
  </si>
  <si>
    <t xml:space="preserve">BOP IT...Hàn dây pin...Máy hàn......1</t>
  </si>
  <si>
    <t xml:space="preserve">63105fb6</t>
  </si>
  <si>
    <t xml:space="preserve">Dập lẫy đồng vào bàn xoay số và chữ</t>
  </si>
  <si>
    <t xml:space="preserve">BATTLESHIP ELECTRONIC REFRESH...Dập lẫy đồng vào bàn xoay số và chữ...Máy dập khí nén......2</t>
  </si>
  <si>
    <t xml:space="preserve">Press the brass latch onto the rotating dial for numbers and letters.</t>
  </si>
  <si>
    <t xml:space="preserve">18d71db9</t>
  </si>
  <si>
    <t xml:space="preserve">Dập đai ốc và lắp nhựa trắng</t>
  </si>
  <si>
    <t xml:space="preserve">BATTLESHIP ELECTRONIC REFRESH...Dập đai ốc và lắp nhựa trắng...Máy dập khí nén......1</t>
  </si>
  <si>
    <t xml:space="preserve">Stamp the nuts and install the white plastic.</t>
  </si>
  <si>
    <t xml:space="preserve">2c00d026</t>
  </si>
  <si>
    <t xml:space="preserve">BATTLESHIP ELECTRONIC REFRESH...Dập chân pin...Máy dập khí nén......1</t>
  </si>
  <si>
    <t xml:space="preserve">c07f9609</t>
  </si>
  <si>
    <t xml:space="preserve">Dập nút nhấn và lắp nút cao su dẫn điện</t>
  </si>
  <si>
    <t xml:space="preserve">BATTLESHIP ELECTRONIC REFRESH...Dập nút nhấn và lắp nút cao su dẫn điện...Máy dập khí nén......1</t>
  </si>
  <si>
    <t xml:space="preserve">Press the push button and install the conductive rubber button.</t>
  </si>
  <si>
    <t xml:space="preserve">224581ec</t>
  </si>
  <si>
    <t xml:space="preserve">BATTLESHIP ELECTRONIC REFRESH...Dập datecode hộp màu và gấp bìa...Máy dập khí nén......1</t>
  </si>
  <si>
    <t xml:space="preserve">1f06d476</t>
  </si>
  <si>
    <t xml:space="preserve">Siết vít cố định</t>
  </si>
  <si>
    <t xml:space="preserve">BATTLESHIP ELECTRONIC REFRESH...Siết vít cố định...Máy bắn vít tự động......1</t>
  </si>
  <si>
    <t xml:space="preserve">Tighten the fixing screws.</t>
  </si>
  <si>
    <t xml:space="preserve">f7948237</t>
  </si>
  <si>
    <t xml:space="preserve">Dán tape và siết vít Housing</t>
  </si>
  <si>
    <t xml:space="preserve">BATTLESHIP ELECTRONIC REFRESH...Dán tape và siết vít Housing...Máy bắn vít tự động......1</t>
  </si>
  <si>
    <t xml:space="preserve">Tape and tighten the housing screws.</t>
  </si>
  <si>
    <t xml:space="preserve">ba0f8449</t>
  </si>
  <si>
    <t xml:space="preserve">Hàn dây điện và hàn loa</t>
  </si>
  <si>
    <t xml:space="preserve">BATTLESHIP ELECTRONIC REFRESH...Hàn dây điện và hàn loa...Máy hàn......1</t>
  </si>
  <si>
    <t xml:space="preserve">Soldering electrical wires and soldering speakers.</t>
  </si>
  <si>
    <t xml:space="preserve">dcb911f6</t>
  </si>
  <si>
    <t xml:space="preserve">Hàn dây pin và lắp nhựa PLC314</t>
  </si>
  <si>
    <t xml:space="preserve">BATTLESHIP ELECTRONIC REFRESH...Hàn dây pin và lắp nhựa PLC314...Máy hàn......1</t>
  </si>
  <si>
    <t xml:space="preserve">Solder battery wires and install PLC314 plastic.</t>
  </si>
  <si>
    <t xml:space="preserve">832b658b</t>
  </si>
  <si>
    <t xml:space="preserve">BATTLESHIP ELECTRONIC REFRESH...Hàn dây điện và hàn loa...Máy hàn......2</t>
  </si>
  <si>
    <t xml:space="preserve">ab064d96</t>
  </si>
  <si>
    <t xml:space="preserve">Siết vít PCBA và nắp đậy loa</t>
  </si>
  <si>
    <t xml:space="preserve">BATTLESHIP ELECTRONIC REFRESH...Siết vít PCBA và nắp đậy loa...Súng bắn vít......2</t>
  </si>
  <si>
    <t xml:space="preserve">Tighten the PCBA screws and speaker cover.</t>
  </si>
  <si>
    <t xml:space="preserve">744607d4</t>
  </si>
  <si>
    <t xml:space="preserve">BATTLESHIP ELECTRONIC REFRESH...In ngày tháng và siết vít nắp pin...Súng bắn vít......1</t>
  </si>
  <si>
    <t xml:space="preserve">5566ef36</t>
  </si>
  <si>
    <t xml:space="preserve">BATTLESHIP ELECTRONIC REFRESH...Dán tape và siết vít Housing...Súng bắn vít......1</t>
  </si>
  <si>
    <t xml:space="preserve">132ddb36</t>
  </si>
  <si>
    <t xml:space="preserve">BATTLESHIP ELECTRONIC REFRESH...Siết vít cố định...Súng bắn vít......1</t>
  </si>
  <si>
    <t xml:space="preserve">3362d6aa</t>
  </si>
  <si>
    <t xml:space="preserve">Lắp nắp hộp đựng linh kiện trên sàn trò chơi</t>
  </si>
  <si>
    <t xml:space="preserve">BATTLESHIP ELECTRONIC REFRESH...Lắp nắp hộp đựng linh kiện trên sàn trò chơi...Súng bắn vít......1</t>
  </si>
  <si>
    <t xml:space="preserve">Attach the lid to the component box on the game floor.</t>
  </si>
  <si>
    <t xml:space="preserve">b77a41c6</t>
  </si>
  <si>
    <t xml:space="preserve">Lắp chụp màu đỏ và siết vít</t>
  </si>
  <si>
    <t xml:space="preserve">BATTLESHIP ELECTRONIC REFRESH...Lắp chụp màu đỏ và siết vít...Súng bắn vít......1</t>
  </si>
  <si>
    <t xml:space="preserve">Install the red cap and tighten the screws.</t>
  </si>
  <si>
    <t xml:space="preserve">63c1b840</t>
  </si>
  <si>
    <t xml:space="preserve">Lắp bàn xoay chữ cái</t>
  </si>
  <si>
    <t xml:space="preserve">BATTLESHIP ELECTRONIC REFRESH...Lắp bàn xoay chữ cái...Súng bắn vít......1</t>
  </si>
  <si>
    <t xml:space="preserve">Install the letter turntable.</t>
  </si>
  <si>
    <t xml:space="preserve">a13b756e</t>
  </si>
  <si>
    <t xml:space="preserve">Lắp bàn xoay chữ số, lắp mạch và siết vít</t>
  </si>
  <si>
    <t xml:space="preserve">BATTLESHIP ELECTRONIC REFRESH...Lắp bàn xoay chữ số, lắp mạch và siết vít...Súng bắn vít......2</t>
  </si>
  <si>
    <t xml:space="preserve">Install the rotary dial, assemble the circuit board, and tighten the screws.</t>
  </si>
  <si>
    <t xml:space="preserve">0aab756d</t>
  </si>
  <si>
    <t xml:space="preserve">Đóng linh kiện túi trắng</t>
  </si>
  <si>
    <t xml:space="preserve">BATTLESHIP ELECTRONIC REFRESH...Đóng linh kiện túi trắng...Cân......2</t>
  </si>
  <si>
    <t xml:space="preserve">Pack components in white bags.</t>
  </si>
  <si>
    <t xml:space="preserve">c0745187</t>
  </si>
  <si>
    <t xml:space="preserve">BATTLESHIP ELECTRONIC REFRESH...Lắp nắp hộp đựng linh kiện trên sàn trò chơi...Máy bắn vít tự động......1</t>
  </si>
  <si>
    <t xml:space="preserve">a3d130f3</t>
  </si>
  <si>
    <t xml:space="preserve">BATTLESHIP ELECTRONIC REFRESH...Sửa hàng...Súng bắn vít......1</t>
  </si>
  <si>
    <t xml:space="preserve">f84037a7</t>
  </si>
  <si>
    <t xml:space="preserve">Vị trí kiểm soát thừa linh kiện</t>
  </si>
  <si>
    <t xml:space="preserve">OP REFRESH...Vị trí kiểm soát thừa linh kiện...Cân......1</t>
  </si>
  <si>
    <t xml:space="preserve">Component redundancy control location</t>
  </si>
  <si>
    <t xml:space="preserve">fde2be7d</t>
  </si>
  <si>
    <t xml:space="preserve">OP REFRESH...Dập chân pin...Máy dập khí nén......1</t>
  </si>
  <si>
    <t xml:space="preserve">79489151</t>
  </si>
  <si>
    <t xml:space="preserve">Lắp ráp thanh nối, siết vít và lắp cao su vào motor</t>
  </si>
  <si>
    <t xml:space="preserve">OP REFRESH...Lắp ráp thanh nối, siết vít và lắp cao su vào motor...Súng bắn vít......2</t>
  </si>
  <si>
    <t xml:space="preserve">Assemble the connecting rod, tighten the screws, and attach the rubber to the motor.</t>
  </si>
  <si>
    <t xml:space="preserve">22e5bffc</t>
  </si>
  <si>
    <t xml:space="preserve">OP REFRESH...Sửa hàng...Súng bắn vít......1</t>
  </si>
  <si>
    <t xml:space="preserve">;26/01/2026 15:51:26: ............0</t>
  </si>
  <si>
    <t xml:space="preserve">7d79b277</t>
  </si>
  <si>
    <t xml:space="preserve">SIMON SPRING...Dập chân pin...Máy dập khí nén......1</t>
  </si>
  <si>
    <t xml:space="preserve">d7a64830</t>
  </si>
  <si>
    <t xml:space="preserve">Đóng linh kiện túi nâu</t>
  </si>
  <si>
    <t xml:space="preserve">BATTLESHIP ELECTRONIC REFRESH...Đóng linh kiện túi nâu...Cân......1</t>
  </si>
  <si>
    <t xml:space="preserve">Brown bag components</t>
  </si>
  <si>
    <t xml:space="preserve">964768ae</t>
  </si>
  <si>
    <t xml:space="preserve">ULTIMATE CATCH PHRASE...Dập đai ốc...Máy dập nhiệt......1</t>
  </si>
  <si>
    <t xml:space="preserve">ULTIMATE CATCH PHRASE...Dập đai ốc...Máy dập khí nén......1</t>
  </si>
  <si>
    <t xml:space="preserve">;13/10/2025 10:28:49: ULTIMATE CATCH PHRASE...Dập đai ốc...Máy dập nhiệt......1;06/11/2025 16:11:02: ULTIMATE CATCH PHRASE...Dập đai ốc...Máy dập khí nén......1</t>
  </si>
  <si>
    <t xml:space="preserve">90a97280</t>
  </si>
  <si>
    <t xml:space="preserve">Hàn nút bấm và dây dẫn công tắc vào PCB</t>
  </si>
  <si>
    <t xml:space="preserve">BOP IT MICRO...Hàn nút bấm và dây dẫn công tắc vào PCB...Máy hàn......3</t>
  </si>
  <si>
    <t xml:space="preserve">Solder the push button and switch wires to the PCB.</t>
  </si>
  <si>
    <t xml:space="preserve">12f81974</t>
  </si>
  <si>
    <t xml:space="preserve">BOP IT MICRO...Dập chân pin...Máy dập khí nén......1</t>
  </si>
  <si>
    <t xml:space="preserve">093b0f11</t>
  </si>
  <si>
    <t xml:space="preserve">BOP IT MICRO...Hàn dây loa...Máy hàn......1</t>
  </si>
  <si>
    <t xml:space="preserve">544f6ee2</t>
  </si>
  <si>
    <t xml:space="preserve">Lắp đai ốc và cố định PCB</t>
  </si>
  <si>
    <t xml:space="preserve">BOP IT MICRO...Lắp đai ốc và cố định PCB...Súng bắn vít......2</t>
  </si>
  <si>
    <t xml:space="preserve">Install the nuts and secure the PCB.</t>
  </si>
  <si>
    <t xml:space="preserve">c821e61a</t>
  </si>
  <si>
    <t xml:space="preserve">Siết vít sản phẩm</t>
  </si>
  <si>
    <t xml:space="preserve">BOP IT MICRO...Siết vít sản phẩm...Súng bắn vít......1</t>
  </si>
  <si>
    <t xml:space="preserve">Tighten the product screws.</t>
  </si>
  <si>
    <t xml:space="preserve">215d69e3</t>
  </si>
  <si>
    <t xml:space="preserve">Lắp pin và siết nắp pin</t>
  </si>
  <si>
    <t xml:space="preserve">BOP IT MICRO...Lắp pin và siết nắp pin...Súng bắn vít......1</t>
  </si>
  <si>
    <t xml:space="preserve">Install the battery and tighten the battery cover.</t>
  </si>
  <si>
    <t xml:space="preserve">8d200e69</t>
  </si>
  <si>
    <t xml:space="preserve">Đục lỗ dây và dập datecode sản phẩm</t>
  </si>
  <si>
    <t xml:space="preserve">BOP IT MICRO...Đục lỗ dây và dập datecode sản phẩm...Máy dập tay......1</t>
  </si>
  <si>
    <t xml:space="preserve">Punch holes in the wire and stamp the product date code.</t>
  </si>
  <si>
    <t xml:space="preserve">069bce6c</t>
  </si>
  <si>
    <t xml:space="preserve">Lắp trục sắt và laser datecode sản phẩm</t>
  </si>
  <si>
    <t xml:space="preserve">BOP IT MICRO...Lắp trục sắt và laser datecode sản phẩm...Máy laser......1</t>
  </si>
  <si>
    <t xml:space="preserve">Install the iron shaft and laser datecode for the product.</t>
  </si>
  <si>
    <t xml:space="preserve">b42653fc</t>
  </si>
  <si>
    <t xml:space="preserve">BOP IT MICRO...Sửa hàng...Súng bắn vít......1</t>
  </si>
  <si>
    <t xml:space="preserve">;13/10/2025 11:50:52: BOP IT MICRO...Sửa hàng...Súng bắn vít to......1;06/11/2025 09:28:23: BOP IT MICRO...Sửa hàng...Súng bắn vít......1;05/02/2026 09:45:15: ............0</t>
  </si>
  <si>
    <t xml:space="preserve">ca919428</t>
  </si>
  <si>
    <t xml:space="preserve">Lắp tay cầm màu vàng và siết vít</t>
  </si>
  <si>
    <t xml:space="preserve">BOP IT MICRO...Lắp tay cầm màu vàng và siết vít...Súng bắn vít......1</t>
  </si>
  <si>
    <t xml:space="preserve">Attach the yellow handle and tighten the screws.</t>
  </si>
  <si>
    <t xml:space="preserve">a89949c2</t>
  </si>
  <si>
    <t xml:space="preserve">Lắp ráp loa và siết vít</t>
  </si>
  <si>
    <t xml:space="preserve">BOP IT MICRO...Lắp ráp loa và siết vít...Súng bắn vít......2</t>
  </si>
  <si>
    <t xml:space="preserve">Assemble the speaker and tighten the screws.</t>
  </si>
  <si>
    <t xml:space="preserve">df5b6daa</t>
  </si>
  <si>
    <t xml:space="preserve">Lắp vòng và siết vít</t>
  </si>
  <si>
    <t xml:space="preserve">BOP IT MICRO...Lắp vòng và siết vít...Súng bắn vít......1</t>
  </si>
  <si>
    <t xml:space="preserve">Install the ring and tighten the screw.</t>
  </si>
  <si>
    <t xml:space="preserve">44fd4030</t>
  </si>
  <si>
    <t xml:space="preserve">BOP IT MICRO...Hàn dây pin...Máy hàn......1</t>
  </si>
  <si>
    <t xml:space="preserve">3eb4cc1c</t>
  </si>
  <si>
    <t xml:space="preserve">Lắp ráp tay cầm màu xanh</t>
  </si>
  <si>
    <t xml:space="preserve">BOP IT MICRO...Lắp ráp tay cầm màu xanh...Súng bắn vít......1</t>
  </si>
  <si>
    <t xml:space="preserve">Assemble the blue handle.</t>
  </si>
  <si>
    <t xml:space="preserve">ea588804</t>
  </si>
  <si>
    <t xml:space="preserve">Lắp ráp tay cầm màu vàng</t>
  </si>
  <si>
    <t xml:space="preserve">BOP IT MICRO...Lắp ráp tay cầm màu vàng...Súng bắn vít......1</t>
  </si>
  <si>
    <t xml:space="preserve">Assemble the yellow handle.</t>
  </si>
  <si>
    <t xml:space="preserve">77f1f31e</t>
  </si>
  <si>
    <t xml:space="preserve">BOP IT MICRO...Siết vít sản phẩm...Máy bắn vít tự động......1</t>
  </si>
  <si>
    <t xml:space="preserve">363619fe</t>
  </si>
  <si>
    <t xml:space="preserve">BOP IT EXTREME</t>
  </si>
  <si>
    <t xml:space="preserve">Lắp ráp tay cầm màu xanh dương</t>
  </si>
  <si>
    <t xml:space="preserve">BOP IT EXTREME...Lắp ráp tay cầm màu xanh dương...Súng bắn vít to......1</t>
  </si>
  <si>
    <t xml:space="preserve">BOP IT EXTREME...Lắp ráp tay cầm màu xanh dương...Súng bắn vít......1</t>
  </si>
  <si>
    <t xml:space="preserve">;16/10/2025 09:15:28: BOP IT EXTREME...Lắp ráp tay cầm màu xanh dương...Súng bắn vít to......1;06/11/2025 09:26:39: BOP IT EXTREME...Lắp ráp tay cầm màu xanh dương...Súng bắn vít......1</t>
  </si>
  <si>
    <t xml:space="preserve">9373be4b</t>
  </si>
  <si>
    <t xml:space="preserve">Lắp và cố định nút bấm trên vỏ dưới</t>
  </si>
  <si>
    <t xml:space="preserve">BOP IT EXTREME...Lắp và cố định nút bấm trên vỏ dưới...Súng bắn vít to......2</t>
  </si>
  <si>
    <t xml:space="preserve">BOP IT EXTREME...Lắp và cố định nút bấm trên vỏ dưới...Súng bắn vít......2</t>
  </si>
  <si>
    <t xml:space="preserve">;16/10/2025 09:17:03: BOP IT EXTREME...Lắp và cố định nút bấm trên vỏ dưới...Súng bắn vít to......1;16/10/2025 09:29:28: BOP IT EXTREME...Lắp và cố định nút bấm trên vỏ dưới...Súng bắn vít to......2;06/11/2025 09:27:23: BOP IT EXTREME...Lắp và cố định nút bấm trên vỏ dưới...Súng bắn vít......2</t>
  </si>
  <si>
    <t xml:space="preserve">Install and secure the button on the bottom cover.</t>
  </si>
  <si>
    <t xml:space="preserve">44ebfe90</t>
  </si>
  <si>
    <t xml:space="preserve">Lắp và cố định nút bấm trên vỏ trên</t>
  </si>
  <si>
    <t xml:space="preserve">BOP IT EXTREME...Lắp và cố định nút bấm trên vỏ trên...Súng bắn vít to......2</t>
  </si>
  <si>
    <t xml:space="preserve">BOP IT EXTREME...Lắp và cố định nút bấm trên vỏ trên...Súng bắn vít......2</t>
  </si>
  <si>
    <t xml:space="preserve">;16/10/2025 09:29:43: BOP IT EXTREME...Lắp và cố định nút bấm trên vỏ trên...Súng bắn vít to......2;06/11/2025 09:27:58: BOP IT EXTREME...Lắp và cố định nút bấm trên vỏ trên...Súng bắn vít......2</t>
  </si>
  <si>
    <t xml:space="preserve">Install and secure the button on the top cover.</t>
  </si>
  <si>
    <t xml:space="preserve">0e24196a</t>
  </si>
  <si>
    <t xml:space="preserve">BOP IT EXTREME...Dập đai ốc...Máy dập nhiệt......1</t>
  </si>
  <si>
    <t xml:space="preserve">BOP IT EXTREME...Dập đai ốc...Máy dập khí nén......1</t>
  </si>
  <si>
    <t xml:space="preserve">;16/10/2025 09:30:26: BOP IT EXTREME...Dập đai ốc...Máy dập nhiệt......1;06/11/2025 16:11:09: BOP IT EXTREME...Dập đai ốc...Máy dập khí nén......1</t>
  </si>
  <si>
    <t xml:space="preserve">e3489d50</t>
  </si>
  <si>
    <t xml:space="preserve">Hàn dây loa và lắp vào vỏ trên</t>
  </si>
  <si>
    <t xml:space="preserve">............</t>
  </si>
  <si>
    <t xml:space="preserve">BOP IT EXTREME...Hàn dây loa và lắp vào vỏ trên...Máy hàn......1</t>
  </si>
  <si>
    <t xml:space="preserve">;16/10/2025 09:31:11: BOP IT EXTREME...Hàn dây loa và lắp vào vỏ trên...Máy hàn......1</t>
  </si>
  <si>
    <t xml:space="preserve">Solder the speaker wires and install them into the top casing.</t>
  </si>
  <si>
    <t xml:space="preserve">1197f746</t>
  </si>
  <si>
    <t xml:space="preserve">Lắp ráp vỏ và siết vít</t>
  </si>
  <si>
    <t xml:space="preserve">BOP IT EXTREME...Lắp ráp vỏ và siết vít...Máy bắn vít tự động......1</t>
  </si>
  <si>
    <t xml:space="preserve">;16/10/2025 09:32:07: BOP IT EXTREME...Lắp ráp vỏ và siết vít...Máy bắn vít tự động......1</t>
  </si>
  <si>
    <t xml:space="preserve">Assemble the casing and tighten the screws.</t>
  </si>
  <si>
    <t xml:space="preserve">6294086b</t>
  </si>
  <si>
    <t xml:space="preserve">BOP IT EXTREME...Sửa hàng...Súng bắn vít to......1</t>
  </si>
  <si>
    <t xml:space="preserve">BOP IT EXTREME...Sửa hàng...Súng bắn vít......1</t>
  </si>
  <si>
    <t xml:space="preserve">;16/10/2025 09:32:45: BOP IT EXTREME...Sửa hàng...Súng bắn vít to......1;06/11/2025 09:28:25: BOP IT EXTREME...Sửa hàng...Súng bắn vít......1</t>
  </si>
  <si>
    <t xml:space="preserve">9ef9476d</t>
  </si>
  <si>
    <t xml:space="preserve">BOP IT EXTREME...Laser datecode sản phẩm và siết nắp pin...Máy laser......1</t>
  </si>
  <si>
    <t xml:space="preserve">;16/10/2025 09:33:05: BOP IT EXTREME...Laser datecode sản phẩm và siết nắp pin...Máy laser......1</t>
  </si>
  <si>
    <t xml:space="preserve">7d852a11</t>
  </si>
  <si>
    <t xml:space="preserve">Dập datecode hộp màu và dán băng dính</t>
  </si>
  <si>
    <t xml:space="preserve">BOP IT EXTREME...Dập datecode hộp màu và dán băng dính...Máy dập nhiệt......1</t>
  </si>
  <si>
    <t xml:space="preserve">BOP IT EXTREME...Dập datecode hộp màu và dán băng dính...Máy dập khí nén......1</t>
  </si>
  <si>
    <t xml:space="preserve">;16/10/2025 09:33:52: BOP IT EXTREME...Dập datecode hộp màu và dán băng dính...Máy dập nhiệt......1;06/11/2025 16:11:43: BOP IT EXTREME...Dập datecode hộp màu và dán băng dính...Máy dập khí nén......1</t>
  </si>
  <si>
    <t xml:space="preserve">Stamp the date code on the color box and apply adhesive tape.</t>
  </si>
  <si>
    <t xml:space="preserve">af98fe2f</t>
  </si>
  <si>
    <t xml:space="preserve">BOP IT EXTREME...Lắp ráp vỏ và siết vít...Súng bắn vít to......1</t>
  </si>
  <si>
    <t xml:space="preserve">BOP IT EXTREME...Lắp ráp vỏ và siết vít...Súng bắn vít......1</t>
  </si>
  <si>
    <t xml:space="preserve">;16/10/2025 09:35:35: BOP IT EXTREME...Lắp ráp vỏ và siết vít...Súng bắn vít to......1;06/11/2025 09:26:47: BOP IT EXTREME...Lắp ráp vỏ và siết vít...Súng bắn vít......1</t>
  </si>
  <si>
    <t xml:space="preserve">8df24361</t>
  </si>
  <si>
    <t xml:space="preserve">Hàn dây pin và lắp vào vỏ trên</t>
  </si>
  <si>
    <t xml:space="preserve">BOP IT EXTREME...Hàn dây pin và lắp vào vỏ trên...Máy hàn......1</t>
  </si>
  <si>
    <t xml:space="preserve">;16/10/2025 09:36:31: BOP IT EXTREME...Hàn dây pin và lắp vào vỏ trên...Máy hàn......1</t>
  </si>
  <si>
    <t xml:space="preserve">Solder the battery wires and attach them to the top casing.</t>
  </si>
  <si>
    <t xml:space="preserve">60b9e19d</t>
  </si>
  <si>
    <t xml:space="preserve">Lắp và cố định nắp loa</t>
  </si>
  <si>
    <t xml:space="preserve">BOP IT EXTREME...Lắp và cố định nắp loa...Súng bắn vít to......1</t>
  </si>
  <si>
    <t xml:space="preserve">BOP IT EXTREME...Lắp và cố định nắp loa...Súng bắn vít......1</t>
  </si>
  <si>
    <t xml:space="preserve">;16/10/2025 09:37:48: BOP IT EXTREME...Lắp và cố định nắp loa...Súng bắn vít to......1;06/11/2025 09:27:20: BOP IT EXTREME...Lắp và cố định nắp loa...Súng bắn vít......1</t>
  </si>
  <si>
    <t xml:space="preserve">Install and secure the speaker cover.</t>
  </si>
  <si>
    <t xml:space="preserve">228e70f8</t>
  </si>
  <si>
    <t xml:space="preserve">BOP IT EXTREME...Dập chân pin...Máy dập khí nén......1</t>
  </si>
  <si>
    <t xml:space="preserve">;16/10/2025 09:39:40: BOP IT EXTREME...Dập chân pin...Máy dập khí nén......1</t>
  </si>
  <si>
    <t xml:space="preserve">3e4d213d</t>
  </si>
  <si>
    <t xml:space="preserve">Lắp PCB và nút xanh dương vào vỏ trên</t>
  </si>
  <si>
    <t xml:space="preserve">BOP IT EXTREME...Lắp PCB và nút xanh dương vào vỏ trên...Súng bắn vít to......2</t>
  </si>
  <si>
    <t xml:space="preserve">BOP IT EXTREME...Lắp PCB và nút xanh dương vào vỏ trên...Súng bắn vít......2</t>
  </si>
  <si>
    <t xml:space="preserve">;16/10/2025 09:40:29: BOP IT EXTREME...Lắp PCB và nút xanh dương vào vỏ trên...Súng bắn vít to......2;06/11/2025 09:24:52: BOP IT EXTREME...Lắp PCB và nút xanh dương vào vỏ trên...Súng bắn vít......2</t>
  </si>
  <si>
    <t xml:space="preserve">Install the PCB and the blue button into the top case.</t>
  </si>
  <si>
    <t xml:space="preserve">674cc5e0</t>
  </si>
  <si>
    <t xml:space="preserve">Lắp tay cầm màu xanh lá và lắp vòng đệm cao su màu đen</t>
  </si>
  <si>
    <t xml:space="preserve">BOP IT EXTREME...Lắp tay cầm màu xanh lá và lắp vòng đệm cao su màu đen...Súng bắn vít to......1</t>
  </si>
  <si>
    <t xml:space="preserve">BOP IT EXTREME...Lắp tay cầm màu xanh lá và lắp vòng đệm cao su màu đen...Súng bắn vít......1</t>
  </si>
  <si>
    <t xml:space="preserve">;16/10/2025 09:42:12: BOP IT EXTREME...Lắp tay cầm màu xanh lá và lắp vòng đệm cao su màu đen...Súng bắn vít to......1;06/11/2025 09:27:05: BOP IT EXTREME...Lắp tay cầm màu xanh lá và lắp vòng đệm cao su màu đen...Súng bắn vít......1</t>
  </si>
  <si>
    <t xml:space="preserve">Attach the green handle and install the black rubber washer.</t>
  </si>
  <si>
    <t xml:space="preserve">e9fdd788</t>
  </si>
  <si>
    <t xml:space="preserve">Lắp ráp tay cầm màu xanh lá</t>
  </si>
  <si>
    <t xml:space="preserve">BOP IT EXTREME...Lắp ráp tay cầm màu xanh lá...Súng bắn vít to......1</t>
  </si>
  <si>
    <t xml:space="preserve">BOP IT EXTREME...Lắp ráp tay cầm màu xanh lá...Súng bắn vít......1</t>
  </si>
  <si>
    <t xml:space="preserve">;16/10/2025 09:43:55: BOP IT EXTREME...Lắp ráp tay cầm màu xanh lá...Súng bắn vít to......1;06/11/2025 09:26:43: BOP IT EXTREME...Lắp ráp tay cầm màu xanh lá...Súng bắn vít......1</t>
  </si>
  <si>
    <t xml:space="preserve">Assemble the green handle.</t>
  </si>
  <si>
    <t xml:space="preserve">93b33314</t>
  </si>
  <si>
    <t xml:space="preserve">BOP IT EXTREME...Lắp ráp tay cầm màu vàng...Súng bắn vít to......1</t>
  </si>
  <si>
    <t xml:space="preserve">BOP IT EXTREME...Lắp ráp tay cầm màu vàng...Súng bắn vít......1</t>
  </si>
  <si>
    <t xml:space="preserve">;16/10/2025 09:45:04: BOP IT EXTREME...Lắp ráp tay cầm màu vàng...Súng bắn vít to......1;06/11/2025 09:25:39: BOP IT EXTREME...Lắp ráp tay cầm màu vàng...Súng bắn vít......1</t>
  </si>
  <si>
    <t xml:space="preserve">960db9bc</t>
  </si>
  <si>
    <t xml:space="preserve">CUBE-ST2...Hàn công tắc, lắp chao đèn, dán nhãn, lắp VR...Máy hút khói di động......1</t>
  </si>
  <si>
    <t xml:space="preserve">cb1788c0</t>
  </si>
  <si>
    <t xml:space="preserve">CUBE-ST2...Chassis...Noise Meter......4</t>
  </si>
  <si>
    <t xml:space="preserve">b45dc0dc</t>
  </si>
  <si>
    <t xml:space="preserve">CUBE-ST2...Chassis.........4</t>
  </si>
  <si>
    <t xml:space="preserve">;20/10/2025 14:17:40: CUBE-ST2...Chassis...Bàn đạp giả......4;20/10/2025 15:15:22: CUBE-ST2...Chassis.........4;14/01/2026 10:25:12: ............0</t>
  </si>
  <si>
    <t xml:space="preserve">3efddc81</t>
  </si>
  <si>
    <t xml:space="preserve">CUBE-ST2...Final inspection...Máy phân cực......1</t>
  </si>
  <si>
    <t xml:space="preserve">;22/01/2026 14:51:56: ............0</t>
  </si>
  <si>
    <t xml:space="preserve">945266a6</t>
  </si>
  <si>
    <t xml:space="preserve">CUBE-ST2...Final inspection...Quạt ion......1</t>
  </si>
  <si>
    <t xml:space="preserve">;20/10/2025 14:38:57: CUBE-ST2...Final inspection...Quạt ion......1;05/01/2026 09:39:10: ............0</t>
  </si>
  <si>
    <t xml:space="preserve">3c1bac54</t>
  </si>
  <si>
    <t xml:space="preserve">CUBE-ST2...Final inspection...Máy tạo sóng......1</t>
  </si>
  <si>
    <t xml:space="preserve">65046068</t>
  </si>
  <si>
    <t xml:space="preserve">CUBE-ST2...Final inspection...Đồng hồ vạn năng......1</t>
  </si>
  <si>
    <t xml:space="preserve">CUBE-ST2...Final inspection...Đồng hồ vạn năng dùng cho sản xuất......1</t>
  </si>
  <si>
    <t xml:space="preserve">;16/01/2026 11:36:36: CUBE-ST2...Final inspection...Đồng hồ vạn năng dùng cho sản xuất......1</t>
  </si>
  <si>
    <t xml:space="preserve">81db621a</t>
  </si>
  <si>
    <t xml:space="preserve">CUBE-ST2...Lắp lò xo, lắp mạch Terminal, siết vít, dán bọt biển...Máy hút khói di động......1</t>
  </si>
  <si>
    <t xml:space="preserve">993f4d06</t>
  </si>
  <si>
    <t xml:space="preserve">CUBE-ST2...Siết đai ốc, đi dây cáp, buộc nạt thít, dán bọt biển...Súng bắn dây thít......1</t>
  </si>
  <si>
    <t xml:space="preserve">c8893083</t>
  </si>
  <si>
    <t xml:space="preserve">Tách mạch, dán băng dính kẻ sợi, lắp công tắc</t>
  </si>
  <si>
    <t xml:space="preserve">CUBE-ST2...Tách mạch, dán băng dính kẻ sợi, lắp công tắc...Máy cắt băng dính......1</t>
  </si>
  <si>
    <t xml:space="preserve">Separate the circuit, apply masking tape, and install the switch.</t>
  </si>
  <si>
    <t xml:space="preserve">5492b78e</t>
  </si>
  <si>
    <t xml:space="preserve">CUBE-ST2...Packing...Màn hình......2</t>
  </si>
  <si>
    <t xml:space="preserve">2bbfa67f</t>
  </si>
  <si>
    <t xml:space="preserve">7e95407d</t>
  </si>
  <si>
    <t xml:space="preserve">DB-90...Sao chép chương trình IC...Màn hình......1</t>
  </si>
  <si>
    <t xml:space="preserve">57051639</t>
  </si>
  <si>
    <t xml:space="preserve">Hàn đầu micro, dây nguồn và VR thanh</t>
  </si>
  <si>
    <t xml:space="preserve">DB-90...Hàn đầu micro, dây nguồn và VR thanh...Máy hàn......1</t>
  </si>
  <si>
    <t xml:space="preserve">Solder the microphone head, power cord, and VR bar.</t>
  </si>
  <si>
    <t xml:space="preserve">4d3132fd</t>
  </si>
  <si>
    <t xml:space="preserve">DB-90...Hàn đầu micro, dây nguồn và VR thanh...Máy hút khói di động......1</t>
  </si>
  <si>
    <t xml:space="preserve">d92d199a</t>
  </si>
  <si>
    <t xml:space="preserve">Hàn chân VR thanh, bồi thiếc điểm hàn loa</t>
  </si>
  <si>
    <t xml:space="preserve">DB-90...Hàn chân VR thanh, bồi thiếc điểm hàn loa...Máy hàn......1</t>
  </si>
  <si>
    <t xml:space="preserve">Solder VR bar pins, tin solder speaker points.</t>
  </si>
  <si>
    <t xml:space="preserve">7f08feca</t>
  </si>
  <si>
    <t xml:space="preserve">DB-90...Hàn chân VR thanh, bồi thiếc điểm hàn loa...Máy hút khói di động......1</t>
  </si>
  <si>
    <t xml:space="preserve">6e691cc2</t>
  </si>
  <si>
    <t xml:space="preserve">Tự kiểm tra tính năng PCBA</t>
  </si>
  <si>
    <t xml:space="preserve">DB-90...Tự kiểm tra tính năng PCBA...Máy tính......1</t>
  </si>
  <si>
    <t xml:space="preserve">Self-test PCBA functionality</t>
  </si>
  <si>
    <t xml:space="preserve">d2fd3481</t>
  </si>
  <si>
    <t xml:space="preserve">DB-90...Tự kiểm tra tính năng PCBA...Màn hình......1</t>
  </si>
  <si>
    <t xml:space="preserve">428e3f20</t>
  </si>
  <si>
    <t xml:space="preserve">SP-18-Dây 6.5 MONO 2 đầu</t>
  </si>
  <si>
    <t xml:space="preserve">DB-90...Tự kiểm tra tính năng PCBA...Máy tạo sóng...SP-18-Dây 6.5 MONO 2 đầu...1</t>
  </si>
  <si>
    <t xml:space="preserve">33dfb93a</t>
  </si>
  <si>
    <t xml:space="preserve">DB-90...Tự kiểm tra tính năng PCBA...Máy hiện sóng......1</t>
  </si>
  <si>
    <t xml:space="preserve">747fea0e</t>
  </si>
  <si>
    <t xml:space="preserve">DB-90...Tự kiểm tra tính năng PCBA...Bàn đạp vòng lặp RC-3......1</t>
  </si>
  <si>
    <t xml:space="preserve">87652055</t>
  </si>
  <si>
    <t xml:space="preserve">DB-90...Tự kiểm tra tính năng PCBA...DB-90......1</t>
  </si>
  <si>
    <t xml:space="preserve">521777f5</t>
  </si>
  <si>
    <t xml:space="preserve">Dán bông chống bụi, gắn cục ferrite, kết nối mạch, dán tape</t>
  </si>
  <si>
    <t xml:space="preserve">DB-90...Dán bông chống bụi, gắn cục ferrite, kết nối mạch, dán tape...Máy hàn......1</t>
  </si>
  <si>
    <t xml:space="preserve">Apply dust-proofing material, attach the ferrite core, connect the circuit, and apply tape.</t>
  </si>
  <si>
    <t xml:space="preserve">6481e2e1</t>
  </si>
  <si>
    <t xml:space="preserve">DB-90...Dán bông chống bụi, gắn cục ferrite, kết nối mạch, dán tape...Máy hút khói di động......1</t>
  </si>
  <si>
    <t xml:space="preserve">d10420ba</t>
  </si>
  <si>
    <t xml:space="preserve">Hàn loa, dán bông chống bụi, hàn dây cáp, dán băng dính bảo vệ và lỗ Ferrite</t>
  </si>
  <si>
    <t xml:space="preserve">DB-90...Hàn loa, dán bông chống bụi, hàn dây cáp, dán băng dính bảo vệ và lỗ Ferrite...Máy bơm keo......1</t>
  </si>
  <si>
    <t xml:space="preserve">Soldering speakers, applying dust-proofing material, soldering cables, applying protective tape, and creating ferrite holes.</t>
  </si>
  <si>
    <t xml:space="preserve">05cf19bd</t>
  </si>
  <si>
    <t xml:space="preserve">Lắp nút bấm, màn hình, PCB, hàn dây loa</t>
  </si>
  <si>
    <t xml:space="preserve">DB-90...Lắp nút bấm, màn hình, PCB, hàn dây loa...Máy hàn......1</t>
  </si>
  <si>
    <t xml:space="preserve">Install buttons, screen, PCB, solder speaker wires.</t>
  </si>
  <si>
    <t xml:space="preserve">03bdd9d6</t>
  </si>
  <si>
    <t xml:space="preserve">DB-90...Lắp nút bấm, màn hình, PCB, hàn dây loa...Máy hút khói di động......1</t>
  </si>
  <si>
    <t xml:space="preserve">6360aade</t>
  </si>
  <si>
    <t xml:space="preserve">DB-90...Lắp nút bấm, màn hình, PCB, hàn dây loa...Súng bắn vít......1</t>
  </si>
  <si>
    <t xml:space="preserve">3a8ef497</t>
  </si>
  <si>
    <t xml:space="preserve">Lắp bảng PCBA, khoá ốc, xếp dây, dán tấm bọt biển</t>
  </si>
  <si>
    <t xml:space="preserve">DB-90...Lắp bảng PCBA, khoá ốc, xếp dây, dán tấm bọt biển...Súng bắn vít......3</t>
  </si>
  <si>
    <t xml:space="preserve">Install the PCBA board, tighten the screws, arrange the wires, and attach the foam pad.</t>
  </si>
  <si>
    <t xml:space="preserve">9771bc8d</t>
  </si>
  <si>
    <t xml:space="preserve">Ghép vỏ hộp, bắn vít, dán chân cao su, lắp nút VR, dán logo, kiểm tra chân đỡ</t>
  </si>
  <si>
    <t xml:space="preserve">DB-90...Ghép vỏ hộp, bắn vít, dán chân cao su, lắp nút VR, dán logo, kiểm tra chân đỡ...Súng bắn vít......1</t>
  </si>
  <si>
    <t xml:space="preserve">Assemble the casing, tighten screws, attach rubber feet, install VR buttons, apply logo, and test the support legs.</t>
  </si>
  <si>
    <t xml:space="preserve">48421348</t>
  </si>
  <si>
    <t xml:space="preserve">DB-90...Ghép vỏ hộp, bắn vít, dán chân cao su, lắp nút VR, dán logo, kiểm tra chân đỡ...Quạt ion......1</t>
  </si>
  <si>
    <t xml:space="preserve">;21/10/2025 10:43:04: DB-90...Ghép vỏ hộp, bắn vít, dán chân cao su, lắp nút VR, dán logo, kiểm tra chân đỡ...Quạt ion......1;24/02/2026 15:20:52: ............0</t>
  </si>
  <si>
    <t xml:space="preserve">9968dd0e</t>
  </si>
  <si>
    <t xml:space="preserve">Kiểm tra tính năng (TP)</t>
  </si>
  <si>
    <t xml:space="preserve">DB-90...Kiểm tra tính năng (TP)...Noise Meter......1</t>
  </si>
  <si>
    <t xml:space="preserve">Test features (TP)</t>
  </si>
  <si>
    <t xml:space="preserve">a77ed740</t>
  </si>
  <si>
    <t xml:space="preserve">DB-90...Kiểm tra tính năng (TP)...Máy hiện sóng......1</t>
  </si>
  <si>
    <t xml:space="preserve">f697c189</t>
  </si>
  <si>
    <t xml:space="preserve">DB-90...Kiểm tra tính năng (TP)...Máy tạo sóng......1</t>
  </si>
  <si>
    <t xml:space="preserve">bad9e6a2</t>
  </si>
  <si>
    <t xml:space="preserve">DB-90...Kiểm tra tính năng (TP)...Máy quét tần số......1</t>
  </si>
  <si>
    <t xml:space="preserve">970aceec</t>
  </si>
  <si>
    <t xml:space="preserve">DB-90...Kiểm tra tính năng (TP)...DB-90......1</t>
  </si>
  <si>
    <t xml:space="preserve">748f11cd</t>
  </si>
  <si>
    <t xml:space="preserve">DB-90...Kiểm tra tính năng (TP)...Bàn đạp vòng lặp RC-3......1</t>
  </si>
  <si>
    <t xml:space="preserve">06f833d4</t>
  </si>
  <si>
    <t xml:space="preserve">DB-90...Kiểm tra tính năng (TP)...Máy tính......1</t>
  </si>
  <si>
    <t xml:space="preserve">7fd74e56</t>
  </si>
  <si>
    <t xml:space="preserve">DB-90...Kiểm tra tính năng (TP)...Màn hình......1</t>
  </si>
  <si>
    <t xml:space="preserve">46938213</t>
  </si>
  <si>
    <t xml:space="preserve">DB-90...Kiểm tra tính năng (TP)...Quạt ion......1</t>
  </si>
  <si>
    <t xml:space="preserve">;21/10/2025 11:20:45: DB-90...Kiểm tra tính năng (TP)...Quạt ion......1;24/02/2026 15:20:54: ............0</t>
  </si>
  <si>
    <t xml:space="preserve">bcdebcc2</t>
  </si>
  <si>
    <t xml:space="preserve">Scan các vật liệu,dán tem nhãn</t>
  </si>
  <si>
    <t xml:space="preserve">DB-90...Scan các vật liệu,dán tem nhãn...Súng Scan Barcode......1</t>
  </si>
  <si>
    <t xml:space="preserve">Scan materials, apply labels.</t>
  </si>
  <si>
    <t xml:space="preserve">57a8227e</t>
  </si>
  <si>
    <t xml:space="preserve">DB-90...Scan các vật liệu,dán tem nhãn...Máy tính......1</t>
  </si>
  <si>
    <t xml:space="preserve">f5f57fca</t>
  </si>
  <si>
    <t xml:space="preserve">DB-90...Scan các vật liệu,dán tem nhãn...Màn hình......1</t>
  </si>
  <si>
    <t xml:space="preserve">bb599d4b</t>
  </si>
  <si>
    <t xml:space="preserve">Đóng thùng, niêm phong, quét mã</t>
  </si>
  <si>
    <t xml:space="preserve">DB-90...Đóng thùng, niêm phong, quét mã...Máy tính......1</t>
  </si>
  <si>
    <t xml:space="preserve">Pack in boxes, seal, scan barcodes.</t>
  </si>
  <si>
    <t xml:space="preserve">0e09279c</t>
  </si>
  <si>
    <t xml:space="preserve">DB-90...Đóng thùng, niêm phong, quét mã...Màn hình......1</t>
  </si>
  <si>
    <t xml:space="preserve">5caf4833</t>
  </si>
  <si>
    <t xml:space="preserve">DB-90...Đóng thùng, niêm phong, quét mã...Súng Scan Barcode......1</t>
  </si>
  <si>
    <t xml:space="preserve">6740d184</t>
  </si>
  <si>
    <t xml:space="preserve">Hàn loa và lắp loa</t>
  </si>
  <si>
    <t xml:space="preserve">DB-90...Hàn loa và lắp loa...Máy bơm keo......1</t>
  </si>
  <si>
    <t xml:space="preserve">Soldering and assembling speakers</t>
  </si>
  <si>
    <t xml:space="preserve">8031b4f7</t>
  </si>
  <si>
    <t xml:space="preserve">DB-90...Hàn loa và lắp loa...Máy hàn......1</t>
  </si>
  <si>
    <t xml:space="preserve">bfc9c4c0</t>
  </si>
  <si>
    <t xml:space="preserve">DB-90...Hàn loa và lắp loa...Máy hút khói di động......1</t>
  </si>
  <si>
    <t xml:space="preserve">563abb6f</t>
  </si>
  <si>
    <t xml:space="preserve">DB-90...Hàn loa và lắp loa...Máy cắt băng dính......1</t>
  </si>
  <si>
    <t xml:space="preserve">f65d6c09</t>
  </si>
  <si>
    <t xml:space="preserve">Cố định nút nhấn và đặt nút nhựa vào miếng sắt</t>
  </si>
  <si>
    <t xml:space="preserve">GX-1...Cố định nút nhấn và đặt nút nhựa vào miếng sắt...Súng bắn vít......1</t>
  </si>
  <si>
    <t xml:space="preserve">Secure the push button and place the plastic button onto the metal piece.</t>
  </si>
  <si>
    <t xml:space="preserve">d908e79f</t>
  </si>
  <si>
    <t xml:space="preserve">Đặt mạch PCB vào nắp trên</t>
  </si>
  <si>
    <t xml:space="preserve">GX-1...Đặt mạch PCB vào nắp trên...Súng bắn vít......2</t>
  </si>
  <si>
    <t xml:space="preserve">Place the PCB circuit board into the top cover.</t>
  </si>
  <si>
    <t xml:space="preserve">d0f03721</t>
  </si>
  <si>
    <t xml:space="preserve">Lắp núm vặn VR, lắp tấm kính</t>
  </si>
  <si>
    <t xml:space="preserve">GX-1...Lắp núm vặn VR, lắp tấm kính...Quạt ion......1</t>
  </si>
  <si>
    <t xml:space="preserve">Install the VR knob, install the glass panel.</t>
  </si>
  <si>
    <t xml:space="preserve">29b930e4</t>
  </si>
  <si>
    <t xml:space="preserve">GX-1...Kiểm tra chức năng ( Final 1)...Máy tính......1</t>
  </si>
  <si>
    <t xml:space="preserve">GX-1...Kiểm tra chức năng (final test)...Máy tính......3</t>
  </si>
  <si>
    <t xml:space="preserve">;23/01/2026 11:19:49: GX-1...Kiểm tra chức năng (final test)...Máy tính......3</t>
  </si>
  <si>
    <t xml:space="preserve">e4a47215</t>
  </si>
  <si>
    <t xml:space="preserve">GX-1...Kiểm tra chức năng ( Final 1)...Đồng hồ vạn năng......1</t>
  </si>
  <si>
    <t xml:space="preserve">GX-1...Kiểm tra chức năng ( Final 1)...Đồng hồ vạn năng dùng cho sản xuất......1</t>
  </si>
  <si>
    <t xml:space="preserve">;16/01/2026 11:36:41: GX-1...Kiểm tra chức năng ( Final 1)...Đồng hồ vạn năng dùng cho sản xuất......1</t>
  </si>
  <si>
    <t xml:space="preserve">3c6b5dd8</t>
  </si>
  <si>
    <t xml:space="preserve">GX-1...Lắp núm vặn VR, lắp tấm kính...Lực kế......1</t>
  </si>
  <si>
    <t xml:space="preserve">f58dc267</t>
  </si>
  <si>
    <t xml:space="preserve">GX-1...Kiểm tra chức năng ( Final 2)...Noise Meter......2</t>
  </si>
  <si>
    <t xml:space="preserve">7723bb12</t>
  </si>
  <si>
    <t xml:space="preserve">GX-1...Kiểm tra chức năng ( Final 2)...Loa CM-30......4</t>
  </si>
  <si>
    <t xml:space="preserve">5f6f30c5</t>
  </si>
  <si>
    <t xml:space="preserve">GX-1...Kiểm tra chức năng ( Final 2)...Máy cấp nguồn KA3005D......2</t>
  </si>
  <si>
    <t xml:space="preserve">c716aa1b</t>
  </si>
  <si>
    <t xml:space="preserve">Kiểm tra chức năng ( Final 3)</t>
  </si>
  <si>
    <t xml:space="preserve">GX-1...Kiểm tra chức năng ( Final 3)...Máy dập tay......1</t>
  </si>
  <si>
    <t xml:space="preserve">Functional testing (Final 3)</t>
  </si>
  <si>
    <t xml:space="preserve">53f104eb</t>
  </si>
  <si>
    <t xml:space="preserve">Ngoại quan bề ngoài sản phẩm</t>
  </si>
  <si>
    <t xml:space="preserve">GX-1...Ngoại quan bề ngoài sản phẩm...Máy tính......2</t>
  </si>
  <si>
    <t xml:space="preserve">Product appearance</t>
  </si>
  <si>
    <t xml:space="preserve">688a5bde</t>
  </si>
  <si>
    <t xml:space="preserve">GX-1...Kiểm tra chức năng (final test)...Màn hình......4</t>
  </si>
  <si>
    <t xml:space="preserve">GX-1...Kiểm tra chức năng (final test)...Màn hình......3</t>
  </si>
  <si>
    <t xml:space="preserve">;23/01/2026 11:17:52: GX-1...Kiểm tra chức năng (final test)...Màn hình......4;23/01/2026 11:19:10: GX-1...Kiểm tra chức năng (final test)...Màn hình......3</t>
  </si>
  <si>
    <t xml:space="preserve">128c5aca</t>
  </si>
  <si>
    <t xml:space="preserve">GX-1...Ngoại quan bề ngoài sản phẩm...Súng Scan Barcode......2</t>
  </si>
  <si>
    <t xml:space="preserve">6bb16b2b</t>
  </si>
  <si>
    <t xml:space="preserve">Dán nhãn dán, đóng gói sản phẩm cho vào hộp đựng sau đó dán nhãn dán bên ngoài</t>
  </si>
  <si>
    <t xml:space="preserve">GX-1...Dán nhãn dán, đóng gói sản phẩm cho vào hộp đựng sau đó dán nhãn dán bên ngoài...Máy tính......1</t>
  </si>
  <si>
    <t xml:space="preserve">Apply labels, package the products in boxes, and then affix labels to the outside of the boxes.</t>
  </si>
  <si>
    <t xml:space="preserve">eab24a79</t>
  </si>
  <si>
    <t xml:space="preserve">GX-1...Dán nhãn dán, đóng gói sản phẩm cho vào hộp đựng sau đó dán nhãn dán bên ngoài...Màn hình......1</t>
  </si>
  <si>
    <t xml:space="preserve">GX-1...Dán nhãn dán, đóng gói sản phẩm cho vào hộp đựng sau đó dán nhãn dán bên ngoài...Màn hình......2</t>
  </si>
  <si>
    <t xml:space="preserve">;23/01/2026 11:19:04: GX-1...Dán nhãn dán, đóng gói sản phẩm cho vào hộp đựng sau đó dán nhãn dán bên ngoài...Màn hình......2</t>
  </si>
  <si>
    <t xml:space="preserve">4e0c79fc</t>
  </si>
  <si>
    <t xml:space="preserve">GX-1...Dán nhãn dán, đóng gói sản phẩm cho vào hộp đựng sau đó dán nhãn dán bên ngoài...Súng Scan Barcode......1</t>
  </si>
  <si>
    <t xml:space="preserve">fcdd00fc</t>
  </si>
  <si>
    <t xml:space="preserve">Lắp chân đế cao su vào bàn đạp, bắn vít</t>
  </si>
  <si>
    <t xml:space="preserve">GX-1...Lắp chân đế cao su vào bàn đạp, bắn vít...Súng bắn vít......2</t>
  </si>
  <si>
    <t xml:space="preserve">Attach the rubber feet to the pedals and tighten the screws.</t>
  </si>
  <si>
    <t xml:space="preserve">a39278ee</t>
  </si>
  <si>
    <t xml:space="preserve">Lắp cực pin, dây hàn</t>
  </si>
  <si>
    <t xml:space="preserve">GX-1...Lắp cực pin, dây hàn...Máy dập khí nén......1</t>
  </si>
  <si>
    <t xml:space="preserve">Connect the battery terminals and solder the wires.</t>
  </si>
  <si>
    <t xml:space="preserve">3e690a39</t>
  </si>
  <si>
    <t xml:space="preserve">GX-1...Lắp cực pin, dây hàn...Máy hàn......1</t>
  </si>
  <si>
    <t xml:space="preserve">a8ed29f3</t>
  </si>
  <si>
    <t xml:space="preserve">GX-1...Lắp cực pin, dây hàn...Máy hút khói di động......1</t>
  </si>
  <si>
    <t xml:space="preserve">7ae81fff</t>
  </si>
  <si>
    <t xml:space="preserve">GX-1...Cài đặt khoá VR, cài đặt các bộ...Máy bơm keo......1</t>
  </si>
  <si>
    <t xml:space="preserve">;22/10/2025 11:15:35: GT-1...Cài đặt khoá VR, cài đặt các bộ...Máy bơm keo......1;22/10/2025 16:41:15: GX-1...Cài đặt khoá VR, cài đặt các bộ...Máy bơm keo......1;23/01/2026 10:16:11: ............0</t>
  </si>
  <si>
    <t xml:space="preserve">f55aeda9</t>
  </si>
  <si>
    <t xml:space="preserve">Dán tape và kiểm tra</t>
  </si>
  <si>
    <t xml:space="preserve">GX-1...Dán tape và kiểm tra...Máy cắt băng dính......1</t>
  </si>
  <si>
    <t xml:space="preserve">Apply tape and check.</t>
  </si>
  <si>
    <t xml:space="preserve">e664933e</t>
  </si>
  <si>
    <t xml:space="preserve">GX-1...Dán tape và kiểm tra...Lực kế......1</t>
  </si>
  <si>
    <t xml:space="preserve">4c5f6b30</t>
  </si>
  <si>
    <t xml:space="preserve">GX-1...Ngoại quan bề ngoài sản phẩm...Thước lá......1</t>
  </si>
  <si>
    <t xml:space="preserve">6447bd38</t>
  </si>
  <si>
    <t xml:space="preserve">c5890640</t>
  </si>
  <si>
    <t xml:space="preserve">KTN-AIR EX</t>
  </si>
  <si>
    <t xml:space="preserve">Gia công lưới loa</t>
  </si>
  <si>
    <t xml:space="preserve">KTN-AIR EX...Gia công lưới loa...Máy hàn......2</t>
  </si>
  <si>
    <t xml:space="preserve">Speaker grille fabrication</t>
  </si>
  <si>
    <t xml:space="preserve">3296127b</t>
  </si>
  <si>
    <t xml:space="preserve">KTN-AIR EX...Gia công lưới loa...Máy hút khói di động......2</t>
  </si>
  <si>
    <t xml:space="preserve">3f8bc55d</t>
  </si>
  <si>
    <t xml:space="preserve">Cắm dây cáp, siết đai ốc, siết vít</t>
  </si>
  <si>
    <t xml:space="preserve">KTN-AIR EX...Cắm dây cáp, siết đai ốc, siết vít...Súng bắn vít......2</t>
  </si>
  <si>
    <t xml:space="preserve">Connect the cable, tighten the nuts, tighten the screws.</t>
  </si>
  <si>
    <t xml:space="preserve">9d423be1</t>
  </si>
  <si>
    <t xml:space="preserve">Siết đai ốc, cắm dây cáp, lắp núm vặn</t>
  </si>
  <si>
    <t xml:space="preserve">KTN-AIR...Siết đai ốc, cắm dây cáp, lắp núm vặn...Súng bắn vít......1</t>
  </si>
  <si>
    <t xml:space="preserve">Tighten the nuts, connect the cables, and install the knobs.</t>
  </si>
  <si>
    <t xml:space="preserve">5ad4757b</t>
  </si>
  <si>
    <t xml:space="preserve">KTN-AIR...Kiểm tra chức năng tự test (BTP)...Loa CM-30......2</t>
  </si>
  <si>
    <t xml:space="preserve">1836ac7b</t>
  </si>
  <si>
    <t xml:space="preserve">Siết vít, dán băng dính 2 mặt, lắp lưới vải, lưới loa</t>
  </si>
  <si>
    <t xml:space="preserve">KTN-AIR...Siết vít, dán băng dính 2 mặt, lắp lưới vải, lưới loa...Súng bắn vít......2</t>
  </si>
  <si>
    <t xml:space="preserve">Tighten the screws, apply double-sided tape, and install the fabric grille and speaker grille.</t>
  </si>
  <si>
    <t xml:space="preserve">6396fdbc</t>
  </si>
  <si>
    <t xml:space="preserve">KTN-AIR...Siết vít, dán băng dính 2 mặt, lắp lưới vải, lưới loa...Súng bắn dây thít......1</t>
  </si>
  <si>
    <t xml:space="preserve">e0b45aeb</t>
  </si>
  <si>
    <t xml:space="preserve">Kiểm tra, ghép đáy vỏ, lắp tay xách, dán EVA cửa pin</t>
  </si>
  <si>
    <t xml:space="preserve">KTN-AIR...Kiểm tra, ghép đáy vỏ, lắp tay xách, dán EVA cửa pin...Súng bắn vít......2</t>
  </si>
  <si>
    <t xml:space="preserve">Inspect, assemble the bottom casing, attach the handle, and apply EVA to the battery door.</t>
  </si>
  <si>
    <t xml:space="preserve">9278c327</t>
  </si>
  <si>
    <t xml:space="preserve">Test cường độ tín hiệu Bluetooth (TP)</t>
  </si>
  <si>
    <t xml:space="preserve">KTN-AIR...Test cường độ tín hiệu Bluetooth (TP)...Máy tính......1</t>
  </si>
  <si>
    <t xml:space="preserve">Bluetooth signal strength test (TP)</t>
  </si>
  <si>
    <t xml:space="preserve">85441f63</t>
  </si>
  <si>
    <t xml:space="preserve">KTN-AIR...Test cường độ tín hiệu Bluetooth (TP)...Màn hình......1</t>
  </si>
  <si>
    <t xml:space="preserve">2694c44f</t>
  </si>
  <si>
    <t xml:space="preserve">Ngoại quan sản phẩm, Pairing check, Factory setting</t>
  </si>
  <si>
    <t xml:space="preserve">KTN-AIR...Ngoại quan sản phẩm, Pairing check, Factory setting...Thước lá......1</t>
  </si>
  <si>
    <t xml:space="preserve">Product appearance, Pairing check, Factory setting</t>
  </si>
  <si>
    <t xml:space="preserve">b9e17fd5</t>
  </si>
  <si>
    <t xml:space="preserve">KTN-AIR...Đóng gói thẻ, niêm phong hộp...Màn hình......1</t>
  </si>
  <si>
    <t xml:space="preserve">e305e485</t>
  </si>
  <si>
    <t xml:space="preserve">KTN-AIR...Đóng gói thẻ, niêm phong hộp...Súng Scan Barcode......1</t>
  </si>
  <si>
    <t xml:space="preserve">988c3fc9</t>
  </si>
  <si>
    <t xml:space="preserve">KTN-AIR...Dán nhãn dán, cho pk vào túi nhựa và đặt máy chủ vào túi...Màn hình......1</t>
  </si>
  <si>
    <t xml:space="preserve">;24/10/2025 10:53:52: KTN-AIR...Dán nhãn dán, cho pk vào túi nhựa và đặt máy chủ vào túi...Màn hình......1;05/01/2026 16:13:17: ............0</t>
  </si>
  <si>
    <t xml:space="preserve">545ec920</t>
  </si>
  <si>
    <t xml:space="preserve">Dán nhãn dán, cho pk vào túi nhựa và đặt máy chủ vào túi</t>
  </si>
  <si>
    <t xml:space="preserve">KTN-AIR...Dán nhãn dán, cho pk vào túi nhựa và đặt máy chủ vào túi...Súng Scan Barcode......1</t>
  </si>
  <si>
    <t xml:space="preserve">Attach the labels, put the package in a plastic bag, and place the server in the bag.</t>
  </si>
  <si>
    <t xml:space="preserve">46427ca1</t>
  </si>
  <si>
    <t xml:space="preserve">KTN-AIR...Kiểm tra chức năng ( Final 1)...Quạt ion......1</t>
  </si>
  <si>
    <t xml:space="preserve">;24/10/2025 10:56:11: KTN-AIR...Kiểm tra chức năng ( Final 1)...Quạt ion......1;05/01/2026 16:16:00: ............0</t>
  </si>
  <si>
    <t xml:space="preserve">991153fb</t>
  </si>
  <si>
    <t xml:space="preserve">KTN-AIR...Kiểm tra chức năng ( Final 2)...Máy phân cực......1</t>
  </si>
  <si>
    <t xml:space="preserve">6bf2ca9d</t>
  </si>
  <si>
    <t xml:space="preserve">KTN-AIR...Lắp lò xo, siết bắt mạch nhỏ, dán EVA, lắp chân caosu...Súng bắn vít......1</t>
  </si>
  <si>
    <t xml:space="preserve">a31a8499</t>
  </si>
  <si>
    <t xml:space="preserve">KTN-AIR...Lắp lò xo, siết bắt mạch nhỏ, dán EVA, lắp chân caosu...Máy hàn......1</t>
  </si>
  <si>
    <t xml:space="preserve">1f9f6ef4</t>
  </si>
  <si>
    <t xml:space="preserve">KTN-AIR...Gia công lưới loa...Máy dập khí nén......1</t>
  </si>
  <si>
    <t xml:space="preserve">18ab6a26</t>
  </si>
  <si>
    <t xml:space="preserve">Lắp ráp PCB và siết vít</t>
  </si>
  <si>
    <t xml:space="preserve">KTN-AIR...Lắp ráp PCB và siết vít...Súng bắn vít......1</t>
  </si>
  <si>
    <t xml:space="preserve">Assemble the PCB and tighten the screws.</t>
  </si>
  <si>
    <t xml:space="preserve">c598ee47</t>
  </si>
  <si>
    <t xml:space="preserve">Tách mạch, kiểm tra, cắm dây cáp, siết vít</t>
  </si>
  <si>
    <t xml:space="preserve">KTN-AIR...Tách mạch, kiểm tra, cắm dây cáp, siết vít...Súng bắn vít......2</t>
  </si>
  <si>
    <t xml:space="preserve">Disconnect the circuit, test, connect the cables, and tighten the screws.</t>
  </si>
  <si>
    <t xml:space="preserve">70e9ef2e</t>
  </si>
  <si>
    <t xml:space="preserve">Tách bản mạch,siết trụ đồng, cắm dây, bọc xốp, buộc nạt thít</t>
  </si>
  <si>
    <t xml:space="preserve">KTN-AIR...Tách bản mạch,siết trụ đồng, cắm dây, bọc xốp, buộc nạt thít...Súng bắn vít......1</t>
  </si>
  <si>
    <t xml:space="preserve">Separate the circuit board, tighten the copper terminals, plug in the wires, wrap with foam, and tie with a tight knot.</t>
  </si>
  <si>
    <t xml:space="preserve">3841e9d2</t>
  </si>
  <si>
    <t xml:space="preserve">KTN-AIR...Tách bản mạch,siết trụ đồng, cắm dây, bọc xốp, buộc nạt thít...Súng bắn dây thít......1</t>
  </si>
  <si>
    <t xml:space="preserve">070cb809</t>
  </si>
  <si>
    <t xml:space="preserve">Bẻ mạch main và lắp màn hình LCD</t>
  </si>
  <si>
    <t xml:space="preserve">GOMIXERST...Bẻ mạch main và lắp màn hình LCD...Lực kế......1</t>
  </si>
  <si>
    <t xml:space="preserve">;27/10/2025 10:20:27: GOMIXERST...Bẻ mạch main và lắp màn hình LCD...Lực kế......1</t>
  </si>
  <si>
    <t xml:space="preserve">Disassemble the motherboard and install the LCD screen.</t>
  </si>
  <si>
    <t xml:space="preserve">e29181f6</t>
  </si>
  <si>
    <t xml:space="preserve">Dán miếng đệm màn hình vào vỏ trên</t>
  </si>
  <si>
    <t xml:space="preserve">GOMIXERST...Dán miếng đệm màn hình vào vỏ trên...Máy cắt băng dính......1</t>
  </si>
  <si>
    <t xml:space="preserve">;27/10/2025 10:21:23: GOMIXERST...Dán miếng đệm màn hình vào vỏ trên...Máy cắt băng dính......1</t>
  </si>
  <si>
    <t xml:space="preserve">Attach the screen protector to the top cover.</t>
  </si>
  <si>
    <t xml:space="preserve">7ba2b506</t>
  </si>
  <si>
    <t xml:space="preserve">Kết nối dây cáp FFC</t>
  </si>
  <si>
    <t xml:space="preserve">GOMIXERST...Kết nối dây cáp FFC...Súng bắn vít to......1</t>
  </si>
  <si>
    <t xml:space="preserve">GOMIXERST...Kết nối dây cáp FFC...Súng bắn vít......1</t>
  </si>
  <si>
    <t xml:space="preserve">;27/10/2025 10:23:26: GOMIXERST...Kết nối dây cáp FFC...Súng bắn vít to......1;06/11/2025 09:21:09: GOMIXERST...Kết nối dây cáp FFC...Súng bắn vít......1</t>
  </si>
  <si>
    <t xml:space="preserve">Connect FFC cables</t>
  </si>
  <si>
    <t xml:space="preserve">8b05610e</t>
  </si>
  <si>
    <t xml:space="preserve">Dán băng keo vào hai mặt giá đỡ</t>
  </si>
  <si>
    <t xml:space="preserve">GOMIXERST...Dán băng keo vào hai mặt giá đỡ...Máy cắt băng dính......2</t>
  </si>
  <si>
    <t xml:space="preserve">;27/10/2025 10:24:37: GOMIXERST...Dán băng keo vào hai mặt giá đỡ...Máy cắt băng dính......2</t>
  </si>
  <si>
    <t xml:space="preserve">Attach tape to both sides of the bracket.</t>
  </si>
  <si>
    <t xml:space="preserve">2600a324</t>
  </si>
  <si>
    <t xml:space="preserve">Kiểm tra mặt vỏ dưới của sản phẩm</t>
  </si>
  <si>
    <t xml:space="preserve">GOMIXERST...Kiểm tra mặt vỏ dưới của sản phẩm...Súng bắn vít to......2</t>
  </si>
  <si>
    <t xml:space="preserve">GOMIXERST...Kiểm tra mặt vỏ dưới của sản phẩm...Súng bắn vít......2</t>
  </si>
  <si>
    <t xml:space="preserve">;27/10/2025 10:26:02: GOMIXERST...Kiểm tra mặt vỏ dưới của sản phẩm...Súng bắn vít to......2;06/11/2025 09:21:51: GOMIXERST...Kiểm tra mặt vỏ dưới của sản phẩm...Súng bắn vít......2</t>
  </si>
  <si>
    <t xml:space="preserve">Inspect the underside of the product.</t>
  </si>
  <si>
    <t xml:space="preserve">db67a977</t>
  </si>
  <si>
    <t xml:space="preserve">Đặt JACK BOARD vào vỏ dưới và cố định</t>
  </si>
  <si>
    <t xml:space="preserve">GOMIXERST...Đặt JACK BOARD vào vỏ dưới và cố định...Súng bắn vít......1</t>
  </si>
  <si>
    <t xml:space="preserve">Insert the jack board into the bottom housing and secure it.</t>
  </si>
  <si>
    <t xml:space="preserve">c8ce087d</t>
  </si>
  <si>
    <t xml:space="preserve">Kiểm tra ngoại hình nắp trên</t>
  </si>
  <si>
    <t xml:space="preserve">GOMIXERST...Kiểm tra ngoại hình nắp trên...Súng bắn vít to......1</t>
  </si>
  <si>
    <t xml:space="preserve">GOMIXERST...Kiểm tra ngoại hình nắp trên...Súng bắn vít......1</t>
  </si>
  <si>
    <t xml:space="preserve">;27/10/2025 10:28:50: GOMIXERST...Kiểm tra ngoại hình nắp trên...Súng bắn vít to......1;06/11/2025 09:21:48: GOMIXERST...Kiểm tra ngoại hình nắp trên...Súng bắn vít......1</t>
  </si>
  <si>
    <t xml:space="preserve">Inspect the appearance of the top cover.</t>
  </si>
  <si>
    <t xml:space="preserve">323a459d</t>
  </si>
  <si>
    <t xml:space="preserve">GOMIXERST...Kiểm tra ngoại hình nắp trên...Lực kế......1</t>
  </si>
  <si>
    <t xml:space="preserve">;27/10/2025 10:30:54: GOMIXERST...Kiểm tra ngoại hình nắp trên...Lực kế......1</t>
  </si>
  <si>
    <t xml:space="preserve">e764cbea</t>
  </si>
  <si>
    <t xml:space="preserve">GOMIXERST...Kiểm tra chức năng sản phẩm...Đồng hồ vạn năng......6</t>
  </si>
  <si>
    <t xml:space="preserve">GOMIXERST...Kiểm tra chức năng sản phẩm...Đồng hồ vạn năng dùng cho sản xuất......6</t>
  </si>
  <si>
    <t xml:space="preserve">;16/01/2026 11:37:12: GOMIXERST...Kiểm tra chức năng sản phẩm...Đồng hồ vạn năng dùng cho sản xuất......6</t>
  </si>
  <si>
    <t xml:space="preserve">8da6f212</t>
  </si>
  <si>
    <t xml:space="preserve">GOMIXERST...Kiểm tra chức năng sản phẩm...Máy tính......2</t>
  </si>
  <si>
    <t xml:space="preserve">5531b411</t>
  </si>
  <si>
    <t xml:space="preserve">GOMIXERST...Kiểm tra chức năng sản phẩm...Màn hình......2</t>
  </si>
  <si>
    <t xml:space="preserve">30fd6596</t>
  </si>
  <si>
    <t xml:space="preserve">GOMIXERST...Kiểm tra chức năng sản phẩm...Noise Meter......2</t>
  </si>
  <si>
    <t xml:space="preserve">9f00c75e</t>
  </si>
  <si>
    <t xml:space="preserve">GOMIXERST...Kiểm tra chức năng sản phẩm...Máy hiện sóng......2</t>
  </si>
  <si>
    <t xml:space="preserve">6c0e5984</t>
  </si>
  <si>
    <t xml:space="preserve">GOMIXERST...Ngoại quan bề ngoài sản phẩm...Quạt ion......1</t>
  </si>
  <si>
    <t xml:space="preserve">9728101e</t>
  </si>
  <si>
    <t xml:space="preserve">Sách hướng dẫn được đóng gói trong túi nhựa có nhãn dán, quét máy tính, gắp khay nhựa</t>
  </si>
  <si>
    <t xml:space="preserve">GOMIXERST...Sách hướng dẫn được đóng gói trong túi nhựa có nhãn dán, quét máy tính, gắp khay nhựa...Máy tính......1</t>
  </si>
  <si>
    <t xml:space="preserve">The instruction manual is packaged in a plastic bag with a label, scanned by a computer, and placed on a plastic tray.</t>
  </si>
  <si>
    <t xml:space="preserve">389dfb17</t>
  </si>
  <si>
    <t xml:space="preserve">GOMIXERST...Sách hướng dẫn được đóng gói trong túi nhựa có nhãn dán, quét máy tính, gắp khay nhựa...Màn hình......1</t>
  </si>
  <si>
    <t xml:space="preserve">fc1716ca</t>
  </si>
  <si>
    <t xml:space="preserve">GOMIXERST...Sách hướng dẫn được đóng gói trong túi nhựa có nhãn dán, quét máy tính, gắp khay nhựa...Súng Scan Barcode......1</t>
  </si>
  <si>
    <t xml:space="preserve">1fc95056</t>
  </si>
  <si>
    <t xml:space="preserve">Đóng hộp sản phẩm, đóng thùng ngoài và dán nhãn thùng</t>
  </si>
  <si>
    <t xml:space="preserve">GOMIXERST...Đóng hộp sản phẩm, đóng thùng ngoài và dán nhãn thùng...Máy tính......1</t>
  </si>
  <si>
    <t xml:space="preserve">Package the product, pack it in an outer carton, and affix labels to the carton.</t>
  </si>
  <si>
    <t xml:space="preserve">5fbe9e54</t>
  </si>
  <si>
    <t xml:space="preserve">GOMIXERST...Đóng hộp sản phẩm, đóng thùng ngoài và dán nhãn thùng...Màn hình......1</t>
  </si>
  <si>
    <t xml:space="preserve">181241cd</t>
  </si>
  <si>
    <t xml:space="preserve">GOMIXERST...Đóng hộp sản phẩm, đóng thùng ngoài và dán nhãn thùng...Súng Scan Barcode......1</t>
  </si>
  <si>
    <t xml:space="preserve">38473483</t>
  </si>
  <si>
    <t xml:space="preserve">KTN-AIR EX...Cắm dây cáp, siết đai ốc, siết vít...Máy cắt băng dính......1</t>
  </si>
  <si>
    <t xml:space="preserve">e5ee86d9</t>
  </si>
  <si>
    <t xml:space="preserve">Dán bọt biển mặt vỏ, lắp tấm sắt, lắp chao đèn</t>
  </si>
  <si>
    <t xml:space="preserve">KTN-AIR EX...Dán bọt biển mặt vỏ, lắp tấm sắt, lắp chao đèn...Máy dập khí nén......1</t>
  </si>
  <si>
    <t xml:space="preserve">Apply foam to the surface of the casing, install the metal plate, and attach the lampshade.</t>
  </si>
  <si>
    <t xml:space="preserve">e569361c</t>
  </si>
  <si>
    <t xml:space="preserve">Cắm dây cáp, buộc nạt thít</t>
  </si>
  <si>
    <t xml:space="preserve">KTN-AIR EX...Cắm dây cáp, buộc nạt thít...Súng bắn dây thít......1</t>
  </si>
  <si>
    <t xml:space="preserve">Connect the cable, tie it securely.</t>
  </si>
  <si>
    <t xml:space="preserve">f2d65852</t>
  </si>
  <si>
    <t xml:space="preserve">Lắp sản phẩm, siết vít</t>
  </si>
  <si>
    <t xml:space="preserve">KTN-AIR EX...Lắp sản phẩm, siết vít...Súng bắn vít......2</t>
  </si>
  <si>
    <t xml:space="preserve">Install the product, tighten the screws.</t>
  </si>
  <si>
    <t xml:space="preserve">466ff248</t>
  </si>
  <si>
    <t xml:space="preserve">Siết vít hộp pin, siết vít sản phẩm, bọc bọt biển</t>
  </si>
  <si>
    <t xml:space="preserve">KTN-AIR EX...Siết vít hộp pin, siết vít sản phẩm, bọc bọt biển...Súng bắn vít......1</t>
  </si>
  <si>
    <t xml:space="preserve">Tighten battery box screws, tighten product screws, wrap with foam.</t>
  </si>
  <si>
    <t xml:space="preserve">bb9239b1</t>
  </si>
  <si>
    <t xml:space="preserve">Lắp VR, siết vít</t>
  </si>
  <si>
    <t xml:space="preserve">KTN-AIR EX...Lắp VR, siết vít...Súng bắn vít......1</t>
  </si>
  <si>
    <t xml:space="preserve">Install VR, tighten the screws.</t>
  </si>
  <si>
    <t xml:space="preserve">779f6746</t>
  </si>
  <si>
    <t xml:space="preserve">Lắp loa, siết vít, lắp lưới loa, siết vít</t>
  </si>
  <si>
    <t xml:space="preserve">KTN-AIR EX...Lắp loa, siết vít, lắp lưới loa, siết vít...Súng bắn vít......2</t>
  </si>
  <si>
    <t xml:space="preserve">Install the speaker, tighten the screws, install the speaker grille, tighten the screws.</t>
  </si>
  <si>
    <t xml:space="preserve">e89646b1</t>
  </si>
  <si>
    <t xml:space="preserve">Tách mạch, siết trụ đồng, cắm cáp, bọc bọt biển, buộc dây</t>
  </si>
  <si>
    <t xml:space="preserve">KTN-AIR EX...Tách mạch, siết trụ đồng, cắm cáp, bọc bọt biển, buộc dây...Súng bắn vít......1</t>
  </si>
  <si>
    <t xml:space="preserve">Separate the circuit, tighten the copper terminals, plug in the cables, wrap with foam, and tie the wires.</t>
  </si>
  <si>
    <t xml:space="preserve">aa6f18b8</t>
  </si>
  <si>
    <t xml:space="preserve">KTN-AIR EX...Tách mạch, siết trụ đồng, cắm cáp, bọc bọt biển, buộc dây...Súng bắn dây thít......1</t>
  </si>
  <si>
    <t xml:space="preserve">d4b4c076</t>
  </si>
  <si>
    <t xml:space="preserve">Tách mạch main, dán bọt biển, siết đai ốc</t>
  </si>
  <si>
    <t xml:space="preserve">KTN-AIR EX...Tách mạch main, dán bọt biển, siết đai ốc...Súng bắn vít......2</t>
  </si>
  <si>
    <t xml:space="preserve">Separate the main circuit board, apply foam insulation, and tighten the nuts.</t>
  </si>
  <si>
    <t xml:space="preserve">48f55f06</t>
  </si>
  <si>
    <t xml:space="preserve">Lắp mạch main, siết vít, cắm dây cáp, siết đai ốc</t>
  </si>
  <si>
    <t xml:space="preserve">KTN-AIR EX...Lắp mạch main, siết vít, cắm dây cáp, siết đai ốc...Súng bắn vít......3</t>
  </si>
  <si>
    <t xml:space="preserve">Install the motherboard, tighten the screws, connect the cables, and tighten the nuts.</t>
  </si>
  <si>
    <t xml:space="preserve">0d5d9cca</t>
  </si>
  <si>
    <t xml:space="preserve">Siết vít quai xách, siết vít chân cao su</t>
  </si>
  <si>
    <t xml:space="preserve">KTN-AIR EX...Siết vít quai xách, siết vít chân cao su...Súng bắn vít......2</t>
  </si>
  <si>
    <t xml:space="preserve">Tighten the handle screws, tighten the rubber feet screws.</t>
  </si>
  <si>
    <t xml:space="preserve">5be7252b</t>
  </si>
  <si>
    <t xml:space="preserve">KTN-AIR EX...Gia công lưới loa...Máy dập khí nén......1</t>
  </si>
  <si>
    <t xml:space="preserve">fd1d1ccd</t>
  </si>
  <si>
    <t xml:space="preserve">Siết vít, bọc bọt biển</t>
  </si>
  <si>
    <t xml:space="preserve">KTN-AIR EX...Siết vít, bọc bọt biển...Súng bắn vít......1</t>
  </si>
  <si>
    <t xml:space="preserve">Tighten the screws, wrap with sponge.</t>
  </si>
  <si>
    <t xml:space="preserve">e5e8c43d</t>
  </si>
  <si>
    <t xml:space="preserve">Dập logo máy Hot stamping</t>
  </si>
  <si>
    <t xml:space="preserve">KTN-AIR EX...Dập logo máy Hot stamping...Máy dập hot stamping......1</t>
  </si>
  <si>
    <t xml:space="preserve">Hot stamping machine for logo stamping.</t>
  </si>
  <si>
    <t xml:space="preserve">257b2a02</t>
  </si>
  <si>
    <t xml:space="preserve">Lắp đai ốc bia, lắp tấm pin và dán băng dính keo hai mặt</t>
  </si>
  <si>
    <t xml:space="preserve">KTN-AIR EX...Lắp đai ốc bia, lắp tấm pin và dán băng dính keo hai mặt...Máy dập khí nén......1</t>
  </si>
  <si>
    <t xml:space="preserve">Install the beer cap nuts, install the solar panel, and apply double-sided tape.</t>
  </si>
  <si>
    <t xml:space="preserve">0a421c8c</t>
  </si>
  <si>
    <t xml:space="preserve">Lắp pin và dán băng keo đen</t>
  </si>
  <si>
    <t xml:space="preserve">KTN-AIR EX...Lắp pin và dán băng keo đen...Máy dập khí nén......1</t>
  </si>
  <si>
    <t xml:space="preserve">Insert the battery and apply black tape.</t>
  </si>
  <si>
    <t xml:space="preserve">c8a60ad1</t>
  </si>
  <si>
    <t xml:space="preserve">KTN-AIR EX...Lắp pin và dán băng keo đen...Máy dập tay......1</t>
  </si>
  <si>
    <t xml:space="preserve">06ed3a74</t>
  </si>
  <si>
    <t xml:space="preserve">KTN-AIR EX...Kiểm tra chức năng tự test (BTP)...Noise Meter......4</t>
  </si>
  <si>
    <t xml:space="preserve">35a21284</t>
  </si>
  <si>
    <t xml:space="preserve">KTN-AIR EX...Kiểm tra chức năng tự test (BTP)...Máy hiện sóng......2</t>
  </si>
  <si>
    <t xml:space="preserve">1b8b8f05</t>
  </si>
  <si>
    <t xml:space="preserve">KTN-AIR EX...Kiểm tra chức năng tự test (BTP)...Đồng hồ vạn năng......2</t>
  </si>
  <si>
    <t xml:space="preserve">KTN-AIR EX...Kiểm tra chức năng tự test (BTP)...Đồng hồ vạn năng dùng cho sản xuất......2</t>
  </si>
  <si>
    <t xml:space="preserve">;16/01/2026 11:37:23: KTN-AIR EX...Kiểm tra chức năng tự test (BTP)...Đồng hồ vạn năng dùng cho sản xuất......2</t>
  </si>
  <si>
    <t xml:space="preserve">4fc99b97</t>
  </si>
  <si>
    <t xml:space="preserve">KTN-AIR EX...Final 3...Máy tính......1</t>
  </si>
  <si>
    <t xml:space="preserve">d4923c04</t>
  </si>
  <si>
    <t xml:space="preserve">KTN-AIR EX...Final 3...Màn hình......1</t>
  </si>
  <si>
    <t xml:space="preserve">;27/10/2025 14:08:01: KTN-AIR EX...Final 3...Màn hình......1;07/01/2026 11:56:51: ............0</t>
  </si>
  <si>
    <t xml:space="preserve">291db082</t>
  </si>
  <si>
    <t xml:space="preserve">Xếp hàng thành phẩm trên pallet</t>
  </si>
  <si>
    <t xml:space="preserve">KTN-AIR EX...Xếp hàng thành phẩm trên pallet...Máy tính......1</t>
  </si>
  <si>
    <t xml:space="preserve">Stack finished products on pallets.</t>
  </si>
  <si>
    <t xml:space="preserve">84003d64</t>
  </si>
  <si>
    <t xml:space="preserve">KTN-AIR EX...Xếp hàng thành phẩm trên pallet...Màn hình......1</t>
  </si>
  <si>
    <t xml:space="preserve">8f6d7778</t>
  </si>
  <si>
    <t xml:space="preserve">KTN-AIR EX...Xếp hàng thành phẩm trên pallet...Súng Scan Barcode......1</t>
  </si>
  <si>
    <t xml:space="preserve">8be9c3ea</t>
  </si>
  <si>
    <t xml:space="preserve">Dán nhãn dán, sắp xếp phụ kiện</t>
  </si>
  <si>
    <t xml:space="preserve">KTN-AIR EX...Dán nhãn dán, sắp xếp phụ kiện...Máy tính......1</t>
  </si>
  <si>
    <t xml:space="preserve">Apply labels, organize accessories.</t>
  </si>
  <si>
    <t xml:space="preserve">62b736e8</t>
  </si>
  <si>
    <t xml:space="preserve">KTN-AIR EX...Dán nhãn dán, sắp xếp phụ kiện...Màn hình......1</t>
  </si>
  <si>
    <t xml:space="preserve">;27/10/2025 14:11:19: KTN-AIR EX...Dán nhãn dán, sắp xếp phụ kiện...Màn hình......1;07/01/2026 11:56:33: ............0</t>
  </si>
  <si>
    <t xml:space="preserve">bb0edbc0</t>
  </si>
  <si>
    <t xml:space="preserve">KTN-AIR EX...Dán nhãn dán, sắp xếp phụ kiện...Súng Scan Barcode......1</t>
  </si>
  <si>
    <t xml:space="preserve">3c3a9e62</t>
  </si>
  <si>
    <t xml:space="preserve">KTN-AIR EX...Kiểm tra chức năng sản phẩm...Quạt ion......1</t>
  </si>
  <si>
    <t xml:space="preserve">;27/10/2025 14:13:20: KTN-AIR EX...Kiểm tra chức năng sản phẩm...Quạt ion......1;06/02/2026 13:37:59: ............0</t>
  </si>
  <si>
    <t xml:space="preserve">aa6b4279</t>
  </si>
  <si>
    <t xml:space="preserve">KTN-AIR EX...Kiểm tra chức năng sản phẩm...Đồng hồ vạn năng......1</t>
  </si>
  <si>
    <t xml:space="preserve">KTN-AIR EX...Kiểm tra chức năng sản phẩm...Đồng hồ vạn năng dùng cho sản xuất......1</t>
  </si>
  <si>
    <t xml:space="preserve">;16/01/2026 11:37:14: KTN-AIR EX...Kiểm tra chức năng sản phẩm...Đồng hồ vạn năng dùng cho sản xuất......1</t>
  </si>
  <si>
    <t xml:space="preserve">9271cd66</t>
  </si>
  <si>
    <t xml:space="preserve">Final 2</t>
  </si>
  <si>
    <t xml:space="preserve">KTN-AIR EX...Final 2...Máy hiện sóng......1</t>
  </si>
  <si>
    <t xml:space="preserve">2991839b</t>
  </si>
  <si>
    <t xml:space="preserve">KTN-AIR EX...Final 2...Máy phân cực......1</t>
  </si>
  <si>
    <t xml:space="preserve">514ecfd4</t>
  </si>
  <si>
    <t xml:space="preserve">KTN-AIR EX...Final 2...Máy tạo sóng......1</t>
  </si>
  <si>
    <t xml:space="preserve">c4429c4d</t>
  </si>
  <si>
    <t xml:space="preserve">KTN-AIR EX...Final 2...Loa CM-30......4</t>
  </si>
  <si>
    <t xml:space="preserve">9c348cc8</t>
  </si>
  <si>
    <t xml:space="preserve">KTN-AIR EX...Final 2...Iphone......1</t>
  </si>
  <si>
    <t xml:space="preserve">a1c20d97</t>
  </si>
  <si>
    <t xml:space="preserve">KTN-AIR EX...Kiểm tra chức năng tự test (BTP)...Iphone......2</t>
  </si>
  <si>
    <t xml:space="preserve">8581c580</t>
  </si>
  <si>
    <t xml:space="preserve">GO-88PX...Dây thít...Súng bắn vít......1</t>
  </si>
  <si>
    <t xml:space="preserve">;28/10/2025 09:17:41: GO-88PX...Dây thít...Súng bắn dây thít......1;05/11/2025 07:03:50: GO-88PX...Dây thít...Súng bắn vít......1;13/01/2026 13:36:11: ............0</t>
  </si>
  <si>
    <t xml:space="preserve">8ae3a8ad</t>
  </si>
  <si>
    <t xml:space="preserve">Lắp mạch main</t>
  </si>
  <si>
    <t xml:space="preserve">GO-88PX...Lắp mạch main...Súng bắn vít......1</t>
  </si>
  <si>
    <t xml:space="preserve">Install the main board.</t>
  </si>
  <si>
    <t xml:space="preserve">0c62daed</t>
  </si>
  <si>
    <t xml:space="preserve">GO-88PX...Lắp mạch panel...Súng bắn vít......1</t>
  </si>
  <si>
    <t xml:space="preserve">01b39ce7</t>
  </si>
  <si>
    <t xml:space="preserve">Lắp ốc mặt đáy</t>
  </si>
  <si>
    <t xml:space="preserve">GO-88PX...Lắp ốc mặt đáy...Súng bắn vít......1</t>
  </si>
  <si>
    <t xml:space="preserve">Install bottom screws</t>
  </si>
  <si>
    <t xml:space="preserve">033bf297</t>
  </si>
  <si>
    <t xml:space="preserve">GO-88PX...Final 3...Màn hình......1</t>
  </si>
  <si>
    <t xml:space="preserve">b5be13ce</t>
  </si>
  <si>
    <t xml:space="preserve">GO-88PX...Đóng gói sản phẩm...Màn hình......1</t>
  </si>
  <si>
    <t xml:space="preserve">5c1951f5</t>
  </si>
  <si>
    <t xml:space="preserve">GO-88PX...Đóng gói sản phẩm...Súng Scan Barcode......1</t>
  </si>
  <si>
    <t xml:space="preserve">;28/10/2025 09:31:31: GO-88PX...Đóng gói sản phẩm...Súng Scan Barcode......1;13/01/2026 13:36:39: ............0</t>
  </si>
  <si>
    <t xml:space="preserve">b3d857c2</t>
  </si>
  <si>
    <t xml:space="preserve">Dán nhãn dán, kiểm tra adaptor, chuẩn bị phụ kiện</t>
  </si>
  <si>
    <t xml:space="preserve">GO-88PX...Dán nhãn dán, kiểm tra adaptor, chuẩn bị phụ kiện...Máy tính......1</t>
  </si>
  <si>
    <t xml:space="preserve">Apply labels, check adapter, prepare accessories.</t>
  </si>
  <si>
    <t xml:space="preserve">fd222d13</t>
  </si>
  <si>
    <t xml:space="preserve">GO-88PX...Dán nhãn dán, kiểm tra adaptor, chuẩn bị phụ kiện...Màn hình......1</t>
  </si>
  <si>
    <t xml:space="preserve">00e7c198</t>
  </si>
  <si>
    <t xml:space="preserve">GO-88PX...Dán nhãn dán, kiểm tra adaptor, chuẩn bị phụ kiện...Súng Scan Barcode......1</t>
  </si>
  <si>
    <t xml:space="preserve">;28/10/2025 09:33:29: GO-88PX...Dán nhãn dán, kiểm tra adaptor, chuẩn bị phụ kiện...Súng Scan Barcode......1;13/01/2026 13:36:41: ............0</t>
  </si>
  <si>
    <t xml:space="preserve">c9922cdb</t>
  </si>
  <si>
    <t xml:space="preserve">Final 4</t>
  </si>
  <si>
    <t xml:space="preserve">GO-88PX...Final 4...Máy tính......1</t>
  </si>
  <si>
    <t xml:space="preserve">21014428</t>
  </si>
  <si>
    <t xml:space="preserve">GO-88PX...Final 4...Màn hình......1</t>
  </si>
  <si>
    <t xml:space="preserve">10fde7e0</t>
  </si>
  <si>
    <t xml:space="preserve">Laser datecode PLC2 và hộp màu</t>
  </si>
  <si>
    <t xml:space="preserve">JENGA MINI...Laser datecode PLC2 và hộp màu...Máy laser......1</t>
  </si>
  <si>
    <t xml:space="preserve">Laser datecode PLC2 and color box</t>
  </si>
  <si>
    <t xml:space="preserve">20940ac1</t>
  </si>
  <si>
    <t xml:space="preserve">Lắp nút nhấn và cố định PCB holder với mặt kim loại TOP</t>
  </si>
  <si>
    <t xml:space="preserve">GA-FC EX...Lắp nút nhấn và cố định PCB holder với mặt kim loại TOP...Súng bắn vít......1</t>
  </si>
  <si>
    <t xml:space="preserve">Install the push button and secure the PCB holder to the top metal plate.</t>
  </si>
  <si>
    <t xml:space="preserve">3a75f874</t>
  </si>
  <si>
    <t xml:space="preserve">Bôi keo cố định LED Lens</t>
  </si>
  <si>
    <t xml:space="preserve">GA-FC EX...Bôi keo cố định LED Lens...Máy bơm keo......2</t>
  </si>
  <si>
    <t xml:space="preserve">Apply adhesive to fix the LED lens in place.</t>
  </si>
  <si>
    <t xml:space="preserve">c833d1af</t>
  </si>
  <si>
    <t xml:space="preserve">Cố định Jack PCB với mặt sau</t>
  </si>
  <si>
    <t xml:space="preserve">GA-FC EX...Cố định Jack PCB với mặt sau...Súng bắn vít......2</t>
  </si>
  <si>
    <t xml:space="preserve">Secure the PCB jack to the back.</t>
  </si>
  <si>
    <t xml:space="preserve">8d20ae28</t>
  </si>
  <si>
    <t xml:space="preserve">Cố định PCBA chính với PCB holder</t>
  </si>
  <si>
    <t xml:space="preserve">GA-FC EX...Cố định PCBA chính với PCB holder...Súng bắn vít......1</t>
  </si>
  <si>
    <t xml:space="preserve">Secure the main PCBA to the PCB holder.</t>
  </si>
  <si>
    <t xml:space="preserve">02950dc7</t>
  </si>
  <si>
    <t xml:space="preserve">Lắp mặt đáy vào mặt dưới của TOP</t>
  </si>
  <si>
    <t xml:space="preserve">GA-FC EX...Lắp mặt đáy vào mặt dưới của TOP...Súng bắn vít......1</t>
  </si>
  <si>
    <t xml:space="preserve">Attach the bottom plate to the underside of the TOP plate.</t>
  </si>
  <si>
    <t xml:space="preserve">0e66e4ae</t>
  </si>
  <si>
    <t xml:space="preserve">Kiểm tra chức năng và ngoại quan sản phẩm</t>
  </si>
  <si>
    <t xml:space="preserve">GA-FC EX...Kiểm tra chức năng và ngoại quan sản phẩm...Đồng hồ vạn năng......1</t>
  </si>
  <si>
    <t xml:space="preserve">GA-FC EX...Kiểm tra chức năng và ngoại quan sản phẩm...Đồng hồ vạn năng dùng cho sản xuất......1</t>
  </si>
  <si>
    <t xml:space="preserve">;16/01/2026 11:37:26: GA-FC EX...Kiểm tra chức năng và ngoại quan sản phẩm...Đồng hồ vạn năng dùng cho sản xuất......1</t>
  </si>
  <si>
    <t xml:space="preserve">Inspect the product's functionality and appearance.</t>
  </si>
  <si>
    <t xml:space="preserve">a24ad671</t>
  </si>
  <si>
    <t xml:space="preserve">GA-FC EX...Dán label, bọc vỏ nilon, gấp vỏ hộp...Màn hình......1</t>
  </si>
  <si>
    <t xml:space="preserve">3be53bb6</t>
  </si>
  <si>
    <t xml:space="preserve">GA-FC EX...Dán label, bọc vỏ nilon, gấp vỏ hộp...Súng Scan Barcode......1</t>
  </si>
  <si>
    <t xml:space="preserve">8eef2921</t>
  </si>
  <si>
    <t xml:space="preserve">Gấp hộp ngoài, đặt hộp, dán niêm phong</t>
  </si>
  <si>
    <t xml:space="preserve">GA-FC EX...Gấp hộp ngoài, đặt hộp, dán niêm phong...Máy tính......1</t>
  </si>
  <si>
    <t xml:space="preserve">Fold the outer box, place the box, and affix the seal.</t>
  </si>
  <si>
    <t xml:space="preserve">80ea1180</t>
  </si>
  <si>
    <t xml:space="preserve">GA-FC EX...Gấp hộp ngoài, đặt hộp, dán niêm phong...Màn hình......1</t>
  </si>
  <si>
    <t xml:space="preserve">9c624928</t>
  </si>
  <si>
    <t xml:space="preserve">GA-FC EX...Gấp hộp ngoài, đặt hộp, dán niêm phong...Súng Scan Barcode......1</t>
  </si>
  <si>
    <t xml:space="preserve">d9a305fc</t>
  </si>
  <si>
    <t xml:space="preserve">DROP TRIVIA...Dập chân pin...Máy dập khí nén......1</t>
  </si>
  <si>
    <t xml:space="preserve">9c604820</t>
  </si>
  <si>
    <t xml:space="preserve">Lắp ráp bo mạch PCB và nắp đậy loa</t>
  </si>
  <si>
    <t xml:space="preserve">DROP TRIVIA...Lắp ráp bo mạch PCB và nắp đậy loa...Súng bắn vít nhỏ......4</t>
  </si>
  <si>
    <t xml:space="preserve">DROP TRIVIA...Lắp ráp bo mạch PCB và nắp đậy loa...Súng bắn vít......4</t>
  </si>
  <si>
    <t xml:space="preserve">;30/10/2025 09:15:37: DROP TRIVIA...Lắp ráp bo mạch PCB và nắp đậy loa...Súng bắn vít nhỏ......2;30/10/2025 09:24:32: DROP TRIVIA...Lắp ráp bo mạch PCB và nắp đậy loa...Súng bắn vít nhỏ......4;06/11/2025 09:25:02: DROP TRIVIA...Lắp ráp bo mạch PCB và nắp đậy loa...Súng bắn vít......4</t>
  </si>
  <si>
    <t xml:space="preserve">Assemble the PCB board and speaker cover.</t>
  </si>
  <si>
    <t xml:space="preserve">bc67fcff</t>
  </si>
  <si>
    <t xml:space="preserve">Nắp nút nhựa, chi tiết nhựa và bắn vít</t>
  </si>
  <si>
    <t xml:space="preserve">DROP TRIVIA...Nắp nút nhựa, chi tiết nhựa và bắn vít...Súng bắn vít nhỏ......2</t>
  </si>
  <si>
    <t xml:space="preserve">DROP TRIVIA...Nắp nút nhựa, chi tiết nhựa và bắn vít...Súng bắn vít......2</t>
  </si>
  <si>
    <t xml:space="preserve">;30/10/2025 09:17:07: DROP TRIVIA...Nắp nút nhựa, chi tiết nhựa và bắn vít...Súng bắn vít nhỏ......2;06/11/2025 09:28:49: DROP TRIVIA...Nắp nút nhựa, chi tiết nhựa và bắn vít...Súng bắn vít......2</t>
  </si>
  <si>
    <t xml:space="preserve">Plastic cap, plastic parts, and screws.</t>
  </si>
  <si>
    <t xml:space="preserve">6c3787a4</t>
  </si>
  <si>
    <t xml:space="preserve">Kiểm tra ngoại quan và chức năng</t>
  </si>
  <si>
    <t xml:space="preserve">DROP TRIVIA...Kiểm tra ngoại quan và chức năng...Ampe kế......4</t>
  </si>
  <si>
    <t xml:space="preserve">;30/10/2025 09:19:34: DROP TRIVIA...Kiểm tra ngoại quan và chức năng...Ampe kế......4</t>
  </si>
  <si>
    <t xml:space="preserve">Visual and functional inspection</t>
  </si>
  <si>
    <t xml:space="preserve">a6eaae9a</t>
  </si>
  <si>
    <t xml:space="preserve">Lắp nắp pin và siết vít</t>
  </si>
  <si>
    <t xml:space="preserve">DROP TRIVIA...Lắp nắp pin và siết vít...Súng bắn vít nhỏ......1</t>
  </si>
  <si>
    <t xml:space="preserve">DROP TRIVIA...Lắp nắp pin và siết vít...Súng bắn vít......1</t>
  </si>
  <si>
    <t xml:space="preserve">;30/10/2025 09:20:25: DROP TRIVIA...Lắp nắp pin và siết vít...Súng bắn vít nhỏ......1;06/11/2025 09:24:30: DROP TRIVIA...Lắp nắp pin và siết vít...Súng bắn vít......1</t>
  </si>
  <si>
    <t xml:space="preserve">Install the battery cover and tighten the screws.</t>
  </si>
  <si>
    <t xml:space="preserve">f23b74a5</t>
  </si>
  <si>
    <t xml:space="preserve">DROP TRIVIA...Dập datecode hộp màu...Máy laser......1</t>
  </si>
  <si>
    <t xml:space="preserve">;30/10/2025 09:21:18: DROP TRIVIA...Dập datecode hộp màu...Máy laser......1</t>
  </si>
  <si>
    <t xml:space="preserve">173cb6c3</t>
  </si>
  <si>
    <t xml:space="preserve">DROP TRIVIA...Siết vít...Máy bắn vít tự động......1</t>
  </si>
  <si>
    <t xml:space="preserve">;30/10/2025 09:21:50: DROP TRIVIA...Siết vít...Máy bắn vít tự động......1</t>
  </si>
  <si>
    <t xml:space="preserve">073c087c</t>
  </si>
  <si>
    <t xml:space="preserve">DROP TRIVIA...Siết vít...Súng bắn vít to......1</t>
  </si>
  <si>
    <t xml:space="preserve">DROP TRIVIA...Siết vít...Súng bắn vít......1</t>
  </si>
  <si>
    <t xml:space="preserve">;30/10/2025 09:23:00: DROP TRIVIA...Siết vít...Súng bắn vít to......1;06/11/2025 09:28:06: DROP TRIVIA...Siết vít...Súng bắn vít......1</t>
  </si>
  <si>
    <t xml:space="preserve">91e4cc77</t>
  </si>
  <si>
    <t xml:space="preserve">Hàn chân pin</t>
  </si>
  <si>
    <t xml:space="preserve">DROP TRIVIA...Hàn chân pin...Máy hàn......1</t>
  </si>
  <si>
    <t xml:space="preserve">;30/10/2025 09:23:52: DROP TRIVIA...Hàn chân pin...Máy hàn......1</t>
  </si>
  <si>
    <t xml:space="preserve">Soldering pins</t>
  </si>
  <si>
    <t xml:space="preserve">a9037647</t>
  </si>
  <si>
    <t xml:space="preserve">DROP TRIVIA...Hàn dây loa...Máy hàn......1</t>
  </si>
  <si>
    <t xml:space="preserve">;30/10/2025 09:24:56: DROP TRIVIA...Hàn dây loa...Máy hàn......1</t>
  </si>
  <si>
    <t xml:space="preserve">c3956d08</t>
  </si>
  <si>
    <t xml:space="preserve">Dập nhiệt đai ốc</t>
  </si>
  <si>
    <t xml:space="preserve">DROP TRIVIA...Dập nhiệt đai ốc...Máy dập nhiệt......1</t>
  </si>
  <si>
    <t xml:space="preserve">DROP TRIVIA...Dập nhiệt đai ốc...Máy dập khí nén......1</t>
  </si>
  <si>
    <t xml:space="preserve">;30/10/2025 09:25:19: DROP TRIVIA...Dập nhiệt đai ốc...Máy dập nhiệt......1;06/11/2025 16:12:10: DROP TRIVIA...Dập nhiệt đai ốc...Máy dập khí nén......1</t>
  </si>
  <si>
    <t xml:space="preserve">Heat stamping nuts</t>
  </si>
  <si>
    <t xml:space="preserve">4323f254</t>
  </si>
  <si>
    <t xml:space="preserve">Vị trí kiểm soát thừa thiếu linh kiện</t>
  </si>
  <si>
    <t xml:space="preserve">DROP TRIVIA...Vị trí kiểm soát thừa thiếu linh kiện...Cân điện tử......1</t>
  </si>
  <si>
    <t xml:space="preserve">DROP TRIVIA...Vị trí kiểm soát thừa thiếu linh kiện...Cân......1</t>
  </si>
  <si>
    <t xml:space="preserve">;30/10/2025 11:01:22: DROP TRIVIA...Vị trí kiểm soát thừa thiếu linh kiện...Cân điện tử......1;06/11/2025 16:19:46: DROP TRIVIA...Vị trí kiểm soát thừa thiếu linh kiện...Cân......1</t>
  </si>
  <si>
    <t xml:space="preserve">Location for controlling excess or shortage of components</t>
  </si>
  <si>
    <t xml:space="preserve">bc6c30ff</t>
  </si>
  <si>
    <t xml:space="preserve">Dập nam châm và lắp ráp đĩa từ</t>
  </si>
  <si>
    <t xml:space="preserve">HYPER SHOT...Dập nam châm và lắp ráp đĩa từ...Máy dập tay......1</t>
  </si>
  <si>
    <t xml:space="preserve">;30/10/2025 14:34:41: HYPER SHOT...Dập nam châm và lắp ráp đĩa từ...Máy dập tay......1</t>
  </si>
  <si>
    <t xml:space="preserve">Magnet stamping and magnetic disk assembly</t>
  </si>
  <si>
    <t xml:space="preserve">2ebf4558</t>
  </si>
  <si>
    <t xml:space="preserve">Siết vít đĩa từ</t>
  </si>
  <si>
    <t xml:space="preserve">HYPER SHOT...Siết vít đĩa từ...Súng bắn vít......2</t>
  </si>
  <si>
    <t xml:space="preserve">HYPER SHOT...Siết vít đĩa từ...Súng bắn vít......3</t>
  </si>
  <si>
    <t xml:space="preserve">;30/10/2025 14:35:45: HYPER SHOT...Siết vít đĩa từ...Súng bắn vít to......2;06/11/2025 09:28:07: HYPER SHOT...Siết vít đĩa từ...Súng bắn vít......2;21/11/2025 13:48:38: HYPER SHOT...Siết vít đĩa từ...Súng bắn vít......3</t>
  </si>
  <si>
    <t xml:space="preserve">Tighten the magnetic disc screw.</t>
  </si>
  <si>
    <t xml:space="preserve">31a89edd</t>
  </si>
  <si>
    <t xml:space="preserve">Lắp, dập chân cao su vào đáy đế và lắp dây cao su</t>
  </si>
  <si>
    <t xml:space="preserve">HYPER SHOT...Lắp, dập chân cao su vào đáy đế và lắp dây cao su...Máy dập tay......1</t>
  </si>
  <si>
    <t xml:space="preserve">;30/10/2025 14:36:52: HYPER SHOT...Lắp, dập chân cao su vào đáy đế và lắp dây cao su...Máy dập tay......1</t>
  </si>
  <si>
    <t xml:space="preserve">Attach the rubber feet to the base and attach the rubber strap.</t>
  </si>
  <si>
    <t xml:space="preserve">a29dc4ba</t>
  </si>
  <si>
    <t xml:space="preserve">Lắp nút cao su dẫn điện, hàn dây điện, PTC1</t>
  </si>
  <si>
    <t xml:space="preserve">HYPER SHOT...Lắp nút cao su dẫn điện, hàn dây điện, PTC1...Máy hàn......2</t>
  </si>
  <si>
    <t xml:space="preserve">HYPER SHOT...Lắp nút cao su dẫn điện, hàn dây điện, PTC1...Máy hàn......3</t>
  </si>
  <si>
    <t xml:space="preserve">;30/10/2025 14:38:25: HYPER SHOT...Lắp nút cao su dẫn điện, hàn dây điện, PTC1...Máy hàn......1;30/10/2025 14:52:12: HYPER SHOT...Lắp nút cao su dẫn điện, hàn dây điện, PTC1...Máy hàn......2;21/11/2025 13:50:18: HYPER SHOT...Lắp nút cao su dẫn điện, hàn dây điện, PTC1...Máy hàn......3</t>
  </si>
  <si>
    <t xml:space="preserve">Install the conductive rubber plug, solder the wires, PTC1</t>
  </si>
  <si>
    <t xml:space="preserve">9d9ff46e</t>
  </si>
  <si>
    <t xml:space="preserve">Lắp ráp mặt vỏ</t>
  </si>
  <si>
    <t xml:space="preserve">HYPER SHOT...Lắp ráp mặt vỏ...Súng bắn vít to......1</t>
  </si>
  <si>
    <t xml:space="preserve">HYPER SHOT...Lắp ráp mặt vỏ...Súng bắn vít......1</t>
  </si>
  <si>
    <t xml:space="preserve">;30/10/2025 14:39:46: HYPER SHOT...Lắp ráp mặt vỏ...Súng bắn vít to......1;06/11/2025 09:25:20: HYPER SHOT...Lắp ráp mặt vỏ...Súng bắn vít......1</t>
  </si>
  <si>
    <t xml:space="preserve">Assembly of the casing</t>
  </si>
  <si>
    <t xml:space="preserve">7fa58e9e</t>
  </si>
  <si>
    <t xml:space="preserve">Siết vít PCBA và lắp cover loa</t>
  </si>
  <si>
    <t xml:space="preserve">HYPER SHOT...Siết vít PCBA và lắp cover loa...Súng bắn vít nhỏ......2</t>
  </si>
  <si>
    <t xml:space="preserve">HYPER SHOT...Siết vít PCBA và lắp cover loa...Súng bắn vít......2</t>
  </si>
  <si>
    <t xml:space="preserve">;30/10/2025 14:41:41: HYPER SHOT...Siết vít PCBA và lắp cover loa...Súng bắn vít nhỏ......2;06/11/2025 09:28:55: HYPER SHOT...Siết vít PCBA và lắp cover loa...Súng bắn vít......2</t>
  </si>
  <si>
    <t xml:space="preserve">Tighten the PCBA screws and attach the speaker cover.</t>
  </si>
  <si>
    <t xml:space="preserve">4b081004</t>
  </si>
  <si>
    <t xml:space="preserve">Đi dây, ghép vỏ và siết vít máy chủ</t>
  </si>
  <si>
    <t xml:space="preserve">HYPER SHOT...Đi dây, ghép vỏ và siết vít máy chủ...Máy bắn vít tự động......1</t>
  </si>
  <si>
    <t xml:space="preserve">;30/10/2025 14:43:17: HYPER SHOT...Đi dây, ghép vỏ và siết vít máy chủ...Máy bắn vít tự động......1</t>
  </si>
  <si>
    <t xml:space="preserve">Wiring, assembling the casing, and tightening the server screws.</t>
  </si>
  <si>
    <t xml:space="preserve">f8d82798</t>
  </si>
  <si>
    <t xml:space="preserve">HYPER SHOT...Đi dây, ghép vỏ và siết vít máy chủ...Súng bắn vít nhỏ......1</t>
  </si>
  <si>
    <t xml:space="preserve">HYPER SHOT...Đi dây, ghép vỏ và siết vít máy chủ...Súng bắn vít......1</t>
  </si>
  <si>
    <t xml:space="preserve">;30/10/2025 14:44:42: HYPER SHOT...Đi dây, ghép vỏ và siết vít máy chủ...Súng bắn vít nhỏ......1;05/11/2025 07:04:05: HYPER SHOT...Đi dây, ghép vỏ và siết vít máy chủ...Súng bắn vít......1</t>
  </si>
  <si>
    <t xml:space="preserve">c82352e3</t>
  </si>
  <si>
    <t xml:space="preserve">HYPER SHOT...Kiểm tra ngoại quan và chức năng...Ampe kế......2</t>
  </si>
  <si>
    <t xml:space="preserve">HYPER SHOT...Kiểm tra ngoại quan và chức năng...Ampe kế......3</t>
  </si>
  <si>
    <t xml:space="preserve">;30/10/2025 14:46:07: HYPER SHOT...Kiểm tra ngoại quan và chức năng...Ampe kế......2;30/10/2025 14:57:40: HYPER SHOT...Kiểm tra ngoại quan và chức năng...Ampe kế......3</t>
  </si>
  <si>
    <t xml:space="preserve">b5aa2cc6</t>
  </si>
  <si>
    <t xml:space="preserve">HYPER SHOT...Vị trí kiểm soát thừa thiếu linh kiện...Cân điện tử......1</t>
  </si>
  <si>
    <t xml:space="preserve">HYPER SHOT...Vị trí kiểm soát thừa thiếu linh kiện...Cân......1</t>
  </si>
  <si>
    <t xml:space="preserve">;30/10/2025 14:47:22: HYPER SHOT...Vị trí kiểm soát thừa thiếu linh kiện...Cân điện tử......1;06/11/2025 16:19:56: HYPER SHOT...Vị trí kiểm soát thừa thiếu linh kiện...Cân......1</t>
  </si>
  <si>
    <t xml:space="preserve">4d20d11d</t>
  </si>
  <si>
    <t xml:space="preserve">Siết vít nắp pin và lắp chân đế vào sản phẩm</t>
  </si>
  <si>
    <t xml:space="preserve">HYPER SHOT...Siết vít nắp pin và lắp chân đế vào sản phẩm...Súng bắn vít nhỏ......1</t>
  </si>
  <si>
    <t xml:space="preserve">HYPER SHOT...Siết vít nắp pin và lắp chân đế vào sản phẩm...Súng bắn vít......1</t>
  </si>
  <si>
    <t xml:space="preserve">;30/10/2025 14:48:06: HYPER SHOT...Siết vít nắp pin và lắp chân đế vào sản phẩm...Súng bắn vít nhỏ......1;06/11/2025 09:28:54: HYPER SHOT...Siết vít nắp pin và lắp chân đế vào sản phẩm...Súng bắn vít......1</t>
  </si>
  <si>
    <t xml:space="preserve">Tighten the battery cover screws and attach the base to the product.</t>
  </si>
  <si>
    <t xml:space="preserve">c9ff29c8</t>
  </si>
  <si>
    <t xml:space="preserve">Laser datecode hộp màu và sản phẩm</t>
  </si>
  <si>
    <t xml:space="preserve">HYPER SHOT...Laser datecode hộp màu và sản phẩm...Máy laser......1</t>
  </si>
  <si>
    <t xml:space="preserve">;30/10/2025 14:48:58: HYPER SHOT...Laser datecode hộp màu và sản phẩm...Máy laser......1</t>
  </si>
  <si>
    <t xml:space="preserve">Laser datecode color box and product</t>
  </si>
  <si>
    <t xml:space="preserve">5d9f3efa</t>
  </si>
  <si>
    <t xml:space="preserve">HYPER SHOT...Sửa hàng...Súng bắn vít to......1</t>
  </si>
  <si>
    <t xml:space="preserve">HYPER SHOT...Sửa hàng...Súng bắn vít......1</t>
  </si>
  <si>
    <t xml:space="preserve">;30/10/2025 14:50:19: HYPER SHOT...Sửa hàng...Súng bắn vít to......1;06/11/2025 09:28:26: HYPER SHOT...Sửa hàng...Súng bắn vít......1</t>
  </si>
  <si>
    <t xml:space="preserve">7b79d301</t>
  </si>
  <si>
    <t xml:space="preserve">HYPER SHOT...Hàn dây pin...Máy hàn......1</t>
  </si>
  <si>
    <t xml:space="preserve">;30/10/2025 14:50:49: HYPER SHOT...Hàn dây pin...Máy hàn......1</t>
  </si>
  <si>
    <t xml:space="preserve">6036ec34</t>
  </si>
  <si>
    <t xml:space="preserve">HYPER SHOT...Hàn dây loa...Máy hàn......1</t>
  </si>
  <si>
    <t xml:space="preserve">;30/10/2025 14:51:18: HYPER SHOT...Hàn dây loa...Máy hàn......1</t>
  </si>
  <si>
    <t xml:space="preserve">3ab08c64</t>
  </si>
  <si>
    <t xml:space="preserve">HYPER SHOT...Dập đai ốc...Máy dập nhiệt......1</t>
  </si>
  <si>
    <t xml:space="preserve">HYPER SHOT...Dập đai ốc...Máy dập khí nén......1</t>
  </si>
  <si>
    <t xml:space="preserve">;30/10/2025 14:52:25: HYPER SHOT...Dập đai ốc...Máy dập nhiệt......1;06/11/2025 16:11:17: HYPER SHOT...Dập đai ốc...Máy dập khí nén......1</t>
  </si>
  <si>
    <t xml:space="preserve">37f9541c</t>
  </si>
  <si>
    <t xml:space="preserve">Logtag</t>
  </si>
  <si>
    <t xml:space="preserve">Nạp chương trình</t>
  </si>
  <si>
    <t xml:space="preserve">TRED30-16R...Nạp chương trình...Máy tính......1</t>
  </si>
  <si>
    <t xml:space="preserve">Load the program</t>
  </si>
  <si>
    <t xml:space="preserve">9c440222</t>
  </si>
  <si>
    <t xml:space="preserve">TRED30-16R...Nạp chương trình...Màn hình......1</t>
  </si>
  <si>
    <t xml:space="preserve">f18fa77b</t>
  </si>
  <si>
    <t xml:space="preserve">Hàn thạch anh</t>
  </si>
  <si>
    <t xml:space="preserve">TRED30-16R...Hàn thạch anh...Máy hàn......1</t>
  </si>
  <si>
    <t xml:space="preserve">Quartz welding</t>
  </si>
  <si>
    <t xml:space="preserve">d1166baf</t>
  </si>
  <si>
    <t xml:space="preserve">Dập đinh tán</t>
  </si>
  <si>
    <t xml:space="preserve">TRED30-16R...Dập đinh tán...Kính lúp để bàn......1</t>
  </si>
  <si>
    <t xml:space="preserve">Riveting</t>
  </si>
  <si>
    <t xml:space="preserve">ae5a2ca5</t>
  </si>
  <si>
    <t xml:space="preserve">TRED30-16R...Dập đinh tán...Máy dập đinh tán......1</t>
  </si>
  <si>
    <t xml:space="preserve">f550d5c0</t>
  </si>
  <si>
    <t xml:space="preserve">Phủ keo RTV</t>
  </si>
  <si>
    <t xml:space="preserve">TRED30-16R...Phủ keo RTV...Máy bơm keo......1</t>
  </si>
  <si>
    <t xml:space="preserve">RTV coating</t>
  </si>
  <si>
    <t xml:space="preserve">62944fdf</t>
  </si>
  <si>
    <t xml:space="preserve">Gia công sensor</t>
  </si>
  <si>
    <t xml:space="preserve">TRED30-16R...Gia công sensor...Máy hàn......1</t>
  </si>
  <si>
    <t xml:space="preserve">Sensor machining</t>
  </si>
  <si>
    <t xml:space="preserve">6e5a5894</t>
  </si>
  <si>
    <t xml:space="preserve">Dập vỏ</t>
  </si>
  <si>
    <t xml:space="preserve">TRED30-16R...Dập vỏ...Súng bắn vít......1</t>
  </si>
  <si>
    <t xml:space="preserve">Crush the shell</t>
  </si>
  <si>
    <t xml:space="preserve">6e2ece73</t>
  </si>
  <si>
    <t xml:space="preserve">Test setup</t>
  </si>
  <si>
    <t xml:space="preserve">TRED30-16R...Test setup...Máy tính......1</t>
  </si>
  <si>
    <t xml:space="preserve">50e483ef</t>
  </si>
  <si>
    <t xml:space="preserve">TRED30-16R...Test setup...Màn hình......1</t>
  </si>
  <si>
    <t xml:space="preserve">c42157a8</t>
  </si>
  <si>
    <t xml:space="preserve">Kiểm tra pin và bắn vít</t>
  </si>
  <si>
    <t xml:space="preserve">TRED30-16R...Kiểm tra pin và bắn vít...Súng bắn vít......1</t>
  </si>
  <si>
    <t xml:space="preserve">Check the battery and tighten the screws.</t>
  </si>
  <si>
    <t xml:space="preserve">3017010a</t>
  </si>
  <si>
    <t xml:space="preserve">TRED30-16R...Hàn loa...Máy hàn......1</t>
  </si>
  <si>
    <t xml:space="preserve">e9a61356</t>
  </si>
  <si>
    <t xml:space="preserve">TRED30-16R...Hàn chân pin...Máy hàn......1</t>
  </si>
  <si>
    <t xml:space="preserve">de14c016</t>
  </si>
  <si>
    <t xml:space="preserve">PCBA Test</t>
  </si>
  <si>
    <t xml:space="preserve">TRED30-16R...PCBA Test...Máy tính......3</t>
  </si>
  <si>
    <t xml:space="preserve">ef28b29d</t>
  </si>
  <si>
    <t xml:space="preserve">TRED30-16R...PCBA Test...Màn hình......3</t>
  </si>
  <si>
    <t xml:space="preserve">e652e62d</t>
  </si>
  <si>
    <t xml:space="preserve">TRED30-16R...Packing...Súng Scan Barcode......4</t>
  </si>
  <si>
    <t xml:space="preserve">642b0d84</t>
  </si>
  <si>
    <t xml:space="preserve">USRIC-8/16 V4</t>
  </si>
  <si>
    <t xml:space="preserve">USRIC-8/16 V4...Nạp chương trình IC...Máy tính......1</t>
  </si>
  <si>
    <t xml:space="preserve">6875a48a</t>
  </si>
  <si>
    <t xml:space="preserve">USRIC-8/16 V4...Nạp chương trình IC...Màn hình......1</t>
  </si>
  <si>
    <t xml:space="preserve">13d55696</t>
  </si>
  <si>
    <t xml:space="preserve">USRIC-8/16 V4...PCBA Test...Màn hình......3</t>
  </si>
  <si>
    <t xml:space="preserve">5afdaa92</t>
  </si>
  <si>
    <t xml:space="preserve">USRIC-8/16 V4...PCBA Test...Máy tính......3</t>
  </si>
  <si>
    <t xml:space="preserve">ff76a458</t>
  </si>
  <si>
    <t xml:space="preserve">USRIC-8/16 V4...Test setup...Máy tính......1</t>
  </si>
  <si>
    <t xml:space="preserve">052315df</t>
  </si>
  <si>
    <t xml:space="preserve">USRIC-8/16 V4...Test setup...Màn hình......1</t>
  </si>
  <si>
    <t xml:space="preserve">a8b4c728</t>
  </si>
  <si>
    <t xml:space="preserve">USRIC-8/16 V4...Test final...Máy tính......1</t>
  </si>
  <si>
    <t xml:space="preserve">b0dbde9c</t>
  </si>
  <si>
    <t xml:space="preserve">USRIC-8/16 V4...Test final...Màn hình......1</t>
  </si>
  <si>
    <t xml:space="preserve">8faebe45</t>
  </si>
  <si>
    <t xml:space="preserve">USRIC-8/16 V4...Hàn thạch anh...Máy hàn......1</t>
  </si>
  <si>
    <t xml:space="preserve">43e72f3c</t>
  </si>
  <si>
    <t xml:space="preserve">USRIC-8/16 V4...Hàn chân pin...Máy hàn......1</t>
  </si>
  <si>
    <t xml:space="preserve">327346cd</t>
  </si>
  <si>
    <t xml:space="preserve">Hàn tụ</t>
  </si>
  <si>
    <t xml:space="preserve">USRIC-8/16 V4...Hàn tụ...Máy hàn......1</t>
  </si>
  <si>
    <t xml:space="preserve">Cold gathering</t>
  </si>
  <si>
    <t xml:space="preserve">943b49af</t>
  </si>
  <si>
    <t xml:space="preserve">USRIC-8/16 V4...Siết vít...Súng bắn vít......2</t>
  </si>
  <si>
    <t xml:space="preserve">81587d3a</t>
  </si>
  <si>
    <t xml:space="preserve">ST100K-15</t>
  </si>
  <si>
    <t xml:space="preserve">Gia công sensor và đầu dò nhiệt</t>
  </si>
  <si>
    <t xml:space="preserve">ST100K-15...Gia công sensor và đầu dò nhiệt...Máy hàn......1</t>
  </si>
  <si>
    <t xml:space="preserve">Machining of temperature sensors and probes.</t>
  </si>
  <si>
    <t xml:space="preserve">b0826640</t>
  </si>
  <si>
    <t xml:space="preserve">Hàn sensor</t>
  </si>
  <si>
    <t xml:space="preserve">ST100K-15...Hàn sensor...Máy hàn......1</t>
  </si>
  <si>
    <t xml:space="preserve">Sensor welding</t>
  </si>
  <si>
    <t xml:space="preserve">ef90955e</t>
  </si>
  <si>
    <t xml:space="preserve">Test dây đầu dò cảm biến</t>
  </si>
  <si>
    <t xml:space="preserve">ST100K-15...Test dây đầu dò cảm biến...Hộp tạo nhiệt độ lạnh......1</t>
  </si>
  <si>
    <t xml:space="preserve">Test the sensor probe wire.</t>
  </si>
  <si>
    <t xml:space="preserve">f1f16c4f</t>
  </si>
  <si>
    <t xml:space="preserve">Dập ống sắt</t>
  </si>
  <si>
    <t xml:space="preserve">ST100K-15...Dập ống sắt...Máy dập đinh tán......1</t>
  </si>
  <si>
    <t xml:space="preserve">Iron pipe stamping</t>
  </si>
  <si>
    <t xml:space="preserve">255d0206</t>
  </si>
  <si>
    <t xml:space="preserve">Khò ống co nhiệt</t>
  </si>
  <si>
    <t xml:space="preserve">ST100K-15...Khò ống co nhiệt...Trạm khò......1</t>
  </si>
  <si>
    <t xml:space="preserve">Heat shrink tubing</t>
  </si>
  <si>
    <t xml:space="preserve">225d1143</t>
  </si>
  <si>
    <t xml:space="preserve">Sấy ống co nhiệt</t>
  </si>
  <si>
    <t xml:space="preserve">ST100K-15...Sấy ống co nhiệt...Trạm khò......1</t>
  </si>
  <si>
    <t xml:space="preserve">Heat shrink tubing drying</t>
  </si>
  <si>
    <t xml:space="preserve">e8e6deef</t>
  </si>
  <si>
    <t xml:space="preserve">USRID-HAXO-8 V3...Nạp chương trình IC...Máy tính......1</t>
  </si>
  <si>
    <t xml:space="preserve">;31/10/2025 14:33:37: USRID-HAXO-8 V3...Nạp chương trình IC...Máy tính......1;26/02/2026 18:28:31: ............0</t>
  </si>
  <si>
    <t xml:space="preserve">6c0b1b9d</t>
  </si>
  <si>
    <t xml:space="preserve">USRID-HAXO-8 V3...Nạp chương trình IC...Màn hình......1</t>
  </si>
  <si>
    <t xml:space="preserve">;31/10/2025 14:39:58: USRID-HAXO-8 V3...Nạp chương trình IC...Màn hình......1;26/02/2026 18:28:34: ............0</t>
  </si>
  <si>
    <t xml:space="preserve">39c2022a</t>
  </si>
  <si>
    <t xml:space="preserve">USRID-HAXO-8 V3...PCBA Test...Máy tính......3</t>
  </si>
  <si>
    <t xml:space="preserve">;31/10/2025 14:40:16: USRID-HAXO-8 V3...PCBA Test...Máy tính......1;31/10/2025 14:41:40: USRID-HAXO-8 V3...PCBA Test...Máy tính......3;26/02/2026 18:28:45: ............0</t>
  </si>
  <si>
    <t xml:space="preserve">e0791c7a</t>
  </si>
  <si>
    <t xml:space="preserve">USRID-HAXO-8 V3...PCBA Test...Màn hình......3</t>
  </si>
  <si>
    <t xml:space="preserve">;31/10/2025 14:40:32: USRID-HAXO-8 V3...PCBA Test...Màn hình......1;31/10/2025 14:41:52: USRID-HAXO-8 V3...PCBA Test...Màn hình......3;26/02/2026 18:28:45: ............0</t>
  </si>
  <si>
    <t xml:space="preserve">ef493337</t>
  </si>
  <si>
    <t xml:space="preserve">USRID-HAXO-8 V3...Test setup...Máy tính......1</t>
  </si>
  <si>
    <t xml:space="preserve">;31/10/2025 14:40:52: USRID-HAXO-8 V3...Test setup...Máy tính......1;26/02/2026 18:28:45: ............0</t>
  </si>
  <si>
    <t xml:space="preserve">83052f0a</t>
  </si>
  <si>
    <t xml:space="preserve">USRID-HAXO-8 V3...Test setup...Màn hình......1</t>
  </si>
  <si>
    <t xml:space="preserve">;31/10/2025 14:41:14: USRID-HAXO-8 V3...Test setup...Màn hình......1;26/02/2026 18:28:45: ............0</t>
  </si>
  <si>
    <t xml:space="preserve">69b8502b</t>
  </si>
  <si>
    <t xml:space="preserve">USRID-HAXO-8 V3...Test final...Máy tính......1</t>
  </si>
  <si>
    <t xml:space="preserve">;31/10/2025 14:42:16: USRID-HAXO-8 V3...Test final...Máy tính......1;26/02/2026 18:28:45: ............0</t>
  </si>
  <si>
    <t xml:space="preserve">579afd02</t>
  </si>
  <si>
    <t xml:space="preserve">USRID-HAXO-8 V3...Test final...Màn hình......1</t>
  </si>
  <si>
    <t xml:space="preserve">;31/10/2025 14:42:44: USRID-HAXO-8 V3...Test final...Màn hình......1;26/02/2026 18:28:45: ............0</t>
  </si>
  <si>
    <t xml:space="preserve">258a687b</t>
  </si>
  <si>
    <t xml:space="preserve">USRID-HAXO-8 V3...Hàn tụ...Máy hàn......1</t>
  </si>
  <si>
    <t xml:space="preserve">;31/10/2025 14:43:09: USRID-HAXO-8 V3...Hàn tụ...Máy hàn......1;26/02/2026 18:28:27: ............0</t>
  </si>
  <si>
    <t xml:space="preserve">2716d766</t>
  </si>
  <si>
    <t xml:space="preserve">USRID-HAXO-8 V3...Dập chân pin...Máy hàn......1</t>
  </si>
  <si>
    <t xml:space="preserve">;31/10/2025 14:43:25: USRID-HAXO-8 V3...Dập chân pin...Máy hàn......1;26/02/2026 18:28:25: ............0</t>
  </si>
  <si>
    <t xml:space="preserve">7ff3bd16</t>
  </si>
  <si>
    <t xml:space="preserve">PACKING LOGTAG</t>
  </si>
  <si>
    <t xml:space="preserve">PACKING LOGTAG...Packing...Máy tính......4</t>
  </si>
  <si>
    <t xml:space="preserve">PACKING LOGTAG...Packing...Máy tính......5</t>
  </si>
  <si>
    <t xml:space="preserve">;31/10/2025 14:48:37: PACKING LOGTAG...Packing...Máy tính......4;18/11/2025 15:34:59: PACKING LOGTAG...Packing...Máy tính......5</t>
  </si>
  <si>
    <t xml:space="preserve">6bf0981b</t>
  </si>
  <si>
    <t xml:space="preserve">PACKING LOGTAG...Packing...Màn hình......4</t>
  </si>
  <si>
    <t xml:space="preserve">PACKING LOGTAG...Packing...Màn hình......5</t>
  </si>
  <si>
    <t xml:space="preserve">;31/10/2025 14:49:28: PACKING LOGTAG...Packing...Màn hình......4;18/11/2025 15:34:45: PACKING LOGTAG...Packing...Màn hình......5</t>
  </si>
  <si>
    <t xml:space="preserve">ce724d22</t>
  </si>
  <si>
    <t xml:space="preserve">PACKING LOGTAG...Packing...Súng Scan Barcode......4</t>
  </si>
  <si>
    <t xml:space="preserve">PACKING LOGTAG...Packing...Súng Scan Barcode......5</t>
  </si>
  <si>
    <t xml:space="preserve">;31/10/2025 14:49:56: PACKING LOGTAG...Packing...Súng Scan Barcode......4;18/11/2025 15:35:28: PACKING LOGTAG...Packing...Súng Scan Barcode......5</t>
  </si>
  <si>
    <t xml:space="preserve">5749f02d</t>
  </si>
  <si>
    <t xml:space="preserve">UTRIX-16 V3...Nạp chương trình IC...Máy tính......1</t>
  </si>
  <si>
    <t xml:space="preserve">;03/11/2025 15:42:42: UTRIX-16 V3...Nạp chương trình IC...Máy tính......1</t>
  </si>
  <si>
    <t xml:space="preserve">829c5d0a</t>
  </si>
  <si>
    <t xml:space="preserve">UTRIX-16 V3......Màn hình......1</t>
  </si>
  <si>
    <t xml:space="preserve">UTRIX-16 V3...Nạp chương trình IC...Màn hình......1</t>
  </si>
  <si>
    <t xml:space="preserve">;03/11/2025 15:44:23: UTRIX-16 V3......Màn hình......1;18/11/2025 16:00:23: UTRIX-16 V3...Nạp chương trình IC...Màn hình......1</t>
  </si>
  <si>
    <t xml:space="preserve">622422ff</t>
  </si>
  <si>
    <t xml:space="preserve">UTRIX-16 V3......Máy tính......</t>
  </si>
  <si>
    <t xml:space="preserve">UTRIX-16 V3...PCBA Test...Máy tính......3</t>
  </si>
  <si>
    <t xml:space="preserve">;03/11/2025 15:44:37: UTRIX-16 V3...PCBA Test...Máy tính......3</t>
  </si>
  <si>
    <t xml:space="preserve">55a24305</t>
  </si>
  <si>
    <t xml:space="preserve">UTRIX-16 V3......Màn hình......</t>
  </si>
  <si>
    <t xml:space="preserve">UTRIX-16 V3...PCBA Test...Màn hình......3</t>
  </si>
  <si>
    <t xml:space="preserve">;03/11/2025 15:44:54: UTRIX-16 V3...PCBA Test...Màn hình......3</t>
  </si>
  <si>
    <t xml:space="preserve">c9aababf</t>
  </si>
  <si>
    <t xml:space="preserve">UTRIX-16 V3...Test setup...Màn hình......1</t>
  </si>
  <si>
    <t xml:space="preserve">;03/11/2025 15:45:10: UTRIX-16 V3...Test setup...Màn hình......1</t>
  </si>
  <si>
    <t xml:space="preserve">a08dfa31</t>
  </si>
  <si>
    <t xml:space="preserve">UTRIX-16 V3...Test setup...Máy tính......1</t>
  </si>
  <si>
    <t xml:space="preserve">;03/11/2025 15:45:23: UTRIX-16 V3...Test setup...Máy tính......1</t>
  </si>
  <si>
    <t xml:space="preserve">35905e8c</t>
  </si>
  <si>
    <t xml:space="preserve">UTRIX-16 V3...Test final...Máy tính......1</t>
  </si>
  <si>
    <t xml:space="preserve">;03/11/2025 15:45:35: UTRIX-16 V3...Test final...Máy tính......1</t>
  </si>
  <si>
    <t xml:space="preserve">fd3e20ad</t>
  </si>
  <si>
    <t xml:space="preserve">UTRIX-16 V3...Test final...Màn hình......1</t>
  </si>
  <si>
    <t xml:space="preserve">;03/11/2025 15:45:51: UTRIX-16 V3...Test final...Màn hình......1</t>
  </si>
  <si>
    <t xml:space="preserve">b966246d</t>
  </si>
  <si>
    <t xml:space="preserve">UTRIX-16 V3............</t>
  </si>
  <si>
    <t xml:space="preserve">UTRIX-16 V3...Hàn thạch anh...Máy hàn......1</t>
  </si>
  <si>
    <t xml:space="preserve">;03/11/2025 15:46:15: UTRIX-16 V3...Hàn thạch anh...Máy hàn......1</t>
  </si>
  <si>
    <t xml:space="preserve">f494678b</t>
  </si>
  <si>
    <t xml:space="preserve">Hàn cổng USB</t>
  </si>
  <si>
    <t xml:space="preserve">UTRIX-16 V3......Máy hàn......</t>
  </si>
  <si>
    <t xml:space="preserve">UTRIX-16 V3...Hàn cổng USB...Máy hàn......1</t>
  </si>
  <si>
    <t xml:space="preserve">;03/11/2025 15:46:39: UTRIX-16 V3...Hàn cổng USB...Máy hàn......1</t>
  </si>
  <si>
    <t xml:space="preserve">Soldering USB ports</t>
  </si>
  <si>
    <t xml:space="preserve">bbe96f9c</t>
  </si>
  <si>
    <t xml:space="preserve">UTRIX-16 V3...Hàn tụ...Máy hàn......1</t>
  </si>
  <si>
    <t xml:space="preserve">;03/11/2025 15:47:03: UTRIX-16 V3...Hàn tụ...Máy hàn......1</t>
  </si>
  <si>
    <t xml:space="preserve">9d24a0fe</t>
  </si>
  <si>
    <t xml:space="preserve">UTRIX-16 V3...Hàn chân pin...Máy hàn......1</t>
  </si>
  <si>
    <t xml:space="preserve">;03/11/2025 15:47:18: UTRIX-16 V3...Hàn chân pin...Máy hàn......1</t>
  </si>
  <si>
    <t xml:space="preserve">867e4e3c</t>
  </si>
  <si>
    <t xml:space="preserve">UTRIX-16 V3...Siết vít...Súng bắn vít......2</t>
  </si>
  <si>
    <t xml:space="preserve">;03/11/2025 15:48:00: UTRIX-16 V3...Siết vít...Súng bắn vít......2</t>
  </si>
  <si>
    <t xml:space="preserve">7a982483</t>
  </si>
  <si>
    <t xml:space="preserve">UTRIX-16 V3...Dập vỏ...Máy dập khí nén......1</t>
  </si>
  <si>
    <t xml:space="preserve">;03/11/2025 15:53:48: UTRIX-16 V3...Dập vỏ...Máy dập khí nén......1</t>
  </si>
  <si>
    <t xml:space="preserve">0f0fbf2c</t>
  </si>
  <si>
    <t xml:space="preserve">TRIL-16U</t>
  </si>
  <si>
    <t xml:space="preserve">Gia công cổng USB Conector</t>
  </si>
  <si>
    <t xml:space="preserve">TRIL-16U...Gia công cổng USB Conector...Máy dập tay......1</t>
  </si>
  <si>
    <t xml:space="preserve">;04/11/2025 14:34:43: TRIL-16U...Gia công cổng USB Conector...Máy dập tay......1</t>
  </si>
  <si>
    <t xml:space="preserve">USB Connector manufacturing</t>
  </si>
  <si>
    <t xml:space="preserve">574cb6ff</t>
  </si>
  <si>
    <t xml:space="preserve">TRIL-16U......Máy dập tay......</t>
  </si>
  <si>
    <t xml:space="preserve">TRIL-16U...PCBA Test...Máy tính......3</t>
  </si>
  <si>
    <t xml:space="preserve">;04/11/2025 14:36:35: TRIL-16U...PCBA Test...Máy tính......3</t>
  </si>
  <si>
    <t xml:space="preserve">6ca97d38</t>
  </si>
  <si>
    <t xml:space="preserve">TRIL-16U...PCBA Test...Màn hình......3</t>
  </si>
  <si>
    <t xml:space="preserve">;04/11/2025 14:37:00: TRIL-16U...PCBA Test...Màn hình......3</t>
  </si>
  <si>
    <t xml:space="preserve">4c0dbf4f</t>
  </si>
  <si>
    <t xml:space="preserve">TRIL-16U......Máy tính......</t>
  </si>
  <si>
    <t xml:space="preserve">TRIL-16U...Nạp chương trình IC...Máy tính......1</t>
  </si>
  <si>
    <t xml:space="preserve">;04/11/2025 14:37:51: TRIL-16U...Nạp chương trình IC...Máy tính......1</t>
  </si>
  <si>
    <t xml:space="preserve">10ac7ffc</t>
  </si>
  <si>
    <t xml:space="preserve">TRIL-16U......Màn hình......</t>
  </si>
  <si>
    <t xml:space="preserve">TRIL-16U...Nạp chương trình IC...Màn hình......1</t>
  </si>
  <si>
    <t xml:space="preserve">;04/11/2025 14:38:34: TRIL-16U...Nạp chương trình IC...Màn hình......1</t>
  </si>
  <si>
    <t xml:space="preserve">164acab3</t>
  </si>
  <si>
    <t xml:space="preserve">TRIL-16U............</t>
  </si>
  <si>
    <t xml:space="preserve">TRIL-16U...Gia công sensor...Máy dập khí nén......1</t>
  </si>
  <si>
    <t xml:space="preserve">;04/11/2025 14:38:48: TRIL-16U...Gia công sensor...Máy dập khí nén......1</t>
  </si>
  <si>
    <t xml:space="preserve">9fb4a8c5</t>
  </si>
  <si>
    <t xml:space="preserve">Hàn pin vào PCBA</t>
  </si>
  <si>
    <t xml:space="preserve">TRIL-16U...Hàn pin vào PCBA...Máy hàn......1</t>
  </si>
  <si>
    <t xml:space="preserve">;04/11/2025 14:39:46: TRIL-16U...Hàn pin vào PCBA...Máy hàn......1</t>
  </si>
  <si>
    <t xml:space="preserve">Solder the battery to the PCBA.</t>
  </si>
  <si>
    <t xml:space="preserve">5e2637a7</t>
  </si>
  <si>
    <t xml:space="preserve">TRIL-16U......Máy hàn......</t>
  </si>
  <si>
    <t xml:space="preserve">TRIL-16U...Gia công sensor...Máy hàn......1</t>
  </si>
  <si>
    <t xml:space="preserve">;04/11/2025 14:40:11: TRIL-16U...Gia công sensor...Máy hàn......1</t>
  </si>
  <si>
    <t xml:space="preserve">bee6074a</t>
  </si>
  <si>
    <t xml:space="preserve">Hàn Conector USB+ Hàn link</t>
  </si>
  <si>
    <t xml:space="preserve">TRIL-16U...Hàn Conector USB+ Hàn link...Máy hàn......1</t>
  </si>
  <si>
    <t xml:space="preserve">;04/11/2025 14:40:38: TRIL-16U...Hàn Conector USB+ Hàn link...Máy hàn......1</t>
  </si>
  <si>
    <t xml:space="preserve">Solder USB Connector + Solder Link</t>
  </si>
  <si>
    <t xml:space="preserve">16b7cbeb</t>
  </si>
  <si>
    <t xml:space="preserve">Bôi keo RTV và dập đầu dò nhiệt</t>
  </si>
  <si>
    <t xml:space="preserve">ST100S-15...Bôi keo RTV và dập đầu dò nhiệt...Máy dập đinh tán......1</t>
  </si>
  <si>
    <t xml:space="preserve">Apply RTV adhesive and seal the temperature probe.</t>
  </si>
  <si>
    <t xml:space="preserve">6f3e47b4</t>
  </si>
  <si>
    <t xml:space="preserve">ST100S-15...Check Final Model TREX-8 V2...Máy tính......1</t>
  </si>
  <si>
    <t xml:space="preserve">;04/11/2025 14:54:35: ST100S-15...Test setup...Máy tính......1;18/11/2025 15:43:36: ST100S-15...Test final...Máy tính......1;24/01/2026 11:11:11: ST100S-15...Check Final Model TREX-8 V2...Máy tính......1;27/01/2026 15:55:26: ............0</t>
  </si>
  <si>
    <t xml:space="preserve">f2e05326</t>
  </si>
  <si>
    <t xml:space="preserve">ST100S-15...Check Final Model TREX-8 V2...Màn hình......1</t>
  </si>
  <si>
    <t xml:space="preserve">;04/11/2025 14:54:52: ST100S-15...Test setup...Màn hình......1;18/11/2025 15:43:21: ST100S-15...Test final...Màn hình......1;24/01/2026 11:10:50: ST100S-15...Check Final Model TREX-8 V2...Màn hình......1;27/01/2026 15:55:26: ............0</t>
  </si>
  <si>
    <t xml:space="preserve">fdb7dbca</t>
  </si>
  <si>
    <t xml:space="preserve">ST100S-15...Hàn sensor...Máy hàn......1</t>
  </si>
  <si>
    <t xml:space="preserve">10c191d3</t>
  </si>
  <si>
    <t xml:space="preserve">ST100S-15...Sấy ống co nhiệt...Trạm khò......2</t>
  </si>
  <si>
    <t xml:space="preserve">608c54c2</t>
  </si>
  <si>
    <t xml:space="preserve">ST100S-15...Test dây đầu dò cảm biến...Hộp tạo nhiệt độ lạnh......1</t>
  </si>
  <si>
    <t xml:space="preserve">c5bc6cf0</t>
  </si>
  <si>
    <t xml:space="preserve">E-100...PCBA Test...Máy tính......4</t>
  </si>
  <si>
    <t xml:space="preserve">0bcef23a</t>
  </si>
  <si>
    <t xml:space="preserve">E-100...Nạp chương trình IC...Máy tính......1</t>
  </si>
  <si>
    <t xml:space="preserve">107d4046</t>
  </si>
  <si>
    <t xml:space="preserve">E-100...Hàn pin vào PCBA...Máy hàn......1</t>
  </si>
  <si>
    <t xml:space="preserve">f7df57bc</t>
  </si>
  <si>
    <t xml:space="preserve">E-100...Siết vít...Súng bắn vít......2</t>
  </si>
  <si>
    <t xml:space="preserve">;04/11/2025 15:02:51: E-100...Siết vít...Súng bắn vít......2;26/02/2026 18:26:03: ............0</t>
  </si>
  <si>
    <t xml:space="preserve">7fddcd98</t>
  </si>
  <si>
    <t xml:space="preserve">E-100...PCBA Test...Màn hình......4</t>
  </si>
  <si>
    <t xml:space="preserve">63686862</t>
  </si>
  <si>
    <t xml:space="preserve">E-100...Nạp chương trình IC...Màn hình......1</t>
  </si>
  <si>
    <t xml:space="preserve">cf089f79</t>
  </si>
  <si>
    <t xml:space="preserve">USRIC-4 REVB</t>
  </si>
  <si>
    <t xml:space="preserve">USRIC-4 REVB...Hàn thạch anh...Máy hàn......1</t>
  </si>
  <si>
    <t xml:space="preserve">;04/11/2025 15:21:49: USRIC-4 REVB...Hàn thạch anh...Máy hàn......1</t>
  </si>
  <si>
    <t xml:space="preserve">aeeb1716</t>
  </si>
  <si>
    <t xml:space="preserve">USRIC-4 REVB...Nạp chương trình...Máy tính......1</t>
  </si>
  <si>
    <t xml:space="preserve">USRIC-4 REVB...Nạp chương trình IC...Máy tính......1</t>
  </si>
  <si>
    <t xml:space="preserve">;04/11/2025 15:22:33: USRIC-4 REVB...Nạp chương trình...Máy tính......1;18/11/2025 15:54:13: USRIC-4 REVB...Nạp chương trình IC...Máy tính......1</t>
  </si>
  <si>
    <t xml:space="preserve">975ca6a4</t>
  </si>
  <si>
    <t xml:space="preserve">USRIC-4 REVB...Nạp chương trình...Màn hình......1</t>
  </si>
  <si>
    <t xml:space="preserve">USRIC-4 REVB...Nạp chương trình IC...Màn hình......1</t>
  </si>
  <si>
    <t xml:space="preserve">;04/11/2025 15:22:56: USRIC-4 REVB...Nạp chương trình...Màn hình......1;18/11/2025 15:53:41: USRIC-4 REVB...Nạp chương trình IC...Màn hình......1</t>
  </si>
  <si>
    <t xml:space="preserve">0852121d</t>
  </si>
  <si>
    <t xml:space="preserve">USRIC-4 REVB...PCBA Test...Máy tính......1</t>
  </si>
  <si>
    <t xml:space="preserve">USRIC-4 REVB...PCBA Test...Máy tính......3</t>
  </si>
  <si>
    <t xml:space="preserve">;04/11/2025 15:23:44: USRIC-4 REVB...PCBA Test...Máy tính......1;18/11/2025 15:54:22: USRIC-4 REVB...PCBA Test...Máy tính......3</t>
  </si>
  <si>
    <t xml:space="preserve">da144080</t>
  </si>
  <si>
    <t xml:space="preserve">USRIC-4 REVB...PCBA Test...Màn hình......1</t>
  </si>
  <si>
    <t xml:space="preserve">USRIC-4 REVB...PCBA Test...Màn hình......3</t>
  </si>
  <si>
    <t xml:space="preserve">;04/11/2025 15:24:00: USRIC-4 REVB...PCBA Test...Màn hình......1;18/11/2025 15:53:27: USRIC-4 REVB...PCBA Test...Màn hình......3</t>
  </si>
  <si>
    <t xml:space="preserve">a99e4c33</t>
  </si>
  <si>
    <t xml:space="preserve">USRIC-4 REVB......Máy hàn......</t>
  </si>
  <si>
    <t xml:space="preserve">USRIC-4 REVB...Hàn tụ...Máy hàn......1</t>
  </si>
  <si>
    <t xml:space="preserve">;04/11/2025 15:24:22: USRIC-4 REVB...Hàn tụ...Máy hàn......1</t>
  </si>
  <si>
    <t xml:space="preserve">670071d7</t>
  </si>
  <si>
    <t xml:space="preserve">TRID30-7R...Nạp chương trình IC...Máy tính......1</t>
  </si>
  <si>
    <t xml:space="preserve">;04/11/2025 15:26:23: TRID30-7R...Nạp chương trình IC...Máy tính......1</t>
  </si>
  <si>
    <t xml:space="preserve">e6f9f9d3</t>
  </si>
  <si>
    <t xml:space="preserve">TRID30-7R...PCBA Test...Máy tính......2</t>
  </si>
  <si>
    <t xml:space="preserve">TRID30-7R...PCBA Test...Máy tính......3</t>
  </si>
  <si>
    <t xml:space="preserve">;04/11/2025 15:27:30: TRID30-7R...Nạp chương trình IC...Máy tính......2;04/11/2025 15:28:50: TRID30-7R...PCBA Test...Máy tính......2;18/11/2025 15:46:03: TRID30-7R...PCBA Test...Máy tính......3</t>
  </si>
  <si>
    <t xml:space="preserve">62b45331</t>
  </si>
  <si>
    <t xml:space="preserve">TRID30-7R......Máy tính......</t>
  </si>
  <si>
    <t xml:space="preserve">TRID30-7R...Test setup...Máy tính......1</t>
  </si>
  <si>
    <t xml:space="preserve">;04/11/2025 15:28:02: TRID30-7R...Test setup...Máy tính......1</t>
  </si>
  <si>
    <t xml:space="preserve">a971cb35</t>
  </si>
  <si>
    <t xml:space="preserve">TRID30-7R...Test final...Máy tính......1</t>
  </si>
  <si>
    <t xml:space="preserve">;04/11/2025 15:28:14: TRID30-7R...Test final...Máy tính......1</t>
  </si>
  <si>
    <t xml:space="preserve">c6baf8d6</t>
  </si>
  <si>
    <t xml:space="preserve">UHADO-16...Nạp chương trình IC...Máy tính......1</t>
  </si>
  <si>
    <t xml:space="preserve">;04/11/2025 15:31:57: UHADO-16...Nạp chương trình IC...Máy tính......1</t>
  </si>
  <si>
    <t xml:space="preserve">83ae6f11</t>
  </si>
  <si>
    <t xml:space="preserve">UTRID-16F V4</t>
  </si>
  <si>
    <t xml:space="preserve">UTRID-16F V4...Nạp chương trình IC...Máy tính......1</t>
  </si>
  <si>
    <t xml:space="preserve">;04/11/2025 15:32:47: UTRID-16F V4...Nạp chương trình IC...Máy tính......1</t>
  </si>
  <si>
    <t xml:space="preserve">22a76ecf</t>
  </si>
  <si>
    <t xml:space="preserve">HAXO-8 V3...Nạp chương trình IC...Máy tính......1</t>
  </si>
  <si>
    <t xml:space="preserve">;04/11/2025 15:33:40: HAXO-8 V3...Nạp chương trình IC...Máy tính......1</t>
  </si>
  <si>
    <t xml:space="preserve">e6955335</t>
  </si>
  <si>
    <t xml:space="preserve">TRIX-8 V2...Nạp chương trình IC...Máy tính......1</t>
  </si>
  <si>
    <t xml:space="preserve">;04/11/2025 15:34:47: TRIX-8 V2...Nạp chương trình IC...Máy tính......1</t>
  </si>
  <si>
    <t xml:space="preserve">65c3b09b</t>
  </si>
  <si>
    <t xml:space="preserve">TRIX-8 V2/TRIX-16 V2...Nạp chương trình IC...Máy tính......1</t>
  </si>
  <si>
    <t xml:space="preserve">;04/11/2025 15:36:15: TRIX-8 V2/TRIX-16 V2...Nạp chương trình IC...Máy tính......1;02/03/2026 18:53:50: ............0</t>
  </si>
  <si>
    <t xml:space="preserve">9c612913</t>
  </si>
  <si>
    <t xml:space="preserve">TREX-8 V2</t>
  </si>
  <si>
    <t xml:space="preserve">TREX-8 V2...Scan barcode và dán tem...Màn hình......1</t>
  </si>
  <si>
    <t xml:space="preserve">TREX-8 V2...Nạp chương trình IC...Màn hình......1</t>
  </si>
  <si>
    <t xml:space="preserve">;04/11/2025 16:14:12: TREX-8 V2...Scan barcode và dán tem...Màn hình......1;04/11/2025 16:18:08: TREX-8 V2...Nạp chương trình IC...Màn hình......1</t>
  </si>
  <si>
    <t xml:space="preserve">962e126d</t>
  </si>
  <si>
    <t xml:space="preserve">TREX-8 V2...Scan barcode và dán tem...Máy tính......1</t>
  </si>
  <si>
    <t xml:space="preserve">TREX-8 V2...Nạp chương trình IC...Máy tính......1</t>
  </si>
  <si>
    <t xml:space="preserve">;04/11/2025 16:14:49: TREX-8 V2...Scan barcode và dán tem...Máy tính......1;04/11/2025 16:18:26: TREX-8 V2...Nạp chương trình IC...Máy tính......1</t>
  </si>
  <si>
    <t xml:space="preserve">18632b99</t>
  </si>
  <si>
    <t xml:space="preserve">TREX-8 V2............</t>
  </si>
  <si>
    <t xml:space="preserve">TREX-8 V2...Gia công sensor...Máy hàn......1</t>
  </si>
  <si>
    <t xml:space="preserve">;04/11/2025 16:16:45: TREX-8 V2...Gia công sensor...Máy hàn......1</t>
  </si>
  <si>
    <t xml:space="preserve">48931fc7</t>
  </si>
  <si>
    <t xml:space="preserve">TREX-8 V2......Máy tính......</t>
  </si>
  <si>
    <t xml:space="preserve">TREX-8 V2...PCBA Test...Máy tính......3</t>
  </si>
  <si>
    <t xml:space="preserve">;04/11/2025 16:19:13: TREX-8 V2...PCBA Test...Máy tính......3</t>
  </si>
  <si>
    <t xml:space="preserve">435c4831</t>
  </si>
  <si>
    <t xml:space="preserve">TREX-8 V2...PCBA Test...Màn hình......3</t>
  </si>
  <si>
    <t xml:space="preserve">;04/11/2025 16:19:29: TREX-8 V2...PCBA Test...Màn hình......3</t>
  </si>
  <si>
    <t xml:space="preserve">cfbe0cd3</t>
  </si>
  <si>
    <t xml:space="preserve">TREX-8 V2...Dập đinh tán...Máy dập đinh tán......1</t>
  </si>
  <si>
    <t xml:space="preserve">;04/11/2025 16:19:59: TREX-8 V2...Dập đinh tán...Máy dập đinh tán......1</t>
  </si>
  <si>
    <t xml:space="preserve">a8be4d1f</t>
  </si>
  <si>
    <t xml:space="preserve">Hàn tụ, Link</t>
  </si>
  <si>
    <t xml:space="preserve">TREX-8 V2......Máy hàn......</t>
  </si>
  <si>
    <t xml:space="preserve">TREX-8 V2...Hàn tụ, Link...Máy hàn......1</t>
  </si>
  <si>
    <t xml:space="preserve">;04/11/2025 16:22:42: TREX-8 V2...Hàn tụ, Link...Máy hàn......1</t>
  </si>
  <si>
    <t xml:space="preserve">Han Tu, Link</t>
  </si>
  <si>
    <t xml:space="preserve">4a33442a</t>
  </si>
  <si>
    <t xml:space="preserve">TREX-8 V2...Hàn sensor...Máy hàn......1</t>
  </si>
  <si>
    <t xml:space="preserve">;04/11/2025 16:23:22: TREX-8 V2...Hàn sensor...Máy hàn......1</t>
  </si>
  <si>
    <t xml:space="preserve">05a9bd39</t>
  </si>
  <si>
    <t xml:space="preserve">Kiểm tra điện áp và hàn pin</t>
  </si>
  <si>
    <t xml:space="preserve">TREX-8 V2...Kiểm tra điện áp và hàn pin...Đồng hồ vạn năng......1</t>
  </si>
  <si>
    <t xml:space="preserve">TREX-8 V2...Kiểm tra điện áp và hàn pin...Đồng hồ vạn năng dùng cho sản xuất......1</t>
  </si>
  <si>
    <t xml:space="preserve">;04/11/2025 16:25:14: TREX-8 V2...Kiểm tra điện áp và hàn pin...Đồng hồ vạn năng......1;16/01/2026 11:37:28: TREX-8 V2...Kiểm tra điện áp và hàn pin...Đồng hồ vạn năng dùng cho sản xuất......1</t>
  </si>
  <si>
    <t xml:space="preserve">Check the voltage and solder the battery.</t>
  </si>
  <si>
    <t xml:space="preserve">9103d941</t>
  </si>
  <si>
    <t xml:space="preserve">TREX-8 V2...Kiểm tra điện áp và hàn pin...Máy hàn......1</t>
  </si>
  <si>
    <t xml:space="preserve">;04/11/2025 16:25:48: TREX-8 V2...Kiểm tra điện áp và hàn pin...Máy hàn......1</t>
  </si>
  <si>
    <t xml:space="preserve">af262e64</t>
  </si>
  <si>
    <t xml:space="preserve">TREX-8 V2...Dập vỏ...Máy dập khí nén......1</t>
  </si>
  <si>
    <t xml:space="preserve">;04/11/2025 16:26:56: TREX-8 V2...Dập vỏ...Máy dập khí nén......1</t>
  </si>
  <si>
    <t xml:space="preserve">2226a4df</t>
  </si>
  <si>
    <t xml:space="preserve">Bắn vít</t>
  </si>
  <si>
    <t xml:space="preserve">TREX-8 V2...Bắn vít...Súng bắn vít......1</t>
  </si>
  <si>
    <t xml:space="preserve">;04/11/2025 16:27:26: TREX-8 V2...Bắn vít...Súng bắn vít......1</t>
  </si>
  <si>
    <t xml:space="preserve">Screw driving</t>
  </si>
  <si>
    <t xml:space="preserve">5506d59a</t>
  </si>
  <si>
    <t xml:space="preserve">TREX-8 V2...Test final...Máy tính......1</t>
  </si>
  <si>
    <t xml:space="preserve">;04/11/2025 16:28:15: TREX-8 V2...Test final...Máy tính......1</t>
  </si>
  <si>
    <t xml:space="preserve">ef81a0ff</t>
  </si>
  <si>
    <t xml:space="preserve">TREX-8 V2...Test final...Màn hình......1</t>
  </si>
  <si>
    <t xml:space="preserve">;04/11/2025 16:28:26: TREX-8 V2...Test final...Màn hình......1</t>
  </si>
  <si>
    <t xml:space="preserve">4c193aa5</t>
  </si>
  <si>
    <t xml:space="preserve">Kiểm tra pin và hàn pin</t>
  </si>
  <si>
    <t xml:space="preserve">E-100...Kiểm tra pin và hàn pin...Máy hàn......1</t>
  </si>
  <si>
    <t xml:space="preserve">Battery testing and battery soldering</t>
  </si>
  <si>
    <t xml:space="preserve">cb146130</t>
  </si>
  <si>
    <t xml:space="preserve">E-100...Kiểm tra pin và hàn pin...Đồng hồ vạn năng dùng cho sản xuất......1</t>
  </si>
  <si>
    <t xml:space="preserve">96c4ecd5</t>
  </si>
  <si>
    <t xml:space="preserve">Kết nối PCBA với vỏ và bắn vít</t>
  </si>
  <si>
    <t xml:space="preserve">E-100...Kết nối PCBA với vỏ và bắn vít...Súng bắn vít......2</t>
  </si>
  <si>
    <t xml:space="preserve">Connect the PCBA to the housing and screw it in place.</t>
  </si>
  <si>
    <t xml:space="preserve">4f0b5bc5</t>
  </si>
  <si>
    <t xml:space="preserve">TREX-8 V2...Phủ keo RTV...Máy bơm keo......1</t>
  </si>
  <si>
    <t xml:space="preserve">;05/11/2025 09:20:36: TREX-8 V2...Phủ keo RTV...Máy bơm keo......1</t>
  </si>
  <si>
    <t xml:space="preserve">577d7e25</t>
  </si>
  <si>
    <t xml:space="preserve">MI</t>
  </si>
  <si>
    <t xml:space="preserve">FCT</t>
  </si>
  <si>
    <t xml:space="preserve">FCT GOKEYS3...FCT...Máy hiện sóng......4</t>
  </si>
  <si>
    <t xml:space="preserve">2de5825e</t>
  </si>
  <si>
    <t xml:space="preserve">FCT GOKEYS3...FCT...Bàn đạp FS-5U......4</t>
  </si>
  <si>
    <t xml:space="preserve">;05/11/2025 21:36:14: FCT-GOKEYS3...PCBA Test...Bàn đạp FS-5U......1;05/11/2025 21:37:34: FCT-GOKEYS3...PCBA Test...Bàn đạp FS-5U......4;05/11/2025 21:53:09: FCT-GOKEYS3...FCT...Bàn đạp FS-5U......4;09/11/2025 20:07:57: FCT GOKEYS3...FCT...Bàn đạp FS-5U......4;22/01/2026 15:24:39: ............0</t>
  </si>
  <si>
    <t xml:space="preserve">ff884996</t>
  </si>
  <si>
    <t xml:space="preserve">FCT GOKEYS3...FCT...Bàn đạp giả (EV-5 + FS-5U )......4</t>
  </si>
  <si>
    <t xml:space="preserve">be949577</t>
  </si>
  <si>
    <t xml:space="preserve">FCT GOKEYS3...FCT...Loa CM-30......4</t>
  </si>
  <si>
    <t xml:space="preserve">54015c22</t>
  </si>
  <si>
    <t xml:space="preserve">FCT GOKEYS3...FCT...USB Memory......4</t>
  </si>
  <si>
    <t xml:space="preserve">43e4fc52</t>
  </si>
  <si>
    <t xml:space="preserve">FCT GOKEYS3...FCT...Iphone......4</t>
  </si>
  <si>
    <t xml:space="preserve">6bc32922</t>
  </si>
  <si>
    <t xml:space="preserve">FCT GOKEYS5...FCT...Máy hiện sóng......8</t>
  </si>
  <si>
    <t xml:space="preserve">94aa7120</t>
  </si>
  <si>
    <t xml:space="preserve">FCT GOKEYS5...FCT...Máy tạo sóng......4</t>
  </si>
  <si>
    <t xml:space="preserve">a4cbb76c</t>
  </si>
  <si>
    <t xml:space="preserve">FCT GOKEYS5...FCT...Bàn đạp EV-5......4</t>
  </si>
  <si>
    <t xml:space="preserve">;06/11/2025 09:12:56: FCT GOKEYS5...FCT...Bàn đạp EV-5......4;22/01/2026 15:25:28: ............0</t>
  </si>
  <si>
    <t xml:space="preserve">89ae661a</t>
  </si>
  <si>
    <t xml:space="preserve">FCT GOKEYS5...FCT...Bàn đạp FS-5U......4</t>
  </si>
  <si>
    <t xml:space="preserve">;06/11/2025 09:13:44: FCT GOKEYS5...FCT...Bàn đạp FS-5U......4;22/01/2026 15:25:24: ............0</t>
  </si>
  <si>
    <t xml:space="preserve">00057b75</t>
  </si>
  <si>
    <t xml:space="preserve">FCT GOKEYS5...FCT...Bàn đạp giả (EV-5 + FS-5U )......4</t>
  </si>
  <si>
    <t xml:space="preserve">d3b72c52</t>
  </si>
  <si>
    <t xml:space="preserve">FCT GOKEYS5...FCT...Loa CM-30......4</t>
  </si>
  <si>
    <t xml:space="preserve">b5d132ee</t>
  </si>
  <si>
    <t xml:space="preserve">FCT GOKEYS5...FCT...USB Memory......4</t>
  </si>
  <si>
    <t xml:space="preserve">c6612785</t>
  </si>
  <si>
    <t xml:space="preserve">FCT GOKEYS5...FCT...Iphone......4</t>
  </si>
  <si>
    <t xml:space="preserve">7eac2724</t>
  </si>
  <si>
    <t xml:space="preserve">CUBE-ST2...Chassis...Bàn đạp giả (EV-5 + FS-5U )......6</t>
  </si>
  <si>
    <t xml:space="preserve">62b5652b</t>
  </si>
  <si>
    <t xml:space="preserve">CUBE-ST2...Test final...Máy tính......1</t>
  </si>
  <si>
    <t xml:space="preserve">cc2c7541</t>
  </si>
  <si>
    <t xml:space="preserve">FCT GX-1...FCT...Máy tính......3</t>
  </si>
  <si>
    <t xml:space="preserve">cdda3529</t>
  </si>
  <si>
    <t xml:space="preserve">FCT GX-1...FCT...Đồng hồ vạn năng dùng cho sản xuất......3</t>
  </si>
  <si>
    <t xml:space="preserve">7b271878</t>
  </si>
  <si>
    <t xml:space="preserve">KTN-MINI...Lắp , hàn khay pin...Máy hút khói di động......2</t>
  </si>
  <si>
    <t xml:space="preserve">d5eb9757</t>
  </si>
  <si>
    <t xml:space="preserve">KTN-MINI...Packing...Màn hình......2</t>
  </si>
  <si>
    <t xml:space="preserve">01ff67a7</t>
  </si>
  <si>
    <t xml:space="preserve">Dây thít</t>
  </si>
  <si>
    <t xml:space="preserve">KTN-MINI...Dây thít...Súng bắn dây thít......1</t>
  </si>
  <si>
    <t xml:space="preserve">Cable ties</t>
  </si>
  <si>
    <t xml:space="preserve">2d3d389f</t>
  </si>
  <si>
    <t xml:space="preserve">VE-500...Kiểm tra chức năng (final test)...Đồng hồ vạn năng......1</t>
  </si>
  <si>
    <t xml:space="preserve">VE-500...Kiểm tra chức năng (final test)...Đồng hồ vạn năng dùng cho sản xuất......1</t>
  </si>
  <si>
    <t xml:space="preserve">;16/01/2026 11:36:53: VE-500...Kiểm tra chức năng (final test)...Đồng hồ vạn năng dùng cho sản xuất......1</t>
  </si>
  <si>
    <t xml:space="preserve">405c4ff9</t>
  </si>
  <si>
    <t xml:space="preserve">Dập bằng tay</t>
  </si>
  <si>
    <t xml:space="preserve">VE-500...Dập bằng tay...Máy dập tay......1</t>
  </si>
  <si>
    <t xml:space="preserve">Hand stamping</t>
  </si>
  <si>
    <t xml:space="preserve">d8d30c4d</t>
  </si>
  <si>
    <t xml:space="preserve">VE-500...Packing...Màn hình......2</t>
  </si>
  <si>
    <t xml:space="preserve">d0c0293b</t>
  </si>
  <si>
    <t xml:space="preserve">VE-500...Test final...Màn hình......1</t>
  </si>
  <si>
    <t xml:space="preserve">;07/11/2025 09:46:53: VE-500...Test final...Màn hình......1;05/01/2026 09:45:28: ............0</t>
  </si>
  <si>
    <t xml:space="preserve">9069a185</t>
  </si>
  <si>
    <t xml:space="preserve">UM-ONE MK2B...Packing...Màn hình......4</t>
  </si>
  <si>
    <t xml:space="preserve">47820102</t>
  </si>
  <si>
    <t xml:space="preserve">UM-ONE MK2B...Dập chữ BOSS, lắp nắp trước, siết vít, dán bọt biển...Máy dập hot stamping......1</t>
  </si>
  <si>
    <t xml:space="preserve">3d539cf1</t>
  </si>
  <si>
    <t xml:space="preserve">Hàn linh kiện</t>
  </si>
  <si>
    <t xml:space="preserve">UM-ONE MK2B...Hàn linh kiện...Máy hút khói di động......3</t>
  </si>
  <si>
    <t xml:space="preserve">Soldering components</t>
  </si>
  <si>
    <t xml:space="preserve">e0d9ea88</t>
  </si>
  <si>
    <t xml:space="preserve">Cắt băng dính</t>
  </si>
  <si>
    <t xml:space="preserve">UM-ONE MK2B...Cắt băng dính...Máy cắt băng dính......1</t>
  </si>
  <si>
    <t xml:space="preserve">Cut the tape.</t>
  </si>
  <si>
    <t xml:space="preserve">59994de8</t>
  </si>
  <si>
    <t xml:space="preserve">GT-1...Kiểm tra chức năng (final test)...Noise Meter......1</t>
  </si>
  <si>
    <t xml:space="preserve">9f7b491b</t>
  </si>
  <si>
    <t xml:space="preserve">GT-1...Kiểm tra chức năng (final test)...Loa CM-30......2</t>
  </si>
  <si>
    <t xml:space="preserve">a6d1d8f2</t>
  </si>
  <si>
    <t xml:space="preserve">GT-1...Packing...Máy tính......5</t>
  </si>
  <si>
    <t xml:space="preserve">607cb64b</t>
  </si>
  <si>
    <t xml:space="preserve">GT-1...Packing...Màn hình......2</t>
  </si>
  <si>
    <t xml:space="preserve">6c421af3</t>
  </si>
  <si>
    <t xml:space="preserve">GT-1...Hàn linh kiện...Máy hàn......1</t>
  </si>
  <si>
    <t xml:space="preserve">383b0f0c</t>
  </si>
  <si>
    <t xml:space="preserve">GT-1...Hàn linh kiện...Máy hút khói di động......1</t>
  </si>
  <si>
    <t xml:space="preserve">fbd07845</t>
  </si>
  <si>
    <t xml:space="preserve">GT-1...Dây thít...Súng bắn dây thít......1</t>
  </si>
  <si>
    <t xml:space="preserve">0cb60bb9</t>
  </si>
  <si>
    <t xml:space="preserve">GT-1...Siết vít...Súng bắn vít......8</t>
  </si>
  <si>
    <t xml:space="preserve">c3cb641f</t>
  </si>
  <si>
    <t xml:space="preserve">Bơm keo</t>
  </si>
  <si>
    <t xml:space="preserve">GT-1...Bơm keo...Máy bơm keo......1</t>
  </si>
  <si>
    <t xml:space="preserve">Glue pump</t>
  </si>
  <si>
    <t xml:space="preserve">984c1a8e</t>
  </si>
  <si>
    <t xml:space="preserve">GT-1...Cắt băng dính...Máy cắt băng dính......1</t>
  </si>
  <si>
    <t xml:space="preserve">abee2d63</t>
  </si>
  <si>
    <t xml:space="preserve">GT-1...Packing...Súng Scan Barcode......2</t>
  </si>
  <si>
    <t xml:space="preserve">e7c3fbc3</t>
  </si>
  <si>
    <t xml:space="preserve">GT-1...Dập bằng tay...Máy dập tay......1</t>
  </si>
  <si>
    <t xml:space="preserve">47fc63cb</t>
  </si>
  <si>
    <t xml:space="preserve">GT-1B</t>
  </si>
  <si>
    <t xml:space="preserve">GT-1B...Packing...Máy tính......5</t>
  </si>
  <si>
    <t xml:space="preserve">a5cf6fd1</t>
  </si>
  <si>
    <t xml:space="preserve">GT-1B...Packing...Màn hình......2</t>
  </si>
  <si>
    <t xml:space="preserve">1a45fc29</t>
  </si>
  <si>
    <t xml:space="preserve">GT-1B...Hàn linh kiện...Máy hàn......1</t>
  </si>
  <si>
    <t xml:space="preserve">38ad1d8d</t>
  </si>
  <si>
    <t xml:space="preserve">GT-1B...Hàn linh kiện...Máy hút khói di động......1</t>
  </si>
  <si>
    <t xml:space="preserve">bb62b42c</t>
  </si>
  <si>
    <t xml:space="preserve">Dập linh kiện</t>
  </si>
  <si>
    <t xml:space="preserve">GT-1B...Dập linh kiện...Máy dập khí nén......2</t>
  </si>
  <si>
    <t xml:space="preserve">Component stamping</t>
  </si>
  <si>
    <t xml:space="preserve">31419bb2</t>
  </si>
  <si>
    <t xml:space="preserve">GT-1B...Dây thít...Súng bắn dây thít......1</t>
  </si>
  <si>
    <t xml:space="preserve">2369ac8a</t>
  </si>
  <si>
    <t xml:space="preserve">GT-1B...Siết vít...Súng bắn vít......8</t>
  </si>
  <si>
    <t xml:space="preserve">e14ded4d</t>
  </si>
  <si>
    <t xml:space="preserve">GT-1B...Bơm keo...Máy bơm keo......1</t>
  </si>
  <si>
    <t xml:space="preserve">1884ba20</t>
  </si>
  <si>
    <t xml:space="preserve">GT-1B...Cắt băng dính...Máy cắt băng dính......1</t>
  </si>
  <si>
    <t xml:space="preserve">0d1583d2</t>
  </si>
  <si>
    <t xml:space="preserve">GT-1B...Packing...Súng Scan Barcode......2</t>
  </si>
  <si>
    <t xml:space="preserve">466e61ff</t>
  </si>
  <si>
    <t xml:space="preserve">GT-1B...Dập bằng tay...Máy dập tay......1</t>
  </si>
  <si>
    <t xml:space="preserve">a287a6f8</t>
  </si>
  <si>
    <t xml:space="preserve">GT-1B...Kiểm tra chức năng (final test)...Đồng hồ vạn năng......3</t>
  </si>
  <si>
    <t xml:space="preserve">GT-1B...Kiểm tra chức năng (final test)...Đồng hồ vạn năng dùng cho sản xuất......3</t>
  </si>
  <si>
    <t xml:space="preserve">;16/01/2026 11:36:55: GT-1B...Kiểm tra chức năng (final test)...Đồng hồ vạn năng dùng cho sản xuất......3</t>
  </si>
  <si>
    <t xml:space="preserve">43cbc993</t>
  </si>
  <si>
    <t xml:space="preserve">GT-1B...Kiểm tra chức năng (final test)...Noise Meter......1</t>
  </si>
  <si>
    <t xml:space="preserve">20e1a0f2</t>
  </si>
  <si>
    <t xml:space="preserve">GT-1B...Kiểm tra chức năng (final test)...Loa CM-30......2</t>
  </si>
  <si>
    <t xml:space="preserve">79ea0507</t>
  </si>
  <si>
    <t xml:space="preserve">KTN-AIR...Kiểm tra chức năng tự test (BTP)...Máy tạo sóng......2</t>
  </si>
  <si>
    <t xml:space="preserve">31c2f8f7</t>
  </si>
  <si>
    <t xml:space="preserve">KTN-AIR...Kiểm tra chức năng (final test)...Máy tính......3</t>
  </si>
  <si>
    <t xml:space="preserve">;07/11/2025 10:36:51: KTN-AIR...Kiểm tra chức năng (final test)...Máy tính......3;05/01/2026 16:09:16: ............0</t>
  </si>
  <si>
    <t xml:space="preserve">cda1ad15</t>
  </si>
  <si>
    <t xml:space="preserve">KTN-AIR...Kiểm tra chức năng (final test)...Màn hình......3</t>
  </si>
  <si>
    <t xml:space="preserve">;07/11/2025 10:37:22: KTN-AIR...Kiểm tra chức năng (final test)...Màn hình......3;05/01/2026 16:13:22: ............0</t>
  </si>
  <si>
    <t xml:space="preserve">6cf5b1a8</t>
  </si>
  <si>
    <t xml:space="preserve">KTN-AIR EX...Kiểm tra chức năng (final test)...Màn hình......2</t>
  </si>
  <si>
    <t xml:space="preserve">69aa3c59</t>
  </si>
  <si>
    <t xml:space="preserve">KTN-AIR EX...Kiểm tra chức năng (final test)...Máy tính......3</t>
  </si>
  <si>
    <t xml:space="preserve">d1931b53</t>
  </si>
  <si>
    <t xml:space="preserve">KTN-AIR...Bơm keo...Máy bơm keo......1</t>
  </si>
  <si>
    <t xml:space="preserve">8600ad9a</t>
  </si>
  <si>
    <t xml:space="preserve">DB-90...Kiểm tra chức năng (final test)...Bàn đạp FS-5U......1</t>
  </si>
  <si>
    <t xml:space="preserve">3e4cef50</t>
  </si>
  <si>
    <t xml:space="preserve">DB-90...Kiểm tra chức năng (final test)...Bàn đạp giả (EV-5 + FS-5U )......1</t>
  </si>
  <si>
    <t xml:space="preserve">103ba1a2</t>
  </si>
  <si>
    <t xml:space="preserve">DB-90©............</t>
  </si>
  <si>
    <t xml:space="preserve">DB-90©...Kiểm tra chức năng (final test)...Bàn đạp FS-5U......1</t>
  </si>
  <si>
    <t xml:space="preserve">;07/11/2025 10:57:18: DB-90©...Kiểm tra chức năng (final test)...Bàn đạp FS-5U......1</t>
  </si>
  <si>
    <t xml:space="preserve">276e697d</t>
  </si>
  <si>
    <t xml:space="preserve">DB-90©...Kiểm tra chức năng (final test)...Bàn đạp giả (EV-5 + FS-5U )......1</t>
  </si>
  <si>
    <t xml:space="preserve">;07/11/2025 10:57:43: DB-90©...Kiểm tra chức năng (final test)...Bàn đạp giả (EV-5 + FS-5U )......1</t>
  </si>
  <si>
    <t xml:space="preserve">d6bc5ee6</t>
  </si>
  <si>
    <t xml:space="preserve">DB-90©......Máy tính......</t>
  </si>
  <si>
    <t xml:space="preserve">DB-90©...Kiểm tra chức năng (final test)...Màn hình......5</t>
  </si>
  <si>
    <t xml:space="preserve">;07/11/2025 10:58:25: DB-90©...Kiểm tra chức năng (final test)...Màn hình......5</t>
  </si>
  <si>
    <t xml:space="preserve">128ac4b9</t>
  </si>
  <si>
    <t xml:space="preserve">DB-90©...Hàn linh kiện...Máy hút khói di động......5</t>
  </si>
  <si>
    <t xml:space="preserve">;07/11/2025 10:58:58: DB-90©...Hàn linh kiện...Máy hút khói di động......5</t>
  </si>
  <si>
    <t xml:space="preserve">f46ac08c</t>
  </si>
  <si>
    <t xml:space="preserve">MSK</t>
  </si>
  <si>
    <t xml:space="preserve">MSK GOKEYS5...Siết vít...Súng bắn vít......8</t>
  </si>
  <si>
    <t xml:space="preserve">MSK GOKEYS5...Siết vít...Súng bắn vít......7</t>
  </si>
  <si>
    <t xml:space="preserve">;22/01/2026 16:34:06: MSK GOKEYS5...Siết vít...Súng bắn vít......7</t>
  </si>
  <si>
    <t xml:space="preserve">780d205b</t>
  </si>
  <si>
    <t xml:space="preserve">MSK GOKEYS5...Kiểm tra chức năng sản phẩm...Loa CM-30......1</t>
  </si>
  <si>
    <t xml:space="preserve">f8ede6a1</t>
  </si>
  <si>
    <t xml:space="preserve">MSK GOKEYS5...Hàn linh kiện...Máy hàn......1</t>
  </si>
  <si>
    <t xml:space="preserve">d324a46a</t>
  </si>
  <si>
    <t xml:space="preserve">MSK GOKEYS5...Hàn linh kiện...Máy hút khói di động......1</t>
  </si>
  <si>
    <t xml:space="preserve">d779137f</t>
  </si>
  <si>
    <t xml:space="preserve">FCT VE-500...FCT...Đồng hồ vạn năng dùng cho sản xuất......1</t>
  </si>
  <si>
    <t xml:space="preserve">4dc8116c</t>
  </si>
  <si>
    <t xml:space="preserve">FCT VE-500...FCT...Máy tính......1</t>
  </si>
  <si>
    <t xml:space="preserve">38118aac</t>
  </si>
  <si>
    <t xml:space="preserve">MSK GO-88PX...Siết vít...Súng bắn vít......9</t>
  </si>
  <si>
    <t xml:space="preserve">7b509090</t>
  </si>
  <si>
    <t xml:space="preserve">FCT GO-88PX...FCT...Máy hiện sóng......3</t>
  </si>
  <si>
    <t xml:space="preserve">815c8489</t>
  </si>
  <si>
    <t xml:space="preserve">FCT GO-88PX...FCT...Bàn đạp EV-5......3</t>
  </si>
  <si>
    <t xml:space="preserve">;08/11/2025 20:39:26: FCT GO-88PX...FCT...Bàn đạp EV-5......2;09/11/2025 18:56:06: FCT GO-88PX...FCT...Bàn đạp EV-5......3;22/01/2026 15:29:49: ............0</t>
  </si>
  <si>
    <t xml:space="preserve">121089f8</t>
  </si>
  <si>
    <t xml:space="preserve">FCT GO-88PX...FCT...Bàn đạp giả (EV-5 + FS-5U )......3</t>
  </si>
  <si>
    <t xml:space="preserve">1ca1cd53</t>
  </si>
  <si>
    <t xml:space="preserve">FCT GO-88PX...FCT...Máy tính......3</t>
  </si>
  <si>
    <t xml:space="preserve">62a8f510</t>
  </si>
  <si>
    <t xml:space="preserve">GO-88PX...Test final...Bàn đạp EV-5......1</t>
  </si>
  <si>
    <t xml:space="preserve">9b9746d8</t>
  </si>
  <si>
    <t xml:space="preserve">GO-88PX...Hàn loa...Máy hút khói di động......1</t>
  </si>
  <si>
    <t xml:space="preserve">cbd9b8a9</t>
  </si>
  <si>
    <t xml:space="preserve">GO-88PX...Dây thít...Súng bắn dây thít......2</t>
  </si>
  <si>
    <t xml:space="preserve">30f804bd</t>
  </si>
  <si>
    <t xml:space="preserve">GOKEYS3...Test final...Máy tạo sóng......1</t>
  </si>
  <si>
    <t xml:space="preserve">;26/01/2026 16:20:21: ............0</t>
  </si>
  <si>
    <t xml:space="preserve">a12f5d8d</t>
  </si>
  <si>
    <t xml:space="preserve">GOKEYS3...Test final...Bàn đạp giả (EV-5 + FS-5U )......1</t>
  </si>
  <si>
    <t xml:space="preserve">34bc12de</t>
  </si>
  <si>
    <t xml:space="preserve">GOKEYS3...Test final...Máy phân cực......1</t>
  </si>
  <si>
    <t xml:space="preserve">;26/01/2026 16:20:17: ............0</t>
  </si>
  <si>
    <t xml:space="preserve">a88215f9</t>
  </si>
  <si>
    <t xml:space="preserve">GOKEYS3...Test final...Màn hình......3</t>
  </si>
  <si>
    <t xml:space="preserve">71d2b5e0</t>
  </si>
  <si>
    <t xml:space="preserve">GOKEYS3...Hàn loa...Máy hút khói di động......1</t>
  </si>
  <si>
    <t xml:space="preserve">e67276e5</t>
  </si>
  <si>
    <t xml:space="preserve">GOKEYS3...Test final...Quạt ion......1</t>
  </si>
  <si>
    <t xml:space="preserve">45ef988c</t>
  </si>
  <si>
    <t xml:space="preserve">GOKEYS3...Dây thít...Súng bắn dây thít......2</t>
  </si>
  <si>
    <t xml:space="preserve">f0f9e460</t>
  </si>
  <si>
    <t xml:space="preserve">GOKEYS5...Test final...Máy hiện sóng......2</t>
  </si>
  <si>
    <t xml:space="preserve">fab63852</t>
  </si>
  <si>
    <t xml:space="preserve">GOKEYS5...Test final...Máy tạo sóng......1</t>
  </si>
  <si>
    <t xml:space="preserve">738fb3f4</t>
  </si>
  <si>
    <t xml:space="preserve">GOKEYS5...Test final...Noise Meter......2</t>
  </si>
  <si>
    <t xml:space="preserve">4dd42df7</t>
  </si>
  <si>
    <t xml:space="preserve">GOKEYS5...Test final...Bàn đạp EV-5......1</t>
  </si>
  <si>
    <t xml:space="preserve">c6e0012d</t>
  </si>
  <si>
    <t xml:space="preserve">GOKEYS5...Test final...Bàn đạp FS-5U......1</t>
  </si>
  <si>
    <t xml:space="preserve">b9221343</t>
  </si>
  <si>
    <t xml:space="preserve">GOKEYS5...Test final...Bàn đạp giả (EV-5 + FS-5U )......1</t>
  </si>
  <si>
    <t xml:space="preserve">fdc54b0c</t>
  </si>
  <si>
    <t xml:space="preserve">GOKEYS5...Kiểm tra chức năng (final test)...Loa CM-30......3</t>
  </si>
  <si>
    <t xml:space="preserve">f3faee53</t>
  </si>
  <si>
    <t xml:space="preserve">GOKEYS5...Kiểm tra chức năng (final test)...Máy phân cực......1</t>
  </si>
  <si>
    <t xml:space="preserve">47ecdbbc</t>
  </si>
  <si>
    <t xml:space="preserve">GOKEYS5...Kiểm tra chức năng (final test)...USB Memory......2</t>
  </si>
  <si>
    <t xml:space="preserve">5da64823</t>
  </si>
  <si>
    <t xml:space="preserve">GOKEYS5...Kiểm tra chức năng (final test)...Màn hình......3</t>
  </si>
  <si>
    <t xml:space="preserve">e65dfbd2</t>
  </si>
  <si>
    <t xml:space="preserve">GOKEYS5...Hàn loa...Máy hàn......1</t>
  </si>
  <si>
    <t xml:space="preserve">;27/02/2026 11:54:43: ............0</t>
  </si>
  <si>
    <t xml:space="preserve">c3451f29</t>
  </si>
  <si>
    <t xml:space="preserve">GOKEYS5...Hàn loa...Máy hút khói di động......1</t>
  </si>
  <si>
    <t xml:space="preserve">;27/02/2026 11:54:51: ............0</t>
  </si>
  <si>
    <t xml:space="preserve">a4a5d0e1</t>
  </si>
  <si>
    <t xml:space="preserve">GOKEYS5...Test final...Quạt ion......1</t>
  </si>
  <si>
    <t xml:space="preserve">0cc76984</t>
  </si>
  <si>
    <t xml:space="preserve">GOKEYS5...Dây thít...Súng bắn dây thít......2</t>
  </si>
  <si>
    <t xml:space="preserve">3f009b6e</t>
  </si>
  <si>
    <t xml:space="preserve">GOKEYS5...Siết vít...Súng bắn vít......10</t>
  </si>
  <si>
    <t xml:space="preserve">56611fb5</t>
  </si>
  <si>
    <t xml:space="preserve">GOKEYS5...Packing...Súng Scan Barcode......3</t>
  </si>
  <si>
    <t xml:space="preserve">bf5b6775</t>
  </si>
  <si>
    <t xml:space="preserve">FCT GO-88PX...FCT...Iphone......3</t>
  </si>
  <si>
    <t xml:space="preserve">3cd3899b</t>
  </si>
  <si>
    <t xml:space="preserve">SRIC-4...Nạp chương trình IC...Máy tính......1</t>
  </si>
  <si>
    <t xml:space="preserve">0bb08057</t>
  </si>
  <si>
    <t xml:space="preserve">SRIC-4...Nạp chương trình IC...Màn hình......1</t>
  </si>
  <si>
    <t xml:space="preserve">e2cea53e</t>
  </si>
  <si>
    <t xml:space="preserve">MSK GOKEYS3...Test final...Loa CM-30......1</t>
  </si>
  <si>
    <t xml:space="preserve">a7663418</t>
  </si>
  <si>
    <t xml:space="preserve">MSK GOKEYS3...Kiểm tra chức năng (final test)...Máy tính......1</t>
  </si>
  <si>
    <t xml:space="preserve">add62207</t>
  </si>
  <si>
    <t xml:space="preserve">MSK GOKEYS3...Kiểm tra chức năng (final test)...Màn hình......2</t>
  </si>
  <si>
    <t xml:space="preserve">cc1092a2</t>
  </si>
  <si>
    <t xml:space="preserve">MSK GOKEYS3...Hàn linh kiện...Máy hàn......1</t>
  </si>
  <si>
    <t xml:space="preserve">a60638ea</t>
  </si>
  <si>
    <t xml:space="preserve">MSK GOKEYS3...Hàn linh kiện...Máy hút khói di động......1</t>
  </si>
  <si>
    <t xml:space="preserve">e4410515</t>
  </si>
  <si>
    <t xml:space="preserve">MSK GOKEYS3...Dập linh kiện...Máy dập khí nén......1</t>
  </si>
  <si>
    <t xml:space="preserve">3d3d741c</t>
  </si>
  <si>
    <t xml:space="preserve">MSK GOKEYS3...Kiểm tra chức năng (final test)...Quạt ion......1</t>
  </si>
  <si>
    <t xml:space="preserve">b23f283b</t>
  </si>
  <si>
    <t xml:space="preserve">MSK GOKEYS3...Siết vít...Súng bắn vít......8</t>
  </si>
  <si>
    <t xml:space="preserve">MSK GOKEYS3...Siết vít...Súng bắn vít......7</t>
  </si>
  <si>
    <t xml:space="preserve">;22/01/2026 16:33:53: MSK GOKEYS3...Siết vít...Súng bắn vít......7</t>
  </si>
  <si>
    <t xml:space="preserve">25c848b7</t>
  </si>
  <si>
    <t xml:space="preserve">MSK GOKEYS3...Kiểm tra chức năng (final test)...Súng Scan Barcode......2</t>
  </si>
  <si>
    <t xml:space="preserve">241238f7</t>
  </si>
  <si>
    <t xml:space="preserve">MSK GO-88PX...Kiểm tra chức năng (final test)...Loa CM-30......1</t>
  </si>
  <si>
    <t xml:space="preserve">bc252529</t>
  </si>
  <si>
    <t xml:space="preserve">MSK GO-88PX...Kiểm tra chức năng (final test)...Máy tính......2</t>
  </si>
  <si>
    <t xml:space="preserve">bd732bad</t>
  </si>
  <si>
    <t xml:space="preserve">MSK GO-88PX...Kiểm tra chức năng (final test)...Màn hình......3</t>
  </si>
  <si>
    <t xml:space="preserve">24549c79</t>
  </si>
  <si>
    <t xml:space="preserve">MSK GO-88PX...Hàn linh kiện...Máy hàn......1</t>
  </si>
  <si>
    <t xml:space="preserve">67093be0</t>
  </si>
  <si>
    <t xml:space="preserve">MSK GO-88PX...Hàn linh kiện...Máy hút khói di động......1</t>
  </si>
  <si>
    <t xml:space="preserve">2d9d9f0c</t>
  </si>
  <si>
    <t xml:space="preserve">Dập nút cao su</t>
  </si>
  <si>
    <t xml:space="preserve">MSK GO-88PX...Dập nút cao su...Máy dập khí nén......1</t>
  </si>
  <si>
    <t xml:space="preserve">Press rubber buttons</t>
  </si>
  <si>
    <t xml:space="preserve">342dd99a</t>
  </si>
  <si>
    <t xml:space="preserve">MSK GO-88PX...Kiểm tra chức năng (final test)...Quạt ion......1</t>
  </si>
  <si>
    <t xml:space="preserve">76414298</t>
  </si>
  <si>
    <t xml:space="preserve">MSK GO-88PX...Kiểm tra chức năng (final test)...Súng Scan Barcode......1</t>
  </si>
  <si>
    <t xml:space="preserve">d3dd60f2</t>
  </si>
  <si>
    <t xml:space="preserve">FCT GX-1...FCT...Iphone......3</t>
  </si>
  <si>
    <t xml:space="preserve">6b97bafc</t>
  </si>
  <si>
    <t xml:space="preserve">UTRED30-WIFI V3...Nạp chương trình IC...Máy tính......1</t>
  </si>
  <si>
    <t xml:space="preserve">47b6cb35</t>
  </si>
  <si>
    <t xml:space="preserve">TRIX-16 V2</t>
  </si>
  <si>
    <t xml:space="preserve">TRIX-16 V2...Nạp chương trình IC...Máy tính......1</t>
  </si>
  <si>
    <t xml:space="preserve">;11/11/2025 16:48:34: TRIX-16 V2...Nạp chương trình IC...Máy tính......1</t>
  </si>
  <si>
    <t xml:space="preserve">736079b0</t>
  </si>
  <si>
    <t xml:space="preserve">FCT AE-BRISA...FCT...Iphone......2</t>
  </si>
  <si>
    <t xml:space="preserve">a085a409</t>
  </si>
  <si>
    <t xml:space="preserve">FCT AE-BRISA...FCT...Máy tính......2</t>
  </si>
  <si>
    <t xml:space="preserve">0ee53ad4</t>
  </si>
  <si>
    <t xml:space="preserve">FCT AE-BRISA...FCT...Máy hiện sóng......2</t>
  </si>
  <si>
    <t xml:space="preserve">e22e4167</t>
  </si>
  <si>
    <t xml:space="preserve">AE-BRISA...Siết vít...Súng bắn vít......11</t>
  </si>
  <si>
    <t xml:space="preserve">1b49235b</t>
  </si>
  <si>
    <t xml:space="preserve">AE-BRISA...Kiểm tra chức năng (final test)...Máy hiện sóng......2</t>
  </si>
  <si>
    <t xml:space="preserve">fac95c66</t>
  </si>
  <si>
    <t xml:space="preserve">AE-BRISA...Kiểm tra chức năng (final test)...Noise Meter......1</t>
  </si>
  <si>
    <t xml:space="preserve">89bf61b4</t>
  </si>
  <si>
    <t xml:space="preserve">AE-BRISA...Kiểm tra chức năng (final test)...Loa CM-30......1</t>
  </si>
  <si>
    <t xml:space="preserve">5a689963</t>
  </si>
  <si>
    <t xml:space="preserve">AE-BRISA...Kiểm tra chức năng (final test)...Máy tính......4</t>
  </si>
  <si>
    <t xml:space="preserve">805661b1</t>
  </si>
  <si>
    <t xml:space="preserve">AE-BRISA...Kiểm tra chức năng (final test)...Màn hình......4</t>
  </si>
  <si>
    <t xml:space="preserve">c9b732bd</t>
  </si>
  <si>
    <t xml:space="preserve">AE-BRISA...Kiểm tra chức năng (final test)...Quạt ion......1</t>
  </si>
  <si>
    <t xml:space="preserve">;23/01/2026 09:08:40: ............0</t>
  </si>
  <si>
    <t xml:space="preserve">36481b85</t>
  </si>
  <si>
    <t xml:space="preserve">AE-BRISA...Dây thít...Súng bắn dây thít......1</t>
  </si>
  <si>
    <t xml:space="preserve">b652db28</t>
  </si>
  <si>
    <t xml:space="preserve">AE-BRISA...Packing...Súng Scan Barcode......2</t>
  </si>
  <si>
    <t xml:space="preserve">a9345d96</t>
  </si>
  <si>
    <t xml:space="preserve">AE-BRISA...Dập linh kiện...Máy dập tay......5</t>
  </si>
  <si>
    <t xml:space="preserve">d36a5784</t>
  </si>
  <si>
    <t xml:space="preserve">DCB-LX............</t>
  </si>
  <si>
    <t xml:space="preserve">DCB-LX...Kiểm tra chức năng (final test)...Máy phân cực......1</t>
  </si>
  <si>
    <t xml:space="preserve">;14/11/2025 13:45:03: DCB-LX...Kiểm tra chức năng (final test)...Máy phân cực......1</t>
  </si>
  <si>
    <t xml:space="preserve">65f62c92</t>
  </si>
  <si>
    <t xml:space="preserve">DCB-LX...Kiểm tra chức năng (final test)...Màn hình......5</t>
  </si>
  <si>
    <t xml:space="preserve">;14/11/2025 13:49:26: DCB-LX...Kiểm tra chức năng (final test)...Màn hình......5</t>
  </si>
  <si>
    <t xml:space="preserve">d778bd8f</t>
  </si>
  <si>
    <t xml:space="preserve">DCB-LX...Dập chữ BOSS, lắp nắp trước, siết vít, dán bọt biển...Máy dập hot stamping......1</t>
  </si>
  <si>
    <t xml:space="preserve">;14/11/2025 13:54:08: DCB-LX...Dập chữ BOSS, lắp nắp trước, siết vít, dán bọt biển...Máy dập hot stamping......1</t>
  </si>
  <si>
    <t xml:space="preserve">e906ad75</t>
  </si>
  <si>
    <t xml:space="preserve">DCB-LX...Hàn công tắc...Máy hút khói di động......2</t>
  </si>
  <si>
    <t xml:space="preserve">;14/11/2025 13:57:10: DCB-LX...Hàn công tắc...Máy hút khói di động......2</t>
  </si>
  <si>
    <t xml:space="preserve">7bdab8b8</t>
  </si>
  <si>
    <t xml:space="preserve">DCB-LX...Dây thít...Súng bắn dây thít......1</t>
  </si>
  <si>
    <t xml:space="preserve">;14/11/2025 13:58:06: DCB-LX...Dây thít...Súng bắn dây thít......1</t>
  </si>
  <si>
    <t xml:space="preserve">8eb8ac08</t>
  </si>
  <si>
    <t xml:space="preserve">DCB-LX...Kiểm tra chức năng (final test)...Hộp pin giả DCB-LX/D-CUBE......1</t>
  </si>
  <si>
    <t xml:space="preserve">;14/11/2025 14:03:27: DCB-LX...Kiểm tra chức năng (final test)...Hộp pin giả DCB-LX/D-CUBE......1</t>
  </si>
  <si>
    <t xml:space="preserve">8eee44e2</t>
  </si>
  <si>
    <t xml:space="preserve">AC-22LX...Kiểm tra chức năng (final test)...Bàn đạp giả (EV-5 + FS-5U )......6</t>
  </si>
  <si>
    <t xml:space="preserve">945e22ac</t>
  </si>
  <si>
    <t xml:space="preserve">AC-22LX...Kiểm tra chức năng (final test)...Máy phân cực......1</t>
  </si>
  <si>
    <t xml:space="preserve">df347da4</t>
  </si>
  <si>
    <t xml:space="preserve">AC-22LX......Máy tính......</t>
  </si>
  <si>
    <t xml:space="preserve">AC-22LX...Kiểm tra chức năng (final test)...Màn hình......5</t>
  </si>
  <si>
    <t xml:space="preserve">;14/11/2025 20:36:57: AC-22LX...Kiểm tra chức năng (final test)...Màn hình......5</t>
  </si>
  <si>
    <t xml:space="preserve">41e86e9d</t>
  </si>
  <si>
    <t xml:space="preserve">AC-22LX...Dập chữ BOSS, lắp nắp trước, siết vít, dán bọt biển...Máy dập hot stamping......1</t>
  </si>
  <si>
    <t xml:space="preserve">cce7ccb5</t>
  </si>
  <si>
    <t xml:space="preserve">AC-22LX...Chuẩn bị tấm siết vít, hàn-lắp công tắc và dán tape...Máy hút khói di động......2</t>
  </si>
  <si>
    <t xml:space="preserve">6999c47c</t>
  </si>
  <si>
    <t xml:space="preserve">AC-22LX...Dây thít...Súng bắn dây thít......1</t>
  </si>
  <si>
    <t xml:space="preserve">00218a90</t>
  </si>
  <si>
    <t xml:space="preserve">AC-22LX...Packing...Súng Scan Barcode......2</t>
  </si>
  <si>
    <t xml:space="preserve">9ae68b0c</t>
  </si>
  <si>
    <t xml:space="preserve">Lắp ráp tay phải và siết vít</t>
  </si>
  <si>
    <t xml:space="preserve">BOP IT MARVEL HULK...Lắp ráp tay phải và siết vít...Súng bắn vít......1</t>
  </si>
  <si>
    <t xml:space="preserve">Assemble the right handle and tighten the screws.</t>
  </si>
  <si>
    <t xml:space="preserve">8a149b34</t>
  </si>
  <si>
    <t xml:space="preserve">Ngoại quan PCBA</t>
  </si>
  <si>
    <t xml:space="preserve">BOP IT MARVEL HULK...Ngoại quan PCBA...Máy hàn......1</t>
  </si>
  <si>
    <t xml:space="preserve">PCBA appearance</t>
  </si>
  <si>
    <t xml:space="preserve">c87a4625</t>
  </si>
  <si>
    <t xml:space="preserve">BOP IT MARVEL HULK...Hàn dây loa...Máy hàn......1</t>
  </si>
  <si>
    <t xml:space="preserve">ee2907af</t>
  </si>
  <si>
    <t xml:space="preserve">Lắp nắp loa, PCBA, sắp xếp dây dẫn và siết vít</t>
  </si>
  <si>
    <t xml:space="preserve">BOP IT MARVEL HULK...Lắp nắp loa, PCBA, sắp xếp dây dẫn và siết vít...Súng bắn vít......4</t>
  </si>
  <si>
    <t xml:space="preserve">Install the speaker cover and PCBA, arrange the wires, and tighten the screws.</t>
  </si>
  <si>
    <t xml:space="preserve">aeaafe8b</t>
  </si>
  <si>
    <t xml:space="preserve">BOP IT MARVEL HULK...Dập đai ốc...Máy dập khí nén......1</t>
  </si>
  <si>
    <t xml:space="preserve">8601dd38</t>
  </si>
  <si>
    <t xml:space="preserve">BOP IT MARVEL HULK...Dập chân pin...Máy dập khí nén......1</t>
  </si>
  <si>
    <t xml:space="preserve">988fcc95</t>
  </si>
  <si>
    <t xml:space="preserve">BOP IT MARVEL HULK...Hàn dây pin...Máy hàn......1</t>
  </si>
  <si>
    <t xml:space="preserve">d51648b0</t>
  </si>
  <si>
    <t xml:space="preserve">BOP IT MARVEL HULK...Siết vít sản phẩm...Súng bắn vít......3</t>
  </si>
  <si>
    <t xml:space="preserve">75a38a93</t>
  </si>
  <si>
    <t xml:space="preserve">Laser datecode sản phẩm và lắp, siết vít  nắp pin</t>
  </si>
  <si>
    <t xml:space="preserve">BOP IT MARVEL HULK...Laser datecode sản phẩm và lắp, siết vít  nắp pin...Máy laser......1</t>
  </si>
  <si>
    <t xml:space="preserve">Laser the product date code and install and tighten the battery cover screws.</t>
  </si>
  <si>
    <t xml:space="preserve">e69bfe69</t>
  </si>
  <si>
    <t xml:space="preserve">Lắp cao su vào vỏ đầu</t>
  </si>
  <si>
    <t xml:space="preserve">BOP IT MARVEL HULK...Lắp cao su vào vỏ đầu...Máy dập tay......1</t>
  </si>
  <si>
    <t xml:space="preserve">Install the rubber seal onto the head casing.</t>
  </si>
  <si>
    <t xml:space="preserve">5b1b1458</t>
  </si>
  <si>
    <t xml:space="preserve">Lắp ráp đầu và kiểm tra sản phẩm</t>
  </si>
  <si>
    <t xml:space="preserve">BOP IT MARVEL HULK...Lắp ráp đầu và kiểm tra sản phẩm...Máy dập tay......1</t>
  </si>
  <si>
    <t xml:space="preserve">Assemble the head and test the product.</t>
  </si>
  <si>
    <t xml:space="preserve">08fee906</t>
  </si>
  <si>
    <t xml:space="preserve">BOP IT MARVEL HULK...Kiểm tra ngoại quan và chức năng...Ampe kế......6</t>
  </si>
  <si>
    <t xml:space="preserve">;18/11/2025 10:40:26: BOP IT MARVEL HULK...Kiểm tra ngoại quan và chức năng...Ampe kế......6;24/02/2026 15:50:42: ............0</t>
  </si>
  <si>
    <t xml:space="preserve">18c1f696</t>
  </si>
  <si>
    <t xml:space="preserve">ST100T-15...Test final...Màn hình......1</t>
  </si>
  <si>
    <t xml:space="preserve">;18/11/2025 15:28:35: ST100T-15...Test final...Màn hình......1;24/01/2026 11:27:36: ............0</t>
  </si>
  <si>
    <t xml:space="preserve">1f7e30eb</t>
  </si>
  <si>
    <t xml:space="preserve">ST100T-15...Test final...Máy tính......1</t>
  </si>
  <si>
    <t xml:space="preserve">;18/11/2025 15:28:46: ST100T-15...Test final...Máy tính......1;24/01/2026 11:27:40: ............0</t>
  </si>
  <si>
    <t xml:space="preserve">3f854ac8</t>
  </si>
  <si>
    <t xml:space="preserve">E-100...Test setup...Màn hình......1</t>
  </si>
  <si>
    <t xml:space="preserve">;18/11/2025 15:30:53: E-100...Test setup...Màn hình......1;04/03/2026 17:40:59: ............0</t>
  </si>
  <si>
    <t xml:space="preserve">ba59681b</t>
  </si>
  <si>
    <t xml:space="preserve">E-100...Test final...Màn hình......1</t>
  </si>
  <si>
    <t xml:space="preserve">;18/11/2025 15:31:21: E-100...Test final...Màn hình......1;04/03/2026 17:40:55: ............0</t>
  </si>
  <si>
    <t xml:space="preserve">b9967645</t>
  </si>
  <si>
    <t xml:space="preserve">E-100...Test setup...Máy tính......1</t>
  </si>
  <si>
    <t xml:space="preserve">;18/11/2025 15:31:36: E-100...Test setup...Máy tính......1;04/03/2026 17:40:37: ............0</t>
  </si>
  <si>
    <t xml:space="preserve">6f832137</t>
  </si>
  <si>
    <t xml:space="preserve">E-100...Test final...Máy tính......1</t>
  </si>
  <si>
    <t xml:space="preserve">;18/11/2025 15:31:44: E-100...Test final...Máy tính......1;04/03/2026 17:40:42: ............0</t>
  </si>
  <si>
    <t xml:space="preserve">1834674a</t>
  </si>
  <si>
    <t xml:space="preserve">HAXO-8 V3............</t>
  </si>
  <si>
    <t xml:space="preserve">HAXO-8 V3...PCBA Test...Máy tính......3</t>
  </si>
  <si>
    <t xml:space="preserve">;18/11/2025 15:32:09: HAXO-8 V3...PCBA Test...Máy tính......3</t>
  </si>
  <si>
    <t xml:space="preserve">b0ec6722</t>
  </si>
  <si>
    <t xml:space="preserve">HAXO-8 V3...Test setup...Máy tính......1</t>
  </si>
  <si>
    <t xml:space="preserve">;18/11/2025 15:32:40: HAXO-8 V3...Test setup...Máy tính......1</t>
  </si>
  <si>
    <t xml:space="preserve">597bbae0</t>
  </si>
  <si>
    <t xml:space="preserve">HAXO-8 V3...Test final...Máy tính......1</t>
  </si>
  <si>
    <t xml:space="preserve">;18/11/2025 15:32:50: HAXO-8 V3...Test final...Máy tính......1</t>
  </si>
  <si>
    <t xml:space="preserve">16b5a6f4</t>
  </si>
  <si>
    <t xml:space="preserve">HAXO-8 V3...PCBA Test...Màn hình......3</t>
  </si>
  <si>
    <t xml:space="preserve">;18/11/2025 15:33:20: HAXO-8 V3...PCBA Test...Màn hình......3</t>
  </si>
  <si>
    <t xml:space="preserve">c20a829f</t>
  </si>
  <si>
    <t xml:space="preserve">HAXO-8 V3......Màn hình......</t>
  </si>
  <si>
    <t xml:space="preserve">HAXO-8 V3...Test setup...Màn hình......1</t>
  </si>
  <si>
    <t xml:space="preserve">;18/11/2025 15:33:52: HAXO-8 V3...Test setup...Màn hình......1</t>
  </si>
  <si>
    <t xml:space="preserve">3f0c586b</t>
  </si>
  <si>
    <t xml:space="preserve">HAXO-8 V3...Test final...Màn hình......1</t>
  </si>
  <si>
    <t xml:space="preserve">;18/11/2025 15:34:01: HAXO-8 V3...Test final...Màn hình......1</t>
  </si>
  <si>
    <t xml:space="preserve">b8a8d4cb</t>
  </si>
  <si>
    <t xml:space="preserve">HAXO-8 V3...Nạp chương trình IC...Màn hình......1</t>
  </si>
  <si>
    <t xml:space="preserve">;18/11/2025 15:34:21: HAXO-8 V3...Nạp chương trình IC...Màn hình......1</t>
  </si>
  <si>
    <t xml:space="preserve">fa494b51</t>
  </si>
  <si>
    <t xml:space="preserve">SRIC-4...PCBA Test...Màn hình......3</t>
  </si>
  <si>
    <t xml:space="preserve">ac4cb59b</t>
  </si>
  <si>
    <t xml:space="preserve">SRIC-4...Test setup...Màn hình......1</t>
  </si>
  <si>
    <t xml:space="preserve">8026066b</t>
  </si>
  <si>
    <t xml:space="preserve">SRIC-4...Test final...Màn hình......1</t>
  </si>
  <si>
    <t xml:space="preserve">8122ae09</t>
  </si>
  <si>
    <t xml:space="preserve">SRIC-4...PCBA Test...Máy tính......3</t>
  </si>
  <si>
    <t xml:space="preserve">f502b0b8</t>
  </si>
  <si>
    <t xml:space="preserve">SRIC-4...Test setup...Máy tính......1</t>
  </si>
  <si>
    <t xml:space="preserve">7ba11d3c</t>
  </si>
  <si>
    <t xml:space="preserve">SRIC-4...Test final...Máy tính......1</t>
  </si>
  <si>
    <t xml:space="preserve">96c63934</t>
  </si>
  <si>
    <t xml:space="preserve">ST100...Test final...Máy tính......1</t>
  </si>
  <si>
    <t xml:space="preserve">;18/11/2025 15:42:32: ST100...Test final...Máy tính......1;25/02/2026 16:49:24: ............0</t>
  </si>
  <si>
    <t xml:space="preserve">ba1378bc</t>
  </si>
  <si>
    <t xml:space="preserve">ST100...Test final...Màn hình......1</t>
  </si>
  <si>
    <t xml:space="preserve">;18/11/2025 15:42:51: ST100...Test final...Màn hình......1;25/02/2026 16:49:10: ............0</t>
  </si>
  <si>
    <t xml:space="preserve">05123d29</t>
  </si>
  <si>
    <t xml:space="preserve">TRED30-16R...Test final...Màn hình......1</t>
  </si>
  <si>
    <t xml:space="preserve">7b8326ae</t>
  </si>
  <si>
    <t xml:space="preserve">TRED30-16R...Test final...Máy tính......1</t>
  </si>
  <si>
    <t xml:space="preserve">ee3a0603</t>
  </si>
  <si>
    <t xml:space="preserve">TREX-8 V2......Màn hình......</t>
  </si>
  <si>
    <t xml:space="preserve">TREX-8 V2...Test setup...Màn hình......1</t>
  </si>
  <si>
    <t xml:space="preserve">;18/11/2025 15:45:27: TREX-8 V2...Test setup...Màn hình......1</t>
  </si>
  <si>
    <t xml:space="preserve">c386caf4</t>
  </si>
  <si>
    <t xml:space="preserve">TREX-8 V2...Test setup...Máy tính......1</t>
  </si>
  <si>
    <t xml:space="preserve">;18/11/2025 15:45:37: TREX-8 V2...Test setup...Máy tính......1</t>
  </si>
  <si>
    <t xml:space="preserve">9f387b91</t>
  </si>
  <si>
    <t xml:space="preserve">TRID30-7R...PCBA Test...Màn hình......3</t>
  </si>
  <si>
    <t xml:space="preserve">;18/11/2025 15:46:11: TRID30-7R...PCBA Test...Màn hình......3</t>
  </si>
  <si>
    <t xml:space="preserve">1908bde8</t>
  </si>
  <si>
    <t xml:space="preserve">TRID30-7R......Màn hình......</t>
  </si>
  <si>
    <t xml:space="preserve">TRID30-7R...Test setup...Màn hình......1</t>
  </si>
  <si>
    <t xml:space="preserve">;18/11/2025 15:46:30: TRID30-7R...Test setup...Màn hình......1</t>
  </si>
  <si>
    <t xml:space="preserve">f2405718</t>
  </si>
  <si>
    <t xml:space="preserve">TRID30-7R...Test final...Màn hình......1</t>
  </si>
  <si>
    <t xml:space="preserve">;18/11/2025 15:46:37: TRID30-7R...Test final...Màn hình......1</t>
  </si>
  <si>
    <t xml:space="preserve">0a0aa431</t>
  </si>
  <si>
    <t xml:space="preserve">TRID30-7R...Nạp chương trình IC...Màn hình......1</t>
  </si>
  <si>
    <t xml:space="preserve">;18/11/2025 15:46:49: TRID30-7R...Nạp chương trình IC...Màn hình......1</t>
  </si>
  <si>
    <t xml:space="preserve">e0c7d56c</t>
  </si>
  <si>
    <t xml:space="preserve">TRIL-16U...Test setup...Màn hình......1</t>
  </si>
  <si>
    <t xml:space="preserve">;18/11/2025 15:47:10: TRIL-16U...Test setup...Màn hình......1</t>
  </si>
  <si>
    <t xml:space="preserve">e7810291</t>
  </si>
  <si>
    <t xml:space="preserve">TRIL-16U...Test final...Màn hình......1</t>
  </si>
  <si>
    <t xml:space="preserve">;18/11/2025 15:47:21: TRIL-16U...Test final...Màn hình......1</t>
  </si>
  <si>
    <t xml:space="preserve">c1b0e3ba</t>
  </si>
  <si>
    <t xml:space="preserve">TRIL-16U...Test setup...Máy tính......1</t>
  </si>
  <si>
    <t xml:space="preserve">;18/11/2025 15:47:34: TRIL-16U...Test setup...Máy tính......1</t>
  </si>
  <si>
    <t xml:space="preserve">8d4798c1</t>
  </si>
  <si>
    <t xml:space="preserve">TRIL-16U...Test final...Máy tính......1</t>
  </si>
  <si>
    <t xml:space="preserve">;18/11/2025 15:47:44: TRIL-16U...Test final...Máy tính......1</t>
  </si>
  <si>
    <t xml:space="preserve">26563fbb</t>
  </si>
  <si>
    <t xml:space="preserve">TRIX-8 V2......Máy tính......</t>
  </si>
  <si>
    <t xml:space="preserve">TRIX-8 V2...PCBA Test...Máy tính......3</t>
  </si>
  <si>
    <t xml:space="preserve">;18/11/2025 15:48:06: TRIX-8 V2...PCBA Test...Máy tính......3</t>
  </si>
  <si>
    <t xml:space="preserve">23ff5557</t>
  </si>
  <si>
    <t xml:space="preserve">TRIX-8 V2...Test final...Máy tính......1</t>
  </si>
  <si>
    <t xml:space="preserve">;18/11/2025 15:48:13: TRIX-8 V2...Test final...Máy tính......1</t>
  </si>
  <si>
    <t xml:space="preserve">36ee1455</t>
  </si>
  <si>
    <t xml:space="preserve">TRIX-8 V2...Test setup...Máy tính......1</t>
  </si>
  <si>
    <t xml:space="preserve">;18/11/2025 15:48:22: TRIX-8 V2...Test setup...Máy tính......1</t>
  </si>
  <si>
    <t xml:space="preserve">041d0f6f</t>
  </si>
  <si>
    <t xml:space="preserve">TRIX-8 V2...PCBA Test...Màn hình......3</t>
  </si>
  <si>
    <t xml:space="preserve">;18/11/2025 15:48:33: TRIX-8 V2...PCBA Test...Màn hình......3</t>
  </si>
  <si>
    <t xml:space="preserve">a900415f</t>
  </si>
  <si>
    <t xml:space="preserve">TRIX-8 V2......Màn hình......</t>
  </si>
  <si>
    <t xml:space="preserve">TRIX-8 V2...Test setup...Màn hình......1</t>
  </si>
  <si>
    <t xml:space="preserve">;18/11/2025 15:48:47: TRIX-8 V2...Test setup...Màn hình......1</t>
  </si>
  <si>
    <t xml:space="preserve">bbfb6af3</t>
  </si>
  <si>
    <t xml:space="preserve">TRIX-8 V2...Test final...Màn hình......1</t>
  </si>
  <si>
    <t xml:space="preserve">;18/11/2025 15:49:00: TRIX-8 V2...Test final...Màn hình......1</t>
  </si>
  <si>
    <t xml:space="preserve">e15cf7b9</t>
  </si>
  <si>
    <t xml:space="preserve">TRIX-8 V2...Nạp chương trình IC...Màn hình......1</t>
  </si>
  <si>
    <t xml:space="preserve">;18/11/2025 15:49:09: TRIX-8 V2...Nạp chương trình IC...Màn hình......1</t>
  </si>
  <si>
    <t xml:space="preserve">c4df3d6e</t>
  </si>
  <si>
    <t xml:space="preserve">TRIX-8 V2/TRIX-16 V2...PCBA Test...Máy tính......3</t>
  </si>
  <si>
    <t xml:space="preserve">;18/11/2025 15:49:29: TRIX-8 V2/TRIX-16 V2...PCBA Test...Máy tính......3;02/03/2026 18:53:50: ............0</t>
  </si>
  <si>
    <t xml:space="preserve">fefe6367</t>
  </si>
  <si>
    <t xml:space="preserve">TRIX-8 V2/TRIX-16 V2...Test final...Máy tính......1</t>
  </si>
  <si>
    <t xml:space="preserve">;18/11/2025 15:49:39: TRIX-8 V2/TRIX-16 V2...Test final...Máy tính......1;02/03/2026 18:53:50: ............0</t>
  </si>
  <si>
    <t xml:space="preserve">a43931a9</t>
  </si>
  <si>
    <t xml:space="preserve">TRIX-8 V2/TRIX-16 V2...Test setup...Máy tính......1</t>
  </si>
  <si>
    <t xml:space="preserve">;18/11/2025 15:49:47: TRIX-8 V2/TRIX-16 V2...Test setup...Máy tính......1;02/03/2026 18:53:50: ............0</t>
  </si>
  <si>
    <t xml:space="preserve">50eac5f4</t>
  </si>
  <si>
    <t xml:space="preserve">TRIX-8 V2/TRIX-16 V2...PCBA Test...Màn hình......3</t>
  </si>
  <si>
    <t xml:space="preserve">;18/11/2025 15:49:56: TRIX-8 V2/TRIX-16 V2...PCBA Test...Màn hình......3;02/03/2026 18:53:50: ............0</t>
  </si>
  <si>
    <t xml:space="preserve">43f25ee9</t>
  </si>
  <si>
    <t xml:space="preserve">TRIX-8 V2/TRIX-16 V2...Test setup...Màn hình......1</t>
  </si>
  <si>
    <t xml:space="preserve">;18/11/2025 15:50:12: TRIX-8 V2/TRIX-16 V2...Test setup...Màn hình......1;02/03/2026 18:53:50: ............0</t>
  </si>
  <si>
    <t xml:space="preserve">b793eecb</t>
  </si>
  <si>
    <t xml:space="preserve">TRIX-8 V2/TRIX-16 V2...Nạp chương trình IC...Màn hình......1</t>
  </si>
  <si>
    <t xml:space="preserve">;18/11/2025 15:50:19: TRIX-8 V2/TRIX-16 V2...Nạp chương trình IC...Màn hình......1;02/03/2026 18:53:50: ............0</t>
  </si>
  <si>
    <t xml:space="preserve">356e929c</t>
  </si>
  <si>
    <t xml:space="preserve">TRIX-8 V2/TRIX-16 V2...Test final...Màn hình......1</t>
  </si>
  <si>
    <t xml:space="preserve">;18/11/2025 15:50:30: TRIX-8 V2/TRIX-16 V2...Test final...Màn hình......1;02/03/2026 18:53:50: ............0</t>
  </si>
  <si>
    <t xml:space="preserve">381b48d8</t>
  </si>
  <si>
    <t xml:space="preserve">TRIX-16 V2......Máy tính......</t>
  </si>
  <si>
    <t xml:space="preserve">TRIX-16 V2...PCBA Test...Máy tính......3</t>
  </si>
  <si>
    <t xml:space="preserve">;18/11/2025 15:50:54: TRIX-16 V2...PCBA Test...Máy tính......3</t>
  </si>
  <si>
    <t xml:space="preserve">5b6f416a</t>
  </si>
  <si>
    <t xml:space="preserve">TRIX-16 V2...Test final...Máy tính......1</t>
  </si>
  <si>
    <t xml:space="preserve">;18/11/2025 15:51:03: TRIX-16 V2...Test final...Máy tính......1</t>
  </si>
  <si>
    <t xml:space="preserve">ea1b9644</t>
  </si>
  <si>
    <t xml:space="preserve">TRIX-16 V2...Test setup...Máy tính......1</t>
  </si>
  <si>
    <t xml:space="preserve">;18/11/2025 15:51:12: TRIX-16 V2...Test setup...Máy tính......1</t>
  </si>
  <si>
    <t xml:space="preserve">b6b5e4a6</t>
  </si>
  <si>
    <t xml:space="preserve">TRIX-16 V2...PCBA Test...Màn hình......3</t>
  </si>
  <si>
    <t xml:space="preserve">;18/11/2025 15:51:21: TRIX-16 V2...PCBA Test...Màn hình......3</t>
  </si>
  <si>
    <t xml:space="preserve">a006ca5c</t>
  </si>
  <si>
    <t xml:space="preserve">TRIX-16 V2......Màn hình......</t>
  </si>
  <si>
    <t xml:space="preserve">TRIX-16 V2...Test setup...Màn hình......1</t>
  </si>
  <si>
    <t xml:space="preserve">;18/11/2025 15:51:36: TRIX-16 V2...Test setup...Màn hình......1</t>
  </si>
  <si>
    <t xml:space="preserve">61fa1ed4</t>
  </si>
  <si>
    <t xml:space="preserve">TRIX-16 V2...Test final...Màn hình......1</t>
  </si>
  <si>
    <t xml:space="preserve">;18/11/2025 15:51:43: TRIX-16 V2...Test final...Màn hình......1</t>
  </si>
  <si>
    <t xml:space="preserve">66295bef</t>
  </si>
  <si>
    <t xml:space="preserve">TRIX-16 V2...Nạp chương trình IC...Màn hình......1</t>
  </si>
  <si>
    <t xml:space="preserve">;18/11/2025 15:51:51: TRIX-16 V2...Nạp chương trình IC...Màn hình......1</t>
  </si>
  <si>
    <t xml:space="preserve">98f28c86</t>
  </si>
  <si>
    <t xml:space="preserve">UHADO-16......Máy tính......</t>
  </si>
  <si>
    <t xml:space="preserve">UHADO-16...PCBA Test...Máy tính......3</t>
  </si>
  <si>
    <t xml:space="preserve">;18/11/2025 15:52:09: UHADO-16...PCBA Test...Máy tính......3</t>
  </si>
  <si>
    <t xml:space="preserve">af9c037c</t>
  </si>
  <si>
    <t xml:space="preserve">UHADO-16...Test setup...Máy tính......1</t>
  </si>
  <si>
    <t xml:space="preserve">;18/11/2025 15:52:15: UHADO-16...Test setup...Máy tính......1</t>
  </si>
  <si>
    <t xml:space="preserve">416fdf8d</t>
  </si>
  <si>
    <t xml:space="preserve">UHADO-16...Test final...Máy tính......1</t>
  </si>
  <si>
    <t xml:space="preserve">;18/11/2025 15:52:23: UHADO-16...Test final...Máy tính......1</t>
  </si>
  <si>
    <t xml:space="preserve">f39ad1a6</t>
  </si>
  <si>
    <t xml:space="preserve">UHADO-16...PCBA Test...Màn hình......3</t>
  </si>
  <si>
    <t xml:space="preserve">;18/11/2025 15:52:34: UHADO-16...PCBA Test...Màn hình......3</t>
  </si>
  <si>
    <t xml:space="preserve">f8f70fae</t>
  </si>
  <si>
    <t xml:space="preserve">UHADO-16......Màn hình......</t>
  </si>
  <si>
    <t xml:space="preserve">UHADO-16...Test setup...Màn hình......1</t>
  </si>
  <si>
    <t xml:space="preserve">;18/11/2025 15:52:51: UHADO-16...Test setup...Màn hình......1</t>
  </si>
  <si>
    <t xml:space="preserve">b7aa7f17</t>
  </si>
  <si>
    <t xml:space="preserve">UHADO-16...Test final...Màn hình......1</t>
  </si>
  <si>
    <t xml:space="preserve">;18/11/2025 15:53:00: UHADO-16...Test final...Màn hình......1</t>
  </si>
  <si>
    <t xml:space="preserve">72540725</t>
  </si>
  <si>
    <t xml:space="preserve">UHADO-16...Nạp chương trình IC...Màn hình......1</t>
  </si>
  <si>
    <t xml:space="preserve">;18/11/2025 15:53:10: UHADO-16...Nạp chương trình IC...Màn hình......1</t>
  </si>
  <si>
    <t xml:space="preserve">8d36618e</t>
  </si>
  <si>
    <t xml:space="preserve">USRIC-4 REVB......Màn hình......</t>
  </si>
  <si>
    <t xml:space="preserve">USRIC-4 REVB...Test setup...Màn hình......1</t>
  </si>
  <si>
    <t xml:space="preserve">;18/11/2025 15:53:49: USRIC-4 REVB...Test setup...Màn hình......1</t>
  </si>
  <si>
    <t xml:space="preserve">212ec9f1</t>
  </si>
  <si>
    <t xml:space="preserve">USRIC-4 REVB...Test final...Màn hình......1</t>
  </si>
  <si>
    <t xml:space="preserve">;18/11/2025 15:53:59: USRIC-4 REVB...Test final...Màn hình......1</t>
  </si>
  <si>
    <t xml:space="preserve">fc53b807</t>
  </si>
  <si>
    <t xml:space="preserve">USRIC-4 REVB......Máy tính......</t>
  </si>
  <si>
    <t xml:space="preserve">USRIC-4 REVB...Test setup...Máy tính......1</t>
  </si>
  <si>
    <t xml:space="preserve">;18/11/2025 15:54:27: USRIC-4 REVB...Test setup...Máy tính......1</t>
  </si>
  <si>
    <t xml:space="preserve">b503d4b4</t>
  </si>
  <si>
    <t xml:space="preserve">USRIC-4 REVB...Test final...Máy tính......1</t>
  </si>
  <si>
    <t xml:space="preserve">;18/11/2025 15:54:35: USRIC-4 REVB...Test final...Máy tính......1</t>
  </si>
  <si>
    <t xml:space="preserve">25fa0d03</t>
  </si>
  <si>
    <t xml:space="preserve">UTRED30-WIFI V3...PCBA Test...Máy tính......3</t>
  </si>
  <si>
    <t xml:space="preserve">a9526aa0</t>
  </si>
  <si>
    <t xml:space="preserve">UTRED30-WIFI V3...Test setup...Máy tính......1</t>
  </si>
  <si>
    <t xml:space="preserve">967cc165</t>
  </si>
  <si>
    <t xml:space="preserve">UTRED30-WIFI V3...Test final...Máy tính......1</t>
  </si>
  <si>
    <t xml:space="preserve">d77fc04f</t>
  </si>
  <si>
    <t xml:space="preserve">UTRED30-WIFI V3...PCBA Test...Màn hình......3</t>
  </si>
  <si>
    <t xml:space="preserve">4fa10da9</t>
  </si>
  <si>
    <t xml:space="preserve">UTRED30-WIFI V3...Test setup...Màn hình......1</t>
  </si>
  <si>
    <t xml:space="preserve">131032da</t>
  </si>
  <si>
    <t xml:space="preserve">UTRED30-WIFI V3...Test final...Màn hình......1</t>
  </si>
  <si>
    <t xml:space="preserve">7c164fab</t>
  </si>
  <si>
    <t xml:space="preserve">UTRED30-WIFI V3...Nạp chương trình IC...Màn hình......1</t>
  </si>
  <si>
    <t xml:space="preserve">836bc649</t>
  </si>
  <si>
    <t xml:space="preserve">UTRID-16F V4......Máy tính......</t>
  </si>
  <si>
    <t xml:space="preserve">UTRID-16F V4...PCBA Test...Máy tính......3</t>
  </si>
  <si>
    <t xml:space="preserve">;18/11/2025 15:58:18: UTRID-16F V4...PCBA Test...Máy tính......3</t>
  </si>
  <si>
    <t xml:space="preserve">a1425a71</t>
  </si>
  <si>
    <t xml:space="preserve">UTRID-16F V4...Test setup...Máy tính......1</t>
  </si>
  <si>
    <t xml:space="preserve">;18/11/2025 15:58:36: UTRID-16F V4...Test setup...Máy tính......1</t>
  </si>
  <si>
    <t xml:space="preserve">3e01c6b7</t>
  </si>
  <si>
    <t xml:space="preserve">UTRID-16F V4...Test final...Máy tính......1</t>
  </si>
  <si>
    <t xml:space="preserve">;18/11/2025 15:58:44: UTRID-16F V4...Test final...Máy tính......1</t>
  </si>
  <si>
    <t xml:space="preserve">df385c54</t>
  </si>
  <si>
    <t xml:space="preserve">UTRID-16F V4...PCBA Test...Màn hình......3</t>
  </si>
  <si>
    <t xml:space="preserve">;18/11/2025 15:59:24: UTRID-16F V4...PCBA Test...Màn hình......3</t>
  </si>
  <si>
    <t xml:space="preserve">80befcae</t>
  </si>
  <si>
    <t xml:space="preserve">UTRID-16F V4......Màn hình......</t>
  </si>
  <si>
    <t xml:space="preserve">UTRID-16F V4...Nạp chương trình IC...Màn hình......1</t>
  </si>
  <si>
    <t xml:space="preserve">;18/11/2025 15:59:35: UTRID-16F V4...Nạp chương trình IC...Màn hình......1</t>
  </si>
  <si>
    <t xml:space="preserve">56344815</t>
  </si>
  <si>
    <t xml:space="preserve">UTRID-16F V4...Test setup...Màn hình......1</t>
  </si>
  <si>
    <t xml:space="preserve">;18/11/2025 15:59:43: UTRID-16F V4...Test setup...Màn hình......1</t>
  </si>
  <si>
    <t xml:space="preserve">99cc6080</t>
  </si>
  <si>
    <t xml:space="preserve">UTRID-16F V4...Test final...Màn hình......1</t>
  </si>
  <si>
    <t xml:space="preserve">;18/11/2025 15:59:51: UTRID-16F V4...Test final...Màn hình......1</t>
  </si>
  <si>
    <t xml:space="preserve">1a4a3430</t>
  </si>
  <si>
    <t xml:space="preserve">FCT GOMIXERST...FCT...Máy tính......2</t>
  </si>
  <si>
    <t xml:space="preserve">79211b40</t>
  </si>
  <si>
    <t xml:space="preserve">FCT GOMIXERST...FCT...Màn hình......2</t>
  </si>
  <si>
    <t xml:space="preserve">31c4d119</t>
  </si>
  <si>
    <t xml:space="preserve">FCT GOMIXERST...FCT...Máy hiện sóng......2</t>
  </si>
  <si>
    <t xml:space="preserve">5a6a9136</t>
  </si>
  <si>
    <t xml:space="preserve">GT-1000...Packing...Màn hình......2</t>
  </si>
  <si>
    <t xml:space="preserve">2c3da582</t>
  </si>
  <si>
    <t xml:space="preserve">Final test 1</t>
  </si>
  <si>
    <t xml:space="preserve">GT-1000...Final test 1...Màn hình......1</t>
  </si>
  <si>
    <t xml:space="preserve">b64545b3</t>
  </si>
  <si>
    <t xml:space="preserve">GT-1000...Dây thít...Súng bắn dây thít......1</t>
  </si>
  <si>
    <t xml:space="preserve">e19662f9</t>
  </si>
  <si>
    <t xml:space="preserve">GT-1000...Dập bằng tay...Máy dập tay......2</t>
  </si>
  <si>
    <t xml:space="preserve">3a2dc908</t>
  </si>
  <si>
    <t xml:space="preserve">KTN-MINI...Kiểm tra chức năng (final test)...Máy phân cực......1</t>
  </si>
  <si>
    <t xml:space="preserve">328b2da4</t>
  </si>
  <si>
    <t xml:space="preserve">KTN-GO2...Kiểm tra chức năng (final test)...Noise Meter......2</t>
  </si>
  <si>
    <t xml:space="preserve">2e7a41f7</t>
  </si>
  <si>
    <t xml:space="preserve">KTN-GO2...Kiểm tra chức năng (final test)...Loa CM-30......4</t>
  </si>
  <si>
    <t xml:space="preserve">44237329</t>
  </si>
  <si>
    <t xml:space="preserve">KTN-GO2...Kiểm tra chức năng (final test)...Máy kiểm tra pin......1</t>
  </si>
  <si>
    <t xml:space="preserve">96966424</t>
  </si>
  <si>
    <t xml:space="preserve">KTN-GO2...Packing...Màn hình......2</t>
  </si>
  <si>
    <t xml:space="preserve">049d3de1</t>
  </si>
  <si>
    <t xml:space="preserve">KTN-GO2...Kiểm tra chức năng (final test)...Màn hình......3</t>
  </si>
  <si>
    <t xml:space="preserve">;19/11/2025 13:53:57: KTN-GO2...Kiểm tra chức năng (final test)...Màn hình......3;13/01/2026 16:44:19: ............0</t>
  </si>
  <si>
    <t xml:space="preserve">be415a25</t>
  </si>
  <si>
    <t xml:space="preserve">KTN-GO2...Hàn Jack vào mạch PCBA...Máy hút khói di động......1</t>
  </si>
  <si>
    <t xml:space="preserve">KTN-GO2...Hàn Jack vào mạch PCBA...Máy hút khói di động......2</t>
  </si>
  <si>
    <t xml:space="preserve">;13/01/2026 16:50:08: KTN-GO2...Hàn Jack vào mạch PCBA...Máy hút khói di động......2</t>
  </si>
  <si>
    <t xml:space="preserve">606ffd4b</t>
  </si>
  <si>
    <t xml:space="preserve">D-CUBELX...Kiểm tra chức năng (final test)...Bàn đạp giả (EV-5 + FS-5U )......6</t>
  </si>
  <si>
    <t xml:space="preserve">48e3ca7d</t>
  </si>
  <si>
    <t xml:space="preserve">D-CUBELX...Kiểm tra chức năng (final test)...Máy phân cực......1</t>
  </si>
  <si>
    <t xml:space="preserve">e383181a</t>
  </si>
  <si>
    <t xml:space="preserve">D-CUBELX...Packing...Màn hình......2</t>
  </si>
  <si>
    <t xml:space="preserve">0becf927</t>
  </si>
  <si>
    <t xml:space="preserve">D-CUBELX...Kiểm tra chức năng (final test)...Màn hình......3</t>
  </si>
  <si>
    <t xml:space="preserve">;19/11/2025 14:02:35: D-CUBELX...Kiểm tra chức năng (final test)...Màn hình......3;13/01/2026 16:54:09: ............0</t>
  </si>
  <si>
    <t xml:space="preserve">7be23fcc</t>
  </si>
  <si>
    <t xml:space="preserve">D-CUBELX............</t>
  </si>
  <si>
    <t xml:space="preserve">D-CUBELX...Kiểm tra chức năng (final test)...Hộp pin giả DCB-LX/D-CUBE......1</t>
  </si>
  <si>
    <t xml:space="preserve">;19/11/2025 14:03:07: D-CUBELX...Kiểm tra chức năng (final test)...Hộp pin giả DCB-LX/D-CUBE......1</t>
  </si>
  <si>
    <t xml:space="preserve">6ec569f5</t>
  </si>
  <si>
    <t xml:space="preserve">D-CUBELX...Lắp còi, khóa ốc, logo bia BOSS, ốc khóa...Máy dập hot stamping......1</t>
  </si>
  <si>
    <t xml:space="preserve">d16278ea</t>
  </si>
  <si>
    <t xml:space="preserve">D-CUBELX...Hàn linh kiện...Máy hút khói di động......2</t>
  </si>
  <si>
    <t xml:space="preserve">e3ef0023</t>
  </si>
  <si>
    <t xml:space="preserve">D-CUBELX...Dây thít...Súng bắn dây thít......1</t>
  </si>
  <si>
    <t xml:space="preserve">4a5e65ba</t>
  </si>
  <si>
    <t xml:space="preserve">GA-FC©...Kiểm tra chức năng (final test)...Bàn đạp EV-5......1</t>
  </si>
  <si>
    <t xml:space="preserve">5895046a</t>
  </si>
  <si>
    <t xml:space="preserve">GA-FC©...Kiểm tra chức năng (final test)...Bàn đạp giả (EV-5 + FS-5U )......1</t>
  </si>
  <si>
    <t xml:space="preserve">21c60058</t>
  </si>
  <si>
    <t xml:space="preserve">GA-FC©...Packing...Màn hình......2</t>
  </si>
  <si>
    <t xml:space="preserve">e524c16a</t>
  </si>
  <si>
    <t xml:space="preserve">GA-FC©...Siết vít...Súng bắn vít......5</t>
  </si>
  <si>
    <t xml:space="preserve">13804c8e</t>
  </si>
  <si>
    <t xml:space="preserve">GA-FC©...Bẻ mạch, dán tape, bôi keo...Máy bơm keo......1</t>
  </si>
  <si>
    <t xml:space="preserve">274fdf32</t>
  </si>
  <si>
    <t xml:space="preserve">GA-FC©...Packing...Súng Scan Barcode......2</t>
  </si>
  <si>
    <t xml:space="preserve">884dfa01</t>
  </si>
  <si>
    <t xml:space="preserve">GA-FC EX...Kiểm tra chức năng (final test)...Bàn đạp EV-5......1</t>
  </si>
  <si>
    <t xml:space="preserve">d3aa45e7</t>
  </si>
  <si>
    <t xml:space="preserve">GA-FC EX...Kiểm tra chức năng (final test)...Bàn đạp giả (EV-5 + FS-5U )......1</t>
  </si>
  <si>
    <t xml:space="preserve">29b98848</t>
  </si>
  <si>
    <t xml:space="preserve">GX-1...Dây thít...Súng bắn dây thít......1</t>
  </si>
  <si>
    <t xml:space="preserve">8a5e80c5</t>
  </si>
  <si>
    <t xml:space="preserve">Hàn sóng siêu âm chân trái và chân phải</t>
  </si>
  <si>
    <t xml:space="preserve">BOP IT MARVEL HULK...Hàn sóng siêu âm chân trái và chân phải...Máy hàn sóng siêu âm......1</t>
  </si>
  <si>
    <t xml:space="preserve">Ultrasonic welding of the left and right legs.</t>
  </si>
  <si>
    <t xml:space="preserve">6fab665f</t>
  </si>
  <si>
    <t xml:space="preserve">Hàn dây motor,dây loa và dây pin</t>
  </si>
  <si>
    <t xml:space="preserve">DEER PONG...Hàn dây motor,dây loa và dây pin...Máy hàn......3</t>
  </si>
  <si>
    <t xml:space="preserve">Solder motor wires, speaker wires, and battery wires.</t>
  </si>
  <si>
    <t xml:space="preserve">d600a1fe</t>
  </si>
  <si>
    <t xml:space="preserve">Hàn sóng siêu âm hàm lưỡi và gia công cuộn cảm</t>
  </si>
  <si>
    <t xml:space="preserve">DEER PONG...Hàn sóng siêu âm hàm lưỡi và gia công cuộn cảm...Máy hàn sóng siêu âm......1</t>
  </si>
  <si>
    <t xml:space="preserve">Ultrasonic welding of jaw and tongue components and inductor fabrication.</t>
  </si>
  <si>
    <t xml:space="preserve">ffb5016d</t>
  </si>
  <si>
    <t xml:space="preserve">Hàn sóng siêu âm đế</t>
  </si>
  <si>
    <t xml:space="preserve">DEER PONG...Hàn sóng siêu âm đế...Máy hàn sóng siêu âm......1</t>
  </si>
  <si>
    <t xml:space="preserve">Ultrasonic welding base</t>
  </si>
  <si>
    <t xml:space="preserve">a9c7cdb5</t>
  </si>
  <si>
    <t xml:space="preserve">DEER PONG...Lắp bánh răng vào motor và ngoại quan PCBA...Máy dập khí nén......1</t>
  </si>
  <si>
    <t xml:space="preserve">;21/11/2025 14:29:59: DEER PONG...Lắp bánh răng vào motor và ngoại quan PCBA...Máy dập khí nén......1;22/01/2026 14:24:01: ............0</t>
  </si>
  <si>
    <t xml:space="preserve">8df5b9e7</t>
  </si>
  <si>
    <t xml:space="preserve">Hàn bo mạch PCB, cuộn cảm vào motor</t>
  </si>
  <si>
    <t xml:space="preserve">DEER PONG...Hàn bo mạch PCB, cuộn cảm vào motor...Máy hàn......3</t>
  </si>
  <si>
    <t xml:space="preserve">Solder the PCB board and inductor to the motor.</t>
  </si>
  <si>
    <t xml:space="preserve">9cbc2049</t>
  </si>
  <si>
    <t xml:space="preserve">DEER PONG...Dập đai ốc...Máy dập khí nén......1</t>
  </si>
  <si>
    <t xml:space="preserve">50826caa</t>
  </si>
  <si>
    <t xml:space="preserve">DEER PONG...Dập chân pin...Máy dập khí nén......1</t>
  </si>
  <si>
    <t xml:space="preserve">cd4350d4</t>
  </si>
  <si>
    <t xml:space="preserve">Siết vít mạch PCBA</t>
  </si>
  <si>
    <t xml:space="preserve">DEER PONG...Siết vít mạch PCBA...Súng bắn vít......1</t>
  </si>
  <si>
    <t xml:space="preserve">Tighten the PCBA circuit board screws.</t>
  </si>
  <si>
    <t xml:space="preserve">b0e1ab22</t>
  </si>
  <si>
    <t xml:space="preserve">Lắp ráp loa và gắn lò xo</t>
  </si>
  <si>
    <t xml:space="preserve">DEER PONG...Lắp ráp loa và gắn lò xo...Súng bắn vít......1</t>
  </si>
  <si>
    <t xml:space="preserve">Assemble the speaker and attach the spring.</t>
  </si>
  <si>
    <t xml:space="preserve">d3523b97</t>
  </si>
  <si>
    <t xml:space="preserve">Ép bánh răng vào vỏ</t>
  </si>
  <si>
    <t xml:space="preserve">DEER PONG...Ép bánh răng vào vỏ...Máy dập tay......1</t>
  </si>
  <si>
    <t xml:space="preserve">Press the gear into the housing.</t>
  </si>
  <si>
    <t xml:space="preserve">54292406</t>
  </si>
  <si>
    <t xml:space="preserve">DEER PONG...Siết vít sản phẩm...Súng bắn vít......1</t>
  </si>
  <si>
    <t xml:space="preserve">b2bf08ad</t>
  </si>
  <si>
    <t xml:space="preserve">Lắp và siết vít phần đỉnh đầu</t>
  </si>
  <si>
    <t xml:space="preserve">DEER PONG...Lắp và siết vít phần đỉnh đầu...Súng bắn vít......1</t>
  </si>
  <si>
    <t xml:space="preserve">Install and tighten the screws on the top part.</t>
  </si>
  <si>
    <t xml:space="preserve">2dd878d2</t>
  </si>
  <si>
    <t xml:space="preserve">Siết vít khoang pin</t>
  </si>
  <si>
    <t xml:space="preserve">DEER PONG...Siết vít khoang pin...Súng bắn vít......1</t>
  </si>
  <si>
    <t xml:space="preserve">Tighten the battery compartment screws.</t>
  </si>
  <si>
    <t xml:space="preserve">06d7b230</t>
  </si>
  <si>
    <t xml:space="preserve">Lắp và siết vít phần nắp đầu</t>
  </si>
  <si>
    <t xml:space="preserve">DEER PONG...Lắp và siết vít phần nắp đầu...Súng bắn vít......1</t>
  </si>
  <si>
    <t xml:space="preserve">Install and tighten the head cap.</t>
  </si>
  <si>
    <t xml:space="preserve">2e5d0bf7</t>
  </si>
  <si>
    <t xml:space="preserve">Laser date code sản phẩm và siết vít nắp pin</t>
  </si>
  <si>
    <t xml:space="preserve">DEER PONG...Laser date code sản phẩm và siết vít nắp pin...Máy laser......1</t>
  </si>
  <si>
    <t xml:space="preserve">Laser date code on the product and tighten the battery cover screws.</t>
  </si>
  <si>
    <t xml:space="preserve">f7139800</t>
  </si>
  <si>
    <t xml:space="preserve">DEER PONG...Laser date code sản phẩm và siết vít nắp pin...Súng bắn vít......1</t>
  </si>
  <si>
    <t xml:space="preserve">77a7e7b0</t>
  </si>
  <si>
    <t xml:space="preserve">DEER PONG...Dập date code hộp màu và dán băng dính...Máy dập khí nén......1</t>
  </si>
  <si>
    <t xml:space="preserve">;21/11/2025 14:40:15: DEER PONG...Dập date code hộp màu và dán băng dính...Máy dập khí nén......1;22/01/2026 14:31:04: ............0</t>
  </si>
  <si>
    <t xml:space="preserve">be802d28</t>
  </si>
  <si>
    <t xml:space="preserve">Hàn sóng siêu âm đĩa từ</t>
  </si>
  <si>
    <t xml:space="preserve">HYPER SHOT...Hàn sóng siêu âm đĩa từ...Máy hàn sóng siêu âm......1</t>
  </si>
  <si>
    <t xml:space="preserve">Ultrasonic welding of magnetic discs</t>
  </si>
  <si>
    <t xml:space="preserve">fdbad58a</t>
  </si>
  <si>
    <t xml:space="preserve">Dập cover loa</t>
  </si>
  <si>
    <t xml:space="preserve">HYPER SHOT......Máy dập khí nén......</t>
  </si>
  <si>
    <t xml:space="preserve">HYPER SHOT...Dập cover loa...Máy dập khí nén......1</t>
  </si>
  <si>
    <t xml:space="preserve">;21/11/2025 14:45:59: HYPER SHOT...Dập cover loa...Máy dập khí nén......1</t>
  </si>
  <si>
    <t xml:space="preserve">Speaker cover stamping</t>
  </si>
  <si>
    <t xml:space="preserve">5cf6c6be</t>
  </si>
  <si>
    <t xml:space="preserve">AD-10...Ốp góc, siết vít...Súng bắn vít......1</t>
  </si>
  <si>
    <t xml:space="preserve">;21/11/2025 15:26:13: AD-10...Ốp góc, siết vít...Súng bắn vít......1</t>
  </si>
  <si>
    <t xml:space="preserve">f4afff05</t>
  </si>
  <si>
    <t xml:space="preserve">AD-10...Siết vít...Súng bắn vít......1</t>
  </si>
  <si>
    <t xml:space="preserve">;21/11/2025 15:21:32: AD-10...Siết vít...Súng bắn vít......1</t>
  </si>
  <si>
    <t xml:space="preserve">37459bfd</t>
  </si>
  <si>
    <t xml:space="preserve">FCT AD-10...FCT...Đồng hồ vạn năng dùng cho sản xuất......2</t>
  </si>
  <si>
    <t xml:space="preserve">049ee42e</t>
  </si>
  <si>
    <t xml:space="preserve">VE-1...Siết vít...Súng bắn vít......1</t>
  </si>
  <si>
    <t xml:space="preserve">;24/11/2025 15:21:08: VE-1...Siết vít...Súng bắn vít......1</t>
  </si>
  <si>
    <t xml:space="preserve">f736ea31</t>
  </si>
  <si>
    <t xml:space="preserve">Kết nối dây điện, đặt bo mạch vào vỏ nhựa và siết vít</t>
  </si>
  <si>
    <t xml:space="preserve">VE-2...Kết nối dây điện, đặt bo mạch vào vỏ nhựa và siết vít...Súng bắn vít......2</t>
  </si>
  <si>
    <t xml:space="preserve">Connect the wires, place the circuit board into the plastic housing, and tighten the screws.</t>
  </si>
  <si>
    <t xml:space="preserve">b0d0e7f1</t>
  </si>
  <si>
    <t xml:space="preserve">VE-8...Siết vít...Súng bắn vít......1</t>
  </si>
  <si>
    <t xml:space="preserve">;24/11/2025 15:22:57: VE-8...Siết vít...Súng bắn vít......1</t>
  </si>
  <si>
    <t xml:space="preserve">6968cf4f</t>
  </si>
  <si>
    <t xml:space="preserve">FSC-10............</t>
  </si>
  <si>
    <t xml:space="preserve">FSC-10...Packing...Máy tính......2</t>
  </si>
  <si>
    <t xml:space="preserve">;24/11/2025 15:36:52: FSC-10...Packing...Máy tính......2</t>
  </si>
  <si>
    <t xml:space="preserve">966a83a4</t>
  </si>
  <si>
    <t xml:space="preserve">FSC-10...Packing...Màn hình......2</t>
  </si>
  <si>
    <t xml:space="preserve">;24/11/2025 15:37:07: FSC-10...Packing...Màn hình......2</t>
  </si>
  <si>
    <t xml:space="preserve">177c5d5a</t>
  </si>
  <si>
    <t xml:space="preserve">FSC-10...Packing...Súng Scan Barcode......2</t>
  </si>
  <si>
    <t xml:space="preserve">;24/11/2025 15:37:19: FSC-10...Packing...Súng Scan Barcode......2</t>
  </si>
  <si>
    <t xml:space="preserve">e8f57338</t>
  </si>
  <si>
    <t xml:space="preserve">VE-1............</t>
  </si>
  <si>
    <t xml:space="preserve">VE-1...Packing...Máy tính......2</t>
  </si>
  <si>
    <t xml:space="preserve">;24/11/2025 15:37:43: VE-1...Packing...Máy tính......2</t>
  </si>
  <si>
    <t xml:space="preserve">f4464959</t>
  </si>
  <si>
    <t xml:space="preserve">VE-1...Packing...Màn hình......2</t>
  </si>
  <si>
    <t xml:space="preserve">;24/11/2025 15:37:51: VE-1...Packing...Màn hình......2</t>
  </si>
  <si>
    <t xml:space="preserve">fc241720</t>
  </si>
  <si>
    <t xml:space="preserve">VE-1...Packing...Súng Scan Barcode......2</t>
  </si>
  <si>
    <t xml:space="preserve">;24/11/2025 15:38:05: VE-1...Packing...Súng Scan Barcode......2</t>
  </si>
  <si>
    <t xml:space="preserve">b82f9721</t>
  </si>
  <si>
    <t xml:space="preserve">VE-1...Kiểm tra chức năng (final test)...Máy tính......1</t>
  </si>
  <si>
    <t xml:space="preserve">;24/11/2025 15:38:25: VE-1...Kiểm tra chức năng (final test)...Máy tính......1</t>
  </si>
  <si>
    <t xml:space="preserve">a4ec7ad3</t>
  </si>
  <si>
    <t xml:space="preserve">VE-1...Kiểm tra chức năng (final test)...Màn hình......1</t>
  </si>
  <si>
    <t xml:space="preserve">;24/11/2025 15:38:46: VE-1...Kiểm tra chức năng (final test)...Màn hình......1;14/01/2026 10:42:06: ............0</t>
  </si>
  <si>
    <t xml:space="preserve">130cfb81</t>
  </si>
  <si>
    <t xml:space="preserve">VE-2...Packing...Máy tính......2</t>
  </si>
  <si>
    <t xml:space="preserve">ba44f114</t>
  </si>
  <si>
    <t xml:space="preserve">VE-2...Packing...Màn hình......2</t>
  </si>
  <si>
    <t xml:space="preserve">9b08bfd3</t>
  </si>
  <si>
    <t xml:space="preserve">VE-2...Packing...Súng Scan Barcode......2</t>
  </si>
  <si>
    <t xml:space="preserve">81578f0b</t>
  </si>
  <si>
    <t xml:space="preserve">VE-2...Kiểm tra chức năng (final test)...Máy tính......2</t>
  </si>
  <si>
    <t xml:space="preserve">0ae2516d</t>
  </si>
  <si>
    <t xml:space="preserve">VE-2...Kiểm tra chức năng (final test)...Màn hình......1</t>
  </si>
  <si>
    <t xml:space="preserve">;24/11/2025 15:39:54: VE-2...Kiểm tra chức năng (final test)...Màn hình......1;14/01/2026 10:52:14: ............0</t>
  </si>
  <si>
    <t xml:space="preserve">2b2c482d</t>
  </si>
  <si>
    <t xml:space="preserve">VE-8............</t>
  </si>
  <si>
    <t xml:space="preserve">VE-8...Packing...Máy tính......2</t>
  </si>
  <si>
    <t xml:space="preserve">;24/11/2025 15:40:11: VE-8...Packing...Máy tính......2</t>
  </si>
  <si>
    <t xml:space="preserve">ffee6ee4</t>
  </si>
  <si>
    <t xml:space="preserve">VE-8...Packing...Màn hình......2</t>
  </si>
  <si>
    <t xml:space="preserve">;24/11/2025 15:40:18: VE-8...Packing...Màn hình......2</t>
  </si>
  <si>
    <t xml:space="preserve">721c9ad3</t>
  </si>
  <si>
    <t xml:space="preserve">VE-8...Packing...Súng Scan Barcode......2</t>
  </si>
  <si>
    <t xml:space="preserve">;24/11/2025 15:40:27: VE-8...Packing...Súng Scan Barcode......2</t>
  </si>
  <si>
    <t xml:space="preserve">2e52470f</t>
  </si>
  <si>
    <t xml:space="preserve">VE-8...Kiểm tra chức năng (final test)...Máy tính......1</t>
  </si>
  <si>
    <t xml:space="preserve">;24/11/2025 15:40:40: VE-8...Kiểm tra chức năng (final test)...Máy tính......1</t>
  </si>
  <si>
    <t xml:space="preserve">b17b0135</t>
  </si>
  <si>
    <t xml:space="preserve">VE-8...Kiểm tra chức năng (final test)...Màn hình......1</t>
  </si>
  <si>
    <t xml:space="preserve">;24/11/2025 15:40:51: VE-8...Kiểm tra chức năng (final test)...Màn hình......1</t>
  </si>
  <si>
    <t xml:space="preserve">8df01f07</t>
  </si>
  <si>
    <t xml:space="preserve">MSK GOKEYS5...Dập linh kiện...Máy dập khí nén......1</t>
  </si>
  <si>
    <t xml:space="preserve">490dc630</t>
  </si>
  <si>
    <t xml:space="preserve">MSK GOKEYS5...Kiểm tra chức năng (final test)...Máy tính......1</t>
  </si>
  <si>
    <t xml:space="preserve">55a71b5a</t>
  </si>
  <si>
    <t xml:space="preserve">MSK GOKEYS5...Kiểm tra chức năng (final test)...Màn hình......2</t>
  </si>
  <si>
    <t xml:space="preserve">348899ad</t>
  </si>
  <si>
    <t xml:space="preserve">AD-10............</t>
  </si>
  <si>
    <t xml:space="preserve">AD-10...Packing...Máy tính......2</t>
  </si>
  <si>
    <t xml:space="preserve">;24/11/2025 15:47:06: AD-10...Packing...Máy tính......2</t>
  </si>
  <si>
    <t xml:space="preserve">87426918</t>
  </si>
  <si>
    <t xml:space="preserve">AD-10...Packing...Màn hình......2</t>
  </si>
  <si>
    <t xml:space="preserve">;24/11/2025 15:47:16: AD-10...Packing...Màn hình......2</t>
  </si>
  <si>
    <t xml:space="preserve">8bd587c5</t>
  </si>
  <si>
    <t xml:space="preserve">AD-10...Packing...Súng Scan Barcode......2</t>
  </si>
  <si>
    <t xml:space="preserve">;24/11/2025 15:47:42: AD-10...Packing...Súng Scan Barcode......2</t>
  </si>
  <si>
    <t xml:space="preserve">399659d4</t>
  </si>
  <si>
    <t xml:space="preserve">HAXO-16U</t>
  </si>
  <si>
    <t xml:space="preserve">HAXO-16U...Nạp chương trình IC...Máy tính......1</t>
  </si>
  <si>
    <t xml:space="preserve">;01/12/2025 13:42:11: HAXO-16U...Nạp chương trình IC...Máy tính......1</t>
  </si>
  <si>
    <t xml:space="preserve">e1666a84</t>
  </si>
  <si>
    <t xml:space="preserve">HAXO-16U...Test setup...Máy tính......1</t>
  </si>
  <si>
    <t xml:space="preserve">;01/12/2025 13:44:40: HAXO-16U...Test setup...Máy tính......1</t>
  </si>
  <si>
    <t xml:space="preserve">d0cfdaa9</t>
  </si>
  <si>
    <t xml:space="preserve">HAXO-16U...PCBA Test...Máy tính......2</t>
  </si>
  <si>
    <t xml:space="preserve">HAXO-16U...PCBA Test...Máy tính......3</t>
  </si>
  <si>
    <t xml:space="preserve">;01/12/2025 13:46:53: HAXO-16U...PCBA Test...Máy tính......2;18/12/2025 18:13:45: HAXO-16U...PCBA Test...Máy tính......3</t>
  </si>
  <si>
    <t xml:space="preserve">75d0315b</t>
  </si>
  <si>
    <t xml:space="preserve">Test...Test1...Test1......1</t>
  </si>
  <si>
    <t xml:space="preserve">;18/12/2025 18:18:57: ............0</t>
  </si>
  <si>
    <t xml:space="preserve">2d7268da</t>
  </si>
  <si>
    <t xml:space="preserve">TRED30-16U</t>
  </si>
  <si>
    <t xml:space="preserve">TRED30-16U...Nạp chương trình IC...Máy tính......1</t>
  </si>
  <si>
    <t xml:space="preserve">;05/12/2025 16:16:21: TRED30-16U...Nạp chương trình IC...Máy tính......1</t>
  </si>
  <si>
    <t xml:space="preserve">33f8eea0</t>
  </si>
  <si>
    <t xml:space="preserve">FCT GT-1000...FCT...Máy tính......2</t>
  </si>
  <si>
    <t xml:space="preserve">1aa5f01e</t>
  </si>
  <si>
    <t xml:space="preserve">OPERATION BLUEY...Hàn dây tấm MET, dây pin và motor...Máy hàn......2</t>
  </si>
  <si>
    <t xml:space="preserve">8c2e500f</t>
  </si>
  <si>
    <t xml:space="preserve">SILVER PLATE...Siết vít...Súng bắn vít......1</t>
  </si>
  <si>
    <t xml:space="preserve">;05/01/2026 10:21:49: ............0</t>
  </si>
  <si>
    <t xml:space="preserve">54236ce0</t>
  </si>
  <si>
    <t xml:space="preserve">FCT GOMIXERST...FCT...Đồng hồ vạn năng dùng cho sản xuất......6</t>
  </si>
  <si>
    <t xml:space="preserve">7e52e521</t>
  </si>
  <si>
    <t xml:space="preserve">FCT GT-1000...FCT...Màn hình......2</t>
  </si>
  <si>
    <t xml:space="preserve">d7e152c4</t>
  </si>
  <si>
    <t xml:space="preserve">FCT GT-1000...FCT...Đồng hồ vạn năng dùng cho sản xuất......2</t>
  </si>
  <si>
    <t xml:space="preserve">6ca0d062</t>
  </si>
  <si>
    <t xml:space="preserve">SRIL-8</t>
  </si>
  <si>
    <t xml:space="preserve">SRIL-8...Nạp chương trình IC...Máy tính......1</t>
  </si>
  <si>
    <t xml:space="preserve">;12/12/2025 14:43:41: SRIL-8...Nạp chương trình IC...Máy tính......1</t>
  </si>
  <si>
    <t xml:space="preserve">c03b3d8e</t>
  </si>
  <si>
    <t xml:space="preserve">TRIL-8...Nạp chương trình IC...Máy tính......1</t>
  </si>
  <si>
    <t xml:space="preserve">;12/12/2025 14:44:19: TRIL-8...Nạp chương trình IC...Máy tính......1</t>
  </si>
  <si>
    <t xml:space="preserve">7a0d28df</t>
  </si>
  <si>
    <t xml:space="preserve">SRIL-8...PCBA Test...Máy tính......3</t>
  </si>
  <si>
    <t xml:space="preserve">;18/12/2025 18:02:39: SRIL-8...PCBA Test...Máy tính......3</t>
  </si>
  <si>
    <t xml:space="preserve">3e5af815</t>
  </si>
  <si>
    <t xml:space="preserve">SRIL-8...Test setup...Máy tính......1</t>
  </si>
  <si>
    <t xml:space="preserve">;18/12/2025 18:03:19: SRIL-8...Test setup...Máy tính......1</t>
  </si>
  <si>
    <t xml:space="preserve">f2008a21</t>
  </si>
  <si>
    <t xml:space="preserve">SRIL-8...Test final...Máy tính......1</t>
  </si>
  <si>
    <t xml:space="preserve">;18/12/2025 18:03:57: SRIL-8...Test final...Máy tính......1</t>
  </si>
  <si>
    <t xml:space="preserve">c8a85b58</t>
  </si>
  <si>
    <t xml:space="preserve">......Máy tính......</t>
  </si>
  <si>
    <t xml:space="preserve">SRIL-8...PCBA Test...Màn hình......3</t>
  </si>
  <si>
    <t xml:space="preserve">;18/12/2025 18:04:33: SRIL-8...PCBA Test...Màn hình......3</t>
  </si>
  <si>
    <t xml:space="preserve">5b36781a</t>
  </si>
  <si>
    <t xml:space="preserve">......Màn hình......</t>
  </si>
  <si>
    <t xml:space="preserve">SRIL-8...Test final...Màn hình......1</t>
  </si>
  <si>
    <t xml:space="preserve">;18/12/2025 18:05:19: SRIL-8...Test final...Màn hình......1</t>
  </si>
  <si>
    <t xml:space="preserve">3b0ce00f</t>
  </si>
  <si>
    <t xml:space="preserve">SRIL-8...Nạp chương trình IC...Màn hình......1</t>
  </si>
  <si>
    <t xml:space="preserve">;18/12/2025 18:05:38: SRIL-8...Nạp chương trình IC...Màn hình......1</t>
  </si>
  <si>
    <t xml:space="preserve">a04a4070</t>
  </si>
  <si>
    <t xml:space="preserve">SRIL-8...Test setup...Màn hình......1</t>
  </si>
  <si>
    <t xml:space="preserve">;18/12/2025 18:05:55: SRIL-8...Test setup...Màn hình......1</t>
  </si>
  <si>
    <t xml:space="preserve">85acc801</t>
  </si>
  <si>
    <t xml:space="preserve">TRED30-16U...PCBA Test...Máy tính......3</t>
  </si>
  <si>
    <t xml:space="preserve">;18/12/2025 18:06:33: TRED30-16U...PCBA Test...Máy tính......3</t>
  </si>
  <si>
    <t xml:space="preserve">b31b77cf</t>
  </si>
  <si>
    <t xml:space="preserve">TRED30-16U...Test final...Máy tính......1</t>
  </si>
  <si>
    <t xml:space="preserve">;18/12/2025 18:07:09: TRED30-16U...Test final...Máy tính......1</t>
  </si>
  <si>
    <t xml:space="preserve">477bc283</t>
  </si>
  <si>
    <t xml:space="preserve">TRED30-16U...Test setup...Máy tính......1</t>
  </si>
  <si>
    <t xml:space="preserve">;18/12/2025 18:07:35: TRED30-16U...Test setup...Máy tính......1</t>
  </si>
  <si>
    <t xml:space="preserve">bf9792bf</t>
  </si>
  <si>
    <t xml:space="preserve">TRED30-16U...PCBA Test...Màn hình......3</t>
  </si>
  <si>
    <t xml:space="preserve">;18/12/2025 18:08:35: TRED30-16U...PCBA Test...Màn hình......3</t>
  </si>
  <si>
    <t xml:space="preserve">d2b4bb9a</t>
  </si>
  <si>
    <t xml:space="preserve">TRED30-16U...Test final...Màn hình......1</t>
  </si>
  <si>
    <t xml:space="preserve">;18/12/2025 18:09:01: TRED30-16U...Test final...Màn hình......1</t>
  </si>
  <si>
    <t xml:space="preserve">860c2414</t>
  </si>
  <si>
    <t xml:space="preserve">TRED30-16U...Test setup...Màn hình......1</t>
  </si>
  <si>
    <t xml:space="preserve">;18/12/2025 18:09:20: TRED30-16U...Test setup...Màn hình......1</t>
  </si>
  <si>
    <t xml:space="preserve">50b6da30</t>
  </si>
  <si>
    <t xml:space="preserve">TRED30-16U...Nạp chương trình IC...Màn hình......1</t>
  </si>
  <si>
    <t xml:space="preserve">;18/12/2025 18:09:39: TRED30-16U...Nạp chương trình IC...Màn hình......1</t>
  </si>
  <si>
    <t xml:space="preserve">8bb0f7cb</t>
  </si>
  <si>
    <t xml:space="preserve">TRIL-8...PCBA Test...Máy tính......3</t>
  </si>
  <si>
    <t xml:space="preserve">;18/12/2025 18:10:00: TRIL-8...PCBA Test...Máy tính......3</t>
  </si>
  <si>
    <t xml:space="preserve">d1d641fa</t>
  </si>
  <si>
    <t xml:space="preserve">TRIL-8...Test final...Máy tính......1</t>
  </si>
  <si>
    <t xml:space="preserve">;18/12/2025 18:10:26: TRIL-8...Test final...Máy tính......1</t>
  </si>
  <si>
    <t xml:space="preserve">481f5075</t>
  </si>
  <si>
    <t xml:space="preserve">TRIL-8...Test setup...Máy tính......1</t>
  </si>
  <si>
    <t xml:space="preserve">;18/12/2025 18:10:49: TRIL-8...Test setup...Máy tính......1</t>
  </si>
  <si>
    <t xml:space="preserve">d7b5443c</t>
  </si>
  <si>
    <t xml:space="preserve">TRIL-8...PCBA Test...Màn hình......3</t>
  </si>
  <si>
    <t xml:space="preserve">;18/12/2025 18:11:11: TRIL-8...PCBA Test...Màn hình......3</t>
  </si>
  <si>
    <t xml:space="preserve">53f0f4af</t>
  </si>
  <si>
    <t xml:space="preserve">TRIL-8...Nạp chương trình IC...Màn hình......1</t>
  </si>
  <si>
    <t xml:space="preserve">;18/12/2025 18:11:50: TRIL-8...Nạp chương trình IC...Màn hình......1</t>
  </si>
  <si>
    <t xml:space="preserve">21697816</t>
  </si>
  <si>
    <t xml:space="preserve">TRIL-8...Test final...Màn hình......1</t>
  </si>
  <si>
    <t xml:space="preserve">;18/12/2025 18:12:03: TRIL-8...Test final...Màn hình......1</t>
  </si>
  <si>
    <t xml:space="preserve">6dda3567</t>
  </si>
  <si>
    <t xml:space="preserve">TRIL-8...Test setup...Màn hình......1</t>
  </si>
  <si>
    <t xml:space="preserve">;18/12/2025 18:12:23: TRIL-8...Test setup...Màn hình......1</t>
  </si>
  <si>
    <t xml:space="preserve">b254ad8a</t>
  </si>
  <si>
    <t xml:space="preserve">HAXO-16U...Test final...Máy tính......1</t>
  </si>
  <si>
    <t xml:space="preserve">;18/12/2025 18:13:53: HAXO-16U...Test final...Máy tính......1</t>
  </si>
  <si>
    <t xml:space="preserve">83da9bb5</t>
  </si>
  <si>
    <t xml:space="preserve">HAXO-16U...Nạp chương trình IC...Màn hình......1</t>
  </si>
  <si>
    <t xml:space="preserve">;18/12/2025 18:14:24: HAXO-16U...Nạp chương trình IC...Màn hình......1</t>
  </si>
  <si>
    <t xml:space="preserve">dd209e41</t>
  </si>
  <si>
    <t xml:space="preserve">HAXO-16U...PCBA Test...Màn hình......3</t>
  </si>
  <si>
    <t xml:space="preserve">;18/12/2025 18:15:11: HAXO-16U...PCBA Test...Màn hình......3</t>
  </si>
  <si>
    <t xml:space="preserve">4710110c</t>
  </si>
  <si>
    <t xml:space="preserve">HAXO-16U...Test final...Màn hình......1</t>
  </si>
  <si>
    <t xml:space="preserve">;18/12/2025 18:15:30: HAXO-16U...Test final...Màn hình......1</t>
  </si>
  <si>
    <t xml:space="preserve">4c5c8f6a</t>
  </si>
  <si>
    <t xml:space="preserve">HAXO-16U...Test setup...Màn hình......1</t>
  </si>
  <si>
    <t xml:space="preserve">;18/12/2025 18:16:09: HAXO-16U...Test setup...Màn hình......1</t>
  </si>
  <si>
    <t xml:space="preserve">ebf0c6b2</t>
  </si>
  <si>
    <t xml:space="preserve">AD-10...Dập bằng tay...Máy dập tay......1</t>
  </si>
  <si>
    <t xml:space="preserve">;22/12/2025 19:20:28: AD-10...Dập bằng tay...Máy dập tay......1</t>
  </si>
  <si>
    <t xml:space="preserve">992fe2d5</t>
  </si>
  <si>
    <t xml:space="preserve">GX-1B</t>
  </si>
  <si>
    <t xml:space="preserve">GX-1B...Kiểm tra chức năng (final test)...Đồng hồ vạn năng......1</t>
  </si>
  <si>
    <t xml:space="preserve">GX-1B...Kiểm tra chức năng (final test)...Đồng hồ vạn năng dùng cho sản xuất......1</t>
  </si>
  <si>
    <t xml:space="preserve">;16/01/2026 11:36:58: GX-1B...Kiểm tra chức năng (final test)...Đồng hồ vạn năng dùng cho sản xuất......1</t>
  </si>
  <si>
    <t xml:space="preserve">d8e22813</t>
  </si>
  <si>
    <t xml:space="preserve">GX-1B...Kiểm tra chức năng (final test)...Noise Meter......2</t>
  </si>
  <si>
    <t xml:space="preserve">f80c251e</t>
  </si>
  <si>
    <t xml:space="preserve">GX-1B...Kiểm tra chức năng (final test)...Loa CM-30......4</t>
  </si>
  <si>
    <t xml:space="preserve">af0bfa04</t>
  </si>
  <si>
    <t xml:space="preserve">GX-1B...Kiểm tra chức năng (final test)...Máy tính......4</t>
  </si>
  <si>
    <t xml:space="preserve">ec0b0531</t>
  </si>
  <si>
    <t xml:space="preserve">GX-1B...Kiểm tra chức năng (final test)...Màn hình......5</t>
  </si>
  <si>
    <t xml:space="preserve">3f88c2a4</t>
  </si>
  <si>
    <t xml:space="preserve">GX-1B...Kiểm tra chức năng (final test)...Máy cấp nguồn KA3005D......2</t>
  </si>
  <si>
    <t xml:space="preserve">0ab25bed</t>
  </si>
  <si>
    <t xml:space="preserve">FCT AD-10...FCT...Máy tính......2</t>
  </si>
  <si>
    <t xml:space="preserve">d742708b</t>
  </si>
  <si>
    <t xml:space="preserve">USRID-16W...Nạp chương trình IC...Máy tính......1</t>
  </si>
  <si>
    <t xml:space="preserve">a3145bc8</t>
  </si>
  <si>
    <t xml:space="preserve">USRID-16W...Test final...Máy tính......1</t>
  </si>
  <si>
    <t xml:space="preserve">c11860b9</t>
  </si>
  <si>
    <t xml:space="preserve">USRID-16W...Test setup...Máy tính......1</t>
  </si>
  <si>
    <t xml:space="preserve">4c9acb66</t>
  </si>
  <si>
    <t xml:space="preserve">USRID-16W...PCBA Test...Máy tính......3</t>
  </si>
  <si>
    <t xml:space="preserve">f2540dbf</t>
  </si>
  <si>
    <t xml:space="preserve">USRID-16W...Nạp chương trình IC...Màn hình......1</t>
  </si>
  <si>
    <t xml:space="preserve">ae69a5af</t>
  </si>
  <si>
    <t xml:space="preserve">USRID-16W...PCBA Test...Màn hình......3</t>
  </si>
  <si>
    <t xml:space="preserve">41b33646</t>
  </si>
  <si>
    <t xml:space="preserve">USRID-16W...Test final...Màn hình......1</t>
  </si>
  <si>
    <t xml:space="preserve">d672c2af</t>
  </si>
  <si>
    <t xml:space="preserve">USRID-16W...Test setup...Màn hình......1</t>
  </si>
  <si>
    <t xml:space="preserve">fb8001f0</t>
  </si>
  <si>
    <t xml:space="preserve">ST100K-30...Nạp chương trình IC...Máy tính......1</t>
  </si>
  <si>
    <t xml:space="preserve">;26/12/2025 11:05:01: ST100K-30...Nạp chương trình IC...Máy tính......1;24/01/2026 10:33:52: ............0</t>
  </si>
  <si>
    <t xml:space="preserve">19893f40</t>
  </si>
  <si>
    <t xml:space="preserve">ST100K-30...Nạp chương trình IC...Màn hình......1</t>
  </si>
  <si>
    <t xml:space="preserve">;26/12/2025 11:09:45: ST100K-30...Nạp chương trình IC...Màn hình......1;24/01/2026 10:23:02: ............0</t>
  </si>
  <si>
    <t xml:space="preserve">c11288a3</t>
  </si>
  <si>
    <t xml:space="preserve">LT5GEO-EXTERNAL</t>
  </si>
  <si>
    <t xml:space="preserve">LT5GEO-EXTERNAL...Nạp chương trình IC...Máy tính......1</t>
  </si>
  <si>
    <t xml:space="preserve">0a890b2a</t>
  </si>
  <si>
    <t xml:space="preserve">LT5GEO-EXTERNAL...Nạp chương trình IC...Màn hình......1</t>
  </si>
  <si>
    <t xml:space="preserve">80fb8fd1</t>
  </si>
  <si>
    <t xml:space="preserve">LT5GEO-EXTERNAL...Test final...Máy tính......1</t>
  </si>
  <si>
    <t xml:space="preserve">adc622c6</t>
  </si>
  <si>
    <t xml:space="preserve">LT5GEO-EXTERNAL...Test final...Màn hình......1</t>
  </si>
  <si>
    <t xml:space="preserve">c400ef84</t>
  </si>
  <si>
    <t xml:space="preserve">LT5GEO-EXTERNAL...Test setup...Máy tính......1</t>
  </si>
  <si>
    <t xml:space="preserve">00faa6b4</t>
  </si>
  <si>
    <t xml:space="preserve">LT5GEO-EXTERNAL...Test setup...Màn hình......1</t>
  </si>
  <si>
    <t xml:space="preserve">bf397142</t>
  </si>
  <si>
    <t xml:space="preserve">LT5GEO-EXTERNAL...PCBA Test...Máy tính......3</t>
  </si>
  <si>
    <t xml:space="preserve">39c0c563</t>
  </si>
  <si>
    <t xml:space="preserve">LT5GEO-EXTERNAL...PCBA Test...Màn hình......3</t>
  </si>
  <si>
    <t xml:space="preserve">7e45c2b1</t>
  </si>
  <si>
    <t xml:space="preserve">SILVER PLATE</t>
  </si>
  <si>
    <t xml:space="preserve">......Súng bắn vít......</t>
  </si>
  <si>
    <t xml:space="preserve">SILVER PLATE...Packing...Máy tính......2</t>
  </si>
  <si>
    <t xml:space="preserve">;05/01/2026 10:20:47: SILVER PLATE...Packing...Máy tính......2</t>
  </si>
  <si>
    <t xml:space="preserve">#ERROR!</t>
  </si>
  <si>
    <t xml:space="preserve">ed0201e8</t>
  </si>
  <si>
    <t xml:space="preserve">KTN-AIR...Packing...Máy tính......4</t>
  </si>
  <si>
    <t xml:space="preserve">9f8a75cb</t>
  </si>
  <si>
    <t xml:space="preserve">JENGA MINI SPOOKY...Hàn linh kiện...Máy hàn......1</t>
  </si>
  <si>
    <t xml:space="preserve">;07/01/2026 10:36:51: JENGA MINI SPOOKY...Hàn linh kiện...Máy hàn......1;22/01/2026 14:35:41: ............0</t>
  </si>
  <si>
    <t xml:space="preserve">50da168e</t>
  </si>
  <si>
    <t xml:space="preserve">JENGA MINI JOLLY...Hàn linh kiện...Máy hàn......1</t>
  </si>
  <si>
    <t xml:space="preserve">;07/01/2026 10:38:37: JENGA MINI JOLLY...Hàn linh kiện...Máy hàn......1;22/01/2026 14:38:02: ............0</t>
  </si>
  <si>
    <t xml:space="preserve">bbb46696</t>
  </si>
  <si>
    <t xml:space="preserve">AD-10...Kiểm tra chức năng (final test)...Máy tính......1</t>
  </si>
  <si>
    <t xml:space="preserve">;07/01/2026 16:55:07: AD-10...Kiểm tra chức năng (final test)...Máy tính......1</t>
  </si>
  <si>
    <t xml:space="preserve">b1f470c3</t>
  </si>
  <si>
    <t xml:space="preserve">AE-BRISA...Kiểm tra chức năng (final test)...Máy kiểm tra pin......1</t>
  </si>
  <si>
    <t xml:space="preserve">b4f1630a</t>
  </si>
  <si>
    <t xml:space="preserve">GX-1B...Packing...Súng Scan Barcode......3</t>
  </si>
  <si>
    <t xml:space="preserve">a11f3338</t>
  </si>
  <si>
    <t xml:space="preserve">GX-1B...Kiểm tra chức năng sản phẩm...Máy dập tay......1</t>
  </si>
  <si>
    <t xml:space="preserve">9042f117</t>
  </si>
  <si>
    <t xml:space="preserve">GX-1B...Kiểm tra chức năng sản phẩm...Máy cắt băng dính......1</t>
  </si>
  <si>
    <t xml:space="preserve">a64d3ced</t>
  </si>
  <si>
    <t xml:space="preserve">GX-1B...Siết vít...Súng bắn vít......7</t>
  </si>
  <si>
    <t xml:space="preserve">9fea445f</t>
  </si>
  <si>
    <t xml:space="preserve">GX-1B...Dây thít...Súng bắn dây thít......1</t>
  </si>
  <si>
    <t xml:space="preserve">81bd2f6b</t>
  </si>
  <si>
    <t xml:space="preserve">VE-1...Kiểm tra chức năng (final test)...Đồng hồ vạn năng......1</t>
  </si>
  <si>
    <t xml:space="preserve">VE-1...Kiểm tra chức năng (final test)...Đồng hồ vạn năng dùng cho sản xuất......1</t>
  </si>
  <si>
    <t xml:space="preserve">;14/01/2026 10:40:28: VE-1...Kiểm tra chức năng (final test)...Đồng hồ vạn năng......1;16/01/2026 11:37:00: VE-1...Kiểm tra chức năng (final test)...Đồng hồ vạn năng dùng cho sản xuất......1</t>
  </si>
  <si>
    <t xml:space="preserve">6c639fae</t>
  </si>
  <si>
    <t xml:space="preserve">VE-1...Kiểm tra chức năng (final test)...Noise Meter......1</t>
  </si>
  <si>
    <t xml:space="preserve">;14/01/2026 10:41:07: VE-1...Kiểm tra chức năng (final test)...Noise Meter......1</t>
  </si>
  <si>
    <t xml:space="preserve">7423d776</t>
  </si>
  <si>
    <t xml:space="preserve">VE-1...Kiểm tra chức năng (final test)...Loa CM-30......2</t>
  </si>
  <si>
    <t xml:space="preserve">;14/01/2026 10:41:31: VE-1...Kiểm tra chức năng (final test)...Loa CM-30......2</t>
  </si>
  <si>
    <t xml:space="preserve">4488a638</t>
  </si>
  <si>
    <t xml:space="preserve">VE-1...Kiểm tra chức năng (final test)...Máy cấp nguồn KA3005D......1</t>
  </si>
  <si>
    <t xml:space="preserve">;14/01/2026 10:42:17: VE-1...Kiểm tra chức năng (final test)...Máy cấp nguồn KA3005D......1</t>
  </si>
  <si>
    <t xml:space="preserve">ba123650</t>
  </si>
  <si>
    <t xml:space="preserve">VE-1...Dập logo máy Hot stamping...Máy dập hot stamping......1</t>
  </si>
  <si>
    <t xml:space="preserve">;14/01/2026 10:42:48: VE-1...Dập logo máy Hot stamping...Máy dập hot stamping......1</t>
  </si>
  <si>
    <t xml:space="preserve">3309a328</t>
  </si>
  <si>
    <t xml:space="preserve">VE-1...Hàn linh kiện...Máy hàn......1</t>
  </si>
  <si>
    <t xml:space="preserve">;14/01/2026 10:43:32: VE-1...Hàn linh kiện...Máy hàn......1</t>
  </si>
  <si>
    <t xml:space="preserve">332cb2b9</t>
  </si>
  <si>
    <t xml:space="preserve">VE-1...Hàn linh kiện...Máy hút khói di động......1</t>
  </si>
  <si>
    <t xml:space="preserve">;14/01/2026 10:44:09: VE-1...Hàn linh kiện...Máy hút khói di động......1</t>
  </si>
  <si>
    <t xml:space="preserve">be100462</t>
  </si>
  <si>
    <t xml:space="preserve">VE-1...Dập linh kiện...Máy dập khí nén......1</t>
  </si>
  <si>
    <t xml:space="preserve">;14/01/2026 10:45:03: VE-1...Dập linh kiện...Máy dập khí nén......1</t>
  </si>
  <si>
    <t xml:space="preserve">6164c1aa</t>
  </si>
  <si>
    <t xml:space="preserve">VE-1...Cắt băng dính...Máy cắt băng dính......1</t>
  </si>
  <si>
    <t xml:space="preserve">;14/01/2026 10:45:51: VE-1...Cắt băng dính...Máy cắt băng dính......1</t>
  </si>
  <si>
    <t xml:space="preserve">517f6d9c</t>
  </si>
  <si>
    <t xml:space="preserve">......Máy dập tay......</t>
  </si>
  <si>
    <t xml:space="preserve">AD-10...Cắt băng dính...Máy cắt băng dính......2</t>
  </si>
  <si>
    <t xml:space="preserve">;14/01/2026 10:47:00: AD-10...Cắt băng dính...Máy cắt băng dính......2</t>
  </si>
  <si>
    <t xml:space="preserve">2e4d300a</t>
  </si>
  <si>
    <t xml:space="preserve">AD-10...Hàn linh kiện...Máy hàn......1</t>
  </si>
  <si>
    <t xml:space="preserve">;14/01/2026 10:47:25: AD-10...Hàn linh kiện...Máy hàn......1</t>
  </si>
  <si>
    <t xml:space="preserve">40391402</t>
  </si>
  <si>
    <t xml:space="preserve">AD-10...Dập logo máy Hot stamping...Máy dập hot stamping......1</t>
  </si>
  <si>
    <t xml:space="preserve">;14/01/2026 10:47:52: AD-10...Dập logo máy Hot stamping...Máy dập hot stamping......1</t>
  </si>
  <si>
    <t xml:space="preserve">fa7d4c65</t>
  </si>
  <si>
    <t xml:space="preserve">AD-10...Kiểm tra chức năng (final test)...Máy cấp nguồn KA3005D......1</t>
  </si>
  <si>
    <t xml:space="preserve">;14/01/2026 10:48:16: AD-10...Kiểm tra chức năng (final test)...Máy cấp nguồn KA3005D......1</t>
  </si>
  <si>
    <t xml:space="preserve">582ec87b</t>
  </si>
  <si>
    <t xml:space="preserve">AD-10...Kiểm tra chức năng (final test)...Loa CM-30......3</t>
  </si>
  <si>
    <t xml:space="preserve">;14/01/2026 10:48:53: AD-10...Kiểm tra chức năng (final test)...Loa CM-30......3</t>
  </si>
  <si>
    <t xml:space="preserve">b5a0f585</t>
  </si>
  <si>
    <t xml:space="preserve">AD-10...Kiểm tra chức năng (final test)...Noise Meter......1</t>
  </si>
  <si>
    <t xml:space="preserve">;14/01/2026 10:49:20: AD-10...Kiểm tra chức năng (final test)...Noise Meter......1</t>
  </si>
  <si>
    <t xml:space="preserve">2fb3dd2c</t>
  </si>
  <si>
    <t xml:space="preserve">AD-10...Kiểm tra chức năng (final test)...Đồng hồ vạn năng......2</t>
  </si>
  <si>
    <t xml:space="preserve">AD-10...Kiểm tra chức năng (final test)...Đồng hồ vạn năng dùng cho sản xuất......2</t>
  </si>
  <si>
    <t xml:space="preserve">;14/01/2026 10:49:46: AD-10...Kiểm tra chức năng (final test)...Đồng hồ vạn năng......2;16/01/2026 11:37:03: AD-10...Kiểm tra chức năng (final test)...Đồng hồ vạn năng dùng cho sản xuất......2</t>
  </si>
  <si>
    <t xml:space="preserve">db412930</t>
  </si>
  <si>
    <t xml:space="preserve">VE-2...Kiểm tra chức năng (final test)...Đồng hồ vạn năng dùng cho sản xuất......2</t>
  </si>
  <si>
    <t xml:space="preserve">f8dd3c4a</t>
  </si>
  <si>
    <t xml:space="preserve">VE-2...Kiểm tra chức năng (final test)...Noise Meter......2</t>
  </si>
  <si>
    <t xml:space="preserve">a93baf86</t>
  </si>
  <si>
    <t xml:space="preserve">VE-2...Kiểm tra chức năng (final test)...Loa CM-30......4</t>
  </si>
  <si>
    <t xml:space="preserve">bee8b598</t>
  </si>
  <si>
    <t xml:space="preserve">VE-2...Kiểm tra chức năng (final test)...Máy cấp nguồn KA3005D......1</t>
  </si>
  <si>
    <t xml:space="preserve">a8399283</t>
  </si>
  <si>
    <t xml:space="preserve">VE-2...Dập logo máy Hot stamping...Máy dập hot stamping......1</t>
  </si>
  <si>
    <t xml:space="preserve">0df63146</t>
  </si>
  <si>
    <t xml:space="preserve">Kiểm tra vỏ nhựa, gắn cực pin, hàn dây diện</t>
  </si>
  <si>
    <t xml:space="preserve">VE-2...Kiểm tra vỏ nhựa, gắn cực pin, hàn dây diện...Máy hàn......1</t>
  </si>
  <si>
    <t xml:space="preserve">Check the plastic casing, connect the battery terminals, and solder the wires.</t>
  </si>
  <si>
    <t xml:space="preserve">89ba1353</t>
  </si>
  <si>
    <t xml:space="preserve">VE-2...Hàn linh kiện...Máy hút khói di động......1</t>
  </si>
  <si>
    <t xml:space="preserve">21baea9b</t>
  </si>
  <si>
    <t xml:space="preserve">VE-2...Dập linh kiện...Máy dập khí nén......1</t>
  </si>
  <si>
    <t xml:space="preserve">12ff5ffe</t>
  </si>
  <si>
    <t xml:space="preserve">Bẻ mạch, lắp mạch vào vỏ nhựa, gấp và định hình dây điện</t>
  </si>
  <si>
    <t xml:space="preserve">VE-2...Bẻ mạch, lắp mạch vào vỏ nhựa, gấp và định hình dây điện...Máy cắt băng dính......1</t>
  </si>
  <si>
    <t xml:space="preserve">Break the circuit, install the circuit into the plastic casing, and fold and shape the wires.</t>
  </si>
  <si>
    <t xml:space="preserve">b9afd421</t>
  </si>
  <si>
    <t xml:space="preserve">SIMON HARRY</t>
  </si>
  <si>
    <t xml:space="preserve">SIMON HARRY...Dập datecode hộp màu và dán băng dính...Máy laser......1</t>
  </si>
  <si>
    <t xml:space="preserve">e28f2bb5</t>
  </si>
  <si>
    <t xml:space="preserve">Lắp ghép và siết vít sản phẩm</t>
  </si>
  <si>
    <t xml:space="preserve">SIMON HARRY...Lắp ghép và siết vít sản phẩm...Máy bắn vít tự động......1</t>
  </si>
  <si>
    <t xml:space="preserve">Assemble and tighten the product.</t>
  </si>
  <si>
    <t xml:space="preserve">57660982</t>
  </si>
  <si>
    <t xml:space="preserve">SIMON HARRY...Lắp ghép và siết vít sản phẩm...Súng bắn vít......1</t>
  </si>
  <si>
    <t xml:space="preserve">fea2d3c8</t>
  </si>
  <si>
    <t xml:space="preserve">Dập nhiệt nút PLC5</t>
  </si>
  <si>
    <t xml:space="preserve">SIMON HARRY...Dập nhiệt nút PLC5...Máy dập khí nén......1</t>
  </si>
  <si>
    <t xml:space="preserve">PLC5 button heat sealing</t>
  </si>
  <si>
    <t xml:space="preserve">f3026cd1</t>
  </si>
  <si>
    <t xml:space="preserve">Lắp ráp PCBA, sắp xếp dây và siết vít cố định</t>
  </si>
  <si>
    <t xml:space="preserve">SIMON HARRY...Lắp ráp PCBA, sắp xếp dây và siết vít cố định...Súng bắn vít......1</t>
  </si>
  <si>
    <t xml:space="preserve">Assemble the PCBA, arrange the wires, and tighten the screws to secure it.</t>
  </si>
  <si>
    <t xml:space="preserve">9b92025d</t>
  </si>
  <si>
    <t xml:space="preserve">SIMON HARRY...Hàn dây pin...Máy hàn......1</t>
  </si>
  <si>
    <t xml:space="preserve">707890de</t>
  </si>
  <si>
    <t xml:space="preserve">SIMON HARRY...Dập chân pin...Máy dập khí nén......1</t>
  </si>
  <si>
    <t xml:space="preserve">40233a4c</t>
  </si>
  <si>
    <t xml:space="preserve">SIMON HARRY...Hàn dây loa...Máy hàn......1</t>
  </si>
  <si>
    <t xml:space="preserve">0c85287d</t>
  </si>
  <si>
    <t xml:space="preserve">SIMON HARRY...Dập đai ốc...Máy dập khí nén......1</t>
  </si>
  <si>
    <t xml:space="preserve">987cb7c8</t>
  </si>
  <si>
    <t xml:space="preserve">Lắp và siết vít lắp loa</t>
  </si>
  <si>
    <t xml:space="preserve">SIMON HARRY...Lắp và siết vít lắp loa...Súng bắn vít......2</t>
  </si>
  <si>
    <t xml:space="preserve">Install and tighten the speaker mounting screws.</t>
  </si>
  <si>
    <t xml:space="preserve">f6db7a21</t>
  </si>
  <si>
    <t xml:space="preserve">Siết vít cố định giá đỡ</t>
  </si>
  <si>
    <t xml:space="preserve">SIMON HARRY...Siết vít cố định giá đỡ...Súng bắn vít......1</t>
  </si>
  <si>
    <t xml:space="preserve">Tighten the screws to secure the bracket.</t>
  </si>
  <si>
    <t xml:space="preserve">b4557db5</t>
  </si>
  <si>
    <t xml:space="preserve">SIMON HARRY...Laser datecode sản phẩm và siết nắp pin...Máy laser......1</t>
  </si>
  <si>
    <t xml:space="preserve">a3d3f83b</t>
  </si>
  <si>
    <t xml:space="preserve">SIMON HARRY...Laser datecode sản phẩm và siết nắp pin...Súng bắn vít......1</t>
  </si>
  <si>
    <t xml:space="preserve">6c0d1c4e</t>
  </si>
  <si>
    <t xml:space="preserve">JENGA MINI...Dập datecode hộp màu...Máy dập khí nén......1</t>
  </si>
  <si>
    <t xml:space="preserve">c13d6662</t>
  </si>
  <si>
    <t xml:space="preserve">JENGA MINI SPOOKY</t>
  </si>
  <si>
    <t xml:space="preserve">JENGA MINI SPOOKY...Dập datecode hộp màu...Máy dập khí nén......1</t>
  </si>
  <si>
    <t xml:space="preserve">e4ff03be</t>
  </si>
  <si>
    <t xml:space="preserve">JENGA MINI SPOOKY...Laser datecode PLC2 và hộp màu...Máy laser......1</t>
  </si>
  <si>
    <t xml:space="preserve">075b6d0c</t>
  </si>
  <si>
    <t xml:space="preserve">JENGA MINI JOLLY</t>
  </si>
  <si>
    <t xml:space="preserve">JENGA MINI JOLLY...Laser datecode PLC2 và hộp màu...Máy laser......1</t>
  </si>
  <si>
    <t xml:space="preserve">8e37fb34</t>
  </si>
  <si>
    <t xml:space="preserve">JENGA MINI JOLLY...Dập datecode hộp màu...Máy dập khí nén......1</t>
  </si>
  <si>
    <t xml:space="preserve">776758d8</t>
  </si>
  <si>
    <t xml:space="preserve">Lắp bánh răng vào motor và ngoại quan PCBA</t>
  </si>
  <si>
    <t xml:space="preserve">DEER PONG...Lắp bánh răng vào motor và ngoại quan PCBA...Máy dập tay......1</t>
  </si>
  <si>
    <t xml:space="preserve">Install the gears into the motor and examine the PCBA exterior.</t>
  </si>
  <si>
    <t xml:space="preserve">15a8f97c</t>
  </si>
  <si>
    <t xml:space="preserve">FCT GOMIXERST...FCT...Bàn đạp vòng lặp SL-2......2</t>
  </si>
  <si>
    <t xml:space="preserve">d272fc96</t>
  </si>
  <si>
    <t xml:space="preserve">FCT GT-1000...FCT...Iphone......2</t>
  </si>
  <si>
    <t xml:space="preserve">69bdb403</t>
  </si>
  <si>
    <t xml:space="preserve">FCT GX-1B</t>
  </si>
  <si>
    <t xml:space="preserve">FCT GX-1B...FCT...Máy tính......3</t>
  </si>
  <si>
    <t xml:space="preserve">e44b1d13</t>
  </si>
  <si>
    <t xml:space="preserve">FCT GX-1B...FCT...Iphone......3</t>
  </si>
  <si>
    <t xml:space="preserve">6545ae07</t>
  </si>
  <si>
    <t xml:space="preserve">FCT GX-1B...FCT...Đồng hồ vạn năng dùng cho sản xuất......3</t>
  </si>
  <si>
    <t xml:space="preserve">43e5f4af</t>
  </si>
  <si>
    <t xml:space="preserve">FCT VE-1...FCT...Đồng hồ vạn năng dùng cho sản xuất......2</t>
  </si>
  <si>
    <t xml:space="preserve">c8f22bca</t>
  </si>
  <si>
    <t xml:space="preserve">FCT VE-1...FCT...Máy tính......2</t>
  </si>
  <si>
    <t xml:space="preserve">33fc7f1d</t>
  </si>
  <si>
    <t xml:space="preserve">FCT VE-2...FCT...Máy tính......2</t>
  </si>
  <si>
    <t xml:space="preserve">fb881c50</t>
  </si>
  <si>
    <t xml:space="preserve">FCT VE-2...FCT...Đồng hồ vạn năng dùng cho sản xuất......2</t>
  </si>
  <si>
    <t xml:space="preserve">7d6e1e77</t>
  </si>
  <si>
    <t xml:space="preserve">FCT VE-8...FCT...Máy tính......2</t>
  </si>
  <si>
    <t xml:space="preserve">e572d6f6</t>
  </si>
  <si>
    <t xml:space="preserve">FCT VE-8...FCT...Đồng hồ vạn năng dùng cho sản xuất......2</t>
  </si>
  <si>
    <t xml:space="preserve">ae69b865</t>
  </si>
  <si>
    <t xml:space="preserve">MSK GOKEYS5...Kiểm tra chức năng (final test)...Súng Scan Barcode......2</t>
  </si>
  <si>
    <t xml:space="preserve">1217ffbb</t>
  </si>
  <si>
    <t xml:space="preserve">MSK GOKEYS5...Kiểm tra chức năng sản phẩm...Quạt ion......1</t>
  </si>
  <si>
    <t xml:space="preserve">c9935053</t>
  </si>
  <si>
    <t xml:space="preserve">GX-1B...Kiểm tra chức năng (final test)...Lực kế......2</t>
  </si>
  <si>
    <t xml:space="preserve">d3f5e58e</t>
  </si>
  <si>
    <t xml:space="preserve">GX-1B...Kiểm tra chức năng (final test)...Máy bơm keo......1</t>
  </si>
  <si>
    <t xml:space="preserve">331ac738</t>
  </si>
  <si>
    <t xml:space="preserve">GX-1B...Kiểm tra chức năng (final test)...Máy dập khí nén......1</t>
  </si>
  <si>
    <t xml:space="preserve">6ff56fe5</t>
  </si>
  <si>
    <t xml:space="preserve">GX-1B...Hàn linh kiện...Máy hàn......1</t>
  </si>
  <si>
    <t xml:space="preserve">68029cba</t>
  </si>
  <si>
    <t xml:space="preserve">GX-1B...Hàn linh kiện...Máy hút khói di động......1</t>
  </si>
  <si>
    <t xml:space="preserve">8c44677e</t>
  </si>
  <si>
    <t xml:space="preserve">GX-1B...Packing...Máy tính......2</t>
  </si>
  <si>
    <t xml:space="preserve">d3ebfa15</t>
  </si>
  <si>
    <t xml:space="preserve">GX-1B...Kiểm tra chức năng (final test)...Quạt ion......1</t>
  </si>
  <si>
    <t xml:space="preserve">2ec68914</t>
  </si>
  <si>
    <t xml:space="preserve">GX-1B...Kiểm tra chức năng (final test)...Thước lá......1</t>
  </si>
  <si>
    <t xml:space="preserve">736189d8</t>
  </si>
  <si>
    <t xml:space="preserve">OPERATION BLUEY...Siết vít và lắp nhựa khóa...Máy bắn vít tự động......1</t>
  </si>
  <si>
    <t xml:space="preserve">12a275cf</t>
  </si>
  <si>
    <t xml:space="preserve">OPERATION BLUEY...Siết vít và lắp nhựa khóa...Súng bắn vít......1</t>
  </si>
  <si>
    <t xml:space="preserve">cc99a48a</t>
  </si>
  <si>
    <t xml:space="preserve">OPERATION BLUEY...Lắp nhựa PLC3, tấm MET và vỏ nhựa PLC1...Súng bắn vít......2</t>
  </si>
  <si>
    <t xml:space="preserve">b91f2c50</t>
  </si>
  <si>
    <t xml:space="preserve">Lắp loa, cover loa và siết vít</t>
  </si>
  <si>
    <t xml:space="preserve">OPERATION BLUEY...Lắp loa, cover loa và siết vít...Súng bắn vít......1</t>
  </si>
  <si>
    <t xml:space="preserve">Install the speaker, cover the speaker, and tighten the screws.</t>
  </si>
  <si>
    <t xml:space="preserve">dffa154f</t>
  </si>
  <si>
    <t xml:space="preserve">Lắp motor, thanh nối, PCBA, tấm MET và siết vít</t>
  </si>
  <si>
    <t xml:space="preserve">OPERATION BLUEY...Lắp motor, thanh nối, PCBA, tấm MET và siết vít...Súng bắn vít......2</t>
  </si>
  <si>
    <t xml:space="preserve">Install the motor, connecting rod, PCBA, MET board, and tighten the screws.</t>
  </si>
  <si>
    <t xml:space="preserve">fe1cff53</t>
  </si>
  <si>
    <t xml:space="preserve">Lắp ráp thanh nối và siết vít</t>
  </si>
  <si>
    <t xml:space="preserve">OPERATION BLUEY...Lắp ráp thanh nối và siết vít...Súng bắn vít......1</t>
  </si>
  <si>
    <t xml:space="preserve">Assemble the connecting rod and tighten the screws.</t>
  </si>
  <si>
    <t xml:space="preserve">d16eae22</t>
  </si>
  <si>
    <t xml:space="preserve">OPERATION BLUEY...Hàn tấm MET...Máy hàn......1</t>
  </si>
  <si>
    <t xml:space="preserve">dec73fbc</t>
  </si>
  <si>
    <t xml:space="preserve">OPERATION BLUEY...Dập chân pin...Máy dập khí nén......1</t>
  </si>
  <si>
    <t xml:space="preserve">ebc6fdd6</t>
  </si>
  <si>
    <t xml:space="preserve">OPERATION BLUEY...Dập đai ốc...Máy dập khí nén......1</t>
  </si>
  <si>
    <t xml:space="preserve">f639c3ba</t>
  </si>
  <si>
    <t xml:space="preserve">OPERATION BLUEY...Hàn dây loa...Máy hàn......1</t>
  </si>
  <si>
    <t xml:space="preserve">e2457110</t>
  </si>
  <si>
    <t xml:space="preserve">OPERATION BLUEY...Hàn dây kẹp vào PCB...Máy hàn......1</t>
  </si>
  <si>
    <t xml:space="preserve">af65cd74</t>
  </si>
  <si>
    <t xml:space="preserve">OPERATION BLUEY...Hàn kẹp và luồn dây...Máy hàn......1</t>
  </si>
  <si>
    <t xml:space="preserve">56f37306</t>
  </si>
  <si>
    <t xml:space="preserve">OPERATION BLUEY...Laser datecode sản phẩm và siết nắp pin...Máy laser......1</t>
  </si>
  <si>
    <t xml:space="preserve">8f79e9f6</t>
  </si>
  <si>
    <t xml:space="preserve">OPERATION BLUEY...Laser datecode sản phẩm và siết nắp pin...Súng bắn vít......1</t>
  </si>
  <si>
    <t xml:space="preserve">55e93c3e</t>
  </si>
  <si>
    <t xml:space="preserve">Dập datecode hộp màu và gấp hộp</t>
  </si>
  <si>
    <t xml:space="preserve">OPERATION BLUEY...Dập datecode hộp màu và gấp hộp...Máy dập khí nén......1</t>
  </si>
  <si>
    <t xml:space="preserve">Stamp the date code on the color box and fold the box.</t>
  </si>
  <si>
    <t xml:space="preserve">11e805bb</t>
  </si>
  <si>
    <t xml:space="preserve">OPERATION BLUEY...Vị trí kiểm soát thừa thiếu linh kiện...Cân......1</t>
  </si>
  <si>
    <t xml:space="preserve">7d00cebe</t>
  </si>
  <si>
    <t xml:space="preserve">CROSS FIRE</t>
  </si>
  <si>
    <t xml:space="preserve">Siết vít tay cầm súng</t>
  </si>
  <si>
    <t xml:space="preserve">CROSS FIRE...Siết vít tay cầm súng...Súng bắn vít......2</t>
  </si>
  <si>
    <t xml:space="preserve">;23/01/2026 14:54:15: CROSS FIRE...Siết vít tay cầm súng...Súng bắn vít......2</t>
  </si>
  <si>
    <t xml:space="preserve">Tighten the gun handle screw.</t>
  </si>
  <si>
    <t xml:space="preserve">38a06501</t>
  </si>
  <si>
    <t xml:space="preserve">Siết vít sàn trò chơi màu đỏ</t>
  </si>
  <si>
    <t xml:space="preserve">CROSS FIRE...Siết vít sàn trò chơi màu đỏ...Súng bắn vít......1</t>
  </si>
  <si>
    <t xml:space="preserve">;23/01/2026 14:55:38: CROSS FIRE...Siết vít sàn trò chơi màu đỏ...Súng bắn vít......1</t>
  </si>
  <si>
    <t xml:space="preserve">Tighten the red game floor screws.</t>
  </si>
  <si>
    <t xml:space="preserve">e7469886</t>
  </si>
  <si>
    <t xml:space="preserve">CROSS FIRE...Siết vít sàn trò chơi màu đỏ...Máy bắn vít tự động......1</t>
  </si>
  <si>
    <t xml:space="preserve">;23/01/2026 14:55:59: CROSS FIRE...Siết vít sàn trò chơi màu đỏ...Máy bắn vít tự động......1</t>
  </si>
  <si>
    <t xml:space="preserve">0936adae</t>
  </si>
  <si>
    <t xml:space="preserve">Siết vít sàn trò chơi màu tím</t>
  </si>
  <si>
    <t xml:space="preserve">CROSS FIRE...Siết vít sàn trò chơi màu tím...Súng bắn vít......1</t>
  </si>
  <si>
    <t xml:space="preserve">;23/01/2026 15:20:44: CROSS FIRE...Siết vít sàn trò chơi màu tím...Súng bắn vít......1</t>
  </si>
  <si>
    <t xml:space="preserve">Tighten the purple game floor screws.</t>
  </si>
  <si>
    <t xml:space="preserve">93f56013</t>
  </si>
  <si>
    <t xml:space="preserve">CROSS FIRE...Siết vít sàn trò chơi màu tím...Máy bắn vít tự động......1</t>
  </si>
  <si>
    <t xml:space="preserve">;23/01/2026 15:20:55: CROSS FIRE...Siết vít sàn trò chơi màu tím...Máy bắn vít tự động......1</t>
  </si>
  <si>
    <t xml:space="preserve">60f6cb7b</t>
  </si>
  <si>
    <t xml:space="preserve">CROSS FIRE...Dập datecode hộp màu và gấp hộp...Máy dập khí nén......1</t>
  </si>
  <si>
    <t xml:space="preserve">;23/01/2026 15:22:49: CROSS FIRE...Dập datecode hộp màu và gấp hộp...Máy dập khí nén......1</t>
  </si>
  <si>
    <t xml:space="preserve">556e8dbb</t>
  </si>
  <si>
    <t xml:space="preserve">Dập bi và đặt bi vào sản phẩm</t>
  </si>
  <si>
    <t xml:space="preserve">......Máy dập khí nén......</t>
  </si>
  <si>
    <t xml:space="preserve">CROSS FIRE...Dập bi và đặt bi vào sản phẩm...Máy dập tay......1</t>
  </si>
  <si>
    <t xml:space="preserve">;24/01/2026 09:15:36: CROSS FIRE...Dập bi và đặt bi vào sản phẩm...Máy dập tay......1</t>
  </si>
  <si>
    <t xml:space="preserve">Press the balls and place them into the product.</t>
  </si>
  <si>
    <t xml:space="preserve">4c7bc781</t>
  </si>
  <si>
    <t xml:space="preserve">ST100K-30</t>
  </si>
  <si>
    <t xml:space="preserve">Gia công Sensor và dây đầu dò nhiệt</t>
  </si>
  <si>
    <t xml:space="preserve">ST100K-30...Gia công Sensor và dây đầu dò nhiệt...Máy hàn......1</t>
  </si>
  <si>
    <t xml:space="preserve">Temperature sensor and probe wire fabrication</t>
  </si>
  <si>
    <t xml:space="preserve">dd67e5e0</t>
  </si>
  <si>
    <t xml:space="preserve">ecd5829d</t>
  </si>
  <si>
    <t xml:space="preserve">Hàn Sensor</t>
  </si>
  <si>
    <t xml:space="preserve">ST100K-30...Hàn Sensor...Máy hàn......1</t>
  </si>
  <si>
    <t xml:space="preserve">29b02afb</t>
  </si>
  <si>
    <t xml:space="preserve">ST100K-30...Sấy ống co nhiệt...Máy khò......2</t>
  </si>
  <si>
    <t xml:space="preserve">ST100K-30...Sấy ống co nhiệt...Trạm khò......2</t>
  </si>
  <si>
    <t xml:space="preserve">;24/01/2026 12:54:55: ST100K-30...Sấy ống co nhiệt...Trạm khò......2</t>
  </si>
  <si>
    <t xml:space="preserve">0a3f9c41</t>
  </si>
  <si>
    <t xml:space="preserve">ST100K-30...Test dây đầu dò cảm biến...Hộp tạo nhiệt độ lạnh......1</t>
  </si>
  <si>
    <t xml:space="preserve">238c0428</t>
  </si>
  <si>
    <t xml:space="preserve">ST100K-30...Bôi keo RTV và dập đầu dò nhiệt...Máy dập đinh tán......1</t>
  </si>
  <si>
    <t xml:space="preserve">981fd08d</t>
  </si>
  <si>
    <t xml:space="preserve">ST100S-15...Gia công Sensor và dây đầu dò nhiệt...Máy hàn......1</t>
  </si>
  <si>
    <t xml:space="preserve">d2e6219e</t>
  </si>
  <si>
    <t xml:space="preserve">ST100K-15...Test setup Model TREX-8 V2...Máy tính......1</t>
  </si>
  <si>
    <t xml:space="preserve">;24/01/2026 11:12:41: ST100K-15...Test setup Model TREX-8 V2...Máy tính......1;27/01/2026 15:54:33: ............0</t>
  </si>
  <si>
    <t xml:space="preserve">26c5c136</t>
  </si>
  <si>
    <t xml:space="preserve">ST100K-15...Test setup Model TREX-8 V2...Màn hình......1</t>
  </si>
  <si>
    <t xml:space="preserve">;24/01/2026 11:12:58: ST100K-15...Test setup Model TREX-8 V2...Màn hình......1;27/01/2026 15:54:33: ............0</t>
  </si>
  <si>
    <t xml:space="preserve">cdefd23f</t>
  </si>
  <si>
    <t xml:space="preserve">ST100K-15...Check Final Model TREX-8 V2...Màn hình......1</t>
  </si>
  <si>
    <t xml:space="preserve">;24/01/2026 11:15:16: ST100K-15...Check Final Model TREX-8 V2...Màn hình......1;27/01/2026 15:54:33: ............0</t>
  </si>
  <si>
    <t xml:space="preserve">a4ad7c96</t>
  </si>
  <si>
    <t xml:space="preserve">ST100K-15...Check Final Model TREX-8 V2...Máy tính......1</t>
  </si>
  <si>
    <t xml:space="preserve">;24/01/2026 11:15:35: ST100K-15...Check Final Model TREX-8 V2...Máy tính......1;27/01/2026 15:54:33: ............0</t>
  </si>
  <si>
    <t xml:space="preserve">40c71f72</t>
  </si>
  <si>
    <t xml:space="preserve">ST100K-30...Test setup Model TREX-8 V2...Máy tính......1</t>
  </si>
  <si>
    <t xml:space="preserve">;24/01/2026 11:16:42: ST100K-30...Test setup Model TREX-8 V2...Máy tính......1;27/01/2026 15:54:54: ............0</t>
  </si>
  <si>
    <t xml:space="preserve">425d5436</t>
  </si>
  <si>
    <t xml:space="preserve">ST100K-30...Test setup Model TREX-8 V2...Màn hình......1</t>
  </si>
  <si>
    <t xml:space="preserve">;24/01/2026 11:16:54: ST100K-30...Test setup Model TREX-8 V2...Màn hình......1;27/01/2026 15:54:54: ............0</t>
  </si>
  <si>
    <t xml:space="preserve">495db757</t>
  </si>
  <si>
    <t xml:space="preserve">ST100K-30...Check Final Model TREX-8 V2...Máy tính......1</t>
  </si>
  <si>
    <t xml:space="preserve">;24/01/2026 11:17:21: ST100K-30...Check Final Model TREX-8 V2...Máy tính......1;27/01/2026 15:54:54: ............0</t>
  </si>
  <si>
    <t xml:space="preserve">c98d201c</t>
  </si>
  <si>
    <t xml:space="preserve">ST100K-30...Check Final Model TREX-8 V2...Màn hình......1</t>
  </si>
  <si>
    <t xml:space="preserve">;24/01/2026 11:17:35: ST100K-30...Check Final Model TREX-8 V2...Màn hình......1;27/01/2026 15:54:54: ............0</t>
  </si>
  <si>
    <t xml:space="preserve">48f92016</t>
  </si>
  <si>
    <t xml:space="preserve">ST100T-15</t>
  </si>
  <si>
    <t xml:space="preserve">ST100T-15...Gia công Sensor và dây đầu dò nhiệt...Máy hàn......1</t>
  </si>
  <si>
    <t xml:space="preserve">dd48d75c</t>
  </si>
  <si>
    <t xml:space="preserve">ST100T-15...Hàn Sensor...Máy hàn......1</t>
  </si>
  <si>
    <t xml:space="preserve">dfe350a1</t>
  </si>
  <si>
    <t xml:space="preserve">ST100T-15...Sấy ống co nhiệt...Trạm khò......1</t>
  </si>
  <si>
    <t xml:space="preserve">8653b19f</t>
  </si>
  <si>
    <t xml:space="preserve">ST100T-15...Bôi keo RTV và dập đầu dò nhiệt...Máy dập đinh tán......1</t>
  </si>
  <si>
    <t xml:space="preserve">c5f566a2</t>
  </si>
  <si>
    <t xml:space="preserve">b93c3e6d</t>
  </si>
  <si>
    <t xml:space="preserve">ST100T-15...Test dây đầu dò cảm biến...Hộp tạo nhiệt độ lạnh......1</t>
  </si>
  <si>
    <t xml:space="preserve">3536f85a</t>
  </si>
  <si>
    <t xml:space="preserve">ST100T-15...Test setup Model TREX-8 V2...Máy tính......1</t>
  </si>
  <si>
    <t xml:space="preserve">;24/01/2026 11:26:24: ST100T-15...Test setup Model TREX-8 V2...Máy tính......1;27/01/2026 15:55:56: ............0</t>
  </si>
  <si>
    <t xml:space="preserve">8dc8bb2f</t>
  </si>
  <si>
    <t xml:space="preserve">ST100T-15...Test setup Model TREX-8 V2...Màn hình......1</t>
  </si>
  <si>
    <t xml:space="preserve">;24/01/2026 11:26:36: ST100T-15...Test setup Model TREX-8 V2...Màn hình......1;27/01/2026 15:55:56: ............0</t>
  </si>
  <si>
    <t xml:space="preserve">235db6fd</t>
  </si>
  <si>
    <t xml:space="preserve">ST100T-15...Check Final Model TREX-8 V2...Máy tính......1</t>
  </si>
  <si>
    <t xml:space="preserve">;24/01/2026 11:26:59: ST100T-15...Check Final Model TREX-8 V2...Máy tính......1;27/01/2026 15:55:56: ............0</t>
  </si>
  <si>
    <t xml:space="preserve">17e921b6</t>
  </si>
  <si>
    <t xml:space="preserve">ST100T-15...Check Final Model TREX-8 V2...Màn hình......1</t>
  </si>
  <si>
    <t xml:space="preserve">;24/01/2026 11:27:10: ST100T-15...Check Final Model TREX-8 V2...Màn hình......1;27/01/2026 15:55:56: ............0</t>
  </si>
  <si>
    <t xml:space="preserve">2bc37eec</t>
  </si>
  <si>
    <t xml:space="preserve">ST100L-15</t>
  </si>
  <si>
    <t xml:space="preserve">ST100L-15...Gia công Sensor và dây đầu dò nhiệt...Máy hàn......2</t>
  </si>
  <si>
    <t xml:space="preserve">1b2df6ae</t>
  </si>
  <si>
    <t xml:space="preserve">ST100L-15...Hàn Sensor...Máy hàn......1</t>
  </si>
  <si>
    <t xml:space="preserve">866a9997</t>
  </si>
  <si>
    <t xml:space="preserve">ST100L-15...Sấy ống co nhiệt...Trạm khò......2</t>
  </si>
  <si>
    <t xml:space="preserve">9eaba75b</t>
  </si>
  <si>
    <t xml:space="preserve">ST100L-15...Test dây đầu dò cảm biến...Hộp tạo nhiệt độ lạnh......1</t>
  </si>
  <si>
    <t xml:space="preserve">09bcf8da</t>
  </si>
  <si>
    <t xml:space="preserve">ST100L-15...Bôi keo RTV và dập đầu dò nhiệt...Máy dập đinh tán......1</t>
  </si>
  <si>
    <t xml:space="preserve">476d375f</t>
  </si>
  <si>
    <t xml:space="preserve">ST100L-15...Test setup Model TREX-8 V2...Máy tính......1</t>
  </si>
  <si>
    <t xml:space="preserve">;27/01/2026 15:55:08: ............0</t>
  </si>
  <si>
    <t xml:space="preserve">389bdd6c</t>
  </si>
  <si>
    <t xml:space="preserve">ST100L-15...Test setup Model TREX-8 V2...Màn hình......1</t>
  </si>
  <si>
    <t xml:space="preserve">;24/01/2026 11:34:06: ST100L-15...Test setup Model TREX-8 V2...Màn hình......1;27/01/2026 15:55:08: ............0</t>
  </si>
  <si>
    <t xml:space="preserve">2b39526e</t>
  </si>
  <si>
    <t xml:space="preserve">ST100L-15...Check Final Model TREX-8 V2...Máy tính......1</t>
  </si>
  <si>
    <t xml:space="preserve">a87d8464</t>
  </si>
  <si>
    <t xml:space="preserve">ST100L-15...Check Final Model TREX-8 V2...Màn hình......1</t>
  </si>
  <si>
    <t xml:space="preserve">c86bd54b</t>
  </si>
  <si>
    <t xml:space="preserve">ST100S-30</t>
  </si>
  <si>
    <t xml:space="preserve">ST100S-30...Gia công Sensor và dây đầu dò nhiệt...Máy hàn......1</t>
  </si>
  <si>
    <t xml:space="preserve">ff793537</t>
  </si>
  <si>
    <t xml:space="preserve">ST100S-30...Hàn Sensor...Máy hàn......1</t>
  </si>
  <si>
    <t xml:space="preserve">65a18c86</t>
  </si>
  <si>
    <t xml:space="preserve">ST100S-30...Bôi keo RTV và dập đầu dò nhiệt...Máy dập đinh tán......1</t>
  </si>
  <si>
    <t xml:space="preserve">81418026</t>
  </si>
  <si>
    <t xml:space="preserve">ST100S-30...Sấy ống co nhiệt...Trạm khò......1</t>
  </si>
  <si>
    <t xml:space="preserve">ST100S-30...Sấy ống co nhiệt...Trạm khò......2</t>
  </si>
  <si>
    <t xml:space="preserve">;24/01/2026 11:40:24: ST100S-30...Sấy ống co nhiệt...Trạm khò......2</t>
  </si>
  <si>
    <t xml:space="preserve">a5d10ff2</t>
  </si>
  <si>
    <t xml:space="preserve">ST100S-30...Test dây đầu dò cảm biến...Hộp tạo nhiệt độ lạnh......1</t>
  </si>
  <si>
    <t xml:space="preserve">0ea58e80</t>
  </si>
  <si>
    <t xml:space="preserve">ST100S-30...Test setup Model TREX-8 V2...Máy tính......1</t>
  </si>
  <si>
    <t xml:space="preserve">;27/01/2026 15:55:45: ............0</t>
  </si>
  <si>
    <t xml:space="preserve">d7c9a06b</t>
  </si>
  <si>
    <t xml:space="preserve">ST100S-30...Test setup Model TREX-8 V2...Màn hình......1</t>
  </si>
  <si>
    <t xml:space="preserve">;24/01/2026 11:38:56: ST100S-30...Test setup Model TREX-8 V2...Màn hình......1;27/01/2026 15:55:45: ............0</t>
  </si>
  <si>
    <t xml:space="preserve">0ad70359</t>
  </si>
  <si>
    <t xml:space="preserve">ST100S-30...Check Final Model TREX-8 V2...Máy tính......1</t>
  </si>
  <si>
    <t xml:space="preserve">8e7d126c</t>
  </si>
  <si>
    <t xml:space="preserve">ST100S-30...Check Final Model TREX-8 V2...Màn hình......1</t>
  </si>
  <si>
    <t xml:space="preserve">;24/01/2026 11:39:29: ST100S-30...Check Final Model TREX-8 V2...Màn hình......1;27/01/2026 15:55:45: ............0</t>
  </si>
  <si>
    <t xml:space="preserve">68cc9004</t>
  </si>
  <si>
    <t xml:space="preserve">ST100H-15</t>
  </si>
  <si>
    <t xml:space="preserve">ST100H-15...Gia công Sensor và dây đầu dò nhiệt...Máy hàn......1</t>
  </si>
  <si>
    <t xml:space="preserve">6edf600b</t>
  </si>
  <si>
    <t xml:space="preserve">ST100H-15...Hàn Sensor...Máy hàn......1</t>
  </si>
  <si>
    <t xml:space="preserve">8bc1c7e1</t>
  </si>
  <si>
    <t xml:space="preserve">ST100H-15...Sấy ống co nhiệt...Trạm khò......2</t>
  </si>
  <si>
    <t xml:space="preserve">7a9a5fff</t>
  </si>
  <si>
    <t xml:space="preserve">ST100H-15...Bôi keo RTV và dập đầu dò nhiệt...Máy dập đinh tán......1</t>
  </si>
  <si>
    <t xml:space="preserve">751c528e</t>
  </si>
  <si>
    <t xml:space="preserve">ST100H-15...Test dây đầu dò cảm biến...Hộp tạo nhiệt độ lạnh......1</t>
  </si>
  <si>
    <t xml:space="preserve">494615c7</t>
  </si>
  <si>
    <t xml:space="preserve">ST100H-15...Test setup Model TREX-8 V2...Máy tính......1</t>
  </si>
  <si>
    <t xml:space="preserve">;24/01/2026 11:49:16: ST100H-15...Test setup Model TREX-8 V2...Máy tính......1;27/01/2026 15:54:07: ............0</t>
  </si>
  <si>
    <t xml:space="preserve">84c8b27e</t>
  </si>
  <si>
    <t xml:space="preserve">ST100H-15...Test setup Model TREX-8 V2...Màn hình......1</t>
  </si>
  <si>
    <t xml:space="preserve">;24/01/2026 11:49:41: ST100H-15...Test setup Model TREX-8 V2...Màn hình......1;27/01/2026 15:54:07: ............0</t>
  </si>
  <si>
    <t xml:space="preserve">649a8f3e</t>
  </si>
  <si>
    <t xml:space="preserve">ST100H-15...Check Final Model TREX-8 V2...Máy tính......1</t>
  </si>
  <si>
    <t xml:space="preserve">;24/01/2026 11:50:02: ST100H-15...Check Final Model TREX-8 V2...Máy tính......1;27/01/2026 15:53:57: ............0</t>
  </si>
  <si>
    <t xml:space="preserve">cb78e80a</t>
  </si>
  <si>
    <t xml:space="preserve">ST100H-15...Check Final Model TREX-8 V2...Màn hình......1</t>
  </si>
  <si>
    <t xml:space="preserve">;24/01/2026 11:50:14: ST100H-15...Check Final Model TREX-8 V2...Màn hình......1;27/01/2026 15:54:00: ............0</t>
  </si>
  <si>
    <t xml:space="preserve">ee5dfce6</t>
  </si>
  <si>
    <t xml:space="preserve">DROP TRIVIA...Hàn sóng siêu âm đĩa từ...Máy hàn sóng siêu âm......1</t>
  </si>
  <si>
    <t xml:space="preserve">7d88d9ab</t>
  </si>
  <si>
    <t xml:space="preserve">Lắp ráp bánh xe và hàn sóng siêu âm</t>
  </si>
  <si>
    <t xml:space="preserve">BOP IT EXTREME...Lắp ráp bánh xe và hàn sóng siêu âm...Máy hàn sóng siêu âm......1</t>
  </si>
  <si>
    <t xml:space="preserve">Wheel assembly and ultrasonic welding</t>
  </si>
  <si>
    <t xml:space="preserve">1bc08652</t>
  </si>
  <si>
    <t xml:space="preserve">Hàn sóng siêu âm tay trái và tay phải</t>
  </si>
  <si>
    <t xml:space="preserve">BOP IT MARVEL HULK...Hàn sóng siêu âm tay trái và tay phải...Máy hàn sóng siêu âm......1</t>
  </si>
  <si>
    <t xml:space="preserve">Ultrasonic welding with left and right hands.</t>
  </si>
  <si>
    <t xml:space="preserve">a808aaf2</t>
  </si>
  <si>
    <t xml:space="preserve">Hàn tấm MET1 và đầu bút dò</t>
  </si>
  <si>
    <t xml:space="preserve">......Máy hàn sóng siêu âm......</t>
  </si>
  <si>
    <t xml:space="preserve">TRAVEL OPERATION...Hàn tấm MET1 và đầu bút dò...Máy hàn......1</t>
  </si>
  <si>
    <t xml:space="preserve">;24/01/2026 14:38:18: TRAVEL OPERATION...Hàn tấm MET1 và đầu bút dò...Máy hàn......1</t>
  </si>
  <si>
    <t xml:space="preserve">Soldering MET1 plate and probe tip</t>
  </si>
  <si>
    <t xml:space="preserve">600b5759</t>
  </si>
  <si>
    <t xml:space="preserve">Bôi keo và hàn siêu âm đầu bút dò</t>
  </si>
  <si>
    <t xml:space="preserve">TRAVEL OPERATION...Bôi keo và hàn siêu âm đầu bút dò...Máy hàn sóng siêu âm......1</t>
  </si>
  <si>
    <t xml:space="preserve">Apply sealant and ultrasonically weld the probe tip.</t>
  </si>
  <si>
    <t xml:space="preserve">ec89569c</t>
  </si>
  <si>
    <t xml:space="preserve">Kiểm tra ngoại quan PCBA và hàn tấm MET1</t>
  </si>
  <si>
    <t xml:space="preserve">TRAVEL OPERATION...Kiểm tra ngoại quan PCBA và hàn tấm MET1...Máy hàn......1</t>
  </si>
  <si>
    <t xml:space="preserve">;24/01/2026 14:40:10: TRAVEL OPERATION...Kiểm tra ngoại quan PCBA và hàn tấm MET1...Máy hàn......1</t>
  </si>
  <si>
    <t xml:space="preserve">Visual inspection of PCBA and solder plate MET1</t>
  </si>
  <si>
    <t xml:space="preserve">70b6d886</t>
  </si>
  <si>
    <t xml:space="preserve">Thắt nút và hàn dây dẫn</t>
  </si>
  <si>
    <t xml:space="preserve">TRAVEL OPERATION...Thắt nút và hàn dây dẫn...Máy hàn......1</t>
  </si>
  <si>
    <t xml:space="preserve">;24/01/2026 14:40:33: TRAVEL OPERATION...Thắt nút và hàn dây dẫn...Máy hàn......1</t>
  </si>
  <si>
    <t xml:space="preserve">Tie knots and solder wires.</t>
  </si>
  <si>
    <t xml:space="preserve">001bb443</t>
  </si>
  <si>
    <t xml:space="preserve">Dập chân pin 1</t>
  </si>
  <si>
    <t xml:space="preserve">TRAVEL OPERATION...Dập chân pin 1...Máy dập khí nén......1</t>
  </si>
  <si>
    <t xml:space="preserve">TRAVEL OPERATION...Dập chân pin 1...Máy dập tay......1</t>
  </si>
  <si>
    <t xml:space="preserve">;24/01/2026 14:40:52: TRAVEL OPERATION...Dập chân pin 1...Máy dập khí nén......1;26/01/2026 16:00:45: TRAVEL OPERATION...Dập chân pin 1...Máy dập tay......1</t>
  </si>
  <si>
    <t xml:space="preserve">Press pin 1</t>
  </si>
  <si>
    <t xml:space="preserve">edcf0029</t>
  </si>
  <si>
    <t xml:space="preserve">TRAVEL OPERATION...Dập đai ốc...Máy dập khí nén......1</t>
  </si>
  <si>
    <t xml:space="preserve">;24/01/2026 14:41:54: TRAVEL OPERATION...Dập đai ốc...Máy dập khí nén......1</t>
  </si>
  <si>
    <t xml:space="preserve">8292027c</t>
  </si>
  <si>
    <t xml:space="preserve">Siết vít 1</t>
  </si>
  <si>
    <t xml:space="preserve">TRAVEL OPERATION...Siết vít 1...Súng bắn vít......1</t>
  </si>
  <si>
    <t xml:space="preserve">;24/01/2026 14:42:20: TRAVEL OPERATION...Siết vít 1...Súng bắn vít......1</t>
  </si>
  <si>
    <t xml:space="preserve">Tighten screw 1</t>
  </si>
  <si>
    <t xml:space="preserve">d4208bc8</t>
  </si>
  <si>
    <t xml:space="preserve">Siết vít 2</t>
  </si>
  <si>
    <t xml:space="preserve">TRAVEL OPERATION...Siết vít 2...Súng bắn vít......1</t>
  </si>
  <si>
    <t xml:space="preserve">TRAVEL OPERATION...Siết vít 2...Súng bắn vít......2</t>
  </si>
  <si>
    <t xml:space="preserve">;24/01/2026 14:42:43: TRAVEL OPERATION...Siết vít 2...Súng bắn vít......1;24/01/2026 14:43:05: TRAVEL OPERATION...Siết vít 2...Súng bắn vít......2</t>
  </si>
  <si>
    <t xml:space="preserve">Tighten screw 2</t>
  </si>
  <si>
    <t xml:space="preserve">4e28e805</t>
  </si>
  <si>
    <t xml:space="preserve">TRAVEL OPERATION...Hàn dây loa...Máy hàn......1</t>
  </si>
  <si>
    <t xml:space="preserve">;24/01/2026 14:43:18: TRAVEL OPERATION...Hàn dây loa...Máy hàn......1</t>
  </si>
  <si>
    <t xml:space="preserve">993d8559</t>
  </si>
  <si>
    <t xml:space="preserve">Siết vít cố định PCBA</t>
  </si>
  <si>
    <t xml:space="preserve">TRAVEL OPERATION...Siết vít cố định PCBA...Súng bắn vít......1</t>
  </si>
  <si>
    <t xml:space="preserve">TRAVEL OPERATION...Siết vít cố định PCBA...Súng bắn vít......2</t>
  </si>
  <si>
    <t xml:space="preserve">;24/01/2026 14:43:38: TRAVEL OPERATION...Siết vít cố định PCBA...Súng bắn vít......1;24/01/2026 14:44:02: TRAVEL OPERATION...Siết vít cố định PCBA...Súng bắn vít......2</t>
  </si>
  <si>
    <t xml:space="preserve">Tighten the screws to secure the PCBA.</t>
  </si>
  <si>
    <t xml:space="preserve">93971484</t>
  </si>
  <si>
    <t xml:space="preserve">Hàn dây pin và lắp mạch PCB cầu chì</t>
  </si>
  <si>
    <t xml:space="preserve">TRAVEL OPERATION...Hàn dây pin và lắp mạch PCB cầu chì...Máy hàn......1</t>
  </si>
  <si>
    <t xml:space="preserve">;24/01/2026 14:44:18: TRAVEL OPERATION...Hàn dây pin và lắp mạch PCB cầu chì...Máy hàn......1</t>
  </si>
  <si>
    <t xml:space="preserve">Solder the battery wires and assemble the fuse PCB circuit.</t>
  </si>
  <si>
    <t xml:space="preserve">b2547994</t>
  </si>
  <si>
    <t xml:space="preserve">Lắp ráp vỏ và siết vít sản phẩm</t>
  </si>
  <si>
    <t xml:space="preserve">TRAVEL OPERATION...Lắp ráp vỏ và siết vít sản phẩm...Súng bắn vít......1</t>
  </si>
  <si>
    <t xml:space="preserve">;24/01/2026 14:45:05: TRAVEL OPERATION...Lắp ráp vỏ và siết vít sản phẩm...Súng bắn vít......1</t>
  </si>
  <si>
    <t xml:space="preserve">fa17e736</t>
  </si>
  <si>
    <t xml:space="preserve">Laser date code sản phẩm, siết vít nắp pin và lắp bút dò</t>
  </si>
  <si>
    <t xml:space="preserve">TRAVEL OPERATION...Laser date code sản phẩm, siết vít nắp pin và lắp bút dò...Súng bắn vít......1</t>
  </si>
  <si>
    <t xml:space="preserve">;24/01/2026 14:45:22: TRAVEL OPERATION...Laser date code sản phẩm, siết vít nắp pin và lắp bút dò...Súng bắn vít......1</t>
  </si>
  <si>
    <t xml:space="preserve">Laser the product date code, tighten the battery cover screws, and install the detector pen.</t>
  </si>
  <si>
    <t xml:space="preserve">49d34dcb</t>
  </si>
  <si>
    <t xml:space="preserve">TRAVEL OPERATION...Laser date code sản phẩm, siết vít nắp pin và lắp bút dò...Máy laser......1</t>
  </si>
  <si>
    <t xml:space="preserve">;24/01/2026 14:45:34: TRAVEL OPERATION...Laser date code sản phẩm, siết vít nắp pin và lắp bút dò...Máy laser......1</t>
  </si>
  <si>
    <t xml:space="preserve">29ee56c0</t>
  </si>
  <si>
    <t xml:space="preserve">OPERATION BLUEY...Sửa hàng...Súng bắn vít......1</t>
  </si>
  <si>
    <t xml:space="preserve">92687833</t>
  </si>
  <si>
    <t xml:space="preserve">GOKEYS5...Kiểm tra chức năng (final test).........1</t>
  </si>
  <si>
    <t xml:space="preserve">;26/01/2026 16:22:07: GOKEYS5...Kiểm tra chức năng (final test).........1;27/02/2026 11:43:00: ............0</t>
  </si>
  <si>
    <t xml:space="preserve">c650162f</t>
  </si>
  <si>
    <t xml:space="preserve">LT5GEO-EXTERNAL...Hàn thạch anh...Máy hàn......1</t>
  </si>
  <si>
    <t xml:space="preserve">3ee57e73</t>
  </si>
  <si>
    <t xml:space="preserve">LT5GEO-EXTERNAL...Phủ keo RTV...Máy bơm keo......1</t>
  </si>
  <si>
    <t xml:space="preserve">e04920e8</t>
  </si>
  <si>
    <t xml:space="preserve">Dán Tape pin , kiểm tra pin , hàn chân pin , Lắp pin</t>
  </si>
  <si>
    <t xml:space="preserve">LT5GEO-EXTERNAL...Dán Tape pin , kiểm tra pin , hàn chân pin , Lắp pin...Đồng hồ vạn năng dùng cho sản xuất......1</t>
  </si>
  <si>
    <t xml:space="preserve">Apply battery tape, test the battery, solder the battery terminals, install the battery.</t>
  </si>
  <si>
    <t xml:space="preserve">99dc4548</t>
  </si>
  <si>
    <t xml:space="preserve">LT5GEO-EXTERNAL...Dán Tape pin , kiểm tra pin , hàn chân pin , Lắp pin...Máy hàn......1</t>
  </si>
  <si>
    <t xml:space="preserve">9f1e768c</t>
  </si>
  <si>
    <t xml:space="preserve">Dán tape cảm biến và bắn vít</t>
  </si>
  <si>
    <t xml:space="preserve">LT5GEO-EXTERNAL...Dán tape cảm biến và bắn vít...Súng bắn vít......1</t>
  </si>
  <si>
    <t xml:space="preserve">Attach the sensor tape and screw it in place.</t>
  </si>
  <si>
    <t xml:space="preserve">921ab376</t>
  </si>
  <si>
    <t xml:space="preserve">Lắp nhựa đèn , chốt pin , tấm đệm cảm biến</t>
  </si>
  <si>
    <t xml:space="preserve">LT5GEO-EXTERNAL...Lắp nhựa đèn , chốt pin , tấm đệm cảm biến...Máy hàn......1</t>
  </si>
  <si>
    <t xml:space="preserve">Install the lamp housing, battery terminals, and sensor pad.</t>
  </si>
  <si>
    <t xml:space="preserve">4a9949e5</t>
  </si>
  <si>
    <t xml:space="preserve">LT5GEO-EXTERNAL...Scan barcode...Súng Scan Barcode......1</t>
  </si>
  <si>
    <t xml:space="preserve">;27/01/2026 16:17:56: LT5GEO-EXTERNAL...Scan barcode...Súng Scan Barcode......1;27/01/2026 17:38:03: ............0</t>
  </si>
  <si>
    <t xml:space="preserve">c9144ba5</t>
  </si>
  <si>
    <t xml:space="preserve">EV-16</t>
  </si>
  <si>
    <t xml:space="preserve">EV-16...Hàn thạch anh...Máy hàn......1</t>
  </si>
  <si>
    <t xml:space="preserve">e1855a90</t>
  </si>
  <si>
    <t xml:space="preserve">EV-16...Phủ keo RTV...Máy bơm keo......1</t>
  </si>
  <si>
    <t xml:space="preserve">0f5ad35c</t>
  </si>
  <si>
    <t xml:space="preserve">Hàn tụ , J1</t>
  </si>
  <si>
    <t xml:space="preserve">EV-16...Hàn tụ , J1...Máy hàn......1</t>
  </si>
  <si>
    <t xml:space="preserve">Welding capacitor, J1</t>
  </si>
  <si>
    <t xml:space="preserve">5f905de6</t>
  </si>
  <si>
    <t xml:space="preserve">EV-16...Kiểm tra pin và hàn pin...Máy hàn......1</t>
  </si>
  <si>
    <t xml:space="preserve">bf6ee90b</t>
  </si>
  <si>
    <t xml:space="preserve">Dập Bóng</t>
  </si>
  <si>
    <t xml:space="preserve">EV-16...Dập Bóng...Máy dập khí nén......1</t>
  </si>
  <si>
    <t xml:space="preserve">Ball Dump</t>
  </si>
  <si>
    <t xml:space="preserve">c5b9743e</t>
  </si>
  <si>
    <t xml:space="preserve">EV-16...Nạp chương trình IC...Máy tính......1</t>
  </si>
  <si>
    <t xml:space="preserve">73263f6a</t>
  </si>
  <si>
    <t xml:space="preserve">EV-16...Nạp chương trình IC...Màn hình......1</t>
  </si>
  <si>
    <t xml:space="preserve">6bdc3025</t>
  </si>
  <si>
    <t xml:space="preserve">EV-16...PCBA Test...Máy tính......3</t>
  </si>
  <si>
    <t xml:space="preserve">dd7fc9a5</t>
  </si>
  <si>
    <t xml:space="preserve">EV-16...PCBA Test...Màn hình......3</t>
  </si>
  <si>
    <t xml:space="preserve">414d4575</t>
  </si>
  <si>
    <t xml:space="preserve">EV-16...Test final...Màn hình......1</t>
  </si>
  <si>
    <t xml:space="preserve">27c1554a</t>
  </si>
  <si>
    <t xml:space="preserve">EV-16...Test setup...Máy tính......1</t>
  </si>
  <si>
    <t xml:space="preserve">954befae</t>
  </si>
  <si>
    <t xml:space="preserve">EV-16...Test setup...Màn hình......1</t>
  </si>
  <si>
    <t xml:space="preserve">904e7bee</t>
  </si>
  <si>
    <t xml:space="preserve">EV-16...Test final...Máy tính......1</t>
  </si>
  <si>
    <t xml:space="preserve">63955699</t>
  </si>
  <si>
    <t xml:space="preserve">USRID-16W...Hàn thạch anh...Máy hàn......1</t>
  </si>
  <si>
    <t xml:space="preserve">edfa8718</t>
  </si>
  <si>
    <t xml:space="preserve">Hàn USB Conector</t>
  </si>
  <si>
    <t xml:space="preserve">USRID-16W...Hàn USB Conector...Máy hàn......1</t>
  </si>
  <si>
    <t xml:space="preserve">Solder USB Connector</t>
  </si>
  <si>
    <t xml:space="preserve">6a3ee197</t>
  </si>
  <si>
    <t xml:space="preserve">Hàn tụ và J1</t>
  </si>
  <si>
    <t xml:space="preserve">USRID-16W...Hàn tụ và J1...Máy hàn......1</t>
  </si>
  <si>
    <t xml:space="preserve">Solder and J1</t>
  </si>
  <si>
    <t xml:space="preserve">e73da36d</t>
  </si>
  <si>
    <t xml:space="preserve">;28/01/2026 11:58:56: USRID-16W...Hàn tụ và J1...Máy hàn......1</t>
  </si>
  <si>
    <t xml:space="preserve">4b0c7c12</t>
  </si>
  <si>
    <t xml:space="preserve">USRID-16W...Hàn tụ và J1...Đồng hồ vạn năng dùng cho sản xuất......1</t>
  </si>
  <si>
    <t xml:space="preserve">13bfb06d</t>
  </si>
  <si>
    <t xml:space="preserve">USRID-16W...Phủ keo RTV...Máy bơm keo......1</t>
  </si>
  <si>
    <t xml:space="preserve">97886662</t>
  </si>
  <si>
    <t xml:space="preserve">USRID-16W...Dập vỏ...Máy dập khí nén......1</t>
  </si>
  <si>
    <t xml:space="preserve">da7e7745</t>
  </si>
  <si>
    <t xml:space="preserve">USRID-16W...Bắn vít...Súng bắn vít......1</t>
  </si>
  <si>
    <t xml:space="preserve">5facf4a9</t>
  </si>
  <si>
    <t xml:space="preserve">UTRID-16 V4</t>
  </si>
  <si>
    <t xml:space="preserve">UTRID-16 V4...Hàn thạch anh...Máy hàn......1</t>
  </si>
  <si>
    <t xml:space="preserve">0d6d5aa8</t>
  </si>
  <si>
    <t xml:space="preserve">UTRID-16 V4...Hàn USB Conector...Máy hàn......1</t>
  </si>
  <si>
    <t xml:space="preserve">ce887c3b</t>
  </si>
  <si>
    <t xml:space="preserve">Hàn tụ và hàn J3</t>
  </si>
  <si>
    <t xml:space="preserve">UTRID-16 V4...Hàn tụ và hàn J3...Máy hàn......1</t>
  </si>
  <si>
    <t xml:space="preserve">Capacitor soldering and J3 soldering</t>
  </si>
  <si>
    <t xml:space="preserve">5003c847</t>
  </si>
  <si>
    <t xml:space="preserve">UTRID-16 V4...Hàn chân pin...Máy hàn......1</t>
  </si>
  <si>
    <t xml:space="preserve">0989cf25</t>
  </si>
  <si>
    <t xml:space="preserve">UTRID-16 V4...Phủ keo RTV...Máy bơm keo......1</t>
  </si>
  <si>
    <t xml:space="preserve">f163d375</t>
  </si>
  <si>
    <t xml:space="preserve">UTRID-16 V4...Bắn vít...Súng bắn vít......1</t>
  </si>
  <si>
    <t xml:space="preserve">5f91d233</t>
  </si>
  <si>
    <t xml:space="preserve">Kiểm tra pin và lắp pin</t>
  </si>
  <si>
    <t xml:space="preserve">UTRID-16 V4...Kiểm tra pin và lắp pin...Đồng hồ vạn năng dùng cho sản xuất......1</t>
  </si>
  <si>
    <t xml:space="preserve">Check the battery and install it.</t>
  </si>
  <si>
    <t xml:space="preserve">775397f2</t>
  </si>
  <si>
    <t xml:space="preserve">UTRID-16 V4...Nạp chương trình IC...Máy tính......1</t>
  </si>
  <si>
    <t xml:space="preserve">1f0c63bc</t>
  </si>
  <si>
    <t xml:space="preserve">UTRID-16 V4...Nạp chương trình IC...Màn hình......1</t>
  </si>
  <si>
    <t xml:space="preserve">cdc49fea</t>
  </si>
  <si>
    <t xml:space="preserve">UTRID-16 V4...PCBA Test...Máy tính......3</t>
  </si>
  <si>
    <t xml:space="preserve">3940ab58</t>
  </si>
  <si>
    <t xml:space="preserve">UTRID-16 V4...PCBA Test...Màn hình......3</t>
  </si>
  <si>
    <t xml:space="preserve">fd5ba85e</t>
  </si>
  <si>
    <t xml:space="preserve">UTRID-16 V4...Test final...Máy tính......1</t>
  </si>
  <si>
    <t xml:space="preserve">20f10293</t>
  </si>
  <si>
    <t xml:space="preserve">UTRID-16 V4...Test final...Màn hình......1</t>
  </si>
  <si>
    <t xml:space="preserve">d8797e1c</t>
  </si>
  <si>
    <t xml:space="preserve">UTRID-16 V4...Test setup...Máy tính......1</t>
  </si>
  <si>
    <t xml:space="preserve">a5741526</t>
  </si>
  <si>
    <t xml:space="preserve">UTRID-16 V4...Test setup...Màn hình......1</t>
  </si>
  <si>
    <t xml:space="preserve">0867e20a</t>
  </si>
  <si>
    <t xml:space="preserve">LTI-HID...Hàn cổng USB...Máy hàn......1</t>
  </si>
  <si>
    <t xml:space="preserve">4f74aa7e</t>
  </si>
  <si>
    <t xml:space="preserve">Hàn thanh sắt , lắp tiếp điểm đồng</t>
  </si>
  <si>
    <t xml:space="preserve">LTI-HID...Hàn thanh sắt , lắp tiếp điểm đồng...Máy hàn......2</t>
  </si>
  <si>
    <t xml:space="preserve">Weld the iron bar, install the copper contacts.</t>
  </si>
  <si>
    <t xml:space="preserve">f58a949e</t>
  </si>
  <si>
    <t xml:space="preserve">Lắp nhựa đèn và lắp ráp vỏ</t>
  </si>
  <si>
    <t xml:space="preserve">LTI-HID...Lắp nhựa đèn và lắp ráp vỏ...Súng bắn vít......1</t>
  </si>
  <si>
    <t xml:space="preserve">Install the lamp plastic and assemble the housing.</t>
  </si>
  <si>
    <t xml:space="preserve">18fde617</t>
  </si>
  <si>
    <t xml:space="preserve">LTI-HID...Nạp chương trình IC...Máy tính......1</t>
  </si>
  <si>
    <t xml:space="preserve">7145e8c9</t>
  </si>
  <si>
    <t xml:space="preserve">LTI-HID...Nạp chương trình IC...Màn hình......1</t>
  </si>
  <si>
    <t xml:space="preserve">da162988</t>
  </si>
  <si>
    <t xml:space="preserve">LTI-HID...PCBA Test...Máy tính......3</t>
  </si>
  <si>
    <t xml:space="preserve">1bd4bc1e</t>
  </si>
  <si>
    <t xml:space="preserve">LTI-HID...PCBA Test...Màn hình......3</t>
  </si>
  <si>
    <t xml:space="preserve">41ed8cc6</t>
  </si>
  <si>
    <t xml:space="preserve">LTI-HID...Test final...Máy tính......1</t>
  </si>
  <si>
    <t xml:space="preserve">98c514fb</t>
  </si>
  <si>
    <t xml:space="preserve">;28/01/2026 17:58:42: LTI-HID...PCBA Test...Màn hình......3;28/01/2026 17:59:29: ............0</t>
  </si>
  <si>
    <t xml:space="preserve">156a5de3</t>
  </si>
  <si>
    <t xml:space="preserve">LTI-HID...Test final...Màn hình......1</t>
  </si>
  <si>
    <t xml:space="preserve">7c607b58</t>
  </si>
  <si>
    <t xml:space="preserve">LTI-HID...Test setup...Máy tính......1</t>
  </si>
  <si>
    <t xml:space="preserve">65bae8a9</t>
  </si>
  <si>
    <t xml:space="preserve">LTI-HID...Test setup...Màn hình......1</t>
  </si>
  <si>
    <t xml:space="preserve">f52b07b4</t>
  </si>
  <si>
    <t xml:space="preserve">USRIC-8/16 V4...Phủ keo RTV...Máy bơm keo......1</t>
  </si>
  <si>
    <t xml:space="preserve">a70fe465</t>
  </si>
  <si>
    <t xml:space="preserve">USRIC-8/16 V4...Kiểm tra pin và hàn pin...Đồng hồ vạn năng dùng cho sản xuất......1</t>
  </si>
  <si>
    <t xml:space="preserve">123bd328</t>
  </si>
  <si>
    <t xml:space="preserve">USRIC-8/16 V4...Dập vỏ...Máy dập khí nén......1</t>
  </si>
  <si>
    <t xml:space="preserve">65ef15df</t>
  </si>
  <si>
    <t xml:space="preserve">USRIC-8/16 V4...Bắn vít...Súng bắn vít......1</t>
  </si>
  <si>
    <t xml:space="preserve">164fab8e</t>
  </si>
  <si>
    <t xml:space="preserve">Nhỏ keo vỏ trên , vỏ dưới , lắp bóng nhựa</t>
  </si>
  <si>
    <t xml:space="preserve">USRIC-8/16 V4...Nhỏ keo vỏ trên , vỏ dưới , lắp bóng nhựa...Máy bơm keo......1</t>
  </si>
  <si>
    <t xml:space="preserve">Apply glue to the top and bottom shells, then install the plastic ball.</t>
  </si>
  <si>
    <t xml:space="preserve">afab4812</t>
  </si>
  <si>
    <t xml:space="preserve">Hàn thạch anh &amp; hàn tụ</t>
  </si>
  <si>
    <t xml:space="preserve">UTRED30-WIFI V3...Hàn thạch anh &amp; hàn tụ...Máy hàn......1</t>
  </si>
  <si>
    <t xml:space="preserve">Quartz soldering &amp; capacitor soldering</t>
  </si>
  <si>
    <t xml:space="preserve">abb624a2</t>
  </si>
  <si>
    <t xml:space="preserve">Hàn chân Pin và hàn P21 và hàn nút bấm</t>
  </si>
  <si>
    <t xml:space="preserve">UTRED30-WIFI V3...Hàn chân Pin và hàn P21 và hàn nút bấm...Máy hàn......1</t>
  </si>
  <si>
    <t xml:space="preserve">Solder the pins, solder P21, and solder the button.</t>
  </si>
  <si>
    <t xml:space="preserve">20a07e40</t>
  </si>
  <si>
    <t xml:space="preserve">Hàn Jack sensor</t>
  </si>
  <si>
    <t xml:space="preserve">UTRED30-WIFI V3...Hàn Jack sensor...Máy hàn......1</t>
  </si>
  <si>
    <t xml:space="preserve">Jack sensor</t>
  </si>
  <si>
    <t xml:space="preserve">e92313ad</t>
  </si>
  <si>
    <t xml:space="preserve">UTRED30-WIFI V3...Hàn chân pin...Máy hàn......1</t>
  </si>
  <si>
    <t xml:space="preserve">53162197</t>
  </si>
  <si>
    <t xml:space="preserve">Lắp nhựa tròn và bắn vít</t>
  </si>
  <si>
    <t xml:space="preserve">UTRED30-WIFI V3...Lắp nhựa tròn và bắn vít...Súng bắn vít......1</t>
  </si>
  <si>
    <t xml:space="preserve">Install the round plastic piece and screw it in place.</t>
  </si>
  <si>
    <t xml:space="preserve">752ce462</t>
  </si>
  <si>
    <t xml:space="preserve">UTRED30-WIFI V3...Phủ keo RTV...Máy bơm keo......1</t>
  </si>
  <si>
    <t xml:space="preserve">b5a61de5</t>
  </si>
  <si>
    <t xml:space="preserve">Đo pin và lắp pin đồng xu, và cover USB các tiếp điểm pin, Lắp vỏ trên và vỏ dưới</t>
  </si>
  <si>
    <t xml:space="preserve">UTRED30-WIFI V3...Đo pin và lắp pin đồng xu, và cover USB các tiếp điểm pin, Lắp vỏ trên và vỏ dưới...Đồng hồ vạn năng dùng cho sản xuất......1</t>
  </si>
  <si>
    <t xml:space="preserve">Measure the battery and install a coin battery, and cover the USB battery contacts. Install the top and bottom casings.</t>
  </si>
  <si>
    <t xml:space="preserve">e28c2585</t>
  </si>
  <si>
    <t xml:space="preserve">Bắn vít và lắp miếng cao su</t>
  </si>
  <si>
    <t xml:space="preserve">UTRED30-WIFI V3...Bắn vít và lắp miếng cao su...Súng bắn vít......1</t>
  </si>
  <si>
    <t xml:space="preserve">Screw in the screws and attach the rubber piece.</t>
  </si>
  <si>
    <t xml:space="preserve">484697ae</t>
  </si>
  <si>
    <t xml:space="preserve">Check Final</t>
  </si>
  <si>
    <t xml:space="preserve">UTRED30-WIFI V3...Check Final...Súng bắn vít......1</t>
  </si>
  <si>
    <t xml:space="preserve">3f2f39f2</t>
  </si>
  <si>
    <t xml:space="preserve">CP100K-30</t>
  </si>
  <si>
    <t xml:space="preserve">CP100K-30...Nạp chương trình IC...Máy tính......1</t>
  </si>
  <si>
    <t xml:space="preserve">c5b5dc64</t>
  </si>
  <si>
    <t xml:space="preserve">CP100K-30...Nạp chương trình IC...Màn hình......1</t>
  </si>
  <si>
    <t xml:space="preserve">b9625f25</t>
  </si>
  <si>
    <t xml:space="preserve">CP100K-30...PCBA Test...Máy tính......3</t>
  </si>
  <si>
    <t xml:space="preserve">9743334f</t>
  </si>
  <si>
    <t xml:space="preserve">CP100K-30...PCBA Test...Màn hình......3</t>
  </si>
  <si>
    <t xml:space="preserve">3ab18046</t>
  </si>
  <si>
    <t xml:space="preserve">CP100K-30...Test final...Máy tính......1</t>
  </si>
  <si>
    <t xml:space="preserve">d5427c37</t>
  </si>
  <si>
    <t xml:space="preserve">CP100K-30...Test final...Màn hình......1</t>
  </si>
  <si>
    <t xml:space="preserve">f73cfe6b</t>
  </si>
  <si>
    <t xml:space="preserve">CP100K-30...Test setup...Máy tính......1</t>
  </si>
  <si>
    <t xml:space="preserve">c33d6601</t>
  </si>
  <si>
    <t xml:space="preserve">CP100K-30...Test setup...Màn hình......1</t>
  </si>
  <si>
    <t xml:space="preserve">1386405c</t>
  </si>
  <si>
    <t xml:space="preserve">Hàn miếng sắt Pin</t>
  </si>
  <si>
    <t xml:space="preserve">CP100K-30...Hàn miếng sắt Pin...Máy hàn......1</t>
  </si>
  <si>
    <t xml:space="preserve">Soldering iron plate for battery</t>
  </si>
  <si>
    <t xml:space="preserve">a8116b61</t>
  </si>
  <si>
    <t xml:space="preserve">Gia công dây ST100K-30</t>
  </si>
  <si>
    <t xml:space="preserve">ST100K-30...Gia công dây ST100K-30...Máy hàn......1</t>
  </si>
  <si>
    <t xml:space="preserve">Processing ST100K-30 wire</t>
  </si>
  <si>
    <t xml:space="preserve">e07c628b</t>
  </si>
  <si>
    <t xml:space="preserve">Gia công sensor và dây đầu dò diệt</t>
  </si>
  <si>
    <t xml:space="preserve">CP100K-30...Gia công sensor và dây đầu dò diệt...Máy hàn......1</t>
  </si>
  <si>
    <t xml:space="preserve">Processing of sensors and detector wires</t>
  </si>
  <si>
    <t xml:space="preserve">5a68d65a</t>
  </si>
  <si>
    <t xml:space="preserve">CP100K-30...Gia công dây ST100K-30...Máy hàn......1</t>
  </si>
  <si>
    <t xml:space="preserve">4d2a6cdd</t>
  </si>
  <si>
    <t xml:space="preserve">CP100K-30...Sấy ống co nhiệt...Trạm khò......1</t>
  </si>
  <si>
    <t xml:space="preserve">6ca12eb3</t>
  </si>
  <si>
    <t xml:space="preserve">CP100K-30...Test dây đầu dò cảm biến...Hộp tạo nhiệt độ lạnh......1</t>
  </si>
  <si>
    <t xml:space="preserve">faab066f</t>
  </si>
  <si>
    <t xml:space="preserve">Bôi keo RTV và dập ống sắt</t>
  </si>
  <si>
    <t xml:space="preserve">CP100K-30...Bôi keo RTV và dập ống sắt...Máy dập đinh tán......1</t>
  </si>
  <si>
    <t xml:space="preserve">Apply RTV sealant and crimp the iron pipe.</t>
  </si>
  <si>
    <t xml:space="preserve">be13e49d</t>
  </si>
  <si>
    <t xml:space="preserve">CP100K-30...Khò ống co nhiệt...Trạm khò......1</t>
  </si>
  <si>
    <t xml:space="preserve">6af488d8</t>
  </si>
  <si>
    <t xml:space="preserve">Gia công dây ST100K-30 bán thành phẩm</t>
  </si>
  <si>
    <t xml:space="preserve">CP100K-30...Gia công dây ST100K-30 bán thành phẩm...Máy hàn......1</t>
  </si>
  <si>
    <t xml:space="preserve">Processing ST100K-30 semi-finished wire</t>
  </si>
  <si>
    <t xml:space="preserve">d7f66e86</t>
  </si>
  <si>
    <t xml:space="preserve">Kiểm tra Pin và hàn dây vào PCBA</t>
  </si>
  <si>
    <t xml:space="preserve">CP100K-30...Kiểm tra Pin và hàn dây vào PCBA...Máy hàn......1</t>
  </si>
  <si>
    <t xml:space="preserve">Check the battery and solder the wires to the PCBA.</t>
  </si>
  <si>
    <t xml:space="preserve">49d44896</t>
  </si>
  <si>
    <t xml:space="preserve">Kiểm tra pin và lắp pin vào sản phẩm</t>
  </si>
  <si>
    <t xml:space="preserve">CP100K-30...Kiểm tra pin và lắp pin vào sản phẩm...Máy hàn......1</t>
  </si>
  <si>
    <t xml:space="preserve">Check the battery and insert it into the product.</t>
  </si>
  <si>
    <t xml:space="preserve">ea23b9d6</t>
  </si>
  <si>
    <t xml:space="preserve">Lắp PCBA vào vỏ và bắn vít</t>
  </si>
  <si>
    <t xml:space="preserve">CP100K-30...Lắp PCBA vào vỏ và bắn vít...Súng bắn vít......1</t>
  </si>
  <si>
    <t xml:space="preserve">Install the PCBA into the housing and tighten the screws.</t>
  </si>
  <si>
    <t xml:space="preserve">1668893f</t>
  </si>
  <si>
    <t xml:space="preserve">TRAVEL OPERATION...Vị trí kiểm soát thừa linh kiện...Cân......1</t>
  </si>
  <si>
    <t xml:space="preserve">;03/02/2026 16:50:25: TRAVEL OPERATION...Vị trí kiểm soát thừa linh kiện...Cân......1</t>
  </si>
  <si>
    <t xml:space="preserve">4414cf47</t>
  </si>
  <si>
    <t xml:space="preserve">TRAVEL OPERATION...Dập chân pin...Máy dập khí nén......1</t>
  </si>
  <si>
    <t xml:space="preserve">TRAVEL OPERATION...Dập chân pin...Máy dập khí nén......2</t>
  </si>
  <si>
    <t xml:space="preserve">;03/02/2026 16:53:58: TRAVEL OPERATION...Dập chân pin...Máy dập khí nén......1;03/02/2026 16:56:58: TRAVEL OPERATION...Dập chân pin...Máy dập khí nén......2</t>
  </si>
  <si>
    <t xml:space="preserve">fd2c0528</t>
  </si>
  <si>
    <t xml:space="preserve">Đục lỗ hộp màu</t>
  </si>
  <si>
    <t xml:space="preserve">TRAVEL OPERATION...Đục lỗ hộp màu...Máy dập khí nén......1</t>
  </si>
  <si>
    <t xml:space="preserve">;03/02/2026 17:53:30: TRAVEL OPERATION...Đục lỗ hộp màu...Máy dập khí nén......1</t>
  </si>
  <si>
    <t xml:space="preserve">Punch holes in the color box.</t>
  </si>
  <si>
    <t xml:space="preserve">10e016a1</t>
  </si>
  <si>
    <t xml:space="preserve">Lắp bàn đạp, lắp ráp nắp trên và nắp dưới, lắp núm xoay</t>
  </si>
  <si>
    <t xml:space="preserve">VE-2...Lắp bàn đạp, lắp ráp nắp trên và nắp dưới, lắp núm xoay...Súng bắn vít......2</t>
  </si>
  <si>
    <t xml:space="preserve">Install the pedal, assemble the top and bottom covers, and install the knob.</t>
  </si>
  <si>
    <t xml:space="preserve">3be91aff</t>
  </si>
  <si>
    <t xml:space="preserve">Siết vít, đai ốc, lắp nắp pin, dán đệm, lắp và kiểm tra núm vặn</t>
  </si>
  <si>
    <t xml:space="preserve">VE-2...Siết vít, đai ốc, lắp nắp pin, dán đệm, lắp và kiểm tra núm vặn...Súng bắn vít......2</t>
  </si>
  <si>
    <t xml:space="preserve">Tighten screws and nuts, install the battery cover, apply gaskets, and install and test the knob.</t>
  </si>
  <si>
    <t xml:space="preserve">58e77b9a</t>
  </si>
  <si>
    <t xml:space="preserve">VE-2...Kiểm tra ngoại quan...Thước lá......1</t>
  </si>
  <si>
    <t xml:space="preserve">9e6e14b3</t>
  </si>
  <si>
    <t xml:space="preserve">DB-90...Lắp nút bấm, màn hình, PCB, hàn dây loa...Máy cắt băng dính......1</t>
  </si>
  <si>
    <t xml:space="preserve">;24/02/2026 15:17:34: DB-90...Lắp nút bấm, màn hình, PCB, hàn dây loa...Máy cắt băng dính......1;24/02/2026 15:19:50: ............0</t>
  </si>
  <si>
    <t xml:space="preserve">3bb9a46a</t>
  </si>
  <si>
    <t xml:space="preserve">f7e85dfa</t>
  </si>
  <si>
    <t xml:space="preserve">BOP IT MARVEL HULK...Vị trí kiểm soát thừa thiếu linh kiện...Cân......1</t>
  </si>
  <si>
    <t xml:space="preserve">a8688efd</t>
  </si>
  <si>
    <t xml:space="preserve">BOP IT MARVEL HULK...Siết vít sản phẩm...Máy bắn vít tự động......1</t>
  </si>
  <si>
    <t xml:space="preserve">9254c1f3</t>
  </si>
  <si>
    <t xml:space="preserve">BOP IT MARVEL HULK...Lắp cao su vào vỏ đầu...Máy dập khí nén......1</t>
  </si>
  <si>
    <t xml:space="preserve">2bb3560d</t>
  </si>
  <si>
    <t xml:space="preserve">OPERATON GRINCH</t>
  </si>
  <si>
    <t xml:space="preserve">OPERATON GRINCH...Hàn kẹp và luồn dây...Máy hàn......1</t>
  </si>
  <si>
    <t xml:space="preserve">;24/02/2026 16:44:20: OPERATON GRINCH...Hàn kẹp và luồn dây...Máy hàn......1</t>
  </si>
  <si>
    <t xml:space="preserve">d587d696</t>
  </si>
  <si>
    <t xml:space="preserve">OPERATON GRINCH...Hàn dây kẹp vào PCB...Máy hàn......1</t>
  </si>
  <si>
    <t xml:space="preserve">;24/02/2026 16:47:05: OPERATON GRINCH...Hàn dây kẹp vào PCB...Máy hàn......1</t>
  </si>
  <si>
    <t xml:space="preserve">c24ef13d</t>
  </si>
  <si>
    <t xml:space="preserve">......Máy hàn......</t>
  </si>
  <si>
    <t xml:space="preserve">OPERATON GRINCH...Hàn dây loa...Máy hàn......1</t>
  </si>
  <si>
    <t xml:space="preserve">;24/02/2026 16:47:47: OPERATON GRINCH...Hàn dây loa...Máy hàn......1</t>
  </si>
  <si>
    <t xml:space="preserve">9b30fcd8</t>
  </si>
  <si>
    <t xml:space="preserve">OPERATON GRINCH...Dập đai ốc...Máy dập khí nén......1</t>
  </si>
  <si>
    <t xml:space="preserve">;24/02/2026 16:48:23: OPERATON GRINCH...Dập đai ốc...Máy dập khí nén......1</t>
  </si>
  <si>
    <t xml:space="preserve">4ee37fb5</t>
  </si>
  <si>
    <t xml:space="preserve">OPERATON GRINCH...Dập chân pin...Máy dập khí nén......1</t>
  </si>
  <si>
    <t xml:space="preserve">;24/02/2026 16:48:59: OPERATON GRINCH...Dập chân pin...Máy dập khí nén......1</t>
  </si>
  <si>
    <t xml:space="preserve">acc891ba</t>
  </si>
  <si>
    <t xml:space="preserve">OPERATON GRINCH...Hàn tấm MET...Máy hàn......1</t>
  </si>
  <si>
    <t xml:space="preserve">;24/02/2026 16:49:25: OPERATON GRINCH...Hàn tấm MET...Máy hàn......1</t>
  </si>
  <si>
    <t xml:space="preserve">80e93fe0</t>
  </si>
  <si>
    <t xml:space="preserve">OPERATON GRINCH...Lắp ráp thanh nối và siết vít...Súng bắn vít......1</t>
  </si>
  <si>
    <t xml:space="preserve">;24/02/2026 16:49:46: OPERATON GRINCH...Lắp ráp thanh nối và siết vít...Súng bắn vít......1</t>
  </si>
  <si>
    <t xml:space="preserve">8723c63b</t>
  </si>
  <si>
    <t xml:space="preserve">OPERATON GRINCH...Lắp motor, thanh nối, PCBA, tấm MET và siết vít...Súng bắn vít......2</t>
  </si>
  <si>
    <t xml:space="preserve">;24/02/2026 16:50:13: OPERATON GRINCH...Lắp motor, thanh nối, PCBA, tấm MET và siết vít...Súng bắn vít......2</t>
  </si>
  <si>
    <t xml:space="preserve">610a4516</t>
  </si>
  <si>
    <t xml:space="preserve">OPERATON GRINCH...Lắp loa, cover loa và siết vít...Súng bắn vít......1</t>
  </si>
  <si>
    <t xml:space="preserve">;24/02/2026 16:50:36: OPERATON GRINCH...Lắp loa, cover loa và siết vít...Súng bắn vít......1</t>
  </si>
  <si>
    <t xml:space="preserve">9f693e10</t>
  </si>
  <si>
    <t xml:space="preserve">OPERATON GRINCH...Hàn dây tấm MET, dây pin và motor...Máy hàn......2</t>
  </si>
  <si>
    <t xml:space="preserve">;24/02/2026 16:50:56: OPERATON GRINCH...Hàn dây tấm MET, dây pin và motor...Máy hàn......2</t>
  </si>
  <si>
    <t xml:space="preserve">b8aaffc7</t>
  </si>
  <si>
    <t xml:space="preserve">OPERATON GRINCH...Lắp nhựa PLC3, tấm MET và vỏ nhựa PLC1...Súng bắn vít......2</t>
  </si>
  <si>
    <t xml:space="preserve">;24/02/2026 16:51:29: OPERATON GRINCH...Lắp nhựa PLC3, tấm MET và vỏ nhựa PLC1...Súng bắn vít......2</t>
  </si>
  <si>
    <t xml:space="preserve">9a88d368</t>
  </si>
  <si>
    <t xml:space="preserve">OPERATON GRINCH...Siết vít và lắp nhựa khóa...Súng bắn vít......1</t>
  </si>
  <si>
    <t xml:space="preserve">;24/02/2026 16:51:51: OPERATON GRINCH...Siết vít và lắp nhựa khóa...Súng bắn vít......1</t>
  </si>
  <si>
    <t xml:space="preserve">ee705efe</t>
  </si>
  <si>
    <t xml:space="preserve">OPERATON GRINCH...Laser datecode sản phẩm và siết nắp pin...Máy laser......1</t>
  </si>
  <si>
    <t xml:space="preserve">;24/02/2026 16:53:05: OPERATON GRINCH...Laser datecode sản phẩm và siết nắp pin...Máy laser......1</t>
  </si>
  <si>
    <t xml:space="preserve">bb394001</t>
  </si>
  <si>
    <t xml:space="preserve">OPERATON GRINCH...Dập datecode hộp màu và gấp hộp...Máy dập khí nén......1</t>
  </si>
  <si>
    <t xml:space="preserve">;24/02/2026 16:53:44: OPERATON GRINCH...Dập datecode hộp màu và gấp hộp...Máy dập khí nén......1</t>
  </si>
  <si>
    <t xml:space="preserve">d0b45731</t>
  </si>
  <si>
    <t xml:space="preserve">Hàn thạch anh và vệ sinh mạch</t>
  </si>
  <si>
    <t xml:space="preserve">SRIC-4...Hàn thạch anh và vệ sinh mạch...Máy hàn......1</t>
  </si>
  <si>
    <t xml:space="preserve">Soldering quartz crystals and cleaning the circuit.</t>
  </si>
  <si>
    <t xml:space="preserve">d010100d</t>
  </si>
  <si>
    <t xml:space="preserve">Hàn tụ , Link</t>
  </si>
  <si>
    <t xml:space="preserve">SRIC-4...Hàn tụ , Link...Máy hàn......1</t>
  </si>
  <si>
    <t xml:space="preserve">476033b5</t>
  </si>
  <si>
    <t xml:space="preserve">SRIC-4...Dập chân pin...Máy hàn......1</t>
  </si>
  <si>
    <t xml:space="preserve">8d1047bc</t>
  </si>
  <si>
    <t xml:space="preserve">SRIC-4...Dập chân pin...Đồng hồ vạn năng dùng cho sản xuất......1</t>
  </si>
  <si>
    <t xml:space="preserve">9fa8fcc0</t>
  </si>
  <si>
    <t xml:space="preserve">Dập vỏ, lắp nhựa đèn</t>
  </si>
  <si>
    <t xml:space="preserve">SRIC-4...Dập vỏ, lắp nhựa đèn...Súng bắn vít......1</t>
  </si>
  <si>
    <t xml:space="preserve">Stamp the casing, install the plastic lamp housing.</t>
  </si>
  <si>
    <t xml:space="preserve">17316645</t>
  </si>
  <si>
    <t xml:space="preserve">Bắn vít &amp; lắp nhựa đèn</t>
  </si>
  <si>
    <t xml:space="preserve">SRIC-4...Bắn vít &amp; lắp nhựa đèn...Súng bắn vít......1</t>
  </si>
  <si>
    <t xml:space="preserve">Screwing and installing the lamp plastic</t>
  </si>
  <si>
    <t xml:space="preserve">ea3fac36</t>
  </si>
  <si>
    <t xml:space="preserve">Phủ keo RTV và kết nối vỏ</t>
  </si>
  <si>
    <t xml:space="preserve">SRIC-4...Phủ keo RTV và kết nối vỏ...Máy bơm keo......1</t>
  </si>
  <si>
    <t xml:space="preserve">Apply RTV adhesive and connect the casing.</t>
  </si>
  <si>
    <t xml:space="preserve">bf83f28d</t>
  </si>
  <si>
    <t xml:space="preserve">ST100J-15...Sấy ống co nhiệt...Trạm khò......1</t>
  </si>
  <si>
    <t xml:space="preserve">80766280</t>
  </si>
  <si>
    <t xml:space="preserve">ST100J-15...Gia công Sensor và dây đầu dò nhiệt...Máy hàn......1</t>
  </si>
  <si>
    <t xml:space="preserve">f9b87e00</t>
  </si>
  <si>
    <t xml:space="preserve">ST100J-15...Hàn Sensor...Máy hàn......1</t>
  </si>
  <si>
    <t xml:space="preserve">3a2e1c38</t>
  </si>
  <si>
    <t xml:space="preserve">ST100J-15...Test dây đầu dò cảm biến...Hộp tạo nhiệt độ lạnh......1</t>
  </si>
  <si>
    <t xml:space="preserve">5a803c68</t>
  </si>
  <si>
    <t xml:space="preserve">ST100J-15...Bôi keo RTV và dập đầu dò nhiệt...Máy dập đinh tán......1</t>
  </si>
  <si>
    <t xml:space="preserve">6370ee4c</t>
  </si>
  <si>
    <t xml:space="preserve">89c223bf</t>
  </si>
  <si>
    <t xml:space="preserve">ST100J-15...Nạp chương trình IC...Máy tính......1</t>
  </si>
  <si>
    <t xml:space="preserve">61dd1812</t>
  </si>
  <si>
    <t xml:space="preserve">ST100J-15...Nạp chương trình IC...Màn hình......1</t>
  </si>
  <si>
    <t xml:space="preserve">f5587e6b</t>
  </si>
  <si>
    <t xml:space="preserve">ST100J-15...PCBA Test...Máy tính......3</t>
  </si>
  <si>
    <t xml:space="preserve">bd918956</t>
  </si>
  <si>
    <t xml:space="preserve">ST100J-15...PCBA Test...Màn hình......3</t>
  </si>
  <si>
    <t xml:space="preserve">8c3ceeb9</t>
  </si>
  <si>
    <t xml:space="preserve">ST100J-15...Test final...Máy tính......1</t>
  </si>
  <si>
    <t xml:space="preserve">87c2337b</t>
  </si>
  <si>
    <t xml:space="preserve">ST100J-15...Test final...Màn hình......1</t>
  </si>
  <si>
    <t xml:space="preserve">77e7cc9b</t>
  </si>
  <si>
    <t xml:space="preserve">ST100J-15...Test setup...Máy tính......1</t>
  </si>
  <si>
    <t xml:space="preserve">5db433c0</t>
  </si>
  <si>
    <t xml:space="preserve">ST100J-15...Test setup...Màn hình......1</t>
  </si>
  <si>
    <t xml:space="preserve">7d455b23</t>
  </si>
  <si>
    <t xml:space="preserve">HAXO-8 V3...Phủ keo RTV...Máy bơm keo......1</t>
  </si>
  <si>
    <t xml:space="preserve">;26/02/2026 18:28:51: HAXO-8 V3...Phủ keo RTV...Máy bơm keo......1</t>
  </si>
  <si>
    <t xml:space="preserve">f49d9366</t>
  </si>
  <si>
    <t xml:space="preserve">HAXO-8 V3...Hàn tụ , Link...Máy hàn......1</t>
  </si>
  <si>
    <t xml:space="preserve">;26/02/2026 18:29:47: HAXO-8 V3...Hàn tụ , Link...Máy hàn......1</t>
  </si>
  <si>
    <t xml:space="preserve">529bd28e</t>
  </si>
  <si>
    <t xml:space="preserve">HAXO-8 V3...Kiểm tra pin và hàn pin...Máy hàn......1</t>
  </si>
  <si>
    <t xml:space="preserve">;26/02/2026 18:30:24: HAXO-8 V3...Kiểm tra pin và hàn pin...Máy hàn......1</t>
  </si>
  <si>
    <t xml:space="preserve">be3c505c</t>
  </si>
  <si>
    <t xml:space="preserve">HAXO-8 V3...Kiểm tra pin và hàn pin...Đồng hồ vạn năng dùng cho sản xuất......1</t>
  </si>
  <si>
    <t xml:space="preserve">;26/02/2026 18:30:42: HAXO-8 V3...Kiểm tra pin và hàn pin...Đồng hồ vạn năng dùng cho sản xuất......1</t>
  </si>
  <si>
    <t xml:space="preserve">fc9659f0</t>
  </si>
  <si>
    <t xml:space="preserve">Dập vỏ và bắn vít</t>
  </si>
  <si>
    <t xml:space="preserve">HAXO-8 V3...Dập vỏ và bắn vít...Máy dập đinh tán......1</t>
  </si>
  <si>
    <t xml:space="preserve">;26/02/2026 18:31:46: HAXO-8 V3...Dập vỏ và bắn vít...Máy dập đinh tán......1</t>
  </si>
  <si>
    <t xml:space="preserve">Stamping the casing and screwing it in place.</t>
  </si>
  <si>
    <t xml:space="preserve">31b435e6</t>
  </si>
  <si>
    <t xml:space="preserve">HAXO-8 V3...Dập vỏ và bắn vít...Súng bắn vít......1</t>
  </si>
  <si>
    <t xml:space="preserve">;26/02/2026 18:32:18: HAXO-8 V3...Dập vỏ và bắn vít...Súng bắn vít......1</t>
  </si>
  <si>
    <t xml:space="preserve">5d38cecd</t>
  </si>
  <si>
    <t xml:space="preserve">GOKEYS5...Kiểm tra chức năng (final test)...Iphone......1</t>
  </si>
  <si>
    <t xml:space="preserve">32884257</t>
  </si>
  <si>
    <t xml:space="preserve">UHADO-16...Hàn chân pin...Máy hàn......1</t>
  </si>
  <si>
    <t xml:space="preserve">;02/03/2026 18:58:47: UHADO-16...Hàn chân pin...Máy hàn......1</t>
  </si>
  <si>
    <t xml:space="preserve">61df8e36</t>
  </si>
  <si>
    <t xml:space="preserve">UHADO-16...Dập đinh tán...Máy dập đinh tán......1</t>
  </si>
  <si>
    <t xml:space="preserve">;02/03/2026 18:59:44: UHADO-16...Dập đinh tán...Máy dập đinh tán......1</t>
  </si>
  <si>
    <t xml:space="preserve">cb1a4660</t>
  </si>
  <si>
    <t xml:space="preserve">Hàn tụ và hàn loa</t>
  </si>
  <si>
    <t xml:space="preserve">UHADO-16...Hàn tụ và hàn loa...Máy hàn......1</t>
  </si>
  <si>
    <t xml:space="preserve">;02/03/2026 19:00:12: UHADO-16...Hàn tụ và hàn loa...Máy hàn......1</t>
  </si>
  <si>
    <t xml:space="preserve">Soldering capacitors and speakers</t>
  </si>
  <si>
    <t xml:space="preserve">28b5d32c</t>
  </si>
  <si>
    <t xml:space="preserve">UHADO-16...Dập vỏ...Máy dập khí nén......1</t>
  </si>
  <si>
    <t xml:space="preserve">;02/03/2026 19:01:13: UHADO-16...Dập vỏ...Máy dập khí nén......1</t>
  </si>
  <si>
    <t xml:space="preserve">396fbe2f</t>
  </si>
  <si>
    <t xml:space="preserve">UHADO-16...Bắn vít...Súng bắn vít......1</t>
  </si>
  <si>
    <t xml:space="preserve">;02/03/2026 19:01:29: UHADO-16...Bắn vít...Súng bắn vít......1</t>
  </si>
  <si>
    <t xml:space="preserve">714a2de9</t>
  </si>
  <si>
    <t xml:space="preserve">Kiểm tra pin , lắp pin</t>
  </si>
  <si>
    <t xml:space="preserve">UHADO-16...Kiểm tra pin , lắp pin...Đồng hồ vạn năng dùng cho sản xuất......1</t>
  </si>
  <si>
    <t xml:space="preserve">;02/03/2026 19:02:08: UHADO-16...Kiểm tra pin , lắp pin...Đồng hồ vạn năng dùng cho sản xuất......1</t>
  </si>
  <si>
    <t xml:space="preserve">Check the battery, install the battery.</t>
  </si>
  <si>
    <t xml:space="preserve">6fa79904</t>
  </si>
  <si>
    <t xml:space="preserve">Gia công Sensor</t>
  </si>
  <si>
    <t xml:space="preserve">TRIX-8 V2...Gia công Sensor...Máy dập khí nén......1</t>
  </si>
  <si>
    <t xml:space="preserve">;02/03/2026 19:14:34: TRIX-8 V2...Gia công Sensor...Máy dập khí nén......1</t>
  </si>
  <si>
    <t xml:space="preserve">Sensor Machining</t>
  </si>
  <si>
    <t xml:space="preserve">ebbac6c9</t>
  </si>
  <si>
    <t xml:space="preserve">TRIX-8 V2...Dập đinh tán...Máy dập đinh tán......1</t>
  </si>
  <si>
    <t xml:space="preserve">;02/03/2026 19:15:50: TRIX-8 V2...Dập đinh tán...Máy dập đinh tán......1</t>
  </si>
  <si>
    <t xml:space="preserve">f4eedfbe</t>
  </si>
  <si>
    <t xml:space="preserve">Hàn tụ , Sensor , Link</t>
  </si>
  <si>
    <t xml:space="preserve">TRIX-8 V2...Hàn tụ , Sensor , Link...Máy hàn......1</t>
  </si>
  <si>
    <t xml:space="preserve">;02/03/2026 19:16:23: TRIX-8 V2...Hàn tụ , Sensor , Link...Máy hàn......1</t>
  </si>
  <si>
    <t xml:space="preserve">Soldering, Sensor, Link</t>
  </si>
  <si>
    <t xml:space="preserve">734f92aa</t>
  </si>
  <si>
    <t xml:space="preserve">TRIX-8 V2...Phủ keo RTV...Máy bơm keo......1</t>
  </si>
  <si>
    <t xml:space="preserve">;02/03/2026 19:16:51: TRIX-8 V2...Phủ keo RTV...Máy bơm keo......1</t>
  </si>
  <si>
    <t xml:space="preserve">bc1e1445</t>
  </si>
  <si>
    <t xml:space="preserve">Kiểm tra điện áp pin và hàn pin</t>
  </si>
  <si>
    <t xml:space="preserve">TRIX-8 V2...Kiểm tra điện áp pin và hàn pin...Máy hàn......1</t>
  </si>
  <si>
    <t xml:space="preserve">;02/03/2026 19:17:18: TRIX-8 V2...Kiểm tra điện áp pin và hàn pin...Máy hàn......1</t>
  </si>
  <si>
    <t xml:space="preserve">Check battery voltage and solder the battery.</t>
  </si>
  <si>
    <t xml:space="preserve">83a57ee0</t>
  </si>
  <si>
    <t xml:space="preserve">TRIX-8 V2...Kiểm tra điện áp pin và hàn pin...Đồng hồ vạn năng dùng cho sản xuất......1</t>
  </si>
  <si>
    <t xml:space="preserve">;02/03/2026 19:17:33: TRIX-8 V2...Kiểm tra điện áp pin và hàn pin...Đồng hồ vạn năng dùng cho sản xuất......1</t>
  </si>
  <si>
    <t xml:space="preserve">a5973338</t>
  </si>
  <si>
    <t xml:space="preserve">Thêm keo vào Sensor</t>
  </si>
  <si>
    <t xml:space="preserve">TRIX-8 V2...Thêm keo vào Sensor...Máy bơm keo......1</t>
  </si>
  <si>
    <t xml:space="preserve">;02/03/2026 19:18:14: TRIX-8 V2...Thêm keo vào Sensor...Máy bơm keo......1</t>
  </si>
  <si>
    <t xml:space="preserve">Add glue to the sensor.</t>
  </si>
  <si>
    <t xml:space="preserve">ba401056</t>
  </si>
  <si>
    <t xml:space="preserve">TRIX-8 V2...Dập vỏ...Máy dập khí nén......1</t>
  </si>
  <si>
    <t xml:space="preserve">;02/03/2026 19:18:44: TRIX-8 V2...Dập vỏ...Máy dập khí nén......1</t>
  </si>
  <si>
    <t xml:space="preserve">4d1d13cc</t>
  </si>
  <si>
    <t xml:space="preserve">TRIX-8 V2...Bắn vít...Súng bắn vít......1</t>
  </si>
  <si>
    <t xml:space="preserve">;02/03/2026 19:19:19: TRIX-8 V2...Bắn vít...Súng bắn vít......1</t>
  </si>
  <si>
    <t xml:space="preserve">cd888677</t>
  </si>
  <si>
    <t xml:space="preserve">CP100K-15</t>
  </si>
  <si>
    <t xml:space="preserve">CP100K-15...Hàn miếng sắt Pin...Máy hàn......1</t>
  </si>
  <si>
    <t xml:space="preserve">;03/03/2026 10:43:57: CP100K-15...Hàn miếng sắt Pin...Máy hàn......1</t>
  </si>
  <si>
    <t xml:space="preserve">cdf67870</t>
  </si>
  <si>
    <t xml:space="preserve">ST100K-15...Gia công dây ST100K-15...Máy hàn......1</t>
  </si>
  <si>
    <t xml:space="preserve">;03/03/2026 10:45:00: ST100K-15...Gia công dây ST100K-15...Máy hàn......1;03/03/2026 10:48:59: ............0</t>
  </si>
  <si>
    <t xml:space="preserve">c03c3ea2</t>
  </si>
  <si>
    <t xml:space="preserve">ST100K-15...Gia công dây sensor và đầu dò nhiệt...Máy hàn......1</t>
  </si>
  <si>
    <t xml:space="preserve">;03/03/2026 10:45:31: ST100K-15...Gia công dây sensor và đầu dò nhiệt...Máy hàn......1;03/03/2026 10:48:41: ............0</t>
  </si>
  <si>
    <t xml:space="preserve">4e129d90</t>
  </si>
  <si>
    <t xml:space="preserve">ST100K-15...Hàn sensor ST100K-15...Máy hàn......1</t>
  </si>
  <si>
    <t xml:space="preserve">;03/03/2026 10:45:49: ST100K-15...Hàn sensor ST100K-15...Máy hàn......1;03/03/2026 10:48:59: ............0</t>
  </si>
  <si>
    <t xml:space="preserve">bc97ad1a</t>
  </si>
  <si>
    <t xml:space="preserve">ST100K-15...Sấy ống co nhiệt ST100K-15...Máy hàn......1</t>
  </si>
  <si>
    <t xml:space="preserve">;03/03/2026 10:46:14: ST100K-15...Sấy ống co nhiệt ST100K-15...Máy hàn......1;03/03/2026 10:48:59: ............0</t>
  </si>
  <si>
    <t xml:space="preserve">1060520c</t>
  </si>
  <si>
    <t xml:space="preserve">Gia công dây</t>
  </si>
  <si>
    <t xml:space="preserve">CP100K-15...Gia công dây...Máy hàn......1</t>
  </si>
  <si>
    <t xml:space="preserve">;03/03/2026 10:49:48: CP100K-15...Gia công dây...Máy hàn......1</t>
  </si>
  <si>
    <t xml:space="preserve">Wire processing</t>
  </si>
  <si>
    <t xml:space="preserve">b0b791c8</t>
  </si>
  <si>
    <t xml:space="preserve">Gia công dây sensor và đầu dò nhiệt</t>
  </si>
  <si>
    <t xml:space="preserve">CP100K-15...Gia công dây sensor và đầu dò nhiệt...Máy hàn......1</t>
  </si>
  <si>
    <t xml:space="preserve">;03/03/2026 10:50:17: CP100K-15...Gia công dây sensor và đầu dò nhiệt...Máy hàn......1</t>
  </si>
  <si>
    <t xml:space="preserve">Processing of sensor wires and temperature probes.</t>
  </si>
  <si>
    <t xml:space="preserve">7b518cfb</t>
  </si>
  <si>
    <t xml:space="preserve">CP100K-15...Hàn Sensor...Máy hàn......1</t>
  </si>
  <si>
    <t xml:space="preserve">;03/03/2026 10:50:37: CP100K-15...Hàn Sensor...Máy hàn......1</t>
  </si>
  <si>
    <t xml:space="preserve">df2db7df</t>
  </si>
  <si>
    <t xml:space="preserve">CP100K-15...Sấy ống co nhiệt...Trạm khò......1</t>
  </si>
  <si>
    <t xml:space="preserve">;03/03/2026 10:51:06: CP100K-15...Sấy ống co nhiệt...Trạm khò......1</t>
  </si>
  <si>
    <t xml:space="preserve">31963af0</t>
  </si>
  <si>
    <t xml:space="preserve">Test đầu dò cảm biến</t>
  </si>
  <si>
    <t xml:space="preserve">CP100K-15...Test đầu dò cảm biến...Hộp tạo nhiệt độ lạnh......1</t>
  </si>
  <si>
    <t xml:space="preserve">;03/03/2026 10:51:37: CP100K-15...Test đầu dò cảm biến...Hộp tạo nhiệt độ lạnh......1</t>
  </si>
  <si>
    <t xml:space="preserve">Sensor probe test</t>
  </si>
  <si>
    <t xml:space="preserve">e9a7e9bb</t>
  </si>
  <si>
    <t xml:space="preserve">CP100K-15...Dập ống sắt...Máy dập đinh tán......1</t>
  </si>
  <si>
    <t xml:space="preserve">;03/03/2026 10:52:08: CP100K-15...Dập ống sắt...Máy dập đinh tán......1</t>
  </si>
  <si>
    <t xml:space="preserve">6975b5f4</t>
  </si>
  <si>
    <t xml:space="preserve">CP100K-15...Khò ống co nhiệt...Trạm khò......1</t>
  </si>
  <si>
    <t xml:space="preserve">;03/03/2026 10:52:44: CP100K-15...Khò ống co nhiệt...Trạm khò......1</t>
  </si>
  <si>
    <t xml:space="preserve">48eafa5b</t>
  </si>
  <si>
    <t xml:space="preserve">CP100K-15...Kiểm tra Pin và hàn dây vào PCBA...Máy hàn......1</t>
  </si>
  <si>
    <t xml:space="preserve">;03/03/2026 11:22:04: CP100K-15...Kiểm tra Pin và hàn dây vào PCBA...Máy hàn......1</t>
  </si>
  <si>
    <t xml:space="preserve">32c2ac72</t>
  </si>
  <si>
    <t xml:space="preserve">CP100K-15...Kiểm tra pin và lắp pin vào sản phẩm...Đồng hồ vạn năng dùng cho sản xuất......1</t>
  </si>
  <si>
    <t xml:space="preserve">;03/03/2026 11:22:28: CP100K-15...Kiểm tra pin và lắp pin vào sản phẩm...Đồng hồ vạn năng dùng cho sản xuất......1</t>
  </si>
  <si>
    <t xml:space="preserve">f2cfa5c8</t>
  </si>
  <si>
    <t xml:space="preserve">CP100K-15...Lắp PCBA vào vỏ và bắn vít...Súng bắn vít......1</t>
  </si>
  <si>
    <t xml:space="preserve">;03/03/2026 11:22:53: CP100K-15...Lắp PCBA vào vỏ và bắn vít...Súng bắn vít......1</t>
  </si>
  <si>
    <t xml:space="preserve">ff6ae199</t>
  </si>
  <si>
    <t xml:space="preserve">;03/03/2026 11:25:40: CP100K-15...Gia công dây...Máy hàn......1</t>
  </si>
  <si>
    <t xml:space="preserve">daa0abdf</t>
  </si>
  <si>
    <t xml:space="preserve">Hàn chân kết nối pin</t>
  </si>
  <si>
    <t xml:space="preserve">TRED30-16U...Hàn chân kết nối pin...Máy hàn......1</t>
  </si>
  <si>
    <t xml:space="preserve">;04/03/2026 18:02:18: TRED30-16U...Hàn chân kết nối pin...Máy hàn......1</t>
  </si>
  <si>
    <t xml:space="preserve">Solder the battery connector pins.</t>
  </si>
  <si>
    <t xml:space="preserve">74fda34f</t>
  </si>
  <si>
    <t xml:space="preserve">;04/03/2026 18:02:47: TRED30-16U...Hàn chân kết nối pin...Máy hàn......1</t>
  </si>
  <si>
    <t xml:space="preserve">5e295dfc</t>
  </si>
  <si>
    <t xml:space="preserve">Hàn Jack Sensor và hàn tụ</t>
  </si>
  <si>
    <t xml:space="preserve">TRED30-16U...Hàn Jack Sensor và hàn tụ...Máy hàn......1</t>
  </si>
  <si>
    <t xml:space="preserve">;04/03/2026 18:03:08: TRED30-16U...Hàn Jack Sensor và hàn tụ...Máy hàn......1</t>
  </si>
  <si>
    <t xml:space="preserve">Solder Jack Sensor and capacitor</t>
  </si>
  <si>
    <t xml:space="preserve">3b9f76a9</t>
  </si>
  <si>
    <t xml:space="preserve">Phủ keo RTV lần 1</t>
  </si>
  <si>
    <t xml:space="preserve">TRED30-16U...Phủ keo RTV lần 1...Máy bơm keo......1</t>
  </si>
  <si>
    <t xml:space="preserve">;04/03/2026 18:03:29: TRED30-16U...Phủ keo RTV lần 1...Máy bơm keo......1</t>
  </si>
  <si>
    <t xml:space="preserve">First coat of RTV sealant</t>
  </si>
  <si>
    <t xml:space="preserve">52a674f0</t>
  </si>
  <si>
    <t xml:space="preserve">TRED30-16U...Dập đinh tán...Máy dập đinh tán......1</t>
  </si>
  <si>
    <t xml:space="preserve">;04/03/2026 18:04:11: TRED30-16U...Dập đinh tán...Máy dập đinh tán......1</t>
  </si>
  <si>
    <t xml:space="preserve">4877a547</t>
  </si>
  <si>
    <t xml:space="preserve">TRED30-16U...Hàn loa...Máy hàn......1</t>
  </si>
  <si>
    <t xml:space="preserve">;04/03/2026 18:05:25: TRED30-16U...Hàn loa...Máy hàn......1</t>
  </si>
  <si>
    <t xml:space="preserve">1f8107de</t>
  </si>
  <si>
    <t xml:space="preserve">TRED30-16U...Dập vỏ và bắn vít...Máy dập khí nén......1</t>
  </si>
  <si>
    <t xml:space="preserve">;04/03/2026 18:06:00: TRED30-16U...Dập vỏ và bắn vít...Máy dập khí nén......1</t>
  </si>
  <si>
    <t xml:space="preserve">3dba7424</t>
  </si>
  <si>
    <t xml:space="preserve">TRED30-16U...Dập vỏ và bắn vít...Súng bắn vít......1</t>
  </si>
  <si>
    <t xml:space="preserve">;04/03/2026 18:06:20: TRED30-16U...Dập vỏ và bắn vít...Súng bắn vít......1</t>
  </si>
  <si>
    <t xml:space="preserve">12af759f</t>
  </si>
  <si>
    <t xml:space="preserve">TRED30-16U...Kiểm tra pin và lắp pin...Đồng hồ vạn năng dùng cho sản xuất......1</t>
  </si>
  <si>
    <t xml:space="preserve">;04/03/2026 18:06:41: TRED30-16U...Kiểm tra pin và lắp pin...Đồng hồ vạn năng dùng cho sản xuất......1</t>
  </si>
  <si>
    <t xml:space="preserve">b59444c2</t>
  </si>
  <si>
    <t xml:space="preserve">TRID30-7R...Hàn thạch anh...Máy hàn......1</t>
  </si>
  <si>
    <t xml:space="preserve">;04/03/2026 18:13:17: TRID30-7R...Hàn thạch anh...Máy hàn......1</t>
  </si>
  <si>
    <t xml:space="preserve">d9429e19</t>
  </si>
  <si>
    <t xml:space="preserve">TRID30-7R...Gia công sensor...Máy dập khí nén......1</t>
  </si>
  <si>
    <t xml:space="preserve">;04/03/2026 18:14:28: TRID30-7R...Gia công sensor...Máy dập khí nén......1</t>
  </si>
  <si>
    <t xml:space="preserve">371d358b</t>
  </si>
  <si>
    <t xml:space="preserve">TRID30-7R...Hàn chân pin...Máy hàn......1</t>
  </si>
  <si>
    <t xml:space="preserve">;04/03/2026 18:14:59: TRID30-7R...Hàn chân pin...Máy hàn......1</t>
  </si>
  <si>
    <t xml:space="preserve">1058c77a</t>
  </si>
  <si>
    <t xml:space="preserve">TRID30-7R...Dập đinh tán...Máy dập đinh tán......1</t>
  </si>
  <si>
    <t xml:space="preserve">;04/03/2026 18:15:18: TRID30-7R...Dập đinh tán...Máy dập đinh tán......1</t>
  </si>
  <si>
    <t xml:space="preserve">c0471523</t>
  </si>
  <si>
    <t xml:space="preserve">Hàn tụ điện và Sensor</t>
  </si>
  <si>
    <t xml:space="preserve">TRID30-7R...Hàn tụ điện và Sensor...Máy hàn......1</t>
  </si>
  <si>
    <t xml:space="preserve">;04/03/2026 18:15:46: TRID30-7R...Hàn tụ điện và Sensor...Máy hàn......1</t>
  </si>
  <si>
    <t xml:space="preserve">Soldering capacitors and sensors</t>
  </si>
  <si>
    <t xml:space="preserve">81c2ebe5</t>
  </si>
  <si>
    <t xml:space="preserve">TRID30-7R...Phủ keo RTV...Máy bơm keo......1</t>
  </si>
  <si>
    <t xml:space="preserve">;04/03/2026 18:16:11: TRID30-7R...Phủ keo RTV...Máy bơm keo......1</t>
  </si>
  <si>
    <t xml:space="preserve">63ca2f36</t>
  </si>
  <si>
    <t xml:space="preserve">TRID30-7R...Dập vỏ...Máy dập khí nén......1</t>
  </si>
  <si>
    <t xml:space="preserve">;04/03/2026 18:16:39: TRID30-7R...Dập vỏ...Máy dập khí nén......1</t>
  </si>
  <si>
    <t xml:space="preserve">2c7568c0</t>
  </si>
  <si>
    <t xml:space="preserve">TRID30-7R...Kiểm tra pin và bắn vít...Đồng hồ vạn năng dùng cho sản xuất......1</t>
  </si>
  <si>
    <t xml:space="preserve">;04/03/2026 18:17:02: TRID30-7R...Kiểm tra pin và bắn vít...Đồng hồ vạn năng dùng cho sản xuất......1</t>
  </si>
  <si>
    <t xml:space="preserve">f82e9d86</t>
  </si>
  <si>
    <t xml:space="preserve">Kiểm tra pin và bắn  vít</t>
  </si>
  <si>
    <t xml:space="preserve">TRID30-7R...Kiểm tra pin và bắn  vít...Súng bắn vít......1</t>
  </si>
  <si>
    <t xml:space="preserve">;04/03/2026 18:17:23: TRID30-7R...Kiểm tra pin và bắn  vít...Súng bắn vít......1</t>
  </si>
  <si>
    <t xml:space="preserve">Line số</t>
  </si>
  <si>
    <t xml:space="preserve">Thời gian nhập</t>
  </si>
  <si>
    <t xml:space="preserve">ID unique</t>
  </si>
  <si>
    <t xml:space="preserve">Model_gốc</t>
  </si>
  <si>
    <t xml:space="preserve">Ghi_chú</t>
  </si>
  <si>
    <t xml:space="preserve">Line 1</t>
  </si>
  <si>
    <t xml:space="preserve">02:22:01 3/3/2026</t>
  </si>
  <si>
    <t xml:space="preserve">2026-02-08Line1</t>
  </si>
  <si>
    <t xml:space="preserve">❌ Không có trong Từ điển &amp; Sheet chuẩn</t>
  </si>
  <si>
    <t xml:space="preserve">Line 2</t>
  </si>
  <si>
    <t xml:space="preserve">2026-02-18Line2</t>
  </si>
  <si>
    <t xml:space="preserve">2026-02-23Line1</t>
  </si>
  <si>
    <t xml:space="preserve">SIMON CLASSIC</t>
  </si>
  <si>
    <t xml:space="preserve">🟢 Khớp từ điển &amp; Có trong Sheet chuẩn</t>
  </si>
  <si>
    <t xml:space="preserve">2026-02-23Line2</t>
  </si>
  <si>
    <t xml:space="preserve">DEER PONG AMERICA</t>
  </si>
  <si>
    <t xml:space="preserve">Line 3</t>
  </si>
  <si>
    <t xml:space="preserve">2026-02-23Line3</t>
  </si>
  <si>
    <t xml:space="preserve">✅ Khớp trực tiếp trong Sheet chuẩn</t>
  </si>
  <si>
    <t xml:space="preserve">Line 4</t>
  </si>
  <si>
    <t xml:space="preserve">2026-02-23Line4</t>
  </si>
  <si>
    <t xml:space="preserve">Line 5</t>
  </si>
  <si>
    <t xml:space="preserve">2026-02-23Line5</t>
  </si>
  <si>
    <t xml:space="preserve">CLASSIC OPERATION REFRESH</t>
  </si>
  <si>
    <t xml:space="preserve">Line 9</t>
  </si>
  <si>
    <t xml:space="preserve">2026-02-23Line9</t>
  </si>
  <si>
    <t xml:space="preserve">UTRED30-WIFI V3/UTREL30-WIFI V3</t>
  </si>
  <si>
    <t xml:space="preserve">Line 10</t>
  </si>
  <si>
    <t xml:space="preserve">2026-02-23Line10</t>
  </si>
  <si>
    <t xml:space="preserve">Line 11</t>
  </si>
  <si>
    <t xml:space="preserve">2026-02-23Line11</t>
  </si>
  <si>
    <t xml:space="preserve">ST10S-15/ST100S-30</t>
  </si>
  <si>
    <t xml:space="preserve">Line 12</t>
  </si>
  <si>
    <t xml:space="preserve">2026-02-23Line12</t>
  </si>
  <si>
    <t xml:space="preserve">FV-500L FV-500H/R-KNOB W/SILVER PLATE, 5100027108 + 5100011024</t>
  </si>
  <si>
    <t xml:space="preserve">🟡 Khớp từ điển nhưng CHƯA CÓ trong Sheet chuẩn</t>
  </si>
  <si>
    <t xml:space="preserve">Line 15</t>
  </si>
  <si>
    <t xml:space="preserve">2026-02-23Line15</t>
  </si>
  <si>
    <t xml:space="preserve">GX-1B/GX-1</t>
  </si>
  <si>
    <t xml:space="preserve">Line 16</t>
  </si>
  <si>
    <t xml:space="preserve">2026-02-23Line16</t>
  </si>
  <si>
    <t xml:space="preserve">Line 17</t>
  </si>
  <si>
    <t xml:space="preserve">2026-02-23Line17</t>
  </si>
  <si>
    <t xml:space="preserve">AD-10(B)</t>
  </si>
  <si>
    <t xml:space="preserve">2026-02-24Line1</t>
  </si>
  <si>
    <t xml:space="preserve">2026-02-24Line2</t>
  </si>
  <si>
    <t xml:space="preserve">2026-02-24Line3</t>
  </si>
  <si>
    <t xml:space="preserve">2026-02-24Line4</t>
  </si>
  <si>
    <t xml:space="preserve">2026-02-24Line5</t>
  </si>
  <si>
    <t xml:space="preserve">2026-02-24Line9</t>
  </si>
  <si>
    <t xml:space="preserve">2026-02-24Line10</t>
  </si>
  <si>
    <t xml:space="preserve">2026-02-24Line11</t>
  </si>
  <si>
    <t xml:space="preserve">2026-02-24Line15</t>
  </si>
  <si>
    <t xml:space="preserve">2026-02-24Line16</t>
  </si>
  <si>
    <t xml:space="preserve">MSK-3 S5</t>
  </si>
  <si>
    <t xml:space="preserve">2026-02-24Line17</t>
  </si>
  <si>
    <t xml:space="preserve">DB-90(C)</t>
  </si>
  <si>
    <t xml:space="preserve">2026-02-25Line1</t>
  </si>
  <si>
    <t xml:space="preserve">2026-02-25Line2</t>
  </si>
  <si>
    <t xml:space="preserve">2026-02-25Line4</t>
  </si>
  <si>
    <t xml:space="preserve">2026-02-25Line5</t>
  </si>
  <si>
    <t xml:space="preserve">2026-02-25Line9</t>
  </si>
  <si>
    <t xml:space="preserve">2026-02-25Line10</t>
  </si>
  <si>
    <t xml:space="preserve">2026-02-25Line11</t>
  </si>
  <si>
    <t xml:space="preserve">2026-02-25Line12</t>
  </si>
  <si>
    <t xml:space="preserve">2026-02-25Line15</t>
  </si>
  <si>
    <t xml:space="preserve">2026-02-25Line16</t>
  </si>
  <si>
    <t xml:space="preserve">2026-02-25Line17</t>
  </si>
  <si>
    <t xml:space="preserve">2026-02-26Line1</t>
  </si>
  <si>
    <t xml:space="preserve">2026-02-26Line2</t>
  </si>
  <si>
    <t xml:space="preserve">2026-02-26Line3</t>
  </si>
  <si>
    <t xml:space="preserve">2026-02-26Line4</t>
  </si>
  <si>
    <t xml:space="preserve">2026-02-26Line5</t>
  </si>
  <si>
    <t xml:space="preserve">2026-02-26Line9</t>
  </si>
  <si>
    <t xml:space="preserve">2026-02-26Line11</t>
  </si>
  <si>
    <t xml:space="preserve">2026-02-26Line12</t>
  </si>
  <si>
    <t xml:space="preserve">2026-02-26Line15</t>
  </si>
  <si>
    <t xml:space="preserve">2026-02-26Line16</t>
  </si>
  <si>
    <t xml:space="preserve">2026-02-26Line17</t>
  </si>
  <si>
    <t xml:space="preserve">GA-FC(C) /GA-FC EX</t>
  </si>
  <si>
    <t xml:space="preserve">2026-02-27Line1</t>
  </si>
  <si>
    <t xml:space="preserve">2026-02-27Line2</t>
  </si>
  <si>
    <t xml:space="preserve">2026-02-27Line3</t>
  </si>
  <si>
    <t xml:space="preserve">2026-02-27Line5</t>
  </si>
  <si>
    <t xml:space="preserve">2026-02-27Line9</t>
  </si>
  <si>
    <t xml:space="preserve">2026-02-27Line10</t>
  </si>
  <si>
    <t xml:space="preserve">2026-02-27Line11</t>
  </si>
  <si>
    <t xml:space="preserve">2026-02-27Line15</t>
  </si>
  <si>
    <t xml:space="preserve">2026-02-27Line16</t>
  </si>
  <si>
    <t xml:space="preserve">GOKEYS5-GT/WH</t>
  </si>
  <si>
    <t xml:space="preserve">2026-02-27Line17</t>
  </si>
  <si>
    <t xml:space="preserve">2026-02-28Line3</t>
  </si>
  <si>
    <t xml:space="preserve">2026-03-02Line1</t>
  </si>
  <si>
    <t xml:space="preserve">2026-03-02Line2</t>
  </si>
  <si>
    <t xml:space="preserve">2026-03-02Line3</t>
  </si>
  <si>
    <t xml:space="preserve">2026-03-02Line5</t>
  </si>
  <si>
    <t xml:space="preserve">2026-03-02Line9</t>
  </si>
  <si>
    <t xml:space="preserve">2026-03-02Line10</t>
  </si>
  <si>
    <t xml:space="preserve">2026-03-02Line11</t>
  </si>
  <si>
    <t xml:space="preserve">2026-03-02Line15</t>
  </si>
  <si>
    <t xml:space="preserve">2026-03-02Line16</t>
  </si>
  <si>
    <t xml:space="preserve">2026-03-02Line17</t>
  </si>
  <si>
    <t xml:space="preserve">KTN-AIR(B)/KTN-AIR-SB</t>
  </si>
  <si>
    <t xml:space="preserve">2026-03-03Line1</t>
  </si>
  <si>
    <t xml:space="preserve">2026-03-03Line2</t>
  </si>
  <si>
    <t xml:space="preserve">2026-03-03Line3</t>
  </si>
  <si>
    <t xml:space="preserve">2026-03-03Line5</t>
  </si>
  <si>
    <t xml:space="preserve">2026-03-03Line9</t>
  </si>
  <si>
    <t xml:space="preserve">2026-03-03Line10</t>
  </si>
  <si>
    <t xml:space="preserve">2026-03-03Line11</t>
  </si>
  <si>
    <t xml:space="preserve">2026-03-03Line15</t>
  </si>
  <si>
    <t xml:space="preserve">2026-03-03Line16</t>
  </si>
  <si>
    <t xml:space="preserve">2026-03-03Line17</t>
  </si>
  <si>
    <t xml:space="preserve">2026-03-04Line1</t>
  </si>
  <si>
    <t xml:space="preserve">2026-03-04Line2</t>
  </si>
  <si>
    <t xml:space="preserve">2026-03-04Line3</t>
  </si>
  <si>
    <t xml:space="preserve">2026-03-04Line5</t>
  </si>
  <si>
    <t xml:space="preserve">2026-03-04Line9</t>
  </si>
  <si>
    <t xml:space="preserve">2026-03-04Line10</t>
  </si>
  <si>
    <t xml:space="preserve">2026-03-04Line11</t>
  </si>
  <si>
    <t xml:space="preserve">2026-03-04Line15</t>
  </si>
  <si>
    <t xml:space="preserve">2026-03-04Line16</t>
  </si>
  <si>
    <t xml:space="preserve">2026-03-04Line17</t>
  </si>
  <si>
    <t xml:space="preserve">KTN-MINI(B)</t>
  </si>
  <si>
    <t xml:space="preserve">2026-03-05Line1</t>
  </si>
  <si>
    <t xml:space="preserve">2026-03-05Line2</t>
  </si>
  <si>
    <t xml:space="preserve">2026-03-05Line3</t>
  </si>
  <si>
    <t xml:space="preserve">TRAVEL OPERATION (FUN ON THE RUN)</t>
  </si>
  <si>
    <t xml:space="preserve">2026-03-05Line5</t>
  </si>
  <si>
    <t xml:space="preserve">2026-03-05Line9</t>
  </si>
  <si>
    <t xml:space="preserve">2026-03-05Line10</t>
  </si>
  <si>
    <t xml:space="preserve">USRIC-8 V4/USRIC-16 V4</t>
  </si>
  <si>
    <t xml:space="preserve">2026-03-05Line11</t>
  </si>
  <si>
    <t xml:space="preserve">2026-03-05Line15</t>
  </si>
  <si>
    <t xml:space="preserve">2026-03-05Line16</t>
  </si>
  <si>
    <t xml:space="preserve">MSK-3 S3</t>
  </si>
  <si>
    <t xml:space="preserve">2026-03-05Line17</t>
  </si>
  <si>
    <t xml:space="preserve">2026-03-06Line1</t>
  </si>
  <si>
    <t xml:space="preserve">2026-03-06Line2</t>
  </si>
  <si>
    <t xml:space="preserve">2026-03-06Line3</t>
  </si>
  <si>
    <t xml:space="preserve">2026-03-06Line5</t>
  </si>
  <si>
    <t xml:space="preserve">2026-03-06Line9</t>
  </si>
  <si>
    <t xml:space="preserve">2026-03-06Line10</t>
  </si>
  <si>
    <t xml:space="preserve">2026-03-06Line11</t>
  </si>
  <si>
    <t xml:space="preserve">2026-03-06Line15</t>
  </si>
  <si>
    <t xml:space="preserve">2026-03-06Line16</t>
  </si>
  <si>
    <t xml:space="preserve">2026-03-06Line17</t>
  </si>
  <si>
    <t xml:space="preserve">2026-03-09Line1</t>
  </si>
  <si>
    <t xml:space="preserve">2026-03-09Line2</t>
  </si>
  <si>
    <t xml:space="preserve">2026-03-09Line3</t>
  </si>
  <si>
    <t xml:space="preserve">2026-03-09Line4</t>
  </si>
  <si>
    <t xml:space="preserve">2026-03-09Line5</t>
  </si>
  <si>
    <t xml:space="preserve">2026-03-09Line9</t>
  </si>
  <si>
    <t xml:space="preserve">2026-03-09Line10</t>
  </si>
  <si>
    <t xml:space="preserve">2026-03-09Line11</t>
  </si>
  <si>
    <t xml:space="preserve">Line 13</t>
  </si>
  <si>
    <t xml:space="preserve">2026-03-09Line13</t>
  </si>
  <si>
    <t xml:space="preserve">2026-03-09Line15</t>
  </si>
  <si>
    <t xml:space="preserve">2026-03-09Line16</t>
  </si>
  <si>
    <t xml:space="preserve">2026-03-09Line17</t>
  </si>
  <si>
    <t xml:space="preserve">2026-03-10Line1</t>
  </si>
  <si>
    <t xml:space="preserve">2026-03-10Line2</t>
  </si>
  <si>
    <t xml:space="preserve">2026-03-10Line3</t>
  </si>
  <si>
    <t xml:space="preserve">2026-03-10Line4</t>
  </si>
  <si>
    <t xml:space="preserve">2026-03-10Line5</t>
  </si>
  <si>
    <t xml:space="preserve">2026-03-10Line9</t>
  </si>
  <si>
    <t xml:space="preserve">2026-03-10Line10</t>
  </si>
  <si>
    <t xml:space="preserve">2026-03-10Line11</t>
  </si>
  <si>
    <t xml:space="preserve">2026-03-10Line13</t>
  </si>
  <si>
    <t xml:space="preserve">2026-03-10Line15</t>
  </si>
  <si>
    <t xml:space="preserve">2026-03-10Line16</t>
  </si>
  <si>
    <t xml:space="preserve">2026-03-10Line17</t>
  </si>
  <si>
    <t xml:space="preserve">2026-03-11Line1</t>
  </si>
  <si>
    <t xml:space="preserve">2026-03-11Line2</t>
  </si>
  <si>
    <t xml:space="preserve">2026-03-11Line3</t>
  </si>
  <si>
    <t xml:space="preserve">2026-03-11Line4</t>
  </si>
  <si>
    <t xml:space="preserve">2026-03-11Line5</t>
  </si>
  <si>
    <t xml:space="preserve">2026-03-11Line9</t>
  </si>
  <si>
    <t xml:space="preserve">2026-03-11Line10</t>
  </si>
  <si>
    <t xml:space="preserve">2026-03-11Line11</t>
  </si>
  <si>
    <t xml:space="preserve">2026-03-11Line12</t>
  </si>
  <si>
    <t xml:space="preserve">VE-8(B) (SMD: 03/04, Casing: 03/11)</t>
  </si>
  <si>
    <t xml:space="preserve">2026-03-11Line13</t>
  </si>
  <si>
    <t xml:space="preserve">2026-03-11Line15</t>
  </si>
  <si>
    <t xml:space="preserve">2026-03-11Line16</t>
  </si>
  <si>
    <t xml:space="preserve">GOKEYS3-TQ/MU/RD</t>
  </si>
  <si>
    <t xml:space="preserve">2026-03-11Line17</t>
  </si>
  <si>
    <t xml:space="preserve">2026-03-12Line1</t>
  </si>
  <si>
    <t xml:space="preserve">2026-03-12Line2</t>
  </si>
  <si>
    <t xml:space="preserve">#4545 Operation Module</t>
  </si>
  <si>
    <t xml:space="preserve">2026-03-12Line3</t>
  </si>
  <si>
    <t xml:space="preserve">2026-03-12Line4</t>
  </si>
  <si>
    <t xml:space="preserve">2026-03-12Line5</t>
  </si>
  <si>
    <t xml:space="preserve">2026-03-12Line9</t>
  </si>
  <si>
    <t xml:space="preserve">2026-03-12Line10</t>
  </si>
  <si>
    <t xml:space="preserve">2026-03-12Line11</t>
  </si>
  <si>
    <t xml:space="preserve">2026-03-12Line12</t>
  </si>
  <si>
    <t xml:space="preserve">2026-03-12Line13</t>
  </si>
  <si>
    <t xml:space="preserve">2026-03-12Line15</t>
  </si>
  <si>
    <t xml:space="preserve">2026-03-12Line16</t>
  </si>
  <si>
    <t xml:space="preserve">2026-03-12Line17</t>
  </si>
  <si>
    <t xml:space="preserve">2026-03-13Line1</t>
  </si>
  <si>
    <t xml:space="preserve">2026-03-13Line2</t>
  </si>
  <si>
    <t xml:space="preserve">2026-03-13Line3</t>
  </si>
  <si>
    <t xml:space="preserve">2026-03-13Line4</t>
  </si>
  <si>
    <t xml:space="preserve">2026-03-13Line5</t>
  </si>
  <si>
    <t xml:space="preserve">2026-03-13Line9</t>
  </si>
  <si>
    <t xml:space="preserve">2026-03-13Line10</t>
  </si>
  <si>
    <t xml:space="preserve">2026-03-13Line11</t>
  </si>
  <si>
    <t xml:space="preserve">2026-03-13Line13</t>
  </si>
  <si>
    <t xml:space="preserve">2026-03-13Line15</t>
  </si>
  <si>
    <t xml:space="preserve">2026-03-13Line16</t>
  </si>
  <si>
    <t xml:space="preserve">2026-03-13Line17</t>
  </si>
  <si>
    <t xml:space="preserve">2026-03-14Line17</t>
  </si>
  <si>
    <t xml:space="preserve">2026-03-16Line1</t>
  </si>
  <si>
    <t xml:space="preserve">2026-03-16Line2</t>
  </si>
  <si>
    <t xml:space="preserve">2026-03-16Line3</t>
  </si>
  <si>
    <t xml:space="preserve">2026-03-16Line4</t>
  </si>
  <si>
    <t xml:space="preserve">2026-03-16Line5</t>
  </si>
  <si>
    <t xml:space="preserve">2026-03-16Line9</t>
  </si>
  <si>
    <t xml:space="preserve">2026-03-16Line10</t>
  </si>
  <si>
    <t xml:space="preserve">2026-03-16Line11</t>
  </si>
  <si>
    <t xml:space="preserve">2026-03-16Line13</t>
  </si>
  <si>
    <t xml:space="preserve">MRGKS3/5</t>
  </si>
  <si>
    <t xml:space="preserve">2026-03-16Line15</t>
  </si>
  <si>
    <t xml:space="preserve">2026-03-16Line16</t>
  </si>
  <si>
    <t xml:space="preserve">2026-03-16Line17</t>
  </si>
  <si>
    <t xml:space="preserve">2026-03-17Line1</t>
  </si>
  <si>
    <t xml:space="preserve">2026-03-17Line2</t>
  </si>
  <si>
    <t xml:space="preserve">2026-03-17Line3</t>
  </si>
  <si>
    <t xml:space="preserve">2026-03-17Line4</t>
  </si>
  <si>
    <t xml:space="preserve">2026-03-17Line5</t>
  </si>
  <si>
    <t xml:space="preserve">2026-03-17Line9</t>
  </si>
  <si>
    <t xml:space="preserve">2026-03-17Line10</t>
  </si>
  <si>
    <t xml:space="preserve">2026-03-17Line11</t>
  </si>
  <si>
    <t xml:space="preserve">2026-03-17Line13</t>
  </si>
  <si>
    <t xml:space="preserve">Line 14</t>
  </si>
  <si>
    <t xml:space="preserve">2026-03-17Line14</t>
  </si>
  <si>
    <t xml:space="preserve">VE-1(B)/VE-2(B)</t>
  </si>
  <si>
    <t xml:space="preserve">2026-03-17Line15</t>
  </si>
  <si>
    <t xml:space="preserve">2026-03-17Line16</t>
  </si>
  <si>
    <t xml:space="preserve">AC-22LX(B)</t>
  </si>
  <si>
    <t xml:space="preserve">2026-03-17Line17</t>
  </si>
  <si>
    <t xml:space="preserve">2026-03-18Line1</t>
  </si>
  <si>
    <t xml:space="preserve">2026-03-18Line2</t>
  </si>
  <si>
    <t xml:space="preserve">2026-03-18Line3</t>
  </si>
  <si>
    <t xml:space="preserve">2026-03-18Line4</t>
  </si>
  <si>
    <t xml:space="preserve">2026-03-18Line5</t>
  </si>
  <si>
    <t xml:space="preserve">2026-03-18Line9</t>
  </si>
  <si>
    <t xml:space="preserve">2026-03-18Line10</t>
  </si>
  <si>
    <t xml:space="preserve">2026-03-18Line11</t>
  </si>
  <si>
    <t xml:space="preserve">2026-03-18Line13</t>
  </si>
  <si>
    <t xml:space="preserve">2026-03-18Line14</t>
  </si>
  <si>
    <t xml:space="preserve">2026-03-18Line15</t>
  </si>
  <si>
    <t xml:space="preserve">2026-03-18Line16</t>
  </si>
  <si>
    <t xml:space="preserve">UM-ONEMK2B</t>
  </si>
  <si>
    <t xml:space="preserve">2026-03-18Line17</t>
  </si>
  <si>
    <t xml:space="preserve">D-CUBE LX(B)/DCB-LX(B)</t>
  </si>
  <si>
    <t xml:space="preserve">2026-03-19Line1</t>
  </si>
  <si>
    <t xml:space="preserve">2026-03-19Line2</t>
  </si>
  <si>
    <t xml:space="preserve">2026-03-19Line3</t>
  </si>
  <si>
    <t xml:space="preserve">2026-03-19Line4</t>
  </si>
  <si>
    <t xml:space="preserve">2026-03-19Line5</t>
  </si>
  <si>
    <t xml:space="preserve">2026-03-19Line9</t>
  </si>
  <si>
    <t xml:space="preserve">2026-03-19Line10</t>
  </si>
  <si>
    <t xml:space="preserve">2026-03-19Line11</t>
  </si>
  <si>
    <t xml:space="preserve">2026-03-19Line13</t>
  </si>
  <si>
    <t xml:space="preserve">2026-03-19Line14</t>
  </si>
  <si>
    <t xml:space="preserve">VE-500(B)</t>
  </si>
  <si>
    <t xml:space="preserve">2026-03-19Line15</t>
  </si>
  <si>
    <t xml:space="preserve">2026-03-19Line16</t>
  </si>
  <si>
    <t xml:space="preserve">2026-03-19Line17</t>
  </si>
  <si>
    <t xml:space="preserve">CUBE-ST2(B),CUBE-ST2-RB</t>
  </si>
  <si>
    <t xml:space="preserve">2026-03-20Line1</t>
  </si>
  <si>
    <t xml:space="preserve">2026-03-20Line2</t>
  </si>
  <si>
    <t xml:space="preserve">2026-03-20Line3</t>
  </si>
  <si>
    <t xml:space="preserve">2026-03-20Line4</t>
  </si>
  <si>
    <t xml:space="preserve">2026-03-20Line5</t>
  </si>
  <si>
    <t xml:space="preserve">2026-03-20Line9</t>
  </si>
  <si>
    <t xml:space="preserve">2026-03-20Line10</t>
  </si>
  <si>
    <t xml:space="preserve">2026-03-20Line11</t>
  </si>
  <si>
    <t xml:space="preserve">2026-03-20Line13</t>
  </si>
  <si>
    <t xml:space="preserve">2026-03-20Line14</t>
  </si>
  <si>
    <t xml:space="preserve">2026-03-20Line15</t>
  </si>
  <si>
    <t xml:space="preserve">2026-03-20Line16</t>
  </si>
  <si>
    <t xml:space="preserve">2026-03-20Line17</t>
  </si>
  <si>
    <t xml:space="preserve">2026-03-21Line2</t>
  </si>
  <si>
    <t xml:space="preserve">2026-03-21Line3</t>
  </si>
  <si>
    <t xml:space="preserve">2026-03-23Line1</t>
  </si>
  <si>
    <t xml:space="preserve">2026-03-23Line2</t>
  </si>
  <si>
    <t xml:space="preserve">2026-03-23Line3</t>
  </si>
  <si>
    <t xml:space="preserve">2026-03-23Line4</t>
  </si>
  <si>
    <t xml:space="preserve">2026-03-23Line5</t>
  </si>
  <si>
    <t xml:space="preserve">2026-03-23Line9</t>
  </si>
  <si>
    <t xml:space="preserve">2026-03-23Line10</t>
  </si>
  <si>
    <t xml:space="preserve">2026-03-23Line11</t>
  </si>
  <si>
    <t xml:space="preserve">2026-03-23Line13</t>
  </si>
  <si>
    <t xml:space="preserve">GT-1000(B)</t>
  </si>
  <si>
    <t xml:space="preserve">2026-03-23Line14</t>
  </si>
  <si>
    <t xml:space="preserve">2026-03-23Line15</t>
  </si>
  <si>
    <t xml:space="preserve">2026-03-23Line16</t>
  </si>
  <si>
    <t xml:space="preserve">GA-FC EX/GA-FC(C)</t>
  </si>
  <si>
    <t xml:space="preserve">2026-03-23Line17</t>
  </si>
  <si>
    <t xml:space="preserve">2026-03-24Line1</t>
  </si>
  <si>
    <t xml:space="preserve">OPERATION THE GRINCH</t>
  </si>
  <si>
    <t xml:space="preserve">2026-03-24Line2</t>
  </si>
  <si>
    <t xml:space="preserve">2026-03-24Line3</t>
  </si>
  <si>
    <t xml:space="preserve">2026-03-24Line4</t>
  </si>
  <si>
    <t xml:space="preserve">2026-03-24Line5</t>
  </si>
  <si>
    <t xml:space="preserve">2026-03-24Line9</t>
  </si>
  <si>
    <t xml:space="preserve">2026-03-24Line10</t>
  </si>
  <si>
    <t xml:space="preserve">2026-03-24Line11</t>
  </si>
  <si>
    <t xml:space="preserve">2026-03-24Line13</t>
  </si>
  <si>
    <t xml:space="preserve">2026-03-24Line14</t>
  </si>
  <si>
    <t xml:space="preserve">2026-03-24Line15</t>
  </si>
  <si>
    <t xml:space="preserve">2026-03-24Line16</t>
  </si>
  <si>
    <t xml:space="preserve">2026-03-24Line17</t>
  </si>
  <si>
    <t xml:space="preserve">2026-03-25Line1</t>
  </si>
  <si>
    <t xml:space="preserve">2026-03-25Line2</t>
  </si>
  <si>
    <t xml:space="preserve">2026-03-25Line3</t>
  </si>
  <si>
    <t xml:space="preserve">2026-03-25Line4</t>
  </si>
  <si>
    <t xml:space="preserve">2026-03-25Line5</t>
  </si>
  <si>
    <t xml:space="preserve">Line 6</t>
  </si>
  <si>
    <t xml:space="preserve">2026-03-25Line6</t>
  </si>
  <si>
    <t xml:space="preserve">2026-03-25Line9</t>
  </si>
  <si>
    <t xml:space="preserve">2026-03-25Line10</t>
  </si>
  <si>
    <t xml:space="preserve">2026-03-25Line11</t>
  </si>
  <si>
    <t xml:space="preserve">2026-03-25Line14</t>
  </si>
  <si>
    <t xml:space="preserve">2026-03-25Line15</t>
  </si>
  <si>
    <t xml:space="preserve">2026-03-25Line16</t>
  </si>
  <si>
    <t xml:space="preserve">2026-03-25Line17</t>
  </si>
  <si>
    <t xml:space="preserve">2026-03-26Line1</t>
  </si>
  <si>
    <t xml:space="preserve">2026-03-26Line2</t>
  </si>
  <si>
    <t xml:space="preserve">2026-03-26Line3</t>
  </si>
  <si>
    <t xml:space="preserve">2026-03-26Line4</t>
  </si>
  <si>
    <t xml:space="preserve">2026-03-26Line5</t>
  </si>
  <si>
    <t xml:space="preserve">2026-03-26Line6</t>
  </si>
  <si>
    <t xml:space="preserve">Line 7</t>
  </si>
  <si>
    <t xml:space="preserve">2026-03-26Line7</t>
  </si>
  <si>
    <t xml:space="preserve">2026-03-26Line9</t>
  </si>
  <si>
    <t xml:space="preserve">2026-03-26Line10</t>
  </si>
  <si>
    <t xml:space="preserve">2026-03-26Line11</t>
  </si>
  <si>
    <t xml:space="preserve">2026-03-26Line14</t>
  </si>
  <si>
    <t xml:space="preserve">2026-03-26Line15</t>
  </si>
  <si>
    <t xml:space="preserve">2026-03-26Line16</t>
  </si>
  <si>
    <t xml:space="preserve">2026-03-26Line17</t>
  </si>
  <si>
    <t xml:space="preserve">2026-03-27Line1</t>
  </si>
  <si>
    <t xml:space="preserve">2026-03-27Line2</t>
  </si>
  <si>
    <t xml:space="preserve">2026-03-27Line3</t>
  </si>
  <si>
    <t xml:space="preserve">2026-03-27Line4</t>
  </si>
  <si>
    <t xml:space="preserve">2026-03-27Line5</t>
  </si>
  <si>
    <t xml:space="preserve">2026-03-27Line6</t>
  </si>
  <si>
    <t xml:space="preserve">2026-03-27Line7</t>
  </si>
  <si>
    <t xml:space="preserve">2026-03-27Line9</t>
  </si>
  <si>
    <t xml:space="preserve">2026-03-27Line10</t>
  </si>
  <si>
    <t xml:space="preserve">2026-03-27Line11</t>
  </si>
  <si>
    <t xml:space="preserve">2026-03-27Line14</t>
  </si>
  <si>
    <t xml:space="preserve">2026-03-27Line15</t>
  </si>
  <si>
    <t xml:space="preserve">2026-03-27Line16</t>
  </si>
  <si>
    <t xml:space="preserve">2026-03-27Line17</t>
  </si>
  <si>
    <t xml:space="preserve">KTN-AIR(B)/KTN-AIR-SB/KTN-AIREXB</t>
  </si>
  <si>
    <t xml:space="preserve">2026-03-30Line1</t>
  </si>
  <si>
    <t xml:space="preserve">2026-03-30Line2</t>
  </si>
  <si>
    <t xml:space="preserve">2026-03-30Line3</t>
  </si>
  <si>
    <t xml:space="preserve">2026-03-30Line4</t>
  </si>
  <si>
    <t xml:space="preserve">2026-03-30Line5</t>
  </si>
  <si>
    <t xml:space="preserve">2026-03-30Line6</t>
  </si>
  <si>
    <t xml:space="preserve">2026-03-30Line7</t>
  </si>
  <si>
    <t xml:space="preserve">2026-03-30Line9</t>
  </si>
  <si>
    <t xml:space="preserve">2026-03-30Line10</t>
  </si>
  <si>
    <t xml:space="preserve">2026-03-30Line11</t>
  </si>
  <si>
    <t xml:space="preserve">2026-03-30Line14</t>
  </si>
  <si>
    <t xml:space="preserve">2026-03-30Line15</t>
  </si>
  <si>
    <t xml:space="preserve">2026-03-30Line16</t>
  </si>
  <si>
    <t xml:space="preserve">2026-03-30Line17</t>
  </si>
  <si>
    <t xml:space="preserve">2026-03-31Line1</t>
  </si>
  <si>
    <t xml:space="preserve">2026-03-31Line2</t>
  </si>
  <si>
    <t xml:space="preserve">2026-03-31Line3</t>
  </si>
  <si>
    <t xml:space="preserve">2026-03-31Line4</t>
  </si>
  <si>
    <t xml:space="preserve">2026-03-31Line5</t>
  </si>
  <si>
    <t xml:space="preserve">2026-03-31Line6</t>
  </si>
  <si>
    <t xml:space="preserve">2026-03-31Line7</t>
  </si>
  <si>
    <t xml:space="preserve">2026-03-31Line9</t>
  </si>
  <si>
    <t xml:space="preserve">USRIC-8 V3/USRIC-16 V3</t>
  </si>
  <si>
    <t xml:space="preserve">2026-03-31Line10</t>
  </si>
  <si>
    <t xml:space="preserve">HAXO-8 V3/HASO-8 V3</t>
  </si>
  <si>
    <t xml:space="preserve">2026-03-31Line11</t>
  </si>
  <si>
    <t xml:space="preserve">2026-03-31Line14</t>
  </si>
  <si>
    <t xml:space="preserve">2026-03-31Line15</t>
  </si>
  <si>
    <t xml:space="preserve">2026-03-31Line16</t>
  </si>
  <si>
    <t xml:space="preserve">2026-03-31Line17</t>
  </si>
  <si>
    <t xml:space="preserve">2026-04-02Line1</t>
  </si>
  <si>
    <t xml:space="preserve">2026-04-02Line2</t>
  </si>
  <si>
    <t xml:space="preserve">2026-04-02Line3</t>
  </si>
  <si>
    <t xml:space="preserve">2026-04-02Line4</t>
  </si>
  <si>
    <t xml:space="preserve">2026-04-02Line5</t>
  </si>
  <si>
    <t xml:space="preserve">2026-04-02Line6</t>
  </si>
  <si>
    <t xml:space="preserve">2026-04-02Line7</t>
  </si>
  <si>
    <t xml:space="preserve">2026-04-02Line9</t>
  </si>
  <si>
    <t xml:space="preserve">2026-04-02Line10</t>
  </si>
  <si>
    <t xml:space="preserve">TRED30-16R/TREL30-16</t>
  </si>
  <si>
    <t xml:space="preserve">2026-04-02Line11</t>
  </si>
  <si>
    <t xml:space="preserve">2026-04-02Line14</t>
  </si>
  <si>
    <t xml:space="preserve">2026-04-02Line15</t>
  </si>
  <si>
    <t xml:space="preserve">2026-04-02Line16</t>
  </si>
  <si>
    <t xml:space="preserve">2026-04-02Line17</t>
  </si>
  <si>
    <t xml:space="preserve">2026-04-03Line1</t>
  </si>
  <si>
    <t xml:space="preserve">2026-04-03Line2</t>
  </si>
  <si>
    <t xml:space="preserve">2026-04-03Line3</t>
  </si>
  <si>
    <t xml:space="preserve">2026-04-03Line4</t>
  </si>
  <si>
    <t xml:space="preserve">2026-04-03Line5</t>
  </si>
  <si>
    <t xml:space="preserve">2026-04-03Line6</t>
  </si>
  <si>
    <t xml:space="preserve">2026-04-03Line7</t>
  </si>
  <si>
    <t xml:space="preserve">2026-04-03Line9</t>
  </si>
  <si>
    <t xml:space="preserve">2026-04-03Line10</t>
  </si>
  <si>
    <t xml:space="preserve">2026-04-03Line11</t>
  </si>
  <si>
    <t xml:space="preserve">2026-04-03Line14</t>
  </si>
  <si>
    <t xml:space="preserve">2026-04-03Line15</t>
  </si>
  <si>
    <t xml:space="preserve">2026-04-03Line16</t>
  </si>
  <si>
    <t xml:space="preserve">2026-04-03Line17</t>
  </si>
  <si>
    <t xml:space="preserve">2026-04-04Line2</t>
  </si>
  <si>
    <t xml:space="preserve">2026-04-04Line3</t>
  </si>
  <si>
    <t xml:space="preserve">2026-04-04Line5</t>
  </si>
  <si>
    <t xml:space="preserve">2026-04-04Line6</t>
  </si>
  <si>
    <t xml:space="preserve">2026-04-04Line7</t>
  </si>
  <si>
    <t xml:space="preserve">2026-04-04Line15</t>
  </si>
  <si>
    <t xml:space="preserve">MSK-3 88PX</t>
  </si>
  <si>
    <t xml:space="preserve">2026-04-06Line1</t>
  </si>
  <si>
    <t xml:space="preserve">2026-04-06Line2</t>
  </si>
  <si>
    <t xml:space="preserve">2026-04-06Line3</t>
  </si>
  <si>
    <t xml:space="preserve">2026-04-06Line4</t>
  </si>
  <si>
    <t xml:space="preserve">2026-04-06Line5</t>
  </si>
  <si>
    <t xml:space="preserve">2026-04-06Line6</t>
  </si>
  <si>
    <t xml:space="preserve">2026-04-06Line7</t>
  </si>
  <si>
    <t xml:space="preserve">2026-04-06Line9</t>
  </si>
  <si>
    <t xml:space="preserve">2026-04-06Line10</t>
  </si>
  <si>
    <t xml:space="preserve">2026-04-06Line11</t>
  </si>
  <si>
    <t xml:space="preserve">2026-04-06Line14</t>
  </si>
  <si>
    <t xml:space="preserve">2026-04-06Line15</t>
  </si>
  <si>
    <t xml:space="preserve">2026-04-06Line16</t>
  </si>
  <si>
    <t xml:space="preserve">2026-04-06Line17</t>
  </si>
  <si>
    <t xml:space="preserve">2026-04-07Line1</t>
  </si>
  <si>
    <t xml:space="preserve">2026-04-07Line2</t>
  </si>
  <si>
    <t xml:space="preserve">2026-04-07Line3</t>
  </si>
  <si>
    <t xml:space="preserve">2026-04-07Line4</t>
  </si>
  <si>
    <t xml:space="preserve">2026-04-07Line5</t>
  </si>
  <si>
    <t xml:space="preserve">2026-04-07Line6</t>
  </si>
  <si>
    <t xml:space="preserve">2026-04-07Line7</t>
  </si>
  <si>
    <t xml:space="preserve">2026-04-07Line9</t>
  </si>
  <si>
    <t xml:space="preserve">2026-04-07Line10</t>
  </si>
  <si>
    <t xml:space="preserve">2026-04-07Line11</t>
  </si>
  <si>
    <t xml:space="preserve">2026-04-07Line14</t>
  </si>
  <si>
    <t xml:space="preserve">VE-2(B)</t>
  </si>
  <si>
    <t xml:space="preserve">2026-04-07Line15</t>
  </si>
  <si>
    <t xml:space="preserve">2026-04-07Line16</t>
  </si>
  <si>
    <t xml:space="preserve">2026-04-07Line17</t>
  </si>
  <si>
    <t xml:space="preserve">2026-04-08Line1</t>
  </si>
  <si>
    <t xml:space="preserve">2026-04-08Line2</t>
  </si>
  <si>
    <t xml:space="preserve">2026-04-08Line3</t>
  </si>
  <si>
    <t xml:space="preserve">2026-04-08Line4</t>
  </si>
  <si>
    <t xml:space="preserve">2026-04-08Line5</t>
  </si>
  <si>
    <t xml:space="preserve">2026-04-08Line6</t>
  </si>
  <si>
    <t xml:space="preserve">2026-04-08Line7</t>
  </si>
  <si>
    <t xml:space="preserve">2026-04-08Line9</t>
  </si>
  <si>
    <t xml:space="preserve">2026-04-08Line10</t>
  </si>
  <si>
    <t xml:space="preserve">2026-04-08Line11</t>
  </si>
  <si>
    <t xml:space="preserve">2026-04-08Line13</t>
  </si>
  <si>
    <t xml:space="preserve">VE-8(B) (SMD: 04/01, Casing: 04/08)</t>
  </si>
  <si>
    <t xml:space="preserve">2026-04-08Line15</t>
  </si>
  <si>
    <t xml:space="preserve">2026-04-08Line16</t>
  </si>
  <si>
    <t xml:space="preserve">2026-04-08Line17</t>
  </si>
  <si>
    <t xml:space="preserve">2026-04-09Line1</t>
  </si>
  <si>
    <t xml:space="preserve">2026-04-09Line2</t>
  </si>
  <si>
    <t xml:space="preserve">2026-04-09Line3</t>
  </si>
  <si>
    <t xml:space="preserve">2026-04-09Line4</t>
  </si>
  <si>
    <t xml:space="preserve">2026-04-09Line5</t>
  </si>
  <si>
    <t xml:space="preserve">2026-04-09Line6</t>
  </si>
  <si>
    <t xml:space="preserve">2026-04-09Line7</t>
  </si>
  <si>
    <t xml:space="preserve">2026-04-09Line9</t>
  </si>
  <si>
    <t xml:space="preserve">2026-04-09Line10</t>
  </si>
  <si>
    <t xml:space="preserve">2026-04-09Line11</t>
  </si>
  <si>
    <t xml:space="preserve">2026-04-09Line14</t>
  </si>
  <si>
    <t xml:space="preserve">2026-04-09Line15</t>
  </si>
  <si>
    <t xml:space="preserve">2026-04-09Line16</t>
  </si>
  <si>
    <t xml:space="preserve">2026-04-09Line17</t>
  </si>
  <si>
    <t xml:space="preserve">2026-04-10Line1</t>
  </si>
  <si>
    <t xml:space="preserve">2026-04-10Line2</t>
  </si>
  <si>
    <t xml:space="preserve">2026-04-10Line3</t>
  </si>
  <si>
    <t xml:space="preserve">2026-04-10Line4</t>
  </si>
  <si>
    <t xml:space="preserve">2026-04-10Line5</t>
  </si>
  <si>
    <t xml:space="preserve">2026-04-10Line6</t>
  </si>
  <si>
    <t xml:space="preserve">2026-04-10Line7</t>
  </si>
  <si>
    <t xml:space="preserve">2026-04-10Line9</t>
  </si>
  <si>
    <t xml:space="preserve">2026-04-10Line10</t>
  </si>
  <si>
    <t xml:space="preserve">2026-04-10Line11</t>
  </si>
  <si>
    <t xml:space="preserve">2026-04-10Line14</t>
  </si>
  <si>
    <t xml:space="preserve">2026-04-10Line15</t>
  </si>
  <si>
    <t xml:space="preserve">2026-04-10Line16</t>
  </si>
  <si>
    <t xml:space="preserve">2026-04-10Line17</t>
  </si>
  <si>
    <t xml:space="preserve">2026-04-13Line1</t>
  </si>
  <si>
    <t xml:space="preserve">2026-04-13Line2</t>
  </si>
  <si>
    <t xml:space="preserve">2026-04-13Line3</t>
  </si>
  <si>
    <t xml:space="preserve">2026-04-13Line4</t>
  </si>
  <si>
    <t xml:space="preserve">2026-04-13Line5</t>
  </si>
  <si>
    <t xml:space="preserve">2026-04-13Line6</t>
  </si>
  <si>
    <t xml:space="preserve">2026-04-13Line7</t>
  </si>
  <si>
    <t xml:space="preserve">Line 8</t>
  </si>
  <si>
    <t xml:space="preserve">2026-04-13Line8</t>
  </si>
  <si>
    <t xml:space="preserve">2026-04-13Line9</t>
  </si>
  <si>
    <t xml:space="preserve">2026-04-13Line10</t>
  </si>
  <si>
    <t xml:space="preserve">2026-04-13Line11</t>
  </si>
  <si>
    <t xml:space="preserve">2026-04-13Line14</t>
  </si>
  <si>
    <t xml:space="preserve">2026-04-13Line15</t>
  </si>
  <si>
    <t xml:space="preserve">2026-04-13Line16</t>
  </si>
  <si>
    <t xml:space="preserve">2026-04-13Line17</t>
  </si>
  <si>
    <t xml:space="preserve">2026-04-14Line1</t>
  </si>
  <si>
    <t xml:space="preserve">2026-04-14Line2</t>
  </si>
  <si>
    <t xml:space="preserve">2026-04-14Line3</t>
  </si>
  <si>
    <t xml:space="preserve">2026-04-14Line4</t>
  </si>
  <si>
    <t xml:space="preserve">2026-04-14Line5</t>
  </si>
  <si>
    <t xml:space="preserve">2026-04-14Line6</t>
  </si>
  <si>
    <t xml:space="preserve">2026-04-14Line7</t>
  </si>
  <si>
    <t xml:space="preserve">2026-04-14Line8</t>
  </si>
  <si>
    <t xml:space="preserve">2026-04-14Line9</t>
  </si>
  <si>
    <t xml:space="preserve">2026-04-14Line10</t>
  </si>
  <si>
    <t xml:space="preserve">2026-04-14Line11</t>
  </si>
  <si>
    <t xml:space="preserve">2026-04-14Line14</t>
  </si>
  <si>
    <t xml:space="preserve">2026-04-14Line15</t>
  </si>
  <si>
    <t xml:space="preserve">2026-04-14Line16</t>
  </si>
  <si>
    <t xml:space="preserve">2026-04-14Line17</t>
  </si>
  <si>
    <t xml:space="preserve">2026-04-15Line1</t>
  </si>
  <si>
    <t xml:space="preserve">2026-04-15Line2</t>
  </si>
  <si>
    <t xml:space="preserve">2026-04-15Line3</t>
  </si>
  <si>
    <t xml:space="preserve">2026-04-15Line4</t>
  </si>
  <si>
    <t xml:space="preserve">2026-04-15Line5</t>
  </si>
  <si>
    <t xml:space="preserve">2026-04-15Line6</t>
  </si>
  <si>
    <t xml:space="preserve">2026-04-15Line7</t>
  </si>
  <si>
    <t xml:space="preserve">2026-04-15Line9</t>
  </si>
  <si>
    <t xml:space="preserve">2026-04-15Line10</t>
  </si>
  <si>
    <t xml:space="preserve">2026-04-15Line11</t>
  </si>
  <si>
    <t xml:space="preserve">2026-04-15Line14</t>
  </si>
  <si>
    <t xml:space="preserve">2026-04-15Line15</t>
  </si>
  <si>
    <t xml:space="preserve">2026-04-15Line16</t>
  </si>
  <si>
    <t xml:space="preserve">2026-04-15Line17</t>
  </si>
  <si>
    <t xml:space="preserve">2026-04-16Line1</t>
  </si>
  <si>
    <t xml:space="preserve">2026-04-16Line2</t>
  </si>
  <si>
    <t xml:space="preserve">2026-04-16Line3</t>
  </si>
  <si>
    <t xml:space="preserve">2026-04-16Line4</t>
  </si>
  <si>
    <t xml:space="preserve">2026-04-16Line5</t>
  </si>
  <si>
    <t xml:space="preserve">2026-04-16Line6</t>
  </si>
  <si>
    <t xml:space="preserve">2026-04-16Line7</t>
  </si>
  <si>
    <t xml:space="preserve">2026-04-16Line9</t>
  </si>
  <si>
    <t xml:space="preserve">2026-04-16Line10</t>
  </si>
  <si>
    <t xml:space="preserve">2026-04-16Line11</t>
  </si>
  <si>
    <t xml:space="preserve">2026-04-16Line14</t>
  </si>
  <si>
    <t xml:space="preserve">2026-04-16Line15</t>
  </si>
  <si>
    <t xml:space="preserve">2026-04-16Line16</t>
  </si>
  <si>
    <t xml:space="preserve">2026-04-16Line17</t>
  </si>
  <si>
    <t xml:space="preserve">2026-04-17Line1</t>
  </si>
  <si>
    <t xml:space="preserve">2026-04-17Line2</t>
  </si>
  <si>
    <t xml:space="preserve">2026-04-17Line3</t>
  </si>
  <si>
    <t xml:space="preserve">2026-04-17Line4</t>
  </si>
  <si>
    <t xml:space="preserve">2026-04-17Line5</t>
  </si>
  <si>
    <t xml:space="preserve">2026-04-17Line6</t>
  </si>
  <si>
    <t xml:space="preserve">2026-04-17Line7</t>
  </si>
  <si>
    <t xml:space="preserve">2026-04-17Line9</t>
  </si>
  <si>
    <t xml:space="preserve">2026-04-17Line10</t>
  </si>
  <si>
    <t xml:space="preserve">2026-04-17Line11</t>
  </si>
  <si>
    <t xml:space="preserve">2026-04-17Line14</t>
  </si>
  <si>
    <t xml:space="preserve">2026-04-17Line15</t>
  </si>
  <si>
    <t xml:space="preserve">2026-04-17Line16</t>
  </si>
  <si>
    <t xml:space="preserve">2026-04-17Line17</t>
  </si>
  <si>
    <t xml:space="preserve">2026-04-18Line2</t>
  </si>
  <si>
    <t xml:space="preserve">2026-04-18Line3</t>
  </si>
  <si>
    <t xml:space="preserve">2026-04-18Line5</t>
  </si>
  <si>
    <t xml:space="preserve">2026-04-18Line6</t>
  </si>
  <si>
    <t xml:space="preserve">2026-04-18Line7</t>
  </si>
  <si>
    <t xml:space="preserve">2026-04-18Line15</t>
  </si>
  <si>
    <t xml:space="preserve">2026-04-20Line1</t>
  </si>
  <si>
    <t xml:space="preserve">2026-04-20Line2</t>
  </si>
  <si>
    <t xml:space="preserve">2026-04-20Line3</t>
  </si>
  <si>
    <t xml:space="preserve">2026-04-20Line4</t>
  </si>
  <si>
    <t xml:space="preserve">2026-04-20Line5</t>
  </si>
  <si>
    <t xml:space="preserve">2026-04-20Line6</t>
  </si>
  <si>
    <t xml:space="preserve">2026-04-20Line7</t>
  </si>
  <si>
    <t xml:space="preserve">2026-04-20Line8</t>
  </si>
  <si>
    <t xml:space="preserve">2026-04-20Line9</t>
  </si>
  <si>
    <t xml:space="preserve">TRIX-8 V2/TRIX-16 V2</t>
  </si>
  <si>
    <t xml:space="preserve">2026-04-20Line10</t>
  </si>
  <si>
    <t xml:space="preserve">2026-04-20Line11</t>
  </si>
  <si>
    <t xml:space="preserve">2026-04-20Line14</t>
  </si>
  <si>
    <t xml:space="preserve">2026-04-20Line15</t>
  </si>
  <si>
    <t xml:space="preserve">2026-04-20Line16</t>
  </si>
  <si>
    <t xml:space="preserve">2026-04-20Line17</t>
  </si>
  <si>
    <t xml:space="preserve">2026-04-21Line1</t>
  </si>
  <si>
    <t xml:space="preserve">2026-04-21Line2</t>
  </si>
  <si>
    <t xml:space="preserve">2026-04-21Line3</t>
  </si>
  <si>
    <t xml:space="preserve">2026-04-21Line4</t>
  </si>
  <si>
    <t xml:space="preserve">2026-04-21Line5</t>
  </si>
  <si>
    <t xml:space="preserve">2026-04-21Line6</t>
  </si>
  <si>
    <t xml:space="preserve">2026-04-21Line7</t>
  </si>
  <si>
    <t xml:space="preserve">2026-04-21Line8</t>
  </si>
  <si>
    <t xml:space="preserve">2026-04-21Line9</t>
  </si>
  <si>
    <t xml:space="preserve">2026-04-21Line10</t>
  </si>
  <si>
    <t xml:space="preserve">SRIL-8/TRIL-8</t>
  </si>
  <si>
    <t xml:space="preserve">2026-04-21Line11</t>
  </si>
  <si>
    <t xml:space="preserve">2026-04-21Line14</t>
  </si>
  <si>
    <t xml:space="preserve">VE-8(B)</t>
  </si>
  <si>
    <t xml:space="preserve">2026-04-21Line15</t>
  </si>
  <si>
    <t xml:space="preserve">2026-04-21Line16</t>
  </si>
  <si>
    <t xml:space="preserve">2026-04-21Line17</t>
  </si>
  <si>
    <t xml:space="preserve">2026-04-22Line1</t>
  </si>
  <si>
    <t xml:space="preserve">BOP IT MICRO SERIES</t>
  </si>
  <si>
    <t xml:space="preserve">2026-04-22Line2</t>
  </si>
  <si>
    <t xml:space="preserve">2026-04-22Line3</t>
  </si>
  <si>
    <t xml:space="preserve">2026-04-22Line4</t>
  </si>
  <si>
    <t xml:space="preserve">2026-04-22Line5</t>
  </si>
  <si>
    <t xml:space="preserve">2026-04-22Line6</t>
  </si>
  <si>
    <t xml:space="preserve">2026-04-22Line7</t>
  </si>
  <si>
    <t xml:space="preserve">2026-04-22Line9</t>
  </si>
  <si>
    <t xml:space="preserve">2026-04-22Line10</t>
  </si>
  <si>
    <t xml:space="preserve">2026-04-22Line11</t>
  </si>
  <si>
    <t xml:space="preserve">2026-04-22Line14</t>
  </si>
  <si>
    <t xml:space="preserve">VE-1(B)</t>
  </si>
  <si>
    <t xml:space="preserve">2026-04-22Line15</t>
  </si>
  <si>
    <t xml:space="preserve">2026-04-22Line16</t>
  </si>
  <si>
    <t xml:space="preserve">2026-04-22Line17</t>
  </si>
  <si>
    <t xml:space="preserve">2026-04-23Line1</t>
  </si>
  <si>
    <t xml:space="preserve">2026-04-23Line2</t>
  </si>
  <si>
    <t xml:space="preserve">2026-04-23Line3</t>
  </si>
  <si>
    <t xml:space="preserve">2026-04-23Line4</t>
  </si>
  <si>
    <t xml:space="preserve">2026-04-23Line5</t>
  </si>
  <si>
    <t xml:space="preserve">2026-04-23Line6</t>
  </si>
  <si>
    <t xml:space="preserve">2026-04-23Line7</t>
  </si>
  <si>
    <t xml:space="preserve">2026-04-23Line8</t>
  </si>
  <si>
    <t xml:space="preserve">2026-04-23Line9</t>
  </si>
  <si>
    <t xml:space="preserve">2026-04-23Line10</t>
  </si>
  <si>
    <t xml:space="preserve">2026-04-23Line11</t>
  </si>
  <si>
    <t xml:space="preserve">2026-04-23Line14</t>
  </si>
  <si>
    <t xml:space="preserve">2026-04-23Line15</t>
  </si>
  <si>
    <t xml:space="preserve">2026-04-23Line16</t>
  </si>
  <si>
    <t xml:space="preserve">2026-04-23Line17</t>
  </si>
  <si>
    <t xml:space="preserve">2026-04-24Line1</t>
  </si>
  <si>
    <t xml:space="preserve">2026-04-24Line2</t>
  </si>
  <si>
    <t xml:space="preserve">2026-04-24Line3</t>
  </si>
  <si>
    <t xml:space="preserve">2026-04-24Line4</t>
  </si>
  <si>
    <t xml:space="preserve">2026-04-24Line5</t>
  </si>
  <si>
    <t xml:space="preserve">2026-04-24Line6</t>
  </si>
  <si>
    <t xml:space="preserve">2026-04-24Line7</t>
  </si>
  <si>
    <t xml:space="preserve">2026-04-24Line8</t>
  </si>
  <si>
    <t xml:space="preserve">2026-04-24Line9</t>
  </si>
  <si>
    <t xml:space="preserve">2026-04-24Line10</t>
  </si>
  <si>
    <t xml:space="preserve">2026-04-24Line11</t>
  </si>
  <si>
    <t xml:space="preserve">2026-04-24Line14</t>
  </si>
  <si>
    <t xml:space="preserve">2026-04-24Line15</t>
  </si>
  <si>
    <t xml:space="preserve">2026-04-24Line16</t>
  </si>
  <si>
    <t xml:space="preserve">2026-04-24Line17</t>
  </si>
  <si>
    <t xml:space="preserve">2026-04-27Line6</t>
  </si>
  <si>
    <t xml:space="preserve">2026-04-27Line7</t>
  </si>
  <si>
    <t xml:space="preserve">2026-04-27Line12</t>
  </si>
  <si>
    <t xml:space="preserve">GOKEYS3-MI(SMD: 04/20, Casing: 04/27)</t>
  </si>
  <si>
    <t xml:space="preserve">2026-04-28Line1</t>
  </si>
  <si>
    <t xml:space="preserve">2026-04-28Line2</t>
  </si>
  <si>
    <t xml:space="preserve">2026-04-28Line3</t>
  </si>
  <si>
    <t xml:space="preserve">2026-04-28Line4</t>
  </si>
  <si>
    <t xml:space="preserve">2026-04-28Line5</t>
  </si>
  <si>
    <t xml:space="preserve">2026-04-28Line6</t>
  </si>
  <si>
    <t xml:space="preserve">2026-04-28Line7</t>
  </si>
  <si>
    <t xml:space="preserve">2026-04-28Line8</t>
  </si>
  <si>
    <t xml:space="preserve">2026-04-28Line9</t>
  </si>
  <si>
    <t xml:space="preserve">2026-04-28Line10</t>
  </si>
  <si>
    <t xml:space="preserve">2026-04-28Line11</t>
  </si>
  <si>
    <t xml:space="preserve">2026-04-28Line14</t>
  </si>
  <si>
    <t xml:space="preserve">2026-04-28Line15</t>
  </si>
  <si>
    <t xml:space="preserve">2026-04-28Line16</t>
  </si>
  <si>
    <t xml:space="preserve">2026-04-28Line17</t>
  </si>
  <si>
    <t xml:space="preserve">2026-04-29Line1</t>
  </si>
  <si>
    <t xml:space="preserve">2026-04-29Line2</t>
  </si>
  <si>
    <t xml:space="preserve">2026-04-29Line3</t>
  </si>
  <si>
    <t xml:space="preserve">2026-04-29Line4</t>
  </si>
  <si>
    <t xml:space="preserve">2026-04-29Line5</t>
  </si>
  <si>
    <t xml:space="preserve">2026-04-29Line6</t>
  </si>
  <si>
    <t xml:space="preserve">2026-04-29Line7</t>
  </si>
  <si>
    <t xml:space="preserve">2026-04-29Line8</t>
  </si>
  <si>
    <t xml:space="preserve">2026-04-29Line9</t>
  </si>
  <si>
    <t xml:space="preserve">2026-04-29Line10</t>
  </si>
  <si>
    <t xml:space="preserve">2026-04-29Line11</t>
  </si>
  <si>
    <t xml:space="preserve">2026-04-29Line14</t>
  </si>
  <si>
    <t xml:space="preserve">2026-04-29Line15</t>
  </si>
  <si>
    <t xml:space="preserve">2026-04-29Line16</t>
  </si>
  <si>
    <t xml:space="preserve">2026-04-29Line17</t>
  </si>
  <si>
    <t xml:space="preserve">2026-05-04Line1</t>
  </si>
  <si>
    <t xml:space="preserve">2026-05-04Line2</t>
  </si>
  <si>
    <t xml:space="preserve">2026-05-04Line3</t>
  </si>
  <si>
    <t xml:space="preserve">2026-05-04Line4</t>
  </si>
  <si>
    <t xml:space="preserve">2026-05-04Line5</t>
  </si>
  <si>
    <t xml:space="preserve">2026-05-04Line6</t>
  </si>
  <si>
    <t xml:space="preserve">2026-05-04Line7</t>
  </si>
  <si>
    <t xml:space="preserve">2026-05-04Line8</t>
  </si>
  <si>
    <t xml:space="preserve">2026-05-04Line9</t>
  </si>
  <si>
    <t xml:space="preserve">2026-05-04Line10</t>
  </si>
  <si>
    <t xml:space="preserve">2026-05-04Line11</t>
  </si>
  <si>
    <t xml:space="preserve">2026-05-04Line15</t>
  </si>
  <si>
    <t xml:space="preserve">2026-05-04Line16</t>
  </si>
  <si>
    <t xml:space="preserve">2026-05-04Line17</t>
  </si>
  <si>
    <t xml:space="preserve">2026-05-05Line1</t>
  </si>
  <si>
    <t xml:space="preserve">2026-05-05Line2</t>
  </si>
  <si>
    <t xml:space="preserve">2026-05-05Line3</t>
  </si>
  <si>
    <t xml:space="preserve">2026-05-05Line4</t>
  </si>
  <si>
    <t xml:space="preserve">2026-05-05Line5</t>
  </si>
  <si>
    <t xml:space="preserve">2026-05-05Line6</t>
  </si>
  <si>
    <t xml:space="preserve">2026-05-05Line7</t>
  </si>
  <si>
    <t xml:space="preserve">2026-05-05Line8</t>
  </si>
  <si>
    <t xml:space="preserve">2026-05-05Line9</t>
  </si>
  <si>
    <t xml:space="preserve">2026-05-05Line10</t>
  </si>
  <si>
    <t xml:space="preserve">2026-05-05Line11</t>
  </si>
  <si>
    <t xml:space="preserve">2026-05-05Line15</t>
  </si>
  <si>
    <t xml:space="preserve">2026-05-05Line16</t>
  </si>
  <si>
    <t xml:space="preserve">2026-05-05Line17</t>
  </si>
  <si>
    <t xml:space="preserve">2026-05-06Line1</t>
  </si>
  <si>
    <t xml:space="preserve">2026-05-06Line2</t>
  </si>
  <si>
    <t xml:space="preserve">2026-05-06Line3</t>
  </si>
  <si>
    <t xml:space="preserve">2026-05-06Line4</t>
  </si>
  <si>
    <t xml:space="preserve">2026-05-06Line5</t>
  </si>
  <si>
    <t xml:space="preserve">2026-05-06Line6</t>
  </si>
  <si>
    <t xml:space="preserve">2026-05-06Line7</t>
  </si>
  <si>
    <t xml:space="preserve">2026-05-06Line8</t>
  </si>
  <si>
    <t xml:space="preserve">2026-05-06Line9</t>
  </si>
  <si>
    <t xml:space="preserve">2026-05-06Line10</t>
  </si>
  <si>
    <t xml:space="preserve">2026-05-06Line11</t>
  </si>
  <si>
    <t xml:space="preserve">2026-05-06Line15</t>
  </si>
  <si>
    <t xml:space="preserve">2026-05-06Line16</t>
  </si>
  <si>
    <t xml:space="preserve">2026-05-06Line17</t>
  </si>
  <si>
    <t xml:space="preserve">2026-05-07Line1</t>
  </si>
  <si>
    <t xml:space="preserve">2026-05-07Line2</t>
  </si>
  <si>
    <t xml:space="preserve">2026-05-07Line3</t>
  </si>
  <si>
    <t xml:space="preserve">2026-05-07Line4</t>
  </si>
  <si>
    <t xml:space="preserve">2026-05-07Line5</t>
  </si>
  <si>
    <t xml:space="preserve">2026-05-07Line6</t>
  </si>
  <si>
    <t xml:space="preserve">2026-05-07Line7</t>
  </si>
  <si>
    <t xml:space="preserve">2026-05-07Line8</t>
  </si>
  <si>
    <t xml:space="preserve">2026-05-07Line9</t>
  </si>
  <si>
    <t xml:space="preserve">2026-05-07Line10</t>
  </si>
  <si>
    <t xml:space="preserve">2026-05-07Line11</t>
  </si>
  <si>
    <t xml:space="preserve">2026-05-07Line15</t>
  </si>
  <si>
    <t xml:space="preserve">2026-05-07Line16</t>
  </si>
  <si>
    <t xml:space="preserve">2026-05-07Line17</t>
  </si>
  <si>
    <t xml:space="preserve">2026-05-08Line1</t>
  </si>
  <si>
    <t xml:space="preserve">2026-05-08Line2</t>
  </si>
  <si>
    <t xml:space="preserve">2026-05-08Line3</t>
  </si>
  <si>
    <t xml:space="preserve">2026-05-08Line4</t>
  </si>
  <si>
    <t xml:space="preserve">2026-05-08Line5</t>
  </si>
  <si>
    <t xml:space="preserve">2026-05-08Line6</t>
  </si>
  <si>
    <t xml:space="preserve">2026-05-08Line7</t>
  </si>
  <si>
    <t xml:space="preserve">2026-05-08Line8</t>
  </si>
  <si>
    <t xml:space="preserve">2026-05-08Line9</t>
  </si>
  <si>
    <t xml:space="preserve">2026-05-08Line11</t>
  </si>
  <si>
    <t xml:space="preserve">2026-05-08Line15</t>
  </si>
  <si>
    <t xml:space="preserve">2026-05-08Line16</t>
  </si>
  <si>
    <t xml:space="preserve">2026-05-08Line17</t>
  </si>
  <si>
    <t xml:space="preserve">2026-05-09Line2</t>
  </si>
  <si>
    <t xml:space="preserve">2026-05-09Line3</t>
  </si>
  <si>
    <t xml:space="preserve">2026-05-09Line5</t>
  </si>
  <si>
    <t xml:space="preserve">2026-05-09Line6</t>
  </si>
  <si>
    <t xml:space="preserve">2026-05-09Line7</t>
  </si>
  <si>
    <t xml:space="preserve">2026-05-09Line8</t>
  </si>
  <si>
    <t xml:space="preserve">2026-05-11Line1</t>
  </si>
  <si>
    <t xml:space="preserve">2026-05-11Line2</t>
  </si>
  <si>
    <t xml:space="preserve">2026-05-11Line3</t>
  </si>
  <si>
    <t xml:space="preserve">2026-05-11Line4</t>
  </si>
  <si>
    <t xml:space="preserve">2026-05-11Line5</t>
  </si>
  <si>
    <t xml:space="preserve">2026-05-11Line6</t>
  </si>
  <si>
    <t xml:space="preserve">2026-05-11Line7</t>
  </si>
  <si>
    <t xml:space="preserve">2026-05-11Line8</t>
  </si>
  <si>
    <t xml:space="preserve">2026-05-11Line9</t>
  </si>
  <si>
    <t xml:space="preserve">2026-05-11Line11</t>
  </si>
  <si>
    <t xml:space="preserve">2026-05-11Line15</t>
  </si>
  <si>
    <t xml:space="preserve">2026-05-11Line16</t>
  </si>
  <si>
    <t xml:space="preserve">2026-05-11Line17</t>
  </si>
  <si>
    <t xml:space="preserve">2026-05-12Line1</t>
  </si>
  <si>
    <t xml:space="preserve">2026-05-12Line2</t>
  </si>
  <si>
    <t xml:space="preserve">2026-05-12Line3</t>
  </si>
  <si>
    <t xml:space="preserve">2026-05-12Line4</t>
  </si>
  <si>
    <t xml:space="preserve">2026-05-12Line5</t>
  </si>
  <si>
    <t xml:space="preserve">2026-05-12Line6</t>
  </si>
  <si>
    <t xml:space="preserve">2026-05-12Line7</t>
  </si>
  <si>
    <t xml:space="preserve">2026-05-12Line8</t>
  </si>
  <si>
    <t xml:space="preserve">2026-05-12Line9</t>
  </si>
  <si>
    <t xml:space="preserve">2026-05-12Line11</t>
  </si>
  <si>
    <t xml:space="preserve">2026-05-12Line15</t>
  </si>
  <si>
    <t xml:space="preserve">2026-05-12Line16</t>
  </si>
  <si>
    <t xml:space="preserve">2026-05-12Line17</t>
  </si>
  <si>
    <t xml:space="preserve">2026-05-13Line1</t>
  </si>
  <si>
    <t xml:space="preserve">2026-05-13Line2</t>
  </si>
  <si>
    <t xml:space="preserve">2026-05-13Line3</t>
  </si>
  <si>
    <t xml:space="preserve">2026-05-13Line4</t>
  </si>
  <si>
    <t xml:space="preserve">2026-05-13Line5</t>
  </si>
  <si>
    <t xml:space="preserve">2026-05-13Line6</t>
  </si>
  <si>
    <t xml:space="preserve">2026-05-13Line7</t>
  </si>
  <si>
    <t xml:space="preserve">SIMON MICRO SERIES</t>
  </si>
  <si>
    <t xml:space="preserve">2026-05-13Line8</t>
  </si>
  <si>
    <t xml:space="preserve">2026-05-13Line9</t>
  </si>
  <si>
    <t xml:space="preserve">2026-05-13Line11</t>
  </si>
  <si>
    <t xml:space="preserve">2026-05-13Line15</t>
  </si>
  <si>
    <t xml:space="preserve">2026-05-13Line16</t>
  </si>
  <si>
    <t xml:space="preserve">2026-05-13Line17</t>
  </si>
  <si>
    <t xml:space="preserve">2026-05-14Line1</t>
  </si>
  <si>
    <t xml:space="preserve">2026-05-14Line2</t>
  </si>
  <si>
    <t xml:space="preserve">2026-05-14Line3</t>
  </si>
  <si>
    <t xml:space="preserve">2026-05-14Line4</t>
  </si>
  <si>
    <t xml:space="preserve">2026-05-14Line5</t>
  </si>
  <si>
    <t xml:space="preserve">2026-05-14Line6</t>
  </si>
  <si>
    <t xml:space="preserve">2026-05-14Line7</t>
  </si>
  <si>
    <t xml:space="preserve">2026-05-14Line8</t>
  </si>
  <si>
    <t xml:space="preserve">2026-05-14Line11</t>
  </si>
  <si>
    <t xml:space="preserve">2026-05-14Line15</t>
  </si>
  <si>
    <t xml:space="preserve">2026-05-14Line16</t>
  </si>
  <si>
    <t xml:space="preserve">2026-05-14Line17</t>
  </si>
  <si>
    <t xml:space="preserve">2026-05-15Line1</t>
  </si>
  <si>
    <t xml:space="preserve">2026-05-15Line2</t>
  </si>
  <si>
    <t xml:space="preserve">2026-05-15Line3</t>
  </si>
  <si>
    <t xml:space="preserve">2026-05-15Line4</t>
  </si>
  <si>
    <t xml:space="preserve">2026-05-15Line5</t>
  </si>
  <si>
    <t xml:space="preserve">2026-05-15Line6</t>
  </si>
  <si>
    <t xml:space="preserve">2026-05-15Line7</t>
  </si>
  <si>
    <t xml:space="preserve">2026-05-15Line8</t>
  </si>
  <si>
    <t xml:space="preserve">2026-05-15Line15</t>
  </si>
  <si>
    <t xml:space="preserve">2026-05-15Line16</t>
  </si>
  <si>
    <t xml:space="preserve">2026-05-15Line17</t>
  </si>
  <si>
    <t xml:space="preserve">2026-05-18Line1</t>
  </si>
  <si>
    <t xml:space="preserve">2026-05-18Line2</t>
  </si>
  <si>
    <t xml:space="preserve">2026-05-18Line3</t>
  </si>
  <si>
    <t xml:space="preserve">2026-05-18Line4</t>
  </si>
  <si>
    <t xml:space="preserve">2026-05-18Line5</t>
  </si>
  <si>
    <t xml:space="preserve">2026-05-18Line6</t>
  </si>
  <si>
    <t xml:space="preserve">2026-05-18Line7</t>
  </si>
  <si>
    <t xml:space="preserve">2026-05-18Line8</t>
  </si>
  <si>
    <t xml:space="preserve">2026-05-18Line15</t>
  </si>
  <si>
    <t xml:space="preserve">2026-05-18Line16</t>
  </si>
  <si>
    <t xml:space="preserve">2026-05-18Line17</t>
  </si>
  <si>
    <t xml:space="preserve">2026-05-19Line1</t>
  </si>
  <si>
    <t xml:space="preserve">2026-05-19Line2</t>
  </si>
  <si>
    <t xml:space="preserve">2026-05-19Line3</t>
  </si>
  <si>
    <t xml:space="preserve">2026-05-19Line4</t>
  </si>
  <si>
    <t xml:space="preserve">2026-05-19Line5</t>
  </si>
  <si>
    <t xml:space="preserve">2026-05-19Line6</t>
  </si>
  <si>
    <t xml:space="preserve">2026-05-19Line7</t>
  </si>
  <si>
    <t xml:space="preserve">2026-05-19Line8</t>
  </si>
  <si>
    <t xml:space="preserve">2026-05-19Line15</t>
  </si>
  <si>
    <t xml:space="preserve">2026-05-19Line16</t>
  </si>
  <si>
    <t xml:space="preserve">2026-05-19Line17</t>
  </si>
  <si>
    <t xml:space="preserve">2026-05-20Line1</t>
  </si>
  <si>
    <t xml:space="preserve">2026-05-20Line2</t>
  </si>
  <si>
    <t xml:space="preserve">2026-05-20Line3</t>
  </si>
  <si>
    <t xml:space="preserve">2026-05-20Line4</t>
  </si>
  <si>
    <t xml:space="preserve">2026-05-20Line5</t>
  </si>
  <si>
    <t xml:space="preserve">2026-05-20Line6</t>
  </si>
  <si>
    <t xml:space="preserve">2026-05-20Line7</t>
  </si>
  <si>
    <t xml:space="preserve">2026-05-20Line8</t>
  </si>
  <si>
    <t xml:space="preserve">2026-05-20Line15</t>
  </si>
  <si>
    <t xml:space="preserve">2026-05-20Line16</t>
  </si>
  <si>
    <t xml:space="preserve">2026-05-20Line17</t>
  </si>
  <si>
    <t xml:space="preserve">2026-05-21Line1</t>
  </si>
  <si>
    <t xml:space="preserve">2026-05-21Line2</t>
  </si>
  <si>
    <t xml:space="preserve">2026-05-21Line3</t>
  </si>
  <si>
    <t xml:space="preserve">2026-05-21Line4</t>
  </si>
  <si>
    <t xml:space="preserve">2026-05-21Line5</t>
  </si>
  <si>
    <t xml:space="preserve">2026-05-21Line6</t>
  </si>
  <si>
    <t xml:space="preserve">2026-05-21Line7</t>
  </si>
  <si>
    <t xml:space="preserve">2026-05-21Line8</t>
  </si>
  <si>
    <t xml:space="preserve">2026-05-21Line16</t>
  </si>
  <si>
    <t xml:space="preserve">2026-05-21Line17</t>
  </si>
  <si>
    <t xml:space="preserve">2026-05-22Line1</t>
  </si>
  <si>
    <t xml:space="preserve">2026-05-22Line2</t>
  </si>
  <si>
    <t xml:space="preserve">2026-05-22Line3</t>
  </si>
  <si>
    <t xml:space="preserve">2026-05-22Line4</t>
  </si>
  <si>
    <t xml:space="preserve">2026-05-22Line5</t>
  </si>
  <si>
    <t xml:space="preserve">2026-05-22Line6</t>
  </si>
  <si>
    <t xml:space="preserve">2026-05-22Line7</t>
  </si>
  <si>
    <t xml:space="preserve">2026-05-22Line8</t>
  </si>
  <si>
    <t xml:space="preserve">2026-05-22Line16</t>
  </si>
  <si>
    <t xml:space="preserve">2026-05-22Line17</t>
  </si>
  <si>
    <t xml:space="preserve">2026-05-23Line2</t>
  </si>
  <si>
    <t xml:space="preserve">2026-05-23Line3</t>
  </si>
  <si>
    <t xml:space="preserve">2026-05-23Line4</t>
  </si>
  <si>
    <t xml:space="preserve">2026-05-23Line5</t>
  </si>
  <si>
    <t xml:space="preserve">2026-05-23Line6</t>
  </si>
  <si>
    <t xml:space="preserve">2026-05-23Line7</t>
  </si>
  <si>
    <t xml:space="preserve">2026-05-23Line8</t>
  </si>
  <si>
    <t xml:space="preserve">2026-05-25Line1</t>
  </si>
  <si>
    <t xml:space="preserve">2026-05-25Line2</t>
  </si>
  <si>
    <t xml:space="preserve">2026-05-25Line3</t>
  </si>
  <si>
    <t xml:space="preserve">2026-05-25Line4</t>
  </si>
  <si>
    <t xml:space="preserve">2026-05-25Line5</t>
  </si>
  <si>
    <t xml:space="preserve">2026-05-25Line6</t>
  </si>
  <si>
    <t xml:space="preserve">2026-05-25Line7</t>
  </si>
  <si>
    <t xml:space="preserve">2026-05-25Line8</t>
  </si>
  <si>
    <t xml:space="preserve">2026-05-26Line1</t>
  </si>
  <si>
    <t xml:space="preserve">2026-05-26Line2</t>
  </si>
  <si>
    <t xml:space="preserve">2026-05-26Line3</t>
  </si>
  <si>
    <t xml:space="preserve">2026-05-26Line4</t>
  </si>
  <si>
    <t xml:space="preserve">2026-05-26Line5</t>
  </si>
  <si>
    <t xml:space="preserve">2026-05-26Line6</t>
  </si>
  <si>
    <t xml:space="preserve">2026-05-26Line7</t>
  </si>
  <si>
    <t xml:space="preserve">2026-05-26Line8</t>
  </si>
  <si>
    <t xml:space="preserve">2026-05-27Line1</t>
  </si>
  <si>
    <t xml:space="preserve">2026-05-27Line2</t>
  </si>
  <si>
    <t xml:space="preserve">2026-05-27Line3</t>
  </si>
  <si>
    <t xml:space="preserve">2026-05-27Line4</t>
  </si>
  <si>
    <t xml:space="preserve">2026-05-27Line5</t>
  </si>
  <si>
    <t xml:space="preserve">2026-05-27Line6</t>
  </si>
  <si>
    <t xml:space="preserve">2026-05-27Line7</t>
  </si>
  <si>
    <t xml:space="preserve">2026-05-27Line8</t>
  </si>
  <si>
    <t xml:space="preserve">2026-05-28Line1</t>
  </si>
  <si>
    <t xml:space="preserve">2026-05-28Line2</t>
  </si>
  <si>
    <t xml:space="preserve">2026-05-28Line3</t>
  </si>
  <si>
    <t xml:space="preserve">2026-05-28Line4</t>
  </si>
  <si>
    <t xml:space="preserve">2026-05-28Line5</t>
  </si>
  <si>
    <t xml:space="preserve">2026-05-28Line6</t>
  </si>
  <si>
    <t xml:space="preserve">2026-05-28Line7</t>
  </si>
  <si>
    <t xml:space="preserve">2026-05-28Line8</t>
  </si>
  <si>
    <t xml:space="preserve">2026-05-29Line1</t>
  </si>
  <si>
    <t xml:space="preserve">2026-05-29Line2</t>
  </si>
  <si>
    <t xml:space="preserve">2026-05-29Line3</t>
  </si>
  <si>
    <t xml:space="preserve">2026-05-29Line4</t>
  </si>
  <si>
    <t xml:space="preserve">2026-05-29Line5</t>
  </si>
  <si>
    <t xml:space="preserve">2026-05-29Line6</t>
  </si>
  <si>
    <t xml:space="preserve">2026-05-29Line7</t>
  </si>
  <si>
    <t xml:space="preserve">2026-05-29Line8</t>
  </si>
  <si>
    <t xml:space="preserve">2026-06-02Line1</t>
  </si>
  <si>
    <t xml:space="preserve">2026-06-02Line2</t>
  </si>
  <si>
    <t xml:space="preserve">2026-06-02Line3</t>
  </si>
  <si>
    <t xml:space="preserve">2026-06-02Line4</t>
  </si>
  <si>
    <t xml:space="preserve">2026-06-02Line5</t>
  </si>
  <si>
    <t xml:space="preserve">2026-06-02Line6</t>
  </si>
  <si>
    <t xml:space="preserve">2026-06-02Line7</t>
  </si>
  <si>
    <t xml:space="preserve">2026-06-02Line8</t>
  </si>
  <si>
    <t xml:space="preserve">2026-06-03Line1</t>
  </si>
  <si>
    <t xml:space="preserve">2026-06-03Line2</t>
  </si>
  <si>
    <t xml:space="preserve">2026-06-03Line3</t>
  </si>
  <si>
    <t xml:space="preserve">2026-06-03Line4</t>
  </si>
  <si>
    <t xml:space="preserve">2026-06-03Line5</t>
  </si>
  <si>
    <t xml:space="preserve">2026-06-03Line6</t>
  </si>
  <si>
    <t xml:space="preserve">2026-06-03Line7</t>
  </si>
  <si>
    <t xml:space="preserve">2026-06-03Line8</t>
  </si>
  <si>
    <t xml:space="preserve">2026-06-04Line1</t>
  </si>
  <si>
    <t xml:space="preserve">2026-06-04Line2</t>
  </si>
  <si>
    <t xml:space="preserve">2026-06-04Line3</t>
  </si>
  <si>
    <t xml:space="preserve">2026-06-04Line4</t>
  </si>
  <si>
    <t xml:space="preserve">2026-06-04Line5</t>
  </si>
  <si>
    <t xml:space="preserve">2026-06-04Line6</t>
  </si>
  <si>
    <t xml:space="preserve">2026-06-04Line7</t>
  </si>
  <si>
    <t xml:space="preserve">2026-06-04Line8</t>
  </si>
  <si>
    <t xml:space="preserve">2026-06-05Line1</t>
  </si>
  <si>
    <t xml:space="preserve">2026-06-05Line2</t>
  </si>
  <si>
    <t xml:space="preserve">2026-06-05Line3</t>
  </si>
  <si>
    <t xml:space="preserve">2026-06-05Line4</t>
  </si>
  <si>
    <t xml:space="preserve">2026-06-05Line5</t>
  </si>
  <si>
    <t xml:space="preserve">2026-06-05Line6</t>
  </si>
  <si>
    <t xml:space="preserve">2026-06-05Line7</t>
  </si>
  <si>
    <t xml:space="preserve">2026-06-05Line8</t>
  </si>
  <si>
    <t xml:space="preserve">2026-06-06Line2</t>
  </si>
  <si>
    <t xml:space="preserve">2026-06-06Line3</t>
  </si>
  <si>
    <t xml:space="preserve">2026-06-06Line4</t>
  </si>
  <si>
    <t xml:space="preserve">2026-06-06Line7</t>
  </si>
  <si>
    <t xml:space="preserve">2026-06-06Line8</t>
  </si>
  <si>
    <t xml:space="preserve">2026-06-08Line1</t>
  </si>
  <si>
    <t xml:space="preserve">2026-06-08Line2</t>
  </si>
  <si>
    <t xml:space="preserve">2026-06-08Line3</t>
  </si>
  <si>
    <t xml:space="preserve">2026-06-08Line4</t>
  </si>
  <si>
    <t xml:space="preserve">2026-06-08Line5</t>
  </si>
  <si>
    <t xml:space="preserve">2026-06-08Line6</t>
  </si>
  <si>
    <t xml:space="preserve">2026-06-08Line7</t>
  </si>
  <si>
    <t xml:space="preserve">2026-06-08Line8</t>
  </si>
  <si>
    <t xml:space="preserve">2026-06-09Line1</t>
  </si>
  <si>
    <t xml:space="preserve">2026-06-09Line2</t>
  </si>
  <si>
    <t xml:space="preserve">2026-06-09Line3</t>
  </si>
  <si>
    <t xml:space="preserve">2026-06-09Line4</t>
  </si>
  <si>
    <t xml:space="preserve">2026-06-09Line5</t>
  </si>
  <si>
    <t xml:space="preserve">2026-06-09Line6</t>
  </si>
  <si>
    <t xml:space="preserve">2026-06-09Line7</t>
  </si>
  <si>
    <t xml:space="preserve">2026-06-09Line8</t>
  </si>
  <si>
    <t xml:space="preserve">2026-06-10Line1</t>
  </si>
  <si>
    <t xml:space="preserve">2026-06-10Line2</t>
  </si>
  <si>
    <t xml:space="preserve">2026-06-10Line3</t>
  </si>
  <si>
    <t xml:space="preserve">2026-06-10Line4</t>
  </si>
  <si>
    <t xml:space="preserve">2026-06-10Line5</t>
  </si>
  <si>
    <t xml:space="preserve">2026-06-10Line7</t>
  </si>
  <si>
    <t xml:space="preserve">2026-06-10Line8</t>
  </si>
  <si>
    <t xml:space="preserve">2026-06-11Line1</t>
  </si>
  <si>
    <t xml:space="preserve">2026-06-11Line2</t>
  </si>
  <si>
    <t xml:space="preserve">2026-06-11Line3</t>
  </si>
  <si>
    <t xml:space="preserve">2026-06-11Line4</t>
  </si>
  <si>
    <t xml:space="preserve">2026-06-11Line7</t>
  </si>
  <si>
    <t xml:space="preserve">2026-06-11Line8</t>
  </si>
  <si>
    <t xml:space="preserve">2026-06-12Line1</t>
  </si>
  <si>
    <t xml:space="preserve">2026-06-12Line2</t>
  </si>
  <si>
    <t xml:space="preserve">2026-06-12Line3</t>
  </si>
  <si>
    <t xml:space="preserve">2026-06-12Line4</t>
  </si>
  <si>
    <t xml:space="preserve">2026-06-12Line7</t>
  </si>
  <si>
    <t xml:space="preserve">2026-06-12Line8</t>
  </si>
  <si>
    <t xml:space="preserve">2026-06-15Line3</t>
  </si>
  <si>
    <t xml:space="preserve">2026-06-15Line4</t>
  </si>
  <si>
    <t xml:space="preserve">2026-06-15Line7</t>
  </si>
  <si>
    <t xml:space="preserve">2026-06-15Line8</t>
  </si>
  <si>
    <t xml:space="preserve">2026-06-16Line4</t>
  </si>
  <si>
    <t xml:space="preserve">2026-06-16Line7</t>
  </si>
  <si>
    <t xml:space="preserve">2026-06-16Line8</t>
  </si>
  <si>
    <t xml:space="preserve">2026-06-17Line4</t>
  </si>
  <si>
    <t xml:space="preserve">2026-06-17Line7</t>
  </si>
  <si>
    <t xml:space="preserve">2026-06-17Line8</t>
  </si>
  <si>
    <t xml:space="preserve">2026-06-18Line4</t>
  </si>
  <si>
    <t xml:space="preserve">2026-06-18Line7</t>
  </si>
  <si>
    <t xml:space="preserve">2026-06-18Line8</t>
  </si>
  <si>
    <t xml:space="preserve">2026-06-19Line4</t>
  </si>
  <si>
    <t xml:space="preserve">2026-06-19Line7</t>
  </si>
  <si>
    <t xml:space="preserve">2026-06-19Line8</t>
  </si>
  <si>
    <t xml:space="preserve">2026-06-20Line8</t>
  </si>
  <si>
    <t xml:space="preserve">2026-06-22Line7</t>
  </si>
  <si>
    <t xml:space="preserve">2026-06-22Line8</t>
  </si>
  <si>
    <t xml:space="preserve">2026-06-23Line8</t>
  </si>
  <si>
    <t xml:space="preserve">2026-06-24Line8</t>
  </si>
  <si>
    <t xml:space="preserve">2026-06-25Line8</t>
  </si>
  <si>
    <t xml:space="preserve">MI FCT - 1</t>
  </si>
  <si>
    <t xml:space="preserve">2026-02-23Line15_FCT_1</t>
  </si>
  <si>
    <t xml:space="preserve">MI FCT - 2</t>
  </si>
  <si>
    <t xml:space="preserve">2026-02-23Line16_FCT_2</t>
  </si>
  <si>
    <t xml:space="preserve">MI FCT - 3</t>
  </si>
  <si>
    <t xml:space="preserve">2026-02-23Line17_FCT_3</t>
  </si>
  <si>
    <t xml:space="preserve">2026-02-24Line15_FCT_1</t>
  </si>
  <si>
    <t xml:space="preserve">2026-02-25Line12_FCT_1</t>
  </si>
  <si>
    <t xml:space="preserve">2026-02-25Line15_FCT_2</t>
  </si>
  <si>
    <t xml:space="preserve">2026-02-26Line12_FCT_1</t>
  </si>
  <si>
    <t xml:space="preserve">2026-02-26Line15_FCT_2</t>
  </si>
  <si>
    <t xml:space="preserve">2026-02-27Line15_FCT_1</t>
  </si>
  <si>
    <t xml:space="preserve">2026-02-27Line16_FCT_2</t>
  </si>
  <si>
    <t xml:space="preserve">2026-03-02Line15_FCT_1</t>
  </si>
  <si>
    <t xml:space="preserve">2026-03-02Line16_FCT_2</t>
  </si>
  <si>
    <t xml:space="preserve">2026-03-03Line15_FCT_1</t>
  </si>
  <si>
    <t xml:space="preserve">2026-03-03Line16_FCT_2</t>
  </si>
  <si>
    <t xml:space="preserve">2026-03-04Line15_FCT_1</t>
  </si>
  <si>
    <t xml:space="preserve">2026-03-04Line16_FCT_2</t>
  </si>
  <si>
    <t xml:space="preserve">2026-03-05Line15_FCT_1</t>
  </si>
  <si>
    <t xml:space="preserve">2026-03-06Line15_FCT_1</t>
  </si>
  <si>
    <t xml:space="preserve">2026-03-09Line13_FCT_1</t>
  </si>
  <si>
    <t xml:space="preserve">2026-03-09Line15_FCT_2</t>
  </si>
  <si>
    <t xml:space="preserve">2026-03-10Line13_FCT_1</t>
  </si>
  <si>
    <t xml:space="preserve">2026-03-10Line15_FCT_2</t>
  </si>
  <si>
    <t xml:space="preserve">2026-03-11Line12_FCT_1</t>
  </si>
  <si>
    <t xml:space="preserve">2026-03-11Line13_FCT_2</t>
  </si>
  <si>
    <t xml:space="preserve">2026-03-11Line15_FCT_3</t>
  </si>
  <si>
    <t xml:space="preserve">MI FCT - 4</t>
  </si>
  <si>
    <t xml:space="preserve">2026-03-11Line16_FCT_4</t>
  </si>
  <si>
    <t xml:space="preserve">2026-03-12Line12_FCT_1</t>
  </si>
  <si>
    <t xml:space="preserve">2026-03-12Line13_FCT_2</t>
  </si>
  <si>
    <t xml:space="preserve">2026-03-12Line15_FCT_3</t>
  </si>
  <si>
    <t xml:space="preserve">2026-03-12Line16_FCT_4</t>
  </si>
  <si>
    <t xml:space="preserve">2026-03-13Line13_FCT_1</t>
  </si>
  <si>
    <t xml:space="preserve">2026-03-13Line15_FCT_2</t>
  </si>
  <si>
    <t xml:space="preserve">2026-03-13Line16_FCT_3</t>
  </si>
  <si>
    <t xml:space="preserve">2026-03-16Line16_FCT_1</t>
  </si>
  <si>
    <t xml:space="preserve">2026-03-17Line14_FCT_1</t>
  </si>
  <si>
    <t xml:space="preserve">2026-03-18Line14_FCT_1</t>
  </si>
  <si>
    <t xml:space="preserve">2026-03-19Line13_FCT_1</t>
  </si>
  <si>
    <t xml:space="preserve">2026-03-19Line14_FCT_2</t>
  </si>
  <si>
    <t xml:space="preserve">2026-03-20Line13_FCT_1</t>
  </si>
  <si>
    <t xml:space="preserve">2026-03-20Line14_FCT_2</t>
  </si>
  <si>
    <t xml:space="preserve">2026-03-23Line13_FCT_1</t>
  </si>
  <si>
    <t xml:space="preserve">2026-03-23Line14_FCT_2</t>
  </si>
  <si>
    <t xml:space="preserve">2026-03-24Line13_FCT_1</t>
  </si>
  <si>
    <t xml:space="preserve">2026-03-24Line15_FCT_2</t>
  </si>
  <si>
    <t xml:space="preserve">2026-03-25Line15_FCT_1</t>
  </si>
  <si>
    <t xml:space="preserve">2026-03-26Line15_FCT_1</t>
  </si>
  <si>
    <t xml:space="preserve">2026-03-27Line15_FCT_1</t>
  </si>
  <si>
    <t xml:space="preserve">2026-03-27Line16_FCT_2</t>
  </si>
  <si>
    <t xml:space="preserve">2026-03-30Line15_FCT_1</t>
  </si>
  <si>
    <t xml:space="preserve">2026-03-30Line16_FCT_2</t>
  </si>
  <si>
    <t xml:space="preserve">2026-03-31Line15_FCT_1</t>
  </si>
  <si>
    <t xml:space="preserve">2026-03-31Line16_FCT_2</t>
  </si>
  <si>
    <t xml:space="preserve">2026-04-02Line15_FCT_1</t>
  </si>
  <si>
    <t xml:space="preserve">2026-04-02Line16_FCT_2</t>
  </si>
  <si>
    <t xml:space="preserve">2026-04-03Line15_FCT_1</t>
  </si>
  <si>
    <t xml:space="preserve">2026-04-03Line16_FCT_2</t>
  </si>
  <si>
    <t xml:space="preserve">2026-04-06Line14_FCT_1</t>
  </si>
  <si>
    <t xml:space="preserve">2026-04-06Line15_FCT_2</t>
  </si>
  <si>
    <t xml:space="preserve">2026-04-06Line16_FCT_3</t>
  </si>
  <si>
    <t xml:space="preserve">2026-04-07Line14_FCT_1</t>
  </si>
  <si>
    <t xml:space="preserve">2026-04-07Line15_FCT_2</t>
  </si>
  <si>
    <t xml:space="preserve">2026-04-07Line16_FCT_3</t>
  </si>
  <si>
    <t xml:space="preserve">2026-04-08Line13_FCT_1</t>
  </si>
  <si>
    <t xml:space="preserve">2026-04-08Line16_FCT_2</t>
  </si>
  <si>
    <t xml:space="preserve">2026-04-09Line14_FCT_1</t>
  </si>
  <si>
    <t xml:space="preserve">2026-04-09Line16_FCT_2</t>
  </si>
  <si>
    <t xml:space="preserve">2026-04-10Line17_FCT_1</t>
  </si>
  <si>
    <t xml:space="preserve">2026-04-13Line15_FCT_1</t>
  </si>
  <si>
    <t xml:space="preserve">2026-04-13Line17_FCT_2</t>
  </si>
  <si>
    <t xml:space="preserve">2026-04-14Line15_FCT_1</t>
  </si>
  <si>
    <t xml:space="preserve">2026-04-14Line16_FCT_2</t>
  </si>
  <si>
    <t xml:space="preserve">2026-04-14Line17_FCT_3</t>
  </si>
  <si>
    <t xml:space="preserve">2026-04-15Line15_FCT_1</t>
  </si>
  <si>
    <t xml:space="preserve">2026-04-15Line16_FCT_2</t>
  </si>
  <si>
    <t xml:space="preserve">2026-04-16Line15_FCT_1</t>
  </si>
  <si>
    <t xml:space="preserve">2026-04-16Line16_FCT_2</t>
  </si>
  <si>
    <t xml:space="preserve">2026-04-17Line15_FCT_1</t>
  </si>
  <si>
    <t xml:space="preserve">2026-04-17Line16_FCT_2</t>
  </si>
  <si>
    <t xml:space="preserve">2026-04-18Line15_FCT_1</t>
  </si>
  <si>
    <t xml:space="preserve">2026-04-20Line15_FCT_1</t>
  </si>
  <si>
    <t xml:space="preserve">2026-04-20Line16_FCT_2</t>
  </si>
  <si>
    <t xml:space="preserve">2026-04-21Line14_FCT_1</t>
  </si>
  <si>
    <t xml:space="preserve">2026-04-21Line15_FCT_2</t>
  </si>
  <si>
    <t xml:space="preserve">2026-04-22Line14_FCT_1</t>
  </si>
  <si>
    <t xml:space="preserve">2026-04-22Line15_FCT_2</t>
  </si>
  <si>
    <t xml:space="preserve">2026-04-23Line14_FCT_1</t>
  </si>
  <si>
    <t xml:space="preserve">2026-04-23Line15_FCT_2</t>
  </si>
  <si>
    <t xml:space="preserve">2026-04-24Line14_FCT_1</t>
  </si>
  <si>
    <t xml:space="preserve">2026-04-24Line15_FCT_2</t>
  </si>
  <si>
    <t xml:space="preserve">2026-04-24Line16_FCT_3</t>
  </si>
  <si>
    <t xml:space="preserve">2026-04-27Line12_FCT_1</t>
  </si>
  <si>
    <t xml:space="preserve">2026-04-28Line14_FCT_1</t>
  </si>
  <si>
    <t xml:space="preserve">2026-04-28Line15_FCT_2</t>
  </si>
  <si>
    <t xml:space="preserve">2026-04-28Line16_FCT_3</t>
  </si>
  <si>
    <t xml:space="preserve">2026-04-29Line14_FCT_1</t>
  </si>
  <si>
    <t xml:space="preserve">2026-04-29Line15_FCT_2</t>
  </si>
  <si>
    <t xml:space="preserve">2026-04-29Line16_FCT_3</t>
  </si>
  <si>
    <t xml:space="preserve">2026-05-04Line15_FCT_1</t>
  </si>
  <si>
    <t xml:space="preserve">2026-05-04Line17_FCT_2</t>
  </si>
  <si>
    <t xml:space="preserve">2026-05-05Line15_FCT_1</t>
  </si>
  <si>
    <t xml:space="preserve">2026-05-05Line17_FCT_2</t>
  </si>
  <si>
    <t xml:space="preserve">2026-05-06Line15_FCT_1</t>
  </si>
  <si>
    <t xml:space="preserve">2026-05-07Line15_FCT_1</t>
  </si>
  <si>
    <t xml:space="preserve">2026-05-08Line15_FCT_1</t>
  </si>
  <si>
    <t xml:space="preserve">2026-05-11Line15_FCT_1</t>
  </si>
  <si>
    <t xml:space="preserve">2026-05-11Line16_FCT_2</t>
  </si>
  <si>
    <t xml:space="preserve">2026-05-12Line15_FCT_1</t>
  </si>
  <si>
    <t xml:space="preserve">2026-05-12Line16_FCT_2</t>
  </si>
  <si>
    <t xml:space="preserve">2026-05-13Line16_FCT_1</t>
  </si>
  <si>
    <t xml:space="preserve">2026-05-14Line16_FCT_1</t>
  </si>
  <si>
    <t xml:space="preserve">2026-05-15Line15_FCT_1</t>
  </si>
  <si>
    <t xml:space="preserve">2026-05-15Line16_FCT_2</t>
  </si>
  <si>
    <t xml:space="preserve">2026-05-15Line17_FCT_3</t>
  </si>
  <si>
    <r>
      <rPr>
        <b val="true"/>
        <i val="true"/>
        <sz val="9"/>
        <color rgb="FF000000"/>
        <rFont val="Arial"/>
        <family val="2"/>
      </rPr>
      <t xml:space="preserve">From: Wendy/Joyce/Mary</t>
    </r>
    <r>
      <rPr>
        <sz val="9"/>
        <color rgb="FF000000"/>
        <rFont val="宋体"/>
        <family val="0"/>
      </rPr>
      <t xml:space="preserve">　　　　　</t>
    </r>
    <r>
      <rPr>
        <sz val="9"/>
        <color rgb="FF000000"/>
        <rFont val="Microsoft YaHei"/>
        <family val="2"/>
      </rPr>
      <t xml:space="preserve">               </t>
    </r>
  </si>
  <si>
    <t xml:space="preserve">Approved By: Fanny, Amy, Lily,Ping, Yliang, SyDai</t>
  </si>
  <si>
    <t xml:space="preserve">VN PRODUCTION PLAN  (WK10-12) (Hasbro &amp; LogTag  &amp; Roland )(P1 OF 1)                                                                               </t>
  </si>
  <si>
    <t xml:space="preserve">Working hour:</t>
  </si>
  <si>
    <t xml:space="preserve">lineV1-101</t>
  </si>
  <si>
    <t xml:space="preserve">'03/09-03/16</t>
  </si>
  <si>
    <t xml:space="preserve">'03/23</t>
  </si>
  <si>
    <t xml:space="preserve">'03/30</t>
  </si>
  <si>
    <t xml:space="preserve">‘03/30</t>
  </si>
  <si>
    <t xml:space="preserve">04/06</t>
  </si>
  <si>
    <t xml:space="preserve">'04/13</t>
  </si>
  <si>
    <t xml:space="preserve">'05/04-05/11</t>
  </si>
  <si>
    <t xml:space="preserve">'04/27</t>
  </si>
  <si>
    <t xml:space="preserve">'05/04→ late</t>
  </si>
  <si>
    <t xml:space="preserve">'05/18</t>
  </si>
  <si>
    <t xml:space="preserve">06/01</t>
  </si>
  <si>
    <t xml:space="preserve">‘06/01</t>
  </si>
  <si>
    <t xml:space="preserve">‘06/15</t>
  </si>
  <si>
    <t xml:space="preserve">‘06/22</t>
  </si>
  <si>
    <t xml:space="preserve">06/15’</t>
  </si>
  <si>
    <t xml:space="preserve">06/22’</t>
  </si>
  <si>
    <t xml:space="preserve">E93835L02</t>
  </si>
  <si>
    <t xml:space="preserve">E9383B072</t>
  </si>
  <si>
    <t xml:space="preserve">F75650000</t>
  </si>
  <si>
    <t xml:space="preserve">G3280FW10</t>
  </si>
  <si>
    <t xml:space="preserve">B0639CP08</t>
  </si>
  <si>
    <t xml:space="preserve">G2800MCA1</t>
  </si>
  <si>
    <t xml:space="preserve">G2801FW10</t>
  </si>
  <si>
    <t xml:space="preserve">G28011010</t>
  </si>
  <si>
    <t xml:space="preserve">B0640US47</t>
  </si>
  <si>
    <t xml:space="preserve">▼24000 (Ready 7880)</t>
  </si>
  <si>
    <t xml:space="preserve">▼10002</t>
  </si>
  <si>
    <t xml:space="preserve">▼5004</t>
  </si>
  <si>
    <t xml:space="preserve">▼6000</t>
  </si>
  <si>
    <t xml:space="preserve">▼3000</t>
  </si>
  <si>
    <t xml:space="preserve">▼24000</t>
  </si>
  <si>
    <t xml:space="preserve">▼5400</t>
  </si>
  <si>
    <t xml:space="preserve">▼12384</t>
  </si>
  <si>
    <t xml:space="preserve">▼7164</t>
  </si>
  <si>
    <t xml:space="preserve">▼5952</t>
  </si>
  <si>
    <t xml:space="preserve">Date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</si>
  <si>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</si>
  <si>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</si>
  <si>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</si>
  <si>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</si>
  <si>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</si>
  <si>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Plan</t>
  </si>
  <si>
    <t xml:space="preserve">Mat’s ready</t>
  </si>
  <si>
    <t xml:space="preserve">ETD 02/26 except batteries ETD 03/02: 2160</t>
  </si>
  <si>
    <t xml:space="preserve">ETD 02/26</t>
  </si>
  <si>
    <t xml:space="preserve">So date: 03/03</t>
  </si>
  <si>
    <t xml:space="preserve">So date: 03/16</t>
  </si>
  <si>
    <t xml:space="preserve">SO 04/06</t>
  </si>
  <si>
    <t xml:space="preserve">So date: 04/15</t>
  </si>
  <si>
    <t xml:space="preserve">Labor</t>
  </si>
  <si>
    <t xml:space="preserve">OP Shortage</t>
  </si>
  <si>
    <t xml:space="preserve">lineV1-102</t>
  </si>
  <si>
    <t xml:space="preserve">03/02 4000 03/02 8284</t>
  </si>
  <si>
    <t xml:space="preserve">'03/09/26 → Aug</t>
  </si>
  <si>
    <t xml:space="preserve">04/13/26</t>
  </si>
  <si>
    <t xml:space="preserve">‘03/23</t>
  </si>
  <si>
    <t xml:space="preserve">04/06/-04/13</t>
  </si>
  <si>
    <t xml:space="preserve">‘04/27</t>
  </si>
  <si>
    <t xml:space="preserve">‘05/04</t>
  </si>
  <si>
    <t xml:space="preserve">‘05/11</t>
  </si>
  <si>
    <t xml:space="preserve">‘05/18</t>
  </si>
  <si>
    <t xml:space="preserve">'05/25</t>
  </si>
  <si>
    <t xml:space="preserve">06/8</t>
  </si>
  <si>
    <t xml:space="preserve">'06/15</t>
  </si>
  <si>
    <t xml:space="preserve">'06/22</t>
  </si>
  <si>
    <t xml:space="preserve">G34170000</t>
  </si>
  <si>
    <t xml:space="preserve">G34150000</t>
  </si>
  <si>
    <t xml:space="preserve">765988320011</t>
  </si>
  <si>
    <t xml:space="preserve">E63930001</t>
  </si>
  <si>
    <t xml:space="preserve">E63931021</t>
  </si>
  <si>
    <t xml:space="preserve">E63931001</t>
  </si>
  <si>
    <t xml:space="preserve">E63935731</t>
  </si>
  <si>
    <t xml:space="preserve">▼12284 (Ready 1763)</t>
  </si>
  <si>
    <t xml:space="preserve">▼25000</t>
  </si>
  <si>
    <t xml:space="preserve">▼22848</t>
  </si>
  <si>
    <t xml:space="preserve">▼29040</t>
  </si>
  <si>
    <t xml:space="preserve">▼30000</t>
  </si>
  <si>
    <t xml:space="preserve">▼10000</t>
  </si>
  <si>
    <t xml:space="preserve">▼10096</t>
  </si>
  <si>
    <t xml:space="preserve">▼15000</t>
  </si>
  <si>
    <t xml:space="preserve">▼11292</t>
  </si>
  <si>
    <t xml:space="preserve">▼6972</t>
  </si>
  <si>
    <t xml:space="preserve">▼8370</t>
  </si>
  <si>
    <t xml:space="preserve">▼8238</t>
  </si>
  <si>
    <t xml:space="preserve">▼15768</t>
  </si>
  <si>
    <t xml:space="preserve"> </t>
  </si>
  <si>
    <t xml:space="preserve">Mat’s ready 716-19012-30-00: 1957 pcs ETD:02/26</t>
  </si>
  <si>
    <t xml:space="preserve">So date: 03/05</t>
  </si>
  <si>
    <t xml:space="preserve">ETD 03/03</t>
  </si>
  <si>
    <t xml:space="preserve">11hrs</t>
  </si>
  <si>
    <t xml:space="preserve">Refer to V1-103</t>
  </si>
  <si>
    <t xml:space="preserve">so date: 04/05</t>
  </si>
  <si>
    <t xml:space="preserve">so date: 04/15</t>
  </si>
  <si>
    <t xml:space="preserve">lineV1-103</t>
  </si>
  <si>
    <t xml:space="preserve">03/02</t>
  </si>
  <si>
    <t xml:space="preserve">'03/16</t>
  </si>
  <si>
    <t xml:space="preserve">'04/20</t>
  </si>
  <si>
    <t xml:space="preserve">05/04</t>
  </si>
  <si>
    <t xml:space="preserve">05/11</t>
  </si>
  <si>
    <t xml:space="preserve">E6393B073</t>
  </si>
  <si>
    <t xml:space="preserve">29189L202</t>
  </si>
  <si>
    <t xml:space="preserve">▼5316</t>
  </si>
  <si>
    <t xml:space="preserve">▼6900</t>
  </si>
  <si>
    <t xml:space="preserve">▼14502</t>
  </si>
  <si>
    <t xml:space="preserve">▼10470</t>
  </si>
  <si>
    <t xml:space="preserve">▼5418</t>
  </si>
  <si>
    <t xml:space="preserve">▼19002</t>
  </si>
  <si>
    <t xml:space="preserve">▼5100</t>
  </si>
  <si>
    <t xml:space="preserve">▼7038</t>
  </si>
  <si>
    <t xml:space="preserve">Transfer OP to injection department</t>
  </si>
  <si>
    <t xml:space="preserve">This Line No OT</t>
  </si>
  <si>
    <t xml:space="preserve">ETD 03/02</t>
  </si>
  <si>
    <t xml:space="preserve">So date 03/16: 24k bal so 04/05</t>
  </si>
  <si>
    <t xml:space="preserve">So date: 05/05</t>
  </si>
  <si>
    <t xml:space="preserve">lineV1-104</t>
  </si>
  <si>
    <t xml:space="preserve">‘02/09 – 02/23 ppr, 02/27 inspection</t>
  </si>
  <si>
    <t xml:space="preserve">02/27 PPR</t>
  </si>
  <si>
    <t xml:space="preserve">‘03/16-03/30</t>
  </si>
  <si>
    <t xml:space="preserve">‘03/30-04/06: 03/16 start production</t>
  </si>
  <si>
    <t xml:space="preserve">‘04/06</t>
  </si>
  <si>
    <t xml:space="preserve">‘04/06-04/27</t>
  </si>
  <si>
    <t xml:space="preserve">‘05/04-05/11</t>
  </si>
  <si>
    <t xml:space="preserve">'05/11-05/18</t>
  </si>
  <si>
    <t xml:space="preserve">‘05/18-05/25</t>
  </si>
  <si>
    <t xml:space="preserve">‘06/01-06/15→ late</t>
  </si>
  <si>
    <t xml:space="preserve">G2796UU61</t>
  </si>
  <si>
    <t xml:space="preserve">G2919UU00</t>
  </si>
  <si>
    <t xml:space="preserve">G29195730</t>
  </si>
  <si>
    <t xml:space="preserve">G29190920</t>
  </si>
  <si>
    <t xml:space="preserve">▼5000</t>
  </si>
  <si>
    <t xml:space="preserve">▼1000</t>
  </si>
  <si>
    <t xml:space="preserve">▼12000</t>
  </si>
  <si>
    <t xml:space="preserve">▼11000</t>
  </si>
  <si>
    <t xml:space="preserve">▼41000</t>
  </si>
  <si>
    <t xml:space="preserve">▼6500</t>
  </si>
  <si>
    <t xml:space="preserve">▼23972</t>
  </si>
  <si>
    <t xml:space="preserve">▼24392</t>
  </si>
  <si>
    <t xml:space="preserve">▼6880</t>
  </si>
  <si>
    <t xml:space="preserve">▼5344</t>
  </si>
  <si>
    <t xml:space="preserve">▼63000</t>
  </si>
  <si>
    <t xml:space="preserve">Stop line due to shortage OP</t>
  </si>
  <si>
    <t xml:space="preserve">So date: 03/05: 31k, bal So 03/16</t>
  </si>
  <si>
    <t xml:space="preserve">LineV1-105</t>
  </si>
  <si>
    <t xml:space="preserve">03/09</t>
  </si>
  <si>
    <t xml:space="preserve">‘03/30-04/06</t>
  </si>
  <si>
    <t xml:space="preserve">03/30</t>
  </si>
  <si>
    <t xml:space="preserve">04/06-04/20</t>
  </si>
  <si>
    <t xml:space="preserve">06/08</t>
  </si>
  <si>
    <t xml:space="preserve">G09510001</t>
  </si>
  <si>
    <t xml:space="preserve">G09511031</t>
  </si>
  <si>
    <t xml:space="preserve">G09515731</t>
  </si>
  <si>
    <t xml:space="preserve">G28011000</t>
  </si>
  <si>
    <t xml:space="preserve">G28011030</t>
  </si>
  <si>
    <t xml:space="preserve">▼25668 (Ready19051)</t>
  </si>
  <si>
    <t xml:space="preserve">▼9000</t>
  </si>
  <si>
    <t xml:space="preserve">▼6504</t>
  </si>
  <si>
    <t xml:space="preserve">▼10008</t>
  </si>
  <si>
    <t xml:space="preserve">▼3300</t>
  </si>
  <si>
    <t xml:space="preserve">▼38184</t>
  </si>
  <si>
    <t xml:space="preserve">▼12756</t>
  </si>
  <si>
    <t xml:space="preserve">▼46200</t>
  </si>
  <si>
    <t xml:space="preserve">▼51204</t>
  </si>
  <si>
    <t xml:space="preserve">▼46146</t>
  </si>
  <si>
    <t xml:space="preserve">▼38250</t>
  </si>
  <si>
    <t xml:space="preserve">▼5058</t>
  </si>
  <si>
    <t xml:space="preserve">ETD 02/26 Shortage 881-22004-01-00 ETD 03/03</t>
  </si>
  <si>
    <t xml:space="preserve">Shortage:381-25018-01-00  ETD 02/26 By Fedex ,750-25018-01-00/750-25018-02-00 ETA 03/11 MPVN</t>
  </si>
  <si>
    <t xml:space="preserve">ETD 03/03 Shortage 455-57006-20-01 ETD 03/16</t>
  </si>
  <si>
    <t xml:space="preserve">Shortage 445-57006-20-01  ETD 03/17,750-25018-01-00 ETA 03/17 MPVN</t>
  </si>
  <si>
    <t xml:space="preserve">So date 03/20</t>
  </si>
  <si>
    <t xml:space="preserve">LineV1-106</t>
  </si>
  <si>
    <t xml:space="preserve">G09511041</t>
  </si>
  <si>
    <t xml:space="preserve">▼5022</t>
  </si>
  <si>
    <t xml:space="preserve">▼11982</t>
  </si>
  <si>
    <t xml:space="preserve">Refer to V1-105</t>
  </si>
  <si>
    <t xml:space="preserve">LineV1-107</t>
  </si>
  <si>
    <t xml:space="preserve">05/11 PPR</t>
  </si>
  <si>
    <t xml:space="preserve">'06/01-06/08</t>
  </si>
  <si>
    <t xml:space="preserve">'06/15-06/22</t>
  </si>
  <si>
    <t xml:space="preserve">E93835B072</t>
  </si>
  <si>
    <t xml:space="preserve">G3430FW10</t>
  </si>
  <si>
    <t xml:space="preserve">▼10236</t>
  </si>
  <si>
    <t xml:space="preserve">▼11052</t>
  </si>
  <si>
    <t xml:space="preserve">▼7242</t>
  </si>
  <si>
    <t xml:space="preserve">▼48000</t>
  </si>
  <si>
    <t xml:space="preserve">▼1002</t>
  </si>
  <si>
    <t xml:space="preserve">▼16000</t>
  </si>
  <si>
    <t xml:space="preserve">Line rate need TBC by PIE</t>
  </si>
  <si>
    <t xml:space="preserve">▼29004</t>
  </si>
  <si>
    <t xml:space="preserve">▼23000</t>
  </si>
  <si>
    <t xml:space="preserve">SO date: 03/05</t>
  </si>
  <si>
    <t xml:space="preserve">So date: 04/05</t>
  </si>
  <si>
    <t xml:space="preserve">So date: 03/16: 15k, bal 04/05</t>
  </si>
  <si>
    <t xml:space="preserve">LineV1-108</t>
  </si>
  <si>
    <t xml:space="preserve">04/13 PPR</t>
  </si>
  <si>
    <t xml:space="preserve">04/20 PPR</t>
  </si>
  <si>
    <t xml:space="preserve">05/18</t>
  </si>
  <si>
    <t xml:space="preserve">05/25</t>
  </si>
  <si>
    <t xml:space="preserve">'06/01-06/08→ late</t>
  </si>
  <si>
    <t xml:space="preserve">'06/08→ late</t>
  </si>
  <si>
    <t xml:space="preserve">06/15→ late</t>
  </si>
  <si>
    <t xml:space="preserve">06/22→ late</t>
  </si>
  <si>
    <t xml:space="preserve">G3172FW10</t>
  </si>
  <si>
    <t xml:space="preserve">G3173FW10</t>
  </si>
  <si>
    <t xml:space="preserve">G3174FW10</t>
  </si>
  <si>
    <t xml:space="preserve">G3175FW10</t>
  </si>
  <si>
    <t xml:space="preserve">G3176FW10</t>
  </si>
  <si>
    <t xml:space="preserve">G3177FW10</t>
  </si>
  <si>
    <t xml:space="preserve">G06110001</t>
  </si>
  <si>
    <t xml:space="preserve">G06115731</t>
  </si>
  <si>
    <t xml:space="preserve">G06111021</t>
  </si>
  <si>
    <t xml:space="preserve">G06111001</t>
  </si>
  <si>
    <t xml:space="preserve">▼10024</t>
  </si>
  <si>
    <t xml:space="preserve">▼2000</t>
  </si>
  <si>
    <t xml:space="preserve">▼4000</t>
  </si>
  <si>
    <t xml:space="preserve">▼9000 TBS</t>
  </si>
  <si>
    <t xml:space="preserve">So date: 02/03</t>
  </si>
  <si>
    <t xml:space="preserve">LineV1-109</t>
  </si>
  <si>
    <r>
      <rPr>
        <b val="true"/>
        <sz val="9"/>
        <color rgb="FF000000"/>
        <rFont val="Arial"/>
        <family val="2"/>
      </rPr>
      <t xml:space="preserve">Feb</t>
    </r>
    <r>
      <rPr>
        <b val="true"/>
        <sz val="9"/>
        <color rgb="FF000000"/>
        <rFont val="宋体"/>
        <family val="0"/>
        <charset val="134"/>
      </rPr>
      <t xml:space="preserve">收到</t>
    </r>
    <r>
      <rPr>
        <b val="true"/>
        <sz val="9"/>
        <color rgb="FF000000"/>
        <rFont val="Arial"/>
        <family val="2"/>
      </rPr>
      <t xml:space="preserve">ASM</t>
    </r>
  </si>
  <si>
    <t xml:space="preserve">Feb</t>
  </si>
  <si>
    <t xml:space="preserve">PO-00002274/2202</t>
  </si>
  <si>
    <t xml:space="preserve">PO-00002299</t>
  </si>
  <si>
    <t xml:space="preserve">PO-00002300</t>
  </si>
  <si>
    <t xml:space="preserve">PO-00002296</t>
  </si>
  <si>
    <t xml:space="preserve">PO-00002253</t>
  </si>
  <si>
    <t xml:space="preserve">PO-00002373</t>
  </si>
  <si>
    <t xml:space="preserve">PO-00002337</t>
  </si>
  <si>
    <t xml:space="preserve">PO-00002368</t>
  </si>
  <si>
    <r>
      <rPr>
        <sz val="8"/>
        <color rgb="FF0000FF"/>
        <rFont val="Arial"/>
        <family val="2"/>
      </rPr>
      <t xml:space="preserve">▼546</t>
    </r>
    <r>
      <rPr>
        <sz val="8"/>
        <color rgb="FF0000FF"/>
        <rFont val="宋体"/>
        <family val="0"/>
        <charset val="134"/>
      </rPr>
      <t xml:space="preserve">(可与线配套冰冻)</t>
    </r>
  </si>
  <si>
    <t xml:space="preserve">▼3002</t>
  </si>
  <si>
    <t xml:space="preserve">▼5002</t>
  </si>
  <si>
    <r>
      <rPr>
        <sz val="8"/>
        <color rgb="FF0000FF"/>
        <rFont val="Arial"/>
        <family val="2"/>
      </rPr>
      <t xml:space="preserve">▼1047</t>
    </r>
    <r>
      <rPr>
        <sz val="8"/>
        <color rgb="FF0000FF"/>
        <rFont val="宋体"/>
        <family val="0"/>
        <charset val="134"/>
      </rPr>
      <t xml:space="preserve">(可与线配套冰冻)</t>
    </r>
  </si>
  <si>
    <t xml:space="preserve">▼25005</t>
  </si>
  <si>
    <t xml:space="preserve">▼2002</t>
  </si>
  <si>
    <t xml:space="preserve">放假</t>
  </si>
  <si>
    <t xml:space="preserve"> ETD 03/03 Shortage 843-10015-04-00 RTD 03/16 ,421-10902-30-10 ETA 03/25 MPVN</t>
  </si>
  <si>
    <t xml:space="preserve">So date: 2/12</t>
  </si>
  <si>
    <t xml:space="preserve">ETD 02/05</t>
  </si>
  <si>
    <t xml:space="preserve">LineV1-110</t>
  </si>
  <si>
    <r>
      <rPr>
        <b val="true"/>
        <sz val="9"/>
        <color rgb="FF000000"/>
        <rFont val="Arial"/>
        <family val="2"/>
      </rPr>
      <t xml:space="preserve">Mar</t>
    </r>
    <r>
      <rPr>
        <b val="true"/>
        <sz val="9"/>
        <color rgb="FF000000"/>
        <rFont val="宋体"/>
        <family val="0"/>
        <charset val="134"/>
      </rPr>
      <t xml:space="preserve">收到</t>
    </r>
    <r>
      <rPr>
        <b val="true"/>
        <sz val="9"/>
        <color rgb="FF000000"/>
        <rFont val="Arial"/>
        <family val="2"/>
      </rPr>
      <t xml:space="preserve">ASM</t>
    </r>
  </si>
  <si>
    <r>
      <rPr>
        <b val="true"/>
        <sz val="9"/>
        <color rgb="FF000000"/>
        <rFont val="Arial"/>
        <family val="2"/>
      </rPr>
      <t xml:space="preserve">Mar</t>
    </r>
    <r>
      <rPr>
        <b val="true"/>
        <sz val="9"/>
        <color rgb="FF000000"/>
        <rFont val="宋体"/>
        <family val="0"/>
        <charset val="134"/>
      </rPr>
      <t xml:space="preserve">（要如期生产）</t>
    </r>
  </si>
  <si>
    <t xml:space="preserve">PO-00002316</t>
  </si>
  <si>
    <t xml:space="preserve">PO-00002322</t>
  </si>
  <si>
    <t xml:space="preserve">PO-00002336</t>
  </si>
  <si>
    <t xml:space="preserve">PO-00002342</t>
  </si>
  <si>
    <t xml:space="preserve">PO-00002249</t>
  </si>
  <si>
    <t xml:space="preserve">PO-00002346</t>
  </si>
  <si>
    <t xml:space="preserve">PO-00002341</t>
  </si>
  <si>
    <t xml:space="preserve">PO-00002338</t>
  </si>
  <si>
    <t xml:space="preserve">PO-00002344</t>
  </si>
  <si>
    <t xml:space="preserve">PO-00002340</t>
  </si>
  <si>
    <t xml:space="preserve">PO-00002371</t>
  </si>
  <si>
    <t xml:space="preserve">PO-00002372</t>
  </si>
  <si>
    <t xml:space="preserve">PO-00002406</t>
  </si>
  <si>
    <t xml:space="preserve">PO-00002446</t>
  </si>
  <si>
    <t xml:space="preserve">▼1473</t>
  </si>
  <si>
    <r>
      <rPr>
        <sz val="8"/>
        <color rgb="FF0000FF"/>
        <rFont val="Arial"/>
        <family val="2"/>
      </rPr>
      <t xml:space="preserve">▼5002(</t>
    </r>
    <r>
      <rPr>
        <sz val="8"/>
        <color rgb="FF0000FF"/>
        <rFont val="宋体"/>
        <family val="0"/>
        <charset val="134"/>
      </rPr>
      <t xml:space="preserve">可与线配套冰冻</t>
    </r>
    <r>
      <rPr>
        <sz val="8"/>
        <color rgb="FF0000FF"/>
        <rFont val="Arial"/>
        <family val="2"/>
      </rPr>
      <t xml:space="preserve">)</t>
    </r>
  </si>
  <si>
    <t xml:space="preserve">▼10614</t>
  </si>
  <si>
    <r>
      <rPr>
        <sz val="8"/>
        <color rgb="FF0000FF"/>
        <rFont val="Arial"/>
        <family val="2"/>
      </rPr>
      <t xml:space="preserve">▼3000</t>
    </r>
    <r>
      <rPr>
        <sz val="8"/>
        <color rgb="FF0000FF"/>
        <rFont val="宋体"/>
        <family val="0"/>
        <charset val="134"/>
      </rPr>
      <t xml:space="preserve">提前焗物料</t>
    </r>
    <r>
      <rPr>
        <sz val="8"/>
        <color rgb="FF0000FF"/>
        <rFont val="Arial"/>
        <family val="2"/>
      </rPr>
      <t xml:space="preserve">&amp;PCBA</t>
    </r>
  </si>
  <si>
    <r>
      <rPr>
        <sz val="8"/>
        <color rgb="FF0000FF"/>
        <rFont val="Arial"/>
        <family val="2"/>
      </rPr>
      <t xml:space="preserve">▼2002(</t>
    </r>
    <r>
      <rPr>
        <sz val="8"/>
        <color rgb="FF0000FF"/>
        <rFont val="宋体"/>
        <family val="0"/>
        <charset val="134"/>
      </rPr>
      <t xml:space="preserve">可与线配套冰冻</t>
    </r>
    <r>
      <rPr>
        <sz val="8"/>
        <color rgb="FF0000FF"/>
        <rFont val="Arial"/>
        <family val="2"/>
      </rPr>
      <t xml:space="preserve">)</t>
    </r>
  </si>
  <si>
    <t xml:space="preserve">▼2500</t>
  </si>
  <si>
    <r>
      <rPr>
        <sz val="8"/>
        <color rgb="FF0000FF"/>
        <rFont val="Arial"/>
        <family val="2"/>
      </rPr>
      <t xml:space="preserve">▼4002(</t>
    </r>
    <r>
      <rPr>
        <sz val="8"/>
        <color rgb="FF0000FF"/>
        <rFont val="宋体"/>
        <family val="0"/>
        <charset val="134"/>
      </rPr>
      <t xml:space="preserve">可与线配套冰冻</t>
    </r>
    <r>
      <rPr>
        <sz val="8"/>
        <color rgb="FF0000FF"/>
        <rFont val="Arial"/>
        <family val="2"/>
      </rPr>
      <t xml:space="preserve">)</t>
    </r>
  </si>
  <si>
    <t xml:space="preserve">▼4002</t>
  </si>
  <si>
    <t xml:space="preserve">▼9002</t>
  </si>
  <si>
    <t xml:space="preserve">Shortage 701-1340010 etd 02/26</t>
  </si>
  <si>
    <t xml:space="preserve"> ETD 03/03 Shortage 381-17021-04-00 ETD TBA</t>
  </si>
  <si>
    <t xml:space="preserve">ETD 03/03 Shortage 351-01068-02-00 ETD TBA</t>
  </si>
  <si>
    <t xml:space="preserve">ETD 03/03 Shortage 364-14011-07-00 ETD TBA,843-10015-04-00 RTD 03/16</t>
  </si>
  <si>
    <t xml:space="preserve">Shortage 351-01068-02-00 ETD TBA</t>
  </si>
  <si>
    <t xml:space="preserve">So date: 3/13</t>
  </si>
  <si>
    <t xml:space="preserve">So date: 3/16</t>
  </si>
  <si>
    <t xml:space="preserve">ETD 02/02 Shortage 381-15014-03-00 by 01/30MPVN</t>
  </si>
  <si>
    <t xml:space="preserve">LineV1-111</t>
  </si>
  <si>
    <r>
      <rPr>
        <b val="true"/>
        <sz val="9"/>
        <color rgb="FF000000"/>
        <rFont val="Arial"/>
        <family val="2"/>
      </rPr>
      <t xml:space="preserve">Mar</t>
    </r>
    <r>
      <rPr>
        <b val="true"/>
        <sz val="9"/>
        <color rgb="FF000000"/>
        <rFont val="宋体"/>
        <family val="0"/>
        <charset val="134"/>
      </rPr>
      <t xml:space="preserve">收到包装</t>
    </r>
  </si>
  <si>
    <t xml:space="preserve">( 8 OP packing )</t>
  </si>
  <si>
    <t xml:space="preserve">PO-00002352/2309</t>
  </si>
  <si>
    <t xml:space="preserve">PO-00002308</t>
  </si>
  <si>
    <t xml:space="preserve">PO-00002375</t>
  </si>
  <si>
    <t xml:space="preserve">PO-00002297</t>
  </si>
  <si>
    <t xml:space="preserve">PO-00002350</t>
  </si>
  <si>
    <t xml:space="preserve">PO-00002339</t>
  </si>
  <si>
    <t xml:space="preserve">PO-00002326</t>
  </si>
  <si>
    <t xml:space="preserve">PO-00002306</t>
  </si>
  <si>
    <t xml:space="preserve">PO-00002370</t>
  </si>
  <si>
    <t xml:space="preserve">PO-00002369</t>
  </si>
  <si>
    <t xml:space="preserve">▼402/502</t>
  </si>
  <si>
    <t xml:space="preserve">▼502</t>
  </si>
  <si>
    <t xml:space="preserve">▼8400</t>
  </si>
  <si>
    <t xml:space="preserve">▼21700</t>
  </si>
  <si>
    <t xml:space="preserve">▼30100</t>
  </si>
  <si>
    <t xml:space="preserve">ETD 02/26 Shortage 100-24001-01-00 ETA 03/06 MPVN</t>
  </si>
  <si>
    <t xml:space="preserve">So date: 3/23</t>
  </si>
  <si>
    <t xml:space="preserve">Pending information </t>
  </si>
  <si>
    <t xml:space="preserve">Jan EP 1/27</t>
  </si>
  <si>
    <t xml:space="preserve">Nov PP 1/27</t>
  </si>
  <si>
    <r>
      <rPr>
        <b val="true"/>
        <sz val="9"/>
        <rFont val="Arial"/>
        <family val="2"/>
      </rPr>
      <t xml:space="preserve">Jan PP 2/27</t>
    </r>
    <r>
      <rPr>
        <b val="true"/>
        <sz val="9"/>
        <rFont val="宋体"/>
        <family val="0"/>
        <charset val="134"/>
      </rPr>
      <t xml:space="preserve">？</t>
    </r>
  </si>
  <si>
    <r>
      <rPr>
        <b val="true"/>
        <sz val="9"/>
        <color rgb="FF000000"/>
        <rFont val="Arial"/>
        <family val="2"/>
      </rPr>
      <t xml:space="preserve">Mar</t>
    </r>
    <r>
      <rPr>
        <b val="true"/>
        <sz val="9"/>
        <color rgb="FF000000"/>
        <rFont val="宋体"/>
        <family val="0"/>
        <charset val="134"/>
      </rPr>
      <t xml:space="preserve">要确认方可生产</t>
    </r>
  </si>
  <si>
    <t xml:space="preserve">Jan</t>
  </si>
  <si>
    <t xml:space="preserve">HAXO-16BT</t>
  </si>
  <si>
    <t xml:space="preserve">SRIL-16U</t>
  </si>
  <si>
    <t xml:space="preserve">UTRED30-WALL-MOUNT BKT</t>
  </si>
  <si>
    <t xml:space="preserve">WALL-MOUNT BKT</t>
  </si>
  <si>
    <t xml:space="preserve">PO-00002169</t>
  </si>
  <si>
    <t xml:space="preserve">PO-00002265/2264</t>
  </si>
  <si>
    <t xml:space="preserve">PO-00002266</t>
  </si>
  <si>
    <t xml:space="preserve">PO-00002170</t>
  </si>
  <si>
    <t xml:space="preserve">PO-00002298</t>
  </si>
  <si>
    <t xml:space="preserve">PO-00002343</t>
  </si>
  <si>
    <t xml:space="preserve">PO-00002349</t>
  </si>
  <si>
    <t xml:space="preserve">PO-00002247</t>
  </si>
  <si>
    <t xml:space="preserve">PO-00002348</t>
  </si>
  <si>
    <t xml:space="preserve">▼45</t>
  </si>
  <si>
    <t xml:space="preserve">▼8+4</t>
  </si>
  <si>
    <t xml:space="preserve">▼1450</t>
  </si>
  <si>
    <r>
      <rPr>
        <sz val="8"/>
        <color rgb="FF0000FF"/>
        <rFont val="Arial"/>
        <family val="2"/>
      </rPr>
      <t xml:space="preserve">▼1450</t>
    </r>
    <r>
      <rPr>
        <sz val="8"/>
        <color rgb="FF0000FF"/>
        <rFont val="宋体"/>
        <family val="0"/>
        <charset val="134"/>
      </rPr>
      <t xml:space="preserve">提前焗物料</t>
    </r>
    <r>
      <rPr>
        <sz val="8"/>
        <color rgb="FF0000FF"/>
        <rFont val="Arial"/>
        <family val="2"/>
      </rPr>
      <t xml:space="preserve">&amp;PCBA</t>
    </r>
  </si>
  <si>
    <t xml:space="preserve">▼12800</t>
  </si>
  <si>
    <t xml:space="preserve">Produce in PLC</t>
  </si>
  <si>
    <t xml:space="preserve"> Shortage 351-01068-02-00 ETD TBA</t>
  </si>
  <si>
    <t xml:space="preserve">LineV1-112</t>
  </si>
  <si>
    <t xml:space="preserve">SC-26A099/SC-26A109</t>
  </si>
  <si>
    <r>
      <rPr>
        <sz val="11"/>
        <color rgb="FF000000"/>
        <rFont val="Arial"/>
        <family val="0"/>
      </rPr>
      <t xml:space="preserve">SC-26A036/</t>
    </r>
    <r>
      <rPr>
        <b val="true"/>
        <sz val="9"/>
        <color rgb="FF000000"/>
        <rFont val="Arial"/>
        <family val="2"/>
      </rPr>
      <t xml:space="preserve">SC-26A090</t>
    </r>
  </si>
  <si>
    <t xml:space="preserve">PP</t>
  </si>
  <si>
    <t xml:space="preserve">▼35▼20</t>
  </si>
  <si>
    <t xml:space="preserve">▼10▼05</t>
  </si>
  <si>
    <t xml:space="preserve">▼50</t>
  </si>
  <si>
    <t xml:space="preserve">Shortage 100-24019-02-00: 40pcs ETA 02/28 /831-24019-01-01 :34pcs ETA 03/02 </t>
  </si>
  <si>
    <t xml:space="preserve">So date: 02/24</t>
  </si>
  <si>
    <t xml:space="preserve">LineV1-113</t>
  </si>
  <si>
    <t xml:space="preserve">Dec</t>
  </si>
  <si>
    <t xml:space="preserve">MarApr</t>
  </si>
  <si>
    <t xml:space="preserve">May/Jun</t>
  </si>
  <si>
    <t xml:space="preserve">MP-7</t>
  </si>
  <si>
    <t xml:space="preserve">MP-8 </t>
  </si>
  <si>
    <t xml:space="preserve">MP-9</t>
  </si>
  <si>
    <t xml:space="preserve">MP-27/28</t>
  </si>
  <si>
    <t xml:space="preserve">MP-5/6</t>
  </si>
  <si>
    <t xml:space="preserve">MP-10</t>
  </si>
  <si>
    <t xml:space="preserve">MP-13</t>
  </si>
  <si>
    <t xml:space="preserve">MP-14</t>
  </si>
  <si>
    <t xml:space="preserve">MP-1</t>
  </si>
  <si>
    <t xml:space="preserve">MP-29/30</t>
  </si>
  <si>
    <t xml:space="preserve">MP-7/8</t>
  </si>
  <si>
    <t xml:space="preserve">▼47</t>
  </si>
  <si>
    <t xml:space="preserve">▼244</t>
  </si>
  <si>
    <t xml:space="preserve">▼204</t>
  </si>
  <si>
    <t xml:space="preserve">▼399▼237</t>
  </si>
  <si>
    <t xml:space="preserve">▼400▼550</t>
  </si>
  <si>
    <t xml:space="preserve">▼272</t>
  </si>
  <si>
    <t xml:space="preserve">▼160</t>
  </si>
  <si>
    <t xml:space="preserve">▼110</t>
  </si>
  <si>
    <t xml:space="preserve">▼70</t>
  </si>
  <si>
    <t xml:space="preserve">▼450▼450</t>
  </si>
  <si>
    <t xml:space="preserve">▼400▼350</t>
  </si>
  <si>
    <t xml:space="preserve">Use workers from line V1-117</t>
  </si>
  <si>
    <t xml:space="preserve">Shortage 710-22004-45-01  ETD 03/04</t>
  </si>
  <si>
    <t xml:space="preserve">Shortage 710-22004-45-01  ETD 03/16,262-74720-10-81 816PCS  ETD TBA</t>
  </si>
  <si>
    <t xml:space="preserve">Shortage 471-17016-01-00 1317PCS  ETA 03/17</t>
  </si>
  <si>
    <t xml:space="preserve">so date: 01/19</t>
  </si>
  <si>
    <t xml:space="preserve">So date: 04/06-04/14</t>
  </si>
  <si>
    <t xml:space="preserve">LineV1-114</t>
  </si>
  <si>
    <t xml:space="preserve">Mar/Apr</t>
  </si>
  <si>
    <t xml:space="preserve">Apr/May</t>
  </si>
  <si>
    <t xml:space="preserve">MP-2</t>
  </si>
  <si>
    <t xml:space="preserve">MP-17/18</t>
  </si>
  <si>
    <t xml:space="preserve">982-xx</t>
  </si>
  <si>
    <t xml:space="preserve">MP-4</t>
  </si>
  <si>
    <t xml:space="preserve">MP-3</t>
  </si>
  <si>
    <t xml:space="preserve">MP-2/3</t>
  </si>
  <si>
    <t xml:space="preserve">▼100▼340</t>
  </si>
  <si>
    <t xml:space="preserve">▼135▼250</t>
  </si>
  <si>
    <t xml:space="preserve">▼968</t>
  </si>
  <si>
    <t xml:space="preserve">▼60</t>
  </si>
  <si>
    <t xml:space="preserve">▼390</t>
  </si>
  <si>
    <t xml:space="preserve">▼1800</t>
  </si>
  <si>
    <t xml:space="preserve">▼45▼110</t>
  </si>
  <si>
    <t xml:space="preserve">▼350</t>
  </si>
  <si>
    <t xml:space="preserve">▼780</t>
  </si>
  <si>
    <t xml:space="preserve">The workers move to run VE-8(B)</t>
  </si>
  <si>
    <t xml:space="preserve">Hung king’s commemoration day</t>
  </si>
  <si>
    <t xml:space="preserve">Except packing Mat’s </t>
  </si>
  <si>
    <t xml:space="preserve">So date: 03/13</t>
  </si>
  <si>
    <t xml:space="preserve">Lotending: 02pcs of MP-5</t>
  </si>
  <si>
    <t xml:space="preserve">LineV1-115</t>
  </si>
  <si>
    <t xml:space="preserve">MP-6/5,6</t>
  </si>
  <si>
    <t xml:space="preserve">MP-7/7</t>
  </si>
  <si>
    <t xml:space="preserve">MP-16</t>
  </si>
  <si>
    <t xml:space="preserve">MP-8/8</t>
  </si>
  <si>
    <t xml:space="preserve">MP-15</t>
  </si>
  <si>
    <t xml:space="preserve">MP-17</t>
  </si>
  <si>
    <t xml:space="preserve">MP-9/9</t>
  </si>
  <si>
    <t xml:space="preserve">MP-45</t>
  </si>
  <si>
    <t xml:space="preserve">MP-19</t>
  </si>
  <si>
    <t xml:space="preserve">MP-18/MP-14</t>
  </si>
  <si>
    <t xml:space="preserve">▼514▼02▼3210</t>
  </si>
  <si>
    <t xml:space="preserve">▼780▼3300</t>
  </si>
  <si>
    <t xml:space="preserve">▼4360</t>
  </si>
  <si>
    <t xml:space="preserve">▼800▼3800</t>
  </si>
  <si>
    <t xml:space="preserve">▼452 (lot 912)</t>
  </si>
  <si>
    <t xml:space="preserve">▼512(lot 912)</t>
  </si>
  <si>
    <t xml:space="preserve">▼718</t>
  </si>
  <si>
    <t xml:space="preserve">▼800▼3880</t>
  </si>
  <si>
    <t xml:space="preserve">▼790</t>
  </si>
  <si>
    <t xml:space="preserve">▼235</t>
  </si>
  <si>
    <t xml:space="preserve">▼216▼112</t>
  </si>
  <si>
    <t xml:space="preserve">The workers move to produce VE-8(B)</t>
  </si>
  <si>
    <t xml:space="preserve">Training</t>
  </si>
  <si>
    <t xml:space="preserve">Shortage 364-08051-03-00 3800pcs ETD 02/26 3000pcs By Fedex,800pcs ETD 03/03  </t>
  </si>
  <si>
    <t xml:space="preserve">ETD 03/04 Shortage 214-44708-57-11/472-16011-01-00 ETD TBA</t>
  </si>
  <si>
    <t xml:space="preserve">So date: 12/12</t>
  </si>
  <si>
    <t xml:space="preserve">Shortage of the : 710-23017-05-00: 462pcs,770-23017-03-00: 452pcs</t>
  </si>
  <si>
    <t xml:space="preserve">Shortage of the : 710-23017-05-00: 718pcs,770-23017-03-00: 718pcs</t>
  </si>
  <si>
    <t xml:space="preserve">So date: 03/23</t>
  </si>
  <si>
    <t xml:space="preserve">So date: 04/06</t>
  </si>
  <si>
    <t xml:space="preserve">DECO‘s PLAN</t>
  </si>
  <si>
    <t xml:space="preserve">LineV1-116</t>
  </si>
  <si>
    <t xml:space="preserve">Feb/Mar</t>
  </si>
  <si>
    <t xml:space="preserve">GA-FC EX/GA-FC(C) </t>
  </si>
  <si>
    <t xml:space="preserve">DB-90(C) </t>
  </si>
  <si>
    <t xml:space="preserve">MP-29,MP-26</t>
  </si>
  <si>
    <t xml:space="preserve">MP-29/29,MP-28</t>
  </si>
  <si>
    <t xml:space="preserve">MP-43/44</t>
  </si>
  <si>
    <t xml:space="preserve">MP-41/41</t>
  </si>
  <si>
    <t xml:space="preserve">MP-30/30,MP-29</t>
  </si>
  <si>
    <t xml:space="preserve">MP-30,MP-27</t>
  </si>
  <si>
    <t xml:space="preserve">MP-28</t>
  </si>
  <si>
    <t xml:space="preserve">MP-31,MP-28</t>
  </si>
  <si>
    <t xml:space="preserve">MP-42/42</t>
  </si>
  <si>
    <t xml:space="preserve">▼86▼135</t>
  </si>
  <si>
    <t xml:space="preserve">▼970</t>
  </si>
  <si>
    <t xml:space="preserve">▼382▼588</t>
  </si>
  <si>
    <t xml:space="preserve">▼1104</t>
  </si>
  <si>
    <t xml:space="preserve">▼438▼286▼380</t>
  </si>
  <si>
    <t xml:space="preserve">▼106</t>
  </si>
  <si>
    <t xml:space="preserve">▼1060▼1100</t>
  </si>
  <si>
    <t xml:space="preserve">▼700▼600</t>
  </si>
  <si>
    <t xml:space="preserve">▼450▼344▼614</t>
  </si>
  <si>
    <t xml:space="preserve">▼510▼458</t>
  </si>
  <si>
    <t xml:space="preserve">▼550</t>
  </si>
  <si>
    <t xml:space="preserve">▼470</t>
  </si>
  <si>
    <t xml:space="preserve">▼380</t>
  </si>
  <si>
    <t xml:space="preserve">▼812</t>
  </si>
  <si>
    <t xml:space="preserve">▼360▼428</t>
  </si>
  <si>
    <t xml:space="preserve">▼1338</t>
  </si>
  <si>
    <t xml:space="preserve">▼536▼248▼448</t>
  </si>
  <si>
    <t xml:space="preserve">▼100</t>
  </si>
  <si>
    <t xml:space="preserve">▼700▼620</t>
  </si>
  <si>
    <t xml:space="preserve">Waiting for 710-17024-08-01 – NG: Paint peeling from Injection</t>
  </si>
  <si>
    <t xml:space="preserve">Lotending: 01pcs of MP-21</t>
  </si>
  <si>
    <t xml:space="preserve">LineV1-117</t>
  </si>
  <si>
    <t xml:space="preserve">MP-27</t>
  </si>
  <si>
    <t xml:space="preserve">MP-40/40</t>
  </si>
  <si>
    <t xml:space="preserve">MP-16,MP-12</t>
  </si>
  <si>
    <t xml:space="preserve">MP-24</t>
  </si>
  <si>
    <t xml:space="preserve">MP-21/22,MP-22</t>
  </si>
  <si>
    <t xml:space="preserve">MP-15/15</t>
  </si>
  <si>
    <t xml:space="preserve">MP-16/16</t>
  </si>
  <si>
    <t xml:space="preserve">MP-17,MP-13, MP-15</t>
  </si>
  <si>
    <t xml:space="preserve">MP-25</t>
  </si>
  <si>
    <t xml:space="preserve">MP-11</t>
  </si>
  <si>
    <t xml:space="preserve">MP-18</t>
  </si>
  <si>
    <t xml:space="preserve">MP-29</t>
  </si>
  <si>
    <t xml:space="preserve">MP-5</t>
  </si>
  <si>
    <t xml:space="preserve">MP-26</t>
  </si>
  <si>
    <t xml:space="preserve">MP-12</t>
  </si>
  <si>
    <t xml:space="preserve">MP-17/17</t>
  </si>
  <si>
    <t xml:space="preserve">MP-23,MP-23</t>
  </si>
  <si>
    <t xml:space="preserve">▼87</t>
  </si>
  <si>
    <t xml:space="preserve">▼500</t>
  </si>
  <si>
    <t xml:space="preserve">▼130▼620</t>
  </si>
  <si>
    <t xml:space="preserve">▼258▼100</t>
  </si>
  <si>
    <t xml:space="preserve">▼3690</t>
  </si>
  <si>
    <t xml:space="preserve">▼01▼170▼122</t>
  </si>
  <si>
    <t xml:space="preserve">▼433▼121</t>
  </si>
  <si>
    <t xml:space="preserve">▼437▼153</t>
  </si>
  <si>
    <t xml:space="preserve">▼174▼106▼117</t>
  </si>
  <si>
    <t xml:space="preserve">▼3125</t>
  </si>
  <si>
    <t xml:space="preserve">▼320</t>
  </si>
  <si>
    <t xml:space="preserve">▼4380</t>
  </si>
  <si>
    <t xml:space="preserve">▼2760</t>
  </si>
  <si>
    <t xml:space="preserve">▼1200</t>
  </si>
  <si>
    <t xml:space="preserve">▼150</t>
  </si>
  <si>
    <t xml:space="preserve">▼2815</t>
  </si>
  <si>
    <t xml:space="preserve">▼256</t>
  </si>
  <si>
    <t xml:space="preserve">▼482▼115</t>
  </si>
  <si>
    <t xml:space="preserve">▼336▼124</t>
  </si>
  <si>
    <t xml:space="preserve">Workers on this production line must prioritize AE BRISA production</t>
  </si>
  <si>
    <t xml:space="preserve">Shortage 822-17024-03-00:102pcs/823-17024-03-00:312pcs</t>
  </si>
  <si>
    <t xml:space="preserve">Shortage 352-416060-02-00 1129pcs ETD 02/26 By Fedex</t>
  </si>
  <si>
    <t xml:space="preserve">ETD 03/03 Shortage 351-17019-02-00 53pcs delivery 03/25 HK</t>
  </si>
  <si>
    <t xml:space="preserve">ETD 03/04 Shortage 351-17019-02-00/810-42535-20-01 ETD TBA</t>
  </si>
  <si>
    <t xml:space="preserve">So date:04/06</t>
  </si>
  <si>
    <t xml:space="preserve">Required </t>
  </si>
  <si>
    <t xml:space="preserve">Total WK in line</t>
  </si>
  <si>
    <t xml:space="preserve">OP Onboard</t>
  </si>
  <si>
    <t xml:space="preserve">Sub Total</t>
  </si>
  <si>
    <t xml:space="preserve">Bal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</si>
</sst>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d\/mm"/>
    <numFmt numFmtId="166" formatCode="dd/mm"/>
    <numFmt numFmtId="167" formatCode="dd/mm/yyyy\ h:mm:ss"/>
    <numFmt numFmtId="168" formatCode="#,##0"/>
    <numFmt numFmtId="169" formatCode="yyyy\-mm\-dd"/>
    <numFmt numFmtId="170" formatCode="0%"/>
    <numFmt numFmtId="171" formatCode="dd/mm/yy"/>
    <numFmt numFmtId="172" formatCode="[$-409]#,##0\ ;[RED]\(#,##0\)"/>
    <numFmt numFmtId="173" formatCode="General"/>
  </numFmts>
  <fonts count="6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</font>
    <font>
      <sz val="9"/>
      <color theme="1"/>
      <name val="Google Sans Mono"/>
      <family val="0"/>
      <charset val="1"/>
    </font>
    <font>
      <sz val="10"/>
      <color theme="1"/>
      <name val="Arial"/>
      <family val="0"/>
      <charset val="1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9"/>
      <name val="Microsoft YaHei"/>
      <family val="2"/>
    </font>
    <font>
      <b val="true"/>
      <i val="true"/>
      <sz val="9"/>
      <color rgb="FF000000"/>
      <name val="Arial"/>
      <family val="2"/>
    </font>
    <font>
      <sz val="9"/>
      <color rgb="FF000000"/>
      <name val="宋体"/>
      <family val="0"/>
    </font>
    <font>
      <sz val="9"/>
      <color rgb="FF000000"/>
      <name val="Microsoft YaHei"/>
      <family val="2"/>
    </font>
    <font>
      <b val="true"/>
      <sz val="14"/>
      <name val="Arial"/>
      <family val="2"/>
    </font>
    <font>
      <b val="true"/>
      <sz val="9"/>
      <color rgb="FF0000FF"/>
      <name val="Arial"/>
      <family val="2"/>
    </font>
    <font>
      <b val="true"/>
      <sz val="9"/>
      <name val="Arial"/>
      <family val="2"/>
    </font>
    <font>
      <b val="true"/>
      <sz val="9"/>
      <color rgb="FF000000"/>
      <name val="Arial"/>
      <family val="2"/>
    </font>
    <font>
      <b val="true"/>
      <sz val="9"/>
      <color rgb="FF0000FF"/>
      <name val="Microsoft YaHei"/>
      <family val="2"/>
    </font>
    <font>
      <b val="true"/>
      <sz val="10"/>
      <color rgb="FF0000FF"/>
      <name val="Microsoft YaHei"/>
      <family val="2"/>
    </font>
    <font>
      <b val="true"/>
      <sz val="9"/>
      <name val="Microsoft YaHei"/>
      <family val="2"/>
      <charset val="134"/>
    </font>
    <font>
      <b val="true"/>
      <sz val="7"/>
      <color rgb="FF0000FF"/>
      <name val="Microsoft YaHei"/>
      <family val="2"/>
    </font>
    <font>
      <b val="true"/>
      <sz val="9"/>
      <name val="Arial"/>
      <family val="2"/>
      <charset val="1"/>
    </font>
    <font>
      <b val="true"/>
      <sz val="6"/>
      <color rgb="FF0000FF"/>
      <name val="Arial"/>
      <family val="2"/>
      <charset val="1"/>
    </font>
    <font>
      <b val="true"/>
      <sz val="7"/>
      <color rgb="FF0000FF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Microsoft YaHei"/>
      <family val="2"/>
    </font>
    <font>
      <b val="true"/>
      <sz val="7"/>
      <name val="Microsoft YaHei"/>
      <family val="2"/>
    </font>
    <font>
      <b val="true"/>
      <sz val="6"/>
      <name val="Microsoft YaHei"/>
      <family val="2"/>
    </font>
    <font>
      <sz val="7"/>
      <color rgb="FF0000FF"/>
      <name val="Microsoft YaHei"/>
      <family val="2"/>
    </font>
    <font>
      <sz val="8"/>
      <name val="Arial"/>
      <family val="2"/>
    </font>
    <font>
      <sz val="8"/>
      <color rgb="FF0000FF"/>
      <name val="Arial"/>
      <family val="2"/>
    </font>
    <font>
      <sz val="8"/>
      <color rgb="FF0000EE"/>
      <name val="Arial"/>
      <family val="2"/>
    </font>
    <font>
      <b val="true"/>
      <sz val="9"/>
      <name val="Noto Sans SC"/>
      <family val="2"/>
    </font>
    <font>
      <b val="true"/>
      <sz val="9"/>
      <color rgb="FF0311FF"/>
      <name val="Arial"/>
      <family val="2"/>
    </font>
    <font>
      <b val="true"/>
      <sz val="9"/>
      <color rgb="FF000000"/>
      <name val="宋体"/>
      <family val="0"/>
      <charset val="134"/>
    </font>
    <font>
      <sz val="8"/>
      <color rgb="FF0000FF"/>
      <name val="宋体"/>
      <family val="0"/>
      <charset val="134"/>
    </font>
    <font>
      <b val="true"/>
      <sz val="9"/>
      <color rgb="FF00A933"/>
      <name val="Arial"/>
      <family val="2"/>
    </font>
    <font>
      <sz val="9"/>
      <name val="Arial"/>
      <family val="2"/>
    </font>
    <font>
      <b val="true"/>
      <sz val="9"/>
      <color rgb="FFFF6600"/>
      <name val="Arial"/>
      <family val="2"/>
    </font>
    <font>
      <b val="true"/>
      <sz val="9"/>
      <name val="宋体"/>
      <family val="0"/>
      <charset val="134"/>
    </font>
    <font>
      <sz val="9"/>
      <name val="Microsoft YaHei"/>
      <family val="2"/>
      <charset val="134"/>
    </font>
    <font>
      <b val="true"/>
      <sz val="8"/>
      <name val="Arial"/>
      <family val="2"/>
    </font>
    <font>
      <sz val="11"/>
      <color rgb="FF000000"/>
      <name val="Arial"/>
      <family val="0"/>
    </font>
    <font>
      <sz val="10"/>
      <name val="Microsoft YaHei"/>
      <family val="2"/>
    </font>
    <font>
      <b val="true"/>
      <sz val="8"/>
      <color rgb="FF000000"/>
      <name val="Arial"/>
      <family val="2"/>
    </font>
    <font>
      <b val="true"/>
      <sz val="9"/>
      <color rgb="FF0000EE"/>
      <name val="Arial"/>
      <family val="2"/>
    </font>
    <font>
      <b val="true"/>
      <sz val="9"/>
      <color rgb="FF0000FF"/>
      <name val="Microsoft YaHei"/>
      <family val="2"/>
      <charset val="134"/>
    </font>
    <font>
      <b val="true"/>
      <sz val="7"/>
      <color rgb="FF0000EE"/>
      <name val="Arial"/>
      <family val="2"/>
    </font>
    <font>
      <b val="true"/>
      <sz val="7"/>
      <color rgb="FFC9211E"/>
      <name val="Arial"/>
      <family val="2"/>
    </font>
    <font>
      <b val="true"/>
      <sz val="9"/>
      <color rgb="FF1613FF"/>
      <name val="Arial"/>
      <family val="2"/>
    </font>
    <font>
      <sz val="10"/>
      <color rgb="FF0000EE"/>
      <name val="Microsoft YaHei"/>
      <family val="2"/>
    </font>
    <font>
      <b val="true"/>
      <sz val="7"/>
      <color rgb="FF0000EE"/>
      <name val="Microsoft YaHei"/>
      <family val="2"/>
    </font>
    <font>
      <b val="true"/>
      <sz val="9"/>
      <color rgb="FF0000EE"/>
      <name val="Microsoft YaHei"/>
      <family val="2"/>
    </font>
    <font>
      <b val="true"/>
      <sz val="9"/>
      <color rgb="FFC9211E"/>
      <name val="Microsoft YaHei"/>
      <family val="2"/>
    </font>
    <font>
      <b val="true"/>
      <sz val="10"/>
      <color rgb="FF0000EE"/>
      <name val="Microsoft YaHei"/>
      <family val="2"/>
    </font>
    <font>
      <b val="true"/>
      <sz val="10"/>
      <name val="Arial"/>
      <family val="2"/>
    </font>
    <font>
      <b val="true"/>
      <sz val="8"/>
      <color rgb="FFC9211E"/>
      <name val="Arial"/>
      <family val="2"/>
    </font>
    <font>
      <b val="true"/>
      <sz val="7"/>
      <color rgb="FFFFFFFF"/>
      <name val="Arial"/>
      <family val="2"/>
    </font>
    <font>
      <b val="true"/>
      <sz val="10"/>
      <color rgb="FFFFFFFF"/>
      <name val="Microsoft YaHei"/>
      <family val="2"/>
    </font>
    <font>
      <b val="true"/>
      <sz val="9"/>
      <color rgb="FF0000EE"/>
      <name val="Microsoft YaHei"/>
      <family val="2"/>
      <charset val="134"/>
    </font>
    <font>
      <sz val="10"/>
      <name val="Arial"/>
      <family val="2"/>
    </font>
    <font>
      <sz val="11"/>
      <color rgb="FF0000FF"/>
      <name val="Arial"/>
      <family val="0"/>
    </font>
  </fonts>
  <fills count="9">
    <fill>
      <patternFill patternType="none"/>
    </fill>
    <fill>
      <patternFill patternType="gray125"/>
    </fill>
    <fill>
      <patternFill patternType="solid">
        <fgColor rgb="FFDEE6EF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FFF"/>
      </patternFill>
    </fill>
    <fill>
      <patternFill patternType="solid">
        <fgColor rgb="FFDC143C"/>
        <bgColor rgb="FFC9211E"/>
      </patternFill>
    </fill>
    <fill>
      <patternFill patternType="solid">
        <fgColor rgb="FFFFBF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FFFFFF"/>
        <bgColor rgb="FFFFF2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5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6" fillId="3" borderId="2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4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4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4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6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6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6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7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0" fillId="6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1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1" fontId="1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6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7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2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3" borderId="3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5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0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4" fillId="0" borderId="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7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3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37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6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4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9" fillId="6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5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6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4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7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8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9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2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0" fillId="0" borderId="4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4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3" fontId="1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2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2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7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8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2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9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0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1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8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6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9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0" fillId="0" borderId="4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2" fillId="0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0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3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8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4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4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7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8" fillId="8" borderId="2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2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2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0" fillId="0" borderId="4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2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8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3" fontId="15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5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2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一般_Sheet1" xfId="20"/>
  </cellStyles>
  <dxfs count="3">
    <dxf>
      <fill>
        <patternFill>
          <bgColor rgb="FFFF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311FF"/>
      <rgbColor rgb="FF808000"/>
      <rgbColor rgb="FF800080"/>
      <rgbColor rgb="FF008080"/>
      <rgbColor rgb="FFC0C0C0"/>
      <rgbColor rgb="FF808080"/>
      <rgbColor rgb="FF9999FF"/>
      <rgbColor rgb="FFDC143C"/>
      <rgbColor rgb="FFFFF2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EE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C9211E"/>
      <rgbColor rgb="FF993366"/>
      <rgbColor rgb="FF1613F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K848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H41" activeCellId="0" sqref="H41"/>
    </sheetView>
  </sheetViews>
  <sheetFormatPr defaultColWidth="12.5703125" defaultRowHeight="15.75" zeroHeight="false" outlineLevelRow="0" outlineLevelCol="0"/>
  <cols>
    <col collapsed="false" customWidth="true" hidden="false" outlineLevel="0" max="2" min="1" style="0" width="36.42"/>
    <col collapsed="false" customWidth="true" hidden="false" outlineLevel="0" max="3" min="3" style="0" width="7.78"/>
    <col collapsed="false" customWidth="true" hidden="false" outlineLevel="0" max="5" min="4" style="0" width="5.14"/>
    <col collapsed="false" customWidth="true" hidden="false" outlineLevel="0" max="6" min="6" style="0" width="7.42"/>
    <col collapsed="false" customWidth="true" hidden="false" outlineLevel="0" max="7" min="7" style="1" width="5.14"/>
    <col collapsed="false" customWidth="true" hidden="false" outlineLevel="0" max="100" min="8" style="0" width="6.85"/>
    <col collapsed="false" customWidth="true" hidden="false" outlineLevel="0" max="193" min="101" style="0" width="5.42"/>
  </cols>
  <sheetData>
    <row r="1" customFormat="false" ht="27.75" hidden="false" customHeight="tru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n">
        <v>46076</v>
      </c>
      <c r="I1" s="5" t="n">
        <v>46077</v>
      </c>
      <c r="J1" s="5" t="n">
        <v>46078</v>
      </c>
      <c r="K1" s="5" t="n">
        <v>46079</v>
      </c>
      <c r="L1" s="5" t="n">
        <v>46080</v>
      </c>
      <c r="M1" s="5" t="n">
        <v>46083</v>
      </c>
      <c r="N1" s="5" t="n">
        <v>46084</v>
      </c>
      <c r="O1" s="5" t="n">
        <v>46085</v>
      </c>
      <c r="P1" s="5" t="n">
        <v>46086</v>
      </c>
      <c r="Q1" s="5" t="n">
        <v>46087</v>
      </c>
      <c r="R1" s="5" t="n">
        <v>46090</v>
      </c>
      <c r="S1" s="5" t="n">
        <v>46091</v>
      </c>
      <c r="T1" s="5" t="n">
        <v>46092</v>
      </c>
      <c r="U1" s="5" t="n">
        <v>46093</v>
      </c>
      <c r="V1" s="5" t="n">
        <v>46094</v>
      </c>
      <c r="W1" s="5" t="n">
        <v>46095</v>
      </c>
      <c r="X1" s="5" t="n">
        <v>46097</v>
      </c>
      <c r="Y1" s="5" t="n">
        <v>46098</v>
      </c>
      <c r="Z1" s="5" t="n">
        <v>46099</v>
      </c>
      <c r="AA1" s="5" t="n">
        <v>46100</v>
      </c>
      <c r="AB1" s="5" t="n">
        <v>46101</v>
      </c>
      <c r="AC1" s="5" t="n">
        <v>46102</v>
      </c>
      <c r="AD1" s="5" t="n">
        <v>46104</v>
      </c>
      <c r="AE1" s="5" t="n">
        <v>46105</v>
      </c>
      <c r="AF1" s="5" t="n">
        <v>46106</v>
      </c>
      <c r="AG1" s="5" t="n">
        <v>46107</v>
      </c>
      <c r="AH1" s="5" t="n">
        <v>46108</v>
      </c>
      <c r="AI1" s="5" t="n">
        <v>46111</v>
      </c>
      <c r="AJ1" s="5" t="n">
        <v>46112</v>
      </c>
      <c r="AK1" s="5" t="n">
        <v>46114</v>
      </c>
      <c r="AL1" s="5" t="n">
        <v>46115</v>
      </c>
      <c r="AM1" s="5" t="n">
        <v>46116</v>
      </c>
      <c r="AN1" s="5" t="n">
        <v>46118</v>
      </c>
      <c r="AO1" s="5" t="n">
        <v>46119</v>
      </c>
      <c r="AP1" s="5" t="n">
        <v>46120</v>
      </c>
      <c r="AQ1" s="5" t="n">
        <v>46121</v>
      </c>
      <c r="AR1" s="5" t="n">
        <v>46122</v>
      </c>
      <c r="AS1" s="5" t="n">
        <v>46125</v>
      </c>
      <c r="AT1" s="5" t="n">
        <v>46126</v>
      </c>
      <c r="AU1" s="5" t="n">
        <v>46127</v>
      </c>
      <c r="AV1" s="5" t="n">
        <v>46128</v>
      </c>
      <c r="AW1" s="5" t="n">
        <v>46129</v>
      </c>
      <c r="AX1" s="5" t="n">
        <v>46130</v>
      </c>
      <c r="AY1" s="5" t="n">
        <v>46132</v>
      </c>
      <c r="AZ1" s="5" t="n">
        <v>46133</v>
      </c>
      <c r="BA1" s="5" t="n">
        <v>46134</v>
      </c>
      <c r="BB1" s="5" t="n">
        <v>46135</v>
      </c>
      <c r="BC1" s="5" t="n">
        <v>46136</v>
      </c>
      <c r="BD1" s="5" t="n">
        <v>46139</v>
      </c>
      <c r="BE1" s="5" t="n">
        <v>46140</v>
      </c>
      <c r="BF1" s="5" t="n">
        <v>46141</v>
      </c>
      <c r="BG1" s="5" t="n">
        <v>46146</v>
      </c>
      <c r="BH1" s="5" t="n">
        <v>46147</v>
      </c>
      <c r="BI1" s="5" t="n">
        <v>46148</v>
      </c>
      <c r="BJ1" s="5" t="n">
        <v>46149</v>
      </c>
      <c r="BK1" s="5" t="n">
        <v>46150</v>
      </c>
      <c r="BL1" s="5" t="n">
        <v>46151</v>
      </c>
      <c r="BM1" s="5" t="n">
        <v>46153</v>
      </c>
      <c r="BN1" s="5" t="n">
        <v>46154</v>
      </c>
      <c r="BO1" s="5" t="n">
        <v>46155</v>
      </c>
      <c r="BP1" s="5" t="n">
        <v>46156</v>
      </c>
      <c r="BQ1" s="5" t="n">
        <v>46157</v>
      </c>
      <c r="BR1" s="5" t="n">
        <v>46160</v>
      </c>
      <c r="BS1" s="5" t="n">
        <v>46161</v>
      </c>
      <c r="BT1" s="5" t="n">
        <v>46162</v>
      </c>
      <c r="BU1" s="5" t="n">
        <v>46163</v>
      </c>
      <c r="BV1" s="5" t="n">
        <v>46164</v>
      </c>
      <c r="BW1" s="5" t="n">
        <v>46165</v>
      </c>
      <c r="BX1" s="5" t="n">
        <v>46167</v>
      </c>
      <c r="BY1" s="5" t="n">
        <v>46168</v>
      </c>
      <c r="BZ1" s="5" t="n">
        <v>46169</v>
      </c>
      <c r="CA1" s="5" t="n">
        <v>46170</v>
      </c>
      <c r="CB1" s="5" t="n">
        <v>46171</v>
      </c>
      <c r="CC1" s="5" t="n">
        <v>46175</v>
      </c>
      <c r="CD1" s="5" t="n">
        <v>46176</v>
      </c>
      <c r="CE1" s="5" t="n">
        <v>46177</v>
      </c>
      <c r="CF1" s="5" t="n">
        <v>46178</v>
      </c>
      <c r="CG1" s="5" t="n">
        <v>46179</v>
      </c>
      <c r="CH1" s="5" t="n">
        <v>46181</v>
      </c>
      <c r="CI1" s="5" t="n">
        <v>46182</v>
      </c>
      <c r="CJ1" s="5" t="n">
        <v>46183</v>
      </c>
      <c r="CK1" s="5" t="n">
        <v>46184</v>
      </c>
      <c r="CL1" s="5" t="n">
        <v>46185</v>
      </c>
      <c r="CM1" s="5" t="n">
        <v>46188</v>
      </c>
      <c r="CN1" s="5" t="n">
        <v>46189</v>
      </c>
      <c r="CO1" s="5" t="n">
        <v>46190</v>
      </c>
      <c r="CP1" s="5" t="n">
        <v>46191</v>
      </c>
      <c r="CQ1" s="5" t="n">
        <v>46192</v>
      </c>
      <c r="CR1" s="5" t="n">
        <v>46193</v>
      </c>
      <c r="CS1" s="5" t="n">
        <v>46195</v>
      </c>
      <c r="CT1" s="5" t="n">
        <v>46196</v>
      </c>
      <c r="CU1" s="5" t="n">
        <v>46197</v>
      </c>
      <c r="CV1" s="5" t="n">
        <v>46198</v>
      </c>
      <c r="CW1" s="6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</row>
    <row r="2" customFormat="false" ht="12.75" hidden="false" customHeight="false" outlineLevel="0" collapsed="false">
      <c r="A2" s="7" t="s">
        <v>7</v>
      </c>
      <c r="B2" s="7" t="s">
        <v>8</v>
      </c>
      <c r="C2" s="8" t="n">
        <v>3</v>
      </c>
      <c r="D2" s="8" t="n">
        <v>0</v>
      </c>
      <c r="E2" s="8" t="n">
        <v>3</v>
      </c>
      <c r="F2" s="8" t="n">
        <v>1</v>
      </c>
      <c r="G2" s="9" t="n">
        <v>2</v>
      </c>
      <c r="H2" s="10"/>
      <c r="I2" s="10"/>
      <c r="J2" s="10"/>
      <c r="K2" s="10" t="n">
        <v>1</v>
      </c>
      <c r="L2" s="10" t="n">
        <v>2</v>
      </c>
      <c r="M2" s="10" t="n">
        <v>1</v>
      </c>
      <c r="N2" s="10" t="n">
        <v>1</v>
      </c>
      <c r="O2" s="10" t="n">
        <v>1</v>
      </c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 t="n">
        <v>1</v>
      </c>
      <c r="AE2" s="10" t="n">
        <v>1</v>
      </c>
      <c r="AF2" s="10" t="n">
        <v>1</v>
      </c>
      <c r="AG2" s="10" t="n">
        <v>1</v>
      </c>
      <c r="AH2" s="10"/>
      <c r="AI2" s="10"/>
      <c r="AJ2" s="10"/>
      <c r="AK2" s="10"/>
      <c r="AL2" s="10"/>
      <c r="AM2" s="10"/>
      <c r="AN2" s="10" t="n">
        <v>2</v>
      </c>
      <c r="AO2" s="10" t="n">
        <v>2</v>
      </c>
      <c r="AP2" s="10" t="n">
        <v>1</v>
      </c>
      <c r="AQ2" s="10" t="n">
        <v>1</v>
      </c>
      <c r="AR2" s="10"/>
      <c r="AS2" s="10" t="n">
        <v>1</v>
      </c>
      <c r="AT2" s="10" t="n">
        <v>1</v>
      </c>
      <c r="AU2" s="10" t="n">
        <v>1</v>
      </c>
      <c r="AV2" s="10" t="n">
        <v>1</v>
      </c>
      <c r="AW2" s="10" t="n">
        <v>1</v>
      </c>
      <c r="AX2" s="10" t="n">
        <v>1</v>
      </c>
      <c r="AY2" s="10" t="n">
        <v>1</v>
      </c>
      <c r="AZ2" s="10" t="n">
        <v>1</v>
      </c>
      <c r="BA2" s="10" t="n">
        <v>1</v>
      </c>
      <c r="BB2" s="10" t="n">
        <v>1</v>
      </c>
      <c r="BC2" s="10" t="n">
        <v>2</v>
      </c>
      <c r="BD2" s="10"/>
      <c r="BE2" s="10" t="n">
        <v>1</v>
      </c>
      <c r="BF2" s="10" t="n">
        <v>1</v>
      </c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 t="n">
        <v>1</v>
      </c>
      <c r="BT2" s="10" t="n">
        <v>1</v>
      </c>
      <c r="BU2" s="10" t="n">
        <v>1</v>
      </c>
      <c r="BV2" s="10" t="n">
        <v>1</v>
      </c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</row>
    <row r="3" customFormat="false" ht="12.75" hidden="false" customHeight="false" outlineLevel="0" collapsed="false">
      <c r="A3" s="7" t="s">
        <v>9</v>
      </c>
      <c r="B3" s="7" t="s">
        <v>10</v>
      </c>
      <c r="C3" s="8" t="n">
        <v>9</v>
      </c>
      <c r="D3" s="8" t="n">
        <v>0</v>
      </c>
      <c r="E3" s="8" t="n">
        <v>9</v>
      </c>
      <c r="F3" s="8" t="n">
        <v>2</v>
      </c>
      <c r="G3" s="9" t="n">
        <v>7</v>
      </c>
      <c r="H3" s="10"/>
      <c r="I3" s="10" t="n">
        <v>2</v>
      </c>
      <c r="J3" s="10" t="n">
        <v>2</v>
      </c>
      <c r="K3" s="10"/>
      <c r="L3" s="10" t="n">
        <v>1</v>
      </c>
      <c r="M3" s="10" t="n">
        <v>1</v>
      </c>
      <c r="N3" s="10" t="n">
        <v>1</v>
      </c>
      <c r="O3" s="10" t="n">
        <v>1</v>
      </c>
      <c r="P3" s="10"/>
      <c r="Q3" s="10"/>
      <c r="R3" s="10"/>
      <c r="S3" s="10"/>
      <c r="T3" s="10" t="n">
        <v>1</v>
      </c>
      <c r="U3" s="10" t="n">
        <v>1</v>
      </c>
      <c r="V3" s="10" t="n">
        <v>1</v>
      </c>
      <c r="W3" s="10"/>
      <c r="X3" s="10" t="n">
        <v>1</v>
      </c>
      <c r="Y3" s="10" t="n">
        <v>6</v>
      </c>
      <c r="Z3" s="10" t="n">
        <v>6</v>
      </c>
      <c r="AA3" s="10" t="n">
        <v>6</v>
      </c>
      <c r="AB3" s="10" t="n">
        <v>6</v>
      </c>
      <c r="AC3" s="10"/>
      <c r="AD3" s="10" t="n">
        <v>6</v>
      </c>
      <c r="AE3" s="10" t="n">
        <v>6</v>
      </c>
      <c r="AF3" s="10" t="n">
        <v>6</v>
      </c>
      <c r="AG3" s="10" t="n">
        <v>6</v>
      </c>
      <c r="AH3" s="10"/>
      <c r="AI3" s="10" t="n">
        <v>1</v>
      </c>
      <c r="AJ3" s="10" t="n">
        <v>1</v>
      </c>
      <c r="AK3" s="10" t="n">
        <v>1</v>
      </c>
      <c r="AL3" s="10" t="n">
        <v>1</v>
      </c>
      <c r="AM3" s="10"/>
      <c r="AN3" s="10" t="n">
        <v>1</v>
      </c>
      <c r="AO3" s="10" t="n">
        <v>1</v>
      </c>
      <c r="AP3" s="10" t="n">
        <v>1</v>
      </c>
      <c r="AQ3" s="10" t="n">
        <v>1</v>
      </c>
      <c r="AR3" s="10" t="n">
        <v>2</v>
      </c>
      <c r="AS3" s="10" t="n">
        <v>2</v>
      </c>
      <c r="AT3" s="10"/>
      <c r="AU3" s="10"/>
      <c r="AV3" s="10"/>
      <c r="AW3" s="10"/>
      <c r="AX3" s="10"/>
      <c r="AY3" s="10"/>
      <c r="AZ3" s="10"/>
      <c r="BA3" s="10"/>
      <c r="BB3" s="10" t="n">
        <v>2</v>
      </c>
      <c r="BC3" s="10" t="n">
        <v>3</v>
      </c>
      <c r="BD3" s="10" t="n">
        <v>1</v>
      </c>
      <c r="BE3" s="10" t="n">
        <v>3</v>
      </c>
      <c r="BF3" s="10" t="n">
        <v>3</v>
      </c>
      <c r="BG3" s="10"/>
      <c r="BH3" s="10"/>
      <c r="BI3" s="10"/>
      <c r="BJ3" s="10"/>
      <c r="BK3" s="10"/>
      <c r="BL3" s="10"/>
      <c r="BM3" s="10" t="n">
        <v>1</v>
      </c>
      <c r="BN3" s="10" t="n">
        <v>1</v>
      </c>
      <c r="BO3" s="10" t="n">
        <v>1</v>
      </c>
      <c r="BP3" s="10" t="n">
        <v>1</v>
      </c>
      <c r="BQ3" s="10" t="n">
        <v>1</v>
      </c>
      <c r="BR3" s="10" t="n">
        <v>12</v>
      </c>
      <c r="BS3" s="10" t="n">
        <v>6</v>
      </c>
      <c r="BT3" s="10" t="n">
        <v>6</v>
      </c>
      <c r="BU3" s="10" t="n">
        <v>6</v>
      </c>
      <c r="BV3" s="10" t="n">
        <v>6</v>
      </c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</row>
    <row r="4" customFormat="false" ht="12.75" hidden="false" customHeight="false" outlineLevel="0" collapsed="false">
      <c r="A4" s="7" t="s">
        <v>11</v>
      </c>
      <c r="B4" s="7" t="s">
        <v>12</v>
      </c>
      <c r="C4" s="8" t="n">
        <v>17</v>
      </c>
      <c r="D4" s="8" t="n">
        <v>0</v>
      </c>
      <c r="E4" s="8" t="n">
        <v>17</v>
      </c>
      <c r="F4" s="8" t="n">
        <v>1</v>
      </c>
      <c r="G4" s="9" t="n">
        <v>16</v>
      </c>
      <c r="H4" s="10"/>
      <c r="I4" s="10" t="n">
        <v>2</v>
      </c>
      <c r="J4" s="10" t="n">
        <v>2</v>
      </c>
      <c r="K4" s="10" t="n">
        <v>1</v>
      </c>
      <c r="L4" s="10" t="n">
        <v>6</v>
      </c>
      <c r="M4" s="10" t="n">
        <v>5</v>
      </c>
      <c r="N4" s="10" t="n">
        <v>5</v>
      </c>
      <c r="O4" s="10" t="n">
        <v>5</v>
      </c>
      <c r="P4" s="10"/>
      <c r="Q4" s="10"/>
      <c r="R4" s="10"/>
      <c r="S4" s="10"/>
      <c r="T4" s="10" t="n">
        <v>5</v>
      </c>
      <c r="U4" s="10" t="n">
        <v>5</v>
      </c>
      <c r="V4" s="10" t="n">
        <v>5</v>
      </c>
      <c r="W4" s="10"/>
      <c r="X4" s="10" t="n">
        <v>5</v>
      </c>
      <c r="Y4" s="10" t="n">
        <v>6</v>
      </c>
      <c r="Z4" s="10" t="n">
        <v>6</v>
      </c>
      <c r="AA4" s="10" t="n">
        <v>6</v>
      </c>
      <c r="AB4" s="10" t="n">
        <v>6</v>
      </c>
      <c r="AC4" s="10"/>
      <c r="AD4" s="10" t="n">
        <v>7</v>
      </c>
      <c r="AE4" s="10" t="n">
        <v>7</v>
      </c>
      <c r="AF4" s="10" t="n">
        <v>7</v>
      </c>
      <c r="AG4" s="10" t="n">
        <v>7</v>
      </c>
      <c r="AH4" s="10"/>
      <c r="AI4" s="10" t="n">
        <v>5</v>
      </c>
      <c r="AJ4" s="10" t="n">
        <v>5</v>
      </c>
      <c r="AK4" s="10" t="n">
        <v>5</v>
      </c>
      <c r="AL4" s="10" t="n">
        <v>5</v>
      </c>
      <c r="AM4" s="10"/>
      <c r="AN4" s="10" t="n">
        <v>9</v>
      </c>
      <c r="AO4" s="10" t="n">
        <v>9</v>
      </c>
      <c r="AP4" s="10" t="n">
        <v>5</v>
      </c>
      <c r="AQ4" s="10" t="n">
        <v>5</v>
      </c>
      <c r="AR4" s="10" t="n">
        <v>2</v>
      </c>
      <c r="AS4" s="10" t="n">
        <v>6</v>
      </c>
      <c r="AT4" s="10" t="n">
        <v>4</v>
      </c>
      <c r="AU4" s="10" t="n">
        <v>4</v>
      </c>
      <c r="AV4" s="10" t="n">
        <v>4</v>
      </c>
      <c r="AW4" s="10" t="n">
        <v>4</v>
      </c>
      <c r="AX4" s="10" t="n">
        <v>4</v>
      </c>
      <c r="AY4" s="10" t="n">
        <v>4</v>
      </c>
      <c r="AZ4" s="10" t="n">
        <v>4</v>
      </c>
      <c r="BA4" s="10" t="n">
        <v>4</v>
      </c>
      <c r="BB4" s="10" t="n">
        <v>6</v>
      </c>
      <c r="BC4" s="10" t="n">
        <v>11</v>
      </c>
      <c r="BD4" s="10" t="n">
        <v>5</v>
      </c>
      <c r="BE4" s="10" t="n">
        <v>7</v>
      </c>
      <c r="BF4" s="10" t="n">
        <v>7</v>
      </c>
      <c r="BG4" s="10"/>
      <c r="BH4" s="10"/>
      <c r="BI4" s="10"/>
      <c r="BJ4" s="10"/>
      <c r="BK4" s="10"/>
      <c r="BL4" s="10"/>
      <c r="BM4" s="10" t="n">
        <v>5</v>
      </c>
      <c r="BN4" s="10" t="n">
        <v>5</v>
      </c>
      <c r="BO4" s="10" t="n">
        <v>5</v>
      </c>
      <c r="BP4" s="10" t="n">
        <v>5</v>
      </c>
      <c r="BQ4" s="10" t="n">
        <v>5</v>
      </c>
      <c r="BR4" s="10" t="n">
        <v>12</v>
      </c>
      <c r="BS4" s="10" t="n">
        <v>7</v>
      </c>
      <c r="BT4" s="10" t="n">
        <v>7</v>
      </c>
      <c r="BU4" s="10" t="n">
        <v>7</v>
      </c>
      <c r="BV4" s="10" t="n">
        <v>7</v>
      </c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</row>
    <row r="5" customFormat="false" ht="12.75" hidden="false" customHeight="false" outlineLevel="0" collapsed="false">
      <c r="A5" s="7" t="s">
        <v>13</v>
      </c>
      <c r="B5" s="7" t="s">
        <v>14</v>
      </c>
      <c r="C5" s="8" t="n">
        <v>8</v>
      </c>
      <c r="D5" s="8" t="n">
        <v>0</v>
      </c>
      <c r="E5" s="8" t="n">
        <v>8</v>
      </c>
      <c r="F5" s="8" t="n">
        <v>1</v>
      </c>
      <c r="G5" s="9" t="n">
        <v>7</v>
      </c>
      <c r="I5" s="10" t="n">
        <v>4</v>
      </c>
      <c r="J5" s="10" t="n">
        <v>4</v>
      </c>
      <c r="K5" s="10"/>
      <c r="L5" s="10"/>
      <c r="M5" s="10"/>
      <c r="N5" s="10"/>
      <c r="O5" s="10" t="n">
        <v>3</v>
      </c>
      <c r="P5" s="10" t="n">
        <v>3</v>
      </c>
      <c r="Q5" s="10" t="n">
        <v>3</v>
      </c>
      <c r="R5" s="10" t="n">
        <v>3</v>
      </c>
      <c r="S5" s="10" t="n">
        <v>3</v>
      </c>
      <c r="T5" s="10" t="n">
        <v>3</v>
      </c>
      <c r="U5" s="10" t="n">
        <v>3</v>
      </c>
      <c r="V5" s="10" t="n">
        <v>3</v>
      </c>
      <c r="W5" s="10" t="n">
        <v>3</v>
      </c>
      <c r="X5" s="10" t="n">
        <v>3</v>
      </c>
      <c r="Y5" s="10" t="n">
        <v>7</v>
      </c>
      <c r="Z5" s="10" t="n">
        <v>4</v>
      </c>
      <c r="AA5" s="10" t="n">
        <v>2</v>
      </c>
      <c r="AB5" s="10" t="n">
        <v>2</v>
      </c>
      <c r="AC5" s="10"/>
      <c r="AD5" s="10" t="n">
        <v>2</v>
      </c>
      <c r="AE5" s="10" t="n">
        <v>2</v>
      </c>
      <c r="AF5" s="10" t="n">
        <v>2</v>
      </c>
      <c r="AG5" s="10" t="n">
        <v>2</v>
      </c>
      <c r="AH5" s="10"/>
      <c r="AI5" s="10"/>
      <c r="AJ5" s="10" t="n">
        <v>3</v>
      </c>
      <c r="AK5" s="10" t="n">
        <v>3</v>
      </c>
      <c r="AL5" s="10" t="n">
        <v>3</v>
      </c>
      <c r="AM5" s="10"/>
      <c r="AN5" s="10" t="n">
        <v>3</v>
      </c>
      <c r="AO5" s="10" t="n">
        <v>3</v>
      </c>
      <c r="AP5" s="10" t="n">
        <v>3</v>
      </c>
      <c r="AQ5" s="10" t="n">
        <v>3</v>
      </c>
      <c r="AR5" s="10" t="n">
        <v>4</v>
      </c>
      <c r="AS5" s="10" t="n">
        <v>4</v>
      </c>
      <c r="AT5" s="10"/>
      <c r="AU5" s="10"/>
      <c r="AV5" s="10"/>
      <c r="AW5" s="10"/>
      <c r="AX5" s="10"/>
      <c r="AY5" s="10"/>
      <c r="AZ5" s="10"/>
      <c r="BA5" s="10"/>
      <c r="BB5" s="10" t="n">
        <v>4</v>
      </c>
      <c r="BC5" s="10" t="n">
        <v>4</v>
      </c>
      <c r="BD5" s="10"/>
      <c r="BE5" s="10" t="n">
        <v>4</v>
      </c>
      <c r="BF5" s="10" t="n">
        <v>4</v>
      </c>
      <c r="BG5" s="10"/>
      <c r="BH5" s="10"/>
      <c r="BI5" s="10" t="n">
        <v>3</v>
      </c>
      <c r="BJ5" s="10" t="n">
        <v>3</v>
      </c>
      <c r="BK5" s="10" t="n">
        <v>3</v>
      </c>
      <c r="BL5" s="10"/>
      <c r="BM5" s="10" t="n">
        <v>3</v>
      </c>
      <c r="BN5" s="10" t="n">
        <v>3</v>
      </c>
      <c r="BO5" s="10" t="n">
        <v>3</v>
      </c>
      <c r="BP5" s="10" t="n">
        <v>3</v>
      </c>
      <c r="BQ5" s="10"/>
      <c r="BR5" s="10" t="n">
        <v>6</v>
      </c>
      <c r="BS5" s="10" t="n">
        <v>2</v>
      </c>
      <c r="BT5" s="10" t="n">
        <v>2</v>
      </c>
      <c r="BU5" s="10" t="n">
        <v>4</v>
      </c>
      <c r="BV5" s="10" t="n">
        <v>4</v>
      </c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</row>
    <row r="6" customFormat="false" ht="12.75" hidden="false" customHeight="false" outlineLevel="0" collapsed="false">
      <c r="A6" s="7" t="s">
        <v>15</v>
      </c>
      <c r="B6" s="7" t="s">
        <v>16</v>
      </c>
      <c r="C6" s="8" t="n">
        <v>6</v>
      </c>
      <c r="D6" s="8" t="n">
        <v>0</v>
      </c>
      <c r="E6" s="8" t="n">
        <v>6</v>
      </c>
      <c r="F6" s="8" t="n">
        <v>1</v>
      </c>
      <c r="G6" s="9" t="n">
        <v>5</v>
      </c>
      <c r="H6" s="10" t="n">
        <v>2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 t="n">
        <v>2</v>
      </c>
      <c r="AU6" s="10" t="n">
        <v>2</v>
      </c>
      <c r="AV6" s="10" t="n">
        <v>2</v>
      </c>
      <c r="AW6" s="10" t="n">
        <v>2</v>
      </c>
      <c r="AX6" s="10"/>
      <c r="AY6" s="10" t="n">
        <v>2</v>
      </c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</row>
    <row r="7" customFormat="false" ht="12.75" hidden="false" customHeight="false" outlineLevel="0" collapsed="false">
      <c r="A7" s="7" t="s">
        <v>17</v>
      </c>
      <c r="B7" s="7" t="s">
        <v>18</v>
      </c>
      <c r="C7" s="8" t="n">
        <v>22</v>
      </c>
      <c r="D7" s="8" t="n">
        <v>4</v>
      </c>
      <c r="E7" s="8" t="n">
        <v>18</v>
      </c>
      <c r="F7" s="8" t="n">
        <v>7</v>
      </c>
      <c r="G7" s="9" t="n">
        <v>11</v>
      </c>
      <c r="H7" s="10" t="n">
        <v>2</v>
      </c>
      <c r="I7" s="10" t="n">
        <v>2</v>
      </c>
      <c r="J7" s="10" t="n">
        <v>2</v>
      </c>
      <c r="K7" s="10" t="n">
        <v>2</v>
      </c>
      <c r="L7" s="10" t="n">
        <v>1</v>
      </c>
      <c r="M7" s="10" t="n">
        <v>1</v>
      </c>
      <c r="N7" s="10" t="n">
        <v>1</v>
      </c>
      <c r="O7" s="10" t="n">
        <v>1</v>
      </c>
      <c r="P7" s="10" t="n">
        <v>2</v>
      </c>
      <c r="Q7" s="10" t="n">
        <v>2</v>
      </c>
      <c r="R7" s="10" t="n">
        <v>2</v>
      </c>
      <c r="S7" s="10" t="n">
        <v>2</v>
      </c>
      <c r="T7" s="10" t="n">
        <v>2</v>
      </c>
      <c r="U7" s="10" t="n">
        <v>2</v>
      </c>
      <c r="V7" s="10" t="n">
        <v>2</v>
      </c>
      <c r="W7" s="10"/>
      <c r="X7" s="10" t="n">
        <v>2</v>
      </c>
      <c r="Y7" s="10" t="n">
        <v>2</v>
      </c>
      <c r="Z7" s="10" t="n">
        <v>1</v>
      </c>
      <c r="AA7" s="10" t="n">
        <v>1</v>
      </c>
      <c r="AB7" s="10" t="n">
        <v>1</v>
      </c>
      <c r="AC7" s="10"/>
      <c r="AD7" s="10" t="n">
        <v>1</v>
      </c>
      <c r="AE7" s="10" t="n">
        <v>1</v>
      </c>
      <c r="AF7" s="10" t="n">
        <v>2</v>
      </c>
      <c r="AG7" s="10" t="n">
        <v>2</v>
      </c>
      <c r="AH7" s="10" t="n">
        <v>2</v>
      </c>
      <c r="AI7" s="10" t="n">
        <v>2</v>
      </c>
      <c r="AJ7" s="10" t="n">
        <v>2</v>
      </c>
      <c r="AK7" s="10" t="n">
        <v>2</v>
      </c>
      <c r="AL7" s="10" t="n">
        <v>2</v>
      </c>
      <c r="AM7" s="10" t="n">
        <v>2</v>
      </c>
      <c r="AN7" s="10" t="n">
        <v>2</v>
      </c>
      <c r="AO7" s="10" t="n">
        <v>2</v>
      </c>
      <c r="AP7" s="10" t="n">
        <v>2</v>
      </c>
      <c r="AQ7" s="10" t="n">
        <v>2</v>
      </c>
      <c r="AR7" s="10" t="n">
        <v>2</v>
      </c>
      <c r="AS7" s="10" t="n">
        <v>2</v>
      </c>
      <c r="AT7" s="10" t="n">
        <v>2</v>
      </c>
      <c r="AU7" s="10" t="n">
        <v>2</v>
      </c>
      <c r="AV7" s="10" t="n">
        <v>2</v>
      </c>
      <c r="AW7" s="10" t="n">
        <v>2</v>
      </c>
      <c r="AX7" s="10" t="n">
        <v>2</v>
      </c>
      <c r="AY7" s="10" t="n">
        <v>2</v>
      </c>
      <c r="AZ7" s="10" t="n">
        <v>2</v>
      </c>
      <c r="BA7" s="10" t="n">
        <v>2</v>
      </c>
      <c r="BB7" s="10" t="n">
        <v>3</v>
      </c>
      <c r="BC7" s="10" t="n">
        <v>3</v>
      </c>
      <c r="BD7" s="10" t="n">
        <v>1</v>
      </c>
      <c r="BE7" s="10" t="n">
        <v>3</v>
      </c>
      <c r="BF7" s="10" t="n">
        <v>3</v>
      </c>
      <c r="BG7" s="10" t="n">
        <v>3</v>
      </c>
      <c r="BH7" s="10" t="n">
        <v>4</v>
      </c>
      <c r="BI7" s="10" t="n">
        <v>4</v>
      </c>
      <c r="BJ7" s="10" t="n">
        <v>4</v>
      </c>
      <c r="BK7" s="10" t="n">
        <v>4</v>
      </c>
      <c r="BL7" s="10" t="n">
        <v>2</v>
      </c>
      <c r="BM7" s="10" t="n">
        <v>3</v>
      </c>
      <c r="BN7" s="10" t="n">
        <v>3</v>
      </c>
      <c r="BO7" s="10" t="n">
        <v>3</v>
      </c>
      <c r="BP7" s="10" t="n">
        <v>3</v>
      </c>
      <c r="BQ7" s="10" t="n">
        <v>3</v>
      </c>
      <c r="BR7" s="10" t="n">
        <v>4</v>
      </c>
      <c r="BS7" s="10" t="n">
        <v>3</v>
      </c>
      <c r="BT7" s="10" t="n">
        <v>3</v>
      </c>
      <c r="BU7" s="10" t="n">
        <v>3</v>
      </c>
      <c r="BV7" s="10" t="n">
        <v>3</v>
      </c>
      <c r="BW7" s="10" t="n">
        <v>2</v>
      </c>
      <c r="BX7" s="10" t="n">
        <v>2</v>
      </c>
      <c r="BY7" s="10" t="n">
        <v>2</v>
      </c>
      <c r="BZ7" s="10" t="n">
        <v>2</v>
      </c>
      <c r="CA7" s="10" t="n">
        <v>2</v>
      </c>
      <c r="CB7" s="10" t="n">
        <v>2</v>
      </c>
      <c r="CC7" s="10" t="n">
        <v>2</v>
      </c>
      <c r="CD7" s="10" t="n">
        <v>2</v>
      </c>
      <c r="CE7" s="10" t="n">
        <v>2</v>
      </c>
      <c r="CF7" s="10" t="n">
        <v>2</v>
      </c>
      <c r="CG7" s="10"/>
      <c r="CH7" s="10" t="n">
        <v>2</v>
      </c>
      <c r="CI7" s="10" t="n">
        <v>2</v>
      </c>
      <c r="CJ7" s="10" t="n">
        <v>1</v>
      </c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</row>
    <row r="8" customFormat="false" ht="12.75" hidden="false" customHeight="false" outlineLevel="0" collapsed="false">
      <c r="A8" s="7" t="s">
        <v>19</v>
      </c>
      <c r="B8" s="7" t="s">
        <v>20</v>
      </c>
      <c r="C8" s="8" t="n">
        <v>7</v>
      </c>
      <c r="D8" s="8" t="n">
        <v>0</v>
      </c>
      <c r="E8" s="8" t="n">
        <v>7</v>
      </c>
      <c r="F8" s="8" t="n">
        <v>0</v>
      </c>
      <c r="G8" s="9" t="n">
        <v>7</v>
      </c>
      <c r="H8" s="10"/>
      <c r="I8" s="10" t="n">
        <v>2</v>
      </c>
      <c r="J8" s="10" t="n">
        <v>2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 t="n">
        <v>2</v>
      </c>
      <c r="AS8" s="10" t="n">
        <v>2</v>
      </c>
      <c r="AT8" s="10"/>
      <c r="AU8" s="10"/>
      <c r="AV8" s="10"/>
      <c r="AW8" s="10"/>
      <c r="AX8" s="10"/>
      <c r="AY8" s="10"/>
      <c r="AZ8" s="10"/>
      <c r="BA8" s="10"/>
      <c r="BB8" s="10" t="n">
        <v>2</v>
      </c>
      <c r="BC8" s="10" t="n">
        <v>2</v>
      </c>
      <c r="BD8" s="10"/>
      <c r="BE8" s="10" t="n">
        <v>2</v>
      </c>
      <c r="BF8" s="10" t="n">
        <v>2</v>
      </c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</row>
    <row r="9" customFormat="false" ht="12.75" hidden="false" customHeight="false" outlineLevel="0" collapsed="false">
      <c r="A9" s="7" t="s">
        <v>21</v>
      </c>
      <c r="B9" s="7" t="s">
        <v>22</v>
      </c>
      <c r="C9" s="8" t="n">
        <v>1</v>
      </c>
      <c r="D9" s="8" t="n">
        <v>0</v>
      </c>
      <c r="E9" s="8" t="n">
        <v>1</v>
      </c>
      <c r="F9" s="8" t="n">
        <v>0</v>
      </c>
      <c r="G9" s="9" t="n">
        <v>1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 t="n">
        <v>1</v>
      </c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 t="n">
        <v>1</v>
      </c>
      <c r="BV9" s="10" t="n">
        <v>1</v>
      </c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</row>
    <row r="10" customFormat="false" ht="12.75" hidden="false" customHeight="false" outlineLevel="0" collapsed="false">
      <c r="A10" s="7" t="s">
        <v>23</v>
      </c>
      <c r="B10" s="7" t="s">
        <v>24</v>
      </c>
      <c r="C10" s="8" t="n">
        <v>2</v>
      </c>
      <c r="D10" s="8" t="n">
        <v>0</v>
      </c>
      <c r="E10" s="8" t="n">
        <v>2</v>
      </c>
      <c r="F10" s="8" t="n">
        <v>0</v>
      </c>
      <c r="G10" s="9" t="n">
        <v>2</v>
      </c>
      <c r="H10" s="10"/>
      <c r="I10" s="10" t="n">
        <v>1</v>
      </c>
      <c r="J10" s="10" t="n">
        <v>1</v>
      </c>
      <c r="K10" s="10" t="n">
        <v>1</v>
      </c>
      <c r="L10" s="10" t="n">
        <v>1</v>
      </c>
      <c r="M10" s="10" t="n">
        <v>1</v>
      </c>
      <c r="N10" s="10"/>
      <c r="O10" s="10"/>
      <c r="P10" s="10"/>
      <c r="Q10" s="10" t="n">
        <v>1</v>
      </c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</row>
    <row r="11" customFormat="false" ht="12.75" hidden="false" customHeight="false" outlineLevel="0" collapsed="false">
      <c r="A11" s="7" t="s">
        <v>25</v>
      </c>
      <c r="B11" s="7" t="s">
        <v>26</v>
      </c>
      <c r="C11" s="8" t="n">
        <v>19</v>
      </c>
      <c r="D11" s="8" t="n">
        <v>2</v>
      </c>
      <c r="E11" s="8" t="n">
        <v>17</v>
      </c>
      <c r="F11" s="8" t="n">
        <v>1</v>
      </c>
      <c r="G11" s="9" t="n">
        <v>16</v>
      </c>
      <c r="H11" s="10" t="n">
        <v>3</v>
      </c>
      <c r="I11" s="10" t="n">
        <v>3</v>
      </c>
      <c r="J11" s="10" t="n">
        <v>5</v>
      </c>
      <c r="K11" s="10" t="n">
        <v>5</v>
      </c>
      <c r="L11" s="10" t="n">
        <v>8</v>
      </c>
      <c r="M11" s="10" t="n">
        <v>11</v>
      </c>
      <c r="N11" s="10" t="n">
        <v>11</v>
      </c>
      <c r="O11" s="10" t="n">
        <v>8</v>
      </c>
      <c r="P11" s="10" t="n">
        <v>3</v>
      </c>
      <c r="Q11" s="10" t="n">
        <v>3</v>
      </c>
      <c r="R11" s="10" t="n">
        <v>5</v>
      </c>
      <c r="S11" s="10" t="n">
        <v>5</v>
      </c>
      <c r="T11" s="10" t="n">
        <v>10</v>
      </c>
      <c r="U11" s="10" t="n">
        <v>10</v>
      </c>
      <c r="V11" s="10" t="n">
        <v>10</v>
      </c>
      <c r="W11" s="10"/>
      <c r="X11" s="10" t="n">
        <v>8</v>
      </c>
      <c r="Y11" s="10" t="n">
        <v>3</v>
      </c>
      <c r="Z11" s="10" t="n">
        <v>4</v>
      </c>
      <c r="AA11" s="10" t="n">
        <v>6</v>
      </c>
      <c r="AB11" s="10" t="n">
        <v>6</v>
      </c>
      <c r="AC11" s="10"/>
      <c r="AD11" s="10" t="n">
        <v>7</v>
      </c>
      <c r="AE11" s="10" t="n">
        <v>7</v>
      </c>
      <c r="AF11" s="10" t="n">
        <v>4</v>
      </c>
      <c r="AG11" s="10" t="n">
        <v>4</v>
      </c>
      <c r="AH11" s="10" t="n">
        <v>9</v>
      </c>
      <c r="AI11" s="10" t="n">
        <v>11</v>
      </c>
      <c r="AJ11" s="10" t="n">
        <v>8</v>
      </c>
      <c r="AK11" s="10" t="n">
        <v>8</v>
      </c>
      <c r="AL11" s="10" t="n">
        <v>8</v>
      </c>
      <c r="AM11" s="10"/>
      <c r="AN11" s="10" t="n">
        <v>9</v>
      </c>
      <c r="AO11" s="10" t="n">
        <v>9</v>
      </c>
      <c r="AP11" s="10" t="n">
        <v>5</v>
      </c>
      <c r="AQ11" s="10" t="n">
        <v>5</v>
      </c>
      <c r="AR11" s="10" t="n">
        <v>2</v>
      </c>
      <c r="AS11" s="10" t="n">
        <v>6</v>
      </c>
      <c r="AT11" s="10" t="n">
        <v>6</v>
      </c>
      <c r="AU11" s="10" t="n">
        <v>7</v>
      </c>
      <c r="AV11" s="10" t="n">
        <v>7</v>
      </c>
      <c r="AW11" s="10" t="n">
        <v>7</v>
      </c>
      <c r="AX11" s="10" t="n">
        <v>4</v>
      </c>
      <c r="AY11" s="10" t="n">
        <v>7</v>
      </c>
      <c r="AZ11" s="10" t="n">
        <v>7</v>
      </c>
      <c r="BA11" s="10" t="n">
        <v>7</v>
      </c>
      <c r="BB11" s="10" t="n">
        <v>4</v>
      </c>
      <c r="BC11" s="10" t="n">
        <v>9</v>
      </c>
      <c r="BD11" s="10" t="n">
        <v>5</v>
      </c>
      <c r="BE11" s="10" t="n">
        <v>8</v>
      </c>
      <c r="BF11" s="10" t="n">
        <v>8</v>
      </c>
      <c r="BG11" s="10" t="n">
        <v>3</v>
      </c>
      <c r="BH11" s="10" t="n">
        <v>3</v>
      </c>
      <c r="BI11" s="10" t="n">
        <v>3</v>
      </c>
      <c r="BJ11" s="10" t="n">
        <v>3</v>
      </c>
      <c r="BK11" s="10" t="n">
        <v>3</v>
      </c>
      <c r="BL11" s="10"/>
      <c r="BM11" s="10" t="n">
        <v>8</v>
      </c>
      <c r="BN11" s="10" t="n">
        <v>8</v>
      </c>
      <c r="BO11" s="10" t="n">
        <v>5</v>
      </c>
      <c r="BP11" s="10" t="n">
        <v>5</v>
      </c>
      <c r="BQ11" s="10" t="n">
        <v>7</v>
      </c>
      <c r="BR11" s="10" t="n">
        <v>4</v>
      </c>
      <c r="BS11" s="10" t="n">
        <v>4</v>
      </c>
      <c r="BT11" s="10" t="n">
        <v>4</v>
      </c>
      <c r="BU11" s="10" t="n">
        <v>1</v>
      </c>
      <c r="BV11" s="10" t="n">
        <v>1</v>
      </c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</row>
    <row r="12" customFormat="false" ht="12.75" hidden="false" customHeight="false" outlineLevel="0" collapsed="false">
      <c r="A12" s="7" t="s">
        <v>27</v>
      </c>
      <c r="B12" s="7" t="s">
        <v>28</v>
      </c>
      <c r="C12" s="8" t="n">
        <v>22</v>
      </c>
      <c r="D12" s="8" t="n">
        <v>0</v>
      </c>
      <c r="E12" s="8" t="n">
        <v>22</v>
      </c>
      <c r="F12" s="8" t="n">
        <v>0</v>
      </c>
      <c r="G12" s="9" t="n">
        <v>22</v>
      </c>
      <c r="H12" s="10"/>
      <c r="I12" s="10"/>
      <c r="J12" s="10" t="n">
        <v>1</v>
      </c>
      <c r="K12" s="10"/>
      <c r="L12" s="10" t="n">
        <v>1</v>
      </c>
      <c r="M12" s="10" t="n">
        <v>1</v>
      </c>
      <c r="N12" s="10" t="n">
        <v>1</v>
      </c>
      <c r="O12" s="10" t="n">
        <v>1</v>
      </c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 t="n">
        <v>1</v>
      </c>
      <c r="AL12" s="10" t="n">
        <v>1</v>
      </c>
      <c r="AM12" s="10"/>
      <c r="AN12" s="10" t="n">
        <v>1</v>
      </c>
      <c r="AO12" s="10" t="n">
        <v>1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</row>
    <row r="13" customFormat="false" ht="12.75" hidden="false" customHeight="false" outlineLevel="0" collapsed="false">
      <c r="A13" s="7" t="s">
        <v>29</v>
      </c>
      <c r="B13" s="7" t="s">
        <v>30</v>
      </c>
      <c r="C13" s="8" t="n">
        <v>23</v>
      </c>
      <c r="D13" s="8" t="n">
        <v>0</v>
      </c>
      <c r="E13" s="8" t="n">
        <v>23</v>
      </c>
      <c r="F13" s="8" t="n">
        <v>6</v>
      </c>
      <c r="G13" s="9" t="n">
        <v>17</v>
      </c>
      <c r="H13" s="10" t="n">
        <v>7</v>
      </c>
      <c r="I13" s="10" t="n">
        <v>5</v>
      </c>
      <c r="J13" s="10" t="n">
        <v>6</v>
      </c>
      <c r="K13" s="10" t="n">
        <v>6</v>
      </c>
      <c r="L13" s="10" t="n">
        <v>11</v>
      </c>
      <c r="M13" s="10" t="n">
        <v>15</v>
      </c>
      <c r="N13" s="10" t="n">
        <v>15</v>
      </c>
      <c r="O13" s="10" t="n">
        <v>15</v>
      </c>
      <c r="P13" s="10" t="n">
        <v>9</v>
      </c>
      <c r="Q13" s="10" t="n">
        <v>9</v>
      </c>
      <c r="R13" s="10" t="n">
        <v>10</v>
      </c>
      <c r="S13" s="10" t="n">
        <v>10</v>
      </c>
      <c r="T13" s="10" t="n">
        <v>16</v>
      </c>
      <c r="U13" s="10" t="n">
        <v>16</v>
      </c>
      <c r="V13" s="10" t="n">
        <v>16</v>
      </c>
      <c r="W13" s="10" t="n">
        <v>4</v>
      </c>
      <c r="X13" s="10" t="n">
        <v>17</v>
      </c>
      <c r="Y13" s="10" t="n">
        <v>16</v>
      </c>
      <c r="Z13" s="10" t="n">
        <v>10</v>
      </c>
      <c r="AA13" s="10" t="n">
        <v>12</v>
      </c>
      <c r="AB13" s="10" t="n">
        <v>12</v>
      </c>
      <c r="AC13" s="10"/>
      <c r="AD13" s="10" t="n">
        <v>13</v>
      </c>
      <c r="AE13" s="10" t="n">
        <v>10</v>
      </c>
      <c r="AF13" s="10" t="n">
        <v>8</v>
      </c>
      <c r="AG13" s="10" t="n">
        <v>8</v>
      </c>
      <c r="AH13" s="10" t="n">
        <v>11</v>
      </c>
      <c r="AI13" s="10" t="n">
        <v>16</v>
      </c>
      <c r="AJ13" s="10" t="n">
        <v>16</v>
      </c>
      <c r="AK13" s="10" t="n">
        <v>16</v>
      </c>
      <c r="AL13" s="10" t="n">
        <v>16</v>
      </c>
      <c r="AM13" s="10" t="n">
        <v>1</v>
      </c>
      <c r="AN13" s="10" t="n">
        <v>16</v>
      </c>
      <c r="AO13" s="10" t="n">
        <v>17</v>
      </c>
      <c r="AP13" s="10" t="n">
        <v>12</v>
      </c>
      <c r="AQ13" s="10" t="n">
        <v>16</v>
      </c>
      <c r="AR13" s="10" t="n">
        <v>3</v>
      </c>
      <c r="AS13" s="10" t="n">
        <v>4</v>
      </c>
      <c r="AT13" s="10" t="n">
        <v>4</v>
      </c>
      <c r="AU13" s="10" t="n">
        <v>9</v>
      </c>
      <c r="AV13" s="10" t="n">
        <v>9</v>
      </c>
      <c r="AW13" s="10" t="n">
        <v>9</v>
      </c>
      <c r="AX13" s="10" t="n">
        <v>2</v>
      </c>
      <c r="AY13" s="10" t="n">
        <v>9</v>
      </c>
      <c r="AZ13" s="10" t="n">
        <v>9</v>
      </c>
      <c r="BA13" s="10" t="n">
        <v>11</v>
      </c>
      <c r="BB13" s="10" t="n">
        <v>7</v>
      </c>
      <c r="BC13" s="10" t="n">
        <v>13</v>
      </c>
      <c r="BD13" s="10" t="n">
        <v>7</v>
      </c>
      <c r="BE13" s="10" t="n">
        <v>15</v>
      </c>
      <c r="BF13" s="10" t="n">
        <v>15</v>
      </c>
      <c r="BG13" s="10" t="n">
        <v>8</v>
      </c>
      <c r="BH13" s="10" t="n">
        <v>8</v>
      </c>
      <c r="BI13" s="10" t="n">
        <v>9</v>
      </c>
      <c r="BJ13" s="10" t="n">
        <v>9</v>
      </c>
      <c r="BK13" s="10" t="n">
        <v>9</v>
      </c>
      <c r="BL13" s="10"/>
      <c r="BM13" s="10" t="n">
        <v>15</v>
      </c>
      <c r="BN13" s="10" t="n">
        <v>15</v>
      </c>
      <c r="BO13" s="10" t="n">
        <v>11</v>
      </c>
      <c r="BP13" s="10" t="n">
        <v>11</v>
      </c>
      <c r="BQ13" s="10" t="n">
        <v>10</v>
      </c>
      <c r="BR13" s="10" t="n">
        <v>11</v>
      </c>
      <c r="BS13" s="10" t="n">
        <v>7</v>
      </c>
      <c r="BT13" s="10" t="n">
        <v>7</v>
      </c>
      <c r="BU13" s="10" t="n">
        <v>2</v>
      </c>
      <c r="BV13" s="10" t="n">
        <v>2</v>
      </c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</row>
    <row r="14" customFormat="false" ht="12.75" hidden="false" customHeight="false" outlineLevel="0" collapsed="false">
      <c r="A14" s="7" t="s">
        <v>31</v>
      </c>
      <c r="B14" s="7" t="s">
        <v>32</v>
      </c>
      <c r="C14" s="8" t="n">
        <v>28</v>
      </c>
      <c r="D14" s="8" t="n">
        <v>4</v>
      </c>
      <c r="E14" s="8" t="n">
        <v>24</v>
      </c>
      <c r="F14" s="8" t="n">
        <v>9</v>
      </c>
      <c r="G14" s="9" t="n">
        <v>15</v>
      </c>
      <c r="H14" s="10" t="n">
        <v>4</v>
      </c>
      <c r="I14" s="10" t="n">
        <v>2</v>
      </c>
      <c r="J14" s="10" t="n">
        <v>2</v>
      </c>
      <c r="K14" s="10" t="n">
        <v>2</v>
      </c>
      <c r="L14" s="10" t="n">
        <v>2</v>
      </c>
      <c r="M14" s="10" t="n">
        <v>2</v>
      </c>
      <c r="N14" s="10" t="n">
        <v>2</v>
      </c>
      <c r="O14" s="10" t="n">
        <v>2</v>
      </c>
      <c r="P14" s="10" t="n">
        <v>2</v>
      </c>
      <c r="Q14" s="10" t="n">
        <v>2</v>
      </c>
      <c r="R14" s="10" t="n">
        <v>2</v>
      </c>
      <c r="S14" s="10" t="n">
        <v>2</v>
      </c>
      <c r="T14" s="10" t="n">
        <v>2</v>
      </c>
      <c r="U14" s="10" t="n">
        <v>2</v>
      </c>
      <c r="V14" s="10" t="n">
        <v>2</v>
      </c>
      <c r="W14" s="10"/>
      <c r="X14" s="10"/>
      <c r="Y14" s="10"/>
      <c r="Z14" s="10"/>
      <c r="AA14" s="10"/>
      <c r="AB14" s="10"/>
      <c r="AC14" s="10"/>
      <c r="AD14" s="10"/>
      <c r="AE14" s="10" t="n">
        <v>2</v>
      </c>
      <c r="AF14" s="10" t="n">
        <v>2</v>
      </c>
      <c r="AG14" s="10" t="n">
        <v>2</v>
      </c>
      <c r="AH14" s="10" t="n">
        <v>2</v>
      </c>
      <c r="AI14" s="10" t="n">
        <v>2</v>
      </c>
      <c r="AJ14" s="10" t="n">
        <v>2</v>
      </c>
      <c r="AK14" s="10" t="n">
        <v>2</v>
      </c>
      <c r="AL14" s="10" t="n">
        <v>2</v>
      </c>
      <c r="AM14" s="10"/>
      <c r="AN14" s="10"/>
      <c r="AO14" s="10"/>
      <c r="AP14" s="10"/>
      <c r="AQ14" s="10"/>
      <c r="AR14" s="10"/>
      <c r="AS14" s="10"/>
      <c r="AT14" s="10" t="n">
        <v>2</v>
      </c>
      <c r="AU14" s="10" t="n">
        <v>2</v>
      </c>
      <c r="AV14" s="10" t="n">
        <v>2</v>
      </c>
      <c r="AW14" s="10" t="n">
        <v>2</v>
      </c>
      <c r="AX14" s="10"/>
      <c r="AY14" s="10" t="n">
        <v>2</v>
      </c>
      <c r="AZ14" s="10"/>
      <c r="BA14" s="10"/>
      <c r="BB14" s="10"/>
      <c r="BC14" s="10"/>
      <c r="BD14" s="10"/>
      <c r="BE14" s="10" t="n">
        <v>2</v>
      </c>
      <c r="BF14" s="10" t="n">
        <v>2</v>
      </c>
      <c r="BG14" s="10" t="n">
        <v>2</v>
      </c>
      <c r="BH14" s="10" t="n">
        <v>2</v>
      </c>
      <c r="BI14" s="10" t="n">
        <v>2</v>
      </c>
      <c r="BJ14" s="10" t="n">
        <v>2</v>
      </c>
      <c r="BK14" s="10" t="n">
        <v>2</v>
      </c>
      <c r="BL14" s="10"/>
      <c r="BM14" s="10" t="n">
        <v>2</v>
      </c>
      <c r="BN14" s="10" t="n">
        <v>2</v>
      </c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</row>
    <row r="15" customFormat="false" ht="12.75" hidden="false" customHeight="false" outlineLevel="0" collapsed="false">
      <c r="A15" s="7" t="s">
        <v>33</v>
      </c>
      <c r="B15" s="7" t="s">
        <v>34</v>
      </c>
      <c r="C15" s="8" t="n">
        <v>57</v>
      </c>
      <c r="D15" s="8" t="n">
        <v>0</v>
      </c>
      <c r="E15" s="8" t="n">
        <v>57</v>
      </c>
      <c r="F15" s="8" t="n">
        <v>1</v>
      </c>
      <c r="G15" s="9" t="n">
        <v>56</v>
      </c>
      <c r="H15" s="10" t="n">
        <v>19</v>
      </c>
      <c r="I15" s="10" t="n">
        <v>23</v>
      </c>
      <c r="J15" s="10" t="n">
        <v>33</v>
      </c>
      <c r="K15" s="10" t="n">
        <v>25</v>
      </c>
      <c r="L15" s="10" t="n">
        <v>28</v>
      </c>
      <c r="M15" s="10" t="n">
        <v>28</v>
      </c>
      <c r="N15" s="10" t="n">
        <v>27</v>
      </c>
      <c r="O15" s="10" t="n">
        <v>27</v>
      </c>
      <c r="P15" s="10" t="n">
        <v>20</v>
      </c>
      <c r="Q15" s="10" t="n">
        <v>15</v>
      </c>
      <c r="R15" s="10" t="n">
        <v>24</v>
      </c>
      <c r="S15" s="10" t="n">
        <v>24</v>
      </c>
      <c r="T15" s="10" t="n">
        <v>28</v>
      </c>
      <c r="U15" s="10" t="n">
        <v>28</v>
      </c>
      <c r="V15" s="10" t="n">
        <v>31</v>
      </c>
      <c r="W15" s="10" t="n">
        <v>2</v>
      </c>
      <c r="X15" s="10" t="n">
        <v>24</v>
      </c>
      <c r="Y15" s="10" t="n">
        <v>28</v>
      </c>
      <c r="Z15" s="10" t="n">
        <v>29</v>
      </c>
      <c r="AA15" s="10" t="n">
        <v>31</v>
      </c>
      <c r="AB15" s="10" t="n">
        <v>31</v>
      </c>
      <c r="AC15" s="10"/>
      <c r="AD15" s="10" t="n">
        <v>30</v>
      </c>
      <c r="AE15" s="10" t="n">
        <v>33</v>
      </c>
      <c r="AF15" s="10" t="n">
        <v>22</v>
      </c>
      <c r="AG15" s="10" t="n">
        <v>22</v>
      </c>
      <c r="AH15" s="10" t="n">
        <v>25</v>
      </c>
      <c r="AI15" s="10" t="n">
        <v>23</v>
      </c>
      <c r="AJ15" s="10" t="n">
        <v>23</v>
      </c>
      <c r="AK15" s="10" t="n">
        <v>23</v>
      </c>
      <c r="AL15" s="10" t="n">
        <v>23</v>
      </c>
      <c r="AM15" s="10" t="n">
        <v>3</v>
      </c>
      <c r="AN15" s="10" t="n">
        <v>22</v>
      </c>
      <c r="AO15" s="10" t="n">
        <v>22</v>
      </c>
      <c r="AP15" s="10" t="n">
        <v>16</v>
      </c>
      <c r="AQ15" s="10" t="n">
        <v>10</v>
      </c>
      <c r="AR15" s="10" t="n">
        <v>20</v>
      </c>
      <c r="AS15" s="10" t="n">
        <v>21</v>
      </c>
      <c r="AT15" s="10" t="n">
        <v>22</v>
      </c>
      <c r="AU15" s="10" t="n">
        <v>26</v>
      </c>
      <c r="AV15" s="10" t="n">
        <v>26</v>
      </c>
      <c r="AW15" s="10" t="n">
        <v>26</v>
      </c>
      <c r="AX15" s="10" t="n">
        <v>4</v>
      </c>
      <c r="AY15" s="10" t="n">
        <v>32</v>
      </c>
      <c r="AZ15" s="10" t="n">
        <v>28</v>
      </c>
      <c r="BA15" s="10" t="n">
        <v>27</v>
      </c>
      <c r="BB15" s="10" t="n">
        <v>35</v>
      </c>
      <c r="BC15" s="10" t="n">
        <v>36</v>
      </c>
      <c r="BD15" s="10" t="n">
        <v>3</v>
      </c>
      <c r="BE15" s="10" t="n">
        <v>31</v>
      </c>
      <c r="BF15" s="10" t="n">
        <v>31</v>
      </c>
      <c r="BG15" s="10" t="n">
        <v>20</v>
      </c>
      <c r="BH15" s="10" t="n">
        <v>21</v>
      </c>
      <c r="BI15" s="10" t="n">
        <v>21</v>
      </c>
      <c r="BJ15" s="10" t="n">
        <v>27</v>
      </c>
      <c r="BK15" s="10" t="n">
        <v>21</v>
      </c>
      <c r="BL15" s="10"/>
      <c r="BM15" s="10" t="n">
        <v>22</v>
      </c>
      <c r="BN15" s="10" t="n">
        <v>22</v>
      </c>
      <c r="BO15" s="10" t="n">
        <v>21</v>
      </c>
      <c r="BP15" s="10" t="n">
        <v>15</v>
      </c>
      <c r="BQ15" s="10" t="n">
        <v>9</v>
      </c>
      <c r="BR15" s="10" t="n">
        <v>9</v>
      </c>
      <c r="BS15" s="10" t="n">
        <v>6</v>
      </c>
      <c r="BT15" s="10" t="n">
        <v>6</v>
      </c>
      <c r="BU15" s="10" t="n">
        <v>4</v>
      </c>
      <c r="BV15" s="10" t="n">
        <v>4</v>
      </c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</row>
    <row r="16" customFormat="false" ht="12.75" hidden="false" customHeight="false" outlineLevel="0" collapsed="false">
      <c r="A16" s="7" t="s">
        <v>35</v>
      </c>
      <c r="B16" s="7" t="s">
        <v>36</v>
      </c>
      <c r="C16" s="8" t="n">
        <v>4</v>
      </c>
      <c r="D16" s="8" t="n">
        <v>0</v>
      </c>
      <c r="E16" s="8" t="n">
        <v>4</v>
      </c>
      <c r="F16" s="8" t="n">
        <v>0</v>
      </c>
      <c r="G16" s="9" t="n">
        <v>4</v>
      </c>
      <c r="H16" s="10" t="n">
        <v>2</v>
      </c>
      <c r="I16" s="10" t="n">
        <v>2</v>
      </c>
      <c r="J16" s="10"/>
      <c r="K16" s="10" t="n">
        <v>2</v>
      </c>
      <c r="L16" s="10" t="n">
        <v>2</v>
      </c>
      <c r="M16" s="10" t="n">
        <v>2</v>
      </c>
      <c r="N16" s="10" t="n">
        <v>2</v>
      </c>
      <c r="O16" s="10" t="n">
        <v>2</v>
      </c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 t="n">
        <v>2</v>
      </c>
      <c r="AA16" s="10" t="n">
        <v>2</v>
      </c>
      <c r="AB16" s="10" t="n">
        <v>2</v>
      </c>
      <c r="AC16" s="10" t="n">
        <v>2</v>
      </c>
      <c r="AD16" s="10" t="n">
        <v>2</v>
      </c>
      <c r="AE16" s="10" t="n">
        <v>2</v>
      </c>
      <c r="AF16" s="10" t="n">
        <v>2</v>
      </c>
      <c r="AG16" s="10" t="n">
        <v>2</v>
      </c>
      <c r="AH16" s="10" t="n">
        <v>2</v>
      </c>
      <c r="AI16" s="10" t="n">
        <v>2</v>
      </c>
      <c r="AJ16" s="10" t="n">
        <v>2</v>
      </c>
      <c r="AK16" s="10" t="n">
        <v>2</v>
      </c>
      <c r="AL16" s="10" t="n">
        <v>2</v>
      </c>
      <c r="AM16" s="10" t="n">
        <v>2</v>
      </c>
      <c r="AN16" s="10" t="n">
        <v>2</v>
      </c>
      <c r="AO16" s="10" t="n">
        <v>2</v>
      </c>
      <c r="AP16" s="10" t="n">
        <v>2</v>
      </c>
      <c r="AQ16" s="10" t="n">
        <v>2</v>
      </c>
      <c r="AR16" s="10" t="n">
        <v>2</v>
      </c>
      <c r="AS16" s="10" t="n">
        <v>2</v>
      </c>
      <c r="AT16" s="10" t="n">
        <v>2</v>
      </c>
      <c r="AU16" s="10" t="n">
        <v>2</v>
      </c>
      <c r="AV16" s="10" t="n">
        <v>2</v>
      </c>
      <c r="AW16" s="10" t="n">
        <v>2</v>
      </c>
      <c r="AX16" s="10" t="n">
        <v>2</v>
      </c>
      <c r="AY16" s="10" t="n">
        <v>2</v>
      </c>
      <c r="AZ16" s="10" t="n">
        <v>2</v>
      </c>
      <c r="BA16" s="10" t="n">
        <v>2</v>
      </c>
      <c r="BB16" s="10" t="n">
        <v>2</v>
      </c>
      <c r="BC16" s="10" t="n">
        <v>2</v>
      </c>
      <c r="BD16" s="10"/>
      <c r="BE16" s="10" t="n">
        <v>2</v>
      </c>
      <c r="BF16" s="10" t="n">
        <v>2</v>
      </c>
      <c r="BG16" s="10" t="n">
        <v>2</v>
      </c>
      <c r="BH16" s="10" t="n">
        <v>2</v>
      </c>
      <c r="BI16" s="10" t="n">
        <v>2</v>
      </c>
      <c r="BJ16" s="10" t="n">
        <v>2</v>
      </c>
      <c r="BK16" s="10" t="n">
        <v>2</v>
      </c>
      <c r="BL16" s="10" t="n">
        <v>2</v>
      </c>
      <c r="BM16" s="10" t="n">
        <v>2</v>
      </c>
      <c r="BN16" s="10" t="n">
        <v>4</v>
      </c>
      <c r="BO16" s="10" t="n">
        <v>4</v>
      </c>
      <c r="BP16" s="10" t="n">
        <v>4</v>
      </c>
      <c r="BQ16" s="10" t="n">
        <v>4</v>
      </c>
      <c r="BR16" s="10" t="n">
        <v>4</v>
      </c>
      <c r="BS16" s="10" t="n">
        <v>4</v>
      </c>
      <c r="BT16" s="10" t="n">
        <v>4</v>
      </c>
      <c r="BU16" s="10" t="n">
        <v>4</v>
      </c>
      <c r="BV16" s="10" t="n">
        <v>4</v>
      </c>
      <c r="BW16" s="10" t="n">
        <v>4</v>
      </c>
      <c r="BX16" s="10" t="n">
        <v>4</v>
      </c>
      <c r="BY16" s="10" t="n">
        <v>4</v>
      </c>
      <c r="BZ16" s="10" t="n">
        <v>4</v>
      </c>
      <c r="CA16" s="10" t="n">
        <v>4</v>
      </c>
      <c r="CB16" s="10" t="n">
        <v>4</v>
      </c>
      <c r="CC16" s="10" t="n">
        <v>4</v>
      </c>
      <c r="CD16" s="10" t="n">
        <v>4</v>
      </c>
      <c r="CE16" s="10" t="n">
        <v>4</v>
      </c>
      <c r="CF16" s="10" t="n">
        <v>4</v>
      </c>
      <c r="CG16" s="10" t="n">
        <v>4</v>
      </c>
      <c r="CH16" s="10" t="n">
        <v>4</v>
      </c>
      <c r="CI16" s="10" t="n">
        <v>4</v>
      </c>
      <c r="CJ16" s="10" t="n">
        <v>4</v>
      </c>
      <c r="CK16" s="10" t="n">
        <v>4</v>
      </c>
      <c r="CL16" s="10" t="n">
        <v>4</v>
      </c>
      <c r="CM16" s="10" t="n">
        <v>2</v>
      </c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</row>
    <row r="17" customFormat="false" ht="12.75" hidden="false" customHeight="false" outlineLevel="0" collapsed="false">
      <c r="A17" s="7" t="s">
        <v>37</v>
      </c>
      <c r="B17" s="7" t="s">
        <v>38</v>
      </c>
      <c r="C17" s="8" t="n">
        <v>11</v>
      </c>
      <c r="D17" s="8" t="n">
        <v>0</v>
      </c>
      <c r="E17" s="8" t="n">
        <v>11</v>
      </c>
      <c r="F17" s="8" t="n">
        <v>0</v>
      </c>
      <c r="G17" s="9" t="n">
        <v>11</v>
      </c>
      <c r="H17" s="10" t="n">
        <v>2</v>
      </c>
      <c r="I17" s="10" t="n">
        <v>6</v>
      </c>
      <c r="J17" s="10" t="n">
        <v>7</v>
      </c>
      <c r="K17" s="10" t="n">
        <v>3</v>
      </c>
      <c r="L17" s="10" t="n">
        <v>4</v>
      </c>
      <c r="M17" s="10" t="n">
        <v>4</v>
      </c>
      <c r="N17" s="10" t="n">
        <v>4</v>
      </c>
      <c r="O17" s="10" t="n">
        <v>4</v>
      </c>
      <c r="P17" s="10" t="n">
        <v>3</v>
      </c>
      <c r="Q17" s="10" t="n">
        <v>4</v>
      </c>
      <c r="R17" s="10" t="n">
        <v>4</v>
      </c>
      <c r="S17" s="10" t="n">
        <v>4</v>
      </c>
      <c r="T17" s="10" t="n">
        <v>4</v>
      </c>
      <c r="U17" s="10" t="n">
        <v>4</v>
      </c>
      <c r="V17" s="10" t="n">
        <v>4</v>
      </c>
      <c r="W17" s="10" t="n">
        <v>1</v>
      </c>
      <c r="X17" s="10" t="n">
        <v>3</v>
      </c>
      <c r="Y17" s="10" t="n">
        <v>4</v>
      </c>
      <c r="Z17" s="10" t="n">
        <v>5</v>
      </c>
      <c r="AA17" s="10" t="n">
        <v>2</v>
      </c>
      <c r="AB17" s="10" t="n">
        <v>2</v>
      </c>
      <c r="AC17" s="10"/>
      <c r="AD17" s="10" t="n">
        <v>4</v>
      </c>
      <c r="AE17" s="10" t="n">
        <v>6</v>
      </c>
      <c r="AF17" s="10" t="n">
        <v>4</v>
      </c>
      <c r="AG17" s="10" t="n">
        <v>4</v>
      </c>
      <c r="AH17" s="10" t="n">
        <v>4</v>
      </c>
      <c r="AI17" s="10" t="n">
        <v>3</v>
      </c>
      <c r="AJ17" s="10" t="n">
        <v>3</v>
      </c>
      <c r="AK17" s="10" t="n">
        <v>3</v>
      </c>
      <c r="AL17" s="10" t="n">
        <v>3</v>
      </c>
      <c r="AM17" s="10"/>
      <c r="AN17" s="10" t="n">
        <v>2</v>
      </c>
      <c r="AO17" s="10" t="n">
        <v>2</v>
      </c>
      <c r="AP17" s="10" t="n">
        <v>1</v>
      </c>
      <c r="AQ17" s="10" t="n">
        <v>1</v>
      </c>
      <c r="AR17" s="10" t="n">
        <v>4</v>
      </c>
      <c r="AS17" s="10" t="n">
        <v>4</v>
      </c>
      <c r="AT17" s="10"/>
      <c r="AU17" s="10" t="n">
        <v>1</v>
      </c>
      <c r="AV17" s="10" t="n">
        <v>1</v>
      </c>
      <c r="AW17" s="10" t="n">
        <v>1</v>
      </c>
      <c r="AX17" s="10"/>
      <c r="AY17" s="10" t="n">
        <v>3</v>
      </c>
      <c r="AZ17" s="10" t="n">
        <v>2</v>
      </c>
      <c r="BA17" s="10" t="n">
        <v>2</v>
      </c>
      <c r="BB17" s="10" t="n">
        <v>6</v>
      </c>
      <c r="BC17" s="10" t="n">
        <v>6</v>
      </c>
      <c r="BD17" s="10"/>
      <c r="BE17" s="10" t="n">
        <v>7</v>
      </c>
      <c r="BF17" s="10" t="n">
        <v>7</v>
      </c>
      <c r="BG17" s="10" t="n">
        <v>3</v>
      </c>
      <c r="BH17" s="10" t="n">
        <v>3</v>
      </c>
      <c r="BI17" s="10" t="n">
        <v>4</v>
      </c>
      <c r="BJ17" s="10" t="n">
        <v>5</v>
      </c>
      <c r="BK17" s="10" t="n">
        <v>4</v>
      </c>
      <c r="BL17" s="10"/>
      <c r="BM17" s="10" t="n">
        <v>4</v>
      </c>
      <c r="BN17" s="10" t="n">
        <v>4</v>
      </c>
      <c r="BO17" s="10" t="n">
        <v>3</v>
      </c>
      <c r="BP17" s="10" t="n">
        <v>1</v>
      </c>
      <c r="BQ17" s="10"/>
      <c r="BR17" s="10" t="n">
        <v>2</v>
      </c>
      <c r="BS17" s="10" t="n">
        <v>3</v>
      </c>
      <c r="BT17" s="10" t="n">
        <v>3</v>
      </c>
      <c r="BU17" s="10" t="n">
        <v>5</v>
      </c>
      <c r="BV17" s="10" t="n">
        <v>5</v>
      </c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</row>
    <row r="18" customFormat="false" ht="12.75" hidden="false" customHeight="false" outlineLevel="0" collapsed="false">
      <c r="A18" s="7" t="s">
        <v>39</v>
      </c>
      <c r="B18" s="7" t="s">
        <v>40</v>
      </c>
      <c r="C18" s="8" t="n">
        <v>12</v>
      </c>
      <c r="D18" s="8" t="n">
        <v>1</v>
      </c>
      <c r="E18" s="8" t="n">
        <v>11</v>
      </c>
      <c r="F18" s="8" t="n">
        <v>0</v>
      </c>
      <c r="G18" s="9" t="n">
        <v>11</v>
      </c>
      <c r="H18" s="10" t="n">
        <v>6</v>
      </c>
      <c r="I18" s="10" t="n">
        <v>6</v>
      </c>
      <c r="J18" s="10" t="n">
        <v>4</v>
      </c>
      <c r="K18" s="10" t="n">
        <v>6</v>
      </c>
      <c r="L18" s="10" t="n">
        <v>5</v>
      </c>
      <c r="M18" s="10" t="n">
        <v>5</v>
      </c>
      <c r="N18" s="10" t="n">
        <v>5</v>
      </c>
      <c r="O18" s="10" t="n">
        <v>5</v>
      </c>
      <c r="P18" s="10" t="n">
        <v>3</v>
      </c>
      <c r="Q18" s="10" t="n">
        <v>3</v>
      </c>
      <c r="R18" s="10" t="n">
        <v>3</v>
      </c>
      <c r="S18" s="10" t="n">
        <v>3</v>
      </c>
      <c r="T18" s="10" t="n">
        <v>3</v>
      </c>
      <c r="U18" s="10" t="n">
        <v>4</v>
      </c>
      <c r="V18" s="10" t="n">
        <v>2</v>
      </c>
      <c r="W18" s="10"/>
      <c r="X18" s="10" t="n">
        <v>2</v>
      </c>
      <c r="Y18" s="10" t="n">
        <v>2</v>
      </c>
      <c r="Z18" s="10" t="n">
        <v>4</v>
      </c>
      <c r="AA18" s="10" t="n">
        <v>4</v>
      </c>
      <c r="AB18" s="10" t="n">
        <v>4</v>
      </c>
      <c r="AC18" s="10" t="n">
        <v>3</v>
      </c>
      <c r="AD18" s="10" t="n">
        <v>3</v>
      </c>
      <c r="AE18" s="10" t="n">
        <v>3</v>
      </c>
      <c r="AF18" s="10" t="n">
        <v>4</v>
      </c>
      <c r="AG18" s="10" t="n">
        <v>6</v>
      </c>
      <c r="AH18" s="10" t="n">
        <v>6</v>
      </c>
      <c r="AI18" s="10" t="n">
        <v>6</v>
      </c>
      <c r="AJ18" s="10" t="n">
        <v>6</v>
      </c>
      <c r="AK18" s="10" t="n">
        <v>6</v>
      </c>
      <c r="AL18" s="10" t="n">
        <v>6</v>
      </c>
      <c r="AM18" s="10" t="n">
        <v>6</v>
      </c>
      <c r="AN18" s="10" t="n">
        <v>6</v>
      </c>
      <c r="AO18" s="10" t="n">
        <v>6</v>
      </c>
      <c r="AP18" s="10" t="n">
        <v>6</v>
      </c>
      <c r="AQ18" s="10" t="n">
        <v>6</v>
      </c>
      <c r="AR18" s="10" t="n">
        <v>6</v>
      </c>
      <c r="AS18" s="10" t="n">
        <v>6</v>
      </c>
      <c r="AT18" s="10" t="n">
        <v>6</v>
      </c>
      <c r="AU18" s="10" t="n">
        <v>6</v>
      </c>
      <c r="AV18" s="10" t="n">
        <v>6</v>
      </c>
      <c r="AW18" s="10" t="n">
        <v>6</v>
      </c>
      <c r="AX18" s="10" t="n">
        <v>6</v>
      </c>
      <c r="AY18" s="10" t="n">
        <v>6</v>
      </c>
      <c r="AZ18" s="10" t="n">
        <v>6</v>
      </c>
      <c r="BA18" s="10" t="n">
        <v>7</v>
      </c>
      <c r="BB18" s="10" t="n">
        <v>7</v>
      </c>
      <c r="BC18" s="10" t="n">
        <v>7</v>
      </c>
      <c r="BD18" s="10" t="n">
        <v>3</v>
      </c>
      <c r="BE18" s="10" t="n">
        <v>7</v>
      </c>
      <c r="BF18" s="10" t="n">
        <v>6</v>
      </c>
      <c r="BG18" s="10" t="n">
        <v>6</v>
      </c>
      <c r="BH18" s="10" t="n">
        <v>7</v>
      </c>
      <c r="BI18" s="10" t="n">
        <v>7</v>
      </c>
      <c r="BJ18" s="10" t="n">
        <v>7</v>
      </c>
      <c r="BK18" s="10" t="n">
        <v>7</v>
      </c>
      <c r="BL18" s="10" t="n">
        <v>6</v>
      </c>
      <c r="BM18" s="10" t="n">
        <v>7</v>
      </c>
      <c r="BN18" s="10" t="n">
        <v>9</v>
      </c>
      <c r="BO18" s="10" t="n">
        <v>7</v>
      </c>
      <c r="BP18" s="10" t="n">
        <v>7</v>
      </c>
      <c r="BQ18" s="10" t="n">
        <v>7</v>
      </c>
      <c r="BR18" s="10" t="n">
        <v>7</v>
      </c>
      <c r="BS18" s="10" t="n">
        <v>6</v>
      </c>
      <c r="BT18" s="10" t="n">
        <v>6</v>
      </c>
      <c r="BU18" s="10" t="n">
        <v>6</v>
      </c>
      <c r="BV18" s="10" t="n">
        <v>6</v>
      </c>
      <c r="BW18" s="10" t="n">
        <v>6</v>
      </c>
      <c r="BX18" s="10" t="n">
        <v>6</v>
      </c>
      <c r="BY18" s="10" t="n">
        <v>8</v>
      </c>
      <c r="BZ18" s="10" t="n">
        <v>8</v>
      </c>
      <c r="CA18" s="10" t="n">
        <v>8</v>
      </c>
      <c r="CB18" s="10" t="n">
        <v>8</v>
      </c>
      <c r="CC18" s="10" t="n">
        <v>8</v>
      </c>
      <c r="CD18" s="10" t="n">
        <v>8</v>
      </c>
      <c r="CE18" s="10" t="n">
        <v>8</v>
      </c>
      <c r="CF18" s="10" t="n">
        <v>8</v>
      </c>
      <c r="CG18" s="10" t="n">
        <v>6</v>
      </c>
      <c r="CH18" s="10" t="n">
        <v>8</v>
      </c>
      <c r="CI18" s="10" t="n">
        <v>6</v>
      </c>
      <c r="CJ18" s="10" t="n">
        <v>5</v>
      </c>
      <c r="CK18" s="10" t="n">
        <v>4</v>
      </c>
      <c r="CL18" s="10" t="n">
        <v>4</v>
      </c>
      <c r="CM18" s="10" t="n">
        <v>2</v>
      </c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</row>
    <row r="19" customFormat="false" ht="12.75" hidden="false" customHeight="false" outlineLevel="0" collapsed="false">
      <c r="A19" s="7" t="s">
        <v>41</v>
      </c>
      <c r="B19" s="7" t="s">
        <v>42</v>
      </c>
      <c r="C19" s="8" t="n">
        <v>5</v>
      </c>
      <c r="D19" s="8" t="n">
        <v>0</v>
      </c>
      <c r="E19" s="8" t="n">
        <v>5</v>
      </c>
      <c r="F19" s="8" t="n">
        <v>2</v>
      </c>
      <c r="G19" s="9" t="n">
        <v>3</v>
      </c>
      <c r="H19" s="10" t="n">
        <v>3</v>
      </c>
      <c r="I19" s="10" t="n">
        <v>2</v>
      </c>
      <c r="J19" s="10" t="n">
        <v>2</v>
      </c>
      <c r="K19" s="10" t="n">
        <v>2</v>
      </c>
      <c r="L19" s="10" t="n">
        <v>2</v>
      </c>
      <c r="M19" s="10" t="n">
        <v>2</v>
      </c>
      <c r="N19" s="10" t="n">
        <v>2</v>
      </c>
      <c r="O19" s="10" t="n">
        <v>6</v>
      </c>
      <c r="P19" s="10" t="n">
        <v>6</v>
      </c>
      <c r="Q19" s="10" t="n">
        <v>6</v>
      </c>
      <c r="R19" s="10" t="n">
        <v>6</v>
      </c>
      <c r="S19" s="10" t="n">
        <v>6</v>
      </c>
      <c r="T19" s="10" t="n">
        <v>6</v>
      </c>
      <c r="U19" s="10" t="n">
        <v>6</v>
      </c>
      <c r="V19" s="10" t="n">
        <v>6</v>
      </c>
      <c r="W19" s="10" t="n">
        <v>4</v>
      </c>
      <c r="X19" s="10" t="n">
        <v>4</v>
      </c>
      <c r="Y19" s="10" t="n">
        <v>5</v>
      </c>
      <c r="Z19" s="10" t="n">
        <v>1</v>
      </c>
      <c r="AA19" s="10"/>
      <c r="AB19" s="10"/>
      <c r="AC19" s="10"/>
      <c r="AD19" s="10"/>
      <c r="AE19" s="10" t="n">
        <v>2</v>
      </c>
      <c r="AF19" s="10" t="n">
        <v>2</v>
      </c>
      <c r="AG19" s="10" t="n">
        <v>2</v>
      </c>
      <c r="AH19" s="10" t="n">
        <v>2</v>
      </c>
      <c r="AI19" s="10" t="n">
        <v>2</v>
      </c>
      <c r="AJ19" s="10" t="n">
        <v>6</v>
      </c>
      <c r="AK19" s="10" t="n">
        <v>6</v>
      </c>
      <c r="AL19" s="10" t="n">
        <v>6</v>
      </c>
      <c r="AM19" s="10"/>
      <c r="AN19" s="10" t="n">
        <v>5</v>
      </c>
      <c r="AO19" s="10" t="n">
        <v>5</v>
      </c>
      <c r="AP19" s="10" t="n">
        <v>4</v>
      </c>
      <c r="AQ19" s="10" t="n">
        <v>5</v>
      </c>
      <c r="AR19" s="10"/>
      <c r="AS19" s="10"/>
      <c r="AT19" s="10"/>
      <c r="AU19" s="10"/>
      <c r="AV19" s="10"/>
      <c r="AW19" s="10"/>
      <c r="AX19" s="10"/>
      <c r="AY19" s="10"/>
      <c r="AZ19" s="10"/>
      <c r="BA19" s="10" t="n">
        <v>1</v>
      </c>
      <c r="BB19" s="10" t="n">
        <v>1</v>
      </c>
      <c r="BC19" s="10" t="n">
        <v>1</v>
      </c>
      <c r="BD19" s="10"/>
      <c r="BE19" s="10" t="n">
        <v>3</v>
      </c>
      <c r="BF19" s="10" t="n">
        <v>3</v>
      </c>
      <c r="BG19" s="10" t="n">
        <v>3</v>
      </c>
      <c r="BH19" s="10" t="n">
        <v>3</v>
      </c>
      <c r="BI19" s="10" t="n">
        <v>6</v>
      </c>
      <c r="BJ19" s="10" t="n">
        <v>6</v>
      </c>
      <c r="BK19" s="10" t="n">
        <v>6</v>
      </c>
      <c r="BL19" s="10"/>
      <c r="BM19" s="10" t="n">
        <v>6</v>
      </c>
      <c r="BN19" s="10" t="n">
        <v>6</v>
      </c>
      <c r="BO19" s="10" t="n">
        <v>4</v>
      </c>
      <c r="BP19" s="10" t="n">
        <v>4</v>
      </c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</row>
    <row r="20" customFormat="false" ht="12.75" hidden="false" customHeight="false" outlineLevel="0" collapsed="false">
      <c r="A20" s="7" t="s">
        <v>43</v>
      </c>
      <c r="B20" s="7" t="s">
        <v>44</v>
      </c>
      <c r="C20" s="8" t="n">
        <v>6</v>
      </c>
      <c r="D20" s="8" t="n">
        <v>0</v>
      </c>
      <c r="E20" s="8" t="n">
        <v>6</v>
      </c>
      <c r="F20" s="8" t="n">
        <v>0</v>
      </c>
      <c r="G20" s="9" t="n">
        <v>6</v>
      </c>
      <c r="H20" s="10" t="n">
        <v>6</v>
      </c>
      <c r="I20" s="10" t="n">
        <v>5</v>
      </c>
      <c r="J20" s="10" t="n">
        <v>5</v>
      </c>
      <c r="K20" s="10" t="n">
        <v>1</v>
      </c>
      <c r="L20" s="10" t="n">
        <v>1</v>
      </c>
      <c r="M20" s="10" t="n">
        <v>1</v>
      </c>
      <c r="N20" s="10" t="n">
        <v>1</v>
      </c>
      <c r="O20" s="10" t="n">
        <v>1</v>
      </c>
      <c r="P20" s="10" t="n">
        <v>1</v>
      </c>
      <c r="Q20" s="10" t="n">
        <v>1</v>
      </c>
      <c r="R20" s="10" t="n">
        <v>1</v>
      </c>
      <c r="S20" s="10" t="n">
        <v>1</v>
      </c>
      <c r="T20" s="10" t="n">
        <v>1</v>
      </c>
      <c r="U20" s="10" t="n">
        <v>1</v>
      </c>
      <c r="V20" s="10" t="n">
        <v>1</v>
      </c>
      <c r="W20" s="10"/>
      <c r="X20" s="10" t="n">
        <v>1</v>
      </c>
      <c r="Y20" s="10" t="n">
        <v>2</v>
      </c>
      <c r="Z20" s="10" t="n">
        <v>3</v>
      </c>
      <c r="AA20" s="10" t="n">
        <v>3</v>
      </c>
      <c r="AB20" s="10" t="n">
        <v>3</v>
      </c>
      <c r="AC20" s="10"/>
      <c r="AD20" s="10" t="n">
        <v>2</v>
      </c>
      <c r="AE20" s="10" t="n">
        <v>2</v>
      </c>
      <c r="AF20" s="10" t="n">
        <v>2</v>
      </c>
      <c r="AG20" s="10" t="n">
        <v>2</v>
      </c>
      <c r="AH20" s="10" t="n">
        <v>1</v>
      </c>
      <c r="AI20" s="10" t="n">
        <v>1</v>
      </c>
      <c r="AJ20" s="10" t="n">
        <v>1</v>
      </c>
      <c r="AK20" s="10" t="n">
        <v>1</v>
      </c>
      <c r="AL20" s="10" t="n">
        <v>1</v>
      </c>
      <c r="AM20" s="10"/>
      <c r="AN20" s="10" t="n">
        <v>2</v>
      </c>
      <c r="AO20" s="10" t="n">
        <v>1</v>
      </c>
      <c r="AP20" s="10"/>
      <c r="AQ20" s="10" t="n">
        <v>1</v>
      </c>
      <c r="AR20" s="10" t="n">
        <v>4</v>
      </c>
      <c r="AS20" s="10" t="n">
        <v>4</v>
      </c>
      <c r="AT20" s="10" t="n">
        <v>3</v>
      </c>
      <c r="AU20" s="10" t="n">
        <v>4</v>
      </c>
      <c r="AV20" s="10" t="n">
        <v>4</v>
      </c>
      <c r="AW20" s="10" t="n">
        <v>4</v>
      </c>
      <c r="AX20" s="10"/>
      <c r="AY20" s="10" t="n">
        <v>4</v>
      </c>
      <c r="AZ20" s="10" t="n">
        <v>1</v>
      </c>
      <c r="BA20" s="10" t="n">
        <v>2</v>
      </c>
      <c r="BB20" s="10" t="n">
        <v>5</v>
      </c>
      <c r="BC20" s="10" t="n">
        <v>5</v>
      </c>
      <c r="BD20" s="10"/>
      <c r="BE20" s="10" t="n">
        <v>6</v>
      </c>
      <c r="BF20" s="10" t="n">
        <v>6</v>
      </c>
      <c r="BG20" s="10" t="n">
        <v>3</v>
      </c>
      <c r="BH20" s="10" t="n">
        <v>3</v>
      </c>
      <c r="BI20" s="10" t="n">
        <v>1</v>
      </c>
      <c r="BJ20" s="10" t="n">
        <v>1</v>
      </c>
      <c r="BK20" s="10" t="n">
        <v>1</v>
      </c>
      <c r="BL20" s="10"/>
      <c r="BM20" s="10" t="n">
        <v>1</v>
      </c>
      <c r="BN20" s="10" t="n">
        <v>1</v>
      </c>
      <c r="BO20" s="10" t="n">
        <v>1</v>
      </c>
      <c r="BP20" s="10" t="n">
        <v>1</v>
      </c>
      <c r="BQ20" s="10"/>
      <c r="BR20" s="10" t="n">
        <v>1</v>
      </c>
      <c r="BS20" s="10" t="n">
        <v>1</v>
      </c>
      <c r="BT20" s="10" t="n">
        <v>1</v>
      </c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</row>
    <row r="21" customFormat="false" ht="12.75" hidden="false" customHeight="false" outlineLevel="0" collapsed="false">
      <c r="A21" s="7" t="s">
        <v>45</v>
      </c>
      <c r="B21" s="7" t="s">
        <v>46</v>
      </c>
      <c r="C21" s="8" t="n">
        <v>2</v>
      </c>
      <c r="D21" s="8" t="n">
        <v>0</v>
      </c>
      <c r="E21" s="8" t="n">
        <v>2</v>
      </c>
      <c r="F21" s="8" t="n">
        <v>0</v>
      </c>
      <c r="G21" s="9" t="n">
        <v>2</v>
      </c>
      <c r="H21" s="10" t="n">
        <v>1</v>
      </c>
      <c r="I21" s="10"/>
      <c r="J21" s="10"/>
      <c r="K21" s="10"/>
      <c r="L21" s="10"/>
      <c r="M21" s="10" t="n">
        <v>1</v>
      </c>
      <c r="N21" s="10" t="n">
        <v>1</v>
      </c>
      <c r="O21" s="10" t="n">
        <v>1</v>
      </c>
      <c r="P21" s="10" t="n">
        <v>1</v>
      </c>
      <c r="Q21" s="10" t="n">
        <v>1</v>
      </c>
      <c r="R21" s="10" t="n">
        <v>1</v>
      </c>
      <c r="S21" s="10" t="n">
        <v>1</v>
      </c>
      <c r="T21" s="10" t="n">
        <v>1</v>
      </c>
      <c r="U21" s="10" t="n">
        <v>1</v>
      </c>
      <c r="V21" s="10" t="n">
        <v>1</v>
      </c>
      <c r="W21" s="10" t="n">
        <v>1</v>
      </c>
      <c r="X21" s="10" t="n">
        <v>1</v>
      </c>
      <c r="Y21" s="10" t="n">
        <v>3</v>
      </c>
      <c r="Z21" s="10" t="n">
        <v>3</v>
      </c>
      <c r="AA21" s="10" t="n">
        <v>3</v>
      </c>
      <c r="AB21" s="10" t="n">
        <v>3</v>
      </c>
      <c r="AC21" s="10"/>
      <c r="AD21" s="10" t="n">
        <v>2</v>
      </c>
      <c r="AE21" s="10" t="n">
        <v>2</v>
      </c>
      <c r="AF21" s="10" t="n">
        <v>2</v>
      </c>
      <c r="AG21" s="10" t="n">
        <v>2</v>
      </c>
      <c r="AH21" s="10" t="n">
        <v>1</v>
      </c>
      <c r="AI21" s="10" t="n">
        <v>1</v>
      </c>
      <c r="AJ21" s="10" t="n">
        <v>1</v>
      </c>
      <c r="AK21" s="10" t="n">
        <v>1</v>
      </c>
      <c r="AL21" s="10" t="n">
        <v>1</v>
      </c>
      <c r="AM21" s="10"/>
      <c r="AN21" s="10" t="n">
        <v>2</v>
      </c>
      <c r="AO21" s="10" t="n">
        <v>2</v>
      </c>
      <c r="AP21" s="10" t="n">
        <v>1</v>
      </c>
      <c r="AQ21" s="10" t="n">
        <v>2</v>
      </c>
      <c r="AR21" s="10"/>
      <c r="AS21" s="10"/>
      <c r="AT21" s="10"/>
      <c r="AU21" s="10"/>
      <c r="AV21" s="10"/>
      <c r="AW21" s="10"/>
      <c r="AX21" s="10"/>
      <c r="AY21" s="10"/>
      <c r="AZ21" s="10"/>
      <c r="BA21" s="10" t="n">
        <v>1</v>
      </c>
      <c r="BB21" s="10" t="n">
        <v>1</v>
      </c>
      <c r="BC21" s="10" t="n">
        <v>1</v>
      </c>
      <c r="BD21" s="10"/>
      <c r="BE21" s="10" t="n">
        <v>1</v>
      </c>
      <c r="BF21" s="10" t="n">
        <v>1</v>
      </c>
      <c r="BG21" s="10" t="n">
        <v>1</v>
      </c>
      <c r="BH21" s="10" t="n">
        <v>1</v>
      </c>
      <c r="BI21" s="10" t="n">
        <v>1</v>
      </c>
      <c r="BJ21" s="10" t="n">
        <v>1</v>
      </c>
      <c r="BK21" s="10" t="n">
        <v>1</v>
      </c>
      <c r="BL21" s="10"/>
      <c r="BM21" s="10" t="n">
        <v>1</v>
      </c>
      <c r="BN21" s="10" t="n">
        <v>1</v>
      </c>
      <c r="BO21" s="10" t="n">
        <v>2</v>
      </c>
      <c r="BP21" s="10" t="n">
        <v>2</v>
      </c>
      <c r="BQ21" s="10"/>
      <c r="BR21" s="10" t="n">
        <v>4</v>
      </c>
      <c r="BS21" s="10" t="n">
        <v>3</v>
      </c>
      <c r="BT21" s="10" t="n">
        <v>3</v>
      </c>
      <c r="BU21" s="10" t="n">
        <v>1</v>
      </c>
      <c r="BV21" s="10" t="n">
        <v>1</v>
      </c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</row>
    <row r="22" customFormat="false" ht="12.75" hidden="false" customHeight="false" outlineLevel="0" collapsed="false">
      <c r="A22" s="7" t="s">
        <v>47</v>
      </c>
      <c r="B22" s="7" t="s">
        <v>48</v>
      </c>
      <c r="C22" s="8" t="n">
        <v>37</v>
      </c>
      <c r="D22" s="8" t="n">
        <v>0</v>
      </c>
      <c r="E22" s="8" t="n">
        <v>37</v>
      </c>
      <c r="F22" s="8" t="n">
        <v>0</v>
      </c>
      <c r="G22" s="9" t="n">
        <v>37</v>
      </c>
      <c r="H22" s="10" t="n">
        <v>13</v>
      </c>
      <c r="I22" s="10" t="n">
        <v>14</v>
      </c>
      <c r="J22" s="10" t="n">
        <v>12</v>
      </c>
      <c r="K22" s="10" t="n">
        <v>14</v>
      </c>
      <c r="L22" s="10" t="n">
        <v>10</v>
      </c>
      <c r="M22" s="10" t="n">
        <v>10</v>
      </c>
      <c r="N22" s="10" t="n">
        <v>10</v>
      </c>
      <c r="O22" s="10" t="n">
        <v>13</v>
      </c>
      <c r="P22" s="10" t="n">
        <v>16</v>
      </c>
      <c r="Q22" s="10" t="n">
        <v>18</v>
      </c>
      <c r="R22" s="10" t="n">
        <v>18</v>
      </c>
      <c r="S22" s="10" t="n">
        <v>18</v>
      </c>
      <c r="T22" s="10" t="n">
        <v>17</v>
      </c>
      <c r="U22" s="10" t="n">
        <v>18</v>
      </c>
      <c r="V22" s="10" t="n">
        <v>17</v>
      </c>
      <c r="W22" s="10" t="n">
        <v>4</v>
      </c>
      <c r="X22" s="10" t="n">
        <v>16</v>
      </c>
      <c r="Y22" s="10" t="n">
        <v>20</v>
      </c>
      <c r="Z22" s="10" t="n">
        <v>13</v>
      </c>
      <c r="AA22" s="10" t="n">
        <v>12</v>
      </c>
      <c r="AB22" s="10" t="n">
        <v>12</v>
      </c>
      <c r="AC22" s="10" t="n">
        <v>4</v>
      </c>
      <c r="AD22" s="10" t="n">
        <v>12</v>
      </c>
      <c r="AE22" s="10" t="n">
        <v>13</v>
      </c>
      <c r="AF22" s="10" t="n">
        <v>14</v>
      </c>
      <c r="AG22" s="10" t="n">
        <v>16</v>
      </c>
      <c r="AH22" s="10" t="n">
        <v>15</v>
      </c>
      <c r="AI22" s="10" t="n">
        <v>15</v>
      </c>
      <c r="AJ22" s="10" t="n">
        <v>18</v>
      </c>
      <c r="AK22" s="10" t="n">
        <v>18</v>
      </c>
      <c r="AL22" s="10" t="n">
        <v>18</v>
      </c>
      <c r="AM22" s="10" t="n">
        <v>13</v>
      </c>
      <c r="AN22" s="10" t="n">
        <v>16</v>
      </c>
      <c r="AO22" s="10" t="n">
        <v>17</v>
      </c>
      <c r="AP22" s="10" t="n">
        <v>17</v>
      </c>
      <c r="AQ22" s="10" t="n">
        <v>18</v>
      </c>
      <c r="AR22" s="10" t="n">
        <v>14</v>
      </c>
      <c r="AS22" s="10" t="n">
        <v>13</v>
      </c>
      <c r="AT22" s="10" t="n">
        <v>13</v>
      </c>
      <c r="AU22" s="10" t="n">
        <v>13</v>
      </c>
      <c r="AV22" s="10" t="n">
        <v>13</v>
      </c>
      <c r="AW22" s="10" t="n">
        <v>13</v>
      </c>
      <c r="AX22" s="10" t="n">
        <v>12</v>
      </c>
      <c r="AY22" s="10" t="n">
        <v>15</v>
      </c>
      <c r="AZ22" s="10" t="n">
        <v>15</v>
      </c>
      <c r="BA22" s="10" t="n">
        <v>17</v>
      </c>
      <c r="BB22" s="10" t="n">
        <v>21</v>
      </c>
      <c r="BC22" s="10" t="n">
        <v>20</v>
      </c>
      <c r="BD22" s="10" t="n">
        <v>5</v>
      </c>
      <c r="BE22" s="10" t="n">
        <v>21</v>
      </c>
      <c r="BF22" s="10" t="n">
        <v>20</v>
      </c>
      <c r="BG22" s="10" t="n">
        <v>20</v>
      </c>
      <c r="BH22" s="10" t="n">
        <v>23</v>
      </c>
      <c r="BI22" s="10" t="n">
        <v>27</v>
      </c>
      <c r="BJ22" s="10" t="n">
        <v>28</v>
      </c>
      <c r="BK22" s="10" t="n">
        <v>27</v>
      </c>
      <c r="BL22" s="10" t="n">
        <v>12</v>
      </c>
      <c r="BM22" s="10" t="n">
        <v>22</v>
      </c>
      <c r="BN22" s="10" t="n">
        <v>22</v>
      </c>
      <c r="BO22" s="10" t="n">
        <v>19</v>
      </c>
      <c r="BP22" s="10" t="n">
        <v>17</v>
      </c>
      <c r="BQ22" s="10" t="n">
        <v>13</v>
      </c>
      <c r="BR22" s="10" t="n">
        <v>23</v>
      </c>
      <c r="BS22" s="10" t="n">
        <v>17</v>
      </c>
      <c r="BT22" s="10" t="n">
        <v>17</v>
      </c>
      <c r="BU22" s="10" t="n">
        <v>16</v>
      </c>
      <c r="BV22" s="10" t="n">
        <v>16</v>
      </c>
      <c r="BW22" s="10" t="n">
        <v>10</v>
      </c>
      <c r="BX22" s="10" t="n">
        <v>10</v>
      </c>
      <c r="BY22" s="10" t="n">
        <v>12</v>
      </c>
      <c r="BZ22" s="10" t="n">
        <v>12</v>
      </c>
      <c r="CA22" s="10" t="n">
        <v>12</v>
      </c>
      <c r="CB22" s="10" t="n">
        <v>12</v>
      </c>
      <c r="CC22" s="10" t="n">
        <v>12</v>
      </c>
      <c r="CD22" s="10" t="n">
        <v>12</v>
      </c>
      <c r="CE22" s="10" t="n">
        <v>12</v>
      </c>
      <c r="CF22" s="10" t="n">
        <v>12</v>
      </c>
      <c r="CG22" s="10" t="n">
        <v>6</v>
      </c>
      <c r="CH22" s="10" t="n">
        <v>12</v>
      </c>
      <c r="CI22" s="10" t="n">
        <v>10</v>
      </c>
      <c r="CJ22" s="10" t="n">
        <v>7</v>
      </c>
      <c r="CK22" s="10" t="n">
        <v>4</v>
      </c>
      <c r="CL22" s="10" t="n">
        <v>4</v>
      </c>
      <c r="CM22" s="10" t="n">
        <v>2</v>
      </c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</row>
    <row r="23" customFormat="false" ht="12.75" hidden="false" customHeight="false" outlineLevel="0" collapsed="false">
      <c r="A23" s="7" t="s">
        <v>49</v>
      </c>
      <c r="B23" s="7" t="s">
        <v>50</v>
      </c>
      <c r="C23" s="8" t="n">
        <v>21</v>
      </c>
      <c r="D23" s="8" t="n">
        <v>0</v>
      </c>
      <c r="E23" s="8" t="n">
        <v>21</v>
      </c>
      <c r="F23" s="8" t="n">
        <v>4</v>
      </c>
      <c r="G23" s="9" t="n">
        <v>17</v>
      </c>
      <c r="H23" s="10" t="n">
        <v>6</v>
      </c>
      <c r="I23" s="10" t="n">
        <v>5</v>
      </c>
      <c r="J23" s="10" t="n">
        <v>10</v>
      </c>
      <c r="K23" s="10" t="n">
        <v>10</v>
      </c>
      <c r="L23" s="10" t="n">
        <v>3</v>
      </c>
      <c r="M23" s="10" t="n">
        <v>1</v>
      </c>
      <c r="N23" s="10" t="n">
        <v>1</v>
      </c>
      <c r="O23" s="10" t="n">
        <v>1</v>
      </c>
      <c r="P23" s="10" t="n">
        <v>2</v>
      </c>
      <c r="Q23" s="10" t="n">
        <v>2</v>
      </c>
      <c r="R23" s="10" t="n">
        <v>7</v>
      </c>
      <c r="S23" s="10" t="n">
        <v>7</v>
      </c>
      <c r="T23" s="10" t="n">
        <v>7</v>
      </c>
      <c r="U23" s="10" t="n">
        <v>7</v>
      </c>
      <c r="V23" s="10" t="n">
        <v>7</v>
      </c>
      <c r="W23" s="10"/>
      <c r="X23" s="10" t="n">
        <v>1</v>
      </c>
      <c r="Y23" s="10" t="n">
        <v>1</v>
      </c>
      <c r="Z23" s="10"/>
      <c r="AA23" s="10" t="n">
        <v>6</v>
      </c>
      <c r="AB23" s="10" t="n">
        <v>6</v>
      </c>
      <c r="AC23" s="10"/>
      <c r="AD23" s="10" t="n">
        <v>5</v>
      </c>
      <c r="AE23" s="10" t="n">
        <v>5</v>
      </c>
      <c r="AF23" s="10" t="n">
        <v>3</v>
      </c>
      <c r="AG23" s="10" t="n">
        <v>3</v>
      </c>
      <c r="AH23" s="10" t="n">
        <v>5</v>
      </c>
      <c r="AI23" s="10" t="n">
        <v>3</v>
      </c>
      <c r="AJ23" s="10" t="n">
        <v>3</v>
      </c>
      <c r="AK23" s="10" t="n">
        <v>3</v>
      </c>
      <c r="AL23" s="10" t="n">
        <v>3</v>
      </c>
      <c r="AM23" s="10" t="n">
        <v>2</v>
      </c>
      <c r="AN23" s="10" t="n">
        <v>3</v>
      </c>
      <c r="AO23" s="10" t="n">
        <v>2</v>
      </c>
      <c r="AP23" s="10" t="n">
        <v>2</v>
      </c>
      <c r="AQ23" s="10" t="n">
        <v>2</v>
      </c>
      <c r="AR23" s="10" t="n">
        <v>7</v>
      </c>
      <c r="AS23" s="10" t="n">
        <v>7</v>
      </c>
      <c r="AT23" s="10" t="n">
        <v>7</v>
      </c>
      <c r="AU23" s="10" t="n">
        <v>2</v>
      </c>
      <c r="AV23" s="10" t="n">
        <v>2</v>
      </c>
      <c r="AW23" s="10" t="n">
        <v>2</v>
      </c>
      <c r="AX23" s="10" t="n">
        <v>2</v>
      </c>
      <c r="AY23" s="10" t="n">
        <v>2</v>
      </c>
      <c r="AZ23" s="10" t="n">
        <v>2</v>
      </c>
      <c r="BA23" s="10" t="n">
        <v>3</v>
      </c>
      <c r="BB23" s="10" t="n">
        <v>4</v>
      </c>
      <c r="BC23" s="10" t="n">
        <v>4</v>
      </c>
      <c r="BD23" s="10"/>
      <c r="BE23" s="10" t="n">
        <v>5</v>
      </c>
      <c r="BF23" s="10" t="n">
        <v>4</v>
      </c>
      <c r="BG23" s="10" t="n">
        <v>5</v>
      </c>
      <c r="BH23" s="10" t="n">
        <v>5</v>
      </c>
      <c r="BI23" s="10" t="n">
        <v>4</v>
      </c>
      <c r="BJ23" s="10" t="n">
        <v>4</v>
      </c>
      <c r="BK23" s="10" t="n">
        <v>4</v>
      </c>
      <c r="BL23" s="10" t="n">
        <v>2</v>
      </c>
      <c r="BM23" s="10" t="n">
        <v>3</v>
      </c>
      <c r="BN23" s="10" t="n">
        <v>1</v>
      </c>
      <c r="BO23" s="10"/>
      <c r="BP23" s="10"/>
      <c r="BQ23" s="10" t="n">
        <v>6</v>
      </c>
      <c r="BR23" s="10" t="n">
        <v>1</v>
      </c>
      <c r="BS23" s="10" t="n">
        <v>1</v>
      </c>
      <c r="BT23" s="10" t="n">
        <v>1</v>
      </c>
      <c r="BU23" s="10" t="n">
        <v>1</v>
      </c>
      <c r="BV23" s="10" t="n">
        <v>1</v>
      </c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</row>
    <row r="24" customFormat="false" ht="12.75" hidden="false" customHeight="false" outlineLevel="0" collapsed="false">
      <c r="A24" s="7" t="s">
        <v>51</v>
      </c>
      <c r="B24" s="7" t="s">
        <v>52</v>
      </c>
      <c r="C24" s="8" t="n">
        <v>2</v>
      </c>
      <c r="D24" s="8" t="n">
        <v>0</v>
      </c>
      <c r="E24" s="8" t="n">
        <v>2</v>
      </c>
      <c r="F24" s="8" t="n">
        <v>0</v>
      </c>
      <c r="G24" s="9" t="n">
        <v>2</v>
      </c>
      <c r="H24" s="10"/>
      <c r="I24" s="10" t="n">
        <v>1</v>
      </c>
      <c r="J24" s="10" t="n">
        <v>2</v>
      </c>
      <c r="K24" s="10" t="n">
        <v>1</v>
      </c>
      <c r="L24" s="10" t="n">
        <v>2</v>
      </c>
      <c r="M24" s="10" t="n">
        <v>2</v>
      </c>
      <c r="N24" s="10" t="n">
        <v>1</v>
      </c>
      <c r="O24" s="10" t="n">
        <v>1</v>
      </c>
      <c r="P24" s="10"/>
      <c r="Q24" s="10" t="n">
        <v>2</v>
      </c>
      <c r="R24" s="10" t="n">
        <v>1</v>
      </c>
      <c r="S24" s="10" t="n">
        <v>1</v>
      </c>
      <c r="T24" s="10" t="n">
        <v>1</v>
      </c>
      <c r="U24" s="10" t="n">
        <v>1</v>
      </c>
      <c r="V24" s="10" t="n">
        <v>2</v>
      </c>
      <c r="W24" s="10"/>
      <c r="X24" s="10" t="n">
        <v>2</v>
      </c>
      <c r="Y24" s="10" t="n">
        <v>2</v>
      </c>
      <c r="Z24" s="10" t="n">
        <v>1</v>
      </c>
      <c r="AA24" s="10" t="n">
        <v>1</v>
      </c>
      <c r="AB24" s="10" t="n">
        <v>1</v>
      </c>
      <c r="AC24" s="10"/>
      <c r="AD24" s="10" t="n">
        <v>1</v>
      </c>
      <c r="AE24" s="10" t="n">
        <v>1</v>
      </c>
      <c r="AF24" s="10"/>
      <c r="AG24" s="10"/>
      <c r="AH24" s="10"/>
      <c r="AI24" s="10"/>
      <c r="AJ24" s="10" t="n">
        <v>1</v>
      </c>
      <c r="AK24" s="10" t="n">
        <v>1</v>
      </c>
      <c r="AL24" s="10" t="n">
        <v>1</v>
      </c>
      <c r="AM24" s="10"/>
      <c r="AN24" s="10" t="n">
        <v>1</v>
      </c>
      <c r="AO24" s="10" t="n">
        <v>1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 t="n">
        <v>1</v>
      </c>
      <c r="AZ24" s="10" t="n">
        <v>1</v>
      </c>
      <c r="BA24" s="10" t="n">
        <v>1</v>
      </c>
      <c r="BB24" s="10" t="n">
        <v>1</v>
      </c>
      <c r="BC24" s="10" t="n">
        <v>1</v>
      </c>
      <c r="BD24" s="10"/>
      <c r="BE24" s="10" t="n">
        <v>1</v>
      </c>
      <c r="BF24" s="10" t="n">
        <v>1</v>
      </c>
      <c r="BG24" s="10" t="n">
        <v>1</v>
      </c>
      <c r="BH24" s="10" t="n">
        <v>1</v>
      </c>
      <c r="BI24" s="10" t="n">
        <v>1</v>
      </c>
      <c r="BJ24" s="10" t="n">
        <v>1</v>
      </c>
      <c r="BK24" s="10" t="n">
        <v>1</v>
      </c>
      <c r="BL24" s="10"/>
      <c r="BM24" s="10" t="n">
        <v>1</v>
      </c>
      <c r="BN24" s="10" t="n">
        <v>1</v>
      </c>
      <c r="BO24" s="10" t="n">
        <v>1</v>
      </c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</row>
    <row r="25" customFormat="false" ht="12.75" hidden="false" customHeight="false" outlineLevel="0" collapsed="false">
      <c r="A25" s="7" t="s">
        <v>53</v>
      </c>
      <c r="B25" s="7" t="s">
        <v>54</v>
      </c>
      <c r="C25" s="8" t="n">
        <v>24</v>
      </c>
      <c r="D25" s="8" t="n">
        <v>0</v>
      </c>
      <c r="E25" s="8" t="n">
        <v>24</v>
      </c>
      <c r="F25" s="8" t="n">
        <v>4</v>
      </c>
      <c r="G25" s="9" t="n">
        <v>20</v>
      </c>
      <c r="H25" s="10" t="n">
        <v>4</v>
      </c>
      <c r="I25" s="10" t="n">
        <v>4</v>
      </c>
      <c r="J25" s="10" t="n">
        <v>8</v>
      </c>
      <c r="K25" s="10" t="n">
        <v>4</v>
      </c>
      <c r="L25" s="10" t="n">
        <v>10</v>
      </c>
      <c r="M25" s="10" t="n">
        <v>13</v>
      </c>
      <c r="N25" s="10" t="n">
        <v>13</v>
      </c>
      <c r="O25" s="10" t="n">
        <v>14</v>
      </c>
      <c r="P25" s="10" t="n">
        <v>4</v>
      </c>
      <c r="Q25" s="10" t="n">
        <v>4</v>
      </c>
      <c r="R25" s="10" t="n">
        <v>8</v>
      </c>
      <c r="S25" s="10" t="n">
        <v>8</v>
      </c>
      <c r="T25" s="10" t="n">
        <v>13</v>
      </c>
      <c r="U25" s="10" t="n">
        <v>13</v>
      </c>
      <c r="V25" s="10" t="n">
        <v>13</v>
      </c>
      <c r="W25" s="10" t="n">
        <v>4</v>
      </c>
      <c r="X25" s="10" t="n">
        <v>9</v>
      </c>
      <c r="Y25" s="10" t="n">
        <v>7</v>
      </c>
      <c r="Z25" s="10" t="n">
        <v>3</v>
      </c>
      <c r="AA25" s="10" t="n">
        <v>7</v>
      </c>
      <c r="AB25" s="10" t="n">
        <v>7</v>
      </c>
      <c r="AC25" s="10"/>
      <c r="AD25" s="10" t="n">
        <v>3</v>
      </c>
      <c r="AE25" s="10" t="n">
        <v>3</v>
      </c>
      <c r="AF25" s="10" t="n">
        <v>3</v>
      </c>
      <c r="AG25" s="10" t="n">
        <v>3</v>
      </c>
      <c r="AH25" s="10" t="n">
        <v>3</v>
      </c>
      <c r="AI25" s="10" t="n">
        <v>8</v>
      </c>
      <c r="AJ25" s="10" t="n">
        <v>9</v>
      </c>
      <c r="AK25" s="10" t="n">
        <v>9</v>
      </c>
      <c r="AL25" s="10" t="n">
        <v>9</v>
      </c>
      <c r="AM25" s="10"/>
      <c r="AN25" s="10" t="n">
        <v>18</v>
      </c>
      <c r="AO25" s="10" t="n">
        <v>18</v>
      </c>
      <c r="AP25" s="10" t="n">
        <v>14</v>
      </c>
      <c r="AQ25" s="10" t="n">
        <v>14</v>
      </c>
      <c r="AR25" s="10" t="n">
        <v>8</v>
      </c>
      <c r="AS25" s="10" t="n">
        <v>12</v>
      </c>
      <c r="AT25" s="10" t="n">
        <v>12</v>
      </c>
      <c r="AU25" s="10" t="n">
        <v>8</v>
      </c>
      <c r="AV25" s="10" t="n">
        <v>8</v>
      </c>
      <c r="AW25" s="10" t="n">
        <v>8</v>
      </c>
      <c r="AX25" s="10" t="n">
        <v>4</v>
      </c>
      <c r="AY25" s="10" t="n">
        <v>8</v>
      </c>
      <c r="AZ25" s="10" t="n">
        <v>4</v>
      </c>
      <c r="BA25" s="10" t="n">
        <v>4</v>
      </c>
      <c r="BB25" s="10" t="n">
        <v>8</v>
      </c>
      <c r="BC25" s="10" t="n">
        <v>18</v>
      </c>
      <c r="BD25" s="10" t="n">
        <v>5</v>
      </c>
      <c r="BE25" s="10" t="n">
        <v>14</v>
      </c>
      <c r="BF25" s="10" t="n">
        <v>14</v>
      </c>
      <c r="BG25" s="10"/>
      <c r="BH25" s="10"/>
      <c r="BI25" s="10" t="n">
        <v>4</v>
      </c>
      <c r="BJ25" s="10" t="n">
        <v>4</v>
      </c>
      <c r="BK25" s="10" t="n">
        <v>4</v>
      </c>
      <c r="BL25" s="10"/>
      <c r="BM25" s="10" t="n">
        <v>9</v>
      </c>
      <c r="BN25" s="10" t="n">
        <v>9</v>
      </c>
      <c r="BO25" s="10" t="n">
        <v>9</v>
      </c>
      <c r="BP25" s="10" t="n">
        <v>9</v>
      </c>
      <c r="BQ25" s="10" t="n">
        <v>9</v>
      </c>
      <c r="BR25" s="10" t="n">
        <v>9</v>
      </c>
      <c r="BS25" s="10" t="n">
        <v>6</v>
      </c>
      <c r="BT25" s="10" t="n">
        <v>6</v>
      </c>
      <c r="BU25" s="10" t="n">
        <v>3</v>
      </c>
      <c r="BV25" s="10" t="n">
        <v>3</v>
      </c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</row>
    <row r="26" customFormat="false" ht="12.75" hidden="false" customHeight="false" outlineLevel="0" collapsed="false">
      <c r="A26" s="7" t="s">
        <v>55</v>
      </c>
      <c r="B26" s="7" t="s">
        <v>56</v>
      </c>
      <c r="C26" s="8" t="n">
        <v>102</v>
      </c>
      <c r="D26" s="8" t="n">
        <v>5</v>
      </c>
      <c r="E26" s="8" t="n">
        <v>97</v>
      </c>
      <c r="F26" s="8" t="n">
        <v>3</v>
      </c>
      <c r="G26" s="9" t="n">
        <v>94</v>
      </c>
      <c r="H26" s="10" t="n">
        <v>30</v>
      </c>
      <c r="I26" s="10" t="n">
        <v>42</v>
      </c>
      <c r="J26" s="10" t="n">
        <v>42</v>
      </c>
      <c r="K26" s="10" t="n">
        <v>31</v>
      </c>
      <c r="L26" s="10" t="n">
        <v>31</v>
      </c>
      <c r="M26" s="10" t="n">
        <v>26</v>
      </c>
      <c r="N26" s="10" t="n">
        <v>27</v>
      </c>
      <c r="O26" s="10" t="n">
        <v>28</v>
      </c>
      <c r="P26" s="10" t="n">
        <v>26</v>
      </c>
      <c r="Q26" s="10" t="n">
        <v>24</v>
      </c>
      <c r="R26" s="10" t="n">
        <v>24</v>
      </c>
      <c r="S26" s="10" t="n">
        <v>24</v>
      </c>
      <c r="T26" s="10" t="n">
        <v>24</v>
      </c>
      <c r="U26" s="10" t="n">
        <v>36</v>
      </c>
      <c r="V26" s="10" t="n">
        <v>33</v>
      </c>
      <c r="W26" s="10" t="n">
        <v>2</v>
      </c>
      <c r="X26" s="10" t="n">
        <v>33</v>
      </c>
      <c r="Y26" s="10" t="n">
        <v>35</v>
      </c>
      <c r="Z26" s="10" t="n">
        <v>37</v>
      </c>
      <c r="AA26" s="10" t="n">
        <v>36</v>
      </c>
      <c r="AB26" s="10" t="n">
        <v>36</v>
      </c>
      <c r="AC26" s="10" t="n">
        <v>16</v>
      </c>
      <c r="AD26" s="10" t="n">
        <v>28</v>
      </c>
      <c r="AE26" s="10" t="n">
        <v>29</v>
      </c>
      <c r="AF26" s="10" t="n">
        <v>32</v>
      </c>
      <c r="AG26" s="10" t="n">
        <v>37</v>
      </c>
      <c r="AH26" s="10" t="n">
        <v>36</v>
      </c>
      <c r="AI26" s="10" t="n">
        <v>37</v>
      </c>
      <c r="AJ26" s="10" t="n">
        <v>36</v>
      </c>
      <c r="AK26" s="10" t="n">
        <v>38</v>
      </c>
      <c r="AL26" s="10" t="n">
        <v>38</v>
      </c>
      <c r="AM26" s="10" t="n">
        <v>28</v>
      </c>
      <c r="AN26" s="10" t="n">
        <v>37</v>
      </c>
      <c r="AO26" s="10" t="n">
        <v>37</v>
      </c>
      <c r="AP26" s="10" t="n">
        <v>32</v>
      </c>
      <c r="AQ26" s="10" t="n">
        <v>31</v>
      </c>
      <c r="AR26" s="10" t="n">
        <v>39</v>
      </c>
      <c r="AS26" s="10" t="n">
        <v>39</v>
      </c>
      <c r="AT26" s="10" t="n">
        <v>31</v>
      </c>
      <c r="AU26" s="10" t="n">
        <v>35</v>
      </c>
      <c r="AV26" s="10" t="n">
        <v>35</v>
      </c>
      <c r="AW26" s="10" t="n">
        <v>35</v>
      </c>
      <c r="AX26" s="10" t="n">
        <v>28</v>
      </c>
      <c r="AY26" s="10" t="n">
        <v>37</v>
      </c>
      <c r="AZ26" s="10" t="n">
        <v>34</v>
      </c>
      <c r="BA26" s="10" t="n">
        <v>40</v>
      </c>
      <c r="BB26" s="10" t="n">
        <v>54</v>
      </c>
      <c r="BC26" s="10" t="n">
        <v>53</v>
      </c>
      <c r="BD26" s="10" t="n">
        <v>12</v>
      </c>
      <c r="BE26" s="10" t="n">
        <v>53</v>
      </c>
      <c r="BF26" s="10" t="n">
        <v>48</v>
      </c>
      <c r="BG26" s="10" t="n">
        <v>39</v>
      </c>
      <c r="BH26" s="10" t="n">
        <v>46</v>
      </c>
      <c r="BI26" s="10" t="n">
        <v>47</v>
      </c>
      <c r="BJ26" s="10" t="n">
        <v>51</v>
      </c>
      <c r="BK26" s="10" t="n">
        <v>47</v>
      </c>
      <c r="BL26" s="10" t="n">
        <v>27</v>
      </c>
      <c r="BM26" s="10" t="n">
        <v>42</v>
      </c>
      <c r="BN26" s="10" t="n">
        <v>40</v>
      </c>
      <c r="BO26" s="10" t="n">
        <v>37</v>
      </c>
      <c r="BP26" s="10" t="n">
        <v>35</v>
      </c>
      <c r="BQ26" s="10" t="n">
        <v>27</v>
      </c>
      <c r="BR26" s="10" t="n">
        <v>36</v>
      </c>
      <c r="BS26" s="10" t="n">
        <v>28</v>
      </c>
      <c r="BT26" s="10" t="n">
        <v>28</v>
      </c>
      <c r="BU26" s="10" t="n">
        <v>27</v>
      </c>
      <c r="BV26" s="10" t="n">
        <v>27</v>
      </c>
      <c r="BW26" s="10" t="n">
        <v>20</v>
      </c>
      <c r="BX26" s="10" t="n">
        <v>20</v>
      </c>
      <c r="BY26" s="10" t="n">
        <v>25</v>
      </c>
      <c r="BZ26" s="10" t="n">
        <v>25</v>
      </c>
      <c r="CA26" s="10" t="n">
        <v>25</v>
      </c>
      <c r="CB26" s="10" t="n">
        <v>25</v>
      </c>
      <c r="CC26" s="10" t="n">
        <v>25</v>
      </c>
      <c r="CD26" s="10" t="n">
        <v>25</v>
      </c>
      <c r="CE26" s="10" t="n">
        <v>25</v>
      </c>
      <c r="CF26" s="10" t="n">
        <v>25</v>
      </c>
      <c r="CG26" s="10" t="n">
        <v>13</v>
      </c>
      <c r="CH26" s="10" t="n">
        <v>25</v>
      </c>
      <c r="CI26" s="10" t="n">
        <v>20</v>
      </c>
      <c r="CJ26" s="10" t="n">
        <v>14</v>
      </c>
      <c r="CK26" s="10" t="n">
        <v>8</v>
      </c>
      <c r="CL26" s="10" t="n">
        <v>8</v>
      </c>
      <c r="CM26" s="10" t="n">
        <v>4</v>
      </c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0"/>
      <c r="GG26" s="10"/>
      <c r="GH26" s="10"/>
      <c r="GI26" s="10"/>
      <c r="GJ26" s="10"/>
      <c r="GK26" s="10"/>
    </row>
    <row r="27" customFormat="false" ht="12.75" hidden="false" customHeight="false" outlineLevel="0" collapsed="false">
      <c r="A27" s="7" t="s">
        <v>57</v>
      </c>
      <c r="B27" s="7" t="s">
        <v>58</v>
      </c>
      <c r="C27" s="8" t="n">
        <v>9</v>
      </c>
      <c r="D27" s="8" t="n">
        <v>0</v>
      </c>
      <c r="E27" s="8" t="n">
        <v>9</v>
      </c>
      <c r="F27" s="8" t="n">
        <v>0</v>
      </c>
      <c r="G27" s="9" t="n">
        <v>9</v>
      </c>
      <c r="H27" s="10" t="n">
        <v>4</v>
      </c>
      <c r="I27" s="10" t="n">
        <v>4</v>
      </c>
      <c r="J27" s="10" t="n">
        <v>4</v>
      </c>
      <c r="K27" s="10" t="n">
        <v>4</v>
      </c>
      <c r="L27" s="10" t="n">
        <v>2</v>
      </c>
      <c r="M27" s="10"/>
      <c r="N27" s="10"/>
      <c r="O27" s="10"/>
      <c r="P27" s="10" t="n">
        <v>1</v>
      </c>
      <c r="Q27" s="10" t="n">
        <v>1</v>
      </c>
      <c r="R27" s="10" t="n">
        <v>1</v>
      </c>
      <c r="S27" s="10" t="n">
        <v>1</v>
      </c>
      <c r="T27" s="10" t="n">
        <v>1</v>
      </c>
      <c r="U27" s="10" t="n">
        <v>1</v>
      </c>
      <c r="V27" s="10" t="n">
        <v>1</v>
      </c>
      <c r="W27" s="10"/>
      <c r="X27" s="10" t="n">
        <v>1</v>
      </c>
      <c r="Y27" s="10" t="n">
        <v>1</v>
      </c>
      <c r="Z27" s="10"/>
      <c r="AA27" s="10"/>
      <c r="AB27" s="10"/>
      <c r="AC27" s="10"/>
      <c r="AD27" s="10" t="n">
        <v>2</v>
      </c>
      <c r="AE27" s="10" t="n">
        <v>2</v>
      </c>
      <c r="AF27" s="10" t="n">
        <v>2</v>
      </c>
      <c r="AG27" s="10" t="n">
        <v>2</v>
      </c>
      <c r="AH27" s="10" t="n">
        <v>2</v>
      </c>
      <c r="AI27" s="10" t="n">
        <v>2</v>
      </c>
      <c r="AJ27" s="10" t="n">
        <v>2</v>
      </c>
      <c r="AK27" s="10" t="n">
        <v>2</v>
      </c>
      <c r="AL27" s="10" t="n">
        <v>2</v>
      </c>
      <c r="AM27" s="10" t="n">
        <v>2</v>
      </c>
      <c r="AN27" s="10" t="n">
        <v>2</v>
      </c>
      <c r="AO27" s="10" t="n">
        <v>2</v>
      </c>
      <c r="AP27" s="10" t="n">
        <v>2</v>
      </c>
      <c r="AQ27" s="10" t="n">
        <v>2</v>
      </c>
      <c r="AR27" s="10" t="n">
        <v>2</v>
      </c>
      <c r="AS27" s="10" t="n">
        <v>2</v>
      </c>
      <c r="AT27" s="10" t="n">
        <v>2</v>
      </c>
      <c r="AU27" s="10" t="n">
        <v>2</v>
      </c>
      <c r="AV27" s="10" t="n">
        <v>2</v>
      </c>
      <c r="AW27" s="10" t="n">
        <v>2</v>
      </c>
      <c r="AX27" s="10" t="n">
        <v>2</v>
      </c>
      <c r="AY27" s="10" t="n">
        <v>2</v>
      </c>
      <c r="AZ27" s="10" t="n">
        <v>2</v>
      </c>
      <c r="BA27" s="10" t="n">
        <v>2</v>
      </c>
      <c r="BB27" s="10" t="n">
        <v>3</v>
      </c>
      <c r="BC27" s="10" t="n">
        <v>3</v>
      </c>
      <c r="BD27" s="10"/>
      <c r="BE27" s="10" t="n">
        <v>3</v>
      </c>
      <c r="BF27" s="10" t="n">
        <v>3</v>
      </c>
      <c r="BG27" s="10" t="n">
        <v>3</v>
      </c>
      <c r="BH27" s="10" t="n">
        <v>3</v>
      </c>
      <c r="BI27" s="10" t="n">
        <v>3</v>
      </c>
      <c r="BJ27" s="10" t="n">
        <v>3</v>
      </c>
      <c r="BK27" s="10" t="n">
        <v>3</v>
      </c>
      <c r="BL27" s="10" t="n">
        <v>2</v>
      </c>
      <c r="BM27" s="10" t="n">
        <v>2</v>
      </c>
      <c r="BN27" s="10"/>
      <c r="BO27" s="10"/>
      <c r="BP27" s="10"/>
      <c r="BQ27" s="10"/>
      <c r="BR27" s="10" t="n">
        <v>1</v>
      </c>
      <c r="BS27" s="10" t="n">
        <v>1</v>
      </c>
      <c r="BT27" s="10" t="n">
        <v>1</v>
      </c>
      <c r="BU27" s="10" t="n">
        <v>1</v>
      </c>
      <c r="BV27" s="10" t="n">
        <v>1</v>
      </c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</row>
    <row r="28" customFormat="false" ht="12.75" hidden="false" customHeight="false" outlineLevel="0" collapsed="false">
      <c r="A28" s="7" t="s">
        <v>59</v>
      </c>
      <c r="B28" s="7" t="s">
        <v>60</v>
      </c>
      <c r="C28" s="8" t="n">
        <v>14</v>
      </c>
      <c r="D28" s="8" t="n">
        <v>0</v>
      </c>
      <c r="E28" s="8" t="n">
        <v>14</v>
      </c>
      <c r="F28" s="8" t="n">
        <v>3</v>
      </c>
      <c r="G28" s="9" t="n">
        <v>11</v>
      </c>
      <c r="H28" s="10" t="n">
        <v>1</v>
      </c>
      <c r="I28" s="10" t="n">
        <v>12</v>
      </c>
      <c r="J28" s="10" t="n">
        <v>12</v>
      </c>
      <c r="K28" s="10" t="n">
        <v>2</v>
      </c>
      <c r="L28" s="10" t="n">
        <v>1</v>
      </c>
      <c r="M28" s="10" t="n">
        <v>2</v>
      </c>
      <c r="N28" s="10" t="n">
        <v>2</v>
      </c>
      <c r="O28" s="10" t="n">
        <v>3</v>
      </c>
      <c r="P28" s="10" t="n">
        <v>4</v>
      </c>
      <c r="Q28" s="10" t="n">
        <v>4</v>
      </c>
      <c r="R28" s="10" t="n">
        <v>4</v>
      </c>
      <c r="S28" s="10" t="n">
        <v>4</v>
      </c>
      <c r="T28" s="10" t="n">
        <v>4</v>
      </c>
      <c r="U28" s="10" t="n">
        <v>4</v>
      </c>
      <c r="V28" s="10" t="n">
        <v>4</v>
      </c>
      <c r="W28" s="10" t="n">
        <v>2</v>
      </c>
      <c r="X28" s="10" t="n">
        <v>5</v>
      </c>
      <c r="Y28" s="10" t="n">
        <v>7</v>
      </c>
      <c r="Z28" s="10" t="n">
        <v>8</v>
      </c>
      <c r="AA28" s="10" t="n">
        <v>7</v>
      </c>
      <c r="AB28" s="10" t="n">
        <v>7</v>
      </c>
      <c r="AC28" s="10"/>
      <c r="AD28" s="10" t="n">
        <v>4</v>
      </c>
      <c r="AE28" s="10" t="n">
        <v>4</v>
      </c>
      <c r="AF28" s="10" t="n">
        <v>4</v>
      </c>
      <c r="AG28" s="10" t="n">
        <v>4</v>
      </c>
      <c r="AH28" s="10" t="n">
        <v>3</v>
      </c>
      <c r="AI28" s="10" t="n">
        <v>4</v>
      </c>
      <c r="AJ28" s="10" t="n">
        <v>5</v>
      </c>
      <c r="AK28" s="10" t="n">
        <v>5</v>
      </c>
      <c r="AL28" s="10" t="n">
        <v>5</v>
      </c>
      <c r="AM28" s="10" t="n">
        <v>1</v>
      </c>
      <c r="AN28" s="10" t="n">
        <v>3</v>
      </c>
      <c r="AO28" s="10" t="n">
        <v>4</v>
      </c>
      <c r="AP28" s="10" t="n">
        <v>3</v>
      </c>
      <c r="AQ28" s="10" t="n">
        <v>4</v>
      </c>
      <c r="AR28" s="10" t="n">
        <v>12</v>
      </c>
      <c r="AS28" s="10" t="n">
        <v>12</v>
      </c>
      <c r="AT28" s="10" t="n">
        <v>2</v>
      </c>
      <c r="AU28" s="10" t="n">
        <v>4</v>
      </c>
      <c r="AV28" s="10" t="n">
        <v>4</v>
      </c>
      <c r="AW28" s="10" t="n">
        <v>4</v>
      </c>
      <c r="AX28" s="10" t="n">
        <v>1</v>
      </c>
      <c r="AY28" s="10" t="n">
        <v>4</v>
      </c>
      <c r="AZ28" s="10" t="n">
        <v>4</v>
      </c>
      <c r="BA28" s="10" t="n">
        <v>5</v>
      </c>
      <c r="BB28" s="10" t="n">
        <v>13</v>
      </c>
      <c r="BC28" s="10" t="n">
        <v>12</v>
      </c>
      <c r="BD28" s="10" t="n">
        <v>1</v>
      </c>
      <c r="BE28" s="10" t="n">
        <v>12</v>
      </c>
      <c r="BF28" s="10" t="n">
        <v>12</v>
      </c>
      <c r="BG28" s="10" t="n">
        <v>2</v>
      </c>
      <c r="BH28" s="10" t="n">
        <v>2</v>
      </c>
      <c r="BI28" s="10" t="n">
        <v>4</v>
      </c>
      <c r="BJ28" s="10" t="n">
        <v>4</v>
      </c>
      <c r="BK28" s="10" t="n">
        <v>4</v>
      </c>
      <c r="BL28" s="10"/>
      <c r="BM28" s="10" t="n">
        <v>4</v>
      </c>
      <c r="BN28" s="10" t="n">
        <v>4</v>
      </c>
      <c r="BO28" s="10" t="n">
        <v>6</v>
      </c>
      <c r="BP28" s="10" t="n">
        <v>6</v>
      </c>
      <c r="BQ28" s="10" t="n">
        <v>1</v>
      </c>
      <c r="BR28" s="10" t="n">
        <v>5</v>
      </c>
      <c r="BS28" s="10" t="n">
        <v>3</v>
      </c>
      <c r="BT28" s="10" t="n">
        <v>3</v>
      </c>
      <c r="BU28" s="10" t="n">
        <v>2</v>
      </c>
      <c r="BV28" s="10" t="n">
        <v>2</v>
      </c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</row>
    <row r="29" customFormat="false" ht="12.75" hidden="false" customHeight="false" outlineLevel="0" collapsed="false">
      <c r="A29" s="7" t="s">
        <v>61</v>
      </c>
      <c r="B29" s="7" t="s">
        <v>62</v>
      </c>
      <c r="C29" s="8" t="n">
        <v>2</v>
      </c>
      <c r="D29" s="8" t="n">
        <v>0</v>
      </c>
      <c r="E29" s="8" t="n">
        <v>2</v>
      </c>
      <c r="F29" s="8" t="n">
        <v>0</v>
      </c>
      <c r="G29" s="9" t="n">
        <v>2</v>
      </c>
      <c r="H29" s="10"/>
      <c r="I29" s="10"/>
      <c r="J29" s="10" t="n">
        <v>1</v>
      </c>
      <c r="K29" s="10" t="n">
        <v>1</v>
      </c>
      <c r="L29" s="10"/>
      <c r="M29" s="10"/>
      <c r="N29" s="10"/>
      <c r="O29" s="10"/>
      <c r="P29" s="10"/>
      <c r="Q29" s="10"/>
      <c r="R29" s="10" t="n">
        <v>1</v>
      </c>
      <c r="S29" s="10" t="n">
        <v>1</v>
      </c>
      <c r="T29" s="10" t="n">
        <v>1</v>
      </c>
      <c r="U29" s="10" t="n">
        <v>1</v>
      </c>
      <c r="V29" s="10" t="n">
        <v>1</v>
      </c>
      <c r="W29" s="10"/>
      <c r="X29" s="10" t="n">
        <v>1</v>
      </c>
      <c r="Y29" s="10" t="n">
        <v>1</v>
      </c>
      <c r="Z29" s="10" t="n">
        <v>1</v>
      </c>
      <c r="AA29" s="10" t="n">
        <v>2</v>
      </c>
      <c r="AB29" s="10" t="n">
        <v>2</v>
      </c>
      <c r="AC29" s="10"/>
      <c r="AD29" s="10" t="n">
        <v>1</v>
      </c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 t="n">
        <v>1</v>
      </c>
      <c r="AS29" s="10" t="n">
        <v>1</v>
      </c>
      <c r="AT29" s="10" t="n">
        <v>1</v>
      </c>
      <c r="AU29" s="10" t="n">
        <v>1</v>
      </c>
      <c r="AV29" s="10" t="n">
        <v>1</v>
      </c>
      <c r="AW29" s="10" t="n">
        <v>1</v>
      </c>
      <c r="AX29" s="10"/>
      <c r="AY29" s="10" t="n">
        <v>1</v>
      </c>
      <c r="AZ29" s="10" t="n">
        <v>1</v>
      </c>
      <c r="BA29" s="10" t="n">
        <v>1</v>
      </c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 t="n">
        <v>1</v>
      </c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</row>
    <row r="30" customFormat="false" ht="12.75" hidden="false" customHeight="false" outlineLevel="0" collapsed="false">
      <c r="A30" s="7" t="s">
        <v>63</v>
      </c>
      <c r="B30" s="7" t="s">
        <v>64</v>
      </c>
      <c r="C30" s="8" t="n">
        <v>7</v>
      </c>
      <c r="D30" s="8" t="n">
        <v>0</v>
      </c>
      <c r="E30" s="8" t="n">
        <v>7</v>
      </c>
      <c r="F30" s="8" t="n">
        <v>0</v>
      </c>
      <c r="G30" s="9" t="n">
        <v>7</v>
      </c>
      <c r="H30" s="10" t="n">
        <v>5</v>
      </c>
      <c r="I30" s="10" t="n">
        <v>5</v>
      </c>
      <c r="J30" s="10" t="n">
        <v>4</v>
      </c>
      <c r="K30" s="10" t="n">
        <v>5</v>
      </c>
      <c r="L30" s="10" t="n">
        <v>4</v>
      </c>
      <c r="M30" s="10" t="n">
        <v>4</v>
      </c>
      <c r="N30" s="10" t="n">
        <v>4</v>
      </c>
      <c r="O30" s="10" t="n">
        <v>4</v>
      </c>
      <c r="P30" s="10" t="n">
        <v>4</v>
      </c>
      <c r="Q30" s="10" t="n">
        <v>4</v>
      </c>
      <c r="R30" s="10" t="n">
        <v>4</v>
      </c>
      <c r="S30" s="10" t="n">
        <v>4</v>
      </c>
      <c r="T30" s="10" t="n">
        <v>4</v>
      </c>
      <c r="U30" s="10" t="n">
        <v>4</v>
      </c>
      <c r="V30" s="10" t="n">
        <v>3</v>
      </c>
      <c r="W30" s="10"/>
      <c r="X30" s="10" t="n">
        <v>4</v>
      </c>
      <c r="Y30" s="10" t="n">
        <v>4</v>
      </c>
      <c r="Z30" s="10" t="n">
        <v>4</v>
      </c>
      <c r="AA30" s="10" t="n">
        <v>4</v>
      </c>
      <c r="AB30" s="10" t="n">
        <v>4</v>
      </c>
      <c r="AC30" s="10" t="n">
        <v>2</v>
      </c>
      <c r="AD30" s="10" t="n">
        <v>4</v>
      </c>
      <c r="AE30" s="10" t="n">
        <v>3</v>
      </c>
      <c r="AF30" s="10" t="n">
        <v>4</v>
      </c>
      <c r="AG30" s="10" t="n">
        <v>5</v>
      </c>
      <c r="AH30" s="10" t="n">
        <v>5</v>
      </c>
      <c r="AI30" s="10" t="n">
        <v>5</v>
      </c>
      <c r="AJ30" s="10" t="n">
        <v>5</v>
      </c>
      <c r="AK30" s="10" t="n">
        <v>5</v>
      </c>
      <c r="AL30" s="10" t="n">
        <v>5</v>
      </c>
      <c r="AM30" s="10" t="n">
        <v>5</v>
      </c>
      <c r="AN30" s="10" t="n">
        <v>5</v>
      </c>
      <c r="AO30" s="10" t="n">
        <v>5</v>
      </c>
      <c r="AP30" s="10" t="n">
        <v>5</v>
      </c>
      <c r="AQ30" s="10" t="n">
        <v>5</v>
      </c>
      <c r="AR30" s="10" t="n">
        <v>5</v>
      </c>
      <c r="AS30" s="10" t="n">
        <v>5</v>
      </c>
      <c r="AT30" s="10" t="n">
        <v>5</v>
      </c>
      <c r="AU30" s="10" t="n">
        <v>6</v>
      </c>
      <c r="AV30" s="10" t="n">
        <v>6</v>
      </c>
      <c r="AW30" s="10" t="n">
        <v>6</v>
      </c>
      <c r="AX30" s="10" t="n">
        <v>5</v>
      </c>
      <c r="AY30" s="10" t="n">
        <v>6</v>
      </c>
      <c r="AZ30" s="10" t="n">
        <v>6</v>
      </c>
      <c r="BA30" s="10" t="n">
        <v>7</v>
      </c>
      <c r="BB30" s="10" t="n">
        <v>7</v>
      </c>
      <c r="BC30" s="10" t="n">
        <v>7</v>
      </c>
      <c r="BD30" s="10" t="n">
        <v>2</v>
      </c>
      <c r="BE30" s="10" t="n">
        <v>7</v>
      </c>
      <c r="BF30" s="10" t="n">
        <v>6</v>
      </c>
      <c r="BG30" s="10" t="n">
        <v>6</v>
      </c>
      <c r="BH30" s="10" t="n">
        <v>7</v>
      </c>
      <c r="BI30" s="10" t="n">
        <v>7</v>
      </c>
      <c r="BJ30" s="10" t="n">
        <v>7</v>
      </c>
      <c r="BK30" s="10" t="n">
        <v>7</v>
      </c>
      <c r="BL30" s="10" t="n">
        <v>5</v>
      </c>
      <c r="BM30" s="10" t="n">
        <v>6</v>
      </c>
      <c r="BN30" s="10" t="n">
        <v>6</v>
      </c>
      <c r="BO30" s="10" t="n">
        <v>5</v>
      </c>
      <c r="BP30" s="10" t="n">
        <v>5</v>
      </c>
      <c r="BQ30" s="10" t="n">
        <v>5</v>
      </c>
      <c r="BR30" s="10" t="n">
        <v>6</v>
      </c>
      <c r="BS30" s="10" t="n">
        <v>5</v>
      </c>
      <c r="BT30" s="10" t="n">
        <v>5</v>
      </c>
      <c r="BU30" s="10" t="n">
        <v>5</v>
      </c>
      <c r="BV30" s="10" t="n">
        <v>5</v>
      </c>
      <c r="BW30" s="10" t="n">
        <v>4</v>
      </c>
      <c r="BX30" s="10" t="n">
        <v>4</v>
      </c>
      <c r="BY30" s="10" t="n">
        <v>5</v>
      </c>
      <c r="BZ30" s="10" t="n">
        <v>5</v>
      </c>
      <c r="CA30" s="10" t="n">
        <v>5</v>
      </c>
      <c r="CB30" s="10" t="n">
        <v>5</v>
      </c>
      <c r="CC30" s="10" t="n">
        <v>5</v>
      </c>
      <c r="CD30" s="10" t="n">
        <v>5</v>
      </c>
      <c r="CE30" s="10" t="n">
        <v>5</v>
      </c>
      <c r="CF30" s="10" t="n">
        <v>5</v>
      </c>
      <c r="CG30" s="10" t="n">
        <v>3</v>
      </c>
      <c r="CH30" s="10" t="n">
        <v>5</v>
      </c>
      <c r="CI30" s="10" t="n">
        <v>4</v>
      </c>
      <c r="CJ30" s="10" t="n">
        <v>3</v>
      </c>
      <c r="CK30" s="10" t="n">
        <v>2</v>
      </c>
      <c r="CL30" s="10" t="n">
        <v>2</v>
      </c>
      <c r="CM30" s="10" t="n">
        <v>1</v>
      </c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/>
      <c r="GH30" s="10"/>
      <c r="GI30" s="10"/>
      <c r="GJ30" s="10"/>
      <c r="GK30" s="10"/>
    </row>
    <row r="31" customFormat="false" ht="12.75" hidden="false" customHeight="false" outlineLevel="0" collapsed="false">
      <c r="A31" s="7" t="s">
        <v>65</v>
      </c>
      <c r="B31" s="7" t="s">
        <v>66</v>
      </c>
      <c r="C31" s="8" t="n">
        <v>4</v>
      </c>
      <c r="D31" s="8" t="n">
        <v>0</v>
      </c>
      <c r="E31" s="8" t="n">
        <v>4</v>
      </c>
      <c r="F31" s="8" t="n">
        <v>1</v>
      </c>
      <c r="G31" s="9" t="n">
        <v>3</v>
      </c>
      <c r="H31" s="10"/>
      <c r="I31" s="10"/>
      <c r="J31" s="10"/>
      <c r="K31" s="10"/>
      <c r="L31" s="10" t="n">
        <v>1</v>
      </c>
      <c r="M31" s="10" t="n">
        <v>2</v>
      </c>
      <c r="N31" s="10" t="n">
        <v>2</v>
      </c>
      <c r="O31" s="10" t="n">
        <v>2</v>
      </c>
      <c r="P31" s="10" t="n">
        <v>1</v>
      </c>
      <c r="Q31" s="10" t="n">
        <v>1</v>
      </c>
      <c r="R31" s="10" t="n">
        <v>1</v>
      </c>
      <c r="S31" s="10" t="n">
        <v>1</v>
      </c>
      <c r="T31" s="10" t="n">
        <v>1</v>
      </c>
      <c r="U31" s="10" t="n">
        <v>1</v>
      </c>
      <c r="V31" s="10" t="n">
        <v>1</v>
      </c>
      <c r="W31" s="10" t="n">
        <v>1</v>
      </c>
      <c r="X31" s="10" t="n">
        <v>1</v>
      </c>
      <c r="Y31" s="10" t="n">
        <v>2</v>
      </c>
      <c r="Z31" s="10" t="n">
        <v>1</v>
      </c>
      <c r="AA31" s="10" t="n">
        <v>1</v>
      </c>
      <c r="AB31" s="10" t="n">
        <v>1</v>
      </c>
      <c r="AC31" s="10"/>
      <c r="AD31" s="10" t="n">
        <v>1</v>
      </c>
      <c r="AE31" s="10" t="n">
        <v>1</v>
      </c>
      <c r="AF31" s="10" t="n">
        <v>1</v>
      </c>
      <c r="AG31" s="10" t="n">
        <v>1</v>
      </c>
      <c r="AH31" s="10" t="n">
        <v>1</v>
      </c>
      <c r="AI31" s="10" t="n">
        <v>1</v>
      </c>
      <c r="AJ31" s="10" t="n">
        <v>1</v>
      </c>
      <c r="AK31" s="10" t="n">
        <v>1</v>
      </c>
      <c r="AL31" s="10" t="n">
        <v>1</v>
      </c>
      <c r="AM31" s="10"/>
      <c r="AN31" s="10" t="n">
        <v>2</v>
      </c>
      <c r="AO31" s="10" t="n">
        <v>2</v>
      </c>
      <c r="AP31" s="10" t="n">
        <v>2</v>
      </c>
      <c r="AQ31" s="10" t="n">
        <v>2</v>
      </c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 t="n">
        <v>1</v>
      </c>
      <c r="BD31" s="10"/>
      <c r="BE31" s="10" t="n">
        <v>1</v>
      </c>
      <c r="BF31" s="10" t="n">
        <v>1</v>
      </c>
      <c r="BG31" s="10"/>
      <c r="BH31" s="10"/>
      <c r="BI31" s="10" t="n">
        <v>1</v>
      </c>
      <c r="BJ31" s="10" t="n">
        <v>1</v>
      </c>
      <c r="BK31" s="10" t="n">
        <v>1</v>
      </c>
      <c r="BL31" s="10"/>
      <c r="BM31" s="10" t="n">
        <v>1</v>
      </c>
      <c r="BN31" s="10" t="n">
        <v>1</v>
      </c>
      <c r="BO31" s="10" t="n">
        <v>1</v>
      </c>
      <c r="BP31" s="10" t="n">
        <v>1</v>
      </c>
      <c r="BQ31" s="10"/>
      <c r="BR31" s="10" t="n">
        <v>3</v>
      </c>
      <c r="BS31" s="10" t="n">
        <v>2</v>
      </c>
      <c r="BT31" s="10" t="n">
        <v>2</v>
      </c>
      <c r="BU31" s="10" t="n">
        <v>1</v>
      </c>
      <c r="BV31" s="10" t="n">
        <v>1</v>
      </c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</row>
    <row r="32" customFormat="false" ht="12.75" hidden="false" customHeight="false" outlineLevel="0" collapsed="false">
      <c r="A32" s="7" t="s">
        <v>67</v>
      </c>
      <c r="B32" s="7" t="s">
        <v>68</v>
      </c>
      <c r="C32" s="8" t="n">
        <v>2</v>
      </c>
      <c r="D32" s="8" t="n">
        <v>0</v>
      </c>
      <c r="E32" s="8" t="n">
        <v>2</v>
      </c>
      <c r="F32" s="8" t="n">
        <v>1</v>
      </c>
      <c r="G32" s="9" t="n">
        <v>1</v>
      </c>
      <c r="H32" s="10"/>
      <c r="I32" s="10" t="n">
        <v>2</v>
      </c>
      <c r="J32" s="10" t="n">
        <v>2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 t="n">
        <v>2</v>
      </c>
      <c r="AS32" s="10" t="n">
        <v>2</v>
      </c>
      <c r="AT32" s="10"/>
      <c r="AU32" s="10"/>
      <c r="AV32" s="10"/>
      <c r="AW32" s="10"/>
      <c r="AX32" s="10"/>
      <c r="AY32" s="10"/>
      <c r="AZ32" s="10"/>
      <c r="BA32" s="10"/>
      <c r="BB32" s="10" t="n">
        <v>2</v>
      </c>
      <c r="BC32" s="10" t="n">
        <v>2</v>
      </c>
      <c r="BD32" s="10"/>
      <c r="BE32" s="10" t="n">
        <v>2</v>
      </c>
      <c r="BF32" s="10" t="n">
        <v>2</v>
      </c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/>
      <c r="GB32" s="10"/>
      <c r="GC32" s="10"/>
      <c r="GD32" s="10"/>
      <c r="GE32" s="10"/>
      <c r="GF32" s="10"/>
      <c r="GG32" s="10"/>
      <c r="GH32" s="10"/>
      <c r="GI32" s="10"/>
      <c r="GJ32" s="10"/>
      <c r="GK32" s="10"/>
    </row>
    <row r="33" customFormat="false" ht="12.75" hidden="false" customHeight="false" outlineLevel="0" collapsed="false">
      <c r="A33" s="7" t="s">
        <v>69</v>
      </c>
      <c r="B33" s="7" t="s">
        <v>70</v>
      </c>
      <c r="C33" s="8" t="n">
        <v>52</v>
      </c>
      <c r="D33" s="8" t="n">
        <v>0</v>
      </c>
      <c r="E33" s="8" t="n">
        <v>52</v>
      </c>
      <c r="F33" s="8" t="n">
        <v>1</v>
      </c>
      <c r="G33" s="9" t="n">
        <v>51</v>
      </c>
      <c r="H33" s="10" t="n">
        <v>26</v>
      </c>
      <c r="I33" s="10" t="n">
        <v>26</v>
      </c>
      <c r="J33" s="10" t="n">
        <v>38</v>
      </c>
      <c r="K33" s="10" t="n">
        <v>30</v>
      </c>
      <c r="L33" s="10" t="n">
        <v>32</v>
      </c>
      <c r="M33" s="10" t="n">
        <v>36</v>
      </c>
      <c r="N33" s="10" t="n">
        <v>35</v>
      </c>
      <c r="O33" s="10" t="n">
        <v>31</v>
      </c>
      <c r="P33" s="10" t="n">
        <v>23</v>
      </c>
      <c r="Q33" s="10" t="n">
        <v>18</v>
      </c>
      <c r="R33" s="10" t="n">
        <v>29</v>
      </c>
      <c r="S33" s="10" t="n">
        <v>29</v>
      </c>
      <c r="T33" s="10" t="n">
        <v>36</v>
      </c>
      <c r="U33" s="10" t="n">
        <v>36</v>
      </c>
      <c r="V33" s="10" t="n">
        <v>37</v>
      </c>
      <c r="W33" s="10" t="n">
        <v>2</v>
      </c>
      <c r="X33" s="10" t="n">
        <v>27</v>
      </c>
      <c r="Y33" s="10" t="n">
        <v>34</v>
      </c>
      <c r="Z33" s="10" t="n">
        <v>38</v>
      </c>
      <c r="AA33" s="10" t="n">
        <v>41</v>
      </c>
      <c r="AB33" s="10" t="n">
        <v>41</v>
      </c>
      <c r="AC33" s="10"/>
      <c r="AD33" s="10" t="n">
        <v>39</v>
      </c>
      <c r="AE33" s="10" t="n">
        <v>40</v>
      </c>
      <c r="AF33" s="10" t="n">
        <v>28</v>
      </c>
      <c r="AG33" s="10" t="n">
        <v>28</v>
      </c>
      <c r="AH33" s="10" t="n">
        <v>33</v>
      </c>
      <c r="AI33" s="10" t="n">
        <v>30</v>
      </c>
      <c r="AJ33" s="10" t="n">
        <v>26</v>
      </c>
      <c r="AK33" s="10" t="n">
        <v>26</v>
      </c>
      <c r="AL33" s="10" t="n">
        <v>26</v>
      </c>
      <c r="AM33" s="10" t="n">
        <v>2</v>
      </c>
      <c r="AN33" s="10" t="n">
        <v>29</v>
      </c>
      <c r="AO33" s="10" t="n">
        <v>30</v>
      </c>
      <c r="AP33" s="10" t="n">
        <v>17</v>
      </c>
      <c r="AQ33" s="10" t="n">
        <v>13</v>
      </c>
      <c r="AR33" s="10" t="n">
        <v>20</v>
      </c>
      <c r="AS33" s="10" t="n">
        <v>26</v>
      </c>
      <c r="AT33" s="10" t="n">
        <v>27</v>
      </c>
      <c r="AU33" s="10" t="n">
        <v>32</v>
      </c>
      <c r="AV33" s="10" t="n">
        <v>32</v>
      </c>
      <c r="AW33" s="10" t="n">
        <v>32</v>
      </c>
      <c r="AX33" s="10" t="n">
        <v>8</v>
      </c>
      <c r="AY33" s="10" t="n">
        <v>38</v>
      </c>
      <c r="AZ33" s="10" t="n">
        <v>36</v>
      </c>
      <c r="BA33" s="10" t="n">
        <v>36</v>
      </c>
      <c r="BB33" s="10" t="n">
        <v>42</v>
      </c>
      <c r="BC33" s="10" t="n">
        <v>44</v>
      </c>
      <c r="BD33" s="10" t="n">
        <v>3</v>
      </c>
      <c r="BE33" s="10" t="n">
        <v>39</v>
      </c>
      <c r="BF33" s="10" t="n">
        <v>39</v>
      </c>
      <c r="BG33" s="10" t="n">
        <v>26</v>
      </c>
      <c r="BH33" s="10" t="n">
        <v>27</v>
      </c>
      <c r="BI33" s="10" t="n">
        <v>24</v>
      </c>
      <c r="BJ33" s="10" t="n">
        <v>30</v>
      </c>
      <c r="BK33" s="10" t="n">
        <v>24</v>
      </c>
      <c r="BL33" s="10"/>
      <c r="BM33" s="10" t="n">
        <v>26</v>
      </c>
      <c r="BN33" s="10" t="n">
        <v>26</v>
      </c>
      <c r="BO33" s="10" t="n">
        <v>21</v>
      </c>
      <c r="BP33" s="10" t="n">
        <v>15</v>
      </c>
      <c r="BQ33" s="10" t="n">
        <v>13</v>
      </c>
      <c r="BR33" s="10" t="n">
        <v>16</v>
      </c>
      <c r="BS33" s="10" t="n">
        <v>13</v>
      </c>
      <c r="BT33" s="10" t="n">
        <v>13</v>
      </c>
      <c r="BU33" s="10" t="n">
        <v>7</v>
      </c>
      <c r="BV33" s="10" t="n">
        <v>7</v>
      </c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H33" s="10"/>
      <c r="GI33" s="10"/>
      <c r="GJ33" s="10"/>
      <c r="GK33" s="10"/>
    </row>
    <row r="34" customFormat="false" ht="12.75" hidden="false" customHeight="false" outlineLevel="0" collapsed="false">
      <c r="A34" s="7" t="s">
        <v>71</v>
      </c>
      <c r="B34" s="7" t="s">
        <v>72</v>
      </c>
      <c r="C34" s="8" t="n">
        <v>13</v>
      </c>
      <c r="D34" s="8" t="n">
        <v>0</v>
      </c>
      <c r="E34" s="8" t="n">
        <v>13</v>
      </c>
      <c r="F34" s="8" t="n">
        <v>3</v>
      </c>
      <c r="G34" s="9" t="n">
        <v>10</v>
      </c>
      <c r="H34" s="10"/>
      <c r="I34" s="10" t="n">
        <v>4</v>
      </c>
      <c r="J34" s="10" t="n">
        <v>4</v>
      </c>
      <c r="K34" s="10"/>
      <c r="L34" s="10" t="n">
        <v>5</v>
      </c>
      <c r="M34" s="10" t="n">
        <v>7</v>
      </c>
      <c r="N34" s="10" t="n">
        <v>7</v>
      </c>
      <c r="O34" s="10" t="n">
        <v>5</v>
      </c>
      <c r="P34" s="10"/>
      <c r="Q34" s="10"/>
      <c r="R34" s="10"/>
      <c r="S34" s="10"/>
      <c r="T34" s="10"/>
      <c r="U34" s="10"/>
      <c r="V34" s="10"/>
      <c r="W34" s="10"/>
      <c r="X34" s="10"/>
      <c r="Y34" s="10" t="n">
        <v>4</v>
      </c>
      <c r="Z34" s="10" t="n">
        <v>4</v>
      </c>
      <c r="AA34" s="10" t="n">
        <v>3</v>
      </c>
      <c r="AB34" s="10" t="n">
        <v>3</v>
      </c>
      <c r="AC34" s="10"/>
      <c r="AD34" s="10" t="n">
        <v>3</v>
      </c>
      <c r="AE34" s="10" t="n">
        <v>3</v>
      </c>
      <c r="AF34" s="10" t="n">
        <v>3</v>
      </c>
      <c r="AG34" s="10" t="n">
        <v>3</v>
      </c>
      <c r="AH34" s="10" t="n">
        <v>2</v>
      </c>
      <c r="AI34" s="10" t="n">
        <v>2</v>
      </c>
      <c r="AJ34" s="10"/>
      <c r="AK34" s="10"/>
      <c r="AL34" s="10"/>
      <c r="AM34" s="10"/>
      <c r="AN34" s="10" t="n">
        <v>5</v>
      </c>
      <c r="AO34" s="10" t="n">
        <v>5</v>
      </c>
      <c r="AP34" s="10" t="n">
        <v>5</v>
      </c>
      <c r="AQ34" s="10" t="n">
        <v>5</v>
      </c>
      <c r="AR34" s="10" t="n">
        <v>4</v>
      </c>
      <c r="AS34" s="10" t="n">
        <v>4</v>
      </c>
      <c r="AT34" s="10"/>
      <c r="AU34" s="10"/>
      <c r="AV34" s="10"/>
      <c r="AW34" s="10"/>
      <c r="AX34" s="10"/>
      <c r="AY34" s="10"/>
      <c r="AZ34" s="10"/>
      <c r="BA34" s="10"/>
      <c r="BB34" s="10" t="n">
        <v>4</v>
      </c>
      <c r="BC34" s="10" t="n">
        <v>9</v>
      </c>
      <c r="BD34" s="10"/>
      <c r="BE34" s="10" t="n">
        <v>9</v>
      </c>
      <c r="BF34" s="10" t="n">
        <v>9</v>
      </c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 t="n">
        <v>9</v>
      </c>
      <c r="BS34" s="10" t="n">
        <v>5</v>
      </c>
      <c r="BT34" s="10" t="n">
        <v>5</v>
      </c>
      <c r="BU34" s="10" t="n">
        <v>4</v>
      </c>
      <c r="BV34" s="10" t="n">
        <v>4</v>
      </c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  <c r="FE34" s="10"/>
      <c r="FF34" s="10"/>
      <c r="FG34" s="10"/>
      <c r="FH34" s="10"/>
      <c r="FI34" s="10"/>
      <c r="FJ34" s="10"/>
      <c r="FK34" s="10"/>
      <c r="FL34" s="10"/>
      <c r="FM34" s="10"/>
      <c r="FN34" s="10"/>
      <c r="FO34" s="10"/>
      <c r="FP34" s="10"/>
      <c r="FQ34" s="10"/>
      <c r="FR34" s="10"/>
      <c r="FS34" s="10"/>
      <c r="FT34" s="10"/>
      <c r="FU34" s="10"/>
      <c r="FV34" s="10"/>
      <c r="FW34" s="10"/>
      <c r="FX34" s="10"/>
      <c r="FY34" s="10"/>
      <c r="FZ34" s="10"/>
      <c r="GA34" s="10"/>
      <c r="GB34" s="10"/>
      <c r="GC34" s="10"/>
      <c r="GD34" s="10"/>
      <c r="GE34" s="10"/>
      <c r="GF34" s="10"/>
      <c r="GG34" s="10"/>
      <c r="GH34" s="10"/>
      <c r="GI34" s="10"/>
      <c r="GJ34" s="10"/>
      <c r="GK34" s="10"/>
    </row>
    <row r="35" customFormat="false" ht="12.75" hidden="false" customHeight="false" outlineLevel="0" collapsed="false">
      <c r="A35" s="7" t="s">
        <v>73</v>
      </c>
      <c r="B35" s="7" t="s">
        <v>74</v>
      </c>
      <c r="C35" s="8" t="n">
        <v>13</v>
      </c>
      <c r="D35" s="8" t="n">
        <v>0</v>
      </c>
      <c r="E35" s="8" t="n">
        <v>13</v>
      </c>
      <c r="F35" s="8" t="n">
        <v>3</v>
      </c>
      <c r="G35" s="9" t="n">
        <v>10</v>
      </c>
      <c r="H35" s="10" t="n">
        <v>5</v>
      </c>
      <c r="I35" s="10" t="n">
        <v>4</v>
      </c>
      <c r="J35" s="10" t="n">
        <v>5</v>
      </c>
      <c r="K35" s="10" t="n">
        <v>3</v>
      </c>
      <c r="L35" s="10" t="n">
        <v>4</v>
      </c>
      <c r="M35" s="10" t="n">
        <v>8</v>
      </c>
      <c r="N35" s="10" t="n">
        <v>8</v>
      </c>
      <c r="O35" s="10" t="n">
        <v>7</v>
      </c>
      <c r="P35" s="10" t="n">
        <v>5</v>
      </c>
      <c r="Q35" s="10" t="n">
        <v>5</v>
      </c>
      <c r="R35" s="10" t="n">
        <v>6</v>
      </c>
      <c r="S35" s="10" t="n">
        <v>6</v>
      </c>
      <c r="T35" s="10" t="n">
        <v>7</v>
      </c>
      <c r="U35" s="10" t="n">
        <v>7</v>
      </c>
      <c r="V35" s="10" t="n">
        <v>7</v>
      </c>
      <c r="W35" s="10" t="n">
        <v>3</v>
      </c>
      <c r="X35" s="10" t="n">
        <v>7</v>
      </c>
      <c r="Y35" s="10" t="n">
        <v>11</v>
      </c>
      <c r="Z35" s="10" t="n">
        <v>8</v>
      </c>
      <c r="AA35" s="10" t="n">
        <v>9</v>
      </c>
      <c r="AB35" s="10" t="n">
        <v>9</v>
      </c>
      <c r="AC35" s="10"/>
      <c r="AD35" s="10" t="n">
        <v>10</v>
      </c>
      <c r="AE35" s="10" t="n">
        <v>8</v>
      </c>
      <c r="AF35" s="10" t="n">
        <v>6</v>
      </c>
      <c r="AG35" s="10" t="n">
        <v>6</v>
      </c>
      <c r="AH35" s="10" t="n">
        <v>8</v>
      </c>
      <c r="AI35" s="10" t="n">
        <v>7</v>
      </c>
      <c r="AJ35" s="10" t="n">
        <v>6</v>
      </c>
      <c r="AK35" s="10" t="n">
        <v>6</v>
      </c>
      <c r="AL35" s="10" t="n">
        <v>6</v>
      </c>
      <c r="AM35" s="10"/>
      <c r="AN35" s="10" t="n">
        <v>7</v>
      </c>
      <c r="AO35" s="10" t="n">
        <v>8</v>
      </c>
      <c r="AP35" s="10" t="n">
        <v>5</v>
      </c>
      <c r="AQ35" s="10" t="n">
        <v>7</v>
      </c>
      <c r="AR35" s="10" t="n">
        <v>3</v>
      </c>
      <c r="AS35" s="10" t="n">
        <v>4</v>
      </c>
      <c r="AT35" s="10" t="n">
        <v>4</v>
      </c>
      <c r="AU35" s="10" t="n">
        <v>6</v>
      </c>
      <c r="AV35" s="10" t="n">
        <v>6</v>
      </c>
      <c r="AW35" s="10" t="n">
        <v>6</v>
      </c>
      <c r="AX35" s="10" t="n">
        <v>1</v>
      </c>
      <c r="AY35" s="10" t="n">
        <v>6</v>
      </c>
      <c r="AZ35" s="10" t="n">
        <v>4</v>
      </c>
      <c r="BA35" s="10" t="n">
        <v>5</v>
      </c>
      <c r="BB35" s="10" t="n">
        <v>5</v>
      </c>
      <c r="BC35" s="10" t="n">
        <v>7</v>
      </c>
      <c r="BD35" s="10" t="n">
        <v>1</v>
      </c>
      <c r="BE35" s="10" t="n">
        <v>8</v>
      </c>
      <c r="BF35" s="10" t="n">
        <v>8</v>
      </c>
      <c r="BG35" s="10" t="n">
        <v>3</v>
      </c>
      <c r="BH35" s="10" t="n">
        <v>3</v>
      </c>
      <c r="BI35" s="10" t="n">
        <v>5</v>
      </c>
      <c r="BJ35" s="10" t="n">
        <v>5</v>
      </c>
      <c r="BK35" s="10" t="n">
        <v>5</v>
      </c>
      <c r="BL35" s="10"/>
      <c r="BM35" s="10" t="n">
        <v>6</v>
      </c>
      <c r="BN35" s="10" t="n">
        <v>6</v>
      </c>
      <c r="BO35" s="10" t="n">
        <v>4</v>
      </c>
      <c r="BP35" s="10" t="n">
        <v>4</v>
      </c>
      <c r="BQ35" s="10" t="n">
        <v>3</v>
      </c>
      <c r="BR35" s="10" t="n">
        <v>12</v>
      </c>
      <c r="BS35" s="10" t="n">
        <v>8</v>
      </c>
      <c r="BT35" s="10" t="n">
        <v>8</v>
      </c>
      <c r="BU35" s="10" t="n">
        <v>4</v>
      </c>
      <c r="BV35" s="10" t="n">
        <v>4</v>
      </c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0"/>
      <c r="GD35" s="10"/>
      <c r="GE35" s="10"/>
      <c r="GF35" s="10"/>
      <c r="GG35" s="10"/>
      <c r="GH35" s="10"/>
      <c r="GI35" s="10"/>
      <c r="GJ35" s="10"/>
      <c r="GK35" s="10"/>
    </row>
    <row r="36" customFormat="false" ht="12.75" hidden="false" customHeight="false" outlineLevel="0" collapsed="false">
      <c r="A36" s="7" t="s">
        <v>75</v>
      </c>
      <c r="B36" s="7" t="s">
        <v>76</v>
      </c>
      <c r="C36" s="8" t="n">
        <v>4</v>
      </c>
      <c r="D36" s="8" t="n">
        <v>0</v>
      </c>
      <c r="E36" s="8" t="n">
        <v>4</v>
      </c>
      <c r="F36" s="8" t="n">
        <v>0</v>
      </c>
      <c r="G36" s="9" t="n">
        <v>4</v>
      </c>
      <c r="H36" s="10" t="n">
        <v>2</v>
      </c>
      <c r="I36" s="10" t="n">
        <v>2</v>
      </c>
      <c r="J36" s="10" t="n">
        <v>2</v>
      </c>
      <c r="K36" s="10" t="n">
        <v>2</v>
      </c>
      <c r="L36" s="10" t="n">
        <v>2</v>
      </c>
      <c r="M36" s="10" t="n">
        <v>2</v>
      </c>
      <c r="N36" s="10" t="n">
        <v>2</v>
      </c>
      <c r="O36" s="10" t="n">
        <v>2</v>
      </c>
      <c r="P36" s="10" t="n">
        <v>2</v>
      </c>
      <c r="Q36" s="10" t="n">
        <v>2</v>
      </c>
      <c r="R36" s="10" t="n">
        <v>2</v>
      </c>
      <c r="S36" s="10" t="n">
        <v>2</v>
      </c>
      <c r="T36" s="10" t="n">
        <v>2</v>
      </c>
      <c r="U36" s="10" t="n">
        <v>2</v>
      </c>
      <c r="V36" s="10" t="n">
        <v>2</v>
      </c>
      <c r="W36" s="10"/>
      <c r="X36" s="10" t="n">
        <v>2</v>
      </c>
      <c r="Y36" s="10" t="n">
        <v>1</v>
      </c>
      <c r="Z36" s="10" t="n">
        <v>1</v>
      </c>
      <c r="AA36" s="10" t="n">
        <v>1</v>
      </c>
      <c r="AB36" s="10" t="n">
        <v>1</v>
      </c>
      <c r="AC36" s="10"/>
      <c r="AD36" s="10" t="n">
        <v>2</v>
      </c>
      <c r="AE36" s="10" t="n">
        <v>3</v>
      </c>
      <c r="AF36" s="10" t="n">
        <v>2</v>
      </c>
      <c r="AG36" s="10" t="n">
        <v>2</v>
      </c>
      <c r="AH36" s="10" t="n">
        <v>3</v>
      </c>
      <c r="AI36" s="10" t="n">
        <v>3</v>
      </c>
      <c r="AJ36" s="10" t="n">
        <v>3</v>
      </c>
      <c r="AK36" s="10" t="n">
        <v>3</v>
      </c>
      <c r="AL36" s="10" t="n">
        <v>3</v>
      </c>
      <c r="AM36" s="10" t="n">
        <v>1</v>
      </c>
      <c r="AN36" s="10" t="n">
        <v>1</v>
      </c>
      <c r="AO36" s="10" t="n">
        <v>1</v>
      </c>
      <c r="AP36" s="10" t="n">
        <v>2</v>
      </c>
      <c r="AQ36" s="10" t="n">
        <v>2</v>
      </c>
      <c r="AR36" s="10" t="n">
        <v>2</v>
      </c>
      <c r="AS36" s="10" t="n">
        <v>1</v>
      </c>
      <c r="AT36" s="10" t="n">
        <v>2</v>
      </c>
      <c r="AU36" s="10" t="n">
        <v>3</v>
      </c>
      <c r="AV36" s="10" t="n">
        <v>3</v>
      </c>
      <c r="AW36" s="10" t="n">
        <v>3</v>
      </c>
      <c r="AX36" s="10"/>
      <c r="AY36" s="10" t="n">
        <v>3</v>
      </c>
      <c r="AZ36" s="10" t="n">
        <v>2</v>
      </c>
      <c r="BA36" s="10" t="n">
        <v>2</v>
      </c>
      <c r="BB36" s="10" t="n">
        <v>1</v>
      </c>
      <c r="BC36" s="10" t="n">
        <v>1</v>
      </c>
      <c r="BD36" s="10" t="n">
        <v>1</v>
      </c>
      <c r="BE36" s="10" t="n">
        <v>2</v>
      </c>
      <c r="BF36" s="10" t="n">
        <v>2</v>
      </c>
      <c r="BG36" s="10" t="n">
        <v>2</v>
      </c>
      <c r="BH36" s="10" t="n">
        <v>2</v>
      </c>
      <c r="BI36" s="10" t="n">
        <v>2</v>
      </c>
      <c r="BJ36" s="10" t="n">
        <v>2</v>
      </c>
      <c r="BK36" s="10" t="n">
        <v>2</v>
      </c>
      <c r="BL36" s="10"/>
      <c r="BM36" s="10" t="n">
        <v>2</v>
      </c>
      <c r="BN36" s="10" t="n">
        <v>2</v>
      </c>
      <c r="BO36" s="10" t="n">
        <v>1</v>
      </c>
      <c r="BP36" s="10" t="n">
        <v>1</v>
      </c>
      <c r="BQ36" s="10" t="n">
        <v>1</v>
      </c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0"/>
      <c r="GD36" s="10"/>
      <c r="GE36" s="10"/>
      <c r="GF36" s="10"/>
      <c r="GG36" s="10"/>
      <c r="GH36" s="10"/>
      <c r="GI36" s="10"/>
      <c r="GJ36" s="10"/>
      <c r="GK36" s="10"/>
    </row>
    <row r="37" customFormat="false" ht="12.75" hidden="false" customHeight="false" outlineLevel="0" collapsed="false">
      <c r="A37" s="7" t="s">
        <v>77</v>
      </c>
      <c r="B37" s="7" t="s">
        <v>78</v>
      </c>
      <c r="C37" s="8" t="n">
        <v>34</v>
      </c>
      <c r="D37" s="8" t="n">
        <v>1</v>
      </c>
      <c r="E37" s="8" t="n">
        <v>33</v>
      </c>
      <c r="F37" s="8" t="n">
        <v>2</v>
      </c>
      <c r="G37" s="9" t="n">
        <v>31</v>
      </c>
      <c r="H37" s="10" t="n">
        <v>7</v>
      </c>
      <c r="I37" s="10" t="n">
        <v>9</v>
      </c>
      <c r="J37" s="10" t="n">
        <v>15</v>
      </c>
      <c r="K37" s="10" t="n">
        <v>9</v>
      </c>
      <c r="L37" s="10" t="n">
        <v>12</v>
      </c>
      <c r="M37" s="10" t="n">
        <v>12</v>
      </c>
      <c r="N37" s="10" t="n">
        <v>12</v>
      </c>
      <c r="O37" s="10" t="n">
        <v>12</v>
      </c>
      <c r="P37" s="10" t="n">
        <v>7</v>
      </c>
      <c r="Q37" s="10" t="n">
        <v>7</v>
      </c>
      <c r="R37" s="10" t="n">
        <v>9</v>
      </c>
      <c r="S37" s="10" t="n">
        <v>9</v>
      </c>
      <c r="T37" s="10" t="n">
        <v>12</v>
      </c>
      <c r="U37" s="10" t="n">
        <v>12</v>
      </c>
      <c r="V37" s="10" t="n">
        <v>10</v>
      </c>
      <c r="W37" s="10" t="n">
        <v>2</v>
      </c>
      <c r="X37" s="10" t="n">
        <v>8</v>
      </c>
      <c r="Y37" s="10" t="n">
        <v>9</v>
      </c>
      <c r="Z37" s="10" t="n">
        <v>11</v>
      </c>
      <c r="AA37" s="10" t="n">
        <v>11</v>
      </c>
      <c r="AB37" s="10" t="n">
        <v>11</v>
      </c>
      <c r="AC37" s="10"/>
      <c r="AD37" s="10" t="n">
        <v>12</v>
      </c>
      <c r="AE37" s="10" t="n">
        <v>12</v>
      </c>
      <c r="AF37" s="10" t="n">
        <v>9</v>
      </c>
      <c r="AG37" s="10" t="n">
        <v>9</v>
      </c>
      <c r="AH37" s="10" t="n">
        <v>10</v>
      </c>
      <c r="AI37" s="10" t="n">
        <v>10</v>
      </c>
      <c r="AJ37" s="10" t="n">
        <v>10</v>
      </c>
      <c r="AK37" s="10" t="n">
        <v>14</v>
      </c>
      <c r="AL37" s="10" t="n">
        <v>14</v>
      </c>
      <c r="AM37" s="10" t="n">
        <v>1</v>
      </c>
      <c r="AN37" s="10" t="n">
        <v>13</v>
      </c>
      <c r="AO37" s="10" t="n">
        <v>13</v>
      </c>
      <c r="AP37" s="10" t="n">
        <v>8</v>
      </c>
      <c r="AQ37" s="10" t="n">
        <v>8</v>
      </c>
      <c r="AR37" s="10" t="n">
        <v>8</v>
      </c>
      <c r="AS37" s="10" t="n">
        <v>9</v>
      </c>
      <c r="AT37" s="10" t="n">
        <v>7</v>
      </c>
      <c r="AU37" s="10" t="n">
        <v>8</v>
      </c>
      <c r="AV37" s="10" t="n">
        <v>8</v>
      </c>
      <c r="AW37" s="10" t="n">
        <v>8</v>
      </c>
      <c r="AX37" s="10" t="n">
        <v>2</v>
      </c>
      <c r="AY37" s="10" t="n">
        <v>8</v>
      </c>
      <c r="AZ37" s="10" t="n">
        <v>9</v>
      </c>
      <c r="BA37" s="10" t="n">
        <v>9</v>
      </c>
      <c r="BB37" s="10" t="n">
        <v>10</v>
      </c>
      <c r="BC37" s="10" t="n">
        <v>11</v>
      </c>
      <c r="BD37" s="10" t="n">
        <v>3</v>
      </c>
      <c r="BE37" s="10" t="n">
        <v>12</v>
      </c>
      <c r="BF37" s="10" t="n">
        <v>12</v>
      </c>
      <c r="BG37" s="10" t="n">
        <v>7</v>
      </c>
      <c r="BH37" s="10" t="n">
        <v>7</v>
      </c>
      <c r="BI37" s="10" t="n">
        <v>7</v>
      </c>
      <c r="BJ37" s="10" t="n">
        <v>7</v>
      </c>
      <c r="BK37" s="10" t="n">
        <v>7</v>
      </c>
      <c r="BL37" s="10"/>
      <c r="BM37" s="10" t="n">
        <v>8</v>
      </c>
      <c r="BN37" s="10" t="n">
        <v>8</v>
      </c>
      <c r="BO37" s="10" t="n">
        <v>7</v>
      </c>
      <c r="BP37" s="10" t="n">
        <v>7</v>
      </c>
      <c r="BQ37" s="10" t="n">
        <v>7</v>
      </c>
      <c r="BR37" s="10" t="n">
        <v>6</v>
      </c>
      <c r="BS37" s="10" t="n">
        <v>6</v>
      </c>
      <c r="BT37" s="10" t="n">
        <v>6</v>
      </c>
      <c r="BU37" s="10" t="n">
        <v>4</v>
      </c>
      <c r="BV37" s="10" t="n">
        <v>4</v>
      </c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</row>
    <row r="38" customFormat="false" ht="12.75" hidden="false" customHeight="false" outlineLevel="0" collapsed="false">
      <c r="A38" s="7" t="s">
        <v>79</v>
      </c>
      <c r="B38" s="7" t="s">
        <v>80</v>
      </c>
      <c r="C38" s="8" t="n">
        <v>18</v>
      </c>
      <c r="D38" s="8" t="n">
        <v>1</v>
      </c>
      <c r="E38" s="8" t="n">
        <v>17</v>
      </c>
      <c r="F38" s="8" t="n">
        <v>1</v>
      </c>
      <c r="G38" s="9" t="n">
        <v>16</v>
      </c>
      <c r="H38" s="10" t="n">
        <v>1</v>
      </c>
      <c r="I38" s="10" t="n">
        <v>1</v>
      </c>
      <c r="J38" s="10" t="n">
        <v>2</v>
      </c>
      <c r="K38" s="10" t="n">
        <v>2</v>
      </c>
      <c r="L38" s="10" t="n">
        <v>3</v>
      </c>
      <c r="M38" s="10" t="n">
        <v>5</v>
      </c>
      <c r="N38" s="10" t="n">
        <v>5</v>
      </c>
      <c r="O38" s="10" t="n">
        <v>4</v>
      </c>
      <c r="P38" s="10" t="n">
        <v>2</v>
      </c>
      <c r="Q38" s="10" t="n">
        <v>2</v>
      </c>
      <c r="R38" s="10" t="n">
        <v>3</v>
      </c>
      <c r="S38" s="10" t="n">
        <v>3</v>
      </c>
      <c r="T38" s="10" t="n">
        <v>5</v>
      </c>
      <c r="U38" s="10" t="n">
        <v>5</v>
      </c>
      <c r="V38" s="10" t="n">
        <v>5</v>
      </c>
      <c r="W38" s="10" t="n">
        <v>1</v>
      </c>
      <c r="X38" s="10" t="n">
        <v>3</v>
      </c>
      <c r="Y38" s="10" t="n">
        <v>2</v>
      </c>
      <c r="Z38" s="10" t="n">
        <v>1</v>
      </c>
      <c r="AA38" s="10" t="n">
        <v>2</v>
      </c>
      <c r="AB38" s="10" t="n">
        <v>2</v>
      </c>
      <c r="AC38" s="10"/>
      <c r="AD38" s="10" t="n">
        <v>2</v>
      </c>
      <c r="AE38" s="10" t="n">
        <v>3</v>
      </c>
      <c r="AF38" s="10" t="n">
        <v>2</v>
      </c>
      <c r="AG38" s="10" t="n">
        <v>2</v>
      </c>
      <c r="AH38" s="10" t="n">
        <v>4</v>
      </c>
      <c r="AI38" s="10" t="n">
        <v>5</v>
      </c>
      <c r="AJ38" s="10" t="n">
        <v>4</v>
      </c>
      <c r="AK38" s="10" t="n">
        <v>4</v>
      </c>
      <c r="AL38" s="10" t="n">
        <v>4</v>
      </c>
      <c r="AM38" s="10"/>
      <c r="AN38" s="10" t="n">
        <v>5</v>
      </c>
      <c r="AO38" s="10" t="n">
        <v>5</v>
      </c>
      <c r="AP38" s="10" t="n">
        <v>3</v>
      </c>
      <c r="AQ38" s="10" t="n">
        <v>3</v>
      </c>
      <c r="AR38" s="10" t="n">
        <v>1</v>
      </c>
      <c r="AS38" s="10" t="n">
        <v>3</v>
      </c>
      <c r="AT38" s="10" t="n">
        <v>3</v>
      </c>
      <c r="AU38" s="10" t="n">
        <v>2</v>
      </c>
      <c r="AV38" s="10" t="n">
        <v>2</v>
      </c>
      <c r="AW38" s="10" t="n">
        <v>2</v>
      </c>
      <c r="AX38" s="10" t="n">
        <v>2</v>
      </c>
      <c r="AY38" s="10" t="n">
        <v>2</v>
      </c>
      <c r="AZ38" s="10" t="n">
        <v>2</v>
      </c>
      <c r="BA38" s="10" t="n">
        <v>2</v>
      </c>
      <c r="BB38" s="10" t="n">
        <v>2</v>
      </c>
      <c r="BC38" s="10" t="n">
        <v>4</v>
      </c>
      <c r="BD38" s="10" t="n">
        <v>2</v>
      </c>
      <c r="BE38" s="10" t="n">
        <v>3</v>
      </c>
      <c r="BF38" s="10" t="n">
        <v>3</v>
      </c>
      <c r="BG38" s="10" t="n">
        <v>1</v>
      </c>
      <c r="BH38" s="10" t="n">
        <v>1</v>
      </c>
      <c r="BI38" s="10" t="n">
        <v>2</v>
      </c>
      <c r="BJ38" s="10" t="n">
        <v>2</v>
      </c>
      <c r="BK38" s="10" t="n">
        <v>2</v>
      </c>
      <c r="BL38" s="10"/>
      <c r="BM38" s="10" t="n">
        <v>4</v>
      </c>
      <c r="BN38" s="10" t="n">
        <v>4</v>
      </c>
      <c r="BO38" s="10" t="n">
        <v>3</v>
      </c>
      <c r="BP38" s="10" t="n">
        <v>3</v>
      </c>
      <c r="BQ38" s="10" t="n">
        <v>3</v>
      </c>
      <c r="BR38" s="10" t="n">
        <v>4</v>
      </c>
      <c r="BS38" s="10" t="n">
        <v>3</v>
      </c>
      <c r="BT38" s="10" t="n">
        <v>3</v>
      </c>
      <c r="BU38" s="10" t="n">
        <v>1</v>
      </c>
      <c r="BV38" s="10" t="n">
        <v>1</v>
      </c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  <c r="FO38" s="10"/>
      <c r="FP38" s="10"/>
      <c r="FQ38" s="10"/>
      <c r="FR38" s="10"/>
      <c r="FS38" s="10"/>
      <c r="FT38" s="10"/>
      <c r="FU38" s="10"/>
      <c r="FV38" s="10"/>
      <c r="FW38" s="10"/>
      <c r="FX38" s="10"/>
      <c r="FY38" s="10"/>
      <c r="FZ38" s="10"/>
      <c r="GA38" s="10"/>
      <c r="GB38" s="10"/>
      <c r="GC38" s="10"/>
      <c r="GD38" s="10"/>
      <c r="GE38" s="10"/>
      <c r="GF38" s="10"/>
      <c r="GG38" s="10"/>
      <c r="GH38" s="10"/>
      <c r="GI38" s="10"/>
      <c r="GJ38" s="10"/>
      <c r="GK38" s="10"/>
    </row>
    <row r="39" customFormat="false" ht="12.75" hidden="false" customHeight="false" outlineLevel="0" collapsed="false">
      <c r="A39" s="7" t="s">
        <v>81</v>
      </c>
      <c r="B39" s="7" t="s">
        <v>82</v>
      </c>
      <c r="C39" s="8" t="n">
        <v>242</v>
      </c>
      <c r="D39" s="8" t="n">
        <v>17</v>
      </c>
      <c r="E39" s="8" t="n">
        <v>225</v>
      </c>
      <c r="F39" s="8" t="n">
        <v>5</v>
      </c>
      <c r="G39" s="9" t="n">
        <v>220</v>
      </c>
      <c r="H39" s="10" t="n">
        <v>59</v>
      </c>
      <c r="I39" s="10" t="n">
        <v>68</v>
      </c>
      <c r="J39" s="10" t="n">
        <v>73</v>
      </c>
      <c r="K39" s="10" t="n">
        <v>74</v>
      </c>
      <c r="L39" s="10" t="n">
        <v>60</v>
      </c>
      <c r="M39" s="10" t="n">
        <v>58</v>
      </c>
      <c r="N39" s="10" t="n">
        <v>61</v>
      </c>
      <c r="O39" s="10" t="n">
        <v>58</v>
      </c>
      <c r="P39" s="10" t="n">
        <v>52</v>
      </c>
      <c r="Q39" s="10" t="n">
        <v>48</v>
      </c>
      <c r="R39" s="10" t="n">
        <v>61</v>
      </c>
      <c r="S39" s="10" t="n">
        <v>61</v>
      </c>
      <c r="T39" s="10" t="n">
        <v>64</v>
      </c>
      <c r="U39" s="10" t="n">
        <v>66</v>
      </c>
      <c r="V39" s="10" t="n">
        <v>57</v>
      </c>
      <c r="W39" s="10" t="n">
        <v>7</v>
      </c>
      <c r="X39" s="10" t="n">
        <v>41</v>
      </c>
      <c r="Y39" s="10" t="n">
        <v>45</v>
      </c>
      <c r="Z39" s="10" t="n">
        <v>42</v>
      </c>
      <c r="AA39" s="10" t="n">
        <v>60</v>
      </c>
      <c r="AB39" s="10" t="n">
        <v>60</v>
      </c>
      <c r="AC39" s="10" t="n">
        <v>10</v>
      </c>
      <c r="AD39" s="10" t="n">
        <v>81</v>
      </c>
      <c r="AE39" s="10" t="n">
        <v>86</v>
      </c>
      <c r="AF39" s="10" t="n">
        <v>71</v>
      </c>
      <c r="AG39" s="10" t="n">
        <v>80</v>
      </c>
      <c r="AH39" s="10" t="n">
        <v>95</v>
      </c>
      <c r="AI39" s="10" t="n">
        <v>81</v>
      </c>
      <c r="AJ39" s="10" t="n">
        <v>76</v>
      </c>
      <c r="AK39" s="10" t="n">
        <v>77</v>
      </c>
      <c r="AL39" s="10" t="n">
        <v>77</v>
      </c>
      <c r="AM39" s="10" t="n">
        <v>51</v>
      </c>
      <c r="AN39" s="10" t="n">
        <v>69</v>
      </c>
      <c r="AO39" s="10" t="n">
        <v>73</v>
      </c>
      <c r="AP39" s="10" t="n">
        <v>71</v>
      </c>
      <c r="AQ39" s="10" t="n">
        <v>74</v>
      </c>
      <c r="AR39" s="10" t="n">
        <v>80</v>
      </c>
      <c r="AS39" s="10" t="n">
        <v>75</v>
      </c>
      <c r="AT39" s="10" t="n">
        <v>73</v>
      </c>
      <c r="AU39" s="10" t="n">
        <v>67</v>
      </c>
      <c r="AV39" s="10" t="n">
        <v>67</v>
      </c>
      <c r="AW39" s="10" t="n">
        <v>67</v>
      </c>
      <c r="AX39" s="10" t="n">
        <v>46</v>
      </c>
      <c r="AY39" s="10" t="n">
        <v>68</v>
      </c>
      <c r="AZ39" s="10" t="n">
        <v>60</v>
      </c>
      <c r="BA39" s="10" t="n">
        <v>70</v>
      </c>
      <c r="BB39" s="10" t="n">
        <v>88</v>
      </c>
      <c r="BC39" s="10" t="n">
        <v>91</v>
      </c>
      <c r="BD39" s="10" t="n">
        <v>27</v>
      </c>
      <c r="BE39" s="10" t="n">
        <v>95</v>
      </c>
      <c r="BF39" s="10" t="n">
        <v>85</v>
      </c>
      <c r="BG39" s="10" t="n">
        <v>69</v>
      </c>
      <c r="BH39" s="10" t="n">
        <v>77</v>
      </c>
      <c r="BI39" s="10" t="n">
        <v>82</v>
      </c>
      <c r="BJ39" s="10" t="n">
        <v>83</v>
      </c>
      <c r="BK39" s="10" t="n">
        <v>82</v>
      </c>
      <c r="BL39" s="10" t="n">
        <v>42</v>
      </c>
      <c r="BM39" s="10" t="n">
        <v>77</v>
      </c>
      <c r="BN39" s="10" t="n">
        <v>78</v>
      </c>
      <c r="BO39" s="10" t="n">
        <v>62</v>
      </c>
      <c r="BP39" s="10" t="n">
        <v>61</v>
      </c>
      <c r="BQ39" s="10" t="n">
        <v>71</v>
      </c>
      <c r="BR39" s="10" t="n">
        <v>85</v>
      </c>
      <c r="BS39" s="10" t="n">
        <v>69</v>
      </c>
      <c r="BT39" s="10" t="n">
        <v>69</v>
      </c>
      <c r="BU39" s="10" t="n">
        <v>59</v>
      </c>
      <c r="BV39" s="10" t="n">
        <v>59</v>
      </c>
      <c r="BW39" s="10" t="n">
        <v>34</v>
      </c>
      <c r="BX39" s="10" t="n">
        <v>34</v>
      </c>
      <c r="BY39" s="10" t="n">
        <v>43</v>
      </c>
      <c r="BZ39" s="10" t="n">
        <v>43</v>
      </c>
      <c r="CA39" s="10" t="n">
        <v>43</v>
      </c>
      <c r="CB39" s="10" t="n">
        <v>43</v>
      </c>
      <c r="CC39" s="10" t="n">
        <v>43</v>
      </c>
      <c r="CD39" s="10" t="n">
        <v>43</v>
      </c>
      <c r="CE39" s="10" t="n">
        <v>43</v>
      </c>
      <c r="CF39" s="10" t="n">
        <v>43</v>
      </c>
      <c r="CG39" s="10" t="n">
        <v>25</v>
      </c>
      <c r="CH39" s="10" t="n">
        <v>43</v>
      </c>
      <c r="CI39" s="10" t="n">
        <v>34</v>
      </c>
      <c r="CJ39" s="10" t="n">
        <v>25</v>
      </c>
      <c r="CK39" s="10" t="n">
        <v>16</v>
      </c>
      <c r="CL39" s="10" t="n">
        <v>16</v>
      </c>
      <c r="CM39" s="10" t="n">
        <v>8</v>
      </c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  <c r="FE39" s="10"/>
      <c r="FF39" s="10"/>
      <c r="FG39" s="10"/>
      <c r="FH39" s="10"/>
      <c r="FI39" s="10"/>
      <c r="FJ39" s="10"/>
      <c r="FK39" s="10"/>
      <c r="FL39" s="10"/>
      <c r="FM39" s="10"/>
      <c r="FN39" s="10"/>
      <c r="FO39" s="10"/>
      <c r="FP39" s="10"/>
      <c r="FQ39" s="10"/>
      <c r="FR39" s="10"/>
      <c r="FS39" s="10"/>
      <c r="FT39" s="10"/>
      <c r="FU39" s="10"/>
      <c r="FV39" s="10"/>
      <c r="FW39" s="10"/>
      <c r="FX39" s="10"/>
      <c r="FY39" s="10"/>
      <c r="FZ39" s="10"/>
      <c r="GA39" s="10"/>
      <c r="GB39" s="10"/>
      <c r="GC39" s="10"/>
      <c r="GD39" s="10"/>
      <c r="GE39" s="10"/>
      <c r="GF39" s="10"/>
      <c r="GG39" s="10"/>
      <c r="GH39" s="10"/>
      <c r="GI39" s="10"/>
      <c r="GJ39" s="10"/>
      <c r="GK39" s="10"/>
    </row>
    <row r="40" customFormat="false" ht="12.75" hidden="false" customHeight="false" outlineLevel="0" collapsed="false">
      <c r="A40" s="7" t="s">
        <v>83</v>
      </c>
      <c r="B40" s="7" t="s">
        <v>84</v>
      </c>
      <c r="C40" s="8" t="n">
        <v>3</v>
      </c>
      <c r="D40" s="8" t="n">
        <v>0</v>
      </c>
      <c r="E40" s="8" t="n">
        <v>3</v>
      </c>
      <c r="F40" s="8" t="n">
        <v>1</v>
      </c>
      <c r="G40" s="9" t="n">
        <v>2</v>
      </c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 t="n">
        <v>1</v>
      </c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 t="n">
        <v>1</v>
      </c>
      <c r="BV40" s="10" t="n">
        <v>1</v>
      </c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  <c r="FE40" s="10"/>
      <c r="FF40" s="10"/>
      <c r="FG40" s="10"/>
      <c r="FH40" s="10"/>
      <c r="FI40" s="10"/>
      <c r="FJ40" s="10"/>
      <c r="FK40" s="10"/>
      <c r="FL40" s="10"/>
      <c r="FM40" s="10"/>
      <c r="FN40" s="10"/>
      <c r="FO40" s="10"/>
      <c r="FP40" s="10"/>
      <c r="FQ40" s="10"/>
      <c r="FR40" s="10"/>
      <c r="FS40" s="10"/>
      <c r="FT40" s="10"/>
      <c r="FU40" s="10"/>
      <c r="FV40" s="10"/>
      <c r="FW40" s="10"/>
      <c r="FX40" s="10"/>
      <c r="FY40" s="10"/>
      <c r="FZ40" s="10"/>
      <c r="GA40" s="10"/>
      <c r="GB40" s="10"/>
      <c r="GC40" s="10"/>
      <c r="GD40" s="10"/>
      <c r="GE40" s="10"/>
      <c r="GF40" s="10"/>
      <c r="GG40" s="10"/>
      <c r="GH40" s="10"/>
      <c r="GI40" s="10"/>
      <c r="GJ40" s="10"/>
      <c r="GK40" s="10"/>
    </row>
    <row r="41" customFormat="false" ht="12.75" hidden="false" customHeight="false" outlineLevel="0" collapsed="false">
      <c r="A41" s="7" t="s">
        <v>85</v>
      </c>
      <c r="B41" s="7" t="s">
        <v>86</v>
      </c>
      <c r="C41" s="8" t="n">
        <v>2</v>
      </c>
      <c r="D41" s="8" t="n">
        <v>0</v>
      </c>
      <c r="E41" s="8" t="n">
        <v>2</v>
      </c>
      <c r="F41" s="8" t="n">
        <v>0</v>
      </c>
      <c r="G41" s="9" t="n">
        <v>2</v>
      </c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 t="n">
        <v>1</v>
      </c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 t="n">
        <v>1</v>
      </c>
      <c r="BV41" s="10" t="n">
        <v>1</v>
      </c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  <c r="FE41" s="10"/>
      <c r="FF41" s="10"/>
      <c r="FG41" s="10"/>
      <c r="FH41" s="10"/>
      <c r="FI41" s="10"/>
      <c r="FJ41" s="10"/>
      <c r="FK41" s="10"/>
      <c r="FL41" s="10"/>
      <c r="FM41" s="10"/>
      <c r="FN41" s="10"/>
      <c r="FO41" s="10"/>
      <c r="FP41" s="10"/>
      <c r="FQ41" s="10"/>
      <c r="FR41" s="10"/>
      <c r="FS41" s="10"/>
      <c r="FT41" s="10"/>
      <c r="FU41" s="10"/>
      <c r="FV41" s="10"/>
      <c r="FW41" s="10"/>
      <c r="FX41" s="10"/>
      <c r="FY41" s="10"/>
      <c r="FZ41" s="10"/>
      <c r="GA41" s="10"/>
      <c r="GB41" s="10"/>
      <c r="GC41" s="10"/>
      <c r="GD41" s="10"/>
      <c r="GE41" s="10"/>
      <c r="GF41" s="10"/>
      <c r="GG41" s="10"/>
      <c r="GH41" s="10"/>
      <c r="GI41" s="10"/>
      <c r="GJ41" s="10"/>
      <c r="GK41" s="10"/>
    </row>
    <row r="42" customFormat="false" ht="12.75" hidden="false" customHeight="false" outlineLevel="0" collapsed="false">
      <c r="A42" s="7" t="s">
        <v>87</v>
      </c>
      <c r="B42" s="7" t="s">
        <v>88</v>
      </c>
      <c r="C42" s="8" t="n">
        <v>6</v>
      </c>
      <c r="D42" s="8" t="n">
        <v>1</v>
      </c>
      <c r="E42" s="8" t="n">
        <v>5</v>
      </c>
      <c r="F42" s="8" t="n">
        <v>3</v>
      </c>
      <c r="G42" s="9" t="n">
        <v>2</v>
      </c>
      <c r="H42" s="10" t="n">
        <v>1</v>
      </c>
      <c r="I42" s="10" t="n">
        <v>1</v>
      </c>
      <c r="J42" s="10" t="n">
        <v>1</v>
      </c>
      <c r="K42" s="10" t="n">
        <v>1</v>
      </c>
      <c r="L42" s="10" t="n">
        <v>1</v>
      </c>
      <c r="M42" s="10" t="n">
        <v>2</v>
      </c>
      <c r="N42" s="10" t="n">
        <v>2</v>
      </c>
      <c r="O42" s="10" t="n">
        <v>1</v>
      </c>
      <c r="P42" s="10" t="n">
        <v>1</v>
      </c>
      <c r="Q42" s="10" t="n">
        <v>1</v>
      </c>
      <c r="R42" s="10" t="n">
        <v>1</v>
      </c>
      <c r="S42" s="10" t="n">
        <v>1</v>
      </c>
      <c r="T42" s="10" t="n">
        <v>1</v>
      </c>
      <c r="U42" s="10" t="n">
        <v>1</v>
      </c>
      <c r="V42" s="10" t="n">
        <v>1</v>
      </c>
      <c r="W42" s="10"/>
      <c r="X42" s="10"/>
      <c r="Y42" s="10"/>
      <c r="Z42" s="10"/>
      <c r="AA42" s="10"/>
      <c r="AB42" s="10"/>
      <c r="AC42" s="10"/>
      <c r="AD42" s="10"/>
      <c r="AE42" s="10" t="n">
        <v>1</v>
      </c>
      <c r="AF42" s="10" t="n">
        <v>1</v>
      </c>
      <c r="AG42" s="10" t="n">
        <v>1</v>
      </c>
      <c r="AH42" s="10" t="n">
        <v>2</v>
      </c>
      <c r="AI42" s="10" t="n">
        <v>2</v>
      </c>
      <c r="AJ42" s="10" t="n">
        <v>1</v>
      </c>
      <c r="AK42" s="10" t="n">
        <v>1</v>
      </c>
      <c r="AL42" s="10" t="n">
        <v>1</v>
      </c>
      <c r="AM42" s="10"/>
      <c r="AN42" s="10"/>
      <c r="AO42" s="10" t="n">
        <v>1</v>
      </c>
      <c r="AP42" s="10"/>
      <c r="AQ42" s="10" t="n">
        <v>1</v>
      </c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 t="n">
        <v>1</v>
      </c>
      <c r="BC42" s="10" t="n">
        <v>1</v>
      </c>
      <c r="BD42" s="10"/>
      <c r="BE42" s="10" t="n">
        <v>2</v>
      </c>
      <c r="BF42" s="10" t="n">
        <v>2</v>
      </c>
      <c r="BG42" s="10" t="n">
        <v>1</v>
      </c>
      <c r="BH42" s="10" t="n">
        <v>1</v>
      </c>
      <c r="BI42" s="10" t="n">
        <v>1</v>
      </c>
      <c r="BJ42" s="10" t="n">
        <v>1</v>
      </c>
      <c r="BK42" s="10" t="n">
        <v>1</v>
      </c>
      <c r="BL42" s="10"/>
      <c r="BM42" s="10" t="n">
        <v>1</v>
      </c>
      <c r="BN42" s="10" t="n">
        <v>1</v>
      </c>
      <c r="BO42" s="10"/>
      <c r="BP42" s="10"/>
      <c r="BQ42" s="10"/>
      <c r="BR42" s="10" t="n">
        <v>1</v>
      </c>
      <c r="BS42" s="10" t="n">
        <v>1</v>
      </c>
      <c r="BT42" s="10" t="n">
        <v>1</v>
      </c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  <c r="FE42" s="10"/>
      <c r="FF42" s="10"/>
      <c r="FG42" s="10"/>
      <c r="FH42" s="10"/>
      <c r="FI42" s="10"/>
      <c r="FJ42" s="10"/>
      <c r="FK42" s="10"/>
      <c r="FL42" s="10"/>
      <c r="FM42" s="10"/>
      <c r="FN42" s="10"/>
      <c r="FO42" s="10"/>
      <c r="FP42" s="10"/>
      <c r="FQ42" s="10"/>
      <c r="FR42" s="10"/>
      <c r="FS42" s="10"/>
      <c r="FT42" s="10"/>
      <c r="FU42" s="10"/>
      <c r="FV42" s="10"/>
      <c r="FW42" s="10"/>
      <c r="FX42" s="10"/>
      <c r="FY42" s="10"/>
      <c r="FZ42" s="10"/>
      <c r="GA42" s="10"/>
      <c r="GB42" s="10"/>
      <c r="GC42" s="10"/>
      <c r="GD42" s="10"/>
      <c r="GE42" s="10"/>
      <c r="GF42" s="10"/>
      <c r="GG42" s="10"/>
      <c r="GH42" s="10"/>
      <c r="GI42" s="10"/>
      <c r="GJ42" s="10"/>
      <c r="GK42" s="10"/>
    </row>
    <row r="43" customFormat="false" ht="12.75" hidden="false" customHeight="false" outlineLevel="0" collapsed="false">
      <c r="A43" s="7" t="s">
        <v>89</v>
      </c>
      <c r="B43" s="7" t="s">
        <v>90</v>
      </c>
      <c r="C43" s="8" t="n">
        <v>9</v>
      </c>
      <c r="D43" s="8" t="n">
        <v>0</v>
      </c>
      <c r="E43" s="8" t="n">
        <v>9</v>
      </c>
      <c r="F43" s="8" t="n">
        <v>3</v>
      </c>
      <c r="G43" s="9" t="n">
        <v>6</v>
      </c>
      <c r="H43" s="10"/>
      <c r="I43" s="10" t="n">
        <v>2</v>
      </c>
      <c r="J43" s="10" t="n">
        <v>2</v>
      </c>
      <c r="K43" s="10" t="n">
        <v>2</v>
      </c>
      <c r="L43" s="10" t="n">
        <v>2</v>
      </c>
      <c r="M43" s="10" t="n">
        <v>2</v>
      </c>
      <c r="N43" s="10"/>
      <c r="O43" s="10"/>
      <c r="P43" s="10"/>
      <c r="Q43" s="10" t="n">
        <v>2</v>
      </c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  <c r="FC43" s="10"/>
      <c r="FD43" s="10"/>
      <c r="FE43" s="10"/>
      <c r="FF43" s="10"/>
      <c r="FG43" s="10"/>
      <c r="FH43" s="10"/>
      <c r="FI43" s="10"/>
      <c r="FJ43" s="10"/>
      <c r="FK43" s="10"/>
      <c r="FL43" s="10"/>
      <c r="FM43" s="10"/>
      <c r="FN43" s="10"/>
      <c r="FO43" s="10"/>
      <c r="FP43" s="10"/>
      <c r="FQ43" s="10"/>
      <c r="FR43" s="10"/>
      <c r="FS43" s="10"/>
      <c r="FT43" s="10"/>
      <c r="FU43" s="10"/>
      <c r="FV43" s="10"/>
      <c r="FW43" s="10"/>
      <c r="FX43" s="10"/>
      <c r="FY43" s="10"/>
      <c r="FZ43" s="10"/>
      <c r="GA43" s="10"/>
      <c r="GB43" s="10"/>
      <c r="GC43" s="10"/>
      <c r="GD43" s="10"/>
      <c r="GE43" s="10"/>
      <c r="GF43" s="10"/>
      <c r="GG43" s="10"/>
      <c r="GH43" s="10"/>
      <c r="GI43" s="10"/>
      <c r="GJ43" s="10"/>
      <c r="GK43" s="10"/>
    </row>
    <row r="44" customFormat="false" ht="12.75" hidden="false" customHeight="false" outlineLevel="0" collapsed="false">
      <c r="A44" s="7" t="s">
        <v>91</v>
      </c>
      <c r="B44" s="7" t="s">
        <v>92</v>
      </c>
      <c r="C44" s="8" t="n">
        <v>18</v>
      </c>
      <c r="D44" s="8" t="n">
        <v>0</v>
      </c>
      <c r="E44" s="8" t="n">
        <v>18</v>
      </c>
      <c r="F44" s="8" t="n">
        <v>3</v>
      </c>
      <c r="G44" s="9" t="n">
        <v>15</v>
      </c>
      <c r="H44" s="10"/>
      <c r="I44" s="10"/>
      <c r="J44" s="10"/>
      <c r="K44" s="10"/>
      <c r="L44" s="10" t="n">
        <v>6</v>
      </c>
      <c r="M44" s="10" t="n">
        <v>6</v>
      </c>
      <c r="N44" s="10" t="n">
        <v>6</v>
      </c>
      <c r="O44" s="10" t="n">
        <v>6</v>
      </c>
      <c r="P44" s="10"/>
      <c r="Q44" s="10"/>
      <c r="R44" s="10"/>
      <c r="S44" s="10"/>
      <c r="T44" s="10" t="n">
        <v>6</v>
      </c>
      <c r="U44" s="10" t="n">
        <v>6</v>
      </c>
      <c r="V44" s="10" t="n">
        <v>6</v>
      </c>
      <c r="W44" s="10"/>
      <c r="X44" s="10" t="n">
        <v>6</v>
      </c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 t="n">
        <v>6</v>
      </c>
      <c r="AJ44" s="10" t="n">
        <v>6</v>
      </c>
      <c r="AK44" s="10" t="n">
        <v>6</v>
      </c>
      <c r="AL44" s="10" t="n">
        <v>6</v>
      </c>
      <c r="AM44" s="10"/>
      <c r="AN44" s="10" t="n">
        <v>6</v>
      </c>
      <c r="AO44" s="10" t="n">
        <v>6</v>
      </c>
      <c r="AP44" s="10" t="n">
        <v>6</v>
      </c>
      <c r="AQ44" s="10" t="n">
        <v>6</v>
      </c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 t="n">
        <v>6</v>
      </c>
      <c r="BD44" s="10" t="n">
        <v>6</v>
      </c>
      <c r="BE44" s="10" t="n">
        <v>6</v>
      </c>
      <c r="BF44" s="10" t="n">
        <v>6</v>
      </c>
      <c r="BG44" s="10"/>
      <c r="BH44" s="10"/>
      <c r="BI44" s="10"/>
      <c r="BJ44" s="10"/>
      <c r="BK44" s="10"/>
      <c r="BL44" s="10"/>
      <c r="BM44" s="10" t="n">
        <v>6</v>
      </c>
      <c r="BN44" s="10" t="n">
        <v>6</v>
      </c>
      <c r="BO44" s="10" t="n">
        <v>6</v>
      </c>
      <c r="BP44" s="10" t="n">
        <v>6</v>
      </c>
      <c r="BQ44" s="10" t="n">
        <v>6</v>
      </c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  <c r="FE44" s="10"/>
      <c r="FF44" s="10"/>
      <c r="FG44" s="10"/>
      <c r="FH44" s="10"/>
      <c r="FI44" s="10"/>
      <c r="FJ44" s="10"/>
      <c r="FK44" s="10"/>
      <c r="FL44" s="10"/>
      <c r="FM44" s="10"/>
      <c r="FN44" s="10"/>
      <c r="FO44" s="10"/>
      <c r="FP44" s="10"/>
      <c r="FQ44" s="10"/>
      <c r="FR44" s="10"/>
      <c r="FS44" s="10"/>
      <c r="FT44" s="10"/>
      <c r="FU44" s="10"/>
      <c r="FV44" s="10"/>
      <c r="FW44" s="10"/>
      <c r="FX44" s="10"/>
      <c r="FY44" s="10"/>
      <c r="FZ44" s="10"/>
      <c r="GA44" s="10"/>
      <c r="GB44" s="10"/>
      <c r="GC44" s="10"/>
      <c r="GD44" s="10"/>
      <c r="GE44" s="10"/>
      <c r="GF44" s="10"/>
      <c r="GG44" s="10"/>
      <c r="GH44" s="10"/>
      <c r="GI44" s="10"/>
      <c r="GJ44" s="10"/>
      <c r="GK44" s="10"/>
    </row>
    <row r="45" customFormat="false" ht="12.75" hidden="false" customHeight="false" outlineLevel="0" collapsed="false">
      <c r="A45" s="7" t="s">
        <v>93</v>
      </c>
      <c r="B45" s="7" t="s">
        <v>94</v>
      </c>
      <c r="C45" s="8" t="n">
        <v>32</v>
      </c>
      <c r="D45" s="8" t="n">
        <v>0</v>
      </c>
      <c r="E45" s="8" t="n">
        <v>32</v>
      </c>
      <c r="F45" s="8" t="n">
        <v>8</v>
      </c>
      <c r="G45" s="9" t="n">
        <v>24</v>
      </c>
      <c r="H45" s="10" t="n">
        <v>21</v>
      </c>
      <c r="I45" s="10" t="n">
        <v>5</v>
      </c>
      <c r="J45" s="10" t="n">
        <v>5</v>
      </c>
      <c r="K45" s="10" t="n">
        <v>5</v>
      </c>
      <c r="L45" s="10" t="n">
        <v>5</v>
      </c>
      <c r="M45" s="10" t="n">
        <v>8</v>
      </c>
      <c r="N45" s="10" t="n">
        <v>9</v>
      </c>
      <c r="O45" s="10" t="n">
        <v>7</v>
      </c>
      <c r="P45" s="10" t="n">
        <v>7</v>
      </c>
      <c r="Q45" s="10" t="n">
        <v>6</v>
      </c>
      <c r="R45" s="10" t="n">
        <v>7</v>
      </c>
      <c r="S45" s="10" t="n">
        <v>7</v>
      </c>
      <c r="T45" s="10" t="n">
        <v>9</v>
      </c>
      <c r="U45" s="10" t="n">
        <v>9</v>
      </c>
      <c r="V45" s="10" t="n">
        <v>8</v>
      </c>
      <c r="W45" s="10" t="n">
        <v>1</v>
      </c>
      <c r="X45" s="10" t="n">
        <v>7</v>
      </c>
      <c r="Y45" s="10" t="n">
        <v>19</v>
      </c>
      <c r="Z45" s="10" t="n">
        <v>14</v>
      </c>
      <c r="AA45" s="10" t="n">
        <v>10</v>
      </c>
      <c r="AB45" s="10" t="n">
        <v>10</v>
      </c>
      <c r="AC45" s="10"/>
      <c r="AD45" s="10" t="n">
        <v>14</v>
      </c>
      <c r="AE45" s="10" t="n">
        <v>14</v>
      </c>
      <c r="AF45" s="10" t="n">
        <v>10</v>
      </c>
      <c r="AG45" s="10" t="n">
        <v>10</v>
      </c>
      <c r="AH45" s="10" t="n">
        <v>12</v>
      </c>
      <c r="AI45" s="10" t="n">
        <v>9</v>
      </c>
      <c r="AJ45" s="10" t="n">
        <v>7</v>
      </c>
      <c r="AK45" s="10" t="n">
        <v>6</v>
      </c>
      <c r="AL45" s="10" t="n">
        <v>6</v>
      </c>
      <c r="AM45" s="10"/>
      <c r="AN45" s="10" t="n">
        <v>6</v>
      </c>
      <c r="AO45" s="10" t="n">
        <v>6</v>
      </c>
      <c r="AP45" s="10" t="n">
        <v>4</v>
      </c>
      <c r="AQ45" s="10" t="n">
        <v>5</v>
      </c>
      <c r="AR45" s="10"/>
      <c r="AS45" s="10"/>
      <c r="AT45" s="10" t="n">
        <v>13</v>
      </c>
      <c r="AU45" s="10" t="n">
        <v>17</v>
      </c>
      <c r="AV45" s="10" t="n">
        <v>17</v>
      </c>
      <c r="AW45" s="10" t="n">
        <v>17</v>
      </c>
      <c r="AX45" s="10"/>
      <c r="AY45" s="10" t="n">
        <v>18</v>
      </c>
      <c r="AZ45" s="10" t="n">
        <v>7</v>
      </c>
      <c r="BA45" s="10" t="n">
        <v>8</v>
      </c>
      <c r="BB45" s="10" t="n">
        <v>6</v>
      </c>
      <c r="BC45" s="10" t="n">
        <v>6</v>
      </c>
      <c r="BD45" s="10"/>
      <c r="BE45" s="10" t="n">
        <v>10</v>
      </c>
      <c r="BF45" s="10" t="n">
        <v>10</v>
      </c>
      <c r="BG45" s="10" t="n">
        <v>10</v>
      </c>
      <c r="BH45" s="10" t="n">
        <v>9</v>
      </c>
      <c r="BI45" s="10" t="n">
        <v>6</v>
      </c>
      <c r="BJ45" s="10" t="n">
        <v>7</v>
      </c>
      <c r="BK45" s="10" t="n">
        <v>6</v>
      </c>
      <c r="BL45" s="10"/>
      <c r="BM45" s="10" t="n">
        <v>6</v>
      </c>
      <c r="BN45" s="10" t="n">
        <v>6</v>
      </c>
      <c r="BO45" s="10" t="n">
        <v>2</v>
      </c>
      <c r="BP45" s="10" t="n">
        <v>1</v>
      </c>
      <c r="BQ45" s="10" t="n">
        <v>2</v>
      </c>
      <c r="BR45" s="10" t="n">
        <v>15</v>
      </c>
      <c r="BS45" s="10" t="n">
        <v>7</v>
      </c>
      <c r="BT45" s="10" t="n">
        <v>7</v>
      </c>
      <c r="BU45" s="10" t="n">
        <v>7</v>
      </c>
      <c r="BV45" s="10" t="n">
        <v>7</v>
      </c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  <c r="FE45" s="10"/>
      <c r="FF45" s="10"/>
      <c r="FG45" s="10"/>
      <c r="FH45" s="10"/>
      <c r="FI45" s="10"/>
      <c r="FJ45" s="10"/>
      <c r="FK45" s="10"/>
      <c r="FL45" s="10"/>
      <c r="FM45" s="10"/>
      <c r="FN45" s="10"/>
      <c r="FO45" s="10"/>
      <c r="FP45" s="10"/>
      <c r="FQ45" s="10"/>
      <c r="FR45" s="10"/>
      <c r="FS45" s="10"/>
      <c r="FT45" s="10"/>
      <c r="FU45" s="10"/>
      <c r="FV45" s="10"/>
      <c r="FW45" s="10"/>
      <c r="FX45" s="10"/>
      <c r="FY45" s="10"/>
      <c r="FZ45" s="10"/>
      <c r="GA45" s="10"/>
      <c r="GB45" s="10"/>
      <c r="GC45" s="10"/>
      <c r="GD45" s="10"/>
      <c r="GE45" s="10"/>
      <c r="GF45" s="10"/>
      <c r="GG45" s="10"/>
      <c r="GH45" s="10"/>
      <c r="GI45" s="10"/>
      <c r="GJ45" s="10"/>
      <c r="GK45" s="10"/>
    </row>
    <row r="46" customFormat="false" ht="12.75" hidden="false" customHeight="false" outlineLevel="0" collapsed="false">
      <c r="A46" s="7"/>
      <c r="B46" s="7"/>
      <c r="C46" s="8"/>
      <c r="D46" s="8"/>
      <c r="E46" s="8"/>
      <c r="F46" s="8"/>
      <c r="G46" s="9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  <c r="FE46" s="10"/>
      <c r="FF46" s="10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0"/>
      <c r="GB46" s="10"/>
      <c r="GC46" s="10"/>
      <c r="GD46" s="10"/>
      <c r="GE46" s="10"/>
      <c r="GF46" s="10"/>
      <c r="GG46" s="10"/>
      <c r="GH46" s="10"/>
      <c r="GI46" s="10"/>
      <c r="GJ46" s="10"/>
      <c r="GK46" s="10"/>
    </row>
    <row r="47" customFormat="false" ht="12.75" hidden="false" customHeight="false" outlineLevel="0" collapsed="false">
      <c r="A47" s="7"/>
      <c r="B47" s="7"/>
      <c r="C47" s="8"/>
      <c r="D47" s="8"/>
      <c r="E47" s="8"/>
      <c r="F47" s="8"/>
      <c r="G47" s="9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  <c r="FE47" s="10"/>
      <c r="FF47" s="10"/>
      <c r="FG47" s="10"/>
      <c r="FH47" s="10"/>
      <c r="FI47" s="10"/>
      <c r="FJ47" s="10"/>
      <c r="FK47" s="10"/>
      <c r="FL47" s="10"/>
      <c r="FM47" s="10"/>
      <c r="FN47" s="10"/>
      <c r="FO47" s="10"/>
      <c r="FP47" s="10"/>
      <c r="FQ47" s="10"/>
      <c r="FR47" s="10"/>
      <c r="FS47" s="10"/>
      <c r="FT47" s="10"/>
      <c r="FU47" s="10"/>
      <c r="FV47" s="10"/>
      <c r="FW47" s="10"/>
      <c r="FX47" s="10"/>
      <c r="FY47" s="10"/>
      <c r="FZ47" s="10"/>
      <c r="GA47" s="10"/>
      <c r="GB47" s="10"/>
      <c r="GC47" s="10"/>
      <c r="GD47" s="10"/>
      <c r="GE47" s="10"/>
      <c r="GF47" s="10"/>
      <c r="GG47" s="10"/>
      <c r="GH47" s="10"/>
      <c r="GI47" s="10"/>
      <c r="GJ47" s="10"/>
      <c r="GK47" s="10"/>
    </row>
    <row r="48" customFormat="false" ht="12.75" hidden="false" customHeight="false" outlineLevel="0" collapsed="false">
      <c r="A48" s="7"/>
      <c r="B48" s="7"/>
      <c r="C48" s="8"/>
      <c r="D48" s="8"/>
      <c r="E48" s="8"/>
      <c r="F48" s="8"/>
      <c r="G48" s="9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  <c r="EP48" s="10"/>
      <c r="EQ48" s="10"/>
      <c r="ER48" s="10"/>
      <c r="ES48" s="10"/>
      <c r="ET48" s="10"/>
      <c r="EU48" s="10"/>
      <c r="EV48" s="10"/>
      <c r="EW48" s="10"/>
      <c r="EX48" s="10"/>
      <c r="EY48" s="10"/>
      <c r="EZ48" s="10"/>
      <c r="FA48" s="10"/>
      <c r="FB48" s="10"/>
      <c r="FC48" s="10"/>
      <c r="FD48" s="10"/>
      <c r="FE48" s="10"/>
      <c r="FF48" s="10"/>
      <c r="FG48" s="10"/>
      <c r="FH48" s="10"/>
      <c r="FI48" s="10"/>
      <c r="FJ48" s="10"/>
      <c r="FK48" s="10"/>
      <c r="FL48" s="10"/>
      <c r="FM48" s="10"/>
      <c r="FN48" s="10"/>
      <c r="FO48" s="10"/>
      <c r="FP48" s="10"/>
      <c r="FQ48" s="10"/>
      <c r="FR48" s="10"/>
      <c r="FS48" s="10"/>
      <c r="FT48" s="10"/>
      <c r="FU48" s="10"/>
      <c r="FV48" s="10"/>
      <c r="FW48" s="10"/>
      <c r="FX48" s="10"/>
      <c r="FY48" s="10"/>
      <c r="FZ48" s="10"/>
      <c r="GA48" s="10"/>
      <c r="GB48" s="10"/>
      <c r="GC48" s="10"/>
      <c r="GD48" s="10"/>
      <c r="GE48" s="10"/>
      <c r="GF48" s="10"/>
      <c r="GG48" s="10"/>
      <c r="GH48" s="10"/>
      <c r="GI48" s="10"/>
      <c r="GJ48" s="10"/>
      <c r="GK48" s="10"/>
    </row>
    <row r="49" customFormat="false" ht="12.75" hidden="false" customHeight="false" outlineLevel="0" collapsed="false">
      <c r="A49" s="7"/>
      <c r="B49" s="7"/>
      <c r="C49" s="8"/>
      <c r="D49" s="8"/>
      <c r="E49" s="8"/>
      <c r="F49" s="8"/>
      <c r="G49" s="9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  <c r="EP49" s="10"/>
      <c r="EQ49" s="10"/>
      <c r="ER49" s="10"/>
      <c r="ES49" s="10"/>
      <c r="ET49" s="10"/>
      <c r="EU49" s="10"/>
      <c r="EV49" s="10"/>
      <c r="EW49" s="10"/>
      <c r="EX49" s="10"/>
      <c r="EY49" s="10"/>
      <c r="EZ49" s="10"/>
      <c r="FA49" s="10"/>
      <c r="FB49" s="10"/>
      <c r="FC49" s="10"/>
      <c r="FD49" s="10"/>
      <c r="FE49" s="10"/>
      <c r="FF49" s="10"/>
      <c r="FG49" s="10"/>
      <c r="FH49" s="10"/>
      <c r="FI49" s="10"/>
      <c r="FJ49" s="10"/>
      <c r="FK49" s="10"/>
      <c r="FL49" s="10"/>
      <c r="FM49" s="10"/>
      <c r="FN49" s="10"/>
      <c r="FO49" s="10"/>
      <c r="FP49" s="10"/>
      <c r="FQ49" s="10"/>
      <c r="FR49" s="10"/>
      <c r="FS49" s="10"/>
      <c r="FT49" s="10"/>
      <c r="FU49" s="10"/>
      <c r="FV49" s="10"/>
      <c r="FW49" s="10"/>
      <c r="FX49" s="10"/>
      <c r="FY49" s="10"/>
      <c r="FZ49" s="10"/>
      <c r="GA49" s="10"/>
      <c r="GB49" s="10"/>
      <c r="GC49" s="10"/>
      <c r="GD49" s="10"/>
      <c r="GE49" s="10"/>
      <c r="GF49" s="10"/>
      <c r="GG49" s="10"/>
      <c r="GH49" s="10"/>
      <c r="GI49" s="10"/>
      <c r="GJ49" s="10"/>
      <c r="GK49" s="10"/>
    </row>
    <row r="50" customFormat="false" ht="12.75" hidden="false" customHeight="false" outlineLevel="0" collapsed="false">
      <c r="A50" s="7"/>
      <c r="B50" s="7"/>
      <c r="C50" s="8"/>
      <c r="D50" s="8"/>
      <c r="E50" s="8"/>
      <c r="F50" s="8"/>
      <c r="G50" s="9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  <c r="FE50" s="10"/>
      <c r="FF50" s="10"/>
      <c r="FG50" s="10"/>
      <c r="FH50" s="10"/>
      <c r="FI50" s="10"/>
      <c r="FJ50" s="10"/>
      <c r="FK50" s="10"/>
      <c r="FL50" s="10"/>
      <c r="FM50" s="10"/>
      <c r="FN50" s="10"/>
      <c r="FO50" s="10"/>
      <c r="FP50" s="10"/>
      <c r="FQ50" s="10"/>
      <c r="FR50" s="10"/>
      <c r="FS50" s="10"/>
      <c r="FT50" s="10"/>
      <c r="FU50" s="10"/>
      <c r="FV50" s="10"/>
      <c r="FW50" s="10"/>
      <c r="FX50" s="10"/>
      <c r="FY50" s="10"/>
      <c r="FZ50" s="10"/>
      <c r="GA50" s="10"/>
      <c r="GB50" s="10"/>
      <c r="GC50" s="10"/>
      <c r="GD50" s="10"/>
      <c r="GE50" s="10"/>
      <c r="GF50" s="10"/>
      <c r="GG50" s="10"/>
      <c r="GH50" s="10"/>
      <c r="GI50" s="10"/>
      <c r="GJ50" s="10"/>
      <c r="GK50" s="10"/>
    </row>
    <row r="51" customFormat="false" ht="12.75" hidden="false" customHeight="false" outlineLevel="0" collapsed="false">
      <c r="A51" s="7"/>
      <c r="B51" s="7"/>
      <c r="C51" s="8"/>
      <c r="D51" s="8"/>
      <c r="E51" s="8"/>
      <c r="F51" s="8"/>
      <c r="G51" s="9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/>
      <c r="EX51" s="10"/>
      <c r="EY51" s="10"/>
      <c r="EZ51" s="10"/>
      <c r="FA51" s="10"/>
      <c r="FB51" s="10"/>
      <c r="FC51" s="10"/>
      <c r="FD51" s="10"/>
      <c r="FE51" s="10"/>
      <c r="FF51" s="10"/>
      <c r="FG51" s="10"/>
      <c r="FH51" s="10"/>
      <c r="FI51" s="10"/>
      <c r="FJ51" s="10"/>
      <c r="FK51" s="10"/>
      <c r="FL51" s="10"/>
      <c r="FM51" s="10"/>
      <c r="FN51" s="10"/>
      <c r="FO51" s="10"/>
      <c r="FP51" s="10"/>
      <c r="FQ51" s="10"/>
      <c r="FR51" s="10"/>
      <c r="FS51" s="10"/>
      <c r="FT51" s="10"/>
      <c r="FU51" s="10"/>
      <c r="FV51" s="10"/>
      <c r="FW51" s="10"/>
      <c r="FX51" s="10"/>
      <c r="FY51" s="10"/>
      <c r="FZ51" s="10"/>
      <c r="GA51" s="10"/>
      <c r="GB51" s="10"/>
      <c r="GC51" s="10"/>
      <c r="GD51" s="10"/>
      <c r="GE51" s="10"/>
      <c r="GF51" s="10"/>
      <c r="GG51" s="10"/>
      <c r="GH51" s="10"/>
      <c r="GI51" s="10"/>
      <c r="GJ51" s="10"/>
      <c r="GK51" s="10"/>
    </row>
    <row r="52" customFormat="false" ht="12.75" hidden="false" customHeight="false" outlineLevel="0" collapsed="false">
      <c r="A52" s="7"/>
      <c r="B52" s="7"/>
      <c r="C52" s="8"/>
      <c r="D52" s="8"/>
      <c r="E52" s="8"/>
      <c r="F52" s="8"/>
      <c r="G52" s="9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  <c r="DS52" s="10"/>
      <c r="DT52" s="10"/>
      <c r="DU52" s="10"/>
      <c r="DV52" s="10"/>
      <c r="DW52" s="10"/>
      <c r="DX52" s="10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  <c r="EP52" s="10"/>
      <c r="EQ52" s="10"/>
      <c r="ER52" s="10"/>
      <c r="ES52" s="10"/>
      <c r="ET52" s="10"/>
      <c r="EU52" s="10"/>
      <c r="EV52" s="10"/>
      <c r="EW52" s="10"/>
      <c r="EX52" s="10"/>
      <c r="EY52" s="10"/>
      <c r="EZ52" s="10"/>
      <c r="FA52" s="10"/>
      <c r="FB52" s="10"/>
      <c r="FC52" s="10"/>
      <c r="FD52" s="10"/>
      <c r="FE52" s="10"/>
      <c r="FF52" s="10"/>
      <c r="FG52" s="10"/>
      <c r="FH52" s="10"/>
      <c r="FI52" s="10"/>
      <c r="FJ52" s="10"/>
      <c r="FK52" s="10"/>
      <c r="FL52" s="10"/>
      <c r="FM52" s="10"/>
      <c r="FN52" s="10"/>
      <c r="FO52" s="10"/>
      <c r="FP52" s="10"/>
      <c r="FQ52" s="10"/>
      <c r="FR52" s="10"/>
      <c r="FS52" s="10"/>
      <c r="FT52" s="10"/>
      <c r="FU52" s="10"/>
      <c r="FV52" s="10"/>
      <c r="FW52" s="10"/>
      <c r="FX52" s="10"/>
      <c r="FY52" s="10"/>
      <c r="FZ52" s="10"/>
      <c r="GA52" s="10"/>
      <c r="GB52" s="10"/>
      <c r="GC52" s="10"/>
      <c r="GD52" s="10"/>
      <c r="GE52" s="10"/>
      <c r="GF52" s="10"/>
      <c r="GG52" s="10"/>
      <c r="GH52" s="10"/>
      <c r="GI52" s="10"/>
      <c r="GJ52" s="10"/>
      <c r="GK52" s="10"/>
    </row>
    <row r="53" customFormat="false" ht="12.75" hidden="false" customHeight="false" outlineLevel="0" collapsed="false">
      <c r="A53" s="7"/>
      <c r="B53" s="7"/>
      <c r="C53" s="8"/>
      <c r="D53" s="8"/>
      <c r="E53" s="8"/>
      <c r="F53" s="8"/>
      <c r="G53" s="9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/>
      <c r="DC53" s="10"/>
      <c r="DD53" s="10"/>
      <c r="DE53" s="10"/>
      <c r="DF53" s="10"/>
      <c r="DG53" s="10"/>
      <c r="DH53" s="10"/>
      <c r="DI53" s="10"/>
      <c r="DJ53" s="10"/>
      <c r="DK53" s="10"/>
      <c r="DL53" s="10"/>
      <c r="DM53" s="10"/>
      <c r="DN53" s="10"/>
      <c r="DO53" s="10"/>
      <c r="DP53" s="10"/>
      <c r="DQ53" s="10"/>
      <c r="DR53" s="10"/>
      <c r="DS53" s="10"/>
      <c r="DT53" s="10"/>
      <c r="DU53" s="10"/>
      <c r="DV53" s="10"/>
      <c r="DW53" s="10"/>
      <c r="DX53" s="10"/>
      <c r="DY53" s="10"/>
      <c r="DZ53" s="10"/>
      <c r="EA53" s="10"/>
      <c r="EB53" s="10"/>
      <c r="EC53" s="10"/>
      <c r="ED53" s="10"/>
      <c r="EE53" s="10"/>
      <c r="EF53" s="10"/>
      <c r="EG53" s="10"/>
      <c r="EH53" s="10"/>
      <c r="EI53" s="10"/>
      <c r="EJ53" s="10"/>
      <c r="EK53" s="10"/>
      <c r="EL53" s="10"/>
      <c r="EM53" s="10"/>
      <c r="EN53" s="10"/>
      <c r="EO53" s="10"/>
      <c r="EP53" s="10"/>
      <c r="EQ53" s="10"/>
      <c r="ER53" s="10"/>
      <c r="ES53" s="10"/>
      <c r="ET53" s="10"/>
      <c r="EU53" s="10"/>
      <c r="EV53" s="10"/>
      <c r="EW53" s="10"/>
      <c r="EX53" s="10"/>
      <c r="EY53" s="10"/>
      <c r="EZ53" s="10"/>
      <c r="FA53" s="10"/>
      <c r="FB53" s="10"/>
      <c r="FC53" s="10"/>
      <c r="FD53" s="10"/>
      <c r="FE53" s="10"/>
      <c r="FF53" s="10"/>
      <c r="FG53" s="10"/>
      <c r="FH53" s="10"/>
      <c r="FI53" s="10"/>
      <c r="FJ53" s="10"/>
      <c r="FK53" s="10"/>
      <c r="FL53" s="10"/>
      <c r="FM53" s="10"/>
      <c r="FN53" s="10"/>
      <c r="FO53" s="10"/>
      <c r="FP53" s="10"/>
      <c r="FQ53" s="10"/>
      <c r="FR53" s="10"/>
      <c r="FS53" s="10"/>
      <c r="FT53" s="10"/>
      <c r="FU53" s="10"/>
      <c r="FV53" s="10"/>
      <c r="FW53" s="10"/>
      <c r="FX53" s="10"/>
      <c r="FY53" s="10"/>
      <c r="FZ53" s="10"/>
      <c r="GA53" s="10"/>
      <c r="GB53" s="10"/>
      <c r="GC53" s="10"/>
      <c r="GD53" s="10"/>
      <c r="GE53" s="10"/>
      <c r="GF53" s="10"/>
      <c r="GG53" s="10"/>
      <c r="GH53" s="10"/>
      <c r="GI53" s="10"/>
      <c r="GJ53" s="10"/>
      <c r="GK53" s="10"/>
    </row>
    <row r="54" customFormat="false" ht="12.75" hidden="false" customHeight="false" outlineLevel="0" collapsed="false">
      <c r="A54" s="7"/>
      <c r="B54" s="7"/>
      <c r="C54" s="8"/>
      <c r="D54" s="8"/>
      <c r="E54" s="8"/>
      <c r="F54" s="8"/>
      <c r="G54" s="9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/>
      <c r="DD54" s="10"/>
      <c r="DE54" s="10"/>
      <c r="DF54" s="10"/>
      <c r="DG54" s="10"/>
      <c r="DH54" s="10"/>
      <c r="DI54" s="10"/>
      <c r="DJ54" s="10"/>
      <c r="DK54" s="10"/>
      <c r="DL54" s="10"/>
      <c r="DM54" s="10"/>
      <c r="DN54" s="10"/>
      <c r="DO54" s="10"/>
      <c r="DP54" s="10"/>
      <c r="DQ54" s="10"/>
      <c r="DR54" s="10"/>
      <c r="DS54" s="10"/>
      <c r="DT54" s="10"/>
      <c r="DU54" s="10"/>
      <c r="DV54" s="10"/>
      <c r="DW54" s="10"/>
      <c r="DX54" s="10"/>
      <c r="DY54" s="10"/>
      <c r="DZ54" s="10"/>
      <c r="EA54" s="10"/>
      <c r="EB54" s="10"/>
      <c r="EC54" s="10"/>
      <c r="ED54" s="10"/>
      <c r="EE54" s="10"/>
      <c r="EF54" s="10"/>
      <c r="EG54" s="10"/>
      <c r="EH54" s="10"/>
      <c r="EI54" s="10"/>
      <c r="EJ54" s="10"/>
      <c r="EK54" s="10"/>
      <c r="EL54" s="10"/>
      <c r="EM54" s="10"/>
      <c r="EN54" s="10"/>
      <c r="EO54" s="10"/>
      <c r="EP54" s="10"/>
      <c r="EQ54" s="10"/>
      <c r="ER54" s="10"/>
      <c r="ES54" s="10"/>
      <c r="ET54" s="10"/>
      <c r="EU54" s="10"/>
      <c r="EV54" s="10"/>
      <c r="EW54" s="10"/>
      <c r="EX54" s="10"/>
      <c r="EY54" s="10"/>
      <c r="EZ54" s="10"/>
      <c r="FA54" s="10"/>
      <c r="FB54" s="10"/>
      <c r="FC54" s="10"/>
      <c r="FD54" s="10"/>
      <c r="FE54" s="10"/>
      <c r="FF54" s="10"/>
      <c r="FG54" s="10"/>
      <c r="FH54" s="10"/>
      <c r="FI54" s="10"/>
      <c r="FJ54" s="10"/>
      <c r="FK54" s="10"/>
      <c r="FL54" s="10"/>
      <c r="FM54" s="10"/>
      <c r="FN54" s="10"/>
      <c r="FO54" s="10"/>
      <c r="FP54" s="10"/>
      <c r="FQ54" s="10"/>
      <c r="FR54" s="10"/>
      <c r="FS54" s="10"/>
      <c r="FT54" s="10"/>
      <c r="FU54" s="10"/>
      <c r="FV54" s="10"/>
      <c r="FW54" s="10"/>
      <c r="FX54" s="10"/>
      <c r="FY54" s="10"/>
      <c r="FZ54" s="10"/>
      <c r="GA54" s="10"/>
      <c r="GB54" s="10"/>
      <c r="GC54" s="10"/>
      <c r="GD54" s="10"/>
      <c r="GE54" s="10"/>
      <c r="GF54" s="10"/>
      <c r="GG54" s="10"/>
      <c r="GH54" s="10"/>
      <c r="GI54" s="10"/>
      <c r="GJ54" s="10"/>
      <c r="GK54" s="10"/>
    </row>
    <row r="55" customFormat="false" ht="12.75" hidden="false" customHeight="false" outlineLevel="0" collapsed="false">
      <c r="A55" s="7"/>
      <c r="B55" s="7"/>
      <c r="C55" s="8"/>
      <c r="D55" s="8"/>
      <c r="E55" s="8"/>
      <c r="F55" s="8"/>
      <c r="G55" s="9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10"/>
      <c r="DG55" s="10"/>
      <c r="DH55" s="10"/>
      <c r="DI55" s="10"/>
      <c r="DJ55" s="10"/>
      <c r="DK55" s="10"/>
      <c r="DL55" s="10"/>
      <c r="DM55" s="10"/>
      <c r="DN55" s="10"/>
      <c r="DO55" s="10"/>
      <c r="DP55" s="10"/>
      <c r="DQ55" s="10"/>
      <c r="DR55" s="10"/>
      <c r="DS55" s="10"/>
      <c r="DT55" s="10"/>
      <c r="DU55" s="10"/>
      <c r="DV55" s="10"/>
      <c r="DW55" s="10"/>
      <c r="DX55" s="10"/>
      <c r="DY55" s="10"/>
      <c r="DZ55" s="10"/>
      <c r="EA55" s="10"/>
      <c r="EB55" s="10"/>
      <c r="EC55" s="10"/>
      <c r="ED55" s="10"/>
      <c r="EE55" s="10"/>
      <c r="EF55" s="10"/>
      <c r="EG55" s="10"/>
      <c r="EH55" s="10"/>
      <c r="EI55" s="10"/>
      <c r="EJ55" s="10"/>
      <c r="EK55" s="10"/>
      <c r="EL55" s="10"/>
      <c r="EM55" s="10"/>
      <c r="EN55" s="10"/>
      <c r="EO55" s="10"/>
      <c r="EP55" s="10"/>
      <c r="EQ55" s="10"/>
      <c r="ER55" s="10"/>
      <c r="ES55" s="10"/>
      <c r="ET55" s="10"/>
      <c r="EU55" s="10"/>
      <c r="EV55" s="10"/>
      <c r="EW55" s="10"/>
      <c r="EX55" s="10"/>
      <c r="EY55" s="10"/>
      <c r="EZ55" s="10"/>
      <c r="FA55" s="10"/>
      <c r="FB55" s="10"/>
      <c r="FC55" s="10"/>
      <c r="FD55" s="10"/>
      <c r="FE55" s="10"/>
      <c r="FF55" s="10"/>
      <c r="FG55" s="10"/>
      <c r="FH55" s="10"/>
      <c r="FI55" s="10"/>
      <c r="FJ55" s="10"/>
      <c r="FK55" s="10"/>
      <c r="FL55" s="10"/>
      <c r="FM55" s="10"/>
      <c r="FN55" s="10"/>
      <c r="FO55" s="10"/>
      <c r="FP55" s="10"/>
      <c r="FQ55" s="10"/>
      <c r="FR55" s="10"/>
      <c r="FS55" s="10"/>
      <c r="FT55" s="10"/>
      <c r="FU55" s="10"/>
      <c r="FV55" s="10"/>
      <c r="FW55" s="10"/>
      <c r="FX55" s="10"/>
      <c r="FY55" s="10"/>
      <c r="FZ55" s="10"/>
      <c r="GA55" s="10"/>
      <c r="GB55" s="10"/>
      <c r="GC55" s="10"/>
      <c r="GD55" s="10"/>
      <c r="GE55" s="10"/>
      <c r="GF55" s="10"/>
      <c r="GG55" s="10"/>
      <c r="GH55" s="10"/>
      <c r="GI55" s="10"/>
      <c r="GJ55" s="10"/>
      <c r="GK55" s="10"/>
    </row>
    <row r="56" customFormat="false" ht="12.75" hidden="false" customHeight="false" outlineLevel="0" collapsed="false">
      <c r="A56" s="7"/>
      <c r="B56" s="7"/>
      <c r="C56" s="8"/>
      <c r="D56" s="8"/>
      <c r="E56" s="8"/>
      <c r="F56" s="8"/>
      <c r="G56" s="9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  <c r="DB56" s="10"/>
      <c r="DC56" s="10"/>
      <c r="DD56" s="10"/>
      <c r="DE56" s="10"/>
      <c r="DF56" s="10"/>
      <c r="DG56" s="10"/>
      <c r="DH56" s="10"/>
      <c r="DI56" s="10"/>
      <c r="DJ56" s="10"/>
      <c r="DK56" s="10"/>
      <c r="DL56" s="10"/>
      <c r="DM56" s="10"/>
      <c r="DN56" s="10"/>
      <c r="DO56" s="10"/>
      <c r="DP56" s="10"/>
      <c r="DQ56" s="10"/>
      <c r="DR56" s="10"/>
      <c r="DS56" s="10"/>
      <c r="DT56" s="10"/>
      <c r="DU56" s="10"/>
      <c r="DV56" s="10"/>
      <c r="DW56" s="10"/>
      <c r="DX56" s="10"/>
      <c r="DY56" s="10"/>
      <c r="DZ56" s="10"/>
      <c r="EA56" s="10"/>
      <c r="EB56" s="10"/>
      <c r="EC56" s="10"/>
      <c r="ED56" s="10"/>
      <c r="EE56" s="10"/>
      <c r="EF56" s="10"/>
      <c r="EG56" s="10"/>
      <c r="EH56" s="10"/>
      <c r="EI56" s="10"/>
      <c r="EJ56" s="10"/>
      <c r="EK56" s="10"/>
      <c r="EL56" s="10"/>
      <c r="EM56" s="10"/>
      <c r="EN56" s="10"/>
      <c r="EO56" s="10"/>
      <c r="EP56" s="10"/>
      <c r="EQ56" s="10"/>
      <c r="ER56" s="10"/>
      <c r="ES56" s="10"/>
      <c r="ET56" s="10"/>
      <c r="EU56" s="10"/>
      <c r="EV56" s="10"/>
      <c r="EW56" s="10"/>
      <c r="EX56" s="10"/>
      <c r="EY56" s="10"/>
      <c r="EZ56" s="10"/>
      <c r="FA56" s="10"/>
      <c r="FB56" s="10"/>
      <c r="FC56" s="10"/>
      <c r="FD56" s="10"/>
      <c r="FE56" s="10"/>
      <c r="FF56" s="10"/>
      <c r="FG56" s="10"/>
      <c r="FH56" s="10"/>
      <c r="FI56" s="10"/>
      <c r="FJ56" s="10"/>
      <c r="FK56" s="10"/>
      <c r="FL56" s="10"/>
      <c r="FM56" s="10"/>
      <c r="FN56" s="10"/>
      <c r="FO56" s="10"/>
      <c r="FP56" s="10"/>
      <c r="FQ56" s="10"/>
      <c r="FR56" s="10"/>
      <c r="FS56" s="10"/>
      <c r="FT56" s="10"/>
      <c r="FU56" s="10"/>
      <c r="FV56" s="10"/>
      <c r="FW56" s="10"/>
      <c r="FX56" s="10"/>
      <c r="FY56" s="10"/>
      <c r="FZ56" s="10"/>
      <c r="GA56" s="10"/>
      <c r="GB56" s="10"/>
      <c r="GC56" s="10"/>
      <c r="GD56" s="10"/>
      <c r="GE56" s="10"/>
      <c r="GF56" s="10"/>
      <c r="GG56" s="10"/>
      <c r="GH56" s="10"/>
      <c r="GI56" s="10"/>
      <c r="GJ56" s="10"/>
      <c r="GK56" s="10"/>
    </row>
    <row r="57" customFormat="false" ht="12.75" hidden="false" customHeight="false" outlineLevel="0" collapsed="false">
      <c r="A57" s="7"/>
      <c r="B57" s="7"/>
      <c r="C57" s="8"/>
      <c r="D57" s="8"/>
      <c r="E57" s="8"/>
      <c r="F57" s="8"/>
      <c r="G57" s="9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  <c r="DB57" s="10"/>
      <c r="DC57" s="10"/>
      <c r="DD57" s="10"/>
      <c r="DE57" s="10"/>
      <c r="DF57" s="10"/>
      <c r="DG57" s="10"/>
      <c r="DH57" s="10"/>
      <c r="DI57" s="10"/>
      <c r="DJ57" s="10"/>
      <c r="DK57" s="10"/>
      <c r="DL57" s="10"/>
      <c r="DM57" s="10"/>
      <c r="DN57" s="10"/>
      <c r="DO57" s="10"/>
      <c r="DP57" s="10"/>
      <c r="DQ57" s="10"/>
      <c r="DR57" s="10"/>
      <c r="DS57" s="10"/>
      <c r="DT57" s="10"/>
      <c r="DU57" s="10"/>
      <c r="DV57" s="10"/>
      <c r="DW57" s="10"/>
      <c r="DX57" s="10"/>
      <c r="DY57" s="10"/>
      <c r="DZ57" s="10"/>
      <c r="EA57" s="10"/>
      <c r="EB57" s="10"/>
      <c r="EC57" s="10"/>
      <c r="ED57" s="10"/>
      <c r="EE57" s="10"/>
      <c r="EF57" s="10"/>
      <c r="EG57" s="10"/>
      <c r="EH57" s="10"/>
      <c r="EI57" s="10"/>
      <c r="EJ57" s="10"/>
      <c r="EK57" s="10"/>
      <c r="EL57" s="10"/>
      <c r="EM57" s="10"/>
      <c r="EN57" s="10"/>
      <c r="EO57" s="10"/>
      <c r="EP57" s="10"/>
      <c r="EQ57" s="10"/>
      <c r="ER57" s="10"/>
      <c r="ES57" s="10"/>
      <c r="ET57" s="10"/>
      <c r="EU57" s="10"/>
      <c r="EV57" s="10"/>
      <c r="EW57" s="10"/>
      <c r="EX57" s="10"/>
      <c r="EY57" s="10"/>
      <c r="EZ57" s="10"/>
      <c r="FA57" s="10"/>
      <c r="FB57" s="10"/>
      <c r="FC57" s="10"/>
      <c r="FD57" s="10"/>
      <c r="FE57" s="10"/>
      <c r="FF57" s="10"/>
      <c r="FG57" s="10"/>
      <c r="FH57" s="10"/>
      <c r="FI57" s="10"/>
      <c r="FJ57" s="10"/>
      <c r="FK57" s="10"/>
      <c r="FL57" s="10"/>
      <c r="FM57" s="10"/>
      <c r="FN57" s="10"/>
      <c r="FO57" s="10"/>
      <c r="FP57" s="10"/>
      <c r="FQ57" s="10"/>
      <c r="FR57" s="10"/>
      <c r="FS57" s="10"/>
      <c r="FT57" s="10"/>
      <c r="FU57" s="10"/>
      <c r="FV57" s="10"/>
      <c r="FW57" s="10"/>
      <c r="FX57" s="10"/>
      <c r="FY57" s="10"/>
      <c r="FZ57" s="10"/>
      <c r="GA57" s="10"/>
      <c r="GB57" s="10"/>
      <c r="GC57" s="10"/>
      <c r="GD57" s="10"/>
      <c r="GE57" s="10"/>
      <c r="GF57" s="10"/>
      <c r="GG57" s="10"/>
      <c r="GH57" s="10"/>
      <c r="GI57" s="10"/>
      <c r="GJ57" s="10"/>
      <c r="GK57" s="10"/>
    </row>
    <row r="58" customFormat="false" ht="12.75" hidden="false" customHeight="false" outlineLevel="0" collapsed="false">
      <c r="A58" s="7"/>
      <c r="B58" s="7"/>
      <c r="C58" s="8"/>
      <c r="D58" s="8"/>
      <c r="E58" s="8"/>
      <c r="F58" s="8"/>
      <c r="G58" s="9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10"/>
      <c r="DB58" s="10"/>
      <c r="DC58" s="10"/>
      <c r="DD58" s="10"/>
      <c r="DE58" s="10"/>
      <c r="DF58" s="10"/>
      <c r="DG58" s="10"/>
      <c r="DH58" s="10"/>
      <c r="DI58" s="10"/>
      <c r="DJ58" s="10"/>
      <c r="DK58" s="10"/>
      <c r="DL58" s="10"/>
      <c r="DM58" s="10"/>
      <c r="DN58" s="10"/>
      <c r="DO58" s="10"/>
      <c r="DP58" s="10"/>
      <c r="DQ58" s="10"/>
      <c r="DR58" s="10"/>
      <c r="DS58" s="10"/>
      <c r="DT58" s="10"/>
      <c r="DU58" s="10"/>
      <c r="DV58" s="10"/>
      <c r="DW58" s="10"/>
      <c r="DX58" s="10"/>
      <c r="DY58" s="10"/>
      <c r="DZ58" s="10"/>
      <c r="EA58" s="10"/>
      <c r="EB58" s="10"/>
      <c r="EC58" s="10"/>
      <c r="ED58" s="10"/>
      <c r="EE58" s="10"/>
      <c r="EF58" s="10"/>
      <c r="EG58" s="10"/>
      <c r="EH58" s="10"/>
      <c r="EI58" s="10"/>
      <c r="EJ58" s="10"/>
      <c r="EK58" s="10"/>
      <c r="EL58" s="10"/>
      <c r="EM58" s="10"/>
      <c r="EN58" s="10"/>
      <c r="EO58" s="10"/>
      <c r="EP58" s="10"/>
      <c r="EQ58" s="10"/>
      <c r="ER58" s="10"/>
      <c r="ES58" s="10"/>
      <c r="ET58" s="10"/>
      <c r="EU58" s="10"/>
      <c r="EV58" s="10"/>
      <c r="EW58" s="10"/>
      <c r="EX58" s="10"/>
      <c r="EY58" s="10"/>
      <c r="EZ58" s="10"/>
      <c r="FA58" s="10"/>
      <c r="FB58" s="10"/>
      <c r="FC58" s="10"/>
      <c r="FD58" s="10"/>
      <c r="FE58" s="10"/>
      <c r="FF58" s="10"/>
      <c r="FG58" s="10"/>
      <c r="FH58" s="10"/>
      <c r="FI58" s="10"/>
      <c r="FJ58" s="10"/>
      <c r="FK58" s="10"/>
      <c r="FL58" s="10"/>
      <c r="FM58" s="10"/>
      <c r="FN58" s="10"/>
      <c r="FO58" s="10"/>
      <c r="FP58" s="10"/>
      <c r="FQ58" s="10"/>
      <c r="FR58" s="10"/>
      <c r="FS58" s="10"/>
      <c r="FT58" s="10"/>
      <c r="FU58" s="10"/>
      <c r="FV58" s="10"/>
      <c r="FW58" s="10"/>
      <c r="FX58" s="10"/>
      <c r="FY58" s="10"/>
      <c r="FZ58" s="10"/>
      <c r="GA58" s="10"/>
      <c r="GB58" s="10"/>
      <c r="GC58" s="10"/>
      <c r="GD58" s="10"/>
      <c r="GE58" s="10"/>
      <c r="GF58" s="10"/>
      <c r="GG58" s="10"/>
      <c r="GH58" s="10"/>
      <c r="GI58" s="10"/>
      <c r="GJ58" s="10"/>
      <c r="GK58" s="10"/>
    </row>
    <row r="59" customFormat="false" ht="12.75" hidden="false" customHeight="false" outlineLevel="0" collapsed="false">
      <c r="A59" s="7"/>
      <c r="B59" s="7"/>
      <c r="C59" s="8"/>
      <c r="D59" s="8"/>
      <c r="E59" s="8"/>
      <c r="F59" s="8"/>
      <c r="G59" s="9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  <c r="CZ59" s="10"/>
      <c r="DA59" s="10"/>
      <c r="DB59" s="10"/>
      <c r="DC59" s="10"/>
      <c r="DD59" s="10"/>
      <c r="DE59" s="10"/>
      <c r="DF59" s="10"/>
      <c r="DG59" s="10"/>
      <c r="DH59" s="10"/>
      <c r="DI59" s="10"/>
      <c r="DJ59" s="10"/>
      <c r="DK59" s="10"/>
      <c r="DL59" s="10"/>
      <c r="DM59" s="10"/>
      <c r="DN59" s="10"/>
      <c r="DO59" s="10"/>
      <c r="DP59" s="10"/>
      <c r="DQ59" s="10"/>
      <c r="DR59" s="10"/>
      <c r="DS59" s="10"/>
      <c r="DT59" s="10"/>
      <c r="DU59" s="10"/>
      <c r="DV59" s="10"/>
      <c r="DW59" s="10"/>
      <c r="DX59" s="10"/>
      <c r="DY59" s="10"/>
      <c r="DZ59" s="10"/>
      <c r="EA59" s="10"/>
      <c r="EB59" s="10"/>
      <c r="EC59" s="10"/>
      <c r="ED59" s="10"/>
      <c r="EE59" s="10"/>
      <c r="EF59" s="10"/>
      <c r="EG59" s="10"/>
      <c r="EH59" s="10"/>
      <c r="EI59" s="10"/>
      <c r="EJ59" s="10"/>
      <c r="EK59" s="10"/>
      <c r="EL59" s="10"/>
      <c r="EM59" s="10"/>
      <c r="EN59" s="10"/>
      <c r="EO59" s="10"/>
      <c r="EP59" s="10"/>
      <c r="EQ59" s="10"/>
      <c r="ER59" s="10"/>
      <c r="ES59" s="10"/>
      <c r="ET59" s="10"/>
      <c r="EU59" s="10"/>
      <c r="EV59" s="10"/>
      <c r="EW59" s="10"/>
      <c r="EX59" s="10"/>
      <c r="EY59" s="10"/>
      <c r="EZ59" s="10"/>
      <c r="FA59" s="10"/>
      <c r="FB59" s="10"/>
      <c r="FC59" s="10"/>
      <c r="FD59" s="10"/>
      <c r="FE59" s="10"/>
      <c r="FF59" s="10"/>
      <c r="FG59" s="10"/>
      <c r="FH59" s="10"/>
      <c r="FI59" s="10"/>
      <c r="FJ59" s="10"/>
      <c r="FK59" s="10"/>
      <c r="FL59" s="10"/>
      <c r="FM59" s="10"/>
      <c r="FN59" s="10"/>
      <c r="FO59" s="10"/>
      <c r="FP59" s="10"/>
      <c r="FQ59" s="10"/>
      <c r="FR59" s="10"/>
      <c r="FS59" s="10"/>
      <c r="FT59" s="10"/>
      <c r="FU59" s="10"/>
      <c r="FV59" s="10"/>
      <c r="FW59" s="10"/>
      <c r="FX59" s="10"/>
      <c r="FY59" s="10"/>
      <c r="FZ59" s="10"/>
      <c r="GA59" s="10"/>
      <c r="GB59" s="10"/>
      <c r="GC59" s="10"/>
      <c r="GD59" s="10"/>
      <c r="GE59" s="10"/>
      <c r="GF59" s="10"/>
      <c r="GG59" s="10"/>
      <c r="GH59" s="10"/>
      <c r="GI59" s="10"/>
      <c r="GJ59" s="10"/>
      <c r="GK59" s="10"/>
    </row>
    <row r="60" customFormat="false" ht="12.75" hidden="false" customHeight="false" outlineLevel="0" collapsed="false">
      <c r="A60" s="7"/>
      <c r="B60" s="7"/>
      <c r="C60" s="8"/>
      <c r="D60" s="8"/>
      <c r="E60" s="8"/>
      <c r="F60" s="8"/>
      <c r="G60" s="9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10"/>
      <c r="CY60" s="10"/>
      <c r="CZ60" s="10"/>
      <c r="DA60" s="10"/>
      <c r="DB60" s="10"/>
      <c r="DC60" s="10"/>
      <c r="DD60" s="10"/>
      <c r="DE60" s="10"/>
      <c r="DF60" s="10"/>
      <c r="DG60" s="10"/>
      <c r="DH60" s="10"/>
      <c r="DI60" s="10"/>
      <c r="DJ60" s="10"/>
      <c r="DK60" s="10"/>
      <c r="DL60" s="10"/>
      <c r="DM60" s="10"/>
      <c r="DN60" s="10"/>
      <c r="DO60" s="10"/>
      <c r="DP60" s="10"/>
      <c r="DQ60" s="10"/>
      <c r="DR60" s="10"/>
      <c r="DS60" s="10"/>
      <c r="DT60" s="10"/>
      <c r="DU60" s="10"/>
      <c r="DV60" s="10"/>
      <c r="DW60" s="10"/>
      <c r="DX60" s="10"/>
      <c r="DY60" s="10"/>
      <c r="DZ60" s="10"/>
      <c r="EA60" s="10"/>
      <c r="EB60" s="10"/>
      <c r="EC60" s="10"/>
      <c r="ED60" s="10"/>
      <c r="EE60" s="10"/>
      <c r="EF60" s="10"/>
      <c r="EG60" s="10"/>
      <c r="EH60" s="10"/>
      <c r="EI60" s="10"/>
      <c r="EJ60" s="10"/>
      <c r="EK60" s="10"/>
      <c r="EL60" s="10"/>
      <c r="EM60" s="10"/>
      <c r="EN60" s="10"/>
      <c r="EO60" s="10"/>
      <c r="EP60" s="10"/>
      <c r="EQ60" s="10"/>
      <c r="ER60" s="10"/>
      <c r="ES60" s="10"/>
      <c r="ET60" s="10"/>
      <c r="EU60" s="10"/>
      <c r="EV60" s="10"/>
      <c r="EW60" s="10"/>
      <c r="EX60" s="10"/>
      <c r="EY60" s="10"/>
      <c r="EZ60" s="10"/>
      <c r="FA60" s="10"/>
      <c r="FB60" s="10"/>
      <c r="FC60" s="10"/>
      <c r="FD60" s="10"/>
      <c r="FE60" s="10"/>
      <c r="FF60" s="10"/>
      <c r="FG60" s="10"/>
      <c r="FH60" s="10"/>
      <c r="FI60" s="10"/>
      <c r="FJ60" s="10"/>
      <c r="FK60" s="10"/>
      <c r="FL60" s="10"/>
      <c r="FM60" s="10"/>
      <c r="FN60" s="10"/>
      <c r="FO60" s="10"/>
      <c r="FP60" s="10"/>
      <c r="FQ60" s="10"/>
      <c r="FR60" s="10"/>
      <c r="FS60" s="10"/>
      <c r="FT60" s="10"/>
      <c r="FU60" s="10"/>
      <c r="FV60" s="10"/>
      <c r="FW60" s="10"/>
      <c r="FX60" s="10"/>
      <c r="FY60" s="10"/>
      <c r="FZ60" s="10"/>
      <c r="GA60" s="10"/>
      <c r="GB60" s="10"/>
      <c r="GC60" s="10"/>
      <c r="GD60" s="10"/>
      <c r="GE60" s="10"/>
      <c r="GF60" s="10"/>
      <c r="GG60" s="10"/>
      <c r="GH60" s="10"/>
      <c r="GI60" s="10"/>
      <c r="GJ60" s="10"/>
      <c r="GK60" s="10"/>
    </row>
    <row r="61" customFormat="false" ht="12.75" hidden="false" customHeight="false" outlineLevel="0" collapsed="false">
      <c r="A61" s="7"/>
      <c r="B61" s="7"/>
      <c r="C61" s="8"/>
      <c r="D61" s="8"/>
      <c r="E61" s="8"/>
      <c r="F61" s="8"/>
      <c r="G61" s="9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  <c r="CW61" s="10"/>
      <c r="CX61" s="10"/>
      <c r="CY61" s="10"/>
      <c r="CZ61" s="10"/>
      <c r="DA61" s="10"/>
      <c r="DB61" s="10"/>
      <c r="DC61" s="10"/>
      <c r="DD61" s="10"/>
      <c r="DE61" s="10"/>
      <c r="DF61" s="10"/>
      <c r="DG61" s="10"/>
      <c r="DH61" s="10"/>
      <c r="DI61" s="10"/>
      <c r="DJ61" s="10"/>
      <c r="DK61" s="10"/>
      <c r="DL61" s="10"/>
      <c r="DM61" s="10"/>
      <c r="DN61" s="10"/>
      <c r="DO61" s="10"/>
      <c r="DP61" s="10"/>
      <c r="DQ61" s="10"/>
      <c r="DR61" s="10"/>
      <c r="DS61" s="10"/>
      <c r="DT61" s="10"/>
      <c r="DU61" s="10"/>
      <c r="DV61" s="10"/>
      <c r="DW61" s="10"/>
      <c r="DX61" s="10"/>
      <c r="DY61" s="10"/>
      <c r="DZ61" s="10"/>
      <c r="EA61" s="10"/>
      <c r="EB61" s="10"/>
      <c r="EC61" s="10"/>
      <c r="ED61" s="10"/>
      <c r="EE61" s="10"/>
      <c r="EF61" s="10"/>
      <c r="EG61" s="10"/>
      <c r="EH61" s="10"/>
      <c r="EI61" s="10"/>
      <c r="EJ61" s="10"/>
      <c r="EK61" s="10"/>
      <c r="EL61" s="10"/>
      <c r="EM61" s="10"/>
      <c r="EN61" s="10"/>
      <c r="EO61" s="10"/>
      <c r="EP61" s="10"/>
      <c r="EQ61" s="10"/>
      <c r="ER61" s="10"/>
      <c r="ES61" s="10"/>
      <c r="ET61" s="10"/>
      <c r="EU61" s="10"/>
      <c r="EV61" s="10"/>
      <c r="EW61" s="10"/>
      <c r="EX61" s="10"/>
      <c r="EY61" s="10"/>
      <c r="EZ61" s="10"/>
      <c r="FA61" s="10"/>
      <c r="FB61" s="10"/>
      <c r="FC61" s="10"/>
      <c r="FD61" s="10"/>
      <c r="FE61" s="10"/>
      <c r="FF61" s="10"/>
      <c r="FG61" s="10"/>
      <c r="FH61" s="10"/>
      <c r="FI61" s="10"/>
      <c r="FJ61" s="10"/>
      <c r="FK61" s="10"/>
      <c r="FL61" s="10"/>
      <c r="FM61" s="10"/>
      <c r="FN61" s="10"/>
      <c r="FO61" s="10"/>
      <c r="FP61" s="10"/>
      <c r="FQ61" s="10"/>
      <c r="FR61" s="10"/>
      <c r="FS61" s="10"/>
      <c r="FT61" s="10"/>
      <c r="FU61" s="10"/>
      <c r="FV61" s="10"/>
      <c r="FW61" s="10"/>
      <c r="FX61" s="10"/>
      <c r="FY61" s="10"/>
      <c r="FZ61" s="10"/>
      <c r="GA61" s="10"/>
      <c r="GB61" s="10"/>
      <c r="GC61" s="10"/>
      <c r="GD61" s="10"/>
      <c r="GE61" s="10"/>
      <c r="GF61" s="10"/>
      <c r="GG61" s="10"/>
      <c r="GH61" s="10"/>
      <c r="GI61" s="10"/>
      <c r="GJ61" s="10"/>
      <c r="GK61" s="10"/>
    </row>
    <row r="62" customFormat="false" ht="12.75" hidden="false" customHeight="false" outlineLevel="0" collapsed="false">
      <c r="A62" s="7"/>
      <c r="B62" s="7"/>
      <c r="C62" s="8"/>
      <c r="D62" s="8"/>
      <c r="E62" s="8"/>
      <c r="F62" s="8"/>
      <c r="G62" s="9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  <c r="EM62" s="10"/>
      <c r="EN62" s="10"/>
      <c r="EO62" s="10"/>
      <c r="EP62" s="10"/>
      <c r="EQ62" s="10"/>
      <c r="ER62" s="10"/>
      <c r="ES62" s="10"/>
      <c r="ET62" s="10"/>
      <c r="EU62" s="10"/>
      <c r="EV62" s="10"/>
      <c r="EW62" s="10"/>
      <c r="EX62" s="10"/>
      <c r="EY62" s="10"/>
      <c r="EZ62" s="10"/>
      <c r="FA62" s="10"/>
      <c r="FB62" s="10"/>
      <c r="FC62" s="10"/>
      <c r="FD62" s="10"/>
      <c r="FE62" s="10"/>
      <c r="FF62" s="10"/>
      <c r="FG62" s="10"/>
      <c r="FH62" s="10"/>
      <c r="FI62" s="10"/>
      <c r="FJ62" s="10"/>
      <c r="FK62" s="10"/>
      <c r="FL62" s="10"/>
      <c r="FM62" s="10"/>
      <c r="FN62" s="10"/>
      <c r="FO62" s="10"/>
      <c r="FP62" s="10"/>
      <c r="FQ62" s="10"/>
      <c r="FR62" s="10"/>
      <c r="FS62" s="10"/>
      <c r="FT62" s="10"/>
      <c r="FU62" s="10"/>
      <c r="FV62" s="10"/>
      <c r="FW62" s="10"/>
      <c r="FX62" s="10"/>
      <c r="FY62" s="10"/>
      <c r="FZ62" s="10"/>
      <c r="GA62" s="10"/>
      <c r="GB62" s="10"/>
      <c r="GC62" s="10"/>
      <c r="GD62" s="10"/>
      <c r="GE62" s="10"/>
      <c r="GF62" s="10"/>
      <c r="GG62" s="10"/>
      <c r="GH62" s="10"/>
      <c r="GI62" s="10"/>
      <c r="GJ62" s="10"/>
      <c r="GK62" s="10"/>
    </row>
    <row r="63" customFormat="false" ht="12.75" hidden="false" customHeight="false" outlineLevel="0" collapsed="false">
      <c r="A63" s="7"/>
      <c r="B63" s="7"/>
      <c r="C63" s="8"/>
      <c r="D63" s="8"/>
      <c r="E63" s="8"/>
      <c r="F63" s="8"/>
      <c r="G63" s="9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  <c r="CY63" s="10"/>
      <c r="CZ63" s="10"/>
      <c r="DA63" s="10"/>
      <c r="DB63" s="10"/>
      <c r="DC63" s="10"/>
      <c r="DD63" s="10"/>
      <c r="DE63" s="10"/>
      <c r="DF63" s="10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  <c r="EM63" s="10"/>
      <c r="EN63" s="10"/>
      <c r="EO63" s="10"/>
      <c r="EP63" s="10"/>
      <c r="EQ63" s="10"/>
      <c r="ER63" s="10"/>
      <c r="ES63" s="10"/>
      <c r="ET63" s="10"/>
      <c r="EU63" s="10"/>
      <c r="EV63" s="10"/>
      <c r="EW63" s="10"/>
      <c r="EX63" s="10"/>
      <c r="EY63" s="10"/>
      <c r="EZ63" s="10"/>
      <c r="FA63" s="10"/>
      <c r="FB63" s="10"/>
      <c r="FC63" s="10"/>
      <c r="FD63" s="10"/>
      <c r="FE63" s="10"/>
      <c r="FF63" s="10"/>
      <c r="FG63" s="10"/>
      <c r="FH63" s="10"/>
      <c r="FI63" s="10"/>
      <c r="FJ63" s="10"/>
      <c r="FK63" s="10"/>
      <c r="FL63" s="10"/>
      <c r="FM63" s="10"/>
      <c r="FN63" s="10"/>
      <c r="FO63" s="10"/>
      <c r="FP63" s="10"/>
      <c r="FQ63" s="10"/>
      <c r="FR63" s="10"/>
      <c r="FS63" s="10"/>
      <c r="FT63" s="10"/>
      <c r="FU63" s="10"/>
      <c r="FV63" s="10"/>
      <c r="FW63" s="10"/>
      <c r="FX63" s="10"/>
      <c r="FY63" s="10"/>
      <c r="FZ63" s="10"/>
      <c r="GA63" s="10"/>
      <c r="GB63" s="10"/>
      <c r="GC63" s="10"/>
      <c r="GD63" s="10"/>
      <c r="GE63" s="10"/>
      <c r="GF63" s="10"/>
      <c r="GG63" s="10"/>
      <c r="GH63" s="10"/>
      <c r="GI63" s="10"/>
      <c r="GJ63" s="10"/>
      <c r="GK63" s="10"/>
    </row>
    <row r="64" customFormat="false" ht="12.75" hidden="false" customHeight="false" outlineLevel="0" collapsed="false">
      <c r="A64" s="7"/>
      <c r="B64" s="7"/>
      <c r="C64" s="8"/>
      <c r="D64" s="8"/>
      <c r="E64" s="8"/>
      <c r="F64" s="8"/>
      <c r="G64" s="9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  <c r="EM64" s="10"/>
      <c r="EN64" s="10"/>
      <c r="EO64" s="10"/>
      <c r="EP64" s="10"/>
      <c r="EQ64" s="10"/>
      <c r="ER64" s="10"/>
      <c r="ES64" s="10"/>
      <c r="ET64" s="10"/>
      <c r="EU64" s="10"/>
      <c r="EV64" s="10"/>
      <c r="EW64" s="10"/>
      <c r="EX64" s="10"/>
      <c r="EY64" s="10"/>
      <c r="EZ64" s="10"/>
      <c r="FA64" s="10"/>
      <c r="FB64" s="10"/>
      <c r="FC64" s="10"/>
      <c r="FD64" s="10"/>
      <c r="FE64" s="10"/>
      <c r="FF64" s="10"/>
      <c r="FG64" s="10"/>
      <c r="FH64" s="10"/>
      <c r="FI64" s="10"/>
      <c r="FJ64" s="10"/>
      <c r="FK64" s="10"/>
      <c r="FL64" s="10"/>
      <c r="FM64" s="10"/>
      <c r="FN64" s="10"/>
      <c r="FO64" s="10"/>
      <c r="FP64" s="10"/>
      <c r="FQ64" s="10"/>
      <c r="FR64" s="10"/>
      <c r="FS64" s="10"/>
      <c r="FT64" s="10"/>
      <c r="FU64" s="10"/>
      <c r="FV64" s="10"/>
      <c r="FW64" s="10"/>
      <c r="FX64" s="10"/>
      <c r="FY64" s="10"/>
      <c r="FZ64" s="10"/>
      <c r="GA64" s="10"/>
      <c r="GB64" s="10"/>
      <c r="GC64" s="10"/>
      <c r="GD64" s="10"/>
      <c r="GE64" s="10"/>
      <c r="GF64" s="10"/>
      <c r="GG64" s="10"/>
      <c r="GH64" s="10"/>
      <c r="GI64" s="10"/>
      <c r="GJ64" s="10"/>
      <c r="GK64" s="10"/>
    </row>
    <row r="65" customFormat="false" ht="12.75" hidden="false" customHeight="false" outlineLevel="0" collapsed="false">
      <c r="A65" s="7"/>
      <c r="B65" s="7"/>
      <c r="C65" s="8"/>
      <c r="D65" s="8"/>
      <c r="E65" s="8"/>
      <c r="F65" s="8"/>
      <c r="G65" s="9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/>
      <c r="DB65" s="10"/>
      <c r="DC65" s="10"/>
      <c r="DD65" s="10"/>
      <c r="DE65" s="10"/>
      <c r="DF65" s="10"/>
      <c r="DG65" s="10"/>
      <c r="DH65" s="10"/>
      <c r="DI65" s="10"/>
      <c r="DJ65" s="10"/>
      <c r="DK65" s="10"/>
      <c r="DL65" s="10"/>
      <c r="DM65" s="10"/>
      <c r="DN65" s="10"/>
      <c r="DO65" s="10"/>
      <c r="DP65" s="10"/>
      <c r="DQ65" s="10"/>
      <c r="DR65" s="10"/>
      <c r="DS65" s="10"/>
      <c r="DT65" s="10"/>
      <c r="DU65" s="10"/>
      <c r="DV65" s="10"/>
      <c r="DW65" s="10"/>
      <c r="DX65" s="10"/>
      <c r="DY65" s="10"/>
      <c r="DZ65" s="10"/>
      <c r="EA65" s="10"/>
      <c r="EB65" s="10"/>
      <c r="EC65" s="10"/>
      <c r="ED65" s="10"/>
      <c r="EE65" s="10"/>
      <c r="EF65" s="10"/>
      <c r="EG65" s="10"/>
      <c r="EH65" s="10"/>
      <c r="EI65" s="10"/>
      <c r="EJ65" s="10"/>
      <c r="EK65" s="10"/>
      <c r="EL65" s="10"/>
      <c r="EM65" s="10"/>
      <c r="EN65" s="10"/>
      <c r="EO65" s="10"/>
      <c r="EP65" s="10"/>
      <c r="EQ65" s="10"/>
      <c r="ER65" s="10"/>
      <c r="ES65" s="10"/>
      <c r="ET65" s="10"/>
      <c r="EU65" s="10"/>
      <c r="EV65" s="10"/>
      <c r="EW65" s="10"/>
      <c r="EX65" s="10"/>
      <c r="EY65" s="10"/>
      <c r="EZ65" s="10"/>
      <c r="FA65" s="10"/>
      <c r="FB65" s="10"/>
      <c r="FC65" s="10"/>
      <c r="FD65" s="10"/>
      <c r="FE65" s="10"/>
      <c r="FF65" s="10"/>
      <c r="FG65" s="10"/>
      <c r="FH65" s="10"/>
      <c r="FI65" s="10"/>
      <c r="FJ65" s="10"/>
      <c r="FK65" s="10"/>
      <c r="FL65" s="10"/>
      <c r="FM65" s="10"/>
      <c r="FN65" s="10"/>
      <c r="FO65" s="10"/>
      <c r="FP65" s="10"/>
      <c r="FQ65" s="10"/>
      <c r="FR65" s="10"/>
      <c r="FS65" s="10"/>
      <c r="FT65" s="10"/>
      <c r="FU65" s="10"/>
      <c r="FV65" s="10"/>
      <c r="FW65" s="10"/>
      <c r="FX65" s="10"/>
      <c r="FY65" s="10"/>
      <c r="FZ65" s="10"/>
      <c r="GA65" s="10"/>
      <c r="GB65" s="10"/>
      <c r="GC65" s="10"/>
      <c r="GD65" s="10"/>
      <c r="GE65" s="10"/>
      <c r="GF65" s="10"/>
      <c r="GG65" s="10"/>
      <c r="GH65" s="10"/>
      <c r="GI65" s="10"/>
      <c r="GJ65" s="10"/>
      <c r="GK65" s="10"/>
    </row>
    <row r="66" customFormat="false" ht="12.75" hidden="false" customHeight="false" outlineLevel="0" collapsed="false">
      <c r="A66" s="7"/>
      <c r="B66" s="7"/>
      <c r="C66" s="8"/>
      <c r="D66" s="8"/>
      <c r="E66" s="8"/>
      <c r="F66" s="8"/>
      <c r="G66" s="9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/>
      <c r="DB66" s="10"/>
      <c r="DC66" s="10"/>
      <c r="DD66" s="10"/>
      <c r="DE66" s="10"/>
      <c r="DF66" s="10"/>
      <c r="DG66" s="10"/>
      <c r="DH66" s="10"/>
      <c r="DI66" s="10"/>
      <c r="DJ66" s="10"/>
      <c r="DK66" s="10"/>
      <c r="DL66" s="10"/>
      <c r="DM66" s="10"/>
      <c r="DN66" s="10"/>
      <c r="DO66" s="10"/>
      <c r="DP66" s="10"/>
      <c r="DQ66" s="10"/>
      <c r="DR66" s="10"/>
      <c r="DS66" s="10"/>
      <c r="DT66" s="10"/>
      <c r="DU66" s="10"/>
      <c r="DV66" s="10"/>
      <c r="DW66" s="10"/>
      <c r="DX66" s="10"/>
      <c r="DY66" s="10"/>
      <c r="DZ66" s="10"/>
      <c r="EA66" s="10"/>
      <c r="EB66" s="10"/>
      <c r="EC66" s="10"/>
      <c r="ED66" s="10"/>
      <c r="EE66" s="10"/>
      <c r="EF66" s="10"/>
      <c r="EG66" s="10"/>
      <c r="EH66" s="10"/>
      <c r="EI66" s="10"/>
      <c r="EJ66" s="10"/>
      <c r="EK66" s="10"/>
      <c r="EL66" s="10"/>
      <c r="EM66" s="10"/>
      <c r="EN66" s="10"/>
      <c r="EO66" s="10"/>
      <c r="EP66" s="10"/>
      <c r="EQ66" s="10"/>
      <c r="ER66" s="10"/>
      <c r="ES66" s="10"/>
      <c r="ET66" s="10"/>
      <c r="EU66" s="10"/>
      <c r="EV66" s="10"/>
      <c r="EW66" s="10"/>
      <c r="EX66" s="10"/>
      <c r="EY66" s="10"/>
      <c r="EZ66" s="10"/>
      <c r="FA66" s="10"/>
      <c r="FB66" s="10"/>
      <c r="FC66" s="10"/>
      <c r="FD66" s="10"/>
      <c r="FE66" s="10"/>
      <c r="FF66" s="10"/>
      <c r="FG66" s="10"/>
      <c r="FH66" s="10"/>
      <c r="FI66" s="10"/>
      <c r="FJ66" s="10"/>
      <c r="FK66" s="10"/>
      <c r="FL66" s="10"/>
      <c r="FM66" s="10"/>
      <c r="FN66" s="10"/>
      <c r="FO66" s="10"/>
      <c r="FP66" s="10"/>
      <c r="FQ66" s="10"/>
      <c r="FR66" s="10"/>
      <c r="FS66" s="10"/>
      <c r="FT66" s="10"/>
      <c r="FU66" s="10"/>
      <c r="FV66" s="10"/>
      <c r="FW66" s="10"/>
      <c r="FX66" s="10"/>
      <c r="FY66" s="10"/>
      <c r="FZ66" s="10"/>
      <c r="GA66" s="10"/>
      <c r="GB66" s="10"/>
      <c r="GC66" s="10"/>
      <c r="GD66" s="10"/>
      <c r="GE66" s="10"/>
      <c r="GF66" s="10"/>
      <c r="GG66" s="10"/>
      <c r="GH66" s="10"/>
      <c r="GI66" s="10"/>
      <c r="GJ66" s="10"/>
      <c r="GK66" s="10"/>
    </row>
    <row r="67" customFormat="false" ht="12.75" hidden="false" customHeight="false" outlineLevel="0" collapsed="false">
      <c r="A67" s="7"/>
      <c r="B67" s="7"/>
      <c r="C67" s="8"/>
      <c r="D67" s="8"/>
      <c r="E67" s="8"/>
      <c r="F67" s="8"/>
      <c r="G67" s="9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/>
      <c r="DA67" s="10"/>
      <c r="DB67" s="10"/>
      <c r="DC67" s="10"/>
      <c r="DD67" s="10"/>
      <c r="DE67" s="10"/>
      <c r="DF67" s="10"/>
      <c r="DG67" s="10"/>
      <c r="DH67" s="10"/>
      <c r="DI67" s="10"/>
      <c r="DJ67" s="10"/>
      <c r="DK67" s="10"/>
      <c r="DL67" s="10"/>
      <c r="DM67" s="10"/>
      <c r="DN67" s="10"/>
      <c r="DO67" s="10"/>
      <c r="DP67" s="10"/>
      <c r="DQ67" s="10"/>
      <c r="DR67" s="10"/>
      <c r="DS67" s="10"/>
      <c r="DT67" s="10"/>
      <c r="DU67" s="10"/>
      <c r="DV67" s="10"/>
      <c r="DW67" s="10"/>
      <c r="DX67" s="10"/>
      <c r="DY67" s="10"/>
      <c r="DZ67" s="10"/>
      <c r="EA67" s="10"/>
      <c r="EB67" s="10"/>
      <c r="EC67" s="10"/>
      <c r="ED67" s="10"/>
      <c r="EE67" s="10"/>
      <c r="EF67" s="10"/>
      <c r="EG67" s="10"/>
      <c r="EH67" s="10"/>
      <c r="EI67" s="10"/>
      <c r="EJ67" s="10"/>
      <c r="EK67" s="10"/>
      <c r="EL67" s="10"/>
      <c r="EM67" s="10"/>
      <c r="EN67" s="10"/>
      <c r="EO67" s="10"/>
      <c r="EP67" s="10"/>
      <c r="EQ67" s="10"/>
      <c r="ER67" s="10"/>
      <c r="ES67" s="10"/>
      <c r="ET67" s="10"/>
      <c r="EU67" s="10"/>
      <c r="EV67" s="10"/>
      <c r="EW67" s="10"/>
      <c r="EX67" s="10"/>
      <c r="EY67" s="10"/>
      <c r="EZ67" s="10"/>
      <c r="FA67" s="10"/>
      <c r="FB67" s="10"/>
      <c r="FC67" s="10"/>
      <c r="FD67" s="10"/>
      <c r="FE67" s="10"/>
      <c r="FF67" s="10"/>
      <c r="FG67" s="10"/>
      <c r="FH67" s="10"/>
      <c r="FI67" s="10"/>
      <c r="FJ67" s="10"/>
      <c r="FK67" s="10"/>
      <c r="FL67" s="10"/>
      <c r="FM67" s="10"/>
      <c r="FN67" s="10"/>
      <c r="FO67" s="10"/>
      <c r="FP67" s="10"/>
      <c r="FQ67" s="10"/>
      <c r="FR67" s="10"/>
      <c r="FS67" s="10"/>
      <c r="FT67" s="10"/>
      <c r="FU67" s="10"/>
      <c r="FV67" s="10"/>
      <c r="FW67" s="10"/>
      <c r="FX67" s="10"/>
      <c r="FY67" s="10"/>
      <c r="FZ67" s="10"/>
      <c r="GA67" s="10"/>
      <c r="GB67" s="10"/>
      <c r="GC67" s="10"/>
      <c r="GD67" s="10"/>
      <c r="GE67" s="10"/>
      <c r="GF67" s="10"/>
      <c r="GG67" s="10"/>
      <c r="GH67" s="10"/>
      <c r="GI67" s="10"/>
      <c r="GJ67" s="10"/>
      <c r="GK67" s="10"/>
    </row>
    <row r="68" customFormat="false" ht="12.75" hidden="false" customHeight="false" outlineLevel="0" collapsed="false">
      <c r="A68" s="7"/>
      <c r="B68" s="7"/>
      <c r="C68" s="8"/>
      <c r="D68" s="8"/>
      <c r="E68" s="8"/>
      <c r="F68" s="8"/>
      <c r="G68" s="9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  <c r="CW68" s="10"/>
      <c r="CX68" s="10"/>
      <c r="CY68" s="10"/>
      <c r="CZ68" s="10"/>
      <c r="DA68" s="10"/>
      <c r="DB68" s="10"/>
      <c r="DC68" s="10"/>
      <c r="DD68" s="10"/>
      <c r="DE68" s="10"/>
      <c r="DF68" s="10"/>
      <c r="DG68" s="10"/>
      <c r="DH68" s="10"/>
      <c r="DI68" s="10"/>
      <c r="DJ68" s="10"/>
      <c r="DK68" s="10"/>
      <c r="DL68" s="10"/>
      <c r="DM68" s="10"/>
      <c r="DN68" s="10"/>
      <c r="DO68" s="10"/>
      <c r="DP68" s="10"/>
      <c r="DQ68" s="10"/>
      <c r="DR68" s="10"/>
      <c r="DS68" s="10"/>
      <c r="DT68" s="10"/>
      <c r="DU68" s="10"/>
      <c r="DV68" s="10"/>
      <c r="DW68" s="10"/>
      <c r="DX68" s="10"/>
      <c r="DY68" s="10"/>
      <c r="DZ68" s="10"/>
      <c r="EA68" s="10"/>
      <c r="EB68" s="10"/>
      <c r="EC68" s="10"/>
      <c r="ED68" s="10"/>
      <c r="EE68" s="10"/>
      <c r="EF68" s="10"/>
      <c r="EG68" s="10"/>
      <c r="EH68" s="10"/>
      <c r="EI68" s="10"/>
      <c r="EJ68" s="10"/>
      <c r="EK68" s="10"/>
      <c r="EL68" s="10"/>
      <c r="EM68" s="10"/>
      <c r="EN68" s="10"/>
      <c r="EO68" s="10"/>
      <c r="EP68" s="10"/>
      <c r="EQ68" s="10"/>
      <c r="ER68" s="10"/>
      <c r="ES68" s="10"/>
      <c r="ET68" s="10"/>
      <c r="EU68" s="10"/>
      <c r="EV68" s="10"/>
      <c r="EW68" s="10"/>
      <c r="EX68" s="10"/>
      <c r="EY68" s="10"/>
      <c r="EZ68" s="10"/>
      <c r="FA68" s="10"/>
      <c r="FB68" s="10"/>
      <c r="FC68" s="10"/>
      <c r="FD68" s="10"/>
      <c r="FE68" s="10"/>
      <c r="FF68" s="10"/>
      <c r="FG68" s="10"/>
      <c r="FH68" s="10"/>
      <c r="FI68" s="10"/>
      <c r="FJ68" s="10"/>
      <c r="FK68" s="10"/>
      <c r="FL68" s="10"/>
      <c r="FM68" s="10"/>
      <c r="FN68" s="10"/>
      <c r="FO68" s="10"/>
      <c r="FP68" s="10"/>
      <c r="FQ68" s="10"/>
      <c r="FR68" s="10"/>
      <c r="FS68" s="10"/>
      <c r="FT68" s="10"/>
      <c r="FU68" s="10"/>
      <c r="FV68" s="10"/>
      <c r="FW68" s="10"/>
      <c r="FX68" s="10"/>
      <c r="FY68" s="10"/>
      <c r="FZ68" s="10"/>
      <c r="GA68" s="10"/>
      <c r="GB68" s="10"/>
      <c r="GC68" s="10"/>
      <c r="GD68" s="10"/>
      <c r="GE68" s="10"/>
      <c r="GF68" s="10"/>
      <c r="GG68" s="10"/>
      <c r="GH68" s="10"/>
      <c r="GI68" s="10"/>
      <c r="GJ68" s="10"/>
      <c r="GK68" s="10"/>
    </row>
    <row r="69" customFormat="false" ht="12.75" hidden="false" customHeight="false" outlineLevel="0" collapsed="false">
      <c r="A69" s="7"/>
      <c r="B69" s="7"/>
      <c r="C69" s="8"/>
      <c r="D69" s="8"/>
      <c r="E69" s="8"/>
      <c r="F69" s="8"/>
      <c r="G69" s="9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  <c r="EM69" s="10"/>
      <c r="EN69" s="10"/>
      <c r="EO69" s="10"/>
      <c r="EP69" s="10"/>
      <c r="EQ69" s="10"/>
      <c r="ER69" s="10"/>
      <c r="ES69" s="10"/>
      <c r="ET69" s="10"/>
      <c r="EU69" s="10"/>
      <c r="EV69" s="10"/>
      <c r="EW69" s="10"/>
      <c r="EX69" s="10"/>
      <c r="EY69" s="10"/>
      <c r="EZ69" s="10"/>
      <c r="FA69" s="10"/>
      <c r="FB69" s="10"/>
      <c r="FC69" s="10"/>
      <c r="FD69" s="10"/>
      <c r="FE69" s="10"/>
      <c r="FF69" s="10"/>
      <c r="FG69" s="10"/>
      <c r="FH69" s="10"/>
      <c r="FI69" s="10"/>
      <c r="FJ69" s="10"/>
      <c r="FK69" s="10"/>
      <c r="FL69" s="10"/>
      <c r="FM69" s="10"/>
      <c r="FN69" s="10"/>
      <c r="FO69" s="10"/>
      <c r="FP69" s="10"/>
      <c r="FQ69" s="10"/>
      <c r="FR69" s="10"/>
      <c r="FS69" s="10"/>
      <c r="FT69" s="10"/>
      <c r="FU69" s="10"/>
      <c r="FV69" s="10"/>
      <c r="FW69" s="10"/>
      <c r="FX69" s="10"/>
      <c r="FY69" s="10"/>
      <c r="FZ69" s="10"/>
      <c r="GA69" s="10"/>
      <c r="GB69" s="10"/>
      <c r="GC69" s="10"/>
      <c r="GD69" s="10"/>
      <c r="GE69" s="10"/>
      <c r="GF69" s="10"/>
      <c r="GG69" s="10"/>
      <c r="GH69" s="10"/>
      <c r="GI69" s="10"/>
      <c r="GJ69" s="10"/>
      <c r="GK69" s="10"/>
    </row>
    <row r="70" customFormat="false" ht="12.75" hidden="false" customHeight="false" outlineLevel="0" collapsed="false">
      <c r="A70" s="7"/>
      <c r="B70" s="7"/>
      <c r="C70" s="8"/>
      <c r="D70" s="8"/>
      <c r="E70" s="8"/>
      <c r="F70" s="8"/>
      <c r="G70" s="9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  <c r="DB70" s="10"/>
      <c r="DC70" s="10"/>
      <c r="DD70" s="10"/>
      <c r="DE70" s="10"/>
      <c r="DF70" s="10"/>
      <c r="DG70" s="10"/>
      <c r="DH70" s="10"/>
      <c r="DI70" s="10"/>
      <c r="DJ70" s="10"/>
      <c r="DK70" s="10"/>
      <c r="DL70" s="10"/>
      <c r="DM70" s="10"/>
      <c r="DN70" s="10"/>
      <c r="DO70" s="10"/>
      <c r="DP70" s="10"/>
      <c r="DQ70" s="10"/>
      <c r="DR70" s="10"/>
      <c r="DS70" s="10"/>
      <c r="DT70" s="10"/>
      <c r="DU70" s="10"/>
      <c r="DV70" s="10"/>
      <c r="DW70" s="10"/>
      <c r="DX70" s="10"/>
      <c r="DY70" s="10"/>
      <c r="DZ70" s="10"/>
      <c r="EA70" s="10"/>
      <c r="EB70" s="10"/>
      <c r="EC70" s="10"/>
      <c r="ED70" s="10"/>
      <c r="EE70" s="10"/>
      <c r="EF70" s="10"/>
      <c r="EG70" s="10"/>
      <c r="EH70" s="10"/>
      <c r="EI70" s="10"/>
      <c r="EJ70" s="10"/>
      <c r="EK70" s="10"/>
      <c r="EL70" s="10"/>
      <c r="EM70" s="10"/>
      <c r="EN70" s="10"/>
      <c r="EO70" s="10"/>
      <c r="EP70" s="10"/>
      <c r="EQ70" s="10"/>
      <c r="ER70" s="10"/>
      <c r="ES70" s="10"/>
      <c r="ET70" s="10"/>
      <c r="EU70" s="10"/>
      <c r="EV70" s="10"/>
      <c r="EW70" s="10"/>
      <c r="EX70" s="10"/>
      <c r="EY70" s="10"/>
      <c r="EZ70" s="10"/>
      <c r="FA70" s="10"/>
      <c r="FB70" s="10"/>
      <c r="FC70" s="10"/>
      <c r="FD70" s="10"/>
      <c r="FE70" s="10"/>
      <c r="FF70" s="10"/>
      <c r="FG70" s="10"/>
      <c r="FH70" s="10"/>
      <c r="FI70" s="10"/>
      <c r="FJ70" s="10"/>
      <c r="FK70" s="10"/>
      <c r="FL70" s="10"/>
      <c r="FM70" s="10"/>
      <c r="FN70" s="10"/>
      <c r="FO70" s="10"/>
      <c r="FP70" s="10"/>
      <c r="FQ70" s="10"/>
      <c r="FR70" s="10"/>
      <c r="FS70" s="10"/>
      <c r="FT70" s="10"/>
      <c r="FU70" s="10"/>
      <c r="FV70" s="10"/>
      <c r="FW70" s="10"/>
      <c r="FX70" s="10"/>
      <c r="FY70" s="10"/>
      <c r="FZ70" s="10"/>
      <c r="GA70" s="10"/>
      <c r="GB70" s="10"/>
      <c r="GC70" s="10"/>
      <c r="GD70" s="10"/>
      <c r="GE70" s="10"/>
      <c r="GF70" s="10"/>
      <c r="GG70" s="10"/>
      <c r="GH70" s="10"/>
      <c r="GI70" s="10"/>
      <c r="GJ70" s="10"/>
      <c r="GK70" s="10"/>
    </row>
    <row r="71" customFormat="false" ht="12.75" hidden="false" customHeight="false" outlineLevel="0" collapsed="false">
      <c r="A71" s="7"/>
      <c r="B71" s="7"/>
      <c r="C71" s="8"/>
      <c r="D71" s="8"/>
      <c r="E71" s="8"/>
      <c r="F71" s="8"/>
      <c r="G71" s="9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10"/>
      <c r="CY71" s="10"/>
      <c r="CZ71" s="10"/>
      <c r="DA71" s="10"/>
      <c r="DB71" s="10"/>
      <c r="DC71" s="10"/>
      <c r="DD71" s="10"/>
      <c r="DE71" s="10"/>
      <c r="DF71" s="10"/>
      <c r="DG71" s="10"/>
      <c r="DH71" s="10"/>
      <c r="DI71" s="10"/>
      <c r="DJ71" s="10"/>
      <c r="DK71" s="10"/>
      <c r="DL71" s="10"/>
      <c r="DM71" s="10"/>
      <c r="DN71" s="10"/>
      <c r="DO71" s="10"/>
      <c r="DP71" s="10"/>
      <c r="DQ71" s="10"/>
      <c r="DR71" s="10"/>
      <c r="DS71" s="10"/>
      <c r="DT71" s="10"/>
      <c r="DU71" s="10"/>
      <c r="DV71" s="10"/>
      <c r="DW71" s="10"/>
      <c r="DX71" s="10"/>
      <c r="DY71" s="10"/>
      <c r="DZ71" s="10"/>
      <c r="EA71" s="10"/>
      <c r="EB71" s="10"/>
      <c r="EC71" s="10"/>
      <c r="ED71" s="10"/>
      <c r="EE71" s="10"/>
      <c r="EF71" s="10"/>
      <c r="EG71" s="10"/>
      <c r="EH71" s="10"/>
      <c r="EI71" s="10"/>
      <c r="EJ71" s="10"/>
      <c r="EK71" s="10"/>
      <c r="EL71" s="10"/>
      <c r="EM71" s="10"/>
      <c r="EN71" s="10"/>
      <c r="EO71" s="10"/>
      <c r="EP71" s="10"/>
      <c r="EQ71" s="10"/>
      <c r="ER71" s="10"/>
      <c r="ES71" s="10"/>
      <c r="ET71" s="10"/>
      <c r="EU71" s="10"/>
      <c r="EV71" s="10"/>
      <c r="EW71" s="10"/>
      <c r="EX71" s="10"/>
      <c r="EY71" s="10"/>
      <c r="EZ71" s="10"/>
      <c r="FA71" s="10"/>
      <c r="FB71" s="10"/>
      <c r="FC71" s="10"/>
      <c r="FD71" s="10"/>
      <c r="FE71" s="10"/>
      <c r="FF71" s="10"/>
      <c r="FG71" s="10"/>
      <c r="FH71" s="10"/>
      <c r="FI71" s="10"/>
      <c r="FJ71" s="10"/>
      <c r="FK71" s="10"/>
      <c r="FL71" s="10"/>
      <c r="FM71" s="10"/>
      <c r="FN71" s="10"/>
      <c r="FO71" s="10"/>
      <c r="FP71" s="10"/>
      <c r="FQ71" s="10"/>
      <c r="FR71" s="10"/>
      <c r="FS71" s="10"/>
      <c r="FT71" s="10"/>
      <c r="FU71" s="10"/>
      <c r="FV71" s="10"/>
      <c r="FW71" s="10"/>
      <c r="FX71" s="10"/>
      <c r="FY71" s="10"/>
      <c r="FZ71" s="10"/>
      <c r="GA71" s="10"/>
      <c r="GB71" s="10"/>
      <c r="GC71" s="10"/>
      <c r="GD71" s="10"/>
      <c r="GE71" s="10"/>
      <c r="GF71" s="10"/>
      <c r="GG71" s="10"/>
      <c r="GH71" s="10"/>
      <c r="GI71" s="10"/>
      <c r="GJ71" s="10"/>
      <c r="GK71" s="10"/>
    </row>
    <row r="72" customFormat="false" ht="12.75" hidden="false" customHeight="false" outlineLevel="0" collapsed="false">
      <c r="A72" s="7"/>
      <c r="B72" s="7"/>
      <c r="C72" s="8"/>
      <c r="D72" s="8"/>
      <c r="E72" s="8"/>
      <c r="F72" s="8"/>
      <c r="G72" s="9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10"/>
      <c r="DB72" s="10"/>
      <c r="DC72" s="10"/>
      <c r="DD72" s="10"/>
      <c r="DE72" s="10"/>
      <c r="DF72" s="10"/>
      <c r="DG72" s="10"/>
      <c r="DH72" s="10"/>
      <c r="DI72" s="10"/>
      <c r="DJ72" s="10"/>
      <c r="DK72" s="10"/>
      <c r="DL72" s="10"/>
      <c r="DM72" s="10"/>
      <c r="DN72" s="10"/>
      <c r="DO72" s="10"/>
      <c r="DP72" s="10"/>
      <c r="DQ72" s="10"/>
      <c r="DR72" s="10"/>
      <c r="DS72" s="10"/>
      <c r="DT72" s="10"/>
      <c r="DU72" s="10"/>
      <c r="DV72" s="10"/>
      <c r="DW72" s="10"/>
      <c r="DX72" s="10"/>
      <c r="DY72" s="10"/>
      <c r="DZ72" s="10"/>
      <c r="EA72" s="10"/>
      <c r="EB72" s="10"/>
      <c r="EC72" s="10"/>
      <c r="ED72" s="10"/>
      <c r="EE72" s="10"/>
      <c r="EF72" s="10"/>
      <c r="EG72" s="10"/>
      <c r="EH72" s="10"/>
      <c r="EI72" s="10"/>
      <c r="EJ72" s="10"/>
      <c r="EK72" s="10"/>
      <c r="EL72" s="10"/>
      <c r="EM72" s="10"/>
      <c r="EN72" s="10"/>
      <c r="EO72" s="10"/>
      <c r="EP72" s="10"/>
      <c r="EQ72" s="10"/>
      <c r="ER72" s="10"/>
      <c r="ES72" s="10"/>
      <c r="ET72" s="10"/>
      <c r="EU72" s="10"/>
      <c r="EV72" s="10"/>
      <c r="EW72" s="10"/>
      <c r="EX72" s="10"/>
      <c r="EY72" s="10"/>
      <c r="EZ72" s="10"/>
      <c r="FA72" s="10"/>
      <c r="FB72" s="10"/>
      <c r="FC72" s="10"/>
      <c r="FD72" s="10"/>
      <c r="FE72" s="10"/>
      <c r="FF72" s="10"/>
      <c r="FG72" s="10"/>
      <c r="FH72" s="10"/>
      <c r="FI72" s="10"/>
      <c r="FJ72" s="10"/>
      <c r="FK72" s="10"/>
      <c r="FL72" s="10"/>
      <c r="FM72" s="10"/>
      <c r="FN72" s="10"/>
      <c r="FO72" s="10"/>
      <c r="FP72" s="10"/>
      <c r="FQ72" s="10"/>
      <c r="FR72" s="10"/>
      <c r="FS72" s="10"/>
      <c r="FT72" s="10"/>
      <c r="FU72" s="10"/>
      <c r="FV72" s="10"/>
      <c r="FW72" s="10"/>
      <c r="FX72" s="10"/>
      <c r="FY72" s="10"/>
      <c r="FZ72" s="10"/>
      <c r="GA72" s="10"/>
      <c r="GB72" s="10"/>
      <c r="GC72" s="10"/>
      <c r="GD72" s="10"/>
      <c r="GE72" s="10"/>
      <c r="GF72" s="10"/>
      <c r="GG72" s="10"/>
      <c r="GH72" s="10"/>
      <c r="GI72" s="10"/>
      <c r="GJ72" s="10"/>
      <c r="GK72" s="10"/>
    </row>
    <row r="73" customFormat="false" ht="12.75" hidden="false" customHeight="false" outlineLevel="0" collapsed="false">
      <c r="A73" s="7"/>
      <c r="B73" s="7"/>
      <c r="C73" s="8"/>
      <c r="D73" s="8"/>
      <c r="E73" s="8"/>
      <c r="F73" s="8"/>
      <c r="G73" s="9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10"/>
      <c r="CZ73" s="10"/>
      <c r="DA73" s="10"/>
      <c r="DB73" s="10"/>
      <c r="DC73" s="10"/>
      <c r="DD73" s="10"/>
      <c r="DE73" s="10"/>
      <c r="DF73" s="10"/>
      <c r="DG73" s="10"/>
      <c r="DH73" s="10"/>
      <c r="DI73" s="10"/>
      <c r="DJ73" s="10"/>
      <c r="DK73" s="10"/>
      <c r="DL73" s="10"/>
      <c r="DM73" s="10"/>
      <c r="DN73" s="10"/>
      <c r="DO73" s="10"/>
      <c r="DP73" s="10"/>
      <c r="DQ73" s="10"/>
      <c r="DR73" s="10"/>
      <c r="DS73" s="10"/>
      <c r="DT73" s="10"/>
      <c r="DU73" s="10"/>
      <c r="DV73" s="10"/>
      <c r="DW73" s="10"/>
      <c r="DX73" s="10"/>
      <c r="DY73" s="10"/>
      <c r="DZ73" s="10"/>
      <c r="EA73" s="10"/>
      <c r="EB73" s="10"/>
      <c r="EC73" s="10"/>
      <c r="ED73" s="10"/>
      <c r="EE73" s="10"/>
      <c r="EF73" s="10"/>
      <c r="EG73" s="10"/>
      <c r="EH73" s="10"/>
      <c r="EI73" s="10"/>
      <c r="EJ73" s="10"/>
      <c r="EK73" s="10"/>
      <c r="EL73" s="10"/>
      <c r="EM73" s="10"/>
      <c r="EN73" s="10"/>
      <c r="EO73" s="10"/>
      <c r="EP73" s="10"/>
      <c r="EQ73" s="10"/>
      <c r="ER73" s="10"/>
      <c r="ES73" s="10"/>
      <c r="ET73" s="10"/>
      <c r="EU73" s="10"/>
      <c r="EV73" s="10"/>
      <c r="EW73" s="10"/>
      <c r="EX73" s="10"/>
      <c r="EY73" s="10"/>
      <c r="EZ73" s="10"/>
      <c r="FA73" s="10"/>
      <c r="FB73" s="10"/>
      <c r="FC73" s="10"/>
      <c r="FD73" s="10"/>
      <c r="FE73" s="10"/>
      <c r="FF73" s="10"/>
      <c r="FG73" s="10"/>
      <c r="FH73" s="10"/>
      <c r="FI73" s="10"/>
      <c r="FJ73" s="10"/>
      <c r="FK73" s="10"/>
      <c r="FL73" s="10"/>
      <c r="FM73" s="10"/>
      <c r="FN73" s="10"/>
      <c r="FO73" s="10"/>
      <c r="FP73" s="10"/>
      <c r="FQ73" s="10"/>
      <c r="FR73" s="10"/>
      <c r="FS73" s="10"/>
      <c r="FT73" s="10"/>
      <c r="FU73" s="10"/>
      <c r="FV73" s="10"/>
      <c r="FW73" s="10"/>
      <c r="FX73" s="10"/>
      <c r="FY73" s="10"/>
      <c r="FZ73" s="10"/>
      <c r="GA73" s="10"/>
      <c r="GB73" s="10"/>
      <c r="GC73" s="10"/>
      <c r="GD73" s="10"/>
      <c r="GE73" s="10"/>
      <c r="GF73" s="10"/>
      <c r="GG73" s="10"/>
      <c r="GH73" s="10"/>
      <c r="GI73" s="10"/>
      <c r="GJ73" s="10"/>
      <c r="GK73" s="10"/>
    </row>
    <row r="74" customFormat="false" ht="12.75" hidden="false" customHeight="false" outlineLevel="0" collapsed="false">
      <c r="A74" s="7"/>
      <c r="B74" s="7"/>
      <c r="C74" s="8"/>
      <c r="D74" s="8"/>
      <c r="E74" s="8"/>
      <c r="F74" s="8"/>
      <c r="G74" s="9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/>
      <c r="CW74" s="10"/>
      <c r="CX74" s="10"/>
      <c r="CY74" s="10"/>
      <c r="CZ74" s="10"/>
      <c r="DA74" s="10"/>
      <c r="DB74" s="10"/>
      <c r="DC74" s="10"/>
      <c r="DD74" s="10"/>
      <c r="DE74" s="10"/>
      <c r="DF74" s="10"/>
      <c r="DG74" s="10"/>
      <c r="DH74" s="10"/>
      <c r="DI74" s="10"/>
      <c r="DJ74" s="10"/>
      <c r="DK74" s="10"/>
      <c r="DL74" s="10"/>
      <c r="DM74" s="10"/>
      <c r="DN74" s="10"/>
      <c r="DO74" s="10"/>
      <c r="DP74" s="10"/>
      <c r="DQ74" s="10"/>
      <c r="DR74" s="10"/>
      <c r="DS74" s="10"/>
      <c r="DT74" s="10"/>
      <c r="DU74" s="10"/>
      <c r="DV74" s="10"/>
      <c r="DW74" s="10"/>
      <c r="DX74" s="10"/>
      <c r="DY74" s="10"/>
      <c r="DZ74" s="10"/>
      <c r="EA74" s="10"/>
      <c r="EB74" s="10"/>
      <c r="EC74" s="10"/>
      <c r="ED74" s="10"/>
      <c r="EE74" s="10"/>
      <c r="EF74" s="10"/>
      <c r="EG74" s="10"/>
      <c r="EH74" s="10"/>
      <c r="EI74" s="10"/>
      <c r="EJ74" s="10"/>
      <c r="EK74" s="10"/>
      <c r="EL74" s="10"/>
      <c r="EM74" s="10"/>
      <c r="EN74" s="10"/>
      <c r="EO74" s="10"/>
      <c r="EP74" s="10"/>
      <c r="EQ74" s="10"/>
      <c r="ER74" s="10"/>
      <c r="ES74" s="10"/>
      <c r="ET74" s="10"/>
      <c r="EU74" s="10"/>
      <c r="EV74" s="10"/>
      <c r="EW74" s="10"/>
      <c r="EX74" s="10"/>
      <c r="EY74" s="10"/>
      <c r="EZ74" s="10"/>
      <c r="FA74" s="10"/>
      <c r="FB74" s="10"/>
      <c r="FC74" s="10"/>
      <c r="FD74" s="10"/>
      <c r="FE74" s="10"/>
      <c r="FF74" s="10"/>
      <c r="FG74" s="10"/>
      <c r="FH74" s="10"/>
      <c r="FI74" s="10"/>
      <c r="FJ74" s="10"/>
      <c r="FK74" s="10"/>
      <c r="FL74" s="10"/>
      <c r="FM74" s="10"/>
      <c r="FN74" s="10"/>
      <c r="FO74" s="10"/>
      <c r="FP74" s="10"/>
      <c r="FQ74" s="10"/>
      <c r="FR74" s="10"/>
      <c r="FS74" s="10"/>
      <c r="FT74" s="10"/>
      <c r="FU74" s="10"/>
      <c r="FV74" s="10"/>
      <c r="FW74" s="10"/>
      <c r="FX74" s="10"/>
      <c r="FY74" s="10"/>
      <c r="FZ74" s="10"/>
      <c r="GA74" s="10"/>
      <c r="GB74" s="10"/>
      <c r="GC74" s="10"/>
      <c r="GD74" s="10"/>
      <c r="GE74" s="10"/>
      <c r="GF74" s="10"/>
      <c r="GG74" s="10"/>
      <c r="GH74" s="10"/>
      <c r="GI74" s="10"/>
      <c r="GJ74" s="10"/>
      <c r="GK74" s="10"/>
    </row>
    <row r="75" customFormat="false" ht="12.75" hidden="false" customHeight="false" outlineLevel="0" collapsed="false">
      <c r="A75" s="7"/>
      <c r="B75" s="7"/>
      <c r="C75" s="8"/>
      <c r="D75" s="8"/>
      <c r="E75" s="8"/>
      <c r="F75" s="8"/>
      <c r="G75" s="9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  <c r="CW75" s="10"/>
      <c r="CX75" s="10"/>
      <c r="CY75" s="10"/>
      <c r="CZ75" s="10"/>
      <c r="DA75" s="10"/>
      <c r="DB75" s="10"/>
      <c r="DC75" s="10"/>
      <c r="DD75" s="10"/>
      <c r="DE75" s="10"/>
      <c r="DF75" s="10"/>
      <c r="DG75" s="10"/>
      <c r="DH75" s="10"/>
      <c r="DI75" s="10"/>
      <c r="DJ75" s="10"/>
      <c r="DK75" s="10"/>
      <c r="DL75" s="10"/>
      <c r="DM75" s="10"/>
      <c r="DN75" s="10"/>
      <c r="DO75" s="10"/>
      <c r="DP75" s="10"/>
      <c r="DQ75" s="10"/>
      <c r="DR75" s="10"/>
      <c r="DS75" s="10"/>
      <c r="DT75" s="10"/>
      <c r="DU75" s="10"/>
      <c r="DV75" s="10"/>
      <c r="DW75" s="10"/>
      <c r="DX75" s="10"/>
      <c r="DY75" s="10"/>
      <c r="DZ75" s="10"/>
      <c r="EA75" s="10"/>
      <c r="EB75" s="10"/>
      <c r="EC75" s="10"/>
      <c r="ED75" s="10"/>
      <c r="EE75" s="10"/>
      <c r="EF75" s="10"/>
      <c r="EG75" s="10"/>
      <c r="EH75" s="10"/>
      <c r="EI75" s="10"/>
      <c r="EJ75" s="10"/>
      <c r="EK75" s="10"/>
      <c r="EL75" s="10"/>
      <c r="EM75" s="10"/>
      <c r="EN75" s="10"/>
      <c r="EO75" s="10"/>
      <c r="EP75" s="10"/>
      <c r="EQ75" s="10"/>
      <c r="ER75" s="10"/>
      <c r="ES75" s="10"/>
      <c r="ET75" s="10"/>
      <c r="EU75" s="10"/>
      <c r="EV75" s="10"/>
      <c r="EW75" s="10"/>
      <c r="EX75" s="10"/>
      <c r="EY75" s="10"/>
      <c r="EZ75" s="10"/>
      <c r="FA75" s="10"/>
      <c r="FB75" s="10"/>
      <c r="FC75" s="10"/>
      <c r="FD75" s="10"/>
      <c r="FE75" s="10"/>
      <c r="FF75" s="10"/>
      <c r="FG75" s="10"/>
      <c r="FH75" s="10"/>
      <c r="FI75" s="10"/>
      <c r="FJ75" s="10"/>
      <c r="FK75" s="10"/>
      <c r="FL75" s="10"/>
      <c r="FM75" s="10"/>
      <c r="FN75" s="10"/>
      <c r="FO75" s="10"/>
      <c r="FP75" s="10"/>
      <c r="FQ75" s="10"/>
      <c r="FR75" s="10"/>
      <c r="FS75" s="10"/>
      <c r="FT75" s="10"/>
      <c r="FU75" s="10"/>
      <c r="FV75" s="10"/>
      <c r="FW75" s="10"/>
      <c r="FX75" s="10"/>
      <c r="FY75" s="10"/>
      <c r="FZ75" s="10"/>
      <c r="GA75" s="10"/>
      <c r="GB75" s="10"/>
      <c r="GC75" s="10"/>
      <c r="GD75" s="10"/>
      <c r="GE75" s="10"/>
      <c r="GF75" s="10"/>
      <c r="GG75" s="10"/>
      <c r="GH75" s="10"/>
      <c r="GI75" s="10"/>
      <c r="GJ75" s="10"/>
      <c r="GK75" s="10"/>
    </row>
    <row r="76" customFormat="false" ht="12.75" hidden="false" customHeight="false" outlineLevel="0" collapsed="false">
      <c r="A76" s="7"/>
      <c r="B76" s="7"/>
      <c r="C76" s="8"/>
      <c r="D76" s="8"/>
      <c r="E76" s="8"/>
      <c r="F76" s="8"/>
      <c r="G76" s="9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  <c r="CW76" s="10"/>
      <c r="CX76" s="10"/>
      <c r="CY76" s="10"/>
      <c r="CZ76" s="10"/>
      <c r="DA76" s="10"/>
      <c r="DB76" s="10"/>
      <c r="DC76" s="10"/>
      <c r="DD76" s="10"/>
      <c r="DE76" s="10"/>
      <c r="DF76" s="10"/>
      <c r="DG76" s="10"/>
      <c r="DH76" s="10"/>
      <c r="DI76" s="10"/>
      <c r="DJ76" s="10"/>
      <c r="DK76" s="10"/>
      <c r="DL76" s="10"/>
      <c r="DM76" s="10"/>
      <c r="DN76" s="10"/>
      <c r="DO76" s="10"/>
      <c r="DP76" s="10"/>
      <c r="DQ76" s="10"/>
      <c r="DR76" s="10"/>
      <c r="DS76" s="10"/>
      <c r="DT76" s="10"/>
      <c r="DU76" s="10"/>
      <c r="DV76" s="10"/>
      <c r="DW76" s="10"/>
      <c r="DX76" s="10"/>
      <c r="DY76" s="10"/>
      <c r="DZ76" s="10"/>
      <c r="EA76" s="10"/>
      <c r="EB76" s="10"/>
      <c r="EC76" s="10"/>
      <c r="ED76" s="10"/>
      <c r="EE76" s="10"/>
      <c r="EF76" s="10"/>
      <c r="EG76" s="10"/>
      <c r="EH76" s="10"/>
      <c r="EI76" s="10"/>
      <c r="EJ76" s="10"/>
      <c r="EK76" s="10"/>
      <c r="EL76" s="10"/>
      <c r="EM76" s="10"/>
      <c r="EN76" s="10"/>
      <c r="EO76" s="10"/>
      <c r="EP76" s="10"/>
      <c r="EQ76" s="10"/>
      <c r="ER76" s="10"/>
      <c r="ES76" s="10"/>
      <c r="ET76" s="10"/>
      <c r="EU76" s="10"/>
      <c r="EV76" s="10"/>
      <c r="EW76" s="10"/>
      <c r="EX76" s="10"/>
      <c r="EY76" s="10"/>
      <c r="EZ76" s="10"/>
      <c r="FA76" s="10"/>
      <c r="FB76" s="10"/>
      <c r="FC76" s="10"/>
      <c r="FD76" s="10"/>
      <c r="FE76" s="10"/>
      <c r="FF76" s="10"/>
      <c r="FG76" s="10"/>
      <c r="FH76" s="10"/>
      <c r="FI76" s="10"/>
      <c r="FJ76" s="10"/>
      <c r="FK76" s="10"/>
      <c r="FL76" s="10"/>
      <c r="FM76" s="10"/>
      <c r="FN76" s="10"/>
      <c r="FO76" s="10"/>
      <c r="FP76" s="10"/>
      <c r="FQ76" s="10"/>
      <c r="FR76" s="10"/>
      <c r="FS76" s="10"/>
      <c r="FT76" s="10"/>
      <c r="FU76" s="10"/>
      <c r="FV76" s="10"/>
      <c r="FW76" s="10"/>
      <c r="FX76" s="10"/>
      <c r="FY76" s="10"/>
      <c r="FZ76" s="10"/>
      <c r="GA76" s="10"/>
      <c r="GB76" s="10"/>
      <c r="GC76" s="10"/>
      <c r="GD76" s="10"/>
      <c r="GE76" s="10"/>
      <c r="GF76" s="10"/>
      <c r="GG76" s="10"/>
      <c r="GH76" s="10"/>
      <c r="GI76" s="10"/>
      <c r="GJ76" s="10"/>
      <c r="GK76" s="10"/>
    </row>
    <row r="77" customFormat="false" ht="12.75" hidden="false" customHeight="false" outlineLevel="0" collapsed="false">
      <c r="A77" s="7"/>
      <c r="B77" s="7"/>
      <c r="C77" s="8"/>
      <c r="D77" s="8"/>
      <c r="E77" s="8"/>
      <c r="F77" s="8"/>
      <c r="G77" s="9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10"/>
      <c r="CZ77" s="10"/>
      <c r="DA77" s="10"/>
      <c r="DB77" s="10"/>
      <c r="DC77" s="10"/>
      <c r="DD77" s="10"/>
      <c r="DE77" s="10"/>
      <c r="DF77" s="10"/>
      <c r="DG77" s="10"/>
      <c r="DH77" s="10"/>
      <c r="DI77" s="10"/>
      <c r="DJ77" s="10"/>
      <c r="DK77" s="10"/>
      <c r="DL77" s="10"/>
      <c r="DM77" s="10"/>
      <c r="DN77" s="10"/>
      <c r="DO77" s="10"/>
      <c r="DP77" s="10"/>
      <c r="DQ77" s="10"/>
      <c r="DR77" s="10"/>
      <c r="DS77" s="10"/>
      <c r="DT77" s="10"/>
      <c r="DU77" s="10"/>
      <c r="DV77" s="10"/>
      <c r="DW77" s="10"/>
      <c r="DX77" s="10"/>
      <c r="DY77" s="10"/>
      <c r="DZ77" s="10"/>
      <c r="EA77" s="10"/>
      <c r="EB77" s="10"/>
      <c r="EC77" s="10"/>
      <c r="ED77" s="10"/>
      <c r="EE77" s="10"/>
      <c r="EF77" s="10"/>
      <c r="EG77" s="10"/>
      <c r="EH77" s="10"/>
      <c r="EI77" s="10"/>
      <c r="EJ77" s="10"/>
      <c r="EK77" s="10"/>
      <c r="EL77" s="10"/>
      <c r="EM77" s="10"/>
      <c r="EN77" s="10"/>
      <c r="EO77" s="10"/>
      <c r="EP77" s="10"/>
      <c r="EQ77" s="10"/>
      <c r="ER77" s="10"/>
      <c r="ES77" s="10"/>
      <c r="ET77" s="10"/>
      <c r="EU77" s="10"/>
      <c r="EV77" s="10"/>
      <c r="EW77" s="10"/>
      <c r="EX77" s="10"/>
      <c r="EY77" s="10"/>
      <c r="EZ77" s="10"/>
      <c r="FA77" s="10"/>
      <c r="FB77" s="10"/>
      <c r="FC77" s="10"/>
      <c r="FD77" s="10"/>
      <c r="FE77" s="10"/>
      <c r="FF77" s="10"/>
      <c r="FG77" s="10"/>
      <c r="FH77" s="10"/>
      <c r="FI77" s="10"/>
      <c r="FJ77" s="10"/>
      <c r="FK77" s="10"/>
      <c r="FL77" s="10"/>
      <c r="FM77" s="10"/>
      <c r="FN77" s="10"/>
      <c r="FO77" s="10"/>
      <c r="FP77" s="10"/>
      <c r="FQ77" s="10"/>
      <c r="FR77" s="10"/>
      <c r="FS77" s="10"/>
      <c r="FT77" s="10"/>
      <c r="FU77" s="10"/>
      <c r="FV77" s="10"/>
      <c r="FW77" s="10"/>
      <c r="FX77" s="10"/>
      <c r="FY77" s="10"/>
      <c r="FZ77" s="10"/>
      <c r="GA77" s="10"/>
      <c r="GB77" s="10"/>
      <c r="GC77" s="10"/>
      <c r="GD77" s="10"/>
      <c r="GE77" s="10"/>
      <c r="GF77" s="10"/>
      <c r="GG77" s="10"/>
      <c r="GH77" s="10"/>
      <c r="GI77" s="10"/>
      <c r="GJ77" s="10"/>
      <c r="GK77" s="10"/>
    </row>
    <row r="78" customFormat="false" ht="12.75" hidden="false" customHeight="false" outlineLevel="0" collapsed="false">
      <c r="A78" s="7"/>
      <c r="B78" s="7"/>
      <c r="C78" s="8"/>
      <c r="D78" s="8"/>
      <c r="E78" s="8"/>
      <c r="F78" s="8"/>
      <c r="G78" s="9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  <c r="CW78" s="10"/>
      <c r="CX78" s="10"/>
      <c r="CY78" s="10"/>
      <c r="CZ78" s="10"/>
      <c r="DA78" s="10"/>
      <c r="DB78" s="10"/>
      <c r="DC78" s="10"/>
      <c r="DD78" s="10"/>
      <c r="DE78" s="10"/>
      <c r="DF78" s="10"/>
      <c r="DG78" s="10"/>
      <c r="DH78" s="10"/>
      <c r="DI78" s="10"/>
      <c r="DJ78" s="10"/>
      <c r="DK78" s="10"/>
      <c r="DL78" s="10"/>
      <c r="DM78" s="10"/>
      <c r="DN78" s="10"/>
      <c r="DO78" s="10"/>
      <c r="DP78" s="10"/>
      <c r="DQ78" s="10"/>
      <c r="DR78" s="10"/>
      <c r="DS78" s="10"/>
      <c r="DT78" s="10"/>
      <c r="DU78" s="10"/>
      <c r="DV78" s="10"/>
      <c r="DW78" s="10"/>
      <c r="DX78" s="10"/>
      <c r="DY78" s="10"/>
      <c r="DZ78" s="10"/>
      <c r="EA78" s="10"/>
      <c r="EB78" s="10"/>
      <c r="EC78" s="10"/>
      <c r="ED78" s="10"/>
      <c r="EE78" s="10"/>
      <c r="EF78" s="10"/>
      <c r="EG78" s="10"/>
      <c r="EH78" s="10"/>
      <c r="EI78" s="10"/>
      <c r="EJ78" s="10"/>
      <c r="EK78" s="10"/>
      <c r="EL78" s="10"/>
      <c r="EM78" s="10"/>
      <c r="EN78" s="10"/>
      <c r="EO78" s="10"/>
      <c r="EP78" s="10"/>
      <c r="EQ78" s="10"/>
      <c r="ER78" s="10"/>
      <c r="ES78" s="10"/>
      <c r="ET78" s="10"/>
      <c r="EU78" s="10"/>
      <c r="EV78" s="10"/>
      <c r="EW78" s="10"/>
      <c r="EX78" s="10"/>
      <c r="EY78" s="10"/>
      <c r="EZ78" s="10"/>
      <c r="FA78" s="10"/>
      <c r="FB78" s="10"/>
      <c r="FC78" s="10"/>
      <c r="FD78" s="10"/>
      <c r="FE78" s="10"/>
      <c r="FF78" s="10"/>
      <c r="FG78" s="10"/>
      <c r="FH78" s="10"/>
      <c r="FI78" s="10"/>
      <c r="FJ78" s="10"/>
      <c r="FK78" s="10"/>
      <c r="FL78" s="10"/>
      <c r="FM78" s="10"/>
      <c r="FN78" s="10"/>
      <c r="FO78" s="10"/>
      <c r="FP78" s="10"/>
      <c r="FQ78" s="10"/>
      <c r="FR78" s="10"/>
      <c r="FS78" s="10"/>
      <c r="FT78" s="10"/>
      <c r="FU78" s="10"/>
      <c r="FV78" s="10"/>
      <c r="FW78" s="10"/>
      <c r="FX78" s="10"/>
      <c r="FY78" s="10"/>
      <c r="FZ78" s="10"/>
      <c r="GA78" s="10"/>
      <c r="GB78" s="10"/>
      <c r="GC78" s="10"/>
      <c r="GD78" s="10"/>
      <c r="GE78" s="10"/>
      <c r="GF78" s="10"/>
      <c r="GG78" s="10"/>
      <c r="GH78" s="10"/>
      <c r="GI78" s="10"/>
      <c r="GJ78" s="10"/>
      <c r="GK78" s="10"/>
    </row>
    <row r="79" customFormat="false" ht="12.75" hidden="false" customHeight="false" outlineLevel="0" collapsed="false">
      <c r="A79" s="7"/>
      <c r="B79" s="7"/>
      <c r="C79" s="8"/>
      <c r="D79" s="8"/>
      <c r="E79" s="8"/>
      <c r="F79" s="8"/>
      <c r="G79" s="9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  <c r="CW79" s="10"/>
      <c r="CX79" s="10"/>
      <c r="CY79" s="10"/>
      <c r="CZ79" s="10"/>
      <c r="DA79" s="10"/>
      <c r="DB79" s="10"/>
      <c r="DC79" s="10"/>
      <c r="DD79" s="10"/>
      <c r="DE79" s="10"/>
      <c r="DF79" s="10"/>
      <c r="DG79" s="10"/>
      <c r="DH79" s="10"/>
      <c r="DI79" s="10"/>
      <c r="DJ79" s="10"/>
      <c r="DK79" s="10"/>
      <c r="DL79" s="10"/>
      <c r="DM79" s="10"/>
      <c r="DN79" s="10"/>
      <c r="DO79" s="10"/>
      <c r="DP79" s="10"/>
      <c r="DQ79" s="10"/>
      <c r="DR79" s="10"/>
      <c r="DS79" s="10"/>
      <c r="DT79" s="10"/>
      <c r="DU79" s="10"/>
      <c r="DV79" s="10"/>
      <c r="DW79" s="10"/>
      <c r="DX79" s="10"/>
      <c r="DY79" s="10"/>
      <c r="DZ79" s="10"/>
      <c r="EA79" s="10"/>
      <c r="EB79" s="10"/>
      <c r="EC79" s="10"/>
      <c r="ED79" s="10"/>
      <c r="EE79" s="10"/>
      <c r="EF79" s="10"/>
      <c r="EG79" s="10"/>
      <c r="EH79" s="10"/>
      <c r="EI79" s="10"/>
      <c r="EJ79" s="10"/>
      <c r="EK79" s="10"/>
      <c r="EL79" s="10"/>
      <c r="EM79" s="10"/>
      <c r="EN79" s="10"/>
      <c r="EO79" s="10"/>
      <c r="EP79" s="10"/>
      <c r="EQ79" s="10"/>
      <c r="ER79" s="10"/>
      <c r="ES79" s="10"/>
      <c r="ET79" s="10"/>
      <c r="EU79" s="10"/>
      <c r="EV79" s="10"/>
      <c r="EW79" s="10"/>
      <c r="EX79" s="10"/>
      <c r="EY79" s="10"/>
      <c r="EZ79" s="10"/>
      <c r="FA79" s="10"/>
      <c r="FB79" s="10"/>
      <c r="FC79" s="10"/>
      <c r="FD79" s="10"/>
      <c r="FE79" s="10"/>
      <c r="FF79" s="10"/>
      <c r="FG79" s="10"/>
      <c r="FH79" s="10"/>
      <c r="FI79" s="10"/>
      <c r="FJ79" s="10"/>
      <c r="FK79" s="10"/>
      <c r="FL79" s="10"/>
      <c r="FM79" s="10"/>
      <c r="FN79" s="10"/>
      <c r="FO79" s="10"/>
      <c r="FP79" s="10"/>
      <c r="FQ79" s="10"/>
      <c r="FR79" s="10"/>
      <c r="FS79" s="10"/>
      <c r="FT79" s="10"/>
      <c r="FU79" s="10"/>
      <c r="FV79" s="10"/>
      <c r="FW79" s="10"/>
      <c r="FX79" s="10"/>
      <c r="FY79" s="10"/>
      <c r="FZ79" s="10"/>
      <c r="GA79" s="10"/>
      <c r="GB79" s="10"/>
      <c r="GC79" s="10"/>
      <c r="GD79" s="10"/>
      <c r="GE79" s="10"/>
      <c r="GF79" s="10"/>
      <c r="GG79" s="10"/>
      <c r="GH79" s="10"/>
      <c r="GI79" s="10"/>
      <c r="GJ79" s="10"/>
      <c r="GK79" s="10"/>
    </row>
    <row r="80" customFormat="false" ht="12.75" hidden="false" customHeight="false" outlineLevel="0" collapsed="false">
      <c r="A80" s="7"/>
      <c r="B80" s="7"/>
      <c r="C80" s="8"/>
      <c r="D80" s="8"/>
      <c r="E80" s="8"/>
      <c r="F80" s="8"/>
      <c r="G80" s="9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  <c r="CW80" s="10"/>
      <c r="CX80" s="10"/>
      <c r="CY80" s="10"/>
      <c r="CZ80" s="10"/>
      <c r="DA80" s="10"/>
      <c r="DB80" s="10"/>
      <c r="DC80" s="10"/>
      <c r="DD80" s="10"/>
      <c r="DE80" s="10"/>
      <c r="DF80" s="10"/>
      <c r="DG80" s="10"/>
      <c r="DH80" s="10"/>
      <c r="DI80" s="10"/>
      <c r="DJ80" s="10"/>
      <c r="DK80" s="10"/>
      <c r="DL80" s="10"/>
      <c r="DM80" s="10"/>
      <c r="DN80" s="10"/>
      <c r="DO80" s="10"/>
      <c r="DP80" s="10"/>
      <c r="DQ80" s="10"/>
      <c r="DR80" s="10"/>
      <c r="DS80" s="10"/>
      <c r="DT80" s="10"/>
      <c r="DU80" s="10"/>
      <c r="DV80" s="10"/>
      <c r="DW80" s="10"/>
      <c r="DX80" s="10"/>
      <c r="DY80" s="10"/>
      <c r="DZ80" s="10"/>
      <c r="EA80" s="10"/>
      <c r="EB80" s="10"/>
      <c r="EC80" s="10"/>
      <c r="ED80" s="10"/>
      <c r="EE80" s="10"/>
      <c r="EF80" s="10"/>
      <c r="EG80" s="10"/>
      <c r="EH80" s="10"/>
      <c r="EI80" s="10"/>
      <c r="EJ80" s="10"/>
      <c r="EK80" s="10"/>
      <c r="EL80" s="10"/>
      <c r="EM80" s="10"/>
      <c r="EN80" s="10"/>
      <c r="EO80" s="10"/>
      <c r="EP80" s="10"/>
      <c r="EQ80" s="10"/>
      <c r="ER80" s="10"/>
      <c r="ES80" s="10"/>
      <c r="ET80" s="10"/>
      <c r="EU80" s="10"/>
      <c r="EV80" s="10"/>
      <c r="EW80" s="10"/>
      <c r="EX80" s="10"/>
      <c r="EY80" s="10"/>
      <c r="EZ80" s="10"/>
      <c r="FA80" s="10"/>
      <c r="FB80" s="10"/>
      <c r="FC80" s="10"/>
      <c r="FD80" s="10"/>
      <c r="FE80" s="10"/>
      <c r="FF80" s="10"/>
      <c r="FG80" s="10"/>
      <c r="FH80" s="10"/>
      <c r="FI80" s="10"/>
      <c r="FJ80" s="10"/>
      <c r="FK80" s="10"/>
      <c r="FL80" s="10"/>
      <c r="FM80" s="10"/>
      <c r="FN80" s="10"/>
      <c r="FO80" s="10"/>
      <c r="FP80" s="10"/>
      <c r="FQ80" s="10"/>
      <c r="FR80" s="10"/>
      <c r="FS80" s="10"/>
      <c r="FT80" s="10"/>
      <c r="FU80" s="10"/>
      <c r="FV80" s="10"/>
      <c r="FW80" s="10"/>
      <c r="FX80" s="10"/>
      <c r="FY80" s="10"/>
      <c r="FZ80" s="10"/>
      <c r="GA80" s="10"/>
      <c r="GB80" s="10"/>
      <c r="GC80" s="10"/>
      <c r="GD80" s="10"/>
      <c r="GE80" s="10"/>
      <c r="GF80" s="10"/>
      <c r="GG80" s="10"/>
      <c r="GH80" s="10"/>
      <c r="GI80" s="10"/>
      <c r="GJ80" s="10"/>
      <c r="GK80" s="10"/>
    </row>
    <row r="81" customFormat="false" ht="12.75" hidden="false" customHeight="false" outlineLevel="0" collapsed="false">
      <c r="A81" s="7"/>
      <c r="B81" s="7"/>
      <c r="C81" s="8"/>
      <c r="D81" s="8"/>
      <c r="E81" s="8"/>
      <c r="F81" s="8"/>
      <c r="G81" s="9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  <c r="CW81" s="10"/>
      <c r="CX81" s="10"/>
      <c r="CY81" s="10"/>
      <c r="CZ81" s="10"/>
      <c r="DA81" s="10"/>
      <c r="DB81" s="10"/>
      <c r="DC81" s="10"/>
      <c r="DD81" s="10"/>
      <c r="DE81" s="10"/>
      <c r="DF81" s="10"/>
      <c r="DG81" s="10"/>
      <c r="DH81" s="10"/>
      <c r="DI81" s="10"/>
      <c r="DJ81" s="10"/>
      <c r="DK81" s="10"/>
      <c r="DL81" s="10"/>
      <c r="DM81" s="10"/>
      <c r="DN81" s="10"/>
      <c r="DO81" s="10"/>
      <c r="DP81" s="10"/>
      <c r="DQ81" s="10"/>
      <c r="DR81" s="10"/>
      <c r="DS81" s="10"/>
      <c r="DT81" s="10"/>
      <c r="DU81" s="10"/>
      <c r="DV81" s="10"/>
      <c r="DW81" s="10"/>
      <c r="DX81" s="10"/>
      <c r="DY81" s="10"/>
      <c r="DZ81" s="10"/>
      <c r="EA81" s="10"/>
      <c r="EB81" s="10"/>
      <c r="EC81" s="10"/>
      <c r="ED81" s="10"/>
      <c r="EE81" s="10"/>
      <c r="EF81" s="10"/>
      <c r="EG81" s="10"/>
      <c r="EH81" s="10"/>
      <c r="EI81" s="10"/>
      <c r="EJ81" s="10"/>
      <c r="EK81" s="10"/>
      <c r="EL81" s="10"/>
      <c r="EM81" s="10"/>
      <c r="EN81" s="10"/>
      <c r="EO81" s="10"/>
      <c r="EP81" s="10"/>
      <c r="EQ81" s="10"/>
      <c r="ER81" s="10"/>
      <c r="ES81" s="10"/>
      <c r="ET81" s="10"/>
      <c r="EU81" s="10"/>
      <c r="EV81" s="10"/>
      <c r="EW81" s="10"/>
      <c r="EX81" s="10"/>
      <c r="EY81" s="10"/>
      <c r="EZ81" s="10"/>
      <c r="FA81" s="10"/>
      <c r="FB81" s="10"/>
      <c r="FC81" s="10"/>
      <c r="FD81" s="10"/>
      <c r="FE81" s="10"/>
      <c r="FF81" s="10"/>
      <c r="FG81" s="10"/>
      <c r="FH81" s="10"/>
      <c r="FI81" s="10"/>
      <c r="FJ81" s="10"/>
      <c r="FK81" s="10"/>
      <c r="FL81" s="10"/>
      <c r="FM81" s="10"/>
      <c r="FN81" s="10"/>
      <c r="FO81" s="10"/>
      <c r="FP81" s="10"/>
      <c r="FQ81" s="10"/>
      <c r="FR81" s="10"/>
      <c r="FS81" s="10"/>
      <c r="FT81" s="10"/>
      <c r="FU81" s="10"/>
      <c r="FV81" s="10"/>
      <c r="FW81" s="10"/>
      <c r="FX81" s="10"/>
      <c r="FY81" s="10"/>
      <c r="FZ81" s="10"/>
      <c r="GA81" s="10"/>
      <c r="GB81" s="10"/>
      <c r="GC81" s="10"/>
      <c r="GD81" s="10"/>
      <c r="GE81" s="10"/>
      <c r="GF81" s="10"/>
      <c r="GG81" s="10"/>
      <c r="GH81" s="10"/>
      <c r="GI81" s="10"/>
      <c r="GJ81" s="10"/>
      <c r="GK81" s="10"/>
    </row>
    <row r="82" customFormat="false" ht="12.75" hidden="false" customHeight="false" outlineLevel="0" collapsed="false">
      <c r="A82" s="7"/>
      <c r="B82" s="7"/>
      <c r="C82" s="8"/>
      <c r="D82" s="8"/>
      <c r="E82" s="8"/>
      <c r="F82" s="8"/>
      <c r="G82" s="9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W82" s="10"/>
      <c r="CX82" s="10"/>
      <c r="CY82" s="10"/>
      <c r="CZ82" s="10"/>
      <c r="DA82" s="10"/>
      <c r="DB82" s="10"/>
      <c r="DC82" s="10"/>
      <c r="DD82" s="10"/>
      <c r="DE82" s="10"/>
      <c r="DF82" s="10"/>
      <c r="DG82" s="10"/>
      <c r="DH82" s="10"/>
      <c r="DI82" s="10"/>
      <c r="DJ82" s="10"/>
      <c r="DK82" s="10"/>
      <c r="DL82" s="10"/>
      <c r="DM82" s="10"/>
      <c r="DN82" s="10"/>
      <c r="DO82" s="10"/>
      <c r="DP82" s="10"/>
      <c r="DQ82" s="10"/>
      <c r="DR82" s="10"/>
      <c r="DS82" s="10"/>
      <c r="DT82" s="10"/>
      <c r="DU82" s="10"/>
      <c r="DV82" s="10"/>
      <c r="DW82" s="10"/>
      <c r="DX82" s="10"/>
      <c r="DY82" s="10"/>
      <c r="DZ82" s="10"/>
      <c r="EA82" s="10"/>
      <c r="EB82" s="10"/>
      <c r="EC82" s="10"/>
      <c r="ED82" s="10"/>
      <c r="EE82" s="10"/>
      <c r="EF82" s="10"/>
      <c r="EG82" s="10"/>
      <c r="EH82" s="10"/>
      <c r="EI82" s="10"/>
      <c r="EJ82" s="10"/>
      <c r="EK82" s="10"/>
      <c r="EL82" s="10"/>
      <c r="EM82" s="10"/>
      <c r="EN82" s="10"/>
      <c r="EO82" s="10"/>
      <c r="EP82" s="10"/>
      <c r="EQ82" s="10"/>
      <c r="ER82" s="10"/>
      <c r="ES82" s="10"/>
      <c r="ET82" s="10"/>
      <c r="EU82" s="10"/>
      <c r="EV82" s="10"/>
      <c r="EW82" s="10"/>
      <c r="EX82" s="10"/>
      <c r="EY82" s="10"/>
      <c r="EZ82" s="10"/>
      <c r="FA82" s="10"/>
      <c r="FB82" s="10"/>
      <c r="FC82" s="10"/>
      <c r="FD82" s="10"/>
      <c r="FE82" s="10"/>
      <c r="FF82" s="10"/>
      <c r="FG82" s="10"/>
      <c r="FH82" s="10"/>
      <c r="FI82" s="10"/>
      <c r="FJ82" s="10"/>
      <c r="FK82" s="10"/>
      <c r="FL82" s="10"/>
      <c r="FM82" s="10"/>
      <c r="FN82" s="10"/>
      <c r="FO82" s="10"/>
      <c r="FP82" s="10"/>
      <c r="FQ82" s="10"/>
      <c r="FR82" s="10"/>
      <c r="FS82" s="10"/>
      <c r="FT82" s="10"/>
      <c r="FU82" s="10"/>
      <c r="FV82" s="10"/>
      <c r="FW82" s="10"/>
      <c r="FX82" s="10"/>
      <c r="FY82" s="10"/>
      <c r="FZ82" s="10"/>
      <c r="GA82" s="10"/>
      <c r="GB82" s="10"/>
      <c r="GC82" s="10"/>
      <c r="GD82" s="10"/>
      <c r="GE82" s="10"/>
      <c r="GF82" s="10"/>
      <c r="GG82" s="10"/>
      <c r="GH82" s="10"/>
      <c r="GI82" s="10"/>
      <c r="GJ82" s="10"/>
      <c r="GK82" s="10"/>
    </row>
    <row r="83" customFormat="false" ht="12.75" hidden="false" customHeight="false" outlineLevel="0" collapsed="false">
      <c r="A83" s="7"/>
      <c r="B83" s="7"/>
      <c r="C83" s="8"/>
      <c r="D83" s="8"/>
      <c r="E83" s="8"/>
      <c r="F83" s="8"/>
      <c r="G83" s="9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  <c r="CW83" s="10"/>
      <c r="CX83" s="10"/>
      <c r="CY83" s="10"/>
      <c r="CZ83" s="10"/>
      <c r="DA83" s="10"/>
      <c r="DB83" s="10"/>
      <c r="DC83" s="10"/>
      <c r="DD83" s="10"/>
      <c r="DE83" s="10"/>
      <c r="DF83" s="10"/>
      <c r="DG83" s="10"/>
      <c r="DH83" s="10"/>
      <c r="DI83" s="10"/>
      <c r="DJ83" s="10"/>
      <c r="DK83" s="10"/>
      <c r="DL83" s="10"/>
      <c r="DM83" s="10"/>
      <c r="DN83" s="10"/>
      <c r="DO83" s="10"/>
      <c r="DP83" s="10"/>
      <c r="DQ83" s="10"/>
      <c r="DR83" s="10"/>
      <c r="DS83" s="10"/>
      <c r="DT83" s="10"/>
      <c r="DU83" s="10"/>
      <c r="DV83" s="10"/>
      <c r="DW83" s="10"/>
      <c r="DX83" s="10"/>
      <c r="DY83" s="10"/>
      <c r="DZ83" s="10"/>
      <c r="EA83" s="10"/>
      <c r="EB83" s="10"/>
      <c r="EC83" s="10"/>
      <c r="ED83" s="10"/>
      <c r="EE83" s="10"/>
      <c r="EF83" s="10"/>
      <c r="EG83" s="10"/>
      <c r="EH83" s="10"/>
      <c r="EI83" s="10"/>
      <c r="EJ83" s="10"/>
      <c r="EK83" s="10"/>
      <c r="EL83" s="10"/>
      <c r="EM83" s="10"/>
      <c r="EN83" s="10"/>
      <c r="EO83" s="10"/>
      <c r="EP83" s="10"/>
      <c r="EQ83" s="10"/>
      <c r="ER83" s="10"/>
      <c r="ES83" s="10"/>
      <c r="ET83" s="10"/>
      <c r="EU83" s="10"/>
      <c r="EV83" s="10"/>
      <c r="EW83" s="10"/>
      <c r="EX83" s="10"/>
      <c r="EY83" s="10"/>
      <c r="EZ83" s="10"/>
      <c r="FA83" s="10"/>
      <c r="FB83" s="10"/>
      <c r="FC83" s="10"/>
      <c r="FD83" s="10"/>
      <c r="FE83" s="10"/>
      <c r="FF83" s="10"/>
      <c r="FG83" s="10"/>
      <c r="FH83" s="10"/>
      <c r="FI83" s="10"/>
      <c r="FJ83" s="10"/>
      <c r="FK83" s="10"/>
      <c r="FL83" s="10"/>
      <c r="FM83" s="10"/>
      <c r="FN83" s="10"/>
      <c r="FO83" s="10"/>
      <c r="FP83" s="10"/>
      <c r="FQ83" s="10"/>
      <c r="FR83" s="10"/>
      <c r="FS83" s="10"/>
      <c r="FT83" s="10"/>
      <c r="FU83" s="10"/>
      <c r="FV83" s="10"/>
      <c r="FW83" s="10"/>
      <c r="FX83" s="10"/>
      <c r="FY83" s="10"/>
      <c r="FZ83" s="10"/>
      <c r="GA83" s="10"/>
      <c r="GB83" s="10"/>
      <c r="GC83" s="10"/>
      <c r="GD83" s="10"/>
      <c r="GE83" s="10"/>
      <c r="GF83" s="10"/>
      <c r="GG83" s="10"/>
      <c r="GH83" s="10"/>
      <c r="GI83" s="10"/>
      <c r="GJ83" s="10"/>
      <c r="GK83" s="10"/>
    </row>
    <row r="84" customFormat="false" ht="12.75" hidden="false" customHeight="false" outlineLevel="0" collapsed="false">
      <c r="A84" s="7"/>
      <c r="B84" s="7"/>
      <c r="C84" s="8"/>
      <c r="D84" s="8"/>
      <c r="E84" s="8"/>
      <c r="F84" s="8"/>
      <c r="G84" s="9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  <c r="CW84" s="10"/>
      <c r="CX84" s="10"/>
      <c r="CY84" s="10"/>
      <c r="CZ84" s="10"/>
      <c r="DA84" s="10"/>
      <c r="DB84" s="10"/>
      <c r="DC84" s="10"/>
      <c r="DD84" s="10"/>
      <c r="DE84" s="10"/>
      <c r="DF84" s="10"/>
      <c r="DG84" s="10"/>
      <c r="DH84" s="10"/>
      <c r="DI84" s="10"/>
      <c r="DJ84" s="10"/>
      <c r="DK84" s="10"/>
      <c r="DL84" s="10"/>
      <c r="DM84" s="10"/>
      <c r="DN84" s="10"/>
      <c r="DO84" s="10"/>
      <c r="DP84" s="10"/>
      <c r="DQ84" s="10"/>
      <c r="DR84" s="10"/>
      <c r="DS84" s="10"/>
      <c r="DT84" s="10"/>
      <c r="DU84" s="10"/>
      <c r="DV84" s="10"/>
      <c r="DW84" s="10"/>
      <c r="DX84" s="10"/>
      <c r="DY84" s="10"/>
      <c r="DZ84" s="10"/>
      <c r="EA84" s="10"/>
      <c r="EB84" s="10"/>
      <c r="EC84" s="10"/>
      <c r="ED84" s="10"/>
      <c r="EE84" s="10"/>
      <c r="EF84" s="10"/>
      <c r="EG84" s="10"/>
      <c r="EH84" s="10"/>
      <c r="EI84" s="10"/>
      <c r="EJ84" s="10"/>
      <c r="EK84" s="10"/>
      <c r="EL84" s="10"/>
      <c r="EM84" s="10"/>
      <c r="EN84" s="10"/>
      <c r="EO84" s="10"/>
      <c r="EP84" s="10"/>
      <c r="EQ84" s="10"/>
      <c r="ER84" s="10"/>
      <c r="ES84" s="10"/>
      <c r="ET84" s="10"/>
      <c r="EU84" s="10"/>
      <c r="EV84" s="10"/>
      <c r="EW84" s="10"/>
      <c r="EX84" s="10"/>
      <c r="EY84" s="10"/>
      <c r="EZ84" s="10"/>
      <c r="FA84" s="10"/>
      <c r="FB84" s="10"/>
      <c r="FC84" s="10"/>
      <c r="FD84" s="10"/>
      <c r="FE84" s="10"/>
      <c r="FF84" s="10"/>
      <c r="FG84" s="10"/>
      <c r="FH84" s="10"/>
      <c r="FI84" s="10"/>
      <c r="FJ84" s="10"/>
      <c r="FK84" s="10"/>
      <c r="FL84" s="10"/>
      <c r="FM84" s="10"/>
      <c r="FN84" s="10"/>
      <c r="FO84" s="10"/>
      <c r="FP84" s="10"/>
      <c r="FQ84" s="10"/>
      <c r="FR84" s="10"/>
      <c r="FS84" s="10"/>
      <c r="FT84" s="10"/>
      <c r="FU84" s="10"/>
      <c r="FV84" s="10"/>
      <c r="FW84" s="10"/>
      <c r="FX84" s="10"/>
      <c r="FY84" s="10"/>
      <c r="FZ84" s="10"/>
      <c r="GA84" s="10"/>
      <c r="GB84" s="10"/>
      <c r="GC84" s="10"/>
      <c r="GD84" s="10"/>
      <c r="GE84" s="10"/>
      <c r="GF84" s="10"/>
      <c r="GG84" s="10"/>
      <c r="GH84" s="10"/>
      <c r="GI84" s="10"/>
      <c r="GJ84" s="10"/>
      <c r="GK84" s="10"/>
    </row>
    <row r="85" customFormat="false" ht="12.75" hidden="false" customHeight="false" outlineLevel="0" collapsed="false">
      <c r="A85" s="7"/>
      <c r="B85" s="7"/>
      <c r="C85" s="8"/>
      <c r="D85" s="8"/>
      <c r="E85" s="8"/>
      <c r="F85" s="8"/>
      <c r="G85" s="9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CX85" s="10"/>
      <c r="CY85" s="10"/>
      <c r="CZ85" s="10"/>
      <c r="DA85" s="10"/>
      <c r="DB85" s="10"/>
      <c r="DC85" s="10"/>
      <c r="DD85" s="10"/>
      <c r="DE85" s="10"/>
      <c r="DF85" s="10"/>
      <c r="DG85" s="10"/>
      <c r="DH85" s="10"/>
      <c r="DI85" s="10"/>
      <c r="DJ85" s="10"/>
      <c r="DK85" s="10"/>
      <c r="DL85" s="10"/>
      <c r="DM85" s="10"/>
      <c r="DN85" s="10"/>
      <c r="DO85" s="10"/>
      <c r="DP85" s="10"/>
      <c r="DQ85" s="10"/>
      <c r="DR85" s="10"/>
      <c r="DS85" s="10"/>
      <c r="DT85" s="10"/>
      <c r="DU85" s="10"/>
      <c r="DV85" s="10"/>
      <c r="DW85" s="10"/>
      <c r="DX85" s="10"/>
      <c r="DY85" s="10"/>
      <c r="DZ85" s="10"/>
      <c r="EA85" s="10"/>
      <c r="EB85" s="10"/>
      <c r="EC85" s="10"/>
      <c r="ED85" s="10"/>
      <c r="EE85" s="10"/>
      <c r="EF85" s="10"/>
      <c r="EG85" s="10"/>
      <c r="EH85" s="10"/>
      <c r="EI85" s="10"/>
      <c r="EJ85" s="10"/>
      <c r="EK85" s="10"/>
      <c r="EL85" s="10"/>
      <c r="EM85" s="10"/>
      <c r="EN85" s="10"/>
      <c r="EO85" s="10"/>
      <c r="EP85" s="10"/>
      <c r="EQ85" s="10"/>
      <c r="ER85" s="10"/>
      <c r="ES85" s="10"/>
      <c r="ET85" s="10"/>
      <c r="EU85" s="10"/>
      <c r="EV85" s="10"/>
      <c r="EW85" s="10"/>
      <c r="EX85" s="10"/>
      <c r="EY85" s="10"/>
      <c r="EZ85" s="10"/>
      <c r="FA85" s="10"/>
      <c r="FB85" s="10"/>
      <c r="FC85" s="10"/>
      <c r="FD85" s="10"/>
      <c r="FE85" s="10"/>
      <c r="FF85" s="10"/>
      <c r="FG85" s="10"/>
      <c r="FH85" s="10"/>
      <c r="FI85" s="10"/>
      <c r="FJ85" s="10"/>
      <c r="FK85" s="10"/>
      <c r="FL85" s="10"/>
      <c r="FM85" s="10"/>
      <c r="FN85" s="10"/>
      <c r="FO85" s="10"/>
      <c r="FP85" s="10"/>
      <c r="FQ85" s="10"/>
      <c r="FR85" s="10"/>
      <c r="FS85" s="10"/>
      <c r="FT85" s="10"/>
      <c r="FU85" s="10"/>
      <c r="FV85" s="10"/>
      <c r="FW85" s="10"/>
      <c r="FX85" s="10"/>
      <c r="FY85" s="10"/>
      <c r="FZ85" s="10"/>
      <c r="GA85" s="10"/>
      <c r="GB85" s="10"/>
      <c r="GC85" s="10"/>
      <c r="GD85" s="10"/>
      <c r="GE85" s="10"/>
      <c r="GF85" s="10"/>
      <c r="GG85" s="10"/>
      <c r="GH85" s="10"/>
      <c r="GI85" s="10"/>
      <c r="GJ85" s="10"/>
      <c r="GK85" s="10"/>
    </row>
    <row r="86" customFormat="false" ht="12.75" hidden="false" customHeight="false" outlineLevel="0" collapsed="false">
      <c r="A86" s="7"/>
      <c r="B86" s="7"/>
      <c r="C86" s="8"/>
      <c r="D86" s="8"/>
      <c r="E86" s="8"/>
      <c r="F86" s="8"/>
      <c r="G86" s="9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  <c r="CV86" s="10"/>
      <c r="CW86" s="10"/>
      <c r="CX86" s="10"/>
      <c r="CY86" s="10"/>
      <c r="CZ86" s="10"/>
      <c r="DA86" s="10"/>
      <c r="DB86" s="10"/>
      <c r="DC86" s="10"/>
      <c r="DD86" s="10"/>
      <c r="DE86" s="10"/>
      <c r="DF86" s="10"/>
      <c r="DG86" s="10"/>
      <c r="DH86" s="10"/>
      <c r="DI86" s="10"/>
      <c r="DJ86" s="10"/>
      <c r="DK86" s="10"/>
      <c r="DL86" s="10"/>
      <c r="DM86" s="10"/>
      <c r="DN86" s="10"/>
      <c r="DO86" s="10"/>
      <c r="DP86" s="10"/>
      <c r="DQ86" s="10"/>
      <c r="DR86" s="10"/>
      <c r="DS86" s="10"/>
      <c r="DT86" s="10"/>
      <c r="DU86" s="10"/>
      <c r="DV86" s="10"/>
      <c r="DW86" s="10"/>
      <c r="DX86" s="10"/>
      <c r="DY86" s="10"/>
      <c r="DZ86" s="10"/>
      <c r="EA86" s="10"/>
      <c r="EB86" s="10"/>
      <c r="EC86" s="10"/>
      <c r="ED86" s="10"/>
      <c r="EE86" s="10"/>
      <c r="EF86" s="10"/>
      <c r="EG86" s="10"/>
      <c r="EH86" s="10"/>
      <c r="EI86" s="10"/>
      <c r="EJ86" s="10"/>
      <c r="EK86" s="10"/>
      <c r="EL86" s="10"/>
      <c r="EM86" s="10"/>
      <c r="EN86" s="10"/>
      <c r="EO86" s="10"/>
      <c r="EP86" s="10"/>
      <c r="EQ86" s="10"/>
      <c r="ER86" s="10"/>
      <c r="ES86" s="10"/>
      <c r="ET86" s="10"/>
      <c r="EU86" s="10"/>
      <c r="EV86" s="10"/>
      <c r="EW86" s="10"/>
      <c r="EX86" s="10"/>
      <c r="EY86" s="10"/>
      <c r="EZ86" s="10"/>
      <c r="FA86" s="10"/>
      <c r="FB86" s="10"/>
      <c r="FC86" s="10"/>
      <c r="FD86" s="10"/>
      <c r="FE86" s="10"/>
      <c r="FF86" s="10"/>
      <c r="FG86" s="10"/>
      <c r="FH86" s="10"/>
      <c r="FI86" s="10"/>
      <c r="FJ86" s="10"/>
      <c r="FK86" s="10"/>
      <c r="FL86" s="10"/>
      <c r="FM86" s="10"/>
      <c r="FN86" s="10"/>
      <c r="FO86" s="10"/>
      <c r="FP86" s="10"/>
      <c r="FQ86" s="10"/>
      <c r="FR86" s="10"/>
      <c r="FS86" s="10"/>
      <c r="FT86" s="10"/>
      <c r="FU86" s="10"/>
      <c r="FV86" s="10"/>
      <c r="FW86" s="10"/>
      <c r="FX86" s="10"/>
      <c r="FY86" s="10"/>
      <c r="FZ86" s="10"/>
      <c r="GA86" s="10"/>
      <c r="GB86" s="10"/>
      <c r="GC86" s="10"/>
      <c r="GD86" s="10"/>
      <c r="GE86" s="10"/>
      <c r="GF86" s="10"/>
      <c r="GG86" s="10"/>
      <c r="GH86" s="10"/>
      <c r="GI86" s="10"/>
      <c r="GJ86" s="10"/>
      <c r="GK86" s="10"/>
    </row>
    <row r="87" customFormat="false" ht="12.75" hidden="false" customHeight="false" outlineLevel="0" collapsed="false">
      <c r="A87" s="7"/>
      <c r="B87" s="7"/>
      <c r="C87" s="8"/>
      <c r="D87" s="8"/>
      <c r="E87" s="8"/>
      <c r="F87" s="8"/>
      <c r="G87" s="9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  <c r="CW87" s="10"/>
      <c r="CX87" s="10"/>
      <c r="CY87" s="10"/>
      <c r="CZ87" s="10"/>
      <c r="DA87" s="10"/>
      <c r="DB87" s="10"/>
      <c r="DC87" s="10"/>
      <c r="DD87" s="10"/>
      <c r="DE87" s="10"/>
      <c r="DF87" s="10"/>
      <c r="DG87" s="10"/>
      <c r="DH87" s="10"/>
      <c r="DI87" s="10"/>
      <c r="DJ87" s="10"/>
      <c r="DK87" s="10"/>
      <c r="DL87" s="10"/>
      <c r="DM87" s="10"/>
      <c r="DN87" s="10"/>
      <c r="DO87" s="10"/>
      <c r="DP87" s="10"/>
      <c r="DQ87" s="10"/>
      <c r="DR87" s="10"/>
      <c r="DS87" s="10"/>
      <c r="DT87" s="10"/>
      <c r="DU87" s="10"/>
      <c r="DV87" s="10"/>
      <c r="DW87" s="10"/>
      <c r="DX87" s="10"/>
      <c r="DY87" s="10"/>
      <c r="DZ87" s="10"/>
      <c r="EA87" s="10"/>
      <c r="EB87" s="10"/>
      <c r="EC87" s="10"/>
      <c r="ED87" s="10"/>
      <c r="EE87" s="10"/>
      <c r="EF87" s="10"/>
      <c r="EG87" s="10"/>
      <c r="EH87" s="10"/>
      <c r="EI87" s="10"/>
      <c r="EJ87" s="10"/>
      <c r="EK87" s="10"/>
      <c r="EL87" s="10"/>
      <c r="EM87" s="10"/>
      <c r="EN87" s="10"/>
      <c r="EO87" s="10"/>
      <c r="EP87" s="10"/>
      <c r="EQ87" s="10"/>
      <c r="ER87" s="10"/>
      <c r="ES87" s="10"/>
      <c r="ET87" s="10"/>
      <c r="EU87" s="10"/>
      <c r="EV87" s="10"/>
      <c r="EW87" s="10"/>
      <c r="EX87" s="10"/>
      <c r="EY87" s="10"/>
      <c r="EZ87" s="10"/>
      <c r="FA87" s="10"/>
      <c r="FB87" s="10"/>
      <c r="FC87" s="10"/>
      <c r="FD87" s="10"/>
      <c r="FE87" s="10"/>
      <c r="FF87" s="10"/>
      <c r="FG87" s="10"/>
      <c r="FH87" s="10"/>
      <c r="FI87" s="10"/>
      <c r="FJ87" s="10"/>
      <c r="FK87" s="10"/>
      <c r="FL87" s="10"/>
      <c r="FM87" s="10"/>
      <c r="FN87" s="10"/>
      <c r="FO87" s="10"/>
      <c r="FP87" s="10"/>
      <c r="FQ87" s="10"/>
      <c r="FR87" s="10"/>
      <c r="FS87" s="10"/>
      <c r="FT87" s="10"/>
      <c r="FU87" s="10"/>
      <c r="FV87" s="10"/>
      <c r="FW87" s="10"/>
      <c r="FX87" s="10"/>
      <c r="FY87" s="10"/>
      <c r="FZ87" s="10"/>
      <c r="GA87" s="10"/>
      <c r="GB87" s="10"/>
      <c r="GC87" s="10"/>
      <c r="GD87" s="10"/>
      <c r="GE87" s="10"/>
      <c r="GF87" s="10"/>
      <c r="GG87" s="10"/>
      <c r="GH87" s="10"/>
      <c r="GI87" s="10"/>
      <c r="GJ87" s="10"/>
      <c r="GK87" s="10"/>
    </row>
    <row r="88" customFormat="false" ht="12.75" hidden="false" customHeight="false" outlineLevel="0" collapsed="false">
      <c r="A88" s="7"/>
      <c r="B88" s="7"/>
      <c r="C88" s="8"/>
      <c r="D88" s="8"/>
      <c r="E88" s="8"/>
      <c r="F88" s="8"/>
      <c r="G88" s="9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  <c r="CW88" s="10"/>
      <c r="CX88" s="10"/>
      <c r="CY88" s="10"/>
      <c r="CZ88" s="10"/>
      <c r="DA88" s="10"/>
      <c r="DB88" s="10"/>
      <c r="DC88" s="10"/>
      <c r="DD88" s="10"/>
      <c r="DE88" s="10"/>
      <c r="DF88" s="10"/>
      <c r="DG88" s="10"/>
      <c r="DH88" s="10"/>
      <c r="DI88" s="10"/>
      <c r="DJ88" s="10"/>
      <c r="DK88" s="10"/>
      <c r="DL88" s="10"/>
      <c r="DM88" s="10"/>
      <c r="DN88" s="10"/>
      <c r="DO88" s="10"/>
      <c r="DP88" s="10"/>
      <c r="DQ88" s="10"/>
      <c r="DR88" s="10"/>
      <c r="DS88" s="10"/>
      <c r="DT88" s="10"/>
      <c r="DU88" s="10"/>
      <c r="DV88" s="10"/>
      <c r="DW88" s="10"/>
      <c r="DX88" s="10"/>
      <c r="DY88" s="10"/>
      <c r="DZ88" s="10"/>
      <c r="EA88" s="10"/>
      <c r="EB88" s="10"/>
      <c r="EC88" s="10"/>
      <c r="ED88" s="10"/>
      <c r="EE88" s="10"/>
      <c r="EF88" s="10"/>
      <c r="EG88" s="10"/>
      <c r="EH88" s="10"/>
      <c r="EI88" s="10"/>
      <c r="EJ88" s="10"/>
      <c r="EK88" s="10"/>
      <c r="EL88" s="10"/>
      <c r="EM88" s="10"/>
      <c r="EN88" s="10"/>
      <c r="EO88" s="10"/>
      <c r="EP88" s="10"/>
      <c r="EQ88" s="10"/>
      <c r="ER88" s="10"/>
      <c r="ES88" s="10"/>
      <c r="ET88" s="10"/>
      <c r="EU88" s="10"/>
      <c r="EV88" s="10"/>
      <c r="EW88" s="10"/>
      <c r="EX88" s="10"/>
      <c r="EY88" s="10"/>
      <c r="EZ88" s="10"/>
      <c r="FA88" s="10"/>
      <c r="FB88" s="10"/>
      <c r="FC88" s="10"/>
      <c r="FD88" s="10"/>
      <c r="FE88" s="10"/>
      <c r="FF88" s="10"/>
      <c r="FG88" s="10"/>
      <c r="FH88" s="10"/>
      <c r="FI88" s="10"/>
      <c r="FJ88" s="10"/>
      <c r="FK88" s="10"/>
      <c r="FL88" s="10"/>
      <c r="FM88" s="10"/>
      <c r="FN88" s="10"/>
      <c r="FO88" s="10"/>
      <c r="FP88" s="10"/>
      <c r="FQ88" s="10"/>
      <c r="FR88" s="10"/>
      <c r="FS88" s="10"/>
      <c r="FT88" s="10"/>
      <c r="FU88" s="10"/>
      <c r="FV88" s="10"/>
      <c r="FW88" s="10"/>
      <c r="FX88" s="10"/>
      <c r="FY88" s="10"/>
      <c r="FZ88" s="10"/>
      <c r="GA88" s="10"/>
      <c r="GB88" s="10"/>
      <c r="GC88" s="10"/>
      <c r="GD88" s="10"/>
      <c r="GE88" s="10"/>
      <c r="GF88" s="10"/>
      <c r="GG88" s="10"/>
      <c r="GH88" s="10"/>
      <c r="GI88" s="10"/>
      <c r="GJ88" s="10"/>
      <c r="GK88" s="10"/>
    </row>
    <row r="89" customFormat="false" ht="12.75" hidden="false" customHeight="false" outlineLevel="0" collapsed="false">
      <c r="A89" s="7"/>
      <c r="B89" s="7"/>
      <c r="C89" s="8"/>
      <c r="D89" s="8"/>
      <c r="E89" s="8"/>
      <c r="F89" s="8"/>
      <c r="G89" s="9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/>
      <c r="DA89" s="10"/>
      <c r="DB89" s="10"/>
      <c r="DC89" s="10"/>
      <c r="DD89" s="10"/>
      <c r="DE89" s="10"/>
      <c r="DF89" s="10"/>
      <c r="DG89" s="10"/>
      <c r="DH89" s="10"/>
      <c r="DI89" s="10"/>
      <c r="DJ89" s="10"/>
      <c r="DK89" s="10"/>
      <c r="DL89" s="10"/>
      <c r="DM89" s="10"/>
      <c r="DN89" s="10"/>
      <c r="DO89" s="10"/>
      <c r="DP89" s="10"/>
      <c r="DQ89" s="10"/>
      <c r="DR89" s="10"/>
      <c r="DS89" s="10"/>
      <c r="DT89" s="10"/>
      <c r="DU89" s="10"/>
      <c r="DV89" s="10"/>
      <c r="DW89" s="10"/>
      <c r="DX89" s="10"/>
      <c r="DY89" s="10"/>
      <c r="DZ89" s="10"/>
      <c r="EA89" s="10"/>
      <c r="EB89" s="10"/>
      <c r="EC89" s="10"/>
      <c r="ED89" s="10"/>
      <c r="EE89" s="10"/>
      <c r="EF89" s="10"/>
      <c r="EG89" s="10"/>
      <c r="EH89" s="10"/>
      <c r="EI89" s="10"/>
      <c r="EJ89" s="10"/>
      <c r="EK89" s="10"/>
      <c r="EL89" s="10"/>
      <c r="EM89" s="10"/>
      <c r="EN89" s="10"/>
      <c r="EO89" s="10"/>
      <c r="EP89" s="10"/>
      <c r="EQ89" s="10"/>
      <c r="ER89" s="10"/>
      <c r="ES89" s="10"/>
      <c r="ET89" s="10"/>
      <c r="EU89" s="10"/>
      <c r="EV89" s="10"/>
      <c r="EW89" s="10"/>
      <c r="EX89" s="10"/>
      <c r="EY89" s="10"/>
      <c r="EZ89" s="10"/>
      <c r="FA89" s="10"/>
      <c r="FB89" s="10"/>
      <c r="FC89" s="10"/>
      <c r="FD89" s="10"/>
      <c r="FE89" s="10"/>
      <c r="FF89" s="10"/>
      <c r="FG89" s="10"/>
      <c r="FH89" s="10"/>
      <c r="FI89" s="10"/>
      <c r="FJ89" s="10"/>
      <c r="FK89" s="10"/>
      <c r="FL89" s="10"/>
      <c r="FM89" s="10"/>
      <c r="FN89" s="10"/>
      <c r="FO89" s="10"/>
      <c r="FP89" s="10"/>
      <c r="FQ89" s="10"/>
      <c r="FR89" s="10"/>
      <c r="FS89" s="10"/>
      <c r="FT89" s="10"/>
      <c r="FU89" s="10"/>
      <c r="FV89" s="10"/>
      <c r="FW89" s="10"/>
      <c r="FX89" s="10"/>
      <c r="FY89" s="10"/>
      <c r="FZ89" s="10"/>
      <c r="GA89" s="10"/>
      <c r="GB89" s="10"/>
      <c r="GC89" s="10"/>
      <c r="GD89" s="10"/>
      <c r="GE89" s="10"/>
      <c r="GF89" s="10"/>
      <c r="GG89" s="10"/>
      <c r="GH89" s="10"/>
      <c r="GI89" s="10"/>
      <c r="GJ89" s="10"/>
      <c r="GK89" s="10"/>
    </row>
    <row r="90" customFormat="false" ht="12.75" hidden="false" customHeight="false" outlineLevel="0" collapsed="false">
      <c r="A90" s="7"/>
      <c r="B90" s="7"/>
      <c r="C90" s="8"/>
      <c r="D90" s="8"/>
      <c r="E90" s="8"/>
      <c r="F90" s="8"/>
      <c r="G90" s="9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10"/>
      <c r="CY90" s="10"/>
      <c r="CZ90" s="10"/>
      <c r="DA90" s="10"/>
      <c r="DB90" s="10"/>
      <c r="DC90" s="10"/>
      <c r="DD90" s="10"/>
      <c r="DE90" s="10"/>
      <c r="DF90" s="10"/>
      <c r="DG90" s="10"/>
      <c r="DH90" s="10"/>
      <c r="DI90" s="10"/>
      <c r="DJ90" s="10"/>
      <c r="DK90" s="10"/>
      <c r="DL90" s="10"/>
      <c r="DM90" s="10"/>
      <c r="DN90" s="10"/>
      <c r="DO90" s="10"/>
      <c r="DP90" s="10"/>
      <c r="DQ90" s="10"/>
      <c r="DR90" s="10"/>
      <c r="DS90" s="10"/>
      <c r="DT90" s="10"/>
      <c r="DU90" s="10"/>
      <c r="DV90" s="10"/>
      <c r="DW90" s="10"/>
      <c r="DX90" s="10"/>
      <c r="DY90" s="10"/>
      <c r="DZ90" s="10"/>
      <c r="EA90" s="10"/>
      <c r="EB90" s="10"/>
      <c r="EC90" s="10"/>
      <c r="ED90" s="10"/>
      <c r="EE90" s="10"/>
      <c r="EF90" s="10"/>
      <c r="EG90" s="10"/>
      <c r="EH90" s="10"/>
      <c r="EI90" s="10"/>
      <c r="EJ90" s="10"/>
      <c r="EK90" s="10"/>
      <c r="EL90" s="10"/>
      <c r="EM90" s="10"/>
      <c r="EN90" s="10"/>
      <c r="EO90" s="10"/>
      <c r="EP90" s="10"/>
      <c r="EQ90" s="10"/>
      <c r="ER90" s="10"/>
      <c r="ES90" s="10"/>
      <c r="ET90" s="10"/>
      <c r="EU90" s="10"/>
      <c r="EV90" s="10"/>
      <c r="EW90" s="10"/>
      <c r="EX90" s="10"/>
      <c r="EY90" s="10"/>
      <c r="EZ90" s="10"/>
      <c r="FA90" s="10"/>
      <c r="FB90" s="10"/>
      <c r="FC90" s="10"/>
      <c r="FD90" s="10"/>
      <c r="FE90" s="10"/>
      <c r="FF90" s="10"/>
      <c r="FG90" s="10"/>
      <c r="FH90" s="10"/>
      <c r="FI90" s="10"/>
      <c r="FJ90" s="10"/>
      <c r="FK90" s="10"/>
      <c r="FL90" s="10"/>
      <c r="FM90" s="10"/>
      <c r="FN90" s="10"/>
      <c r="FO90" s="10"/>
      <c r="FP90" s="10"/>
      <c r="FQ90" s="10"/>
      <c r="FR90" s="10"/>
      <c r="FS90" s="10"/>
      <c r="FT90" s="10"/>
      <c r="FU90" s="10"/>
      <c r="FV90" s="10"/>
      <c r="FW90" s="10"/>
      <c r="FX90" s="10"/>
      <c r="FY90" s="10"/>
      <c r="FZ90" s="10"/>
      <c r="GA90" s="10"/>
      <c r="GB90" s="10"/>
      <c r="GC90" s="10"/>
      <c r="GD90" s="10"/>
      <c r="GE90" s="10"/>
      <c r="GF90" s="10"/>
      <c r="GG90" s="10"/>
      <c r="GH90" s="10"/>
      <c r="GI90" s="10"/>
      <c r="GJ90" s="10"/>
      <c r="GK90" s="10"/>
    </row>
    <row r="91" customFormat="false" ht="12.75" hidden="false" customHeight="false" outlineLevel="0" collapsed="false">
      <c r="A91" s="7"/>
      <c r="B91" s="7"/>
      <c r="C91" s="8"/>
      <c r="D91" s="8"/>
      <c r="E91" s="8"/>
      <c r="F91" s="8"/>
      <c r="G91" s="9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  <c r="CZ91" s="10"/>
      <c r="DA91" s="10"/>
      <c r="DB91" s="10"/>
      <c r="DC91" s="10"/>
      <c r="DD91" s="10"/>
      <c r="DE91" s="10"/>
      <c r="DF91" s="10"/>
      <c r="DG91" s="10"/>
      <c r="DH91" s="10"/>
      <c r="DI91" s="10"/>
      <c r="DJ91" s="10"/>
      <c r="DK91" s="10"/>
      <c r="DL91" s="10"/>
      <c r="DM91" s="10"/>
      <c r="DN91" s="10"/>
      <c r="DO91" s="10"/>
      <c r="DP91" s="10"/>
      <c r="DQ91" s="10"/>
      <c r="DR91" s="10"/>
      <c r="DS91" s="10"/>
      <c r="DT91" s="10"/>
      <c r="DU91" s="10"/>
      <c r="DV91" s="10"/>
      <c r="DW91" s="10"/>
      <c r="DX91" s="10"/>
      <c r="DY91" s="10"/>
      <c r="DZ91" s="10"/>
      <c r="EA91" s="10"/>
      <c r="EB91" s="10"/>
      <c r="EC91" s="10"/>
      <c r="ED91" s="10"/>
      <c r="EE91" s="10"/>
      <c r="EF91" s="10"/>
      <c r="EG91" s="10"/>
      <c r="EH91" s="10"/>
      <c r="EI91" s="10"/>
      <c r="EJ91" s="10"/>
      <c r="EK91" s="10"/>
      <c r="EL91" s="10"/>
      <c r="EM91" s="10"/>
      <c r="EN91" s="10"/>
      <c r="EO91" s="10"/>
      <c r="EP91" s="10"/>
      <c r="EQ91" s="10"/>
      <c r="ER91" s="10"/>
      <c r="ES91" s="10"/>
      <c r="ET91" s="10"/>
      <c r="EU91" s="10"/>
      <c r="EV91" s="10"/>
      <c r="EW91" s="10"/>
      <c r="EX91" s="10"/>
      <c r="EY91" s="10"/>
      <c r="EZ91" s="10"/>
      <c r="FA91" s="10"/>
      <c r="FB91" s="10"/>
      <c r="FC91" s="10"/>
      <c r="FD91" s="10"/>
      <c r="FE91" s="10"/>
      <c r="FF91" s="10"/>
      <c r="FG91" s="10"/>
      <c r="FH91" s="10"/>
      <c r="FI91" s="10"/>
      <c r="FJ91" s="10"/>
      <c r="FK91" s="10"/>
      <c r="FL91" s="10"/>
      <c r="FM91" s="10"/>
      <c r="FN91" s="10"/>
      <c r="FO91" s="10"/>
      <c r="FP91" s="10"/>
      <c r="FQ91" s="10"/>
      <c r="FR91" s="10"/>
      <c r="FS91" s="10"/>
      <c r="FT91" s="10"/>
      <c r="FU91" s="10"/>
      <c r="FV91" s="10"/>
      <c r="FW91" s="10"/>
      <c r="FX91" s="10"/>
      <c r="FY91" s="10"/>
      <c r="FZ91" s="10"/>
      <c r="GA91" s="10"/>
      <c r="GB91" s="10"/>
      <c r="GC91" s="10"/>
      <c r="GD91" s="10"/>
      <c r="GE91" s="10"/>
      <c r="GF91" s="10"/>
      <c r="GG91" s="10"/>
      <c r="GH91" s="10"/>
      <c r="GI91" s="10"/>
      <c r="GJ91" s="10"/>
      <c r="GK91" s="10"/>
    </row>
    <row r="92" customFormat="false" ht="12.75" hidden="false" customHeight="false" outlineLevel="0" collapsed="false">
      <c r="A92" s="7"/>
      <c r="B92" s="7"/>
      <c r="C92" s="8"/>
      <c r="D92" s="8"/>
      <c r="E92" s="8"/>
      <c r="F92" s="8"/>
      <c r="G92" s="9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  <c r="CW92" s="10"/>
      <c r="CX92" s="10"/>
      <c r="CY92" s="10"/>
      <c r="CZ92" s="10"/>
      <c r="DA92" s="10"/>
      <c r="DB92" s="10"/>
      <c r="DC92" s="10"/>
      <c r="DD92" s="10"/>
      <c r="DE92" s="10"/>
      <c r="DF92" s="10"/>
      <c r="DG92" s="10"/>
      <c r="DH92" s="10"/>
      <c r="DI92" s="10"/>
      <c r="DJ92" s="10"/>
      <c r="DK92" s="10"/>
      <c r="DL92" s="10"/>
      <c r="DM92" s="10"/>
      <c r="DN92" s="10"/>
      <c r="DO92" s="10"/>
      <c r="DP92" s="10"/>
      <c r="DQ92" s="10"/>
      <c r="DR92" s="10"/>
      <c r="DS92" s="10"/>
      <c r="DT92" s="10"/>
      <c r="DU92" s="10"/>
      <c r="DV92" s="10"/>
      <c r="DW92" s="10"/>
      <c r="DX92" s="10"/>
      <c r="DY92" s="10"/>
      <c r="DZ92" s="10"/>
      <c r="EA92" s="10"/>
      <c r="EB92" s="10"/>
      <c r="EC92" s="10"/>
      <c r="ED92" s="10"/>
      <c r="EE92" s="10"/>
      <c r="EF92" s="10"/>
      <c r="EG92" s="10"/>
      <c r="EH92" s="10"/>
      <c r="EI92" s="10"/>
      <c r="EJ92" s="10"/>
      <c r="EK92" s="10"/>
      <c r="EL92" s="10"/>
      <c r="EM92" s="10"/>
      <c r="EN92" s="10"/>
      <c r="EO92" s="10"/>
      <c r="EP92" s="10"/>
      <c r="EQ92" s="10"/>
      <c r="ER92" s="10"/>
      <c r="ES92" s="10"/>
      <c r="ET92" s="10"/>
      <c r="EU92" s="10"/>
      <c r="EV92" s="10"/>
      <c r="EW92" s="10"/>
      <c r="EX92" s="10"/>
      <c r="EY92" s="10"/>
      <c r="EZ92" s="10"/>
      <c r="FA92" s="10"/>
      <c r="FB92" s="10"/>
      <c r="FC92" s="10"/>
      <c r="FD92" s="10"/>
      <c r="FE92" s="10"/>
      <c r="FF92" s="10"/>
      <c r="FG92" s="10"/>
      <c r="FH92" s="10"/>
      <c r="FI92" s="10"/>
      <c r="FJ92" s="10"/>
      <c r="FK92" s="10"/>
      <c r="FL92" s="10"/>
      <c r="FM92" s="10"/>
      <c r="FN92" s="10"/>
      <c r="FO92" s="10"/>
      <c r="FP92" s="10"/>
      <c r="FQ92" s="10"/>
      <c r="FR92" s="10"/>
      <c r="FS92" s="10"/>
      <c r="FT92" s="10"/>
      <c r="FU92" s="10"/>
      <c r="FV92" s="10"/>
      <c r="FW92" s="10"/>
      <c r="FX92" s="10"/>
      <c r="FY92" s="10"/>
      <c r="FZ92" s="10"/>
      <c r="GA92" s="10"/>
      <c r="GB92" s="10"/>
      <c r="GC92" s="10"/>
      <c r="GD92" s="10"/>
      <c r="GE92" s="10"/>
      <c r="GF92" s="10"/>
      <c r="GG92" s="10"/>
      <c r="GH92" s="10"/>
      <c r="GI92" s="10"/>
      <c r="GJ92" s="10"/>
      <c r="GK92" s="10"/>
    </row>
    <row r="93" customFormat="false" ht="12.75" hidden="false" customHeight="false" outlineLevel="0" collapsed="false">
      <c r="A93" s="7"/>
      <c r="B93" s="7"/>
      <c r="C93" s="8"/>
      <c r="D93" s="8"/>
      <c r="E93" s="8"/>
      <c r="F93" s="8"/>
      <c r="G93" s="9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/>
      <c r="DA93" s="10"/>
      <c r="DB93" s="10"/>
      <c r="DC93" s="10"/>
      <c r="DD93" s="10"/>
      <c r="DE93" s="10"/>
      <c r="DF93" s="10"/>
      <c r="DG93" s="10"/>
      <c r="DH93" s="10"/>
      <c r="DI93" s="10"/>
      <c r="DJ93" s="10"/>
      <c r="DK93" s="10"/>
      <c r="DL93" s="10"/>
      <c r="DM93" s="10"/>
      <c r="DN93" s="10"/>
      <c r="DO93" s="10"/>
      <c r="DP93" s="10"/>
      <c r="DQ93" s="10"/>
      <c r="DR93" s="10"/>
      <c r="DS93" s="10"/>
      <c r="DT93" s="10"/>
      <c r="DU93" s="10"/>
      <c r="DV93" s="10"/>
      <c r="DW93" s="10"/>
      <c r="DX93" s="10"/>
      <c r="DY93" s="10"/>
      <c r="DZ93" s="10"/>
      <c r="EA93" s="10"/>
      <c r="EB93" s="10"/>
      <c r="EC93" s="10"/>
      <c r="ED93" s="10"/>
      <c r="EE93" s="10"/>
      <c r="EF93" s="10"/>
      <c r="EG93" s="10"/>
      <c r="EH93" s="10"/>
      <c r="EI93" s="10"/>
      <c r="EJ93" s="10"/>
      <c r="EK93" s="10"/>
      <c r="EL93" s="10"/>
      <c r="EM93" s="10"/>
      <c r="EN93" s="10"/>
      <c r="EO93" s="10"/>
      <c r="EP93" s="10"/>
      <c r="EQ93" s="10"/>
      <c r="ER93" s="10"/>
      <c r="ES93" s="10"/>
      <c r="ET93" s="10"/>
      <c r="EU93" s="10"/>
      <c r="EV93" s="10"/>
      <c r="EW93" s="10"/>
      <c r="EX93" s="10"/>
      <c r="EY93" s="10"/>
      <c r="EZ93" s="10"/>
      <c r="FA93" s="10"/>
      <c r="FB93" s="10"/>
      <c r="FC93" s="10"/>
      <c r="FD93" s="10"/>
      <c r="FE93" s="10"/>
      <c r="FF93" s="10"/>
      <c r="FG93" s="10"/>
      <c r="FH93" s="10"/>
      <c r="FI93" s="10"/>
      <c r="FJ93" s="10"/>
      <c r="FK93" s="10"/>
      <c r="FL93" s="10"/>
      <c r="FM93" s="10"/>
      <c r="FN93" s="10"/>
      <c r="FO93" s="10"/>
      <c r="FP93" s="10"/>
      <c r="FQ93" s="10"/>
      <c r="FR93" s="10"/>
      <c r="FS93" s="10"/>
      <c r="FT93" s="10"/>
      <c r="FU93" s="10"/>
      <c r="FV93" s="10"/>
      <c r="FW93" s="10"/>
      <c r="FX93" s="10"/>
      <c r="FY93" s="10"/>
      <c r="FZ93" s="10"/>
      <c r="GA93" s="10"/>
      <c r="GB93" s="10"/>
      <c r="GC93" s="10"/>
      <c r="GD93" s="10"/>
      <c r="GE93" s="10"/>
      <c r="GF93" s="10"/>
      <c r="GG93" s="10"/>
      <c r="GH93" s="10"/>
      <c r="GI93" s="10"/>
      <c r="GJ93" s="10"/>
      <c r="GK93" s="10"/>
    </row>
    <row r="94" customFormat="false" ht="12.75" hidden="false" customHeight="false" outlineLevel="0" collapsed="false">
      <c r="A94" s="7"/>
      <c r="B94" s="7"/>
      <c r="C94" s="8"/>
      <c r="D94" s="8"/>
      <c r="E94" s="8"/>
      <c r="F94" s="8"/>
      <c r="G94" s="9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10"/>
      <c r="CZ94" s="10"/>
      <c r="DA94" s="10"/>
      <c r="DB94" s="10"/>
      <c r="DC94" s="10"/>
      <c r="DD94" s="10"/>
      <c r="DE94" s="10"/>
      <c r="DF94" s="10"/>
      <c r="DG94" s="10"/>
      <c r="DH94" s="10"/>
      <c r="DI94" s="10"/>
      <c r="DJ94" s="10"/>
      <c r="DK94" s="10"/>
      <c r="DL94" s="10"/>
      <c r="DM94" s="10"/>
      <c r="DN94" s="10"/>
      <c r="DO94" s="10"/>
      <c r="DP94" s="10"/>
      <c r="DQ94" s="10"/>
      <c r="DR94" s="10"/>
      <c r="DS94" s="10"/>
      <c r="DT94" s="10"/>
      <c r="DU94" s="10"/>
      <c r="DV94" s="10"/>
      <c r="DW94" s="10"/>
      <c r="DX94" s="10"/>
      <c r="DY94" s="10"/>
      <c r="DZ94" s="10"/>
      <c r="EA94" s="10"/>
      <c r="EB94" s="10"/>
      <c r="EC94" s="10"/>
      <c r="ED94" s="10"/>
      <c r="EE94" s="10"/>
      <c r="EF94" s="10"/>
      <c r="EG94" s="10"/>
      <c r="EH94" s="10"/>
      <c r="EI94" s="10"/>
      <c r="EJ94" s="10"/>
      <c r="EK94" s="10"/>
      <c r="EL94" s="10"/>
      <c r="EM94" s="10"/>
      <c r="EN94" s="10"/>
      <c r="EO94" s="10"/>
      <c r="EP94" s="10"/>
      <c r="EQ94" s="10"/>
      <c r="ER94" s="10"/>
      <c r="ES94" s="10"/>
      <c r="ET94" s="10"/>
      <c r="EU94" s="10"/>
      <c r="EV94" s="10"/>
      <c r="EW94" s="10"/>
      <c r="EX94" s="10"/>
      <c r="EY94" s="10"/>
      <c r="EZ94" s="10"/>
      <c r="FA94" s="10"/>
      <c r="FB94" s="10"/>
      <c r="FC94" s="10"/>
      <c r="FD94" s="10"/>
      <c r="FE94" s="10"/>
      <c r="FF94" s="10"/>
      <c r="FG94" s="10"/>
      <c r="FH94" s="10"/>
      <c r="FI94" s="10"/>
      <c r="FJ94" s="10"/>
      <c r="FK94" s="10"/>
      <c r="FL94" s="10"/>
      <c r="FM94" s="10"/>
      <c r="FN94" s="10"/>
      <c r="FO94" s="10"/>
      <c r="FP94" s="10"/>
      <c r="FQ94" s="10"/>
      <c r="FR94" s="10"/>
      <c r="FS94" s="10"/>
      <c r="FT94" s="10"/>
      <c r="FU94" s="10"/>
      <c r="FV94" s="10"/>
      <c r="FW94" s="10"/>
      <c r="FX94" s="10"/>
      <c r="FY94" s="10"/>
      <c r="FZ94" s="10"/>
      <c r="GA94" s="10"/>
      <c r="GB94" s="10"/>
      <c r="GC94" s="10"/>
      <c r="GD94" s="10"/>
      <c r="GE94" s="10"/>
      <c r="GF94" s="10"/>
      <c r="GG94" s="10"/>
      <c r="GH94" s="10"/>
      <c r="GI94" s="10"/>
      <c r="GJ94" s="10"/>
      <c r="GK94" s="10"/>
    </row>
    <row r="95" customFormat="false" ht="12.75" hidden="false" customHeight="false" outlineLevel="0" collapsed="false">
      <c r="A95" s="7"/>
      <c r="B95" s="7"/>
      <c r="C95" s="8"/>
      <c r="D95" s="8"/>
      <c r="E95" s="8"/>
      <c r="F95" s="8"/>
      <c r="G95" s="9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10"/>
      <c r="CY95" s="10"/>
      <c r="CZ95" s="10"/>
      <c r="DA95" s="10"/>
      <c r="DB95" s="10"/>
      <c r="DC95" s="10"/>
      <c r="DD95" s="10"/>
      <c r="DE95" s="10"/>
      <c r="DF95" s="10"/>
      <c r="DG95" s="10"/>
      <c r="DH95" s="10"/>
      <c r="DI95" s="10"/>
      <c r="DJ95" s="10"/>
      <c r="DK95" s="10"/>
      <c r="DL95" s="10"/>
      <c r="DM95" s="10"/>
      <c r="DN95" s="10"/>
      <c r="DO95" s="10"/>
      <c r="DP95" s="10"/>
      <c r="DQ95" s="10"/>
      <c r="DR95" s="10"/>
      <c r="DS95" s="10"/>
      <c r="DT95" s="10"/>
      <c r="DU95" s="10"/>
      <c r="DV95" s="10"/>
      <c r="DW95" s="10"/>
      <c r="DX95" s="10"/>
      <c r="DY95" s="10"/>
      <c r="DZ95" s="10"/>
      <c r="EA95" s="10"/>
      <c r="EB95" s="10"/>
      <c r="EC95" s="10"/>
      <c r="ED95" s="10"/>
      <c r="EE95" s="10"/>
      <c r="EF95" s="10"/>
      <c r="EG95" s="10"/>
      <c r="EH95" s="10"/>
      <c r="EI95" s="10"/>
      <c r="EJ95" s="10"/>
      <c r="EK95" s="10"/>
      <c r="EL95" s="10"/>
      <c r="EM95" s="10"/>
      <c r="EN95" s="10"/>
      <c r="EO95" s="10"/>
      <c r="EP95" s="10"/>
      <c r="EQ95" s="10"/>
      <c r="ER95" s="10"/>
      <c r="ES95" s="10"/>
      <c r="ET95" s="10"/>
      <c r="EU95" s="10"/>
      <c r="EV95" s="10"/>
      <c r="EW95" s="10"/>
      <c r="EX95" s="10"/>
      <c r="EY95" s="10"/>
      <c r="EZ95" s="10"/>
      <c r="FA95" s="10"/>
      <c r="FB95" s="10"/>
      <c r="FC95" s="10"/>
      <c r="FD95" s="10"/>
      <c r="FE95" s="10"/>
      <c r="FF95" s="10"/>
      <c r="FG95" s="10"/>
      <c r="FH95" s="10"/>
      <c r="FI95" s="10"/>
      <c r="FJ95" s="10"/>
      <c r="FK95" s="10"/>
      <c r="FL95" s="10"/>
      <c r="FM95" s="10"/>
      <c r="FN95" s="10"/>
      <c r="FO95" s="10"/>
      <c r="FP95" s="10"/>
      <c r="FQ95" s="10"/>
      <c r="FR95" s="10"/>
      <c r="FS95" s="10"/>
      <c r="FT95" s="10"/>
      <c r="FU95" s="10"/>
      <c r="FV95" s="10"/>
      <c r="FW95" s="10"/>
      <c r="FX95" s="10"/>
      <c r="FY95" s="10"/>
      <c r="FZ95" s="10"/>
      <c r="GA95" s="10"/>
      <c r="GB95" s="10"/>
      <c r="GC95" s="10"/>
      <c r="GD95" s="10"/>
      <c r="GE95" s="10"/>
      <c r="GF95" s="10"/>
      <c r="GG95" s="10"/>
      <c r="GH95" s="10"/>
      <c r="GI95" s="10"/>
      <c r="GJ95" s="10"/>
      <c r="GK95" s="10"/>
    </row>
    <row r="96" customFormat="false" ht="12.75" hidden="false" customHeight="false" outlineLevel="0" collapsed="false">
      <c r="A96" s="7"/>
      <c r="B96" s="7"/>
      <c r="C96" s="8"/>
      <c r="D96" s="8"/>
      <c r="E96" s="8"/>
      <c r="F96" s="8"/>
      <c r="G96" s="9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/>
      <c r="DA96" s="10"/>
      <c r="DB96" s="10"/>
      <c r="DC96" s="10"/>
      <c r="DD96" s="10"/>
      <c r="DE96" s="10"/>
      <c r="DF96" s="10"/>
      <c r="DG96" s="10"/>
      <c r="DH96" s="10"/>
      <c r="DI96" s="10"/>
      <c r="DJ96" s="10"/>
      <c r="DK96" s="10"/>
      <c r="DL96" s="10"/>
      <c r="DM96" s="10"/>
      <c r="DN96" s="10"/>
      <c r="DO96" s="10"/>
      <c r="DP96" s="10"/>
      <c r="DQ96" s="10"/>
      <c r="DR96" s="10"/>
      <c r="DS96" s="10"/>
      <c r="DT96" s="10"/>
      <c r="DU96" s="10"/>
      <c r="DV96" s="10"/>
      <c r="DW96" s="10"/>
      <c r="DX96" s="10"/>
      <c r="DY96" s="10"/>
      <c r="DZ96" s="10"/>
      <c r="EA96" s="10"/>
      <c r="EB96" s="10"/>
      <c r="EC96" s="10"/>
      <c r="ED96" s="10"/>
      <c r="EE96" s="10"/>
      <c r="EF96" s="10"/>
      <c r="EG96" s="10"/>
      <c r="EH96" s="10"/>
      <c r="EI96" s="10"/>
      <c r="EJ96" s="10"/>
      <c r="EK96" s="10"/>
      <c r="EL96" s="10"/>
      <c r="EM96" s="10"/>
      <c r="EN96" s="10"/>
      <c r="EO96" s="10"/>
      <c r="EP96" s="10"/>
      <c r="EQ96" s="10"/>
      <c r="ER96" s="10"/>
      <c r="ES96" s="10"/>
      <c r="ET96" s="10"/>
      <c r="EU96" s="10"/>
      <c r="EV96" s="10"/>
      <c r="EW96" s="10"/>
      <c r="EX96" s="10"/>
      <c r="EY96" s="10"/>
      <c r="EZ96" s="10"/>
      <c r="FA96" s="10"/>
      <c r="FB96" s="10"/>
      <c r="FC96" s="10"/>
      <c r="FD96" s="10"/>
      <c r="FE96" s="10"/>
      <c r="FF96" s="10"/>
      <c r="FG96" s="10"/>
      <c r="FH96" s="10"/>
      <c r="FI96" s="10"/>
      <c r="FJ96" s="10"/>
      <c r="FK96" s="10"/>
      <c r="FL96" s="10"/>
      <c r="FM96" s="10"/>
      <c r="FN96" s="10"/>
      <c r="FO96" s="10"/>
      <c r="FP96" s="10"/>
      <c r="FQ96" s="10"/>
      <c r="FR96" s="10"/>
      <c r="FS96" s="10"/>
      <c r="FT96" s="10"/>
      <c r="FU96" s="10"/>
      <c r="FV96" s="10"/>
      <c r="FW96" s="10"/>
      <c r="FX96" s="10"/>
      <c r="FY96" s="10"/>
      <c r="FZ96" s="10"/>
      <c r="GA96" s="10"/>
      <c r="GB96" s="10"/>
      <c r="GC96" s="10"/>
      <c r="GD96" s="10"/>
      <c r="GE96" s="10"/>
      <c r="GF96" s="10"/>
      <c r="GG96" s="10"/>
      <c r="GH96" s="10"/>
      <c r="GI96" s="10"/>
      <c r="GJ96" s="10"/>
      <c r="GK96" s="10"/>
    </row>
    <row r="97" customFormat="false" ht="12.75" hidden="false" customHeight="false" outlineLevel="0" collapsed="false">
      <c r="A97" s="7"/>
      <c r="B97" s="7"/>
      <c r="C97" s="8"/>
      <c r="D97" s="8"/>
      <c r="E97" s="8"/>
      <c r="F97" s="8"/>
      <c r="G97" s="9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10"/>
      <c r="CY97" s="10"/>
      <c r="CZ97" s="10"/>
      <c r="DA97" s="10"/>
      <c r="DB97" s="10"/>
      <c r="DC97" s="10"/>
      <c r="DD97" s="10"/>
      <c r="DE97" s="10"/>
      <c r="DF97" s="10"/>
      <c r="DG97" s="10"/>
      <c r="DH97" s="10"/>
      <c r="DI97" s="10"/>
      <c r="DJ97" s="10"/>
      <c r="DK97" s="10"/>
      <c r="DL97" s="10"/>
      <c r="DM97" s="10"/>
      <c r="DN97" s="10"/>
      <c r="DO97" s="10"/>
      <c r="DP97" s="10"/>
      <c r="DQ97" s="10"/>
      <c r="DR97" s="10"/>
      <c r="DS97" s="10"/>
      <c r="DT97" s="10"/>
      <c r="DU97" s="10"/>
      <c r="DV97" s="10"/>
      <c r="DW97" s="10"/>
      <c r="DX97" s="10"/>
      <c r="DY97" s="10"/>
      <c r="DZ97" s="10"/>
      <c r="EA97" s="10"/>
      <c r="EB97" s="10"/>
      <c r="EC97" s="10"/>
      <c r="ED97" s="10"/>
      <c r="EE97" s="10"/>
      <c r="EF97" s="10"/>
      <c r="EG97" s="10"/>
      <c r="EH97" s="10"/>
      <c r="EI97" s="10"/>
      <c r="EJ97" s="10"/>
      <c r="EK97" s="10"/>
      <c r="EL97" s="10"/>
      <c r="EM97" s="10"/>
      <c r="EN97" s="10"/>
      <c r="EO97" s="10"/>
      <c r="EP97" s="10"/>
      <c r="EQ97" s="10"/>
      <c r="ER97" s="10"/>
      <c r="ES97" s="10"/>
      <c r="ET97" s="10"/>
      <c r="EU97" s="10"/>
      <c r="EV97" s="10"/>
      <c r="EW97" s="10"/>
      <c r="EX97" s="10"/>
      <c r="EY97" s="10"/>
      <c r="EZ97" s="10"/>
      <c r="FA97" s="10"/>
      <c r="FB97" s="10"/>
      <c r="FC97" s="10"/>
      <c r="FD97" s="10"/>
      <c r="FE97" s="10"/>
      <c r="FF97" s="10"/>
      <c r="FG97" s="10"/>
      <c r="FH97" s="10"/>
      <c r="FI97" s="10"/>
      <c r="FJ97" s="10"/>
      <c r="FK97" s="10"/>
      <c r="FL97" s="10"/>
      <c r="FM97" s="10"/>
      <c r="FN97" s="10"/>
      <c r="FO97" s="10"/>
      <c r="FP97" s="10"/>
      <c r="FQ97" s="10"/>
      <c r="FR97" s="10"/>
      <c r="FS97" s="10"/>
      <c r="FT97" s="10"/>
      <c r="FU97" s="10"/>
      <c r="FV97" s="10"/>
      <c r="FW97" s="10"/>
      <c r="FX97" s="10"/>
      <c r="FY97" s="10"/>
      <c r="FZ97" s="10"/>
      <c r="GA97" s="10"/>
      <c r="GB97" s="10"/>
      <c r="GC97" s="10"/>
      <c r="GD97" s="10"/>
      <c r="GE97" s="10"/>
      <c r="GF97" s="10"/>
      <c r="GG97" s="10"/>
      <c r="GH97" s="10"/>
      <c r="GI97" s="10"/>
      <c r="GJ97" s="10"/>
      <c r="GK97" s="10"/>
    </row>
    <row r="98" customFormat="false" ht="12.75" hidden="false" customHeight="false" outlineLevel="0" collapsed="false">
      <c r="A98" s="7"/>
      <c r="B98" s="7"/>
      <c r="C98" s="8"/>
      <c r="D98" s="8"/>
      <c r="E98" s="8"/>
      <c r="F98" s="8"/>
      <c r="G98" s="9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10"/>
      <c r="CY98" s="10"/>
      <c r="CZ98" s="10"/>
      <c r="DA98" s="10"/>
      <c r="DB98" s="10"/>
      <c r="DC98" s="10"/>
      <c r="DD98" s="10"/>
      <c r="DE98" s="10"/>
      <c r="DF98" s="10"/>
      <c r="DG98" s="10"/>
      <c r="DH98" s="10"/>
      <c r="DI98" s="10"/>
      <c r="DJ98" s="10"/>
      <c r="DK98" s="10"/>
      <c r="DL98" s="10"/>
      <c r="DM98" s="10"/>
      <c r="DN98" s="10"/>
      <c r="DO98" s="10"/>
      <c r="DP98" s="10"/>
      <c r="DQ98" s="10"/>
      <c r="DR98" s="10"/>
      <c r="DS98" s="10"/>
      <c r="DT98" s="10"/>
      <c r="DU98" s="10"/>
      <c r="DV98" s="10"/>
      <c r="DW98" s="10"/>
      <c r="DX98" s="10"/>
      <c r="DY98" s="10"/>
      <c r="DZ98" s="10"/>
      <c r="EA98" s="10"/>
      <c r="EB98" s="10"/>
      <c r="EC98" s="10"/>
      <c r="ED98" s="10"/>
      <c r="EE98" s="10"/>
      <c r="EF98" s="10"/>
      <c r="EG98" s="10"/>
      <c r="EH98" s="10"/>
      <c r="EI98" s="10"/>
      <c r="EJ98" s="10"/>
      <c r="EK98" s="10"/>
      <c r="EL98" s="10"/>
      <c r="EM98" s="10"/>
      <c r="EN98" s="10"/>
      <c r="EO98" s="10"/>
      <c r="EP98" s="10"/>
      <c r="EQ98" s="10"/>
      <c r="ER98" s="10"/>
      <c r="ES98" s="10"/>
      <c r="ET98" s="10"/>
      <c r="EU98" s="10"/>
      <c r="EV98" s="10"/>
      <c r="EW98" s="10"/>
      <c r="EX98" s="10"/>
      <c r="EY98" s="10"/>
      <c r="EZ98" s="10"/>
      <c r="FA98" s="10"/>
      <c r="FB98" s="10"/>
      <c r="FC98" s="10"/>
      <c r="FD98" s="10"/>
      <c r="FE98" s="10"/>
      <c r="FF98" s="10"/>
      <c r="FG98" s="10"/>
      <c r="FH98" s="10"/>
      <c r="FI98" s="10"/>
      <c r="FJ98" s="10"/>
      <c r="FK98" s="10"/>
      <c r="FL98" s="10"/>
      <c r="FM98" s="10"/>
      <c r="FN98" s="10"/>
      <c r="FO98" s="10"/>
      <c r="FP98" s="10"/>
      <c r="FQ98" s="10"/>
      <c r="FR98" s="10"/>
      <c r="FS98" s="10"/>
      <c r="FT98" s="10"/>
      <c r="FU98" s="10"/>
      <c r="FV98" s="10"/>
      <c r="FW98" s="10"/>
      <c r="FX98" s="10"/>
      <c r="FY98" s="10"/>
      <c r="FZ98" s="10"/>
      <c r="GA98" s="10"/>
      <c r="GB98" s="10"/>
      <c r="GC98" s="10"/>
      <c r="GD98" s="10"/>
      <c r="GE98" s="10"/>
      <c r="GF98" s="10"/>
      <c r="GG98" s="10"/>
      <c r="GH98" s="10"/>
      <c r="GI98" s="10"/>
      <c r="GJ98" s="10"/>
      <c r="GK98" s="10"/>
    </row>
    <row r="99" customFormat="false" ht="12.75" hidden="false" customHeight="false" outlineLevel="0" collapsed="false">
      <c r="A99" s="7"/>
      <c r="B99" s="7"/>
      <c r="C99" s="8"/>
      <c r="D99" s="8"/>
      <c r="E99" s="8"/>
      <c r="F99" s="8"/>
      <c r="G99" s="9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10"/>
      <c r="CY99" s="10"/>
      <c r="CZ99" s="10"/>
      <c r="DA99" s="10"/>
      <c r="DB99" s="10"/>
      <c r="DC99" s="10"/>
      <c r="DD99" s="10"/>
      <c r="DE99" s="10"/>
      <c r="DF99" s="10"/>
      <c r="DG99" s="10"/>
      <c r="DH99" s="10"/>
      <c r="DI99" s="10"/>
      <c r="DJ99" s="10"/>
      <c r="DK99" s="10"/>
      <c r="DL99" s="10"/>
      <c r="DM99" s="10"/>
      <c r="DN99" s="10"/>
      <c r="DO99" s="10"/>
      <c r="DP99" s="10"/>
      <c r="DQ99" s="10"/>
      <c r="DR99" s="10"/>
      <c r="DS99" s="10"/>
      <c r="DT99" s="10"/>
      <c r="DU99" s="10"/>
      <c r="DV99" s="10"/>
      <c r="DW99" s="10"/>
      <c r="DX99" s="10"/>
      <c r="DY99" s="10"/>
      <c r="DZ99" s="10"/>
      <c r="EA99" s="10"/>
      <c r="EB99" s="10"/>
      <c r="EC99" s="10"/>
      <c r="ED99" s="10"/>
      <c r="EE99" s="10"/>
      <c r="EF99" s="10"/>
      <c r="EG99" s="10"/>
      <c r="EH99" s="10"/>
      <c r="EI99" s="10"/>
      <c r="EJ99" s="10"/>
      <c r="EK99" s="10"/>
      <c r="EL99" s="10"/>
      <c r="EM99" s="10"/>
      <c r="EN99" s="10"/>
      <c r="EO99" s="10"/>
      <c r="EP99" s="10"/>
      <c r="EQ99" s="10"/>
      <c r="ER99" s="10"/>
      <c r="ES99" s="10"/>
      <c r="ET99" s="10"/>
      <c r="EU99" s="10"/>
      <c r="EV99" s="10"/>
      <c r="EW99" s="10"/>
      <c r="EX99" s="10"/>
      <c r="EY99" s="10"/>
      <c r="EZ99" s="10"/>
      <c r="FA99" s="10"/>
      <c r="FB99" s="10"/>
      <c r="FC99" s="10"/>
      <c r="FD99" s="10"/>
      <c r="FE99" s="10"/>
      <c r="FF99" s="10"/>
      <c r="FG99" s="10"/>
      <c r="FH99" s="10"/>
      <c r="FI99" s="10"/>
      <c r="FJ99" s="10"/>
      <c r="FK99" s="10"/>
      <c r="FL99" s="10"/>
      <c r="FM99" s="10"/>
      <c r="FN99" s="10"/>
      <c r="FO99" s="10"/>
      <c r="FP99" s="10"/>
      <c r="FQ99" s="10"/>
      <c r="FR99" s="10"/>
      <c r="FS99" s="10"/>
      <c r="FT99" s="10"/>
      <c r="FU99" s="10"/>
      <c r="FV99" s="10"/>
      <c r="FW99" s="10"/>
      <c r="FX99" s="10"/>
      <c r="FY99" s="10"/>
      <c r="FZ99" s="10"/>
      <c r="GA99" s="10"/>
      <c r="GB99" s="10"/>
      <c r="GC99" s="10"/>
      <c r="GD99" s="10"/>
      <c r="GE99" s="10"/>
      <c r="GF99" s="10"/>
      <c r="GG99" s="10"/>
      <c r="GH99" s="10"/>
      <c r="GI99" s="10"/>
      <c r="GJ99" s="10"/>
      <c r="GK99" s="10"/>
    </row>
    <row r="100" customFormat="false" ht="12.75" hidden="false" customHeight="false" outlineLevel="0" collapsed="false">
      <c r="A100" s="7"/>
      <c r="B100" s="7"/>
      <c r="C100" s="8"/>
      <c r="D100" s="8"/>
      <c r="E100" s="8"/>
      <c r="F100" s="8"/>
      <c r="G100" s="9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  <c r="EM100" s="10"/>
      <c r="EN100" s="10"/>
      <c r="EO100" s="10"/>
      <c r="EP100" s="10"/>
      <c r="EQ100" s="10"/>
      <c r="ER100" s="10"/>
      <c r="ES100" s="10"/>
      <c r="ET100" s="10"/>
      <c r="EU100" s="10"/>
      <c r="EV100" s="10"/>
      <c r="EW100" s="10"/>
      <c r="EX100" s="10"/>
      <c r="EY100" s="10"/>
      <c r="EZ100" s="10"/>
      <c r="FA100" s="10"/>
      <c r="FB100" s="10"/>
      <c r="FC100" s="10"/>
      <c r="FD100" s="10"/>
      <c r="FE100" s="10"/>
      <c r="FF100" s="10"/>
      <c r="FG100" s="10"/>
      <c r="FH100" s="10"/>
      <c r="FI100" s="10"/>
      <c r="FJ100" s="10"/>
      <c r="FK100" s="10"/>
      <c r="FL100" s="10"/>
      <c r="FM100" s="10"/>
      <c r="FN100" s="10"/>
      <c r="FO100" s="10"/>
      <c r="FP100" s="10"/>
      <c r="FQ100" s="10"/>
      <c r="FR100" s="10"/>
      <c r="FS100" s="10"/>
      <c r="FT100" s="10"/>
      <c r="FU100" s="10"/>
      <c r="FV100" s="10"/>
      <c r="FW100" s="10"/>
      <c r="FX100" s="10"/>
      <c r="FY100" s="10"/>
      <c r="FZ100" s="10"/>
      <c r="GA100" s="10"/>
      <c r="GB100" s="10"/>
      <c r="GC100" s="10"/>
      <c r="GD100" s="10"/>
      <c r="GE100" s="10"/>
      <c r="GF100" s="10"/>
      <c r="GG100" s="10"/>
      <c r="GH100" s="10"/>
      <c r="GI100" s="10"/>
      <c r="GJ100" s="10"/>
      <c r="GK100" s="10"/>
    </row>
    <row r="101" customFormat="false" ht="12.75" hidden="false" customHeight="false" outlineLevel="0" collapsed="false">
      <c r="A101" s="7"/>
      <c r="B101" s="7"/>
      <c r="C101" s="8"/>
      <c r="D101" s="8"/>
      <c r="E101" s="8"/>
      <c r="F101" s="8"/>
      <c r="G101" s="9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10"/>
      <c r="CY101" s="10"/>
      <c r="CZ101" s="10"/>
      <c r="DA101" s="10"/>
      <c r="DB101" s="10"/>
      <c r="DC101" s="10"/>
      <c r="DD101" s="10"/>
      <c r="DE101" s="10"/>
      <c r="DF101" s="10"/>
      <c r="DG101" s="10"/>
      <c r="DH101" s="10"/>
      <c r="DI101" s="10"/>
      <c r="DJ101" s="10"/>
      <c r="DK101" s="10"/>
      <c r="DL101" s="10"/>
      <c r="DM101" s="10"/>
      <c r="DN101" s="10"/>
      <c r="DO101" s="10"/>
      <c r="DP101" s="10"/>
      <c r="DQ101" s="10"/>
      <c r="DR101" s="10"/>
      <c r="DS101" s="10"/>
      <c r="DT101" s="10"/>
      <c r="DU101" s="10"/>
      <c r="DV101" s="10"/>
      <c r="DW101" s="10"/>
      <c r="DX101" s="10"/>
      <c r="DY101" s="10"/>
      <c r="DZ101" s="10"/>
      <c r="EA101" s="10"/>
      <c r="EB101" s="10"/>
      <c r="EC101" s="10"/>
      <c r="ED101" s="10"/>
      <c r="EE101" s="10"/>
      <c r="EF101" s="10"/>
      <c r="EG101" s="10"/>
      <c r="EH101" s="10"/>
      <c r="EI101" s="10"/>
      <c r="EJ101" s="10"/>
      <c r="EK101" s="10"/>
      <c r="EL101" s="10"/>
      <c r="EM101" s="10"/>
      <c r="EN101" s="10"/>
      <c r="EO101" s="10"/>
      <c r="EP101" s="10"/>
      <c r="EQ101" s="10"/>
      <c r="ER101" s="10"/>
      <c r="ES101" s="10"/>
      <c r="ET101" s="10"/>
      <c r="EU101" s="10"/>
      <c r="EV101" s="10"/>
      <c r="EW101" s="10"/>
      <c r="EX101" s="10"/>
      <c r="EY101" s="10"/>
      <c r="EZ101" s="10"/>
      <c r="FA101" s="10"/>
      <c r="FB101" s="10"/>
      <c r="FC101" s="10"/>
      <c r="FD101" s="10"/>
      <c r="FE101" s="10"/>
      <c r="FF101" s="10"/>
      <c r="FG101" s="10"/>
      <c r="FH101" s="10"/>
      <c r="FI101" s="10"/>
      <c r="FJ101" s="10"/>
      <c r="FK101" s="10"/>
      <c r="FL101" s="10"/>
      <c r="FM101" s="10"/>
      <c r="FN101" s="10"/>
      <c r="FO101" s="10"/>
      <c r="FP101" s="10"/>
      <c r="FQ101" s="10"/>
      <c r="FR101" s="10"/>
      <c r="FS101" s="10"/>
      <c r="FT101" s="10"/>
      <c r="FU101" s="10"/>
      <c r="FV101" s="10"/>
      <c r="FW101" s="10"/>
      <c r="FX101" s="10"/>
      <c r="FY101" s="10"/>
      <c r="FZ101" s="10"/>
      <c r="GA101" s="10"/>
      <c r="GB101" s="10"/>
      <c r="GC101" s="10"/>
      <c r="GD101" s="10"/>
      <c r="GE101" s="10"/>
      <c r="GF101" s="10"/>
      <c r="GG101" s="10"/>
      <c r="GH101" s="10"/>
      <c r="GI101" s="10"/>
      <c r="GJ101" s="10"/>
      <c r="GK101" s="10"/>
    </row>
    <row r="102" customFormat="false" ht="12.75" hidden="false" customHeight="false" outlineLevel="0" collapsed="false">
      <c r="A102" s="7"/>
      <c r="B102" s="7"/>
      <c r="C102" s="8"/>
      <c r="D102" s="8"/>
      <c r="E102" s="8"/>
      <c r="F102" s="8"/>
      <c r="G102" s="9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10"/>
      <c r="CY102" s="10"/>
      <c r="CZ102" s="10"/>
      <c r="DA102" s="10"/>
      <c r="DB102" s="10"/>
      <c r="DC102" s="10"/>
      <c r="DD102" s="10"/>
      <c r="DE102" s="10"/>
      <c r="DF102" s="10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  <c r="DS102" s="10"/>
      <c r="DT102" s="10"/>
      <c r="DU102" s="10"/>
      <c r="DV102" s="10"/>
      <c r="DW102" s="10"/>
      <c r="DX102" s="10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  <c r="EM102" s="10"/>
      <c r="EN102" s="10"/>
      <c r="EO102" s="10"/>
      <c r="EP102" s="10"/>
      <c r="EQ102" s="10"/>
      <c r="ER102" s="10"/>
      <c r="ES102" s="10"/>
      <c r="ET102" s="10"/>
      <c r="EU102" s="10"/>
      <c r="EV102" s="10"/>
      <c r="EW102" s="10"/>
      <c r="EX102" s="10"/>
      <c r="EY102" s="10"/>
      <c r="EZ102" s="10"/>
      <c r="FA102" s="10"/>
      <c r="FB102" s="10"/>
      <c r="FC102" s="10"/>
      <c r="FD102" s="10"/>
      <c r="FE102" s="10"/>
      <c r="FF102" s="10"/>
      <c r="FG102" s="10"/>
      <c r="FH102" s="10"/>
      <c r="FI102" s="10"/>
      <c r="FJ102" s="10"/>
      <c r="FK102" s="10"/>
      <c r="FL102" s="10"/>
      <c r="FM102" s="10"/>
      <c r="FN102" s="10"/>
      <c r="FO102" s="10"/>
      <c r="FP102" s="10"/>
      <c r="FQ102" s="10"/>
      <c r="FR102" s="10"/>
      <c r="FS102" s="10"/>
      <c r="FT102" s="10"/>
      <c r="FU102" s="10"/>
      <c r="FV102" s="10"/>
      <c r="FW102" s="10"/>
      <c r="FX102" s="10"/>
      <c r="FY102" s="10"/>
      <c r="FZ102" s="10"/>
      <c r="GA102" s="10"/>
      <c r="GB102" s="10"/>
      <c r="GC102" s="10"/>
      <c r="GD102" s="10"/>
      <c r="GE102" s="10"/>
      <c r="GF102" s="10"/>
      <c r="GG102" s="10"/>
      <c r="GH102" s="10"/>
      <c r="GI102" s="10"/>
      <c r="GJ102" s="10"/>
      <c r="GK102" s="10"/>
    </row>
    <row r="103" customFormat="false" ht="12.75" hidden="false" customHeight="false" outlineLevel="0" collapsed="false">
      <c r="A103" s="7"/>
      <c r="B103" s="7"/>
      <c r="C103" s="8"/>
      <c r="D103" s="8"/>
      <c r="E103" s="8"/>
      <c r="F103" s="8"/>
      <c r="G103" s="9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10"/>
      <c r="CY103" s="10"/>
      <c r="CZ103" s="10"/>
      <c r="DA103" s="10"/>
      <c r="DB103" s="10"/>
      <c r="DC103" s="10"/>
      <c r="DD103" s="10"/>
      <c r="DE103" s="10"/>
      <c r="DF103" s="10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  <c r="EM103" s="10"/>
      <c r="EN103" s="10"/>
      <c r="EO103" s="10"/>
      <c r="EP103" s="10"/>
      <c r="EQ103" s="10"/>
      <c r="ER103" s="10"/>
      <c r="ES103" s="10"/>
      <c r="ET103" s="10"/>
      <c r="EU103" s="10"/>
      <c r="EV103" s="10"/>
      <c r="EW103" s="10"/>
      <c r="EX103" s="10"/>
      <c r="EY103" s="10"/>
      <c r="EZ103" s="10"/>
      <c r="FA103" s="10"/>
      <c r="FB103" s="10"/>
      <c r="FC103" s="10"/>
      <c r="FD103" s="10"/>
      <c r="FE103" s="10"/>
      <c r="FF103" s="10"/>
      <c r="FG103" s="10"/>
      <c r="FH103" s="10"/>
      <c r="FI103" s="10"/>
      <c r="FJ103" s="10"/>
      <c r="FK103" s="10"/>
      <c r="FL103" s="10"/>
      <c r="FM103" s="10"/>
      <c r="FN103" s="10"/>
      <c r="FO103" s="10"/>
      <c r="FP103" s="10"/>
      <c r="FQ103" s="10"/>
      <c r="FR103" s="10"/>
      <c r="FS103" s="10"/>
      <c r="FT103" s="10"/>
      <c r="FU103" s="10"/>
      <c r="FV103" s="10"/>
      <c r="FW103" s="10"/>
      <c r="FX103" s="10"/>
      <c r="FY103" s="10"/>
      <c r="FZ103" s="10"/>
      <c r="GA103" s="10"/>
      <c r="GB103" s="10"/>
      <c r="GC103" s="10"/>
      <c r="GD103" s="10"/>
      <c r="GE103" s="10"/>
      <c r="GF103" s="10"/>
      <c r="GG103" s="10"/>
      <c r="GH103" s="10"/>
      <c r="GI103" s="10"/>
      <c r="GJ103" s="10"/>
      <c r="GK103" s="10"/>
    </row>
    <row r="104" customFormat="false" ht="12.75" hidden="false" customHeight="false" outlineLevel="0" collapsed="false">
      <c r="A104" s="7"/>
      <c r="B104" s="7"/>
      <c r="C104" s="8"/>
      <c r="D104" s="8"/>
      <c r="E104" s="8"/>
      <c r="F104" s="8"/>
      <c r="G104" s="9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  <c r="EM104" s="10"/>
      <c r="EN104" s="10"/>
      <c r="EO104" s="10"/>
      <c r="EP104" s="10"/>
      <c r="EQ104" s="10"/>
      <c r="ER104" s="10"/>
      <c r="ES104" s="10"/>
      <c r="ET104" s="10"/>
      <c r="EU104" s="10"/>
      <c r="EV104" s="10"/>
      <c r="EW104" s="10"/>
      <c r="EX104" s="10"/>
      <c r="EY104" s="10"/>
      <c r="EZ104" s="10"/>
      <c r="FA104" s="10"/>
      <c r="FB104" s="10"/>
      <c r="FC104" s="10"/>
      <c r="FD104" s="10"/>
      <c r="FE104" s="10"/>
      <c r="FF104" s="10"/>
      <c r="FG104" s="10"/>
      <c r="FH104" s="10"/>
      <c r="FI104" s="10"/>
      <c r="FJ104" s="10"/>
      <c r="FK104" s="10"/>
      <c r="FL104" s="10"/>
      <c r="FM104" s="10"/>
      <c r="FN104" s="10"/>
      <c r="FO104" s="10"/>
      <c r="FP104" s="10"/>
      <c r="FQ104" s="10"/>
      <c r="FR104" s="10"/>
      <c r="FS104" s="10"/>
      <c r="FT104" s="10"/>
      <c r="FU104" s="10"/>
      <c r="FV104" s="10"/>
      <c r="FW104" s="10"/>
      <c r="FX104" s="10"/>
      <c r="FY104" s="10"/>
      <c r="FZ104" s="10"/>
      <c r="GA104" s="10"/>
      <c r="GB104" s="10"/>
      <c r="GC104" s="10"/>
      <c r="GD104" s="10"/>
      <c r="GE104" s="10"/>
      <c r="GF104" s="10"/>
      <c r="GG104" s="10"/>
      <c r="GH104" s="10"/>
      <c r="GI104" s="10"/>
      <c r="GJ104" s="10"/>
      <c r="GK104" s="10"/>
    </row>
    <row r="105" customFormat="false" ht="12.75" hidden="false" customHeight="false" outlineLevel="0" collapsed="false">
      <c r="A105" s="7"/>
      <c r="B105" s="7"/>
      <c r="C105" s="8"/>
      <c r="D105" s="8"/>
      <c r="E105" s="8"/>
      <c r="F105" s="8"/>
      <c r="G105" s="9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  <c r="DB105" s="10"/>
      <c r="DC105" s="10"/>
      <c r="DD105" s="10"/>
      <c r="DE105" s="10"/>
      <c r="DF105" s="10"/>
      <c r="DG105" s="10"/>
      <c r="DH105" s="10"/>
      <c r="DI105" s="10"/>
      <c r="DJ105" s="10"/>
      <c r="DK105" s="10"/>
      <c r="DL105" s="10"/>
      <c r="DM105" s="10"/>
      <c r="DN105" s="10"/>
      <c r="DO105" s="10"/>
      <c r="DP105" s="10"/>
      <c r="DQ105" s="10"/>
      <c r="DR105" s="10"/>
      <c r="DS105" s="10"/>
      <c r="DT105" s="10"/>
      <c r="DU105" s="10"/>
      <c r="DV105" s="10"/>
      <c r="DW105" s="10"/>
      <c r="DX105" s="10"/>
      <c r="DY105" s="10"/>
      <c r="DZ105" s="10"/>
      <c r="EA105" s="10"/>
      <c r="EB105" s="10"/>
      <c r="EC105" s="10"/>
      <c r="ED105" s="10"/>
      <c r="EE105" s="10"/>
      <c r="EF105" s="10"/>
      <c r="EG105" s="10"/>
      <c r="EH105" s="10"/>
      <c r="EI105" s="10"/>
      <c r="EJ105" s="10"/>
      <c r="EK105" s="10"/>
      <c r="EL105" s="10"/>
      <c r="EM105" s="10"/>
      <c r="EN105" s="10"/>
      <c r="EO105" s="10"/>
      <c r="EP105" s="10"/>
      <c r="EQ105" s="10"/>
      <c r="ER105" s="10"/>
      <c r="ES105" s="10"/>
      <c r="ET105" s="10"/>
      <c r="EU105" s="10"/>
      <c r="EV105" s="10"/>
      <c r="EW105" s="10"/>
      <c r="EX105" s="10"/>
      <c r="EY105" s="10"/>
      <c r="EZ105" s="10"/>
      <c r="FA105" s="10"/>
      <c r="FB105" s="10"/>
      <c r="FC105" s="10"/>
      <c r="FD105" s="10"/>
      <c r="FE105" s="10"/>
      <c r="FF105" s="10"/>
      <c r="FG105" s="10"/>
      <c r="FH105" s="10"/>
      <c r="FI105" s="10"/>
      <c r="FJ105" s="10"/>
      <c r="FK105" s="10"/>
      <c r="FL105" s="10"/>
      <c r="FM105" s="10"/>
      <c r="FN105" s="10"/>
      <c r="FO105" s="10"/>
      <c r="FP105" s="10"/>
      <c r="FQ105" s="10"/>
      <c r="FR105" s="10"/>
      <c r="FS105" s="10"/>
      <c r="FT105" s="10"/>
      <c r="FU105" s="10"/>
      <c r="FV105" s="10"/>
      <c r="FW105" s="10"/>
      <c r="FX105" s="10"/>
      <c r="FY105" s="10"/>
      <c r="FZ105" s="10"/>
      <c r="GA105" s="10"/>
      <c r="GB105" s="10"/>
      <c r="GC105" s="10"/>
      <c r="GD105" s="10"/>
      <c r="GE105" s="10"/>
      <c r="GF105" s="10"/>
      <c r="GG105" s="10"/>
      <c r="GH105" s="10"/>
      <c r="GI105" s="10"/>
      <c r="GJ105" s="10"/>
      <c r="GK105" s="10"/>
    </row>
    <row r="106" customFormat="false" ht="12.75" hidden="false" customHeight="false" outlineLevel="0" collapsed="false">
      <c r="A106" s="7"/>
      <c r="B106" s="7"/>
      <c r="C106" s="8"/>
      <c r="D106" s="8"/>
      <c r="E106" s="8"/>
      <c r="F106" s="8"/>
      <c r="G106" s="9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10"/>
      <c r="DJ106" s="10"/>
      <c r="DK106" s="10"/>
      <c r="DL106" s="10"/>
      <c r="DM106" s="10"/>
      <c r="DN106" s="10"/>
      <c r="DO106" s="10"/>
      <c r="DP106" s="10"/>
      <c r="DQ106" s="10"/>
      <c r="DR106" s="10"/>
      <c r="DS106" s="10"/>
      <c r="DT106" s="10"/>
      <c r="DU106" s="10"/>
      <c r="DV106" s="10"/>
      <c r="DW106" s="10"/>
      <c r="DX106" s="10"/>
      <c r="DY106" s="10"/>
      <c r="DZ106" s="10"/>
      <c r="EA106" s="10"/>
      <c r="EB106" s="10"/>
      <c r="EC106" s="10"/>
      <c r="ED106" s="10"/>
      <c r="EE106" s="10"/>
      <c r="EF106" s="10"/>
      <c r="EG106" s="10"/>
      <c r="EH106" s="10"/>
      <c r="EI106" s="10"/>
      <c r="EJ106" s="10"/>
      <c r="EK106" s="10"/>
      <c r="EL106" s="10"/>
      <c r="EM106" s="10"/>
      <c r="EN106" s="10"/>
      <c r="EO106" s="10"/>
      <c r="EP106" s="10"/>
      <c r="EQ106" s="10"/>
      <c r="ER106" s="10"/>
      <c r="ES106" s="10"/>
      <c r="ET106" s="10"/>
      <c r="EU106" s="10"/>
      <c r="EV106" s="10"/>
      <c r="EW106" s="10"/>
      <c r="EX106" s="10"/>
      <c r="EY106" s="10"/>
      <c r="EZ106" s="10"/>
      <c r="FA106" s="10"/>
      <c r="FB106" s="10"/>
      <c r="FC106" s="10"/>
      <c r="FD106" s="10"/>
      <c r="FE106" s="10"/>
      <c r="FF106" s="10"/>
      <c r="FG106" s="10"/>
      <c r="FH106" s="10"/>
      <c r="FI106" s="10"/>
      <c r="FJ106" s="10"/>
      <c r="FK106" s="10"/>
      <c r="FL106" s="10"/>
      <c r="FM106" s="10"/>
      <c r="FN106" s="10"/>
      <c r="FO106" s="10"/>
      <c r="FP106" s="10"/>
      <c r="FQ106" s="10"/>
      <c r="FR106" s="10"/>
      <c r="FS106" s="10"/>
      <c r="FT106" s="10"/>
      <c r="FU106" s="10"/>
      <c r="FV106" s="10"/>
      <c r="FW106" s="10"/>
      <c r="FX106" s="10"/>
      <c r="FY106" s="10"/>
      <c r="FZ106" s="10"/>
      <c r="GA106" s="10"/>
      <c r="GB106" s="10"/>
      <c r="GC106" s="10"/>
      <c r="GD106" s="10"/>
      <c r="GE106" s="10"/>
      <c r="GF106" s="10"/>
      <c r="GG106" s="10"/>
      <c r="GH106" s="10"/>
      <c r="GI106" s="10"/>
      <c r="GJ106" s="10"/>
      <c r="GK106" s="10"/>
    </row>
    <row r="107" customFormat="false" ht="12.75" hidden="false" customHeight="false" outlineLevel="0" collapsed="false">
      <c r="A107" s="7"/>
      <c r="B107" s="7"/>
      <c r="C107" s="8"/>
      <c r="D107" s="8"/>
      <c r="E107" s="8"/>
      <c r="F107" s="8"/>
      <c r="G107" s="9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10"/>
      <c r="DB107" s="10"/>
      <c r="DC107" s="10"/>
      <c r="DD107" s="10"/>
      <c r="DE107" s="10"/>
      <c r="DF107" s="10"/>
      <c r="DG107" s="10"/>
      <c r="DH107" s="10"/>
      <c r="DI107" s="10"/>
      <c r="DJ107" s="10"/>
      <c r="DK107" s="10"/>
      <c r="DL107" s="10"/>
      <c r="DM107" s="10"/>
      <c r="DN107" s="10"/>
      <c r="DO107" s="10"/>
      <c r="DP107" s="10"/>
      <c r="DQ107" s="10"/>
      <c r="DR107" s="10"/>
      <c r="DS107" s="10"/>
      <c r="DT107" s="10"/>
      <c r="DU107" s="10"/>
      <c r="DV107" s="10"/>
      <c r="DW107" s="10"/>
      <c r="DX107" s="10"/>
      <c r="DY107" s="10"/>
      <c r="DZ107" s="10"/>
      <c r="EA107" s="10"/>
      <c r="EB107" s="10"/>
      <c r="EC107" s="10"/>
      <c r="ED107" s="10"/>
      <c r="EE107" s="10"/>
      <c r="EF107" s="10"/>
      <c r="EG107" s="10"/>
      <c r="EH107" s="10"/>
      <c r="EI107" s="10"/>
      <c r="EJ107" s="10"/>
      <c r="EK107" s="10"/>
      <c r="EL107" s="10"/>
      <c r="EM107" s="10"/>
      <c r="EN107" s="10"/>
      <c r="EO107" s="10"/>
      <c r="EP107" s="10"/>
      <c r="EQ107" s="10"/>
      <c r="ER107" s="10"/>
      <c r="ES107" s="10"/>
      <c r="ET107" s="10"/>
      <c r="EU107" s="10"/>
      <c r="EV107" s="10"/>
      <c r="EW107" s="10"/>
      <c r="EX107" s="10"/>
      <c r="EY107" s="10"/>
      <c r="EZ107" s="10"/>
      <c r="FA107" s="10"/>
      <c r="FB107" s="10"/>
      <c r="FC107" s="10"/>
      <c r="FD107" s="10"/>
      <c r="FE107" s="10"/>
      <c r="FF107" s="10"/>
      <c r="FG107" s="10"/>
      <c r="FH107" s="10"/>
      <c r="FI107" s="10"/>
      <c r="FJ107" s="10"/>
      <c r="FK107" s="10"/>
      <c r="FL107" s="10"/>
      <c r="FM107" s="10"/>
      <c r="FN107" s="10"/>
      <c r="FO107" s="10"/>
      <c r="FP107" s="10"/>
      <c r="FQ107" s="10"/>
      <c r="FR107" s="10"/>
      <c r="FS107" s="10"/>
      <c r="FT107" s="10"/>
      <c r="FU107" s="10"/>
      <c r="FV107" s="10"/>
      <c r="FW107" s="10"/>
      <c r="FX107" s="10"/>
      <c r="FY107" s="10"/>
      <c r="FZ107" s="10"/>
      <c r="GA107" s="10"/>
      <c r="GB107" s="10"/>
      <c r="GC107" s="10"/>
      <c r="GD107" s="10"/>
      <c r="GE107" s="10"/>
      <c r="GF107" s="10"/>
      <c r="GG107" s="10"/>
      <c r="GH107" s="10"/>
      <c r="GI107" s="10"/>
      <c r="GJ107" s="10"/>
      <c r="GK107" s="10"/>
    </row>
    <row r="108" customFormat="false" ht="12.75" hidden="false" customHeight="false" outlineLevel="0" collapsed="false">
      <c r="A108" s="7"/>
      <c r="B108" s="7"/>
      <c r="C108" s="8"/>
      <c r="D108" s="8"/>
      <c r="E108" s="8"/>
      <c r="F108" s="8"/>
      <c r="G108" s="9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  <c r="DB108" s="10"/>
      <c r="DC108" s="10"/>
      <c r="DD108" s="10"/>
      <c r="DE108" s="10"/>
      <c r="DF108" s="10"/>
      <c r="DG108" s="10"/>
      <c r="DH108" s="10"/>
      <c r="DI108" s="10"/>
      <c r="DJ108" s="10"/>
      <c r="DK108" s="10"/>
      <c r="DL108" s="10"/>
      <c r="DM108" s="10"/>
      <c r="DN108" s="10"/>
      <c r="DO108" s="10"/>
      <c r="DP108" s="10"/>
      <c r="DQ108" s="10"/>
      <c r="DR108" s="10"/>
      <c r="DS108" s="10"/>
      <c r="DT108" s="10"/>
      <c r="DU108" s="10"/>
      <c r="DV108" s="10"/>
      <c r="DW108" s="10"/>
      <c r="DX108" s="10"/>
      <c r="DY108" s="10"/>
      <c r="DZ108" s="10"/>
      <c r="EA108" s="10"/>
      <c r="EB108" s="10"/>
      <c r="EC108" s="10"/>
      <c r="ED108" s="10"/>
      <c r="EE108" s="10"/>
      <c r="EF108" s="10"/>
      <c r="EG108" s="10"/>
      <c r="EH108" s="10"/>
      <c r="EI108" s="10"/>
      <c r="EJ108" s="10"/>
      <c r="EK108" s="10"/>
      <c r="EL108" s="10"/>
      <c r="EM108" s="10"/>
      <c r="EN108" s="10"/>
      <c r="EO108" s="10"/>
      <c r="EP108" s="10"/>
      <c r="EQ108" s="10"/>
      <c r="ER108" s="10"/>
      <c r="ES108" s="10"/>
      <c r="ET108" s="10"/>
      <c r="EU108" s="10"/>
      <c r="EV108" s="10"/>
      <c r="EW108" s="10"/>
      <c r="EX108" s="10"/>
      <c r="EY108" s="10"/>
      <c r="EZ108" s="10"/>
      <c r="FA108" s="10"/>
      <c r="FB108" s="10"/>
      <c r="FC108" s="10"/>
      <c r="FD108" s="10"/>
      <c r="FE108" s="10"/>
      <c r="FF108" s="10"/>
      <c r="FG108" s="10"/>
      <c r="FH108" s="10"/>
      <c r="FI108" s="10"/>
      <c r="FJ108" s="10"/>
      <c r="FK108" s="10"/>
      <c r="FL108" s="10"/>
      <c r="FM108" s="10"/>
      <c r="FN108" s="10"/>
      <c r="FO108" s="10"/>
      <c r="FP108" s="10"/>
      <c r="FQ108" s="10"/>
      <c r="FR108" s="10"/>
      <c r="FS108" s="10"/>
      <c r="FT108" s="10"/>
      <c r="FU108" s="10"/>
      <c r="FV108" s="10"/>
      <c r="FW108" s="10"/>
      <c r="FX108" s="10"/>
      <c r="FY108" s="10"/>
      <c r="FZ108" s="10"/>
      <c r="GA108" s="10"/>
      <c r="GB108" s="10"/>
      <c r="GC108" s="10"/>
      <c r="GD108" s="10"/>
      <c r="GE108" s="10"/>
      <c r="GF108" s="10"/>
      <c r="GG108" s="10"/>
      <c r="GH108" s="10"/>
      <c r="GI108" s="10"/>
      <c r="GJ108" s="10"/>
      <c r="GK108" s="10"/>
    </row>
    <row r="109" customFormat="false" ht="12.75" hidden="false" customHeight="false" outlineLevel="0" collapsed="false">
      <c r="A109" s="7"/>
      <c r="B109" s="7"/>
      <c r="C109" s="8"/>
      <c r="D109" s="8"/>
      <c r="E109" s="8"/>
      <c r="F109" s="8"/>
      <c r="G109" s="9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  <c r="EM109" s="10"/>
      <c r="EN109" s="10"/>
      <c r="EO109" s="10"/>
      <c r="EP109" s="10"/>
      <c r="EQ109" s="10"/>
      <c r="ER109" s="10"/>
      <c r="ES109" s="10"/>
      <c r="ET109" s="10"/>
      <c r="EU109" s="10"/>
      <c r="EV109" s="10"/>
      <c r="EW109" s="10"/>
      <c r="EX109" s="10"/>
      <c r="EY109" s="10"/>
      <c r="EZ109" s="10"/>
      <c r="FA109" s="10"/>
      <c r="FB109" s="10"/>
      <c r="FC109" s="10"/>
      <c r="FD109" s="10"/>
      <c r="FE109" s="10"/>
      <c r="FF109" s="10"/>
      <c r="FG109" s="10"/>
      <c r="FH109" s="10"/>
      <c r="FI109" s="10"/>
      <c r="FJ109" s="10"/>
      <c r="FK109" s="10"/>
      <c r="FL109" s="10"/>
      <c r="FM109" s="10"/>
      <c r="FN109" s="10"/>
      <c r="FO109" s="10"/>
      <c r="FP109" s="10"/>
      <c r="FQ109" s="10"/>
      <c r="FR109" s="10"/>
      <c r="FS109" s="10"/>
      <c r="FT109" s="10"/>
      <c r="FU109" s="10"/>
      <c r="FV109" s="10"/>
      <c r="FW109" s="10"/>
      <c r="FX109" s="10"/>
      <c r="FY109" s="10"/>
      <c r="FZ109" s="10"/>
      <c r="GA109" s="10"/>
      <c r="GB109" s="10"/>
      <c r="GC109" s="10"/>
      <c r="GD109" s="10"/>
      <c r="GE109" s="10"/>
      <c r="GF109" s="10"/>
      <c r="GG109" s="10"/>
      <c r="GH109" s="10"/>
      <c r="GI109" s="10"/>
      <c r="GJ109" s="10"/>
      <c r="GK109" s="10"/>
    </row>
    <row r="110" customFormat="false" ht="12.75" hidden="false" customHeight="false" outlineLevel="0" collapsed="false">
      <c r="A110" s="7"/>
      <c r="B110" s="7"/>
      <c r="C110" s="8"/>
      <c r="D110" s="8"/>
      <c r="E110" s="8"/>
      <c r="F110" s="8"/>
      <c r="G110" s="9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  <c r="DN110" s="10"/>
      <c r="DO110" s="10"/>
      <c r="DP110" s="10"/>
      <c r="DQ110" s="10"/>
      <c r="DR110" s="10"/>
      <c r="DS110" s="10"/>
      <c r="DT110" s="10"/>
      <c r="DU110" s="10"/>
      <c r="DV110" s="10"/>
      <c r="DW110" s="10"/>
      <c r="DX110" s="10"/>
      <c r="DY110" s="10"/>
      <c r="DZ110" s="10"/>
      <c r="EA110" s="10"/>
      <c r="EB110" s="10"/>
      <c r="EC110" s="10"/>
      <c r="ED110" s="10"/>
      <c r="EE110" s="10"/>
      <c r="EF110" s="10"/>
      <c r="EG110" s="10"/>
      <c r="EH110" s="10"/>
      <c r="EI110" s="10"/>
      <c r="EJ110" s="10"/>
      <c r="EK110" s="10"/>
      <c r="EL110" s="10"/>
      <c r="EM110" s="10"/>
      <c r="EN110" s="10"/>
      <c r="EO110" s="10"/>
      <c r="EP110" s="10"/>
      <c r="EQ110" s="10"/>
      <c r="ER110" s="10"/>
      <c r="ES110" s="10"/>
      <c r="ET110" s="10"/>
      <c r="EU110" s="10"/>
      <c r="EV110" s="10"/>
      <c r="EW110" s="10"/>
      <c r="EX110" s="10"/>
      <c r="EY110" s="10"/>
      <c r="EZ110" s="10"/>
      <c r="FA110" s="10"/>
      <c r="FB110" s="10"/>
      <c r="FC110" s="10"/>
      <c r="FD110" s="10"/>
      <c r="FE110" s="10"/>
      <c r="FF110" s="10"/>
      <c r="FG110" s="10"/>
      <c r="FH110" s="10"/>
      <c r="FI110" s="10"/>
      <c r="FJ110" s="10"/>
      <c r="FK110" s="10"/>
      <c r="FL110" s="10"/>
      <c r="FM110" s="10"/>
      <c r="FN110" s="10"/>
      <c r="FO110" s="10"/>
      <c r="FP110" s="10"/>
      <c r="FQ110" s="10"/>
      <c r="FR110" s="10"/>
      <c r="FS110" s="10"/>
      <c r="FT110" s="10"/>
      <c r="FU110" s="10"/>
      <c r="FV110" s="10"/>
      <c r="FW110" s="10"/>
      <c r="FX110" s="10"/>
      <c r="FY110" s="10"/>
      <c r="FZ110" s="10"/>
      <c r="GA110" s="10"/>
      <c r="GB110" s="10"/>
      <c r="GC110" s="10"/>
      <c r="GD110" s="10"/>
      <c r="GE110" s="10"/>
      <c r="GF110" s="10"/>
      <c r="GG110" s="10"/>
      <c r="GH110" s="10"/>
      <c r="GI110" s="10"/>
      <c r="GJ110" s="10"/>
      <c r="GK110" s="10"/>
    </row>
    <row r="111" customFormat="false" ht="12.75" hidden="false" customHeight="false" outlineLevel="0" collapsed="false">
      <c r="A111" s="7"/>
      <c r="B111" s="7"/>
      <c r="C111" s="8"/>
      <c r="D111" s="8"/>
      <c r="E111" s="8"/>
      <c r="F111" s="8"/>
      <c r="G111" s="9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10"/>
      <c r="DL111" s="10"/>
      <c r="DM111" s="10"/>
      <c r="DN111" s="10"/>
      <c r="DO111" s="10"/>
      <c r="DP111" s="10"/>
      <c r="DQ111" s="10"/>
      <c r="DR111" s="10"/>
      <c r="DS111" s="10"/>
      <c r="DT111" s="10"/>
      <c r="DU111" s="10"/>
      <c r="DV111" s="10"/>
      <c r="DW111" s="10"/>
      <c r="DX111" s="10"/>
      <c r="DY111" s="10"/>
      <c r="DZ111" s="10"/>
      <c r="EA111" s="10"/>
      <c r="EB111" s="10"/>
      <c r="EC111" s="10"/>
      <c r="ED111" s="10"/>
      <c r="EE111" s="10"/>
      <c r="EF111" s="10"/>
      <c r="EG111" s="10"/>
      <c r="EH111" s="10"/>
      <c r="EI111" s="10"/>
      <c r="EJ111" s="10"/>
      <c r="EK111" s="10"/>
      <c r="EL111" s="10"/>
      <c r="EM111" s="10"/>
      <c r="EN111" s="10"/>
      <c r="EO111" s="10"/>
      <c r="EP111" s="10"/>
      <c r="EQ111" s="10"/>
      <c r="ER111" s="10"/>
      <c r="ES111" s="10"/>
      <c r="ET111" s="10"/>
      <c r="EU111" s="10"/>
      <c r="EV111" s="10"/>
      <c r="EW111" s="10"/>
      <c r="EX111" s="10"/>
      <c r="EY111" s="10"/>
      <c r="EZ111" s="10"/>
      <c r="FA111" s="10"/>
      <c r="FB111" s="10"/>
      <c r="FC111" s="10"/>
      <c r="FD111" s="10"/>
      <c r="FE111" s="10"/>
      <c r="FF111" s="10"/>
      <c r="FG111" s="10"/>
      <c r="FH111" s="10"/>
      <c r="FI111" s="10"/>
      <c r="FJ111" s="10"/>
      <c r="FK111" s="10"/>
      <c r="FL111" s="10"/>
      <c r="FM111" s="10"/>
      <c r="FN111" s="10"/>
      <c r="FO111" s="10"/>
      <c r="FP111" s="10"/>
      <c r="FQ111" s="10"/>
      <c r="FR111" s="10"/>
      <c r="FS111" s="10"/>
      <c r="FT111" s="10"/>
      <c r="FU111" s="10"/>
      <c r="FV111" s="10"/>
      <c r="FW111" s="10"/>
      <c r="FX111" s="10"/>
      <c r="FY111" s="10"/>
      <c r="FZ111" s="10"/>
      <c r="GA111" s="10"/>
      <c r="GB111" s="10"/>
      <c r="GC111" s="10"/>
      <c r="GD111" s="10"/>
      <c r="GE111" s="10"/>
      <c r="GF111" s="10"/>
      <c r="GG111" s="10"/>
      <c r="GH111" s="10"/>
      <c r="GI111" s="10"/>
      <c r="GJ111" s="10"/>
      <c r="GK111" s="10"/>
    </row>
    <row r="112" customFormat="false" ht="12.75" hidden="false" customHeight="false" outlineLevel="0" collapsed="false">
      <c r="A112" s="7"/>
      <c r="B112" s="7"/>
      <c r="C112" s="8"/>
      <c r="D112" s="8"/>
      <c r="E112" s="8"/>
      <c r="F112" s="8"/>
      <c r="G112" s="9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  <c r="DB112" s="10"/>
      <c r="DC112" s="10"/>
      <c r="DD112" s="10"/>
      <c r="DE112" s="10"/>
      <c r="DF112" s="10"/>
      <c r="DG112" s="10"/>
      <c r="DH112" s="10"/>
      <c r="DI112" s="10"/>
      <c r="DJ112" s="10"/>
      <c r="DK112" s="10"/>
      <c r="DL112" s="10"/>
      <c r="DM112" s="10"/>
      <c r="DN112" s="10"/>
      <c r="DO112" s="10"/>
      <c r="DP112" s="10"/>
      <c r="DQ112" s="10"/>
      <c r="DR112" s="10"/>
      <c r="DS112" s="10"/>
      <c r="DT112" s="10"/>
      <c r="DU112" s="10"/>
      <c r="DV112" s="10"/>
      <c r="DW112" s="10"/>
      <c r="DX112" s="10"/>
      <c r="DY112" s="10"/>
      <c r="DZ112" s="10"/>
      <c r="EA112" s="10"/>
      <c r="EB112" s="10"/>
      <c r="EC112" s="10"/>
      <c r="ED112" s="10"/>
      <c r="EE112" s="10"/>
      <c r="EF112" s="10"/>
      <c r="EG112" s="10"/>
      <c r="EH112" s="10"/>
      <c r="EI112" s="10"/>
      <c r="EJ112" s="10"/>
      <c r="EK112" s="10"/>
      <c r="EL112" s="10"/>
      <c r="EM112" s="10"/>
      <c r="EN112" s="10"/>
      <c r="EO112" s="10"/>
      <c r="EP112" s="10"/>
      <c r="EQ112" s="10"/>
      <c r="ER112" s="10"/>
      <c r="ES112" s="10"/>
      <c r="ET112" s="10"/>
      <c r="EU112" s="10"/>
      <c r="EV112" s="10"/>
      <c r="EW112" s="10"/>
      <c r="EX112" s="10"/>
      <c r="EY112" s="10"/>
      <c r="EZ112" s="10"/>
      <c r="FA112" s="10"/>
      <c r="FB112" s="10"/>
      <c r="FC112" s="10"/>
      <c r="FD112" s="10"/>
      <c r="FE112" s="10"/>
      <c r="FF112" s="10"/>
      <c r="FG112" s="10"/>
      <c r="FH112" s="10"/>
      <c r="FI112" s="10"/>
      <c r="FJ112" s="10"/>
      <c r="FK112" s="10"/>
      <c r="FL112" s="10"/>
      <c r="FM112" s="10"/>
      <c r="FN112" s="10"/>
      <c r="FO112" s="10"/>
      <c r="FP112" s="10"/>
      <c r="FQ112" s="10"/>
      <c r="FR112" s="10"/>
      <c r="FS112" s="10"/>
      <c r="FT112" s="10"/>
      <c r="FU112" s="10"/>
      <c r="FV112" s="10"/>
      <c r="FW112" s="10"/>
      <c r="FX112" s="10"/>
      <c r="FY112" s="10"/>
      <c r="FZ112" s="10"/>
      <c r="GA112" s="10"/>
      <c r="GB112" s="10"/>
      <c r="GC112" s="10"/>
      <c r="GD112" s="10"/>
      <c r="GE112" s="10"/>
      <c r="GF112" s="10"/>
      <c r="GG112" s="10"/>
      <c r="GH112" s="10"/>
      <c r="GI112" s="10"/>
      <c r="GJ112" s="10"/>
      <c r="GK112" s="10"/>
    </row>
    <row r="113" customFormat="false" ht="12.75" hidden="false" customHeight="false" outlineLevel="0" collapsed="false">
      <c r="A113" s="7"/>
      <c r="B113" s="7"/>
      <c r="C113" s="8"/>
      <c r="D113" s="8"/>
      <c r="E113" s="8"/>
      <c r="F113" s="8"/>
      <c r="G113" s="9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  <c r="DL113" s="10"/>
      <c r="DM113" s="10"/>
      <c r="DN113" s="10"/>
      <c r="DO113" s="10"/>
      <c r="DP113" s="10"/>
      <c r="DQ113" s="10"/>
      <c r="DR113" s="10"/>
      <c r="DS113" s="10"/>
      <c r="DT113" s="10"/>
      <c r="DU113" s="10"/>
      <c r="DV113" s="10"/>
      <c r="DW113" s="10"/>
      <c r="DX113" s="10"/>
      <c r="DY113" s="10"/>
      <c r="DZ113" s="10"/>
      <c r="EA113" s="10"/>
      <c r="EB113" s="10"/>
      <c r="EC113" s="10"/>
      <c r="ED113" s="10"/>
      <c r="EE113" s="10"/>
      <c r="EF113" s="10"/>
      <c r="EG113" s="10"/>
      <c r="EH113" s="10"/>
      <c r="EI113" s="10"/>
      <c r="EJ113" s="10"/>
      <c r="EK113" s="10"/>
      <c r="EL113" s="10"/>
      <c r="EM113" s="10"/>
      <c r="EN113" s="10"/>
      <c r="EO113" s="10"/>
      <c r="EP113" s="10"/>
      <c r="EQ113" s="10"/>
      <c r="ER113" s="10"/>
      <c r="ES113" s="10"/>
      <c r="ET113" s="10"/>
      <c r="EU113" s="10"/>
      <c r="EV113" s="10"/>
      <c r="EW113" s="10"/>
      <c r="EX113" s="10"/>
      <c r="EY113" s="10"/>
      <c r="EZ113" s="10"/>
      <c r="FA113" s="10"/>
      <c r="FB113" s="10"/>
      <c r="FC113" s="10"/>
      <c r="FD113" s="10"/>
      <c r="FE113" s="10"/>
      <c r="FF113" s="10"/>
      <c r="FG113" s="10"/>
      <c r="FH113" s="10"/>
      <c r="FI113" s="10"/>
      <c r="FJ113" s="10"/>
      <c r="FK113" s="10"/>
      <c r="FL113" s="10"/>
      <c r="FM113" s="10"/>
      <c r="FN113" s="10"/>
      <c r="FO113" s="10"/>
      <c r="FP113" s="10"/>
      <c r="FQ113" s="10"/>
      <c r="FR113" s="10"/>
      <c r="FS113" s="10"/>
      <c r="FT113" s="10"/>
      <c r="FU113" s="10"/>
      <c r="FV113" s="10"/>
      <c r="FW113" s="10"/>
      <c r="FX113" s="10"/>
      <c r="FY113" s="10"/>
      <c r="FZ113" s="10"/>
      <c r="GA113" s="10"/>
      <c r="GB113" s="10"/>
      <c r="GC113" s="10"/>
      <c r="GD113" s="10"/>
      <c r="GE113" s="10"/>
      <c r="GF113" s="10"/>
      <c r="GG113" s="10"/>
      <c r="GH113" s="10"/>
      <c r="GI113" s="10"/>
      <c r="GJ113" s="10"/>
      <c r="GK113" s="10"/>
    </row>
    <row r="114" customFormat="false" ht="12.75" hidden="false" customHeight="false" outlineLevel="0" collapsed="false">
      <c r="A114" s="7"/>
      <c r="B114" s="7"/>
      <c r="C114" s="8"/>
      <c r="D114" s="8"/>
      <c r="E114" s="8"/>
      <c r="F114" s="8"/>
      <c r="G114" s="9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/>
      <c r="DC114" s="10"/>
      <c r="DD114" s="10"/>
      <c r="DE114" s="10"/>
      <c r="DF114" s="10"/>
      <c r="DG114" s="10"/>
      <c r="DH114" s="10"/>
      <c r="DI114" s="10"/>
      <c r="DJ114" s="10"/>
      <c r="DK114" s="10"/>
      <c r="DL114" s="10"/>
      <c r="DM114" s="10"/>
      <c r="DN114" s="10"/>
      <c r="DO114" s="10"/>
      <c r="DP114" s="10"/>
      <c r="DQ114" s="10"/>
      <c r="DR114" s="10"/>
      <c r="DS114" s="10"/>
      <c r="DT114" s="10"/>
      <c r="DU114" s="10"/>
      <c r="DV114" s="10"/>
      <c r="DW114" s="10"/>
      <c r="DX114" s="10"/>
      <c r="DY114" s="10"/>
      <c r="DZ114" s="10"/>
      <c r="EA114" s="10"/>
      <c r="EB114" s="10"/>
      <c r="EC114" s="10"/>
      <c r="ED114" s="10"/>
      <c r="EE114" s="10"/>
      <c r="EF114" s="10"/>
      <c r="EG114" s="10"/>
      <c r="EH114" s="10"/>
      <c r="EI114" s="10"/>
      <c r="EJ114" s="10"/>
      <c r="EK114" s="10"/>
      <c r="EL114" s="10"/>
      <c r="EM114" s="10"/>
      <c r="EN114" s="10"/>
      <c r="EO114" s="10"/>
      <c r="EP114" s="10"/>
      <c r="EQ114" s="10"/>
      <c r="ER114" s="10"/>
      <c r="ES114" s="10"/>
      <c r="ET114" s="10"/>
      <c r="EU114" s="10"/>
      <c r="EV114" s="10"/>
      <c r="EW114" s="10"/>
      <c r="EX114" s="10"/>
      <c r="EY114" s="10"/>
      <c r="EZ114" s="10"/>
      <c r="FA114" s="10"/>
      <c r="FB114" s="10"/>
      <c r="FC114" s="10"/>
      <c r="FD114" s="10"/>
      <c r="FE114" s="10"/>
      <c r="FF114" s="10"/>
      <c r="FG114" s="10"/>
      <c r="FH114" s="10"/>
      <c r="FI114" s="10"/>
      <c r="FJ114" s="10"/>
      <c r="FK114" s="10"/>
      <c r="FL114" s="10"/>
      <c r="FM114" s="10"/>
      <c r="FN114" s="10"/>
      <c r="FO114" s="10"/>
      <c r="FP114" s="10"/>
      <c r="FQ114" s="10"/>
      <c r="FR114" s="10"/>
      <c r="FS114" s="10"/>
      <c r="FT114" s="10"/>
      <c r="FU114" s="10"/>
      <c r="FV114" s="10"/>
      <c r="FW114" s="10"/>
      <c r="FX114" s="10"/>
      <c r="FY114" s="10"/>
      <c r="FZ114" s="10"/>
      <c r="GA114" s="10"/>
      <c r="GB114" s="10"/>
      <c r="GC114" s="10"/>
      <c r="GD114" s="10"/>
      <c r="GE114" s="10"/>
      <c r="GF114" s="10"/>
      <c r="GG114" s="10"/>
      <c r="GH114" s="10"/>
      <c r="GI114" s="10"/>
      <c r="GJ114" s="10"/>
      <c r="GK114" s="10"/>
    </row>
    <row r="115" customFormat="false" ht="12.75" hidden="false" customHeight="false" outlineLevel="0" collapsed="false">
      <c r="A115" s="7"/>
      <c r="B115" s="7"/>
      <c r="C115" s="8"/>
      <c r="D115" s="8"/>
      <c r="E115" s="8"/>
      <c r="F115" s="8"/>
      <c r="G115" s="9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10"/>
      <c r="DL115" s="10"/>
      <c r="DM115" s="10"/>
      <c r="DN115" s="10"/>
      <c r="DO115" s="10"/>
      <c r="DP115" s="10"/>
      <c r="DQ115" s="10"/>
      <c r="DR115" s="10"/>
      <c r="DS115" s="10"/>
      <c r="DT115" s="10"/>
      <c r="DU115" s="10"/>
      <c r="DV115" s="10"/>
      <c r="DW115" s="10"/>
      <c r="DX115" s="10"/>
      <c r="DY115" s="10"/>
      <c r="DZ115" s="10"/>
      <c r="EA115" s="10"/>
      <c r="EB115" s="10"/>
      <c r="EC115" s="10"/>
      <c r="ED115" s="10"/>
      <c r="EE115" s="10"/>
      <c r="EF115" s="10"/>
      <c r="EG115" s="10"/>
      <c r="EH115" s="10"/>
      <c r="EI115" s="10"/>
      <c r="EJ115" s="10"/>
      <c r="EK115" s="10"/>
      <c r="EL115" s="10"/>
      <c r="EM115" s="10"/>
      <c r="EN115" s="10"/>
      <c r="EO115" s="10"/>
      <c r="EP115" s="10"/>
      <c r="EQ115" s="10"/>
      <c r="ER115" s="10"/>
      <c r="ES115" s="10"/>
      <c r="ET115" s="10"/>
      <c r="EU115" s="10"/>
      <c r="EV115" s="10"/>
      <c r="EW115" s="10"/>
      <c r="EX115" s="10"/>
      <c r="EY115" s="10"/>
      <c r="EZ115" s="10"/>
      <c r="FA115" s="10"/>
      <c r="FB115" s="10"/>
      <c r="FC115" s="10"/>
      <c r="FD115" s="10"/>
      <c r="FE115" s="10"/>
      <c r="FF115" s="10"/>
      <c r="FG115" s="10"/>
      <c r="FH115" s="10"/>
      <c r="FI115" s="10"/>
      <c r="FJ115" s="10"/>
      <c r="FK115" s="10"/>
      <c r="FL115" s="10"/>
      <c r="FM115" s="10"/>
      <c r="FN115" s="10"/>
      <c r="FO115" s="10"/>
      <c r="FP115" s="10"/>
      <c r="FQ115" s="10"/>
      <c r="FR115" s="10"/>
      <c r="FS115" s="10"/>
      <c r="FT115" s="10"/>
      <c r="FU115" s="10"/>
      <c r="FV115" s="10"/>
      <c r="FW115" s="10"/>
      <c r="FX115" s="10"/>
      <c r="FY115" s="10"/>
      <c r="FZ115" s="10"/>
      <c r="GA115" s="10"/>
      <c r="GB115" s="10"/>
      <c r="GC115" s="10"/>
      <c r="GD115" s="10"/>
      <c r="GE115" s="10"/>
      <c r="GF115" s="10"/>
      <c r="GG115" s="10"/>
      <c r="GH115" s="10"/>
      <c r="GI115" s="10"/>
      <c r="GJ115" s="10"/>
      <c r="GK115" s="10"/>
    </row>
    <row r="116" customFormat="false" ht="12.75" hidden="false" customHeight="false" outlineLevel="0" collapsed="false">
      <c r="A116" s="7"/>
      <c r="B116" s="7"/>
      <c r="C116" s="8"/>
      <c r="D116" s="8"/>
      <c r="E116" s="8"/>
      <c r="F116" s="8"/>
      <c r="G116" s="9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/>
      <c r="DC116" s="10"/>
      <c r="DD116" s="10"/>
      <c r="DE116" s="10"/>
      <c r="DF116" s="10"/>
      <c r="DG116" s="10"/>
      <c r="DH116" s="10"/>
      <c r="DI116" s="10"/>
      <c r="DJ116" s="10"/>
      <c r="DK116" s="10"/>
      <c r="DL116" s="10"/>
      <c r="DM116" s="10"/>
      <c r="DN116" s="10"/>
      <c r="DO116" s="10"/>
      <c r="DP116" s="10"/>
      <c r="DQ116" s="10"/>
      <c r="DR116" s="10"/>
      <c r="DS116" s="10"/>
      <c r="DT116" s="10"/>
      <c r="DU116" s="10"/>
      <c r="DV116" s="10"/>
      <c r="DW116" s="10"/>
      <c r="DX116" s="10"/>
      <c r="DY116" s="10"/>
      <c r="DZ116" s="10"/>
      <c r="EA116" s="10"/>
      <c r="EB116" s="10"/>
      <c r="EC116" s="10"/>
      <c r="ED116" s="10"/>
      <c r="EE116" s="10"/>
      <c r="EF116" s="10"/>
      <c r="EG116" s="10"/>
      <c r="EH116" s="10"/>
      <c r="EI116" s="10"/>
      <c r="EJ116" s="10"/>
      <c r="EK116" s="10"/>
      <c r="EL116" s="10"/>
      <c r="EM116" s="10"/>
      <c r="EN116" s="10"/>
      <c r="EO116" s="10"/>
      <c r="EP116" s="10"/>
      <c r="EQ116" s="10"/>
      <c r="ER116" s="10"/>
      <c r="ES116" s="10"/>
      <c r="ET116" s="10"/>
      <c r="EU116" s="10"/>
      <c r="EV116" s="10"/>
      <c r="EW116" s="10"/>
      <c r="EX116" s="10"/>
      <c r="EY116" s="10"/>
      <c r="EZ116" s="10"/>
      <c r="FA116" s="10"/>
      <c r="FB116" s="10"/>
      <c r="FC116" s="10"/>
      <c r="FD116" s="10"/>
      <c r="FE116" s="10"/>
      <c r="FF116" s="10"/>
      <c r="FG116" s="10"/>
      <c r="FH116" s="10"/>
      <c r="FI116" s="10"/>
      <c r="FJ116" s="10"/>
      <c r="FK116" s="10"/>
      <c r="FL116" s="10"/>
      <c r="FM116" s="10"/>
      <c r="FN116" s="10"/>
      <c r="FO116" s="10"/>
      <c r="FP116" s="10"/>
      <c r="FQ116" s="10"/>
      <c r="FR116" s="10"/>
      <c r="FS116" s="10"/>
      <c r="FT116" s="10"/>
      <c r="FU116" s="10"/>
      <c r="FV116" s="10"/>
      <c r="FW116" s="10"/>
      <c r="FX116" s="10"/>
      <c r="FY116" s="10"/>
      <c r="FZ116" s="10"/>
      <c r="GA116" s="10"/>
      <c r="GB116" s="10"/>
      <c r="GC116" s="10"/>
      <c r="GD116" s="10"/>
      <c r="GE116" s="10"/>
      <c r="GF116" s="10"/>
      <c r="GG116" s="10"/>
      <c r="GH116" s="10"/>
      <c r="GI116" s="10"/>
      <c r="GJ116" s="10"/>
      <c r="GK116" s="10"/>
    </row>
    <row r="117" customFormat="false" ht="12.75" hidden="false" customHeight="false" outlineLevel="0" collapsed="false">
      <c r="A117" s="7"/>
      <c r="B117" s="7"/>
      <c r="C117" s="8"/>
      <c r="D117" s="8"/>
      <c r="E117" s="8"/>
      <c r="F117" s="8"/>
      <c r="G117" s="9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  <c r="DN117" s="10"/>
      <c r="DO117" s="10"/>
      <c r="DP117" s="10"/>
      <c r="DQ117" s="10"/>
      <c r="DR117" s="10"/>
      <c r="DS117" s="10"/>
      <c r="DT117" s="10"/>
      <c r="DU117" s="10"/>
      <c r="DV117" s="10"/>
      <c r="DW117" s="10"/>
      <c r="DX117" s="10"/>
      <c r="DY117" s="10"/>
      <c r="DZ117" s="10"/>
      <c r="EA117" s="10"/>
      <c r="EB117" s="10"/>
      <c r="EC117" s="10"/>
      <c r="ED117" s="10"/>
      <c r="EE117" s="10"/>
      <c r="EF117" s="10"/>
      <c r="EG117" s="10"/>
      <c r="EH117" s="10"/>
      <c r="EI117" s="10"/>
      <c r="EJ117" s="10"/>
      <c r="EK117" s="10"/>
      <c r="EL117" s="10"/>
      <c r="EM117" s="10"/>
      <c r="EN117" s="10"/>
      <c r="EO117" s="10"/>
      <c r="EP117" s="10"/>
      <c r="EQ117" s="10"/>
      <c r="ER117" s="10"/>
      <c r="ES117" s="10"/>
      <c r="ET117" s="10"/>
      <c r="EU117" s="10"/>
      <c r="EV117" s="10"/>
      <c r="EW117" s="10"/>
      <c r="EX117" s="10"/>
      <c r="EY117" s="10"/>
      <c r="EZ117" s="10"/>
      <c r="FA117" s="10"/>
      <c r="FB117" s="10"/>
      <c r="FC117" s="10"/>
      <c r="FD117" s="10"/>
      <c r="FE117" s="10"/>
      <c r="FF117" s="10"/>
      <c r="FG117" s="10"/>
      <c r="FH117" s="10"/>
      <c r="FI117" s="10"/>
      <c r="FJ117" s="10"/>
      <c r="FK117" s="10"/>
      <c r="FL117" s="10"/>
      <c r="FM117" s="10"/>
      <c r="FN117" s="10"/>
      <c r="FO117" s="10"/>
      <c r="FP117" s="10"/>
      <c r="FQ117" s="10"/>
      <c r="FR117" s="10"/>
      <c r="FS117" s="10"/>
      <c r="FT117" s="10"/>
      <c r="FU117" s="10"/>
      <c r="FV117" s="10"/>
      <c r="FW117" s="10"/>
      <c r="FX117" s="10"/>
      <c r="FY117" s="10"/>
      <c r="FZ117" s="10"/>
      <c r="GA117" s="10"/>
      <c r="GB117" s="10"/>
      <c r="GC117" s="10"/>
      <c r="GD117" s="10"/>
      <c r="GE117" s="10"/>
      <c r="GF117" s="10"/>
      <c r="GG117" s="10"/>
      <c r="GH117" s="10"/>
      <c r="GI117" s="10"/>
      <c r="GJ117" s="10"/>
      <c r="GK117" s="10"/>
    </row>
    <row r="118" customFormat="false" ht="12.75" hidden="false" customHeight="false" outlineLevel="0" collapsed="false">
      <c r="A118" s="7"/>
      <c r="B118" s="7"/>
      <c r="C118" s="8"/>
      <c r="D118" s="8"/>
      <c r="E118" s="8"/>
      <c r="F118" s="8"/>
      <c r="G118" s="9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  <c r="DN118" s="10"/>
      <c r="DO118" s="10"/>
      <c r="DP118" s="10"/>
      <c r="DQ118" s="10"/>
      <c r="DR118" s="10"/>
      <c r="DS118" s="10"/>
      <c r="DT118" s="10"/>
      <c r="DU118" s="10"/>
      <c r="DV118" s="10"/>
      <c r="DW118" s="10"/>
      <c r="DX118" s="10"/>
      <c r="DY118" s="10"/>
      <c r="DZ118" s="10"/>
      <c r="EA118" s="10"/>
      <c r="EB118" s="10"/>
      <c r="EC118" s="10"/>
      <c r="ED118" s="10"/>
      <c r="EE118" s="10"/>
      <c r="EF118" s="10"/>
      <c r="EG118" s="10"/>
      <c r="EH118" s="10"/>
      <c r="EI118" s="10"/>
      <c r="EJ118" s="10"/>
      <c r="EK118" s="10"/>
      <c r="EL118" s="10"/>
      <c r="EM118" s="10"/>
      <c r="EN118" s="10"/>
      <c r="EO118" s="10"/>
      <c r="EP118" s="10"/>
      <c r="EQ118" s="10"/>
      <c r="ER118" s="10"/>
      <c r="ES118" s="10"/>
      <c r="ET118" s="10"/>
      <c r="EU118" s="10"/>
      <c r="EV118" s="10"/>
      <c r="EW118" s="10"/>
      <c r="EX118" s="10"/>
      <c r="EY118" s="10"/>
      <c r="EZ118" s="10"/>
      <c r="FA118" s="10"/>
      <c r="FB118" s="10"/>
      <c r="FC118" s="10"/>
      <c r="FD118" s="10"/>
      <c r="FE118" s="10"/>
      <c r="FF118" s="10"/>
      <c r="FG118" s="10"/>
      <c r="FH118" s="10"/>
      <c r="FI118" s="10"/>
      <c r="FJ118" s="10"/>
      <c r="FK118" s="10"/>
      <c r="FL118" s="10"/>
      <c r="FM118" s="10"/>
      <c r="FN118" s="10"/>
      <c r="FO118" s="10"/>
      <c r="FP118" s="10"/>
      <c r="FQ118" s="10"/>
      <c r="FR118" s="10"/>
      <c r="FS118" s="10"/>
      <c r="FT118" s="10"/>
      <c r="FU118" s="10"/>
      <c r="FV118" s="10"/>
      <c r="FW118" s="10"/>
      <c r="FX118" s="10"/>
      <c r="FY118" s="10"/>
      <c r="FZ118" s="10"/>
      <c r="GA118" s="10"/>
      <c r="GB118" s="10"/>
      <c r="GC118" s="10"/>
      <c r="GD118" s="10"/>
      <c r="GE118" s="10"/>
      <c r="GF118" s="10"/>
      <c r="GG118" s="10"/>
      <c r="GH118" s="10"/>
      <c r="GI118" s="10"/>
      <c r="GJ118" s="10"/>
      <c r="GK118" s="10"/>
    </row>
    <row r="119" customFormat="false" ht="12.75" hidden="false" customHeight="false" outlineLevel="0" collapsed="false">
      <c r="A119" s="7"/>
      <c r="B119" s="7"/>
      <c r="C119" s="8"/>
      <c r="D119" s="8"/>
      <c r="E119" s="8"/>
      <c r="F119" s="8"/>
      <c r="G119" s="9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/>
      <c r="DB119" s="10"/>
      <c r="DC119" s="10"/>
      <c r="DD119" s="10"/>
      <c r="DE119" s="10"/>
      <c r="DF119" s="10"/>
      <c r="DG119" s="10"/>
      <c r="DH119" s="10"/>
      <c r="DI119" s="10"/>
      <c r="DJ119" s="10"/>
      <c r="DK119" s="10"/>
      <c r="DL119" s="10"/>
      <c r="DM119" s="10"/>
      <c r="DN119" s="10"/>
      <c r="DO119" s="10"/>
      <c r="DP119" s="10"/>
      <c r="DQ119" s="10"/>
      <c r="DR119" s="10"/>
      <c r="DS119" s="10"/>
      <c r="DT119" s="10"/>
      <c r="DU119" s="10"/>
      <c r="DV119" s="10"/>
      <c r="DW119" s="10"/>
      <c r="DX119" s="10"/>
      <c r="DY119" s="10"/>
      <c r="DZ119" s="10"/>
      <c r="EA119" s="10"/>
      <c r="EB119" s="10"/>
      <c r="EC119" s="10"/>
      <c r="ED119" s="10"/>
      <c r="EE119" s="10"/>
      <c r="EF119" s="10"/>
      <c r="EG119" s="10"/>
      <c r="EH119" s="10"/>
      <c r="EI119" s="10"/>
      <c r="EJ119" s="10"/>
      <c r="EK119" s="10"/>
      <c r="EL119" s="10"/>
      <c r="EM119" s="10"/>
      <c r="EN119" s="10"/>
      <c r="EO119" s="10"/>
      <c r="EP119" s="10"/>
      <c r="EQ119" s="10"/>
      <c r="ER119" s="10"/>
      <c r="ES119" s="10"/>
      <c r="ET119" s="10"/>
      <c r="EU119" s="10"/>
      <c r="EV119" s="10"/>
      <c r="EW119" s="10"/>
      <c r="EX119" s="10"/>
      <c r="EY119" s="10"/>
      <c r="EZ119" s="10"/>
      <c r="FA119" s="10"/>
      <c r="FB119" s="10"/>
      <c r="FC119" s="10"/>
      <c r="FD119" s="10"/>
      <c r="FE119" s="10"/>
      <c r="FF119" s="10"/>
      <c r="FG119" s="10"/>
      <c r="FH119" s="10"/>
      <c r="FI119" s="10"/>
      <c r="FJ119" s="10"/>
      <c r="FK119" s="10"/>
      <c r="FL119" s="10"/>
      <c r="FM119" s="10"/>
      <c r="FN119" s="10"/>
      <c r="FO119" s="10"/>
      <c r="FP119" s="10"/>
      <c r="FQ119" s="10"/>
      <c r="FR119" s="10"/>
      <c r="FS119" s="10"/>
      <c r="FT119" s="10"/>
      <c r="FU119" s="10"/>
      <c r="FV119" s="10"/>
      <c r="FW119" s="10"/>
      <c r="FX119" s="10"/>
      <c r="FY119" s="10"/>
      <c r="FZ119" s="10"/>
      <c r="GA119" s="10"/>
      <c r="GB119" s="10"/>
      <c r="GC119" s="10"/>
      <c r="GD119" s="10"/>
      <c r="GE119" s="10"/>
      <c r="GF119" s="10"/>
      <c r="GG119" s="10"/>
      <c r="GH119" s="10"/>
      <c r="GI119" s="10"/>
      <c r="GJ119" s="10"/>
      <c r="GK119" s="10"/>
    </row>
    <row r="120" customFormat="false" ht="12.75" hidden="false" customHeight="false" outlineLevel="0" collapsed="false">
      <c r="A120" s="7"/>
      <c r="B120" s="7"/>
      <c r="C120" s="8"/>
      <c r="D120" s="8"/>
      <c r="E120" s="8"/>
      <c r="F120" s="8"/>
      <c r="G120" s="9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/>
      <c r="DC120" s="10"/>
      <c r="DD120" s="10"/>
      <c r="DE120" s="10"/>
      <c r="DF120" s="10"/>
      <c r="DG120" s="10"/>
      <c r="DH120" s="10"/>
      <c r="DI120" s="10"/>
      <c r="DJ120" s="10"/>
      <c r="DK120" s="10"/>
      <c r="DL120" s="10"/>
      <c r="DM120" s="10"/>
      <c r="DN120" s="10"/>
      <c r="DO120" s="10"/>
      <c r="DP120" s="10"/>
      <c r="DQ120" s="10"/>
      <c r="DR120" s="10"/>
      <c r="DS120" s="10"/>
      <c r="DT120" s="10"/>
      <c r="DU120" s="10"/>
      <c r="DV120" s="10"/>
      <c r="DW120" s="10"/>
      <c r="DX120" s="10"/>
      <c r="DY120" s="10"/>
      <c r="DZ120" s="10"/>
      <c r="EA120" s="10"/>
      <c r="EB120" s="10"/>
      <c r="EC120" s="10"/>
      <c r="ED120" s="10"/>
      <c r="EE120" s="10"/>
      <c r="EF120" s="10"/>
      <c r="EG120" s="10"/>
      <c r="EH120" s="10"/>
      <c r="EI120" s="10"/>
      <c r="EJ120" s="10"/>
      <c r="EK120" s="10"/>
      <c r="EL120" s="10"/>
      <c r="EM120" s="10"/>
      <c r="EN120" s="10"/>
      <c r="EO120" s="10"/>
      <c r="EP120" s="10"/>
      <c r="EQ120" s="10"/>
      <c r="ER120" s="10"/>
      <c r="ES120" s="10"/>
      <c r="ET120" s="10"/>
      <c r="EU120" s="10"/>
      <c r="EV120" s="10"/>
      <c r="EW120" s="10"/>
      <c r="EX120" s="10"/>
      <c r="EY120" s="10"/>
      <c r="EZ120" s="10"/>
      <c r="FA120" s="10"/>
      <c r="FB120" s="10"/>
      <c r="FC120" s="10"/>
      <c r="FD120" s="10"/>
      <c r="FE120" s="10"/>
      <c r="FF120" s="10"/>
      <c r="FG120" s="10"/>
      <c r="FH120" s="10"/>
      <c r="FI120" s="10"/>
      <c r="FJ120" s="10"/>
      <c r="FK120" s="10"/>
      <c r="FL120" s="10"/>
      <c r="FM120" s="10"/>
      <c r="FN120" s="10"/>
      <c r="FO120" s="10"/>
      <c r="FP120" s="10"/>
      <c r="FQ120" s="10"/>
      <c r="FR120" s="10"/>
      <c r="FS120" s="10"/>
      <c r="FT120" s="10"/>
      <c r="FU120" s="10"/>
      <c r="FV120" s="10"/>
      <c r="FW120" s="10"/>
      <c r="FX120" s="10"/>
      <c r="FY120" s="10"/>
      <c r="FZ120" s="10"/>
      <c r="GA120" s="10"/>
      <c r="GB120" s="10"/>
      <c r="GC120" s="10"/>
      <c r="GD120" s="10"/>
      <c r="GE120" s="10"/>
      <c r="GF120" s="10"/>
      <c r="GG120" s="10"/>
      <c r="GH120" s="10"/>
      <c r="GI120" s="10"/>
      <c r="GJ120" s="10"/>
      <c r="GK120" s="10"/>
    </row>
    <row r="121" customFormat="false" ht="12.75" hidden="false" customHeight="false" outlineLevel="0" collapsed="false">
      <c r="A121" s="7"/>
      <c r="B121" s="7"/>
      <c r="C121" s="8"/>
      <c r="D121" s="8"/>
      <c r="E121" s="8"/>
      <c r="F121" s="8"/>
      <c r="G121" s="9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10"/>
      <c r="CZ121" s="10"/>
      <c r="DA121" s="10"/>
      <c r="DB121" s="10"/>
      <c r="DC121" s="10"/>
      <c r="DD121" s="10"/>
      <c r="DE121" s="10"/>
      <c r="DF121" s="10"/>
      <c r="DG121" s="10"/>
      <c r="DH121" s="10"/>
      <c r="DI121" s="10"/>
      <c r="DJ121" s="10"/>
      <c r="DK121" s="10"/>
      <c r="DL121" s="10"/>
      <c r="DM121" s="10"/>
      <c r="DN121" s="10"/>
      <c r="DO121" s="10"/>
      <c r="DP121" s="10"/>
      <c r="DQ121" s="10"/>
      <c r="DR121" s="10"/>
      <c r="DS121" s="10"/>
      <c r="DT121" s="10"/>
      <c r="DU121" s="10"/>
      <c r="DV121" s="10"/>
      <c r="DW121" s="10"/>
      <c r="DX121" s="10"/>
      <c r="DY121" s="10"/>
      <c r="DZ121" s="10"/>
      <c r="EA121" s="10"/>
      <c r="EB121" s="10"/>
      <c r="EC121" s="10"/>
      <c r="ED121" s="10"/>
      <c r="EE121" s="10"/>
      <c r="EF121" s="10"/>
      <c r="EG121" s="10"/>
      <c r="EH121" s="10"/>
      <c r="EI121" s="10"/>
      <c r="EJ121" s="10"/>
      <c r="EK121" s="10"/>
      <c r="EL121" s="10"/>
      <c r="EM121" s="10"/>
      <c r="EN121" s="10"/>
      <c r="EO121" s="10"/>
      <c r="EP121" s="10"/>
      <c r="EQ121" s="10"/>
      <c r="ER121" s="10"/>
      <c r="ES121" s="10"/>
      <c r="ET121" s="10"/>
      <c r="EU121" s="10"/>
      <c r="EV121" s="10"/>
      <c r="EW121" s="10"/>
      <c r="EX121" s="10"/>
      <c r="EY121" s="10"/>
      <c r="EZ121" s="10"/>
      <c r="FA121" s="10"/>
      <c r="FB121" s="10"/>
      <c r="FC121" s="10"/>
      <c r="FD121" s="10"/>
      <c r="FE121" s="10"/>
      <c r="FF121" s="10"/>
      <c r="FG121" s="10"/>
      <c r="FH121" s="10"/>
      <c r="FI121" s="10"/>
      <c r="FJ121" s="10"/>
      <c r="FK121" s="10"/>
      <c r="FL121" s="10"/>
      <c r="FM121" s="10"/>
      <c r="FN121" s="10"/>
      <c r="FO121" s="10"/>
      <c r="FP121" s="10"/>
      <c r="FQ121" s="10"/>
      <c r="FR121" s="10"/>
      <c r="FS121" s="10"/>
      <c r="FT121" s="10"/>
      <c r="FU121" s="10"/>
      <c r="FV121" s="10"/>
      <c r="FW121" s="10"/>
      <c r="FX121" s="10"/>
      <c r="FY121" s="10"/>
      <c r="FZ121" s="10"/>
      <c r="GA121" s="10"/>
      <c r="GB121" s="10"/>
      <c r="GC121" s="10"/>
      <c r="GD121" s="10"/>
      <c r="GE121" s="10"/>
      <c r="GF121" s="10"/>
      <c r="GG121" s="10"/>
      <c r="GH121" s="10"/>
      <c r="GI121" s="10"/>
      <c r="GJ121" s="10"/>
      <c r="GK121" s="10"/>
    </row>
    <row r="122" customFormat="false" ht="12.75" hidden="false" customHeight="false" outlineLevel="0" collapsed="false">
      <c r="A122" s="7"/>
      <c r="B122" s="7"/>
      <c r="C122" s="8"/>
      <c r="D122" s="8"/>
      <c r="E122" s="8"/>
      <c r="F122" s="8"/>
      <c r="G122" s="9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  <c r="DB122" s="10"/>
      <c r="DC122" s="10"/>
      <c r="DD122" s="10"/>
      <c r="DE122" s="10"/>
      <c r="DF122" s="10"/>
      <c r="DG122" s="10"/>
      <c r="DH122" s="10"/>
      <c r="DI122" s="10"/>
      <c r="DJ122" s="10"/>
      <c r="DK122" s="10"/>
      <c r="DL122" s="10"/>
      <c r="DM122" s="10"/>
      <c r="DN122" s="10"/>
      <c r="DO122" s="10"/>
      <c r="DP122" s="10"/>
      <c r="DQ122" s="10"/>
      <c r="DR122" s="10"/>
      <c r="DS122" s="10"/>
      <c r="DT122" s="10"/>
      <c r="DU122" s="10"/>
      <c r="DV122" s="10"/>
      <c r="DW122" s="10"/>
      <c r="DX122" s="10"/>
      <c r="DY122" s="10"/>
      <c r="DZ122" s="10"/>
      <c r="EA122" s="10"/>
      <c r="EB122" s="10"/>
      <c r="EC122" s="10"/>
      <c r="ED122" s="10"/>
      <c r="EE122" s="10"/>
      <c r="EF122" s="10"/>
      <c r="EG122" s="10"/>
      <c r="EH122" s="10"/>
      <c r="EI122" s="10"/>
      <c r="EJ122" s="10"/>
      <c r="EK122" s="10"/>
      <c r="EL122" s="10"/>
      <c r="EM122" s="10"/>
      <c r="EN122" s="10"/>
      <c r="EO122" s="10"/>
      <c r="EP122" s="10"/>
      <c r="EQ122" s="10"/>
      <c r="ER122" s="10"/>
      <c r="ES122" s="10"/>
      <c r="ET122" s="10"/>
      <c r="EU122" s="10"/>
      <c r="EV122" s="10"/>
      <c r="EW122" s="10"/>
      <c r="EX122" s="10"/>
      <c r="EY122" s="10"/>
      <c r="EZ122" s="10"/>
      <c r="FA122" s="10"/>
      <c r="FB122" s="10"/>
      <c r="FC122" s="10"/>
      <c r="FD122" s="10"/>
      <c r="FE122" s="10"/>
      <c r="FF122" s="10"/>
      <c r="FG122" s="10"/>
      <c r="FH122" s="10"/>
      <c r="FI122" s="10"/>
      <c r="FJ122" s="10"/>
      <c r="FK122" s="10"/>
      <c r="FL122" s="10"/>
      <c r="FM122" s="10"/>
      <c r="FN122" s="10"/>
      <c r="FO122" s="10"/>
      <c r="FP122" s="10"/>
      <c r="FQ122" s="10"/>
      <c r="FR122" s="10"/>
      <c r="FS122" s="10"/>
      <c r="FT122" s="10"/>
      <c r="FU122" s="10"/>
      <c r="FV122" s="10"/>
      <c r="FW122" s="10"/>
      <c r="FX122" s="10"/>
      <c r="FY122" s="10"/>
      <c r="FZ122" s="10"/>
      <c r="GA122" s="10"/>
      <c r="GB122" s="10"/>
      <c r="GC122" s="10"/>
      <c r="GD122" s="10"/>
      <c r="GE122" s="10"/>
      <c r="GF122" s="10"/>
      <c r="GG122" s="10"/>
      <c r="GH122" s="10"/>
      <c r="GI122" s="10"/>
      <c r="GJ122" s="10"/>
      <c r="GK122" s="10"/>
    </row>
    <row r="123" customFormat="false" ht="12.75" hidden="false" customHeight="false" outlineLevel="0" collapsed="false">
      <c r="A123" s="7"/>
      <c r="B123" s="7"/>
      <c r="C123" s="8"/>
      <c r="D123" s="8"/>
      <c r="E123" s="8"/>
      <c r="F123" s="8"/>
      <c r="G123" s="9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  <c r="DN123" s="10"/>
      <c r="DO123" s="10"/>
      <c r="DP123" s="10"/>
      <c r="DQ123" s="10"/>
      <c r="DR123" s="10"/>
      <c r="DS123" s="10"/>
      <c r="DT123" s="10"/>
      <c r="DU123" s="10"/>
      <c r="DV123" s="10"/>
      <c r="DW123" s="10"/>
      <c r="DX123" s="10"/>
      <c r="DY123" s="10"/>
      <c r="DZ123" s="10"/>
      <c r="EA123" s="10"/>
      <c r="EB123" s="10"/>
      <c r="EC123" s="10"/>
      <c r="ED123" s="10"/>
      <c r="EE123" s="10"/>
      <c r="EF123" s="10"/>
      <c r="EG123" s="10"/>
      <c r="EH123" s="10"/>
      <c r="EI123" s="10"/>
      <c r="EJ123" s="10"/>
      <c r="EK123" s="10"/>
      <c r="EL123" s="10"/>
      <c r="EM123" s="10"/>
      <c r="EN123" s="10"/>
      <c r="EO123" s="10"/>
      <c r="EP123" s="10"/>
      <c r="EQ123" s="10"/>
      <c r="ER123" s="10"/>
      <c r="ES123" s="10"/>
      <c r="ET123" s="10"/>
      <c r="EU123" s="10"/>
      <c r="EV123" s="10"/>
      <c r="EW123" s="10"/>
      <c r="EX123" s="10"/>
      <c r="EY123" s="10"/>
      <c r="EZ123" s="10"/>
      <c r="FA123" s="10"/>
      <c r="FB123" s="10"/>
      <c r="FC123" s="10"/>
      <c r="FD123" s="10"/>
      <c r="FE123" s="10"/>
      <c r="FF123" s="10"/>
      <c r="FG123" s="10"/>
      <c r="FH123" s="10"/>
      <c r="FI123" s="10"/>
      <c r="FJ123" s="10"/>
      <c r="FK123" s="10"/>
      <c r="FL123" s="10"/>
      <c r="FM123" s="10"/>
      <c r="FN123" s="10"/>
      <c r="FO123" s="10"/>
      <c r="FP123" s="10"/>
      <c r="FQ123" s="10"/>
      <c r="FR123" s="10"/>
      <c r="FS123" s="10"/>
      <c r="FT123" s="10"/>
      <c r="FU123" s="10"/>
      <c r="FV123" s="10"/>
      <c r="FW123" s="10"/>
      <c r="FX123" s="10"/>
      <c r="FY123" s="10"/>
      <c r="FZ123" s="10"/>
      <c r="GA123" s="10"/>
      <c r="GB123" s="10"/>
      <c r="GC123" s="10"/>
      <c r="GD123" s="10"/>
      <c r="GE123" s="10"/>
      <c r="GF123" s="10"/>
      <c r="GG123" s="10"/>
      <c r="GH123" s="10"/>
      <c r="GI123" s="10"/>
      <c r="GJ123" s="10"/>
      <c r="GK123" s="10"/>
    </row>
    <row r="124" customFormat="false" ht="12.75" hidden="false" customHeight="false" outlineLevel="0" collapsed="false">
      <c r="A124" s="7"/>
      <c r="B124" s="7"/>
      <c r="C124" s="8"/>
      <c r="D124" s="8"/>
      <c r="E124" s="8"/>
      <c r="F124" s="8"/>
      <c r="G124" s="9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10"/>
      <c r="CX124" s="10"/>
      <c r="CY124" s="10"/>
      <c r="CZ124" s="10"/>
      <c r="DA124" s="10"/>
      <c r="DB124" s="10"/>
      <c r="DC124" s="10"/>
      <c r="DD124" s="10"/>
      <c r="DE124" s="10"/>
      <c r="DF124" s="10"/>
      <c r="DG124" s="10"/>
      <c r="DH124" s="10"/>
      <c r="DI124" s="10"/>
      <c r="DJ124" s="10"/>
      <c r="DK124" s="10"/>
      <c r="DL124" s="10"/>
      <c r="DM124" s="10"/>
      <c r="DN124" s="10"/>
      <c r="DO124" s="10"/>
      <c r="DP124" s="10"/>
      <c r="DQ124" s="10"/>
      <c r="DR124" s="10"/>
      <c r="DS124" s="10"/>
      <c r="DT124" s="10"/>
      <c r="DU124" s="10"/>
      <c r="DV124" s="10"/>
      <c r="DW124" s="10"/>
      <c r="DX124" s="10"/>
      <c r="DY124" s="10"/>
      <c r="DZ124" s="10"/>
      <c r="EA124" s="10"/>
      <c r="EB124" s="10"/>
      <c r="EC124" s="10"/>
      <c r="ED124" s="10"/>
      <c r="EE124" s="10"/>
      <c r="EF124" s="10"/>
      <c r="EG124" s="10"/>
      <c r="EH124" s="10"/>
      <c r="EI124" s="10"/>
      <c r="EJ124" s="10"/>
      <c r="EK124" s="10"/>
      <c r="EL124" s="10"/>
      <c r="EM124" s="10"/>
      <c r="EN124" s="10"/>
      <c r="EO124" s="10"/>
      <c r="EP124" s="10"/>
      <c r="EQ124" s="10"/>
      <c r="ER124" s="10"/>
      <c r="ES124" s="10"/>
      <c r="ET124" s="10"/>
      <c r="EU124" s="10"/>
      <c r="EV124" s="10"/>
      <c r="EW124" s="10"/>
      <c r="EX124" s="10"/>
      <c r="EY124" s="10"/>
      <c r="EZ124" s="10"/>
      <c r="FA124" s="10"/>
      <c r="FB124" s="10"/>
      <c r="FC124" s="10"/>
      <c r="FD124" s="10"/>
      <c r="FE124" s="10"/>
      <c r="FF124" s="10"/>
      <c r="FG124" s="10"/>
      <c r="FH124" s="10"/>
      <c r="FI124" s="10"/>
      <c r="FJ124" s="10"/>
      <c r="FK124" s="10"/>
      <c r="FL124" s="10"/>
      <c r="FM124" s="10"/>
      <c r="FN124" s="10"/>
      <c r="FO124" s="10"/>
      <c r="FP124" s="10"/>
      <c r="FQ124" s="10"/>
      <c r="FR124" s="10"/>
      <c r="FS124" s="10"/>
      <c r="FT124" s="10"/>
      <c r="FU124" s="10"/>
      <c r="FV124" s="10"/>
      <c r="FW124" s="10"/>
      <c r="FX124" s="10"/>
      <c r="FY124" s="10"/>
      <c r="FZ124" s="10"/>
      <c r="GA124" s="10"/>
      <c r="GB124" s="10"/>
      <c r="GC124" s="10"/>
      <c r="GD124" s="10"/>
      <c r="GE124" s="10"/>
      <c r="GF124" s="10"/>
      <c r="GG124" s="10"/>
      <c r="GH124" s="10"/>
      <c r="GI124" s="10"/>
      <c r="GJ124" s="10"/>
      <c r="GK124" s="10"/>
    </row>
    <row r="125" customFormat="false" ht="12.75" hidden="false" customHeight="false" outlineLevel="0" collapsed="false">
      <c r="A125" s="7"/>
      <c r="B125" s="7"/>
      <c r="C125" s="8"/>
      <c r="D125" s="8"/>
      <c r="E125" s="8"/>
      <c r="F125" s="8"/>
      <c r="G125" s="9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10"/>
      <c r="CX125" s="10"/>
      <c r="CY125" s="10"/>
      <c r="CZ125" s="10"/>
      <c r="DA125" s="10"/>
      <c r="DB125" s="10"/>
      <c r="DC125" s="10"/>
      <c r="DD125" s="10"/>
      <c r="DE125" s="10"/>
      <c r="DF125" s="10"/>
      <c r="DG125" s="10"/>
      <c r="DH125" s="10"/>
      <c r="DI125" s="10"/>
      <c r="DJ125" s="10"/>
      <c r="DK125" s="10"/>
      <c r="DL125" s="10"/>
      <c r="DM125" s="10"/>
      <c r="DN125" s="10"/>
      <c r="DO125" s="10"/>
      <c r="DP125" s="10"/>
      <c r="DQ125" s="10"/>
      <c r="DR125" s="10"/>
      <c r="DS125" s="10"/>
      <c r="DT125" s="10"/>
      <c r="DU125" s="10"/>
      <c r="DV125" s="10"/>
      <c r="DW125" s="10"/>
      <c r="DX125" s="10"/>
      <c r="DY125" s="10"/>
      <c r="DZ125" s="10"/>
      <c r="EA125" s="10"/>
      <c r="EB125" s="10"/>
      <c r="EC125" s="10"/>
      <c r="ED125" s="10"/>
      <c r="EE125" s="10"/>
      <c r="EF125" s="10"/>
      <c r="EG125" s="10"/>
      <c r="EH125" s="10"/>
      <c r="EI125" s="10"/>
      <c r="EJ125" s="10"/>
      <c r="EK125" s="10"/>
      <c r="EL125" s="10"/>
      <c r="EM125" s="10"/>
      <c r="EN125" s="10"/>
      <c r="EO125" s="10"/>
      <c r="EP125" s="10"/>
      <c r="EQ125" s="10"/>
      <c r="ER125" s="10"/>
      <c r="ES125" s="10"/>
      <c r="ET125" s="10"/>
      <c r="EU125" s="10"/>
      <c r="EV125" s="10"/>
      <c r="EW125" s="10"/>
      <c r="EX125" s="10"/>
      <c r="EY125" s="10"/>
      <c r="EZ125" s="10"/>
      <c r="FA125" s="10"/>
      <c r="FB125" s="10"/>
      <c r="FC125" s="10"/>
      <c r="FD125" s="10"/>
      <c r="FE125" s="10"/>
      <c r="FF125" s="10"/>
      <c r="FG125" s="10"/>
      <c r="FH125" s="10"/>
      <c r="FI125" s="10"/>
      <c r="FJ125" s="10"/>
      <c r="FK125" s="10"/>
      <c r="FL125" s="10"/>
      <c r="FM125" s="10"/>
      <c r="FN125" s="10"/>
      <c r="FO125" s="10"/>
      <c r="FP125" s="10"/>
      <c r="FQ125" s="10"/>
      <c r="FR125" s="10"/>
      <c r="FS125" s="10"/>
      <c r="FT125" s="10"/>
      <c r="FU125" s="10"/>
      <c r="FV125" s="10"/>
      <c r="FW125" s="10"/>
      <c r="FX125" s="10"/>
      <c r="FY125" s="10"/>
      <c r="FZ125" s="10"/>
      <c r="GA125" s="10"/>
      <c r="GB125" s="10"/>
      <c r="GC125" s="10"/>
      <c r="GD125" s="10"/>
      <c r="GE125" s="10"/>
      <c r="GF125" s="10"/>
      <c r="GG125" s="10"/>
      <c r="GH125" s="10"/>
      <c r="GI125" s="10"/>
      <c r="GJ125" s="10"/>
      <c r="GK125" s="10"/>
    </row>
    <row r="126" customFormat="false" ht="12.75" hidden="false" customHeight="false" outlineLevel="0" collapsed="false">
      <c r="A126" s="7"/>
      <c r="B126" s="7"/>
      <c r="C126" s="8"/>
      <c r="D126" s="8"/>
      <c r="E126" s="8"/>
      <c r="F126" s="8"/>
      <c r="G126" s="9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10"/>
      <c r="CX126" s="10"/>
      <c r="CY126" s="10"/>
      <c r="CZ126" s="10"/>
      <c r="DA126" s="10"/>
      <c r="DB126" s="10"/>
      <c r="DC126" s="10"/>
      <c r="DD126" s="10"/>
      <c r="DE126" s="10"/>
      <c r="DF126" s="10"/>
      <c r="DG126" s="10"/>
      <c r="DH126" s="10"/>
      <c r="DI126" s="10"/>
      <c r="DJ126" s="10"/>
      <c r="DK126" s="10"/>
      <c r="DL126" s="10"/>
      <c r="DM126" s="10"/>
      <c r="DN126" s="10"/>
      <c r="DO126" s="10"/>
      <c r="DP126" s="10"/>
      <c r="DQ126" s="10"/>
      <c r="DR126" s="10"/>
      <c r="DS126" s="10"/>
      <c r="DT126" s="10"/>
      <c r="DU126" s="10"/>
      <c r="DV126" s="10"/>
      <c r="DW126" s="10"/>
      <c r="DX126" s="10"/>
      <c r="DY126" s="10"/>
      <c r="DZ126" s="10"/>
      <c r="EA126" s="10"/>
      <c r="EB126" s="10"/>
      <c r="EC126" s="10"/>
      <c r="ED126" s="10"/>
      <c r="EE126" s="10"/>
      <c r="EF126" s="10"/>
      <c r="EG126" s="10"/>
      <c r="EH126" s="10"/>
      <c r="EI126" s="10"/>
      <c r="EJ126" s="10"/>
      <c r="EK126" s="10"/>
      <c r="EL126" s="10"/>
      <c r="EM126" s="10"/>
      <c r="EN126" s="10"/>
      <c r="EO126" s="10"/>
      <c r="EP126" s="10"/>
      <c r="EQ126" s="10"/>
      <c r="ER126" s="10"/>
      <c r="ES126" s="10"/>
      <c r="ET126" s="10"/>
      <c r="EU126" s="10"/>
      <c r="EV126" s="10"/>
      <c r="EW126" s="10"/>
      <c r="EX126" s="10"/>
      <c r="EY126" s="10"/>
      <c r="EZ126" s="10"/>
      <c r="FA126" s="10"/>
      <c r="FB126" s="10"/>
      <c r="FC126" s="10"/>
      <c r="FD126" s="10"/>
      <c r="FE126" s="10"/>
      <c r="FF126" s="10"/>
      <c r="FG126" s="10"/>
      <c r="FH126" s="10"/>
      <c r="FI126" s="10"/>
      <c r="FJ126" s="10"/>
      <c r="FK126" s="10"/>
      <c r="FL126" s="10"/>
      <c r="FM126" s="10"/>
      <c r="FN126" s="10"/>
      <c r="FO126" s="10"/>
      <c r="FP126" s="10"/>
      <c r="FQ126" s="10"/>
      <c r="FR126" s="10"/>
      <c r="FS126" s="10"/>
      <c r="FT126" s="10"/>
      <c r="FU126" s="10"/>
      <c r="FV126" s="10"/>
      <c r="FW126" s="10"/>
      <c r="FX126" s="10"/>
      <c r="FY126" s="10"/>
      <c r="FZ126" s="10"/>
      <c r="GA126" s="10"/>
      <c r="GB126" s="10"/>
      <c r="GC126" s="10"/>
      <c r="GD126" s="10"/>
      <c r="GE126" s="10"/>
      <c r="GF126" s="10"/>
      <c r="GG126" s="10"/>
      <c r="GH126" s="10"/>
      <c r="GI126" s="10"/>
      <c r="GJ126" s="10"/>
      <c r="GK126" s="10"/>
    </row>
    <row r="127" customFormat="false" ht="12.75" hidden="false" customHeight="false" outlineLevel="0" collapsed="false">
      <c r="A127" s="7"/>
      <c r="B127" s="7"/>
      <c r="C127" s="8"/>
      <c r="D127" s="8"/>
      <c r="E127" s="8"/>
      <c r="F127" s="8"/>
      <c r="G127" s="9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10"/>
      <c r="CX127" s="10"/>
      <c r="CY127" s="10"/>
      <c r="CZ127" s="10"/>
      <c r="DA127" s="10"/>
      <c r="DB127" s="10"/>
      <c r="DC127" s="10"/>
      <c r="DD127" s="10"/>
      <c r="DE127" s="10"/>
      <c r="DF127" s="10"/>
      <c r="DG127" s="10"/>
      <c r="DH127" s="10"/>
      <c r="DI127" s="10"/>
      <c r="DJ127" s="10"/>
      <c r="DK127" s="10"/>
      <c r="DL127" s="10"/>
      <c r="DM127" s="10"/>
      <c r="DN127" s="10"/>
      <c r="DO127" s="10"/>
      <c r="DP127" s="10"/>
      <c r="DQ127" s="10"/>
      <c r="DR127" s="10"/>
      <c r="DS127" s="10"/>
      <c r="DT127" s="10"/>
      <c r="DU127" s="10"/>
      <c r="DV127" s="10"/>
      <c r="DW127" s="10"/>
      <c r="DX127" s="10"/>
      <c r="DY127" s="10"/>
      <c r="DZ127" s="10"/>
      <c r="EA127" s="10"/>
      <c r="EB127" s="10"/>
      <c r="EC127" s="10"/>
      <c r="ED127" s="10"/>
      <c r="EE127" s="10"/>
      <c r="EF127" s="10"/>
      <c r="EG127" s="10"/>
      <c r="EH127" s="10"/>
      <c r="EI127" s="10"/>
      <c r="EJ127" s="10"/>
      <c r="EK127" s="10"/>
      <c r="EL127" s="10"/>
      <c r="EM127" s="10"/>
      <c r="EN127" s="10"/>
      <c r="EO127" s="10"/>
      <c r="EP127" s="10"/>
      <c r="EQ127" s="10"/>
      <c r="ER127" s="10"/>
      <c r="ES127" s="10"/>
      <c r="ET127" s="10"/>
      <c r="EU127" s="10"/>
      <c r="EV127" s="10"/>
      <c r="EW127" s="10"/>
      <c r="EX127" s="10"/>
      <c r="EY127" s="10"/>
      <c r="EZ127" s="10"/>
      <c r="FA127" s="10"/>
      <c r="FB127" s="10"/>
      <c r="FC127" s="10"/>
      <c r="FD127" s="10"/>
      <c r="FE127" s="10"/>
      <c r="FF127" s="10"/>
      <c r="FG127" s="10"/>
      <c r="FH127" s="10"/>
      <c r="FI127" s="10"/>
      <c r="FJ127" s="10"/>
      <c r="FK127" s="10"/>
      <c r="FL127" s="10"/>
      <c r="FM127" s="10"/>
      <c r="FN127" s="10"/>
      <c r="FO127" s="10"/>
      <c r="FP127" s="10"/>
      <c r="FQ127" s="10"/>
      <c r="FR127" s="10"/>
      <c r="FS127" s="10"/>
      <c r="FT127" s="10"/>
      <c r="FU127" s="10"/>
      <c r="FV127" s="10"/>
      <c r="FW127" s="10"/>
      <c r="FX127" s="10"/>
      <c r="FY127" s="10"/>
      <c r="FZ127" s="10"/>
      <c r="GA127" s="10"/>
      <c r="GB127" s="10"/>
      <c r="GC127" s="10"/>
      <c r="GD127" s="10"/>
      <c r="GE127" s="10"/>
      <c r="GF127" s="10"/>
      <c r="GG127" s="10"/>
      <c r="GH127" s="10"/>
      <c r="GI127" s="10"/>
      <c r="GJ127" s="10"/>
      <c r="GK127" s="10"/>
    </row>
    <row r="128" customFormat="false" ht="12.75" hidden="false" customHeight="false" outlineLevel="0" collapsed="false">
      <c r="A128" s="7"/>
      <c r="B128" s="7"/>
      <c r="C128" s="8"/>
      <c r="D128" s="8"/>
      <c r="E128" s="8"/>
      <c r="F128" s="8"/>
      <c r="G128" s="9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10"/>
      <c r="CX128" s="10"/>
      <c r="CY128" s="10"/>
      <c r="CZ128" s="10"/>
      <c r="DA128" s="10"/>
      <c r="DB128" s="10"/>
      <c r="DC128" s="10"/>
      <c r="DD128" s="10"/>
      <c r="DE128" s="10"/>
      <c r="DF128" s="10"/>
      <c r="DG128" s="10"/>
      <c r="DH128" s="10"/>
      <c r="DI128" s="10"/>
      <c r="DJ128" s="10"/>
      <c r="DK128" s="10"/>
      <c r="DL128" s="10"/>
      <c r="DM128" s="10"/>
      <c r="DN128" s="10"/>
      <c r="DO128" s="10"/>
      <c r="DP128" s="10"/>
      <c r="DQ128" s="10"/>
      <c r="DR128" s="10"/>
      <c r="DS128" s="10"/>
      <c r="DT128" s="10"/>
      <c r="DU128" s="10"/>
      <c r="DV128" s="10"/>
      <c r="DW128" s="10"/>
      <c r="DX128" s="10"/>
      <c r="DY128" s="10"/>
      <c r="DZ128" s="10"/>
      <c r="EA128" s="10"/>
      <c r="EB128" s="10"/>
      <c r="EC128" s="10"/>
      <c r="ED128" s="10"/>
      <c r="EE128" s="10"/>
      <c r="EF128" s="10"/>
      <c r="EG128" s="10"/>
      <c r="EH128" s="10"/>
      <c r="EI128" s="10"/>
      <c r="EJ128" s="10"/>
      <c r="EK128" s="10"/>
      <c r="EL128" s="10"/>
      <c r="EM128" s="10"/>
      <c r="EN128" s="10"/>
      <c r="EO128" s="10"/>
      <c r="EP128" s="10"/>
      <c r="EQ128" s="10"/>
      <c r="ER128" s="10"/>
      <c r="ES128" s="10"/>
      <c r="ET128" s="10"/>
      <c r="EU128" s="10"/>
      <c r="EV128" s="10"/>
      <c r="EW128" s="10"/>
      <c r="EX128" s="10"/>
      <c r="EY128" s="10"/>
      <c r="EZ128" s="10"/>
      <c r="FA128" s="10"/>
      <c r="FB128" s="10"/>
      <c r="FC128" s="10"/>
      <c r="FD128" s="10"/>
      <c r="FE128" s="10"/>
      <c r="FF128" s="10"/>
      <c r="FG128" s="10"/>
      <c r="FH128" s="10"/>
      <c r="FI128" s="10"/>
      <c r="FJ128" s="10"/>
      <c r="FK128" s="10"/>
      <c r="FL128" s="10"/>
      <c r="FM128" s="10"/>
      <c r="FN128" s="10"/>
      <c r="FO128" s="10"/>
      <c r="FP128" s="10"/>
      <c r="FQ128" s="10"/>
      <c r="FR128" s="10"/>
      <c r="FS128" s="10"/>
      <c r="FT128" s="10"/>
      <c r="FU128" s="10"/>
      <c r="FV128" s="10"/>
      <c r="FW128" s="10"/>
      <c r="FX128" s="10"/>
      <c r="FY128" s="10"/>
      <c r="FZ128" s="10"/>
      <c r="GA128" s="10"/>
      <c r="GB128" s="10"/>
      <c r="GC128" s="10"/>
      <c r="GD128" s="10"/>
      <c r="GE128" s="10"/>
      <c r="GF128" s="10"/>
      <c r="GG128" s="10"/>
      <c r="GH128" s="10"/>
      <c r="GI128" s="10"/>
      <c r="GJ128" s="10"/>
      <c r="GK128" s="10"/>
    </row>
    <row r="129" customFormat="false" ht="12.75" hidden="false" customHeight="false" outlineLevel="0" collapsed="false">
      <c r="A129" s="7"/>
      <c r="B129" s="7"/>
      <c r="C129" s="8"/>
      <c r="D129" s="8"/>
      <c r="E129" s="8"/>
      <c r="F129" s="8"/>
      <c r="G129" s="9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10"/>
      <c r="CY129" s="10"/>
      <c r="CZ129" s="10"/>
      <c r="DA129" s="10"/>
      <c r="DB129" s="10"/>
      <c r="DC129" s="10"/>
      <c r="DD129" s="10"/>
      <c r="DE129" s="10"/>
      <c r="DF129" s="10"/>
      <c r="DG129" s="10"/>
      <c r="DH129" s="10"/>
      <c r="DI129" s="10"/>
      <c r="DJ129" s="10"/>
      <c r="DK129" s="10"/>
      <c r="DL129" s="10"/>
      <c r="DM129" s="10"/>
      <c r="DN129" s="10"/>
      <c r="DO129" s="10"/>
      <c r="DP129" s="10"/>
      <c r="DQ129" s="10"/>
      <c r="DR129" s="10"/>
      <c r="DS129" s="10"/>
      <c r="DT129" s="10"/>
      <c r="DU129" s="10"/>
      <c r="DV129" s="10"/>
      <c r="DW129" s="10"/>
      <c r="DX129" s="10"/>
      <c r="DY129" s="10"/>
      <c r="DZ129" s="10"/>
      <c r="EA129" s="10"/>
      <c r="EB129" s="10"/>
      <c r="EC129" s="10"/>
      <c r="ED129" s="10"/>
      <c r="EE129" s="10"/>
      <c r="EF129" s="10"/>
      <c r="EG129" s="10"/>
      <c r="EH129" s="10"/>
      <c r="EI129" s="10"/>
      <c r="EJ129" s="10"/>
      <c r="EK129" s="10"/>
      <c r="EL129" s="10"/>
      <c r="EM129" s="10"/>
      <c r="EN129" s="10"/>
      <c r="EO129" s="10"/>
      <c r="EP129" s="10"/>
      <c r="EQ129" s="10"/>
      <c r="ER129" s="10"/>
      <c r="ES129" s="10"/>
      <c r="ET129" s="10"/>
      <c r="EU129" s="10"/>
      <c r="EV129" s="10"/>
      <c r="EW129" s="10"/>
      <c r="EX129" s="10"/>
      <c r="EY129" s="10"/>
      <c r="EZ129" s="10"/>
      <c r="FA129" s="10"/>
      <c r="FB129" s="10"/>
      <c r="FC129" s="10"/>
      <c r="FD129" s="10"/>
      <c r="FE129" s="10"/>
      <c r="FF129" s="10"/>
      <c r="FG129" s="10"/>
      <c r="FH129" s="10"/>
      <c r="FI129" s="10"/>
      <c r="FJ129" s="10"/>
      <c r="FK129" s="10"/>
      <c r="FL129" s="10"/>
      <c r="FM129" s="10"/>
      <c r="FN129" s="10"/>
      <c r="FO129" s="10"/>
      <c r="FP129" s="10"/>
      <c r="FQ129" s="10"/>
      <c r="FR129" s="10"/>
      <c r="FS129" s="10"/>
      <c r="FT129" s="10"/>
      <c r="FU129" s="10"/>
      <c r="FV129" s="10"/>
      <c r="FW129" s="10"/>
      <c r="FX129" s="10"/>
      <c r="FY129" s="10"/>
      <c r="FZ129" s="10"/>
      <c r="GA129" s="10"/>
      <c r="GB129" s="10"/>
      <c r="GC129" s="10"/>
      <c r="GD129" s="10"/>
      <c r="GE129" s="10"/>
      <c r="GF129" s="10"/>
      <c r="GG129" s="10"/>
      <c r="GH129" s="10"/>
      <c r="GI129" s="10"/>
      <c r="GJ129" s="10"/>
      <c r="GK129" s="10"/>
    </row>
    <row r="130" customFormat="false" ht="12.75" hidden="false" customHeight="false" outlineLevel="0" collapsed="false">
      <c r="A130" s="7"/>
      <c r="B130" s="7"/>
      <c r="C130" s="8"/>
      <c r="D130" s="8"/>
      <c r="E130" s="8"/>
      <c r="F130" s="8"/>
      <c r="G130" s="9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10"/>
      <c r="CX130" s="10"/>
      <c r="CY130" s="10"/>
      <c r="CZ130" s="10"/>
      <c r="DA130" s="10"/>
      <c r="DB130" s="10"/>
      <c r="DC130" s="10"/>
      <c r="DD130" s="10"/>
      <c r="DE130" s="10"/>
      <c r="DF130" s="10"/>
      <c r="DG130" s="10"/>
      <c r="DH130" s="10"/>
      <c r="DI130" s="10"/>
      <c r="DJ130" s="10"/>
      <c r="DK130" s="10"/>
      <c r="DL130" s="10"/>
      <c r="DM130" s="10"/>
      <c r="DN130" s="10"/>
      <c r="DO130" s="10"/>
      <c r="DP130" s="10"/>
      <c r="DQ130" s="10"/>
      <c r="DR130" s="10"/>
      <c r="DS130" s="10"/>
      <c r="DT130" s="10"/>
      <c r="DU130" s="10"/>
      <c r="DV130" s="10"/>
      <c r="DW130" s="10"/>
      <c r="DX130" s="10"/>
      <c r="DY130" s="10"/>
      <c r="DZ130" s="10"/>
      <c r="EA130" s="10"/>
      <c r="EB130" s="10"/>
      <c r="EC130" s="10"/>
      <c r="ED130" s="10"/>
      <c r="EE130" s="10"/>
      <c r="EF130" s="10"/>
      <c r="EG130" s="10"/>
      <c r="EH130" s="10"/>
      <c r="EI130" s="10"/>
      <c r="EJ130" s="10"/>
      <c r="EK130" s="10"/>
      <c r="EL130" s="10"/>
      <c r="EM130" s="10"/>
      <c r="EN130" s="10"/>
      <c r="EO130" s="10"/>
      <c r="EP130" s="10"/>
      <c r="EQ130" s="10"/>
      <c r="ER130" s="10"/>
      <c r="ES130" s="10"/>
      <c r="ET130" s="10"/>
      <c r="EU130" s="10"/>
      <c r="EV130" s="10"/>
      <c r="EW130" s="10"/>
      <c r="EX130" s="10"/>
      <c r="EY130" s="10"/>
      <c r="EZ130" s="10"/>
      <c r="FA130" s="10"/>
      <c r="FB130" s="10"/>
      <c r="FC130" s="10"/>
      <c r="FD130" s="10"/>
      <c r="FE130" s="10"/>
      <c r="FF130" s="10"/>
      <c r="FG130" s="10"/>
      <c r="FH130" s="10"/>
      <c r="FI130" s="10"/>
      <c r="FJ130" s="10"/>
      <c r="FK130" s="10"/>
      <c r="FL130" s="10"/>
      <c r="FM130" s="10"/>
      <c r="FN130" s="10"/>
      <c r="FO130" s="10"/>
      <c r="FP130" s="10"/>
      <c r="FQ130" s="10"/>
      <c r="FR130" s="10"/>
      <c r="FS130" s="10"/>
      <c r="FT130" s="10"/>
      <c r="FU130" s="10"/>
      <c r="FV130" s="10"/>
      <c r="FW130" s="10"/>
      <c r="FX130" s="10"/>
      <c r="FY130" s="10"/>
      <c r="FZ130" s="10"/>
      <c r="GA130" s="10"/>
      <c r="GB130" s="10"/>
      <c r="GC130" s="10"/>
      <c r="GD130" s="10"/>
      <c r="GE130" s="10"/>
      <c r="GF130" s="10"/>
      <c r="GG130" s="10"/>
      <c r="GH130" s="10"/>
      <c r="GI130" s="10"/>
      <c r="GJ130" s="10"/>
      <c r="GK130" s="10"/>
    </row>
    <row r="131" customFormat="false" ht="12.75" hidden="false" customHeight="false" outlineLevel="0" collapsed="false">
      <c r="A131" s="7"/>
      <c r="B131" s="7"/>
      <c r="C131" s="8"/>
      <c r="D131" s="8"/>
      <c r="E131" s="8"/>
      <c r="F131" s="8"/>
      <c r="G131" s="9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10"/>
      <c r="CX131" s="10"/>
      <c r="CY131" s="10"/>
      <c r="CZ131" s="10"/>
      <c r="DA131" s="10"/>
      <c r="DB131" s="10"/>
      <c r="DC131" s="10"/>
      <c r="DD131" s="10"/>
      <c r="DE131" s="10"/>
      <c r="DF131" s="10"/>
      <c r="DG131" s="10"/>
      <c r="DH131" s="10"/>
      <c r="DI131" s="10"/>
      <c r="DJ131" s="10"/>
      <c r="DK131" s="10"/>
      <c r="DL131" s="10"/>
      <c r="DM131" s="10"/>
      <c r="DN131" s="10"/>
      <c r="DO131" s="10"/>
      <c r="DP131" s="10"/>
      <c r="DQ131" s="10"/>
      <c r="DR131" s="10"/>
      <c r="DS131" s="10"/>
      <c r="DT131" s="10"/>
      <c r="DU131" s="10"/>
      <c r="DV131" s="10"/>
      <c r="DW131" s="10"/>
      <c r="DX131" s="10"/>
      <c r="DY131" s="10"/>
      <c r="DZ131" s="10"/>
      <c r="EA131" s="10"/>
      <c r="EB131" s="10"/>
      <c r="EC131" s="10"/>
      <c r="ED131" s="10"/>
      <c r="EE131" s="10"/>
      <c r="EF131" s="10"/>
      <c r="EG131" s="10"/>
      <c r="EH131" s="10"/>
      <c r="EI131" s="10"/>
      <c r="EJ131" s="10"/>
      <c r="EK131" s="10"/>
      <c r="EL131" s="10"/>
      <c r="EM131" s="10"/>
      <c r="EN131" s="10"/>
      <c r="EO131" s="10"/>
      <c r="EP131" s="10"/>
      <c r="EQ131" s="10"/>
      <c r="ER131" s="10"/>
      <c r="ES131" s="10"/>
      <c r="ET131" s="10"/>
      <c r="EU131" s="10"/>
      <c r="EV131" s="10"/>
      <c r="EW131" s="10"/>
      <c r="EX131" s="10"/>
      <c r="EY131" s="10"/>
      <c r="EZ131" s="10"/>
      <c r="FA131" s="10"/>
      <c r="FB131" s="10"/>
      <c r="FC131" s="10"/>
      <c r="FD131" s="10"/>
      <c r="FE131" s="10"/>
      <c r="FF131" s="10"/>
      <c r="FG131" s="10"/>
      <c r="FH131" s="10"/>
      <c r="FI131" s="10"/>
      <c r="FJ131" s="10"/>
      <c r="FK131" s="10"/>
      <c r="FL131" s="10"/>
      <c r="FM131" s="10"/>
      <c r="FN131" s="10"/>
      <c r="FO131" s="10"/>
      <c r="FP131" s="10"/>
      <c r="FQ131" s="10"/>
      <c r="FR131" s="10"/>
      <c r="FS131" s="10"/>
      <c r="FT131" s="10"/>
      <c r="FU131" s="10"/>
      <c r="FV131" s="10"/>
      <c r="FW131" s="10"/>
      <c r="FX131" s="10"/>
      <c r="FY131" s="10"/>
      <c r="FZ131" s="10"/>
      <c r="GA131" s="10"/>
      <c r="GB131" s="10"/>
      <c r="GC131" s="10"/>
      <c r="GD131" s="10"/>
      <c r="GE131" s="10"/>
      <c r="GF131" s="10"/>
      <c r="GG131" s="10"/>
      <c r="GH131" s="10"/>
      <c r="GI131" s="10"/>
      <c r="GJ131" s="10"/>
      <c r="GK131" s="10"/>
    </row>
    <row r="132" customFormat="false" ht="12.75" hidden="false" customHeight="false" outlineLevel="0" collapsed="false">
      <c r="A132" s="7"/>
      <c r="B132" s="7"/>
      <c r="C132" s="8"/>
      <c r="D132" s="8"/>
      <c r="E132" s="8"/>
      <c r="F132" s="8"/>
      <c r="G132" s="9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10"/>
      <c r="CX132" s="10"/>
      <c r="CY132" s="10"/>
      <c r="CZ132" s="10"/>
      <c r="DA132" s="10"/>
      <c r="DB132" s="10"/>
      <c r="DC132" s="10"/>
      <c r="DD132" s="10"/>
      <c r="DE132" s="10"/>
      <c r="DF132" s="10"/>
      <c r="DG132" s="10"/>
      <c r="DH132" s="10"/>
      <c r="DI132" s="10"/>
      <c r="DJ132" s="10"/>
      <c r="DK132" s="10"/>
      <c r="DL132" s="10"/>
      <c r="DM132" s="10"/>
      <c r="DN132" s="10"/>
      <c r="DO132" s="10"/>
      <c r="DP132" s="10"/>
      <c r="DQ132" s="10"/>
      <c r="DR132" s="10"/>
      <c r="DS132" s="10"/>
      <c r="DT132" s="10"/>
      <c r="DU132" s="10"/>
      <c r="DV132" s="10"/>
      <c r="DW132" s="10"/>
      <c r="DX132" s="10"/>
      <c r="DY132" s="10"/>
      <c r="DZ132" s="10"/>
      <c r="EA132" s="10"/>
      <c r="EB132" s="10"/>
      <c r="EC132" s="10"/>
      <c r="ED132" s="10"/>
      <c r="EE132" s="10"/>
      <c r="EF132" s="10"/>
      <c r="EG132" s="10"/>
      <c r="EH132" s="10"/>
      <c r="EI132" s="10"/>
      <c r="EJ132" s="10"/>
      <c r="EK132" s="10"/>
      <c r="EL132" s="10"/>
      <c r="EM132" s="10"/>
      <c r="EN132" s="10"/>
      <c r="EO132" s="10"/>
      <c r="EP132" s="10"/>
      <c r="EQ132" s="10"/>
      <c r="ER132" s="10"/>
      <c r="ES132" s="10"/>
      <c r="ET132" s="10"/>
      <c r="EU132" s="10"/>
      <c r="EV132" s="10"/>
      <c r="EW132" s="10"/>
      <c r="EX132" s="10"/>
      <c r="EY132" s="10"/>
      <c r="EZ132" s="10"/>
      <c r="FA132" s="10"/>
      <c r="FB132" s="10"/>
      <c r="FC132" s="10"/>
      <c r="FD132" s="10"/>
      <c r="FE132" s="10"/>
      <c r="FF132" s="10"/>
      <c r="FG132" s="10"/>
      <c r="FH132" s="10"/>
      <c r="FI132" s="10"/>
      <c r="FJ132" s="10"/>
      <c r="FK132" s="10"/>
      <c r="FL132" s="10"/>
      <c r="FM132" s="10"/>
      <c r="FN132" s="10"/>
      <c r="FO132" s="10"/>
      <c r="FP132" s="10"/>
      <c r="FQ132" s="10"/>
      <c r="FR132" s="10"/>
      <c r="FS132" s="10"/>
      <c r="FT132" s="10"/>
      <c r="FU132" s="10"/>
      <c r="FV132" s="10"/>
      <c r="FW132" s="10"/>
      <c r="FX132" s="10"/>
      <c r="FY132" s="10"/>
      <c r="FZ132" s="10"/>
      <c r="GA132" s="10"/>
      <c r="GB132" s="10"/>
      <c r="GC132" s="10"/>
      <c r="GD132" s="10"/>
      <c r="GE132" s="10"/>
      <c r="GF132" s="10"/>
      <c r="GG132" s="10"/>
      <c r="GH132" s="10"/>
      <c r="GI132" s="10"/>
      <c r="GJ132" s="10"/>
      <c r="GK132" s="10"/>
    </row>
    <row r="133" customFormat="false" ht="12.75" hidden="false" customHeight="false" outlineLevel="0" collapsed="false">
      <c r="A133" s="7"/>
      <c r="B133" s="7"/>
      <c r="C133" s="8"/>
      <c r="D133" s="8"/>
      <c r="E133" s="8"/>
      <c r="F133" s="8"/>
      <c r="G133" s="9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10"/>
      <c r="CX133" s="10"/>
      <c r="CY133" s="10"/>
      <c r="CZ133" s="10"/>
      <c r="DA133" s="10"/>
      <c r="DB133" s="10"/>
      <c r="DC133" s="10"/>
      <c r="DD133" s="10"/>
      <c r="DE133" s="10"/>
      <c r="DF133" s="10"/>
      <c r="DG133" s="10"/>
      <c r="DH133" s="10"/>
      <c r="DI133" s="10"/>
      <c r="DJ133" s="10"/>
      <c r="DK133" s="10"/>
      <c r="DL133" s="10"/>
      <c r="DM133" s="10"/>
      <c r="DN133" s="10"/>
      <c r="DO133" s="10"/>
      <c r="DP133" s="10"/>
      <c r="DQ133" s="10"/>
      <c r="DR133" s="10"/>
      <c r="DS133" s="10"/>
      <c r="DT133" s="10"/>
      <c r="DU133" s="10"/>
      <c r="DV133" s="10"/>
      <c r="DW133" s="10"/>
      <c r="DX133" s="10"/>
      <c r="DY133" s="10"/>
      <c r="DZ133" s="10"/>
      <c r="EA133" s="10"/>
      <c r="EB133" s="10"/>
      <c r="EC133" s="10"/>
      <c r="ED133" s="10"/>
      <c r="EE133" s="10"/>
      <c r="EF133" s="10"/>
      <c r="EG133" s="10"/>
      <c r="EH133" s="10"/>
      <c r="EI133" s="10"/>
      <c r="EJ133" s="10"/>
      <c r="EK133" s="10"/>
      <c r="EL133" s="10"/>
      <c r="EM133" s="10"/>
      <c r="EN133" s="10"/>
      <c r="EO133" s="10"/>
      <c r="EP133" s="10"/>
      <c r="EQ133" s="10"/>
      <c r="ER133" s="10"/>
      <c r="ES133" s="10"/>
      <c r="ET133" s="10"/>
      <c r="EU133" s="10"/>
      <c r="EV133" s="10"/>
      <c r="EW133" s="10"/>
      <c r="EX133" s="10"/>
      <c r="EY133" s="10"/>
      <c r="EZ133" s="10"/>
      <c r="FA133" s="10"/>
      <c r="FB133" s="10"/>
      <c r="FC133" s="10"/>
      <c r="FD133" s="10"/>
      <c r="FE133" s="10"/>
      <c r="FF133" s="10"/>
      <c r="FG133" s="10"/>
      <c r="FH133" s="10"/>
      <c r="FI133" s="10"/>
      <c r="FJ133" s="10"/>
      <c r="FK133" s="10"/>
      <c r="FL133" s="10"/>
      <c r="FM133" s="10"/>
      <c r="FN133" s="10"/>
      <c r="FO133" s="10"/>
      <c r="FP133" s="10"/>
      <c r="FQ133" s="10"/>
      <c r="FR133" s="10"/>
      <c r="FS133" s="10"/>
      <c r="FT133" s="10"/>
      <c r="FU133" s="10"/>
      <c r="FV133" s="10"/>
      <c r="FW133" s="10"/>
      <c r="FX133" s="10"/>
      <c r="FY133" s="10"/>
      <c r="FZ133" s="10"/>
      <c r="GA133" s="10"/>
      <c r="GB133" s="10"/>
      <c r="GC133" s="10"/>
      <c r="GD133" s="10"/>
      <c r="GE133" s="10"/>
      <c r="GF133" s="10"/>
      <c r="GG133" s="10"/>
      <c r="GH133" s="10"/>
      <c r="GI133" s="10"/>
      <c r="GJ133" s="10"/>
      <c r="GK133" s="10"/>
    </row>
    <row r="134" customFormat="false" ht="12.75" hidden="false" customHeight="false" outlineLevel="0" collapsed="false">
      <c r="A134" s="7"/>
      <c r="B134" s="7"/>
      <c r="C134" s="8"/>
      <c r="D134" s="8"/>
      <c r="E134" s="8"/>
      <c r="F134" s="8"/>
      <c r="G134" s="9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10"/>
      <c r="CX134" s="10"/>
      <c r="CY134" s="10"/>
      <c r="CZ134" s="10"/>
      <c r="DA134" s="10"/>
      <c r="DB134" s="10"/>
      <c r="DC134" s="10"/>
      <c r="DD134" s="10"/>
      <c r="DE134" s="10"/>
      <c r="DF134" s="10"/>
      <c r="DG134" s="10"/>
      <c r="DH134" s="10"/>
      <c r="DI134" s="10"/>
      <c r="DJ134" s="10"/>
      <c r="DK134" s="10"/>
      <c r="DL134" s="10"/>
      <c r="DM134" s="10"/>
      <c r="DN134" s="10"/>
      <c r="DO134" s="10"/>
      <c r="DP134" s="10"/>
      <c r="DQ134" s="10"/>
      <c r="DR134" s="10"/>
      <c r="DS134" s="10"/>
      <c r="DT134" s="10"/>
      <c r="DU134" s="10"/>
      <c r="DV134" s="10"/>
      <c r="DW134" s="10"/>
      <c r="DX134" s="10"/>
      <c r="DY134" s="10"/>
      <c r="DZ134" s="10"/>
      <c r="EA134" s="10"/>
      <c r="EB134" s="10"/>
      <c r="EC134" s="10"/>
      <c r="ED134" s="10"/>
      <c r="EE134" s="10"/>
      <c r="EF134" s="10"/>
      <c r="EG134" s="10"/>
      <c r="EH134" s="10"/>
      <c r="EI134" s="10"/>
      <c r="EJ134" s="10"/>
      <c r="EK134" s="10"/>
      <c r="EL134" s="10"/>
      <c r="EM134" s="10"/>
      <c r="EN134" s="10"/>
      <c r="EO134" s="10"/>
      <c r="EP134" s="10"/>
      <c r="EQ134" s="10"/>
      <c r="ER134" s="10"/>
      <c r="ES134" s="10"/>
      <c r="ET134" s="10"/>
      <c r="EU134" s="10"/>
      <c r="EV134" s="10"/>
      <c r="EW134" s="10"/>
      <c r="EX134" s="10"/>
      <c r="EY134" s="10"/>
      <c r="EZ134" s="10"/>
      <c r="FA134" s="10"/>
      <c r="FB134" s="10"/>
      <c r="FC134" s="10"/>
      <c r="FD134" s="10"/>
      <c r="FE134" s="10"/>
      <c r="FF134" s="10"/>
      <c r="FG134" s="10"/>
      <c r="FH134" s="10"/>
      <c r="FI134" s="10"/>
      <c r="FJ134" s="10"/>
      <c r="FK134" s="10"/>
      <c r="FL134" s="10"/>
      <c r="FM134" s="10"/>
      <c r="FN134" s="10"/>
      <c r="FO134" s="10"/>
      <c r="FP134" s="10"/>
      <c r="FQ134" s="10"/>
      <c r="FR134" s="10"/>
      <c r="FS134" s="10"/>
      <c r="FT134" s="10"/>
      <c r="FU134" s="10"/>
      <c r="FV134" s="10"/>
      <c r="FW134" s="10"/>
      <c r="FX134" s="10"/>
      <c r="FY134" s="10"/>
      <c r="FZ134" s="10"/>
      <c r="GA134" s="10"/>
      <c r="GB134" s="10"/>
      <c r="GC134" s="10"/>
      <c r="GD134" s="10"/>
      <c r="GE134" s="10"/>
      <c r="GF134" s="10"/>
      <c r="GG134" s="10"/>
      <c r="GH134" s="10"/>
      <c r="GI134" s="10"/>
      <c r="GJ134" s="10"/>
      <c r="GK134" s="10"/>
    </row>
    <row r="135" customFormat="false" ht="12.75" hidden="false" customHeight="false" outlineLevel="0" collapsed="false">
      <c r="A135" s="7"/>
      <c r="B135" s="7"/>
      <c r="C135" s="8"/>
      <c r="D135" s="8"/>
      <c r="E135" s="8"/>
      <c r="F135" s="8"/>
      <c r="G135" s="9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10"/>
      <c r="CX135" s="10"/>
      <c r="CY135" s="10"/>
      <c r="CZ135" s="10"/>
      <c r="DA135" s="10"/>
      <c r="DB135" s="10"/>
      <c r="DC135" s="10"/>
      <c r="DD135" s="10"/>
      <c r="DE135" s="10"/>
      <c r="DF135" s="10"/>
      <c r="DG135" s="10"/>
      <c r="DH135" s="10"/>
      <c r="DI135" s="10"/>
      <c r="DJ135" s="10"/>
      <c r="DK135" s="10"/>
      <c r="DL135" s="10"/>
      <c r="DM135" s="10"/>
      <c r="DN135" s="10"/>
      <c r="DO135" s="10"/>
      <c r="DP135" s="10"/>
      <c r="DQ135" s="10"/>
      <c r="DR135" s="10"/>
      <c r="DS135" s="10"/>
      <c r="DT135" s="10"/>
      <c r="DU135" s="10"/>
      <c r="DV135" s="10"/>
      <c r="DW135" s="10"/>
      <c r="DX135" s="10"/>
      <c r="DY135" s="10"/>
      <c r="DZ135" s="10"/>
      <c r="EA135" s="10"/>
      <c r="EB135" s="10"/>
      <c r="EC135" s="10"/>
      <c r="ED135" s="10"/>
      <c r="EE135" s="10"/>
      <c r="EF135" s="10"/>
      <c r="EG135" s="10"/>
      <c r="EH135" s="10"/>
      <c r="EI135" s="10"/>
      <c r="EJ135" s="10"/>
      <c r="EK135" s="10"/>
      <c r="EL135" s="10"/>
      <c r="EM135" s="10"/>
      <c r="EN135" s="10"/>
      <c r="EO135" s="10"/>
      <c r="EP135" s="10"/>
      <c r="EQ135" s="10"/>
      <c r="ER135" s="10"/>
      <c r="ES135" s="10"/>
      <c r="ET135" s="10"/>
      <c r="EU135" s="10"/>
      <c r="EV135" s="10"/>
      <c r="EW135" s="10"/>
      <c r="EX135" s="10"/>
      <c r="EY135" s="10"/>
      <c r="EZ135" s="10"/>
      <c r="FA135" s="10"/>
      <c r="FB135" s="10"/>
      <c r="FC135" s="10"/>
      <c r="FD135" s="10"/>
      <c r="FE135" s="10"/>
      <c r="FF135" s="10"/>
      <c r="FG135" s="10"/>
      <c r="FH135" s="10"/>
      <c r="FI135" s="10"/>
      <c r="FJ135" s="10"/>
      <c r="FK135" s="10"/>
      <c r="FL135" s="10"/>
      <c r="FM135" s="10"/>
      <c r="FN135" s="10"/>
      <c r="FO135" s="10"/>
      <c r="FP135" s="10"/>
      <c r="FQ135" s="10"/>
      <c r="FR135" s="10"/>
      <c r="FS135" s="10"/>
      <c r="FT135" s="10"/>
      <c r="FU135" s="10"/>
      <c r="FV135" s="10"/>
      <c r="FW135" s="10"/>
      <c r="FX135" s="10"/>
      <c r="FY135" s="10"/>
      <c r="FZ135" s="10"/>
      <c r="GA135" s="10"/>
      <c r="GB135" s="10"/>
      <c r="GC135" s="10"/>
      <c r="GD135" s="10"/>
      <c r="GE135" s="10"/>
      <c r="GF135" s="10"/>
      <c r="GG135" s="10"/>
      <c r="GH135" s="10"/>
      <c r="GI135" s="10"/>
      <c r="GJ135" s="10"/>
      <c r="GK135" s="10"/>
    </row>
    <row r="136" customFormat="false" ht="12.75" hidden="false" customHeight="false" outlineLevel="0" collapsed="false">
      <c r="A136" s="7"/>
      <c r="B136" s="7"/>
      <c r="C136" s="8"/>
      <c r="D136" s="8"/>
      <c r="E136" s="8"/>
      <c r="F136" s="8"/>
      <c r="G136" s="9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  <c r="CX136" s="10"/>
      <c r="CY136" s="10"/>
      <c r="CZ136" s="10"/>
      <c r="DA136" s="10"/>
      <c r="DB136" s="10"/>
      <c r="DC136" s="10"/>
      <c r="DD136" s="10"/>
      <c r="DE136" s="10"/>
      <c r="DF136" s="10"/>
      <c r="DG136" s="10"/>
      <c r="DH136" s="10"/>
      <c r="DI136" s="10"/>
      <c r="DJ136" s="10"/>
      <c r="DK136" s="10"/>
      <c r="DL136" s="10"/>
      <c r="DM136" s="10"/>
      <c r="DN136" s="10"/>
      <c r="DO136" s="10"/>
      <c r="DP136" s="10"/>
      <c r="DQ136" s="10"/>
      <c r="DR136" s="10"/>
      <c r="DS136" s="10"/>
      <c r="DT136" s="10"/>
      <c r="DU136" s="10"/>
      <c r="DV136" s="10"/>
      <c r="DW136" s="10"/>
      <c r="DX136" s="10"/>
      <c r="DY136" s="10"/>
      <c r="DZ136" s="10"/>
      <c r="EA136" s="10"/>
      <c r="EB136" s="10"/>
      <c r="EC136" s="10"/>
      <c r="ED136" s="10"/>
      <c r="EE136" s="10"/>
      <c r="EF136" s="10"/>
      <c r="EG136" s="10"/>
      <c r="EH136" s="10"/>
      <c r="EI136" s="10"/>
      <c r="EJ136" s="10"/>
      <c r="EK136" s="10"/>
      <c r="EL136" s="10"/>
      <c r="EM136" s="10"/>
      <c r="EN136" s="10"/>
      <c r="EO136" s="10"/>
      <c r="EP136" s="10"/>
      <c r="EQ136" s="10"/>
      <c r="ER136" s="10"/>
      <c r="ES136" s="10"/>
      <c r="ET136" s="10"/>
      <c r="EU136" s="10"/>
      <c r="EV136" s="10"/>
      <c r="EW136" s="10"/>
      <c r="EX136" s="10"/>
      <c r="EY136" s="10"/>
      <c r="EZ136" s="10"/>
      <c r="FA136" s="10"/>
      <c r="FB136" s="10"/>
      <c r="FC136" s="10"/>
      <c r="FD136" s="10"/>
      <c r="FE136" s="10"/>
      <c r="FF136" s="10"/>
      <c r="FG136" s="10"/>
      <c r="FH136" s="10"/>
      <c r="FI136" s="10"/>
      <c r="FJ136" s="10"/>
      <c r="FK136" s="10"/>
      <c r="FL136" s="10"/>
      <c r="FM136" s="10"/>
      <c r="FN136" s="10"/>
      <c r="FO136" s="10"/>
      <c r="FP136" s="10"/>
      <c r="FQ136" s="10"/>
      <c r="FR136" s="10"/>
      <c r="FS136" s="10"/>
      <c r="FT136" s="10"/>
      <c r="FU136" s="10"/>
      <c r="FV136" s="10"/>
      <c r="FW136" s="10"/>
      <c r="FX136" s="10"/>
      <c r="FY136" s="10"/>
      <c r="FZ136" s="10"/>
      <c r="GA136" s="10"/>
      <c r="GB136" s="10"/>
      <c r="GC136" s="10"/>
      <c r="GD136" s="10"/>
      <c r="GE136" s="10"/>
      <c r="GF136" s="10"/>
      <c r="GG136" s="10"/>
      <c r="GH136" s="10"/>
      <c r="GI136" s="10"/>
      <c r="GJ136" s="10"/>
      <c r="GK136" s="10"/>
    </row>
    <row r="137" customFormat="false" ht="12.75" hidden="false" customHeight="false" outlineLevel="0" collapsed="false">
      <c r="A137" s="7"/>
      <c r="B137" s="7"/>
      <c r="C137" s="8"/>
      <c r="D137" s="8"/>
      <c r="E137" s="8"/>
      <c r="F137" s="8"/>
      <c r="G137" s="9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10"/>
      <c r="CX137" s="10"/>
      <c r="CY137" s="10"/>
      <c r="CZ137" s="10"/>
      <c r="DA137" s="10"/>
      <c r="DB137" s="10"/>
      <c r="DC137" s="10"/>
      <c r="DD137" s="10"/>
      <c r="DE137" s="10"/>
      <c r="DF137" s="10"/>
      <c r="DG137" s="10"/>
      <c r="DH137" s="10"/>
      <c r="DI137" s="10"/>
      <c r="DJ137" s="10"/>
      <c r="DK137" s="10"/>
      <c r="DL137" s="10"/>
      <c r="DM137" s="10"/>
      <c r="DN137" s="10"/>
      <c r="DO137" s="10"/>
      <c r="DP137" s="10"/>
      <c r="DQ137" s="10"/>
      <c r="DR137" s="10"/>
      <c r="DS137" s="10"/>
      <c r="DT137" s="10"/>
      <c r="DU137" s="10"/>
      <c r="DV137" s="10"/>
      <c r="DW137" s="10"/>
      <c r="DX137" s="10"/>
      <c r="DY137" s="10"/>
      <c r="DZ137" s="10"/>
      <c r="EA137" s="10"/>
      <c r="EB137" s="10"/>
      <c r="EC137" s="10"/>
      <c r="ED137" s="10"/>
      <c r="EE137" s="10"/>
      <c r="EF137" s="10"/>
      <c r="EG137" s="10"/>
      <c r="EH137" s="10"/>
      <c r="EI137" s="10"/>
      <c r="EJ137" s="10"/>
      <c r="EK137" s="10"/>
      <c r="EL137" s="10"/>
      <c r="EM137" s="10"/>
      <c r="EN137" s="10"/>
      <c r="EO137" s="10"/>
      <c r="EP137" s="10"/>
      <c r="EQ137" s="10"/>
      <c r="ER137" s="10"/>
      <c r="ES137" s="10"/>
      <c r="ET137" s="10"/>
      <c r="EU137" s="10"/>
      <c r="EV137" s="10"/>
      <c r="EW137" s="10"/>
      <c r="EX137" s="10"/>
      <c r="EY137" s="10"/>
      <c r="EZ137" s="10"/>
      <c r="FA137" s="10"/>
      <c r="FB137" s="10"/>
      <c r="FC137" s="10"/>
      <c r="FD137" s="10"/>
      <c r="FE137" s="10"/>
      <c r="FF137" s="10"/>
      <c r="FG137" s="10"/>
      <c r="FH137" s="10"/>
      <c r="FI137" s="10"/>
      <c r="FJ137" s="10"/>
      <c r="FK137" s="10"/>
      <c r="FL137" s="10"/>
      <c r="FM137" s="10"/>
      <c r="FN137" s="10"/>
      <c r="FO137" s="10"/>
      <c r="FP137" s="10"/>
      <c r="FQ137" s="10"/>
      <c r="FR137" s="10"/>
      <c r="FS137" s="10"/>
      <c r="FT137" s="10"/>
      <c r="FU137" s="10"/>
      <c r="FV137" s="10"/>
      <c r="FW137" s="10"/>
      <c r="FX137" s="10"/>
      <c r="FY137" s="10"/>
      <c r="FZ137" s="10"/>
      <c r="GA137" s="10"/>
      <c r="GB137" s="10"/>
      <c r="GC137" s="10"/>
      <c r="GD137" s="10"/>
      <c r="GE137" s="10"/>
      <c r="GF137" s="10"/>
      <c r="GG137" s="10"/>
      <c r="GH137" s="10"/>
      <c r="GI137" s="10"/>
      <c r="GJ137" s="10"/>
      <c r="GK137" s="10"/>
    </row>
    <row r="138" customFormat="false" ht="12.75" hidden="false" customHeight="false" outlineLevel="0" collapsed="false">
      <c r="A138" s="7"/>
      <c r="B138" s="7"/>
      <c r="C138" s="8"/>
      <c r="D138" s="8"/>
      <c r="E138" s="8"/>
      <c r="F138" s="8"/>
      <c r="G138" s="9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  <c r="EM138" s="10"/>
      <c r="EN138" s="10"/>
      <c r="EO138" s="10"/>
      <c r="EP138" s="10"/>
      <c r="EQ138" s="10"/>
      <c r="ER138" s="10"/>
      <c r="ES138" s="10"/>
      <c r="ET138" s="10"/>
      <c r="EU138" s="10"/>
      <c r="EV138" s="10"/>
      <c r="EW138" s="10"/>
      <c r="EX138" s="10"/>
      <c r="EY138" s="10"/>
      <c r="EZ138" s="10"/>
      <c r="FA138" s="10"/>
      <c r="FB138" s="10"/>
      <c r="FC138" s="10"/>
      <c r="FD138" s="10"/>
      <c r="FE138" s="10"/>
      <c r="FF138" s="10"/>
      <c r="FG138" s="10"/>
      <c r="FH138" s="10"/>
      <c r="FI138" s="10"/>
      <c r="FJ138" s="10"/>
      <c r="FK138" s="10"/>
      <c r="FL138" s="10"/>
      <c r="FM138" s="10"/>
      <c r="FN138" s="10"/>
      <c r="FO138" s="10"/>
      <c r="FP138" s="10"/>
      <c r="FQ138" s="10"/>
      <c r="FR138" s="10"/>
      <c r="FS138" s="10"/>
      <c r="FT138" s="10"/>
      <c r="FU138" s="10"/>
      <c r="FV138" s="10"/>
      <c r="FW138" s="10"/>
      <c r="FX138" s="10"/>
      <c r="FY138" s="10"/>
      <c r="FZ138" s="10"/>
      <c r="GA138" s="10"/>
      <c r="GB138" s="10"/>
      <c r="GC138" s="10"/>
      <c r="GD138" s="10"/>
      <c r="GE138" s="10"/>
      <c r="GF138" s="10"/>
      <c r="GG138" s="10"/>
      <c r="GH138" s="10"/>
      <c r="GI138" s="10"/>
      <c r="GJ138" s="10"/>
      <c r="GK138" s="10"/>
    </row>
    <row r="139" customFormat="false" ht="12.75" hidden="false" customHeight="false" outlineLevel="0" collapsed="false">
      <c r="A139" s="7"/>
      <c r="B139" s="7"/>
      <c r="C139" s="8"/>
      <c r="D139" s="8"/>
      <c r="E139" s="8"/>
      <c r="F139" s="8"/>
      <c r="G139" s="9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10"/>
      <c r="CX139" s="10"/>
      <c r="CY139" s="10"/>
      <c r="CZ139" s="10"/>
      <c r="DA139" s="10"/>
      <c r="DB139" s="10"/>
      <c r="DC139" s="10"/>
      <c r="DD139" s="10"/>
      <c r="DE139" s="10"/>
      <c r="DF139" s="10"/>
      <c r="DG139" s="10"/>
      <c r="DH139" s="10"/>
      <c r="DI139" s="10"/>
      <c r="DJ139" s="10"/>
      <c r="DK139" s="10"/>
      <c r="DL139" s="10"/>
      <c r="DM139" s="10"/>
      <c r="DN139" s="10"/>
      <c r="DO139" s="10"/>
      <c r="DP139" s="10"/>
      <c r="DQ139" s="10"/>
      <c r="DR139" s="10"/>
      <c r="DS139" s="10"/>
      <c r="DT139" s="10"/>
      <c r="DU139" s="10"/>
      <c r="DV139" s="10"/>
      <c r="DW139" s="10"/>
      <c r="DX139" s="10"/>
      <c r="DY139" s="10"/>
      <c r="DZ139" s="10"/>
      <c r="EA139" s="10"/>
      <c r="EB139" s="10"/>
      <c r="EC139" s="10"/>
      <c r="ED139" s="10"/>
      <c r="EE139" s="10"/>
      <c r="EF139" s="10"/>
      <c r="EG139" s="10"/>
      <c r="EH139" s="10"/>
      <c r="EI139" s="10"/>
      <c r="EJ139" s="10"/>
      <c r="EK139" s="10"/>
      <c r="EL139" s="10"/>
      <c r="EM139" s="10"/>
      <c r="EN139" s="10"/>
      <c r="EO139" s="10"/>
      <c r="EP139" s="10"/>
      <c r="EQ139" s="10"/>
      <c r="ER139" s="10"/>
      <c r="ES139" s="10"/>
      <c r="ET139" s="10"/>
      <c r="EU139" s="10"/>
      <c r="EV139" s="10"/>
      <c r="EW139" s="10"/>
      <c r="EX139" s="10"/>
      <c r="EY139" s="10"/>
      <c r="EZ139" s="10"/>
      <c r="FA139" s="10"/>
      <c r="FB139" s="10"/>
      <c r="FC139" s="10"/>
      <c r="FD139" s="10"/>
      <c r="FE139" s="10"/>
      <c r="FF139" s="10"/>
      <c r="FG139" s="10"/>
      <c r="FH139" s="10"/>
      <c r="FI139" s="10"/>
      <c r="FJ139" s="10"/>
      <c r="FK139" s="10"/>
      <c r="FL139" s="10"/>
      <c r="FM139" s="10"/>
      <c r="FN139" s="10"/>
      <c r="FO139" s="10"/>
      <c r="FP139" s="10"/>
      <c r="FQ139" s="10"/>
      <c r="FR139" s="10"/>
      <c r="FS139" s="10"/>
      <c r="FT139" s="10"/>
      <c r="FU139" s="10"/>
      <c r="FV139" s="10"/>
      <c r="FW139" s="10"/>
      <c r="FX139" s="10"/>
      <c r="FY139" s="10"/>
      <c r="FZ139" s="10"/>
      <c r="GA139" s="10"/>
      <c r="GB139" s="10"/>
      <c r="GC139" s="10"/>
      <c r="GD139" s="10"/>
      <c r="GE139" s="10"/>
      <c r="GF139" s="10"/>
      <c r="GG139" s="10"/>
      <c r="GH139" s="10"/>
      <c r="GI139" s="10"/>
      <c r="GJ139" s="10"/>
      <c r="GK139" s="10"/>
    </row>
    <row r="140" customFormat="false" ht="12.75" hidden="false" customHeight="false" outlineLevel="0" collapsed="false">
      <c r="A140" s="7"/>
      <c r="B140" s="7"/>
      <c r="C140" s="8"/>
      <c r="D140" s="8"/>
      <c r="E140" s="8"/>
      <c r="F140" s="8"/>
      <c r="G140" s="9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10"/>
      <c r="CX140" s="10"/>
      <c r="CY140" s="10"/>
      <c r="CZ140" s="10"/>
      <c r="DA140" s="10"/>
      <c r="DB140" s="10"/>
      <c r="DC140" s="10"/>
      <c r="DD140" s="10"/>
      <c r="DE140" s="10"/>
      <c r="DF140" s="10"/>
      <c r="DG140" s="10"/>
      <c r="DH140" s="10"/>
      <c r="DI140" s="10"/>
      <c r="DJ140" s="10"/>
      <c r="DK140" s="10"/>
      <c r="DL140" s="10"/>
      <c r="DM140" s="10"/>
      <c r="DN140" s="10"/>
      <c r="DO140" s="10"/>
      <c r="DP140" s="10"/>
      <c r="DQ140" s="10"/>
      <c r="DR140" s="10"/>
      <c r="DS140" s="10"/>
      <c r="DT140" s="10"/>
      <c r="DU140" s="10"/>
      <c r="DV140" s="10"/>
      <c r="DW140" s="10"/>
      <c r="DX140" s="10"/>
      <c r="DY140" s="10"/>
      <c r="DZ140" s="10"/>
      <c r="EA140" s="10"/>
      <c r="EB140" s="10"/>
      <c r="EC140" s="10"/>
      <c r="ED140" s="10"/>
      <c r="EE140" s="10"/>
      <c r="EF140" s="10"/>
      <c r="EG140" s="10"/>
      <c r="EH140" s="10"/>
      <c r="EI140" s="10"/>
      <c r="EJ140" s="10"/>
      <c r="EK140" s="10"/>
      <c r="EL140" s="10"/>
      <c r="EM140" s="10"/>
      <c r="EN140" s="10"/>
      <c r="EO140" s="10"/>
      <c r="EP140" s="10"/>
      <c r="EQ140" s="10"/>
      <c r="ER140" s="10"/>
      <c r="ES140" s="10"/>
      <c r="ET140" s="10"/>
      <c r="EU140" s="10"/>
      <c r="EV140" s="10"/>
      <c r="EW140" s="10"/>
      <c r="EX140" s="10"/>
      <c r="EY140" s="10"/>
      <c r="EZ140" s="10"/>
      <c r="FA140" s="10"/>
      <c r="FB140" s="10"/>
      <c r="FC140" s="10"/>
      <c r="FD140" s="10"/>
      <c r="FE140" s="10"/>
      <c r="FF140" s="10"/>
      <c r="FG140" s="10"/>
      <c r="FH140" s="10"/>
      <c r="FI140" s="10"/>
      <c r="FJ140" s="10"/>
      <c r="FK140" s="10"/>
      <c r="FL140" s="10"/>
      <c r="FM140" s="10"/>
      <c r="FN140" s="10"/>
      <c r="FO140" s="10"/>
      <c r="FP140" s="10"/>
      <c r="FQ140" s="10"/>
      <c r="FR140" s="10"/>
      <c r="FS140" s="10"/>
      <c r="FT140" s="10"/>
      <c r="FU140" s="10"/>
      <c r="FV140" s="10"/>
      <c r="FW140" s="10"/>
      <c r="FX140" s="10"/>
      <c r="FY140" s="10"/>
      <c r="FZ140" s="10"/>
      <c r="GA140" s="10"/>
      <c r="GB140" s="10"/>
      <c r="GC140" s="10"/>
      <c r="GD140" s="10"/>
      <c r="GE140" s="10"/>
      <c r="GF140" s="10"/>
      <c r="GG140" s="10"/>
      <c r="GH140" s="10"/>
      <c r="GI140" s="10"/>
      <c r="GJ140" s="10"/>
      <c r="GK140" s="10"/>
    </row>
    <row r="141" customFormat="false" ht="12.75" hidden="false" customHeight="false" outlineLevel="0" collapsed="false">
      <c r="A141" s="7"/>
      <c r="B141" s="7"/>
      <c r="C141" s="8"/>
      <c r="D141" s="8"/>
      <c r="E141" s="8"/>
      <c r="F141" s="8"/>
      <c r="G141" s="9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/>
      <c r="DA141" s="10"/>
      <c r="DB141" s="10"/>
      <c r="DC141" s="10"/>
      <c r="DD141" s="10"/>
      <c r="DE141" s="10"/>
      <c r="DF141" s="10"/>
      <c r="DG141" s="10"/>
      <c r="DH141" s="10"/>
      <c r="DI141" s="10"/>
      <c r="DJ141" s="10"/>
      <c r="DK141" s="10"/>
      <c r="DL141" s="10"/>
      <c r="DM141" s="10"/>
      <c r="DN141" s="10"/>
      <c r="DO141" s="10"/>
      <c r="DP141" s="10"/>
      <c r="DQ141" s="10"/>
      <c r="DR141" s="10"/>
      <c r="DS141" s="10"/>
      <c r="DT141" s="10"/>
      <c r="DU141" s="10"/>
      <c r="DV141" s="10"/>
      <c r="DW141" s="10"/>
      <c r="DX141" s="10"/>
      <c r="DY141" s="10"/>
      <c r="DZ141" s="10"/>
      <c r="EA141" s="10"/>
      <c r="EB141" s="10"/>
      <c r="EC141" s="10"/>
      <c r="ED141" s="10"/>
      <c r="EE141" s="10"/>
      <c r="EF141" s="10"/>
      <c r="EG141" s="10"/>
      <c r="EH141" s="10"/>
      <c r="EI141" s="10"/>
      <c r="EJ141" s="10"/>
      <c r="EK141" s="10"/>
      <c r="EL141" s="10"/>
      <c r="EM141" s="10"/>
      <c r="EN141" s="10"/>
      <c r="EO141" s="10"/>
      <c r="EP141" s="10"/>
      <c r="EQ141" s="10"/>
      <c r="ER141" s="10"/>
      <c r="ES141" s="10"/>
      <c r="ET141" s="10"/>
      <c r="EU141" s="10"/>
      <c r="EV141" s="10"/>
      <c r="EW141" s="10"/>
      <c r="EX141" s="10"/>
      <c r="EY141" s="10"/>
      <c r="EZ141" s="10"/>
      <c r="FA141" s="10"/>
      <c r="FB141" s="10"/>
      <c r="FC141" s="10"/>
      <c r="FD141" s="10"/>
      <c r="FE141" s="10"/>
      <c r="FF141" s="10"/>
      <c r="FG141" s="10"/>
      <c r="FH141" s="10"/>
      <c r="FI141" s="10"/>
      <c r="FJ141" s="10"/>
      <c r="FK141" s="10"/>
      <c r="FL141" s="10"/>
      <c r="FM141" s="10"/>
      <c r="FN141" s="10"/>
      <c r="FO141" s="10"/>
      <c r="FP141" s="10"/>
      <c r="FQ141" s="10"/>
      <c r="FR141" s="10"/>
      <c r="FS141" s="10"/>
      <c r="FT141" s="10"/>
      <c r="FU141" s="10"/>
      <c r="FV141" s="10"/>
      <c r="FW141" s="10"/>
      <c r="FX141" s="10"/>
      <c r="FY141" s="10"/>
      <c r="FZ141" s="10"/>
      <c r="GA141" s="10"/>
      <c r="GB141" s="10"/>
      <c r="GC141" s="10"/>
      <c r="GD141" s="10"/>
      <c r="GE141" s="10"/>
      <c r="GF141" s="10"/>
      <c r="GG141" s="10"/>
      <c r="GH141" s="10"/>
      <c r="GI141" s="10"/>
      <c r="GJ141" s="10"/>
      <c r="GK141" s="10"/>
    </row>
    <row r="142" customFormat="false" ht="12.75" hidden="false" customHeight="false" outlineLevel="0" collapsed="false">
      <c r="A142" s="7"/>
      <c r="B142" s="7"/>
      <c r="C142" s="8"/>
      <c r="D142" s="8"/>
      <c r="E142" s="8"/>
      <c r="F142" s="8"/>
      <c r="G142" s="9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/>
      <c r="DB142" s="10"/>
      <c r="DC142" s="10"/>
      <c r="DD142" s="10"/>
      <c r="DE142" s="10"/>
      <c r="DF142" s="10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  <c r="EK142" s="10"/>
      <c r="EL142" s="10"/>
      <c r="EM142" s="10"/>
      <c r="EN142" s="10"/>
      <c r="EO142" s="10"/>
      <c r="EP142" s="10"/>
      <c r="EQ142" s="10"/>
      <c r="ER142" s="10"/>
      <c r="ES142" s="10"/>
      <c r="ET142" s="10"/>
      <c r="EU142" s="10"/>
      <c r="EV142" s="10"/>
      <c r="EW142" s="10"/>
      <c r="EX142" s="10"/>
      <c r="EY142" s="10"/>
      <c r="EZ142" s="10"/>
      <c r="FA142" s="10"/>
      <c r="FB142" s="10"/>
      <c r="FC142" s="10"/>
      <c r="FD142" s="10"/>
      <c r="FE142" s="10"/>
      <c r="FF142" s="10"/>
      <c r="FG142" s="10"/>
      <c r="FH142" s="10"/>
      <c r="FI142" s="10"/>
      <c r="FJ142" s="10"/>
      <c r="FK142" s="10"/>
      <c r="FL142" s="10"/>
      <c r="FM142" s="10"/>
      <c r="FN142" s="10"/>
      <c r="FO142" s="10"/>
      <c r="FP142" s="10"/>
      <c r="FQ142" s="10"/>
      <c r="FR142" s="10"/>
      <c r="FS142" s="10"/>
      <c r="FT142" s="10"/>
      <c r="FU142" s="10"/>
      <c r="FV142" s="10"/>
      <c r="FW142" s="10"/>
      <c r="FX142" s="10"/>
      <c r="FY142" s="10"/>
      <c r="FZ142" s="10"/>
      <c r="GA142" s="10"/>
      <c r="GB142" s="10"/>
      <c r="GC142" s="10"/>
      <c r="GD142" s="10"/>
      <c r="GE142" s="10"/>
      <c r="GF142" s="10"/>
      <c r="GG142" s="10"/>
      <c r="GH142" s="10"/>
      <c r="GI142" s="10"/>
      <c r="GJ142" s="10"/>
      <c r="GK142" s="10"/>
    </row>
    <row r="143" customFormat="false" ht="12.75" hidden="false" customHeight="false" outlineLevel="0" collapsed="false">
      <c r="A143" s="7"/>
      <c r="B143" s="7"/>
      <c r="C143" s="8"/>
      <c r="D143" s="8"/>
      <c r="E143" s="8"/>
      <c r="F143" s="8"/>
      <c r="G143" s="9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  <c r="CZ143" s="10"/>
      <c r="DA143" s="10"/>
      <c r="DB143" s="10"/>
      <c r="DC143" s="10"/>
      <c r="DD143" s="10"/>
      <c r="DE143" s="10"/>
      <c r="DF143" s="10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/>
      <c r="EI143" s="10"/>
      <c r="EJ143" s="10"/>
      <c r="EK143" s="10"/>
      <c r="EL143" s="10"/>
      <c r="EM143" s="10"/>
      <c r="EN143" s="10"/>
      <c r="EO143" s="10"/>
      <c r="EP143" s="10"/>
      <c r="EQ143" s="10"/>
      <c r="ER143" s="10"/>
      <c r="ES143" s="10"/>
      <c r="ET143" s="10"/>
      <c r="EU143" s="10"/>
      <c r="EV143" s="10"/>
      <c r="EW143" s="10"/>
      <c r="EX143" s="10"/>
      <c r="EY143" s="10"/>
      <c r="EZ143" s="10"/>
      <c r="FA143" s="10"/>
      <c r="FB143" s="10"/>
      <c r="FC143" s="10"/>
      <c r="FD143" s="10"/>
      <c r="FE143" s="10"/>
      <c r="FF143" s="10"/>
      <c r="FG143" s="10"/>
      <c r="FH143" s="10"/>
      <c r="FI143" s="10"/>
      <c r="FJ143" s="10"/>
      <c r="FK143" s="10"/>
      <c r="FL143" s="10"/>
      <c r="FM143" s="10"/>
      <c r="FN143" s="10"/>
      <c r="FO143" s="10"/>
      <c r="FP143" s="10"/>
      <c r="FQ143" s="10"/>
      <c r="FR143" s="10"/>
      <c r="FS143" s="10"/>
      <c r="FT143" s="10"/>
      <c r="FU143" s="10"/>
      <c r="FV143" s="10"/>
      <c r="FW143" s="10"/>
      <c r="FX143" s="10"/>
      <c r="FY143" s="10"/>
      <c r="FZ143" s="10"/>
      <c r="GA143" s="10"/>
      <c r="GB143" s="10"/>
      <c r="GC143" s="10"/>
      <c r="GD143" s="10"/>
      <c r="GE143" s="10"/>
      <c r="GF143" s="10"/>
      <c r="GG143" s="10"/>
      <c r="GH143" s="10"/>
      <c r="GI143" s="10"/>
      <c r="GJ143" s="10"/>
      <c r="GK143" s="10"/>
    </row>
    <row r="144" customFormat="false" ht="12.75" hidden="false" customHeight="false" outlineLevel="0" collapsed="false">
      <c r="A144" s="7"/>
      <c r="B144" s="7"/>
      <c r="C144" s="8"/>
      <c r="D144" s="8"/>
      <c r="E144" s="8"/>
      <c r="F144" s="8"/>
      <c r="G144" s="9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  <c r="EM144" s="10"/>
      <c r="EN144" s="10"/>
      <c r="EO144" s="10"/>
      <c r="EP144" s="10"/>
      <c r="EQ144" s="10"/>
      <c r="ER144" s="10"/>
      <c r="ES144" s="10"/>
      <c r="ET144" s="10"/>
      <c r="EU144" s="10"/>
      <c r="EV144" s="10"/>
      <c r="EW144" s="10"/>
      <c r="EX144" s="10"/>
      <c r="EY144" s="10"/>
      <c r="EZ144" s="10"/>
      <c r="FA144" s="10"/>
      <c r="FB144" s="10"/>
      <c r="FC144" s="10"/>
      <c r="FD144" s="10"/>
      <c r="FE144" s="10"/>
      <c r="FF144" s="10"/>
      <c r="FG144" s="10"/>
      <c r="FH144" s="10"/>
      <c r="FI144" s="10"/>
      <c r="FJ144" s="10"/>
      <c r="FK144" s="10"/>
      <c r="FL144" s="10"/>
      <c r="FM144" s="10"/>
      <c r="FN144" s="10"/>
      <c r="FO144" s="10"/>
      <c r="FP144" s="10"/>
      <c r="FQ144" s="10"/>
      <c r="FR144" s="10"/>
      <c r="FS144" s="10"/>
      <c r="FT144" s="10"/>
      <c r="FU144" s="10"/>
      <c r="FV144" s="10"/>
      <c r="FW144" s="10"/>
      <c r="FX144" s="10"/>
      <c r="FY144" s="10"/>
      <c r="FZ144" s="10"/>
      <c r="GA144" s="10"/>
      <c r="GB144" s="10"/>
      <c r="GC144" s="10"/>
      <c r="GD144" s="10"/>
      <c r="GE144" s="10"/>
      <c r="GF144" s="10"/>
      <c r="GG144" s="10"/>
      <c r="GH144" s="10"/>
      <c r="GI144" s="10"/>
      <c r="GJ144" s="10"/>
      <c r="GK144" s="10"/>
    </row>
    <row r="145" customFormat="false" ht="12.75" hidden="false" customHeight="false" outlineLevel="0" collapsed="false">
      <c r="A145" s="7"/>
      <c r="B145" s="7"/>
      <c r="C145" s="8"/>
      <c r="D145" s="8"/>
      <c r="E145" s="8"/>
      <c r="F145" s="8"/>
      <c r="G145" s="9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10"/>
      <c r="CY145" s="10"/>
      <c r="CZ145" s="10"/>
      <c r="DA145" s="10"/>
      <c r="DB145" s="10"/>
      <c r="DC145" s="10"/>
      <c r="DD145" s="10"/>
      <c r="DE145" s="10"/>
      <c r="DF145" s="10"/>
      <c r="DG145" s="10"/>
      <c r="DH145" s="10"/>
      <c r="DI145" s="10"/>
      <c r="DJ145" s="10"/>
      <c r="DK145" s="10"/>
      <c r="DL145" s="10"/>
      <c r="DM145" s="10"/>
      <c r="DN145" s="10"/>
      <c r="DO145" s="10"/>
      <c r="DP145" s="10"/>
      <c r="DQ145" s="10"/>
      <c r="DR145" s="10"/>
      <c r="DS145" s="10"/>
      <c r="DT145" s="10"/>
      <c r="DU145" s="10"/>
      <c r="DV145" s="10"/>
      <c r="DW145" s="10"/>
      <c r="DX145" s="10"/>
      <c r="DY145" s="10"/>
      <c r="DZ145" s="10"/>
      <c r="EA145" s="10"/>
      <c r="EB145" s="10"/>
      <c r="EC145" s="10"/>
      <c r="ED145" s="10"/>
      <c r="EE145" s="10"/>
      <c r="EF145" s="10"/>
      <c r="EG145" s="10"/>
      <c r="EH145" s="10"/>
      <c r="EI145" s="10"/>
      <c r="EJ145" s="10"/>
      <c r="EK145" s="10"/>
      <c r="EL145" s="10"/>
      <c r="EM145" s="10"/>
      <c r="EN145" s="10"/>
      <c r="EO145" s="10"/>
      <c r="EP145" s="10"/>
      <c r="EQ145" s="10"/>
      <c r="ER145" s="10"/>
      <c r="ES145" s="10"/>
      <c r="ET145" s="10"/>
      <c r="EU145" s="10"/>
      <c r="EV145" s="10"/>
      <c r="EW145" s="10"/>
      <c r="EX145" s="10"/>
      <c r="EY145" s="10"/>
      <c r="EZ145" s="10"/>
      <c r="FA145" s="10"/>
      <c r="FB145" s="10"/>
      <c r="FC145" s="10"/>
      <c r="FD145" s="10"/>
      <c r="FE145" s="10"/>
      <c r="FF145" s="10"/>
      <c r="FG145" s="10"/>
      <c r="FH145" s="10"/>
      <c r="FI145" s="10"/>
      <c r="FJ145" s="10"/>
      <c r="FK145" s="10"/>
      <c r="FL145" s="10"/>
      <c r="FM145" s="10"/>
      <c r="FN145" s="10"/>
      <c r="FO145" s="10"/>
      <c r="FP145" s="10"/>
      <c r="FQ145" s="10"/>
      <c r="FR145" s="10"/>
      <c r="FS145" s="10"/>
      <c r="FT145" s="10"/>
      <c r="FU145" s="10"/>
      <c r="FV145" s="10"/>
      <c r="FW145" s="10"/>
      <c r="FX145" s="10"/>
      <c r="FY145" s="10"/>
      <c r="FZ145" s="10"/>
      <c r="GA145" s="10"/>
      <c r="GB145" s="10"/>
      <c r="GC145" s="10"/>
      <c r="GD145" s="10"/>
      <c r="GE145" s="10"/>
      <c r="GF145" s="10"/>
      <c r="GG145" s="10"/>
      <c r="GH145" s="10"/>
      <c r="GI145" s="10"/>
      <c r="GJ145" s="10"/>
      <c r="GK145" s="10"/>
    </row>
    <row r="146" customFormat="false" ht="12.75" hidden="false" customHeight="false" outlineLevel="0" collapsed="false">
      <c r="A146" s="7"/>
      <c r="B146" s="7"/>
      <c r="C146" s="8"/>
      <c r="D146" s="8"/>
      <c r="E146" s="8"/>
      <c r="F146" s="8"/>
      <c r="G146" s="9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10"/>
      <c r="CX146" s="10"/>
      <c r="CY146" s="10"/>
      <c r="CZ146" s="10"/>
      <c r="DA146" s="10"/>
      <c r="DB146" s="10"/>
      <c r="DC146" s="10"/>
      <c r="DD146" s="10"/>
      <c r="DE146" s="10"/>
      <c r="DF146" s="10"/>
      <c r="DG146" s="10"/>
      <c r="DH146" s="10"/>
      <c r="DI146" s="10"/>
      <c r="DJ146" s="10"/>
      <c r="DK146" s="10"/>
      <c r="DL146" s="10"/>
      <c r="DM146" s="10"/>
      <c r="DN146" s="10"/>
      <c r="DO146" s="10"/>
      <c r="DP146" s="10"/>
      <c r="DQ146" s="10"/>
      <c r="DR146" s="10"/>
      <c r="DS146" s="10"/>
      <c r="DT146" s="10"/>
      <c r="DU146" s="10"/>
      <c r="DV146" s="10"/>
      <c r="DW146" s="10"/>
      <c r="DX146" s="10"/>
      <c r="DY146" s="10"/>
      <c r="DZ146" s="10"/>
      <c r="EA146" s="10"/>
      <c r="EB146" s="10"/>
      <c r="EC146" s="10"/>
      <c r="ED146" s="10"/>
      <c r="EE146" s="10"/>
      <c r="EF146" s="10"/>
      <c r="EG146" s="10"/>
      <c r="EH146" s="10"/>
      <c r="EI146" s="10"/>
      <c r="EJ146" s="10"/>
      <c r="EK146" s="10"/>
      <c r="EL146" s="10"/>
      <c r="EM146" s="10"/>
      <c r="EN146" s="10"/>
      <c r="EO146" s="10"/>
      <c r="EP146" s="10"/>
      <c r="EQ146" s="10"/>
      <c r="ER146" s="10"/>
      <c r="ES146" s="10"/>
      <c r="ET146" s="10"/>
      <c r="EU146" s="10"/>
      <c r="EV146" s="10"/>
      <c r="EW146" s="10"/>
      <c r="EX146" s="10"/>
      <c r="EY146" s="10"/>
      <c r="EZ146" s="10"/>
      <c r="FA146" s="10"/>
      <c r="FB146" s="10"/>
      <c r="FC146" s="10"/>
      <c r="FD146" s="10"/>
      <c r="FE146" s="10"/>
      <c r="FF146" s="10"/>
      <c r="FG146" s="10"/>
      <c r="FH146" s="10"/>
      <c r="FI146" s="10"/>
      <c r="FJ146" s="10"/>
      <c r="FK146" s="10"/>
      <c r="FL146" s="10"/>
      <c r="FM146" s="10"/>
      <c r="FN146" s="10"/>
      <c r="FO146" s="10"/>
      <c r="FP146" s="10"/>
      <c r="FQ146" s="10"/>
      <c r="FR146" s="10"/>
      <c r="FS146" s="10"/>
      <c r="FT146" s="10"/>
      <c r="FU146" s="10"/>
      <c r="FV146" s="10"/>
      <c r="FW146" s="10"/>
      <c r="FX146" s="10"/>
      <c r="FY146" s="10"/>
      <c r="FZ146" s="10"/>
      <c r="GA146" s="10"/>
      <c r="GB146" s="10"/>
      <c r="GC146" s="10"/>
      <c r="GD146" s="10"/>
      <c r="GE146" s="10"/>
      <c r="GF146" s="10"/>
      <c r="GG146" s="10"/>
      <c r="GH146" s="10"/>
      <c r="GI146" s="10"/>
      <c r="GJ146" s="10"/>
      <c r="GK146" s="10"/>
    </row>
    <row r="147" customFormat="false" ht="12.75" hidden="false" customHeight="false" outlineLevel="0" collapsed="false">
      <c r="A147" s="7"/>
      <c r="B147" s="7"/>
      <c r="C147" s="8"/>
      <c r="D147" s="8"/>
      <c r="E147" s="8"/>
      <c r="F147" s="8"/>
      <c r="G147" s="9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10"/>
      <c r="CY147" s="10"/>
      <c r="CZ147" s="10"/>
      <c r="DA147" s="10"/>
      <c r="DB147" s="10"/>
      <c r="DC147" s="10"/>
      <c r="DD147" s="10"/>
      <c r="DE147" s="10"/>
      <c r="DF147" s="10"/>
      <c r="DG147" s="10"/>
      <c r="DH147" s="10"/>
      <c r="DI147" s="10"/>
      <c r="DJ147" s="10"/>
      <c r="DK147" s="10"/>
      <c r="DL147" s="10"/>
      <c r="DM147" s="10"/>
      <c r="DN147" s="10"/>
      <c r="DO147" s="10"/>
      <c r="DP147" s="10"/>
      <c r="DQ147" s="10"/>
      <c r="DR147" s="10"/>
      <c r="DS147" s="10"/>
      <c r="DT147" s="10"/>
      <c r="DU147" s="10"/>
      <c r="DV147" s="10"/>
      <c r="DW147" s="10"/>
      <c r="DX147" s="10"/>
      <c r="DY147" s="10"/>
      <c r="DZ147" s="10"/>
      <c r="EA147" s="10"/>
      <c r="EB147" s="10"/>
      <c r="EC147" s="10"/>
      <c r="ED147" s="10"/>
      <c r="EE147" s="10"/>
      <c r="EF147" s="10"/>
      <c r="EG147" s="10"/>
      <c r="EH147" s="10"/>
      <c r="EI147" s="10"/>
      <c r="EJ147" s="10"/>
      <c r="EK147" s="10"/>
      <c r="EL147" s="10"/>
      <c r="EM147" s="10"/>
      <c r="EN147" s="10"/>
      <c r="EO147" s="10"/>
      <c r="EP147" s="10"/>
      <c r="EQ147" s="10"/>
      <c r="ER147" s="10"/>
      <c r="ES147" s="10"/>
      <c r="ET147" s="10"/>
      <c r="EU147" s="10"/>
      <c r="EV147" s="10"/>
      <c r="EW147" s="10"/>
      <c r="EX147" s="10"/>
      <c r="EY147" s="10"/>
      <c r="EZ147" s="10"/>
      <c r="FA147" s="10"/>
      <c r="FB147" s="10"/>
      <c r="FC147" s="10"/>
      <c r="FD147" s="10"/>
      <c r="FE147" s="10"/>
      <c r="FF147" s="10"/>
      <c r="FG147" s="10"/>
      <c r="FH147" s="10"/>
      <c r="FI147" s="10"/>
      <c r="FJ147" s="10"/>
      <c r="FK147" s="10"/>
      <c r="FL147" s="10"/>
      <c r="FM147" s="10"/>
      <c r="FN147" s="10"/>
      <c r="FO147" s="10"/>
      <c r="FP147" s="10"/>
      <c r="FQ147" s="10"/>
      <c r="FR147" s="10"/>
      <c r="FS147" s="10"/>
      <c r="FT147" s="10"/>
      <c r="FU147" s="10"/>
      <c r="FV147" s="10"/>
      <c r="FW147" s="10"/>
      <c r="FX147" s="10"/>
      <c r="FY147" s="10"/>
      <c r="FZ147" s="10"/>
      <c r="GA147" s="10"/>
      <c r="GB147" s="10"/>
      <c r="GC147" s="10"/>
      <c r="GD147" s="10"/>
      <c r="GE147" s="10"/>
      <c r="GF147" s="10"/>
      <c r="GG147" s="10"/>
      <c r="GH147" s="10"/>
      <c r="GI147" s="10"/>
      <c r="GJ147" s="10"/>
      <c r="GK147" s="10"/>
    </row>
    <row r="148" customFormat="false" ht="12.75" hidden="false" customHeight="false" outlineLevel="0" collapsed="false">
      <c r="A148" s="7"/>
      <c r="B148" s="7"/>
      <c r="C148" s="8"/>
      <c r="D148" s="8"/>
      <c r="E148" s="8"/>
      <c r="F148" s="8"/>
      <c r="G148" s="9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10"/>
      <c r="CX148" s="10"/>
      <c r="CY148" s="10"/>
      <c r="CZ148" s="10"/>
      <c r="DA148" s="10"/>
      <c r="DB148" s="10"/>
      <c r="DC148" s="10"/>
      <c r="DD148" s="10"/>
      <c r="DE148" s="10"/>
      <c r="DF148" s="10"/>
      <c r="DG148" s="10"/>
      <c r="DH148" s="10"/>
      <c r="DI148" s="10"/>
      <c r="DJ148" s="10"/>
      <c r="DK148" s="10"/>
      <c r="DL148" s="10"/>
      <c r="DM148" s="10"/>
      <c r="DN148" s="10"/>
      <c r="DO148" s="10"/>
      <c r="DP148" s="10"/>
      <c r="DQ148" s="10"/>
      <c r="DR148" s="10"/>
      <c r="DS148" s="10"/>
      <c r="DT148" s="10"/>
      <c r="DU148" s="10"/>
      <c r="DV148" s="10"/>
      <c r="DW148" s="10"/>
      <c r="DX148" s="10"/>
      <c r="DY148" s="10"/>
      <c r="DZ148" s="10"/>
      <c r="EA148" s="10"/>
      <c r="EB148" s="10"/>
      <c r="EC148" s="10"/>
      <c r="ED148" s="10"/>
      <c r="EE148" s="10"/>
      <c r="EF148" s="10"/>
      <c r="EG148" s="10"/>
      <c r="EH148" s="10"/>
      <c r="EI148" s="10"/>
      <c r="EJ148" s="10"/>
      <c r="EK148" s="10"/>
      <c r="EL148" s="10"/>
      <c r="EM148" s="10"/>
      <c r="EN148" s="10"/>
      <c r="EO148" s="10"/>
      <c r="EP148" s="10"/>
      <c r="EQ148" s="10"/>
      <c r="ER148" s="10"/>
      <c r="ES148" s="10"/>
      <c r="ET148" s="10"/>
      <c r="EU148" s="10"/>
      <c r="EV148" s="10"/>
      <c r="EW148" s="10"/>
      <c r="EX148" s="10"/>
      <c r="EY148" s="10"/>
      <c r="EZ148" s="10"/>
      <c r="FA148" s="10"/>
      <c r="FB148" s="10"/>
      <c r="FC148" s="10"/>
      <c r="FD148" s="10"/>
      <c r="FE148" s="10"/>
      <c r="FF148" s="10"/>
      <c r="FG148" s="10"/>
      <c r="FH148" s="10"/>
      <c r="FI148" s="10"/>
      <c r="FJ148" s="10"/>
      <c r="FK148" s="10"/>
      <c r="FL148" s="10"/>
      <c r="FM148" s="10"/>
      <c r="FN148" s="10"/>
      <c r="FO148" s="10"/>
      <c r="FP148" s="10"/>
      <c r="FQ148" s="10"/>
      <c r="FR148" s="10"/>
      <c r="FS148" s="10"/>
      <c r="FT148" s="10"/>
      <c r="FU148" s="10"/>
      <c r="FV148" s="10"/>
      <c r="FW148" s="10"/>
      <c r="FX148" s="10"/>
      <c r="FY148" s="10"/>
      <c r="FZ148" s="10"/>
      <c r="GA148" s="10"/>
      <c r="GB148" s="10"/>
      <c r="GC148" s="10"/>
      <c r="GD148" s="10"/>
      <c r="GE148" s="10"/>
      <c r="GF148" s="10"/>
      <c r="GG148" s="10"/>
      <c r="GH148" s="10"/>
      <c r="GI148" s="10"/>
      <c r="GJ148" s="10"/>
      <c r="GK148" s="10"/>
    </row>
    <row r="149" customFormat="false" ht="12.75" hidden="false" customHeight="false" outlineLevel="0" collapsed="false">
      <c r="A149" s="7"/>
      <c r="B149" s="7"/>
      <c r="C149" s="8"/>
      <c r="D149" s="8"/>
      <c r="E149" s="8"/>
      <c r="F149" s="8"/>
      <c r="G149" s="9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  <c r="DP149" s="10"/>
      <c r="DQ149" s="10"/>
      <c r="DR149" s="10"/>
      <c r="DS149" s="10"/>
      <c r="DT149" s="10"/>
      <c r="DU149" s="10"/>
      <c r="DV149" s="10"/>
      <c r="DW149" s="10"/>
      <c r="DX149" s="10"/>
      <c r="DY149" s="10"/>
      <c r="DZ149" s="10"/>
      <c r="EA149" s="10"/>
      <c r="EB149" s="10"/>
      <c r="EC149" s="10"/>
      <c r="ED149" s="10"/>
      <c r="EE149" s="10"/>
      <c r="EF149" s="10"/>
      <c r="EG149" s="10"/>
      <c r="EH149" s="10"/>
      <c r="EI149" s="10"/>
      <c r="EJ149" s="10"/>
      <c r="EK149" s="10"/>
      <c r="EL149" s="10"/>
      <c r="EM149" s="10"/>
      <c r="EN149" s="10"/>
      <c r="EO149" s="10"/>
      <c r="EP149" s="10"/>
      <c r="EQ149" s="10"/>
      <c r="ER149" s="10"/>
      <c r="ES149" s="10"/>
      <c r="ET149" s="10"/>
      <c r="EU149" s="10"/>
      <c r="EV149" s="10"/>
      <c r="EW149" s="10"/>
      <c r="EX149" s="10"/>
      <c r="EY149" s="10"/>
      <c r="EZ149" s="10"/>
      <c r="FA149" s="10"/>
      <c r="FB149" s="10"/>
      <c r="FC149" s="10"/>
      <c r="FD149" s="10"/>
      <c r="FE149" s="10"/>
      <c r="FF149" s="10"/>
      <c r="FG149" s="10"/>
      <c r="FH149" s="10"/>
      <c r="FI149" s="10"/>
      <c r="FJ149" s="10"/>
      <c r="FK149" s="10"/>
      <c r="FL149" s="10"/>
      <c r="FM149" s="10"/>
      <c r="FN149" s="10"/>
      <c r="FO149" s="10"/>
      <c r="FP149" s="10"/>
      <c r="FQ149" s="10"/>
      <c r="FR149" s="10"/>
      <c r="FS149" s="10"/>
      <c r="FT149" s="10"/>
      <c r="FU149" s="10"/>
      <c r="FV149" s="10"/>
      <c r="FW149" s="10"/>
      <c r="FX149" s="10"/>
      <c r="FY149" s="10"/>
      <c r="FZ149" s="10"/>
      <c r="GA149" s="10"/>
      <c r="GB149" s="10"/>
      <c r="GC149" s="10"/>
      <c r="GD149" s="10"/>
      <c r="GE149" s="10"/>
      <c r="GF149" s="10"/>
      <c r="GG149" s="10"/>
      <c r="GH149" s="10"/>
      <c r="GI149" s="10"/>
      <c r="GJ149" s="10"/>
      <c r="GK149" s="10"/>
    </row>
    <row r="150" customFormat="false" ht="12.75" hidden="false" customHeight="false" outlineLevel="0" collapsed="false">
      <c r="A150" s="7"/>
      <c r="B150" s="7"/>
      <c r="C150" s="8"/>
      <c r="D150" s="8"/>
      <c r="E150" s="8"/>
      <c r="F150" s="8"/>
      <c r="G150" s="9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10"/>
      <c r="CX150" s="10"/>
      <c r="CY150" s="10"/>
      <c r="CZ150" s="10"/>
      <c r="DA150" s="10"/>
      <c r="DB150" s="10"/>
      <c r="DC150" s="10"/>
      <c r="DD150" s="10"/>
      <c r="DE150" s="10"/>
      <c r="DF150" s="10"/>
      <c r="DG150" s="10"/>
      <c r="DH150" s="10"/>
      <c r="DI150" s="10"/>
      <c r="DJ150" s="10"/>
      <c r="DK150" s="10"/>
      <c r="DL150" s="10"/>
      <c r="DM150" s="10"/>
      <c r="DN150" s="10"/>
      <c r="DO150" s="10"/>
      <c r="DP150" s="10"/>
      <c r="DQ150" s="10"/>
      <c r="DR150" s="10"/>
      <c r="DS150" s="10"/>
      <c r="DT150" s="10"/>
      <c r="DU150" s="10"/>
      <c r="DV150" s="10"/>
      <c r="DW150" s="10"/>
      <c r="DX150" s="10"/>
      <c r="DY150" s="10"/>
      <c r="DZ150" s="10"/>
      <c r="EA150" s="10"/>
      <c r="EB150" s="10"/>
      <c r="EC150" s="10"/>
      <c r="ED150" s="10"/>
      <c r="EE150" s="10"/>
      <c r="EF150" s="10"/>
      <c r="EG150" s="10"/>
      <c r="EH150" s="10"/>
      <c r="EI150" s="10"/>
      <c r="EJ150" s="10"/>
      <c r="EK150" s="10"/>
      <c r="EL150" s="10"/>
      <c r="EM150" s="10"/>
      <c r="EN150" s="10"/>
      <c r="EO150" s="10"/>
      <c r="EP150" s="10"/>
      <c r="EQ150" s="10"/>
      <c r="ER150" s="10"/>
      <c r="ES150" s="10"/>
      <c r="ET150" s="10"/>
      <c r="EU150" s="10"/>
      <c r="EV150" s="10"/>
      <c r="EW150" s="10"/>
      <c r="EX150" s="10"/>
      <c r="EY150" s="10"/>
      <c r="EZ150" s="10"/>
      <c r="FA150" s="10"/>
      <c r="FB150" s="10"/>
      <c r="FC150" s="10"/>
      <c r="FD150" s="10"/>
      <c r="FE150" s="10"/>
      <c r="FF150" s="10"/>
      <c r="FG150" s="10"/>
      <c r="FH150" s="10"/>
      <c r="FI150" s="10"/>
      <c r="FJ150" s="10"/>
      <c r="FK150" s="10"/>
      <c r="FL150" s="10"/>
      <c r="FM150" s="10"/>
      <c r="FN150" s="10"/>
      <c r="FO150" s="10"/>
      <c r="FP150" s="10"/>
      <c r="FQ150" s="10"/>
      <c r="FR150" s="10"/>
      <c r="FS150" s="10"/>
      <c r="FT150" s="10"/>
      <c r="FU150" s="10"/>
      <c r="FV150" s="10"/>
      <c r="FW150" s="10"/>
      <c r="FX150" s="10"/>
      <c r="FY150" s="10"/>
      <c r="FZ150" s="10"/>
      <c r="GA150" s="10"/>
      <c r="GB150" s="10"/>
      <c r="GC150" s="10"/>
      <c r="GD150" s="10"/>
      <c r="GE150" s="10"/>
      <c r="GF150" s="10"/>
      <c r="GG150" s="10"/>
      <c r="GH150" s="10"/>
      <c r="GI150" s="10"/>
      <c r="GJ150" s="10"/>
      <c r="GK150" s="10"/>
    </row>
    <row r="151" customFormat="false" ht="12.75" hidden="false" customHeight="false" outlineLevel="0" collapsed="false">
      <c r="A151" s="7"/>
      <c r="B151" s="7"/>
      <c r="C151" s="8"/>
      <c r="D151" s="8"/>
      <c r="E151" s="8"/>
      <c r="F151" s="8"/>
      <c r="G151" s="9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10"/>
      <c r="CX151" s="10"/>
      <c r="CY151" s="10"/>
      <c r="CZ151" s="10"/>
      <c r="DA151" s="10"/>
      <c r="DB151" s="10"/>
      <c r="DC151" s="10"/>
      <c r="DD151" s="10"/>
      <c r="DE151" s="10"/>
      <c r="DF151" s="10"/>
      <c r="DG151" s="10"/>
      <c r="DH151" s="10"/>
      <c r="DI151" s="10"/>
      <c r="DJ151" s="10"/>
      <c r="DK151" s="10"/>
      <c r="DL151" s="10"/>
      <c r="DM151" s="10"/>
      <c r="DN151" s="10"/>
      <c r="DO151" s="10"/>
      <c r="DP151" s="10"/>
      <c r="DQ151" s="10"/>
      <c r="DR151" s="10"/>
      <c r="DS151" s="10"/>
      <c r="DT151" s="10"/>
      <c r="DU151" s="10"/>
      <c r="DV151" s="10"/>
      <c r="DW151" s="10"/>
      <c r="DX151" s="10"/>
      <c r="DY151" s="10"/>
      <c r="DZ151" s="10"/>
      <c r="EA151" s="10"/>
      <c r="EB151" s="10"/>
      <c r="EC151" s="10"/>
      <c r="ED151" s="10"/>
      <c r="EE151" s="10"/>
      <c r="EF151" s="10"/>
      <c r="EG151" s="10"/>
      <c r="EH151" s="10"/>
      <c r="EI151" s="10"/>
      <c r="EJ151" s="10"/>
      <c r="EK151" s="10"/>
      <c r="EL151" s="10"/>
      <c r="EM151" s="10"/>
      <c r="EN151" s="10"/>
      <c r="EO151" s="10"/>
      <c r="EP151" s="10"/>
      <c r="EQ151" s="10"/>
      <c r="ER151" s="10"/>
      <c r="ES151" s="10"/>
      <c r="ET151" s="10"/>
      <c r="EU151" s="10"/>
      <c r="EV151" s="10"/>
      <c r="EW151" s="10"/>
      <c r="EX151" s="10"/>
      <c r="EY151" s="10"/>
      <c r="EZ151" s="10"/>
      <c r="FA151" s="10"/>
      <c r="FB151" s="10"/>
      <c r="FC151" s="10"/>
      <c r="FD151" s="10"/>
      <c r="FE151" s="10"/>
      <c r="FF151" s="10"/>
      <c r="FG151" s="10"/>
      <c r="FH151" s="10"/>
      <c r="FI151" s="10"/>
      <c r="FJ151" s="10"/>
      <c r="FK151" s="10"/>
      <c r="FL151" s="10"/>
      <c r="FM151" s="10"/>
      <c r="FN151" s="10"/>
      <c r="FO151" s="10"/>
      <c r="FP151" s="10"/>
      <c r="FQ151" s="10"/>
      <c r="FR151" s="10"/>
      <c r="FS151" s="10"/>
      <c r="FT151" s="10"/>
      <c r="FU151" s="10"/>
      <c r="FV151" s="10"/>
      <c r="FW151" s="10"/>
      <c r="FX151" s="10"/>
      <c r="FY151" s="10"/>
      <c r="FZ151" s="10"/>
      <c r="GA151" s="10"/>
      <c r="GB151" s="10"/>
      <c r="GC151" s="10"/>
      <c r="GD151" s="10"/>
      <c r="GE151" s="10"/>
      <c r="GF151" s="10"/>
      <c r="GG151" s="10"/>
      <c r="GH151" s="10"/>
      <c r="GI151" s="10"/>
      <c r="GJ151" s="10"/>
      <c r="GK151" s="10"/>
    </row>
    <row r="152" customFormat="false" ht="12.75" hidden="false" customHeight="false" outlineLevel="0" collapsed="false">
      <c r="A152" s="7"/>
      <c r="B152" s="7"/>
      <c r="C152" s="8"/>
      <c r="D152" s="8"/>
      <c r="E152" s="8"/>
      <c r="F152" s="8"/>
      <c r="G152" s="9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10"/>
      <c r="CX152" s="10"/>
      <c r="CY152" s="10"/>
      <c r="CZ152" s="10"/>
      <c r="DA152" s="10"/>
      <c r="DB152" s="10"/>
      <c r="DC152" s="10"/>
      <c r="DD152" s="10"/>
      <c r="DE152" s="10"/>
      <c r="DF152" s="10"/>
      <c r="DG152" s="10"/>
      <c r="DH152" s="10"/>
      <c r="DI152" s="10"/>
      <c r="DJ152" s="10"/>
      <c r="DK152" s="10"/>
      <c r="DL152" s="10"/>
      <c r="DM152" s="10"/>
      <c r="DN152" s="10"/>
      <c r="DO152" s="10"/>
      <c r="DP152" s="10"/>
      <c r="DQ152" s="10"/>
      <c r="DR152" s="10"/>
      <c r="DS152" s="10"/>
      <c r="DT152" s="10"/>
      <c r="DU152" s="10"/>
      <c r="DV152" s="10"/>
      <c r="DW152" s="10"/>
      <c r="DX152" s="10"/>
      <c r="DY152" s="10"/>
      <c r="DZ152" s="10"/>
      <c r="EA152" s="10"/>
      <c r="EB152" s="10"/>
      <c r="EC152" s="10"/>
      <c r="ED152" s="10"/>
      <c r="EE152" s="10"/>
      <c r="EF152" s="10"/>
      <c r="EG152" s="10"/>
      <c r="EH152" s="10"/>
      <c r="EI152" s="10"/>
      <c r="EJ152" s="10"/>
      <c r="EK152" s="10"/>
      <c r="EL152" s="10"/>
      <c r="EM152" s="10"/>
      <c r="EN152" s="10"/>
      <c r="EO152" s="10"/>
      <c r="EP152" s="10"/>
      <c r="EQ152" s="10"/>
      <c r="ER152" s="10"/>
      <c r="ES152" s="10"/>
      <c r="ET152" s="10"/>
      <c r="EU152" s="10"/>
      <c r="EV152" s="10"/>
      <c r="EW152" s="10"/>
      <c r="EX152" s="10"/>
      <c r="EY152" s="10"/>
      <c r="EZ152" s="10"/>
      <c r="FA152" s="10"/>
      <c r="FB152" s="10"/>
      <c r="FC152" s="10"/>
      <c r="FD152" s="10"/>
      <c r="FE152" s="10"/>
      <c r="FF152" s="10"/>
      <c r="FG152" s="10"/>
      <c r="FH152" s="10"/>
      <c r="FI152" s="10"/>
      <c r="FJ152" s="10"/>
      <c r="FK152" s="10"/>
      <c r="FL152" s="10"/>
      <c r="FM152" s="10"/>
      <c r="FN152" s="10"/>
      <c r="FO152" s="10"/>
      <c r="FP152" s="10"/>
      <c r="FQ152" s="10"/>
      <c r="FR152" s="10"/>
      <c r="FS152" s="10"/>
      <c r="FT152" s="10"/>
      <c r="FU152" s="10"/>
      <c r="FV152" s="10"/>
      <c r="FW152" s="10"/>
      <c r="FX152" s="10"/>
      <c r="FY152" s="10"/>
      <c r="FZ152" s="10"/>
      <c r="GA152" s="10"/>
      <c r="GB152" s="10"/>
      <c r="GC152" s="10"/>
      <c r="GD152" s="10"/>
      <c r="GE152" s="10"/>
      <c r="GF152" s="10"/>
      <c r="GG152" s="10"/>
      <c r="GH152" s="10"/>
      <c r="GI152" s="10"/>
      <c r="GJ152" s="10"/>
      <c r="GK152" s="10"/>
    </row>
    <row r="153" customFormat="false" ht="12.75" hidden="false" customHeight="false" outlineLevel="0" collapsed="false">
      <c r="A153" s="7"/>
      <c r="B153" s="7"/>
      <c r="C153" s="8"/>
      <c r="D153" s="8"/>
      <c r="E153" s="8"/>
      <c r="F153" s="8"/>
      <c r="G153" s="9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10"/>
      <c r="CX153" s="10"/>
      <c r="CY153" s="10"/>
      <c r="CZ153" s="10"/>
      <c r="DA153" s="10"/>
      <c r="DB153" s="10"/>
      <c r="DC153" s="10"/>
      <c r="DD153" s="10"/>
      <c r="DE153" s="10"/>
      <c r="DF153" s="10"/>
      <c r="DG153" s="10"/>
      <c r="DH153" s="10"/>
      <c r="DI153" s="10"/>
      <c r="DJ153" s="10"/>
      <c r="DK153" s="10"/>
      <c r="DL153" s="10"/>
      <c r="DM153" s="10"/>
      <c r="DN153" s="10"/>
      <c r="DO153" s="10"/>
      <c r="DP153" s="10"/>
      <c r="DQ153" s="10"/>
      <c r="DR153" s="10"/>
      <c r="DS153" s="10"/>
      <c r="DT153" s="10"/>
      <c r="DU153" s="10"/>
      <c r="DV153" s="10"/>
      <c r="DW153" s="10"/>
      <c r="DX153" s="10"/>
      <c r="DY153" s="10"/>
      <c r="DZ153" s="10"/>
      <c r="EA153" s="10"/>
      <c r="EB153" s="10"/>
      <c r="EC153" s="10"/>
      <c r="ED153" s="10"/>
      <c r="EE153" s="10"/>
      <c r="EF153" s="10"/>
      <c r="EG153" s="10"/>
      <c r="EH153" s="10"/>
      <c r="EI153" s="10"/>
      <c r="EJ153" s="10"/>
      <c r="EK153" s="10"/>
      <c r="EL153" s="10"/>
      <c r="EM153" s="10"/>
      <c r="EN153" s="10"/>
      <c r="EO153" s="10"/>
      <c r="EP153" s="10"/>
      <c r="EQ153" s="10"/>
      <c r="ER153" s="10"/>
      <c r="ES153" s="10"/>
      <c r="ET153" s="10"/>
      <c r="EU153" s="10"/>
      <c r="EV153" s="10"/>
      <c r="EW153" s="10"/>
      <c r="EX153" s="10"/>
      <c r="EY153" s="10"/>
      <c r="EZ153" s="10"/>
      <c r="FA153" s="10"/>
      <c r="FB153" s="10"/>
      <c r="FC153" s="10"/>
      <c r="FD153" s="10"/>
      <c r="FE153" s="10"/>
      <c r="FF153" s="10"/>
      <c r="FG153" s="10"/>
      <c r="FH153" s="10"/>
      <c r="FI153" s="10"/>
      <c r="FJ153" s="10"/>
      <c r="FK153" s="10"/>
      <c r="FL153" s="10"/>
      <c r="FM153" s="10"/>
      <c r="FN153" s="10"/>
      <c r="FO153" s="10"/>
      <c r="FP153" s="10"/>
      <c r="FQ153" s="10"/>
      <c r="FR153" s="10"/>
      <c r="FS153" s="10"/>
      <c r="FT153" s="10"/>
      <c r="FU153" s="10"/>
      <c r="FV153" s="10"/>
      <c r="FW153" s="10"/>
      <c r="FX153" s="10"/>
      <c r="FY153" s="10"/>
      <c r="FZ153" s="10"/>
      <c r="GA153" s="10"/>
      <c r="GB153" s="10"/>
      <c r="GC153" s="10"/>
      <c r="GD153" s="10"/>
      <c r="GE153" s="10"/>
      <c r="GF153" s="10"/>
      <c r="GG153" s="10"/>
      <c r="GH153" s="10"/>
      <c r="GI153" s="10"/>
      <c r="GJ153" s="10"/>
      <c r="GK153" s="10"/>
    </row>
    <row r="154" customFormat="false" ht="12.75" hidden="false" customHeight="false" outlineLevel="0" collapsed="false">
      <c r="A154" s="7"/>
      <c r="B154" s="7"/>
      <c r="C154" s="8"/>
      <c r="D154" s="8"/>
      <c r="E154" s="8"/>
      <c r="F154" s="8"/>
      <c r="G154" s="9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10"/>
      <c r="CX154" s="10"/>
      <c r="CY154" s="10"/>
      <c r="CZ154" s="10"/>
      <c r="DA154" s="10"/>
      <c r="DB154" s="10"/>
      <c r="DC154" s="10"/>
      <c r="DD154" s="10"/>
      <c r="DE154" s="10"/>
      <c r="DF154" s="10"/>
      <c r="DG154" s="10"/>
      <c r="DH154" s="10"/>
      <c r="DI154" s="10"/>
      <c r="DJ154" s="10"/>
      <c r="DK154" s="10"/>
      <c r="DL154" s="10"/>
      <c r="DM154" s="10"/>
      <c r="DN154" s="10"/>
      <c r="DO154" s="10"/>
      <c r="DP154" s="10"/>
      <c r="DQ154" s="10"/>
      <c r="DR154" s="10"/>
      <c r="DS154" s="10"/>
      <c r="DT154" s="10"/>
      <c r="DU154" s="10"/>
      <c r="DV154" s="10"/>
      <c r="DW154" s="10"/>
      <c r="DX154" s="10"/>
      <c r="DY154" s="10"/>
      <c r="DZ154" s="10"/>
      <c r="EA154" s="10"/>
      <c r="EB154" s="10"/>
      <c r="EC154" s="10"/>
      <c r="ED154" s="10"/>
      <c r="EE154" s="10"/>
      <c r="EF154" s="10"/>
      <c r="EG154" s="10"/>
      <c r="EH154" s="10"/>
      <c r="EI154" s="10"/>
      <c r="EJ154" s="10"/>
      <c r="EK154" s="10"/>
      <c r="EL154" s="10"/>
      <c r="EM154" s="10"/>
      <c r="EN154" s="10"/>
      <c r="EO154" s="10"/>
      <c r="EP154" s="10"/>
      <c r="EQ154" s="10"/>
      <c r="ER154" s="10"/>
      <c r="ES154" s="10"/>
      <c r="ET154" s="10"/>
      <c r="EU154" s="10"/>
      <c r="EV154" s="10"/>
      <c r="EW154" s="10"/>
      <c r="EX154" s="10"/>
      <c r="EY154" s="10"/>
      <c r="EZ154" s="10"/>
      <c r="FA154" s="10"/>
      <c r="FB154" s="10"/>
      <c r="FC154" s="10"/>
      <c r="FD154" s="10"/>
      <c r="FE154" s="10"/>
      <c r="FF154" s="10"/>
      <c r="FG154" s="10"/>
      <c r="FH154" s="10"/>
      <c r="FI154" s="10"/>
      <c r="FJ154" s="10"/>
      <c r="FK154" s="10"/>
      <c r="FL154" s="10"/>
      <c r="FM154" s="10"/>
      <c r="FN154" s="10"/>
      <c r="FO154" s="10"/>
      <c r="FP154" s="10"/>
      <c r="FQ154" s="10"/>
      <c r="FR154" s="10"/>
      <c r="FS154" s="10"/>
      <c r="FT154" s="10"/>
      <c r="FU154" s="10"/>
      <c r="FV154" s="10"/>
      <c r="FW154" s="10"/>
      <c r="FX154" s="10"/>
      <c r="FY154" s="10"/>
      <c r="FZ154" s="10"/>
      <c r="GA154" s="10"/>
      <c r="GB154" s="10"/>
      <c r="GC154" s="10"/>
      <c r="GD154" s="10"/>
      <c r="GE154" s="10"/>
      <c r="GF154" s="10"/>
      <c r="GG154" s="10"/>
      <c r="GH154" s="10"/>
      <c r="GI154" s="10"/>
      <c r="GJ154" s="10"/>
      <c r="GK154" s="10"/>
    </row>
    <row r="155" customFormat="false" ht="12.75" hidden="false" customHeight="false" outlineLevel="0" collapsed="false">
      <c r="A155" s="7"/>
      <c r="B155" s="7"/>
      <c r="C155" s="8"/>
      <c r="D155" s="8"/>
      <c r="E155" s="8"/>
      <c r="F155" s="8"/>
      <c r="G155" s="9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10"/>
      <c r="CX155" s="10"/>
      <c r="CY155" s="10"/>
      <c r="CZ155" s="10"/>
      <c r="DA155" s="10"/>
      <c r="DB155" s="10"/>
      <c r="DC155" s="10"/>
      <c r="DD155" s="10"/>
      <c r="DE155" s="10"/>
      <c r="DF155" s="10"/>
      <c r="DG155" s="10"/>
      <c r="DH155" s="10"/>
      <c r="DI155" s="10"/>
      <c r="DJ155" s="10"/>
      <c r="DK155" s="10"/>
      <c r="DL155" s="10"/>
      <c r="DM155" s="10"/>
      <c r="DN155" s="10"/>
      <c r="DO155" s="10"/>
      <c r="DP155" s="10"/>
      <c r="DQ155" s="10"/>
      <c r="DR155" s="10"/>
      <c r="DS155" s="10"/>
      <c r="DT155" s="10"/>
      <c r="DU155" s="10"/>
      <c r="DV155" s="10"/>
      <c r="DW155" s="10"/>
      <c r="DX155" s="10"/>
      <c r="DY155" s="10"/>
      <c r="DZ155" s="10"/>
      <c r="EA155" s="10"/>
      <c r="EB155" s="10"/>
      <c r="EC155" s="10"/>
      <c r="ED155" s="10"/>
      <c r="EE155" s="10"/>
      <c r="EF155" s="10"/>
      <c r="EG155" s="10"/>
      <c r="EH155" s="10"/>
      <c r="EI155" s="10"/>
      <c r="EJ155" s="10"/>
      <c r="EK155" s="10"/>
      <c r="EL155" s="10"/>
      <c r="EM155" s="10"/>
      <c r="EN155" s="10"/>
      <c r="EO155" s="10"/>
      <c r="EP155" s="10"/>
      <c r="EQ155" s="10"/>
      <c r="ER155" s="10"/>
      <c r="ES155" s="10"/>
      <c r="ET155" s="10"/>
      <c r="EU155" s="10"/>
      <c r="EV155" s="10"/>
      <c r="EW155" s="10"/>
      <c r="EX155" s="10"/>
      <c r="EY155" s="10"/>
      <c r="EZ155" s="10"/>
      <c r="FA155" s="10"/>
      <c r="FB155" s="10"/>
      <c r="FC155" s="10"/>
      <c r="FD155" s="10"/>
      <c r="FE155" s="10"/>
      <c r="FF155" s="10"/>
      <c r="FG155" s="10"/>
      <c r="FH155" s="10"/>
      <c r="FI155" s="10"/>
      <c r="FJ155" s="10"/>
      <c r="FK155" s="10"/>
      <c r="FL155" s="10"/>
      <c r="FM155" s="10"/>
      <c r="FN155" s="10"/>
      <c r="FO155" s="10"/>
      <c r="FP155" s="10"/>
      <c r="FQ155" s="10"/>
      <c r="FR155" s="10"/>
      <c r="FS155" s="10"/>
      <c r="FT155" s="10"/>
      <c r="FU155" s="10"/>
      <c r="FV155" s="10"/>
      <c r="FW155" s="10"/>
      <c r="FX155" s="10"/>
      <c r="FY155" s="10"/>
      <c r="FZ155" s="10"/>
      <c r="GA155" s="10"/>
      <c r="GB155" s="10"/>
      <c r="GC155" s="10"/>
      <c r="GD155" s="10"/>
      <c r="GE155" s="10"/>
      <c r="GF155" s="10"/>
      <c r="GG155" s="10"/>
      <c r="GH155" s="10"/>
      <c r="GI155" s="10"/>
      <c r="GJ155" s="10"/>
      <c r="GK155" s="10"/>
    </row>
    <row r="156" customFormat="false" ht="12.75" hidden="false" customHeight="false" outlineLevel="0" collapsed="false">
      <c r="A156" s="7"/>
      <c r="B156" s="7"/>
      <c r="C156" s="8"/>
      <c r="D156" s="8"/>
      <c r="E156" s="8"/>
      <c r="F156" s="8"/>
      <c r="G156" s="9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10"/>
      <c r="CX156" s="10"/>
      <c r="CY156" s="10"/>
      <c r="CZ156" s="10"/>
      <c r="DA156" s="10"/>
      <c r="DB156" s="10"/>
      <c r="DC156" s="10"/>
      <c r="DD156" s="10"/>
      <c r="DE156" s="10"/>
      <c r="DF156" s="10"/>
      <c r="DG156" s="10"/>
      <c r="DH156" s="10"/>
      <c r="DI156" s="10"/>
      <c r="DJ156" s="10"/>
      <c r="DK156" s="10"/>
      <c r="DL156" s="10"/>
      <c r="DM156" s="10"/>
      <c r="DN156" s="10"/>
      <c r="DO156" s="10"/>
      <c r="DP156" s="10"/>
      <c r="DQ156" s="10"/>
      <c r="DR156" s="10"/>
      <c r="DS156" s="10"/>
      <c r="DT156" s="10"/>
      <c r="DU156" s="10"/>
      <c r="DV156" s="10"/>
      <c r="DW156" s="10"/>
      <c r="DX156" s="10"/>
      <c r="DY156" s="10"/>
      <c r="DZ156" s="10"/>
      <c r="EA156" s="10"/>
      <c r="EB156" s="10"/>
      <c r="EC156" s="10"/>
      <c r="ED156" s="10"/>
      <c r="EE156" s="10"/>
      <c r="EF156" s="10"/>
      <c r="EG156" s="10"/>
      <c r="EH156" s="10"/>
      <c r="EI156" s="10"/>
      <c r="EJ156" s="10"/>
      <c r="EK156" s="10"/>
      <c r="EL156" s="10"/>
      <c r="EM156" s="10"/>
      <c r="EN156" s="10"/>
      <c r="EO156" s="10"/>
      <c r="EP156" s="10"/>
      <c r="EQ156" s="10"/>
      <c r="ER156" s="10"/>
      <c r="ES156" s="10"/>
      <c r="ET156" s="10"/>
      <c r="EU156" s="10"/>
      <c r="EV156" s="10"/>
      <c r="EW156" s="10"/>
      <c r="EX156" s="10"/>
      <c r="EY156" s="10"/>
      <c r="EZ156" s="10"/>
      <c r="FA156" s="10"/>
      <c r="FB156" s="10"/>
      <c r="FC156" s="10"/>
      <c r="FD156" s="10"/>
      <c r="FE156" s="10"/>
      <c r="FF156" s="10"/>
      <c r="FG156" s="10"/>
      <c r="FH156" s="10"/>
      <c r="FI156" s="10"/>
      <c r="FJ156" s="10"/>
      <c r="FK156" s="10"/>
      <c r="FL156" s="10"/>
      <c r="FM156" s="10"/>
      <c r="FN156" s="10"/>
      <c r="FO156" s="10"/>
      <c r="FP156" s="10"/>
      <c r="FQ156" s="10"/>
      <c r="FR156" s="10"/>
      <c r="FS156" s="10"/>
      <c r="FT156" s="10"/>
      <c r="FU156" s="10"/>
      <c r="FV156" s="10"/>
      <c r="FW156" s="10"/>
      <c r="FX156" s="10"/>
      <c r="FY156" s="10"/>
      <c r="FZ156" s="10"/>
      <c r="GA156" s="10"/>
      <c r="GB156" s="10"/>
      <c r="GC156" s="10"/>
      <c r="GD156" s="10"/>
      <c r="GE156" s="10"/>
      <c r="GF156" s="10"/>
      <c r="GG156" s="10"/>
      <c r="GH156" s="10"/>
      <c r="GI156" s="10"/>
      <c r="GJ156" s="10"/>
      <c r="GK156" s="10"/>
    </row>
    <row r="157" customFormat="false" ht="12.75" hidden="false" customHeight="false" outlineLevel="0" collapsed="false">
      <c r="A157" s="7"/>
      <c r="B157" s="7"/>
      <c r="C157" s="8"/>
      <c r="D157" s="8"/>
      <c r="E157" s="8"/>
      <c r="F157" s="8"/>
      <c r="G157" s="9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10"/>
      <c r="CX157" s="10"/>
      <c r="CY157" s="10"/>
      <c r="CZ157" s="10"/>
      <c r="DA157" s="10"/>
      <c r="DB157" s="10"/>
      <c r="DC157" s="10"/>
      <c r="DD157" s="10"/>
      <c r="DE157" s="10"/>
      <c r="DF157" s="10"/>
      <c r="DG157" s="10"/>
      <c r="DH157" s="10"/>
      <c r="DI157" s="10"/>
      <c r="DJ157" s="10"/>
      <c r="DK157" s="10"/>
      <c r="DL157" s="10"/>
      <c r="DM157" s="10"/>
      <c r="DN157" s="10"/>
      <c r="DO157" s="10"/>
      <c r="DP157" s="10"/>
      <c r="DQ157" s="10"/>
      <c r="DR157" s="10"/>
      <c r="DS157" s="10"/>
      <c r="DT157" s="10"/>
      <c r="DU157" s="10"/>
      <c r="DV157" s="10"/>
      <c r="DW157" s="10"/>
      <c r="DX157" s="10"/>
      <c r="DY157" s="10"/>
      <c r="DZ157" s="10"/>
      <c r="EA157" s="10"/>
      <c r="EB157" s="10"/>
      <c r="EC157" s="10"/>
      <c r="ED157" s="10"/>
      <c r="EE157" s="10"/>
      <c r="EF157" s="10"/>
      <c r="EG157" s="10"/>
      <c r="EH157" s="10"/>
      <c r="EI157" s="10"/>
      <c r="EJ157" s="10"/>
      <c r="EK157" s="10"/>
      <c r="EL157" s="10"/>
      <c r="EM157" s="10"/>
      <c r="EN157" s="10"/>
      <c r="EO157" s="10"/>
      <c r="EP157" s="10"/>
      <c r="EQ157" s="10"/>
      <c r="ER157" s="10"/>
      <c r="ES157" s="10"/>
      <c r="ET157" s="10"/>
      <c r="EU157" s="10"/>
      <c r="EV157" s="10"/>
      <c r="EW157" s="10"/>
      <c r="EX157" s="10"/>
      <c r="EY157" s="10"/>
      <c r="EZ157" s="10"/>
      <c r="FA157" s="10"/>
      <c r="FB157" s="10"/>
      <c r="FC157" s="10"/>
      <c r="FD157" s="10"/>
      <c r="FE157" s="10"/>
      <c r="FF157" s="10"/>
      <c r="FG157" s="10"/>
      <c r="FH157" s="10"/>
      <c r="FI157" s="10"/>
      <c r="FJ157" s="10"/>
      <c r="FK157" s="10"/>
      <c r="FL157" s="10"/>
      <c r="FM157" s="10"/>
      <c r="FN157" s="10"/>
      <c r="FO157" s="10"/>
      <c r="FP157" s="10"/>
      <c r="FQ157" s="10"/>
      <c r="FR157" s="10"/>
      <c r="FS157" s="10"/>
      <c r="FT157" s="10"/>
      <c r="FU157" s="10"/>
      <c r="FV157" s="10"/>
      <c r="FW157" s="10"/>
      <c r="FX157" s="10"/>
      <c r="FY157" s="10"/>
      <c r="FZ157" s="10"/>
      <c r="GA157" s="10"/>
      <c r="GB157" s="10"/>
      <c r="GC157" s="10"/>
      <c r="GD157" s="10"/>
      <c r="GE157" s="10"/>
      <c r="GF157" s="10"/>
      <c r="GG157" s="10"/>
      <c r="GH157" s="10"/>
      <c r="GI157" s="10"/>
      <c r="GJ157" s="10"/>
      <c r="GK157" s="10"/>
    </row>
    <row r="158" customFormat="false" ht="12.75" hidden="false" customHeight="false" outlineLevel="0" collapsed="false">
      <c r="A158" s="7"/>
      <c r="B158" s="7"/>
      <c r="C158" s="8"/>
      <c r="D158" s="8"/>
      <c r="E158" s="8"/>
      <c r="F158" s="8"/>
      <c r="G158" s="9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10"/>
      <c r="CX158" s="10"/>
      <c r="CY158" s="10"/>
      <c r="CZ158" s="10"/>
      <c r="DA158" s="10"/>
      <c r="DB158" s="10"/>
      <c r="DC158" s="10"/>
      <c r="DD158" s="10"/>
      <c r="DE158" s="10"/>
      <c r="DF158" s="10"/>
      <c r="DG158" s="10"/>
      <c r="DH158" s="10"/>
      <c r="DI158" s="10"/>
      <c r="DJ158" s="10"/>
      <c r="DK158" s="10"/>
      <c r="DL158" s="10"/>
      <c r="DM158" s="10"/>
      <c r="DN158" s="10"/>
      <c r="DO158" s="10"/>
      <c r="DP158" s="10"/>
      <c r="DQ158" s="10"/>
      <c r="DR158" s="10"/>
      <c r="DS158" s="10"/>
      <c r="DT158" s="10"/>
      <c r="DU158" s="10"/>
      <c r="DV158" s="10"/>
      <c r="DW158" s="10"/>
      <c r="DX158" s="10"/>
      <c r="DY158" s="10"/>
      <c r="DZ158" s="10"/>
      <c r="EA158" s="10"/>
      <c r="EB158" s="10"/>
      <c r="EC158" s="10"/>
      <c r="ED158" s="10"/>
      <c r="EE158" s="10"/>
      <c r="EF158" s="10"/>
      <c r="EG158" s="10"/>
      <c r="EH158" s="10"/>
      <c r="EI158" s="10"/>
      <c r="EJ158" s="10"/>
      <c r="EK158" s="10"/>
      <c r="EL158" s="10"/>
      <c r="EM158" s="10"/>
      <c r="EN158" s="10"/>
      <c r="EO158" s="10"/>
      <c r="EP158" s="10"/>
      <c r="EQ158" s="10"/>
      <c r="ER158" s="10"/>
      <c r="ES158" s="10"/>
      <c r="ET158" s="10"/>
      <c r="EU158" s="10"/>
      <c r="EV158" s="10"/>
      <c r="EW158" s="10"/>
      <c r="EX158" s="10"/>
      <c r="EY158" s="10"/>
      <c r="EZ158" s="10"/>
      <c r="FA158" s="10"/>
      <c r="FB158" s="10"/>
      <c r="FC158" s="10"/>
      <c r="FD158" s="10"/>
      <c r="FE158" s="10"/>
      <c r="FF158" s="10"/>
      <c r="FG158" s="10"/>
      <c r="FH158" s="10"/>
      <c r="FI158" s="10"/>
      <c r="FJ158" s="10"/>
      <c r="FK158" s="10"/>
      <c r="FL158" s="10"/>
      <c r="FM158" s="10"/>
      <c r="FN158" s="10"/>
      <c r="FO158" s="10"/>
      <c r="FP158" s="10"/>
      <c r="FQ158" s="10"/>
      <c r="FR158" s="10"/>
      <c r="FS158" s="10"/>
      <c r="FT158" s="10"/>
      <c r="FU158" s="10"/>
      <c r="FV158" s="10"/>
      <c r="FW158" s="10"/>
      <c r="FX158" s="10"/>
      <c r="FY158" s="10"/>
      <c r="FZ158" s="10"/>
      <c r="GA158" s="10"/>
      <c r="GB158" s="10"/>
      <c r="GC158" s="10"/>
      <c r="GD158" s="10"/>
      <c r="GE158" s="10"/>
      <c r="GF158" s="10"/>
      <c r="GG158" s="10"/>
      <c r="GH158" s="10"/>
      <c r="GI158" s="10"/>
      <c r="GJ158" s="10"/>
      <c r="GK158" s="10"/>
    </row>
    <row r="159" customFormat="false" ht="12.75" hidden="false" customHeight="false" outlineLevel="0" collapsed="false">
      <c r="A159" s="7"/>
      <c r="B159" s="7"/>
      <c r="C159" s="8"/>
      <c r="D159" s="8"/>
      <c r="E159" s="8"/>
      <c r="F159" s="8"/>
      <c r="G159" s="9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10"/>
      <c r="CX159" s="10"/>
      <c r="CY159" s="10"/>
      <c r="CZ159" s="10"/>
      <c r="DA159" s="10"/>
      <c r="DB159" s="10"/>
      <c r="DC159" s="10"/>
      <c r="DD159" s="10"/>
      <c r="DE159" s="10"/>
      <c r="DF159" s="10"/>
      <c r="DG159" s="10"/>
      <c r="DH159" s="10"/>
      <c r="DI159" s="10"/>
      <c r="DJ159" s="10"/>
      <c r="DK159" s="10"/>
      <c r="DL159" s="10"/>
      <c r="DM159" s="10"/>
      <c r="DN159" s="10"/>
      <c r="DO159" s="10"/>
      <c r="DP159" s="10"/>
      <c r="DQ159" s="10"/>
      <c r="DR159" s="10"/>
      <c r="DS159" s="10"/>
      <c r="DT159" s="10"/>
      <c r="DU159" s="10"/>
      <c r="DV159" s="10"/>
      <c r="DW159" s="10"/>
      <c r="DX159" s="10"/>
      <c r="DY159" s="10"/>
      <c r="DZ159" s="10"/>
      <c r="EA159" s="10"/>
      <c r="EB159" s="10"/>
      <c r="EC159" s="10"/>
      <c r="ED159" s="10"/>
      <c r="EE159" s="10"/>
      <c r="EF159" s="10"/>
      <c r="EG159" s="10"/>
      <c r="EH159" s="10"/>
      <c r="EI159" s="10"/>
      <c r="EJ159" s="10"/>
      <c r="EK159" s="10"/>
      <c r="EL159" s="10"/>
      <c r="EM159" s="10"/>
      <c r="EN159" s="10"/>
      <c r="EO159" s="10"/>
      <c r="EP159" s="10"/>
      <c r="EQ159" s="10"/>
      <c r="ER159" s="10"/>
      <c r="ES159" s="10"/>
      <c r="ET159" s="10"/>
      <c r="EU159" s="10"/>
      <c r="EV159" s="10"/>
      <c r="EW159" s="10"/>
      <c r="EX159" s="10"/>
      <c r="EY159" s="10"/>
      <c r="EZ159" s="10"/>
      <c r="FA159" s="10"/>
      <c r="FB159" s="10"/>
      <c r="FC159" s="10"/>
      <c r="FD159" s="10"/>
      <c r="FE159" s="10"/>
      <c r="FF159" s="10"/>
      <c r="FG159" s="10"/>
      <c r="FH159" s="10"/>
      <c r="FI159" s="10"/>
      <c r="FJ159" s="10"/>
      <c r="FK159" s="10"/>
      <c r="FL159" s="10"/>
      <c r="FM159" s="10"/>
      <c r="FN159" s="10"/>
      <c r="FO159" s="10"/>
      <c r="FP159" s="10"/>
      <c r="FQ159" s="10"/>
      <c r="FR159" s="10"/>
      <c r="FS159" s="10"/>
      <c r="FT159" s="10"/>
      <c r="FU159" s="10"/>
      <c r="FV159" s="10"/>
      <c r="FW159" s="10"/>
      <c r="FX159" s="10"/>
      <c r="FY159" s="10"/>
      <c r="FZ159" s="10"/>
      <c r="GA159" s="10"/>
      <c r="GB159" s="10"/>
      <c r="GC159" s="10"/>
      <c r="GD159" s="10"/>
      <c r="GE159" s="10"/>
      <c r="GF159" s="10"/>
      <c r="GG159" s="10"/>
      <c r="GH159" s="10"/>
      <c r="GI159" s="10"/>
      <c r="GJ159" s="10"/>
      <c r="GK159" s="10"/>
    </row>
    <row r="160" customFormat="false" ht="12.75" hidden="false" customHeight="false" outlineLevel="0" collapsed="false">
      <c r="A160" s="7"/>
      <c r="B160" s="7"/>
      <c r="C160" s="8"/>
      <c r="D160" s="8"/>
      <c r="E160" s="8"/>
      <c r="F160" s="8"/>
      <c r="G160" s="9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10"/>
      <c r="CX160" s="10"/>
      <c r="CY160" s="10"/>
      <c r="CZ160" s="10"/>
      <c r="DA160" s="10"/>
      <c r="DB160" s="10"/>
      <c r="DC160" s="10"/>
      <c r="DD160" s="10"/>
      <c r="DE160" s="10"/>
      <c r="DF160" s="10"/>
      <c r="DG160" s="10"/>
      <c r="DH160" s="10"/>
      <c r="DI160" s="10"/>
      <c r="DJ160" s="10"/>
      <c r="DK160" s="10"/>
      <c r="DL160" s="10"/>
      <c r="DM160" s="10"/>
      <c r="DN160" s="10"/>
      <c r="DO160" s="10"/>
      <c r="DP160" s="10"/>
      <c r="DQ160" s="10"/>
      <c r="DR160" s="10"/>
      <c r="DS160" s="10"/>
      <c r="DT160" s="10"/>
      <c r="DU160" s="10"/>
      <c r="DV160" s="10"/>
      <c r="DW160" s="10"/>
      <c r="DX160" s="10"/>
      <c r="DY160" s="10"/>
      <c r="DZ160" s="10"/>
      <c r="EA160" s="10"/>
      <c r="EB160" s="10"/>
      <c r="EC160" s="10"/>
      <c r="ED160" s="10"/>
      <c r="EE160" s="10"/>
      <c r="EF160" s="10"/>
      <c r="EG160" s="10"/>
      <c r="EH160" s="10"/>
      <c r="EI160" s="10"/>
      <c r="EJ160" s="10"/>
      <c r="EK160" s="10"/>
      <c r="EL160" s="10"/>
      <c r="EM160" s="10"/>
      <c r="EN160" s="10"/>
      <c r="EO160" s="10"/>
      <c r="EP160" s="10"/>
      <c r="EQ160" s="10"/>
      <c r="ER160" s="10"/>
      <c r="ES160" s="10"/>
      <c r="ET160" s="10"/>
      <c r="EU160" s="10"/>
      <c r="EV160" s="10"/>
      <c r="EW160" s="10"/>
      <c r="EX160" s="10"/>
      <c r="EY160" s="10"/>
      <c r="EZ160" s="10"/>
      <c r="FA160" s="10"/>
      <c r="FB160" s="10"/>
      <c r="FC160" s="10"/>
      <c r="FD160" s="10"/>
      <c r="FE160" s="10"/>
      <c r="FF160" s="10"/>
      <c r="FG160" s="10"/>
      <c r="FH160" s="10"/>
      <c r="FI160" s="10"/>
      <c r="FJ160" s="10"/>
      <c r="FK160" s="10"/>
      <c r="FL160" s="10"/>
      <c r="FM160" s="10"/>
      <c r="FN160" s="10"/>
      <c r="FO160" s="10"/>
      <c r="FP160" s="10"/>
      <c r="FQ160" s="10"/>
      <c r="FR160" s="10"/>
      <c r="FS160" s="10"/>
      <c r="FT160" s="10"/>
      <c r="FU160" s="10"/>
      <c r="FV160" s="10"/>
      <c r="FW160" s="10"/>
      <c r="FX160" s="10"/>
      <c r="FY160" s="10"/>
      <c r="FZ160" s="10"/>
      <c r="GA160" s="10"/>
      <c r="GB160" s="10"/>
      <c r="GC160" s="10"/>
      <c r="GD160" s="10"/>
      <c r="GE160" s="10"/>
      <c r="GF160" s="10"/>
      <c r="GG160" s="10"/>
      <c r="GH160" s="10"/>
      <c r="GI160" s="10"/>
      <c r="GJ160" s="10"/>
      <c r="GK160" s="10"/>
    </row>
    <row r="161" customFormat="false" ht="12.75" hidden="false" customHeight="false" outlineLevel="0" collapsed="false">
      <c r="A161" s="7"/>
      <c r="B161" s="7"/>
      <c r="C161" s="8"/>
      <c r="D161" s="8"/>
      <c r="E161" s="8"/>
      <c r="F161" s="8"/>
      <c r="G161" s="9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10"/>
      <c r="CX161" s="10"/>
      <c r="CY161" s="10"/>
      <c r="CZ161" s="10"/>
      <c r="DA161" s="10"/>
      <c r="DB161" s="10"/>
      <c r="DC161" s="10"/>
      <c r="DD161" s="10"/>
      <c r="DE161" s="10"/>
      <c r="DF161" s="10"/>
      <c r="DG161" s="10"/>
      <c r="DH161" s="10"/>
      <c r="DI161" s="10"/>
      <c r="DJ161" s="10"/>
      <c r="DK161" s="10"/>
      <c r="DL161" s="10"/>
      <c r="DM161" s="10"/>
      <c r="DN161" s="10"/>
      <c r="DO161" s="10"/>
      <c r="DP161" s="10"/>
      <c r="DQ161" s="10"/>
      <c r="DR161" s="10"/>
      <c r="DS161" s="10"/>
      <c r="DT161" s="10"/>
      <c r="DU161" s="10"/>
      <c r="DV161" s="10"/>
      <c r="DW161" s="10"/>
      <c r="DX161" s="10"/>
      <c r="DY161" s="10"/>
      <c r="DZ161" s="10"/>
      <c r="EA161" s="10"/>
      <c r="EB161" s="10"/>
      <c r="EC161" s="10"/>
      <c r="ED161" s="10"/>
      <c r="EE161" s="10"/>
      <c r="EF161" s="10"/>
      <c r="EG161" s="10"/>
      <c r="EH161" s="10"/>
      <c r="EI161" s="10"/>
      <c r="EJ161" s="10"/>
      <c r="EK161" s="10"/>
      <c r="EL161" s="10"/>
      <c r="EM161" s="10"/>
      <c r="EN161" s="10"/>
      <c r="EO161" s="10"/>
      <c r="EP161" s="10"/>
      <c r="EQ161" s="10"/>
      <c r="ER161" s="10"/>
      <c r="ES161" s="10"/>
      <c r="ET161" s="10"/>
      <c r="EU161" s="10"/>
      <c r="EV161" s="10"/>
      <c r="EW161" s="10"/>
      <c r="EX161" s="10"/>
      <c r="EY161" s="10"/>
      <c r="EZ161" s="10"/>
      <c r="FA161" s="10"/>
      <c r="FB161" s="10"/>
      <c r="FC161" s="10"/>
      <c r="FD161" s="10"/>
      <c r="FE161" s="10"/>
      <c r="FF161" s="10"/>
      <c r="FG161" s="10"/>
      <c r="FH161" s="10"/>
      <c r="FI161" s="10"/>
      <c r="FJ161" s="10"/>
      <c r="FK161" s="10"/>
      <c r="FL161" s="10"/>
      <c r="FM161" s="10"/>
      <c r="FN161" s="10"/>
      <c r="FO161" s="10"/>
      <c r="FP161" s="10"/>
      <c r="FQ161" s="10"/>
      <c r="FR161" s="10"/>
      <c r="FS161" s="10"/>
      <c r="FT161" s="10"/>
      <c r="FU161" s="10"/>
      <c r="FV161" s="10"/>
      <c r="FW161" s="10"/>
      <c r="FX161" s="10"/>
      <c r="FY161" s="10"/>
      <c r="FZ161" s="10"/>
      <c r="GA161" s="10"/>
      <c r="GB161" s="10"/>
      <c r="GC161" s="10"/>
      <c r="GD161" s="10"/>
      <c r="GE161" s="10"/>
      <c r="GF161" s="10"/>
      <c r="GG161" s="10"/>
      <c r="GH161" s="10"/>
      <c r="GI161" s="10"/>
      <c r="GJ161" s="10"/>
      <c r="GK161" s="10"/>
    </row>
    <row r="162" customFormat="false" ht="12.75" hidden="false" customHeight="false" outlineLevel="0" collapsed="false">
      <c r="A162" s="7"/>
      <c r="B162" s="7"/>
      <c r="C162" s="8"/>
      <c r="D162" s="8"/>
      <c r="E162" s="8"/>
      <c r="F162" s="8"/>
      <c r="G162" s="9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10"/>
      <c r="CX162" s="10"/>
      <c r="CY162" s="10"/>
      <c r="CZ162" s="10"/>
      <c r="DA162" s="10"/>
      <c r="DB162" s="10"/>
      <c r="DC162" s="10"/>
      <c r="DD162" s="10"/>
      <c r="DE162" s="10"/>
      <c r="DF162" s="10"/>
      <c r="DG162" s="10"/>
      <c r="DH162" s="10"/>
      <c r="DI162" s="10"/>
      <c r="DJ162" s="10"/>
      <c r="DK162" s="10"/>
      <c r="DL162" s="10"/>
      <c r="DM162" s="10"/>
      <c r="DN162" s="10"/>
      <c r="DO162" s="10"/>
      <c r="DP162" s="10"/>
      <c r="DQ162" s="10"/>
      <c r="DR162" s="10"/>
      <c r="DS162" s="10"/>
      <c r="DT162" s="10"/>
      <c r="DU162" s="10"/>
      <c r="DV162" s="10"/>
      <c r="DW162" s="10"/>
      <c r="DX162" s="10"/>
      <c r="DY162" s="10"/>
      <c r="DZ162" s="10"/>
      <c r="EA162" s="10"/>
      <c r="EB162" s="10"/>
      <c r="EC162" s="10"/>
      <c r="ED162" s="10"/>
      <c r="EE162" s="10"/>
      <c r="EF162" s="10"/>
      <c r="EG162" s="10"/>
      <c r="EH162" s="10"/>
      <c r="EI162" s="10"/>
      <c r="EJ162" s="10"/>
      <c r="EK162" s="10"/>
      <c r="EL162" s="10"/>
      <c r="EM162" s="10"/>
      <c r="EN162" s="10"/>
      <c r="EO162" s="10"/>
      <c r="EP162" s="10"/>
      <c r="EQ162" s="10"/>
      <c r="ER162" s="10"/>
      <c r="ES162" s="10"/>
      <c r="ET162" s="10"/>
      <c r="EU162" s="10"/>
      <c r="EV162" s="10"/>
      <c r="EW162" s="10"/>
      <c r="EX162" s="10"/>
      <c r="EY162" s="10"/>
      <c r="EZ162" s="10"/>
      <c r="FA162" s="10"/>
      <c r="FB162" s="10"/>
      <c r="FC162" s="10"/>
      <c r="FD162" s="10"/>
      <c r="FE162" s="10"/>
      <c r="FF162" s="10"/>
      <c r="FG162" s="10"/>
      <c r="FH162" s="10"/>
      <c r="FI162" s="10"/>
      <c r="FJ162" s="10"/>
      <c r="FK162" s="10"/>
      <c r="FL162" s="10"/>
      <c r="FM162" s="10"/>
      <c r="FN162" s="10"/>
      <c r="FO162" s="10"/>
      <c r="FP162" s="10"/>
      <c r="FQ162" s="10"/>
      <c r="FR162" s="10"/>
      <c r="FS162" s="10"/>
      <c r="FT162" s="10"/>
      <c r="FU162" s="10"/>
      <c r="FV162" s="10"/>
      <c r="FW162" s="10"/>
      <c r="FX162" s="10"/>
      <c r="FY162" s="10"/>
      <c r="FZ162" s="10"/>
      <c r="GA162" s="10"/>
      <c r="GB162" s="10"/>
      <c r="GC162" s="10"/>
      <c r="GD162" s="10"/>
      <c r="GE162" s="10"/>
      <c r="GF162" s="10"/>
      <c r="GG162" s="10"/>
      <c r="GH162" s="10"/>
      <c r="GI162" s="10"/>
      <c r="GJ162" s="10"/>
      <c r="GK162" s="10"/>
    </row>
    <row r="163" customFormat="false" ht="12.75" hidden="false" customHeight="false" outlineLevel="0" collapsed="false">
      <c r="A163" s="7"/>
      <c r="B163" s="7"/>
      <c r="C163" s="8"/>
      <c r="D163" s="8"/>
      <c r="E163" s="8"/>
      <c r="F163" s="8"/>
      <c r="G163" s="9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10"/>
      <c r="CX163" s="10"/>
      <c r="CY163" s="10"/>
      <c r="CZ163" s="10"/>
      <c r="DA163" s="10"/>
      <c r="DB163" s="10"/>
      <c r="DC163" s="10"/>
      <c r="DD163" s="10"/>
      <c r="DE163" s="10"/>
      <c r="DF163" s="10"/>
      <c r="DG163" s="10"/>
      <c r="DH163" s="10"/>
      <c r="DI163" s="10"/>
      <c r="DJ163" s="10"/>
      <c r="DK163" s="10"/>
      <c r="DL163" s="10"/>
      <c r="DM163" s="10"/>
      <c r="DN163" s="10"/>
      <c r="DO163" s="10"/>
      <c r="DP163" s="10"/>
      <c r="DQ163" s="10"/>
      <c r="DR163" s="10"/>
      <c r="DS163" s="10"/>
      <c r="DT163" s="10"/>
      <c r="DU163" s="10"/>
      <c r="DV163" s="10"/>
      <c r="DW163" s="10"/>
      <c r="DX163" s="10"/>
      <c r="DY163" s="10"/>
      <c r="DZ163" s="10"/>
      <c r="EA163" s="10"/>
      <c r="EB163" s="10"/>
      <c r="EC163" s="10"/>
      <c r="ED163" s="10"/>
      <c r="EE163" s="10"/>
      <c r="EF163" s="10"/>
      <c r="EG163" s="10"/>
      <c r="EH163" s="10"/>
      <c r="EI163" s="10"/>
      <c r="EJ163" s="10"/>
      <c r="EK163" s="10"/>
      <c r="EL163" s="10"/>
      <c r="EM163" s="10"/>
      <c r="EN163" s="10"/>
      <c r="EO163" s="10"/>
      <c r="EP163" s="10"/>
      <c r="EQ163" s="10"/>
      <c r="ER163" s="10"/>
      <c r="ES163" s="10"/>
      <c r="ET163" s="10"/>
      <c r="EU163" s="10"/>
      <c r="EV163" s="10"/>
      <c r="EW163" s="10"/>
      <c r="EX163" s="10"/>
      <c r="EY163" s="10"/>
      <c r="EZ163" s="10"/>
      <c r="FA163" s="10"/>
      <c r="FB163" s="10"/>
      <c r="FC163" s="10"/>
      <c r="FD163" s="10"/>
      <c r="FE163" s="10"/>
      <c r="FF163" s="10"/>
      <c r="FG163" s="10"/>
      <c r="FH163" s="10"/>
      <c r="FI163" s="10"/>
      <c r="FJ163" s="10"/>
      <c r="FK163" s="10"/>
      <c r="FL163" s="10"/>
      <c r="FM163" s="10"/>
      <c r="FN163" s="10"/>
      <c r="FO163" s="10"/>
      <c r="FP163" s="10"/>
      <c r="FQ163" s="10"/>
      <c r="FR163" s="10"/>
      <c r="FS163" s="10"/>
      <c r="FT163" s="10"/>
      <c r="FU163" s="10"/>
      <c r="FV163" s="10"/>
      <c r="FW163" s="10"/>
      <c r="FX163" s="10"/>
      <c r="FY163" s="10"/>
      <c r="FZ163" s="10"/>
      <c r="GA163" s="10"/>
      <c r="GB163" s="10"/>
      <c r="GC163" s="10"/>
      <c r="GD163" s="10"/>
      <c r="GE163" s="10"/>
      <c r="GF163" s="10"/>
      <c r="GG163" s="10"/>
      <c r="GH163" s="10"/>
      <c r="GI163" s="10"/>
      <c r="GJ163" s="10"/>
      <c r="GK163" s="10"/>
    </row>
    <row r="164" customFormat="false" ht="12.75" hidden="false" customHeight="false" outlineLevel="0" collapsed="false">
      <c r="A164" s="7"/>
      <c r="B164" s="7"/>
      <c r="C164" s="8"/>
      <c r="D164" s="8"/>
      <c r="E164" s="8"/>
      <c r="F164" s="8"/>
      <c r="G164" s="9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10"/>
      <c r="CX164" s="10"/>
      <c r="CY164" s="10"/>
      <c r="CZ164" s="10"/>
      <c r="DA164" s="10"/>
      <c r="DB164" s="10"/>
      <c r="DC164" s="10"/>
      <c r="DD164" s="10"/>
      <c r="DE164" s="10"/>
      <c r="DF164" s="10"/>
      <c r="DG164" s="10"/>
      <c r="DH164" s="10"/>
      <c r="DI164" s="10"/>
      <c r="DJ164" s="10"/>
      <c r="DK164" s="10"/>
      <c r="DL164" s="10"/>
      <c r="DM164" s="10"/>
      <c r="DN164" s="10"/>
      <c r="DO164" s="10"/>
      <c r="DP164" s="10"/>
      <c r="DQ164" s="10"/>
      <c r="DR164" s="10"/>
      <c r="DS164" s="10"/>
      <c r="DT164" s="10"/>
      <c r="DU164" s="10"/>
      <c r="DV164" s="10"/>
      <c r="DW164" s="10"/>
      <c r="DX164" s="10"/>
      <c r="DY164" s="10"/>
      <c r="DZ164" s="10"/>
      <c r="EA164" s="10"/>
      <c r="EB164" s="10"/>
      <c r="EC164" s="10"/>
      <c r="ED164" s="10"/>
      <c r="EE164" s="10"/>
      <c r="EF164" s="10"/>
      <c r="EG164" s="10"/>
      <c r="EH164" s="10"/>
      <c r="EI164" s="10"/>
      <c r="EJ164" s="10"/>
      <c r="EK164" s="10"/>
      <c r="EL164" s="10"/>
      <c r="EM164" s="10"/>
      <c r="EN164" s="10"/>
      <c r="EO164" s="10"/>
      <c r="EP164" s="10"/>
      <c r="EQ164" s="10"/>
      <c r="ER164" s="10"/>
      <c r="ES164" s="10"/>
      <c r="ET164" s="10"/>
      <c r="EU164" s="10"/>
      <c r="EV164" s="10"/>
      <c r="EW164" s="10"/>
      <c r="EX164" s="10"/>
      <c r="EY164" s="10"/>
      <c r="EZ164" s="10"/>
      <c r="FA164" s="10"/>
      <c r="FB164" s="10"/>
      <c r="FC164" s="10"/>
      <c r="FD164" s="10"/>
      <c r="FE164" s="10"/>
      <c r="FF164" s="10"/>
      <c r="FG164" s="10"/>
      <c r="FH164" s="10"/>
      <c r="FI164" s="10"/>
      <c r="FJ164" s="10"/>
      <c r="FK164" s="10"/>
      <c r="FL164" s="10"/>
      <c r="FM164" s="10"/>
      <c r="FN164" s="10"/>
      <c r="FO164" s="10"/>
      <c r="FP164" s="10"/>
      <c r="FQ164" s="10"/>
      <c r="FR164" s="10"/>
      <c r="FS164" s="10"/>
      <c r="FT164" s="10"/>
      <c r="FU164" s="10"/>
      <c r="FV164" s="10"/>
      <c r="FW164" s="10"/>
      <c r="FX164" s="10"/>
      <c r="FY164" s="10"/>
      <c r="FZ164" s="10"/>
      <c r="GA164" s="10"/>
      <c r="GB164" s="10"/>
      <c r="GC164" s="10"/>
      <c r="GD164" s="10"/>
      <c r="GE164" s="10"/>
      <c r="GF164" s="10"/>
      <c r="GG164" s="10"/>
      <c r="GH164" s="10"/>
      <c r="GI164" s="10"/>
      <c r="GJ164" s="10"/>
      <c r="GK164" s="10"/>
    </row>
    <row r="165" customFormat="false" ht="12.75" hidden="false" customHeight="false" outlineLevel="0" collapsed="false">
      <c r="A165" s="7"/>
      <c r="B165" s="7"/>
      <c r="C165" s="8"/>
      <c r="D165" s="8"/>
      <c r="E165" s="8"/>
      <c r="F165" s="8"/>
      <c r="G165" s="9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10"/>
      <c r="CX165" s="10"/>
      <c r="CY165" s="10"/>
      <c r="CZ165" s="10"/>
      <c r="DA165" s="10"/>
      <c r="DB165" s="10"/>
      <c r="DC165" s="10"/>
      <c r="DD165" s="10"/>
      <c r="DE165" s="10"/>
      <c r="DF165" s="10"/>
      <c r="DG165" s="10"/>
      <c r="DH165" s="10"/>
      <c r="DI165" s="10"/>
      <c r="DJ165" s="10"/>
      <c r="DK165" s="10"/>
      <c r="DL165" s="10"/>
      <c r="DM165" s="10"/>
      <c r="DN165" s="10"/>
      <c r="DO165" s="10"/>
      <c r="DP165" s="10"/>
      <c r="DQ165" s="10"/>
      <c r="DR165" s="10"/>
      <c r="DS165" s="10"/>
      <c r="DT165" s="10"/>
      <c r="DU165" s="10"/>
      <c r="DV165" s="10"/>
      <c r="DW165" s="10"/>
      <c r="DX165" s="10"/>
      <c r="DY165" s="10"/>
      <c r="DZ165" s="10"/>
      <c r="EA165" s="10"/>
      <c r="EB165" s="10"/>
      <c r="EC165" s="10"/>
      <c r="ED165" s="10"/>
      <c r="EE165" s="10"/>
      <c r="EF165" s="10"/>
      <c r="EG165" s="10"/>
      <c r="EH165" s="10"/>
      <c r="EI165" s="10"/>
      <c r="EJ165" s="10"/>
      <c r="EK165" s="10"/>
      <c r="EL165" s="10"/>
      <c r="EM165" s="10"/>
      <c r="EN165" s="10"/>
      <c r="EO165" s="10"/>
      <c r="EP165" s="10"/>
      <c r="EQ165" s="10"/>
      <c r="ER165" s="10"/>
      <c r="ES165" s="10"/>
      <c r="ET165" s="10"/>
      <c r="EU165" s="10"/>
      <c r="EV165" s="10"/>
      <c r="EW165" s="10"/>
      <c r="EX165" s="10"/>
      <c r="EY165" s="10"/>
      <c r="EZ165" s="10"/>
      <c r="FA165" s="10"/>
      <c r="FB165" s="10"/>
      <c r="FC165" s="10"/>
      <c r="FD165" s="10"/>
      <c r="FE165" s="10"/>
      <c r="FF165" s="10"/>
      <c r="FG165" s="10"/>
      <c r="FH165" s="10"/>
      <c r="FI165" s="10"/>
      <c r="FJ165" s="10"/>
      <c r="FK165" s="10"/>
      <c r="FL165" s="10"/>
      <c r="FM165" s="10"/>
      <c r="FN165" s="10"/>
      <c r="FO165" s="10"/>
      <c r="FP165" s="10"/>
      <c r="FQ165" s="10"/>
      <c r="FR165" s="10"/>
      <c r="FS165" s="10"/>
      <c r="FT165" s="10"/>
      <c r="FU165" s="10"/>
      <c r="FV165" s="10"/>
      <c r="FW165" s="10"/>
      <c r="FX165" s="10"/>
      <c r="FY165" s="10"/>
      <c r="FZ165" s="10"/>
      <c r="GA165" s="10"/>
      <c r="GB165" s="10"/>
      <c r="GC165" s="10"/>
      <c r="GD165" s="10"/>
      <c r="GE165" s="10"/>
      <c r="GF165" s="10"/>
      <c r="GG165" s="10"/>
      <c r="GH165" s="10"/>
      <c r="GI165" s="10"/>
      <c r="GJ165" s="10"/>
      <c r="GK165" s="10"/>
    </row>
    <row r="166" customFormat="false" ht="12.75" hidden="false" customHeight="false" outlineLevel="0" collapsed="false">
      <c r="A166" s="7"/>
      <c r="B166" s="7"/>
      <c r="C166" s="8"/>
      <c r="D166" s="8"/>
      <c r="E166" s="8"/>
      <c r="F166" s="8"/>
      <c r="G166" s="9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10"/>
      <c r="CX166" s="10"/>
      <c r="CY166" s="10"/>
      <c r="CZ166" s="10"/>
      <c r="DA166" s="10"/>
      <c r="DB166" s="10"/>
      <c r="DC166" s="10"/>
      <c r="DD166" s="10"/>
      <c r="DE166" s="10"/>
      <c r="DF166" s="10"/>
      <c r="DG166" s="10"/>
      <c r="DH166" s="10"/>
      <c r="DI166" s="10"/>
      <c r="DJ166" s="10"/>
      <c r="DK166" s="10"/>
      <c r="DL166" s="10"/>
      <c r="DM166" s="10"/>
      <c r="DN166" s="10"/>
      <c r="DO166" s="10"/>
      <c r="DP166" s="10"/>
      <c r="DQ166" s="10"/>
      <c r="DR166" s="10"/>
      <c r="DS166" s="10"/>
      <c r="DT166" s="10"/>
      <c r="DU166" s="10"/>
      <c r="DV166" s="10"/>
      <c r="DW166" s="10"/>
      <c r="DX166" s="10"/>
      <c r="DY166" s="10"/>
      <c r="DZ166" s="10"/>
      <c r="EA166" s="10"/>
      <c r="EB166" s="10"/>
      <c r="EC166" s="10"/>
      <c r="ED166" s="10"/>
      <c r="EE166" s="10"/>
      <c r="EF166" s="10"/>
      <c r="EG166" s="10"/>
      <c r="EH166" s="10"/>
      <c r="EI166" s="10"/>
      <c r="EJ166" s="10"/>
      <c r="EK166" s="10"/>
      <c r="EL166" s="10"/>
      <c r="EM166" s="10"/>
      <c r="EN166" s="10"/>
      <c r="EO166" s="10"/>
      <c r="EP166" s="10"/>
      <c r="EQ166" s="10"/>
      <c r="ER166" s="10"/>
      <c r="ES166" s="10"/>
      <c r="ET166" s="10"/>
      <c r="EU166" s="10"/>
      <c r="EV166" s="10"/>
      <c r="EW166" s="10"/>
      <c r="EX166" s="10"/>
      <c r="EY166" s="10"/>
      <c r="EZ166" s="10"/>
      <c r="FA166" s="10"/>
      <c r="FB166" s="10"/>
      <c r="FC166" s="10"/>
      <c r="FD166" s="10"/>
      <c r="FE166" s="10"/>
      <c r="FF166" s="10"/>
      <c r="FG166" s="10"/>
      <c r="FH166" s="10"/>
      <c r="FI166" s="10"/>
      <c r="FJ166" s="10"/>
      <c r="FK166" s="10"/>
      <c r="FL166" s="10"/>
      <c r="FM166" s="10"/>
      <c r="FN166" s="10"/>
      <c r="FO166" s="10"/>
      <c r="FP166" s="10"/>
      <c r="FQ166" s="10"/>
      <c r="FR166" s="10"/>
      <c r="FS166" s="10"/>
      <c r="FT166" s="10"/>
      <c r="FU166" s="10"/>
      <c r="FV166" s="10"/>
      <c r="FW166" s="10"/>
      <c r="FX166" s="10"/>
      <c r="FY166" s="10"/>
      <c r="FZ166" s="10"/>
      <c r="GA166" s="10"/>
      <c r="GB166" s="10"/>
      <c r="GC166" s="10"/>
      <c r="GD166" s="10"/>
      <c r="GE166" s="10"/>
      <c r="GF166" s="10"/>
      <c r="GG166" s="10"/>
      <c r="GH166" s="10"/>
      <c r="GI166" s="10"/>
      <c r="GJ166" s="10"/>
      <c r="GK166" s="10"/>
    </row>
    <row r="167" customFormat="false" ht="12.75" hidden="false" customHeight="false" outlineLevel="0" collapsed="false">
      <c r="A167" s="7"/>
      <c r="B167" s="7"/>
      <c r="C167" s="8"/>
      <c r="D167" s="8"/>
      <c r="E167" s="8"/>
      <c r="F167" s="8"/>
      <c r="G167" s="9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10"/>
      <c r="CX167" s="10"/>
      <c r="CY167" s="10"/>
      <c r="CZ167" s="10"/>
      <c r="DA167" s="10"/>
      <c r="DB167" s="10"/>
      <c r="DC167" s="10"/>
      <c r="DD167" s="10"/>
      <c r="DE167" s="10"/>
      <c r="DF167" s="10"/>
      <c r="DG167" s="10"/>
      <c r="DH167" s="10"/>
      <c r="DI167" s="10"/>
      <c r="DJ167" s="10"/>
      <c r="DK167" s="10"/>
      <c r="DL167" s="10"/>
      <c r="DM167" s="10"/>
      <c r="DN167" s="10"/>
      <c r="DO167" s="10"/>
      <c r="DP167" s="10"/>
      <c r="DQ167" s="10"/>
      <c r="DR167" s="10"/>
      <c r="DS167" s="10"/>
      <c r="DT167" s="10"/>
      <c r="DU167" s="10"/>
      <c r="DV167" s="10"/>
      <c r="DW167" s="10"/>
      <c r="DX167" s="10"/>
      <c r="DY167" s="10"/>
      <c r="DZ167" s="10"/>
      <c r="EA167" s="10"/>
      <c r="EB167" s="10"/>
      <c r="EC167" s="10"/>
      <c r="ED167" s="10"/>
      <c r="EE167" s="10"/>
      <c r="EF167" s="10"/>
      <c r="EG167" s="10"/>
      <c r="EH167" s="10"/>
      <c r="EI167" s="10"/>
      <c r="EJ167" s="10"/>
      <c r="EK167" s="10"/>
      <c r="EL167" s="10"/>
      <c r="EM167" s="10"/>
      <c r="EN167" s="10"/>
      <c r="EO167" s="10"/>
      <c r="EP167" s="10"/>
      <c r="EQ167" s="10"/>
      <c r="ER167" s="10"/>
      <c r="ES167" s="10"/>
      <c r="ET167" s="10"/>
      <c r="EU167" s="10"/>
      <c r="EV167" s="10"/>
      <c r="EW167" s="10"/>
      <c r="EX167" s="10"/>
      <c r="EY167" s="10"/>
      <c r="EZ167" s="10"/>
      <c r="FA167" s="10"/>
      <c r="FB167" s="10"/>
      <c r="FC167" s="10"/>
      <c r="FD167" s="10"/>
      <c r="FE167" s="10"/>
      <c r="FF167" s="10"/>
      <c r="FG167" s="10"/>
      <c r="FH167" s="10"/>
      <c r="FI167" s="10"/>
      <c r="FJ167" s="10"/>
      <c r="FK167" s="10"/>
      <c r="FL167" s="10"/>
      <c r="FM167" s="10"/>
      <c r="FN167" s="10"/>
      <c r="FO167" s="10"/>
      <c r="FP167" s="10"/>
      <c r="FQ167" s="10"/>
      <c r="FR167" s="10"/>
      <c r="FS167" s="10"/>
      <c r="FT167" s="10"/>
      <c r="FU167" s="10"/>
      <c r="FV167" s="10"/>
      <c r="FW167" s="10"/>
      <c r="FX167" s="10"/>
      <c r="FY167" s="10"/>
      <c r="FZ167" s="10"/>
      <c r="GA167" s="10"/>
      <c r="GB167" s="10"/>
      <c r="GC167" s="10"/>
      <c r="GD167" s="10"/>
      <c r="GE167" s="10"/>
      <c r="GF167" s="10"/>
      <c r="GG167" s="10"/>
      <c r="GH167" s="10"/>
      <c r="GI167" s="10"/>
      <c r="GJ167" s="10"/>
      <c r="GK167" s="10"/>
    </row>
    <row r="168" customFormat="false" ht="12.75" hidden="false" customHeight="false" outlineLevel="0" collapsed="false">
      <c r="A168" s="7"/>
      <c r="B168" s="7"/>
      <c r="C168" s="8"/>
      <c r="D168" s="8"/>
      <c r="E168" s="8"/>
      <c r="F168" s="8"/>
      <c r="G168" s="9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10"/>
      <c r="CX168" s="10"/>
      <c r="CY168" s="10"/>
      <c r="CZ168" s="10"/>
      <c r="DA168" s="10"/>
      <c r="DB168" s="10"/>
      <c r="DC168" s="10"/>
      <c r="DD168" s="10"/>
      <c r="DE168" s="10"/>
      <c r="DF168" s="10"/>
      <c r="DG168" s="10"/>
      <c r="DH168" s="10"/>
      <c r="DI168" s="10"/>
      <c r="DJ168" s="10"/>
      <c r="DK168" s="10"/>
      <c r="DL168" s="10"/>
      <c r="DM168" s="10"/>
      <c r="DN168" s="10"/>
      <c r="DO168" s="10"/>
      <c r="DP168" s="10"/>
      <c r="DQ168" s="10"/>
      <c r="DR168" s="10"/>
      <c r="DS168" s="10"/>
      <c r="DT168" s="10"/>
      <c r="DU168" s="10"/>
      <c r="DV168" s="10"/>
      <c r="DW168" s="10"/>
      <c r="DX168" s="10"/>
      <c r="DY168" s="10"/>
      <c r="DZ168" s="10"/>
      <c r="EA168" s="10"/>
      <c r="EB168" s="10"/>
      <c r="EC168" s="10"/>
      <c r="ED168" s="10"/>
      <c r="EE168" s="10"/>
      <c r="EF168" s="10"/>
      <c r="EG168" s="10"/>
      <c r="EH168" s="10"/>
      <c r="EI168" s="10"/>
      <c r="EJ168" s="10"/>
      <c r="EK168" s="10"/>
      <c r="EL168" s="10"/>
      <c r="EM168" s="10"/>
      <c r="EN168" s="10"/>
      <c r="EO168" s="10"/>
      <c r="EP168" s="10"/>
      <c r="EQ168" s="10"/>
      <c r="ER168" s="10"/>
      <c r="ES168" s="10"/>
      <c r="ET168" s="10"/>
      <c r="EU168" s="10"/>
      <c r="EV168" s="10"/>
      <c r="EW168" s="10"/>
      <c r="EX168" s="10"/>
      <c r="EY168" s="10"/>
      <c r="EZ168" s="10"/>
      <c r="FA168" s="10"/>
      <c r="FB168" s="10"/>
      <c r="FC168" s="10"/>
      <c r="FD168" s="10"/>
      <c r="FE168" s="10"/>
      <c r="FF168" s="10"/>
      <c r="FG168" s="10"/>
      <c r="FH168" s="10"/>
      <c r="FI168" s="10"/>
      <c r="FJ168" s="10"/>
      <c r="FK168" s="10"/>
      <c r="FL168" s="10"/>
      <c r="FM168" s="10"/>
      <c r="FN168" s="10"/>
      <c r="FO168" s="10"/>
      <c r="FP168" s="10"/>
      <c r="FQ168" s="10"/>
      <c r="FR168" s="10"/>
      <c r="FS168" s="10"/>
      <c r="FT168" s="10"/>
      <c r="FU168" s="10"/>
      <c r="FV168" s="10"/>
      <c r="FW168" s="10"/>
      <c r="FX168" s="10"/>
      <c r="FY168" s="10"/>
      <c r="FZ168" s="10"/>
      <c r="GA168" s="10"/>
      <c r="GB168" s="10"/>
      <c r="GC168" s="10"/>
      <c r="GD168" s="10"/>
      <c r="GE168" s="10"/>
      <c r="GF168" s="10"/>
      <c r="GG168" s="10"/>
      <c r="GH168" s="10"/>
      <c r="GI168" s="10"/>
      <c r="GJ168" s="10"/>
      <c r="GK168" s="10"/>
    </row>
    <row r="169" customFormat="false" ht="12.75" hidden="false" customHeight="false" outlineLevel="0" collapsed="false">
      <c r="A169" s="7"/>
      <c r="B169" s="7"/>
      <c r="C169" s="8"/>
      <c r="D169" s="8"/>
      <c r="E169" s="8"/>
      <c r="F169" s="8"/>
      <c r="G169" s="9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10"/>
      <c r="CX169" s="10"/>
      <c r="CY169" s="10"/>
      <c r="CZ169" s="10"/>
      <c r="DA169" s="10"/>
      <c r="DB169" s="10"/>
      <c r="DC169" s="10"/>
      <c r="DD169" s="10"/>
      <c r="DE169" s="10"/>
      <c r="DF169" s="10"/>
      <c r="DG169" s="10"/>
      <c r="DH169" s="10"/>
      <c r="DI169" s="10"/>
      <c r="DJ169" s="10"/>
      <c r="DK169" s="10"/>
      <c r="DL169" s="10"/>
      <c r="DM169" s="10"/>
      <c r="DN169" s="10"/>
      <c r="DO169" s="10"/>
      <c r="DP169" s="10"/>
      <c r="DQ169" s="10"/>
      <c r="DR169" s="10"/>
      <c r="DS169" s="10"/>
      <c r="DT169" s="10"/>
      <c r="DU169" s="10"/>
      <c r="DV169" s="10"/>
      <c r="DW169" s="10"/>
      <c r="DX169" s="10"/>
      <c r="DY169" s="10"/>
      <c r="DZ169" s="10"/>
      <c r="EA169" s="10"/>
      <c r="EB169" s="10"/>
      <c r="EC169" s="10"/>
      <c r="ED169" s="10"/>
      <c r="EE169" s="10"/>
      <c r="EF169" s="10"/>
      <c r="EG169" s="10"/>
      <c r="EH169" s="10"/>
      <c r="EI169" s="10"/>
      <c r="EJ169" s="10"/>
      <c r="EK169" s="10"/>
      <c r="EL169" s="10"/>
      <c r="EM169" s="10"/>
      <c r="EN169" s="10"/>
      <c r="EO169" s="10"/>
      <c r="EP169" s="10"/>
      <c r="EQ169" s="10"/>
      <c r="ER169" s="10"/>
      <c r="ES169" s="10"/>
      <c r="ET169" s="10"/>
      <c r="EU169" s="10"/>
      <c r="EV169" s="10"/>
      <c r="EW169" s="10"/>
      <c r="EX169" s="10"/>
      <c r="EY169" s="10"/>
      <c r="EZ169" s="10"/>
      <c r="FA169" s="10"/>
      <c r="FB169" s="10"/>
      <c r="FC169" s="10"/>
      <c r="FD169" s="10"/>
      <c r="FE169" s="10"/>
      <c r="FF169" s="10"/>
      <c r="FG169" s="10"/>
      <c r="FH169" s="10"/>
      <c r="FI169" s="10"/>
      <c r="FJ169" s="10"/>
      <c r="FK169" s="10"/>
      <c r="FL169" s="10"/>
      <c r="FM169" s="10"/>
      <c r="FN169" s="10"/>
      <c r="FO169" s="10"/>
      <c r="FP169" s="10"/>
      <c r="FQ169" s="10"/>
      <c r="FR169" s="10"/>
      <c r="FS169" s="10"/>
      <c r="FT169" s="10"/>
      <c r="FU169" s="10"/>
      <c r="FV169" s="10"/>
      <c r="FW169" s="10"/>
      <c r="FX169" s="10"/>
      <c r="FY169" s="10"/>
      <c r="FZ169" s="10"/>
      <c r="GA169" s="10"/>
      <c r="GB169" s="10"/>
      <c r="GC169" s="10"/>
      <c r="GD169" s="10"/>
      <c r="GE169" s="10"/>
      <c r="GF169" s="10"/>
      <c r="GG169" s="10"/>
      <c r="GH169" s="10"/>
      <c r="GI169" s="10"/>
      <c r="GJ169" s="10"/>
      <c r="GK169" s="10"/>
    </row>
    <row r="170" customFormat="false" ht="12.75" hidden="false" customHeight="false" outlineLevel="0" collapsed="false">
      <c r="A170" s="7"/>
      <c r="B170" s="7"/>
      <c r="C170" s="8"/>
      <c r="D170" s="8"/>
      <c r="E170" s="8"/>
      <c r="F170" s="8"/>
      <c r="G170" s="9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10"/>
      <c r="CX170" s="10"/>
      <c r="CY170" s="10"/>
      <c r="CZ170" s="10"/>
      <c r="DA170" s="10"/>
      <c r="DB170" s="10"/>
      <c r="DC170" s="10"/>
      <c r="DD170" s="10"/>
      <c r="DE170" s="10"/>
      <c r="DF170" s="10"/>
      <c r="DG170" s="10"/>
      <c r="DH170" s="10"/>
      <c r="DI170" s="10"/>
      <c r="DJ170" s="10"/>
      <c r="DK170" s="10"/>
      <c r="DL170" s="10"/>
      <c r="DM170" s="10"/>
      <c r="DN170" s="10"/>
      <c r="DO170" s="10"/>
      <c r="DP170" s="10"/>
      <c r="DQ170" s="10"/>
      <c r="DR170" s="10"/>
      <c r="DS170" s="10"/>
      <c r="DT170" s="10"/>
      <c r="DU170" s="10"/>
      <c r="DV170" s="10"/>
      <c r="DW170" s="10"/>
      <c r="DX170" s="10"/>
      <c r="DY170" s="10"/>
      <c r="DZ170" s="10"/>
      <c r="EA170" s="10"/>
      <c r="EB170" s="10"/>
      <c r="EC170" s="10"/>
      <c r="ED170" s="10"/>
      <c r="EE170" s="10"/>
      <c r="EF170" s="10"/>
      <c r="EG170" s="10"/>
      <c r="EH170" s="10"/>
      <c r="EI170" s="10"/>
      <c r="EJ170" s="10"/>
      <c r="EK170" s="10"/>
      <c r="EL170" s="10"/>
      <c r="EM170" s="10"/>
      <c r="EN170" s="10"/>
      <c r="EO170" s="10"/>
      <c r="EP170" s="10"/>
      <c r="EQ170" s="10"/>
      <c r="ER170" s="10"/>
      <c r="ES170" s="10"/>
      <c r="ET170" s="10"/>
      <c r="EU170" s="10"/>
      <c r="EV170" s="10"/>
      <c r="EW170" s="10"/>
      <c r="EX170" s="10"/>
      <c r="EY170" s="10"/>
      <c r="EZ170" s="10"/>
      <c r="FA170" s="10"/>
      <c r="FB170" s="10"/>
      <c r="FC170" s="10"/>
      <c r="FD170" s="10"/>
      <c r="FE170" s="10"/>
      <c r="FF170" s="10"/>
      <c r="FG170" s="10"/>
      <c r="FH170" s="10"/>
      <c r="FI170" s="10"/>
      <c r="FJ170" s="10"/>
      <c r="FK170" s="10"/>
      <c r="FL170" s="10"/>
      <c r="FM170" s="10"/>
      <c r="FN170" s="10"/>
      <c r="FO170" s="10"/>
      <c r="FP170" s="10"/>
      <c r="FQ170" s="10"/>
      <c r="FR170" s="10"/>
      <c r="FS170" s="10"/>
      <c r="FT170" s="10"/>
      <c r="FU170" s="10"/>
      <c r="FV170" s="10"/>
      <c r="FW170" s="10"/>
      <c r="FX170" s="10"/>
      <c r="FY170" s="10"/>
      <c r="FZ170" s="10"/>
      <c r="GA170" s="10"/>
      <c r="GB170" s="10"/>
      <c r="GC170" s="10"/>
      <c r="GD170" s="10"/>
      <c r="GE170" s="10"/>
      <c r="GF170" s="10"/>
      <c r="GG170" s="10"/>
      <c r="GH170" s="10"/>
      <c r="GI170" s="10"/>
      <c r="GJ170" s="10"/>
      <c r="GK170" s="10"/>
    </row>
    <row r="171" customFormat="false" ht="12.75" hidden="false" customHeight="false" outlineLevel="0" collapsed="false">
      <c r="A171" s="7"/>
      <c r="B171" s="7"/>
      <c r="C171" s="8"/>
      <c r="D171" s="8"/>
      <c r="E171" s="8"/>
      <c r="F171" s="8"/>
      <c r="G171" s="9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10"/>
      <c r="CX171" s="10"/>
      <c r="CY171" s="10"/>
      <c r="CZ171" s="10"/>
      <c r="DA171" s="10"/>
      <c r="DB171" s="10"/>
      <c r="DC171" s="10"/>
      <c r="DD171" s="10"/>
      <c r="DE171" s="10"/>
      <c r="DF171" s="10"/>
      <c r="DG171" s="10"/>
      <c r="DH171" s="10"/>
      <c r="DI171" s="10"/>
      <c r="DJ171" s="10"/>
      <c r="DK171" s="10"/>
      <c r="DL171" s="10"/>
      <c r="DM171" s="10"/>
      <c r="DN171" s="10"/>
      <c r="DO171" s="10"/>
      <c r="DP171" s="10"/>
      <c r="DQ171" s="10"/>
      <c r="DR171" s="10"/>
      <c r="DS171" s="10"/>
      <c r="DT171" s="10"/>
      <c r="DU171" s="10"/>
      <c r="DV171" s="10"/>
      <c r="DW171" s="10"/>
      <c r="DX171" s="10"/>
      <c r="DY171" s="10"/>
      <c r="DZ171" s="10"/>
      <c r="EA171" s="10"/>
      <c r="EB171" s="10"/>
      <c r="EC171" s="10"/>
      <c r="ED171" s="10"/>
      <c r="EE171" s="10"/>
      <c r="EF171" s="10"/>
      <c r="EG171" s="10"/>
      <c r="EH171" s="10"/>
      <c r="EI171" s="10"/>
      <c r="EJ171" s="10"/>
      <c r="EK171" s="10"/>
      <c r="EL171" s="10"/>
      <c r="EM171" s="10"/>
      <c r="EN171" s="10"/>
      <c r="EO171" s="10"/>
      <c r="EP171" s="10"/>
      <c r="EQ171" s="10"/>
      <c r="ER171" s="10"/>
      <c r="ES171" s="10"/>
      <c r="ET171" s="10"/>
      <c r="EU171" s="10"/>
      <c r="EV171" s="10"/>
      <c r="EW171" s="10"/>
      <c r="EX171" s="10"/>
      <c r="EY171" s="10"/>
      <c r="EZ171" s="10"/>
      <c r="FA171" s="10"/>
      <c r="FB171" s="10"/>
      <c r="FC171" s="10"/>
      <c r="FD171" s="10"/>
      <c r="FE171" s="10"/>
      <c r="FF171" s="10"/>
      <c r="FG171" s="10"/>
      <c r="FH171" s="10"/>
      <c r="FI171" s="10"/>
      <c r="FJ171" s="10"/>
      <c r="FK171" s="10"/>
      <c r="FL171" s="10"/>
      <c r="FM171" s="10"/>
      <c r="FN171" s="10"/>
      <c r="FO171" s="10"/>
      <c r="FP171" s="10"/>
      <c r="FQ171" s="10"/>
      <c r="FR171" s="10"/>
      <c r="FS171" s="10"/>
      <c r="FT171" s="10"/>
      <c r="FU171" s="10"/>
      <c r="FV171" s="10"/>
      <c r="FW171" s="10"/>
      <c r="FX171" s="10"/>
      <c r="FY171" s="10"/>
      <c r="FZ171" s="10"/>
      <c r="GA171" s="10"/>
      <c r="GB171" s="10"/>
      <c r="GC171" s="10"/>
      <c r="GD171" s="10"/>
      <c r="GE171" s="10"/>
      <c r="GF171" s="10"/>
      <c r="GG171" s="10"/>
      <c r="GH171" s="10"/>
      <c r="GI171" s="10"/>
      <c r="GJ171" s="10"/>
      <c r="GK171" s="10"/>
    </row>
    <row r="172" customFormat="false" ht="12.75" hidden="false" customHeight="false" outlineLevel="0" collapsed="false">
      <c r="A172" s="7"/>
      <c r="B172" s="7"/>
      <c r="C172" s="8"/>
      <c r="D172" s="8"/>
      <c r="E172" s="8"/>
      <c r="F172" s="8"/>
      <c r="G172" s="9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10"/>
      <c r="CX172" s="10"/>
      <c r="CY172" s="10"/>
      <c r="CZ172" s="10"/>
      <c r="DA172" s="10"/>
      <c r="DB172" s="10"/>
      <c r="DC172" s="10"/>
      <c r="DD172" s="10"/>
      <c r="DE172" s="10"/>
      <c r="DF172" s="10"/>
      <c r="DG172" s="10"/>
      <c r="DH172" s="10"/>
      <c r="DI172" s="10"/>
      <c r="DJ172" s="10"/>
      <c r="DK172" s="10"/>
      <c r="DL172" s="10"/>
      <c r="DM172" s="10"/>
      <c r="DN172" s="10"/>
      <c r="DO172" s="10"/>
      <c r="DP172" s="10"/>
      <c r="DQ172" s="10"/>
      <c r="DR172" s="10"/>
      <c r="DS172" s="10"/>
      <c r="DT172" s="10"/>
      <c r="DU172" s="10"/>
      <c r="DV172" s="10"/>
      <c r="DW172" s="10"/>
      <c r="DX172" s="10"/>
      <c r="DY172" s="10"/>
      <c r="DZ172" s="10"/>
      <c r="EA172" s="10"/>
      <c r="EB172" s="10"/>
      <c r="EC172" s="10"/>
      <c r="ED172" s="10"/>
      <c r="EE172" s="10"/>
      <c r="EF172" s="10"/>
      <c r="EG172" s="10"/>
      <c r="EH172" s="10"/>
      <c r="EI172" s="10"/>
      <c r="EJ172" s="10"/>
      <c r="EK172" s="10"/>
      <c r="EL172" s="10"/>
      <c r="EM172" s="10"/>
      <c r="EN172" s="10"/>
      <c r="EO172" s="10"/>
      <c r="EP172" s="10"/>
      <c r="EQ172" s="10"/>
      <c r="ER172" s="10"/>
      <c r="ES172" s="10"/>
      <c r="ET172" s="10"/>
      <c r="EU172" s="10"/>
      <c r="EV172" s="10"/>
      <c r="EW172" s="10"/>
      <c r="EX172" s="10"/>
      <c r="EY172" s="10"/>
      <c r="EZ172" s="10"/>
      <c r="FA172" s="10"/>
      <c r="FB172" s="10"/>
      <c r="FC172" s="10"/>
      <c r="FD172" s="10"/>
      <c r="FE172" s="10"/>
      <c r="FF172" s="10"/>
      <c r="FG172" s="10"/>
      <c r="FH172" s="10"/>
      <c r="FI172" s="10"/>
      <c r="FJ172" s="10"/>
      <c r="FK172" s="10"/>
      <c r="FL172" s="10"/>
      <c r="FM172" s="10"/>
      <c r="FN172" s="10"/>
      <c r="FO172" s="10"/>
      <c r="FP172" s="10"/>
      <c r="FQ172" s="10"/>
      <c r="FR172" s="10"/>
      <c r="FS172" s="10"/>
      <c r="FT172" s="10"/>
      <c r="FU172" s="10"/>
      <c r="FV172" s="10"/>
      <c r="FW172" s="10"/>
      <c r="FX172" s="10"/>
      <c r="FY172" s="10"/>
      <c r="FZ172" s="10"/>
      <c r="GA172" s="10"/>
      <c r="GB172" s="10"/>
      <c r="GC172" s="10"/>
      <c r="GD172" s="10"/>
      <c r="GE172" s="10"/>
      <c r="GF172" s="10"/>
      <c r="GG172" s="10"/>
      <c r="GH172" s="10"/>
      <c r="GI172" s="10"/>
      <c r="GJ172" s="10"/>
      <c r="GK172" s="10"/>
    </row>
    <row r="173" customFormat="false" ht="12.75" hidden="false" customHeight="false" outlineLevel="0" collapsed="false">
      <c r="A173" s="7"/>
      <c r="B173" s="7"/>
      <c r="C173" s="8"/>
      <c r="D173" s="8"/>
      <c r="E173" s="8"/>
      <c r="F173" s="8"/>
      <c r="G173" s="9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10"/>
      <c r="CX173" s="10"/>
      <c r="CY173" s="10"/>
      <c r="CZ173" s="10"/>
      <c r="DA173" s="10"/>
      <c r="DB173" s="10"/>
      <c r="DC173" s="10"/>
      <c r="DD173" s="10"/>
      <c r="DE173" s="10"/>
      <c r="DF173" s="10"/>
      <c r="DG173" s="10"/>
      <c r="DH173" s="10"/>
      <c r="DI173" s="10"/>
      <c r="DJ173" s="10"/>
      <c r="DK173" s="10"/>
      <c r="DL173" s="10"/>
      <c r="DM173" s="10"/>
      <c r="DN173" s="10"/>
      <c r="DO173" s="10"/>
      <c r="DP173" s="10"/>
      <c r="DQ173" s="10"/>
      <c r="DR173" s="10"/>
      <c r="DS173" s="10"/>
      <c r="DT173" s="10"/>
      <c r="DU173" s="10"/>
      <c r="DV173" s="10"/>
      <c r="DW173" s="10"/>
      <c r="DX173" s="10"/>
      <c r="DY173" s="10"/>
      <c r="DZ173" s="10"/>
      <c r="EA173" s="10"/>
      <c r="EB173" s="10"/>
      <c r="EC173" s="10"/>
      <c r="ED173" s="10"/>
      <c r="EE173" s="10"/>
      <c r="EF173" s="10"/>
      <c r="EG173" s="10"/>
      <c r="EH173" s="10"/>
      <c r="EI173" s="10"/>
      <c r="EJ173" s="10"/>
      <c r="EK173" s="10"/>
      <c r="EL173" s="10"/>
      <c r="EM173" s="10"/>
      <c r="EN173" s="10"/>
      <c r="EO173" s="10"/>
      <c r="EP173" s="10"/>
      <c r="EQ173" s="10"/>
      <c r="ER173" s="10"/>
      <c r="ES173" s="10"/>
      <c r="ET173" s="10"/>
      <c r="EU173" s="10"/>
      <c r="EV173" s="10"/>
      <c r="EW173" s="10"/>
      <c r="EX173" s="10"/>
      <c r="EY173" s="10"/>
      <c r="EZ173" s="10"/>
      <c r="FA173" s="10"/>
      <c r="FB173" s="10"/>
      <c r="FC173" s="10"/>
      <c r="FD173" s="10"/>
      <c r="FE173" s="10"/>
      <c r="FF173" s="10"/>
      <c r="FG173" s="10"/>
      <c r="FH173" s="10"/>
      <c r="FI173" s="10"/>
      <c r="FJ173" s="10"/>
      <c r="FK173" s="10"/>
      <c r="FL173" s="10"/>
      <c r="FM173" s="10"/>
      <c r="FN173" s="10"/>
      <c r="FO173" s="10"/>
      <c r="FP173" s="10"/>
      <c r="FQ173" s="10"/>
      <c r="FR173" s="10"/>
      <c r="FS173" s="10"/>
      <c r="FT173" s="10"/>
      <c r="FU173" s="10"/>
      <c r="FV173" s="10"/>
      <c r="FW173" s="10"/>
      <c r="FX173" s="10"/>
      <c r="FY173" s="10"/>
      <c r="FZ173" s="10"/>
      <c r="GA173" s="10"/>
      <c r="GB173" s="10"/>
      <c r="GC173" s="10"/>
      <c r="GD173" s="10"/>
      <c r="GE173" s="10"/>
      <c r="GF173" s="10"/>
      <c r="GG173" s="10"/>
      <c r="GH173" s="10"/>
      <c r="GI173" s="10"/>
      <c r="GJ173" s="10"/>
      <c r="GK173" s="10"/>
    </row>
    <row r="174" customFormat="false" ht="12.75" hidden="false" customHeight="false" outlineLevel="0" collapsed="false">
      <c r="A174" s="7"/>
      <c r="B174" s="7"/>
      <c r="C174" s="8"/>
      <c r="D174" s="8"/>
      <c r="E174" s="8"/>
      <c r="F174" s="8"/>
      <c r="G174" s="9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10"/>
      <c r="CX174" s="10"/>
      <c r="CY174" s="10"/>
      <c r="CZ174" s="10"/>
      <c r="DA174" s="10"/>
      <c r="DB174" s="10"/>
      <c r="DC174" s="10"/>
      <c r="DD174" s="10"/>
      <c r="DE174" s="10"/>
      <c r="DF174" s="10"/>
      <c r="DG174" s="10"/>
      <c r="DH174" s="10"/>
      <c r="DI174" s="10"/>
      <c r="DJ174" s="10"/>
      <c r="DK174" s="10"/>
      <c r="DL174" s="10"/>
      <c r="DM174" s="10"/>
      <c r="DN174" s="10"/>
      <c r="DO174" s="10"/>
      <c r="DP174" s="10"/>
      <c r="DQ174" s="10"/>
      <c r="DR174" s="10"/>
      <c r="DS174" s="10"/>
      <c r="DT174" s="10"/>
      <c r="DU174" s="10"/>
      <c r="DV174" s="10"/>
      <c r="DW174" s="10"/>
      <c r="DX174" s="10"/>
      <c r="DY174" s="10"/>
      <c r="DZ174" s="10"/>
      <c r="EA174" s="10"/>
      <c r="EB174" s="10"/>
      <c r="EC174" s="10"/>
      <c r="ED174" s="10"/>
      <c r="EE174" s="10"/>
      <c r="EF174" s="10"/>
      <c r="EG174" s="10"/>
      <c r="EH174" s="10"/>
      <c r="EI174" s="10"/>
      <c r="EJ174" s="10"/>
      <c r="EK174" s="10"/>
      <c r="EL174" s="10"/>
      <c r="EM174" s="10"/>
      <c r="EN174" s="10"/>
      <c r="EO174" s="10"/>
      <c r="EP174" s="10"/>
      <c r="EQ174" s="10"/>
      <c r="ER174" s="10"/>
      <c r="ES174" s="10"/>
      <c r="ET174" s="10"/>
      <c r="EU174" s="10"/>
      <c r="EV174" s="10"/>
      <c r="EW174" s="10"/>
      <c r="EX174" s="10"/>
      <c r="EY174" s="10"/>
      <c r="EZ174" s="10"/>
      <c r="FA174" s="10"/>
      <c r="FB174" s="10"/>
      <c r="FC174" s="10"/>
      <c r="FD174" s="10"/>
      <c r="FE174" s="10"/>
      <c r="FF174" s="10"/>
      <c r="FG174" s="10"/>
      <c r="FH174" s="10"/>
      <c r="FI174" s="10"/>
      <c r="FJ174" s="10"/>
      <c r="FK174" s="10"/>
      <c r="FL174" s="10"/>
      <c r="FM174" s="10"/>
      <c r="FN174" s="10"/>
      <c r="FO174" s="10"/>
      <c r="FP174" s="10"/>
      <c r="FQ174" s="10"/>
      <c r="FR174" s="10"/>
      <c r="FS174" s="10"/>
      <c r="FT174" s="10"/>
      <c r="FU174" s="10"/>
      <c r="FV174" s="10"/>
      <c r="FW174" s="10"/>
      <c r="FX174" s="10"/>
      <c r="FY174" s="10"/>
      <c r="FZ174" s="10"/>
      <c r="GA174" s="10"/>
      <c r="GB174" s="10"/>
      <c r="GC174" s="10"/>
      <c r="GD174" s="10"/>
      <c r="GE174" s="10"/>
      <c r="GF174" s="10"/>
      <c r="GG174" s="10"/>
      <c r="GH174" s="10"/>
      <c r="GI174" s="10"/>
      <c r="GJ174" s="10"/>
      <c r="GK174" s="10"/>
    </row>
    <row r="175" customFormat="false" ht="12.75" hidden="false" customHeight="false" outlineLevel="0" collapsed="false">
      <c r="A175" s="7"/>
      <c r="B175" s="7"/>
      <c r="C175" s="8"/>
      <c r="D175" s="8"/>
      <c r="E175" s="8"/>
      <c r="F175" s="8"/>
      <c r="G175" s="9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10"/>
      <c r="CX175" s="10"/>
      <c r="CY175" s="10"/>
      <c r="CZ175" s="10"/>
      <c r="DA175" s="10"/>
      <c r="DB175" s="10"/>
      <c r="DC175" s="10"/>
      <c r="DD175" s="10"/>
      <c r="DE175" s="10"/>
      <c r="DF175" s="10"/>
      <c r="DG175" s="10"/>
      <c r="DH175" s="10"/>
      <c r="DI175" s="10"/>
      <c r="DJ175" s="10"/>
      <c r="DK175" s="10"/>
      <c r="DL175" s="10"/>
      <c r="DM175" s="10"/>
      <c r="DN175" s="10"/>
      <c r="DO175" s="10"/>
      <c r="DP175" s="10"/>
      <c r="DQ175" s="10"/>
      <c r="DR175" s="10"/>
      <c r="DS175" s="10"/>
      <c r="DT175" s="10"/>
      <c r="DU175" s="10"/>
      <c r="DV175" s="10"/>
      <c r="DW175" s="10"/>
      <c r="DX175" s="10"/>
      <c r="DY175" s="10"/>
      <c r="DZ175" s="10"/>
      <c r="EA175" s="10"/>
      <c r="EB175" s="10"/>
      <c r="EC175" s="10"/>
      <c r="ED175" s="10"/>
      <c r="EE175" s="10"/>
      <c r="EF175" s="10"/>
      <c r="EG175" s="10"/>
      <c r="EH175" s="10"/>
      <c r="EI175" s="10"/>
      <c r="EJ175" s="10"/>
      <c r="EK175" s="10"/>
      <c r="EL175" s="10"/>
      <c r="EM175" s="10"/>
      <c r="EN175" s="10"/>
      <c r="EO175" s="10"/>
      <c r="EP175" s="10"/>
      <c r="EQ175" s="10"/>
      <c r="ER175" s="10"/>
      <c r="ES175" s="10"/>
      <c r="ET175" s="10"/>
      <c r="EU175" s="10"/>
      <c r="EV175" s="10"/>
      <c r="EW175" s="10"/>
      <c r="EX175" s="10"/>
      <c r="EY175" s="10"/>
      <c r="EZ175" s="10"/>
      <c r="FA175" s="10"/>
      <c r="FB175" s="10"/>
      <c r="FC175" s="10"/>
      <c r="FD175" s="10"/>
      <c r="FE175" s="10"/>
      <c r="FF175" s="10"/>
      <c r="FG175" s="10"/>
      <c r="FH175" s="10"/>
      <c r="FI175" s="10"/>
      <c r="FJ175" s="10"/>
      <c r="FK175" s="10"/>
      <c r="FL175" s="10"/>
      <c r="FM175" s="10"/>
      <c r="FN175" s="10"/>
      <c r="FO175" s="10"/>
      <c r="FP175" s="10"/>
      <c r="FQ175" s="10"/>
      <c r="FR175" s="10"/>
      <c r="FS175" s="10"/>
      <c r="FT175" s="10"/>
      <c r="FU175" s="10"/>
      <c r="FV175" s="10"/>
      <c r="FW175" s="10"/>
      <c r="FX175" s="10"/>
      <c r="FY175" s="10"/>
      <c r="FZ175" s="10"/>
      <c r="GA175" s="10"/>
      <c r="GB175" s="10"/>
      <c r="GC175" s="10"/>
      <c r="GD175" s="10"/>
      <c r="GE175" s="10"/>
      <c r="GF175" s="10"/>
      <c r="GG175" s="10"/>
      <c r="GH175" s="10"/>
      <c r="GI175" s="10"/>
      <c r="GJ175" s="10"/>
      <c r="GK175" s="10"/>
    </row>
    <row r="176" customFormat="false" ht="12.75" hidden="false" customHeight="false" outlineLevel="0" collapsed="false">
      <c r="A176" s="7"/>
      <c r="B176" s="7"/>
      <c r="C176" s="8"/>
      <c r="D176" s="8"/>
      <c r="E176" s="8"/>
      <c r="F176" s="8"/>
      <c r="G176" s="9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  <c r="EM176" s="10"/>
      <c r="EN176" s="10"/>
      <c r="EO176" s="10"/>
      <c r="EP176" s="10"/>
      <c r="EQ176" s="10"/>
      <c r="ER176" s="10"/>
      <c r="ES176" s="10"/>
      <c r="ET176" s="10"/>
      <c r="EU176" s="10"/>
      <c r="EV176" s="10"/>
      <c r="EW176" s="10"/>
      <c r="EX176" s="10"/>
      <c r="EY176" s="10"/>
      <c r="EZ176" s="10"/>
      <c r="FA176" s="10"/>
      <c r="FB176" s="10"/>
      <c r="FC176" s="10"/>
      <c r="FD176" s="10"/>
      <c r="FE176" s="10"/>
      <c r="FF176" s="10"/>
      <c r="FG176" s="10"/>
      <c r="FH176" s="10"/>
      <c r="FI176" s="10"/>
      <c r="FJ176" s="10"/>
      <c r="FK176" s="10"/>
      <c r="FL176" s="10"/>
      <c r="FM176" s="10"/>
      <c r="FN176" s="10"/>
      <c r="FO176" s="10"/>
      <c r="FP176" s="10"/>
      <c r="FQ176" s="10"/>
      <c r="FR176" s="10"/>
      <c r="FS176" s="10"/>
      <c r="FT176" s="10"/>
      <c r="FU176" s="10"/>
      <c r="FV176" s="10"/>
      <c r="FW176" s="10"/>
      <c r="FX176" s="10"/>
      <c r="FY176" s="10"/>
      <c r="FZ176" s="10"/>
      <c r="GA176" s="10"/>
      <c r="GB176" s="10"/>
      <c r="GC176" s="10"/>
      <c r="GD176" s="10"/>
      <c r="GE176" s="10"/>
      <c r="GF176" s="10"/>
      <c r="GG176" s="10"/>
      <c r="GH176" s="10"/>
      <c r="GI176" s="10"/>
      <c r="GJ176" s="10"/>
      <c r="GK176" s="10"/>
    </row>
    <row r="177" customFormat="false" ht="12.75" hidden="false" customHeight="false" outlineLevel="0" collapsed="false">
      <c r="A177" s="7"/>
      <c r="B177" s="7"/>
      <c r="C177" s="8"/>
      <c r="D177" s="8"/>
      <c r="E177" s="8"/>
      <c r="F177" s="8"/>
      <c r="G177" s="9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10"/>
      <c r="CX177" s="10"/>
      <c r="CY177" s="10"/>
      <c r="CZ177" s="10"/>
      <c r="DA177" s="10"/>
      <c r="DB177" s="10"/>
      <c r="DC177" s="10"/>
      <c r="DD177" s="10"/>
      <c r="DE177" s="10"/>
      <c r="DF177" s="10"/>
      <c r="DG177" s="10"/>
      <c r="DH177" s="10"/>
      <c r="DI177" s="10"/>
      <c r="DJ177" s="10"/>
      <c r="DK177" s="10"/>
      <c r="DL177" s="10"/>
      <c r="DM177" s="10"/>
      <c r="DN177" s="10"/>
      <c r="DO177" s="10"/>
      <c r="DP177" s="10"/>
      <c r="DQ177" s="10"/>
      <c r="DR177" s="10"/>
      <c r="DS177" s="10"/>
      <c r="DT177" s="10"/>
      <c r="DU177" s="10"/>
      <c r="DV177" s="10"/>
      <c r="DW177" s="10"/>
      <c r="DX177" s="10"/>
      <c r="DY177" s="10"/>
      <c r="DZ177" s="10"/>
      <c r="EA177" s="10"/>
      <c r="EB177" s="10"/>
      <c r="EC177" s="10"/>
      <c r="ED177" s="10"/>
      <c r="EE177" s="10"/>
      <c r="EF177" s="10"/>
      <c r="EG177" s="10"/>
      <c r="EH177" s="10"/>
      <c r="EI177" s="10"/>
      <c r="EJ177" s="10"/>
      <c r="EK177" s="10"/>
      <c r="EL177" s="10"/>
      <c r="EM177" s="10"/>
      <c r="EN177" s="10"/>
      <c r="EO177" s="10"/>
      <c r="EP177" s="10"/>
      <c r="EQ177" s="10"/>
      <c r="ER177" s="10"/>
      <c r="ES177" s="10"/>
      <c r="ET177" s="10"/>
      <c r="EU177" s="10"/>
      <c r="EV177" s="10"/>
      <c r="EW177" s="10"/>
      <c r="EX177" s="10"/>
      <c r="EY177" s="10"/>
      <c r="EZ177" s="10"/>
      <c r="FA177" s="10"/>
      <c r="FB177" s="10"/>
      <c r="FC177" s="10"/>
      <c r="FD177" s="10"/>
      <c r="FE177" s="10"/>
      <c r="FF177" s="10"/>
      <c r="FG177" s="10"/>
      <c r="FH177" s="10"/>
      <c r="FI177" s="10"/>
      <c r="FJ177" s="10"/>
      <c r="FK177" s="10"/>
      <c r="FL177" s="10"/>
      <c r="FM177" s="10"/>
      <c r="FN177" s="10"/>
      <c r="FO177" s="10"/>
      <c r="FP177" s="10"/>
      <c r="FQ177" s="10"/>
      <c r="FR177" s="10"/>
      <c r="FS177" s="10"/>
      <c r="FT177" s="10"/>
      <c r="FU177" s="10"/>
      <c r="FV177" s="10"/>
      <c r="FW177" s="10"/>
      <c r="FX177" s="10"/>
      <c r="FY177" s="10"/>
      <c r="FZ177" s="10"/>
      <c r="GA177" s="10"/>
      <c r="GB177" s="10"/>
      <c r="GC177" s="10"/>
      <c r="GD177" s="10"/>
      <c r="GE177" s="10"/>
      <c r="GF177" s="10"/>
      <c r="GG177" s="10"/>
      <c r="GH177" s="10"/>
      <c r="GI177" s="10"/>
      <c r="GJ177" s="10"/>
      <c r="GK177" s="10"/>
    </row>
    <row r="178" customFormat="false" ht="12.75" hidden="false" customHeight="false" outlineLevel="0" collapsed="false">
      <c r="A178" s="7"/>
      <c r="B178" s="7"/>
      <c r="C178" s="8"/>
      <c r="D178" s="8"/>
      <c r="E178" s="8"/>
      <c r="F178" s="8"/>
      <c r="G178" s="9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W178" s="10"/>
      <c r="CX178" s="10"/>
      <c r="CY178" s="10"/>
      <c r="CZ178" s="10"/>
      <c r="DA178" s="10"/>
      <c r="DB178" s="10"/>
      <c r="DC178" s="10"/>
      <c r="DD178" s="10"/>
      <c r="DE178" s="10"/>
      <c r="DF178" s="10"/>
      <c r="DG178" s="10"/>
      <c r="DH178" s="10"/>
      <c r="DI178" s="10"/>
      <c r="DJ178" s="10"/>
      <c r="DK178" s="10"/>
      <c r="DL178" s="10"/>
      <c r="DM178" s="10"/>
      <c r="DN178" s="10"/>
      <c r="DO178" s="10"/>
      <c r="DP178" s="10"/>
      <c r="DQ178" s="10"/>
      <c r="DR178" s="10"/>
      <c r="DS178" s="10"/>
      <c r="DT178" s="10"/>
      <c r="DU178" s="10"/>
      <c r="DV178" s="10"/>
      <c r="DW178" s="10"/>
      <c r="DX178" s="10"/>
      <c r="DY178" s="10"/>
      <c r="DZ178" s="10"/>
      <c r="EA178" s="10"/>
      <c r="EB178" s="10"/>
      <c r="EC178" s="10"/>
      <c r="ED178" s="10"/>
      <c r="EE178" s="10"/>
      <c r="EF178" s="10"/>
      <c r="EG178" s="10"/>
      <c r="EH178" s="10"/>
      <c r="EI178" s="10"/>
      <c r="EJ178" s="10"/>
      <c r="EK178" s="10"/>
      <c r="EL178" s="10"/>
      <c r="EM178" s="10"/>
      <c r="EN178" s="10"/>
      <c r="EO178" s="10"/>
      <c r="EP178" s="10"/>
      <c r="EQ178" s="10"/>
      <c r="ER178" s="10"/>
      <c r="ES178" s="10"/>
      <c r="ET178" s="10"/>
      <c r="EU178" s="10"/>
      <c r="EV178" s="10"/>
      <c r="EW178" s="10"/>
      <c r="EX178" s="10"/>
      <c r="EY178" s="10"/>
      <c r="EZ178" s="10"/>
      <c r="FA178" s="10"/>
      <c r="FB178" s="10"/>
      <c r="FC178" s="10"/>
      <c r="FD178" s="10"/>
      <c r="FE178" s="10"/>
      <c r="FF178" s="10"/>
      <c r="FG178" s="10"/>
      <c r="FH178" s="10"/>
      <c r="FI178" s="10"/>
      <c r="FJ178" s="10"/>
      <c r="FK178" s="10"/>
      <c r="FL178" s="10"/>
      <c r="FM178" s="10"/>
      <c r="FN178" s="10"/>
      <c r="FO178" s="10"/>
      <c r="FP178" s="10"/>
      <c r="FQ178" s="10"/>
      <c r="FR178" s="10"/>
      <c r="FS178" s="10"/>
      <c r="FT178" s="10"/>
      <c r="FU178" s="10"/>
      <c r="FV178" s="10"/>
      <c r="FW178" s="10"/>
      <c r="FX178" s="10"/>
      <c r="FY178" s="10"/>
      <c r="FZ178" s="10"/>
      <c r="GA178" s="10"/>
      <c r="GB178" s="10"/>
      <c r="GC178" s="10"/>
      <c r="GD178" s="10"/>
      <c r="GE178" s="10"/>
      <c r="GF178" s="10"/>
      <c r="GG178" s="10"/>
      <c r="GH178" s="10"/>
      <c r="GI178" s="10"/>
      <c r="GJ178" s="10"/>
      <c r="GK178" s="10"/>
    </row>
    <row r="179" customFormat="false" ht="12.75" hidden="false" customHeight="false" outlineLevel="0" collapsed="false">
      <c r="A179" s="7"/>
      <c r="B179" s="7"/>
      <c r="C179" s="8"/>
      <c r="D179" s="8"/>
      <c r="E179" s="8"/>
      <c r="F179" s="8"/>
      <c r="G179" s="9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10"/>
      <c r="CX179" s="10"/>
      <c r="CY179" s="10"/>
      <c r="CZ179" s="10"/>
      <c r="DA179" s="10"/>
      <c r="DB179" s="10"/>
      <c r="DC179" s="10"/>
      <c r="DD179" s="10"/>
      <c r="DE179" s="10"/>
      <c r="DF179" s="10"/>
      <c r="DG179" s="10"/>
      <c r="DH179" s="10"/>
      <c r="DI179" s="10"/>
      <c r="DJ179" s="10"/>
      <c r="DK179" s="10"/>
      <c r="DL179" s="10"/>
      <c r="DM179" s="10"/>
      <c r="DN179" s="10"/>
      <c r="DO179" s="10"/>
      <c r="DP179" s="10"/>
      <c r="DQ179" s="10"/>
      <c r="DR179" s="10"/>
      <c r="DS179" s="10"/>
      <c r="DT179" s="10"/>
      <c r="DU179" s="10"/>
      <c r="DV179" s="10"/>
      <c r="DW179" s="10"/>
      <c r="DX179" s="10"/>
      <c r="DY179" s="10"/>
      <c r="DZ179" s="10"/>
      <c r="EA179" s="10"/>
      <c r="EB179" s="10"/>
      <c r="EC179" s="10"/>
      <c r="ED179" s="10"/>
      <c r="EE179" s="10"/>
      <c r="EF179" s="10"/>
      <c r="EG179" s="10"/>
      <c r="EH179" s="10"/>
      <c r="EI179" s="10"/>
      <c r="EJ179" s="10"/>
      <c r="EK179" s="10"/>
      <c r="EL179" s="10"/>
      <c r="EM179" s="10"/>
      <c r="EN179" s="10"/>
      <c r="EO179" s="10"/>
      <c r="EP179" s="10"/>
      <c r="EQ179" s="10"/>
      <c r="ER179" s="10"/>
      <c r="ES179" s="10"/>
      <c r="ET179" s="10"/>
      <c r="EU179" s="10"/>
      <c r="EV179" s="10"/>
      <c r="EW179" s="10"/>
      <c r="EX179" s="10"/>
      <c r="EY179" s="10"/>
      <c r="EZ179" s="10"/>
      <c r="FA179" s="10"/>
      <c r="FB179" s="10"/>
      <c r="FC179" s="10"/>
      <c r="FD179" s="10"/>
      <c r="FE179" s="10"/>
      <c r="FF179" s="10"/>
      <c r="FG179" s="10"/>
      <c r="FH179" s="10"/>
      <c r="FI179" s="10"/>
      <c r="FJ179" s="10"/>
      <c r="FK179" s="10"/>
      <c r="FL179" s="10"/>
      <c r="FM179" s="10"/>
      <c r="FN179" s="10"/>
      <c r="FO179" s="10"/>
      <c r="FP179" s="10"/>
      <c r="FQ179" s="10"/>
      <c r="FR179" s="10"/>
      <c r="FS179" s="10"/>
      <c r="FT179" s="10"/>
      <c r="FU179" s="10"/>
      <c r="FV179" s="10"/>
      <c r="FW179" s="10"/>
      <c r="FX179" s="10"/>
      <c r="FY179" s="10"/>
      <c r="FZ179" s="10"/>
      <c r="GA179" s="10"/>
      <c r="GB179" s="10"/>
      <c r="GC179" s="10"/>
      <c r="GD179" s="10"/>
      <c r="GE179" s="10"/>
      <c r="GF179" s="10"/>
      <c r="GG179" s="10"/>
      <c r="GH179" s="10"/>
      <c r="GI179" s="10"/>
      <c r="GJ179" s="10"/>
      <c r="GK179" s="10"/>
    </row>
    <row r="180" customFormat="false" ht="12.75" hidden="false" customHeight="false" outlineLevel="0" collapsed="false">
      <c r="A180" s="7"/>
      <c r="B180" s="7"/>
      <c r="C180" s="8"/>
      <c r="D180" s="8"/>
      <c r="E180" s="8"/>
      <c r="F180" s="8"/>
      <c r="G180" s="9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10"/>
      <c r="CX180" s="10"/>
      <c r="CY180" s="10"/>
      <c r="CZ180" s="10"/>
      <c r="DA180" s="10"/>
      <c r="DB180" s="10"/>
      <c r="DC180" s="10"/>
      <c r="DD180" s="10"/>
      <c r="DE180" s="10"/>
      <c r="DF180" s="10"/>
      <c r="DG180" s="10"/>
      <c r="DH180" s="10"/>
      <c r="DI180" s="10"/>
      <c r="DJ180" s="10"/>
      <c r="DK180" s="10"/>
      <c r="DL180" s="10"/>
      <c r="DM180" s="10"/>
      <c r="DN180" s="10"/>
      <c r="DO180" s="10"/>
      <c r="DP180" s="10"/>
      <c r="DQ180" s="10"/>
      <c r="DR180" s="10"/>
      <c r="DS180" s="10"/>
      <c r="DT180" s="10"/>
      <c r="DU180" s="10"/>
      <c r="DV180" s="10"/>
      <c r="DW180" s="10"/>
      <c r="DX180" s="10"/>
      <c r="DY180" s="10"/>
      <c r="DZ180" s="10"/>
      <c r="EA180" s="10"/>
      <c r="EB180" s="10"/>
      <c r="EC180" s="10"/>
      <c r="ED180" s="10"/>
      <c r="EE180" s="10"/>
      <c r="EF180" s="10"/>
      <c r="EG180" s="10"/>
      <c r="EH180" s="10"/>
      <c r="EI180" s="10"/>
      <c r="EJ180" s="10"/>
      <c r="EK180" s="10"/>
      <c r="EL180" s="10"/>
      <c r="EM180" s="10"/>
      <c r="EN180" s="10"/>
      <c r="EO180" s="10"/>
      <c r="EP180" s="10"/>
      <c r="EQ180" s="10"/>
      <c r="ER180" s="10"/>
      <c r="ES180" s="10"/>
      <c r="ET180" s="10"/>
      <c r="EU180" s="10"/>
      <c r="EV180" s="10"/>
      <c r="EW180" s="10"/>
      <c r="EX180" s="10"/>
      <c r="EY180" s="10"/>
      <c r="EZ180" s="10"/>
      <c r="FA180" s="10"/>
      <c r="FB180" s="10"/>
      <c r="FC180" s="10"/>
      <c r="FD180" s="10"/>
      <c r="FE180" s="10"/>
      <c r="FF180" s="10"/>
      <c r="FG180" s="10"/>
      <c r="FH180" s="10"/>
      <c r="FI180" s="10"/>
      <c r="FJ180" s="10"/>
      <c r="FK180" s="10"/>
      <c r="FL180" s="10"/>
      <c r="FM180" s="10"/>
      <c r="FN180" s="10"/>
      <c r="FO180" s="10"/>
      <c r="FP180" s="10"/>
      <c r="FQ180" s="10"/>
      <c r="FR180" s="10"/>
      <c r="FS180" s="10"/>
      <c r="FT180" s="10"/>
      <c r="FU180" s="10"/>
      <c r="FV180" s="10"/>
      <c r="FW180" s="10"/>
      <c r="FX180" s="10"/>
      <c r="FY180" s="10"/>
      <c r="FZ180" s="10"/>
      <c r="GA180" s="10"/>
      <c r="GB180" s="10"/>
      <c r="GC180" s="10"/>
      <c r="GD180" s="10"/>
      <c r="GE180" s="10"/>
      <c r="GF180" s="10"/>
      <c r="GG180" s="10"/>
      <c r="GH180" s="10"/>
      <c r="GI180" s="10"/>
      <c r="GJ180" s="10"/>
      <c r="GK180" s="10"/>
    </row>
    <row r="181" customFormat="false" ht="12.75" hidden="false" customHeight="false" outlineLevel="0" collapsed="false">
      <c r="A181" s="7"/>
      <c r="B181" s="7"/>
      <c r="C181" s="8"/>
      <c r="D181" s="8"/>
      <c r="E181" s="8"/>
      <c r="F181" s="8"/>
      <c r="G181" s="9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10"/>
      <c r="CX181" s="10"/>
      <c r="CY181" s="10"/>
      <c r="CZ181" s="10"/>
      <c r="DA181" s="10"/>
      <c r="DB181" s="10"/>
      <c r="DC181" s="10"/>
      <c r="DD181" s="10"/>
      <c r="DE181" s="10"/>
      <c r="DF181" s="10"/>
      <c r="DG181" s="10"/>
      <c r="DH181" s="10"/>
      <c r="DI181" s="10"/>
      <c r="DJ181" s="10"/>
      <c r="DK181" s="10"/>
      <c r="DL181" s="10"/>
      <c r="DM181" s="10"/>
      <c r="DN181" s="10"/>
      <c r="DO181" s="10"/>
      <c r="DP181" s="10"/>
      <c r="DQ181" s="10"/>
      <c r="DR181" s="10"/>
      <c r="DS181" s="10"/>
      <c r="DT181" s="10"/>
      <c r="DU181" s="10"/>
      <c r="DV181" s="10"/>
      <c r="DW181" s="10"/>
      <c r="DX181" s="10"/>
      <c r="DY181" s="10"/>
      <c r="DZ181" s="10"/>
      <c r="EA181" s="10"/>
      <c r="EB181" s="10"/>
      <c r="EC181" s="10"/>
      <c r="ED181" s="10"/>
      <c r="EE181" s="10"/>
      <c r="EF181" s="10"/>
      <c r="EG181" s="10"/>
      <c r="EH181" s="10"/>
      <c r="EI181" s="10"/>
      <c r="EJ181" s="10"/>
      <c r="EK181" s="10"/>
      <c r="EL181" s="10"/>
      <c r="EM181" s="10"/>
      <c r="EN181" s="10"/>
      <c r="EO181" s="10"/>
      <c r="EP181" s="10"/>
      <c r="EQ181" s="10"/>
      <c r="ER181" s="10"/>
      <c r="ES181" s="10"/>
      <c r="ET181" s="10"/>
      <c r="EU181" s="10"/>
      <c r="EV181" s="10"/>
      <c r="EW181" s="10"/>
      <c r="EX181" s="10"/>
      <c r="EY181" s="10"/>
      <c r="EZ181" s="10"/>
      <c r="FA181" s="10"/>
      <c r="FB181" s="10"/>
      <c r="FC181" s="10"/>
      <c r="FD181" s="10"/>
      <c r="FE181" s="10"/>
      <c r="FF181" s="10"/>
      <c r="FG181" s="10"/>
      <c r="FH181" s="10"/>
      <c r="FI181" s="10"/>
      <c r="FJ181" s="10"/>
      <c r="FK181" s="10"/>
      <c r="FL181" s="10"/>
      <c r="FM181" s="10"/>
      <c r="FN181" s="10"/>
      <c r="FO181" s="10"/>
      <c r="FP181" s="10"/>
      <c r="FQ181" s="10"/>
      <c r="FR181" s="10"/>
      <c r="FS181" s="10"/>
      <c r="FT181" s="10"/>
      <c r="FU181" s="10"/>
      <c r="FV181" s="10"/>
      <c r="FW181" s="10"/>
      <c r="FX181" s="10"/>
      <c r="FY181" s="10"/>
      <c r="FZ181" s="10"/>
      <c r="GA181" s="10"/>
      <c r="GB181" s="10"/>
      <c r="GC181" s="10"/>
      <c r="GD181" s="10"/>
      <c r="GE181" s="10"/>
      <c r="GF181" s="10"/>
      <c r="GG181" s="10"/>
      <c r="GH181" s="10"/>
      <c r="GI181" s="10"/>
      <c r="GJ181" s="10"/>
      <c r="GK181" s="10"/>
    </row>
    <row r="182" customFormat="false" ht="12.75" hidden="false" customHeight="false" outlineLevel="0" collapsed="false">
      <c r="A182" s="7"/>
      <c r="B182" s="7"/>
      <c r="C182" s="8"/>
      <c r="D182" s="8"/>
      <c r="E182" s="8"/>
      <c r="F182" s="8"/>
      <c r="G182" s="9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10"/>
      <c r="CX182" s="10"/>
      <c r="CY182" s="10"/>
      <c r="CZ182" s="10"/>
      <c r="DA182" s="10"/>
      <c r="DB182" s="10"/>
      <c r="DC182" s="10"/>
      <c r="DD182" s="10"/>
      <c r="DE182" s="10"/>
      <c r="DF182" s="10"/>
      <c r="DG182" s="10"/>
      <c r="DH182" s="10"/>
      <c r="DI182" s="10"/>
      <c r="DJ182" s="10"/>
      <c r="DK182" s="10"/>
      <c r="DL182" s="10"/>
      <c r="DM182" s="10"/>
      <c r="DN182" s="10"/>
      <c r="DO182" s="10"/>
      <c r="DP182" s="10"/>
      <c r="DQ182" s="10"/>
      <c r="DR182" s="10"/>
      <c r="DS182" s="10"/>
      <c r="DT182" s="10"/>
      <c r="DU182" s="10"/>
      <c r="DV182" s="10"/>
      <c r="DW182" s="10"/>
      <c r="DX182" s="10"/>
      <c r="DY182" s="10"/>
      <c r="DZ182" s="10"/>
      <c r="EA182" s="10"/>
      <c r="EB182" s="10"/>
      <c r="EC182" s="10"/>
      <c r="ED182" s="10"/>
      <c r="EE182" s="10"/>
      <c r="EF182" s="10"/>
      <c r="EG182" s="10"/>
      <c r="EH182" s="10"/>
      <c r="EI182" s="10"/>
      <c r="EJ182" s="10"/>
      <c r="EK182" s="10"/>
      <c r="EL182" s="10"/>
      <c r="EM182" s="10"/>
      <c r="EN182" s="10"/>
      <c r="EO182" s="10"/>
      <c r="EP182" s="10"/>
      <c r="EQ182" s="10"/>
      <c r="ER182" s="10"/>
      <c r="ES182" s="10"/>
      <c r="ET182" s="10"/>
      <c r="EU182" s="10"/>
      <c r="EV182" s="10"/>
      <c r="EW182" s="10"/>
      <c r="EX182" s="10"/>
      <c r="EY182" s="10"/>
      <c r="EZ182" s="10"/>
      <c r="FA182" s="10"/>
      <c r="FB182" s="10"/>
      <c r="FC182" s="10"/>
      <c r="FD182" s="10"/>
      <c r="FE182" s="10"/>
      <c r="FF182" s="10"/>
      <c r="FG182" s="10"/>
      <c r="FH182" s="10"/>
      <c r="FI182" s="10"/>
      <c r="FJ182" s="10"/>
      <c r="FK182" s="10"/>
      <c r="FL182" s="10"/>
      <c r="FM182" s="10"/>
      <c r="FN182" s="10"/>
      <c r="FO182" s="10"/>
      <c r="FP182" s="10"/>
      <c r="FQ182" s="10"/>
      <c r="FR182" s="10"/>
      <c r="FS182" s="10"/>
      <c r="FT182" s="10"/>
      <c r="FU182" s="10"/>
      <c r="FV182" s="10"/>
      <c r="FW182" s="10"/>
      <c r="FX182" s="10"/>
      <c r="FY182" s="10"/>
      <c r="FZ182" s="10"/>
      <c r="GA182" s="10"/>
      <c r="GB182" s="10"/>
      <c r="GC182" s="10"/>
      <c r="GD182" s="10"/>
      <c r="GE182" s="10"/>
      <c r="GF182" s="10"/>
      <c r="GG182" s="10"/>
      <c r="GH182" s="10"/>
      <c r="GI182" s="10"/>
      <c r="GJ182" s="10"/>
      <c r="GK182" s="10"/>
    </row>
    <row r="183" customFormat="false" ht="12.75" hidden="false" customHeight="false" outlineLevel="0" collapsed="false">
      <c r="A183" s="7"/>
      <c r="B183" s="7"/>
      <c r="C183" s="8"/>
      <c r="D183" s="8"/>
      <c r="E183" s="8"/>
      <c r="F183" s="8"/>
      <c r="G183" s="9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  <c r="CW183" s="10"/>
      <c r="CX183" s="10"/>
      <c r="CY183" s="10"/>
      <c r="CZ183" s="10"/>
      <c r="DA183" s="10"/>
      <c r="DB183" s="10"/>
      <c r="DC183" s="10"/>
      <c r="DD183" s="10"/>
      <c r="DE183" s="10"/>
      <c r="DF183" s="10"/>
      <c r="DG183" s="10"/>
      <c r="DH183" s="10"/>
      <c r="DI183" s="10"/>
      <c r="DJ183" s="10"/>
      <c r="DK183" s="10"/>
      <c r="DL183" s="10"/>
      <c r="DM183" s="10"/>
      <c r="DN183" s="10"/>
      <c r="DO183" s="10"/>
      <c r="DP183" s="10"/>
      <c r="DQ183" s="10"/>
      <c r="DR183" s="10"/>
      <c r="DS183" s="10"/>
      <c r="DT183" s="10"/>
      <c r="DU183" s="10"/>
      <c r="DV183" s="10"/>
      <c r="DW183" s="10"/>
      <c r="DX183" s="10"/>
      <c r="DY183" s="10"/>
      <c r="DZ183" s="10"/>
      <c r="EA183" s="10"/>
      <c r="EB183" s="10"/>
      <c r="EC183" s="10"/>
      <c r="ED183" s="10"/>
      <c r="EE183" s="10"/>
      <c r="EF183" s="10"/>
      <c r="EG183" s="10"/>
      <c r="EH183" s="10"/>
      <c r="EI183" s="10"/>
      <c r="EJ183" s="10"/>
      <c r="EK183" s="10"/>
      <c r="EL183" s="10"/>
      <c r="EM183" s="10"/>
      <c r="EN183" s="10"/>
      <c r="EO183" s="10"/>
      <c r="EP183" s="10"/>
      <c r="EQ183" s="10"/>
      <c r="ER183" s="10"/>
      <c r="ES183" s="10"/>
      <c r="ET183" s="10"/>
      <c r="EU183" s="10"/>
      <c r="EV183" s="10"/>
      <c r="EW183" s="10"/>
      <c r="EX183" s="10"/>
      <c r="EY183" s="10"/>
      <c r="EZ183" s="10"/>
      <c r="FA183" s="10"/>
      <c r="FB183" s="10"/>
      <c r="FC183" s="10"/>
      <c r="FD183" s="10"/>
      <c r="FE183" s="10"/>
      <c r="FF183" s="10"/>
      <c r="FG183" s="10"/>
      <c r="FH183" s="10"/>
      <c r="FI183" s="10"/>
      <c r="FJ183" s="10"/>
      <c r="FK183" s="10"/>
      <c r="FL183" s="10"/>
      <c r="FM183" s="10"/>
      <c r="FN183" s="10"/>
      <c r="FO183" s="10"/>
      <c r="FP183" s="10"/>
      <c r="FQ183" s="10"/>
      <c r="FR183" s="10"/>
      <c r="FS183" s="10"/>
      <c r="FT183" s="10"/>
      <c r="FU183" s="10"/>
      <c r="FV183" s="10"/>
      <c r="FW183" s="10"/>
      <c r="FX183" s="10"/>
      <c r="FY183" s="10"/>
      <c r="FZ183" s="10"/>
      <c r="GA183" s="10"/>
      <c r="GB183" s="10"/>
      <c r="GC183" s="10"/>
      <c r="GD183" s="10"/>
      <c r="GE183" s="10"/>
      <c r="GF183" s="10"/>
      <c r="GG183" s="10"/>
      <c r="GH183" s="10"/>
      <c r="GI183" s="10"/>
      <c r="GJ183" s="10"/>
      <c r="GK183" s="10"/>
    </row>
    <row r="184" customFormat="false" ht="12.75" hidden="false" customHeight="false" outlineLevel="0" collapsed="false">
      <c r="A184" s="7"/>
      <c r="B184" s="7"/>
      <c r="C184" s="8"/>
      <c r="D184" s="8"/>
      <c r="E184" s="8"/>
      <c r="F184" s="8"/>
      <c r="G184" s="9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  <c r="EM184" s="10"/>
      <c r="EN184" s="10"/>
      <c r="EO184" s="10"/>
      <c r="EP184" s="10"/>
      <c r="EQ184" s="10"/>
      <c r="ER184" s="10"/>
      <c r="ES184" s="10"/>
      <c r="ET184" s="10"/>
      <c r="EU184" s="10"/>
      <c r="EV184" s="10"/>
      <c r="EW184" s="10"/>
      <c r="EX184" s="10"/>
      <c r="EY184" s="10"/>
      <c r="EZ184" s="10"/>
      <c r="FA184" s="10"/>
      <c r="FB184" s="10"/>
      <c r="FC184" s="10"/>
      <c r="FD184" s="10"/>
      <c r="FE184" s="10"/>
      <c r="FF184" s="10"/>
      <c r="FG184" s="10"/>
      <c r="FH184" s="10"/>
      <c r="FI184" s="10"/>
      <c r="FJ184" s="10"/>
      <c r="FK184" s="10"/>
      <c r="FL184" s="10"/>
      <c r="FM184" s="10"/>
      <c r="FN184" s="10"/>
      <c r="FO184" s="10"/>
      <c r="FP184" s="10"/>
      <c r="FQ184" s="10"/>
      <c r="FR184" s="10"/>
      <c r="FS184" s="10"/>
      <c r="FT184" s="10"/>
      <c r="FU184" s="10"/>
      <c r="FV184" s="10"/>
      <c r="FW184" s="10"/>
      <c r="FX184" s="10"/>
      <c r="FY184" s="10"/>
      <c r="FZ184" s="10"/>
      <c r="GA184" s="10"/>
      <c r="GB184" s="10"/>
      <c r="GC184" s="10"/>
      <c r="GD184" s="10"/>
      <c r="GE184" s="10"/>
      <c r="GF184" s="10"/>
      <c r="GG184" s="10"/>
      <c r="GH184" s="10"/>
      <c r="GI184" s="10"/>
      <c r="GJ184" s="10"/>
      <c r="GK184" s="10"/>
    </row>
    <row r="185" customFormat="false" ht="12.75" hidden="false" customHeight="false" outlineLevel="0" collapsed="false">
      <c r="A185" s="7"/>
      <c r="B185" s="7"/>
      <c r="C185" s="8"/>
      <c r="D185" s="8"/>
      <c r="E185" s="8"/>
      <c r="F185" s="8"/>
      <c r="G185" s="9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10"/>
      <c r="CX185" s="10"/>
      <c r="CY185" s="10"/>
      <c r="CZ185" s="10"/>
      <c r="DA185" s="10"/>
      <c r="DB185" s="10"/>
      <c r="DC185" s="10"/>
      <c r="DD185" s="10"/>
      <c r="DE185" s="10"/>
      <c r="DF185" s="10"/>
      <c r="DG185" s="10"/>
      <c r="DH185" s="10"/>
      <c r="DI185" s="10"/>
      <c r="DJ185" s="10"/>
      <c r="DK185" s="10"/>
      <c r="DL185" s="10"/>
      <c r="DM185" s="10"/>
      <c r="DN185" s="10"/>
      <c r="DO185" s="10"/>
      <c r="DP185" s="10"/>
      <c r="DQ185" s="10"/>
      <c r="DR185" s="10"/>
      <c r="DS185" s="10"/>
      <c r="DT185" s="10"/>
      <c r="DU185" s="10"/>
      <c r="DV185" s="10"/>
      <c r="DW185" s="10"/>
      <c r="DX185" s="10"/>
      <c r="DY185" s="10"/>
      <c r="DZ185" s="10"/>
      <c r="EA185" s="10"/>
      <c r="EB185" s="10"/>
      <c r="EC185" s="10"/>
      <c r="ED185" s="10"/>
      <c r="EE185" s="10"/>
      <c r="EF185" s="10"/>
      <c r="EG185" s="10"/>
      <c r="EH185" s="10"/>
      <c r="EI185" s="10"/>
      <c r="EJ185" s="10"/>
      <c r="EK185" s="10"/>
      <c r="EL185" s="10"/>
      <c r="EM185" s="10"/>
      <c r="EN185" s="10"/>
      <c r="EO185" s="10"/>
      <c r="EP185" s="10"/>
      <c r="EQ185" s="10"/>
      <c r="ER185" s="10"/>
      <c r="ES185" s="10"/>
      <c r="ET185" s="10"/>
      <c r="EU185" s="10"/>
      <c r="EV185" s="10"/>
      <c r="EW185" s="10"/>
      <c r="EX185" s="10"/>
      <c r="EY185" s="10"/>
      <c r="EZ185" s="10"/>
      <c r="FA185" s="10"/>
      <c r="FB185" s="10"/>
      <c r="FC185" s="10"/>
      <c r="FD185" s="10"/>
      <c r="FE185" s="10"/>
      <c r="FF185" s="10"/>
      <c r="FG185" s="10"/>
      <c r="FH185" s="10"/>
      <c r="FI185" s="10"/>
      <c r="FJ185" s="10"/>
      <c r="FK185" s="10"/>
      <c r="FL185" s="10"/>
      <c r="FM185" s="10"/>
      <c r="FN185" s="10"/>
      <c r="FO185" s="10"/>
      <c r="FP185" s="10"/>
      <c r="FQ185" s="10"/>
      <c r="FR185" s="10"/>
      <c r="FS185" s="10"/>
      <c r="FT185" s="10"/>
      <c r="FU185" s="10"/>
      <c r="FV185" s="10"/>
      <c r="FW185" s="10"/>
      <c r="FX185" s="10"/>
      <c r="FY185" s="10"/>
      <c r="FZ185" s="10"/>
      <c r="GA185" s="10"/>
      <c r="GB185" s="10"/>
      <c r="GC185" s="10"/>
      <c r="GD185" s="10"/>
      <c r="GE185" s="10"/>
      <c r="GF185" s="10"/>
      <c r="GG185" s="10"/>
      <c r="GH185" s="10"/>
      <c r="GI185" s="10"/>
      <c r="GJ185" s="10"/>
      <c r="GK185" s="10"/>
    </row>
    <row r="186" customFormat="false" ht="12.75" hidden="false" customHeight="false" outlineLevel="0" collapsed="false">
      <c r="A186" s="7"/>
      <c r="B186" s="7"/>
      <c r="C186" s="8"/>
      <c r="D186" s="8"/>
      <c r="E186" s="8"/>
      <c r="F186" s="8"/>
      <c r="G186" s="9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10"/>
      <c r="CX186" s="10"/>
      <c r="CY186" s="10"/>
      <c r="CZ186" s="10"/>
      <c r="DA186" s="10"/>
      <c r="DB186" s="10"/>
      <c r="DC186" s="10"/>
      <c r="DD186" s="10"/>
      <c r="DE186" s="10"/>
      <c r="DF186" s="10"/>
      <c r="DG186" s="10"/>
      <c r="DH186" s="10"/>
      <c r="DI186" s="10"/>
      <c r="DJ186" s="10"/>
      <c r="DK186" s="10"/>
      <c r="DL186" s="10"/>
      <c r="DM186" s="10"/>
      <c r="DN186" s="10"/>
      <c r="DO186" s="10"/>
      <c r="DP186" s="10"/>
      <c r="DQ186" s="10"/>
      <c r="DR186" s="10"/>
      <c r="DS186" s="10"/>
      <c r="DT186" s="10"/>
      <c r="DU186" s="10"/>
      <c r="DV186" s="10"/>
      <c r="DW186" s="10"/>
      <c r="DX186" s="10"/>
      <c r="DY186" s="10"/>
      <c r="DZ186" s="10"/>
      <c r="EA186" s="10"/>
      <c r="EB186" s="10"/>
      <c r="EC186" s="10"/>
      <c r="ED186" s="10"/>
      <c r="EE186" s="10"/>
      <c r="EF186" s="10"/>
      <c r="EG186" s="10"/>
      <c r="EH186" s="10"/>
      <c r="EI186" s="10"/>
      <c r="EJ186" s="10"/>
      <c r="EK186" s="10"/>
      <c r="EL186" s="10"/>
      <c r="EM186" s="10"/>
      <c r="EN186" s="10"/>
      <c r="EO186" s="10"/>
      <c r="EP186" s="10"/>
      <c r="EQ186" s="10"/>
      <c r="ER186" s="10"/>
      <c r="ES186" s="10"/>
      <c r="ET186" s="10"/>
      <c r="EU186" s="10"/>
      <c r="EV186" s="10"/>
      <c r="EW186" s="10"/>
      <c r="EX186" s="10"/>
      <c r="EY186" s="10"/>
      <c r="EZ186" s="10"/>
      <c r="FA186" s="10"/>
      <c r="FB186" s="10"/>
      <c r="FC186" s="10"/>
      <c r="FD186" s="10"/>
      <c r="FE186" s="10"/>
      <c r="FF186" s="10"/>
      <c r="FG186" s="10"/>
      <c r="FH186" s="10"/>
      <c r="FI186" s="10"/>
      <c r="FJ186" s="10"/>
      <c r="FK186" s="10"/>
      <c r="FL186" s="10"/>
      <c r="FM186" s="10"/>
      <c r="FN186" s="10"/>
      <c r="FO186" s="10"/>
      <c r="FP186" s="10"/>
      <c r="FQ186" s="10"/>
      <c r="FR186" s="10"/>
      <c r="FS186" s="10"/>
      <c r="FT186" s="10"/>
      <c r="FU186" s="10"/>
      <c r="FV186" s="10"/>
      <c r="FW186" s="10"/>
      <c r="FX186" s="10"/>
      <c r="FY186" s="10"/>
      <c r="FZ186" s="10"/>
      <c r="GA186" s="10"/>
      <c r="GB186" s="10"/>
      <c r="GC186" s="10"/>
      <c r="GD186" s="10"/>
      <c r="GE186" s="10"/>
      <c r="GF186" s="10"/>
      <c r="GG186" s="10"/>
      <c r="GH186" s="10"/>
      <c r="GI186" s="10"/>
      <c r="GJ186" s="10"/>
      <c r="GK186" s="10"/>
    </row>
    <row r="187" customFormat="false" ht="12.75" hidden="false" customHeight="false" outlineLevel="0" collapsed="false">
      <c r="A187" s="7"/>
      <c r="B187" s="7"/>
      <c r="C187" s="8"/>
      <c r="D187" s="8"/>
      <c r="E187" s="8"/>
      <c r="F187" s="8"/>
      <c r="G187" s="9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10"/>
      <c r="CX187" s="10"/>
      <c r="CY187" s="10"/>
      <c r="CZ187" s="10"/>
      <c r="DA187" s="10"/>
      <c r="DB187" s="10"/>
      <c r="DC187" s="10"/>
      <c r="DD187" s="10"/>
      <c r="DE187" s="10"/>
      <c r="DF187" s="10"/>
      <c r="DG187" s="10"/>
      <c r="DH187" s="10"/>
      <c r="DI187" s="10"/>
      <c r="DJ187" s="10"/>
      <c r="DK187" s="10"/>
      <c r="DL187" s="10"/>
      <c r="DM187" s="10"/>
      <c r="DN187" s="10"/>
      <c r="DO187" s="10"/>
      <c r="DP187" s="10"/>
      <c r="DQ187" s="10"/>
      <c r="DR187" s="10"/>
      <c r="DS187" s="10"/>
      <c r="DT187" s="10"/>
      <c r="DU187" s="10"/>
      <c r="DV187" s="10"/>
      <c r="DW187" s="10"/>
      <c r="DX187" s="10"/>
      <c r="DY187" s="10"/>
      <c r="DZ187" s="10"/>
      <c r="EA187" s="10"/>
      <c r="EB187" s="10"/>
      <c r="EC187" s="10"/>
      <c r="ED187" s="10"/>
      <c r="EE187" s="10"/>
      <c r="EF187" s="10"/>
      <c r="EG187" s="10"/>
      <c r="EH187" s="10"/>
      <c r="EI187" s="10"/>
      <c r="EJ187" s="10"/>
      <c r="EK187" s="10"/>
      <c r="EL187" s="10"/>
      <c r="EM187" s="10"/>
      <c r="EN187" s="10"/>
      <c r="EO187" s="10"/>
      <c r="EP187" s="10"/>
      <c r="EQ187" s="10"/>
      <c r="ER187" s="10"/>
      <c r="ES187" s="10"/>
      <c r="ET187" s="10"/>
      <c r="EU187" s="10"/>
      <c r="EV187" s="10"/>
      <c r="EW187" s="10"/>
      <c r="EX187" s="10"/>
      <c r="EY187" s="10"/>
      <c r="EZ187" s="10"/>
      <c r="FA187" s="10"/>
      <c r="FB187" s="10"/>
      <c r="FC187" s="10"/>
      <c r="FD187" s="10"/>
      <c r="FE187" s="10"/>
      <c r="FF187" s="10"/>
      <c r="FG187" s="10"/>
      <c r="FH187" s="10"/>
      <c r="FI187" s="10"/>
      <c r="FJ187" s="10"/>
      <c r="FK187" s="10"/>
      <c r="FL187" s="10"/>
      <c r="FM187" s="10"/>
      <c r="FN187" s="10"/>
      <c r="FO187" s="10"/>
      <c r="FP187" s="10"/>
      <c r="FQ187" s="10"/>
      <c r="FR187" s="10"/>
      <c r="FS187" s="10"/>
      <c r="FT187" s="10"/>
      <c r="FU187" s="10"/>
      <c r="FV187" s="10"/>
      <c r="FW187" s="10"/>
      <c r="FX187" s="10"/>
      <c r="FY187" s="10"/>
      <c r="FZ187" s="10"/>
      <c r="GA187" s="10"/>
      <c r="GB187" s="10"/>
      <c r="GC187" s="10"/>
      <c r="GD187" s="10"/>
      <c r="GE187" s="10"/>
      <c r="GF187" s="10"/>
      <c r="GG187" s="10"/>
      <c r="GH187" s="10"/>
      <c r="GI187" s="10"/>
      <c r="GJ187" s="10"/>
      <c r="GK187" s="10"/>
    </row>
    <row r="188" customFormat="false" ht="12.75" hidden="false" customHeight="false" outlineLevel="0" collapsed="false">
      <c r="A188" s="7"/>
      <c r="B188" s="7"/>
      <c r="C188" s="8"/>
      <c r="D188" s="8"/>
      <c r="E188" s="8"/>
      <c r="F188" s="8"/>
      <c r="G188" s="9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10"/>
      <c r="CX188" s="10"/>
      <c r="CY188" s="10"/>
      <c r="CZ188" s="10"/>
      <c r="DA188" s="10"/>
      <c r="DB188" s="10"/>
      <c r="DC188" s="10"/>
      <c r="DD188" s="10"/>
      <c r="DE188" s="10"/>
      <c r="DF188" s="10"/>
      <c r="DG188" s="10"/>
      <c r="DH188" s="10"/>
      <c r="DI188" s="10"/>
      <c r="DJ188" s="10"/>
      <c r="DK188" s="10"/>
      <c r="DL188" s="10"/>
      <c r="DM188" s="10"/>
      <c r="DN188" s="10"/>
      <c r="DO188" s="10"/>
      <c r="DP188" s="10"/>
      <c r="DQ188" s="10"/>
      <c r="DR188" s="10"/>
      <c r="DS188" s="10"/>
      <c r="DT188" s="10"/>
      <c r="DU188" s="10"/>
      <c r="DV188" s="10"/>
      <c r="DW188" s="10"/>
      <c r="DX188" s="10"/>
      <c r="DY188" s="10"/>
      <c r="DZ188" s="10"/>
      <c r="EA188" s="10"/>
      <c r="EB188" s="10"/>
      <c r="EC188" s="10"/>
      <c r="ED188" s="10"/>
      <c r="EE188" s="10"/>
      <c r="EF188" s="10"/>
      <c r="EG188" s="10"/>
      <c r="EH188" s="10"/>
      <c r="EI188" s="10"/>
      <c r="EJ188" s="10"/>
      <c r="EK188" s="10"/>
      <c r="EL188" s="10"/>
      <c r="EM188" s="10"/>
      <c r="EN188" s="10"/>
      <c r="EO188" s="10"/>
      <c r="EP188" s="10"/>
      <c r="EQ188" s="10"/>
      <c r="ER188" s="10"/>
      <c r="ES188" s="10"/>
      <c r="ET188" s="10"/>
      <c r="EU188" s="10"/>
      <c r="EV188" s="10"/>
      <c r="EW188" s="10"/>
      <c r="EX188" s="10"/>
      <c r="EY188" s="10"/>
      <c r="EZ188" s="10"/>
      <c r="FA188" s="10"/>
      <c r="FB188" s="10"/>
      <c r="FC188" s="10"/>
      <c r="FD188" s="10"/>
      <c r="FE188" s="10"/>
      <c r="FF188" s="10"/>
      <c r="FG188" s="10"/>
      <c r="FH188" s="10"/>
      <c r="FI188" s="10"/>
      <c r="FJ188" s="10"/>
      <c r="FK188" s="10"/>
      <c r="FL188" s="10"/>
      <c r="FM188" s="10"/>
      <c r="FN188" s="10"/>
      <c r="FO188" s="10"/>
      <c r="FP188" s="10"/>
      <c r="FQ188" s="10"/>
      <c r="FR188" s="10"/>
      <c r="FS188" s="10"/>
      <c r="FT188" s="10"/>
      <c r="FU188" s="10"/>
      <c r="FV188" s="10"/>
      <c r="FW188" s="10"/>
      <c r="FX188" s="10"/>
      <c r="FY188" s="10"/>
      <c r="FZ188" s="10"/>
      <c r="GA188" s="10"/>
      <c r="GB188" s="10"/>
      <c r="GC188" s="10"/>
      <c r="GD188" s="10"/>
      <c r="GE188" s="10"/>
      <c r="GF188" s="10"/>
      <c r="GG188" s="10"/>
      <c r="GH188" s="10"/>
      <c r="GI188" s="10"/>
      <c r="GJ188" s="10"/>
      <c r="GK188" s="10"/>
    </row>
    <row r="189" customFormat="false" ht="12.75" hidden="false" customHeight="false" outlineLevel="0" collapsed="false">
      <c r="A189" s="7"/>
      <c r="B189" s="7"/>
      <c r="C189" s="8"/>
      <c r="D189" s="8"/>
      <c r="E189" s="8"/>
      <c r="F189" s="8"/>
      <c r="G189" s="9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  <c r="DN189" s="10"/>
      <c r="DO189" s="10"/>
      <c r="DP189" s="10"/>
      <c r="DQ189" s="10"/>
      <c r="DR189" s="10"/>
      <c r="DS189" s="10"/>
      <c r="DT189" s="10"/>
      <c r="DU189" s="10"/>
      <c r="DV189" s="10"/>
      <c r="DW189" s="10"/>
      <c r="DX189" s="10"/>
      <c r="DY189" s="10"/>
      <c r="DZ189" s="10"/>
      <c r="EA189" s="10"/>
      <c r="EB189" s="10"/>
      <c r="EC189" s="10"/>
      <c r="ED189" s="10"/>
      <c r="EE189" s="10"/>
      <c r="EF189" s="10"/>
      <c r="EG189" s="10"/>
      <c r="EH189" s="10"/>
      <c r="EI189" s="10"/>
      <c r="EJ189" s="10"/>
      <c r="EK189" s="10"/>
      <c r="EL189" s="10"/>
      <c r="EM189" s="10"/>
      <c r="EN189" s="10"/>
      <c r="EO189" s="10"/>
      <c r="EP189" s="10"/>
      <c r="EQ189" s="10"/>
      <c r="ER189" s="10"/>
      <c r="ES189" s="10"/>
      <c r="ET189" s="10"/>
      <c r="EU189" s="10"/>
      <c r="EV189" s="10"/>
      <c r="EW189" s="10"/>
      <c r="EX189" s="10"/>
      <c r="EY189" s="10"/>
      <c r="EZ189" s="10"/>
      <c r="FA189" s="10"/>
      <c r="FB189" s="10"/>
      <c r="FC189" s="10"/>
      <c r="FD189" s="10"/>
      <c r="FE189" s="10"/>
      <c r="FF189" s="10"/>
      <c r="FG189" s="10"/>
      <c r="FH189" s="10"/>
      <c r="FI189" s="10"/>
      <c r="FJ189" s="10"/>
      <c r="FK189" s="10"/>
      <c r="FL189" s="10"/>
      <c r="FM189" s="10"/>
      <c r="FN189" s="10"/>
      <c r="FO189" s="10"/>
      <c r="FP189" s="10"/>
      <c r="FQ189" s="10"/>
      <c r="FR189" s="10"/>
      <c r="FS189" s="10"/>
      <c r="FT189" s="10"/>
      <c r="FU189" s="10"/>
      <c r="FV189" s="10"/>
      <c r="FW189" s="10"/>
      <c r="FX189" s="10"/>
      <c r="FY189" s="10"/>
      <c r="FZ189" s="10"/>
      <c r="GA189" s="10"/>
      <c r="GB189" s="10"/>
      <c r="GC189" s="10"/>
      <c r="GD189" s="10"/>
      <c r="GE189" s="10"/>
      <c r="GF189" s="10"/>
      <c r="GG189" s="10"/>
      <c r="GH189" s="10"/>
      <c r="GI189" s="10"/>
      <c r="GJ189" s="10"/>
      <c r="GK189" s="10"/>
    </row>
    <row r="190" customFormat="false" ht="12.75" hidden="false" customHeight="false" outlineLevel="0" collapsed="false">
      <c r="A190" s="7"/>
      <c r="B190" s="7"/>
      <c r="C190" s="8"/>
      <c r="D190" s="8"/>
      <c r="E190" s="8"/>
      <c r="F190" s="8"/>
      <c r="G190" s="9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10"/>
      <c r="CX190" s="10"/>
      <c r="CY190" s="10"/>
      <c r="CZ190" s="10"/>
      <c r="DA190" s="10"/>
      <c r="DB190" s="10"/>
      <c r="DC190" s="10"/>
      <c r="DD190" s="10"/>
      <c r="DE190" s="10"/>
      <c r="DF190" s="10"/>
      <c r="DG190" s="10"/>
      <c r="DH190" s="10"/>
      <c r="DI190" s="10"/>
      <c r="DJ190" s="10"/>
      <c r="DK190" s="10"/>
      <c r="DL190" s="10"/>
      <c r="DM190" s="10"/>
      <c r="DN190" s="10"/>
      <c r="DO190" s="10"/>
      <c r="DP190" s="10"/>
      <c r="DQ190" s="10"/>
      <c r="DR190" s="10"/>
      <c r="DS190" s="10"/>
      <c r="DT190" s="10"/>
      <c r="DU190" s="10"/>
      <c r="DV190" s="10"/>
      <c r="DW190" s="10"/>
      <c r="DX190" s="10"/>
      <c r="DY190" s="10"/>
      <c r="DZ190" s="10"/>
      <c r="EA190" s="10"/>
      <c r="EB190" s="10"/>
      <c r="EC190" s="10"/>
      <c r="ED190" s="10"/>
      <c r="EE190" s="10"/>
      <c r="EF190" s="10"/>
      <c r="EG190" s="10"/>
      <c r="EH190" s="10"/>
      <c r="EI190" s="10"/>
      <c r="EJ190" s="10"/>
      <c r="EK190" s="10"/>
      <c r="EL190" s="10"/>
      <c r="EM190" s="10"/>
      <c r="EN190" s="10"/>
      <c r="EO190" s="10"/>
      <c r="EP190" s="10"/>
      <c r="EQ190" s="10"/>
      <c r="ER190" s="10"/>
      <c r="ES190" s="10"/>
      <c r="ET190" s="10"/>
      <c r="EU190" s="10"/>
      <c r="EV190" s="10"/>
      <c r="EW190" s="10"/>
      <c r="EX190" s="10"/>
      <c r="EY190" s="10"/>
      <c r="EZ190" s="10"/>
      <c r="FA190" s="10"/>
      <c r="FB190" s="10"/>
      <c r="FC190" s="10"/>
      <c r="FD190" s="10"/>
      <c r="FE190" s="10"/>
      <c r="FF190" s="10"/>
      <c r="FG190" s="10"/>
      <c r="FH190" s="10"/>
      <c r="FI190" s="10"/>
      <c r="FJ190" s="10"/>
      <c r="FK190" s="10"/>
      <c r="FL190" s="10"/>
      <c r="FM190" s="10"/>
      <c r="FN190" s="10"/>
      <c r="FO190" s="10"/>
      <c r="FP190" s="10"/>
      <c r="FQ190" s="10"/>
      <c r="FR190" s="10"/>
      <c r="FS190" s="10"/>
      <c r="FT190" s="10"/>
      <c r="FU190" s="10"/>
      <c r="FV190" s="10"/>
      <c r="FW190" s="10"/>
      <c r="FX190" s="10"/>
      <c r="FY190" s="10"/>
      <c r="FZ190" s="10"/>
      <c r="GA190" s="10"/>
      <c r="GB190" s="10"/>
      <c r="GC190" s="10"/>
      <c r="GD190" s="10"/>
      <c r="GE190" s="10"/>
      <c r="GF190" s="10"/>
      <c r="GG190" s="10"/>
      <c r="GH190" s="10"/>
      <c r="GI190" s="10"/>
      <c r="GJ190" s="10"/>
      <c r="GK190" s="10"/>
    </row>
    <row r="191" customFormat="false" ht="12.75" hidden="false" customHeight="false" outlineLevel="0" collapsed="false">
      <c r="A191" s="7"/>
      <c r="B191" s="7"/>
      <c r="C191" s="8"/>
      <c r="D191" s="8"/>
      <c r="E191" s="8"/>
      <c r="F191" s="8"/>
      <c r="G191" s="9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10"/>
      <c r="CX191" s="10"/>
      <c r="CY191" s="10"/>
      <c r="CZ191" s="10"/>
      <c r="DA191" s="10"/>
      <c r="DB191" s="10"/>
      <c r="DC191" s="10"/>
      <c r="DD191" s="10"/>
      <c r="DE191" s="10"/>
      <c r="DF191" s="10"/>
      <c r="DG191" s="10"/>
      <c r="DH191" s="10"/>
      <c r="DI191" s="10"/>
      <c r="DJ191" s="10"/>
      <c r="DK191" s="10"/>
      <c r="DL191" s="10"/>
      <c r="DM191" s="10"/>
      <c r="DN191" s="10"/>
      <c r="DO191" s="10"/>
      <c r="DP191" s="10"/>
      <c r="DQ191" s="10"/>
      <c r="DR191" s="10"/>
      <c r="DS191" s="10"/>
      <c r="DT191" s="10"/>
      <c r="DU191" s="10"/>
      <c r="DV191" s="10"/>
      <c r="DW191" s="10"/>
      <c r="DX191" s="10"/>
      <c r="DY191" s="10"/>
      <c r="DZ191" s="10"/>
      <c r="EA191" s="10"/>
      <c r="EB191" s="10"/>
      <c r="EC191" s="10"/>
      <c r="ED191" s="10"/>
      <c r="EE191" s="10"/>
      <c r="EF191" s="10"/>
      <c r="EG191" s="10"/>
      <c r="EH191" s="10"/>
      <c r="EI191" s="10"/>
      <c r="EJ191" s="10"/>
      <c r="EK191" s="10"/>
      <c r="EL191" s="10"/>
      <c r="EM191" s="10"/>
      <c r="EN191" s="10"/>
      <c r="EO191" s="10"/>
      <c r="EP191" s="10"/>
      <c r="EQ191" s="10"/>
      <c r="ER191" s="10"/>
      <c r="ES191" s="10"/>
      <c r="ET191" s="10"/>
      <c r="EU191" s="10"/>
      <c r="EV191" s="10"/>
      <c r="EW191" s="10"/>
      <c r="EX191" s="10"/>
      <c r="EY191" s="10"/>
      <c r="EZ191" s="10"/>
      <c r="FA191" s="10"/>
      <c r="FB191" s="10"/>
      <c r="FC191" s="10"/>
      <c r="FD191" s="10"/>
      <c r="FE191" s="10"/>
      <c r="FF191" s="10"/>
      <c r="FG191" s="10"/>
      <c r="FH191" s="10"/>
      <c r="FI191" s="10"/>
      <c r="FJ191" s="10"/>
      <c r="FK191" s="10"/>
      <c r="FL191" s="10"/>
      <c r="FM191" s="10"/>
      <c r="FN191" s="10"/>
      <c r="FO191" s="10"/>
      <c r="FP191" s="10"/>
      <c r="FQ191" s="10"/>
      <c r="FR191" s="10"/>
      <c r="FS191" s="10"/>
      <c r="FT191" s="10"/>
      <c r="FU191" s="10"/>
      <c r="FV191" s="10"/>
      <c r="FW191" s="10"/>
      <c r="FX191" s="10"/>
      <c r="FY191" s="10"/>
      <c r="FZ191" s="10"/>
      <c r="GA191" s="10"/>
      <c r="GB191" s="10"/>
      <c r="GC191" s="10"/>
      <c r="GD191" s="10"/>
      <c r="GE191" s="10"/>
      <c r="GF191" s="10"/>
      <c r="GG191" s="10"/>
      <c r="GH191" s="10"/>
      <c r="GI191" s="10"/>
      <c r="GJ191" s="10"/>
      <c r="GK191" s="10"/>
    </row>
    <row r="192" customFormat="false" ht="12.75" hidden="false" customHeight="false" outlineLevel="0" collapsed="false">
      <c r="A192" s="7"/>
      <c r="B192" s="7"/>
      <c r="C192" s="8"/>
      <c r="D192" s="8"/>
      <c r="E192" s="8"/>
      <c r="F192" s="8"/>
      <c r="G192" s="9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10"/>
      <c r="CX192" s="10"/>
      <c r="CY192" s="10"/>
      <c r="CZ192" s="10"/>
      <c r="DA192" s="10"/>
      <c r="DB192" s="10"/>
      <c r="DC192" s="10"/>
      <c r="DD192" s="10"/>
      <c r="DE192" s="10"/>
      <c r="DF192" s="10"/>
      <c r="DG192" s="10"/>
      <c r="DH192" s="10"/>
      <c r="DI192" s="10"/>
      <c r="DJ192" s="10"/>
      <c r="DK192" s="10"/>
      <c r="DL192" s="10"/>
      <c r="DM192" s="10"/>
      <c r="DN192" s="10"/>
      <c r="DO192" s="10"/>
      <c r="DP192" s="10"/>
      <c r="DQ192" s="10"/>
      <c r="DR192" s="10"/>
      <c r="DS192" s="10"/>
      <c r="DT192" s="10"/>
      <c r="DU192" s="10"/>
      <c r="DV192" s="10"/>
      <c r="DW192" s="10"/>
      <c r="DX192" s="10"/>
      <c r="DY192" s="10"/>
      <c r="DZ192" s="10"/>
      <c r="EA192" s="10"/>
      <c r="EB192" s="10"/>
      <c r="EC192" s="10"/>
      <c r="ED192" s="10"/>
      <c r="EE192" s="10"/>
      <c r="EF192" s="10"/>
      <c r="EG192" s="10"/>
      <c r="EH192" s="10"/>
      <c r="EI192" s="10"/>
      <c r="EJ192" s="10"/>
      <c r="EK192" s="10"/>
      <c r="EL192" s="10"/>
      <c r="EM192" s="10"/>
      <c r="EN192" s="10"/>
      <c r="EO192" s="10"/>
      <c r="EP192" s="10"/>
      <c r="EQ192" s="10"/>
      <c r="ER192" s="10"/>
      <c r="ES192" s="10"/>
      <c r="ET192" s="10"/>
      <c r="EU192" s="10"/>
      <c r="EV192" s="10"/>
      <c r="EW192" s="10"/>
      <c r="EX192" s="10"/>
      <c r="EY192" s="10"/>
      <c r="EZ192" s="10"/>
      <c r="FA192" s="10"/>
      <c r="FB192" s="10"/>
      <c r="FC192" s="10"/>
      <c r="FD192" s="10"/>
      <c r="FE192" s="10"/>
      <c r="FF192" s="10"/>
      <c r="FG192" s="10"/>
      <c r="FH192" s="10"/>
      <c r="FI192" s="10"/>
      <c r="FJ192" s="10"/>
      <c r="FK192" s="10"/>
      <c r="FL192" s="10"/>
      <c r="FM192" s="10"/>
      <c r="FN192" s="10"/>
      <c r="FO192" s="10"/>
      <c r="FP192" s="10"/>
      <c r="FQ192" s="10"/>
      <c r="FR192" s="10"/>
      <c r="FS192" s="10"/>
      <c r="FT192" s="10"/>
      <c r="FU192" s="10"/>
      <c r="FV192" s="10"/>
      <c r="FW192" s="10"/>
      <c r="FX192" s="10"/>
      <c r="FY192" s="10"/>
      <c r="FZ192" s="10"/>
      <c r="GA192" s="10"/>
      <c r="GB192" s="10"/>
      <c r="GC192" s="10"/>
      <c r="GD192" s="10"/>
      <c r="GE192" s="10"/>
      <c r="GF192" s="10"/>
      <c r="GG192" s="10"/>
      <c r="GH192" s="10"/>
      <c r="GI192" s="10"/>
      <c r="GJ192" s="10"/>
      <c r="GK192" s="10"/>
    </row>
    <row r="193" customFormat="false" ht="12.75" hidden="false" customHeight="false" outlineLevel="0" collapsed="false">
      <c r="A193" s="7"/>
      <c r="B193" s="7"/>
      <c r="C193" s="8"/>
      <c r="D193" s="8"/>
      <c r="E193" s="8"/>
      <c r="F193" s="8"/>
      <c r="G193" s="9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10"/>
      <c r="CX193" s="10"/>
      <c r="CY193" s="10"/>
      <c r="CZ193" s="10"/>
      <c r="DA193" s="10"/>
      <c r="DB193" s="10"/>
      <c r="DC193" s="10"/>
      <c r="DD193" s="10"/>
      <c r="DE193" s="10"/>
      <c r="DF193" s="10"/>
      <c r="DG193" s="10"/>
      <c r="DH193" s="10"/>
      <c r="DI193" s="10"/>
      <c r="DJ193" s="10"/>
      <c r="DK193" s="10"/>
      <c r="DL193" s="10"/>
      <c r="DM193" s="10"/>
      <c r="DN193" s="10"/>
      <c r="DO193" s="10"/>
      <c r="DP193" s="10"/>
      <c r="DQ193" s="10"/>
      <c r="DR193" s="10"/>
      <c r="DS193" s="10"/>
      <c r="DT193" s="10"/>
      <c r="DU193" s="10"/>
      <c r="DV193" s="10"/>
      <c r="DW193" s="10"/>
      <c r="DX193" s="10"/>
      <c r="DY193" s="10"/>
      <c r="DZ193" s="10"/>
      <c r="EA193" s="10"/>
      <c r="EB193" s="10"/>
      <c r="EC193" s="10"/>
      <c r="ED193" s="10"/>
      <c r="EE193" s="10"/>
      <c r="EF193" s="10"/>
      <c r="EG193" s="10"/>
      <c r="EH193" s="10"/>
      <c r="EI193" s="10"/>
      <c r="EJ193" s="10"/>
      <c r="EK193" s="10"/>
      <c r="EL193" s="10"/>
      <c r="EM193" s="10"/>
      <c r="EN193" s="10"/>
      <c r="EO193" s="10"/>
      <c r="EP193" s="10"/>
      <c r="EQ193" s="10"/>
      <c r="ER193" s="10"/>
      <c r="ES193" s="10"/>
      <c r="ET193" s="10"/>
      <c r="EU193" s="10"/>
      <c r="EV193" s="10"/>
      <c r="EW193" s="10"/>
      <c r="EX193" s="10"/>
      <c r="EY193" s="10"/>
      <c r="EZ193" s="10"/>
      <c r="FA193" s="10"/>
      <c r="FB193" s="10"/>
      <c r="FC193" s="10"/>
      <c r="FD193" s="10"/>
      <c r="FE193" s="10"/>
      <c r="FF193" s="10"/>
      <c r="FG193" s="10"/>
      <c r="FH193" s="10"/>
      <c r="FI193" s="10"/>
      <c r="FJ193" s="10"/>
      <c r="FK193" s="10"/>
      <c r="FL193" s="10"/>
      <c r="FM193" s="10"/>
      <c r="FN193" s="10"/>
      <c r="FO193" s="10"/>
      <c r="FP193" s="10"/>
      <c r="FQ193" s="10"/>
      <c r="FR193" s="10"/>
      <c r="FS193" s="10"/>
      <c r="FT193" s="10"/>
      <c r="FU193" s="10"/>
      <c r="FV193" s="10"/>
      <c r="FW193" s="10"/>
      <c r="FX193" s="10"/>
      <c r="FY193" s="10"/>
      <c r="FZ193" s="10"/>
      <c r="GA193" s="10"/>
      <c r="GB193" s="10"/>
      <c r="GC193" s="10"/>
      <c r="GD193" s="10"/>
      <c r="GE193" s="10"/>
      <c r="GF193" s="10"/>
      <c r="GG193" s="10"/>
      <c r="GH193" s="10"/>
      <c r="GI193" s="10"/>
      <c r="GJ193" s="10"/>
      <c r="GK193" s="10"/>
    </row>
    <row r="194" customFormat="false" ht="12.75" hidden="false" customHeight="false" outlineLevel="0" collapsed="false">
      <c r="A194" s="7"/>
      <c r="B194" s="7"/>
      <c r="C194" s="8"/>
      <c r="D194" s="8"/>
      <c r="E194" s="8"/>
      <c r="F194" s="8"/>
      <c r="G194" s="9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10"/>
      <c r="CX194" s="10"/>
      <c r="CY194" s="10"/>
      <c r="CZ194" s="10"/>
      <c r="DA194" s="10"/>
      <c r="DB194" s="10"/>
      <c r="DC194" s="10"/>
      <c r="DD194" s="10"/>
      <c r="DE194" s="10"/>
      <c r="DF194" s="10"/>
      <c r="DG194" s="10"/>
      <c r="DH194" s="10"/>
      <c r="DI194" s="10"/>
      <c r="DJ194" s="10"/>
      <c r="DK194" s="10"/>
      <c r="DL194" s="10"/>
      <c r="DM194" s="10"/>
      <c r="DN194" s="10"/>
      <c r="DO194" s="10"/>
      <c r="DP194" s="10"/>
      <c r="DQ194" s="10"/>
      <c r="DR194" s="10"/>
      <c r="DS194" s="10"/>
      <c r="DT194" s="10"/>
      <c r="DU194" s="10"/>
      <c r="DV194" s="10"/>
      <c r="DW194" s="10"/>
      <c r="DX194" s="10"/>
      <c r="DY194" s="10"/>
      <c r="DZ194" s="10"/>
      <c r="EA194" s="10"/>
      <c r="EB194" s="10"/>
      <c r="EC194" s="10"/>
      <c r="ED194" s="10"/>
      <c r="EE194" s="10"/>
      <c r="EF194" s="10"/>
      <c r="EG194" s="10"/>
      <c r="EH194" s="10"/>
      <c r="EI194" s="10"/>
      <c r="EJ194" s="10"/>
      <c r="EK194" s="10"/>
      <c r="EL194" s="10"/>
      <c r="EM194" s="10"/>
      <c r="EN194" s="10"/>
      <c r="EO194" s="10"/>
      <c r="EP194" s="10"/>
      <c r="EQ194" s="10"/>
      <c r="ER194" s="10"/>
      <c r="ES194" s="10"/>
      <c r="ET194" s="10"/>
      <c r="EU194" s="10"/>
      <c r="EV194" s="10"/>
      <c r="EW194" s="10"/>
      <c r="EX194" s="10"/>
      <c r="EY194" s="10"/>
      <c r="EZ194" s="10"/>
      <c r="FA194" s="10"/>
      <c r="FB194" s="10"/>
      <c r="FC194" s="10"/>
      <c r="FD194" s="10"/>
      <c r="FE194" s="10"/>
      <c r="FF194" s="10"/>
      <c r="FG194" s="10"/>
      <c r="FH194" s="10"/>
      <c r="FI194" s="10"/>
      <c r="FJ194" s="10"/>
      <c r="FK194" s="10"/>
      <c r="FL194" s="10"/>
      <c r="FM194" s="10"/>
      <c r="FN194" s="10"/>
      <c r="FO194" s="10"/>
      <c r="FP194" s="10"/>
      <c r="FQ194" s="10"/>
      <c r="FR194" s="10"/>
      <c r="FS194" s="10"/>
      <c r="FT194" s="10"/>
      <c r="FU194" s="10"/>
      <c r="FV194" s="10"/>
      <c r="FW194" s="10"/>
      <c r="FX194" s="10"/>
      <c r="FY194" s="10"/>
      <c r="FZ194" s="10"/>
      <c r="GA194" s="10"/>
      <c r="GB194" s="10"/>
      <c r="GC194" s="10"/>
      <c r="GD194" s="10"/>
      <c r="GE194" s="10"/>
      <c r="GF194" s="10"/>
      <c r="GG194" s="10"/>
      <c r="GH194" s="10"/>
      <c r="GI194" s="10"/>
      <c r="GJ194" s="10"/>
      <c r="GK194" s="10"/>
    </row>
    <row r="195" customFormat="false" ht="12.75" hidden="false" customHeight="false" outlineLevel="0" collapsed="false">
      <c r="A195" s="7"/>
      <c r="B195" s="7"/>
      <c r="C195" s="8"/>
      <c r="D195" s="8"/>
      <c r="E195" s="8"/>
      <c r="F195" s="8"/>
      <c r="G195" s="9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W195" s="10"/>
      <c r="CX195" s="10"/>
      <c r="CY195" s="10"/>
      <c r="CZ195" s="10"/>
      <c r="DA195" s="10"/>
      <c r="DB195" s="10"/>
      <c r="DC195" s="10"/>
      <c r="DD195" s="10"/>
      <c r="DE195" s="10"/>
      <c r="DF195" s="10"/>
      <c r="DG195" s="10"/>
      <c r="DH195" s="10"/>
      <c r="DI195" s="10"/>
      <c r="DJ195" s="10"/>
      <c r="DK195" s="10"/>
      <c r="DL195" s="10"/>
      <c r="DM195" s="10"/>
      <c r="DN195" s="10"/>
      <c r="DO195" s="10"/>
      <c r="DP195" s="10"/>
      <c r="DQ195" s="10"/>
      <c r="DR195" s="10"/>
      <c r="DS195" s="10"/>
      <c r="DT195" s="10"/>
      <c r="DU195" s="10"/>
      <c r="DV195" s="10"/>
      <c r="DW195" s="10"/>
      <c r="DX195" s="10"/>
      <c r="DY195" s="10"/>
      <c r="DZ195" s="10"/>
      <c r="EA195" s="10"/>
      <c r="EB195" s="10"/>
      <c r="EC195" s="10"/>
      <c r="ED195" s="10"/>
      <c r="EE195" s="10"/>
      <c r="EF195" s="10"/>
      <c r="EG195" s="10"/>
      <c r="EH195" s="10"/>
      <c r="EI195" s="10"/>
      <c r="EJ195" s="10"/>
      <c r="EK195" s="10"/>
      <c r="EL195" s="10"/>
      <c r="EM195" s="10"/>
      <c r="EN195" s="10"/>
      <c r="EO195" s="10"/>
      <c r="EP195" s="10"/>
      <c r="EQ195" s="10"/>
      <c r="ER195" s="10"/>
      <c r="ES195" s="10"/>
      <c r="ET195" s="10"/>
      <c r="EU195" s="10"/>
      <c r="EV195" s="10"/>
      <c r="EW195" s="10"/>
      <c r="EX195" s="10"/>
      <c r="EY195" s="10"/>
      <c r="EZ195" s="10"/>
      <c r="FA195" s="10"/>
      <c r="FB195" s="10"/>
      <c r="FC195" s="10"/>
      <c r="FD195" s="10"/>
      <c r="FE195" s="10"/>
      <c r="FF195" s="10"/>
      <c r="FG195" s="10"/>
      <c r="FH195" s="10"/>
      <c r="FI195" s="10"/>
      <c r="FJ195" s="10"/>
      <c r="FK195" s="10"/>
      <c r="FL195" s="10"/>
      <c r="FM195" s="10"/>
      <c r="FN195" s="10"/>
      <c r="FO195" s="10"/>
      <c r="FP195" s="10"/>
      <c r="FQ195" s="10"/>
      <c r="FR195" s="10"/>
      <c r="FS195" s="10"/>
      <c r="FT195" s="10"/>
      <c r="FU195" s="10"/>
      <c r="FV195" s="10"/>
      <c r="FW195" s="10"/>
      <c r="FX195" s="10"/>
      <c r="FY195" s="10"/>
      <c r="FZ195" s="10"/>
      <c r="GA195" s="10"/>
      <c r="GB195" s="10"/>
      <c r="GC195" s="10"/>
      <c r="GD195" s="10"/>
      <c r="GE195" s="10"/>
      <c r="GF195" s="10"/>
      <c r="GG195" s="10"/>
      <c r="GH195" s="10"/>
      <c r="GI195" s="10"/>
      <c r="GJ195" s="10"/>
      <c r="GK195" s="10"/>
    </row>
    <row r="196" customFormat="false" ht="12.75" hidden="false" customHeight="false" outlineLevel="0" collapsed="false">
      <c r="A196" s="7"/>
      <c r="B196" s="7"/>
      <c r="C196" s="8"/>
      <c r="D196" s="8"/>
      <c r="E196" s="8"/>
      <c r="F196" s="8"/>
      <c r="G196" s="9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10"/>
      <c r="CX196" s="10"/>
      <c r="CY196" s="10"/>
      <c r="CZ196" s="10"/>
      <c r="DA196" s="10"/>
      <c r="DB196" s="10"/>
      <c r="DC196" s="10"/>
      <c r="DD196" s="10"/>
      <c r="DE196" s="10"/>
      <c r="DF196" s="10"/>
      <c r="DG196" s="10"/>
      <c r="DH196" s="10"/>
      <c r="DI196" s="10"/>
      <c r="DJ196" s="10"/>
      <c r="DK196" s="10"/>
      <c r="DL196" s="10"/>
      <c r="DM196" s="10"/>
      <c r="DN196" s="10"/>
      <c r="DO196" s="10"/>
      <c r="DP196" s="10"/>
      <c r="DQ196" s="10"/>
      <c r="DR196" s="10"/>
      <c r="DS196" s="10"/>
      <c r="DT196" s="10"/>
      <c r="DU196" s="10"/>
      <c r="DV196" s="10"/>
      <c r="DW196" s="10"/>
      <c r="DX196" s="10"/>
      <c r="DY196" s="10"/>
      <c r="DZ196" s="10"/>
      <c r="EA196" s="10"/>
      <c r="EB196" s="10"/>
      <c r="EC196" s="10"/>
      <c r="ED196" s="10"/>
      <c r="EE196" s="10"/>
      <c r="EF196" s="10"/>
      <c r="EG196" s="10"/>
      <c r="EH196" s="10"/>
      <c r="EI196" s="10"/>
      <c r="EJ196" s="10"/>
      <c r="EK196" s="10"/>
      <c r="EL196" s="10"/>
      <c r="EM196" s="10"/>
      <c r="EN196" s="10"/>
      <c r="EO196" s="10"/>
      <c r="EP196" s="10"/>
      <c r="EQ196" s="10"/>
      <c r="ER196" s="10"/>
      <c r="ES196" s="10"/>
      <c r="ET196" s="10"/>
      <c r="EU196" s="10"/>
      <c r="EV196" s="10"/>
      <c r="EW196" s="10"/>
      <c r="EX196" s="10"/>
      <c r="EY196" s="10"/>
      <c r="EZ196" s="10"/>
      <c r="FA196" s="10"/>
      <c r="FB196" s="10"/>
      <c r="FC196" s="10"/>
      <c r="FD196" s="10"/>
      <c r="FE196" s="10"/>
      <c r="FF196" s="10"/>
      <c r="FG196" s="10"/>
      <c r="FH196" s="10"/>
      <c r="FI196" s="10"/>
      <c r="FJ196" s="10"/>
      <c r="FK196" s="10"/>
      <c r="FL196" s="10"/>
      <c r="FM196" s="10"/>
      <c r="FN196" s="10"/>
      <c r="FO196" s="10"/>
      <c r="FP196" s="10"/>
      <c r="FQ196" s="10"/>
      <c r="FR196" s="10"/>
      <c r="FS196" s="10"/>
      <c r="FT196" s="10"/>
      <c r="FU196" s="10"/>
      <c r="FV196" s="10"/>
      <c r="FW196" s="10"/>
      <c r="FX196" s="10"/>
      <c r="FY196" s="10"/>
      <c r="FZ196" s="10"/>
      <c r="GA196" s="10"/>
      <c r="GB196" s="10"/>
      <c r="GC196" s="10"/>
      <c r="GD196" s="10"/>
      <c r="GE196" s="10"/>
      <c r="GF196" s="10"/>
      <c r="GG196" s="10"/>
      <c r="GH196" s="10"/>
      <c r="GI196" s="10"/>
      <c r="GJ196" s="10"/>
      <c r="GK196" s="10"/>
    </row>
    <row r="197" customFormat="false" ht="12.75" hidden="false" customHeight="false" outlineLevel="0" collapsed="false">
      <c r="A197" s="7"/>
      <c r="B197" s="7"/>
      <c r="C197" s="8"/>
      <c r="D197" s="8"/>
      <c r="E197" s="8"/>
      <c r="F197" s="8"/>
      <c r="G197" s="9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10"/>
      <c r="CX197" s="10"/>
      <c r="CY197" s="10"/>
      <c r="CZ197" s="10"/>
      <c r="DA197" s="10"/>
      <c r="DB197" s="10"/>
      <c r="DC197" s="10"/>
      <c r="DD197" s="10"/>
      <c r="DE197" s="10"/>
      <c r="DF197" s="10"/>
      <c r="DG197" s="10"/>
      <c r="DH197" s="10"/>
      <c r="DI197" s="10"/>
      <c r="DJ197" s="10"/>
      <c r="DK197" s="10"/>
      <c r="DL197" s="10"/>
      <c r="DM197" s="10"/>
      <c r="DN197" s="10"/>
      <c r="DO197" s="10"/>
      <c r="DP197" s="10"/>
      <c r="DQ197" s="10"/>
      <c r="DR197" s="10"/>
      <c r="DS197" s="10"/>
      <c r="DT197" s="10"/>
      <c r="DU197" s="10"/>
      <c r="DV197" s="10"/>
      <c r="DW197" s="10"/>
      <c r="DX197" s="10"/>
      <c r="DY197" s="10"/>
      <c r="DZ197" s="10"/>
      <c r="EA197" s="10"/>
      <c r="EB197" s="10"/>
      <c r="EC197" s="10"/>
      <c r="ED197" s="10"/>
      <c r="EE197" s="10"/>
      <c r="EF197" s="10"/>
      <c r="EG197" s="10"/>
      <c r="EH197" s="10"/>
      <c r="EI197" s="10"/>
      <c r="EJ197" s="10"/>
      <c r="EK197" s="10"/>
      <c r="EL197" s="10"/>
      <c r="EM197" s="10"/>
      <c r="EN197" s="10"/>
      <c r="EO197" s="10"/>
      <c r="EP197" s="10"/>
      <c r="EQ197" s="10"/>
      <c r="ER197" s="10"/>
      <c r="ES197" s="10"/>
      <c r="ET197" s="10"/>
      <c r="EU197" s="10"/>
      <c r="EV197" s="10"/>
      <c r="EW197" s="10"/>
      <c r="EX197" s="10"/>
      <c r="EY197" s="10"/>
      <c r="EZ197" s="10"/>
      <c r="FA197" s="10"/>
      <c r="FB197" s="10"/>
      <c r="FC197" s="10"/>
      <c r="FD197" s="10"/>
      <c r="FE197" s="10"/>
      <c r="FF197" s="10"/>
      <c r="FG197" s="10"/>
      <c r="FH197" s="10"/>
      <c r="FI197" s="10"/>
      <c r="FJ197" s="10"/>
      <c r="FK197" s="10"/>
      <c r="FL197" s="10"/>
      <c r="FM197" s="10"/>
      <c r="FN197" s="10"/>
      <c r="FO197" s="10"/>
      <c r="FP197" s="10"/>
      <c r="FQ197" s="10"/>
      <c r="FR197" s="10"/>
      <c r="FS197" s="10"/>
      <c r="FT197" s="10"/>
      <c r="FU197" s="10"/>
      <c r="FV197" s="10"/>
      <c r="FW197" s="10"/>
      <c r="FX197" s="10"/>
      <c r="FY197" s="10"/>
      <c r="FZ197" s="10"/>
      <c r="GA197" s="10"/>
      <c r="GB197" s="10"/>
      <c r="GC197" s="10"/>
      <c r="GD197" s="10"/>
      <c r="GE197" s="10"/>
      <c r="GF197" s="10"/>
      <c r="GG197" s="10"/>
      <c r="GH197" s="10"/>
      <c r="GI197" s="10"/>
      <c r="GJ197" s="10"/>
      <c r="GK197" s="10"/>
    </row>
    <row r="198" customFormat="false" ht="12.75" hidden="false" customHeight="false" outlineLevel="0" collapsed="false">
      <c r="A198" s="7"/>
      <c r="B198" s="7"/>
      <c r="C198" s="8"/>
      <c r="D198" s="8"/>
      <c r="E198" s="8"/>
      <c r="F198" s="8"/>
      <c r="G198" s="9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10"/>
      <c r="CX198" s="10"/>
      <c r="CY198" s="10"/>
      <c r="CZ198" s="10"/>
      <c r="DA198" s="10"/>
      <c r="DB198" s="10"/>
      <c r="DC198" s="10"/>
      <c r="DD198" s="10"/>
      <c r="DE198" s="10"/>
      <c r="DF198" s="10"/>
      <c r="DG198" s="10"/>
      <c r="DH198" s="10"/>
      <c r="DI198" s="10"/>
      <c r="DJ198" s="10"/>
      <c r="DK198" s="10"/>
      <c r="DL198" s="10"/>
      <c r="DM198" s="10"/>
      <c r="DN198" s="10"/>
      <c r="DO198" s="10"/>
      <c r="DP198" s="10"/>
      <c r="DQ198" s="10"/>
      <c r="DR198" s="10"/>
      <c r="DS198" s="10"/>
      <c r="DT198" s="10"/>
      <c r="DU198" s="10"/>
      <c r="DV198" s="10"/>
      <c r="DW198" s="10"/>
      <c r="DX198" s="10"/>
      <c r="DY198" s="10"/>
      <c r="DZ198" s="10"/>
      <c r="EA198" s="10"/>
      <c r="EB198" s="10"/>
      <c r="EC198" s="10"/>
      <c r="ED198" s="10"/>
      <c r="EE198" s="10"/>
      <c r="EF198" s="10"/>
      <c r="EG198" s="10"/>
      <c r="EH198" s="10"/>
      <c r="EI198" s="10"/>
      <c r="EJ198" s="10"/>
      <c r="EK198" s="10"/>
      <c r="EL198" s="10"/>
      <c r="EM198" s="10"/>
      <c r="EN198" s="10"/>
      <c r="EO198" s="10"/>
      <c r="EP198" s="10"/>
      <c r="EQ198" s="10"/>
      <c r="ER198" s="10"/>
      <c r="ES198" s="10"/>
      <c r="ET198" s="10"/>
      <c r="EU198" s="10"/>
      <c r="EV198" s="10"/>
      <c r="EW198" s="10"/>
      <c r="EX198" s="10"/>
      <c r="EY198" s="10"/>
      <c r="EZ198" s="10"/>
      <c r="FA198" s="10"/>
      <c r="FB198" s="10"/>
      <c r="FC198" s="10"/>
      <c r="FD198" s="10"/>
      <c r="FE198" s="10"/>
      <c r="FF198" s="10"/>
      <c r="FG198" s="10"/>
      <c r="FH198" s="10"/>
      <c r="FI198" s="10"/>
      <c r="FJ198" s="10"/>
      <c r="FK198" s="10"/>
      <c r="FL198" s="10"/>
      <c r="FM198" s="10"/>
      <c r="FN198" s="10"/>
      <c r="FO198" s="10"/>
      <c r="FP198" s="10"/>
      <c r="FQ198" s="10"/>
      <c r="FR198" s="10"/>
      <c r="FS198" s="10"/>
      <c r="FT198" s="10"/>
      <c r="FU198" s="10"/>
      <c r="FV198" s="10"/>
      <c r="FW198" s="10"/>
      <c r="FX198" s="10"/>
      <c r="FY198" s="10"/>
      <c r="FZ198" s="10"/>
      <c r="GA198" s="10"/>
      <c r="GB198" s="10"/>
      <c r="GC198" s="10"/>
      <c r="GD198" s="10"/>
      <c r="GE198" s="10"/>
      <c r="GF198" s="10"/>
      <c r="GG198" s="10"/>
      <c r="GH198" s="10"/>
      <c r="GI198" s="10"/>
      <c r="GJ198" s="10"/>
      <c r="GK198" s="10"/>
    </row>
    <row r="199" customFormat="false" ht="12.75" hidden="false" customHeight="false" outlineLevel="0" collapsed="false">
      <c r="A199" s="7"/>
      <c r="B199" s="7"/>
      <c r="C199" s="8"/>
      <c r="D199" s="8"/>
      <c r="E199" s="8"/>
      <c r="F199" s="8"/>
      <c r="G199" s="9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10"/>
      <c r="CX199" s="10"/>
      <c r="CY199" s="10"/>
      <c r="CZ199" s="10"/>
      <c r="DA199" s="10"/>
      <c r="DB199" s="10"/>
      <c r="DC199" s="10"/>
      <c r="DD199" s="10"/>
      <c r="DE199" s="10"/>
      <c r="DF199" s="10"/>
      <c r="DG199" s="10"/>
      <c r="DH199" s="10"/>
      <c r="DI199" s="10"/>
      <c r="DJ199" s="10"/>
      <c r="DK199" s="10"/>
      <c r="DL199" s="10"/>
      <c r="DM199" s="10"/>
      <c r="DN199" s="10"/>
      <c r="DO199" s="10"/>
      <c r="DP199" s="10"/>
      <c r="DQ199" s="10"/>
      <c r="DR199" s="10"/>
      <c r="DS199" s="10"/>
      <c r="DT199" s="10"/>
      <c r="DU199" s="10"/>
      <c r="DV199" s="10"/>
      <c r="DW199" s="10"/>
      <c r="DX199" s="10"/>
      <c r="DY199" s="10"/>
      <c r="DZ199" s="10"/>
      <c r="EA199" s="10"/>
      <c r="EB199" s="10"/>
      <c r="EC199" s="10"/>
      <c r="ED199" s="10"/>
      <c r="EE199" s="10"/>
      <c r="EF199" s="10"/>
      <c r="EG199" s="10"/>
      <c r="EH199" s="10"/>
      <c r="EI199" s="10"/>
      <c r="EJ199" s="10"/>
      <c r="EK199" s="10"/>
      <c r="EL199" s="10"/>
      <c r="EM199" s="10"/>
      <c r="EN199" s="10"/>
      <c r="EO199" s="10"/>
      <c r="EP199" s="10"/>
      <c r="EQ199" s="10"/>
      <c r="ER199" s="10"/>
      <c r="ES199" s="10"/>
      <c r="ET199" s="10"/>
      <c r="EU199" s="10"/>
      <c r="EV199" s="10"/>
      <c r="EW199" s="10"/>
      <c r="EX199" s="10"/>
      <c r="EY199" s="10"/>
      <c r="EZ199" s="10"/>
      <c r="FA199" s="10"/>
      <c r="FB199" s="10"/>
      <c r="FC199" s="10"/>
      <c r="FD199" s="10"/>
      <c r="FE199" s="10"/>
      <c r="FF199" s="10"/>
      <c r="FG199" s="10"/>
      <c r="FH199" s="10"/>
      <c r="FI199" s="10"/>
      <c r="FJ199" s="10"/>
      <c r="FK199" s="10"/>
      <c r="FL199" s="10"/>
      <c r="FM199" s="10"/>
      <c r="FN199" s="10"/>
      <c r="FO199" s="10"/>
      <c r="FP199" s="10"/>
      <c r="FQ199" s="10"/>
      <c r="FR199" s="10"/>
      <c r="FS199" s="10"/>
      <c r="FT199" s="10"/>
      <c r="FU199" s="10"/>
      <c r="FV199" s="10"/>
      <c r="FW199" s="10"/>
      <c r="FX199" s="10"/>
      <c r="FY199" s="10"/>
      <c r="FZ199" s="10"/>
      <c r="GA199" s="10"/>
      <c r="GB199" s="10"/>
      <c r="GC199" s="10"/>
      <c r="GD199" s="10"/>
      <c r="GE199" s="10"/>
      <c r="GF199" s="10"/>
      <c r="GG199" s="10"/>
      <c r="GH199" s="10"/>
      <c r="GI199" s="10"/>
      <c r="GJ199" s="10"/>
      <c r="GK199" s="10"/>
    </row>
    <row r="200" customFormat="false" ht="12.75" hidden="false" customHeight="false" outlineLevel="0" collapsed="false">
      <c r="A200" s="7"/>
      <c r="B200" s="7"/>
      <c r="C200" s="8"/>
      <c r="D200" s="8"/>
      <c r="E200" s="8"/>
      <c r="F200" s="8"/>
      <c r="G200" s="9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10"/>
      <c r="CX200" s="10"/>
      <c r="CY200" s="10"/>
      <c r="CZ200" s="10"/>
      <c r="DA200" s="10"/>
      <c r="DB200" s="10"/>
      <c r="DC200" s="10"/>
      <c r="DD200" s="10"/>
      <c r="DE200" s="10"/>
      <c r="DF200" s="10"/>
      <c r="DG200" s="10"/>
      <c r="DH200" s="10"/>
      <c r="DI200" s="10"/>
      <c r="DJ200" s="10"/>
      <c r="DK200" s="10"/>
      <c r="DL200" s="10"/>
      <c r="DM200" s="10"/>
      <c r="DN200" s="10"/>
      <c r="DO200" s="10"/>
      <c r="DP200" s="10"/>
      <c r="DQ200" s="10"/>
      <c r="DR200" s="10"/>
      <c r="DS200" s="10"/>
      <c r="DT200" s="10"/>
      <c r="DU200" s="10"/>
      <c r="DV200" s="10"/>
      <c r="DW200" s="10"/>
      <c r="DX200" s="10"/>
      <c r="DY200" s="10"/>
      <c r="DZ200" s="10"/>
      <c r="EA200" s="10"/>
      <c r="EB200" s="10"/>
      <c r="EC200" s="10"/>
      <c r="ED200" s="10"/>
      <c r="EE200" s="10"/>
      <c r="EF200" s="10"/>
      <c r="EG200" s="10"/>
      <c r="EH200" s="10"/>
      <c r="EI200" s="10"/>
      <c r="EJ200" s="10"/>
      <c r="EK200" s="10"/>
      <c r="EL200" s="10"/>
      <c r="EM200" s="10"/>
      <c r="EN200" s="10"/>
      <c r="EO200" s="10"/>
      <c r="EP200" s="10"/>
      <c r="EQ200" s="10"/>
      <c r="ER200" s="10"/>
      <c r="ES200" s="10"/>
      <c r="ET200" s="10"/>
      <c r="EU200" s="10"/>
      <c r="EV200" s="10"/>
      <c r="EW200" s="10"/>
      <c r="EX200" s="10"/>
      <c r="EY200" s="10"/>
      <c r="EZ200" s="10"/>
      <c r="FA200" s="10"/>
      <c r="FB200" s="10"/>
      <c r="FC200" s="10"/>
      <c r="FD200" s="10"/>
      <c r="FE200" s="10"/>
      <c r="FF200" s="10"/>
      <c r="FG200" s="10"/>
      <c r="FH200" s="10"/>
      <c r="FI200" s="10"/>
      <c r="FJ200" s="10"/>
      <c r="FK200" s="10"/>
      <c r="FL200" s="10"/>
      <c r="FM200" s="10"/>
      <c r="FN200" s="10"/>
      <c r="FO200" s="10"/>
      <c r="FP200" s="10"/>
      <c r="FQ200" s="10"/>
      <c r="FR200" s="10"/>
      <c r="FS200" s="10"/>
      <c r="FT200" s="10"/>
      <c r="FU200" s="10"/>
      <c r="FV200" s="10"/>
      <c r="FW200" s="10"/>
      <c r="FX200" s="10"/>
      <c r="FY200" s="10"/>
      <c r="FZ200" s="10"/>
      <c r="GA200" s="10"/>
      <c r="GB200" s="10"/>
      <c r="GC200" s="10"/>
      <c r="GD200" s="10"/>
      <c r="GE200" s="10"/>
      <c r="GF200" s="10"/>
      <c r="GG200" s="10"/>
      <c r="GH200" s="10"/>
      <c r="GI200" s="10"/>
      <c r="GJ200" s="10"/>
      <c r="GK200" s="10"/>
    </row>
    <row r="201" customFormat="false" ht="12.75" hidden="false" customHeight="false" outlineLevel="0" collapsed="false">
      <c r="A201" s="7"/>
      <c r="B201" s="7"/>
      <c r="C201" s="8"/>
      <c r="D201" s="8"/>
      <c r="E201" s="8"/>
      <c r="F201" s="8"/>
      <c r="G201" s="9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  <c r="CW201" s="10"/>
      <c r="CX201" s="10"/>
      <c r="CY201" s="10"/>
      <c r="CZ201" s="10"/>
      <c r="DA201" s="10"/>
      <c r="DB201" s="10"/>
      <c r="DC201" s="10"/>
      <c r="DD201" s="10"/>
      <c r="DE201" s="10"/>
      <c r="DF201" s="10"/>
      <c r="DG201" s="10"/>
      <c r="DH201" s="10"/>
      <c r="DI201" s="10"/>
      <c r="DJ201" s="10"/>
      <c r="DK201" s="10"/>
      <c r="DL201" s="10"/>
      <c r="DM201" s="10"/>
      <c r="DN201" s="10"/>
      <c r="DO201" s="10"/>
      <c r="DP201" s="10"/>
      <c r="DQ201" s="10"/>
      <c r="DR201" s="10"/>
      <c r="DS201" s="10"/>
      <c r="DT201" s="10"/>
      <c r="DU201" s="10"/>
      <c r="DV201" s="10"/>
      <c r="DW201" s="10"/>
      <c r="DX201" s="10"/>
      <c r="DY201" s="10"/>
      <c r="DZ201" s="10"/>
      <c r="EA201" s="10"/>
      <c r="EB201" s="10"/>
      <c r="EC201" s="10"/>
      <c r="ED201" s="10"/>
      <c r="EE201" s="10"/>
      <c r="EF201" s="10"/>
      <c r="EG201" s="10"/>
      <c r="EH201" s="10"/>
      <c r="EI201" s="10"/>
      <c r="EJ201" s="10"/>
      <c r="EK201" s="10"/>
      <c r="EL201" s="10"/>
      <c r="EM201" s="10"/>
      <c r="EN201" s="10"/>
      <c r="EO201" s="10"/>
      <c r="EP201" s="10"/>
      <c r="EQ201" s="10"/>
      <c r="ER201" s="10"/>
      <c r="ES201" s="10"/>
      <c r="ET201" s="10"/>
      <c r="EU201" s="10"/>
      <c r="EV201" s="10"/>
      <c r="EW201" s="10"/>
      <c r="EX201" s="10"/>
      <c r="EY201" s="10"/>
      <c r="EZ201" s="10"/>
      <c r="FA201" s="10"/>
      <c r="FB201" s="10"/>
      <c r="FC201" s="10"/>
      <c r="FD201" s="10"/>
      <c r="FE201" s="10"/>
      <c r="FF201" s="10"/>
      <c r="FG201" s="10"/>
      <c r="FH201" s="10"/>
      <c r="FI201" s="10"/>
      <c r="FJ201" s="10"/>
      <c r="FK201" s="10"/>
      <c r="FL201" s="10"/>
      <c r="FM201" s="10"/>
      <c r="FN201" s="10"/>
      <c r="FO201" s="10"/>
      <c r="FP201" s="10"/>
      <c r="FQ201" s="10"/>
      <c r="FR201" s="10"/>
      <c r="FS201" s="10"/>
      <c r="FT201" s="10"/>
      <c r="FU201" s="10"/>
      <c r="FV201" s="10"/>
      <c r="FW201" s="10"/>
      <c r="FX201" s="10"/>
      <c r="FY201" s="10"/>
      <c r="FZ201" s="10"/>
      <c r="GA201" s="10"/>
      <c r="GB201" s="10"/>
      <c r="GC201" s="10"/>
      <c r="GD201" s="10"/>
      <c r="GE201" s="10"/>
      <c r="GF201" s="10"/>
      <c r="GG201" s="10"/>
      <c r="GH201" s="10"/>
      <c r="GI201" s="10"/>
      <c r="GJ201" s="10"/>
      <c r="GK201" s="10"/>
    </row>
    <row r="202" customFormat="false" ht="12.75" hidden="false" customHeight="false" outlineLevel="0" collapsed="false">
      <c r="A202" s="7"/>
      <c r="B202" s="7"/>
      <c r="C202" s="8"/>
      <c r="D202" s="8"/>
      <c r="E202" s="8"/>
      <c r="F202" s="8"/>
      <c r="G202" s="9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10"/>
      <c r="CX202" s="10"/>
      <c r="CY202" s="10"/>
      <c r="CZ202" s="10"/>
      <c r="DA202" s="10"/>
      <c r="DB202" s="10"/>
      <c r="DC202" s="10"/>
      <c r="DD202" s="10"/>
      <c r="DE202" s="10"/>
      <c r="DF202" s="10"/>
      <c r="DG202" s="10"/>
      <c r="DH202" s="10"/>
      <c r="DI202" s="10"/>
      <c r="DJ202" s="10"/>
      <c r="DK202" s="10"/>
      <c r="DL202" s="10"/>
      <c r="DM202" s="10"/>
      <c r="DN202" s="10"/>
      <c r="DO202" s="10"/>
      <c r="DP202" s="10"/>
      <c r="DQ202" s="10"/>
      <c r="DR202" s="10"/>
      <c r="DS202" s="10"/>
      <c r="DT202" s="10"/>
      <c r="DU202" s="10"/>
      <c r="DV202" s="10"/>
      <c r="DW202" s="10"/>
      <c r="DX202" s="10"/>
      <c r="DY202" s="10"/>
      <c r="DZ202" s="10"/>
      <c r="EA202" s="10"/>
      <c r="EB202" s="10"/>
      <c r="EC202" s="10"/>
      <c r="ED202" s="10"/>
      <c r="EE202" s="10"/>
      <c r="EF202" s="10"/>
      <c r="EG202" s="10"/>
      <c r="EH202" s="10"/>
      <c r="EI202" s="10"/>
      <c r="EJ202" s="10"/>
      <c r="EK202" s="10"/>
      <c r="EL202" s="10"/>
      <c r="EM202" s="10"/>
      <c r="EN202" s="10"/>
      <c r="EO202" s="10"/>
      <c r="EP202" s="10"/>
      <c r="EQ202" s="10"/>
      <c r="ER202" s="10"/>
      <c r="ES202" s="10"/>
      <c r="ET202" s="10"/>
      <c r="EU202" s="10"/>
      <c r="EV202" s="10"/>
      <c r="EW202" s="10"/>
      <c r="EX202" s="10"/>
      <c r="EY202" s="10"/>
      <c r="EZ202" s="10"/>
      <c r="FA202" s="10"/>
      <c r="FB202" s="10"/>
      <c r="FC202" s="10"/>
      <c r="FD202" s="10"/>
      <c r="FE202" s="10"/>
      <c r="FF202" s="10"/>
      <c r="FG202" s="10"/>
      <c r="FH202" s="10"/>
      <c r="FI202" s="10"/>
      <c r="FJ202" s="10"/>
      <c r="FK202" s="10"/>
      <c r="FL202" s="10"/>
      <c r="FM202" s="10"/>
      <c r="FN202" s="10"/>
      <c r="FO202" s="10"/>
      <c r="FP202" s="10"/>
      <c r="FQ202" s="10"/>
      <c r="FR202" s="10"/>
      <c r="FS202" s="10"/>
      <c r="FT202" s="10"/>
      <c r="FU202" s="10"/>
      <c r="FV202" s="10"/>
      <c r="FW202" s="10"/>
      <c r="FX202" s="10"/>
      <c r="FY202" s="10"/>
      <c r="FZ202" s="10"/>
      <c r="GA202" s="10"/>
      <c r="GB202" s="10"/>
      <c r="GC202" s="10"/>
      <c r="GD202" s="10"/>
      <c r="GE202" s="10"/>
      <c r="GF202" s="10"/>
      <c r="GG202" s="10"/>
      <c r="GH202" s="10"/>
      <c r="GI202" s="10"/>
      <c r="GJ202" s="10"/>
      <c r="GK202" s="10"/>
    </row>
    <row r="203" customFormat="false" ht="12.75" hidden="false" customHeight="false" outlineLevel="0" collapsed="false">
      <c r="A203" s="7"/>
      <c r="B203" s="7"/>
      <c r="C203" s="8"/>
      <c r="D203" s="8"/>
      <c r="E203" s="8"/>
      <c r="F203" s="8"/>
      <c r="G203" s="9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10"/>
      <c r="CX203" s="10"/>
      <c r="CY203" s="10"/>
      <c r="CZ203" s="10"/>
      <c r="DA203" s="10"/>
      <c r="DB203" s="10"/>
      <c r="DC203" s="10"/>
      <c r="DD203" s="10"/>
      <c r="DE203" s="10"/>
      <c r="DF203" s="10"/>
      <c r="DG203" s="10"/>
      <c r="DH203" s="10"/>
      <c r="DI203" s="10"/>
      <c r="DJ203" s="10"/>
      <c r="DK203" s="10"/>
      <c r="DL203" s="10"/>
      <c r="DM203" s="10"/>
      <c r="DN203" s="10"/>
      <c r="DO203" s="10"/>
      <c r="DP203" s="10"/>
      <c r="DQ203" s="10"/>
      <c r="DR203" s="10"/>
      <c r="DS203" s="10"/>
      <c r="DT203" s="10"/>
      <c r="DU203" s="10"/>
      <c r="DV203" s="10"/>
      <c r="DW203" s="10"/>
      <c r="DX203" s="10"/>
      <c r="DY203" s="10"/>
      <c r="DZ203" s="10"/>
      <c r="EA203" s="10"/>
      <c r="EB203" s="10"/>
      <c r="EC203" s="10"/>
      <c r="ED203" s="10"/>
      <c r="EE203" s="10"/>
      <c r="EF203" s="10"/>
      <c r="EG203" s="10"/>
      <c r="EH203" s="10"/>
      <c r="EI203" s="10"/>
      <c r="EJ203" s="10"/>
      <c r="EK203" s="10"/>
      <c r="EL203" s="10"/>
      <c r="EM203" s="10"/>
      <c r="EN203" s="10"/>
      <c r="EO203" s="10"/>
      <c r="EP203" s="10"/>
      <c r="EQ203" s="10"/>
      <c r="ER203" s="10"/>
      <c r="ES203" s="10"/>
      <c r="ET203" s="10"/>
      <c r="EU203" s="10"/>
      <c r="EV203" s="10"/>
      <c r="EW203" s="10"/>
      <c r="EX203" s="10"/>
      <c r="EY203" s="10"/>
      <c r="EZ203" s="10"/>
      <c r="FA203" s="10"/>
      <c r="FB203" s="10"/>
      <c r="FC203" s="10"/>
      <c r="FD203" s="10"/>
      <c r="FE203" s="10"/>
      <c r="FF203" s="10"/>
      <c r="FG203" s="10"/>
      <c r="FH203" s="10"/>
      <c r="FI203" s="10"/>
      <c r="FJ203" s="10"/>
      <c r="FK203" s="10"/>
      <c r="FL203" s="10"/>
      <c r="FM203" s="10"/>
      <c r="FN203" s="10"/>
      <c r="FO203" s="10"/>
      <c r="FP203" s="10"/>
      <c r="FQ203" s="10"/>
      <c r="FR203" s="10"/>
      <c r="FS203" s="10"/>
      <c r="FT203" s="10"/>
      <c r="FU203" s="10"/>
      <c r="FV203" s="10"/>
      <c r="FW203" s="10"/>
      <c r="FX203" s="10"/>
      <c r="FY203" s="10"/>
      <c r="FZ203" s="10"/>
      <c r="GA203" s="10"/>
      <c r="GB203" s="10"/>
      <c r="GC203" s="10"/>
      <c r="GD203" s="10"/>
      <c r="GE203" s="10"/>
      <c r="GF203" s="10"/>
      <c r="GG203" s="10"/>
      <c r="GH203" s="10"/>
      <c r="GI203" s="10"/>
      <c r="GJ203" s="10"/>
      <c r="GK203" s="10"/>
    </row>
    <row r="204" customFormat="false" ht="12.75" hidden="false" customHeight="false" outlineLevel="0" collapsed="false">
      <c r="A204" s="7"/>
      <c r="B204" s="7"/>
      <c r="C204" s="8"/>
      <c r="D204" s="8"/>
      <c r="E204" s="8"/>
      <c r="F204" s="8"/>
      <c r="G204" s="9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W204" s="10"/>
      <c r="CX204" s="10"/>
      <c r="CY204" s="10"/>
      <c r="CZ204" s="10"/>
      <c r="DA204" s="10"/>
      <c r="DB204" s="10"/>
      <c r="DC204" s="10"/>
      <c r="DD204" s="10"/>
      <c r="DE204" s="10"/>
      <c r="DF204" s="10"/>
      <c r="DG204" s="10"/>
      <c r="DH204" s="10"/>
      <c r="DI204" s="10"/>
      <c r="DJ204" s="10"/>
      <c r="DK204" s="10"/>
      <c r="DL204" s="10"/>
      <c r="DM204" s="10"/>
      <c r="DN204" s="10"/>
      <c r="DO204" s="10"/>
      <c r="DP204" s="10"/>
      <c r="DQ204" s="10"/>
      <c r="DR204" s="10"/>
      <c r="DS204" s="10"/>
      <c r="DT204" s="10"/>
      <c r="DU204" s="10"/>
      <c r="DV204" s="10"/>
      <c r="DW204" s="10"/>
      <c r="DX204" s="10"/>
      <c r="DY204" s="10"/>
      <c r="DZ204" s="10"/>
      <c r="EA204" s="10"/>
      <c r="EB204" s="10"/>
      <c r="EC204" s="10"/>
      <c r="ED204" s="10"/>
      <c r="EE204" s="10"/>
      <c r="EF204" s="10"/>
      <c r="EG204" s="10"/>
      <c r="EH204" s="10"/>
      <c r="EI204" s="10"/>
      <c r="EJ204" s="10"/>
      <c r="EK204" s="10"/>
      <c r="EL204" s="10"/>
      <c r="EM204" s="10"/>
      <c r="EN204" s="10"/>
      <c r="EO204" s="10"/>
      <c r="EP204" s="10"/>
      <c r="EQ204" s="10"/>
      <c r="ER204" s="10"/>
      <c r="ES204" s="10"/>
      <c r="ET204" s="10"/>
      <c r="EU204" s="10"/>
      <c r="EV204" s="10"/>
      <c r="EW204" s="10"/>
      <c r="EX204" s="10"/>
      <c r="EY204" s="10"/>
      <c r="EZ204" s="10"/>
      <c r="FA204" s="10"/>
      <c r="FB204" s="10"/>
      <c r="FC204" s="10"/>
      <c r="FD204" s="10"/>
      <c r="FE204" s="10"/>
      <c r="FF204" s="10"/>
      <c r="FG204" s="10"/>
      <c r="FH204" s="10"/>
      <c r="FI204" s="10"/>
      <c r="FJ204" s="10"/>
      <c r="FK204" s="10"/>
      <c r="FL204" s="10"/>
      <c r="FM204" s="10"/>
      <c r="FN204" s="10"/>
      <c r="FO204" s="10"/>
      <c r="FP204" s="10"/>
      <c r="FQ204" s="10"/>
      <c r="FR204" s="10"/>
      <c r="FS204" s="10"/>
      <c r="FT204" s="10"/>
      <c r="FU204" s="10"/>
      <c r="FV204" s="10"/>
      <c r="FW204" s="10"/>
      <c r="FX204" s="10"/>
      <c r="FY204" s="10"/>
      <c r="FZ204" s="10"/>
      <c r="GA204" s="10"/>
      <c r="GB204" s="10"/>
      <c r="GC204" s="10"/>
      <c r="GD204" s="10"/>
      <c r="GE204" s="10"/>
      <c r="GF204" s="10"/>
      <c r="GG204" s="10"/>
      <c r="GH204" s="10"/>
      <c r="GI204" s="10"/>
      <c r="GJ204" s="10"/>
      <c r="GK204" s="10"/>
    </row>
    <row r="205" customFormat="false" ht="12.75" hidden="false" customHeight="false" outlineLevel="0" collapsed="false">
      <c r="A205" s="7"/>
      <c r="B205" s="7"/>
      <c r="C205" s="8"/>
      <c r="D205" s="8"/>
      <c r="E205" s="8"/>
      <c r="F205" s="8"/>
      <c r="G205" s="9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10"/>
      <c r="CX205" s="10"/>
      <c r="CY205" s="10"/>
      <c r="CZ205" s="10"/>
      <c r="DA205" s="10"/>
      <c r="DB205" s="10"/>
      <c r="DC205" s="10"/>
      <c r="DD205" s="10"/>
      <c r="DE205" s="10"/>
      <c r="DF205" s="10"/>
      <c r="DG205" s="10"/>
      <c r="DH205" s="10"/>
      <c r="DI205" s="10"/>
      <c r="DJ205" s="10"/>
      <c r="DK205" s="10"/>
      <c r="DL205" s="10"/>
      <c r="DM205" s="10"/>
      <c r="DN205" s="10"/>
      <c r="DO205" s="10"/>
      <c r="DP205" s="10"/>
      <c r="DQ205" s="10"/>
      <c r="DR205" s="10"/>
      <c r="DS205" s="10"/>
      <c r="DT205" s="10"/>
      <c r="DU205" s="10"/>
      <c r="DV205" s="10"/>
      <c r="DW205" s="10"/>
      <c r="DX205" s="10"/>
      <c r="DY205" s="10"/>
      <c r="DZ205" s="10"/>
      <c r="EA205" s="10"/>
      <c r="EB205" s="10"/>
      <c r="EC205" s="10"/>
      <c r="ED205" s="10"/>
      <c r="EE205" s="10"/>
      <c r="EF205" s="10"/>
      <c r="EG205" s="10"/>
      <c r="EH205" s="10"/>
      <c r="EI205" s="10"/>
      <c r="EJ205" s="10"/>
      <c r="EK205" s="10"/>
      <c r="EL205" s="10"/>
      <c r="EM205" s="10"/>
      <c r="EN205" s="10"/>
      <c r="EO205" s="10"/>
      <c r="EP205" s="10"/>
      <c r="EQ205" s="10"/>
      <c r="ER205" s="10"/>
      <c r="ES205" s="10"/>
      <c r="ET205" s="10"/>
      <c r="EU205" s="10"/>
      <c r="EV205" s="10"/>
      <c r="EW205" s="10"/>
      <c r="EX205" s="10"/>
      <c r="EY205" s="10"/>
      <c r="EZ205" s="10"/>
      <c r="FA205" s="10"/>
      <c r="FB205" s="10"/>
      <c r="FC205" s="10"/>
      <c r="FD205" s="10"/>
      <c r="FE205" s="10"/>
      <c r="FF205" s="10"/>
      <c r="FG205" s="10"/>
      <c r="FH205" s="10"/>
      <c r="FI205" s="10"/>
      <c r="FJ205" s="10"/>
      <c r="FK205" s="10"/>
      <c r="FL205" s="10"/>
      <c r="FM205" s="10"/>
      <c r="FN205" s="10"/>
      <c r="FO205" s="10"/>
      <c r="FP205" s="10"/>
      <c r="FQ205" s="10"/>
      <c r="FR205" s="10"/>
      <c r="FS205" s="10"/>
      <c r="FT205" s="10"/>
      <c r="FU205" s="10"/>
      <c r="FV205" s="10"/>
      <c r="FW205" s="10"/>
      <c r="FX205" s="10"/>
      <c r="FY205" s="10"/>
      <c r="FZ205" s="10"/>
      <c r="GA205" s="10"/>
      <c r="GB205" s="10"/>
      <c r="GC205" s="10"/>
      <c r="GD205" s="10"/>
      <c r="GE205" s="10"/>
      <c r="GF205" s="10"/>
      <c r="GG205" s="10"/>
      <c r="GH205" s="10"/>
      <c r="GI205" s="10"/>
      <c r="GJ205" s="10"/>
      <c r="GK205" s="10"/>
    </row>
    <row r="206" customFormat="false" ht="12.75" hidden="false" customHeight="false" outlineLevel="0" collapsed="false">
      <c r="A206" s="7"/>
      <c r="B206" s="7"/>
      <c r="C206" s="8"/>
      <c r="D206" s="8"/>
      <c r="E206" s="8"/>
      <c r="F206" s="8"/>
      <c r="G206" s="9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  <c r="CW206" s="10"/>
      <c r="CX206" s="10"/>
      <c r="CY206" s="10"/>
      <c r="CZ206" s="10"/>
      <c r="DA206" s="10"/>
      <c r="DB206" s="10"/>
      <c r="DC206" s="10"/>
      <c r="DD206" s="10"/>
      <c r="DE206" s="10"/>
      <c r="DF206" s="10"/>
      <c r="DG206" s="10"/>
      <c r="DH206" s="10"/>
      <c r="DI206" s="10"/>
      <c r="DJ206" s="10"/>
      <c r="DK206" s="10"/>
      <c r="DL206" s="10"/>
      <c r="DM206" s="10"/>
      <c r="DN206" s="10"/>
      <c r="DO206" s="10"/>
      <c r="DP206" s="10"/>
      <c r="DQ206" s="10"/>
      <c r="DR206" s="10"/>
      <c r="DS206" s="10"/>
      <c r="DT206" s="10"/>
      <c r="DU206" s="10"/>
      <c r="DV206" s="10"/>
      <c r="DW206" s="10"/>
      <c r="DX206" s="10"/>
      <c r="DY206" s="10"/>
      <c r="DZ206" s="10"/>
      <c r="EA206" s="10"/>
      <c r="EB206" s="10"/>
      <c r="EC206" s="10"/>
      <c r="ED206" s="10"/>
      <c r="EE206" s="10"/>
      <c r="EF206" s="10"/>
      <c r="EG206" s="10"/>
      <c r="EH206" s="10"/>
      <c r="EI206" s="10"/>
      <c r="EJ206" s="10"/>
      <c r="EK206" s="10"/>
      <c r="EL206" s="10"/>
      <c r="EM206" s="10"/>
      <c r="EN206" s="10"/>
      <c r="EO206" s="10"/>
      <c r="EP206" s="10"/>
      <c r="EQ206" s="10"/>
      <c r="ER206" s="10"/>
      <c r="ES206" s="10"/>
      <c r="ET206" s="10"/>
      <c r="EU206" s="10"/>
      <c r="EV206" s="10"/>
      <c r="EW206" s="10"/>
      <c r="EX206" s="10"/>
      <c r="EY206" s="10"/>
      <c r="EZ206" s="10"/>
      <c r="FA206" s="10"/>
      <c r="FB206" s="10"/>
      <c r="FC206" s="10"/>
      <c r="FD206" s="10"/>
      <c r="FE206" s="10"/>
      <c r="FF206" s="10"/>
      <c r="FG206" s="10"/>
      <c r="FH206" s="10"/>
      <c r="FI206" s="10"/>
      <c r="FJ206" s="10"/>
      <c r="FK206" s="10"/>
      <c r="FL206" s="10"/>
      <c r="FM206" s="10"/>
      <c r="FN206" s="10"/>
      <c r="FO206" s="10"/>
      <c r="FP206" s="10"/>
      <c r="FQ206" s="10"/>
      <c r="FR206" s="10"/>
      <c r="FS206" s="10"/>
      <c r="FT206" s="10"/>
      <c r="FU206" s="10"/>
      <c r="FV206" s="10"/>
      <c r="FW206" s="10"/>
      <c r="FX206" s="10"/>
      <c r="FY206" s="10"/>
      <c r="FZ206" s="10"/>
      <c r="GA206" s="10"/>
      <c r="GB206" s="10"/>
      <c r="GC206" s="10"/>
      <c r="GD206" s="10"/>
      <c r="GE206" s="10"/>
      <c r="GF206" s="10"/>
      <c r="GG206" s="10"/>
      <c r="GH206" s="10"/>
      <c r="GI206" s="10"/>
      <c r="GJ206" s="10"/>
      <c r="GK206" s="10"/>
    </row>
    <row r="207" customFormat="false" ht="12.75" hidden="false" customHeight="false" outlineLevel="0" collapsed="false">
      <c r="A207" s="7"/>
      <c r="B207" s="7"/>
      <c r="C207" s="8"/>
      <c r="D207" s="8"/>
      <c r="E207" s="8"/>
      <c r="F207" s="8"/>
      <c r="G207" s="9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  <c r="CW207" s="10"/>
      <c r="CX207" s="10"/>
      <c r="CY207" s="10"/>
      <c r="CZ207" s="10"/>
      <c r="DA207" s="10"/>
      <c r="DB207" s="10"/>
      <c r="DC207" s="10"/>
      <c r="DD207" s="10"/>
      <c r="DE207" s="10"/>
      <c r="DF207" s="10"/>
      <c r="DG207" s="10"/>
      <c r="DH207" s="10"/>
      <c r="DI207" s="10"/>
      <c r="DJ207" s="10"/>
      <c r="DK207" s="10"/>
      <c r="DL207" s="10"/>
      <c r="DM207" s="10"/>
      <c r="DN207" s="10"/>
      <c r="DO207" s="10"/>
      <c r="DP207" s="10"/>
      <c r="DQ207" s="10"/>
      <c r="DR207" s="10"/>
      <c r="DS207" s="10"/>
      <c r="DT207" s="10"/>
      <c r="DU207" s="10"/>
      <c r="DV207" s="10"/>
      <c r="DW207" s="10"/>
      <c r="DX207" s="10"/>
      <c r="DY207" s="10"/>
      <c r="DZ207" s="10"/>
      <c r="EA207" s="10"/>
      <c r="EB207" s="10"/>
      <c r="EC207" s="10"/>
      <c r="ED207" s="10"/>
      <c r="EE207" s="10"/>
      <c r="EF207" s="10"/>
      <c r="EG207" s="10"/>
      <c r="EH207" s="10"/>
      <c r="EI207" s="10"/>
      <c r="EJ207" s="10"/>
      <c r="EK207" s="10"/>
      <c r="EL207" s="10"/>
      <c r="EM207" s="10"/>
      <c r="EN207" s="10"/>
      <c r="EO207" s="10"/>
      <c r="EP207" s="10"/>
      <c r="EQ207" s="10"/>
      <c r="ER207" s="10"/>
      <c r="ES207" s="10"/>
      <c r="ET207" s="10"/>
      <c r="EU207" s="10"/>
      <c r="EV207" s="10"/>
      <c r="EW207" s="10"/>
      <c r="EX207" s="10"/>
      <c r="EY207" s="10"/>
      <c r="EZ207" s="10"/>
      <c r="FA207" s="10"/>
      <c r="FB207" s="10"/>
      <c r="FC207" s="10"/>
      <c r="FD207" s="10"/>
      <c r="FE207" s="10"/>
      <c r="FF207" s="10"/>
      <c r="FG207" s="10"/>
      <c r="FH207" s="10"/>
      <c r="FI207" s="10"/>
      <c r="FJ207" s="10"/>
      <c r="FK207" s="10"/>
      <c r="FL207" s="10"/>
      <c r="FM207" s="10"/>
      <c r="FN207" s="10"/>
      <c r="FO207" s="10"/>
      <c r="FP207" s="10"/>
      <c r="FQ207" s="10"/>
      <c r="FR207" s="10"/>
      <c r="FS207" s="10"/>
      <c r="FT207" s="10"/>
      <c r="FU207" s="10"/>
      <c r="FV207" s="10"/>
      <c r="FW207" s="10"/>
      <c r="FX207" s="10"/>
      <c r="FY207" s="10"/>
      <c r="FZ207" s="10"/>
      <c r="GA207" s="10"/>
      <c r="GB207" s="10"/>
      <c r="GC207" s="10"/>
      <c r="GD207" s="10"/>
      <c r="GE207" s="10"/>
      <c r="GF207" s="10"/>
      <c r="GG207" s="10"/>
      <c r="GH207" s="10"/>
      <c r="GI207" s="10"/>
      <c r="GJ207" s="10"/>
      <c r="GK207" s="10"/>
    </row>
    <row r="208" customFormat="false" ht="12.75" hidden="false" customHeight="false" outlineLevel="0" collapsed="false">
      <c r="A208" s="7"/>
      <c r="B208" s="7"/>
      <c r="C208" s="8"/>
      <c r="D208" s="8"/>
      <c r="E208" s="8"/>
      <c r="F208" s="8"/>
      <c r="G208" s="9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10"/>
      <c r="CX208" s="10"/>
      <c r="CY208" s="10"/>
      <c r="CZ208" s="10"/>
      <c r="DA208" s="10"/>
      <c r="DB208" s="10"/>
      <c r="DC208" s="10"/>
      <c r="DD208" s="10"/>
      <c r="DE208" s="10"/>
      <c r="DF208" s="10"/>
      <c r="DG208" s="10"/>
      <c r="DH208" s="10"/>
      <c r="DI208" s="10"/>
      <c r="DJ208" s="10"/>
      <c r="DK208" s="10"/>
      <c r="DL208" s="10"/>
      <c r="DM208" s="10"/>
      <c r="DN208" s="10"/>
      <c r="DO208" s="10"/>
      <c r="DP208" s="10"/>
      <c r="DQ208" s="10"/>
      <c r="DR208" s="10"/>
      <c r="DS208" s="10"/>
      <c r="DT208" s="10"/>
      <c r="DU208" s="10"/>
      <c r="DV208" s="10"/>
      <c r="DW208" s="10"/>
      <c r="DX208" s="10"/>
      <c r="DY208" s="10"/>
      <c r="DZ208" s="10"/>
      <c r="EA208" s="10"/>
      <c r="EB208" s="10"/>
      <c r="EC208" s="10"/>
      <c r="ED208" s="10"/>
      <c r="EE208" s="10"/>
      <c r="EF208" s="10"/>
      <c r="EG208" s="10"/>
      <c r="EH208" s="10"/>
      <c r="EI208" s="10"/>
      <c r="EJ208" s="10"/>
      <c r="EK208" s="10"/>
      <c r="EL208" s="10"/>
      <c r="EM208" s="10"/>
      <c r="EN208" s="10"/>
      <c r="EO208" s="10"/>
      <c r="EP208" s="10"/>
      <c r="EQ208" s="10"/>
      <c r="ER208" s="10"/>
      <c r="ES208" s="10"/>
      <c r="ET208" s="10"/>
      <c r="EU208" s="10"/>
      <c r="EV208" s="10"/>
      <c r="EW208" s="10"/>
      <c r="EX208" s="10"/>
      <c r="EY208" s="10"/>
      <c r="EZ208" s="10"/>
      <c r="FA208" s="10"/>
      <c r="FB208" s="10"/>
      <c r="FC208" s="10"/>
      <c r="FD208" s="10"/>
      <c r="FE208" s="10"/>
      <c r="FF208" s="10"/>
      <c r="FG208" s="10"/>
      <c r="FH208" s="10"/>
      <c r="FI208" s="10"/>
      <c r="FJ208" s="10"/>
      <c r="FK208" s="10"/>
      <c r="FL208" s="10"/>
      <c r="FM208" s="10"/>
      <c r="FN208" s="10"/>
      <c r="FO208" s="10"/>
      <c r="FP208" s="10"/>
      <c r="FQ208" s="10"/>
      <c r="FR208" s="10"/>
      <c r="FS208" s="10"/>
      <c r="FT208" s="10"/>
      <c r="FU208" s="10"/>
      <c r="FV208" s="10"/>
      <c r="FW208" s="10"/>
      <c r="FX208" s="10"/>
      <c r="FY208" s="10"/>
      <c r="FZ208" s="10"/>
      <c r="GA208" s="10"/>
      <c r="GB208" s="10"/>
      <c r="GC208" s="10"/>
      <c r="GD208" s="10"/>
      <c r="GE208" s="10"/>
      <c r="GF208" s="10"/>
      <c r="GG208" s="10"/>
      <c r="GH208" s="10"/>
      <c r="GI208" s="10"/>
      <c r="GJ208" s="10"/>
      <c r="GK208" s="10"/>
    </row>
    <row r="209" customFormat="false" ht="12.75" hidden="false" customHeight="false" outlineLevel="0" collapsed="false">
      <c r="A209" s="7"/>
      <c r="B209" s="7"/>
      <c r="C209" s="8"/>
      <c r="D209" s="8"/>
      <c r="E209" s="8"/>
      <c r="F209" s="8"/>
      <c r="G209" s="9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W209" s="10"/>
      <c r="CX209" s="10"/>
      <c r="CY209" s="10"/>
      <c r="CZ209" s="10"/>
      <c r="DA209" s="10"/>
      <c r="DB209" s="10"/>
      <c r="DC209" s="10"/>
      <c r="DD209" s="10"/>
      <c r="DE209" s="10"/>
      <c r="DF209" s="10"/>
      <c r="DG209" s="10"/>
      <c r="DH209" s="10"/>
      <c r="DI209" s="10"/>
      <c r="DJ209" s="10"/>
      <c r="DK209" s="10"/>
      <c r="DL209" s="10"/>
      <c r="DM209" s="10"/>
      <c r="DN209" s="10"/>
      <c r="DO209" s="10"/>
      <c r="DP209" s="10"/>
      <c r="DQ209" s="10"/>
      <c r="DR209" s="10"/>
      <c r="DS209" s="10"/>
      <c r="DT209" s="10"/>
      <c r="DU209" s="10"/>
      <c r="DV209" s="10"/>
      <c r="DW209" s="10"/>
      <c r="DX209" s="10"/>
      <c r="DY209" s="10"/>
      <c r="DZ209" s="10"/>
      <c r="EA209" s="10"/>
      <c r="EB209" s="10"/>
      <c r="EC209" s="10"/>
      <c r="ED209" s="10"/>
      <c r="EE209" s="10"/>
      <c r="EF209" s="10"/>
      <c r="EG209" s="10"/>
      <c r="EH209" s="10"/>
      <c r="EI209" s="10"/>
      <c r="EJ209" s="10"/>
      <c r="EK209" s="10"/>
      <c r="EL209" s="10"/>
      <c r="EM209" s="10"/>
      <c r="EN209" s="10"/>
      <c r="EO209" s="10"/>
      <c r="EP209" s="10"/>
      <c r="EQ209" s="10"/>
      <c r="ER209" s="10"/>
      <c r="ES209" s="10"/>
      <c r="ET209" s="10"/>
      <c r="EU209" s="10"/>
      <c r="EV209" s="10"/>
      <c r="EW209" s="10"/>
      <c r="EX209" s="10"/>
      <c r="EY209" s="10"/>
      <c r="EZ209" s="10"/>
      <c r="FA209" s="10"/>
      <c r="FB209" s="10"/>
      <c r="FC209" s="10"/>
      <c r="FD209" s="10"/>
      <c r="FE209" s="10"/>
      <c r="FF209" s="10"/>
      <c r="FG209" s="10"/>
      <c r="FH209" s="10"/>
      <c r="FI209" s="10"/>
      <c r="FJ209" s="10"/>
      <c r="FK209" s="10"/>
      <c r="FL209" s="10"/>
      <c r="FM209" s="10"/>
      <c r="FN209" s="10"/>
      <c r="FO209" s="10"/>
      <c r="FP209" s="10"/>
      <c r="FQ209" s="10"/>
      <c r="FR209" s="10"/>
      <c r="FS209" s="10"/>
      <c r="FT209" s="10"/>
      <c r="FU209" s="10"/>
      <c r="FV209" s="10"/>
      <c r="FW209" s="10"/>
      <c r="FX209" s="10"/>
      <c r="FY209" s="10"/>
      <c r="FZ209" s="10"/>
      <c r="GA209" s="10"/>
      <c r="GB209" s="10"/>
      <c r="GC209" s="10"/>
      <c r="GD209" s="10"/>
      <c r="GE209" s="10"/>
      <c r="GF209" s="10"/>
      <c r="GG209" s="10"/>
      <c r="GH209" s="10"/>
      <c r="GI209" s="10"/>
      <c r="GJ209" s="10"/>
      <c r="GK209" s="10"/>
    </row>
    <row r="210" customFormat="false" ht="12.75" hidden="false" customHeight="false" outlineLevel="0" collapsed="false">
      <c r="A210" s="7"/>
      <c r="B210" s="7"/>
      <c r="C210" s="8"/>
      <c r="D210" s="8"/>
      <c r="E210" s="8"/>
      <c r="F210" s="8"/>
      <c r="G210" s="9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  <c r="CW210" s="10"/>
      <c r="CX210" s="10"/>
      <c r="CY210" s="10"/>
      <c r="CZ210" s="10"/>
      <c r="DA210" s="10"/>
      <c r="DB210" s="10"/>
      <c r="DC210" s="10"/>
      <c r="DD210" s="10"/>
      <c r="DE210" s="10"/>
      <c r="DF210" s="10"/>
      <c r="DG210" s="10"/>
      <c r="DH210" s="10"/>
      <c r="DI210" s="10"/>
      <c r="DJ210" s="10"/>
      <c r="DK210" s="10"/>
      <c r="DL210" s="10"/>
      <c r="DM210" s="10"/>
      <c r="DN210" s="10"/>
      <c r="DO210" s="10"/>
      <c r="DP210" s="10"/>
      <c r="DQ210" s="10"/>
      <c r="DR210" s="10"/>
      <c r="DS210" s="10"/>
      <c r="DT210" s="10"/>
      <c r="DU210" s="10"/>
      <c r="DV210" s="10"/>
      <c r="DW210" s="10"/>
      <c r="DX210" s="10"/>
      <c r="DY210" s="10"/>
      <c r="DZ210" s="10"/>
      <c r="EA210" s="10"/>
      <c r="EB210" s="10"/>
      <c r="EC210" s="10"/>
      <c r="ED210" s="10"/>
      <c r="EE210" s="10"/>
      <c r="EF210" s="10"/>
      <c r="EG210" s="10"/>
      <c r="EH210" s="10"/>
      <c r="EI210" s="10"/>
      <c r="EJ210" s="10"/>
      <c r="EK210" s="10"/>
      <c r="EL210" s="10"/>
      <c r="EM210" s="10"/>
      <c r="EN210" s="10"/>
      <c r="EO210" s="10"/>
      <c r="EP210" s="10"/>
      <c r="EQ210" s="10"/>
      <c r="ER210" s="10"/>
      <c r="ES210" s="10"/>
      <c r="ET210" s="10"/>
      <c r="EU210" s="10"/>
      <c r="EV210" s="10"/>
      <c r="EW210" s="10"/>
      <c r="EX210" s="10"/>
      <c r="EY210" s="10"/>
      <c r="EZ210" s="10"/>
      <c r="FA210" s="10"/>
      <c r="FB210" s="10"/>
      <c r="FC210" s="10"/>
      <c r="FD210" s="10"/>
      <c r="FE210" s="10"/>
      <c r="FF210" s="10"/>
      <c r="FG210" s="10"/>
      <c r="FH210" s="10"/>
      <c r="FI210" s="10"/>
      <c r="FJ210" s="10"/>
      <c r="FK210" s="10"/>
      <c r="FL210" s="10"/>
      <c r="FM210" s="10"/>
      <c r="FN210" s="10"/>
      <c r="FO210" s="10"/>
      <c r="FP210" s="10"/>
      <c r="FQ210" s="10"/>
      <c r="FR210" s="10"/>
      <c r="FS210" s="10"/>
      <c r="FT210" s="10"/>
      <c r="FU210" s="10"/>
      <c r="FV210" s="10"/>
      <c r="FW210" s="10"/>
      <c r="FX210" s="10"/>
      <c r="FY210" s="10"/>
      <c r="FZ210" s="10"/>
      <c r="GA210" s="10"/>
      <c r="GB210" s="10"/>
      <c r="GC210" s="10"/>
      <c r="GD210" s="10"/>
      <c r="GE210" s="10"/>
      <c r="GF210" s="10"/>
      <c r="GG210" s="10"/>
      <c r="GH210" s="10"/>
      <c r="GI210" s="10"/>
      <c r="GJ210" s="10"/>
      <c r="GK210" s="10"/>
    </row>
    <row r="211" customFormat="false" ht="12.75" hidden="false" customHeight="false" outlineLevel="0" collapsed="false">
      <c r="A211" s="7"/>
      <c r="B211" s="7"/>
      <c r="C211" s="8"/>
      <c r="D211" s="8"/>
      <c r="E211" s="8"/>
      <c r="F211" s="8"/>
      <c r="G211" s="9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10"/>
      <c r="CX211" s="10"/>
      <c r="CY211" s="10"/>
      <c r="CZ211" s="10"/>
      <c r="DA211" s="10"/>
      <c r="DB211" s="10"/>
      <c r="DC211" s="10"/>
      <c r="DD211" s="10"/>
      <c r="DE211" s="10"/>
      <c r="DF211" s="10"/>
      <c r="DG211" s="10"/>
      <c r="DH211" s="10"/>
      <c r="DI211" s="10"/>
      <c r="DJ211" s="10"/>
      <c r="DK211" s="10"/>
      <c r="DL211" s="10"/>
      <c r="DM211" s="10"/>
      <c r="DN211" s="10"/>
      <c r="DO211" s="10"/>
      <c r="DP211" s="10"/>
      <c r="DQ211" s="10"/>
      <c r="DR211" s="10"/>
      <c r="DS211" s="10"/>
      <c r="DT211" s="10"/>
      <c r="DU211" s="10"/>
      <c r="DV211" s="10"/>
      <c r="DW211" s="10"/>
      <c r="DX211" s="10"/>
      <c r="DY211" s="10"/>
      <c r="DZ211" s="10"/>
      <c r="EA211" s="10"/>
      <c r="EB211" s="10"/>
      <c r="EC211" s="10"/>
      <c r="ED211" s="10"/>
      <c r="EE211" s="10"/>
      <c r="EF211" s="10"/>
      <c r="EG211" s="10"/>
      <c r="EH211" s="10"/>
      <c r="EI211" s="10"/>
      <c r="EJ211" s="10"/>
      <c r="EK211" s="10"/>
      <c r="EL211" s="10"/>
      <c r="EM211" s="10"/>
      <c r="EN211" s="10"/>
      <c r="EO211" s="10"/>
      <c r="EP211" s="10"/>
      <c r="EQ211" s="10"/>
      <c r="ER211" s="10"/>
      <c r="ES211" s="10"/>
      <c r="ET211" s="10"/>
      <c r="EU211" s="10"/>
      <c r="EV211" s="10"/>
      <c r="EW211" s="10"/>
      <c r="EX211" s="10"/>
      <c r="EY211" s="10"/>
      <c r="EZ211" s="10"/>
      <c r="FA211" s="10"/>
      <c r="FB211" s="10"/>
      <c r="FC211" s="10"/>
      <c r="FD211" s="10"/>
      <c r="FE211" s="10"/>
      <c r="FF211" s="10"/>
      <c r="FG211" s="10"/>
      <c r="FH211" s="10"/>
      <c r="FI211" s="10"/>
      <c r="FJ211" s="10"/>
      <c r="FK211" s="10"/>
      <c r="FL211" s="10"/>
      <c r="FM211" s="10"/>
      <c r="FN211" s="10"/>
      <c r="FO211" s="10"/>
      <c r="FP211" s="10"/>
      <c r="FQ211" s="10"/>
      <c r="FR211" s="10"/>
      <c r="FS211" s="10"/>
      <c r="FT211" s="10"/>
      <c r="FU211" s="10"/>
      <c r="FV211" s="10"/>
      <c r="FW211" s="10"/>
      <c r="FX211" s="10"/>
      <c r="FY211" s="10"/>
      <c r="FZ211" s="10"/>
      <c r="GA211" s="10"/>
      <c r="GB211" s="10"/>
      <c r="GC211" s="10"/>
      <c r="GD211" s="10"/>
      <c r="GE211" s="10"/>
      <c r="GF211" s="10"/>
      <c r="GG211" s="10"/>
      <c r="GH211" s="10"/>
      <c r="GI211" s="10"/>
      <c r="GJ211" s="10"/>
      <c r="GK211" s="10"/>
    </row>
    <row r="212" customFormat="false" ht="12.75" hidden="false" customHeight="false" outlineLevel="0" collapsed="false">
      <c r="A212" s="7"/>
      <c r="B212" s="7"/>
      <c r="C212" s="8"/>
      <c r="D212" s="8"/>
      <c r="E212" s="8"/>
      <c r="F212" s="8"/>
      <c r="G212" s="9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10"/>
      <c r="CX212" s="10"/>
      <c r="CY212" s="10"/>
      <c r="CZ212" s="10"/>
      <c r="DA212" s="10"/>
      <c r="DB212" s="10"/>
      <c r="DC212" s="10"/>
      <c r="DD212" s="10"/>
      <c r="DE212" s="10"/>
      <c r="DF212" s="10"/>
      <c r="DG212" s="10"/>
      <c r="DH212" s="10"/>
      <c r="DI212" s="10"/>
      <c r="DJ212" s="10"/>
      <c r="DK212" s="10"/>
      <c r="DL212" s="10"/>
      <c r="DM212" s="10"/>
      <c r="DN212" s="10"/>
      <c r="DO212" s="10"/>
      <c r="DP212" s="10"/>
      <c r="DQ212" s="10"/>
      <c r="DR212" s="10"/>
      <c r="DS212" s="10"/>
      <c r="DT212" s="10"/>
      <c r="DU212" s="10"/>
      <c r="DV212" s="10"/>
      <c r="DW212" s="10"/>
      <c r="DX212" s="10"/>
      <c r="DY212" s="10"/>
      <c r="DZ212" s="10"/>
      <c r="EA212" s="10"/>
      <c r="EB212" s="10"/>
      <c r="EC212" s="10"/>
      <c r="ED212" s="10"/>
      <c r="EE212" s="10"/>
      <c r="EF212" s="10"/>
      <c r="EG212" s="10"/>
      <c r="EH212" s="10"/>
      <c r="EI212" s="10"/>
      <c r="EJ212" s="10"/>
      <c r="EK212" s="10"/>
      <c r="EL212" s="10"/>
      <c r="EM212" s="10"/>
      <c r="EN212" s="10"/>
      <c r="EO212" s="10"/>
      <c r="EP212" s="10"/>
      <c r="EQ212" s="10"/>
      <c r="ER212" s="10"/>
      <c r="ES212" s="10"/>
      <c r="ET212" s="10"/>
      <c r="EU212" s="10"/>
      <c r="EV212" s="10"/>
      <c r="EW212" s="10"/>
      <c r="EX212" s="10"/>
      <c r="EY212" s="10"/>
      <c r="EZ212" s="10"/>
      <c r="FA212" s="10"/>
      <c r="FB212" s="10"/>
      <c r="FC212" s="10"/>
      <c r="FD212" s="10"/>
      <c r="FE212" s="10"/>
      <c r="FF212" s="10"/>
      <c r="FG212" s="10"/>
      <c r="FH212" s="10"/>
      <c r="FI212" s="10"/>
      <c r="FJ212" s="10"/>
      <c r="FK212" s="10"/>
      <c r="FL212" s="10"/>
      <c r="FM212" s="10"/>
      <c r="FN212" s="10"/>
      <c r="FO212" s="10"/>
      <c r="FP212" s="10"/>
      <c r="FQ212" s="10"/>
      <c r="FR212" s="10"/>
      <c r="FS212" s="10"/>
      <c r="FT212" s="10"/>
      <c r="FU212" s="10"/>
      <c r="FV212" s="10"/>
      <c r="FW212" s="10"/>
      <c r="FX212" s="10"/>
      <c r="FY212" s="10"/>
      <c r="FZ212" s="10"/>
      <c r="GA212" s="10"/>
      <c r="GB212" s="10"/>
      <c r="GC212" s="10"/>
      <c r="GD212" s="10"/>
      <c r="GE212" s="10"/>
      <c r="GF212" s="10"/>
      <c r="GG212" s="10"/>
      <c r="GH212" s="10"/>
      <c r="GI212" s="10"/>
      <c r="GJ212" s="10"/>
      <c r="GK212" s="10"/>
    </row>
    <row r="213" customFormat="false" ht="12.75" hidden="false" customHeight="false" outlineLevel="0" collapsed="false">
      <c r="A213" s="7"/>
      <c r="B213" s="7"/>
      <c r="C213" s="8"/>
      <c r="D213" s="8"/>
      <c r="E213" s="8"/>
      <c r="F213" s="8"/>
      <c r="G213" s="9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10"/>
      <c r="CX213" s="10"/>
      <c r="CY213" s="10"/>
      <c r="CZ213" s="10"/>
      <c r="DA213" s="10"/>
      <c r="DB213" s="10"/>
      <c r="DC213" s="10"/>
      <c r="DD213" s="10"/>
      <c r="DE213" s="10"/>
      <c r="DF213" s="10"/>
      <c r="DG213" s="10"/>
      <c r="DH213" s="10"/>
      <c r="DI213" s="10"/>
      <c r="DJ213" s="10"/>
      <c r="DK213" s="10"/>
      <c r="DL213" s="10"/>
      <c r="DM213" s="10"/>
      <c r="DN213" s="10"/>
      <c r="DO213" s="10"/>
      <c r="DP213" s="10"/>
      <c r="DQ213" s="10"/>
      <c r="DR213" s="10"/>
      <c r="DS213" s="10"/>
      <c r="DT213" s="10"/>
      <c r="DU213" s="10"/>
      <c r="DV213" s="10"/>
      <c r="DW213" s="10"/>
      <c r="DX213" s="10"/>
      <c r="DY213" s="10"/>
      <c r="DZ213" s="10"/>
      <c r="EA213" s="10"/>
      <c r="EB213" s="10"/>
      <c r="EC213" s="10"/>
      <c r="ED213" s="10"/>
      <c r="EE213" s="10"/>
      <c r="EF213" s="10"/>
      <c r="EG213" s="10"/>
      <c r="EH213" s="10"/>
      <c r="EI213" s="10"/>
      <c r="EJ213" s="10"/>
      <c r="EK213" s="10"/>
      <c r="EL213" s="10"/>
      <c r="EM213" s="10"/>
      <c r="EN213" s="10"/>
      <c r="EO213" s="10"/>
      <c r="EP213" s="10"/>
      <c r="EQ213" s="10"/>
      <c r="ER213" s="10"/>
      <c r="ES213" s="10"/>
      <c r="ET213" s="10"/>
      <c r="EU213" s="10"/>
      <c r="EV213" s="10"/>
      <c r="EW213" s="10"/>
      <c r="EX213" s="10"/>
      <c r="EY213" s="10"/>
      <c r="EZ213" s="10"/>
      <c r="FA213" s="10"/>
      <c r="FB213" s="10"/>
      <c r="FC213" s="10"/>
      <c r="FD213" s="10"/>
      <c r="FE213" s="10"/>
      <c r="FF213" s="10"/>
      <c r="FG213" s="10"/>
      <c r="FH213" s="10"/>
      <c r="FI213" s="10"/>
      <c r="FJ213" s="10"/>
      <c r="FK213" s="10"/>
      <c r="FL213" s="10"/>
      <c r="FM213" s="10"/>
      <c r="FN213" s="10"/>
      <c r="FO213" s="10"/>
      <c r="FP213" s="10"/>
      <c r="FQ213" s="10"/>
      <c r="FR213" s="10"/>
      <c r="FS213" s="10"/>
      <c r="FT213" s="10"/>
      <c r="FU213" s="10"/>
      <c r="FV213" s="10"/>
      <c r="FW213" s="10"/>
      <c r="FX213" s="10"/>
      <c r="FY213" s="10"/>
      <c r="FZ213" s="10"/>
      <c r="GA213" s="10"/>
      <c r="GB213" s="10"/>
      <c r="GC213" s="10"/>
      <c r="GD213" s="10"/>
      <c r="GE213" s="10"/>
      <c r="GF213" s="10"/>
      <c r="GG213" s="10"/>
      <c r="GH213" s="10"/>
      <c r="GI213" s="10"/>
      <c r="GJ213" s="10"/>
      <c r="GK213" s="10"/>
    </row>
    <row r="214" customFormat="false" ht="12.75" hidden="false" customHeight="false" outlineLevel="0" collapsed="false">
      <c r="A214" s="7"/>
      <c r="B214" s="7"/>
      <c r="C214" s="8"/>
      <c r="D214" s="8"/>
      <c r="E214" s="8"/>
      <c r="F214" s="8"/>
      <c r="G214" s="9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  <c r="EM214" s="10"/>
      <c r="EN214" s="10"/>
      <c r="EO214" s="10"/>
      <c r="EP214" s="10"/>
      <c r="EQ214" s="10"/>
      <c r="ER214" s="10"/>
      <c r="ES214" s="10"/>
      <c r="ET214" s="10"/>
      <c r="EU214" s="10"/>
      <c r="EV214" s="10"/>
      <c r="EW214" s="10"/>
      <c r="EX214" s="10"/>
      <c r="EY214" s="10"/>
      <c r="EZ214" s="10"/>
      <c r="FA214" s="10"/>
      <c r="FB214" s="10"/>
      <c r="FC214" s="10"/>
      <c r="FD214" s="10"/>
      <c r="FE214" s="10"/>
      <c r="FF214" s="10"/>
      <c r="FG214" s="10"/>
      <c r="FH214" s="10"/>
      <c r="FI214" s="10"/>
      <c r="FJ214" s="10"/>
      <c r="FK214" s="10"/>
      <c r="FL214" s="10"/>
      <c r="FM214" s="10"/>
      <c r="FN214" s="10"/>
      <c r="FO214" s="10"/>
      <c r="FP214" s="10"/>
      <c r="FQ214" s="10"/>
      <c r="FR214" s="10"/>
      <c r="FS214" s="10"/>
      <c r="FT214" s="10"/>
      <c r="FU214" s="10"/>
      <c r="FV214" s="10"/>
      <c r="FW214" s="10"/>
      <c r="FX214" s="10"/>
      <c r="FY214" s="10"/>
      <c r="FZ214" s="10"/>
      <c r="GA214" s="10"/>
      <c r="GB214" s="10"/>
      <c r="GC214" s="10"/>
      <c r="GD214" s="10"/>
      <c r="GE214" s="10"/>
      <c r="GF214" s="10"/>
      <c r="GG214" s="10"/>
      <c r="GH214" s="10"/>
      <c r="GI214" s="10"/>
      <c r="GJ214" s="10"/>
      <c r="GK214" s="10"/>
    </row>
    <row r="215" customFormat="false" ht="12.75" hidden="false" customHeight="false" outlineLevel="0" collapsed="false">
      <c r="A215" s="7"/>
      <c r="B215" s="7"/>
      <c r="C215" s="8"/>
      <c r="D215" s="8"/>
      <c r="E215" s="8"/>
      <c r="F215" s="8"/>
      <c r="G215" s="9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10"/>
      <c r="CX215" s="10"/>
      <c r="CY215" s="10"/>
      <c r="CZ215" s="10"/>
      <c r="DA215" s="10"/>
      <c r="DB215" s="10"/>
      <c r="DC215" s="10"/>
      <c r="DD215" s="10"/>
      <c r="DE215" s="10"/>
      <c r="DF215" s="10"/>
      <c r="DG215" s="10"/>
      <c r="DH215" s="10"/>
      <c r="DI215" s="10"/>
      <c r="DJ215" s="10"/>
      <c r="DK215" s="10"/>
      <c r="DL215" s="10"/>
      <c r="DM215" s="10"/>
      <c r="DN215" s="10"/>
      <c r="DO215" s="10"/>
      <c r="DP215" s="10"/>
      <c r="DQ215" s="10"/>
      <c r="DR215" s="10"/>
      <c r="DS215" s="10"/>
      <c r="DT215" s="10"/>
      <c r="DU215" s="10"/>
      <c r="DV215" s="10"/>
      <c r="DW215" s="10"/>
      <c r="DX215" s="10"/>
      <c r="DY215" s="10"/>
      <c r="DZ215" s="10"/>
      <c r="EA215" s="10"/>
      <c r="EB215" s="10"/>
      <c r="EC215" s="10"/>
      <c r="ED215" s="10"/>
      <c r="EE215" s="10"/>
      <c r="EF215" s="10"/>
      <c r="EG215" s="10"/>
      <c r="EH215" s="10"/>
      <c r="EI215" s="10"/>
      <c r="EJ215" s="10"/>
      <c r="EK215" s="10"/>
      <c r="EL215" s="10"/>
      <c r="EM215" s="10"/>
      <c r="EN215" s="10"/>
      <c r="EO215" s="10"/>
      <c r="EP215" s="10"/>
      <c r="EQ215" s="10"/>
      <c r="ER215" s="10"/>
      <c r="ES215" s="10"/>
      <c r="ET215" s="10"/>
      <c r="EU215" s="10"/>
      <c r="EV215" s="10"/>
      <c r="EW215" s="10"/>
      <c r="EX215" s="10"/>
      <c r="EY215" s="10"/>
      <c r="EZ215" s="10"/>
      <c r="FA215" s="10"/>
      <c r="FB215" s="10"/>
      <c r="FC215" s="10"/>
      <c r="FD215" s="10"/>
      <c r="FE215" s="10"/>
      <c r="FF215" s="10"/>
      <c r="FG215" s="10"/>
      <c r="FH215" s="10"/>
      <c r="FI215" s="10"/>
      <c r="FJ215" s="10"/>
      <c r="FK215" s="10"/>
      <c r="FL215" s="10"/>
      <c r="FM215" s="10"/>
      <c r="FN215" s="10"/>
      <c r="FO215" s="10"/>
      <c r="FP215" s="10"/>
      <c r="FQ215" s="10"/>
      <c r="FR215" s="10"/>
      <c r="FS215" s="10"/>
      <c r="FT215" s="10"/>
      <c r="FU215" s="10"/>
      <c r="FV215" s="10"/>
      <c r="FW215" s="10"/>
      <c r="FX215" s="10"/>
      <c r="FY215" s="10"/>
      <c r="FZ215" s="10"/>
      <c r="GA215" s="10"/>
      <c r="GB215" s="10"/>
      <c r="GC215" s="10"/>
      <c r="GD215" s="10"/>
      <c r="GE215" s="10"/>
      <c r="GF215" s="10"/>
      <c r="GG215" s="10"/>
      <c r="GH215" s="10"/>
      <c r="GI215" s="10"/>
      <c r="GJ215" s="10"/>
      <c r="GK215" s="10"/>
    </row>
    <row r="216" customFormat="false" ht="12.75" hidden="false" customHeight="false" outlineLevel="0" collapsed="false">
      <c r="A216" s="7"/>
      <c r="B216" s="7"/>
      <c r="C216" s="8"/>
      <c r="D216" s="8"/>
      <c r="E216" s="8"/>
      <c r="F216" s="8"/>
      <c r="G216" s="9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10"/>
      <c r="CX216" s="10"/>
      <c r="CY216" s="10"/>
      <c r="CZ216" s="10"/>
      <c r="DA216" s="10"/>
      <c r="DB216" s="10"/>
      <c r="DC216" s="10"/>
      <c r="DD216" s="10"/>
      <c r="DE216" s="10"/>
      <c r="DF216" s="10"/>
      <c r="DG216" s="10"/>
      <c r="DH216" s="10"/>
      <c r="DI216" s="10"/>
      <c r="DJ216" s="10"/>
      <c r="DK216" s="10"/>
      <c r="DL216" s="10"/>
      <c r="DM216" s="10"/>
      <c r="DN216" s="10"/>
      <c r="DO216" s="10"/>
      <c r="DP216" s="10"/>
      <c r="DQ216" s="10"/>
      <c r="DR216" s="10"/>
      <c r="DS216" s="10"/>
      <c r="DT216" s="10"/>
      <c r="DU216" s="10"/>
      <c r="DV216" s="10"/>
      <c r="DW216" s="10"/>
      <c r="DX216" s="10"/>
      <c r="DY216" s="10"/>
      <c r="DZ216" s="10"/>
      <c r="EA216" s="10"/>
      <c r="EB216" s="10"/>
      <c r="EC216" s="10"/>
      <c r="ED216" s="10"/>
      <c r="EE216" s="10"/>
      <c r="EF216" s="10"/>
      <c r="EG216" s="10"/>
      <c r="EH216" s="10"/>
      <c r="EI216" s="10"/>
      <c r="EJ216" s="10"/>
      <c r="EK216" s="10"/>
      <c r="EL216" s="10"/>
      <c r="EM216" s="10"/>
      <c r="EN216" s="10"/>
      <c r="EO216" s="10"/>
      <c r="EP216" s="10"/>
      <c r="EQ216" s="10"/>
      <c r="ER216" s="10"/>
      <c r="ES216" s="10"/>
      <c r="ET216" s="10"/>
      <c r="EU216" s="10"/>
      <c r="EV216" s="10"/>
      <c r="EW216" s="10"/>
      <c r="EX216" s="10"/>
      <c r="EY216" s="10"/>
      <c r="EZ216" s="10"/>
      <c r="FA216" s="10"/>
      <c r="FB216" s="10"/>
      <c r="FC216" s="10"/>
      <c r="FD216" s="10"/>
      <c r="FE216" s="10"/>
      <c r="FF216" s="10"/>
      <c r="FG216" s="10"/>
      <c r="FH216" s="10"/>
      <c r="FI216" s="10"/>
      <c r="FJ216" s="10"/>
      <c r="FK216" s="10"/>
      <c r="FL216" s="10"/>
      <c r="FM216" s="10"/>
      <c r="FN216" s="10"/>
      <c r="FO216" s="10"/>
      <c r="FP216" s="10"/>
      <c r="FQ216" s="10"/>
      <c r="FR216" s="10"/>
      <c r="FS216" s="10"/>
      <c r="FT216" s="10"/>
      <c r="FU216" s="10"/>
      <c r="FV216" s="10"/>
      <c r="FW216" s="10"/>
      <c r="FX216" s="10"/>
      <c r="FY216" s="10"/>
      <c r="FZ216" s="10"/>
      <c r="GA216" s="10"/>
      <c r="GB216" s="10"/>
      <c r="GC216" s="10"/>
      <c r="GD216" s="10"/>
      <c r="GE216" s="10"/>
      <c r="GF216" s="10"/>
      <c r="GG216" s="10"/>
      <c r="GH216" s="10"/>
      <c r="GI216" s="10"/>
      <c r="GJ216" s="10"/>
      <c r="GK216" s="10"/>
    </row>
    <row r="217" customFormat="false" ht="12.75" hidden="false" customHeight="false" outlineLevel="0" collapsed="false">
      <c r="A217" s="7"/>
      <c r="B217" s="7"/>
      <c r="C217" s="8"/>
      <c r="D217" s="8"/>
      <c r="E217" s="8"/>
      <c r="F217" s="8"/>
      <c r="G217" s="9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W217" s="10"/>
      <c r="CX217" s="10"/>
      <c r="CY217" s="10"/>
      <c r="CZ217" s="10"/>
      <c r="DA217" s="10"/>
      <c r="DB217" s="10"/>
      <c r="DC217" s="10"/>
      <c r="DD217" s="10"/>
      <c r="DE217" s="10"/>
      <c r="DF217" s="10"/>
      <c r="DG217" s="10"/>
      <c r="DH217" s="10"/>
      <c r="DI217" s="10"/>
      <c r="DJ217" s="10"/>
      <c r="DK217" s="10"/>
      <c r="DL217" s="10"/>
      <c r="DM217" s="10"/>
      <c r="DN217" s="10"/>
      <c r="DO217" s="10"/>
      <c r="DP217" s="10"/>
      <c r="DQ217" s="10"/>
      <c r="DR217" s="10"/>
      <c r="DS217" s="10"/>
      <c r="DT217" s="10"/>
      <c r="DU217" s="10"/>
      <c r="DV217" s="10"/>
      <c r="DW217" s="10"/>
      <c r="DX217" s="10"/>
      <c r="DY217" s="10"/>
      <c r="DZ217" s="10"/>
      <c r="EA217" s="10"/>
      <c r="EB217" s="10"/>
      <c r="EC217" s="10"/>
      <c r="ED217" s="10"/>
      <c r="EE217" s="10"/>
      <c r="EF217" s="10"/>
      <c r="EG217" s="10"/>
      <c r="EH217" s="10"/>
      <c r="EI217" s="10"/>
      <c r="EJ217" s="10"/>
      <c r="EK217" s="10"/>
      <c r="EL217" s="10"/>
      <c r="EM217" s="10"/>
      <c r="EN217" s="10"/>
      <c r="EO217" s="10"/>
      <c r="EP217" s="10"/>
      <c r="EQ217" s="10"/>
      <c r="ER217" s="10"/>
      <c r="ES217" s="10"/>
      <c r="ET217" s="10"/>
      <c r="EU217" s="10"/>
      <c r="EV217" s="10"/>
      <c r="EW217" s="10"/>
      <c r="EX217" s="10"/>
      <c r="EY217" s="10"/>
      <c r="EZ217" s="10"/>
      <c r="FA217" s="10"/>
      <c r="FB217" s="10"/>
      <c r="FC217" s="10"/>
      <c r="FD217" s="10"/>
      <c r="FE217" s="10"/>
      <c r="FF217" s="10"/>
      <c r="FG217" s="10"/>
      <c r="FH217" s="10"/>
      <c r="FI217" s="10"/>
      <c r="FJ217" s="10"/>
      <c r="FK217" s="10"/>
      <c r="FL217" s="10"/>
      <c r="FM217" s="10"/>
      <c r="FN217" s="10"/>
      <c r="FO217" s="10"/>
      <c r="FP217" s="10"/>
      <c r="FQ217" s="10"/>
      <c r="FR217" s="10"/>
      <c r="FS217" s="10"/>
      <c r="FT217" s="10"/>
      <c r="FU217" s="10"/>
      <c r="FV217" s="10"/>
      <c r="FW217" s="10"/>
      <c r="FX217" s="10"/>
      <c r="FY217" s="10"/>
      <c r="FZ217" s="10"/>
      <c r="GA217" s="10"/>
      <c r="GB217" s="10"/>
      <c r="GC217" s="10"/>
      <c r="GD217" s="10"/>
      <c r="GE217" s="10"/>
      <c r="GF217" s="10"/>
      <c r="GG217" s="10"/>
      <c r="GH217" s="10"/>
      <c r="GI217" s="10"/>
      <c r="GJ217" s="10"/>
      <c r="GK217" s="10"/>
    </row>
    <row r="218" customFormat="false" ht="12.75" hidden="false" customHeight="false" outlineLevel="0" collapsed="false">
      <c r="A218" s="7"/>
      <c r="B218" s="7"/>
      <c r="C218" s="8"/>
      <c r="D218" s="8"/>
      <c r="E218" s="8"/>
      <c r="F218" s="8"/>
      <c r="G218" s="9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  <c r="CW218" s="10"/>
      <c r="CX218" s="10"/>
      <c r="CY218" s="10"/>
      <c r="CZ218" s="10"/>
      <c r="DA218" s="10"/>
      <c r="DB218" s="10"/>
      <c r="DC218" s="10"/>
      <c r="DD218" s="10"/>
      <c r="DE218" s="10"/>
      <c r="DF218" s="10"/>
      <c r="DG218" s="10"/>
      <c r="DH218" s="10"/>
      <c r="DI218" s="10"/>
      <c r="DJ218" s="10"/>
      <c r="DK218" s="10"/>
      <c r="DL218" s="10"/>
      <c r="DM218" s="10"/>
      <c r="DN218" s="10"/>
      <c r="DO218" s="10"/>
      <c r="DP218" s="10"/>
      <c r="DQ218" s="10"/>
      <c r="DR218" s="10"/>
      <c r="DS218" s="10"/>
      <c r="DT218" s="10"/>
      <c r="DU218" s="10"/>
      <c r="DV218" s="10"/>
      <c r="DW218" s="10"/>
      <c r="DX218" s="10"/>
      <c r="DY218" s="10"/>
      <c r="DZ218" s="10"/>
      <c r="EA218" s="10"/>
      <c r="EB218" s="10"/>
      <c r="EC218" s="10"/>
      <c r="ED218" s="10"/>
      <c r="EE218" s="10"/>
      <c r="EF218" s="10"/>
      <c r="EG218" s="10"/>
      <c r="EH218" s="10"/>
      <c r="EI218" s="10"/>
      <c r="EJ218" s="10"/>
      <c r="EK218" s="10"/>
      <c r="EL218" s="10"/>
      <c r="EM218" s="10"/>
      <c r="EN218" s="10"/>
      <c r="EO218" s="10"/>
      <c r="EP218" s="10"/>
      <c r="EQ218" s="10"/>
      <c r="ER218" s="10"/>
      <c r="ES218" s="10"/>
      <c r="ET218" s="10"/>
      <c r="EU218" s="10"/>
      <c r="EV218" s="10"/>
      <c r="EW218" s="10"/>
      <c r="EX218" s="10"/>
      <c r="EY218" s="10"/>
      <c r="EZ218" s="10"/>
      <c r="FA218" s="10"/>
      <c r="FB218" s="10"/>
      <c r="FC218" s="10"/>
      <c r="FD218" s="10"/>
      <c r="FE218" s="10"/>
      <c r="FF218" s="10"/>
      <c r="FG218" s="10"/>
      <c r="FH218" s="10"/>
      <c r="FI218" s="10"/>
      <c r="FJ218" s="10"/>
      <c r="FK218" s="10"/>
      <c r="FL218" s="10"/>
      <c r="FM218" s="10"/>
      <c r="FN218" s="10"/>
      <c r="FO218" s="10"/>
      <c r="FP218" s="10"/>
      <c r="FQ218" s="10"/>
      <c r="FR218" s="10"/>
      <c r="FS218" s="10"/>
      <c r="FT218" s="10"/>
      <c r="FU218" s="10"/>
      <c r="FV218" s="10"/>
      <c r="FW218" s="10"/>
      <c r="FX218" s="10"/>
      <c r="FY218" s="10"/>
      <c r="FZ218" s="10"/>
      <c r="GA218" s="10"/>
      <c r="GB218" s="10"/>
      <c r="GC218" s="10"/>
      <c r="GD218" s="10"/>
      <c r="GE218" s="10"/>
      <c r="GF218" s="10"/>
      <c r="GG218" s="10"/>
      <c r="GH218" s="10"/>
      <c r="GI218" s="10"/>
      <c r="GJ218" s="10"/>
      <c r="GK218" s="10"/>
    </row>
    <row r="219" customFormat="false" ht="12.75" hidden="false" customHeight="false" outlineLevel="0" collapsed="false">
      <c r="A219" s="7"/>
      <c r="B219" s="7"/>
      <c r="C219" s="8"/>
      <c r="D219" s="8"/>
      <c r="E219" s="8"/>
      <c r="F219" s="8"/>
      <c r="G219" s="9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  <c r="CW219" s="10"/>
      <c r="CX219" s="10"/>
      <c r="CY219" s="10"/>
      <c r="CZ219" s="10"/>
      <c r="DA219" s="10"/>
      <c r="DB219" s="10"/>
      <c r="DC219" s="10"/>
      <c r="DD219" s="10"/>
      <c r="DE219" s="10"/>
      <c r="DF219" s="10"/>
      <c r="DG219" s="10"/>
      <c r="DH219" s="10"/>
      <c r="DI219" s="10"/>
      <c r="DJ219" s="10"/>
      <c r="DK219" s="10"/>
      <c r="DL219" s="10"/>
      <c r="DM219" s="10"/>
      <c r="DN219" s="10"/>
      <c r="DO219" s="10"/>
      <c r="DP219" s="10"/>
      <c r="DQ219" s="10"/>
      <c r="DR219" s="10"/>
      <c r="DS219" s="10"/>
      <c r="DT219" s="10"/>
      <c r="DU219" s="10"/>
      <c r="DV219" s="10"/>
      <c r="DW219" s="10"/>
      <c r="DX219" s="10"/>
      <c r="DY219" s="10"/>
      <c r="DZ219" s="10"/>
      <c r="EA219" s="10"/>
      <c r="EB219" s="10"/>
      <c r="EC219" s="10"/>
      <c r="ED219" s="10"/>
      <c r="EE219" s="10"/>
      <c r="EF219" s="10"/>
      <c r="EG219" s="10"/>
      <c r="EH219" s="10"/>
      <c r="EI219" s="10"/>
      <c r="EJ219" s="10"/>
      <c r="EK219" s="10"/>
      <c r="EL219" s="10"/>
      <c r="EM219" s="10"/>
      <c r="EN219" s="10"/>
      <c r="EO219" s="10"/>
      <c r="EP219" s="10"/>
      <c r="EQ219" s="10"/>
      <c r="ER219" s="10"/>
      <c r="ES219" s="10"/>
      <c r="ET219" s="10"/>
      <c r="EU219" s="10"/>
      <c r="EV219" s="10"/>
      <c r="EW219" s="10"/>
      <c r="EX219" s="10"/>
      <c r="EY219" s="10"/>
      <c r="EZ219" s="10"/>
      <c r="FA219" s="10"/>
      <c r="FB219" s="10"/>
      <c r="FC219" s="10"/>
      <c r="FD219" s="10"/>
      <c r="FE219" s="10"/>
      <c r="FF219" s="10"/>
      <c r="FG219" s="10"/>
      <c r="FH219" s="10"/>
      <c r="FI219" s="10"/>
      <c r="FJ219" s="10"/>
      <c r="FK219" s="10"/>
      <c r="FL219" s="10"/>
      <c r="FM219" s="10"/>
      <c r="FN219" s="10"/>
      <c r="FO219" s="10"/>
      <c r="FP219" s="10"/>
      <c r="FQ219" s="10"/>
      <c r="FR219" s="10"/>
      <c r="FS219" s="10"/>
      <c r="FT219" s="10"/>
      <c r="FU219" s="10"/>
      <c r="FV219" s="10"/>
      <c r="FW219" s="10"/>
      <c r="FX219" s="10"/>
      <c r="FY219" s="10"/>
      <c r="FZ219" s="10"/>
      <c r="GA219" s="10"/>
      <c r="GB219" s="10"/>
      <c r="GC219" s="10"/>
      <c r="GD219" s="10"/>
      <c r="GE219" s="10"/>
      <c r="GF219" s="10"/>
      <c r="GG219" s="10"/>
      <c r="GH219" s="10"/>
      <c r="GI219" s="10"/>
      <c r="GJ219" s="10"/>
      <c r="GK219" s="10"/>
    </row>
    <row r="220" customFormat="false" ht="12.75" hidden="false" customHeight="false" outlineLevel="0" collapsed="false">
      <c r="A220" s="7"/>
      <c r="B220" s="7"/>
      <c r="C220" s="8"/>
      <c r="D220" s="8"/>
      <c r="E220" s="8"/>
      <c r="F220" s="8"/>
      <c r="G220" s="9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  <c r="CW220" s="10"/>
      <c r="CX220" s="10"/>
      <c r="CY220" s="10"/>
      <c r="CZ220" s="10"/>
      <c r="DA220" s="10"/>
      <c r="DB220" s="10"/>
      <c r="DC220" s="10"/>
      <c r="DD220" s="10"/>
      <c r="DE220" s="10"/>
      <c r="DF220" s="10"/>
      <c r="DG220" s="10"/>
      <c r="DH220" s="10"/>
      <c r="DI220" s="10"/>
      <c r="DJ220" s="10"/>
      <c r="DK220" s="10"/>
      <c r="DL220" s="10"/>
      <c r="DM220" s="10"/>
      <c r="DN220" s="10"/>
      <c r="DO220" s="10"/>
      <c r="DP220" s="10"/>
      <c r="DQ220" s="10"/>
      <c r="DR220" s="10"/>
      <c r="DS220" s="10"/>
      <c r="DT220" s="10"/>
      <c r="DU220" s="10"/>
      <c r="DV220" s="10"/>
      <c r="DW220" s="10"/>
      <c r="DX220" s="10"/>
      <c r="DY220" s="10"/>
      <c r="DZ220" s="10"/>
      <c r="EA220" s="10"/>
      <c r="EB220" s="10"/>
      <c r="EC220" s="10"/>
      <c r="ED220" s="10"/>
      <c r="EE220" s="10"/>
      <c r="EF220" s="10"/>
      <c r="EG220" s="10"/>
      <c r="EH220" s="10"/>
      <c r="EI220" s="10"/>
      <c r="EJ220" s="10"/>
      <c r="EK220" s="10"/>
      <c r="EL220" s="10"/>
      <c r="EM220" s="10"/>
      <c r="EN220" s="10"/>
      <c r="EO220" s="10"/>
      <c r="EP220" s="10"/>
      <c r="EQ220" s="10"/>
      <c r="ER220" s="10"/>
      <c r="ES220" s="10"/>
      <c r="ET220" s="10"/>
      <c r="EU220" s="10"/>
      <c r="EV220" s="10"/>
      <c r="EW220" s="10"/>
      <c r="EX220" s="10"/>
      <c r="EY220" s="10"/>
      <c r="EZ220" s="10"/>
      <c r="FA220" s="10"/>
      <c r="FB220" s="10"/>
      <c r="FC220" s="10"/>
      <c r="FD220" s="10"/>
      <c r="FE220" s="10"/>
      <c r="FF220" s="10"/>
      <c r="FG220" s="10"/>
      <c r="FH220" s="10"/>
      <c r="FI220" s="10"/>
      <c r="FJ220" s="10"/>
      <c r="FK220" s="10"/>
      <c r="FL220" s="10"/>
      <c r="FM220" s="10"/>
      <c r="FN220" s="10"/>
      <c r="FO220" s="10"/>
      <c r="FP220" s="10"/>
      <c r="FQ220" s="10"/>
      <c r="FR220" s="10"/>
      <c r="FS220" s="10"/>
      <c r="FT220" s="10"/>
      <c r="FU220" s="10"/>
      <c r="FV220" s="10"/>
      <c r="FW220" s="10"/>
      <c r="FX220" s="10"/>
      <c r="FY220" s="10"/>
      <c r="FZ220" s="10"/>
      <c r="GA220" s="10"/>
      <c r="GB220" s="10"/>
      <c r="GC220" s="10"/>
      <c r="GD220" s="10"/>
      <c r="GE220" s="10"/>
      <c r="GF220" s="10"/>
      <c r="GG220" s="10"/>
      <c r="GH220" s="10"/>
      <c r="GI220" s="10"/>
      <c r="GJ220" s="10"/>
      <c r="GK220" s="10"/>
    </row>
    <row r="221" customFormat="false" ht="12.75" hidden="false" customHeight="false" outlineLevel="0" collapsed="false">
      <c r="A221" s="7"/>
      <c r="B221" s="7"/>
      <c r="C221" s="8"/>
      <c r="D221" s="8"/>
      <c r="E221" s="8"/>
      <c r="F221" s="8"/>
      <c r="G221" s="9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W221" s="10"/>
      <c r="CX221" s="10"/>
      <c r="CY221" s="10"/>
      <c r="CZ221" s="10"/>
      <c r="DA221" s="10"/>
      <c r="DB221" s="10"/>
      <c r="DC221" s="10"/>
      <c r="DD221" s="10"/>
      <c r="DE221" s="10"/>
      <c r="DF221" s="10"/>
      <c r="DG221" s="10"/>
      <c r="DH221" s="10"/>
      <c r="DI221" s="10"/>
      <c r="DJ221" s="10"/>
      <c r="DK221" s="10"/>
      <c r="DL221" s="10"/>
      <c r="DM221" s="10"/>
      <c r="DN221" s="10"/>
      <c r="DO221" s="10"/>
      <c r="DP221" s="10"/>
      <c r="DQ221" s="10"/>
      <c r="DR221" s="10"/>
      <c r="DS221" s="10"/>
      <c r="DT221" s="10"/>
      <c r="DU221" s="10"/>
      <c r="DV221" s="10"/>
      <c r="DW221" s="10"/>
      <c r="DX221" s="10"/>
      <c r="DY221" s="10"/>
      <c r="DZ221" s="10"/>
      <c r="EA221" s="10"/>
      <c r="EB221" s="10"/>
      <c r="EC221" s="10"/>
      <c r="ED221" s="10"/>
      <c r="EE221" s="10"/>
      <c r="EF221" s="10"/>
      <c r="EG221" s="10"/>
      <c r="EH221" s="10"/>
      <c r="EI221" s="10"/>
      <c r="EJ221" s="10"/>
      <c r="EK221" s="10"/>
      <c r="EL221" s="10"/>
      <c r="EM221" s="10"/>
      <c r="EN221" s="10"/>
      <c r="EO221" s="10"/>
      <c r="EP221" s="10"/>
      <c r="EQ221" s="10"/>
      <c r="ER221" s="10"/>
      <c r="ES221" s="10"/>
      <c r="ET221" s="10"/>
      <c r="EU221" s="10"/>
      <c r="EV221" s="10"/>
      <c r="EW221" s="10"/>
      <c r="EX221" s="10"/>
      <c r="EY221" s="10"/>
      <c r="EZ221" s="10"/>
      <c r="FA221" s="10"/>
      <c r="FB221" s="10"/>
      <c r="FC221" s="10"/>
      <c r="FD221" s="10"/>
      <c r="FE221" s="10"/>
      <c r="FF221" s="10"/>
      <c r="FG221" s="10"/>
      <c r="FH221" s="10"/>
      <c r="FI221" s="10"/>
      <c r="FJ221" s="10"/>
      <c r="FK221" s="10"/>
      <c r="FL221" s="10"/>
      <c r="FM221" s="10"/>
      <c r="FN221" s="10"/>
      <c r="FO221" s="10"/>
      <c r="FP221" s="10"/>
      <c r="FQ221" s="10"/>
      <c r="FR221" s="10"/>
      <c r="FS221" s="10"/>
      <c r="FT221" s="10"/>
      <c r="FU221" s="10"/>
      <c r="FV221" s="10"/>
      <c r="FW221" s="10"/>
      <c r="FX221" s="10"/>
      <c r="FY221" s="10"/>
      <c r="FZ221" s="10"/>
      <c r="GA221" s="10"/>
      <c r="GB221" s="10"/>
      <c r="GC221" s="10"/>
      <c r="GD221" s="10"/>
      <c r="GE221" s="10"/>
      <c r="GF221" s="10"/>
      <c r="GG221" s="10"/>
      <c r="GH221" s="10"/>
      <c r="GI221" s="10"/>
      <c r="GJ221" s="10"/>
      <c r="GK221" s="10"/>
    </row>
    <row r="222" customFormat="false" ht="12.75" hidden="false" customHeight="false" outlineLevel="0" collapsed="false">
      <c r="A222" s="7"/>
      <c r="B222" s="7"/>
      <c r="C222" s="8"/>
      <c r="D222" s="8"/>
      <c r="E222" s="8"/>
      <c r="F222" s="8"/>
      <c r="G222" s="9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  <c r="CW222" s="10"/>
      <c r="CX222" s="10"/>
      <c r="CY222" s="10"/>
      <c r="CZ222" s="10"/>
      <c r="DA222" s="10"/>
      <c r="DB222" s="10"/>
      <c r="DC222" s="10"/>
      <c r="DD222" s="10"/>
      <c r="DE222" s="10"/>
      <c r="DF222" s="10"/>
      <c r="DG222" s="10"/>
      <c r="DH222" s="10"/>
      <c r="DI222" s="10"/>
      <c r="DJ222" s="10"/>
      <c r="DK222" s="10"/>
      <c r="DL222" s="10"/>
      <c r="DM222" s="10"/>
      <c r="DN222" s="10"/>
      <c r="DO222" s="10"/>
      <c r="DP222" s="10"/>
      <c r="DQ222" s="10"/>
      <c r="DR222" s="10"/>
      <c r="DS222" s="10"/>
      <c r="DT222" s="10"/>
      <c r="DU222" s="10"/>
      <c r="DV222" s="10"/>
      <c r="DW222" s="10"/>
      <c r="DX222" s="10"/>
      <c r="DY222" s="10"/>
      <c r="DZ222" s="10"/>
      <c r="EA222" s="10"/>
      <c r="EB222" s="10"/>
      <c r="EC222" s="10"/>
      <c r="ED222" s="10"/>
      <c r="EE222" s="10"/>
      <c r="EF222" s="10"/>
      <c r="EG222" s="10"/>
      <c r="EH222" s="10"/>
      <c r="EI222" s="10"/>
      <c r="EJ222" s="10"/>
      <c r="EK222" s="10"/>
      <c r="EL222" s="10"/>
      <c r="EM222" s="10"/>
      <c r="EN222" s="10"/>
      <c r="EO222" s="10"/>
      <c r="EP222" s="10"/>
      <c r="EQ222" s="10"/>
      <c r="ER222" s="10"/>
      <c r="ES222" s="10"/>
      <c r="ET222" s="10"/>
      <c r="EU222" s="10"/>
      <c r="EV222" s="10"/>
      <c r="EW222" s="10"/>
      <c r="EX222" s="10"/>
      <c r="EY222" s="10"/>
      <c r="EZ222" s="10"/>
      <c r="FA222" s="10"/>
      <c r="FB222" s="10"/>
      <c r="FC222" s="10"/>
      <c r="FD222" s="10"/>
      <c r="FE222" s="10"/>
      <c r="FF222" s="10"/>
      <c r="FG222" s="10"/>
      <c r="FH222" s="10"/>
      <c r="FI222" s="10"/>
      <c r="FJ222" s="10"/>
      <c r="FK222" s="10"/>
      <c r="FL222" s="10"/>
      <c r="FM222" s="10"/>
      <c r="FN222" s="10"/>
      <c r="FO222" s="10"/>
      <c r="FP222" s="10"/>
      <c r="FQ222" s="10"/>
      <c r="FR222" s="10"/>
      <c r="FS222" s="10"/>
      <c r="FT222" s="10"/>
      <c r="FU222" s="10"/>
      <c r="FV222" s="10"/>
      <c r="FW222" s="10"/>
      <c r="FX222" s="10"/>
      <c r="FY222" s="10"/>
      <c r="FZ222" s="10"/>
      <c r="GA222" s="10"/>
      <c r="GB222" s="10"/>
      <c r="GC222" s="10"/>
      <c r="GD222" s="10"/>
      <c r="GE222" s="10"/>
      <c r="GF222" s="10"/>
      <c r="GG222" s="10"/>
      <c r="GH222" s="10"/>
      <c r="GI222" s="10"/>
      <c r="GJ222" s="10"/>
      <c r="GK222" s="10"/>
    </row>
    <row r="223" customFormat="false" ht="12.75" hidden="false" customHeight="false" outlineLevel="0" collapsed="false">
      <c r="A223" s="7"/>
      <c r="B223" s="7"/>
      <c r="C223" s="8"/>
      <c r="D223" s="8"/>
      <c r="E223" s="8"/>
      <c r="F223" s="8"/>
      <c r="G223" s="9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10"/>
      <c r="CX223" s="10"/>
      <c r="CY223" s="10"/>
      <c r="CZ223" s="10"/>
      <c r="DA223" s="10"/>
      <c r="DB223" s="10"/>
      <c r="DC223" s="10"/>
      <c r="DD223" s="10"/>
      <c r="DE223" s="10"/>
      <c r="DF223" s="10"/>
      <c r="DG223" s="10"/>
      <c r="DH223" s="10"/>
      <c r="DI223" s="10"/>
      <c r="DJ223" s="10"/>
      <c r="DK223" s="10"/>
      <c r="DL223" s="10"/>
      <c r="DM223" s="10"/>
      <c r="DN223" s="10"/>
      <c r="DO223" s="10"/>
      <c r="DP223" s="10"/>
      <c r="DQ223" s="10"/>
      <c r="DR223" s="10"/>
      <c r="DS223" s="10"/>
      <c r="DT223" s="10"/>
      <c r="DU223" s="10"/>
      <c r="DV223" s="10"/>
      <c r="DW223" s="10"/>
      <c r="DX223" s="10"/>
      <c r="DY223" s="10"/>
      <c r="DZ223" s="10"/>
      <c r="EA223" s="10"/>
      <c r="EB223" s="10"/>
      <c r="EC223" s="10"/>
      <c r="ED223" s="10"/>
      <c r="EE223" s="10"/>
      <c r="EF223" s="10"/>
      <c r="EG223" s="10"/>
      <c r="EH223" s="10"/>
      <c r="EI223" s="10"/>
      <c r="EJ223" s="10"/>
      <c r="EK223" s="10"/>
      <c r="EL223" s="10"/>
      <c r="EM223" s="10"/>
      <c r="EN223" s="10"/>
      <c r="EO223" s="10"/>
      <c r="EP223" s="10"/>
      <c r="EQ223" s="10"/>
      <c r="ER223" s="10"/>
      <c r="ES223" s="10"/>
      <c r="ET223" s="10"/>
      <c r="EU223" s="10"/>
      <c r="EV223" s="10"/>
      <c r="EW223" s="10"/>
      <c r="EX223" s="10"/>
      <c r="EY223" s="10"/>
      <c r="EZ223" s="10"/>
      <c r="FA223" s="10"/>
      <c r="FB223" s="10"/>
      <c r="FC223" s="10"/>
      <c r="FD223" s="10"/>
      <c r="FE223" s="10"/>
      <c r="FF223" s="10"/>
      <c r="FG223" s="10"/>
      <c r="FH223" s="10"/>
      <c r="FI223" s="10"/>
      <c r="FJ223" s="10"/>
      <c r="FK223" s="10"/>
      <c r="FL223" s="10"/>
      <c r="FM223" s="10"/>
      <c r="FN223" s="10"/>
      <c r="FO223" s="10"/>
      <c r="FP223" s="10"/>
      <c r="FQ223" s="10"/>
      <c r="FR223" s="10"/>
      <c r="FS223" s="10"/>
      <c r="FT223" s="10"/>
      <c r="FU223" s="10"/>
      <c r="FV223" s="10"/>
      <c r="FW223" s="10"/>
      <c r="FX223" s="10"/>
      <c r="FY223" s="10"/>
      <c r="FZ223" s="10"/>
      <c r="GA223" s="10"/>
      <c r="GB223" s="10"/>
      <c r="GC223" s="10"/>
      <c r="GD223" s="10"/>
      <c r="GE223" s="10"/>
      <c r="GF223" s="10"/>
      <c r="GG223" s="10"/>
      <c r="GH223" s="10"/>
      <c r="GI223" s="10"/>
      <c r="GJ223" s="10"/>
      <c r="GK223" s="10"/>
    </row>
    <row r="224" customFormat="false" ht="12.75" hidden="false" customHeight="false" outlineLevel="0" collapsed="false">
      <c r="A224" s="7"/>
      <c r="B224" s="7"/>
      <c r="C224" s="8"/>
      <c r="D224" s="8"/>
      <c r="E224" s="8"/>
      <c r="F224" s="8"/>
      <c r="G224" s="9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  <c r="EM224" s="10"/>
      <c r="EN224" s="10"/>
      <c r="EO224" s="10"/>
      <c r="EP224" s="10"/>
      <c r="EQ224" s="10"/>
      <c r="ER224" s="10"/>
      <c r="ES224" s="10"/>
      <c r="ET224" s="10"/>
      <c r="EU224" s="10"/>
      <c r="EV224" s="10"/>
      <c r="EW224" s="10"/>
      <c r="EX224" s="10"/>
      <c r="EY224" s="10"/>
      <c r="EZ224" s="10"/>
      <c r="FA224" s="10"/>
      <c r="FB224" s="10"/>
      <c r="FC224" s="10"/>
      <c r="FD224" s="10"/>
      <c r="FE224" s="10"/>
      <c r="FF224" s="10"/>
      <c r="FG224" s="10"/>
      <c r="FH224" s="10"/>
      <c r="FI224" s="10"/>
      <c r="FJ224" s="10"/>
      <c r="FK224" s="10"/>
      <c r="FL224" s="10"/>
      <c r="FM224" s="10"/>
      <c r="FN224" s="10"/>
      <c r="FO224" s="10"/>
      <c r="FP224" s="10"/>
      <c r="FQ224" s="10"/>
      <c r="FR224" s="10"/>
      <c r="FS224" s="10"/>
      <c r="FT224" s="10"/>
      <c r="FU224" s="10"/>
      <c r="FV224" s="10"/>
      <c r="FW224" s="10"/>
      <c r="FX224" s="10"/>
      <c r="FY224" s="10"/>
      <c r="FZ224" s="10"/>
      <c r="GA224" s="10"/>
      <c r="GB224" s="10"/>
      <c r="GC224" s="10"/>
      <c r="GD224" s="10"/>
      <c r="GE224" s="10"/>
      <c r="GF224" s="10"/>
      <c r="GG224" s="10"/>
      <c r="GH224" s="10"/>
      <c r="GI224" s="10"/>
      <c r="GJ224" s="10"/>
      <c r="GK224" s="10"/>
    </row>
    <row r="225" customFormat="false" ht="12.75" hidden="false" customHeight="false" outlineLevel="0" collapsed="false">
      <c r="A225" s="7"/>
      <c r="B225" s="7"/>
      <c r="C225" s="8"/>
      <c r="D225" s="8"/>
      <c r="E225" s="8"/>
      <c r="F225" s="8"/>
      <c r="G225" s="9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10"/>
      <c r="CX225" s="10"/>
      <c r="CY225" s="10"/>
      <c r="CZ225" s="10"/>
      <c r="DA225" s="10"/>
      <c r="DB225" s="10"/>
      <c r="DC225" s="10"/>
      <c r="DD225" s="10"/>
      <c r="DE225" s="10"/>
      <c r="DF225" s="10"/>
      <c r="DG225" s="10"/>
      <c r="DH225" s="10"/>
      <c r="DI225" s="10"/>
      <c r="DJ225" s="10"/>
      <c r="DK225" s="10"/>
      <c r="DL225" s="10"/>
      <c r="DM225" s="10"/>
      <c r="DN225" s="10"/>
      <c r="DO225" s="10"/>
      <c r="DP225" s="10"/>
      <c r="DQ225" s="10"/>
      <c r="DR225" s="10"/>
      <c r="DS225" s="10"/>
      <c r="DT225" s="10"/>
      <c r="DU225" s="10"/>
      <c r="DV225" s="10"/>
      <c r="DW225" s="10"/>
      <c r="DX225" s="10"/>
      <c r="DY225" s="10"/>
      <c r="DZ225" s="10"/>
      <c r="EA225" s="10"/>
      <c r="EB225" s="10"/>
      <c r="EC225" s="10"/>
      <c r="ED225" s="10"/>
      <c r="EE225" s="10"/>
      <c r="EF225" s="10"/>
      <c r="EG225" s="10"/>
      <c r="EH225" s="10"/>
      <c r="EI225" s="10"/>
      <c r="EJ225" s="10"/>
      <c r="EK225" s="10"/>
      <c r="EL225" s="10"/>
      <c r="EM225" s="10"/>
      <c r="EN225" s="10"/>
      <c r="EO225" s="10"/>
      <c r="EP225" s="10"/>
      <c r="EQ225" s="10"/>
      <c r="ER225" s="10"/>
      <c r="ES225" s="10"/>
      <c r="ET225" s="10"/>
      <c r="EU225" s="10"/>
      <c r="EV225" s="10"/>
      <c r="EW225" s="10"/>
      <c r="EX225" s="10"/>
      <c r="EY225" s="10"/>
      <c r="EZ225" s="10"/>
      <c r="FA225" s="10"/>
      <c r="FB225" s="10"/>
      <c r="FC225" s="10"/>
      <c r="FD225" s="10"/>
      <c r="FE225" s="10"/>
      <c r="FF225" s="10"/>
      <c r="FG225" s="10"/>
      <c r="FH225" s="10"/>
      <c r="FI225" s="10"/>
      <c r="FJ225" s="10"/>
      <c r="FK225" s="10"/>
      <c r="FL225" s="10"/>
      <c r="FM225" s="10"/>
      <c r="FN225" s="10"/>
      <c r="FO225" s="10"/>
      <c r="FP225" s="10"/>
      <c r="FQ225" s="10"/>
      <c r="FR225" s="10"/>
      <c r="FS225" s="10"/>
      <c r="FT225" s="10"/>
      <c r="FU225" s="10"/>
      <c r="FV225" s="10"/>
      <c r="FW225" s="10"/>
      <c r="FX225" s="10"/>
      <c r="FY225" s="10"/>
      <c r="FZ225" s="10"/>
      <c r="GA225" s="10"/>
      <c r="GB225" s="10"/>
      <c r="GC225" s="10"/>
      <c r="GD225" s="10"/>
      <c r="GE225" s="10"/>
      <c r="GF225" s="10"/>
      <c r="GG225" s="10"/>
      <c r="GH225" s="10"/>
      <c r="GI225" s="10"/>
      <c r="GJ225" s="10"/>
      <c r="GK225" s="10"/>
    </row>
    <row r="226" customFormat="false" ht="12.75" hidden="false" customHeight="false" outlineLevel="0" collapsed="false">
      <c r="A226" s="7"/>
      <c r="B226" s="7"/>
      <c r="C226" s="8"/>
      <c r="D226" s="8"/>
      <c r="E226" s="8"/>
      <c r="F226" s="8"/>
      <c r="G226" s="9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W226" s="10"/>
      <c r="CX226" s="10"/>
      <c r="CY226" s="10"/>
      <c r="CZ226" s="10"/>
      <c r="DA226" s="10"/>
      <c r="DB226" s="10"/>
      <c r="DC226" s="10"/>
      <c r="DD226" s="10"/>
      <c r="DE226" s="10"/>
      <c r="DF226" s="10"/>
      <c r="DG226" s="10"/>
      <c r="DH226" s="10"/>
      <c r="DI226" s="10"/>
      <c r="DJ226" s="10"/>
      <c r="DK226" s="10"/>
      <c r="DL226" s="10"/>
      <c r="DM226" s="10"/>
      <c r="DN226" s="10"/>
      <c r="DO226" s="10"/>
      <c r="DP226" s="10"/>
      <c r="DQ226" s="10"/>
      <c r="DR226" s="10"/>
      <c r="DS226" s="10"/>
      <c r="DT226" s="10"/>
      <c r="DU226" s="10"/>
      <c r="DV226" s="10"/>
      <c r="DW226" s="10"/>
      <c r="DX226" s="10"/>
      <c r="DY226" s="10"/>
      <c r="DZ226" s="10"/>
      <c r="EA226" s="10"/>
      <c r="EB226" s="10"/>
      <c r="EC226" s="10"/>
      <c r="ED226" s="10"/>
      <c r="EE226" s="10"/>
      <c r="EF226" s="10"/>
      <c r="EG226" s="10"/>
      <c r="EH226" s="10"/>
      <c r="EI226" s="10"/>
      <c r="EJ226" s="10"/>
      <c r="EK226" s="10"/>
      <c r="EL226" s="10"/>
      <c r="EM226" s="10"/>
      <c r="EN226" s="10"/>
      <c r="EO226" s="10"/>
      <c r="EP226" s="10"/>
      <c r="EQ226" s="10"/>
      <c r="ER226" s="10"/>
      <c r="ES226" s="10"/>
      <c r="ET226" s="10"/>
      <c r="EU226" s="10"/>
      <c r="EV226" s="10"/>
      <c r="EW226" s="10"/>
      <c r="EX226" s="10"/>
      <c r="EY226" s="10"/>
      <c r="EZ226" s="10"/>
      <c r="FA226" s="10"/>
      <c r="FB226" s="10"/>
      <c r="FC226" s="10"/>
      <c r="FD226" s="10"/>
      <c r="FE226" s="10"/>
      <c r="FF226" s="10"/>
      <c r="FG226" s="10"/>
      <c r="FH226" s="10"/>
      <c r="FI226" s="10"/>
      <c r="FJ226" s="10"/>
      <c r="FK226" s="10"/>
      <c r="FL226" s="10"/>
      <c r="FM226" s="10"/>
      <c r="FN226" s="10"/>
      <c r="FO226" s="10"/>
      <c r="FP226" s="10"/>
      <c r="FQ226" s="10"/>
      <c r="FR226" s="10"/>
      <c r="FS226" s="10"/>
      <c r="FT226" s="10"/>
      <c r="FU226" s="10"/>
      <c r="FV226" s="10"/>
      <c r="FW226" s="10"/>
      <c r="FX226" s="10"/>
      <c r="FY226" s="10"/>
      <c r="FZ226" s="10"/>
      <c r="GA226" s="10"/>
      <c r="GB226" s="10"/>
      <c r="GC226" s="10"/>
      <c r="GD226" s="10"/>
      <c r="GE226" s="10"/>
      <c r="GF226" s="10"/>
      <c r="GG226" s="10"/>
      <c r="GH226" s="10"/>
      <c r="GI226" s="10"/>
      <c r="GJ226" s="10"/>
      <c r="GK226" s="10"/>
    </row>
    <row r="227" customFormat="false" ht="12.75" hidden="false" customHeight="false" outlineLevel="0" collapsed="false">
      <c r="A227" s="7"/>
      <c r="B227" s="7"/>
      <c r="C227" s="8"/>
      <c r="D227" s="8"/>
      <c r="E227" s="8"/>
      <c r="F227" s="8"/>
      <c r="G227" s="9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W227" s="10"/>
      <c r="CX227" s="10"/>
      <c r="CY227" s="10"/>
      <c r="CZ227" s="10"/>
      <c r="DA227" s="10"/>
      <c r="DB227" s="10"/>
      <c r="DC227" s="10"/>
      <c r="DD227" s="10"/>
      <c r="DE227" s="10"/>
      <c r="DF227" s="10"/>
      <c r="DG227" s="10"/>
      <c r="DH227" s="10"/>
      <c r="DI227" s="10"/>
      <c r="DJ227" s="10"/>
      <c r="DK227" s="10"/>
      <c r="DL227" s="10"/>
      <c r="DM227" s="10"/>
      <c r="DN227" s="10"/>
      <c r="DO227" s="10"/>
      <c r="DP227" s="10"/>
      <c r="DQ227" s="10"/>
      <c r="DR227" s="10"/>
      <c r="DS227" s="10"/>
      <c r="DT227" s="10"/>
      <c r="DU227" s="10"/>
      <c r="DV227" s="10"/>
      <c r="DW227" s="10"/>
      <c r="DX227" s="10"/>
      <c r="DY227" s="10"/>
      <c r="DZ227" s="10"/>
      <c r="EA227" s="10"/>
      <c r="EB227" s="10"/>
      <c r="EC227" s="10"/>
      <c r="ED227" s="10"/>
      <c r="EE227" s="10"/>
      <c r="EF227" s="10"/>
      <c r="EG227" s="10"/>
      <c r="EH227" s="10"/>
      <c r="EI227" s="10"/>
      <c r="EJ227" s="10"/>
      <c r="EK227" s="10"/>
      <c r="EL227" s="10"/>
      <c r="EM227" s="10"/>
      <c r="EN227" s="10"/>
      <c r="EO227" s="10"/>
      <c r="EP227" s="10"/>
      <c r="EQ227" s="10"/>
      <c r="ER227" s="10"/>
      <c r="ES227" s="10"/>
      <c r="ET227" s="10"/>
      <c r="EU227" s="10"/>
      <c r="EV227" s="10"/>
      <c r="EW227" s="10"/>
      <c r="EX227" s="10"/>
      <c r="EY227" s="10"/>
      <c r="EZ227" s="10"/>
      <c r="FA227" s="10"/>
      <c r="FB227" s="10"/>
      <c r="FC227" s="10"/>
      <c r="FD227" s="10"/>
      <c r="FE227" s="10"/>
      <c r="FF227" s="10"/>
      <c r="FG227" s="10"/>
      <c r="FH227" s="10"/>
      <c r="FI227" s="10"/>
      <c r="FJ227" s="10"/>
      <c r="FK227" s="10"/>
      <c r="FL227" s="10"/>
      <c r="FM227" s="10"/>
      <c r="FN227" s="10"/>
      <c r="FO227" s="10"/>
      <c r="FP227" s="10"/>
      <c r="FQ227" s="10"/>
      <c r="FR227" s="10"/>
      <c r="FS227" s="10"/>
      <c r="FT227" s="10"/>
      <c r="FU227" s="10"/>
      <c r="FV227" s="10"/>
      <c r="FW227" s="10"/>
      <c r="FX227" s="10"/>
      <c r="FY227" s="10"/>
      <c r="FZ227" s="10"/>
      <c r="GA227" s="10"/>
      <c r="GB227" s="10"/>
      <c r="GC227" s="10"/>
      <c r="GD227" s="10"/>
      <c r="GE227" s="10"/>
      <c r="GF227" s="10"/>
      <c r="GG227" s="10"/>
      <c r="GH227" s="10"/>
      <c r="GI227" s="10"/>
      <c r="GJ227" s="10"/>
      <c r="GK227" s="10"/>
    </row>
    <row r="228" customFormat="false" ht="12.75" hidden="false" customHeight="false" outlineLevel="0" collapsed="false">
      <c r="A228" s="7"/>
      <c r="B228" s="7"/>
      <c r="C228" s="8"/>
      <c r="D228" s="8"/>
      <c r="E228" s="8"/>
      <c r="F228" s="8"/>
      <c r="G228" s="9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  <c r="CW228" s="10"/>
      <c r="CX228" s="10"/>
      <c r="CY228" s="10"/>
      <c r="CZ228" s="10"/>
      <c r="DA228" s="10"/>
      <c r="DB228" s="10"/>
      <c r="DC228" s="10"/>
      <c r="DD228" s="10"/>
      <c r="DE228" s="10"/>
      <c r="DF228" s="10"/>
      <c r="DG228" s="10"/>
      <c r="DH228" s="10"/>
      <c r="DI228" s="10"/>
      <c r="DJ228" s="10"/>
      <c r="DK228" s="10"/>
      <c r="DL228" s="10"/>
      <c r="DM228" s="10"/>
      <c r="DN228" s="10"/>
      <c r="DO228" s="10"/>
      <c r="DP228" s="10"/>
      <c r="DQ228" s="10"/>
      <c r="DR228" s="10"/>
      <c r="DS228" s="10"/>
      <c r="DT228" s="10"/>
      <c r="DU228" s="10"/>
      <c r="DV228" s="10"/>
      <c r="DW228" s="10"/>
      <c r="DX228" s="10"/>
      <c r="DY228" s="10"/>
      <c r="DZ228" s="10"/>
      <c r="EA228" s="10"/>
      <c r="EB228" s="10"/>
      <c r="EC228" s="10"/>
      <c r="ED228" s="10"/>
      <c r="EE228" s="10"/>
      <c r="EF228" s="10"/>
      <c r="EG228" s="10"/>
      <c r="EH228" s="10"/>
      <c r="EI228" s="10"/>
      <c r="EJ228" s="10"/>
      <c r="EK228" s="10"/>
      <c r="EL228" s="10"/>
      <c r="EM228" s="10"/>
      <c r="EN228" s="10"/>
      <c r="EO228" s="10"/>
      <c r="EP228" s="10"/>
      <c r="EQ228" s="10"/>
      <c r="ER228" s="10"/>
      <c r="ES228" s="10"/>
      <c r="ET228" s="10"/>
      <c r="EU228" s="10"/>
      <c r="EV228" s="10"/>
      <c r="EW228" s="10"/>
      <c r="EX228" s="10"/>
      <c r="EY228" s="10"/>
      <c r="EZ228" s="10"/>
      <c r="FA228" s="10"/>
      <c r="FB228" s="10"/>
      <c r="FC228" s="10"/>
      <c r="FD228" s="10"/>
      <c r="FE228" s="10"/>
      <c r="FF228" s="10"/>
      <c r="FG228" s="10"/>
      <c r="FH228" s="10"/>
      <c r="FI228" s="10"/>
      <c r="FJ228" s="10"/>
      <c r="FK228" s="10"/>
      <c r="FL228" s="10"/>
      <c r="FM228" s="10"/>
      <c r="FN228" s="10"/>
      <c r="FO228" s="10"/>
      <c r="FP228" s="10"/>
      <c r="FQ228" s="10"/>
      <c r="FR228" s="10"/>
      <c r="FS228" s="10"/>
      <c r="FT228" s="10"/>
      <c r="FU228" s="10"/>
      <c r="FV228" s="10"/>
      <c r="FW228" s="10"/>
      <c r="FX228" s="10"/>
      <c r="FY228" s="10"/>
      <c r="FZ228" s="10"/>
      <c r="GA228" s="10"/>
      <c r="GB228" s="10"/>
      <c r="GC228" s="10"/>
      <c r="GD228" s="10"/>
      <c r="GE228" s="10"/>
      <c r="GF228" s="10"/>
      <c r="GG228" s="10"/>
      <c r="GH228" s="10"/>
      <c r="GI228" s="10"/>
      <c r="GJ228" s="10"/>
      <c r="GK228" s="10"/>
    </row>
    <row r="229" customFormat="false" ht="12.75" hidden="false" customHeight="false" outlineLevel="0" collapsed="false">
      <c r="A229" s="7"/>
      <c r="B229" s="7"/>
      <c r="C229" s="8"/>
      <c r="D229" s="8"/>
      <c r="E229" s="8"/>
      <c r="F229" s="8"/>
      <c r="G229" s="9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  <c r="DC229" s="10"/>
      <c r="DD229" s="10"/>
      <c r="DE229" s="10"/>
      <c r="DF229" s="10"/>
      <c r="DG229" s="10"/>
      <c r="DH229" s="10"/>
      <c r="DI229" s="10"/>
      <c r="DJ229" s="10"/>
      <c r="DK229" s="10"/>
      <c r="DL229" s="10"/>
      <c r="DM229" s="10"/>
      <c r="DN229" s="10"/>
      <c r="DO229" s="10"/>
      <c r="DP229" s="10"/>
      <c r="DQ229" s="10"/>
      <c r="DR229" s="10"/>
      <c r="DS229" s="10"/>
      <c r="DT229" s="10"/>
      <c r="DU229" s="10"/>
      <c r="DV229" s="10"/>
      <c r="DW229" s="10"/>
      <c r="DX229" s="10"/>
      <c r="DY229" s="10"/>
      <c r="DZ229" s="10"/>
      <c r="EA229" s="10"/>
      <c r="EB229" s="10"/>
      <c r="EC229" s="10"/>
      <c r="ED229" s="10"/>
      <c r="EE229" s="10"/>
      <c r="EF229" s="10"/>
      <c r="EG229" s="10"/>
      <c r="EH229" s="10"/>
      <c r="EI229" s="10"/>
      <c r="EJ229" s="10"/>
      <c r="EK229" s="10"/>
      <c r="EL229" s="10"/>
      <c r="EM229" s="10"/>
      <c r="EN229" s="10"/>
      <c r="EO229" s="10"/>
      <c r="EP229" s="10"/>
      <c r="EQ229" s="10"/>
      <c r="ER229" s="10"/>
      <c r="ES229" s="10"/>
      <c r="ET229" s="10"/>
      <c r="EU229" s="10"/>
      <c r="EV229" s="10"/>
      <c r="EW229" s="10"/>
      <c r="EX229" s="10"/>
      <c r="EY229" s="10"/>
      <c r="EZ229" s="10"/>
      <c r="FA229" s="10"/>
      <c r="FB229" s="10"/>
      <c r="FC229" s="10"/>
      <c r="FD229" s="10"/>
      <c r="FE229" s="10"/>
      <c r="FF229" s="10"/>
      <c r="FG229" s="10"/>
      <c r="FH229" s="10"/>
      <c r="FI229" s="10"/>
      <c r="FJ229" s="10"/>
      <c r="FK229" s="10"/>
      <c r="FL229" s="10"/>
      <c r="FM229" s="10"/>
      <c r="FN229" s="10"/>
      <c r="FO229" s="10"/>
      <c r="FP229" s="10"/>
      <c r="FQ229" s="10"/>
      <c r="FR229" s="10"/>
      <c r="FS229" s="10"/>
      <c r="FT229" s="10"/>
      <c r="FU229" s="10"/>
      <c r="FV229" s="10"/>
      <c r="FW229" s="10"/>
      <c r="FX229" s="10"/>
      <c r="FY229" s="10"/>
      <c r="FZ229" s="10"/>
      <c r="GA229" s="10"/>
      <c r="GB229" s="10"/>
      <c r="GC229" s="10"/>
      <c r="GD229" s="10"/>
      <c r="GE229" s="10"/>
      <c r="GF229" s="10"/>
      <c r="GG229" s="10"/>
      <c r="GH229" s="10"/>
      <c r="GI229" s="10"/>
      <c r="GJ229" s="10"/>
      <c r="GK229" s="10"/>
    </row>
    <row r="230" customFormat="false" ht="12.75" hidden="false" customHeight="false" outlineLevel="0" collapsed="false">
      <c r="A230" s="7"/>
      <c r="B230" s="7"/>
      <c r="C230" s="8"/>
      <c r="D230" s="8"/>
      <c r="E230" s="8"/>
      <c r="F230" s="8"/>
      <c r="G230" s="9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10"/>
      <c r="CX230" s="10"/>
      <c r="CY230" s="10"/>
      <c r="CZ230" s="10"/>
      <c r="DA230" s="10"/>
      <c r="DB230" s="10"/>
      <c r="DC230" s="10"/>
      <c r="DD230" s="10"/>
      <c r="DE230" s="10"/>
      <c r="DF230" s="10"/>
      <c r="DG230" s="10"/>
      <c r="DH230" s="10"/>
      <c r="DI230" s="10"/>
      <c r="DJ230" s="10"/>
      <c r="DK230" s="10"/>
      <c r="DL230" s="10"/>
      <c r="DM230" s="10"/>
      <c r="DN230" s="10"/>
      <c r="DO230" s="10"/>
      <c r="DP230" s="10"/>
      <c r="DQ230" s="10"/>
      <c r="DR230" s="10"/>
      <c r="DS230" s="10"/>
      <c r="DT230" s="10"/>
      <c r="DU230" s="10"/>
      <c r="DV230" s="10"/>
      <c r="DW230" s="10"/>
      <c r="DX230" s="10"/>
      <c r="DY230" s="10"/>
      <c r="DZ230" s="10"/>
      <c r="EA230" s="10"/>
      <c r="EB230" s="10"/>
      <c r="EC230" s="10"/>
      <c r="ED230" s="10"/>
      <c r="EE230" s="10"/>
      <c r="EF230" s="10"/>
      <c r="EG230" s="10"/>
      <c r="EH230" s="10"/>
      <c r="EI230" s="10"/>
      <c r="EJ230" s="10"/>
      <c r="EK230" s="10"/>
      <c r="EL230" s="10"/>
      <c r="EM230" s="10"/>
      <c r="EN230" s="10"/>
      <c r="EO230" s="10"/>
      <c r="EP230" s="10"/>
      <c r="EQ230" s="10"/>
      <c r="ER230" s="10"/>
      <c r="ES230" s="10"/>
      <c r="ET230" s="10"/>
      <c r="EU230" s="10"/>
      <c r="EV230" s="10"/>
      <c r="EW230" s="10"/>
      <c r="EX230" s="10"/>
      <c r="EY230" s="10"/>
      <c r="EZ230" s="10"/>
      <c r="FA230" s="10"/>
      <c r="FB230" s="10"/>
      <c r="FC230" s="10"/>
      <c r="FD230" s="10"/>
      <c r="FE230" s="10"/>
      <c r="FF230" s="10"/>
      <c r="FG230" s="10"/>
      <c r="FH230" s="10"/>
      <c r="FI230" s="10"/>
      <c r="FJ230" s="10"/>
      <c r="FK230" s="10"/>
      <c r="FL230" s="10"/>
      <c r="FM230" s="10"/>
      <c r="FN230" s="10"/>
      <c r="FO230" s="10"/>
      <c r="FP230" s="10"/>
      <c r="FQ230" s="10"/>
      <c r="FR230" s="10"/>
      <c r="FS230" s="10"/>
      <c r="FT230" s="10"/>
      <c r="FU230" s="10"/>
      <c r="FV230" s="10"/>
      <c r="FW230" s="10"/>
      <c r="FX230" s="10"/>
      <c r="FY230" s="10"/>
      <c r="FZ230" s="10"/>
      <c r="GA230" s="10"/>
      <c r="GB230" s="10"/>
      <c r="GC230" s="10"/>
      <c r="GD230" s="10"/>
      <c r="GE230" s="10"/>
      <c r="GF230" s="10"/>
      <c r="GG230" s="10"/>
      <c r="GH230" s="10"/>
      <c r="GI230" s="10"/>
      <c r="GJ230" s="10"/>
      <c r="GK230" s="10"/>
    </row>
    <row r="231" customFormat="false" ht="12.75" hidden="false" customHeight="false" outlineLevel="0" collapsed="false">
      <c r="A231" s="7"/>
      <c r="B231" s="7"/>
      <c r="C231" s="8"/>
      <c r="D231" s="8"/>
      <c r="E231" s="8"/>
      <c r="F231" s="8"/>
      <c r="G231" s="9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10"/>
      <c r="CX231" s="10"/>
      <c r="CY231" s="10"/>
      <c r="CZ231" s="10"/>
      <c r="DA231" s="10"/>
      <c r="DB231" s="10"/>
      <c r="DC231" s="10"/>
      <c r="DD231" s="10"/>
      <c r="DE231" s="10"/>
      <c r="DF231" s="10"/>
      <c r="DG231" s="10"/>
      <c r="DH231" s="10"/>
      <c r="DI231" s="10"/>
      <c r="DJ231" s="10"/>
      <c r="DK231" s="10"/>
      <c r="DL231" s="10"/>
      <c r="DM231" s="10"/>
      <c r="DN231" s="10"/>
      <c r="DO231" s="10"/>
      <c r="DP231" s="10"/>
      <c r="DQ231" s="10"/>
      <c r="DR231" s="10"/>
      <c r="DS231" s="10"/>
      <c r="DT231" s="10"/>
      <c r="DU231" s="10"/>
      <c r="DV231" s="10"/>
      <c r="DW231" s="10"/>
      <c r="DX231" s="10"/>
      <c r="DY231" s="10"/>
      <c r="DZ231" s="10"/>
      <c r="EA231" s="10"/>
      <c r="EB231" s="10"/>
      <c r="EC231" s="10"/>
      <c r="ED231" s="10"/>
      <c r="EE231" s="10"/>
      <c r="EF231" s="10"/>
      <c r="EG231" s="10"/>
      <c r="EH231" s="10"/>
      <c r="EI231" s="10"/>
      <c r="EJ231" s="10"/>
      <c r="EK231" s="10"/>
      <c r="EL231" s="10"/>
      <c r="EM231" s="10"/>
      <c r="EN231" s="10"/>
      <c r="EO231" s="10"/>
      <c r="EP231" s="10"/>
      <c r="EQ231" s="10"/>
      <c r="ER231" s="10"/>
      <c r="ES231" s="10"/>
      <c r="ET231" s="10"/>
      <c r="EU231" s="10"/>
      <c r="EV231" s="10"/>
      <c r="EW231" s="10"/>
      <c r="EX231" s="10"/>
      <c r="EY231" s="10"/>
      <c r="EZ231" s="10"/>
      <c r="FA231" s="10"/>
      <c r="FB231" s="10"/>
      <c r="FC231" s="10"/>
      <c r="FD231" s="10"/>
      <c r="FE231" s="10"/>
      <c r="FF231" s="10"/>
      <c r="FG231" s="10"/>
      <c r="FH231" s="10"/>
      <c r="FI231" s="10"/>
      <c r="FJ231" s="10"/>
      <c r="FK231" s="10"/>
      <c r="FL231" s="10"/>
      <c r="FM231" s="10"/>
      <c r="FN231" s="10"/>
      <c r="FO231" s="10"/>
      <c r="FP231" s="10"/>
      <c r="FQ231" s="10"/>
      <c r="FR231" s="10"/>
      <c r="FS231" s="10"/>
      <c r="FT231" s="10"/>
      <c r="FU231" s="10"/>
      <c r="FV231" s="10"/>
      <c r="FW231" s="10"/>
      <c r="FX231" s="10"/>
      <c r="FY231" s="10"/>
      <c r="FZ231" s="10"/>
      <c r="GA231" s="10"/>
      <c r="GB231" s="10"/>
      <c r="GC231" s="10"/>
      <c r="GD231" s="10"/>
      <c r="GE231" s="10"/>
      <c r="GF231" s="10"/>
      <c r="GG231" s="10"/>
      <c r="GH231" s="10"/>
      <c r="GI231" s="10"/>
      <c r="GJ231" s="10"/>
      <c r="GK231" s="10"/>
    </row>
    <row r="232" customFormat="false" ht="12.75" hidden="false" customHeight="false" outlineLevel="0" collapsed="false">
      <c r="A232" s="7"/>
      <c r="B232" s="7"/>
      <c r="C232" s="8"/>
      <c r="D232" s="8"/>
      <c r="E232" s="8"/>
      <c r="F232" s="8"/>
      <c r="G232" s="9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W232" s="10"/>
      <c r="CX232" s="10"/>
      <c r="CY232" s="10"/>
      <c r="CZ232" s="10"/>
      <c r="DA232" s="10"/>
      <c r="DB232" s="10"/>
      <c r="DC232" s="10"/>
      <c r="DD232" s="10"/>
      <c r="DE232" s="10"/>
      <c r="DF232" s="10"/>
      <c r="DG232" s="10"/>
      <c r="DH232" s="10"/>
      <c r="DI232" s="10"/>
      <c r="DJ232" s="10"/>
      <c r="DK232" s="10"/>
      <c r="DL232" s="10"/>
      <c r="DM232" s="10"/>
      <c r="DN232" s="10"/>
      <c r="DO232" s="10"/>
      <c r="DP232" s="10"/>
      <c r="DQ232" s="10"/>
      <c r="DR232" s="10"/>
      <c r="DS232" s="10"/>
      <c r="DT232" s="10"/>
      <c r="DU232" s="10"/>
      <c r="DV232" s="10"/>
      <c r="DW232" s="10"/>
      <c r="DX232" s="10"/>
      <c r="DY232" s="10"/>
      <c r="DZ232" s="10"/>
      <c r="EA232" s="10"/>
      <c r="EB232" s="10"/>
      <c r="EC232" s="10"/>
      <c r="ED232" s="10"/>
      <c r="EE232" s="10"/>
      <c r="EF232" s="10"/>
      <c r="EG232" s="10"/>
      <c r="EH232" s="10"/>
      <c r="EI232" s="10"/>
      <c r="EJ232" s="10"/>
      <c r="EK232" s="10"/>
      <c r="EL232" s="10"/>
      <c r="EM232" s="10"/>
      <c r="EN232" s="10"/>
      <c r="EO232" s="10"/>
      <c r="EP232" s="10"/>
      <c r="EQ232" s="10"/>
      <c r="ER232" s="10"/>
      <c r="ES232" s="10"/>
      <c r="ET232" s="10"/>
      <c r="EU232" s="10"/>
      <c r="EV232" s="10"/>
      <c r="EW232" s="10"/>
      <c r="EX232" s="10"/>
      <c r="EY232" s="10"/>
      <c r="EZ232" s="10"/>
      <c r="FA232" s="10"/>
      <c r="FB232" s="10"/>
      <c r="FC232" s="10"/>
      <c r="FD232" s="10"/>
      <c r="FE232" s="10"/>
      <c r="FF232" s="10"/>
      <c r="FG232" s="10"/>
      <c r="FH232" s="10"/>
      <c r="FI232" s="10"/>
      <c r="FJ232" s="10"/>
      <c r="FK232" s="10"/>
      <c r="FL232" s="10"/>
      <c r="FM232" s="10"/>
      <c r="FN232" s="10"/>
      <c r="FO232" s="10"/>
      <c r="FP232" s="10"/>
      <c r="FQ232" s="10"/>
      <c r="FR232" s="10"/>
      <c r="FS232" s="10"/>
      <c r="FT232" s="10"/>
      <c r="FU232" s="10"/>
      <c r="FV232" s="10"/>
      <c r="FW232" s="10"/>
      <c r="FX232" s="10"/>
      <c r="FY232" s="10"/>
      <c r="FZ232" s="10"/>
      <c r="GA232" s="10"/>
      <c r="GB232" s="10"/>
      <c r="GC232" s="10"/>
      <c r="GD232" s="10"/>
      <c r="GE232" s="10"/>
      <c r="GF232" s="10"/>
      <c r="GG232" s="10"/>
      <c r="GH232" s="10"/>
      <c r="GI232" s="10"/>
      <c r="GJ232" s="10"/>
      <c r="GK232" s="10"/>
    </row>
    <row r="233" customFormat="false" ht="12.75" hidden="false" customHeight="false" outlineLevel="0" collapsed="false">
      <c r="A233" s="7"/>
      <c r="B233" s="7"/>
      <c r="C233" s="8"/>
      <c r="D233" s="8"/>
      <c r="E233" s="8"/>
      <c r="F233" s="8"/>
      <c r="G233" s="9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W233" s="10"/>
      <c r="CX233" s="10"/>
      <c r="CY233" s="10"/>
      <c r="CZ233" s="10"/>
      <c r="DA233" s="10"/>
      <c r="DB233" s="10"/>
      <c r="DC233" s="10"/>
      <c r="DD233" s="10"/>
      <c r="DE233" s="10"/>
      <c r="DF233" s="10"/>
      <c r="DG233" s="10"/>
      <c r="DH233" s="10"/>
      <c r="DI233" s="10"/>
      <c r="DJ233" s="10"/>
      <c r="DK233" s="10"/>
      <c r="DL233" s="10"/>
      <c r="DM233" s="10"/>
      <c r="DN233" s="10"/>
      <c r="DO233" s="10"/>
      <c r="DP233" s="10"/>
      <c r="DQ233" s="10"/>
      <c r="DR233" s="10"/>
      <c r="DS233" s="10"/>
      <c r="DT233" s="10"/>
      <c r="DU233" s="10"/>
      <c r="DV233" s="10"/>
      <c r="DW233" s="10"/>
      <c r="DX233" s="10"/>
      <c r="DY233" s="10"/>
      <c r="DZ233" s="10"/>
      <c r="EA233" s="10"/>
      <c r="EB233" s="10"/>
      <c r="EC233" s="10"/>
      <c r="ED233" s="10"/>
      <c r="EE233" s="10"/>
      <c r="EF233" s="10"/>
      <c r="EG233" s="10"/>
      <c r="EH233" s="10"/>
      <c r="EI233" s="10"/>
      <c r="EJ233" s="10"/>
      <c r="EK233" s="10"/>
      <c r="EL233" s="10"/>
      <c r="EM233" s="10"/>
      <c r="EN233" s="10"/>
      <c r="EO233" s="10"/>
      <c r="EP233" s="10"/>
      <c r="EQ233" s="10"/>
      <c r="ER233" s="10"/>
      <c r="ES233" s="10"/>
      <c r="ET233" s="10"/>
      <c r="EU233" s="10"/>
      <c r="EV233" s="10"/>
      <c r="EW233" s="10"/>
      <c r="EX233" s="10"/>
      <c r="EY233" s="10"/>
      <c r="EZ233" s="10"/>
      <c r="FA233" s="10"/>
      <c r="FB233" s="10"/>
      <c r="FC233" s="10"/>
      <c r="FD233" s="10"/>
      <c r="FE233" s="10"/>
      <c r="FF233" s="10"/>
      <c r="FG233" s="10"/>
      <c r="FH233" s="10"/>
      <c r="FI233" s="10"/>
      <c r="FJ233" s="10"/>
      <c r="FK233" s="10"/>
      <c r="FL233" s="10"/>
      <c r="FM233" s="10"/>
      <c r="FN233" s="10"/>
      <c r="FO233" s="10"/>
      <c r="FP233" s="10"/>
      <c r="FQ233" s="10"/>
      <c r="FR233" s="10"/>
      <c r="FS233" s="10"/>
      <c r="FT233" s="10"/>
      <c r="FU233" s="10"/>
      <c r="FV233" s="10"/>
      <c r="FW233" s="10"/>
      <c r="FX233" s="10"/>
      <c r="FY233" s="10"/>
      <c r="FZ233" s="10"/>
      <c r="GA233" s="10"/>
      <c r="GB233" s="10"/>
      <c r="GC233" s="10"/>
      <c r="GD233" s="10"/>
      <c r="GE233" s="10"/>
      <c r="GF233" s="10"/>
      <c r="GG233" s="10"/>
      <c r="GH233" s="10"/>
      <c r="GI233" s="10"/>
      <c r="GJ233" s="10"/>
      <c r="GK233" s="10"/>
    </row>
    <row r="234" customFormat="false" ht="12.75" hidden="false" customHeight="false" outlineLevel="0" collapsed="false">
      <c r="A234" s="7"/>
      <c r="B234" s="7"/>
      <c r="C234" s="8"/>
      <c r="D234" s="8"/>
      <c r="E234" s="8"/>
      <c r="F234" s="8"/>
      <c r="G234" s="9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  <c r="CW234" s="10"/>
      <c r="CX234" s="10"/>
      <c r="CY234" s="10"/>
      <c r="CZ234" s="10"/>
      <c r="DA234" s="10"/>
      <c r="DB234" s="10"/>
      <c r="DC234" s="10"/>
      <c r="DD234" s="10"/>
      <c r="DE234" s="10"/>
      <c r="DF234" s="10"/>
      <c r="DG234" s="10"/>
      <c r="DH234" s="10"/>
      <c r="DI234" s="10"/>
      <c r="DJ234" s="10"/>
      <c r="DK234" s="10"/>
      <c r="DL234" s="10"/>
      <c r="DM234" s="10"/>
      <c r="DN234" s="10"/>
      <c r="DO234" s="10"/>
      <c r="DP234" s="10"/>
      <c r="DQ234" s="10"/>
      <c r="DR234" s="10"/>
      <c r="DS234" s="10"/>
      <c r="DT234" s="10"/>
      <c r="DU234" s="10"/>
      <c r="DV234" s="10"/>
      <c r="DW234" s="10"/>
      <c r="DX234" s="10"/>
      <c r="DY234" s="10"/>
      <c r="DZ234" s="10"/>
      <c r="EA234" s="10"/>
      <c r="EB234" s="10"/>
      <c r="EC234" s="10"/>
      <c r="ED234" s="10"/>
      <c r="EE234" s="10"/>
      <c r="EF234" s="10"/>
      <c r="EG234" s="10"/>
      <c r="EH234" s="10"/>
      <c r="EI234" s="10"/>
      <c r="EJ234" s="10"/>
      <c r="EK234" s="10"/>
      <c r="EL234" s="10"/>
      <c r="EM234" s="10"/>
      <c r="EN234" s="10"/>
      <c r="EO234" s="10"/>
      <c r="EP234" s="10"/>
      <c r="EQ234" s="10"/>
      <c r="ER234" s="10"/>
      <c r="ES234" s="10"/>
      <c r="ET234" s="10"/>
      <c r="EU234" s="10"/>
      <c r="EV234" s="10"/>
      <c r="EW234" s="10"/>
      <c r="EX234" s="10"/>
      <c r="EY234" s="10"/>
      <c r="EZ234" s="10"/>
      <c r="FA234" s="10"/>
      <c r="FB234" s="10"/>
      <c r="FC234" s="10"/>
      <c r="FD234" s="10"/>
      <c r="FE234" s="10"/>
      <c r="FF234" s="10"/>
      <c r="FG234" s="10"/>
      <c r="FH234" s="10"/>
      <c r="FI234" s="10"/>
      <c r="FJ234" s="10"/>
      <c r="FK234" s="10"/>
      <c r="FL234" s="10"/>
      <c r="FM234" s="10"/>
      <c r="FN234" s="10"/>
      <c r="FO234" s="10"/>
      <c r="FP234" s="10"/>
      <c r="FQ234" s="10"/>
      <c r="FR234" s="10"/>
      <c r="FS234" s="10"/>
      <c r="FT234" s="10"/>
      <c r="FU234" s="10"/>
      <c r="FV234" s="10"/>
      <c r="FW234" s="10"/>
      <c r="FX234" s="10"/>
      <c r="FY234" s="10"/>
      <c r="FZ234" s="10"/>
      <c r="GA234" s="10"/>
      <c r="GB234" s="10"/>
      <c r="GC234" s="10"/>
      <c r="GD234" s="10"/>
      <c r="GE234" s="10"/>
      <c r="GF234" s="10"/>
      <c r="GG234" s="10"/>
      <c r="GH234" s="10"/>
      <c r="GI234" s="10"/>
      <c r="GJ234" s="10"/>
      <c r="GK234" s="10"/>
    </row>
    <row r="235" customFormat="false" ht="12.75" hidden="false" customHeight="false" outlineLevel="0" collapsed="false">
      <c r="A235" s="7"/>
      <c r="B235" s="7"/>
      <c r="C235" s="8"/>
      <c r="D235" s="8"/>
      <c r="E235" s="8"/>
      <c r="F235" s="8"/>
      <c r="G235" s="9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  <c r="CW235" s="10"/>
      <c r="CX235" s="10"/>
      <c r="CY235" s="10"/>
      <c r="CZ235" s="10"/>
      <c r="DA235" s="10"/>
      <c r="DB235" s="10"/>
      <c r="DC235" s="10"/>
      <c r="DD235" s="10"/>
      <c r="DE235" s="10"/>
      <c r="DF235" s="10"/>
      <c r="DG235" s="10"/>
      <c r="DH235" s="10"/>
      <c r="DI235" s="10"/>
      <c r="DJ235" s="10"/>
      <c r="DK235" s="10"/>
      <c r="DL235" s="10"/>
      <c r="DM235" s="10"/>
      <c r="DN235" s="10"/>
      <c r="DO235" s="10"/>
      <c r="DP235" s="10"/>
      <c r="DQ235" s="10"/>
      <c r="DR235" s="10"/>
      <c r="DS235" s="10"/>
      <c r="DT235" s="10"/>
      <c r="DU235" s="10"/>
      <c r="DV235" s="10"/>
      <c r="DW235" s="10"/>
      <c r="DX235" s="10"/>
      <c r="DY235" s="10"/>
      <c r="DZ235" s="10"/>
      <c r="EA235" s="10"/>
      <c r="EB235" s="10"/>
      <c r="EC235" s="10"/>
      <c r="ED235" s="10"/>
      <c r="EE235" s="10"/>
      <c r="EF235" s="10"/>
      <c r="EG235" s="10"/>
      <c r="EH235" s="10"/>
      <c r="EI235" s="10"/>
      <c r="EJ235" s="10"/>
      <c r="EK235" s="10"/>
      <c r="EL235" s="10"/>
      <c r="EM235" s="10"/>
      <c r="EN235" s="10"/>
      <c r="EO235" s="10"/>
      <c r="EP235" s="10"/>
      <c r="EQ235" s="10"/>
      <c r="ER235" s="10"/>
      <c r="ES235" s="10"/>
      <c r="ET235" s="10"/>
      <c r="EU235" s="10"/>
      <c r="EV235" s="10"/>
      <c r="EW235" s="10"/>
      <c r="EX235" s="10"/>
      <c r="EY235" s="10"/>
      <c r="EZ235" s="10"/>
      <c r="FA235" s="10"/>
      <c r="FB235" s="10"/>
      <c r="FC235" s="10"/>
      <c r="FD235" s="10"/>
      <c r="FE235" s="10"/>
      <c r="FF235" s="10"/>
      <c r="FG235" s="10"/>
      <c r="FH235" s="10"/>
      <c r="FI235" s="10"/>
      <c r="FJ235" s="10"/>
      <c r="FK235" s="10"/>
      <c r="FL235" s="10"/>
      <c r="FM235" s="10"/>
      <c r="FN235" s="10"/>
      <c r="FO235" s="10"/>
      <c r="FP235" s="10"/>
      <c r="FQ235" s="10"/>
      <c r="FR235" s="10"/>
      <c r="FS235" s="10"/>
      <c r="FT235" s="10"/>
      <c r="FU235" s="10"/>
      <c r="FV235" s="10"/>
      <c r="FW235" s="10"/>
      <c r="FX235" s="10"/>
      <c r="FY235" s="10"/>
      <c r="FZ235" s="10"/>
      <c r="GA235" s="10"/>
      <c r="GB235" s="10"/>
      <c r="GC235" s="10"/>
      <c r="GD235" s="10"/>
      <c r="GE235" s="10"/>
      <c r="GF235" s="10"/>
      <c r="GG235" s="10"/>
      <c r="GH235" s="10"/>
      <c r="GI235" s="10"/>
      <c r="GJ235" s="10"/>
      <c r="GK235" s="10"/>
    </row>
    <row r="236" customFormat="false" ht="12.75" hidden="false" customHeight="false" outlineLevel="0" collapsed="false">
      <c r="A236" s="7"/>
      <c r="B236" s="7"/>
      <c r="C236" s="8"/>
      <c r="D236" s="8"/>
      <c r="E236" s="8"/>
      <c r="F236" s="8"/>
      <c r="G236" s="9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10"/>
      <c r="CX236" s="10"/>
      <c r="CY236" s="10"/>
      <c r="CZ236" s="10"/>
      <c r="DA236" s="10"/>
      <c r="DB236" s="10"/>
      <c r="DC236" s="10"/>
      <c r="DD236" s="10"/>
      <c r="DE236" s="10"/>
      <c r="DF236" s="10"/>
      <c r="DG236" s="10"/>
      <c r="DH236" s="10"/>
      <c r="DI236" s="10"/>
      <c r="DJ236" s="10"/>
      <c r="DK236" s="10"/>
      <c r="DL236" s="10"/>
      <c r="DM236" s="10"/>
      <c r="DN236" s="10"/>
      <c r="DO236" s="10"/>
      <c r="DP236" s="10"/>
      <c r="DQ236" s="10"/>
      <c r="DR236" s="10"/>
      <c r="DS236" s="10"/>
      <c r="DT236" s="10"/>
      <c r="DU236" s="10"/>
      <c r="DV236" s="10"/>
      <c r="DW236" s="10"/>
      <c r="DX236" s="10"/>
      <c r="DY236" s="10"/>
      <c r="DZ236" s="10"/>
      <c r="EA236" s="10"/>
      <c r="EB236" s="10"/>
      <c r="EC236" s="10"/>
      <c r="ED236" s="10"/>
      <c r="EE236" s="10"/>
      <c r="EF236" s="10"/>
      <c r="EG236" s="10"/>
      <c r="EH236" s="10"/>
      <c r="EI236" s="10"/>
      <c r="EJ236" s="10"/>
      <c r="EK236" s="10"/>
      <c r="EL236" s="10"/>
      <c r="EM236" s="10"/>
      <c r="EN236" s="10"/>
      <c r="EO236" s="10"/>
      <c r="EP236" s="10"/>
      <c r="EQ236" s="10"/>
      <c r="ER236" s="10"/>
      <c r="ES236" s="10"/>
      <c r="ET236" s="10"/>
      <c r="EU236" s="10"/>
      <c r="EV236" s="10"/>
      <c r="EW236" s="10"/>
      <c r="EX236" s="10"/>
      <c r="EY236" s="10"/>
      <c r="EZ236" s="10"/>
      <c r="FA236" s="10"/>
      <c r="FB236" s="10"/>
      <c r="FC236" s="10"/>
      <c r="FD236" s="10"/>
      <c r="FE236" s="10"/>
      <c r="FF236" s="10"/>
      <c r="FG236" s="10"/>
      <c r="FH236" s="10"/>
      <c r="FI236" s="10"/>
      <c r="FJ236" s="10"/>
      <c r="FK236" s="10"/>
      <c r="FL236" s="10"/>
      <c r="FM236" s="10"/>
      <c r="FN236" s="10"/>
      <c r="FO236" s="10"/>
      <c r="FP236" s="10"/>
      <c r="FQ236" s="10"/>
      <c r="FR236" s="10"/>
      <c r="FS236" s="10"/>
      <c r="FT236" s="10"/>
      <c r="FU236" s="10"/>
      <c r="FV236" s="10"/>
      <c r="FW236" s="10"/>
      <c r="FX236" s="10"/>
      <c r="FY236" s="10"/>
      <c r="FZ236" s="10"/>
      <c r="GA236" s="10"/>
      <c r="GB236" s="10"/>
      <c r="GC236" s="10"/>
      <c r="GD236" s="10"/>
      <c r="GE236" s="10"/>
      <c r="GF236" s="10"/>
      <c r="GG236" s="10"/>
      <c r="GH236" s="10"/>
      <c r="GI236" s="10"/>
      <c r="GJ236" s="10"/>
      <c r="GK236" s="10"/>
    </row>
    <row r="237" customFormat="false" ht="12.75" hidden="false" customHeight="false" outlineLevel="0" collapsed="false">
      <c r="A237" s="7"/>
      <c r="B237" s="7"/>
      <c r="C237" s="8"/>
      <c r="D237" s="8"/>
      <c r="E237" s="8"/>
      <c r="F237" s="8"/>
      <c r="G237" s="9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  <c r="CW237" s="10"/>
      <c r="CX237" s="10"/>
      <c r="CY237" s="10"/>
      <c r="CZ237" s="10"/>
      <c r="DA237" s="10"/>
      <c r="DB237" s="10"/>
      <c r="DC237" s="10"/>
      <c r="DD237" s="10"/>
      <c r="DE237" s="10"/>
      <c r="DF237" s="10"/>
      <c r="DG237" s="10"/>
      <c r="DH237" s="10"/>
      <c r="DI237" s="10"/>
      <c r="DJ237" s="10"/>
      <c r="DK237" s="10"/>
      <c r="DL237" s="10"/>
      <c r="DM237" s="10"/>
      <c r="DN237" s="10"/>
      <c r="DO237" s="10"/>
      <c r="DP237" s="10"/>
      <c r="DQ237" s="10"/>
      <c r="DR237" s="10"/>
      <c r="DS237" s="10"/>
      <c r="DT237" s="10"/>
      <c r="DU237" s="10"/>
      <c r="DV237" s="10"/>
      <c r="DW237" s="10"/>
      <c r="DX237" s="10"/>
      <c r="DY237" s="10"/>
      <c r="DZ237" s="10"/>
      <c r="EA237" s="10"/>
      <c r="EB237" s="10"/>
      <c r="EC237" s="10"/>
      <c r="ED237" s="10"/>
      <c r="EE237" s="10"/>
      <c r="EF237" s="10"/>
      <c r="EG237" s="10"/>
      <c r="EH237" s="10"/>
      <c r="EI237" s="10"/>
      <c r="EJ237" s="10"/>
      <c r="EK237" s="10"/>
      <c r="EL237" s="10"/>
      <c r="EM237" s="10"/>
      <c r="EN237" s="10"/>
      <c r="EO237" s="10"/>
      <c r="EP237" s="10"/>
      <c r="EQ237" s="10"/>
      <c r="ER237" s="10"/>
      <c r="ES237" s="10"/>
      <c r="ET237" s="10"/>
      <c r="EU237" s="10"/>
      <c r="EV237" s="10"/>
      <c r="EW237" s="10"/>
      <c r="EX237" s="10"/>
      <c r="EY237" s="10"/>
      <c r="EZ237" s="10"/>
      <c r="FA237" s="10"/>
      <c r="FB237" s="10"/>
      <c r="FC237" s="10"/>
      <c r="FD237" s="10"/>
      <c r="FE237" s="10"/>
      <c r="FF237" s="10"/>
      <c r="FG237" s="10"/>
      <c r="FH237" s="10"/>
      <c r="FI237" s="10"/>
      <c r="FJ237" s="10"/>
      <c r="FK237" s="10"/>
      <c r="FL237" s="10"/>
      <c r="FM237" s="10"/>
      <c r="FN237" s="10"/>
      <c r="FO237" s="10"/>
      <c r="FP237" s="10"/>
      <c r="FQ237" s="10"/>
      <c r="FR237" s="10"/>
      <c r="FS237" s="10"/>
      <c r="FT237" s="10"/>
      <c r="FU237" s="10"/>
      <c r="FV237" s="10"/>
      <c r="FW237" s="10"/>
      <c r="FX237" s="10"/>
      <c r="FY237" s="10"/>
      <c r="FZ237" s="10"/>
      <c r="GA237" s="10"/>
      <c r="GB237" s="10"/>
      <c r="GC237" s="10"/>
      <c r="GD237" s="10"/>
      <c r="GE237" s="10"/>
      <c r="GF237" s="10"/>
      <c r="GG237" s="10"/>
      <c r="GH237" s="10"/>
      <c r="GI237" s="10"/>
      <c r="GJ237" s="10"/>
      <c r="GK237" s="10"/>
    </row>
    <row r="238" customFormat="false" ht="12.75" hidden="false" customHeight="false" outlineLevel="0" collapsed="false">
      <c r="A238" s="7"/>
      <c r="B238" s="7"/>
      <c r="C238" s="8"/>
      <c r="D238" s="8"/>
      <c r="E238" s="8"/>
      <c r="F238" s="8"/>
      <c r="G238" s="9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10"/>
      <c r="CX238" s="10"/>
      <c r="CY238" s="10"/>
      <c r="CZ238" s="10"/>
      <c r="DA238" s="10"/>
      <c r="DB238" s="10"/>
      <c r="DC238" s="10"/>
      <c r="DD238" s="10"/>
      <c r="DE238" s="10"/>
      <c r="DF238" s="10"/>
      <c r="DG238" s="10"/>
      <c r="DH238" s="10"/>
      <c r="DI238" s="10"/>
      <c r="DJ238" s="10"/>
      <c r="DK238" s="10"/>
      <c r="DL238" s="10"/>
      <c r="DM238" s="10"/>
      <c r="DN238" s="10"/>
      <c r="DO238" s="10"/>
      <c r="DP238" s="10"/>
      <c r="DQ238" s="10"/>
      <c r="DR238" s="10"/>
      <c r="DS238" s="10"/>
      <c r="DT238" s="10"/>
      <c r="DU238" s="10"/>
      <c r="DV238" s="10"/>
      <c r="DW238" s="10"/>
      <c r="DX238" s="10"/>
      <c r="DY238" s="10"/>
      <c r="DZ238" s="10"/>
      <c r="EA238" s="10"/>
      <c r="EB238" s="10"/>
      <c r="EC238" s="10"/>
      <c r="ED238" s="10"/>
      <c r="EE238" s="10"/>
      <c r="EF238" s="10"/>
      <c r="EG238" s="10"/>
      <c r="EH238" s="10"/>
      <c r="EI238" s="10"/>
      <c r="EJ238" s="10"/>
      <c r="EK238" s="10"/>
      <c r="EL238" s="10"/>
      <c r="EM238" s="10"/>
      <c r="EN238" s="10"/>
      <c r="EO238" s="10"/>
      <c r="EP238" s="10"/>
      <c r="EQ238" s="10"/>
      <c r="ER238" s="10"/>
      <c r="ES238" s="10"/>
      <c r="ET238" s="10"/>
      <c r="EU238" s="10"/>
      <c r="EV238" s="10"/>
      <c r="EW238" s="10"/>
      <c r="EX238" s="10"/>
      <c r="EY238" s="10"/>
      <c r="EZ238" s="10"/>
      <c r="FA238" s="10"/>
      <c r="FB238" s="10"/>
      <c r="FC238" s="10"/>
      <c r="FD238" s="10"/>
      <c r="FE238" s="10"/>
      <c r="FF238" s="10"/>
      <c r="FG238" s="10"/>
      <c r="FH238" s="10"/>
      <c r="FI238" s="10"/>
      <c r="FJ238" s="10"/>
      <c r="FK238" s="10"/>
      <c r="FL238" s="10"/>
      <c r="FM238" s="10"/>
      <c r="FN238" s="10"/>
      <c r="FO238" s="10"/>
      <c r="FP238" s="10"/>
      <c r="FQ238" s="10"/>
      <c r="FR238" s="10"/>
      <c r="FS238" s="10"/>
      <c r="FT238" s="10"/>
      <c r="FU238" s="10"/>
      <c r="FV238" s="10"/>
      <c r="FW238" s="10"/>
      <c r="FX238" s="10"/>
      <c r="FY238" s="10"/>
      <c r="FZ238" s="10"/>
      <c r="GA238" s="10"/>
      <c r="GB238" s="10"/>
      <c r="GC238" s="10"/>
      <c r="GD238" s="10"/>
      <c r="GE238" s="10"/>
      <c r="GF238" s="10"/>
      <c r="GG238" s="10"/>
      <c r="GH238" s="10"/>
      <c r="GI238" s="10"/>
      <c r="GJ238" s="10"/>
      <c r="GK238" s="10"/>
    </row>
    <row r="239" customFormat="false" ht="12.75" hidden="false" customHeight="false" outlineLevel="0" collapsed="false">
      <c r="A239" s="7"/>
      <c r="B239" s="7"/>
      <c r="C239" s="8"/>
      <c r="D239" s="8"/>
      <c r="E239" s="8"/>
      <c r="F239" s="8"/>
      <c r="G239" s="9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  <c r="CW239" s="10"/>
      <c r="CX239" s="10"/>
      <c r="CY239" s="10"/>
      <c r="CZ239" s="10"/>
      <c r="DA239" s="10"/>
      <c r="DB239" s="10"/>
      <c r="DC239" s="10"/>
      <c r="DD239" s="10"/>
      <c r="DE239" s="10"/>
      <c r="DF239" s="10"/>
      <c r="DG239" s="10"/>
      <c r="DH239" s="10"/>
      <c r="DI239" s="10"/>
      <c r="DJ239" s="10"/>
      <c r="DK239" s="10"/>
      <c r="DL239" s="10"/>
      <c r="DM239" s="10"/>
      <c r="DN239" s="10"/>
      <c r="DO239" s="10"/>
      <c r="DP239" s="10"/>
      <c r="DQ239" s="10"/>
      <c r="DR239" s="10"/>
      <c r="DS239" s="10"/>
      <c r="DT239" s="10"/>
      <c r="DU239" s="10"/>
      <c r="DV239" s="10"/>
      <c r="DW239" s="10"/>
      <c r="DX239" s="10"/>
      <c r="DY239" s="10"/>
      <c r="DZ239" s="10"/>
      <c r="EA239" s="10"/>
      <c r="EB239" s="10"/>
      <c r="EC239" s="10"/>
      <c r="ED239" s="10"/>
      <c r="EE239" s="10"/>
      <c r="EF239" s="10"/>
      <c r="EG239" s="10"/>
      <c r="EH239" s="10"/>
      <c r="EI239" s="10"/>
      <c r="EJ239" s="10"/>
      <c r="EK239" s="10"/>
      <c r="EL239" s="10"/>
      <c r="EM239" s="10"/>
      <c r="EN239" s="10"/>
      <c r="EO239" s="10"/>
      <c r="EP239" s="10"/>
      <c r="EQ239" s="10"/>
      <c r="ER239" s="10"/>
      <c r="ES239" s="10"/>
      <c r="ET239" s="10"/>
      <c r="EU239" s="10"/>
      <c r="EV239" s="10"/>
      <c r="EW239" s="10"/>
      <c r="EX239" s="10"/>
      <c r="EY239" s="10"/>
      <c r="EZ239" s="10"/>
      <c r="FA239" s="10"/>
      <c r="FB239" s="10"/>
      <c r="FC239" s="10"/>
      <c r="FD239" s="10"/>
      <c r="FE239" s="10"/>
      <c r="FF239" s="10"/>
      <c r="FG239" s="10"/>
      <c r="FH239" s="10"/>
      <c r="FI239" s="10"/>
      <c r="FJ239" s="10"/>
      <c r="FK239" s="10"/>
      <c r="FL239" s="10"/>
      <c r="FM239" s="10"/>
      <c r="FN239" s="10"/>
      <c r="FO239" s="10"/>
      <c r="FP239" s="10"/>
      <c r="FQ239" s="10"/>
      <c r="FR239" s="10"/>
      <c r="FS239" s="10"/>
      <c r="FT239" s="10"/>
      <c r="FU239" s="10"/>
      <c r="FV239" s="10"/>
      <c r="FW239" s="10"/>
      <c r="FX239" s="10"/>
      <c r="FY239" s="10"/>
      <c r="FZ239" s="10"/>
      <c r="GA239" s="10"/>
      <c r="GB239" s="10"/>
      <c r="GC239" s="10"/>
      <c r="GD239" s="10"/>
      <c r="GE239" s="10"/>
      <c r="GF239" s="10"/>
      <c r="GG239" s="10"/>
      <c r="GH239" s="10"/>
      <c r="GI239" s="10"/>
      <c r="GJ239" s="10"/>
      <c r="GK239" s="10"/>
    </row>
    <row r="240" customFormat="false" ht="12.75" hidden="false" customHeight="false" outlineLevel="0" collapsed="false">
      <c r="A240" s="7"/>
      <c r="B240" s="7"/>
      <c r="C240" s="8"/>
      <c r="D240" s="8"/>
      <c r="E240" s="8"/>
      <c r="F240" s="8"/>
      <c r="G240" s="9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  <c r="CW240" s="10"/>
      <c r="CX240" s="10"/>
      <c r="CY240" s="10"/>
      <c r="CZ240" s="10"/>
      <c r="DA240" s="10"/>
      <c r="DB240" s="10"/>
      <c r="DC240" s="10"/>
      <c r="DD240" s="10"/>
      <c r="DE240" s="10"/>
      <c r="DF240" s="10"/>
      <c r="DG240" s="10"/>
      <c r="DH240" s="10"/>
      <c r="DI240" s="10"/>
      <c r="DJ240" s="10"/>
      <c r="DK240" s="10"/>
      <c r="DL240" s="10"/>
      <c r="DM240" s="10"/>
      <c r="DN240" s="10"/>
      <c r="DO240" s="10"/>
      <c r="DP240" s="10"/>
      <c r="DQ240" s="10"/>
      <c r="DR240" s="10"/>
      <c r="DS240" s="10"/>
      <c r="DT240" s="10"/>
      <c r="DU240" s="10"/>
      <c r="DV240" s="10"/>
      <c r="DW240" s="10"/>
      <c r="DX240" s="10"/>
      <c r="DY240" s="10"/>
      <c r="DZ240" s="10"/>
      <c r="EA240" s="10"/>
      <c r="EB240" s="10"/>
      <c r="EC240" s="10"/>
      <c r="ED240" s="10"/>
      <c r="EE240" s="10"/>
      <c r="EF240" s="10"/>
      <c r="EG240" s="10"/>
      <c r="EH240" s="10"/>
      <c r="EI240" s="10"/>
      <c r="EJ240" s="10"/>
      <c r="EK240" s="10"/>
      <c r="EL240" s="10"/>
      <c r="EM240" s="10"/>
      <c r="EN240" s="10"/>
      <c r="EO240" s="10"/>
      <c r="EP240" s="10"/>
      <c r="EQ240" s="10"/>
      <c r="ER240" s="10"/>
      <c r="ES240" s="10"/>
      <c r="ET240" s="10"/>
      <c r="EU240" s="10"/>
      <c r="EV240" s="10"/>
      <c r="EW240" s="10"/>
      <c r="EX240" s="10"/>
      <c r="EY240" s="10"/>
      <c r="EZ240" s="10"/>
      <c r="FA240" s="10"/>
      <c r="FB240" s="10"/>
      <c r="FC240" s="10"/>
      <c r="FD240" s="10"/>
      <c r="FE240" s="10"/>
      <c r="FF240" s="10"/>
      <c r="FG240" s="10"/>
      <c r="FH240" s="10"/>
      <c r="FI240" s="10"/>
      <c r="FJ240" s="10"/>
      <c r="FK240" s="10"/>
      <c r="FL240" s="10"/>
      <c r="FM240" s="10"/>
      <c r="FN240" s="10"/>
      <c r="FO240" s="10"/>
      <c r="FP240" s="10"/>
      <c r="FQ240" s="10"/>
      <c r="FR240" s="10"/>
      <c r="FS240" s="10"/>
      <c r="FT240" s="10"/>
      <c r="FU240" s="10"/>
      <c r="FV240" s="10"/>
      <c r="FW240" s="10"/>
      <c r="FX240" s="10"/>
      <c r="FY240" s="10"/>
      <c r="FZ240" s="10"/>
      <c r="GA240" s="10"/>
      <c r="GB240" s="10"/>
      <c r="GC240" s="10"/>
      <c r="GD240" s="10"/>
      <c r="GE240" s="10"/>
      <c r="GF240" s="10"/>
      <c r="GG240" s="10"/>
      <c r="GH240" s="10"/>
      <c r="GI240" s="10"/>
      <c r="GJ240" s="10"/>
      <c r="GK240" s="10"/>
    </row>
    <row r="241" customFormat="false" ht="12.75" hidden="false" customHeight="false" outlineLevel="0" collapsed="false">
      <c r="A241" s="7"/>
      <c r="B241" s="7"/>
      <c r="C241" s="8"/>
      <c r="D241" s="8"/>
      <c r="E241" s="8"/>
      <c r="F241" s="8"/>
      <c r="G241" s="9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  <c r="CW241" s="10"/>
      <c r="CX241" s="10"/>
      <c r="CY241" s="10"/>
      <c r="CZ241" s="10"/>
      <c r="DA241" s="10"/>
      <c r="DB241" s="10"/>
      <c r="DC241" s="10"/>
      <c r="DD241" s="10"/>
      <c r="DE241" s="10"/>
      <c r="DF241" s="10"/>
      <c r="DG241" s="10"/>
      <c r="DH241" s="10"/>
      <c r="DI241" s="10"/>
      <c r="DJ241" s="10"/>
      <c r="DK241" s="10"/>
      <c r="DL241" s="10"/>
      <c r="DM241" s="10"/>
      <c r="DN241" s="10"/>
      <c r="DO241" s="10"/>
      <c r="DP241" s="10"/>
      <c r="DQ241" s="10"/>
      <c r="DR241" s="10"/>
      <c r="DS241" s="10"/>
      <c r="DT241" s="10"/>
      <c r="DU241" s="10"/>
      <c r="DV241" s="10"/>
      <c r="DW241" s="10"/>
      <c r="DX241" s="10"/>
      <c r="DY241" s="10"/>
      <c r="DZ241" s="10"/>
      <c r="EA241" s="10"/>
      <c r="EB241" s="10"/>
      <c r="EC241" s="10"/>
      <c r="ED241" s="10"/>
      <c r="EE241" s="10"/>
      <c r="EF241" s="10"/>
      <c r="EG241" s="10"/>
      <c r="EH241" s="10"/>
      <c r="EI241" s="10"/>
      <c r="EJ241" s="10"/>
      <c r="EK241" s="10"/>
      <c r="EL241" s="10"/>
      <c r="EM241" s="10"/>
      <c r="EN241" s="10"/>
      <c r="EO241" s="10"/>
      <c r="EP241" s="10"/>
      <c r="EQ241" s="10"/>
      <c r="ER241" s="10"/>
      <c r="ES241" s="10"/>
      <c r="ET241" s="10"/>
      <c r="EU241" s="10"/>
      <c r="EV241" s="10"/>
      <c r="EW241" s="10"/>
      <c r="EX241" s="10"/>
      <c r="EY241" s="10"/>
      <c r="EZ241" s="10"/>
      <c r="FA241" s="10"/>
      <c r="FB241" s="10"/>
      <c r="FC241" s="10"/>
      <c r="FD241" s="10"/>
      <c r="FE241" s="10"/>
      <c r="FF241" s="10"/>
      <c r="FG241" s="10"/>
      <c r="FH241" s="10"/>
      <c r="FI241" s="10"/>
      <c r="FJ241" s="10"/>
      <c r="FK241" s="10"/>
      <c r="FL241" s="10"/>
      <c r="FM241" s="10"/>
      <c r="FN241" s="10"/>
      <c r="FO241" s="10"/>
      <c r="FP241" s="10"/>
      <c r="FQ241" s="10"/>
      <c r="FR241" s="10"/>
      <c r="FS241" s="10"/>
      <c r="FT241" s="10"/>
      <c r="FU241" s="10"/>
      <c r="FV241" s="10"/>
      <c r="FW241" s="10"/>
      <c r="FX241" s="10"/>
      <c r="FY241" s="10"/>
      <c r="FZ241" s="10"/>
      <c r="GA241" s="10"/>
      <c r="GB241" s="10"/>
      <c r="GC241" s="10"/>
      <c r="GD241" s="10"/>
      <c r="GE241" s="10"/>
      <c r="GF241" s="10"/>
      <c r="GG241" s="10"/>
      <c r="GH241" s="10"/>
      <c r="GI241" s="10"/>
      <c r="GJ241" s="10"/>
      <c r="GK241" s="10"/>
    </row>
    <row r="242" customFormat="false" ht="12.75" hidden="false" customHeight="false" outlineLevel="0" collapsed="false">
      <c r="A242" s="7"/>
      <c r="B242" s="7"/>
      <c r="C242" s="8"/>
      <c r="D242" s="8"/>
      <c r="E242" s="8"/>
      <c r="F242" s="8"/>
      <c r="G242" s="9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  <c r="CW242" s="10"/>
      <c r="CX242" s="10"/>
      <c r="CY242" s="10"/>
      <c r="CZ242" s="10"/>
      <c r="DA242" s="10"/>
      <c r="DB242" s="10"/>
      <c r="DC242" s="10"/>
      <c r="DD242" s="10"/>
      <c r="DE242" s="10"/>
      <c r="DF242" s="10"/>
      <c r="DG242" s="10"/>
      <c r="DH242" s="10"/>
      <c r="DI242" s="10"/>
      <c r="DJ242" s="10"/>
      <c r="DK242" s="10"/>
      <c r="DL242" s="10"/>
      <c r="DM242" s="10"/>
      <c r="DN242" s="10"/>
      <c r="DO242" s="10"/>
      <c r="DP242" s="10"/>
      <c r="DQ242" s="10"/>
      <c r="DR242" s="10"/>
      <c r="DS242" s="10"/>
      <c r="DT242" s="10"/>
      <c r="DU242" s="10"/>
      <c r="DV242" s="10"/>
      <c r="DW242" s="10"/>
      <c r="DX242" s="10"/>
      <c r="DY242" s="10"/>
      <c r="DZ242" s="10"/>
      <c r="EA242" s="10"/>
      <c r="EB242" s="10"/>
      <c r="EC242" s="10"/>
      <c r="ED242" s="10"/>
      <c r="EE242" s="10"/>
      <c r="EF242" s="10"/>
      <c r="EG242" s="10"/>
      <c r="EH242" s="10"/>
      <c r="EI242" s="10"/>
      <c r="EJ242" s="10"/>
      <c r="EK242" s="10"/>
      <c r="EL242" s="10"/>
      <c r="EM242" s="10"/>
      <c r="EN242" s="10"/>
      <c r="EO242" s="10"/>
      <c r="EP242" s="10"/>
      <c r="EQ242" s="10"/>
      <c r="ER242" s="10"/>
      <c r="ES242" s="10"/>
      <c r="ET242" s="10"/>
      <c r="EU242" s="10"/>
      <c r="EV242" s="10"/>
      <c r="EW242" s="10"/>
      <c r="EX242" s="10"/>
      <c r="EY242" s="10"/>
      <c r="EZ242" s="10"/>
      <c r="FA242" s="10"/>
      <c r="FB242" s="10"/>
      <c r="FC242" s="10"/>
      <c r="FD242" s="10"/>
      <c r="FE242" s="10"/>
      <c r="FF242" s="10"/>
      <c r="FG242" s="10"/>
      <c r="FH242" s="10"/>
      <c r="FI242" s="10"/>
      <c r="FJ242" s="10"/>
      <c r="FK242" s="10"/>
      <c r="FL242" s="10"/>
      <c r="FM242" s="10"/>
      <c r="FN242" s="10"/>
      <c r="FO242" s="10"/>
      <c r="FP242" s="10"/>
      <c r="FQ242" s="10"/>
      <c r="FR242" s="10"/>
      <c r="FS242" s="10"/>
      <c r="FT242" s="10"/>
      <c r="FU242" s="10"/>
      <c r="FV242" s="10"/>
      <c r="FW242" s="10"/>
      <c r="FX242" s="10"/>
      <c r="FY242" s="10"/>
      <c r="FZ242" s="10"/>
      <c r="GA242" s="10"/>
      <c r="GB242" s="10"/>
      <c r="GC242" s="10"/>
      <c r="GD242" s="10"/>
      <c r="GE242" s="10"/>
      <c r="GF242" s="10"/>
      <c r="GG242" s="10"/>
      <c r="GH242" s="10"/>
      <c r="GI242" s="10"/>
      <c r="GJ242" s="10"/>
      <c r="GK242" s="10"/>
    </row>
    <row r="243" customFormat="false" ht="12.75" hidden="false" customHeight="false" outlineLevel="0" collapsed="false">
      <c r="A243" s="7"/>
      <c r="B243" s="7"/>
      <c r="C243" s="8"/>
      <c r="D243" s="8"/>
      <c r="E243" s="8"/>
      <c r="F243" s="8"/>
      <c r="G243" s="9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  <c r="CW243" s="10"/>
      <c r="CX243" s="10"/>
      <c r="CY243" s="10"/>
      <c r="CZ243" s="10"/>
      <c r="DA243" s="10"/>
      <c r="DB243" s="10"/>
      <c r="DC243" s="10"/>
      <c r="DD243" s="10"/>
      <c r="DE243" s="10"/>
      <c r="DF243" s="10"/>
      <c r="DG243" s="10"/>
      <c r="DH243" s="10"/>
      <c r="DI243" s="10"/>
      <c r="DJ243" s="10"/>
      <c r="DK243" s="10"/>
      <c r="DL243" s="10"/>
      <c r="DM243" s="10"/>
      <c r="DN243" s="10"/>
      <c r="DO243" s="10"/>
      <c r="DP243" s="10"/>
      <c r="DQ243" s="10"/>
      <c r="DR243" s="10"/>
      <c r="DS243" s="10"/>
      <c r="DT243" s="10"/>
      <c r="DU243" s="10"/>
      <c r="DV243" s="10"/>
      <c r="DW243" s="10"/>
      <c r="DX243" s="10"/>
      <c r="DY243" s="10"/>
      <c r="DZ243" s="10"/>
      <c r="EA243" s="10"/>
      <c r="EB243" s="10"/>
      <c r="EC243" s="10"/>
      <c r="ED243" s="10"/>
      <c r="EE243" s="10"/>
      <c r="EF243" s="10"/>
      <c r="EG243" s="10"/>
      <c r="EH243" s="10"/>
      <c r="EI243" s="10"/>
      <c r="EJ243" s="10"/>
      <c r="EK243" s="10"/>
      <c r="EL243" s="10"/>
      <c r="EM243" s="10"/>
      <c r="EN243" s="10"/>
      <c r="EO243" s="10"/>
      <c r="EP243" s="10"/>
      <c r="EQ243" s="10"/>
      <c r="ER243" s="10"/>
      <c r="ES243" s="10"/>
      <c r="ET243" s="10"/>
      <c r="EU243" s="10"/>
      <c r="EV243" s="10"/>
      <c r="EW243" s="10"/>
      <c r="EX243" s="10"/>
      <c r="EY243" s="10"/>
      <c r="EZ243" s="10"/>
      <c r="FA243" s="10"/>
      <c r="FB243" s="10"/>
      <c r="FC243" s="10"/>
      <c r="FD243" s="10"/>
      <c r="FE243" s="10"/>
      <c r="FF243" s="10"/>
      <c r="FG243" s="10"/>
      <c r="FH243" s="10"/>
      <c r="FI243" s="10"/>
      <c r="FJ243" s="10"/>
      <c r="FK243" s="10"/>
      <c r="FL243" s="10"/>
      <c r="FM243" s="10"/>
      <c r="FN243" s="10"/>
      <c r="FO243" s="10"/>
      <c r="FP243" s="10"/>
      <c r="FQ243" s="10"/>
      <c r="FR243" s="10"/>
      <c r="FS243" s="10"/>
      <c r="FT243" s="10"/>
      <c r="FU243" s="10"/>
      <c r="FV243" s="10"/>
      <c r="FW243" s="10"/>
      <c r="FX243" s="10"/>
      <c r="FY243" s="10"/>
      <c r="FZ243" s="10"/>
      <c r="GA243" s="10"/>
      <c r="GB243" s="10"/>
      <c r="GC243" s="10"/>
      <c r="GD243" s="10"/>
      <c r="GE243" s="10"/>
      <c r="GF243" s="10"/>
      <c r="GG243" s="10"/>
      <c r="GH243" s="10"/>
      <c r="GI243" s="10"/>
      <c r="GJ243" s="10"/>
      <c r="GK243" s="10"/>
    </row>
    <row r="244" customFormat="false" ht="12.75" hidden="false" customHeight="false" outlineLevel="0" collapsed="false">
      <c r="A244" s="7"/>
      <c r="B244" s="7"/>
      <c r="C244" s="8"/>
      <c r="D244" s="8"/>
      <c r="E244" s="8"/>
      <c r="F244" s="8"/>
      <c r="G244" s="9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  <c r="CW244" s="10"/>
      <c r="CX244" s="10"/>
      <c r="CY244" s="10"/>
      <c r="CZ244" s="10"/>
      <c r="DA244" s="10"/>
      <c r="DB244" s="10"/>
      <c r="DC244" s="10"/>
      <c r="DD244" s="10"/>
      <c r="DE244" s="10"/>
      <c r="DF244" s="10"/>
      <c r="DG244" s="10"/>
      <c r="DH244" s="10"/>
      <c r="DI244" s="10"/>
      <c r="DJ244" s="10"/>
      <c r="DK244" s="10"/>
      <c r="DL244" s="10"/>
      <c r="DM244" s="10"/>
      <c r="DN244" s="10"/>
      <c r="DO244" s="10"/>
      <c r="DP244" s="10"/>
      <c r="DQ244" s="10"/>
      <c r="DR244" s="10"/>
      <c r="DS244" s="10"/>
      <c r="DT244" s="10"/>
      <c r="DU244" s="10"/>
      <c r="DV244" s="10"/>
      <c r="DW244" s="10"/>
      <c r="DX244" s="10"/>
      <c r="DY244" s="10"/>
      <c r="DZ244" s="10"/>
      <c r="EA244" s="10"/>
      <c r="EB244" s="10"/>
      <c r="EC244" s="10"/>
      <c r="ED244" s="10"/>
      <c r="EE244" s="10"/>
      <c r="EF244" s="10"/>
      <c r="EG244" s="10"/>
      <c r="EH244" s="10"/>
      <c r="EI244" s="10"/>
      <c r="EJ244" s="10"/>
      <c r="EK244" s="10"/>
      <c r="EL244" s="10"/>
      <c r="EM244" s="10"/>
      <c r="EN244" s="10"/>
      <c r="EO244" s="10"/>
      <c r="EP244" s="10"/>
      <c r="EQ244" s="10"/>
      <c r="ER244" s="10"/>
      <c r="ES244" s="10"/>
      <c r="ET244" s="10"/>
      <c r="EU244" s="10"/>
      <c r="EV244" s="10"/>
      <c r="EW244" s="10"/>
      <c r="EX244" s="10"/>
      <c r="EY244" s="10"/>
      <c r="EZ244" s="10"/>
      <c r="FA244" s="10"/>
      <c r="FB244" s="10"/>
      <c r="FC244" s="10"/>
      <c r="FD244" s="10"/>
      <c r="FE244" s="10"/>
      <c r="FF244" s="10"/>
      <c r="FG244" s="10"/>
      <c r="FH244" s="10"/>
      <c r="FI244" s="10"/>
      <c r="FJ244" s="10"/>
      <c r="FK244" s="10"/>
      <c r="FL244" s="10"/>
      <c r="FM244" s="10"/>
      <c r="FN244" s="10"/>
      <c r="FO244" s="10"/>
      <c r="FP244" s="10"/>
      <c r="FQ244" s="10"/>
      <c r="FR244" s="10"/>
      <c r="FS244" s="10"/>
      <c r="FT244" s="10"/>
      <c r="FU244" s="10"/>
      <c r="FV244" s="10"/>
      <c r="FW244" s="10"/>
      <c r="FX244" s="10"/>
      <c r="FY244" s="10"/>
      <c r="FZ244" s="10"/>
      <c r="GA244" s="10"/>
      <c r="GB244" s="10"/>
      <c r="GC244" s="10"/>
      <c r="GD244" s="10"/>
      <c r="GE244" s="10"/>
      <c r="GF244" s="10"/>
      <c r="GG244" s="10"/>
      <c r="GH244" s="10"/>
      <c r="GI244" s="10"/>
      <c r="GJ244" s="10"/>
      <c r="GK244" s="10"/>
    </row>
    <row r="245" customFormat="false" ht="12.75" hidden="false" customHeight="false" outlineLevel="0" collapsed="false">
      <c r="A245" s="7"/>
      <c r="B245" s="7"/>
      <c r="C245" s="8"/>
      <c r="D245" s="8"/>
      <c r="E245" s="8"/>
      <c r="F245" s="8"/>
      <c r="G245" s="9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  <c r="CW245" s="10"/>
      <c r="CX245" s="10"/>
      <c r="CY245" s="10"/>
      <c r="CZ245" s="10"/>
      <c r="DA245" s="10"/>
      <c r="DB245" s="10"/>
      <c r="DC245" s="10"/>
      <c r="DD245" s="10"/>
      <c r="DE245" s="10"/>
      <c r="DF245" s="10"/>
      <c r="DG245" s="10"/>
      <c r="DH245" s="10"/>
      <c r="DI245" s="10"/>
      <c r="DJ245" s="10"/>
      <c r="DK245" s="10"/>
      <c r="DL245" s="10"/>
      <c r="DM245" s="10"/>
      <c r="DN245" s="10"/>
      <c r="DO245" s="10"/>
      <c r="DP245" s="10"/>
      <c r="DQ245" s="10"/>
      <c r="DR245" s="10"/>
      <c r="DS245" s="10"/>
      <c r="DT245" s="10"/>
      <c r="DU245" s="10"/>
      <c r="DV245" s="10"/>
      <c r="DW245" s="10"/>
      <c r="DX245" s="10"/>
      <c r="DY245" s="10"/>
      <c r="DZ245" s="10"/>
      <c r="EA245" s="10"/>
      <c r="EB245" s="10"/>
      <c r="EC245" s="10"/>
      <c r="ED245" s="10"/>
      <c r="EE245" s="10"/>
      <c r="EF245" s="10"/>
      <c r="EG245" s="10"/>
      <c r="EH245" s="10"/>
      <c r="EI245" s="10"/>
      <c r="EJ245" s="10"/>
      <c r="EK245" s="10"/>
      <c r="EL245" s="10"/>
      <c r="EM245" s="10"/>
      <c r="EN245" s="10"/>
      <c r="EO245" s="10"/>
      <c r="EP245" s="10"/>
      <c r="EQ245" s="10"/>
      <c r="ER245" s="10"/>
      <c r="ES245" s="10"/>
      <c r="ET245" s="10"/>
      <c r="EU245" s="10"/>
      <c r="EV245" s="10"/>
      <c r="EW245" s="10"/>
      <c r="EX245" s="10"/>
      <c r="EY245" s="10"/>
      <c r="EZ245" s="10"/>
      <c r="FA245" s="10"/>
      <c r="FB245" s="10"/>
      <c r="FC245" s="10"/>
      <c r="FD245" s="10"/>
      <c r="FE245" s="10"/>
      <c r="FF245" s="10"/>
      <c r="FG245" s="10"/>
      <c r="FH245" s="10"/>
      <c r="FI245" s="10"/>
      <c r="FJ245" s="10"/>
      <c r="FK245" s="10"/>
      <c r="FL245" s="10"/>
      <c r="FM245" s="10"/>
      <c r="FN245" s="10"/>
      <c r="FO245" s="10"/>
      <c r="FP245" s="10"/>
      <c r="FQ245" s="10"/>
      <c r="FR245" s="10"/>
      <c r="FS245" s="10"/>
      <c r="FT245" s="10"/>
      <c r="FU245" s="10"/>
      <c r="FV245" s="10"/>
      <c r="FW245" s="10"/>
      <c r="FX245" s="10"/>
      <c r="FY245" s="10"/>
      <c r="FZ245" s="10"/>
      <c r="GA245" s="10"/>
      <c r="GB245" s="10"/>
      <c r="GC245" s="10"/>
      <c r="GD245" s="10"/>
      <c r="GE245" s="10"/>
      <c r="GF245" s="10"/>
      <c r="GG245" s="10"/>
      <c r="GH245" s="10"/>
      <c r="GI245" s="10"/>
      <c r="GJ245" s="10"/>
      <c r="GK245" s="10"/>
    </row>
    <row r="246" customFormat="false" ht="12.75" hidden="false" customHeight="false" outlineLevel="0" collapsed="false">
      <c r="A246" s="7"/>
      <c r="B246" s="7"/>
      <c r="C246" s="8"/>
      <c r="D246" s="8"/>
      <c r="E246" s="8"/>
      <c r="F246" s="8"/>
      <c r="G246" s="9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  <c r="CW246" s="10"/>
      <c r="CX246" s="10"/>
      <c r="CY246" s="10"/>
      <c r="CZ246" s="10"/>
      <c r="DA246" s="10"/>
      <c r="DB246" s="10"/>
      <c r="DC246" s="10"/>
      <c r="DD246" s="10"/>
      <c r="DE246" s="10"/>
      <c r="DF246" s="10"/>
      <c r="DG246" s="10"/>
      <c r="DH246" s="10"/>
      <c r="DI246" s="10"/>
      <c r="DJ246" s="10"/>
      <c r="DK246" s="10"/>
      <c r="DL246" s="10"/>
      <c r="DM246" s="10"/>
      <c r="DN246" s="10"/>
      <c r="DO246" s="10"/>
      <c r="DP246" s="10"/>
      <c r="DQ246" s="10"/>
      <c r="DR246" s="10"/>
      <c r="DS246" s="10"/>
      <c r="DT246" s="10"/>
      <c r="DU246" s="10"/>
      <c r="DV246" s="10"/>
      <c r="DW246" s="10"/>
      <c r="DX246" s="10"/>
      <c r="DY246" s="10"/>
      <c r="DZ246" s="10"/>
      <c r="EA246" s="10"/>
      <c r="EB246" s="10"/>
      <c r="EC246" s="10"/>
      <c r="ED246" s="10"/>
      <c r="EE246" s="10"/>
      <c r="EF246" s="10"/>
      <c r="EG246" s="10"/>
      <c r="EH246" s="10"/>
      <c r="EI246" s="10"/>
      <c r="EJ246" s="10"/>
      <c r="EK246" s="10"/>
      <c r="EL246" s="10"/>
      <c r="EM246" s="10"/>
      <c r="EN246" s="10"/>
      <c r="EO246" s="10"/>
      <c r="EP246" s="10"/>
      <c r="EQ246" s="10"/>
      <c r="ER246" s="10"/>
      <c r="ES246" s="10"/>
      <c r="ET246" s="10"/>
      <c r="EU246" s="10"/>
      <c r="EV246" s="10"/>
      <c r="EW246" s="10"/>
      <c r="EX246" s="10"/>
      <c r="EY246" s="10"/>
      <c r="EZ246" s="10"/>
      <c r="FA246" s="10"/>
      <c r="FB246" s="10"/>
      <c r="FC246" s="10"/>
      <c r="FD246" s="10"/>
      <c r="FE246" s="10"/>
      <c r="FF246" s="10"/>
      <c r="FG246" s="10"/>
      <c r="FH246" s="10"/>
      <c r="FI246" s="10"/>
      <c r="FJ246" s="10"/>
      <c r="FK246" s="10"/>
      <c r="FL246" s="10"/>
      <c r="FM246" s="10"/>
      <c r="FN246" s="10"/>
      <c r="FO246" s="10"/>
      <c r="FP246" s="10"/>
      <c r="FQ246" s="10"/>
      <c r="FR246" s="10"/>
      <c r="FS246" s="10"/>
      <c r="FT246" s="10"/>
      <c r="FU246" s="10"/>
      <c r="FV246" s="10"/>
      <c r="FW246" s="10"/>
      <c r="FX246" s="10"/>
      <c r="FY246" s="10"/>
      <c r="FZ246" s="10"/>
      <c r="GA246" s="10"/>
      <c r="GB246" s="10"/>
      <c r="GC246" s="10"/>
      <c r="GD246" s="10"/>
      <c r="GE246" s="10"/>
      <c r="GF246" s="10"/>
      <c r="GG246" s="10"/>
      <c r="GH246" s="10"/>
      <c r="GI246" s="10"/>
      <c r="GJ246" s="10"/>
      <c r="GK246" s="10"/>
    </row>
    <row r="247" customFormat="false" ht="12.75" hidden="false" customHeight="false" outlineLevel="0" collapsed="false">
      <c r="A247" s="7"/>
      <c r="B247" s="7"/>
      <c r="C247" s="8"/>
      <c r="D247" s="8"/>
      <c r="E247" s="8"/>
      <c r="F247" s="8"/>
      <c r="G247" s="9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10"/>
      <c r="CW247" s="10"/>
      <c r="CX247" s="10"/>
      <c r="CY247" s="10"/>
      <c r="CZ247" s="10"/>
      <c r="DA247" s="10"/>
      <c r="DB247" s="10"/>
      <c r="DC247" s="10"/>
      <c r="DD247" s="10"/>
      <c r="DE247" s="10"/>
      <c r="DF247" s="10"/>
      <c r="DG247" s="10"/>
      <c r="DH247" s="10"/>
      <c r="DI247" s="10"/>
      <c r="DJ247" s="10"/>
      <c r="DK247" s="10"/>
      <c r="DL247" s="10"/>
      <c r="DM247" s="10"/>
      <c r="DN247" s="10"/>
      <c r="DO247" s="10"/>
      <c r="DP247" s="10"/>
      <c r="DQ247" s="10"/>
      <c r="DR247" s="10"/>
      <c r="DS247" s="10"/>
      <c r="DT247" s="10"/>
      <c r="DU247" s="10"/>
      <c r="DV247" s="10"/>
      <c r="DW247" s="10"/>
      <c r="DX247" s="10"/>
      <c r="DY247" s="10"/>
      <c r="DZ247" s="10"/>
      <c r="EA247" s="10"/>
      <c r="EB247" s="10"/>
      <c r="EC247" s="10"/>
      <c r="ED247" s="10"/>
      <c r="EE247" s="10"/>
      <c r="EF247" s="10"/>
      <c r="EG247" s="10"/>
      <c r="EH247" s="10"/>
      <c r="EI247" s="10"/>
      <c r="EJ247" s="10"/>
      <c r="EK247" s="10"/>
      <c r="EL247" s="10"/>
      <c r="EM247" s="10"/>
      <c r="EN247" s="10"/>
      <c r="EO247" s="10"/>
      <c r="EP247" s="10"/>
      <c r="EQ247" s="10"/>
      <c r="ER247" s="10"/>
      <c r="ES247" s="10"/>
      <c r="ET247" s="10"/>
      <c r="EU247" s="10"/>
      <c r="EV247" s="10"/>
      <c r="EW247" s="10"/>
      <c r="EX247" s="10"/>
      <c r="EY247" s="10"/>
      <c r="EZ247" s="10"/>
      <c r="FA247" s="10"/>
      <c r="FB247" s="10"/>
      <c r="FC247" s="10"/>
      <c r="FD247" s="10"/>
      <c r="FE247" s="10"/>
      <c r="FF247" s="10"/>
      <c r="FG247" s="10"/>
      <c r="FH247" s="10"/>
      <c r="FI247" s="10"/>
      <c r="FJ247" s="10"/>
      <c r="FK247" s="10"/>
      <c r="FL247" s="10"/>
      <c r="FM247" s="10"/>
      <c r="FN247" s="10"/>
      <c r="FO247" s="10"/>
      <c r="FP247" s="10"/>
      <c r="FQ247" s="10"/>
      <c r="FR247" s="10"/>
      <c r="FS247" s="10"/>
      <c r="FT247" s="10"/>
      <c r="FU247" s="10"/>
      <c r="FV247" s="10"/>
      <c r="FW247" s="10"/>
      <c r="FX247" s="10"/>
      <c r="FY247" s="10"/>
      <c r="FZ247" s="10"/>
      <c r="GA247" s="10"/>
      <c r="GB247" s="10"/>
      <c r="GC247" s="10"/>
      <c r="GD247" s="10"/>
      <c r="GE247" s="10"/>
      <c r="GF247" s="10"/>
      <c r="GG247" s="10"/>
      <c r="GH247" s="10"/>
      <c r="GI247" s="10"/>
      <c r="GJ247" s="10"/>
      <c r="GK247" s="10"/>
    </row>
    <row r="248" customFormat="false" ht="12.75" hidden="false" customHeight="false" outlineLevel="0" collapsed="false">
      <c r="A248" s="7"/>
      <c r="B248" s="7"/>
      <c r="C248" s="8"/>
      <c r="D248" s="8"/>
      <c r="E248" s="8"/>
      <c r="F248" s="8"/>
      <c r="G248" s="9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  <c r="CW248" s="10"/>
      <c r="CX248" s="10"/>
      <c r="CY248" s="10"/>
      <c r="CZ248" s="10"/>
      <c r="DA248" s="10"/>
      <c r="DB248" s="10"/>
      <c r="DC248" s="10"/>
      <c r="DD248" s="10"/>
      <c r="DE248" s="10"/>
      <c r="DF248" s="10"/>
      <c r="DG248" s="10"/>
      <c r="DH248" s="10"/>
      <c r="DI248" s="10"/>
      <c r="DJ248" s="10"/>
      <c r="DK248" s="10"/>
      <c r="DL248" s="10"/>
      <c r="DM248" s="10"/>
      <c r="DN248" s="10"/>
      <c r="DO248" s="10"/>
      <c r="DP248" s="10"/>
      <c r="DQ248" s="10"/>
      <c r="DR248" s="10"/>
      <c r="DS248" s="10"/>
      <c r="DT248" s="10"/>
      <c r="DU248" s="10"/>
      <c r="DV248" s="10"/>
      <c r="DW248" s="10"/>
      <c r="DX248" s="10"/>
      <c r="DY248" s="10"/>
      <c r="DZ248" s="10"/>
      <c r="EA248" s="10"/>
      <c r="EB248" s="10"/>
      <c r="EC248" s="10"/>
      <c r="ED248" s="10"/>
      <c r="EE248" s="10"/>
      <c r="EF248" s="10"/>
      <c r="EG248" s="10"/>
      <c r="EH248" s="10"/>
      <c r="EI248" s="10"/>
      <c r="EJ248" s="10"/>
      <c r="EK248" s="10"/>
      <c r="EL248" s="10"/>
      <c r="EM248" s="10"/>
      <c r="EN248" s="10"/>
      <c r="EO248" s="10"/>
      <c r="EP248" s="10"/>
      <c r="EQ248" s="10"/>
      <c r="ER248" s="10"/>
      <c r="ES248" s="10"/>
      <c r="ET248" s="10"/>
      <c r="EU248" s="10"/>
      <c r="EV248" s="10"/>
      <c r="EW248" s="10"/>
      <c r="EX248" s="10"/>
      <c r="EY248" s="10"/>
      <c r="EZ248" s="10"/>
      <c r="FA248" s="10"/>
      <c r="FB248" s="10"/>
      <c r="FC248" s="10"/>
      <c r="FD248" s="10"/>
      <c r="FE248" s="10"/>
      <c r="FF248" s="10"/>
      <c r="FG248" s="10"/>
      <c r="FH248" s="10"/>
      <c r="FI248" s="10"/>
      <c r="FJ248" s="10"/>
      <c r="FK248" s="10"/>
      <c r="FL248" s="10"/>
      <c r="FM248" s="10"/>
      <c r="FN248" s="10"/>
      <c r="FO248" s="10"/>
      <c r="FP248" s="10"/>
      <c r="FQ248" s="10"/>
      <c r="FR248" s="10"/>
      <c r="FS248" s="10"/>
      <c r="FT248" s="10"/>
      <c r="FU248" s="10"/>
      <c r="FV248" s="10"/>
      <c r="FW248" s="10"/>
      <c r="FX248" s="10"/>
      <c r="FY248" s="10"/>
      <c r="FZ248" s="10"/>
      <c r="GA248" s="10"/>
      <c r="GB248" s="10"/>
      <c r="GC248" s="10"/>
      <c r="GD248" s="10"/>
      <c r="GE248" s="10"/>
      <c r="GF248" s="10"/>
      <c r="GG248" s="10"/>
      <c r="GH248" s="10"/>
      <c r="GI248" s="10"/>
      <c r="GJ248" s="10"/>
      <c r="GK248" s="10"/>
    </row>
    <row r="249" customFormat="false" ht="12.75" hidden="false" customHeight="false" outlineLevel="0" collapsed="false">
      <c r="A249" s="7"/>
      <c r="B249" s="7"/>
      <c r="C249" s="8"/>
      <c r="D249" s="8"/>
      <c r="E249" s="8"/>
      <c r="F249" s="8"/>
      <c r="G249" s="9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10"/>
      <c r="CW249" s="10"/>
      <c r="CX249" s="10"/>
      <c r="CY249" s="10"/>
      <c r="CZ249" s="10"/>
      <c r="DA249" s="10"/>
      <c r="DB249" s="10"/>
      <c r="DC249" s="10"/>
      <c r="DD249" s="10"/>
      <c r="DE249" s="10"/>
      <c r="DF249" s="10"/>
      <c r="DG249" s="10"/>
      <c r="DH249" s="10"/>
      <c r="DI249" s="10"/>
      <c r="DJ249" s="10"/>
      <c r="DK249" s="10"/>
      <c r="DL249" s="10"/>
      <c r="DM249" s="10"/>
      <c r="DN249" s="10"/>
      <c r="DO249" s="10"/>
      <c r="DP249" s="10"/>
      <c r="DQ249" s="10"/>
      <c r="DR249" s="10"/>
      <c r="DS249" s="10"/>
      <c r="DT249" s="10"/>
      <c r="DU249" s="10"/>
      <c r="DV249" s="10"/>
      <c r="DW249" s="10"/>
      <c r="DX249" s="10"/>
      <c r="DY249" s="10"/>
      <c r="DZ249" s="10"/>
      <c r="EA249" s="10"/>
      <c r="EB249" s="10"/>
      <c r="EC249" s="10"/>
      <c r="ED249" s="10"/>
      <c r="EE249" s="10"/>
      <c r="EF249" s="10"/>
      <c r="EG249" s="10"/>
      <c r="EH249" s="10"/>
      <c r="EI249" s="10"/>
      <c r="EJ249" s="10"/>
      <c r="EK249" s="10"/>
      <c r="EL249" s="10"/>
      <c r="EM249" s="10"/>
      <c r="EN249" s="10"/>
      <c r="EO249" s="10"/>
      <c r="EP249" s="10"/>
      <c r="EQ249" s="10"/>
      <c r="ER249" s="10"/>
      <c r="ES249" s="10"/>
      <c r="ET249" s="10"/>
      <c r="EU249" s="10"/>
      <c r="EV249" s="10"/>
      <c r="EW249" s="10"/>
      <c r="EX249" s="10"/>
      <c r="EY249" s="10"/>
      <c r="EZ249" s="10"/>
      <c r="FA249" s="10"/>
      <c r="FB249" s="10"/>
      <c r="FC249" s="10"/>
      <c r="FD249" s="10"/>
      <c r="FE249" s="10"/>
      <c r="FF249" s="10"/>
      <c r="FG249" s="10"/>
      <c r="FH249" s="10"/>
      <c r="FI249" s="10"/>
      <c r="FJ249" s="10"/>
      <c r="FK249" s="10"/>
      <c r="FL249" s="10"/>
      <c r="FM249" s="10"/>
      <c r="FN249" s="10"/>
      <c r="FO249" s="10"/>
      <c r="FP249" s="10"/>
      <c r="FQ249" s="10"/>
      <c r="FR249" s="10"/>
      <c r="FS249" s="10"/>
      <c r="FT249" s="10"/>
      <c r="FU249" s="10"/>
      <c r="FV249" s="10"/>
      <c r="FW249" s="10"/>
      <c r="FX249" s="10"/>
      <c r="FY249" s="10"/>
      <c r="FZ249" s="10"/>
      <c r="GA249" s="10"/>
      <c r="GB249" s="10"/>
      <c r="GC249" s="10"/>
      <c r="GD249" s="10"/>
      <c r="GE249" s="10"/>
      <c r="GF249" s="10"/>
      <c r="GG249" s="10"/>
      <c r="GH249" s="10"/>
      <c r="GI249" s="10"/>
      <c r="GJ249" s="10"/>
      <c r="GK249" s="10"/>
    </row>
    <row r="250" customFormat="false" ht="12.75" hidden="false" customHeight="false" outlineLevel="0" collapsed="false">
      <c r="A250" s="7"/>
      <c r="B250" s="7"/>
      <c r="C250" s="8"/>
      <c r="D250" s="8"/>
      <c r="E250" s="8"/>
      <c r="F250" s="8"/>
      <c r="G250" s="9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  <c r="CW250" s="10"/>
      <c r="CX250" s="10"/>
      <c r="CY250" s="10"/>
      <c r="CZ250" s="10"/>
      <c r="DA250" s="10"/>
      <c r="DB250" s="10"/>
      <c r="DC250" s="10"/>
      <c r="DD250" s="10"/>
      <c r="DE250" s="10"/>
      <c r="DF250" s="10"/>
      <c r="DG250" s="10"/>
      <c r="DH250" s="10"/>
      <c r="DI250" s="10"/>
      <c r="DJ250" s="10"/>
      <c r="DK250" s="10"/>
      <c r="DL250" s="10"/>
      <c r="DM250" s="10"/>
      <c r="DN250" s="10"/>
      <c r="DO250" s="10"/>
      <c r="DP250" s="10"/>
      <c r="DQ250" s="10"/>
      <c r="DR250" s="10"/>
      <c r="DS250" s="10"/>
      <c r="DT250" s="10"/>
      <c r="DU250" s="10"/>
      <c r="DV250" s="10"/>
      <c r="DW250" s="10"/>
      <c r="DX250" s="10"/>
      <c r="DY250" s="10"/>
      <c r="DZ250" s="10"/>
      <c r="EA250" s="10"/>
      <c r="EB250" s="10"/>
      <c r="EC250" s="10"/>
      <c r="ED250" s="10"/>
      <c r="EE250" s="10"/>
      <c r="EF250" s="10"/>
      <c r="EG250" s="10"/>
      <c r="EH250" s="10"/>
      <c r="EI250" s="10"/>
      <c r="EJ250" s="10"/>
      <c r="EK250" s="10"/>
      <c r="EL250" s="10"/>
      <c r="EM250" s="10"/>
      <c r="EN250" s="10"/>
      <c r="EO250" s="10"/>
      <c r="EP250" s="10"/>
      <c r="EQ250" s="10"/>
      <c r="ER250" s="10"/>
      <c r="ES250" s="10"/>
      <c r="ET250" s="10"/>
      <c r="EU250" s="10"/>
      <c r="EV250" s="10"/>
      <c r="EW250" s="10"/>
      <c r="EX250" s="10"/>
      <c r="EY250" s="10"/>
      <c r="EZ250" s="10"/>
      <c r="FA250" s="10"/>
      <c r="FB250" s="10"/>
      <c r="FC250" s="10"/>
      <c r="FD250" s="10"/>
      <c r="FE250" s="10"/>
      <c r="FF250" s="10"/>
      <c r="FG250" s="10"/>
      <c r="FH250" s="10"/>
      <c r="FI250" s="10"/>
      <c r="FJ250" s="10"/>
      <c r="FK250" s="10"/>
      <c r="FL250" s="10"/>
      <c r="FM250" s="10"/>
      <c r="FN250" s="10"/>
      <c r="FO250" s="10"/>
      <c r="FP250" s="10"/>
      <c r="FQ250" s="10"/>
      <c r="FR250" s="10"/>
      <c r="FS250" s="10"/>
      <c r="FT250" s="10"/>
      <c r="FU250" s="10"/>
      <c r="FV250" s="10"/>
      <c r="FW250" s="10"/>
      <c r="FX250" s="10"/>
      <c r="FY250" s="10"/>
      <c r="FZ250" s="10"/>
      <c r="GA250" s="10"/>
      <c r="GB250" s="10"/>
      <c r="GC250" s="10"/>
      <c r="GD250" s="10"/>
      <c r="GE250" s="10"/>
      <c r="GF250" s="10"/>
      <c r="GG250" s="10"/>
      <c r="GH250" s="10"/>
      <c r="GI250" s="10"/>
      <c r="GJ250" s="10"/>
      <c r="GK250" s="10"/>
    </row>
    <row r="251" customFormat="false" ht="12.75" hidden="false" customHeight="false" outlineLevel="0" collapsed="false">
      <c r="A251" s="7"/>
      <c r="B251" s="7"/>
      <c r="C251" s="8"/>
      <c r="D251" s="8"/>
      <c r="E251" s="8"/>
      <c r="F251" s="8"/>
      <c r="G251" s="9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10"/>
      <c r="CW251" s="10"/>
      <c r="CX251" s="10"/>
      <c r="CY251" s="10"/>
      <c r="CZ251" s="10"/>
      <c r="DA251" s="10"/>
      <c r="DB251" s="10"/>
      <c r="DC251" s="10"/>
      <c r="DD251" s="10"/>
      <c r="DE251" s="10"/>
      <c r="DF251" s="10"/>
      <c r="DG251" s="10"/>
      <c r="DH251" s="10"/>
      <c r="DI251" s="10"/>
      <c r="DJ251" s="10"/>
      <c r="DK251" s="10"/>
      <c r="DL251" s="10"/>
      <c r="DM251" s="10"/>
      <c r="DN251" s="10"/>
      <c r="DO251" s="10"/>
      <c r="DP251" s="10"/>
      <c r="DQ251" s="10"/>
      <c r="DR251" s="10"/>
      <c r="DS251" s="10"/>
      <c r="DT251" s="10"/>
      <c r="DU251" s="10"/>
      <c r="DV251" s="10"/>
      <c r="DW251" s="10"/>
      <c r="DX251" s="10"/>
      <c r="DY251" s="10"/>
      <c r="DZ251" s="10"/>
      <c r="EA251" s="10"/>
      <c r="EB251" s="10"/>
      <c r="EC251" s="10"/>
      <c r="ED251" s="10"/>
      <c r="EE251" s="10"/>
      <c r="EF251" s="10"/>
      <c r="EG251" s="10"/>
      <c r="EH251" s="10"/>
      <c r="EI251" s="10"/>
      <c r="EJ251" s="10"/>
      <c r="EK251" s="10"/>
      <c r="EL251" s="10"/>
      <c r="EM251" s="10"/>
      <c r="EN251" s="10"/>
      <c r="EO251" s="10"/>
      <c r="EP251" s="10"/>
      <c r="EQ251" s="10"/>
      <c r="ER251" s="10"/>
      <c r="ES251" s="10"/>
      <c r="ET251" s="10"/>
      <c r="EU251" s="10"/>
      <c r="EV251" s="10"/>
      <c r="EW251" s="10"/>
      <c r="EX251" s="10"/>
      <c r="EY251" s="10"/>
      <c r="EZ251" s="10"/>
      <c r="FA251" s="10"/>
      <c r="FB251" s="10"/>
      <c r="FC251" s="10"/>
      <c r="FD251" s="10"/>
      <c r="FE251" s="10"/>
      <c r="FF251" s="10"/>
      <c r="FG251" s="10"/>
      <c r="FH251" s="10"/>
      <c r="FI251" s="10"/>
      <c r="FJ251" s="10"/>
      <c r="FK251" s="10"/>
      <c r="FL251" s="10"/>
      <c r="FM251" s="10"/>
      <c r="FN251" s="10"/>
      <c r="FO251" s="10"/>
      <c r="FP251" s="10"/>
      <c r="FQ251" s="10"/>
      <c r="FR251" s="10"/>
      <c r="FS251" s="10"/>
      <c r="FT251" s="10"/>
      <c r="FU251" s="10"/>
      <c r="FV251" s="10"/>
      <c r="FW251" s="10"/>
      <c r="FX251" s="10"/>
      <c r="FY251" s="10"/>
      <c r="FZ251" s="10"/>
      <c r="GA251" s="10"/>
      <c r="GB251" s="10"/>
      <c r="GC251" s="10"/>
      <c r="GD251" s="10"/>
      <c r="GE251" s="10"/>
      <c r="GF251" s="10"/>
      <c r="GG251" s="10"/>
      <c r="GH251" s="10"/>
      <c r="GI251" s="10"/>
      <c r="GJ251" s="10"/>
      <c r="GK251" s="10"/>
    </row>
    <row r="252" customFormat="false" ht="12.75" hidden="false" customHeight="false" outlineLevel="0" collapsed="false">
      <c r="A252" s="7"/>
      <c r="B252" s="7"/>
      <c r="C252" s="8"/>
      <c r="D252" s="8"/>
      <c r="E252" s="8"/>
      <c r="F252" s="8"/>
      <c r="G252" s="9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  <c r="EM252" s="10"/>
      <c r="EN252" s="10"/>
      <c r="EO252" s="10"/>
      <c r="EP252" s="10"/>
      <c r="EQ252" s="10"/>
      <c r="ER252" s="10"/>
      <c r="ES252" s="10"/>
      <c r="ET252" s="10"/>
      <c r="EU252" s="10"/>
      <c r="EV252" s="10"/>
      <c r="EW252" s="10"/>
      <c r="EX252" s="10"/>
      <c r="EY252" s="10"/>
      <c r="EZ252" s="10"/>
      <c r="FA252" s="10"/>
      <c r="FB252" s="10"/>
      <c r="FC252" s="10"/>
      <c r="FD252" s="10"/>
      <c r="FE252" s="10"/>
      <c r="FF252" s="10"/>
      <c r="FG252" s="10"/>
      <c r="FH252" s="10"/>
      <c r="FI252" s="10"/>
      <c r="FJ252" s="10"/>
      <c r="FK252" s="10"/>
      <c r="FL252" s="10"/>
      <c r="FM252" s="10"/>
      <c r="FN252" s="10"/>
      <c r="FO252" s="10"/>
      <c r="FP252" s="10"/>
      <c r="FQ252" s="10"/>
      <c r="FR252" s="10"/>
      <c r="FS252" s="10"/>
      <c r="FT252" s="10"/>
      <c r="FU252" s="10"/>
      <c r="FV252" s="10"/>
      <c r="FW252" s="10"/>
      <c r="FX252" s="10"/>
      <c r="FY252" s="10"/>
      <c r="FZ252" s="10"/>
      <c r="GA252" s="10"/>
      <c r="GB252" s="10"/>
      <c r="GC252" s="10"/>
      <c r="GD252" s="10"/>
      <c r="GE252" s="10"/>
      <c r="GF252" s="10"/>
      <c r="GG252" s="10"/>
      <c r="GH252" s="10"/>
      <c r="GI252" s="10"/>
      <c r="GJ252" s="10"/>
      <c r="GK252" s="10"/>
    </row>
    <row r="253" customFormat="false" ht="12.75" hidden="false" customHeight="false" outlineLevel="0" collapsed="false">
      <c r="A253" s="7"/>
      <c r="B253" s="7"/>
      <c r="C253" s="8"/>
      <c r="D253" s="8"/>
      <c r="E253" s="8"/>
      <c r="F253" s="8"/>
      <c r="G253" s="9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  <c r="CV253" s="10"/>
      <c r="CW253" s="10"/>
      <c r="CX253" s="10"/>
      <c r="CY253" s="10"/>
      <c r="CZ253" s="10"/>
      <c r="DA253" s="10"/>
      <c r="DB253" s="10"/>
      <c r="DC253" s="10"/>
      <c r="DD253" s="10"/>
      <c r="DE253" s="10"/>
      <c r="DF253" s="10"/>
      <c r="DG253" s="10"/>
      <c r="DH253" s="10"/>
      <c r="DI253" s="10"/>
      <c r="DJ253" s="10"/>
      <c r="DK253" s="10"/>
      <c r="DL253" s="10"/>
      <c r="DM253" s="10"/>
      <c r="DN253" s="10"/>
      <c r="DO253" s="10"/>
      <c r="DP253" s="10"/>
      <c r="DQ253" s="10"/>
      <c r="DR253" s="10"/>
      <c r="DS253" s="10"/>
      <c r="DT253" s="10"/>
      <c r="DU253" s="10"/>
      <c r="DV253" s="10"/>
      <c r="DW253" s="10"/>
      <c r="DX253" s="10"/>
      <c r="DY253" s="10"/>
      <c r="DZ253" s="10"/>
      <c r="EA253" s="10"/>
      <c r="EB253" s="10"/>
      <c r="EC253" s="10"/>
      <c r="ED253" s="10"/>
      <c r="EE253" s="10"/>
      <c r="EF253" s="10"/>
      <c r="EG253" s="10"/>
      <c r="EH253" s="10"/>
      <c r="EI253" s="10"/>
      <c r="EJ253" s="10"/>
      <c r="EK253" s="10"/>
      <c r="EL253" s="10"/>
      <c r="EM253" s="10"/>
      <c r="EN253" s="10"/>
      <c r="EO253" s="10"/>
      <c r="EP253" s="10"/>
      <c r="EQ253" s="10"/>
      <c r="ER253" s="10"/>
      <c r="ES253" s="10"/>
      <c r="ET253" s="10"/>
      <c r="EU253" s="10"/>
      <c r="EV253" s="10"/>
      <c r="EW253" s="10"/>
      <c r="EX253" s="10"/>
      <c r="EY253" s="10"/>
      <c r="EZ253" s="10"/>
      <c r="FA253" s="10"/>
      <c r="FB253" s="10"/>
      <c r="FC253" s="10"/>
      <c r="FD253" s="10"/>
      <c r="FE253" s="10"/>
      <c r="FF253" s="10"/>
      <c r="FG253" s="10"/>
      <c r="FH253" s="10"/>
      <c r="FI253" s="10"/>
      <c r="FJ253" s="10"/>
      <c r="FK253" s="10"/>
      <c r="FL253" s="10"/>
      <c r="FM253" s="10"/>
      <c r="FN253" s="10"/>
      <c r="FO253" s="10"/>
      <c r="FP253" s="10"/>
      <c r="FQ253" s="10"/>
      <c r="FR253" s="10"/>
      <c r="FS253" s="10"/>
      <c r="FT253" s="10"/>
      <c r="FU253" s="10"/>
      <c r="FV253" s="10"/>
      <c r="FW253" s="10"/>
      <c r="FX253" s="10"/>
      <c r="FY253" s="10"/>
      <c r="FZ253" s="10"/>
      <c r="GA253" s="10"/>
      <c r="GB253" s="10"/>
      <c r="GC253" s="10"/>
      <c r="GD253" s="10"/>
      <c r="GE253" s="10"/>
      <c r="GF253" s="10"/>
      <c r="GG253" s="10"/>
      <c r="GH253" s="10"/>
      <c r="GI253" s="10"/>
      <c r="GJ253" s="10"/>
      <c r="GK253" s="10"/>
    </row>
    <row r="254" customFormat="false" ht="12.75" hidden="false" customHeight="false" outlineLevel="0" collapsed="false">
      <c r="A254" s="7"/>
      <c r="B254" s="7"/>
      <c r="C254" s="8"/>
      <c r="D254" s="8"/>
      <c r="E254" s="8"/>
      <c r="F254" s="8"/>
      <c r="G254" s="9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  <c r="CW254" s="10"/>
      <c r="CX254" s="10"/>
      <c r="CY254" s="10"/>
      <c r="CZ254" s="10"/>
      <c r="DA254" s="10"/>
      <c r="DB254" s="10"/>
      <c r="DC254" s="10"/>
      <c r="DD254" s="10"/>
      <c r="DE254" s="10"/>
      <c r="DF254" s="10"/>
      <c r="DG254" s="10"/>
      <c r="DH254" s="10"/>
      <c r="DI254" s="10"/>
      <c r="DJ254" s="10"/>
      <c r="DK254" s="10"/>
      <c r="DL254" s="10"/>
      <c r="DM254" s="10"/>
      <c r="DN254" s="10"/>
      <c r="DO254" s="10"/>
      <c r="DP254" s="10"/>
      <c r="DQ254" s="10"/>
      <c r="DR254" s="10"/>
      <c r="DS254" s="10"/>
      <c r="DT254" s="10"/>
      <c r="DU254" s="10"/>
      <c r="DV254" s="10"/>
      <c r="DW254" s="10"/>
      <c r="DX254" s="10"/>
      <c r="DY254" s="10"/>
      <c r="DZ254" s="10"/>
      <c r="EA254" s="10"/>
      <c r="EB254" s="10"/>
      <c r="EC254" s="10"/>
      <c r="ED254" s="10"/>
      <c r="EE254" s="10"/>
      <c r="EF254" s="10"/>
      <c r="EG254" s="10"/>
      <c r="EH254" s="10"/>
      <c r="EI254" s="10"/>
      <c r="EJ254" s="10"/>
      <c r="EK254" s="10"/>
      <c r="EL254" s="10"/>
      <c r="EM254" s="10"/>
      <c r="EN254" s="10"/>
      <c r="EO254" s="10"/>
      <c r="EP254" s="10"/>
      <c r="EQ254" s="10"/>
      <c r="ER254" s="10"/>
      <c r="ES254" s="10"/>
      <c r="ET254" s="10"/>
      <c r="EU254" s="10"/>
      <c r="EV254" s="10"/>
      <c r="EW254" s="10"/>
      <c r="EX254" s="10"/>
      <c r="EY254" s="10"/>
      <c r="EZ254" s="10"/>
      <c r="FA254" s="10"/>
      <c r="FB254" s="10"/>
      <c r="FC254" s="10"/>
      <c r="FD254" s="10"/>
      <c r="FE254" s="10"/>
      <c r="FF254" s="10"/>
      <c r="FG254" s="10"/>
      <c r="FH254" s="10"/>
      <c r="FI254" s="10"/>
      <c r="FJ254" s="10"/>
      <c r="FK254" s="10"/>
      <c r="FL254" s="10"/>
      <c r="FM254" s="10"/>
      <c r="FN254" s="10"/>
      <c r="FO254" s="10"/>
      <c r="FP254" s="10"/>
      <c r="FQ254" s="10"/>
      <c r="FR254" s="10"/>
      <c r="FS254" s="10"/>
      <c r="FT254" s="10"/>
      <c r="FU254" s="10"/>
      <c r="FV254" s="10"/>
      <c r="FW254" s="10"/>
      <c r="FX254" s="10"/>
      <c r="FY254" s="10"/>
      <c r="FZ254" s="10"/>
      <c r="GA254" s="10"/>
      <c r="GB254" s="10"/>
      <c r="GC254" s="10"/>
      <c r="GD254" s="10"/>
      <c r="GE254" s="10"/>
      <c r="GF254" s="10"/>
      <c r="GG254" s="10"/>
      <c r="GH254" s="10"/>
      <c r="GI254" s="10"/>
      <c r="GJ254" s="10"/>
      <c r="GK254" s="10"/>
    </row>
    <row r="255" customFormat="false" ht="12.75" hidden="false" customHeight="false" outlineLevel="0" collapsed="false">
      <c r="A255" s="7"/>
      <c r="B255" s="7"/>
      <c r="C255" s="8"/>
      <c r="D255" s="8"/>
      <c r="E255" s="8"/>
      <c r="F255" s="8"/>
      <c r="G255" s="9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10"/>
      <c r="CW255" s="10"/>
      <c r="CX255" s="10"/>
      <c r="CY255" s="10"/>
      <c r="CZ255" s="10"/>
      <c r="DA255" s="10"/>
      <c r="DB255" s="10"/>
      <c r="DC255" s="10"/>
      <c r="DD255" s="10"/>
      <c r="DE255" s="10"/>
      <c r="DF255" s="10"/>
      <c r="DG255" s="10"/>
      <c r="DH255" s="10"/>
      <c r="DI255" s="10"/>
      <c r="DJ255" s="10"/>
      <c r="DK255" s="10"/>
      <c r="DL255" s="10"/>
      <c r="DM255" s="10"/>
      <c r="DN255" s="10"/>
      <c r="DO255" s="10"/>
      <c r="DP255" s="10"/>
      <c r="DQ255" s="10"/>
      <c r="DR255" s="10"/>
      <c r="DS255" s="10"/>
      <c r="DT255" s="10"/>
      <c r="DU255" s="10"/>
      <c r="DV255" s="10"/>
      <c r="DW255" s="10"/>
      <c r="DX255" s="10"/>
      <c r="DY255" s="10"/>
      <c r="DZ255" s="10"/>
      <c r="EA255" s="10"/>
      <c r="EB255" s="10"/>
      <c r="EC255" s="10"/>
      <c r="ED255" s="10"/>
      <c r="EE255" s="10"/>
      <c r="EF255" s="10"/>
      <c r="EG255" s="10"/>
      <c r="EH255" s="10"/>
      <c r="EI255" s="10"/>
      <c r="EJ255" s="10"/>
      <c r="EK255" s="10"/>
      <c r="EL255" s="10"/>
      <c r="EM255" s="10"/>
      <c r="EN255" s="10"/>
      <c r="EO255" s="10"/>
      <c r="EP255" s="10"/>
      <c r="EQ255" s="10"/>
      <c r="ER255" s="10"/>
      <c r="ES255" s="10"/>
      <c r="ET255" s="10"/>
      <c r="EU255" s="10"/>
      <c r="EV255" s="10"/>
      <c r="EW255" s="10"/>
      <c r="EX255" s="10"/>
      <c r="EY255" s="10"/>
      <c r="EZ255" s="10"/>
      <c r="FA255" s="10"/>
      <c r="FB255" s="10"/>
      <c r="FC255" s="10"/>
      <c r="FD255" s="10"/>
      <c r="FE255" s="10"/>
      <c r="FF255" s="10"/>
      <c r="FG255" s="10"/>
      <c r="FH255" s="10"/>
      <c r="FI255" s="10"/>
      <c r="FJ255" s="10"/>
      <c r="FK255" s="10"/>
      <c r="FL255" s="10"/>
      <c r="FM255" s="10"/>
      <c r="FN255" s="10"/>
      <c r="FO255" s="10"/>
      <c r="FP255" s="10"/>
      <c r="FQ255" s="10"/>
      <c r="FR255" s="10"/>
      <c r="FS255" s="10"/>
      <c r="FT255" s="10"/>
      <c r="FU255" s="10"/>
      <c r="FV255" s="10"/>
      <c r="FW255" s="10"/>
      <c r="FX255" s="10"/>
      <c r="FY255" s="10"/>
      <c r="FZ255" s="10"/>
      <c r="GA255" s="10"/>
      <c r="GB255" s="10"/>
      <c r="GC255" s="10"/>
      <c r="GD255" s="10"/>
      <c r="GE255" s="10"/>
      <c r="GF255" s="10"/>
      <c r="GG255" s="10"/>
      <c r="GH255" s="10"/>
      <c r="GI255" s="10"/>
      <c r="GJ255" s="10"/>
      <c r="GK255" s="10"/>
    </row>
    <row r="256" customFormat="false" ht="12.75" hidden="false" customHeight="false" outlineLevel="0" collapsed="false">
      <c r="A256" s="7"/>
      <c r="B256" s="7"/>
      <c r="C256" s="8"/>
      <c r="D256" s="8"/>
      <c r="E256" s="8"/>
      <c r="F256" s="8"/>
      <c r="G256" s="9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10"/>
      <c r="CW256" s="10"/>
      <c r="CX256" s="10"/>
      <c r="CY256" s="10"/>
      <c r="CZ256" s="10"/>
      <c r="DA256" s="10"/>
      <c r="DB256" s="10"/>
      <c r="DC256" s="10"/>
      <c r="DD256" s="10"/>
      <c r="DE256" s="10"/>
      <c r="DF256" s="10"/>
      <c r="DG256" s="10"/>
      <c r="DH256" s="10"/>
      <c r="DI256" s="10"/>
      <c r="DJ256" s="10"/>
      <c r="DK256" s="10"/>
      <c r="DL256" s="10"/>
      <c r="DM256" s="10"/>
      <c r="DN256" s="10"/>
      <c r="DO256" s="10"/>
      <c r="DP256" s="10"/>
      <c r="DQ256" s="10"/>
      <c r="DR256" s="10"/>
      <c r="DS256" s="10"/>
      <c r="DT256" s="10"/>
      <c r="DU256" s="10"/>
      <c r="DV256" s="10"/>
      <c r="DW256" s="10"/>
      <c r="DX256" s="10"/>
      <c r="DY256" s="10"/>
      <c r="DZ256" s="10"/>
      <c r="EA256" s="10"/>
      <c r="EB256" s="10"/>
      <c r="EC256" s="10"/>
      <c r="ED256" s="10"/>
      <c r="EE256" s="10"/>
      <c r="EF256" s="10"/>
      <c r="EG256" s="10"/>
      <c r="EH256" s="10"/>
      <c r="EI256" s="10"/>
      <c r="EJ256" s="10"/>
      <c r="EK256" s="10"/>
      <c r="EL256" s="10"/>
      <c r="EM256" s="10"/>
      <c r="EN256" s="10"/>
      <c r="EO256" s="10"/>
      <c r="EP256" s="10"/>
      <c r="EQ256" s="10"/>
      <c r="ER256" s="10"/>
      <c r="ES256" s="10"/>
      <c r="ET256" s="10"/>
      <c r="EU256" s="10"/>
      <c r="EV256" s="10"/>
      <c r="EW256" s="10"/>
      <c r="EX256" s="10"/>
      <c r="EY256" s="10"/>
      <c r="EZ256" s="10"/>
      <c r="FA256" s="10"/>
      <c r="FB256" s="10"/>
      <c r="FC256" s="10"/>
      <c r="FD256" s="10"/>
      <c r="FE256" s="10"/>
      <c r="FF256" s="10"/>
      <c r="FG256" s="10"/>
      <c r="FH256" s="10"/>
      <c r="FI256" s="10"/>
      <c r="FJ256" s="10"/>
      <c r="FK256" s="10"/>
      <c r="FL256" s="10"/>
      <c r="FM256" s="10"/>
      <c r="FN256" s="10"/>
      <c r="FO256" s="10"/>
      <c r="FP256" s="10"/>
      <c r="FQ256" s="10"/>
      <c r="FR256" s="10"/>
      <c r="FS256" s="10"/>
      <c r="FT256" s="10"/>
      <c r="FU256" s="10"/>
      <c r="FV256" s="10"/>
      <c r="FW256" s="10"/>
      <c r="FX256" s="10"/>
      <c r="FY256" s="10"/>
      <c r="FZ256" s="10"/>
      <c r="GA256" s="10"/>
      <c r="GB256" s="10"/>
      <c r="GC256" s="10"/>
      <c r="GD256" s="10"/>
      <c r="GE256" s="10"/>
      <c r="GF256" s="10"/>
      <c r="GG256" s="10"/>
      <c r="GH256" s="10"/>
      <c r="GI256" s="10"/>
      <c r="GJ256" s="10"/>
      <c r="GK256" s="10"/>
    </row>
    <row r="257" customFormat="false" ht="12.75" hidden="false" customHeight="false" outlineLevel="0" collapsed="false">
      <c r="A257" s="7"/>
      <c r="B257" s="7"/>
      <c r="C257" s="8"/>
      <c r="D257" s="8"/>
      <c r="E257" s="8"/>
      <c r="F257" s="8"/>
      <c r="G257" s="9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  <c r="CW257" s="10"/>
      <c r="CX257" s="10"/>
      <c r="CY257" s="10"/>
      <c r="CZ257" s="10"/>
      <c r="DA257" s="10"/>
      <c r="DB257" s="10"/>
      <c r="DC257" s="10"/>
      <c r="DD257" s="10"/>
      <c r="DE257" s="10"/>
      <c r="DF257" s="10"/>
      <c r="DG257" s="10"/>
      <c r="DH257" s="10"/>
      <c r="DI257" s="10"/>
      <c r="DJ257" s="10"/>
      <c r="DK257" s="10"/>
      <c r="DL257" s="10"/>
      <c r="DM257" s="10"/>
      <c r="DN257" s="10"/>
      <c r="DO257" s="10"/>
      <c r="DP257" s="10"/>
      <c r="DQ257" s="10"/>
      <c r="DR257" s="10"/>
      <c r="DS257" s="10"/>
      <c r="DT257" s="10"/>
      <c r="DU257" s="10"/>
      <c r="DV257" s="10"/>
      <c r="DW257" s="10"/>
      <c r="DX257" s="10"/>
      <c r="DY257" s="10"/>
      <c r="DZ257" s="10"/>
      <c r="EA257" s="10"/>
      <c r="EB257" s="10"/>
      <c r="EC257" s="10"/>
      <c r="ED257" s="10"/>
      <c r="EE257" s="10"/>
      <c r="EF257" s="10"/>
      <c r="EG257" s="10"/>
      <c r="EH257" s="10"/>
      <c r="EI257" s="10"/>
      <c r="EJ257" s="10"/>
      <c r="EK257" s="10"/>
      <c r="EL257" s="10"/>
      <c r="EM257" s="10"/>
      <c r="EN257" s="10"/>
      <c r="EO257" s="10"/>
      <c r="EP257" s="10"/>
      <c r="EQ257" s="10"/>
      <c r="ER257" s="10"/>
      <c r="ES257" s="10"/>
      <c r="ET257" s="10"/>
      <c r="EU257" s="10"/>
      <c r="EV257" s="10"/>
      <c r="EW257" s="10"/>
      <c r="EX257" s="10"/>
      <c r="EY257" s="10"/>
      <c r="EZ257" s="10"/>
      <c r="FA257" s="10"/>
      <c r="FB257" s="10"/>
      <c r="FC257" s="10"/>
      <c r="FD257" s="10"/>
      <c r="FE257" s="10"/>
      <c r="FF257" s="10"/>
      <c r="FG257" s="10"/>
      <c r="FH257" s="10"/>
      <c r="FI257" s="10"/>
      <c r="FJ257" s="10"/>
      <c r="FK257" s="10"/>
      <c r="FL257" s="10"/>
      <c r="FM257" s="10"/>
      <c r="FN257" s="10"/>
      <c r="FO257" s="10"/>
      <c r="FP257" s="10"/>
      <c r="FQ257" s="10"/>
      <c r="FR257" s="10"/>
      <c r="FS257" s="10"/>
      <c r="FT257" s="10"/>
      <c r="FU257" s="10"/>
      <c r="FV257" s="10"/>
      <c r="FW257" s="10"/>
      <c r="FX257" s="10"/>
      <c r="FY257" s="10"/>
      <c r="FZ257" s="10"/>
      <c r="GA257" s="10"/>
      <c r="GB257" s="10"/>
      <c r="GC257" s="10"/>
      <c r="GD257" s="10"/>
      <c r="GE257" s="10"/>
      <c r="GF257" s="10"/>
      <c r="GG257" s="10"/>
      <c r="GH257" s="10"/>
      <c r="GI257" s="10"/>
      <c r="GJ257" s="10"/>
      <c r="GK257" s="10"/>
    </row>
    <row r="258" customFormat="false" ht="12.75" hidden="false" customHeight="false" outlineLevel="0" collapsed="false">
      <c r="A258" s="7"/>
      <c r="B258" s="7"/>
      <c r="C258" s="8"/>
      <c r="D258" s="8"/>
      <c r="E258" s="8"/>
      <c r="F258" s="8"/>
      <c r="G258" s="9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10"/>
      <c r="CW258" s="10"/>
      <c r="CX258" s="10"/>
      <c r="CY258" s="10"/>
      <c r="CZ258" s="10"/>
      <c r="DA258" s="10"/>
      <c r="DB258" s="10"/>
      <c r="DC258" s="10"/>
      <c r="DD258" s="10"/>
      <c r="DE258" s="10"/>
      <c r="DF258" s="10"/>
      <c r="DG258" s="10"/>
      <c r="DH258" s="10"/>
      <c r="DI258" s="10"/>
      <c r="DJ258" s="10"/>
      <c r="DK258" s="10"/>
      <c r="DL258" s="10"/>
      <c r="DM258" s="10"/>
      <c r="DN258" s="10"/>
      <c r="DO258" s="10"/>
      <c r="DP258" s="10"/>
      <c r="DQ258" s="10"/>
      <c r="DR258" s="10"/>
      <c r="DS258" s="10"/>
      <c r="DT258" s="10"/>
      <c r="DU258" s="10"/>
      <c r="DV258" s="10"/>
      <c r="DW258" s="10"/>
      <c r="DX258" s="10"/>
      <c r="DY258" s="10"/>
      <c r="DZ258" s="10"/>
      <c r="EA258" s="10"/>
      <c r="EB258" s="10"/>
      <c r="EC258" s="10"/>
      <c r="ED258" s="10"/>
      <c r="EE258" s="10"/>
      <c r="EF258" s="10"/>
      <c r="EG258" s="10"/>
      <c r="EH258" s="10"/>
      <c r="EI258" s="10"/>
      <c r="EJ258" s="10"/>
      <c r="EK258" s="10"/>
      <c r="EL258" s="10"/>
      <c r="EM258" s="10"/>
      <c r="EN258" s="10"/>
      <c r="EO258" s="10"/>
      <c r="EP258" s="10"/>
      <c r="EQ258" s="10"/>
      <c r="ER258" s="10"/>
      <c r="ES258" s="10"/>
      <c r="ET258" s="10"/>
      <c r="EU258" s="10"/>
      <c r="EV258" s="10"/>
      <c r="EW258" s="10"/>
      <c r="EX258" s="10"/>
      <c r="EY258" s="10"/>
      <c r="EZ258" s="10"/>
      <c r="FA258" s="10"/>
      <c r="FB258" s="10"/>
      <c r="FC258" s="10"/>
      <c r="FD258" s="10"/>
      <c r="FE258" s="10"/>
      <c r="FF258" s="10"/>
      <c r="FG258" s="10"/>
      <c r="FH258" s="10"/>
      <c r="FI258" s="10"/>
      <c r="FJ258" s="10"/>
      <c r="FK258" s="10"/>
      <c r="FL258" s="10"/>
      <c r="FM258" s="10"/>
      <c r="FN258" s="10"/>
      <c r="FO258" s="10"/>
      <c r="FP258" s="10"/>
      <c r="FQ258" s="10"/>
      <c r="FR258" s="10"/>
      <c r="FS258" s="10"/>
      <c r="FT258" s="10"/>
      <c r="FU258" s="10"/>
      <c r="FV258" s="10"/>
      <c r="FW258" s="10"/>
      <c r="FX258" s="10"/>
      <c r="FY258" s="10"/>
      <c r="FZ258" s="10"/>
      <c r="GA258" s="10"/>
      <c r="GB258" s="10"/>
      <c r="GC258" s="10"/>
      <c r="GD258" s="10"/>
      <c r="GE258" s="10"/>
      <c r="GF258" s="10"/>
      <c r="GG258" s="10"/>
      <c r="GH258" s="10"/>
      <c r="GI258" s="10"/>
      <c r="GJ258" s="10"/>
      <c r="GK258" s="10"/>
    </row>
    <row r="259" customFormat="false" ht="12.75" hidden="false" customHeight="false" outlineLevel="0" collapsed="false">
      <c r="A259" s="7"/>
      <c r="B259" s="7"/>
      <c r="C259" s="8"/>
      <c r="D259" s="8"/>
      <c r="E259" s="8"/>
      <c r="F259" s="8"/>
      <c r="G259" s="9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  <c r="CW259" s="10"/>
      <c r="CX259" s="10"/>
      <c r="CY259" s="10"/>
      <c r="CZ259" s="10"/>
      <c r="DA259" s="10"/>
      <c r="DB259" s="10"/>
      <c r="DC259" s="10"/>
      <c r="DD259" s="10"/>
      <c r="DE259" s="10"/>
      <c r="DF259" s="10"/>
      <c r="DG259" s="10"/>
      <c r="DH259" s="10"/>
      <c r="DI259" s="10"/>
      <c r="DJ259" s="10"/>
      <c r="DK259" s="10"/>
      <c r="DL259" s="10"/>
      <c r="DM259" s="10"/>
      <c r="DN259" s="10"/>
      <c r="DO259" s="10"/>
      <c r="DP259" s="10"/>
      <c r="DQ259" s="10"/>
      <c r="DR259" s="10"/>
      <c r="DS259" s="10"/>
      <c r="DT259" s="10"/>
      <c r="DU259" s="10"/>
      <c r="DV259" s="10"/>
      <c r="DW259" s="10"/>
      <c r="DX259" s="10"/>
      <c r="DY259" s="10"/>
      <c r="DZ259" s="10"/>
      <c r="EA259" s="10"/>
      <c r="EB259" s="10"/>
      <c r="EC259" s="10"/>
      <c r="ED259" s="10"/>
      <c r="EE259" s="10"/>
      <c r="EF259" s="10"/>
      <c r="EG259" s="10"/>
      <c r="EH259" s="10"/>
      <c r="EI259" s="10"/>
      <c r="EJ259" s="10"/>
      <c r="EK259" s="10"/>
      <c r="EL259" s="10"/>
      <c r="EM259" s="10"/>
      <c r="EN259" s="10"/>
      <c r="EO259" s="10"/>
      <c r="EP259" s="10"/>
      <c r="EQ259" s="10"/>
      <c r="ER259" s="10"/>
      <c r="ES259" s="10"/>
      <c r="ET259" s="10"/>
      <c r="EU259" s="10"/>
      <c r="EV259" s="10"/>
      <c r="EW259" s="10"/>
      <c r="EX259" s="10"/>
      <c r="EY259" s="10"/>
      <c r="EZ259" s="10"/>
      <c r="FA259" s="10"/>
      <c r="FB259" s="10"/>
      <c r="FC259" s="10"/>
      <c r="FD259" s="10"/>
      <c r="FE259" s="10"/>
      <c r="FF259" s="10"/>
      <c r="FG259" s="10"/>
      <c r="FH259" s="10"/>
      <c r="FI259" s="10"/>
      <c r="FJ259" s="10"/>
      <c r="FK259" s="10"/>
      <c r="FL259" s="10"/>
      <c r="FM259" s="10"/>
      <c r="FN259" s="10"/>
      <c r="FO259" s="10"/>
      <c r="FP259" s="10"/>
      <c r="FQ259" s="10"/>
      <c r="FR259" s="10"/>
      <c r="FS259" s="10"/>
      <c r="FT259" s="10"/>
      <c r="FU259" s="10"/>
      <c r="FV259" s="10"/>
      <c r="FW259" s="10"/>
      <c r="FX259" s="10"/>
      <c r="FY259" s="10"/>
      <c r="FZ259" s="10"/>
      <c r="GA259" s="10"/>
      <c r="GB259" s="10"/>
      <c r="GC259" s="10"/>
      <c r="GD259" s="10"/>
      <c r="GE259" s="10"/>
      <c r="GF259" s="10"/>
      <c r="GG259" s="10"/>
      <c r="GH259" s="10"/>
      <c r="GI259" s="10"/>
      <c r="GJ259" s="10"/>
      <c r="GK259" s="10"/>
    </row>
    <row r="260" customFormat="false" ht="12.75" hidden="false" customHeight="false" outlineLevel="0" collapsed="false">
      <c r="A260" s="7"/>
      <c r="B260" s="7"/>
      <c r="C260" s="8"/>
      <c r="D260" s="8"/>
      <c r="E260" s="8"/>
      <c r="F260" s="8"/>
      <c r="G260" s="9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  <c r="CV260" s="10"/>
      <c r="CW260" s="10"/>
      <c r="CX260" s="10"/>
      <c r="CY260" s="10"/>
      <c r="CZ260" s="10"/>
      <c r="DA260" s="10"/>
      <c r="DB260" s="10"/>
      <c r="DC260" s="10"/>
      <c r="DD260" s="10"/>
      <c r="DE260" s="10"/>
      <c r="DF260" s="10"/>
      <c r="DG260" s="10"/>
      <c r="DH260" s="10"/>
      <c r="DI260" s="10"/>
      <c r="DJ260" s="10"/>
      <c r="DK260" s="10"/>
      <c r="DL260" s="10"/>
      <c r="DM260" s="10"/>
      <c r="DN260" s="10"/>
      <c r="DO260" s="10"/>
      <c r="DP260" s="10"/>
      <c r="DQ260" s="10"/>
      <c r="DR260" s="10"/>
      <c r="DS260" s="10"/>
      <c r="DT260" s="10"/>
      <c r="DU260" s="10"/>
      <c r="DV260" s="10"/>
      <c r="DW260" s="10"/>
      <c r="DX260" s="10"/>
      <c r="DY260" s="10"/>
      <c r="DZ260" s="10"/>
      <c r="EA260" s="10"/>
      <c r="EB260" s="10"/>
      <c r="EC260" s="10"/>
      <c r="ED260" s="10"/>
      <c r="EE260" s="10"/>
      <c r="EF260" s="10"/>
      <c r="EG260" s="10"/>
      <c r="EH260" s="10"/>
      <c r="EI260" s="10"/>
      <c r="EJ260" s="10"/>
      <c r="EK260" s="10"/>
      <c r="EL260" s="10"/>
      <c r="EM260" s="10"/>
      <c r="EN260" s="10"/>
      <c r="EO260" s="10"/>
      <c r="EP260" s="10"/>
      <c r="EQ260" s="10"/>
      <c r="ER260" s="10"/>
      <c r="ES260" s="10"/>
      <c r="ET260" s="10"/>
      <c r="EU260" s="10"/>
      <c r="EV260" s="10"/>
      <c r="EW260" s="10"/>
      <c r="EX260" s="10"/>
      <c r="EY260" s="10"/>
      <c r="EZ260" s="10"/>
      <c r="FA260" s="10"/>
      <c r="FB260" s="10"/>
      <c r="FC260" s="10"/>
      <c r="FD260" s="10"/>
      <c r="FE260" s="10"/>
      <c r="FF260" s="10"/>
      <c r="FG260" s="10"/>
      <c r="FH260" s="10"/>
      <c r="FI260" s="10"/>
      <c r="FJ260" s="10"/>
      <c r="FK260" s="10"/>
      <c r="FL260" s="10"/>
      <c r="FM260" s="10"/>
      <c r="FN260" s="10"/>
      <c r="FO260" s="10"/>
      <c r="FP260" s="10"/>
      <c r="FQ260" s="10"/>
      <c r="FR260" s="10"/>
      <c r="FS260" s="10"/>
      <c r="FT260" s="10"/>
      <c r="FU260" s="10"/>
      <c r="FV260" s="10"/>
      <c r="FW260" s="10"/>
      <c r="FX260" s="10"/>
      <c r="FY260" s="10"/>
      <c r="FZ260" s="10"/>
      <c r="GA260" s="10"/>
      <c r="GB260" s="10"/>
      <c r="GC260" s="10"/>
      <c r="GD260" s="10"/>
      <c r="GE260" s="10"/>
      <c r="GF260" s="10"/>
      <c r="GG260" s="10"/>
      <c r="GH260" s="10"/>
      <c r="GI260" s="10"/>
      <c r="GJ260" s="10"/>
      <c r="GK260" s="10"/>
    </row>
    <row r="261" customFormat="false" ht="12.75" hidden="false" customHeight="false" outlineLevel="0" collapsed="false">
      <c r="A261" s="7"/>
      <c r="B261" s="7"/>
      <c r="C261" s="8"/>
      <c r="D261" s="8"/>
      <c r="E261" s="8"/>
      <c r="F261" s="8"/>
      <c r="G261" s="9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10"/>
      <c r="CW261" s="10"/>
      <c r="CX261" s="10"/>
      <c r="CY261" s="10"/>
      <c r="CZ261" s="10"/>
      <c r="DA261" s="10"/>
      <c r="DB261" s="10"/>
      <c r="DC261" s="10"/>
      <c r="DD261" s="10"/>
      <c r="DE261" s="10"/>
      <c r="DF261" s="10"/>
      <c r="DG261" s="10"/>
      <c r="DH261" s="10"/>
      <c r="DI261" s="10"/>
      <c r="DJ261" s="10"/>
      <c r="DK261" s="10"/>
      <c r="DL261" s="10"/>
      <c r="DM261" s="10"/>
      <c r="DN261" s="10"/>
      <c r="DO261" s="10"/>
      <c r="DP261" s="10"/>
      <c r="DQ261" s="10"/>
      <c r="DR261" s="10"/>
      <c r="DS261" s="10"/>
      <c r="DT261" s="10"/>
      <c r="DU261" s="10"/>
      <c r="DV261" s="10"/>
      <c r="DW261" s="10"/>
      <c r="DX261" s="10"/>
      <c r="DY261" s="10"/>
      <c r="DZ261" s="10"/>
      <c r="EA261" s="10"/>
      <c r="EB261" s="10"/>
      <c r="EC261" s="10"/>
      <c r="ED261" s="10"/>
      <c r="EE261" s="10"/>
      <c r="EF261" s="10"/>
      <c r="EG261" s="10"/>
      <c r="EH261" s="10"/>
      <c r="EI261" s="10"/>
      <c r="EJ261" s="10"/>
      <c r="EK261" s="10"/>
      <c r="EL261" s="10"/>
      <c r="EM261" s="10"/>
      <c r="EN261" s="10"/>
      <c r="EO261" s="10"/>
      <c r="EP261" s="10"/>
      <c r="EQ261" s="10"/>
      <c r="ER261" s="10"/>
      <c r="ES261" s="10"/>
      <c r="ET261" s="10"/>
      <c r="EU261" s="10"/>
      <c r="EV261" s="10"/>
      <c r="EW261" s="10"/>
      <c r="EX261" s="10"/>
      <c r="EY261" s="10"/>
      <c r="EZ261" s="10"/>
      <c r="FA261" s="10"/>
      <c r="FB261" s="10"/>
      <c r="FC261" s="10"/>
      <c r="FD261" s="10"/>
      <c r="FE261" s="10"/>
      <c r="FF261" s="10"/>
      <c r="FG261" s="10"/>
      <c r="FH261" s="10"/>
      <c r="FI261" s="10"/>
      <c r="FJ261" s="10"/>
      <c r="FK261" s="10"/>
      <c r="FL261" s="10"/>
      <c r="FM261" s="10"/>
      <c r="FN261" s="10"/>
      <c r="FO261" s="10"/>
      <c r="FP261" s="10"/>
      <c r="FQ261" s="10"/>
      <c r="FR261" s="10"/>
      <c r="FS261" s="10"/>
      <c r="FT261" s="10"/>
      <c r="FU261" s="10"/>
      <c r="FV261" s="10"/>
      <c r="FW261" s="10"/>
      <c r="FX261" s="10"/>
      <c r="FY261" s="10"/>
      <c r="FZ261" s="10"/>
      <c r="GA261" s="10"/>
      <c r="GB261" s="10"/>
      <c r="GC261" s="10"/>
      <c r="GD261" s="10"/>
      <c r="GE261" s="10"/>
      <c r="GF261" s="10"/>
      <c r="GG261" s="10"/>
      <c r="GH261" s="10"/>
      <c r="GI261" s="10"/>
      <c r="GJ261" s="10"/>
      <c r="GK261" s="10"/>
    </row>
    <row r="262" customFormat="false" ht="12.75" hidden="false" customHeight="false" outlineLevel="0" collapsed="false">
      <c r="A262" s="7"/>
      <c r="B262" s="7"/>
      <c r="C262" s="8"/>
      <c r="D262" s="8"/>
      <c r="E262" s="8"/>
      <c r="F262" s="8"/>
      <c r="G262" s="9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  <c r="CV262" s="10"/>
      <c r="CW262" s="10"/>
      <c r="CX262" s="10"/>
      <c r="CY262" s="10"/>
      <c r="CZ262" s="10"/>
      <c r="DA262" s="10"/>
      <c r="DB262" s="10"/>
      <c r="DC262" s="10"/>
      <c r="DD262" s="10"/>
      <c r="DE262" s="10"/>
      <c r="DF262" s="10"/>
      <c r="DG262" s="10"/>
      <c r="DH262" s="10"/>
      <c r="DI262" s="10"/>
      <c r="DJ262" s="10"/>
      <c r="DK262" s="10"/>
      <c r="DL262" s="10"/>
      <c r="DM262" s="10"/>
      <c r="DN262" s="10"/>
      <c r="DO262" s="10"/>
      <c r="DP262" s="10"/>
      <c r="DQ262" s="10"/>
      <c r="DR262" s="10"/>
      <c r="DS262" s="10"/>
      <c r="DT262" s="10"/>
      <c r="DU262" s="10"/>
      <c r="DV262" s="10"/>
      <c r="DW262" s="10"/>
      <c r="DX262" s="10"/>
      <c r="DY262" s="10"/>
      <c r="DZ262" s="10"/>
      <c r="EA262" s="10"/>
      <c r="EB262" s="10"/>
      <c r="EC262" s="10"/>
      <c r="ED262" s="10"/>
      <c r="EE262" s="10"/>
      <c r="EF262" s="10"/>
      <c r="EG262" s="10"/>
      <c r="EH262" s="10"/>
      <c r="EI262" s="10"/>
      <c r="EJ262" s="10"/>
      <c r="EK262" s="10"/>
      <c r="EL262" s="10"/>
      <c r="EM262" s="10"/>
      <c r="EN262" s="10"/>
      <c r="EO262" s="10"/>
      <c r="EP262" s="10"/>
      <c r="EQ262" s="10"/>
      <c r="ER262" s="10"/>
      <c r="ES262" s="10"/>
      <c r="ET262" s="10"/>
      <c r="EU262" s="10"/>
      <c r="EV262" s="10"/>
      <c r="EW262" s="10"/>
      <c r="EX262" s="10"/>
      <c r="EY262" s="10"/>
      <c r="EZ262" s="10"/>
      <c r="FA262" s="10"/>
      <c r="FB262" s="10"/>
      <c r="FC262" s="10"/>
      <c r="FD262" s="10"/>
      <c r="FE262" s="10"/>
      <c r="FF262" s="10"/>
      <c r="FG262" s="10"/>
      <c r="FH262" s="10"/>
      <c r="FI262" s="10"/>
      <c r="FJ262" s="10"/>
      <c r="FK262" s="10"/>
      <c r="FL262" s="10"/>
      <c r="FM262" s="10"/>
      <c r="FN262" s="10"/>
      <c r="FO262" s="10"/>
      <c r="FP262" s="10"/>
      <c r="FQ262" s="10"/>
      <c r="FR262" s="10"/>
      <c r="FS262" s="10"/>
      <c r="FT262" s="10"/>
      <c r="FU262" s="10"/>
      <c r="FV262" s="10"/>
      <c r="FW262" s="10"/>
      <c r="FX262" s="10"/>
      <c r="FY262" s="10"/>
      <c r="FZ262" s="10"/>
      <c r="GA262" s="10"/>
      <c r="GB262" s="10"/>
      <c r="GC262" s="10"/>
      <c r="GD262" s="10"/>
      <c r="GE262" s="10"/>
      <c r="GF262" s="10"/>
      <c r="GG262" s="10"/>
      <c r="GH262" s="10"/>
      <c r="GI262" s="10"/>
      <c r="GJ262" s="10"/>
      <c r="GK262" s="10"/>
    </row>
    <row r="263" customFormat="false" ht="12.75" hidden="false" customHeight="false" outlineLevel="0" collapsed="false">
      <c r="A263" s="7"/>
      <c r="B263" s="7"/>
      <c r="C263" s="8"/>
      <c r="D263" s="8"/>
      <c r="E263" s="8"/>
      <c r="F263" s="8"/>
      <c r="G263" s="9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10"/>
      <c r="CW263" s="10"/>
      <c r="CX263" s="10"/>
      <c r="CY263" s="10"/>
      <c r="CZ263" s="10"/>
      <c r="DA263" s="10"/>
      <c r="DB263" s="10"/>
      <c r="DC263" s="10"/>
      <c r="DD263" s="10"/>
      <c r="DE263" s="10"/>
      <c r="DF263" s="10"/>
      <c r="DG263" s="10"/>
      <c r="DH263" s="10"/>
      <c r="DI263" s="10"/>
      <c r="DJ263" s="10"/>
      <c r="DK263" s="10"/>
      <c r="DL263" s="10"/>
      <c r="DM263" s="10"/>
      <c r="DN263" s="10"/>
      <c r="DO263" s="10"/>
      <c r="DP263" s="10"/>
      <c r="DQ263" s="10"/>
      <c r="DR263" s="10"/>
      <c r="DS263" s="10"/>
      <c r="DT263" s="10"/>
      <c r="DU263" s="10"/>
      <c r="DV263" s="10"/>
      <c r="DW263" s="10"/>
      <c r="DX263" s="10"/>
      <c r="DY263" s="10"/>
      <c r="DZ263" s="10"/>
      <c r="EA263" s="10"/>
      <c r="EB263" s="10"/>
      <c r="EC263" s="10"/>
      <c r="ED263" s="10"/>
      <c r="EE263" s="10"/>
      <c r="EF263" s="10"/>
      <c r="EG263" s="10"/>
      <c r="EH263" s="10"/>
      <c r="EI263" s="10"/>
      <c r="EJ263" s="10"/>
      <c r="EK263" s="10"/>
      <c r="EL263" s="10"/>
      <c r="EM263" s="10"/>
      <c r="EN263" s="10"/>
      <c r="EO263" s="10"/>
      <c r="EP263" s="10"/>
      <c r="EQ263" s="10"/>
      <c r="ER263" s="10"/>
      <c r="ES263" s="10"/>
      <c r="ET263" s="10"/>
      <c r="EU263" s="10"/>
      <c r="EV263" s="10"/>
      <c r="EW263" s="10"/>
      <c r="EX263" s="10"/>
      <c r="EY263" s="10"/>
      <c r="EZ263" s="10"/>
      <c r="FA263" s="10"/>
      <c r="FB263" s="10"/>
      <c r="FC263" s="10"/>
      <c r="FD263" s="10"/>
      <c r="FE263" s="10"/>
      <c r="FF263" s="10"/>
      <c r="FG263" s="10"/>
      <c r="FH263" s="10"/>
      <c r="FI263" s="10"/>
      <c r="FJ263" s="10"/>
      <c r="FK263" s="10"/>
      <c r="FL263" s="10"/>
      <c r="FM263" s="10"/>
      <c r="FN263" s="10"/>
      <c r="FO263" s="10"/>
      <c r="FP263" s="10"/>
      <c r="FQ263" s="10"/>
      <c r="FR263" s="10"/>
      <c r="FS263" s="10"/>
      <c r="FT263" s="10"/>
      <c r="FU263" s="10"/>
      <c r="FV263" s="10"/>
      <c r="FW263" s="10"/>
      <c r="FX263" s="10"/>
      <c r="FY263" s="10"/>
      <c r="FZ263" s="10"/>
      <c r="GA263" s="10"/>
      <c r="GB263" s="10"/>
      <c r="GC263" s="10"/>
      <c r="GD263" s="10"/>
      <c r="GE263" s="10"/>
      <c r="GF263" s="10"/>
      <c r="GG263" s="10"/>
      <c r="GH263" s="10"/>
      <c r="GI263" s="10"/>
      <c r="GJ263" s="10"/>
      <c r="GK263" s="10"/>
    </row>
    <row r="264" customFormat="false" ht="12.75" hidden="false" customHeight="false" outlineLevel="0" collapsed="false">
      <c r="A264" s="7"/>
      <c r="B264" s="7"/>
      <c r="C264" s="8"/>
      <c r="D264" s="8"/>
      <c r="E264" s="8"/>
      <c r="F264" s="8"/>
      <c r="G264" s="9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  <c r="EM264" s="10"/>
      <c r="EN264" s="10"/>
      <c r="EO264" s="10"/>
      <c r="EP264" s="10"/>
      <c r="EQ264" s="10"/>
      <c r="ER264" s="10"/>
      <c r="ES264" s="10"/>
      <c r="ET264" s="10"/>
      <c r="EU264" s="10"/>
      <c r="EV264" s="10"/>
      <c r="EW264" s="10"/>
      <c r="EX264" s="10"/>
      <c r="EY264" s="10"/>
      <c r="EZ264" s="10"/>
      <c r="FA264" s="10"/>
      <c r="FB264" s="10"/>
      <c r="FC264" s="10"/>
      <c r="FD264" s="10"/>
      <c r="FE264" s="10"/>
      <c r="FF264" s="10"/>
      <c r="FG264" s="10"/>
      <c r="FH264" s="10"/>
      <c r="FI264" s="10"/>
      <c r="FJ264" s="10"/>
      <c r="FK264" s="10"/>
      <c r="FL264" s="10"/>
      <c r="FM264" s="10"/>
      <c r="FN264" s="10"/>
      <c r="FO264" s="10"/>
      <c r="FP264" s="10"/>
      <c r="FQ264" s="10"/>
      <c r="FR264" s="10"/>
      <c r="FS264" s="10"/>
      <c r="FT264" s="10"/>
      <c r="FU264" s="10"/>
      <c r="FV264" s="10"/>
      <c r="FW264" s="10"/>
      <c r="FX264" s="10"/>
      <c r="FY264" s="10"/>
      <c r="FZ264" s="10"/>
      <c r="GA264" s="10"/>
      <c r="GB264" s="10"/>
      <c r="GC264" s="10"/>
      <c r="GD264" s="10"/>
      <c r="GE264" s="10"/>
      <c r="GF264" s="10"/>
      <c r="GG264" s="10"/>
      <c r="GH264" s="10"/>
      <c r="GI264" s="10"/>
      <c r="GJ264" s="10"/>
      <c r="GK264" s="10"/>
    </row>
    <row r="265" customFormat="false" ht="12.75" hidden="false" customHeight="false" outlineLevel="0" collapsed="false">
      <c r="A265" s="7"/>
      <c r="B265" s="7"/>
      <c r="C265" s="8"/>
      <c r="D265" s="8"/>
      <c r="E265" s="8"/>
      <c r="F265" s="8"/>
      <c r="G265" s="9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10"/>
      <c r="CW265" s="10"/>
      <c r="CX265" s="10"/>
      <c r="CY265" s="10"/>
      <c r="CZ265" s="10"/>
      <c r="DA265" s="10"/>
      <c r="DB265" s="10"/>
      <c r="DC265" s="10"/>
      <c r="DD265" s="10"/>
      <c r="DE265" s="10"/>
      <c r="DF265" s="10"/>
      <c r="DG265" s="10"/>
      <c r="DH265" s="10"/>
      <c r="DI265" s="10"/>
      <c r="DJ265" s="10"/>
      <c r="DK265" s="10"/>
      <c r="DL265" s="10"/>
      <c r="DM265" s="10"/>
      <c r="DN265" s="10"/>
      <c r="DO265" s="10"/>
      <c r="DP265" s="10"/>
      <c r="DQ265" s="10"/>
      <c r="DR265" s="10"/>
      <c r="DS265" s="10"/>
      <c r="DT265" s="10"/>
      <c r="DU265" s="10"/>
      <c r="DV265" s="10"/>
      <c r="DW265" s="10"/>
      <c r="DX265" s="10"/>
      <c r="DY265" s="10"/>
      <c r="DZ265" s="10"/>
      <c r="EA265" s="10"/>
      <c r="EB265" s="10"/>
      <c r="EC265" s="10"/>
      <c r="ED265" s="10"/>
      <c r="EE265" s="10"/>
      <c r="EF265" s="10"/>
      <c r="EG265" s="10"/>
      <c r="EH265" s="10"/>
      <c r="EI265" s="10"/>
      <c r="EJ265" s="10"/>
      <c r="EK265" s="10"/>
      <c r="EL265" s="10"/>
      <c r="EM265" s="10"/>
      <c r="EN265" s="10"/>
      <c r="EO265" s="10"/>
      <c r="EP265" s="10"/>
      <c r="EQ265" s="10"/>
      <c r="ER265" s="10"/>
      <c r="ES265" s="10"/>
      <c r="ET265" s="10"/>
      <c r="EU265" s="10"/>
      <c r="EV265" s="10"/>
      <c r="EW265" s="10"/>
      <c r="EX265" s="10"/>
      <c r="EY265" s="10"/>
      <c r="EZ265" s="10"/>
      <c r="FA265" s="10"/>
      <c r="FB265" s="10"/>
      <c r="FC265" s="10"/>
      <c r="FD265" s="10"/>
      <c r="FE265" s="10"/>
      <c r="FF265" s="10"/>
      <c r="FG265" s="10"/>
      <c r="FH265" s="10"/>
      <c r="FI265" s="10"/>
      <c r="FJ265" s="10"/>
      <c r="FK265" s="10"/>
      <c r="FL265" s="10"/>
      <c r="FM265" s="10"/>
      <c r="FN265" s="10"/>
      <c r="FO265" s="10"/>
      <c r="FP265" s="10"/>
      <c r="FQ265" s="10"/>
      <c r="FR265" s="10"/>
      <c r="FS265" s="10"/>
      <c r="FT265" s="10"/>
      <c r="FU265" s="10"/>
      <c r="FV265" s="10"/>
      <c r="FW265" s="10"/>
      <c r="FX265" s="10"/>
      <c r="FY265" s="10"/>
      <c r="FZ265" s="10"/>
      <c r="GA265" s="10"/>
      <c r="GB265" s="10"/>
      <c r="GC265" s="10"/>
      <c r="GD265" s="10"/>
      <c r="GE265" s="10"/>
      <c r="GF265" s="10"/>
      <c r="GG265" s="10"/>
      <c r="GH265" s="10"/>
      <c r="GI265" s="10"/>
      <c r="GJ265" s="10"/>
      <c r="GK265" s="10"/>
    </row>
    <row r="266" customFormat="false" ht="12.75" hidden="false" customHeight="false" outlineLevel="0" collapsed="false">
      <c r="A266" s="7"/>
      <c r="B266" s="7"/>
      <c r="C266" s="8"/>
      <c r="D266" s="8"/>
      <c r="E266" s="8"/>
      <c r="F266" s="8"/>
      <c r="G266" s="9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  <c r="CW266" s="10"/>
      <c r="CX266" s="10"/>
      <c r="CY266" s="10"/>
      <c r="CZ266" s="10"/>
      <c r="DA266" s="10"/>
      <c r="DB266" s="10"/>
      <c r="DC266" s="10"/>
      <c r="DD266" s="10"/>
      <c r="DE266" s="10"/>
      <c r="DF266" s="10"/>
      <c r="DG266" s="10"/>
      <c r="DH266" s="10"/>
      <c r="DI266" s="10"/>
      <c r="DJ266" s="10"/>
      <c r="DK266" s="10"/>
      <c r="DL266" s="10"/>
      <c r="DM266" s="10"/>
      <c r="DN266" s="10"/>
      <c r="DO266" s="10"/>
      <c r="DP266" s="10"/>
      <c r="DQ266" s="10"/>
      <c r="DR266" s="10"/>
      <c r="DS266" s="10"/>
      <c r="DT266" s="10"/>
      <c r="DU266" s="10"/>
      <c r="DV266" s="10"/>
      <c r="DW266" s="10"/>
      <c r="DX266" s="10"/>
      <c r="DY266" s="10"/>
      <c r="DZ266" s="10"/>
      <c r="EA266" s="10"/>
      <c r="EB266" s="10"/>
      <c r="EC266" s="10"/>
      <c r="ED266" s="10"/>
      <c r="EE266" s="10"/>
      <c r="EF266" s="10"/>
      <c r="EG266" s="10"/>
      <c r="EH266" s="10"/>
      <c r="EI266" s="10"/>
      <c r="EJ266" s="10"/>
      <c r="EK266" s="10"/>
      <c r="EL266" s="10"/>
      <c r="EM266" s="10"/>
      <c r="EN266" s="10"/>
      <c r="EO266" s="10"/>
      <c r="EP266" s="10"/>
      <c r="EQ266" s="10"/>
      <c r="ER266" s="10"/>
      <c r="ES266" s="10"/>
      <c r="ET266" s="10"/>
      <c r="EU266" s="10"/>
      <c r="EV266" s="10"/>
      <c r="EW266" s="10"/>
      <c r="EX266" s="10"/>
      <c r="EY266" s="10"/>
      <c r="EZ266" s="10"/>
      <c r="FA266" s="10"/>
      <c r="FB266" s="10"/>
      <c r="FC266" s="10"/>
      <c r="FD266" s="10"/>
      <c r="FE266" s="10"/>
      <c r="FF266" s="10"/>
      <c r="FG266" s="10"/>
      <c r="FH266" s="10"/>
      <c r="FI266" s="10"/>
      <c r="FJ266" s="10"/>
      <c r="FK266" s="10"/>
      <c r="FL266" s="10"/>
      <c r="FM266" s="10"/>
      <c r="FN266" s="10"/>
      <c r="FO266" s="10"/>
      <c r="FP266" s="10"/>
      <c r="FQ266" s="10"/>
      <c r="FR266" s="10"/>
      <c r="FS266" s="10"/>
      <c r="FT266" s="10"/>
      <c r="FU266" s="10"/>
      <c r="FV266" s="10"/>
      <c r="FW266" s="10"/>
      <c r="FX266" s="10"/>
      <c r="FY266" s="10"/>
      <c r="FZ266" s="10"/>
      <c r="GA266" s="10"/>
      <c r="GB266" s="10"/>
      <c r="GC266" s="10"/>
      <c r="GD266" s="10"/>
      <c r="GE266" s="10"/>
      <c r="GF266" s="10"/>
      <c r="GG266" s="10"/>
      <c r="GH266" s="10"/>
      <c r="GI266" s="10"/>
      <c r="GJ266" s="10"/>
      <c r="GK266" s="10"/>
    </row>
    <row r="267" customFormat="false" ht="12.75" hidden="false" customHeight="false" outlineLevel="0" collapsed="false">
      <c r="A267" s="7"/>
      <c r="B267" s="7"/>
      <c r="C267" s="8"/>
      <c r="D267" s="8"/>
      <c r="E267" s="8"/>
      <c r="F267" s="8"/>
      <c r="G267" s="9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  <c r="CW267" s="10"/>
      <c r="CX267" s="10"/>
      <c r="CY267" s="10"/>
      <c r="CZ267" s="10"/>
      <c r="DA267" s="10"/>
      <c r="DB267" s="10"/>
      <c r="DC267" s="10"/>
      <c r="DD267" s="10"/>
      <c r="DE267" s="10"/>
      <c r="DF267" s="10"/>
      <c r="DG267" s="10"/>
      <c r="DH267" s="10"/>
      <c r="DI267" s="10"/>
      <c r="DJ267" s="10"/>
      <c r="DK267" s="10"/>
      <c r="DL267" s="10"/>
      <c r="DM267" s="10"/>
      <c r="DN267" s="10"/>
      <c r="DO267" s="10"/>
      <c r="DP267" s="10"/>
      <c r="DQ267" s="10"/>
      <c r="DR267" s="10"/>
      <c r="DS267" s="10"/>
      <c r="DT267" s="10"/>
      <c r="DU267" s="10"/>
      <c r="DV267" s="10"/>
      <c r="DW267" s="10"/>
      <c r="DX267" s="10"/>
      <c r="DY267" s="10"/>
      <c r="DZ267" s="10"/>
      <c r="EA267" s="10"/>
      <c r="EB267" s="10"/>
      <c r="EC267" s="10"/>
      <c r="ED267" s="10"/>
      <c r="EE267" s="10"/>
      <c r="EF267" s="10"/>
      <c r="EG267" s="10"/>
      <c r="EH267" s="10"/>
      <c r="EI267" s="10"/>
      <c r="EJ267" s="10"/>
      <c r="EK267" s="10"/>
      <c r="EL267" s="10"/>
      <c r="EM267" s="10"/>
      <c r="EN267" s="10"/>
      <c r="EO267" s="10"/>
      <c r="EP267" s="10"/>
      <c r="EQ267" s="10"/>
      <c r="ER267" s="10"/>
      <c r="ES267" s="10"/>
      <c r="ET267" s="10"/>
      <c r="EU267" s="10"/>
      <c r="EV267" s="10"/>
      <c r="EW267" s="10"/>
      <c r="EX267" s="10"/>
      <c r="EY267" s="10"/>
      <c r="EZ267" s="10"/>
      <c r="FA267" s="10"/>
      <c r="FB267" s="10"/>
      <c r="FC267" s="10"/>
      <c r="FD267" s="10"/>
      <c r="FE267" s="10"/>
      <c r="FF267" s="10"/>
      <c r="FG267" s="10"/>
      <c r="FH267" s="10"/>
      <c r="FI267" s="10"/>
      <c r="FJ267" s="10"/>
      <c r="FK267" s="10"/>
      <c r="FL267" s="10"/>
      <c r="FM267" s="10"/>
      <c r="FN267" s="10"/>
      <c r="FO267" s="10"/>
      <c r="FP267" s="10"/>
      <c r="FQ267" s="10"/>
      <c r="FR267" s="10"/>
      <c r="FS267" s="10"/>
      <c r="FT267" s="10"/>
      <c r="FU267" s="10"/>
      <c r="FV267" s="10"/>
      <c r="FW267" s="10"/>
      <c r="FX267" s="10"/>
      <c r="FY267" s="10"/>
      <c r="FZ267" s="10"/>
      <c r="GA267" s="10"/>
      <c r="GB267" s="10"/>
      <c r="GC267" s="10"/>
      <c r="GD267" s="10"/>
      <c r="GE267" s="10"/>
      <c r="GF267" s="10"/>
      <c r="GG267" s="10"/>
      <c r="GH267" s="10"/>
      <c r="GI267" s="10"/>
      <c r="GJ267" s="10"/>
      <c r="GK267" s="10"/>
    </row>
    <row r="268" customFormat="false" ht="12.75" hidden="false" customHeight="false" outlineLevel="0" collapsed="false">
      <c r="A268" s="7"/>
      <c r="B268" s="7"/>
      <c r="C268" s="8"/>
      <c r="D268" s="8"/>
      <c r="E268" s="8"/>
      <c r="F268" s="8"/>
      <c r="G268" s="9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  <c r="CW268" s="10"/>
      <c r="CX268" s="10"/>
      <c r="CY268" s="10"/>
      <c r="CZ268" s="10"/>
      <c r="DA268" s="10"/>
      <c r="DB268" s="10"/>
      <c r="DC268" s="10"/>
      <c r="DD268" s="10"/>
      <c r="DE268" s="10"/>
      <c r="DF268" s="10"/>
      <c r="DG268" s="10"/>
      <c r="DH268" s="10"/>
      <c r="DI268" s="10"/>
      <c r="DJ268" s="10"/>
      <c r="DK268" s="10"/>
      <c r="DL268" s="10"/>
      <c r="DM268" s="10"/>
      <c r="DN268" s="10"/>
      <c r="DO268" s="10"/>
      <c r="DP268" s="10"/>
      <c r="DQ268" s="10"/>
      <c r="DR268" s="10"/>
      <c r="DS268" s="10"/>
      <c r="DT268" s="10"/>
      <c r="DU268" s="10"/>
      <c r="DV268" s="10"/>
      <c r="DW268" s="10"/>
      <c r="DX268" s="10"/>
      <c r="DY268" s="10"/>
      <c r="DZ268" s="10"/>
      <c r="EA268" s="10"/>
      <c r="EB268" s="10"/>
      <c r="EC268" s="10"/>
      <c r="ED268" s="10"/>
      <c r="EE268" s="10"/>
      <c r="EF268" s="10"/>
      <c r="EG268" s="10"/>
      <c r="EH268" s="10"/>
      <c r="EI268" s="10"/>
      <c r="EJ268" s="10"/>
      <c r="EK268" s="10"/>
      <c r="EL268" s="10"/>
      <c r="EM268" s="10"/>
      <c r="EN268" s="10"/>
      <c r="EO268" s="10"/>
      <c r="EP268" s="10"/>
      <c r="EQ268" s="10"/>
      <c r="ER268" s="10"/>
      <c r="ES268" s="10"/>
      <c r="ET268" s="10"/>
      <c r="EU268" s="10"/>
      <c r="EV268" s="10"/>
      <c r="EW268" s="10"/>
      <c r="EX268" s="10"/>
      <c r="EY268" s="10"/>
      <c r="EZ268" s="10"/>
      <c r="FA268" s="10"/>
      <c r="FB268" s="10"/>
      <c r="FC268" s="10"/>
      <c r="FD268" s="10"/>
      <c r="FE268" s="10"/>
      <c r="FF268" s="10"/>
      <c r="FG268" s="10"/>
      <c r="FH268" s="10"/>
      <c r="FI268" s="10"/>
      <c r="FJ268" s="10"/>
      <c r="FK268" s="10"/>
      <c r="FL268" s="10"/>
      <c r="FM268" s="10"/>
      <c r="FN268" s="10"/>
      <c r="FO268" s="10"/>
      <c r="FP268" s="10"/>
      <c r="FQ268" s="10"/>
      <c r="FR268" s="10"/>
      <c r="FS268" s="10"/>
      <c r="FT268" s="10"/>
      <c r="FU268" s="10"/>
      <c r="FV268" s="10"/>
      <c r="FW268" s="10"/>
      <c r="FX268" s="10"/>
      <c r="FY268" s="10"/>
      <c r="FZ268" s="10"/>
      <c r="GA268" s="10"/>
      <c r="GB268" s="10"/>
      <c r="GC268" s="10"/>
      <c r="GD268" s="10"/>
      <c r="GE268" s="10"/>
      <c r="GF268" s="10"/>
      <c r="GG268" s="10"/>
      <c r="GH268" s="10"/>
      <c r="GI268" s="10"/>
      <c r="GJ268" s="10"/>
      <c r="GK268" s="10"/>
    </row>
    <row r="269" customFormat="false" ht="12.75" hidden="false" customHeight="false" outlineLevel="0" collapsed="false">
      <c r="A269" s="7"/>
      <c r="B269" s="7"/>
      <c r="C269" s="8"/>
      <c r="D269" s="8"/>
      <c r="E269" s="8"/>
      <c r="F269" s="8"/>
      <c r="G269" s="9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  <c r="DC269" s="10"/>
      <c r="DD269" s="10"/>
      <c r="DE269" s="10"/>
      <c r="DF269" s="10"/>
      <c r="DG269" s="10"/>
      <c r="DH269" s="10"/>
      <c r="DI269" s="10"/>
      <c r="DJ269" s="10"/>
      <c r="DK269" s="10"/>
      <c r="DL269" s="10"/>
      <c r="DM269" s="10"/>
      <c r="DN269" s="10"/>
      <c r="DO269" s="10"/>
      <c r="DP269" s="10"/>
      <c r="DQ269" s="10"/>
      <c r="DR269" s="10"/>
      <c r="DS269" s="10"/>
      <c r="DT269" s="10"/>
      <c r="DU269" s="10"/>
      <c r="DV269" s="10"/>
      <c r="DW269" s="10"/>
      <c r="DX269" s="10"/>
      <c r="DY269" s="10"/>
      <c r="DZ269" s="10"/>
      <c r="EA269" s="10"/>
      <c r="EB269" s="10"/>
      <c r="EC269" s="10"/>
      <c r="ED269" s="10"/>
      <c r="EE269" s="10"/>
      <c r="EF269" s="10"/>
      <c r="EG269" s="10"/>
      <c r="EH269" s="10"/>
      <c r="EI269" s="10"/>
      <c r="EJ269" s="10"/>
      <c r="EK269" s="10"/>
      <c r="EL269" s="10"/>
      <c r="EM269" s="10"/>
      <c r="EN269" s="10"/>
      <c r="EO269" s="10"/>
      <c r="EP269" s="10"/>
      <c r="EQ269" s="10"/>
      <c r="ER269" s="10"/>
      <c r="ES269" s="10"/>
      <c r="ET269" s="10"/>
      <c r="EU269" s="10"/>
      <c r="EV269" s="10"/>
      <c r="EW269" s="10"/>
      <c r="EX269" s="10"/>
      <c r="EY269" s="10"/>
      <c r="EZ269" s="10"/>
      <c r="FA269" s="10"/>
      <c r="FB269" s="10"/>
      <c r="FC269" s="10"/>
      <c r="FD269" s="10"/>
      <c r="FE269" s="10"/>
      <c r="FF269" s="10"/>
      <c r="FG269" s="10"/>
      <c r="FH269" s="10"/>
      <c r="FI269" s="10"/>
      <c r="FJ269" s="10"/>
      <c r="FK269" s="10"/>
      <c r="FL269" s="10"/>
      <c r="FM269" s="10"/>
      <c r="FN269" s="10"/>
      <c r="FO269" s="10"/>
      <c r="FP269" s="10"/>
      <c r="FQ269" s="10"/>
      <c r="FR269" s="10"/>
      <c r="FS269" s="10"/>
      <c r="FT269" s="10"/>
      <c r="FU269" s="10"/>
      <c r="FV269" s="10"/>
      <c r="FW269" s="10"/>
      <c r="FX269" s="10"/>
      <c r="FY269" s="10"/>
      <c r="FZ269" s="10"/>
      <c r="GA269" s="10"/>
      <c r="GB269" s="10"/>
      <c r="GC269" s="10"/>
      <c r="GD269" s="10"/>
      <c r="GE269" s="10"/>
      <c r="GF269" s="10"/>
      <c r="GG269" s="10"/>
      <c r="GH269" s="10"/>
      <c r="GI269" s="10"/>
      <c r="GJ269" s="10"/>
      <c r="GK269" s="10"/>
    </row>
    <row r="270" customFormat="false" ht="12.75" hidden="false" customHeight="false" outlineLevel="0" collapsed="false">
      <c r="A270" s="7"/>
      <c r="B270" s="7"/>
      <c r="C270" s="8"/>
      <c r="D270" s="8"/>
      <c r="E270" s="8"/>
      <c r="F270" s="8"/>
      <c r="G270" s="9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10"/>
      <c r="CW270" s="10"/>
      <c r="CX270" s="10"/>
      <c r="CY270" s="10"/>
      <c r="CZ270" s="10"/>
      <c r="DA270" s="10"/>
      <c r="DB270" s="10"/>
      <c r="DC270" s="10"/>
      <c r="DD270" s="10"/>
      <c r="DE270" s="10"/>
      <c r="DF270" s="10"/>
      <c r="DG270" s="10"/>
      <c r="DH270" s="10"/>
      <c r="DI270" s="10"/>
      <c r="DJ270" s="10"/>
      <c r="DK270" s="10"/>
      <c r="DL270" s="10"/>
      <c r="DM270" s="10"/>
      <c r="DN270" s="10"/>
      <c r="DO270" s="10"/>
      <c r="DP270" s="10"/>
      <c r="DQ270" s="10"/>
      <c r="DR270" s="10"/>
      <c r="DS270" s="10"/>
      <c r="DT270" s="10"/>
      <c r="DU270" s="10"/>
      <c r="DV270" s="10"/>
      <c r="DW270" s="10"/>
      <c r="DX270" s="10"/>
      <c r="DY270" s="10"/>
      <c r="DZ270" s="10"/>
      <c r="EA270" s="10"/>
      <c r="EB270" s="10"/>
      <c r="EC270" s="10"/>
      <c r="ED270" s="10"/>
      <c r="EE270" s="10"/>
      <c r="EF270" s="10"/>
      <c r="EG270" s="10"/>
      <c r="EH270" s="10"/>
      <c r="EI270" s="10"/>
      <c r="EJ270" s="10"/>
      <c r="EK270" s="10"/>
      <c r="EL270" s="10"/>
      <c r="EM270" s="10"/>
      <c r="EN270" s="10"/>
      <c r="EO270" s="10"/>
      <c r="EP270" s="10"/>
      <c r="EQ270" s="10"/>
      <c r="ER270" s="10"/>
      <c r="ES270" s="10"/>
      <c r="ET270" s="10"/>
      <c r="EU270" s="10"/>
      <c r="EV270" s="10"/>
      <c r="EW270" s="10"/>
      <c r="EX270" s="10"/>
      <c r="EY270" s="10"/>
      <c r="EZ270" s="10"/>
      <c r="FA270" s="10"/>
      <c r="FB270" s="10"/>
      <c r="FC270" s="10"/>
      <c r="FD270" s="10"/>
      <c r="FE270" s="10"/>
      <c r="FF270" s="10"/>
      <c r="FG270" s="10"/>
      <c r="FH270" s="10"/>
      <c r="FI270" s="10"/>
      <c r="FJ270" s="10"/>
      <c r="FK270" s="10"/>
      <c r="FL270" s="10"/>
      <c r="FM270" s="10"/>
      <c r="FN270" s="10"/>
      <c r="FO270" s="10"/>
      <c r="FP270" s="10"/>
      <c r="FQ270" s="10"/>
      <c r="FR270" s="10"/>
      <c r="FS270" s="10"/>
      <c r="FT270" s="10"/>
      <c r="FU270" s="10"/>
      <c r="FV270" s="10"/>
      <c r="FW270" s="10"/>
      <c r="FX270" s="10"/>
      <c r="FY270" s="10"/>
      <c r="FZ270" s="10"/>
      <c r="GA270" s="10"/>
      <c r="GB270" s="10"/>
      <c r="GC270" s="10"/>
      <c r="GD270" s="10"/>
      <c r="GE270" s="10"/>
      <c r="GF270" s="10"/>
      <c r="GG270" s="10"/>
      <c r="GH270" s="10"/>
      <c r="GI270" s="10"/>
      <c r="GJ270" s="10"/>
      <c r="GK270" s="10"/>
    </row>
    <row r="271" customFormat="false" ht="12.75" hidden="false" customHeight="false" outlineLevel="0" collapsed="false">
      <c r="A271" s="7"/>
      <c r="B271" s="7"/>
      <c r="C271" s="8"/>
      <c r="D271" s="8"/>
      <c r="E271" s="8"/>
      <c r="F271" s="8"/>
      <c r="G271" s="9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  <c r="CW271" s="10"/>
      <c r="CX271" s="10"/>
      <c r="CY271" s="10"/>
      <c r="CZ271" s="10"/>
      <c r="DA271" s="10"/>
      <c r="DB271" s="10"/>
      <c r="DC271" s="10"/>
      <c r="DD271" s="10"/>
      <c r="DE271" s="10"/>
      <c r="DF271" s="10"/>
      <c r="DG271" s="10"/>
      <c r="DH271" s="10"/>
      <c r="DI271" s="10"/>
      <c r="DJ271" s="10"/>
      <c r="DK271" s="10"/>
      <c r="DL271" s="10"/>
      <c r="DM271" s="10"/>
      <c r="DN271" s="10"/>
      <c r="DO271" s="10"/>
      <c r="DP271" s="10"/>
      <c r="DQ271" s="10"/>
      <c r="DR271" s="10"/>
      <c r="DS271" s="10"/>
      <c r="DT271" s="10"/>
      <c r="DU271" s="10"/>
      <c r="DV271" s="10"/>
      <c r="DW271" s="10"/>
      <c r="DX271" s="10"/>
      <c r="DY271" s="10"/>
      <c r="DZ271" s="10"/>
      <c r="EA271" s="10"/>
      <c r="EB271" s="10"/>
      <c r="EC271" s="10"/>
      <c r="ED271" s="10"/>
      <c r="EE271" s="10"/>
      <c r="EF271" s="10"/>
      <c r="EG271" s="10"/>
      <c r="EH271" s="10"/>
      <c r="EI271" s="10"/>
      <c r="EJ271" s="10"/>
      <c r="EK271" s="10"/>
      <c r="EL271" s="10"/>
      <c r="EM271" s="10"/>
      <c r="EN271" s="10"/>
      <c r="EO271" s="10"/>
      <c r="EP271" s="10"/>
      <c r="EQ271" s="10"/>
      <c r="ER271" s="10"/>
      <c r="ES271" s="10"/>
      <c r="ET271" s="10"/>
      <c r="EU271" s="10"/>
      <c r="EV271" s="10"/>
      <c r="EW271" s="10"/>
      <c r="EX271" s="10"/>
      <c r="EY271" s="10"/>
      <c r="EZ271" s="10"/>
      <c r="FA271" s="10"/>
      <c r="FB271" s="10"/>
      <c r="FC271" s="10"/>
      <c r="FD271" s="10"/>
      <c r="FE271" s="10"/>
      <c r="FF271" s="10"/>
      <c r="FG271" s="10"/>
      <c r="FH271" s="10"/>
      <c r="FI271" s="10"/>
      <c r="FJ271" s="10"/>
      <c r="FK271" s="10"/>
      <c r="FL271" s="10"/>
      <c r="FM271" s="10"/>
      <c r="FN271" s="10"/>
      <c r="FO271" s="10"/>
      <c r="FP271" s="10"/>
      <c r="FQ271" s="10"/>
      <c r="FR271" s="10"/>
      <c r="FS271" s="10"/>
      <c r="FT271" s="10"/>
      <c r="FU271" s="10"/>
      <c r="FV271" s="10"/>
      <c r="FW271" s="10"/>
      <c r="FX271" s="10"/>
      <c r="FY271" s="10"/>
      <c r="FZ271" s="10"/>
      <c r="GA271" s="10"/>
      <c r="GB271" s="10"/>
      <c r="GC271" s="10"/>
      <c r="GD271" s="10"/>
      <c r="GE271" s="10"/>
      <c r="GF271" s="10"/>
      <c r="GG271" s="10"/>
      <c r="GH271" s="10"/>
      <c r="GI271" s="10"/>
      <c r="GJ271" s="10"/>
      <c r="GK271" s="10"/>
    </row>
    <row r="272" customFormat="false" ht="12.75" hidden="false" customHeight="false" outlineLevel="0" collapsed="false">
      <c r="A272" s="7"/>
      <c r="B272" s="7"/>
      <c r="C272" s="8"/>
      <c r="D272" s="8"/>
      <c r="E272" s="8"/>
      <c r="F272" s="8"/>
      <c r="G272" s="9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10"/>
      <c r="CW272" s="10"/>
      <c r="CX272" s="10"/>
      <c r="CY272" s="10"/>
      <c r="CZ272" s="10"/>
      <c r="DA272" s="10"/>
      <c r="DB272" s="10"/>
      <c r="DC272" s="10"/>
      <c r="DD272" s="10"/>
      <c r="DE272" s="10"/>
      <c r="DF272" s="10"/>
      <c r="DG272" s="10"/>
      <c r="DH272" s="10"/>
      <c r="DI272" s="10"/>
      <c r="DJ272" s="10"/>
      <c r="DK272" s="10"/>
      <c r="DL272" s="10"/>
      <c r="DM272" s="10"/>
      <c r="DN272" s="10"/>
      <c r="DO272" s="10"/>
      <c r="DP272" s="10"/>
      <c r="DQ272" s="10"/>
      <c r="DR272" s="10"/>
      <c r="DS272" s="10"/>
      <c r="DT272" s="10"/>
      <c r="DU272" s="10"/>
      <c r="DV272" s="10"/>
      <c r="DW272" s="10"/>
      <c r="DX272" s="10"/>
      <c r="DY272" s="10"/>
      <c r="DZ272" s="10"/>
      <c r="EA272" s="10"/>
      <c r="EB272" s="10"/>
      <c r="EC272" s="10"/>
      <c r="ED272" s="10"/>
      <c r="EE272" s="10"/>
      <c r="EF272" s="10"/>
      <c r="EG272" s="10"/>
      <c r="EH272" s="10"/>
      <c r="EI272" s="10"/>
      <c r="EJ272" s="10"/>
      <c r="EK272" s="10"/>
      <c r="EL272" s="10"/>
      <c r="EM272" s="10"/>
      <c r="EN272" s="10"/>
      <c r="EO272" s="10"/>
      <c r="EP272" s="10"/>
      <c r="EQ272" s="10"/>
      <c r="ER272" s="10"/>
      <c r="ES272" s="10"/>
      <c r="ET272" s="10"/>
      <c r="EU272" s="10"/>
      <c r="EV272" s="10"/>
      <c r="EW272" s="10"/>
      <c r="EX272" s="10"/>
      <c r="EY272" s="10"/>
      <c r="EZ272" s="10"/>
      <c r="FA272" s="10"/>
      <c r="FB272" s="10"/>
      <c r="FC272" s="10"/>
      <c r="FD272" s="10"/>
      <c r="FE272" s="10"/>
      <c r="FF272" s="10"/>
      <c r="FG272" s="10"/>
      <c r="FH272" s="10"/>
      <c r="FI272" s="10"/>
      <c r="FJ272" s="10"/>
      <c r="FK272" s="10"/>
      <c r="FL272" s="10"/>
      <c r="FM272" s="10"/>
      <c r="FN272" s="10"/>
      <c r="FO272" s="10"/>
      <c r="FP272" s="10"/>
      <c r="FQ272" s="10"/>
      <c r="FR272" s="10"/>
      <c r="FS272" s="10"/>
      <c r="FT272" s="10"/>
      <c r="FU272" s="10"/>
      <c r="FV272" s="10"/>
      <c r="FW272" s="10"/>
      <c r="FX272" s="10"/>
      <c r="FY272" s="10"/>
      <c r="FZ272" s="10"/>
      <c r="GA272" s="10"/>
      <c r="GB272" s="10"/>
      <c r="GC272" s="10"/>
      <c r="GD272" s="10"/>
      <c r="GE272" s="10"/>
      <c r="GF272" s="10"/>
      <c r="GG272" s="10"/>
      <c r="GH272" s="10"/>
      <c r="GI272" s="10"/>
      <c r="GJ272" s="10"/>
      <c r="GK272" s="10"/>
    </row>
    <row r="273" customFormat="false" ht="12.75" hidden="false" customHeight="false" outlineLevel="0" collapsed="false">
      <c r="A273" s="7"/>
      <c r="B273" s="7"/>
      <c r="C273" s="8"/>
      <c r="D273" s="8"/>
      <c r="E273" s="8"/>
      <c r="F273" s="8"/>
      <c r="G273" s="9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10"/>
      <c r="CW273" s="10"/>
      <c r="CX273" s="10"/>
      <c r="CY273" s="10"/>
      <c r="CZ273" s="10"/>
      <c r="DA273" s="10"/>
      <c r="DB273" s="10"/>
      <c r="DC273" s="10"/>
      <c r="DD273" s="10"/>
      <c r="DE273" s="10"/>
      <c r="DF273" s="10"/>
      <c r="DG273" s="10"/>
      <c r="DH273" s="10"/>
      <c r="DI273" s="10"/>
      <c r="DJ273" s="10"/>
      <c r="DK273" s="10"/>
      <c r="DL273" s="10"/>
      <c r="DM273" s="10"/>
      <c r="DN273" s="10"/>
      <c r="DO273" s="10"/>
      <c r="DP273" s="10"/>
      <c r="DQ273" s="10"/>
      <c r="DR273" s="10"/>
      <c r="DS273" s="10"/>
      <c r="DT273" s="10"/>
      <c r="DU273" s="10"/>
      <c r="DV273" s="10"/>
      <c r="DW273" s="10"/>
      <c r="DX273" s="10"/>
      <c r="DY273" s="10"/>
      <c r="DZ273" s="10"/>
      <c r="EA273" s="10"/>
      <c r="EB273" s="10"/>
      <c r="EC273" s="10"/>
      <c r="ED273" s="10"/>
      <c r="EE273" s="10"/>
      <c r="EF273" s="10"/>
      <c r="EG273" s="10"/>
      <c r="EH273" s="10"/>
      <c r="EI273" s="10"/>
      <c r="EJ273" s="10"/>
      <c r="EK273" s="10"/>
      <c r="EL273" s="10"/>
      <c r="EM273" s="10"/>
      <c r="EN273" s="10"/>
      <c r="EO273" s="10"/>
      <c r="EP273" s="10"/>
      <c r="EQ273" s="10"/>
      <c r="ER273" s="10"/>
      <c r="ES273" s="10"/>
      <c r="ET273" s="10"/>
      <c r="EU273" s="10"/>
      <c r="EV273" s="10"/>
      <c r="EW273" s="10"/>
      <c r="EX273" s="10"/>
      <c r="EY273" s="10"/>
      <c r="EZ273" s="10"/>
      <c r="FA273" s="10"/>
      <c r="FB273" s="10"/>
      <c r="FC273" s="10"/>
      <c r="FD273" s="10"/>
      <c r="FE273" s="10"/>
      <c r="FF273" s="10"/>
      <c r="FG273" s="10"/>
      <c r="FH273" s="10"/>
      <c r="FI273" s="10"/>
      <c r="FJ273" s="10"/>
      <c r="FK273" s="10"/>
      <c r="FL273" s="10"/>
      <c r="FM273" s="10"/>
      <c r="FN273" s="10"/>
      <c r="FO273" s="10"/>
      <c r="FP273" s="10"/>
      <c r="FQ273" s="10"/>
      <c r="FR273" s="10"/>
      <c r="FS273" s="10"/>
      <c r="FT273" s="10"/>
      <c r="FU273" s="10"/>
      <c r="FV273" s="10"/>
      <c r="FW273" s="10"/>
      <c r="FX273" s="10"/>
      <c r="FY273" s="10"/>
      <c r="FZ273" s="10"/>
      <c r="GA273" s="10"/>
      <c r="GB273" s="10"/>
      <c r="GC273" s="10"/>
      <c r="GD273" s="10"/>
      <c r="GE273" s="10"/>
      <c r="GF273" s="10"/>
      <c r="GG273" s="10"/>
      <c r="GH273" s="10"/>
      <c r="GI273" s="10"/>
      <c r="GJ273" s="10"/>
      <c r="GK273" s="10"/>
    </row>
    <row r="274" customFormat="false" ht="12.75" hidden="false" customHeight="false" outlineLevel="0" collapsed="false">
      <c r="A274" s="7"/>
      <c r="B274" s="7"/>
      <c r="C274" s="8"/>
      <c r="D274" s="8"/>
      <c r="E274" s="8"/>
      <c r="F274" s="8"/>
      <c r="G274" s="9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10"/>
      <c r="CW274" s="10"/>
      <c r="CX274" s="10"/>
      <c r="CY274" s="10"/>
      <c r="CZ274" s="10"/>
      <c r="DA274" s="10"/>
      <c r="DB274" s="10"/>
      <c r="DC274" s="10"/>
      <c r="DD274" s="10"/>
      <c r="DE274" s="10"/>
      <c r="DF274" s="10"/>
      <c r="DG274" s="10"/>
      <c r="DH274" s="10"/>
      <c r="DI274" s="10"/>
      <c r="DJ274" s="10"/>
      <c r="DK274" s="10"/>
      <c r="DL274" s="10"/>
      <c r="DM274" s="10"/>
      <c r="DN274" s="10"/>
      <c r="DO274" s="10"/>
      <c r="DP274" s="10"/>
      <c r="DQ274" s="10"/>
      <c r="DR274" s="10"/>
      <c r="DS274" s="10"/>
      <c r="DT274" s="10"/>
      <c r="DU274" s="10"/>
      <c r="DV274" s="10"/>
      <c r="DW274" s="10"/>
      <c r="DX274" s="10"/>
      <c r="DY274" s="10"/>
      <c r="DZ274" s="10"/>
      <c r="EA274" s="10"/>
      <c r="EB274" s="10"/>
      <c r="EC274" s="10"/>
      <c r="ED274" s="10"/>
      <c r="EE274" s="10"/>
      <c r="EF274" s="10"/>
      <c r="EG274" s="10"/>
      <c r="EH274" s="10"/>
      <c r="EI274" s="10"/>
      <c r="EJ274" s="10"/>
      <c r="EK274" s="10"/>
      <c r="EL274" s="10"/>
      <c r="EM274" s="10"/>
      <c r="EN274" s="10"/>
      <c r="EO274" s="10"/>
      <c r="EP274" s="10"/>
      <c r="EQ274" s="10"/>
      <c r="ER274" s="10"/>
      <c r="ES274" s="10"/>
      <c r="ET274" s="10"/>
      <c r="EU274" s="10"/>
      <c r="EV274" s="10"/>
      <c r="EW274" s="10"/>
      <c r="EX274" s="10"/>
      <c r="EY274" s="10"/>
      <c r="EZ274" s="10"/>
      <c r="FA274" s="10"/>
      <c r="FB274" s="10"/>
      <c r="FC274" s="10"/>
      <c r="FD274" s="10"/>
      <c r="FE274" s="10"/>
      <c r="FF274" s="10"/>
      <c r="FG274" s="10"/>
      <c r="FH274" s="10"/>
      <c r="FI274" s="10"/>
      <c r="FJ274" s="10"/>
      <c r="FK274" s="10"/>
      <c r="FL274" s="10"/>
      <c r="FM274" s="10"/>
      <c r="FN274" s="10"/>
      <c r="FO274" s="10"/>
      <c r="FP274" s="10"/>
      <c r="FQ274" s="10"/>
      <c r="FR274" s="10"/>
      <c r="FS274" s="10"/>
      <c r="FT274" s="10"/>
      <c r="FU274" s="10"/>
      <c r="FV274" s="10"/>
      <c r="FW274" s="10"/>
      <c r="FX274" s="10"/>
      <c r="FY274" s="10"/>
      <c r="FZ274" s="10"/>
      <c r="GA274" s="10"/>
      <c r="GB274" s="10"/>
      <c r="GC274" s="10"/>
      <c r="GD274" s="10"/>
      <c r="GE274" s="10"/>
      <c r="GF274" s="10"/>
      <c r="GG274" s="10"/>
      <c r="GH274" s="10"/>
      <c r="GI274" s="10"/>
      <c r="GJ274" s="10"/>
      <c r="GK274" s="10"/>
    </row>
    <row r="275" customFormat="false" ht="12.75" hidden="false" customHeight="false" outlineLevel="0" collapsed="false">
      <c r="A275" s="7"/>
      <c r="B275" s="7"/>
      <c r="C275" s="8"/>
      <c r="D275" s="8"/>
      <c r="E275" s="8"/>
      <c r="F275" s="8"/>
      <c r="G275" s="9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  <c r="CV275" s="10"/>
      <c r="CW275" s="10"/>
      <c r="CX275" s="10"/>
      <c r="CY275" s="10"/>
      <c r="CZ275" s="10"/>
      <c r="DA275" s="10"/>
      <c r="DB275" s="10"/>
      <c r="DC275" s="10"/>
      <c r="DD275" s="10"/>
      <c r="DE275" s="10"/>
      <c r="DF275" s="10"/>
      <c r="DG275" s="10"/>
      <c r="DH275" s="10"/>
      <c r="DI275" s="10"/>
      <c r="DJ275" s="10"/>
      <c r="DK275" s="10"/>
      <c r="DL275" s="10"/>
      <c r="DM275" s="10"/>
      <c r="DN275" s="10"/>
      <c r="DO275" s="10"/>
      <c r="DP275" s="10"/>
      <c r="DQ275" s="10"/>
      <c r="DR275" s="10"/>
      <c r="DS275" s="10"/>
      <c r="DT275" s="10"/>
      <c r="DU275" s="10"/>
      <c r="DV275" s="10"/>
      <c r="DW275" s="10"/>
      <c r="DX275" s="10"/>
      <c r="DY275" s="10"/>
      <c r="DZ275" s="10"/>
      <c r="EA275" s="10"/>
      <c r="EB275" s="10"/>
      <c r="EC275" s="10"/>
      <c r="ED275" s="10"/>
      <c r="EE275" s="10"/>
      <c r="EF275" s="10"/>
      <c r="EG275" s="10"/>
      <c r="EH275" s="10"/>
      <c r="EI275" s="10"/>
      <c r="EJ275" s="10"/>
      <c r="EK275" s="10"/>
      <c r="EL275" s="10"/>
      <c r="EM275" s="10"/>
      <c r="EN275" s="10"/>
      <c r="EO275" s="10"/>
      <c r="EP275" s="10"/>
      <c r="EQ275" s="10"/>
      <c r="ER275" s="10"/>
      <c r="ES275" s="10"/>
      <c r="ET275" s="10"/>
      <c r="EU275" s="10"/>
      <c r="EV275" s="10"/>
      <c r="EW275" s="10"/>
      <c r="EX275" s="10"/>
      <c r="EY275" s="10"/>
      <c r="EZ275" s="10"/>
      <c r="FA275" s="10"/>
      <c r="FB275" s="10"/>
      <c r="FC275" s="10"/>
      <c r="FD275" s="10"/>
      <c r="FE275" s="10"/>
      <c r="FF275" s="10"/>
      <c r="FG275" s="10"/>
      <c r="FH275" s="10"/>
      <c r="FI275" s="10"/>
      <c r="FJ275" s="10"/>
      <c r="FK275" s="10"/>
      <c r="FL275" s="10"/>
      <c r="FM275" s="10"/>
      <c r="FN275" s="10"/>
      <c r="FO275" s="10"/>
      <c r="FP275" s="10"/>
      <c r="FQ275" s="10"/>
      <c r="FR275" s="10"/>
      <c r="FS275" s="10"/>
      <c r="FT275" s="10"/>
      <c r="FU275" s="10"/>
      <c r="FV275" s="10"/>
      <c r="FW275" s="10"/>
      <c r="FX275" s="10"/>
      <c r="FY275" s="10"/>
      <c r="FZ275" s="10"/>
      <c r="GA275" s="10"/>
      <c r="GB275" s="10"/>
      <c r="GC275" s="10"/>
      <c r="GD275" s="10"/>
      <c r="GE275" s="10"/>
      <c r="GF275" s="10"/>
      <c r="GG275" s="10"/>
      <c r="GH275" s="10"/>
      <c r="GI275" s="10"/>
      <c r="GJ275" s="10"/>
      <c r="GK275" s="10"/>
    </row>
    <row r="276" customFormat="false" ht="12.75" hidden="false" customHeight="false" outlineLevel="0" collapsed="false">
      <c r="A276" s="7"/>
      <c r="B276" s="7"/>
      <c r="C276" s="8"/>
      <c r="D276" s="8"/>
      <c r="E276" s="8"/>
      <c r="F276" s="8"/>
      <c r="G276" s="9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  <c r="CV276" s="10"/>
      <c r="CW276" s="10"/>
      <c r="CX276" s="10"/>
      <c r="CY276" s="10"/>
      <c r="CZ276" s="10"/>
      <c r="DA276" s="10"/>
      <c r="DB276" s="10"/>
      <c r="DC276" s="10"/>
      <c r="DD276" s="10"/>
      <c r="DE276" s="10"/>
      <c r="DF276" s="10"/>
      <c r="DG276" s="10"/>
      <c r="DH276" s="10"/>
      <c r="DI276" s="10"/>
      <c r="DJ276" s="10"/>
      <c r="DK276" s="10"/>
      <c r="DL276" s="10"/>
      <c r="DM276" s="10"/>
      <c r="DN276" s="10"/>
      <c r="DO276" s="10"/>
      <c r="DP276" s="10"/>
      <c r="DQ276" s="10"/>
      <c r="DR276" s="10"/>
      <c r="DS276" s="10"/>
      <c r="DT276" s="10"/>
      <c r="DU276" s="10"/>
      <c r="DV276" s="10"/>
      <c r="DW276" s="10"/>
      <c r="DX276" s="10"/>
      <c r="DY276" s="10"/>
      <c r="DZ276" s="10"/>
      <c r="EA276" s="10"/>
      <c r="EB276" s="10"/>
      <c r="EC276" s="10"/>
      <c r="ED276" s="10"/>
      <c r="EE276" s="10"/>
      <c r="EF276" s="10"/>
      <c r="EG276" s="10"/>
      <c r="EH276" s="10"/>
      <c r="EI276" s="10"/>
      <c r="EJ276" s="10"/>
      <c r="EK276" s="10"/>
      <c r="EL276" s="10"/>
      <c r="EM276" s="10"/>
      <c r="EN276" s="10"/>
      <c r="EO276" s="10"/>
      <c r="EP276" s="10"/>
      <c r="EQ276" s="10"/>
      <c r="ER276" s="10"/>
      <c r="ES276" s="10"/>
      <c r="ET276" s="10"/>
      <c r="EU276" s="10"/>
      <c r="EV276" s="10"/>
      <c r="EW276" s="10"/>
      <c r="EX276" s="10"/>
      <c r="EY276" s="10"/>
      <c r="EZ276" s="10"/>
      <c r="FA276" s="10"/>
      <c r="FB276" s="10"/>
      <c r="FC276" s="10"/>
      <c r="FD276" s="10"/>
      <c r="FE276" s="10"/>
      <c r="FF276" s="10"/>
      <c r="FG276" s="10"/>
      <c r="FH276" s="10"/>
      <c r="FI276" s="10"/>
      <c r="FJ276" s="10"/>
      <c r="FK276" s="10"/>
      <c r="FL276" s="10"/>
      <c r="FM276" s="10"/>
      <c r="FN276" s="10"/>
      <c r="FO276" s="10"/>
      <c r="FP276" s="10"/>
      <c r="FQ276" s="10"/>
      <c r="FR276" s="10"/>
      <c r="FS276" s="10"/>
      <c r="FT276" s="10"/>
      <c r="FU276" s="10"/>
      <c r="FV276" s="10"/>
      <c r="FW276" s="10"/>
      <c r="FX276" s="10"/>
      <c r="FY276" s="10"/>
      <c r="FZ276" s="10"/>
      <c r="GA276" s="10"/>
      <c r="GB276" s="10"/>
      <c r="GC276" s="10"/>
      <c r="GD276" s="10"/>
      <c r="GE276" s="10"/>
      <c r="GF276" s="10"/>
      <c r="GG276" s="10"/>
      <c r="GH276" s="10"/>
      <c r="GI276" s="10"/>
      <c r="GJ276" s="10"/>
      <c r="GK276" s="10"/>
    </row>
    <row r="277" customFormat="false" ht="12.75" hidden="false" customHeight="false" outlineLevel="0" collapsed="false">
      <c r="A277" s="7"/>
      <c r="B277" s="7"/>
      <c r="C277" s="8"/>
      <c r="D277" s="8"/>
      <c r="E277" s="8"/>
      <c r="F277" s="8"/>
      <c r="G277" s="9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  <c r="CV277" s="10"/>
      <c r="CW277" s="10"/>
      <c r="CX277" s="10"/>
      <c r="CY277" s="10"/>
      <c r="CZ277" s="10"/>
      <c r="DA277" s="10"/>
      <c r="DB277" s="10"/>
      <c r="DC277" s="10"/>
      <c r="DD277" s="10"/>
      <c r="DE277" s="10"/>
      <c r="DF277" s="10"/>
      <c r="DG277" s="10"/>
      <c r="DH277" s="10"/>
      <c r="DI277" s="10"/>
      <c r="DJ277" s="10"/>
      <c r="DK277" s="10"/>
      <c r="DL277" s="10"/>
      <c r="DM277" s="10"/>
      <c r="DN277" s="10"/>
      <c r="DO277" s="10"/>
      <c r="DP277" s="10"/>
      <c r="DQ277" s="10"/>
      <c r="DR277" s="10"/>
      <c r="DS277" s="10"/>
      <c r="DT277" s="10"/>
      <c r="DU277" s="10"/>
      <c r="DV277" s="10"/>
      <c r="DW277" s="10"/>
      <c r="DX277" s="10"/>
      <c r="DY277" s="10"/>
      <c r="DZ277" s="10"/>
      <c r="EA277" s="10"/>
      <c r="EB277" s="10"/>
      <c r="EC277" s="10"/>
      <c r="ED277" s="10"/>
      <c r="EE277" s="10"/>
      <c r="EF277" s="10"/>
      <c r="EG277" s="10"/>
      <c r="EH277" s="10"/>
      <c r="EI277" s="10"/>
      <c r="EJ277" s="10"/>
      <c r="EK277" s="10"/>
      <c r="EL277" s="10"/>
      <c r="EM277" s="10"/>
      <c r="EN277" s="10"/>
      <c r="EO277" s="10"/>
      <c r="EP277" s="10"/>
      <c r="EQ277" s="10"/>
      <c r="ER277" s="10"/>
      <c r="ES277" s="10"/>
      <c r="ET277" s="10"/>
      <c r="EU277" s="10"/>
      <c r="EV277" s="10"/>
      <c r="EW277" s="10"/>
      <c r="EX277" s="10"/>
      <c r="EY277" s="10"/>
      <c r="EZ277" s="10"/>
      <c r="FA277" s="10"/>
      <c r="FB277" s="10"/>
      <c r="FC277" s="10"/>
      <c r="FD277" s="10"/>
      <c r="FE277" s="10"/>
      <c r="FF277" s="10"/>
      <c r="FG277" s="10"/>
      <c r="FH277" s="10"/>
      <c r="FI277" s="10"/>
      <c r="FJ277" s="10"/>
      <c r="FK277" s="10"/>
      <c r="FL277" s="10"/>
      <c r="FM277" s="10"/>
      <c r="FN277" s="10"/>
      <c r="FO277" s="10"/>
      <c r="FP277" s="10"/>
      <c r="FQ277" s="10"/>
      <c r="FR277" s="10"/>
      <c r="FS277" s="10"/>
      <c r="FT277" s="10"/>
      <c r="FU277" s="10"/>
      <c r="FV277" s="10"/>
      <c r="FW277" s="10"/>
      <c r="FX277" s="10"/>
      <c r="FY277" s="10"/>
      <c r="FZ277" s="10"/>
      <c r="GA277" s="10"/>
      <c r="GB277" s="10"/>
      <c r="GC277" s="10"/>
      <c r="GD277" s="10"/>
      <c r="GE277" s="10"/>
      <c r="GF277" s="10"/>
      <c r="GG277" s="10"/>
      <c r="GH277" s="10"/>
      <c r="GI277" s="10"/>
      <c r="GJ277" s="10"/>
      <c r="GK277" s="10"/>
    </row>
    <row r="278" customFormat="false" ht="12.75" hidden="false" customHeight="false" outlineLevel="0" collapsed="false">
      <c r="A278" s="7"/>
      <c r="B278" s="7"/>
      <c r="C278" s="8"/>
      <c r="D278" s="8"/>
      <c r="E278" s="8"/>
      <c r="F278" s="8"/>
      <c r="G278" s="9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  <c r="CV278" s="10"/>
      <c r="CW278" s="10"/>
      <c r="CX278" s="10"/>
      <c r="CY278" s="10"/>
      <c r="CZ278" s="10"/>
      <c r="DA278" s="10"/>
      <c r="DB278" s="10"/>
      <c r="DC278" s="10"/>
      <c r="DD278" s="10"/>
      <c r="DE278" s="10"/>
      <c r="DF278" s="10"/>
      <c r="DG278" s="10"/>
      <c r="DH278" s="10"/>
      <c r="DI278" s="10"/>
      <c r="DJ278" s="10"/>
      <c r="DK278" s="10"/>
      <c r="DL278" s="10"/>
      <c r="DM278" s="10"/>
      <c r="DN278" s="10"/>
      <c r="DO278" s="10"/>
      <c r="DP278" s="10"/>
      <c r="DQ278" s="10"/>
      <c r="DR278" s="10"/>
      <c r="DS278" s="10"/>
      <c r="DT278" s="10"/>
      <c r="DU278" s="10"/>
      <c r="DV278" s="10"/>
      <c r="DW278" s="10"/>
      <c r="DX278" s="10"/>
      <c r="DY278" s="10"/>
      <c r="DZ278" s="10"/>
      <c r="EA278" s="10"/>
      <c r="EB278" s="10"/>
      <c r="EC278" s="10"/>
      <c r="ED278" s="10"/>
      <c r="EE278" s="10"/>
      <c r="EF278" s="10"/>
      <c r="EG278" s="10"/>
      <c r="EH278" s="10"/>
      <c r="EI278" s="10"/>
      <c r="EJ278" s="10"/>
      <c r="EK278" s="10"/>
      <c r="EL278" s="10"/>
      <c r="EM278" s="10"/>
      <c r="EN278" s="10"/>
      <c r="EO278" s="10"/>
      <c r="EP278" s="10"/>
      <c r="EQ278" s="10"/>
      <c r="ER278" s="10"/>
      <c r="ES278" s="10"/>
      <c r="ET278" s="10"/>
      <c r="EU278" s="10"/>
      <c r="EV278" s="10"/>
      <c r="EW278" s="10"/>
      <c r="EX278" s="10"/>
      <c r="EY278" s="10"/>
      <c r="EZ278" s="10"/>
      <c r="FA278" s="10"/>
      <c r="FB278" s="10"/>
      <c r="FC278" s="10"/>
      <c r="FD278" s="10"/>
      <c r="FE278" s="10"/>
      <c r="FF278" s="10"/>
      <c r="FG278" s="10"/>
      <c r="FH278" s="10"/>
      <c r="FI278" s="10"/>
      <c r="FJ278" s="10"/>
      <c r="FK278" s="10"/>
      <c r="FL278" s="10"/>
      <c r="FM278" s="10"/>
      <c r="FN278" s="10"/>
      <c r="FO278" s="10"/>
      <c r="FP278" s="10"/>
      <c r="FQ278" s="10"/>
      <c r="FR278" s="10"/>
      <c r="FS278" s="10"/>
      <c r="FT278" s="10"/>
      <c r="FU278" s="10"/>
      <c r="FV278" s="10"/>
      <c r="FW278" s="10"/>
      <c r="FX278" s="10"/>
      <c r="FY278" s="10"/>
      <c r="FZ278" s="10"/>
      <c r="GA278" s="10"/>
      <c r="GB278" s="10"/>
      <c r="GC278" s="10"/>
      <c r="GD278" s="10"/>
      <c r="GE278" s="10"/>
      <c r="GF278" s="10"/>
      <c r="GG278" s="10"/>
      <c r="GH278" s="10"/>
      <c r="GI278" s="10"/>
      <c r="GJ278" s="10"/>
      <c r="GK278" s="10"/>
    </row>
    <row r="279" customFormat="false" ht="12.75" hidden="false" customHeight="false" outlineLevel="0" collapsed="false">
      <c r="A279" s="7"/>
      <c r="B279" s="7"/>
      <c r="C279" s="8"/>
      <c r="D279" s="8"/>
      <c r="E279" s="8"/>
      <c r="F279" s="8"/>
      <c r="G279" s="9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  <c r="CV279" s="10"/>
      <c r="CW279" s="10"/>
      <c r="CX279" s="10"/>
      <c r="CY279" s="10"/>
      <c r="CZ279" s="10"/>
      <c r="DA279" s="10"/>
      <c r="DB279" s="10"/>
      <c r="DC279" s="10"/>
      <c r="DD279" s="10"/>
      <c r="DE279" s="10"/>
      <c r="DF279" s="10"/>
      <c r="DG279" s="10"/>
      <c r="DH279" s="10"/>
      <c r="DI279" s="10"/>
      <c r="DJ279" s="10"/>
      <c r="DK279" s="10"/>
      <c r="DL279" s="10"/>
      <c r="DM279" s="10"/>
      <c r="DN279" s="10"/>
      <c r="DO279" s="10"/>
      <c r="DP279" s="10"/>
      <c r="DQ279" s="10"/>
      <c r="DR279" s="10"/>
      <c r="DS279" s="10"/>
      <c r="DT279" s="10"/>
      <c r="DU279" s="10"/>
      <c r="DV279" s="10"/>
      <c r="DW279" s="10"/>
      <c r="DX279" s="10"/>
      <c r="DY279" s="10"/>
      <c r="DZ279" s="10"/>
      <c r="EA279" s="10"/>
      <c r="EB279" s="10"/>
      <c r="EC279" s="10"/>
      <c r="ED279" s="10"/>
      <c r="EE279" s="10"/>
      <c r="EF279" s="10"/>
      <c r="EG279" s="10"/>
      <c r="EH279" s="10"/>
      <c r="EI279" s="10"/>
      <c r="EJ279" s="10"/>
      <c r="EK279" s="10"/>
      <c r="EL279" s="10"/>
      <c r="EM279" s="10"/>
      <c r="EN279" s="10"/>
      <c r="EO279" s="10"/>
      <c r="EP279" s="10"/>
      <c r="EQ279" s="10"/>
      <c r="ER279" s="10"/>
      <c r="ES279" s="10"/>
      <c r="ET279" s="10"/>
      <c r="EU279" s="10"/>
      <c r="EV279" s="10"/>
      <c r="EW279" s="10"/>
      <c r="EX279" s="10"/>
      <c r="EY279" s="10"/>
      <c r="EZ279" s="10"/>
      <c r="FA279" s="10"/>
      <c r="FB279" s="10"/>
      <c r="FC279" s="10"/>
      <c r="FD279" s="10"/>
      <c r="FE279" s="10"/>
      <c r="FF279" s="10"/>
      <c r="FG279" s="10"/>
      <c r="FH279" s="10"/>
      <c r="FI279" s="10"/>
      <c r="FJ279" s="10"/>
      <c r="FK279" s="10"/>
      <c r="FL279" s="10"/>
      <c r="FM279" s="10"/>
      <c r="FN279" s="10"/>
      <c r="FO279" s="10"/>
      <c r="FP279" s="10"/>
      <c r="FQ279" s="10"/>
      <c r="FR279" s="10"/>
      <c r="FS279" s="10"/>
      <c r="FT279" s="10"/>
      <c r="FU279" s="10"/>
      <c r="FV279" s="10"/>
      <c r="FW279" s="10"/>
      <c r="FX279" s="10"/>
      <c r="FY279" s="10"/>
      <c r="FZ279" s="10"/>
      <c r="GA279" s="10"/>
      <c r="GB279" s="10"/>
      <c r="GC279" s="10"/>
      <c r="GD279" s="10"/>
      <c r="GE279" s="10"/>
      <c r="GF279" s="10"/>
      <c r="GG279" s="10"/>
      <c r="GH279" s="10"/>
      <c r="GI279" s="10"/>
      <c r="GJ279" s="10"/>
      <c r="GK279" s="10"/>
    </row>
    <row r="280" customFormat="false" ht="12.75" hidden="false" customHeight="false" outlineLevel="0" collapsed="false">
      <c r="A280" s="7"/>
      <c r="B280" s="7"/>
      <c r="C280" s="8"/>
      <c r="D280" s="8"/>
      <c r="E280" s="8"/>
      <c r="F280" s="8"/>
      <c r="G280" s="9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  <c r="CV280" s="10"/>
      <c r="CW280" s="10"/>
      <c r="CX280" s="10"/>
      <c r="CY280" s="10"/>
      <c r="CZ280" s="10"/>
      <c r="DA280" s="10"/>
      <c r="DB280" s="10"/>
      <c r="DC280" s="10"/>
      <c r="DD280" s="10"/>
      <c r="DE280" s="10"/>
      <c r="DF280" s="10"/>
      <c r="DG280" s="10"/>
      <c r="DH280" s="10"/>
      <c r="DI280" s="10"/>
      <c r="DJ280" s="10"/>
      <c r="DK280" s="10"/>
      <c r="DL280" s="10"/>
      <c r="DM280" s="10"/>
      <c r="DN280" s="10"/>
      <c r="DO280" s="10"/>
      <c r="DP280" s="10"/>
      <c r="DQ280" s="10"/>
      <c r="DR280" s="10"/>
      <c r="DS280" s="10"/>
      <c r="DT280" s="10"/>
      <c r="DU280" s="10"/>
      <c r="DV280" s="10"/>
      <c r="DW280" s="10"/>
      <c r="DX280" s="10"/>
      <c r="DY280" s="10"/>
      <c r="DZ280" s="10"/>
      <c r="EA280" s="10"/>
      <c r="EB280" s="10"/>
      <c r="EC280" s="10"/>
      <c r="ED280" s="10"/>
      <c r="EE280" s="10"/>
      <c r="EF280" s="10"/>
      <c r="EG280" s="10"/>
      <c r="EH280" s="10"/>
      <c r="EI280" s="10"/>
      <c r="EJ280" s="10"/>
      <c r="EK280" s="10"/>
      <c r="EL280" s="10"/>
      <c r="EM280" s="10"/>
      <c r="EN280" s="10"/>
      <c r="EO280" s="10"/>
      <c r="EP280" s="10"/>
      <c r="EQ280" s="10"/>
      <c r="ER280" s="10"/>
      <c r="ES280" s="10"/>
      <c r="ET280" s="10"/>
      <c r="EU280" s="10"/>
      <c r="EV280" s="10"/>
      <c r="EW280" s="10"/>
      <c r="EX280" s="10"/>
      <c r="EY280" s="10"/>
      <c r="EZ280" s="10"/>
      <c r="FA280" s="10"/>
      <c r="FB280" s="10"/>
      <c r="FC280" s="10"/>
      <c r="FD280" s="10"/>
      <c r="FE280" s="10"/>
      <c r="FF280" s="10"/>
      <c r="FG280" s="10"/>
      <c r="FH280" s="10"/>
      <c r="FI280" s="10"/>
      <c r="FJ280" s="10"/>
      <c r="FK280" s="10"/>
      <c r="FL280" s="10"/>
      <c r="FM280" s="10"/>
      <c r="FN280" s="10"/>
      <c r="FO280" s="10"/>
      <c r="FP280" s="10"/>
      <c r="FQ280" s="10"/>
      <c r="FR280" s="10"/>
      <c r="FS280" s="10"/>
      <c r="FT280" s="10"/>
      <c r="FU280" s="10"/>
      <c r="FV280" s="10"/>
      <c r="FW280" s="10"/>
      <c r="FX280" s="10"/>
      <c r="FY280" s="10"/>
      <c r="FZ280" s="10"/>
      <c r="GA280" s="10"/>
      <c r="GB280" s="10"/>
      <c r="GC280" s="10"/>
      <c r="GD280" s="10"/>
      <c r="GE280" s="10"/>
      <c r="GF280" s="10"/>
      <c r="GG280" s="10"/>
      <c r="GH280" s="10"/>
      <c r="GI280" s="10"/>
      <c r="GJ280" s="10"/>
      <c r="GK280" s="10"/>
    </row>
    <row r="281" customFormat="false" ht="12.75" hidden="false" customHeight="false" outlineLevel="0" collapsed="false">
      <c r="A281" s="7"/>
      <c r="B281" s="7"/>
      <c r="C281" s="8"/>
      <c r="D281" s="8"/>
      <c r="E281" s="8"/>
      <c r="F281" s="8"/>
      <c r="G281" s="9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  <c r="CV281" s="10"/>
      <c r="CW281" s="10"/>
      <c r="CX281" s="10"/>
      <c r="CY281" s="10"/>
      <c r="CZ281" s="10"/>
      <c r="DA281" s="10"/>
      <c r="DB281" s="10"/>
      <c r="DC281" s="10"/>
      <c r="DD281" s="10"/>
      <c r="DE281" s="10"/>
      <c r="DF281" s="10"/>
      <c r="DG281" s="10"/>
      <c r="DH281" s="10"/>
      <c r="DI281" s="10"/>
      <c r="DJ281" s="10"/>
      <c r="DK281" s="10"/>
      <c r="DL281" s="10"/>
      <c r="DM281" s="10"/>
      <c r="DN281" s="10"/>
      <c r="DO281" s="10"/>
      <c r="DP281" s="10"/>
      <c r="DQ281" s="10"/>
      <c r="DR281" s="10"/>
      <c r="DS281" s="10"/>
      <c r="DT281" s="10"/>
      <c r="DU281" s="10"/>
      <c r="DV281" s="10"/>
      <c r="DW281" s="10"/>
      <c r="DX281" s="10"/>
      <c r="DY281" s="10"/>
      <c r="DZ281" s="10"/>
      <c r="EA281" s="10"/>
      <c r="EB281" s="10"/>
      <c r="EC281" s="10"/>
      <c r="ED281" s="10"/>
      <c r="EE281" s="10"/>
      <c r="EF281" s="10"/>
      <c r="EG281" s="10"/>
      <c r="EH281" s="10"/>
      <c r="EI281" s="10"/>
      <c r="EJ281" s="10"/>
      <c r="EK281" s="10"/>
      <c r="EL281" s="10"/>
      <c r="EM281" s="10"/>
      <c r="EN281" s="10"/>
      <c r="EO281" s="10"/>
      <c r="EP281" s="10"/>
      <c r="EQ281" s="10"/>
      <c r="ER281" s="10"/>
      <c r="ES281" s="10"/>
      <c r="ET281" s="10"/>
      <c r="EU281" s="10"/>
      <c r="EV281" s="10"/>
      <c r="EW281" s="10"/>
      <c r="EX281" s="10"/>
      <c r="EY281" s="10"/>
      <c r="EZ281" s="10"/>
      <c r="FA281" s="10"/>
      <c r="FB281" s="10"/>
      <c r="FC281" s="10"/>
      <c r="FD281" s="10"/>
      <c r="FE281" s="10"/>
      <c r="FF281" s="10"/>
      <c r="FG281" s="10"/>
      <c r="FH281" s="10"/>
      <c r="FI281" s="10"/>
      <c r="FJ281" s="10"/>
      <c r="FK281" s="10"/>
      <c r="FL281" s="10"/>
      <c r="FM281" s="10"/>
      <c r="FN281" s="10"/>
      <c r="FO281" s="10"/>
      <c r="FP281" s="10"/>
      <c r="FQ281" s="10"/>
      <c r="FR281" s="10"/>
      <c r="FS281" s="10"/>
      <c r="FT281" s="10"/>
      <c r="FU281" s="10"/>
      <c r="FV281" s="10"/>
      <c r="FW281" s="10"/>
      <c r="FX281" s="10"/>
      <c r="FY281" s="10"/>
      <c r="FZ281" s="10"/>
      <c r="GA281" s="10"/>
      <c r="GB281" s="10"/>
      <c r="GC281" s="10"/>
      <c r="GD281" s="10"/>
      <c r="GE281" s="10"/>
      <c r="GF281" s="10"/>
      <c r="GG281" s="10"/>
      <c r="GH281" s="10"/>
      <c r="GI281" s="10"/>
      <c r="GJ281" s="10"/>
      <c r="GK281" s="10"/>
    </row>
    <row r="282" customFormat="false" ht="12.75" hidden="false" customHeight="false" outlineLevel="0" collapsed="false">
      <c r="A282" s="7"/>
      <c r="B282" s="7"/>
      <c r="C282" s="8"/>
      <c r="D282" s="8"/>
      <c r="E282" s="8"/>
      <c r="F282" s="8"/>
      <c r="G282" s="9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  <c r="CV282" s="10"/>
      <c r="CW282" s="10"/>
      <c r="CX282" s="10"/>
      <c r="CY282" s="10"/>
      <c r="CZ282" s="10"/>
      <c r="DA282" s="10"/>
      <c r="DB282" s="10"/>
      <c r="DC282" s="10"/>
      <c r="DD282" s="10"/>
      <c r="DE282" s="10"/>
      <c r="DF282" s="10"/>
      <c r="DG282" s="10"/>
      <c r="DH282" s="10"/>
      <c r="DI282" s="10"/>
      <c r="DJ282" s="10"/>
      <c r="DK282" s="10"/>
      <c r="DL282" s="10"/>
      <c r="DM282" s="10"/>
      <c r="DN282" s="10"/>
      <c r="DO282" s="10"/>
      <c r="DP282" s="10"/>
      <c r="DQ282" s="10"/>
      <c r="DR282" s="10"/>
      <c r="DS282" s="10"/>
      <c r="DT282" s="10"/>
      <c r="DU282" s="10"/>
      <c r="DV282" s="10"/>
      <c r="DW282" s="10"/>
      <c r="DX282" s="10"/>
      <c r="DY282" s="10"/>
      <c r="DZ282" s="10"/>
      <c r="EA282" s="10"/>
      <c r="EB282" s="10"/>
      <c r="EC282" s="10"/>
      <c r="ED282" s="10"/>
      <c r="EE282" s="10"/>
      <c r="EF282" s="10"/>
      <c r="EG282" s="10"/>
      <c r="EH282" s="10"/>
      <c r="EI282" s="10"/>
      <c r="EJ282" s="10"/>
      <c r="EK282" s="10"/>
      <c r="EL282" s="10"/>
      <c r="EM282" s="10"/>
      <c r="EN282" s="10"/>
      <c r="EO282" s="10"/>
      <c r="EP282" s="10"/>
      <c r="EQ282" s="10"/>
      <c r="ER282" s="10"/>
      <c r="ES282" s="10"/>
      <c r="ET282" s="10"/>
      <c r="EU282" s="10"/>
      <c r="EV282" s="10"/>
      <c r="EW282" s="10"/>
      <c r="EX282" s="10"/>
      <c r="EY282" s="10"/>
      <c r="EZ282" s="10"/>
      <c r="FA282" s="10"/>
      <c r="FB282" s="10"/>
      <c r="FC282" s="10"/>
      <c r="FD282" s="10"/>
      <c r="FE282" s="10"/>
      <c r="FF282" s="10"/>
      <c r="FG282" s="10"/>
      <c r="FH282" s="10"/>
      <c r="FI282" s="10"/>
      <c r="FJ282" s="10"/>
      <c r="FK282" s="10"/>
      <c r="FL282" s="10"/>
      <c r="FM282" s="10"/>
      <c r="FN282" s="10"/>
      <c r="FO282" s="10"/>
      <c r="FP282" s="10"/>
      <c r="FQ282" s="10"/>
      <c r="FR282" s="10"/>
      <c r="FS282" s="10"/>
      <c r="FT282" s="10"/>
      <c r="FU282" s="10"/>
      <c r="FV282" s="10"/>
      <c r="FW282" s="10"/>
      <c r="FX282" s="10"/>
      <c r="FY282" s="10"/>
      <c r="FZ282" s="10"/>
      <c r="GA282" s="10"/>
      <c r="GB282" s="10"/>
      <c r="GC282" s="10"/>
      <c r="GD282" s="10"/>
      <c r="GE282" s="10"/>
      <c r="GF282" s="10"/>
      <c r="GG282" s="10"/>
      <c r="GH282" s="10"/>
      <c r="GI282" s="10"/>
      <c r="GJ282" s="10"/>
      <c r="GK282" s="10"/>
    </row>
    <row r="283" customFormat="false" ht="12.75" hidden="false" customHeight="false" outlineLevel="0" collapsed="false">
      <c r="A283" s="7"/>
      <c r="B283" s="7"/>
      <c r="C283" s="8"/>
      <c r="D283" s="8"/>
      <c r="E283" s="8"/>
      <c r="F283" s="8"/>
      <c r="G283" s="9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  <c r="CV283" s="10"/>
      <c r="CW283" s="10"/>
      <c r="CX283" s="10"/>
      <c r="CY283" s="10"/>
      <c r="CZ283" s="10"/>
      <c r="DA283" s="10"/>
      <c r="DB283" s="10"/>
      <c r="DC283" s="10"/>
      <c r="DD283" s="10"/>
      <c r="DE283" s="10"/>
      <c r="DF283" s="10"/>
      <c r="DG283" s="10"/>
      <c r="DH283" s="10"/>
      <c r="DI283" s="10"/>
      <c r="DJ283" s="10"/>
      <c r="DK283" s="10"/>
      <c r="DL283" s="10"/>
      <c r="DM283" s="10"/>
      <c r="DN283" s="10"/>
      <c r="DO283" s="10"/>
      <c r="DP283" s="10"/>
      <c r="DQ283" s="10"/>
      <c r="DR283" s="10"/>
      <c r="DS283" s="10"/>
      <c r="DT283" s="10"/>
      <c r="DU283" s="10"/>
      <c r="DV283" s="10"/>
      <c r="DW283" s="10"/>
      <c r="DX283" s="10"/>
      <c r="DY283" s="10"/>
      <c r="DZ283" s="10"/>
      <c r="EA283" s="10"/>
      <c r="EB283" s="10"/>
      <c r="EC283" s="10"/>
      <c r="ED283" s="10"/>
      <c r="EE283" s="10"/>
      <c r="EF283" s="10"/>
      <c r="EG283" s="10"/>
      <c r="EH283" s="10"/>
      <c r="EI283" s="10"/>
      <c r="EJ283" s="10"/>
      <c r="EK283" s="10"/>
      <c r="EL283" s="10"/>
      <c r="EM283" s="10"/>
      <c r="EN283" s="10"/>
      <c r="EO283" s="10"/>
      <c r="EP283" s="10"/>
      <c r="EQ283" s="10"/>
      <c r="ER283" s="10"/>
      <c r="ES283" s="10"/>
      <c r="ET283" s="10"/>
      <c r="EU283" s="10"/>
      <c r="EV283" s="10"/>
      <c r="EW283" s="10"/>
      <c r="EX283" s="10"/>
      <c r="EY283" s="10"/>
      <c r="EZ283" s="10"/>
      <c r="FA283" s="10"/>
      <c r="FB283" s="10"/>
      <c r="FC283" s="10"/>
      <c r="FD283" s="10"/>
      <c r="FE283" s="10"/>
      <c r="FF283" s="10"/>
      <c r="FG283" s="10"/>
      <c r="FH283" s="10"/>
      <c r="FI283" s="10"/>
      <c r="FJ283" s="10"/>
      <c r="FK283" s="10"/>
      <c r="FL283" s="10"/>
      <c r="FM283" s="10"/>
      <c r="FN283" s="10"/>
      <c r="FO283" s="10"/>
      <c r="FP283" s="10"/>
      <c r="FQ283" s="10"/>
      <c r="FR283" s="10"/>
      <c r="FS283" s="10"/>
      <c r="FT283" s="10"/>
      <c r="FU283" s="10"/>
      <c r="FV283" s="10"/>
      <c r="FW283" s="10"/>
      <c r="FX283" s="10"/>
      <c r="FY283" s="10"/>
      <c r="FZ283" s="10"/>
      <c r="GA283" s="10"/>
      <c r="GB283" s="10"/>
      <c r="GC283" s="10"/>
      <c r="GD283" s="10"/>
      <c r="GE283" s="10"/>
      <c r="GF283" s="10"/>
      <c r="GG283" s="10"/>
      <c r="GH283" s="10"/>
      <c r="GI283" s="10"/>
      <c r="GJ283" s="10"/>
      <c r="GK283" s="10"/>
    </row>
    <row r="284" customFormat="false" ht="12.75" hidden="false" customHeight="false" outlineLevel="0" collapsed="false">
      <c r="A284" s="7"/>
      <c r="B284" s="7"/>
      <c r="C284" s="8"/>
      <c r="D284" s="8"/>
      <c r="E284" s="8"/>
      <c r="F284" s="8"/>
      <c r="G284" s="9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  <c r="CV284" s="10"/>
      <c r="CW284" s="10"/>
      <c r="CX284" s="10"/>
      <c r="CY284" s="10"/>
      <c r="CZ284" s="10"/>
      <c r="DA284" s="10"/>
      <c r="DB284" s="10"/>
      <c r="DC284" s="10"/>
      <c r="DD284" s="10"/>
      <c r="DE284" s="10"/>
      <c r="DF284" s="10"/>
      <c r="DG284" s="10"/>
      <c r="DH284" s="10"/>
      <c r="DI284" s="10"/>
      <c r="DJ284" s="10"/>
      <c r="DK284" s="10"/>
      <c r="DL284" s="10"/>
      <c r="DM284" s="10"/>
      <c r="DN284" s="10"/>
      <c r="DO284" s="10"/>
      <c r="DP284" s="10"/>
      <c r="DQ284" s="10"/>
      <c r="DR284" s="10"/>
      <c r="DS284" s="10"/>
      <c r="DT284" s="10"/>
      <c r="DU284" s="10"/>
      <c r="DV284" s="10"/>
      <c r="DW284" s="10"/>
      <c r="DX284" s="10"/>
      <c r="DY284" s="10"/>
      <c r="DZ284" s="10"/>
      <c r="EA284" s="10"/>
      <c r="EB284" s="10"/>
      <c r="EC284" s="10"/>
      <c r="ED284" s="10"/>
      <c r="EE284" s="10"/>
      <c r="EF284" s="10"/>
      <c r="EG284" s="10"/>
      <c r="EH284" s="10"/>
      <c r="EI284" s="10"/>
      <c r="EJ284" s="10"/>
      <c r="EK284" s="10"/>
      <c r="EL284" s="10"/>
      <c r="EM284" s="10"/>
      <c r="EN284" s="10"/>
      <c r="EO284" s="10"/>
      <c r="EP284" s="10"/>
      <c r="EQ284" s="10"/>
      <c r="ER284" s="10"/>
      <c r="ES284" s="10"/>
      <c r="ET284" s="10"/>
      <c r="EU284" s="10"/>
      <c r="EV284" s="10"/>
      <c r="EW284" s="10"/>
      <c r="EX284" s="10"/>
      <c r="EY284" s="10"/>
      <c r="EZ284" s="10"/>
      <c r="FA284" s="10"/>
      <c r="FB284" s="10"/>
      <c r="FC284" s="10"/>
      <c r="FD284" s="10"/>
      <c r="FE284" s="10"/>
      <c r="FF284" s="10"/>
      <c r="FG284" s="10"/>
      <c r="FH284" s="10"/>
      <c r="FI284" s="10"/>
      <c r="FJ284" s="10"/>
      <c r="FK284" s="10"/>
      <c r="FL284" s="10"/>
      <c r="FM284" s="10"/>
      <c r="FN284" s="10"/>
      <c r="FO284" s="10"/>
      <c r="FP284" s="10"/>
      <c r="FQ284" s="10"/>
      <c r="FR284" s="10"/>
      <c r="FS284" s="10"/>
      <c r="FT284" s="10"/>
      <c r="FU284" s="10"/>
      <c r="FV284" s="10"/>
      <c r="FW284" s="10"/>
      <c r="FX284" s="10"/>
      <c r="FY284" s="10"/>
      <c r="FZ284" s="10"/>
      <c r="GA284" s="10"/>
      <c r="GB284" s="10"/>
      <c r="GC284" s="10"/>
      <c r="GD284" s="10"/>
      <c r="GE284" s="10"/>
      <c r="GF284" s="10"/>
      <c r="GG284" s="10"/>
      <c r="GH284" s="10"/>
      <c r="GI284" s="10"/>
      <c r="GJ284" s="10"/>
      <c r="GK284" s="10"/>
    </row>
    <row r="285" customFormat="false" ht="12.75" hidden="false" customHeight="false" outlineLevel="0" collapsed="false">
      <c r="A285" s="7"/>
      <c r="B285" s="7"/>
      <c r="C285" s="8"/>
      <c r="D285" s="8"/>
      <c r="E285" s="8"/>
      <c r="F285" s="8"/>
      <c r="G285" s="9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  <c r="CV285" s="10"/>
      <c r="CW285" s="10"/>
      <c r="CX285" s="10"/>
      <c r="CY285" s="10"/>
      <c r="CZ285" s="10"/>
      <c r="DA285" s="10"/>
      <c r="DB285" s="10"/>
      <c r="DC285" s="10"/>
      <c r="DD285" s="10"/>
      <c r="DE285" s="10"/>
      <c r="DF285" s="10"/>
      <c r="DG285" s="10"/>
      <c r="DH285" s="10"/>
      <c r="DI285" s="10"/>
      <c r="DJ285" s="10"/>
      <c r="DK285" s="10"/>
      <c r="DL285" s="10"/>
      <c r="DM285" s="10"/>
      <c r="DN285" s="10"/>
      <c r="DO285" s="10"/>
      <c r="DP285" s="10"/>
      <c r="DQ285" s="10"/>
      <c r="DR285" s="10"/>
      <c r="DS285" s="10"/>
      <c r="DT285" s="10"/>
      <c r="DU285" s="10"/>
      <c r="DV285" s="10"/>
      <c r="DW285" s="10"/>
      <c r="DX285" s="10"/>
      <c r="DY285" s="10"/>
      <c r="DZ285" s="10"/>
      <c r="EA285" s="10"/>
      <c r="EB285" s="10"/>
      <c r="EC285" s="10"/>
      <c r="ED285" s="10"/>
      <c r="EE285" s="10"/>
      <c r="EF285" s="10"/>
      <c r="EG285" s="10"/>
      <c r="EH285" s="10"/>
      <c r="EI285" s="10"/>
      <c r="EJ285" s="10"/>
      <c r="EK285" s="10"/>
      <c r="EL285" s="10"/>
      <c r="EM285" s="10"/>
      <c r="EN285" s="10"/>
      <c r="EO285" s="10"/>
      <c r="EP285" s="10"/>
      <c r="EQ285" s="10"/>
      <c r="ER285" s="10"/>
      <c r="ES285" s="10"/>
      <c r="ET285" s="10"/>
      <c r="EU285" s="10"/>
      <c r="EV285" s="10"/>
      <c r="EW285" s="10"/>
      <c r="EX285" s="10"/>
      <c r="EY285" s="10"/>
      <c r="EZ285" s="10"/>
      <c r="FA285" s="10"/>
      <c r="FB285" s="10"/>
      <c r="FC285" s="10"/>
      <c r="FD285" s="10"/>
      <c r="FE285" s="10"/>
      <c r="FF285" s="10"/>
      <c r="FG285" s="10"/>
      <c r="FH285" s="10"/>
      <c r="FI285" s="10"/>
      <c r="FJ285" s="10"/>
      <c r="FK285" s="10"/>
      <c r="FL285" s="10"/>
      <c r="FM285" s="10"/>
      <c r="FN285" s="10"/>
      <c r="FO285" s="10"/>
      <c r="FP285" s="10"/>
      <c r="FQ285" s="10"/>
      <c r="FR285" s="10"/>
      <c r="FS285" s="10"/>
      <c r="FT285" s="10"/>
      <c r="FU285" s="10"/>
      <c r="FV285" s="10"/>
      <c r="FW285" s="10"/>
      <c r="FX285" s="10"/>
      <c r="FY285" s="10"/>
      <c r="FZ285" s="10"/>
      <c r="GA285" s="10"/>
      <c r="GB285" s="10"/>
      <c r="GC285" s="10"/>
      <c r="GD285" s="10"/>
      <c r="GE285" s="10"/>
      <c r="GF285" s="10"/>
      <c r="GG285" s="10"/>
      <c r="GH285" s="10"/>
      <c r="GI285" s="10"/>
      <c r="GJ285" s="10"/>
      <c r="GK285" s="10"/>
    </row>
    <row r="286" customFormat="false" ht="12.75" hidden="false" customHeight="false" outlineLevel="0" collapsed="false">
      <c r="A286" s="7"/>
      <c r="B286" s="7"/>
      <c r="C286" s="8"/>
      <c r="D286" s="8"/>
      <c r="E286" s="8"/>
      <c r="F286" s="8"/>
      <c r="G286" s="9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  <c r="CV286" s="10"/>
      <c r="CW286" s="10"/>
      <c r="CX286" s="10"/>
      <c r="CY286" s="10"/>
      <c r="CZ286" s="10"/>
      <c r="DA286" s="10"/>
      <c r="DB286" s="10"/>
      <c r="DC286" s="10"/>
      <c r="DD286" s="10"/>
      <c r="DE286" s="10"/>
      <c r="DF286" s="10"/>
      <c r="DG286" s="10"/>
      <c r="DH286" s="10"/>
      <c r="DI286" s="10"/>
      <c r="DJ286" s="10"/>
      <c r="DK286" s="10"/>
      <c r="DL286" s="10"/>
      <c r="DM286" s="10"/>
      <c r="DN286" s="10"/>
      <c r="DO286" s="10"/>
      <c r="DP286" s="10"/>
      <c r="DQ286" s="10"/>
      <c r="DR286" s="10"/>
      <c r="DS286" s="10"/>
      <c r="DT286" s="10"/>
      <c r="DU286" s="10"/>
      <c r="DV286" s="10"/>
      <c r="DW286" s="10"/>
      <c r="DX286" s="10"/>
      <c r="DY286" s="10"/>
      <c r="DZ286" s="10"/>
      <c r="EA286" s="10"/>
      <c r="EB286" s="10"/>
      <c r="EC286" s="10"/>
      <c r="ED286" s="10"/>
      <c r="EE286" s="10"/>
      <c r="EF286" s="10"/>
      <c r="EG286" s="10"/>
      <c r="EH286" s="10"/>
      <c r="EI286" s="10"/>
      <c r="EJ286" s="10"/>
      <c r="EK286" s="10"/>
      <c r="EL286" s="10"/>
      <c r="EM286" s="10"/>
      <c r="EN286" s="10"/>
      <c r="EO286" s="10"/>
      <c r="EP286" s="10"/>
      <c r="EQ286" s="10"/>
      <c r="ER286" s="10"/>
      <c r="ES286" s="10"/>
      <c r="ET286" s="10"/>
      <c r="EU286" s="10"/>
      <c r="EV286" s="10"/>
      <c r="EW286" s="10"/>
      <c r="EX286" s="10"/>
      <c r="EY286" s="10"/>
      <c r="EZ286" s="10"/>
      <c r="FA286" s="10"/>
      <c r="FB286" s="10"/>
      <c r="FC286" s="10"/>
      <c r="FD286" s="10"/>
      <c r="FE286" s="10"/>
      <c r="FF286" s="10"/>
      <c r="FG286" s="10"/>
      <c r="FH286" s="10"/>
      <c r="FI286" s="10"/>
      <c r="FJ286" s="10"/>
      <c r="FK286" s="10"/>
      <c r="FL286" s="10"/>
      <c r="FM286" s="10"/>
      <c r="FN286" s="10"/>
      <c r="FO286" s="10"/>
      <c r="FP286" s="10"/>
      <c r="FQ286" s="10"/>
      <c r="FR286" s="10"/>
      <c r="FS286" s="10"/>
      <c r="FT286" s="10"/>
      <c r="FU286" s="10"/>
      <c r="FV286" s="10"/>
      <c r="FW286" s="10"/>
      <c r="FX286" s="10"/>
      <c r="FY286" s="10"/>
      <c r="FZ286" s="10"/>
      <c r="GA286" s="10"/>
      <c r="GB286" s="10"/>
      <c r="GC286" s="10"/>
      <c r="GD286" s="10"/>
      <c r="GE286" s="10"/>
      <c r="GF286" s="10"/>
      <c r="GG286" s="10"/>
      <c r="GH286" s="10"/>
      <c r="GI286" s="10"/>
      <c r="GJ286" s="10"/>
      <c r="GK286" s="10"/>
    </row>
    <row r="287" customFormat="false" ht="12.75" hidden="false" customHeight="false" outlineLevel="0" collapsed="false">
      <c r="A287" s="7"/>
      <c r="B287" s="7"/>
      <c r="C287" s="8"/>
      <c r="D287" s="8"/>
      <c r="E287" s="8"/>
      <c r="F287" s="8"/>
      <c r="G287" s="9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  <c r="CO287" s="10"/>
      <c r="CP287" s="10"/>
      <c r="CQ287" s="10"/>
      <c r="CR287" s="10"/>
      <c r="CS287" s="10"/>
      <c r="CT287" s="10"/>
      <c r="CU287" s="10"/>
      <c r="CV287" s="10"/>
      <c r="CW287" s="10"/>
      <c r="CX287" s="10"/>
      <c r="CY287" s="10"/>
      <c r="CZ287" s="10"/>
      <c r="DA287" s="10"/>
      <c r="DB287" s="10"/>
      <c r="DC287" s="10"/>
      <c r="DD287" s="10"/>
      <c r="DE287" s="10"/>
      <c r="DF287" s="10"/>
      <c r="DG287" s="10"/>
      <c r="DH287" s="10"/>
      <c r="DI287" s="10"/>
      <c r="DJ287" s="10"/>
      <c r="DK287" s="10"/>
      <c r="DL287" s="10"/>
      <c r="DM287" s="10"/>
      <c r="DN287" s="10"/>
      <c r="DO287" s="10"/>
      <c r="DP287" s="10"/>
      <c r="DQ287" s="10"/>
      <c r="DR287" s="10"/>
      <c r="DS287" s="10"/>
      <c r="DT287" s="10"/>
      <c r="DU287" s="10"/>
      <c r="DV287" s="10"/>
      <c r="DW287" s="10"/>
      <c r="DX287" s="10"/>
      <c r="DY287" s="10"/>
      <c r="DZ287" s="10"/>
      <c r="EA287" s="10"/>
      <c r="EB287" s="10"/>
      <c r="EC287" s="10"/>
      <c r="ED287" s="10"/>
      <c r="EE287" s="10"/>
      <c r="EF287" s="10"/>
      <c r="EG287" s="10"/>
      <c r="EH287" s="10"/>
      <c r="EI287" s="10"/>
      <c r="EJ287" s="10"/>
      <c r="EK287" s="10"/>
      <c r="EL287" s="10"/>
      <c r="EM287" s="10"/>
      <c r="EN287" s="10"/>
      <c r="EO287" s="10"/>
      <c r="EP287" s="10"/>
      <c r="EQ287" s="10"/>
      <c r="ER287" s="10"/>
      <c r="ES287" s="10"/>
      <c r="ET287" s="10"/>
      <c r="EU287" s="10"/>
      <c r="EV287" s="10"/>
      <c r="EW287" s="10"/>
      <c r="EX287" s="10"/>
      <c r="EY287" s="10"/>
      <c r="EZ287" s="10"/>
      <c r="FA287" s="10"/>
      <c r="FB287" s="10"/>
      <c r="FC287" s="10"/>
      <c r="FD287" s="10"/>
      <c r="FE287" s="10"/>
      <c r="FF287" s="10"/>
      <c r="FG287" s="10"/>
      <c r="FH287" s="10"/>
      <c r="FI287" s="10"/>
      <c r="FJ287" s="10"/>
      <c r="FK287" s="10"/>
      <c r="FL287" s="10"/>
      <c r="FM287" s="10"/>
      <c r="FN287" s="10"/>
      <c r="FO287" s="10"/>
      <c r="FP287" s="10"/>
      <c r="FQ287" s="10"/>
      <c r="FR287" s="10"/>
      <c r="FS287" s="10"/>
      <c r="FT287" s="10"/>
      <c r="FU287" s="10"/>
      <c r="FV287" s="10"/>
      <c r="FW287" s="10"/>
      <c r="FX287" s="10"/>
      <c r="FY287" s="10"/>
      <c r="FZ287" s="10"/>
      <c r="GA287" s="10"/>
      <c r="GB287" s="10"/>
      <c r="GC287" s="10"/>
      <c r="GD287" s="10"/>
      <c r="GE287" s="10"/>
      <c r="GF287" s="10"/>
      <c r="GG287" s="10"/>
      <c r="GH287" s="10"/>
      <c r="GI287" s="10"/>
      <c r="GJ287" s="10"/>
      <c r="GK287" s="10"/>
    </row>
    <row r="288" customFormat="false" ht="12.75" hidden="false" customHeight="false" outlineLevel="0" collapsed="false">
      <c r="A288" s="7"/>
      <c r="B288" s="7"/>
      <c r="C288" s="8"/>
      <c r="D288" s="8"/>
      <c r="E288" s="8"/>
      <c r="F288" s="8"/>
      <c r="G288" s="9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  <c r="CV288" s="10"/>
      <c r="CW288" s="10"/>
      <c r="CX288" s="10"/>
      <c r="CY288" s="10"/>
      <c r="CZ288" s="10"/>
      <c r="DA288" s="10"/>
      <c r="DB288" s="10"/>
      <c r="DC288" s="10"/>
      <c r="DD288" s="10"/>
      <c r="DE288" s="10"/>
      <c r="DF288" s="10"/>
      <c r="DG288" s="10"/>
      <c r="DH288" s="10"/>
      <c r="DI288" s="10"/>
      <c r="DJ288" s="10"/>
      <c r="DK288" s="10"/>
      <c r="DL288" s="10"/>
      <c r="DM288" s="10"/>
      <c r="DN288" s="10"/>
      <c r="DO288" s="10"/>
      <c r="DP288" s="10"/>
      <c r="DQ288" s="10"/>
      <c r="DR288" s="10"/>
      <c r="DS288" s="10"/>
      <c r="DT288" s="10"/>
      <c r="DU288" s="10"/>
      <c r="DV288" s="10"/>
      <c r="DW288" s="10"/>
      <c r="DX288" s="10"/>
      <c r="DY288" s="10"/>
      <c r="DZ288" s="10"/>
      <c r="EA288" s="10"/>
      <c r="EB288" s="10"/>
      <c r="EC288" s="10"/>
      <c r="ED288" s="10"/>
      <c r="EE288" s="10"/>
      <c r="EF288" s="10"/>
      <c r="EG288" s="10"/>
      <c r="EH288" s="10"/>
      <c r="EI288" s="10"/>
      <c r="EJ288" s="10"/>
      <c r="EK288" s="10"/>
      <c r="EL288" s="10"/>
      <c r="EM288" s="10"/>
      <c r="EN288" s="10"/>
      <c r="EO288" s="10"/>
      <c r="EP288" s="10"/>
      <c r="EQ288" s="10"/>
      <c r="ER288" s="10"/>
      <c r="ES288" s="10"/>
      <c r="ET288" s="10"/>
      <c r="EU288" s="10"/>
      <c r="EV288" s="10"/>
      <c r="EW288" s="10"/>
      <c r="EX288" s="10"/>
      <c r="EY288" s="10"/>
      <c r="EZ288" s="10"/>
      <c r="FA288" s="10"/>
      <c r="FB288" s="10"/>
      <c r="FC288" s="10"/>
      <c r="FD288" s="10"/>
      <c r="FE288" s="10"/>
      <c r="FF288" s="10"/>
      <c r="FG288" s="10"/>
      <c r="FH288" s="10"/>
      <c r="FI288" s="10"/>
      <c r="FJ288" s="10"/>
      <c r="FK288" s="10"/>
      <c r="FL288" s="10"/>
      <c r="FM288" s="10"/>
      <c r="FN288" s="10"/>
      <c r="FO288" s="10"/>
      <c r="FP288" s="10"/>
      <c r="FQ288" s="10"/>
      <c r="FR288" s="10"/>
      <c r="FS288" s="10"/>
      <c r="FT288" s="10"/>
      <c r="FU288" s="10"/>
      <c r="FV288" s="10"/>
      <c r="FW288" s="10"/>
      <c r="FX288" s="10"/>
      <c r="FY288" s="10"/>
      <c r="FZ288" s="10"/>
      <c r="GA288" s="10"/>
      <c r="GB288" s="10"/>
      <c r="GC288" s="10"/>
      <c r="GD288" s="10"/>
      <c r="GE288" s="10"/>
      <c r="GF288" s="10"/>
      <c r="GG288" s="10"/>
      <c r="GH288" s="10"/>
      <c r="GI288" s="10"/>
      <c r="GJ288" s="10"/>
      <c r="GK288" s="10"/>
    </row>
    <row r="289" customFormat="false" ht="12.75" hidden="false" customHeight="false" outlineLevel="0" collapsed="false">
      <c r="A289" s="7"/>
      <c r="B289" s="7"/>
      <c r="C289" s="8"/>
      <c r="D289" s="8"/>
      <c r="E289" s="8"/>
      <c r="F289" s="8"/>
      <c r="G289" s="9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  <c r="CL289" s="10"/>
      <c r="CM289" s="10"/>
      <c r="CN289" s="10"/>
      <c r="CO289" s="10"/>
      <c r="CP289" s="10"/>
      <c r="CQ289" s="10"/>
      <c r="CR289" s="10"/>
      <c r="CS289" s="10"/>
      <c r="CT289" s="10"/>
      <c r="CU289" s="10"/>
      <c r="CV289" s="10"/>
      <c r="CW289" s="10"/>
      <c r="CX289" s="10"/>
      <c r="CY289" s="10"/>
      <c r="CZ289" s="10"/>
      <c r="DA289" s="10"/>
      <c r="DB289" s="10"/>
      <c r="DC289" s="10"/>
      <c r="DD289" s="10"/>
      <c r="DE289" s="10"/>
      <c r="DF289" s="10"/>
      <c r="DG289" s="10"/>
      <c r="DH289" s="10"/>
      <c r="DI289" s="10"/>
      <c r="DJ289" s="10"/>
      <c r="DK289" s="10"/>
      <c r="DL289" s="10"/>
      <c r="DM289" s="10"/>
      <c r="DN289" s="10"/>
      <c r="DO289" s="10"/>
      <c r="DP289" s="10"/>
      <c r="DQ289" s="10"/>
      <c r="DR289" s="10"/>
      <c r="DS289" s="10"/>
      <c r="DT289" s="10"/>
      <c r="DU289" s="10"/>
      <c r="DV289" s="10"/>
      <c r="DW289" s="10"/>
      <c r="DX289" s="10"/>
      <c r="DY289" s="10"/>
      <c r="DZ289" s="10"/>
      <c r="EA289" s="10"/>
      <c r="EB289" s="10"/>
      <c r="EC289" s="10"/>
      <c r="ED289" s="10"/>
      <c r="EE289" s="10"/>
      <c r="EF289" s="10"/>
      <c r="EG289" s="10"/>
      <c r="EH289" s="10"/>
      <c r="EI289" s="10"/>
      <c r="EJ289" s="10"/>
      <c r="EK289" s="10"/>
      <c r="EL289" s="10"/>
      <c r="EM289" s="10"/>
      <c r="EN289" s="10"/>
      <c r="EO289" s="10"/>
      <c r="EP289" s="10"/>
      <c r="EQ289" s="10"/>
      <c r="ER289" s="10"/>
      <c r="ES289" s="10"/>
      <c r="ET289" s="10"/>
      <c r="EU289" s="10"/>
      <c r="EV289" s="10"/>
      <c r="EW289" s="10"/>
      <c r="EX289" s="10"/>
      <c r="EY289" s="10"/>
      <c r="EZ289" s="10"/>
      <c r="FA289" s="10"/>
      <c r="FB289" s="10"/>
      <c r="FC289" s="10"/>
      <c r="FD289" s="10"/>
      <c r="FE289" s="10"/>
      <c r="FF289" s="10"/>
      <c r="FG289" s="10"/>
      <c r="FH289" s="10"/>
      <c r="FI289" s="10"/>
      <c r="FJ289" s="10"/>
      <c r="FK289" s="10"/>
      <c r="FL289" s="10"/>
      <c r="FM289" s="10"/>
      <c r="FN289" s="10"/>
      <c r="FO289" s="10"/>
      <c r="FP289" s="10"/>
      <c r="FQ289" s="10"/>
      <c r="FR289" s="10"/>
      <c r="FS289" s="10"/>
      <c r="FT289" s="10"/>
      <c r="FU289" s="10"/>
      <c r="FV289" s="10"/>
      <c r="FW289" s="10"/>
      <c r="FX289" s="10"/>
      <c r="FY289" s="10"/>
      <c r="FZ289" s="10"/>
      <c r="GA289" s="10"/>
      <c r="GB289" s="10"/>
      <c r="GC289" s="10"/>
      <c r="GD289" s="10"/>
      <c r="GE289" s="10"/>
      <c r="GF289" s="10"/>
      <c r="GG289" s="10"/>
      <c r="GH289" s="10"/>
      <c r="GI289" s="10"/>
      <c r="GJ289" s="10"/>
      <c r="GK289" s="10"/>
    </row>
    <row r="290" customFormat="false" ht="12.75" hidden="false" customHeight="false" outlineLevel="0" collapsed="false">
      <c r="A290" s="7"/>
      <c r="B290" s="7"/>
      <c r="C290" s="8"/>
      <c r="D290" s="8"/>
      <c r="E290" s="8"/>
      <c r="F290" s="8"/>
      <c r="G290" s="9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  <c r="EM290" s="10"/>
      <c r="EN290" s="10"/>
      <c r="EO290" s="10"/>
      <c r="EP290" s="10"/>
      <c r="EQ290" s="10"/>
      <c r="ER290" s="10"/>
      <c r="ES290" s="10"/>
      <c r="ET290" s="10"/>
      <c r="EU290" s="10"/>
      <c r="EV290" s="10"/>
      <c r="EW290" s="10"/>
      <c r="EX290" s="10"/>
      <c r="EY290" s="10"/>
      <c r="EZ290" s="10"/>
      <c r="FA290" s="10"/>
      <c r="FB290" s="10"/>
      <c r="FC290" s="10"/>
      <c r="FD290" s="10"/>
      <c r="FE290" s="10"/>
      <c r="FF290" s="10"/>
      <c r="FG290" s="10"/>
      <c r="FH290" s="10"/>
      <c r="FI290" s="10"/>
      <c r="FJ290" s="10"/>
      <c r="FK290" s="10"/>
      <c r="FL290" s="10"/>
      <c r="FM290" s="10"/>
      <c r="FN290" s="10"/>
      <c r="FO290" s="10"/>
      <c r="FP290" s="10"/>
      <c r="FQ290" s="10"/>
      <c r="FR290" s="10"/>
      <c r="FS290" s="10"/>
      <c r="FT290" s="10"/>
      <c r="FU290" s="10"/>
      <c r="FV290" s="10"/>
      <c r="FW290" s="10"/>
      <c r="FX290" s="10"/>
      <c r="FY290" s="10"/>
      <c r="FZ290" s="10"/>
      <c r="GA290" s="10"/>
      <c r="GB290" s="10"/>
      <c r="GC290" s="10"/>
      <c r="GD290" s="10"/>
      <c r="GE290" s="10"/>
      <c r="GF290" s="10"/>
      <c r="GG290" s="10"/>
      <c r="GH290" s="10"/>
      <c r="GI290" s="10"/>
      <c r="GJ290" s="10"/>
      <c r="GK290" s="10"/>
    </row>
    <row r="291" customFormat="false" ht="12.75" hidden="false" customHeight="false" outlineLevel="0" collapsed="false">
      <c r="A291" s="7"/>
      <c r="B291" s="7"/>
      <c r="C291" s="8"/>
      <c r="D291" s="8"/>
      <c r="E291" s="8"/>
      <c r="F291" s="8"/>
      <c r="G291" s="9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  <c r="CL291" s="10"/>
      <c r="CM291" s="10"/>
      <c r="CN291" s="10"/>
      <c r="CO291" s="10"/>
      <c r="CP291" s="10"/>
      <c r="CQ291" s="10"/>
      <c r="CR291" s="10"/>
      <c r="CS291" s="10"/>
      <c r="CT291" s="10"/>
      <c r="CU291" s="10"/>
      <c r="CV291" s="10"/>
      <c r="CW291" s="10"/>
      <c r="CX291" s="10"/>
      <c r="CY291" s="10"/>
      <c r="CZ291" s="10"/>
      <c r="DA291" s="10"/>
      <c r="DB291" s="10"/>
      <c r="DC291" s="10"/>
      <c r="DD291" s="10"/>
      <c r="DE291" s="10"/>
      <c r="DF291" s="10"/>
      <c r="DG291" s="10"/>
      <c r="DH291" s="10"/>
      <c r="DI291" s="10"/>
      <c r="DJ291" s="10"/>
      <c r="DK291" s="10"/>
      <c r="DL291" s="10"/>
      <c r="DM291" s="10"/>
      <c r="DN291" s="10"/>
      <c r="DO291" s="10"/>
      <c r="DP291" s="10"/>
      <c r="DQ291" s="10"/>
      <c r="DR291" s="10"/>
      <c r="DS291" s="10"/>
      <c r="DT291" s="10"/>
      <c r="DU291" s="10"/>
      <c r="DV291" s="10"/>
      <c r="DW291" s="10"/>
      <c r="DX291" s="10"/>
      <c r="DY291" s="10"/>
      <c r="DZ291" s="10"/>
      <c r="EA291" s="10"/>
      <c r="EB291" s="10"/>
      <c r="EC291" s="10"/>
      <c r="ED291" s="10"/>
      <c r="EE291" s="10"/>
      <c r="EF291" s="10"/>
      <c r="EG291" s="10"/>
      <c r="EH291" s="10"/>
      <c r="EI291" s="10"/>
      <c r="EJ291" s="10"/>
      <c r="EK291" s="10"/>
      <c r="EL291" s="10"/>
      <c r="EM291" s="10"/>
      <c r="EN291" s="10"/>
      <c r="EO291" s="10"/>
      <c r="EP291" s="10"/>
      <c r="EQ291" s="10"/>
      <c r="ER291" s="10"/>
      <c r="ES291" s="10"/>
      <c r="ET291" s="10"/>
      <c r="EU291" s="10"/>
      <c r="EV291" s="10"/>
      <c r="EW291" s="10"/>
      <c r="EX291" s="10"/>
      <c r="EY291" s="10"/>
      <c r="EZ291" s="10"/>
      <c r="FA291" s="10"/>
      <c r="FB291" s="10"/>
      <c r="FC291" s="10"/>
      <c r="FD291" s="10"/>
      <c r="FE291" s="10"/>
      <c r="FF291" s="10"/>
      <c r="FG291" s="10"/>
      <c r="FH291" s="10"/>
      <c r="FI291" s="10"/>
      <c r="FJ291" s="10"/>
      <c r="FK291" s="10"/>
      <c r="FL291" s="10"/>
      <c r="FM291" s="10"/>
      <c r="FN291" s="10"/>
      <c r="FO291" s="10"/>
      <c r="FP291" s="10"/>
      <c r="FQ291" s="10"/>
      <c r="FR291" s="10"/>
      <c r="FS291" s="10"/>
      <c r="FT291" s="10"/>
      <c r="FU291" s="10"/>
      <c r="FV291" s="10"/>
      <c r="FW291" s="10"/>
      <c r="FX291" s="10"/>
      <c r="FY291" s="10"/>
      <c r="FZ291" s="10"/>
      <c r="GA291" s="10"/>
      <c r="GB291" s="10"/>
      <c r="GC291" s="10"/>
      <c r="GD291" s="10"/>
      <c r="GE291" s="10"/>
      <c r="GF291" s="10"/>
      <c r="GG291" s="10"/>
      <c r="GH291" s="10"/>
      <c r="GI291" s="10"/>
      <c r="GJ291" s="10"/>
      <c r="GK291" s="10"/>
    </row>
    <row r="292" customFormat="false" ht="12.75" hidden="false" customHeight="false" outlineLevel="0" collapsed="false">
      <c r="A292" s="7"/>
      <c r="B292" s="7"/>
      <c r="C292" s="8"/>
      <c r="D292" s="8"/>
      <c r="E292" s="8"/>
      <c r="F292" s="8"/>
      <c r="G292" s="9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  <c r="CL292" s="10"/>
      <c r="CM292" s="10"/>
      <c r="CN292" s="10"/>
      <c r="CO292" s="10"/>
      <c r="CP292" s="10"/>
      <c r="CQ292" s="10"/>
      <c r="CR292" s="10"/>
      <c r="CS292" s="10"/>
      <c r="CT292" s="10"/>
      <c r="CU292" s="10"/>
      <c r="CV292" s="10"/>
      <c r="CW292" s="10"/>
      <c r="CX292" s="10"/>
      <c r="CY292" s="10"/>
      <c r="CZ292" s="10"/>
      <c r="DA292" s="10"/>
      <c r="DB292" s="10"/>
      <c r="DC292" s="10"/>
      <c r="DD292" s="10"/>
      <c r="DE292" s="10"/>
      <c r="DF292" s="10"/>
      <c r="DG292" s="10"/>
      <c r="DH292" s="10"/>
      <c r="DI292" s="10"/>
      <c r="DJ292" s="10"/>
      <c r="DK292" s="10"/>
      <c r="DL292" s="10"/>
      <c r="DM292" s="10"/>
      <c r="DN292" s="10"/>
      <c r="DO292" s="10"/>
      <c r="DP292" s="10"/>
      <c r="DQ292" s="10"/>
      <c r="DR292" s="10"/>
      <c r="DS292" s="10"/>
      <c r="DT292" s="10"/>
      <c r="DU292" s="10"/>
      <c r="DV292" s="10"/>
      <c r="DW292" s="10"/>
      <c r="DX292" s="10"/>
      <c r="DY292" s="10"/>
      <c r="DZ292" s="10"/>
      <c r="EA292" s="10"/>
      <c r="EB292" s="10"/>
      <c r="EC292" s="10"/>
      <c r="ED292" s="10"/>
      <c r="EE292" s="10"/>
      <c r="EF292" s="10"/>
      <c r="EG292" s="10"/>
      <c r="EH292" s="10"/>
      <c r="EI292" s="10"/>
      <c r="EJ292" s="10"/>
      <c r="EK292" s="10"/>
      <c r="EL292" s="10"/>
      <c r="EM292" s="10"/>
      <c r="EN292" s="10"/>
      <c r="EO292" s="10"/>
      <c r="EP292" s="10"/>
      <c r="EQ292" s="10"/>
      <c r="ER292" s="10"/>
      <c r="ES292" s="10"/>
      <c r="ET292" s="10"/>
      <c r="EU292" s="10"/>
      <c r="EV292" s="10"/>
      <c r="EW292" s="10"/>
      <c r="EX292" s="10"/>
      <c r="EY292" s="10"/>
      <c r="EZ292" s="10"/>
      <c r="FA292" s="10"/>
      <c r="FB292" s="10"/>
      <c r="FC292" s="10"/>
      <c r="FD292" s="10"/>
      <c r="FE292" s="10"/>
      <c r="FF292" s="10"/>
      <c r="FG292" s="10"/>
      <c r="FH292" s="10"/>
      <c r="FI292" s="10"/>
      <c r="FJ292" s="10"/>
      <c r="FK292" s="10"/>
      <c r="FL292" s="10"/>
      <c r="FM292" s="10"/>
      <c r="FN292" s="10"/>
      <c r="FO292" s="10"/>
      <c r="FP292" s="10"/>
      <c r="FQ292" s="10"/>
      <c r="FR292" s="10"/>
      <c r="FS292" s="10"/>
      <c r="FT292" s="10"/>
      <c r="FU292" s="10"/>
      <c r="FV292" s="10"/>
      <c r="FW292" s="10"/>
      <c r="FX292" s="10"/>
      <c r="FY292" s="10"/>
      <c r="FZ292" s="10"/>
      <c r="GA292" s="10"/>
      <c r="GB292" s="10"/>
      <c r="GC292" s="10"/>
      <c r="GD292" s="10"/>
      <c r="GE292" s="10"/>
      <c r="GF292" s="10"/>
      <c r="GG292" s="10"/>
      <c r="GH292" s="10"/>
      <c r="GI292" s="10"/>
      <c r="GJ292" s="10"/>
      <c r="GK292" s="10"/>
    </row>
    <row r="293" customFormat="false" ht="12.75" hidden="false" customHeight="false" outlineLevel="0" collapsed="false">
      <c r="A293" s="7"/>
      <c r="B293" s="7"/>
      <c r="C293" s="8"/>
      <c r="D293" s="8"/>
      <c r="E293" s="8"/>
      <c r="F293" s="8"/>
      <c r="G293" s="9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  <c r="CL293" s="10"/>
      <c r="CM293" s="10"/>
      <c r="CN293" s="10"/>
      <c r="CO293" s="10"/>
      <c r="CP293" s="10"/>
      <c r="CQ293" s="10"/>
      <c r="CR293" s="10"/>
      <c r="CS293" s="10"/>
      <c r="CT293" s="10"/>
      <c r="CU293" s="10"/>
      <c r="CV293" s="10"/>
      <c r="CW293" s="10"/>
      <c r="CX293" s="10"/>
      <c r="CY293" s="10"/>
      <c r="CZ293" s="10"/>
      <c r="DA293" s="10"/>
      <c r="DB293" s="10"/>
      <c r="DC293" s="10"/>
      <c r="DD293" s="10"/>
      <c r="DE293" s="10"/>
      <c r="DF293" s="10"/>
      <c r="DG293" s="10"/>
      <c r="DH293" s="10"/>
      <c r="DI293" s="10"/>
      <c r="DJ293" s="10"/>
      <c r="DK293" s="10"/>
      <c r="DL293" s="10"/>
      <c r="DM293" s="10"/>
      <c r="DN293" s="10"/>
      <c r="DO293" s="10"/>
      <c r="DP293" s="10"/>
      <c r="DQ293" s="10"/>
      <c r="DR293" s="10"/>
      <c r="DS293" s="10"/>
      <c r="DT293" s="10"/>
      <c r="DU293" s="10"/>
      <c r="DV293" s="10"/>
      <c r="DW293" s="10"/>
      <c r="DX293" s="10"/>
      <c r="DY293" s="10"/>
      <c r="DZ293" s="10"/>
      <c r="EA293" s="10"/>
      <c r="EB293" s="10"/>
      <c r="EC293" s="10"/>
      <c r="ED293" s="10"/>
      <c r="EE293" s="10"/>
      <c r="EF293" s="10"/>
      <c r="EG293" s="10"/>
      <c r="EH293" s="10"/>
      <c r="EI293" s="10"/>
      <c r="EJ293" s="10"/>
      <c r="EK293" s="10"/>
      <c r="EL293" s="10"/>
      <c r="EM293" s="10"/>
      <c r="EN293" s="10"/>
      <c r="EO293" s="10"/>
      <c r="EP293" s="10"/>
      <c r="EQ293" s="10"/>
      <c r="ER293" s="10"/>
      <c r="ES293" s="10"/>
      <c r="ET293" s="10"/>
      <c r="EU293" s="10"/>
      <c r="EV293" s="10"/>
      <c r="EW293" s="10"/>
      <c r="EX293" s="10"/>
      <c r="EY293" s="10"/>
      <c r="EZ293" s="10"/>
      <c r="FA293" s="10"/>
      <c r="FB293" s="10"/>
      <c r="FC293" s="10"/>
      <c r="FD293" s="10"/>
      <c r="FE293" s="10"/>
      <c r="FF293" s="10"/>
      <c r="FG293" s="10"/>
      <c r="FH293" s="10"/>
      <c r="FI293" s="10"/>
      <c r="FJ293" s="10"/>
      <c r="FK293" s="10"/>
      <c r="FL293" s="10"/>
      <c r="FM293" s="10"/>
      <c r="FN293" s="10"/>
      <c r="FO293" s="10"/>
      <c r="FP293" s="10"/>
      <c r="FQ293" s="10"/>
      <c r="FR293" s="10"/>
      <c r="FS293" s="10"/>
      <c r="FT293" s="10"/>
      <c r="FU293" s="10"/>
      <c r="FV293" s="10"/>
      <c r="FW293" s="10"/>
      <c r="FX293" s="10"/>
      <c r="FY293" s="10"/>
      <c r="FZ293" s="10"/>
      <c r="GA293" s="10"/>
      <c r="GB293" s="10"/>
      <c r="GC293" s="10"/>
      <c r="GD293" s="10"/>
      <c r="GE293" s="10"/>
      <c r="GF293" s="10"/>
      <c r="GG293" s="10"/>
      <c r="GH293" s="10"/>
      <c r="GI293" s="10"/>
      <c r="GJ293" s="10"/>
      <c r="GK293" s="10"/>
    </row>
    <row r="294" customFormat="false" ht="12.75" hidden="false" customHeight="false" outlineLevel="0" collapsed="false">
      <c r="A294" s="7"/>
      <c r="B294" s="7"/>
      <c r="C294" s="8"/>
      <c r="D294" s="8"/>
      <c r="E294" s="8"/>
      <c r="F294" s="8"/>
      <c r="G294" s="9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  <c r="CL294" s="10"/>
      <c r="CM294" s="10"/>
      <c r="CN294" s="10"/>
      <c r="CO294" s="10"/>
      <c r="CP294" s="10"/>
      <c r="CQ294" s="10"/>
      <c r="CR294" s="10"/>
      <c r="CS294" s="10"/>
      <c r="CT294" s="10"/>
      <c r="CU294" s="10"/>
      <c r="CV294" s="10"/>
      <c r="CW294" s="10"/>
      <c r="CX294" s="10"/>
      <c r="CY294" s="10"/>
      <c r="CZ294" s="10"/>
      <c r="DA294" s="10"/>
      <c r="DB294" s="10"/>
      <c r="DC294" s="10"/>
      <c r="DD294" s="10"/>
      <c r="DE294" s="10"/>
      <c r="DF294" s="10"/>
      <c r="DG294" s="10"/>
      <c r="DH294" s="10"/>
      <c r="DI294" s="10"/>
      <c r="DJ294" s="10"/>
      <c r="DK294" s="10"/>
      <c r="DL294" s="10"/>
      <c r="DM294" s="10"/>
      <c r="DN294" s="10"/>
      <c r="DO294" s="10"/>
      <c r="DP294" s="10"/>
      <c r="DQ294" s="10"/>
      <c r="DR294" s="10"/>
      <c r="DS294" s="10"/>
      <c r="DT294" s="10"/>
      <c r="DU294" s="10"/>
      <c r="DV294" s="10"/>
      <c r="DW294" s="10"/>
      <c r="DX294" s="10"/>
      <c r="DY294" s="10"/>
      <c r="DZ294" s="10"/>
      <c r="EA294" s="10"/>
      <c r="EB294" s="10"/>
      <c r="EC294" s="10"/>
      <c r="ED294" s="10"/>
      <c r="EE294" s="10"/>
      <c r="EF294" s="10"/>
      <c r="EG294" s="10"/>
      <c r="EH294" s="10"/>
      <c r="EI294" s="10"/>
      <c r="EJ294" s="10"/>
      <c r="EK294" s="10"/>
      <c r="EL294" s="10"/>
      <c r="EM294" s="10"/>
      <c r="EN294" s="10"/>
      <c r="EO294" s="10"/>
      <c r="EP294" s="10"/>
      <c r="EQ294" s="10"/>
      <c r="ER294" s="10"/>
      <c r="ES294" s="10"/>
      <c r="ET294" s="10"/>
      <c r="EU294" s="10"/>
      <c r="EV294" s="10"/>
      <c r="EW294" s="10"/>
      <c r="EX294" s="10"/>
      <c r="EY294" s="10"/>
      <c r="EZ294" s="10"/>
      <c r="FA294" s="10"/>
      <c r="FB294" s="10"/>
      <c r="FC294" s="10"/>
      <c r="FD294" s="10"/>
      <c r="FE294" s="10"/>
      <c r="FF294" s="10"/>
      <c r="FG294" s="10"/>
      <c r="FH294" s="10"/>
      <c r="FI294" s="10"/>
      <c r="FJ294" s="10"/>
      <c r="FK294" s="10"/>
      <c r="FL294" s="10"/>
      <c r="FM294" s="10"/>
      <c r="FN294" s="10"/>
      <c r="FO294" s="10"/>
      <c r="FP294" s="10"/>
      <c r="FQ294" s="10"/>
      <c r="FR294" s="10"/>
      <c r="FS294" s="10"/>
      <c r="FT294" s="10"/>
      <c r="FU294" s="10"/>
      <c r="FV294" s="10"/>
      <c r="FW294" s="10"/>
      <c r="FX294" s="10"/>
      <c r="FY294" s="10"/>
      <c r="FZ294" s="10"/>
      <c r="GA294" s="10"/>
      <c r="GB294" s="10"/>
      <c r="GC294" s="10"/>
      <c r="GD294" s="10"/>
      <c r="GE294" s="10"/>
      <c r="GF294" s="10"/>
      <c r="GG294" s="10"/>
      <c r="GH294" s="10"/>
      <c r="GI294" s="10"/>
      <c r="GJ294" s="10"/>
      <c r="GK294" s="10"/>
    </row>
    <row r="295" customFormat="false" ht="12.75" hidden="false" customHeight="false" outlineLevel="0" collapsed="false">
      <c r="A295" s="7"/>
      <c r="B295" s="7"/>
      <c r="C295" s="8"/>
      <c r="D295" s="8"/>
      <c r="E295" s="8"/>
      <c r="F295" s="8"/>
      <c r="G295" s="9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  <c r="CL295" s="10"/>
      <c r="CM295" s="10"/>
      <c r="CN295" s="10"/>
      <c r="CO295" s="10"/>
      <c r="CP295" s="10"/>
      <c r="CQ295" s="10"/>
      <c r="CR295" s="10"/>
      <c r="CS295" s="10"/>
      <c r="CT295" s="10"/>
      <c r="CU295" s="10"/>
      <c r="CV295" s="10"/>
      <c r="CW295" s="10"/>
      <c r="CX295" s="10"/>
      <c r="CY295" s="10"/>
      <c r="CZ295" s="10"/>
      <c r="DA295" s="10"/>
      <c r="DB295" s="10"/>
      <c r="DC295" s="10"/>
      <c r="DD295" s="10"/>
      <c r="DE295" s="10"/>
      <c r="DF295" s="10"/>
      <c r="DG295" s="10"/>
      <c r="DH295" s="10"/>
      <c r="DI295" s="10"/>
      <c r="DJ295" s="10"/>
      <c r="DK295" s="10"/>
      <c r="DL295" s="10"/>
      <c r="DM295" s="10"/>
      <c r="DN295" s="10"/>
      <c r="DO295" s="10"/>
      <c r="DP295" s="10"/>
      <c r="DQ295" s="10"/>
      <c r="DR295" s="10"/>
      <c r="DS295" s="10"/>
      <c r="DT295" s="10"/>
      <c r="DU295" s="10"/>
      <c r="DV295" s="10"/>
      <c r="DW295" s="10"/>
      <c r="DX295" s="10"/>
      <c r="DY295" s="10"/>
      <c r="DZ295" s="10"/>
      <c r="EA295" s="10"/>
      <c r="EB295" s="10"/>
      <c r="EC295" s="10"/>
      <c r="ED295" s="10"/>
      <c r="EE295" s="10"/>
      <c r="EF295" s="10"/>
      <c r="EG295" s="10"/>
      <c r="EH295" s="10"/>
      <c r="EI295" s="10"/>
      <c r="EJ295" s="10"/>
      <c r="EK295" s="10"/>
      <c r="EL295" s="10"/>
      <c r="EM295" s="10"/>
      <c r="EN295" s="10"/>
      <c r="EO295" s="10"/>
      <c r="EP295" s="10"/>
      <c r="EQ295" s="10"/>
      <c r="ER295" s="10"/>
      <c r="ES295" s="10"/>
      <c r="ET295" s="10"/>
      <c r="EU295" s="10"/>
      <c r="EV295" s="10"/>
      <c r="EW295" s="10"/>
      <c r="EX295" s="10"/>
      <c r="EY295" s="10"/>
      <c r="EZ295" s="10"/>
      <c r="FA295" s="10"/>
      <c r="FB295" s="10"/>
      <c r="FC295" s="10"/>
      <c r="FD295" s="10"/>
      <c r="FE295" s="10"/>
      <c r="FF295" s="10"/>
      <c r="FG295" s="10"/>
      <c r="FH295" s="10"/>
      <c r="FI295" s="10"/>
      <c r="FJ295" s="10"/>
      <c r="FK295" s="10"/>
      <c r="FL295" s="10"/>
      <c r="FM295" s="10"/>
      <c r="FN295" s="10"/>
      <c r="FO295" s="10"/>
      <c r="FP295" s="10"/>
      <c r="FQ295" s="10"/>
      <c r="FR295" s="10"/>
      <c r="FS295" s="10"/>
      <c r="FT295" s="10"/>
      <c r="FU295" s="10"/>
      <c r="FV295" s="10"/>
      <c r="FW295" s="10"/>
      <c r="FX295" s="10"/>
      <c r="FY295" s="10"/>
      <c r="FZ295" s="10"/>
      <c r="GA295" s="10"/>
      <c r="GB295" s="10"/>
      <c r="GC295" s="10"/>
      <c r="GD295" s="10"/>
      <c r="GE295" s="10"/>
      <c r="GF295" s="10"/>
      <c r="GG295" s="10"/>
      <c r="GH295" s="10"/>
      <c r="GI295" s="10"/>
      <c r="GJ295" s="10"/>
      <c r="GK295" s="10"/>
    </row>
    <row r="296" customFormat="false" ht="12.75" hidden="false" customHeight="false" outlineLevel="0" collapsed="false">
      <c r="A296" s="7"/>
      <c r="B296" s="7"/>
      <c r="C296" s="8"/>
      <c r="D296" s="8"/>
      <c r="E296" s="8"/>
      <c r="F296" s="8"/>
      <c r="G296" s="9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  <c r="CL296" s="10"/>
      <c r="CM296" s="10"/>
      <c r="CN296" s="10"/>
      <c r="CO296" s="10"/>
      <c r="CP296" s="10"/>
      <c r="CQ296" s="10"/>
      <c r="CR296" s="10"/>
      <c r="CS296" s="10"/>
      <c r="CT296" s="10"/>
      <c r="CU296" s="10"/>
      <c r="CV296" s="10"/>
      <c r="CW296" s="10"/>
      <c r="CX296" s="10"/>
      <c r="CY296" s="10"/>
      <c r="CZ296" s="10"/>
      <c r="DA296" s="10"/>
      <c r="DB296" s="10"/>
      <c r="DC296" s="10"/>
      <c r="DD296" s="10"/>
      <c r="DE296" s="10"/>
      <c r="DF296" s="10"/>
      <c r="DG296" s="10"/>
      <c r="DH296" s="10"/>
      <c r="DI296" s="10"/>
      <c r="DJ296" s="10"/>
      <c r="DK296" s="10"/>
      <c r="DL296" s="10"/>
      <c r="DM296" s="10"/>
      <c r="DN296" s="10"/>
      <c r="DO296" s="10"/>
      <c r="DP296" s="10"/>
      <c r="DQ296" s="10"/>
      <c r="DR296" s="10"/>
      <c r="DS296" s="10"/>
      <c r="DT296" s="10"/>
      <c r="DU296" s="10"/>
      <c r="DV296" s="10"/>
      <c r="DW296" s="10"/>
      <c r="DX296" s="10"/>
      <c r="DY296" s="10"/>
      <c r="DZ296" s="10"/>
      <c r="EA296" s="10"/>
      <c r="EB296" s="10"/>
      <c r="EC296" s="10"/>
      <c r="ED296" s="10"/>
      <c r="EE296" s="10"/>
      <c r="EF296" s="10"/>
      <c r="EG296" s="10"/>
      <c r="EH296" s="10"/>
      <c r="EI296" s="10"/>
      <c r="EJ296" s="10"/>
      <c r="EK296" s="10"/>
      <c r="EL296" s="10"/>
      <c r="EM296" s="10"/>
      <c r="EN296" s="10"/>
      <c r="EO296" s="10"/>
      <c r="EP296" s="10"/>
      <c r="EQ296" s="10"/>
      <c r="ER296" s="10"/>
      <c r="ES296" s="10"/>
      <c r="ET296" s="10"/>
      <c r="EU296" s="10"/>
      <c r="EV296" s="10"/>
      <c r="EW296" s="10"/>
      <c r="EX296" s="10"/>
      <c r="EY296" s="10"/>
      <c r="EZ296" s="10"/>
      <c r="FA296" s="10"/>
      <c r="FB296" s="10"/>
      <c r="FC296" s="10"/>
      <c r="FD296" s="10"/>
      <c r="FE296" s="10"/>
      <c r="FF296" s="10"/>
      <c r="FG296" s="10"/>
      <c r="FH296" s="10"/>
      <c r="FI296" s="10"/>
      <c r="FJ296" s="10"/>
      <c r="FK296" s="10"/>
      <c r="FL296" s="10"/>
      <c r="FM296" s="10"/>
      <c r="FN296" s="10"/>
      <c r="FO296" s="10"/>
      <c r="FP296" s="10"/>
      <c r="FQ296" s="10"/>
      <c r="FR296" s="10"/>
      <c r="FS296" s="10"/>
      <c r="FT296" s="10"/>
      <c r="FU296" s="10"/>
      <c r="FV296" s="10"/>
      <c r="FW296" s="10"/>
      <c r="FX296" s="10"/>
      <c r="FY296" s="10"/>
      <c r="FZ296" s="10"/>
      <c r="GA296" s="10"/>
      <c r="GB296" s="10"/>
      <c r="GC296" s="10"/>
      <c r="GD296" s="10"/>
      <c r="GE296" s="10"/>
      <c r="GF296" s="10"/>
      <c r="GG296" s="10"/>
      <c r="GH296" s="10"/>
      <c r="GI296" s="10"/>
      <c r="GJ296" s="10"/>
      <c r="GK296" s="10"/>
    </row>
    <row r="297" customFormat="false" ht="12.75" hidden="false" customHeight="false" outlineLevel="0" collapsed="false">
      <c r="A297" s="7"/>
      <c r="B297" s="7"/>
      <c r="C297" s="8"/>
      <c r="D297" s="8"/>
      <c r="E297" s="8"/>
      <c r="F297" s="8"/>
      <c r="G297" s="9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K297" s="10"/>
      <c r="CL297" s="10"/>
      <c r="CM297" s="10"/>
      <c r="CN297" s="10"/>
      <c r="CO297" s="10"/>
      <c r="CP297" s="10"/>
      <c r="CQ297" s="10"/>
      <c r="CR297" s="10"/>
      <c r="CS297" s="10"/>
      <c r="CT297" s="10"/>
      <c r="CU297" s="10"/>
      <c r="CV297" s="10"/>
      <c r="CW297" s="10"/>
      <c r="CX297" s="10"/>
      <c r="CY297" s="10"/>
      <c r="CZ297" s="10"/>
      <c r="DA297" s="10"/>
      <c r="DB297" s="10"/>
      <c r="DC297" s="10"/>
      <c r="DD297" s="10"/>
      <c r="DE297" s="10"/>
      <c r="DF297" s="10"/>
      <c r="DG297" s="10"/>
      <c r="DH297" s="10"/>
      <c r="DI297" s="10"/>
      <c r="DJ297" s="10"/>
      <c r="DK297" s="10"/>
      <c r="DL297" s="10"/>
      <c r="DM297" s="10"/>
      <c r="DN297" s="10"/>
      <c r="DO297" s="10"/>
      <c r="DP297" s="10"/>
      <c r="DQ297" s="10"/>
      <c r="DR297" s="10"/>
      <c r="DS297" s="10"/>
      <c r="DT297" s="10"/>
      <c r="DU297" s="10"/>
      <c r="DV297" s="10"/>
      <c r="DW297" s="10"/>
      <c r="DX297" s="10"/>
      <c r="DY297" s="10"/>
      <c r="DZ297" s="10"/>
      <c r="EA297" s="10"/>
      <c r="EB297" s="10"/>
      <c r="EC297" s="10"/>
      <c r="ED297" s="10"/>
      <c r="EE297" s="10"/>
      <c r="EF297" s="10"/>
      <c r="EG297" s="10"/>
      <c r="EH297" s="10"/>
      <c r="EI297" s="10"/>
      <c r="EJ297" s="10"/>
      <c r="EK297" s="10"/>
      <c r="EL297" s="10"/>
      <c r="EM297" s="10"/>
      <c r="EN297" s="10"/>
      <c r="EO297" s="10"/>
      <c r="EP297" s="10"/>
      <c r="EQ297" s="10"/>
      <c r="ER297" s="10"/>
      <c r="ES297" s="10"/>
      <c r="ET297" s="10"/>
      <c r="EU297" s="10"/>
      <c r="EV297" s="10"/>
      <c r="EW297" s="10"/>
      <c r="EX297" s="10"/>
      <c r="EY297" s="10"/>
      <c r="EZ297" s="10"/>
      <c r="FA297" s="10"/>
      <c r="FB297" s="10"/>
      <c r="FC297" s="10"/>
      <c r="FD297" s="10"/>
      <c r="FE297" s="10"/>
      <c r="FF297" s="10"/>
      <c r="FG297" s="10"/>
      <c r="FH297" s="10"/>
      <c r="FI297" s="10"/>
      <c r="FJ297" s="10"/>
      <c r="FK297" s="10"/>
      <c r="FL297" s="10"/>
      <c r="FM297" s="10"/>
      <c r="FN297" s="10"/>
      <c r="FO297" s="10"/>
      <c r="FP297" s="10"/>
      <c r="FQ297" s="10"/>
      <c r="FR297" s="10"/>
      <c r="FS297" s="10"/>
      <c r="FT297" s="10"/>
      <c r="FU297" s="10"/>
      <c r="FV297" s="10"/>
      <c r="FW297" s="10"/>
      <c r="FX297" s="10"/>
      <c r="FY297" s="10"/>
      <c r="FZ297" s="10"/>
      <c r="GA297" s="10"/>
      <c r="GB297" s="10"/>
      <c r="GC297" s="10"/>
      <c r="GD297" s="10"/>
      <c r="GE297" s="10"/>
      <c r="GF297" s="10"/>
      <c r="GG297" s="10"/>
      <c r="GH297" s="10"/>
      <c r="GI297" s="10"/>
      <c r="GJ297" s="10"/>
      <c r="GK297" s="10"/>
    </row>
    <row r="298" customFormat="false" ht="12.75" hidden="false" customHeight="false" outlineLevel="0" collapsed="false">
      <c r="A298" s="7"/>
      <c r="B298" s="7"/>
      <c r="C298" s="8"/>
      <c r="D298" s="8"/>
      <c r="E298" s="8"/>
      <c r="F298" s="8"/>
      <c r="G298" s="9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0"/>
      <c r="CL298" s="10"/>
      <c r="CM298" s="10"/>
      <c r="CN298" s="10"/>
      <c r="CO298" s="10"/>
      <c r="CP298" s="10"/>
      <c r="CQ298" s="10"/>
      <c r="CR298" s="10"/>
      <c r="CS298" s="10"/>
      <c r="CT298" s="10"/>
      <c r="CU298" s="10"/>
      <c r="CV298" s="10"/>
      <c r="CW298" s="10"/>
      <c r="CX298" s="10"/>
      <c r="CY298" s="10"/>
      <c r="CZ298" s="10"/>
      <c r="DA298" s="10"/>
      <c r="DB298" s="10"/>
      <c r="DC298" s="10"/>
      <c r="DD298" s="10"/>
      <c r="DE298" s="10"/>
      <c r="DF298" s="10"/>
      <c r="DG298" s="10"/>
      <c r="DH298" s="10"/>
      <c r="DI298" s="10"/>
      <c r="DJ298" s="10"/>
      <c r="DK298" s="10"/>
      <c r="DL298" s="10"/>
      <c r="DM298" s="10"/>
      <c r="DN298" s="10"/>
      <c r="DO298" s="10"/>
      <c r="DP298" s="10"/>
      <c r="DQ298" s="10"/>
      <c r="DR298" s="10"/>
      <c r="DS298" s="10"/>
      <c r="DT298" s="10"/>
      <c r="DU298" s="10"/>
      <c r="DV298" s="10"/>
      <c r="DW298" s="10"/>
      <c r="DX298" s="10"/>
      <c r="DY298" s="10"/>
      <c r="DZ298" s="10"/>
      <c r="EA298" s="10"/>
      <c r="EB298" s="10"/>
      <c r="EC298" s="10"/>
      <c r="ED298" s="10"/>
      <c r="EE298" s="10"/>
      <c r="EF298" s="10"/>
      <c r="EG298" s="10"/>
      <c r="EH298" s="10"/>
      <c r="EI298" s="10"/>
      <c r="EJ298" s="10"/>
      <c r="EK298" s="10"/>
      <c r="EL298" s="10"/>
      <c r="EM298" s="10"/>
      <c r="EN298" s="10"/>
      <c r="EO298" s="10"/>
      <c r="EP298" s="10"/>
      <c r="EQ298" s="10"/>
      <c r="ER298" s="10"/>
      <c r="ES298" s="10"/>
      <c r="ET298" s="10"/>
      <c r="EU298" s="10"/>
      <c r="EV298" s="10"/>
      <c r="EW298" s="10"/>
      <c r="EX298" s="10"/>
      <c r="EY298" s="10"/>
      <c r="EZ298" s="10"/>
      <c r="FA298" s="10"/>
      <c r="FB298" s="10"/>
      <c r="FC298" s="10"/>
      <c r="FD298" s="10"/>
      <c r="FE298" s="10"/>
      <c r="FF298" s="10"/>
      <c r="FG298" s="10"/>
      <c r="FH298" s="10"/>
      <c r="FI298" s="10"/>
      <c r="FJ298" s="10"/>
      <c r="FK298" s="10"/>
      <c r="FL298" s="10"/>
      <c r="FM298" s="10"/>
      <c r="FN298" s="10"/>
      <c r="FO298" s="10"/>
      <c r="FP298" s="10"/>
      <c r="FQ298" s="10"/>
      <c r="FR298" s="10"/>
      <c r="FS298" s="10"/>
      <c r="FT298" s="10"/>
      <c r="FU298" s="10"/>
      <c r="FV298" s="10"/>
      <c r="FW298" s="10"/>
      <c r="FX298" s="10"/>
      <c r="FY298" s="10"/>
      <c r="FZ298" s="10"/>
      <c r="GA298" s="10"/>
      <c r="GB298" s="10"/>
      <c r="GC298" s="10"/>
      <c r="GD298" s="10"/>
      <c r="GE298" s="10"/>
      <c r="GF298" s="10"/>
      <c r="GG298" s="10"/>
      <c r="GH298" s="10"/>
      <c r="GI298" s="10"/>
      <c r="GJ298" s="10"/>
      <c r="GK298" s="10"/>
    </row>
    <row r="299" customFormat="false" ht="12.75" hidden="false" customHeight="false" outlineLevel="0" collapsed="false">
      <c r="A299" s="7"/>
      <c r="B299" s="7"/>
      <c r="C299" s="8"/>
      <c r="D299" s="8"/>
      <c r="E299" s="8"/>
      <c r="F299" s="8"/>
      <c r="G299" s="9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  <c r="CL299" s="10"/>
      <c r="CM299" s="10"/>
      <c r="CN299" s="10"/>
      <c r="CO299" s="10"/>
      <c r="CP299" s="10"/>
      <c r="CQ299" s="10"/>
      <c r="CR299" s="10"/>
      <c r="CS299" s="10"/>
      <c r="CT299" s="10"/>
      <c r="CU299" s="10"/>
      <c r="CV299" s="10"/>
      <c r="CW299" s="10"/>
      <c r="CX299" s="10"/>
      <c r="CY299" s="10"/>
      <c r="CZ299" s="10"/>
      <c r="DA299" s="10"/>
      <c r="DB299" s="10"/>
      <c r="DC299" s="10"/>
      <c r="DD299" s="10"/>
      <c r="DE299" s="10"/>
      <c r="DF299" s="10"/>
      <c r="DG299" s="10"/>
      <c r="DH299" s="10"/>
      <c r="DI299" s="10"/>
      <c r="DJ299" s="10"/>
      <c r="DK299" s="10"/>
      <c r="DL299" s="10"/>
      <c r="DM299" s="10"/>
      <c r="DN299" s="10"/>
      <c r="DO299" s="10"/>
      <c r="DP299" s="10"/>
      <c r="DQ299" s="10"/>
      <c r="DR299" s="10"/>
      <c r="DS299" s="10"/>
      <c r="DT299" s="10"/>
      <c r="DU299" s="10"/>
      <c r="DV299" s="10"/>
      <c r="DW299" s="10"/>
      <c r="DX299" s="10"/>
      <c r="DY299" s="10"/>
      <c r="DZ299" s="10"/>
      <c r="EA299" s="10"/>
      <c r="EB299" s="10"/>
      <c r="EC299" s="10"/>
      <c r="ED299" s="10"/>
      <c r="EE299" s="10"/>
      <c r="EF299" s="10"/>
      <c r="EG299" s="10"/>
      <c r="EH299" s="10"/>
      <c r="EI299" s="10"/>
      <c r="EJ299" s="10"/>
      <c r="EK299" s="10"/>
      <c r="EL299" s="10"/>
      <c r="EM299" s="10"/>
      <c r="EN299" s="10"/>
      <c r="EO299" s="10"/>
      <c r="EP299" s="10"/>
      <c r="EQ299" s="10"/>
      <c r="ER299" s="10"/>
      <c r="ES299" s="10"/>
      <c r="ET299" s="10"/>
      <c r="EU299" s="10"/>
      <c r="EV299" s="10"/>
      <c r="EW299" s="10"/>
      <c r="EX299" s="10"/>
      <c r="EY299" s="10"/>
      <c r="EZ299" s="10"/>
      <c r="FA299" s="10"/>
      <c r="FB299" s="10"/>
      <c r="FC299" s="10"/>
      <c r="FD299" s="10"/>
      <c r="FE299" s="10"/>
      <c r="FF299" s="10"/>
      <c r="FG299" s="10"/>
      <c r="FH299" s="10"/>
      <c r="FI299" s="10"/>
      <c r="FJ299" s="10"/>
      <c r="FK299" s="10"/>
      <c r="FL299" s="10"/>
      <c r="FM299" s="10"/>
      <c r="FN299" s="10"/>
      <c r="FO299" s="10"/>
      <c r="FP299" s="10"/>
      <c r="FQ299" s="10"/>
      <c r="FR299" s="10"/>
      <c r="FS299" s="10"/>
      <c r="FT299" s="10"/>
      <c r="FU299" s="10"/>
      <c r="FV299" s="10"/>
      <c r="FW299" s="10"/>
      <c r="FX299" s="10"/>
      <c r="FY299" s="10"/>
      <c r="FZ299" s="10"/>
      <c r="GA299" s="10"/>
      <c r="GB299" s="10"/>
      <c r="GC299" s="10"/>
      <c r="GD299" s="10"/>
      <c r="GE299" s="10"/>
      <c r="GF299" s="10"/>
      <c r="GG299" s="10"/>
      <c r="GH299" s="10"/>
      <c r="GI299" s="10"/>
      <c r="GJ299" s="10"/>
      <c r="GK299" s="10"/>
    </row>
    <row r="300" customFormat="false" ht="12.75" hidden="false" customHeight="false" outlineLevel="0" collapsed="false">
      <c r="A300" s="7"/>
      <c r="B300" s="7"/>
      <c r="C300" s="8"/>
      <c r="D300" s="8"/>
      <c r="E300" s="8"/>
      <c r="F300" s="8"/>
      <c r="G300" s="9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K300" s="10"/>
      <c r="CL300" s="10"/>
      <c r="CM300" s="10"/>
      <c r="CN300" s="10"/>
      <c r="CO300" s="10"/>
      <c r="CP300" s="10"/>
      <c r="CQ300" s="10"/>
      <c r="CR300" s="10"/>
      <c r="CS300" s="10"/>
      <c r="CT300" s="10"/>
      <c r="CU300" s="10"/>
      <c r="CV300" s="10"/>
      <c r="CW300" s="10"/>
      <c r="CX300" s="10"/>
      <c r="CY300" s="10"/>
      <c r="CZ300" s="10"/>
      <c r="DA300" s="10"/>
      <c r="DB300" s="10"/>
      <c r="DC300" s="10"/>
      <c r="DD300" s="10"/>
      <c r="DE300" s="10"/>
      <c r="DF300" s="10"/>
      <c r="DG300" s="10"/>
      <c r="DH300" s="10"/>
      <c r="DI300" s="10"/>
      <c r="DJ300" s="10"/>
      <c r="DK300" s="10"/>
      <c r="DL300" s="10"/>
      <c r="DM300" s="10"/>
      <c r="DN300" s="10"/>
      <c r="DO300" s="10"/>
      <c r="DP300" s="10"/>
      <c r="DQ300" s="10"/>
      <c r="DR300" s="10"/>
      <c r="DS300" s="10"/>
      <c r="DT300" s="10"/>
      <c r="DU300" s="10"/>
      <c r="DV300" s="10"/>
      <c r="DW300" s="10"/>
      <c r="DX300" s="10"/>
      <c r="DY300" s="10"/>
      <c r="DZ300" s="10"/>
      <c r="EA300" s="10"/>
      <c r="EB300" s="10"/>
      <c r="EC300" s="10"/>
      <c r="ED300" s="10"/>
      <c r="EE300" s="10"/>
      <c r="EF300" s="10"/>
      <c r="EG300" s="10"/>
      <c r="EH300" s="10"/>
      <c r="EI300" s="10"/>
      <c r="EJ300" s="10"/>
      <c r="EK300" s="10"/>
      <c r="EL300" s="10"/>
      <c r="EM300" s="10"/>
      <c r="EN300" s="10"/>
      <c r="EO300" s="10"/>
      <c r="EP300" s="10"/>
      <c r="EQ300" s="10"/>
      <c r="ER300" s="10"/>
      <c r="ES300" s="10"/>
      <c r="ET300" s="10"/>
      <c r="EU300" s="10"/>
      <c r="EV300" s="10"/>
      <c r="EW300" s="10"/>
      <c r="EX300" s="10"/>
      <c r="EY300" s="10"/>
      <c r="EZ300" s="10"/>
      <c r="FA300" s="10"/>
      <c r="FB300" s="10"/>
      <c r="FC300" s="10"/>
      <c r="FD300" s="10"/>
      <c r="FE300" s="10"/>
      <c r="FF300" s="10"/>
      <c r="FG300" s="10"/>
      <c r="FH300" s="10"/>
      <c r="FI300" s="10"/>
      <c r="FJ300" s="10"/>
      <c r="FK300" s="10"/>
      <c r="FL300" s="10"/>
      <c r="FM300" s="10"/>
      <c r="FN300" s="10"/>
      <c r="FO300" s="10"/>
      <c r="FP300" s="10"/>
      <c r="FQ300" s="10"/>
      <c r="FR300" s="10"/>
      <c r="FS300" s="10"/>
      <c r="FT300" s="10"/>
      <c r="FU300" s="10"/>
      <c r="FV300" s="10"/>
      <c r="FW300" s="10"/>
      <c r="FX300" s="10"/>
      <c r="FY300" s="10"/>
      <c r="FZ300" s="10"/>
      <c r="GA300" s="10"/>
      <c r="GB300" s="10"/>
      <c r="GC300" s="10"/>
      <c r="GD300" s="10"/>
      <c r="GE300" s="10"/>
      <c r="GF300" s="10"/>
      <c r="GG300" s="10"/>
      <c r="GH300" s="10"/>
      <c r="GI300" s="10"/>
      <c r="GJ300" s="10"/>
      <c r="GK300" s="10"/>
    </row>
    <row r="301" customFormat="false" ht="12.75" hidden="false" customHeight="false" outlineLevel="0" collapsed="false">
      <c r="A301" s="7"/>
      <c r="B301" s="7"/>
      <c r="C301" s="8"/>
      <c r="D301" s="8"/>
      <c r="E301" s="8"/>
      <c r="F301" s="8"/>
      <c r="G301" s="9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  <c r="CL301" s="10"/>
      <c r="CM301" s="10"/>
      <c r="CN301" s="10"/>
      <c r="CO301" s="10"/>
      <c r="CP301" s="10"/>
      <c r="CQ301" s="10"/>
      <c r="CR301" s="10"/>
      <c r="CS301" s="10"/>
      <c r="CT301" s="10"/>
      <c r="CU301" s="10"/>
      <c r="CV301" s="10"/>
      <c r="CW301" s="10"/>
      <c r="CX301" s="10"/>
      <c r="CY301" s="10"/>
      <c r="CZ301" s="10"/>
      <c r="DA301" s="10"/>
      <c r="DB301" s="10"/>
      <c r="DC301" s="10"/>
      <c r="DD301" s="10"/>
      <c r="DE301" s="10"/>
      <c r="DF301" s="10"/>
      <c r="DG301" s="10"/>
      <c r="DH301" s="10"/>
      <c r="DI301" s="10"/>
      <c r="DJ301" s="10"/>
      <c r="DK301" s="10"/>
      <c r="DL301" s="10"/>
      <c r="DM301" s="10"/>
      <c r="DN301" s="10"/>
      <c r="DO301" s="10"/>
      <c r="DP301" s="10"/>
      <c r="DQ301" s="10"/>
      <c r="DR301" s="10"/>
      <c r="DS301" s="10"/>
      <c r="DT301" s="10"/>
      <c r="DU301" s="10"/>
      <c r="DV301" s="10"/>
      <c r="DW301" s="10"/>
      <c r="DX301" s="10"/>
      <c r="DY301" s="10"/>
      <c r="DZ301" s="10"/>
      <c r="EA301" s="10"/>
      <c r="EB301" s="10"/>
      <c r="EC301" s="10"/>
      <c r="ED301" s="10"/>
      <c r="EE301" s="10"/>
      <c r="EF301" s="10"/>
      <c r="EG301" s="10"/>
      <c r="EH301" s="10"/>
      <c r="EI301" s="10"/>
      <c r="EJ301" s="10"/>
      <c r="EK301" s="10"/>
      <c r="EL301" s="10"/>
      <c r="EM301" s="10"/>
      <c r="EN301" s="10"/>
      <c r="EO301" s="10"/>
      <c r="EP301" s="10"/>
      <c r="EQ301" s="10"/>
      <c r="ER301" s="10"/>
      <c r="ES301" s="10"/>
      <c r="ET301" s="10"/>
      <c r="EU301" s="10"/>
      <c r="EV301" s="10"/>
      <c r="EW301" s="10"/>
      <c r="EX301" s="10"/>
      <c r="EY301" s="10"/>
      <c r="EZ301" s="10"/>
      <c r="FA301" s="10"/>
      <c r="FB301" s="10"/>
      <c r="FC301" s="10"/>
      <c r="FD301" s="10"/>
      <c r="FE301" s="10"/>
      <c r="FF301" s="10"/>
      <c r="FG301" s="10"/>
      <c r="FH301" s="10"/>
      <c r="FI301" s="10"/>
      <c r="FJ301" s="10"/>
      <c r="FK301" s="10"/>
      <c r="FL301" s="10"/>
      <c r="FM301" s="10"/>
      <c r="FN301" s="10"/>
      <c r="FO301" s="10"/>
      <c r="FP301" s="10"/>
      <c r="FQ301" s="10"/>
      <c r="FR301" s="10"/>
      <c r="FS301" s="10"/>
      <c r="FT301" s="10"/>
      <c r="FU301" s="10"/>
      <c r="FV301" s="10"/>
      <c r="FW301" s="10"/>
      <c r="FX301" s="10"/>
      <c r="FY301" s="10"/>
      <c r="FZ301" s="10"/>
      <c r="GA301" s="10"/>
      <c r="GB301" s="10"/>
      <c r="GC301" s="10"/>
      <c r="GD301" s="10"/>
      <c r="GE301" s="10"/>
      <c r="GF301" s="10"/>
      <c r="GG301" s="10"/>
      <c r="GH301" s="10"/>
      <c r="GI301" s="10"/>
      <c r="GJ301" s="10"/>
      <c r="GK301" s="10"/>
    </row>
    <row r="302" customFormat="false" ht="12.75" hidden="false" customHeight="false" outlineLevel="0" collapsed="false">
      <c r="A302" s="7"/>
      <c r="B302" s="7"/>
      <c r="C302" s="8"/>
      <c r="D302" s="8"/>
      <c r="E302" s="8"/>
      <c r="F302" s="8"/>
      <c r="G302" s="9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0"/>
      <c r="CL302" s="10"/>
      <c r="CM302" s="10"/>
      <c r="CN302" s="10"/>
      <c r="CO302" s="10"/>
      <c r="CP302" s="10"/>
      <c r="CQ302" s="10"/>
      <c r="CR302" s="10"/>
      <c r="CS302" s="10"/>
      <c r="CT302" s="10"/>
      <c r="CU302" s="10"/>
      <c r="CV302" s="10"/>
      <c r="CW302" s="10"/>
      <c r="CX302" s="10"/>
      <c r="CY302" s="10"/>
      <c r="CZ302" s="10"/>
      <c r="DA302" s="10"/>
      <c r="DB302" s="10"/>
      <c r="DC302" s="10"/>
      <c r="DD302" s="10"/>
      <c r="DE302" s="10"/>
      <c r="DF302" s="10"/>
      <c r="DG302" s="10"/>
      <c r="DH302" s="10"/>
      <c r="DI302" s="10"/>
      <c r="DJ302" s="10"/>
      <c r="DK302" s="10"/>
      <c r="DL302" s="10"/>
      <c r="DM302" s="10"/>
      <c r="DN302" s="10"/>
      <c r="DO302" s="10"/>
      <c r="DP302" s="10"/>
      <c r="DQ302" s="10"/>
      <c r="DR302" s="10"/>
      <c r="DS302" s="10"/>
      <c r="DT302" s="10"/>
      <c r="DU302" s="10"/>
      <c r="DV302" s="10"/>
      <c r="DW302" s="10"/>
      <c r="DX302" s="10"/>
      <c r="DY302" s="10"/>
      <c r="DZ302" s="10"/>
      <c r="EA302" s="10"/>
      <c r="EB302" s="10"/>
      <c r="EC302" s="10"/>
      <c r="ED302" s="10"/>
      <c r="EE302" s="10"/>
      <c r="EF302" s="10"/>
      <c r="EG302" s="10"/>
      <c r="EH302" s="10"/>
      <c r="EI302" s="10"/>
      <c r="EJ302" s="10"/>
      <c r="EK302" s="10"/>
      <c r="EL302" s="10"/>
      <c r="EM302" s="10"/>
      <c r="EN302" s="10"/>
      <c r="EO302" s="10"/>
      <c r="EP302" s="10"/>
      <c r="EQ302" s="10"/>
      <c r="ER302" s="10"/>
      <c r="ES302" s="10"/>
      <c r="ET302" s="10"/>
      <c r="EU302" s="10"/>
      <c r="EV302" s="10"/>
      <c r="EW302" s="10"/>
      <c r="EX302" s="10"/>
      <c r="EY302" s="10"/>
      <c r="EZ302" s="10"/>
      <c r="FA302" s="10"/>
      <c r="FB302" s="10"/>
      <c r="FC302" s="10"/>
      <c r="FD302" s="10"/>
      <c r="FE302" s="10"/>
      <c r="FF302" s="10"/>
      <c r="FG302" s="10"/>
      <c r="FH302" s="10"/>
      <c r="FI302" s="10"/>
      <c r="FJ302" s="10"/>
      <c r="FK302" s="10"/>
      <c r="FL302" s="10"/>
      <c r="FM302" s="10"/>
      <c r="FN302" s="10"/>
      <c r="FO302" s="10"/>
      <c r="FP302" s="10"/>
      <c r="FQ302" s="10"/>
      <c r="FR302" s="10"/>
      <c r="FS302" s="10"/>
      <c r="FT302" s="10"/>
      <c r="FU302" s="10"/>
      <c r="FV302" s="10"/>
      <c r="FW302" s="10"/>
      <c r="FX302" s="10"/>
      <c r="FY302" s="10"/>
      <c r="FZ302" s="10"/>
      <c r="GA302" s="10"/>
      <c r="GB302" s="10"/>
      <c r="GC302" s="10"/>
      <c r="GD302" s="10"/>
      <c r="GE302" s="10"/>
      <c r="GF302" s="10"/>
      <c r="GG302" s="10"/>
      <c r="GH302" s="10"/>
      <c r="GI302" s="10"/>
      <c r="GJ302" s="10"/>
      <c r="GK302" s="10"/>
    </row>
    <row r="303" customFormat="false" ht="12.75" hidden="false" customHeight="false" outlineLevel="0" collapsed="false">
      <c r="A303" s="7"/>
      <c r="B303" s="7"/>
      <c r="C303" s="8"/>
      <c r="D303" s="8"/>
      <c r="E303" s="8"/>
      <c r="F303" s="8"/>
      <c r="G303" s="9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  <c r="CO303" s="10"/>
      <c r="CP303" s="10"/>
      <c r="CQ303" s="10"/>
      <c r="CR303" s="10"/>
      <c r="CS303" s="10"/>
      <c r="CT303" s="10"/>
      <c r="CU303" s="10"/>
      <c r="CV303" s="10"/>
      <c r="CW303" s="10"/>
      <c r="CX303" s="10"/>
      <c r="CY303" s="10"/>
      <c r="CZ303" s="10"/>
      <c r="DA303" s="10"/>
      <c r="DB303" s="10"/>
      <c r="DC303" s="10"/>
      <c r="DD303" s="10"/>
      <c r="DE303" s="10"/>
      <c r="DF303" s="10"/>
      <c r="DG303" s="10"/>
      <c r="DH303" s="10"/>
      <c r="DI303" s="10"/>
      <c r="DJ303" s="10"/>
      <c r="DK303" s="10"/>
      <c r="DL303" s="10"/>
      <c r="DM303" s="10"/>
      <c r="DN303" s="10"/>
      <c r="DO303" s="10"/>
      <c r="DP303" s="10"/>
      <c r="DQ303" s="10"/>
      <c r="DR303" s="10"/>
      <c r="DS303" s="10"/>
      <c r="DT303" s="10"/>
      <c r="DU303" s="10"/>
      <c r="DV303" s="10"/>
      <c r="DW303" s="10"/>
      <c r="DX303" s="10"/>
      <c r="DY303" s="10"/>
      <c r="DZ303" s="10"/>
      <c r="EA303" s="10"/>
      <c r="EB303" s="10"/>
      <c r="EC303" s="10"/>
      <c r="ED303" s="10"/>
      <c r="EE303" s="10"/>
      <c r="EF303" s="10"/>
      <c r="EG303" s="10"/>
      <c r="EH303" s="10"/>
      <c r="EI303" s="10"/>
      <c r="EJ303" s="10"/>
      <c r="EK303" s="10"/>
      <c r="EL303" s="10"/>
      <c r="EM303" s="10"/>
      <c r="EN303" s="10"/>
      <c r="EO303" s="10"/>
      <c r="EP303" s="10"/>
      <c r="EQ303" s="10"/>
      <c r="ER303" s="10"/>
      <c r="ES303" s="10"/>
      <c r="ET303" s="10"/>
      <c r="EU303" s="10"/>
      <c r="EV303" s="10"/>
      <c r="EW303" s="10"/>
      <c r="EX303" s="10"/>
      <c r="EY303" s="10"/>
      <c r="EZ303" s="10"/>
      <c r="FA303" s="10"/>
      <c r="FB303" s="10"/>
      <c r="FC303" s="10"/>
      <c r="FD303" s="10"/>
      <c r="FE303" s="10"/>
      <c r="FF303" s="10"/>
      <c r="FG303" s="10"/>
      <c r="FH303" s="10"/>
      <c r="FI303" s="10"/>
      <c r="FJ303" s="10"/>
      <c r="FK303" s="10"/>
      <c r="FL303" s="10"/>
      <c r="FM303" s="10"/>
      <c r="FN303" s="10"/>
      <c r="FO303" s="10"/>
      <c r="FP303" s="10"/>
      <c r="FQ303" s="10"/>
      <c r="FR303" s="10"/>
      <c r="FS303" s="10"/>
      <c r="FT303" s="10"/>
      <c r="FU303" s="10"/>
      <c r="FV303" s="10"/>
      <c r="FW303" s="10"/>
      <c r="FX303" s="10"/>
      <c r="FY303" s="10"/>
      <c r="FZ303" s="10"/>
      <c r="GA303" s="10"/>
      <c r="GB303" s="10"/>
      <c r="GC303" s="10"/>
      <c r="GD303" s="10"/>
      <c r="GE303" s="10"/>
      <c r="GF303" s="10"/>
      <c r="GG303" s="10"/>
      <c r="GH303" s="10"/>
      <c r="GI303" s="10"/>
      <c r="GJ303" s="10"/>
      <c r="GK303" s="10"/>
    </row>
    <row r="304" customFormat="false" ht="12.75" hidden="false" customHeight="false" outlineLevel="0" collapsed="false">
      <c r="A304" s="7"/>
      <c r="B304" s="7"/>
      <c r="C304" s="8"/>
      <c r="D304" s="8"/>
      <c r="E304" s="8"/>
      <c r="F304" s="8"/>
      <c r="G304" s="9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  <c r="EM304" s="10"/>
      <c r="EN304" s="10"/>
      <c r="EO304" s="10"/>
      <c r="EP304" s="10"/>
      <c r="EQ304" s="10"/>
      <c r="ER304" s="10"/>
      <c r="ES304" s="10"/>
      <c r="ET304" s="10"/>
      <c r="EU304" s="10"/>
      <c r="EV304" s="10"/>
      <c r="EW304" s="10"/>
      <c r="EX304" s="10"/>
      <c r="EY304" s="10"/>
      <c r="EZ304" s="10"/>
      <c r="FA304" s="10"/>
      <c r="FB304" s="10"/>
      <c r="FC304" s="10"/>
      <c r="FD304" s="10"/>
      <c r="FE304" s="10"/>
      <c r="FF304" s="10"/>
      <c r="FG304" s="10"/>
      <c r="FH304" s="10"/>
      <c r="FI304" s="10"/>
      <c r="FJ304" s="10"/>
      <c r="FK304" s="10"/>
      <c r="FL304" s="10"/>
      <c r="FM304" s="10"/>
      <c r="FN304" s="10"/>
      <c r="FO304" s="10"/>
      <c r="FP304" s="10"/>
      <c r="FQ304" s="10"/>
      <c r="FR304" s="10"/>
      <c r="FS304" s="10"/>
      <c r="FT304" s="10"/>
      <c r="FU304" s="10"/>
      <c r="FV304" s="10"/>
      <c r="FW304" s="10"/>
      <c r="FX304" s="10"/>
      <c r="FY304" s="10"/>
      <c r="FZ304" s="10"/>
      <c r="GA304" s="10"/>
      <c r="GB304" s="10"/>
      <c r="GC304" s="10"/>
      <c r="GD304" s="10"/>
      <c r="GE304" s="10"/>
      <c r="GF304" s="10"/>
      <c r="GG304" s="10"/>
      <c r="GH304" s="10"/>
      <c r="GI304" s="10"/>
      <c r="GJ304" s="10"/>
      <c r="GK304" s="10"/>
    </row>
    <row r="305" customFormat="false" ht="12.75" hidden="false" customHeight="false" outlineLevel="0" collapsed="false">
      <c r="A305" s="7"/>
      <c r="B305" s="7"/>
      <c r="C305" s="8"/>
      <c r="D305" s="8"/>
      <c r="E305" s="8"/>
      <c r="F305" s="8"/>
      <c r="G305" s="9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  <c r="CL305" s="10"/>
      <c r="CM305" s="10"/>
      <c r="CN305" s="10"/>
      <c r="CO305" s="10"/>
      <c r="CP305" s="10"/>
      <c r="CQ305" s="10"/>
      <c r="CR305" s="10"/>
      <c r="CS305" s="10"/>
      <c r="CT305" s="10"/>
      <c r="CU305" s="10"/>
      <c r="CV305" s="10"/>
      <c r="CW305" s="10"/>
      <c r="CX305" s="10"/>
      <c r="CY305" s="10"/>
      <c r="CZ305" s="10"/>
      <c r="DA305" s="10"/>
      <c r="DB305" s="10"/>
      <c r="DC305" s="10"/>
      <c r="DD305" s="10"/>
      <c r="DE305" s="10"/>
      <c r="DF305" s="10"/>
      <c r="DG305" s="10"/>
      <c r="DH305" s="10"/>
      <c r="DI305" s="10"/>
      <c r="DJ305" s="10"/>
      <c r="DK305" s="10"/>
      <c r="DL305" s="10"/>
      <c r="DM305" s="10"/>
      <c r="DN305" s="10"/>
      <c r="DO305" s="10"/>
      <c r="DP305" s="10"/>
      <c r="DQ305" s="10"/>
      <c r="DR305" s="10"/>
      <c r="DS305" s="10"/>
      <c r="DT305" s="10"/>
      <c r="DU305" s="10"/>
      <c r="DV305" s="10"/>
      <c r="DW305" s="10"/>
      <c r="DX305" s="10"/>
      <c r="DY305" s="10"/>
      <c r="DZ305" s="10"/>
      <c r="EA305" s="10"/>
      <c r="EB305" s="10"/>
      <c r="EC305" s="10"/>
      <c r="ED305" s="10"/>
      <c r="EE305" s="10"/>
      <c r="EF305" s="10"/>
      <c r="EG305" s="10"/>
      <c r="EH305" s="10"/>
      <c r="EI305" s="10"/>
      <c r="EJ305" s="10"/>
      <c r="EK305" s="10"/>
      <c r="EL305" s="10"/>
      <c r="EM305" s="10"/>
      <c r="EN305" s="10"/>
      <c r="EO305" s="10"/>
      <c r="EP305" s="10"/>
      <c r="EQ305" s="10"/>
      <c r="ER305" s="10"/>
      <c r="ES305" s="10"/>
      <c r="ET305" s="10"/>
      <c r="EU305" s="10"/>
      <c r="EV305" s="10"/>
      <c r="EW305" s="10"/>
      <c r="EX305" s="10"/>
      <c r="EY305" s="10"/>
      <c r="EZ305" s="10"/>
      <c r="FA305" s="10"/>
      <c r="FB305" s="10"/>
      <c r="FC305" s="10"/>
      <c r="FD305" s="10"/>
      <c r="FE305" s="10"/>
      <c r="FF305" s="10"/>
      <c r="FG305" s="10"/>
      <c r="FH305" s="10"/>
      <c r="FI305" s="10"/>
      <c r="FJ305" s="10"/>
      <c r="FK305" s="10"/>
      <c r="FL305" s="10"/>
      <c r="FM305" s="10"/>
      <c r="FN305" s="10"/>
      <c r="FO305" s="10"/>
      <c r="FP305" s="10"/>
      <c r="FQ305" s="10"/>
      <c r="FR305" s="10"/>
      <c r="FS305" s="10"/>
      <c r="FT305" s="10"/>
      <c r="FU305" s="10"/>
      <c r="FV305" s="10"/>
      <c r="FW305" s="10"/>
      <c r="FX305" s="10"/>
      <c r="FY305" s="10"/>
      <c r="FZ305" s="10"/>
      <c r="GA305" s="10"/>
      <c r="GB305" s="10"/>
      <c r="GC305" s="10"/>
      <c r="GD305" s="10"/>
      <c r="GE305" s="10"/>
      <c r="GF305" s="10"/>
      <c r="GG305" s="10"/>
      <c r="GH305" s="10"/>
      <c r="GI305" s="10"/>
      <c r="GJ305" s="10"/>
      <c r="GK305" s="10"/>
    </row>
    <row r="306" customFormat="false" ht="12.75" hidden="false" customHeight="false" outlineLevel="0" collapsed="false">
      <c r="A306" s="7"/>
      <c r="B306" s="7"/>
      <c r="C306" s="8"/>
      <c r="D306" s="8"/>
      <c r="E306" s="8"/>
      <c r="F306" s="8"/>
      <c r="G306" s="9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0"/>
      <c r="CL306" s="10"/>
      <c r="CM306" s="10"/>
      <c r="CN306" s="10"/>
      <c r="CO306" s="10"/>
      <c r="CP306" s="10"/>
      <c r="CQ306" s="10"/>
      <c r="CR306" s="10"/>
      <c r="CS306" s="10"/>
      <c r="CT306" s="10"/>
      <c r="CU306" s="10"/>
      <c r="CV306" s="10"/>
      <c r="CW306" s="10"/>
      <c r="CX306" s="10"/>
      <c r="CY306" s="10"/>
      <c r="CZ306" s="10"/>
      <c r="DA306" s="10"/>
      <c r="DB306" s="10"/>
      <c r="DC306" s="10"/>
      <c r="DD306" s="10"/>
      <c r="DE306" s="10"/>
      <c r="DF306" s="10"/>
      <c r="DG306" s="10"/>
      <c r="DH306" s="10"/>
      <c r="DI306" s="10"/>
      <c r="DJ306" s="10"/>
      <c r="DK306" s="10"/>
      <c r="DL306" s="10"/>
      <c r="DM306" s="10"/>
      <c r="DN306" s="10"/>
      <c r="DO306" s="10"/>
      <c r="DP306" s="10"/>
      <c r="DQ306" s="10"/>
      <c r="DR306" s="10"/>
      <c r="DS306" s="10"/>
      <c r="DT306" s="10"/>
      <c r="DU306" s="10"/>
      <c r="DV306" s="10"/>
      <c r="DW306" s="10"/>
      <c r="DX306" s="10"/>
      <c r="DY306" s="10"/>
      <c r="DZ306" s="10"/>
      <c r="EA306" s="10"/>
      <c r="EB306" s="10"/>
      <c r="EC306" s="10"/>
      <c r="ED306" s="10"/>
      <c r="EE306" s="10"/>
      <c r="EF306" s="10"/>
      <c r="EG306" s="10"/>
      <c r="EH306" s="10"/>
      <c r="EI306" s="10"/>
      <c r="EJ306" s="10"/>
      <c r="EK306" s="10"/>
      <c r="EL306" s="10"/>
      <c r="EM306" s="10"/>
      <c r="EN306" s="10"/>
      <c r="EO306" s="10"/>
      <c r="EP306" s="10"/>
      <c r="EQ306" s="10"/>
      <c r="ER306" s="10"/>
      <c r="ES306" s="10"/>
      <c r="ET306" s="10"/>
      <c r="EU306" s="10"/>
      <c r="EV306" s="10"/>
      <c r="EW306" s="10"/>
      <c r="EX306" s="10"/>
      <c r="EY306" s="10"/>
      <c r="EZ306" s="10"/>
      <c r="FA306" s="10"/>
      <c r="FB306" s="10"/>
      <c r="FC306" s="10"/>
      <c r="FD306" s="10"/>
      <c r="FE306" s="10"/>
      <c r="FF306" s="10"/>
      <c r="FG306" s="10"/>
      <c r="FH306" s="10"/>
      <c r="FI306" s="10"/>
      <c r="FJ306" s="10"/>
      <c r="FK306" s="10"/>
      <c r="FL306" s="10"/>
      <c r="FM306" s="10"/>
      <c r="FN306" s="10"/>
      <c r="FO306" s="10"/>
      <c r="FP306" s="10"/>
      <c r="FQ306" s="10"/>
      <c r="FR306" s="10"/>
      <c r="FS306" s="10"/>
      <c r="FT306" s="10"/>
      <c r="FU306" s="10"/>
      <c r="FV306" s="10"/>
      <c r="FW306" s="10"/>
      <c r="FX306" s="10"/>
      <c r="FY306" s="10"/>
      <c r="FZ306" s="10"/>
      <c r="GA306" s="10"/>
      <c r="GB306" s="10"/>
      <c r="GC306" s="10"/>
      <c r="GD306" s="10"/>
      <c r="GE306" s="10"/>
      <c r="GF306" s="10"/>
      <c r="GG306" s="10"/>
      <c r="GH306" s="10"/>
      <c r="GI306" s="10"/>
      <c r="GJ306" s="10"/>
      <c r="GK306" s="10"/>
    </row>
    <row r="307" customFormat="false" ht="12.75" hidden="false" customHeight="false" outlineLevel="0" collapsed="false">
      <c r="A307" s="7"/>
      <c r="B307" s="7"/>
      <c r="C307" s="8"/>
      <c r="D307" s="8"/>
      <c r="E307" s="8"/>
      <c r="F307" s="8"/>
      <c r="G307" s="9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  <c r="CT307" s="10"/>
      <c r="CU307" s="10"/>
      <c r="CV307" s="10"/>
      <c r="CW307" s="10"/>
      <c r="CX307" s="10"/>
      <c r="CY307" s="10"/>
      <c r="CZ307" s="10"/>
      <c r="DA307" s="10"/>
      <c r="DB307" s="10"/>
      <c r="DC307" s="10"/>
      <c r="DD307" s="10"/>
      <c r="DE307" s="10"/>
      <c r="DF307" s="10"/>
      <c r="DG307" s="10"/>
      <c r="DH307" s="10"/>
      <c r="DI307" s="10"/>
      <c r="DJ307" s="10"/>
      <c r="DK307" s="10"/>
      <c r="DL307" s="10"/>
      <c r="DM307" s="10"/>
      <c r="DN307" s="10"/>
      <c r="DO307" s="10"/>
      <c r="DP307" s="10"/>
      <c r="DQ307" s="10"/>
      <c r="DR307" s="10"/>
      <c r="DS307" s="10"/>
      <c r="DT307" s="10"/>
      <c r="DU307" s="10"/>
      <c r="DV307" s="10"/>
      <c r="DW307" s="10"/>
      <c r="DX307" s="10"/>
      <c r="DY307" s="10"/>
      <c r="DZ307" s="10"/>
      <c r="EA307" s="10"/>
      <c r="EB307" s="10"/>
      <c r="EC307" s="10"/>
      <c r="ED307" s="10"/>
      <c r="EE307" s="10"/>
      <c r="EF307" s="10"/>
      <c r="EG307" s="10"/>
      <c r="EH307" s="10"/>
      <c r="EI307" s="10"/>
      <c r="EJ307" s="10"/>
      <c r="EK307" s="10"/>
      <c r="EL307" s="10"/>
      <c r="EM307" s="10"/>
      <c r="EN307" s="10"/>
      <c r="EO307" s="10"/>
      <c r="EP307" s="10"/>
      <c r="EQ307" s="10"/>
      <c r="ER307" s="10"/>
      <c r="ES307" s="10"/>
      <c r="ET307" s="10"/>
      <c r="EU307" s="10"/>
      <c r="EV307" s="10"/>
      <c r="EW307" s="10"/>
      <c r="EX307" s="10"/>
      <c r="EY307" s="10"/>
      <c r="EZ307" s="10"/>
      <c r="FA307" s="10"/>
      <c r="FB307" s="10"/>
      <c r="FC307" s="10"/>
      <c r="FD307" s="10"/>
      <c r="FE307" s="10"/>
      <c r="FF307" s="10"/>
      <c r="FG307" s="10"/>
      <c r="FH307" s="10"/>
      <c r="FI307" s="10"/>
      <c r="FJ307" s="10"/>
      <c r="FK307" s="10"/>
      <c r="FL307" s="10"/>
      <c r="FM307" s="10"/>
      <c r="FN307" s="10"/>
      <c r="FO307" s="10"/>
      <c r="FP307" s="10"/>
      <c r="FQ307" s="10"/>
      <c r="FR307" s="10"/>
      <c r="FS307" s="10"/>
      <c r="FT307" s="10"/>
      <c r="FU307" s="10"/>
      <c r="FV307" s="10"/>
      <c r="FW307" s="10"/>
      <c r="FX307" s="10"/>
      <c r="FY307" s="10"/>
      <c r="FZ307" s="10"/>
      <c r="GA307" s="10"/>
      <c r="GB307" s="10"/>
      <c r="GC307" s="10"/>
      <c r="GD307" s="10"/>
      <c r="GE307" s="10"/>
      <c r="GF307" s="10"/>
      <c r="GG307" s="10"/>
      <c r="GH307" s="10"/>
      <c r="GI307" s="10"/>
      <c r="GJ307" s="10"/>
      <c r="GK307" s="10"/>
    </row>
    <row r="308" customFormat="false" ht="12.75" hidden="false" customHeight="false" outlineLevel="0" collapsed="false">
      <c r="A308" s="7"/>
      <c r="B308" s="7"/>
      <c r="C308" s="8"/>
      <c r="D308" s="8"/>
      <c r="E308" s="8"/>
      <c r="F308" s="8"/>
      <c r="G308" s="9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/>
      <c r="CO308" s="10"/>
      <c r="CP308" s="10"/>
      <c r="CQ308" s="10"/>
      <c r="CR308" s="10"/>
      <c r="CS308" s="10"/>
      <c r="CT308" s="10"/>
      <c r="CU308" s="10"/>
      <c r="CV308" s="10"/>
      <c r="CW308" s="10"/>
      <c r="CX308" s="10"/>
      <c r="CY308" s="10"/>
      <c r="CZ308" s="10"/>
      <c r="DA308" s="10"/>
      <c r="DB308" s="10"/>
      <c r="DC308" s="10"/>
      <c r="DD308" s="10"/>
      <c r="DE308" s="10"/>
      <c r="DF308" s="10"/>
      <c r="DG308" s="10"/>
      <c r="DH308" s="10"/>
      <c r="DI308" s="10"/>
      <c r="DJ308" s="10"/>
      <c r="DK308" s="10"/>
      <c r="DL308" s="10"/>
      <c r="DM308" s="10"/>
      <c r="DN308" s="10"/>
      <c r="DO308" s="10"/>
      <c r="DP308" s="10"/>
      <c r="DQ308" s="10"/>
      <c r="DR308" s="10"/>
      <c r="DS308" s="10"/>
      <c r="DT308" s="10"/>
      <c r="DU308" s="10"/>
      <c r="DV308" s="10"/>
      <c r="DW308" s="10"/>
      <c r="DX308" s="10"/>
      <c r="DY308" s="10"/>
      <c r="DZ308" s="10"/>
      <c r="EA308" s="10"/>
      <c r="EB308" s="10"/>
      <c r="EC308" s="10"/>
      <c r="ED308" s="10"/>
      <c r="EE308" s="10"/>
      <c r="EF308" s="10"/>
      <c r="EG308" s="10"/>
      <c r="EH308" s="10"/>
      <c r="EI308" s="10"/>
      <c r="EJ308" s="10"/>
      <c r="EK308" s="10"/>
      <c r="EL308" s="10"/>
      <c r="EM308" s="10"/>
      <c r="EN308" s="10"/>
      <c r="EO308" s="10"/>
      <c r="EP308" s="10"/>
      <c r="EQ308" s="10"/>
      <c r="ER308" s="10"/>
      <c r="ES308" s="10"/>
      <c r="ET308" s="10"/>
      <c r="EU308" s="10"/>
      <c r="EV308" s="10"/>
      <c r="EW308" s="10"/>
      <c r="EX308" s="10"/>
      <c r="EY308" s="10"/>
      <c r="EZ308" s="10"/>
      <c r="FA308" s="10"/>
      <c r="FB308" s="10"/>
      <c r="FC308" s="10"/>
      <c r="FD308" s="10"/>
      <c r="FE308" s="10"/>
      <c r="FF308" s="10"/>
      <c r="FG308" s="10"/>
      <c r="FH308" s="10"/>
      <c r="FI308" s="10"/>
      <c r="FJ308" s="10"/>
      <c r="FK308" s="10"/>
      <c r="FL308" s="10"/>
      <c r="FM308" s="10"/>
      <c r="FN308" s="10"/>
      <c r="FO308" s="10"/>
      <c r="FP308" s="10"/>
      <c r="FQ308" s="10"/>
      <c r="FR308" s="10"/>
      <c r="FS308" s="10"/>
      <c r="FT308" s="10"/>
      <c r="FU308" s="10"/>
      <c r="FV308" s="10"/>
      <c r="FW308" s="10"/>
      <c r="FX308" s="10"/>
      <c r="FY308" s="10"/>
      <c r="FZ308" s="10"/>
      <c r="GA308" s="10"/>
      <c r="GB308" s="10"/>
      <c r="GC308" s="10"/>
      <c r="GD308" s="10"/>
      <c r="GE308" s="10"/>
      <c r="GF308" s="10"/>
      <c r="GG308" s="10"/>
      <c r="GH308" s="10"/>
      <c r="GI308" s="10"/>
      <c r="GJ308" s="10"/>
      <c r="GK308" s="10"/>
    </row>
    <row r="309" customFormat="false" ht="12.75" hidden="false" customHeight="false" outlineLevel="0" collapsed="false">
      <c r="A309" s="7"/>
      <c r="B309" s="7"/>
      <c r="C309" s="8"/>
      <c r="D309" s="8"/>
      <c r="E309" s="8"/>
      <c r="F309" s="8"/>
      <c r="G309" s="9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/>
      <c r="DA309" s="10"/>
      <c r="DB309" s="10"/>
      <c r="DC309" s="10"/>
      <c r="DD309" s="10"/>
      <c r="DE309" s="10"/>
      <c r="DF309" s="10"/>
      <c r="DG309" s="10"/>
      <c r="DH309" s="10"/>
      <c r="DI309" s="10"/>
      <c r="DJ309" s="10"/>
      <c r="DK309" s="10"/>
      <c r="DL309" s="10"/>
      <c r="DM309" s="10"/>
      <c r="DN309" s="10"/>
      <c r="DO309" s="10"/>
      <c r="DP309" s="10"/>
      <c r="DQ309" s="10"/>
      <c r="DR309" s="10"/>
      <c r="DS309" s="10"/>
      <c r="DT309" s="10"/>
      <c r="DU309" s="10"/>
      <c r="DV309" s="10"/>
      <c r="DW309" s="10"/>
      <c r="DX309" s="10"/>
      <c r="DY309" s="10"/>
      <c r="DZ309" s="10"/>
      <c r="EA309" s="10"/>
      <c r="EB309" s="10"/>
      <c r="EC309" s="10"/>
      <c r="ED309" s="10"/>
      <c r="EE309" s="10"/>
      <c r="EF309" s="10"/>
      <c r="EG309" s="10"/>
      <c r="EH309" s="10"/>
      <c r="EI309" s="10"/>
      <c r="EJ309" s="10"/>
      <c r="EK309" s="10"/>
      <c r="EL309" s="10"/>
      <c r="EM309" s="10"/>
      <c r="EN309" s="10"/>
      <c r="EO309" s="10"/>
      <c r="EP309" s="10"/>
      <c r="EQ309" s="10"/>
      <c r="ER309" s="10"/>
      <c r="ES309" s="10"/>
      <c r="ET309" s="10"/>
      <c r="EU309" s="10"/>
      <c r="EV309" s="10"/>
      <c r="EW309" s="10"/>
      <c r="EX309" s="10"/>
      <c r="EY309" s="10"/>
      <c r="EZ309" s="10"/>
      <c r="FA309" s="10"/>
      <c r="FB309" s="10"/>
      <c r="FC309" s="10"/>
      <c r="FD309" s="10"/>
      <c r="FE309" s="10"/>
      <c r="FF309" s="10"/>
      <c r="FG309" s="10"/>
      <c r="FH309" s="10"/>
      <c r="FI309" s="10"/>
      <c r="FJ309" s="10"/>
      <c r="FK309" s="10"/>
      <c r="FL309" s="10"/>
      <c r="FM309" s="10"/>
      <c r="FN309" s="10"/>
      <c r="FO309" s="10"/>
      <c r="FP309" s="10"/>
      <c r="FQ309" s="10"/>
      <c r="FR309" s="10"/>
      <c r="FS309" s="10"/>
      <c r="FT309" s="10"/>
      <c r="FU309" s="10"/>
      <c r="FV309" s="10"/>
      <c r="FW309" s="10"/>
      <c r="FX309" s="10"/>
      <c r="FY309" s="10"/>
      <c r="FZ309" s="10"/>
      <c r="GA309" s="10"/>
      <c r="GB309" s="10"/>
      <c r="GC309" s="10"/>
      <c r="GD309" s="10"/>
      <c r="GE309" s="10"/>
      <c r="GF309" s="10"/>
      <c r="GG309" s="10"/>
      <c r="GH309" s="10"/>
      <c r="GI309" s="10"/>
      <c r="GJ309" s="10"/>
      <c r="GK309" s="10"/>
    </row>
    <row r="310" customFormat="false" ht="12.75" hidden="false" customHeight="false" outlineLevel="0" collapsed="false">
      <c r="A310" s="7"/>
      <c r="B310" s="7"/>
      <c r="C310" s="8"/>
      <c r="D310" s="8"/>
      <c r="E310" s="8"/>
      <c r="F310" s="8"/>
      <c r="G310" s="9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  <c r="CL310" s="10"/>
      <c r="CM310" s="10"/>
      <c r="CN310" s="10"/>
      <c r="CO310" s="10"/>
      <c r="CP310" s="10"/>
      <c r="CQ310" s="10"/>
      <c r="CR310" s="10"/>
      <c r="CS310" s="10"/>
      <c r="CT310" s="10"/>
      <c r="CU310" s="10"/>
      <c r="CV310" s="10"/>
      <c r="CW310" s="10"/>
      <c r="CX310" s="10"/>
      <c r="CY310" s="10"/>
      <c r="CZ310" s="10"/>
      <c r="DA310" s="10"/>
      <c r="DB310" s="10"/>
      <c r="DC310" s="10"/>
      <c r="DD310" s="10"/>
      <c r="DE310" s="10"/>
      <c r="DF310" s="10"/>
      <c r="DG310" s="10"/>
      <c r="DH310" s="10"/>
      <c r="DI310" s="10"/>
      <c r="DJ310" s="10"/>
      <c r="DK310" s="10"/>
      <c r="DL310" s="10"/>
      <c r="DM310" s="10"/>
      <c r="DN310" s="10"/>
      <c r="DO310" s="10"/>
      <c r="DP310" s="10"/>
      <c r="DQ310" s="10"/>
      <c r="DR310" s="10"/>
      <c r="DS310" s="10"/>
      <c r="DT310" s="10"/>
      <c r="DU310" s="10"/>
      <c r="DV310" s="10"/>
      <c r="DW310" s="10"/>
      <c r="DX310" s="10"/>
      <c r="DY310" s="10"/>
      <c r="DZ310" s="10"/>
      <c r="EA310" s="10"/>
      <c r="EB310" s="10"/>
      <c r="EC310" s="10"/>
      <c r="ED310" s="10"/>
      <c r="EE310" s="10"/>
      <c r="EF310" s="10"/>
      <c r="EG310" s="10"/>
      <c r="EH310" s="10"/>
      <c r="EI310" s="10"/>
      <c r="EJ310" s="10"/>
      <c r="EK310" s="10"/>
      <c r="EL310" s="10"/>
      <c r="EM310" s="10"/>
      <c r="EN310" s="10"/>
      <c r="EO310" s="10"/>
      <c r="EP310" s="10"/>
      <c r="EQ310" s="10"/>
      <c r="ER310" s="10"/>
      <c r="ES310" s="10"/>
      <c r="ET310" s="10"/>
      <c r="EU310" s="10"/>
      <c r="EV310" s="10"/>
      <c r="EW310" s="10"/>
      <c r="EX310" s="10"/>
      <c r="EY310" s="10"/>
      <c r="EZ310" s="10"/>
      <c r="FA310" s="10"/>
      <c r="FB310" s="10"/>
      <c r="FC310" s="10"/>
      <c r="FD310" s="10"/>
      <c r="FE310" s="10"/>
      <c r="FF310" s="10"/>
      <c r="FG310" s="10"/>
      <c r="FH310" s="10"/>
      <c r="FI310" s="10"/>
      <c r="FJ310" s="10"/>
      <c r="FK310" s="10"/>
      <c r="FL310" s="10"/>
      <c r="FM310" s="10"/>
      <c r="FN310" s="10"/>
      <c r="FO310" s="10"/>
      <c r="FP310" s="10"/>
      <c r="FQ310" s="10"/>
      <c r="FR310" s="10"/>
      <c r="FS310" s="10"/>
      <c r="FT310" s="10"/>
      <c r="FU310" s="10"/>
      <c r="FV310" s="10"/>
      <c r="FW310" s="10"/>
      <c r="FX310" s="10"/>
      <c r="FY310" s="10"/>
      <c r="FZ310" s="10"/>
      <c r="GA310" s="10"/>
      <c r="GB310" s="10"/>
      <c r="GC310" s="10"/>
      <c r="GD310" s="10"/>
      <c r="GE310" s="10"/>
      <c r="GF310" s="10"/>
      <c r="GG310" s="10"/>
      <c r="GH310" s="10"/>
      <c r="GI310" s="10"/>
      <c r="GJ310" s="10"/>
      <c r="GK310" s="10"/>
    </row>
    <row r="311" customFormat="false" ht="12.75" hidden="false" customHeight="false" outlineLevel="0" collapsed="false">
      <c r="A311" s="7"/>
      <c r="B311" s="7"/>
      <c r="C311" s="8"/>
      <c r="D311" s="8"/>
      <c r="E311" s="8"/>
      <c r="F311" s="8"/>
      <c r="G311" s="9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  <c r="CL311" s="10"/>
      <c r="CM311" s="10"/>
      <c r="CN311" s="10"/>
      <c r="CO311" s="10"/>
      <c r="CP311" s="10"/>
      <c r="CQ311" s="10"/>
      <c r="CR311" s="10"/>
      <c r="CS311" s="10"/>
      <c r="CT311" s="10"/>
      <c r="CU311" s="10"/>
      <c r="CV311" s="10"/>
      <c r="CW311" s="10"/>
      <c r="CX311" s="10"/>
      <c r="CY311" s="10"/>
      <c r="CZ311" s="10"/>
      <c r="DA311" s="10"/>
      <c r="DB311" s="10"/>
      <c r="DC311" s="10"/>
      <c r="DD311" s="10"/>
      <c r="DE311" s="10"/>
      <c r="DF311" s="10"/>
      <c r="DG311" s="10"/>
      <c r="DH311" s="10"/>
      <c r="DI311" s="10"/>
      <c r="DJ311" s="10"/>
      <c r="DK311" s="10"/>
      <c r="DL311" s="10"/>
      <c r="DM311" s="10"/>
      <c r="DN311" s="10"/>
      <c r="DO311" s="10"/>
      <c r="DP311" s="10"/>
      <c r="DQ311" s="10"/>
      <c r="DR311" s="10"/>
      <c r="DS311" s="10"/>
      <c r="DT311" s="10"/>
      <c r="DU311" s="10"/>
      <c r="DV311" s="10"/>
      <c r="DW311" s="10"/>
      <c r="DX311" s="10"/>
      <c r="DY311" s="10"/>
      <c r="DZ311" s="10"/>
      <c r="EA311" s="10"/>
      <c r="EB311" s="10"/>
      <c r="EC311" s="10"/>
      <c r="ED311" s="10"/>
      <c r="EE311" s="10"/>
      <c r="EF311" s="10"/>
      <c r="EG311" s="10"/>
      <c r="EH311" s="10"/>
      <c r="EI311" s="10"/>
      <c r="EJ311" s="10"/>
      <c r="EK311" s="10"/>
      <c r="EL311" s="10"/>
      <c r="EM311" s="10"/>
      <c r="EN311" s="10"/>
      <c r="EO311" s="10"/>
      <c r="EP311" s="10"/>
      <c r="EQ311" s="10"/>
      <c r="ER311" s="10"/>
      <c r="ES311" s="10"/>
      <c r="ET311" s="10"/>
      <c r="EU311" s="10"/>
      <c r="EV311" s="10"/>
      <c r="EW311" s="10"/>
      <c r="EX311" s="10"/>
      <c r="EY311" s="10"/>
      <c r="EZ311" s="10"/>
      <c r="FA311" s="10"/>
      <c r="FB311" s="10"/>
      <c r="FC311" s="10"/>
      <c r="FD311" s="10"/>
      <c r="FE311" s="10"/>
      <c r="FF311" s="10"/>
      <c r="FG311" s="10"/>
      <c r="FH311" s="10"/>
      <c r="FI311" s="10"/>
      <c r="FJ311" s="10"/>
      <c r="FK311" s="10"/>
      <c r="FL311" s="10"/>
      <c r="FM311" s="10"/>
      <c r="FN311" s="10"/>
      <c r="FO311" s="10"/>
      <c r="FP311" s="10"/>
      <c r="FQ311" s="10"/>
      <c r="FR311" s="10"/>
      <c r="FS311" s="10"/>
      <c r="FT311" s="10"/>
      <c r="FU311" s="10"/>
      <c r="FV311" s="10"/>
      <c r="FW311" s="10"/>
      <c r="FX311" s="10"/>
      <c r="FY311" s="10"/>
      <c r="FZ311" s="10"/>
      <c r="GA311" s="10"/>
      <c r="GB311" s="10"/>
      <c r="GC311" s="10"/>
      <c r="GD311" s="10"/>
      <c r="GE311" s="10"/>
      <c r="GF311" s="10"/>
      <c r="GG311" s="10"/>
      <c r="GH311" s="10"/>
      <c r="GI311" s="10"/>
      <c r="GJ311" s="10"/>
      <c r="GK311" s="10"/>
    </row>
    <row r="312" customFormat="false" ht="12.75" hidden="false" customHeight="false" outlineLevel="0" collapsed="false">
      <c r="A312" s="7"/>
      <c r="B312" s="7"/>
      <c r="C312" s="8"/>
      <c r="D312" s="8"/>
      <c r="E312" s="8"/>
      <c r="F312" s="8"/>
      <c r="G312" s="9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  <c r="CL312" s="10"/>
      <c r="CM312" s="10"/>
      <c r="CN312" s="10"/>
      <c r="CO312" s="10"/>
      <c r="CP312" s="10"/>
      <c r="CQ312" s="10"/>
      <c r="CR312" s="10"/>
      <c r="CS312" s="10"/>
      <c r="CT312" s="10"/>
      <c r="CU312" s="10"/>
      <c r="CV312" s="10"/>
      <c r="CW312" s="10"/>
      <c r="CX312" s="10"/>
      <c r="CY312" s="10"/>
      <c r="CZ312" s="10"/>
      <c r="DA312" s="10"/>
      <c r="DB312" s="10"/>
      <c r="DC312" s="10"/>
      <c r="DD312" s="10"/>
      <c r="DE312" s="10"/>
      <c r="DF312" s="10"/>
      <c r="DG312" s="10"/>
      <c r="DH312" s="10"/>
      <c r="DI312" s="10"/>
      <c r="DJ312" s="10"/>
      <c r="DK312" s="10"/>
      <c r="DL312" s="10"/>
      <c r="DM312" s="10"/>
      <c r="DN312" s="10"/>
      <c r="DO312" s="10"/>
      <c r="DP312" s="10"/>
      <c r="DQ312" s="10"/>
      <c r="DR312" s="10"/>
      <c r="DS312" s="10"/>
      <c r="DT312" s="10"/>
      <c r="DU312" s="10"/>
      <c r="DV312" s="10"/>
      <c r="DW312" s="10"/>
      <c r="DX312" s="10"/>
      <c r="DY312" s="10"/>
      <c r="DZ312" s="10"/>
      <c r="EA312" s="10"/>
      <c r="EB312" s="10"/>
      <c r="EC312" s="10"/>
      <c r="ED312" s="10"/>
      <c r="EE312" s="10"/>
      <c r="EF312" s="10"/>
      <c r="EG312" s="10"/>
      <c r="EH312" s="10"/>
      <c r="EI312" s="10"/>
      <c r="EJ312" s="10"/>
      <c r="EK312" s="10"/>
      <c r="EL312" s="10"/>
      <c r="EM312" s="10"/>
      <c r="EN312" s="10"/>
      <c r="EO312" s="10"/>
      <c r="EP312" s="10"/>
      <c r="EQ312" s="10"/>
      <c r="ER312" s="10"/>
      <c r="ES312" s="10"/>
      <c r="ET312" s="10"/>
      <c r="EU312" s="10"/>
      <c r="EV312" s="10"/>
      <c r="EW312" s="10"/>
      <c r="EX312" s="10"/>
      <c r="EY312" s="10"/>
      <c r="EZ312" s="10"/>
      <c r="FA312" s="10"/>
      <c r="FB312" s="10"/>
      <c r="FC312" s="10"/>
      <c r="FD312" s="10"/>
      <c r="FE312" s="10"/>
      <c r="FF312" s="10"/>
      <c r="FG312" s="10"/>
      <c r="FH312" s="10"/>
      <c r="FI312" s="10"/>
      <c r="FJ312" s="10"/>
      <c r="FK312" s="10"/>
      <c r="FL312" s="10"/>
      <c r="FM312" s="10"/>
      <c r="FN312" s="10"/>
      <c r="FO312" s="10"/>
      <c r="FP312" s="10"/>
      <c r="FQ312" s="10"/>
      <c r="FR312" s="10"/>
      <c r="FS312" s="10"/>
      <c r="FT312" s="10"/>
      <c r="FU312" s="10"/>
      <c r="FV312" s="10"/>
      <c r="FW312" s="10"/>
      <c r="FX312" s="10"/>
      <c r="FY312" s="10"/>
      <c r="FZ312" s="10"/>
      <c r="GA312" s="10"/>
      <c r="GB312" s="10"/>
      <c r="GC312" s="10"/>
      <c r="GD312" s="10"/>
      <c r="GE312" s="10"/>
      <c r="GF312" s="10"/>
      <c r="GG312" s="10"/>
      <c r="GH312" s="10"/>
      <c r="GI312" s="10"/>
      <c r="GJ312" s="10"/>
      <c r="GK312" s="10"/>
    </row>
    <row r="313" customFormat="false" ht="12.75" hidden="false" customHeight="false" outlineLevel="0" collapsed="false">
      <c r="A313" s="7"/>
      <c r="B313" s="7"/>
      <c r="C313" s="8"/>
      <c r="D313" s="8"/>
      <c r="E313" s="8"/>
      <c r="F313" s="8"/>
      <c r="G313" s="9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  <c r="CL313" s="10"/>
      <c r="CM313" s="10"/>
      <c r="CN313" s="10"/>
      <c r="CO313" s="10"/>
      <c r="CP313" s="10"/>
      <c r="CQ313" s="10"/>
      <c r="CR313" s="10"/>
      <c r="CS313" s="10"/>
      <c r="CT313" s="10"/>
      <c r="CU313" s="10"/>
      <c r="CV313" s="10"/>
      <c r="CW313" s="10"/>
      <c r="CX313" s="10"/>
      <c r="CY313" s="10"/>
      <c r="CZ313" s="10"/>
      <c r="DA313" s="10"/>
      <c r="DB313" s="10"/>
      <c r="DC313" s="10"/>
      <c r="DD313" s="10"/>
      <c r="DE313" s="10"/>
      <c r="DF313" s="10"/>
      <c r="DG313" s="10"/>
      <c r="DH313" s="10"/>
      <c r="DI313" s="10"/>
      <c r="DJ313" s="10"/>
      <c r="DK313" s="10"/>
      <c r="DL313" s="10"/>
      <c r="DM313" s="10"/>
      <c r="DN313" s="10"/>
      <c r="DO313" s="10"/>
      <c r="DP313" s="10"/>
      <c r="DQ313" s="10"/>
      <c r="DR313" s="10"/>
      <c r="DS313" s="10"/>
      <c r="DT313" s="10"/>
      <c r="DU313" s="10"/>
      <c r="DV313" s="10"/>
      <c r="DW313" s="10"/>
      <c r="DX313" s="10"/>
      <c r="DY313" s="10"/>
      <c r="DZ313" s="10"/>
      <c r="EA313" s="10"/>
      <c r="EB313" s="10"/>
      <c r="EC313" s="10"/>
      <c r="ED313" s="10"/>
      <c r="EE313" s="10"/>
      <c r="EF313" s="10"/>
      <c r="EG313" s="10"/>
      <c r="EH313" s="10"/>
      <c r="EI313" s="10"/>
      <c r="EJ313" s="10"/>
      <c r="EK313" s="10"/>
      <c r="EL313" s="10"/>
      <c r="EM313" s="10"/>
      <c r="EN313" s="10"/>
      <c r="EO313" s="10"/>
      <c r="EP313" s="10"/>
      <c r="EQ313" s="10"/>
      <c r="ER313" s="10"/>
      <c r="ES313" s="10"/>
      <c r="ET313" s="10"/>
      <c r="EU313" s="10"/>
      <c r="EV313" s="10"/>
      <c r="EW313" s="10"/>
      <c r="EX313" s="10"/>
      <c r="EY313" s="10"/>
      <c r="EZ313" s="10"/>
      <c r="FA313" s="10"/>
      <c r="FB313" s="10"/>
      <c r="FC313" s="10"/>
      <c r="FD313" s="10"/>
      <c r="FE313" s="10"/>
      <c r="FF313" s="10"/>
      <c r="FG313" s="10"/>
      <c r="FH313" s="10"/>
      <c r="FI313" s="10"/>
      <c r="FJ313" s="10"/>
      <c r="FK313" s="10"/>
      <c r="FL313" s="10"/>
      <c r="FM313" s="10"/>
      <c r="FN313" s="10"/>
      <c r="FO313" s="10"/>
      <c r="FP313" s="10"/>
      <c r="FQ313" s="10"/>
      <c r="FR313" s="10"/>
      <c r="FS313" s="10"/>
      <c r="FT313" s="10"/>
      <c r="FU313" s="10"/>
      <c r="FV313" s="10"/>
      <c r="FW313" s="10"/>
      <c r="FX313" s="10"/>
      <c r="FY313" s="10"/>
      <c r="FZ313" s="10"/>
      <c r="GA313" s="10"/>
      <c r="GB313" s="10"/>
      <c r="GC313" s="10"/>
      <c r="GD313" s="10"/>
      <c r="GE313" s="10"/>
      <c r="GF313" s="10"/>
      <c r="GG313" s="10"/>
      <c r="GH313" s="10"/>
      <c r="GI313" s="10"/>
      <c r="GJ313" s="10"/>
      <c r="GK313" s="10"/>
    </row>
    <row r="314" customFormat="false" ht="12.75" hidden="false" customHeight="false" outlineLevel="0" collapsed="false">
      <c r="A314" s="7"/>
      <c r="B314" s="7"/>
      <c r="C314" s="8"/>
      <c r="D314" s="8"/>
      <c r="E314" s="8"/>
      <c r="F314" s="8"/>
      <c r="G314" s="9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  <c r="CL314" s="10"/>
      <c r="CM314" s="10"/>
      <c r="CN314" s="10"/>
      <c r="CO314" s="10"/>
      <c r="CP314" s="10"/>
      <c r="CQ314" s="10"/>
      <c r="CR314" s="10"/>
      <c r="CS314" s="10"/>
      <c r="CT314" s="10"/>
      <c r="CU314" s="10"/>
      <c r="CV314" s="10"/>
      <c r="CW314" s="10"/>
      <c r="CX314" s="10"/>
      <c r="CY314" s="10"/>
      <c r="CZ314" s="10"/>
      <c r="DA314" s="10"/>
      <c r="DB314" s="10"/>
      <c r="DC314" s="10"/>
      <c r="DD314" s="10"/>
      <c r="DE314" s="10"/>
      <c r="DF314" s="10"/>
      <c r="DG314" s="10"/>
      <c r="DH314" s="10"/>
      <c r="DI314" s="10"/>
      <c r="DJ314" s="10"/>
      <c r="DK314" s="10"/>
      <c r="DL314" s="10"/>
      <c r="DM314" s="10"/>
      <c r="DN314" s="10"/>
      <c r="DO314" s="10"/>
      <c r="DP314" s="10"/>
      <c r="DQ314" s="10"/>
      <c r="DR314" s="10"/>
      <c r="DS314" s="10"/>
      <c r="DT314" s="10"/>
      <c r="DU314" s="10"/>
      <c r="DV314" s="10"/>
      <c r="DW314" s="10"/>
      <c r="DX314" s="10"/>
      <c r="DY314" s="10"/>
      <c r="DZ314" s="10"/>
      <c r="EA314" s="10"/>
      <c r="EB314" s="10"/>
      <c r="EC314" s="10"/>
      <c r="ED314" s="10"/>
      <c r="EE314" s="10"/>
      <c r="EF314" s="10"/>
      <c r="EG314" s="10"/>
      <c r="EH314" s="10"/>
      <c r="EI314" s="10"/>
      <c r="EJ314" s="10"/>
      <c r="EK314" s="10"/>
      <c r="EL314" s="10"/>
      <c r="EM314" s="10"/>
      <c r="EN314" s="10"/>
      <c r="EO314" s="10"/>
      <c r="EP314" s="10"/>
      <c r="EQ314" s="10"/>
      <c r="ER314" s="10"/>
      <c r="ES314" s="10"/>
      <c r="ET314" s="10"/>
      <c r="EU314" s="10"/>
      <c r="EV314" s="10"/>
      <c r="EW314" s="10"/>
      <c r="EX314" s="10"/>
      <c r="EY314" s="10"/>
      <c r="EZ314" s="10"/>
      <c r="FA314" s="10"/>
      <c r="FB314" s="10"/>
      <c r="FC314" s="10"/>
      <c r="FD314" s="10"/>
      <c r="FE314" s="10"/>
      <c r="FF314" s="10"/>
      <c r="FG314" s="10"/>
      <c r="FH314" s="10"/>
      <c r="FI314" s="10"/>
      <c r="FJ314" s="10"/>
      <c r="FK314" s="10"/>
      <c r="FL314" s="10"/>
      <c r="FM314" s="10"/>
      <c r="FN314" s="10"/>
      <c r="FO314" s="10"/>
      <c r="FP314" s="10"/>
      <c r="FQ314" s="10"/>
      <c r="FR314" s="10"/>
      <c r="FS314" s="10"/>
      <c r="FT314" s="10"/>
      <c r="FU314" s="10"/>
      <c r="FV314" s="10"/>
      <c r="FW314" s="10"/>
      <c r="FX314" s="10"/>
      <c r="FY314" s="10"/>
      <c r="FZ314" s="10"/>
      <c r="GA314" s="10"/>
      <c r="GB314" s="10"/>
      <c r="GC314" s="10"/>
      <c r="GD314" s="10"/>
      <c r="GE314" s="10"/>
      <c r="GF314" s="10"/>
      <c r="GG314" s="10"/>
      <c r="GH314" s="10"/>
      <c r="GI314" s="10"/>
      <c r="GJ314" s="10"/>
      <c r="GK314" s="10"/>
    </row>
    <row r="315" customFormat="false" ht="12.75" hidden="false" customHeight="false" outlineLevel="0" collapsed="false">
      <c r="A315" s="7"/>
      <c r="B315" s="7"/>
      <c r="C315" s="8"/>
      <c r="D315" s="8"/>
      <c r="E315" s="8"/>
      <c r="F315" s="8"/>
      <c r="G315" s="9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  <c r="CL315" s="10"/>
      <c r="CM315" s="10"/>
      <c r="CN315" s="10"/>
      <c r="CO315" s="10"/>
      <c r="CP315" s="10"/>
      <c r="CQ315" s="10"/>
      <c r="CR315" s="10"/>
      <c r="CS315" s="10"/>
      <c r="CT315" s="10"/>
      <c r="CU315" s="10"/>
      <c r="CV315" s="10"/>
      <c r="CW315" s="10"/>
      <c r="CX315" s="10"/>
      <c r="CY315" s="10"/>
      <c r="CZ315" s="10"/>
      <c r="DA315" s="10"/>
      <c r="DB315" s="10"/>
      <c r="DC315" s="10"/>
      <c r="DD315" s="10"/>
      <c r="DE315" s="10"/>
      <c r="DF315" s="10"/>
      <c r="DG315" s="10"/>
      <c r="DH315" s="10"/>
      <c r="DI315" s="10"/>
      <c r="DJ315" s="10"/>
      <c r="DK315" s="10"/>
      <c r="DL315" s="10"/>
      <c r="DM315" s="10"/>
      <c r="DN315" s="10"/>
      <c r="DO315" s="10"/>
      <c r="DP315" s="10"/>
      <c r="DQ315" s="10"/>
      <c r="DR315" s="10"/>
      <c r="DS315" s="10"/>
      <c r="DT315" s="10"/>
      <c r="DU315" s="10"/>
      <c r="DV315" s="10"/>
      <c r="DW315" s="10"/>
      <c r="DX315" s="10"/>
      <c r="DY315" s="10"/>
      <c r="DZ315" s="10"/>
      <c r="EA315" s="10"/>
      <c r="EB315" s="10"/>
      <c r="EC315" s="10"/>
      <c r="ED315" s="10"/>
      <c r="EE315" s="10"/>
      <c r="EF315" s="10"/>
      <c r="EG315" s="10"/>
      <c r="EH315" s="10"/>
      <c r="EI315" s="10"/>
      <c r="EJ315" s="10"/>
      <c r="EK315" s="10"/>
      <c r="EL315" s="10"/>
      <c r="EM315" s="10"/>
      <c r="EN315" s="10"/>
      <c r="EO315" s="10"/>
      <c r="EP315" s="10"/>
      <c r="EQ315" s="10"/>
      <c r="ER315" s="10"/>
      <c r="ES315" s="10"/>
      <c r="ET315" s="10"/>
      <c r="EU315" s="10"/>
      <c r="EV315" s="10"/>
      <c r="EW315" s="10"/>
      <c r="EX315" s="10"/>
      <c r="EY315" s="10"/>
      <c r="EZ315" s="10"/>
      <c r="FA315" s="10"/>
      <c r="FB315" s="10"/>
      <c r="FC315" s="10"/>
      <c r="FD315" s="10"/>
      <c r="FE315" s="10"/>
      <c r="FF315" s="10"/>
      <c r="FG315" s="10"/>
      <c r="FH315" s="10"/>
      <c r="FI315" s="10"/>
      <c r="FJ315" s="10"/>
      <c r="FK315" s="10"/>
      <c r="FL315" s="10"/>
      <c r="FM315" s="10"/>
      <c r="FN315" s="10"/>
      <c r="FO315" s="10"/>
      <c r="FP315" s="10"/>
      <c r="FQ315" s="10"/>
      <c r="FR315" s="10"/>
      <c r="FS315" s="10"/>
      <c r="FT315" s="10"/>
      <c r="FU315" s="10"/>
      <c r="FV315" s="10"/>
      <c r="FW315" s="10"/>
      <c r="FX315" s="10"/>
      <c r="FY315" s="10"/>
      <c r="FZ315" s="10"/>
      <c r="GA315" s="10"/>
      <c r="GB315" s="10"/>
      <c r="GC315" s="10"/>
      <c r="GD315" s="10"/>
      <c r="GE315" s="10"/>
      <c r="GF315" s="10"/>
      <c r="GG315" s="10"/>
      <c r="GH315" s="10"/>
      <c r="GI315" s="10"/>
      <c r="GJ315" s="10"/>
      <c r="GK315" s="10"/>
    </row>
    <row r="316" customFormat="false" ht="12.75" hidden="false" customHeight="false" outlineLevel="0" collapsed="false">
      <c r="A316" s="7"/>
      <c r="B316" s="7"/>
      <c r="C316" s="8"/>
      <c r="D316" s="8"/>
      <c r="E316" s="8"/>
      <c r="F316" s="8"/>
      <c r="G316" s="9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  <c r="CL316" s="10"/>
      <c r="CM316" s="10"/>
      <c r="CN316" s="10"/>
      <c r="CO316" s="10"/>
      <c r="CP316" s="10"/>
      <c r="CQ316" s="10"/>
      <c r="CR316" s="10"/>
      <c r="CS316" s="10"/>
      <c r="CT316" s="10"/>
      <c r="CU316" s="10"/>
      <c r="CV316" s="10"/>
      <c r="CW316" s="10"/>
      <c r="CX316" s="10"/>
      <c r="CY316" s="10"/>
      <c r="CZ316" s="10"/>
      <c r="DA316" s="10"/>
      <c r="DB316" s="10"/>
      <c r="DC316" s="10"/>
      <c r="DD316" s="10"/>
      <c r="DE316" s="10"/>
      <c r="DF316" s="10"/>
      <c r="DG316" s="10"/>
      <c r="DH316" s="10"/>
      <c r="DI316" s="10"/>
      <c r="DJ316" s="10"/>
      <c r="DK316" s="10"/>
      <c r="DL316" s="10"/>
      <c r="DM316" s="10"/>
      <c r="DN316" s="10"/>
      <c r="DO316" s="10"/>
      <c r="DP316" s="10"/>
      <c r="DQ316" s="10"/>
      <c r="DR316" s="10"/>
      <c r="DS316" s="10"/>
      <c r="DT316" s="10"/>
      <c r="DU316" s="10"/>
      <c r="DV316" s="10"/>
      <c r="DW316" s="10"/>
      <c r="DX316" s="10"/>
      <c r="DY316" s="10"/>
      <c r="DZ316" s="10"/>
      <c r="EA316" s="10"/>
      <c r="EB316" s="10"/>
      <c r="EC316" s="10"/>
      <c r="ED316" s="10"/>
      <c r="EE316" s="10"/>
      <c r="EF316" s="10"/>
      <c r="EG316" s="10"/>
      <c r="EH316" s="10"/>
      <c r="EI316" s="10"/>
      <c r="EJ316" s="10"/>
      <c r="EK316" s="10"/>
      <c r="EL316" s="10"/>
      <c r="EM316" s="10"/>
      <c r="EN316" s="10"/>
      <c r="EO316" s="10"/>
      <c r="EP316" s="10"/>
      <c r="EQ316" s="10"/>
      <c r="ER316" s="10"/>
      <c r="ES316" s="10"/>
      <c r="ET316" s="10"/>
      <c r="EU316" s="10"/>
      <c r="EV316" s="10"/>
      <c r="EW316" s="10"/>
      <c r="EX316" s="10"/>
      <c r="EY316" s="10"/>
      <c r="EZ316" s="10"/>
      <c r="FA316" s="10"/>
      <c r="FB316" s="10"/>
      <c r="FC316" s="10"/>
      <c r="FD316" s="10"/>
      <c r="FE316" s="10"/>
      <c r="FF316" s="10"/>
      <c r="FG316" s="10"/>
      <c r="FH316" s="10"/>
      <c r="FI316" s="10"/>
      <c r="FJ316" s="10"/>
      <c r="FK316" s="10"/>
      <c r="FL316" s="10"/>
      <c r="FM316" s="10"/>
      <c r="FN316" s="10"/>
      <c r="FO316" s="10"/>
      <c r="FP316" s="10"/>
      <c r="FQ316" s="10"/>
      <c r="FR316" s="10"/>
      <c r="FS316" s="10"/>
      <c r="FT316" s="10"/>
      <c r="FU316" s="10"/>
      <c r="FV316" s="10"/>
      <c r="FW316" s="10"/>
      <c r="FX316" s="10"/>
      <c r="FY316" s="10"/>
      <c r="FZ316" s="10"/>
      <c r="GA316" s="10"/>
      <c r="GB316" s="10"/>
      <c r="GC316" s="10"/>
      <c r="GD316" s="10"/>
      <c r="GE316" s="10"/>
      <c r="GF316" s="10"/>
      <c r="GG316" s="10"/>
      <c r="GH316" s="10"/>
      <c r="GI316" s="10"/>
      <c r="GJ316" s="10"/>
      <c r="GK316" s="10"/>
    </row>
    <row r="317" customFormat="false" ht="12.75" hidden="false" customHeight="false" outlineLevel="0" collapsed="false">
      <c r="A317" s="7"/>
      <c r="B317" s="7"/>
      <c r="C317" s="8"/>
      <c r="D317" s="8"/>
      <c r="E317" s="8"/>
      <c r="F317" s="8"/>
      <c r="G317" s="9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10"/>
      <c r="CL317" s="10"/>
      <c r="CM317" s="10"/>
      <c r="CN317" s="10"/>
      <c r="CO317" s="10"/>
      <c r="CP317" s="10"/>
      <c r="CQ317" s="10"/>
      <c r="CR317" s="10"/>
      <c r="CS317" s="10"/>
      <c r="CT317" s="10"/>
      <c r="CU317" s="10"/>
      <c r="CV317" s="10"/>
      <c r="CW317" s="10"/>
      <c r="CX317" s="10"/>
      <c r="CY317" s="10"/>
      <c r="CZ317" s="10"/>
      <c r="DA317" s="10"/>
      <c r="DB317" s="10"/>
      <c r="DC317" s="10"/>
      <c r="DD317" s="10"/>
      <c r="DE317" s="10"/>
      <c r="DF317" s="10"/>
      <c r="DG317" s="10"/>
      <c r="DH317" s="10"/>
      <c r="DI317" s="10"/>
      <c r="DJ317" s="10"/>
      <c r="DK317" s="10"/>
      <c r="DL317" s="10"/>
      <c r="DM317" s="10"/>
      <c r="DN317" s="10"/>
      <c r="DO317" s="10"/>
      <c r="DP317" s="10"/>
      <c r="DQ317" s="10"/>
      <c r="DR317" s="10"/>
      <c r="DS317" s="10"/>
      <c r="DT317" s="10"/>
      <c r="DU317" s="10"/>
      <c r="DV317" s="10"/>
      <c r="DW317" s="10"/>
      <c r="DX317" s="10"/>
      <c r="DY317" s="10"/>
      <c r="DZ317" s="10"/>
      <c r="EA317" s="10"/>
      <c r="EB317" s="10"/>
      <c r="EC317" s="10"/>
      <c r="ED317" s="10"/>
      <c r="EE317" s="10"/>
      <c r="EF317" s="10"/>
      <c r="EG317" s="10"/>
      <c r="EH317" s="10"/>
      <c r="EI317" s="10"/>
      <c r="EJ317" s="10"/>
      <c r="EK317" s="10"/>
      <c r="EL317" s="10"/>
      <c r="EM317" s="10"/>
      <c r="EN317" s="10"/>
      <c r="EO317" s="10"/>
      <c r="EP317" s="10"/>
      <c r="EQ317" s="10"/>
      <c r="ER317" s="10"/>
      <c r="ES317" s="10"/>
      <c r="ET317" s="10"/>
      <c r="EU317" s="10"/>
      <c r="EV317" s="10"/>
      <c r="EW317" s="10"/>
      <c r="EX317" s="10"/>
      <c r="EY317" s="10"/>
      <c r="EZ317" s="10"/>
      <c r="FA317" s="10"/>
      <c r="FB317" s="10"/>
      <c r="FC317" s="10"/>
      <c r="FD317" s="10"/>
      <c r="FE317" s="10"/>
      <c r="FF317" s="10"/>
      <c r="FG317" s="10"/>
      <c r="FH317" s="10"/>
      <c r="FI317" s="10"/>
      <c r="FJ317" s="10"/>
      <c r="FK317" s="10"/>
      <c r="FL317" s="10"/>
      <c r="FM317" s="10"/>
      <c r="FN317" s="10"/>
      <c r="FO317" s="10"/>
      <c r="FP317" s="10"/>
      <c r="FQ317" s="10"/>
      <c r="FR317" s="10"/>
      <c r="FS317" s="10"/>
      <c r="FT317" s="10"/>
      <c r="FU317" s="10"/>
      <c r="FV317" s="10"/>
      <c r="FW317" s="10"/>
      <c r="FX317" s="10"/>
      <c r="FY317" s="10"/>
      <c r="FZ317" s="10"/>
      <c r="GA317" s="10"/>
      <c r="GB317" s="10"/>
      <c r="GC317" s="10"/>
      <c r="GD317" s="10"/>
      <c r="GE317" s="10"/>
      <c r="GF317" s="10"/>
      <c r="GG317" s="10"/>
      <c r="GH317" s="10"/>
      <c r="GI317" s="10"/>
      <c r="GJ317" s="10"/>
      <c r="GK317" s="10"/>
    </row>
    <row r="318" customFormat="false" ht="12.75" hidden="false" customHeight="false" outlineLevel="0" collapsed="false">
      <c r="A318" s="7"/>
      <c r="B318" s="7"/>
      <c r="C318" s="8"/>
      <c r="D318" s="8"/>
      <c r="E318" s="8"/>
      <c r="F318" s="8"/>
      <c r="G318" s="9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  <c r="CK318" s="10"/>
      <c r="CL318" s="10"/>
      <c r="CM318" s="10"/>
      <c r="CN318" s="10"/>
      <c r="CO318" s="10"/>
      <c r="CP318" s="10"/>
      <c r="CQ318" s="10"/>
      <c r="CR318" s="10"/>
      <c r="CS318" s="10"/>
      <c r="CT318" s="10"/>
      <c r="CU318" s="10"/>
      <c r="CV318" s="10"/>
      <c r="CW318" s="10"/>
      <c r="CX318" s="10"/>
      <c r="CY318" s="10"/>
      <c r="CZ318" s="10"/>
      <c r="DA318" s="10"/>
      <c r="DB318" s="10"/>
      <c r="DC318" s="10"/>
      <c r="DD318" s="10"/>
      <c r="DE318" s="10"/>
      <c r="DF318" s="10"/>
      <c r="DG318" s="10"/>
      <c r="DH318" s="10"/>
      <c r="DI318" s="10"/>
      <c r="DJ318" s="10"/>
      <c r="DK318" s="10"/>
      <c r="DL318" s="10"/>
      <c r="DM318" s="10"/>
      <c r="DN318" s="10"/>
      <c r="DO318" s="10"/>
      <c r="DP318" s="10"/>
      <c r="DQ318" s="10"/>
      <c r="DR318" s="10"/>
      <c r="DS318" s="10"/>
      <c r="DT318" s="10"/>
      <c r="DU318" s="10"/>
      <c r="DV318" s="10"/>
      <c r="DW318" s="10"/>
      <c r="DX318" s="10"/>
      <c r="DY318" s="10"/>
      <c r="DZ318" s="10"/>
      <c r="EA318" s="10"/>
      <c r="EB318" s="10"/>
      <c r="EC318" s="10"/>
      <c r="ED318" s="10"/>
      <c r="EE318" s="10"/>
      <c r="EF318" s="10"/>
      <c r="EG318" s="10"/>
      <c r="EH318" s="10"/>
      <c r="EI318" s="10"/>
      <c r="EJ318" s="10"/>
      <c r="EK318" s="10"/>
      <c r="EL318" s="10"/>
      <c r="EM318" s="10"/>
      <c r="EN318" s="10"/>
      <c r="EO318" s="10"/>
      <c r="EP318" s="10"/>
      <c r="EQ318" s="10"/>
      <c r="ER318" s="10"/>
      <c r="ES318" s="10"/>
      <c r="ET318" s="10"/>
      <c r="EU318" s="10"/>
      <c r="EV318" s="10"/>
      <c r="EW318" s="10"/>
      <c r="EX318" s="10"/>
      <c r="EY318" s="10"/>
      <c r="EZ318" s="10"/>
      <c r="FA318" s="10"/>
      <c r="FB318" s="10"/>
      <c r="FC318" s="10"/>
      <c r="FD318" s="10"/>
      <c r="FE318" s="10"/>
      <c r="FF318" s="10"/>
      <c r="FG318" s="10"/>
      <c r="FH318" s="10"/>
      <c r="FI318" s="10"/>
      <c r="FJ318" s="10"/>
      <c r="FK318" s="10"/>
      <c r="FL318" s="10"/>
      <c r="FM318" s="10"/>
      <c r="FN318" s="10"/>
      <c r="FO318" s="10"/>
      <c r="FP318" s="10"/>
      <c r="FQ318" s="10"/>
      <c r="FR318" s="10"/>
      <c r="FS318" s="10"/>
      <c r="FT318" s="10"/>
      <c r="FU318" s="10"/>
      <c r="FV318" s="10"/>
      <c r="FW318" s="10"/>
      <c r="FX318" s="10"/>
      <c r="FY318" s="10"/>
      <c r="FZ318" s="10"/>
      <c r="GA318" s="10"/>
      <c r="GB318" s="10"/>
      <c r="GC318" s="10"/>
      <c r="GD318" s="10"/>
      <c r="GE318" s="10"/>
      <c r="GF318" s="10"/>
      <c r="GG318" s="10"/>
      <c r="GH318" s="10"/>
      <c r="GI318" s="10"/>
      <c r="GJ318" s="10"/>
      <c r="GK318" s="10"/>
    </row>
    <row r="319" customFormat="false" ht="12.75" hidden="false" customHeight="false" outlineLevel="0" collapsed="false">
      <c r="A319" s="7"/>
      <c r="B319" s="7"/>
      <c r="C319" s="8"/>
      <c r="D319" s="8"/>
      <c r="E319" s="8"/>
      <c r="F319" s="8"/>
      <c r="G319" s="9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K319" s="10"/>
      <c r="CL319" s="10"/>
      <c r="CM319" s="10"/>
      <c r="CN319" s="10"/>
      <c r="CO319" s="10"/>
      <c r="CP319" s="10"/>
      <c r="CQ319" s="10"/>
      <c r="CR319" s="10"/>
      <c r="CS319" s="10"/>
      <c r="CT319" s="10"/>
      <c r="CU319" s="10"/>
      <c r="CV319" s="10"/>
      <c r="CW319" s="10"/>
      <c r="CX319" s="10"/>
      <c r="CY319" s="10"/>
      <c r="CZ319" s="10"/>
      <c r="DA319" s="10"/>
      <c r="DB319" s="10"/>
      <c r="DC319" s="10"/>
      <c r="DD319" s="10"/>
      <c r="DE319" s="10"/>
      <c r="DF319" s="10"/>
      <c r="DG319" s="10"/>
      <c r="DH319" s="10"/>
      <c r="DI319" s="10"/>
      <c r="DJ319" s="10"/>
      <c r="DK319" s="10"/>
      <c r="DL319" s="10"/>
      <c r="DM319" s="10"/>
      <c r="DN319" s="10"/>
      <c r="DO319" s="10"/>
      <c r="DP319" s="10"/>
      <c r="DQ319" s="10"/>
      <c r="DR319" s="10"/>
      <c r="DS319" s="10"/>
      <c r="DT319" s="10"/>
      <c r="DU319" s="10"/>
      <c r="DV319" s="10"/>
      <c r="DW319" s="10"/>
      <c r="DX319" s="10"/>
      <c r="DY319" s="10"/>
      <c r="DZ319" s="10"/>
      <c r="EA319" s="10"/>
      <c r="EB319" s="10"/>
      <c r="EC319" s="10"/>
      <c r="ED319" s="10"/>
      <c r="EE319" s="10"/>
      <c r="EF319" s="10"/>
      <c r="EG319" s="10"/>
      <c r="EH319" s="10"/>
      <c r="EI319" s="10"/>
      <c r="EJ319" s="10"/>
      <c r="EK319" s="10"/>
      <c r="EL319" s="10"/>
      <c r="EM319" s="10"/>
      <c r="EN319" s="10"/>
      <c r="EO319" s="10"/>
      <c r="EP319" s="10"/>
      <c r="EQ319" s="10"/>
      <c r="ER319" s="10"/>
      <c r="ES319" s="10"/>
      <c r="ET319" s="10"/>
      <c r="EU319" s="10"/>
      <c r="EV319" s="10"/>
      <c r="EW319" s="10"/>
      <c r="EX319" s="10"/>
      <c r="EY319" s="10"/>
      <c r="EZ319" s="10"/>
      <c r="FA319" s="10"/>
      <c r="FB319" s="10"/>
      <c r="FC319" s="10"/>
      <c r="FD319" s="10"/>
      <c r="FE319" s="10"/>
      <c r="FF319" s="10"/>
      <c r="FG319" s="10"/>
      <c r="FH319" s="10"/>
      <c r="FI319" s="10"/>
      <c r="FJ319" s="10"/>
      <c r="FK319" s="10"/>
      <c r="FL319" s="10"/>
      <c r="FM319" s="10"/>
      <c r="FN319" s="10"/>
      <c r="FO319" s="10"/>
      <c r="FP319" s="10"/>
      <c r="FQ319" s="10"/>
      <c r="FR319" s="10"/>
      <c r="FS319" s="10"/>
      <c r="FT319" s="10"/>
      <c r="FU319" s="10"/>
      <c r="FV319" s="10"/>
      <c r="FW319" s="10"/>
      <c r="FX319" s="10"/>
      <c r="FY319" s="10"/>
      <c r="FZ319" s="10"/>
      <c r="GA319" s="10"/>
      <c r="GB319" s="10"/>
      <c r="GC319" s="10"/>
      <c r="GD319" s="10"/>
      <c r="GE319" s="10"/>
      <c r="GF319" s="10"/>
      <c r="GG319" s="10"/>
      <c r="GH319" s="10"/>
      <c r="GI319" s="10"/>
      <c r="GJ319" s="10"/>
      <c r="GK319" s="10"/>
    </row>
    <row r="320" customFormat="false" ht="12.75" hidden="false" customHeight="false" outlineLevel="0" collapsed="false">
      <c r="A320" s="7"/>
      <c r="B320" s="7"/>
      <c r="C320" s="8"/>
      <c r="D320" s="8"/>
      <c r="E320" s="8"/>
      <c r="F320" s="8"/>
      <c r="G320" s="9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K320" s="10"/>
      <c r="CL320" s="10"/>
      <c r="CM320" s="10"/>
      <c r="CN320" s="10"/>
      <c r="CO320" s="10"/>
      <c r="CP320" s="10"/>
      <c r="CQ320" s="10"/>
      <c r="CR320" s="10"/>
      <c r="CS320" s="10"/>
      <c r="CT320" s="10"/>
      <c r="CU320" s="10"/>
      <c r="CV320" s="10"/>
      <c r="CW320" s="10"/>
      <c r="CX320" s="10"/>
      <c r="CY320" s="10"/>
      <c r="CZ320" s="10"/>
      <c r="DA320" s="10"/>
      <c r="DB320" s="10"/>
      <c r="DC320" s="10"/>
      <c r="DD320" s="10"/>
      <c r="DE320" s="10"/>
      <c r="DF320" s="10"/>
      <c r="DG320" s="10"/>
      <c r="DH320" s="10"/>
      <c r="DI320" s="10"/>
      <c r="DJ320" s="10"/>
      <c r="DK320" s="10"/>
      <c r="DL320" s="10"/>
      <c r="DM320" s="10"/>
      <c r="DN320" s="10"/>
      <c r="DO320" s="10"/>
      <c r="DP320" s="10"/>
      <c r="DQ320" s="10"/>
      <c r="DR320" s="10"/>
      <c r="DS320" s="10"/>
      <c r="DT320" s="10"/>
      <c r="DU320" s="10"/>
      <c r="DV320" s="10"/>
      <c r="DW320" s="10"/>
      <c r="DX320" s="10"/>
      <c r="DY320" s="10"/>
      <c r="DZ320" s="10"/>
      <c r="EA320" s="10"/>
      <c r="EB320" s="10"/>
      <c r="EC320" s="10"/>
      <c r="ED320" s="10"/>
      <c r="EE320" s="10"/>
      <c r="EF320" s="10"/>
      <c r="EG320" s="10"/>
      <c r="EH320" s="10"/>
      <c r="EI320" s="10"/>
      <c r="EJ320" s="10"/>
      <c r="EK320" s="10"/>
      <c r="EL320" s="10"/>
      <c r="EM320" s="10"/>
      <c r="EN320" s="10"/>
      <c r="EO320" s="10"/>
      <c r="EP320" s="10"/>
      <c r="EQ320" s="10"/>
      <c r="ER320" s="10"/>
      <c r="ES320" s="10"/>
      <c r="ET320" s="10"/>
      <c r="EU320" s="10"/>
      <c r="EV320" s="10"/>
      <c r="EW320" s="10"/>
      <c r="EX320" s="10"/>
      <c r="EY320" s="10"/>
      <c r="EZ320" s="10"/>
      <c r="FA320" s="10"/>
      <c r="FB320" s="10"/>
      <c r="FC320" s="10"/>
      <c r="FD320" s="10"/>
      <c r="FE320" s="10"/>
      <c r="FF320" s="10"/>
      <c r="FG320" s="10"/>
      <c r="FH320" s="10"/>
      <c r="FI320" s="10"/>
      <c r="FJ320" s="10"/>
      <c r="FK320" s="10"/>
      <c r="FL320" s="10"/>
      <c r="FM320" s="10"/>
      <c r="FN320" s="10"/>
      <c r="FO320" s="10"/>
      <c r="FP320" s="10"/>
      <c r="FQ320" s="10"/>
      <c r="FR320" s="10"/>
      <c r="FS320" s="10"/>
      <c r="FT320" s="10"/>
      <c r="FU320" s="10"/>
      <c r="FV320" s="10"/>
      <c r="FW320" s="10"/>
      <c r="FX320" s="10"/>
      <c r="FY320" s="10"/>
      <c r="FZ320" s="10"/>
      <c r="GA320" s="10"/>
      <c r="GB320" s="10"/>
      <c r="GC320" s="10"/>
      <c r="GD320" s="10"/>
      <c r="GE320" s="10"/>
      <c r="GF320" s="10"/>
      <c r="GG320" s="10"/>
      <c r="GH320" s="10"/>
      <c r="GI320" s="10"/>
      <c r="GJ320" s="10"/>
      <c r="GK320" s="10"/>
    </row>
    <row r="321" customFormat="false" ht="12.75" hidden="false" customHeight="false" outlineLevel="0" collapsed="false">
      <c r="A321" s="7"/>
      <c r="B321" s="7"/>
      <c r="C321" s="8"/>
      <c r="D321" s="8"/>
      <c r="E321" s="8"/>
      <c r="F321" s="8"/>
      <c r="G321" s="9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  <c r="CK321" s="10"/>
      <c r="CL321" s="10"/>
      <c r="CM321" s="10"/>
      <c r="CN321" s="10"/>
      <c r="CO321" s="10"/>
      <c r="CP321" s="10"/>
      <c r="CQ321" s="10"/>
      <c r="CR321" s="10"/>
      <c r="CS321" s="10"/>
      <c r="CT321" s="10"/>
      <c r="CU321" s="10"/>
      <c r="CV321" s="10"/>
      <c r="CW321" s="10"/>
      <c r="CX321" s="10"/>
      <c r="CY321" s="10"/>
      <c r="CZ321" s="10"/>
      <c r="DA321" s="10"/>
      <c r="DB321" s="10"/>
      <c r="DC321" s="10"/>
      <c r="DD321" s="10"/>
      <c r="DE321" s="10"/>
      <c r="DF321" s="10"/>
      <c r="DG321" s="10"/>
      <c r="DH321" s="10"/>
      <c r="DI321" s="10"/>
      <c r="DJ321" s="10"/>
      <c r="DK321" s="10"/>
      <c r="DL321" s="10"/>
      <c r="DM321" s="10"/>
      <c r="DN321" s="10"/>
      <c r="DO321" s="10"/>
      <c r="DP321" s="10"/>
      <c r="DQ321" s="10"/>
      <c r="DR321" s="10"/>
      <c r="DS321" s="10"/>
      <c r="DT321" s="10"/>
      <c r="DU321" s="10"/>
      <c r="DV321" s="10"/>
      <c r="DW321" s="10"/>
      <c r="DX321" s="10"/>
      <c r="DY321" s="10"/>
      <c r="DZ321" s="10"/>
      <c r="EA321" s="10"/>
      <c r="EB321" s="10"/>
      <c r="EC321" s="10"/>
      <c r="ED321" s="10"/>
      <c r="EE321" s="10"/>
      <c r="EF321" s="10"/>
      <c r="EG321" s="10"/>
      <c r="EH321" s="10"/>
      <c r="EI321" s="10"/>
      <c r="EJ321" s="10"/>
      <c r="EK321" s="10"/>
      <c r="EL321" s="10"/>
      <c r="EM321" s="10"/>
      <c r="EN321" s="10"/>
      <c r="EO321" s="10"/>
      <c r="EP321" s="10"/>
      <c r="EQ321" s="10"/>
      <c r="ER321" s="10"/>
      <c r="ES321" s="10"/>
      <c r="ET321" s="10"/>
      <c r="EU321" s="10"/>
      <c r="EV321" s="10"/>
      <c r="EW321" s="10"/>
      <c r="EX321" s="10"/>
      <c r="EY321" s="10"/>
      <c r="EZ321" s="10"/>
      <c r="FA321" s="10"/>
      <c r="FB321" s="10"/>
      <c r="FC321" s="10"/>
      <c r="FD321" s="10"/>
      <c r="FE321" s="10"/>
      <c r="FF321" s="10"/>
      <c r="FG321" s="10"/>
      <c r="FH321" s="10"/>
      <c r="FI321" s="10"/>
      <c r="FJ321" s="10"/>
      <c r="FK321" s="10"/>
      <c r="FL321" s="10"/>
      <c r="FM321" s="10"/>
      <c r="FN321" s="10"/>
      <c r="FO321" s="10"/>
      <c r="FP321" s="10"/>
      <c r="FQ321" s="10"/>
      <c r="FR321" s="10"/>
      <c r="FS321" s="10"/>
      <c r="FT321" s="10"/>
      <c r="FU321" s="10"/>
      <c r="FV321" s="10"/>
      <c r="FW321" s="10"/>
      <c r="FX321" s="10"/>
      <c r="FY321" s="10"/>
      <c r="FZ321" s="10"/>
      <c r="GA321" s="10"/>
      <c r="GB321" s="10"/>
      <c r="GC321" s="10"/>
      <c r="GD321" s="10"/>
      <c r="GE321" s="10"/>
      <c r="GF321" s="10"/>
      <c r="GG321" s="10"/>
      <c r="GH321" s="10"/>
      <c r="GI321" s="10"/>
      <c r="GJ321" s="10"/>
      <c r="GK321" s="10"/>
    </row>
    <row r="322" customFormat="false" ht="12.75" hidden="false" customHeight="false" outlineLevel="0" collapsed="false">
      <c r="A322" s="7"/>
      <c r="B322" s="7"/>
      <c r="C322" s="8"/>
      <c r="D322" s="8"/>
      <c r="E322" s="8"/>
      <c r="F322" s="8"/>
      <c r="G322" s="9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  <c r="CK322" s="10"/>
      <c r="CL322" s="10"/>
      <c r="CM322" s="10"/>
      <c r="CN322" s="10"/>
      <c r="CO322" s="10"/>
      <c r="CP322" s="10"/>
      <c r="CQ322" s="10"/>
      <c r="CR322" s="10"/>
      <c r="CS322" s="10"/>
      <c r="CT322" s="10"/>
      <c r="CU322" s="10"/>
      <c r="CV322" s="10"/>
      <c r="CW322" s="10"/>
      <c r="CX322" s="10"/>
      <c r="CY322" s="10"/>
      <c r="CZ322" s="10"/>
      <c r="DA322" s="10"/>
      <c r="DB322" s="10"/>
      <c r="DC322" s="10"/>
      <c r="DD322" s="10"/>
      <c r="DE322" s="10"/>
      <c r="DF322" s="10"/>
      <c r="DG322" s="10"/>
      <c r="DH322" s="10"/>
      <c r="DI322" s="10"/>
      <c r="DJ322" s="10"/>
      <c r="DK322" s="10"/>
      <c r="DL322" s="10"/>
      <c r="DM322" s="10"/>
      <c r="DN322" s="10"/>
      <c r="DO322" s="10"/>
      <c r="DP322" s="10"/>
      <c r="DQ322" s="10"/>
      <c r="DR322" s="10"/>
      <c r="DS322" s="10"/>
      <c r="DT322" s="10"/>
      <c r="DU322" s="10"/>
      <c r="DV322" s="10"/>
      <c r="DW322" s="10"/>
      <c r="DX322" s="10"/>
      <c r="DY322" s="10"/>
      <c r="DZ322" s="10"/>
      <c r="EA322" s="10"/>
      <c r="EB322" s="10"/>
      <c r="EC322" s="10"/>
      <c r="ED322" s="10"/>
      <c r="EE322" s="10"/>
      <c r="EF322" s="10"/>
      <c r="EG322" s="10"/>
      <c r="EH322" s="10"/>
      <c r="EI322" s="10"/>
      <c r="EJ322" s="10"/>
      <c r="EK322" s="10"/>
      <c r="EL322" s="10"/>
      <c r="EM322" s="10"/>
      <c r="EN322" s="10"/>
      <c r="EO322" s="10"/>
      <c r="EP322" s="10"/>
      <c r="EQ322" s="10"/>
      <c r="ER322" s="10"/>
      <c r="ES322" s="10"/>
      <c r="ET322" s="10"/>
      <c r="EU322" s="10"/>
      <c r="EV322" s="10"/>
      <c r="EW322" s="10"/>
      <c r="EX322" s="10"/>
      <c r="EY322" s="10"/>
      <c r="EZ322" s="10"/>
      <c r="FA322" s="10"/>
      <c r="FB322" s="10"/>
      <c r="FC322" s="10"/>
      <c r="FD322" s="10"/>
      <c r="FE322" s="10"/>
      <c r="FF322" s="10"/>
      <c r="FG322" s="10"/>
      <c r="FH322" s="10"/>
      <c r="FI322" s="10"/>
      <c r="FJ322" s="10"/>
      <c r="FK322" s="10"/>
      <c r="FL322" s="10"/>
      <c r="FM322" s="10"/>
      <c r="FN322" s="10"/>
      <c r="FO322" s="10"/>
      <c r="FP322" s="10"/>
      <c r="FQ322" s="10"/>
      <c r="FR322" s="10"/>
      <c r="FS322" s="10"/>
      <c r="FT322" s="10"/>
      <c r="FU322" s="10"/>
      <c r="FV322" s="10"/>
      <c r="FW322" s="10"/>
      <c r="FX322" s="10"/>
      <c r="FY322" s="10"/>
      <c r="FZ322" s="10"/>
      <c r="GA322" s="10"/>
      <c r="GB322" s="10"/>
      <c r="GC322" s="10"/>
      <c r="GD322" s="10"/>
      <c r="GE322" s="10"/>
      <c r="GF322" s="10"/>
      <c r="GG322" s="10"/>
      <c r="GH322" s="10"/>
      <c r="GI322" s="10"/>
      <c r="GJ322" s="10"/>
      <c r="GK322" s="10"/>
    </row>
    <row r="323" customFormat="false" ht="12.75" hidden="false" customHeight="false" outlineLevel="0" collapsed="false">
      <c r="A323" s="7"/>
      <c r="B323" s="7"/>
      <c r="C323" s="8"/>
      <c r="D323" s="8"/>
      <c r="E323" s="8"/>
      <c r="F323" s="8"/>
      <c r="G323" s="9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K323" s="10"/>
      <c r="CL323" s="10"/>
      <c r="CM323" s="10"/>
      <c r="CN323" s="10"/>
      <c r="CO323" s="10"/>
      <c r="CP323" s="10"/>
      <c r="CQ323" s="10"/>
      <c r="CR323" s="10"/>
      <c r="CS323" s="10"/>
      <c r="CT323" s="10"/>
      <c r="CU323" s="10"/>
      <c r="CV323" s="10"/>
      <c r="CW323" s="10"/>
      <c r="CX323" s="10"/>
      <c r="CY323" s="10"/>
      <c r="CZ323" s="10"/>
      <c r="DA323" s="10"/>
      <c r="DB323" s="10"/>
      <c r="DC323" s="10"/>
      <c r="DD323" s="10"/>
      <c r="DE323" s="10"/>
      <c r="DF323" s="10"/>
      <c r="DG323" s="10"/>
      <c r="DH323" s="10"/>
      <c r="DI323" s="10"/>
      <c r="DJ323" s="10"/>
      <c r="DK323" s="10"/>
      <c r="DL323" s="10"/>
      <c r="DM323" s="10"/>
      <c r="DN323" s="10"/>
      <c r="DO323" s="10"/>
      <c r="DP323" s="10"/>
      <c r="DQ323" s="10"/>
      <c r="DR323" s="10"/>
      <c r="DS323" s="10"/>
      <c r="DT323" s="10"/>
      <c r="DU323" s="10"/>
      <c r="DV323" s="10"/>
      <c r="DW323" s="10"/>
      <c r="DX323" s="10"/>
      <c r="DY323" s="10"/>
      <c r="DZ323" s="10"/>
      <c r="EA323" s="10"/>
      <c r="EB323" s="10"/>
      <c r="EC323" s="10"/>
      <c r="ED323" s="10"/>
      <c r="EE323" s="10"/>
      <c r="EF323" s="10"/>
      <c r="EG323" s="10"/>
      <c r="EH323" s="10"/>
      <c r="EI323" s="10"/>
      <c r="EJ323" s="10"/>
      <c r="EK323" s="10"/>
      <c r="EL323" s="10"/>
      <c r="EM323" s="10"/>
      <c r="EN323" s="10"/>
      <c r="EO323" s="10"/>
      <c r="EP323" s="10"/>
      <c r="EQ323" s="10"/>
      <c r="ER323" s="10"/>
      <c r="ES323" s="10"/>
      <c r="ET323" s="10"/>
      <c r="EU323" s="10"/>
      <c r="EV323" s="10"/>
      <c r="EW323" s="10"/>
      <c r="EX323" s="10"/>
      <c r="EY323" s="10"/>
      <c r="EZ323" s="10"/>
      <c r="FA323" s="10"/>
      <c r="FB323" s="10"/>
      <c r="FC323" s="10"/>
      <c r="FD323" s="10"/>
      <c r="FE323" s="10"/>
      <c r="FF323" s="10"/>
      <c r="FG323" s="10"/>
      <c r="FH323" s="10"/>
      <c r="FI323" s="10"/>
      <c r="FJ323" s="10"/>
      <c r="FK323" s="10"/>
      <c r="FL323" s="10"/>
      <c r="FM323" s="10"/>
      <c r="FN323" s="10"/>
      <c r="FO323" s="10"/>
      <c r="FP323" s="10"/>
      <c r="FQ323" s="10"/>
      <c r="FR323" s="10"/>
      <c r="FS323" s="10"/>
      <c r="FT323" s="10"/>
      <c r="FU323" s="10"/>
      <c r="FV323" s="10"/>
      <c r="FW323" s="10"/>
      <c r="FX323" s="10"/>
      <c r="FY323" s="10"/>
      <c r="FZ323" s="10"/>
      <c r="GA323" s="10"/>
      <c r="GB323" s="10"/>
      <c r="GC323" s="10"/>
      <c r="GD323" s="10"/>
      <c r="GE323" s="10"/>
      <c r="GF323" s="10"/>
      <c r="GG323" s="10"/>
      <c r="GH323" s="10"/>
      <c r="GI323" s="10"/>
      <c r="GJ323" s="10"/>
      <c r="GK323" s="10"/>
    </row>
    <row r="324" customFormat="false" ht="12.75" hidden="false" customHeight="false" outlineLevel="0" collapsed="false">
      <c r="A324" s="7"/>
      <c r="B324" s="7"/>
      <c r="C324" s="8"/>
      <c r="D324" s="8"/>
      <c r="E324" s="8"/>
      <c r="F324" s="8"/>
      <c r="G324" s="9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  <c r="CK324" s="10"/>
      <c r="CL324" s="10"/>
      <c r="CM324" s="10"/>
      <c r="CN324" s="10"/>
      <c r="CO324" s="10"/>
      <c r="CP324" s="10"/>
      <c r="CQ324" s="10"/>
      <c r="CR324" s="10"/>
      <c r="CS324" s="10"/>
      <c r="CT324" s="10"/>
      <c r="CU324" s="10"/>
      <c r="CV324" s="10"/>
      <c r="CW324" s="10"/>
      <c r="CX324" s="10"/>
      <c r="CY324" s="10"/>
      <c r="CZ324" s="10"/>
      <c r="DA324" s="10"/>
      <c r="DB324" s="10"/>
      <c r="DC324" s="10"/>
      <c r="DD324" s="10"/>
      <c r="DE324" s="10"/>
      <c r="DF324" s="10"/>
      <c r="DG324" s="10"/>
      <c r="DH324" s="10"/>
      <c r="DI324" s="10"/>
      <c r="DJ324" s="10"/>
      <c r="DK324" s="10"/>
      <c r="DL324" s="10"/>
      <c r="DM324" s="10"/>
      <c r="DN324" s="10"/>
      <c r="DO324" s="10"/>
      <c r="DP324" s="10"/>
      <c r="DQ324" s="10"/>
      <c r="DR324" s="10"/>
      <c r="DS324" s="10"/>
      <c r="DT324" s="10"/>
      <c r="DU324" s="10"/>
      <c r="DV324" s="10"/>
      <c r="DW324" s="10"/>
      <c r="DX324" s="10"/>
      <c r="DY324" s="10"/>
      <c r="DZ324" s="10"/>
      <c r="EA324" s="10"/>
      <c r="EB324" s="10"/>
      <c r="EC324" s="10"/>
      <c r="ED324" s="10"/>
      <c r="EE324" s="10"/>
      <c r="EF324" s="10"/>
      <c r="EG324" s="10"/>
      <c r="EH324" s="10"/>
      <c r="EI324" s="10"/>
      <c r="EJ324" s="10"/>
      <c r="EK324" s="10"/>
      <c r="EL324" s="10"/>
      <c r="EM324" s="10"/>
      <c r="EN324" s="10"/>
      <c r="EO324" s="10"/>
      <c r="EP324" s="10"/>
      <c r="EQ324" s="10"/>
      <c r="ER324" s="10"/>
      <c r="ES324" s="10"/>
      <c r="ET324" s="10"/>
      <c r="EU324" s="10"/>
      <c r="EV324" s="10"/>
      <c r="EW324" s="10"/>
      <c r="EX324" s="10"/>
      <c r="EY324" s="10"/>
      <c r="EZ324" s="10"/>
      <c r="FA324" s="10"/>
      <c r="FB324" s="10"/>
      <c r="FC324" s="10"/>
      <c r="FD324" s="10"/>
      <c r="FE324" s="10"/>
      <c r="FF324" s="10"/>
      <c r="FG324" s="10"/>
      <c r="FH324" s="10"/>
      <c r="FI324" s="10"/>
      <c r="FJ324" s="10"/>
      <c r="FK324" s="10"/>
      <c r="FL324" s="10"/>
      <c r="FM324" s="10"/>
      <c r="FN324" s="10"/>
      <c r="FO324" s="10"/>
      <c r="FP324" s="10"/>
      <c r="FQ324" s="10"/>
      <c r="FR324" s="10"/>
      <c r="FS324" s="10"/>
      <c r="FT324" s="10"/>
      <c r="FU324" s="10"/>
      <c r="FV324" s="10"/>
      <c r="FW324" s="10"/>
      <c r="FX324" s="10"/>
      <c r="FY324" s="10"/>
      <c r="FZ324" s="10"/>
      <c r="GA324" s="10"/>
      <c r="GB324" s="10"/>
      <c r="GC324" s="10"/>
      <c r="GD324" s="10"/>
      <c r="GE324" s="10"/>
      <c r="GF324" s="10"/>
      <c r="GG324" s="10"/>
      <c r="GH324" s="10"/>
      <c r="GI324" s="10"/>
      <c r="GJ324" s="10"/>
      <c r="GK324" s="10"/>
    </row>
    <row r="325" customFormat="false" ht="12.75" hidden="false" customHeight="false" outlineLevel="0" collapsed="false">
      <c r="A325" s="7"/>
      <c r="B325" s="7"/>
      <c r="C325" s="8"/>
      <c r="D325" s="8"/>
      <c r="E325" s="8"/>
      <c r="F325" s="8"/>
      <c r="G325" s="9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  <c r="CL325" s="10"/>
      <c r="CM325" s="10"/>
      <c r="CN325" s="10"/>
      <c r="CO325" s="10"/>
      <c r="CP325" s="10"/>
      <c r="CQ325" s="10"/>
      <c r="CR325" s="10"/>
      <c r="CS325" s="10"/>
      <c r="CT325" s="10"/>
      <c r="CU325" s="10"/>
      <c r="CV325" s="10"/>
      <c r="CW325" s="10"/>
      <c r="CX325" s="10"/>
      <c r="CY325" s="10"/>
      <c r="CZ325" s="10"/>
      <c r="DA325" s="10"/>
      <c r="DB325" s="10"/>
      <c r="DC325" s="10"/>
      <c r="DD325" s="10"/>
      <c r="DE325" s="10"/>
      <c r="DF325" s="10"/>
      <c r="DG325" s="10"/>
      <c r="DH325" s="10"/>
      <c r="DI325" s="10"/>
      <c r="DJ325" s="10"/>
      <c r="DK325" s="10"/>
      <c r="DL325" s="10"/>
      <c r="DM325" s="10"/>
      <c r="DN325" s="10"/>
      <c r="DO325" s="10"/>
      <c r="DP325" s="10"/>
      <c r="DQ325" s="10"/>
      <c r="DR325" s="10"/>
      <c r="DS325" s="10"/>
      <c r="DT325" s="10"/>
      <c r="DU325" s="10"/>
      <c r="DV325" s="10"/>
      <c r="DW325" s="10"/>
      <c r="DX325" s="10"/>
      <c r="DY325" s="10"/>
      <c r="DZ325" s="10"/>
      <c r="EA325" s="10"/>
      <c r="EB325" s="10"/>
      <c r="EC325" s="10"/>
      <c r="ED325" s="10"/>
      <c r="EE325" s="10"/>
      <c r="EF325" s="10"/>
      <c r="EG325" s="10"/>
      <c r="EH325" s="10"/>
      <c r="EI325" s="10"/>
      <c r="EJ325" s="10"/>
      <c r="EK325" s="10"/>
      <c r="EL325" s="10"/>
      <c r="EM325" s="10"/>
      <c r="EN325" s="10"/>
      <c r="EO325" s="10"/>
      <c r="EP325" s="10"/>
      <c r="EQ325" s="10"/>
      <c r="ER325" s="10"/>
      <c r="ES325" s="10"/>
      <c r="ET325" s="10"/>
      <c r="EU325" s="10"/>
      <c r="EV325" s="10"/>
      <c r="EW325" s="10"/>
      <c r="EX325" s="10"/>
      <c r="EY325" s="10"/>
      <c r="EZ325" s="10"/>
      <c r="FA325" s="10"/>
      <c r="FB325" s="10"/>
      <c r="FC325" s="10"/>
      <c r="FD325" s="10"/>
      <c r="FE325" s="10"/>
      <c r="FF325" s="10"/>
      <c r="FG325" s="10"/>
      <c r="FH325" s="10"/>
      <c r="FI325" s="10"/>
      <c r="FJ325" s="10"/>
      <c r="FK325" s="10"/>
      <c r="FL325" s="10"/>
      <c r="FM325" s="10"/>
      <c r="FN325" s="10"/>
      <c r="FO325" s="10"/>
      <c r="FP325" s="10"/>
      <c r="FQ325" s="10"/>
      <c r="FR325" s="10"/>
      <c r="FS325" s="10"/>
      <c r="FT325" s="10"/>
      <c r="FU325" s="10"/>
      <c r="FV325" s="10"/>
      <c r="FW325" s="10"/>
      <c r="FX325" s="10"/>
      <c r="FY325" s="10"/>
      <c r="FZ325" s="10"/>
      <c r="GA325" s="10"/>
      <c r="GB325" s="10"/>
      <c r="GC325" s="10"/>
      <c r="GD325" s="10"/>
      <c r="GE325" s="10"/>
      <c r="GF325" s="10"/>
      <c r="GG325" s="10"/>
      <c r="GH325" s="10"/>
      <c r="GI325" s="10"/>
      <c r="GJ325" s="10"/>
      <c r="GK325" s="10"/>
    </row>
    <row r="326" customFormat="false" ht="12.75" hidden="false" customHeight="false" outlineLevel="0" collapsed="false">
      <c r="A326" s="7"/>
      <c r="B326" s="7"/>
      <c r="C326" s="8"/>
      <c r="D326" s="8"/>
      <c r="E326" s="8"/>
      <c r="F326" s="8"/>
      <c r="G326" s="9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  <c r="CL326" s="10"/>
      <c r="CM326" s="10"/>
      <c r="CN326" s="10"/>
      <c r="CO326" s="10"/>
      <c r="CP326" s="10"/>
      <c r="CQ326" s="10"/>
      <c r="CR326" s="10"/>
      <c r="CS326" s="10"/>
      <c r="CT326" s="10"/>
      <c r="CU326" s="10"/>
      <c r="CV326" s="10"/>
      <c r="CW326" s="10"/>
      <c r="CX326" s="10"/>
      <c r="CY326" s="10"/>
      <c r="CZ326" s="10"/>
      <c r="DA326" s="10"/>
      <c r="DB326" s="10"/>
      <c r="DC326" s="10"/>
      <c r="DD326" s="10"/>
      <c r="DE326" s="10"/>
      <c r="DF326" s="10"/>
      <c r="DG326" s="10"/>
      <c r="DH326" s="10"/>
      <c r="DI326" s="10"/>
      <c r="DJ326" s="10"/>
      <c r="DK326" s="10"/>
      <c r="DL326" s="10"/>
      <c r="DM326" s="10"/>
      <c r="DN326" s="10"/>
      <c r="DO326" s="10"/>
      <c r="DP326" s="10"/>
      <c r="DQ326" s="10"/>
      <c r="DR326" s="10"/>
      <c r="DS326" s="10"/>
      <c r="DT326" s="10"/>
      <c r="DU326" s="10"/>
      <c r="DV326" s="10"/>
      <c r="DW326" s="10"/>
      <c r="DX326" s="10"/>
      <c r="DY326" s="10"/>
      <c r="DZ326" s="10"/>
      <c r="EA326" s="10"/>
      <c r="EB326" s="10"/>
      <c r="EC326" s="10"/>
      <c r="ED326" s="10"/>
      <c r="EE326" s="10"/>
      <c r="EF326" s="10"/>
      <c r="EG326" s="10"/>
      <c r="EH326" s="10"/>
      <c r="EI326" s="10"/>
      <c r="EJ326" s="10"/>
      <c r="EK326" s="10"/>
      <c r="EL326" s="10"/>
      <c r="EM326" s="10"/>
      <c r="EN326" s="10"/>
      <c r="EO326" s="10"/>
      <c r="EP326" s="10"/>
      <c r="EQ326" s="10"/>
      <c r="ER326" s="10"/>
      <c r="ES326" s="10"/>
      <c r="ET326" s="10"/>
      <c r="EU326" s="10"/>
      <c r="EV326" s="10"/>
      <c r="EW326" s="10"/>
      <c r="EX326" s="10"/>
      <c r="EY326" s="10"/>
      <c r="EZ326" s="10"/>
      <c r="FA326" s="10"/>
      <c r="FB326" s="10"/>
      <c r="FC326" s="10"/>
      <c r="FD326" s="10"/>
      <c r="FE326" s="10"/>
      <c r="FF326" s="10"/>
      <c r="FG326" s="10"/>
      <c r="FH326" s="10"/>
      <c r="FI326" s="10"/>
      <c r="FJ326" s="10"/>
      <c r="FK326" s="10"/>
      <c r="FL326" s="10"/>
      <c r="FM326" s="10"/>
      <c r="FN326" s="10"/>
      <c r="FO326" s="10"/>
      <c r="FP326" s="10"/>
      <c r="FQ326" s="10"/>
      <c r="FR326" s="10"/>
      <c r="FS326" s="10"/>
      <c r="FT326" s="10"/>
      <c r="FU326" s="10"/>
      <c r="FV326" s="10"/>
      <c r="FW326" s="10"/>
      <c r="FX326" s="10"/>
      <c r="FY326" s="10"/>
      <c r="FZ326" s="10"/>
      <c r="GA326" s="10"/>
      <c r="GB326" s="10"/>
      <c r="GC326" s="10"/>
      <c r="GD326" s="10"/>
      <c r="GE326" s="10"/>
      <c r="GF326" s="10"/>
      <c r="GG326" s="10"/>
      <c r="GH326" s="10"/>
      <c r="GI326" s="10"/>
      <c r="GJ326" s="10"/>
      <c r="GK326" s="10"/>
    </row>
    <row r="327" customFormat="false" ht="12.75" hidden="false" customHeight="false" outlineLevel="0" collapsed="false">
      <c r="A327" s="7"/>
      <c r="B327" s="7"/>
      <c r="C327" s="8"/>
      <c r="D327" s="8"/>
      <c r="E327" s="8"/>
      <c r="F327" s="8"/>
      <c r="G327" s="9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K327" s="10"/>
      <c r="CL327" s="10"/>
      <c r="CM327" s="10"/>
      <c r="CN327" s="10"/>
      <c r="CO327" s="10"/>
      <c r="CP327" s="10"/>
      <c r="CQ327" s="10"/>
      <c r="CR327" s="10"/>
      <c r="CS327" s="10"/>
      <c r="CT327" s="10"/>
      <c r="CU327" s="10"/>
      <c r="CV327" s="10"/>
      <c r="CW327" s="10"/>
      <c r="CX327" s="10"/>
      <c r="CY327" s="10"/>
      <c r="CZ327" s="10"/>
      <c r="DA327" s="10"/>
      <c r="DB327" s="10"/>
      <c r="DC327" s="10"/>
      <c r="DD327" s="10"/>
      <c r="DE327" s="10"/>
      <c r="DF327" s="10"/>
      <c r="DG327" s="10"/>
      <c r="DH327" s="10"/>
      <c r="DI327" s="10"/>
      <c r="DJ327" s="10"/>
      <c r="DK327" s="10"/>
      <c r="DL327" s="10"/>
      <c r="DM327" s="10"/>
      <c r="DN327" s="10"/>
      <c r="DO327" s="10"/>
      <c r="DP327" s="10"/>
      <c r="DQ327" s="10"/>
      <c r="DR327" s="10"/>
      <c r="DS327" s="10"/>
      <c r="DT327" s="10"/>
      <c r="DU327" s="10"/>
      <c r="DV327" s="10"/>
      <c r="DW327" s="10"/>
      <c r="DX327" s="10"/>
      <c r="DY327" s="10"/>
      <c r="DZ327" s="10"/>
      <c r="EA327" s="10"/>
      <c r="EB327" s="10"/>
      <c r="EC327" s="10"/>
      <c r="ED327" s="10"/>
      <c r="EE327" s="10"/>
      <c r="EF327" s="10"/>
      <c r="EG327" s="10"/>
      <c r="EH327" s="10"/>
      <c r="EI327" s="10"/>
      <c r="EJ327" s="10"/>
      <c r="EK327" s="10"/>
      <c r="EL327" s="10"/>
      <c r="EM327" s="10"/>
      <c r="EN327" s="10"/>
      <c r="EO327" s="10"/>
      <c r="EP327" s="10"/>
      <c r="EQ327" s="10"/>
      <c r="ER327" s="10"/>
      <c r="ES327" s="10"/>
      <c r="ET327" s="10"/>
      <c r="EU327" s="10"/>
      <c r="EV327" s="10"/>
      <c r="EW327" s="10"/>
      <c r="EX327" s="10"/>
      <c r="EY327" s="10"/>
      <c r="EZ327" s="10"/>
      <c r="FA327" s="10"/>
      <c r="FB327" s="10"/>
      <c r="FC327" s="10"/>
      <c r="FD327" s="10"/>
      <c r="FE327" s="10"/>
      <c r="FF327" s="10"/>
      <c r="FG327" s="10"/>
      <c r="FH327" s="10"/>
      <c r="FI327" s="10"/>
      <c r="FJ327" s="10"/>
      <c r="FK327" s="10"/>
      <c r="FL327" s="10"/>
      <c r="FM327" s="10"/>
      <c r="FN327" s="10"/>
      <c r="FO327" s="10"/>
      <c r="FP327" s="10"/>
      <c r="FQ327" s="10"/>
      <c r="FR327" s="10"/>
      <c r="FS327" s="10"/>
      <c r="FT327" s="10"/>
      <c r="FU327" s="10"/>
      <c r="FV327" s="10"/>
      <c r="FW327" s="10"/>
      <c r="FX327" s="10"/>
      <c r="FY327" s="10"/>
      <c r="FZ327" s="10"/>
      <c r="GA327" s="10"/>
      <c r="GB327" s="10"/>
      <c r="GC327" s="10"/>
      <c r="GD327" s="10"/>
      <c r="GE327" s="10"/>
      <c r="GF327" s="10"/>
      <c r="GG327" s="10"/>
      <c r="GH327" s="10"/>
      <c r="GI327" s="10"/>
      <c r="GJ327" s="10"/>
      <c r="GK327" s="10"/>
    </row>
    <row r="328" customFormat="false" ht="12.75" hidden="false" customHeight="false" outlineLevel="0" collapsed="false">
      <c r="A328" s="7"/>
      <c r="B328" s="7"/>
      <c r="C328" s="8"/>
      <c r="D328" s="8"/>
      <c r="E328" s="8"/>
      <c r="F328" s="8"/>
      <c r="G328" s="9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  <c r="EM328" s="10"/>
      <c r="EN328" s="10"/>
      <c r="EO328" s="10"/>
      <c r="EP328" s="10"/>
      <c r="EQ328" s="10"/>
      <c r="ER328" s="10"/>
      <c r="ES328" s="10"/>
      <c r="ET328" s="10"/>
      <c r="EU328" s="10"/>
      <c r="EV328" s="10"/>
      <c r="EW328" s="10"/>
      <c r="EX328" s="10"/>
      <c r="EY328" s="10"/>
      <c r="EZ328" s="10"/>
      <c r="FA328" s="10"/>
      <c r="FB328" s="10"/>
      <c r="FC328" s="10"/>
      <c r="FD328" s="10"/>
      <c r="FE328" s="10"/>
      <c r="FF328" s="10"/>
      <c r="FG328" s="10"/>
      <c r="FH328" s="10"/>
      <c r="FI328" s="10"/>
      <c r="FJ328" s="10"/>
      <c r="FK328" s="10"/>
      <c r="FL328" s="10"/>
      <c r="FM328" s="10"/>
      <c r="FN328" s="10"/>
      <c r="FO328" s="10"/>
      <c r="FP328" s="10"/>
      <c r="FQ328" s="10"/>
      <c r="FR328" s="10"/>
      <c r="FS328" s="10"/>
      <c r="FT328" s="10"/>
      <c r="FU328" s="10"/>
      <c r="FV328" s="10"/>
      <c r="FW328" s="10"/>
      <c r="FX328" s="10"/>
      <c r="FY328" s="10"/>
      <c r="FZ328" s="10"/>
      <c r="GA328" s="10"/>
      <c r="GB328" s="10"/>
      <c r="GC328" s="10"/>
      <c r="GD328" s="10"/>
      <c r="GE328" s="10"/>
      <c r="GF328" s="10"/>
      <c r="GG328" s="10"/>
      <c r="GH328" s="10"/>
      <c r="GI328" s="10"/>
      <c r="GJ328" s="10"/>
      <c r="GK328" s="10"/>
    </row>
    <row r="329" customFormat="false" ht="12.75" hidden="false" customHeight="false" outlineLevel="0" collapsed="false">
      <c r="A329" s="7"/>
      <c r="B329" s="7"/>
      <c r="C329" s="8"/>
      <c r="D329" s="8"/>
      <c r="E329" s="8"/>
      <c r="F329" s="8"/>
      <c r="G329" s="9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0"/>
      <c r="CL329" s="10"/>
      <c r="CM329" s="10"/>
      <c r="CN329" s="10"/>
      <c r="CO329" s="10"/>
      <c r="CP329" s="10"/>
      <c r="CQ329" s="10"/>
      <c r="CR329" s="10"/>
      <c r="CS329" s="10"/>
      <c r="CT329" s="10"/>
      <c r="CU329" s="10"/>
      <c r="CV329" s="10"/>
      <c r="CW329" s="10"/>
      <c r="CX329" s="10"/>
      <c r="CY329" s="10"/>
      <c r="CZ329" s="10"/>
      <c r="DA329" s="10"/>
      <c r="DB329" s="10"/>
      <c r="DC329" s="10"/>
      <c r="DD329" s="10"/>
      <c r="DE329" s="10"/>
      <c r="DF329" s="10"/>
      <c r="DG329" s="10"/>
      <c r="DH329" s="10"/>
      <c r="DI329" s="10"/>
      <c r="DJ329" s="10"/>
      <c r="DK329" s="10"/>
      <c r="DL329" s="10"/>
      <c r="DM329" s="10"/>
      <c r="DN329" s="10"/>
      <c r="DO329" s="10"/>
      <c r="DP329" s="10"/>
      <c r="DQ329" s="10"/>
      <c r="DR329" s="10"/>
      <c r="DS329" s="10"/>
      <c r="DT329" s="10"/>
      <c r="DU329" s="10"/>
      <c r="DV329" s="10"/>
      <c r="DW329" s="10"/>
      <c r="DX329" s="10"/>
      <c r="DY329" s="10"/>
      <c r="DZ329" s="10"/>
      <c r="EA329" s="10"/>
      <c r="EB329" s="10"/>
      <c r="EC329" s="10"/>
      <c r="ED329" s="10"/>
      <c r="EE329" s="10"/>
      <c r="EF329" s="10"/>
      <c r="EG329" s="10"/>
      <c r="EH329" s="10"/>
      <c r="EI329" s="10"/>
      <c r="EJ329" s="10"/>
      <c r="EK329" s="10"/>
      <c r="EL329" s="10"/>
      <c r="EM329" s="10"/>
      <c r="EN329" s="10"/>
      <c r="EO329" s="10"/>
      <c r="EP329" s="10"/>
      <c r="EQ329" s="10"/>
      <c r="ER329" s="10"/>
      <c r="ES329" s="10"/>
      <c r="ET329" s="10"/>
      <c r="EU329" s="10"/>
      <c r="EV329" s="10"/>
      <c r="EW329" s="10"/>
      <c r="EX329" s="10"/>
      <c r="EY329" s="10"/>
      <c r="EZ329" s="10"/>
      <c r="FA329" s="10"/>
      <c r="FB329" s="10"/>
      <c r="FC329" s="10"/>
      <c r="FD329" s="10"/>
      <c r="FE329" s="10"/>
      <c r="FF329" s="10"/>
      <c r="FG329" s="10"/>
      <c r="FH329" s="10"/>
      <c r="FI329" s="10"/>
      <c r="FJ329" s="10"/>
      <c r="FK329" s="10"/>
      <c r="FL329" s="10"/>
      <c r="FM329" s="10"/>
      <c r="FN329" s="10"/>
      <c r="FO329" s="10"/>
      <c r="FP329" s="10"/>
      <c r="FQ329" s="10"/>
      <c r="FR329" s="10"/>
      <c r="FS329" s="10"/>
      <c r="FT329" s="10"/>
      <c r="FU329" s="10"/>
      <c r="FV329" s="10"/>
      <c r="FW329" s="10"/>
      <c r="FX329" s="10"/>
      <c r="FY329" s="10"/>
      <c r="FZ329" s="10"/>
      <c r="GA329" s="10"/>
      <c r="GB329" s="10"/>
      <c r="GC329" s="10"/>
      <c r="GD329" s="10"/>
      <c r="GE329" s="10"/>
      <c r="GF329" s="10"/>
      <c r="GG329" s="10"/>
      <c r="GH329" s="10"/>
      <c r="GI329" s="10"/>
      <c r="GJ329" s="10"/>
      <c r="GK329" s="10"/>
    </row>
    <row r="330" customFormat="false" ht="12.75" hidden="false" customHeight="false" outlineLevel="0" collapsed="false">
      <c r="A330" s="7"/>
      <c r="B330" s="7"/>
      <c r="C330" s="8"/>
      <c r="D330" s="8"/>
      <c r="E330" s="8"/>
      <c r="F330" s="8"/>
      <c r="G330" s="9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K330" s="10"/>
      <c r="CL330" s="10"/>
      <c r="CM330" s="10"/>
      <c r="CN330" s="10"/>
      <c r="CO330" s="10"/>
      <c r="CP330" s="10"/>
      <c r="CQ330" s="10"/>
      <c r="CR330" s="10"/>
      <c r="CS330" s="10"/>
      <c r="CT330" s="10"/>
      <c r="CU330" s="10"/>
      <c r="CV330" s="10"/>
      <c r="CW330" s="10"/>
      <c r="CX330" s="10"/>
      <c r="CY330" s="10"/>
      <c r="CZ330" s="10"/>
      <c r="DA330" s="10"/>
      <c r="DB330" s="10"/>
      <c r="DC330" s="10"/>
      <c r="DD330" s="10"/>
      <c r="DE330" s="10"/>
      <c r="DF330" s="10"/>
      <c r="DG330" s="10"/>
      <c r="DH330" s="10"/>
      <c r="DI330" s="10"/>
      <c r="DJ330" s="10"/>
      <c r="DK330" s="10"/>
      <c r="DL330" s="10"/>
      <c r="DM330" s="10"/>
      <c r="DN330" s="10"/>
      <c r="DO330" s="10"/>
      <c r="DP330" s="10"/>
      <c r="DQ330" s="10"/>
      <c r="DR330" s="10"/>
      <c r="DS330" s="10"/>
      <c r="DT330" s="10"/>
      <c r="DU330" s="10"/>
      <c r="DV330" s="10"/>
      <c r="DW330" s="10"/>
      <c r="DX330" s="10"/>
      <c r="DY330" s="10"/>
      <c r="DZ330" s="10"/>
      <c r="EA330" s="10"/>
      <c r="EB330" s="10"/>
      <c r="EC330" s="10"/>
      <c r="ED330" s="10"/>
      <c r="EE330" s="10"/>
      <c r="EF330" s="10"/>
      <c r="EG330" s="10"/>
      <c r="EH330" s="10"/>
      <c r="EI330" s="10"/>
      <c r="EJ330" s="10"/>
      <c r="EK330" s="10"/>
      <c r="EL330" s="10"/>
      <c r="EM330" s="10"/>
      <c r="EN330" s="10"/>
      <c r="EO330" s="10"/>
      <c r="EP330" s="10"/>
      <c r="EQ330" s="10"/>
      <c r="ER330" s="10"/>
      <c r="ES330" s="10"/>
      <c r="ET330" s="10"/>
      <c r="EU330" s="10"/>
      <c r="EV330" s="10"/>
      <c r="EW330" s="10"/>
      <c r="EX330" s="10"/>
      <c r="EY330" s="10"/>
      <c r="EZ330" s="10"/>
      <c r="FA330" s="10"/>
      <c r="FB330" s="10"/>
      <c r="FC330" s="10"/>
      <c r="FD330" s="10"/>
      <c r="FE330" s="10"/>
      <c r="FF330" s="10"/>
      <c r="FG330" s="10"/>
      <c r="FH330" s="10"/>
      <c r="FI330" s="10"/>
      <c r="FJ330" s="10"/>
      <c r="FK330" s="10"/>
      <c r="FL330" s="10"/>
      <c r="FM330" s="10"/>
      <c r="FN330" s="10"/>
      <c r="FO330" s="10"/>
      <c r="FP330" s="10"/>
      <c r="FQ330" s="10"/>
      <c r="FR330" s="10"/>
      <c r="FS330" s="10"/>
      <c r="FT330" s="10"/>
      <c r="FU330" s="10"/>
      <c r="FV330" s="10"/>
      <c r="FW330" s="10"/>
      <c r="FX330" s="10"/>
      <c r="FY330" s="10"/>
      <c r="FZ330" s="10"/>
      <c r="GA330" s="10"/>
      <c r="GB330" s="10"/>
      <c r="GC330" s="10"/>
      <c r="GD330" s="10"/>
      <c r="GE330" s="10"/>
      <c r="GF330" s="10"/>
      <c r="GG330" s="10"/>
      <c r="GH330" s="10"/>
      <c r="GI330" s="10"/>
      <c r="GJ330" s="10"/>
      <c r="GK330" s="10"/>
    </row>
    <row r="331" customFormat="false" ht="12.75" hidden="false" customHeight="false" outlineLevel="0" collapsed="false">
      <c r="A331" s="7"/>
      <c r="B331" s="7"/>
      <c r="C331" s="8"/>
      <c r="D331" s="8"/>
      <c r="E331" s="8"/>
      <c r="F331" s="8"/>
      <c r="G331" s="9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  <c r="CL331" s="10"/>
      <c r="CM331" s="10"/>
      <c r="CN331" s="10"/>
      <c r="CO331" s="10"/>
      <c r="CP331" s="10"/>
      <c r="CQ331" s="10"/>
      <c r="CR331" s="10"/>
      <c r="CS331" s="10"/>
      <c r="CT331" s="10"/>
      <c r="CU331" s="10"/>
      <c r="CV331" s="10"/>
      <c r="CW331" s="10"/>
      <c r="CX331" s="10"/>
      <c r="CY331" s="10"/>
      <c r="CZ331" s="10"/>
      <c r="DA331" s="10"/>
      <c r="DB331" s="10"/>
      <c r="DC331" s="10"/>
      <c r="DD331" s="10"/>
      <c r="DE331" s="10"/>
      <c r="DF331" s="10"/>
      <c r="DG331" s="10"/>
      <c r="DH331" s="10"/>
      <c r="DI331" s="10"/>
      <c r="DJ331" s="10"/>
      <c r="DK331" s="10"/>
      <c r="DL331" s="10"/>
      <c r="DM331" s="10"/>
      <c r="DN331" s="10"/>
      <c r="DO331" s="10"/>
      <c r="DP331" s="10"/>
      <c r="DQ331" s="10"/>
      <c r="DR331" s="10"/>
      <c r="DS331" s="10"/>
      <c r="DT331" s="10"/>
      <c r="DU331" s="10"/>
      <c r="DV331" s="10"/>
      <c r="DW331" s="10"/>
      <c r="DX331" s="10"/>
      <c r="DY331" s="10"/>
      <c r="DZ331" s="10"/>
      <c r="EA331" s="10"/>
      <c r="EB331" s="10"/>
      <c r="EC331" s="10"/>
      <c r="ED331" s="10"/>
      <c r="EE331" s="10"/>
      <c r="EF331" s="10"/>
      <c r="EG331" s="10"/>
      <c r="EH331" s="10"/>
      <c r="EI331" s="10"/>
      <c r="EJ331" s="10"/>
      <c r="EK331" s="10"/>
      <c r="EL331" s="10"/>
      <c r="EM331" s="10"/>
      <c r="EN331" s="10"/>
      <c r="EO331" s="10"/>
      <c r="EP331" s="10"/>
      <c r="EQ331" s="10"/>
      <c r="ER331" s="10"/>
      <c r="ES331" s="10"/>
      <c r="ET331" s="10"/>
      <c r="EU331" s="10"/>
      <c r="EV331" s="10"/>
      <c r="EW331" s="10"/>
      <c r="EX331" s="10"/>
      <c r="EY331" s="10"/>
      <c r="EZ331" s="10"/>
      <c r="FA331" s="10"/>
      <c r="FB331" s="10"/>
      <c r="FC331" s="10"/>
      <c r="FD331" s="10"/>
      <c r="FE331" s="10"/>
      <c r="FF331" s="10"/>
      <c r="FG331" s="10"/>
      <c r="FH331" s="10"/>
      <c r="FI331" s="10"/>
      <c r="FJ331" s="10"/>
      <c r="FK331" s="10"/>
      <c r="FL331" s="10"/>
      <c r="FM331" s="10"/>
      <c r="FN331" s="10"/>
      <c r="FO331" s="10"/>
      <c r="FP331" s="10"/>
      <c r="FQ331" s="10"/>
      <c r="FR331" s="10"/>
      <c r="FS331" s="10"/>
      <c r="FT331" s="10"/>
      <c r="FU331" s="10"/>
      <c r="FV331" s="10"/>
      <c r="FW331" s="10"/>
      <c r="FX331" s="10"/>
      <c r="FY331" s="10"/>
      <c r="FZ331" s="10"/>
      <c r="GA331" s="10"/>
      <c r="GB331" s="10"/>
      <c r="GC331" s="10"/>
      <c r="GD331" s="10"/>
      <c r="GE331" s="10"/>
      <c r="GF331" s="10"/>
      <c r="GG331" s="10"/>
      <c r="GH331" s="10"/>
      <c r="GI331" s="10"/>
      <c r="GJ331" s="10"/>
      <c r="GK331" s="10"/>
    </row>
    <row r="332" customFormat="false" ht="12.75" hidden="false" customHeight="false" outlineLevel="0" collapsed="false">
      <c r="A332" s="7"/>
      <c r="B332" s="7"/>
      <c r="C332" s="8"/>
      <c r="D332" s="8"/>
      <c r="E332" s="8"/>
      <c r="F332" s="8"/>
      <c r="G332" s="9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K332" s="10"/>
      <c r="CL332" s="10"/>
      <c r="CM332" s="10"/>
      <c r="CN332" s="10"/>
      <c r="CO332" s="10"/>
      <c r="CP332" s="10"/>
      <c r="CQ332" s="10"/>
      <c r="CR332" s="10"/>
      <c r="CS332" s="10"/>
      <c r="CT332" s="10"/>
      <c r="CU332" s="10"/>
      <c r="CV332" s="10"/>
      <c r="CW332" s="10"/>
      <c r="CX332" s="10"/>
      <c r="CY332" s="10"/>
      <c r="CZ332" s="10"/>
      <c r="DA332" s="10"/>
      <c r="DB332" s="10"/>
      <c r="DC332" s="10"/>
      <c r="DD332" s="10"/>
      <c r="DE332" s="10"/>
      <c r="DF332" s="10"/>
      <c r="DG332" s="10"/>
      <c r="DH332" s="10"/>
      <c r="DI332" s="10"/>
      <c r="DJ332" s="10"/>
      <c r="DK332" s="10"/>
      <c r="DL332" s="10"/>
      <c r="DM332" s="10"/>
      <c r="DN332" s="10"/>
      <c r="DO332" s="10"/>
      <c r="DP332" s="10"/>
      <c r="DQ332" s="10"/>
      <c r="DR332" s="10"/>
      <c r="DS332" s="10"/>
      <c r="DT332" s="10"/>
      <c r="DU332" s="10"/>
      <c r="DV332" s="10"/>
      <c r="DW332" s="10"/>
      <c r="DX332" s="10"/>
      <c r="DY332" s="10"/>
      <c r="DZ332" s="10"/>
      <c r="EA332" s="10"/>
      <c r="EB332" s="10"/>
      <c r="EC332" s="10"/>
      <c r="ED332" s="10"/>
      <c r="EE332" s="10"/>
      <c r="EF332" s="10"/>
      <c r="EG332" s="10"/>
      <c r="EH332" s="10"/>
      <c r="EI332" s="10"/>
      <c r="EJ332" s="10"/>
      <c r="EK332" s="10"/>
      <c r="EL332" s="10"/>
      <c r="EM332" s="10"/>
      <c r="EN332" s="10"/>
      <c r="EO332" s="10"/>
      <c r="EP332" s="10"/>
      <c r="EQ332" s="10"/>
      <c r="ER332" s="10"/>
      <c r="ES332" s="10"/>
      <c r="ET332" s="10"/>
      <c r="EU332" s="10"/>
      <c r="EV332" s="10"/>
      <c r="EW332" s="10"/>
      <c r="EX332" s="10"/>
      <c r="EY332" s="10"/>
      <c r="EZ332" s="10"/>
      <c r="FA332" s="10"/>
      <c r="FB332" s="10"/>
      <c r="FC332" s="10"/>
      <c r="FD332" s="10"/>
      <c r="FE332" s="10"/>
      <c r="FF332" s="10"/>
      <c r="FG332" s="10"/>
      <c r="FH332" s="10"/>
      <c r="FI332" s="10"/>
      <c r="FJ332" s="10"/>
      <c r="FK332" s="10"/>
      <c r="FL332" s="10"/>
      <c r="FM332" s="10"/>
      <c r="FN332" s="10"/>
      <c r="FO332" s="10"/>
      <c r="FP332" s="10"/>
      <c r="FQ332" s="10"/>
      <c r="FR332" s="10"/>
      <c r="FS332" s="10"/>
      <c r="FT332" s="10"/>
      <c r="FU332" s="10"/>
      <c r="FV332" s="10"/>
      <c r="FW332" s="10"/>
      <c r="FX332" s="10"/>
      <c r="FY332" s="10"/>
      <c r="FZ332" s="10"/>
      <c r="GA332" s="10"/>
      <c r="GB332" s="10"/>
      <c r="GC332" s="10"/>
      <c r="GD332" s="10"/>
      <c r="GE332" s="10"/>
      <c r="GF332" s="10"/>
      <c r="GG332" s="10"/>
      <c r="GH332" s="10"/>
      <c r="GI332" s="10"/>
      <c r="GJ332" s="10"/>
      <c r="GK332" s="10"/>
    </row>
    <row r="333" customFormat="false" ht="12.75" hidden="false" customHeight="false" outlineLevel="0" collapsed="false">
      <c r="A333" s="7"/>
      <c r="B333" s="7"/>
      <c r="C333" s="8"/>
      <c r="D333" s="8"/>
      <c r="E333" s="8"/>
      <c r="F333" s="8"/>
      <c r="G333" s="9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  <c r="CL333" s="10"/>
      <c r="CM333" s="10"/>
      <c r="CN333" s="10"/>
      <c r="CO333" s="10"/>
      <c r="CP333" s="10"/>
      <c r="CQ333" s="10"/>
      <c r="CR333" s="10"/>
      <c r="CS333" s="10"/>
      <c r="CT333" s="10"/>
      <c r="CU333" s="10"/>
      <c r="CV333" s="10"/>
      <c r="CW333" s="10"/>
      <c r="CX333" s="10"/>
      <c r="CY333" s="10"/>
      <c r="CZ333" s="10"/>
      <c r="DA333" s="10"/>
      <c r="DB333" s="10"/>
      <c r="DC333" s="10"/>
      <c r="DD333" s="10"/>
      <c r="DE333" s="10"/>
      <c r="DF333" s="10"/>
      <c r="DG333" s="10"/>
      <c r="DH333" s="10"/>
      <c r="DI333" s="10"/>
      <c r="DJ333" s="10"/>
      <c r="DK333" s="10"/>
      <c r="DL333" s="10"/>
      <c r="DM333" s="10"/>
      <c r="DN333" s="10"/>
      <c r="DO333" s="10"/>
      <c r="DP333" s="10"/>
      <c r="DQ333" s="10"/>
      <c r="DR333" s="10"/>
      <c r="DS333" s="10"/>
      <c r="DT333" s="10"/>
      <c r="DU333" s="10"/>
      <c r="DV333" s="10"/>
      <c r="DW333" s="10"/>
      <c r="DX333" s="10"/>
      <c r="DY333" s="10"/>
      <c r="DZ333" s="10"/>
      <c r="EA333" s="10"/>
      <c r="EB333" s="10"/>
      <c r="EC333" s="10"/>
      <c r="ED333" s="10"/>
      <c r="EE333" s="10"/>
      <c r="EF333" s="10"/>
      <c r="EG333" s="10"/>
      <c r="EH333" s="10"/>
      <c r="EI333" s="10"/>
      <c r="EJ333" s="10"/>
      <c r="EK333" s="10"/>
      <c r="EL333" s="10"/>
      <c r="EM333" s="10"/>
      <c r="EN333" s="10"/>
      <c r="EO333" s="10"/>
      <c r="EP333" s="10"/>
      <c r="EQ333" s="10"/>
      <c r="ER333" s="10"/>
      <c r="ES333" s="10"/>
      <c r="ET333" s="10"/>
      <c r="EU333" s="10"/>
      <c r="EV333" s="10"/>
      <c r="EW333" s="10"/>
      <c r="EX333" s="10"/>
      <c r="EY333" s="10"/>
      <c r="EZ333" s="10"/>
      <c r="FA333" s="10"/>
      <c r="FB333" s="10"/>
      <c r="FC333" s="10"/>
      <c r="FD333" s="10"/>
      <c r="FE333" s="10"/>
      <c r="FF333" s="10"/>
      <c r="FG333" s="10"/>
      <c r="FH333" s="10"/>
      <c r="FI333" s="10"/>
      <c r="FJ333" s="10"/>
      <c r="FK333" s="10"/>
      <c r="FL333" s="10"/>
      <c r="FM333" s="10"/>
      <c r="FN333" s="10"/>
      <c r="FO333" s="10"/>
      <c r="FP333" s="10"/>
      <c r="FQ333" s="10"/>
      <c r="FR333" s="10"/>
      <c r="FS333" s="10"/>
      <c r="FT333" s="10"/>
      <c r="FU333" s="10"/>
      <c r="FV333" s="10"/>
      <c r="FW333" s="10"/>
      <c r="FX333" s="10"/>
      <c r="FY333" s="10"/>
      <c r="FZ333" s="10"/>
      <c r="GA333" s="10"/>
      <c r="GB333" s="10"/>
      <c r="GC333" s="10"/>
      <c r="GD333" s="10"/>
      <c r="GE333" s="10"/>
      <c r="GF333" s="10"/>
      <c r="GG333" s="10"/>
      <c r="GH333" s="10"/>
      <c r="GI333" s="10"/>
      <c r="GJ333" s="10"/>
      <c r="GK333" s="10"/>
    </row>
    <row r="334" customFormat="false" ht="12.75" hidden="false" customHeight="false" outlineLevel="0" collapsed="false">
      <c r="A334" s="7"/>
      <c r="B334" s="7"/>
      <c r="C334" s="8"/>
      <c r="D334" s="8"/>
      <c r="E334" s="8"/>
      <c r="F334" s="8"/>
      <c r="G334" s="9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  <c r="CL334" s="10"/>
      <c r="CM334" s="10"/>
      <c r="CN334" s="10"/>
      <c r="CO334" s="10"/>
      <c r="CP334" s="10"/>
      <c r="CQ334" s="10"/>
      <c r="CR334" s="10"/>
      <c r="CS334" s="10"/>
      <c r="CT334" s="10"/>
      <c r="CU334" s="10"/>
      <c r="CV334" s="10"/>
      <c r="CW334" s="10"/>
      <c r="CX334" s="10"/>
      <c r="CY334" s="10"/>
      <c r="CZ334" s="10"/>
      <c r="DA334" s="10"/>
      <c r="DB334" s="10"/>
      <c r="DC334" s="10"/>
      <c r="DD334" s="10"/>
      <c r="DE334" s="10"/>
      <c r="DF334" s="10"/>
      <c r="DG334" s="10"/>
      <c r="DH334" s="10"/>
      <c r="DI334" s="10"/>
      <c r="DJ334" s="10"/>
      <c r="DK334" s="10"/>
      <c r="DL334" s="10"/>
      <c r="DM334" s="10"/>
      <c r="DN334" s="10"/>
      <c r="DO334" s="10"/>
      <c r="DP334" s="10"/>
      <c r="DQ334" s="10"/>
      <c r="DR334" s="10"/>
      <c r="DS334" s="10"/>
      <c r="DT334" s="10"/>
      <c r="DU334" s="10"/>
      <c r="DV334" s="10"/>
      <c r="DW334" s="10"/>
      <c r="DX334" s="10"/>
      <c r="DY334" s="10"/>
      <c r="DZ334" s="10"/>
      <c r="EA334" s="10"/>
      <c r="EB334" s="10"/>
      <c r="EC334" s="10"/>
      <c r="ED334" s="10"/>
      <c r="EE334" s="10"/>
      <c r="EF334" s="10"/>
      <c r="EG334" s="10"/>
      <c r="EH334" s="10"/>
      <c r="EI334" s="10"/>
      <c r="EJ334" s="10"/>
      <c r="EK334" s="10"/>
      <c r="EL334" s="10"/>
      <c r="EM334" s="10"/>
      <c r="EN334" s="10"/>
      <c r="EO334" s="10"/>
      <c r="EP334" s="10"/>
      <c r="EQ334" s="10"/>
      <c r="ER334" s="10"/>
      <c r="ES334" s="10"/>
      <c r="ET334" s="10"/>
      <c r="EU334" s="10"/>
      <c r="EV334" s="10"/>
      <c r="EW334" s="10"/>
      <c r="EX334" s="10"/>
      <c r="EY334" s="10"/>
      <c r="EZ334" s="10"/>
      <c r="FA334" s="10"/>
      <c r="FB334" s="10"/>
      <c r="FC334" s="10"/>
      <c r="FD334" s="10"/>
      <c r="FE334" s="10"/>
      <c r="FF334" s="10"/>
      <c r="FG334" s="10"/>
      <c r="FH334" s="10"/>
      <c r="FI334" s="10"/>
      <c r="FJ334" s="10"/>
      <c r="FK334" s="10"/>
      <c r="FL334" s="10"/>
      <c r="FM334" s="10"/>
      <c r="FN334" s="10"/>
      <c r="FO334" s="10"/>
      <c r="FP334" s="10"/>
      <c r="FQ334" s="10"/>
      <c r="FR334" s="10"/>
      <c r="FS334" s="10"/>
      <c r="FT334" s="10"/>
      <c r="FU334" s="10"/>
      <c r="FV334" s="10"/>
      <c r="FW334" s="10"/>
      <c r="FX334" s="10"/>
      <c r="FY334" s="10"/>
      <c r="FZ334" s="10"/>
      <c r="GA334" s="10"/>
      <c r="GB334" s="10"/>
      <c r="GC334" s="10"/>
      <c r="GD334" s="10"/>
      <c r="GE334" s="10"/>
      <c r="GF334" s="10"/>
      <c r="GG334" s="10"/>
      <c r="GH334" s="10"/>
      <c r="GI334" s="10"/>
      <c r="GJ334" s="10"/>
      <c r="GK334" s="10"/>
    </row>
    <row r="335" customFormat="false" ht="12.75" hidden="false" customHeight="false" outlineLevel="0" collapsed="false">
      <c r="A335" s="7"/>
      <c r="B335" s="7"/>
      <c r="C335" s="8"/>
      <c r="D335" s="8"/>
      <c r="E335" s="8"/>
      <c r="F335" s="8"/>
      <c r="G335" s="9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  <c r="CL335" s="10"/>
      <c r="CM335" s="10"/>
      <c r="CN335" s="10"/>
      <c r="CO335" s="10"/>
      <c r="CP335" s="10"/>
      <c r="CQ335" s="10"/>
      <c r="CR335" s="10"/>
      <c r="CS335" s="10"/>
      <c r="CT335" s="10"/>
      <c r="CU335" s="10"/>
      <c r="CV335" s="10"/>
      <c r="CW335" s="10"/>
      <c r="CX335" s="10"/>
      <c r="CY335" s="10"/>
      <c r="CZ335" s="10"/>
      <c r="DA335" s="10"/>
      <c r="DB335" s="10"/>
      <c r="DC335" s="10"/>
      <c r="DD335" s="10"/>
      <c r="DE335" s="10"/>
      <c r="DF335" s="10"/>
      <c r="DG335" s="10"/>
      <c r="DH335" s="10"/>
      <c r="DI335" s="10"/>
      <c r="DJ335" s="10"/>
      <c r="DK335" s="10"/>
      <c r="DL335" s="10"/>
      <c r="DM335" s="10"/>
      <c r="DN335" s="10"/>
      <c r="DO335" s="10"/>
      <c r="DP335" s="10"/>
      <c r="DQ335" s="10"/>
      <c r="DR335" s="10"/>
      <c r="DS335" s="10"/>
      <c r="DT335" s="10"/>
      <c r="DU335" s="10"/>
      <c r="DV335" s="10"/>
      <c r="DW335" s="10"/>
      <c r="DX335" s="10"/>
      <c r="DY335" s="10"/>
      <c r="DZ335" s="10"/>
      <c r="EA335" s="10"/>
      <c r="EB335" s="10"/>
      <c r="EC335" s="10"/>
      <c r="ED335" s="10"/>
      <c r="EE335" s="10"/>
      <c r="EF335" s="10"/>
      <c r="EG335" s="10"/>
      <c r="EH335" s="10"/>
      <c r="EI335" s="10"/>
      <c r="EJ335" s="10"/>
      <c r="EK335" s="10"/>
      <c r="EL335" s="10"/>
      <c r="EM335" s="10"/>
      <c r="EN335" s="10"/>
      <c r="EO335" s="10"/>
      <c r="EP335" s="10"/>
      <c r="EQ335" s="10"/>
      <c r="ER335" s="10"/>
      <c r="ES335" s="10"/>
      <c r="ET335" s="10"/>
      <c r="EU335" s="10"/>
      <c r="EV335" s="10"/>
      <c r="EW335" s="10"/>
      <c r="EX335" s="10"/>
      <c r="EY335" s="10"/>
      <c r="EZ335" s="10"/>
      <c r="FA335" s="10"/>
      <c r="FB335" s="10"/>
      <c r="FC335" s="10"/>
      <c r="FD335" s="10"/>
      <c r="FE335" s="10"/>
      <c r="FF335" s="10"/>
      <c r="FG335" s="10"/>
      <c r="FH335" s="10"/>
      <c r="FI335" s="10"/>
      <c r="FJ335" s="10"/>
      <c r="FK335" s="10"/>
      <c r="FL335" s="10"/>
      <c r="FM335" s="10"/>
      <c r="FN335" s="10"/>
      <c r="FO335" s="10"/>
      <c r="FP335" s="10"/>
      <c r="FQ335" s="10"/>
      <c r="FR335" s="10"/>
      <c r="FS335" s="10"/>
      <c r="FT335" s="10"/>
      <c r="FU335" s="10"/>
      <c r="FV335" s="10"/>
      <c r="FW335" s="10"/>
      <c r="FX335" s="10"/>
      <c r="FY335" s="10"/>
      <c r="FZ335" s="10"/>
      <c r="GA335" s="10"/>
      <c r="GB335" s="10"/>
      <c r="GC335" s="10"/>
      <c r="GD335" s="10"/>
      <c r="GE335" s="10"/>
      <c r="GF335" s="10"/>
      <c r="GG335" s="10"/>
      <c r="GH335" s="10"/>
      <c r="GI335" s="10"/>
      <c r="GJ335" s="10"/>
      <c r="GK335" s="10"/>
    </row>
    <row r="336" customFormat="false" ht="12.75" hidden="false" customHeight="false" outlineLevel="0" collapsed="false">
      <c r="A336" s="7"/>
      <c r="B336" s="7"/>
      <c r="C336" s="8"/>
      <c r="D336" s="8"/>
      <c r="E336" s="8"/>
      <c r="F336" s="8"/>
      <c r="G336" s="9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  <c r="CK336" s="10"/>
      <c r="CL336" s="10"/>
      <c r="CM336" s="10"/>
      <c r="CN336" s="10"/>
      <c r="CO336" s="10"/>
      <c r="CP336" s="10"/>
      <c r="CQ336" s="10"/>
      <c r="CR336" s="10"/>
      <c r="CS336" s="10"/>
      <c r="CT336" s="10"/>
      <c r="CU336" s="10"/>
      <c r="CV336" s="10"/>
      <c r="CW336" s="10"/>
      <c r="CX336" s="10"/>
      <c r="CY336" s="10"/>
      <c r="CZ336" s="10"/>
      <c r="DA336" s="10"/>
      <c r="DB336" s="10"/>
      <c r="DC336" s="10"/>
      <c r="DD336" s="10"/>
      <c r="DE336" s="10"/>
      <c r="DF336" s="10"/>
      <c r="DG336" s="10"/>
      <c r="DH336" s="10"/>
      <c r="DI336" s="10"/>
      <c r="DJ336" s="10"/>
      <c r="DK336" s="10"/>
      <c r="DL336" s="10"/>
      <c r="DM336" s="10"/>
      <c r="DN336" s="10"/>
      <c r="DO336" s="10"/>
      <c r="DP336" s="10"/>
      <c r="DQ336" s="10"/>
      <c r="DR336" s="10"/>
      <c r="DS336" s="10"/>
      <c r="DT336" s="10"/>
      <c r="DU336" s="10"/>
      <c r="DV336" s="10"/>
      <c r="DW336" s="10"/>
      <c r="DX336" s="10"/>
      <c r="DY336" s="10"/>
      <c r="DZ336" s="10"/>
      <c r="EA336" s="10"/>
      <c r="EB336" s="10"/>
      <c r="EC336" s="10"/>
      <c r="ED336" s="10"/>
      <c r="EE336" s="10"/>
      <c r="EF336" s="10"/>
      <c r="EG336" s="10"/>
      <c r="EH336" s="10"/>
      <c r="EI336" s="10"/>
      <c r="EJ336" s="10"/>
      <c r="EK336" s="10"/>
      <c r="EL336" s="10"/>
      <c r="EM336" s="10"/>
      <c r="EN336" s="10"/>
      <c r="EO336" s="10"/>
      <c r="EP336" s="10"/>
      <c r="EQ336" s="10"/>
      <c r="ER336" s="10"/>
      <c r="ES336" s="10"/>
      <c r="ET336" s="10"/>
      <c r="EU336" s="10"/>
      <c r="EV336" s="10"/>
      <c r="EW336" s="10"/>
      <c r="EX336" s="10"/>
      <c r="EY336" s="10"/>
      <c r="EZ336" s="10"/>
      <c r="FA336" s="10"/>
      <c r="FB336" s="10"/>
      <c r="FC336" s="10"/>
      <c r="FD336" s="10"/>
      <c r="FE336" s="10"/>
      <c r="FF336" s="10"/>
      <c r="FG336" s="10"/>
      <c r="FH336" s="10"/>
      <c r="FI336" s="10"/>
      <c r="FJ336" s="10"/>
      <c r="FK336" s="10"/>
      <c r="FL336" s="10"/>
      <c r="FM336" s="10"/>
      <c r="FN336" s="10"/>
      <c r="FO336" s="10"/>
      <c r="FP336" s="10"/>
      <c r="FQ336" s="10"/>
      <c r="FR336" s="10"/>
      <c r="FS336" s="10"/>
      <c r="FT336" s="10"/>
      <c r="FU336" s="10"/>
      <c r="FV336" s="10"/>
      <c r="FW336" s="10"/>
      <c r="FX336" s="10"/>
      <c r="FY336" s="10"/>
      <c r="FZ336" s="10"/>
      <c r="GA336" s="10"/>
      <c r="GB336" s="10"/>
      <c r="GC336" s="10"/>
      <c r="GD336" s="10"/>
      <c r="GE336" s="10"/>
      <c r="GF336" s="10"/>
      <c r="GG336" s="10"/>
      <c r="GH336" s="10"/>
      <c r="GI336" s="10"/>
      <c r="GJ336" s="10"/>
      <c r="GK336" s="10"/>
    </row>
    <row r="337" customFormat="false" ht="12.75" hidden="false" customHeight="false" outlineLevel="0" collapsed="false">
      <c r="A337" s="7"/>
      <c r="B337" s="7"/>
      <c r="C337" s="8"/>
      <c r="D337" s="8"/>
      <c r="E337" s="8"/>
      <c r="F337" s="8"/>
      <c r="G337" s="9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  <c r="CL337" s="10"/>
      <c r="CM337" s="10"/>
      <c r="CN337" s="10"/>
      <c r="CO337" s="10"/>
      <c r="CP337" s="10"/>
      <c r="CQ337" s="10"/>
      <c r="CR337" s="10"/>
      <c r="CS337" s="10"/>
      <c r="CT337" s="10"/>
      <c r="CU337" s="10"/>
      <c r="CV337" s="10"/>
      <c r="CW337" s="10"/>
      <c r="CX337" s="10"/>
      <c r="CY337" s="10"/>
      <c r="CZ337" s="10"/>
      <c r="DA337" s="10"/>
      <c r="DB337" s="10"/>
      <c r="DC337" s="10"/>
      <c r="DD337" s="10"/>
      <c r="DE337" s="10"/>
      <c r="DF337" s="10"/>
      <c r="DG337" s="10"/>
      <c r="DH337" s="10"/>
      <c r="DI337" s="10"/>
      <c r="DJ337" s="10"/>
      <c r="DK337" s="10"/>
      <c r="DL337" s="10"/>
      <c r="DM337" s="10"/>
      <c r="DN337" s="10"/>
      <c r="DO337" s="10"/>
      <c r="DP337" s="10"/>
      <c r="DQ337" s="10"/>
      <c r="DR337" s="10"/>
      <c r="DS337" s="10"/>
      <c r="DT337" s="10"/>
      <c r="DU337" s="10"/>
      <c r="DV337" s="10"/>
      <c r="DW337" s="10"/>
      <c r="DX337" s="10"/>
      <c r="DY337" s="10"/>
      <c r="DZ337" s="10"/>
      <c r="EA337" s="10"/>
      <c r="EB337" s="10"/>
      <c r="EC337" s="10"/>
      <c r="ED337" s="10"/>
      <c r="EE337" s="10"/>
      <c r="EF337" s="10"/>
      <c r="EG337" s="10"/>
      <c r="EH337" s="10"/>
      <c r="EI337" s="10"/>
      <c r="EJ337" s="10"/>
      <c r="EK337" s="10"/>
      <c r="EL337" s="10"/>
      <c r="EM337" s="10"/>
      <c r="EN337" s="10"/>
      <c r="EO337" s="10"/>
      <c r="EP337" s="10"/>
      <c r="EQ337" s="10"/>
      <c r="ER337" s="10"/>
      <c r="ES337" s="10"/>
      <c r="ET337" s="10"/>
      <c r="EU337" s="10"/>
      <c r="EV337" s="10"/>
      <c r="EW337" s="10"/>
      <c r="EX337" s="10"/>
      <c r="EY337" s="10"/>
      <c r="EZ337" s="10"/>
      <c r="FA337" s="10"/>
      <c r="FB337" s="10"/>
      <c r="FC337" s="10"/>
      <c r="FD337" s="10"/>
      <c r="FE337" s="10"/>
      <c r="FF337" s="10"/>
      <c r="FG337" s="10"/>
      <c r="FH337" s="10"/>
      <c r="FI337" s="10"/>
      <c r="FJ337" s="10"/>
      <c r="FK337" s="10"/>
      <c r="FL337" s="10"/>
      <c r="FM337" s="10"/>
      <c r="FN337" s="10"/>
      <c r="FO337" s="10"/>
      <c r="FP337" s="10"/>
      <c r="FQ337" s="10"/>
      <c r="FR337" s="10"/>
      <c r="FS337" s="10"/>
      <c r="FT337" s="10"/>
      <c r="FU337" s="10"/>
      <c r="FV337" s="10"/>
      <c r="FW337" s="10"/>
      <c r="FX337" s="10"/>
      <c r="FY337" s="10"/>
      <c r="FZ337" s="10"/>
      <c r="GA337" s="10"/>
      <c r="GB337" s="10"/>
      <c r="GC337" s="10"/>
      <c r="GD337" s="10"/>
      <c r="GE337" s="10"/>
      <c r="GF337" s="10"/>
      <c r="GG337" s="10"/>
      <c r="GH337" s="10"/>
      <c r="GI337" s="10"/>
      <c r="GJ337" s="10"/>
      <c r="GK337" s="10"/>
    </row>
    <row r="338" customFormat="false" ht="12.75" hidden="false" customHeight="false" outlineLevel="0" collapsed="false">
      <c r="A338" s="7"/>
      <c r="B338" s="7"/>
      <c r="C338" s="8"/>
      <c r="D338" s="8"/>
      <c r="E338" s="8"/>
      <c r="F338" s="8"/>
      <c r="G338" s="9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0"/>
      <c r="CL338" s="10"/>
      <c r="CM338" s="10"/>
      <c r="CN338" s="10"/>
      <c r="CO338" s="10"/>
      <c r="CP338" s="10"/>
      <c r="CQ338" s="10"/>
      <c r="CR338" s="10"/>
      <c r="CS338" s="10"/>
      <c r="CT338" s="10"/>
      <c r="CU338" s="10"/>
      <c r="CV338" s="10"/>
      <c r="CW338" s="10"/>
      <c r="CX338" s="10"/>
      <c r="CY338" s="10"/>
      <c r="CZ338" s="10"/>
      <c r="DA338" s="10"/>
      <c r="DB338" s="10"/>
      <c r="DC338" s="10"/>
      <c r="DD338" s="10"/>
      <c r="DE338" s="10"/>
      <c r="DF338" s="10"/>
      <c r="DG338" s="10"/>
      <c r="DH338" s="10"/>
      <c r="DI338" s="10"/>
      <c r="DJ338" s="10"/>
      <c r="DK338" s="10"/>
      <c r="DL338" s="10"/>
      <c r="DM338" s="10"/>
      <c r="DN338" s="10"/>
      <c r="DO338" s="10"/>
      <c r="DP338" s="10"/>
      <c r="DQ338" s="10"/>
      <c r="DR338" s="10"/>
      <c r="DS338" s="10"/>
      <c r="DT338" s="10"/>
      <c r="DU338" s="10"/>
      <c r="DV338" s="10"/>
      <c r="DW338" s="10"/>
      <c r="DX338" s="10"/>
      <c r="DY338" s="10"/>
      <c r="DZ338" s="10"/>
      <c r="EA338" s="10"/>
      <c r="EB338" s="10"/>
      <c r="EC338" s="10"/>
      <c r="ED338" s="10"/>
      <c r="EE338" s="10"/>
      <c r="EF338" s="10"/>
      <c r="EG338" s="10"/>
      <c r="EH338" s="10"/>
      <c r="EI338" s="10"/>
      <c r="EJ338" s="10"/>
      <c r="EK338" s="10"/>
      <c r="EL338" s="10"/>
      <c r="EM338" s="10"/>
      <c r="EN338" s="10"/>
      <c r="EO338" s="10"/>
      <c r="EP338" s="10"/>
      <c r="EQ338" s="10"/>
      <c r="ER338" s="10"/>
      <c r="ES338" s="10"/>
      <c r="ET338" s="10"/>
      <c r="EU338" s="10"/>
      <c r="EV338" s="10"/>
      <c r="EW338" s="10"/>
      <c r="EX338" s="10"/>
      <c r="EY338" s="10"/>
      <c r="EZ338" s="10"/>
      <c r="FA338" s="10"/>
      <c r="FB338" s="10"/>
      <c r="FC338" s="10"/>
      <c r="FD338" s="10"/>
      <c r="FE338" s="10"/>
      <c r="FF338" s="10"/>
      <c r="FG338" s="10"/>
      <c r="FH338" s="10"/>
      <c r="FI338" s="10"/>
      <c r="FJ338" s="10"/>
      <c r="FK338" s="10"/>
      <c r="FL338" s="10"/>
      <c r="FM338" s="10"/>
      <c r="FN338" s="10"/>
      <c r="FO338" s="10"/>
      <c r="FP338" s="10"/>
      <c r="FQ338" s="10"/>
      <c r="FR338" s="10"/>
      <c r="FS338" s="10"/>
      <c r="FT338" s="10"/>
      <c r="FU338" s="10"/>
      <c r="FV338" s="10"/>
      <c r="FW338" s="10"/>
      <c r="FX338" s="10"/>
      <c r="FY338" s="10"/>
      <c r="FZ338" s="10"/>
      <c r="GA338" s="10"/>
      <c r="GB338" s="10"/>
      <c r="GC338" s="10"/>
      <c r="GD338" s="10"/>
      <c r="GE338" s="10"/>
      <c r="GF338" s="10"/>
      <c r="GG338" s="10"/>
      <c r="GH338" s="10"/>
      <c r="GI338" s="10"/>
      <c r="GJ338" s="10"/>
      <c r="GK338" s="10"/>
    </row>
    <row r="339" customFormat="false" ht="12.75" hidden="false" customHeight="false" outlineLevel="0" collapsed="false">
      <c r="A339" s="7"/>
      <c r="B339" s="7"/>
      <c r="C339" s="8"/>
      <c r="D339" s="8"/>
      <c r="E339" s="8"/>
      <c r="F339" s="8"/>
      <c r="G339" s="9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  <c r="CK339" s="10"/>
      <c r="CL339" s="10"/>
      <c r="CM339" s="10"/>
      <c r="CN339" s="10"/>
      <c r="CO339" s="10"/>
      <c r="CP339" s="10"/>
      <c r="CQ339" s="10"/>
      <c r="CR339" s="10"/>
      <c r="CS339" s="10"/>
      <c r="CT339" s="10"/>
      <c r="CU339" s="10"/>
      <c r="CV339" s="10"/>
      <c r="CW339" s="10"/>
      <c r="CX339" s="10"/>
      <c r="CY339" s="10"/>
      <c r="CZ339" s="10"/>
      <c r="DA339" s="10"/>
      <c r="DB339" s="10"/>
      <c r="DC339" s="10"/>
      <c r="DD339" s="10"/>
      <c r="DE339" s="10"/>
      <c r="DF339" s="10"/>
      <c r="DG339" s="10"/>
      <c r="DH339" s="10"/>
      <c r="DI339" s="10"/>
      <c r="DJ339" s="10"/>
      <c r="DK339" s="10"/>
      <c r="DL339" s="10"/>
      <c r="DM339" s="10"/>
      <c r="DN339" s="10"/>
      <c r="DO339" s="10"/>
      <c r="DP339" s="10"/>
      <c r="DQ339" s="10"/>
      <c r="DR339" s="10"/>
      <c r="DS339" s="10"/>
      <c r="DT339" s="10"/>
      <c r="DU339" s="10"/>
      <c r="DV339" s="10"/>
      <c r="DW339" s="10"/>
      <c r="DX339" s="10"/>
      <c r="DY339" s="10"/>
      <c r="DZ339" s="10"/>
      <c r="EA339" s="10"/>
      <c r="EB339" s="10"/>
      <c r="EC339" s="10"/>
      <c r="ED339" s="10"/>
      <c r="EE339" s="10"/>
      <c r="EF339" s="10"/>
      <c r="EG339" s="10"/>
      <c r="EH339" s="10"/>
      <c r="EI339" s="10"/>
      <c r="EJ339" s="10"/>
      <c r="EK339" s="10"/>
      <c r="EL339" s="10"/>
      <c r="EM339" s="10"/>
      <c r="EN339" s="10"/>
      <c r="EO339" s="10"/>
      <c r="EP339" s="10"/>
      <c r="EQ339" s="10"/>
      <c r="ER339" s="10"/>
      <c r="ES339" s="10"/>
      <c r="ET339" s="10"/>
      <c r="EU339" s="10"/>
      <c r="EV339" s="10"/>
      <c r="EW339" s="10"/>
      <c r="EX339" s="10"/>
      <c r="EY339" s="10"/>
      <c r="EZ339" s="10"/>
      <c r="FA339" s="10"/>
      <c r="FB339" s="10"/>
      <c r="FC339" s="10"/>
      <c r="FD339" s="10"/>
      <c r="FE339" s="10"/>
      <c r="FF339" s="10"/>
      <c r="FG339" s="10"/>
      <c r="FH339" s="10"/>
      <c r="FI339" s="10"/>
      <c r="FJ339" s="10"/>
      <c r="FK339" s="10"/>
      <c r="FL339" s="10"/>
      <c r="FM339" s="10"/>
      <c r="FN339" s="10"/>
      <c r="FO339" s="10"/>
      <c r="FP339" s="10"/>
      <c r="FQ339" s="10"/>
      <c r="FR339" s="10"/>
      <c r="FS339" s="10"/>
      <c r="FT339" s="10"/>
      <c r="FU339" s="10"/>
      <c r="FV339" s="10"/>
      <c r="FW339" s="10"/>
      <c r="FX339" s="10"/>
      <c r="FY339" s="10"/>
      <c r="FZ339" s="10"/>
      <c r="GA339" s="10"/>
      <c r="GB339" s="10"/>
      <c r="GC339" s="10"/>
      <c r="GD339" s="10"/>
      <c r="GE339" s="10"/>
      <c r="GF339" s="10"/>
      <c r="GG339" s="10"/>
      <c r="GH339" s="10"/>
      <c r="GI339" s="10"/>
      <c r="GJ339" s="10"/>
      <c r="GK339" s="10"/>
    </row>
    <row r="340" customFormat="false" ht="12.75" hidden="false" customHeight="false" outlineLevel="0" collapsed="false">
      <c r="A340" s="7"/>
      <c r="B340" s="7"/>
      <c r="C340" s="8"/>
      <c r="D340" s="8"/>
      <c r="E340" s="8"/>
      <c r="F340" s="8"/>
      <c r="G340" s="9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  <c r="CK340" s="10"/>
      <c r="CL340" s="10"/>
      <c r="CM340" s="10"/>
      <c r="CN340" s="10"/>
      <c r="CO340" s="10"/>
      <c r="CP340" s="10"/>
      <c r="CQ340" s="10"/>
      <c r="CR340" s="10"/>
      <c r="CS340" s="10"/>
      <c r="CT340" s="10"/>
      <c r="CU340" s="10"/>
      <c r="CV340" s="10"/>
      <c r="CW340" s="10"/>
      <c r="CX340" s="10"/>
      <c r="CY340" s="10"/>
      <c r="CZ340" s="10"/>
      <c r="DA340" s="10"/>
      <c r="DB340" s="10"/>
      <c r="DC340" s="10"/>
      <c r="DD340" s="10"/>
      <c r="DE340" s="10"/>
      <c r="DF340" s="10"/>
      <c r="DG340" s="10"/>
      <c r="DH340" s="10"/>
      <c r="DI340" s="10"/>
      <c r="DJ340" s="10"/>
      <c r="DK340" s="10"/>
      <c r="DL340" s="10"/>
      <c r="DM340" s="10"/>
      <c r="DN340" s="10"/>
      <c r="DO340" s="10"/>
      <c r="DP340" s="10"/>
      <c r="DQ340" s="10"/>
      <c r="DR340" s="10"/>
      <c r="DS340" s="10"/>
      <c r="DT340" s="10"/>
      <c r="DU340" s="10"/>
      <c r="DV340" s="10"/>
      <c r="DW340" s="10"/>
      <c r="DX340" s="10"/>
      <c r="DY340" s="10"/>
      <c r="DZ340" s="10"/>
      <c r="EA340" s="10"/>
      <c r="EB340" s="10"/>
      <c r="EC340" s="10"/>
      <c r="ED340" s="10"/>
      <c r="EE340" s="10"/>
      <c r="EF340" s="10"/>
      <c r="EG340" s="10"/>
      <c r="EH340" s="10"/>
      <c r="EI340" s="10"/>
      <c r="EJ340" s="10"/>
      <c r="EK340" s="10"/>
      <c r="EL340" s="10"/>
      <c r="EM340" s="10"/>
      <c r="EN340" s="10"/>
      <c r="EO340" s="10"/>
      <c r="EP340" s="10"/>
      <c r="EQ340" s="10"/>
      <c r="ER340" s="10"/>
      <c r="ES340" s="10"/>
      <c r="ET340" s="10"/>
      <c r="EU340" s="10"/>
      <c r="EV340" s="10"/>
      <c r="EW340" s="10"/>
      <c r="EX340" s="10"/>
      <c r="EY340" s="10"/>
      <c r="EZ340" s="10"/>
      <c r="FA340" s="10"/>
      <c r="FB340" s="10"/>
      <c r="FC340" s="10"/>
      <c r="FD340" s="10"/>
      <c r="FE340" s="10"/>
      <c r="FF340" s="10"/>
      <c r="FG340" s="10"/>
      <c r="FH340" s="10"/>
      <c r="FI340" s="10"/>
      <c r="FJ340" s="10"/>
      <c r="FK340" s="10"/>
      <c r="FL340" s="10"/>
      <c r="FM340" s="10"/>
      <c r="FN340" s="10"/>
      <c r="FO340" s="10"/>
      <c r="FP340" s="10"/>
      <c r="FQ340" s="10"/>
      <c r="FR340" s="10"/>
      <c r="FS340" s="10"/>
      <c r="FT340" s="10"/>
      <c r="FU340" s="10"/>
      <c r="FV340" s="10"/>
      <c r="FW340" s="10"/>
      <c r="FX340" s="10"/>
      <c r="FY340" s="10"/>
      <c r="FZ340" s="10"/>
      <c r="GA340" s="10"/>
      <c r="GB340" s="10"/>
      <c r="GC340" s="10"/>
      <c r="GD340" s="10"/>
      <c r="GE340" s="10"/>
      <c r="GF340" s="10"/>
      <c r="GG340" s="10"/>
      <c r="GH340" s="10"/>
      <c r="GI340" s="10"/>
      <c r="GJ340" s="10"/>
      <c r="GK340" s="10"/>
    </row>
    <row r="341" customFormat="false" ht="12.75" hidden="false" customHeight="false" outlineLevel="0" collapsed="false">
      <c r="A341" s="7"/>
      <c r="B341" s="7"/>
      <c r="C341" s="8"/>
      <c r="D341" s="8"/>
      <c r="E341" s="8"/>
      <c r="F341" s="8"/>
      <c r="G341" s="9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K341" s="10"/>
      <c r="CL341" s="10"/>
      <c r="CM341" s="10"/>
      <c r="CN341" s="10"/>
      <c r="CO341" s="10"/>
      <c r="CP341" s="10"/>
      <c r="CQ341" s="10"/>
      <c r="CR341" s="10"/>
      <c r="CS341" s="10"/>
      <c r="CT341" s="10"/>
      <c r="CU341" s="10"/>
      <c r="CV341" s="10"/>
      <c r="CW341" s="10"/>
      <c r="CX341" s="10"/>
      <c r="CY341" s="10"/>
      <c r="CZ341" s="10"/>
      <c r="DA341" s="10"/>
      <c r="DB341" s="10"/>
      <c r="DC341" s="10"/>
      <c r="DD341" s="10"/>
      <c r="DE341" s="10"/>
      <c r="DF341" s="10"/>
      <c r="DG341" s="10"/>
      <c r="DH341" s="10"/>
      <c r="DI341" s="10"/>
      <c r="DJ341" s="10"/>
      <c r="DK341" s="10"/>
      <c r="DL341" s="10"/>
      <c r="DM341" s="10"/>
      <c r="DN341" s="10"/>
      <c r="DO341" s="10"/>
      <c r="DP341" s="10"/>
      <c r="DQ341" s="10"/>
      <c r="DR341" s="10"/>
      <c r="DS341" s="10"/>
      <c r="DT341" s="10"/>
      <c r="DU341" s="10"/>
      <c r="DV341" s="10"/>
      <c r="DW341" s="10"/>
      <c r="DX341" s="10"/>
      <c r="DY341" s="10"/>
      <c r="DZ341" s="10"/>
      <c r="EA341" s="10"/>
      <c r="EB341" s="10"/>
      <c r="EC341" s="10"/>
      <c r="ED341" s="10"/>
      <c r="EE341" s="10"/>
      <c r="EF341" s="10"/>
      <c r="EG341" s="10"/>
      <c r="EH341" s="10"/>
      <c r="EI341" s="10"/>
      <c r="EJ341" s="10"/>
      <c r="EK341" s="10"/>
      <c r="EL341" s="10"/>
      <c r="EM341" s="10"/>
      <c r="EN341" s="10"/>
      <c r="EO341" s="10"/>
      <c r="EP341" s="10"/>
      <c r="EQ341" s="10"/>
      <c r="ER341" s="10"/>
      <c r="ES341" s="10"/>
      <c r="ET341" s="10"/>
      <c r="EU341" s="10"/>
      <c r="EV341" s="10"/>
      <c r="EW341" s="10"/>
      <c r="EX341" s="10"/>
      <c r="EY341" s="10"/>
      <c r="EZ341" s="10"/>
      <c r="FA341" s="10"/>
      <c r="FB341" s="10"/>
      <c r="FC341" s="10"/>
      <c r="FD341" s="10"/>
      <c r="FE341" s="10"/>
      <c r="FF341" s="10"/>
      <c r="FG341" s="10"/>
      <c r="FH341" s="10"/>
      <c r="FI341" s="10"/>
      <c r="FJ341" s="10"/>
      <c r="FK341" s="10"/>
      <c r="FL341" s="10"/>
      <c r="FM341" s="10"/>
      <c r="FN341" s="10"/>
      <c r="FO341" s="10"/>
      <c r="FP341" s="10"/>
      <c r="FQ341" s="10"/>
      <c r="FR341" s="10"/>
      <c r="FS341" s="10"/>
      <c r="FT341" s="10"/>
      <c r="FU341" s="10"/>
      <c r="FV341" s="10"/>
      <c r="FW341" s="10"/>
      <c r="FX341" s="10"/>
      <c r="FY341" s="10"/>
      <c r="FZ341" s="10"/>
      <c r="GA341" s="10"/>
      <c r="GB341" s="10"/>
      <c r="GC341" s="10"/>
      <c r="GD341" s="10"/>
      <c r="GE341" s="10"/>
      <c r="GF341" s="10"/>
      <c r="GG341" s="10"/>
      <c r="GH341" s="10"/>
      <c r="GI341" s="10"/>
      <c r="GJ341" s="10"/>
      <c r="GK341" s="10"/>
    </row>
    <row r="342" customFormat="false" ht="12.75" hidden="false" customHeight="false" outlineLevel="0" collapsed="false">
      <c r="A342" s="7"/>
      <c r="B342" s="7"/>
      <c r="C342" s="8"/>
      <c r="D342" s="8"/>
      <c r="E342" s="8"/>
      <c r="F342" s="8"/>
      <c r="G342" s="9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  <c r="CK342" s="10"/>
      <c r="CL342" s="10"/>
      <c r="CM342" s="10"/>
      <c r="CN342" s="10"/>
      <c r="CO342" s="10"/>
      <c r="CP342" s="10"/>
      <c r="CQ342" s="10"/>
      <c r="CR342" s="10"/>
      <c r="CS342" s="10"/>
      <c r="CT342" s="10"/>
      <c r="CU342" s="10"/>
      <c r="CV342" s="10"/>
      <c r="CW342" s="10"/>
      <c r="CX342" s="10"/>
      <c r="CY342" s="10"/>
      <c r="CZ342" s="10"/>
      <c r="DA342" s="10"/>
      <c r="DB342" s="10"/>
      <c r="DC342" s="10"/>
      <c r="DD342" s="10"/>
      <c r="DE342" s="10"/>
      <c r="DF342" s="10"/>
      <c r="DG342" s="10"/>
      <c r="DH342" s="10"/>
      <c r="DI342" s="10"/>
      <c r="DJ342" s="10"/>
      <c r="DK342" s="10"/>
      <c r="DL342" s="10"/>
      <c r="DM342" s="10"/>
      <c r="DN342" s="10"/>
      <c r="DO342" s="10"/>
      <c r="DP342" s="10"/>
      <c r="DQ342" s="10"/>
      <c r="DR342" s="10"/>
      <c r="DS342" s="10"/>
      <c r="DT342" s="10"/>
      <c r="DU342" s="10"/>
      <c r="DV342" s="10"/>
      <c r="DW342" s="10"/>
      <c r="DX342" s="10"/>
      <c r="DY342" s="10"/>
      <c r="DZ342" s="10"/>
      <c r="EA342" s="10"/>
      <c r="EB342" s="10"/>
      <c r="EC342" s="10"/>
      <c r="ED342" s="10"/>
      <c r="EE342" s="10"/>
      <c r="EF342" s="10"/>
      <c r="EG342" s="10"/>
      <c r="EH342" s="10"/>
      <c r="EI342" s="10"/>
      <c r="EJ342" s="10"/>
      <c r="EK342" s="10"/>
      <c r="EL342" s="10"/>
      <c r="EM342" s="10"/>
      <c r="EN342" s="10"/>
      <c r="EO342" s="10"/>
      <c r="EP342" s="10"/>
      <c r="EQ342" s="10"/>
      <c r="ER342" s="10"/>
      <c r="ES342" s="10"/>
      <c r="ET342" s="10"/>
      <c r="EU342" s="10"/>
      <c r="EV342" s="10"/>
      <c r="EW342" s="10"/>
      <c r="EX342" s="10"/>
      <c r="EY342" s="10"/>
      <c r="EZ342" s="10"/>
      <c r="FA342" s="10"/>
      <c r="FB342" s="10"/>
      <c r="FC342" s="10"/>
      <c r="FD342" s="10"/>
      <c r="FE342" s="10"/>
      <c r="FF342" s="10"/>
      <c r="FG342" s="10"/>
      <c r="FH342" s="10"/>
      <c r="FI342" s="10"/>
      <c r="FJ342" s="10"/>
      <c r="FK342" s="10"/>
      <c r="FL342" s="10"/>
      <c r="FM342" s="10"/>
      <c r="FN342" s="10"/>
      <c r="FO342" s="10"/>
      <c r="FP342" s="10"/>
      <c r="FQ342" s="10"/>
      <c r="FR342" s="10"/>
      <c r="FS342" s="10"/>
      <c r="FT342" s="10"/>
      <c r="FU342" s="10"/>
      <c r="FV342" s="10"/>
      <c r="FW342" s="10"/>
      <c r="FX342" s="10"/>
      <c r="FY342" s="10"/>
      <c r="FZ342" s="10"/>
      <c r="GA342" s="10"/>
      <c r="GB342" s="10"/>
      <c r="GC342" s="10"/>
      <c r="GD342" s="10"/>
      <c r="GE342" s="10"/>
      <c r="GF342" s="10"/>
      <c r="GG342" s="10"/>
      <c r="GH342" s="10"/>
      <c r="GI342" s="10"/>
      <c r="GJ342" s="10"/>
      <c r="GK342" s="10"/>
    </row>
    <row r="343" customFormat="false" ht="12.75" hidden="false" customHeight="false" outlineLevel="0" collapsed="false">
      <c r="A343" s="7"/>
      <c r="B343" s="7"/>
      <c r="C343" s="8"/>
      <c r="D343" s="8"/>
      <c r="E343" s="8"/>
      <c r="F343" s="8"/>
      <c r="G343" s="9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  <c r="CL343" s="10"/>
      <c r="CM343" s="10"/>
      <c r="CN343" s="10"/>
      <c r="CO343" s="10"/>
      <c r="CP343" s="10"/>
      <c r="CQ343" s="10"/>
      <c r="CR343" s="10"/>
      <c r="CS343" s="10"/>
      <c r="CT343" s="10"/>
      <c r="CU343" s="10"/>
      <c r="CV343" s="10"/>
      <c r="CW343" s="10"/>
      <c r="CX343" s="10"/>
      <c r="CY343" s="10"/>
      <c r="CZ343" s="10"/>
      <c r="DA343" s="10"/>
      <c r="DB343" s="10"/>
      <c r="DC343" s="10"/>
      <c r="DD343" s="10"/>
      <c r="DE343" s="10"/>
      <c r="DF343" s="10"/>
      <c r="DG343" s="10"/>
      <c r="DH343" s="10"/>
      <c r="DI343" s="10"/>
      <c r="DJ343" s="10"/>
      <c r="DK343" s="10"/>
      <c r="DL343" s="10"/>
      <c r="DM343" s="10"/>
      <c r="DN343" s="10"/>
      <c r="DO343" s="10"/>
      <c r="DP343" s="10"/>
      <c r="DQ343" s="10"/>
      <c r="DR343" s="10"/>
      <c r="DS343" s="10"/>
      <c r="DT343" s="10"/>
      <c r="DU343" s="10"/>
      <c r="DV343" s="10"/>
      <c r="DW343" s="10"/>
      <c r="DX343" s="10"/>
      <c r="DY343" s="10"/>
      <c r="DZ343" s="10"/>
      <c r="EA343" s="10"/>
      <c r="EB343" s="10"/>
      <c r="EC343" s="10"/>
      <c r="ED343" s="10"/>
      <c r="EE343" s="10"/>
      <c r="EF343" s="10"/>
      <c r="EG343" s="10"/>
      <c r="EH343" s="10"/>
      <c r="EI343" s="10"/>
      <c r="EJ343" s="10"/>
      <c r="EK343" s="10"/>
      <c r="EL343" s="10"/>
      <c r="EM343" s="10"/>
      <c r="EN343" s="10"/>
      <c r="EO343" s="10"/>
      <c r="EP343" s="10"/>
      <c r="EQ343" s="10"/>
      <c r="ER343" s="10"/>
      <c r="ES343" s="10"/>
      <c r="ET343" s="10"/>
      <c r="EU343" s="10"/>
      <c r="EV343" s="10"/>
      <c r="EW343" s="10"/>
      <c r="EX343" s="10"/>
      <c r="EY343" s="10"/>
      <c r="EZ343" s="10"/>
      <c r="FA343" s="10"/>
      <c r="FB343" s="10"/>
      <c r="FC343" s="10"/>
      <c r="FD343" s="10"/>
      <c r="FE343" s="10"/>
      <c r="FF343" s="10"/>
      <c r="FG343" s="10"/>
      <c r="FH343" s="10"/>
      <c r="FI343" s="10"/>
      <c r="FJ343" s="10"/>
      <c r="FK343" s="10"/>
      <c r="FL343" s="10"/>
      <c r="FM343" s="10"/>
      <c r="FN343" s="10"/>
      <c r="FO343" s="10"/>
      <c r="FP343" s="10"/>
      <c r="FQ343" s="10"/>
      <c r="FR343" s="10"/>
      <c r="FS343" s="10"/>
      <c r="FT343" s="10"/>
      <c r="FU343" s="10"/>
      <c r="FV343" s="10"/>
      <c r="FW343" s="10"/>
      <c r="FX343" s="10"/>
      <c r="FY343" s="10"/>
      <c r="FZ343" s="10"/>
      <c r="GA343" s="10"/>
      <c r="GB343" s="10"/>
      <c r="GC343" s="10"/>
      <c r="GD343" s="10"/>
      <c r="GE343" s="10"/>
      <c r="GF343" s="10"/>
      <c r="GG343" s="10"/>
      <c r="GH343" s="10"/>
      <c r="GI343" s="10"/>
      <c r="GJ343" s="10"/>
      <c r="GK343" s="10"/>
    </row>
    <row r="344" customFormat="false" ht="12.75" hidden="false" customHeight="false" outlineLevel="0" collapsed="false">
      <c r="A344" s="7"/>
      <c r="B344" s="7"/>
      <c r="C344" s="8"/>
      <c r="D344" s="8"/>
      <c r="E344" s="8"/>
      <c r="F344" s="8"/>
      <c r="G344" s="9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  <c r="EM344" s="10"/>
      <c r="EN344" s="10"/>
      <c r="EO344" s="10"/>
      <c r="EP344" s="10"/>
      <c r="EQ344" s="10"/>
      <c r="ER344" s="10"/>
      <c r="ES344" s="10"/>
      <c r="ET344" s="10"/>
      <c r="EU344" s="10"/>
      <c r="EV344" s="10"/>
      <c r="EW344" s="10"/>
      <c r="EX344" s="10"/>
      <c r="EY344" s="10"/>
      <c r="EZ344" s="10"/>
      <c r="FA344" s="10"/>
      <c r="FB344" s="10"/>
      <c r="FC344" s="10"/>
      <c r="FD344" s="10"/>
      <c r="FE344" s="10"/>
      <c r="FF344" s="10"/>
      <c r="FG344" s="10"/>
      <c r="FH344" s="10"/>
      <c r="FI344" s="10"/>
      <c r="FJ344" s="10"/>
      <c r="FK344" s="10"/>
      <c r="FL344" s="10"/>
      <c r="FM344" s="10"/>
      <c r="FN344" s="10"/>
      <c r="FO344" s="10"/>
      <c r="FP344" s="10"/>
      <c r="FQ344" s="10"/>
      <c r="FR344" s="10"/>
      <c r="FS344" s="10"/>
      <c r="FT344" s="10"/>
      <c r="FU344" s="10"/>
      <c r="FV344" s="10"/>
      <c r="FW344" s="10"/>
      <c r="FX344" s="10"/>
      <c r="FY344" s="10"/>
      <c r="FZ344" s="10"/>
      <c r="GA344" s="10"/>
      <c r="GB344" s="10"/>
      <c r="GC344" s="10"/>
      <c r="GD344" s="10"/>
      <c r="GE344" s="10"/>
      <c r="GF344" s="10"/>
      <c r="GG344" s="10"/>
      <c r="GH344" s="10"/>
      <c r="GI344" s="10"/>
      <c r="GJ344" s="10"/>
      <c r="GK344" s="10"/>
    </row>
    <row r="345" customFormat="false" ht="12.75" hidden="false" customHeight="false" outlineLevel="0" collapsed="false">
      <c r="A345" s="7"/>
      <c r="B345" s="7"/>
      <c r="C345" s="8"/>
      <c r="D345" s="8"/>
      <c r="E345" s="8"/>
      <c r="F345" s="8"/>
      <c r="G345" s="9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K345" s="10"/>
      <c r="CL345" s="10"/>
      <c r="CM345" s="10"/>
      <c r="CN345" s="10"/>
      <c r="CO345" s="10"/>
      <c r="CP345" s="10"/>
      <c r="CQ345" s="10"/>
      <c r="CR345" s="10"/>
      <c r="CS345" s="10"/>
      <c r="CT345" s="10"/>
      <c r="CU345" s="10"/>
      <c r="CV345" s="10"/>
      <c r="CW345" s="10"/>
      <c r="CX345" s="10"/>
      <c r="CY345" s="10"/>
      <c r="CZ345" s="10"/>
      <c r="DA345" s="10"/>
      <c r="DB345" s="10"/>
      <c r="DC345" s="10"/>
      <c r="DD345" s="10"/>
      <c r="DE345" s="10"/>
      <c r="DF345" s="10"/>
      <c r="DG345" s="10"/>
      <c r="DH345" s="10"/>
      <c r="DI345" s="10"/>
      <c r="DJ345" s="10"/>
      <c r="DK345" s="10"/>
      <c r="DL345" s="10"/>
      <c r="DM345" s="10"/>
      <c r="DN345" s="10"/>
      <c r="DO345" s="10"/>
      <c r="DP345" s="10"/>
      <c r="DQ345" s="10"/>
      <c r="DR345" s="10"/>
      <c r="DS345" s="10"/>
      <c r="DT345" s="10"/>
      <c r="DU345" s="10"/>
      <c r="DV345" s="10"/>
      <c r="DW345" s="10"/>
      <c r="DX345" s="10"/>
      <c r="DY345" s="10"/>
      <c r="DZ345" s="10"/>
      <c r="EA345" s="10"/>
      <c r="EB345" s="10"/>
      <c r="EC345" s="10"/>
      <c r="ED345" s="10"/>
      <c r="EE345" s="10"/>
      <c r="EF345" s="10"/>
      <c r="EG345" s="10"/>
      <c r="EH345" s="10"/>
      <c r="EI345" s="10"/>
      <c r="EJ345" s="10"/>
      <c r="EK345" s="10"/>
      <c r="EL345" s="10"/>
      <c r="EM345" s="10"/>
      <c r="EN345" s="10"/>
      <c r="EO345" s="10"/>
      <c r="EP345" s="10"/>
      <c r="EQ345" s="10"/>
      <c r="ER345" s="10"/>
      <c r="ES345" s="10"/>
      <c r="ET345" s="10"/>
      <c r="EU345" s="10"/>
      <c r="EV345" s="10"/>
      <c r="EW345" s="10"/>
      <c r="EX345" s="10"/>
      <c r="EY345" s="10"/>
      <c r="EZ345" s="10"/>
      <c r="FA345" s="10"/>
      <c r="FB345" s="10"/>
      <c r="FC345" s="10"/>
      <c r="FD345" s="10"/>
      <c r="FE345" s="10"/>
      <c r="FF345" s="10"/>
      <c r="FG345" s="10"/>
      <c r="FH345" s="10"/>
      <c r="FI345" s="10"/>
      <c r="FJ345" s="10"/>
      <c r="FK345" s="10"/>
      <c r="FL345" s="10"/>
      <c r="FM345" s="10"/>
      <c r="FN345" s="10"/>
      <c r="FO345" s="10"/>
      <c r="FP345" s="10"/>
      <c r="FQ345" s="10"/>
      <c r="FR345" s="10"/>
      <c r="FS345" s="10"/>
      <c r="FT345" s="10"/>
      <c r="FU345" s="10"/>
      <c r="FV345" s="10"/>
      <c r="FW345" s="10"/>
      <c r="FX345" s="10"/>
      <c r="FY345" s="10"/>
      <c r="FZ345" s="10"/>
      <c r="GA345" s="10"/>
      <c r="GB345" s="10"/>
      <c r="GC345" s="10"/>
      <c r="GD345" s="10"/>
      <c r="GE345" s="10"/>
      <c r="GF345" s="10"/>
      <c r="GG345" s="10"/>
      <c r="GH345" s="10"/>
      <c r="GI345" s="10"/>
      <c r="GJ345" s="10"/>
      <c r="GK345" s="10"/>
    </row>
    <row r="346" customFormat="false" ht="12.75" hidden="false" customHeight="false" outlineLevel="0" collapsed="false">
      <c r="A346" s="7"/>
      <c r="B346" s="7"/>
      <c r="C346" s="8"/>
      <c r="D346" s="8"/>
      <c r="E346" s="8"/>
      <c r="F346" s="8"/>
      <c r="G346" s="9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  <c r="CK346" s="10"/>
      <c r="CL346" s="10"/>
      <c r="CM346" s="10"/>
      <c r="CN346" s="10"/>
      <c r="CO346" s="10"/>
      <c r="CP346" s="10"/>
      <c r="CQ346" s="10"/>
      <c r="CR346" s="10"/>
      <c r="CS346" s="10"/>
      <c r="CT346" s="10"/>
      <c r="CU346" s="10"/>
      <c r="CV346" s="10"/>
      <c r="CW346" s="10"/>
      <c r="CX346" s="10"/>
      <c r="CY346" s="10"/>
      <c r="CZ346" s="10"/>
      <c r="DA346" s="10"/>
      <c r="DB346" s="10"/>
      <c r="DC346" s="10"/>
      <c r="DD346" s="10"/>
      <c r="DE346" s="10"/>
      <c r="DF346" s="10"/>
      <c r="DG346" s="10"/>
      <c r="DH346" s="10"/>
      <c r="DI346" s="10"/>
      <c r="DJ346" s="10"/>
      <c r="DK346" s="10"/>
      <c r="DL346" s="10"/>
      <c r="DM346" s="10"/>
      <c r="DN346" s="10"/>
      <c r="DO346" s="10"/>
      <c r="DP346" s="10"/>
      <c r="DQ346" s="10"/>
      <c r="DR346" s="10"/>
      <c r="DS346" s="10"/>
      <c r="DT346" s="10"/>
      <c r="DU346" s="10"/>
      <c r="DV346" s="10"/>
      <c r="DW346" s="10"/>
      <c r="DX346" s="10"/>
      <c r="DY346" s="10"/>
      <c r="DZ346" s="10"/>
      <c r="EA346" s="10"/>
      <c r="EB346" s="10"/>
      <c r="EC346" s="10"/>
      <c r="ED346" s="10"/>
      <c r="EE346" s="10"/>
      <c r="EF346" s="10"/>
      <c r="EG346" s="10"/>
      <c r="EH346" s="10"/>
      <c r="EI346" s="10"/>
      <c r="EJ346" s="10"/>
      <c r="EK346" s="10"/>
      <c r="EL346" s="10"/>
      <c r="EM346" s="10"/>
      <c r="EN346" s="10"/>
      <c r="EO346" s="10"/>
      <c r="EP346" s="10"/>
      <c r="EQ346" s="10"/>
      <c r="ER346" s="10"/>
      <c r="ES346" s="10"/>
      <c r="ET346" s="10"/>
      <c r="EU346" s="10"/>
      <c r="EV346" s="10"/>
      <c r="EW346" s="10"/>
      <c r="EX346" s="10"/>
      <c r="EY346" s="10"/>
      <c r="EZ346" s="10"/>
      <c r="FA346" s="10"/>
      <c r="FB346" s="10"/>
      <c r="FC346" s="10"/>
      <c r="FD346" s="10"/>
      <c r="FE346" s="10"/>
      <c r="FF346" s="10"/>
      <c r="FG346" s="10"/>
      <c r="FH346" s="10"/>
      <c r="FI346" s="10"/>
      <c r="FJ346" s="10"/>
      <c r="FK346" s="10"/>
      <c r="FL346" s="10"/>
      <c r="FM346" s="10"/>
      <c r="FN346" s="10"/>
      <c r="FO346" s="10"/>
      <c r="FP346" s="10"/>
      <c r="FQ346" s="10"/>
      <c r="FR346" s="10"/>
      <c r="FS346" s="10"/>
      <c r="FT346" s="10"/>
      <c r="FU346" s="10"/>
      <c r="FV346" s="10"/>
      <c r="FW346" s="10"/>
      <c r="FX346" s="10"/>
      <c r="FY346" s="10"/>
      <c r="FZ346" s="10"/>
      <c r="GA346" s="10"/>
      <c r="GB346" s="10"/>
      <c r="GC346" s="10"/>
      <c r="GD346" s="10"/>
      <c r="GE346" s="10"/>
      <c r="GF346" s="10"/>
      <c r="GG346" s="10"/>
      <c r="GH346" s="10"/>
      <c r="GI346" s="10"/>
      <c r="GJ346" s="10"/>
      <c r="GK346" s="10"/>
    </row>
    <row r="347" customFormat="false" ht="12.75" hidden="false" customHeight="false" outlineLevel="0" collapsed="false">
      <c r="A347" s="7"/>
      <c r="B347" s="7"/>
      <c r="C347" s="8"/>
      <c r="D347" s="8"/>
      <c r="E347" s="8"/>
      <c r="F347" s="8"/>
      <c r="G347" s="9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K347" s="10"/>
      <c r="CL347" s="10"/>
      <c r="CM347" s="10"/>
      <c r="CN347" s="10"/>
      <c r="CO347" s="10"/>
      <c r="CP347" s="10"/>
      <c r="CQ347" s="10"/>
      <c r="CR347" s="10"/>
      <c r="CS347" s="10"/>
      <c r="CT347" s="10"/>
      <c r="CU347" s="10"/>
      <c r="CV347" s="10"/>
      <c r="CW347" s="10"/>
      <c r="CX347" s="10"/>
      <c r="CY347" s="10"/>
      <c r="CZ347" s="10"/>
      <c r="DA347" s="10"/>
      <c r="DB347" s="10"/>
      <c r="DC347" s="10"/>
      <c r="DD347" s="10"/>
      <c r="DE347" s="10"/>
      <c r="DF347" s="10"/>
      <c r="DG347" s="10"/>
      <c r="DH347" s="10"/>
      <c r="DI347" s="10"/>
      <c r="DJ347" s="10"/>
      <c r="DK347" s="10"/>
      <c r="DL347" s="10"/>
      <c r="DM347" s="10"/>
      <c r="DN347" s="10"/>
      <c r="DO347" s="10"/>
      <c r="DP347" s="10"/>
      <c r="DQ347" s="10"/>
      <c r="DR347" s="10"/>
      <c r="DS347" s="10"/>
      <c r="DT347" s="10"/>
      <c r="DU347" s="10"/>
      <c r="DV347" s="10"/>
      <c r="DW347" s="10"/>
      <c r="DX347" s="10"/>
      <c r="DY347" s="10"/>
      <c r="DZ347" s="10"/>
      <c r="EA347" s="10"/>
      <c r="EB347" s="10"/>
      <c r="EC347" s="10"/>
      <c r="ED347" s="10"/>
      <c r="EE347" s="10"/>
      <c r="EF347" s="10"/>
      <c r="EG347" s="10"/>
      <c r="EH347" s="10"/>
      <c r="EI347" s="10"/>
      <c r="EJ347" s="10"/>
      <c r="EK347" s="10"/>
      <c r="EL347" s="10"/>
      <c r="EM347" s="10"/>
      <c r="EN347" s="10"/>
      <c r="EO347" s="10"/>
      <c r="EP347" s="10"/>
      <c r="EQ347" s="10"/>
      <c r="ER347" s="10"/>
      <c r="ES347" s="10"/>
      <c r="ET347" s="10"/>
      <c r="EU347" s="10"/>
      <c r="EV347" s="10"/>
      <c r="EW347" s="10"/>
      <c r="EX347" s="10"/>
      <c r="EY347" s="10"/>
      <c r="EZ347" s="10"/>
      <c r="FA347" s="10"/>
      <c r="FB347" s="10"/>
      <c r="FC347" s="10"/>
      <c r="FD347" s="10"/>
      <c r="FE347" s="10"/>
      <c r="FF347" s="10"/>
      <c r="FG347" s="10"/>
      <c r="FH347" s="10"/>
      <c r="FI347" s="10"/>
      <c r="FJ347" s="10"/>
      <c r="FK347" s="10"/>
      <c r="FL347" s="10"/>
      <c r="FM347" s="10"/>
      <c r="FN347" s="10"/>
      <c r="FO347" s="10"/>
      <c r="FP347" s="10"/>
      <c r="FQ347" s="10"/>
      <c r="FR347" s="10"/>
      <c r="FS347" s="10"/>
      <c r="FT347" s="10"/>
      <c r="FU347" s="10"/>
      <c r="FV347" s="10"/>
      <c r="FW347" s="10"/>
      <c r="FX347" s="10"/>
      <c r="FY347" s="10"/>
      <c r="FZ347" s="10"/>
      <c r="GA347" s="10"/>
      <c r="GB347" s="10"/>
      <c r="GC347" s="10"/>
      <c r="GD347" s="10"/>
      <c r="GE347" s="10"/>
      <c r="GF347" s="10"/>
      <c r="GG347" s="10"/>
      <c r="GH347" s="10"/>
      <c r="GI347" s="10"/>
      <c r="GJ347" s="10"/>
      <c r="GK347" s="10"/>
    </row>
    <row r="348" customFormat="false" ht="12.75" hidden="false" customHeight="false" outlineLevel="0" collapsed="false">
      <c r="A348" s="7"/>
      <c r="B348" s="7"/>
      <c r="C348" s="8"/>
      <c r="D348" s="8"/>
      <c r="E348" s="8"/>
      <c r="F348" s="8"/>
      <c r="G348" s="9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  <c r="CK348" s="10"/>
      <c r="CL348" s="10"/>
      <c r="CM348" s="10"/>
      <c r="CN348" s="10"/>
      <c r="CO348" s="10"/>
      <c r="CP348" s="10"/>
      <c r="CQ348" s="10"/>
      <c r="CR348" s="10"/>
      <c r="CS348" s="10"/>
      <c r="CT348" s="10"/>
      <c r="CU348" s="10"/>
      <c r="CV348" s="10"/>
      <c r="CW348" s="10"/>
      <c r="CX348" s="10"/>
      <c r="CY348" s="10"/>
      <c r="CZ348" s="10"/>
      <c r="DA348" s="10"/>
      <c r="DB348" s="10"/>
      <c r="DC348" s="10"/>
      <c r="DD348" s="10"/>
      <c r="DE348" s="10"/>
      <c r="DF348" s="10"/>
      <c r="DG348" s="10"/>
      <c r="DH348" s="10"/>
      <c r="DI348" s="10"/>
      <c r="DJ348" s="10"/>
      <c r="DK348" s="10"/>
      <c r="DL348" s="10"/>
      <c r="DM348" s="10"/>
      <c r="DN348" s="10"/>
      <c r="DO348" s="10"/>
      <c r="DP348" s="10"/>
      <c r="DQ348" s="10"/>
      <c r="DR348" s="10"/>
      <c r="DS348" s="10"/>
      <c r="DT348" s="10"/>
      <c r="DU348" s="10"/>
      <c r="DV348" s="10"/>
      <c r="DW348" s="10"/>
      <c r="DX348" s="10"/>
      <c r="DY348" s="10"/>
      <c r="DZ348" s="10"/>
      <c r="EA348" s="10"/>
      <c r="EB348" s="10"/>
      <c r="EC348" s="10"/>
      <c r="ED348" s="10"/>
      <c r="EE348" s="10"/>
      <c r="EF348" s="10"/>
      <c r="EG348" s="10"/>
      <c r="EH348" s="10"/>
      <c r="EI348" s="10"/>
      <c r="EJ348" s="10"/>
      <c r="EK348" s="10"/>
      <c r="EL348" s="10"/>
      <c r="EM348" s="10"/>
      <c r="EN348" s="10"/>
      <c r="EO348" s="10"/>
      <c r="EP348" s="10"/>
      <c r="EQ348" s="10"/>
      <c r="ER348" s="10"/>
      <c r="ES348" s="10"/>
      <c r="ET348" s="10"/>
      <c r="EU348" s="10"/>
      <c r="EV348" s="10"/>
      <c r="EW348" s="10"/>
      <c r="EX348" s="10"/>
      <c r="EY348" s="10"/>
      <c r="EZ348" s="10"/>
      <c r="FA348" s="10"/>
      <c r="FB348" s="10"/>
      <c r="FC348" s="10"/>
      <c r="FD348" s="10"/>
      <c r="FE348" s="10"/>
      <c r="FF348" s="10"/>
      <c r="FG348" s="10"/>
      <c r="FH348" s="10"/>
      <c r="FI348" s="10"/>
      <c r="FJ348" s="10"/>
      <c r="FK348" s="10"/>
      <c r="FL348" s="10"/>
      <c r="FM348" s="10"/>
      <c r="FN348" s="10"/>
      <c r="FO348" s="10"/>
      <c r="FP348" s="10"/>
      <c r="FQ348" s="10"/>
      <c r="FR348" s="10"/>
      <c r="FS348" s="10"/>
      <c r="FT348" s="10"/>
      <c r="FU348" s="10"/>
      <c r="FV348" s="10"/>
      <c r="FW348" s="10"/>
      <c r="FX348" s="10"/>
      <c r="FY348" s="10"/>
      <c r="FZ348" s="10"/>
      <c r="GA348" s="10"/>
      <c r="GB348" s="10"/>
      <c r="GC348" s="10"/>
      <c r="GD348" s="10"/>
      <c r="GE348" s="10"/>
      <c r="GF348" s="10"/>
      <c r="GG348" s="10"/>
      <c r="GH348" s="10"/>
      <c r="GI348" s="10"/>
      <c r="GJ348" s="10"/>
      <c r="GK348" s="10"/>
    </row>
    <row r="349" customFormat="false" ht="12.75" hidden="false" customHeight="false" outlineLevel="0" collapsed="false">
      <c r="A349" s="7"/>
      <c r="B349" s="7"/>
      <c r="C349" s="8"/>
      <c r="D349" s="8"/>
      <c r="E349" s="8"/>
      <c r="F349" s="8"/>
      <c r="G349" s="9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10"/>
      <c r="CW349" s="10"/>
      <c r="CX349" s="10"/>
      <c r="CY349" s="10"/>
      <c r="CZ349" s="10"/>
      <c r="DA349" s="10"/>
      <c r="DB349" s="10"/>
      <c r="DC349" s="10"/>
      <c r="DD349" s="10"/>
      <c r="DE349" s="10"/>
      <c r="DF349" s="10"/>
      <c r="DG349" s="10"/>
      <c r="DH349" s="10"/>
      <c r="DI349" s="10"/>
      <c r="DJ349" s="10"/>
      <c r="DK349" s="10"/>
      <c r="DL349" s="10"/>
      <c r="DM349" s="10"/>
      <c r="DN349" s="10"/>
      <c r="DO349" s="10"/>
      <c r="DP349" s="10"/>
      <c r="DQ349" s="10"/>
      <c r="DR349" s="10"/>
      <c r="DS349" s="10"/>
      <c r="DT349" s="10"/>
      <c r="DU349" s="10"/>
      <c r="DV349" s="10"/>
      <c r="DW349" s="10"/>
      <c r="DX349" s="10"/>
      <c r="DY349" s="10"/>
      <c r="DZ349" s="10"/>
      <c r="EA349" s="10"/>
      <c r="EB349" s="10"/>
      <c r="EC349" s="10"/>
      <c r="ED349" s="10"/>
      <c r="EE349" s="10"/>
      <c r="EF349" s="10"/>
      <c r="EG349" s="10"/>
      <c r="EH349" s="10"/>
      <c r="EI349" s="10"/>
      <c r="EJ349" s="10"/>
      <c r="EK349" s="10"/>
      <c r="EL349" s="10"/>
      <c r="EM349" s="10"/>
      <c r="EN349" s="10"/>
      <c r="EO349" s="10"/>
      <c r="EP349" s="10"/>
      <c r="EQ349" s="10"/>
      <c r="ER349" s="10"/>
      <c r="ES349" s="10"/>
      <c r="ET349" s="10"/>
      <c r="EU349" s="10"/>
      <c r="EV349" s="10"/>
      <c r="EW349" s="10"/>
      <c r="EX349" s="10"/>
      <c r="EY349" s="10"/>
      <c r="EZ349" s="10"/>
      <c r="FA349" s="10"/>
      <c r="FB349" s="10"/>
      <c r="FC349" s="10"/>
      <c r="FD349" s="10"/>
      <c r="FE349" s="10"/>
      <c r="FF349" s="10"/>
      <c r="FG349" s="10"/>
      <c r="FH349" s="10"/>
      <c r="FI349" s="10"/>
      <c r="FJ349" s="10"/>
      <c r="FK349" s="10"/>
      <c r="FL349" s="10"/>
      <c r="FM349" s="10"/>
      <c r="FN349" s="10"/>
      <c r="FO349" s="10"/>
      <c r="FP349" s="10"/>
      <c r="FQ349" s="10"/>
      <c r="FR349" s="10"/>
      <c r="FS349" s="10"/>
      <c r="FT349" s="10"/>
      <c r="FU349" s="10"/>
      <c r="FV349" s="10"/>
      <c r="FW349" s="10"/>
      <c r="FX349" s="10"/>
      <c r="FY349" s="10"/>
      <c r="FZ349" s="10"/>
      <c r="GA349" s="10"/>
      <c r="GB349" s="10"/>
      <c r="GC349" s="10"/>
      <c r="GD349" s="10"/>
      <c r="GE349" s="10"/>
      <c r="GF349" s="10"/>
      <c r="GG349" s="10"/>
      <c r="GH349" s="10"/>
      <c r="GI349" s="10"/>
      <c r="GJ349" s="10"/>
      <c r="GK349" s="10"/>
    </row>
    <row r="350" customFormat="false" ht="12.75" hidden="false" customHeight="false" outlineLevel="0" collapsed="false">
      <c r="A350" s="7"/>
      <c r="B350" s="7"/>
      <c r="C350" s="8"/>
      <c r="D350" s="8"/>
      <c r="E350" s="8"/>
      <c r="F350" s="8"/>
      <c r="G350" s="9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0"/>
      <c r="BV350" s="10"/>
      <c r="BW350" s="10"/>
      <c r="BX350" s="10"/>
      <c r="BY350" s="10"/>
      <c r="BZ350" s="10"/>
      <c r="CA350" s="10"/>
      <c r="CB350" s="10"/>
      <c r="CC350" s="10"/>
      <c r="CD350" s="10"/>
      <c r="CE350" s="10"/>
      <c r="CF350" s="10"/>
      <c r="CG350" s="10"/>
      <c r="CH350" s="10"/>
      <c r="CI350" s="10"/>
      <c r="CJ350" s="10"/>
      <c r="CK350" s="10"/>
      <c r="CL350" s="10"/>
      <c r="CM350" s="10"/>
      <c r="CN350" s="10"/>
      <c r="CO350" s="10"/>
      <c r="CP350" s="10"/>
      <c r="CQ350" s="10"/>
      <c r="CR350" s="10"/>
      <c r="CS350" s="10"/>
      <c r="CT350" s="10"/>
      <c r="CU350" s="10"/>
      <c r="CV350" s="10"/>
      <c r="CW350" s="10"/>
      <c r="CX350" s="10"/>
      <c r="CY350" s="10"/>
      <c r="CZ350" s="10"/>
      <c r="DA350" s="10"/>
      <c r="DB350" s="10"/>
      <c r="DC350" s="10"/>
      <c r="DD350" s="10"/>
      <c r="DE350" s="10"/>
      <c r="DF350" s="10"/>
      <c r="DG350" s="10"/>
      <c r="DH350" s="10"/>
      <c r="DI350" s="10"/>
      <c r="DJ350" s="10"/>
      <c r="DK350" s="10"/>
      <c r="DL350" s="10"/>
      <c r="DM350" s="10"/>
      <c r="DN350" s="10"/>
      <c r="DO350" s="10"/>
      <c r="DP350" s="10"/>
      <c r="DQ350" s="10"/>
      <c r="DR350" s="10"/>
      <c r="DS350" s="10"/>
      <c r="DT350" s="10"/>
      <c r="DU350" s="10"/>
      <c r="DV350" s="10"/>
      <c r="DW350" s="10"/>
      <c r="DX350" s="10"/>
      <c r="DY350" s="10"/>
      <c r="DZ350" s="10"/>
      <c r="EA350" s="10"/>
      <c r="EB350" s="10"/>
      <c r="EC350" s="10"/>
      <c r="ED350" s="10"/>
      <c r="EE350" s="10"/>
      <c r="EF350" s="10"/>
      <c r="EG350" s="10"/>
      <c r="EH350" s="10"/>
      <c r="EI350" s="10"/>
      <c r="EJ350" s="10"/>
      <c r="EK350" s="10"/>
      <c r="EL350" s="10"/>
      <c r="EM350" s="10"/>
      <c r="EN350" s="10"/>
      <c r="EO350" s="10"/>
      <c r="EP350" s="10"/>
      <c r="EQ350" s="10"/>
      <c r="ER350" s="10"/>
      <c r="ES350" s="10"/>
      <c r="ET350" s="10"/>
      <c r="EU350" s="10"/>
      <c r="EV350" s="10"/>
      <c r="EW350" s="10"/>
      <c r="EX350" s="10"/>
      <c r="EY350" s="10"/>
      <c r="EZ350" s="10"/>
      <c r="FA350" s="10"/>
      <c r="FB350" s="10"/>
      <c r="FC350" s="10"/>
      <c r="FD350" s="10"/>
      <c r="FE350" s="10"/>
      <c r="FF350" s="10"/>
      <c r="FG350" s="10"/>
      <c r="FH350" s="10"/>
      <c r="FI350" s="10"/>
      <c r="FJ350" s="10"/>
      <c r="FK350" s="10"/>
      <c r="FL350" s="10"/>
      <c r="FM350" s="10"/>
      <c r="FN350" s="10"/>
      <c r="FO350" s="10"/>
      <c r="FP350" s="10"/>
      <c r="FQ350" s="10"/>
      <c r="FR350" s="10"/>
      <c r="FS350" s="10"/>
      <c r="FT350" s="10"/>
      <c r="FU350" s="10"/>
      <c r="FV350" s="10"/>
      <c r="FW350" s="10"/>
      <c r="FX350" s="10"/>
      <c r="FY350" s="10"/>
      <c r="FZ350" s="10"/>
      <c r="GA350" s="10"/>
      <c r="GB350" s="10"/>
      <c r="GC350" s="10"/>
      <c r="GD350" s="10"/>
      <c r="GE350" s="10"/>
      <c r="GF350" s="10"/>
      <c r="GG350" s="10"/>
      <c r="GH350" s="10"/>
      <c r="GI350" s="10"/>
      <c r="GJ350" s="10"/>
      <c r="GK350" s="10"/>
    </row>
    <row r="351" customFormat="false" ht="12.75" hidden="false" customHeight="false" outlineLevel="0" collapsed="false">
      <c r="A351" s="7"/>
      <c r="B351" s="7"/>
      <c r="C351" s="8"/>
      <c r="D351" s="8"/>
      <c r="E351" s="8"/>
      <c r="F351" s="8"/>
      <c r="G351" s="9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  <c r="BV351" s="10"/>
      <c r="BW351" s="10"/>
      <c r="BX351" s="10"/>
      <c r="BY351" s="10"/>
      <c r="BZ351" s="10"/>
      <c r="CA351" s="10"/>
      <c r="CB351" s="10"/>
      <c r="CC351" s="10"/>
      <c r="CD351" s="10"/>
      <c r="CE351" s="10"/>
      <c r="CF351" s="10"/>
      <c r="CG351" s="10"/>
      <c r="CH351" s="10"/>
      <c r="CI351" s="10"/>
      <c r="CJ351" s="10"/>
      <c r="CK351" s="10"/>
      <c r="CL351" s="10"/>
      <c r="CM351" s="10"/>
      <c r="CN351" s="10"/>
      <c r="CO351" s="10"/>
      <c r="CP351" s="10"/>
      <c r="CQ351" s="10"/>
      <c r="CR351" s="10"/>
      <c r="CS351" s="10"/>
      <c r="CT351" s="10"/>
      <c r="CU351" s="10"/>
      <c r="CV351" s="10"/>
      <c r="CW351" s="10"/>
      <c r="CX351" s="10"/>
      <c r="CY351" s="10"/>
      <c r="CZ351" s="10"/>
      <c r="DA351" s="10"/>
      <c r="DB351" s="10"/>
      <c r="DC351" s="10"/>
      <c r="DD351" s="10"/>
      <c r="DE351" s="10"/>
      <c r="DF351" s="10"/>
      <c r="DG351" s="10"/>
      <c r="DH351" s="10"/>
      <c r="DI351" s="10"/>
      <c r="DJ351" s="10"/>
      <c r="DK351" s="10"/>
      <c r="DL351" s="10"/>
      <c r="DM351" s="10"/>
      <c r="DN351" s="10"/>
      <c r="DO351" s="10"/>
      <c r="DP351" s="10"/>
      <c r="DQ351" s="10"/>
      <c r="DR351" s="10"/>
      <c r="DS351" s="10"/>
      <c r="DT351" s="10"/>
      <c r="DU351" s="10"/>
      <c r="DV351" s="10"/>
      <c r="DW351" s="10"/>
      <c r="DX351" s="10"/>
      <c r="DY351" s="10"/>
      <c r="DZ351" s="10"/>
      <c r="EA351" s="10"/>
      <c r="EB351" s="10"/>
      <c r="EC351" s="10"/>
      <c r="ED351" s="10"/>
      <c r="EE351" s="10"/>
      <c r="EF351" s="10"/>
      <c r="EG351" s="10"/>
      <c r="EH351" s="10"/>
      <c r="EI351" s="10"/>
      <c r="EJ351" s="10"/>
      <c r="EK351" s="10"/>
      <c r="EL351" s="10"/>
      <c r="EM351" s="10"/>
      <c r="EN351" s="10"/>
      <c r="EO351" s="10"/>
      <c r="EP351" s="10"/>
      <c r="EQ351" s="10"/>
      <c r="ER351" s="10"/>
      <c r="ES351" s="10"/>
      <c r="ET351" s="10"/>
      <c r="EU351" s="10"/>
      <c r="EV351" s="10"/>
      <c r="EW351" s="10"/>
      <c r="EX351" s="10"/>
      <c r="EY351" s="10"/>
      <c r="EZ351" s="10"/>
      <c r="FA351" s="10"/>
      <c r="FB351" s="10"/>
      <c r="FC351" s="10"/>
      <c r="FD351" s="10"/>
      <c r="FE351" s="10"/>
      <c r="FF351" s="10"/>
      <c r="FG351" s="10"/>
      <c r="FH351" s="10"/>
      <c r="FI351" s="10"/>
      <c r="FJ351" s="10"/>
      <c r="FK351" s="10"/>
      <c r="FL351" s="10"/>
      <c r="FM351" s="10"/>
      <c r="FN351" s="10"/>
      <c r="FO351" s="10"/>
      <c r="FP351" s="10"/>
      <c r="FQ351" s="10"/>
      <c r="FR351" s="10"/>
      <c r="FS351" s="10"/>
      <c r="FT351" s="10"/>
      <c r="FU351" s="10"/>
      <c r="FV351" s="10"/>
      <c r="FW351" s="10"/>
      <c r="FX351" s="10"/>
      <c r="FY351" s="10"/>
      <c r="FZ351" s="10"/>
      <c r="GA351" s="10"/>
      <c r="GB351" s="10"/>
      <c r="GC351" s="10"/>
      <c r="GD351" s="10"/>
      <c r="GE351" s="10"/>
      <c r="GF351" s="10"/>
      <c r="GG351" s="10"/>
      <c r="GH351" s="10"/>
      <c r="GI351" s="10"/>
      <c r="GJ351" s="10"/>
      <c r="GK351" s="10"/>
    </row>
    <row r="352" customFormat="false" ht="12.75" hidden="false" customHeight="false" outlineLevel="0" collapsed="false">
      <c r="A352" s="7"/>
      <c r="B352" s="7"/>
      <c r="C352" s="8"/>
      <c r="D352" s="8"/>
      <c r="E352" s="8"/>
      <c r="F352" s="8"/>
      <c r="G352" s="9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  <c r="BU352" s="10"/>
      <c r="BV352" s="10"/>
      <c r="BW352" s="10"/>
      <c r="BX352" s="10"/>
      <c r="BY352" s="10"/>
      <c r="BZ352" s="10"/>
      <c r="CA352" s="10"/>
      <c r="CB352" s="10"/>
      <c r="CC352" s="10"/>
      <c r="CD352" s="10"/>
      <c r="CE352" s="10"/>
      <c r="CF352" s="10"/>
      <c r="CG352" s="10"/>
      <c r="CH352" s="10"/>
      <c r="CI352" s="10"/>
      <c r="CJ352" s="10"/>
      <c r="CK352" s="10"/>
      <c r="CL352" s="10"/>
      <c r="CM352" s="10"/>
      <c r="CN352" s="10"/>
      <c r="CO352" s="10"/>
      <c r="CP352" s="10"/>
      <c r="CQ352" s="10"/>
      <c r="CR352" s="10"/>
      <c r="CS352" s="10"/>
      <c r="CT352" s="10"/>
      <c r="CU352" s="10"/>
      <c r="CV352" s="10"/>
      <c r="CW352" s="10"/>
      <c r="CX352" s="10"/>
      <c r="CY352" s="10"/>
      <c r="CZ352" s="10"/>
      <c r="DA352" s="10"/>
      <c r="DB352" s="10"/>
      <c r="DC352" s="10"/>
      <c r="DD352" s="10"/>
      <c r="DE352" s="10"/>
      <c r="DF352" s="10"/>
      <c r="DG352" s="10"/>
      <c r="DH352" s="10"/>
      <c r="DI352" s="10"/>
      <c r="DJ352" s="10"/>
      <c r="DK352" s="10"/>
      <c r="DL352" s="10"/>
      <c r="DM352" s="10"/>
      <c r="DN352" s="10"/>
      <c r="DO352" s="10"/>
      <c r="DP352" s="10"/>
      <c r="DQ352" s="10"/>
      <c r="DR352" s="10"/>
      <c r="DS352" s="10"/>
      <c r="DT352" s="10"/>
      <c r="DU352" s="10"/>
      <c r="DV352" s="10"/>
      <c r="DW352" s="10"/>
      <c r="DX352" s="10"/>
      <c r="DY352" s="10"/>
      <c r="DZ352" s="10"/>
      <c r="EA352" s="10"/>
      <c r="EB352" s="10"/>
      <c r="EC352" s="10"/>
      <c r="ED352" s="10"/>
      <c r="EE352" s="10"/>
      <c r="EF352" s="10"/>
      <c r="EG352" s="10"/>
      <c r="EH352" s="10"/>
      <c r="EI352" s="10"/>
      <c r="EJ352" s="10"/>
      <c r="EK352" s="10"/>
      <c r="EL352" s="10"/>
      <c r="EM352" s="10"/>
      <c r="EN352" s="10"/>
      <c r="EO352" s="10"/>
      <c r="EP352" s="10"/>
      <c r="EQ352" s="10"/>
      <c r="ER352" s="10"/>
      <c r="ES352" s="10"/>
      <c r="ET352" s="10"/>
      <c r="EU352" s="10"/>
      <c r="EV352" s="10"/>
      <c r="EW352" s="10"/>
      <c r="EX352" s="10"/>
      <c r="EY352" s="10"/>
      <c r="EZ352" s="10"/>
      <c r="FA352" s="10"/>
      <c r="FB352" s="10"/>
      <c r="FC352" s="10"/>
      <c r="FD352" s="10"/>
      <c r="FE352" s="10"/>
      <c r="FF352" s="10"/>
      <c r="FG352" s="10"/>
      <c r="FH352" s="10"/>
      <c r="FI352" s="10"/>
      <c r="FJ352" s="10"/>
      <c r="FK352" s="10"/>
      <c r="FL352" s="10"/>
      <c r="FM352" s="10"/>
      <c r="FN352" s="10"/>
      <c r="FO352" s="10"/>
      <c r="FP352" s="10"/>
      <c r="FQ352" s="10"/>
      <c r="FR352" s="10"/>
      <c r="FS352" s="10"/>
      <c r="FT352" s="10"/>
      <c r="FU352" s="10"/>
      <c r="FV352" s="10"/>
      <c r="FW352" s="10"/>
      <c r="FX352" s="10"/>
      <c r="FY352" s="10"/>
      <c r="FZ352" s="10"/>
      <c r="GA352" s="10"/>
      <c r="GB352" s="10"/>
      <c r="GC352" s="10"/>
      <c r="GD352" s="10"/>
      <c r="GE352" s="10"/>
      <c r="GF352" s="10"/>
      <c r="GG352" s="10"/>
      <c r="GH352" s="10"/>
      <c r="GI352" s="10"/>
      <c r="GJ352" s="10"/>
      <c r="GK352" s="10"/>
    </row>
    <row r="353" customFormat="false" ht="12.75" hidden="false" customHeight="false" outlineLevel="0" collapsed="false">
      <c r="A353" s="7"/>
      <c r="B353" s="7"/>
      <c r="C353" s="8"/>
      <c r="D353" s="8"/>
      <c r="E353" s="8"/>
      <c r="F353" s="8"/>
      <c r="G353" s="9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  <c r="BU353" s="10"/>
      <c r="BV353" s="10"/>
      <c r="BW353" s="10"/>
      <c r="BX353" s="10"/>
      <c r="BY353" s="10"/>
      <c r="BZ353" s="10"/>
      <c r="CA353" s="10"/>
      <c r="CB353" s="10"/>
      <c r="CC353" s="10"/>
      <c r="CD353" s="10"/>
      <c r="CE353" s="10"/>
      <c r="CF353" s="10"/>
      <c r="CG353" s="10"/>
      <c r="CH353" s="10"/>
      <c r="CI353" s="10"/>
      <c r="CJ353" s="10"/>
      <c r="CK353" s="10"/>
      <c r="CL353" s="10"/>
      <c r="CM353" s="10"/>
      <c r="CN353" s="10"/>
      <c r="CO353" s="10"/>
      <c r="CP353" s="10"/>
      <c r="CQ353" s="10"/>
      <c r="CR353" s="10"/>
      <c r="CS353" s="10"/>
      <c r="CT353" s="10"/>
      <c r="CU353" s="10"/>
      <c r="CV353" s="10"/>
      <c r="CW353" s="10"/>
      <c r="CX353" s="10"/>
      <c r="CY353" s="10"/>
      <c r="CZ353" s="10"/>
      <c r="DA353" s="10"/>
      <c r="DB353" s="10"/>
      <c r="DC353" s="10"/>
      <c r="DD353" s="10"/>
      <c r="DE353" s="10"/>
      <c r="DF353" s="10"/>
      <c r="DG353" s="10"/>
      <c r="DH353" s="10"/>
      <c r="DI353" s="10"/>
      <c r="DJ353" s="10"/>
      <c r="DK353" s="10"/>
      <c r="DL353" s="10"/>
      <c r="DM353" s="10"/>
      <c r="DN353" s="10"/>
      <c r="DO353" s="10"/>
      <c r="DP353" s="10"/>
      <c r="DQ353" s="10"/>
      <c r="DR353" s="10"/>
      <c r="DS353" s="10"/>
      <c r="DT353" s="10"/>
      <c r="DU353" s="10"/>
      <c r="DV353" s="10"/>
      <c r="DW353" s="10"/>
      <c r="DX353" s="10"/>
      <c r="DY353" s="10"/>
      <c r="DZ353" s="10"/>
      <c r="EA353" s="10"/>
      <c r="EB353" s="10"/>
      <c r="EC353" s="10"/>
      <c r="ED353" s="10"/>
      <c r="EE353" s="10"/>
      <c r="EF353" s="10"/>
      <c r="EG353" s="10"/>
      <c r="EH353" s="10"/>
      <c r="EI353" s="10"/>
      <c r="EJ353" s="10"/>
      <c r="EK353" s="10"/>
      <c r="EL353" s="10"/>
      <c r="EM353" s="10"/>
      <c r="EN353" s="10"/>
      <c r="EO353" s="10"/>
      <c r="EP353" s="10"/>
      <c r="EQ353" s="10"/>
      <c r="ER353" s="10"/>
      <c r="ES353" s="10"/>
      <c r="ET353" s="10"/>
      <c r="EU353" s="10"/>
      <c r="EV353" s="10"/>
      <c r="EW353" s="10"/>
      <c r="EX353" s="10"/>
      <c r="EY353" s="10"/>
      <c r="EZ353" s="10"/>
      <c r="FA353" s="10"/>
      <c r="FB353" s="10"/>
      <c r="FC353" s="10"/>
      <c r="FD353" s="10"/>
      <c r="FE353" s="10"/>
      <c r="FF353" s="10"/>
      <c r="FG353" s="10"/>
      <c r="FH353" s="10"/>
      <c r="FI353" s="10"/>
      <c r="FJ353" s="10"/>
      <c r="FK353" s="10"/>
      <c r="FL353" s="10"/>
      <c r="FM353" s="10"/>
      <c r="FN353" s="10"/>
      <c r="FO353" s="10"/>
      <c r="FP353" s="10"/>
      <c r="FQ353" s="10"/>
      <c r="FR353" s="10"/>
      <c r="FS353" s="10"/>
      <c r="FT353" s="10"/>
      <c r="FU353" s="10"/>
      <c r="FV353" s="10"/>
      <c r="FW353" s="10"/>
      <c r="FX353" s="10"/>
      <c r="FY353" s="10"/>
      <c r="FZ353" s="10"/>
      <c r="GA353" s="10"/>
      <c r="GB353" s="10"/>
      <c r="GC353" s="10"/>
      <c r="GD353" s="10"/>
      <c r="GE353" s="10"/>
      <c r="GF353" s="10"/>
      <c r="GG353" s="10"/>
      <c r="GH353" s="10"/>
      <c r="GI353" s="10"/>
      <c r="GJ353" s="10"/>
      <c r="GK353" s="10"/>
    </row>
    <row r="354" customFormat="false" ht="12.75" hidden="false" customHeight="false" outlineLevel="0" collapsed="false">
      <c r="A354" s="7"/>
      <c r="B354" s="7"/>
      <c r="C354" s="8"/>
      <c r="D354" s="8"/>
      <c r="E354" s="8"/>
      <c r="F354" s="8"/>
      <c r="G354" s="9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  <c r="BU354" s="10"/>
      <c r="BV354" s="10"/>
      <c r="BW354" s="10"/>
      <c r="BX354" s="10"/>
      <c r="BY354" s="10"/>
      <c r="BZ354" s="10"/>
      <c r="CA354" s="10"/>
      <c r="CB354" s="10"/>
      <c r="CC354" s="10"/>
      <c r="CD354" s="10"/>
      <c r="CE354" s="10"/>
      <c r="CF354" s="10"/>
      <c r="CG354" s="10"/>
      <c r="CH354" s="10"/>
      <c r="CI354" s="10"/>
      <c r="CJ354" s="10"/>
      <c r="CK354" s="10"/>
      <c r="CL354" s="10"/>
      <c r="CM354" s="10"/>
      <c r="CN354" s="10"/>
      <c r="CO354" s="10"/>
      <c r="CP354" s="10"/>
      <c r="CQ354" s="10"/>
      <c r="CR354" s="10"/>
      <c r="CS354" s="10"/>
      <c r="CT354" s="10"/>
      <c r="CU354" s="10"/>
      <c r="CV354" s="10"/>
      <c r="CW354" s="10"/>
      <c r="CX354" s="10"/>
      <c r="CY354" s="10"/>
      <c r="CZ354" s="10"/>
      <c r="DA354" s="10"/>
      <c r="DB354" s="10"/>
      <c r="DC354" s="10"/>
      <c r="DD354" s="10"/>
      <c r="DE354" s="10"/>
      <c r="DF354" s="10"/>
      <c r="DG354" s="10"/>
      <c r="DH354" s="10"/>
      <c r="DI354" s="10"/>
      <c r="DJ354" s="10"/>
      <c r="DK354" s="10"/>
      <c r="DL354" s="10"/>
      <c r="DM354" s="10"/>
      <c r="DN354" s="10"/>
      <c r="DO354" s="10"/>
      <c r="DP354" s="10"/>
      <c r="DQ354" s="10"/>
      <c r="DR354" s="10"/>
      <c r="DS354" s="10"/>
      <c r="DT354" s="10"/>
      <c r="DU354" s="10"/>
      <c r="DV354" s="10"/>
      <c r="DW354" s="10"/>
      <c r="DX354" s="10"/>
      <c r="DY354" s="10"/>
      <c r="DZ354" s="10"/>
      <c r="EA354" s="10"/>
      <c r="EB354" s="10"/>
      <c r="EC354" s="10"/>
      <c r="ED354" s="10"/>
      <c r="EE354" s="10"/>
      <c r="EF354" s="10"/>
      <c r="EG354" s="10"/>
      <c r="EH354" s="10"/>
      <c r="EI354" s="10"/>
      <c r="EJ354" s="10"/>
      <c r="EK354" s="10"/>
      <c r="EL354" s="10"/>
      <c r="EM354" s="10"/>
      <c r="EN354" s="10"/>
      <c r="EO354" s="10"/>
      <c r="EP354" s="10"/>
      <c r="EQ354" s="10"/>
      <c r="ER354" s="10"/>
      <c r="ES354" s="10"/>
      <c r="ET354" s="10"/>
      <c r="EU354" s="10"/>
      <c r="EV354" s="10"/>
      <c r="EW354" s="10"/>
      <c r="EX354" s="10"/>
      <c r="EY354" s="10"/>
      <c r="EZ354" s="10"/>
      <c r="FA354" s="10"/>
      <c r="FB354" s="10"/>
      <c r="FC354" s="10"/>
      <c r="FD354" s="10"/>
      <c r="FE354" s="10"/>
      <c r="FF354" s="10"/>
      <c r="FG354" s="10"/>
      <c r="FH354" s="10"/>
      <c r="FI354" s="10"/>
      <c r="FJ354" s="10"/>
      <c r="FK354" s="10"/>
      <c r="FL354" s="10"/>
      <c r="FM354" s="10"/>
      <c r="FN354" s="10"/>
      <c r="FO354" s="10"/>
      <c r="FP354" s="10"/>
      <c r="FQ354" s="10"/>
      <c r="FR354" s="10"/>
      <c r="FS354" s="10"/>
      <c r="FT354" s="10"/>
      <c r="FU354" s="10"/>
      <c r="FV354" s="10"/>
      <c r="FW354" s="10"/>
      <c r="FX354" s="10"/>
      <c r="FY354" s="10"/>
      <c r="FZ354" s="10"/>
      <c r="GA354" s="10"/>
      <c r="GB354" s="10"/>
      <c r="GC354" s="10"/>
      <c r="GD354" s="10"/>
      <c r="GE354" s="10"/>
      <c r="GF354" s="10"/>
      <c r="GG354" s="10"/>
      <c r="GH354" s="10"/>
      <c r="GI354" s="10"/>
      <c r="GJ354" s="10"/>
      <c r="GK354" s="10"/>
    </row>
    <row r="355" customFormat="false" ht="12.75" hidden="false" customHeight="false" outlineLevel="0" collapsed="false">
      <c r="A355" s="7"/>
      <c r="B355" s="7"/>
      <c r="C355" s="8"/>
      <c r="D355" s="8"/>
      <c r="E355" s="8"/>
      <c r="F355" s="8"/>
      <c r="G355" s="9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  <c r="BV355" s="10"/>
      <c r="BW355" s="10"/>
      <c r="BX355" s="10"/>
      <c r="BY355" s="10"/>
      <c r="BZ355" s="10"/>
      <c r="CA355" s="10"/>
      <c r="CB355" s="10"/>
      <c r="CC355" s="10"/>
      <c r="CD355" s="10"/>
      <c r="CE355" s="10"/>
      <c r="CF355" s="10"/>
      <c r="CG355" s="10"/>
      <c r="CH355" s="10"/>
      <c r="CI355" s="10"/>
      <c r="CJ355" s="10"/>
      <c r="CK355" s="10"/>
      <c r="CL355" s="10"/>
      <c r="CM355" s="10"/>
      <c r="CN355" s="10"/>
      <c r="CO355" s="10"/>
      <c r="CP355" s="10"/>
      <c r="CQ355" s="10"/>
      <c r="CR355" s="10"/>
      <c r="CS355" s="10"/>
      <c r="CT355" s="10"/>
      <c r="CU355" s="10"/>
      <c r="CV355" s="10"/>
      <c r="CW355" s="10"/>
      <c r="CX355" s="10"/>
      <c r="CY355" s="10"/>
      <c r="CZ355" s="10"/>
      <c r="DA355" s="10"/>
      <c r="DB355" s="10"/>
      <c r="DC355" s="10"/>
      <c r="DD355" s="10"/>
      <c r="DE355" s="10"/>
      <c r="DF355" s="10"/>
      <c r="DG355" s="10"/>
      <c r="DH355" s="10"/>
      <c r="DI355" s="10"/>
      <c r="DJ355" s="10"/>
      <c r="DK355" s="10"/>
      <c r="DL355" s="10"/>
      <c r="DM355" s="10"/>
      <c r="DN355" s="10"/>
      <c r="DO355" s="10"/>
      <c r="DP355" s="10"/>
      <c r="DQ355" s="10"/>
      <c r="DR355" s="10"/>
      <c r="DS355" s="10"/>
      <c r="DT355" s="10"/>
      <c r="DU355" s="10"/>
      <c r="DV355" s="10"/>
      <c r="DW355" s="10"/>
      <c r="DX355" s="10"/>
      <c r="DY355" s="10"/>
      <c r="DZ355" s="10"/>
      <c r="EA355" s="10"/>
      <c r="EB355" s="10"/>
      <c r="EC355" s="10"/>
      <c r="ED355" s="10"/>
      <c r="EE355" s="10"/>
      <c r="EF355" s="10"/>
      <c r="EG355" s="10"/>
      <c r="EH355" s="10"/>
      <c r="EI355" s="10"/>
      <c r="EJ355" s="10"/>
      <c r="EK355" s="10"/>
      <c r="EL355" s="10"/>
      <c r="EM355" s="10"/>
      <c r="EN355" s="10"/>
      <c r="EO355" s="10"/>
      <c r="EP355" s="10"/>
      <c r="EQ355" s="10"/>
      <c r="ER355" s="10"/>
      <c r="ES355" s="10"/>
      <c r="ET355" s="10"/>
      <c r="EU355" s="10"/>
      <c r="EV355" s="10"/>
      <c r="EW355" s="10"/>
      <c r="EX355" s="10"/>
      <c r="EY355" s="10"/>
      <c r="EZ355" s="10"/>
      <c r="FA355" s="10"/>
      <c r="FB355" s="10"/>
      <c r="FC355" s="10"/>
      <c r="FD355" s="10"/>
      <c r="FE355" s="10"/>
      <c r="FF355" s="10"/>
      <c r="FG355" s="10"/>
      <c r="FH355" s="10"/>
      <c r="FI355" s="10"/>
      <c r="FJ355" s="10"/>
      <c r="FK355" s="10"/>
      <c r="FL355" s="10"/>
      <c r="FM355" s="10"/>
      <c r="FN355" s="10"/>
      <c r="FO355" s="10"/>
      <c r="FP355" s="10"/>
      <c r="FQ355" s="10"/>
      <c r="FR355" s="10"/>
      <c r="FS355" s="10"/>
      <c r="FT355" s="10"/>
      <c r="FU355" s="10"/>
      <c r="FV355" s="10"/>
      <c r="FW355" s="10"/>
      <c r="FX355" s="10"/>
      <c r="FY355" s="10"/>
      <c r="FZ355" s="10"/>
      <c r="GA355" s="10"/>
      <c r="GB355" s="10"/>
      <c r="GC355" s="10"/>
      <c r="GD355" s="10"/>
      <c r="GE355" s="10"/>
      <c r="GF355" s="10"/>
      <c r="GG355" s="10"/>
      <c r="GH355" s="10"/>
      <c r="GI355" s="10"/>
      <c r="GJ355" s="10"/>
      <c r="GK355" s="10"/>
    </row>
    <row r="356" customFormat="false" ht="12.75" hidden="false" customHeight="false" outlineLevel="0" collapsed="false">
      <c r="A356" s="7"/>
      <c r="B356" s="7"/>
      <c r="C356" s="8"/>
      <c r="D356" s="8"/>
      <c r="E356" s="8"/>
      <c r="F356" s="8"/>
      <c r="G356" s="9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  <c r="BV356" s="10"/>
      <c r="BW356" s="10"/>
      <c r="BX356" s="10"/>
      <c r="BY356" s="10"/>
      <c r="BZ356" s="10"/>
      <c r="CA356" s="10"/>
      <c r="CB356" s="10"/>
      <c r="CC356" s="10"/>
      <c r="CD356" s="10"/>
      <c r="CE356" s="10"/>
      <c r="CF356" s="10"/>
      <c r="CG356" s="10"/>
      <c r="CH356" s="10"/>
      <c r="CI356" s="10"/>
      <c r="CJ356" s="10"/>
      <c r="CK356" s="10"/>
      <c r="CL356" s="10"/>
      <c r="CM356" s="10"/>
      <c r="CN356" s="10"/>
      <c r="CO356" s="10"/>
      <c r="CP356" s="10"/>
      <c r="CQ356" s="10"/>
      <c r="CR356" s="10"/>
      <c r="CS356" s="10"/>
      <c r="CT356" s="10"/>
      <c r="CU356" s="10"/>
      <c r="CV356" s="10"/>
      <c r="CW356" s="10"/>
      <c r="CX356" s="10"/>
      <c r="CY356" s="10"/>
      <c r="CZ356" s="10"/>
      <c r="DA356" s="10"/>
      <c r="DB356" s="10"/>
      <c r="DC356" s="10"/>
      <c r="DD356" s="10"/>
      <c r="DE356" s="10"/>
      <c r="DF356" s="10"/>
      <c r="DG356" s="10"/>
      <c r="DH356" s="10"/>
      <c r="DI356" s="10"/>
      <c r="DJ356" s="10"/>
      <c r="DK356" s="10"/>
      <c r="DL356" s="10"/>
      <c r="DM356" s="10"/>
      <c r="DN356" s="10"/>
      <c r="DO356" s="10"/>
      <c r="DP356" s="10"/>
      <c r="DQ356" s="10"/>
      <c r="DR356" s="10"/>
      <c r="DS356" s="10"/>
      <c r="DT356" s="10"/>
      <c r="DU356" s="10"/>
      <c r="DV356" s="10"/>
      <c r="DW356" s="10"/>
      <c r="DX356" s="10"/>
      <c r="DY356" s="10"/>
      <c r="DZ356" s="10"/>
      <c r="EA356" s="10"/>
      <c r="EB356" s="10"/>
      <c r="EC356" s="10"/>
      <c r="ED356" s="10"/>
      <c r="EE356" s="10"/>
      <c r="EF356" s="10"/>
      <c r="EG356" s="10"/>
      <c r="EH356" s="10"/>
      <c r="EI356" s="10"/>
      <c r="EJ356" s="10"/>
      <c r="EK356" s="10"/>
      <c r="EL356" s="10"/>
      <c r="EM356" s="10"/>
      <c r="EN356" s="10"/>
      <c r="EO356" s="10"/>
      <c r="EP356" s="10"/>
      <c r="EQ356" s="10"/>
      <c r="ER356" s="10"/>
      <c r="ES356" s="10"/>
      <c r="ET356" s="10"/>
      <c r="EU356" s="10"/>
      <c r="EV356" s="10"/>
      <c r="EW356" s="10"/>
      <c r="EX356" s="10"/>
      <c r="EY356" s="10"/>
      <c r="EZ356" s="10"/>
      <c r="FA356" s="10"/>
      <c r="FB356" s="10"/>
      <c r="FC356" s="10"/>
      <c r="FD356" s="10"/>
      <c r="FE356" s="10"/>
      <c r="FF356" s="10"/>
      <c r="FG356" s="10"/>
      <c r="FH356" s="10"/>
      <c r="FI356" s="10"/>
      <c r="FJ356" s="10"/>
      <c r="FK356" s="10"/>
      <c r="FL356" s="10"/>
      <c r="FM356" s="10"/>
      <c r="FN356" s="10"/>
      <c r="FO356" s="10"/>
      <c r="FP356" s="10"/>
      <c r="FQ356" s="10"/>
      <c r="FR356" s="10"/>
      <c r="FS356" s="10"/>
      <c r="FT356" s="10"/>
      <c r="FU356" s="10"/>
      <c r="FV356" s="10"/>
      <c r="FW356" s="10"/>
      <c r="FX356" s="10"/>
      <c r="FY356" s="10"/>
      <c r="FZ356" s="10"/>
      <c r="GA356" s="10"/>
      <c r="GB356" s="10"/>
      <c r="GC356" s="10"/>
      <c r="GD356" s="10"/>
      <c r="GE356" s="10"/>
      <c r="GF356" s="10"/>
      <c r="GG356" s="10"/>
      <c r="GH356" s="10"/>
      <c r="GI356" s="10"/>
      <c r="GJ356" s="10"/>
      <c r="GK356" s="10"/>
    </row>
    <row r="357" customFormat="false" ht="12.75" hidden="false" customHeight="false" outlineLevel="0" collapsed="false">
      <c r="A357" s="7"/>
      <c r="B357" s="7"/>
      <c r="C357" s="8"/>
      <c r="D357" s="8"/>
      <c r="E357" s="8"/>
      <c r="F357" s="8"/>
      <c r="G357" s="9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  <c r="BV357" s="10"/>
      <c r="BW357" s="10"/>
      <c r="BX357" s="10"/>
      <c r="BY357" s="10"/>
      <c r="BZ357" s="10"/>
      <c r="CA357" s="10"/>
      <c r="CB357" s="10"/>
      <c r="CC357" s="10"/>
      <c r="CD357" s="10"/>
      <c r="CE357" s="10"/>
      <c r="CF357" s="10"/>
      <c r="CG357" s="10"/>
      <c r="CH357" s="10"/>
      <c r="CI357" s="10"/>
      <c r="CJ357" s="10"/>
      <c r="CK357" s="10"/>
      <c r="CL357" s="10"/>
      <c r="CM357" s="10"/>
      <c r="CN357" s="10"/>
      <c r="CO357" s="10"/>
      <c r="CP357" s="10"/>
      <c r="CQ357" s="10"/>
      <c r="CR357" s="10"/>
      <c r="CS357" s="10"/>
      <c r="CT357" s="10"/>
      <c r="CU357" s="10"/>
      <c r="CV357" s="10"/>
      <c r="CW357" s="10"/>
      <c r="CX357" s="10"/>
      <c r="CY357" s="10"/>
      <c r="CZ357" s="10"/>
      <c r="DA357" s="10"/>
      <c r="DB357" s="10"/>
      <c r="DC357" s="10"/>
      <c r="DD357" s="10"/>
      <c r="DE357" s="10"/>
      <c r="DF357" s="10"/>
      <c r="DG357" s="10"/>
      <c r="DH357" s="10"/>
      <c r="DI357" s="10"/>
      <c r="DJ357" s="10"/>
      <c r="DK357" s="10"/>
      <c r="DL357" s="10"/>
      <c r="DM357" s="10"/>
      <c r="DN357" s="10"/>
      <c r="DO357" s="10"/>
      <c r="DP357" s="10"/>
      <c r="DQ357" s="10"/>
      <c r="DR357" s="10"/>
      <c r="DS357" s="10"/>
      <c r="DT357" s="10"/>
      <c r="DU357" s="10"/>
      <c r="DV357" s="10"/>
      <c r="DW357" s="10"/>
      <c r="DX357" s="10"/>
      <c r="DY357" s="10"/>
      <c r="DZ357" s="10"/>
      <c r="EA357" s="10"/>
      <c r="EB357" s="10"/>
      <c r="EC357" s="10"/>
      <c r="ED357" s="10"/>
      <c r="EE357" s="10"/>
      <c r="EF357" s="10"/>
      <c r="EG357" s="10"/>
      <c r="EH357" s="10"/>
      <c r="EI357" s="10"/>
      <c r="EJ357" s="10"/>
      <c r="EK357" s="10"/>
      <c r="EL357" s="10"/>
      <c r="EM357" s="10"/>
      <c r="EN357" s="10"/>
      <c r="EO357" s="10"/>
      <c r="EP357" s="10"/>
      <c r="EQ357" s="10"/>
      <c r="ER357" s="10"/>
      <c r="ES357" s="10"/>
      <c r="ET357" s="10"/>
      <c r="EU357" s="10"/>
      <c r="EV357" s="10"/>
      <c r="EW357" s="10"/>
      <c r="EX357" s="10"/>
      <c r="EY357" s="10"/>
      <c r="EZ357" s="10"/>
      <c r="FA357" s="10"/>
      <c r="FB357" s="10"/>
      <c r="FC357" s="10"/>
      <c r="FD357" s="10"/>
      <c r="FE357" s="10"/>
      <c r="FF357" s="10"/>
      <c r="FG357" s="10"/>
      <c r="FH357" s="10"/>
      <c r="FI357" s="10"/>
      <c r="FJ357" s="10"/>
      <c r="FK357" s="10"/>
      <c r="FL357" s="10"/>
      <c r="FM357" s="10"/>
      <c r="FN357" s="10"/>
      <c r="FO357" s="10"/>
      <c r="FP357" s="10"/>
      <c r="FQ357" s="10"/>
      <c r="FR357" s="10"/>
      <c r="FS357" s="10"/>
      <c r="FT357" s="10"/>
      <c r="FU357" s="10"/>
      <c r="FV357" s="10"/>
      <c r="FW357" s="10"/>
      <c r="FX357" s="10"/>
      <c r="FY357" s="10"/>
      <c r="FZ357" s="10"/>
      <c r="GA357" s="10"/>
      <c r="GB357" s="10"/>
      <c r="GC357" s="10"/>
      <c r="GD357" s="10"/>
      <c r="GE357" s="10"/>
      <c r="GF357" s="10"/>
      <c r="GG357" s="10"/>
      <c r="GH357" s="10"/>
      <c r="GI357" s="10"/>
      <c r="GJ357" s="10"/>
      <c r="GK357" s="10"/>
    </row>
    <row r="358" customFormat="false" ht="12.75" hidden="false" customHeight="false" outlineLevel="0" collapsed="false">
      <c r="A358" s="7"/>
      <c r="B358" s="7"/>
      <c r="C358" s="8"/>
      <c r="D358" s="8"/>
      <c r="E358" s="8"/>
      <c r="F358" s="8"/>
      <c r="G358" s="9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  <c r="BU358" s="10"/>
      <c r="BV358" s="10"/>
      <c r="BW358" s="10"/>
      <c r="BX358" s="10"/>
      <c r="BY358" s="10"/>
      <c r="BZ358" s="10"/>
      <c r="CA358" s="10"/>
      <c r="CB358" s="10"/>
      <c r="CC358" s="10"/>
      <c r="CD358" s="10"/>
      <c r="CE358" s="10"/>
      <c r="CF358" s="10"/>
      <c r="CG358" s="10"/>
      <c r="CH358" s="10"/>
      <c r="CI358" s="10"/>
      <c r="CJ358" s="10"/>
      <c r="CK358" s="10"/>
      <c r="CL358" s="10"/>
      <c r="CM358" s="10"/>
      <c r="CN358" s="10"/>
      <c r="CO358" s="10"/>
      <c r="CP358" s="10"/>
      <c r="CQ358" s="10"/>
      <c r="CR358" s="10"/>
      <c r="CS358" s="10"/>
      <c r="CT358" s="10"/>
      <c r="CU358" s="10"/>
      <c r="CV358" s="10"/>
      <c r="CW358" s="10"/>
      <c r="CX358" s="10"/>
      <c r="CY358" s="10"/>
      <c r="CZ358" s="10"/>
      <c r="DA358" s="10"/>
      <c r="DB358" s="10"/>
      <c r="DC358" s="10"/>
      <c r="DD358" s="10"/>
      <c r="DE358" s="10"/>
      <c r="DF358" s="10"/>
      <c r="DG358" s="10"/>
      <c r="DH358" s="10"/>
      <c r="DI358" s="10"/>
      <c r="DJ358" s="10"/>
      <c r="DK358" s="10"/>
      <c r="DL358" s="10"/>
      <c r="DM358" s="10"/>
      <c r="DN358" s="10"/>
      <c r="DO358" s="10"/>
      <c r="DP358" s="10"/>
      <c r="DQ358" s="10"/>
      <c r="DR358" s="10"/>
      <c r="DS358" s="10"/>
      <c r="DT358" s="10"/>
      <c r="DU358" s="10"/>
      <c r="DV358" s="10"/>
      <c r="DW358" s="10"/>
      <c r="DX358" s="10"/>
      <c r="DY358" s="10"/>
      <c r="DZ358" s="10"/>
      <c r="EA358" s="10"/>
      <c r="EB358" s="10"/>
      <c r="EC358" s="10"/>
      <c r="ED358" s="10"/>
      <c r="EE358" s="10"/>
      <c r="EF358" s="10"/>
      <c r="EG358" s="10"/>
      <c r="EH358" s="10"/>
      <c r="EI358" s="10"/>
      <c r="EJ358" s="10"/>
      <c r="EK358" s="10"/>
      <c r="EL358" s="10"/>
      <c r="EM358" s="10"/>
      <c r="EN358" s="10"/>
      <c r="EO358" s="10"/>
      <c r="EP358" s="10"/>
      <c r="EQ358" s="10"/>
      <c r="ER358" s="10"/>
      <c r="ES358" s="10"/>
      <c r="ET358" s="10"/>
      <c r="EU358" s="10"/>
      <c r="EV358" s="10"/>
      <c r="EW358" s="10"/>
      <c r="EX358" s="10"/>
      <c r="EY358" s="10"/>
      <c r="EZ358" s="10"/>
      <c r="FA358" s="10"/>
      <c r="FB358" s="10"/>
      <c r="FC358" s="10"/>
      <c r="FD358" s="10"/>
      <c r="FE358" s="10"/>
      <c r="FF358" s="10"/>
      <c r="FG358" s="10"/>
      <c r="FH358" s="10"/>
      <c r="FI358" s="10"/>
      <c r="FJ358" s="10"/>
      <c r="FK358" s="10"/>
      <c r="FL358" s="10"/>
      <c r="FM358" s="10"/>
      <c r="FN358" s="10"/>
      <c r="FO358" s="10"/>
      <c r="FP358" s="10"/>
      <c r="FQ358" s="10"/>
      <c r="FR358" s="10"/>
      <c r="FS358" s="10"/>
      <c r="FT358" s="10"/>
      <c r="FU358" s="10"/>
      <c r="FV358" s="10"/>
      <c r="FW358" s="10"/>
      <c r="FX358" s="10"/>
      <c r="FY358" s="10"/>
      <c r="FZ358" s="10"/>
      <c r="GA358" s="10"/>
      <c r="GB358" s="10"/>
      <c r="GC358" s="10"/>
      <c r="GD358" s="10"/>
      <c r="GE358" s="10"/>
      <c r="GF358" s="10"/>
      <c r="GG358" s="10"/>
      <c r="GH358" s="10"/>
      <c r="GI358" s="10"/>
      <c r="GJ358" s="10"/>
      <c r="GK358" s="10"/>
    </row>
    <row r="359" customFormat="false" ht="12.75" hidden="false" customHeight="false" outlineLevel="0" collapsed="false">
      <c r="A359" s="7"/>
      <c r="B359" s="7"/>
      <c r="C359" s="8"/>
      <c r="D359" s="8"/>
      <c r="E359" s="8"/>
      <c r="F359" s="8"/>
      <c r="G359" s="9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  <c r="BV359" s="10"/>
      <c r="BW359" s="10"/>
      <c r="BX359" s="10"/>
      <c r="BY359" s="10"/>
      <c r="BZ359" s="10"/>
      <c r="CA359" s="10"/>
      <c r="CB359" s="10"/>
      <c r="CC359" s="10"/>
      <c r="CD359" s="10"/>
      <c r="CE359" s="10"/>
      <c r="CF359" s="10"/>
      <c r="CG359" s="10"/>
      <c r="CH359" s="10"/>
      <c r="CI359" s="10"/>
      <c r="CJ359" s="10"/>
      <c r="CK359" s="10"/>
      <c r="CL359" s="10"/>
      <c r="CM359" s="10"/>
      <c r="CN359" s="10"/>
      <c r="CO359" s="10"/>
      <c r="CP359" s="10"/>
      <c r="CQ359" s="10"/>
      <c r="CR359" s="10"/>
      <c r="CS359" s="10"/>
      <c r="CT359" s="10"/>
      <c r="CU359" s="10"/>
      <c r="CV359" s="10"/>
      <c r="CW359" s="10"/>
      <c r="CX359" s="10"/>
      <c r="CY359" s="10"/>
      <c r="CZ359" s="10"/>
      <c r="DA359" s="10"/>
      <c r="DB359" s="10"/>
      <c r="DC359" s="10"/>
      <c r="DD359" s="10"/>
      <c r="DE359" s="10"/>
      <c r="DF359" s="10"/>
      <c r="DG359" s="10"/>
      <c r="DH359" s="10"/>
      <c r="DI359" s="10"/>
      <c r="DJ359" s="10"/>
      <c r="DK359" s="10"/>
      <c r="DL359" s="10"/>
      <c r="DM359" s="10"/>
      <c r="DN359" s="10"/>
      <c r="DO359" s="10"/>
      <c r="DP359" s="10"/>
      <c r="DQ359" s="10"/>
      <c r="DR359" s="10"/>
      <c r="DS359" s="10"/>
      <c r="DT359" s="10"/>
      <c r="DU359" s="10"/>
      <c r="DV359" s="10"/>
      <c r="DW359" s="10"/>
      <c r="DX359" s="10"/>
      <c r="DY359" s="10"/>
      <c r="DZ359" s="10"/>
      <c r="EA359" s="10"/>
      <c r="EB359" s="10"/>
      <c r="EC359" s="10"/>
      <c r="ED359" s="10"/>
      <c r="EE359" s="10"/>
      <c r="EF359" s="10"/>
      <c r="EG359" s="10"/>
      <c r="EH359" s="10"/>
      <c r="EI359" s="10"/>
      <c r="EJ359" s="10"/>
      <c r="EK359" s="10"/>
      <c r="EL359" s="10"/>
      <c r="EM359" s="10"/>
      <c r="EN359" s="10"/>
      <c r="EO359" s="10"/>
      <c r="EP359" s="10"/>
      <c r="EQ359" s="10"/>
      <c r="ER359" s="10"/>
      <c r="ES359" s="10"/>
      <c r="ET359" s="10"/>
      <c r="EU359" s="10"/>
      <c r="EV359" s="10"/>
      <c r="EW359" s="10"/>
      <c r="EX359" s="10"/>
      <c r="EY359" s="10"/>
      <c r="EZ359" s="10"/>
      <c r="FA359" s="10"/>
      <c r="FB359" s="10"/>
      <c r="FC359" s="10"/>
      <c r="FD359" s="10"/>
      <c r="FE359" s="10"/>
      <c r="FF359" s="10"/>
      <c r="FG359" s="10"/>
      <c r="FH359" s="10"/>
      <c r="FI359" s="10"/>
      <c r="FJ359" s="10"/>
      <c r="FK359" s="10"/>
      <c r="FL359" s="10"/>
      <c r="FM359" s="10"/>
      <c r="FN359" s="10"/>
      <c r="FO359" s="10"/>
      <c r="FP359" s="10"/>
      <c r="FQ359" s="10"/>
      <c r="FR359" s="10"/>
      <c r="FS359" s="10"/>
      <c r="FT359" s="10"/>
      <c r="FU359" s="10"/>
      <c r="FV359" s="10"/>
      <c r="FW359" s="10"/>
      <c r="FX359" s="10"/>
      <c r="FY359" s="10"/>
      <c r="FZ359" s="10"/>
      <c r="GA359" s="10"/>
      <c r="GB359" s="10"/>
      <c r="GC359" s="10"/>
      <c r="GD359" s="10"/>
      <c r="GE359" s="10"/>
      <c r="GF359" s="10"/>
      <c r="GG359" s="10"/>
      <c r="GH359" s="10"/>
      <c r="GI359" s="10"/>
      <c r="GJ359" s="10"/>
      <c r="GK359" s="10"/>
    </row>
    <row r="360" customFormat="false" ht="12.75" hidden="false" customHeight="false" outlineLevel="0" collapsed="false">
      <c r="A360" s="7"/>
      <c r="B360" s="7"/>
      <c r="C360" s="8"/>
      <c r="D360" s="8"/>
      <c r="E360" s="8"/>
      <c r="F360" s="8"/>
      <c r="G360" s="9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  <c r="BU360" s="10"/>
      <c r="BV360" s="10"/>
      <c r="BW360" s="10"/>
      <c r="BX360" s="10"/>
      <c r="BY360" s="10"/>
      <c r="BZ360" s="10"/>
      <c r="CA360" s="10"/>
      <c r="CB360" s="10"/>
      <c r="CC360" s="10"/>
      <c r="CD360" s="10"/>
      <c r="CE360" s="10"/>
      <c r="CF360" s="10"/>
      <c r="CG360" s="10"/>
      <c r="CH360" s="10"/>
      <c r="CI360" s="10"/>
      <c r="CJ360" s="10"/>
      <c r="CK360" s="10"/>
      <c r="CL360" s="10"/>
      <c r="CM360" s="10"/>
      <c r="CN360" s="10"/>
      <c r="CO360" s="10"/>
      <c r="CP360" s="10"/>
      <c r="CQ360" s="10"/>
      <c r="CR360" s="10"/>
      <c r="CS360" s="10"/>
      <c r="CT360" s="10"/>
      <c r="CU360" s="10"/>
      <c r="CV360" s="10"/>
      <c r="CW360" s="10"/>
      <c r="CX360" s="10"/>
      <c r="CY360" s="10"/>
      <c r="CZ360" s="10"/>
      <c r="DA360" s="10"/>
      <c r="DB360" s="10"/>
      <c r="DC360" s="10"/>
      <c r="DD360" s="10"/>
      <c r="DE360" s="10"/>
      <c r="DF360" s="10"/>
      <c r="DG360" s="10"/>
      <c r="DH360" s="10"/>
      <c r="DI360" s="10"/>
      <c r="DJ360" s="10"/>
      <c r="DK360" s="10"/>
      <c r="DL360" s="10"/>
      <c r="DM360" s="10"/>
      <c r="DN360" s="10"/>
      <c r="DO360" s="10"/>
      <c r="DP360" s="10"/>
      <c r="DQ360" s="10"/>
      <c r="DR360" s="10"/>
      <c r="DS360" s="10"/>
      <c r="DT360" s="10"/>
      <c r="DU360" s="10"/>
      <c r="DV360" s="10"/>
      <c r="DW360" s="10"/>
      <c r="DX360" s="10"/>
      <c r="DY360" s="10"/>
      <c r="DZ360" s="10"/>
      <c r="EA360" s="10"/>
      <c r="EB360" s="10"/>
      <c r="EC360" s="10"/>
      <c r="ED360" s="10"/>
      <c r="EE360" s="10"/>
      <c r="EF360" s="10"/>
      <c r="EG360" s="10"/>
      <c r="EH360" s="10"/>
      <c r="EI360" s="10"/>
      <c r="EJ360" s="10"/>
      <c r="EK360" s="10"/>
      <c r="EL360" s="10"/>
      <c r="EM360" s="10"/>
      <c r="EN360" s="10"/>
      <c r="EO360" s="10"/>
      <c r="EP360" s="10"/>
      <c r="EQ360" s="10"/>
      <c r="ER360" s="10"/>
      <c r="ES360" s="10"/>
      <c r="ET360" s="10"/>
      <c r="EU360" s="10"/>
      <c r="EV360" s="10"/>
      <c r="EW360" s="10"/>
      <c r="EX360" s="10"/>
      <c r="EY360" s="10"/>
      <c r="EZ360" s="10"/>
      <c r="FA360" s="10"/>
      <c r="FB360" s="10"/>
      <c r="FC360" s="10"/>
      <c r="FD360" s="10"/>
      <c r="FE360" s="10"/>
      <c r="FF360" s="10"/>
      <c r="FG360" s="10"/>
      <c r="FH360" s="10"/>
      <c r="FI360" s="10"/>
      <c r="FJ360" s="10"/>
      <c r="FK360" s="10"/>
      <c r="FL360" s="10"/>
      <c r="FM360" s="10"/>
      <c r="FN360" s="10"/>
      <c r="FO360" s="10"/>
      <c r="FP360" s="10"/>
      <c r="FQ360" s="10"/>
      <c r="FR360" s="10"/>
      <c r="FS360" s="10"/>
      <c r="FT360" s="10"/>
      <c r="FU360" s="10"/>
      <c r="FV360" s="10"/>
      <c r="FW360" s="10"/>
      <c r="FX360" s="10"/>
      <c r="FY360" s="10"/>
      <c r="FZ360" s="10"/>
      <c r="GA360" s="10"/>
      <c r="GB360" s="10"/>
      <c r="GC360" s="10"/>
      <c r="GD360" s="10"/>
      <c r="GE360" s="10"/>
      <c r="GF360" s="10"/>
      <c r="GG360" s="10"/>
      <c r="GH360" s="10"/>
      <c r="GI360" s="10"/>
      <c r="GJ360" s="10"/>
      <c r="GK360" s="10"/>
    </row>
    <row r="361" customFormat="false" ht="12.75" hidden="false" customHeight="false" outlineLevel="0" collapsed="false">
      <c r="A361" s="7"/>
      <c r="B361" s="7"/>
      <c r="C361" s="8"/>
      <c r="D361" s="8"/>
      <c r="E361" s="8"/>
      <c r="F361" s="8"/>
      <c r="G361" s="9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10"/>
      <c r="BW361" s="10"/>
      <c r="BX361" s="10"/>
      <c r="BY361" s="10"/>
      <c r="BZ361" s="10"/>
      <c r="CA361" s="10"/>
      <c r="CB361" s="10"/>
      <c r="CC361" s="10"/>
      <c r="CD361" s="10"/>
      <c r="CE361" s="10"/>
      <c r="CF361" s="10"/>
      <c r="CG361" s="10"/>
      <c r="CH361" s="10"/>
      <c r="CI361" s="10"/>
      <c r="CJ361" s="10"/>
      <c r="CK361" s="10"/>
      <c r="CL361" s="10"/>
      <c r="CM361" s="10"/>
      <c r="CN361" s="10"/>
      <c r="CO361" s="10"/>
      <c r="CP361" s="10"/>
      <c r="CQ361" s="10"/>
      <c r="CR361" s="10"/>
      <c r="CS361" s="10"/>
      <c r="CT361" s="10"/>
      <c r="CU361" s="10"/>
      <c r="CV361" s="10"/>
      <c r="CW361" s="10"/>
      <c r="CX361" s="10"/>
      <c r="CY361" s="10"/>
      <c r="CZ361" s="10"/>
      <c r="DA361" s="10"/>
      <c r="DB361" s="10"/>
      <c r="DC361" s="10"/>
      <c r="DD361" s="10"/>
      <c r="DE361" s="10"/>
      <c r="DF361" s="10"/>
      <c r="DG361" s="10"/>
      <c r="DH361" s="10"/>
      <c r="DI361" s="10"/>
      <c r="DJ361" s="10"/>
      <c r="DK361" s="10"/>
      <c r="DL361" s="10"/>
      <c r="DM361" s="10"/>
      <c r="DN361" s="10"/>
      <c r="DO361" s="10"/>
      <c r="DP361" s="10"/>
      <c r="DQ361" s="10"/>
      <c r="DR361" s="10"/>
      <c r="DS361" s="10"/>
      <c r="DT361" s="10"/>
      <c r="DU361" s="10"/>
      <c r="DV361" s="10"/>
      <c r="DW361" s="10"/>
      <c r="DX361" s="10"/>
      <c r="DY361" s="10"/>
      <c r="DZ361" s="10"/>
      <c r="EA361" s="10"/>
      <c r="EB361" s="10"/>
      <c r="EC361" s="10"/>
      <c r="ED361" s="10"/>
      <c r="EE361" s="10"/>
      <c r="EF361" s="10"/>
      <c r="EG361" s="10"/>
      <c r="EH361" s="10"/>
      <c r="EI361" s="10"/>
      <c r="EJ361" s="10"/>
      <c r="EK361" s="10"/>
      <c r="EL361" s="10"/>
      <c r="EM361" s="10"/>
      <c r="EN361" s="10"/>
      <c r="EO361" s="10"/>
      <c r="EP361" s="10"/>
      <c r="EQ361" s="10"/>
      <c r="ER361" s="10"/>
      <c r="ES361" s="10"/>
      <c r="ET361" s="10"/>
      <c r="EU361" s="10"/>
      <c r="EV361" s="10"/>
      <c r="EW361" s="10"/>
      <c r="EX361" s="10"/>
      <c r="EY361" s="10"/>
      <c r="EZ361" s="10"/>
      <c r="FA361" s="10"/>
      <c r="FB361" s="10"/>
      <c r="FC361" s="10"/>
      <c r="FD361" s="10"/>
      <c r="FE361" s="10"/>
      <c r="FF361" s="10"/>
      <c r="FG361" s="10"/>
      <c r="FH361" s="10"/>
      <c r="FI361" s="10"/>
      <c r="FJ361" s="10"/>
      <c r="FK361" s="10"/>
      <c r="FL361" s="10"/>
      <c r="FM361" s="10"/>
      <c r="FN361" s="10"/>
      <c r="FO361" s="10"/>
      <c r="FP361" s="10"/>
      <c r="FQ361" s="10"/>
      <c r="FR361" s="10"/>
      <c r="FS361" s="10"/>
      <c r="FT361" s="10"/>
      <c r="FU361" s="10"/>
      <c r="FV361" s="10"/>
      <c r="FW361" s="10"/>
      <c r="FX361" s="10"/>
      <c r="FY361" s="10"/>
      <c r="FZ361" s="10"/>
      <c r="GA361" s="10"/>
      <c r="GB361" s="10"/>
      <c r="GC361" s="10"/>
      <c r="GD361" s="10"/>
      <c r="GE361" s="10"/>
      <c r="GF361" s="10"/>
      <c r="GG361" s="10"/>
      <c r="GH361" s="10"/>
      <c r="GI361" s="10"/>
      <c r="GJ361" s="10"/>
      <c r="GK361" s="10"/>
    </row>
    <row r="362" customFormat="false" ht="12.75" hidden="false" customHeight="false" outlineLevel="0" collapsed="false">
      <c r="A362" s="7"/>
      <c r="B362" s="7"/>
      <c r="C362" s="8"/>
      <c r="D362" s="8"/>
      <c r="E362" s="8"/>
      <c r="F362" s="8"/>
      <c r="G362" s="9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  <c r="BU362" s="10"/>
      <c r="BV362" s="10"/>
      <c r="BW362" s="10"/>
      <c r="BX362" s="10"/>
      <c r="BY362" s="10"/>
      <c r="BZ362" s="10"/>
      <c r="CA362" s="10"/>
      <c r="CB362" s="10"/>
      <c r="CC362" s="10"/>
      <c r="CD362" s="10"/>
      <c r="CE362" s="10"/>
      <c r="CF362" s="10"/>
      <c r="CG362" s="10"/>
      <c r="CH362" s="10"/>
      <c r="CI362" s="10"/>
      <c r="CJ362" s="10"/>
      <c r="CK362" s="10"/>
      <c r="CL362" s="10"/>
      <c r="CM362" s="10"/>
      <c r="CN362" s="10"/>
      <c r="CO362" s="10"/>
      <c r="CP362" s="10"/>
      <c r="CQ362" s="10"/>
      <c r="CR362" s="10"/>
      <c r="CS362" s="10"/>
      <c r="CT362" s="10"/>
      <c r="CU362" s="10"/>
      <c r="CV362" s="10"/>
      <c r="CW362" s="10"/>
      <c r="CX362" s="10"/>
      <c r="CY362" s="10"/>
      <c r="CZ362" s="10"/>
      <c r="DA362" s="10"/>
      <c r="DB362" s="10"/>
      <c r="DC362" s="10"/>
      <c r="DD362" s="10"/>
      <c r="DE362" s="10"/>
      <c r="DF362" s="10"/>
      <c r="DG362" s="10"/>
      <c r="DH362" s="10"/>
      <c r="DI362" s="10"/>
      <c r="DJ362" s="10"/>
      <c r="DK362" s="10"/>
      <c r="DL362" s="10"/>
      <c r="DM362" s="10"/>
      <c r="DN362" s="10"/>
      <c r="DO362" s="10"/>
      <c r="DP362" s="10"/>
      <c r="DQ362" s="10"/>
      <c r="DR362" s="10"/>
      <c r="DS362" s="10"/>
      <c r="DT362" s="10"/>
      <c r="DU362" s="10"/>
      <c r="DV362" s="10"/>
      <c r="DW362" s="10"/>
      <c r="DX362" s="10"/>
      <c r="DY362" s="10"/>
      <c r="DZ362" s="10"/>
      <c r="EA362" s="10"/>
      <c r="EB362" s="10"/>
      <c r="EC362" s="10"/>
      <c r="ED362" s="10"/>
      <c r="EE362" s="10"/>
      <c r="EF362" s="10"/>
      <c r="EG362" s="10"/>
      <c r="EH362" s="10"/>
      <c r="EI362" s="10"/>
      <c r="EJ362" s="10"/>
      <c r="EK362" s="10"/>
      <c r="EL362" s="10"/>
      <c r="EM362" s="10"/>
      <c r="EN362" s="10"/>
      <c r="EO362" s="10"/>
      <c r="EP362" s="10"/>
      <c r="EQ362" s="10"/>
      <c r="ER362" s="10"/>
      <c r="ES362" s="10"/>
      <c r="ET362" s="10"/>
      <c r="EU362" s="10"/>
      <c r="EV362" s="10"/>
      <c r="EW362" s="10"/>
      <c r="EX362" s="10"/>
      <c r="EY362" s="10"/>
      <c r="EZ362" s="10"/>
      <c r="FA362" s="10"/>
      <c r="FB362" s="10"/>
      <c r="FC362" s="10"/>
      <c r="FD362" s="10"/>
      <c r="FE362" s="10"/>
      <c r="FF362" s="10"/>
      <c r="FG362" s="10"/>
      <c r="FH362" s="10"/>
      <c r="FI362" s="10"/>
      <c r="FJ362" s="10"/>
      <c r="FK362" s="10"/>
      <c r="FL362" s="10"/>
      <c r="FM362" s="10"/>
      <c r="FN362" s="10"/>
      <c r="FO362" s="10"/>
      <c r="FP362" s="10"/>
      <c r="FQ362" s="10"/>
      <c r="FR362" s="10"/>
      <c r="FS362" s="10"/>
      <c r="FT362" s="10"/>
      <c r="FU362" s="10"/>
      <c r="FV362" s="10"/>
      <c r="FW362" s="10"/>
      <c r="FX362" s="10"/>
      <c r="FY362" s="10"/>
      <c r="FZ362" s="10"/>
      <c r="GA362" s="10"/>
      <c r="GB362" s="10"/>
      <c r="GC362" s="10"/>
      <c r="GD362" s="10"/>
      <c r="GE362" s="10"/>
      <c r="GF362" s="10"/>
      <c r="GG362" s="10"/>
      <c r="GH362" s="10"/>
      <c r="GI362" s="10"/>
      <c r="GJ362" s="10"/>
      <c r="GK362" s="10"/>
    </row>
    <row r="363" customFormat="false" ht="12.75" hidden="false" customHeight="false" outlineLevel="0" collapsed="false">
      <c r="A363" s="7"/>
      <c r="B363" s="7"/>
      <c r="C363" s="8"/>
      <c r="D363" s="8"/>
      <c r="E363" s="8"/>
      <c r="F363" s="8"/>
      <c r="G363" s="9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  <c r="BV363" s="10"/>
      <c r="BW363" s="10"/>
      <c r="BX363" s="10"/>
      <c r="BY363" s="10"/>
      <c r="BZ363" s="10"/>
      <c r="CA363" s="10"/>
      <c r="CB363" s="10"/>
      <c r="CC363" s="10"/>
      <c r="CD363" s="10"/>
      <c r="CE363" s="10"/>
      <c r="CF363" s="10"/>
      <c r="CG363" s="10"/>
      <c r="CH363" s="10"/>
      <c r="CI363" s="10"/>
      <c r="CJ363" s="10"/>
      <c r="CK363" s="10"/>
      <c r="CL363" s="10"/>
      <c r="CM363" s="10"/>
      <c r="CN363" s="10"/>
      <c r="CO363" s="10"/>
      <c r="CP363" s="10"/>
      <c r="CQ363" s="10"/>
      <c r="CR363" s="10"/>
      <c r="CS363" s="10"/>
      <c r="CT363" s="10"/>
      <c r="CU363" s="10"/>
      <c r="CV363" s="10"/>
      <c r="CW363" s="10"/>
      <c r="CX363" s="10"/>
      <c r="CY363" s="10"/>
      <c r="CZ363" s="10"/>
      <c r="DA363" s="10"/>
      <c r="DB363" s="10"/>
      <c r="DC363" s="10"/>
      <c r="DD363" s="10"/>
      <c r="DE363" s="10"/>
      <c r="DF363" s="10"/>
      <c r="DG363" s="10"/>
      <c r="DH363" s="10"/>
      <c r="DI363" s="10"/>
      <c r="DJ363" s="10"/>
      <c r="DK363" s="10"/>
      <c r="DL363" s="10"/>
      <c r="DM363" s="10"/>
      <c r="DN363" s="10"/>
      <c r="DO363" s="10"/>
      <c r="DP363" s="10"/>
      <c r="DQ363" s="10"/>
      <c r="DR363" s="10"/>
      <c r="DS363" s="10"/>
      <c r="DT363" s="10"/>
      <c r="DU363" s="10"/>
      <c r="DV363" s="10"/>
      <c r="DW363" s="10"/>
      <c r="DX363" s="10"/>
      <c r="DY363" s="10"/>
      <c r="DZ363" s="10"/>
      <c r="EA363" s="10"/>
      <c r="EB363" s="10"/>
      <c r="EC363" s="10"/>
      <c r="ED363" s="10"/>
      <c r="EE363" s="10"/>
      <c r="EF363" s="10"/>
      <c r="EG363" s="10"/>
      <c r="EH363" s="10"/>
      <c r="EI363" s="10"/>
      <c r="EJ363" s="10"/>
      <c r="EK363" s="10"/>
      <c r="EL363" s="10"/>
      <c r="EM363" s="10"/>
      <c r="EN363" s="10"/>
      <c r="EO363" s="10"/>
      <c r="EP363" s="10"/>
      <c r="EQ363" s="10"/>
      <c r="ER363" s="10"/>
      <c r="ES363" s="10"/>
      <c r="ET363" s="10"/>
      <c r="EU363" s="10"/>
      <c r="EV363" s="10"/>
      <c r="EW363" s="10"/>
      <c r="EX363" s="10"/>
      <c r="EY363" s="10"/>
      <c r="EZ363" s="10"/>
      <c r="FA363" s="10"/>
      <c r="FB363" s="10"/>
      <c r="FC363" s="10"/>
      <c r="FD363" s="10"/>
      <c r="FE363" s="10"/>
      <c r="FF363" s="10"/>
      <c r="FG363" s="10"/>
      <c r="FH363" s="10"/>
      <c r="FI363" s="10"/>
      <c r="FJ363" s="10"/>
      <c r="FK363" s="10"/>
      <c r="FL363" s="10"/>
      <c r="FM363" s="10"/>
      <c r="FN363" s="10"/>
      <c r="FO363" s="10"/>
      <c r="FP363" s="10"/>
      <c r="FQ363" s="10"/>
      <c r="FR363" s="10"/>
      <c r="FS363" s="10"/>
      <c r="FT363" s="10"/>
      <c r="FU363" s="10"/>
      <c r="FV363" s="10"/>
      <c r="FW363" s="10"/>
      <c r="FX363" s="10"/>
      <c r="FY363" s="10"/>
      <c r="FZ363" s="10"/>
      <c r="GA363" s="10"/>
      <c r="GB363" s="10"/>
      <c r="GC363" s="10"/>
      <c r="GD363" s="10"/>
      <c r="GE363" s="10"/>
      <c r="GF363" s="10"/>
      <c r="GG363" s="10"/>
      <c r="GH363" s="10"/>
      <c r="GI363" s="10"/>
      <c r="GJ363" s="10"/>
      <c r="GK363" s="10"/>
    </row>
    <row r="364" customFormat="false" ht="12.75" hidden="false" customHeight="false" outlineLevel="0" collapsed="false">
      <c r="A364" s="7"/>
      <c r="B364" s="7"/>
      <c r="C364" s="8"/>
      <c r="D364" s="8"/>
      <c r="E364" s="8"/>
      <c r="F364" s="8"/>
      <c r="G364" s="9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  <c r="CF364" s="10"/>
      <c r="CG364" s="10"/>
      <c r="CH364" s="10"/>
      <c r="CI364" s="10"/>
      <c r="CJ364" s="10"/>
      <c r="CK364" s="10"/>
      <c r="CL364" s="10"/>
      <c r="CM364" s="10"/>
      <c r="CN364" s="10"/>
      <c r="CO364" s="10"/>
      <c r="CP364" s="10"/>
      <c r="CQ364" s="10"/>
      <c r="CR364" s="10"/>
      <c r="CS364" s="10"/>
      <c r="CT364" s="10"/>
      <c r="CU364" s="10"/>
      <c r="CV364" s="10"/>
      <c r="CW364" s="10"/>
      <c r="CX364" s="10"/>
      <c r="CY364" s="10"/>
      <c r="CZ364" s="10"/>
      <c r="DA364" s="10"/>
      <c r="DB364" s="10"/>
      <c r="DC364" s="10"/>
      <c r="DD364" s="10"/>
      <c r="DE364" s="10"/>
      <c r="DF364" s="10"/>
      <c r="DG364" s="10"/>
      <c r="DH364" s="10"/>
      <c r="DI364" s="10"/>
      <c r="DJ364" s="10"/>
      <c r="DK364" s="10"/>
      <c r="DL364" s="10"/>
      <c r="DM364" s="10"/>
      <c r="DN364" s="10"/>
      <c r="DO364" s="10"/>
      <c r="DP364" s="10"/>
      <c r="DQ364" s="10"/>
      <c r="DR364" s="10"/>
      <c r="DS364" s="10"/>
      <c r="DT364" s="10"/>
      <c r="DU364" s="10"/>
      <c r="DV364" s="10"/>
      <c r="DW364" s="10"/>
      <c r="DX364" s="10"/>
      <c r="DY364" s="10"/>
      <c r="DZ364" s="10"/>
      <c r="EA364" s="10"/>
      <c r="EB364" s="10"/>
      <c r="EC364" s="10"/>
      <c r="ED364" s="10"/>
      <c r="EE364" s="10"/>
      <c r="EF364" s="10"/>
      <c r="EG364" s="10"/>
      <c r="EH364" s="10"/>
      <c r="EI364" s="10"/>
      <c r="EJ364" s="10"/>
      <c r="EK364" s="10"/>
      <c r="EL364" s="10"/>
      <c r="EM364" s="10"/>
      <c r="EN364" s="10"/>
      <c r="EO364" s="10"/>
      <c r="EP364" s="10"/>
      <c r="EQ364" s="10"/>
      <c r="ER364" s="10"/>
      <c r="ES364" s="10"/>
      <c r="ET364" s="10"/>
      <c r="EU364" s="10"/>
      <c r="EV364" s="10"/>
      <c r="EW364" s="10"/>
      <c r="EX364" s="10"/>
      <c r="EY364" s="10"/>
      <c r="EZ364" s="10"/>
      <c r="FA364" s="10"/>
      <c r="FB364" s="10"/>
      <c r="FC364" s="10"/>
      <c r="FD364" s="10"/>
      <c r="FE364" s="10"/>
      <c r="FF364" s="10"/>
      <c r="FG364" s="10"/>
      <c r="FH364" s="10"/>
      <c r="FI364" s="10"/>
      <c r="FJ364" s="10"/>
      <c r="FK364" s="10"/>
      <c r="FL364" s="10"/>
      <c r="FM364" s="10"/>
      <c r="FN364" s="10"/>
      <c r="FO364" s="10"/>
      <c r="FP364" s="10"/>
      <c r="FQ364" s="10"/>
      <c r="FR364" s="10"/>
      <c r="FS364" s="10"/>
      <c r="FT364" s="10"/>
      <c r="FU364" s="10"/>
      <c r="FV364" s="10"/>
      <c r="FW364" s="10"/>
      <c r="FX364" s="10"/>
      <c r="FY364" s="10"/>
      <c r="FZ364" s="10"/>
      <c r="GA364" s="10"/>
      <c r="GB364" s="10"/>
      <c r="GC364" s="10"/>
      <c r="GD364" s="10"/>
      <c r="GE364" s="10"/>
      <c r="GF364" s="10"/>
      <c r="GG364" s="10"/>
      <c r="GH364" s="10"/>
      <c r="GI364" s="10"/>
      <c r="GJ364" s="10"/>
      <c r="GK364" s="10"/>
    </row>
    <row r="365" customFormat="false" ht="12.75" hidden="false" customHeight="false" outlineLevel="0" collapsed="false">
      <c r="A365" s="7"/>
      <c r="B365" s="7"/>
      <c r="C365" s="8"/>
      <c r="D365" s="8"/>
      <c r="E365" s="8"/>
      <c r="F365" s="8"/>
      <c r="G365" s="9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  <c r="CD365" s="10"/>
      <c r="CE365" s="10"/>
      <c r="CF365" s="10"/>
      <c r="CG365" s="10"/>
      <c r="CH365" s="10"/>
      <c r="CI365" s="10"/>
      <c r="CJ365" s="10"/>
      <c r="CK365" s="10"/>
      <c r="CL365" s="10"/>
      <c r="CM365" s="10"/>
      <c r="CN365" s="10"/>
      <c r="CO365" s="10"/>
      <c r="CP365" s="10"/>
      <c r="CQ365" s="10"/>
      <c r="CR365" s="10"/>
      <c r="CS365" s="10"/>
      <c r="CT365" s="10"/>
      <c r="CU365" s="10"/>
      <c r="CV365" s="10"/>
      <c r="CW365" s="10"/>
      <c r="CX365" s="10"/>
      <c r="CY365" s="10"/>
      <c r="CZ365" s="10"/>
      <c r="DA365" s="10"/>
      <c r="DB365" s="10"/>
      <c r="DC365" s="10"/>
      <c r="DD365" s="10"/>
      <c r="DE365" s="10"/>
      <c r="DF365" s="10"/>
      <c r="DG365" s="10"/>
      <c r="DH365" s="10"/>
      <c r="DI365" s="10"/>
      <c r="DJ365" s="10"/>
      <c r="DK365" s="10"/>
      <c r="DL365" s="10"/>
      <c r="DM365" s="10"/>
      <c r="DN365" s="10"/>
      <c r="DO365" s="10"/>
      <c r="DP365" s="10"/>
      <c r="DQ365" s="10"/>
      <c r="DR365" s="10"/>
      <c r="DS365" s="10"/>
      <c r="DT365" s="10"/>
      <c r="DU365" s="10"/>
      <c r="DV365" s="10"/>
      <c r="DW365" s="10"/>
      <c r="DX365" s="10"/>
      <c r="DY365" s="10"/>
      <c r="DZ365" s="10"/>
      <c r="EA365" s="10"/>
      <c r="EB365" s="10"/>
      <c r="EC365" s="10"/>
      <c r="ED365" s="10"/>
      <c r="EE365" s="10"/>
      <c r="EF365" s="10"/>
      <c r="EG365" s="10"/>
      <c r="EH365" s="10"/>
      <c r="EI365" s="10"/>
      <c r="EJ365" s="10"/>
      <c r="EK365" s="10"/>
      <c r="EL365" s="10"/>
      <c r="EM365" s="10"/>
      <c r="EN365" s="10"/>
      <c r="EO365" s="10"/>
      <c r="EP365" s="10"/>
      <c r="EQ365" s="10"/>
      <c r="ER365" s="10"/>
      <c r="ES365" s="10"/>
      <c r="ET365" s="10"/>
      <c r="EU365" s="10"/>
      <c r="EV365" s="10"/>
      <c r="EW365" s="10"/>
      <c r="EX365" s="10"/>
      <c r="EY365" s="10"/>
      <c r="EZ365" s="10"/>
      <c r="FA365" s="10"/>
      <c r="FB365" s="10"/>
      <c r="FC365" s="10"/>
      <c r="FD365" s="10"/>
      <c r="FE365" s="10"/>
      <c r="FF365" s="10"/>
      <c r="FG365" s="10"/>
      <c r="FH365" s="10"/>
      <c r="FI365" s="10"/>
      <c r="FJ365" s="10"/>
      <c r="FK365" s="10"/>
      <c r="FL365" s="10"/>
      <c r="FM365" s="10"/>
      <c r="FN365" s="10"/>
      <c r="FO365" s="10"/>
      <c r="FP365" s="10"/>
      <c r="FQ365" s="10"/>
      <c r="FR365" s="10"/>
      <c r="FS365" s="10"/>
      <c r="FT365" s="10"/>
      <c r="FU365" s="10"/>
      <c r="FV365" s="10"/>
      <c r="FW365" s="10"/>
      <c r="FX365" s="10"/>
      <c r="FY365" s="10"/>
      <c r="FZ365" s="10"/>
      <c r="GA365" s="10"/>
      <c r="GB365" s="10"/>
      <c r="GC365" s="10"/>
      <c r="GD365" s="10"/>
      <c r="GE365" s="10"/>
      <c r="GF365" s="10"/>
      <c r="GG365" s="10"/>
      <c r="GH365" s="10"/>
      <c r="GI365" s="10"/>
      <c r="GJ365" s="10"/>
      <c r="GK365" s="10"/>
    </row>
    <row r="366" customFormat="false" ht="12.75" hidden="false" customHeight="false" outlineLevel="0" collapsed="false">
      <c r="A366" s="7"/>
      <c r="B366" s="7"/>
      <c r="C366" s="8"/>
      <c r="D366" s="8"/>
      <c r="E366" s="8"/>
      <c r="F366" s="8"/>
      <c r="G366" s="9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  <c r="BV366" s="10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  <c r="EM366" s="10"/>
      <c r="EN366" s="10"/>
      <c r="EO366" s="10"/>
      <c r="EP366" s="10"/>
      <c r="EQ366" s="10"/>
      <c r="ER366" s="10"/>
      <c r="ES366" s="10"/>
      <c r="ET366" s="10"/>
      <c r="EU366" s="10"/>
      <c r="EV366" s="10"/>
      <c r="EW366" s="10"/>
      <c r="EX366" s="10"/>
      <c r="EY366" s="10"/>
      <c r="EZ366" s="10"/>
      <c r="FA366" s="10"/>
      <c r="FB366" s="10"/>
      <c r="FC366" s="10"/>
      <c r="FD366" s="10"/>
      <c r="FE366" s="10"/>
      <c r="FF366" s="10"/>
      <c r="FG366" s="10"/>
      <c r="FH366" s="10"/>
      <c r="FI366" s="10"/>
      <c r="FJ366" s="10"/>
      <c r="FK366" s="10"/>
      <c r="FL366" s="10"/>
      <c r="FM366" s="10"/>
      <c r="FN366" s="10"/>
      <c r="FO366" s="10"/>
      <c r="FP366" s="10"/>
      <c r="FQ366" s="10"/>
      <c r="FR366" s="10"/>
      <c r="FS366" s="10"/>
      <c r="FT366" s="10"/>
      <c r="FU366" s="10"/>
      <c r="FV366" s="10"/>
      <c r="FW366" s="10"/>
      <c r="FX366" s="10"/>
      <c r="FY366" s="10"/>
      <c r="FZ366" s="10"/>
      <c r="GA366" s="10"/>
      <c r="GB366" s="10"/>
      <c r="GC366" s="10"/>
      <c r="GD366" s="10"/>
      <c r="GE366" s="10"/>
      <c r="GF366" s="10"/>
      <c r="GG366" s="10"/>
      <c r="GH366" s="10"/>
      <c r="GI366" s="10"/>
      <c r="GJ366" s="10"/>
      <c r="GK366" s="10"/>
    </row>
    <row r="367" customFormat="false" ht="12.75" hidden="false" customHeight="false" outlineLevel="0" collapsed="false">
      <c r="A367" s="7"/>
      <c r="B367" s="7"/>
      <c r="C367" s="8"/>
      <c r="D367" s="8"/>
      <c r="E367" s="8"/>
      <c r="F367" s="8"/>
      <c r="G367" s="9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  <c r="BV367" s="10"/>
      <c r="BW367" s="10"/>
      <c r="BX367" s="10"/>
      <c r="BY367" s="10"/>
      <c r="BZ367" s="10"/>
      <c r="CA367" s="10"/>
      <c r="CB367" s="10"/>
      <c r="CC367" s="10"/>
      <c r="CD367" s="10"/>
      <c r="CE367" s="10"/>
      <c r="CF367" s="10"/>
      <c r="CG367" s="10"/>
      <c r="CH367" s="10"/>
      <c r="CI367" s="10"/>
      <c r="CJ367" s="10"/>
      <c r="CK367" s="10"/>
      <c r="CL367" s="10"/>
      <c r="CM367" s="10"/>
      <c r="CN367" s="10"/>
      <c r="CO367" s="10"/>
      <c r="CP367" s="10"/>
      <c r="CQ367" s="10"/>
      <c r="CR367" s="10"/>
      <c r="CS367" s="10"/>
      <c r="CT367" s="10"/>
      <c r="CU367" s="10"/>
      <c r="CV367" s="10"/>
      <c r="CW367" s="10"/>
      <c r="CX367" s="10"/>
      <c r="CY367" s="10"/>
      <c r="CZ367" s="10"/>
      <c r="DA367" s="10"/>
      <c r="DB367" s="10"/>
      <c r="DC367" s="10"/>
      <c r="DD367" s="10"/>
      <c r="DE367" s="10"/>
      <c r="DF367" s="10"/>
      <c r="DG367" s="10"/>
      <c r="DH367" s="10"/>
      <c r="DI367" s="10"/>
      <c r="DJ367" s="10"/>
      <c r="DK367" s="10"/>
      <c r="DL367" s="10"/>
      <c r="DM367" s="10"/>
      <c r="DN367" s="10"/>
      <c r="DO367" s="10"/>
      <c r="DP367" s="10"/>
      <c r="DQ367" s="10"/>
      <c r="DR367" s="10"/>
      <c r="DS367" s="10"/>
      <c r="DT367" s="10"/>
      <c r="DU367" s="10"/>
      <c r="DV367" s="10"/>
      <c r="DW367" s="10"/>
      <c r="DX367" s="10"/>
      <c r="DY367" s="10"/>
      <c r="DZ367" s="10"/>
      <c r="EA367" s="10"/>
      <c r="EB367" s="10"/>
      <c r="EC367" s="10"/>
      <c r="ED367" s="10"/>
      <c r="EE367" s="10"/>
      <c r="EF367" s="10"/>
      <c r="EG367" s="10"/>
      <c r="EH367" s="10"/>
      <c r="EI367" s="10"/>
      <c r="EJ367" s="10"/>
      <c r="EK367" s="10"/>
      <c r="EL367" s="10"/>
      <c r="EM367" s="10"/>
      <c r="EN367" s="10"/>
      <c r="EO367" s="10"/>
      <c r="EP367" s="10"/>
      <c r="EQ367" s="10"/>
      <c r="ER367" s="10"/>
      <c r="ES367" s="10"/>
      <c r="ET367" s="10"/>
      <c r="EU367" s="10"/>
      <c r="EV367" s="10"/>
      <c r="EW367" s="10"/>
      <c r="EX367" s="10"/>
      <c r="EY367" s="10"/>
      <c r="EZ367" s="10"/>
      <c r="FA367" s="10"/>
      <c r="FB367" s="10"/>
      <c r="FC367" s="10"/>
      <c r="FD367" s="10"/>
      <c r="FE367" s="10"/>
      <c r="FF367" s="10"/>
      <c r="FG367" s="10"/>
      <c r="FH367" s="10"/>
      <c r="FI367" s="10"/>
      <c r="FJ367" s="10"/>
      <c r="FK367" s="10"/>
      <c r="FL367" s="10"/>
      <c r="FM367" s="10"/>
      <c r="FN367" s="10"/>
      <c r="FO367" s="10"/>
      <c r="FP367" s="10"/>
      <c r="FQ367" s="10"/>
      <c r="FR367" s="10"/>
      <c r="FS367" s="10"/>
      <c r="FT367" s="10"/>
      <c r="FU367" s="10"/>
      <c r="FV367" s="10"/>
      <c r="FW367" s="10"/>
      <c r="FX367" s="10"/>
      <c r="FY367" s="10"/>
      <c r="FZ367" s="10"/>
      <c r="GA367" s="10"/>
      <c r="GB367" s="10"/>
      <c r="GC367" s="10"/>
      <c r="GD367" s="10"/>
      <c r="GE367" s="10"/>
      <c r="GF367" s="10"/>
      <c r="GG367" s="10"/>
      <c r="GH367" s="10"/>
      <c r="GI367" s="10"/>
      <c r="GJ367" s="10"/>
      <c r="GK367" s="10"/>
    </row>
    <row r="368" customFormat="false" ht="12.75" hidden="false" customHeight="false" outlineLevel="0" collapsed="false">
      <c r="A368" s="7"/>
      <c r="B368" s="7"/>
      <c r="C368" s="8"/>
      <c r="D368" s="8"/>
      <c r="E368" s="8"/>
      <c r="F368" s="8"/>
      <c r="G368" s="9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/>
      <c r="BZ368" s="10"/>
      <c r="CA368" s="10"/>
      <c r="CB368" s="10"/>
      <c r="CC368" s="10"/>
      <c r="CD368" s="10"/>
      <c r="CE368" s="10"/>
      <c r="CF368" s="10"/>
      <c r="CG368" s="10"/>
      <c r="CH368" s="10"/>
      <c r="CI368" s="10"/>
      <c r="CJ368" s="10"/>
      <c r="CK368" s="10"/>
      <c r="CL368" s="10"/>
      <c r="CM368" s="10"/>
      <c r="CN368" s="10"/>
      <c r="CO368" s="10"/>
      <c r="CP368" s="10"/>
      <c r="CQ368" s="10"/>
      <c r="CR368" s="10"/>
      <c r="CS368" s="10"/>
      <c r="CT368" s="10"/>
      <c r="CU368" s="10"/>
      <c r="CV368" s="10"/>
      <c r="CW368" s="10"/>
      <c r="CX368" s="10"/>
      <c r="CY368" s="10"/>
      <c r="CZ368" s="10"/>
      <c r="DA368" s="10"/>
      <c r="DB368" s="10"/>
      <c r="DC368" s="10"/>
      <c r="DD368" s="10"/>
      <c r="DE368" s="10"/>
      <c r="DF368" s="10"/>
      <c r="DG368" s="10"/>
      <c r="DH368" s="10"/>
      <c r="DI368" s="10"/>
      <c r="DJ368" s="10"/>
      <c r="DK368" s="10"/>
      <c r="DL368" s="10"/>
      <c r="DM368" s="10"/>
      <c r="DN368" s="10"/>
      <c r="DO368" s="10"/>
      <c r="DP368" s="10"/>
      <c r="DQ368" s="10"/>
      <c r="DR368" s="10"/>
      <c r="DS368" s="10"/>
      <c r="DT368" s="10"/>
      <c r="DU368" s="10"/>
      <c r="DV368" s="10"/>
      <c r="DW368" s="10"/>
      <c r="DX368" s="10"/>
      <c r="DY368" s="10"/>
      <c r="DZ368" s="10"/>
      <c r="EA368" s="10"/>
      <c r="EB368" s="10"/>
      <c r="EC368" s="10"/>
      <c r="ED368" s="10"/>
      <c r="EE368" s="10"/>
      <c r="EF368" s="10"/>
      <c r="EG368" s="10"/>
      <c r="EH368" s="10"/>
      <c r="EI368" s="10"/>
      <c r="EJ368" s="10"/>
      <c r="EK368" s="10"/>
      <c r="EL368" s="10"/>
      <c r="EM368" s="10"/>
      <c r="EN368" s="10"/>
      <c r="EO368" s="10"/>
      <c r="EP368" s="10"/>
      <c r="EQ368" s="10"/>
      <c r="ER368" s="10"/>
      <c r="ES368" s="10"/>
      <c r="ET368" s="10"/>
      <c r="EU368" s="10"/>
      <c r="EV368" s="10"/>
      <c r="EW368" s="10"/>
      <c r="EX368" s="10"/>
      <c r="EY368" s="10"/>
      <c r="EZ368" s="10"/>
      <c r="FA368" s="10"/>
      <c r="FB368" s="10"/>
      <c r="FC368" s="10"/>
      <c r="FD368" s="10"/>
      <c r="FE368" s="10"/>
      <c r="FF368" s="10"/>
      <c r="FG368" s="10"/>
      <c r="FH368" s="10"/>
      <c r="FI368" s="10"/>
      <c r="FJ368" s="10"/>
      <c r="FK368" s="10"/>
      <c r="FL368" s="10"/>
      <c r="FM368" s="10"/>
      <c r="FN368" s="10"/>
      <c r="FO368" s="10"/>
      <c r="FP368" s="10"/>
      <c r="FQ368" s="10"/>
      <c r="FR368" s="10"/>
      <c r="FS368" s="10"/>
      <c r="FT368" s="10"/>
      <c r="FU368" s="10"/>
      <c r="FV368" s="10"/>
      <c r="FW368" s="10"/>
      <c r="FX368" s="10"/>
      <c r="FY368" s="10"/>
      <c r="FZ368" s="10"/>
      <c r="GA368" s="10"/>
      <c r="GB368" s="10"/>
      <c r="GC368" s="10"/>
      <c r="GD368" s="10"/>
      <c r="GE368" s="10"/>
      <c r="GF368" s="10"/>
      <c r="GG368" s="10"/>
      <c r="GH368" s="10"/>
      <c r="GI368" s="10"/>
      <c r="GJ368" s="10"/>
      <c r="GK368" s="10"/>
    </row>
    <row r="369" customFormat="false" ht="12.75" hidden="false" customHeight="false" outlineLevel="0" collapsed="false">
      <c r="A369" s="7"/>
      <c r="B369" s="7"/>
      <c r="C369" s="8"/>
      <c r="D369" s="8"/>
      <c r="E369" s="8"/>
      <c r="F369" s="8"/>
      <c r="G369" s="9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  <c r="BV369" s="10"/>
      <c r="BW369" s="10"/>
      <c r="BX369" s="10"/>
      <c r="BY369" s="10"/>
      <c r="BZ369" s="10"/>
      <c r="CA369" s="10"/>
      <c r="CB369" s="10"/>
      <c r="CC369" s="10"/>
      <c r="CD369" s="10"/>
      <c r="CE369" s="10"/>
      <c r="CF369" s="10"/>
      <c r="CG369" s="10"/>
      <c r="CH369" s="10"/>
      <c r="CI369" s="10"/>
      <c r="CJ369" s="10"/>
      <c r="CK369" s="10"/>
      <c r="CL369" s="10"/>
      <c r="CM369" s="10"/>
      <c r="CN369" s="10"/>
      <c r="CO369" s="10"/>
      <c r="CP369" s="10"/>
      <c r="CQ369" s="10"/>
      <c r="CR369" s="10"/>
      <c r="CS369" s="10"/>
      <c r="CT369" s="10"/>
      <c r="CU369" s="10"/>
      <c r="CV369" s="10"/>
      <c r="CW369" s="10"/>
      <c r="CX369" s="10"/>
      <c r="CY369" s="10"/>
      <c r="CZ369" s="10"/>
      <c r="DA369" s="10"/>
      <c r="DB369" s="10"/>
      <c r="DC369" s="10"/>
      <c r="DD369" s="10"/>
      <c r="DE369" s="10"/>
      <c r="DF369" s="10"/>
      <c r="DG369" s="10"/>
      <c r="DH369" s="10"/>
      <c r="DI369" s="10"/>
      <c r="DJ369" s="10"/>
      <c r="DK369" s="10"/>
      <c r="DL369" s="10"/>
      <c r="DM369" s="10"/>
      <c r="DN369" s="10"/>
      <c r="DO369" s="10"/>
      <c r="DP369" s="10"/>
      <c r="DQ369" s="10"/>
      <c r="DR369" s="10"/>
      <c r="DS369" s="10"/>
      <c r="DT369" s="10"/>
      <c r="DU369" s="10"/>
      <c r="DV369" s="10"/>
      <c r="DW369" s="10"/>
      <c r="DX369" s="10"/>
      <c r="DY369" s="10"/>
      <c r="DZ369" s="10"/>
      <c r="EA369" s="10"/>
      <c r="EB369" s="10"/>
      <c r="EC369" s="10"/>
      <c r="ED369" s="10"/>
      <c r="EE369" s="10"/>
      <c r="EF369" s="10"/>
      <c r="EG369" s="10"/>
      <c r="EH369" s="10"/>
      <c r="EI369" s="10"/>
      <c r="EJ369" s="10"/>
      <c r="EK369" s="10"/>
      <c r="EL369" s="10"/>
      <c r="EM369" s="10"/>
      <c r="EN369" s="10"/>
      <c r="EO369" s="10"/>
      <c r="EP369" s="10"/>
      <c r="EQ369" s="10"/>
      <c r="ER369" s="10"/>
      <c r="ES369" s="10"/>
      <c r="ET369" s="10"/>
      <c r="EU369" s="10"/>
      <c r="EV369" s="10"/>
      <c r="EW369" s="10"/>
      <c r="EX369" s="10"/>
      <c r="EY369" s="10"/>
      <c r="EZ369" s="10"/>
      <c r="FA369" s="10"/>
      <c r="FB369" s="10"/>
      <c r="FC369" s="10"/>
      <c r="FD369" s="10"/>
      <c r="FE369" s="10"/>
      <c r="FF369" s="10"/>
      <c r="FG369" s="10"/>
      <c r="FH369" s="10"/>
      <c r="FI369" s="10"/>
      <c r="FJ369" s="10"/>
      <c r="FK369" s="10"/>
      <c r="FL369" s="10"/>
      <c r="FM369" s="10"/>
      <c r="FN369" s="10"/>
      <c r="FO369" s="10"/>
      <c r="FP369" s="10"/>
      <c r="FQ369" s="10"/>
      <c r="FR369" s="10"/>
      <c r="FS369" s="10"/>
      <c r="FT369" s="10"/>
      <c r="FU369" s="10"/>
      <c r="FV369" s="10"/>
      <c r="FW369" s="10"/>
      <c r="FX369" s="10"/>
      <c r="FY369" s="10"/>
      <c r="FZ369" s="10"/>
      <c r="GA369" s="10"/>
      <c r="GB369" s="10"/>
      <c r="GC369" s="10"/>
      <c r="GD369" s="10"/>
      <c r="GE369" s="10"/>
      <c r="GF369" s="10"/>
      <c r="GG369" s="10"/>
      <c r="GH369" s="10"/>
      <c r="GI369" s="10"/>
      <c r="GJ369" s="10"/>
      <c r="GK369" s="10"/>
    </row>
    <row r="370" customFormat="false" ht="12.75" hidden="false" customHeight="false" outlineLevel="0" collapsed="false">
      <c r="A370" s="7"/>
      <c r="B370" s="7"/>
      <c r="C370" s="8"/>
      <c r="D370" s="8"/>
      <c r="E370" s="8"/>
      <c r="F370" s="8"/>
      <c r="G370" s="9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10"/>
      <c r="CC370" s="10"/>
      <c r="CD370" s="10"/>
      <c r="CE370" s="10"/>
      <c r="CF370" s="10"/>
      <c r="CG370" s="10"/>
      <c r="CH370" s="10"/>
      <c r="CI370" s="10"/>
      <c r="CJ370" s="10"/>
      <c r="CK370" s="10"/>
      <c r="CL370" s="10"/>
      <c r="CM370" s="10"/>
      <c r="CN370" s="10"/>
      <c r="CO370" s="10"/>
      <c r="CP370" s="10"/>
      <c r="CQ370" s="10"/>
      <c r="CR370" s="10"/>
      <c r="CS370" s="10"/>
      <c r="CT370" s="10"/>
      <c r="CU370" s="10"/>
      <c r="CV370" s="10"/>
      <c r="CW370" s="10"/>
      <c r="CX370" s="10"/>
      <c r="CY370" s="10"/>
      <c r="CZ370" s="10"/>
      <c r="DA370" s="10"/>
      <c r="DB370" s="10"/>
      <c r="DC370" s="10"/>
      <c r="DD370" s="10"/>
      <c r="DE370" s="10"/>
      <c r="DF370" s="10"/>
      <c r="DG370" s="10"/>
      <c r="DH370" s="10"/>
      <c r="DI370" s="10"/>
      <c r="DJ370" s="10"/>
      <c r="DK370" s="10"/>
      <c r="DL370" s="10"/>
      <c r="DM370" s="10"/>
      <c r="DN370" s="10"/>
      <c r="DO370" s="10"/>
      <c r="DP370" s="10"/>
      <c r="DQ370" s="10"/>
      <c r="DR370" s="10"/>
      <c r="DS370" s="10"/>
      <c r="DT370" s="10"/>
      <c r="DU370" s="10"/>
      <c r="DV370" s="10"/>
      <c r="DW370" s="10"/>
      <c r="DX370" s="10"/>
      <c r="DY370" s="10"/>
      <c r="DZ370" s="10"/>
      <c r="EA370" s="10"/>
      <c r="EB370" s="10"/>
      <c r="EC370" s="10"/>
      <c r="ED370" s="10"/>
      <c r="EE370" s="10"/>
      <c r="EF370" s="10"/>
      <c r="EG370" s="10"/>
      <c r="EH370" s="10"/>
      <c r="EI370" s="10"/>
      <c r="EJ370" s="10"/>
      <c r="EK370" s="10"/>
      <c r="EL370" s="10"/>
      <c r="EM370" s="10"/>
      <c r="EN370" s="10"/>
      <c r="EO370" s="10"/>
      <c r="EP370" s="10"/>
      <c r="EQ370" s="10"/>
      <c r="ER370" s="10"/>
      <c r="ES370" s="10"/>
      <c r="ET370" s="10"/>
      <c r="EU370" s="10"/>
      <c r="EV370" s="10"/>
      <c r="EW370" s="10"/>
      <c r="EX370" s="10"/>
      <c r="EY370" s="10"/>
      <c r="EZ370" s="10"/>
      <c r="FA370" s="10"/>
      <c r="FB370" s="10"/>
      <c r="FC370" s="10"/>
      <c r="FD370" s="10"/>
      <c r="FE370" s="10"/>
      <c r="FF370" s="10"/>
      <c r="FG370" s="10"/>
      <c r="FH370" s="10"/>
      <c r="FI370" s="10"/>
      <c r="FJ370" s="10"/>
      <c r="FK370" s="10"/>
      <c r="FL370" s="10"/>
      <c r="FM370" s="10"/>
      <c r="FN370" s="10"/>
      <c r="FO370" s="10"/>
      <c r="FP370" s="10"/>
      <c r="FQ370" s="10"/>
      <c r="FR370" s="10"/>
      <c r="FS370" s="10"/>
      <c r="FT370" s="10"/>
      <c r="FU370" s="10"/>
      <c r="FV370" s="10"/>
      <c r="FW370" s="10"/>
      <c r="FX370" s="10"/>
      <c r="FY370" s="10"/>
      <c r="FZ370" s="10"/>
      <c r="GA370" s="10"/>
      <c r="GB370" s="10"/>
      <c r="GC370" s="10"/>
      <c r="GD370" s="10"/>
      <c r="GE370" s="10"/>
      <c r="GF370" s="10"/>
      <c r="GG370" s="10"/>
      <c r="GH370" s="10"/>
      <c r="GI370" s="10"/>
      <c r="GJ370" s="10"/>
      <c r="GK370" s="10"/>
    </row>
    <row r="371" customFormat="false" ht="12.75" hidden="false" customHeight="false" outlineLevel="0" collapsed="false">
      <c r="A371" s="7"/>
      <c r="B371" s="7"/>
      <c r="C371" s="8"/>
      <c r="D371" s="8"/>
      <c r="E371" s="8"/>
      <c r="F371" s="8"/>
      <c r="G371" s="9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  <c r="CD371" s="10"/>
      <c r="CE371" s="10"/>
      <c r="CF371" s="10"/>
      <c r="CG371" s="10"/>
      <c r="CH371" s="10"/>
      <c r="CI371" s="10"/>
      <c r="CJ371" s="10"/>
      <c r="CK371" s="10"/>
      <c r="CL371" s="10"/>
      <c r="CM371" s="10"/>
      <c r="CN371" s="10"/>
      <c r="CO371" s="10"/>
      <c r="CP371" s="10"/>
      <c r="CQ371" s="10"/>
      <c r="CR371" s="10"/>
      <c r="CS371" s="10"/>
      <c r="CT371" s="10"/>
      <c r="CU371" s="10"/>
      <c r="CV371" s="10"/>
      <c r="CW371" s="10"/>
      <c r="CX371" s="10"/>
      <c r="CY371" s="10"/>
      <c r="CZ371" s="10"/>
      <c r="DA371" s="10"/>
      <c r="DB371" s="10"/>
      <c r="DC371" s="10"/>
      <c r="DD371" s="10"/>
      <c r="DE371" s="10"/>
      <c r="DF371" s="10"/>
      <c r="DG371" s="10"/>
      <c r="DH371" s="10"/>
      <c r="DI371" s="10"/>
      <c r="DJ371" s="10"/>
      <c r="DK371" s="10"/>
      <c r="DL371" s="10"/>
      <c r="DM371" s="10"/>
      <c r="DN371" s="10"/>
      <c r="DO371" s="10"/>
      <c r="DP371" s="10"/>
      <c r="DQ371" s="10"/>
      <c r="DR371" s="10"/>
      <c r="DS371" s="10"/>
      <c r="DT371" s="10"/>
      <c r="DU371" s="10"/>
      <c r="DV371" s="10"/>
      <c r="DW371" s="10"/>
      <c r="DX371" s="10"/>
      <c r="DY371" s="10"/>
      <c r="DZ371" s="10"/>
      <c r="EA371" s="10"/>
      <c r="EB371" s="10"/>
      <c r="EC371" s="10"/>
      <c r="ED371" s="10"/>
      <c r="EE371" s="10"/>
      <c r="EF371" s="10"/>
      <c r="EG371" s="10"/>
      <c r="EH371" s="10"/>
      <c r="EI371" s="10"/>
      <c r="EJ371" s="10"/>
      <c r="EK371" s="10"/>
      <c r="EL371" s="10"/>
      <c r="EM371" s="10"/>
      <c r="EN371" s="10"/>
      <c r="EO371" s="10"/>
      <c r="EP371" s="10"/>
      <c r="EQ371" s="10"/>
      <c r="ER371" s="10"/>
      <c r="ES371" s="10"/>
      <c r="ET371" s="10"/>
      <c r="EU371" s="10"/>
      <c r="EV371" s="10"/>
      <c r="EW371" s="10"/>
      <c r="EX371" s="10"/>
      <c r="EY371" s="10"/>
      <c r="EZ371" s="10"/>
      <c r="FA371" s="10"/>
      <c r="FB371" s="10"/>
      <c r="FC371" s="10"/>
      <c r="FD371" s="10"/>
      <c r="FE371" s="10"/>
      <c r="FF371" s="10"/>
      <c r="FG371" s="10"/>
      <c r="FH371" s="10"/>
      <c r="FI371" s="10"/>
      <c r="FJ371" s="10"/>
      <c r="FK371" s="10"/>
      <c r="FL371" s="10"/>
      <c r="FM371" s="10"/>
      <c r="FN371" s="10"/>
      <c r="FO371" s="10"/>
      <c r="FP371" s="10"/>
      <c r="FQ371" s="10"/>
      <c r="FR371" s="10"/>
      <c r="FS371" s="10"/>
      <c r="FT371" s="10"/>
      <c r="FU371" s="10"/>
      <c r="FV371" s="10"/>
      <c r="FW371" s="10"/>
      <c r="FX371" s="10"/>
      <c r="FY371" s="10"/>
      <c r="FZ371" s="10"/>
      <c r="GA371" s="10"/>
      <c r="GB371" s="10"/>
      <c r="GC371" s="10"/>
      <c r="GD371" s="10"/>
      <c r="GE371" s="10"/>
      <c r="GF371" s="10"/>
      <c r="GG371" s="10"/>
      <c r="GH371" s="10"/>
      <c r="GI371" s="10"/>
      <c r="GJ371" s="10"/>
      <c r="GK371" s="10"/>
    </row>
    <row r="372" customFormat="false" ht="12.75" hidden="false" customHeight="false" outlineLevel="0" collapsed="false">
      <c r="A372" s="7"/>
      <c r="B372" s="7"/>
      <c r="C372" s="8"/>
      <c r="D372" s="8"/>
      <c r="E372" s="8"/>
      <c r="F372" s="8"/>
      <c r="G372" s="9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10"/>
      <c r="CC372" s="10"/>
      <c r="CD372" s="10"/>
      <c r="CE372" s="10"/>
      <c r="CF372" s="10"/>
      <c r="CG372" s="10"/>
      <c r="CH372" s="10"/>
      <c r="CI372" s="10"/>
      <c r="CJ372" s="10"/>
      <c r="CK372" s="10"/>
      <c r="CL372" s="10"/>
      <c r="CM372" s="10"/>
      <c r="CN372" s="10"/>
      <c r="CO372" s="10"/>
      <c r="CP372" s="10"/>
      <c r="CQ372" s="10"/>
      <c r="CR372" s="10"/>
      <c r="CS372" s="10"/>
      <c r="CT372" s="10"/>
      <c r="CU372" s="10"/>
      <c r="CV372" s="10"/>
      <c r="CW372" s="10"/>
      <c r="CX372" s="10"/>
      <c r="CY372" s="10"/>
      <c r="CZ372" s="10"/>
      <c r="DA372" s="10"/>
      <c r="DB372" s="10"/>
      <c r="DC372" s="10"/>
      <c r="DD372" s="10"/>
      <c r="DE372" s="10"/>
      <c r="DF372" s="10"/>
      <c r="DG372" s="10"/>
      <c r="DH372" s="10"/>
      <c r="DI372" s="10"/>
      <c r="DJ372" s="10"/>
      <c r="DK372" s="10"/>
      <c r="DL372" s="10"/>
      <c r="DM372" s="10"/>
      <c r="DN372" s="10"/>
      <c r="DO372" s="10"/>
      <c r="DP372" s="10"/>
      <c r="DQ372" s="10"/>
      <c r="DR372" s="10"/>
      <c r="DS372" s="10"/>
      <c r="DT372" s="10"/>
      <c r="DU372" s="10"/>
      <c r="DV372" s="10"/>
      <c r="DW372" s="10"/>
      <c r="DX372" s="10"/>
      <c r="DY372" s="10"/>
      <c r="DZ372" s="10"/>
      <c r="EA372" s="10"/>
      <c r="EB372" s="10"/>
      <c r="EC372" s="10"/>
      <c r="ED372" s="10"/>
      <c r="EE372" s="10"/>
      <c r="EF372" s="10"/>
      <c r="EG372" s="10"/>
      <c r="EH372" s="10"/>
      <c r="EI372" s="10"/>
      <c r="EJ372" s="10"/>
      <c r="EK372" s="10"/>
      <c r="EL372" s="10"/>
      <c r="EM372" s="10"/>
      <c r="EN372" s="10"/>
      <c r="EO372" s="10"/>
      <c r="EP372" s="10"/>
      <c r="EQ372" s="10"/>
      <c r="ER372" s="10"/>
      <c r="ES372" s="10"/>
      <c r="ET372" s="10"/>
      <c r="EU372" s="10"/>
      <c r="EV372" s="10"/>
      <c r="EW372" s="10"/>
      <c r="EX372" s="10"/>
      <c r="EY372" s="10"/>
      <c r="EZ372" s="10"/>
      <c r="FA372" s="10"/>
      <c r="FB372" s="10"/>
      <c r="FC372" s="10"/>
      <c r="FD372" s="10"/>
      <c r="FE372" s="10"/>
      <c r="FF372" s="10"/>
      <c r="FG372" s="10"/>
      <c r="FH372" s="10"/>
      <c r="FI372" s="10"/>
      <c r="FJ372" s="10"/>
      <c r="FK372" s="10"/>
      <c r="FL372" s="10"/>
      <c r="FM372" s="10"/>
      <c r="FN372" s="10"/>
      <c r="FO372" s="10"/>
      <c r="FP372" s="10"/>
      <c r="FQ372" s="10"/>
      <c r="FR372" s="10"/>
      <c r="FS372" s="10"/>
      <c r="FT372" s="10"/>
      <c r="FU372" s="10"/>
      <c r="FV372" s="10"/>
      <c r="FW372" s="10"/>
      <c r="FX372" s="10"/>
      <c r="FY372" s="10"/>
      <c r="FZ372" s="10"/>
      <c r="GA372" s="10"/>
      <c r="GB372" s="10"/>
      <c r="GC372" s="10"/>
      <c r="GD372" s="10"/>
      <c r="GE372" s="10"/>
      <c r="GF372" s="10"/>
      <c r="GG372" s="10"/>
      <c r="GH372" s="10"/>
      <c r="GI372" s="10"/>
      <c r="GJ372" s="10"/>
      <c r="GK372" s="10"/>
    </row>
    <row r="373" customFormat="false" ht="12.75" hidden="false" customHeight="false" outlineLevel="0" collapsed="false">
      <c r="A373" s="7"/>
      <c r="B373" s="7"/>
      <c r="C373" s="8"/>
      <c r="D373" s="8"/>
      <c r="E373" s="8"/>
      <c r="F373" s="8"/>
      <c r="G373" s="9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  <c r="BV373" s="10"/>
      <c r="BW373" s="10"/>
      <c r="BX373" s="10"/>
      <c r="BY373" s="10"/>
      <c r="BZ373" s="10"/>
      <c r="CA373" s="10"/>
      <c r="CB373" s="10"/>
      <c r="CC373" s="10"/>
      <c r="CD373" s="10"/>
      <c r="CE373" s="10"/>
      <c r="CF373" s="10"/>
      <c r="CG373" s="10"/>
      <c r="CH373" s="10"/>
      <c r="CI373" s="10"/>
      <c r="CJ373" s="10"/>
      <c r="CK373" s="10"/>
      <c r="CL373" s="10"/>
      <c r="CM373" s="10"/>
      <c r="CN373" s="10"/>
      <c r="CO373" s="10"/>
      <c r="CP373" s="10"/>
      <c r="CQ373" s="10"/>
      <c r="CR373" s="10"/>
      <c r="CS373" s="10"/>
      <c r="CT373" s="10"/>
      <c r="CU373" s="10"/>
      <c r="CV373" s="10"/>
      <c r="CW373" s="10"/>
      <c r="CX373" s="10"/>
      <c r="CY373" s="10"/>
      <c r="CZ373" s="10"/>
      <c r="DA373" s="10"/>
      <c r="DB373" s="10"/>
      <c r="DC373" s="10"/>
      <c r="DD373" s="10"/>
      <c r="DE373" s="10"/>
      <c r="DF373" s="10"/>
      <c r="DG373" s="10"/>
      <c r="DH373" s="10"/>
      <c r="DI373" s="10"/>
      <c r="DJ373" s="10"/>
      <c r="DK373" s="10"/>
      <c r="DL373" s="10"/>
      <c r="DM373" s="10"/>
      <c r="DN373" s="10"/>
      <c r="DO373" s="10"/>
      <c r="DP373" s="10"/>
      <c r="DQ373" s="10"/>
      <c r="DR373" s="10"/>
      <c r="DS373" s="10"/>
      <c r="DT373" s="10"/>
      <c r="DU373" s="10"/>
      <c r="DV373" s="10"/>
      <c r="DW373" s="10"/>
      <c r="DX373" s="10"/>
      <c r="DY373" s="10"/>
      <c r="DZ373" s="10"/>
      <c r="EA373" s="10"/>
      <c r="EB373" s="10"/>
      <c r="EC373" s="10"/>
      <c r="ED373" s="10"/>
      <c r="EE373" s="10"/>
      <c r="EF373" s="10"/>
      <c r="EG373" s="10"/>
      <c r="EH373" s="10"/>
      <c r="EI373" s="10"/>
      <c r="EJ373" s="10"/>
      <c r="EK373" s="10"/>
      <c r="EL373" s="10"/>
      <c r="EM373" s="10"/>
      <c r="EN373" s="10"/>
      <c r="EO373" s="10"/>
      <c r="EP373" s="10"/>
      <c r="EQ373" s="10"/>
      <c r="ER373" s="10"/>
      <c r="ES373" s="10"/>
      <c r="ET373" s="10"/>
      <c r="EU373" s="10"/>
      <c r="EV373" s="10"/>
      <c r="EW373" s="10"/>
      <c r="EX373" s="10"/>
      <c r="EY373" s="10"/>
      <c r="EZ373" s="10"/>
      <c r="FA373" s="10"/>
      <c r="FB373" s="10"/>
      <c r="FC373" s="10"/>
      <c r="FD373" s="10"/>
      <c r="FE373" s="10"/>
      <c r="FF373" s="10"/>
      <c r="FG373" s="10"/>
      <c r="FH373" s="10"/>
      <c r="FI373" s="10"/>
      <c r="FJ373" s="10"/>
      <c r="FK373" s="10"/>
      <c r="FL373" s="10"/>
      <c r="FM373" s="10"/>
      <c r="FN373" s="10"/>
      <c r="FO373" s="10"/>
      <c r="FP373" s="10"/>
      <c r="FQ373" s="10"/>
      <c r="FR373" s="10"/>
      <c r="FS373" s="10"/>
      <c r="FT373" s="10"/>
      <c r="FU373" s="10"/>
      <c r="FV373" s="10"/>
      <c r="FW373" s="10"/>
      <c r="FX373" s="10"/>
      <c r="FY373" s="10"/>
      <c r="FZ373" s="10"/>
      <c r="GA373" s="10"/>
      <c r="GB373" s="10"/>
      <c r="GC373" s="10"/>
      <c r="GD373" s="10"/>
      <c r="GE373" s="10"/>
      <c r="GF373" s="10"/>
      <c r="GG373" s="10"/>
      <c r="GH373" s="10"/>
      <c r="GI373" s="10"/>
      <c r="GJ373" s="10"/>
      <c r="GK373" s="10"/>
    </row>
    <row r="374" customFormat="false" ht="12.75" hidden="false" customHeight="false" outlineLevel="0" collapsed="false">
      <c r="A374" s="7"/>
      <c r="B374" s="7"/>
      <c r="C374" s="8"/>
      <c r="D374" s="8"/>
      <c r="E374" s="8"/>
      <c r="F374" s="8"/>
      <c r="G374" s="9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  <c r="BU374" s="10"/>
      <c r="BV374" s="10"/>
      <c r="BW374" s="10"/>
      <c r="BX374" s="10"/>
      <c r="BY374" s="10"/>
      <c r="BZ374" s="10"/>
      <c r="CA374" s="10"/>
      <c r="CB374" s="10"/>
      <c r="CC374" s="10"/>
      <c r="CD374" s="10"/>
      <c r="CE374" s="10"/>
      <c r="CF374" s="10"/>
      <c r="CG374" s="10"/>
      <c r="CH374" s="10"/>
      <c r="CI374" s="10"/>
      <c r="CJ374" s="10"/>
      <c r="CK374" s="10"/>
      <c r="CL374" s="10"/>
      <c r="CM374" s="10"/>
      <c r="CN374" s="10"/>
      <c r="CO374" s="10"/>
      <c r="CP374" s="10"/>
      <c r="CQ374" s="10"/>
      <c r="CR374" s="10"/>
      <c r="CS374" s="10"/>
      <c r="CT374" s="10"/>
      <c r="CU374" s="10"/>
      <c r="CV374" s="10"/>
      <c r="CW374" s="10"/>
      <c r="CX374" s="10"/>
      <c r="CY374" s="10"/>
      <c r="CZ374" s="10"/>
      <c r="DA374" s="10"/>
      <c r="DB374" s="10"/>
      <c r="DC374" s="10"/>
      <c r="DD374" s="10"/>
      <c r="DE374" s="10"/>
      <c r="DF374" s="10"/>
      <c r="DG374" s="10"/>
      <c r="DH374" s="10"/>
      <c r="DI374" s="10"/>
      <c r="DJ374" s="10"/>
      <c r="DK374" s="10"/>
      <c r="DL374" s="10"/>
      <c r="DM374" s="10"/>
      <c r="DN374" s="10"/>
      <c r="DO374" s="10"/>
      <c r="DP374" s="10"/>
      <c r="DQ374" s="10"/>
      <c r="DR374" s="10"/>
      <c r="DS374" s="10"/>
      <c r="DT374" s="10"/>
      <c r="DU374" s="10"/>
      <c r="DV374" s="10"/>
      <c r="DW374" s="10"/>
      <c r="DX374" s="10"/>
      <c r="DY374" s="10"/>
      <c r="DZ374" s="10"/>
      <c r="EA374" s="10"/>
      <c r="EB374" s="10"/>
      <c r="EC374" s="10"/>
      <c r="ED374" s="10"/>
      <c r="EE374" s="10"/>
      <c r="EF374" s="10"/>
      <c r="EG374" s="10"/>
      <c r="EH374" s="10"/>
      <c r="EI374" s="10"/>
      <c r="EJ374" s="10"/>
      <c r="EK374" s="10"/>
      <c r="EL374" s="10"/>
      <c r="EM374" s="10"/>
      <c r="EN374" s="10"/>
      <c r="EO374" s="10"/>
      <c r="EP374" s="10"/>
      <c r="EQ374" s="10"/>
      <c r="ER374" s="10"/>
      <c r="ES374" s="10"/>
      <c r="ET374" s="10"/>
      <c r="EU374" s="10"/>
      <c r="EV374" s="10"/>
      <c r="EW374" s="10"/>
      <c r="EX374" s="10"/>
      <c r="EY374" s="10"/>
      <c r="EZ374" s="10"/>
      <c r="FA374" s="10"/>
      <c r="FB374" s="10"/>
      <c r="FC374" s="10"/>
      <c r="FD374" s="10"/>
      <c r="FE374" s="10"/>
      <c r="FF374" s="10"/>
      <c r="FG374" s="10"/>
      <c r="FH374" s="10"/>
      <c r="FI374" s="10"/>
      <c r="FJ374" s="10"/>
      <c r="FK374" s="10"/>
      <c r="FL374" s="10"/>
      <c r="FM374" s="10"/>
      <c r="FN374" s="10"/>
      <c r="FO374" s="10"/>
      <c r="FP374" s="10"/>
      <c r="FQ374" s="10"/>
      <c r="FR374" s="10"/>
      <c r="FS374" s="10"/>
      <c r="FT374" s="10"/>
      <c r="FU374" s="10"/>
      <c r="FV374" s="10"/>
      <c r="FW374" s="10"/>
      <c r="FX374" s="10"/>
      <c r="FY374" s="10"/>
      <c r="FZ374" s="10"/>
      <c r="GA374" s="10"/>
      <c r="GB374" s="10"/>
      <c r="GC374" s="10"/>
      <c r="GD374" s="10"/>
      <c r="GE374" s="10"/>
      <c r="GF374" s="10"/>
      <c r="GG374" s="10"/>
      <c r="GH374" s="10"/>
      <c r="GI374" s="10"/>
      <c r="GJ374" s="10"/>
      <c r="GK374" s="10"/>
    </row>
    <row r="375" customFormat="false" ht="12.75" hidden="false" customHeight="false" outlineLevel="0" collapsed="false">
      <c r="A375" s="7"/>
      <c r="B375" s="7"/>
      <c r="C375" s="8"/>
      <c r="D375" s="8"/>
      <c r="E375" s="8"/>
      <c r="F375" s="8"/>
      <c r="G375" s="9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/>
      <c r="BZ375" s="10"/>
      <c r="CA375" s="10"/>
      <c r="CB375" s="10"/>
      <c r="CC375" s="10"/>
      <c r="CD375" s="10"/>
      <c r="CE375" s="10"/>
      <c r="CF375" s="10"/>
      <c r="CG375" s="10"/>
      <c r="CH375" s="10"/>
      <c r="CI375" s="10"/>
      <c r="CJ375" s="10"/>
      <c r="CK375" s="10"/>
      <c r="CL375" s="10"/>
      <c r="CM375" s="10"/>
      <c r="CN375" s="10"/>
      <c r="CO375" s="10"/>
      <c r="CP375" s="10"/>
      <c r="CQ375" s="10"/>
      <c r="CR375" s="10"/>
      <c r="CS375" s="10"/>
      <c r="CT375" s="10"/>
      <c r="CU375" s="10"/>
      <c r="CV375" s="10"/>
      <c r="CW375" s="10"/>
      <c r="CX375" s="10"/>
      <c r="CY375" s="10"/>
      <c r="CZ375" s="10"/>
      <c r="DA375" s="10"/>
      <c r="DB375" s="10"/>
      <c r="DC375" s="10"/>
      <c r="DD375" s="10"/>
      <c r="DE375" s="10"/>
      <c r="DF375" s="10"/>
      <c r="DG375" s="10"/>
      <c r="DH375" s="10"/>
      <c r="DI375" s="10"/>
      <c r="DJ375" s="10"/>
      <c r="DK375" s="10"/>
      <c r="DL375" s="10"/>
      <c r="DM375" s="10"/>
      <c r="DN375" s="10"/>
      <c r="DO375" s="10"/>
      <c r="DP375" s="10"/>
      <c r="DQ375" s="10"/>
      <c r="DR375" s="10"/>
      <c r="DS375" s="10"/>
      <c r="DT375" s="10"/>
      <c r="DU375" s="10"/>
      <c r="DV375" s="10"/>
      <c r="DW375" s="10"/>
      <c r="DX375" s="10"/>
      <c r="DY375" s="10"/>
      <c r="DZ375" s="10"/>
      <c r="EA375" s="10"/>
      <c r="EB375" s="10"/>
      <c r="EC375" s="10"/>
      <c r="ED375" s="10"/>
      <c r="EE375" s="10"/>
      <c r="EF375" s="10"/>
      <c r="EG375" s="10"/>
      <c r="EH375" s="10"/>
      <c r="EI375" s="10"/>
      <c r="EJ375" s="10"/>
      <c r="EK375" s="10"/>
      <c r="EL375" s="10"/>
      <c r="EM375" s="10"/>
      <c r="EN375" s="10"/>
      <c r="EO375" s="10"/>
      <c r="EP375" s="10"/>
      <c r="EQ375" s="10"/>
      <c r="ER375" s="10"/>
      <c r="ES375" s="10"/>
      <c r="ET375" s="10"/>
      <c r="EU375" s="10"/>
      <c r="EV375" s="10"/>
      <c r="EW375" s="10"/>
      <c r="EX375" s="10"/>
      <c r="EY375" s="10"/>
      <c r="EZ375" s="10"/>
      <c r="FA375" s="10"/>
      <c r="FB375" s="10"/>
      <c r="FC375" s="10"/>
      <c r="FD375" s="10"/>
      <c r="FE375" s="10"/>
      <c r="FF375" s="10"/>
      <c r="FG375" s="10"/>
      <c r="FH375" s="10"/>
      <c r="FI375" s="10"/>
      <c r="FJ375" s="10"/>
      <c r="FK375" s="10"/>
      <c r="FL375" s="10"/>
      <c r="FM375" s="10"/>
      <c r="FN375" s="10"/>
      <c r="FO375" s="10"/>
      <c r="FP375" s="10"/>
      <c r="FQ375" s="10"/>
      <c r="FR375" s="10"/>
      <c r="FS375" s="10"/>
      <c r="FT375" s="10"/>
      <c r="FU375" s="10"/>
      <c r="FV375" s="10"/>
      <c r="FW375" s="10"/>
      <c r="FX375" s="10"/>
      <c r="FY375" s="10"/>
      <c r="FZ375" s="10"/>
      <c r="GA375" s="10"/>
      <c r="GB375" s="10"/>
      <c r="GC375" s="10"/>
      <c r="GD375" s="10"/>
      <c r="GE375" s="10"/>
      <c r="GF375" s="10"/>
      <c r="GG375" s="10"/>
      <c r="GH375" s="10"/>
      <c r="GI375" s="10"/>
      <c r="GJ375" s="10"/>
      <c r="GK375" s="10"/>
    </row>
    <row r="376" customFormat="false" ht="12.75" hidden="false" customHeight="false" outlineLevel="0" collapsed="false">
      <c r="A376" s="7"/>
      <c r="B376" s="7"/>
      <c r="C376" s="8"/>
      <c r="D376" s="8"/>
      <c r="E376" s="8"/>
      <c r="F376" s="8"/>
      <c r="G376" s="9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  <c r="BU376" s="10"/>
      <c r="BV376" s="10"/>
      <c r="BW376" s="10"/>
      <c r="BX376" s="10"/>
      <c r="BY376" s="10"/>
      <c r="BZ376" s="10"/>
      <c r="CA376" s="10"/>
      <c r="CB376" s="10"/>
      <c r="CC376" s="10"/>
      <c r="CD376" s="10"/>
      <c r="CE376" s="10"/>
      <c r="CF376" s="10"/>
      <c r="CG376" s="10"/>
      <c r="CH376" s="10"/>
      <c r="CI376" s="10"/>
      <c r="CJ376" s="10"/>
      <c r="CK376" s="10"/>
      <c r="CL376" s="10"/>
      <c r="CM376" s="10"/>
      <c r="CN376" s="10"/>
      <c r="CO376" s="10"/>
      <c r="CP376" s="10"/>
      <c r="CQ376" s="10"/>
      <c r="CR376" s="10"/>
      <c r="CS376" s="10"/>
      <c r="CT376" s="10"/>
      <c r="CU376" s="10"/>
      <c r="CV376" s="10"/>
      <c r="CW376" s="10"/>
      <c r="CX376" s="10"/>
      <c r="CY376" s="10"/>
      <c r="CZ376" s="10"/>
      <c r="DA376" s="10"/>
      <c r="DB376" s="10"/>
      <c r="DC376" s="10"/>
      <c r="DD376" s="10"/>
      <c r="DE376" s="10"/>
      <c r="DF376" s="10"/>
      <c r="DG376" s="10"/>
      <c r="DH376" s="10"/>
      <c r="DI376" s="10"/>
      <c r="DJ376" s="10"/>
      <c r="DK376" s="10"/>
      <c r="DL376" s="10"/>
      <c r="DM376" s="10"/>
      <c r="DN376" s="10"/>
      <c r="DO376" s="10"/>
      <c r="DP376" s="10"/>
      <c r="DQ376" s="10"/>
      <c r="DR376" s="10"/>
      <c r="DS376" s="10"/>
      <c r="DT376" s="10"/>
      <c r="DU376" s="10"/>
      <c r="DV376" s="10"/>
      <c r="DW376" s="10"/>
      <c r="DX376" s="10"/>
      <c r="DY376" s="10"/>
      <c r="DZ376" s="10"/>
      <c r="EA376" s="10"/>
      <c r="EB376" s="10"/>
      <c r="EC376" s="10"/>
      <c r="ED376" s="10"/>
      <c r="EE376" s="10"/>
      <c r="EF376" s="10"/>
      <c r="EG376" s="10"/>
      <c r="EH376" s="10"/>
      <c r="EI376" s="10"/>
      <c r="EJ376" s="10"/>
      <c r="EK376" s="10"/>
      <c r="EL376" s="10"/>
      <c r="EM376" s="10"/>
      <c r="EN376" s="10"/>
      <c r="EO376" s="10"/>
      <c r="EP376" s="10"/>
      <c r="EQ376" s="10"/>
      <c r="ER376" s="10"/>
      <c r="ES376" s="10"/>
      <c r="ET376" s="10"/>
      <c r="EU376" s="10"/>
      <c r="EV376" s="10"/>
      <c r="EW376" s="10"/>
      <c r="EX376" s="10"/>
      <c r="EY376" s="10"/>
      <c r="EZ376" s="10"/>
      <c r="FA376" s="10"/>
      <c r="FB376" s="10"/>
      <c r="FC376" s="10"/>
      <c r="FD376" s="10"/>
      <c r="FE376" s="10"/>
      <c r="FF376" s="10"/>
      <c r="FG376" s="10"/>
      <c r="FH376" s="10"/>
      <c r="FI376" s="10"/>
      <c r="FJ376" s="10"/>
      <c r="FK376" s="10"/>
      <c r="FL376" s="10"/>
      <c r="FM376" s="10"/>
      <c r="FN376" s="10"/>
      <c r="FO376" s="10"/>
      <c r="FP376" s="10"/>
      <c r="FQ376" s="10"/>
      <c r="FR376" s="10"/>
      <c r="FS376" s="10"/>
      <c r="FT376" s="10"/>
      <c r="FU376" s="10"/>
      <c r="FV376" s="10"/>
      <c r="FW376" s="10"/>
      <c r="FX376" s="10"/>
      <c r="FY376" s="10"/>
      <c r="FZ376" s="10"/>
      <c r="GA376" s="10"/>
      <c r="GB376" s="10"/>
      <c r="GC376" s="10"/>
      <c r="GD376" s="10"/>
      <c r="GE376" s="10"/>
      <c r="GF376" s="10"/>
      <c r="GG376" s="10"/>
      <c r="GH376" s="10"/>
      <c r="GI376" s="10"/>
      <c r="GJ376" s="10"/>
      <c r="GK376" s="10"/>
    </row>
    <row r="377" customFormat="false" ht="12.75" hidden="false" customHeight="false" outlineLevel="0" collapsed="false">
      <c r="A377" s="7"/>
      <c r="B377" s="7"/>
      <c r="C377" s="8"/>
      <c r="D377" s="8"/>
      <c r="E377" s="8"/>
      <c r="F377" s="8"/>
      <c r="G377" s="9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  <c r="BV377" s="10"/>
      <c r="BW377" s="10"/>
      <c r="BX377" s="10"/>
      <c r="BY377" s="10"/>
      <c r="BZ377" s="10"/>
      <c r="CA377" s="10"/>
      <c r="CB377" s="10"/>
      <c r="CC377" s="10"/>
      <c r="CD377" s="10"/>
      <c r="CE377" s="10"/>
      <c r="CF377" s="10"/>
      <c r="CG377" s="10"/>
      <c r="CH377" s="10"/>
      <c r="CI377" s="10"/>
      <c r="CJ377" s="10"/>
      <c r="CK377" s="10"/>
      <c r="CL377" s="10"/>
      <c r="CM377" s="10"/>
      <c r="CN377" s="10"/>
      <c r="CO377" s="10"/>
      <c r="CP377" s="10"/>
      <c r="CQ377" s="10"/>
      <c r="CR377" s="10"/>
      <c r="CS377" s="10"/>
      <c r="CT377" s="10"/>
      <c r="CU377" s="10"/>
      <c r="CV377" s="10"/>
      <c r="CW377" s="10"/>
      <c r="CX377" s="10"/>
      <c r="CY377" s="10"/>
      <c r="CZ377" s="10"/>
      <c r="DA377" s="10"/>
      <c r="DB377" s="10"/>
      <c r="DC377" s="10"/>
      <c r="DD377" s="10"/>
      <c r="DE377" s="10"/>
      <c r="DF377" s="10"/>
      <c r="DG377" s="10"/>
      <c r="DH377" s="10"/>
      <c r="DI377" s="10"/>
      <c r="DJ377" s="10"/>
      <c r="DK377" s="10"/>
      <c r="DL377" s="10"/>
      <c r="DM377" s="10"/>
      <c r="DN377" s="10"/>
      <c r="DO377" s="10"/>
      <c r="DP377" s="10"/>
      <c r="DQ377" s="10"/>
      <c r="DR377" s="10"/>
      <c r="DS377" s="10"/>
      <c r="DT377" s="10"/>
      <c r="DU377" s="10"/>
      <c r="DV377" s="10"/>
      <c r="DW377" s="10"/>
      <c r="DX377" s="10"/>
      <c r="DY377" s="10"/>
      <c r="DZ377" s="10"/>
      <c r="EA377" s="10"/>
      <c r="EB377" s="10"/>
      <c r="EC377" s="10"/>
      <c r="ED377" s="10"/>
      <c r="EE377" s="10"/>
      <c r="EF377" s="10"/>
      <c r="EG377" s="10"/>
      <c r="EH377" s="10"/>
      <c r="EI377" s="10"/>
      <c r="EJ377" s="10"/>
      <c r="EK377" s="10"/>
      <c r="EL377" s="10"/>
      <c r="EM377" s="10"/>
      <c r="EN377" s="10"/>
      <c r="EO377" s="10"/>
      <c r="EP377" s="10"/>
      <c r="EQ377" s="10"/>
      <c r="ER377" s="10"/>
      <c r="ES377" s="10"/>
      <c r="ET377" s="10"/>
      <c r="EU377" s="10"/>
      <c r="EV377" s="10"/>
      <c r="EW377" s="10"/>
      <c r="EX377" s="10"/>
      <c r="EY377" s="10"/>
      <c r="EZ377" s="10"/>
      <c r="FA377" s="10"/>
      <c r="FB377" s="10"/>
      <c r="FC377" s="10"/>
      <c r="FD377" s="10"/>
      <c r="FE377" s="10"/>
      <c r="FF377" s="10"/>
      <c r="FG377" s="10"/>
      <c r="FH377" s="10"/>
      <c r="FI377" s="10"/>
      <c r="FJ377" s="10"/>
      <c r="FK377" s="10"/>
      <c r="FL377" s="10"/>
      <c r="FM377" s="10"/>
      <c r="FN377" s="10"/>
      <c r="FO377" s="10"/>
      <c r="FP377" s="10"/>
      <c r="FQ377" s="10"/>
      <c r="FR377" s="10"/>
      <c r="FS377" s="10"/>
      <c r="FT377" s="10"/>
      <c r="FU377" s="10"/>
      <c r="FV377" s="10"/>
      <c r="FW377" s="10"/>
      <c r="FX377" s="10"/>
      <c r="FY377" s="10"/>
      <c r="FZ377" s="10"/>
      <c r="GA377" s="10"/>
      <c r="GB377" s="10"/>
      <c r="GC377" s="10"/>
      <c r="GD377" s="10"/>
      <c r="GE377" s="10"/>
      <c r="GF377" s="10"/>
      <c r="GG377" s="10"/>
      <c r="GH377" s="10"/>
      <c r="GI377" s="10"/>
      <c r="GJ377" s="10"/>
      <c r="GK377" s="10"/>
    </row>
    <row r="378" customFormat="false" ht="12.75" hidden="false" customHeight="false" outlineLevel="0" collapsed="false">
      <c r="A378" s="7"/>
      <c r="B378" s="7"/>
      <c r="C378" s="8"/>
      <c r="D378" s="8"/>
      <c r="E378" s="8"/>
      <c r="F378" s="8"/>
      <c r="G378" s="9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  <c r="BV378" s="10"/>
      <c r="BW378" s="10"/>
      <c r="BX378" s="10"/>
      <c r="BY378" s="10"/>
      <c r="BZ378" s="10"/>
      <c r="CA378" s="10"/>
      <c r="CB378" s="10"/>
      <c r="CC378" s="10"/>
      <c r="CD378" s="10"/>
      <c r="CE378" s="10"/>
      <c r="CF378" s="10"/>
      <c r="CG378" s="10"/>
      <c r="CH378" s="10"/>
      <c r="CI378" s="10"/>
      <c r="CJ378" s="10"/>
      <c r="CK378" s="10"/>
      <c r="CL378" s="10"/>
      <c r="CM378" s="10"/>
      <c r="CN378" s="10"/>
      <c r="CO378" s="10"/>
      <c r="CP378" s="10"/>
      <c r="CQ378" s="10"/>
      <c r="CR378" s="10"/>
      <c r="CS378" s="10"/>
      <c r="CT378" s="10"/>
      <c r="CU378" s="10"/>
      <c r="CV378" s="10"/>
      <c r="CW378" s="10"/>
      <c r="CX378" s="10"/>
      <c r="CY378" s="10"/>
      <c r="CZ378" s="10"/>
      <c r="DA378" s="10"/>
      <c r="DB378" s="10"/>
      <c r="DC378" s="10"/>
      <c r="DD378" s="10"/>
      <c r="DE378" s="10"/>
      <c r="DF378" s="10"/>
      <c r="DG378" s="10"/>
      <c r="DH378" s="10"/>
      <c r="DI378" s="10"/>
      <c r="DJ378" s="10"/>
      <c r="DK378" s="10"/>
      <c r="DL378" s="10"/>
      <c r="DM378" s="10"/>
      <c r="DN378" s="10"/>
      <c r="DO378" s="10"/>
      <c r="DP378" s="10"/>
      <c r="DQ378" s="10"/>
      <c r="DR378" s="10"/>
      <c r="DS378" s="10"/>
      <c r="DT378" s="10"/>
      <c r="DU378" s="10"/>
      <c r="DV378" s="10"/>
      <c r="DW378" s="10"/>
      <c r="DX378" s="10"/>
      <c r="DY378" s="10"/>
      <c r="DZ378" s="10"/>
      <c r="EA378" s="10"/>
      <c r="EB378" s="10"/>
      <c r="EC378" s="10"/>
      <c r="ED378" s="10"/>
      <c r="EE378" s="10"/>
      <c r="EF378" s="10"/>
      <c r="EG378" s="10"/>
      <c r="EH378" s="10"/>
      <c r="EI378" s="10"/>
      <c r="EJ378" s="10"/>
      <c r="EK378" s="10"/>
      <c r="EL378" s="10"/>
      <c r="EM378" s="10"/>
      <c r="EN378" s="10"/>
      <c r="EO378" s="10"/>
      <c r="EP378" s="10"/>
      <c r="EQ378" s="10"/>
      <c r="ER378" s="10"/>
      <c r="ES378" s="10"/>
      <c r="ET378" s="10"/>
      <c r="EU378" s="10"/>
      <c r="EV378" s="10"/>
      <c r="EW378" s="10"/>
      <c r="EX378" s="10"/>
      <c r="EY378" s="10"/>
      <c r="EZ378" s="10"/>
      <c r="FA378" s="10"/>
      <c r="FB378" s="10"/>
      <c r="FC378" s="10"/>
      <c r="FD378" s="10"/>
      <c r="FE378" s="10"/>
      <c r="FF378" s="10"/>
      <c r="FG378" s="10"/>
      <c r="FH378" s="10"/>
      <c r="FI378" s="10"/>
      <c r="FJ378" s="10"/>
      <c r="FK378" s="10"/>
      <c r="FL378" s="10"/>
      <c r="FM378" s="10"/>
      <c r="FN378" s="10"/>
      <c r="FO378" s="10"/>
      <c r="FP378" s="10"/>
      <c r="FQ378" s="10"/>
      <c r="FR378" s="10"/>
      <c r="FS378" s="10"/>
      <c r="FT378" s="10"/>
      <c r="FU378" s="10"/>
      <c r="FV378" s="10"/>
      <c r="FW378" s="10"/>
      <c r="FX378" s="10"/>
      <c r="FY378" s="10"/>
      <c r="FZ378" s="10"/>
      <c r="GA378" s="10"/>
      <c r="GB378" s="10"/>
      <c r="GC378" s="10"/>
      <c r="GD378" s="10"/>
      <c r="GE378" s="10"/>
      <c r="GF378" s="10"/>
      <c r="GG378" s="10"/>
      <c r="GH378" s="10"/>
      <c r="GI378" s="10"/>
      <c r="GJ378" s="10"/>
      <c r="GK378" s="10"/>
    </row>
    <row r="379" customFormat="false" ht="12.75" hidden="false" customHeight="false" outlineLevel="0" collapsed="false">
      <c r="A379" s="7"/>
      <c r="B379" s="7"/>
      <c r="C379" s="8"/>
      <c r="D379" s="8"/>
      <c r="E379" s="8"/>
      <c r="F379" s="8"/>
      <c r="G379" s="9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  <c r="BV379" s="10"/>
      <c r="BW379" s="10"/>
      <c r="BX379" s="10"/>
      <c r="BY379" s="10"/>
      <c r="BZ379" s="10"/>
      <c r="CA379" s="10"/>
      <c r="CB379" s="10"/>
      <c r="CC379" s="10"/>
      <c r="CD379" s="10"/>
      <c r="CE379" s="10"/>
      <c r="CF379" s="10"/>
      <c r="CG379" s="10"/>
      <c r="CH379" s="10"/>
      <c r="CI379" s="10"/>
      <c r="CJ379" s="10"/>
      <c r="CK379" s="10"/>
      <c r="CL379" s="10"/>
      <c r="CM379" s="10"/>
      <c r="CN379" s="10"/>
      <c r="CO379" s="10"/>
      <c r="CP379" s="10"/>
      <c r="CQ379" s="10"/>
      <c r="CR379" s="10"/>
      <c r="CS379" s="10"/>
      <c r="CT379" s="10"/>
      <c r="CU379" s="10"/>
      <c r="CV379" s="10"/>
      <c r="CW379" s="10"/>
      <c r="CX379" s="10"/>
      <c r="CY379" s="10"/>
      <c r="CZ379" s="10"/>
      <c r="DA379" s="10"/>
      <c r="DB379" s="10"/>
      <c r="DC379" s="10"/>
      <c r="DD379" s="10"/>
      <c r="DE379" s="10"/>
      <c r="DF379" s="10"/>
      <c r="DG379" s="10"/>
      <c r="DH379" s="10"/>
      <c r="DI379" s="10"/>
      <c r="DJ379" s="10"/>
      <c r="DK379" s="10"/>
      <c r="DL379" s="10"/>
      <c r="DM379" s="10"/>
      <c r="DN379" s="10"/>
      <c r="DO379" s="10"/>
      <c r="DP379" s="10"/>
      <c r="DQ379" s="10"/>
      <c r="DR379" s="10"/>
      <c r="DS379" s="10"/>
      <c r="DT379" s="10"/>
      <c r="DU379" s="10"/>
      <c r="DV379" s="10"/>
      <c r="DW379" s="10"/>
      <c r="DX379" s="10"/>
      <c r="DY379" s="10"/>
      <c r="DZ379" s="10"/>
      <c r="EA379" s="10"/>
      <c r="EB379" s="10"/>
      <c r="EC379" s="10"/>
      <c r="ED379" s="10"/>
      <c r="EE379" s="10"/>
      <c r="EF379" s="10"/>
      <c r="EG379" s="10"/>
      <c r="EH379" s="10"/>
      <c r="EI379" s="10"/>
      <c r="EJ379" s="10"/>
      <c r="EK379" s="10"/>
      <c r="EL379" s="10"/>
      <c r="EM379" s="10"/>
      <c r="EN379" s="10"/>
      <c r="EO379" s="10"/>
      <c r="EP379" s="10"/>
      <c r="EQ379" s="10"/>
      <c r="ER379" s="10"/>
      <c r="ES379" s="10"/>
      <c r="ET379" s="10"/>
      <c r="EU379" s="10"/>
      <c r="EV379" s="10"/>
      <c r="EW379" s="10"/>
      <c r="EX379" s="10"/>
      <c r="EY379" s="10"/>
      <c r="EZ379" s="10"/>
      <c r="FA379" s="10"/>
      <c r="FB379" s="10"/>
      <c r="FC379" s="10"/>
      <c r="FD379" s="10"/>
      <c r="FE379" s="10"/>
      <c r="FF379" s="10"/>
      <c r="FG379" s="10"/>
      <c r="FH379" s="10"/>
      <c r="FI379" s="10"/>
      <c r="FJ379" s="10"/>
      <c r="FK379" s="10"/>
      <c r="FL379" s="10"/>
      <c r="FM379" s="10"/>
      <c r="FN379" s="10"/>
      <c r="FO379" s="10"/>
      <c r="FP379" s="10"/>
      <c r="FQ379" s="10"/>
      <c r="FR379" s="10"/>
      <c r="FS379" s="10"/>
      <c r="FT379" s="10"/>
      <c r="FU379" s="10"/>
      <c r="FV379" s="10"/>
      <c r="FW379" s="10"/>
      <c r="FX379" s="10"/>
      <c r="FY379" s="10"/>
      <c r="FZ379" s="10"/>
      <c r="GA379" s="10"/>
      <c r="GB379" s="10"/>
      <c r="GC379" s="10"/>
      <c r="GD379" s="10"/>
      <c r="GE379" s="10"/>
      <c r="GF379" s="10"/>
      <c r="GG379" s="10"/>
      <c r="GH379" s="10"/>
      <c r="GI379" s="10"/>
      <c r="GJ379" s="10"/>
      <c r="GK379" s="10"/>
    </row>
    <row r="380" customFormat="false" ht="12.75" hidden="false" customHeight="false" outlineLevel="0" collapsed="false">
      <c r="A380" s="7"/>
      <c r="B380" s="7"/>
      <c r="C380" s="8"/>
      <c r="D380" s="8"/>
      <c r="E380" s="8"/>
      <c r="F380" s="8"/>
      <c r="G380" s="9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  <c r="BU380" s="10"/>
      <c r="BV380" s="10"/>
      <c r="BW380" s="10"/>
      <c r="BX380" s="10"/>
      <c r="BY380" s="10"/>
      <c r="BZ380" s="10"/>
      <c r="CA380" s="10"/>
      <c r="CB380" s="10"/>
      <c r="CC380" s="10"/>
      <c r="CD380" s="10"/>
      <c r="CE380" s="10"/>
      <c r="CF380" s="10"/>
      <c r="CG380" s="10"/>
      <c r="CH380" s="10"/>
      <c r="CI380" s="10"/>
      <c r="CJ380" s="10"/>
      <c r="CK380" s="10"/>
      <c r="CL380" s="10"/>
      <c r="CM380" s="10"/>
      <c r="CN380" s="10"/>
      <c r="CO380" s="10"/>
      <c r="CP380" s="10"/>
      <c r="CQ380" s="10"/>
      <c r="CR380" s="10"/>
      <c r="CS380" s="10"/>
      <c r="CT380" s="10"/>
      <c r="CU380" s="10"/>
      <c r="CV380" s="10"/>
      <c r="CW380" s="10"/>
      <c r="CX380" s="10"/>
      <c r="CY380" s="10"/>
      <c r="CZ380" s="10"/>
      <c r="DA380" s="10"/>
      <c r="DB380" s="10"/>
      <c r="DC380" s="10"/>
      <c r="DD380" s="10"/>
      <c r="DE380" s="10"/>
      <c r="DF380" s="10"/>
      <c r="DG380" s="10"/>
      <c r="DH380" s="10"/>
      <c r="DI380" s="10"/>
      <c r="DJ380" s="10"/>
      <c r="DK380" s="10"/>
      <c r="DL380" s="10"/>
      <c r="DM380" s="10"/>
      <c r="DN380" s="10"/>
      <c r="DO380" s="10"/>
      <c r="DP380" s="10"/>
      <c r="DQ380" s="10"/>
      <c r="DR380" s="10"/>
      <c r="DS380" s="10"/>
      <c r="DT380" s="10"/>
      <c r="DU380" s="10"/>
      <c r="DV380" s="10"/>
      <c r="DW380" s="10"/>
      <c r="DX380" s="10"/>
      <c r="DY380" s="10"/>
      <c r="DZ380" s="10"/>
      <c r="EA380" s="10"/>
      <c r="EB380" s="10"/>
      <c r="EC380" s="10"/>
      <c r="ED380" s="10"/>
      <c r="EE380" s="10"/>
      <c r="EF380" s="10"/>
      <c r="EG380" s="10"/>
      <c r="EH380" s="10"/>
      <c r="EI380" s="10"/>
      <c r="EJ380" s="10"/>
      <c r="EK380" s="10"/>
      <c r="EL380" s="10"/>
      <c r="EM380" s="10"/>
      <c r="EN380" s="10"/>
      <c r="EO380" s="10"/>
      <c r="EP380" s="10"/>
      <c r="EQ380" s="10"/>
      <c r="ER380" s="10"/>
      <c r="ES380" s="10"/>
      <c r="ET380" s="10"/>
      <c r="EU380" s="10"/>
      <c r="EV380" s="10"/>
      <c r="EW380" s="10"/>
      <c r="EX380" s="10"/>
      <c r="EY380" s="10"/>
      <c r="EZ380" s="10"/>
      <c r="FA380" s="10"/>
      <c r="FB380" s="10"/>
      <c r="FC380" s="10"/>
      <c r="FD380" s="10"/>
      <c r="FE380" s="10"/>
      <c r="FF380" s="10"/>
      <c r="FG380" s="10"/>
      <c r="FH380" s="10"/>
      <c r="FI380" s="10"/>
      <c r="FJ380" s="10"/>
      <c r="FK380" s="10"/>
      <c r="FL380" s="10"/>
      <c r="FM380" s="10"/>
      <c r="FN380" s="10"/>
      <c r="FO380" s="10"/>
      <c r="FP380" s="10"/>
      <c r="FQ380" s="10"/>
      <c r="FR380" s="10"/>
      <c r="FS380" s="10"/>
      <c r="FT380" s="10"/>
      <c r="FU380" s="10"/>
      <c r="FV380" s="10"/>
      <c r="FW380" s="10"/>
      <c r="FX380" s="10"/>
      <c r="FY380" s="10"/>
      <c r="FZ380" s="10"/>
      <c r="GA380" s="10"/>
      <c r="GB380" s="10"/>
      <c r="GC380" s="10"/>
      <c r="GD380" s="10"/>
      <c r="GE380" s="10"/>
      <c r="GF380" s="10"/>
      <c r="GG380" s="10"/>
      <c r="GH380" s="10"/>
      <c r="GI380" s="10"/>
      <c r="GJ380" s="10"/>
      <c r="GK380" s="10"/>
    </row>
    <row r="381" customFormat="false" ht="12.75" hidden="false" customHeight="false" outlineLevel="0" collapsed="false">
      <c r="A381" s="7"/>
      <c r="B381" s="7"/>
      <c r="C381" s="8"/>
      <c r="D381" s="8"/>
      <c r="E381" s="8"/>
      <c r="F381" s="8"/>
      <c r="G381" s="9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  <c r="BV381" s="10"/>
      <c r="BW381" s="10"/>
      <c r="BX381" s="10"/>
      <c r="BY381" s="10"/>
      <c r="BZ381" s="10"/>
      <c r="CA381" s="10"/>
      <c r="CB381" s="10"/>
      <c r="CC381" s="10"/>
      <c r="CD381" s="10"/>
      <c r="CE381" s="10"/>
      <c r="CF381" s="10"/>
      <c r="CG381" s="10"/>
      <c r="CH381" s="10"/>
      <c r="CI381" s="10"/>
      <c r="CJ381" s="10"/>
      <c r="CK381" s="10"/>
      <c r="CL381" s="10"/>
      <c r="CM381" s="10"/>
      <c r="CN381" s="10"/>
      <c r="CO381" s="10"/>
      <c r="CP381" s="10"/>
      <c r="CQ381" s="10"/>
      <c r="CR381" s="10"/>
      <c r="CS381" s="10"/>
      <c r="CT381" s="10"/>
      <c r="CU381" s="10"/>
      <c r="CV381" s="10"/>
      <c r="CW381" s="10"/>
      <c r="CX381" s="10"/>
      <c r="CY381" s="10"/>
      <c r="CZ381" s="10"/>
      <c r="DA381" s="10"/>
      <c r="DB381" s="10"/>
      <c r="DC381" s="10"/>
      <c r="DD381" s="10"/>
      <c r="DE381" s="10"/>
      <c r="DF381" s="10"/>
      <c r="DG381" s="10"/>
      <c r="DH381" s="10"/>
      <c r="DI381" s="10"/>
      <c r="DJ381" s="10"/>
      <c r="DK381" s="10"/>
      <c r="DL381" s="10"/>
      <c r="DM381" s="10"/>
      <c r="DN381" s="10"/>
      <c r="DO381" s="10"/>
      <c r="DP381" s="10"/>
      <c r="DQ381" s="10"/>
      <c r="DR381" s="10"/>
      <c r="DS381" s="10"/>
      <c r="DT381" s="10"/>
      <c r="DU381" s="10"/>
      <c r="DV381" s="10"/>
      <c r="DW381" s="10"/>
      <c r="DX381" s="10"/>
      <c r="DY381" s="10"/>
      <c r="DZ381" s="10"/>
      <c r="EA381" s="10"/>
      <c r="EB381" s="10"/>
      <c r="EC381" s="10"/>
      <c r="ED381" s="10"/>
      <c r="EE381" s="10"/>
      <c r="EF381" s="10"/>
      <c r="EG381" s="10"/>
      <c r="EH381" s="10"/>
      <c r="EI381" s="10"/>
      <c r="EJ381" s="10"/>
      <c r="EK381" s="10"/>
      <c r="EL381" s="10"/>
      <c r="EM381" s="10"/>
      <c r="EN381" s="10"/>
      <c r="EO381" s="10"/>
      <c r="EP381" s="10"/>
      <c r="EQ381" s="10"/>
      <c r="ER381" s="10"/>
      <c r="ES381" s="10"/>
      <c r="ET381" s="10"/>
      <c r="EU381" s="10"/>
      <c r="EV381" s="10"/>
      <c r="EW381" s="10"/>
      <c r="EX381" s="10"/>
      <c r="EY381" s="10"/>
      <c r="EZ381" s="10"/>
      <c r="FA381" s="10"/>
      <c r="FB381" s="10"/>
      <c r="FC381" s="10"/>
      <c r="FD381" s="10"/>
      <c r="FE381" s="10"/>
      <c r="FF381" s="10"/>
      <c r="FG381" s="10"/>
      <c r="FH381" s="10"/>
      <c r="FI381" s="10"/>
      <c r="FJ381" s="10"/>
      <c r="FK381" s="10"/>
      <c r="FL381" s="10"/>
      <c r="FM381" s="10"/>
      <c r="FN381" s="10"/>
      <c r="FO381" s="10"/>
      <c r="FP381" s="10"/>
      <c r="FQ381" s="10"/>
      <c r="FR381" s="10"/>
      <c r="FS381" s="10"/>
      <c r="FT381" s="10"/>
      <c r="FU381" s="10"/>
      <c r="FV381" s="10"/>
      <c r="FW381" s="10"/>
      <c r="FX381" s="10"/>
      <c r="FY381" s="10"/>
      <c r="FZ381" s="10"/>
      <c r="GA381" s="10"/>
      <c r="GB381" s="10"/>
      <c r="GC381" s="10"/>
      <c r="GD381" s="10"/>
      <c r="GE381" s="10"/>
      <c r="GF381" s="10"/>
      <c r="GG381" s="10"/>
      <c r="GH381" s="10"/>
      <c r="GI381" s="10"/>
      <c r="GJ381" s="10"/>
      <c r="GK381" s="10"/>
    </row>
    <row r="382" customFormat="false" ht="12.75" hidden="false" customHeight="false" outlineLevel="0" collapsed="false">
      <c r="A382" s="7"/>
      <c r="B382" s="7"/>
      <c r="C382" s="8"/>
      <c r="D382" s="8"/>
      <c r="E382" s="8"/>
      <c r="F382" s="8"/>
      <c r="G382" s="9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  <c r="CB382" s="10"/>
      <c r="CC382" s="10"/>
      <c r="CD382" s="10"/>
      <c r="CE382" s="10"/>
      <c r="CF382" s="10"/>
      <c r="CG382" s="10"/>
      <c r="CH382" s="10"/>
      <c r="CI382" s="10"/>
      <c r="CJ382" s="10"/>
      <c r="CK382" s="10"/>
      <c r="CL382" s="10"/>
      <c r="CM382" s="10"/>
      <c r="CN382" s="10"/>
      <c r="CO382" s="10"/>
      <c r="CP382" s="10"/>
      <c r="CQ382" s="10"/>
      <c r="CR382" s="10"/>
      <c r="CS382" s="10"/>
      <c r="CT382" s="10"/>
      <c r="CU382" s="10"/>
      <c r="CV382" s="10"/>
      <c r="CW382" s="10"/>
      <c r="CX382" s="10"/>
      <c r="CY382" s="10"/>
      <c r="CZ382" s="10"/>
      <c r="DA382" s="10"/>
      <c r="DB382" s="10"/>
      <c r="DC382" s="10"/>
      <c r="DD382" s="10"/>
      <c r="DE382" s="10"/>
      <c r="DF382" s="10"/>
      <c r="DG382" s="10"/>
      <c r="DH382" s="10"/>
      <c r="DI382" s="10"/>
      <c r="DJ382" s="10"/>
      <c r="DK382" s="10"/>
      <c r="DL382" s="10"/>
      <c r="DM382" s="10"/>
      <c r="DN382" s="10"/>
      <c r="DO382" s="10"/>
      <c r="DP382" s="10"/>
      <c r="DQ382" s="10"/>
      <c r="DR382" s="10"/>
      <c r="DS382" s="10"/>
      <c r="DT382" s="10"/>
      <c r="DU382" s="10"/>
      <c r="DV382" s="10"/>
      <c r="DW382" s="10"/>
      <c r="DX382" s="10"/>
      <c r="DY382" s="10"/>
      <c r="DZ382" s="10"/>
      <c r="EA382" s="10"/>
      <c r="EB382" s="10"/>
      <c r="EC382" s="10"/>
      <c r="ED382" s="10"/>
      <c r="EE382" s="10"/>
      <c r="EF382" s="10"/>
      <c r="EG382" s="10"/>
      <c r="EH382" s="10"/>
      <c r="EI382" s="10"/>
      <c r="EJ382" s="10"/>
      <c r="EK382" s="10"/>
      <c r="EL382" s="10"/>
      <c r="EM382" s="10"/>
      <c r="EN382" s="10"/>
      <c r="EO382" s="10"/>
      <c r="EP382" s="10"/>
      <c r="EQ382" s="10"/>
      <c r="ER382" s="10"/>
      <c r="ES382" s="10"/>
      <c r="ET382" s="10"/>
      <c r="EU382" s="10"/>
      <c r="EV382" s="10"/>
      <c r="EW382" s="10"/>
      <c r="EX382" s="10"/>
      <c r="EY382" s="10"/>
      <c r="EZ382" s="10"/>
      <c r="FA382" s="10"/>
      <c r="FB382" s="10"/>
      <c r="FC382" s="10"/>
      <c r="FD382" s="10"/>
      <c r="FE382" s="10"/>
      <c r="FF382" s="10"/>
      <c r="FG382" s="10"/>
      <c r="FH382" s="10"/>
      <c r="FI382" s="10"/>
      <c r="FJ382" s="10"/>
      <c r="FK382" s="10"/>
      <c r="FL382" s="10"/>
      <c r="FM382" s="10"/>
      <c r="FN382" s="10"/>
      <c r="FO382" s="10"/>
      <c r="FP382" s="10"/>
      <c r="FQ382" s="10"/>
      <c r="FR382" s="10"/>
      <c r="FS382" s="10"/>
      <c r="FT382" s="10"/>
      <c r="FU382" s="10"/>
      <c r="FV382" s="10"/>
      <c r="FW382" s="10"/>
      <c r="FX382" s="10"/>
      <c r="FY382" s="10"/>
      <c r="FZ382" s="10"/>
      <c r="GA382" s="10"/>
      <c r="GB382" s="10"/>
      <c r="GC382" s="10"/>
      <c r="GD382" s="10"/>
      <c r="GE382" s="10"/>
      <c r="GF382" s="10"/>
      <c r="GG382" s="10"/>
      <c r="GH382" s="10"/>
      <c r="GI382" s="10"/>
      <c r="GJ382" s="10"/>
      <c r="GK382" s="10"/>
    </row>
    <row r="383" customFormat="false" ht="12.75" hidden="false" customHeight="false" outlineLevel="0" collapsed="false">
      <c r="A383" s="7"/>
      <c r="B383" s="7"/>
      <c r="C383" s="8"/>
      <c r="D383" s="8"/>
      <c r="E383" s="8"/>
      <c r="F383" s="8"/>
      <c r="G383" s="9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10"/>
      <c r="CC383" s="10"/>
      <c r="CD383" s="10"/>
      <c r="CE383" s="10"/>
      <c r="CF383" s="10"/>
      <c r="CG383" s="10"/>
      <c r="CH383" s="10"/>
      <c r="CI383" s="10"/>
      <c r="CJ383" s="10"/>
      <c r="CK383" s="10"/>
      <c r="CL383" s="10"/>
      <c r="CM383" s="10"/>
      <c r="CN383" s="10"/>
      <c r="CO383" s="10"/>
      <c r="CP383" s="10"/>
      <c r="CQ383" s="10"/>
      <c r="CR383" s="10"/>
      <c r="CS383" s="10"/>
      <c r="CT383" s="10"/>
      <c r="CU383" s="10"/>
      <c r="CV383" s="10"/>
      <c r="CW383" s="10"/>
      <c r="CX383" s="10"/>
      <c r="CY383" s="10"/>
      <c r="CZ383" s="10"/>
      <c r="DA383" s="10"/>
      <c r="DB383" s="10"/>
      <c r="DC383" s="10"/>
      <c r="DD383" s="10"/>
      <c r="DE383" s="10"/>
      <c r="DF383" s="10"/>
      <c r="DG383" s="10"/>
      <c r="DH383" s="10"/>
      <c r="DI383" s="10"/>
      <c r="DJ383" s="10"/>
      <c r="DK383" s="10"/>
      <c r="DL383" s="10"/>
      <c r="DM383" s="10"/>
      <c r="DN383" s="10"/>
      <c r="DO383" s="10"/>
      <c r="DP383" s="10"/>
      <c r="DQ383" s="10"/>
      <c r="DR383" s="10"/>
      <c r="DS383" s="10"/>
      <c r="DT383" s="10"/>
      <c r="DU383" s="10"/>
      <c r="DV383" s="10"/>
      <c r="DW383" s="10"/>
      <c r="DX383" s="10"/>
      <c r="DY383" s="10"/>
      <c r="DZ383" s="10"/>
      <c r="EA383" s="10"/>
      <c r="EB383" s="10"/>
      <c r="EC383" s="10"/>
      <c r="ED383" s="10"/>
      <c r="EE383" s="10"/>
      <c r="EF383" s="10"/>
      <c r="EG383" s="10"/>
      <c r="EH383" s="10"/>
      <c r="EI383" s="10"/>
      <c r="EJ383" s="10"/>
      <c r="EK383" s="10"/>
      <c r="EL383" s="10"/>
      <c r="EM383" s="10"/>
      <c r="EN383" s="10"/>
      <c r="EO383" s="10"/>
      <c r="EP383" s="10"/>
      <c r="EQ383" s="10"/>
      <c r="ER383" s="10"/>
      <c r="ES383" s="10"/>
      <c r="ET383" s="10"/>
      <c r="EU383" s="10"/>
      <c r="EV383" s="10"/>
      <c r="EW383" s="10"/>
      <c r="EX383" s="10"/>
      <c r="EY383" s="10"/>
      <c r="EZ383" s="10"/>
      <c r="FA383" s="10"/>
      <c r="FB383" s="10"/>
      <c r="FC383" s="10"/>
      <c r="FD383" s="10"/>
      <c r="FE383" s="10"/>
      <c r="FF383" s="10"/>
      <c r="FG383" s="10"/>
      <c r="FH383" s="10"/>
      <c r="FI383" s="10"/>
      <c r="FJ383" s="10"/>
      <c r="FK383" s="10"/>
      <c r="FL383" s="10"/>
      <c r="FM383" s="10"/>
      <c r="FN383" s="10"/>
      <c r="FO383" s="10"/>
      <c r="FP383" s="10"/>
      <c r="FQ383" s="10"/>
      <c r="FR383" s="10"/>
      <c r="FS383" s="10"/>
      <c r="FT383" s="10"/>
      <c r="FU383" s="10"/>
      <c r="FV383" s="10"/>
      <c r="FW383" s="10"/>
      <c r="FX383" s="10"/>
      <c r="FY383" s="10"/>
      <c r="FZ383" s="10"/>
      <c r="GA383" s="10"/>
      <c r="GB383" s="10"/>
      <c r="GC383" s="10"/>
      <c r="GD383" s="10"/>
      <c r="GE383" s="10"/>
      <c r="GF383" s="10"/>
      <c r="GG383" s="10"/>
      <c r="GH383" s="10"/>
      <c r="GI383" s="10"/>
      <c r="GJ383" s="10"/>
      <c r="GK383" s="10"/>
    </row>
    <row r="384" customFormat="false" ht="12.75" hidden="false" customHeight="false" outlineLevel="0" collapsed="false">
      <c r="A384" s="7"/>
      <c r="B384" s="7"/>
      <c r="C384" s="8"/>
      <c r="D384" s="8"/>
      <c r="E384" s="8"/>
      <c r="F384" s="8"/>
      <c r="G384" s="9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  <c r="BU384" s="10"/>
      <c r="BV384" s="10"/>
      <c r="BW384" s="10"/>
      <c r="BX384" s="10"/>
      <c r="BY384" s="10"/>
      <c r="BZ384" s="10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  <c r="EM384" s="10"/>
      <c r="EN384" s="10"/>
      <c r="EO384" s="10"/>
      <c r="EP384" s="10"/>
      <c r="EQ384" s="10"/>
      <c r="ER384" s="10"/>
      <c r="ES384" s="10"/>
      <c r="ET384" s="10"/>
      <c r="EU384" s="10"/>
      <c r="EV384" s="10"/>
      <c r="EW384" s="10"/>
      <c r="EX384" s="10"/>
      <c r="EY384" s="10"/>
      <c r="EZ384" s="10"/>
      <c r="FA384" s="10"/>
      <c r="FB384" s="10"/>
      <c r="FC384" s="10"/>
      <c r="FD384" s="10"/>
      <c r="FE384" s="10"/>
      <c r="FF384" s="10"/>
      <c r="FG384" s="10"/>
      <c r="FH384" s="10"/>
      <c r="FI384" s="10"/>
      <c r="FJ384" s="10"/>
      <c r="FK384" s="10"/>
      <c r="FL384" s="10"/>
      <c r="FM384" s="10"/>
      <c r="FN384" s="10"/>
      <c r="FO384" s="10"/>
      <c r="FP384" s="10"/>
      <c r="FQ384" s="10"/>
      <c r="FR384" s="10"/>
      <c r="FS384" s="10"/>
      <c r="FT384" s="10"/>
      <c r="FU384" s="10"/>
      <c r="FV384" s="10"/>
      <c r="FW384" s="10"/>
      <c r="FX384" s="10"/>
      <c r="FY384" s="10"/>
      <c r="FZ384" s="10"/>
      <c r="GA384" s="10"/>
      <c r="GB384" s="10"/>
      <c r="GC384" s="10"/>
      <c r="GD384" s="10"/>
      <c r="GE384" s="10"/>
      <c r="GF384" s="10"/>
      <c r="GG384" s="10"/>
      <c r="GH384" s="10"/>
      <c r="GI384" s="10"/>
      <c r="GJ384" s="10"/>
      <c r="GK384" s="10"/>
    </row>
    <row r="385" customFormat="false" ht="12.75" hidden="false" customHeight="false" outlineLevel="0" collapsed="false">
      <c r="A385" s="7"/>
      <c r="B385" s="7"/>
      <c r="C385" s="8"/>
      <c r="D385" s="8"/>
      <c r="E385" s="8"/>
      <c r="F385" s="8"/>
      <c r="G385" s="9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  <c r="BU385" s="10"/>
      <c r="BV385" s="10"/>
      <c r="BW385" s="10"/>
      <c r="BX385" s="10"/>
      <c r="BY385" s="10"/>
      <c r="BZ385" s="10"/>
      <c r="CA385" s="10"/>
      <c r="CB385" s="10"/>
      <c r="CC385" s="10"/>
      <c r="CD385" s="10"/>
      <c r="CE385" s="10"/>
      <c r="CF385" s="10"/>
      <c r="CG385" s="10"/>
      <c r="CH385" s="10"/>
      <c r="CI385" s="10"/>
      <c r="CJ385" s="10"/>
      <c r="CK385" s="10"/>
      <c r="CL385" s="10"/>
      <c r="CM385" s="10"/>
      <c r="CN385" s="10"/>
      <c r="CO385" s="10"/>
      <c r="CP385" s="10"/>
      <c r="CQ385" s="10"/>
      <c r="CR385" s="10"/>
      <c r="CS385" s="10"/>
      <c r="CT385" s="10"/>
      <c r="CU385" s="10"/>
      <c r="CV385" s="10"/>
      <c r="CW385" s="10"/>
      <c r="CX385" s="10"/>
      <c r="CY385" s="10"/>
      <c r="CZ385" s="10"/>
      <c r="DA385" s="10"/>
      <c r="DB385" s="10"/>
      <c r="DC385" s="10"/>
      <c r="DD385" s="10"/>
      <c r="DE385" s="10"/>
      <c r="DF385" s="10"/>
      <c r="DG385" s="10"/>
      <c r="DH385" s="10"/>
      <c r="DI385" s="10"/>
      <c r="DJ385" s="10"/>
      <c r="DK385" s="10"/>
      <c r="DL385" s="10"/>
      <c r="DM385" s="10"/>
      <c r="DN385" s="10"/>
      <c r="DO385" s="10"/>
      <c r="DP385" s="10"/>
      <c r="DQ385" s="10"/>
      <c r="DR385" s="10"/>
      <c r="DS385" s="10"/>
      <c r="DT385" s="10"/>
      <c r="DU385" s="10"/>
      <c r="DV385" s="10"/>
      <c r="DW385" s="10"/>
      <c r="DX385" s="10"/>
      <c r="DY385" s="10"/>
      <c r="DZ385" s="10"/>
      <c r="EA385" s="10"/>
      <c r="EB385" s="10"/>
      <c r="EC385" s="10"/>
      <c r="ED385" s="10"/>
      <c r="EE385" s="10"/>
      <c r="EF385" s="10"/>
      <c r="EG385" s="10"/>
      <c r="EH385" s="10"/>
      <c r="EI385" s="10"/>
      <c r="EJ385" s="10"/>
      <c r="EK385" s="10"/>
      <c r="EL385" s="10"/>
      <c r="EM385" s="10"/>
      <c r="EN385" s="10"/>
      <c r="EO385" s="10"/>
      <c r="EP385" s="10"/>
      <c r="EQ385" s="10"/>
      <c r="ER385" s="10"/>
      <c r="ES385" s="10"/>
      <c r="ET385" s="10"/>
      <c r="EU385" s="10"/>
      <c r="EV385" s="10"/>
      <c r="EW385" s="10"/>
      <c r="EX385" s="10"/>
      <c r="EY385" s="10"/>
      <c r="EZ385" s="10"/>
      <c r="FA385" s="10"/>
      <c r="FB385" s="10"/>
      <c r="FC385" s="10"/>
      <c r="FD385" s="10"/>
      <c r="FE385" s="10"/>
      <c r="FF385" s="10"/>
      <c r="FG385" s="10"/>
      <c r="FH385" s="10"/>
      <c r="FI385" s="10"/>
      <c r="FJ385" s="10"/>
      <c r="FK385" s="10"/>
      <c r="FL385" s="10"/>
      <c r="FM385" s="10"/>
      <c r="FN385" s="10"/>
      <c r="FO385" s="10"/>
      <c r="FP385" s="10"/>
      <c r="FQ385" s="10"/>
      <c r="FR385" s="10"/>
      <c r="FS385" s="10"/>
      <c r="FT385" s="10"/>
      <c r="FU385" s="10"/>
      <c r="FV385" s="10"/>
      <c r="FW385" s="10"/>
      <c r="FX385" s="10"/>
      <c r="FY385" s="10"/>
      <c r="FZ385" s="10"/>
      <c r="GA385" s="10"/>
      <c r="GB385" s="10"/>
      <c r="GC385" s="10"/>
      <c r="GD385" s="10"/>
      <c r="GE385" s="10"/>
      <c r="GF385" s="10"/>
      <c r="GG385" s="10"/>
      <c r="GH385" s="10"/>
      <c r="GI385" s="10"/>
      <c r="GJ385" s="10"/>
      <c r="GK385" s="10"/>
    </row>
    <row r="386" customFormat="false" ht="12.75" hidden="false" customHeight="false" outlineLevel="0" collapsed="false">
      <c r="A386" s="7"/>
      <c r="B386" s="7"/>
      <c r="C386" s="8"/>
      <c r="D386" s="8"/>
      <c r="E386" s="8"/>
      <c r="F386" s="8"/>
      <c r="G386" s="9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  <c r="BU386" s="10"/>
      <c r="BV386" s="10"/>
      <c r="BW386" s="10"/>
      <c r="BX386" s="10"/>
      <c r="BY386" s="10"/>
      <c r="BZ386" s="10"/>
      <c r="CA386" s="10"/>
      <c r="CB386" s="10"/>
      <c r="CC386" s="10"/>
      <c r="CD386" s="10"/>
      <c r="CE386" s="10"/>
      <c r="CF386" s="10"/>
      <c r="CG386" s="10"/>
      <c r="CH386" s="10"/>
      <c r="CI386" s="10"/>
      <c r="CJ386" s="10"/>
      <c r="CK386" s="10"/>
      <c r="CL386" s="10"/>
      <c r="CM386" s="10"/>
      <c r="CN386" s="10"/>
      <c r="CO386" s="10"/>
      <c r="CP386" s="10"/>
      <c r="CQ386" s="10"/>
      <c r="CR386" s="10"/>
      <c r="CS386" s="10"/>
      <c r="CT386" s="10"/>
      <c r="CU386" s="10"/>
      <c r="CV386" s="10"/>
      <c r="CW386" s="10"/>
      <c r="CX386" s="10"/>
      <c r="CY386" s="10"/>
      <c r="CZ386" s="10"/>
      <c r="DA386" s="10"/>
      <c r="DB386" s="10"/>
      <c r="DC386" s="10"/>
      <c r="DD386" s="10"/>
      <c r="DE386" s="10"/>
      <c r="DF386" s="10"/>
      <c r="DG386" s="10"/>
      <c r="DH386" s="10"/>
      <c r="DI386" s="10"/>
      <c r="DJ386" s="10"/>
      <c r="DK386" s="10"/>
      <c r="DL386" s="10"/>
      <c r="DM386" s="10"/>
      <c r="DN386" s="10"/>
      <c r="DO386" s="10"/>
      <c r="DP386" s="10"/>
      <c r="DQ386" s="10"/>
      <c r="DR386" s="10"/>
      <c r="DS386" s="10"/>
      <c r="DT386" s="10"/>
      <c r="DU386" s="10"/>
      <c r="DV386" s="10"/>
      <c r="DW386" s="10"/>
      <c r="DX386" s="10"/>
      <c r="DY386" s="10"/>
      <c r="DZ386" s="10"/>
      <c r="EA386" s="10"/>
      <c r="EB386" s="10"/>
      <c r="EC386" s="10"/>
      <c r="ED386" s="10"/>
      <c r="EE386" s="10"/>
      <c r="EF386" s="10"/>
      <c r="EG386" s="10"/>
      <c r="EH386" s="10"/>
      <c r="EI386" s="10"/>
      <c r="EJ386" s="10"/>
      <c r="EK386" s="10"/>
      <c r="EL386" s="10"/>
      <c r="EM386" s="10"/>
      <c r="EN386" s="10"/>
      <c r="EO386" s="10"/>
      <c r="EP386" s="10"/>
      <c r="EQ386" s="10"/>
      <c r="ER386" s="10"/>
      <c r="ES386" s="10"/>
      <c r="ET386" s="10"/>
      <c r="EU386" s="10"/>
      <c r="EV386" s="10"/>
      <c r="EW386" s="10"/>
      <c r="EX386" s="10"/>
      <c r="EY386" s="10"/>
      <c r="EZ386" s="10"/>
      <c r="FA386" s="10"/>
      <c r="FB386" s="10"/>
      <c r="FC386" s="10"/>
      <c r="FD386" s="10"/>
      <c r="FE386" s="10"/>
      <c r="FF386" s="10"/>
      <c r="FG386" s="10"/>
      <c r="FH386" s="10"/>
      <c r="FI386" s="10"/>
      <c r="FJ386" s="10"/>
      <c r="FK386" s="10"/>
      <c r="FL386" s="10"/>
      <c r="FM386" s="10"/>
      <c r="FN386" s="10"/>
      <c r="FO386" s="10"/>
      <c r="FP386" s="10"/>
      <c r="FQ386" s="10"/>
      <c r="FR386" s="10"/>
      <c r="FS386" s="10"/>
      <c r="FT386" s="10"/>
      <c r="FU386" s="10"/>
      <c r="FV386" s="10"/>
      <c r="FW386" s="10"/>
      <c r="FX386" s="10"/>
      <c r="FY386" s="10"/>
      <c r="FZ386" s="10"/>
      <c r="GA386" s="10"/>
      <c r="GB386" s="10"/>
      <c r="GC386" s="10"/>
      <c r="GD386" s="10"/>
      <c r="GE386" s="10"/>
      <c r="GF386" s="10"/>
      <c r="GG386" s="10"/>
      <c r="GH386" s="10"/>
      <c r="GI386" s="10"/>
      <c r="GJ386" s="10"/>
      <c r="GK386" s="10"/>
    </row>
    <row r="387" customFormat="false" ht="12.75" hidden="false" customHeight="false" outlineLevel="0" collapsed="false">
      <c r="A387" s="7"/>
      <c r="B387" s="7"/>
      <c r="C387" s="8"/>
      <c r="D387" s="8"/>
      <c r="E387" s="8"/>
      <c r="F387" s="8"/>
      <c r="G387" s="9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  <c r="BU387" s="10"/>
      <c r="BV387" s="10"/>
      <c r="BW387" s="10"/>
      <c r="BX387" s="10"/>
      <c r="BY387" s="10"/>
      <c r="BZ387" s="10"/>
      <c r="CA387" s="10"/>
      <c r="CB387" s="10"/>
      <c r="CC387" s="10"/>
      <c r="CD387" s="10"/>
      <c r="CE387" s="10"/>
      <c r="CF387" s="10"/>
      <c r="CG387" s="10"/>
      <c r="CH387" s="10"/>
      <c r="CI387" s="10"/>
      <c r="CJ387" s="10"/>
      <c r="CK387" s="10"/>
      <c r="CL387" s="10"/>
      <c r="CM387" s="10"/>
      <c r="CN387" s="10"/>
      <c r="CO387" s="10"/>
      <c r="CP387" s="10"/>
      <c r="CQ387" s="10"/>
      <c r="CR387" s="10"/>
      <c r="CS387" s="10"/>
      <c r="CT387" s="10"/>
      <c r="CU387" s="10"/>
      <c r="CV387" s="10"/>
      <c r="CW387" s="10"/>
      <c r="CX387" s="10"/>
      <c r="CY387" s="10"/>
      <c r="CZ387" s="10"/>
      <c r="DA387" s="10"/>
      <c r="DB387" s="10"/>
      <c r="DC387" s="10"/>
      <c r="DD387" s="10"/>
      <c r="DE387" s="10"/>
      <c r="DF387" s="10"/>
      <c r="DG387" s="10"/>
      <c r="DH387" s="10"/>
      <c r="DI387" s="10"/>
      <c r="DJ387" s="10"/>
      <c r="DK387" s="10"/>
      <c r="DL387" s="10"/>
      <c r="DM387" s="10"/>
      <c r="DN387" s="10"/>
      <c r="DO387" s="10"/>
      <c r="DP387" s="10"/>
      <c r="DQ387" s="10"/>
      <c r="DR387" s="10"/>
      <c r="DS387" s="10"/>
      <c r="DT387" s="10"/>
      <c r="DU387" s="10"/>
      <c r="DV387" s="10"/>
      <c r="DW387" s="10"/>
      <c r="DX387" s="10"/>
      <c r="DY387" s="10"/>
      <c r="DZ387" s="10"/>
      <c r="EA387" s="10"/>
      <c r="EB387" s="10"/>
      <c r="EC387" s="10"/>
      <c r="ED387" s="10"/>
      <c r="EE387" s="10"/>
      <c r="EF387" s="10"/>
      <c r="EG387" s="10"/>
      <c r="EH387" s="10"/>
      <c r="EI387" s="10"/>
      <c r="EJ387" s="10"/>
      <c r="EK387" s="10"/>
      <c r="EL387" s="10"/>
      <c r="EM387" s="10"/>
      <c r="EN387" s="10"/>
      <c r="EO387" s="10"/>
      <c r="EP387" s="10"/>
      <c r="EQ387" s="10"/>
      <c r="ER387" s="10"/>
      <c r="ES387" s="10"/>
      <c r="ET387" s="10"/>
      <c r="EU387" s="10"/>
      <c r="EV387" s="10"/>
      <c r="EW387" s="10"/>
      <c r="EX387" s="10"/>
      <c r="EY387" s="10"/>
      <c r="EZ387" s="10"/>
      <c r="FA387" s="10"/>
      <c r="FB387" s="10"/>
      <c r="FC387" s="10"/>
      <c r="FD387" s="10"/>
      <c r="FE387" s="10"/>
      <c r="FF387" s="10"/>
      <c r="FG387" s="10"/>
      <c r="FH387" s="10"/>
      <c r="FI387" s="10"/>
      <c r="FJ387" s="10"/>
      <c r="FK387" s="10"/>
      <c r="FL387" s="10"/>
      <c r="FM387" s="10"/>
      <c r="FN387" s="10"/>
      <c r="FO387" s="10"/>
      <c r="FP387" s="10"/>
      <c r="FQ387" s="10"/>
      <c r="FR387" s="10"/>
      <c r="FS387" s="10"/>
      <c r="FT387" s="10"/>
      <c r="FU387" s="10"/>
      <c r="FV387" s="10"/>
      <c r="FW387" s="10"/>
      <c r="FX387" s="10"/>
      <c r="FY387" s="10"/>
      <c r="FZ387" s="10"/>
      <c r="GA387" s="10"/>
      <c r="GB387" s="10"/>
      <c r="GC387" s="10"/>
      <c r="GD387" s="10"/>
      <c r="GE387" s="10"/>
      <c r="GF387" s="10"/>
      <c r="GG387" s="10"/>
      <c r="GH387" s="10"/>
      <c r="GI387" s="10"/>
      <c r="GJ387" s="10"/>
      <c r="GK387" s="10"/>
    </row>
    <row r="388" customFormat="false" ht="12.75" hidden="false" customHeight="false" outlineLevel="0" collapsed="false">
      <c r="A388" s="7"/>
      <c r="B388" s="7"/>
      <c r="C388" s="8"/>
      <c r="D388" s="8"/>
      <c r="E388" s="8"/>
      <c r="F388" s="8"/>
      <c r="G388" s="9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  <c r="BU388" s="10"/>
      <c r="BV388" s="10"/>
      <c r="BW388" s="10"/>
      <c r="BX388" s="10"/>
      <c r="BY388" s="10"/>
      <c r="BZ388" s="10"/>
      <c r="CA388" s="10"/>
      <c r="CB388" s="10"/>
      <c r="CC388" s="10"/>
      <c r="CD388" s="10"/>
      <c r="CE388" s="10"/>
      <c r="CF388" s="10"/>
      <c r="CG388" s="10"/>
      <c r="CH388" s="10"/>
      <c r="CI388" s="10"/>
      <c r="CJ388" s="10"/>
      <c r="CK388" s="10"/>
      <c r="CL388" s="10"/>
      <c r="CM388" s="10"/>
      <c r="CN388" s="10"/>
      <c r="CO388" s="10"/>
      <c r="CP388" s="10"/>
      <c r="CQ388" s="10"/>
      <c r="CR388" s="10"/>
      <c r="CS388" s="10"/>
      <c r="CT388" s="10"/>
      <c r="CU388" s="10"/>
      <c r="CV388" s="10"/>
      <c r="CW388" s="10"/>
      <c r="CX388" s="10"/>
      <c r="CY388" s="10"/>
      <c r="CZ388" s="10"/>
      <c r="DA388" s="10"/>
      <c r="DB388" s="10"/>
      <c r="DC388" s="10"/>
      <c r="DD388" s="10"/>
      <c r="DE388" s="10"/>
      <c r="DF388" s="10"/>
      <c r="DG388" s="10"/>
      <c r="DH388" s="10"/>
      <c r="DI388" s="10"/>
      <c r="DJ388" s="10"/>
      <c r="DK388" s="10"/>
      <c r="DL388" s="10"/>
      <c r="DM388" s="10"/>
      <c r="DN388" s="10"/>
      <c r="DO388" s="10"/>
      <c r="DP388" s="10"/>
      <c r="DQ388" s="10"/>
      <c r="DR388" s="10"/>
      <c r="DS388" s="10"/>
      <c r="DT388" s="10"/>
      <c r="DU388" s="10"/>
      <c r="DV388" s="10"/>
      <c r="DW388" s="10"/>
      <c r="DX388" s="10"/>
      <c r="DY388" s="10"/>
      <c r="DZ388" s="10"/>
      <c r="EA388" s="10"/>
      <c r="EB388" s="10"/>
      <c r="EC388" s="10"/>
      <c r="ED388" s="10"/>
      <c r="EE388" s="10"/>
      <c r="EF388" s="10"/>
      <c r="EG388" s="10"/>
      <c r="EH388" s="10"/>
      <c r="EI388" s="10"/>
      <c r="EJ388" s="10"/>
      <c r="EK388" s="10"/>
      <c r="EL388" s="10"/>
      <c r="EM388" s="10"/>
      <c r="EN388" s="10"/>
      <c r="EO388" s="10"/>
      <c r="EP388" s="10"/>
      <c r="EQ388" s="10"/>
      <c r="ER388" s="10"/>
      <c r="ES388" s="10"/>
      <c r="ET388" s="10"/>
      <c r="EU388" s="10"/>
      <c r="EV388" s="10"/>
      <c r="EW388" s="10"/>
      <c r="EX388" s="10"/>
      <c r="EY388" s="10"/>
      <c r="EZ388" s="10"/>
      <c r="FA388" s="10"/>
      <c r="FB388" s="10"/>
      <c r="FC388" s="10"/>
      <c r="FD388" s="10"/>
      <c r="FE388" s="10"/>
      <c r="FF388" s="10"/>
      <c r="FG388" s="10"/>
      <c r="FH388" s="10"/>
      <c r="FI388" s="10"/>
      <c r="FJ388" s="10"/>
      <c r="FK388" s="10"/>
      <c r="FL388" s="10"/>
      <c r="FM388" s="10"/>
      <c r="FN388" s="10"/>
      <c r="FO388" s="10"/>
      <c r="FP388" s="10"/>
      <c r="FQ388" s="10"/>
      <c r="FR388" s="10"/>
      <c r="FS388" s="10"/>
      <c r="FT388" s="10"/>
      <c r="FU388" s="10"/>
      <c r="FV388" s="10"/>
      <c r="FW388" s="10"/>
      <c r="FX388" s="10"/>
      <c r="FY388" s="10"/>
      <c r="FZ388" s="10"/>
      <c r="GA388" s="10"/>
      <c r="GB388" s="10"/>
      <c r="GC388" s="10"/>
      <c r="GD388" s="10"/>
      <c r="GE388" s="10"/>
      <c r="GF388" s="10"/>
      <c r="GG388" s="10"/>
      <c r="GH388" s="10"/>
      <c r="GI388" s="10"/>
      <c r="GJ388" s="10"/>
      <c r="GK388" s="10"/>
    </row>
    <row r="389" customFormat="false" ht="12.75" hidden="false" customHeight="false" outlineLevel="0" collapsed="false">
      <c r="A389" s="7"/>
      <c r="B389" s="7"/>
      <c r="C389" s="8"/>
      <c r="D389" s="8"/>
      <c r="E389" s="8"/>
      <c r="F389" s="8"/>
      <c r="G389" s="9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  <c r="BV389" s="10"/>
      <c r="BW389" s="10"/>
      <c r="BX389" s="10"/>
      <c r="BY389" s="10"/>
      <c r="BZ389" s="10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  <c r="CU389" s="10"/>
      <c r="CV389" s="10"/>
      <c r="CW389" s="10"/>
      <c r="CX389" s="10"/>
      <c r="CY389" s="10"/>
      <c r="CZ389" s="10"/>
      <c r="DA389" s="10"/>
      <c r="DB389" s="10"/>
      <c r="DC389" s="10"/>
      <c r="DD389" s="10"/>
      <c r="DE389" s="10"/>
      <c r="DF389" s="10"/>
      <c r="DG389" s="10"/>
      <c r="DH389" s="10"/>
      <c r="DI389" s="10"/>
      <c r="DJ389" s="10"/>
      <c r="DK389" s="10"/>
      <c r="DL389" s="10"/>
      <c r="DM389" s="10"/>
      <c r="DN389" s="10"/>
      <c r="DO389" s="10"/>
      <c r="DP389" s="10"/>
      <c r="DQ389" s="10"/>
      <c r="DR389" s="10"/>
      <c r="DS389" s="10"/>
      <c r="DT389" s="10"/>
      <c r="DU389" s="10"/>
      <c r="DV389" s="10"/>
      <c r="DW389" s="10"/>
      <c r="DX389" s="10"/>
      <c r="DY389" s="10"/>
      <c r="DZ389" s="10"/>
      <c r="EA389" s="10"/>
      <c r="EB389" s="10"/>
      <c r="EC389" s="10"/>
      <c r="ED389" s="10"/>
      <c r="EE389" s="10"/>
      <c r="EF389" s="10"/>
      <c r="EG389" s="10"/>
      <c r="EH389" s="10"/>
      <c r="EI389" s="10"/>
      <c r="EJ389" s="10"/>
      <c r="EK389" s="10"/>
      <c r="EL389" s="10"/>
      <c r="EM389" s="10"/>
      <c r="EN389" s="10"/>
      <c r="EO389" s="10"/>
      <c r="EP389" s="10"/>
      <c r="EQ389" s="10"/>
      <c r="ER389" s="10"/>
      <c r="ES389" s="10"/>
      <c r="ET389" s="10"/>
      <c r="EU389" s="10"/>
      <c r="EV389" s="10"/>
      <c r="EW389" s="10"/>
      <c r="EX389" s="10"/>
      <c r="EY389" s="10"/>
      <c r="EZ389" s="10"/>
      <c r="FA389" s="10"/>
      <c r="FB389" s="10"/>
      <c r="FC389" s="10"/>
      <c r="FD389" s="10"/>
      <c r="FE389" s="10"/>
      <c r="FF389" s="10"/>
      <c r="FG389" s="10"/>
      <c r="FH389" s="10"/>
      <c r="FI389" s="10"/>
      <c r="FJ389" s="10"/>
      <c r="FK389" s="10"/>
      <c r="FL389" s="10"/>
      <c r="FM389" s="10"/>
      <c r="FN389" s="10"/>
      <c r="FO389" s="10"/>
      <c r="FP389" s="10"/>
      <c r="FQ389" s="10"/>
      <c r="FR389" s="10"/>
      <c r="FS389" s="10"/>
      <c r="FT389" s="10"/>
      <c r="FU389" s="10"/>
      <c r="FV389" s="10"/>
      <c r="FW389" s="10"/>
      <c r="FX389" s="10"/>
      <c r="FY389" s="10"/>
      <c r="FZ389" s="10"/>
      <c r="GA389" s="10"/>
      <c r="GB389" s="10"/>
      <c r="GC389" s="10"/>
      <c r="GD389" s="10"/>
      <c r="GE389" s="10"/>
      <c r="GF389" s="10"/>
      <c r="GG389" s="10"/>
      <c r="GH389" s="10"/>
      <c r="GI389" s="10"/>
      <c r="GJ389" s="10"/>
      <c r="GK389" s="10"/>
    </row>
    <row r="390" customFormat="false" ht="12.75" hidden="false" customHeight="false" outlineLevel="0" collapsed="false">
      <c r="A390" s="7"/>
      <c r="B390" s="7"/>
      <c r="C390" s="8"/>
      <c r="D390" s="8"/>
      <c r="E390" s="8"/>
      <c r="F390" s="8"/>
      <c r="G390" s="9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  <c r="BU390" s="10"/>
      <c r="BV390" s="10"/>
      <c r="BW390" s="10"/>
      <c r="BX390" s="10"/>
      <c r="BY390" s="10"/>
      <c r="BZ390" s="10"/>
      <c r="CA390" s="10"/>
      <c r="CB390" s="10"/>
      <c r="CC390" s="10"/>
      <c r="CD390" s="10"/>
      <c r="CE390" s="10"/>
      <c r="CF390" s="10"/>
      <c r="CG390" s="10"/>
      <c r="CH390" s="10"/>
      <c r="CI390" s="10"/>
      <c r="CJ390" s="10"/>
      <c r="CK390" s="10"/>
      <c r="CL390" s="10"/>
      <c r="CM390" s="10"/>
      <c r="CN390" s="10"/>
      <c r="CO390" s="10"/>
      <c r="CP390" s="10"/>
      <c r="CQ390" s="10"/>
      <c r="CR390" s="10"/>
      <c r="CS390" s="10"/>
      <c r="CT390" s="10"/>
      <c r="CU390" s="10"/>
      <c r="CV390" s="10"/>
      <c r="CW390" s="10"/>
      <c r="CX390" s="10"/>
      <c r="CY390" s="10"/>
      <c r="CZ390" s="10"/>
      <c r="DA390" s="10"/>
      <c r="DB390" s="10"/>
      <c r="DC390" s="10"/>
      <c r="DD390" s="10"/>
      <c r="DE390" s="10"/>
      <c r="DF390" s="10"/>
      <c r="DG390" s="10"/>
      <c r="DH390" s="10"/>
      <c r="DI390" s="10"/>
      <c r="DJ390" s="10"/>
      <c r="DK390" s="10"/>
      <c r="DL390" s="10"/>
      <c r="DM390" s="10"/>
      <c r="DN390" s="10"/>
      <c r="DO390" s="10"/>
      <c r="DP390" s="10"/>
      <c r="DQ390" s="10"/>
      <c r="DR390" s="10"/>
      <c r="DS390" s="10"/>
      <c r="DT390" s="10"/>
      <c r="DU390" s="10"/>
      <c r="DV390" s="10"/>
      <c r="DW390" s="10"/>
      <c r="DX390" s="10"/>
      <c r="DY390" s="10"/>
      <c r="DZ390" s="10"/>
      <c r="EA390" s="10"/>
      <c r="EB390" s="10"/>
      <c r="EC390" s="10"/>
      <c r="ED390" s="10"/>
      <c r="EE390" s="10"/>
      <c r="EF390" s="10"/>
      <c r="EG390" s="10"/>
      <c r="EH390" s="10"/>
      <c r="EI390" s="10"/>
      <c r="EJ390" s="10"/>
      <c r="EK390" s="10"/>
      <c r="EL390" s="10"/>
      <c r="EM390" s="10"/>
      <c r="EN390" s="10"/>
      <c r="EO390" s="10"/>
      <c r="EP390" s="10"/>
      <c r="EQ390" s="10"/>
      <c r="ER390" s="10"/>
      <c r="ES390" s="10"/>
      <c r="ET390" s="10"/>
      <c r="EU390" s="10"/>
      <c r="EV390" s="10"/>
      <c r="EW390" s="10"/>
      <c r="EX390" s="10"/>
      <c r="EY390" s="10"/>
      <c r="EZ390" s="10"/>
      <c r="FA390" s="10"/>
      <c r="FB390" s="10"/>
      <c r="FC390" s="10"/>
      <c r="FD390" s="10"/>
      <c r="FE390" s="10"/>
      <c r="FF390" s="10"/>
      <c r="FG390" s="10"/>
      <c r="FH390" s="10"/>
      <c r="FI390" s="10"/>
      <c r="FJ390" s="10"/>
      <c r="FK390" s="10"/>
      <c r="FL390" s="10"/>
      <c r="FM390" s="10"/>
      <c r="FN390" s="10"/>
      <c r="FO390" s="10"/>
      <c r="FP390" s="10"/>
      <c r="FQ390" s="10"/>
      <c r="FR390" s="10"/>
      <c r="FS390" s="10"/>
      <c r="FT390" s="10"/>
      <c r="FU390" s="10"/>
      <c r="FV390" s="10"/>
      <c r="FW390" s="10"/>
      <c r="FX390" s="10"/>
      <c r="FY390" s="10"/>
      <c r="FZ390" s="10"/>
      <c r="GA390" s="10"/>
      <c r="GB390" s="10"/>
      <c r="GC390" s="10"/>
      <c r="GD390" s="10"/>
      <c r="GE390" s="10"/>
      <c r="GF390" s="10"/>
      <c r="GG390" s="10"/>
      <c r="GH390" s="10"/>
      <c r="GI390" s="10"/>
      <c r="GJ390" s="10"/>
      <c r="GK390" s="10"/>
    </row>
    <row r="391" customFormat="false" ht="12.75" hidden="false" customHeight="false" outlineLevel="0" collapsed="false">
      <c r="A391" s="7"/>
      <c r="B391" s="7"/>
      <c r="C391" s="8"/>
      <c r="D391" s="8"/>
      <c r="E391" s="8"/>
      <c r="F391" s="8"/>
      <c r="G391" s="9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  <c r="BU391" s="10"/>
      <c r="BV391" s="10"/>
      <c r="BW391" s="10"/>
      <c r="BX391" s="10"/>
      <c r="BY391" s="10"/>
      <c r="BZ391" s="10"/>
      <c r="CA391" s="10"/>
      <c r="CB391" s="10"/>
      <c r="CC391" s="10"/>
      <c r="CD391" s="10"/>
      <c r="CE391" s="10"/>
      <c r="CF391" s="10"/>
      <c r="CG391" s="10"/>
      <c r="CH391" s="10"/>
      <c r="CI391" s="10"/>
      <c r="CJ391" s="10"/>
      <c r="CK391" s="10"/>
      <c r="CL391" s="10"/>
      <c r="CM391" s="10"/>
      <c r="CN391" s="10"/>
      <c r="CO391" s="10"/>
      <c r="CP391" s="10"/>
      <c r="CQ391" s="10"/>
      <c r="CR391" s="10"/>
      <c r="CS391" s="10"/>
      <c r="CT391" s="10"/>
      <c r="CU391" s="10"/>
      <c r="CV391" s="10"/>
      <c r="CW391" s="10"/>
      <c r="CX391" s="10"/>
      <c r="CY391" s="10"/>
      <c r="CZ391" s="10"/>
      <c r="DA391" s="10"/>
      <c r="DB391" s="10"/>
      <c r="DC391" s="10"/>
      <c r="DD391" s="10"/>
      <c r="DE391" s="10"/>
      <c r="DF391" s="10"/>
      <c r="DG391" s="10"/>
      <c r="DH391" s="10"/>
      <c r="DI391" s="10"/>
      <c r="DJ391" s="10"/>
      <c r="DK391" s="10"/>
      <c r="DL391" s="10"/>
      <c r="DM391" s="10"/>
      <c r="DN391" s="10"/>
      <c r="DO391" s="10"/>
      <c r="DP391" s="10"/>
      <c r="DQ391" s="10"/>
      <c r="DR391" s="10"/>
      <c r="DS391" s="10"/>
      <c r="DT391" s="10"/>
      <c r="DU391" s="10"/>
      <c r="DV391" s="10"/>
      <c r="DW391" s="10"/>
      <c r="DX391" s="10"/>
      <c r="DY391" s="10"/>
      <c r="DZ391" s="10"/>
      <c r="EA391" s="10"/>
      <c r="EB391" s="10"/>
      <c r="EC391" s="10"/>
      <c r="ED391" s="10"/>
      <c r="EE391" s="10"/>
      <c r="EF391" s="10"/>
      <c r="EG391" s="10"/>
      <c r="EH391" s="10"/>
      <c r="EI391" s="10"/>
      <c r="EJ391" s="10"/>
      <c r="EK391" s="10"/>
      <c r="EL391" s="10"/>
      <c r="EM391" s="10"/>
      <c r="EN391" s="10"/>
      <c r="EO391" s="10"/>
      <c r="EP391" s="10"/>
      <c r="EQ391" s="10"/>
      <c r="ER391" s="10"/>
      <c r="ES391" s="10"/>
      <c r="ET391" s="10"/>
      <c r="EU391" s="10"/>
      <c r="EV391" s="10"/>
      <c r="EW391" s="10"/>
      <c r="EX391" s="10"/>
      <c r="EY391" s="10"/>
      <c r="EZ391" s="10"/>
      <c r="FA391" s="10"/>
      <c r="FB391" s="10"/>
      <c r="FC391" s="10"/>
      <c r="FD391" s="10"/>
      <c r="FE391" s="10"/>
      <c r="FF391" s="10"/>
      <c r="FG391" s="10"/>
      <c r="FH391" s="10"/>
      <c r="FI391" s="10"/>
      <c r="FJ391" s="10"/>
      <c r="FK391" s="10"/>
      <c r="FL391" s="10"/>
      <c r="FM391" s="10"/>
      <c r="FN391" s="10"/>
      <c r="FO391" s="10"/>
      <c r="FP391" s="10"/>
      <c r="FQ391" s="10"/>
      <c r="FR391" s="10"/>
      <c r="FS391" s="10"/>
      <c r="FT391" s="10"/>
      <c r="FU391" s="10"/>
      <c r="FV391" s="10"/>
      <c r="FW391" s="10"/>
      <c r="FX391" s="10"/>
      <c r="FY391" s="10"/>
      <c r="FZ391" s="10"/>
      <c r="GA391" s="10"/>
      <c r="GB391" s="10"/>
      <c r="GC391" s="10"/>
      <c r="GD391" s="10"/>
      <c r="GE391" s="10"/>
      <c r="GF391" s="10"/>
      <c r="GG391" s="10"/>
      <c r="GH391" s="10"/>
      <c r="GI391" s="10"/>
      <c r="GJ391" s="10"/>
      <c r="GK391" s="10"/>
    </row>
    <row r="392" customFormat="false" ht="12.75" hidden="false" customHeight="false" outlineLevel="0" collapsed="false">
      <c r="A392" s="7"/>
      <c r="B392" s="7"/>
      <c r="C392" s="8"/>
      <c r="D392" s="8"/>
      <c r="E392" s="8"/>
      <c r="F392" s="8"/>
      <c r="G392" s="9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  <c r="BU392" s="10"/>
      <c r="BV392" s="10"/>
      <c r="BW392" s="10"/>
      <c r="BX392" s="10"/>
      <c r="BY392" s="10"/>
      <c r="BZ392" s="10"/>
      <c r="CA392" s="10"/>
      <c r="CB392" s="10"/>
      <c r="CC392" s="10"/>
      <c r="CD392" s="10"/>
      <c r="CE392" s="10"/>
      <c r="CF392" s="10"/>
      <c r="CG392" s="10"/>
      <c r="CH392" s="10"/>
      <c r="CI392" s="10"/>
      <c r="CJ392" s="10"/>
      <c r="CK392" s="10"/>
      <c r="CL392" s="10"/>
      <c r="CM392" s="10"/>
      <c r="CN392" s="10"/>
      <c r="CO392" s="10"/>
      <c r="CP392" s="10"/>
      <c r="CQ392" s="10"/>
      <c r="CR392" s="10"/>
      <c r="CS392" s="10"/>
      <c r="CT392" s="10"/>
      <c r="CU392" s="10"/>
      <c r="CV392" s="10"/>
      <c r="CW392" s="10"/>
      <c r="CX392" s="10"/>
      <c r="CY392" s="10"/>
      <c r="CZ392" s="10"/>
      <c r="DA392" s="10"/>
      <c r="DB392" s="10"/>
      <c r="DC392" s="10"/>
      <c r="DD392" s="10"/>
      <c r="DE392" s="10"/>
      <c r="DF392" s="10"/>
      <c r="DG392" s="10"/>
      <c r="DH392" s="10"/>
      <c r="DI392" s="10"/>
      <c r="DJ392" s="10"/>
      <c r="DK392" s="10"/>
      <c r="DL392" s="10"/>
      <c r="DM392" s="10"/>
      <c r="DN392" s="10"/>
      <c r="DO392" s="10"/>
      <c r="DP392" s="10"/>
      <c r="DQ392" s="10"/>
      <c r="DR392" s="10"/>
      <c r="DS392" s="10"/>
      <c r="DT392" s="10"/>
      <c r="DU392" s="10"/>
      <c r="DV392" s="10"/>
      <c r="DW392" s="10"/>
      <c r="DX392" s="10"/>
      <c r="DY392" s="10"/>
      <c r="DZ392" s="10"/>
      <c r="EA392" s="10"/>
      <c r="EB392" s="10"/>
      <c r="EC392" s="10"/>
      <c r="ED392" s="10"/>
      <c r="EE392" s="10"/>
      <c r="EF392" s="10"/>
      <c r="EG392" s="10"/>
      <c r="EH392" s="10"/>
      <c r="EI392" s="10"/>
      <c r="EJ392" s="10"/>
      <c r="EK392" s="10"/>
      <c r="EL392" s="10"/>
      <c r="EM392" s="10"/>
      <c r="EN392" s="10"/>
      <c r="EO392" s="10"/>
      <c r="EP392" s="10"/>
      <c r="EQ392" s="10"/>
      <c r="ER392" s="10"/>
      <c r="ES392" s="10"/>
      <c r="ET392" s="10"/>
      <c r="EU392" s="10"/>
      <c r="EV392" s="10"/>
      <c r="EW392" s="10"/>
      <c r="EX392" s="10"/>
      <c r="EY392" s="10"/>
      <c r="EZ392" s="10"/>
      <c r="FA392" s="10"/>
      <c r="FB392" s="10"/>
      <c r="FC392" s="10"/>
      <c r="FD392" s="10"/>
      <c r="FE392" s="10"/>
      <c r="FF392" s="10"/>
      <c r="FG392" s="10"/>
      <c r="FH392" s="10"/>
      <c r="FI392" s="10"/>
      <c r="FJ392" s="10"/>
      <c r="FK392" s="10"/>
      <c r="FL392" s="10"/>
      <c r="FM392" s="10"/>
      <c r="FN392" s="10"/>
      <c r="FO392" s="10"/>
      <c r="FP392" s="10"/>
      <c r="FQ392" s="10"/>
      <c r="FR392" s="10"/>
      <c r="FS392" s="10"/>
      <c r="FT392" s="10"/>
      <c r="FU392" s="10"/>
      <c r="FV392" s="10"/>
      <c r="FW392" s="10"/>
      <c r="FX392" s="10"/>
      <c r="FY392" s="10"/>
      <c r="FZ392" s="10"/>
      <c r="GA392" s="10"/>
      <c r="GB392" s="10"/>
      <c r="GC392" s="10"/>
      <c r="GD392" s="10"/>
      <c r="GE392" s="10"/>
      <c r="GF392" s="10"/>
      <c r="GG392" s="10"/>
      <c r="GH392" s="10"/>
      <c r="GI392" s="10"/>
      <c r="GJ392" s="10"/>
      <c r="GK392" s="10"/>
    </row>
    <row r="393" customFormat="false" ht="12.75" hidden="false" customHeight="false" outlineLevel="0" collapsed="false">
      <c r="A393" s="7"/>
      <c r="B393" s="7"/>
      <c r="C393" s="8"/>
      <c r="D393" s="8"/>
      <c r="E393" s="8"/>
      <c r="F393" s="8"/>
      <c r="G393" s="9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  <c r="BU393" s="10"/>
      <c r="BV393" s="10"/>
      <c r="BW393" s="10"/>
      <c r="BX393" s="10"/>
      <c r="BY393" s="10"/>
      <c r="BZ393" s="10"/>
      <c r="CA393" s="10"/>
      <c r="CB393" s="10"/>
      <c r="CC393" s="10"/>
      <c r="CD393" s="10"/>
      <c r="CE393" s="10"/>
      <c r="CF393" s="10"/>
      <c r="CG393" s="10"/>
      <c r="CH393" s="10"/>
      <c r="CI393" s="10"/>
      <c r="CJ393" s="10"/>
      <c r="CK393" s="10"/>
      <c r="CL393" s="10"/>
      <c r="CM393" s="10"/>
      <c r="CN393" s="10"/>
      <c r="CO393" s="10"/>
      <c r="CP393" s="10"/>
      <c r="CQ393" s="10"/>
      <c r="CR393" s="10"/>
      <c r="CS393" s="10"/>
      <c r="CT393" s="10"/>
      <c r="CU393" s="10"/>
      <c r="CV393" s="10"/>
      <c r="CW393" s="10"/>
      <c r="CX393" s="10"/>
      <c r="CY393" s="10"/>
      <c r="CZ393" s="10"/>
      <c r="DA393" s="10"/>
      <c r="DB393" s="10"/>
      <c r="DC393" s="10"/>
      <c r="DD393" s="10"/>
      <c r="DE393" s="10"/>
      <c r="DF393" s="10"/>
      <c r="DG393" s="10"/>
      <c r="DH393" s="10"/>
      <c r="DI393" s="10"/>
      <c r="DJ393" s="10"/>
      <c r="DK393" s="10"/>
      <c r="DL393" s="10"/>
      <c r="DM393" s="10"/>
      <c r="DN393" s="10"/>
      <c r="DO393" s="10"/>
      <c r="DP393" s="10"/>
      <c r="DQ393" s="10"/>
      <c r="DR393" s="10"/>
      <c r="DS393" s="10"/>
      <c r="DT393" s="10"/>
      <c r="DU393" s="10"/>
      <c r="DV393" s="10"/>
      <c r="DW393" s="10"/>
      <c r="DX393" s="10"/>
      <c r="DY393" s="10"/>
      <c r="DZ393" s="10"/>
      <c r="EA393" s="10"/>
      <c r="EB393" s="10"/>
      <c r="EC393" s="10"/>
      <c r="ED393" s="10"/>
      <c r="EE393" s="10"/>
      <c r="EF393" s="10"/>
      <c r="EG393" s="10"/>
      <c r="EH393" s="10"/>
      <c r="EI393" s="10"/>
      <c r="EJ393" s="10"/>
      <c r="EK393" s="10"/>
      <c r="EL393" s="10"/>
      <c r="EM393" s="10"/>
      <c r="EN393" s="10"/>
      <c r="EO393" s="10"/>
      <c r="EP393" s="10"/>
      <c r="EQ393" s="10"/>
      <c r="ER393" s="10"/>
      <c r="ES393" s="10"/>
      <c r="ET393" s="10"/>
      <c r="EU393" s="10"/>
      <c r="EV393" s="10"/>
      <c r="EW393" s="10"/>
      <c r="EX393" s="10"/>
      <c r="EY393" s="10"/>
      <c r="EZ393" s="10"/>
      <c r="FA393" s="10"/>
      <c r="FB393" s="10"/>
      <c r="FC393" s="10"/>
      <c r="FD393" s="10"/>
      <c r="FE393" s="10"/>
      <c r="FF393" s="10"/>
      <c r="FG393" s="10"/>
      <c r="FH393" s="10"/>
      <c r="FI393" s="10"/>
      <c r="FJ393" s="10"/>
      <c r="FK393" s="10"/>
      <c r="FL393" s="10"/>
      <c r="FM393" s="10"/>
      <c r="FN393" s="10"/>
      <c r="FO393" s="10"/>
      <c r="FP393" s="10"/>
      <c r="FQ393" s="10"/>
      <c r="FR393" s="10"/>
      <c r="FS393" s="10"/>
      <c r="FT393" s="10"/>
      <c r="FU393" s="10"/>
      <c r="FV393" s="10"/>
      <c r="FW393" s="10"/>
      <c r="FX393" s="10"/>
      <c r="FY393" s="10"/>
      <c r="FZ393" s="10"/>
      <c r="GA393" s="10"/>
      <c r="GB393" s="10"/>
      <c r="GC393" s="10"/>
      <c r="GD393" s="10"/>
      <c r="GE393" s="10"/>
      <c r="GF393" s="10"/>
      <c r="GG393" s="10"/>
      <c r="GH393" s="10"/>
      <c r="GI393" s="10"/>
      <c r="GJ393" s="10"/>
      <c r="GK393" s="10"/>
    </row>
    <row r="394" customFormat="false" ht="12.75" hidden="false" customHeight="false" outlineLevel="0" collapsed="false">
      <c r="A394" s="7"/>
      <c r="B394" s="7"/>
      <c r="C394" s="8"/>
      <c r="D394" s="8"/>
      <c r="E394" s="8"/>
      <c r="F394" s="8"/>
      <c r="G394" s="9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  <c r="BU394" s="10"/>
      <c r="BV394" s="10"/>
      <c r="BW394" s="10"/>
      <c r="BX394" s="10"/>
      <c r="BY394" s="10"/>
      <c r="BZ394" s="10"/>
      <c r="CA394" s="10"/>
      <c r="CB394" s="10"/>
      <c r="CC394" s="10"/>
      <c r="CD394" s="10"/>
      <c r="CE394" s="10"/>
      <c r="CF394" s="10"/>
      <c r="CG394" s="10"/>
      <c r="CH394" s="10"/>
      <c r="CI394" s="10"/>
      <c r="CJ394" s="10"/>
      <c r="CK394" s="10"/>
      <c r="CL394" s="10"/>
      <c r="CM394" s="10"/>
      <c r="CN394" s="10"/>
      <c r="CO394" s="10"/>
      <c r="CP394" s="10"/>
      <c r="CQ394" s="10"/>
      <c r="CR394" s="10"/>
      <c r="CS394" s="10"/>
      <c r="CT394" s="10"/>
      <c r="CU394" s="10"/>
      <c r="CV394" s="10"/>
      <c r="CW394" s="10"/>
      <c r="CX394" s="10"/>
      <c r="CY394" s="10"/>
      <c r="CZ394" s="10"/>
      <c r="DA394" s="10"/>
      <c r="DB394" s="10"/>
      <c r="DC394" s="10"/>
      <c r="DD394" s="10"/>
      <c r="DE394" s="10"/>
      <c r="DF394" s="10"/>
      <c r="DG394" s="10"/>
      <c r="DH394" s="10"/>
      <c r="DI394" s="10"/>
      <c r="DJ394" s="10"/>
      <c r="DK394" s="10"/>
      <c r="DL394" s="10"/>
      <c r="DM394" s="10"/>
      <c r="DN394" s="10"/>
      <c r="DO394" s="10"/>
      <c r="DP394" s="10"/>
      <c r="DQ394" s="10"/>
      <c r="DR394" s="10"/>
      <c r="DS394" s="10"/>
      <c r="DT394" s="10"/>
      <c r="DU394" s="10"/>
      <c r="DV394" s="10"/>
      <c r="DW394" s="10"/>
      <c r="DX394" s="10"/>
      <c r="DY394" s="10"/>
      <c r="DZ394" s="10"/>
      <c r="EA394" s="10"/>
      <c r="EB394" s="10"/>
      <c r="EC394" s="10"/>
      <c r="ED394" s="10"/>
      <c r="EE394" s="10"/>
      <c r="EF394" s="10"/>
      <c r="EG394" s="10"/>
      <c r="EH394" s="10"/>
      <c r="EI394" s="10"/>
      <c r="EJ394" s="10"/>
      <c r="EK394" s="10"/>
      <c r="EL394" s="10"/>
      <c r="EM394" s="10"/>
      <c r="EN394" s="10"/>
      <c r="EO394" s="10"/>
      <c r="EP394" s="10"/>
      <c r="EQ394" s="10"/>
      <c r="ER394" s="10"/>
      <c r="ES394" s="10"/>
      <c r="ET394" s="10"/>
      <c r="EU394" s="10"/>
      <c r="EV394" s="10"/>
      <c r="EW394" s="10"/>
      <c r="EX394" s="10"/>
      <c r="EY394" s="10"/>
      <c r="EZ394" s="10"/>
      <c r="FA394" s="10"/>
      <c r="FB394" s="10"/>
      <c r="FC394" s="10"/>
      <c r="FD394" s="10"/>
      <c r="FE394" s="10"/>
      <c r="FF394" s="10"/>
      <c r="FG394" s="10"/>
      <c r="FH394" s="10"/>
      <c r="FI394" s="10"/>
      <c r="FJ394" s="10"/>
      <c r="FK394" s="10"/>
      <c r="FL394" s="10"/>
      <c r="FM394" s="10"/>
      <c r="FN394" s="10"/>
      <c r="FO394" s="10"/>
      <c r="FP394" s="10"/>
      <c r="FQ394" s="10"/>
      <c r="FR394" s="10"/>
      <c r="FS394" s="10"/>
      <c r="FT394" s="10"/>
      <c r="FU394" s="10"/>
      <c r="FV394" s="10"/>
      <c r="FW394" s="10"/>
      <c r="FX394" s="10"/>
      <c r="FY394" s="10"/>
      <c r="FZ394" s="10"/>
      <c r="GA394" s="10"/>
      <c r="GB394" s="10"/>
      <c r="GC394" s="10"/>
      <c r="GD394" s="10"/>
      <c r="GE394" s="10"/>
      <c r="GF394" s="10"/>
      <c r="GG394" s="10"/>
      <c r="GH394" s="10"/>
      <c r="GI394" s="10"/>
      <c r="GJ394" s="10"/>
      <c r="GK394" s="10"/>
    </row>
    <row r="395" customFormat="false" ht="12.75" hidden="false" customHeight="false" outlineLevel="0" collapsed="false">
      <c r="A395" s="7"/>
      <c r="B395" s="7"/>
      <c r="C395" s="8"/>
      <c r="D395" s="8"/>
      <c r="E395" s="8"/>
      <c r="F395" s="8"/>
      <c r="G395" s="9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  <c r="BU395" s="10"/>
      <c r="BV395" s="10"/>
      <c r="BW395" s="10"/>
      <c r="BX395" s="10"/>
      <c r="BY395" s="10"/>
      <c r="BZ395" s="10"/>
      <c r="CA395" s="10"/>
      <c r="CB395" s="10"/>
      <c r="CC395" s="10"/>
      <c r="CD395" s="10"/>
      <c r="CE395" s="10"/>
      <c r="CF395" s="10"/>
      <c r="CG395" s="10"/>
      <c r="CH395" s="10"/>
      <c r="CI395" s="10"/>
      <c r="CJ395" s="10"/>
      <c r="CK395" s="10"/>
      <c r="CL395" s="10"/>
      <c r="CM395" s="10"/>
      <c r="CN395" s="10"/>
      <c r="CO395" s="10"/>
      <c r="CP395" s="10"/>
      <c r="CQ395" s="10"/>
      <c r="CR395" s="10"/>
      <c r="CS395" s="10"/>
      <c r="CT395" s="10"/>
      <c r="CU395" s="10"/>
      <c r="CV395" s="10"/>
      <c r="CW395" s="10"/>
      <c r="CX395" s="10"/>
      <c r="CY395" s="10"/>
      <c r="CZ395" s="10"/>
      <c r="DA395" s="10"/>
      <c r="DB395" s="10"/>
      <c r="DC395" s="10"/>
      <c r="DD395" s="10"/>
      <c r="DE395" s="10"/>
      <c r="DF395" s="10"/>
      <c r="DG395" s="10"/>
      <c r="DH395" s="10"/>
      <c r="DI395" s="10"/>
      <c r="DJ395" s="10"/>
      <c r="DK395" s="10"/>
      <c r="DL395" s="10"/>
      <c r="DM395" s="10"/>
      <c r="DN395" s="10"/>
      <c r="DO395" s="10"/>
      <c r="DP395" s="10"/>
      <c r="DQ395" s="10"/>
      <c r="DR395" s="10"/>
      <c r="DS395" s="10"/>
      <c r="DT395" s="10"/>
      <c r="DU395" s="10"/>
      <c r="DV395" s="10"/>
      <c r="DW395" s="10"/>
      <c r="DX395" s="10"/>
      <c r="DY395" s="10"/>
      <c r="DZ395" s="10"/>
      <c r="EA395" s="10"/>
      <c r="EB395" s="10"/>
      <c r="EC395" s="10"/>
      <c r="ED395" s="10"/>
      <c r="EE395" s="10"/>
      <c r="EF395" s="10"/>
      <c r="EG395" s="10"/>
      <c r="EH395" s="10"/>
      <c r="EI395" s="10"/>
      <c r="EJ395" s="10"/>
      <c r="EK395" s="10"/>
      <c r="EL395" s="10"/>
      <c r="EM395" s="10"/>
      <c r="EN395" s="10"/>
      <c r="EO395" s="10"/>
      <c r="EP395" s="10"/>
      <c r="EQ395" s="10"/>
      <c r="ER395" s="10"/>
      <c r="ES395" s="10"/>
      <c r="ET395" s="10"/>
      <c r="EU395" s="10"/>
      <c r="EV395" s="10"/>
      <c r="EW395" s="10"/>
      <c r="EX395" s="10"/>
      <c r="EY395" s="10"/>
      <c r="EZ395" s="10"/>
      <c r="FA395" s="10"/>
      <c r="FB395" s="10"/>
      <c r="FC395" s="10"/>
      <c r="FD395" s="10"/>
      <c r="FE395" s="10"/>
      <c r="FF395" s="10"/>
      <c r="FG395" s="10"/>
      <c r="FH395" s="10"/>
      <c r="FI395" s="10"/>
      <c r="FJ395" s="10"/>
      <c r="FK395" s="10"/>
      <c r="FL395" s="10"/>
      <c r="FM395" s="10"/>
      <c r="FN395" s="10"/>
      <c r="FO395" s="10"/>
      <c r="FP395" s="10"/>
      <c r="FQ395" s="10"/>
      <c r="FR395" s="10"/>
      <c r="FS395" s="10"/>
      <c r="FT395" s="10"/>
      <c r="FU395" s="10"/>
      <c r="FV395" s="10"/>
      <c r="FW395" s="10"/>
      <c r="FX395" s="10"/>
      <c r="FY395" s="10"/>
      <c r="FZ395" s="10"/>
      <c r="GA395" s="10"/>
      <c r="GB395" s="10"/>
      <c r="GC395" s="10"/>
      <c r="GD395" s="10"/>
      <c r="GE395" s="10"/>
      <c r="GF395" s="10"/>
      <c r="GG395" s="10"/>
      <c r="GH395" s="10"/>
      <c r="GI395" s="10"/>
      <c r="GJ395" s="10"/>
      <c r="GK395" s="10"/>
    </row>
    <row r="396" customFormat="false" ht="12.75" hidden="false" customHeight="false" outlineLevel="0" collapsed="false">
      <c r="A396" s="7"/>
      <c r="B396" s="7"/>
      <c r="C396" s="8"/>
      <c r="D396" s="8"/>
      <c r="E396" s="8"/>
      <c r="F396" s="8"/>
      <c r="G396" s="9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  <c r="BU396" s="10"/>
      <c r="BV396" s="10"/>
      <c r="BW396" s="10"/>
      <c r="BX396" s="10"/>
      <c r="BY396" s="10"/>
      <c r="BZ396" s="10"/>
      <c r="CA396" s="10"/>
      <c r="CB396" s="10"/>
      <c r="CC396" s="10"/>
      <c r="CD396" s="10"/>
      <c r="CE396" s="10"/>
      <c r="CF396" s="10"/>
      <c r="CG396" s="10"/>
      <c r="CH396" s="10"/>
      <c r="CI396" s="10"/>
      <c r="CJ396" s="10"/>
      <c r="CK396" s="10"/>
      <c r="CL396" s="10"/>
      <c r="CM396" s="10"/>
      <c r="CN396" s="10"/>
      <c r="CO396" s="10"/>
      <c r="CP396" s="10"/>
      <c r="CQ396" s="10"/>
      <c r="CR396" s="10"/>
      <c r="CS396" s="10"/>
      <c r="CT396" s="10"/>
      <c r="CU396" s="10"/>
      <c r="CV396" s="10"/>
      <c r="CW396" s="10"/>
      <c r="CX396" s="10"/>
      <c r="CY396" s="10"/>
      <c r="CZ396" s="10"/>
      <c r="DA396" s="10"/>
      <c r="DB396" s="10"/>
      <c r="DC396" s="10"/>
      <c r="DD396" s="10"/>
      <c r="DE396" s="10"/>
      <c r="DF396" s="10"/>
      <c r="DG396" s="10"/>
      <c r="DH396" s="10"/>
      <c r="DI396" s="10"/>
      <c r="DJ396" s="10"/>
      <c r="DK396" s="10"/>
      <c r="DL396" s="10"/>
      <c r="DM396" s="10"/>
      <c r="DN396" s="10"/>
      <c r="DO396" s="10"/>
      <c r="DP396" s="10"/>
      <c r="DQ396" s="10"/>
      <c r="DR396" s="10"/>
      <c r="DS396" s="10"/>
      <c r="DT396" s="10"/>
      <c r="DU396" s="10"/>
      <c r="DV396" s="10"/>
      <c r="DW396" s="10"/>
      <c r="DX396" s="10"/>
      <c r="DY396" s="10"/>
      <c r="DZ396" s="10"/>
      <c r="EA396" s="10"/>
      <c r="EB396" s="10"/>
      <c r="EC396" s="10"/>
      <c r="ED396" s="10"/>
      <c r="EE396" s="10"/>
      <c r="EF396" s="10"/>
      <c r="EG396" s="10"/>
      <c r="EH396" s="10"/>
      <c r="EI396" s="10"/>
      <c r="EJ396" s="10"/>
      <c r="EK396" s="10"/>
      <c r="EL396" s="10"/>
      <c r="EM396" s="10"/>
      <c r="EN396" s="10"/>
      <c r="EO396" s="10"/>
      <c r="EP396" s="10"/>
      <c r="EQ396" s="10"/>
      <c r="ER396" s="10"/>
      <c r="ES396" s="10"/>
      <c r="ET396" s="10"/>
      <c r="EU396" s="10"/>
      <c r="EV396" s="10"/>
      <c r="EW396" s="10"/>
      <c r="EX396" s="10"/>
      <c r="EY396" s="10"/>
      <c r="EZ396" s="10"/>
      <c r="FA396" s="10"/>
      <c r="FB396" s="10"/>
      <c r="FC396" s="10"/>
      <c r="FD396" s="10"/>
      <c r="FE396" s="10"/>
      <c r="FF396" s="10"/>
      <c r="FG396" s="10"/>
      <c r="FH396" s="10"/>
      <c r="FI396" s="10"/>
      <c r="FJ396" s="10"/>
      <c r="FK396" s="10"/>
      <c r="FL396" s="10"/>
      <c r="FM396" s="10"/>
      <c r="FN396" s="10"/>
      <c r="FO396" s="10"/>
      <c r="FP396" s="10"/>
      <c r="FQ396" s="10"/>
      <c r="FR396" s="10"/>
      <c r="FS396" s="10"/>
      <c r="FT396" s="10"/>
      <c r="FU396" s="10"/>
      <c r="FV396" s="10"/>
      <c r="FW396" s="10"/>
      <c r="FX396" s="10"/>
      <c r="FY396" s="10"/>
      <c r="FZ396" s="10"/>
      <c r="GA396" s="10"/>
      <c r="GB396" s="10"/>
      <c r="GC396" s="10"/>
      <c r="GD396" s="10"/>
      <c r="GE396" s="10"/>
      <c r="GF396" s="10"/>
      <c r="GG396" s="10"/>
      <c r="GH396" s="10"/>
      <c r="GI396" s="10"/>
      <c r="GJ396" s="10"/>
      <c r="GK396" s="10"/>
    </row>
    <row r="397" customFormat="false" ht="12.75" hidden="false" customHeight="false" outlineLevel="0" collapsed="false">
      <c r="A397" s="7"/>
      <c r="B397" s="7"/>
      <c r="C397" s="8"/>
      <c r="D397" s="8"/>
      <c r="E397" s="8"/>
      <c r="F397" s="8"/>
      <c r="G397" s="9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  <c r="BU397" s="10"/>
      <c r="BV397" s="10"/>
      <c r="BW397" s="10"/>
      <c r="BX397" s="10"/>
      <c r="BY397" s="10"/>
      <c r="BZ397" s="10"/>
      <c r="CA397" s="10"/>
      <c r="CB397" s="10"/>
      <c r="CC397" s="10"/>
      <c r="CD397" s="10"/>
      <c r="CE397" s="10"/>
      <c r="CF397" s="10"/>
      <c r="CG397" s="10"/>
      <c r="CH397" s="10"/>
      <c r="CI397" s="10"/>
      <c r="CJ397" s="10"/>
      <c r="CK397" s="10"/>
      <c r="CL397" s="10"/>
      <c r="CM397" s="10"/>
      <c r="CN397" s="10"/>
      <c r="CO397" s="10"/>
      <c r="CP397" s="10"/>
      <c r="CQ397" s="10"/>
      <c r="CR397" s="10"/>
      <c r="CS397" s="10"/>
      <c r="CT397" s="10"/>
      <c r="CU397" s="10"/>
      <c r="CV397" s="10"/>
      <c r="CW397" s="10"/>
      <c r="CX397" s="10"/>
      <c r="CY397" s="10"/>
      <c r="CZ397" s="10"/>
      <c r="DA397" s="10"/>
      <c r="DB397" s="10"/>
      <c r="DC397" s="10"/>
      <c r="DD397" s="10"/>
      <c r="DE397" s="10"/>
      <c r="DF397" s="10"/>
      <c r="DG397" s="10"/>
      <c r="DH397" s="10"/>
      <c r="DI397" s="10"/>
      <c r="DJ397" s="10"/>
      <c r="DK397" s="10"/>
      <c r="DL397" s="10"/>
      <c r="DM397" s="10"/>
      <c r="DN397" s="10"/>
      <c r="DO397" s="10"/>
      <c r="DP397" s="10"/>
      <c r="DQ397" s="10"/>
      <c r="DR397" s="10"/>
      <c r="DS397" s="10"/>
      <c r="DT397" s="10"/>
      <c r="DU397" s="10"/>
      <c r="DV397" s="10"/>
      <c r="DW397" s="10"/>
      <c r="DX397" s="10"/>
      <c r="DY397" s="10"/>
      <c r="DZ397" s="10"/>
      <c r="EA397" s="10"/>
      <c r="EB397" s="10"/>
      <c r="EC397" s="10"/>
      <c r="ED397" s="10"/>
      <c r="EE397" s="10"/>
      <c r="EF397" s="10"/>
      <c r="EG397" s="10"/>
      <c r="EH397" s="10"/>
      <c r="EI397" s="10"/>
      <c r="EJ397" s="10"/>
      <c r="EK397" s="10"/>
      <c r="EL397" s="10"/>
      <c r="EM397" s="10"/>
      <c r="EN397" s="10"/>
      <c r="EO397" s="10"/>
      <c r="EP397" s="10"/>
      <c r="EQ397" s="10"/>
      <c r="ER397" s="10"/>
      <c r="ES397" s="10"/>
      <c r="ET397" s="10"/>
      <c r="EU397" s="10"/>
      <c r="EV397" s="10"/>
      <c r="EW397" s="10"/>
      <c r="EX397" s="10"/>
      <c r="EY397" s="10"/>
      <c r="EZ397" s="10"/>
      <c r="FA397" s="10"/>
      <c r="FB397" s="10"/>
      <c r="FC397" s="10"/>
      <c r="FD397" s="10"/>
      <c r="FE397" s="10"/>
      <c r="FF397" s="10"/>
      <c r="FG397" s="10"/>
      <c r="FH397" s="10"/>
      <c r="FI397" s="10"/>
      <c r="FJ397" s="10"/>
      <c r="FK397" s="10"/>
      <c r="FL397" s="10"/>
      <c r="FM397" s="10"/>
      <c r="FN397" s="10"/>
      <c r="FO397" s="10"/>
      <c r="FP397" s="10"/>
      <c r="FQ397" s="10"/>
      <c r="FR397" s="10"/>
      <c r="FS397" s="10"/>
      <c r="FT397" s="10"/>
      <c r="FU397" s="10"/>
      <c r="FV397" s="10"/>
      <c r="FW397" s="10"/>
      <c r="FX397" s="10"/>
      <c r="FY397" s="10"/>
      <c r="FZ397" s="10"/>
      <c r="GA397" s="10"/>
      <c r="GB397" s="10"/>
      <c r="GC397" s="10"/>
      <c r="GD397" s="10"/>
      <c r="GE397" s="10"/>
      <c r="GF397" s="10"/>
      <c r="GG397" s="10"/>
      <c r="GH397" s="10"/>
      <c r="GI397" s="10"/>
      <c r="GJ397" s="10"/>
      <c r="GK397" s="10"/>
    </row>
    <row r="398" customFormat="false" ht="12.75" hidden="false" customHeight="false" outlineLevel="0" collapsed="false">
      <c r="A398" s="7"/>
      <c r="B398" s="7"/>
      <c r="C398" s="8"/>
      <c r="D398" s="8"/>
      <c r="E398" s="8"/>
      <c r="F398" s="8"/>
      <c r="G398" s="9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  <c r="BU398" s="10"/>
      <c r="BV398" s="10"/>
      <c r="BW398" s="10"/>
      <c r="BX398" s="10"/>
      <c r="BY398" s="10"/>
      <c r="BZ398" s="10"/>
      <c r="CA398" s="10"/>
      <c r="CB398" s="10"/>
      <c r="CC398" s="10"/>
      <c r="CD398" s="10"/>
      <c r="CE398" s="10"/>
      <c r="CF398" s="10"/>
      <c r="CG398" s="10"/>
      <c r="CH398" s="10"/>
      <c r="CI398" s="10"/>
      <c r="CJ398" s="10"/>
      <c r="CK398" s="10"/>
      <c r="CL398" s="10"/>
      <c r="CM398" s="10"/>
      <c r="CN398" s="10"/>
      <c r="CO398" s="10"/>
      <c r="CP398" s="10"/>
      <c r="CQ398" s="10"/>
      <c r="CR398" s="10"/>
      <c r="CS398" s="10"/>
      <c r="CT398" s="10"/>
      <c r="CU398" s="10"/>
      <c r="CV398" s="10"/>
      <c r="CW398" s="10"/>
      <c r="CX398" s="10"/>
      <c r="CY398" s="10"/>
      <c r="CZ398" s="10"/>
      <c r="DA398" s="10"/>
      <c r="DB398" s="10"/>
      <c r="DC398" s="10"/>
      <c r="DD398" s="10"/>
      <c r="DE398" s="10"/>
      <c r="DF398" s="10"/>
      <c r="DG398" s="10"/>
      <c r="DH398" s="10"/>
      <c r="DI398" s="10"/>
      <c r="DJ398" s="10"/>
      <c r="DK398" s="10"/>
      <c r="DL398" s="10"/>
      <c r="DM398" s="10"/>
      <c r="DN398" s="10"/>
      <c r="DO398" s="10"/>
      <c r="DP398" s="10"/>
      <c r="DQ398" s="10"/>
      <c r="DR398" s="10"/>
      <c r="DS398" s="10"/>
      <c r="DT398" s="10"/>
      <c r="DU398" s="10"/>
      <c r="DV398" s="10"/>
      <c r="DW398" s="10"/>
      <c r="DX398" s="10"/>
      <c r="DY398" s="10"/>
      <c r="DZ398" s="10"/>
      <c r="EA398" s="10"/>
      <c r="EB398" s="10"/>
      <c r="EC398" s="10"/>
      <c r="ED398" s="10"/>
      <c r="EE398" s="10"/>
      <c r="EF398" s="10"/>
      <c r="EG398" s="10"/>
      <c r="EH398" s="10"/>
      <c r="EI398" s="10"/>
      <c r="EJ398" s="10"/>
      <c r="EK398" s="10"/>
      <c r="EL398" s="10"/>
      <c r="EM398" s="10"/>
      <c r="EN398" s="10"/>
      <c r="EO398" s="10"/>
      <c r="EP398" s="10"/>
      <c r="EQ398" s="10"/>
      <c r="ER398" s="10"/>
      <c r="ES398" s="10"/>
      <c r="ET398" s="10"/>
      <c r="EU398" s="10"/>
      <c r="EV398" s="10"/>
      <c r="EW398" s="10"/>
      <c r="EX398" s="10"/>
      <c r="EY398" s="10"/>
      <c r="EZ398" s="10"/>
      <c r="FA398" s="10"/>
      <c r="FB398" s="10"/>
      <c r="FC398" s="10"/>
      <c r="FD398" s="10"/>
      <c r="FE398" s="10"/>
      <c r="FF398" s="10"/>
      <c r="FG398" s="10"/>
      <c r="FH398" s="10"/>
      <c r="FI398" s="10"/>
      <c r="FJ398" s="10"/>
      <c r="FK398" s="10"/>
      <c r="FL398" s="10"/>
      <c r="FM398" s="10"/>
      <c r="FN398" s="10"/>
      <c r="FO398" s="10"/>
      <c r="FP398" s="10"/>
      <c r="FQ398" s="10"/>
      <c r="FR398" s="10"/>
      <c r="FS398" s="10"/>
      <c r="FT398" s="10"/>
      <c r="FU398" s="10"/>
      <c r="FV398" s="10"/>
      <c r="FW398" s="10"/>
      <c r="FX398" s="10"/>
      <c r="FY398" s="10"/>
      <c r="FZ398" s="10"/>
      <c r="GA398" s="10"/>
      <c r="GB398" s="10"/>
      <c r="GC398" s="10"/>
      <c r="GD398" s="10"/>
      <c r="GE398" s="10"/>
      <c r="GF398" s="10"/>
      <c r="GG398" s="10"/>
      <c r="GH398" s="10"/>
      <c r="GI398" s="10"/>
      <c r="GJ398" s="10"/>
      <c r="GK398" s="10"/>
    </row>
    <row r="399" customFormat="false" ht="12.75" hidden="false" customHeight="false" outlineLevel="0" collapsed="false">
      <c r="A399" s="7"/>
      <c r="B399" s="7"/>
      <c r="C399" s="8"/>
      <c r="D399" s="8"/>
      <c r="E399" s="8"/>
      <c r="F399" s="8"/>
      <c r="G399" s="9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  <c r="BU399" s="10"/>
      <c r="BV399" s="10"/>
      <c r="BW399" s="10"/>
      <c r="BX399" s="10"/>
      <c r="BY399" s="10"/>
      <c r="BZ399" s="10"/>
      <c r="CA399" s="10"/>
      <c r="CB399" s="10"/>
      <c r="CC399" s="10"/>
      <c r="CD399" s="10"/>
      <c r="CE399" s="10"/>
      <c r="CF399" s="10"/>
      <c r="CG399" s="10"/>
      <c r="CH399" s="10"/>
      <c r="CI399" s="10"/>
      <c r="CJ399" s="10"/>
      <c r="CK399" s="10"/>
      <c r="CL399" s="10"/>
      <c r="CM399" s="10"/>
      <c r="CN399" s="10"/>
      <c r="CO399" s="10"/>
      <c r="CP399" s="10"/>
      <c r="CQ399" s="10"/>
      <c r="CR399" s="10"/>
      <c r="CS399" s="10"/>
      <c r="CT399" s="10"/>
      <c r="CU399" s="10"/>
      <c r="CV399" s="10"/>
      <c r="CW399" s="10"/>
      <c r="CX399" s="10"/>
      <c r="CY399" s="10"/>
      <c r="CZ399" s="10"/>
      <c r="DA399" s="10"/>
      <c r="DB399" s="10"/>
      <c r="DC399" s="10"/>
      <c r="DD399" s="10"/>
      <c r="DE399" s="10"/>
      <c r="DF399" s="10"/>
      <c r="DG399" s="10"/>
      <c r="DH399" s="10"/>
      <c r="DI399" s="10"/>
      <c r="DJ399" s="10"/>
      <c r="DK399" s="10"/>
      <c r="DL399" s="10"/>
      <c r="DM399" s="10"/>
      <c r="DN399" s="10"/>
      <c r="DO399" s="10"/>
      <c r="DP399" s="10"/>
      <c r="DQ399" s="10"/>
      <c r="DR399" s="10"/>
      <c r="DS399" s="10"/>
      <c r="DT399" s="10"/>
      <c r="DU399" s="10"/>
      <c r="DV399" s="10"/>
      <c r="DW399" s="10"/>
      <c r="DX399" s="10"/>
      <c r="DY399" s="10"/>
      <c r="DZ399" s="10"/>
      <c r="EA399" s="10"/>
      <c r="EB399" s="10"/>
      <c r="EC399" s="10"/>
      <c r="ED399" s="10"/>
      <c r="EE399" s="10"/>
      <c r="EF399" s="10"/>
      <c r="EG399" s="10"/>
      <c r="EH399" s="10"/>
      <c r="EI399" s="10"/>
      <c r="EJ399" s="10"/>
      <c r="EK399" s="10"/>
      <c r="EL399" s="10"/>
      <c r="EM399" s="10"/>
      <c r="EN399" s="10"/>
      <c r="EO399" s="10"/>
      <c r="EP399" s="10"/>
      <c r="EQ399" s="10"/>
      <c r="ER399" s="10"/>
      <c r="ES399" s="10"/>
      <c r="ET399" s="10"/>
      <c r="EU399" s="10"/>
      <c r="EV399" s="10"/>
      <c r="EW399" s="10"/>
      <c r="EX399" s="10"/>
      <c r="EY399" s="10"/>
      <c r="EZ399" s="10"/>
      <c r="FA399" s="10"/>
      <c r="FB399" s="10"/>
      <c r="FC399" s="10"/>
      <c r="FD399" s="10"/>
      <c r="FE399" s="10"/>
      <c r="FF399" s="10"/>
      <c r="FG399" s="10"/>
      <c r="FH399" s="10"/>
      <c r="FI399" s="10"/>
      <c r="FJ399" s="10"/>
      <c r="FK399" s="10"/>
      <c r="FL399" s="10"/>
      <c r="FM399" s="10"/>
      <c r="FN399" s="10"/>
      <c r="FO399" s="10"/>
      <c r="FP399" s="10"/>
      <c r="FQ399" s="10"/>
      <c r="FR399" s="10"/>
      <c r="FS399" s="10"/>
      <c r="FT399" s="10"/>
      <c r="FU399" s="10"/>
      <c r="FV399" s="10"/>
      <c r="FW399" s="10"/>
      <c r="FX399" s="10"/>
      <c r="FY399" s="10"/>
      <c r="FZ399" s="10"/>
      <c r="GA399" s="10"/>
      <c r="GB399" s="10"/>
      <c r="GC399" s="10"/>
      <c r="GD399" s="10"/>
      <c r="GE399" s="10"/>
      <c r="GF399" s="10"/>
      <c r="GG399" s="10"/>
      <c r="GH399" s="10"/>
      <c r="GI399" s="10"/>
      <c r="GJ399" s="10"/>
      <c r="GK399" s="10"/>
    </row>
    <row r="400" customFormat="false" ht="12.75" hidden="false" customHeight="false" outlineLevel="0" collapsed="false">
      <c r="A400" s="7"/>
      <c r="B400" s="7"/>
      <c r="C400" s="8"/>
      <c r="D400" s="8"/>
      <c r="E400" s="8"/>
      <c r="F400" s="8"/>
      <c r="G400" s="9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  <c r="BU400" s="10"/>
      <c r="BV400" s="10"/>
      <c r="BW400" s="10"/>
      <c r="BX400" s="10"/>
      <c r="BY400" s="10"/>
      <c r="BZ400" s="10"/>
      <c r="CA400" s="10"/>
      <c r="CB400" s="10"/>
      <c r="CC400" s="10"/>
      <c r="CD400" s="10"/>
      <c r="CE400" s="10"/>
      <c r="CF400" s="10"/>
      <c r="CG400" s="10"/>
      <c r="CH400" s="10"/>
      <c r="CI400" s="10"/>
      <c r="CJ400" s="10"/>
      <c r="CK400" s="10"/>
      <c r="CL400" s="10"/>
      <c r="CM400" s="10"/>
      <c r="CN400" s="10"/>
      <c r="CO400" s="10"/>
      <c r="CP400" s="10"/>
      <c r="CQ400" s="10"/>
      <c r="CR400" s="10"/>
      <c r="CS400" s="10"/>
      <c r="CT400" s="10"/>
      <c r="CU400" s="10"/>
      <c r="CV400" s="10"/>
      <c r="CW400" s="10"/>
      <c r="CX400" s="10"/>
      <c r="CY400" s="10"/>
      <c r="CZ400" s="10"/>
      <c r="DA400" s="10"/>
      <c r="DB400" s="10"/>
      <c r="DC400" s="10"/>
      <c r="DD400" s="10"/>
      <c r="DE400" s="10"/>
      <c r="DF400" s="10"/>
      <c r="DG400" s="10"/>
      <c r="DH400" s="10"/>
      <c r="DI400" s="10"/>
      <c r="DJ400" s="10"/>
      <c r="DK400" s="10"/>
      <c r="DL400" s="10"/>
      <c r="DM400" s="10"/>
      <c r="DN400" s="10"/>
      <c r="DO400" s="10"/>
      <c r="DP400" s="10"/>
      <c r="DQ400" s="10"/>
      <c r="DR400" s="10"/>
      <c r="DS400" s="10"/>
      <c r="DT400" s="10"/>
      <c r="DU400" s="10"/>
      <c r="DV400" s="10"/>
      <c r="DW400" s="10"/>
      <c r="DX400" s="10"/>
      <c r="DY400" s="10"/>
      <c r="DZ400" s="10"/>
      <c r="EA400" s="10"/>
      <c r="EB400" s="10"/>
      <c r="EC400" s="10"/>
      <c r="ED400" s="10"/>
      <c r="EE400" s="10"/>
      <c r="EF400" s="10"/>
      <c r="EG400" s="10"/>
      <c r="EH400" s="10"/>
      <c r="EI400" s="10"/>
      <c r="EJ400" s="10"/>
      <c r="EK400" s="10"/>
      <c r="EL400" s="10"/>
      <c r="EM400" s="10"/>
      <c r="EN400" s="10"/>
      <c r="EO400" s="10"/>
      <c r="EP400" s="10"/>
      <c r="EQ400" s="10"/>
      <c r="ER400" s="10"/>
      <c r="ES400" s="10"/>
      <c r="ET400" s="10"/>
      <c r="EU400" s="10"/>
      <c r="EV400" s="10"/>
      <c r="EW400" s="10"/>
      <c r="EX400" s="10"/>
      <c r="EY400" s="10"/>
      <c r="EZ400" s="10"/>
      <c r="FA400" s="10"/>
      <c r="FB400" s="10"/>
      <c r="FC400" s="10"/>
      <c r="FD400" s="10"/>
      <c r="FE400" s="10"/>
      <c r="FF400" s="10"/>
      <c r="FG400" s="10"/>
      <c r="FH400" s="10"/>
      <c r="FI400" s="10"/>
      <c r="FJ400" s="10"/>
      <c r="FK400" s="10"/>
      <c r="FL400" s="10"/>
      <c r="FM400" s="10"/>
      <c r="FN400" s="10"/>
      <c r="FO400" s="10"/>
      <c r="FP400" s="10"/>
      <c r="FQ400" s="10"/>
      <c r="FR400" s="10"/>
      <c r="FS400" s="10"/>
      <c r="FT400" s="10"/>
      <c r="FU400" s="10"/>
      <c r="FV400" s="10"/>
      <c r="FW400" s="10"/>
      <c r="FX400" s="10"/>
      <c r="FY400" s="10"/>
      <c r="FZ400" s="10"/>
      <c r="GA400" s="10"/>
      <c r="GB400" s="10"/>
      <c r="GC400" s="10"/>
      <c r="GD400" s="10"/>
      <c r="GE400" s="10"/>
      <c r="GF400" s="10"/>
      <c r="GG400" s="10"/>
      <c r="GH400" s="10"/>
      <c r="GI400" s="10"/>
      <c r="GJ400" s="10"/>
      <c r="GK400" s="10"/>
    </row>
    <row r="401" customFormat="false" ht="12.75" hidden="false" customHeight="false" outlineLevel="0" collapsed="false">
      <c r="A401" s="7"/>
      <c r="B401" s="7"/>
      <c r="C401" s="8"/>
      <c r="D401" s="8"/>
      <c r="E401" s="8"/>
      <c r="F401" s="8"/>
      <c r="G401" s="9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  <c r="BU401" s="10"/>
      <c r="BV401" s="10"/>
      <c r="BW401" s="10"/>
      <c r="BX401" s="10"/>
      <c r="BY401" s="10"/>
      <c r="BZ401" s="10"/>
      <c r="CA401" s="10"/>
      <c r="CB401" s="10"/>
      <c r="CC401" s="10"/>
      <c r="CD401" s="10"/>
      <c r="CE401" s="10"/>
      <c r="CF401" s="10"/>
      <c r="CG401" s="10"/>
      <c r="CH401" s="10"/>
      <c r="CI401" s="10"/>
      <c r="CJ401" s="10"/>
      <c r="CK401" s="10"/>
      <c r="CL401" s="10"/>
      <c r="CM401" s="10"/>
      <c r="CN401" s="10"/>
      <c r="CO401" s="10"/>
      <c r="CP401" s="10"/>
      <c r="CQ401" s="10"/>
      <c r="CR401" s="10"/>
      <c r="CS401" s="10"/>
      <c r="CT401" s="10"/>
      <c r="CU401" s="10"/>
      <c r="CV401" s="10"/>
      <c r="CW401" s="10"/>
      <c r="CX401" s="10"/>
      <c r="CY401" s="10"/>
      <c r="CZ401" s="10"/>
      <c r="DA401" s="10"/>
      <c r="DB401" s="10"/>
      <c r="DC401" s="10"/>
      <c r="DD401" s="10"/>
      <c r="DE401" s="10"/>
      <c r="DF401" s="10"/>
      <c r="DG401" s="10"/>
      <c r="DH401" s="10"/>
      <c r="DI401" s="10"/>
      <c r="DJ401" s="10"/>
      <c r="DK401" s="10"/>
      <c r="DL401" s="10"/>
      <c r="DM401" s="10"/>
      <c r="DN401" s="10"/>
      <c r="DO401" s="10"/>
      <c r="DP401" s="10"/>
      <c r="DQ401" s="10"/>
      <c r="DR401" s="10"/>
      <c r="DS401" s="10"/>
      <c r="DT401" s="10"/>
      <c r="DU401" s="10"/>
      <c r="DV401" s="10"/>
      <c r="DW401" s="10"/>
      <c r="DX401" s="10"/>
      <c r="DY401" s="10"/>
      <c r="DZ401" s="10"/>
      <c r="EA401" s="10"/>
      <c r="EB401" s="10"/>
      <c r="EC401" s="10"/>
      <c r="ED401" s="10"/>
      <c r="EE401" s="10"/>
      <c r="EF401" s="10"/>
      <c r="EG401" s="10"/>
      <c r="EH401" s="10"/>
      <c r="EI401" s="10"/>
      <c r="EJ401" s="10"/>
      <c r="EK401" s="10"/>
      <c r="EL401" s="10"/>
      <c r="EM401" s="10"/>
      <c r="EN401" s="10"/>
      <c r="EO401" s="10"/>
      <c r="EP401" s="10"/>
      <c r="EQ401" s="10"/>
      <c r="ER401" s="10"/>
      <c r="ES401" s="10"/>
      <c r="ET401" s="10"/>
      <c r="EU401" s="10"/>
      <c r="EV401" s="10"/>
      <c r="EW401" s="10"/>
      <c r="EX401" s="10"/>
      <c r="EY401" s="10"/>
      <c r="EZ401" s="10"/>
      <c r="FA401" s="10"/>
      <c r="FB401" s="10"/>
      <c r="FC401" s="10"/>
      <c r="FD401" s="10"/>
      <c r="FE401" s="10"/>
      <c r="FF401" s="10"/>
      <c r="FG401" s="10"/>
      <c r="FH401" s="10"/>
      <c r="FI401" s="10"/>
      <c r="FJ401" s="10"/>
      <c r="FK401" s="10"/>
      <c r="FL401" s="10"/>
      <c r="FM401" s="10"/>
      <c r="FN401" s="10"/>
      <c r="FO401" s="10"/>
      <c r="FP401" s="10"/>
      <c r="FQ401" s="10"/>
      <c r="FR401" s="10"/>
      <c r="FS401" s="10"/>
      <c r="FT401" s="10"/>
      <c r="FU401" s="10"/>
      <c r="FV401" s="10"/>
      <c r="FW401" s="10"/>
      <c r="FX401" s="10"/>
      <c r="FY401" s="10"/>
      <c r="FZ401" s="10"/>
      <c r="GA401" s="10"/>
      <c r="GB401" s="10"/>
      <c r="GC401" s="10"/>
      <c r="GD401" s="10"/>
      <c r="GE401" s="10"/>
      <c r="GF401" s="10"/>
      <c r="GG401" s="10"/>
      <c r="GH401" s="10"/>
      <c r="GI401" s="10"/>
      <c r="GJ401" s="10"/>
      <c r="GK401" s="10"/>
    </row>
    <row r="402" customFormat="false" ht="12.75" hidden="false" customHeight="false" outlineLevel="0" collapsed="false">
      <c r="A402" s="7"/>
      <c r="B402" s="7"/>
      <c r="C402" s="8"/>
      <c r="D402" s="8"/>
      <c r="E402" s="8"/>
      <c r="F402" s="8"/>
      <c r="G402" s="9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  <c r="BU402" s="10"/>
      <c r="BV402" s="10"/>
      <c r="BW402" s="10"/>
      <c r="BX402" s="10"/>
      <c r="BY402" s="10"/>
      <c r="BZ402" s="10"/>
      <c r="CA402" s="10"/>
      <c r="CB402" s="10"/>
      <c r="CC402" s="10"/>
      <c r="CD402" s="10"/>
      <c r="CE402" s="10"/>
      <c r="CF402" s="10"/>
      <c r="CG402" s="10"/>
      <c r="CH402" s="10"/>
      <c r="CI402" s="10"/>
      <c r="CJ402" s="10"/>
      <c r="CK402" s="10"/>
      <c r="CL402" s="10"/>
      <c r="CM402" s="10"/>
      <c r="CN402" s="10"/>
      <c r="CO402" s="10"/>
      <c r="CP402" s="10"/>
      <c r="CQ402" s="10"/>
      <c r="CR402" s="10"/>
      <c r="CS402" s="10"/>
      <c r="CT402" s="10"/>
      <c r="CU402" s="10"/>
      <c r="CV402" s="10"/>
      <c r="CW402" s="10"/>
      <c r="CX402" s="10"/>
      <c r="CY402" s="10"/>
      <c r="CZ402" s="10"/>
      <c r="DA402" s="10"/>
      <c r="DB402" s="10"/>
      <c r="DC402" s="10"/>
      <c r="DD402" s="10"/>
      <c r="DE402" s="10"/>
      <c r="DF402" s="10"/>
      <c r="DG402" s="10"/>
      <c r="DH402" s="10"/>
      <c r="DI402" s="10"/>
      <c r="DJ402" s="10"/>
      <c r="DK402" s="10"/>
      <c r="DL402" s="10"/>
      <c r="DM402" s="10"/>
      <c r="DN402" s="10"/>
      <c r="DO402" s="10"/>
      <c r="DP402" s="10"/>
      <c r="DQ402" s="10"/>
      <c r="DR402" s="10"/>
      <c r="DS402" s="10"/>
      <c r="DT402" s="10"/>
      <c r="DU402" s="10"/>
      <c r="DV402" s="10"/>
      <c r="DW402" s="10"/>
      <c r="DX402" s="10"/>
      <c r="DY402" s="10"/>
      <c r="DZ402" s="10"/>
      <c r="EA402" s="10"/>
      <c r="EB402" s="10"/>
      <c r="EC402" s="10"/>
      <c r="ED402" s="10"/>
      <c r="EE402" s="10"/>
      <c r="EF402" s="10"/>
      <c r="EG402" s="10"/>
      <c r="EH402" s="10"/>
      <c r="EI402" s="10"/>
      <c r="EJ402" s="10"/>
      <c r="EK402" s="10"/>
      <c r="EL402" s="10"/>
      <c r="EM402" s="10"/>
      <c r="EN402" s="10"/>
      <c r="EO402" s="10"/>
      <c r="EP402" s="10"/>
      <c r="EQ402" s="10"/>
      <c r="ER402" s="10"/>
      <c r="ES402" s="10"/>
      <c r="ET402" s="10"/>
      <c r="EU402" s="10"/>
      <c r="EV402" s="10"/>
      <c r="EW402" s="10"/>
      <c r="EX402" s="10"/>
      <c r="EY402" s="10"/>
      <c r="EZ402" s="10"/>
      <c r="FA402" s="10"/>
      <c r="FB402" s="10"/>
      <c r="FC402" s="10"/>
      <c r="FD402" s="10"/>
      <c r="FE402" s="10"/>
      <c r="FF402" s="10"/>
      <c r="FG402" s="10"/>
      <c r="FH402" s="10"/>
      <c r="FI402" s="10"/>
      <c r="FJ402" s="10"/>
      <c r="FK402" s="10"/>
      <c r="FL402" s="10"/>
      <c r="FM402" s="10"/>
      <c r="FN402" s="10"/>
      <c r="FO402" s="10"/>
      <c r="FP402" s="10"/>
      <c r="FQ402" s="10"/>
      <c r="FR402" s="10"/>
      <c r="FS402" s="10"/>
      <c r="FT402" s="10"/>
      <c r="FU402" s="10"/>
      <c r="FV402" s="10"/>
      <c r="FW402" s="10"/>
      <c r="FX402" s="10"/>
      <c r="FY402" s="10"/>
      <c r="FZ402" s="10"/>
      <c r="GA402" s="10"/>
      <c r="GB402" s="10"/>
      <c r="GC402" s="10"/>
      <c r="GD402" s="10"/>
      <c r="GE402" s="10"/>
      <c r="GF402" s="10"/>
      <c r="GG402" s="10"/>
      <c r="GH402" s="10"/>
      <c r="GI402" s="10"/>
      <c r="GJ402" s="10"/>
      <c r="GK402" s="10"/>
    </row>
    <row r="403" customFormat="false" ht="12.75" hidden="false" customHeight="false" outlineLevel="0" collapsed="false">
      <c r="A403" s="7"/>
      <c r="B403" s="7"/>
      <c r="C403" s="8"/>
      <c r="D403" s="8"/>
      <c r="E403" s="8"/>
      <c r="F403" s="8"/>
      <c r="G403" s="9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  <c r="BU403" s="10"/>
      <c r="BV403" s="10"/>
      <c r="BW403" s="10"/>
      <c r="BX403" s="10"/>
      <c r="BY403" s="10"/>
      <c r="BZ403" s="10"/>
      <c r="CA403" s="10"/>
      <c r="CB403" s="10"/>
      <c r="CC403" s="10"/>
      <c r="CD403" s="10"/>
      <c r="CE403" s="10"/>
      <c r="CF403" s="10"/>
      <c r="CG403" s="10"/>
      <c r="CH403" s="10"/>
      <c r="CI403" s="10"/>
      <c r="CJ403" s="10"/>
      <c r="CK403" s="10"/>
      <c r="CL403" s="10"/>
      <c r="CM403" s="10"/>
      <c r="CN403" s="10"/>
      <c r="CO403" s="10"/>
      <c r="CP403" s="10"/>
      <c r="CQ403" s="10"/>
      <c r="CR403" s="10"/>
      <c r="CS403" s="10"/>
      <c r="CT403" s="10"/>
      <c r="CU403" s="10"/>
      <c r="CV403" s="10"/>
      <c r="CW403" s="10"/>
      <c r="CX403" s="10"/>
      <c r="CY403" s="10"/>
      <c r="CZ403" s="10"/>
      <c r="DA403" s="10"/>
      <c r="DB403" s="10"/>
      <c r="DC403" s="10"/>
      <c r="DD403" s="10"/>
      <c r="DE403" s="10"/>
      <c r="DF403" s="10"/>
      <c r="DG403" s="10"/>
      <c r="DH403" s="10"/>
      <c r="DI403" s="10"/>
      <c r="DJ403" s="10"/>
      <c r="DK403" s="10"/>
      <c r="DL403" s="10"/>
      <c r="DM403" s="10"/>
      <c r="DN403" s="10"/>
      <c r="DO403" s="10"/>
      <c r="DP403" s="10"/>
      <c r="DQ403" s="10"/>
      <c r="DR403" s="10"/>
      <c r="DS403" s="10"/>
      <c r="DT403" s="10"/>
      <c r="DU403" s="10"/>
      <c r="DV403" s="10"/>
      <c r="DW403" s="10"/>
      <c r="DX403" s="10"/>
      <c r="DY403" s="10"/>
      <c r="DZ403" s="10"/>
      <c r="EA403" s="10"/>
      <c r="EB403" s="10"/>
      <c r="EC403" s="10"/>
      <c r="ED403" s="10"/>
      <c r="EE403" s="10"/>
      <c r="EF403" s="10"/>
      <c r="EG403" s="10"/>
      <c r="EH403" s="10"/>
      <c r="EI403" s="10"/>
      <c r="EJ403" s="10"/>
      <c r="EK403" s="10"/>
      <c r="EL403" s="10"/>
      <c r="EM403" s="10"/>
      <c r="EN403" s="10"/>
      <c r="EO403" s="10"/>
      <c r="EP403" s="10"/>
      <c r="EQ403" s="10"/>
      <c r="ER403" s="10"/>
      <c r="ES403" s="10"/>
      <c r="ET403" s="10"/>
      <c r="EU403" s="10"/>
      <c r="EV403" s="10"/>
      <c r="EW403" s="10"/>
      <c r="EX403" s="10"/>
      <c r="EY403" s="10"/>
      <c r="EZ403" s="10"/>
      <c r="FA403" s="10"/>
      <c r="FB403" s="10"/>
      <c r="FC403" s="10"/>
      <c r="FD403" s="10"/>
      <c r="FE403" s="10"/>
      <c r="FF403" s="10"/>
      <c r="FG403" s="10"/>
      <c r="FH403" s="10"/>
      <c r="FI403" s="10"/>
      <c r="FJ403" s="10"/>
      <c r="FK403" s="10"/>
      <c r="FL403" s="10"/>
      <c r="FM403" s="10"/>
      <c r="FN403" s="10"/>
      <c r="FO403" s="10"/>
      <c r="FP403" s="10"/>
      <c r="FQ403" s="10"/>
      <c r="FR403" s="10"/>
      <c r="FS403" s="10"/>
      <c r="FT403" s="10"/>
      <c r="FU403" s="10"/>
      <c r="FV403" s="10"/>
      <c r="FW403" s="10"/>
      <c r="FX403" s="10"/>
      <c r="FY403" s="10"/>
      <c r="FZ403" s="10"/>
      <c r="GA403" s="10"/>
      <c r="GB403" s="10"/>
      <c r="GC403" s="10"/>
      <c r="GD403" s="10"/>
      <c r="GE403" s="10"/>
      <c r="GF403" s="10"/>
      <c r="GG403" s="10"/>
      <c r="GH403" s="10"/>
      <c r="GI403" s="10"/>
      <c r="GJ403" s="10"/>
      <c r="GK403" s="10"/>
    </row>
    <row r="404" customFormat="false" ht="12.75" hidden="false" customHeight="false" outlineLevel="0" collapsed="false">
      <c r="A404" s="7"/>
      <c r="B404" s="7"/>
      <c r="C404" s="8"/>
      <c r="D404" s="8"/>
      <c r="E404" s="8"/>
      <c r="F404" s="8"/>
      <c r="G404" s="9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  <c r="BU404" s="10"/>
      <c r="BV404" s="10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  <c r="EM404" s="10"/>
      <c r="EN404" s="10"/>
      <c r="EO404" s="10"/>
      <c r="EP404" s="10"/>
      <c r="EQ404" s="10"/>
      <c r="ER404" s="10"/>
      <c r="ES404" s="10"/>
      <c r="ET404" s="10"/>
      <c r="EU404" s="10"/>
      <c r="EV404" s="10"/>
      <c r="EW404" s="10"/>
      <c r="EX404" s="10"/>
      <c r="EY404" s="10"/>
      <c r="EZ404" s="10"/>
      <c r="FA404" s="10"/>
      <c r="FB404" s="10"/>
      <c r="FC404" s="10"/>
      <c r="FD404" s="10"/>
      <c r="FE404" s="10"/>
      <c r="FF404" s="10"/>
      <c r="FG404" s="10"/>
      <c r="FH404" s="10"/>
      <c r="FI404" s="10"/>
      <c r="FJ404" s="10"/>
      <c r="FK404" s="10"/>
      <c r="FL404" s="10"/>
      <c r="FM404" s="10"/>
      <c r="FN404" s="10"/>
      <c r="FO404" s="10"/>
      <c r="FP404" s="10"/>
      <c r="FQ404" s="10"/>
      <c r="FR404" s="10"/>
      <c r="FS404" s="10"/>
      <c r="FT404" s="10"/>
      <c r="FU404" s="10"/>
      <c r="FV404" s="10"/>
      <c r="FW404" s="10"/>
      <c r="FX404" s="10"/>
      <c r="FY404" s="10"/>
      <c r="FZ404" s="10"/>
      <c r="GA404" s="10"/>
      <c r="GB404" s="10"/>
      <c r="GC404" s="10"/>
      <c r="GD404" s="10"/>
      <c r="GE404" s="10"/>
      <c r="GF404" s="10"/>
      <c r="GG404" s="10"/>
      <c r="GH404" s="10"/>
      <c r="GI404" s="10"/>
      <c r="GJ404" s="10"/>
      <c r="GK404" s="10"/>
    </row>
    <row r="405" customFormat="false" ht="12.75" hidden="false" customHeight="false" outlineLevel="0" collapsed="false">
      <c r="A405" s="7"/>
      <c r="B405" s="7"/>
      <c r="C405" s="8"/>
      <c r="D405" s="8"/>
      <c r="E405" s="8"/>
      <c r="F405" s="8"/>
      <c r="G405" s="9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  <c r="BU405" s="10"/>
      <c r="BV405" s="10"/>
      <c r="BW405" s="10"/>
      <c r="BX405" s="10"/>
      <c r="BY405" s="10"/>
      <c r="BZ405" s="10"/>
      <c r="CA405" s="10"/>
      <c r="CB405" s="10"/>
      <c r="CC405" s="10"/>
      <c r="CD405" s="10"/>
      <c r="CE405" s="10"/>
      <c r="CF405" s="10"/>
      <c r="CG405" s="10"/>
      <c r="CH405" s="10"/>
      <c r="CI405" s="10"/>
      <c r="CJ405" s="10"/>
      <c r="CK405" s="10"/>
      <c r="CL405" s="10"/>
      <c r="CM405" s="10"/>
      <c r="CN405" s="10"/>
      <c r="CO405" s="10"/>
      <c r="CP405" s="10"/>
      <c r="CQ405" s="10"/>
      <c r="CR405" s="10"/>
      <c r="CS405" s="10"/>
      <c r="CT405" s="10"/>
      <c r="CU405" s="10"/>
      <c r="CV405" s="10"/>
      <c r="CW405" s="10"/>
      <c r="CX405" s="10"/>
      <c r="CY405" s="10"/>
      <c r="CZ405" s="10"/>
      <c r="DA405" s="10"/>
      <c r="DB405" s="10"/>
      <c r="DC405" s="10"/>
      <c r="DD405" s="10"/>
      <c r="DE405" s="10"/>
      <c r="DF405" s="10"/>
      <c r="DG405" s="10"/>
      <c r="DH405" s="10"/>
      <c r="DI405" s="10"/>
      <c r="DJ405" s="10"/>
      <c r="DK405" s="10"/>
      <c r="DL405" s="10"/>
      <c r="DM405" s="10"/>
      <c r="DN405" s="10"/>
      <c r="DO405" s="10"/>
      <c r="DP405" s="10"/>
      <c r="DQ405" s="10"/>
      <c r="DR405" s="10"/>
      <c r="DS405" s="10"/>
      <c r="DT405" s="10"/>
      <c r="DU405" s="10"/>
      <c r="DV405" s="10"/>
      <c r="DW405" s="10"/>
      <c r="DX405" s="10"/>
      <c r="DY405" s="10"/>
      <c r="DZ405" s="10"/>
      <c r="EA405" s="10"/>
      <c r="EB405" s="10"/>
      <c r="EC405" s="10"/>
      <c r="ED405" s="10"/>
      <c r="EE405" s="10"/>
      <c r="EF405" s="10"/>
      <c r="EG405" s="10"/>
      <c r="EH405" s="10"/>
      <c r="EI405" s="10"/>
      <c r="EJ405" s="10"/>
      <c r="EK405" s="10"/>
      <c r="EL405" s="10"/>
      <c r="EM405" s="10"/>
      <c r="EN405" s="10"/>
      <c r="EO405" s="10"/>
      <c r="EP405" s="10"/>
      <c r="EQ405" s="10"/>
      <c r="ER405" s="10"/>
      <c r="ES405" s="10"/>
      <c r="ET405" s="10"/>
      <c r="EU405" s="10"/>
      <c r="EV405" s="10"/>
      <c r="EW405" s="10"/>
      <c r="EX405" s="10"/>
      <c r="EY405" s="10"/>
      <c r="EZ405" s="10"/>
      <c r="FA405" s="10"/>
      <c r="FB405" s="10"/>
      <c r="FC405" s="10"/>
      <c r="FD405" s="10"/>
      <c r="FE405" s="10"/>
      <c r="FF405" s="10"/>
      <c r="FG405" s="10"/>
      <c r="FH405" s="10"/>
      <c r="FI405" s="10"/>
      <c r="FJ405" s="10"/>
      <c r="FK405" s="10"/>
      <c r="FL405" s="10"/>
      <c r="FM405" s="10"/>
      <c r="FN405" s="10"/>
      <c r="FO405" s="10"/>
      <c r="FP405" s="10"/>
      <c r="FQ405" s="10"/>
      <c r="FR405" s="10"/>
      <c r="FS405" s="10"/>
      <c r="FT405" s="10"/>
      <c r="FU405" s="10"/>
      <c r="FV405" s="10"/>
      <c r="FW405" s="10"/>
      <c r="FX405" s="10"/>
      <c r="FY405" s="10"/>
      <c r="FZ405" s="10"/>
      <c r="GA405" s="10"/>
      <c r="GB405" s="10"/>
      <c r="GC405" s="10"/>
      <c r="GD405" s="10"/>
      <c r="GE405" s="10"/>
      <c r="GF405" s="10"/>
      <c r="GG405" s="10"/>
      <c r="GH405" s="10"/>
      <c r="GI405" s="10"/>
      <c r="GJ405" s="10"/>
      <c r="GK405" s="10"/>
    </row>
    <row r="406" customFormat="false" ht="12.75" hidden="false" customHeight="false" outlineLevel="0" collapsed="false">
      <c r="A406" s="7"/>
      <c r="B406" s="7"/>
      <c r="C406" s="8"/>
      <c r="D406" s="8"/>
      <c r="E406" s="8"/>
      <c r="F406" s="8"/>
      <c r="G406" s="9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  <c r="BV406" s="10"/>
      <c r="BW406" s="10"/>
      <c r="BX406" s="10"/>
      <c r="BY406" s="10"/>
      <c r="BZ406" s="10"/>
      <c r="CA406" s="10"/>
      <c r="CB406" s="10"/>
      <c r="CC406" s="10"/>
      <c r="CD406" s="10"/>
      <c r="CE406" s="10"/>
      <c r="CF406" s="10"/>
      <c r="CG406" s="10"/>
      <c r="CH406" s="10"/>
      <c r="CI406" s="10"/>
      <c r="CJ406" s="10"/>
      <c r="CK406" s="10"/>
      <c r="CL406" s="10"/>
      <c r="CM406" s="10"/>
      <c r="CN406" s="10"/>
      <c r="CO406" s="10"/>
      <c r="CP406" s="10"/>
      <c r="CQ406" s="10"/>
      <c r="CR406" s="10"/>
      <c r="CS406" s="10"/>
      <c r="CT406" s="10"/>
      <c r="CU406" s="10"/>
      <c r="CV406" s="10"/>
      <c r="CW406" s="10"/>
      <c r="CX406" s="10"/>
      <c r="CY406" s="10"/>
      <c r="CZ406" s="10"/>
      <c r="DA406" s="10"/>
      <c r="DB406" s="10"/>
      <c r="DC406" s="10"/>
      <c r="DD406" s="10"/>
      <c r="DE406" s="10"/>
      <c r="DF406" s="10"/>
      <c r="DG406" s="10"/>
      <c r="DH406" s="10"/>
      <c r="DI406" s="10"/>
      <c r="DJ406" s="10"/>
      <c r="DK406" s="10"/>
      <c r="DL406" s="10"/>
      <c r="DM406" s="10"/>
      <c r="DN406" s="10"/>
      <c r="DO406" s="10"/>
      <c r="DP406" s="10"/>
      <c r="DQ406" s="10"/>
      <c r="DR406" s="10"/>
      <c r="DS406" s="10"/>
      <c r="DT406" s="10"/>
      <c r="DU406" s="10"/>
      <c r="DV406" s="10"/>
      <c r="DW406" s="10"/>
      <c r="DX406" s="10"/>
      <c r="DY406" s="10"/>
      <c r="DZ406" s="10"/>
      <c r="EA406" s="10"/>
      <c r="EB406" s="10"/>
      <c r="EC406" s="10"/>
      <c r="ED406" s="10"/>
      <c r="EE406" s="10"/>
      <c r="EF406" s="10"/>
      <c r="EG406" s="10"/>
      <c r="EH406" s="10"/>
      <c r="EI406" s="10"/>
      <c r="EJ406" s="10"/>
      <c r="EK406" s="10"/>
      <c r="EL406" s="10"/>
      <c r="EM406" s="10"/>
      <c r="EN406" s="10"/>
      <c r="EO406" s="10"/>
      <c r="EP406" s="10"/>
      <c r="EQ406" s="10"/>
      <c r="ER406" s="10"/>
      <c r="ES406" s="10"/>
      <c r="ET406" s="10"/>
      <c r="EU406" s="10"/>
      <c r="EV406" s="10"/>
      <c r="EW406" s="10"/>
      <c r="EX406" s="10"/>
      <c r="EY406" s="10"/>
      <c r="EZ406" s="10"/>
      <c r="FA406" s="10"/>
      <c r="FB406" s="10"/>
      <c r="FC406" s="10"/>
      <c r="FD406" s="10"/>
      <c r="FE406" s="10"/>
      <c r="FF406" s="10"/>
      <c r="FG406" s="10"/>
      <c r="FH406" s="10"/>
      <c r="FI406" s="10"/>
      <c r="FJ406" s="10"/>
      <c r="FK406" s="10"/>
      <c r="FL406" s="10"/>
      <c r="FM406" s="10"/>
      <c r="FN406" s="10"/>
      <c r="FO406" s="10"/>
      <c r="FP406" s="10"/>
      <c r="FQ406" s="10"/>
      <c r="FR406" s="10"/>
      <c r="FS406" s="10"/>
      <c r="FT406" s="10"/>
      <c r="FU406" s="10"/>
      <c r="FV406" s="10"/>
      <c r="FW406" s="10"/>
      <c r="FX406" s="10"/>
      <c r="FY406" s="10"/>
      <c r="FZ406" s="10"/>
      <c r="GA406" s="10"/>
      <c r="GB406" s="10"/>
      <c r="GC406" s="10"/>
      <c r="GD406" s="10"/>
      <c r="GE406" s="10"/>
      <c r="GF406" s="10"/>
      <c r="GG406" s="10"/>
      <c r="GH406" s="10"/>
      <c r="GI406" s="10"/>
      <c r="GJ406" s="10"/>
      <c r="GK406" s="10"/>
    </row>
    <row r="407" customFormat="false" ht="12.75" hidden="false" customHeight="false" outlineLevel="0" collapsed="false">
      <c r="A407" s="7"/>
      <c r="B407" s="7"/>
      <c r="C407" s="8"/>
      <c r="D407" s="8"/>
      <c r="E407" s="8"/>
      <c r="F407" s="8"/>
      <c r="G407" s="9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  <c r="BU407" s="10"/>
      <c r="BV407" s="10"/>
      <c r="BW407" s="10"/>
      <c r="BX407" s="10"/>
      <c r="BY407" s="10"/>
      <c r="BZ407" s="10"/>
      <c r="CA407" s="10"/>
      <c r="CB407" s="10"/>
      <c r="CC407" s="10"/>
      <c r="CD407" s="10"/>
      <c r="CE407" s="10"/>
      <c r="CF407" s="10"/>
      <c r="CG407" s="10"/>
      <c r="CH407" s="10"/>
      <c r="CI407" s="10"/>
      <c r="CJ407" s="10"/>
      <c r="CK407" s="10"/>
      <c r="CL407" s="10"/>
      <c r="CM407" s="10"/>
      <c r="CN407" s="10"/>
      <c r="CO407" s="10"/>
      <c r="CP407" s="10"/>
      <c r="CQ407" s="10"/>
      <c r="CR407" s="10"/>
      <c r="CS407" s="10"/>
      <c r="CT407" s="10"/>
      <c r="CU407" s="10"/>
      <c r="CV407" s="10"/>
      <c r="CW407" s="10"/>
      <c r="CX407" s="10"/>
      <c r="CY407" s="10"/>
      <c r="CZ407" s="10"/>
      <c r="DA407" s="10"/>
      <c r="DB407" s="10"/>
      <c r="DC407" s="10"/>
      <c r="DD407" s="10"/>
      <c r="DE407" s="10"/>
      <c r="DF407" s="10"/>
      <c r="DG407" s="10"/>
      <c r="DH407" s="10"/>
      <c r="DI407" s="10"/>
      <c r="DJ407" s="10"/>
      <c r="DK407" s="10"/>
      <c r="DL407" s="10"/>
      <c r="DM407" s="10"/>
      <c r="DN407" s="10"/>
      <c r="DO407" s="10"/>
      <c r="DP407" s="10"/>
      <c r="DQ407" s="10"/>
      <c r="DR407" s="10"/>
      <c r="DS407" s="10"/>
      <c r="DT407" s="10"/>
      <c r="DU407" s="10"/>
      <c r="DV407" s="10"/>
      <c r="DW407" s="10"/>
      <c r="DX407" s="10"/>
      <c r="DY407" s="10"/>
      <c r="DZ407" s="10"/>
      <c r="EA407" s="10"/>
      <c r="EB407" s="10"/>
      <c r="EC407" s="10"/>
      <c r="ED407" s="10"/>
      <c r="EE407" s="10"/>
      <c r="EF407" s="10"/>
      <c r="EG407" s="10"/>
      <c r="EH407" s="10"/>
      <c r="EI407" s="10"/>
      <c r="EJ407" s="10"/>
      <c r="EK407" s="10"/>
      <c r="EL407" s="10"/>
      <c r="EM407" s="10"/>
      <c r="EN407" s="10"/>
      <c r="EO407" s="10"/>
      <c r="EP407" s="10"/>
      <c r="EQ407" s="10"/>
      <c r="ER407" s="10"/>
      <c r="ES407" s="10"/>
      <c r="ET407" s="10"/>
      <c r="EU407" s="10"/>
      <c r="EV407" s="10"/>
      <c r="EW407" s="10"/>
      <c r="EX407" s="10"/>
      <c r="EY407" s="10"/>
      <c r="EZ407" s="10"/>
      <c r="FA407" s="10"/>
      <c r="FB407" s="10"/>
      <c r="FC407" s="10"/>
      <c r="FD407" s="10"/>
      <c r="FE407" s="10"/>
      <c r="FF407" s="10"/>
      <c r="FG407" s="10"/>
      <c r="FH407" s="10"/>
      <c r="FI407" s="10"/>
      <c r="FJ407" s="10"/>
      <c r="FK407" s="10"/>
      <c r="FL407" s="10"/>
      <c r="FM407" s="10"/>
      <c r="FN407" s="10"/>
      <c r="FO407" s="10"/>
      <c r="FP407" s="10"/>
      <c r="FQ407" s="10"/>
      <c r="FR407" s="10"/>
      <c r="FS407" s="10"/>
      <c r="FT407" s="10"/>
      <c r="FU407" s="10"/>
      <c r="FV407" s="10"/>
      <c r="FW407" s="10"/>
      <c r="FX407" s="10"/>
      <c r="FY407" s="10"/>
      <c r="FZ407" s="10"/>
      <c r="GA407" s="10"/>
      <c r="GB407" s="10"/>
      <c r="GC407" s="10"/>
      <c r="GD407" s="10"/>
      <c r="GE407" s="10"/>
      <c r="GF407" s="10"/>
      <c r="GG407" s="10"/>
      <c r="GH407" s="10"/>
      <c r="GI407" s="10"/>
      <c r="GJ407" s="10"/>
      <c r="GK407" s="10"/>
    </row>
    <row r="408" customFormat="false" ht="12.75" hidden="false" customHeight="false" outlineLevel="0" collapsed="false">
      <c r="A408" s="7"/>
      <c r="B408" s="7"/>
      <c r="C408" s="8"/>
      <c r="D408" s="8"/>
      <c r="E408" s="8"/>
      <c r="F408" s="8"/>
      <c r="G408" s="9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  <c r="BU408" s="10"/>
      <c r="BV408" s="10"/>
      <c r="BW408" s="10"/>
      <c r="BX408" s="10"/>
      <c r="BY408" s="10"/>
      <c r="BZ408" s="10"/>
      <c r="CA408" s="10"/>
      <c r="CB408" s="10"/>
      <c r="CC408" s="10"/>
      <c r="CD408" s="10"/>
      <c r="CE408" s="10"/>
      <c r="CF408" s="10"/>
      <c r="CG408" s="10"/>
      <c r="CH408" s="10"/>
      <c r="CI408" s="10"/>
      <c r="CJ408" s="10"/>
      <c r="CK408" s="10"/>
      <c r="CL408" s="10"/>
      <c r="CM408" s="10"/>
      <c r="CN408" s="10"/>
      <c r="CO408" s="10"/>
      <c r="CP408" s="10"/>
      <c r="CQ408" s="10"/>
      <c r="CR408" s="10"/>
      <c r="CS408" s="10"/>
      <c r="CT408" s="10"/>
      <c r="CU408" s="10"/>
      <c r="CV408" s="10"/>
      <c r="CW408" s="10"/>
      <c r="CX408" s="10"/>
      <c r="CY408" s="10"/>
      <c r="CZ408" s="10"/>
      <c r="DA408" s="10"/>
      <c r="DB408" s="10"/>
      <c r="DC408" s="10"/>
      <c r="DD408" s="10"/>
      <c r="DE408" s="10"/>
      <c r="DF408" s="10"/>
      <c r="DG408" s="10"/>
      <c r="DH408" s="10"/>
      <c r="DI408" s="10"/>
      <c r="DJ408" s="10"/>
      <c r="DK408" s="10"/>
      <c r="DL408" s="10"/>
      <c r="DM408" s="10"/>
      <c r="DN408" s="10"/>
      <c r="DO408" s="10"/>
      <c r="DP408" s="10"/>
      <c r="DQ408" s="10"/>
      <c r="DR408" s="10"/>
      <c r="DS408" s="10"/>
      <c r="DT408" s="10"/>
      <c r="DU408" s="10"/>
      <c r="DV408" s="10"/>
      <c r="DW408" s="10"/>
      <c r="DX408" s="10"/>
      <c r="DY408" s="10"/>
      <c r="DZ408" s="10"/>
      <c r="EA408" s="10"/>
      <c r="EB408" s="10"/>
      <c r="EC408" s="10"/>
      <c r="ED408" s="10"/>
      <c r="EE408" s="10"/>
      <c r="EF408" s="10"/>
      <c r="EG408" s="10"/>
      <c r="EH408" s="10"/>
      <c r="EI408" s="10"/>
      <c r="EJ408" s="10"/>
      <c r="EK408" s="10"/>
      <c r="EL408" s="10"/>
      <c r="EM408" s="10"/>
      <c r="EN408" s="10"/>
      <c r="EO408" s="10"/>
      <c r="EP408" s="10"/>
      <c r="EQ408" s="10"/>
      <c r="ER408" s="10"/>
      <c r="ES408" s="10"/>
      <c r="ET408" s="10"/>
      <c r="EU408" s="10"/>
      <c r="EV408" s="10"/>
      <c r="EW408" s="10"/>
      <c r="EX408" s="10"/>
      <c r="EY408" s="10"/>
      <c r="EZ408" s="10"/>
      <c r="FA408" s="10"/>
      <c r="FB408" s="10"/>
      <c r="FC408" s="10"/>
      <c r="FD408" s="10"/>
      <c r="FE408" s="10"/>
      <c r="FF408" s="10"/>
      <c r="FG408" s="10"/>
      <c r="FH408" s="10"/>
      <c r="FI408" s="10"/>
      <c r="FJ408" s="10"/>
      <c r="FK408" s="10"/>
      <c r="FL408" s="10"/>
      <c r="FM408" s="10"/>
      <c r="FN408" s="10"/>
      <c r="FO408" s="10"/>
      <c r="FP408" s="10"/>
      <c r="FQ408" s="10"/>
      <c r="FR408" s="10"/>
      <c r="FS408" s="10"/>
      <c r="FT408" s="10"/>
      <c r="FU408" s="10"/>
      <c r="FV408" s="10"/>
      <c r="FW408" s="10"/>
      <c r="FX408" s="10"/>
      <c r="FY408" s="10"/>
      <c r="FZ408" s="10"/>
      <c r="GA408" s="10"/>
      <c r="GB408" s="10"/>
      <c r="GC408" s="10"/>
      <c r="GD408" s="10"/>
      <c r="GE408" s="10"/>
      <c r="GF408" s="10"/>
      <c r="GG408" s="10"/>
      <c r="GH408" s="10"/>
      <c r="GI408" s="10"/>
      <c r="GJ408" s="10"/>
      <c r="GK408" s="10"/>
    </row>
    <row r="409" customFormat="false" ht="12.75" hidden="false" customHeight="false" outlineLevel="0" collapsed="false">
      <c r="A409" s="7"/>
      <c r="B409" s="7"/>
      <c r="C409" s="8"/>
      <c r="D409" s="8"/>
      <c r="E409" s="8"/>
      <c r="F409" s="8"/>
      <c r="G409" s="9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  <c r="BU409" s="10"/>
      <c r="BV409" s="10"/>
      <c r="BW409" s="10"/>
      <c r="BX409" s="10"/>
      <c r="BY409" s="10"/>
      <c r="BZ409" s="10"/>
      <c r="CA409" s="10"/>
      <c r="CB409" s="10"/>
      <c r="CC409" s="10"/>
      <c r="CD409" s="10"/>
      <c r="CE409" s="10"/>
      <c r="CF409" s="10"/>
      <c r="CG409" s="10"/>
      <c r="CH409" s="10"/>
      <c r="CI409" s="10"/>
      <c r="CJ409" s="10"/>
      <c r="CK409" s="10"/>
      <c r="CL409" s="10"/>
      <c r="CM409" s="10"/>
      <c r="CN409" s="10"/>
      <c r="CO409" s="10"/>
      <c r="CP409" s="10"/>
      <c r="CQ409" s="10"/>
      <c r="CR409" s="10"/>
      <c r="CS409" s="10"/>
      <c r="CT409" s="10"/>
      <c r="CU409" s="10"/>
      <c r="CV409" s="10"/>
      <c r="CW409" s="10"/>
      <c r="CX409" s="10"/>
      <c r="CY409" s="10"/>
      <c r="CZ409" s="10"/>
      <c r="DA409" s="10"/>
      <c r="DB409" s="10"/>
      <c r="DC409" s="10"/>
      <c r="DD409" s="10"/>
      <c r="DE409" s="10"/>
      <c r="DF409" s="10"/>
      <c r="DG409" s="10"/>
      <c r="DH409" s="10"/>
      <c r="DI409" s="10"/>
      <c r="DJ409" s="10"/>
      <c r="DK409" s="10"/>
      <c r="DL409" s="10"/>
      <c r="DM409" s="10"/>
      <c r="DN409" s="10"/>
      <c r="DO409" s="10"/>
      <c r="DP409" s="10"/>
      <c r="DQ409" s="10"/>
      <c r="DR409" s="10"/>
      <c r="DS409" s="10"/>
      <c r="DT409" s="10"/>
      <c r="DU409" s="10"/>
      <c r="DV409" s="10"/>
      <c r="DW409" s="10"/>
      <c r="DX409" s="10"/>
      <c r="DY409" s="10"/>
      <c r="DZ409" s="10"/>
      <c r="EA409" s="10"/>
      <c r="EB409" s="10"/>
      <c r="EC409" s="10"/>
      <c r="ED409" s="10"/>
      <c r="EE409" s="10"/>
      <c r="EF409" s="10"/>
      <c r="EG409" s="10"/>
      <c r="EH409" s="10"/>
      <c r="EI409" s="10"/>
      <c r="EJ409" s="10"/>
      <c r="EK409" s="10"/>
      <c r="EL409" s="10"/>
      <c r="EM409" s="10"/>
      <c r="EN409" s="10"/>
      <c r="EO409" s="10"/>
      <c r="EP409" s="10"/>
      <c r="EQ409" s="10"/>
      <c r="ER409" s="10"/>
      <c r="ES409" s="10"/>
      <c r="ET409" s="10"/>
      <c r="EU409" s="10"/>
      <c r="EV409" s="10"/>
      <c r="EW409" s="10"/>
      <c r="EX409" s="10"/>
      <c r="EY409" s="10"/>
      <c r="EZ409" s="10"/>
      <c r="FA409" s="10"/>
      <c r="FB409" s="10"/>
      <c r="FC409" s="10"/>
      <c r="FD409" s="10"/>
      <c r="FE409" s="10"/>
      <c r="FF409" s="10"/>
      <c r="FG409" s="10"/>
      <c r="FH409" s="10"/>
      <c r="FI409" s="10"/>
      <c r="FJ409" s="10"/>
      <c r="FK409" s="10"/>
      <c r="FL409" s="10"/>
      <c r="FM409" s="10"/>
      <c r="FN409" s="10"/>
      <c r="FO409" s="10"/>
      <c r="FP409" s="10"/>
      <c r="FQ409" s="10"/>
      <c r="FR409" s="10"/>
      <c r="FS409" s="10"/>
      <c r="FT409" s="10"/>
      <c r="FU409" s="10"/>
      <c r="FV409" s="10"/>
      <c r="FW409" s="10"/>
      <c r="FX409" s="10"/>
      <c r="FY409" s="10"/>
      <c r="FZ409" s="10"/>
      <c r="GA409" s="10"/>
      <c r="GB409" s="10"/>
      <c r="GC409" s="10"/>
      <c r="GD409" s="10"/>
      <c r="GE409" s="10"/>
      <c r="GF409" s="10"/>
      <c r="GG409" s="10"/>
      <c r="GH409" s="10"/>
      <c r="GI409" s="10"/>
      <c r="GJ409" s="10"/>
      <c r="GK409" s="10"/>
    </row>
    <row r="410" customFormat="false" ht="12.75" hidden="false" customHeight="false" outlineLevel="0" collapsed="false">
      <c r="A410" s="7"/>
      <c r="B410" s="7"/>
      <c r="C410" s="8"/>
      <c r="D410" s="8"/>
      <c r="E410" s="8"/>
      <c r="F410" s="8"/>
      <c r="G410" s="9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  <c r="BT410" s="10"/>
      <c r="BU410" s="10"/>
      <c r="BV410" s="10"/>
      <c r="BW410" s="10"/>
      <c r="BX410" s="10"/>
      <c r="BY410" s="10"/>
      <c r="BZ410" s="10"/>
      <c r="CA410" s="10"/>
      <c r="CB410" s="10"/>
      <c r="CC410" s="10"/>
      <c r="CD410" s="10"/>
      <c r="CE410" s="10"/>
      <c r="CF410" s="10"/>
      <c r="CG410" s="10"/>
      <c r="CH410" s="10"/>
      <c r="CI410" s="10"/>
      <c r="CJ410" s="10"/>
      <c r="CK410" s="10"/>
      <c r="CL410" s="10"/>
      <c r="CM410" s="10"/>
      <c r="CN410" s="10"/>
      <c r="CO410" s="10"/>
      <c r="CP410" s="10"/>
      <c r="CQ410" s="10"/>
      <c r="CR410" s="10"/>
      <c r="CS410" s="10"/>
      <c r="CT410" s="10"/>
      <c r="CU410" s="10"/>
      <c r="CV410" s="10"/>
      <c r="CW410" s="10"/>
      <c r="CX410" s="10"/>
      <c r="CY410" s="10"/>
      <c r="CZ410" s="10"/>
      <c r="DA410" s="10"/>
      <c r="DB410" s="10"/>
      <c r="DC410" s="10"/>
      <c r="DD410" s="10"/>
      <c r="DE410" s="10"/>
      <c r="DF410" s="10"/>
      <c r="DG410" s="10"/>
      <c r="DH410" s="10"/>
      <c r="DI410" s="10"/>
      <c r="DJ410" s="10"/>
      <c r="DK410" s="10"/>
      <c r="DL410" s="10"/>
      <c r="DM410" s="10"/>
      <c r="DN410" s="10"/>
      <c r="DO410" s="10"/>
      <c r="DP410" s="10"/>
      <c r="DQ410" s="10"/>
      <c r="DR410" s="10"/>
      <c r="DS410" s="10"/>
      <c r="DT410" s="10"/>
      <c r="DU410" s="10"/>
      <c r="DV410" s="10"/>
      <c r="DW410" s="10"/>
      <c r="DX410" s="10"/>
      <c r="DY410" s="10"/>
      <c r="DZ410" s="10"/>
      <c r="EA410" s="10"/>
      <c r="EB410" s="10"/>
      <c r="EC410" s="10"/>
      <c r="ED410" s="10"/>
      <c r="EE410" s="10"/>
      <c r="EF410" s="10"/>
      <c r="EG410" s="10"/>
      <c r="EH410" s="10"/>
      <c r="EI410" s="10"/>
      <c r="EJ410" s="10"/>
      <c r="EK410" s="10"/>
      <c r="EL410" s="10"/>
      <c r="EM410" s="10"/>
      <c r="EN410" s="10"/>
      <c r="EO410" s="10"/>
      <c r="EP410" s="10"/>
      <c r="EQ410" s="10"/>
      <c r="ER410" s="10"/>
      <c r="ES410" s="10"/>
      <c r="ET410" s="10"/>
      <c r="EU410" s="10"/>
      <c r="EV410" s="10"/>
      <c r="EW410" s="10"/>
      <c r="EX410" s="10"/>
      <c r="EY410" s="10"/>
      <c r="EZ410" s="10"/>
      <c r="FA410" s="10"/>
      <c r="FB410" s="10"/>
      <c r="FC410" s="10"/>
      <c r="FD410" s="10"/>
      <c r="FE410" s="10"/>
      <c r="FF410" s="10"/>
      <c r="FG410" s="10"/>
      <c r="FH410" s="10"/>
      <c r="FI410" s="10"/>
      <c r="FJ410" s="10"/>
      <c r="FK410" s="10"/>
      <c r="FL410" s="10"/>
      <c r="FM410" s="10"/>
      <c r="FN410" s="10"/>
      <c r="FO410" s="10"/>
      <c r="FP410" s="10"/>
      <c r="FQ410" s="10"/>
      <c r="FR410" s="10"/>
      <c r="FS410" s="10"/>
      <c r="FT410" s="10"/>
      <c r="FU410" s="10"/>
      <c r="FV410" s="10"/>
      <c r="FW410" s="10"/>
      <c r="FX410" s="10"/>
      <c r="FY410" s="10"/>
      <c r="FZ410" s="10"/>
      <c r="GA410" s="10"/>
      <c r="GB410" s="10"/>
      <c r="GC410" s="10"/>
      <c r="GD410" s="10"/>
      <c r="GE410" s="10"/>
      <c r="GF410" s="10"/>
      <c r="GG410" s="10"/>
      <c r="GH410" s="10"/>
      <c r="GI410" s="10"/>
      <c r="GJ410" s="10"/>
      <c r="GK410" s="10"/>
    </row>
    <row r="411" customFormat="false" ht="12.75" hidden="false" customHeight="false" outlineLevel="0" collapsed="false">
      <c r="A411" s="7"/>
      <c r="B411" s="7"/>
      <c r="C411" s="8"/>
      <c r="D411" s="8"/>
      <c r="E411" s="8"/>
      <c r="F411" s="8"/>
      <c r="G411" s="9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  <c r="BT411" s="10"/>
      <c r="BU411" s="10"/>
      <c r="BV411" s="10"/>
      <c r="BW411" s="10"/>
      <c r="BX411" s="10"/>
      <c r="BY411" s="10"/>
      <c r="BZ411" s="10"/>
      <c r="CA411" s="10"/>
      <c r="CB411" s="10"/>
      <c r="CC411" s="10"/>
      <c r="CD411" s="10"/>
      <c r="CE411" s="10"/>
      <c r="CF411" s="10"/>
      <c r="CG411" s="10"/>
      <c r="CH411" s="10"/>
      <c r="CI411" s="10"/>
      <c r="CJ411" s="10"/>
      <c r="CK411" s="10"/>
      <c r="CL411" s="10"/>
      <c r="CM411" s="10"/>
      <c r="CN411" s="10"/>
      <c r="CO411" s="10"/>
      <c r="CP411" s="10"/>
      <c r="CQ411" s="10"/>
      <c r="CR411" s="10"/>
      <c r="CS411" s="10"/>
      <c r="CT411" s="10"/>
      <c r="CU411" s="10"/>
      <c r="CV411" s="10"/>
      <c r="CW411" s="10"/>
      <c r="CX411" s="10"/>
      <c r="CY411" s="10"/>
      <c r="CZ411" s="10"/>
      <c r="DA411" s="10"/>
      <c r="DB411" s="10"/>
      <c r="DC411" s="10"/>
      <c r="DD411" s="10"/>
      <c r="DE411" s="10"/>
      <c r="DF411" s="10"/>
      <c r="DG411" s="10"/>
      <c r="DH411" s="10"/>
      <c r="DI411" s="10"/>
      <c r="DJ411" s="10"/>
      <c r="DK411" s="10"/>
      <c r="DL411" s="10"/>
      <c r="DM411" s="10"/>
      <c r="DN411" s="10"/>
      <c r="DO411" s="10"/>
      <c r="DP411" s="10"/>
      <c r="DQ411" s="10"/>
      <c r="DR411" s="10"/>
      <c r="DS411" s="10"/>
      <c r="DT411" s="10"/>
      <c r="DU411" s="10"/>
      <c r="DV411" s="10"/>
      <c r="DW411" s="10"/>
      <c r="DX411" s="10"/>
      <c r="DY411" s="10"/>
      <c r="DZ411" s="10"/>
      <c r="EA411" s="10"/>
      <c r="EB411" s="10"/>
      <c r="EC411" s="10"/>
      <c r="ED411" s="10"/>
      <c r="EE411" s="10"/>
      <c r="EF411" s="10"/>
      <c r="EG411" s="10"/>
      <c r="EH411" s="10"/>
      <c r="EI411" s="10"/>
      <c r="EJ411" s="10"/>
      <c r="EK411" s="10"/>
      <c r="EL411" s="10"/>
      <c r="EM411" s="10"/>
      <c r="EN411" s="10"/>
      <c r="EO411" s="10"/>
      <c r="EP411" s="10"/>
      <c r="EQ411" s="10"/>
      <c r="ER411" s="10"/>
      <c r="ES411" s="10"/>
      <c r="ET411" s="10"/>
      <c r="EU411" s="10"/>
      <c r="EV411" s="10"/>
      <c r="EW411" s="10"/>
      <c r="EX411" s="10"/>
      <c r="EY411" s="10"/>
      <c r="EZ411" s="10"/>
      <c r="FA411" s="10"/>
      <c r="FB411" s="10"/>
      <c r="FC411" s="10"/>
      <c r="FD411" s="10"/>
      <c r="FE411" s="10"/>
      <c r="FF411" s="10"/>
      <c r="FG411" s="10"/>
      <c r="FH411" s="10"/>
      <c r="FI411" s="10"/>
      <c r="FJ411" s="10"/>
      <c r="FK411" s="10"/>
      <c r="FL411" s="10"/>
      <c r="FM411" s="10"/>
      <c r="FN411" s="10"/>
      <c r="FO411" s="10"/>
      <c r="FP411" s="10"/>
      <c r="FQ411" s="10"/>
      <c r="FR411" s="10"/>
      <c r="FS411" s="10"/>
      <c r="FT411" s="10"/>
      <c r="FU411" s="10"/>
      <c r="FV411" s="10"/>
      <c r="FW411" s="10"/>
      <c r="FX411" s="10"/>
      <c r="FY411" s="10"/>
      <c r="FZ411" s="10"/>
      <c r="GA411" s="10"/>
      <c r="GB411" s="10"/>
      <c r="GC411" s="10"/>
      <c r="GD411" s="10"/>
      <c r="GE411" s="10"/>
      <c r="GF411" s="10"/>
      <c r="GG411" s="10"/>
      <c r="GH411" s="10"/>
      <c r="GI411" s="10"/>
      <c r="GJ411" s="10"/>
      <c r="GK411" s="10"/>
    </row>
    <row r="412" customFormat="false" ht="12.75" hidden="false" customHeight="false" outlineLevel="0" collapsed="false">
      <c r="A412" s="7"/>
      <c r="B412" s="7"/>
      <c r="C412" s="8"/>
      <c r="D412" s="8"/>
      <c r="E412" s="8"/>
      <c r="F412" s="8"/>
      <c r="G412" s="9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  <c r="BS412" s="10"/>
      <c r="BT412" s="10"/>
      <c r="BU412" s="10"/>
      <c r="BV412" s="10"/>
      <c r="BW412" s="10"/>
      <c r="BX412" s="10"/>
      <c r="BY412" s="10"/>
      <c r="BZ412" s="10"/>
      <c r="CA412" s="10"/>
      <c r="CB412" s="10"/>
      <c r="CC412" s="10"/>
      <c r="CD412" s="10"/>
      <c r="CE412" s="10"/>
      <c r="CF412" s="10"/>
      <c r="CG412" s="10"/>
      <c r="CH412" s="10"/>
      <c r="CI412" s="10"/>
      <c r="CJ412" s="10"/>
      <c r="CK412" s="10"/>
      <c r="CL412" s="10"/>
      <c r="CM412" s="10"/>
      <c r="CN412" s="10"/>
      <c r="CO412" s="10"/>
      <c r="CP412" s="10"/>
      <c r="CQ412" s="10"/>
      <c r="CR412" s="10"/>
      <c r="CS412" s="10"/>
      <c r="CT412" s="10"/>
      <c r="CU412" s="10"/>
      <c r="CV412" s="10"/>
      <c r="CW412" s="10"/>
      <c r="CX412" s="10"/>
      <c r="CY412" s="10"/>
      <c r="CZ412" s="10"/>
      <c r="DA412" s="10"/>
      <c r="DB412" s="10"/>
      <c r="DC412" s="10"/>
      <c r="DD412" s="10"/>
      <c r="DE412" s="10"/>
      <c r="DF412" s="10"/>
      <c r="DG412" s="10"/>
      <c r="DH412" s="10"/>
      <c r="DI412" s="10"/>
      <c r="DJ412" s="10"/>
      <c r="DK412" s="10"/>
      <c r="DL412" s="10"/>
      <c r="DM412" s="10"/>
      <c r="DN412" s="10"/>
      <c r="DO412" s="10"/>
      <c r="DP412" s="10"/>
      <c r="DQ412" s="10"/>
      <c r="DR412" s="10"/>
      <c r="DS412" s="10"/>
      <c r="DT412" s="10"/>
      <c r="DU412" s="10"/>
      <c r="DV412" s="10"/>
      <c r="DW412" s="10"/>
      <c r="DX412" s="10"/>
      <c r="DY412" s="10"/>
      <c r="DZ412" s="10"/>
      <c r="EA412" s="10"/>
      <c r="EB412" s="10"/>
      <c r="EC412" s="10"/>
      <c r="ED412" s="10"/>
      <c r="EE412" s="10"/>
      <c r="EF412" s="10"/>
      <c r="EG412" s="10"/>
      <c r="EH412" s="10"/>
      <c r="EI412" s="10"/>
      <c r="EJ412" s="10"/>
      <c r="EK412" s="10"/>
      <c r="EL412" s="10"/>
      <c r="EM412" s="10"/>
      <c r="EN412" s="10"/>
      <c r="EO412" s="10"/>
      <c r="EP412" s="10"/>
      <c r="EQ412" s="10"/>
      <c r="ER412" s="10"/>
      <c r="ES412" s="10"/>
      <c r="ET412" s="10"/>
      <c r="EU412" s="10"/>
      <c r="EV412" s="10"/>
      <c r="EW412" s="10"/>
      <c r="EX412" s="10"/>
      <c r="EY412" s="10"/>
      <c r="EZ412" s="10"/>
      <c r="FA412" s="10"/>
      <c r="FB412" s="10"/>
      <c r="FC412" s="10"/>
      <c r="FD412" s="10"/>
      <c r="FE412" s="10"/>
      <c r="FF412" s="10"/>
      <c r="FG412" s="10"/>
      <c r="FH412" s="10"/>
      <c r="FI412" s="10"/>
      <c r="FJ412" s="10"/>
      <c r="FK412" s="10"/>
      <c r="FL412" s="10"/>
      <c r="FM412" s="10"/>
      <c r="FN412" s="10"/>
      <c r="FO412" s="10"/>
      <c r="FP412" s="10"/>
      <c r="FQ412" s="10"/>
      <c r="FR412" s="10"/>
      <c r="FS412" s="10"/>
      <c r="FT412" s="10"/>
      <c r="FU412" s="10"/>
      <c r="FV412" s="10"/>
      <c r="FW412" s="10"/>
      <c r="FX412" s="10"/>
      <c r="FY412" s="10"/>
      <c r="FZ412" s="10"/>
      <c r="GA412" s="10"/>
      <c r="GB412" s="10"/>
      <c r="GC412" s="10"/>
      <c r="GD412" s="10"/>
      <c r="GE412" s="10"/>
      <c r="GF412" s="10"/>
      <c r="GG412" s="10"/>
      <c r="GH412" s="10"/>
      <c r="GI412" s="10"/>
      <c r="GJ412" s="10"/>
      <c r="GK412" s="10"/>
    </row>
    <row r="413" customFormat="false" ht="12.75" hidden="false" customHeight="false" outlineLevel="0" collapsed="false">
      <c r="A413" s="7"/>
      <c r="B413" s="7"/>
      <c r="C413" s="8"/>
      <c r="D413" s="8"/>
      <c r="E413" s="8"/>
      <c r="F413" s="8"/>
      <c r="G413" s="9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  <c r="BT413" s="10"/>
      <c r="BU413" s="10"/>
      <c r="BV413" s="10"/>
      <c r="BW413" s="10"/>
      <c r="BX413" s="10"/>
      <c r="BY413" s="10"/>
      <c r="BZ413" s="10"/>
      <c r="CA413" s="10"/>
      <c r="CB413" s="10"/>
      <c r="CC413" s="10"/>
      <c r="CD413" s="10"/>
      <c r="CE413" s="10"/>
      <c r="CF413" s="10"/>
      <c r="CG413" s="10"/>
      <c r="CH413" s="10"/>
      <c r="CI413" s="10"/>
      <c r="CJ413" s="10"/>
      <c r="CK413" s="10"/>
      <c r="CL413" s="10"/>
      <c r="CM413" s="10"/>
      <c r="CN413" s="10"/>
      <c r="CO413" s="10"/>
      <c r="CP413" s="10"/>
      <c r="CQ413" s="10"/>
      <c r="CR413" s="10"/>
      <c r="CS413" s="10"/>
      <c r="CT413" s="10"/>
      <c r="CU413" s="10"/>
      <c r="CV413" s="10"/>
      <c r="CW413" s="10"/>
      <c r="CX413" s="10"/>
      <c r="CY413" s="10"/>
      <c r="CZ413" s="10"/>
      <c r="DA413" s="10"/>
      <c r="DB413" s="10"/>
      <c r="DC413" s="10"/>
      <c r="DD413" s="10"/>
      <c r="DE413" s="10"/>
      <c r="DF413" s="10"/>
      <c r="DG413" s="10"/>
      <c r="DH413" s="10"/>
      <c r="DI413" s="10"/>
      <c r="DJ413" s="10"/>
      <c r="DK413" s="10"/>
      <c r="DL413" s="10"/>
      <c r="DM413" s="10"/>
      <c r="DN413" s="10"/>
      <c r="DO413" s="10"/>
      <c r="DP413" s="10"/>
      <c r="DQ413" s="10"/>
      <c r="DR413" s="10"/>
      <c r="DS413" s="10"/>
      <c r="DT413" s="10"/>
      <c r="DU413" s="10"/>
      <c r="DV413" s="10"/>
      <c r="DW413" s="10"/>
      <c r="DX413" s="10"/>
      <c r="DY413" s="10"/>
      <c r="DZ413" s="10"/>
      <c r="EA413" s="10"/>
      <c r="EB413" s="10"/>
      <c r="EC413" s="10"/>
      <c r="ED413" s="10"/>
      <c r="EE413" s="10"/>
      <c r="EF413" s="10"/>
      <c r="EG413" s="10"/>
      <c r="EH413" s="10"/>
      <c r="EI413" s="10"/>
      <c r="EJ413" s="10"/>
      <c r="EK413" s="10"/>
      <c r="EL413" s="10"/>
      <c r="EM413" s="10"/>
      <c r="EN413" s="10"/>
      <c r="EO413" s="10"/>
      <c r="EP413" s="10"/>
      <c r="EQ413" s="10"/>
      <c r="ER413" s="10"/>
      <c r="ES413" s="10"/>
      <c r="ET413" s="10"/>
      <c r="EU413" s="10"/>
      <c r="EV413" s="10"/>
      <c r="EW413" s="10"/>
      <c r="EX413" s="10"/>
      <c r="EY413" s="10"/>
      <c r="EZ413" s="10"/>
      <c r="FA413" s="10"/>
      <c r="FB413" s="10"/>
      <c r="FC413" s="10"/>
      <c r="FD413" s="10"/>
      <c r="FE413" s="10"/>
      <c r="FF413" s="10"/>
      <c r="FG413" s="10"/>
      <c r="FH413" s="10"/>
      <c r="FI413" s="10"/>
      <c r="FJ413" s="10"/>
      <c r="FK413" s="10"/>
      <c r="FL413" s="10"/>
      <c r="FM413" s="10"/>
      <c r="FN413" s="10"/>
      <c r="FO413" s="10"/>
      <c r="FP413" s="10"/>
      <c r="FQ413" s="10"/>
      <c r="FR413" s="10"/>
      <c r="FS413" s="10"/>
      <c r="FT413" s="10"/>
      <c r="FU413" s="10"/>
      <c r="FV413" s="10"/>
      <c r="FW413" s="10"/>
      <c r="FX413" s="10"/>
      <c r="FY413" s="10"/>
      <c r="FZ413" s="10"/>
      <c r="GA413" s="10"/>
      <c r="GB413" s="10"/>
      <c r="GC413" s="10"/>
      <c r="GD413" s="10"/>
      <c r="GE413" s="10"/>
      <c r="GF413" s="10"/>
      <c r="GG413" s="10"/>
      <c r="GH413" s="10"/>
      <c r="GI413" s="10"/>
      <c r="GJ413" s="10"/>
      <c r="GK413" s="10"/>
    </row>
    <row r="414" customFormat="false" ht="12.75" hidden="false" customHeight="false" outlineLevel="0" collapsed="false">
      <c r="A414" s="7"/>
      <c r="B414" s="7"/>
      <c r="C414" s="8"/>
      <c r="D414" s="8"/>
      <c r="E414" s="8"/>
      <c r="F414" s="8"/>
      <c r="G414" s="9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  <c r="BT414" s="10"/>
      <c r="BU414" s="10"/>
      <c r="BV414" s="10"/>
      <c r="BW414" s="10"/>
      <c r="BX414" s="10"/>
      <c r="BY414" s="10"/>
      <c r="BZ414" s="10"/>
      <c r="CA414" s="10"/>
      <c r="CB414" s="10"/>
      <c r="CC414" s="10"/>
      <c r="CD414" s="10"/>
      <c r="CE414" s="10"/>
      <c r="CF414" s="10"/>
      <c r="CG414" s="10"/>
      <c r="CH414" s="10"/>
      <c r="CI414" s="10"/>
      <c r="CJ414" s="10"/>
      <c r="CK414" s="10"/>
      <c r="CL414" s="10"/>
      <c r="CM414" s="10"/>
      <c r="CN414" s="10"/>
      <c r="CO414" s="10"/>
      <c r="CP414" s="10"/>
      <c r="CQ414" s="10"/>
      <c r="CR414" s="10"/>
      <c r="CS414" s="10"/>
      <c r="CT414" s="10"/>
      <c r="CU414" s="10"/>
      <c r="CV414" s="10"/>
      <c r="CW414" s="10"/>
      <c r="CX414" s="10"/>
      <c r="CY414" s="10"/>
      <c r="CZ414" s="10"/>
      <c r="DA414" s="10"/>
      <c r="DB414" s="10"/>
      <c r="DC414" s="10"/>
      <c r="DD414" s="10"/>
      <c r="DE414" s="10"/>
      <c r="DF414" s="10"/>
      <c r="DG414" s="10"/>
      <c r="DH414" s="10"/>
      <c r="DI414" s="10"/>
      <c r="DJ414" s="10"/>
      <c r="DK414" s="10"/>
      <c r="DL414" s="10"/>
      <c r="DM414" s="10"/>
      <c r="DN414" s="10"/>
      <c r="DO414" s="10"/>
      <c r="DP414" s="10"/>
      <c r="DQ414" s="10"/>
      <c r="DR414" s="10"/>
      <c r="DS414" s="10"/>
      <c r="DT414" s="10"/>
      <c r="DU414" s="10"/>
      <c r="DV414" s="10"/>
      <c r="DW414" s="10"/>
      <c r="DX414" s="10"/>
      <c r="DY414" s="10"/>
      <c r="DZ414" s="10"/>
      <c r="EA414" s="10"/>
      <c r="EB414" s="10"/>
      <c r="EC414" s="10"/>
      <c r="ED414" s="10"/>
      <c r="EE414" s="10"/>
      <c r="EF414" s="10"/>
      <c r="EG414" s="10"/>
      <c r="EH414" s="10"/>
      <c r="EI414" s="10"/>
      <c r="EJ414" s="10"/>
      <c r="EK414" s="10"/>
      <c r="EL414" s="10"/>
      <c r="EM414" s="10"/>
      <c r="EN414" s="10"/>
      <c r="EO414" s="10"/>
      <c r="EP414" s="10"/>
      <c r="EQ414" s="10"/>
      <c r="ER414" s="10"/>
      <c r="ES414" s="10"/>
      <c r="ET414" s="10"/>
      <c r="EU414" s="10"/>
      <c r="EV414" s="10"/>
      <c r="EW414" s="10"/>
      <c r="EX414" s="10"/>
      <c r="EY414" s="10"/>
      <c r="EZ414" s="10"/>
      <c r="FA414" s="10"/>
      <c r="FB414" s="10"/>
      <c r="FC414" s="10"/>
      <c r="FD414" s="10"/>
      <c r="FE414" s="10"/>
      <c r="FF414" s="10"/>
      <c r="FG414" s="10"/>
      <c r="FH414" s="10"/>
      <c r="FI414" s="10"/>
      <c r="FJ414" s="10"/>
      <c r="FK414" s="10"/>
      <c r="FL414" s="10"/>
      <c r="FM414" s="10"/>
      <c r="FN414" s="10"/>
      <c r="FO414" s="10"/>
      <c r="FP414" s="10"/>
      <c r="FQ414" s="10"/>
      <c r="FR414" s="10"/>
      <c r="FS414" s="10"/>
      <c r="FT414" s="10"/>
      <c r="FU414" s="10"/>
      <c r="FV414" s="10"/>
      <c r="FW414" s="10"/>
      <c r="FX414" s="10"/>
      <c r="FY414" s="10"/>
      <c r="FZ414" s="10"/>
      <c r="GA414" s="10"/>
      <c r="GB414" s="10"/>
      <c r="GC414" s="10"/>
      <c r="GD414" s="10"/>
      <c r="GE414" s="10"/>
      <c r="GF414" s="10"/>
      <c r="GG414" s="10"/>
      <c r="GH414" s="10"/>
      <c r="GI414" s="10"/>
      <c r="GJ414" s="10"/>
      <c r="GK414" s="10"/>
    </row>
    <row r="415" customFormat="false" ht="12.75" hidden="false" customHeight="false" outlineLevel="0" collapsed="false">
      <c r="A415" s="7"/>
      <c r="B415" s="7"/>
      <c r="C415" s="8"/>
      <c r="D415" s="8"/>
      <c r="E415" s="8"/>
      <c r="F415" s="8"/>
      <c r="G415" s="9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  <c r="BT415" s="10"/>
      <c r="BU415" s="10"/>
      <c r="BV415" s="10"/>
      <c r="BW415" s="10"/>
      <c r="BX415" s="10"/>
      <c r="BY415" s="10"/>
      <c r="BZ415" s="10"/>
      <c r="CA415" s="10"/>
      <c r="CB415" s="10"/>
      <c r="CC415" s="10"/>
      <c r="CD415" s="10"/>
      <c r="CE415" s="10"/>
      <c r="CF415" s="10"/>
      <c r="CG415" s="10"/>
      <c r="CH415" s="10"/>
      <c r="CI415" s="10"/>
      <c r="CJ415" s="10"/>
      <c r="CK415" s="10"/>
      <c r="CL415" s="10"/>
      <c r="CM415" s="10"/>
      <c r="CN415" s="10"/>
      <c r="CO415" s="10"/>
      <c r="CP415" s="10"/>
      <c r="CQ415" s="10"/>
      <c r="CR415" s="10"/>
      <c r="CS415" s="10"/>
      <c r="CT415" s="10"/>
      <c r="CU415" s="10"/>
      <c r="CV415" s="10"/>
      <c r="CW415" s="10"/>
      <c r="CX415" s="10"/>
      <c r="CY415" s="10"/>
      <c r="CZ415" s="10"/>
      <c r="DA415" s="10"/>
      <c r="DB415" s="10"/>
      <c r="DC415" s="10"/>
      <c r="DD415" s="10"/>
      <c r="DE415" s="10"/>
      <c r="DF415" s="10"/>
      <c r="DG415" s="10"/>
      <c r="DH415" s="10"/>
      <c r="DI415" s="10"/>
      <c r="DJ415" s="10"/>
      <c r="DK415" s="10"/>
      <c r="DL415" s="10"/>
      <c r="DM415" s="10"/>
      <c r="DN415" s="10"/>
      <c r="DO415" s="10"/>
      <c r="DP415" s="10"/>
      <c r="DQ415" s="10"/>
      <c r="DR415" s="10"/>
      <c r="DS415" s="10"/>
      <c r="DT415" s="10"/>
      <c r="DU415" s="10"/>
      <c r="DV415" s="10"/>
      <c r="DW415" s="10"/>
      <c r="DX415" s="10"/>
      <c r="DY415" s="10"/>
      <c r="DZ415" s="10"/>
      <c r="EA415" s="10"/>
      <c r="EB415" s="10"/>
      <c r="EC415" s="10"/>
      <c r="ED415" s="10"/>
      <c r="EE415" s="10"/>
      <c r="EF415" s="10"/>
      <c r="EG415" s="10"/>
      <c r="EH415" s="10"/>
      <c r="EI415" s="10"/>
      <c r="EJ415" s="10"/>
      <c r="EK415" s="10"/>
      <c r="EL415" s="10"/>
      <c r="EM415" s="10"/>
      <c r="EN415" s="10"/>
      <c r="EO415" s="10"/>
      <c r="EP415" s="10"/>
      <c r="EQ415" s="10"/>
      <c r="ER415" s="10"/>
      <c r="ES415" s="10"/>
      <c r="ET415" s="10"/>
      <c r="EU415" s="10"/>
      <c r="EV415" s="10"/>
      <c r="EW415" s="10"/>
      <c r="EX415" s="10"/>
      <c r="EY415" s="10"/>
      <c r="EZ415" s="10"/>
      <c r="FA415" s="10"/>
      <c r="FB415" s="10"/>
      <c r="FC415" s="10"/>
      <c r="FD415" s="10"/>
      <c r="FE415" s="10"/>
      <c r="FF415" s="10"/>
      <c r="FG415" s="10"/>
      <c r="FH415" s="10"/>
      <c r="FI415" s="10"/>
      <c r="FJ415" s="10"/>
      <c r="FK415" s="10"/>
      <c r="FL415" s="10"/>
      <c r="FM415" s="10"/>
      <c r="FN415" s="10"/>
      <c r="FO415" s="10"/>
      <c r="FP415" s="10"/>
      <c r="FQ415" s="10"/>
      <c r="FR415" s="10"/>
      <c r="FS415" s="10"/>
      <c r="FT415" s="10"/>
      <c r="FU415" s="10"/>
      <c r="FV415" s="10"/>
      <c r="FW415" s="10"/>
      <c r="FX415" s="10"/>
      <c r="FY415" s="10"/>
      <c r="FZ415" s="10"/>
      <c r="GA415" s="10"/>
      <c r="GB415" s="10"/>
      <c r="GC415" s="10"/>
      <c r="GD415" s="10"/>
      <c r="GE415" s="10"/>
      <c r="GF415" s="10"/>
      <c r="GG415" s="10"/>
      <c r="GH415" s="10"/>
      <c r="GI415" s="10"/>
      <c r="GJ415" s="10"/>
      <c r="GK415" s="10"/>
    </row>
    <row r="416" customFormat="false" ht="12.75" hidden="false" customHeight="false" outlineLevel="0" collapsed="false">
      <c r="A416" s="7"/>
      <c r="B416" s="7"/>
      <c r="C416" s="8"/>
      <c r="D416" s="8"/>
      <c r="E416" s="8"/>
      <c r="F416" s="8"/>
      <c r="G416" s="9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  <c r="BT416" s="10"/>
      <c r="BU416" s="10"/>
      <c r="BV416" s="10"/>
      <c r="BW416" s="10"/>
      <c r="BX416" s="10"/>
      <c r="BY416" s="10"/>
      <c r="BZ416" s="10"/>
      <c r="CA416" s="10"/>
      <c r="CB416" s="10"/>
      <c r="CC416" s="10"/>
      <c r="CD416" s="10"/>
      <c r="CE416" s="10"/>
      <c r="CF416" s="10"/>
      <c r="CG416" s="10"/>
      <c r="CH416" s="10"/>
      <c r="CI416" s="10"/>
      <c r="CJ416" s="10"/>
      <c r="CK416" s="10"/>
      <c r="CL416" s="10"/>
      <c r="CM416" s="10"/>
      <c r="CN416" s="10"/>
      <c r="CO416" s="10"/>
      <c r="CP416" s="10"/>
      <c r="CQ416" s="10"/>
      <c r="CR416" s="10"/>
      <c r="CS416" s="10"/>
      <c r="CT416" s="10"/>
      <c r="CU416" s="10"/>
      <c r="CV416" s="10"/>
      <c r="CW416" s="10"/>
      <c r="CX416" s="10"/>
      <c r="CY416" s="10"/>
      <c r="CZ416" s="10"/>
      <c r="DA416" s="10"/>
      <c r="DB416" s="10"/>
      <c r="DC416" s="10"/>
      <c r="DD416" s="10"/>
      <c r="DE416" s="10"/>
      <c r="DF416" s="10"/>
      <c r="DG416" s="10"/>
      <c r="DH416" s="10"/>
      <c r="DI416" s="10"/>
      <c r="DJ416" s="10"/>
      <c r="DK416" s="10"/>
      <c r="DL416" s="10"/>
      <c r="DM416" s="10"/>
      <c r="DN416" s="10"/>
      <c r="DO416" s="10"/>
      <c r="DP416" s="10"/>
      <c r="DQ416" s="10"/>
      <c r="DR416" s="10"/>
      <c r="DS416" s="10"/>
      <c r="DT416" s="10"/>
      <c r="DU416" s="10"/>
      <c r="DV416" s="10"/>
      <c r="DW416" s="10"/>
      <c r="DX416" s="10"/>
      <c r="DY416" s="10"/>
      <c r="DZ416" s="10"/>
      <c r="EA416" s="10"/>
      <c r="EB416" s="10"/>
      <c r="EC416" s="10"/>
      <c r="ED416" s="10"/>
      <c r="EE416" s="10"/>
      <c r="EF416" s="10"/>
      <c r="EG416" s="10"/>
      <c r="EH416" s="10"/>
      <c r="EI416" s="10"/>
      <c r="EJ416" s="10"/>
      <c r="EK416" s="10"/>
      <c r="EL416" s="10"/>
      <c r="EM416" s="10"/>
      <c r="EN416" s="10"/>
      <c r="EO416" s="10"/>
      <c r="EP416" s="10"/>
      <c r="EQ416" s="10"/>
      <c r="ER416" s="10"/>
      <c r="ES416" s="10"/>
      <c r="ET416" s="10"/>
      <c r="EU416" s="10"/>
      <c r="EV416" s="10"/>
      <c r="EW416" s="10"/>
      <c r="EX416" s="10"/>
      <c r="EY416" s="10"/>
      <c r="EZ416" s="10"/>
      <c r="FA416" s="10"/>
      <c r="FB416" s="10"/>
      <c r="FC416" s="10"/>
      <c r="FD416" s="10"/>
      <c r="FE416" s="10"/>
      <c r="FF416" s="10"/>
      <c r="FG416" s="10"/>
      <c r="FH416" s="10"/>
      <c r="FI416" s="10"/>
      <c r="FJ416" s="10"/>
      <c r="FK416" s="10"/>
      <c r="FL416" s="10"/>
      <c r="FM416" s="10"/>
      <c r="FN416" s="10"/>
      <c r="FO416" s="10"/>
      <c r="FP416" s="10"/>
      <c r="FQ416" s="10"/>
      <c r="FR416" s="10"/>
      <c r="FS416" s="10"/>
      <c r="FT416" s="10"/>
      <c r="FU416" s="10"/>
      <c r="FV416" s="10"/>
      <c r="FW416" s="10"/>
      <c r="FX416" s="10"/>
      <c r="FY416" s="10"/>
      <c r="FZ416" s="10"/>
      <c r="GA416" s="10"/>
      <c r="GB416" s="10"/>
      <c r="GC416" s="10"/>
      <c r="GD416" s="10"/>
      <c r="GE416" s="10"/>
      <c r="GF416" s="10"/>
      <c r="GG416" s="10"/>
      <c r="GH416" s="10"/>
      <c r="GI416" s="10"/>
      <c r="GJ416" s="10"/>
      <c r="GK416" s="10"/>
    </row>
    <row r="417" customFormat="false" ht="12.75" hidden="false" customHeight="false" outlineLevel="0" collapsed="false">
      <c r="A417" s="7"/>
      <c r="B417" s="7"/>
      <c r="C417" s="8"/>
      <c r="D417" s="8"/>
      <c r="E417" s="8"/>
      <c r="F417" s="8"/>
      <c r="G417" s="9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/>
      <c r="BT417" s="10"/>
      <c r="BU417" s="10"/>
      <c r="BV417" s="10"/>
      <c r="BW417" s="10"/>
      <c r="BX417" s="10"/>
      <c r="BY417" s="10"/>
      <c r="BZ417" s="10"/>
      <c r="CA417" s="10"/>
      <c r="CB417" s="10"/>
      <c r="CC417" s="10"/>
      <c r="CD417" s="10"/>
      <c r="CE417" s="10"/>
      <c r="CF417" s="10"/>
      <c r="CG417" s="10"/>
      <c r="CH417" s="10"/>
      <c r="CI417" s="10"/>
      <c r="CJ417" s="10"/>
      <c r="CK417" s="10"/>
      <c r="CL417" s="10"/>
      <c r="CM417" s="10"/>
      <c r="CN417" s="10"/>
      <c r="CO417" s="10"/>
      <c r="CP417" s="10"/>
      <c r="CQ417" s="10"/>
      <c r="CR417" s="10"/>
      <c r="CS417" s="10"/>
      <c r="CT417" s="10"/>
      <c r="CU417" s="10"/>
      <c r="CV417" s="10"/>
      <c r="CW417" s="10"/>
      <c r="CX417" s="10"/>
      <c r="CY417" s="10"/>
      <c r="CZ417" s="10"/>
      <c r="DA417" s="10"/>
      <c r="DB417" s="10"/>
      <c r="DC417" s="10"/>
      <c r="DD417" s="10"/>
      <c r="DE417" s="10"/>
      <c r="DF417" s="10"/>
      <c r="DG417" s="10"/>
      <c r="DH417" s="10"/>
      <c r="DI417" s="10"/>
      <c r="DJ417" s="10"/>
      <c r="DK417" s="10"/>
      <c r="DL417" s="10"/>
      <c r="DM417" s="10"/>
      <c r="DN417" s="10"/>
      <c r="DO417" s="10"/>
      <c r="DP417" s="10"/>
      <c r="DQ417" s="10"/>
      <c r="DR417" s="10"/>
      <c r="DS417" s="10"/>
      <c r="DT417" s="10"/>
      <c r="DU417" s="10"/>
      <c r="DV417" s="10"/>
      <c r="DW417" s="10"/>
      <c r="DX417" s="10"/>
      <c r="DY417" s="10"/>
      <c r="DZ417" s="10"/>
      <c r="EA417" s="10"/>
      <c r="EB417" s="10"/>
      <c r="EC417" s="10"/>
      <c r="ED417" s="10"/>
      <c r="EE417" s="10"/>
      <c r="EF417" s="10"/>
      <c r="EG417" s="10"/>
      <c r="EH417" s="10"/>
      <c r="EI417" s="10"/>
      <c r="EJ417" s="10"/>
      <c r="EK417" s="10"/>
      <c r="EL417" s="10"/>
      <c r="EM417" s="10"/>
      <c r="EN417" s="10"/>
      <c r="EO417" s="10"/>
      <c r="EP417" s="10"/>
      <c r="EQ417" s="10"/>
      <c r="ER417" s="10"/>
      <c r="ES417" s="10"/>
      <c r="ET417" s="10"/>
      <c r="EU417" s="10"/>
      <c r="EV417" s="10"/>
      <c r="EW417" s="10"/>
      <c r="EX417" s="10"/>
      <c r="EY417" s="10"/>
      <c r="EZ417" s="10"/>
      <c r="FA417" s="10"/>
      <c r="FB417" s="10"/>
      <c r="FC417" s="10"/>
      <c r="FD417" s="10"/>
      <c r="FE417" s="10"/>
      <c r="FF417" s="10"/>
      <c r="FG417" s="10"/>
      <c r="FH417" s="10"/>
      <c r="FI417" s="10"/>
      <c r="FJ417" s="10"/>
      <c r="FK417" s="10"/>
      <c r="FL417" s="10"/>
      <c r="FM417" s="10"/>
      <c r="FN417" s="10"/>
      <c r="FO417" s="10"/>
      <c r="FP417" s="10"/>
      <c r="FQ417" s="10"/>
      <c r="FR417" s="10"/>
      <c r="FS417" s="10"/>
      <c r="FT417" s="10"/>
      <c r="FU417" s="10"/>
      <c r="FV417" s="10"/>
      <c r="FW417" s="10"/>
      <c r="FX417" s="10"/>
      <c r="FY417" s="10"/>
      <c r="FZ417" s="10"/>
      <c r="GA417" s="10"/>
      <c r="GB417" s="10"/>
      <c r="GC417" s="10"/>
      <c r="GD417" s="10"/>
      <c r="GE417" s="10"/>
      <c r="GF417" s="10"/>
      <c r="GG417" s="10"/>
      <c r="GH417" s="10"/>
      <c r="GI417" s="10"/>
      <c r="GJ417" s="10"/>
      <c r="GK417" s="10"/>
    </row>
    <row r="418" customFormat="false" ht="12.75" hidden="false" customHeight="false" outlineLevel="0" collapsed="false">
      <c r="A418" s="7"/>
      <c r="B418" s="7"/>
      <c r="C418" s="8"/>
      <c r="D418" s="8"/>
      <c r="E418" s="8"/>
      <c r="F418" s="8"/>
      <c r="G418" s="9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/>
      <c r="BT418" s="10"/>
      <c r="BU418" s="10"/>
      <c r="BV418" s="10"/>
      <c r="BW418" s="10"/>
      <c r="BX418" s="10"/>
      <c r="BY418" s="10"/>
      <c r="BZ418" s="10"/>
      <c r="CA418" s="10"/>
      <c r="CB418" s="10"/>
      <c r="CC418" s="10"/>
      <c r="CD418" s="10"/>
      <c r="CE418" s="10"/>
      <c r="CF418" s="10"/>
      <c r="CG418" s="10"/>
      <c r="CH418" s="10"/>
      <c r="CI418" s="10"/>
      <c r="CJ418" s="10"/>
      <c r="CK418" s="10"/>
      <c r="CL418" s="10"/>
      <c r="CM418" s="10"/>
      <c r="CN418" s="10"/>
      <c r="CO418" s="10"/>
      <c r="CP418" s="10"/>
      <c r="CQ418" s="10"/>
      <c r="CR418" s="10"/>
      <c r="CS418" s="10"/>
      <c r="CT418" s="10"/>
      <c r="CU418" s="10"/>
      <c r="CV418" s="10"/>
      <c r="CW418" s="10"/>
      <c r="CX418" s="10"/>
      <c r="CY418" s="10"/>
      <c r="CZ418" s="10"/>
      <c r="DA418" s="10"/>
      <c r="DB418" s="10"/>
      <c r="DC418" s="10"/>
      <c r="DD418" s="10"/>
      <c r="DE418" s="10"/>
      <c r="DF418" s="10"/>
      <c r="DG418" s="10"/>
      <c r="DH418" s="10"/>
      <c r="DI418" s="10"/>
      <c r="DJ418" s="10"/>
      <c r="DK418" s="10"/>
      <c r="DL418" s="10"/>
      <c r="DM418" s="10"/>
      <c r="DN418" s="10"/>
      <c r="DO418" s="10"/>
      <c r="DP418" s="10"/>
      <c r="DQ418" s="10"/>
      <c r="DR418" s="10"/>
      <c r="DS418" s="10"/>
      <c r="DT418" s="10"/>
      <c r="DU418" s="10"/>
      <c r="DV418" s="10"/>
      <c r="DW418" s="10"/>
      <c r="DX418" s="10"/>
      <c r="DY418" s="10"/>
      <c r="DZ418" s="10"/>
      <c r="EA418" s="10"/>
      <c r="EB418" s="10"/>
      <c r="EC418" s="10"/>
      <c r="ED418" s="10"/>
      <c r="EE418" s="10"/>
      <c r="EF418" s="10"/>
      <c r="EG418" s="10"/>
      <c r="EH418" s="10"/>
      <c r="EI418" s="10"/>
      <c r="EJ418" s="10"/>
      <c r="EK418" s="10"/>
      <c r="EL418" s="10"/>
      <c r="EM418" s="10"/>
      <c r="EN418" s="10"/>
      <c r="EO418" s="10"/>
      <c r="EP418" s="10"/>
      <c r="EQ418" s="10"/>
      <c r="ER418" s="10"/>
      <c r="ES418" s="10"/>
      <c r="ET418" s="10"/>
      <c r="EU418" s="10"/>
      <c r="EV418" s="10"/>
      <c r="EW418" s="10"/>
      <c r="EX418" s="10"/>
      <c r="EY418" s="10"/>
      <c r="EZ418" s="10"/>
      <c r="FA418" s="10"/>
      <c r="FB418" s="10"/>
      <c r="FC418" s="10"/>
      <c r="FD418" s="10"/>
      <c r="FE418" s="10"/>
      <c r="FF418" s="10"/>
      <c r="FG418" s="10"/>
      <c r="FH418" s="10"/>
      <c r="FI418" s="10"/>
      <c r="FJ418" s="10"/>
      <c r="FK418" s="10"/>
      <c r="FL418" s="10"/>
      <c r="FM418" s="10"/>
      <c r="FN418" s="10"/>
      <c r="FO418" s="10"/>
      <c r="FP418" s="10"/>
      <c r="FQ418" s="10"/>
      <c r="FR418" s="10"/>
      <c r="FS418" s="10"/>
      <c r="FT418" s="10"/>
      <c r="FU418" s="10"/>
      <c r="FV418" s="10"/>
      <c r="FW418" s="10"/>
      <c r="FX418" s="10"/>
      <c r="FY418" s="10"/>
      <c r="FZ418" s="10"/>
      <c r="GA418" s="10"/>
      <c r="GB418" s="10"/>
      <c r="GC418" s="10"/>
      <c r="GD418" s="10"/>
      <c r="GE418" s="10"/>
      <c r="GF418" s="10"/>
      <c r="GG418" s="10"/>
      <c r="GH418" s="10"/>
      <c r="GI418" s="10"/>
      <c r="GJ418" s="10"/>
      <c r="GK418" s="10"/>
    </row>
    <row r="419" customFormat="false" ht="12.75" hidden="false" customHeight="false" outlineLevel="0" collapsed="false">
      <c r="A419" s="7"/>
      <c r="B419" s="7"/>
      <c r="C419" s="8"/>
      <c r="D419" s="8"/>
      <c r="E419" s="8"/>
      <c r="F419" s="8"/>
      <c r="G419" s="9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/>
      <c r="BT419" s="10"/>
      <c r="BU419" s="10"/>
      <c r="BV419" s="10"/>
      <c r="BW419" s="10"/>
      <c r="BX419" s="10"/>
      <c r="BY419" s="10"/>
      <c r="BZ419" s="10"/>
      <c r="CA419" s="10"/>
      <c r="CB419" s="10"/>
      <c r="CC419" s="10"/>
      <c r="CD419" s="10"/>
      <c r="CE419" s="10"/>
      <c r="CF419" s="10"/>
      <c r="CG419" s="10"/>
      <c r="CH419" s="10"/>
      <c r="CI419" s="10"/>
      <c r="CJ419" s="10"/>
      <c r="CK419" s="10"/>
      <c r="CL419" s="10"/>
      <c r="CM419" s="10"/>
      <c r="CN419" s="10"/>
      <c r="CO419" s="10"/>
      <c r="CP419" s="10"/>
      <c r="CQ419" s="10"/>
      <c r="CR419" s="10"/>
      <c r="CS419" s="10"/>
      <c r="CT419" s="10"/>
      <c r="CU419" s="10"/>
      <c r="CV419" s="10"/>
      <c r="CW419" s="10"/>
      <c r="CX419" s="10"/>
      <c r="CY419" s="10"/>
      <c r="CZ419" s="10"/>
      <c r="DA419" s="10"/>
      <c r="DB419" s="10"/>
      <c r="DC419" s="10"/>
      <c r="DD419" s="10"/>
      <c r="DE419" s="10"/>
      <c r="DF419" s="10"/>
      <c r="DG419" s="10"/>
      <c r="DH419" s="10"/>
      <c r="DI419" s="10"/>
      <c r="DJ419" s="10"/>
      <c r="DK419" s="10"/>
      <c r="DL419" s="10"/>
      <c r="DM419" s="10"/>
      <c r="DN419" s="10"/>
      <c r="DO419" s="10"/>
      <c r="DP419" s="10"/>
      <c r="DQ419" s="10"/>
      <c r="DR419" s="10"/>
      <c r="DS419" s="10"/>
      <c r="DT419" s="10"/>
      <c r="DU419" s="10"/>
      <c r="DV419" s="10"/>
      <c r="DW419" s="10"/>
      <c r="DX419" s="10"/>
      <c r="DY419" s="10"/>
      <c r="DZ419" s="10"/>
      <c r="EA419" s="10"/>
      <c r="EB419" s="10"/>
      <c r="EC419" s="10"/>
      <c r="ED419" s="10"/>
      <c r="EE419" s="10"/>
      <c r="EF419" s="10"/>
      <c r="EG419" s="10"/>
      <c r="EH419" s="10"/>
      <c r="EI419" s="10"/>
      <c r="EJ419" s="10"/>
      <c r="EK419" s="10"/>
      <c r="EL419" s="10"/>
      <c r="EM419" s="10"/>
      <c r="EN419" s="10"/>
      <c r="EO419" s="10"/>
      <c r="EP419" s="10"/>
      <c r="EQ419" s="10"/>
      <c r="ER419" s="10"/>
      <c r="ES419" s="10"/>
      <c r="ET419" s="10"/>
      <c r="EU419" s="10"/>
      <c r="EV419" s="10"/>
      <c r="EW419" s="10"/>
      <c r="EX419" s="10"/>
      <c r="EY419" s="10"/>
      <c r="EZ419" s="10"/>
      <c r="FA419" s="10"/>
      <c r="FB419" s="10"/>
      <c r="FC419" s="10"/>
      <c r="FD419" s="10"/>
      <c r="FE419" s="10"/>
      <c r="FF419" s="10"/>
      <c r="FG419" s="10"/>
      <c r="FH419" s="10"/>
      <c r="FI419" s="10"/>
      <c r="FJ419" s="10"/>
      <c r="FK419" s="10"/>
      <c r="FL419" s="10"/>
      <c r="FM419" s="10"/>
      <c r="FN419" s="10"/>
      <c r="FO419" s="10"/>
      <c r="FP419" s="10"/>
      <c r="FQ419" s="10"/>
      <c r="FR419" s="10"/>
      <c r="FS419" s="10"/>
      <c r="FT419" s="10"/>
      <c r="FU419" s="10"/>
      <c r="FV419" s="10"/>
      <c r="FW419" s="10"/>
      <c r="FX419" s="10"/>
      <c r="FY419" s="10"/>
      <c r="FZ419" s="10"/>
      <c r="GA419" s="10"/>
      <c r="GB419" s="10"/>
      <c r="GC419" s="10"/>
      <c r="GD419" s="10"/>
      <c r="GE419" s="10"/>
      <c r="GF419" s="10"/>
      <c r="GG419" s="10"/>
      <c r="GH419" s="10"/>
      <c r="GI419" s="10"/>
      <c r="GJ419" s="10"/>
      <c r="GK419" s="10"/>
    </row>
    <row r="420" customFormat="false" ht="12.75" hidden="false" customHeight="false" outlineLevel="0" collapsed="false">
      <c r="A420" s="7"/>
      <c r="B420" s="7"/>
      <c r="C420" s="8"/>
      <c r="D420" s="8"/>
      <c r="E420" s="8"/>
      <c r="F420" s="8"/>
      <c r="G420" s="9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/>
      <c r="BT420" s="10"/>
      <c r="BU420" s="10"/>
      <c r="BV420" s="10"/>
      <c r="BW420" s="10"/>
      <c r="BX420" s="10"/>
      <c r="BY420" s="10"/>
      <c r="BZ420" s="10"/>
      <c r="CA420" s="10"/>
      <c r="CB420" s="10"/>
      <c r="CC420" s="10"/>
      <c r="CD420" s="10"/>
      <c r="CE420" s="10"/>
      <c r="CF420" s="10"/>
      <c r="CG420" s="10"/>
      <c r="CH420" s="10"/>
      <c r="CI420" s="10"/>
      <c r="CJ420" s="10"/>
      <c r="CK420" s="10"/>
      <c r="CL420" s="10"/>
      <c r="CM420" s="10"/>
      <c r="CN420" s="10"/>
      <c r="CO420" s="10"/>
      <c r="CP420" s="10"/>
      <c r="CQ420" s="10"/>
      <c r="CR420" s="10"/>
      <c r="CS420" s="10"/>
      <c r="CT420" s="10"/>
      <c r="CU420" s="10"/>
      <c r="CV420" s="10"/>
      <c r="CW420" s="10"/>
      <c r="CX420" s="10"/>
      <c r="CY420" s="10"/>
      <c r="CZ420" s="10"/>
      <c r="DA420" s="10"/>
      <c r="DB420" s="10"/>
      <c r="DC420" s="10"/>
      <c r="DD420" s="10"/>
      <c r="DE420" s="10"/>
      <c r="DF420" s="10"/>
      <c r="DG420" s="10"/>
      <c r="DH420" s="10"/>
      <c r="DI420" s="10"/>
      <c r="DJ420" s="10"/>
      <c r="DK420" s="10"/>
      <c r="DL420" s="10"/>
      <c r="DM420" s="10"/>
      <c r="DN420" s="10"/>
      <c r="DO420" s="10"/>
      <c r="DP420" s="10"/>
      <c r="DQ420" s="10"/>
      <c r="DR420" s="10"/>
      <c r="DS420" s="10"/>
      <c r="DT420" s="10"/>
      <c r="DU420" s="10"/>
      <c r="DV420" s="10"/>
      <c r="DW420" s="10"/>
      <c r="DX420" s="10"/>
      <c r="DY420" s="10"/>
      <c r="DZ420" s="10"/>
      <c r="EA420" s="10"/>
      <c r="EB420" s="10"/>
      <c r="EC420" s="10"/>
      <c r="ED420" s="10"/>
      <c r="EE420" s="10"/>
      <c r="EF420" s="10"/>
      <c r="EG420" s="10"/>
      <c r="EH420" s="10"/>
      <c r="EI420" s="10"/>
      <c r="EJ420" s="10"/>
      <c r="EK420" s="10"/>
      <c r="EL420" s="10"/>
      <c r="EM420" s="10"/>
      <c r="EN420" s="10"/>
      <c r="EO420" s="10"/>
      <c r="EP420" s="10"/>
      <c r="EQ420" s="10"/>
      <c r="ER420" s="10"/>
      <c r="ES420" s="10"/>
      <c r="ET420" s="10"/>
      <c r="EU420" s="10"/>
      <c r="EV420" s="10"/>
      <c r="EW420" s="10"/>
      <c r="EX420" s="10"/>
      <c r="EY420" s="10"/>
      <c r="EZ420" s="10"/>
      <c r="FA420" s="10"/>
      <c r="FB420" s="10"/>
      <c r="FC420" s="10"/>
      <c r="FD420" s="10"/>
      <c r="FE420" s="10"/>
      <c r="FF420" s="10"/>
      <c r="FG420" s="10"/>
      <c r="FH420" s="10"/>
      <c r="FI420" s="10"/>
      <c r="FJ420" s="10"/>
      <c r="FK420" s="10"/>
      <c r="FL420" s="10"/>
      <c r="FM420" s="10"/>
      <c r="FN420" s="10"/>
      <c r="FO420" s="10"/>
      <c r="FP420" s="10"/>
      <c r="FQ420" s="10"/>
      <c r="FR420" s="10"/>
      <c r="FS420" s="10"/>
      <c r="FT420" s="10"/>
      <c r="FU420" s="10"/>
      <c r="FV420" s="10"/>
      <c r="FW420" s="10"/>
      <c r="FX420" s="10"/>
      <c r="FY420" s="10"/>
      <c r="FZ420" s="10"/>
      <c r="GA420" s="10"/>
      <c r="GB420" s="10"/>
      <c r="GC420" s="10"/>
      <c r="GD420" s="10"/>
      <c r="GE420" s="10"/>
      <c r="GF420" s="10"/>
      <c r="GG420" s="10"/>
      <c r="GH420" s="10"/>
      <c r="GI420" s="10"/>
      <c r="GJ420" s="10"/>
      <c r="GK420" s="10"/>
    </row>
    <row r="421" customFormat="false" ht="12.75" hidden="false" customHeight="false" outlineLevel="0" collapsed="false">
      <c r="A421" s="7"/>
      <c r="B421" s="7"/>
      <c r="C421" s="8"/>
      <c r="D421" s="8"/>
      <c r="E421" s="8"/>
      <c r="F421" s="8"/>
      <c r="G421" s="9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  <c r="BS421" s="10"/>
      <c r="BT421" s="10"/>
      <c r="BU421" s="10"/>
      <c r="BV421" s="10"/>
      <c r="BW421" s="10"/>
      <c r="BX421" s="10"/>
      <c r="BY421" s="10"/>
      <c r="BZ421" s="10"/>
      <c r="CA421" s="10"/>
      <c r="CB421" s="10"/>
      <c r="CC421" s="10"/>
      <c r="CD421" s="10"/>
      <c r="CE421" s="10"/>
      <c r="CF421" s="10"/>
      <c r="CG421" s="10"/>
      <c r="CH421" s="10"/>
      <c r="CI421" s="10"/>
      <c r="CJ421" s="10"/>
      <c r="CK421" s="10"/>
      <c r="CL421" s="10"/>
      <c r="CM421" s="10"/>
      <c r="CN421" s="10"/>
      <c r="CO421" s="10"/>
      <c r="CP421" s="10"/>
      <c r="CQ421" s="10"/>
      <c r="CR421" s="10"/>
      <c r="CS421" s="10"/>
      <c r="CT421" s="10"/>
      <c r="CU421" s="10"/>
      <c r="CV421" s="10"/>
      <c r="CW421" s="10"/>
      <c r="CX421" s="10"/>
      <c r="CY421" s="10"/>
      <c r="CZ421" s="10"/>
      <c r="DA421" s="10"/>
      <c r="DB421" s="10"/>
      <c r="DC421" s="10"/>
      <c r="DD421" s="10"/>
      <c r="DE421" s="10"/>
      <c r="DF421" s="10"/>
      <c r="DG421" s="10"/>
      <c r="DH421" s="10"/>
      <c r="DI421" s="10"/>
      <c r="DJ421" s="10"/>
      <c r="DK421" s="10"/>
      <c r="DL421" s="10"/>
      <c r="DM421" s="10"/>
      <c r="DN421" s="10"/>
      <c r="DO421" s="10"/>
      <c r="DP421" s="10"/>
      <c r="DQ421" s="10"/>
      <c r="DR421" s="10"/>
      <c r="DS421" s="10"/>
      <c r="DT421" s="10"/>
      <c r="DU421" s="10"/>
      <c r="DV421" s="10"/>
      <c r="DW421" s="10"/>
      <c r="DX421" s="10"/>
      <c r="DY421" s="10"/>
      <c r="DZ421" s="10"/>
      <c r="EA421" s="10"/>
      <c r="EB421" s="10"/>
      <c r="EC421" s="10"/>
      <c r="ED421" s="10"/>
      <c r="EE421" s="10"/>
      <c r="EF421" s="10"/>
      <c r="EG421" s="10"/>
      <c r="EH421" s="10"/>
      <c r="EI421" s="10"/>
      <c r="EJ421" s="10"/>
      <c r="EK421" s="10"/>
      <c r="EL421" s="10"/>
      <c r="EM421" s="10"/>
      <c r="EN421" s="10"/>
      <c r="EO421" s="10"/>
      <c r="EP421" s="10"/>
      <c r="EQ421" s="10"/>
      <c r="ER421" s="10"/>
      <c r="ES421" s="10"/>
      <c r="ET421" s="10"/>
      <c r="EU421" s="10"/>
      <c r="EV421" s="10"/>
      <c r="EW421" s="10"/>
      <c r="EX421" s="10"/>
      <c r="EY421" s="10"/>
      <c r="EZ421" s="10"/>
      <c r="FA421" s="10"/>
      <c r="FB421" s="10"/>
      <c r="FC421" s="10"/>
      <c r="FD421" s="10"/>
      <c r="FE421" s="10"/>
      <c r="FF421" s="10"/>
      <c r="FG421" s="10"/>
      <c r="FH421" s="10"/>
      <c r="FI421" s="10"/>
      <c r="FJ421" s="10"/>
      <c r="FK421" s="10"/>
      <c r="FL421" s="10"/>
      <c r="FM421" s="10"/>
      <c r="FN421" s="10"/>
      <c r="FO421" s="10"/>
      <c r="FP421" s="10"/>
      <c r="FQ421" s="10"/>
      <c r="FR421" s="10"/>
      <c r="FS421" s="10"/>
      <c r="FT421" s="10"/>
      <c r="FU421" s="10"/>
      <c r="FV421" s="10"/>
      <c r="FW421" s="10"/>
      <c r="FX421" s="10"/>
      <c r="FY421" s="10"/>
      <c r="FZ421" s="10"/>
      <c r="GA421" s="10"/>
      <c r="GB421" s="10"/>
      <c r="GC421" s="10"/>
      <c r="GD421" s="10"/>
      <c r="GE421" s="10"/>
      <c r="GF421" s="10"/>
      <c r="GG421" s="10"/>
      <c r="GH421" s="10"/>
      <c r="GI421" s="10"/>
      <c r="GJ421" s="10"/>
      <c r="GK421" s="10"/>
    </row>
    <row r="422" customFormat="false" ht="12.75" hidden="false" customHeight="false" outlineLevel="0" collapsed="false">
      <c r="A422" s="7"/>
      <c r="B422" s="7"/>
      <c r="C422" s="8"/>
      <c r="D422" s="8"/>
      <c r="E422" s="8"/>
      <c r="F422" s="8"/>
      <c r="G422" s="9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/>
      <c r="BT422" s="10"/>
      <c r="BU422" s="10"/>
      <c r="BV422" s="10"/>
      <c r="BW422" s="10"/>
      <c r="BX422" s="10"/>
      <c r="BY422" s="10"/>
      <c r="BZ422" s="10"/>
      <c r="CA422" s="10"/>
      <c r="CB422" s="10"/>
      <c r="CC422" s="10"/>
      <c r="CD422" s="10"/>
      <c r="CE422" s="10"/>
      <c r="CF422" s="10"/>
      <c r="CG422" s="10"/>
      <c r="CH422" s="10"/>
      <c r="CI422" s="10"/>
      <c r="CJ422" s="10"/>
      <c r="CK422" s="10"/>
      <c r="CL422" s="10"/>
      <c r="CM422" s="10"/>
      <c r="CN422" s="10"/>
      <c r="CO422" s="10"/>
      <c r="CP422" s="10"/>
      <c r="CQ422" s="10"/>
      <c r="CR422" s="10"/>
      <c r="CS422" s="10"/>
      <c r="CT422" s="10"/>
      <c r="CU422" s="10"/>
      <c r="CV422" s="10"/>
      <c r="CW422" s="10"/>
      <c r="CX422" s="10"/>
      <c r="CY422" s="10"/>
      <c r="CZ422" s="10"/>
      <c r="DA422" s="10"/>
      <c r="DB422" s="10"/>
      <c r="DC422" s="10"/>
      <c r="DD422" s="10"/>
      <c r="DE422" s="10"/>
      <c r="DF422" s="10"/>
      <c r="DG422" s="10"/>
      <c r="DH422" s="10"/>
      <c r="DI422" s="10"/>
      <c r="DJ422" s="10"/>
      <c r="DK422" s="10"/>
      <c r="DL422" s="10"/>
      <c r="DM422" s="10"/>
      <c r="DN422" s="10"/>
      <c r="DO422" s="10"/>
      <c r="DP422" s="10"/>
      <c r="DQ422" s="10"/>
      <c r="DR422" s="10"/>
      <c r="DS422" s="10"/>
      <c r="DT422" s="10"/>
      <c r="DU422" s="10"/>
      <c r="DV422" s="10"/>
      <c r="DW422" s="10"/>
      <c r="DX422" s="10"/>
      <c r="DY422" s="10"/>
      <c r="DZ422" s="10"/>
      <c r="EA422" s="10"/>
      <c r="EB422" s="10"/>
      <c r="EC422" s="10"/>
      <c r="ED422" s="10"/>
      <c r="EE422" s="10"/>
      <c r="EF422" s="10"/>
      <c r="EG422" s="10"/>
      <c r="EH422" s="10"/>
      <c r="EI422" s="10"/>
      <c r="EJ422" s="10"/>
      <c r="EK422" s="10"/>
      <c r="EL422" s="10"/>
      <c r="EM422" s="10"/>
      <c r="EN422" s="10"/>
      <c r="EO422" s="10"/>
      <c r="EP422" s="10"/>
      <c r="EQ422" s="10"/>
      <c r="ER422" s="10"/>
      <c r="ES422" s="10"/>
      <c r="ET422" s="10"/>
      <c r="EU422" s="10"/>
      <c r="EV422" s="10"/>
      <c r="EW422" s="10"/>
      <c r="EX422" s="10"/>
      <c r="EY422" s="10"/>
      <c r="EZ422" s="10"/>
      <c r="FA422" s="10"/>
      <c r="FB422" s="10"/>
      <c r="FC422" s="10"/>
      <c r="FD422" s="10"/>
      <c r="FE422" s="10"/>
      <c r="FF422" s="10"/>
      <c r="FG422" s="10"/>
      <c r="FH422" s="10"/>
      <c r="FI422" s="10"/>
      <c r="FJ422" s="10"/>
      <c r="FK422" s="10"/>
      <c r="FL422" s="10"/>
      <c r="FM422" s="10"/>
      <c r="FN422" s="10"/>
      <c r="FO422" s="10"/>
      <c r="FP422" s="10"/>
      <c r="FQ422" s="10"/>
      <c r="FR422" s="10"/>
      <c r="FS422" s="10"/>
      <c r="FT422" s="10"/>
      <c r="FU422" s="10"/>
      <c r="FV422" s="10"/>
      <c r="FW422" s="10"/>
      <c r="FX422" s="10"/>
      <c r="FY422" s="10"/>
      <c r="FZ422" s="10"/>
      <c r="GA422" s="10"/>
      <c r="GB422" s="10"/>
      <c r="GC422" s="10"/>
      <c r="GD422" s="10"/>
      <c r="GE422" s="10"/>
      <c r="GF422" s="10"/>
      <c r="GG422" s="10"/>
      <c r="GH422" s="10"/>
      <c r="GI422" s="10"/>
      <c r="GJ422" s="10"/>
      <c r="GK422" s="10"/>
    </row>
    <row r="423" customFormat="false" ht="12.75" hidden="false" customHeight="false" outlineLevel="0" collapsed="false">
      <c r="A423" s="7"/>
      <c r="B423" s="7"/>
      <c r="C423" s="8"/>
      <c r="D423" s="8"/>
      <c r="E423" s="8"/>
      <c r="F423" s="8"/>
      <c r="G423" s="9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  <c r="BT423" s="10"/>
      <c r="BU423" s="10"/>
      <c r="BV423" s="10"/>
      <c r="BW423" s="10"/>
      <c r="BX423" s="10"/>
      <c r="BY423" s="10"/>
      <c r="BZ423" s="10"/>
      <c r="CA423" s="10"/>
      <c r="CB423" s="10"/>
      <c r="CC423" s="10"/>
      <c r="CD423" s="10"/>
      <c r="CE423" s="10"/>
      <c r="CF423" s="10"/>
      <c r="CG423" s="10"/>
      <c r="CH423" s="10"/>
      <c r="CI423" s="10"/>
      <c r="CJ423" s="10"/>
      <c r="CK423" s="10"/>
      <c r="CL423" s="10"/>
      <c r="CM423" s="10"/>
      <c r="CN423" s="10"/>
      <c r="CO423" s="10"/>
      <c r="CP423" s="10"/>
      <c r="CQ423" s="10"/>
      <c r="CR423" s="10"/>
      <c r="CS423" s="10"/>
      <c r="CT423" s="10"/>
      <c r="CU423" s="10"/>
      <c r="CV423" s="10"/>
      <c r="CW423" s="10"/>
      <c r="CX423" s="10"/>
      <c r="CY423" s="10"/>
      <c r="CZ423" s="10"/>
      <c r="DA423" s="10"/>
      <c r="DB423" s="10"/>
      <c r="DC423" s="10"/>
      <c r="DD423" s="10"/>
      <c r="DE423" s="10"/>
      <c r="DF423" s="10"/>
      <c r="DG423" s="10"/>
      <c r="DH423" s="10"/>
      <c r="DI423" s="10"/>
      <c r="DJ423" s="10"/>
      <c r="DK423" s="10"/>
      <c r="DL423" s="10"/>
      <c r="DM423" s="10"/>
      <c r="DN423" s="10"/>
      <c r="DO423" s="10"/>
      <c r="DP423" s="10"/>
      <c r="DQ423" s="10"/>
      <c r="DR423" s="10"/>
      <c r="DS423" s="10"/>
      <c r="DT423" s="10"/>
      <c r="DU423" s="10"/>
      <c r="DV423" s="10"/>
      <c r="DW423" s="10"/>
      <c r="DX423" s="10"/>
      <c r="DY423" s="10"/>
      <c r="DZ423" s="10"/>
      <c r="EA423" s="10"/>
      <c r="EB423" s="10"/>
      <c r="EC423" s="10"/>
      <c r="ED423" s="10"/>
      <c r="EE423" s="10"/>
      <c r="EF423" s="10"/>
      <c r="EG423" s="10"/>
      <c r="EH423" s="10"/>
      <c r="EI423" s="10"/>
      <c r="EJ423" s="10"/>
      <c r="EK423" s="10"/>
      <c r="EL423" s="10"/>
      <c r="EM423" s="10"/>
      <c r="EN423" s="10"/>
      <c r="EO423" s="10"/>
      <c r="EP423" s="10"/>
      <c r="EQ423" s="10"/>
      <c r="ER423" s="10"/>
      <c r="ES423" s="10"/>
      <c r="ET423" s="10"/>
      <c r="EU423" s="10"/>
      <c r="EV423" s="10"/>
      <c r="EW423" s="10"/>
      <c r="EX423" s="10"/>
      <c r="EY423" s="10"/>
      <c r="EZ423" s="10"/>
      <c r="FA423" s="10"/>
      <c r="FB423" s="10"/>
      <c r="FC423" s="10"/>
      <c r="FD423" s="10"/>
      <c r="FE423" s="10"/>
      <c r="FF423" s="10"/>
      <c r="FG423" s="10"/>
      <c r="FH423" s="10"/>
      <c r="FI423" s="10"/>
      <c r="FJ423" s="10"/>
      <c r="FK423" s="10"/>
      <c r="FL423" s="10"/>
      <c r="FM423" s="10"/>
      <c r="FN423" s="10"/>
      <c r="FO423" s="10"/>
      <c r="FP423" s="10"/>
      <c r="FQ423" s="10"/>
      <c r="FR423" s="10"/>
      <c r="FS423" s="10"/>
      <c r="FT423" s="10"/>
      <c r="FU423" s="10"/>
      <c r="FV423" s="10"/>
      <c r="FW423" s="10"/>
      <c r="FX423" s="10"/>
      <c r="FY423" s="10"/>
      <c r="FZ423" s="10"/>
      <c r="GA423" s="10"/>
      <c r="GB423" s="10"/>
      <c r="GC423" s="10"/>
      <c r="GD423" s="10"/>
      <c r="GE423" s="10"/>
      <c r="GF423" s="10"/>
      <c r="GG423" s="10"/>
      <c r="GH423" s="10"/>
      <c r="GI423" s="10"/>
      <c r="GJ423" s="10"/>
      <c r="GK423" s="10"/>
    </row>
    <row r="424" customFormat="false" ht="12.75" hidden="false" customHeight="false" outlineLevel="0" collapsed="false">
      <c r="A424" s="7"/>
      <c r="B424" s="7"/>
      <c r="C424" s="8"/>
      <c r="D424" s="8"/>
      <c r="E424" s="8"/>
      <c r="F424" s="8"/>
      <c r="G424" s="9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  <c r="BS424" s="10"/>
      <c r="BT424" s="10"/>
      <c r="BU424" s="10"/>
      <c r="BV424" s="10"/>
      <c r="BW424" s="10"/>
      <c r="BX424" s="10"/>
      <c r="BY424" s="10"/>
      <c r="BZ424" s="10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  <c r="EM424" s="10"/>
      <c r="EN424" s="10"/>
      <c r="EO424" s="10"/>
      <c r="EP424" s="10"/>
      <c r="EQ424" s="10"/>
      <c r="ER424" s="10"/>
      <c r="ES424" s="10"/>
      <c r="ET424" s="10"/>
      <c r="EU424" s="10"/>
      <c r="EV424" s="10"/>
      <c r="EW424" s="10"/>
      <c r="EX424" s="10"/>
      <c r="EY424" s="10"/>
      <c r="EZ424" s="10"/>
      <c r="FA424" s="10"/>
      <c r="FB424" s="10"/>
      <c r="FC424" s="10"/>
      <c r="FD424" s="10"/>
      <c r="FE424" s="10"/>
      <c r="FF424" s="10"/>
      <c r="FG424" s="10"/>
      <c r="FH424" s="10"/>
      <c r="FI424" s="10"/>
      <c r="FJ424" s="10"/>
      <c r="FK424" s="10"/>
      <c r="FL424" s="10"/>
      <c r="FM424" s="10"/>
      <c r="FN424" s="10"/>
      <c r="FO424" s="10"/>
      <c r="FP424" s="10"/>
      <c r="FQ424" s="10"/>
      <c r="FR424" s="10"/>
      <c r="FS424" s="10"/>
      <c r="FT424" s="10"/>
      <c r="FU424" s="10"/>
      <c r="FV424" s="10"/>
      <c r="FW424" s="10"/>
      <c r="FX424" s="10"/>
      <c r="FY424" s="10"/>
      <c r="FZ424" s="10"/>
      <c r="GA424" s="10"/>
      <c r="GB424" s="10"/>
      <c r="GC424" s="10"/>
      <c r="GD424" s="10"/>
      <c r="GE424" s="10"/>
      <c r="GF424" s="10"/>
      <c r="GG424" s="10"/>
      <c r="GH424" s="10"/>
      <c r="GI424" s="10"/>
      <c r="GJ424" s="10"/>
      <c r="GK424" s="10"/>
    </row>
    <row r="425" customFormat="false" ht="12.75" hidden="false" customHeight="false" outlineLevel="0" collapsed="false">
      <c r="A425" s="7"/>
      <c r="B425" s="7"/>
      <c r="C425" s="8"/>
      <c r="D425" s="8"/>
      <c r="E425" s="8"/>
      <c r="F425" s="8"/>
      <c r="G425" s="9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0"/>
      <c r="BT425" s="10"/>
      <c r="BU425" s="10"/>
      <c r="BV425" s="10"/>
      <c r="BW425" s="10"/>
      <c r="BX425" s="10"/>
      <c r="BY425" s="10"/>
      <c r="BZ425" s="10"/>
      <c r="CA425" s="10"/>
      <c r="CB425" s="10"/>
      <c r="CC425" s="10"/>
      <c r="CD425" s="10"/>
      <c r="CE425" s="10"/>
      <c r="CF425" s="10"/>
      <c r="CG425" s="10"/>
      <c r="CH425" s="10"/>
      <c r="CI425" s="10"/>
      <c r="CJ425" s="10"/>
      <c r="CK425" s="10"/>
      <c r="CL425" s="10"/>
      <c r="CM425" s="10"/>
      <c r="CN425" s="10"/>
      <c r="CO425" s="10"/>
      <c r="CP425" s="10"/>
      <c r="CQ425" s="10"/>
      <c r="CR425" s="10"/>
      <c r="CS425" s="10"/>
      <c r="CT425" s="10"/>
      <c r="CU425" s="10"/>
      <c r="CV425" s="10"/>
      <c r="CW425" s="10"/>
      <c r="CX425" s="10"/>
      <c r="CY425" s="10"/>
      <c r="CZ425" s="10"/>
      <c r="DA425" s="10"/>
      <c r="DB425" s="10"/>
      <c r="DC425" s="10"/>
      <c r="DD425" s="10"/>
      <c r="DE425" s="10"/>
      <c r="DF425" s="10"/>
      <c r="DG425" s="10"/>
      <c r="DH425" s="10"/>
      <c r="DI425" s="10"/>
      <c r="DJ425" s="10"/>
      <c r="DK425" s="10"/>
      <c r="DL425" s="10"/>
      <c r="DM425" s="10"/>
      <c r="DN425" s="10"/>
      <c r="DO425" s="10"/>
      <c r="DP425" s="10"/>
      <c r="DQ425" s="10"/>
      <c r="DR425" s="10"/>
      <c r="DS425" s="10"/>
      <c r="DT425" s="10"/>
      <c r="DU425" s="10"/>
      <c r="DV425" s="10"/>
      <c r="DW425" s="10"/>
      <c r="DX425" s="10"/>
      <c r="DY425" s="10"/>
      <c r="DZ425" s="10"/>
      <c r="EA425" s="10"/>
      <c r="EB425" s="10"/>
      <c r="EC425" s="10"/>
      <c r="ED425" s="10"/>
      <c r="EE425" s="10"/>
      <c r="EF425" s="10"/>
      <c r="EG425" s="10"/>
      <c r="EH425" s="10"/>
      <c r="EI425" s="10"/>
      <c r="EJ425" s="10"/>
      <c r="EK425" s="10"/>
      <c r="EL425" s="10"/>
      <c r="EM425" s="10"/>
      <c r="EN425" s="10"/>
      <c r="EO425" s="10"/>
      <c r="EP425" s="10"/>
      <c r="EQ425" s="10"/>
      <c r="ER425" s="10"/>
      <c r="ES425" s="10"/>
      <c r="ET425" s="10"/>
      <c r="EU425" s="10"/>
      <c r="EV425" s="10"/>
      <c r="EW425" s="10"/>
      <c r="EX425" s="10"/>
      <c r="EY425" s="10"/>
      <c r="EZ425" s="10"/>
      <c r="FA425" s="10"/>
      <c r="FB425" s="10"/>
      <c r="FC425" s="10"/>
      <c r="FD425" s="10"/>
      <c r="FE425" s="10"/>
      <c r="FF425" s="10"/>
      <c r="FG425" s="10"/>
      <c r="FH425" s="10"/>
      <c r="FI425" s="10"/>
      <c r="FJ425" s="10"/>
      <c r="FK425" s="10"/>
      <c r="FL425" s="10"/>
      <c r="FM425" s="10"/>
      <c r="FN425" s="10"/>
      <c r="FO425" s="10"/>
      <c r="FP425" s="10"/>
      <c r="FQ425" s="10"/>
      <c r="FR425" s="10"/>
      <c r="FS425" s="10"/>
      <c r="FT425" s="10"/>
      <c r="FU425" s="10"/>
      <c r="FV425" s="10"/>
      <c r="FW425" s="10"/>
      <c r="FX425" s="10"/>
      <c r="FY425" s="10"/>
      <c r="FZ425" s="10"/>
      <c r="GA425" s="10"/>
      <c r="GB425" s="10"/>
      <c r="GC425" s="10"/>
      <c r="GD425" s="10"/>
      <c r="GE425" s="10"/>
      <c r="GF425" s="10"/>
      <c r="GG425" s="10"/>
      <c r="GH425" s="10"/>
      <c r="GI425" s="10"/>
      <c r="GJ425" s="10"/>
      <c r="GK425" s="10"/>
    </row>
    <row r="426" customFormat="false" ht="12.75" hidden="false" customHeight="false" outlineLevel="0" collapsed="false">
      <c r="A426" s="7"/>
      <c r="B426" s="7"/>
      <c r="C426" s="8"/>
      <c r="D426" s="8"/>
      <c r="E426" s="8"/>
      <c r="F426" s="8"/>
      <c r="G426" s="9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/>
      <c r="BT426" s="10"/>
      <c r="BU426" s="10"/>
      <c r="BV426" s="10"/>
      <c r="BW426" s="10"/>
      <c r="BX426" s="10"/>
      <c r="BY426" s="10"/>
      <c r="BZ426" s="10"/>
      <c r="CA426" s="10"/>
      <c r="CB426" s="10"/>
      <c r="CC426" s="10"/>
      <c r="CD426" s="10"/>
      <c r="CE426" s="10"/>
      <c r="CF426" s="10"/>
      <c r="CG426" s="10"/>
      <c r="CH426" s="10"/>
      <c r="CI426" s="10"/>
      <c r="CJ426" s="10"/>
      <c r="CK426" s="10"/>
      <c r="CL426" s="10"/>
      <c r="CM426" s="10"/>
      <c r="CN426" s="10"/>
      <c r="CO426" s="10"/>
      <c r="CP426" s="10"/>
      <c r="CQ426" s="10"/>
      <c r="CR426" s="10"/>
      <c r="CS426" s="10"/>
      <c r="CT426" s="10"/>
      <c r="CU426" s="10"/>
      <c r="CV426" s="10"/>
      <c r="CW426" s="10"/>
      <c r="CX426" s="10"/>
      <c r="CY426" s="10"/>
      <c r="CZ426" s="10"/>
      <c r="DA426" s="10"/>
      <c r="DB426" s="10"/>
      <c r="DC426" s="10"/>
      <c r="DD426" s="10"/>
      <c r="DE426" s="10"/>
      <c r="DF426" s="10"/>
      <c r="DG426" s="10"/>
      <c r="DH426" s="10"/>
      <c r="DI426" s="10"/>
      <c r="DJ426" s="10"/>
      <c r="DK426" s="10"/>
      <c r="DL426" s="10"/>
      <c r="DM426" s="10"/>
      <c r="DN426" s="10"/>
      <c r="DO426" s="10"/>
      <c r="DP426" s="10"/>
      <c r="DQ426" s="10"/>
      <c r="DR426" s="10"/>
      <c r="DS426" s="10"/>
      <c r="DT426" s="10"/>
      <c r="DU426" s="10"/>
      <c r="DV426" s="10"/>
      <c r="DW426" s="10"/>
      <c r="DX426" s="10"/>
      <c r="DY426" s="10"/>
      <c r="DZ426" s="10"/>
      <c r="EA426" s="10"/>
      <c r="EB426" s="10"/>
      <c r="EC426" s="10"/>
      <c r="ED426" s="10"/>
      <c r="EE426" s="10"/>
      <c r="EF426" s="10"/>
      <c r="EG426" s="10"/>
      <c r="EH426" s="10"/>
      <c r="EI426" s="10"/>
      <c r="EJ426" s="10"/>
      <c r="EK426" s="10"/>
      <c r="EL426" s="10"/>
      <c r="EM426" s="10"/>
      <c r="EN426" s="10"/>
      <c r="EO426" s="10"/>
      <c r="EP426" s="10"/>
      <c r="EQ426" s="10"/>
      <c r="ER426" s="10"/>
      <c r="ES426" s="10"/>
      <c r="ET426" s="10"/>
      <c r="EU426" s="10"/>
      <c r="EV426" s="10"/>
      <c r="EW426" s="10"/>
      <c r="EX426" s="10"/>
      <c r="EY426" s="10"/>
      <c r="EZ426" s="10"/>
      <c r="FA426" s="10"/>
      <c r="FB426" s="10"/>
      <c r="FC426" s="10"/>
      <c r="FD426" s="10"/>
      <c r="FE426" s="10"/>
      <c r="FF426" s="10"/>
      <c r="FG426" s="10"/>
      <c r="FH426" s="10"/>
      <c r="FI426" s="10"/>
      <c r="FJ426" s="10"/>
      <c r="FK426" s="10"/>
      <c r="FL426" s="10"/>
      <c r="FM426" s="10"/>
      <c r="FN426" s="10"/>
      <c r="FO426" s="10"/>
      <c r="FP426" s="10"/>
      <c r="FQ426" s="10"/>
      <c r="FR426" s="10"/>
      <c r="FS426" s="10"/>
      <c r="FT426" s="10"/>
      <c r="FU426" s="10"/>
      <c r="FV426" s="10"/>
      <c r="FW426" s="10"/>
      <c r="FX426" s="10"/>
      <c r="FY426" s="10"/>
      <c r="FZ426" s="10"/>
      <c r="GA426" s="10"/>
      <c r="GB426" s="10"/>
      <c r="GC426" s="10"/>
      <c r="GD426" s="10"/>
      <c r="GE426" s="10"/>
      <c r="GF426" s="10"/>
      <c r="GG426" s="10"/>
      <c r="GH426" s="10"/>
      <c r="GI426" s="10"/>
      <c r="GJ426" s="10"/>
      <c r="GK426" s="10"/>
    </row>
    <row r="427" customFormat="false" ht="12.75" hidden="false" customHeight="false" outlineLevel="0" collapsed="false">
      <c r="A427" s="7"/>
      <c r="B427" s="7"/>
      <c r="C427" s="8"/>
      <c r="D427" s="8"/>
      <c r="E427" s="8"/>
      <c r="F427" s="8"/>
      <c r="G427" s="9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/>
      <c r="BT427" s="10"/>
      <c r="BU427" s="10"/>
      <c r="BV427" s="10"/>
      <c r="BW427" s="10"/>
      <c r="BX427" s="10"/>
      <c r="BY427" s="10"/>
      <c r="BZ427" s="10"/>
      <c r="CA427" s="10"/>
      <c r="CB427" s="10"/>
      <c r="CC427" s="10"/>
      <c r="CD427" s="10"/>
      <c r="CE427" s="10"/>
      <c r="CF427" s="10"/>
      <c r="CG427" s="10"/>
      <c r="CH427" s="10"/>
      <c r="CI427" s="10"/>
      <c r="CJ427" s="10"/>
      <c r="CK427" s="10"/>
      <c r="CL427" s="10"/>
      <c r="CM427" s="10"/>
      <c r="CN427" s="10"/>
      <c r="CO427" s="10"/>
      <c r="CP427" s="10"/>
      <c r="CQ427" s="10"/>
      <c r="CR427" s="10"/>
      <c r="CS427" s="10"/>
      <c r="CT427" s="10"/>
      <c r="CU427" s="10"/>
      <c r="CV427" s="10"/>
      <c r="CW427" s="10"/>
      <c r="CX427" s="10"/>
      <c r="CY427" s="10"/>
      <c r="CZ427" s="10"/>
      <c r="DA427" s="10"/>
      <c r="DB427" s="10"/>
      <c r="DC427" s="10"/>
      <c r="DD427" s="10"/>
      <c r="DE427" s="10"/>
      <c r="DF427" s="10"/>
      <c r="DG427" s="10"/>
      <c r="DH427" s="10"/>
      <c r="DI427" s="10"/>
      <c r="DJ427" s="10"/>
      <c r="DK427" s="10"/>
      <c r="DL427" s="10"/>
      <c r="DM427" s="10"/>
      <c r="DN427" s="10"/>
      <c r="DO427" s="10"/>
      <c r="DP427" s="10"/>
      <c r="DQ427" s="10"/>
      <c r="DR427" s="10"/>
      <c r="DS427" s="10"/>
      <c r="DT427" s="10"/>
      <c r="DU427" s="10"/>
      <c r="DV427" s="10"/>
      <c r="DW427" s="10"/>
      <c r="DX427" s="10"/>
      <c r="DY427" s="10"/>
      <c r="DZ427" s="10"/>
      <c r="EA427" s="10"/>
      <c r="EB427" s="10"/>
      <c r="EC427" s="10"/>
      <c r="ED427" s="10"/>
      <c r="EE427" s="10"/>
      <c r="EF427" s="10"/>
      <c r="EG427" s="10"/>
      <c r="EH427" s="10"/>
      <c r="EI427" s="10"/>
      <c r="EJ427" s="10"/>
      <c r="EK427" s="10"/>
      <c r="EL427" s="10"/>
      <c r="EM427" s="10"/>
      <c r="EN427" s="10"/>
      <c r="EO427" s="10"/>
      <c r="EP427" s="10"/>
      <c r="EQ427" s="10"/>
      <c r="ER427" s="10"/>
      <c r="ES427" s="10"/>
      <c r="ET427" s="10"/>
      <c r="EU427" s="10"/>
      <c r="EV427" s="10"/>
      <c r="EW427" s="10"/>
      <c r="EX427" s="10"/>
      <c r="EY427" s="10"/>
      <c r="EZ427" s="10"/>
      <c r="FA427" s="10"/>
      <c r="FB427" s="10"/>
      <c r="FC427" s="10"/>
      <c r="FD427" s="10"/>
      <c r="FE427" s="10"/>
      <c r="FF427" s="10"/>
      <c r="FG427" s="10"/>
      <c r="FH427" s="10"/>
      <c r="FI427" s="10"/>
      <c r="FJ427" s="10"/>
      <c r="FK427" s="10"/>
      <c r="FL427" s="10"/>
      <c r="FM427" s="10"/>
      <c r="FN427" s="10"/>
      <c r="FO427" s="10"/>
      <c r="FP427" s="10"/>
      <c r="FQ427" s="10"/>
      <c r="FR427" s="10"/>
      <c r="FS427" s="10"/>
      <c r="FT427" s="10"/>
      <c r="FU427" s="10"/>
      <c r="FV427" s="10"/>
      <c r="FW427" s="10"/>
      <c r="FX427" s="10"/>
      <c r="FY427" s="10"/>
      <c r="FZ427" s="10"/>
      <c r="GA427" s="10"/>
      <c r="GB427" s="10"/>
      <c r="GC427" s="10"/>
      <c r="GD427" s="10"/>
      <c r="GE427" s="10"/>
      <c r="GF427" s="10"/>
      <c r="GG427" s="10"/>
      <c r="GH427" s="10"/>
      <c r="GI427" s="10"/>
      <c r="GJ427" s="10"/>
      <c r="GK427" s="10"/>
    </row>
    <row r="428" customFormat="false" ht="12.75" hidden="false" customHeight="false" outlineLevel="0" collapsed="false">
      <c r="A428" s="7"/>
      <c r="B428" s="7"/>
      <c r="C428" s="8"/>
      <c r="D428" s="8"/>
      <c r="E428" s="8"/>
      <c r="F428" s="8"/>
      <c r="G428" s="9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  <c r="BT428" s="10"/>
      <c r="BU428" s="10"/>
      <c r="BV428" s="10"/>
      <c r="BW428" s="10"/>
      <c r="BX428" s="10"/>
      <c r="BY428" s="10"/>
      <c r="BZ428" s="10"/>
      <c r="CA428" s="10"/>
      <c r="CB428" s="10"/>
      <c r="CC428" s="10"/>
      <c r="CD428" s="10"/>
      <c r="CE428" s="10"/>
      <c r="CF428" s="10"/>
      <c r="CG428" s="10"/>
      <c r="CH428" s="10"/>
      <c r="CI428" s="10"/>
      <c r="CJ428" s="10"/>
      <c r="CK428" s="10"/>
      <c r="CL428" s="10"/>
      <c r="CM428" s="10"/>
      <c r="CN428" s="10"/>
      <c r="CO428" s="10"/>
      <c r="CP428" s="10"/>
      <c r="CQ428" s="10"/>
      <c r="CR428" s="10"/>
      <c r="CS428" s="10"/>
      <c r="CT428" s="10"/>
      <c r="CU428" s="10"/>
      <c r="CV428" s="10"/>
      <c r="CW428" s="10"/>
      <c r="CX428" s="10"/>
      <c r="CY428" s="10"/>
      <c r="CZ428" s="10"/>
      <c r="DA428" s="10"/>
      <c r="DB428" s="10"/>
      <c r="DC428" s="10"/>
      <c r="DD428" s="10"/>
      <c r="DE428" s="10"/>
      <c r="DF428" s="10"/>
      <c r="DG428" s="10"/>
      <c r="DH428" s="10"/>
      <c r="DI428" s="10"/>
      <c r="DJ428" s="10"/>
      <c r="DK428" s="10"/>
      <c r="DL428" s="10"/>
      <c r="DM428" s="10"/>
      <c r="DN428" s="10"/>
      <c r="DO428" s="10"/>
      <c r="DP428" s="10"/>
      <c r="DQ428" s="10"/>
      <c r="DR428" s="10"/>
      <c r="DS428" s="10"/>
      <c r="DT428" s="10"/>
      <c r="DU428" s="10"/>
      <c r="DV428" s="10"/>
      <c r="DW428" s="10"/>
      <c r="DX428" s="10"/>
      <c r="DY428" s="10"/>
      <c r="DZ428" s="10"/>
      <c r="EA428" s="10"/>
      <c r="EB428" s="10"/>
      <c r="EC428" s="10"/>
      <c r="ED428" s="10"/>
      <c r="EE428" s="10"/>
      <c r="EF428" s="10"/>
      <c r="EG428" s="10"/>
      <c r="EH428" s="10"/>
      <c r="EI428" s="10"/>
      <c r="EJ428" s="10"/>
      <c r="EK428" s="10"/>
      <c r="EL428" s="10"/>
      <c r="EM428" s="10"/>
      <c r="EN428" s="10"/>
      <c r="EO428" s="10"/>
      <c r="EP428" s="10"/>
      <c r="EQ428" s="10"/>
      <c r="ER428" s="10"/>
      <c r="ES428" s="10"/>
      <c r="ET428" s="10"/>
      <c r="EU428" s="10"/>
      <c r="EV428" s="10"/>
      <c r="EW428" s="10"/>
      <c r="EX428" s="10"/>
      <c r="EY428" s="10"/>
      <c r="EZ428" s="10"/>
      <c r="FA428" s="10"/>
      <c r="FB428" s="10"/>
      <c r="FC428" s="10"/>
      <c r="FD428" s="10"/>
      <c r="FE428" s="10"/>
      <c r="FF428" s="10"/>
      <c r="FG428" s="10"/>
      <c r="FH428" s="10"/>
      <c r="FI428" s="10"/>
      <c r="FJ428" s="10"/>
      <c r="FK428" s="10"/>
      <c r="FL428" s="10"/>
      <c r="FM428" s="10"/>
      <c r="FN428" s="10"/>
      <c r="FO428" s="10"/>
      <c r="FP428" s="10"/>
      <c r="FQ428" s="10"/>
      <c r="FR428" s="10"/>
      <c r="FS428" s="10"/>
      <c r="FT428" s="10"/>
      <c r="FU428" s="10"/>
      <c r="FV428" s="10"/>
      <c r="FW428" s="10"/>
      <c r="FX428" s="10"/>
      <c r="FY428" s="10"/>
      <c r="FZ428" s="10"/>
      <c r="GA428" s="10"/>
      <c r="GB428" s="10"/>
      <c r="GC428" s="10"/>
      <c r="GD428" s="10"/>
      <c r="GE428" s="10"/>
      <c r="GF428" s="10"/>
      <c r="GG428" s="10"/>
      <c r="GH428" s="10"/>
      <c r="GI428" s="10"/>
      <c r="GJ428" s="10"/>
      <c r="GK428" s="10"/>
    </row>
    <row r="429" customFormat="false" ht="12.75" hidden="false" customHeight="false" outlineLevel="0" collapsed="false">
      <c r="A429" s="7"/>
      <c r="B429" s="7"/>
      <c r="C429" s="8"/>
      <c r="D429" s="8"/>
      <c r="E429" s="8"/>
      <c r="F429" s="8"/>
      <c r="G429" s="9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/>
      <c r="BT429" s="10"/>
      <c r="BU429" s="10"/>
      <c r="BV429" s="10"/>
      <c r="BW429" s="10"/>
      <c r="BX429" s="10"/>
      <c r="BY429" s="10"/>
      <c r="BZ429" s="10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  <c r="CS429" s="10"/>
      <c r="CT429" s="10"/>
      <c r="CU429" s="10"/>
      <c r="CV429" s="10"/>
      <c r="CW429" s="10"/>
      <c r="CX429" s="10"/>
      <c r="CY429" s="10"/>
      <c r="CZ429" s="10"/>
      <c r="DA429" s="10"/>
      <c r="DB429" s="10"/>
      <c r="DC429" s="10"/>
      <c r="DD429" s="10"/>
      <c r="DE429" s="10"/>
      <c r="DF429" s="10"/>
      <c r="DG429" s="10"/>
      <c r="DH429" s="10"/>
      <c r="DI429" s="10"/>
      <c r="DJ429" s="10"/>
      <c r="DK429" s="10"/>
      <c r="DL429" s="10"/>
      <c r="DM429" s="10"/>
      <c r="DN429" s="10"/>
      <c r="DO429" s="10"/>
      <c r="DP429" s="10"/>
      <c r="DQ429" s="10"/>
      <c r="DR429" s="10"/>
      <c r="DS429" s="10"/>
      <c r="DT429" s="10"/>
      <c r="DU429" s="10"/>
      <c r="DV429" s="10"/>
      <c r="DW429" s="10"/>
      <c r="DX429" s="10"/>
      <c r="DY429" s="10"/>
      <c r="DZ429" s="10"/>
      <c r="EA429" s="10"/>
      <c r="EB429" s="10"/>
      <c r="EC429" s="10"/>
      <c r="ED429" s="10"/>
      <c r="EE429" s="10"/>
      <c r="EF429" s="10"/>
      <c r="EG429" s="10"/>
      <c r="EH429" s="10"/>
      <c r="EI429" s="10"/>
      <c r="EJ429" s="10"/>
      <c r="EK429" s="10"/>
      <c r="EL429" s="10"/>
      <c r="EM429" s="10"/>
      <c r="EN429" s="10"/>
      <c r="EO429" s="10"/>
      <c r="EP429" s="10"/>
      <c r="EQ429" s="10"/>
      <c r="ER429" s="10"/>
      <c r="ES429" s="10"/>
      <c r="ET429" s="10"/>
      <c r="EU429" s="10"/>
      <c r="EV429" s="10"/>
      <c r="EW429" s="10"/>
      <c r="EX429" s="10"/>
      <c r="EY429" s="10"/>
      <c r="EZ429" s="10"/>
      <c r="FA429" s="10"/>
      <c r="FB429" s="10"/>
      <c r="FC429" s="10"/>
      <c r="FD429" s="10"/>
      <c r="FE429" s="10"/>
      <c r="FF429" s="10"/>
      <c r="FG429" s="10"/>
      <c r="FH429" s="10"/>
      <c r="FI429" s="10"/>
      <c r="FJ429" s="10"/>
      <c r="FK429" s="10"/>
      <c r="FL429" s="10"/>
      <c r="FM429" s="10"/>
      <c r="FN429" s="10"/>
      <c r="FO429" s="10"/>
      <c r="FP429" s="10"/>
      <c r="FQ429" s="10"/>
      <c r="FR429" s="10"/>
      <c r="FS429" s="10"/>
      <c r="FT429" s="10"/>
      <c r="FU429" s="10"/>
      <c r="FV429" s="10"/>
      <c r="FW429" s="10"/>
      <c r="FX429" s="10"/>
      <c r="FY429" s="10"/>
      <c r="FZ429" s="10"/>
      <c r="GA429" s="10"/>
      <c r="GB429" s="10"/>
      <c r="GC429" s="10"/>
      <c r="GD429" s="10"/>
      <c r="GE429" s="10"/>
      <c r="GF429" s="10"/>
      <c r="GG429" s="10"/>
      <c r="GH429" s="10"/>
      <c r="GI429" s="10"/>
      <c r="GJ429" s="10"/>
      <c r="GK429" s="10"/>
    </row>
    <row r="430" customFormat="false" ht="12.75" hidden="false" customHeight="false" outlineLevel="0" collapsed="false">
      <c r="A430" s="7"/>
      <c r="B430" s="7"/>
      <c r="C430" s="8"/>
      <c r="D430" s="8"/>
      <c r="E430" s="8"/>
      <c r="F430" s="8"/>
      <c r="G430" s="9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0"/>
      <c r="BT430" s="10"/>
      <c r="BU430" s="10"/>
      <c r="BV430" s="10"/>
      <c r="BW430" s="10"/>
      <c r="BX430" s="10"/>
      <c r="BY430" s="10"/>
      <c r="BZ430" s="10"/>
      <c r="CA430" s="10"/>
      <c r="CB430" s="10"/>
      <c r="CC430" s="10"/>
      <c r="CD430" s="10"/>
      <c r="CE430" s="10"/>
      <c r="CF430" s="10"/>
      <c r="CG430" s="10"/>
      <c r="CH430" s="10"/>
      <c r="CI430" s="10"/>
      <c r="CJ430" s="10"/>
      <c r="CK430" s="10"/>
      <c r="CL430" s="10"/>
      <c r="CM430" s="10"/>
      <c r="CN430" s="10"/>
      <c r="CO430" s="10"/>
      <c r="CP430" s="10"/>
      <c r="CQ430" s="10"/>
      <c r="CR430" s="10"/>
      <c r="CS430" s="10"/>
      <c r="CT430" s="10"/>
      <c r="CU430" s="10"/>
      <c r="CV430" s="10"/>
      <c r="CW430" s="10"/>
      <c r="CX430" s="10"/>
      <c r="CY430" s="10"/>
      <c r="CZ430" s="10"/>
      <c r="DA430" s="10"/>
      <c r="DB430" s="10"/>
      <c r="DC430" s="10"/>
      <c r="DD430" s="10"/>
      <c r="DE430" s="10"/>
      <c r="DF430" s="10"/>
      <c r="DG430" s="10"/>
      <c r="DH430" s="10"/>
      <c r="DI430" s="10"/>
      <c r="DJ430" s="10"/>
      <c r="DK430" s="10"/>
      <c r="DL430" s="10"/>
      <c r="DM430" s="10"/>
      <c r="DN430" s="10"/>
      <c r="DO430" s="10"/>
      <c r="DP430" s="10"/>
      <c r="DQ430" s="10"/>
      <c r="DR430" s="10"/>
      <c r="DS430" s="10"/>
      <c r="DT430" s="10"/>
      <c r="DU430" s="10"/>
      <c r="DV430" s="10"/>
      <c r="DW430" s="10"/>
      <c r="DX430" s="10"/>
      <c r="DY430" s="10"/>
      <c r="DZ430" s="10"/>
      <c r="EA430" s="10"/>
      <c r="EB430" s="10"/>
      <c r="EC430" s="10"/>
      <c r="ED430" s="10"/>
      <c r="EE430" s="10"/>
      <c r="EF430" s="10"/>
      <c r="EG430" s="10"/>
      <c r="EH430" s="10"/>
      <c r="EI430" s="10"/>
      <c r="EJ430" s="10"/>
      <c r="EK430" s="10"/>
      <c r="EL430" s="10"/>
      <c r="EM430" s="10"/>
      <c r="EN430" s="10"/>
      <c r="EO430" s="10"/>
      <c r="EP430" s="10"/>
      <c r="EQ430" s="10"/>
      <c r="ER430" s="10"/>
      <c r="ES430" s="10"/>
      <c r="ET430" s="10"/>
      <c r="EU430" s="10"/>
      <c r="EV430" s="10"/>
      <c r="EW430" s="10"/>
      <c r="EX430" s="10"/>
      <c r="EY430" s="10"/>
      <c r="EZ430" s="10"/>
      <c r="FA430" s="10"/>
      <c r="FB430" s="10"/>
      <c r="FC430" s="10"/>
      <c r="FD430" s="10"/>
      <c r="FE430" s="10"/>
      <c r="FF430" s="10"/>
      <c r="FG430" s="10"/>
      <c r="FH430" s="10"/>
      <c r="FI430" s="10"/>
      <c r="FJ430" s="10"/>
      <c r="FK430" s="10"/>
      <c r="FL430" s="10"/>
      <c r="FM430" s="10"/>
      <c r="FN430" s="10"/>
      <c r="FO430" s="10"/>
      <c r="FP430" s="10"/>
      <c r="FQ430" s="10"/>
      <c r="FR430" s="10"/>
      <c r="FS430" s="10"/>
      <c r="FT430" s="10"/>
      <c r="FU430" s="10"/>
      <c r="FV430" s="10"/>
      <c r="FW430" s="10"/>
      <c r="FX430" s="10"/>
      <c r="FY430" s="10"/>
      <c r="FZ430" s="10"/>
      <c r="GA430" s="10"/>
      <c r="GB430" s="10"/>
      <c r="GC430" s="10"/>
      <c r="GD430" s="10"/>
      <c r="GE430" s="10"/>
      <c r="GF430" s="10"/>
      <c r="GG430" s="10"/>
      <c r="GH430" s="10"/>
      <c r="GI430" s="10"/>
      <c r="GJ430" s="10"/>
      <c r="GK430" s="10"/>
    </row>
    <row r="431" customFormat="false" ht="12.75" hidden="false" customHeight="false" outlineLevel="0" collapsed="false">
      <c r="A431" s="7"/>
      <c r="B431" s="7"/>
      <c r="C431" s="8"/>
      <c r="D431" s="8"/>
      <c r="E431" s="8"/>
      <c r="F431" s="8"/>
      <c r="G431" s="9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  <c r="BT431" s="10"/>
      <c r="BU431" s="10"/>
      <c r="BV431" s="10"/>
      <c r="BW431" s="10"/>
      <c r="BX431" s="10"/>
      <c r="BY431" s="10"/>
      <c r="BZ431" s="10"/>
      <c r="CA431" s="10"/>
      <c r="CB431" s="10"/>
      <c r="CC431" s="10"/>
      <c r="CD431" s="10"/>
      <c r="CE431" s="10"/>
      <c r="CF431" s="10"/>
      <c r="CG431" s="10"/>
      <c r="CH431" s="10"/>
      <c r="CI431" s="10"/>
      <c r="CJ431" s="10"/>
      <c r="CK431" s="10"/>
      <c r="CL431" s="10"/>
      <c r="CM431" s="10"/>
      <c r="CN431" s="10"/>
      <c r="CO431" s="10"/>
      <c r="CP431" s="10"/>
      <c r="CQ431" s="10"/>
      <c r="CR431" s="10"/>
      <c r="CS431" s="10"/>
      <c r="CT431" s="10"/>
      <c r="CU431" s="10"/>
      <c r="CV431" s="10"/>
      <c r="CW431" s="10"/>
      <c r="CX431" s="10"/>
      <c r="CY431" s="10"/>
      <c r="CZ431" s="10"/>
      <c r="DA431" s="10"/>
      <c r="DB431" s="10"/>
      <c r="DC431" s="10"/>
      <c r="DD431" s="10"/>
      <c r="DE431" s="10"/>
      <c r="DF431" s="10"/>
      <c r="DG431" s="10"/>
      <c r="DH431" s="10"/>
      <c r="DI431" s="10"/>
      <c r="DJ431" s="10"/>
      <c r="DK431" s="10"/>
      <c r="DL431" s="10"/>
      <c r="DM431" s="10"/>
      <c r="DN431" s="10"/>
      <c r="DO431" s="10"/>
      <c r="DP431" s="10"/>
      <c r="DQ431" s="10"/>
      <c r="DR431" s="10"/>
      <c r="DS431" s="10"/>
      <c r="DT431" s="10"/>
      <c r="DU431" s="10"/>
      <c r="DV431" s="10"/>
      <c r="DW431" s="10"/>
      <c r="DX431" s="10"/>
      <c r="DY431" s="10"/>
      <c r="DZ431" s="10"/>
      <c r="EA431" s="10"/>
      <c r="EB431" s="10"/>
      <c r="EC431" s="10"/>
      <c r="ED431" s="10"/>
      <c r="EE431" s="10"/>
      <c r="EF431" s="10"/>
      <c r="EG431" s="10"/>
      <c r="EH431" s="10"/>
      <c r="EI431" s="10"/>
      <c r="EJ431" s="10"/>
      <c r="EK431" s="10"/>
      <c r="EL431" s="10"/>
      <c r="EM431" s="10"/>
      <c r="EN431" s="10"/>
      <c r="EO431" s="10"/>
      <c r="EP431" s="10"/>
      <c r="EQ431" s="10"/>
      <c r="ER431" s="10"/>
      <c r="ES431" s="10"/>
      <c r="ET431" s="10"/>
      <c r="EU431" s="10"/>
      <c r="EV431" s="10"/>
      <c r="EW431" s="10"/>
      <c r="EX431" s="10"/>
      <c r="EY431" s="10"/>
      <c r="EZ431" s="10"/>
      <c r="FA431" s="10"/>
      <c r="FB431" s="10"/>
      <c r="FC431" s="10"/>
      <c r="FD431" s="10"/>
      <c r="FE431" s="10"/>
      <c r="FF431" s="10"/>
      <c r="FG431" s="10"/>
      <c r="FH431" s="10"/>
      <c r="FI431" s="10"/>
      <c r="FJ431" s="10"/>
      <c r="FK431" s="10"/>
      <c r="FL431" s="10"/>
      <c r="FM431" s="10"/>
      <c r="FN431" s="10"/>
      <c r="FO431" s="10"/>
      <c r="FP431" s="10"/>
      <c r="FQ431" s="10"/>
      <c r="FR431" s="10"/>
      <c r="FS431" s="10"/>
      <c r="FT431" s="10"/>
      <c r="FU431" s="10"/>
      <c r="FV431" s="10"/>
      <c r="FW431" s="10"/>
      <c r="FX431" s="10"/>
      <c r="FY431" s="10"/>
      <c r="FZ431" s="10"/>
      <c r="GA431" s="10"/>
      <c r="GB431" s="10"/>
      <c r="GC431" s="10"/>
      <c r="GD431" s="10"/>
      <c r="GE431" s="10"/>
      <c r="GF431" s="10"/>
      <c r="GG431" s="10"/>
      <c r="GH431" s="10"/>
      <c r="GI431" s="10"/>
      <c r="GJ431" s="10"/>
      <c r="GK431" s="10"/>
    </row>
    <row r="432" customFormat="false" ht="12.75" hidden="false" customHeight="false" outlineLevel="0" collapsed="false">
      <c r="A432" s="7"/>
      <c r="B432" s="7"/>
      <c r="C432" s="8"/>
      <c r="D432" s="8"/>
      <c r="E432" s="8"/>
      <c r="F432" s="8"/>
      <c r="G432" s="9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  <c r="BT432" s="10"/>
      <c r="BU432" s="10"/>
      <c r="BV432" s="10"/>
      <c r="BW432" s="10"/>
      <c r="BX432" s="10"/>
      <c r="BY432" s="10"/>
      <c r="BZ432" s="10"/>
      <c r="CA432" s="10"/>
      <c r="CB432" s="10"/>
      <c r="CC432" s="10"/>
      <c r="CD432" s="10"/>
      <c r="CE432" s="10"/>
      <c r="CF432" s="10"/>
      <c r="CG432" s="10"/>
      <c r="CH432" s="10"/>
      <c r="CI432" s="10"/>
      <c r="CJ432" s="10"/>
      <c r="CK432" s="10"/>
      <c r="CL432" s="10"/>
      <c r="CM432" s="10"/>
      <c r="CN432" s="10"/>
      <c r="CO432" s="10"/>
      <c r="CP432" s="10"/>
      <c r="CQ432" s="10"/>
      <c r="CR432" s="10"/>
      <c r="CS432" s="10"/>
      <c r="CT432" s="10"/>
      <c r="CU432" s="10"/>
      <c r="CV432" s="10"/>
      <c r="CW432" s="10"/>
      <c r="CX432" s="10"/>
      <c r="CY432" s="10"/>
      <c r="CZ432" s="10"/>
      <c r="DA432" s="10"/>
      <c r="DB432" s="10"/>
      <c r="DC432" s="10"/>
      <c r="DD432" s="10"/>
      <c r="DE432" s="10"/>
      <c r="DF432" s="10"/>
      <c r="DG432" s="10"/>
      <c r="DH432" s="10"/>
      <c r="DI432" s="10"/>
      <c r="DJ432" s="10"/>
      <c r="DK432" s="10"/>
      <c r="DL432" s="10"/>
      <c r="DM432" s="10"/>
      <c r="DN432" s="10"/>
      <c r="DO432" s="10"/>
      <c r="DP432" s="10"/>
      <c r="DQ432" s="10"/>
      <c r="DR432" s="10"/>
      <c r="DS432" s="10"/>
      <c r="DT432" s="10"/>
      <c r="DU432" s="10"/>
      <c r="DV432" s="10"/>
      <c r="DW432" s="10"/>
      <c r="DX432" s="10"/>
      <c r="DY432" s="10"/>
      <c r="DZ432" s="10"/>
      <c r="EA432" s="10"/>
      <c r="EB432" s="10"/>
      <c r="EC432" s="10"/>
      <c r="ED432" s="10"/>
      <c r="EE432" s="10"/>
      <c r="EF432" s="10"/>
      <c r="EG432" s="10"/>
      <c r="EH432" s="10"/>
      <c r="EI432" s="10"/>
      <c r="EJ432" s="10"/>
      <c r="EK432" s="10"/>
      <c r="EL432" s="10"/>
      <c r="EM432" s="10"/>
      <c r="EN432" s="10"/>
      <c r="EO432" s="10"/>
      <c r="EP432" s="10"/>
      <c r="EQ432" s="10"/>
      <c r="ER432" s="10"/>
      <c r="ES432" s="10"/>
      <c r="ET432" s="10"/>
      <c r="EU432" s="10"/>
      <c r="EV432" s="10"/>
      <c r="EW432" s="10"/>
      <c r="EX432" s="10"/>
      <c r="EY432" s="10"/>
      <c r="EZ432" s="10"/>
      <c r="FA432" s="10"/>
      <c r="FB432" s="10"/>
      <c r="FC432" s="10"/>
      <c r="FD432" s="10"/>
      <c r="FE432" s="10"/>
      <c r="FF432" s="10"/>
      <c r="FG432" s="10"/>
      <c r="FH432" s="10"/>
      <c r="FI432" s="10"/>
      <c r="FJ432" s="10"/>
      <c r="FK432" s="10"/>
      <c r="FL432" s="10"/>
      <c r="FM432" s="10"/>
      <c r="FN432" s="10"/>
      <c r="FO432" s="10"/>
      <c r="FP432" s="10"/>
      <c r="FQ432" s="10"/>
      <c r="FR432" s="10"/>
      <c r="FS432" s="10"/>
      <c r="FT432" s="10"/>
      <c r="FU432" s="10"/>
      <c r="FV432" s="10"/>
      <c r="FW432" s="10"/>
      <c r="FX432" s="10"/>
      <c r="FY432" s="10"/>
      <c r="FZ432" s="10"/>
      <c r="GA432" s="10"/>
      <c r="GB432" s="10"/>
      <c r="GC432" s="10"/>
      <c r="GD432" s="10"/>
      <c r="GE432" s="10"/>
      <c r="GF432" s="10"/>
      <c r="GG432" s="10"/>
      <c r="GH432" s="10"/>
      <c r="GI432" s="10"/>
      <c r="GJ432" s="10"/>
      <c r="GK432" s="10"/>
    </row>
    <row r="433" customFormat="false" ht="12.75" hidden="false" customHeight="false" outlineLevel="0" collapsed="false">
      <c r="A433" s="7"/>
      <c r="B433" s="7"/>
      <c r="C433" s="8"/>
      <c r="D433" s="8"/>
      <c r="E433" s="8"/>
      <c r="F433" s="8"/>
      <c r="G433" s="9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0"/>
      <c r="BT433" s="10"/>
      <c r="BU433" s="10"/>
      <c r="BV433" s="10"/>
      <c r="BW433" s="10"/>
      <c r="BX433" s="10"/>
      <c r="BY433" s="10"/>
      <c r="BZ433" s="10"/>
      <c r="CA433" s="10"/>
      <c r="CB433" s="10"/>
      <c r="CC433" s="10"/>
      <c r="CD433" s="10"/>
      <c r="CE433" s="10"/>
      <c r="CF433" s="10"/>
      <c r="CG433" s="10"/>
      <c r="CH433" s="10"/>
      <c r="CI433" s="10"/>
      <c r="CJ433" s="10"/>
      <c r="CK433" s="10"/>
      <c r="CL433" s="10"/>
      <c r="CM433" s="10"/>
      <c r="CN433" s="10"/>
      <c r="CO433" s="10"/>
      <c r="CP433" s="10"/>
      <c r="CQ433" s="10"/>
      <c r="CR433" s="10"/>
      <c r="CS433" s="10"/>
      <c r="CT433" s="10"/>
      <c r="CU433" s="10"/>
      <c r="CV433" s="10"/>
      <c r="CW433" s="10"/>
      <c r="CX433" s="10"/>
      <c r="CY433" s="10"/>
      <c r="CZ433" s="10"/>
      <c r="DA433" s="10"/>
      <c r="DB433" s="10"/>
      <c r="DC433" s="10"/>
      <c r="DD433" s="10"/>
      <c r="DE433" s="10"/>
      <c r="DF433" s="10"/>
      <c r="DG433" s="10"/>
      <c r="DH433" s="10"/>
      <c r="DI433" s="10"/>
      <c r="DJ433" s="10"/>
      <c r="DK433" s="10"/>
      <c r="DL433" s="10"/>
      <c r="DM433" s="10"/>
      <c r="DN433" s="10"/>
      <c r="DO433" s="10"/>
      <c r="DP433" s="10"/>
      <c r="DQ433" s="10"/>
      <c r="DR433" s="10"/>
      <c r="DS433" s="10"/>
      <c r="DT433" s="10"/>
      <c r="DU433" s="10"/>
      <c r="DV433" s="10"/>
      <c r="DW433" s="10"/>
      <c r="DX433" s="10"/>
      <c r="DY433" s="10"/>
      <c r="DZ433" s="10"/>
      <c r="EA433" s="10"/>
      <c r="EB433" s="10"/>
      <c r="EC433" s="10"/>
      <c r="ED433" s="10"/>
      <c r="EE433" s="10"/>
      <c r="EF433" s="10"/>
      <c r="EG433" s="10"/>
      <c r="EH433" s="10"/>
      <c r="EI433" s="10"/>
      <c r="EJ433" s="10"/>
      <c r="EK433" s="10"/>
      <c r="EL433" s="10"/>
      <c r="EM433" s="10"/>
      <c r="EN433" s="10"/>
      <c r="EO433" s="10"/>
      <c r="EP433" s="10"/>
      <c r="EQ433" s="10"/>
      <c r="ER433" s="10"/>
      <c r="ES433" s="10"/>
      <c r="ET433" s="10"/>
      <c r="EU433" s="10"/>
      <c r="EV433" s="10"/>
      <c r="EW433" s="10"/>
      <c r="EX433" s="10"/>
      <c r="EY433" s="10"/>
      <c r="EZ433" s="10"/>
      <c r="FA433" s="10"/>
      <c r="FB433" s="10"/>
      <c r="FC433" s="10"/>
      <c r="FD433" s="10"/>
      <c r="FE433" s="10"/>
      <c r="FF433" s="10"/>
      <c r="FG433" s="10"/>
      <c r="FH433" s="10"/>
      <c r="FI433" s="10"/>
      <c r="FJ433" s="10"/>
      <c r="FK433" s="10"/>
      <c r="FL433" s="10"/>
      <c r="FM433" s="10"/>
      <c r="FN433" s="10"/>
      <c r="FO433" s="10"/>
      <c r="FP433" s="10"/>
      <c r="FQ433" s="10"/>
      <c r="FR433" s="10"/>
      <c r="FS433" s="10"/>
      <c r="FT433" s="10"/>
      <c r="FU433" s="10"/>
      <c r="FV433" s="10"/>
      <c r="FW433" s="10"/>
      <c r="FX433" s="10"/>
      <c r="FY433" s="10"/>
      <c r="FZ433" s="10"/>
      <c r="GA433" s="10"/>
      <c r="GB433" s="10"/>
      <c r="GC433" s="10"/>
      <c r="GD433" s="10"/>
      <c r="GE433" s="10"/>
      <c r="GF433" s="10"/>
      <c r="GG433" s="10"/>
      <c r="GH433" s="10"/>
      <c r="GI433" s="10"/>
      <c r="GJ433" s="10"/>
      <c r="GK433" s="10"/>
    </row>
    <row r="434" customFormat="false" ht="12.75" hidden="false" customHeight="false" outlineLevel="0" collapsed="false">
      <c r="A434" s="7"/>
      <c r="B434" s="7"/>
      <c r="C434" s="8"/>
      <c r="D434" s="8"/>
      <c r="E434" s="8"/>
      <c r="F434" s="8"/>
      <c r="G434" s="9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  <c r="BS434" s="10"/>
      <c r="BT434" s="10"/>
      <c r="BU434" s="10"/>
      <c r="BV434" s="10"/>
      <c r="BW434" s="10"/>
      <c r="BX434" s="10"/>
      <c r="BY434" s="10"/>
      <c r="BZ434" s="10"/>
      <c r="CA434" s="10"/>
      <c r="CB434" s="10"/>
      <c r="CC434" s="10"/>
      <c r="CD434" s="10"/>
      <c r="CE434" s="10"/>
      <c r="CF434" s="10"/>
      <c r="CG434" s="10"/>
      <c r="CH434" s="10"/>
      <c r="CI434" s="10"/>
      <c r="CJ434" s="10"/>
      <c r="CK434" s="10"/>
      <c r="CL434" s="10"/>
      <c r="CM434" s="10"/>
      <c r="CN434" s="10"/>
      <c r="CO434" s="10"/>
      <c r="CP434" s="10"/>
      <c r="CQ434" s="10"/>
      <c r="CR434" s="10"/>
      <c r="CS434" s="10"/>
      <c r="CT434" s="10"/>
      <c r="CU434" s="10"/>
      <c r="CV434" s="10"/>
      <c r="CW434" s="10"/>
      <c r="CX434" s="10"/>
      <c r="CY434" s="10"/>
      <c r="CZ434" s="10"/>
      <c r="DA434" s="10"/>
      <c r="DB434" s="10"/>
      <c r="DC434" s="10"/>
      <c r="DD434" s="10"/>
      <c r="DE434" s="10"/>
      <c r="DF434" s="10"/>
      <c r="DG434" s="10"/>
      <c r="DH434" s="10"/>
      <c r="DI434" s="10"/>
      <c r="DJ434" s="10"/>
      <c r="DK434" s="10"/>
      <c r="DL434" s="10"/>
      <c r="DM434" s="10"/>
      <c r="DN434" s="10"/>
      <c r="DO434" s="10"/>
      <c r="DP434" s="10"/>
      <c r="DQ434" s="10"/>
      <c r="DR434" s="10"/>
      <c r="DS434" s="10"/>
      <c r="DT434" s="10"/>
      <c r="DU434" s="10"/>
      <c r="DV434" s="10"/>
      <c r="DW434" s="10"/>
      <c r="DX434" s="10"/>
      <c r="DY434" s="10"/>
      <c r="DZ434" s="10"/>
      <c r="EA434" s="10"/>
      <c r="EB434" s="10"/>
      <c r="EC434" s="10"/>
      <c r="ED434" s="10"/>
      <c r="EE434" s="10"/>
      <c r="EF434" s="10"/>
      <c r="EG434" s="10"/>
      <c r="EH434" s="10"/>
      <c r="EI434" s="10"/>
      <c r="EJ434" s="10"/>
      <c r="EK434" s="10"/>
      <c r="EL434" s="10"/>
      <c r="EM434" s="10"/>
      <c r="EN434" s="10"/>
      <c r="EO434" s="10"/>
      <c r="EP434" s="10"/>
      <c r="EQ434" s="10"/>
      <c r="ER434" s="10"/>
      <c r="ES434" s="10"/>
      <c r="ET434" s="10"/>
      <c r="EU434" s="10"/>
      <c r="EV434" s="10"/>
      <c r="EW434" s="10"/>
      <c r="EX434" s="10"/>
      <c r="EY434" s="10"/>
      <c r="EZ434" s="10"/>
      <c r="FA434" s="10"/>
      <c r="FB434" s="10"/>
      <c r="FC434" s="10"/>
      <c r="FD434" s="10"/>
      <c r="FE434" s="10"/>
      <c r="FF434" s="10"/>
      <c r="FG434" s="10"/>
      <c r="FH434" s="10"/>
      <c r="FI434" s="10"/>
      <c r="FJ434" s="10"/>
      <c r="FK434" s="10"/>
      <c r="FL434" s="10"/>
      <c r="FM434" s="10"/>
      <c r="FN434" s="10"/>
      <c r="FO434" s="10"/>
      <c r="FP434" s="10"/>
      <c r="FQ434" s="10"/>
      <c r="FR434" s="10"/>
      <c r="FS434" s="10"/>
      <c r="FT434" s="10"/>
      <c r="FU434" s="10"/>
      <c r="FV434" s="10"/>
      <c r="FW434" s="10"/>
      <c r="FX434" s="10"/>
      <c r="FY434" s="10"/>
      <c r="FZ434" s="10"/>
      <c r="GA434" s="10"/>
      <c r="GB434" s="10"/>
      <c r="GC434" s="10"/>
      <c r="GD434" s="10"/>
      <c r="GE434" s="10"/>
      <c r="GF434" s="10"/>
      <c r="GG434" s="10"/>
      <c r="GH434" s="10"/>
      <c r="GI434" s="10"/>
      <c r="GJ434" s="10"/>
      <c r="GK434" s="10"/>
    </row>
    <row r="435" customFormat="false" ht="12.75" hidden="false" customHeight="false" outlineLevel="0" collapsed="false">
      <c r="A435" s="7"/>
      <c r="B435" s="7"/>
      <c r="C435" s="8"/>
      <c r="D435" s="8"/>
      <c r="E435" s="8"/>
      <c r="F435" s="8"/>
      <c r="G435" s="9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/>
      <c r="BT435" s="10"/>
      <c r="BU435" s="10"/>
      <c r="BV435" s="10"/>
      <c r="BW435" s="10"/>
      <c r="BX435" s="10"/>
      <c r="BY435" s="10"/>
      <c r="BZ435" s="10"/>
      <c r="CA435" s="10"/>
      <c r="CB435" s="10"/>
      <c r="CC435" s="10"/>
      <c r="CD435" s="10"/>
      <c r="CE435" s="10"/>
      <c r="CF435" s="10"/>
      <c r="CG435" s="10"/>
      <c r="CH435" s="10"/>
      <c r="CI435" s="10"/>
      <c r="CJ435" s="10"/>
      <c r="CK435" s="10"/>
      <c r="CL435" s="10"/>
      <c r="CM435" s="10"/>
      <c r="CN435" s="10"/>
      <c r="CO435" s="10"/>
      <c r="CP435" s="10"/>
      <c r="CQ435" s="10"/>
      <c r="CR435" s="10"/>
      <c r="CS435" s="10"/>
      <c r="CT435" s="10"/>
      <c r="CU435" s="10"/>
      <c r="CV435" s="10"/>
      <c r="CW435" s="10"/>
      <c r="CX435" s="10"/>
      <c r="CY435" s="10"/>
      <c r="CZ435" s="10"/>
      <c r="DA435" s="10"/>
      <c r="DB435" s="10"/>
      <c r="DC435" s="10"/>
      <c r="DD435" s="10"/>
      <c r="DE435" s="10"/>
      <c r="DF435" s="10"/>
      <c r="DG435" s="10"/>
      <c r="DH435" s="10"/>
      <c r="DI435" s="10"/>
      <c r="DJ435" s="10"/>
      <c r="DK435" s="10"/>
      <c r="DL435" s="10"/>
      <c r="DM435" s="10"/>
      <c r="DN435" s="10"/>
      <c r="DO435" s="10"/>
      <c r="DP435" s="10"/>
      <c r="DQ435" s="10"/>
      <c r="DR435" s="10"/>
      <c r="DS435" s="10"/>
      <c r="DT435" s="10"/>
      <c r="DU435" s="10"/>
      <c r="DV435" s="10"/>
      <c r="DW435" s="10"/>
      <c r="DX435" s="10"/>
      <c r="DY435" s="10"/>
      <c r="DZ435" s="10"/>
      <c r="EA435" s="10"/>
      <c r="EB435" s="10"/>
      <c r="EC435" s="10"/>
      <c r="ED435" s="10"/>
      <c r="EE435" s="10"/>
      <c r="EF435" s="10"/>
      <c r="EG435" s="10"/>
      <c r="EH435" s="10"/>
      <c r="EI435" s="10"/>
      <c r="EJ435" s="10"/>
      <c r="EK435" s="10"/>
      <c r="EL435" s="10"/>
      <c r="EM435" s="10"/>
      <c r="EN435" s="10"/>
      <c r="EO435" s="10"/>
      <c r="EP435" s="10"/>
      <c r="EQ435" s="10"/>
      <c r="ER435" s="10"/>
      <c r="ES435" s="10"/>
      <c r="ET435" s="10"/>
      <c r="EU435" s="10"/>
      <c r="EV435" s="10"/>
      <c r="EW435" s="10"/>
      <c r="EX435" s="10"/>
      <c r="EY435" s="10"/>
      <c r="EZ435" s="10"/>
      <c r="FA435" s="10"/>
      <c r="FB435" s="10"/>
      <c r="FC435" s="10"/>
      <c r="FD435" s="10"/>
      <c r="FE435" s="10"/>
      <c r="FF435" s="10"/>
      <c r="FG435" s="10"/>
      <c r="FH435" s="10"/>
      <c r="FI435" s="10"/>
      <c r="FJ435" s="10"/>
      <c r="FK435" s="10"/>
      <c r="FL435" s="10"/>
      <c r="FM435" s="10"/>
      <c r="FN435" s="10"/>
      <c r="FO435" s="10"/>
      <c r="FP435" s="10"/>
      <c r="FQ435" s="10"/>
      <c r="FR435" s="10"/>
      <c r="FS435" s="10"/>
      <c r="FT435" s="10"/>
      <c r="FU435" s="10"/>
      <c r="FV435" s="10"/>
      <c r="FW435" s="10"/>
      <c r="FX435" s="10"/>
      <c r="FY435" s="10"/>
      <c r="FZ435" s="10"/>
      <c r="GA435" s="10"/>
      <c r="GB435" s="10"/>
      <c r="GC435" s="10"/>
      <c r="GD435" s="10"/>
      <c r="GE435" s="10"/>
      <c r="GF435" s="10"/>
      <c r="GG435" s="10"/>
      <c r="GH435" s="10"/>
      <c r="GI435" s="10"/>
      <c r="GJ435" s="10"/>
      <c r="GK435" s="10"/>
    </row>
    <row r="436" customFormat="false" ht="12.75" hidden="false" customHeight="false" outlineLevel="0" collapsed="false">
      <c r="A436" s="7"/>
      <c r="B436" s="7"/>
      <c r="C436" s="8"/>
      <c r="D436" s="8"/>
      <c r="E436" s="8"/>
      <c r="F436" s="8"/>
      <c r="G436" s="9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/>
      <c r="BT436" s="10"/>
      <c r="BU436" s="10"/>
      <c r="BV436" s="10"/>
      <c r="BW436" s="10"/>
      <c r="BX436" s="10"/>
      <c r="BY436" s="10"/>
      <c r="BZ436" s="10"/>
      <c r="CA436" s="10"/>
      <c r="CB436" s="10"/>
      <c r="CC436" s="10"/>
      <c r="CD436" s="10"/>
      <c r="CE436" s="10"/>
      <c r="CF436" s="10"/>
      <c r="CG436" s="10"/>
      <c r="CH436" s="10"/>
      <c r="CI436" s="10"/>
      <c r="CJ436" s="10"/>
      <c r="CK436" s="10"/>
      <c r="CL436" s="10"/>
      <c r="CM436" s="10"/>
      <c r="CN436" s="10"/>
      <c r="CO436" s="10"/>
      <c r="CP436" s="10"/>
      <c r="CQ436" s="10"/>
      <c r="CR436" s="10"/>
      <c r="CS436" s="10"/>
      <c r="CT436" s="10"/>
      <c r="CU436" s="10"/>
      <c r="CV436" s="10"/>
      <c r="CW436" s="10"/>
      <c r="CX436" s="10"/>
      <c r="CY436" s="10"/>
      <c r="CZ436" s="10"/>
      <c r="DA436" s="10"/>
      <c r="DB436" s="10"/>
      <c r="DC436" s="10"/>
      <c r="DD436" s="10"/>
      <c r="DE436" s="10"/>
      <c r="DF436" s="10"/>
      <c r="DG436" s="10"/>
      <c r="DH436" s="10"/>
      <c r="DI436" s="10"/>
      <c r="DJ436" s="10"/>
      <c r="DK436" s="10"/>
      <c r="DL436" s="10"/>
      <c r="DM436" s="10"/>
      <c r="DN436" s="10"/>
      <c r="DO436" s="10"/>
      <c r="DP436" s="10"/>
      <c r="DQ436" s="10"/>
      <c r="DR436" s="10"/>
      <c r="DS436" s="10"/>
      <c r="DT436" s="10"/>
      <c r="DU436" s="10"/>
      <c r="DV436" s="10"/>
      <c r="DW436" s="10"/>
      <c r="DX436" s="10"/>
      <c r="DY436" s="10"/>
      <c r="DZ436" s="10"/>
      <c r="EA436" s="10"/>
      <c r="EB436" s="10"/>
      <c r="EC436" s="10"/>
      <c r="ED436" s="10"/>
      <c r="EE436" s="10"/>
      <c r="EF436" s="10"/>
      <c r="EG436" s="10"/>
      <c r="EH436" s="10"/>
      <c r="EI436" s="10"/>
      <c r="EJ436" s="10"/>
      <c r="EK436" s="10"/>
      <c r="EL436" s="10"/>
      <c r="EM436" s="10"/>
      <c r="EN436" s="10"/>
      <c r="EO436" s="10"/>
      <c r="EP436" s="10"/>
      <c r="EQ436" s="10"/>
      <c r="ER436" s="10"/>
      <c r="ES436" s="10"/>
      <c r="ET436" s="10"/>
      <c r="EU436" s="10"/>
      <c r="EV436" s="10"/>
      <c r="EW436" s="10"/>
      <c r="EX436" s="10"/>
      <c r="EY436" s="10"/>
      <c r="EZ436" s="10"/>
      <c r="FA436" s="10"/>
      <c r="FB436" s="10"/>
      <c r="FC436" s="10"/>
      <c r="FD436" s="10"/>
      <c r="FE436" s="10"/>
      <c r="FF436" s="10"/>
      <c r="FG436" s="10"/>
      <c r="FH436" s="10"/>
      <c r="FI436" s="10"/>
      <c r="FJ436" s="10"/>
      <c r="FK436" s="10"/>
      <c r="FL436" s="10"/>
      <c r="FM436" s="10"/>
      <c r="FN436" s="10"/>
      <c r="FO436" s="10"/>
      <c r="FP436" s="10"/>
      <c r="FQ436" s="10"/>
      <c r="FR436" s="10"/>
      <c r="FS436" s="10"/>
      <c r="FT436" s="10"/>
      <c r="FU436" s="10"/>
      <c r="FV436" s="10"/>
      <c r="FW436" s="10"/>
      <c r="FX436" s="10"/>
      <c r="FY436" s="10"/>
      <c r="FZ436" s="10"/>
      <c r="GA436" s="10"/>
      <c r="GB436" s="10"/>
      <c r="GC436" s="10"/>
      <c r="GD436" s="10"/>
      <c r="GE436" s="10"/>
      <c r="GF436" s="10"/>
      <c r="GG436" s="10"/>
      <c r="GH436" s="10"/>
      <c r="GI436" s="10"/>
      <c r="GJ436" s="10"/>
      <c r="GK436" s="10"/>
    </row>
    <row r="437" customFormat="false" ht="12.75" hidden="false" customHeight="false" outlineLevel="0" collapsed="false">
      <c r="A437" s="7"/>
      <c r="B437" s="7"/>
      <c r="C437" s="8"/>
      <c r="D437" s="8"/>
      <c r="E437" s="8"/>
      <c r="F437" s="8"/>
      <c r="G437" s="9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  <c r="BU437" s="10"/>
      <c r="BV437" s="10"/>
      <c r="BW437" s="10"/>
      <c r="BX437" s="10"/>
      <c r="BY437" s="10"/>
      <c r="BZ437" s="10"/>
      <c r="CA437" s="10"/>
      <c r="CB437" s="10"/>
      <c r="CC437" s="10"/>
      <c r="CD437" s="10"/>
      <c r="CE437" s="10"/>
      <c r="CF437" s="10"/>
      <c r="CG437" s="10"/>
      <c r="CH437" s="10"/>
      <c r="CI437" s="10"/>
      <c r="CJ437" s="10"/>
      <c r="CK437" s="10"/>
      <c r="CL437" s="10"/>
      <c r="CM437" s="10"/>
      <c r="CN437" s="10"/>
      <c r="CO437" s="10"/>
      <c r="CP437" s="10"/>
      <c r="CQ437" s="10"/>
      <c r="CR437" s="10"/>
      <c r="CS437" s="10"/>
      <c r="CT437" s="10"/>
      <c r="CU437" s="10"/>
      <c r="CV437" s="10"/>
      <c r="CW437" s="10"/>
      <c r="CX437" s="10"/>
      <c r="CY437" s="10"/>
      <c r="CZ437" s="10"/>
      <c r="DA437" s="10"/>
      <c r="DB437" s="10"/>
      <c r="DC437" s="10"/>
      <c r="DD437" s="10"/>
      <c r="DE437" s="10"/>
      <c r="DF437" s="10"/>
      <c r="DG437" s="10"/>
      <c r="DH437" s="10"/>
      <c r="DI437" s="10"/>
      <c r="DJ437" s="10"/>
      <c r="DK437" s="10"/>
      <c r="DL437" s="10"/>
      <c r="DM437" s="10"/>
      <c r="DN437" s="10"/>
      <c r="DO437" s="10"/>
      <c r="DP437" s="10"/>
      <c r="DQ437" s="10"/>
      <c r="DR437" s="10"/>
      <c r="DS437" s="10"/>
      <c r="DT437" s="10"/>
      <c r="DU437" s="10"/>
      <c r="DV437" s="10"/>
      <c r="DW437" s="10"/>
      <c r="DX437" s="10"/>
      <c r="DY437" s="10"/>
      <c r="DZ437" s="10"/>
      <c r="EA437" s="10"/>
      <c r="EB437" s="10"/>
      <c r="EC437" s="10"/>
      <c r="ED437" s="10"/>
      <c r="EE437" s="10"/>
      <c r="EF437" s="10"/>
      <c r="EG437" s="10"/>
      <c r="EH437" s="10"/>
      <c r="EI437" s="10"/>
      <c r="EJ437" s="10"/>
      <c r="EK437" s="10"/>
      <c r="EL437" s="10"/>
      <c r="EM437" s="10"/>
      <c r="EN437" s="10"/>
      <c r="EO437" s="10"/>
      <c r="EP437" s="10"/>
      <c r="EQ437" s="10"/>
      <c r="ER437" s="10"/>
      <c r="ES437" s="10"/>
      <c r="ET437" s="10"/>
      <c r="EU437" s="10"/>
      <c r="EV437" s="10"/>
      <c r="EW437" s="10"/>
      <c r="EX437" s="10"/>
      <c r="EY437" s="10"/>
      <c r="EZ437" s="10"/>
      <c r="FA437" s="10"/>
      <c r="FB437" s="10"/>
      <c r="FC437" s="10"/>
      <c r="FD437" s="10"/>
      <c r="FE437" s="10"/>
      <c r="FF437" s="10"/>
      <c r="FG437" s="10"/>
      <c r="FH437" s="10"/>
      <c r="FI437" s="10"/>
      <c r="FJ437" s="10"/>
      <c r="FK437" s="10"/>
      <c r="FL437" s="10"/>
      <c r="FM437" s="10"/>
      <c r="FN437" s="10"/>
      <c r="FO437" s="10"/>
      <c r="FP437" s="10"/>
      <c r="FQ437" s="10"/>
      <c r="FR437" s="10"/>
      <c r="FS437" s="10"/>
      <c r="FT437" s="10"/>
      <c r="FU437" s="10"/>
      <c r="FV437" s="10"/>
      <c r="FW437" s="10"/>
      <c r="FX437" s="10"/>
      <c r="FY437" s="10"/>
      <c r="FZ437" s="10"/>
      <c r="GA437" s="10"/>
      <c r="GB437" s="10"/>
      <c r="GC437" s="10"/>
      <c r="GD437" s="10"/>
      <c r="GE437" s="10"/>
      <c r="GF437" s="10"/>
      <c r="GG437" s="10"/>
      <c r="GH437" s="10"/>
      <c r="GI437" s="10"/>
      <c r="GJ437" s="10"/>
      <c r="GK437" s="10"/>
    </row>
    <row r="438" customFormat="false" ht="12.75" hidden="false" customHeight="false" outlineLevel="0" collapsed="false">
      <c r="A438" s="7"/>
      <c r="B438" s="7"/>
      <c r="C438" s="8"/>
      <c r="D438" s="8"/>
      <c r="E438" s="8"/>
      <c r="F438" s="8"/>
      <c r="G438" s="9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  <c r="BT438" s="10"/>
      <c r="BU438" s="10"/>
      <c r="BV438" s="10"/>
      <c r="BW438" s="10"/>
      <c r="BX438" s="10"/>
      <c r="BY438" s="10"/>
      <c r="BZ438" s="10"/>
      <c r="CA438" s="10"/>
      <c r="CB438" s="10"/>
      <c r="CC438" s="10"/>
      <c r="CD438" s="10"/>
      <c r="CE438" s="10"/>
      <c r="CF438" s="10"/>
      <c r="CG438" s="10"/>
      <c r="CH438" s="10"/>
      <c r="CI438" s="10"/>
      <c r="CJ438" s="10"/>
      <c r="CK438" s="10"/>
      <c r="CL438" s="10"/>
      <c r="CM438" s="10"/>
      <c r="CN438" s="10"/>
      <c r="CO438" s="10"/>
      <c r="CP438" s="10"/>
      <c r="CQ438" s="10"/>
      <c r="CR438" s="10"/>
      <c r="CS438" s="10"/>
      <c r="CT438" s="10"/>
      <c r="CU438" s="10"/>
      <c r="CV438" s="10"/>
      <c r="CW438" s="10"/>
      <c r="CX438" s="10"/>
      <c r="CY438" s="10"/>
      <c r="CZ438" s="10"/>
      <c r="DA438" s="10"/>
      <c r="DB438" s="10"/>
      <c r="DC438" s="10"/>
      <c r="DD438" s="10"/>
      <c r="DE438" s="10"/>
      <c r="DF438" s="10"/>
      <c r="DG438" s="10"/>
      <c r="DH438" s="10"/>
      <c r="DI438" s="10"/>
      <c r="DJ438" s="10"/>
      <c r="DK438" s="10"/>
      <c r="DL438" s="10"/>
      <c r="DM438" s="10"/>
      <c r="DN438" s="10"/>
      <c r="DO438" s="10"/>
      <c r="DP438" s="10"/>
      <c r="DQ438" s="10"/>
      <c r="DR438" s="10"/>
      <c r="DS438" s="10"/>
      <c r="DT438" s="10"/>
      <c r="DU438" s="10"/>
      <c r="DV438" s="10"/>
      <c r="DW438" s="10"/>
      <c r="DX438" s="10"/>
      <c r="DY438" s="10"/>
      <c r="DZ438" s="10"/>
      <c r="EA438" s="10"/>
      <c r="EB438" s="10"/>
      <c r="EC438" s="10"/>
      <c r="ED438" s="10"/>
      <c r="EE438" s="10"/>
      <c r="EF438" s="10"/>
      <c r="EG438" s="10"/>
      <c r="EH438" s="10"/>
      <c r="EI438" s="10"/>
      <c r="EJ438" s="10"/>
      <c r="EK438" s="10"/>
      <c r="EL438" s="10"/>
      <c r="EM438" s="10"/>
      <c r="EN438" s="10"/>
      <c r="EO438" s="10"/>
      <c r="EP438" s="10"/>
      <c r="EQ438" s="10"/>
      <c r="ER438" s="10"/>
      <c r="ES438" s="10"/>
      <c r="ET438" s="10"/>
      <c r="EU438" s="10"/>
      <c r="EV438" s="10"/>
      <c r="EW438" s="10"/>
      <c r="EX438" s="10"/>
      <c r="EY438" s="10"/>
      <c r="EZ438" s="10"/>
      <c r="FA438" s="10"/>
      <c r="FB438" s="10"/>
      <c r="FC438" s="10"/>
      <c r="FD438" s="10"/>
      <c r="FE438" s="10"/>
      <c r="FF438" s="10"/>
      <c r="FG438" s="10"/>
      <c r="FH438" s="10"/>
      <c r="FI438" s="10"/>
      <c r="FJ438" s="10"/>
      <c r="FK438" s="10"/>
      <c r="FL438" s="10"/>
      <c r="FM438" s="10"/>
      <c r="FN438" s="10"/>
      <c r="FO438" s="10"/>
      <c r="FP438" s="10"/>
      <c r="FQ438" s="10"/>
      <c r="FR438" s="10"/>
      <c r="FS438" s="10"/>
      <c r="FT438" s="10"/>
      <c r="FU438" s="10"/>
      <c r="FV438" s="10"/>
      <c r="FW438" s="10"/>
      <c r="FX438" s="10"/>
      <c r="FY438" s="10"/>
      <c r="FZ438" s="10"/>
      <c r="GA438" s="10"/>
      <c r="GB438" s="10"/>
      <c r="GC438" s="10"/>
      <c r="GD438" s="10"/>
      <c r="GE438" s="10"/>
      <c r="GF438" s="10"/>
      <c r="GG438" s="10"/>
      <c r="GH438" s="10"/>
      <c r="GI438" s="10"/>
      <c r="GJ438" s="10"/>
      <c r="GK438" s="10"/>
    </row>
    <row r="439" customFormat="false" ht="12.75" hidden="false" customHeight="false" outlineLevel="0" collapsed="false">
      <c r="A439" s="7"/>
      <c r="B439" s="7"/>
      <c r="C439" s="8"/>
      <c r="D439" s="8"/>
      <c r="E439" s="8"/>
      <c r="F439" s="8"/>
      <c r="G439" s="9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/>
      <c r="BT439" s="10"/>
      <c r="BU439" s="10"/>
      <c r="BV439" s="10"/>
      <c r="BW439" s="10"/>
      <c r="BX439" s="10"/>
      <c r="BY439" s="10"/>
      <c r="BZ439" s="10"/>
      <c r="CA439" s="10"/>
      <c r="CB439" s="10"/>
      <c r="CC439" s="10"/>
      <c r="CD439" s="10"/>
      <c r="CE439" s="10"/>
      <c r="CF439" s="10"/>
      <c r="CG439" s="10"/>
      <c r="CH439" s="10"/>
      <c r="CI439" s="10"/>
      <c r="CJ439" s="10"/>
      <c r="CK439" s="10"/>
      <c r="CL439" s="10"/>
      <c r="CM439" s="10"/>
      <c r="CN439" s="10"/>
      <c r="CO439" s="10"/>
      <c r="CP439" s="10"/>
      <c r="CQ439" s="10"/>
      <c r="CR439" s="10"/>
      <c r="CS439" s="10"/>
      <c r="CT439" s="10"/>
      <c r="CU439" s="10"/>
      <c r="CV439" s="10"/>
      <c r="CW439" s="10"/>
      <c r="CX439" s="10"/>
      <c r="CY439" s="10"/>
      <c r="CZ439" s="10"/>
      <c r="DA439" s="10"/>
      <c r="DB439" s="10"/>
      <c r="DC439" s="10"/>
      <c r="DD439" s="10"/>
      <c r="DE439" s="10"/>
      <c r="DF439" s="10"/>
      <c r="DG439" s="10"/>
      <c r="DH439" s="10"/>
      <c r="DI439" s="10"/>
      <c r="DJ439" s="10"/>
      <c r="DK439" s="10"/>
      <c r="DL439" s="10"/>
      <c r="DM439" s="10"/>
      <c r="DN439" s="10"/>
      <c r="DO439" s="10"/>
      <c r="DP439" s="10"/>
      <c r="DQ439" s="10"/>
      <c r="DR439" s="10"/>
      <c r="DS439" s="10"/>
      <c r="DT439" s="10"/>
      <c r="DU439" s="10"/>
      <c r="DV439" s="10"/>
      <c r="DW439" s="10"/>
      <c r="DX439" s="10"/>
      <c r="DY439" s="10"/>
      <c r="DZ439" s="10"/>
      <c r="EA439" s="10"/>
      <c r="EB439" s="10"/>
      <c r="EC439" s="10"/>
      <c r="ED439" s="10"/>
      <c r="EE439" s="10"/>
      <c r="EF439" s="10"/>
      <c r="EG439" s="10"/>
      <c r="EH439" s="10"/>
      <c r="EI439" s="10"/>
      <c r="EJ439" s="10"/>
      <c r="EK439" s="10"/>
      <c r="EL439" s="10"/>
      <c r="EM439" s="10"/>
      <c r="EN439" s="10"/>
      <c r="EO439" s="10"/>
      <c r="EP439" s="10"/>
      <c r="EQ439" s="10"/>
      <c r="ER439" s="10"/>
      <c r="ES439" s="10"/>
      <c r="ET439" s="10"/>
      <c r="EU439" s="10"/>
      <c r="EV439" s="10"/>
      <c r="EW439" s="10"/>
      <c r="EX439" s="10"/>
      <c r="EY439" s="10"/>
      <c r="EZ439" s="10"/>
      <c r="FA439" s="10"/>
      <c r="FB439" s="10"/>
      <c r="FC439" s="10"/>
      <c r="FD439" s="10"/>
      <c r="FE439" s="10"/>
      <c r="FF439" s="10"/>
      <c r="FG439" s="10"/>
      <c r="FH439" s="10"/>
      <c r="FI439" s="10"/>
      <c r="FJ439" s="10"/>
      <c r="FK439" s="10"/>
      <c r="FL439" s="10"/>
      <c r="FM439" s="10"/>
      <c r="FN439" s="10"/>
      <c r="FO439" s="10"/>
      <c r="FP439" s="10"/>
      <c r="FQ439" s="10"/>
      <c r="FR439" s="10"/>
      <c r="FS439" s="10"/>
      <c r="FT439" s="10"/>
      <c r="FU439" s="10"/>
      <c r="FV439" s="10"/>
      <c r="FW439" s="10"/>
      <c r="FX439" s="10"/>
      <c r="FY439" s="10"/>
      <c r="FZ439" s="10"/>
      <c r="GA439" s="10"/>
      <c r="GB439" s="10"/>
      <c r="GC439" s="10"/>
      <c r="GD439" s="10"/>
      <c r="GE439" s="10"/>
      <c r="GF439" s="10"/>
      <c r="GG439" s="10"/>
      <c r="GH439" s="10"/>
      <c r="GI439" s="10"/>
      <c r="GJ439" s="10"/>
      <c r="GK439" s="10"/>
    </row>
    <row r="440" customFormat="false" ht="12.75" hidden="false" customHeight="false" outlineLevel="0" collapsed="false">
      <c r="A440" s="7"/>
      <c r="B440" s="7"/>
      <c r="C440" s="8"/>
      <c r="D440" s="8"/>
      <c r="E440" s="8"/>
      <c r="F440" s="8"/>
      <c r="G440" s="9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  <c r="BS440" s="10"/>
      <c r="BT440" s="10"/>
      <c r="BU440" s="10"/>
      <c r="BV440" s="10"/>
      <c r="BW440" s="10"/>
      <c r="BX440" s="10"/>
      <c r="BY440" s="10"/>
      <c r="BZ440" s="10"/>
      <c r="CA440" s="10"/>
      <c r="CB440" s="10"/>
      <c r="CC440" s="10"/>
      <c r="CD440" s="10"/>
      <c r="CE440" s="10"/>
      <c r="CF440" s="10"/>
      <c r="CG440" s="10"/>
      <c r="CH440" s="10"/>
      <c r="CI440" s="10"/>
      <c r="CJ440" s="10"/>
      <c r="CK440" s="10"/>
      <c r="CL440" s="10"/>
      <c r="CM440" s="10"/>
      <c r="CN440" s="10"/>
      <c r="CO440" s="10"/>
      <c r="CP440" s="10"/>
      <c r="CQ440" s="10"/>
      <c r="CR440" s="10"/>
      <c r="CS440" s="10"/>
      <c r="CT440" s="10"/>
      <c r="CU440" s="10"/>
      <c r="CV440" s="10"/>
      <c r="CW440" s="10"/>
      <c r="CX440" s="10"/>
      <c r="CY440" s="10"/>
      <c r="CZ440" s="10"/>
      <c r="DA440" s="10"/>
      <c r="DB440" s="10"/>
      <c r="DC440" s="10"/>
      <c r="DD440" s="10"/>
      <c r="DE440" s="10"/>
      <c r="DF440" s="10"/>
      <c r="DG440" s="10"/>
      <c r="DH440" s="10"/>
      <c r="DI440" s="10"/>
      <c r="DJ440" s="10"/>
      <c r="DK440" s="10"/>
      <c r="DL440" s="10"/>
      <c r="DM440" s="10"/>
      <c r="DN440" s="10"/>
      <c r="DO440" s="10"/>
      <c r="DP440" s="10"/>
      <c r="DQ440" s="10"/>
      <c r="DR440" s="10"/>
      <c r="DS440" s="10"/>
      <c r="DT440" s="10"/>
      <c r="DU440" s="10"/>
      <c r="DV440" s="10"/>
      <c r="DW440" s="10"/>
      <c r="DX440" s="10"/>
      <c r="DY440" s="10"/>
      <c r="DZ440" s="10"/>
      <c r="EA440" s="10"/>
      <c r="EB440" s="10"/>
      <c r="EC440" s="10"/>
      <c r="ED440" s="10"/>
      <c r="EE440" s="10"/>
      <c r="EF440" s="10"/>
      <c r="EG440" s="10"/>
      <c r="EH440" s="10"/>
      <c r="EI440" s="10"/>
      <c r="EJ440" s="10"/>
      <c r="EK440" s="10"/>
      <c r="EL440" s="10"/>
      <c r="EM440" s="10"/>
      <c r="EN440" s="10"/>
      <c r="EO440" s="10"/>
      <c r="EP440" s="10"/>
      <c r="EQ440" s="10"/>
      <c r="ER440" s="10"/>
      <c r="ES440" s="10"/>
      <c r="ET440" s="10"/>
      <c r="EU440" s="10"/>
      <c r="EV440" s="10"/>
      <c r="EW440" s="10"/>
      <c r="EX440" s="10"/>
      <c r="EY440" s="10"/>
      <c r="EZ440" s="10"/>
      <c r="FA440" s="10"/>
      <c r="FB440" s="10"/>
      <c r="FC440" s="10"/>
      <c r="FD440" s="10"/>
      <c r="FE440" s="10"/>
      <c r="FF440" s="10"/>
      <c r="FG440" s="10"/>
      <c r="FH440" s="10"/>
      <c r="FI440" s="10"/>
      <c r="FJ440" s="10"/>
      <c r="FK440" s="10"/>
      <c r="FL440" s="10"/>
      <c r="FM440" s="10"/>
      <c r="FN440" s="10"/>
      <c r="FO440" s="10"/>
      <c r="FP440" s="10"/>
      <c r="FQ440" s="10"/>
      <c r="FR440" s="10"/>
      <c r="FS440" s="10"/>
      <c r="FT440" s="10"/>
      <c r="FU440" s="10"/>
      <c r="FV440" s="10"/>
      <c r="FW440" s="10"/>
      <c r="FX440" s="10"/>
      <c r="FY440" s="10"/>
      <c r="FZ440" s="10"/>
      <c r="GA440" s="10"/>
      <c r="GB440" s="10"/>
      <c r="GC440" s="10"/>
      <c r="GD440" s="10"/>
      <c r="GE440" s="10"/>
      <c r="GF440" s="10"/>
      <c r="GG440" s="10"/>
      <c r="GH440" s="10"/>
      <c r="GI440" s="10"/>
      <c r="GJ440" s="10"/>
      <c r="GK440" s="10"/>
    </row>
    <row r="441" customFormat="false" ht="12.75" hidden="false" customHeight="false" outlineLevel="0" collapsed="false">
      <c r="A441" s="7"/>
      <c r="B441" s="7"/>
      <c r="C441" s="8"/>
      <c r="D441" s="8"/>
      <c r="E441" s="8"/>
      <c r="F441" s="8"/>
      <c r="G441" s="9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  <c r="BT441" s="10"/>
      <c r="BU441" s="10"/>
      <c r="BV441" s="10"/>
      <c r="BW441" s="10"/>
      <c r="BX441" s="10"/>
      <c r="BY441" s="10"/>
      <c r="BZ441" s="10"/>
      <c r="CA441" s="10"/>
      <c r="CB441" s="10"/>
      <c r="CC441" s="10"/>
      <c r="CD441" s="10"/>
      <c r="CE441" s="10"/>
      <c r="CF441" s="10"/>
      <c r="CG441" s="10"/>
      <c r="CH441" s="10"/>
      <c r="CI441" s="10"/>
      <c r="CJ441" s="10"/>
      <c r="CK441" s="10"/>
      <c r="CL441" s="10"/>
      <c r="CM441" s="10"/>
      <c r="CN441" s="10"/>
      <c r="CO441" s="10"/>
      <c r="CP441" s="10"/>
      <c r="CQ441" s="10"/>
      <c r="CR441" s="10"/>
      <c r="CS441" s="10"/>
      <c r="CT441" s="10"/>
      <c r="CU441" s="10"/>
      <c r="CV441" s="10"/>
      <c r="CW441" s="10"/>
      <c r="CX441" s="10"/>
      <c r="CY441" s="10"/>
      <c r="CZ441" s="10"/>
      <c r="DA441" s="10"/>
      <c r="DB441" s="10"/>
      <c r="DC441" s="10"/>
      <c r="DD441" s="10"/>
      <c r="DE441" s="10"/>
      <c r="DF441" s="10"/>
      <c r="DG441" s="10"/>
      <c r="DH441" s="10"/>
      <c r="DI441" s="10"/>
      <c r="DJ441" s="10"/>
      <c r="DK441" s="10"/>
      <c r="DL441" s="10"/>
      <c r="DM441" s="10"/>
      <c r="DN441" s="10"/>
      <c r="DO441" s="10"/>
      <c r="DP441" s="10"/>
      <c r="DQ441" s="10"/>
      <c r="DR441" s="10"/>
      <c r="DS441" s="10"/>
      <c r="DT441" s="10"/>
      <c r="DU441" s="10"/>
      <c r="DV441" s="10"/>
      <c r="DW441" s="10"/>
      <c r="DX441" s="10"/>
      <c r="DY441" s="10"/>
      <c r="DZ441" s="10"/>
      <c r="EA441" s="10"/>
      <c r="EB441" s="10"/>
      <c r="EC441" s="10"/>
      <c r="ED441" s="10"/>
      <c r="EE441" s="10"/>
      <c r="EF441" s="10"/>
      <c r="EG441" s="10"/>
      <c r="EH441" s="10"/>
      <c r="EI441" s="10"/>
      <c r="EJ441" s="10"/>
      <c r="EK441" s="10"/>
      <c r="EL441" s="10"/>
      <c r="EM441" s="10"/>
      <c r="EN441" s="10"/>
      <c r="EO441" s="10"/>
      <c r="EP441" s="10"/>
      <c r="EQ441" s="10"/>
      <c r="ER441" s="10"/>
      <c r="ES441" s="10"/>
      <c r="ET441" s="10"/>
      <c r="EU441" s="10"/>
      <c r="EV441" s="10"/>
      <c r="EW441" s="10"/>
      <c r="EX441" s="10"/>
      <c r="EY441" s="10"/>
      <c r="EZ441" s="10"/>
      <c r="FA441" s="10"/>
      <c r="FB441" s="10"/>
      <c r="FC441" s="10"/>
      <c r="FD441" s="10"/>
      <c r="FE441" s="10"/>
      <c r="FF441" s="10"/>
      <c r="FG441" s="10"/>
      <c r="FH441" s="10"/>
      <c r="FI441" s="10"/>
      <c r="FJ441" s="10"/>
      <c r="FK441" s="10"/>
      <c r="FL441" s="10"/>
      <c r="FM441" s="10"/>
      <c r="FN441" s="10"/>
      <c r="FO441" s="10"/>
      <c r="FP441" s="10"/>
      <c r="FQ441" s="10"/>
      <c r="FR441" s="10"/>
      <c r="FS441" s="10"/>
      <c r="FT441" s="10"/>
      <c r="FU441" s="10"/>
      <c r="FV441" s="10"/>
      <c r="FW441" s="10"/>
      <c r="FX441" s="10"/>
      <c r="FY441" s="10"/>
      <c r="FZ441" s="10"/>
      <c r="GA441" s="10"/>
      <c r="GB441" s="10"/>
      <c r="GC441" s="10"/>
      <c r="GD441" s="10"/>
      <c r="GE441" s="10"/>
      <c r="GF441" s="10"/>
      <c r="GG441" s="10"/>
      <c r="GH441" s="10"/>
      <c r="GI441" s="10"/>
      <c r="GJ441" s="10"/>
      <c r="GK441" s="10"/>
    </row>
    <row r="442" customFormat="false" ht="12.75" hidden="false" customHeight="false" outlineLevel="0" collapsed="false">
      <c r="A442" s="7"/>
      <c r="B442" s="7"/>
      <c r="C442" s="8"/>
      <c r="D442" s="8"/>
      <c r="E442" s="8"/>
      <c r="F442" s="8"/>
      <c r="G442" s="9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  <c r="BT442" s="10"/>
      <c r="BU442" s="10"/>
      <c r="BV442" s="10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  <c r="EM442" s="10"/>
      <c r="EN442" s="10"/>
      <c r="EO442" s="10"/>
      <c r="EP442" s="10"/>
      <c r="EQ442" s="10"/>
      <c r="ER442" s="10"/>
      <c r="ES442" s="10"/>
      <c r="ET442" s="10"/>
      <c r="EU442" s="10"/>
      <c r="EV442" s="10"/>
      <c r="EW442" s="10"/>
      <c r="EX442" s="10"/>
      <c r="EY442" s="10"/>
      <c r="EZ442" s="10"/>
      <c r="FA442" s="10"/>
      <c r="FB442" s="10"/>
      <c r="FC442" s="10"/>
      <c r="FD442" s="10"/>
      <c r="FE442" s="10"/>
      <c r="FF442" s="10"/>
      <c r="FG442" s="10"/>
      <c r="FH442" s="10"/>
      <c r="FI442" s="10"/>
      <c r="FJ442" s="10"/>
      <c r="FK442" s="10"/>
      <c r="FL442" s="10"/>
      <c r="FM442" s="10"/>
      <c r="FN442" s="10"/>
      <c r="FO442" s="10"/>
      <c r="FP442" s="10"/>
      <c r="FQ442" s="10"/>
      <c r="FR442" s="10"/>
      <c r="FS442" s="10"/>
      <c r="FT442" s="10"/>
      <c r="FU442" s="10"/>
      <c r="FV442" s="10"/>
      <c r="FW442" s="10"/>
      <c r="FX442" s="10"/>
      <c r="FY442" s="10"/>
      <c r="FZ442" s="10"/>
      <c r="GA442" s="10"/>
      <c r="GB442" s="10"/>
      <c r="GC442" s="10"/>
      <c r="GD442" s="10"/>
      <c r="GE442" s="10"/>
      <c r="GF442" s="10"/>
      <c r="GG442" s="10"/>
      <c r="GH442" s="10"/>
      <c r="GI442" s="10"/>
      <c r="GJ442" s="10"/>
      <c r="GK442" s="10"/>
    </row>
    <row r="443" customFormat="false" ht="12.75" hidden="false" customHeight="false" outlineLevel="0" collapsed="false">
      <c r="A443" s="7"/>
      <c r="B443" s="7"/>
      <c r="C443" s="8"/>
      <c r="D443" s="8"/>
      <c r="E443" s="8"/>
      <c r="F443" s="8"/>
      <c r="G443" s="9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  <c r="BT443" s="10"/>
      <c r="BU443" s="10"/>
      <c r="BV443" s="10"/>
      <c r="BW443" s="10"/>
      <c r="BX443" s="10"/>
      <c r="BY443" s="10"/>
      <c r="BZ443" s="10"/>
      <c r="CA443" s="10"/>
      <c r="CB443" s="10"/>
      <c r="CC443" s="10"/>
      <c r="CD443" s="10"/>
      <c r="CE443" s="10"/>
      <c r="CF443" s="10"/>
      <c r="CG443" s="10"/>
      <c r="CH443" s="10"/>
      <c r="CI443" s="10"/>
      <c r="CJ443" s="10"/>
      <c r="CK443" s="10"/>
      <c r="CL443" s="10"/>
      <c r="CM443" s="10"/>
      <c r="CN443" s="10"/>
      <c r="CO443" s="10"/>
      <c r="CP443" s="10"/>
      <c r="CQ443" s="10"/>
      <c r="CR443" s="10"/>
      <c r="CS443" s="10"/>
      <c r="CT443" s="10"/>
      <c r="CU443" s="10"/>
      <c r="CV443" s="10"/>
      <c r="CW443" s="10"/>
      <c r="CX443" s="10"/>
      <c r="CY443" s="10"/>
      <c r="CZ443" s="10"/>
      <c r="DA443" s="10"/>
      <c r="DB443" s="10"/>
      <c r="DC443" s="10"/>
      <c r="DD443" s="10"/>
      <c r="DE443" s="10"/>
      <c r="DF443" s="10"/>
      <c r="DG443" s="10"/>
      <c r="DH443" s="10"/>
      <c r="DI443" s="10"/>
      <c r="DJ443" s="10"/>
      <c r="DK443" s="10"/>
      <c r="DL443" s="10"/>
      <c r="DM443" s="10"/>
      <c r="DN443" s="10"/>
      <c r="DO443" s="10"/>
      <c r="DP443" s="10"/>
      <c r="DQ443" s="10"/>
      <c r="DR443" s="10"/>
      <c r="DS443" s="10"/>
      <c r="DT443" s="10"/>
      <c r="DU443" s="10"/>
      <c r="DV443" s="10"/>
      <c r="DW443" s="10"/>
      <c r="DX443" s="10"/>
      <c r="DY443" s="10"/>
      <c r="DZ443" s="10"/>
      <c r="EA443" s="10"/>
      <c r="EB443" s="10"/>
      <c r="EC443" s="10"/>
      <c r="ED443" s="10"/>
      <c r="EE443" s="10"/>
      <c r="EF443" s="10"/>
      <c r="EG443" s="10"/>
      <c r="EH443" s="10"/>
      <c r="EI443" s="10"/>
      <c r="EJ443" s="10"/>
      <c r="EK443" s="10"/>
      <c r="EL443" s="10"/>
      <c r="EM443" s="10"/>
      <c r="EN443" s="10"/>
      <c r="EO443" s="10"/>
      <c r="EP443" s="10"/>
      <c r="EQ443" s="10"/>
      <c r="ER443" s="10"/>
      <c r="ES443" s="10"/>
      <c r="ET443" s="10"/>
      <c r="EU443" s="10"/>
      <c r="EV443" s="10"/>
      <c r="EW443" s="10"/>
      <c r="EX443" s="10"/>
      <c r="EY443" s="10"/>
      <c r="EZ443" s="10"/>
      <c r="FA443" s="10"/>
      <c r="FB443" s="10"/>
      <c r="FC443" s="10"/>
      <c r="FD443" s="10"/>
      <c r="FE443" s="10"/>
      <c r="FF443" s="10"/>
      <c r="FG443" s="10"/>
      <c r="FH443" s="10"/>
      <c r="FI443" s="10"/>
      <c r="FJ443" s="10"/>
      <c r="FK443" s="10"/>
      <c r="FL443" s="10"/>
      <c r="FM443" s="10"/>
      <c r="FN443" s="10"/>
      <c r="FO443" s="10"/>
      <c r="FP443" s="10"/>
      <c r="FQ443" s="10"/>
      <c r="FR443" s="10"/>
      <c r="FS443" s="10"/>
      <c r="FT443" s="10"/>
      <c r="FU443" s="10"/>
      <c r="FV443" s="10"/>
      <c r="FW443" s="10"/>
      <c r="FX443" s="10"/>
      <c r="FY443" s="10"/>
      <c r="FZ443" s="10"/>
      <c r="GA443" s="10"/>
      <c r="GB443" s="10"/>
      <c r="GC443" s="10"/>
      <c r="GD443" s="10"/>
      <c r="GE443" s="10"/>
      <c r="GF443" s="10"/>
      <c r="GG443" s="10"/>
      <c r="GH443" s="10"/>
      <c r="GI443" s="10"/>
      <c r="GJ443" s="10"/>
      <c r="GK443" s="10"/>
    </row>
    <row r="444" customFormat="false" ht="12.75" hidden="false" customHeight="false" outlineLevel="0" collapsed="false">
      <c r="A444" s="7"/>
      <c r="B444" s="7"/>
      <c r="C444" s="8"/>
      <c r="D444" s="8"/>
      <c r="E444" s="8"/>
      <c r="F444" s="8"/>
      <c r="G444" s="9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  <c r="BT444" s="10"/>
      <c r="BU444" s="10"/>
      <c r="BV444" s="10"/>
      <c r="BW444" s="10"/>
      <c r="BX444" s="10"/>
      <c r="BY444" s="10"/>
      <c r="BZ444" s="10"/>
      <c r="CA444" s="10"/>
      <c r="CB444" s="10"/>
      <c r="CC444" s="10"/>
      <c r="CD444" s="10"/>
      <c r="CE444" s="10"/>
      <c r="CF444" s="10"/>
      <c r="CG444" s="10"/>
      <c r="CH444" s="10"/>
      <c r="CI444" s="10"/>
      <c r="CJ444" s="10"/>
      <c r="CK444" s="10"/>
      <c r="CL444" s="10"/>
      <c r="CM444" s="10"/>
      <c r="CN444" s="10"/>
      <c r="CO444" s="10"/>
      <c r="CP444" s="10"/>
      <c r="CQ444" s="10"/>
      <c r="CR444" s="10"/>
      <c r="CS444" s="10"/>
      <c r="CT444" s="10"/>
      <c r="CU444" s="10"/>
      <c r="CV444" s="10"/>
      <c r="CW444" s="10"/>
      <c r="CX444" s="10"/>
      <c r="CY444" s="10"/>
      <c r="CZ444" s="10"/>
      <c r="DA444" s="10"/>
      <c r="DB444" s="10"/>
      <c r="DC444" s="10"/>
      <c r="DD444" s="10"/>
      <c r="DE444" s="10"/>
      <c r="DF444" s="10"/>
      <c r="DG444" s="10"/>
      <c r="DH444" s="10"/>
      <c r="DI444" s="10"/>
      <c r="DJ444" s="10"/>
      <c r="DK444" s="10"/>
      <c r="DL444" s="10"/>
      <c r="DM444" s="10"/>
      <c r="DN444" s="10"/>
      <c r="DO444" s="10"/>
      <c r="DP444" s="10"/>
      <c r="DQ444" s="10"/>
      <c r="DR444" s="10"/>
      <c r="DS444" s="10"/>
      <c r="DT444" s="10"/>
      <c r="DU444" s="10"/>
      <c r="DV444" s="10"/>
      <c r="DW444" s="10"/>
      <c r="DX444" s="10"/>
      <c r="DY444" s="10"/>
      <c r="DZ444" s="10"/>
      <c r="EA444" s="10"/>
      <c r="EB444" s="10"/>
      <c r="EC444" s="10"/>
      <c r="ED444" s="10"/>
      <c r="EE444" s="10"/>
      <c r="EF444" s="10"/>
      <c r="EG444" s="10"/>
      <c r="EH444" s="10"/>
      <c r="EI444" s="10"/>
      <c r="EJ444" s="10"/>
      <c r="EK444" s="10"/>
      <c r="EL444" s="10"/>
      <c r="EM444" s="10"/>
      <c r="EN444" s="10"/>
      <c r="EO444" s="10"/>
      <c r="EP444" s="10"/>
      <c r="EQ444" s="10"/>
      <c r="ER444" s="10"/>
      <c r="ES444" s="10"/>
      <c r="ET444" s="10"/>
      <c r="EU444" s="10"/>
      <c r="EV444" s="10"/>
      <c r="EW444" s="10"/>
      <c r="EX444" s="10"/>
      <c r="EY444" s="10"/>
      <c r="EZ444" s="10"/>
      <c r="FA444" s="10"/>
      <c r="FB444" s="10"/>
      <c r="FC444" s="10"/>
      <c r="FD444" s="10"/>
      <c r="FE444" s="10"/>
      <c r="FF444" s="10"/>
      <c r="FG444" s="10"/>
      <c r="FH444" s="10"/>
      <c r="FI444" s="10"/>
      <c r="FJ444" s="10"/>
      <c r="FK444" s="10"/>
      <c r="FL444" s="10"/>
      <c r="FM444" s="10"/>
      <c r="FN444" s="10"/>
      <c r="FO444" s="10"/>
      <c r="FP444" s="10"/>
      <c r="FQ444" s="10"/>
      <c r="FR444" s="10"/>
      <c r="FS444" s="10"/>
      <c r="FT444" s="10"/>
      <c r="FU444" s="10"/>
      <c r="FV444" s="10"/>
      <c r="FW444" s="10"/>
      <c r="FX444" s="10"/>
      <c r="FY444" s="10"/>
      <c r="FZ444" s="10"/>
      <c r="GA444" s="10"/>
      <c r="GB444" s="10"/>
      <c r="GC444" s="10"/>
      <c r="GD444" s="10"/>
      <c r="GE444" s="10"/>
      <c r="GF444" s="10"/>
      <c r="GG444" s="10"/>
      <c r="GH444" s="10"/>
      <c r="GI444" s="10"/>
      <c r="GJ444" s="10"/>
      <c r="GK444" s="10"/>
    </row>
    <row r="445" customFormat="false" ht="12.75" hidden="false" customHeight="false" outlineLevel="0" collapsed="false">
      <c r="A445" s="7"/>
      <c r="B445" s="7"/>
      <c r="C445" s="8"/>
      <c r="D445" s="8"/>
      <c r="E445" s="8"/>
      <c r="F445" s="8"/>
      <c r="G445" s="9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  <c r="BT445" s="10"/>
      <c r="BU445" s="10"/>
      <c r="BV445" s="10"/>
      <c r="BW445" s="10"/>
      <c r="BX445" s="10"/>
      <c r="BY445" s="10"/>
      <c r="BZ445" s="10"/>
      <c r="CA445" s="10"/>
      <c r="CB445" s="10"/>
      <c r="CC445" s="10"/>
      <c r="CD445" s="10"/>
      <c r="CE445" s="10"/>
      <c r="CF445" s="10"/>
      <c r="CG445" s="10"/>
      <c r="CH445" s="10"/>
      <c r="CI445" s="10"/>
      <c r="CJ445" s="10"/>
      <c r="CK445" s="10"/>
      <c r="CL445" s="10"/>
      <c r="CM445" s="10"/>
      <c r="CN445" s="10"/>
      <c r="CO445" s="10"/>
      <c r="CP445" s="10"/>
      <c r="CQ445" s="10"/>
      <c r="CR445" s="10"/>
      <c r="CS445" s="10"/>
      <c r="CT445" s="10"/>
      <c r="CU445" s="10"/>
      <c r="CV445" s="10"/>
      <c r="CW445" s="10"/>
      <c r="CX445" s="10"/>
      <c r="CY445" s="10"/>
      <c r="CZ445" s="10"/>
      <c r="DA445" s="10"/>
      <c r="DB445" s="10"/>
      <c r="DC445" s="10"/>
      <c r="DD445" s="10"/>
      <c r="DE445" s="10"/>
      <c r="DF445" s="10"/>
      <c r="DG445" s="10"/>
      <c r="DH445" s="10"/>
      <c r="DI445" s="10"/>
      <c r="DJ445" s="10"/>
      <c r="DK445" s="10"/>
      <c r="DL445" s="10"/>
      <c r="DM445" s="10"/>
      <c r="DN445" s="10"/>
      <c r="DO445" s="10"/>
      <c r="DP445" s="10"/>
      <c r="DQ445" s="10"/>
      <c r="DR445" s="10"/>
      <c r="DS445" s="10"/>
      <c r="DT445" s="10"/>
      <c r="DU445" s="10"/>
      <c r="DV445" s="10"/>
      <c r="DW445" s="10"/>
      <c r="DX445" s="10"/>
      <c r="DY445" s="10"/>
      <c r="DZ445" s="10"/>
      <c r="EA445" s="10"/>
      <c r="EB445" s="10"/>
      <c r="EC445" s="10"/>
      <c r="ED445" s="10"/>
      <c r="EE445" s="10"/>
      <c r="EF445" s="10"/>
      <c r="EG445" s="10"/>
      <c r="EH445" s="10"/>
      <c r="EI445" s="10"/>
      <c r="EJ445" s="10"/>
      <c r="EK445" s="10"/>
      <c r="EL445" s="10"/>
      <c r="EM445" s="10"/>
      <c r="EN445" s="10"/>
      <c r="EO445" s="10"/>
      <c r="EP445" s="10"/>
      <c r="EQ445" s="10"/>
      <c r="ER445" s="10"/>
      <c r="ES445" s="10"/>
      <c r="ET445" s="10"/>
      <c r="EU445" s="10"/>
      <c r="EV445" s="10"/>
      <c r="EW445" s="10"/>
      <c r="EX445" s="10"/>
      <c r="EY445" s="10"/>
      <c r="EZ445" s="10"/>
      <c r="FA445" s="10"/>
      <c r="FB445" s="10"/>
      <c r="FC445" s="10"/>
      <c r="FD445" s="10"/>
      <c r="FE445" s="10"/>
      <c r="FF445" s="10"/>
      <c r="FG445" s="10"/>
      <c r="FH445" s="10"/>
      <c r="FI445" s="10"/>
      <c r="FJ445" s="10"/>
      <c r="FK445" s="10"/>
      <c r="FL445" s="10"/>
      <c r="FM445" s="10"/>
      <c r="FN445" s="10"/>
      <c r="FO445" s="10"/>
      <c r="FP445" s="10"/>
      <c r="FQ445" s="10"/>
      <c r="FR445" s="10"/>
      <c r="FS445" s="10"/>
      <c r="FT445" s="10"/>
      <c r="FU445" s="10"/>
      <c r="FV445" s="10"/>
      <c r="FW445" s="10"/>
      <c r="FX445" s="10"/>
      <c r="FY445" s="10"/>
      <c r="FZ445" s="10"/>
      <c r="GA445" s="10"/>
      <c r="GB445" s="10"/>
      <c r="GC445" s="10"/>
      <c r="GD445" s="10"/>
      <c r="GE445" s="10"/>
      <c r="GF445" s="10"/>
      <c r="GG445" s="10"/>
      <c r="GH445" s="10"/>
      <c r="GI445" s="10"/>
      <c r="GJ445" s="10"/>
      <c r="GK445" s="10"/>
    </row>
    <row r="446" customFormat="false" ht="12.75" hidden="false" customHeight="false" outlineLevel="0" collapsed="false">
      <c r="A446" s="7"/>
      <c r="B446" s="7"/>
      <c r="C446" s="8"/>
      <c r="D446" s="8"/>
      <c r="E446" s="8"/>
      <c r="F446" s="8"/>
      <c r="G446" s="9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/>
      <c r="BT446" s="10"/>
      <c r="BU446" s="10"/>
      <c r="BV446" s="10"/>
      <c r="BW446" s="10"/>
      <c r="BX446" s="10"/>
      <c r="BY446" s="10"/>
      <c r="BZ446" s="10"/>
      <c r="CA446" s="10"/>
      <c r="CB446" s="10"/>
      <c r="CC446" s="10"/>
      <c r="CD446" s="10"/>
      <c r="CE446" s="10"/>
      <c r="CF446" s="10"/>
      <c r="CG446" s="10"/>
      <c r="CH446" s="10"/>
      <c r="CI446" s="10"/>
      <c r="CJ446" s="10"/>
      <c r="CK446" s="10"/>
      <c r="CL446" s="10"/>
      <c r="CM446" s="10"/>
      <c r="CN446" s="10"/>
      <c r="CO446" s="10"/>
      <c r="CP446" s="10"/>
      <c r="CQ446" s="10"/>
      <c r="CR446" s="10"/>
      <c r="CS446" s="10"/>
      <c r="CT446" s="10"/>
      <c r="CU446" s="10"/>
      <c r="CV446" s="10"/>
      <c r="CW446" s="10"/>
      <c r="CX446" s="10"/>
      <c r="CY446" s="10"/>
      <c r="CZ446" s="10"/>
      <c r="DA446" s="10"/>
      <c r="DB446" s="10"/>
      <c r="DC446" s="10"/>
      <c r="DD446" s="10"/>
      <c r="DE446" s="10"/>
      <c r="DF446" s="10"/>
      <c r="DG446" s="10"/>
      <c r="DH446" s="10"/>
      <c r="DI446" s="10"/>
      <c r="DJ446" s="10"/>
      <c r="DK446" s="10"/>
      <c r="DL446" s="10"/>
      <c r="DM446" s="10"/>
      <c r="DN446" s="10"/>
      <c r="DO446" s="10"/>
      <c r="DP446" s="10"/>
      <c r="DQ446" s="10"/>
      <c r="DR446" s="10"/>
      <c r="DS446" s="10"/>
      <c r="DT446" s="10"/>
      <c r="DU446" s="10"/>
      <c r="DV446" s="10"/>
      <c r="DW446" s="10"/>
      <c r="DX446" s="10"/>
      <c r="DY446" s="10"/>
      <c r="DZ446" s="10"/>
      <c r="EA446" s="10"/>
      <c r="EB446" s="10"/>
      <c r="EC446" s="10"/>
      <c r="ED446" s="10"/>
      <c r="EE446" s="10"/>
      <c r="EF446" s="10"/>
      <c r="EG446" s="10"/>
      <c r="EH446" s="10"/>
      <c r="EI446" s="10"/>
      <c r="EJ446" s="10"/>
      <c r="EK446" s="10"/>
      <c r="EL446" s="10"/>
      <c r="EM446" s="10"/>
      <c r="EN446" s="10"/>
      <c r="EO446" s="10"/>
      <c r="EP446" s="10"/>
      <c r="EQ446" s="10"/>
      <c r="ER446" s="10"/>
      <c r="ES446" s="10"/>
      <c r="ET446" s="10"/>
      <c r="EU446" s="10"/>
      <c r="EV446" s="10"/>
      <c r="EW446" s="10"/>
      <c r="EX446" s="10"/>
      <c r="EY446" s="10"/>
      <c r="EZ446" s="10"/>
      <c r="FA446" s="10"/>
      <c r="FB446" s="10"/>
      <c r="FC446" s="10"/>
      <c r="FD446" s="10"/>
      <c r="FE446" s="10"/>
      <c r="FF446" s="10"/>
      <c r="FG446" s="10"/>
      <c r="FH446" s="10"/>
      <c r="FI446" s="10"/>
      <c r="FJ446" s="10"/>
      <c r="FK446" s="10"/>
      <c r="FL446" s="10"/>
      <c r="FM446" s="10"/>
      <c r="FN446" s="10"/>
      <c r="FO446" s="10"/>
      <c r="FP446" s="10"/>
      <c r="FQ446" s="10"/>
      <c r="FR446" s="10"/>
      <c r="FS446" s="10"/>
      <c r="FT446" s="10"/>
      <c r="FU446" s="10"/>
      <c r="FV446" s="10"/>
      <c r="FW446" s="10"/>
      <c r="FX446" s="10"/>
      <c r="FY446" s="10"/>
      <c r="FZ446" s="10"/>
      <c r="GA446" s="10"/>
      <c r="GB446" s="10"/>
      <c r="GC446" s="10"/>
      <c r="GD446" s="10"/>
      <c r="GE446" s="10"/>
      <c r="GF446" s="10"/>
      <c r="GG446" s="10"/>
      <c r="GH446" s="10"/>
      <c r="GI446" s="10"/>
      <c r="GJ446" s="10"/>
      <c r="GK446" s="10"/>
    </row>
    <row r="447" customFormat="false" ht="12.75" hidden="false" customHeight="false" outlineLevel="0" collapsed="false">
      <c r="A447" s="7"/>
      <c r="B447" s="7"/>
      <c r="C447" s="8"/>
      <c r="D447" s="8"/>
      <c r="E447" s="8"/>
      <c r="F447" s="8"/>
      <c r="G447" s="9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0"/>
      <c r="BT447" s="10"/>
      <c r="BU447" s="10"/>
      <c r="BV447" s="10"/>
      <c r="BW447" s="10"/>
      <c r="BX447" s="10"/>
      <c r="BY447" s="10"/>
      <c r="BZ447" s="10"/>
      <c r="CA447" s="10"/>
      <c r="CB447" s="10"/>
      <c r="CC447" s="10"/>
      <c r="CD447" s="10"/>
      <c r="CE447" s="10"/>
      <c r="CF447" s="10"/>
      <c r="CG447" s="10"/>
      <c r="CH447" s="10"/>
      <c r="CI447" s="10"/>
      <c r="CJ447" s="10"/>
      <c r="CK447" s="10"/>
      <c r="CL447" s="10"/>
      <c r="CM447" s="10"/>
      <c r="CN447" s="10"/>
      <c r="CO447" s="10"/>
      <c r="CP447" s="10"/>
      <c r="CQ447" s="10"/>
      <c r="CR447" s="10"/>
      <c r="CS447" s="10"/>
      <c r="CT447" s="10"/>
      <c r="CU447" s="10"/>
      <c r="CV447" s="10"/>
      <c r="CW447" s="10"/>
      <c r="CX447" s="10"/>
      <c r="CY447" s="10"/>
      <c r="CZ447" s="10"/>
      <c r="DA447" s="10"/>
      <c r="DB447" s="10"/>
      <c r="DC447" s="10"/>
      <c r="DD447" s="10"/>
      <c r="DE447" s="10"/>
      <c r="DF447" s="10"/>
      <c r="DG447" s="10"/>
      <c r="DH447" s="10"/>
      <c r="DI447" s="10"/>
      <c r="DJ447" s="10"/>
      <c r="DK447" s="10"/>
      <c r="DL447" s="10"/>
      <c r="DM447" s="10"/>
      <c r="DN447" s="10"/>
      <c r="DO447" s="10"/>
      <c r="DP447" s="10"/>
      <c r="DQ447" s="10"/>
      <c r="DR447" s="10"/>
      <c r="DS447" s="10"/>
      <c r="DT447" s="10"/>
      <c r="DU447" s="10"/>
      <c r="DV447" s="10"/>
      <c r="DW447" s="10"/>
      <c r="DX447" s="10"/>
      <c r="DY447" s="10"/>
      <c r="DZ447" s="10"/>
      <c r="EA447" s="10"/>
      <c r="EB447" s="10"/>
      <c r="EC447" s="10"/>
      <c r="ED447" s="10"/>
      <c r="EE447" s="10"/>
      <c r="EF447" s="10"/>
      <c r="EG447" s="10"/>
      <c r="EH447" s="10"/>
      <c r="EI447" s="10"/>
      <c r="EJ447" s="10"/>
      <c r="EK447" s="10"/>
      <c r="EL447" s="10"/>
      <c r="EM447" s="10"/>
      <c r="EN447" s="10"/>
      <c r="EO447" s="10"/>
      <c r="EP447" s="10"/>
      <c r="EQ447" s="10"/>
      <c r="ER447" s="10"/>
      <c r="ES447" s="10"/>
      <c r="ET447" s="10"/>
      <c r="EU447" s="10"/>
      <c r="EV447" s="10"/>
      <c r="EW447" s="10"/>
      <c r="EX447" s="10"/>
      <c r="EY447" s="10"/>
      <c r="EZ447" s="10"/>
      <c r="FA447" s="10"/>
      <c r="FB447" s="10"/>
      <c r="FC447" s="10"/>
      <c r="FD447" s="10"/>
      <c r="FE447" s="10"/>
      <c r="FF447" s="10"/>
      <c r="FG447" s="10"/>
      <c r="FH447" s="10"/>
      <c r="FI447" s="10"/>
      <c r="FJ447" s="10"/>
      <c r="FK447" s="10"/>
      <c r="FL447" s="10"/>
      <c r="FM447" s="10"/>
      <c r="FN447" s="10"/>
      <c r="FO447" s="10"/>
      <c r="FP447" s="10"/>
      <c r="FQ447" s="10"/>
      <c r="FR447" s="10"/>
      <c r="FS447" s="10"/>
      <c r="FT447" s="10"/>
      <c r="FU447" s="10"/>
      <c r="FV447" s="10"/>
      <c r="FW447" s="10"/>
      <c r="FX447" s="10"/>
      <c r="FY447" s="10"/>
      <c r="FZ447" s="10"/>
      <c r="GA447" s="10"/>
      <c r="GB447" s="10"/>
      <c r="GC447" s="10"/>
      <c r="GD447" s="10"/>
      <c r="GE447" s="10"/>
      <c r="GF447" s="10"/>
      <c r="GG447" s="10"/>
      <c r="GH447" s="10"/>
      <c r="GI447" s="10"/>
      <c r="GJ447" s="10"/>
      <c r="GK447" s="10"/>
    </row>
    <row r="448" customFormat="false" ht="12.75" hidden="false" customHeight="false" outlineLevel="0" collapsed="false">
      <c r="A448" s="7"/>
      <c r="B448" s="7"/>
      <c r="C448" s="8"/>
      <c r="D448" s="8"/>
      <c r="E448" s="8"/>
      <c r="F448" s="8"/>
      <c r="G448" s="9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0"/>
      <c r="BT448" s="10"/>
      <c r="BU448" s="10"/>
      <c r="BV448" s="10"/>
      <c r="BW448" s="10"/>
      <c r="BX448" s="10"/>
      <c r="BY448" s="10"/>
      <c r="BZ448" s="10"/>
      <c r="CA448" s="10"/>
      <c r="CB448" s="10"/>
      <c r="CC448" s="10"/>
      <c r="CD448" s="10"/>
      <c r="CE448" s="10"/>
      <c r="CF448" s="10"/>
      <c r="CG448" s="10"/>
      <c r="CH448" s="10"/>
      <c r="CI448" s="10"/>
      <c r="CJ448" s="10"/>
      <c r="CK448" s="10"/>
      <c r="CL448" s="10"/>
      <c r="CM448" s="10"/>
      <c r="CN448" s="10"/>
      <c r="CO448" s="10"/>
      <c r="CP448" s="10"/>
      <c r="CQ448" s="10"/>
      <c r="CR448" s="10"/>
      <c r="CS448" s="10"/>
      <c r="CT448" s="10"/>
      <c r="CU448" s="10"/>
      <c r="CV448" s="10"/>
      <c r="CW448" s="10"/>
      <c r="CX448" s="10"/>
      <c r="CY448" s="10"/>
      <c r="CZ448" s="10"/>
      <c r="DA448" s="10"/>
      <c r="DB448" s="10"/>
      <c r="DC448" s="10"/>
      <c r="DD448" s="10"/>
      <c r="DE448" s="10"/>
      <c r="DF448" s="10"/>
      <c r="DG448" s="10"/>
      <c r="DH448" s="10"/>
      <c r="DI448" s="10"/>
      <c r="DJ448" s="10"/>
      <c r="DK448" s="10"/>
      <c r="DL448" s="10"/>
      <c r="DM448" s="10"/>
      <c r="DN448" s="10"/>
      <c r="DO448" s="10"/>
      <c r="DP448" s="10"/>
      <c r="DQ448" s="10"/>
      <c r="DR448" s="10"/>
      <c r="DS448" s="10"/>
      <c r="DT448" s="10"/>
      <c r="DU448" s="10"/>
      <c r="DV448" s="10"/>
      <c r="DW448" s="10"/>
      <c r="DX448" s="10"/>
      <c r="DY448" s="10"/>
      <c r="DZ448" s="10"/>
      <c r="EA448" s="10"/>
      <c r="EB448" s="10"/>
      <c r="EC448" s="10"/>
      <c r="ED448" s="10"/>
      <c r="EE448" s="10"/>
      <c r="EF448" s="10"/>
      <c r="EG448" s="10"/>
      <c r="EH448" s="10"/>
      <c r="EI448" s="10"/>
      <c r="EJ448" s="10"/>
      <c r="EK448" s="10"/>
      <c r="EL448" s="10"/>
      <c r="EM448" s="10"/>
      <c r="EN448" s="10"/>
      <c r="EO448" s="10"/>
      <c r="EP448" s="10"/>
      <c r="EQ448" s="10"/>
      <c r="ER448" s="10"/>
      <c r="ES448" s="10"/>
      <c r="ET448" s="10"/>
      <c r="EU448" s="10"/>
      <c r="EV448" s="10"/>
      <c r="EW448" s="10"/>
      <c r="EX448" s="10"/>
      <c r="EY448" s="10"/>
      <c r="EZ448" s="10"/>
      <c r="FA448" s="10"/>
      <c r="FB448" s="10"/>
      <c r="FC448" s="10"/>
      <c r="FD448" s="10"/>
      <c r="FE448" s="10"/>
      <c r="FF448" s="10"/>
      <c r="FG448" s="10"/>
      <c r="FH448" s="10"/>
      <c r="FI448" s="10"/>
      <c r="FJ448" s="10"/>
      <c r="FK448" s="10"/>
      <c r="FL448" s="10"/>
      <c r="FM448" s="10"/>
      <c r="FN448" s="10"/>
      <c r="FO448" s="10"/>
      <c r="FP448" s="10"/>
      <c r="FQ448" s="10"/>
      <c r="FR448" s="10"/>
      <c r="FS448" s="10"/>
      <c r="FT448" s="10"/>
      <c r="FU448" s="10"/>
      <c r="FV448" s="10"/>
      <c r="FW448" s="10"/>
      <c r="FX448" s="10"/>
      <c r="FY448" s="10"/>
      <c r="FZ448" s="10"/>
      <c r="GA448" s="10"/>
      <c r="GB448" s="10"/>
      <c r="GC448" s="10"/>
      <c r="GD448" s="10"/>
      <c r="GE448" s="10"/>
      <c r="GF448" s="10"/>
      <c r="GG448" s="10"/>
      <c r="GH448" s="10"/>
      <c r="GI448" s="10"/>
      <c r="GJ448" s="10"/>
      <c r="GK448" s="10"/>
    </row>
    <row r="449" customFormat="false" ht="12.75" hidden="false" customHeight="false" outlineLevel="0" collapsed="false">
      <c r="A449" s="7"/>
      <c r="B449" s="7"/>
      <c r="C449" s="8"/>
      <c r="D449" s="8"/>
      <c r="E449" s="8"/>
      <c r="F449" s="8"/>
      <c r="G449" s="9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0"/>
      <c r="BT449" s="10"/>
      <c r="BU449" s="10"/>
      <c r="BV449" s="10"/>
      <c r="BW449" s="10"/>
      <c r="BX449" s="10"/>
      <c r="BY449" s="10"/>
      <c r="BZ449" s="10"/>
      <c r="CA449" s="10"/>
      <c r="CB449" s="10"/>
      <c r="CC449" s="10"/>
      <c r="CD449" s="10"/>
      <c r="CE449" s="10"/>
      <c r="CF449" s="10"/>
      <c r="CG449" s="10"/>
      <c r="CH449" s="10"/>
      <c r="CI449" s="10"/>
      <c r="CJ449" s="10"/>
      <c r="CK449" s="10"/>
      <c r="CL449" s="10"/>
      <c r="CM449" s="10"/>
      <c r="CN449" s="10"/>
      <c r="CO449" s="10"/>
      <c r="CP449" s="10"/>
      <c r="CQ449" s="10"/>
      <c r="CR449" s="10"/>
      <c r="CS449" s="10"/>
      <c r="CT449" s="10"/>
      <c r="CU449" s="10"/>
      <c r="CV449" s="10"/>
      <c r="CW449" s="10"/>
      <c r="CX449" s="10"/>
      <c r="CY449" s="10"/>
      <c r="CZ449" s="10"/>
      <c r="DA449" s="10"/>
      <c r="DB449" s="10"/>
      <c r="DC449" s="10"/>
      <c r="DD449" s="10"/>
      <c r="DE449" s="10"/>
      <c r="DF449" s="10"/>
      <c r="DG449" s="10"/>
      <c r="DH449" s="10"/>
      <c r="DI449" s="10"/>
      <c r="DJ449" s="10"/>
      <c r="DK449" s="10"/>
      <c r="DL449" s="10"/>
      <c r="DM449" s="10"/>
      <c r="DN449" s="10"/>
      <c r="DO449" s="10"/>
      <c r="DP449" s="10"/>
      <c r="DQ449" s="10"/>
      <c r="DR449" s="10"/>
      <c r="DS449" s="10"/>
      <c r="DT449" s="10"/>
      <c r="DU449" s="10"/>
      <c r="DV449" s="10"/>
      <c r="DW449" s="10"/>
      <c r="DX449" s="10"/>
      <c r="DY449" s="10"/>
      <c r="DZ449" s="10"/>
      <c r="EA449" s="10"/>
      <c r="EB449" s="10"/>
      <c r="EC449" s="10"/>
      <c r="ED449" s="10"/>
      <c r="EE449" s="10"/>
      <c r="EF449" s="10"/>
      <c r="EG449" s="10"/>
      <c r="EH449" s="10"/>
      <c r="EI449" s="10"/>
      <c r="EJ449" s="10"/>
      <c r="EK449" s="10"/>
      <c r="EL449" s="10"/>
      <c r="EM449" s="10"/>
      <c r="EN449" s="10"/>
      <c r="EO449" s="10"/>
      <c r="EP449" s="10"/>
      <c r="EQ449" s="10"/>
      <c r="ER449" s="10"/>
      <c r="ES449" s="10"/>
      <c r="ET449" s="10"/>
      <c r="EU449" s="10"/>
      <c r="EV449" s="10"/>
      <c r="EW449" s="10"/>
      <c r="EX449" s="10"/>
      <c r="EY449" s="10"/>
      <c r="EZ449" s="10"/>
      <c r="FA449" s="10"/>
      <c r="FB449" s="10"/>
      <c r="FC449" s="10"/>
      <c r="FD449" s="10"/>
      <c r="FE449" s="10"/>
      <c r="FF449" s="10"/>
      <c r="FG449" s="10"/>
      <c r="FH449" s="10"/>
      <c r="FI449" s="10"/>
      <c r="FJ449" s="10"/>
      <c r="FK449" s="10"/>
      <c r="FL449" s="10"/>
      <c r="FM449" s="10"/>
      <c r="FN449" s="10"/>
      <c r="FO449" s="10"/>
      <c r="FP449" s="10"/>
      <c r="FQ449" s="10"/>
      <c r="FR449" s="10"/>
      <c r="FS449" s="10"/>
      <c r="FT449" s="10"/>
      <c r="FU449" s="10"/>
      <c r="FV449" s="10"/>
      <c r="FW449" s="10"/>
      <c r="FX449" s="10"/>
      <c r="FY449" s="10"/>
      <c r="FZ449" s="10"/>
      <c r="GA449" s="10"/>
      <c r="GB449" s="10"/>
      <c r="GC449" s="10"/>
      <c r="GD449" s="10"/>
      <c r="GE449" s="10"/>
      <c r="GF449" s="10"/>
      <c r="GG449" s="10"/>
      <c r="GH449" s="10"/>
      <c r="GI449" s="10"/>
      <c r="GJ449" s="10"/>
      <c r="GK449" s="10"/>
    </row>
    <row r="450" customFormat="false" ht="12.75" hidden="false" customHeight="false" outlineLevel="0" collapsed="false">
      <c r="A450" s="7"/>
      <c r="B450" s="7"/>
      <c r="C450" s="8"/>
      <c r="D450" s="8"/>
      <c r="E450" s="8"/>
      <c r="F450" s="8"/>
      <c r="G450" s="9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0"/>
      <c r="BT450" s="10"/>
      <c r="BU450" s="10"/>
      <c r="BV450" s="10"/>
      <c r="BW450" s="10"/>
      <c r="BX450" s="10"/>
      <c r="BY450" s="10"/>
      <c r="BZ450" s="10"/>
      <c r="CA450" s="10"/>
      <c r="CB450" s="10"/>
      <c r="CC450" s="10"/>
      <c r="CD450" s="10"/>
      <c r="CE450" s="10"/>
      <c r="CF450" s="10"/>
      <c r="CG450" s="10"/>
      <c r="CH450" s="10"/>
      <c r="CI450" s="10"/>
      <c r="CJ450" s="10"/>
      <c r="CK450" s="10"/>
      <c r="CL450" s="10"/>
      <c r="CM450" s="10"/>
      <c r="CN450" s="10"/>
      <c r="CO450" s="10"/>
      <c r="CP450" s="10"/>
      <c r="CQ450" s="10"/>
      <c r="CR450" s="10"/>
      <c r="CS450" s="10"/>
      <c r="CT450" s="10"/>
      <c r="CU450" s="10"/>
      <c r="CV450" s="10"/>
      <c r="CW450" s="10"/>
      <c r="CX450" s="10"/>
      <c r="CY450" s="10"/>
      <c r="CZ450" s="10"/>
      <c r="DA450" s="10"/>
      <c r="DB450" s="10"/>
      <c r="DC450" s="10"/>
      <c r="DD450" s="10"/>
      <c r="DE450" s="10"/>
      <c r="DF450" s="10"/>
      <c r="DG450" s="10"/>
      <c r="DH450" s="10"/>
      <c r="DI450" s="10"/>
      <c r="DJ450" s="10"/>
      <c r="DK450" s="10"/>
      <c r="DL450" s="10"/>
      <c r="DM450" s="10"/>
      <c r="DN450" s="10"/>
      <c r="DO450" s="10"/>
      <c r="DP450" s="10"/>
      <c r="DQ450" s="10"/>
      <c r="DR450" s="10"/>
      <c r="DS450" s="10"/>
      <c r="DT450" s="10"/>
      <c r="DU450" s="10"/>
      <c r="DV450" s="10"/>
      <c r="DW450" s="10"/>
      <c r="DX450" s="10"/>
      <c r="DY450" s="10"/>
      <c r="DZ450" s="10"/>
      <c r="EA450" s="10"/>
      <c r="EB450" s="10"/>
      <c r="EC450" s="10"/>
      <c r="ED450" s="10"/>
      <c r="EE450" s="10"/>
      <c r="EF450" s="10"/>
      <c r="EG450" s="10"/>
      <c r="EH450" s="10"/>
      <c r="EI450" s="10"/>
      <c r="EJ450" s="10"/>
      <c r="EK450" s="10"/>
      <c r="EL450" s="10"/>
      <c r="EM450" s="10"/>
      <c r="EN450" s="10"/>
      <c r="EO450" s="10"/>
      <c r="EP450" s="10"/>
      <c r="EQ450" s="10"/>
      <c r="ER450" s="10"/>
      <c r="ES450" s="10"/>
      <c r="ET450" s="10"/>
      <c r="EU450" s="10"/>
      <c r="EV450" s="10"/>
      <c r="EW450" s="10"/>
      <c r="EX450" s="10"/>
      <c r="EY450" s="10"/>
      <c r="EZ450" s="10"/>
      <c r="FA450" s="10"/>
      <c r="FB450" s="10"/>
      <c r="FC450" s="10"/>
      <c r="FD450" s="10"/>
      <c r="FE450" s="10"/>
      <c r="FF450" s="10"/>
      <c r="FG450" s="10"/>
      <c r="FH450" s="10"/>
      <c r="FI450" s="10"/>
      <c r="FJ450" s="10"/>
      <c r="FK450" s="10"/>
      <c r="FL450" s="10"/>
      <c r="FM450" s="10"/>
      <c r="FN450" s="10"/>
      <c r="FO450" s="10"/>
      <c r="FP450" s="10"/>
      <c r="FQ450" s="10"/>
      <c r="FR450" s="10"/>
      <c r="FS450" s="10"/>
      <c r="FT450" s="10"/>
      <c r="FU450" s="10"/>
      <c r="FV450" s="10"/>
      <c r="FW450" s="10"/>
      <c r="FX450" s="10"/>
      <c r="FY450" s="10"/>
      <c r="FZ450" s="10"/>
      <c r="GA450" s="10"/>
      <c r="GB450" s="10"/>
      <c r="GC450" s="10"/>
      <c r="GD450" s="10"/>
      <c r="GE450" s="10"/>
      <c r="GF450" s="10"/>
      <c r="GG450" s="10"/>
      <c r="GH450" s="10"/>
      <c r="GI450" s="10"/>
      <c r="GJ450" s="10"/>
      <c r="GK450" s="10"/>
    </row>
    <row r="451" customFormat="false" ht="12.75" hidden="false" customHeight="false" outlineLevel="0" collapsed="false">
      <c r="A451" s="7"/>
      <c r="B451" s="7"/>
      <c r="C451" s="8"/>
      <c r="D451" s="8"/>
      <c r="E451" s="8"/>
      <c r="F451" s="8"/>
      <c r="G451" s="9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  <c r="BT451" s="10"/>
      <c r="BU451" s="10"/>
      <c r="BV451" s="10"/>
      <c r="BW451" s="10"/>
      <c r="BX451" s="10"/>
      <c r="BY451" s="10"/>
      <c r="BZ451" s="10"/>
      <c r="CA451" s="10"/>
      <c r="CB451" s="10"/>
      <c r="CC451" s="10"/>
      <c r="CD451" s="10"/>
      <c r="CE451" s="10"/>
      <c r="CF451" s="10"/>
      <c r="CG451" s="10"/>
      <c r="CH451" s="10"/>
      <c r="CI451" s="10"/>
      <c r="CJ451" s="10"/>
      <c r="CK451" s="10"/>
      <c r="CL451" s="10"/>
      <c r="CM451" s="10"/>
      <c r="CN451" s="10"/>
      <c r="CO451" s="10"/>
      <c r="CP451" s="10"/>
      <c r="CQ451" s="10"/>
      <c r="CR451" s="10"/>
      <c r="CS451" s="10"/>
      <c r="CT451" s="10"/>
      <c r="CU451" s="10"/>
      <c r="CV451" s="10"/>
      <c r="CW451" s="10"/>
      <c r="CX451" s="10"/>
      <c r="CY451" s="10"/>
      <c r="CZ451" s="10"/>
      <c r="DA451" s="10"/>
      <c r="DB451" s="10"/>
      <c r="DC451" s="10"/>
      <c r="DD451" s="10"/>
      <c r="DE451" s="10"/>
      <c r="DF451" s="10"/>
      <c r="DG451" s="10"/>
      <c r="DH451" s="10"/>
      <c r="DI451" s="10"/>
      <c r="DJ451" s="10"/>
      <c r="DK451" s="10"/>
      <c r="DL451" s="10"/>
      <c r="DM451" s="10"/>
      <c r="DN451" s="10"/>
      <c r="DO451" s="10"/>
      <c r="DP451" s="10"/>
      <c r="DQ451" s="10"/>
      <c r="DR451" s="10"/>
      <c r="DS451" s="10"/>
      <c r="DT451" s="10"/>
      <c r="DU451" s="10"/>
      <c r="DV451" s="10"/>
      <c r="DW451" s="10"/>
      <c r="DX451" s="10"/>
      <c r="DY451" s="10"/>
      <c r="DZ451" s="10"/>
      <c r="EA451" s="10"/>
      <c r="EB451" s="10"/>
      <c r="EC451" s="10"/>
      <c r="ED451" s="10"/>
      <c r="EE451" s="10"/>
      <c r="EF451" s="10"/>
      <c r="EG451" s="10"/>
      <c r="EH451" s="10"/>
      <c r="EI451" s="10"/>
      <c r="EJ451" s="10"/>
      <c r="EK451" s="10"/>
      <c r="EL451" s="10"/>
      <c r="EM451" s="10"/>
      <c r="EN451" s="10"/>
      <c r="EO451" s="10"/>
      <c r="EP451" s="10"/>
      <c r="EQ451" s="10"/>
      <c r="ER451" s="10"/>
      <c r="ES451" s="10"/>
      <c r="ET451" s="10"/>
      <c r="EU451" s="10"/>
      <c r="EV451" s="10"/>
      <c r="EW451" s="10"/>
      <c r="EX451" s="10"/>
      <c r="EY451" s="10"/>
      <c r="EZ451" s="10"/>
      <c r="FA451" s="10"/>
      <c r="FB451" s="10"/>
      <c r="FC451" s="10"/>
      <c r="FD451" s="10"/>
      <c r="FE451" s="10"/>
      <c r="FF451" s="10"/>
      <c r="FG451" s="10"/>
      <c r="FH451" s="10"/>
      <c r="FI451" s="10"/>
      <c r="FJ451" s="10"/>
      <c r="FK451" s="10"/>
      <c r="FL451" s="10"/>
      <c r="FM451" s="10"/>
      <c r="FN451" s="10"/>
      <c r="FO451" s="10"/>
      <c r="FP451" s="10"/>
      <c r="FQ451" s="10"/>
      <c r="FR451" s="10"/>
      <c r="FS451" s="10"/>
      <c r="FT451" s="10"/>
      <c r="FU451" s="10"/>
      <c r="FV451" s="10"/>
      <c r="FW451" s="10"/>
      <c r="FX451" s="10"/>
      <c r="FY451" s="10"/>
      <c r="FZ451" s="10"/>
      <c r="GA451" s="10"/>
      <c r="GB451" s="10"/>
      <c r="GC451" s="10"/>
      <c r="GD451" s="10"/>
      <c r="GE451" s="10"/>
      <c r="GF451" s="10"/>
      <c r="GG451" s="10"/>
      <c r="GH451" s="10"/>
      <c r="GI451" s="10"/>
      <c r="GJ451" s="10"/>
      <c r="GK451" s="10"/>
    </row>
    <row r="452" customFormat="false" ht="12.75" hidden="false" customHeight="false" outlineLevel="0" collapsed="false">
      <c r="A452" s="7"/>
      <c r="B452" s="7"/>
      <c r="C452" s="8"/>
      <c r="D452" s="8"/>
      <c r="E452" s="8"/>
      <c r="F452" s="8"/>
      <c r="G452" s="9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  <c r="BT452" s="10"/>
      <c r="BU452" s="10"/>
      <c r="BV452" s="10"/>
      <c r="BW452" s="10"/>
      <c r="BX452" s="10"/>
      <c r="BY452" s="10"/>
      <c r="BZ452" s="10"/>
      <c r="CA452" s="10"/>
      <c r="CB452" s="10"/>
      <c r="CC452" s="10"/>
      <c r="CD452" s="10"/>
      <c r="CE452" s="10"/>
      <c r="CF452" s="10"/>
      <c r="CG452" s="10"/>
      <c r="CH452" s="10"/>
      <c r="CI452" s="10"/>
      <c r="CJ452" s="10"/>
      <c r="CK452" s="10"/>
      <c r="CL452" s="10"/>
      <c r="CM452" s="10"/>
      <c r="CN452" s="10"/>
      <c r="CO452" s="10"/>
      <c r="CP452" s="10"/>
      <c r="CQ452" s="10"/>
      <c r="CR452" s="10"/>
      <c r="CS452" s="10"/>
      <c r="CT452" s="10"/>
      <c r="CU452" s="10"/>
      <c r="CV452" s="10"/>
      <c r="CW452" s="10"/>
      <c r="CX452" s="10"/>
      <c r="CY452" s="10"/>
      <c r="CZ452" s="10"/>
      <c r="DA452" s="10"/>
      <c r="DB452" s="10"/>
      <c r="DC452" s="10"/>
      <c r="DD452" s="10"/>
      <c r="DE452" s="10"/>
      <c r="DF452" s="10"/>
      <c r="DG452" s="10"/>
      <c r="DH452" s="10"/>
      <c r="DI452" s="10"/>
      <c r="DJ452" s="10"/>
      <c r="DK452" s="10"/>
      <c r="DL452" s="10"/>
      <c r="DM452" s="10"/>
      <c r="DN452" s="10"/>
      <c r="DO452" s="10"/>
      <c r="DP452" s="10"/>
      <c r="DQ452" s="10"/>
      <c r="DR452" s="10"/>
      <c r="DS452" s="10"/>
      <c r="DT452" s="10"/>
      <c r="DU452" s="10"/>
      <c r="DV452" s="10"/>
      <c r="DW452" s="10"/>
      <c r="DX452" s="10"/>
      <c r="DY452" s="10"/>
      <c r="DZ452" s="10"/>
      <c r="EA452" s="10"/>
      <c r="EB452" s="10"/>
      <c r="EC452" s="10"/>
      <c r="ED452" s="10"/>
      <c r="EE452" s="10"/>
      <c r="EF452" s="10"/>
      <c r="EG452" s="10"/>
      <c r="EH452" s="10"/>
      <c r="EI452" s="10"/>
      <c r="EJ452" s="10"/>
      <c r="EK452" s="10"/>
      <c r="EL452" s="10"/>
      <c r="EM452" s="10"/>
      <c r="EN452" s="10"/>
      <c r="EO452" s="10"/>
      <c r="EP452" s="10"/>
      <c r="EQ452" s="10"/>
      <c r="ER452" s="10"/>
      <c r="ES452" s="10"/>
      <c r="ET452" s="10"/>
      <c r="EU452" s="10"/>
      <c r="EV452" s="10"/>
      <c r="EW452" s="10"/>
      <c r="EX452" s="10"/>
      <c r="EY452" s="10"/>
      <c r="EZ452" s="10"/>
      <c r="FA452" s="10"/>
      <c r="FB452" s="10"/>
      <c r="FC452" s="10"/>
      <c r="FD452" s="10"/>
      <c r="FE452" s="10"/>
      <c r="FF452" s="10"/>
      <c r="FG452" s="10"/>
      <c r="FH452" s="10"/>
      <c r="FI452" s="10"/>
      <c r="FJ452" s="10"/>
      <c r="FK452" s="10"/>
      <c r="FL452" s="10"/>
      <c r="FM452" s="10"/>
      <c r="FN452" s="10"/>
      <c r="FO452" s="10"/>
      <c r="FP452" s="10"/>
      <c r="FQ452" s="10"/>
      <c r="FR452" s="10"/>
      <c r="FS452" s="10"/>
      <c r="FT452" s="10"/>
      <c r="FU452" s="10"/>
      <c r="FV452" s="10"/>
      <c r="FW452" s="10"/>
      <c r="FX452" s="10"/>
      <c r="FY452" s="10"/>
      <c r="FZ452" s="10"/>
      <c r="GA452" s="10"/>
      <c r="GB452" s="10"/>
      <c r="GC452" s="10"/>
      <c r="GD452" s="10"/>
      <c r="GE452" s="10"/>
      <c r="GF452" s="10"/>
      <c r="GG452" s="10"/>
      <c r="GH452" s="10"/>
      <c r="GI452" s="10"/>
      <c r="GJ452" s="10"/>
      <c r="GK452" s="10"/>
    </row>
    <row r="453" customFormat="false" ht="12.75" hidden="false" customHeight="false" outlineLevel="0" collapsed="false">
      <c r="A453" s="7"/>
      <c r="B453" s="7"/>
      <c r="C453" s="8"/>
      <c r="D453" s="8"/>
      <c r="E453" s="8"/>
      <c r="F453" s="8"/>
      <c r="G453" s="9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0"/>
      <c r="BT453" s="10"/>
      <c r="BU453" s="10"/>
      <c r="BV453" s="10"/>
      <c r="BW453" s="10"/>
      <c r="BX453" s="10"/>
      <c r="BY453" s="10"/>
      <c r="BZ453" s="10"/>
      <c r="CA453" s="10"/>
      <c r="CB453" s="10"/>
      <c r="CC453" s="10"/>
      <c r="CD453" s="10"/>
      <c r="CE453" s="10"/>
      <c r="CF453" s="10"/>
      <c r="CG453" s="10"/>
      <c r="CH453" s="10"/>
      <c r="CI453" s="10"/>
      <c r="CJ453" s="10"/>
      <c r="CK453" s="10"/>
      <c r="CL453" s="10"/>
      <c r="CM453" s="10"/>
      <c r="CN453" s="10"/>
      <c r="CO453" s="10"/>
      <c r="CP453" s="10"/>
      <c r="CQ453" s="10"/>
      <c r="CR453" s="10"/>
      <c r="CS453" s="10"/>
      <c r="CT453" s="10"/>
      <c r="CU453" s="10"/>
      <c r="CV453" s="10"/>
      <c r="CW453" s="10"/>
      <c r="CX453" s="10"/>
      <c r="CY453" s="10"/>
      <c r="CZ453" s="10"/>
      <c r="DA453" s="10"/>
      <c r="DB453" s="10"/>
      <c r="DC453" s="10"/>
      <c r="DD453" s="10"/>
      <c r="DE453" s="10"/>
      <c r="DF453" s="10"/>
      <c r="DG453" s="10"/>
      <c r="DH453" s="10"/>
      <c r="DI453" s="10"/>
      <c r="DJ453" s="10"/>
      <c r="DK453" s="10"/>
      <c r="DL453" s="10"/>
      <c r="DM453" s="10"/>
      <c r="DN453" s="10"/>
      <c r="DO453" s="10"/>
      <c r="DP453" s="10"/>
      <c r="DQ453" s="10"/>
      <c r="DR453" s="10"/>
      <c r="DS453" s="10"/>
      <c r="DT453" s="10"/>
      <c r="DU453" s="10"/>
      <c r="DV453" s="10"/>
      <c r="DW453" s="10"/>
      <c r="DX453" s="10"/>
      <c r="DY453" s="10"/>
      <c r="DZ453" s="10"/>
      <c r="EA453" s="10"/>
      <c r="EB453" s="10"/>
      <c r="EC453" s="10"/>
      <c r="ED453" s="10"/>
      <c r="EE453" s="10"/>
      <c r="EF453" s="10"/>
      <c r="EG453" s="10"/>
      <c r="EH453" s="10"/>
      <c r="EI453" s="10"/>
      <c r="EJ453" s="10"/>
      <c r="EK453" s="10"/>
      <c r="EL453" s="10"/>
      <c r="EM453" s="10"/>
      <c r="EN453" s="10"/>
      <c r="EO453" s="10"/>
      <c r="EP453" s="10"/>
      <c r="EQ453" s="10"/>
      <c r="ER453" s="10"/>
      <c r="ES453" s="10"/>
      <c r="ET453" s="10"/>
      <c r="EU453" s="10"/>
      <c r="EV453" s="10"/>
      <c r="EW453" s="10"/>
      <c r="EX453" s="10"/>
      <c r="EY453" s="10"/>
      <c r="EZ453" s="10"/>
      <c r="FA453" s="10"/>
      <c r="FB453" s="10"/>
      <c r="FC453" s="10"/>
      <c r="FD453" s="10"/>
      <c r="FE453" s="10"/>
      <c r="FF453" s="10"/>
      <c r="FG453" s="10"/>
      <c r="FH453" s="10"/>
      <c r="FI453" s="10"/>
      <c r="FJ453" s="10"/>
      <c r="FK453" s="10"/>
      <c r="FL453" s="10"/>
      <c r="FM453" s="10"/>
      <c r="FN453" s="10"/>
      <c r="FO453" s="10"/>
      <c r="FP453" s="10"/>
      <c r="FQ453" s="10"/>
      <c r="FR453" s="10"/>
      <c r="FS453" s="10"/>
      <c r="FT453" s="10"/>
      <c r="FU453" s="10"/>
      <c r="FV453" s="10"/>
      <c r="FW453" s="10"/>
      <c r="FX453" s="10"/>
      <c r="FY453" s="10"/>
      <c r="FZ453" s="10"/>
      <c r="GA453" s="10"/>
      <c r="GB453" s="10"/>
      <c r="GC453" s="10"/>
      <c r="GD453" s="10"/>
      <c r="GE453" s="10"/>
      <c r="GF453" s="10"/>
      <c r="GG453" s="10"/>
      <c r="GH453" s="10"/>
      <c r="GI453" s="10"/>
      <c r="GJ453" s="10"/>
      <c r="GK453" s="10"/>
    </row>
    <row r="454" customFormat="false" ht="12.75" hidden="false" customHeight="false" outlineLevel="0" collapsed="false">
      <c r="A454" s="7"/>
      <c r="B454" s="7"/>
      <c r="C454" s="8"/>
      <c r="D454" s="8"/>
      <c r="E454" s="8"/>
      <c r="F454" s="8"/>
      <c r="G454" s="9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  <c r="BT454" s="10"/>
      <c r="BU454" s="10"/>
      <c r="BV454" s="10"/>
      <c r="BW454" s="10"/>
      <c r="BX454" s="10"/>
      <c r="BY454" s="10"/>
      <c r="BZ454" s="10"/>
      <c r="CA454" s="10"/>
      <c r="CB454" s="10"/>
      <c r="CC454" s="10"/>
      <c r="CD454" s="10"/>
      <c r="CE454" s="10"/>
      <c r="CF454" s="10"/>
      <c r="CG454" s="10"/>
      <c r="CH454" s="10"/>
      <c r="CI454" s="10"/>
      <c r="CJ454" s="10"/>
      <c r="CK454" s="10"/>
      <c r="CL454" s="10"/>
      <c r="CM454" s="10"/>
      <c r="CN454" s="10"/>
      <c r="CO454" s="10"/>
      <c r="CP454" s="10"/>
      <c r="CQ454" s="10"/>
      <c r="CR454" s="10"/>
      <c r="CS454" s="10"/>
      <c r="CT454" s="10"/>
      <c r="CU454" s="10"/>
      <c r="CV454" s="10"/>
      <c r="CW454" s="10"/>
      <c r="CX454" s="10"/>
      <c r="CY454" s="10"/>
      <c r="CZ454" s="10"/>
      <c r="DA454" s="10"/>
      <c r="DB454" s="10"/>
      <c r="DC454" s="10"/>
      <c r="DD454" s="10"/>
      <c r="DE454" s="10"/>
      <c r="DF454" s="10"/>
      <c r="DG454" s="10"/>
      <c r="DH454" s="10"/>
      <c r="DI454" s="10"/>
      <c r="DJ454" s="10"/>
      <c r="DK454" s="10"/>
      <c r="DL454" s="10"/>
      <c r="DM454" s="10"/>
      <c r="DN454" s="10"/>
      <c r="DO454" s="10"/>
      <c r="DP454" s="10"/>
      <c r="DQ454" s="10"/>
      <c r="DR454" s="10"/>
      <c r="DS454" s="10"/>
      <c r="DT454" s="10"/>
      <c r="DU454" s="10"/>
      <c r="DV454" s="10"/>
      <c r="DW454" s="10"/>
      <c r="DX454" s="10"/>
      <c r="DY454" s="10"/>
      <c r="DZ454" s="10"/>
      <c r="EA454" s="10"/>
      <c r="EB454" s="10"/>
      <c r="EC454" s="10"/>
      <c r="ED454" s="10"/>
      <c r="EE454" s="10"/>
      <c r="EF454" s="10"/>
      <c r="EG454" s="10"/>
      <c r="EH454" s="10"/>
      <c r="EI454" s="10"/>
      <c r="EJ454" s="10"/>
      <c r="EK454" s="10"/>
      <c r="EL454" s="10"/>
      <c r="EM454" s="10"/>
      <c r="EN454" s="10"/>
      <c r="EO454" s="10"/>
      <c r="EP454" s="10"/>
      <c r="EQ454" s="10"/>
      <c r="ER454" s="10"/>
      <c r="ES454" s="10"/>
      <c r="ET454" s="10"/>
      <c r="EU454" s="10"/>
      <c r="EV454" s="10"/>
      <c r="EW454" s="10"/>
      <c r="EX454" s="10"/>
      <c r="EY454" s="10"/>
      <c r="EZ454" s="10"/>
      <c r="FA454" s="10"/>
      <c r="FB454" s="10"/>
      <c r="FC454" s="10"/>
      <c r="FD454" s="10"/>
      <c r="FE454" s="10"/>
      <c r="FF454" s="10"/>
      <c r="FG454" s="10"/>
      <c r="FH454" s="10"/>
      <c r="FI454" s="10"/>
      <c r="FJ454" s="10"/>
      <c r="FK454" s="10"/>
      <c r="FL454" s="10"/>
      <c r="FM454" s="10"/>
      <c r="FN454" s="10"/>
      <c r="FO454" s="10"/>
      <c r="FP454" s="10"/>
      <c r="FQ454" s="10"/>
      <c r="FR454" s="10"/>
      <c r="FS454" s="10"/>
      <c r="FT454" s="10"/>
      <c r="FU454" s="10"/>
      <c r="FV454" s="10"/>
      <c r="FW454" s="10"/>
      <c r="FX454" s="10"/>
      <c r="FY454" s="10"/>
      <c r="FZ454" s="10"/>
      <c r="GA454" s="10"/>
      <c r="GB454" s="10"/>
      <c r="GC454" s="10"/>
      <c r="GD454" s="10"/>
      <c r="GE454" s="10"/>
      <c r="GF454" s="10"/>
      <c r="GG454" s="10"/>
      <c r="GH454" s="10"/>
      <c r="GI454" s="10"/>
      <c r="GJ454" s="10"/>
      <c r="GK454" s="10"/>
    </row>
    <row r="455" customFormat="false" ht="12.75" hidden="false" customHeight="false" outlineLevel="0" collapsed="false">
      <c r="A455" s="7"/>
      <c r="B455" s="7"/>
      <c r="C455" s="8"/>
      <c r="D455" s="8"/>
      <c r="E455" s="8"/>
      <c r="F455" s="8"/>
      <c r="G455" s="9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0"/>
      <c r="BT455" s="10"/>
      <c r="BU455" s="10"/>
      <c r="BV455" s="10"/>
      <c r="BW455" s="10"/>
      <c r="BX455" s="10"/>
      <c r="BY455" s="10"/>
      <c r="BZ455" s="10"/>
      <c r="CA455" s="10"/>
      <c r="CB455" s="10"/>
      <c r="CC455" s="10"/>
      <c r="CD455" s="10"/>
      <c r="CE455" s="10"/>
      <c r="CF455" s="10"/>
      <c r="CG455" s="10"/>
      <c r="CH455" s="10"/>
      <c r="CI455" s="10"/>
      <c r="CJ455" s="10"/>
      <c r="CK455" s="10"/>
      <c r="CL455" s="10"/>
      <c r="CM455" s="10"/>
      <c r="CN455" s="10"/>
      <c r="CO455" s="10"/>
      <c r="CP455" s="10"/>
      <c r="CQ455" s="10"/>
      <c r="CR455" s="10"/>
      <c r="CS455" s="10"/>
      <c r="CT455" s="10"/>
      <c r="CU455" s="10"/>
      <c r="CV455" s="10"/>
      <c r="CW455" s="10"/>
      <c r="CX455" s="10"/>
      <c r="CY455" s="10"/>
      <c r="CZ455" s="10"/>
      <c r="DA455" s="10"/>
      <c r="DB455" s="10"/>
      <c r="DC455" s="10"/>
      <c r="DD455" s="10"/>
      <c r="DE455" s="10"/>
      <c r="DF455" s="10"/>
      <c r="DG455" s="10"/>
      <c r="DH455" s="10"/>
      <c r="DI455" s="10"/>
      <c r="DJ455" s="10"/>
      <c r="DK455" s="10"/>
      <c r="DL455" s="10"/>
      <c r="DM455" s="10"/>
      <c r="DN455" s="10"/>
      <c r="DO455" s="10"/>
      <c r="DP455" s="10"/>
      <c r="DQ455" s="10"/>
      <c r="DR455" s="10"/>
      <c r="DS455" s="10"/>
      <c r="DT455" s="10"/>
      <c r="DU455" s="10"/>
      <c r="DV455" s="10"/>
      <c r="DW455" s="10"/>
      <c r="DX455" s="10"/>
      <c r="DY455" s="10"/>
      <c r="DZ455" s="10"/>
      <c r="EA455" s="10"/>
      <c r="EB455" s="10"/>
      <c r="EC455" s="10"/>
      <c r="ED455" s="10"/>
      <c r="EE455" s="10"/>
      <c r="EF455" s="10"/>
      <c r="EG455" s="10"/>
      <c r="EH455" s="10"/>
      <c r="EI455" s="10"/>
      <c r="EJ455" s="10"/>
      <c r="EK455" s="10"/>
      <c r="EL455" s="10"/>
      <c r="EM455" s="10"/>
      <c r="EN455" s="10"/>
      <c r="EO455" s="10"/>
      <c r="EP455" s="10"/>
      <c r="EQ455" s="10"/>
      <c r="ER455" s="10"/>
      <c r="ES455" s="10"/>
      <c r="ET455" s="10"/>
      <c r="EU455" s="10"/>
      <c r="EV455" s="10"/>
      <c r="EW455" s="10"/>
      <c r="EX455" s="10"/>
      <c r="EY455" s="10"/>
      <c r="EZ455" s="10"/>
      <c r="FA455" s="10"/>
      <c r="FB455" s="10"/>
      <c r="FC455" s="10"/>
      <c r="FD455" s="10"/>
      <c r="FE455" s="10"/>
      <c r="FF455" s="10"/>
      <c r="FG455" s="10"/>
      <c r="FH455" s="10"/>
      <c r="FI455" s="10"/>
      <c r="FJ455" s="10"/>
      <c r="FK455" s="10"/>
      <c r="FL455" s="10"/>
      <c r="FM455" s="10"/>
      <c r="FN455" s="10"/>
      <c r="FO455" s="10"/>
      <c r="FP455" s="10"/>
      <c r="FQ455" s="10"/>
      <c r="FR455" s="10"/>
      <c r="FS455" s="10"/>
      <c r="FT455" s="10"/>
      <c r="FU455" s="10"/>
      <c r="FV455" s="10"/>
      <c r="FW455" s="10"/>
      <c r="FX455" s="10"/>
      <c r="FY455" s="10"/>
      <c r="FZ455" s="10"/>
      <c r="GA455" s="10"/>
      <c r="GB455" s="10"/>
      <c r="GC455" s="10"/>
      <c r="GD455" s="10"/>
      <c r="GE455" s="10"/>
      <c r="GF455" s="10"/>
      <c r="GG455" s="10"/>
      <c r="GH455" s="10"/>
      <c r="GI455" s="10"/>
      <c r="GJ455" s="10"/>
      <c r="GK455" s="10"/>
    </row>
    <row r="456" customFormat="false" ht="12.75" hidden="false" customHeight="false" outlineLevel="0" collapsed="false">
      <c r="A456" s="7"/>
      <c r="B456" s="7"/>
      <c r="C456" s="8"/>
      <c r="D456" s="8"/>
      <c r="E456" s="8"/>
      <c r="F456" s="8"/>
      <c r="G456" s="9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  <c r="BS456" s="10"/>
      <c r="BT456" s="10"/>
      <c r="BU456" s="10"/>
      <c r="BV456" s="10"/>
      <c r="BW456" s="10"/>
      <c r="BX456" s="10"/>
      <c r="BY456" s="10"/>
      <c r="BZ456" s="10"/>
      <c r="CA456" s="10"/>
      <c r="CB456" s="10"/>
      <c r="CC456" s="10"/>
      <c r="CD456" s="10"/>
      <c r="CE456" s="10"/>
      <c r="CF456" s="10"/>
      <c r="CG456" s="10"/>
      <c r="CH456" s="10"/>
      <c r="CI456" s="10"/>
      <c r="CJ456" s="10"/>
      <c r="CK456" s="10"/>
      <c r="CL456" s="10"/>
      <c r="CM456" s="10"/>
      <c r="CN456" s="10"/>
      <c r="CO456" s="10"/>
      <c r="CP456" s="10"/>
      <c r="CQ456" s="10"/>
      <c r="CR456" s="10"/>
      <c r="CS456" s="10"/>
      <c r="CT456" s="10"/>
      <c r="CU456" s="10"/>
      <c r="CV456" s="10"/>
      <c r="CW456" s="10"/>
      <c r="CX456" s="10"/>
      <c r="CY456" s="10"/>
      <c r="CZ456" s="10"/>
      <c r="DA456" s="10"/>
      <c r="DB456" s="10"/>
      <c r="DC456" s="10"/>
      <c r="DD456" s="10"/>
      <c r="DE456" s="10"/>
      <c r="DF456" s="10"/>
      <c r="DG456" s="10"/>
      <c r="DH456" s="10"/>
      <c r="DI456" s="10"/>
      <c r="DJ456" s="10"/>
      <c r="DK456" s="10"/>
      <c r="DL456" s="10"/>
      <c r="DM456" s="10"/>
      <c r="DN456" s="10"/>
      <c r="DO456" s="10"/>
      <c r="DP456" s="10"/>
      <c r="DQ456" s="10"/>
      <c r="DR456" s="10"/>
      <c r="DS456" s="10"/>
      <c r="DT456" s="10"/>
      <c r="DU456" s="10"/>
      <c r="DV456" s="10"/>
      <c r="DW456" s="10"/>
      <c r="DX456" s="10"/>
      <c r="DY456" s="10"/>
      <c r="DZ456" s="10"/>
      <c r="EA456" s="10"/>
      <c r="EB456" s="10"/>
      <c r="EC456" s="10"/>
      <c r="ED456" s="10"/>
      <c r="EE456" s="10"/>
      <c r="EF456" s="10"/>
      <c r="EG456" s="10"/>
      <c r="EH456" s="10"/>
      <c r="EI456" s="10"/>
      <c r="EJ456" s="10"/>
      <c r="EK456" s="10"/>
      <c r="EL456" s="10"/>
      <c r="EM456" s="10"/>
      <c r="EN456" s="10"/>
      <c r="EO456" s="10"/>
      <c r="EP456" s="10"/>
      <c r="EQ456" s="10"/>
      <c r="ER456" s="10"/>
      <c r="ES456" s="10"/>
      <c r="ET456" s="10"/>
      <c r="EU456" s="10"/>
      <c r="EV456" s="10"/>
      <c r="EW456" s="10"/>
      <c r="EX456" s="10"/>
      <c r="EY456" s="10"/>
      <c r="EZ456" s="10"/>
      <c r="FA456" s="10"/>
      <c r="FB456" s="10"/>
      <c r="FC456" s="10"/>
      <c r="FD456" s="10"/>
      <c r="FE456" s="10"/>
      <c r="FF456" s="10"/>
      <c r="FG456" s="10"/>
      <c r="FH456" s="10"/>
      <c r="FI456" s="10"/>
      <c r="FJ456" s="10"/>
      <c r="FK456" s="10"/>
      <c r="FL456" s="10"/>
      <c r="FM456" s="10"/>
      <c r="FN456" s="10"/>
      <c r="FO456" s="10"/>
      <c r="FP456" s="10"/>
      <c r="FQ456" s="10"/>
      <c r="FR456" s="10"/>
      <c r="FS456" s="10"/>
      <c r="FT456" s="10"/>
      <c r="FU456" s="10"/>
      <c r="FV456" s="10"/>
      <c r="FW456" s="10"/>
      <c r="FX456" s="10"/>
      <c r="FY456" s="10"/>
      <c r="FZ456" s="10"/>
      <c r="GA456" s="10"/>
      <c r="GB456" s="10"/>
      <c r="GC456" s="10"/>
      <c r="GD456" s="10"/>
      <c r="GE456" s="10"/>
      <c r="GF456" s="10"/>
      <c r="GG456" s="10"/>
      <c r="GH456" s="10"/>
      <c r="GI456" s="10"/>
      <c r="GJ456" s="10"/>
      <c r="GK456" s="10"/>
    </row>
    <row r="457" customFormat="false" ht="12.75" hidden="false" customHeight="false" outlineLevel="0" collapsed="false">
      <c r="A457" s="7"/>
      <c r="B457" s="7"/>
      <c r="C457" s="8"/>
      <c r="D457" s="8"/>
      <c r="E457" s="8"/>
      <c r="F457" s="8"/>
      <c r="G457" s="9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0"/>
      <c r="BT457" s="10"/>
      <c r="BU457" s="10"/>
      <c r="BV457" s="10"/>
      <c r="BW457" s="10"/>
      <c r="BX457" s="10"/>
      <c r="BY457" s="10"/>
      <c r="BZ457" s="10"/>
      <c r="CA457" s="10"/>
      <c r="CB457" s="10"/>
      <c r="CC457" s="10"/>
      <c r="CD457" s="10"/>
      <c r="CE457" s="10"/>
      <c r="CF457" s="10"/>
      <c r="CG457" s="10"/>
      <c r="CH457" s="10"/>
      <c r="CI457" s="10"/>
      <c r="CJ457" s="10"/>
      <c r="CK457" s="10"/>
      <c r="CL457" s="10"/>
      <c r="CM457" s="10"/>
      <c r="CN457" s="10"/>
      <c r="CO457" s="10"/>
      <c r="CP457" s="10"/>
      <c r="CQ457" s="10"/>
      <c r="CR457" s="10"/>
      <c r="CS457" s="10"/>
      <c r="CT457" s="10"/>
      <c r="CU457" s="10"/>
      <c r="CV457" s="10"/>
      <c r="CW457" s="10"/>
      <c r="CX457" s="10"/>
      <c r="CY457" s="10"/>
      <c r="CZ457" s="10"/>
      <c r="DA457" s="10"/>
      <c r="DB457" s="10"/>
      <c r="DC457" s="10"/>
      <c r="DD457" s="10"/>
      <c r="DE457" s="10"/>
      <c r="DF457" s="10"/>
      <c r="DG457" s="10"/>
      <c r="DH457" s="10"/>
      <c r="DI457" s="10"/>
      <c r="DJ457" s="10"/>
      <c r="DK457" s="10"/>
      <c r="DL457" s="10"/>
      <c r="DM457" s="10"/>
      <c r="DN457" s="10"/>
      <c r="DO457" s="10"/>
      <c r="DP457" s="10"/>
      <c r="DQ457" s="10"/>
      <c r="DR457" s="10"/>
      <c r="DS457" s="10"/>
      <c r="DT457" s="10"/>
      <c r="DU457" s="10"/>
      <c r="DV457" s="10"/>
      <c r="DW457" s="10"/>
      <c r="DX457" s="10"/>
      <c r="DY457" s="10"/>
      <c r="DZ457" s="10"/>
      <c r="EA457" s="10"/>
      <c r="EB457" s="10"/>
      <c r="EC457" s="10"/>
      <c r="ED457" s="10"/>
      <c r="EE457" s="10"/>
      <c r="EF457" s="10"/>
      <c r="EG457" s="10"/>
      <c r="EH457" s="10"/>
      <c r="EI457" s="10"/>
      <c r="EJ457" s="10"/>
      <c r="EK457" s="10"/>
      <c r="EL457" s="10"/>
      <c r="EM457" s="10"/>
      <c r="EN457" s="10"/>
      <c r="EO457" s="10"/>
      <c r="EP457" s="10"/>
      <c r="EQ457" s="10"/>
      <c r="ER457" s="10"/>
      <c r="ES457" s="10"/>
      <c r="ET457" s="10"/>
      <c r="EU457" s="10"/>
      <c r="EV457" s="10"/>
      <c r="EW457" s="10"/>
      <c r="EX457" s="10"/>
      <c r="EY457" s="10"/>
      <c r="EZ457" s="10"/>
      <c r="FA457" s="10"/>
      <c r="FB457" s="10"/>
      <c r="FC457" s="10"/>
      <c r="FD457" s="10"/>
      <c r="FE457" s="10"/>
      <c r="FF457" s="10"/>
      <c r="FG457" s="10"/>
      <c r="FH457" s="10"/>
      <c r="FI457" s="10"/>
      <c r="FJ457" s="10"/>
      <c r="FK457" s="10"/>
      <c r="FL457" s="10"/>
      <c r="FM457" s="10"/>
      <c r="FN457" s="10"/>
      <c r="FO457" s="10"/>
      <c r="FP457" s="10"/>
      <c r="FQ457" s="10"/>
      <c r="FR457" s="10"/>
      <c r="FS457" s="10"/>
      <c r="FT457" s="10"/>
      <c r="FU457" s="10"/>
      <c r="FV457" s="10"/>
      <c r="FW457" s="10"/>
      <c r="FX457" s="10"/>
      <c r="FY457" s="10"/>
      <c r="FZ457" s="10"/>
      <c r="GA457" s="10"/>
      <c r="GB457" s="10"/>
      <c r="GC457" s="10"/>
      <c r="GD457" s="10"/>
      <c r="GE457" s="10"/>
      <c r="GF457" s="10"/>
      <c r="GG457" s="10"/>
      <c r="GH457" s="10"/>
      <c r="GI457" s="10"/>
      <c r="GJ457" s="10"/>
      <c r="GK457" s="10"/>
    </row>
    <row r="458" customFormat="false" ht="12.75" hidden="false" customHeight="false" outlineLevel="0" collapsed="false">
      <c r="A458" s="7"/>
      <c r="B458" s="7"/>
      <c r="C458" s="8"/>
      <c r="D458" s="8"/>
      <c r="E458" s="8"/>
      <c r="F458" s="8"/>
      <c r="G458" s="9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0"/>
      <c r="BT458" s="10"/>
      <c r="BU458" s="10"/>
      <c r="BV458" s="10"/>
      <c r="BW458" s="10"/>
      <c r="BX458" s="10"/>
      <c r="BY458" s="10"/>
      <c r="BZ458" s="10"/>
      <c r="CA458" s="10"/>
      <c r="CB458" s="10"/>
      <c r="CC458" s="10"/>
      <c r="CD458" s="10"/>
      <c r="CE458" s="10"/>
      <c r="CF458" s="10"/>
      <c r="CG458" s="10"/>
      <c r="CH458" s="10"/>
      <c r="CI458" s="10"/>
      <c r="CJ458" s="10"/>
      <c r="CK458" s="10"/>
      <c r="CL458" s="10"/>
      <c r="CM458" s="10"/>
      <c r="CN458" s="10"/>
      <c r="CO458" s="10"/>
      <c r="CP458" s="10"/>
      <c r="CQ458" s="10"/>
      <c r="CR458" s="10"/>
      <c r="CS458" s="10"/>
      <c r="CT458" s="10"/>
      <c r="CU458" s="10"/>
      <c r="CV458" s="10"/>
      <c r="CW458" s="10"/>
      <c r="CX458" s="10"/>
      <c r="CY458" s="10"/>
      <c r="CZ458" s="10"/>
      <c r="DA458" s="10"/>
      <c r="DB458" s="10"/>
      <c r="DC458" s="10"/>
      <c r="DD458" s="10"/>
      <c r="DE458" s="10"/>
      <c r="DF458" s="10"/>
      <c r="DG458" s="10"/>
      <c r="DH458" s="10"/>
      <c r="DI458" s="10"/>
      <c r="DJ458" s="10"/>
      <c r="DK458" s="10"/>
      <c r="DL458" s="10"/>
      <c r="DM458" s="10"/>
      <c r="DN458" s="10"/>
      <c r="DO458" s="10"/>
      <c r="DP458" s="10"/>
      <c r="DQ458" s="10"/>
      <c r="DR458" s="10"/>
      <c r="DS458" s="10"/>
      <c r="DT458" s="10"/>
      <c r="DU458" s="10"/>
      <c r="DV458" s="10"/>
      <c r="DW458" s="10"/>
      <c r="DX458" s="10"/>
      <c r="DY458" s="10"/>
      <c r="DZ458" s="10"/>
      <c r="EA458" s="10"/>
      <c r="EB458" s="10"/>
      <c r="EC458" s="10"/>
      <c r="ED458" s="10"/>
      <c r="EE458" s="10"/>
      <c r="EF458" s="10"/>
      <c r="EG458" s="10"/>
      <c r="EH458" s="10"/>
      <c r="EI458" s="10"/>
      <c r="EJ458" s="10"/>
      <c r="EK458" s="10"/>
      <c r="EL458" s="10"/>
      <c r="EM458" s="10"/>
      <c r="EN458" s="10"/>
      <c r="EO458" s="10"/>
      <c r="EP458" s="10"/>
      <c r="EQ458" s="10"/>
      <c r="ER458" s="10"/>
      <c r="ES458" s="10"/>
      <c r="ET458" s="10"/>
      <c r="EU458" s="10"/>
      <c r="EV458" s="10"/>
      <c r="EW458" s="10"/>
      <c r="EX458" s="10"/>
      <c r="EY458" s="10"/>
      <c r="EZ458" s="10"/>
      <c r="FA458" s="10"/>
      <c r="FB458" s="10"/>
      <c r="FC458" s="10"/>
      <c r="FD458" s="10"/>
      <c r="FE458" s="10"/>
      <c r="FF458" s="10"/>
      <c r="FG458" s="10"/>
      <c r="FH458" s="10"/>
      <c r="FI458" s="10"/>
      <c r="FJ458" s="10"/>
      <c r="FK458" s="10"/>
      <c r="FL458" s="10"/>
      <c r="FM458" s="10"/>
      <c r="FN458" s="10"/>
      <c r="FO458" s="10"/>
      <c r="FP458" s="10"/>
      <c r="FQ458" s="10"/>
      <c r="FR458" s="10"/>
      <c r="FS458" s="10"/>
      <c r="FT458" s="10"/>
      <c r="FU458" s="10"/>
      <c r="FV458" s="10"/>
      <c r="FW458" s="10"/>
      <c r="FX458" s="10"/>
      <c r="FY458" s="10"/>
      <c r="FZ458" s="10"/>
      <c r="GA458" s="10"/>
      <c r="GB458" s="10"/>
      <c r="GC458" s="10"/>
      <c r="GD458" s="10"/>
      <c r="GE458" s="10"/>
      <c r="GF458" s="10"/>
      <c r="GG458" s="10"/>
      <c r="GH458" s="10"/>
      <c r="GI458" s="10"/>
      <c r="GJ458" s="10"/>
      <c r="GK458" s="10"/>
    </row>
    <row r="459" customFormat="false" ht="12.75" hidden="false" customHeight="false" outlineLevel="0" collapsed="false">
      <c r="A459" s="7"/>
      <c r="B459" s="7"/>
      <c r="C459" s="8"/>
      <c r="D459" s="8"/>
      <c r="E459" s="8"/>
      <c r="F459" s="8"/>
      <c r="G459" s="9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  <c r="BS459" s="10"/>
      <c r="BT459" s="10"/>
      <c r="BU459" s="10"/>
      <c r="BV459" s="10"/>
      <c r="BW459" s="10"/>
      <c r="BX459" s="10"/>
      <c r="BY459" s="10"/>
      <c r="BZ459" s="10"/>
      <c r="CA459" s="10"/>
      <c r="CB459" s="10"/>
      <c r="CC459" s="10"/>
      <c r="CD459" s="10"/>
      <c r="CE459" s="10"/>
      <c r="CF459" s="10"/>
      <c r="CG459" s="10"/>
      <c r="CH459" s="10"/>
      <c r="CI459" s="10"/>
      <c r="CJ459" s="10"/>
      <c r="CK459" s="10"/>
      <c r="CL459" s="10"/>
      <c r="CM459" s="10"/>
      <c r="CN459" s="10"/>
      <c r="CO459" s="10"/>
      <c r="CP459" s="10"/>
      <c r="CQ459" s="10"/>
      <c r="CR459" s="10"/>
      <c r="CS459" s="10"/>
      <c r="CT459" s="10"/>
      <c r="CU459" s="10"/>
      <c r="CV459" s="10"/>
      <c r="CW459" s="10"/>
      <c r="CX459" s="10"/>
      <c r="CY459" s="10"/>
      <c r="CZ459" s="10"/>
      <c r="DA459" s="10"/>
      <c r="DB459" s="10"/>
      <c r="DC459" s="10"/>
      <c r="DD459" s="10"/>
      <c r="DE459" s="10"/>
      <c r="DF459" s="10"/>
      <c r="DG459" s="10"/>
      <c r="DH459" s="10"/>
      <c r="DI459" s="10"/>
      <c r="DJ459" s="10"/>
      <c r="DK459" s="10"/>
      <c r="DL459" s="10"/>
      <c r="DM459" s="10"/>
      <c r="DN459" s="10"/>
      <c r="DO459" s="10"/>
      <c r="DP459" s="10"/>
      <c r="DQ459" s="10"/>
      <c r="DR459" s="10"/>
      <c r="DS459" s="10"/>
      <c r="DT459" s="10"/>
      <c r="DU459" s="10"/>
      <c r="DV459" s="10"/>
      <c r="DW459" s="10"/>
      <c r="DX459" s="10"/>
      <c r="DY459" s="10"/>
      <c r="DZ459" s="10"/>
      <c r="EA459" s="10"/>
      <c r="EB459" s="10"/>
      <c r="EC459" s="10"/>
      <c r="ED459" s="10"/>
      <c r="EE459" s="10"/>
      <c r="EF459" s="10"/>
      <c r="EG459" s="10"/>
      <c r="EH459" s="10"/>
      <c r="EI459" s="10"/>
      <c r="EJ459" s="10"/>
      <c r="EK459" s="10"/>
      <c r="EL459" s="10"/>
      <c r="EM459" s="10"/>
      <c r="EN459" s="10"/>
      <c r="EO459" s="10"/>
      <c r="EP459" s="10"/>
      <c r="EQ459" s="10"/>
      <c r="ER459" s="10"/>
      <c r="ES459" s="10"/>
      <c r="ET459" s="10"/>
      <c r="EU459" s="10"/>
      <c r="EV459" s="10"/>
      <c r="EW459" s="10"/>
      <c r="EX459" s="10"/>
      <c r="EY459" s="10"/>
      <c r="EZ459" s="10"/>
      <c r="FA459" s="10"/>
      <c r="FB459" s="10"/>
      <c r="FC459" s="10"/>
      <c r="FD459" s="10"/>
      <c r="FE459" s="10"/>
      <c r="FF459" s="10"/>
      <c r="FG459" s="10"/>
      <c r="FH459" s="10"/>
      <c r="FI459" s="10"/>
      <c r="FJ459" s="10"/>
      <c r="FK459" s="10"/>
      <c r="FL459" s="10"/>
      <c r="FM459" s="10"/>
      <c r="FN459" s="10"/>
      <c r="FO459" s="10"/>
      <c r="FP459" s="10"/>
      <c r="FQ459" s="10"/>
      <c r="FR459" s="10"/>
      <c r="FS459" s="10"/>
      <c r="FT459" s="10"/>
      <c r="FU459" s="10"/>
      <c r="FV459" s="10"/>
      <c r="FW459" s="10"/>
      <c r="FX459" s="10"/>
      <c r="FY459" s="10"/>
      <c r="FZ459" s="10"/>
      <c r="GA459" s="10"/>
      <c r="GB459" s="10"/>
      <c r="GC459" s="10"/>
      <c r="GD459" s="10"/>
      <c r="GE459" s="10"/>
      <c r="GF459" s="10"/>
      <c r="GG459" s="10"/>
      <c r="GH459" s="10"/>
      <c r="GI459" s="10"/>
      <c r="GJ459" s="10"/>
      <c r="GK459" s="10"/>
    </row>
    <row r="460" customFormat="false" ht="12.75" hidden="false" customHeight="false" outlineLevel="0" collapsed="false">
      <c r="A460" s="7"/>
      <c r="B460" s="7"/>
      <c r="C460" s="8"/>
      <c r="D460" s="8"/>
      <c r="E460" s="8"/>
      <c r="F460" s="8"/>
      <c r="G460" s="9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  <c r="BU460" s="10"/>
      <c r="BV460" s="10"/>
      <c r="BW460" s="10"/>
      <c r="BX460" s="10"/>
      <c r="BY460" s="10"/>
      <c r="BZ460" s="10"/>
      <c r="CA460" s="10"/>
      <c r="CB460" s="10"/>
      <c r="CC460" s="10"/>
      <c r="CD460" s="10"/>
      <c r="CE460" s="10"/>
      <c r="CF460" s="10"/>
      <c r="CG460" s="10"/>
      <c r="CH460" s="10"/>
      <c r="CI460" s="10"/>
      <c r="CJ460" s="10"/>
      <c r="CK460" s="10"/>
      <c r="CL460" s="10"/>
      <c r="CM460" s="10"/>
      <c r="CN460" s="10"/>
      <c r="CO460" s="10"/>
      <c r="CP460" s="10"/>
      <c r="CQ460" s="10"/>
      <c r="CR460" s="10"/>
      <c r="CS460" s="10"/>
      <c r="CT460" s="10"/>
      <c r="CU460" s="10"/>
      <c r="CV460" s="10"/>
      <c r="CW460" s="10"/>
      <c r="CX460" s="10"/>
      <c r="CY460" s="10"/>
      <c r="CZ460" s="10"/>
      <c r="DA460" s="10"/>
      <c r="DB460" s="10"/>
      <c r="DC460" s="10"/>
      <c r="DD460" s="10"/>
      <c r="DE460" s="10"/>
      <c r="DF460" s="10"/>
      <c r="DG460" s="10"/>
      <c r="DH460" s="10"/>
      <c r="DI460" s="10"/>
      <c r="DJ460" s="10"/>
      <c r="DK460" s="10"/>
      <c r="DL460" s="10"/>
      <c r="DM460" s="10"/>
      <c r="DN460" s="10"/>
      <c r="DO460" s="10"/>
      <c r="DP460" s="10"/>
      <c r="DQ460" s="10"/>
      <c r="DR460" s="10"/>
      <c r="DS460" s="10"/>
      <c r="DT460" s="10"/>
      <c r="DU460" s="10"/>
      <c r="DV460" s="10"/>
      <c r="DW460" s="10"/>
      <c r="DX460" s="10"/>
      <c r="DY460" s="10"/>
      <c r="DZ460" s="10"/>
      <c r="EA460" s="10"/>
      <c r="EB460" s="10"/>
      <c r="EC460" s="10"/>
      <c r="ED460" s="10"/>
      <c r="EE460" s="10"/>
      <c r="EF460" s="10"/>
      <c r="EG460" s="10"/>
      <c r="EH460" s="10"/>
      <c r="EI460" s="10"/>
      <c r="EJ460" s="10"/>
      <c r="EK460" s="10"/>
      <c r="EL460" s="10"/>
      <c r="EM460" s="10"/>
      <c r="EN460" s="10"/>
      <c r="EO460" s="10"/>
      <c r="EP460" s="10"/>
      <c r="EQ460" s="10"/>
      <c r="ER460" s="10"/>
      <c r="ES460" s="10"/>
      <c r="ET460" s="10"/>
      <c r="EU460" s="10"/>
      <c r="EV460" s="10"/>
      <c r="EW460" s="10"/>
      <c r="EX460" s="10"/>
      <c r="EY460" s="10"/>
      <c r="EZ460" s="10"/>
      <c r="FA460" s="10"/>
      <c r="FB460" s="10"/>
      <c r="FC460" s="10"/>
      <c r="FD460" s="10"/>
      <c r="FE460" s="10"/>
      <c r="FF460" s="10"/>
      <c r="FG460" s="10"/>
      <c r="FH460" s="10"/>
      <c r="FI460" s="10"/>
      <c r="FJ460" s="10"/>
      <c r="FK460" s="10"/>
      <c r="FL460" s="10"/>
      <c r="FM460" s="10"/>
      <c r="FN460" s="10"/>
      <c r="FO460" s="10"/>
      <c r="FP460" s="10"/>
      <c r="FQ460" s="10"/>
      <c r="FR460" s="10"/>
      <c r="FS460" s="10"/>
      <c r="FT460" s="10"/>
      <c r="FU460" s="10"/>
      <c r="FV460" s="10"/>
      <c r="FW460" s="10"/>
      <c r="FX460" s="10"/>
      <c r="FY460" s="10"/>
      <c r="FZ460" s="10"/>
      <c r="GA460" s="10"/>
      <c r="GB460" s="10"/>
      <c r="GC460" s="10"/>
      <c r="GD460" s="10"/>
      <c r="GE460" s="10"/>
      <c r="GF460" s="10"/>
      <c r="GG460" s="10"/>
      <c r="GH460" s="10"/>
      <c r="GI460" s="10"/>
      <c r="GJ460" s="10"/>
      <c r="GK460" s="10"/>
    </row>
    <row r="461" customFormat="false" ht="12.75" hidden="false" customHeight="false" outlineLevel="0" collapsed="false">
      <c r="A461" s="7"/>
      <c r="B461" s="7"/>
      <c r="C461" s="8"/>
      <c r="D461" s="8"/>
      <c r="E461" s="8"/>
      <c r="F461" s="8"/>
      <c r="G461" s="9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  <c r="BT461" s="10"/>
      <c r="BU461" s="10"/>
      <c r="BV461" s="10"/>
      <c r="BW461" s="10"/>
      <c r="BX461" s="10"/>
      <c r="BY461" s="10"/>
      <c r="BZ461" s="10"/>
      <c r="CA461" s="10"/>
      <c r="CB461" s="10"/>
      <c r="CC461" s="10"/>
      <c r="CD461" s="10"/>
      <c r="CE461" s="10"/>
      <c r="CF461" s="10"/>
      <c r="CG461" s="10"/>
      <c r="CH461" s="10"/>
      <c r="CI461" s="10"/>
      <c r="CJ461" s="10"/>
      <c r="CK461" s="10"/>
      <c r="CL461" s="10"/>
      <c r="CM461" s="10"/>
      <c r="CN461" s="10"/>
      <c r="CO461" s="10"/>
      <c r="CP461" s="10"/>
      <c r="CQ461" s="10"/>
      <c r="CR461" s="10"/>
      <c r="CS461" s="10"/>
      <c r="CT461" s="10"/>
      <c r="CU461" s="10"/>
      <c r="CV461" s="10"/>
      <c r="CW461" s="10"/>
      <c r="CX461" s="10"/>
      <c r="CY461" s="10"/>
      <c r="CZ461" s="10"/>
      <c r="DA461" s="10"/>
      <c r="DB461" s="10"/>
      <c r="DC461" s="10"/>
      <c r="DD461" s="10"/>
      <c r="DE461" s="10"/>
      <c r="DF461" s="10"/>
      <c r="DG461" s="10"/>
      <c r="DH461" s="10"/>
      <c r="DI461" s="10"/>
      <c r="DJ461" s="10"/>
      <c r="DK461" s="10"/>
      <c r="DL461" s="10"/>
      <c r="DM461" s="10"/>
      <c r="DN461" s="10"/>
      <c r="DO461" s="10"/>
      <c r="DP461" s="10"/>
      <c r="DQ461" s="10"/>
      <c r="DR461" s="10"/>
      <c r="DS461" s="10"/>
      <c r="DT461" s="10"/>
      <c r="DU461" s="10"/>
      <c r="DV461" s="10"/>
      <c r="DW461" s="10"/>
      <c r="DX461" s="10"/>
      <c r="DY461" s="10"/>
      <c r="DZ461" s="10"/>
      <c r="EA461" s="10"/>
      <c r="EB461" s="10"/>
      <c r="EC461" s="10"/>
      <c r="ED461" s="10"/>
      <c r="EE461" s="10"/>
      <c r="EF461" s="10"/>
      <c r="EG461" s="10"/>
      <c r="EH461" s="10"/>
      <c r="EI461" s="10"/>
      <c r="EJ461" s="10"/>
      <c r="EK461" s="10"/>
      <c r="EL461" s="10"/>
      <c r="EM461" s="10"/>
      <c r="EN461" s="10"/>
      <c r="EO461" s="10"/>
      <c r="EP461" s="10"/>
      <c r="EQ461" s="10"/>
      <c r="ER461" s="10"/>
      <c r="ES461" s="10"/>
      <c r="ET461" s="10"/>
      <c r="EU461" s="10"/>
      <c r="EV461" s="10"/>
      <c r="EW461" s="10"/>
      <c r="EX461" s="10"/>
      <c r="EY461" s="10"/>
      <c r="EZ461" s="10"/>
      <c r="FA461" s="10"/>
      <c r="FB461" s="10"/>
      <c r="FC461" s="10"/>
      <c r="FD461" s="10"/>
      <c r="FE461" s="10"/>
      <c r="FF461" s="10"/>
      <c r="FG461" s="10"/>
      <c r="FH461" s="10"/>
      <c r="FI461" s="10"/>
      <c r="FJ461" s="10"/>
      <c r="FK461" s="10"/>
      <c r="FL461" s="10"/>
      <c r="FM461" s="10"/>
      <c r="FN461" s="10"/>
      <c r="FO461" s="10"/>
      <c r="FP461" s="10"/>
      <c r="FQ461" s="10"/>
      <c r="FR461" s="10"/>
      <c r="FS461" s="10"/>
      <c r="FT461" s="10"/>
      <c r="FU461" s="10"/>
      <c r="FV461" s="10"/>
      <c r="FW461" s="10"/>
      <c r="FX461" s="10"/>
      <c r="FY461" s="10"/>
      <c r="FZ461" s="10"/>
      <c r="GA461" s="10"/>
      <c r="GB461" s="10"/>
      <c r="GC461" s="10"/>
      <c r="GD461" s="10"/>
      <c r="GE461" s="10"/>
      <c r="GF461" s="10"/>
      <c r="GG461" s="10"/>
      <c r="GH461" s="10"/>
      <c r="GI461" s="10"/>
      <c r="GJ461" s="10"/>
      <c r="GK461" s="10"/>
    </row>
    <row r="462" customFormat="false" ht="12.75" hidden="false" customHeight="false" outlineLevel="0" collapsed="false">
      <c r="A462" s="7"/>
      <c r="B462" s="7"/>
      <c r="C462" s="8"/>
      <c r="D462" s="8"/>
      <c r="E462" s="8"/>
      <c r="F462" s="8"/>
      <c r="G462" s="9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  <c r="BT462" s="10"/>
      <c r="BU462" s="10"/>
      <c r="BV462" s="10"/>
      <c r="BW462" s="10"/>
      <c r="BX462" s="10"/>
      <c r="BY462" s="10"/>
      <c r="BZ462" s="10"/>
      <c r="CA462" s="10"/>
      <c r="CB462" s="10"/>
      <c r="CC462" s="10"/>
      <c r="CD462" s="10"/>
      <c r="CE462" s="10"/>
      <c r="CF462" s="10"/>
      <c r="CG462" s="10"/>
      <c r="CH462" s="10"/>
      <c r="CI462" s="10"/>
      <c r="CJ462" s="10"/>
      <c r="CK462" s="10"/>
      <c r="CL462" s="10"/>
      <c r="CM462" s="10"/>
      <c r="CN462" s="10"/>
      <c r="CO462" s="10"/>
      <c r="CP462" s="10"/>
      <c r="CQ462" s="10"/>
      <c r="CR462" s="10"/>
      <c r="CS462" s="10"/>
      <c r="CT462" s="10"/>
      <c r="CU462" s="10"/>
      <c r="CV462" s="10"/>
      <c r="CW462" s="10"/>
      <c r="CX462" s="10"/>
      <c r="CY462" s="10"/>
      <c r="CZ462" s="10"/>
      <c r="DA462" s="10"/>
      <c r="DB462" s="10"/>
      <c r="DC462" s="10"/>
      <c r="DD462" s="10"/>
      <c r="DE462" s="10"/>
      <c r="DF462" s="10"/>
      <c r="DG462" s="10"/>
      <c r="DH462" s="10"/>
      <c r="DI462" s="10"/>
      <c r="DJ462" s="10"/>
      <c r="DK462" s="10"/>
      <c r="DL462" s="10"/>
      <c r="DM462" s="10"/>
      <c r="DN462" s="10"/>
      <c r="DO462" s="10"/>
      <c r="DP462" s="10"/>
      <c r="DQ462" s="10"/>
      <c r="DR462" s="10"/>
      <c r="DS462" s="10"/>
      <c r="DT462" s="10"/>
      <c r="DU462" s="10"/>
      <c r="DV462" s="10"/>
      <c r="DW462" s="10"/>
      <c r="DX462" s="10"/>
      <c r="DY462" s="10"/>
      <c r="DZ462" s="10"/>
      <c r="EA462" s="10"/>
      <c r="EB462" s="10"/>
      <c r="EC462" s="10"/>
      <c r="ED462" s="10"/>
      <c r="EE462" s="10"/>
      <c r="EF462" s="10"/>
      <c r="EG462" s="10"/>
      <c r="EH462" s="10"/>
      <c r="EI462" s="10"/>
      <c r="EJ462" s="10"/>
      <c r="EK462" s="10"/>
      <c r="EL462" s="10"/>
      <c r="EM462" s="10"/>
      <c r="EN462" s="10"/>
      <c r="EO462" s="10"/>
      <c r="EP462" s="10"/>
      <c r="EQ462" s="10"/>
      <c r="ER462" s="10"/>
      <c r="ES462" s="10"/>
      <c r="ET462" s="10"/>
      <c r="EU462" s="10"/>
      <c r="EV462" s="10"/>
      <c r="EW462" s="10"/>
      <c r="EX462" s="10"/>
      <c r="EY462" s="10"/>
      <c r="EZ462" s="10"/>
      <c r="FA462" s="10"/>
      <c r="FB462" s="10"/>
      <c r="FC462" s="10"/>
      <c r="FD462" s="10"/>
      <c r="FE462" s="10"/>
      <c r="FF462" s="10"/>
      <c r="FG462" s="10"/>
      <c r="FH462" s="10"/>
      <c r="FI462" s="10"/>
      <c r="FJ462" s="10"/>
      <c r="FK462" s="10"/>
      <c r="FL462" s="10"/>
      <c r="FM462" s="10"/>
      <c r="FN462" s="10"/>
      <c r="FO462" s="10"/>
      <c r="FP462" s="10"/>
      <c r="FQ462" s="10"/>
      <c r="FR462" s="10"/>
      <c r="FS462" s="10"/>
      <c r="FT462" s="10"/>
      <c r="FU462" s="10"/>
      <c r="FV462" s="10"/>
      <c r="FW462" s="10"/>
      <c r="FX462" s="10"/>
      <c r="FY462" s="10"/>
      <c r="FZ462" s="10"/>
      <c r="GA462" s="10"/>
      <c r="GB462" s="10"/>
      <c r="GC462" s="10"/>
      <c r="GD462" s="10"/>
      <c r="GE462" s="10"/>
      <c r="GF462" s="10"/>
      <c r="GG462" s="10"/>
      <c r="GH462" s="10"/>
      <c r="GI462" s="10"/>
      <c r="GJ462" s="10"/>
      <c r="GK462" s="10"/>
    </row>
    <row r="463" customFormat="false" ht="12.75" hidden="false" customHeight="false" outlineLevel="0" collapsed="false">
      <c r="A463" s="7"/>
      <c r="B463" s="7"/>
      <c r="C463" s="8"/>
      <c r="D463" s="8"/>
      <c r="E463" s="8"/>
      <c r="F463" s="8"/>
      <c r="G463" s="9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  <c r="BT463" s="10"/>
      <c r="BU463" s="10"/>
      <c r="BV463" s="10"/>
      <c r="BW463" s="10"/>
      <c r="BX463" s="10"/>
      <c r="BY463" s="10"/>
      <c r="BZ463" s="10"/>
      <c r="CA463" s="10"/>
      <c r="CB463" s="10"/>
      <c r="CC463" s="10"/>
      <c r="CD463" s="10"/>
      <c r="CE463" s="10"/>
      <c r="CF463" s="10"/>
      <c r="CG463" s="10"/>
      <c r="CH463" s="10"/>
      <c r="CI463" s="10"/>
      <c r="CJ463" s="10"/>
      <c r="CK463" s="10"/>
      <c r="CL463" s="10"/>
      <c r="CM463" s="10"/>
      <c r="CN463" s="10"/>
      <c r="CO463" s="10"/>
      <c r="CP463" s="10"/>
      <c r="CQ463" s="10"/>
      <c r="CR463" s="10"/>
      <c r="CS463" s="10"/>
      <c r="CT463" s="10"/>
      <c r="CU463" s="10"/>
      <c r="CV463" s="10"/>
      <c r="CW463" s="10"/>
      <c r="CX463" s="10"/>
      <c r="CY463" s="10"/>
      <c r="CZ463" s="10"/>
      <c r="DA463" s="10"/>
      <c r="DB463" s="10"/>
      <c r="DC463" s="10"/>
      <c r="DD463" s="10"/>
      <c r="DE463" s="10"/>
      <c r="DF463" s="10"/>
      <c r="DG463" s="10"/>
      <c r="DH463" s="10"/>
      <c r="DI463" s="10"/>
      <c r="DJ463" s="10"/>
      <c r="DK463" s="10"/>
      <c r="DL463" s="10"/>
      <c r="DM463" s="10"/>
      <c r="DN463" s="10"/>
      <c r="DO463" s="10"/>
      <c r="DP463" s="10"/>
      <c r="DQ463" s="10"/>
      <c r="DR463" s="10"/>
      <c r="DS463" s="10"/>
      <c r="DT463" s="10"/>
      <c r="DU463" s="10"/>
      <c r="DV463" s="10"/>
      <c r="DW463" s="10"/>
      <c r="DX463" s="10"/>
      <c r="DY463" s="10"/>
      <c r="DZ463" s="10"/>
      <c r="EA463" s="10"/>
      <c r="EB463" s="10"/>
      <c r="EC463" s="10"/>
      <c r="ED463" s="10"/>
      <c r="EE463" s="10"/>
      <c r="EF463" s="10"/>
      <c r="EG463" s="10"/>
      <c r="EH463" s="10"/>
      <c r="EI463" s="10"/>
      <c r="EJ463" s="10"/>
      <c r="EK463" s="10"/>
      <c r="EL463" s="10"/>
      <c r="EM463" s="10"/>
      <c r="EN463" s="10"/>
      <c r="EO463" s="10"/>
      <c r="EP463" s="10"/>
      <c r="EQ463" s="10"/>
      <c r="ER463" s="10"/>
      <c r="ES463" s="10"/>
      <c r="ET463" s="10"/>
      <c r="EU463" s="10"/>
      <c r="EV463" s="10"/>
      <c r="EW463" s="10"/>
      <c r="EX463" s="10"/>
      <c r="EY463" s="10"/>
      <c r="EZ463" s="10"/>
      <c r="FA463" s="10"/>
      <c r="FB463" s="10"/>
      <c r="FC463" s="10"/>
      <c r="FD463" s="10"/>
      <c r="FE463" s="10"/>
      <c r="FF463" s="10"/>
      <c r="FG463" s="10"/>
      <c r="FH463" s="10"/>
      <c r="FI463" s="10"/>
      <c r="FJ463" s="10"/>
      <c r="FK463" s="10"/>
      <c r="FL463" s="10"/>
      <c r="FM463" s="10"/>
      <c r="FN463" s="10"/>
      <c r="FO463" s="10"/>
      <c r="FP463" s="10"/>
      <c r="FQ463" s="10"/>
      <c r="FR463" s="10"/>
      <c r="FS463" s="10"/>
      <c r="FT463" s="10"/>
      <c r="FU463" s="10"/>
      <c r="FV463" s="10"/>
      <c r="FW463" s="10"/>
      <c r="FX463" s="10"/>
      <c r="FY463" s="10"/>
      <c r="FZ463" s="10"/>
      <c r="GA463" s="10"/>
      <c r="GB463" s="10"/>
      <c r="GC463" s="10"/>
      <c r="GD463" s="10"/>
      <c r="GE463" s="10"/>
      <c r="GF463" s="10"/>
      <c r="GG463" s="10"/>
      <c r="GH463" s="10"/>
      <c r="GI463" s="10"/>
      <c r="GJ463" s="10"/>
      <c r="GK463" s="10"/>
    </row>
    <row r="464" customFormat="false" ht="12.75" hidden="false" customHeight="false" outlineLevel="0" collapsed="false">
      <c r="A464" s="7"/>
      <c r="B464" s="7"/>
      <c r="C464" s="8"/>
      <c r="D464" s="8"/>
      <c r="E464" s="8"/>
      <c r="F464" s="8"/>
      <c r="G464" s="9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  <c r="BT464" s="10"/>
      <c r="BU464" s="10"/>
      <c r="BV464" s="10"/>
      <c r="BW464" s="10"/>
      <c r="BX464" s="10"/>
      <c r="BY464" s="10"/>
      <c r="BZ464" s="10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  <c r="EM464" s="10"/>
      <c r="EN464" s="10"/>
      <c r="EO464" s="10"/>
      <c r="EP464" s="10"/>
      <c r="EQ464" s="10"/>
      <c r="ER464" s="10"/>
      <c r="ES464" s="10"/>
      <c r="ET464" s="10"/>
      <c r="EU464" s="10"/>
      <c r="EV464" s="10"/>
      <c r="EW464" s="10"/>
      <c r="EX464" s="10"/>
      <c r="EY464" s="10"/>
      <c r="EZ464" s="10"/>
      <c r="FA464" s="10"/>
      <c r="FB464" s="10"/>
      <c r="FC464" s="10"/>
      <c r="FD464" s="10"/>
      <c r="FE464" s="10"/>
      <c r="FF464" s="10"/>
      <c r="FG464" s="10"/>
      <c r="FH464" s="10"/>
      <c r="FI464" s="10"/>
      <c r="FJ464" s="10"/>
      <c r="FK464" s="10"/>
      <c r="FL464" s="10"/>
      <c r="FM464" s="10"/>
      <c r="FN464" s="10"/>
      <c r="FO464" s="10"/>
      <c r="FP464" s="10"/>
      <c r="FQ464" s="10"/>
      <c r="FR464" s="10"/>
      <c r="FS464" s="10"/>
      <c r="FT464" s="10"/>
      <c r="FU464" s="10"/>
      <c r="FV464" s="10"/>
      <c r="FW464" s="10"/>
      <c r="FX464" s="10"/>
      <c r="FY464" s="10"/>
      <c r="FZ464" s="10"/>
      <c r="GA464" s="10"/>
      <c r="GB464" s="10"/>
      <c r="GC464" s="10"/>
      <c r="GD464" s="10"/>
      <c r="GE464" s="10"/>
      <c r="GF464" s="10"/>
      <c r="GG464" s="10"/>
      <c r="GH464" s="10"/>
      <c r="GI464" s="10"/>
      <c r="GJ464" s="10"/>
      <c r="GK464" s="10"/>
    </row>
    <row r="465" customFormat="false" ht="12.75" hidden="false" customHeight="false" outlineLevel="0" collapsed="false">
      <c r="A465" s="7"/>
      <c r="B465" s="7"/>
      <c r="C465" s="8"/>
      <c r="D465" s="8"/>
      <c r="E465" s="8"/>
      <c r="F465" s="8"/>
      <c r="G465" s="9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/>
      <c r="BT465" s="10"/>
      <c r="BU465" s="10"/>
      <c r="BV465" s="10"/>
      <c r="BW465" s="10"/>
      <c r="BX465" s="10"/>
      <c r="BY465" s="10"/>
      <c r="BZ465" s="10"/>
      <c r="CA465" s="10"/>
      <c r="CB465" s="10"/>
      <c r="CC465" s="10"/>
      <c r="CD465" s="10"/>
      <c r="CE465" s="10"/>
      <c r="CF465" s="10"/>
      <c r="CG465" s="10"/>
      <c r="CH465" s="10"/>
      <c r="CI465" s="10"/>
      <c r="CJ465" s="10"/>
      <c r="CK465" s="10"/>
      <c r="CL465" s="10"/>
      <c r="CM465" s="10"/>
      <c r="CN465" s="10"/>
      <c r="CO465" s="10"/>
      <c r="CP465" s="10"/>
      <c r="CQ465" s="10"/>
      <c r="CR465" s="10"/>
      <c r="CS465" s="10"/>
      <c r="CT465" s="10"/>
      <c r="CU465" s="10"/>
      <c r="CV465" s="10"/>
      <c r="CW465" s="10"/>
      <c r="CX465" s="10"/>
      <c r="CY465" s="10"/>
      <c r="CZ465" s="10"/>
      <c r="DA465" s="10"/>
      <c r="DB465" s="10"/>
      <c r="DC465" s="10"/>
      <c r="DD465" s="10"/>
      <c r="DE465" s="10"/>
      <c r="DF465" s="10"/>
      <c r="DG465" s="10"/>
      <c r="DH465" s="10"/>
      <c r="DI465" s="10"/>
      <c r="DJ465" s="10"/>
      <c r="DK465" s="10"/>
      <c r="DL465" s="10"/>
      <c r="DM465" s="10"/>
      <c r="DN465" s="10"/>
      <c r="DO465" s="10"/>
      <c r="DP465" s="10"/>
      <c r="DQ465" s="10"/>
      <c r="DR465" s="10"/>
      <c r="DS465" s="10"/>
      <c r="DT465" s="10"/>
      <c r="DU465" s="10"/>
      <c r="DV465" s="10"/>
      <c r="DW465" s="10"/>
      <c r="DX465" s="10"/>
      <c r="DY465" s="10"/>
      <c r="DZ465" s="10"/>
      <c r="EA465" s="10"/>
      <c r="EB465" s="10"/>
      <c r="EC465" s="10"/>
      <c r="ED465" s="10"/>
      <c r="EE465" s="10"/>
      <c r="EF465" s="10"/>
      <c r="EG465" s="10"/>
      <c r="EH465" s="10"/>
      <c r="EI465" s="10"/>
      <c r="EJ465" s="10"/>
      <c r="EK465" s="10"/>
      <c r="EL465" s="10"/>
      <c r="EM465" s="10"/>
      <c r="EN465" s="10"/>
      <c r="EO465" s="10"/>
      <c r="EP465" s="10"/>
      <c r="EQ465" s="10"/>
      <c r="ER465" s="10"/>
      <c r="ES465" s="10"/>
      <c r="ET465" s="10"/>
      <c r="EU465" s="10"/>
      <c r="EV465" s="10"/>
      <c r="EW465" s="10"/>
      <c r="EX465" s="10"/>
      <c r="EY465" s="10"/>
      <c r="EZ465" s="10"/>
      <c r="FA465" s="10"/>
      <c r="FB465" s="10"/>
      <c r="FC465" s="10"/>
      <c r="FD465" s="10"/>
      <c r="FE465" s="10"/>
      <c r="FF465" s="10"/>
      <c r="FG465" s="10"/>
      <c r="FH465" s="10"/>
      <c r="FI465" s="10"/>
      <c r="FJ465" s="10"/>
      <c r="FK465" s="10"/>
      <c r="FL465" s="10"/>
      <c r="FM465" s="10"/>
      <c r="FN465" s="10"/>
      <c r="FO465" s="10"/>
      <c r="FP465" s="10"/>
      <c r="FQ465" s="10"/>
      <c r="FR465" s="10"/>
      <c r="FS465" s="10"/>
      <c r="FT465" s="10"/>
      <c r="FU465" s="10"/>
      <c r="FV465" s="10"/>
      <c r="FW465" s="10"/>
      <c r="FX465" s="10"/>
      <c r="FY465" s="10"/>
      <c r="FZ465" s="10"/>
      <c r="GA465" s="10"/>
      <c r="GB465" s="10"/>
      <c r="GC465" s="10"/>
      <c r="GD465" s="10"/>
      <c r="GE465" s="10"/>
      <c r="GF465" s="10"/>
      <c r="GG465" s="10"/>
      <c r="GH465" s="10"/>
      <c r="GI465" s="10"/>
      <c r="GJ465" s="10"/>
      <c r="GK465" s="10"/>
    </row>
    <row r="466" customFormat="false" ht="12.75" hidden="false" customHeight="false" outlineLevel="0" collapsed="false">
      <c r="A466" s="7"/>
      <c r="B466" s="7"/>
      <c r="C466" s="8"/>
      <c r="D466" s="8"/>
      <c r="E466" s="8"/>
      <c r="F466" s="8"/>
      <c r="G466" s="9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  <c r="BT466" s="10"/>
      <c r="BU466" s="10"/>
      <c r="BV466" s="10"/>
      <c r="BW466" s="10"/>
      <c r="BX466" s="10"/>
      <c r="BY466" s="10"/>
      <c r="BZ466" s="10"/>
      <c r="CA466" s="10"/>
      <c r="CB466" s="10"/>
      <c r="CC466" s="10"/>
      <c r="CD466" s="10"/>
      <c r="CE466" s="10"/>
      <c r="CF466" s="10"/>
      <c r="CG466" s="10"/>
      <c r="CH466" s="10"/>
      <c r="CI466" s="10"/>
      <c r="CJ466" s="10"/>
      <c r="CK466" s="10"/>
      <c r="CL466" s="10"/>
      <c r="CM466" s="10"/>
      <c r="CN466" s="10"/>
      <c r="CO466" s="10"/>
      <c r="CP466" s="10"/>
      <c r="CQ466" s="10"/>
      <c r="CR466" s="10"/>
      <c r="CS466" s="10"/>
      <c r="CT466" s="10"/>
      <c r="CU466" s="10"/>
      <c r="CV466" s="10"/>
      <c r="CW466" s="10"/>
      <c r="CX466" s="10"/>
      <c r="CY466" s="10"/>
      <c r="CZ466" s="10"/>
      <c r="DA466" s="10"/>
      <c r="DB466" s="10"/>
      <c r="DC466" s="10"/>
      <c r="DD466" s="10"/>
      <c r="DE466" s="10"/>
      <c r="DF466" s="10"/>
      <c r="DG466" s="10"/>
      <c r="DH466" s="10"/>
      <c r="DI466" s="10"/>
      <c r="DJ466" s="10"/>
      <c r="DK466" s="10"/>
      <c r="DL466" s="10"/>
      <c r="DM466" s="10"/>
      <c r="DN466" s="10"/>
      <c r="DO466" s="10"/>
      <c r="DP466" s="10"/>
      <c r="DQ466" s="10"/>
      <c r="DR466" s="10"/>
      <c r="DS466" s="10"/>
      <c r="DT466" s="10"/>
      <c r="DU466" s="10"/>
      <c r="DV466" s="10"/>
      <c r="DW466" s="10"/>
      <c r="DX466" s="10"/>
      <c r="DY466" s="10"/>
      <c r="DZ466" s="10"/>
      <c r="EA466" s="10"/>
      <c r="EB466" s="10"/>
      <c r="EC466" s="10"/>
      <c r="ED466" s="10"/>
      <c r="EE466" s="10"/>
      <c r="EF466" s="10"/>
      <c r="EG466" s="10"/>
      <c r="EH466" s="10"/>
      <c r="EI466" s="10"/>
      <c r="EJ466" s="10"/>
      <c r="EK466" s="10"/>
      <c r="EL466" s="10"/>
      <c r="EM466" s="10"/>
      <c r="EN466" s="10"/>
      <c r="EO466" s="10"/>
      <c r="EP466" s="10"/>
      <c r="EQ466" s="10"/>
      <c r="ER466" s="10"/>
      <c r="ES466" s="10"/>
      <c r="ET466" s="10"/>
      <c r="EU466" s="10"/>
      <c r="EV466" s="10"/>
      <c r="EW466" s="10"/>
      <c r="EX466" s="10"/>
      <c r="EY466" s="10"/>
      <c r="EZ466" s="10"/>
      <c r="FA466" s="10"/>
      <c r="FB466" s="10"/>
      <c r="FC466" s="10"/>
      <c r="FD466" s="10"/>
      <c r="FE466" s="10"/>
      <c r="FF466" s="10"/>
      <c r="FG466" s="10"/>
      <c r="FH466" s="10"/>
      <c r="FI466" s="10"/>
      <c r="FJ466" s="10"/>
      <c r="FK466" s="10"/>
      <c r="FL466" s="10"/>
      <c r="FM466" s="10"/>
      <c r="FN466" s="10"/>
      <c r="FO466" s="10"/>
      <c r="FP466" s="10"/>
      <c r="FQ466" s="10"/>
      <c r="FR466" s="10"/>
      <c r="FS466" s="10"/>
      <c r="FT466" s="10"/>
      <c r="FU466" s="10"/>
      <c r="FV466" s="10"/>
      <c r="FW466" s="10"/>
      <c r="FX466" s="10"/>
      <c r="FY466" s="10"/>
      <c r="FZ466" s="10"/>
      <c r="GA466" s="10"/>
      <c r="GB466" s="10"/>
      <c r="GC466" s="10"/>
      <c r="GD466" s="10"/>
      <c r="GE466" s="10"/>
      <c r="GF466" s="10"/>
      <c r="GG466" s="10"/>
      <c r="GH466" s="10"/>
      <c r="GI466" s="10"/>
      <c r="GJ466" s="10"/>
      <c r="GK466" s="10"/>
    </row>
    <row r="467" customFormat="false" ht="12.75" hidden="false" customHeight="false" outlineLevel="0" collapsed="false">
      <c r="A467" s="7"/>
      <c r="B467" s="7"/>
      <c r="C467" s="8"/>
      <c r="D467" s="8"/>
      <c r="E467" s="8"/>
      <c r="F467" s="8"/>
      <c r="G467" s="9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  <c r="BU467" s="10"/>
      <c r="BV467" s="10"/>
      <c r="BW467" s="10"/>
      <c r="BX467" s="10"/>
      <c r="BY467" s="10"/>
      <c r="BZ467" s="10"/>
      <c r="CA467" s="10"/>
      <c r="CB467" s="10"/>
      <c r="CC467" s="10"/>
      <c r="CD467" s="10"/>
      <c r="CE467" s="10"/>
      <c r="CF467" s="10"/>
      <c r="CG467" s="10"/>
      <c r="CH467" s="10"/>
      <c r="CI467" s="10"/>
      <c r="CJ467" s="10"/>
      <c r="CK467" s="10"/>
      <c r="CL467" s="10"/>
      <c r="CM467" s="10"/>
      <c r="CN467" s="10"/>
      <c r="CO467" s="10"/>
      <c r="CP467" s="10"/>
      <c r="CQ467" s="10"/>
      <c r="CR467" s="10"/>
      <c r="CS467" s="10"/>
      <c r="CT467" s="10"/>
      <c r="CU467" s="10"/>
      <c r="CV467" s="10"/>
      <c r="CW467" s="10"/>
      <c r="CX467" s="10"/>
      <c r="CY467" s="10"/>
      <c r="CZ467" s="10"/>
      <c r="DA467" s="10"/>
      <c r="DB467" s="10"/>
      <c r="DC467" s="10"/>
      <c r="DD467" s="10"/>
      <c r="DE467" s="10"/>
      <c r="DF467" s="10"/>
      <c r="DG467" s="10"/>
      <c r="DH467" s="10"/>
      <c r="DI467" s="10"/>
      <c r="DJ467" s="10"/>
      <c r="DK467" s="10"/>
      <c r="DL467" s="10"/>
      <c r="DM467" s="10"/>
      <c r="DN467" s="10"/>
      <c r="DO467" s="10"/>
      <c r="DP467" s="10"/>
      <c r="DQ467" s="10"/>
      <c r="DR467" s="10"/>
      <c r="DS467" s="10"/>
      <c r="DT467" s="10"/>
      <c r="DU467" s="10"/>
      <c r="DV467" s="10"/>
      <c r="DW467" s="10"/>
      <c r="DX467" s="10"/>
      <c r="DY467" s="10"/>
      <c r="DZ467" s="10"/>
      <c r="EA467" s="10"/>
      <c r="EB467" s="10"/>
      <c r="EC467" s="10"/>
      <c r="ED467" s="10"/>
      <c r="EE467" s="10"/>
      <c r="EF467" s="10"/>
      <c r="EG467" s="10"/>
      <c r="EH467" s="10"/>
      <c r="EI467" s="10"/>
      <c r="EJ467" s="10"/>
      <c r="EK467" s="10"/>
      <c r="EL467" s="10"/>
      <c r="EM467" s="10"/>
      <c r="EN467" s="10"/>
      <c r="EO467" s="10"/>
      <c r="EP467" s="10"/>
      <c r="EQ467" s="10"/>
      <c r="ER467" s="10"/>
      <c r="ES467" s="10"/>
      <c r="ET467" s="10"/>
      <c r="EU467" s="10"/>
      <c r="EV467" s="10"/>
      <c r="EW467" s="10"/>
      <c r="EX467" s="10"/>
      <c r="EY467" s="10"/>
      <c r="EZ467" s="10"/>
      <c r="FA467" s="10"/>
      <c r="FB467" s="10"/>
      <c r="FC467" s="10"/>
      <c r="FD467" s="10"/>
      <c r="FE467" s="10"/>
      <c r="FF467" s="10"/>
      <c r="FG467" s="10"/>
      <c r="FH467" s="10"/>
      <c r="FI467" s="10"/>
      <c r="FJ467" s="10"/>
      <c r="FK467" s="10"/>
      <c r="FL467" s="10"/>
      <c r="FM467" s="10"/>
      <c r="FN467" s="10"/>
      <c r="FO467" s="10"/>
      <c r="FP467" s="10"/>
      <c r="FQ467" s="10"/>
      <c r="FR467" s="10"/>
      <c r="FS467" s="10"/>
      <c r="FT467" s="10"/>
      <c r="FU467" s="10"/>
      <c r="FV467" s="10"/>
      <c r="FW467" s="10"/>
      <c r="FX467" s="10"/>
      <c r="FY467" s="10"/>
      <c r="FZ467" s="10"/>
      <c r="GA467" s="10"/>
      <c r="GB467" s="10"/>
      <c r="GC467" s="10"/>
      <c r="GD467" s="10"/>
      <c r="GE467" s="10"/>
      <c r="GF467" s="10"/>
      <c r="GG467" s="10"/>
      <c r="GH467" s="10"/>
      <c r="GI467" s="10"/>
      <c r="GJ467" s="10"/>
      <c r="GK467" s="10"/>
    </row>
    <row r="468" customFormat="false" ht="12.75" hidden="false" customHeight="false" outlineLevel="0" collapsed="false">
      <c r="A468" s="7"/>
      <c r="B468" s="7"/>
      <c r="C468" s="8"/>
      <c r="D468" s="8"/>
      <c r="E468" s="8"/>
      <c r="F468" s="8"/>
      <c r="G468" s="9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  <c r="BU468" s="10"/>
      <c r="BV468" s="10"/>
      <c r="BW468" s="10"/>
      <c r="BX468" s="10"/>
      <c r="BY468" s="10"/>
      <c r="BZ468" s="10"/>
      <c r="CA468" s="10"/>
      <c r="CB468" s="10"/>
      <c r="CC468" s="10"/>
      <c r="CD468" s="10"/>
      <c r="CE468" s="10"/>
      <c r="CF468" s="10"/>
      <c r="CG468" s="10"/>
      <c r="CH468" s="10"/>
      <c r="CI468" s="10"/>
      <c r="CJ468" s="10"/>
      <c r="CK468" s="10"/>
      <c r="CL468" s="10"/>
      <c r="CM468" s="10"/>
      <c r="CN468" s="10"/>
      <c r="CO468" s="10"/>
      <c r="CP468" s="10"/>
      <c r="CQ468" s="10"/>
      <c r="CR468" s="10"/>
      <c r="CS468" s="10"/>
      <c r="CT468" s="10"/>
      <c r="CU468" s="10"/>
      <c r="CV468" s="10"/>
      <c r="CW468" s="10"/>
      <c r="CX468" s="10"/>
      <c r="CY468" s="10"/>
      <c r="CZ468" s="10"/>
      <c r="DA468" s="10"/>
      <c r="DB468" s="10"/>
      <c r="DC468" s="10"/>
      <c r="DD468" s="10"/>
      <c r="DE468" s="10"/>
      <c r="DF468" s="10"/>
      <c r="DG468" s="10"/>
      <c r="DH468" s="10"/>
      <c r="DI468" s="10"/>
      <c r="DJ468" s="10"/>
      <c r="DK468" s="10"/>
      <c r="DL468" s="10"/>
      <c r="DM468" s="10"/>
      <c r="DN468" s="10"/>
      <c r="DO468" s="10"/>
      <c r="DP468" s="10"/>
      <c r="DQ468" s="10"/>
      <c r="DR468" s="10"/>
      <c r="DS468" s="10"/>
      <c r="DT468" s="10"/>
      <c r="DU468" s="10"/>
      <c r="DV468" s="10"/>
      <c r="DW468" s="10"/>
      <c r="DX468" s="10"/>
      <c r="DY468" s="10"/>
      <c r="DZ468" s="10"/>
      <c r="EA468" s="10"/>
      <c r="EB468" s="10"/>
      <c r="EC468" s="10"/>
      <c r="ED468" s="10"/>
      <c r="EE468" s="10"/>
      <c r="EF468" s="10"/>
      <c r="EG468" s="10"/>
      <c r="EH468" s="10"/>
      <c r="EI468" s="10"/>
      <c r="EJ468" s="10"/>
      <c r="EK468" s="10"/>
      <c r="EL468" s="10"/>
      <c r="EM468" s="10"/>
      <c r="EN468" s="10"/>
      <c r="EO468" s="10"/>
      <c r="EP468" s="10"/>
      <c r="EQ468" s="10"/>
      <c r="ER468" s="10"/>
      <c r="ES468" s="10"/>
      <c r="ET468" s="10"/>
      <c r="EU468" s="10"/>
      <c r="EV468" s="10"/>
      <c r="EW468" s="10"/>
      <c r="EX468" s="10"/>
      <c r="EY468" s="10"/>
      <c r="EZ468" s="10"/>
      <c r="FA468" s="10"/>
      <c r="FB468" s="10"/>
      <c r="FC468" s="10"/>
      <c r="FD468" s="10"/>
      <c r="FE468" s="10"/>
      <c r="FF468" s="10"/>
      <c r="FG468" s="10"/>
      <c r="FH468" s="10"/>
      <c r="FI468" s="10"/>
      <c r="FJ468" s="10"/>
      <c r="FK468" s="10"/>
      <c r="FL468" s="10"/>
      <c r="FM468" s="10"/>
      <c r="FN468" s="10"/>
      <c r="FO468" s="10"/>
      <c r="FP468" s="10"/>
      <c r="FQ468" s="10"/>
      <c r="FR468" s="10"/>
      <c r="FS468" s="10"/>
      <c r="FT468" s="10"/>
      <c r="FU468" s="10"/>
      <c r="FV468" s="10"/>
      <c r="FW468" s="10"/>
      <c r="FX468" s="10"/>
      <c r="FY468" s="10"/>
      <c r="FZ468" s="10"/>
      <c r="GA468" s="10"/>
      <c r="GB468" s="10"/>
      <c r="GC468" s="10"/>
      <c r="GD468" s="10"/>
      <c r="GE468" s="10"/>
      <c r="GF468" s="10"/>
      <c r="GG468" s="10"/>
      <c r="GH468" s="10"/>
      <c r="GI468" s="10"/>
      <c r="GJ468" s="10"/>
      <c r="GK468" s="10"/>
    </row>
    <row r="469" customFormat="false" ht="12.75" hidden="false" customHeight="false" outlineLevel="0" collapsed="false">
      <c r="A469" s="7"/>
      <c r="B469" s="7"/>
      <c r="C469" s="8"/>
      <c r="D469" s="8"/>
      <c r="E469" s="8"/>
      <c r="F469" s="8"/>
      <c r="G469" s="9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  <c r="BT469" s="10"/>
      <c r="BU469" s="10"/>
      <c r="BV469" s="10"/>
      <c r="BW469" s="10"/>
      <c r="BX469" s="10"/>
      <c r="BY469" s="10"/>
      <c r="BZ469" s="10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0"/>
      <c r="CN469" s="10"/>
      <c r="CO469" s="10"/>
      <c r="CP469" s="10"/>
      <c r="CQ469" s="10"/>
      <c r="CR469" s="10"/>
      <c r="CS469" s="10"/>
      <c r="CT469" s="10"/>
      <c r="CU469" s="10"/>
      <c r="CV469" s="10"/>
      <c r="CW469" s="10"/>
      <c r="CX469" s="10"/>
      <c r="CY469" s="10"/>
      <c r="CZ469" s="10"/>
      <c r="DA469" s="10"/>
      <c r="DB469" s="10"/>
      <c r="DC469" s="10"/>
      <c r="DD469" s="10"/>
      <c r="DE469" s="10"/>
      <c r="DF469" s="10"/>
      <c r="DG469" s="10"/>
      <c r="DH469" s="10"/>
      <c r="DI469" s="10"/>
      <c r="DJ469" s="10"/>
      <c r="DK469" s="10"/>
      <c r="DL469" s="10"/>
      <c r="DM469" s="10"/>
      <c r="DN469" s="10"/>
      <c r="DO469" s="10"/>
      <c r="DP469" s="10"/>
      <c r="DQ469" s="10"/>
      <c r="DR469" s="10"/>
      <c r="DS469" s="10"/>
      <c r="DT469" s="10"/>
      <c r="DU469" s="10"/>
      <c r="DV469" s="10"/>
      <c r="DW469" s="10"/>
      <c r="DX469" s="10"/>
      <c r="DY469" s="10"/>
      <c r="DZ469" s="10"/>
      <c r="EA469" s="10"/>
      <c r="EB469" s="10"/>
      <c r="EC469" s="10"/>
      <c r="ED469" s="10"/>
      <c r="EE469" s="10"/>
      <c r="EF469" s="10"/>
      <c r="EG469" s="10"/>
      <c r="EH469" s="10"/>
      <c r="EI469" s="10"/>
      <c r="EJ469" s="10"/>
      <c r="EK469" s="10"/>
      <c r="EL469" s="10"/>
      <c r="EM469" s="10"/>
      <c r="EN469" s="10"/>
      <c r="EO469" s="10"/>
      <c r="EP469" s="10"/>
      <c r="EQ469" s="10"/>
      <c r="ER469" s="10"/>
      <c r="ES469" s="10"/>
      <c r="ET469" s="10"/>
      <c r="EU469" s="10"/>
      <c r="EV469" s="10"/>
      <c r="EW469" s="10"/>
      <c r="EX469" s="10"/>
      <c r="EY469" s="10"/>
      <c r="EZ469" s="10"/>
      <c r="FA469" s="10"/>
      <c r="FB469" s="10"/>
      <c r="FC469" s="10"/>
      <c r="FD469" s="10"/>
      <c r="FE469" s="10"/>
      <c r="FF469" s="10"/>
      <c r="FG469" s="10"/>
      <c r="FH469" s="10"/>
      <c r="FI469" s="10"/>
      <c r="FJ469" s="10"/>
      <c r="FK469" s="10"/>
      <c r="FL469" s="10"/>
      <c r="FM469" s="10"/>
      <c r="FN469" s="10"/>
      <c r="FO469" s="10"/>
      <c r="FP469" s="10"/>
      <c r="FQ469" s="10"/>
      <c r="FR469" s="10"/>
      <c r="FS469" s="10"/>
      <c r="FT469" s="10"/>
      <c r="FU469" s="10"/>
      <c r="FV469" s="10"/>
      <c r="FW469" s="10"/>
      <c r="FX469" s="10"/>
      <c r="FY469" s="10"/>
      <c r="FZ469" s="10"/>
      <c r="GA469" s="10"/>
      <c r="GB469" s="10"/>
      <c r="GC469" s="10"/>
      <c r="GD469" s="10"/>
      <c r="GE469" s="10"/>
      <c r="GF469" s="10"/>
      <c r="GG469" s="10"/>
      <c r="GH469" s="10"/>
      <c r="GI469" s="10"/>
      <c r="GJ469" s="10"/>
      <c r="GK469" s="10"/>
    </row>
    <row r="470" customFormat="false" ht="12.75" hidden="false" customHeight="false" outlineLevel="0" collapsed="false">
      <c r="A470" s="7"/>
      <c r="B470" s="7"/>
      <c r="C470" s="8"/>
      <c r="D470" s="8"/>
      <c r="E470" s="8"/>
      <c r="F470" s="8"/>
      <c r="G470" s="9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  <c r="BU470" s="10"/>
      <c r="BV470" s="10"/>
      <c r="BW470" s="10"/>
      <c r="BX470" s="10"/>
      <c r="BY470" s="10"/>
      <c r="BZ470" s="10"/>
      <c r="CA470" s="10"/>
      <c r="CB470" s="10"/>
      <c r="CC470" s="10"/>
      <c r="CD470" s="10"/>
      <c r="CE470" s="10"/>
      <c r="CF470" s="10"/>
      <c r="CG470" s="10"/>
      <c r="CH470" s="10"/>
      <c r="CI470" s="10"/>
      <c r="CJ470" s="10"/>
      <c r="CK470" s="10"/>
      <c r="CL470" s="10"/>
      <c r="CM470" s="10"/>
      <c r="CN470" s="10"/>
      <c r="CO470" s="10"/>
      <c r="CP470" s="10"/>
      <c r="CQ470" s="10"/>
      <c r="CR470" s="10"/>
      <c r="CS470" s="10"/>
      <c r="CT470" s="10"/>
      <c r="CU470" s="10"/>
      <c r="CV470" s="10"/>
      <c r="CW470" s="10"/>
      <c r="CX470" s="10"/>
      <c r="CY470" s="10"/>
      <c r="CZ470" s="10"/>
      <c r="DA470" s="10"/>
      <c r="DB470" s="10"/>
      <c r="DC470" s="10"/>
      <c r="DD470" s="10"/>
      <c r="DE470" s="10"/>
      <c r="DF470" s="10"/>
      <c r="DG470" s="10"/>
      <c r="DH470" s="10"/>
      <c r="DI470" s="10"/>
      <c r="DJ470" s="10"/>
      <c r="DK470" s="10"/>
      <c r="DL470" s="10"/>
      <c r="DM470" s="10"/>
      <c r="DN470" s="10"/>
      <c r="DO470" s="10"/>
      <c r="DP470" s="10"/>
      <c r="DQ470" s="10"/>
      <c r="DR470" s="10"/>
      <c r="DS470" s="10"/>
      <c r="DT470" s="10"/>
      <c r="DU470" s="10"/>
      <c r="DV470" s="10"/>
      <c r="DW470" s="10"/>
      <c r="DX470" s="10"/>
      <c r="DY470" s="10"/>
      <c r="DZ470" s="10"/>
      <c r="EA470" s="10"/>
      <c r="EB470" s="10"/>
      <c r="EC470" s="10"/>
      <c r="ED470" s="10"/>
      <c r="EE470" s="10"/>
      <c r="EF470" s="10"/>
      <c r="EG470" s="10"/>
      <c r="EH470" s="10"/>
      <c r="EI470" s="10"/>
      <c r="EJ470" s="10"/>
      <c r="EK470" s="10"/>
      <c r="EL470" s="10"/>
      <c r="EM470" s="10"/>
      <c r="EN470" s="10"/>
      <c r="EO470" s="10"/>
      <c r="EP470" s="10"/>
      <c r="EQ470" s="10"/>
      <c r="ER470" s="10"/>
      <c r="ES470" s="10"/>
      <c r="ET470" s="10"/>
      <c r="EU470" s="10"/>
      <c r="EV470" s="10"/>
      <c r="EW470" s="10"/>
      <c r="EX470" s="10"/>
      <c r="EY470" s="10"/>
      <c r="EZ470" s="10"/>
      <c r="FA470" s="10"/>
      <c r="FB470" s="10"/>
      <c r="FC470" s="10"/>
      <c r="FD470" s="10"/>
      <c r="FE470" s="10"/>
      <c r="FF470" s="10"/>
      <c r="FG470" s="10"/>
      <c r="FH470" s="10"/>
      <c r="FI470" s="10"/>
      <c r="FJ470" s="10"/>
      <c r="FK470" s="10"/>
      <c r="FL470" s="10"/>
      <c r="FM470" s="10"/>
      <c r="FN470" s="10"/>
      <c r="FO470" s="10"/>
      <c r="FP470" s="10"/>
      <c r="FQ470" s="10"/>
      <c r="FR470" s="10"/>
      <c r="FS470" s="10"/>
      <c r="FT470" s="10"/>
      <c r="FU470" s="10"/>
      <c r="FV470" s="10"/>
      <c r="FW470" s="10"/>
      <c r="FX470" s="10"/>
      <c r="FY470" s="10"/>
      <c r="FZ470" s="10"/>
      <c r="GA470" s="10"/>
      <c r="GB470" s="10"/>
      <c r="GC470" s="10"/>
      <c r="GD470" s="10"/>
      <c r="GE470" s="10"/>
      <c r="GF470" s="10"/>
      <c r="GG470" s="10"/>
      <c r="GH470" s="10"/>
      <c r="GI470" s="10"/>
      <c r="GJ470" s="10"/>
      <c r="GK470" s="10"/>
    </row>
    <row r="471" customFormat="false" ht="12.75" hidden="false" customHeight="false" outlineLevel="0" collapsed="false">
      <c r="A471" s="7"/>
      <c r="B471" s="7"/>
      <c r="C471" s="8"/>
      <c r="D471" s="8"/>
      <c r="E471" s="8"/>
      <c r="F471" s="8"/>
      <c r="G471" s="9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  <c r="BU471" s="10"/>
      <c r="BV471" s="10"/>
      <c r="BW471" s="10"/>
      <c r="BX471" s="10"/>
      <c r="BY471" s="10"/>
      <c r="BZ471" s="10"/>
      <c r="CA471" s="10"/>
      <c r="CB471" s="10"/>
      <c r="CC471" s="10"/>
      <c r="CD471" s="10"/>
      <c r="CE471" s="10"/>
      <c r="CF471" s="10"/>
      <c r="CG471" s="10"/>
      <c r="CH471" s="10"/>
      <c r="CI471" s="10"/>
      <c r="CJ471" s="10"/>
      <c r="CK471" s="10"/>
      <c r="CL471" s="10"/>
      <c r="CM471" s="10"/>
      <c r="CN471" s="10"/>
      <c r="CO471" s="10"/>
      <c r="CP471" s="10"/>
      <c r="CQ471" s="10"/>
      <c r="CR471" s="10"/>
      <c r="CS471" s="10"/>
      <c r="CT471" s="10"/>
      <c r="CU471" s="10"/>
      <c r="CV471" s="10"/>
      <c r="CW471" s="10"/>
      <c r="CX471" s="10"/>
      <c r="CY471" s="10"/>
      <c r="CZ471" s="10"/>
      <c r="DA471" s="10"/>
      <c r="DB471" s="10"/>
      <c r="DC471" s="10"/>
      <c r="DD471" s="10"/>
      <c r="DE471" s="10"/>
      <c r="DF471" s="10"/>
      <c r="DG471" s="10"/>
      <c r="DH471" s="10"/>
      <c r="DI471" s="10"/>
      <c r="DJ471" s="10"/>
      <c r="DK471" s="10"/>
      <c r="DL471" s="10"/>
      <c r="DM471" s="10"/>
      <c r="DN471" s="10"/>
      <c r="DO471" s="10"/>
      <c r="DP471" s="10"/>
      <c r="DQ471" s="10"/>
      <c r="DR471" s="10"/>
      <c r="DS471" s="10"/>
      <c r="DT471" s="10"/>
      <c r="DU471" s="10"/>
      <c r="DV471" s="10"/>
      <c r="DW471" s="10"/>
      <c r="DX471" s="10"/>
      <c r="DY471" s="10"/>
      <c r="DZ471" s="10"/>
      <c r="EA471" s="10"/>
      <c r="EB471" s="10"/>
      <c r="EC471" s="10"/>
      <c r="ED471" s="10"/>
      <c r="EE471" s="10"/>
      <c r="EF471" s="10"/>
      <c r="EG471" s="10"/>
      <c r="EH471" s="10"/>
      <c r="EI471" s="10"/>
      <c r="EJ471" s="10"/>
      <c r="EK471" s="10"/>
      <c r="EL471" s="10"/>
      <c r="EM471" s="10"/>
      <c r="EN471" s="10"/>
      <c r="EO471" s="10"/>
      <c r="EP471" s="10"/>
      <c r="EQ471" s="10"/>
      <c r="ER471" s="10"/>
      <c r="ES471" s="10"/>
      <c r="ET471" s="10"/>
      <c r="EU471" s="10"/>
      <c r="EV471" s="10"/>
      <c r="EW471" s="10"/>
      <c r="EX471" s="10"/>
      <c r="EY471" s="10"/>
      <c r="EZ471" s="10"/>
      <c r="FA471" s="10"/>
      <c r="FB471" s="10"/>
      <c r="FC471" s="10"/>
      <c r="FD471" s="10"/>
      <c r="FE471" s="10"/>
      <c r="FF471" s="10"/>
      <c r="FG471" s="10"/>
      <c r="FH471" s="10"/>
      <c r="FI471" s="10"/>
      <c r="FJ471" s="10"/>
      <c r="FK471" s="10"/>
      <c r="FL471" s="10"/>
      <c r="FM471" s="10"/>
      <c r="FN471" s="10"/>
      <c r="FO471" s="10"/>
      <c r="FP471" s="10"/>
      <c r="FQ471" s="10"/>
      <c r="FR471" s="10"/>
      <c r="FS471" s="10"/>
      <c r="FT471" s="10"/>
      <c r="FU471" s="10"/>
      <c r="FV471" s="10"/>
      <c r="FW471" s="10"/>
      <c r="FX471" s="10"/>
      <c r="FY471" s="10"/>
      <c r="FZ471" s="10"/>
      <c r="GA471" s="10"/>
      <c r="GB471" s="10"/>
      <c r="GC471" s="10"/>
      <c r="GD471" s="10"/>
      <c r="GE471" s="10"/>
      <c r="GF471" s="10"/>
      <c r="GG471" s="10"/>
      <c r="GH471" s="10"/>
      <c r="GI471" s="10"/>
      <c r="GJ471" s="10"/>
      <c r="GK471" s="10"/>
    </row>
    <row r="472" customFormat="false" ht="12.75" hidden="false" customHeight="false" outlineLevel="0" collapsed="false">
      <c r="A472" s="7"/>
      <c r="B472" s="7"/>
      <c r="C472" s="8"/>
      <c r="D472" s="8"/>
      <c r="E472" s="8"/>
      <c r="F472" s="8"/>
      <c r="G472" s="9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/>
      <c r="BT472" s="10"/>
      <c r="BU472" s="10"/>
      <c r="BV472" s="10"/>
      <c r="BW472" s="10"/>
      <c r="BX472" s="10"/>
      <c r="BY472" s="10"/>
      <c r="BZ472" s="10"/>
      <c r="CA472" s="10"/>
      <c r="CB472" s="10"/>
      <c r="CC472" s="10"/>
      <c r="CD472" s="10"/>
      <c r="CE472" s="10"/>
      <c r="CF472" s="10"/>
      <c r="CG472" s="10"/>
      <c r="CH472" s="10"/>
      <c r="CI472" s="10"/>
      <c r="CJ472" s="10"/>
      <c r="CK472" s="10"/>
      <c r="CL472" s="10"/>
      <c r="CM472" s="10"/>
      <c r="CN472" s="10"/>
      <c r="CO472" s="10"/>
      <c r="CP472" s="10"/>
      <c r="CQ472" s="10"/>
      <c r="CR472" s="10"/>
      <c r="CS472" s="10"/>
      <c r="CT472" s="10"/>
      <c r="CU472" s="10"/>
      <c r="CV472" s="10"/>
      <c r="CW472" s="10"/>
      <c r="CX472" s="10"/>
      <c r="CY472" s="10"/>
      <c r="CZ472" s="10"/>
      <c r="DA472" s="10"/>
      <c r="DB472" s="10"/>
      <c r="DC472" s="10"/>
      <c r="DD472" s="10"/>
      <c r="DE472" s="10"/>
      <c r="DF472" s="10"/>
      <c r="DG472" s="10"/>
      <c r="DH472" s="10"/>
      <c r="DI472" s="10"/>
      <c r="DJ472" s="10"/>
      <c r="DK472" s="10"/>
      <c r="DL472" s="10"/>
      <c r="DM472" s="10"/>
      <c r="DN472" s="10"/>
      <c r="DO472" s="10"/>
      <c r="DP472" s="10"/>
      <c r="DQ472" s="10"/>
      <c r="DR472" s="10"/>
      <c r="DS472" s="10"/>
      <c r="DT472" s="10"/>
      <c r="DU472" s="10"/>
      <c r="DV472" s="10"/>
      <c r="DW472" s="10"/>
      <c r="DX472" s="10"/>
      <c r="DY472" s="10"/>
      <c r="DZ472" s="10"/>
      <c r="EA472" s="10"/>
      <c r="EB472" s="10"/>
      <c r="EC472" s="10"/>
      <c r="ED472" s="10"/>
      <c r="EE472" s="10"/>
      <c r="EF472" s="10"/>
      <c r="EG472" s="10"/>
      <c r="EH472" s="10"/>
      <c r="EI472" s="10"/>
      <c r="EJ472" s="10"/>
      <c r="EK472" s="10"/>
      <c r="EL472" s="10"/>
      <c r="EM472" s="10"/>
      <c r="EN472" s="10"/>
      <c r="EO472" s="10"/>
      <c r="EP472" s="10"/>
      <c r="EQ472" s="10"/>
      <c r="ER472" s="10"/>
      <c r="ES472" s="10"/>
      <c r="ET472" s="10"/>
      <c r="EU472" s="10"/>
      <c r="EV472" s="10"/>
      <c r="EW472" s="10"/>
      <c r="EX472" s="10"/>
      <c r="EY472" s="10"/>
      <c r="EZ472" s="10"/>
      <c r="FA472" s="10"/>
      <c r="FB472" s="10"/>
      <c r="FC472" s="10"/>
      <c r="FD472" s="10"/>
      <c r="FE472" s="10"/>
      <c r="FF472" s="10"/>
      <c r="FG472" s="10"/>
      <c r="FH472" s="10"/>
      <c r="FI472" s="10"/>
      <c r="FJ472" s="10"/>
      <c r="FK472" s="10"/>
      <c r="FL472" s="10"/>
      <c r="FM472" s="10"/>
      <c r="FN472" s="10"/>
      <c r="FO472" s="10"/>
      <c r="FP472" s="10"/>
      <c r="FQ472" s="10"/>
      <c r="FR472" s="10"/>
      <c r="FS472" s="10"/>
      <c r="FT472" s="10"/>
      <c r="FU472" s="10"/>
      <c r="FV472" s="10"/>
      <c r="FW472" s="10"/>
      <c r="FX472" s="10"/>
      <c r="FY472" s="10"/>
      <c r="FZ472" s="10"/>
      <c r="GA472" s="10"/>
      <c r="GB472" s="10"/>
      <c r="GC472" s="10"/>
      <c r="GD472" s="10"/>
      <c r="GE472" s="10"/>
      <c r="GF472" s="10"/>
      <c r="GG472" s="10"/>
      <c r="GH472" s="10"/>
      <c r="GI472" s="10"/>
      <c r="GJ472" s="10"/>
      <c r="GK472" s="10"/>
    </row>
    <row r="473" customFormat="false" ht="12.75" hidden="false" customHeight="false" outlineLevel="0" collapsed="false">
      <c r="A473" s="7"/>
      <c r="B473" s="7"/>
      <c r="C473" s="8"/>
      <c r="D473" s="8"/>
      <c r="E473" s="8"/>
      <c r="F473" s="8"/>
      <c r="G473" s="9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  <c r="BT473" s="10"/>
      <c r="BU473" s="10"/>
      <c r="BV473" s="10"/>
      <c r="BW473" s="10"/>
      <c r="BX473" s="10"/>
      <c r="BY473" s="10"/>
      <c r="BZ473" s="10"/>
      <c r="CA473" s="10"/>
      <c r="CB473" s="10"/>
      <c r="CC473" s="10"/>
      <c r="CD473" s="10"/>
      <c r="CE473" s="10"/>
      <c r="CF473" s="10"/>
      <c r="CG473" s="10"/>
      <c r="CH473" s="10"/>
      <c r="CI473" s="10"/>
      <c r="CJ473" s="10"/>
      <c r="CK473" s="10"/>
      <c r="CL473" s="10"/>
      <c r="CM473" s="10"/>
      <c r="CN473" s="10"/>
      <c r="CO473" s="10"/>
      <c r="CP473" s="10"/>
      <c r="CQ473" s="10"/>
      <c r="CR473" s="10"/>
      <c r="CS473" s="10"/>
      <c r="CT473" s="10"/>
      <c r="CU473" s="10"/>
      <c r="CV473" s="10"/>
      <c r="CW473" s="10"/>
      <c r="CX473" s="10"/>
      <c r="CY473" s="10"/>
      <c r="CZ473" s="10"/>
      <c r="DA473" s="10"/>
      <c r="DB473" s="10"/>
      <c r="DC473" s="10"/>
      <c r="DD473" s="10"/>
      <c r="DE473" s="10"/>
      <c r="DF473" s="10"/>
      <c r="DG473" s="10"/>
      <c r="DH473" s="10"/>
      <c r="DI473" s="10"/>
      <c r="DJ473" s="10"/>
      <c r="DK473" s="10"/>
      <c r="DL473" s="10"/>
      <c r="DM473" s="10"/>
      <c r="DN473" s="10"/>
      <c r="DO473" s="10"/>
      <c r="DP473" s="10"/>
      <c r="DQ473" s="10"/>
      <c r="DR473" s="10"/>
      <c r="DS473" s="10"/>
      <c r="DT473" s="10"/>
      <c r="DU473" s="10"/>
      <c r="DV473" s="10"/>
      <c r="DW473" s="10"/>
      <c r="DX473" s="10"/>
      <c r="DY473" s="10"/>
      <c r="DZ473" s="10"/>
      <c r="EA473" s="10"/>
      <c r="EB473" s="10"/>
      <c r="EC473" s="10"/>
      <c r="ED473" s="10"/>
      <c r="EE473" s="10"/>
      <c r="EF473" s="10"/>
      <c r="EG473" s="10"/>
      <c r="EH473" s="10"/>
      <c r="EI473" s="10"/>
      <c r="EJ473" s="10"/>
      <c r="EK473" s="10"/>
      <c r="EL473" s="10"/>
      <c r="EM473" s="10"/>
      <c r="EN473" s="10"/>
      <c r="EO473" s="10"/>
      <c r="EP473" s="10"/>
      <c r="EQ473" s="10"/>
      <c r="ER473" s="10"/>
      <c r="ES473" s="10"/>
      <c r="ET473" s="10"/>
      <c r="EU473" s="10"/>
      <c r="EV473" s="10"/>
      <c r="EW473" s="10"/>
      <c r="EX473" s="10"/>
      <c r="EY473" s="10"/>
      <c r="EZ473" s="10"/>
      <c r="FA473" s="10"/>
      <c r="FB473" s="10"/>
      <c r="FC473" s="10"/>
      <c r="FD473" s="10"/>
      <c r="FE473" s="10"/>
      <c r="FF473" s="10"/>
      <c r="FG473" s="10"/>
      <c r="FH473" s="10"/>
      <c r="FI473" s="10"/>
      <c r="FJ473" s="10"/>
      <c r="FK473" s="10"/>
      <c r="FL473" s="10"/>
      <c r="FM473" s="10"/>
      <c r="FN473" s="10"/>
      <c r="FO473" s="10"/>
      <c r="FP473" s="10"/>
      <c r="FQ473" s="10"/>
      <c r="FR473" s="10"/>
      <c r="FS473" s="10"/>
      <c r="FT473" s="10"/>
      <c r="FU473" s="10"/>
      <c r="FV473" s="10"/>
      <c r="FW473" s="10"/>
      <c r="FX473" s="10"/>
      <c r="FY473" s="10"/>
      <c r="FZ473" s="10"/>
      <c r="GA473" s="10"/>
      <c r="GB473" s="10"/>
      <c r="GC473" s="10"/>
      <c r="GD473" s="10"/>
      <c r="GE473" s="10"/>
      <c r="GF473" s="10"/>
      <c r="GG473" s="10"/>
      <c r="GH473" s="10"/>
      <c r="GI473" s="10"/>
      <c r="GJ473" s="10"/>
      <c r="GK473" s="10"/>
    </row>
    <row r="474" customFormat="false" ht="12.75" hidden="false" customHeight="false" outlineLevel="0" collapsed="false">
      <c r="A474" s="7"/>
      <c r="B474" s="7"/>
      <c r="C474" s="8"/>
      <c r="D474" s="8"/>
      <c r="E474" s="8"/>
      <c r="F474" s="8"/>
      <c r="G474" s="9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  <c r="BT474" s="10"/>
      <c r="BU474" s="10"/>
      <c r="BV474" s="10"/>
      <c r="BW474" s="10"/>
      <c r="BX474" s="10"/>
      <c r="BY474" s="10"/>
      <c r="BZ474" s="10"/>
      <c r="CA474" s="10"/>
      <c r="CB474" s="10"/>
      <c r="CC474" s="10"/>
      <c r="CD474" s="10"/>
      <c r="CE474" s="10"/>
      <c r="CF474" s="10"/>
      <c r="CG474" s="10"/>
      <c r="CH474" s="10"/>
      <c r="CI474" s="10"/>
      <c r="CJ474" s="10"/>
      <c r="CK474" s="10"/>
      <c r="CL474" s="10"/>
      <c r="CM474" s="10"/>
      <c r="CN474" s="10"/>
      <c r="CO474" s="10"/>
      <c r="CP474" s="10"/>
      <c r="CQ474" s="10"/>
      <c r="CR474" s="10"/>
      <c r="CS474" s="10"/>
      <c r="CT474" s="10"/>
      <c r="CU474" s="10"/>
      <c r="CV474" s="10"/>
      <c r="CW474" s="10"/>
      <c r="CX474" s="10"/>
      <c r="CY474" s="10"/>
      <c r="CZ474" s="10"/>
      <c r="DA474" s="10"/>
      <c r="DB474" s="10"/>
      <c r="DC474" s="10"/>
      <c r="DD474" s="10"/>
      <c r="DE474" s="10"/>
      <c r="DF474" s="10"/>
      <c r="DG474" s="10"/>
      <c r="DH474" s="10"/>
      <c r="DI474" s="10"/>
      <c r="DJ474" s="10"/>
      <c r="DK474" s="10"/>
      <c r="DL474" s="10"/>
      <c r="DM474" s="10"/>
      <c r="DN474" s="10"/>
      <c r="DO474" s="10"/>
      <c r="DP474" s="10"/>
      <c r="DQ474" s="10"/>
      <c r="DR474" s="10"/>
      <c r="DS474" s="10"/>
      <c r="DT474" s="10"/>
      <c r="DU474" s="10"/>
      <c r="DV474" s="10"/>
      <c r="DW474" s="10"/>
      <c r="DX474" s="10"/>
      <c r="DY474" s="10"/>
      <c r="DZ474" s="10"/>
      <c r="EA474" s="10"/>
      <c r="EB474" s="10"/>
      <c r="EC474" s="10"/>
      <c r="ED474" s="10"/>
      <c r="EE474" s="10"/>
      <c r="EF474" s="10"/>
      <c r="EG474" s="10"/>
      <c r="EH474" s="10"/>
      <c r="EI474" s="10"/>
      <c r="EJ474" s="10"/>
      <c r="EK474" s="10"/>
      <c r="EL474" s="10"/>
      <c r="EM474" s="10"/>
      <c r="EN474" s="10"/>
      <c r="EO474" s="10"/>
      <c r="EP474" s="10"/>
      <c r="EQ474" s="10"/>
      <c r="ER474" s="10"/>
      <c r="ES474" s="10"/>
      <c r="ET474" s="10"/>
      <c r="EU474" s="10"/>
      <c r="EV474" s="10"/>
      <c r="EW474" s="10"/>
      <c r="EX474" s="10"/>
      <c r="EY474" s="10"/>
      <c r="EZ474" s="10"/>
      <c r="FA474" s="10"/>
      <c r="FB474" s="10"/>
      <c r="FC474" s="10"/>
      <c r="FD474" s="10"/>
      <c r="FE474" s="10"/>
      <c r="FF474" s="10"/>
      <c r="FG474" s="10"/>
      <c r="FH474" s="10"/>
      <c r="FI474" s="10"/>
      <c r="FJ474" s="10"/>
      <c r="FK474" s="10"/>
      <c r="FL474" s="10"/>
      <c r="FM474" s="10"/>
      <c r="FN474" s="10"/>
      <c r="FO474" s="10"/>
      <c r="FP474" s="10"/>
      <c r="FQ474" s="10"/>
      <c r="FR474" s="10"/>
      <c r="FS474" s="10"/>
      <c r="FT474" s="10"/>
      <c r="FU474" s="10"/>
      <c r="FV474" s="10"/>
      <c r="FW474" s="10"/>
      <c r="FX474" s="10"/>
      <c r="FY474" s="10"/>
      <c r="FZ474" s="10"/>
      <c r="GA474" s="10"/>
      <c r="GB474" s="10"/>
      <c r="GC474" s="10"/>
      <c r="GD474" s="10"/>
      <c r="GE474" s="10"/>
      <c r="GF474" s="10"/>
      <c r="GG474" s="10"/>
      <c r="GH474" s="10"/>
      <c r="GI474" s="10"/>
      <c r="GJ474" s="10"/>
      <c r="GK474" s="10"/>
    </row>
    <row r="475" customFormat="false" ht="12.75" hidden="false" customHeight="false" outlineLevel="0" collapsed="false">
      <c r="A475" s="7"/>
      <c r="B475" s="7"/>
      <c r="C475" s="8"/>
      <c r="D475" s="8"/>
      <c r="E475" s="8"/>
      <c r="F475" s="8"/>
      <c r="G475" s="9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  <c r="BU475" s="10"/>
      <c r="BV475" s="10"/>
      <c r="BW475" s="10"/>
      <c r="BX475" s="10"/>
      <c r="BY475" s="10"/>
      <c r="BZ475" s="10"/>
      <c r="CA475" s="10"/>
      <c r="CB475" s="10"/>
      <c r="CC475" s="10"/>
      <c r="CD475" s="10"/>
      <c r="CE475" s="10"/>
      <c r="CF475" s="10"/>
      <c r="CG475" s="10"/>
      <c r="CH475" s="10"/>
      <c r="CI475" s="10"/>
      <c r="CJ475" s="10"/>
      <c r="CK475" s="10"/>
      <c r="CL475" s="10"/>
      <c r="CM475" s="10"/>
      <c r="CN475" s="10"/>
      <c r="CO475" s="10"/>
      <c r="CP475" s="10"/>
      <c r="CQ475" s="10"/>
      <c r="CR475" s="10"/>
      <c r="CS475" s="10"/>
      <c r="CT475" s="10"/>
      <c r="CU475" s="10"/>
      <c r="CV475" s="10"/>
      <c r="CW475" s="10"/>
      <c r="CX475" s="10"/>
      <c r="CY475" s="10"/>
      <c r="CZ475" s="10"/>
      <c r="DA475" s="10"/>
      <c r="DB475" s="10"/>
      <c r="DC475" s="10"/>
      <c r="DD475" s="10"/>
      <c r="DE475" s="10"/>
      <c r="DF475" s="10"/>
      <c r="DG475" s="10"/>
      <c r="DH475" s="10"/>
      <c r="DI475" s="10"/>
      <c r="DJ475" s="10"/>
      <c r="DK475" s="10"/>
      <c r="DL475" s="10"/>
      <c r="DM475" s="10"/>
      <c r="DN475" s="10"/>
      <c r="DO475" s="10"/>
      <c r="DP475" s="10"/>
      <c r="DQ475" s="10"/>
      <c r="DR475" s="10"/>
      <c r="DS475" s="10"/>
      <c r="DT475" s="10"/>
      <c r="DU475" s="10"/>
      <c r="DV475" s="10"/>
      <c r="DW475" s="10"/>
      <c r="DX475" s="10"/>
      <c r="DY475" s="10"/>
      <c r="DZ475" s="10"/>
      <c r="EA475" s="10"/>
      <c r="EB475" s="10"/>
      <c r="EC475" s="10"/>
      <c r="ED475" s="10"/>
      <c r="EE475" s="10"/>
      <c r="EF475" s="10"/>
      <c r="EG475" s="10"/>
      <c r="EH475" s="10"/>
      <c r="EI475" s="10"/>
      <c r="EJ475" s="10"/>
      <c r="EK475" s="10"/>
      <c r="EL475" s="10"/>
      <c r="EM475" s="10"/>
      <c r="EN475" s="10"/>
      <c r="EO475" s="10"/>
      <c r="EP475" s="10"/>
      <c r="EQ475" s="10"/>
      <c r="ER475" s="10"/>
      <c r="ES475" s="10"/>
      <c r="ET475" s="10"/>
      <c r="EU475" s="10"/>
      <c r="EV475" s="10"/>
      <c r="EW475" s="10"/>
      <c r="EX475" s="10"/>
      <c r="EY475" s="10"/>
      <c r="EZ475" s="10"/>
      <c r="FA475" s="10"/>
      <c r="FB475" s="10"/>
      <c r="FC475" s="10"/>
      <c r="FD475" s="10"/>
      <c r="FE475" s="10"/>
      <c r="FF475" s="10"/>
      <c r="FG475" s="10"/>
      <c r="FH475" s="10"/>
      <c r="FI475" s="10"/>
      <c r="FJ475" s="10"/>
      <c r="FK475" s="10"/>
      <c r="FL475" s="10"/>
      <c r="FM475" s="10"/>
      <c r="FN475" s="10"/>
      <c r="FO475" s="10"/>
      <c r="FP475" s="10"/>
      <c r="FQ475" s="10"/>
      <c r="FR475" s="10"/>
      <c r="FS475" s="10"/>
      <c r="FT475" s="10"/>
      <c r="FU475" s="10"/>
      <c r="FV475" s="10"/>
      <c r="FW475" s="10"/>
      <c r="FX475" s="10"/>
      <c r="FY475" s="10"/>
      <c r="FZ475" s="10"/>
      <c r="GA475" s="10"/>
      <c r="GB475" s="10"/>
      <c r="GC475" s="10"/>
      <c r="GD475" s="10"/>
      <c r="GE475" s="10"/>
      <c r="GF475" s="10"/>
      <c r="GG475" s="10"/>
      <c r="GH475" s="10"/>
      <c r="GI475" s="10"/>
      <c r="GJ475" s="10"/>
      <c r="GK475" s="10"/>
    </row>
    <row r="476" customFormat="false" ht="12.75" hidden="false" customHeight="false" outlineLevel="0" collapsed="false">
      <c r="A476" s="7"/>
      <c r="B476" s="7"/>
      <c r="C476" s="8"/>
      <c r="D476" s="8"/>
      <c r="E476" s="8"/>
      <c r="F476" s="8"/>
      <c r="G476" s="9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  <c r="BT476" s="10"/>
      <c r="BU476" s="10"/>
      <c r="BV476" s="10"/>
      <c r="BW476" s="10"/>
      <c r="BX476" s="10"/>
      <c r="BY476" s="10"/>
      <c r="BZ476" s="10"/>
      <c r="CA476" s="10"/>
      <c r="CB476" s="10"/>
      <c r="CC476" s="10"/>
      <c r="CD476" s="10"/>
      <c r="CE476" s="10"/>
      <c r="CF476" s="10"/>
      <c r="CG476" s="10"/>
      <c r="CH476" s="10"/>
      <c r="CI476" s="10"/>
      <c r="CJ476" s="10"/>
      <c r="CK476" s="10"/>
      <c r="CL476" s="10"/>
      <c r="CM476" s="10"/>
      <c r="CN476" s="10"/>
      <c r="CO476" s="10"/>
      <c r="CP476" s="10"/>
      <c r="CQ476" s="10"/>
      <c r="CR476" s="10"/>
      <c r="CS476" s="10"/>
      <c r="CT476" s="10"/>
      <c r="CU476" s="10"/>
      <c r="CV476" s="10"/>
      <c r="CW476" s="10"/>
      <c r="CX476" s="10"/>
      <c r="CY476" s="10"/>
      <c r="CZ476" s="10"/>
      <c r="DA476" s="10"/>
      <c r="DB476" s="10"/>
      <c r="DC476" s="10"/>
      <c r="DD476" s="10"/>
      <c r="DE476" s="10"/>
      <c r="DF476" s="10"/>
      <c r="DG476" s="10"/>
      <c r="DH476" s="10"/>
      <c r="DI476" s="10"/>
      <c r="DJ476" s="10"/>
      <c r="DK476" s="10"/>
      <c r="DL476" s="10"/>
      <c r="DM476" s="10"/>
      <c r="DN476" s="10"/>
      <c r="DO476" s="10"/>
      <c r="DP476" s="10"/>
      <c r="DQ476" s="10"/>
      <c r="DR476" s="10"/>
      <c r="DS476" s="10"/>
      <c r="DT476" s="10"/>
      <c r="DU476" s="10"/>
      <c r="DV476" s="10"/>
      <c r="DW476" s="10"/>
      <c r="DX476" s="10"/>
      <c r="DY476" s="10"/>
      <c r="DZ476" s="10"/>
      <c r="EA476" s="10"/>
      <c r="EB476" s="10"/>
      <c r="EC476" s="10"/>
      <c r="ED476" s="10"/>
      <c r="EE476" s="10"/>
      <c r="EF476" s="10"/>
      <c r="EG476" s="10"/>
      <c r="EH476" s="10"/>
      <c r="EI476" s="10"/>
      <c r="EJ476" s="10"/>
      <c r="EK476" s="10"/>
      <c r="EL476" s="10"/>
      <c r="EM476" s="10"/>
      <c r="EN476" s="10"/>
      <c r="EO476" s="10"/>
      <c r="EP476" s="10"/>
      <c r="EQ476" s="10"/>
      <c r="ER476" s="10"/>
      <c r="ES476" s="10"/>
      <c r="ET476" s="10"/>
      <c r="EU476" s="10"/>
      <c r="EV476" s="10"/>
      <c r="EW476" s="10"/>
      <c r="EX476" s="10"/>
      <c r="EY476" s="10"/>
      <c r="EZ476" s="10"/>
      <c r="FA476" s="10"/>
      <c r="FB476" s="10"/>
      <c r="FC476" s="10"/>
      <c r="FD476" s="10"/>
      <c r="FE476" s="10"/>
      <c r="FF476" s="10"/>
      <c r="FG476" s="10"/>
      <c r="FH476" s="10"/>
      <c r="FI476" s="10"/>
      <c r="FJ476" s="10"/>
      <c r="FK476" s="10"/>
      <c r="FL476" s="10"/>
      <c r="FM476" s="10"/>
      <c r="FN476" s="10"/>
      <c r="FO476" s="10"/>
      <c r="FP476" s="10"/>
      <c r="FQ476" s="10"/>
      <c r="FR476" s="10"/>
      <c r="FS476" s="10"/>
      <c r="FT476" s="10"/>
      <c r="FU476" s="10"/>
      <c r="FV476" s="10"/>
      <c r="FW476" s="10"/>
      <c r="FX476" s="10"/>
      <c r="FY476" s="10"/>
      <c r="FZ476" s="10"/>
      <c r="GA476" s="10"/>
      <c r="GB476" s="10"/>
      <c r="GC476" s="10"/>
      <c r="GD476" s="10"/>
      <c r="GE476" s="10"/>
      <c r="GF476" s="10"/>
      <c r="GG476" s="10"/>
      <c r="GH476" s="10"/>
      <c r="GI476" s="10"/>
      <c r="GJ476" s="10"/>
      <c r="GK476" s="10"/>
    </row>
    <row r="477" customFormat="false" ht="12.75" hidden="false" customHeight="false" outlineLevel="0" collapsed="false">
      <c r="A477" s="7"/>
      <c r="B477" s="7"/>
      <c r="C477" s="8"/>
      <c r="D477" s="8"/>
      <c r="E477" s="8"/>
      <c r="F477" s="8"/>
      <c r="G477" s="9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  <c r="BT477" s="10"/>
      <c r="BU477" s="10"/>
      <c r="BV477" s="10"/>
      <c r="BW477" s="10"/>
      <c r="BX477" s="10"/>
      <c r="BY477" s="10"/>
      <c r="BZ477" s="10"/>
      <c r="CA477" s="10"/>
      <c r="CB477" s="10"/>
      <c r="CC477" s="10"/>
      <c r="CD477" s="10"/>
      <c r="CE477" s="10"/>
      <c r="CF477" s="10"/>
      <c r="CG477" s="10"/>
      <c r="CH477" s="10"/>
      <c r="CI477" s="10"/>
      <c r="CJ477" s="10"/>
      <c r="CK477" s="10"/>
      <c r="CL477" s="10"/>
      <c r="CM477" s="10"/>
      <c r="CN477" s="10"/>
      <c r="CO477" s="10"/>
      <c r="CP477" s="10"/>
      <c r="CQ477" s="10"/>
      <c r="CR477" s="10"/>
      <c r="CS477" s="10"/>
      <c r="CT477" s="10"/>
      <c r="CU477" s="10"/>
      <c r="CV477" s="10"/>
      <c r="CW477" s="10"/>
      <c r="CX477" s="10"/>
      <c r="CY477" s="10"/>
      <c r="CZ477" s="10"/>
      <c r="DA477" s="10"/>
      <c r="DB477" s="10"/>
      <c r="DC477" s="10"/>
      <c r="DD477" s="10"/>
      <c r="DE477" s="10"/>
      <c r="DF477" s="10"/>
      <c r="DG477" s="10"/>
      <c r="DH477" s="10"/>
      <c r="DI477" s="10"/>
      <c r="DJ477" s="10"/>
      <c r="DK477" s="10"/>
      <c r="DL477" s="10"/>
      <c r="DM477" s="10"/>
      <c r="DN477" s="10"/>
      <c r="DO477" s="10"/>
      <c r="DP477" s="10"/>
      <c r="DQ477" s="10"/>
      <c r="DR477" s="10"/>
      <c r="DS477" s="10"/>
      <c r="DT477" s="10"/>
      <c r="DU477" s="10"/>
      <c r="DV477" s="10"/>
      <c r="DW477" s="10"/>
      <c r="DX477" s="10"/>
      <c r="DY477" s="10"/>
      <c r="DZ477" s="10"/>
      <c r="EA477" s="10"/>
      <c r="EB477" s="10"/>
      <c r="EC477" s="10"/>
      <c r="ED477" s="10"/>
      <c r="EE477" s="10"/>
      <c r="EF477" s="10"/>
      <c r="EG477" s="10"/>
      <c r="EH477" s="10"/>
      <c r="EI477" s="10"/>
      <c r="EJ477" s="10"/>
      <c r="EK477" s="10"/>
      <c r="EL477" s="10"/>
      <c r="EM477" s="10"/>
      <c r="EN477" s="10"/>
      <c r="EO477" s="10"/>
      <c r="EP477" s="10"/>
      <c r="EQ477" s="10"/>
      <c r="ER477" s="10"/>
      <c r="ES477" s="10"/>
      <c r="ET477" s="10"/>
      <c r="EU477" s="10"/>
      <c r="EV477" s="10"/>
      <c r="EW477" s="10"/>
      <c r="EX477" s="10"/>
      <c r="EY477" s="10"/>
      <c r="EZ477" s="10"/>
      <c r="FA477" s="10"/>
      <c r="FB477" s="10"/>
      <c r="FC477" s="10"/>
      <c r="FD477" s="10"/>
      <c r="FE477" s="10"/>
      <c r="FF477" s="10"/>
      <c r="FG477" s="10"/>
      <c r="FH477" s="10"/>
      <c r="FI477" s="10"/>
      <c r="FJ477" s="10"/>
      <c r="FK477" s="10"/>
      <c r="FL477" s="10"/>
      <c r="FM477" s="10"/>
      <c r="FN477" s="10"/>
      <c r="FO477" s="10"/>
      <c r="FP477" s="10"/>
      <c r="FQ477" s="10"/>
      <c r="FR477" s="10"/>
      <c r="FS477" s="10"/>
      <c r="FT477" s="10"/>
      <c r="FU477" s="10"/>
      <c r="FV477" s="10"/>
      <c r="FW477" s="10"/>
      <c r="FX477" s="10"/>
      <c r="FY477" s="10"/>
      <c r="FZ477" s="10"/>
      <c r="GA477" s="10"/>
      <c r="GB477" s="10"/>
      <c r="GC477" s="10"/>
      <c r="GD477" s="10"/>
      <c r="GE477" s="10"/>
      <c r="GF477" s="10"/>
      <c r="GG477" s="10"/>
      <c r="GH477" s="10"/>
      <c r="GI477" s="10"/>
      <c r="GJ477" s="10"/>
      <c r="GK477" s="10"/>
    </row>
    <row r="478" customFormat="false" ht="12.75" hidden="false" customHeight="false" outlineLevel="0" collapsed="false">
      <c r="A478" s="7"/>
      <c r="B478" s="7"/>
      <c r="C478" s="8"/>
      <c r="D478" s="8"/>
      <c r="E478" s="8"/>
      <c r="F478" s="8"/>
      <c r="G478" s="9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  <c r="BU478" s="10"/>
      <c r="BV478" s="10"/>
      <c r="BW478" s="10"/>
      <c r="BX478" s="10"/>
      <c r="BY478" s="10"/>
      <c r="BZ478" s="10"/>
      <c r="CA478" s="10"/>
      <c r="CB478" s="10"/>
      <c r="CC478" s="10"/>
      <c r="CD478" s="10"/>
      <c r="CE478" s="10"/>
      <c r="CF478" s="10"/>
      <c r="CG478" s="10"/>
      <c r="CH478" s="10"/>
      <c r="CI478" s="10"/>
      <c r="CJ478" s="10"/>
      <c r="CK478" s="10"/>
      <c r="CL478" s="10"/>
      <c r="CM478" s="10"/>
      <c r="CN478" s="10"/>
      <c r="CO478" s="10"/>
      <c r="CP478" s="10"/>
      <c r="CQ478" s="10"/>
      <c r="CR478" s="10"/>
      <c r="CS478" s="10"/>
      <c r="CT478" s="10"/>
      <c r="CU478" s="10"/>
      <c r="CV478" s="10"/>
      <c r="CW478" s="10"/>
      <c r="CX478" s="10"/>
      <c r="CY478" s="10"/>
      <c r="CZ478" s="10"/>
      <c r="DA478" s="10"/>
      <c r="DB478" s="10"/>
      <c r="DC478" s="10"/>
      <c r="DD478" s="10"/>
      <c r="DE478" s="10"/>
      <c r="DF478" s="10"/>
      <c r="DG478" s="10"/>
      <c r="DH478" s="10"/>
      <c r="DI478" s="10"/>
      <c r="DJ478" s="10"/>
      <c r="DK478" s="10"/>
      <c r="DL478" s="10"/>
      <c r="DM478" s="10"/>
      <c r="DN478" s="10"/>
      <c r="DO478" s="10"/>
      <c r="DP478" s="10"/>
      <c r="DQ478" s="10"/>
      <c r="DR478" s="10"/>
      <c r="DS478" s="10"/>
      <c r="DT478" s="10"/>
      <c r="DU478" s="10"/>
      <c r="DV478" s="10"/>
      <c r="DW478" s="10"/>
      <c r="DX478" s="10"/>
      <c r="DY478" s="10"/>
      <c r="DZ478" s="10"/>
      <c r="EA478" s="10"/>
      <c r="EB478" s="10"/>
      <c r="EC478" s="10"/>
      <c r="ED478" s="10"/>
      <c r="EE478" s="10"/>
      <c r="EF478" s="10"/>
      <c r="EG478" s="10"/>
      <c r="EH478" s="10"/>
      <c r="EI478" s="10"/>
      <c r="EJ478" s="10"/>
      <c r="EK478" s="10"/>
      <c r="EL478" s="10"/>
      <c r="EM478" s="10"/>
      <c r="EN478" s="10"/>
      <c r="EO478" s="10"/>
      <c r="EP478" s="10"/>
      <c r="EQ478" s="10"/>
      <c r="ER478" s="10"/>
      <c r="ES478" s="10"/>
      <c r="ET478" s="10"/>
      <c r="EU478" s="10"/>
      <c r="EV478" s="10"/>
      <c r="EW478" s="10"/>
      <c r="EX478" s="10"/>
      <c r="EY478" s="10"/>
      <c r="EZ478" s="10"/>
      <c r="FA478" s="10"/>
      <c r="FB478" s="10"/>
      <c r="FC478" s="10"/>
      <c r="FD478" s="10"/>
      <c r="FE478" s="10"/>
      <c r="FF478" s="10"/>
      <c r="FG478" s="10"/>
      <c r="FH478" s="10"/>
      <c r="FI478" s="10"/>
      <c r="FJ478" s="10"/>
      <c r="FK478" s="10"/>
      <c r="FL478" s="10"/>
      <c r="FM478" s="10"/>
      <c r="FN478" s="10"/>
      <c r="FO478" s="10"/>
      <c r="FP478" s="10"/>
      <c r="FQ478" s="10"/>
      <c r="FR478" s="10"/>
      <c r="FS478" s="10"/>
      <c r="FT478" s="10"/>
      <c r="FU478" s="10"/>
      <c r="FV478" s="10"/>
      <c r="FW478" s="10"/>
      <c r="FX478" s="10"/>
      <c r="FY478" s="10"/>
      <c r="FZ478" s="10"/>
      <c r="GA478" s="10"/>
      <c r="GB478" s="10"/>
      <c r="GC478" s="10"/>
      <c r="GD478" s="10"/>
      <c r="GE478" s="10"/>
      <c r="GF478" s="10"/>
      <c r="GG478" s="10"/>
      <c r="GH478" s="10"/>
      <c r="GI478" s="10"/>
      <c r="GJ478" s="10"/>
      <c r="GK478" s="10"/>
    </row>
    <row r="479" customFormat="false" ht="12.75" hidden="false" customHeight="false" outlineLevel="0" collapsed="false">
      <c r="A479" s="7"/>
      <c r="B479" s="7"/>
      <c r="C479" s="8"/>
      <c r="D479" s="8"/>
      <c r="E479" s="8"/>
      <c r="F479" s="8"/>
      <c r="G479" s="9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  <c r="BT479" s="10"/>
      <c r="BU479" s="10"/>
      <c r="BV479" s="10"/>
      <c r="BW479" s="10"/>
      <c r="BX479" s="10"/>
      <c r="BY479" s="10"/>
      <c r="BZ479" s="10"/>
      <c r="CA479" s="10"/>
      <c r="CB479" s="10"/>
      <c r="CC479" s="10"/>
      <c r="CD479" s="10"/>
      <c r="CE479" s="10"/>
      <c r="CF479" s="10"/>
      <c r="CG479" s="10"/>
      <c r="CH479" s="10"/>
      <c r="CI479" s="10"/>
      <c r="CJ479" s="10"/>
      <c r="CK479" s="10"/>
      <c r="CL479" s="10"/>
      <c r="CM479" s="10"/>
      <c r="CN479" s="10"/>
      <c r="CO479" s="10"/>
      <c r="CP479" s="10"/>
      <c r="CQ479" s="10"/>
      <c r="CR479" s="10"/>
      <c r="CS479" s="10"/>
      <c r="CT479" s="10"/>
      <c r="CU479" s="10"/>
      <c r="CV479" s="10"/>
      <c r="CW479" s="10"/>
      <c r="CX479" s="10"/>
      <c r="CY479" s="10"/>
      <c r="CZ479" s="10"/>
      <c r="DA479" s="10"/>
      <c r="DB479" s="10"/>
      <c r="DC479" s="10"/>
      <c r="DD479" s="10"/>
      <c r="DE479" s="10"/>
      <c r="DF479" s="10"/>
      <c r="DG479" s="10"/>
      <c r="DH479" s="10"/>
      <c r="DI479" s="10"/>
      <c r="DJ479" s="10"/>
      <c r="DK479" s="10"/>
      <c r="DL479" s="10"/>
      <c r="DM479" s="10"/>
      <c r="DN479" s="10"/>
      <c r="DO479" s="10"/>
      <c r="DP479" s="10"/>
      <c r="DQ479" s="10"/>
      <c r="DR479" s="10"/>
      <c r="DS479" s="10"/>
      <c r="DT479" s="10"/>
      <c r="DU479" s="10"/>
      <c r="DV479" s="10"/>
      <c r="DW479" s="10"/>
      <c r="DX479" s="10"/>
      <c r="DY479" s="10"/>
      <c r="DZ479" s="10"/>
      <c r="EA479" s="10"/>
      <c r="EB479" s="10"/>
      <c r="EC479" s="10"/>
      <c r="ED479" s="10"/>
      <c r="EE479" s="10"/>
      <c r="EF479" s="10"/>
      <c r="EG479" s="10"/>
      <c r="EH479" s="10"/>
      <c r="EI479" s="10"/>
      <c r="EJ479" s="10"/>
      <c r="EK479" s="10"/>
      <c r="EL479" s="10"/>
      <c r="EM479" s="10"/>
      <c r="EN479" s="10"/>
      <c r="EO479" s="10"/>
      <c r="EP479" s="10"/>
      <c r="EQ479" s="10"/>
      <c r="ER479" s="10"/>
      <c r="ES479" s="10"/>
      <c r="ET479" s="10"/>
      <c r="EU479" s="10"/>
      <c r="EV479" s="10"/>
      <c r="EW479" s="10"/>
      <c r="EX479" s="10"/>
      <c r="EY479" s="10"/>
      <c r="EZ479" s="10"/>
      <c r="FA479" s="10"/>
      <c r="FB479" s="10"/>
      <c r="FC479" s="10"/>
      <c r="FD479" s="10"/>
      <c r="FE479" s="10"/>
      <c r="FF479" s="10"/>
      <c r="FG479" s="10"/>
      <c r="FH479" s="10"/>
      <c r="FI479" s="10"/>
      <c r="FJ479" s="10"/>
      <c r="FK479" s="10"/>
      <c r="FL479" s="10"/>
      <c r="FM479" s="10"/>
      <c r="FN479" s="10"/>
      <c r="FO479" s="10"/>
      <c r="FP479" s="10"/>
      <c r="FQ479" s="10"/>
      <c r="FR479" s="10"/>
      <c r="FS479" s="10"/>
      <c r="FT479" s="10"/>
      <c r="FU479" s="10"/>
      <c r="FV479" s="10"/>
      <c r="FW479" s="10"/>
      <c r="FX479" s="10"/>
      <c r="FY479" s="10"/>
      <c r="FZ479" s="10"/>
      <c r="GA479" s="10"/>
      <c r="GB479" s="10"/>
      <c r="GC479" s="10"/>
      <c r="GD479" s="10"/>
      <c r="GE479" s="10"/>
      <c r="GF479" s="10"/>
      <c r="GG479" s="10"/>
      <c r="GH479" s="10"/>
      <c r="GI479" s="10"/>
      <c r="GJ479" s="10"/>
      <c r="GK479" s="10"/>
    </row>
    <row r="480" customFormat="false" ht="12.75" hidden="false" customHeight="false" outlineLevel="0" collapsed="false">
      <c r="A480" s="7"/>
      <c r="B480" s="7"/>
      <c r="C480" s="8"/>
      <c r="D480" s="8"/>
      <c r="E480" s="8"/>
      <c r="F480" s="8"/>
      <c r="G480" s="9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  <c r="BT480" s="10"/>
      <c r="BU480" s="10"/>
      <c r="BV480" s="10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  <c r="EM480" s="10"/>
      <c r="EN480" s="10"/>
      <c r="EO480" s="10"/>
      <c r="EP480" s="10"/>
      <c r="EQ480" s="10"/>
      <c r="ER480" s="10"/>
      <c r="ES480" s="10"/>
      <c r="ET480" s="10"/>
      <c r="EU480" s="10"/>
      <c r="EV480" s="10"/>
      <c r="EW480" s="10"/>
      <c r="EX480" s="10"/>
      <c r="EY480" s="10"/>
      <c r="EZ480" s="10"/>
      <c r="FA480" s="10"/>
      <c r="FB480" s="10"/>
      <c r="FC480" s="10"/>
      <c r="FD480" s="10"/>
      <c r="FE480" s="10"/>
      <c r="FF480" s="10"/>
      <c r="FG480" s="10"/>
      <c r="FH480" s="10"/>
      <c r="FI480" s="10"/>
      <c r="FJ480" s="10"/>
      <c r="FK480" s="10"/>
      <c r="FL480" s="10"/>
      <c r="FM480" s="10"/>
      <c r="FN480" s="10"/>
      <c r="FO480" s="10"/>
      <c r="FP480" s="10"/>
      <c r="FQ480" s="10"/>
      <c r="FR480" s="10"/>
      <c r="FS480" s="10"/>
      <c r="FT480" s="10"/>
      <c r="FU480" s="10"/>
      <c r="FV480" s="10"/>
      <c r="FW480" s="10"/>
      <c r="FX480" s="10"/>
      <c r="FY480" s="10"/>
      <c r="FZ480" s="10"/>
      <c r="GA480" s="10"/>
      <c r="GB480" s="10"/>
      <c r="GC480" s="10"/>
      <c r="GD480" s="10"/>
      <c r="GE480" s="10"/>
      <c r="GF480" s="10"/>
      <c r="GG480" s="10"/>
      <c r="GH480" s="10"/>
      <c r="GI480" s="10"/>
      <c r="GJ480" s="10"/>
      <c r="GK480" s="10"/>
    </row>
    <row r="481" customFormat="false" ht="12.75" hidden="false" customHeight="false" outlineLevel="0" collapsed="false">
      <c r="A481" s="7"/>
      <c r="B481" s="7"/>
      <c r="C481" s="8"/>
      <c r="D481" s="8"/>
      <c r="E481" s="8"/>
      <c r="F481" s="8"/>
      <c r="G481" s="9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  <c r="BT481" s="10"/>
      <c r="BU481" s="10"/>
      <c r="BV481" s="10"/>
      <c r="BW481" s="10"/>
      <c r="BX481" s="10"/>
      <c r="BY481" s="10"/>
      <c r="BZ481" s="10"/>
      <c r="CA481" s="10"/>
      <c r="CB481" s="10"/>
      <c r="CC481" s="10"/>
      <c r="CD481" s="10"/>
      <c r="CE481" s="10"/>
      <c r="CF481" s="10"/>
      <c r="CG481" s="10"/>
      <c r="CH481" s="10"/>
      <c r="CI481" s="10"/>
      <c r="CJ481" s="10"/>
      <c r="CK481" s="10"/>
      <c r="CL481" s="10"/>
      <c r="CM481" s="10"/>
      <c r="CN481" s="10"/>
      <c r="CO481" s="10"/>
      <c r="CP481" s="10"/>
      <c r="CQ481" s="10"/>
      <c r="CR481" s="10"/>
      <c r="CS481" s="10"/>
      <c r="CT481" s="10"/>
      <c r="CU481" s="10"/>
      <c r="CV481" s="10"/>
      <c r="CW481" s="10"/>
      <c r="CX481" s="10"/>
      <c r="CY481" s="10"/>
      <c r="CZ481" s="10"/>
      <c r="DA481" s="10"/>
      <c r="DB481" s="10"/>
      <c r="DC481" s="10"/>
      <c r="DD481" s="10"/>
      <c r="DE481" s="10"/>
      <c r="DF481" s="10"/>
      <c r="DG481" s="10"/>
      <c r="DH481" s="10"/>
      <c r="DI481" s="10"/>
      <c r="DJ481" s="10"/>
      <c r="DK481" s="10"/>
      <c r="DL481" s="10"/>
      <c r="DM481" s="10"/>
      <c r="DN481" s="10"/>
      <c r="DO481" s="10"/>
      <c r="DP481" s="10"/>
      <c r="DQ481" s="10"/>
      <c r="DR481" s="10"/>
      <c r="DS481" s="10"/>
      <c r="DT481" s="10"/>
      <c r="DU481" s="10"/>
      <c r="DV481" s="10"/>
      <c r="DW481" s="10"/>
      <c r="DX481" s="10"/>
      <c r="DY481" s="10"/>
      <c r="DZ481" s="10"/>
      <c r="EA481" s="10"/>
      <c r="EB481" s="10"/>
      <c r="EC481" s="10"/>
      <c r="ED481" s="10"/>
      <c r="EE481" s="10"/>
      <c r="EF481" s="10"/>
      <c r="EG481" s="10"/>
      <c r="EH481" s="10"/>
      <c r="EI481" s="10"/>
      <c r="EJ481" s="10"/>
      <c r="EK481" s="10"/>
      <c r="EL481" s="10"/>
      <c r="EM481" s="10"/>
      <c r="EN481" s="10"/>
      <c r="EO481" s="10"/>
      <c r="EP481" s="10"/>
      <c r="EQ481" s="10"/>
      <c r="ER481" s="10"/>
      <c r="ES481" s="10"/>
      <c r="ET481" s="10"/>
      <c r="EU481" s="10"/>
      <c r="EV481" s="10"/>
      <c r="EW481" s="10"/>
      <c r="EX481" s="10"/>
      <c r="EY481" s="10"/>
      <c r="EZ481" s="10"/>
      <c r="FA481" s="10"/>
      <c r="FB481" s="10"/>
      <c r="FC481" s="10"/>
      <c r="FD481" s="10"/>
      <c r="FE481" s="10"/>
      <c r="FF481" s="10"/>
      <c r="FG481" s="10"/>
      <c r="FH481" s="10"/>
      <c r="FI481" s="10"/>
      <c r="FJ481" s="10"/>
      <c r="FK481" s="10"/>
      <c r="FL481" s="10"/>
      <c r="FM481" s="10"/>
      <c r="FN481" s="10"/>
      <c r="FO481" s="10"/>
      <c r="FP481" s="10"/>
      <c r="FQ481" s="10"/>
      <c r="FR481" s="10"/>
      <c r="FS481" s="10"/>
      <c r="FT481" s="10"/>
      <c r="FU481" s="10"/>
      <c r="FV481" s="10"/>
      <c r="FW481" s="10"/>
      <c r="FX481" s="10"/>
      <c r="FY481" s="10"/>
      <c r="FZ481" s="10"/>
      <c r="GA481" s="10"/>
      <c r="GB481" s="10"/>
      <c r="GC481" s="10"/>
      <c r="GD481" s="10"/>
      <c r="GE481" s="10"/>
      <c r="GF481" s="10"/>
      <c r="GG481" s="10"/>
      <c r="GH481" s="10"/>
      <c r="GI481" s="10"/>
      <c r="GJ481" s="10"/>
      <c r="GK481" s="10"/>
    </row>
    <row r="482" customFormat="false" ht="12.75" hidden="false" customHeight="false" outlineLevel="0" collapsed="false">
      <c r="A482" s="7"/>
      <c r="B482" s="7"/>
      <c r="C482" s="8"/>
      <c r="D482" s="8"/>
      <c r="E482" s="8"/>
      <c r="F482" s="8"/>
      <c r="G482" s="9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0"/>
      <c r="BT482" s="10"/>
      <c r="BU482" s="10"/>
      <c r="BV482" s="10"/>
      <c r="BW482" s="10"/>
      <c r="BX482" s="10"/>
      <c r="BY482" s="10"/>
      <c r="BZ482" s="10"/>
      <c r="CA482" s="10"/>
      <c r="CB482" s="10"/>
      <c r="CC482" s="10"/>
      <c r="CD482" s="10"/>
      <c r="CE482" s="10"/>
      <c r="CF482" s="10"/>
      <c r="CG482" s="10"/>
      <c r="CH482" s="10"/>
      <c r="CI482" s="10"/>
      <c r="CJ482" s="10"/>
      <c r="CK482" s="10"/>
      <c r="CL482" s="10"/>
      <c r="CM482" s="10"/>
      <c r="CN482" s="10"/>
      <c r="CO482" s="10"/>
      <c r="CP482" s="10"/>
      <c r="CQ482" s="10"/>
      <c r="CR482" s="10"/>
      <c r="CS482" s="10"/>
      <c r="CT482" s="10"/>
      <c r="CU482" s="10"/>
      <c r="CV482" s="10"/>
      <c r="CW482" s="10"/>
      <c r="CX482" s="10"/>
      <c r="CY482" s="10"/>
      <c r="CZ482" s="10"/>
      <c r="DA482" s="10"/>
      <c r="DB482" s="10"/>
      <c r="DC482" s="10"/>
      <c r="DD482" s="10"/>
      <c r="DE482" s="10"/>
      <c r="DF482" s="10"/>
      <c r="DG482" s="10"/>
      <c r="DH482" s="10"/>
      <c r="DI482" s="10"/>
      <c r="DJ482" s="10"/>
      <c r="DK482" s="10"/>
      <c r="DL482" s="10"/>
      <c r="DM482" s="10"/>
      <c r="DN482" s="10"/>
      <c r="DO482" s="10"/>
      <c r="DP482" s="10"/>
      <c r="DQ482" s="10"/>
      <c r="DR482" s="10"/>
      <c r="DS482" s="10"/>
      <c r="DT482" s="10"/>
      <c r="DU482" s="10"/>
      <c r="DV482" s="10"/>
      <c r="DW482" s="10"/>
      <c r="DX482" s="10"/>
      <c r="DY482" s="10"/>
      <c r="DZ482" s="10"/>
      <c r="EA482" s="10"/>
      <c r="EB482" s="10"/>
      <c r="EC482" s="10"/>
      <c r="ED482" s="10"/>
      <c r="EE482" s="10"/>
      <c r="EF482" s="10"/>
      <c r="EG482" s="10"/>
      <c r="EH482" s="10"/>
      <c r="EI482" s="10"/>
      <c r="EJ482" s="10"/>
      <c r="EK482" s="10"/>
      <c r="EL482" s="10"/>
      <c r="EM482" s="10"/>
      <c r="EN482" s="10"/>
      <c r="EO482" s="10"/>
      <c r="EP482" s="10"/>
      <c r="EQ482" s="10"/>
      <c r="ER482" s="10"/>
      <c r="ES482" s="10"/>
      <c r="ET482" s="10"/>
      <c r="EU482" s="10"/>
      <c r="EV482" s="10"/>
      <c r="EW482" s="10"/>
      <c r="EX482" s="10"/>
      <c r="EY482" s="10"/>
      <c r="EZ482" s="10"/>
      <c r="FA482" s="10"/>
      <c r="FB482" s="10"/>
      <c r="FC482" s="10"/>
      <c r="FD482" s="10"/>
      <c r="FE482" s="10"/>
      <c r="FF482" s="10"/>
      <c r="FG482" s="10"/>
      <c r="FH482" s="10"/>
      <c r="FI482" s="10"/>
      <c r="FJ482" s="10"/>
      <c r="FK482" s="10"/>
      <c r="FL482" s="10"/>
      <c r="FM482" s="10"/>
      <c r="FN482" s="10"/>
      <c r="FO482" s="10"/>
      <c r="FP482" s="10"/>
      <c r="FQ482" s="10"/>
      <c r="FR482" s="10"/>
      <c r="FS482" s="10"/>
      <c r="FT482" s="10"/>
      <c r="FU482" s="10"/>
      <c r="FV482" s="10"/>
      <c r="FW482" s="10"/>
      <c r="FX482" s="10"/>
      <c r="FY482" s="10"/>
      <c r="FZ482" s="10"/>
      <c r="GA482" s="10"/>
      <c r="GB482" s="10"/>
      <c r="GC482" s="10"/>
      <c r="GD482" s="10"/>
      <c r="GE482" s="10"/>
      <c r="GF482" s="10"/>
      <c r="GG482" s="10"/>
      <c r="GH482" s="10"/>
      <c r="GI482" s="10"/>
      <c r="GJ482" s="10"/>
      <c r="GK482" s="10"/>
    </row>
    <row r="483" customFormat="false" ht="12.75" hidden="false" customHeight="false" outlineLevel="0" collapsed="false">
      <c r="A483" s="7"/>
      <c r="B483" s="7"/>
      <c r="C483" s="8"/>
      <c r="D483" s="8"/>
      <c r="E483" s="8"/>
      <c r="F483" s="8"/>
      <c r="G483" s="9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/>
      <c r="BT483" s="10"/>
      <c r="BU483" s="10"/>
      <c r="BV483" s="10"/>
      <c r="BW483" s="10"/>
      <c r="BX483" s="10"/>
      <c r="BY483" s="10"/>
      <c r="BZ483" s="10"/>
      <c r="CA483" s="10"/>
      <c r="CB483" s="10"/>
      <c r="CC483" s="10"/>
      <c r="CD483" s="10"/>
      <c r="CE483" s="10"/>
      <c r="CF483" s="10"/>
      <c r="CG483" s="10"/>
      <c r="CH483" s="10"/>
      <c r="CI483" s="10"/>
      <c r="CJ483" s="10"/>
      <c r="CK483" s="10"/>
      <c r="CL483" s="10"/>
      <c r="CM483" s="10"/>
      <c r="CN483" s="10"/>
      <c r="CO483" s="10"/>
      <c r="CP483" s="10"/>
      <c r="CQ483" s="10"/>
      <c r="CR483" s="10"/>
      <c r="CS483" s="10"/>
      <c r="CT483" s="10"/>
      <c r="CU483" s="10"/>
      <c r="CV483" s="10"/>
      <c r="CW483" s="10"/>
      <c r="CX483" s="10"/>
      <c r="CY483" s="10"/>
      <c r="CZ483" s="10"/>
      <c r="DA483" s="10"/>
      <c r="DB483" s="10"/>
      <c r="DC483" s="10"/>
      <c r="DD483" s="10"/>
      <c r="DE483" s="10"/>
      <c r="DF483" s="10"/>
      <c r="DG483" s="10"/>
      <c r="DH483" s="10"/>
      <c r="DI483" s="10"/>
      <c r="DJ483" s="10"/>
      <c r="DK483" s="10"/>
      <c r="DL483" s="10"/>
      <c r="DM483" s="10"/>
      <c r="DN483" s="10"/>
      <c r="DO483" s="10"/>
      <c r="DP483" s="10"/>
      <c r="DQ483" s="10"/>
      <c r="DR483" s="10"/>
      <c r="DS483" s="10"/>
      <c r="DT483" s="10"/>
      <c r="DU483" s="10"/>
      <c r="DV483" s="10"/>
      <c r="DW483" s="10"/>
      <c r="DX483" s="10"/>
      <c r="DY483" s="10"/>
      <c r="DZ483" s="10"/>
      <c r="EA483" s="10"/>
      <c r="EB483" s="10"/>
      <c r="EC483" s="10"/>
      <c r="ED483" s="10"/>
      <c r="EE483" s="10"/>
      <c r="EF483" s="10"/>
      <c r="EG483" s="10"/>
      <c r="EH483" s="10"/>
      <c r="EI483" s="10"/>
      <c r="EJ483" s="10"/>
      <c r="EK483" s="10"/>
      <c r="EL483" s="10"/>
      <c r="EM483" s="10"/>
      <c r="EN483" s="10"/>
      <c r="EO483" s="10"/>
      <c r="EP483" s="10"/>
      <c r="EQ483" s="10"/>
      <c r="ER483" s="10"/>
      <c r="ES483" s="10"/>
      <c r="ET483" s="10"/>
      <c r="EU483" s="10"/>
      <c r="EV483" s="10"/>
      <c r="EW483" s="10"/>
      <c r="EX483" s="10"/>
      <c r="EY483" s="10"/>
      <c r="EZ483" s="10"/>
      <c r="FA483" s="10"/>
      <c r="FB483" s="10"/>
      <c r="FC483" s="10"/>
      <c r="FD483" s="10"/>
      <c r="FE483" s="10"/>
      <c r="FF483" s="10"/>
      <c r="FG483" s="10"/>
      <c r="FH483" s="10"/>
      <c r="FI483" s="10"/>
      <c r="FJ483" s="10"/>
      <c r="FK483" s="10"/>
      <c r="FL483" s="10"/>
      <c r="FM483" s="10"/>
      <c r="FN483" s="10"/>
      <c r="FO483" s="10"/>
      <c r="FP483" s="10"/>
      <c r="FQ483" s="10"/>
      <c r="FR483" s="10"/>
      <c r="FS483" s="10"/>
      <c r="FT483" s="10"/>
      <c r="FU483" s="10"/>
      <c r="FV483" s="10"/>
      <c r="FW483" s="10"/>
      <c r="FX483" s="10"/>
      <c r="FY483" s="10"/>
      <c r="FZ483" s="10"/>
      <c r="GA483" s="10"/>
      <c r="GB483" s="10"/>
      <c r="GC483" s="10"/>
      <c r="GD483" s="10"/>
      <c r="GE483" s="10"/>
      <c r="GF483" s="10"/>
      <c r="GG483" s="10"/>
      <c r="GH483" s="10"/>
      <c r="GI483" s="10"/>
      <c r="GJ483" s="10"/>
      <c r="GK483" s="10"/>
    </row>
    <row r="484" customFormat="false" ht="12.75" hidden="false" customHeight="false" outlineLevel="0" collapsed="false">
      <c r="A484" s="7"/>
      <c r="B484" s="7"/>
      <c r="C484" s="8"/>
      <c r="D484" s="8"/>
      <c r="E484" s="8"/>
      <c r="F484" s="8"/>
      <c r="G484" s="9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  <c r="BT484" s="10"/>
      <c r="BU484" s="10"/>
      <c r="BV484" s="10"/>
      <c r="BW484" s="10"/>
      <c r="BX484" s="10"/>
      <c r="BY484" s="10"/>
      <c r="BZ484" s="10"/>
      <c r="CA484" s="10"/>
      <c r="CB484" s="10"/>
      <c r="CC484" s="10"/>
      <c r="CD484" s="10"/>
      <c r="CE484" s="10"/>
      <c r="CF484" s="10"/>
      <c r="CG484" s="10"/>
      <c r="CH484" s="10"/>
      <c r="CI484" s="10"/>
      <c r="CJ484" s="10"/>
      <c r="CK484" s="10"/>
      <c r="CL484" s="10"/>
      <c r="CM484" s="10"/>
      <c r="CN484" s="10"/>
      <c r="CO484" s="10"/>
      <c r="CP484" s="10"/>
      <c r="CQ484" s="10"/>
      <c r="CR484" s="10"/>
      <c r="CS484" s="10"/>
      <c r="CT484" s="10"/>
      <c r="CU484" s="10"/>
      <c r="CV484" s="10"/>
      <c r="CW484" s="10"/>
      <c r="CX484" s="10"/>
      <c r="CY484" s="10"/>
      <c r="CZ484" s="10"/>
      <c r="DA484" s="10"/>
      <c r="DB484" s="10"/>
      <c r="DC484" s="10"/>
      <c r="DD484" s="10"/>
      <c r="DE484" s="10"/>
      <c r="DF484" s="10"/>
      <c r="DG484" s="10"/>
      <c r="DH484" s="10"/>
      <c r="DI484" s="10"/>
      <c r="DJ484" s="10"/>
      <c r="DK484" s="10"/>
      <c r="DL484" s="10"/>
      <c r="DM484" s="10"/>
      <c r="DN484" s="10"/>
      <c r="DO484" s="10"/>
      <c r="DP484" s="10"/>
      <c r="DQ484" s="10"/>
      <c r="DR484" s="10"/>
      <c r="DS484" s="10"/>
      <c r="DT484" s="10"/>
      <c r="DU484" s="10"/>
      <c r="DV484" s="10"/>
      <c r="DW484" s="10"/>
      <c r="DX484" s="10"/>
      <c r="DY484" s="10"/>
      <c r="DZ484" s="10"/>
      <c r="EA484" s="10"/>
      <c r="EB484" s="10"/>
      <c r="EC484" s="10"/>
      <c r="ED484" s="10"/>
      <c r="EE484" s="10"/>
      <c r="EF484" s="10"/>
      <c r="EG484" s="10"/>
      <c r="EH484" s="10"/>
      <c r="EI484" s="10"/>
      <c r="EJ484" s="10"/>
      <c r="EK484" s="10"/>
      <c r="EL484" s="10"/>
      <c r="EM484" s="10"/>
      <c r="EN484" s="10"/>
      <c r="EO484" s="10"/>
      <c r="EP484" s="10"/>
      <c r="EQ484" s="10"/>
      <c r="ER484" s="10"/>
      <c r="ES484" s="10"/>
      <c r="ET484" s="10"/>
      <c r="EU484" s="10"/>
      <c r="EV484" s="10"/>
      <c r="EW484" s="10"/>
      <c r="EX484" s="10"/>
      <c r="EY484" s="10"/>
      <c r="EZ484" s="10"/>
      <c r="FA484" s="10"/>
      <c r="FB484" s="10"/>
      <c r="FC484" s="10"/>
      <c r="FD484" s="10"/>
      <c r="FE484" s="10"/>
      <c r="FF484" s="10"/>
      <c r="FG484" s="10"/>
      <c r="FH484" s="10"/>
      <c r="FI484" s="10"/>
      <c r="FJ484" s="10"/>
      <c r="FK484" s="10"/>
      <c r="FL484" s="10"/>
      <c r="FM484" s="10"/>
      <c r="FN484" s="10"/>
      <c r="FO484" s="10"/>
      <c r="FP484" s="10"/>
      <c r="FQ484" s="10"/>
      <c r="FR484" s="10"/>
      <c r="FS484" s="10"/>
      <c r="FT484" s="10"/>
      <c r="FU484" s="10"/>
      <c r="FV484" s="10"/>
      <c r="FW484" s="10"/>
      <c r="FX484" s="10"/>
      <c r="FY484" s="10"/>
      <c r="FZ484" s="10"/>
      <c r="GA484" s="10"/>
      <c r="GB484" s="10"/>
      <c r="GC484" s="10"/>
      <c r="GD484" s="10"/>
      <c r="GE484" s="10"/>
      <c r="GF484" s="10"/>
      <c r="GG484" s="10"/>
      <c r="GH484" s="10"/>
      <c r="GI484" s="10"/>
      <c r="GJ484" s="10"/>
      <c r="GK484" s="10"/>
    </row>
    <row r="485" customFormat="false" ht="12.75" hidden="false" customHeight="false" outlineLevel="0" collapsed="false">
      <c r="A485" s="7"/>
      <c r="B485" s="7"/>
      <c r="C485" s="8"/>
      <c r="D485" s="8"/>
      <c r="E485" s="8"/>
      <c r="F485" s="8"/>
      <c r="G485" s="9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  <c r="BT485" s="10"/>
      <c r="BU485" s="10"/>
      <c r="BV485" s="10"/>
      <c r="BW485" s="10"/>
      <c r="BX485" s="10"/>
      <c r="BY485" s="10"/>
      <c r="BZ485" s="10"/>
      <c r="CA485" s="10"/>
      <c r="CB485" s="10"/>
      <c r="CC485" s="10"/>
      <c r="CD485" s="10"/>
      <c r="CE485" s="10"/>
      <c r="CF485" s="10"/>
      <c r="CG485" s="10"/>
      <c r="CH485" s="10"/>
      <c r="CI485" s="10"/>
      <c r="CJ485" s="10"/>
      <c r="CK485" s="10"/>
      <c r="CL485" s="10"/>
      <c r="CM485" s="10"/>
      <c r="CN485" s="10"/>
      <c r="CO485" s="10"/>
      <c r="CP485" s="10"/>
      <c r="CQ485" s="10"/>
      <c r="CR485" s="10"/>
      <c r="CS485" s="10"/>
      <c r="CT485" s="10"/>
      <c r="CU485" s="10"/>
      <c r="CV485" s="10"/>
      <c r="CW485" s="10"/>
      <c r="CX485" s="10"/>
      <c r="CY485" s="10"/>
      <c r="CZ485" s="10"/>
      <c r="DA485" s="10"/>
      <c r="DB485" s="10"/>
      <c r="DC485" s="10"/>
      <c r="DD485" s="10"/>
      <c r="DE485" s="10"/>
      <c r="DF485" s="10"/>
      <c r="DG485" s="10"/>
      <c r="DH485" s="10"/>
      <c r="DI485" s="10"/>
      <c r="DJ485" s="10"/>
      <c r="DK485" s="10"/>
      <c r="DL485" s="10"/>
      <c r="DM485" s="10"/>
      <c r="DN485" s="10"/>
      <c r="DO485" s="10"/>
      <c r="DP485" s="10"/>
      <c r="DQ485" s="10"/>
      <c r="DR485" s="10"/>
      <c r="DS485" s="10"/>
      <c r="DT485" s="10"/>
      <c r="DU485" s="10"/>
      <c r="DV485" s="10"/>
      <c r="DW485" s="10"/>
      <c r="DX485" s="10"/>
      <c r="DY485" s="10"/>
      <c r="DZ485" s="10"/>
      <c r="EA485" s="10"/>
      <c r="EB485" s="10"/>
      <c r="EC485" s="10"/>
      <c r="ED485" s="10"/>
      <c r="EE485" s="10"/>
      <c r="EF485" s="10"/>
      <c r="EG485" s="10"/>
      <c r="EH485" s="10"/>
      <c r="EI485" s="10"/>
      <c r="EJ485" s="10"/>
      <c r="EK485" s="10"/>
      <c r="EL485" s="10"/>
      <c r="EM485" s="10"/>
      <c r="EN485" s="10"/>
      <c r="EO485" s="10"/>
      <c r="EP485" s="10"/>
      <c r="EQ485" s="10"/>
      <c r="ER485" s="10"/>
      <c r="ES485" s="10"/>
      <c r="ET485" s="10"/>
      <c r="EU485" s="10"/>
      <c r="EV485" s="10"/>
      <c r="EW485" s="10"/>
      <c r="EX485" s="10"/>
      <c r="EY485" s="10"/>
      <c r="EZ485" s="10"/>
      <c r="FA485" s="10"/>
      <c r="FB485" s="10"/>
      <c r="FC485" s="10"/>
      <c r="FD485" s="10"/>
      <c r="FE485" s="10"/>
      <c r="FF485" s="10"/>
      <c r="FG485" s="10"/>
      <c r="FH485" s="10"/>
      <c r="FI485" s="10"/>
      <c r="FJ485" s="10"/>
      <c r="FK485" s="10"/>
      <c r="FL485" s="10"/>
      <c r="FM485" s="10"/>
      <c r="FN485" s="10"/>
      <c r="FO485" s="10"/>
      <c r="FP485" s="10"/>
      <c r="FQ485" s="10"/>
      <c r="FR485" s="10"/>
      <c r="FS485" s="10"/>
      <c r="FT485" s="10"/>
      <c r="FU485" s="10"/>
      <c r="FV485" s="10"/>
      <c r="FW485" s="10"/>
      <c r="FX485" s="10"/>
      <c r="FY485" s="10"/>
      <c r="FZ485" s="10"/>
      <c r="GA485" s="10"/>
      <c r="GB485" s="10"/>
      <c r="GC485" s="10"/>
      <c r="GD485" s="10"/>
      <c r="GE485" s="10"/>
      <c r="GF485" s="10"/>
      <c r="GG485" s="10"/>
      <c r="GH485" s="10"/>
      <c r="GI485" s="10"/>
      <c r="GJ485" s="10"/>
      <c r="GK485" s="10"/>
    </row>
    <row r="486" customFormat="false" ht="12.75" hidden="false" customHeight="false" outlineLevel="0" collapsed="false">
      <c r="A486" s="7"/>
      <c r="B486" s="7"/>
      <c r="C486" s="8"/>
      <c r="D486" s="8"/>
      <c r="E486" s="8"/>
      <c r="F486" s="8"/>
      <c r="G486" s="9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  <c r="BU486" s="10"/>
      <c r="BV486" s="10"/>
      <c r="BW486" s="10"/>
      <c r="BX486" s="10"/>
      <c r="BY486" s="10"/>
      <c r="BZ486" s="10"/>
      <c r="CA486" s="10"/>
      <c r="CB486" s="10"/>
      <c r="CC486" s="10"/>
      <c r="CD486" s="10"/>
      <c r="CE486" s="10"/>
      <c r="CF486" s="10"/>
      <c r="CG486" s="10"/>
      <c r="CH486" s="10"/>
      <c r="CI486" s="10"/>
      <c r="CJ486" s="10"/>
      <c r="CK486" s="10"/>
      <c r="CL486" s="10"/>
      <c r="CM486" s="10"/>
      <c r="CN486" s="10"/>
      <c r="CO486" s="10"/>
      <c r="CP486" s="10"/>
      <c r="CQ486" s="10"/>
      <c r="CR486" s="10"/>
      <c r="CS486" s="10"/>
      <c r="CT486" s="10"/>
      <c r="CU486" s="10"/>
      <c r="CV486" s="10"/>
      <c r="CW486" s="10"/>
      <c r="CX486" s="10"/>
      <c r="CY486" s="10"/>
      <c r="CZ486" s="10"/>
      <c r="DA486" s="10"/>
      <c r="DB486" s="10"/>
      <c r="DC486" s="10"/>
      <c r="DD486" s="10"/>
      <c r="DE486" s="10"/>
      <c r="DF486" s="10"/>
      <c r="DG486" s="10"/>
      <c r="DH486" s="10"/>
      <c r="DI486" s="10"/>
      <c r="DJ486" s="10"/>
      <c r="DK486" s="10"/>
      <c r="DL486" s="10"/>
      <c r="DM486" s="10"/>
      <c r="DN486" s="10"/>
      <c r="DO486" s="10"/>
      <c r="DP486" s="10"/>
      <c r="DQ486" s="10"/>
      <c r="DR486" s="10"/>
      <c r="DS486" s="10"/>
      <c r="DT486" s="10"/>
      <c r="DU486" s="10"/>
      <c r="DV486" s="10"/>
      <c r="DW486" s="10"/>
      <c r="DX486" s="10"/>
      <c r="DY486" s="10"/>
      <c r="DZ486" s="10"/>
      <c r="EA486" s="10"/>
      <c r="EB486" s="10"/>
      <c r="EC486" s="10"/>
      <c r="ED486" s="10"/>
      <c r="EE486" s="10"/>
      <c r="EF486" s="10"/>
      <c r="EG486" s="10"/>
      <c r="EH486" s="10"/>
      <c r="EI486" s="10"/>
      <c r="EJ486" s="10"/>
      <c r="EK486" s="10"/>
      <c r="EL486" s="10"/>
      <c r="EM486" s="10"/>
      <c r="EN486" s="10"/>
      <c r="EO486" s="10"/>
      <c r="EP486" s="10"/>
      <c r="EQ486" s="10"/>
      <c r="ER486" s="10"/>
      <c r="ES486" s="10"/>
      <c r="ET486" s="10"/>
      <c r="EU486" s="10"/>
      <c r="EV486" s="10"/>
      <c r="EW486" s="10"/>
      <c r="EX486" s="10"/>
      <c r="EY486" s="10"/>
      <c r="EZ486" s="10"/>
      <c r="FA486" s="10"/>
      <c r="FB486" s="10"/>
      <c r="FC486" s="10"/>
      <c r="FD486" s="10"/>
      <c r="FE486" s="10"/>
      <c r="FF486" s="10"/>
      <c r="FG486" s="10"/>
      <c r="FH486" s="10"/>
      <c r="FI486" s="10"/>
      <c r="FJ486" s="10"/>
      <c r="FK486" s="10"/>
      <c r="FL486" s="10"/>
      <c r="FM486" s="10"/>
      <c r="FN486" s="10"/>
      <c r="FO486" s="10"/>
      <c r="FP486" s="10"/>
      <c r="FQ486" s="10"/>
      <c r="FR486" s="10"/>
      <c r="FS486" s="10"/>
      <c r="FT486" s="10"/>
      <c r="FU486" s="10"/>
      <c r="FV486" s="10"/>
      <c r="FW486" s="10"/>
      <c r="FX486" s="10"/>
      <c r="FY486" s="10"/>
      <c r="FZ486" s="10"/>
      <c r="GA486" s="10"/>
      <c r="GB486" s="10"/>
      <c r="GC486" s="10"/>
      <c r="GD486" s="10"/>
      <c r="GE486" s="10"/>
      <c r="GF486" s="10"/>
      <c r="GG486" s="10"/>
      <c r="GH486" s="10"/>
      <c r="GI486" s="10"/>
      <c r="GJ486" s="10"/>
      <c r="GK486" s="10"/>
    </row>
    <row r="487" customFormat="false" ht="12.75" hidden="false" customHeight="false" outlineLevel="0" collapsed="false">
      <c r="A487" s="7"/>
      <c r="B487" s="7"/>
      <c r="C487" s="8"/>
      <c r="D487" s="8"/>
      <c r="E487" s="8"/>
      <c r="F487" s="8"/>
      <c r="G487" s="9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  <c r="BT487" s="10"/>
      <c r="BU487" s="10"/>
      <c r="BV487" s="10"/>
      <c r="BW487" s="10"/>
      <c r="BX487" s="10"/>
      <c r="BY487" s="10"/>
      <c r="BZ487" s="10"/>
      <c r="CA487" s="10"/>
      <c r="CB487" s="10"/>
      <c r="CC487" s="10"/>
      <c r="CD487" s="10"/>
      <c r="CE487" s="10"/>
      <c r="CF487" s="10"/>
      <c r="CG487" s="10"/>
      <c r="CH487" s="10"/>
      <c r="CI487" s="10"/>
      <c r="CJ487" s="10"/>
      <c r="CK487" s="10"/>
      <c r="CL487" s="10"/>
      <c r="CM487" s="10"/>
      <c r="CN487" s="10"/>
      <c r="CO487" s="10"/>
      <c r="CP487" s="10"/>
      <c r="CQ487" s="10"/>
      <c r="CR487" s="10"/>
      <c r="CS487" s="10"/>
      <c r="CT487" s="10"/>
      <c r="CU487" s="10"/>
      <c r="CV487" s="10"/>
      <c r="CW487" s="10"/>
      <c r="CX487" s="10"/>
      <c r="CY487" s="10"/>
      <c r="CZ487" s="10"/>
      <c r="DA487" s="10"/>
      <c r="DB487" s="10"/>
      <c r="DC487" s="10"/>
      <c r="DD487" s="10"/>
      <c r="DE487" s="10"/>
      <c r="DF487" s="10"/>
      <c r="DG487" s="10"/>
      <c r="DH487" s="10"/>
      <c r="DI487" s="10"/>
      <c r="DJ487" s="10"/>
      <c r="DK487" s="10"/>
      <c r="DL487" s="10"/>
      <c r="DM487" s="10"/>
      <c r="DN487" s="10"/>
      <c r="DO487" s="10"/>
      <c r="DP487" s="10"/>
      <c r="DQ487" s="10"/>
      <c r="DR487" s="10"/>
      <c r="DS487" s="10"/>
      <c r="DT487" s="10"/>
      <c r="DU487" s="10"/>
      <c r="DV487" s="10"/>
      <c r="DW487" s="10"/>
      <c r="DX487" s="10"/>
      <c r="DY487" s="10"/>
      <c r="DZ487" s="10"/>
      <c r="EA487" s="10"/>
      <c r="EB487" s="10"/>
      <c r="EC487" s="10"/>
      <c r="ED487" s="10"/>
      <c r="EE487" s="10"/>
      <c r="EF487" s="10"/>
      <c r="EG487" s="10"/>
      <c r="EH487" s="10"/>
      <c r="EI487" s="10"/>
      <c r="EJ487" s="10"/>
      <c r="EK487" s="10"/>
      <c r="EL487" s="10"/>
      <c r="EM487" s="10"/>
      <c r="EN487" s="10"/>
      <c r="EO487" s="10"/>
      <c r="EP487" s="10"/>
      <c r="EQ487" s="10"/>
      <c r="ER487" s="10"/>
      <c r="ES487" s="10"/>
      <c r="ET487" s="10"/>
      <c r="EU487" s="10"/>
      <c r="EV487" s="10"/>
      <c r="EW487" s="10"/>
      <c r="EX487" s="10"/>
      <c r="EY487" s="10"/>
      <c r="EZ487" s="10"/>
      <c r="FA487" s="10"/>
      <c r="FB487" s="10"/>
      <c r="FC487" s="10"/>
      <c r="FD487" s="10"/>
      <c r="FE487" s="10"/>
      <c r="FF487" s="10"/>
      <c r="FG487" s="10"/>
      <c r="FH487" s="10"/>
      <c r="FI487" s="10"/>
      <c r="FJ487" s="10"/>
      <c r="FK487" s="10"/>
      <c r="FL487" s="10"/>
      <c r="FM487" s="10"/>
      <c r="FN487" s="10"/>
      <c r="FO487" s="10"/>
      <c r="FP487" s="10"/>
      <c r="FQ487" s="10"/>
      <c r="FR487" s="10"/>
      <c r="FS487" s="10"/>
      <c r="FT487" s="10"/>
      <c r="FU487" s="10"/>
      <c r="FV487" s="10"/>
      <c r="FW487" s="10"/>
      <c r="FX487" s="10"/>
      <c r="FY487" s="10"/>
      <c r="FZ487" s="10"/>
      <c r="GA487" s="10"/>
      <c r="GB487" s="10"/>
      <c r="GC487" s="10"/>
      <c r="GD487" s="10"/>
      <c r="GE487" s="10"/>
      <c r="GF487" s="10"/>
      <c r="GG487" s="10"/>
      <c r="GH487" s="10"/>
      <c r="GI487" s="10"/>
      <c r="GJ487" s="10"/>
      <c r="GK487" s="10"/>
    </row>
    <row r="488" customFormat="false" ht="12.75" hidden="false" customHeight="false" outlineLevel="0" collapsed="false">
      <c r="A488" s="7"/>
      <c r="B488" s="7"/>
      <c r="C488" s="8"/>
      <c r="D488" s="8"/>
      <c r="E488" s="8"/>
      <c r="F488" s="8"/>
      <c r="G488" s="9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  <c r="BT488" s="10"/>
      <c r="BU488" s="10"/>
      <c r="BV488" s="10"/>
      <c r="BW488" s="10"/>
      <c r="BX488" s="10"/>
      <c r="BY488" s="10"/>
      <c r="BZ488" s="10"/>
      <c r="CA488" s="10"/>
      <c r="CB488" s="10"/>
      <c r="CC488" s="10"/>
      <c r="CD488" s="10"/>
      <c r="CE488" s="10"/>
      <c r="CF488" s="10"/>
      <c r="CG488" s="10"/>
      <c r="CH488" s="10"/>
      <c r="CI488" s="10"/>
      <c r="CJ488" s="10"/>
      <c r="CK488" s="10"/>
      <c r="CL488" s="10"/>
      <c r="CM488" s="10"/>
      <c r="CN488" s="10"/>
      <c r="CO488" s="10"/>
      <c r="CP488" s="10"/>
      <c r="CQ488" s="10"/>
      <c r="CR488" s="10"/>
      <c r="CS488" s="10"/>
      <c r="CT488" s="10"/>
      <c r="CU488" s="10"/>
      <c r="CV488" s="10"/>
      <c r="CW488" s="10"/>
      <c r="CX488" s="10"/>
      <c r="CY488" s="10"/>
      <c r="CZ488" s="10"/>
      <c r="DA488" s="10"/>
      <c r="DB488" s="10"/>
      <c r="DC488" s="10"/>
      <c r="DD488" s="10"/>
      <c r="DE488" s="10"/>
      <c r="DF488" s="10"/>
      <c r="DG488" s="10"/>
      <c r="DH488" s="10"/>
      <c r="DI488" s="10"/>
      <c r="DJ488" s="10"/>
      <c r="DK488" s="10"/>
      <c r="DL488" s="10"/>
      <c r="DM488" s="10"/>
      <c r="DN488" s="10"/>
      <c r="DO488" s="10"/>
      <c r="DP488" s="10"/>
      <c r="DQ488" s="10"/>
      <c r="DR488" s="10"/>
      <c r="DS488" s="10"/>
      <c r="DT488" s="10"/>
      <c r="DU488" s="10"/>
      <c r="DV488" s="10"/>
      <c r="DW488" s="10"/>
      <c r="DX488" s="10"/>
      <c r="DY488" s="10"/>
      <c r="DZ488" s="10"/>
      <c r="EA488" s="10"/>
      <c r="EB488" s="10"/>
      <c r="EC488" s="10"/>
      <c r="ED488" s="10"/>
      <c r="EE488" s="10"/>
      <c r="EF488" s="10"/>
      <c r="EG488" s="10"/>
      <c r="EH488" s="10"/>
      <c r="EI488" s="10"/>
      <c r="EJ488" s="10"/>
      <c r="EK488" s="10"/>
      <c r="EL488" s="10"/>
      <c r="EM488" s="10"/>
      <c r="EN488" s="10"/>
      <c r="EO488" s="10"/>
      <c r="EP488" s="10"/>
      <c r="EQ488" s="10"/>
      <c r="ER488" s="10"/>
      <c r="ES488" s="10"/>
      <c r="ET488" s="10"/>
      <c r="EU488" s="10"/>
      <c r="EV488" s="10"/>
      <c r="EW488" s="10"/>
      <c r="EX488" s="10"/>
      <c r="EY488" s="10"/>
      <c r="EZ488" s="10"/>
      <c r="FA488" s="10"/>
      <c r="FB488" s="10"/>
      <c r="FC488" s="10"/>
      <c r="FD488" s="10"/>
      <c r="FE488" s="10"/>
      <c r="FF488" s="10"/>
      <c r="FG488" s="10"/>
      <c r="FH488" s="10"/>
      <c r="FI488" s="10"/>
      <c r="FJ488" s="10"/>
      <c r="FK488" s="10"/>
      <c r="FL488" s="10"/>
      <c r="FM488" s="10"/>
      <c r="FN488" s="10"/>
      <c r="FO488" s="10"/>
      <c r="FP488" s="10"/>
      <c r="FQ488" s="10"/>
      <c r="FR488" s="10"/>
      <c r="FS488" s="10"/>
      <c r="FT488" s="10"/>
      <c r="FU488" s="10"/>
      <c r="FV488" s="10"/>
      <c r="FW488" s="10"/>
      <c r="FX488" s="10"/>
      <c r="FY488" s="10"/>
      <c r="FZ488" s="10"/>
      <c r="GA488" s="10"/>
      <c r="GB488" s="10"/>
      <c r="GC488" s="10"/>
      <c r="GD488" s="10"/>
      <c r="GE488" s="10"/>
      <c r="GF488" s="10"/>
      <c r="GG488" s="10"/>
      <c r="GH488" s="10"/>
      <c r="GI488" s="10"/>
      <c r="GJ488" s="10"/>
      <c r="GK488" s="10"/>
    </row>
    <row r="489" customFormat="false" ht="12.75" hidden="false" customHeight="false" outlineLevel="0" collapsed="false">
      <c r="A489" s="7"/>
      <c r="B489" s="7"/>
      <c r="C489" s="8"/>
      <c r="D489" s="8"/>
      <c r="E489" s="8"/>
      <c r="F489" s="8"/>
      <c r="G489" s="9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  <c r="BT489" s="10"/>
      <c r="BU489" s="10"/>
      <c r="BV489" s="10"/>
      <c r="BW489" s="10"/>
      <c r="BX489" s="10"/>
      <c r="BY489" s="10"/>
      <c r="BZ489" s="10"/>
      <c r="CA489" s="10"/>
      <c r="CB489" s="10"/>
      <c r="CC489" s="10"/>
      <c r="CD489" s="10"/>
      <c r="CE489" s="10"/>
      <c r="CF489" s="10"/>
      <c r="CG489" s="10"/>
      <c r="CH489" s="10"/>
      <c r="CI489" s="10"/>
      <c r="CJ489" s="10"/>
      <c r="CK489" s="10"/>
      <c r="CL489" s="10"/>
      <c r="CM489" s="10"/>
      <c r="CN489" s="10"/>
      <c r="CO489" s="10"/>
      <c r="CP489" s="10"/>
      <c r="CQ489" s="10"/>
      <c r="CR489" s="10"/>
      <c r="CS489" s="10"/>
      <c r="CT489" s="10"/>
      <c r="CU489" s="10"/>
      <c r="CV489" s="10"/>
      <c r="CW489" s="10"/>
      <c r="CX489" s="10"/>
      <c r="CY489" s="10"/>
      <c r="CZ489" s="10"/>
      <c r="DA489" s="10"/>
      <c r="DB489" s="10"/>
      <c r="DC489" s="10"/>
      <c r="DD489" s="10"/>
      <c r="DE489" s="10"/>
      <c r="DF489" s="10"/>
      <c r="DG489" s="10"/>
      <c r="DH489" s="10"/>
      <c r="DI489" s="10"/>
      <c r="DJ489" s="10"/>
      <c r="DK489" s="10"/>
      <c r="DL489" s="10"/>
      <c r="DM489" s="10"/>
      <c r="DN489" s="10"/>
      <c r="DO489" s="10"/>
      <c r="DP489" s="10"/>
      <c r="DQ489" s="10"/>
      <c r="DR489" s="10"/>
      <c r="DS489" s="10"/>
      <c r="DT489" s="10"/>
      <c r="DU489" s="10"/>
      <c r="DV489" s="10"/>
      <c r="DW489" s="10"/>
      <c r="DX489" s="10"/>
      <c r="DY489" s="10"/>
      <c r="DZ489" s="10"/>
      <c r="EA489" s="10"/>
      <c r="EB489" s="10"/>
      <c r="EC489" s="10"/>
      <c r="ED489" s="10"/>
      <c r="EE489" s="10"/>
      <c r="EF489" s="10"/>
      <c r="EG489" s="10"/>
      <c r="EH489" s="10"/>
      <c r="EI489" s="10"/>
      <c r="EJ489" s="10"/>
      <c r="EK489" s="10"/>
      <c r="EL489" s="10"/>
      <c r="EM489" s="10"/>
      <c r="EN489" s="10"/>
      <c r="EO489" s="10"/>
      <c r="EP489" s="10"/>
      <c r="EQ489" s="10"/>
      <c r="ER489" s="10"/>
      <c r="ES489" s="10"/>
      <c r="ET489" s="10"/>
      <c r="EU489" s="10"/>
      <c r="EV489" s="10"/>
      <c r="EW489" s="10"/>
      <c r="EX489" s="10"/>
      <c r="EY489" s="10"/>
      <c r="EZ489" s="10"/>
      <c r="FA489" s="10"/>
      <c r="FB489" s="10"/>
      <c r="FC489" s="10"/>
      <c r="FD489" s="10"/>
      <c r="FE489" s="10"/>
      <c r="FF489" s="10"/>
      <c r="FG489" s="10"/>
      <c r="FH489" s="10"/>
      <c r="FI489" s="10"/>
      <c r="FJ489" s="10"/>
      <c r="FK489" s="10"/>
      <c r="FL489" s="10"/>
      <c r="FM489" s="10"/>
      <c r="FN489" s="10"/>
      <c r="FO489" s="10"/>
      <c r="FP489" s="10"/>
      <c r="FQ489" s="10"/>
      <c r="FR489" s="10"/>
      <c r="FS489" s="10"/>
      <c r="FT489" s="10"/>
      <c r="FU489" s="10"/>
      <c r="FV489" s="10"/>
      <c r="FW489" s="10"/>
      <c r="FX489" s="10"/>
      <c r="FY489" s="10"/>
      <c r="FZ489" s="10"/>
      <c r="GA489" s="10"/>
      <c r="GB489" s="10"/>
      <c r="GC489" s="10"/>
      <c r="GD489" s="10"/>
      <c r="GE489" s="10"/>
      <c r="GF489" s="10"/>
      <c r="GG489" s="10"/>
      <c r="GH489" s="10"/>
      <c r="GI489" s="10"/>
      <c r="GJ489" s="10"/>
      <c r="GK489" s="10"/>
    </row>
    <row r="490" customFormat="false" ht="12.75" hidden="false" customHeight="false" outlineLevel="0" collapsed="false">
      <c r="A490" s="7"/>
      <c r="B490" s="7"/>
      <c r="C490" s="8"/>
      <c r="D490" s="8"/>
      <c r="E490" s="8"/>
      <c r="F490" s="8"/>
      <c r="G490" s="9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  <c r="BT490" s="10"/>
      <c r="BU490" s="10"/>
      <c r="BV490" s="10"/>
      <c r="BW490" s="10"/>
      <c r="BX490" s="10"/>
      <c r="BY490" s="10"/>
      <c r="BZ490" s="10"/>
      <c r="CA490" s="10"/>
      <c r="CB490" s="10"/>
      <c r="CC490" s="10"/>
      <c r="CD490" s="10"/>
      <c r="CE490" s="10"/>
      <c r="CF490" s="10"/>
      <c r="CG490" s="10"/>
      <c r="CH490" s="10"/>
      <c r="CI490" s="10"/>
      <c r="CJ490" s="10"/>
      <c r="CK490" s="10"/>
      <c r="CL490" s="10"/>
      <c r="CM490" s="10"/>
      <c r="CN490" s="10"/>
      <c r="CO490" s="10"/>
      <c r="CP490" s="10"/>
      <c r="CQ490" s="10"/>
      <c r="CR490" s="10"/>
      <c r="CS490" s="10"/>
      <c r="CT490" s="10"/>
      <c r="CU490" s="10"/>
      <c r="CV490" s="10"/>
      <c r="CW490" s="10"/>
      <c r="CX490" s="10"/>
      <c r="CY490" s="10"/>
      <c r="CZ490" s="10"/>
      <c r="DA490" s="10"/>
      <c r="DB490" s="10"/>
      <c r="DC490" s="10"/>
      <c r="DD490" s="10"/>
      <c r="DE490" s="10"/>
      <c r="DF490" s="10"/>
      <c r="DG490" s="10"/>
      <c r="DH490" s="10"/>
      <c r="DI490" s="10"/>
      <c r="DJ490" s="10"/>
      <c r="DK490" s="10"/>
      <c r="DL490" s="10"/>
      <c r="DM490" s="10"/>
      <c r="DN490" s="10"/>
      <c r="DO490" s="10"/>
      <c r="DP490" s="10"/>
      <c r="DQ490" s="10"/>
      <c r="DR490" s="10"/>
      <c r="DS490" s="10"/>
      <c r="DT490" s="10"/>
      <c r="DU490" s="10"/>
      <c r="DV490" s="10"/>
      <c r="DW490" s="10"/>
      <c r="DX490" s="10"/>
      <c r="DY490" s="10"/>
      <c r="DZ490" s="10"/>
      <c r="EA490" s="10"/>
      <c r="EB490" s="10"/>
      <c r="EC490" s="10"/>
      <c r="ED490" s="10"/>
      <c r="EE490" s="10"/>
      <c r="EF490" s="10"/>
      <c r="EG490" s="10"/>
      <c r="EH490" s="10"/>
      <c r="EI490" s="10"/>
      <c r="EJ490" s="10"/>
      <c r="EK490" s="10"/>
      <c r="EL490" s="10"/>
      <c r="EM490" s="10"/>
      <c r="EN490" s="10"/>
      <c r="EO490" s="10"/>
      <c r="EP490" s="10"/>
      <c r="EQ490" s="10"/>
      <c r="ER490" s="10"/>
      <c r="ES490" s="10"/>
      <c r="ET490" s="10"/>
      <c r="EU490" s="10"/>
      <c r="EV490" s="10"/>
      <c r="EW490" s="10"/>
      <c r="EX490" s="10"/>
      <c r="EY490" s="10"/>
      <c r="EZ490" s="10"/>
      <c r="FA490" s="10"/>
      <c r="FB490" s="10"/>
      <c r="FC490" s="10"/>
      <c r="FD490" s="10"/>
      <c r="FE490" s="10"/>
      <c r="FF490" s="10"/>
      <c r="FG490" s="10"/>
      <c r="FH490" s="10"/>
      <c r="FI490" s="10"/>
      <c r="FJ490" s="10"/>
      <c r="FK490" s="10"/>
      <c r="FL490" s="10"/>
      <c r="FM490" s="10"/>
      <c r="FN490" s="10"/>
      <c r="FO490" s="10"/>
      <c r="FP490" s="10"/>
      <c r="FQ490" s="10"/>
      <c r="FR490" s="10"/>
      <c r="FS490" s="10"/>
      <c r="FT490" s="10"/>
      <c r="FU490" s="10"/>
      <c r="FV490" s="10"/>
      <c r="FW490" s="10"/>
      <c r="FX490" s="10"/>
      <c r="FY490" s="10"/>
      <c r="FZ490" s="10"/>
      <c r="GA490" s="10"/>
      <c r="GB490" s="10"/>
      <c r="GC490" s="10"/>
      <c r="GD490" s="10"/>
      <c r="GE490" s="10"/>
      <c r="GF490" s="10"/>
      <c r="GG490" s="10"/>
      <c r="GH490" s="10"/>
      <c r="GI490" s="10"/>
      <c r="GJ490" s="10"/>
      <c r="GK490" s="10"/>
    </row>
    <row r="491" customFormat="false" ht="12.75" hidden="false" customHeight="false" outlineLevel="0" collapsed="false">
      <c r="A491" s="7"/>
      <c r="B491" s="7"/>
      <c r="C491" s="8"/>
      <c r="D491" s="8"/>
      <c r="E491" s="8"/>
      <c r="F491" s="8"/>
      <c r="G491" s="9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  <c r="BT491" s="10"/>
      <c r="BU491" s="10"/>
      <c r="BV491" s="10"/>
      <c r="BW491" s="10"/>
      <c r="BX491" s="10"/>
      <c r="BY491" s="10"/>
      <c r="BZ491" s="10"/>
      <c r="CA491" s="10"/>
      <c r="CB491" s="10"/>
      <c r="CC491" s="10"/>
      <c r="CD491" s="10"/>
      <c r="CE491" s="10"/>
      <c r="CF491" s="10"/>
      <c r="CG491" s="10"/>
      <c r="CH491" s="10"/>
      <c r="CI491" s="10"/>
      <c r="CJ491" s="10"/>
      <c r="CK491" s="10"/>
      <c r="CL491" s="10"/>
      <c r="CM491" s="10"/>
      <c r="CN491" s="10"/>
      <c r="CO491" s="10"/>
      <c r="CP491" s="10"/>
      <c r="CQ491" s="10"/>
      <c r="CR491" s="10"/>
      <c r="CS491" s="10"/>
      <c r="CT491" s="10"/>
      <c r="CU491" s="10"/>
      <c r="CV491" s="10"/>
      <c r="CW491" s="10"/>
      <c r="CX491" s="10"/>
      <c r="CY491" s="10"/>
      <c r="CZ491" s="10"/>
      <c r="DA491" s="10"/>
      <c r="DB491" s="10"/>
      <c r="DC491" s="10"/>
      <c r="DD491" s="10"/>
      <c r="DE491" s="10"/>
      <c r="DF491" s="10"/>
      <c r="DG491" s="10"/>
      <c r="DH491" s="10"/>
      <c r="DI491" s="10"/>
      <c r="DJ491" s="10"/>
      <c r="DK491" s="10"/>
      <c r="DL491" s="10"/>
      <c r="DM491" s="10"/>
      <c r="DN491" s="10"/>
      <c r="DO491" s="10"/>
      <c r="DP491" s="10"/>
      <c r="DQ491" s="10"/>
      <c r="DR491" s="10"/>
      <c r="DS491" s="10"/>
      <c r="DT491" s="10"/>
      <c r="DU491" s="10"/>
      <c r="DV491" s="10"/>
      <c r="DW491" s="10"/>
      <c r="DX491" s="10"/>
      <c r="DY491" s="10"/>
      <c r="DZ491" s="10"/>
      <c r="EA491" s="10"/>
      <c r="EB491" s="10"/>
      <c r="EC491" s="10"/>
      <c r="ED491" s="10"/>
      <c r="EE491" s="10"/>
      <c r="EF491" s="10"/>
      <c r="EG491" s="10"/>
      <c r="EH491" s="10"/>
      <c r="EI491" s="10"/>
      <c r="EJ491" s="10"/>
      <c r="EK491" s="10"/>
      <c r="EL491" s="10"/>
      <c r="EM491" s="10"/>
      <c r="EN491" s="10"/>
      <c r="EO491" s="10"/>
      <c r="EP491" s="10"/>
      <c r="EQ491" s="10"/>
      <c r="ER491" s="10"/>
      <c r="ES491" s="10"/>
      <c r="ET491" s="10"/>
      <c r="EU491" s="10"/>
      <c r="EV491" s="10"/>
      <c r="EW491" s="10"/>
      <c r="EX491" s="10"/>
      <c r="EY491" s="10"/>
      <c r="EZ491" s="10"/>
      <c r="FA491" s="10"/>
      <c r="FB491" s="10"/>
      <c r="FC491" s="10"/>
      <c r="FD491" s="10"/>
      <c r="FE491" s="10"/>
      <c r="FF491" s="10"/>
      <c r="FG491" s="10"/>
      <c r="FH491" s="10"/>
      <c r="FI491" s="10"/>
      <c r="FJ491" s="10"/>
      <c r="FK491" s="10"/>
      <c r="FL491" s="10"/>
      <c r="FM491" s="10"/>
      <c r="FN491" s="10"/>
      <c r="FO491" s="10"/>
      <c r="FP491" s="10"/>
      <c r="FQ491" s="10"/>
      <c r="FR491" s="10"/>
      <c r="FS491" s="10"/>
      <c r="FT491" s="10"/>
      <c r="FU491" s="10"/>
      <c r="FV491" s="10"/>
      <c r="FW491" s="10"/>
      <c r="FX491" s="10"/>
      <c r="FY491" s="10"/>
      <c r="FZ491" s="10"/>
      <c r="GA491" s="10"/>
      <c r="GB491" s="10"/>
      <c r="GC491" s="10"/>
      <c r="GD491" s="10"/>
      <c r="GE491" s="10"/>
      <c r="GF491" s="10"/>
      <c r="GG491" s="10"/>
      <c r="GH491" s="10"/>
      <c r="GI491" s="10"/>
      <c r="GJ491" s="10"/>
      <c r="GK491" s="10"/>
    </row>
    <row r="492" customFormat="false" ht="12.75" hidden="false" customHeight="false" outlineLevel="0" collapsed="false">
      <c r="A492" s="7"/>
      <c r="B492" s="7"/>
      <c r="C492" s="8"/>
      <c r="D492" s="8"/>
      <c r="E492" s="8"/>
      <c r="F492" s="8"/>
      <c r="G492" s="9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/>
      <c r="BT492" s="10"/>
      <c r="BU492" s="10"/>
      <c r="BV492" s="10"/>
      <c r="BW492" s="10"/>
      <c r="BX492" s="10"/>
      <c r="BY492" s="10"/>
      <c r="BZ492" s="10"/>
      <c r="CA492" s="10"/>
      <c r="CB492" s="10"/>
      <c r="CC492" s="10"/>
      <c r="CD492" s="10"/>
      <c r="CE492" s="10"/>
      <c r="CF492" s="10"/>
      <c r="CG492" s="10"/>
      <c r="CH492" s="10"/>
      <c r="CI492" s="10"/>
      <c r="CJ492" s="10"/>
      <c r="CK492" s="10"/>
      <c r="CL492" s="10"/>
      <c r="CM492" s="10"/>
      <c r="CN492" s="10"/>
      <c r="CO492" s="10"/>
      <c r="CP492" s="10"/>
      <c r="CQ492" s="10"/>
      <c r="CR492" s="10"/>
      <c r="CS492" s="10"/>
      <c r="CT492" s="10"/>
      <c r="CU492" s="10"/>
      <c r="CV492" s="10"/>
      <c r="CW492" s="10"/>
      <c r="CX492" s="10"/>
      <c r="CY492" s="10"/>
      <c r="CZ492" s="10"/>
      <c r="DA492" s="10"/>
      <c r="DB492" s="10"/>
      <c r="DC492" s="10"/>
      <c r="DD492" s="10"/>
      <c r="DE492" s="10"/>
      <c r="DF492" s="10"/>
      <c r="DG492" s="10"/>
      <c r="DH492" s="10"/>
      <c r="DI492" s="10"/>
      <c r="DJ492" s="10"/>
      <c r="DK492" s="10"/>
      <c r="DL492" s="10"/>
      <c r="DM492" s="10"/>
      <c r="DN492" s="10"/>
      <c r="DO492" s="10"/>
      <c r="DP492" s="10"/>
      <c r="DQ492" s="10"/>
      <c r="DR492" s="10"/>
      <c r="DS492" s="10"/>
      <c r="DT492" s="10"/>
      <c r="DU492" s="10"/>
      <c r="DV492" s="10"/>
      <c r="DW492" s="10"/>
      <c r="DX492" s="10"/>
      <c r="DY492" s="10"/>
      <c r="DZ492" s="10"/>
      <c r="EA492" s="10"/>
      <c r="EB492" s="10"/>
      <c r="EC492" s="10"/>
      <c r="ED492" s="10"/>
      <c r="EE492" s="10"/>
      <c r="EF492" s="10"/>
      <c r="EG492" s="10"/>
      <c r="EH492" s="10"/>
      <c r="EI492" s="10"/>
      <c r="EJ492" s="10"/>
      <c r="EK492" s="10"/>
      <c r="EL492" s="10"/>
      <c r="EM492" s="10"/>
      <c r="EN492" s="10"/>
      <c r="EO492" s="10"/>
      <c r="EP492" s="10"/>
      <c r="EQ492" s="10"/>
      <c r="ER492" s="10"/>
      <c r="ES492" s="10"/>
      <c r="ET492" s="10"/>
      <c r="EU492" s="10"/>
      <c r="EV492" s="10"/>
      <c r="EW492" s="10"/>
      <c r="EX492" s="10"/>
      <c r="EY492" s="10"/>
      <c r="EZ492" s="10"/>
      <c r="FA492" s="10"/>
      <c r="FB492" s="10"/>
      <c r="FC492" s="10"/>
      <c r="FD492" s="10"/>
      <c r="FE492" s="10"/>
      <c r="FF492" s="10"/>
      <c r="FG492" s="10"/>
      <c r="FH492" s="10"/>
      <c r="FI492" s="10"/>
      <c r="FJ492" s="10"/>
      <c r="FK492" s="10"/>
      <c r="FL492" s="10"/>
      <c r="FM492" s="10"/>
      <c r="FN492" s="10"/>
      <c r="FO492" s="10"/>
      <c r="FP492" s="10"/>
      <c r="FQ492" s="10"/>
      <c r="FR492" s="10"/>
      <c r="FS492" s="10"/>
      <c r="FT492" s="10"/>
      <c r="FU492" s="10"/>
      <c r="FV492" s="10"/>
      <c r="FW492" s="10"/>
      <c r="FX492" s="10"/>
      <c r="FY492" s="10"/>
      <c r="FZ492" s="10"/>
      <c r="GA492" s="10"/>
      <c r="GB492" s="10"/>
      <c r="GC492" s="10"/>
      <c r="GD492" s="10"/>
      <c r="GE492" s="10"/>
      <c r="GF492" s="10"/>
      <c r="GG492" s="10"/>
      <c r="GH492" s="10"/>
      <c r="GI492" s="10"/>
      <c r="GJ492" s="10"/>
      <c r="GK492" s="10"/>
    </row>
    <row r="493" customFormat="false" ht="12.75" hidden="false" customHeight="false" outlineLevel="0" collapsed="false">
      <c r="A493" s="7"/>
      <c r="B493" s="7"/>
      <c r="C493" s="8"/>
      <c r="D493" s="8"/>
      <c r="E493" s="8"/>
      <c r="F493" s="8"/>
      <c r="G493" s="9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  <c r="BU493" s="10"/>
      <c r="BV493" s="10"/>
      <c r="BW493" s="10"/>
      <c r="BX493" s="10"/>
      <c r="BY493" s="10"/>
      <c r="BZ493" s="10"/>
      <c r="CA493" s="10"/>
      <c r="CB493" s="10"/>
      <c r="CC493" s="10"/>
      <c r="CD493" s="10"/>
      <c r="CE493" s="10"/>
      <c r="CF493" s="10"/>
      <c r="CG493" s="10"/>
      <c r="CH493" s="10"/>
      <c r="CI493" s="10"/>
      <c r="CJ493" s="10"/>
      <c r="CK493" s="10"/>
      <c r="CL493" s="10"/>
      <c r="CM493" s="10"/>
      <c r="CN493" s="10"/>
      <c r="CO493" s="10"/>
      <c r="CP493" s="10"/>
      <c r="CQ493" s="10"/>
      <c r="CR493" s="10"/>
      <c r="CS493" s="10"/>
      <c r="CT493" s="10"/>
      <c r="CU493" s="10"/>
      <c r="CV493" s="10"/>
      <c r="CW493" s="10"/>
      <c r="CX493" s="10"/>
      <c r="CY493" s="10"/>
      <c r="CZ493" s="10"/>
      <c r="DA493" s="10"/>
      <c r="DB493" s="10"/>
      <c r="DC493" s="10"/>
      <c r="DD493" s="10"/>
      <c r="DE493" s="10"/>
      <c r="DF493" s="10"/>
      <c r="DG493" s="10"/>
      <c r="DH493" s="10"/>
      <c r="DI493" s="10"/>
      <c r="DJ493" s="10"/>
      <c r="DK493" s="10"/>
      <c r="DL493" s="10"/>
      <c r="DM493" s="10"/>
      <c r="DN493" s="10"/>
      <c r="DO493" s="10"/>
      <c r="DP493" s="10"/>
      <c r="DQ493" s="10"/>
      <c r="DR493" s="10"/>
      <c r="DS493" s="10"/>
      <c r="DT493" s="10"/>
      <c r="DU493" s="10"/>
      <c r="DV493" s="10"/>
      <c r="DW493" s="10"/>
      <c r="DX493" s="10"/>
      <c r="DY493" s="10"/>
      <c r="DZ493" s="10"/>
      <c r="EA493" s="10"/>
      <c r="EB493" s="10"/>
      <c r="EC493" s="10"/>
      <c r="ED493" s="10"/>
      <c r="EE493" s="10"/>
      <c r="EF493" s="10"/>
      <c r="EG493" s="10"/>
      <c r="EH493" s="10"/>
      <c r="EI493" s="10"/>
      <c r="EJ493" s="10"/>
      <c r="EK493" s="10"/>
      <c r="EL493" s="10"/>
      <c r="EM493" s="10"/>
      <c r="EN493" s="10"/>
      <c r="EO493" s="10"/>
      <c r="EP493" s="10"/>
      <c r="EQ493" s="10"/>
      <c r="ER493" s="10"/>
      <c r="ES493" s="10"/>
      <c r="ET493" s="10"/>
      <c r="EU493" s="10"/>
      <c r="EV493" s="10"/>
      <c r="EW493" s="10"/>
      <c r="EX493" s="10"/>
      <c r="EY493" s="10"/>
      <c r="EZ493" s="10"/>
      <c r="FA493" s="10"/>
      <c r="FB493" s="10"/>
      <c r="FC493" s="10"/>
      <c r="FD493" s="10"/>
      <c r="FE493" s="10"/>
      <c r="FF493" s="10"/>
      <c r="FG493" s="10"/>
      <c r="FH493" s="10"/>
      <c r="FI493" s="10"/>
      <c r="FJ493" s="10"/>
      <c r="FK493" s="10"/>
      <c r="FL493" s="10"/>
      <c r="FM493" s="10"/>
      <c r="FN493" s="10"/>
      <c r="FO493" s="10"/>
      <c r="FP493" s="10"/>
      <c r="FQ493" s="10"/>
      <c r="FR493" s="10"/>
      <c r="FS493" s="10"/>
      <c r="FT493" s="10"/>
      <c r="FU493" s="10"/>
      <c r="FV493" s="10"/>
      <c r="FW493" s="10"/>
      <c r="FX493" s="10"/>
      <c r="FY493" s="10"/>
      <c r="FZ493" s="10"/>
      <c r="GA493" s="10"/>
      <c r="GB493" s="10"/>
      <c r="GC493" s="10"/>
      <c r="GD493" s="10"/>
      <c r="GE493" s="10"/>
      <c r="GF493" s="10"/>
      <c r="GG493" s="10"/>
      <c r="GH493" s="10"/>
      <c r="GI493" s="10"/>
      <c r="GJ493" s="10"/>
      <c r="GK493" s="10"/>
    </row>
    <row r="494" customFormat="false" ht="12.75" hidden="false" customHeight="false" outlineLevel="0" collapsed="false">
      <c r="A494" s="7"/>
      <c r="B494" s="7"/>
      <c r="C494" s="8"/>
      <c r="D494" s="8"/>
      <c r="E494" s="8"/>
      <c r="F494" s="8"/>
      <c r="G494" s="9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  <c r="BU494" s="10"/>
      <c r="BV494" s="10"/>
      <c r="BW494" s="10"/>
      <c r="BX494" s="10"/>
      <c r="BY494" s="10"/>
      <c r="BZ494" s="10"/>
      <c r="CA494" s="10"/>
      <c r="CB494" s="10"/>
      <c r="CC494" s="10"/>
      <c r="CD494" s="10"/>
      <c r="CE494" s="10"/>
      <c r="CF494" s="10"/>
      <c r="CG494" s="10"/>
      <c r="CH494" s="10"/>
      <c r="CI494" s="10"/>
      <c r="CJ494" s="10"/>
      <c r="CK494" s="10"/>
      <c r="CL494" s="10"/>
      <c r="CM494" s="10"/>
      <c r="CN494" s="10"/>
      <c r="CO494" s="10"/>
      <c r="CP494" s="10"/>
      <c r="CQ494" s="10"/>
      <c r="CR494" s="10"/>
      <c r="CS494" s="10"/>
      <c r="CT494" s="10"/>
      <c r="CU494" s="10"/>
      <c r="CV494" s="10"/>
      <c r="CW494" s="10"/>
      <c r="CX494" s="10"/>
      <c r="CY494" s="10"/>
      <c r="CZ494" s="10"/>
      <c r="DA494" s="10"/>
      <c r="DB494" s="10"/>
      <c r="DC494" s="10"/>
      <c r="DD494" s="10"/>
      <c r="DE494" s="10"/>
      <c r="DF494" s="10"/>
      <c r="DG494" s="10"/>
      <c r="DH494" s="10"/>
      <c r="DI494" s="10"/>
      <c r="DJ494" s="10"/>
      <c r="DK494" s="10"/>
      <c r="DL494" s="10"/>
      <c r="DM494" s="10"/>
      <c r="DN494" s="10"/>
      <c r="DO494" s="10"/>
      <c r="DP494" s="10"/>
      <c r="DQ494" s="10"/>
      <c r="DR494" s="10"/>
      <c r="DS494" s="10"/>
      <c r="DT494" s="10"/>
      <c r="DU494" s="10"/>
      <c r="DV494" s="10"/>
      <c r="DW494" s="10"/>
      <c r="DX494" s="10"/>
      <c r="DY494" s="10"/>
      <c r="DZ494" s="10"/>
      <c r="EA494" s="10"/>
      <c r="EB494" s="10"/>
      <c r="EC494" s="10"/>
      <c r="ED494" s="10"/>
      <c r="EE494" s="10"/>
      <c r="EF494" s="10"/>
      <c r="EG494" s="10"/>
      <c r="EH494" s="10"/>
      <c r="EI494" s="10"/>
      <c r="EJ494" s="10"/>
      <c r="EK494" s="10"/>
      <c r="EL494" s="10"/>
      <c r="EM494" s="10"/>
      <c r="EN494" s="10"/>
      <c r="EO494" s="10"/>
      <c r="EP494" s="10"/>
      <c r="EQ494" s="10"/>
      <c r="ER494" s="10"/>
      <c r="ES494" s="10"/>
      <c r="ET494" s="10"/>
      <c r="EU494" s="10"/>
      <c r="EV494" s="10"/>
      <c r="EW494" s="10"/>
      <c r="EX494" s="10"/>
      <c r="EY494" s="10"/>
      <c r="EZ494" s="10"/>
      <c r="FA494" s="10"/>
      <c r="FB494" s="10"/>
      <c r="FC494" s="10"/>
      <c r="FD494" s="10"/>
      <c r="FE494" s="10"/>
      <c r="FF494" s="10"/>
      <c r="FG494" s="10"/>
      <c r="FH494" s="10"/>
      <c r="FI494" s="10"/>
      <c r="FJ494" s="10"/>
      <c r="FK494" s="10"/>
      <c r="FL494" s="10"/>
      <c r="FM494" s="10"/>
      <c r="FN494" s="10"/>
      <c r="FO494" s="10"/>
      <c r="FP494" s="10"/>
      <c r="FQ494" s="10"/>
      <c r="FR494" s="10"/>
      <c r="FS494" s="10"/>
      <c r="FT494" s="10"/>
      <c r="FU494" s="10"/>
      <c r="FV494" s="10"/>
      <c r="FW494" s="10"/>
      <c r="FX494" s="10"/>
      <c r="FY494" s="10"/>
      <c r="FZ494" s="10"/>
      <c r="GA494" s="10"/>
      <c r="GB494" s="10"/>
      <c r="GC494" s="10"/>
      <c r="GD494" s="10"/>
      <c r="GE494" s="10"/>
      <c r="GF494" s="10"/>
      <c r="GG494" s="10"/>
      <c r="GH494" s="10"/>
      <c r="GI494" s="10"/>
      <c r="GJ494" s="10"/>
      <c r="GK494" s="10"/>
    </row>
    <row r="495" customFormat="false" ht="12.75" hidden="false" customHeight="false" outlineLevel="0" collapsed="false">
      <c r="A495" s="7"/>
      <c r="B495" s="7"/>
      <c r="C495" s="8"/>
      <c r="D495" s="8"/>
      <c r="E495" s="8"/>
      <c r="F495" s="8"/>
      <c r="G495" s="9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  <c r="BU495" s="10"/>
      <c r="BV495" s="10"/>
      <c r="BW495" s="10"/>
      <c r="BX495" s="10"/>
      <c r="BY495" s="10"/>
      <c r="BZ495" s="10"/>
      <c r="CA495" s="10"/>
      <c r="CB495" s="10"/>
      <c r="CC495" s="10"/>
      <c r="CD495" s="10"/>
      <c r="CE495" s="10"/>
      <c r="CF495" s="10"/>
      <c r="CG495" s="10"/>
      <c r="CH495" s="10"/>
      <c r="CI495" s="10"/>
      <c r="CJ495" s="10"/>
      <c r="CK495" s="10"/>
      <c r="CL495" s="10"/>
      <c r="CM495" s="10"/>
      <c r="CN495" s="10"/>
      <c r="CO495" s="10"/>
      <c r="CP495" s="10"/>
      <c r="CQ495" s="10"/>
      <c r="CR495" s="10"/>
      <c r="CS495" s="10"/>
      <c r="CT495" s="10"/>
      <c r="CU495" s="10"/>
      <c r="CV495" s="10"/>
      <c r="CW495" s="10"/>
      <c r="CX495" s="10"/>
      <c r="CY495" s="10"/>
      <c r="CZ495" s="10"/>
      <c r="DA495" s="10"/>
      <c r="DB495" s="10"/>
      <c r="DC495" s="10"/>
      <c r="DD495" s="10"/>
      <c r="DE495" s="10"/>
      <c r="DF495" s="10"/>
      <c r="DG495" s="10"/>
      <c r="DH495" s="10"/>
      <c r="DI495" s="10"/>
      <c r="DJ495" s="10"/>
      <c r="DK495" s="10"/>
      <c r="DL495" s="10"/>
      <c r="DM495" s="10"/>
      <c r="DN495" s="10"/>
      <c r="DO495" s="10"/>
      <c r="DP495" s="10"/>
      <c r="DQ495" s="10"/>
      <c r="DR495" s="10"/>
      <c r="DS495" s="10"/>
      <c r="DT495" s="10"/>
      <c r="DU495" s="10"/>
      <c r="DV495" s="10"/>
      <c r="DW495" s="10"/>
      <c r="DX495" s="10"/>
      <c r="DY495" s="10"/>
      <c r="DZ495" s="10"/>
      <c r="EA495" s="10"/>
      <c r="EB495" s="10"/>
      <c r="EC495" s="10"/>
      <c r="ED495" s="10"/>
      <c r="EE495" s="10"/>
      <c r="EF495" s="10"/>
      <c r="EG495" s="10"/>
      <c r="EH495" s="10"/>
      <c r="EI495" s="10"/>
      <c r="EJ495" s="10"/>
      <c r="EK495" s="10"/>
      <c r="EL495" s="10"/>
      <c r="EM495" s="10"/>
      <c r="EN495" s="10"/>
      <c r="EO495" s="10"/>
      <c r="EP495" s="10"/>
      <c r="EQ495" s="10"/>
      <c r="ER495" s="10"/>
      <c r="ES495" s="10"/>
      <c r="ET495" s="10"/>
      <c r="EU495" s="10"/>
      <c r="EV495" s="10"/>
      <c r="EW495" s="10"/>
      <c r="EX495" s="10"/>
      <c r="EY495" s="10"/>
      <c r="EZ495" s="10"/>
      <c r="FA495" s="10"/>
      <c r="FB495" s="10"/>
      <c r="FC495" s="10"/>
      <c r="FD495" s="10"/>
      <c r="FE495" s="10"/>
      <c r="FF495" s="10"/>
      <c r="FG495" s="10"/>
      <c r="FH495" s="10"/>
      <c r="FI495" s="10"/>
      <c r="FJ495" s="10"/>
      <c r="FK495" s="10"/>
      <c r="FL495" s="10"/>
      <c r="FM495" s="10"/>
      <c r="FN495" s="10"/>
      <c r="FO495" s="10"/>
      <c r="FP495" s="10"/>
      <c r="FQ495" s="10"/>
      <c r="FR495" s="10"/>
      <c r="FS495" s="10"/>
      <c r="FT495" s="10"/>
      <c r="FU495" s="10"/>
      <c r="FV495" s="10"/>
      <c r="FW495" s="10"/>
      <c r="FX495" s="10"/>
      <c r="FY495" s="10"/>
      <c r="FZ495" s="10"/>
      <c r="GA495" s="10"/>
      <c r="GB495" s="10"/>
      <c r="GC495" s="10"/>
      <c r="GD495" s="10"/>
      <c r="GE495" s="10"/>
      <c r="GF495" s="10"/>
      <c r="GG495" s="10"/>
      <c r="GH495" s="10"/>
      <c r="GI495" s="10"/>
      <c r="GJ495" s="10"/>
      <c r="GK495" s="10"/>
    </row>
    <row r="496" customFormat="false" ht="12.75" hidden="false" customHeight="false" outlineLevel="0" collapsed="false">
      <c r="A496" s="7"/>
      <c r="B496" s="7"/>
      <c r="C496" s="8"/>
      <c r="D496" s="8"/>
      <c r="E496" s="8"/>
      <c r="F496" s="8"/>
      <c r="G496" s="9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  <c r="BU496" s="10"/>
      <c r="BV496" s="10"/>
      <c r="BW496" s="10"/>
      <c r="BX496" s="10"/>
      <c r="BY496" s="10"/>
      <c r="BZ496" s="10"/>
      <c r="CA496" s="10"/>
      <c r="CB496" s="10"/>
      <c r="CC496" s="10"/>
      <c r="CD496" s="10"/>
      <c r="CE496" s="10"/>
      <c r="CF496" s="10"/>
      <c r="CG496" s="10"/>
      <c r="CH496" s="10"/>
      <c r="CI496" s="10"/>
      <c r="CJ496" s="10"/>
      <c r="CK496" s="10"/>
      <c r="CL496" s="10"/>
      <c r="CM496" s="10"/>
      <c r="CN496" s="10"/>
      <c r="CO496" s="10"/>
      <c r="CP496" s="10"/>
      <c r="CQ496" s="10"/>
      <c r="CR496" s="10"/>
      <c r="CS496" s="10"/>
      <c r="CT496" s="10"/>
      <c r="CU496" s="10"/>
      <c r="CV496" s="10"/>
      <c r="CW496" s="10"/>
      <c r="CX496" s="10"/>
      <c r="CY496" s="10"/>
      <c r="CZ496" s="10"/>
      <c r="DA496" s="10"/>
      <c r="DB496" s="10"/>
      <c r="DC496" s="10"/>
      <c r="DD496" s="10"/>
      <c r="DE496" s="10"/>
      <c r="DF496" s="10"/>
      <c r="DG496" s="10"/>
      <c r="DH496" s="10"/>
      <c r="DI496" s="10"/>
      <c r="DJ496" s="10"/>
      <c r="DK496" s="10"/>
      <c r="DL496" s="10"/>
      <c r="DM496" s="10"/>
      <c r="DN496" s="10"/>
      <c r="DO496" s="10"/>
      <c r="DP496" s="10"/>
      <c r="DQ496" s="10"/>
      <c r="DR496" s="10"/>
      <c r="DS496" s="10"/>
      <c r="DT496" s="10"/>
      <c r="DU496" s="10"/>
      <c r="DV496" s="10"/>
      <c r="DW496" s="10"/>
      <c r="DX496" s="10"/>
      <c r="DY496" s="10"/>
      <c r="DZ496" s="10"/>
      <c r="EA496" s="10"/>
      <c r="EB496" s="10"/>
      <c r="EC496" s="10"/>
      <c r="ED496" s="10"/>
      <c r="EE496" s="10"/>
      <c r="EF496" s="10"/>
      <c r="EG496" s="10"/>
      <c r="EH496" s="10"/>
      <c r="EI496" s="10"/>
      <c r="EJ496" s="10"/>
      <c r="EK496" s="10"/>
      <c r="EL496" s="10"/>
      <c r="EM496" s="10"/>
      <c r="EN496" s="10"/>
      <c r="EO496" s="10"/>
      <c r="EP496" s="10"/>
      <c r="EQ496" s="10"/>
      <c r="ER496" s="10"/>
      <c r="ES496" s="10"/>
      <c r="ET496" s="10"/>
      <c r="EU496" s="10"/>
      <c r="EV496" s="10"/>
      <c r="EW496" s="10"/>
      <c r="EX496" s="10"/>
      <c r="EY496" s="10"/>
      <c r="EZ496" s="10"/>
      <c r="FA496" s="10"/>
      <c r="FB496" s="10"/>
      <c r="FC496" s="10"/>
      <c r="FD496" s="10"/>
      <c r="FE496" s="10"/>
      <c r="FF496" s="10"/>
      <c r="FG496" s="10"/>
      <c r="FH496" s="10"/>
      <c r="FI496" s="10"/>
      <c r="FJ496" s="10"/>
      <c r="FK496" s="10"/>
      <c r="FL496" s="10"/>
      <c r="FM496" s="10"/>
      <c r="FN496" s="10"/>
      <c r="FO496" s="10"/>
      <c r="FP496" s="10"/>
      <c r="FQ496" s="10"/>
      <c r="FR496" s="10"/>
      <c r="FS496" s="10"/>
      <c r="FT496" s="10"/>
      <c r="FU496" s="10"/>
      <c r="FV496" s="10"/>
      <c r="FW496" s="10"/>
      <c r="FX496" s="10"/>
      <c r="FY496" s="10"/>
      <c r="FZ496" s="10"/>
      <c r="GA496" s="10"/>
      <c r="GB496" s="10"/>
      <c r="GC496" s="10"/>
      <c r="GD496" s="10"/>
      <c r="GE496" s="10"/>
      <c r="GF496" s="10"/>
      <c r="GG496" s="10"/>
      <c r="GH496" s="10"/>
      <c r="GI496" s="10"/>
      <c r="GJ496" s="10"/>
      <c r="GK496" s="10"/>
    </row>
    <row r="497" customFormat="false" ht="12.75" hidden="false" customHeight="false" outlineLevel="0" collapsed="false">
      <c r="A497" s="7"/>
      <c r="B497" s="7"/>
      <c r="C497" s="8"/>
      <c r="D497" s="8"/>
      <c r="E497" s="8"/>
      <c r="F497" s="8"/>
      <c r="G497" s="9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  <c r="BU497" s="10"/>
      <c r="BV497" s="10"/>
      <c r="BW497" s="10"/>
      <c r="BX497" s="10"/>
      <c r="BY497" s="10"/>
      <c r="BZ497" s="10"/>
      <c r="CA497" s="10"/>
      <c r="CB497" s="10"/>
      <c r="CC497" s="10"/>
      <c r="CD497" s="10"/>
      <c r="CE497" s="10"/>
      <c r="CF497" s="10"/>
      <c r="CG497" s="10"/>
      <c r="CH497" s="10"/>
      <c r="CI497" s="10"/>
      <c r="CJ497" s="10"/>
      <c r="CK497" s="10"/>
      <c r="CL497" s="10"/>
      <c r="CM497" s="10"/>
      <c r="CN497" s="10"/>
      <c r="CO497" s="10"/>
      <c r="CP497" s="10"/>
      <c r="CQ497" s="10"/>
      <c r="CR497" s="10"/>
      <c r="CS497" s="10"/>
      <c r="CT497" s="10"/>
      <c r="CU497" s="10"/>
      <c r="CV497" s="10"/>
      <c r="CW497" s="10"/>
      <c r="CX497" s="10"/>
      <c r="CY497" s="10"/>
      <c r="CZ497" s="10"/>
      <c r="DA497" s="10"/>
      <c r="DB497" s="10"/>
      <c r="DC497" s="10"/>
      <c r="DD497" s="10"/>
      <c r="DE497" s="10"/>
      <c r="DF497" s="10"/>
      <c r="DG497" s="10"/>
      <c r="DH497" s="10"/>
      <c r="DI497" s="10"/>
      <c r="DJ497" s="10"/>
      <c r="DK497" s="10"/>
      <c r="DL497" s="10"/>
      <c r="DM497" s="10"/>
      <c r="DN497" s="10"/>
      <c r="DO497" s="10"/>
      <c r="DP497" s="10"/>
      <c r="DQ497" s="10"/>
      <c r="DR497" s="10"/>
      <c r="DS497" s="10"/>
      <c r="DT497" s="10"/>
      <c r="DU497" s="10"/>
      <c r="DV497" s="10"/>
      <c r="DW497" s="10"/>
      <c r="DX497" s="10"/>
      <c r="DY497" s="10"/>
      <c r="DZ497" s="10"/>
      <c r="EA497" s="10"/>
      <c r="EB497" s="10"/>
      <c r="EC497" s="10"/>
      <c r="ED497" s="10"/>
      <c r="EE497" s="10"/>
      <c r="EF497" s="10"/>
      <c r="EG497" s="10"/>
      <c r="EH497" s="10"/>
      <c r="EI497" s="10"/>
      <c r="EJ497" s="10"/>
      <c r="EK497" s="10"/>
      <c r="EL497" s="10"/>
      <c r="EM497" s="10"/>
      <c r="EN497" s="10"/>
      <c r="EO497" s="10"/>
      <c r="EP497" s="10"/>
      <c r="EQ497" s="10"/>
      <c r="ER497" s="10"/>
      <c r="ES497" s="10"/>
      <c r="ET497" s="10"/>
      <c r="EU497" s="10"/>
      <c r="EV497" s="10"/>
      <c r="EW497" s="10"/>
      <c r="EX497" s="10"/>
      <c r="EY497" s="10"/>
      <c r="EZ497" s="10"/>
      <c r="FA497" s="10"/>
      <c r="FB497" s="10"/>
      <c r="FC497" s="10"/>
      <c r="FD497" s="10"/>
      <c r="FE497" s="10"/>
      <c r="FF497" s="10"/>
      <c r="FG497" s="10"/>
      <c r="FH497" s="10"/>
      <c r="FI497" s="10"/>
      <c r="FJ497" s="10"/>
      <c r="FK497" s="10"/>
      <c r="FL497" s="10"/>
      <c r="FM497" s="10"/>
      <c r="FN497" s="10"/>
      <c r="FO497" s="10"/>
      <c r="FP497" s="10"/>
      <c r="FQ497" s="10"/>
      <c r="FR497" s="10"/>
      <c r="FS497" s="10"/>
      <c r="FT497" s="10"/>
      <c r="FU497" s="10"/>
      <c r="FV497" s="10"/>
      <c r="FW497" s="10"/>
      <c r="FX497" s="10"/>
      <c r="FY497" s="10"/>
      <c r="FZ497" s="10"/>
      <c r="GA497" s="10"/>
      <c r="GB497" s="10"/>
      <c r="GC497" s="10"/>
      <c r="GD497" s="10"/>
      <c r="GE497" s="10"/>
      <c r="GF497" s="10"/>
      <c r="GG497" s="10"/>
      <c r="GH497" s="10"/>
      <c r="GI497" s="10"/>
      <c r="GJ497" s="10"/>
      <c r="GK497" s="10"/>
    </row>
    <row r="498" customFormat="false" ht="12.75" hidden="false" customHeight="false" outlineLevel="0" collapsed="false">
      <c r="A498" s="7"/>
      <c r="B498" s="7"/>
      <c r="C498" s="8"/>
      <c r="D498" s="8"/>
      <c r="E498" s="8"/>
      <c r="F498" s="8"/>
      <c r="G498" s="9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  <c r="BT498" s="10"/>
      <c r="BU498" s="10"/>
      <c r="BV498" s="10"/>
      <c r="BW498" s="10"/>
      <c r="BX498" s="10"/>
      <c r="BY498" s="10"/>
      <c r="BZ498" s="10"/>
      <c r="CA498" s="10"/>
      <c r="CB498" s="10"/>
      <c r="CC498" s="10"/>
      <c r="CD498" s="10"/>
      <c r="CE498" s="10"/>
      <c r="CF498" s="10"/>
      <c r="CG498" s="10"/>
      <c r="CH498" s="10"/>
      <c r="CI498" s="10"/>
      <c r="CJ498" s="10"/>
      <c r="CK498" s="10"/>
      <c r="CL498" s="10"/>
      <c r="CM498" s="10"/>
      <c r="CN498" s="10"/>
      <c r="CO498" s="10"/>
      <c r="CP498" s="10"/>
      <c r="CQ498" s="10"/>
      <c r="CR498" s="10"/>
      <c r="CS498" s="10"/>
      <c r="CT498" s="10"/>
      <c r="CU498" s="10"/>
      <c r="CV498" s="10"/>
      <c r="CW498" s="10"/>
      <c r="CX498" s="10"/>
      <c r="CY498" s="10"/>
      <c r="CZ498" s="10"/>
      <c r="DA498" s="10"/>
      <c r="DB498" s="10"/>
      <c r="DC498" s="10"/>
      <c r="DD498" s="10"/>
      <c r="DE498" s="10"/>
      <c r="DF498" s="10"/>
      <c r="DG498" s="10"/>
      <c r="DH498" s="10"/>
      <c r="DI498" s="10"/>
      <c r="DJ498" s="10"/>
      <c r="DK498" s="10"/>
      <c r="DL498" s="10"/>
      <c r="DM498" s="10"/>
      <c r="DN498" s="10"/>
      <c r="DO498" s="10"/>
      <c r="DP498" s="10"/>
      <c r="DQ498" s="10"/>
      <c r="DR498" s="10"/>
      <c r="DS498" s="10"/>
      <c r="DT498" s="10"/>
      <c r="DU498" s="10"/>
      <c r="DV498" s="10"/>
      <c r="DW498" s="10"/>
      <c r="DX498" s="10"/>
      <c r="DY498" s="10"/>
      <c r="DZ498" s="10"/>
      <c r="EA498" s="10"/>
      <c r="EB498" s="10"/>
      <c r="EC498" s="10"/>
      <c r="ED498" s="10"/>
      <c r="EE498" s="10"/>
      <c r="EF498" s="10"/>
      <c r="EG498" s="10"/>
      <c r="EH498" s="10"/>
      <c r="EI498" s="10"/>
      <c r="EJ498" s="10"/>
      <c r="EK498" s="10"/>
      <c r="EL498" s="10"/>
      <c r="EM498" s="10"/>
      <c r="EN498" s="10"/>
      <c r="EO498" s="10"/>
      <c r="EP498" s="10"/>
      <c r="EQ498" s="10"/>
      <c r="ER498" s="10"/>
      <c r="ES498" s="10"/>
      <c r="ET498" s="10"/>
      <c r="EU498" s="10"/>
      <c r="EV498" s="10"/>
      <c r="EW498" s="10"/>
      <c r="EX498" s="10"/>
      <c r="EY498" s="10"/>
      <c r="EZ498" s="10"/>
      <c r="FA498" s="10"/>
      <c r="FB498" s="10"/>
      <c r="FC498" s="10"/>
      <c r="FD498" s="10"/>
      <c r="FE498" s="10"/>
      <c r="FF498" s="10"/>
      <c r="FG498" s="10"/>
      <c r="FH498" s="10"/>
      <c r="FI498" s="10"/>
      <c r="FJ498" s="10"/>
      <c r="FK498" s="10"/>
      <c r="FL498" s="10"/>
      <c r="FM498" s="10"/>
      <c r="FN498" s="10"/>
      <c r="FO498" s="10"/>
      <c r="FP498" s="10"/>
      <c r="FQ498" s="10"/>
      <c r="FR498" s="10"/>
      <c r="FS498" s="10"/>
      <c r="FT498" s="10"/>
      <c r="FU498" s="10"/>
      <c r="FV498" s="10"/>
      <c r="FW498" s="10"/>
      <c r="FX498" s="10"/>
      <c r="FY498" s="10"/>
      <c r="FZ498" s="10"/>
      <c r="GA498" s="10"/>
      <c r="GB498" s="10"/>
      <c r="GC498" s="10"/>
      <c r="GD498" s="10"/>
      <c r="GE498" s="10"/>
      <c r="GF498" s="10"/>
      <c r="GG498" s="10"/>
      <c r="GH498" s="10"/>
      <c r="GI498" s="10"/>
      <c r="GJ498" s="10"/>
      <c r="GK498" s="10"/>
    </row>
    <row r="499" customFormat="false" ht="12.75" hidden="false" customHeight="false" outlineLevel="0" collapsed="false">
      <c r="A499" s="7"/>
      <c r="B499" s="7"/>
      <c r="C499" s="8"/>
      <c r="D499" s="8"/>
      <c r="E499" s="8"/>
      <c r="F499" s="8"/>
      <c r="G499" s="9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  <c r="BT499" s="10"/>
      <c r="BU499" s="10"/>
      <c r="BV499" s="10"/>
      <c r="BW499" s="10"/>
      <c r="BX499" s="10"/>
      <c r="BY499" s="10"/>
      <c r="BZ499" s="10"/>
      <c r="CA499" s="10"/>
      <c r="CB499" s="10"/>
      <c r="CC499" s="10"/>
      <c r="CD499" s="10"/>
      <c r="CE499" s="10"/>
      <c r="CF499" s="10"/>
      <c r="CG499" s="10"/>
      <c r="CH499" s="10"/>
      <c r="CI499" s="10"/>
      <c r="CJ499" s="10"/>
      <c r="CK499" s="10"/>
      <c r="CL499" s="10"/>
      <c r="CM499" s="10"/>
      <c r="CN499" s="10"/>
      <c r="CO499" s="10"/>
      <c r="CP499" s="10"/>
      <c r="CQ499" s="10"/>
      <c r="CR499" s="10"/>
      <c r="CS499" s="10"/>
      <c r="CT499" s="10"/>
      <c r="CU499" s="10"/>
      <c r="CV499" s="10"/>
      <c r="CW499" s="10"/>
      <c r="CX499" s="10"/>
      <c r="CY499" s="10"/>
      <c r="CZ499" s="10"/>
      <c r="DA499" s="10"/>
      <c r="DB499" s="10"/>
      <c r="DC499" s="10"/>
      <c r="DD499" s="10"/>
      <c r="DE499" s="10"/>
      <c r="DF499" s="10"/>
      <c r="DG499" s="10"/>
      <c r="DH499" s="10"/>
      <c r="DI499" s="10"/>
      <c r="DJ499" s="10"/>
      <c r="DK499" s="10"/>
      <c r="DL499" s="10"/>
      <c r="DM499" s="10"/>
      <c r="DN499" s="10"/>
      <c r="DO499" s="10"/>
      <c r="DP499" s="10"/>
      <c r="DQ499" s="10"/>
      <c r="DR499" s="10"/>
      <c r="DS499" s="10"/>
      <c r="DT499" s="10"/>
      <c r="DU499" s="10"/>
      <c r="DV499" s="10"/>
      <c r="DW499" s="10"/>
      <c r="DX499" s="10"/>
      <c r="DY499" s="10"/>
      <c r="DZ499" s="10"/>
      <c r="EA499" s="10"/>
      <c r="EB499" s="10"/>
      <c r="EC499" s="10"/>
      <c r="ED499" s="10"/>
      <c r="EE499" s="10"/>
      <c r="EF499" s="10"/>
      <c r="EG499" s="10"/>
      <c r="EH499" s="10"/>
      <c r="EI499" s="10"/>
      <c r="EJ499" s="10"/>
      <c r="EK499" s="10"/>
      <c r="EL499" s="10"/>
      <c r="EM499" s="10"/>
      <c r="EN499" s="10"/>
      <c r="EO499" s="10"/>
      <c r="EP499" s="10"/>
      <c r="EQ499" s="10"/>
      <c r="ER499" s="10"/>
      <c r="ES499" s="10"/>
      <c r="ET499" s="10"/>
      <c r="EU499" s="10"/>
      <c r="EV499" s="10"/>
      <c r="EW499" s="10"/>
      <c r="EX499" s="10"/>
      <c r="EY499" s="10"/>
      <c r="EZ499" s="10"/>
      <c r="FA499" s="10"/>
      <c r="FB499" s="10"/>
      <c r="FC499" s="10"/>
      <c r="FD499" s="10"/>
      <c r="FE499" s="10"/>
      <c r="FF499" s="10"/>
      <c r="FG499" s="10"/>
      <c r="FH499" s="10"/>
      <c r="FI499" s="10"/>
      <c r="FJ499" s="10"/>
      <c r="FK499" s="10"/>
      <c r="FL499" s="10"/>
      <c r="FM499" s="10"/>
      <c r="FN499" s="10"/>
      <c r="FO499" s="10"/>
      <c r="FP499" s="10"/>
      <c r="FQ499" s="10"/>
      <c r="FR499" s="10"/>
      <c r="FS499" s="10"/>
      <c r="FT499" s="10"/>
      <c r="FU499" s="10"/>
      <c r="FV499" s="10"/>
      <c r="FW499" s="10"/>
      <c r="FX499" s="10"/>
      <c r="FY499" s="10"/>
      <c r="FZ499" s="10"/>
      <c r="GA499" s="10"/>
      <c r="GB499" s="10"/>
      <c r="GC499" s="10"/>
      <c r="GD499" s="10"/>
      <c r="GE499" s="10"/>
      <c r="GF499" s="10"/>
      <c r="GG499" s="10"/>
      <c r="GH499" s="10"/>
      <c r="GI499" s="10"/>
      <c r="GJ499" s="10"/>
      <c r="GK499" s="10"/>
    </row>
    <row r="500" customFormat="false" ht="12.75" hidden="false" customHeight="false" outlineLevel="0" collapsed="false">
      <c r="A500" s="7"/>
      <c r="B500" s="7"/>
      <c r="C500" s="8"/>
      <c r="D500" s="8"/>
      <c r="E500" s="8"/>
      <c r="F500" s="8"/>
      <c r="G500" s="9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/>
      <c r="BT500" s="10"/>
      <c r="BU500" s="10"/>
      <c r="BV500" s="10"/>
      <c r="BW500" s="10"/>
      <c r="BX500" s="10"/>
      <c r="BY500" s="10"/>
      <c r="BZ500" s="10"/>
      <c r="CA500" s="10"/>
      <c r="CB500" s="10"/>
      <c r="CC500" s="10"/>
      <c r="CD500" s="10"/>
      <c r="CE500" s="10"/>
      <c r="CF500" s="10"/>
      <c r="CG500" s="10"/>
      <c r="CH500" s="10"/>
      <c r="CI500" s="10"/>
      <c r="CJ500" s="10"/>
      <c r="CK500" s="10"/>
      <c r="CL500" s="10"/>
      <c r="CM500" s="10"/>
      <c r="CN500" s="10"/>
      <c r="CO500" s="10"/>
      <c r="CP500" s="10"/>
      <c r="CQ500" s="10"/>
      <c r="CR500" s="10"/>
      <c r="CS500" s="10"/>
      <c r="CT500" s="10"/>
      <c r="CU500" s="10"/>
      <c r="CV500" s="10"/>
      <c r="CW500" s="10"/>
      <c r="CX500" s="10"/>
      <c r="CY500" s="10"/>
      <c r="CZ500" s="10"/>
      <c r="DA500" s="10"/>
      <c r="DB500" s="10"/>
      <c r="DC500" s="10"/>
      <c r="DD500" s="10"/>
      <c r="DE500" s="10"/>
      <c r="DF500" s="10"/>
      <c r="DG500" s="10"/>
      <c r="DH500" s="10"/>
      <c r="DI500" s="10"/>
      <c r="DJ500" s="10"/>
      <c r="DK500" s="10"/>
      <c r="DL500" s="10"/>
      <c r="DM500" s="10"/>
      <c r="DN500" s="10"/>
      <c r="DO500" s="10"/>
      <c r="DP500" s="10"/>
      <c r="DQ500" s="10"/>
      <c r="DR500" s="10"/>
      <c r="DS500" s="10"/>
      <c r="DT500" s="10"/>
      <c r="DU500" s="10"/>
      <c r="DV500" s="10"/>
      <c r="DW500" s="10"/>
      <c r="DX500" s="10"/>
      <c r="DY500" s="10"/>
      <c r="DZ500" s="10"/>
      <c r="EA500" s="10"/>
      <c r="EB500" s="10"/>
      <c r="EC500" s="10"/>
      <c r="ED500" s="10"/>
      <c r="EE500" s="10"/>
      <c r="EF500" s="10"/>
      <c r="EG500" s="10"/>
      <c r="EH500" s="10"/>
      <c r="EI500" s="10"/>
      <c r="EJ500" s="10"/>
      <c r="EK500" s="10"/>
      <c r="EL500" s="10"/>
      <c r="EM500" s="10"/>
      <c r="EN500" s="10"/>
      <c r="EO500" s="10"/>
      <c r="EP500" s="10"/>
      <c r="EQ500" s="10"/>
      <c r="ER500" s="10"/>
      <c r="ES500" s="10"/>
      <c r="ET500" s="10"/>
      <c r="EU500" s="10"/>
      <c r="EV500" s="10"/>
      <c r="EW500" s="10"/>
      <c r="EX500" s="10"/>
      <c r="EY500" s="10"/>
      <c r="EZ500" s="10"/>
      <c r="FA500" s="10"/>
      <c r="FB500" s="10"/>
      <c r="FC500" s="10"/>
      <c r="FD500" s="10"/>
      <c r="FE500" s="10"/>
      <c r="FF500" s="10"/>
      <c r="FG500" s="10"/>
      <c r="FH500" s="10"/>
      <c r="FI500" s="10"/>
      <c r="FJ500" s="10"/>
      <c r="FK500" s="10"/>
      <c r="FL500" s="10"/>
      <c r="FM500" s="10"/>
      <c r="FN500" s="10"/>
      <c r="FO500" s="10"/>
      <c r="FP500" s="10"/>
      <c r="FQ500" s="10"/>
      <c r="FR500" s="10"/>
      <c r="FS500" s="10"/>
      <c r="FT500" s="10"/>
      <c r="FU500" s="10"/>
      <c r="FV500" s="10"/>
      <c r="FW500" s="10"/>
      <c r="FX500" s="10"/>
      <c r="FY500" s="10"/>
      <c r="FZ500" s="10"/>
      <c r="GA500" s="10"/>
      <c r="GB500" s="10"/>
      <c r="GC500" s="10"/>
      <c r="GD500" s="10"/>
      <c r="GE500" s="10"/>
      <c r="GF500" s="10"/>
      <c r="GG500" s="10"/>
      <c r="GH500" s="10"/>
      <c r="GI500" s="10"/>
      <c r="GJ500" s="10"/>
      <c r="GK500" s="10"/>
    </row>
    <row r="501" customFormat="false" ht="12.75" hidden="false" customHeight="false" outlineLevel="0" collapsed="false">
      <c r="A501" s="7"/>
      <c r="B501" s="7"/>
      <c r="C501" s="8"/>
      <c r="D501" s="8"/>
      <c r="E501" s="8"/>
      <c r="F501" s="8"/>
      <c r="G501" s="9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  <c r="BT501" s="10"/>
      <c r="BU501" s="10"/>
      <c r="BV501" s="10"/>
      <c r="BW501" s="10"/>
      <c r="BX501" s="10"/>
      <c r="BY501" s="10"/>
      <c r="BZ501" s="10"/>
      <c r="CA501" s="10"/>
      <c r="CB501" s="10"/>
      <c r="CC501" s="10"/>
      <c r="CD501" s="10"/>
      <c r="CE501" s="10"/>
      <c r="CF501" s="10"/>
      <c r="CG501" s="10"/>
      <c r="CH501" s="10"/>
      <c r="CI501" s="10"/>
      <c r="CJ501" s="10"/>
      <c r="CK501" s="10"/>
      <c r="CL501" s="10"/>
      <c r="CM501" s="10"/>
      <c r="CN501" s="10"/>
      <c r="CO501" s="10"/>
      <c r="CP501" s="10"/>
      <c r="CQ501" s="10"/>
      <c r="CR501" s="10"/>
      <c r="CS501" s="10"/>
      <c r="CT501" s="10"/>
      <c r="CU501" s="10"/>
      <c r="CV501" s="10"/>
      <c r="CW501" s="10"/>
      <c r="CX501" s="10"/>
      <c r="CY501" s="10"/>
      <c r="CZ501" s="10"/>
      <c r="DA501" s="10"/>
      <c r="DB501" s="10"/>
      <c r="DC501" s="10"/>
      <c r="DD501" s="10"/>
      <c r="DE501" s="10"/>
      <c r="DF501" s="10"/>
      <c r="DG501" s="10"/>
      <c r="DH501" s="10"/>
      <c r="DI501" s="10"/>
      <c r="DJ501" s="10"/>
      <c r="DK501" s="10"/>
      <c r="DL501" s="10"/>
      <c r="DM501" s="10"/>
      <c r="DN501" s="10"/>
      <c r="DO501" s="10"/>
      <c r="DP501" s="10"/>
      <c r="DQ501" s="10"/>
      <c r="DR501" s="10"/>
      <c r="DS501" s="10"/>
      <c r="DT501" s="10"/>
      <c r="DU501" s="10"/>
      <c r="DV501" s="10"/>
      <c r="DW501" s="10"/>
      <c r="DX501" s="10"/>
      <c r="DY501" s="10"/>
      <c r="DZ501" s="10"/>
      <c r="EA501" s="10"/>
      <c r="EB501" s="10"/>
      <c r="EC501" s="10"/>
      <c r="ED501" s="10"/>
      <c r="EE501" s="10"/>
      <c r="EF501" s="10"/>
      <c r="EG501" s="10"/>
      <c r="EH501" s="10"/>
      <c r="EI501" s="10"/>
      <c r="EJ501" s="10"/>
      <c r="EK501" s="10"/>
      <c r="EL501" s="10"/>
      <c r="EM501" s="10"/>
      <c r="EN501" s="10"/>
      <c r="EO501" s="10"/>
      <c r="EP501" s="10"/>
      <c r="EQ501" s="10"/>
      <c r="ER501" s="10"/>
      <c r="ES501" s="10"/>
      <c r="ET501" s="10"/>
      <c r="EU501" s="10"/>
      <c r="EV501" s="10"/>
      <c r="EW501" s="10"/>
      <c r="EX501" s="10"/>
      <c r="EY501" s="10"/>
      <c r="EZ501" s="10"/>
      <c r="FA501" s="10"/>
      <c r="FB501" s="10"/>
      <c r="FC501" s="10"/>
      <c r="FD501" s="10"/>
      <c r="FE501" s="10"/>
      <c r="FF501" s="10"/>
      <c r="FG501" s="10"/>
      <c r="FH501" s="10"/>
      <c r="FI501" s="10"/>
      <c r="FJ501" s="10"/>
      <c r="FK501" s="10"/>
      <c r="FL501" s="10"/>
      <c r="FM501" s="10"/>
      <c r="FN501" s="10"/>
      <c r="FO501" s="10"/>
      <c r="FP501" s="10"/>
      <c r="FQ501" s="10"/>
      <c r="FR501" s="10"/>
      <c r="FS501" s="10"/>
      <c r="FT501" s="10"/>
      <c r="FU501" s="10"/>
      <c r="FV501" s="10"/>
      <c r="FW501" s="10"/>
      <c r="FX501" s="10"/>
      <c r="FY501" s="10"/>
      <c r="FZ501" s="10"/>
      <c r="GA501" s="10"/>
      <c r="GB501" s="10"/>
      <c r="GC501" s="10"/>
      <c r="GD501" s="10"/>
      <c r="GE501" s="10"/>
      <c r="GF501" s="10"/>
      <c r="GG501" s="10"/>
      <c r="GH501" s="10"/>
      <c r="GI501" s="10"/>
      <c r="GJ501" s="10"/>
      <c r="GK501" s="10"/>
    </row>
    <row r="502" customFormat="false" ht="12.75" hidden="false" customHeight="false" outlineLevel="0" collapsed="false">
      <c r="A502" s="7"/>
      <c r="B502" s="7"/>
      <c r="C502" s="8"/>
      <c r="D502" s="8"/>
      <c r="E502" s="8"/>
      <c r="F502" s="8"/>
      <c r="G502" s="9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/>
      <c r="BT502" s="10"/>
      <c r="BU502" s="10"/>
      <c r="BV502" s="10"/>
      <c r="BW502" s="10"/>
      <c r="BX502" s="10"/>
      <c r="BY502" s="10"/>
      <c r="BZ502" s="10"/>
      <c r="CA502" s="10"/>
      <c r="CB502" s="10"/>
      <c r="CC502" s="10"/>
      <c r="CD502" s="10"/>
      <c r="CE502" s="10"/>
      <c r="CF502" s="10"/>
      <c r="CG502" s="10"/>
      <c r="CH502" s="10"/>
      <c r="CI502" s="10"/>
      <c r="CJ502" s="10"/>
      <c r="CK502" s="10"/>
      <c r="CL502" s="10"/>
      <c r="CM502" s="10"/>
      <c r="CN502" s="10"/>
      <c r="CO502" s="10"/>
      <c r="CP502" s="10"/>
      <c r="CQ502" s="10"/>
      <c r="CR502" s="10"/>
      <c r="CS502" s="10"/>
      <c r="CT502" s="10"/>
      <c r="CU502" s="10"/>
      <c r="CV502" s="10"/>
      <c r="CW502" s="10"/>
      <c r="CX502" s="10"/>
      <c r="CY502" s="10"/>
      <c r="CZ502" s="10"/>
      <c r="DA502" s="10"/>
      <c r="DB502" s="10"/>
      <c r="DC502" s="10"/>
      <c r="DD502" s="10"/>
      <c r="DE502" s="10"/>
      <c r="DF502" s="10"/>
      <c r="DG502" s="10"/>
      <c r="DH502" s="10"/>
      <c r="DI502" s="10"/>
      <c r="DJ502" s="10"/>
      <c r="DK502" s="10"/>
      <c r="DL502" s="10"/>
      <c r="DM502" s="10"/>
      <c r="DN502" s="10"/>
      <c r="DO502" s="10"/>
      <c r="DP502" s="10"/>
      <c r="DQ502" s="10"/>
      <c r="DR502" s="10"/>
      <c r="DS502" s="10"/>
      <c r="DT502" s="10"/>
      <c r="DU502" s="10"/>
      <c r="DV502" s="10"/>
      <c r="DW502" s="10"/>
      <c r="DX502" s="10"/>
      <c r="DY502" s="10"/>
      <c r="DZ502" s="10"/>
      <c r="EA502" s="10"/>
      <c r="EB502" s="10"/>
      <c r="EC502" s="10"/>
      <c r="ED502" s="10"/>
      <c r="EE502" s="10"/>
      <c r="EF502" s="10"/>
      <c r="EG502" s="10"/>
      <c r="EH502" s="10"/>
      <c r="EI502" s="10"/>
      <c r="EJ502" s="10"/>
      <c r="EK502" s="10"/>
      <c r="EL502" s="10"/>
      <c r="EM502" s="10"/>
      <c r="EN502" s="10"/>
      <c r="EO502" s="10"/>
      <c r="EP502" s="10"/>
      <c r="EQ502" s="10"/>
      <c r="ER502" s="10"/>
      <c r="ES502" s="10"/>
      <c r="ET502" s="10"/>
      <c r="EU502" s="10"/>
      <c r="EV502" s="10"/>
      <c r="EW502" s="10"/>
      <c r="EX502" s="10"/>
      <c r="EY502" s="10"/>
      <c r="EZ502" s="10"/>
      <c r="FA502" s="10"/>
      <c r="FB502" s="10"/>
      <c r="FC502" s="10"/>
      <c r="FD502" s="10"/>
      <c r="FE502" s="10"/>
      <c r="FF502" s="10"/>
      <c r="FG502" s="10"/>
      <c r="FH502" s="10"/>
      <c r="FI502" s="10"/>
      <c r="FJ502" s="10"/>
      <c r="FK502" s="10"/>
      <c r="FL502" s="10"/>
      <c r="FM502" s="10"/>
      <c r="FN502" s="10"/>
      <c r="FO502" s="10"/>
      <c r="FP502" s="10"/>
      <c r="FQ502" s="10"/>
      <c r="FR502" s="10"/>
      <c r="FS502" s="10"/>
      <c r="FT502" s="10"/>
      <c r="FU502" s="10"/>
      <c r="FV502" s="10"/>
      <c r="FW502" s="10"/>
      <c r="FX502" s="10"/>
      <c r="FY502" s="10"/>
      <c r="FZ502" s="10"/>
      <c r="GA502" s="10"/>
      <c r="GB502" s="10"/>
      <c r="GC502" s="10"/>
      <c r="GD502" s="10"/>
      <c r="GE502" s="10"/>
      <c r="GF502" s="10"/>
      <c r="GG502" s="10"/>
      <c r="GH502" s="10"/>
      <c r="GI502" s="10"/>
      <c r="GJ502" s="10"/>
      <c r="GK502" s="10"/>
    </row>
    <row r="503" customFormat="false" ht="12.75" hidden="false" customHeight="false" outlineLevel="0" collapsed="false">
      <c r="A503" s="7"/>
      <c r="B503" s="7"/>
      <c r="C503" s="8"/>
      <c r="D503" s="8"/>
      <c r="E503" s="8"/>
      <c r="F503" s="8"/>
      <c r="G503" s="9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/>
      <c r="BT503" s="10"/>
      <c r="BU503" s="10"/>
      <c r="BV503" s="10"/>
      <c r="BW503" s="10"/>
      <c r="BX503" s="10"/>
      <c r="BY503" s="10"/>
      <c r="BZ503" s="10"/>
      <c r="CA503" s="10"/>
      <c r="CB503" s="10"/>
      <c r="CC503" s="10"/>
      <c r="CD503" s="10"/>
      <c r="CE503" s="10"/>
      <c r="CF503" s="10"/>
      <c r="CG503" s="10"/>
      <c r="CH503" s="10"/>
      <c r="CI503" s="10"/>
      <c r="CJ503" s="10"/>
      <c r="CK503" s="10"/>
      <c r="CL503" s="10"/>
      <c r="CM503" s="10"/>
      <c r="CN503" s="10"/>
      <c r="CO503" s="10"/>
      <c r="CP503" s="10"/>
      <c r="CQ503" s="10"/>
      <c r="CR503" s="10"/>
      <c r="CS503" s="10"/>
      <c r="CT503" s="10"/>
      <c r="CU503" s="10"/>
      <c r="CV503" s="10"/>
      <c r="CW503" s="10"/>
      <c r="CX503" s="10"/>
      <c r="CY503" s="10"/>
      <c r="CZ503" s="10"/>
      <c r="DA503" s="10"/>
      <c r="DB503" s="10"/>
      <c r="DC503" s="10"/>
      <c r="DD503" s="10"/>
      <c r="DE503" s="10"/>
      <c r="DF503" s="10"/>
      <c r="DG503" s="10"/>
      <c r="DH503" s="10"/>
      <c r="DI503" s="10"/>
      <c r="DJ503" s="10"/>
      <c r="DK503" s="10"/>
      <c r="DL503" s="10"/>
      <c r="DM503" s="10"/>
      <c r="DN503" s="10"/>
      <c r="DO503" s="10"/>
      <c r="DP503" s="10"/>
      <c r="DQ503" s="10"/>
      <c r="DR503" s="10"/>
      <c r="DS503" s="10"/>
      <c r="DT503" s="10"/>
      <c r="DU503" s="10"/>
      <c r="DV503" s="10"/>
      <c r="DW503" s="10"/>
      <c r="DX503" s="10"/>
      <c r="DY503" s="10"/>
      <c r="DZ503" s="10"/>
      <c r="EA503" s="10"/>
      <c r="EB503" s="10"/>
      <c r="EC503" s="10"/>
      <c r="ED503" s="10"/>
      <c r="EE503" s="10"/>
      <c r="EF503" s="10"/>
      <c r="EG503" s="10"/>
      <c r="EH503" s="10"/>
      <c r="EI503" s="10"/>
      <c r="EJ503" s="10"/>
      <c r="EK503" s="10"/>
      <c r="EL503" s="10"/>
      <c r="EM503" s="10"/>
      <c r="EN503" s="10"/>
      <c r="EO503" s="10"/>
      <c r="EP503" s="10"/>
      <c r="EQ503" s="10"/>
      <c r="ER503" s="10"/>
      <c r="ES503" s="10"/>
      <c r="ET503" s="10"/>
      <c r="EU503" s="10"/>
      <c r="EV503" s="10"/>
      <c r="EW503" s="10"/>
      <c r="EX503" s="10"/>
      <c r="EY503" s="10"/>
      <c r="EZ503" s="10"/>
      <c r="FA503" s="10"/>
      <c r="FB503" s="10"/>
      <c r="FC503" s="10"/>
      <c r="FD503" s="10"/>
      <c r="FE503" s="10"/>
      <c r="FF503" s="10"/>
      <c r="FG503" s="10"/>
      <c r="FH503" s="10"/>
      <c r="FI503" s="10"/>
      <c r="FJ503" s="10"/>
      <c r="FK503" s="10"/>
      <c r="FL503" s="10"/>
      <c r="FM503" s="10"/>
      <c r="FN503" s="10"/>
      <c r="FO503" s="10"/>
      <c r="FP503" s="10"/>
      <c r="FQ503" s="10"/>
      <c r="FR503" s="10"/>
      <c r="FS503" s="10"/>
      <c r="FT503" s="10"/>
      <c r="FU503" s="10"/>
      <c r="FV503" s="10"/>
      <c r="FW503" s="10"/>
      <c r="FX503" s="10"/>
      <c r="FY503" s="10"/>
      <c r="FZ503" s="10"/>
      <c r="GA503" s="10"/>
      <c r="GB503" s="10"/>
      <c r="GC503" s="10"/>
      <c r="GD503" s="10"/>
      <c r="GE503" s="10"/>
      <c r="GF503" s="10"/>
      <c r="GG503" s="10"/>
      <c r="GH503" s="10"/>
      <c r="GI503" s="10"/>
      <c r="GJ503" s="10"/>
      <c r="GK503" s="10"/>
    </row>
    <row r="504" customFormat="false" ht="12.75" hidden="false" customHeight="false" outlineLevel="0" collapsed="false">
      <c r="A504" s="7"/>
      <c r="B504" s="7"/>
      <c r="C504" s="8"/>
      <c r="D504" s="8"/>
      <c r="E504" s="8"/>
      <c r="F504" s="8"/>
      <c r="G504" s="9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  <c r="BS504" s="10"/>
      <c r="BT504" s="10"/>
      <c r="BU504" s="10"/>
      <c r="BV504" s="10"/>
      <c r="BW504" s="10"/>
      <c r="BX504" s="10"/>
      <c r="BY504" s="10"/>
      <c r="BZ504" s="10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  <c r="EM504" s="10"/>
      <c r="EN504" s="10"/>
      <c r="EO504" s="10"/>
      <c r="EP504" s="10"/>
      <c r="EQ504" s="10"/>
      <c r="ER504" s="10"/>
      <c r="ES504" s="10"/>
      <c r="ET504" s="10"/>
      <c r="EU504" s="10"/>
      <c r="EV504" s="10"/>
      <c r="EW504" s="10"/>
      <c r="EX504" s="10"/>
      <c r="EY504" s="10"/>
      <c r="EZ504" s="10"/>
      <c r="FA504" s="10"/>
      <c r="FB504" s="10"/>
      <c r="FC504" s="10"/>
      <c r="FD504" s="10"/>
      <c r="FE504" s="10"/>
      <c r="FF504" s="10"/>
      <c r="FG504" s="10"/>
      <c r="FH504" s="10"/>
      <c r="FI504" s="10"/>
      <c r="FJ504" s="10"/>
      <c r="FK504" s="10"/>
      <c r="FL504" s="10"/>
      <c r="FM504" s="10"/>
      <c r="FN504" s="10"/>
      <c r="FO504" s="10"/>
      <c r="FP504" s="10"/>
      <c r="FQ504" s="10"/>
      <c r="FR504" s="10"/>
      <c r="FS504" s="10"/>
      <c r="FT504" s="10"/>
      <c r="FU504" s="10"/>
      <c r="FV504" s="10"/>
      <c r="FW504" s="10"/>
      <c r="FX504" s="10"/>
      <c r="FY504" s="10"/>
      <c r="FZ504" s="10"/>
      <c r="GA504" s="10"/>
      <c r="GB504" s="10"/>
      <c r="GC504" s="10"/>
      <c r="GD504" s="10"/>
      <c r="GE504" s="10"/>
      <c r="GF504" s="10"/>
      <c r="GG504" s="10"/>
      <c r="GH504" s="10"/>
      <c r="GI504" s="10"/>
      <c r="GJ504" s="10"/>
      <c r="GK504" s="10"/>
    </row>
    <row r="505" customFormat="false" ht="12.75" hidden="false" customHeight="false" outlineLevel="0" collapsed="false">
      <c r="A505" s="7"/>
      <c r="B505" s="7"/>
      <c r="C505" s="8"/>
      <c r="D505" s="8"/>
      <c r="E505" s="8"/>
      <c r="F505" s="8"/>
      <c r="G505" s="9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  <c r="BS505" s="10"/>
      <c r="BT505" s="10"/>
      <c r="BU505" s="10"/>
      <c r="BV505" s="10"/>
      <c r="BW505" s="10"/>
      <c r="BX505" s="10"/>
      <c r="BY505" s="10"/>
      <c r="BZ505" s="10"/>
      <c r="CA505" s="10"/>
      <c r="CB505" s="10"/>
      <c r="CC505" s="10"/>
      <c r="CD505" s="10"/>
      <c r="CE505" s="10"/>
      <c r="CF505" s="10"/>
      <c r="CG505" s="10"/>
      <c r="CH505" s="10"/>
      <c r="CI505" s="10"/>
      <c r="CJ505" s="10"/>
      <c r="CK505" s="10"/>
      <c r="CL505" s="10"/>
      <c r="CM505" s="10"/>
      <c r="CN505" s="10"/>
      <c r="CO505" s="10"/>
      <c r="CP505" s="10"/>
      <c r="CQ505" s="10"/>
      <c r="CR505" s="10"/>
      <c r="CS505" s="10"/>
      <c r="CT505" s="10"/>
      <c r="CU505" s="10"/>
      <c r="CV505" s="10"/>
      <c r="CW505" s="10"/>
      <c r="CX505" s="10"/>
      <c r="CY505" s="10"/>
      <c r="CZ505" s="10"/>
      <c r="DA505" s="10"/>
      <c r="DB505" s="10"/>
      <c r="DC505" s="10"/>
      <c r="DD505" s="10"/>
      <c r="DE505" s="10"/>
      <c r="DF505" s="10"/>
      <c r="DG505" s="10"/>
      <c r="DH505" s="10"/>
      <c r="DI505" s="10"/>
      <c r="DJ505" s="10"/>
      <c r="DK505" s="10"/>
      <c r="DL505" s="10"/>
      <c r="DM505" s="10"/>
      <c r="DN505" s="10"/>
      <c r="DO505" s="10"/>
      <c r="DP505" s="10"/>
      <c r="DQ505" s="10"/>
      <c r="DR505" s="10"/>
      <c r="DS505" s="10"/>
      <c r="DT505" s="10"/>
      <c r="DU505" s="10"/>
      <c r="DV505" s="10"/>
      <c r="DW505" s="10"/>
      <c r="DX505" s="10"/>
      <c r="DY505" s="10"/>
      <c r="DZ505" s="10"/>
      <c r="EA505" s="10"/>
      <c r="EB505" s="10"/>
      <c r="EC505" s="10"/>
      <c r="ED505" s="10"/>
      <c r="EE505" s="10"/>
      <c r="EF505" s="10"/>
      <c r="EG505" s="10"/>
      <c r="EH505" s="10"/>
      <c r="EI505" s="10"/>
      <c r="EJ505" s="10"/>
      <c r="EK505" s="10"/>
      <c r="EL505" s="10"/>
      <c r="EM505" s="10"/>
      <c r="EN505" s="10"/>
      <c r="EO505" s="10"/>
      <c r="EP505" s="10"/>
      <c r="EQ505" s="10"/>
      <c r="ER505" s="10"/>
      <c r="ES505" s="10"/>
      <c r="ET505" s="10"/>
      <c r="EU505" s="10"/>
      <c r="EV505" s="10"/>
      <c r="EW505" s="10"/>
      <c r="EX505" s="10"/>
      <c r="EY505" s="10"/>
      <c r="EZ505" s="10"/>
      <c r="FA505" s="10"/>
      <c r="FB505" s="10"/>
      <c r="FC505" s="10"/>
      <c r="FD505" s="10"/>
      <c r="FE505" s="10"/>
      <c r="FF505" s="10"/>
      <c r="FG505" s="10"/>
      <c r="FH505" s="10"/>
      <c r="FI505" s="10"/>
      <c r="FJ505" s="10"/>
      <c r="FK505" s="10"/>
      <c r="FL505" s="10"/>
      <c r="FM505" s="10"/>
      <c r="FN505" s="10"/>
      <c r="FO505" s="10"/>
      <c r="FP505" s="10"/>
      <c r="FQ505" s="10"/>
      <c r="FR505" s="10"/>
      <c r="FS505" s="10"/>
      <c r="FT505" s="10"/>
      <c r="FU505" s="10"/>
      <c r="FV505" s="10"/>
      <c r="FW505" s="10"/>
      <c r="FX505" s="10"/>
      <c r="FY505" s="10"/>
      <c r="FZ505" s="10"/>
      <c r="GA505" s="10"/>
      <c r="GB505" s="10"/>
      <c r="GC505" s="10"/>
      <c r="GD505" s="10"/>
      <c r="GE505" s="10"/>
      <c r="GF505" s="10"/>
      <c r="GG505" s="10"/>
      <c r="GH505" s="10"/>
      <c r="GI505" s="10"/>
      <c r="GJ505" s="10"/>
      <c r="GK505" s="10"/>
    </row>
    <row r="506" customFormat="false" ht="12.75" hidden="false" customHeight="false" outlineLevel="0" collapsed="false">
      <c r="A506" s="7"/>
      <c r="B506" s="7"/>
      <c r="C506" s="8"/>
      <c r="D506" s="8"/>
      <c r="E506" s="8"/>
      <c r="F506" s="8"/>
      <c r="G506" s="9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  <c r="BS506" s="10"/>
      <c r="BT506" s="10"/>
      <c r="BU506" s="10"/>
      <c r="BV506" s="10"/>
      <c r="BW506" s="10"/>
      <c r="BX506" s="10"/>
      <c r="BY506" s="10"/>
      <c r="BZ506" s="10"/>
      <c r="CA506" s="10"/>
      <c r="CB506" s="10"/>
      <c r="CC506" s="10"/>
      <c r="CD506" s="10"/>
      <c r="CE506" s="10"/>
      <c r="CF506" s="10"/>
      <c r="CG506" s="10"/>
      <c r="CH506" s="10"/>
      <c r="CI506" s="10"/>
      <c r="CJ506" s="10"/>
      <c r="CK506" s="10"/>
      <c r="CL506" s="10"/>
      <c r="CM506" s="10"/>
      <c r="CN506" s="10"/>
      <c r="CO506" s="10"/>
      <c r="CP506" s="10"/>
      <c r="CQ506" s="10"/>
      <c r="CR506" s="10"/>
      <c r="CS506" s="10"/>
      <c r="CT506" s="10"/>
      <c r="CU506" s="10"/>
      <c r="CV506" s="10"/>
      <c r="CW506" s="10"/>
      <c r="CX506" s="10"/>
      <c r="CY506" s="10"/>
      <c r="CZ506" s="10"/>
      <c r="DA506" s="10"/>
      <c r="DB506" s="10"/>
      <c r="DC506" s="10"/>
      <c r="DD506" s="10"/>
      <c r="DE506" s="10"/>
      <c r="DF506" s="10"/>
      <c r="DG506" s="10"/>
      <c r="DH506" s="10"/>
      <c r="DI506" s="10"/>
      <c r="DJ506" s="10"/>
      <c r="DK506" s="10"/>
      <c r="DL506" s="10"/>
      <c r="DM506" s="10"/>
      <c r="DN506" s="10"/>
      <c r="DO506" s="10"/>
      <c r="DP506" s="10"/>
      <c r="DQ506" s="10"/>
      <c r="DR506" s="10"/>
      <c r="DS506" s="10"/>
      <c r="DT506" s="10"/>
      <c r="DU506" s="10"/>
      <c r="DV506" s="10"/>
      <c r="DW506" s="10"/>
      <c r="DX506" s="10"/>
      <c r="DY506" s="10"/>
      <c r="DZ506" s="10"/>
      <c r="EA506" s="10"/>
      <c r="EB506" s="10"/>
      <c r="EC506" s="10"/>
      <c r="ED506" s="10"/>
      <c r="EE506" s="10"/>
      <c r="EF506" s="10"/>
      <c r="EG506" s="10"/>
      <c r="EH506" s="10"/>
      <c r="EI506" s="10"/>
      <c r="EJ506" s="10"/>
      <c r="EK506" s="10"/>
      <c r="EL506" s="10"/>
      <c r="EM506" s="10"/>
      <c r="EN506" s="10"/>
      <c r="EO506" s="10"/>
      <c r="EP506" s="10"/>
      <c r="EQ506" s="10"/>
      <c r="ER506" s="10"/>
      <c r="ES506" s="10"/>
      <c r="ET506" s="10"/>
      <c r="EU506" s="10"/>
      <c r="EV506" s="10"/>
      <c r="EW506" s="10"/>
      <c r="EX506" s="10"/>
      <c r="EY506" s="10"/>
      <c r="EZ506" s="10"/>
      <c r="FA506" s="10"/>
      <c r="FB506" s="10"/>
      <c r="FC506" s="10"/>
      <c r="FD506" s="10"/>
      <c r="FE506" s="10"/>
      <c r="FF506" s="10"/>
      <c r="FG506" s="10"/>
      <c r="FH506" s="10"/>
      <c r="FI506" s="10"/>
      <c r="FJ506" s="10"/>
      <c r="FK506" s="10"/>
      <c r="FL506" s="10"/>
      <c r="FM506" s="10"/>
      <c r="FN506" s="10"/>
      <c r="FO506" s="10"/>
      <c r="FP506" s="10"/>
      <c r="FQ506" s="10"/>
      <c r="FR506" s="10"/>
      <c r="FS506" s="10"/>
      <c r="FT506" s="10"/>
      <c r="FU506" s="10"/>
      <c r="FV506" s="10"/>
      <c r="FW506" s="10"/>
      <c r="FX506" s="10"/>
      <c r="FY506" s="10"/>
      <c r="FZ506" s="10"/>
      <c r="GA506" s="10"/>
      <c r="GB506" s="10"/>
      <c r="GC506" s="10"/>
      <c r="GD506" s="10"/>
      <c r="GE506" s="10"/>
      <c r="GF506" s="10"/>
      <c r="GG506" s="10"/>
      <c r="GH506" s="10"/>
      <c r="GI506" s="10"/>
      <c r="GJ506" s="10"/>
      <c r="GK506" s="10"/>
    </row>
    <row r="507" customFormat="false" ht="12.75" hidden="false" customHeight="false" outlineLevel="0" collapsed="false">
      <c r="A507" s="7"/>
      <c r="B507" s="7"/>
      <c r="C507" s="8"/>
      <c r="D507" s="8"/>
      <c r="E507" s="8"/>
      <c r="F507" s="8"/>
      <c r="G507" s="9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0"/>
      <c r="BT507" s="10"/>
      <c r="BU507" s="10"/>
      <c r="BV507" s="10"/>
      <c r="BW507" s="10"/>
      <c r="BX507" s="10"/>
      <c r="BY507" s="10"/>
      <c r="BZ507" s="10"/>
      <c r="CA507" s="10"/>
      <c r="CB507" s="10"/>
      <c r="CC507" s="10"/>
      <c r="CD507" s="10"/>
      <c r="CE507" s="10"/>
      <c r="CF507" s="10"/>
      <c r="CG507" s="10"/>
      <c r="CH507" s="10"/>
      <c r="CI507" s="10"/>
      <c r="CJ507" s="10"/>
      <c r="CK507" s="10"/>
      <c r="CL507" s="10"/>
      <c r="CM507" s="10"/>
      <c r="CN507" s="10"/>
      <c r="CO507" s="10"/>
      <c r="CP507" s="10"/>
      <c r="CQ507" s="10"/>
      <c r="CR507" s="10"/>
      <c r="CS507" s="10"/>
      <c r="CT507" s="10"/>
      <c r="CU507" s="10"/>
      <c r="CV507" s="10"/>
      <c r="CW507" s="10"/>
      <c r="CX507" s="10"/>
      <c r="CY507" s="10"/>
      <c r="CZ507" s="10"/>
      <c r="DA507" s="10"/>
      <c r="DB507" s="10"/>
      <c r="DC507" s="10"/>
      <c r="DD507" s="10"/>
      <c r="DE507" s="10"/>
      <c r="DF507" s="10"/>
      <c r="DG507" s="10"/>
      <c r="DH507" s="10"/>
      <c r="DI507" s="10"/>
      <c r="DJ507" s="10"/>
      <c r="DK507" s="10"/>
      <c r="DL507" s="10"/>
      <c r="DM507" s="10"/>
      <c r="DN507" s="10"/>
      <c r="DO507" s="10"/>
      <c r="DP507" s="10"/>
      <c r="DQ507" s="10"/>
      <c r="DR507" s="10"/>
      <c r="DS507" s="10"/>
      <c r="DT507" s="10"/>
      <c r="DU507" s="10"/>
      <c r="DV507" s="10"/>
      <c r="DW507" s="10"/>
      <c r="DX507" s="10"/>
      <c r="DY507" s="10"/>
      <c r="DZ507" s="10"/>
      <c r="EA507" s="10"/>
      <c r="EB507" s="10"/>
      <c r="EC507" s="10"/>
      <c r="ED507" s="10"/>
      <c r="EE507" s="10"/>
      <c r="EF507" s="10"/>
      <c r="EG507" s="10"/>
      <c r="EH507" s="10"/>
      <c r="EI507" s="10"/>
      <c r="EJ507" s="10"/>
      <c r="EK507" s="10"/>
      <c r="EL507" s="10"/>
      <c r="EM507" s="10"/>
      <c r="EN507" s="10"/>
      <c r="EO507" s="10"/>
      <c r="EP507" s="10"/>
      <c r="EQ507" s="10"/>
      <c r="ER507" s="10"/>
      <c r="ES507" s="10"/>
      <c r="ET507" s="10"/>
      <c r="EU507" s="10"/>
      <c r="EV507" s="10"/>
      <c r="EW507" s="10"/>
      <c r="EX507" s="10"/>
      <c r="EY507" s="10"/>
      <c r="EZ507" s="10"/>
      <c r="FA507" s="10"/>
      <c r="FB507" s="10"/>
      <c r="FC507" s="10"/>
      <c r="FD507" s="10"/>
      <c r="FE507" s="10"/>
      <c r="FF507" s="10"/>
      <c r="FG507" s="10"/>
      <c r="FH507" s="10"/>
      <c r="FI507" s="10"/>
      <c r="FJ507" s="10"/>
      <c r="FK507" s="10"/>
      <c r="FL507" s="10"/>
      <c r="FM507" s="10"/>
      <c r="FN507" s="10"/>
      <c r="FO507" s="10"/>
      <c r="FP507" s="10"/>
      <c r="FQ507" s="10"/>
      <c r="FR507" s="10"/>
      <c r="FS507" s="10"/>
      <c r="FT507" s="10"/>
      <c r="FU507" s="10"/>
      <c r="FV507" s="10"/>
      <c r="FW507" s="10"/>
      <c r="FX507" s="10"/>
      <c r="FY507" s="10"/>
      <c r="FZ507" s="10"/>
      <c r="GA507" s="10"/>
      <c r="GB507" s="10"/>
      <c r="GC507" s="10"/>
      <c r="GD507" s="10"/>
      <c r="GE507" s="10"/>
      <c r="GF507" s="10"/>
      <c r="GG507" s="10"/>
      <c r="GH507" s="10"/>
      <c r="GI507" s="10"/>
      <c r="GJ507" s="10"/>
      <c r="GK507" s="10"/>
    </row>
    <row r="508" customFormat="false" ht="12.75" hidden="false" customHeight="false" outlineLevel="0" collapsed="false">
      <c r="A508" s="7"/>
      <c r="B508" s="7"/>
      <c r="C508" s="8"/>
      <c r="D508" s="8"/>
      <c r="E508" s="8"/>
      <c r="F508" s="8"/>
      <c r="G508" s="9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0"/>
      <c r="BT508" s="10"/>
      <c r="BU508" s="10"/>
      <c r="BV508" s="10"/>
      <c r="BW508" s="10"/>
      <c r="BX508" s="10"/>
      <c r="BY508" s="10"/>
      <c r="BZ508" s="10"/>
      <c r="CA508" s="10"/>
      <c r="CB508" s="10"/>
      <c r="CC508" s="10"/>
      <c r="CD508" s="10"/>
      <c r="CE508" s="10"/>
      <c r="CF508" s="10"/>
      <c r="CG508" s="10"/>
      <c r="CH508" s="10"/>
      <c r="CI508" s="10"/>
      <c r="CJ508" s="10"/>
      <c r="CK508" s="10"/>
      <c r="CL508" s="10"/>
      <c r="CM508" s="10"/>
      <c r="CN508" s="10"/>
      <c r="CO508" s="10"/>
      <c r="CP508" s="10"/>
      <c r="CQ508" s="10"/>
      <c r="CR508" s="10"/>
      <c r="CS508" s="10"/>
      <c r="CT508" s="10"/>
      <c r="CU508" s="10"/>
      <c r="CV508" s="10"/>
      <c r="CW508" s="10"/>
      <c r="CX508" s="10"/>
      <c r="CY508" s="10"/>
      <c r="CZ508" s="10"/>
      <c r="DA508" s="10"/>
      <c r="DB508" s="10"/>
      <c r="DC508" s="10"/>
      <c r="DD508" s="10"/>
      <c r="DE508" s="10"/>
      <c r="DF508" s="10"/>
      <c r="DG508" s="10"/>
      <c r="DH508" s="10"/>
      <c r="DI508" s="10"/>
      <c r="DJ508" s="10"/>
      <c r="DK508" s="10"/>
      <c r="DL508" s="10"/>
      <c r="DM508" s="10"/>
      <c r="DN508" s="10"/>
      <c r="DO508" s="10"/>
      <c r="DP508" s="10"/>
      <c r="DQ508" s="10"/>
      <c r="DR508" s="10"/>
      <c r="DS508" s="10"/>
      <c r="DT508" s="10"/>
      <c r="DU508" s="10"/>
      <c r="DV508" s="10"/>
      <c r="DW508" s="10"/>
      <c r="DX508" s="10"/>
      <c r="DY508" s="10"/>
      <c r="DZ508" s="10"/>
      <c r="EA508" s="10"/>
      <c r="EB508" s="10"/>
      <c r="EC508" s="10"/>
      <c r="ED508" s="10"/>
      <c r="EE508" s="10"/>
      <c r="EF508" s="10"/>
      <c r="EG508" s="10"/>
      <c r="EH508" s="10"/>
      <c r="EI508" s="10"/>
      <c r="EJ508" s="10"/>
      <c r="EK508" s="10"/>
      <c r="EL508" s="10"/>
      <c r="EM508" s="10"/>
      <c r="EN508" s="10"/>
      <c r="EO508" s="10"/>
      <c r="EP508" s="10"/>
      <c r="EQ508" s="10"/>
      <c r="ER508" s="10"/>
      <c r="ES508" s="10"/>
      <c r="ET508" s="10"/>
      <c r="EU508" s="10"/>
      <c r="EV508" s="10"/>
      <c r="EW508" s="10"/>
      <c r="EX508" s="10"/>
      <c r="EY508" s="10"/>
      <c r="EZ508" s="10"/>
      <c r="FA508" s="10"/>
      <c r="FB508" s="10"/>
      <c r="FC508" s="10"/>
      <c r="FD508" s="10"/>
      <c r="FE508" s="10"/>
      <c r="FF508" s="10"/>
      <c r="FG508" s="10"/>
      <c r="FH508" s="10"/>
      <c r="FI508" s="10"/>
      <c r="FJ508" s="10"/>
      <c r="FK508" s="10"/>
      <c r="FL508" s="10"/>
      <c r="FM508" s="10"/>
      <c r="FN508" s="10"/>
      <c r="FO508" s="10"/>
      <c r="FP508" s="10"/>
      <c r="FQ508" s="10"/>
      <c r="FR508" s="10"/>
      <c r="FS508" s="10"/>
      <c r="FT508" s="10"/>
      <c r="FU508" s="10"/>
      <c r="FV508" s="10"/>
      <c r="FW508" s="10"/>
      <c r="FX508" s="10"/>
      <c r="FY508" s="10"/>
      <c r="FZ508" s="10"/>
      <c r="GA508" s="10"/>
      <c r="GB508" s="10"/>
      <c r="GC508" s="10"/>
      <c r="GD508" s="10"/>
      <c r="GE508" s="10"/>
      <c r="GF508" s="10"/>
      <c r="GG508" s="10"/>
      <c r="GH508" s="10"/>
      <c r="GI508" s="10"/>
      <c r="GJ508" s="10"/>
      <c r="GK508" s="10"/>
    </row>
    <row r="509" customFormat="false" ht="12.75" hidden="false" customHeight="false" outlineLevel="0" collapsed="false">
      <c r="A509" s="7"/>
      <c r="B509" s="7"/>
      <c r="C509" s="8"/>
      <c r="D509" s="8"/>
      <c r="E509" s="8"/>
      <c r="F509" s="8"/>
      <c r="G509" s="9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  <c r="BT509" s="10"/>
      <c r="BU509" s="10"/>
      <c r="BV509" s="10"/>
      <c r="BW509" s="10"/>
      <c r="BX509" s="10"/>
      <c r="BY509" s="10"/>
      <c r="BZ509" s="10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  <c r="CS509" s="10"/>
      <c r="CT509" s="10"/>
      <c r="CU509" s="10"/>
      <c r="CV509" s="10"/>
      <c r="CW509" s="10"/>
      <c r="CX509" s="10"/>
      <c r="CY509" s="10"/>
      <c r="CZ509" s="10"/>
      <c r="DA509" s="10"/>
      <c r="DB509" s="10"/>
      <c r="DC509" s="10"/>
      <c r="DD509" s="10"/>
      <c r="DE509" s="10"/>
      <c r="DF509" s="10"/>
      <c r="DG509" s="10"/>
      <c r="DH509" s="10"/>
      <c r="DI509" s="10"/>
      <c r="DJ509" s="10"/>
      <c r="DK509" s="10"/>
      <c r="DL509" s="10"/>
      <c r="DM509" s="10"/>
      <c r="DN509" s="10"/>
      <c r="DO509" s="10"/>
      <c r="DP509" s="10"/>
      <c r="DQ509" s="10"/>
      <c r="DR509" s="10"/>
      <c r="DS509" s="10"/>
      <c r="DT509" s="10"/>
      <c r="DU509" s="10"/>
      <c r="DV509" s="10"/>
      <c r="DW509" s="10"/>
      <c r="DX509" s="10"/>
      <c r="DY509" s="10"/>
      <c r="DZ509" s="10"/>
      <c r="EA509" s="10"/>
      <c r="EB509" s="10"/>
      <c r="EC509" s="10"/>
      <c r="ED509" s="10"/>
      <c r="EE509" s="10"/>
      <c r="EF509" s="10"/>
      <c r="EG509" s="10"/>
      <c r="EH509" s="10"/>
      <c r="EI509" s="10"/>
      <c r="EJ509" s="10"/>
      <c r="EK509" s="10"/>
      <c r="EL509" s="10"/>
      <c r="EM509" s="10"/>
      <c r="EN509" s="10"/>
      <c r="EO509" s="10"/>
      <c r="EP509" s="10"/>
      <c r="EQ509" s="10"/>
      <c r="ER509" s="10"/>
      <c r="ES509" s="10"/>
      <c r="ET509" s="10"/>
      <c r="EU509" s="10"/>
      <c r="EV509" s="10"/>
      <c r="EW509" s="10"/>
      <c r="EX509" s="10"/>
      <c r="EY509" s="10"/>
      <c r="EZ509" s="10"/>
      <c r="FA509" s="10"/>
      <c r="FB509" s="10"/>
      <c r="FC509" s="10"/>
      <c r="FD509" s="10"/>
      <c r="FE509" s="10"/>
      <c r="FF509" s="10"/>
      <c r="FG509" s="10"/>
      <c r="FH509" s="10"/>
      <c r="FI509" s="10"/>
      <c r="FJ509" s="10"/>
      <c r="FK509" s="10"/>
      <c r="FL509" s="10"/>
      <c r="FM509" s="10"/>
      <c r="FN509" s="10"/>
      <c r="FO509" s="10"/>
      <c r="FP509" s="10"/>
      <c r="FQ509" s="10"/>
      <c r="FR509" s="10"/>
      <c r="FS509" s="10"/>
      <c r="FT509" s="10"/>
      <c r="FU509" s="10"/>
      <c r="FV509" s="10"/>
      <c r="FW509" s="10"/>
      <c r="FX509" s="10"/>
      <c r="FY509" s="10"/>
      <c r="FZ509" s="10"/>
      <c r="GA509" s="10"/>
      <c r="GB509" s="10"/>
      <c r="GC509" s="10"/>
      <c r="GD509" s="10"/>
      <c r="GE509" s="10"/>
      <c r="GF509" s="10"/>
      <c r="GG509" s="10"/>
      <c r="GH509" s="10"/>
      <c r="GI509" s="10"/>
      <c r="GJ509" s="10"/>
      <c r="GK509" s="10"/>
    </row>
    <row r="510" customFormat="false" ht="12.75" hidden="false" customHeight="false" outlineLevel="0" collapsed="false">
      <c r="A510" s="7"/>
      <c r="B510" s="7"/>
      <c r="C510" s="8"/>
      <c r="D510" s="8"/>
      <c r="E510" s="8"/>
      <c r="F510" s="8"/>
      <c r="G510" s="9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  <c r="BT510" s="10"/>
      <c r="BU510" s="10"/>
      <c r="BV510" s="10"/>
      <c r="BW510" s="10"/>
      <c r="BX510" s="10"/>
      <c r="BY510" s="10"/>
      <c r="BZ510" s="10"/>
      <c r="CA510" s="10"/>
      <c r="CB510" s="10"/>
      <c r="CC510" s="10"/>
      <c r="CD510" s="10"/>
      <c r="CE510" s="10"/>
      <c r="CF510" s="10"/>
      <c r="CG510" s="10"/>
      <c r="CH510" s="10"/>
      <c r="CI510" s="10"/>
      <c r="CJ510" s="10"/>
      <c r="CK510" s="10"/>
      <c r="CL510" s="10"/>
      <c r="CM510" s="10"/>
      <c r="CN510" s="10"/>
      <c r="CO510" s="10"/>
      <c r="CP510" s="10"/>
      <c r="CQ510" s="10"/>
      <c r="CR510" s="10"/>
      <c r="CS510" s="10"/>
      <c r="CT510" s="10"/>
      <c r="CU510" s="10"/>
      <c r="CV510" s="10"/>
      <c r="CW510" s="10"/>
      <c r="CX510" s="10"/>
      <c r="CY510" s="10"/>
      <c r="CZ510" s="10"/>
      <c r="DA510" s="10"/>
      <c r="DB510" s="10"/>
      <c r="DC510" s="10"/>
      <c r="DD510" s="10"/>
      <c r="DE510" s="10"/>
      <c r="DF510" s="10"/>
      <c r="DG510" s="10"/>
      <c r="DH510" s="10"/>
      <c r="DI510" s="10"/>
      <c r="DJ510" s="10"/>
      <c r="DK510" s="10"/>
      <c r="DL510" s="10"/>
      <c r="DM510" s="10"/>
      <c r="DN510" s="10"/>
      <c r="DO510" s="10"/>
      <c r="DP510" s="10"/>
      <c r="DQ510" s="10"/>
      <c r="DR510" s="10"/>
      <c r="DS510" s="10"/>
      <c r="DT510" s="10"/>
      <c r="DU510" s="10"/>
      <c r="DV510" s="10"/>
      <c r="DW510" s="10"/>
      <c r="DX510" s="10"/>
      <c r="DY510" s="10"/>
      <c r="DZ510" s="10"/>
      <c r="EA510" s="10"/>
      <c r="EB510" s="10"/>
      <c r="EC510" s="10"/>
      <c r="ED510" s="10"/>
      <c r="EE510" s="10"/>
      <c r="EF510" s="10"/>
      <c r="EG510" s="10"/>
      <c r="EH510" s="10"/>
      <c r="EI510" s="10"/>
      <c r="EJ510" s="10"/>
      <c r="EK510" s="10"/>
      <c r="EL510" s="10"/>
      <c r="EM510" s="10"/>
      <c r="EN510" s="10"/>
      <c r="EO510" s="10"/>
      <c r="EP510" s="10"/>
      <c r="EQ510" s="10"/>
      <c r="ER510" s="10"/>
      <c r="ES510" s="10"/>
      <c r="ET510" s="10"/>
      <c r="EU510" s="10"/>
      <c r="EV510" s="10"/>
      <c r="EW510" s="10"/>
      <c r="EX510" s="10"/>
      <c r="EY510" s="10"/>
      <c r="EZ510" s="10"/>
      <c r="FA510" s="10"/>
      <c r="FB510" s="10"/>
      <c r="FC510" s="10"/>
      <c r="FD510" s="10"/>
      <c r="FE510" s="10"/>
      <c r="FF510" s="10"/>
      <c r="FG510" s="10"/>
      <c r="FH510" s="10"/>
      <c r="FI510" s="10"/>
      <c r="FJ510" s="10"/>
      <c r="FK510" s="10"/>
      <c r="FL510" s="10"/>
      <c r="FM510" s="10"/>
      <c r="FN510" s="10"/>
      <c r="FO510" s="10"/>
      <c r="FP510" s="10"/>
      <c r="FQ510" s="10"/>
      <c r="FR510" s="10"/>
      <c r="FS510" s="10"/>
      <c r="FT510" s="10"/>
      <c r="FU510" s="10"/>
      <c r="FV510" s="10"/>
      <c r="FW510" s="10"/>
      <c r="FX510" s="10"/>
      <c r="FY510" s="10"/>
      <c r="FZ510" s="10"/>
      <c r="GA510" s="10"/>
      <c r="GB510" s="10"/>
      <c r="GC510" s="10"/>
      <c r="GD510" s="10"/>
      <c r="GE510" s="10"/>
      <c r="GF510" s="10"/>
      <c r="GG510" s="10"/>
      <c r="GH510" s="10"/>
      <c r="GI510" s="10"/>
      <c r="GJ510" s="10"/>
      <c r="GK510" s="10"/>
    </row>
    <row r="511" customFormat="false" ht="12.75" hidden="false" customHeight="false" outlineLevel="0" collapsed="false">
      <c r="A511" s="7"/>
      <c r="B511" s="7"/>
      <c r="C511" s="8"/>
      <c r="D511" s="8"/>
      <c r="E511" s="8"/>
      <c r="F511" s="8"/>
      <c r="G511" s="9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0"/>
      <c r="BT511" s="10"/>
      <c r="BU511" s="10"/>
      <c r="BV511" s="10"/>
      <c r="BW511" s="10"/>
      <c r="BX511" s="10"/>
      <c r="BY511" s="10"/>
      <c r="BZ511" s="10"/>
      <c r="CA511" s="10"/>
      <c r="CB511" s="10"/>
      <c r="CC511" s="10"/>
      <c r="CD511" s="10"/>
      <c r="CE511" s="10"/>
      <c r="CF511" s="10"/>
      <c r="CG511" s="10"/>
      <c r="CH511" s="10"/>
      <c r="CI511" s="10"/>
      <c r="CJ511" s="10"/>
      <c r="CK511" s="10"/>
      <c r="CL511" s="10"/>
      <c r="CM511" s="10"/>
      <c r="CN511" s="10"/>
      <c r="CO511" s="10"/>
      <c r="CP511" s="10"/>
      <c r="CQ511" s="10"/>
      <c r="CR511" s="10"/>
      <c r="CS511" s="10"/>
      <c r="CT511" s="10"/>
      <c r="CU511" s="10"/>
      <c r="CV511" s="10"/>
      <c r="CW511" s="10"/>
      <c r="CX511" s="10"/>
      <c r="CY511" s="10"/>
      <c r="CZ511" s="10"/>
      <c r="DA511" s="10"/>
      <c r="DB511" s="10"/>
      <c r="DC511" s="10"/>
      <c r="DD511" s="10"/>
      <c r="DE511" s="10"/>
      <c r="DF511" s="10"/>
      <c r="DG511" s="10"/>
      <c r="DH511" s="10"/>
      <c r="DI511" s="10"/>
      <c r="DJ511" s="10"/>
      <c r="DK511" s="10"/>
      <c r="DL511" s="10"/>
      <c r="DM511" s="10"/>
      <c r="DN511" s="10"/>
      <c r="DO511" s="10"/>
      <c r="DP511" s="10"/>
      <c r="DQ511" s="10"/>
      <c r="DR511" s="10"/>
      <c r="DS511" s="10"/>
      <c r="DT511" s="10"/>
      <c r="DU511" s="10"/>
      <c r="DV511" s="10"/>
      <c r="DW511" s="10"/>
      <c r="DX511" s="10"/>
      <c r="DY511" s="10"/>
      <c r="DZ511" s="10"/>
      <c r="EA511" s="10"/>
      <c r="EB511" s="10"/>
      <c r="EC511" s="10"/>
      <c r="ED511" s="10"/>
      <c r="EE511" s="10"/>
      <c r="EF511" s="10"/>
      <c r="EG511" s="10"/>
      <c r="EH511" s="10"/>
      <c r="EI511" s="10"/>
      <c r="EJ511" s="10"/>
      <c r="EK511" s="10"/>
      <c r="EL511" s="10"/>
      <c r="EM511" s="10"/>
      <c r="EN511" s="10"/>
      <c r="EO511" s="10"/>
      <c r="EP511" s="10"/>
      <c r="EQ511" s="10"/>
      <c r="ER511" s="10"/>
      <c r="ES511" s="10"/>
      <c r="ET511" s="10"/>
      <c r="EU511" s="10"/>
      <c r="EV511" s="10"/>
      <c r="EW511" s="10"/>
      <c r="EX511" s="10"/>
      <c r="EY511" s="10"/>
      <c r="EZ511" s="10"/>
      <c r="FA511" s="10"/>
      <c r="FB511" s="10"/>
      <c r="FC511" s="10"/>
      <c r="FD511" s="10"/>
      <c r="FE511" s="10"/>
      <c r="FF511" s="10"/>
      <c r="FG511" s="10"/>
      <c r="FH511" s="10"/>
      <c r="FI511" s="10"/>
      <c r="FJ511" s="10"/>
      <c r="FK511" s="10"/>
      <c r="FL511" s="10"/>
      <c r="FM511" s="10"/>
      <c r="FN511" s="10"/>
      <c r="FO511" s="10"/>
      <c r="FP511" s="10"/>
      <c r="FQ511" s="10"/>
      <c r="FR511" s="10"/>
      <c r="FS511" s="10"/>
      <c r="FT511" s="10"/>
      <c r="FU511" s="10"/>
      <c r="FV511" s="10"/>
      <c r="FW511" s="10"/>
      <c r="FX511" s="10"/>
      <c r="FY511" s="10"/>
      <c r="FZ511" s="10"/>
      <c r="GA511" s="10"/>
      <c r="GB511" s="10"/>
      <c r="GC511" s="10"/>
      <c r="GD511" s="10"/>
      <c r="GE511" s="10"/>
      <c r="GF511" s="10"/>
      <c r="GG511" s="10"/>
      <c r="GH511" s="10"/>
      <c r="GI511" s="10"/>
      <c r="GJ511" s="10"/>
      <c r="GK511" s="10"/>
    </row>
    <row r="512" customFormat="false" ht="12.75" hidden="false" customHeight="false" outlineLevel="0" collapsed="false">
      <c r="A512" s="7"/>
      <c r="B512" s="7"/>
      <c r="C512" s="8"/>
      <c r="D512" s="8"/>
      <c r="E512" s="8"/>
      <c r="F512" s="8"/>
      <c r="G512" s="9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  <c r="BT512" s="10"/>
      <c r="BU512" s="10"/>
      <c r="BV512" s="10"/>
      <c r="BW512" s="10"/>
      <c r="BX512" s="10"/>
      <c r="BY512" s="10"/>
      <c r="BZ512" s="10"/>
      <c r="CA512" s="10"/>
      <c r="CB512" s="10"/>
      <c r="CC512" s="10"/>
      <c r="CD512" s="10"/>
      <c r="CE512" s="10"/>
      <c r="CF512" s="10"/>
      <c r="CG512" s="10"/>
      <c r="CH512" s="10"/>
      <c r="CI512" s="10"/>
      <c r="CJ512" s="10"/>
      <c r="CK512" s="10"/>
      <c r="CL512" s="10"/>
      <c r="CM512" s="10"/>
      <c r="CN512" s="10"/>
      <c r="CO512" s="10"/>
      <c r="CP512" s="10"/>
      <c r="CQ512" s="10"/>
      <c r="CR512" s="10"/>
      <c r="CS512" s="10"/>
      <c r="CT512" s="10"/>
      <c r="CU512" s="10"/>
      <c r="CV512" s="10"/>
      <c r="CW512" s="10"/>
      <c r="CX512" s="10"/>
      <c r="CY512" s="10"/>
      <c r="CZ512" s="10"/>
      <c r="DA512" s="10"/>
      <c r="DB512" s="10"/>
      <c r="DC512" s="10"/>
      <c r="DD512" s="10"/>
      <c r="DE512" s="10"/>
      <c r="DF512" s="10"/>
      <c r="DG512" s="10"/>
      <c r="DH512" s="10"/>
      <c r="DI512" s="10"/>
      <c r="DJ512" s="10"/>
      <c r="DK512" s="10"/>
      <c r="DL512" s="10"/>
      <c r="DM512" s="10"/>
      <c r="DN512" s="10"/>
      <c r="DO512" s="10"/>
      <c r="DP512" s="10"/>
      <c r="DQ512" s="10"/>
      <c r="DR512" s="10"/>
      <c r="DS512" s="10"/>
      <c r="DT512" s="10"/>
      <c r="DU512" s="10"/>
      <c r="DV512" s="10"/>
      <c r="DW512" s="10"/>
      <c r="DX512" s="10"/>
      <c r="DY512" s="10"/>
      <c r="DZ512" s="10"/>
      <c r="EA512" s="10"/>
      <c r="EB512" s="10"/>
      <c r="EC512" s="10"/>
      <c r="ED512" s="10"/>
      <c r="EE512" s="10"/>
      <c r="EF512" s="10"/>
      <c r="EG512" s="10"/>
      <c r="EH512" s="10"/>
      <c r="EI512" s="10"/>
      <c r="EJ512" s="10"/>
      <c r="EK512" s="10"/>
      <c r="EL512" s="10"/>
      <c r="EM512" s="10"/>
      <c r="EN512" s="10"/>
      <c r="EO512" s="10"/>
      <c r="EP512" s="10"/>
      <c r="EQ512" s="10"/>
      <c r="ER512" s="10"/>
      <c r="ES512" s="10"/>
      <c r="ET512" s="10"/>
      <c r="EU512" s="10"/>
      <c r="EV512" s="10"/>
      <c r="EW512" s="10"/>
      <c r="EX512" s="10"/>
      <c r="EY512" s="10"/>
      <c r="EZ512" s="10"/>
      <c r="FA512" s="10"/>
      <c r="FB512" s="10"/>
      <c r="FC512" s="10"/>
      <c r="FD512" s="10"/>
      <c r="FE512" s="10"/>
      <c r="FF512" s="10"/>
      <c r="FG512" s="10"/>
      <c r="FH512" s="10"/>
      <c r="FI512" s="10"/>
      <c r="FJ512" s="10"/>
      <c r="FK512" s="10"/>
      <c r="FL512" s="10"/>
      <c r="FM512" s="10"/>
      <c r="FN512" s="10"/>
      <c r="FO512" s="10"/>
      <c r="FP512" s="10"/>
      <c r="FQ512" s="10"/>
      <c r="FR512" s="10"/>
      <c r="FS512" s="10"/>
      <c r="FT512" s="10"/>
      <c r="FU512" s="10"/>
      <c r="FV512" s="10"/>
      <c r="FW512" s="10"/>
      <c r="FX512" s="10"/>
      <c r="FY512" s="10"/>
      <c r="FZ512" s="10"/>
      <c r="GA512" s="10"/>
      <c r="GB512" s="10"/>
      <c r="GC512" s="10"/>
      <c r="GD512" s="10"/>
      <c r="GE512" s="10"/>
      <c r="GF512" s="10"/>
      <c r="GG512" s="10"/>
      <c r="GH512" s="10"/>
      <c r="GI512" s="10"/>
      <c r="GJ512" s="10"/>
      <c r="GK512" s="10"/>
    </row>
    <row r="513" customFormat="false" ht="12.75" hidden="false" customHeight="false" outlineLevel="0" collapsed="false">
      <c r="A513" s="7"/>
      <c r="B513" s="7"/>
      <c r="C513" s="8"/>
      <c r="D513" s="8"/>
      <c r="E513" s="8"/>
      <c r="F513" s="8"/>
      <c r="G513" s="9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/>
      <c r="BT513" s="10"/>
      <c r="BU513" s="10"/>
      <c r="BV513" s="10"/>
      <c r="BW513" s="10"/>
      <c r="BX513" s="10"/>
      <c r="BY513" s="10"/>
      <c r="BZ513" s="10"/>
      <c r="CA513" s="10"/>
      <c r="CB513" s="10"/>
      <c r="CC513" s="10"/>
      <c r="CD513" s="10"/>
      <c r="CE513" s="10"/>
      <c r="CF513" s="10"/>
      <c r="CG513" s="10"/>
      <c r="CH513" s="10"/>
      <c r="CI513" s="10"/>
      <c r="CJ513" s="10"/>
      <c r="CK513" s="10"/>
      <c r="CL513" s="10"/>
      <c r="CM513" s="10"/>
      <c r="CN513" s="10"/>
      <c r="CO513" s="10"/>
      <c r="CP513" s="10"/>
      <c r="CQ513" s="10"/>
      <c r="CR513" s="10"/>
      <c r="CS513" s="10"/>
      <c r="CT513" s="10"/>
      <c r="CU513" s="10"/>
      <c r="CV513" s="10"/>
      <c r="CW513" s="10"/>
      <c r="CX513" s="10"/>
      <c r="CY513" s="10"/>
      <c r="CZ513" s="10"/>
      <c r="DA513" s="10"/>
      <c r="DB513" s="10"/>
      <c r="DC513" s="10"/>
      <c r="DD513" s="10"/>
      <c r="DE513" s="10"/>
      <c r="DF513" s="10"/>
      <c r="DG513" s="10"/>
      <c r="DH513" s="10"/>
      <c r="DI513" s="10"/>
      <c r="DJ513" s="10"/>
      <c r="DK513" s="10"/>
      <c r="DL513" s="10"/>
      <c r="DM513" s="10"/>
      <c r="DN513" s="10"/>
      <c r="DO513" s="10"/>
      <c r="DP513" s="10"/>
      <c r="DQ513" s="10"/>
      <c r="DR513" s="10"/>
      <c r="DS513" s="10"/>
      <c r="DT513" s="10"/>
      <c r="DU513" s="10"/>
      <c r="DV513" s="10"/>
      <c r="DW513" s="10"/>
      <c r="DX513" s="10"/>
      <c r="DY513" s="10"/>
      <c r="DZ513" s="10"/>
      <c r="EA513" s="10"/>
      <c r="EB513" s="10"/>
      <c r="EC513" s="10"/>
      <c r="ED513" s="10"/>
      <c r="EE513" s="10"/>
      <c r="EF513" s="10"/>
      <c r="EG513" s="10"/>
      <c r="EH513" s="10"/>
      <c r="EI513" s="10"/>
      <c r="EJ513" s="10"/>
      <c r="EK513" s="10"/>
      <c r="EL513" s="10"/>
      <c r="EM513" s="10"/>
      <c r="EN513" s="10"/>
      <c r="EO513" s="10"/>
      <c r="EP513" s="10"/>
      <c r="EQ513" s="10"/>
      <c r="ER513" s="10"/>
      <c r="ES513" s="10"/>
      <c r="ET513" s="10"/>
      <c r="EU513" s="10"/>
      <c r="EV513" s="10"/>
      <c r="EW513" s="10"/>
      <c r="EX513" s="10"/>
      <c r="EY513" s="10"/>
      <c r="EZ513" s="10"/>
      <c r="FA513" s="10"/>
      <c r="FB513" s="10"/>
      <c r="FC513" s="10"/>
      <c r="FD513" s="10"/>
      <c r="FE513" s="10"/>
      <c r="FF513" s="10"/>
      <c r="FG513" s="10"/>
      <c r="FH513" s="10"/>
      <c r="FI513" s="10"/>
      <c r="FJ513" s="10"/>
      <c r="FK513" s="10"/>
      <c r="FL513" s="10"/>
      <c r="FM513" s="10"/>
      <c r="FN513" s="10"/>
      <c r="FO513" s="10"/>
      <c r="FP513" s="10"/>
      <c r="FQ513" s="10"/>
      <c r="FR513" s="10"/>
      <c r="FS513" s="10"/>
      <c r="FT513" s="10"/>
      <c r="FU513" s="10"/>
      <c r="FV513" s="10"/>
      <c r="FW513" s="10"/>
      <c r="FX513" s="10"/>
      <c r="FY513" s="10"/>
      <c r="FZ513" s="10"/>
      <c r="GA513" s="10"/>
      <c r="GB513" s="10"/>
      <c r="GC513" s="10"/>
      <c r="GD513" s="10"/>
      <c r="GE513" s="10"/>
      <c r="GF513" s="10"/>
      <c r="GG513" s="10"/>
      <c r="GH513" s="10"/>
      <c r="GI513" s="10"/>
      <c r="GJ513" s="10"/>
      <c r="GK513" s="10"/>
    </row>
    <row r="514" customFormat="false" ht="12.75" hidden="false" customHeight="false" outlineLevel="0" collapsed="false">
      <c r="A514" s="7"/>
      <c r="B514" s="7"/>
      <c r="C514" s="8"/>
      <c r="D514" s="8"/>
      <c r="E514" s="8"/>
      <c r="F514" s="8"/>
      <c r="G514" s="9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  <c r="BT514" s="10"/>
      <c r="BU514" s="10"/>
      <c r="BV514" s="10"/>
      <c r="BW514" s="10"/>
      <c r="BX514" s="10"/>
      <c r="BY514" s="10"/>
      <c r="BZ514" s="10"/>
      <c r="CA514" s="10"/>
      <c r="CB514" s="10"/>
      <c r="CC514" s="10"/>
      <c r="CD514" s="10"/>
      <c r="CE514" s="10"/>
      <c r="CF514" s="10"/>
      <c r="CG514" s="10"/>
      <c r="CH514" s="10"/>
      <c r="CI514" s="10"/>
      <c r="CJ514" s="10"/>
      <c r="CK514" s="10"/>
      <c r="CL514" s="10"/>
      <c r="CM514" s="10"/>
      <c r="CN514" s="10"/>
      <c r="CO514" s="10"/>
      <c r="CP514" s="10"/>
      <c r="CQ514" s="10"/>
      <c r="CR514" s="10"/>
      <c r="CS514" s="10"/>
      <c r="CT514" s="10"/>
      <c r="CU514" s="10"/>
      <c r="CV514" s="10"/>
      <c r="CW514" s="10"/>
      <c r="CX514" s="10"/>
      <c r="CY514" s="10"/>
      <c r="CZ514" s="10"/>
      <c r="DA514" s="10"/>
      <c r="DB514" s="10"/>
      <c r="DC514" s="10"/>
      <c r="DD514" s="10"/>
      <c r="DE514" s="10"/>
      <c r="DF514" s="10"/>
      <c r="DG514" s="10"/>
      <c r="DH514" s="10"/>
      <c r="DI514" s="10"/>
      <c r="DJ514" s="10"/>
      <c r="DK514" s="10"/>
      <c r="DL514" s="10"/>
      <c r="DM514" s="10"/>
      <c r="DN514" s="10"/>
      <c r="DO514" s="10"/>
      <c r="DP514" s="10"/>
      <c r="DQ514" s="10"/>
      <c r="DR514" s="10"/>
      <c r="DS514" s="10"/>
      <c r="DT514" s="10"/>
      <c r="DU514" s="10"/>
      <c r="DV514" s="10"/>
      <c r="DW514" s="10"/>
      <c r="DX514" s="10"/>
      <c r="DY514" s="10"/>
      <c r="DZ514" s="10"/>
      <c r="EA514" s="10"/>
      <c r="EB514" s="10"/>
      <c r="EC514" s="10"/>
      <c r="ED514" s="10"/>
      <c r="EE514" s="10"/>
      <c r="EF514" s="10"/>
      <c r="EG514" s="10"/>
      <c r="EH514" s="10"/>
      <c r="EI514" s="10"/>
      <c r="EJ514" s="10"/>
      <c r="EK514" s="10"/>
      <c r="EL514" s="10"/>
      <c r="EM514" s="10"/>
      <c r="EN514" s="10"/>
      <c r="EO514" s="10"/>
      <c r="EP514" s="10"/>
      <c r="EQ514" s="10"/>
      <c r="ER514" s="10"/>
      <c r="ES514" s="10"/>
      <c r="ET514" s="10"/>
      <c r="EU514" s="10"/>
      <c r="EV514" s="10"/>
      <c r="EW514" s="10"/>
      <c r="EX514" s="10"/>
      <c r="EY514" s="10"/>
      <c r="EZ514" s="10"/>
      <c r="FA514" s="10"/>
      <c r="FB514" s="10"/>
      <c r="FC514" s="10"/>
      <c r="FD514" s="10"/>
      <c r="FE514" s="10"/>
      <c r="FF514" s="10"/>
      <c r="FG514" s="10"/>
      <c r="FH514" s="10"/>
      <c r="FI514" s="10"/>
      <c r="FJ514" s="10"/>
      <c r="FK514" s="10"/>
      <c r="FL514" s="10"/>
      <c r="FM514" s="10"/>
      <c r="FN514" s="10"/>
      <c r="FO514" s="10"/>
      <c r="FP514" s="10"/>
      <c r="FQ514" s="10"/>
      <c r="FR514" s="10"/>
      <c r="FS514" s="10"/>
      <c r="FT514" s="10"/>
      <c r="FU514" s="10"/>
      <c r="FV514" s="10"/>
      <c r="FW514" s="10"/>
      <c r="FX514" s="10"/>
      <c r="FY514" s="10"/>
      <c r="FZ514" s="10"/>
      <c r="GA514" s="10"/>
      <c r="GB514" s="10"/>
      <c r="GC514" s="10"/>
      <c r="GD514" s="10"/>
      <c r="GE514" s="10"/>
      <c r="GF514" s="10"/>
      <c r="GG514" s="10"/>
      <c r="GH514" s="10"/>
      <c r="GI514" s="10"/>
      <c r="GJ514" s="10"/>
      <c r="GK514" s="10"/>
    </row>
    <row r="515" customFormat="false" ht="12.75" hidden="false" customHeight="false" outlineLevel="0" collapsed="false">
      <c r="A515" s="7"/>
      <c r="B515" s="7"/>
      <c r="C515" s="8"/>
      <c r="D515" s="8"/>
      <c r="E515" s="8"/>
      <c r="F515" s="8"/>
      <c r="G515" s="9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  <c r="BS515" s="10"/>
      <c r="BT515" s="10"/>
      <c r="BU515" s="10"/>
      <c r="BV515" s="10"/>
      <c r="BW515" s="10"/>
      <c r="BX515" s="10"/>
      <c r="BY515" s="10"/>
      <c r="BZ515" s="10"/>
      <c r="CA515" s="10"/>
      <c r="CB515" s="10"/>
      <c r="CC515" s="10"/>
      <c r="CD515" s="10"/>
      <c r="CE515" s="10"/>
      <c r="CF515" s="10"/>
      <c r="CG515" s="10"/>
      <c r="CH515" s="10"/>
      <c r="CI515" s="10"/>
      <c r="CJ515" s="10"/>
      <c r="CK515" s="10"/>
      <c r="CL515" s="10"/>
      <c r="CM515" s="10"/>
      <c r="CN515" s="10"/>
      <c r="CO515" s="10"/>
      <c r="CP515" s="10"/>
      <c r="CQ515" s="10"/>
      <c r="CR515" s="10"/>
      <c r="CS515" s="10"/>
      <c r="CT515" s="10"/>
      <c r="CU515" s="10"/>
      <c r="CV515" s="10"/>
      <c r="CW515" s="10"/>
      <c r="CX515" s="10"/>
      <c r="CY515" s="10"/>
      <c r="CZ515" s="10"/>
      <c r="DA515" s="10"/>
      <c r="DB515" s="10"/>
      <c r="DC515" s="10"/>
      <c r="DD515" s="10"/>
      <c r="DE515" s="10"/>
      <c r="DF515" s="10"/>
      <c r="DG515" s="10"/>
      <c r="DH515" s="10"/>
      <c r="DI515" s="10"/>
      <c r="DJ515" s="10"/>
      <c r="DK515" s="10"/>
      <c r="DL515" s="10"/>
      <c r="DM515" s="10"/>
      <c r="DN515" s="10"/>
      <c r="DO515" s="10"/>
      <c r="DP515" s="10"/>
      <c r="DQ515" s="10"/>
      <c r="DR515" s="10"/>
      <c r="DS515" s="10"/>
      <c r="DT515" s="10"/>
      <c r="DU515" s="10"/>
      <c r="DV515" s="10"/>
      <c r="DW515" s="10"/>
      <c r="DX515" s="10"/>
      <c r="DY515" s="10"/>
      <c r="DZ515" s="10"/>
      <c r="EA515" s="10"/>
      <c r="EB515" s="10"/>
      <c r="EC515" s="10"/>
      <c r="ED515" s="10"/>
      <c r="EE515" s="10"/>
      <c r="EF515" s="10"/>
      <c r="EG515" s="10"/>
      <c r="EH515" s="10"/>
      <c r="EI515" s="10"/>
      <c r="EJ515" s="10"/>
      <c r="EK515" s="10"/>
      <c r="EL515" s="10"/>
      <c r="EM515" s="10"/>
      <c r="EN515" s="10"/>
      <c r="EO515" s="10"/>
      <c r="EP515" s="10"/>
      <c r="EQ515" s="10"/>
      <c r="ER515" s="10"/>
      <c r="ES515" s="10"/>
      <c r="ET515" s="10"/>
      <c r="EU515" s="10"/>
      <c r="EV515" s="10"/>
      <c r="EW515" s="10"/>
      <c r="EX515" s="10"/>
      <c r="EY515" s="10"/>
      <c r="EZ515" s="10"/>
      <c r="FA515" s="10"/>
      <c r="FB515" s="10"/>
      <c r="FC515" s="10"/>
      <c r="FD515" s="10"/>
      <c r="FE515" s="10"/>
      <c r="FF515" s="10"/>
      <c r="FG515" s="10"/>
      <c r="FH515" s="10"/>
      <c r="FI515" s="10"/>
      <c r="FJ515" s="10"/>
      <c r="FK515" s="10"/>
      <c r="FL515" s="10"/>
      <c r="FM515" s="10"/>
      <c r="FN515" s="10"/>
      <c r="FO515" s="10"/>
      <c r="FP515" s="10"/>
      <c r="FQ515" s="10"/>
      <c r="FR515" s="10"/>
      <c r="FS515" s="10"/>
      <c r="FT515" s="10"/>
      <c r="FU515" s="10"/>
      <c r="FV515" s="10"/>
      <c r="FW515" s="10"/>
      <c r="FX515" s="10"/>
      <c r="FY515" s="10"/>
      <c r="FZ515" s="10"/>
      <c r="GA515" s="10"/>
      <c r="GB515" s="10"/>
      <c r="GC515" s="10"/>
      <c r="GD515" s="10"/>
      <c r="GE515" s="10"/>
      <c r="GF515" s="10"/>
      <c r="GG515" s="10"/>
      <c r="GH515" s="10"/>
      <c r="GI515" s="10"/>
      <c r="GJ515" s="10"/>
      <c r="GK515" s="10"/>
    </row>
    <row r="516" customFormat="false" ht="12.75" hidden="false" customHeight="false" outlineLevel="0" collapsed="false">
      <c r="A516" s="7"/>
      <c r="B516" s="7"/>
      <c r="C516" s="8"/>
      <c r="D516" s="8"/>
      <c r="E516" s="8"/>
      <c r="F516" s="8"/>
      <c r="G516" s="9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0"/>
      <c r="BT516" s="10"/>
      <c r="BU516" s="10"/>
      <c r="BV516" s="10"/>
      <c r="BW516" s="10"/>
      <c r="BX516" s="10"/>
      <c r="BY516" s="10"/>
      <c r="BZ516" s="10"/>
      <c r="CA516" s="10"/>
      <c r="CB516" s="10"/>
      <c r="CC516" s="10"/>
      <c r="CD516" s="10"/>
      <c r="CE516" s="10"/>
      <c r="CF516" s="10"/>
      <c r="CG516" s="10"/>
      <c r="CH516" s="10"/>
      <c r="CI516" s="10"/>
      <c r="CJ516" s="10"/>
      <c r="CK516" s="10"/>
      <c r="CL516" s="10"/>
      <c r="CM516" s="10"/>
      <c r="CN516" s="10"/>
      <c r="CO516" s="10"/>
      <c r="CP516" s="10"/>
      <c r="CQ516" s="10"/>
      <c r="CR516" s="10"/>
      <c r="CS516" s="10"/>
      <c r="CT516" s="10"/>
      <c r="CU516" s="10"/>
      <c r="CV516" s="10"/>
      <c r="CW516" s="10"/>
      <c r="CX516" s="10"/>
      <c r="CY516" s="10"/>
      <c r="CZ516" s="10"/>
      <c r="DA516" s="10"/>
      <c r="DB516" s="10"/>
      <c r="DC516" s="10"/>
      <c r="DD516" s="10"/>
      <c r="DE516" s="10"/>
      <c r="DF516" s="10"/>
      <c r="DG516" s="10"/>
      <c r="DH516" s="10"/>
      <c r="DI516" s="10"/>
      <c r="DJ516" s="10"/>
      <c r="DK516" s="10"/>
      <c r="DL516" s="10"/>
      <c r="DM516" s="10"/>
      <c r="DN516" s="10"/>
      <c r="DO516" s="10"/>
      <c r="DP516" s="10"/>
      <c r="DQ516" s="10"/>
      <c r="DR516" s="10"/>
      <c r="DS516" s="10"/>
      <c r="DT516" s="10"/>
      <c r="DU516" s="10"/>
      <c r="DV516" s="10"/>
      <c r="DW516" s="10"/>
      <c r="DX516" s="10"/>
      <c r="DY516" s="10"/>
      <c r="DZ516" s="10"/>
      <c r="EA516" s="10"/>
      <c r="EB516" s="10"/>
      <c r="EC516" s="10"/>
      <c r="ED516" s="10"/>
      <c r="EE516" s="10"/>
      <c r="EF516" s="10"/>
      <c r="EG516" s="10"/>
      <c r="EH516" s="10"/>
      <c r="EI516" s="10"/>
      <c r="EJ516" s="10"/>
      <c r="EK516" s="10"/>
      <c r="EL516" s="10"/>
      <c r="EM516" s="10"/>
      <c r="EN516" s="10"/>
      <c r="EO516" s="10"/>
      <c r="EP516" s="10"/>
      <c r="EQ516" s="10"/>
      <c r="ER516" s="10"/>
      <c r="ES516" s="10"/>
      <c r="ET516" s="10"/>
      <c r="EU516" s="10"/>
      <c r="EV516" s="10"/>
      <c r="EW516" s="10"/>
      <c r="EX516" s="10"/>
      <c r="EY516" s="10"/>
      <c r="EZ516" s="10"/>
      <c r="FA516" s="10"/>
      <c r="FB516" s="10"/>
      <c r="FC516" s="10"/>
      <c r="FD516" s="10"/>
      <c r="FE516" s="10"/>
      <c r="FF516" s="10"/>
      <c r="FG516" s="10"/>
      <c r="FH516" s="10"/>
      <c r="FI516" s="10"/>
      <c r="FJ516" s="10"/>
      <c r="FK516" s="10"/>
      <c r="FL516" s="10"/>
      <c r="FM516" s="10"/>
      <c r="FN516" s="10"/>
      <c r="FO516" s="10"/>
      <c r="FP516" s="10"/>
      <c r="FQ516" s="10"/>
      <c r="FR516" s="10"/>
      <c r="FS516" s="10"/>
      <c r="FT516" s="10"/>
      <c r="FU516" s="10"/>
      <c r="FV516" s="10"/>
      <c r="FW516" s="10"/>
      <c r="FX516" s="10"/>
      <c r="FY516" s="10"/>
      <c r="FZ516" s="10"/>
      <c r="GA516" s="10"/>
      <c r="GB516" s="10"/>
      <c r="GC516" s="10"/>
      <c r="GD516" s="10"/>
      <c r="GE516" s="10"/>
      <c r="GF516" s="10"/>
      <c r="GG516" s="10"/>
      <c r="GH516" s="10"/>
      <c r="GI516" s="10"/>
      <c r="GJ516" s="10"/>
      <c r="GK516" s="10"/>
    </row>
    <row r="517" customFormat="false" ht="12.75" hidden="false" customHeight="false" outlineLevel="0" collapsed="false">
      <c r="A517" s="7"/>
      <c r="B517" s="7"/>
      <c r="C517" s="8"/>
      <c r="D517" s="8"/>
      <c r="E517" s="8"/>
      <c r="F517" s="8"/>
      <c r="G517" s="9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0"/>
      <c r="BT517" s="10"/>
      <c r="BU517" s="10"/>
      <c r="BV517" s="10"/>
      <c r="BW517" s="10"/>
      <c r="BX517" s="10"/>
      <c r="BY517" s="10"/>
      <c r="BZ517" s="10"/>
      <c r="CA517" s="10"/>
      <c r="CB517" s="10"/>
      <c r="CC517" s="10"/>
      <c r="CD517" s="10"/>
      <c r="CE517" s="10"/>
      <c r="CF517" s="10"/>
      <c r="CG517" s="10"/>
      <c r="CH517" s="10"/>
      <c r="CI517" s="10"/>
      <c r="CJ517" s="10"/>
      <c r="CK517" s="10"/>
      <c r="CL517" s="10"/>
      <c r="CM517" s="10"/>
      <c r="CN517" s="10"/>
      <c r="CO517" s="10"/>
      <c r="CP517" s="10"/>
      <c r="CQ517" s="10"/>
      <c r="CR517" s="10"/>
      <c r="CS517" s="10"/>
      <c r="CT517" s="10"/>
      <c r="CU517" s="10"/>
      <c r="CV517" s="10"/>
      <c r="CW517" s="10"/>
      <c r="CX517" s="10"/>
      <c r="CY517" s="10"/>
      <c r="CZ517" s="10"/>
      <c r="DA517" s="10"/>
      <c r="DB517" s="10"/>
      <c r="DC517" s="10"/>
      <c r="DD517" s="10"/>
      <c r="DE517" s="10"/>
      <c r="DF517" s="10"/>
      <c r="DG517" s="10"/>
      <c r="DH517" s="10"/>
      <c r="DI517" s="10"/>
      <c r="DJ517" s="10"/>
      <c r="DK517" s="10"/>
      <c r="DL517" s="10"/>
      <c r="DM517" s="10"/>
      <c r="DN517" s="10"/>
      <c r="DO517" s="10"/>
      <c r="DP517" s="10"/>
      <c r="DQ517" s="10"/>
      <c r="DR517" s="10"/>
      <c r="DS517" s="10"/>
      <c r="DT517" s="10"/>
      <c r="DU517" s="10"/>
      <c r="DV517" s="10"/>
      <c r="DW517" s="10"/>
      <c r="DX517" s="10"/>
      <c r="DY517" s="10"/>
      <c r="DZ517" s="10"/>
      <c r="EA517" s="10"/>
      <c r="EB517" s="10"/>
      <c r="EC517" s="10"/>
      <c r="ED517" s="10"/>
      <c r="EE517" s="10"/>
      <c r="EF517" s="10"/>
      <c r="EG517" s="10"/>
      <c r="EH517" s="10"/>
      <c r="EI517" s="10"/>
      <c r="EJ517" s="10"/>
      <c r="EK517" s="10"/>
      <c r="EL517" s="10"/>
      <c r="EM517" s="10"/>
      <c r="EN517" s="10"/>
      <c r="EO517" s="10"/>
      <c r="EP517" s="10"/>
      <c r="EQ517" s="10"/>
      <c r="ER517" s="10"/>
      <c r="ES517" s="10"/>
      <c r="ET517" s="10"/>
      <c r="EU517" s="10"/>
      <c r="EV517" s="10"/>
      <c r="EW517" s="10"/>
      <c r="EX517" s="10"/>
      <c r="EY517" s="10"/>
      <c r="EZ517" s="10"/>
      <c r="FA517" s="10"/>
      <c r="FB517" s="10"/>
      <c r="FC517" s="10"/>
      <c r="FD517" s="10"/>
      <c r="FE517" s="10"/>
      <c r="FF517" s="10"/>
      <c r="FG517" s="10"/>
      <c r="FH517" s="10"/>
      <c r="FI517" s="10"/>
      <c r="FJ517" s="10"/>
      <c r="FK517" s="10"/>
      <c r="FL517" s="10"/>
      <c r="FM517" s="10"/>
      <c r="FN517" s="10"/>
      <c r="FO517" s="10"/>
      <c r="FP517" s="10"/>
      <c r="FQ517" s="10"/>
      <c r="FR517" s="10"/>
      <c r="FS517" s="10"/>
      <c r="FT517" s="10"/>
      <c r="FU517" s="10"/>
      <c r="FV517" s="10"/>
      <c r="FW517" s="10"/>
      <c r="FX517" s="10"/>
      <c r="FY517" s="10"/>
      <c r="FZ517" s="10"/>
      <c r="GA517" s="10"/>
      <c r="GB517" s="10"/>
      <c r="GC517" s="10"/>
      <c r="GD517" s="10"/>
      <c r="GE517" s="10"/>
      <c r="GF517" s="10"/>
      <c r="GG517" s="10"/>
      <c r="GH517" s="10"/>
      <c r="GI517" s="10"/>
      <c r="GJ517" s="10"/>
      <c r="GK517" s="10"/>
    </row>
    <row r="518" customFormat="false" ht="12.75" hidden="false" customHeight="false" outlineLevel="0" collapsed="false">
      <c r="A518" s="7"/>
      <c r="B518" s="7"/>
      <c r="C518" s="8"/>
      <c r="D518" s="8"/>
      <c r="E518" s="8"/>
      <c r="F518" s="8"/>
      <c r="G518" s="9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  <c r="BS518" s="10"/>
      <c r="BT518" s="10"/>
      <c r="BU518" s="10"/>
      <c r="BV518" s="10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  <c r="EM518" s="10"/>
      <c r="EN518" s="10"/>
      <c r="EO518" s="10"/>
      <c r="EP518" s="10"/>
      <c r="EQ518" s="10"/>
      <c r="ER518" s="10"/>
      <c r="ES518" s="10"/>
      <c r="ET518" s="10"/>
      <c r="EU518" s="10"/>
      <c r="EV518" s="10"/>
      <c r="EW518" s="10"/>
      <c r="EX518" s="10"/>
      <c r="EY518" s="10"/>
      <c r="EZ518" s="10"/>
      <c r="FA518" s="10"/>
      <c r="FB518" s="10"/>
      <c r="FC518" s="10"/>
      <c r="FD518" s="10"/>
      <c r="FE518" s="10"/>
      <c r="FF518" s="10"/>
      <c r="FG518" s="10"/>
      <c r="FH518" s="10"/>
      <c r="FI518" s="10"/>
      <c r="FJ518" s="10"/>
      <c r="FK518" s="10"/>
      <c r="FL518" s="10"/>
      <c r="FM518" s="10"/>
      <c r="FN518" s="10"/>
      <c r="FO518" s="10"/>
      <c r="FP518" s="10"/>
      <c r="FQ518" s="10"/>
      <c r="FR518" s="10"/>
      <c r="FS518" s="10"/>
      <c r="FT518" s="10"/>
      <c r="FU518" s="10"/>
      <c r="FV518" s="10"/>
      <c r="FW518" s="10"/>
      <c r="FX518" s="10"/>
      <c r="FY518" s="10"/>
      <c r="FZ518" s="10"/>
      <c r="GA518" s="10"/>
      <c r="GB518" s="10"/>
      <c r="GC518" s="10"/>
      <c r="GD518" s="10"/>
      <c r="GE518" s="10"/>
      <c r="GF518" s="10"/>
      <c r="GG518" s="10"/>
      <c r="GH518" s="10"/>
      <c r="GI518" s="10"/>
      <c r="GJ518" s="10"/>
      <c r="GK518" s="10"/>
    </row>
    <row r="519" customFormat="false" ht="12.75" hidden="false" customHeight="false" outlineLevel="0" collapsed="false">
      <c r="A519" s="7"/>
      <c r="B519" s="7"/>
      <c r="C519" s="8"/>
      <c r="D519" s="8"/>
      <c r="E519" s="8"/>
      <c r="F519" s="8"/>
      <c r="G519" s="9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  <c r="BS519" s="10"/>
      <c r="BT519" s="10"/>
      <c r="BU519" s="10"/>
      <c r="BV519" s="10"/>
      <c r="BW519" s="10"/>
      <c r="BX519" s="10"/>
      <c r="BY519" s="10"/>
      <c r="BZ519" s="10"/>
      <c r="CA519" s="10"/>
      <c r="CB519" s="10"/>
      <c r="CC519" s="10"/>
      <c r="CD519" s="10"/>
      <c r="CE519" s="10"/>
      <c r="CF519" s="10"/>
      <c r="CG519" s="10"/>
      <c r="CH519" s="10"/>
      <c r="CI519" s="10"/>
      <c r="CJ519" s="10"/>
      <c r="CK519" s="10"/>
      <c r="CL519" s="10"/>
      <c r="CM519" s="10"/>
      <c r="CN519" s="10"/>
      <c r="CO519" s="10"/>
      <c r="CP519" s="10"/>
      <c r="CQ519" s="10"/>
      <c r="CR519" s="10"/>
      <c r="CS519" s="10"/>
      <c r="CT519" s="10"/>
      <c r="CU519" s="10"/>
      <c r="CV519" s="10"/>
      <c r="CW519" s="10"/>
      <c r="CX519" s="10"/>
      <c r="CY519" s="10"/>
      <c r="CZ519" s="10"/>
      <c r="DA519" s="10"/>
      <c r="DB519" s="10"/>
      <c r="DC519" s="10"/>
      <c r="DD519" s="10"/>
      <c r="DE519" s="10"/>
      <c r="DF519" s="10"/>
      <c r="DG519" s="10"/>
      <c r="DH519" s="10"/>
      <c r="DI519" s="10"/>
      <c r="DJ519" s="10"/>
      <c r="DK519" s="10"/>
      <c r="DL519" s="10"/>
      <c r="DM519" s="10"/>
      <c r="DN519" s="10"/>
      <c r="DO519" s="10"/>
      <c r="DP519" s="10"/>
      <c r="DQ519" s="10"/>
      <c r="DR519" s="10"/>
      <c r="DS519" s="10"/>
      <c r="DT519" s="10"/>
      <c r="DU519" s="10"/>
      <c r="DV519" s="10"/>
      <c r="DW519" s="10"/>
      <c r="DX519" s="10"/>
      <c r="DY519" s="10"/>
      <c r="DZ519" s="10"/>
      <c r="EA519" s="10"/>
      <c r="EB519" s="10"/>
      <c r="EC519" s="10"/>
      <c r="ED519" s="10"/>
      <c r="EE519" s="10"/>
      <c r="EF519" s="10"/>
      <c r="EG519" s="10"/>
      <c r="EH519" s="10"/>
      <c r="EI519" s="10"/>
      <c r="EJ519" s="10"/>
      <c r="EK519" s="10"/>
      <c r="EL519" s="10"/>
      <c r="EM519" s="10"/>
      <c r="EN519" s="10"/>
      <c r="EO519" s="10"/>
      <c r="EP519" s="10"/>
      <c r="EQ519" s="10"/>
      <c r="ER519" s="10"/>
      <c r="ES519" s="10"/>
      <c r="ET519" s="10"/>
      <c r="EU519" s="10"/>
      <c r="EV519" s="10"/>
      <c r="EW519" s="10"/>
      <c r="EX519" s="10"/>
      <c r="EY519" s="10"/>
      <c r="EZ519" s="10"/>
      <c r="FA519" s="10"/>
      <c r="FB519" s="10"/>
      <c r="FC519" s="10"/>
      <c r="FD519" s="10"/>
      <c r="FE519" s="10"/>
      <c r="FF519" s="10"/>
      <c r="FG519" s="10"/>
      <c r="FH519" s="10"/>
      <c r="FI519" s="10"/>
      <c r="FJ519" s="10"/>
      <c r="FK519" s="10"/>
      <c r="FL519" s="10"/>
      <c r="FM519" s="10"/>
      <c r="FN519" s="10"/>
      <c r="FO519" s="10"/>
      <c r="FP519" s="10"/>
      <c r="FQ519" s="10"/>
      <c r="FR519" s="10"/>
      <c r="FS519" s="10"/>
      <c r="FT519" s="10"/>
      <c r="FU519" s="10"/>
      <c r="FV519" s="10"/>
      <c r="FW519" s="10"/>
      <c r="FX519" s="10"/>
      <c r="FY519" s="10"/>
      <c r="FZ519" s="10"/>
      <c r="GA519" s="10"/>
      <c r="GB519" s="10"/>
      <c r="GC519" s="10"/>
      <c r="GD519" s="10"/>
      <c r="GE519" s="10"/>
      <c r="GF519" s="10"/>
      <c r="GG519" s="10"/>
      <c r="GH519" s="10"/>
      <c r="GI519" s="10"/>
      <c r="GJ519" s="10"/>
      <c r="GK519" s="10"/>
    </row>
    <row r="520" customFormat="false" ht="12.75" hidden="false" customHeight="false" outlineLevel="0" collapsed="false">
      <c r="A520" s="7"/>
      <c r="B520" s="7"/>
      <c r="C520" s="8"/>
      <c r="D520" s="8"/>
      <c r="E520" s="8"/>
      <c r="F520" s="8"/>
      <c r="G520" s="9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  <c r="BS520" s="10"/>
      <c r="BT520" s="10"/>
      <c r="BU520" s="10"/>
      <c r="BV520" s="10"/>
      <c r="BW520" s="10"/>
      <c r="BX520" s="10"/>
      <c r="BY520" s="10"/>
      <c r="BZ520" s="10"/>
      <c r="CA520" s="10"/>
      <c r="CB520" s="10"/>
      <c r="CC520" s="10"/>
      <c r="CD520" s="10"/>
      <c r="CE520" s="10"/>
      <c r="CF520" s="10"/>
      <c r="CG520" s="10"/>
      <c r="CH520" s="10"/>
      <c r="CI520" s="10"/>
      <c r="CJ520" s="10"/>
      <c r="CK520" s="10"/>
      <c r="CL520" s="10"/>
      <c r="CM520" s="10"/>
      <c r="CN520" s="10"/>
      <c r="CO520" s="10"/>
      <c r="CP520" s="10"/>
      <c r="CQ520" s="10"/>
      <c r="CR520" s="10"/>
      <c r="CS520" s="10"/>
      <c r="CT520" s="10"/>
      <c r="CU520" s="10"/>
      <c r="CV520" s="10"/>
      <c r="CW520" s="10"/>
      <c r="CX520" s="10"/>
      <c r="CY520" s="10"/>
      <c r="CZ520" s="10"/>
      <c r="DA520" s="10"/>
      <c r="DB520" s="10"/>
      <c r="DC520" s="10"/>
      <c r="DD520" s="10"/>
      <c r="DE520" s="10"/>
      <c r="DF520" s="10"/>
      <c r="DG520" s="10"/>
      <c r="DH520" s="10"/>
      <c r="DI520" s="10"/>
      <c r="DJ520" s="10"/>
      <c r="DK520" s="10"/>
      <c r="DL520" s="10"/>
      <c r="DM520" s="10"/>
      <c r="DN520" s="10"/>
      <c r="DO520" s="10"/>
      <c r="DP520" s="10"/>
      <c r="DQ520" s="10"/>
      <c r="DR520" s="10"/>
      <c r="DS520" s="10"/>
      <c r="DT520" s="10"/>
      <c r="DU520" s="10"/>
      <c r="DV520" s="10"/>
      <c r="DW520" s="10"/>
      <c r="DX520" s="10"/>
      <c r="DY520" s="10"/>
      <c r="DZ520" s="10"/>
      <c r="EA520" s="10"/>
      <c r="EB520" s="10"/>
      <c r="EC520" s="10"/>
      <c r="ED520" s="10"/>
      <c r="EE520" s="10"/>
      <c r="EF520" s="10"/>
      <c r="EG520" s="10"/>
      <c r="EH520" s="10"/>
      <c r="EI520" s="10"/>
      <c r="EJ520" s="10"/>
      <c r="EK520" s="10"/>
      <c r="EL520" s="10"/>
      <c r="EM520" s="10"/>
      <c r="EN520" s="10"/>
      <c r="EO520" s="10"/>
      <c r="EP520" s="10"/>
      <c r="EQ520" s="10"/>
      <c r="ER520" s="10"/>
      <c r="ES520" s="10"/>
      <c r="ET520" s="10"/>
      <c r="EU520" s="10"/>
      <c r="EV520" s="10"/>
      <c r="EW520" s="10"/>
      <c r="EX520" s="10"/>
      <c r="EY520" s="10"/>
      <c r="EZ520" s="10"/>
      <c r="FA520" s="10"/>
      <c r="FB520" s="10"/>
      <c r="FC520" s="10"/>
      <c r="FD520" s="10"/>
      <c r="FE520" s="10"/>
      <c r="FF520" s="10"/>
      <c r="FG520" s="10"/>
      <c r="FH520" s="10"/>
      <c r="FI520" s="10"/>
      <c r="FJ520" s="10"/>
      <c r="FK520" s="10"/>
      <c r="FL520" s="10"/>
      <c r="FM520" s="10"/>
      <c r="FN520" s="10"/>
      <c r="FO520" s="10"/>
      <c r="FP520" s="10"/>
      <c r="FQ520" s="10"/>
      <c r="FR520" s="10"/>
      <c r="FS520" s="10"/>
      <c r="FT520" s="10"/>
      <c r="FU520" s="10"/>
      <c r="FV520" s="10"/>
      <c r="FW520" s="10"/>
      <c r="FX520" s="10"/>
      <c r="FY520" s="10"/>
      <c r="FZ520" s="10"/>
      <c r="GA520" s="10"/>
      <c r="GB520" s="10"/>
      <c r="GC520" s="10"/>
      <c r="GD520" s="10"/>
      <c r="GE520" s="10"/>
      <c r="GF520" s="10"/>
      <c r="GG520" s="10"/>
      <c r="GH520" s="10"/>
      <c r="GI520" s="10"/>
      <c r="GJ520" s="10"/>
      <c r="GK520" s="10"/>
    </row>
    <row r="521" customFormat="false" ht="12.75" hidden="false" customHeight="false" outlineLevel="0" collapsed="false">
      <c r="A521" s="7"/>
      <c r="B521" s="7"/>
      <c r="C521" s="8"/>
      <c r="D521" s="8"/>
      <c r="E521" s="8"/>
      <c r="F521" s="8"/>
      <c r="G521" s="9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/>
      <c r="BT521" s="10"/>
      <c r="BU521" s="10"/>
      <c r="BV521" s="10"/>
      <c r="BW521" s="10"/>
      <c r="BX521" s="10"/>
      <c r="BY521" s="10"/>
      <c r="BZ521" s="10"/>
      <c r="CA521" s="10"/>
      <c r="CB521" s="10"/>
      <c r="CC521" s="10"/>
      <c r="CD521" s="10"/>
      <c r="CE521" s="10"/>
      <c r="CF521" s="10"/>
      <c r="CG521" s="10"/>
      <c r="CH521" s="10"/>
      <c r="CI521" s="10"/>
      <c r="CJ521" s="10"/>
      <c r="CK521" s="10"/>
      <c r="CL521" s="10"/>
      <c r="CM521" s="10"/>
      <c r="CN521" s="10"/>
      <c r="CO521" s="10"/>
      <c r="CP521" s="10"/>
      <c r="CQ521" s="10"/>
      <c r="CR521" s="10"/>
      <c r="CS521" s="10"/>
      <c r="CT521" s="10"/>
      <c r="CU521" s="10"/>
      <c r="CV521" s="10"/>
      <c r="CW521" s="10"/>
      <c r="CX521" s="10"/>
      <c r="CY521" s="10"/>
      <c r="CZ521" s="10"/>
      <c r="DA521" s="10"/>
      <c r="DB521" s="10"/>
      <c r="DC521" s="10"/>
      <c r="DD521" s="10"/>
      <c r="DE521" s="10"/>
      <c r="DF521" s="10"/>
      <c r="DG521" s="10"/>
      <c r="DH521" s="10"/>
      <c r="DI521" s="10"/>
      <c r="DJ521" s="10"/>
      <c r="DK521" s="10"/>
      <c r="DL521" s="10"/>
      <c r="DM521" s="10"/>
      <c r="DN521" s="10"/>
      <c r="DO521" s="10"/>
      <c r="DP521" s="10"/>
      <c r="DQ521" s="10"/>
      <c r="DR521" s="10"/>
      <c r="DS521" s="10"/>
      <c r="DT521" s="10"/>
      <c r="DU521" s="10"/>
      <c r="DV521" s="10"/>
      <c r="DW521" s="10"/>
      <c r="DX521" s="10"/>
      <c r="DY521" s="10"/>
      <c r="DZ521" s="10"/>
      <c r="EA521" s="10"/>
      <c r="EB521" s="10"/>
      <c r="EC521" s="10"/>
      <c r="ED521" s="10"/>
      <c r="EE521" s="10"/>
      <c r="EF521" s="10"/>
      <c r="EG521" s="10"/>
      <c r="EH521" s="10"/>
      <c r="EI521" s="10"/>
      <c r="EJ521" s="10"/>
      <c r="EK521" s="10"/>
      <c r="EL521" s="10"/>
      <c r="EM521" s="10"/>
      <c r="EN521" s="10"/>
      <c r="EO521" s="10"/>
      <c r="EP521" s="10"/>
      <c r="EQ521" s="10"/>
      <c r="ER521" s="10"/>
      <c r="ES521" s="10"/>
      <c r="ET521" s="10"/>
      <c r="EU521" s="10"/>
      <c r="EV521" s="10"/>
      <c r="EW521" s="10"/>
      <c r="EX521" s="10"/>
      <c r="EY521" s="10"/>
      <c r="EZ521" s="10"/>
      <c r="FA521" s="10"/>
      <c r="FB521" s="10"/>
      <c r="FC521" s="10"/>
      <c r="FD521" s="10"/>
      <c r="FE521" s="10"/>
      <c r="FF521" s="10"/>
      <c r="FG521" s="10"/>
      <c r="FH521" s="10"/>
      <c r="FI521" s="10"/>
      <c r="FJ521" s="10"/>
      <c r="FK521" s="10"/>
      <c r="FL521" s="10"/>
      <c r="FM521" s="10"/>
      <c r="FN521" s="10"/>
      <c r="FO521" s="10"/>
      <c r="FP521" s="10"/>
      <c r="FQ521" s="10"/>
      <c r="FR521" s="10"/>
      <c r="FS521" s="10"/>
      <c r="FT521" s="10"/>
      <c r="FU521" s="10"/>
      <c r="FV521" s="10"/>
      <c r="FW521" s="10"/>
      <c r="FX521" s="10"/>
      <c r="FY521" s="10"/>
      <c r="FZ521" s="10"/>
      <c r="GA521" s="10"/>
      <c r="GB521" s="10"/>
      <c r="GC521" s="10"/>
      <c r="GD521" s="10"/>
      <c r="GE521" s="10"/>
      <c r="GF521" s="10"/>
      <c r="GG521" s="10"/>
      <c r="GH521" s="10"/>
      <c r="GI521" s="10"/>
      <c r="GJ521" s="10"/>
      <c r="GK521" s="10"/>
    </row>
    <row r="522" customFormat="false" ht="12.75" hidden="false" customHeight="false" outlineLevel="0" collapsed="false">
      <c r="A522" s="7"/>
      <c r="B522" s="7"/>
      <c r="C522" s="8"/>
      <c r="D522" s="8"/>
      <c r="E522" s="8"/>
      <c r="F522" s="8"/>
      <c r="G522" s="9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  <c r="BS522" s="10"/>
      <c r="BT522" s="10"/>
      <c r="BU522" s="10"/>
      <c r="BV522" s="10"/>
      <c r="BW522" s="10"/>
      <c r="BX522" s="10"/>
      <c r="BY522" s="10"/>
      <c r="BZ522" s="10"/>
      <c r="CA522" s="10"/>
      <c r="CB522" s="10"/>
      <c r="CC522" s="10"/>
      <c r="CD522" s="10"/>
      <c r="CE522" s="10"/>
      <c r="CF522" s="10"/>
      <c r="CG522" s="10"/>
      <c r="CH522" s="10"/>
      <c r="CI522" s="10"/>
      <c r="CJ522" s="10"/>
      <c r="CK522" s="10"/>
      <c r="CL522" s="10"/>
      <c r="CM522" s="10"/>
      <c r="CN522" s="10"/>
      <c r="CO522" s="10"/>
      <c r="CP522" s="10"/>
      <c r="CQ522" s="10"/>
      <c r="CR522" s="10"/>
      <c r="CS522" s="10"/>
      <c r="CT522" s="10"/>
      <c r="CU522" s="10"/>
      <c r="CV522" s="10"/>
      <c r="CW522" s="10"/>
      <c r="CX522" s="10"/>
      <c r="CY522" s="10"/>
      <c r="CZ522" s="10"/>
      <c r="DA522" s="10"/>
      <c r="DB522" s="10"/>
      <c r="DC522" s="10"/>
      <c r="DD522" s="10"/>
      <c r="DE522" s="10"/>
      <c r="DF522" s="10"/>
      <c r="DG522" s="10"/>
      <c r="DH522" s="10"/>
      <c r="DI522" s="10"/>
      <c r="DJ522" s="10"/>
      <c r="DK522" s="10"/>
      <c r="DL522" s="10"/>
      <c r="DM522" s="10"/>
      <c r="DN522" s="10"/>
      <c r="DO522" s="10"/>
      <c r="DP522" s="10"/>
      <c r="DQ522" s="10"/>
      <c r="DR522" s="10"/>
      <c r="DS522" s="10"/>
      <c r="DT522" s="10"/>
      <c r="DU522" s="10"/>
      <c r="DV522" s="10"/>
      <c r="DW522" s="10"/>
      <c r="DX522" s="10"/>
      <c r="DY522" s="10"/>
      <c r="DZ522" s="10"/>
      <c r="EA522" s="10"/>
      <c r="EB522" s="10"/>
      <c r="EC522" s="10"/>
      <c r="ED522" s="10"/>
      <c r="EE522" s="10"/>
      <c r="EF522" s="10"/>
      <c r="EG522" s="10"/>
      <c r="EH522" s="10"/>
      <c r="EI522" s="10"/>
      <c r="EJ522" s="10"/>
      <c r="EK522" s="10"/>
      <c r="EL522" s="10"/>
      <c r="EM522" s="10"/>
      <c r="EN522" s="10"/>
      <c r="EO522" s="10"/>
      <c r="EP522" s="10"/>
      <c r="EQ522" s="10"/>
      <c r="ER522" s="10"/>
      <c r="ES522" s="10"/>
      <c r="ET522" s="10"/>
      <c r="EU522" s="10"/>
      <c r="EV522" s="10"/>
      <c r="EW522" s="10"/>
      <c r="EX522" s="10"/>
      <c r="EY522" s="10"/>
      <c r="EZ522" s="10"/>
      <c r="FA522" s="10"/>
      <c r="FB522" s="10"/>
      <c r="FC522" s="10"/>
      <c r="FD522" s="10"/>
      <c r="FE522" s="10"/>
      <c r="FF522" s="10"/>
      <c r="FG522" s="10"/>
      <c r="FH522" s="10"/>
      <c r="FI522" s="10"/>
      <c r="FJ522" s="10"/>
      <c r="FK522" s="10"/>
      <c r="FL522" s="10"/>
      <c r="FM522" s="10"/>
      <c r="FN522" s="10"/>
      <c r="FO522" s="10"/>
      <c r="FP522" s="10"/>
      <c r="FQ522" s="10"/>
      <c r="FR522" s="10"/>
      <c r="FS522" s="10"/>
      <c r="FT522" s="10"/>
      <c r="FU522" s="10"/>
      <c r="FV522" s="10"/>
      <c r="FW522" s="10"/>
      <c r="FX522" s="10"/>
      <c r="FY522" s="10"/>
      <c r="FZ522" s="10"/>
      <c r="GA522" s="10"/>
      <c r="GB522" s="10"/>
      <c r="GC522" s="10"/>
      <c r="GD522" s="10"/>
      <c r="GE522" s="10"/>
      <c r="GF522" s="10"/>
      <c r="GG522" s="10"/>
      <c r="GH522" s="10"/>
      <c r="GI522" s="10"/>
      <c r="GJ522" s="10"/>
      <c r="GK522" s="10"/>
    </row>
    <row r="523" customFormat="false" ht="12.75" hidden="false" customHeight="false" outlineLevel="0" collapsed="false">
      <c r="A523" s="7"/>
      <c r="B523" s="7"/>
      <c r="C523" s="8"/>
      <c r="D523" s="8"/>
      <c r="E523" s="8"/>
      <c r="F523" s="8"/>
      <c r="G523" s="9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  <c r="BS523" s="10"/>
      <c r="BT523" s="10"/>
      <c r="BU523" s="10"/>
      <c r="BV523" s="10"/>
      <c r="BW523" s="10"/>
      <c r="BX523" s="10"/>
      <c r="BY523" s="10"/>
      <c r="BZ523" s="10"/>
      <c r="CA523" s="10"/>
      <c r="CB523" s="10"/>
      <c r="CC523" s="10"/>
      <c r="CD523" s="10"/>
      <c r="CE523" s="10"/>
      <c r="CF523" s="10"/>
      <c r="CG523" s="10"/>
      <c r="CH523" s="10"/>
      <c r="CI523" s="10"/>
      <c r="CJ523" s="10"/>
      <c r="CK523" s="10"/>
      <c r="CL523" s="10"/>
      <c r="CM523" s="10"/>
      <c r="CN523" s="10"/>
      <c r="CO523" s="10"/>
      <c r="CP523" s="10"/>
      <c r="CQ523" s="10"/>
      <c r="CR523" s="10"/>
      <c r="CS523" s="10"/>
      <c r="CT523" s="10"/>
      <c r="CU523" s="10"/>
      <c r="CV523" s="10"/>
      <c r="CW523" s="10"/>
      <c r="CX523" s="10"/>
      <c r="CY523" s="10"/>
      <c r="CZ523" s="10"/>
      <c r="DA523" s="10"/>
      <c r="DB523" s="10"/>
      <c r="DC523" s="10"/>
      <c r="DD523" s="10"/>
      <c r="DE523" s="10"/>
      <c r="DF523" s="10"/>
      <c r="DG523" s="10"/>
      <c r="DH523" s="10"/>
      <c r="DI523" s="10"/>
      <c r="DJ523" s="10"/>
      <c r="DK523" s="10"/>
      <c r="DL523" s="10"/>
      <c r="DM523" s="10"/>
      <c r="DN523" s="10"/>
      <c r="DO523" s="10"/>
      <c r="DP523" s="10"/>
      <c r="DQ523" s="10"/>
      <c r="DR523" s="10"/>
      <c r="DS523" s="10"/>
      <c r="DT523" s="10"/>
      <c r="DU523" s="10"/>
      <c r="DV523" s="10"/>
      <c r="DW523" s="10"/>
      <c r="DX523" s="10"/>
      <c r="DY523" s="10"/>
      <c r="DZ523" s="10"/>
      <c r="EA523" s="10"/>
      <c r="EB523" s="10"/>
      <c r="EC523" s="10"/>
      <c r="ED523" s="10"/>
      <c r="EE523" s="10"/>
      <c r="EF523" s="10"/>
      <c r="EG523" s="10"/>
      <c r="EH523" s="10"/>
      <c r="EI523" s="10"/>
      <c r="EJ523" s="10"/>
      <c r="EK523" s="10"/>
      <c r="EL523" s="10"/>
      <c r="EM523" s="10"/>
      <c r="EN523" s="10"/>
      <c r="EO523" s="10"/>
      <c r="EP523" s="10"/>
      <c r="EQ523" s="10"/>
      <c r="ER523" s="10"/>
      <c r="ES523" s="10"/>
      <c r="ET523" s="10"/>
      <c r="EU523" s="10"/>
      <c r="EV523" s="10"/>
      <c r="EW523" s="10"/>
      <c r="EX523" s="10"/>
      <c r="EY523" s="10"/>
      <c r="EZ523" s="10"/>
      <c r="FA523" s="10"/>
      <c r="FB523" s="10"/>
      <c r="FC523" s="10"/>
      <c r="FD523" s="10"/>
      <c r="FE523" s="10"/>
      <c r="FF523" s="10"/>
      <c r="FG523" s="10"/>
      <c r="FH523" s="10"/>
      <c r="FI523" s="10"/>
      <c r="FJ523" s="10"/>
      <c r="FK523" s="10"/>
      <c r="FL523" s="10"/>
      <c r="FM523" s="10"/>
      <c r="FN523" s="10"/>
      <c r="FO523" s="10"/>
      <c r="FP523" s="10"/>
      <c r="FQ523" s="10"/>
      <c r="FR523" s="10"/>
      <c r="FS523" s="10"/>
      <c r="FT523" s="10"/>
      <c r="FU523" s="10"/>
      <c r="FV523" s="10"/>
      <c r="FW523" s="10"/>
      <c r="FX523" s="10"/>
      <c r="FY523" s="10"/>
      <c r="FZ523" s="10"/>
      <c r="GA523" s="10"/>
      <c r="GB523" s="10"/>
      <c r="GC523" s="10"/>
      <c r="GD523" s="10"/>
      <c r="GE523" s="10"/>
      <c r="GF523" s="10"/>
      <c r="GG523" s="10"/>
      <c r="GH523" s="10"/>
      <c r="GI523" s="10"/>
      <c r="GJ523" s="10"/>
      <c r="GK523" s="10"/>
    </row>
    <row r="524" customFormat="false" ht="12.75" hidden="false" customHeight="false" outlineLevel="0" collapsed="false">
      <c r="A524" s="7"/>
      <c r="B524" s="7"/>
      <c r="C524" s="8"/>
      <c r="D524" s="8"/>
      <c r="E524" s="8"/>
      <c r="F524" s="8"/>
      <c r="G524" s="9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  <c r="BS524" s="10"/>
      <c r="BT524" s="10"/>
      <c r="BU524" s="10"/>
      <c r="BV524" s="10"/>
      <c r="BW524" s="10"/>
      <c r="BX524" s="10"/>
      <c r="BY524" s="10"/>
      <c r="BZ524" s="10"/>
      <c r="CA524" s="10"/>
      <c r="CB524" s="10"/>
      <c r="CC524" s="10"/>
      <c r="CD524" s="10"/>
      <c r="CE524" s="10"/>
      <c r="CF524" s="10"/>
      <c r="CG524" s="10"/>
      <c r="CH524" s="10"/>
      <c r="CI524" s="10"/>
      <c r="CJ524" s="10"/>
      <c r="CK524" s="10"/>
      <c r="CL524" s="10"/>
      <c r="CM524" s="10"/>
      <c r="CN524" s="10"/>
      <c r="CO524" s="10"/>
      <c r="CP524" s="10"/>
      <c r="CQ524" s="10"/>
      <c r="CR524" s="10"/>
      <c r="CS524" s="10"/>
      <c r="CT524" s="10"/>
      <c r="CU524" s="10"/>
      <c r="CV524" s="10"/>
      <c r="CW524" s="10"/>
      <c r="CX524" s="10"/>
      <c r="CY524" s="10"/>
      <c r="CZ524" s="10"/>
      <c r="DA524" s="10"/>
      <c r="DB524" s="10"/>
      <c r="DC524" s="10"/>
      <c r="DD524" s="10"/>
      <c r="DE524" s="10"/>
      <c r="DF524" s="10"/>
      <c r="DG524" s="10"/>
      <c r="DH524" s="10"/>
      <c r="DI524" s="10"/>
      <c r="DJ524" s="10"/>
      <c r="DK524" s="10"/>
      <c r="DL524" s="10"/>
      <c r="DM524" s="10"/>
      <c r="DN524" s="10"/>
      <c r="DO524" s="10"/>
      <c r="DP524" s="10"/>
      <c r="DQ524" s="10"/>
      <c r="DR524" s="10"/>
      <c r="DS524" s="10"/>
      <c r="DT524" s="10"/>
      <c r="DU524" s="10"/>
      <c r="DV524" s="10"/>
      <c r="DW524" s="10"/>
      <c r="DX524" s="10"/>
      <c r="DY524" s="10"/>
      <c r="DZ524" s="10"/>
      <c r="EA524" s="10"/>
      <c r="EB524" s="10"/>
      <c r="EC524" s="10"/>
      <c r="ED524" s="10"/>
      <c r="EE524" s="10"/>
      <c r="EF524" s="10"/>
      <c r="EG524" s="10"/>
      <c r="EH524" s="10"/>
      <c r="EI524" s="10"/>
      <c r="EJ524" s="10"/>
      <c r="EK524" s="10"/>
      <c r="EL524" s="10"/>
      <c r="EM524" s="10"/>
      <c r="EN524" s="10"/>
      <c r="EO524" s="10"/>
      <c r="EP524" s="10"/>
      <c r="EQ524" s="10"/>
      <c r="ER524" s="10"/>
      <c r="ES524" s="10"/>
      <c r="ET524" s="10"/>
      <c r="EU524" s="10"/>
      <c r="EV524" s="10"/>
      <c r="EW524" s="10"/>
      <c r="EX524" s="10"/>
      <c r="EY524" s="10"/>
      <c r="EZ524" s="10"/>
      <c r="FA524" s="10"/>
      <c r="FB524" s="10"/>
      <c r="FC524" s="10"/>
      <c r="FD524" s="10"/>
      <c r="FE524" s="10"/>
      <c r="FF524" s="10"/>
      <c r="FG524" s="10"/>
      <c r="FH524" s="10"/>
      <c r="FI524" s="10"/>
      <c r="FJ524" s="10"/>
      <c r="FK524" s="10"/>
      <c r="FL524" s="10"/>
      <c r="FM524" s="10"/>
      <c r="FN524" s="10"/>
      <c r="FO524" s="10"/>
      <c r="FP524" s="10"/>
      <c r="FQ524" s="10"/>
      <c r="FR524" s="10"/>
      <c r="FS524" s="10"/>
      <c r="FT524" s="10"/>
      <c r="FU524" s="10"/>
      <c r="FV524" s="10"/>
      <c r="FW524" s="10"/>
      <c r="FX524" s="10"/>
      <c r="FY524" s="10"/>
      <c r="FZ524" s="10"/>
      <c r="GA524" s="10"/>
      <c r="GB524" s="10"/>
      <c r="GC524" s="10"/>
      <c r="GD524" s="10"/>
      <c r="GE524" s="10"/>
      <c r="GF524" s="10"/>
      <c r="GG524" s="10"/>
      <c r="GH524" s="10"/>
      <c r="GI524" s="10"/>
      <c r="GJ524" s="10"/>
      <c r="GK524" s="10"/>
    </row>
    <row r="525" customFormat="false" ht="12.75" hidden="false" customHeight="false" outlineLevel="0" collapsed="false">
      <c r="A525" s="7"/>
      <c r="B525" s="7"/>
      <c r="C525" s="8"/>
      <c r="D525" s="8"/>
      <c r="E525" s="8"/>
      <c r="F525" s="8"/>
      <c r="G525" s="9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  <c r="BT525" s="10"/>
      <c r="BU525" s="10"/>
      <c r="BV525" s="10"/>
      <c r="BW525" s="10"/>
      <c r="BX525" s="10"/>
      <c r="BY525" s="10"/>
      <c r="BZ525" s="10"/>
      <c r="CA525" s="10"/>
      <c r="CB525" s="10"/>
      <c r="CC525" s="10"/>
      <c r="CD525" s="10"/>
      <c r="CE525" s="10"/>
      <c r="CF525" s="10"/>
      <c r="CG525" s="10"/>
      <c r="CH525" s="10"/>
      <c r="CI525" s="10"/>
      <c r="CJ525" s="10"/>
      <c r="CK525" s="10"/>
      <c r="CL525" s="10"/>
      <c r="CM525" s="10"/>
      <c r="CN525" s="10"/>
      <c r="CO525" s="10"/>
      <c r="CP525" s="10"/>
      <c r="CQ525" s="10"/>
      <c r="CR525" s="10"/>
      <c r="CS525" s="10"/>
      <c r="CT525" s="10"/>
      <c r="CU525" s="10"/>
      <c r="CV525" s="10"/>
      <c r="CW525" s="10"/>
      <c r="CX525" s="10"/>
      <c r="CY525" s="10"/>
      <c r="CZ525" s="10"/>
      <c r="DA525" s="10"/>
      <c r="DB525" s="10"/>
      <c r="DC525" s="10"/>
      <c r="DD525" s="10"/>
      <c r="DE525" s="10"/>
      <c r="DF525" s="10"/>
      <c r="DG525" s="10"/>
      <c r="DH525" s="10"/>
      <c r="DI525" s="10"/>
      <c r="DJ525" s="10"/>
      <c r="DK525" s="10"/>
      <c r="DL525" s="10"/>
      <c r="DM525" s="10"/>
      <c r="DN525" s="10"/>
      <c r="DO525" s="10"/>
      <c r="DP525" s="10"/>
      <c r="DQ525" s="10"/>
      <c r="DR525" s="10"/>
      <c r="DS525" s="10"/>
      <c r="DT525" s="10"/>
      <c r="DU525" s="10"/>
      <c r="DV525" s="10"/>
      <c r="DW525" s="10"/>
      <c r="DX525" s="10"/>
      <c r="DY525" s="10"/>
      <c r="DZ525" s="10"/>
      <c r="EA525" s="10"/>
      <c r="EB525" s="10"/>
      <c r="EC525" s="10"/>
      <c r="ED525" s="10"/>
      <c r="EE525" s="10"/>
      <c r="EF525" s="10"/>
      <c r="EG525" s="10"/>
      <c r="EH525" s="10"/>
      <c r="EI525" s="10"/>
      <c r="EJ525" s="10"/>
      <c r="EK525" s="10"/>
      <c r="EL525" s="10"/>
      <c r="EM525" s="10"/>
      <c r="EN525" s="10"/>
      <c r="EO525" s="10"/>
      <c r="EP525" s="10"/>
      <c r="EQ525" s="10"/>
      <c r="ER525" s="10"/>
      <c r="ES525" s="10"/>
      <c r="ET525" s="10"/>
      <c r="EU525" s="10"/>
      <c r="EV525" s="10"/>
      <c r="EW525" s="10"/>
      <c r="EX525" s="10"/>
      <c r="EY525" s="10"/>
      <c r="EZ525" s="10"/>
      <c r="FA525" s="10"/>
      <c r="FB525" s="10"/>
      <c r="FC525" s="10"/>
      <c r="FD525" s="10"/>
      <c r="FE525" s="10"/>
      <c r="FF525" s="10"/>
      <c r="FG525" s="10"/>
      <c r="FH525" s="10"/>
      <c r="FI525" s="10"/>
      <c r="FJ525" s="10"/>
      <c r="FK525" s="10"/>
      <c r="FL525" s="10"/>
      <c r="FM525" s="10"/>
      <c r="FN525" s="10"/>
      <c r="FO525" s="10"/>
      <c r="FP525" s="10"/>
      <c r="FQ525" s="10"/>
      <c r="FR525" s="10"/>
      <c r="FS525" s="10"/>
      <c r="FT525" s="10"/>
      <c r="FU525" s="10"/>
      <c r="FV525" s="10"/>
      <c r="FW525" s="10"/>
      <c r="FX525" s="10"/>
      <c r="FY525" s="10"/>
      <c r="FZ525" s="10"/>
      <c r="GA525" s="10"/>
      <c r="GB525" s="10"/>
      <c r="GC525" s="10"/>
      <c r="GD525" s="10"/>
      <c r="GE525" s="10"/>
      <c r="GF525" s="10"/>
      <c r="GG525" s="10"/>
      <c r="GH525" s="10"/>
      <c r="GI525" s="10"/>
      <c r="GJ525" s="10"/>
      <c r="GK525" s="10"/>
    </row>
    <row r="526" customFormat="false" ht="12.75" hidden="false" customHeight="false" outlineLevel="0" collapsed="false">
      <c r="A526" s="7"/>
      <c r="B526" s="7"/>
      <c r="C526" s="8"/>
      <c r="D526" s="8"/>
      <c r="E526" s="8"/>
      <c r="F526" s="8"/>
      <c r="G526" s="9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  <c r="BT526" s="10"/>
      <c r="BU526" s="10"/>
      <c r="BV526" s="10"/>
      <c r="BW526" s="10"/>
      <c r="BX526" s="10"/>
      <c r="BY526" s="10"/>
      <c r="BZ526" s="10"/>
      <c r="CA526" s="10"/>
      <c r="CB526" s="10"/>
      <c r="CC526" s="10"/>
      <c r="CD526" s="10"/>
      <c r="CE526" s="10"/>
      <c r="CF526" s="10"/>
      <c r="CG526" s="10"/>
      <c r="CH526" s="10"/>
      <c r="CI526" s="10"/>
      <c r="CJ526" s="10"/>
      <c r="CK526" s="10"/>
      <c r="CL526" s="10"/>
      <c r="CM526" s="10"/>
      <c r="CN526" s="10"/>
      <c r="CO526" s="10"/>
      <c r="CP526" s="10"/>
      <c r="CQ526" s="10"/>
      <c r="CR526" s="10"/>
      <c r="CS526" s="10"/>
      <c r="CT526" s="10"/>
      <c r="CU526" s="10"/>
      <c r="CV526" s="10"/>
      <c r="CW526" s="10"/>
      <c r="CX526" s="10"/>
      <c r="CY526" s="10"/>
      <c r="CZ526" s="10"/>
      <c r="DA526" s="10"/>
      <c r="DB526" s="10"/>
      <c r="DC526" s="10"/>
      <c r="DD526" s="10"/>
      <c r="DE526" s="10"/>
      <c r="DF526" s="10"/>
      <c r="DG526" s="10"/>
      <c r="DH526" s="10"/>
      <c r="DI526" s="10"/>
      <c r="DJ526" s="10"/>
      <c r="DK526" s="10"/>
      <c r="DL526" s="10"/>
      <c r="DM526" s="10"/>
      <c r="DN526" s="10"/>
      <c r="DO526" s="10"/>
      <c r="DP526" s="10"/>
      <c r="DQ526" s="10"/>
      <c r="DR526" s="10"/>
      <c r="DS526" s="10"/>
      <c r="DT526" s="10"/>
      <c r="DU526" s="10"/>
      <c r="DV526" s="10"/>
      <c r="DW526" s="10"/>
      <c r="DX526" s="10"/>
      <c r="DY526" s="10"/>
      <c r="DZ526" s="10"/>
      <c r="EA526" s="10"/>
      <c r="EB526" s="10"/>
      <c r="EC526" s="10"/>
      <c r="ED526" s="10"/>
      <c r="EE526" s="10"/>
      <c r="EF526" s="10"/>
      <c r="EG526" s="10"/>
      <c r="EH526" s="10"/>
      <c r="EI526" s="10"/>
      <c r="EJ526" s="10"/>
      <c r="EK526" s="10"/>
      <c r="EL526" s="10"/>
      <c r="EM526" s="10"/>
      <c r="EN526" s="10"/>
      <c r="EO526" s="10"/>
      <c r="EP526" s="10"/>
      <c r="EQ526" s="10"/>
      <c r="ER526" s="10"/>
      <c r="ES526" s="10"/>
      <c r="ET526" s="10"/>
      <c r="EU526" s="10"/>
      <c r="EV526" s="10"/>
      <c r="EW526" s="10"/>
      <c r="EX526" s="10"/>
      <c r="EY526" s="10"/>
      <c r="EZ526" s="10"/>
      <c r="FA526" s="10"/>
      <c r="FB526" s="10"/>
      <c r="FC526" s="10"/>
      <c r="FD526" s="10"/>
      <c r="FE526" s="10"/>
      <c r="FF526" s="10"/>
      <c r="FG526" s="10"/>
      <c r="FH526" s="10"/>
      <c r="FI526" s="10"/>
      <c r="FJ526" s="10"/>
      <c r="FK526" s="10"/>
      <c r="FL526" s="10"/>
      <c r="FM526" s="10"/>
      <c r="FN526" s="10"/>
      <c r="FO526" s="10"/>
      <c r="FP526" s="10"/>
      <c r="FQ526" s="10"/>
      <c r="FR526" s="10"/>
      <c r="FS526" s="10"/>
      <c r="FT526" s="10"/>
      <c r="FU526" s="10"/>
      <c r="FV526" s="10"/>
      <c r="FW526" s="10"/>
      <c r="FX526" s="10"/>
      <c r="FY526" s="10"/>
      <c r="FZ526" s="10"/>
      <c r="GA526" s="10"/>
      <c r="GB526" s="10"/>
      <c r="GC526" s="10"/>
      <c r="GD526" s="10"/>
      <c r="GE526" s="10"/>
      <c r="GF526" s="10"/>
      <c r="GG526" s="10"/>
      <c r="GH526" s="10"/>
      <c r="GI526" s="10"/>
      <c r="GJ526" s="10"/>
      <c r="GK526" s="10"/>
    </row>
    <row r="527" customFormat="false" ht="12.75" hidden="false" customHeight="false" outlineLevel="0" collapsed="false">
      <c r="A527" s="7"/>
      <c r="B527" s="7"/>
      <c r="C527" s="8"/>
      <c r="D527" s="8"/>
      <c r="E527" s="8"/>
      <c r="F527" s="8"/>
      <c r="G527" s="9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0"/>
      <c r="BT527" s="10"/>
      <c r="BU527" s="10"/>
      <c r="BV527" s="10"/>
      <c r="BW527" s="10"/>
      <c r="BX527" s="10"/>
      <c r="BY527" s="10"/>
      <c r="BZ527" s="10"/>
      <c r="CA527" s="10"/>
      <c r="CB527" s="10"/>
      <c r="CC527" s="10"/>
      <c r="CD527" s="10"/>
      <c r="CE527" s="10"/>
      <c r="CF527" s="10"/>
      <c r="CG527" s="10"/>
      <c r="CH527" s="10"/>
      <c r="CI527" s="10"/>
      <c r="CJ527" s="10"/>
      <c r="CK527" s="10"/>
      <c r="CL527" s="10"/>
      <c r="CM527" s="10"/>
      <c r="CN527" s="10"/>
      <c r="CO527" s="10"/>
      <c r="CP527" s="10"/>
      <c r="CQ527" s="10"/>
      <c r="CR527" s="10"/>
      <c r="CS527" s="10"/>
      <c r="CT527" s="10"/>
      <c r="CU527" s="10"/>
      <c r="CV527" s="10"/>
      <c r="CW527" s="10"/>
      <c r="CX527" s="10"/>
      <c r="CY527" s="10"/>
      <c r="CZ527" s="10"/>
      <c r="DA527" s="10"/>
      <c r="DB527" s="10"/>
      <c r="DC527" s="10"/>
      <c r="DD527" s="10"/>
      <c r="DE527" s="10"/>
      <c r="DF527" s="10"/>
      <c r="DG527" s="10"/>
      <c r="DH527" s="10"/>
      <c r="DI527" s="10"/>
      <c r="DJ527" s="10"/>
      <c r="DK527" s="10"/>
      <c r="DL527" s="10"/>
      <c r="DM527" s="10"/>
      <c r="DN527" s="10"/>
      <c r="DO527" s="10"/>
      <c r="DP527" s="10"/>
      <c r="DQ527" s="10"/>
      <c r="DR527" s="10"/>
      <c r="DS527" s="10"/>
      <c r="DT527" s="10"/>
      <c r="DU527" s="10"/>
      <c r="DV527" s="10"/>
      <c r="DW527" s="10"/>
      <c r="DX527" s="10"/>
      <c r="DY527" s="10"/>
      <c r="DZ527" s="10"/>
      <c r="EA527" s="10"/>
      <c r="EB527" s="10"/>
      <c r="EC527" s="10"/>
      <c r="ED527" s="10"/>
      <c r="EE527" s="10"/>
      <c r="EF527" s="10"/>
      <c r="EG527" s="10"/>
      <c r="EH527" s="10"/>
      <c r="EI527" s="10"/>
      <c r="EJ527" s="10"/>
      <c r="EK527" s="10"/>
      <c r="EL527" s="10"/>
      <c r="EM527" s="10"/>
      <c r="EN527" s="10"/>
      <c r="EO527" s="10"/>
      <c r="EP527" s="10"/>
      <c r="EQ527" s="10"/>
      <c r="ER527" s="10"/>
      <c r="ES527" s="10"/>
      <c r="ET527" s="10"/>
      <c r="EU527" s="10"/>
      <c r="EV527" s="10"/>
      <c r="EW527" s="10"/>
      <c r="EX527" s="10"/>
      <c r="EY527" s="10"/>
      <c r="EZ527" s="10"/>
      <c r="FA527" s="10"/>
      <c r="FB527" s="10"/>
      <c r="FC527" s="10"/>
      <c r="FD527" s="10"/>
      <c r="FE527" s="10"/>
      <c r="FF527" s="10"/>
      <c r="FG527" s="10"/>
      <c r="FH527" s="10"/>
      <c r="FI527" s="10"/>
      <c r="FJ527" s="10"/>
      <c r="FK527" s="10"/>
      <c r="FL527" s="10"/>
      <c r="FM527" s="10"/>
      <c r="FN527" s="10"/>
      <c r="FO527" s="10"/>
      <c r="FP527" s="10"/>
      <c r="FQ527" s="10"/>
      <c r="FR527" s="10"/>
      <c r="FS527" s="10"/>
      <c r="FT527" s="10"/>
      <c r="FU527" s="10"/>
      <c r="FV527" s="10"/>
      <c r="FW527" s="10"/>
      <c r="FX527" s="10"/>
      <c r="FY527" s="10"/>
      <c r="FZ527" s="10"/>
      <c r="GA527" s="10"/>
      <c r="GB527" s="10"/>
      <c r="GC527" s="10"/>
      <c r="GD527" s="10"/>
      <c r="GE527" s="10"/>
      <c r="GF527" s="10"/>
      <c r="GG527" s="10"/>
      <c r="GH527" s="10"/>
      <c r="GI527" s="10"/>
      <c r="GJ527" s="10"/>
      <c r="GK527" s="10"/>
    </row>
    <row r="528" customFormat="false" ht="12.75" hidden="false" customHeight="false" outlineLevel="0" collapsed="false">
      <c r="A528" s="7"/>
      <c r="B528" s="7"/>
      <c r="C528" s="8"/>
      <c r="D528" s="8"/>
      <c r="E528" s="8"/>
      <c r="F528" s="8"/>
      <c r="G528" s="9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/>
      <c r="BT528" s="10"/>
      <c r="BU528" s="10"/>
      <c r="BV528" s="10"/>
      <c r="BW528" s="10"/>
      <c r="BX528" s="10"/>
      <c r="BY528" s="10"/>
      <c r="BZ528" s="10"/>
      <c r="CA528" s="10"/>
      <c r="CB528" s="10"/>
      <c r="CC528" s="10"/>
      <c r="CD528" s="10"/>
      <c r="CE528" s="10"/>
      <c r="CF528" s="10"/>
      <c r="CG528" s="10"/>
      <c r="CH528" s="10"/>
      <c r="CI528" s="10"/>
      <c r="CJ528" s="10"/>
      <c r="CK528" s="10"/>
      <c r="CL528" s="10"/>
      <c r="CM528" s="10"/>
      <c r="CN528" s="10"/>
      <c r="CO528" s="10"/>
      <c r="CP528" s="10"/>
      <c r="CQ528" s="10"/>
      <c r="CR528" s="10"/>
      <c r="CS528" s="10"/>
      <c r="CT528" s="10"/>
      <c r="CU528" s="10"/>
      <c r="CV528" s="10"/>
      <c r="CW528" s="10"/>
      <c r="CX528" s="10"/>
      <c r="CY528" s="10"/>
      <c r="CZ528" s="10"/>
      <c r="DA528" s="10"/>
      <c r="DB528" s="10"/>
      <c r="DC528" s="10"/>
      <c r="DD528" s="10"/>
      <c r="DE528" s="10"/>
      <c r="DF528" s="10"/>
      <c r="DG528" s="10"/>
      <c r="DH528" s="10"/>
      <c r="DI528" s="10"/>
      <c r="DJ528" s="10"/>
      <c r="DK528" s="10"/>
      <c r="DL528" s="10"/>
      <c r="DM528" s="10"/>
      <c r="DN528" s="10"/>
      <c r="DO528" s="10"/>
      <c r="DP528" s="10"/>
      <c r="DQ528" s="10"/>
      <c r="DR528" s="10"/>
      <c r="DS528" s="10"/>
      <c r="DT528" s="10"/>
      <c r="DU528" s="10"/>
      <c r="DV528" s="10"/>
      <c r="DW528" s="10"/>
      <c r="DX528" s="10"/>
      <c r="DY528" s="10"/>
      <c r="DZ528" s="10"/>
      <c r="EA528" s="10"/>
      <c r="EB528" s="10"/>
      <c r="EC528" s="10"/>
      <c r="ED528" s="10"/>
      <c r="EE528" s="10"/>
      <c r="EF528" s="10"/>
      <c r="EG528" s="10"/>
      <c r="EH528" s="10"/>
      <c r="EI528" s="10"/>
      <c r="EJ528" s="10"/>
      <c r="EK528" s="10"/>
      <c r="EL528" s="10"/>
      <c r="EM528" s="10"/>
      <c r="EN528" s="10"/>
      <c r="EO528" s="10"/>
      <c r="EP528" s="10"/>
      <c r="EQ528" s="10"/>
      <c r="ER528" s="10"/>
      <c r="ES528" s="10"/>
      <c r="ET528" s="10"/>
      <c r="EU528" s="10"/>
      <c r="EV528" s="10"/>
      <c r="EW528" s="10"/>
      <c r="EX528" s="10"/>
      <c r="EY528" s="10"/>
      <c r="EZ528" s="10"/>
      <c r="FA528" s="10"/>
      <c r="FB528" s="10"/>
      <c r="FC528" s="10"/>
      <c r="FD528" s="10"/>
      <c r="FE528" s="10"/>
      <c r="FF528" s="10"/>
      <c r="FG528" s="10"/>
      <c r="FH528" s="10"/>
      <c r="FI528" s="10"/>
      <c r="FJ528" s="10"/>
      <c r="FK528" s="10"/>
      <c r="FL528" s="10"/>
      <c r="FM528" s="10"/>
      <c r="FN528" s="10"/>
      <c r="FO528" s="10"/>
      <c r="FP528" s="10"/>
      <c r="FQ528" s="10"/>
      <c r="FR528" s="10"/>
      <c r="FS528" s="10"/>
      <c r="FT528" s="10"/>
      <c r="FU528" s="10"/>
      <c r="FV528" s="10"/>
      <c r="FW528" s="10"/>
      <c r="FX528" s="10"/>
      <c r="FY528" s="10"/>
      <c r="FZ528" s="10"/>
      <c r="GA528" s="10"/>
      <c r="GB528" s="10"/>
      <c r="GC528" s="10"/>
      <c r="GD528" s="10"/>
      <c r="GE528" s="10"/>
      <c r="GF528" s="10"/>
      <c r="GG528" s="10"/>
      <c r="GH528" s="10"/>
      <c r="GI528" s="10"/>
      <c r="GJ528" s="10"/>
      <c r="GK528" s="10"/>
    </row>
    <row r="529" customFormat="false" ht="12.75" hidden="false" customHeight="false" outlineLevel="0" collapsed="false">
      <c r="A529" s="7"/>
      <c r="B529" s="7"/>
      <c r="C529" s="8"/>
      <c r="D529" s="8"/>
      <c r="E529" s="8"/>
      <c r="F529" s="8"/>
      <c r="G529" s="9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0"/>
      <c r="BS529" s="10"/>
      <c r="BT529" s="10"/>
      <c r="BU529" s="10"/>
      <c r="BV529" s="10"/>
      <c r="BW529" s="10"/>
      <c r="BX529" s="10"/>
      <c r="BY529" s="10"/>
      <c r="BZ529" s="10"/>
      <c r="CA529" s="10"/>
      <c r="CB529" s="10"/>
      <c r="CC529" s="10"/>
      <c r="CD529" s="10"/>
      <c r="CE529" s="10"/>
      <c r="CF529" s="10"/>
      <c r="CG529" s="10"/>
      <c r="CH529" s="10"/>
      <c r="CI529" s="10"/>
      <c r="CJ529" s="10"/>
      <c r="CK529" s="10"/>
      <c r="CL529" s="10"/>
      <c r="CM529" s="10"/>
      <c r="CN529" s="10"/>
      <c r="CO529" s="10"/>
      <c r="CP529" s="10"/>
      <c r="CQ529" s="10"/>
      <c r="CR529" s="10"/>
      <c r="CS529" s="10"/>
      <c r="CT529" s="10"/>
      <c r="CU529" s="10"/>
      <c r="CV529" s="10"/>
      <c r="CW529" s="10"/>
      <c r="CX529" s="10"/>
      <c r="CY529" s="10"/>
      <c r="CZ529" s="10"/>
      <c r="DA529" s="10"/>
      <c r="DB529" s="10"/>
      <c r="DC529" s="10"/>
      <c r="DD529" s="10"/>
      <c r="DE529" s="10"/>
      <c r="DF529" s="10"/>
      <c r="DG529" s="10"/>
      <c r="DH529" s="10"/>
      <c r="DI529" s="10"/>
      <c r="DJ529" s="10"/>
      <c r="DK529" s="10"/>
      <c r="DL529" s="10"/>
      <c r="DM529" s="10"/>
      <c r="DN529" s="10"/>
      <c r="DO529" s="10"/>
      <c r="DP529" s="10"/>
      <c r="DQ529" s="10"/>
      <c r="DR529" s="10"/>
      <c r="DS529" s="10"/>
      <c r="DT529" s="10"/>
      <c r="DU529" s="10"/>
      <c r="DV529" s="10"/>
      <c r="DW529" s="10"/>
      <c r="DX529" s="10"/>
      <c r="DY529" s="10"/>
      <c r="DZ529" s="10"/>
      <c r="EA529" s="10"/>
      <c r="EB529" s="10"/>
      <c r="EC529" s="10"/>
      <c r="ED529" s="10"/>
      <c r="EE529" s="10"/>
      <c r="EF529" s="10"/>
      <c r="EG529" s="10"/>
      <c r="EH529" s="10"/>
      <c r="EI529" s="10"/>
      <c r="EJ529" s="10"/>
      <c r="EK529" s="10"/>
      <c r="EL529" s="10"/>
      <c r="EM529" s="10"/>
      <c r="EN529" s="10"/>
      <c r="EO529" s="10"/>
      <c r="EP529" s="10"/>
      <c r="EQ529" s="10"/>
      <c r="ER529" s="10"/>
      <c r="ES529" s="10"/>
      <c r="ET529" s="10"/>
      <c r="EU529" s="10"/>
      <c r="EV529" s="10"/>
      <c r="EW529" s="10"/>
      <c r="EX529" s="10"/>
      <c r="EY529" s="10"/>
      <c r="EZ529" s="10"/>
      <c r="FA529" s="10"/>
      <c r="FB529" s="10"/>
      <c r="FC529" s="10"/>
      <c r="FD529" s="10"/>
      <c r="FE529" s="10"/>
      <c r="FF529" s="10"/>
      <c r="FG529" s="10"/>
      <c r="FH529" s="10"/>
      <c r="FI529" s="10"/>
      <c r="FJ529" s="10"/>
      <c r="FK529" s="10"/>
      <c r="FL529" s="10"/>
      <c r="FM529" s="10"/>
      <c r="FN529" s="10"/>
      <c r="FO529" s="10"/>
      <c r="FP529" s="10"/>
      <c r="FQ529" s="10"/>
      <c r="FR529" s="10"/>
      <c r="FS529" s="10"/>
      <c r="FT529" s="10"/>
      <c r="FU529" s="10"/>
      <c r="FV529" s="10"/>
      <c r="FW529" s="10"/>
      <c r="FX529" s="10"/>
      <c r="FY529" s="10"/>
      <c r="FZ529" s="10"/>
      <c r="GA529" s="10"/>
      <c r="GB529" s="10"/>
      <c r="GC529" s="10"/>
      <c r="GD529" s="10"/>
      <c r="GE529" s="10"/>
      <c r="GF529" s="10"/>
      <c r="GG529" s="10"/>
      <c r="GH529" s="10"/>
      <c r="GI529" s="10"/>
      <c r="GJ529" s="10"/>
      <c r="GK529" s="10"/>
    </row>
    <row r="530" customFormat="false" ht="12.75" hidden="false" customHeight="false" outlineLevel="0" collapsed="false">
      <c r="A530" s="7"/>
      <c r="B530" s="7"/>
      <c r="C530" s="8"/>
      <c r="D530" s="8"/>
      <c r="E530" s="8"/>
      <c r="F530" s="8"/>
      <c r="G530" s="9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  <c r="BS530" s="10"/>
      <c r="BT530" s="10"/>
      <c r="BU530" s="10"/>
      <c r="BV530" s="10"/>
      <c r="BW530" s="10"/>
      <c r="BX530" s="10"/>
      <c r="BY530" s="10"/>
      <c r="BZ530" s="10"/>
      <c r="CA530" s="10"/>
      <c r="CB530" s="10"/>
      <c r="CC530" s="10"/>
      <c r="CD530" s="10"/>
      <c r="CE530" s="10"/>
      <c r="CF530" s="10"/>
      <c r="CG530" s="10"/>
      <c r="CH530" s="10"/>
      <c r="CI530" s="10"/>
      <c r="CJ530" s="10"/>
      <c r="CK530" s="10"/>
      <c r="CL530" s="10"/>
      <c r="CM530" s="10"/>
      <c r="CN530" s="10"/>
      <c r="CO530" s="10"/>
      <c r="CP530" s="10"/>
      <c r="CQ530" s="10"/>
      <c r="CR530" s="10"/>
      <c r="CS530" s="10"/>
      <c r="CT530" s="10"/>
      <c r="CU530" s="10"/>
      <c r="CV530" s="10"/>
      <c r="CW530" s="10"/>
      <c r="CX530" s="10"/>
      <c r="CY530" s="10"/>
      <c r="CZ530" s="10"/>
      <c r="DA530" s="10"/>
      <c r="DB530" s="10"/>
      <c r="DC530" s="10"/>
      <c r="DD530" s="10"/>
      <c r="DE530" s="10"/>
      <c r="DF530" s="10"/>
      <c r="DG530" s="10"/>
      <c r="DH530" s="10"/>
      <c r="DI530" s="10"/>
      <c r="DJ530" s="10"/>
      <c r="DK530" s="10"/>
      <c r="DL530" s="10"/>
      <c r="DM530" s="10"/>
      <c r="DN530" s="10"/>
      <c r="DO530" s="10"/>
      <c r="DP530" s="10"/>
      <c r="DQ530" s="10"/>
      <c r="DR530" s="10"/>
      <c r="DS530" s="10"/>
      <c r="DT530" s="10"/>
      <c r="DU530" s="10"/>
      <c r="DV530" s="10"/>
      <c r="DW530" s="10"/>
      <c r="DX530" s="10"/>
      <c r="DY530" s="10"/>
      <c r="DZ530" s="10"/>
      <c r="EA530" s="10"/>
      <c r="EB530" s="10"/>
      <c r="EC530" s="10"/>
      <c r="ED530" s="10"/>
      <c r="EE530" s="10"/>
      <c r="EF530" s="10"/>
      <c r="EG530" s="10"/>
      <c r="EH530" s="10"/>
      <c r="EI530" s="10"/>
      <c r="EJ530" s="10"/>
      <c r="EK530" s="10"/>
      <c r="EL530" s="10"/>
      <c r="EM530" s="10"/>
      <c r="EN530" s="10"/>
      <c r="EO530" s="10"/>
      <c r="EP530" s="10"/>
      <c r="EQ530" s="10"/>
      <c r="ER530" s="10"/>
      <c r="ES530" s="10"/>
      <c r="ET530" s="10"/>
      <c r="EU530" s="10"/>
      <c r="EV530" s="10"/>
      <c r="EW530" s="10"/>
      <c r="EX530" s="10"/>
      <c r="EY530" s="10"/>
      <c r="EZ530" s="10"/>
      <c r="FA530" s="10"/>
      <c r="FB530" s="10"/>
      <c r="FC530" s="10"/>
      <c r="FD530" s="10"/>
      <c r="FE530" s="10"/>
      <c r="FF530" s="10"/>
      <c r="FG530" s="10"/>
      <c r="FH530" s="10"/>
      <c r="FI530" s="10"/>
      <c r="FJ530" s="10"/>
      <c r="FK530" s="10"/>
      <c r="FL530" s="10"/>
      <c r="FM530" s="10"/>
      <c r="FN530" s="10"/>
      <c r="FO530" s="10"/>
      <c r="FP530" s="10"/>
      <c r="FQ530" s="10"/>
      <c r="FR530" s="10"/>
      <c r="FS530" s="10"/>
      <c r="FT530" s="10"/>
      <c r="FU530" s="10"/>
      <c r="FV530" s="10"/>
      <c r="FW530" s="10"/>
      <c r="FX530" s="10"/>
      <c r="FY530" s="10"/>
      <c r="FZ530" s="10"/>
      <c r="GA530" s="10"/>
      <c r="GB530" s="10"/>
      <c r="GC530" s="10"/>
      <c r="GD530" s="10"/>
      <c r="GE530" s="10"/>
      <c r="GF530" s="10"/>
      <c r="GG530" s="10"/>
      <c r="GH530" s="10"/>
      <c r="GI530" s="10"/>
      <c r="GJ530" s="10"/>
      <c r="GK530" s="10"/>
    </row>
    <row r="531" customFormat="false" ht="12.75" hidden="false" customHeight="false" outlineLevel="0" collapsed="false">
      <c r="A531" s="7"/>
      <c r="B531" s="7"/>
      <c r="C531" s="8"/>
      <c r="D531" s="8"/>
      <c r="E531" s="8"/>
      <c r="F531" s="8"/>
      <c r="G531" s="9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  <c r="BS531" s="10"/>
      <c r="BT531" s="10"/>
      <c r="BU531" s="10"/>
      <c r="BV531" s="10"/>
      <c r="BW531" s="10"/>
      <c r="BX531" s="10"/>
      <c r="BY531" s="10"/>
      <c r="BZ531" s="10"/>
      <c r="CA531" s="10"/>
      <c r="CB531" s="10"/>
      <c r="CC531" s="10"/>
      <c r="CD531" s="10"/>
      <c r="CE531" s="10"/>
      <c r="CF531" s="10"/>
      <c r="CG531" s="10"/>
      <c r="CH531" s="10"/>
      <c r="CI531" s="10"/>
      <c r="CJ531" s="10"/>
      <c r="CK531" s="10"/>
      <c r="CL531" s="10"/>
      <c r="CM531" s="10"/>
      <c r="CN531" s="10"/>
      <c r="CO531" s="10"/>
      <c r="CP531" s="10"/>
      <c r="CQ531" s="10"/>
      <c r="CR531" s="10"/>
      <c r="CS531" s="10"/>
      <c r="CT531" s="10"/>
      <c r="CU531" s="10"/>
      <c r="CV531" s="10"/>
      <c r="CW531" s="10"/>
      <c r="CX531" s="10"/>
      <c r="CY531" s="10"/>
      <c r="CZ531" s="10"/>
      <c r="DA531" s="10"/>
      <c r="DB531" s="10"/>
      <c r="DC531" s="10"/>
      <c r="DD531" s="10"/>
      <c r="DE531" s="10"/>
      <c r="DF531" s="10"/>
      <c r="DG531" s="10"/>
      <c r="DH531" s="10"/>
      <c r="DI531" s="10"/>
      <c r="DJ531" s="10"/>
      <c r="DK531" s="10"/>
      <c r="DL531" s="10"/>
      <c r="DM531" s="10"/>
      <c r="DN531" s="10"/>
      <c r="DO531" s="10"/>
      <c r="DP531" s="10"/>
      <c r="DQ531" s="10"/>
      <c r="DR531" s="10"/>
      <c r="DS531" s="10"/>
      <c r="DT531" s="10"/>
      <c r="DU531" s="10"/>
      <c r="DV531" s="10"/>
      <c r="DW531" s="10"/>
      <c r="DX531" s="10"/>
      <c r="DY531" s="10"/>
      <c r="DZ531" s="10"/>
      <c r="EA531" s="10"/>
      <c r="EB531" s="10"/>
      <c r="EC531" s="10"/>
      <c r="ED531" s="10"/>
      <c r="EE531" s="10"/>
      <c r="EF531" s="10"/>
      <c r="EG531" s="10"/>
      <c r="EH531" s="10"/>
      <c r="EI531" s="10"/>
      <c r="EJ531" s="10"/>
      <c r="EK531" s="10"/>
      <c r="EL531" s="10"/>
      <c r="EM531" s="10"/>
      <c r="EN531" s="10"/>
      <c r="EO531" s="10"/>
      <c r="EP531" s="10"/>
      <c r="EQ531" s="10"/>
      <c r="ER531" s="10"/>
      <c r="ES531" s="10"/>
      <c r="ET531" s="10"/>
      <c r="EU531" s="10"/>
      <c r="EV531" s="10"/>
      <c r="EW531" s="10"/>
      <c r="EX531" s="10"/>
      <c r="EY531" s="10"/>
      <c r="EZ531" s="10"/>
      <c r="FA531" s="10"/>
      <c r="FB531" s="10"/>
      <c r="FC531" s="10"/>
      <c r="FD531" s="10"/>
      <c r="FE531" s="10"/>
      <c r="FF531" s="10"/>
      <c r="FG531" s="10"/>
      <c r="FH531" s="10"/>
      <c r="FI531" s="10"/>
      <c r="FJ531" s="10"/>
      <c r="FK531" s="10"/>
      <c r="FL531" s="10"/>
      <c r="FM531" s="10"/>
      <c r="FN531" s="10"/>
      <c r="FO531" s="10"/>
      <c r="FP531" s="10"/>
      <c r="FQ531" s="10"/>
      <c r="FR531" s="10"/>
      <c r="FS531" s="10"/>
      <c r="FT531" s="10"/>
      <c r="FU531" s="10"/>
      <c r="FV531" s="10"/>
      <c r="FW531" s="10"/>
      <c r="FX531" s="10"/>
      <c r="FY531" s="10"/>
      <c r="FZ531" s="10"/>
      <c r="GA531" s="10"/>
      <c r="GB531" s="10"/>
      <c r="GC531" s="10"/>
      <c r="GD531" s="10"/>
      <c r="GE531" s="10"/>
      <c r="GF531" s="10"/>
      <c r="GG531" s="10"/>
      <c r="GH531" s="10"/>
      <c r="GI531" s="10"/>
      <c r="GJ531" s="10"/>
      <c r="GK531" s="10"/>
    </row>
    <row r="532" customFormat="false" ht="12.75" hidden="false" customHeight="false" outlineLevel="0" collapsed="false">
      <c r="A532" s="7"/>
      <c r="B532" s="7"/>
      <c r="C532" s="8"/>
      <c r="D532" s="8"/>
      <c r="E532" s="8"/>
      <c r="F532" s="8"/>
      <c r="G532" s="9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  <c r="BS532" s="10"/>
      <c r="BT532" s="10"/>
      <c r="BU532" s="10"/>
      <c r="BV532" s="10"/>
      <c r="BW532" s="10"/>
      <c r="BX532" s="10"/>
      <c r="BY532" s="10"/>
      <c r="BZ532" s="10"/>
      <c r="CA532" s="10"/>
      <c r="CB532" s="10"/>
      <c r="CC532" s="10"/>
      <c r="CD532" s="10"/>
      <c r="CE532" s="10"/>
      <c r="CF532" s="10"/>
      <c r="CG532" s="10"/>
      <c r="CH532" s="10"/>
      <c r="CI532" s="10"/>
      <c r="CJ532" s="10"/>
      <c r="CK532" s="10"/>
      <c r="CL532" s="10"/>
      <c r="CM532" s="10"/>
      <c r="CN532" s="10"/>
      <c r="CO532" s="10"/>
      <c r="CP532" s="10"/>
      <c r="CQ532" s="10"/>
      <c r="CR532" s="10"/>
      <c r="CS532" s="10"/>
      <c r="CT532" s="10"/>
      <c r="CU532" s="10"/>
      <c r="CV532" s="10"/>
      <c r="CW532" s="10"/>
      <c r="CX532" s="10"/>
      <c r="CY532" s="10"/>
      <c r="CZ532" s="10"/>
      <c r="DA532" s="10"/>
      <c r="DB532" s="10"/>
      <c r="DC532" s="10"/>
      <c r="DD532" s="10"/>
      <c r="DE532" s="10"/>
      <c r="DF532" s="10"/>
      <c r="DG532" s="10"/>
      <c r="DH532" s="10"/>
      <c r="DI532" s="10"/>
      <c r="DJ532" s="10"/>
      <c r="DK532" s="10"/>
      <c r="DL532" s="10"/>
      <c r="DM532" s="10"/>
      <c r="DN532" s="10"/>
      <c r="DO532" s="10"/>
      <c r="DP532" s="10"/>
      <c r="DQ532" s="10"/>
      <c r="DR532" s="10"/>
      <c r="DS532" s="10"/>
      <c r="DT532" s="10"/>
      <c r="DU532" s="10"/>
      <c r="DV532" s="10"/>
      <c r="DW532" s="10"/>
      <c r="DX532" s="10"/>
      <c r="DY532" s="10"/>
      <c r="DZ532" s="10"/>
      <c r="EA532" s="10"/>
      <c r="EB532" s="10"/>
      <c r="EC532" s="10"/>
      <c r="ED532" s="10"/>
      <c r="EE532" s="10"/>
      <c r="EF532" s="10"/>
      <c r="EG532" s="10"/>
      <c r="EH532" s="10"/>
      <c r="EI532" s="10"/>
      <c r="EJ532" s="10"/>
      <c r="EK532" s="10"/>
      <c r="EL532" s="10"/>
      <c r="EM532" s="10"/>
      <c r="EN532" s="10"/>
      <c r="EO532" s="10"/>
      <c r="EP532" s="10"/>
      <c r="EQ532" s="10"/>
      <c r="ER532" s="10"/>
      <c r="ES532" s="10"/>
      <c r="ET532" s="10"/>
      <c r="EU532" s="10"/>
      <c r="EV532" s="10"/>
      <c r="EW532" s="10"/>
      <c r="EX532" s="10"/>
      <c r="EY532" s="10"/>
      <c r="EZ532" s="10"/>
      <c r="FA532" s="10"/>
      <c r="FB532" s="10"/>
      <c r="FC532" s="10"/>
      <c r="FD532" s="10"/>
      <c r="FE532" s="10"/>
      <c r="FF532" s="10"/>
      <c r="FG532" s="10"/>
      <c r="FH532" s="10"/>
      <c r="FI532" s="10"/>
      <c r="FJ532" s="10"/>
      <c r="FK532" s="10"/>
      <c r="FL532" s="10"/>
      <c r="FM532" s="10"/>
      <c r="FN532" s="10"/>
      <c r="FO532" s="10"/>
      <c r="FP532" s="10"/>
      <c r="FQ532" s="10"/>
      <c r="FR532" s="10"/>
      <c r="FS532" s="10"/>
      <c r="FT532" s="10"/>
      <c r="FU532" s="10"/>
      <c r="FV532" s="10"/>
      <c r="FW532" s="10"/>
      <c r="FX532" s="10"/>
      <c r="FY532" s="10"/>
      <c r="FZ532" s="10"/>
      <c r="GA532" s="10"/>
      <c r="GB532" s="10"/>
      <c r="GC532" s="10"/>
      <c r="GD532" s="10"/>
      <c r="GE532" s="10"/>
      <c r="GF532" s="10"/>
      <c r="GG532" s="10"/>
      <c r="GH532" s="10"/>
      <c r="GI532" s="10"/>
      <c r="GJ532" s="10"/>
      <c r="GK532" s="10"/>
    </row>
    <row r="533" customFormat="false" ht="12.75" hidden="false" customHeight="false" outlineLevel="0" collapsed="false">
      <c r="A533" s="7"/>
      <c r="B533" s="7"/>
      <c r="C533" s="8"/>
      <c r="D533" s="8"/>
      <c r="E533" s="8"/>
      <c r="F533" s="8"/>
      <c r="G533" s="9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  <c r="BS533" s="10"/>
      <c r="BT533" s="10"/>
      <c r="BU533" s="10"/>
      <c r="BV533" s="10"/>
      <c r="BW533" s="10"/>
      <c r="BX533" s="10"/>
      <c r="BY533" s="10"/>
      <c r="BZ533" s="10"/>
      <c r="CA533" s="10"/>
      <c r="CB533" s="10"/>
      <c r="CC533" s="10"/>
      <c r="CD533" s="10"/>
      <c r="CE533" s="10"/>
      <c r="CF533" s="10"/>
      <c r="CG533" s="10"/>
      <c r="CH533" s="10"/>
      <c r="CI533" s="10"/>
      <c r="CJ533" s="10"/>
      <c r="CK533" s="10"/>
      <c r="CL533" s="10"/>
      <c r="CM533" s="10"/>
      <c r="CN533" s="10"/>
      <c r="CO533" s="10"/>
      <c r="CP533" s="10"/>
      <c r="CQ533" s="10"/>
      <c r="CR533" s="10"/>
      <c r="CS533" s="10"/>
      <c r="CT533" s="10"/>
      <c r="CU533" s="10"/>
      <c r="CV533" s="10"/>
      <c r="CW533" s="10"/>
      <c r="CX533" s="10"/>
      <c r="CY533" s="10"/>
      <c r="CZ533" s="10"/>
      <c r="DA533" s="10"/>
      <c r="DB533" s="10"/>
      <c r="DC533" s="10"/>
      <c r="DD533" s="10"/>
      <c r="DE533" s="10"/>
      <c r="DF533" s="10"/>
      <c r="DG533" s="10"/>
      <c r="DH533" s="10"/>
      <c r="DI533" s="10"/>
      <c r="DJ533" s="10"/>
      <c r="DK533" s="10"/>
      <c r="DL533" s="10"/>
      <c r="DM533" s="10"/>
      <c r="DN533" s="10"/>
      <c r="DO533" s="10"/>
      <c r="DP533" s="10"/>
      <c r="DQ533" s="10"/>
      <c r="DR533" s="10"/>
      <c r="DS533" s="10"/>
      <c r="DT533" s="10"/>
      <c r="DU533" s="10"/>
      <c r="DV533" s="10"/>
      <c r="DW533" s="10"/>
      <c r="DX533" s="10"/>
      <c r="DY533" s="10"/>
      <c r="DZ533" s="10"/>
      <c r="EA533" s="10"/>
      <c r="EB533" s="10"/>
      <c r="EC533" s="10"/>
      <c r="ED533" s="10"/>
      <c r="EE533" s="10"/>
      <c r="EF533" s="10"/>
      <c r="EG533" s="10"/>
      <c r="EH533" s="10"/>
      <c r="EI533" s="10"/>
      <c r="EJ533" s="10"/>
      <c r="EK533" s="10"/>
      <c r="EL533" s="10"/>
      <c r="EM533" s="10"/>
      <c r="EN533" s="10"/>
      <c r="EO533" s="10"/>
      <c r="EP533" s="10"/>
      <c r="EQ533" s="10"/>
      <c r="ER533" s="10"/>
      <c r="ES533" s="10"/>
      <c r="ET533" s="10"/>
      <c r="EU533" s="10"/>
      <c r="EV533" s="10"/>
      <c r="EW533" s="10"/>
      <c r="EX533" s="10"/>
      <c r="EY533" s="10"/>
      <c r="EZ533" s="10"/>
      <c r="FA533" s="10"/>
      <c r="FB533" s="10"/>
      <c r="FC533" s="10"/>
      <c r="FD533" s="10"/>
      <c r="FE533" s="10"/>
      <c r="FF533" s="10"/>
      <c r="FG533" s="10"/>
      <c r="FH533" s="10"/>
      <c r="FI533" s="10"/>
      <c r="FJ533" s="10"/>
      <c r="FK533" s="10"/>
      <c r="FL533" s="10"/>
      <c r="FM533" s="10"/>
      <c r="FN533" s="10"/>
      <c r="FO533" s="10"/>
      <c r="FP533" s="10"/>
      <c r="FQ533" s="10"/>
      <c r="FR533" s="10"/>
      <c r="FS533" s="10"/>
      <c r="FT533" s="10"/>
      <c r="FU533" s="10"/>
      <c r="FV533" s="10"/>
      <c r="FW533" s="10"/>
      <c r="FX533" s="10"/>
      <c r="FY533" s="10"/>
      <c r="FZ533" s="10"/>
      <c r="GA533" s="10"/>
      <c r="GB533" s="10"/>
      <c r="GC533" s="10"/>
      <c r="GD533" s="10"/>
      <c r="GE533" s="10"/>
      <c r="GF533" s="10"/>
      <c r="GG533" s="10"/>
      <c r="GH533" s="10"/>
      <c r="GI533" s="10"/>
      <c r="GJ533" s="10"/>
      <c r="GK533" s="10"/>
    </row>
    <row r="534" customFormat="false" ht="12.75" hidden="false" customHeight="false" outlineLevel="0" collapsed="false">
      <c r="A534" s="7"/>
      <c r="B534" s="7"/>
      <c r="C534" s="8"/>
      <c r="D534" s="8"/>
      <c r="E534" s="8"/>
      <c r="F534" s="8"/>
      <c r="G534" s="9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/>
      <c r="BT534" s="10"/>
      <c r="BU534" s="10"/>
      <c r="BV534" s="10"/>
      <c r="BW534" s="10"/>
      <c r="BX534" s="10"/>
      <c r="BY534" s="10"/>
      <c r="BZ534" s="10"/>
      <c r="CA534" s="10"/>
      <c r="CB534" s="10"/>
      <c r="CC534" s="10"/>
      <c r="CD534" s="10"/>
      <c r="CE534" s="10"/>
      <c r="CF534" s="10"/>
      <c r="CG534" s="10"/>
      <c r="CH534" s="10"/>
      <c r="CI534" s="10"/>
      <c r="CJ534" s="10"/>
      <c r="CK534" s="10"/>
      <c r="CL534" s="10"/>
      <c r="CM534" s="10"/>
      <c r="CN534" s="10"/>
      <c r="CO534" s="10"/>
      <c r="CP534" s="10"/>
      <c r="CQ534" s="10"/>
      <c r="CR534" s="10"/>
      <c r="CS534" s="10"/>
      <c r="CT534" s="10"/>
      <c r="CU534" s="10"/>
      <c r="CV534" s="10"/>
      <c r="CW534" s="10"/>
      <c r="CX534" s="10"/>
      <c r="CY534" s="10"/>
      <c r="CZ534" s="10"/>
      <c r="DA534" s="10"/>
      <c r="DB534" s="10"/>
      <c r="DC534" s="10"/>
      <c r="DD534" s="10"/>
      <c r="DE534" s="10"/>
      <c r="DF534" s="10"/>
      <c r="DG534" s="10"/>
      <c r="DH534" s="10"/>
      <c r="DI534" s="10"/>
      <c r="DJ534" s="10"/>
      <c r="DK534" s="10"/>
      <c r="DL534" s="10"/>
      <c r="DM534" s="10"/>
      <c r="DN534" s="10"/>
      <c r="DO534" s="10"/>
      <c r="DP534" s="10"/>
      <c r="DQ534" s="10"/>
      <c r="DR534" s="10"/>
      <c r="DS534" s="10"/>
      <c r="DT534" s="10"/>
      <c r="DU534" s="10"/>
      <c r="DV534" s="10"/>
      <c r="DW534" s="10"/>
      <c r="DX534" s="10"/>
      <c r="DY534" s="10"/>
      <c r="DZ534" s="10"/>
      <c r="EA534" s="10"/>
      <c r="EB534" s="10"/>
      <c r="EC534" s="10"/>
      <c r="ED534" s="10"/>
      <c r="EE534" s="10"/>
      <c r="EF534" s="10"/>
      <c r="EG534" s="10"/>
      <c r="EH534" s="10"/>
      <c r="EI534" s="10"/>
      <c r="EJ534" s="10"/>
      <c r="EK534" s="10"/>
      <c r="EL534" s="10"/>
      <c r="EM534" s="10"/>
      <c r="EN534" s="10"/>
      <c r="EO534" s="10"/>
      <c r="EP534" s="10"/>
      <c r="EQ534" s="10"/>
      <c r="ER534" s="10"/>
      <c r="ES534" s="10"/>
      <c r="ET534" s="10"/>
      <c r="EU534" s="10"/>
      <c r="EV534" s="10"/>
      <c r="EW534" s="10"/>
      <c r="EX534" s="10"/>
      <c r="EY534" s="10"/>
      <c r="EZ534" s="10"/>
      <c r="FA534" s="10"/>
      <c r="FB534" s="10"/>
      <c r="FC534" s="10"/>
      <c r="FD534" s="10"/>
      <c r="FE534" s="10"/>
      <c r="FF534" s="10"/>
      <c r="FG534" s="10"/>
      <c r="FH534" s="10"/>
      <c r="FI534" s="10"/>
      <c r="FJ534" s="10"/>
      <c r="FK534" s="10"/>
      <c r="FL534" s="10"/>
      <c r="FM534" s="10"/>
      <c r="FN534" s="10"/>
      <c r="FO534" s="10"/>
      <c r="FP534" s="10"/>
      <c r="FQ534" s="10"/>
      <c r="FR534" s="10"/>
      <c r="FS534" s="10"/>
      <c r="FT534" s="10"/>
      <c r="FU534" s="10"/>
      <c r="FV534" s="10"/>
      <c r="FW534" s="10"/>
      <c r="FX534" s="10"/>
      <c r="FY534" s="10"/>
      <c r="FZ534" s="10"/>
      <c r="GA534" s="10"/>
      <c r="GB534" s="10"/>
      <c r="GC534" s="10"/>
      <c r="GD534" s="10"/>
      <c r="GE534" s="10"/>
      <c r="GF534" s="10"/>
      <c r="GG534" s="10"/>
      <c r="GH534" s="10"/>
      <c r="GI534" s="10"/>
      <c r="GJ534" s="10"/>
      <c r="GK534" s="10"/>
    </row>
    <row r="535" customFormat="false" ht="12.75" hidden="false" customHeight="false" outlineLevel="0" collapsed="false">
      <c r="A535" s="7"/>
      <c r="B535" s="7"/>
      <c r="C535" s="8"/>
      <c r="D535" s="8"/>
      <c r="E535" s="8"/>
      <c r="F535" s="8"/>
      <c r="G535" s="9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0"/>
      <c r="BS535" s="10"/>
      <c r="BT535" s="10"/>
      <c r="BU535" s="10"/>
      <c r="BV535" s="10"/>
      <c r="BW535" s="10"/>
      <c r="BX535" s="10"/>
      <c r="BY535" s="10"/>
      <c r="BZ535" s="10"/>
      <c r="CA535" s="10"/>
      <c r="CB535" s="10"/>
      <c r="CC535" s="10"/>
      <c r="CD535" s="10"/>
      <c r="CE535" s="10"/>
      <c r="CF535" s="10"/>
      <c r="CG535" s="10"/>
      <c r="CH535" s="10"/>
      <c r="CI535" s="10"/>
      <c r="CJ535" s="10"/>
      <c r="CK535" s="10"/>
      <c r="CL535" s="10"/>
      <c r="CM535" s="10"/>
      <c r="CN535" s="10"/>
      <c r="CO535" s="10"/>
      <c r="CP535" s="10"/>
      <c r="CQ535" s="10"/>
      <c r="CR535" s="10"/>
      <c r="CS535" s="10"/>
      <c r="CT535" s="10"/>
      <c r="CU535" s="10"/>
      <c r="CV535" s="10"/>
      <c r="CW535" s="10"/>
      <c r="CX535" s="10"/>
      <c r="CY535" s="10"/>
      <c r="CZ535" s="10"/>
      <c r="DA535" s="10"/>
      <c r="DB535" s="10"/>
      <c r="DC535" s="10"/>
      <c r="DD535" s="10"/>
      <c r="DE535" s="10"/>
      <c r="DF535" s="10"/>
      <c r="DG535" s="10"/>
      <c r="DH535" s="10"/>
      <c r="DI535" s="10"/>
      <c r="DJ535" s="10"/>
      <c r="DK535" s="10"/>
      <c r="DL535" s="10"/>
      <c r="DM535" s="10"/>
      <c r="DN535" s="10"/>
      <c r="DO535" s="10"/>
      <c r="DP535" s="10"/>
      <c r="DQ535" s="10"/>
      <c r="DR535" s="10"/>
      <c r="DS535" s="10"/>
      <c r="DT535" s="10"/>
      <c r="DU535" s="10"/>
      <c r="DV535" s="10"/>
      <c r="DW535" s="10"/>
      <c r="DX535" s="10"/>
      <c r="DY535" s="10"/>
      <c r="DZ535" s="10"/>
      <c r="EA535" s="10"/>
      <c r="EB535" s="10"/>
      <c r="EC535" s="10"/>
      <c r="ED535" s="10"/>
      <c r="EE535" s="10"/>
      <c r="EF535" s="10"/>
      <c r="EG535" s="10"/>
      <c r="EH535" s="10"/>
      <c r="EI535" s="10"/>
      <c r="EJ535" s="10"/>
      <c r="EK535" s="10"/>
      <c r="EL535" s="10"/>
      <c r="EM535" s="10"/>
      <c r="EN535" s="10"/>
      <c r="EO535" s="10"/>
      <c r="EP535" s="10"/>
      <c r="EQ535" s="10"/>
      <c r="ER535" s="10"/>
      <c r="ES535" s="10"/>
      <c r="ET535" s="10"/>
      <c r="EU535" s="10"/>
      <c r="EV535" s="10"/>
      <c r="EW535" s="10"/>
      <c r="EX535" s="10"/>
      <c r="EY535" s="10"/>
      <c r="EZ535" s="10"/>
      <c r="FA535" s="10"/>
      <c r="FB535" s="10"/>
      <c r="FC535" s="10"/>
      <c r="FD535" s="10"/>
      <c r="FE535" s="10"/>
      <c r="FF535" s="10"/>
      <c r="FG535" s="10"/>
      <c r="FH535" s="10"/>
      <c r="FI535" s="10"/>
      <c r="FJ535" s="10"/>
      <c r="FK535" s="10"/>
      <c r="FL535" s="10"/>
      <c r="FM535" s="10"/>
      <c r="FN535" s="10"/>
      <c r="FO535" s="10"/>
      <c r="FP535" s="10"/>
      <c r="FQ535" s="10"/>
      <c r="FR535" s="10"/>
      <c r="FS535" s="10"/>
      <c r="FT535" s="10"/>
      <c r="FU535" s="10"/>
      <c r="FV535" s="10"/>
      <c r="FW535" s="10"/>
      <c r="FX535" s="10"/>
      <c r="FY535" s="10"/>
      <c r="FZ535" s="10"/>
      <c r="GA535" s="10"/>
      <c r="GB535" s="10"/>
      <c r="GC535" s="10"/>
      <c r="GD535" s="10"/>
      <c r="GE535" s="10"/>
      <c r="GF535" s="10"/>
      <c r="GG535" s="10"/>
      <c r="GH535" s="10"/>
      <c r="GI535" s="10"/>
      <c r="GJ535" s="10"/>
      <c r="GK535" s="10"/>
    </row>
    <row r="536" customFormat="false" ht="12.75" hidden="false" customHeight="false" outlineLevel="0" collapsed="false">
      <c r="A536" s="7"/>
      <c r="B536" s="7"/>
      <c r="C536" s="8"/>
      <c r="D536" s="8"/>
      <c r="E536" s="8"/>
      <c r="F536" s="8"/>
      <c r="G536" s="9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0"/>
      <c r="BS536" s="10"/>
      <c r="BT536" s="10"/>
      <c r="BU536" s="10"/>
      <c r="BV536" s="10"/>
      <c r="BW536" s="10"/>
      <c r="BX536" s="10"/>
      <c r="BY536" s="10"/>
      <c r="BZ536" s="10"/>
      <c r="CA536" s="10"/>
      <c r="CB536" s="10"/>
      <c r="CC536" s="10"/>
      <c r="CD536" s="10"/>
      <c r="CE536" s="10"/>
      <c r="CF536" s="10"/>
      <c r="CG536" s="10"/>
      <c r="CH536" s="10"/>
      <c r="CI536" s="10"/>
      <c r="CJ536" s="10"/>
      <c r="CK536" s="10"/>
      <c r="CL536" s="10"/>
      <c r="CM536" s="10"/>
      <c r="CN536" s="10"/>
      <c r="CO536" s="10"/>
      <c r="CP536" s="10"/>
      <c r="CQ536" s="10"/>
      <c r="CR536" s="10"/>
      <c r="CS536" s="10"/>
      <c r="CT536" s="10"/>
      <c r="CU536" s="10"/>
      <c r="CV536" s="10"/>
      <c r="CW536" s="10"/>
      <c r="CX536" s="10"/>
      <c r="CY536" s="10"/>
      <c r="CZ536" s="10"/>
      <c r="DA536" s="10"/>
      <c r="DB536" s="10"/>
      <c r="DC536" s="10"/>
      <c r="DD536" s="10"/>
      <c r="DE536" s="10"/>
      <c r="DF536" s="10"/>
      <c r="DG536" s="10"/>
      <c r="DH536" s="10"/>
      <c r="DI536" s="10"/>
      <c r="DJ536" s="10"/>
      <c r="DK536" s="10"/>
      <c r="DL536" s="10"/>
      <c r="DM536" s="10"/>
      <c r="DN536" s="10"/>
      <c r="DO536" s="10"/>
      <c r="DP536" s="10"/>
      <c r="DQ536" s="10"/>
      <c r="DR536" s="10"/>
      <c r="DS536" s="10"/>
      <c r="DT536" s="10"/>
      <c r="DU536" s="10"/>
      <c r="DV536" s="10"/>
      <c r="DW536" s="10"/>
      <c r="DX536" s="10"/>
      <c r="DY536" s="10"/>
      <c r="DZ536" s="10"/>
      <c r="EA536" s="10"/>
      <c r="EB536" s="10"/>
      <c r="EC536" s="10"/>
      <c r="ED536" s="10"/>
      <c r="EE536" s="10"/>
      <c r="EF536" s="10"/>
      <c r="EG536" s="10"/>
      <c r="EH536" s="10"/>
      <c r="EI536" s="10"/>
      <c r="EJ536" s="10"/>
      <c r="EK536" s="10"/>
      <c r="EL536" s="10"/>
      <c r="EM536" s="10"/>
      <c r="EN536" s="10"/>
      <c r="EO536" s="10"/>
      <c r="EP536" s="10"/>
      <c r="EQ536" s="10"/>
      <c r="ER536" s="10"/>
      <c r="ES536" s="10"/>
      <c r="ET536" s="10"/>
      <c r="EU536" s="10"/>
      <c r="EV536" s="10"/>
      <c r="EW536" s="10"/>
      <c r="EX536" s="10"/>
      <c r="EY536" s="10"/>
      <c r="EZ536" s="10"/>
      <c r="FA536" s="10"/>
      <c r="FB536" s="10"/>
      <c r="FC536" s="10"/>
      <c r="FD536" s="10"/>
      <c r="FE536" s="10"/>
      <c r="FF536" s="10"/>
      <c r="FG536" s="10"/>
      <c r="FH536" s="10"/>
      <c r="FI536" s="10"/>
      <c r="FJ536" s="10"/>
      <c r="FK536" s="10"/>
      <c r="FL536" s="10"/>
      <c r="FM536" s="10"/>
      <c r="FN536" s="10"/>
      <c r="FO536" s="10"/>
      <c r="FP536" s="10"/>
      <c r="FQ536" s="10"/>
      <c r="FR536" s="10"/>
      <c r="FS536" s="10"/>
      <c r="FT536" s="10"/>
      <c r="FU536" s="10"/>
      <c r="FV536" s="10"/>
      <c r="FW536" s="10"/>
      <c r="FX536" s="10"/>
      <c r="FY536" s="10"/>
      <c r="FZ536" s="10"/>
      <c r="GA536" s="10"/>
      <c r="GB536" s="10"/>
      <c r="GC536" s="10"/>
      <c r="GD536" s="10"/>
      <c r="GE536" s="10"/>
      <c r="GF536" s="10"/>
      <c r="GG536" s="10"/>
      <c r="GH536" s="10"/>
      <c r="GI536" s="10"/>
      <c r="GJ536" s="10"/>
      <c r="GK536" s="10"/>
    </row>
    <row r="537" customFormat="false" ht="12.75" hidden="false" customHeight="false" outlineLevel="0" collapsed="false">
      <c r="A537" s="7"/>
      <c r="B537" s="7"/>
      <c r="C537" s="8"/>
      <c r="D537" s="8"/>
      <c r="E537" s="8"/>
      <c r="F537" s="8"/>
      <c r="G537" s="9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0"/>
      <c r="BS537" s="10"/>
      <c r="BT537" s="10"/>
      <c r="BU537" s="10"/>
      <c r="BV537" s="10"/>
      <c r="BW537" s="10"/>
      <c r="BX537" s="10"/>
      <c r="BY537" s="10"/>
      <c r="BZ537" s="10"/>
      <c r="CA537" s="10"/>
      <c r="CB537" s="10"/>
      <c r="CC537" s="10"/>
      <c r="CD537" s="10"/>
      <c r="CE537" s="10"/>
      <c r="CF537" s="10"/>
      <c r="CG537" s="10"/>
      <c r="CH537" s="10"/>
      <c r="CI537" s="10"/>
      <c r="CJ537" s="10"/>
      <c r="CK537" s="10"/>
      <c r="CL537" s="10"/>
      <c r="CM537" s="10"/>
      <c r="CN537" s="10"/>
      <c r="CO537" s="10"/>
      <c r="CP537" s="10"/>
      <c r="CQ537" s="10"/>
      <c r="CR537" s="10"/>
      <c r="CS537" s="10"/>
      <c r="CT537" s="10"/>
      <c r="CU537" s="10"/>
      <c r="CV537" s="10"/>
      <c r="CW537" s="10"/>
      <c r="CX537" s="10"/>
      <c r="CY537" s="10"/>
      <c r="CZ537" s="10"/>
      <c r="DA537" s="10"/>
      <c r="DB537" s="10"/>
      <c r="DC537" s="10"/>
      <c r="DD537" s="10"/>
      <c r="DE537" s="10"/>
      <c r="DF537" s="10"/>
      <c r="DG537" s="10"/>
      <c r="DH537" s="10"/>
      <c r="DI537" s="10"/>
      <c r="DJ537" s="10"/>
      <c r="DK537" s="10"/>
      <c r="DL537" s="10"/>
      <c r="DM537" s="10"/>
      <c r="DN537" s="10"/>
      <c r="DO537" s="10"/>
      <c r="DP537" s="10"/>
      <c r="DQ537" s="10"/>
      <c r="DR537" s="10"/>
      <c r="DS537" s="10"/>
      <c r="DT537" s="10"/>
      <c r="DU537" s="10"/>
      <c r="DV537" s="10"/>
      <c r="DW537" s="10"/>
      <c r="DX537" s="10"/>
      <c r="DY537" s="10"/>
      <c r="DZ537" s="10"/>
      <c r="EA537" s="10"/>
      <c r="EB537" s="10"/>
      <c r="EC537" s="10"/>
      <c r="ED537" s="10"/>
      <c r="EE537" s="10"/>
      <c r="EF537" s="10"/>
      <c r="EG537" s="10"/>
      <c r="EH537" s="10"/>
      <c r="EI537" s="10"/>
      <c r="EJ537" s="10"/>
      <c r="EK537" s="10"/>
      <c r="EL537" s="10"/>
      <c r="EM537" s="10"/>
      <c r="EN537" s="10"/>
      <c r="EO537" s="10"/>
      <c r="EP537" s="10"/>
      <c r="EQ537" s="10"/>
      <c r="ER537" s="10"/>
      <c r="ES537" s="10"/>
      <c r="ET537" s="10"/>
      <c r="EU537" s="10"/>
      <c r="EV537" s="10"/>
      <c r="EW537" s="10"/>
      <c r="EX537" s="10"/>
      <c r="EY537" s="10"/>
      <c r="EZ537" s="10"/>
      <c r="FA537" s="10"/>
      <c r="FB537" s="10"/>
      <c r="FC537" s="10"/>
      <c r="FD537" s="10"/>
      <c r="FE537" s="10"/>
      <c r="FF537" s="10"/>
      <c r="FG537" s="10"/>
      <c r="FH537" s="10"/>
      <c r="FI537" s="10"/>
      <c r="FJ537" s="10"/>
      <c r="FK537" s="10"/>
      <c r="FL537" s="10"/>
      <c r="FM537" s="10"/>
      <c r="FN537" s="10"/>
      <c r="FO537" s="10"/>
      <c r="FP537" s="10"/>
      <c r="FQ537" s="10"/>
      <c r="FR537" s="10"/>
      <c r="FS537" s="10"/>
      <c r="FT537" s="10"/>
      <c r="FU537" s="10"/>
      <c r="FV537" s="10"/>
      <c r="FW537" s="10"/>
      <c r="FX537" s="10"/>
      <c r="FY537" s="10"/>
      <c r="FZ537" s="10"/>
      <c r="GA537" s="10"/>
      <c r="GB537" s="10"/>
      <c r="GC537" s="10"/>
      <c r="GD537" s="10"/>
      <c r="GE537" s="10"/>
      <c r="GF537" s="10"/>
      <c r="GG537" s="10"/>
      <c r="GH537" s="10"/>
      <c r="GI537" s="10"/>
      <c r="GJ537" s="10"/>
      <c r="GK537" s="10"/>
    </row>
    <row r="538" customFormat="false" ht="12.75" hidden="false" customHeight="false" outlineLevel="0" collapsed="false">
      <c r="A538" s="7"/>
      <c r="B538" s="7"/>
      <c r="C538" s="8"/>
      <c r="D538" s="8"/>
      <c r="E538" s="8"/>
      <c r="F538" s="8"/>
      <c r="G538" s="9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  <c r="BS538" s="10"/>
      <c r="BT538" s="10"/>
      <c r="BU538" s="10"/>
      <c r="BV538" s="10"/>
      <c r="BW538" s="10"/>
      <c r="BX538" s="10"/>
      <c r="BY538" s="10"/>
      <c r="BZ538" s="10"/>
      <c r="CA538" s="10"/>
      <c r="CB538" s="10"/>
      <c r="CC538" s="10"/>
      <c r="CD538" s="10"/>
      <c r="CE538" s="10"/>
      <c r="CF538" s="10"/>
      <c r="CG538" s="10"/>
      <c r="CH538" s="10"/>
      <c r="CI538" s="10"/>
      <c r="CJ538" s="10"/>
      <c r="CK538" s="10"/>
      <c r="CL538" s="10"/>
      <c r="CM538" s="10"/>
      <c r="CN538" s="10"/>
      <c r="CO538" s="10"/>
      <c r="CP538" s="10"/>
      <c r="CQ538" s="10"/>
      <c r="CR538" s="10"/>
      <c r="CS538" s="10"/>
      <c r="CT538" s="10"/>
      <c r="CU538" s="10"/>
      <c r="CV538" s="10"/>
      <c r="CW538" s="10"/>
      <c r="CX538" s="10"/>
      <c r="CY538" s="10"/>
      <c r="CZ538" s="10"/>
      <c r="DA538" s="10"/>
      <c r="DB538" s="10"/>
      <c r="DC538" s="10"/>
      <c r="DD538" s="10"/>
      <c r="DE538" s="10"/>
      <c r="DF538" s="10"/>
      <c r="DG538" s="10"/>
      <c r="DH538" s="10"/>
      <c r="DI538" s="10"/>
      <c r="DJ538" s="10"/>
      <c r="DK538" s="10"/>
      <c r="DL538" s="10"/>
      <c r="DM538" s="10"/>
      <c r="DN538" s="10"/>
      <c r="DO538" s="10"/>
      <c r="DP538" s="10"/>
      <c r="DQ538" s="10"/>
      <c r="DR538" s="10"/>
      <c r="DS538" s="10"/>
      <c r="DT538" s="10"/>
      <c r="DU538" s="10"/>
      <c r="DV538" s="10"/>
      <c r="DW538" s="10"/>
      <c r="DX538" s="10"/>
      <c r="DY538" s="10"/>
      <c r="DZ538" s="10"/>
      <c r="EA538" s="10"/>
      <c r="EB538" s="10"/>
      <c r="EC538" s="10"/>
      <c r="ED538" s="10"/>
      <c r="EE538" s="10"/>
      <c r="EF538" s="10"/>
      <c r="EG538" s="10"/>
      <c r="EH538" s="10"/>
      <c r="EI538" s="10"/>
      <c r="EJ538" s="10"/>
      <c r="EK538" s="10"/>
      <c r="EL538" s="10"/>
      <c r="EM538" s="10"/>
      <c r="EN538" s="10"/>
      <c r="EO538" s="10"/>
      <c r="EP538" s="10"/>
      <c r="EQ538" s="10"/>
      <c r="ER538" s="10"/>
      <c r="ES538" s="10"/>
      <c r="ET538" s="10"/>
      <c r="EU538" s="10"/>
      <c r="EV538" s="10"/>
      <c r="EW538" s="10"/>
      <c r="EX538" s="10"/>
      <c r="EY538" s="10"/>
      <c r="EZ538" s="10"/>
      <c r="FA538" s="10"/>
      <c r="FB538" s="10"/>
      <c r="FC538" s="10"/>
      <c r="FD538" s="10"/>
      <c r="FE538" s="10"/>
      <c r="FF538" s="10"/>
      <c r="FG538" s="10"/>
      <c r="FH538" s="10"/>
      <c r="FI538" s="10"/>
      <c r="FJ538" s="10"/>
      <c r="FK538" s="10"/>
      <c r="FL538" s="10"/>
      <c r="FM538" s="10"/>
      <c r="FN538" s="10"/>
      <c r="FO538" s="10"/>
      <c r="FP538" s="10"/>
      <c r="FQ538" s="10"/>
      <c r="FR538" s="10"/>
      <c r="FS538" s="10"/>
      <c r="FT538" s="10"/>
      <c r="FU538" s="10"/>
      <c r="FV538" s="10"/>
      <c r="FW538" s="10"/>
      <c r="FX538" s="10"/>
      <c r="FY538" s="10"/>
      <c r="FZ538" s="10"/>
      <c r="GA538" s="10"/>
      <c r="GB538" s="10"/>
      <c r="GC538" s="10"/>
      <c r="GD538" s="10"/>
      <c r="GE538" s="10"/>
      <c r="GF538" s="10"/>
      <c r="GG538" s="10"/>
      <c r="GH538" s="10"/>
      <c r="GI538" s="10"/>
      <c r="GJ538" s="10"/>
      <c r="GK538" s="10"/>
    </row>
    <row r="539" customFormat="false" ht="12.75" hidden="false" customHeight="false" outlineLevel="0" collapsed="false">
      <c r="A539" s="7"/>
      <c r="B539" s="7"/>
      <c r="C539" s="8"/>
      <c r="D539" s="8"/>
      <c r="E539" s="8"/>
      <c r="F539" s="8"/>
      <c r="G539" s="9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  <c r="BS539" s="10"/>
      <c r="BT539" s="10"/>
      <c r="BU539" s="10"/>
      <c r="BV539" s="10"/>
      <c r="BW539" s="10"/>
      <c r="BX539" s="10"/>
      <c r="BY539" s="10"/>
      <c r="BZ539" s="10"/>
      <c r="CA539" s="10"/>
      <c r="CB539" s="10"/>
      <c r="CC539" s="10"/>
      <c r="CD539" s="10"/>
      <c r="CE539" s="10"/>
      <c r="CF539" s="10"/>
      <c r="CG539" s="10"/>
      <c r="CH539" s="10"/>
      <c r="CI539" s="10"/>
      <c r="CJ539" s="10"/>
      <c r="CK539" s="10"/>
      <c r="CL539" s="10"/>
      <c r="CM539" s="10"/>
      <c r="CN539" s="10"/>
      <c r="CO539" s="10"/>
      <c r="CP539" s="10"/>
      <c r="CQ539" s="10"/>
      <c r="CR539" s="10"/>
      <c r="CS539" s="10"/>
      <c r="CT539" s="10"/>
      <c r="CU539" s="10"/>
      <c r="CV539" s="10"/>
      <c r="CW539" s="10"/>
      <c r="CX539" s="10"/>
      <c r="CY539" s="10"/>
      <c r="CZ539" s="10"/>
      <c r="DA539" s="10"/>
      <c r="DB539" s="10"/>
      <c r="DC539" s="10"/>
      <c r="DD539" s="10"/>
      <c r="DE539" s="10"/>
      <c r="DF539" s="10"/>
      <c r="DG539" s="10"/>
      <c r="DH539" s="10"/>
      <c r="DI539" s="10"/>
      <c r="DJ539" s="10"/>
      <c r="DK539" s="10"/>
      <c r="DL539" s="10"/>
      <c r="DM539" s="10"/>
      <c r="DN539" s="10"/>
      <c r="DO539" s="10"/>
      <c r="DP539" s="10"/>
      <c r="DQ539" s="10"/>
      <c r="DR539" s="10"/>
      <c r="DS539" s="10"/>
      <c r="DT539" s="10"/>
      <c r="DU539" s="10"/>
      <c r="DV539" s="10"/>
      <c r="DW539" s="10"/>
      <c r="DX539" s="10"/>
      <c r="DY539" s="10"/>
      <c r="DZ539" s="10"/>
      <c r="EA539" s="10"/>
      <c r="EB539" s="10"/>
      <c r="EC539" s="10"/>
      <c r="ED539" s="10"/>
      <c r="EE539" s="10"/>
      <c r="EF539" s="10"/>
      <c r="EG539" s="10"/>
      <c r="EH539" s="10"/>
      <c r="EI539" s="10"/>
      <c r="EJ539" s="10"/>
      <c r="EK539" s="10"/>
      <c r="EL539" s="10"/>
      <c r="EM539" s="10"/>
      <c r="EN539" s="10"/>
      <c r="EO539" s="10"/>
      <c r="EP539" s="10"/>
      <c r="EQ539" s="10"/>
      <c r="ER539" s="10"/>
      <c r="ES539" s="10"/>
      <c r="ET539" s="10"/>
      <c r="EU539" s="10"/>
      <c r="EV539" s="10"/>
      <c r="EW539" s="10"/>
      <c r="EX539" s="10"/>
      <c r="EY539" s="10"/>
      <c r="EZ539" s="10"/>
      <c r="FA539" s="10"/>
      <c r="FB539" s="10"/>
      <c r="FC539" s="10"/>
      <c r="FD539" s="10"/>
      <c r="FE539" s="10"/>
      <c r="FF539" s="10"/>
      <c r="FG539" s="10"/>
      <c r="FH539" s="10"/>
      <c r="FI539" s="10"/>
      <c r="FJ539" s="10"/>
      <c r="FK539" s="10"/>
      <c r="FL539" s="10"/>
      <c r="FM539" s="10"/>
      <c r="FN539" s="10"/>
      <c r="FO539" s="10"/>
      <c r="FP539" s="10"/>
      <c r="FQ539" s="10"/>
      <c r="FR539" s="10"/>
      <c r="FS539" s="10"/>
      <c r="FT539" s="10"/>
      <c r="FU539" s="10"/>
      <c r="FV539" s="10"/>
      <c r="FW539" s="10"/>
      <c r="FX539" s="10"/>
      <c r="FY539" s="10"/>
      <c r="FZ539" s="10"/>
      <c r="GA539" s="10"/>
      <c r="GB539" s="10"/>
      <c r="GC539" s="10"/>
      <c r="GD539" s="10"/>
      <c r="GE539" s="10"/>
      <c r="GF539" s="10"/>
      <c r="GG539" s="10"/>
      <c r="GH539" s="10"/>
      <c r="GI539" s="10"/>
      <c r="GJ539" s="10"/>
      <c r="GK539" s="10"/>
    </row>
    <row r="540" customFormat="false" ht="12.75" hidden="false" customHeight="false" outlineLevel="0" collapsed="false">
      <c r="A540" s="7"/>
      <c r="B540" s="7"/>
      <c r="C540" s="8"/>
      <c r="D540" s="8"/>
      <c r="E540" s="8"/>
      <c r="F540" s="8"/>
      <c r="G540" s="9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0"/>
      <c r="BS540" s="10"/>
      <c r="BT540" s="10"/>
      <c r="BU540" s="10"/>
      <c r="BV540" s="10"/>
      <c r="BW540" s="10"/>
      <c r="BX540" s="10"/>
      <c r="BY540" s="10"/>
      <c r="BZ540" s="10"/>
      <c r="CA540" s="10"/>
      <c r="CB540" s="10"/>
      <c r="CC540" s="10"/>
      <c r="CD540" s="10"/>
      <c r="CE540" s="10"/>
      <c r="CF540" s="10"/>
      <c r="CG540" s="10"/>
      <c r="CH540" s="10"/>
      <c r="CI540" s="10"/>
      <c r="CJ540" s="10"/>
      <c r="CK540" s="10"/>
      <c r="CL540" s="10"/>
      <c r="CM540" s="10"/>
      <c r="CN540" s="10"/>
      <c r="CO540" s="10"/>
      <c r="CP540" s="10"/>
      <c r="CQ540" s="10"/>
      <c r="CR540" s="10"/>
      <c r="CS540" s="10"/>
      <c r="CT540" s="10"/>
      <c r="CU540" s="10"/>
      <c r="CV540" s="10"/>
      <c r="CW540" s="10"/>
      <c r="CX540" s="10"/>
      <c r="CY540" s="10"/>
      <c r="CZ540" s="10"/>
      <c r="DA540" s="10"/>
      <c r="DB540" s="10"/>
      <c r="DC540" s="10"/>
      <c r="DD540" s="10"/>
      <c r="DE540" s="10"/>
      <c r="DF540" s="10"/>
      <c r="DG540" s="10"/>
      <c r="DH540" s="10"/>
      <c r="DI540" s="10"/>
      <c r="DJ540" s="10"/>
      <c r="DK540" s="10"/>
      <c r="DL540" s="10"/>
      <c r="DM540" s="10"/>
      <c r="DN540" s="10"/>
      <c r="DO540" s="10"/>
      <c r="DP540" s="10"/>
      <c r="DQ540" s="10"/>
      <c r="DR540" s="10"/>
      <c r="DS540" s="10"/>
      <c r="DT540" s="10"/>
      <c r="DU540" s="10"/>
      <c r="DV540" s="10"/>
      <c r="DW540" s="10"/>
      <c r="DX540" s="10"/>
      <c r="DY540" s="10"/>
      <c r="DZ540" s="10"/>
      <c r="EA540" s="10"/>
      <c r="EB540" s="10"/>
      <c r="EC540" s="10"/>
      <c r="ED540" s="10"/>
      <c r="EE540" s="10"/>
      <c r="EF540" s="10"/>
      <c r="EG540" s="10"/>
      <c r="EH540" s="10"/>
      <c r="EI540" s="10"/>
      <c r="EJ540" s="10"/>
      <c r="EK540" s="10"/>
      <c r="EL540" s="10"/>
      <c r="EM540" s="10"/>
      <c r="EN540" s="10"/>
      <c r="EO540" s="10"/>
      <c r="EP540" s="10"/>
      <c r="EQ540" s="10"/>
      <c r="ER540" s="10"/>
      <c r="ES540" s="10"/>
      <c r="ET540" s="10"/>
      <c r="EU540" s="10"/>
      <c r="EV540" s="10"/>
      <c r="EW540" s="10"/>
      <c r="EX540" s="10"/>
      <c r="EY540" s="10"/>
      <c r="EZ540" s="10"/>
      <c r="FA540" s="10"/>
      <c r="FB540" s="10"/>
      <c r="FC540" s="10"/>
      <c r="FD540" s="10"/>
      <c r="FE540" s="10"/>
      <c r="FF540" s="10"/>
      <c r="FG540" s="10"/>
      <c r="FH540" s="10"/>
      <c r="FI540" s="10"/>
      <c r="FJ540" s="10"/>
      <c r="FK540" s="10"/>
      <c r="FL540" s="10"/>
      <c r="FM540" s="10"/>
      <c r="FN540" s="10"/>
      <c r="FO540" s="10"/>
      <c r="FP540" s="10"/>
      <c r="FQ540" s="10"/>
      <c r="FR540" s="10"/>
      <c r="FS540" s="10"/>
      <c r="FT540" s="10"/>
      <c r="FU540" s="10"/>
      <c r="FV540" s="10"/>
      <c r="FW540" s="10"/>
      <c r="FX540" s="10"/>
      <c r="FY540" s="10"/>
      <c r="FZ540" s="10"/>
      <c r="GA540" s="10"/>
      <c r="GB540" s="10"/>
      <c r="GC540" s="10"/>
      <c r="GD540" s="10"/>
      <c r="GE540" s="10"/>
      <c r="GF540" s="10"/>
      <c r="GG540" s="10"/>
      <c r="GH540" s="10"/>
      <c r="GI540" s="10"/>
      <c r="GJ540" s="10"/>
      <c r="GK540" s="10"/>
    </row>
    <row r="541" customFormat="false" ht="12.75" hidden="false" customHeight="false" outlineLevel="0" collapsed="false">
      <c r="A541" s="7"/>
      <c r="B541" s="7"/>
      <c r="C541" s="8"/>
      <c r="D541" s="8"/>
      <c r="E541" s="8"/>
      <c r="F541" s="8"/>
      <c r="G541" s="9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0"/>
      <c r="BT541" s="10"/>
      <c r="BU541" s="10"/>
      <c r="BV541" s="10"/>
      <c r="BW541" s="10"/>
      <c r="BX541" s="10"/>
      <c r="BY541" s="10"/>
      <c r="BZ541" s="10"/>
      <c r="CA541" s="10"/>
      <c r="CB541" s="10"/>
      <c r="CC541" s="10"/>
      <c r="CD541" s="10"/>
      <c r="CE541" s="10"/>
      <c r="CF541" s="10"/>
      <c r="CG541" s="10"/>
      <c r="CH541" s="10"/>
      <c r="CI541" s="10"/>
      <c r="CJ541" s="10"/>
      <c r="CK541" s="10"/>
      <c r="CL541" s="10"/>
      <c r="CM541" s="10"/>
      <c r="CN541" s="10"/>
      <c r="CO541" s="10"/>
      <c r="CP541" s="10"/>
      <c r="CQ541" s="10"/>
      <c r="CR541" s="10"/>
      <c r="CS541" s="10"/>
      <c r="CT541" s="10"/>
      <c r="CU541" s="10"/>
      <c r="CV541" s="10"/>
      <c r="CW541" s="10"/>
      <c r="CX541" s="10"/>
      <c r="CY541" s="10"/>
      <c r="CZ541" s="10"/>
      <c r="DA541" s="10"/>
      <c r="DB541" s="10"/>
      <c r="DC541" s="10"/>
      <c r="DD541" s="10"/>
      <c r="DE541" s="10"/>
      <c r="DF541" s="10"/>
      <c r="DG541" s="10"/>
      <c r="DH541" s="10"/>
      <c r="DI541" s="10"/>
      <c r="DJ541" s="10"/>
      <c r="DK541" s="10"/>
      <c r="DL541" s="10"/>
      <c r="DM541" s="10"/>
      <c r="DN541" s="10"/>
      <c r="DO541" s="10"/>
      <c r="DP541" s="10"/>
      <c r="DQ541" s="10"/>
      <c r="DR541" s="10"/>
      <c r="DS541" s="10"/>
      <c r="DT541" s="10"/>
      <c r="DU541" s="10"/>
      <c r="DV541" s="10"/>
      <c r="DW541" s="10"/>
      <c r="DX541" s="10"/>
      <c r="DY541" s="10"/>
      <c r="DZ541" s="10"/>
      <c r="EA541" s="10"/>
      <c r="EB541" s="10"/>
      <c r="EC541" s="10"/>
      <c r="ED541" s="10"/>
      <c r="EE541" s="10"/>
      <c r="EF541" s="10"/>
      <c r="EG541" s="10"/>
      <c r="EH541" s="10"/>
      <c r="EI541" s="10"/>
      <c r="EJ541" s="10"/>
      <c r="EK541" s="10"/>
      <c r="EL541" s="10"/>
      <c r="EM541" s="10"/>
      <c r="EN541" s="10"/>
      <c r="EO541" s="10"/>
      <c r="EP541" s="10"/>
      <c r="EQ541" s="10"/>
      <c r="ER541" s="10"/>
      <c r="ES541" s="10"/>
      <c r="ET541" s="10"/>
      <c r="EU541" s="10"/>
      <c r="EV541" s="10"/>
      <c r="EW541" s="10"/>
      <c r="EX541" s="10"/>
      <c r="EY541" s="10"/>
      <c r="EZ541" s="10"/>
      <c r="FA541" s="10"/>
      <c r="FB541" s="10"/>
      <c r="FC541" s="10"/>
      <c r="FD541" s="10"/>
      <c r="FE541" s="10"/>
      <c r="FF541" s="10"/>
      <c r="FG541" s="10"/>
      <c r="FH541" s="10"/>
      <c r="FI541" s="10"/>
      <c r="FJ541" s="10"/>
      <c r="FK541" s="10"/>
      <c r="FL541" s="10"/>
      <c r="FM541" s="10"/>
      <c r="FN541" s="10"/>
      <c r="FO541" s="10"/>
      <c r="FP541" s="10"/>
      <c r="FQ541" s="10"/>
      <c r="FR541" s="10"/>
      <c r="FS541" s="10"/>
      <c r="FT541" s="10"/>
      <c r="FU541" s="10"/>
      <c r="FV541" s="10"/>
      <c r="FW541" s="10"/>
      <c r="FX541" s="10"/>
      <c r="FY541" s="10"/>
      <c r="FZ541" s="10"/>
      <c r="GA541" s="10"/>
      <c r="GB541" s="10"/>
      <c r="GC541" s="10"/>
      <c r="GD541" s="10"/>
      <c r="GE541" s="10"/>
      <c r="GF541" s="10"/>
      <c r="GG541" s="10"/>
      <c r="GH541" s="10"/>
      <c r="GI541" s="10"/>
      <c r="GJ541" s="10"/>
      <c r="GK541" s="10"/>
    </row>
    <row r="542" customFormat="false" ht="12.75" hidden="false" customHeight="false" outlineLevel="0" collapsed="false">
      <c r="A542" s="7"/>
      <c r="B542" s="7"/>
      <c r="C542" s="8"/>
      <c r="D542" s="8"/>
      <c r="E542" s="8"/>
      <c r="F542" s="8"/>
      <c r="G542" s="9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  <c r="BT542" s="10"/>
      <c r="BU542" s="10"/>
      <c r="BV542" s="10"/>
      <c r="BW542" s="10"/>
      <c r="BX542" s="10"/>
      <c r="BY542" s="10"/>
      <c r="BZ542" s="10"/>
      <c r="CA542" s="10"/>
      <c r="CB542" s="10"/>
      <c r="CC542" s="10"/>
      <c r="CD542" s="10"/>
      <c r="CE542" s="10"/>
      <c r="CF542" s="10"/>
      <c r="CG542" s="10"/>
      <c r="CH542" s="10"/>
      <c r="CI542" s="10"/>
      <c r="CJ542" s="10"/>
      <c r="CK542" s="10"/>
      <c r="CL542" s="10"/>
      <c r="CM542" s="10"/>
      <c r="CN542" s="10"/>
      <c r="CO542" s="10"/>
      <c r="CP542" s="10"/>
      <c r="CQ542" s="10"/>
      <c r="CR542" s="10"/>
      <c r="CS542" s="10"/>
      <c r="CT542" s="10"/>
      <c r="CU542" s="10"/>
      <c r="CV542" s="10"/>
      <c r="CW542" s="10"/>
      <c r="CX542" s="10"/>
      <c r="CY542" s="10"/>
      <c r="CZ542" s="10"/>
      <c r="DA542" s="10"/>
      <c r="DB542" s="10"/>
      <c r="DC542" s="10"/>
      <c r="DD542" s="10"/>
      <c r="DE542" s="10"/>
      <c r="DF542" s="10"/>
      <c r="DG542" s="10"/>
      <c r="DH542" s="10"/>
      <c r="DI542" s="10"/>
      <c r="DJ542" s="10"/>
      <c r="DK542" s="10"/>
      <c r="DL542" s="10"/>
      <c r="DM542" s="10"/>
      <c r="DN542" s="10"/>
      <c r="DO542" s="10"/>
      <c r="DP542" s="10"/>
      <c r="DQ542" s="10"/>
      <c r="DR542" s="10"/>
      <c r="DS542" s="10"/>
      <c r="DT542" s="10"/>
      <c r="DU542" s="10"/>
      <c r="DV542" s="10"/>
      <c r="DW542" s="10"/>
      <c r="DX542" s="10"/>
      <c r="DY542" s="10"/>
      <c r="DZ542" s="10"/>
      <c r="EA542" s="10"/>
      <c r="EB542" s="10"/>
      <c r="EC542" s="10"/>
      <c r="ED542" s="10"/>
      <c r="EE542" s="10"/>
      <c r="EF542" s="10"/>
      <c r="EG542" s="10"/>
      <c r="EH542" s="10"/>
      <c r="EI542" s="10"/>
      <c r="EJ542" s="10"/>
      <c r="EK542" s="10"/>
      <c r="EL542" s="10"/>
      <c r="EM542" s="10"/>
      <c r="EN542" s="10"/>
      <c r="EO542" s="10"/>
      <c r="EP542" s="10"/>
      <c r="EQ542" s="10"/>
      <c r="ER542" s="10"/>
      <c r="ES542" s="10"/>
      <c r="ET542" s="10"/>
      <c r="EU542" s="10"/>
      <c r="EV542" s="10"/>
      <c r="EW542" s="10"/>
      <c r="EX542" s="10"/>
      <c r="EY542" s="10"/>
      <c r="EZ542" s="10"/>
      <c r="FA542" s="10"/>
      <c r="FB542" s="10"/>
      <c r="FC542" s="10"/>
      <c r="FD542" s="10"/>
      <c r="FE542" s="10"/>
      <c r="FF542" s="10"/>
      <c r="FG542" s="10"/>
      <c r="FH542" s="10"/>
      <c r="FI542" s="10"/>
      <c r="FJ542" s="10"/>
      <c r="FK542" s="10"/>
      <c r="FL542" s="10"/>
      <c r="FM542" s="10"/>
      <c r="FN542" s="10"/>
      <c r="FO542" s="10"/>
      <c r="FP542" s="10"/>
      <c r="FQ542" s="10"/>
      <c r="FR542" s="10"/>
      <c r="FS542" s="10"/>
      <c r="FT542" s="10"/>
      <c r="FU542" s="10"/>
      <c r="FV542" s="10"/>
      <c r="FW542" s="10"/>
      <c r="FX542" s="10"/>
      <c r="FY542" s="10"/>
      <c r="FZ542" s="10"/>
      <c r="GA542" s="10"/>
      <c r="GB542" s="10"/>
      <c r="GC542" s="10"/>
      <c r="GD542" s="10"/>
      <c r="GE542" s="10"/>
      <c r="GF542" s="10"/>
      <c r="GG542" s="10"/>
      <c r="GH542" s="10"/>
      <c r="GI542" s="10"/>
      <c r="GJ542" s="10"/>
      <c r="GK542" s="10"/>
    </row>
    <row r="543" customFormat="false" ht="12.75" hidden="false" customHeight="false" outlineLevel="0" collapsed="false">
      <c r="A543" s="7"/>
      <c r="B543" s="7"/>
      <c r="C543" s="8"/>
      <c r="D543" s="8"/>
      <c r="E543" s="8"/>
      <c r="F543" s="8"/>
      <c r="G543" s="9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  <c r="BS543" s="10"/>
      <c r="BT543" s="10"/>
      <c r="BU543" s="10"/>
      <c r="BV543" s="10"/>
      <c r="BW543" s="10"/>
      <c r="BX543" s="10"/>
      <c r="BY543" s="10"/>
      <c r="BZ543" s="10"/>
      <c r="CA543" s="10"/>
      <c r="CB543" s="10"/>
      <c r="CC543" s="10"/>
      <c r="CD543" s="10"/>
      <c r="CE543" s="10"/>
      <c r="CF543" s="10"/>
      <c r="CG543" s="10"/>
      <c r="CH543" s="10"/>
      <c r="CI543" s="10"/>
      <c r="CJ543" s="10"/>
      <c r="CK543" s="10"/>
      <c r="CL543" s="10"/>
      <c r="CM543" s="10"/>
      <c r="CN543" s="10"/>
      <c r="CO543" s="10"/>
      <c r="CP543" s="10"/>
      <c r="CQ543" s="10"/>
      <c r="CR543" s="10"/>
      <c r="CS543" s="10"/>
      <c r="CT543" s="10"/>
      <c r="CU543" s="10"/>
      <c r="CV543" s="10"/>
      <c r="CW543" s="10"/>
      <c r="CX543" s="10"/>
      <c r="CY543" s="10"/>
      <c r="CZ543" s="10"/>
      <c r="DA543" s="10"/>
      <c r="DB543" s="10"/>
      <c r="DC543" s="10"/>
      <c r="DD543" s="10"/>
      <c r="DE543" s="10"/>
      <c r="DF543" s="10"/>
      <c r="DG543" s="10"/>
      <c r="DH543" s="10"/>
      <c r="DI543" s="10"/>
      <c r="DJ543" s="10"/>
      <c r="DK543" s="10"/>
      <c r="DL543" s="10"/>
      <c r="DM543" s="10"/>
      <c r="DN543" s="10"/>
      <c r="DO543" s="10"/>
      <c r="DP543" s="10"/>
      <c r="DQ543" s="10"/>
      <c r="DR543" s="10"/>
      <c r="DS543" s="10"/>
      <c r="DT543" s="10"/>
      <c r="DU543" s="10"/>
      <c r="DV543" s="10"/>
      <c r="DW543" s="10"/>
      <c r="DX543" s="10"/>
      <c r="DY543" s="10"/>
      <c r="DZ543" s="10"/>
      <c r="EA543" s="10"/>
      <c r="EB543" s="10"/>
      <c r="EC543" s="10"/>
      <c r="ED543" s="10"/>
      <c r="EE543" s="10"/>
      <c r="EF543" s="10"/>
      <c r="EG543" s="10"/>
      <c r="EH543" s="10"/>
      <c r="EI543" s="10"/>
      <c r="EJ543" s="10"/>
      <c r="EK543" s="10"/>
      <c r="EL543" s="10"/>
      <c r="EM543" s="10"/>
      <c r="EN543" s="10"/>
      <c r="EO543" s="10"/>
      <c r="EP543" s="10"/>
      <c r="EQ543" s="10"/>
      <c r="ER543" s="10"/>
      <c r="ES543" s="10"/>
      <c r="ET543" s="10"/>
      <c r="EU543" s="10"/>
      <c r="EV543" s="10"/>
      <c r="EW543" s="10"/>
      <c r="EX543" s="10"/>
      <c r="EY543" s="10"/>
      <c r="EZ543" s="10"/>
      <c r="FA543" s="10"/>
      <c r="FB543" s="10"/>
      <c r="FC543" s="10"/>
      <c r="FD543" s="10"/>
      <c r="FE543" s="10"/>
      <c r="FF543" s="10"/>
      <c r="FG543" s="10"/>
      <c r="FH543" s="10"/>
      <c r="FI543" s="10"/>
      <c r="FJ543" s="10"/>
      <c r="FK543" s="10"/>
      <c r="FL543" s="10"/>
      <c r="FM543" s="10"/>
      <c r="FN543" s="10"/>
      <c r="FO543" s="10"/>
      <c r="FP543" s="10"/>
      <c r="FQ543" s="10"/>
      <c r="FR543" s="10"/>
      <c r="FS543" s="10"/>
      <c r="FT543" s="10"/>
      <c r="FU543" s="10"/>
      <c r="FV543" s="10"/>
      <c r="FW543" s="10"/>
      <c r="FX543" s="10"/>
      <c r="FY543" s="10"/>
      <c r="FZ543" s="10"/>
      <c r="GA543" s="10"/>
      <c r="GB543" s="10"/>
      <c r="GC543" s="10"/>
      <c r="GD543" s="10"/>
      <c r="GE543" s="10"/>
      <c r="GF543" s="10"/>
      <c r="GG543" s="10"/>
      <c r="GH543" s="10"/>
      <c r="GI543" s="10"/>
      <c r="GJ543" s="10"/>
      <c r="GK543" s="10"/>
    </row>
    <row r="544" customFormat="false" ht="12.75" hidden="false" customHeight="false" outlineLevel="0" collapsed="false">
      <c r="A544" s="7"/>
      <c r="B544" s="7"/>
      <c r="C544" s="8"/>
      <c r="D544" s="8"/>
      <c r="E544" s="8"/>
      <c r="F544" s="8"/>
      <c r="G544" s="9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0"/>
      <c r="BS544" s="10"/>
      <c r="BT544" s="10"/>
      <c r="BU544" s="10"/>
      <c r="BV544" s="10"/>
      <c r="BW544" s="10"/>
      <c r="BX544" s="10"/>
      <c r="BY544" s="10"/>
      <c r="BZ544" s="10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  <c r="EM544" s="10"/>
      <c r="EN544" s="10"/>
      <c r="EO544" s="10"/>
      <c r="EP544" s="10"/>
      <c r="EQ544" s="10"/>
      <c r="ER544" s="10"/>
      <c r="ES544" s="10"/>
      <c r="ET544" s="10"/>
      <c r="EU544" s="10"/>
      <c r="EV544" s="10"/>
      <c r="EW544" s="10"/>
      <c r="EX544" s="10"/>
      <c r="EY544" s="10"/>
      <c r="EZ544" s="10"/>
      <c r="FA544" s="10"/>
      <c r="FB544" s="10"/>
      <c r="FC544" s="10"/>
      <c r="FD544" s="10"/>
      <c r="FE544" s="10"/>
      <c r="FF544" s="10"/>
      <c r="FG544" s="10"/>
      <c r="FH544" s="10"/>
      <c r="FI544" s="10"/>
      <c r="FJ544" s="10"/>
      <c r="FK544" s="10"/>
      <c r="FL544" s="10"/>
      <c r="FM544" s="10"/>
      <c r="FN544" s="10"/>
      <c r="FO544" s="10"/>
      <c r="FP544" s="10"/>
      <c r="FQ544" s="10"/>
      <c r="FR544" s="10"/>
      <c r="FS544" s="10"/>
      <c r="FT544" s="10"/>
      <c r="FU544" s="10"/>
      <c r="FV544" s="10"/>
      <c r="FW544" s="10"/>
      <c r="FX544" s="10"/>
      <c r="FY544" s="10"/>
      <c r="FZ544" s="10"/>
      <c r="GA544" s="10"/>
      <c r="GB544" s="10"/>
      <c r="GC544" s="10"/>
      <c r="GD544" s="10"/>
      <c r="GE544" s="10"/>
      <c r="GF544" s="10"/>
      <c r="GG544" s="10"/>
      <c r="GH544" s="10"/>
      <c r="GI544" s="10"/>
      <c r="GJ544" s="10"/>
      <c r="GK544" s="10"/>
    </row>
    <row r="545" customFormat="false" ht="12.75" hidden="false" customHeight="false" outlineLevel="0" collapsed="false">
      <c r="A545" s="7"/>
      <c r="B545" s="7"/>
      <c r="C545" s="8"/>
      <c r="D545" s="8"/>
      <c r="E545" s="8"/>
      <c r="F545" s="8"/>
      <c r="G545" s="9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0"/>
      <c r="BS545" s="10"/>
      <c r="BT545" s="10"/>
      <c r="BU545" s="10"/>
      <c r="BV545" s="10"/>
      <c r="BW545" s="10"/>
      <c r="BX545" s="10"/>
      <c r="BY545" s="10"/>
      <c r="BZ545" s="10"/>
      <c r="CA545" s="10"/>
      <c r="CB545" s="10"/>
      <c r="CC545" s="10"/>
      <c r="CD545" s="10"/>
      <c r="CE545" s="10"/>
      <c r="CF545" s="10"/>
      <c r="CG545" s="10"/>
      <c r="CH545" s="10"/>
      <c r="CI545" s="10"/>
      <c r="CJ545" s="10"/>
      <c r="CK545" s="10"/>
      <c r="CL545" s="10"/>
      <c r="CM545" s="10"/>
      <c r="CN545" s="10"/>
      <c r="CO545" s="10"/>
      <c r="CP545" s="10"/>
      <c r="CQ545" s="10"/>
      <c r="CR545" s="10"/>
      <c r="CS545" s="10"/>
      <c r="CT545" s="10"/>
      <c r="CU545" s="10"/>
      <c r="CV545" s="10"/>
      <c r="CW545" s="10"/>
      <c r="CX545" s="10"/>
      <c r="CY545" s="10"/>
      <c r="CZ545" s="10"/>
      <c r="DA545" s="10"/>
      <c r="DB545" s="10"/>
      <c r="DC545" s="10"/>
      <c r="DD545" s="10"/>
      <c r="DE545" s="10"/>
      <c r="DF545" s="10"/>
      <c r="DG545" s="10"/>
      <c r="DH545" s="10"/>
      <c r="DI545" s="10"/>
      <c r="DJ545" s="10"/>
      <c r="DK545" s="10"/>
      <c r="DL545" s="10"/>
      <c r="DM545" s="10"/>
      <c r="DN545" s="10"/>
      <c r="DO545" s="10"/>
      <c r="DP545" s="10"/>
      <c r="DQ545" s="10"/>
      <c r="DR545" s="10"/>
      <c r="DS545" s="10"/>
      <c r="DT545" s="10"/>
      <c r="DU545" s="10"/>
      <c r="DV545" s="10"/>
      <c r="DW545" s="10"/>
      <c r="DX545" s="10"/>
      <c r="DY545" s="10"/>
      <c r="DZ545" s="10"/>
      <c r="EA545" s="10"/>
      <c r="EB545" s="10"/>
      <c r="EC545" s="10"/>
      <c r="ED545" s="10"/>
      <c r="EE545" s="10"/>
      <c r="EF545" s="10"/>
      <c r="EG545" s="10"/>
      <c r="EH545" s="10"/>
      <c r="EI545" s="10"/>
      <c r="EJ545" s="10"/>
      <c r="EK545" s="10"/>
      <c r="EL545" s="10"/>
      <c r="EM545" s="10"/>
      <c r="EN545" s="10"/>
      <c r="EO545" s="10"/>
      <c r="EP545" s="10"/>
      <c r="EQ545" s="10"/>
      <c r="ER545" s="10"/>
      <c r="ES545" s="10"/>
      <c r="ET545" s="10"/>
      <c r="EU545" s="10"/>
      <c r="EV545" s="10"/>
      <c r="EW545" s="10"/>
      <c r="EX545" s="10"/>
      <c r="EY545" s="10"/>
      <c r="EZ545" s="10"/>
      <c r="FA545" s="10"/>
      <c r="FB545" s="10"/>
      <c r="FC545" s="10"/>
      <c r="FD545" s="10"/>
      <c r="FE545" s="10"/>
      <c r="FF545" s="10"/>
      <c r="FG545" s="10"/>
      <c r="FH545" s="10"/>
      <c r="FI545" s="10"/>
      <c r="FJ545" s="10"/>
      <c r="FK545" s="10"/>
      <c r="FL545" s="10"/>
      <c r="FM545" s="10"/>
      <c r="FN545" s="10"/>
      <c r="FO545" s="10"/>
      <c r="FP545" s="10"/>
      <c r="FQ545" s="10"/>
      <c r="FR545" s="10"/>
      <c r="FS545" s="10"/>
      <c r="FT545" s="10"/>
      <c r="FU545" s="10"/>
      <c r="FV545" s="10"/>
      <c r="FW545" s="10"/>
      <c r="FX545" s="10"/>
      <c r="FY545" s="10"/>
      <c r="FZ545" s="10"/>
      <c r="GA545" s="10"/>
      <c r="GB545" s="10"/>
      <c r="GC545" s="10"/>
      <c r="GD545" s="10"/>
      <c r="GE545" s="10"/>
      <c r="GF545" s="10"/>
      <c r="GG545" s="10"/>
      <c r="GH545" s="10"/>
      <c r="GI545" s="10"/>
      <c r="GJ545" s="10"/>
      <c r="GK545" s="10"/>
    </row>
    <row r="546" customFormat="false" ht="12.75" hidden="false" customHeight="false" outlineLevel="0" collapsed="false">
      <c r="A546" s="7"/>
      <c r="B546" s="7"/>
      <c r="C546" s="8"/>
      <c r="D546" s="8"/>
      <c r="E546" s="8"/>
      <c r="F546" s="8"/>
      <c r="G546" s="9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0"/>
      <c r="BS546" s="10"/>
      <c r="BT546" s="10"/>
      <c r="BU546" s="10"/>
      <c r="BV546" s="10"/>
      <c r="BW546" s="10"/>
      <c r="BX546" s="10"/>
      <c r="BY546" s="10"/>
      <c r="BZ546" s="10"/>
      <c r="CA546" s="10"/>
      <c r="CB546" s="10"/>
      <c r="CC546" s="10"/>
      <c r="CD546" s="10"/>
      <c r="CE546" s="10"/>
      <c r="CF546" s="10"/>
      <c r="CG546" s="10"/>
      <c r="CH546" s="10"/>
      <c r="CI546" s="10"/>
      <c r="CJ546" s="10"/>
      <c r="CK546" s="10"/>
      <c r="CL546" s="10"/>
      <c r="CM546" s="10"/>
      <c r="CN546" s="10"/>
      <c r="CO546" s="10"/>
      <c r="CP546" s="10"/>
      <c r="CQ546" s="10"/>
      <c r="CR546" s="10"/>
      <c r="CS546" s="10"/>
      <c r="CT546" s="10"/>
      <c r="CU546" s="10"/>
      <c r="CV546" s="10"/>
      <c r="CW546" s="10"/>
      <c r="CX546" s="10"/>
      <c r="CY546" s="10"/>
      <c r="CZ546" s="10"/>
      <c r="DA546" s="10"/>
      <c r="DB546" s="10"/>
      <c r="DC546" s="10"/>
      <c r="DD546" s="10"/>
      <c r="DE546" s="10"/>
      <c r="DF546" s="10"/>
      <c r="DG546" s="10"/>
      <c r="DH546" s="10"/>
      <c r="DI546" s="10"/>
      <c r="DJ546" s="10"/>
      <c r="DK546" s="10"/>
      <c r="DL546" s="10"/>
      <c r="DM546" s="10"/>
      <c r="DN546" s="10"/>
      <c r="DO546" s="10"/>
      <c r="DP546" s="10"/>
      <c r="DQ546" s="10"/>
      <c r="DR546" s="10"/>
      <c r="DS546" s="10"/>
      <c r="DT546" s="10"/>
      <c r="DU546" s="10"/>
      <c r="DV546" s="10"/>
      <c r="DW546" s="10"/>
      <c r="DX546" s="10"/>
      <c r="DY546" s="10"/>
      <c r="DZ546" s="10"/>
      <c r="EA546" s="10"/>
      <c r="EB546" s="10"/>
      <c r="EC546" s="10"/>
      <c r="ED546" s="10"/>
      <c r="EE546" s="10"/>
      <c r="EF546" s="10"/>
      <c r="EG546" s="10"/>
      <c r="EH546" s="10"/>
      <c r="EI546" s="10"/>
      <c r="EJ546" s="10"/>
      <c r="EK546" s="10"/>
      <c r="EL546" s="10"/>
      <c r="EM546" s="10"/>
      <c r="EN546" s="10"/>
      <c r="EO546" s="10"/>
      <c r="EP546" s="10"/>
      <c r="EQ546" s="10"/>
      <c r="ER546" s="10"/>
      <c r="ES546" s="10"/>
      <c r="ET546" s="10"/>
      <c r="EU546" s="10"/>
      <c r="EV546" s="10"/>
      <c r="EW546" s="10"/>
      <c r="EX546" s="10"/>
      <c r="EY546" s="10"/>
      <c r="EZ546" s="10"/>
      <c r="FA546" s="10"/>
      <c r="FB546" s="10"/>
      <c r="FC546" s="10"/>
      <c r="FD546" s="10"/>
      <c r="FE546" s="10"/>
      <c r="FF546" s="10"/>
      <c r="FG546" s="10"/>
      <c r="FH546" s="10"/>
      <c r="FI546" s="10"/>
      <c r="FJ546" s="10"/>
      <c r="FK546" s="10"/>
      <c r="FL546" s="10"/>
      <c r="FM546" s="10"/>
      <c r="FN546" s="10"/>
      <c r="FO546" s="10"/>
      <c r="FP546" s="10"/>
      <c r="FQ546" s="10"/>
      <c r="FR546" s="10"/>
      <c r="FS546" s="10"/>
      <c r="FT546" s="10"/>
      <c r="FU546" s="10"/>
      <c r="FV546" s="10"/>
      <c r="FW546" s="10"/>
      <c r="FX546" s="10"/>
      <c r="FY546" s="10"/>
      <c r="FZ546" s="10"/>
      <c r="GA546" s="10"/>
      <c r="GB546" s="10"/>
      <c r="GC546" s="10"/>
      <c r="GD546" s="10"/>
      <c r="GE546" s="10"/>
      <c r="GF546" s="10"/>
      <c r="GG546" s="10"/>
      <c r="GH546" s="10"/>
      <c r="GI546" s="10"/>
      <c r="GJ546" s="10"/>
      <c r="GK546" s="10"/>
    </row>
    <row r="547" customFormat="false" ht="12.75" hidden="false" customHeight="false" outlineLevel="0" collapsed="false">
      <c r="A547" s="7"/>
      <c r="B547" s="7"/>
      <c r="C547" s="8"/>
      <c r="D547" s="8"/>
      <c r="E547" s="8"/>
      <c r="F547" s="8"/>
      <c r="G547" s="9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0"/>
      <c r="BS547" s="10"/>
      <c r="BT547" s="10"/>
      <c r="BU547" s="10"/>
      <c r="BV547" s="10"/>
      <c r="BW547" s="10"/>
      <c r="BX547" s="10"/>
      <c r="BY547" s="10"/>
      <c r="BZ547" s="10"/>
      <c r="CA547" s="10"/>
      <c r="CB547" s="10"/>
      <c r="CC547" s="10"/>
      <c r="CD547" s="10"/>
      <c r="CE547" s="10"/>
      <c r="CF547" s="10"/>
      <c r="CG547" s="10"/>
      <c r="CH547" s="10"/>
      <c r="CI547" s="10"/>
      <c r="CJ547" s="10"/>
      <c r="CK547" s="10"/>
      <c r="CL547" s="10"/>
      <c r="CM547" s="10"/>
      <c r="CN547" s="10"/>
      <c r="CO547" s="10"/>
      <c r="CP547" s="10"/>
      <c r="CQ547" s="10"/>
      <c r="CR547" s="10"/>
      <c r="CS547" s="10"/>
      <c r="CT547" s="10"/>
      <c r="CU547" s="10"/>
      <c r="CV547" s="10"/>
      <c r="CW547" s="10"/>
      <c r="CX547" s="10"/>
      <c r="CY547" s="10"/>
      <c r="CZ547" s="10"/>
      <c r="DA547" s="10"/>
      <c r="DB547" s="10"/>
      <c r="DC547" s="10"/>
      <c r="DD547" s="10"/>
      <c r="DE547" s="10"/>
      <c r="DF547" s="10"/>
      <c r="DG547" s="10"/>
      <c r="DH547" s="10"/>
      <c r="DI547" s="10"/>
      <c r="DJ547" s="10"/>
      <c r="DK547" s="10"/>
      <c r="DL547" s="10"/>
      <c r="DM547" s="10"/>
      <c r="DN547" s="10"/>
      <c r="DO547" s="10"/>
      <c r="DP547" s="10"/>
      <c r="DQ547" s="10"/>
      <c r="DR547" s="10"/>
      <c r="DS547" s="10"/>
      <c r="DT547" s="10"/>
      <c r="DU547" s="10"/>
      <c r="DV547" s="10"/>
      <c r="DW547" s="10"/>
      <c r="DX547" s="10"/>
      <c r="DY547" s="10"/>
      <c r="DZ547" s="10"/>
      <c r="EA547" s="10"/>
      <c r="EB547" s="10"/>
      <c r="EC547" s="10"/>
      <c r="ED547" s="10"/>
      <c r="EE547" s="10"/>
      <c r="EF547" s="10"/>
      <c r="EG547" s="10"/>
      <c r="EH547" s="10"/>
      <c r="EI547" s="10"/>
      <c r="EJ547" s="10"/>
      <c r="EK547" s="10"/>
      <c r="EL547" s="10"/>
      <c r="EM547" s="10"/>
      <c r="EN547" s="10"/>
      <c r="EO547" s="10"/>
      <c r="EP547" s="10"/>
      <c r="EQ547" s="10"/>
      <c r="ER547" s="10"/>
      <c r="ES547" s="10"/>
      <c r="ET547" s="10"/>
      <c r="EU547" s="10"/>
      <c r="EV547" s="10"/>
      <c r="EW547" s="10"/>
      <c r="EX547" s="10"/>
      <c r="EY547" s="10"/>
      <c r="EZ547" s="10"/>
      <c r="FA547" s="10"/>
      <c r="FB547" s="10"/>
      <c r="FC547" s="10"/>
      <c r="FD547" s="10"/>
      <c r="FE547" s="10"/>
      <c r="FF547" s="10"/>
      <c r="FG547" s="10"/>
      <c r="FH547" s="10"/>
      <c r="FI547" s="10"/>
      <c r="FJ547" s="10"/>
      <c r="FK547" s="10"/>
      <c r="FL547" s="10"/>
      <c r="FM547" s="10"/>
      <c r="FN547" s="10"/>
      <c r="FO547" s="10"/>
      <c r="FP547" s="10"/>
      <c r="FQ547" s="10"/>
      <c r="FR547" s="10"/>
      <c r="FS547" s="10"/>
      <c r="FT547" s="10"/>
      <c r="FU547" s="10"/>
      <c r="FV547" s="10"/>
      <c r="FW547" s="10"/>
      <c r="FX547" s="10"/>
      <c r="FY547" s="10"/>
      <c r="FZ547" s="10"/>
      <c r="GA547" s="10"/>
      <c r="GB547" s="10"/>
      <c r="GC547" s="10"/>
      <c r="GD547" s="10"/>
      <c r="GE547" s="10"/>
      <c r="GF547" s="10"/>
      <c r="GG547" s="10"/>
      <c r="GH547" s="10"/>
      <c r="GI547" s="10"/>
      <c r="GJ547" s="10"/>
      <c r="GK547" s="10"/>
    </row>
    <row r="548" customFormat="false" ht="12.75" hidden="false" customHeight="false" outlineLevel="0" collapsed="false">
      <c r="A548" s="7"/>
      <c r="B548" s="7"/>
      <c r="C548" s="8"/>
      <c r="D548" s="8"/>
      <c r="E548" s="8"/>
      <c r="F548" s="8"/>
      <c r="G548" s="9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0"/>
      <c r="BS548" s="10"/>
      <c r="BT548" s="10"/>
      <c r="BU548" s="10"/>
      <c r="BV548" s="10"/>
      <c r="BW548" s="10"/>
      <c r="BX548" s="10"/>
      <c r="BY548" s="10"/>
      <c r="BZ548" s="10"/>
      <c r="CA548" s="10"/>
      <c r="CB548" s="10"/>
      <c r="CC548" s="10"/>
      <c r="CD548" s="10"/>
      <c r="CE548" s="10"/>
      <c r="CF548" s="10"/>
      <c r="CG548" s="10"/>
      <c r="CH548" s="10"/>
      <c r="CI548" s="10"/>
      <c r="CJ548" s="10"/>
      <c r="CK548" s="10"/>
      <c r="CL548" s="10"/>
      <c r="CM548" s="10"/>
      <c r="CN548" s="10"/>
      <c r="CO548" s="10"/>
      <c r="CP548" s="10"/>
      <c r="CQ548" s="10"/>
      <c r="CR548" s="10"/>
      <c r="CS548" s="10"/>
      <c r="CT548" s="10"/>
      <c r="CU548" s="10"/>
      <c r="CV548" s="10"/>
      <c r="CW548" s="10"/>
      <c r="CX548" s="10"/>
      <c r="CY548" s="10"/>
      <c r="CZ548" s="10"/>
      <c r="DA548" s="10"/>
      <c r="DB548" s="10"/>
      <c r="DC548" s="10"/>
      <c r="DD548" s="10"/>
      <c r="DE548" s="10"/>
      <c r="DF548" s="10"/>
      <c r="DG548" s="10"/>
      <c r="DH548" s="10"/>
      <c r="DI548" s="10"/>
      <c r="DJ548" s="10"/>
      <c r="DK548" s="10"/>
      <c r="DL548" s="10"/>
      <c r="DM548" s="10"/>
      <c r="DN548" s="10"/>
      <c r="DO548" s="10"/>
      <c r="DP548" s="10"/>
      <c r="DQ548" s="10"/>
      <c r="DR548" s="10"/>
      <c r="DS548" s="10"/>
      <c r="DT548" s="10"/>
      <c r="DU548" s="10"/>
      <c r="DV548" s="10"/>
      <c r="DW548" s="10"/>
      <c r="DX548" s="10"/>
      <c r="DY548" s="10"/>
      <c r="DZ548" s="10"/>
      <c r="EA548" s="10"/>
      <c r="EB548" s="10"/>
      <c r="EC548" s="10"/>
      <c r="ED548" s="10"/>
      <c r="EE548" s="10"/>
      <c r="EF548" s="10"/>
      <c r="EG548" s="10"/>
      <c r="EH548" s="10"/>
      <c r="EI548" s="10"/>
      <c r="EJ548" s="10"/>
      <c r="EK548" s="10"/>
      <c r="EL548" s="10"/>
      <c r="EM548" s="10"/>
      <c r="EN548" s="10"/>
      <c r="EO548" s="10"/>
      <c r="EP548" s="10"/>
      <c r="EQ548" s="10"/>
      <c r="ER548" s="10"/>
      <c r="ES548" s="10"/>
      <c r="ET548" s="10"/>
      <c r="EU548" s="10"/>
      <c r="EV548" s="10"/>
      <c r="EW548" s="10"/>
      <c r="EX548" s="10"/>
      <c r="EY548" s="10"/>
      <c r="EZ548" s="10"/>
      <c r="FA548" s="10"/>
      <c r="FB548" s="10"/>
      <c r="FC548" s="10"/>
      <c r="FD548" s="10"/>
      <c r="FE548" s="10"/>
      <c r="FF548" s="10"/>
      <c r="FG548" s="10"/>
      <c r="FH548" s="10"/>
      <c r="FI548" s="10"/>
      <c r="FJ548" s="10"/>
      <c r="FK548" s="10"/>
      <c r="FL548" s="10"/>
      <c r="FM548" s="10"/>
      <c r="FN548" s="10"/>
      <c r="FO548" s="10"/>
      <c r="FP548" s="10"/>
      <c r="FQ548" s="10"/>
      <c r="FR548" s="10"/>
      <c r="FS548" s="10"/>
      <c r="FT548" s="10"/>
      <c r="FU548" s="10"/>
      <c r="FV548" s="10"/>
      <c r="FW548" s="10"/>
      <c r="FX548" s="10"/>
      <c r="FY548" s="10"/>
      <c r="FZ548" s="10"/>
      <c r="GA548" s="10"/>
      <c r="GB548" s="10"/>
      <c r="GC548" s="10"/>
      <c r="GD548" s="10"/>
      <c r="GE548" s="10"/>
      <c r="GF548" s="10"/>
      <c r="GG548" s="10"/>
      <c r="GH548" s="10"/>
      <c r="GI548" s="10"/>
      <c r="GJ548" s="10"/>
      <c r="GK548" s="10"/>
    </row>
    <row r="549" customFormat="false" ht="12.75" hidden="false" customHeight="false" outlineLevel="0" collapsed="false">
      <c r="A549" s="7"/>
      <c r="B549" s="7"/>
      <c r="C549" s="8"/>
      <c r="D549" s="8"/>
      <c r="E549" s="8"/>
      <c r="F549" s="8"/>
      <c r="G549" s="9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  <c r="BT549" s="10"/>
      <c r="BU549" s="10"/>
      <c r="BV549" s="10"/>
      <c r="BW549" s="10"/>
      <c r="BX549" s="10"/>
      <c r="BY549" s="10"/>
      <c r="BZ549" s="10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  <c r="CL549" s="10"/>
      <c r="CM549" s="10"/>
      <c r="CN549" s="10"/>
      <c r="CO549" s="10"/>
      <c r="CP549" s="10"/>
      <c r="CQ549" s="10"/>
      <c r="CR549" s="10"/>
      <c r="CS549" s="10"/>
      <c r="CT549" s="10"/>
      <c r="CU549" s="10"/>
      <c r="CV549" s="10"/>
      <c r="CW549" s="10"/>
      <c r="CX549" s="10"/>
      <c r="CY549" s="10"/>
      <c r="CZ549" s="10"/>
      <c r="DA549" s="10"/>
      <c r="DB549" s="10"/>
      <c r="DC549" s="10"/>
      <c r="DD549" s="10"/>
      <c r="DE549" s="10"/>
      <c r="DF549" s="10"/>
      <c r="DG549" s="10"/>
      <c r="DH549" s="10"/>
      <c r="DI549" s="10"/>
      <c r="DJ549" s="10"/>
      <c r="DK549" s="10"/>
      <c r="DL549" s="10"/>
      <c r="DM549" s="10"/>
      <c r="DN549" s="10"/>
      <c r="DO549" s="10"/>
      <c r="DP549" s="10"/>
      <c r="DQ549" s="10"/>
      <c r="DR549" s="10"/>
      <c r="DS549" s="10"/>
      <c r="DT549" s="10"/>
      <c r="DU549" s="10"/>
      <c r="DV549" s="10"/>
      <c r="DW549" s="10"/>
      <c r="DX549" s="10"/>
      <c r="DY549" s="10"/>
      <c r="DZ549" s="10"/>
      <c r="EA549" s="10"/>
      <c r="EB549" s="10"/>
      <c r="EC549" s="10"/>
      <c r="ED549" s="10"/>
      <c r="EE549" s="10"/>
      <c r="EF549" s="10"/>
      <c r="EG549" s="10"/>
      <c r="EH549" s="10"/>
      <c r="EI549" s="10"/>
      <c r="EJ549" s="10"/>
      <c r="EK549" s="10"/>
      <c r="EL549" s="10"/>
      <c r="EM549" s="10"/>
      <c r="EN549" s="10"/>
      <c r="EO549" s="10"/>
      <c r="EP549" s="10"/>
      <c r="EQ549" s="10"/>
      <c r="ER549" s="10"/>
      <c r="ES549" s="10"/>
      <c r="ET549" s="10"/>
      <c r="EU549" s="10"/>
      <c r="EV549" s="10"/>
      <c r="EW549" s="10"/>
      <c r="EX549" s="10"/>
      <c r="EY549" s="10"/>
      <c r="EZ549" s="10"/>
      <c r="FA549" s="10"/>
      <c r="FB549" s="10"/>
      <c r="FC549" s="10"/>
      <c r="FD549" s="10"/>
      <c r="FE549" s="10"/>
      <c r="FF549" s="10"/>
      <c r="FG549" s="10"/>
      <c r="FH549" s="10"/>
      <c r="FI549" s="10"/>
      <c r="FJ549" s="10"/>
      <c r="FK549" s="10"/>
      <c r="FL549" s="10"/>
      <c r="FM549" s="10"/>
      <c r="FN549" s="10"/>
      <c r="FO549" s="10"/>
      <c r="FP549" s="10"/>
      <c r="FQ549" s="10"/>
      <c r="FR549" s="10"/>
      <c r="FS549" s="10"/>
      <c r="FT549" s="10"/>
      <c r="FU549" s="10"/>
      <c r="FV549" s="10"/>
      <c r="FW549" s="10"/>
      <c r="FX549" s="10"/>
      <c r="FY549" s="10"/>
      <c r="FZ549" s="10"/>
      <c r="GA549" s="10"/>
      <c r="GB549" s="10"/>
      <c r="GC549" s="10"/>
      <c r="GD549" s="10"/>
      <c r="GE549" s="10"/>
      <c r="GF549" s="10"/>
      <c r="GG549" s="10"/>
      <c r="GH549" s="10"/>
      <c r="GI549" s="10"/>
      <c r="GJ549" s="10"/>
      <c r="GK549" s="10"/>
    </row>
    <row r="550" customFormat="false" ht="12.75" hidden="false" customHeight="false" outlineLevel="0" collapsed="false">
      <c r="A550" s="7"/>
      <c r="B550" s="7"/>
      <c r="C550" s="8"/>
      <c r="D550" s="8"/>
      <c r="E550" s="8"/>
      <c r="F550" s="8"/>
      <c r="G550" s="9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  <c r="BS550" s="10"/>
      <c r="BT550" s="10"/>
      <c r="BU550" s="10"/>
      <c r="BV550" s="10"/>
      <c r="BW550" s="10"/>
      <c r="BX550" s="10"/>
      <c r="BY550" s="10"/>
      <c r="BZ550" s="10"/>
      <c r="CA550" s="10"/>
      <c r="CB550" s="10"/>
      <c r="CC550" s="10"/>
      <c r="CD550" s="10"/>
      <c r="CE550" s="10"/>
      <c r="CF550" s="10"/>
      <c r="CG550" s="10"/>
      <c r="CH550" s="10"/>
      <c r="CI550" s="10"/>
      <c r="CJ550" s="10"/>
      <c r="CK550" s="10"/>
      <c r="CL550" s="10"/>
      <c r="CM550" s="10"/>
      <c r="CN550" s="10"/>
      <c r="CO550" s="10"/>
      <c r="CP550" s="10"/>
      <c r="CQ550" s="10"/>
      <c r="CR550" s="10"/>
      <c r="CS550" s="10"/>
      <c r="CT550" s="10"/>
      <c r="CU550" s="10"/>
      <c r="CV550" s="10"/>
      <c r="CW550" s="10"/>
      <c r="CX550" s="10"/>
      <c r="CY550" s="10"/>
      <c r="CZ550" s="10"/>
      <c r="DA550" s="10"/>
      <c r="DB550" s="10"/>
      <c r="DC550" s="10"/>
      <c r="DD550" s="10"/>
      <c r="DE550" s="10"/>
      <c r="DF550" s="10"/>
      <c r="DG550" s="10"/>
      <c r="DH550" s="10"/>
      <c r="DI550" s="10"/>
      <c r="DJ550" s="10"/>
      <c r="DK550" s="10"/>
      <c r="DL550" s="10"/>
      <c r="DM550" s="10"/>
      <c r="DN550" s="10"/>
      <c r="DO550" s="10"/>
      <c r="DP550" s="10"/>
      <c r="DQ550" s="10"/>
      <c r="DR550" s="10"/>
      <c r="DS550" s="10"/>
      <c r="DT550" s="10"/>
      <c r="DU550" s="10"/>
      <c r="DV550" s="10"/>
      <c r="DW550" s="10"/>
      <c r="DX550" s="10"/>
      <c r="DY550" s="10"/>
      <c r="DZ550" s="10"/>
      <c r="EA550" s="10"/>
      <c r="EB550" s="10"/>
      <c r="EC550" s="10"/>
      <c r="ED550" s="10"/>
      <c r="EE550" s="10"/>
      <c r="EF550" s="10"/>
      <c r="EG550" s="10"/>
      <c r="EH550" s="10"/>
      <c r="EI550" s="10"/>
      <c r="EJ550" s="10"/>
      <c r="EK550" s="10"/>
      <c r="EL550" s="10"/>
      <c r="EM550" s="10"/>
      <c r="EN550" s="10"/>
      <c r="EO550" s="10"/>
      <c r="EP550" s="10"/>
      <c r="EQ550" s="10"/>
      <c r="ER550" s="10"/>
      <c r="ES550" s="10"/>
      <c r="ET550" s="10"/>
      <c r="EU550" s="10"/>
      <c r="EV550" s="10"/>
      <c r="EW550" s="10"/>
      <c r="EX550" s="10"/>
      <c r="EY550" s="10"/>
      <c r="EZ550" s="10"/>
      <c r="FA550" s="10"/>
      <c r="FB550" s="10"/>
      <c r="FC550" s="10"/>
      <c r="FD550" s="10"/>
      <c r="FE550" s="10"/>
      <c r="FF550" s="10"/>
      <c r="FG550" s="10"/>
      <c r="FH550" s="10"/>
      <c r="FI550" s="10"/>
      <c r="FJ550" s="10"/>
      <c r="FK550" s="10"/>
      <c r="FL550" s="10"/>
      <c r="FM550" s="10"/>
      <c r="FN550" s="10"/>
      <c r="FO550" s="10"/>
      <c r="FP550" s="10"/>
      <c r="FQ550" s="10"/>
      <c r="FR550" s="10"/>
      <c r="FS550" s="10"/>
      <c r="FT550" s="10"/>
      <c r="FU550" s="10"/>
      <c r="FV550" s="10"/>
      <c r="FW550" s="10"/>
      <c r="FX550" s="10"/>
      <c r="FY550" s="10"/>
      <c r="FZ550" s="10"/>
      <c r="GA550" s="10"/>
      <c r="GB550" s="10"/>
      <c r="GC550" s="10"/>
      <c r="GD550" s="10"/>
      <c r="GE550" s="10"/>
      <c r="GF550" s="10"/>
      <c r="GG550" s="10"/>
      <c r="GH550" s="10"/>
      <c r="GI550" s="10"/>
      <c r="GJ550" s="10"/>
      <c r="GK550" s="10"/>
    </row>
    <row r="551" customFormat="false" ht="12.75" hidden="false" customHeight="false" outlineLevel="0" collapsed="false">
      <c r="A551" s="7"/>
      <c r="B551" s="7"/>
      <c r="C551" s="8"/>
      <c r="D551" s="8"/>
      <c r="E551" s="8"/>
      <c r="F551" s="8"/>
      <c r="G551" s="9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  <c r="BS551" s="10"/>
      <c r="BT551" s="10"/>
      <c r="BU551" s="10"/>
      <c r="BV551" s="10"/>
      <c r="BW551" s="10"/>
      <c r="BX551" s="10"/>
      <c r="BY551" s="10"/>
      <c r="BZ551" s="10"/>
      <c r="CA551" s="10"/>
      <c r="CB551" s="10"/>
      <c r="CC551" s="10"/>
      <c r="CD551" s="10"/>
      <c r="CE551" s="10"/>
      <c r="CF551" s="10"/>
      <c r="CG551" s="10"/>
      <c r="CH551" s="10"/>
      <c r="CI551" s="10"/>
      <c r="CJ551" s="10"/>
      <c r="CK551" s="10"/>
      <c r="CL551" s="10"/>
      <c r="CM551" s="10"/>
      <c r="CN551" s="10"/>
      <c r="CO551" s="10"/>
      <c r="CP551" s="10"/>
      <c r="CQ551" s="10"/>
      <c r="CR551" s="10"/>
      <c r="CS551" s="10"/>
      <c r="CT551" s="10"/>
      <c r="CU551" s="10"/>
      <c r="CV551" s="10"/>
      <c r="CW551" s="10"/>
      <c r="CX551" s="10"/>
      <c r="CY551" s="10"/>
      <c r="CZ551" s="10"/>
      <c r="DA551" s="10"/>
      <c r="DB551" s="10"/>
      <c r="DC551" s="10"/>
      <c r="DD551" s="10"/>
      <c r="DE551" s="10"/>
      <c r="DF551" s="10"/>
      <c r="DG551" s="10"/>
      <c r="DH551" s="10"/>
      <c r="DI551" s="10"/>
      <c r="DJ551" s="10"/>
      <c r="DK551" s="10"/>
      <c r="DL551" s="10"/>
      <c r="DM551" s="10"/>
      <c r="DN551" s="10"/>
      <c r="DO551" s="10"/>
      <c r="DP551" s="10"/>
      <c r="DQ551" s="10"/>
      <c r="DR551" s="10"/>
      <c r="DS551" s="10"/>
      <c r="DT551" s="10"/>
      <c r="DU551" s="10"/>
      <c r="DV551" s="10"/>
      <c r="DW551" s="10"/>
      <c r="DX551" s="10"/>
      <c r="DY551" s="10"/>
      <c r="DZ551" s="10"/>
      <c r="EA551" s="10"/>
      <c r="EB551" s="10"/>
      <c r="EC551" s="10"/>
      <c r="ED551" s="10"/>
      <c r="EE551" s="10"/>
      <c r="EF551" s="10"/>
      <c r="EG551" s="10"/>
      <c r="EH551" s="10"/>
      <c r="EI551" s="10"/>
      <c r="EJ551" s="10"/>
      <c r="EK551" s="10"/>
      <c r="EL551" s="10"/>
      <c r="EM551" s="10"/>
      <c r="EN551" s="10"/>
      <c r="EO551" s="10"/>
      <c r="EP551" s="10"/>
      <c r="EQ551" s="10"/>
      <c r="ER551" s="10"/>
      <c r="ES551" s="10"/>
      <c r="ET551" s="10"/>
      <c r="EU551" s="10"/>
      <c r="EV551" s="10"/>
      <c r="EW551" s="10"/>
      <c r="EX551" s="10"/>
      <c r="EY551" s="10"/>
      <c r="EZ551" s="10"/>
      <c r="FA551" s="10"/>
      <c r="FB551" s="10"/>
      <c r="FC551" s="10"/>
      <c r="FD551" s="10"/>
      <c r="FE551" s="10"/>
      <c r="FF551" s="10"/>
      <c r="FG551" s="10"/>
      <c r="FH551" s="10"/>
      <c r="FI551" s="10"/>
      <c r="FJ551" s="10"/>
      <c r="FK551" s="10"/>
      <c r="FL551" s="10"/>
      <c r="FM551" s="10"/>
      <c r="FN551" s="10"/>
      <c r="FO551" s="10"/>
      <c r="FP551" s="10"/>
      <c r="FQ551" s="10"/>
      <c r="FR551" s="10"/>
      <c r="FS551" s="10"/>
      <c r="FT551" s="10"/>
      <c r="FU551" s="10"/>
      <c r="FV551" s="10"/>
      <c r="FW551" s="10"/>
      <c r="FX551" s="10"/>
      <c r="FY551" s="10"/>
      <c r="FZ551" s="10"/>
      <c r="GA551" s="10"/>
      <c r="GB551" s="10"/>
      <c r="GC551" s="10"/>
      <c r="GD551" s="10"/>
      <c r="GE551" s="10"/>
      <c r="GF551" s="10"/>
      <c r="GG551" s="10"/>
      <c r="GH551" s="10"/>
      <c r="GI551" s="10"/>
      <c r="GJ551" s="10"/>
      <c r="GK551" s="10"/>
    </row>
    <row r="552" customFormat="false" ht="12.75" hidden="false" customHeight="false" outlineLevel="0" collapsed="false">
      <c r="A552" s="7"/>
      <c r="B552" s="7"/>
      <c r="C552" s="8"/>
      <c r="D552" s="8"/>
      <c r="E552" s="8"/>
      <c r="F552" s="8"/>
      <c r="G552" s="9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  <c r="BS552" s="10"/>
      <c r="BT552" s="10"/>
      <c r="BU552" s="10"/>
      <c r="BV552" s="10"/>
      <c r="BW552" s="10"/>
      <c r="BX552" s="10"/>
      <c r="BY552" s="10"/>
      <c r="BZ552" s="10"/>
      <c r="CA552" s="10"/>
      <c r="CB552" s="10"/>
      <c r="CC552" s="10"/>
      <c r="CD552" s="10"/>
      <c r="CE552" s="10"/>
      <c r="CF552" s="10"/>
      <c r="CG552" s="10"/>
      <c r="CH552" s="10"/>
      <c r="CI552" s="10"/>
      <c r="CJ552" s="10"/>
      <c r="CK552" s="10"/>
      <c r="CL552" s="10"/>
      <c r="CM552" s="10"/>
      <c r="CN552" s="10"/>
      <c r="CO552" s="10"/>
      <c r="CP552" s="10"/>
      <c r="CQ552" s="10"/>
      <c r="CR552" s="10"/>
      <c r="CS552" s="10"/>
      <c r="CT552" s="10"/>
      <c r="CU552" s="10"/>
      <c r="CV552" s="10"/>
      <c r="CW552" s="10"/>
      <c r="CX552" s="10"/>
      <c r="CY552" s="10"/>
      <c r="CZ552" s="10"/>
      <c r="DA552" s="10"/>
      <c r="DB552" s="10"/>
      <c r="DC552" s="10"/>
      <c r="DD552" s="10"/>
      <c r="DE552" s="10"/>
      <c r="DF552" s="10"/>
      <c r="DG552" s="10"/>
      <c r="DH552" s="10"/>
      <c r="DI552" s="10"/>
      <c r="DJ552" s="10"/>
      <c r="DK552" s="10"/>
      <c r="DL552" s="10"/>
      <c r="DM552" s="10"/>
      <c r="DN552" s="10"/>
      <c r="DO552" s="10"/>
      <c r="DP552" s="10"/>
      <c r="DQ552" s="10"/>
      <c r="DR552" s="10"/>
      <c r="DS552" s="10"/>
      <c r="DT552" s="10"/>
      <c r="DU552" s="10"/>
      <c r="DV552" s="10"/>
      <c r="DW552" s="10"/>
      <c r="DX552" s="10"/>
      <c r="DY552" s="10"/>
      <c r="DZ552" s="10"/>
      <c r="EA552" s="10"/>
      <c r="EB552" s="10"/>
      <c r="EC552" s="10"/>
      <c r="ED552" s="10"/>
      <c r="EE552" s="10"/>
      <c r="EF552" s="10"/>
      <c r="EG552" s="10"/>
      <c r="EH552" s="10"/>
      <c r="EI552" s="10"/>
      <c r="EJ552" s="10"/>
      <c r="EK552" s="10"/>
      <c r="EL552" s="10"/>
      <c r="EM552" s="10"/>
      <c r="EN552" s="10"/>
      <c r="EO552" s="10"/>
      <c r="EP552" s="10"/>
      <c r="EQ552" s="10"/>
      <c r="ER552" s="10"/>
      <c r="ES552" s="10"/>
      <c r="ET552" s="10"/>
      <c r="EU552" s="10"/>
      <c r="EV552" s="10"/>
      <c r="EW552" s="10"/>
      <c r="EX552" s="10"/>
      <c r="EY552" s="10"/>
      <c r="EZ552" s="10"/>
      <c r="FA552" s="10"/>
      <c r="FB552" s="10"/>
      <c r="FC552" s="10"/>
      <c r="FD552" s="10"/>
      <c r="FE552" s="10"/>
      <c r="FF552" s="10"/>
      <c r="FG552" s="10"/>
      <c r="FH552" s="10"/>
      <c r="FI552" s="10"/>
      <c r="FJ552" s="10"/>
      <c r="FK552" s="10"/>
      <c r="FL552" s="10"/>
      <c r="FM552" s="10"/>
      <c r="FN552" s="10"/>
      <c r="FO552" s="10"/>
      <c r="FP552" s="10"/>
      <c r="FQ552" s="10"/>
      <c r="FR552" s="10"/>
      <c r="FS552" s="10"/>
      <c r="FT552" s="10"/>
      <c r="FU552" s="10"/>
      <c r="FV552" s="10"/>
      <c r="FW552" s="10"/>
      <c r="FX552" s="10"/>
      <c r="FY552" s="10"/>
      <c r="FZ552" s="10"/>
      <c r="GA552" s="10"/>
      <c r="GB552" s="10"/>
      <c r="GC552" s="10"/>
      <c r="GD552" s="10"/>
      <c r="GE552" s="10"/>
      <c r="GF552" s="10"/>
      <c r="GG552" s="10"/>
      <c r="GH552" s="10"/>
      <c r="GI552" s="10"/>
      <c r="GJ552" s="10"/>
      <c r="GK552" s="10"/>
    </row>
    <row r="553" customFormat="false" ht="12.75" hidden="false" customHeight="false" outlineLevel="0" collapsed="false">
      <c r="A553" s="7"/>
      <c r="B553" s="7"/>
      <c r="C553" s="8"/>
      <c r="D553" s="8"/>
      <c r="E553" s="8"/>
      <c r="F553" s="8"/>
      <c r="G553" s="9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  <c r="BS553" s="10"/>
      <c r="BT553" s="10"/>
      <c r="BU553" s="10"/>
      <c r="BV553" s="10"/>
      <c r="BW553" s="10"/>
      <c r="BX553" s="10"/>
      <c r="BY553" s="10"/>
      <c r="BZ553" s="10"/>
      <c r="CA553" s="10"/>
      <c r="CB553" s="10"/>
      <c r="CC553" s="10"/>
      <c r="CD553" s="10"/>
      <c r="CE553" s="10"/>
      <c r="CF553" s="10"/>
      <c r="CG553" s="10"/>
      <c r="CH553" s="10"/>
      <c r="CI553" s="10"/>
      <c r="CJ553" s="10"/>
      <c r="CK553" s="10"/>
      <c r="CL553" s="10"/>
      <c r="CM553" s="10"/>
      <c r="CN553" s="10"/>
      <c r="CO553" s="10"/>
      <c r="CP553" s="10"/>
      <c r="CQ553" s="10"/>
      <c r="CR553" s="10"/>
      <c r="CS553" s="10"/>
      <c r="CT553" s="10"/>
      <c r="CU553" s="10"/>
      <c r="CV553" s="10"/>
      <c r="CW553" s="10"/>
      <c r="CX553" s="10"/>
      <c r="CY553" s="10"/>
      <c r="CZ553" s="10"/>
      <c r="DA553" s="10"/>
      <c r="DB553" s="10"/>
      <c r="DC553" s="10"/>
      <c r="DD553" s="10"/>
      <c r="DE553" s="10"/>
      <c r="DF553" s="10"/>
      <c r="DG553" s="10"/>
      <c r="DH553" s="10"/>
      <c r="DI553" s="10"/>
      <c r="DJ553" s="10"/>
      <c r="DK553" s="10"/>
      <c r="DL553" s="10"/>
      <c r="DM553" s="10"/>
      <c r="DN553" s="10"/>
      <c r="DO553" s="10"/>
      <c r="DP553" s="10"/>
      <c r="DQ553" s="10"/>
      <c r="DR553" s="10"/>
      <c r="DS553" s="10"/>
      <c r="DT553" s="10"/>
      <c r="DU553" s="10"/>
      <c r="DV553" s="10"/>
      <c r="DW553" s="10"/>
      <c r="DX553" s="10"/>
      <c r="DY553" s="10"/>
      <c r="DZ553" s="10"/>
      <c r="EA553" s="10"/>
      <c r="EB553" s="10"/>
      <c r="EC553" s="10"/>
      <c r="ED553" s="10"/>
      <c r="EE553" s="10"/>
      <c r="EF553" s="10"/>
      <c r="EG553" s="10"/>
      <c r="EH553" s="10"/>
      <c r="EI553" s="10"/>
      <c r="EJ553" s="10"/>
      <c r="EK553" s="10"/>
      <c r="EL553" s="10"/>
      <c r="EM553" s="10"/>
      <c r="EN553" s="10"/>
      <c r="EO553" s="10"/>
      <c r="EP553" s="10"/>
      <c r="EQ553" s="10"/>
      <c r="ER553" s="10"/>
      <c r="ES553" s="10"/>
      <c r="ET553" s="10"/>
      <c r="EU553" s="10"/>
      <c r="EV553" s="10"/>
      <c r="EW553" s="10"/>
      <c r="EX553" s="10"/>
      <c r="EY553" s="10"/>
      <c r="EZ553" s="10"/>
      <c r="FA553" s="10"/>
      <c r="FB553" s="10"/>
      <c r="FC553" s="10"/>
      <c r="FD553" s="10"/>
      <c r="FE553" s="10"/>
      <c r="FF553" s="10"/>
      <c r="FG553" s="10"/>
      <c r="FH553" s="10"/>
      <c r="FI553" s="10"/>
      <c r="FJ553" s="10"/>
      <c r="FK553" s="10"/>
      <c r="FL553" s="10"/>
      <c r="FM553" s="10"/>
      <c r="FN553" s="10"/>
      <c r="FO553" s="10"/>
      <c r="FP553" s="10"/>
      <c r="FQ553" s="10"/>
      <c r="FR553" s="10"/>
      <c r="FS553" s="10"/>
      <c r="FT553" s="10"/>
      <c r="FU553" s="10"/>
      <c r="FV553" s="10"/>
      <c r="FW553" s="10"/>
      <c r="FX553" s="10"/>
      <c r="FY553" s="10"/>
      <c r="FZ553" s="10"/>
      <c r="GA553" s="10"/>
      <c r="GB553" s="10"/>
      <c r="GC553" s="10"/>
      <c r="GD553" s="10"/>
      <c r="GE553" s="10"/>
      <c r="GF553" s="10"/>
      <c r="GG553" s="10"/>
      <c r="GH553" s="10"/>
      <c r="GI553" s="10"/>
      <c r="GJ553" s="10"/>
      <c r="GK553" s="10"/>
    </row>
    <row r="554" customFormat="false" ht="12.75" hidden="false" customHeight="false" outlineLevel="0" collapsed="false">
      <c r="A554" s="7"/>
      <c r="B554" s="7"/>
      <c r="C554" s="8"/>
      <c r="D554" s="8"/>
      <c r="E554" s="8"/>
      <c r="F554" s="8"/>
      <c r="G554" s="9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0"/>
      <c r="BS554" s="10"/>
      <c r="BT554" s="10"/>
      <c r="BU554" s="10"/>
      <c r="BV554" s="10"/>
      <c r="BW554" s="10"/>
      <c r="BX554" s="10"/>
      <c r="BY554" s="10"/>
      <c r="BZ554" s="10"/>
      <c r="CA554" s="10"/>
      <c r="CB554" s="10"/>
      <c r="CC554" s="10"/>
      <c r="CD554" s="10"/>
      <c r="CE554" s="10"/>
      <c r="CF554" s="10"/>
      <c r="CG554" s="10"/>
      <c r="CH554" s="10"/>
      <c r="CI554" s="10"/>
      <c r="CJ554" s="10"/>
      <c r="CK554" s="10"/>
      <c r="CL554" s="10"/>
      <c r="CM554" s="10"/>
      <c r="CN554" s="10"/>
      <c r="CO554" s="10"/>
      <c r="CP554" s="10"/>
      <c r="CQ554" s="10"/>
      <c r="CR554" s="10"/>
      <c r="CS554" s="10"/>
      <c r="CT554" s="10"/>
      <c r="CU554" s="10"/>
      <c r="CV554" s="10"/>
      <c r="CW554" s="10"/>
      <c r="CX554" s="10"/>
      <c r="CY554" s="10"/>
      <c r="CZ554" s="10"/>
      <c r="DA554" s="10"/>
      <c r="DB554" s="10"/>
      <c r="DC554" s="10"/>
      <c r="DD554" s="10"/>
      <c r="DE554" s="10"/>
      <c r="DF554" s="10"/>
      <c r="DG554" s="10"/>
      <c r="DH554" s="10"/>
      <c r="DI554" s="10"/>
      <c r="DJ554" s="10"/>
      <c r="DK554" s="10"/>
      <c r="DL554" s="10"/>
      <c r="DM554" s="10"/>
      <c r="DN554" s="10"/>
      <c r="DO554" s="10"/>
      <c r="DP554" s="10"/>
      <c r="DQ554" s="10"/>
      <c r="DR554" s="10"/>
      <c r="DS554" s="10"/>
      <c r="DT554" s="10"/>
      <c r="DU554" s="10"/>
      <c r="DV554" s="10"/>
      <c r="DW554" s="10"/>
      <c r="DX554" s="10"/>
      <c r="DY554" s="10"/>
      <c r="DZ554" s="10"/>
      <c r="EA554" s="10"/>
      <c r="EB554" s="10"/>
      <c r="EC554" s="10"/>
      <c r="ED554" s="10"/>
      <c r="EE554" s="10"/>
      <c r="EF554" s="10"/>
      <c r="EG554" s="10"/>
      <c r="EH554" s="10"/>
      <c r="EI554" s="10"/>
      <c r="EJ554" s="10"/>
      <c r="EK554" s="10"/>
      <c r="EL554" s="10"/>
      <c r="EM554" s="10"/>
      <c r="EN554" s="10"/>
      <c r="EO554" s="10"/>
      <c r="EP554" s="10"/>
      <c r="EQ554" s="10"/>
      <c r="ER554" s="10"/>
      <c r="ES554" s="10"/>
      <c r="ET554" s="10"/>
      <c r="EU554" s="10"/>
      <c r="EV554" s="10"/>
      <c r="EW554" s="10"/>
      <c r="EX554" s="10"/>
      <c r="EY554" s="10"/>
      <c r="EZ554" s="10"/>
      <c r="FA554" s="10"/>
      <c r="FB554" s="10"/>
      <c r="FC554" s="10"/>
      <c r="FD554" s="10"/>
      <c r="FE554" s="10"/>
      <c r="FF554" s="10"/>
      <c r="FG554" s="10"/>
      <c r="FH554" s="10"/>
      <c r="FI554" s="10"/>
      <c r="FJ554" s="10"/>
      <c r="FK554" s="10"/>
      <c r="FL554" s="10"/>
      <c r="FM554" s="10"/>
      <c r="FN554" s="10"/>
      <c r="FO554" s="10"/>
      <c r="FP554" s="10"/>
      <c r="FQ554" s="10"/>
      <c r="FR554" s="10"/>
      <c r="FS554" s="10"/>
      <c r="FT554" s="10"/>
      <c r="FU554" s="10"/>
      <c r="FV554" s="10"/>
      <c r="FW554" s="10"/>
      <c r="FX554" s="10"/>
      <c r="FY554" s="10"/>
      <c r="FZ554" s="10"/>
      <c r="GA554" s="10"/>
      <c r="GB554" s="10"/>
      <c r="GC554" s="10"/>
      <c r="GD554" s="10"/>
      <c r="GE554" s="10"/>
      <c r="GF554" s="10"/>
      <c r="GG554" s="10"/>
      <c r="GH554" s="10"/>
      <c r="GI554" s="10"/>
      <c r="GJ554" s="10"/>
      <c r="GK554" s="10"/>
    </row>
    <row r="555" customFormat="false" ht="12.75" hidden="false" customHeight="false" outlineLevel="0" collapsed="false">
      <c r="A555" s="7"/>
      <c r="B555" s="7"/>
      <c r="C555" s="8"/>
      <c r="D555" s="8"/>
      <c r="E555" s="8"/>
      <c r="F555" s="8"/>
      <c r="G555" s="9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  <c r="BS555" s="10"/>
      <c r="BT555" s="10"/>
      <c r="BU555" s="10"/>
      <c r="BV555" s="10"/>
      <c r="BW555" s="10"/>
      <c r="BX555" s="10"/>
      <c r="BY555" s="10"/>
      <c r="BZ555" s="10"/>
      <c r="CA555" s="10"/>
      <c r="CB555" s="10"/>
      <c r="CC555" s="10"/>
      <c r="CD555" s="10"/>
      <c r="CE555" s="10"/>
      <c r="CF555" s="10"/>
      <c r="CG555" s="10"/>
      <c r="CH555" s="10"/>
      <c r="CI555" s="10"/>
      <c r="CJ555" s="10"/>
      <c r="CK555" s="10"/>
      <c r="CL555" s="10"/>
      <c r="CM555" s="10"/>
      <c r="CN555" s="10"/>
      <c r="CO555" s="10"/>
      <c r="CP555" s="10"/>
      <c r="CQ555" s="10"/>
      <c r="CR555" s="10"/>
      <c r="CS555" s="10"/>
      <c r="CT555" s="10"/>
      <c r="CU555" s="10"/>
      <c r="CV555" s="10"/>
      <c r="CW555" s="10"/>
      <c r="CX555" s="10"/>
      <c r="CY555" s="10"/>
      <c r="CZ555" s="10"/>
      <c r="DA555" s="10"/>
      <c r="DB555" s="10"/>
      <c r="DC555" s="10"/>
      <c r="DD555" s="10"/>
      <c r="DE555" s="10"/>
      <c r="DF555" s="10"/>
      <c r="DG555" s="10"/>
      <c r="DH555" s="10"/>
      <c r="DI555" s="10"/>
      <c r="DJ555" s="10"/>
      <c r="DK555" s="10"/>
      <c r="DL555" s="10"/>
      <c r="DM555" s="10"/>
      <c r="DN555" s="10"/>
      <c r="DO555" s="10"/>
      <c r="DP555" s="10"/>
      <c r="DQ555" s="10"/>
      <c r="DR555" s="10"/>
      <c r="DS555" s="10"/>
      <c r="DT555" s="10"/>
      <c r="DU555" s="10"/>
      <c r="DV555" s="10"/>
      <c r="DW555" s="10"/>
      <c r="DX555" s="10"/>
      <c r="DY555" s="10"/>
      <c r="DZ555" s="10"/>
      <c r="EA555" s="10"/>
      <c r="EB555" s="10"/>
      <c r="EC555" s="10"/>
      <c r="ED555" s="10"/>
      <c r="EE555" s="10"/>
      <c r="EF555" s="10"/>
      <c r="EG555" s="10"/>
      <c r="EH555" s="10"/>
      <c r="EI555" s="10"/>
      <c r="EJ555" s="10"/>
      <c r="EK555" s="10"/>
      <c r="EL555" s="10"/>
      <c r="EM555" s="10"/>
      <c r="EN555" s="10"/>
      <c r="EO555" s="10"/>
      <c r="EP555" s="10"/>
      <c r="EQ555" s="10"/>
      <c r="ER555" s="10"/>
      <c r="ES555" s="10"/>
      <c r="ET555" s="10"/>
      <c r="EU555" s="10"/>
      <c r="EV555" s="10"/>
      <c r="EW555" s="10"/>
      <c r="EX555" s="10"/>
      <c r="EY555" s="10"/>
      <c r="EZ555" s="10"/>
      <c r="FA555" s="10"/>
      <c r="FB555" s="10"/>
      <c r="FC555" s="10"/>
      <c r="FD555" s="10"/>
      <c r="FE555" s="10"/>
      <c r="FF555" s="10"/>
      <c r="FG555" s="10"/>
      <c r="FH555" s="10"/>
      <c r="FI555" s="10"/>
      <c r="FJ555" s="10"/>
      <c r="FK555" s="10"/>
      <c r="FL555" s="10"/>
      <c r="FM555" s="10"/>
      <c r="FN555" s="10"/>
      <c r="FO555" s="10"/>
      <c r="FP555" s="10"/>
      <c r="FQ555" s="10"/>
      <c r="FR555" s="10"/>
      <c r="FS555" s="10"/>
      <c r="FT555" s="10"/>
      <c r="FU555" s="10"/>
      <c r="FV555" s="10"/>
      <c r="FW555" s="10"/>
      <c r="FX555" s="10"/>
      <c r="FY555" s="10"/>
      <c r="FZ555" s="10"/>
      <c r="GA555" s="10"/>
      <c r="GB555" s="10"/>
      <c r="GC555" s="10"/>
      <c r="GD555" s="10"/>
      <c r="GE555" s="10"/>
      <c r="GF555" s="10"/>
      <c r="GG555" s="10"/>
      <c r="GH555" s="10"/>
      <c r="GI555" s="10"/>
      <c r="GJ555" s="10"/>
      <c r="GK555" s="10"/>
    </row>
    <row r="556" customFormat="false" ht="12.75" hidden="false" customHeight="false" outlineLevel="0" collapsed="false">
      <c r="A556" s="7"/>
      <c r="B556" s="7"/>
      <c r="C556" s="8"/>
      <c r="D556" s="8"/>
      <c r="E556" s="8"/>
      <c r="F556" s="8"/>
      <c r="G556" s="9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  <c r="BS556" s="10"/>
      <c r="BT556" s="10"/>
      <c r="BU556" s="10"/>
      <c r="BV556" s="10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  <c r="EM556" s="10"/>
      <c r="EN556" s="10"/>
      <c r="EO556" s="10"/>
      <c r="EP556" s="10"/>
      <c r="EQ556" s="10"/>
      <c r="ER556" s="10"/>
      <c r="ES556" s="10"/>
      <c r="ET556" s="10"/>
      <c r="EU556" s="10"/>
      <c r="EV556" s="10"/>
      <c r="EW556" s="10"/>
      <c r="EX556" s="10"/>
      <c r="EY556" s="10"/>
      <c r="EZ556" s="10"/>
      <c r="FA556" s="10"/>
      <c r="FB556" s="10"/>
      <c r="FC556" s="10"/>
      <c r="FD556" s="10"/>
      <c r="FE556" s="10"/>
      <c r="FF556" s="10"/>
      <c r="FG556" s="10"/>
      <c r="FH556" s="10"/>
      <c r="FI556" s="10"/>
      <c r="FJ556" s="10"/>
      <c r="FK556" s="10"/>
      <c r="FL556" s="10"/>
      <c r="FM556" s="10"/>
      <c r="FN556" s="10"/>
      <c r="FO556" s="10"/>
      <c r="FP556" s="10"/>
      <c r="FQ556" s="10"/>
      <c r="FR556" s="10"/>
      <c r="FS556" s="10"/>
      <c r="FT556" s="10"/>
      <c r="FU556" s="10"/>
      <c r="FV556" s="10"/>
      <c r="FW556" s="10"/>
      <c r="FX556" s="10"/>
      <c r="FY556" s="10"/>
      <c r="FZ556" s="10"/>
      <c r="GA556" s="10"/>
      <c r="GB556" s="10"/>
      <c r="GC556" s="10"/>
      <c r="GD556" s="10"/>
      <c r="GE556" s="10"/>
      <c r="GF556" s="10"/>
      <c r="GG556" s="10"/>
      <c r="GH556" s="10"/>
      <c r="GI556" s="10"/>
      <c r="GJ556" s="10"/>
      <c r="GK556" s="10"/>
    </row>
    <row r="557" customFormat="false" ht="12.75" hidden="false" customHeight="false" outlineLevel="0" collapsed="false">
      <c r="A557" s="7"/>
      <c r="B557" s="7"/>
      <c r="C557" s="8"/>
      <c r="D557" s="8"/>
      <c r="E557" s="8"/>
      <c r="F557" s="8"/>
      <c r="G557" s="9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  <c r="BS557" s="10"/>
      <c r="BT557" s="10"/>
      <c r="BU557" s="10"/>
      <c r="BV557" s="10"/>
      <c r="BW557" s="10"/>
      <c r="BX557" s="10"/>
      <c r="BY557" s="10"/>
      <c r="BZ557" s="10"/>
      <c r="CA557" s="10"/>
      <c r="CB557" s="10"/>
      <c r="CC557" s="10"/>
      <c r="CD557" s="10"/>
      <c r="CE557" s="10"/>
      <c r="CF557" s="10"/>
      <c r="CG557" s="10"/>
      <c r="CH557" s="10"/>
      <c r="CI557" s="10"/>
      <c r="CJ557" s="10"/>
      <c r="CK557" s="10"/>
      <c r="CL557" s="10"/>
      <c r="CM557" s="10"/>
      <c r="CN557" s="10"/>
      <c r="CO557" s="10"/>
      <c r="CP557" s="10"/>
      <c r="CQ557" s="10"/>
      <c r="CR557" s="10"/>
      <c r="CS557" s="10"/>
      <c r="CT557" s="10"/>
      <c r="CU557" s="10"/>
      <c r="CV557" s="10"/>
      <c r="CW557" s="10"/>
      <c r="CX557" s="10"/>
      <c r="CY557" s="10"/>
      <c r="CZ557" s="10"/>
      <c r="DA557" s="10"/>
      <c r="DB557" s="10"/>
      <c r="DC557" s="10"/>
      <c r="DD557" s="10"/>
      <c r="DE557" s="10"/>
      <c r="DF557" s="10"/>
      <c r="DG557" s="10"/>
      <c r="DH557" s="10"/>
      <c r="DI557" s="10"/>
      <c r="DJ557" s="10"/>
      <c r="DK557" s="10"/>
      <c r="DL557" s="10"/>
      <c r="DM557" s="10"/>
      <c r="DN557" s="10"/>
      <c r="DO557" s="10"/>
      <c r="DP557" s="10"/>
      <c r="DQ557" s="10"/>
      <c r="DR557" s="10"/>
      <c r="DS557" s="10"/>
      <c r="DT557" s="10"/>
      <c r="DU557" s="10"/>
      <c r="DV557" s="10"/>
      <c r="DW557" s="10"/>
      <c r="DX557" s="10"/>
      <c r="DY557" s="10"/>
      <c r="DZ557" s="10"/>
      <c r="EA557" s="10"/>
      <c r="EB557" s="10"/>
      <c r="EC557" s="10"/>
      <c r="ED557" s="10"/>
      <c r="EE557" s="10"/>
      <c r="EF557" s="10"/>
      <c r="EG557" s="10"/>
      <c r="EH557" s="10"/>
      <c r="EI557" s="10"/>
      <c r="EJ557" s="10"/>
      <c r="EK557" s="10"/>
      <c r="EL557" s="10"/>
      <c r="EM557" s="10"/>
      <c r="EN557" s="10"/>
      <c r="EO557" s="10"/>
      <c r="EP557" s="10"/>
      <c r="EQ557" s="10"/>
      <c r="ER557" s="10"/>
      <c r="ES557" s="10"/>
      <c r="ET557" s="10"/>
      <c r="EU557" s="10"/>
      <c r="EV557" s="10"/>
      <c r="EW557" s="10"/>
      <c r="EX557" s="10"/>
      <c r="EY557" s="10"/>
      <c r="EZ557" s="10"/>
      <c r="FA557" s="10"/>
      <c r="FB557" s="10"/>
      <c r="FC557" s="10"/>
      <c r="FD557" s="10"/>
      <c r="FE557" s="10"/>
      <c r="FF557" s="10"/>
      <c r="FG557" s="10"/>
      <c r="FH557" s="10"/>
      <c r="FI557" s="10"/>
      <c r="FJ557" s="10"/>
      <c r="FK557" s="10"/>
      <c r="FL557" s="10"/>
      <c r="FM557" s="10"/>
      <c r="FN557" s="10"/>
      <c r="FO557" s="10"/>
      <c r="FP557" s="10"/>
      <c r="FQ557" s="10"/>
      <c r="FR557" s="10"/>
      <c r="FS557" s="10"/>
      <c r="FT557" s="10"/>
      <c r="FU557" s="10"/>
      <c r="FV557" s="10"/>
      <c r="FW557" s="10"/>
      <c r="FX557" s="10"/>
      <c r="FY557" s="10"/>
      <c r="FZ557" s="10"/>
      <c r="GA557" s="10"/>
      <c r="GB557" s="10"/>
      <c r="GC557" s="10"/>
      <c r="GD557" s="10"/>
      <c r="GE557" s="10"/>
      <c r="GF557" s="10"/>
      <c r="GG557" s="10"/>
      <c r="GH557" s="10"/>
      <c r="GI557" s="10"/>
      <c r="GJ557" s="10"/>
      <c r="GK557" s="10"/>
    </row>
    <row r="558" customFormat="false" ht="12.75" hidden="false" customHeight="false" outlineLevel="0" collapsed="false">
      <c r="A558" s="7"/>
      <c r="B558" s="7"/>
      <c r="C558" s="8"/>
      <c r="D558" s="8"/>
      <c r="E558" s="8"/>
      <c r="F558" s="8"/>
      <c r="G558" s="9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  <c r="BT558" s="10"/>
      <c r="BU558" s="10"/>
      <c r="BV558" s="10"/>
      <c r="BW558" s="10"/>
      <c r="BX558" s="10"/>
      <c r="BY558" s="10"/>
      <c r="BZ558" s="10"/>
      <c r="CA558" s="10"/>
      <c r="CB558" s="10"/>
      <c r="CC558" s="10"/>
      <c r="CD558" s="10"/>
      <c r="CE558" s="10"/>
      <c r="CF558" s="10"/>
      <c r="CG558" s="10"/>
      <c r="CH558" s="10"/>
      <c r="CI558" s="10"/>
      <c r="CJ558" s="10"/>
      <c r="CK558" s="10"/>
      <c r="CL558" s="10"/>
      <c r="CM558" s="10"/>
      <c r="CN558" s="10"/>
      <c r="CO558" s="10"/>
      <c r="CP558" s="10"/>
      <c r="CQ558" s="10"/>
      <c r="CR558" s="10"/>
      <c r="CS558" s="10"/>
      <c r="CT558" s="10"/>
      <c r="CU558" s="10"/>
      <c r="CV558" s="10"/>
      <c r="CW558" s="10"/>
      <c r="CX558" s="10"/>
      <c r="CY558" s="10"/>
      <c r="CZ558" s="10"/>
      <c r="DA558" s="10"/>
      <c r="DB558" s="10"/>
      <c r="DC558" s="10"/>
      <c r="DD558" s="10"/>
      <c r="DE558" s="10"/>
      <c r="DF558" s="10"/>
      <c r="DG558" s="10"/>
      <c r="DH558" s="10"/>
      <c r="DI558" s="10"/>
      <c r="DJ558" s="10"/>
      <c r="DK558" s="10"/>
      <c r="DL558" s="10"/>
      <c r="DM558" s="10"/>
      <c r="DN558" s="10"/>
      <c r="DO558" s="10"/>
      <c r="DP558" s="10"/>
      <c r="DQ558" s="10"/>
      <c r="DR558" s="10"/>
      <c r="DS558" s="10"/>
      <c r="DT558" s="10"/>
      <c r="DU558" s="10"/>
      <c r="DV558" s="10"/>
      <c r="DW558" s="10"/>
      <c r="DX558" s="10"/>
      <c r="DY558" s="10"/>
      <c r="DZ558" s="10"/>
      <c r="EA558" s="10"/>
      <c r="EB558" s="10"/>
      <c r="EC558" s="10"/>
      <c r="ED558" s="10"/>
      <c r="EE558" s="10"/>
      <c r="EF558" s="10"/>
      <c r="EG558" s="10"/>
      <c r="EH558" s="10"/>
      <c r="EI558" s="10"/>
      <c r="EJ558" s="10"/>
      <c r="EK558" s="10"/>
      <c r="EL558" s="10"/>
      <c r="EM558" s="10"/>
      <c r="EN558" s="10"/>
      <c r="EO558" s="10"/>
      <c r="EP558" s="10"/>
      <c r="EQ558" s="10"/>
      <c r="ER558" s="10"/>
      <c r="ES558" s="10"/>
      <c r="ET558" s="10"/>
      <c r="EU558" s="10"/>
      <c r="EV558" s="10"/>
      <c r="EW558" s="10"/>
      <c r="EX558" s="10"/>
      <c r="EY558" s="10"/>
      <c r="EZ558" s="10"/>
      <c r="FA558" s="10"/>
      <c r="FB558" s="10"/>
      <c r="FC558" s="10"/>
      <c r="FD558" s="10"/>
      <c r="FE558" s="10"/>
      <c r="FF558" s="10"/>
      <c r="FG558" s="10"/>
      <c r="FH558" s="10"/>
      <c r="FI558" s="10"/>
      <c r="FJ558" s="10"/>
      <c r="FK558" s="10"/>
      <c r="FL558" s="10"/>
      <c r="FM558" s="10"/>
      <c r="FN558" s="10"/>
      <c r="FO558" s="10"/>
      <c r="FP558" s="10"/>
      <c r="FQ558" s="10"/>
      <c r="FR558" s="10"/>
      <c r="FS558" s="10"/>
      <c r="FT558" s="10"/>
      <c r="FU558" s="10"/>
      <c r="FV558" s="10"/>
      <c r="FW558" s="10"/>
      <c r="FX558" s="10"/>
      <c r="FY558" s="10"/>
      <c r="FZ558" s="10"/>
      <c r="GA558" s="10"/>
      <c r="GB558" s="10"/>
      <c r="GC558" s="10"/>
      <c r="GD558" s="10"/>
      <c r="GE558" s="10"/>
      <c r="GF558" s="10"/>
      <c r="GG558" s="10"/>
      <c r="GH558" s="10"/>
      <c r="GI558" s="10"/>
      <c r="GJ558" s="10"/>
      <c r="GK558" s="10"/>
    </row>
    <row r="559" customFormat="false" ht="12.75" hidden="false" customHeight="false" outlineLevel="0" collapsed="false">
      <c r="A559" s="7"/>
      <c r="B559" s="7"/>
      <c r="C559" s="8"/>
      <c r="D559" s="8"/>
      <c r="E559" s="8"/>
      <c r="F559" s="8"/>
      <c r="G559" s="9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  <c r="BS559" s="10"/>
      <c r="BT559" s="10"/>
      <c r="BU559" s="10"/>
      <c r="BV559" s="10"/>
      <c r="BW559" s="10"/>
      <c r="BX559" s="10"/>
      <c r="BY559" s="10"/>
      <c r="BZ559" s="10"/>
      <c r="CA559" s="10"/>
      <c r="CB559" s="10"/>
      <c r="CC559" s="10"/>
      <c r="CD559" s="10"/>
      <c r="CE559" s="10"/>
      <c r="CF559" s="10"/>
      <c r="CG559" s="10"/>
      <c r="CH559" s="10"/>
      <c r="CI559" s="10"/>
      <c r="CJ559" s="10"/>
      <c r="CK559" s="10"/>
      <c r="CL559" s="10"/>
      <c r="CM559" s="10"/>
      <c r="CN559" s="10"/>
      <c r="CO559" s="10"/>
      <c r="CP559" s="10"/>
      <c r="CQ559" s="10"/>
      <c r="CR559" s="10"/>
      <c r="CS559" s="10"/>
      <c r="CT559" s="10"/>
      <c r="CU559" s="10"/>
      <c r="CV559" s="10"/>
      <c r="CW559" s="10"/>
      <c r="CX559" s="10"/>
      <c r="CY559" s="10"/>
      <c r="CZ559" s="10"/>
      <c r="DA559" s="10"/>
      <c r="DB559" s="10"/>
      <c r="DC559" s="10"/>
      <c r="DD559" s="10"/>
      <c r="DE559" s="10"/>
      <c r="DF559" s="10"/>
      <c r="DG559" s="10"/>
      <c r="DH559" s="10"/>
      <c r="DI559" s="10"/>
      <c r="DJ559" s="10"/>
      <c r="DK559" s="10"/>
      <c r="DL559" s="10"/>
      <c r="DM559" s="10"/>
      <c r="DN559" s="10"/>
      <c r="DO559" s="10"/>
      <c r="DP559" s="10"/>
      <c r="DQ559" s="10"/>
      <c r="DR559" s="10"/>
      <c r="DS559" s="10"/>
      <c r="DT559" s="10"/>
      <c r="DU559" s="10"/>
      <c r="DV559" s="10"/>
      <c r="DW559" s="10"/>
      <c r="DX559" s="10"/>
      <c r="DY559" s="10"/>
      <c r="DZ559" s="10"/>
      <c r="EA559" s="10"/>
      <c r="EB559" s="10"/>
      <c r="EC559" s="10"/>
      <c r="ED559" s="10"/>
      <c r="EE559" s="10"/>
      <c r="EF559" s="10"/>
      <c r="EG559" s="10"/>
      <c r="EH559" s="10"/>
      <c r="EI559" s="10"/>
      <c r="EJ559" s="10"/>
      <c r="EK559" s="10"/>
      <c r="EL559" s="10"/>
      <c r="EM559" s="10"/>
      <c r="EN559" s="10"/>
      <c r="EO559" s="10"/>
      <c r="EP559" s="10"/>
      <c r="EQ559" s="10"/>
      <c r="ER559" s="10"/>
      <c r="ES559" s="10"/>
      <c r="ET559" s="10"/>
      <c r="EU559" s="10"/>
      <c r="EV559" s="10"/>
      <c r="EW559" s="10"/>
      <c r="EX559" s="10"/>
      <c r="EY559" s="10"/>
      <c r="EZ559" s="10"/>
      <c r="FA559" s="10"/>
      <c r="FB559" s="10"/>
      <c r="FC559" s="10"/>
      <c r="FD559" s="10"/>
      <c r="FE559" s="10"/>
      <c r="FF559" s="10"/>
      <c r="FG559" s="10"/>
      <c r="FH559" s="10"/>
      <c r="FI559" s="10"/>
      <c r="FJ559" s="10"/>
      <c r="FK559" s="10"/>
      <c r="FL559" s="10"/>
      <c r="FM559" s="10"/>
      <c r="FN559" s="10"/>
      <c r="FO559" s="10"/>
      <c r="FP559" s="10"/>
      <c r="FQ559" s="10"/>
      <c r="FR559" s="10"/>
      <c r="FS559" s="10"/>
      <c r="FT559" s="10"/>
      <c r="FU559" s="10"/>
      <c r="FV559" s="10"/>
      <c r="FW559" s="10"/>
      <c r="FX559" s="10"/>
      <c r="FY559" s="10"/>
      <c r="FZ559" s="10"/>
      <c r="GA559" s="10"/>
      <c r="GB559" s="10"/>
      <c r="GC559" s="10"/>
      <c r="GD559" s="10"/>
      <c r="GE559" s="10"/>
      <c r="GF559" s="10"/>
      <c r="GG559" s="10"/>
      <c r="GH559" s="10"/>
      <c r="GI559" s="10"/>
      <c r="GJ559" s="10"/>
      <c r="GK559" s="10"/>
    </row>
    <row r="560" customFormat="false" ht="12.75" hidden="false" customHeight="false" outlineLevel="0" collapsed="false">
      <c r="A560" s="7"/>
      <c r="B560" s="7"/>
      <c r="C560" s="8"/>
      <c r="D560" s="8"/>
      <c r="E560" s="8"/>
      <c r="F560" s="8"/>
      <c r="G560" s="9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/>
      <c r="BT560" s="10"/>
      <c r="BU560" s="10"/>
      <c r="BV560" s="10"/>
      <c r="BW560" s="10"/>
      <c r="BX560" s="10"/>
      <c r="BY560" s="10"/>
      <c r="BZ560" s="10"/>
      <c r="CA560" s="10"/>
      <c r="CB560" s="10"/>
      <c r="CC560" s="10"/>
      <c r="CD560" s="10"/>
      <c r="CE560" s="10"/>
      <c r="CF560" s="10"/>
      <c r="CG560" s="10"/>
      <c r="CH560" s="10"/>
      <c r="CI560" s="10"/>
      <c r="CJ560" s="10"/>
      <c r="CK560" s="10"/>
      <c r="CL560" s="10"/>
      <c r="CM560" s="10"/>
      <c r="CN560" s="10"/>
      <c r="CO560" s="10"/>
      <c r="CP560" s="10"/>
      <c r="CQ560" s="10"/>
      <c r="CR560" s="10"/>
      <c r="CS560" s="10"/>
      <c r="CT560" s="10"/>
      <c r="CU560" s="10"/>
      <c r="CV560" s="10"/>
      <c r="CW560" s="10"/>
      <c r="CX560" s="10"/>
      <c r="CY560" s="10"/>
      <c r="CZ560" s="10"/>
      <c r="DA560" s="10"/>
      <c r="DB560" s="10"/>
      <c r="DC560" s="10"/>
      <c r="DD560" s="10"/>
      <c r="DE560" s="10"/>
      <c r="DF560" s="10"/>
      <c r="DG560" s="10"/>
      <c r="DH560" s="10"/>
      <c r="DI560" s="10"/>
      <c r="DJ560" s="10"/>
      <c r="DK560" s="10"/>
      <c r="DL560" s="10"/>
      <c r="DM560" s="10"/>
      <c r="DN560" s="10"/>
      <c r="DO560" s="10"/>
      <c r="DP560" s="10"/>
      <c r="DQ560" s="10"/>
      <c r="DR560" s="10"/>
      <c r="DS560" s="10"/>
      <c r="DT560" s="10"/>
      <c r="DU560" s="10"/>
      <c r="DV560" s="10"/>
      <c r="DW560" s="10"/>
      <c r="DX560" s="10"/>
      <c r="DY560" s="10"/>
      <c r="DZ560" s="10"/>
      <c r="EA560" s="10"/>
      <c r="EB560" s="10"/>
      <c r="EC560" s="10"/>
      <c r="ED560" s="10"/>
      <c r="EE560" s="10"/>
      <c r="EF560" s="10"/>
      <c r="EG560" s="10"/>
      <c r="EH560" s="10"/>
      <c r="EI560" s="10"/>
      <c r="EJ560" s="10"/>
      <c r="EK560" s="10"/>
      <c r="EL560" s="10"/>
      <c r="EM560" s="10"/>
      <c r="EN560" s="10"/>
      <c r="EO560" s="10"/>
      <c r="EP560" s="10"/>
      <c r="EQ560" s="10"/>
      <c r="ER560" s="10"/>
      <c r="ES560" s="10"/>
      <c r="ET560" s="10"/>
      <c r="EU560" s="10"/>
      <c r="EV560" s="10"/>
      <c r="EW560" s="10"/>
      <c r="EX560" s="10"/>
      <c r="EY560" s="10"/>
      <c r="EZ560" s="10"/>
      <c r="FA560" s="10"/>
      <c r="FB560" s="10"/>
      <c r="FC560" s="10"/>
      <c r="FD560" s="10"/>
      <c r="FE560" s="10"/>
      <c r="FF560" s="10"/>
      <c r="FG560" s="10"/>
      <c r="FH560" s="10"/>
      <c r="FI560" s="10"/>
      <c r="FJ560" s="10"/>
      <c r="FK560" s="10"/>
      <c r="FL560" s="10"/>
      <c r="FM560" s="10"/>
      <c r="FN560" s="10"/>
      <c r="FO560" s="10"/>
      <c r="FP560" s="10"/>
      <c r="FQ560" s="10"/>
      <c r="FR560" s="10"/>
      <c r="FS560" s="10"/>
      <c r="FT560" s="10"/>
      <c r="FU560" s="10"/>
      <c r="FV560" s="10"/>
      <c r="FW560" s="10"/>
      <c r="FX560" s="10"/>
      <c r="FY560" s="10"/>
      <c r="FZ560" s="10"/>
      <c r="GA560" s="10"/>
      <c r="GB560" s="10"/>
      <c r="GC560" s="10"/>
      <c r="GD560" s="10"/>
      <c r="GE560" s="10"/>
      <c r="GF560" s="10"/>
      <c r="GG560" s="10"/>
      <c r="GH560" s="10"/>
      <c r="GI560" s="10"/>
      <c r="GJ560" s="10"/>
      <c r="GK560" s="10"/>
    </row>
    <row r="561" customFormat="false" ht="12.75" hidden="false" customHeight="false" outlineLevel="0" collapsed="false">
      <c r="A561" s="7"/>
      <c r="B561" s="7"/>
      <c r="C561" s="8"/>
      <c r="D561" s="8"/>
      <c r="E561" s="8"/>
      <c r="F561" s="8"/>
      <c r="G561" s="9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  <c r="BT561" s="10"/>
      <c r="BU561" s="10"/>
      <c r="BV561" s="10"/>
      <c r="BW561" s="10"/>
      <c r="BX561" s="10"/>
      <c r="BY561" s="10"/>
      <c r="BZ561" s="10"/>
      <c r="CA561" s="10"/>
      <c r="CB561" s="10"/>
      <c r="CC561" s="10"/>
      <c r="CD561" s="10"/>
      <c r="CE561" s="10"/>
      <c r="CF561" s="10"/>
      <c r="CG561" s="10"/>
      <c r="CH561" s="10"/>
      <c r="CI561" s="10"/>
      <c r="CJ561" s="10"/>
      <c r="CK561" s="10"/>
      <c r="CL561" s="10"/>
      <c r="CM561" s="10"/>
      <c r="CN561" s="10"/>
      <c r="CO561" s="10"/>
      <c r="CP561" s="10"/>
      <c r="CQ561" s="10"/>
      <c r="CR561" s="10"/>
      <c r="CS561" s="10"/>
      <c r="CT561" s="10"/>
      <c r="CU561" s="10"/>
      <c r="CV561" s="10"/>
      <c r="CW561" s="10"/>
      <c r="CX561" s="10"/>
      <c r="CY561" s="10"/>
      <c r="CZ561" s="10"/>
      <c r="DA561" s="10"/>
      <c r="DB561" s="10"/>
      <c r="DC561" s="10"/>
      <c r="DD561" s="10"/>
      <c r="DE561" s="10"/>
      <c r="DF561" s="10"/>
      <c r="DG561" s="10"/>
      <c r="DH561" s="10"/>
      <c r="DI561" s="10"/>
      <c r="DJ561" s="10"/>
      <c r="DK561" s="10"/>
      <c r="DL561" s="10"/>
      <c r="DM561" s="10"/>
      <c r="DN561" s="10"/>
      <c r="DO561" s="10"/>
      <c r="DP561" s="10"/>
      <c r="DQ561" s="10"/>
      <c r="DR561" s="10"/>
      <c r="DS561" s="10"/>
      <c r="DT561" s="10"/>
      <c r="DU561" s="10"/>
      <c r="DV561" s="10"/>
      <c r="DW561" s="10"/>
      <c r="DX561" s="10"/>
      <c r="DY561" s="10"/>
      <c r="DZ561" s="10"/>
      <c r="EA561" s="10"/>
      <c r="EB561" s="10"/>
      <c r="EC561" s="10"/>
      <c r="ED561" s="10"/>
      <c r="EE561" s="10"/>
      <c r="EF561" s="10"/>
      <c r="EG561" s="10"/>
      <c r="EH561" s="10"/>
      <c r="EI561" s="10"/>
      <c r="EJ561" s="10"/>
      <c r="EK561" s="10"/>
      <c r="EL561" s="10"/>
      <c r="EM561" s="10"/>
      <c r="EN561" s="10"/>
      <c r="EO561" s="10"/>
      <c r="EP561" s="10"/>
      <c r="EQ561" s="10"/>
      <c r="ER561" s="10"/>
      <c r="ES561" s="10"/>
      <c r="ET561" s="10"/>
      <c r="EU561" s="10"/>
      <c r="EV561" s="10"/>
      <c r="EW561" s="10"/>
      <c r="EX561" s="10"/>
      <c r="EY561" s="10"/>
      <c r="EZ561" s="10"/>
      <c r="FA561" s="10"/>
      <c r="FB561" s="10"/>
      <c r="FC561" s="10"/>
      <c r="FD561" s="10"/>
      <c r="FE561" s="10"/>
      <c r="FF561" s="10"/>
      <c r="FG561" s="10"/>
      <c r="FH561" s="10"/>
      <c r="FI561" s="10"/>
      <c r="FJ561" s="10"/>
      <c r="FK561" s="10"/>
      <c r="FL561" s="10"/>
      <c r="FM561" s="10"/>
      <c r="FN561" s="10"/>
      <c r="FO561" s="10"/>
      <c r="FP561" s="10"/>
      <c r="FQ561" s="10"/>
      <c r="FR561" s="10"/>
      <c r="FS561" s="10"/>
      <c r="FT561" s="10"/>
      <c r="FU561" s="10"/>
      <c r="FV561" s="10"/>
      <c r="FW561" s="10"/>
      <c r="FX561" s="10"/>
      <c r="FY561" s="10"/>
      <c r="FZ561" s="10"/>
      <c r="GA561" s="10"/>
      <c r="GB561" s="10"/>
      <c r="GC561" s="10"/>
      <c r="GD561" s="10"/>
      <c r="GE561" s="10"/>
      <c r="GF561" s="10"/>
      <c r="GG561" s="10"/>
      <c r="GH561" s="10"/>
      <c r="GI561" s="10"/>
      <c r="GJ561" s="10"/>
      <c r="GK561" s="10"/>
    </row>
    <row r="562" customFormat="false" ht="12.75" hidden="false" customHeight="false" outlineLevel="0" collapsed="false">
      <c r="A562" s="7"/>
      <c r="B562" s="7"/>
      <c r="C562" s="8"/>
      <c r="D562" s="8"/>
      <c r="E562" s="8"/>
      <c r="F562" s="8"/>
      <c r="G562" s="9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  <c r="BS562" s="10"/>
      <c r="BT562" s="10"/>
      <c r="BU562" s="10"/>
      <c r="BV562" s="10"/>
      <c r="BW562" s="10"/>
      <c r="BX562" s="10"/>
      <c r="BY562" s="10"/>
      <c r="BZ562" s="10"/>
      <c r="CA562" s="10"/>
      <c r="CB562" s="10"/>
      <c r="CC562" s="10"/>
      <c r="CD562" s="10"/>
      <c r="CE562" s="10"/>
      <c r="CF562" s="10"/>
      <c r="CG562" s="10"/>
      <c r="CH562" s="10"/>
      <c r="CI562" s="10"/>
      <c r="CJ562" s="10"/>
      <c r="CK562" s="10"/>
      <c r="CL562" s="10"/>
      <c r="CM562" s="10"/>
      <c r="CN562" s="10"/>
      <c r="CO562" s="10"/>
      <c r="CP562" s="10"/>
      <c r="CQ562" s="10"/>
      <c r="CR562" s="10"/>
      <c r="CS562" s="10"/>
      <c r="CT562" s="10"/>
      <c r="CU562" s="10"/>
      <c r="CV562" s="10"/>
      <c r="CW562" s="10"/>
      <c r="CX562" s="10"/>
      <c r="CY562" s="10"/>
      <c r="CZ562" s="10"/>
      <c r="DA562" s="10"/>
      <c r="DB562" s="10"/>
      <c r="DC562" s="10"/>
      <c r="DD562" s="10"/>
      <c r="DE562" s="10"/>
      <c r="DF562" s="10"/>
      <c r="DG562" s="10"/>
      <c r="DH562" s="10"/>
      <c r="DI562" s="10"/>
      <c r="DJ562" s="10"/>
      <c r="DK562" s="10"/>
      <c r="DL562" s="10"/>
      <c r="DM562" s="10"/>
      <c r="DN562" s="10"/>
      <c r="DO562" s="10"/>
      <c r="DP562" s="10"/>
      <c r="DQ562" s="10"/>
      <c r="DR562" s="10"/>
      <c r="DS562" s="10"/>
      <c r="DT562" s="10"/>
      <c r="DU562" s="10"/>
      <c r="DV562" s="10"/>
      <c r="DW562" s="10"/>
      <c r="DX562" s="10"/>
      <c r="DY562" s="10"/>
      <c r="DZ562" s="10"/>
      <c r="EA562" s="10"/>
      <c r="EB562" s="10"/>
      <c r="EC562" s="10"/>
      <c r="ED562" s="10"/>
      <c r="EE562" s="10"/>
      <c r="EF562" s="10"/>
      <c r="EG562" s="10"/>
      <c r="EH562" s="10"/>
      <c r="EI562" s="10"/>
      <c r="EJ562" s="10"/>
      <c r="EK562" s="10"/>
      <c r="EL562" s="10"/>
      <c r="EM562" s="10"/>
      <c r="EN562" s="10"/>
      <c r="EO562" s="10"/>
      <c r="EP562" s="10"/>
      <c r="EQ562" s="10"/>
      <c r="ER562" s="10"/>
      <c r="ES562" s="10"/>
      <c r="ET562" s="10"/>
      <c r="EU562" s="10"/>
      <c r="EV562" s="10"/>
      <c r="EW562" s="10"/>
      <c r="EX562" s="10"/>
      <c r="EY562" s="10"/>
      <c r="EZ562" s="10"/>
      <c r="FA562" s="10"/>
      <c r="FB562" s="10"/>
      <c r="FC562" s="10"/>
      <c r="FD562" s="10"/>
      <c r="FE562" s="10"/>
      <c r="FF562" s="10"/>
      <c r="FG562" s="10"/>
      <c r="FH562" s="10"/>
      <c r="FI562" s="10"/>
      <c r="FJ562" s="10"/>
      <c r="FK562" s="10"/>
      <c r="FL562" s="10"/>
      <c r="FM562" s="10"/>
      <c r="FN562" s="10"/>
      <c r="FO562" s="10"/>
      <c r="FP562" s="10"/>
      <c r="FQ562" s="10"/>
      <c r="FR562" s="10"/>
      <c r="FS562" s="10"/>
      <c r="FT562" s="10"/>
      <c r="FU562" s="10"/>
      <c r="FV562" s="10"/>
      <c r="FW562" s="10"/>
      <c r="FX562" s="10"/>
      <c r="FY562" s="10"/>
      <c r="FZ562" s="10"/>
      <c r="GA562" s="10"/>
      <c r="GB562" s="10"/>
      <c r="GC562" s="10"/>
      <c r="GD562" s="10"/>
      <c r="GE562" s="10"/>
      <c r="GF562" s="10"/>
      <c r="GG562" s="10"/>
      <c r="GH562" s="10"/>
      <c r="GI562" s="10"/>
      <c r="GJ562" s="10"/>
      <c r="GK562" s="10"/>
    </row>
    <row r="563" customFormat="false" ht="12.75" hidden="false" customHeight="false" outlineLevel="0" collapsed="false">
      <c r="A563" s="7"/>
      <c r="B563" s="7"/>
      <c r="C563" s="8"/>
      <c r="D563" s="8"/>
      <c r="E563" s="8"/>
      <c r="F563" s="8"/>
      <c r="G563" s="9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  <c r="BS563" s="10"/>
      <c r="BT563" s="10"/>
      <c r="BU563" s="10"/>
      <c r="BV563" s="10"/>
      <c r="BW563" s="10"/>
      <c r="BX563" s="10"/>
      <c r="BY563" s="10"/>
      <c r="BZ563" s="10"/>
      <c r="CA563" s="10"/>
      <c r="CB563" s="10"/>
      <c r="CC563" s="10"/>
      <c r="CD563" s="10"/>
      <c r="CE563" s="10"/>
      <c r="CF563" s="10"/>
      <c r="CG563" s="10"/>
      <c r="CH563" s="10"/>
      <c r="CI563" s="10"/>
      <c r="CJ563" s="10"/>
      <c r="CK563" s="10"/>
      <c r="CL563" s="10"/>
      <c r="CM563" s="10"/>
      <c r="CN563" s="10"/>
      <c r="CO563" s="10"/>
      <c r="CP563" s="10"/>
      <c r="CQ563" s="10"/>
      <c r="CR563" s="10"/>
      <c r="CS563" s="10"/>
      <c r="CT563" s="10"/>
      <c r="CU563" s="10"/>
      <c r="CV563" s="10"/>
      <c r="CW563" s="10"/>
      <c r="CX563" s="10"/>
      <c r="CY563" s="10"/>
      <c r="CZ563" s="10"/>
      <c r="DA563" s="10"/>
      <c r="DB563" s="10"/>
      <c r="DC563" s="10"/>
      <c r="DD563" s="10"/>
      <c r="DE563" s="10"/>
      <c r="DF563" s="10"/>
      <c r="DG563" s="10"/>
      <c r="DH563" s="10"/>
      <c r="DI563" s="10"/>
      <c r="DJ563" s="10"/>
      <c r="DK563" s="10"/>
      <c r="DL563" s="10"/>
      <c r="DM563" s="10"/>
      <c r="DN563" s="10"/>
      <c r="DO563" s="10"/>
      <c r="DP563" s="10"/>
      <c r="DQ563" s="10"/>
      <c r="DR563" s="10"/>
      <c r="DS563" s="10"/>
      <c r="DT563" s="10"/>
      <c r="DU563" s="10"/>
      <c r="DV563" s="10"/>
      <c r="DW563" s="10"/>
      <c r="DX563" s="10"/>
      <c r="DY563" s="10"/>
      <c r="DZ563" s="10"/>
      <c r="EA563" s="10"/>
      <c r="EB563" s="10"/>
      <c r="EC563" s="10"/>
      <c r="ED563" s="10"/>
      <c r="EE563" s="10"/>
      <c r="EF563" s="10"/>
      <c r="EG563" s="10"/>
      <c r="EH563" s="10"/>
      <c r="EI563" s="10"/>
      <c r="EJ563" s="10"/>
      <c r="EK563" s="10"/>
      <c r="EL563" s="10"/>
      <c r="EM563" s="10"/>
      <c r="EN563" s="10"/>
      <c r="EO563" s="10"/>
      <c r="EP563" s="10"/>
      <c r="EQ563" s="10"/>
      <c r="ER563" s="10"/>
      <c r="ES563" s="10"/>
      <c r="ET563" s="10"/>
      <c r="EU563" s="10"/>
      <c r="EV563" s="10"/>
      <c r="EW563" s="10"/>
      <c r="EX563" s="10"/>
      <c r="EY563" s="10"/>
      <c r="EZ563" s="10"/>
      <c r="FA563" s="10"/>
      <c r="FB563" s="10"/>
      <c r="FC563" s="10"/>
      <c r="FD563" s="10"/>
      <c r="FE563" s="10"/>
      <c r="FF563" s="10"/>
      <c r="FG563" s="10"/>
      <c r="FH563" s="10"/>
      <c r="FI563" s="10"/>
      <c r="FJ563" s="10"/>
      <c r="FK563" s="10"/>
      <c r="FL563" s="10"/>
      <c r="FM563" s="10"/>
      <c r="FN563" s="10"/>
      <c r="FO563" s="10"/>
      <c r="FP563" s="10"/>
      <c r="FQ563" s="10"/>
      <c r="FR563" s="10"/>
      <c r="FS563" s="10"/>
      <c r="FT563" s="10"/>
      <c r="FU563" s="10"/>
      <c r="FV563" s="10"/>
      <c r="FW563" s="10"/>
      <c r="FX563" s="10"/>
      <c r="FY563" s="10"/>
      <c r="FZ563" s="10"/>
      <c r="GA563" s="10"/>
      <c r="GB563" s="10"/>
      <c r="GC563" s="10"/>
      <c r="GD563" s="10"/>
      <c r="GE563" s="10"/>
      <c r="GF563" s="10"/>
      <c r="GG563" s="10"/>
      <c r="GH563" s="10"/>
      <c r="GI563" s="10"/>
      <c r="GJ563" s="10"/>
      <c r="GK563" s="10"/>
    </row>
    <row r="564" customFormat="false" ht="12.75" hidden="false" customHeight="false" outlineLevel="0" collapsed="false">
      <c r="A564" s="7"/>
      <c r="B564" s="7"/>
      <c r="C564" s="8"/>
      <c r="D564" s="8"/>
      <c r="E564" s="8"/>
      <c r="F564" s="8"/>
      <c r="G564" s="9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/>
      <c r="BT564" s="10"/>
      <c r="BU564" s="10"/>
      <c r="BV564" s="10"/>
      <c r="BW564" s="10"/>
      <c r="BX564" s="10"/>
      <c r="BY564" s="10"/>
      <c r="BZ564" s="10"/>
      <c r="CA564" s="10"/>
      <c r="CB564" s="10"/>
      <c r="CC564" s="10"/>
      <c r="CD564" s="10"/>
      <c r="CE564" s="10"/>
      <c r="CF564" s="10"/>
      <c r="CG564" s="10"/>
      <c r="CH564" s="10"/>
      <c r="CI564" s="10"/>
      <c r="CJ564" s="10"/>
      <c r="CK564" s="10"/>
      <c r="CL564" s="10"/>
      <c r="CM564" s="10"/>
      <c r="CN564" s="10"/>
      <c r="CO564" s="10"/>
      <c r="CP564" s="10"/>
      <c r="CQ564" s="10"/>
      <c r="CR564" s="10"/>
      <c r="CS564" s="10"/>
      <c r="CT564" s="10"/>
      <c r="CU564" s="10"/>
      <c r="CV564" s="10"/>
      <c r="CW564" s="10"/>
      <c r="CX564" s="10"/>
      <c r="CY564" s="10"/>
      <c r="CZ564" s="10"/>
      <c r="DA564" s="10"/>
      <c r="DB564" s="10"/>
      <c r="DC564" s="10"/>
      <c r="DD564" s="10"/>
      <c r="DE564" s="10"/>
      <c r="DF564" s="10"/>
      <c r="DG564" s="10"/>
      <c r="DH564" s="10"/>
      <c r="DI564" s="10"/>
      <c r="DJ564" s="10"/>
      <c r="DK564" s="10"/>
      <c r="DL564" s="10"/>
      <c r="DM564" s="10"/>
      <c r="DN564" s="10"/>
      <c r="DO564" s="10"/>
      <c r="DP564" s="10"/>
      <c r="DQ564" s="10"/>
      <c r="DR564" s="10"/>
      <c r="DS564" s="10"/>
      <c r="DT564" s="10"/>
      <c r="DU564" s="10"/>
      <c r="DV564" s="10"/>
      <c r="DW564" s="10"/>
      <c r="DX564" s="10"/>
      <c r="DY564" s="10"/>
      <c r="DZ564" s="10"/>
      <c r="EA564" s="10"/>
      <c r="EB564" s="10"/>
      <c r="EC564" s="10"/>
      <c r="ED564" s="10"/>
      <c r="EE564" s="10"/>
      <c r="EF564" s="10"/>
      <c r="EG564" s="10"/>
      <c r="EH564" s="10"/>
      <c r="EI564" s="10"/>
      <c r="EJ564" s="10"/>
      <c r="EK564" s="10"/>
      <c r="EL564" s="10"/>
      <c r="EM564" s="10"/>
      <c r="EN564" s="10"/>
      <c r="EO564" s="10"/>
      <c r="EP564" s="10"/>
      <c r="EQ564" s="10"/>
      <c r="ER564" s="10"/>
      <c r="ES564" s="10"/>
      <c r="ET564" s="10"/>
      <c r="EU564" s="10"/>
      <c r="EV564" s="10"/>
      <c r="EW564" s="10"/>
      <c r="EX564" s="10"/>
      <c r="EY564" s="10"/>
      <c r="EZ564" s="10"/>
      <c r="FA564" s="10"/>
      <c r="FB564" s="10"/>
      <c r="FC564" s="10"/>
      <c r="FD564" s="10"/>
      <c r="FE564" s="10"/>
      <c r="FF564" s="10"/>
      <c r="FG564" s="10"/>
      <c r="FH564" s="10"/>
      <c r="FI564" s="10"/>
      <c r="FJ564" s="10"/>
      <c r="FK564" s="10"/>
      <c r="FL564" s="10"/>
      <c r="FM564" s="10"/>
      <c r="FN564" s="10"/>
      <c r="FO564" s="10"/>
      <c r="FP564" s="10"/>
      <c r="FQ564" s="10"/>
      <c r="FR564" s="10"/>
      <c r="FS564" s="10"/>
      <c r="FT564" s="10"/>
      <c r="FU564" s="10"/>
      <c r="FV564" s="10"/>
      <c r="FW564" s="10"/>
      <c r="FX564" s="10"/>
      <c r="FY564" s="10"/>
      <c r="FZ564" s="10"/>
      <c r="GA564" s="10"/>
      <c r="GB564" s="10"/>
      <c r="GC564" s="10"/>
      <c r="GD564" s="10"/>
      <c r="GE564" s="10"/>
      <c r="GF564" s="10"/>
      <c r="GG564" s="10"/>
      <c r="GH564" s="10"/>
      <c r="GI564" s="10"/>
      <c r="GJ564" s="10"/>
      <c r="GK564" s="10"/>
    </row>
    <row r="565" customFormat="false" ht="12.75" hidden="false" customHeight="false" outlineLevel="0" collapsed="false">
      <c r="A565" s="7"/>
      <c r="B565" s="7"/>
      <c r="C565" s="8"/>
      <c r="D565" s="8"/>
      <c r="E565" s="8"/>
      <c r="F565" s="8"/>
      <c r="G565" s="9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  <c r="BT565" s="10"/>
      <c r="BU565" s="10"/>
      <c r="BV565" s="10"/>
      <c r="BW565" s="10"/>
      <c r="BX565" s="10"/>
      <c r="BY565" s="10"/>
      <c r="BZ565" s="10"/>
      <c r="CA565" s="10"/>
      <c r="CB565" s="10"/>
      <c r="CC565" s="10"/>
      <c r="CD565" s="10"/>
      <c r="CE565" s="10"/>
      <c r="CF565" s="10"/>
      <c r="CG565" s="10"/>
      <c r="CH565" s="10"/>
      <c r="CI565" s="10"/>
      <c r="CJ565" s="10"/>
      <c r="CK565" s="10"/>
      <c r="CL565" s="10"/>
      <c r="CM565" s="10"/>
      <c r="CN565" s="10"/>
      <c r="CO565" s="10"/>
      <c r="CP565" s="10"/>
      <c r="CQ565" s="10"/>
      <c r="CR565" s="10"/>
      <c r="CS565" s="10"/>
      <c r="CT565" s="10"/>
      <c r="CU565" s="10"/>
      <c r="CV565" s="10"/>
      <c r="CW565" s="10"/>
      <c r="CX565" s="10"/>
      <c r="CY565" s="10"/>
      <c r="CZ565" s="10"/>
      <c r="DA565" s="10"/>
      <c r="DB565" s="10"/>
      <c r="DC565" s="10"/>
      <c r="DD565" s="10"/>
      <c r="DE565" s="10"/>
      <c r="DF565" s="10"/>
      <c r="DG565" s="10"/>
      <c r="DH565" s="10"/>
      <c r="DI565" s="10"/>
      <c r="DJ565" s="10"/>
      <c r="DK565" s="10"/>
      <c r="DL565" s="10"/>
      <c r="DM565" s="10"/>
      <c r="DN565" s="10"/>
      <c r="DO565" s="10"/>
      <c r="DP565" s="10"/>
      <c r="DQ565" s="10"/>
      <c r="DR565" s="10"/>
      <c r="DS565" s="10"/>
      <c r="DT565" s="10"/>
      <c r="DU565" s="10"/>
      <c r="DV565" s="10"/>
      <c r="DW565" s="10"/>
      <c r="DX565" s="10"/>
      <c r="DY565" s="10"/>
      <c r="DZ565" s="10"/>
      <c r="EA565" s="10"/>
      <c r="EB565" s="10"/>
      <c r="EC565" s="10"/>
      <c r="ED565" s="10"/>
      <c r="EE565" s="10"/>
      <c r="EF565" s="10"/>
      <c r="EG565" s="10"/>
      <c r="EH565" s="10"/>
      <c r="EI565" s="10"/>
      <c r="EJ565" s="10"/>
      <c r="EK565" s="10"/>
      <c r="EL565" s="10"/>
      <c r="EM565" s="10"/>
      <c r="EN565" s="10"/>
      <c r="EO565" s="10"/>
      <c r="EP565" s="10"/>
      <c r="EQ565" s="10"/>
      <c r="ER565" s="10"/>
      <c r="ES565" s="10"/>
      <c r="ET565" s="10"/>
      <c r="EU565" s="10"/>
      <c r="EV565" s="10"/>
      <c r="EW565" s="10"/>
      <c r="EX565" s="10"/>
      <c r="EY565" s="10"/>
      <c r="EZ565" s="10"/>
      <c r="FA565" s="10"/>
      <c r="FB565" s="10"/>
      <c r="FC565" s="10"/>
      <c r="FD565" s="10"/>
      <c r="FE565" s="10"/>
      <c r="FF565" s="10"/>
      <c r="FG565" s="10"/>
      <c r="FH565" s="10"/>
      <c r="FI565" s="10"/>
      <c r="FJ565" s="10"/>
      <c r="FK565" s="10"/>
      <c r="FL565" s="10"/>
      <c r="FM565" s="10"/>
      <c r="FN565" s="10"/>
      <c r="FO565" s="10"/>
      <c r="FP565" s="10"/>
      <c r="FQ565" s="10"/>
      <c r="FR565" s="10"/>
      <c r="FS565" s="10"/>
      <c r="FT565" s="10"/>
      <c r="FU565" s="10"/>
      <c r="FV565" s="10"/>
      <c r="FW565" s="10"/>
      <c r="FX565" s="10"/>
      <c r="FY565" s="10"/>
      <c r="FZ565" s="10"/>
      <c r="GA565" s="10"/>
      <c r="GB565" s="10"/>
      <c r="GC565" s="10"/>
      <c r="GD565" s="10"/>
      <c r="GE565" s="10"/>
      <c r="GF565" s="10"/>
      <c r="GG565" s="10"/>
      <c r="GH565" s="10"/>
      <c r="GI565" s="10"/>
      <c r="GJ565" s="10"/>
      <c r="GK565" s="10"/>
    </row>
    <row r="566" customFormat="false" ht="12.75" hidden="false" customHeight="false" outlineLevel="0" collapsed="false">
      <c r="A566" s="7"/>
      <c r="B566" s="7"/>
      <c r="C566" s="8"/>
      <c r="D566" s="8"/>
      <c r="E566" s="8"/>
      <c r="F566" s="8"/>
      <c r="G566" s="9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0"/>
      <c r="BT566" s="10"/>
      <c r="BU566" s="10"/>
      <c r="BV566" s="10"/>
      <c r="BW566" s="10"/>
      <c r="BX566" s="10"/>
      <c r="BY566" s="10"/>
      <c r="BZ566" s="10"/>
      <c r="CA566" s="10"/>
      <c r="CB566" s="10"/>
      <c r="CC566" s="10"/>
      <c r="CD566" s="10"/>
      <c r="CE566" s="10"/>
      <c r="CF566" s="10"/>
      <c r="CG566" s="10"/>
      <c r="CH566" s="10"/>
      <c r="CI566" s="10"/>
      <c r="CJ566" s="10"/>
      <c r="CK566" s="10"/>
      <c r="CL566" s="10"/>
      <c r="CM566" s="10"/>
      <c r="CN566" s="10"/>
      <c r="CO566" s="10"/>
      <c r="CP566" s="10"/>
      <c r="CQ566" s="10"/>
      <c r="CR566" s="10"/>
      <c r="CS566" s="10"/>
      <c r="CT566" s="10"/>
      <c r="CU566" s="10"/>
      <c r="CV566" s="10"/>
      <c r="CW566" s="10"/>
      <c r="CX566" s="10"/>
      <c r="CY566" s="10"/>
      <c r="CZ566" s="10"/>
      <c r="DA566" s="10"/>
      <c r="DB566" s="10"/>
      <c r="DC566" s="10"/>
      <c r="DD566" s="10"/>
      <c r="DE566" s="10"/>
      <c r="DF566" s="10"/>
      <c r="DG566" s="10"/>
      <c r="DH566" s="10"/>
      <c r="DI566" s="10"/>
      <c r="DJ566" s="10"/>
      <c r="DK566" s="10"/>
      <c r="DL566" s="10"/>
      <c r="DM566" s="10"/>
      <c r="DN566" s="10"/>
      <c r="DO566" s="10"/>
      <c r="DP566" s="10"/>
      <c r="DQ566" s="10"/>
      <c r="DR566" s="10"/>
      <c r="DS566" s="10"/>
      <c r="DT566" s="10"/>
      <c r="DU566" s="10"/>
      <c r="DV566" s="10"/>
      <c r="DW566" s="10"/>
      <c r="DX566" s="10"/>
      <c r="DY566" s="10"/>
      <c r="DZ566" s="10"/>
      <c r="EA566" s="10"/>
      <c r="EB566" s="10"/>
      <c r="EC566" s="10"/>
      <c r="ED566" s="10"/>
      <c r="EE566" s="10"/>
      <c r="EF566" s="10"/>
      <c r="EG566" s="10"/>
      <c r="EH566" s="10"/>
      <c r="EI566" s="10"/>
      <c r="EJ566" s="10"/>
      <c r="EK566" s="10"/>
      <c r="EL566" s="10"/>
      <c r="EM566" s="10"/>
      <c r="EN566" s="10"/>
      <c r="EO566" s="10"/>
      <c r="EP566" s="10"/>
      <c r="EQ566" s="10"/>
      <c r="ER566" s="10"/>
      <c r="ES566" s="10"/>
      <c r="ET566" s="10"/>
      <c r="EU566" s="10"/>
      <c r="EV566" s="10"/>
      <c r="EW566" s="10"/>
      <c r="EX566" s="10"/>
      <c r="EY566" s="10"/>
      <c r="EZ566" s="10"/>
      <c r="FA566" s="10"/>
      <c r="FB566" s="10"/>
      <c r="FC566" s="10"/>
      <c r="FD566" s="10"/>
      <c r="FE566" s="10"/>
      <c r="FF566" s="10"/>
      <c r="FG566" s="10"/>
      <c r="FH566" s="10"/>
      <c r="FI566" s="10"/>
      <c r="FJ566" s="10"/>
      <c r="FK566" s="10"/>
      <c r="FL566" s="10"/>
      <c r="FM566" s="10"/>
      <c r="FN566" s="10"/>
      <c r="FO566" s="10"/>
      <c r="FP566" s="10"/>
      <c r="FQ566" s="10"/>
      <c r="FR566" s="10"/>
      <c r="FS566" s="10"/>
      <c r="FT566" s="10"/>
      <c r="FU566" s="10"/>
      <c r="FV566" s="10"/>
      <c r="FW566" s="10"/>
      <c r="FX566" s="10"/>
      <c r="FY566" s="10"/>
      <c r="FZ566" s="10"/>
      <c r="GA566" s="10"/>
      <c r="GB566" s="10"/>
      <c r="GC566" s="10"/>
      <c r="GD566" s="10"/>
      <c r="GE566" s="10"/>
      <c r="GF566" s="10"/>
      <c r="GG566" s="10"/>
      <c r="GH566" s="10"/>
      <c r="GI566" s="10"/>
      <c r="GJ566" s="10"/>
      <c r="GK566" s="10"/>
    </row>
    <row r="567" customFormat="false" ht="12.75" hidden="false" customHeight="false" outlineLevel="0" collapsed="false">
      <c r="A567" s="7"/>
      <c r="B567" s="7"/>
      <c r="C567" s="8"/>
      <c r="D567" s="8"/>
      <c r="E567" s="8"/>
      <c r="F567" s="8"/>
      <c r="G567" s="9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  <c r="BS567" s="10"/>
      <c r="BT567" s="10"/>
      <c r="BU567" s="10"/>
      <c r="BV567" s="10"/>
      <c r="BW567" s="10"/>
      <c r="BX567" s="10"/>
      <c r="BY567" s="10"/>
      <c r="BZ567" s="10"/>
      <c r="CA567" s="10"/>
      <c r="CB567" s="10"/>
      <c r="CC567" s="10"/>
      <c r="CD567" s="10"/>
      <c r="CE567" s="10"/>
      <c r="CF567" s="10"/>
      <c r="CG567" s="10"/>
      <c r="CH567" s="10"/>
      <c r="CI567" s="10"/>
      <c r="CJ567" s="10"/>
      <c r="CK567" s="10"/>
      <c r="CL567" s="10"/>
      <c r="CM567" s="10"/>
      <c r="CN567" s="10"/>
      <c r="CO567" s="10"/>
      <c r="CP567" s="10"/>
      <c r="CQ567" s="10"/>
      <c r="CR567" s="10"/>
      <c r="CS567" s="10"/>
      <c r="CT567" s="10"/>
      <c r="CU567" s="10"/>
      <c r="CV567" s="10"/>
      <c r="CW567" s="10"/>
      <c r="CX567" s="10"/>
      <c r="CY567" s="10"/>
      <c r="CZ567" s="10"/>
      <c r="DA567" s="10"/>
      <c r="DB567" s="10"/>
      <c r="DC567" s="10"/>
      <c r="DD567" s="10"/>
      <c r="DE567" s="10"/>
      <c r="DF567" s="10"/>
      <c r="DG567" s="10"/>
      <c r="DH567" s="10"/>
      <c r="DI567" s="10"/>
      <c r="DJ567" s="10"/>
      <c r="DK567" s="10"/>
      <c r="DL567" s="10"/>
      <c r="DM567" s="10"/>
      <c r="DN567" s="10"/>
      <c r="DO567" s="10"/>
      <c r="DP567" s="10"/>
      <c r="DQ567" s="10"/>
      <c r="DR567" s="10"/>
      <c r="DS567" s="10"/>
      <c r="DT567" s="10"/>
      <c r="DU567" s="10"/>
      <c r="DV567" s="10"/>
      <c r="DW567" s="10"/>
      <c r="DX567" s="10"/>
      <c r="DY567" s="10"/>
      <c r="DZ567" s="10"/>
      <c r="EA567" s="10"/>
      <c r="EB567" s="10"/>
      <c r="EC567" s="10"/>
      <c r="ED567" s="10"/>
      <c r="EE567" s="10"/>
      <c r="EF567" s="10"/>
      <c r="EG567" s="10"/>
      <c r="EH567" s="10"/>
      <c r="EI567" s="10"/>
      <c r="EJ567" s="10"/>
      <c r="EK567" s="10"/>
      <c r="EL567" s="10"/>
      <c r="EM567" s="10"/>
      <c r="EN567" s="10"/>
      <c r="EO567" s="10"/>
      <c r="EP567" s="10"/>
      <c r="EQ567" s="10"/>
      <c r="ER567" s="10"/>
      <c r="ES567" s="10"/>
      <c r="ET567" s="10"/>
      <c r="EU567" s="10"/>
      <c r="EV567" s="10"/>
      <c r="EW567" s="10"/>
      <c r="EX567" s="10"/>
      <c r="EY567" s="10"/>
      <c r="EZ567" s="10"/>
      <c r="FA567" s="10"/>
      <c r="FB567" s="10"/>
      <c r="FC567" s="10"/>
      <c r="FD567" s="10"/>
      <c r="FE567" s="10"/>
      <c r="FF567" s="10"/>
      <c r="FG567" s="10"/>
      <c r="FH567" s="10"/>
      <c r="FI567" s="10"/>
      <c r="FJ567" s="10"/>
      <c r="FK567" s="10"/>
      <c r="FL567" s="10"/>
      <c r="FM567" s="10"/>
      <c r="FN567" s="10"/>
      <c r="FO567" s="10"/>
      <c r="FP567" s="10"/>
      <c r="FQ567" s="10"/>
      <c r="FR567" s="10"/>
      <c r="FS567" s="10"/>
      <c r="FT567" s="10"/>
      <c r="FU567" s="10"/>
      <c r="FV567" s="10"/>
      <c r="FW567" s="10"/>
      <c r="FX567" s="10"/>
      <c r="FY567" s="10"/>
      <c r="FZ567" s="10"/>
      <c r="GA567" s="10"/>
      <c r="GB567" s="10"/>
      <c r="GC567" s="10"/>
      <c r="GD567" s="10"/>
      <c r="GE567" s="10"/>
      <c r="GF567" s="10"/>
      <c r="GG567" s="10"/>
      <c r="GH567" s="10"/>
      <c r="GI567" s="10"/>
      <c r="GJ567" s="10"/>
      <c r="GK567" s="10"/>
    </row>
    <row r="568" customFormat="false" ht="12.75" hidden="false" customHeight="false" outlineLevel="0" collapsed="false">
      <c r="A568" s="7"/>
      <c r="B568" s="7"/>
      <c r="C568" s="8"/>
      <c r="D568" s="8"/>
      <c r="E568" s="8"/>
      <c r="F568" s="8"/>
      <c r="G568" s="9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  <c r="BU568" s="10"/>
      <c r="BV568" s="10"/>
      <c r="BW568" s="10"/>
      <c r="BX568" s="10"/>
      <c r="BY568" s="10"/>
      <c r="BZ568" s="10"/>
      <c r="CA568" s="10"/>
      <c r="CB568" s="10"/>
      <c r="CC568" s="10"/>
      <c r="CD568" s="10"/>
      <c r="CE568" s="10"/>
      <c r="CF568" s="10"/>
      <c r="CG568" s="10"/>
      <c r="CH568" s="10"/>
      <c r="CI568" s="10"/>
      <c r="CJ568" s="10"/>
      <c r="CK568" s="10"/>
      <c r="CL568" s="10"/>
      <c r="CM568" s="10"/>
      <c r="CN568" s="10"/>
      <c r="CO568" s="10"/>
      <c r="CP568" s="10"/>
      <c r="CQ568" s="10"/>
      <c r="CR568" s="10"/>
      <c r="CS568" s="10"/>
      <c r="CT568" s="10"/>
      <c r="CU568" s="10"/>
      <c r="CV568" s="10"/>
      <c r="CW568" s="10"/>
      <c r="CX568" s="10"/>
      <c r="CY568" s="10"/>
      <c r="CZ568" s="10"/>
      <c r="DA568" s="10"/>
      <c r="DB568" s="10"/>
      <c r="DC568" s="10"/>
      <c r="DD568" s="10"/>
      <c r="DE568" s="10"/>
      <c r="DF568" s="10"/>
      <c r="DG568" s="10"/>
      <c r="DH568" s="10"/>
      <c r="DI568" s="10"/>
      <c r="DJ568" s="10"/>
      <c r="DK568" s="10"/>
      <c r="DL568" s="10"/>
      <c r="DM568" s="10"/>
      <c r="DN568" s="10"/>
      <c r="DO568" s="10"/>
      <c r="DP568" s="10"/>
      <c r="DQ568" s="10"/>
      <c r="DR568" s="10"/>
      <c r="DS568" s="10"/>
      <c r="DT568" s="10"/>
      <c r="DU568" s="10"/>
      <c r="DV568" s="10"/>
      <c r="DW568" s="10"/>
      <c r="DX568" s="10"/>
      <c r="DY568" s="10"/>
      <c r="DZ568" s="10"/>
      <c r="EA568" s="10"/>
      <c r="EB568" s="10"/>
      <c r="EC568" s="10"/>
      <c r="ED568" s="10"/>
      <c r="EE568" s="10"/>
      <c r="EF568" s="10"/>
      <c r="EG568" s="10"/>
      <c r="EH568" s="10"/>
      <c r="EI568" s="10"/>
      <c r="EJ568" s="10"/>
      <c r="EK568" s="10"/>
      <c r="EL568" s="10"/>
      <c r="EM568" s="10"/>
      <c r="EN568" s="10"/>
      <c r="EO568" s="10"/>
      <c r="EP568" s="10"/>
      <c r="EQ568" s="10"/>
      <c r="ER568" s="10"/>
      <c r="ES568" s="10"/>
      <c r="ET568" s="10"/>
      <c r="EU568" s="10"/>
      <c r="EV568" s="10"/>
      <c r="EW568" s="10"/>
      <c r="EX568" s="10"/>
      <c r="EY568" s="10"/>
      <c r="EZ568" s="10"/>
      <c r="FA568" s="10"/>
      <c r="FB568" s="10"/>
      <c r="FC568" s="10"/>
      <c r="FD568" s="10"/>
      <c r="FE568" s="10"/>
      <c r="FF568" s="10"/>
      <c r="FG568" s="10"/>
      <c r="FH568" s="10"/>
      <c r="FI568" s="10"/>
      <c r="FJ568" s="10"/>
      <c r="FK568" s="10"/>
      <c r="FL568" s="10"/>
      <c r="FM568" s="10"/>
      <c r="FN568" s="10"/>
      <c r="FO568" s="10"/>
      <c r="FP568" s="10"/>
      <c r="FQ568" s="10"/>
      <c r="FR568" s="10"/>
      <c r="FS568" s="10"/>
      <c r="FT568" s="10"/>
      <c r="FU568" s="10"/>
      <c r="FV568" s="10"/>
      <c r="FW568" s="10"/>
      <c r="FX568" s="10"/>
      <c r="FY568" s="10"/>
      <c r="FZ568" s="10"/>
      <c r="GA568" s="10"/>
      <c r="GB568" s="10"/>
      <c r="GC568" s="10"/>
      <c r="GD568" s="10"/>
      <c r="GE568" s="10"/>
      <c r="GF568" s="10"/>
      <c r="GG568" s="10"/>
      <c r="GH568" s="10"/>
      <c r="GI568" s="10"/>
      <c r="GJ568" s="10"/>
      <c r="GK568" s="10"/>
    </row>
    <row r="569" customFormat="false" ht="12.75" hidden="false" customHeight="false" outlineLevel="0" collapsed="false">
      <c r="A569" s="7"/>
      <c r="B569" s="7"/>
      <c r="C569" s="8"/>
      <c r="D569" s="8"/>
      <c r="E569" s="8"/>
      <c r="F569" s="8"/>
      <c r="G569" s="9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/>
      <c r="BT569" s="10"/>
      <c r="BU569" s="10"/>
      <c r="BV569" s="10"/>
      <c r="BW569" s="10"/>
      <c r="BX569" s="10"/>
      <c r="BY569" s="10"/>
      <c r="BZ569" s="10"/>
      <c r="CA569" s="10"/>
      <c r="CB569" s="10"/>
      <c r="CC569" s="10"/>
      <c r="CD569" s="10"/>
      <c r="CE569" s="10"/>
      <c r="CF569" s="10"/>
      <c r="CG569" s="10"/>
      <c r="CH569" s="10"/>
      <c r="CI569" s="10"/>
      <c r="CJ569" s="10"/>
      <c r="CK569" s="10"/>
      <c r="CL569" s="10"/>
      <c r="CM569" s="10"/>
      <c r="CN569" s="10"/>
      <c r="CO569" s="10"/>
      <c r="CP569" s="10"/>
      <c r="CQ569" s="10"/>
      <c r="CR569" s="10"/>
      <c r="CS569" s="10"/>
      <c r="CT569" s="10"/>
      <c r="CU569" s="10"/>
      <c r="CV569" s="10"/>
      <c r="CW569" s="10"/>
      <c r="CX569" s="10"/>
      <c r="CY569" s="10"/>
      <c r="CZ569" s="10"/>
      <c r="DA569" s="10"/>
      <c r="DB569" s="10"/>
      <c r="DC569" s="10"/>
      <c r="DD569" s="10"/>
      <c r="DE569" s="10"/>
      <c r="DF569" s="10"/>
      <c r="DG569" s="10"/>
      <c r="DH569" s="10"/>
      <c r="DI569" s="10"/>
      <c r="DJ569" s="10"/>
      <c r="DK569" s="10"/>
      <c r="DL569" s="10"/>
      <c r="DM569" s="10"/>
      <c r="DN569" s="10"/>
      <c r="DO569" s="10"/>
      <c r="DP569" s="10"/>
      <c r="DQ569" s="10"/>
      <c r="DR569" s="10"/>
      <c r="DS569" s="10"/>
      <c r="DT569" s="10"/>
      <c r="DU569" s="10"/>
      <c r="DV569" s="10"/>
      <c r="DW569" s="10"/>
      <c r="DX569" s="10"/>
      <c r="DY569" s="10"/>
      <c r="DZ569" s="10"/>
      <c r="EA569" s="10"/>
      <c r="EB569" s="10"/>
      <c r="EC569" s="10"/>
      <c r="ED569" s="10"/>
      <c r="EE569" s="10"/>
      <c r="EF569" s="10"/>
      <c r="EG569" s="10"/>
      <c r="EH569" s="10"/>
      <c r="EI569" s="10"/>
      <c r="EJ569" s="10"/>
      <c r="EK569" s="10"/>
      <c r="EL569" s="10"/>
      <c r="EM569" s="10"/>
      <c r="EN569" s="10"/>
      <c r="EO569" s="10"/>
      <c r="EP569" s="10"/>
      <c r="EQ569" s="10"/>
      <c r="ER569" s="10"/>
      <c r="ES569" s="10"/>
      <c r="ET569" s="10"/>
      <c r="EU569" s="10"/>
      <c r="EV569" s="10"/>
      <c r="EW569" s="10"/>
      <c r="EX569" s="10"/>
      <c r="EY569" s="10"/>
      <c r="EZ569" s="10"/>
      <c r="FA569" s="10"/>
      <c r="FB569" s="10"/>
      <c r="FC569" s="10"/>
      <c r="FD569" s="10"/>
      <c r="FE569" s="10"/>
      <c r="FF569" s="10"/>
      <c r="FG569" s="10"/>
      <c r="FH569" s="10"/>
      <c r="FI569" s="10"/>
      <c r="FJ569" s="10"/>
      <c r="FK569" s="10"/>
      <c r="FL569" s="10"/>
      <c r="FM569" s="10"/>
      <c r="FN569" s="10"/>
      <c r="FO569" s="10"/>
      <c r="FP569" s="10"/>
      <c r="FQ569" s="10"/>
      <c r="FR569" s="10"/>
      <c r="FS569" s="10"/>
      <c r="FT569" s="10"/>
      <c r="FU569" s="10"/>
      <c r="FV569" s="10"/>
      <c r="FW569" s="10"/>
      <c r="FX569" s="10"/>
      <c r="FY569" s="10"/>
      <c r="FZ569" s="10"/>
      <c r="GA569" s="10"/>
      <c r="GB569" s="10"/>
      <c r="GC569" s="10"/>
      <c r="GD569" s="10"/>
      <c r="GE569" s="10"/>
      <c r="GF569" s="10"/>
      <c r="GG569" s="10"/>
      <c r="GH569" s="10"/>
      <c r="GI569" s="10"/>
      <c r="GJ569" s="10"/>
      <c r="GK569" s="10"/>
    </row>
    <row r="570" customFormat="false" ht="12.75" hidden="false" customHeight="false" outlineLevel="0" collapsed="false">
      <c r="A570" s="7"/>
      <c r="B570" s="7"/>
      <c r="C570" s="8"/>
      <c r="D570" s="8"/>
      <c r="E570" s="8"/>
      <c r="F570" s="8"/>
      <c r="G570" s="9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  <c r="BT570" s="10"/>
      <c r="BU570" s="10"/>
      <c r="BV570" s="10"/>
      <c r="BW570" s="10"/>
      <c r="BX570" s="10"/>
      <c r="BY570" s="10"/>
      <c r="BZ570" s="10"/>
      <c r="CA570" s="10"/>
      <c r="CB570" s="10"/>
      <c r="CC570" s="10"/>
      <c r="CD570" s="10"/>
      <c r="CE570" s="10"/>
      <c r="CF570" s="10"/>
      <c r="CG570" s="10"/>
      <c r="CH570" s="10"/>
      <c r="CI570" s="10"/>
      <c r="CJ570" s="10"/>
      <c r="CK570" s="10"/>
      <c r="CL570" s="10"/>
      <c r="CM570" s="10"/>
      <c r="CN570" s="10"/>
      <c r="CO570" s="10"/>
      <c r="CP570" s="10"/>
      <c r="CQ570" s="10"/>
      <c r="CR570" s="10"/>
      <c r="CS570" s="10"/>
      <c r="CT570" s="10"/>
      <c r="CU570" s="10"/>
      <c r="CV570" s="10"/>
      <c r="CW570" s="10"/>
      <c r="CX570" s="10"/>
      <c r="CY570" s="10"/>
      <c r="CZ570" s="10"/>
      <c r="DA570" s="10"/>
      <c r="DB570" s="10"/>
      <c r="DC570" s="10"/>
      <c r="DD570" s="10"/>
      <c r="DE570" s="10"/>
      <c r="DF570" s="10"/>
      <c r="DG570" s="10"/>
      <c r="DH570" s="10"/>
      <c r="DI570" s="10"/>
      <c r="DJ570" s="10"/>
      <c r="DK570" s="10"/>
      <c r="DL570" s="10"/>
      <c r="DM570" s="10"/>
      <c r="DN570" s="10"/>
      <c r="DO570" s="10"/>
      <c r="DP570" s="10"/>
      <c r="DQ570" s="10"/>
      <c r="DR570" s="10"/>
      <c r="DS570" s="10"/>
      <c r="DT570" s="10"/>
      <c r="DU570" s="10"/>
      <c r="DV570" s="10"/>
      <c r="DW570" s="10"/>
      <c r="DX570" s="10"/>
      <c r="DY570" s="10"/>
      <c r="DZ570" s="10"/>
      <c r="EA570" s="10"/>
      <c r="EB570" s="10"/>
      <c r="EC570" s="10"/>
      <c r="ED570" s="10"/>
      <c r="EE570" s="10"/>
      <c r="EF570" s="10"/>
      <c r="EG570" s="10"/>
      <c r="EH570" s="10"/>
      <c r="EI570" s="10"/>
      <c r="EJ570" s="10"/>
      <c r="EK570" s="10"/>
      <c r="EL570" s="10"/>
      <c r="EM570" s="10"/>
      <c r="EN570" s="10"/>
      <c r="EO570" s="10"/>
      <c r="EP570" s="10"/>
      <c r="EQ570" s="10"/>
      <c r="ER570" s="10"/>
      <c r="ES570" s="10"/>
      <c r="ET570" s="10"/>
      <c r="EU570" s="10"/>
      <c r="EV570" s="10"/>
      <c r="EW570" s="10"/>
      <c r="EX570" s="10"/>
      <c r="EY570" s="10"/>
      <c r="EZ570" s="10"/>
      <c r="FA570" s="10"/>
      <c r="FB570" s="10"/>
      <c r="FC570" s="10"/>
      <c r="FD570" s="10"/>
      <c r="FE570" s="10"/>
      <c r="FF570" s="10"/>
      <c r="FG570" s="10"/>
      <c r="FH570" s="10"/>
      <c r="FI570" s="10"/>
      <c r="FJ570" s="10"/>
      <c r="FK570" s="10"/>
      <c r="FL570" s="10"/>
      <c r="FM570" s="10"/>
      <c r="FN570" s="10"/>
      <c r="FO570" s="10"/>
      <c r="FP570" s="10"/>
      <c r="FQ570" s="10"/>
      <c r="FR570" s="10"/>
      <c r="FS570" s="10"/>
      <c r="FT570" s="10"/>
      <c r="FU570" s="10"/>
      <c r="FV570" s="10"/>
      <c r="FW570" s="10"/>
      <c r="FX570" s="10"/>
      <c r="FY570" s="10"/>
      <c r="FZ570" s="10"/>
      <c r="GA570" s="10"/>
      <c r="GB570" s="10"/>
      <c r="GC570" s="10"/>
      <c r="GD570" s="10"/>
      <c r="GE570" s="10"/>
      <c r="GF570" s="10"/>
      <c r="GG570" s="10"/>
      <c r="GH570" s="10"/>
      <c r="GI570" s="10"/>
      <c r="GJ570" s="10"/>
      <c r="GK570" s="10"/>
    </row>
    <row r="571" customFormat="false" ht="12.75" hidden="false" customHeight="false" outlineLevel="0" collapsed="false">
      <c r="A571" s="7"/>
      <c r="B571" s="7"/>
      <c r="C571" s="8"/>
      <c r="D571" s="8"/>
      <c r="E571" s="8"/>
      <c r="F571" s="8"/>
      <c r="G571" s="9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  <c r="BT571" s="10"/>
      <c r="BU571" s="10"/>
      <c r="BV571" s="10"/>
      <c r="BW571" s="10"/>
      <c r="BX571" s="10"/>
      <c r="BY571" s="10"/>
      <c r="BZ571" s="10"/>
      <c r="CA571" s="10"/>
      <c r="CB571" s="10"/>
      <c r="CC571" s="10"/>
      <c r="CD571" s="10"/>
      <c r="CE571" s="10"/>
      <c r="CF571" s="10"/>
      <c r="CG571" s="10"/>
      <c r="CH571" s="10"/>
      <c r="CI571" s="10"/>
      <c r="CJ571" s="10"/>
      <c r="CK571" s="10"/>
      <c r="CL571" s="10"/>
      <c r="CM571" s="10"/>
      <c r="CN571" s="10"/>
      <c r="CO571" s="10"/>
      <c r="CP571" s="10"/>
      <c r="CQ571" s="10"/>
      <c r="CR571" s="10"/>
      <c r="CS571" s="10"/>
      <c r="CT571" s="10"/>
      <c r="CU571" s="10"/>
      <c r="CV571" s="10"/>
      <c r="CW571" s="10"/>
      <c r="CX571" s="10"/>
      <c r="CY571" s="10"/>
      <c r="CZ571" s="10"/>
      <c r="DA571" s="10"/>
      <c r="DB571" s="10"/>
      <c r="DC571" s="10"/>
      <c r="DD571" s="10"/>
      <c r="DE571" s="10"/>
      <c r="DF571" s="10"/>
      <c r="DG571" s="10"/>
      <c r="DH571" s="10"/>
      <c r="DI571" s="10"/>
      <c r="DJ571" s="10"/>
      <c r="DK571" s="10"/>
      <c r="DL571" s="10"/>
      <c r="DM571" s="10"/>
      <c r="DN571" s="10"/>
      <c r="DO571" s="10"/>
      <c r="DP571" s="10"/>
      <c r="DQ571" s="10"/>
      <c r="DR571" s="10"/>
      <c r="DS571" s="10"/>
      <c r="DT571" s="10"/>
      <c r="DU571" s="10"/>
      <c r="DV571" s="10"/>
      <c r="DW571" s="10"/>
      <c r="DX571" s="10"/>
      <c r="DY571" s="10"/>
      <c r="DZ571" s="10"/>
      <c r="EA571" s="10"/>
      <c r="EB571" s="10"/>
      <c r="EC571" s="10"/>
      <c r="ED571" s="10"/>
      <c r="EE571" s="10"/>
      <c r="EF571" s="10"/>
      <c r="EG571" s="10"/>
      <c r="EH571" s="10"/>
      <c r="EI571" s="10"/>
      <c r="EJ571" s="10"/>
      <c r="EK571" s="10"/>
      <c r="EL571" s="10"/>
      <c r="EM571" s="10"/>
      <c r="EN571" s="10"/>
      <c r="EO571" s="10"/>
      <c r="EP571" s="10"/>
      <c r="EQ571" s="10"/>
      <c r="ER571" s="10"/>
      <c r="ES571" s="10"/>
      <c r="ET571" s="10"/>
      <c r="EU571" s="10"/>
      <c r="EV571" s="10"/>
      <c r="EW571" s="10"/>
      <c r="EX571" s="10"/>
      <c r="EY571" s="10"/>
      <c r="EZ571" s="10"/>
      <c r="FA571" s="10"/>
      <c r="FB571" s="10"/>
      <c r="FC571" s="10"/>
      <c r="FD571" s="10"/>
      <c r="FE571" s="10"/>
      <c r="FF571" s="10"/>
      <c r="FG571" s="10"/>
      <c r="FH571" s="10"/>
      <c r="FI571" s="10"/>
      <c r="FJ571" s="10"/>
      <c r="FK571" s="10"/>
      <c r="FL571" s="10"/>
      <c r="FM571" s="10"/>
      <c r="FN571" s="10"/>
      <c r="FO571" s="10"/>
      <c r="FP571" s="10"/>
      <c r="FQ571" s="10"/>
      <c r="FR571" s="10"/>
      <c r="FS571" s="10"/>
      <c r="FT571" s="10"/>
      <c r="FU571" s="10"/>
      <c r="FV571" s="10"/>
      <c r="FW571" s="10"/>
      <c r="FX571" s="10"/>
      <c r="FY571" s="10"/>
      <c r="FZ571" s="10"/>
      <c r="GA571" s="10"/>
      <c r="GB571" s="10"/>
      <c r="GC571" s="10"/>
      <c r="GD571" s="10"/>
      <c r="GE571" s="10"/>
      <c r="GF571" s="10"/>
      <c r="GG571" s="10"/>
      <c r="GH571" s="10"/>
      <c r="GI571" s="10"/>
      <c r="GJ571" s="10"/>
      <c r="GK571" s="10"/>
    </row>
    <row r="572" customFormat="false" ht="12.75" hidden="false" customHeight="false" outlineLevel="0" collapsed="false">
      <c r="A572" s="7"/>
      <c r="B572" s="7"/>
      <c r="C572" s="8"/>
      <c r="D572" s="8"/>
      <c r="E572" s="8"/>
      <c r="F572" s="8"/>
      <c r="G572" s="9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  <c r="BT572" s="10"/>
      <c r="BU572" s="10"/>
      <c r="BV572" s="10"/>
      <c r="BW572" s="10"/>
      <c r="BX572" s="10"/>
      <c r="BY572" s="10"/>
      <c r="BZ572" s="10"/>
      <c r="CA572" s="10"/>
      <c r="CB572" s="10"/>
      <c r="CC572" s="10"/>
      <c r="CD572" s="10"/>
      <c r="CE572" s="10"/>
      <c r="CF572" s="10"/>
      <c r="CG572" s="10"/>
      <c r="CH572" s="10"/>
      <c r="CI572" s="10"/>
      <c r="CJ572" s="10"/>
      <c r="CK572" s="10"/>
      <c r="CL572" s="10"/>
      <c r="CM572" s="10"/>
      <c r="CN572" s="10"/>
      <c r="CO572" s="10"/>
      <c r="CP572" s="10"/>
      <c r="CQ572" s="10"/>
      <c r="CR572" s="10"/>
      <c r="CS572" s="10"/>
      <c r="CT572" s="10"/>
      <c r="CU572" s="10"/>
      <c r="CV572" s="10"/>
      <c r="CW572" s="10"/>
      <c r="CX572" s="10"/>
      <c r="CY572" s="10"/>
      <c r="CZ572" s="10"/>
      <c r="DA572" s="10"/>
      <c r="DB572" s="10"/>
      <c r="DC572" s="10"/>
      <c r="DD572" s="10"/>
      <c r="DE572" s="10"/>
      <c r="DF572" s="10"/>
      <c r="DG572" s="10"/>
      <c r="DH572" s="10"/>
      <c r="DI572" s="10"/>
      <c r="DJ572" s="10"/>
      <c r="DK572" s="10"/>
      <c r="DL572" s="10"/>
      <c r="DM572" s="10"/>
      <c r="DN572" s="10"/>
      <c r="DO572" s="10"/>
      <c r="DP572" s="10"/>
      <c r="DQ572" s="10"/>
      <c r="DR572" s="10"/>
      <c r="DS572" s="10"/>
      <c r="DT572" s="10"/>
      <c r="DU572" s="10"/>
      <c r="DV572" s="10"/>
      <c r="DW572" s="10"/>
      <c r="DX572" s="10"/>
      <c r="DY572" s="10"/>
      <c r="DZ572" s="10"/>
      <c r="EA572" s="10"/>
      <c r="EB572" s="10"/>
      <c r="EC572" s="10"/>
      <c r="ED572" s="10"/>
      <c r="EE572" s="10"/>
      <c r="EF572" s="10"/>
      <c r="EG572" s="10"/>
      <c r="EH572" s="10"/>
      <c r="EI572" s="10"/>
      <c r="EJ572" s="10"/>
      <c r="EK572" s="10"/>
      <c r="EL572" s="10"/>
      <c r="EM572" s="10"/>
      <c r="EN572" s="10"/>
      <c r="EO572" s="10"/>
      <c r="EP572" s="10"/>
      <c r="EQ572" s="10"/>
      <c r="ER572" s="10"/>
      <c r="ES572" s="10"/>
      <c r="ET572" s="10"/>
      <c r="EU572" s="10"/>
      <c r="EV572" s="10"/>
      <c r="EW572" s="10"/>
      <c r="EX572" s="10"/>
      <c r="EY572" s="10"/>
      <c r="EZ572" s="10"/>
      <c r="FA572" s="10"/>
      <c r="FB572" s="10"/>
      <c r="FC572" s="10"/>
      <c r="FD572" s="10"/>
      <c r="FE572" s="10"/>
      <c r="FF572" s="10"/>
      <c r="FG572" s="10"/>
      <c r="FH572" s="10"/>
      <c r="FI572" s="10"/>
      <c r="FJ572" s="10"/>
      <c r="FK572" s="10"/>
      <c r="FL572" s="10"/>
      <c r="FM572" s="10"/>
      <c r="FN572" s="10"/>
      <c r="FO572" s="10"/>
      <c r="FP572" s="10"/>
      <c r="FQ572" s="10"/>
      <c r="FR572" s="10"/>
      <c r="FS572" s="10"/>
      <c r="FT572" s="10"/>
      <c r="FU572" s="10"/>
      <c r="FV572" s="10"/>
      <c r="FW572" s="10"/>
      <c r="FX572" s="10"/>
      <c r="FY572" s="10"/>
      <c r="FZ572" s="10"/>
      <c r="GA572" s="10"/>
      <c r="GB572" s="10"/>
      <c r="GC572" s="10"/>
      <c r="GD572" s="10"/>
      <c r="GE572" s="10"/>
      <c r="GF572" s="10"/>
      <c r="GG572" s="10"/>
      <c r="GH572" s="10"/>
      <c r="GI572" s="10"/>
      <c r="GJ572" s="10"/>
      <c r="GK572" s="10"/>
    </row>
    <row r="573" customFormat="false" ht="12.75" hidden="false" customHeight="false" outlineLevel="0" collapsed="false">
      <c r="A573" s="7"/>
      <c r="B573" s="7"/>
      <c r="C573" s="8"/>
      <c r="D573" s="8"/>
      <c r="E573" s="8"/>
      <c r="F573" s="8"/>
      <c r="G573" s="9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10"/>
      <c r="CC573" s="10"/>
      <c r="CD573" s="10"/>
      <c r="CE573" s="10"/>
      <c r="CF573" s="10"/>
      <c r="CG573" s="10"/>
      <c r="CH573" s="10"/>
      <c r="CI573" s="10"/>
      <c r="CJ573" s="10"/>
      <c r="CK573" s="10"/>
      <c r="CL573" s="10"/>
      <c r="CM573" s="10"/>
      <c r="CN573" s="10"/>
      <c r="CO573" s="10"/>
      <c r="CP573" s="10"/>
      <c r="CQ573" s="10"/>
      <c r="CR573" s="10"/>
      <c r="CS573" s="10"/>
      <c r="CT573" s="10"/>
      <c r="CU573" s="10"/>
      <c r="CV573" s="10"/>
      <c r="CW573" s="10"/>
      <c r="CX573" s="10"/>
      <c r="CY573" s="10"/>
      <c r="CZ573" s="10"/>
      <c r="DA573" s="10"/>
      <c r="DB573" s="10"/>
      <c r="DC573" s="10"/>
      <c r="DD573" s="10"/>
      <c r="DE573" s="10"/>
      <c r="DF573" s="10"/>
      <c r="DG573" s="10"/>
      <c r="DH573" s="10"/>
      <c r="DI573" s="10"/>
      <c r="DJ573" s="10"/>
      <c r="DK573" s="10"/>
      <c r="DL573" s="10"/>
      <c r="DM573" s="10"/>
      <c r="DN573" s="10"/>
      <c r="DO573" s="10"/>
      <c r="DP573" s="10"/>
      <c r="DQ573" s="10"/>
      <c r="DR573" s="10"/>
      <c r="DS573" s="10"/>
      <c r="DT573" s="10"/>
      <c r="DU573" s="10"/>
      <c r="DV573" s="10"/>
      <c r="DW573" s="10"/>
      <c r="DX573" s="10"/>
      <c r="DY573" s="10"/>
      <c r="DZ573" s="10"/>
      <c r="EA573" s="10"/>
      <c r="EB573" s="10"/>
      <c r="EC573" s="10"/>
      <c r="ED573" s="10"/>
      <c r="EE573" s="10"/>
      <c r="EF573" s="10"/>
      <c r="EG573" s="10"/>
      <c r="EH573" s="10"/>
      <c r="EI573" s="10"/>
      <c r="EJ573" s="10"/>
      <c r="EK573" s="10"/>
      <c r="EL573" s="10"/>
      <c r="EM573" s="10"/>
      <c r="EN573" s="10"/>
      <c r="EO573" s="10"/>
      <c r="EP573" s="10"/>
      <c r="EQ573" s="10"/>
      <c r="ER573" s="10"/>
      <c r="ES573" s="10"/>
      <c r="ET573" s="10"/>
      <c r="EU573" s="10"/>
      <c r="EV573" s="10"/>
      <c r="EW573" s="10"/>
      <c r="EX573" s="10"/>
      <c r="EY573" s="10"/>
      <c r="EZ573" s="10"/>
      <c r="FA573" s="10"/>
      <c r="FB573" s="10"/>
      <c r="FC573" s="10"/>
      <c r="FD573" s="10"/>
      <c r="FE573" s="10"/>
      <c r="FF573" s="10"/>
      <c r="FG573" s="10"/>
      <c r="FH573" s="10"/>
      <c r="FI573" s="10"/>
      <c r="FJ573" s="10"/>
      <c r="FK573" s="10"/>
      <c r="FL573" s="10"/>
      <c r="FM573" s="10"/>
      <c r="FN573" s="10"/>
      <c r="FO573" s="10"/>
      <c r="FP573" s="10"/>
      <c r="FQ573" s="10"/>
      <c r="FR573" s="10"/>
      <c r="FS573" s="10"/>
      <c r="FT573" s="10"/>
      <c r="FU573" s="10"/>
      <c r="FV573" s="10"/>
      <c r="FW573" s="10"/>
      <c r="FX573" s="10"/>
      <c r="FY573" s="10"/>
      <c r="FZ573" s="10"/>
      <c r="GA573" s="10"/>
      <c r="GB573" s="10"/>
      <c r="GC573" s="10"/>
      <c r="GD573" s="10"/>
      <c r="GE573" s="10"/>
      <c r="GF573" s="10"/>
      <c r="GG573" s="10"/>
      <c r="GH573" s="10"/>
      <c r="GI573" s="10"/>
      <c r="GJ573" s="10"/>
      <c r="GK573" s="10"/>
    </row>
    <row r="574" customFormat="false" ht="12.75" hidden="false" customHeight="false" outlineLevel="0" collapsed="false">
      <c r="A574" s="7"/>
      <c r="B574" s="7"/>
      <c r="C574" s="8"/>
      <c r="D574" s="8"/>
      <c r="E574" s="8"/>
      <c r="F574" s="8"/>
      <c r="G574" s="9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  <c r="BT574" s="10"/>
      <c r="BU574" s="10"/>
      <c r="BV574" s="10"/>
      <c r="BW574" s="10"/>
      <c r="BX574" s="10"/>
      <c r="BY574" s="10"/>
      <c r="BZ574" s="10"/>
      <c r="CA574" s="10"/>
      <c r="CB574" s="10"/>
      <c r="CC574" s="10"/>
      <c r="CD574" s="10"/>
      <c r="CE574" s="10"/>
      <c r="CF574" s="10"/>
      <c r="CG574" s="10"/>
      <c r="CH574" s="10"/>
      <c r="CI574" s="10"/>
      <c r="CJ574" s="10"/>
      <c r="CK574" s="10"/>
      <c r="CL574" s="10"/>
      <c r="CM574" s="10"/>
      <c r="CN574" s="10"/>
      <c r="CO574" s="10"/>
      <c r="CP574" s="10"/>
      <c r="CQ574" s="10"/>
      <c r="CR574" s="10"/>
      <c r="CS574" s="10"/>
      <c r="CT574" s="10"/>
      <c r="CU574" s="10"/>
      <c r="CV574" s="10"/>
      <c r="CW574" s="10"/>
      <c r="CX574" s="10"/>
      <c r="CY574" s="10"/>
      <c r="CZ574" s="10"/>
      <c r="DA574" s="10"/>
      <c r="DB574" s="10"/>
      <c r="DC574" s="10"/>
      <c r="DD574" s="10"/>
      <c r="DE574" s="10"/>
      <c r="DF574" s="10"/>
      <c r="DG574" s="10"/>
      <c r="DH574" s="10"/>
      <c r="DI574" s="10"/>
      <c r="DJ574" s="10"/>
      <c r="DK574" s="10"/>
      <c r="DL574" s="10"/>
      <c r="DM574" s="10"/>
      <c r="DN574" s="10"/>
      <c r="DO574" s="10"/>
      <c r="DP574" s="10"/>
      <c r="DQ574" s="10"/>
      <c r="DR574" s="10"/>
      <c r="DS574" s="10"/>
      <c r="DT574" s="10"/>
      <c r="DU574" s="10"/>
      <c r="DV574" s="10"/>
      <c r="DW574" s="10"/>
      <c r="DX574" s="10"/>
      <c r="DY574" s="10"/>
      <c r="DZ574" s="10"/>
      <c r="EA574" s="10"/>
      <c r="EB574" s="10"/>
      <c r="EC574" s="10"/>
      <c r="ED574" s="10"/>
      <c r="EE574" s="10"/>
      <c r="EF574" s="10"/>
      <c r="EG574" s="10"/>
      <c r="EH574" s="10"/>
      <c r="EI574" s="10"/>
      <c r="EJ574" s="10"/>
      <c r="EK574" s="10"/>
      <c r="EL574" s="10"/>
      <c r="EM574" s="10"/>
      <c r="EN574" s="10"/>
      <c r="EO574" s="10"/>
      <c r="EP574" s="10"/>
      <c r="EQ574" s="10"/>
      <c r="ER574" s="10"/>
      <c r="ES574" s="10"/>
      <c r="ET574" s="10"/>
      <c r="EU574" s="10"/>
      <c r="EV574" s="10"/>
      <c r="EW574" s="10"/>
      <c r="EX574" s="10"/>
      <c r="EY574" s="10"/>
      <c r="EZ574" s="10"/>
      <c r="FA574" s="10"/>
      <c r="FB574" s="10"/>
      <c r="FC574" s="10"/>
      <c r="FD574" s="10"/>
      <c r="FE574" s="10"/>
      <c r="FF574" s="10"/>
      <c r="FG574" s="10"/>
      <c r="FH574" s="10"/>
      <c r="FI574" s="10"/>
      <c r="FJ574" s="10"/>
      <c r="FK574" s="10"/>
      <c r="FL574" s="10"/>
      <c r="FM574" s="10"/>
      <c r="FN574" s="10"/>
      <c r="FO574" s="10"/>
      <c r="FP574" s="10"/>
      <c r="FQ574" s="10"/>
      <c r="FR574" s="10"/>
      <c r="FS574" s="10"/>
      <c r="FT574" s="10"/>
      <c r="FU574" s="10"/>
      <c r="FV574" s="10"/>
      <c r="FW574" s="10"/>
      <c r="FX574" s="10"/>
      <c r="FY574" s="10"/>
      <c r="FZ574" s="10"/>
      <c r="GA574" s="10"/>
      <c r="GB574" s="10"/>
      <c r="GC574" s="10"/>
      <c r="GD574" s="10"/>
      <c r="GE574" s="10"/>
      <c r="GF574" s="10"/>
      <c r="GG574" s="10"/>
      <c r="GH574" s="10"/>
      <c r="GI574" s="10"/>
      <c r="GJ574" s="10"/>
      <c r="GK574" s="10"/>
    </row>
    <row r="575" customFormat="false" ht="12.75" hidden="false" customHeight="false" outlineLevel="0" collapsed="false">
      <c r="A575" s="7"/>
      <c r="B575" s="7"/>
      <c r="C575" s="8"/>
      <c r="D575" s="8"/>
      <c r="E575" s="8"/>
      <c r="F575" s="8"/>
      <c r="G575" s="9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  <c r="BT575" s="10"/>
      <c r="BU575" s="10"/>
      <c r="BV575" s="10"/>
      <c r="BW575" s="10"/>
      <c r="BX575" s="10"/>
      <c r="BY575" s="10"/>
      <c r="BZ575" s="10"/>
      <c r="CA575" s="10"/>
      <c r="CB575" s="10"/>
      <c r="CC575" s="10"/>
      <c r="CD575" s="10"/>
      <c r="CE575" s="10"/>
      <c r="CF575" s="10"/>
      <c r="CG575" s="10"/>
      <c r="CH575" s="10"/>
      <c r="CI575" s="10"/>
      <c r="CJ575" s="10"/>
      <c r="CK575" s="10"/>
      <c r="CL575" s="10"/>
      <c r="CM575" s="10"/>
      <c r="CN575" s="10"/>
      <c r="CO575" s="10"/>
      <c r="CP575" s="10"/>
      <c r="CQ575" s="10"/>
      <c r="CR575" s="10"/>
      <c r="CS575" s="10"/>
      <c r="CT575" s="10"/>
      <c r="CU575" s="10"/>
      <c r="CV575" s="10"/>
      <c r="CW575" s="10"/>
      <c r="CX575" s="10"/>
      <c r="CY575" s="10"/>
      <c r="CZ575" s="10"/>
      <c r="DA575" s="10"/>
      <c r="DB575" s="10"/>
      <c r="DC575" s="10"/>
      <c r="DD575" s="10"/>
      <c r="DE575" s="10"/>
      <c r="DF575" s="10"/>
      <c r="DG575" s="10"/>
      <c r="DH575" s="10"/>
      <c r="DI575" s="10"/>
      <c r="DJ575" s="10"/>
      <c r="DK575" s="10"/>
      <c r="DL575" s="10"/>
      <c r="DM575" s="10"/>
      <c r="DN575" s="10"/>
      <c r="DO575" s="10"/>
      <c r="DP575" s="10"/>
      <c r="DQ575" s="10"/>
      <c r="DR575" s="10"/>
      <c r="DS575" s="10"/>
      <c r="DT575" s="10"/>
      <c r="DU575" s="10"/>
      <c r="DV575" s="10"/>
      <c r="DW575" s="10"/>
      <c r="DX575" s="10"/>
      <c r="DY575" s="10"/>
      <c r="DZ575" s="10"/>
      <c r="EA575" s="10"/>
      <c r="EB575" s="10"/>
      <c r="EC575" s="10"/>
      <c r="ED575" s="10"/>
      <c r="EE575" s="10"/>
      <c r="EF575" s="10"/>
      <c r="EG575" s="10"/>
      <c r="EH575" s="10"/>
      <c r="EI575" s="10"/>
      <c r="EJ575" s="10"/>
      <c r="EK575" s="10"/>
      <c r="EL575" s="10"/>
      <c r="EM575" s="10"/>
      <c r="EN575" s="10"/>
      <c r="EO575" s="10"/>
      <c r="EP575" s="10"/>
      <c r="EQ575" s="10"/>
      <c r="ER575" s="10"/>
      <c r="ES575" s="10"/>
      <c r="ET575" s="10"/>
      <c r="EU575" s="10"/>
      <c r="EV575" s="10"/>
      <c r="EW575" s="10"/>
      <c r="EX575" s="10"/>
      <c r="EY575" s="10"/>
      <c r="EZ575" s="10"/>
      <c r="FA575" s="10"/>
      <c r="FB575" s="10"/>
      <c r="FC575" s="10"/>
      <c r="FD575" s="10"/>
      <c r="FE575" s="10"/>
      <c r="FF575" s="10"/>
      <c r="FG575" s="10"/>
      <c r="FH575" s="10"/>
      <c r="FI575" s="10"/>
      <c r="FJ575" s="10"/>
      <c r="FK575" s="10"/>
      <c r="FL575" s="10"/>
      <c r="FM575" s="10"/>
      <c r="FN575" s="10"/>
      <c r="FO575" s="10"/>
      <c r="FP575" s="10"/>
      <c r="FQ575" s="10"/>
      <c r="FR575" s="10"/>
      <c r="FS575" s="10"/>
      <c r="FT575" s="10"/>
      <c r="FU575" s="10"/>
      <c r="FV575" s="10"/>
      <c r="FW575" s="10"/>
      <c r="FX575" s="10"/>
      <c r="FY575" s="10"/>
      <c r="FZ575" s="10"/>
      <c r="GA575" s="10"/>
      <c r="GB575" s="10"/>
      <c r="GC575" s="10"/>
      <c r="GD575" s="10"/>
      <c r="GE575" s="10"/>
      <c r="GF575" s="10"/>
      <c r="GG575" s="10"/>
      <c r="GH575" s="10"/>
      <c r="GI575" s="10"/>
      <c r="GJ575" s="10"/>
      <c r="GK575" s="10"/>
    </row>
    <row r="576" customFormat="false" ht="12.75" hidden="false" customHeight="false" outlineLevel="0" collapsed="false">
      <c r="A576" s="7"/>
      <c r="B576" s="7"/>
      <c r="C576" s="8"/>
      <c r="D576" s="8"/>
      <c r="E576" s="8"/>
      <c r="F576" s="8"/>
      <c r="G576" s="9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  <c r="BT576" s="10"/>
      <c r="BU576" s="10"/>
      <c r="BV576" s="10"/>
      <c r="BW576" s="10"/>
      <c r="BX576" s="10"/>
      <c r="BY576" s="10"/>
      <c r="BZ576" s="10"/>
      <c r="CA576" s="10"/>
      <c r="CB576" s="10"/>
      <c r="CC576" s="10"/>
      <c r="CD576" s="10"/>
      <c r="CE576" s="10"/>
      <c r="CF576" s="10"/>
      <c r="CG576" s="10"/>
      <c r="CH576" s="10"/>
      <c r="CI576" s="10"/>
      <c r="CJ576" s="10"/>
      <c r="CK576" s="10"/>
      <c r="CL576" s="10"/>
      <c r="CM576" s="10"/>
      <c r="CN576" s="10"/>
      <c r="CO576" s="10"/>
      <c r="CP576" s="10"/>
      <c r="CQ576" s="10"/>
      <c r="CR576" s="10"/>
      <c r="CS576" s="10"/>
      <c r="CT576" s="10"/>
      <c r="CU576" s="10"/>
      <c r="CV576" s="10"/>
      <c r="CW576" s="10"/>
      <c r="CX576" s="10"/>
      <c r="CY576" s="10"/>
      <c r="CZ576" s="10"/>
      <c r="DA576" s="10"/>
      <c r="DB576" s="10"/>
      <c r="DC576" s="10"/>
      <c r="DD576" s="10"/>
      <c r="DE576" s="10"/>
      <c r="DF576" s="10"/>
      <c r="DG576" s="10"/>
      <c r="DH576" s="10"/>
      <c r="DI576" s="10"/>
      <c r="DJ576" s="10"/>
      <c r="DK576" s="10"/>
      <c r="DL576" s="10"/>
      <c r="DM576" s="10"/>
      <c r="DN576" s="10"/>
      <c r="DO576" s="10"/>
      <c r="DP576" s="10"/>
      <c r="DQ576" s="10"/>
      <c r="DR576" s="10"/>
      <c r="DS576" s="10"/>
      <c r="DT576" s="10"/>
      <c r="DU576" s="10"/>
      <c r="DV576" s="10"/>
      <c r="DW576" s="10"/>
      <c r="DX576" s="10"/>
      <c r="DY576" s="10"/>
      <c r="DZ576" s="10"/>
      <c r="EA576" s="10"/>
      <c r="EB576" s="10"/>
      <c r="EC576" s="10"/>
      <c r="ED576" s="10"/>
      <c r="EE576" s="10"/>
      <c r="EF576" s="10"/>
      <c r="EG576" s="10"/>
      <c r="EH576" s="10"/>
      <c r="EI576" s="10"/>
      <c r="EJ576" s="10"/>
      <c r="EK576" s="10"/>
      <c r="EL576" s="10"/>
      <c r="EM576" s="10"/>
      <c r="EN576" s="10"/>
      <c r="EO576" s="10"/>
      <c r="EP576" s="10"/>
      <c r="EQ576" s="10"/>
      <c r="ER576" s="10"/>
      <c r="ES576" s="10"/>
      <c r="ET576" s="10"/>
      <c r="EU576" s="10"/>
      <c r="EV576" s="10"/>
      <c r="EW576" s="10"/>
      <c r="EX576" s="10"/>
      <c r="EY576" s="10"/>
      <c r="EZ576" s="10"/>
      <c r="FA576" s="10"/>
      <c r="FB576" s="10"/>
      <c r="FC576" s="10"/>
      <c r="FD576" s="10"/>
      <c r="FE576" s="10"/>
      <c r="FF576" s="10"/>
      <c r="FG576" s="10"/>
      <c r="FH576" s="10"/>
      <c r="FI576" s="10"/>
      <c r="FJ576" s="10"/>
      <c r="FK576" s="10"/>
      <c r="FL576" s="10"/>
      <c r="FM576" s="10"/>
      <c r="FN576" s="10"/>
      <c r="FO576" s="10"/>
      <c r="FP576" s="10"/>
      <c r="FQ576" s="10"/>
      <c r="FR576" s="10"/>
      <c r="FS576" s="10"/>
      <c r="FT576" s="10"/>
      <c r="FU576" s="10"/>
      <c r="FV576" s="10"/>
      <c r="FW576" s="10"/>
      <c r="FX576" s="10"/>
      <c r="FY576" s="10"/>
      <c r="FZ576" s="10"/>
      <c r="GA576" s="10"/>
      <c r="GB576" s="10"/>
      <c r="GC576" s="10"/>
      <c r="GD576" s="10"/>
      <c r="GE576" s="10"/>
      <c r="GF576" s="10"/>
      <c r="GG576" s="10"/>
      <c r="GH576" s="10"/>
      <c r="GI576" s="10"/>
      <c r="GJ576" s="10"/>
      <c r="GK576" s="10"/>
    </row>
    <row r="577" customFormat="false" ht="12.75" hidden="false" customHeight="false" outlineLevel="0" collapsed="false">
      <c r="A577" s="7"/>
      <c r="B577" s="7"/>
      <c r="C577" s="8"/>
      <c r="D577" s="8"/>
      <c r="E577" s="8"/>
      <c r="F577" s="8"/>
      <c r="G577" s="9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  <c r="CB577" s="10"/>
      <c r="CC577" s="10"/>
      <c r="CD577" s="10"/>
      <c r="CE577" s="10"/>
      <c r="CF577" s="10"/>
      <c r="CG577" s="10"/>
      <c r="CH577" s="10"/>
      <c r="CI577" s="10"/>
      <c r="CJ577" s="10"/>
      <c r="CK577" s="10"/>
      <c r="CL577" s="10"/>
      <c r="CM577" s="10"/>
      <c r="CN577" s="10"/>
      <c r="CO577" s="10"/>
      <c r="CP577" s="10"/>
      <c r="CQ577" s="10"/>
      <c r="CR577" s="10"/>
      <c r="CS577" s="10"/>
      <c r="CT577" s="10"/>
      <c r="CU577" s="10"/>
      <c r="CV577" s="10"/>
      <c r="CW577" s="10"/>
      <c r="CX577" s="10"/>
      <c r="CY577" s="10"/>
      <c r="CZ577" s="10"/>
      <c r="DA577" s="10"/>
      <c r="DB577" s="10"/>
      <c r="DC577" s="10"/>
      <c r="DD577" s="10"/>
      <c r="DE577" s="10"/>
      <c r="DF577" s="10"/>
      <c r="DG577" s="10"/>
      <c r="DH577" s="10"/>
      <c r="DI577" s="10"/>
      <c r="DJ577" s="10"/>
      <c r="DK577" s="10"/>
      <c r="DL577" s="10"/>
      <c r="DM577" s="10"/>
      <c r="DN577" s="10"/>
      <c r="DO577" s="10"/>
      <c r="DP577" s="10"/>
      <c r="DQ577" s="10"/>
      <c r="DR577" s="10"/>
      <c r="DS577" s="10"/>
      <c r="DT577" s="10"/>
      <c r="DU577" s="10"/>
      <c r="DV577" s="10"/>
      <c r="DW577" s="10"/>
      <c r="DX577" s="10"/>
      <c r="DY577" s="10"/>
      <c r="DZ577" s="10"/>
      <c r="EA577" s="10"/>
      <c r="EB577" s="10"/>
      <c r="EC577" s="10"/>
      <c r="ED577" s="10"/>
      <c r="EE577" s="10"/>
      <c r="EF577" s="10"/>
      <c r="EG577" s="10"/>
      <c r="EH577" s="10"/>
      <c r="EI577" s="10"/>
      <c r="EJ577" s="10"/>
      <c r="EK577" s="10"/>
      <c r="EL577" s="10"/>
      <c r="EM577" s="10"/>
      <c r="EN577" s="10"/>
      <c r="EO577" s="10"/>
      <c r="EP577" s="10"/>
      <c r="EQ577" s="10"/>
      <c r="ER577" s="10"/>
      <c r="ES577" s="10"/>
      <c r="ET577" s="10"/>
      <c r="EU577" s="10"/>
      <c r="EV577" s="10"/>
      <c r="EW577" s="10"/>
      <c r="EX577" s="10"/>
      <c r="EY577" s="10"/>
      <c r="EZ577" s="10"/>
      <c r="FA577" s="10"/>
      <c r="FB577" s="10"/>
      <c r="FC577" s="10"/>
      <c r="FD577" s="10"/>
      <c r="FE577" s="10"/>
      <c r="FF577" s="10"/>
      <c r="FG577" s="10"/>
      <c r="FH577" s="10"/>
      <c r="FI577" s="10"/>
      <c r="FJ577" s="10"/>
      <c r="FK577" s="10"/>
      <c r="FL577" s="10"/>
      <c r="FM577" s="10"/>
      <c r="FN577" s="10"/>
      <c r="FO577" s="10"/>
      <c r="FP577" s="10"/>
      <c r="FQ577" s="10"/>
      <c r="FR577" s="10"/>
      <c r="FS577" s="10"/>
      <c r="FT577" s="10"/>
      <c r="FU577" s="10"/>
      <c r="FV577" s="10"/>
      <c r="FW577" s="10"/>
      <c r="FX577" s="10"/>
      <c r="FY577" s="10"/>
      <c r="FZ577" s="10"/>
      <c r="GA577" s="10"/>
      <c r="GB577" s="10"/>
      <c r="GC577" s="10"/>
      <c r="GD577" s="10"/>
      <c r="GE577" s="10"/>
      <c r="GF577" s="10"/>
      <c r="GG577" s="10"/>
      <c r="GH577" s="10"/>
      <c r="GI577" s="10"/>
      <c r="GJ577" s="10"/>
      <c r="GK577" s="10"/>
    </row>
    <row r="578" customFormat="false" ht="12.75" hidden="false" customHeight="false" outlineLevel="0" collapsed="false">
      <c r="A578" s="7"/>
      <c r="B578" s="7"/>
      <c r="C578" s="8"/>
      <c r="D578" s="8"/>
      <c r="E578" s="8"/>
      <c r="F578" s="8"/>
      <c r="G578" s="9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  <c r="BT578" s="10"/>
      <c r="BU578" s="10"/>
      <c r="BV578" s="10"/>
      <c r="BW578" s="10"/>
      <c r="BX578" s="10"/>
      <c r="BY578" s="10"/>
      <c r="BZ578" s="10"/>
      <c r="CA578" s="10"/>
      <c r="CB578" s="10"/>
      <c r="CC578" s="10"/>
      <c r="CD578" s="10"/>
      <c r="CE578" s="10"/>
      <c r="CF578" s="10"/>
      <c r="CG578" s="10"/>
      <c r="CH578" s="10"/>
      <c r="CI578" s="10"/>
      <c r="CJ578" s="10"/>
      <c r="CK578" s="10"/>
      <c r="CL578" s="10"/>
      <c r="CM578" s="10"/>
      <c r="CN578" s="10"/>
      <c r="CO578" s="10"/>
      <c r="CP578" s="10"/>
      <c r="CQ578" s="10"/>
      <c r="CR578" s="10"/>
      <c r="CS578" s="10"/>
      <c r="CT578" s="10"/>
      <c r="CU578" s="10"/>
      <c r="CV578" s="10"/>
      <c r="CW578" s="10"/>
      <c r="CX578" s="10"/>
      <c r="CY578" s="10"/>
      <c r="CZ578" s="10"/>
      <c r="DA578" s="10"/>
      <c r="DB578" s="10"/>
      <c r="DC578" s="10"/>
      <c r="DD578" s="10"/>
      <c r="DE578" s="10"/>
      <c r="DF578" s="10"/>
      <c r="DG578" s="10"/>
      <c r="DH578" s="10"/>
      <c r="DI578" s="10"/>
      <c r="DJ578" s="10"/>
      <c r="DK578" s="10"/>
      <c r="DL578" s="10"/>
      <c r="DM578" s="10"/>
      <c r="DN578" s="10"/>
      <c r="DO578" s="10"/>
      <c r="DP578" s="10"/>
      <c r="DQ578" s="10"/>
      <c r="DR578" s="10"/>
      <c r="DS578" s="10"/>
      <c r="DT578" s="10"/>
      <c r="DU578" s="10"/>
      <c r="DV578" s="10"/>
      <c r="DW578" s="10"/>
      <c r="DX578" s="10"/>
      <c r="DY578" s="10"/>
      <c r="DZ578" s="10"/>
      <c r="EA578" s="10"/>
      <c r="EB578" s="10"/>
      <c r="EC578" s="10"/>
      <c r="ED578" s="10"/>
      <c r="EE578" s="10"/>
      <c r="EF578" s="10"/>
      <c r="EG578" s="10"/>
      <c r="EH578" s="10"/>
      <c r="EI578" s="10"/>
      <c r="EJ578" s="10"/>
      <c r="EK578" s="10"/>
      <c r="EL578" s="10"/>
      <c r="EM578" s="10"/>
      <c r="EN578" s="10"/>
      <c r="EO578" s="10"/>
      <c r="EP578" s="10"/>
      <c r="EQ578" s="10"/>
      <c r="ER578" s="10"/>
      <c r="ES578" s="10"/>
      <c r="ET578" s="10"/>
      <c r="EU578" s="10"/>
      <c r="EV578" s="10"/>
      <c r="EW578" s="10"/>
      <c r="EX578" s="10"/>
      <c r="EY578" s="10"/>
      <c r="EZ578" s="10"/>
      <c r="FA578" s="10"/>
      <c r="FB578" s="10"/>
      <c r="FC578" s="10"/>
      <c r="FD578" s="10"/>
      <c r="FE578" s="10"/>
      <c r="FF578" s="10"/>
      <c r="FG578" s="10"/>
      <c r="FH578" s="10"/>
      <c r="FI578" s="10"/>
      <c r="FJ578" s="10"/>
      <c r="FK578" s="10"/>
      <c r="FL578" s="10"/>
      <c r="FM578" s="10"/>
      <c r="FN578" s="10"/>
      <c r="FO578" s="10"/>
      <c r="FP578" s="10"/>
      <c r="FQ578" s="10"/>
      <c r="FR578" s="10"/>
      <c r="FS578" s="10"/>
      <c r="FT578" s="10"/>
      <c r="FU578" s="10"/>
      <c r="FV578" s="10"/>
      <c r="FW578" s="10"/>
      <c r="FX578" s="10"/>
      <c r="FY578" s="10"/>
      <c r="FZ578" s="10"/>
      <c r="GA578" s="10"/>
      <c r="GB578" s="10"/>
      <c r="GC578" s="10"/>
      <c r="GD578" s="10"/>
      <c r="GE578" s="10"/>
      <c r="GF578" s="10"/>
      <c r="GG578" s="10"/>
      <c r="GH578" s="10"/>
      <c r="GI578" s="10"/>
      <c r="GJ578" s="10"/>
      <c r="GK578" s="10"/>
    </row>
    <row r="579" customFormat="false" ht="12.75" hidden="false" customHeight="false" outlineLevel="0" collapsed="false">
      <c r="A579" s="7"/>
      <c r="B579" s="7"/>
      <c r="C579" s="8"/>
      <c r="D579" s="8"/>
      <c r="E579" s="8"/>
      <c r="F579" s="8"/>
      <c r="G579" s="9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  <c r="BT579" s="10"/>
      <c r="BU579" s="10"/>
      <c r="BV579" s="10"/>
      <c r="BW579" s="10"/>
      <c r="BX579" s="10"/>
      <c r="BY579" s="10"/>
      <c r="BZ579" s="10"/>
      <c r="CA579" s="10"/>
      <c r="CB579" s="10"/>
      <c r="CC579" s="10"/>
      <c r="CD579" s="10"/>
      <c r="CE579" s="10"/>
      <c r="CF579" s="10"/>
      <c r="CG579" s="10"/>
      <c r="CH579" s="10"/>
      <c r="CI579" s="10"/>
      <c r="CJ579" s="10"/>
      <c r="CK579" s="10"/>
      <c r="CL579" s="10"/>
      <c r="CM579" s="10"/>
      <c r="CN579" s="10"/>
      <c r="CO579" s="10"/>
      <c r="CP579" s="10"/>
      <c r="CQ579" s="10"/>
      <c r="CR579" s="10"/>
      <c r="CS579" s="10"/>
      <c r="CT579" s="10"/>
      <c r="CU579" s="10"/>
      <c r="CV579" s="10"/>
      <c r="CW579" s="10"/>
      <c r="CX579" s="10"/>
      <c r="CY579" s="10"/>
      <c r="CZ579" s="10"/>
      <c r="DA579" s="10"/>
      <c r="DB579" s="10"/>
      <c r="DC579" s="10"/>
      <c r="DD579" s="10"/>
      <c r="DE579" s="10"/>
      <c r="DF579" s="10"/>
      <c r="DG579" s="10"/>
      <c r="DH579" s="10"/>
      <c r="DI579" s="10"/>
      <c r="DJ579" s="10"/>
      <c r="DK579" s="10"/>
      <c r="DL579" s="10"/>
      <c r="DM579" s="10"/>
      <c r="DN579" s="10"/>
      <c r="DO579" s="10"/>
      <c r="DP579" s="10"/>
      <c r="DQ579" s="10"/>
      <c r="DR579" s="10"/>
      <c r="DS579" s="10"/>
      <c r="DT579" s="10"/>
      <c r="DU579" s="10"/>
      <c r="DV579" s="10"/>
      <c r="DW579" s="10"/>
      <c r="DX579" s="10"/>
      <c r="DY579" s="10"/>
      <c r="DZ579" s="10"/>
      <c r="EA579" s="10"/>
      <c r="EB579" s="10"/>
      <c r="EC579" s="10"/>
      <c r="ED579" s="10"/>
      <c r="EE579" s="10"/>
      <c r="EF579" s="10"/>
      <c r="EG579" s="10"/>
      <c r="EH579" s="10"/>
      <c r="EI579" s="10"/>
      <c r="EJ579" s="10"/>
      <c r="EK579" s="10"/>
      <c r="EL579" s="10"/>
      <c r="EM579" s="10"/>
      <c r="EN579" s="10"/>
      <c r="EO579" s="10"/>
      <c r="EP579" s="10"/>
      <c r="EQ579" s="10"/>
      <c r="ER579" s="10"/>
      <c r="ES579" s="10"/>
      <c r="ET579" s="10"/>
      <c r="EU579" s="10"/>
      <c r="EV579" s="10"/>
      <c r="EW579" s="10"/>
      <c r="EX579" s="10"/>
      <c r="EY579" s="10"/>
      <c r="EZ579" s="10"/>
      <c r="FA579" s="10"/>
      <c r="FB579" s="10"/>
      <c r="FC579" s="10"/>
      <c r="FD579" s="10"/>
      <c r="FE579" s="10"/>
      <c r="FF579" s="10"/>
      <c r="FG579" s="10"/>
      <c r="FH579" s="10"/>
      <c r="FI579" s="10"/>
      <c r="FJ579" s="10"/>
      <c r="FK579" s="10"/>
      <c r="FL579" s="10"/>
      <c r="FM579" s="10"/>
      <c r="FN579" s="10"/>
      <c r="FO579" s="10"/>
      <c r="FP579" s="10"/>
      <c r="FQ579" s="10"/>
      <c r="FR579" s="10"/>
      <c r="FS579" s="10"/>
      <c r="FT579" s="10"/>
      <c r="FU579" s="10"/>
      <c r="FV579" s="10"/>
      <c r="FW579" s="10"/>
      <c r="FX579" s="10"/>
      <c r="FY579" s="10"/>
      <c r="FZ579" s="10"/>
      <c r="GA579" s="10"/>
      <c r="GB579" s="10"/>
      <c r="GC579" s="10"/>
      <c r="GD579" s="10"/>
      <c r="GE579" s="10"/>
      <c r="GF579" s="10"/>
      <c r="GG579" s="10"/>
      <c r="GH579" s="10"/>
      <c r="GI579" s="10"/>
      <c r="GJ579" s="10"/>
      <c r="GK579" s="10"/>
    </row>
    <row r="580" customFormat="false" ht="12.75" hidden="false" customHeight="false" outlineLevel="0" collapsed="false">
      <c r="A580" s="7"/>
      <c r="B580" s="7"/>
      <c r="C580" s="8"/>
      <c r="D580" s="8"/>
      <c r="E580" s="8"/>
      <c r="F580" s="8"/>
      <c r="G580" s="9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  <c r="BU580" s="10"/>
      <c r="BV580" s="10"/>
      <c r="BW580" s="10"/>
      <c r="BX580" s="10"/>
      <c r="BY580" s="10"/>
      <c r="BZ580" s="10"/>
      <c r="CA580" s="10"/>
      <c r="CB580" s="10"/>
      <c r="CC580" s="10"/>
      <c r="CD580" s="10"/>
      <c r="CE580" s="10"/>
      <c r="CF580" s="10"/>
      <c r="CG580" s="10"/>
      <c r="CH580" s="10"/>
      <c r="CI580" s="10"/>
      <c r="CJ580" s="10"/>
      <c r="CK580" s="10"/>
      <c r="CL580" s="10"/>
      <c r="CM580" s="10"/>
      <c r="CN580" s="10"/>
      <c r="CO580" s="10"/>
      <c r="CP580" s="10"/>
      <c r="CQ580" s="10"/>
      <c r="CR580" s="10"/>
      <c r="CS580" s="10"/>
      <c r="CT580" s="10"/>
      <c r="CU580" s="10"/>
      <c r="CV580" s="10"/>
      <c r="CW580" s="10"/>
      <c r="CX580" s="10"/>
      <c r="CY580" s="10"/>
      <c r="CZ580" s="10"/>
      <c r="DA580" s="10"/>
      <c r="DB580" s="10"/>
      <c r="DC580" s="10"/>
      <c r="DD580" s="10"/>
      <c r="DE580" s="10"/>
      <c r="DF580" s="10"/>
      <c r="DG580" s="10"/>
      <c r="DH580" s="10"/>
      <c r="DI580" s="10"/>
      <c r="DJ580" s="10"/>
      <c r="DK580" s="10"/>
      <c r="DL580" s="10"/>
      <c r="DM580" s="10"/>
      <c r="DN580" s="10"/>
      <c r="DO580" s="10"/>
      <c r="DP580" s="10"/>
      <c r="DQ580" s="10"/>
      <c r="DR580" s="10"/>
      <c r="DS580" s="10"/>
      <c r="DT580" s="10"/>
      <c r="DU580" s="10"/>
      <c r="DV580" s="10"/>
      <c r="DW580" s="10"/>
      <c r="DX580" s="10"/>
      <c r="DY580" s="10"/>
      <c r="DZ580" s="10"/>
      <c r="EA580" s="10"/>
      <c r="EB580" s="10"/>
      <c r="EC580" s="10"/>
      <c r="ED580" s="10"/>
      <c r="EE580" s="10"/>
      <c r="EF580" s="10"/>
      <c r="EG580" s="10"/>
      <c r="EH580" s="10"/>
      <c r="EI580" s="10"/>
      <c r="EJ580" s="10"/>
      <c r="EK580" s="10"/>
      <c r="EL580" s="10"/>
      <c r="EM580" s="10"/>
      <c r="EN580" s="10"/>
      <c r="EO580" s="10"/>
      <c r="EP580" s="10"/>
      <c r="EQ580" s="10"/>
      <c r="ER580" s="10"/>
      <c r="ES580" s="10"/>
      <c r="ET580" s="10"/>
      <c r="EU580" s="10"/>
      <c r="EV580" s="10"/>
      <c r="EW580" s="10"/>
      <c r="EX580" s="10"/>
      <c r="EY580" s="10"/>
      <c r="EZ580" s="10"/>
      <c r="FA580" s="10"/>
      <c r="FB580" s="10"/>
      <c r="FC580" s="10"/>
      <c r="FD580" s="10"/>
      <c r="FE580" s="10"/>
      <c r="FF580" s="10"/>
      <c r="FG580" s="10"/>
      <c r="FH580" s="10"/>
      <c r="FI580" s="10"/>
      <c r="FJ580" s="10"/>
      <c r="FK580" s="10"/>
      <c r="FL580" s="10"/>
      <c r="FM580" s="10"/>
      <c r="FN580" s="10"/>
      <c r="FO580" s="10"/>
      <c r="FP580" s="10"/>
      <c r="FQ580" s="10"/>
      <c r="FR580" s="10"/>
      <c r="FS580" s="10"/>
      <c r="FT580" s="10"/>
      <c r="FU580" s="10"/>
      <c r="FV580" s="10"/>
      <c r="FW580" s="10"/>
      <c r="FX580" s="10"/>
      <c r="FY580" s="10"/>
      <c r="FZ580" s="10"/>
      <c r="GA580" s="10"/>
      <c r="GB580" s="10"/>
      <c r="GC580" s="10"/>
      <c r="GD580" s="10"/>
      <c r="GE580" s="10"/>
      <c r="GF580" s="10"/>
      <c r="GG580" s="10"/>
      <c r="GH580" s="10"/>
      <c r="GI580" s="10"/>
      <c r="GJ580" s="10"/>
      <c r="GK580" s="10"/>
    </row>
    <row r="581" customFormat="false" ht="12.75" hidden="false" customHeight="false" outlineLevel="0" collapsed="false">
      <c r="A581" s="7"/>
      <c r="B581" s="7"/>
      <c r="C581" s="8"/>
      <c r="D581" s="8"/>
      <c r="E581" s="8"/>
      <c r="F581" s="8"/>
      <c r="G581" s="9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  <c r="BU581" s="10"/>
      <c r="BV581" s="10"/>
      <c r="BW581" s="10"/>
      <c r="BX581" s="10"/>
      <c r="BY581" s="10"/>
      <c r="BZ581" s="10"/>
      <c r="CA581" s="10"/>
      <c r="CB581" s="10"/>
      <c r="CC581" s="10"/>
      <c r="CD581" s="10"/>
      <c r="CE581" s="10"/>
      <c r="CF581" s="10"/>
      <c r="CG581" s="10"/>
      <c r="CH581" s="10"/>
      <c r="CI581" s="10"/>
      <c r="CJ581" s="10"/>
      <c r="CK581" s="10"/>
      <c r="CL581" s="10"/>
      <c r="CM581" s="10"/>
      <c r="CN581" s="10"/>
      <c r="CO581" s="10"/>
      <c r="CP581" s="10"/>
      <c r="CQ581" s="10"/>
      <c r="CR581" s="10"/>
      <c r="CS581" s="10"/>
      <c r="CT581" s="10"/>
      <c r="CU581" s="10"/>
      <c r="CV581" s="10"/>
      <c r="CW581" s="10"/>
      <c r="CX581" s="10"/>
      <c r="CY581" s="10"/>
      <c r="CZ581" s="10"/>
      <c r="DA581" s="10"/>
      <c r="DB581" s="10"/>
      <c r="DC581" s="10"/>
      <c r="DD581" s="10"/>
      <c r="DE581" s="10"/>
      <c r="DF581" s="10"/>
      <c r="DG581" s="10"/>
      <c r="DH581" s="10"/>
      <c r="DI581" s="10"/>
      <c r="DJ581" s="10"/>
      <c r="DK581" s="10"/>
      <c r="DL581" s="10"/>
      <c r="DM581" s="10"/>
      <c r="DN581" s="10"/>
      <c r="DO581" s="10"/>
      <c r="DP581" s="10"/>
      <c r="DQ581" s="10"/>
      <c r="DR581" s="10"/>
      <c r="DS581" s="10"/>
      <c r="DT581" s="10"/>
      <c r="DU581" s="10"/>
      <c r="DV581" s="10"/>
      <c r="DW581" s="10"/>
      <c r="DX581" s="10"/>
      <c r="DY581" s="10"/>
      <c r="DZ581" s="10"/>
      <c r="EA581" s="10"/>
      <c r="EB581" s="10"/>
      <c r="EC581" s="10"/>
      <c r="ED581" s="10"/>
      <c r="EE581" s="10"/>
      <c r="EF581" s="10"/>
      <c r="EG581" s="10"/>
      <c r="EH581" s="10"/>
      <c r="EI581" s="10"/>
      <c r="EJ581" s="10"/>
      <c r="EK581" s="10"/>
      <c r="EL581" s="10"/>
      <c r="EM581" s="10"/>
      <c r="EN581" s="10"/>
      <c r="EO581" s="10"/>
      <c r="EP581" s="10"/>
      <c r="EQ581" s="10"/>
      <c r="ER581" s="10"/>
      <c r="ES581" s="10"/>
      <c r="ET581" s="10"/>
      <c r="EU581" s="10"/>
      <c r="EV581" s="10"/>
      <c r="EW581" s="10"/>
      <c r="EX581" s="10"/>
      <c r="EY581" s="10"/>
      <c r="EZ581" s="10"/>
      <c r="FA581" s="10"/>
      <c r="FB581" s="10"/>
      <c r="FC581" s="10"/>
      <c r="FD581" s="10"/>
      <c r="FE581" s="10"/>
      <c r="FF581" s="10"/>
      <c r="FG581" s="10"/>
      <c r="FH581" s="10"/>
      <c r="FI581" s="10"/>
      <c r="FJ581" s="10"/>
      <c r="FK581" s="10"/>
      <c r="FL581" s="10"/>
      <c r="FM581" s="10"/>
      <c r="FN581" s="10"/>
      <c r="FO581" s="10"/>
      <c r="FP581" s="10"/>
      <c r="FQ581" s="10"/>
      <c r="FR581" s="10"/>
      <c r="FS581" s="10"/>
      <c r="FT581" s="10"/>
      <c r="FU581" s="10"/>
      <c r="FV581" s="10"/>
      <c r="FW581" s="10"/>
      <c r="FX581" s="10"/>
      <c r="FY581" s="10"/>
      <c r="FZ581" s="10"/>
      <c r="GA581" s="10"/>
      <c r="GB581" s="10"/>
      <c r="GC581" s="10"/>
      <c r="GD581" s="10"/>
      <c r="GE581" s="10"/>
      <c r="GF581" s="10"/>
      <c r="GG581" s="10"/>
      <c r="GH581" s="10"/>
      <c r="GI581" s="10"/>
      <c r="GJ581" s="10"/>
      <c r="GK581" s="10"/>
    </row>
    <row r="582" customFormat="false" ht="12.75" hidden="false" customHeight="false" outlineLevel="0" collapsed="false">
      <c r="A582" s="7"/>
      <c r="B582" s="7"/>
      <c r="C582" s="8"/>
      <c r="D582" s="8"/>
      <c r="E582" s="8"/>
      <c r="F582" s="8"/>
      <c r="G582" s="9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  <c r="BT582" s="10"/>
      <c r="BU582" s="10"/>
      <c r="BV582" s="10"/>
      <c r="BW582" s="10"/>
      <c r="BX582" s="10"/>
      <c r="BY582" s="10"/>
      <c r="BZ582" s="10"/>
      <c r="CA582" s="10"/>
      <c r="CB582" s="10"/>
      <c r="CC582" s="10"/>
      <c r="CD582" s="10"/>
      <c r="CE582" s="10"/>
      <c r="CF582" s="10"/>
      <c r="CG582" s="10"/>
      <c r="CH582" s="10"/>
      <c r="CI582" s="10"/>
      <c r="CJ582" s="10"/>
      <c r="CK582" s="10"/>
      <c r="CL582" s="10"/>
      <c r="CM582" s="10"/>
      <c r="CN582" s="10"/>
      <c r="CO582" s="10"/>
      <c r="CP582" s="10"/>
      <c r="CQ582" s="10"/>
      <c r="CR582" s="10"/>
      <c r="CS582" s="10"/>
      <c r="CT582" s="10"/>
      <c r="CU582" s="10"/>
      <c r="CV582" s="10"/>
      <c r="CW582" s="10"/>
      <c r="CX582" s="10"/>
      <c r="CY582" s="10"/>
      <c r="CZ582" s="10"/>
      <c r="DA582" s="10"/>
      <c r="DB582" s="10"/>
      <c r="DC582" s="10"/>
      <c r="DD582" s="10"/>
      <c r="DE582" s="10"/>
      <c r="DF582" s="10"/>
      <c r="DG582" s="10"/>
      <c r="DH582" s="10"/>
      <c r="DI582" s="10"/>
      <c r="DJ582" s="10"/>
      <c r="DK582" s="10"/>
      <c r="DL582" s="10"/>
      <c r="DM582" s="10"/>
      <c r="DN582" s="10"/>
      <c r="DO582" s="10"/>
      <c r="DP582" s="10"/>
      <c r="DQ582" s="10"/>
      <c r="DR582" s="10"/>
      <c r="DS582" s="10"/>
      <c r="DT582" s="10"/>
      <c r="DU582" s="10"/>
      <c r="DV582" s="10"/>
      <c r="DW582" s="10"/>
      <c r="DX582" s="10"/>
      <c r="DY582" s="10"/>
      <c r="DZ582" s="10"/>
      <c r="EA582" s="10"/>
      <c r="EB582" s="10"/>
      <c r="EC582" s="10"/>
      <c r="ED582" s="10"/>
      <c r="EE582" s="10"/>
      <c r="EF582" s="10"/>
      <c r="EG582" s="10"/>
      <c r="EH582" s="10"/>
      <c r="EI582" s="10"/>
      <c r="EJ582" s="10"/>
      <c r="EK582" s="10"/>
      <c r="EL582" s="10"/>
      <c r="EM582" s="10"/>
      <c r="EN582" s="10"/>
      <c r="EO582" s="10"/>
      <c r="EP582" s="10"/>
      <c r="EQ582" s="10"/>
      <c r="ER582" s="10"/>
      <c r="ES582" s="10"/>
      <c r="ET582" s="10"/>
      <c r="EU582" s="10"/>
      <c r="EV582" s="10"/>
      <c r="EW582" s="10"/>
      <c r="EX582" s="10"/>
      <c r="EY582" s="10"/>
      <c r="EZ582" s="10"/>
      <c r="FA582" s="10"/>
      <c r="FB582" s="10"/>
      <c r="FC582" s="10"/>
      <c r="FD582" s="10"/>
      <c r="FE582" s="10"/>
      <c r="FF582" s="10"/>
      <c r="FG582" s="10"/>
      <c r="FH582" s="10"/>
      <c r="FI582" s="10"/>
      <c r="FJ582" s="10"/>
      <c r="FK582" s="10"/>
      <c r="FL582" s="10"/>
      <c r="FM582" s="10"/>
      <c r="FN582" s="10"/>
      <c r="FO582" s="10"/>
      <c r="FP582" s="10"/>
      <c r="FQ582" s="10"/>
      <c r="FR582" s="10"/>
      <c r="FS582" s="10"/>
      <c r="FT582" s="10"/>
      <c r="FU582" s="10"/>
      <c r="FV582" s="10"/>
      <c r="FW582" s="10"/>
      <c r="FX582" s="10"/>
      <c r="FY582" s="10"/>
      <c r="FZ582" s="10"/>
      <c r="GA582" s="10"/>
      <c r="GB582" s="10"/>
      <c r="GC582" s="10"/>
      <c r="GD582" s="10"/>
      <c r="GE582" s="10"/>
      <c r="GF582" s="10"/>
      <c r="GG582" s="10"/>
      <c r="GH582" s="10"/>
      <c r="GI582" s="10"/>
      <c r="GJ582" s="10"/>
      <c r="GK582" s="10"/>
    </row>
    <row r="583" customFormat="false" ht="12.75" hidden="false" customHeight="false" outlineLevel="0" collapsed="false">
      <c r="A583" s="7"/>
      <c r="B583" s="7"/>
      <c r="C583" s="8"/>
      <c r="D583" s="8"/>
      <c r="E583" s="8"/>
      <c r="F583" s="8"/>
      <c r="G583" s="9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  <c r="CB583" s="10"/>
      <c r="CC583" s="10"/>
      <c r="CD583" s="10"/>
      <c r="CE583" s="10"/>
      <c r="CF583" s="10"/>
      <c r="CG583" s="10"/>
      <c r="CH583" s="10"/>
      <c r="CI583" s="10"/>
      <c r="CJ583" s="10"/>
      <c r="CK583" s="10"/>
      <c r="CL583" s="10"/>
      <c r="CM583" s="10"/>
      <c r="CN583" s="10"/>
      <c r="CO583" s="10"/>
      <c r="CP583" s="10"/>
      <c r="CQ583" s="10"/>
      <c r="CR583" s="10"/>
      <c r="CS583" s="10"/>
      <c r="CT583" s="10"/>
      <c r="CU583" s="10"/>
      <c r="CV583" s="10"/>
      <c r="CW583" s="10"/>
      <c r="CX583" s="10"/>
      <c r="CY583" s="10"/>
      <c r="CZ583" s="10"/>
      <c r="DA583" s="10"/>
      <c r="DB583" s="10"/>
      <c r="DC583" s="10"/>
      <c r="DD583" s="10"/>
      <c r="DE583" s="10"/>
      <c r="DF583" s="10"/>
      <c r="DG583" s="10"/>
      <c r="DH583" s="10"/>
      <c r="DI583" s="10"/>
      <c r="DJ583" s="10"/>
      <c r="DK583" s="10"/>
      <c r="DL583" s="10"/>
      <c r="DM583" s="10"/>
      <c r="DN583" s="10"/>
      <c r="DO583" s="10"/>
      <c r="DP583" s="10"/>
      <c r="DQ583" s="10"/>
      <c r="DR583" s="10"/>
      <c r="DS583" s="10"/>
      <c r="DT583" s="10"/>
      <c r="DU583" s="10"/>
      <c r="DV583" s="10"/>
      <c r="DW583" s="10"/>
      <c r="DX583" s="10"/>
      <c r="DY583" s="10"/>
      <c r="DZ583" s="10"/>
      <c r="EA583" s="10"/>
      <c r="EB583" s="10"/>
      <c r="EC583" s="10"/>
      <c r="ED583" s="10"/>
      <c r="EE583" s="10"/>
      <c r="EF583" s="10"/>
      <c r="EG583" s="10"/>
      <c r="EH583" s="10"/>
      <c r="EI583" s="10"/>
      <c r="EJ583" s="10"/>
      <c r="EK583" s="10"/>
      <c r="EL583" s="10"/>
      <c r="EM583" s="10"/>
      <c r="EN583" s="10"/>
      <c r="EO583" s="10"/>
      <c r="EP583" s="10"/>
      <c r="EQ583" s="10"/>
      <c r="ER583" s="10"/>
      <c r="ES583" s="10"/>
      <c r="ET583" s="10"/>
      <c r="EU583" s="10"/>
      <c r="EV583" s="10"/>
      <c r="EW583" s="10"/>
      <c r="EX583" s="10"/>
      <c r="EY583" s="10"/>
      <c r="EZ583" s="10"/>
      <c r="FA583" s="10"/>
      <c r="FB583" s="10"/>
      <c r="FC583" s="10"/>
      <c r="FD583" s="10"/>
      <c r="FE583" s="10"/>
      <c r="FF583" s="10"/>
      <c r="FG583" s="10"/>
      <c r="FH583" s="10"/>
      <c r="FI583" s="10"/>
      <c r="FJ583" s="10"/>
      <c r="FK583" s="10"/>
      <c r="FL583" s="10"/>
      <c r="FM583" s="10"/>
      <c r="FN583" s="10"/>
      <c r="FO583" s="10"/>
      <c r="FP583" s="10"/>
      <c r="FQ583" s="10"/>
      <c r="FR583" s="10"/>
      <c r="FS583" s="10"/>
      <c r="FT583" s="10"/>
      <c r="FU583" s="10"/>
      <c r="FV583" s="10"/>
      <c r="FW583" s="10"/>
      <c r="FX583" s="10"/>
      <c r="FY583" s="10"/>
      <c r="FZ583" s="10"/>
      <c r="GA583" s="10"/>
      <c r="GB583" s="10"/>
      <c r="GC583" s="10"/>
      <c r="GD583" s="10"/>
      <c r="GE583" s="10"/>
      <c r="GF583" s="10"/>
      <c r="GG583" s="10"/>
      <c r="GH583" s="10"/>
      <c r="GI583" s="10"/>
      <c r="GJ583" s="10"/>
      <c r="GK583" s="10"/>
    </row>
    <row r="584" customFormat="false" ht="12.75" hidden="false" customHeight="false" outlineLevel="0" collapsed="false">
      <c r="A584" s="7"/>
      <c r="B584" s="7"/>
      <c r="C584" s="8"/>
      <c r="D584" s="8"/>
      <c r="E584" s="8"/>
      <c r="F584" s="8"/>
      <c r="G584" s="9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  <c r="BT584" s="10"/>
      <c r="BU584" s="10"/>
      <c r="BV584" s="10"/>
      <c r="BW584" s="10"/>
      <c r="BX584" s="10"/>
      <c r="BY584" s="10"/>
      <c r="BZ584" s="10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  <c r="EM584" s="10"/>
      <c r="EN584" s="10"/>
      <c r="EO584" s="10"/>
      <c r="EP584" s="10"/>
      <c r="EQ584" s="10"/>
      <c r="ER584" s="10"/>
      <c r="ES584" s="10"/>
      <c r="ET584" s="10"/>
      <c r="EU584" s="10"/>
      <c r="EV584" s="10"/>
      <c r="EW584" s="10"/>
      <c r="EX584" s="10"/>
      <c r="EY584" s="10"/>
      <c r="EZ584" s="10"/>
      <c r="FA584" s="10"/>
      <c r="FB584" s="10"/>
      <c r="FC584" s="10"/>
      <c r="FD584" s="10"/>
      <c r="FE584" s="10"/>
      <c r="FF584" s="10"/>
      <c r="FG584" s="10"/>
      <c r="FH584" s="10"/>
      <c r="FI584" s="10"/>
      <c r="FJ584" s="10"/>
      <c r="FK584" s="10"/>
      <c r="FL584" s="10"/>
      <c r="FM584" s="10"/>
      <c r="FN584" s="10"/>
      <c r="FO584" s="10"/>
      <c r="FP584" s="10"/>
      <c r="FQ584" s="10"/>
      <c r="FR584" s="10"/>
      <c r="FS584" s="10"/>
      <c r="FT584" s="10"/>
      <c r="FU584" s="10"/>
      <c r="FV584" s="10"/>
      <c r="FW584" s="10"/>
      <c r="FX584" s="10"/>
      <c r="FY584" s="10"/>
      <c r="FZ584" s="10"/>
      <c r="GA584" s="10"/>
      <c r="GB584" s="10"/>
      <c r="GC584" s="10"/>
      <c r="GD584" s="10"/>
      <c r="GE584" s="10"/>
      <c r="GF584" s="10"/>
      <c r="GG584" s="10"/>
      <c r="GH584" s="10"/>
      <c r="GI584" s="10"/>
      <c r="GJ584" s="10"/>
      <c r="GK584" s="10"/>
    </row>
    <row r="585" customFormat="false" ht="12.75" hidden="false" customHeight="false" outlineLevel="0" collapsed="false">
      <c r="A585" s="7"/>
      <c r="B585" s="7"/>
      <c r="C585" s="8"/>
      <c r="D585" s="8"/>
      <c r="E585" s="8"/>
      <c r="F585" s="8"/>
      <c r="G585" s="9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  <c r="BT585" s="10"/>
      <c r="BU585" s="10"/>
      <c r="BV585" s="10"/>
      <c r="BW585" s="10"/>
      <c r="BX585" s="10"/>
      <c r="BY585" s="10"/>
      <c r="BZ585" s="10"/>
      <c r="CA585" s="10"/>
      <c r="CB585" s="10"/>
      <c r="CC585" s="10"/>
      <c r="CD585" s="10"/>
      <c r="CE585" s="10"/>
      <c r="CF585" s="10"/>
      <c r="CG585" s="10"/>
      <c r="CH585" s="10"/>
      <c r="CI585" s="10"/>
      <c r="CJ585" s="10"/>
      <c r="CK585" s="10"/>
      <c r="CL585" s="10"/>
      <c r="CM585" s="10"/>
      <c r="CN585" s="10"/>
      <c r="CO585" s="10"/>
      <c r="CP585" s="10"/>
      <c r="CQ585" s="10"/>
      <c r="CR585" s="10"/>
      <c r="CS585" s="10"/>
      <c r="CT585" s="10"/>
      <c r="CU585" s="10"/>
      <c r="CV585" s="10"/>
      <c r="CW585" s="10"/>
      <c r="CX585" s="10"/>
      <c r="CY585" s="10"/>
      <c r="CZ585" s="10"/>
      <c r="DA585" s="10"/>
      <c r="DB585" s="10"/>
      <c r="DC585" s="10"/>
      <c r="DD585" s="10"/>
      <c r="DE585" s="10"/>
      <c r="DF585" s="10"/>
      <c r="DG585" s="10"/>
      <c r="DH585" s="10"/>
      <c r="DI585" s="10"/>
      <c r="DJ585" s="10"/>
      <c r="DK585" s="10"/>
      <c r="DL585" s="10"/>
      <c r="DM585" s="10"/>
      <c r="DN585" s="10"/>
      <c r="DO585" s="10"/>
      <c r="DP585" s="10"/>
      <c r="DQ585" s="10"/>
      <c r="DR585" s="10"/>
      <c r="DS585" s="10"/>
      <c r="DT585" s="10"/>
      <c r="DU585" s="10"/>
      <c r="DV585" s="10"/>
      <c r="DW585" s="10"/>
      <c r="DX585" s="10"/>
      <c r="DY585" s="10"/>
      <c r="DZ585" s="10"/>
      <c r="EA585" s="10"/>
      <c r="EB585" s="10"/>
      <c r="EC585" s="10"/>
      <c r="ED585" s="10"/>
      <c r="EE585" s="10"/>
      <c r="EF585" s="10"/>
      <c r="EG585" s="10"/>
      <c r="EH585" s="10"/>
      <c r="EI585" s="10"/>
      <c r="EJ585" s="10"/>
      <c r="EK585" s="10"/>
      <c r="EL585" s="10"/>
      <c r="EM585" s="10"/>
      <c r="EN585" s="10"/>
      <c r="EO585" s="10"/>
      <c r="EP585" s="10"/>
      <c r="EQ585" s="10"/>
      <c r="ER585" s="10"/>
      <c r="ES585" s="10"/>
      <c r="ET585" s="10"/>
      <c r="EU585" s="10"/>
      <c r="EV585" s="10"/>
      <c r="EW585" s="10"/>
      <c r="EX585" s="10"/>
      <c r="EY585" s="10"/>
      <c r="EZ585" s="10"/>
      <c r="FA585" s="10"/>
      <c r="FB585" s="10"/>
      <c r="FC585" s="10"/>
      <c r="FD585" s="10"/>
      <c r="FE585" s="10"/>
      <c r="FF585" s="10"/>
      <c r="FG585" s="10"/>
      <c r="FH585" s="10"/>
      <c r="FI585" s="10"/>
      <c r="FJ585" s="10"/>
      <c r="FK585" s="10"/>
      <c r="FL585" s="10"/>
      <c r="FM585" s="10"/>
      <c r="FN585" s="10"/>
      <c r="FO585" s="10"/>
      <c r="FP585" s="10"/>
      <c r="FQ585" s="10"/>
      <c r="FR585" s="10"/>
      <c r="FS585" s="10"/>
      <c r="FT585" s="10"/>
      <c r="FU585" s="10"/>
      <c r="FV585" s="10"/>
      <c r="FW585" s="10"/>
      <c r="FX585" s="10"/>
      <c r="FY585" s="10"/>
      <c r="FZ585" s="10"/>
      <c r="GA585" s="10"/>
      <c r="GB585" s="10"/>
      <c r="GC585" s="10"/>
      <c r="GD585" s="10"/>
      <c r="GE585" s="10"/>
      <c r="GF585" s="10"/>
      <c r="GG585" s="10"/>
      <c r="GH585" s="10"/>
      <c r="GI585" s="10"/>
      <c r="GJ585" s="10"/>
      <c r="GK585" s="10"/>
    </row>
    <row r="586" customFormat="false" ht="12.75" hidden="false" customHeight="false" outlineLevel="0" collapsed="false">
      <c r="A586" s="7"/>
      <c r="B586" s="7"/>
      <c r="C586" s="8"/>
      <c r="D586" s="8"/>
      <c r="E586" s="8"/>
      <c r="F586" s="8"/>
      <c r="G586" s="9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  <c r="BT586" s="10"/>
      <c r="BU586" s="10"/>
      <c r="BV586" s="10"/>
      <c r="BW586" s="10"/>
      <c r="BX586" s="10"/>
      <c r="BY586" s="10"/>
      <c r="BZ586" s="10"/>
      <c r="CA586" s="10"/>
      <c r="CB586" s="10"/>
      <c r="CC586" s="10"/>
      <c r="CD586" s="10"/>
      <c r="CE586" s="10"/>
      <c r="CF586" s="10"/>
      <c r="CG586" s="10"/>
      <c r="CH586" s="10"/>
      <c r="CI586" s="10"/>
      <c r="CJ586" s="10"/>
      <c r="CK586" s="10"/>
      <c r="CL586" s="10"/>
      <c r="CM586" s="10"/>
      <c r="CN586" s="10"/>
      <c r="CO586" s="10"/>
      <c r="CP586" s="10"/>
      <c r="CQ586" s="10"/>
      <c r="CR586" s="10"/>
      <c r="CS586" s="10"/>
      <c r="CT586" s="10"/>
      <c r="CU586" s="10"/>
      <c r="CV586" s="10"/>
      <c r="CW586" s="10"/>
      <c r="CX586" s="10"/>
      <c r="CY586" s="10"/>
      <c r="CZ586" s="10"/>
      <c r="DA586" s="10"/>
      <c r="DB586" s="10"/>
      <c r="DC586" s="10"/>
      <c r="DD586" s="10"/>
      <c r="DE586" s="10"/>
      <c r="DF586" s="10"/>
      <c r="DG586" s="10"/>
      <c r="DH586" s="10"/>
      <c r="DI586" s="10"/>
      <c r="DJ586" s="10"/>
      <c r="DK586" s="10"/>
      <c r="DL586" s="10"/>
      <c r="DM586" s="10"/>
      <c r="DN586" s="10"/>
      <c r="DO586" s="10"/>
      <c r="DP586" s="10"/>
      <c r="DQ586" s="10"/>
      <c r="DR586" s="10"/>
      <c r="DS586" s="10"/>
      <c r="DT586" s="10"/>
      <c r="DU586" s="10"/>
      <c r="DV586" s="10"/>
      <c r="DW586" s="10"/>
      <c r="DX586" s="10"/>
      <c r="DY586" s="10"/>
      <c r="DZ586" s="10"/>
      <c r="EA586" s="10"/>
      <c r="EB586" s="10"/>
      <c r="EC586" s="10"/>
      <c r="ED586" s="10"/>
      <c r="EE586" s="10"/>
      <c r="EF586" s="10"/>
      <c r="EG586" s="10"/>
      <c r="EH586" s="10"/>
      <c r="EI586" s="10"/>
      <c r="EJ586" s="10"/>
      <c r="EK586" s="10"/>
      <c r="EL586" s="10"/>
      <c r="EM586" s="10"/>
      <c r="EN586" s="10"/>
      <c r="EO586" s="10"/>
      <c r="EP586" s="10"/>
      <c r="EQ586" s="10"/>
      <c r="ER586" s="10"/>
      <c r="ES586" s="10"/>
      <c r="ET586" s="10"/>
      <c r="EU586" s="10"/>
      <c r="EV586" s="10"/>
      <c r="EW586" s="10"/>
      <c r="EX586" s="10"/>
      <c r="EY586" s="10"/>
      <c r="EZ586" s="10"/>
      <c r="FA586" s="10"/>
      <c r="FB586" s="10"/>
      <c r="FC586" s="10"/>
      <c r="FD586" s="10"/>
      <c r="FE586" s="10"/>
      <c r="FF586" s="10"/>
      <c r="FG586" s="10"/>
      <c r="FH586" s="10"/>
      <c r="FI586" s="10"/>
      <c r="FJ586" s="10"/>
      <c r="FK586" s="10"/>
      <c r="FL586" s="10"/>
      <c r="FM586" s="10"/>
      <c r="FN586" s="10"/>
      <c r="FO586" s="10"/>
      <c r="FP586" s="10"/>
      <c r="FQ586" s="10"/>
      <c r="FR586" s="10"/>
      <c r="FS586" s="10"/>
      <c r="FT586" s="10"/>
      <c r="FU586" s="10"/>
      <c r="FV586" s="10"/>
      <c r="FW586" s="10"/>
      <c r="FX586" s="10"/>
      <c r="FY586" s="10"/>
      <c r="FZ586" s="10"/>
      <c r="GA586" s="10"/>
      <c r="GB586" s="10"/>
      <c r="GC586" s="10"/>
      <c r="GD586" s="10"/>
      <c r="GE586" s="10"/>
      <c r="GF586" s="10"/>
      <c r="GG586" s="10"/>
      <c r="GH586" s="10"/>
      <c r="GI586" s="10"/>
      <c r="GJ586" s="10"/>
      <c r="GK586" s="10"/>
    </row>
    <row r="587" customFormat="false" ht="12.75" hidden="false" customHeight="false" outlineLevel="0" collapsed="false">
      <c r="A587" s="7"/>
      <c r="B587" s="7"/>
      <c r="C587" s="8"/>
      <c r="D587" s="8"/>
      <c r="E587" s="8"/>
      <c r="F587" s="8"/>
      <c r="G587" s="9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  <c r="BT587" s="10"/>
      <c r="BU587" s="10"/>
      <c r="BV587" s="10"/>
      <c r="BW587" s="10"/>
      <c r="BX587" s="10"/>
      <c r="BY587" s="10"/>
      <c r="BZ587" s="10"/>
      <c r="CA587" s="10"/>
      <c r="CB587" s="10"/>
      <c r="CC587" s="10"/>
      <c r="CD587" s="10"/>
      <c r="CE587" s="10"/>
      <c r="CF587" s="10"/>
      <c r="CG587" s="10"/>
      <c r="CH587" s="10"/>
      <c r="CI587" s="10"/>
      <c r="CJ587" s="10"/>
      <c r="CK587" s="10"/>
      <c r="CL587" s="10"/>
      <c r="CM587" s="10"/>
      <c r="CN587" s="10"/>
      <c r="CO587" s="10"/>
      <c r="CP587" s="10"/>
      <c r="CQ587" s="10"/>
      <c r="CR587" s="10"/>
      <c r="CS587" s="10"/>
      <c r="CT587" s="10"/>
      <c r="CU587" s="10"/>
      <c r="CV587" s="10"/>
      <c r="CW587" s="10"/>
      <c r="CX587" s="10"/>
      <c r="CY587" s="10"/>
      <c r="CZ587" s="10"/>
      <c r="DA587" s="10"/>
      <c r="DB587" s="10"/>
      <c r="DC587" s="10"/>
      <c r="DD587" s="10"/>
      <c r="DE587" s="10"/>
      <c r="DF587" s="10"/>
      <c r="DG587" s="10"/>
      <c r="DH587" s="10"/>
      <c r="DI587" s="10"/>
      <c r="DJ587" s="10"/>
      <c r="DK587" s="10"/>
      <c r="DL587" s="10"/>
      <c r="DM587" s="10"/>
      <c r="DN587" s="10"/>
      <c r="DO587" s="10"/>
      <c r="DP587" s="10"/>
      <c r="DQ587" s="10"/>
      <c r="DR587" s="10"/>
      <c r="DS587" s="10"/>
      <c r="DT587" s="10"/>
      <c r="DU587" s="10"/>
      <c r="DV587" s="10"/>
      <c r="DW587" s="10"/>
      <c r="DX587" s="10"/>
      <c r="DY587" s="10"/>
      <c r="DZ587" s="10"/>
      <c r="EA587" s="10"/>
      <c r="EB587" s="10"/>
      <c r="EC587" s="10"/>
      <c r="ED587" s="10"/>
      <c r="EE587" s="10"/>
      <c r="EF587" s="10"/>
      <c r="EG587" s="10"/>
      <c r="EH587" s="10"/>
      <c r="EI587" s="10"/>
      <c r="EJ587" s="10"/>
      <c r="EK587" s="10"/>
      <c r="EL587" s="10"/>
      <c r="EM587" s="10"/>
      <c r="EN587" s="10"/>
      <c r="EO587" s="10"/>
      <c r="EP587" s="10"/>
      <c r="EQ587" s="10"/>
      <c r="ER587" s="10"/>
      <c r="ES587" s="10"/>
      <c r="ET587" s="10"/>
      <c r="EU587" s="10"/>
      <c r="EV587" s="10"/>
      <c r="EW587" s="10"/>
      <c r="EX587" s="10"/>
      <c r="EY587" s="10"/>
      <c r="EZ587" s="10"/>
      <c r="FA587" s="10"/>
      <c r="FB587" s="10"/>
      <c r="FC587" s="10"/>
      <c r="FD587" s="10"/>
      <c r="FE587" s="10"/>
      <c r="FF587" s="10"/>
      <c r="FG587" s="10"/>
      <c r="FH587" s="10"/>
      <c r="FI587" s="10"/>
      <c r="FJ587" s="10"/>
      <c r="FK587" s="10"/>
      <c r="FL587" s="10"/>
      <c r="FM587" s="10"/>
      <c r="FN587" s="10"/>
      <c r="FO587" s="10"/>
      <c r="FP587" s="10"/>
      <c r="FQ587" s="10"/>
      <c r="FR587" s="10"/>
      <c r="FS587" s="10"/>
      <c r="FT587" s="10"/>
      <c r="FU587" s="10"/>
      <c r="FV587" s="10"/>
      <c r="FW587" s="10"/>
      <c r="FX587" s="10"/>
      <c r="FY587" s="10"/>
      <c r="FZ587" s="10"/>
      <c r="GA587" s="10"/>
      <c r="GB587" s="10"/>
      <c r="GC587" s="10"/>
      <c r="GD587" s="10"/>
      <c r="GE587" s="10"/>
      <c r="GF587" s="10"/>
      <c r="GG587" s="10"/>
      <c r="GH587" s="10"/>
      <c r="GI587" s="10"/>
      <c r="GJ587" s="10"/>
      <c r="GK587" s="10"/>
    </row>
    <row r="588" customFormat="false" ht="12.75" hidden="false" customHeight="false" outlineLevel="0" collapsed="false">
      <c r="A588" s="7"/>
      <c r="B588" s="7"/>
      <c r="C588" s="8"/>
      <c r="D588" s="8"/>
      <c r="E588" s="8"/>
      <c r="F588" s="8"/>
      <c r="G588" s="9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  <c r="BU588" s="10"/>
      <c r="BV588" s="10"/>
      <c r="BW588" s="10"/>
      <c r="BX588" s="10"/>
      <c r="BY588" s="10"/>
      <c r="BZ588" s="10"/>
      <c r="CA588" s="10"/>
      <c r="CB588" s="10"/>
      <c r="CC588" s="10"/>
      <c r="CD588" s="10"/>
      <c r="CE588" s="10"/>
      <c r="CF588" s="10"/>
      <c r="CG588" s="10"/>
      <c r="CH588" s="10"/>
      <c r="CI588" s="10"/>
      <c r="CJ588" s="10"/>
      <c r="CK588" s="10"/>
      <c r="CL588" s="10"/>
      <c r="CM588" s="10"/>
      <c r="CN588" s="10"/>
      <c r="CO588" s="10"/>
      <c r="CP588" s="10"/>
      <c r="CQ588" s="10"/>
      <c r="CR588" s="10"/>
      <c r="CS588" s="10"/>
      <c r="CT588" s="10"/>
      <c r="CU588" s="10"/>
      <c r="CV588" s="10"/>
      <c r="CW588" s="10"/>
      <c r="CX588" s="10"/>
      <c r="CY588" s="10"/>
      <c r="CZ588" s="10"/>
      <c r="DA588" s="10"/>
      <c r="DB588" s="10"/>
      <c r="DC588" s="10"/>
      <c r="DD588" s="10"/>
      <c r="DE588" s="10"/>
      <c r="DF588" s="10"/>
      <c r="DG588" s="10"/>
      <c r="DH588" s="10"/>
      <c r="DI588" s="10"/>
      <c r="DJ588" s="10"/>
      <c r="DK588" s="10"/>
      <c r="DL588" s="10"/>
      <c r="DM588" s="10"/>
      <c r="DN588" s="10"/>
      <c r="DO588" s="10"/>
      <c r="DP588" s="10"/>
      <c r="DQ588" s="10"/>
      <c r="DR588" s="10"/>
      <c r="DS588" s="10"/>
      <c r="DT588" s="10"/>
      <c r="DU588" s="10"/>
      <c r="DV588" s="10"/>
      <c r="DW588" s="10"/>
      <c r="DX588" s="10"/>
      <c r="DY588" s="10"/>
      <c r="DZ588" s="10"/>
      <c r="EA588" s="10"/>
      <c r="EB588" s="10"/>
      <c r="EC588" s="10"/>
      <c r="ED588" s="10"/>
      <c r="EE588" s="10"/>
      <c r="EF588" s="10"/>
      <c r="EG588" s="10"/>
      <c r="EH588" s="10"/>
      <c r="EI588" s="10"/>
      <c r="EJ588" s="10"/>
      <c r="EK588" s="10"/>
      <c r="EL588" s="10"/>
      <c r="EM588" s="10"/>
      <c r="EN588" s="10"/>
      <c r="EO588" s="10"/>
      <c r="EP588" s="10"/>
      <c r="EQ588" s="10"/>
      <c r="ER588" s="10"/>
      <c r="ES588" s="10"/>
      <c r="ET588" s="10"/>
      <c r="EU588" s="10"/>
      <c r="EV588" s="10"/>
      <c r="EW588" s="10"/>
      <c r="EX588" s="10"/>
      <c r="EY588" s="10"/>
      <c r="EZ588" s="10"/>
      <c r="FA588" s="10"/>
      <c r="FB588" s="10"/>
      <c r="FC588" s="10"/>
      <c r="FD588" s="10"/>
      <c r="FE588" s="10"/>
      <c r="FF588" s="10"/>
      <c r="FG588" s="10"/>
      <c r="FH588" s="10"/>
      <c r="FI588" s="10"/>
      <c r="FJ588" s="10"/>
      <c r="FK588" s="10"/>
      <c r="FL588" s="10"/>
      <c r="FM588" s="10"/>
      <c r="FN588" s="10"/>
      <c r="FO588" s="10"/>
      <c r="FP588" s="10"/>
      <c r="FQ588" s="10"/>
      <c r="FR588" s="10"/>
      <c r="FS588" s="10"/>
      <c r="FT588" s="10"/>
      <c r="FU588" s="10"/>
      <c r="FV588" s="10"/>
      <c r="FW588" s="10"/>
      <c r="FX588" s="10"/>
      <c r="FY588" s="10"/>
      <c r="FZ588" s="10"/>
      <c r="GA588" s="10"/>
      <c r="GB588" s="10"/>
      <c r="GC588" s="10"/>
      <c r="GD588" s="10"/>
      <c r="GE588" s="10"/>
      <c r="GF588" s="10"/>
      <c r="GG588" s="10"/>
      <c r="GH588" s="10"/>
      <c r="GI588" s="10"/>
      <c r="GJ588" s="10"/>
      <c r="GK588" s="10"/>
    </row>
    <row r="589" customFormat="false" ht="12.75" hidden="false" customHeight="false" outlineLevel="0" collapsed="false">
      <c r="A589" s="7"/>
      <c r="B589" s="7"/>
      <c r="C589" s="8"/>
      <c r="D589" s="8"/>
      <c r="E589" s="8"/>
      <c r="F589" s="8"/>
      <c r="G589" s="9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  <c r="BU589" s="10"/>
      <c r="BV589" s="10"/>
      <c r="BW589" s="10"/>
      <c r="BX589" s="10"/>
      <c r="BY589" s="10"/>
      <c r="BZ589" s="10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  <c r="CS589" s="10"/>
      <c r="CT589" s="10"/>
      <c r="CU589" s="10"/>
      <c r="CV589" s="10"/>
      <c r="CW589" s="10"/>
      <c r="CX589" s="10"/>
      <c r="CY589" s="10"/>
      <c r="CZ589" s="10"/>
      <c r="DA589" s="10"/>
      <c r="DB589" s="10"/>
      <c r="DC589" s="10"/>
      <c r="DD589" s="10"/>
      <c r="DE589" s="10"/>
      <c r="DF589" s="10"/>
      <c r="DG589" s="10"/>
      <c r="DH589" s="10"/>
      <c r="DI589" s="10"/>
      <c r="DJ589" s="10"/>
      <c r="DK589" s="10"/>
      <c r="DL589" s="10"/>
      <c r="DM589" s="10"/>
      <c r="DN589" s="10"/>
      <c r="DO589" s="10"/>
      <c r="DP589" s="10"/>
      <c r="DQ589" s="10"/>
      <c r="DR589" s="10"/>
      <c r="DS589" s="10"/>
      <c r="DT589" s="10"/>
      <c r="DU589" s="10"/>
      <c r="DV589" s="10"/>
      <c r="DW589" s="10"/>
      <c r="DX589" s="10"/>
      <c r="DY589" s="10"/>
      <c r="DZ589" s="10"/>
      <c r="EA589" s="10"/>
      <c r="EB589" s="10"/>
      <c r="EC589" s="10"/>
      <c r="ED589" s="10"/>
      <c r="EE589" s="10"/>
      <c r="EF589" s="10"/>
      <c r="EG589" s="10"/>
      <c r="EH589" s="10"/>
      <c r="EI589" s="10"/>
      <c r="EJ589" s="10"/>
      <c r="EK589" s="10"/>
      <c r="EL589" s="10"/>
      <c r="EM589" s="10"/>
      <c r="EN589" s="10"/>
      <c r="EO589" s="10"/>
      <c r="EP589" s="10"/>
      <c r="EQ589" s="10"/>
      <c r="ER589" s="10"/>
      <c r="ES589" s="10"/>
      <c r="ET589" s="10"/>
      <c r="EU589" s="10"/>
      <c r="EV589" s="10"/>
      <c r="EW589" s="10"/>
      <c r="EX589" s="10"/>
      <c r="EY589" s="10"/>
      <c r="EZ589" s="10"/>
      <c r="FA589" s="10"/>
      <c r="FB589" s="10"/>
      <c r="FC589" s="10"/>
      <c r="FD589" s="10"/>
      <c r="FE589" s="10"/>
      <c r="FF589" s="10"/>
      <c r="FG589" s="10"/>
      <c r="FH589" s="10"/>
      <c r="FI589" s="10"/>
      <c r="FJ589" s="10"/>
      <c r="FK589" s="10"/>
      <c r="FL589" s="10"/>
      <c r="FM589" s="10"/>
      <c r="FN589" s="10"/>
      <c r="FO589" s="10"/>
      <c r="FP589" s="10"/>
      <c r="FQ589" s="10"/>
      <c r="FR589" s="10"/>
      <c r="FS589" s="10"/>
      <c r="FT589" s="10"/>
      <c r="FU589" s="10"/>
      <c r="FV589" s="10"/>
      <c r="FW589" s="10"/>
      <c r="FX589" s="10"/>
      <c r="FY589" s="10"/>
      <c r="FZ589" s="10"/>
      <c r="GA589" s="10"/>
      <c r="GB589" s="10"/>
      <c r="GC589" s="10"/>
      <c r="GD589" s="10"/>
      <c r="GE589" s="10"/>
      <c r="GF589" s="10"/>
      <c r="GG589" s="10"/>
      <c r="GH589" s="10"/>
      <c r="GI589" s="10"/>
      <c r="GJ589" s="10"/>
      <c r="GK589" s="10"/>
    </row>
    <row r="590" customFormat="false" ht="12.75" hidden="false" customHeight="false" outlineLevel="0" collapsed="false">
      <c r="A590" s="7"/>
      <c r="B590" s="7"/>
      <c r="C590" s="8"/>
      <c r="D590" s="8"/>
      <c r="E590" s="8"/>
      <c r="F590" s="8"/>
      <c r="G590" s="9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  <c r="BT590" s="10"/>
      <c r="BU590" s="10"/>
      <c r="BV590" s="10"/>
      <c r="BW590" s="10"/>
      <c r="BX590" s="10"/>
      <c r="BY590" s="10"/>
      <c r="BZ590" s="10"/>
      <c r="CA590" s="10"/>
      <c r="CB590" s="10"/>
      <c r="CC590" s="10"/>
      <c r="CD590" s="10"/>
      <c r="CE590" s="10"/>
      <c r="CF590" s="10"/>
      <c r="CG590" s="10"/>
      <c r="CH590" s="10"/>
      <c r="CI590" s="10"/>
      <c r="CJ590" s="10"/>
      <c r="CK590" s="10"/>
      <c r="CL590" s="10"/>
      <c r="CM590" s="10"/>
      <c r="CN590" s="10"/>
      <c r="CO590" s="10"/>
      <c r="CP590" s="10"/>
      <c r="CQ590" s="10"/>
      <c r="CR590" s="10"/>
      <c r="CS590" s="10"/>
      <c r="CT590" s="10"/>
      <c r="CU590" s="10"/>
      <c r="CV590" s="10"/>
      <c r="CW590" s="10"/>
      <c r="CX590" s="10"/>
      <c r="CY590" s="10"/>
      <c r="CZ590" s="10"/>
      <c r="DA590" s="10"/>
      <c r="DB590" s="10"/>
      <c r="DC590" s="10"/>
      <c r="DD590" s="10"/>
      <c r="DE590" s="10"/>
      <c r="DF590" s="10"/>
      <c r="DG590" s="10"/>
      <c r="DH590" s="10"/>
      <c r="DI590" s="10"/>
      <c r="DJ590" s="10"/>
      <c r="DK590" s="10"/>
      <c r="DL590" s="10"/>
      <c r="DM590" s="10"/>
      <c r="DN590" s="10"/>
      <c r="DO590" s="10"/>
      <c r="DP590" s="10"/>
      <c r="DQ590" s="10"/>
      <c r="DR590" s="10"/>
      <c r="DS590" s="10"/>
      <c r="DT590" s="10"/>
      <c r="DU590" s="10"/>
      <c r="DV590" s="10"/>
      <c r="DW590" s="10"/>
      <c r="DX590" s="10"/>
      <c r="DY590" s="10"/>
      <c r="DZ590" s="10"/>
      <c r="EA590" s="10"/>
      <c r="EB590" s="10"/>
      <c r="EC590" s="10"/>
      <c r="ED590" s="10"/>
      <c r="EE590" s="10"/>
      <c r="EF590" s="10"/>
      <c r="EG590" s="10"/>
      <c r="EH590" s="10"/>
      <c r="EI590" s="10"/>
      <c r="EJ590" s="10"/>
      <c r="EK590" s="10"/>
      <c r="EL590" s="10"/>
      <c r="EM590" s="10"/>
      <c r="EN590" s="10"/>
      <c r="EO590" s="10"/>
      <c r="EP590" s="10"/>
      <c r="EQ590" s="10"/>
      <c r="ER590" s="10"/>
      <c r="ES590" s="10"/>
      <c r="ET590" s="10"/>
      <c r="EU590" s="10"/>
      <c r="EV590" s="10"/>
      <c r="EW590" s="10"/>
      <c r="EX590" s="10"/>
      <c r="EY590" s="10"/>
      <c r="EZ590" s="10"/>
      <c r="FA590" s="10"/>
      <c r="FB590" s="10"/>
      <c r="FC590" s="10"/>
      <c r="FD590" s="10"/>
      <c r="FE590" s="10"/>
      <c r="FF590" s="10"/>
      <c r="FG590" s="10"/>
      <c r="FH590" s="10"/>
      <c r="FI590" s="10"/>
      <c r="FJ590" s="10"/>
      <c r="FK590" s="10"/>
      <c r="FL590" s="10"/>
      <c r="FM590" s="10"/>
      <c r="FN590" s="10"/>
      <c r="FO590" s="10"/>
      <c r="FP590" s="10"/>
      <c r="FQ590" s="10"/>
      <c r="FR590" s="10"/>
      <c r="FS590" s="10"/>
      <c r="FT590" s="10"/>
      <c r="FU590" s="10"/>
      <c r="FV590" s="10"/>
      <c r="FW590" s="10"/>
      <c r="FX590" s="10"/>
      <c r="FY590" s="10"/>
      <c r="FZ590" s="10"/>
      <c r="GA590" s="10"/>
      <c r="GB590" s="10"/>
      <c r="GC590" s="10"/>
      <c r="GD590" s="10"/>
      <c r="GE590" s="10"/>
      <c r="GF590" s="10"/>
      <c r="GG590" s="10"/>
      <c r="GH590" s="10"/>
      <c r="GI590" s="10"/>
      <c r="GJ590" s="10"/>
      <c r="GK590" s="10"/>
    </row>
    <row r="591" customFormat="false" ht="12.75" hidden="false" customHeight="false" outlineLevel="0" collapsed="false">
      <c r="A591" s="7"/>
      <c r="B591" s="7"/>
      <c r="C591" s="8"/>
      <c r="D591" s="8"/>
      <c r="E591" s="8"/>
      <c r="F591" s="8"/>
      <c r="G591" s="9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  <c r="BT591" s="10"/>
      <c r="BU591" s="10"/>
      <c r="BV591" s="10"/>
      <c r="BW591" s="10"/>
      <c r="BX591" s="10"/>
      <c r="BY591" s="10"/>
      <c r="BZ591" s="10"/>
      <c r="CA591" s="10"/>
      <c r="CB591" s="10"/>
      <c r="CC591" s="10"/>
      <c r="CD591" s="10"/>
      <c r="CE591" s="10"/>
      <c r="CF591" s="10"/>
      <c r="CG591" s="10"/>
      <c r="CH591" s="10"/>
      <c r="CI591" s="10"/>
      <c r="CJ591" s="10"/>
      <c r="CK591" s="10"/>
      <c r="CL591" s="10"/>
      <c r="CM591" s="10"/>
      <c r="CN591" s="10"/>
      <c r="CO591" s="10"/>
      <c r="CP591" s="10"/>
      <c r="CQ591" s="10"/>
      <c r="CR591" s="10"/>
      <c r="CS591" s="10"/>
      <c r="CT591" s="10"/>
      <c r="CU591" s="10"/>
      <c r="CV591" s="10"/>
      <c r="CW591" s="10"/>
      <c r="CX591" s="10"/>
      <c r="CY591" s="10"/>
      <c r="CZ591" s="10"/>
      <c r="DA591" s="10"/>
      <c r="DB591" s="10"/>
      <c r="DC591" s="10"/>
      <c r="DD591" s="10"/>
      <c r="DE591" s="10"/>
      <c r="DF591" s="10"/>
      <c r="DG591" s="10"/>
      <c r="DH591" s="10"/>
      <c r="DI591" s="10"/>
      <c r="DJ591" s="10"/>
      <c r="DK591" s="10"/>
      <c r="DL591" s="10"/>
      <c r="DM591" s="10"/>
      <c r="DN591" s="10"/>
      <c r="DO591" s="10"/>
      <c r="DP591" s="10"/>
      <c r="DQ591" s="10"/>
      <c r="DR591" s="10"/>
      <c r="DS591" s="10"/>
      <c r="DT591" s="10"/>
      <c r="DU591" s="10"/>
      <c r="DV591" s="10"/>
      <c r="DW591" s="10"/>
      <c r="DX591" s="10"/>
      <c r="DY591" s="10"/>
      <c r="DZ591" s="10"/>
      <c r="EA591" s="10"/>
      <c r="EB591" s="10"/>
      <c r="EC591" s="10"/>
      <c r="ED591" s="10"/>
      <c r="EE591" s="10"/>
      <c r="EF591" s="10"/>
      <c r="EG591" s="10"/>
      <c r="EH591" s="10"/>
      <c r="EI591" s="10"/>
      <c r="EJ591" s="10"/>
      <c r="EK591" s="10"/>
      <c r="EL591" s="10"/>
      <c r="EM591" s="10"/>
      <c r="EN591" s="10"/>
      <c r="EO591" s="10"/>
      <c r="EP591" s="10"/>
      <c r="EQ591" s="10"/>
      <c r="ER591" s="10"/>
      <c r="ES591" s="10"/>
      <c r="ET591" s="10"/>
      <c r="EU591" s="10"/>
      <c r="EV591" s="10"/>
      <c r="EW591" s="10"/>
      <c r="EX591" s="10"/>
      <c r="EY591" s="10"/>
      <c r="EZ591" s="10"/>
      <c r="FA591" s="10"/>
      <c r="FB591" s="10"/>
      <c r="FC591" s="10"/>
      <c r="FD591" s="10"/>
      <c r="FE591" s="10"/>
      <c r="FF591" s="10"/>
      <c r="FG591" s="10"/>
      <c r="FH591" s="10"/>
      <c r="FI591" s="10"/>
      <c r="FJ591" s="10"/>
      <c r="FK591" s="10"/>
      <c r="FL591" s="10"/>
      <c r="FM591" s="10"/>
      <c r="FN591" s="10"/>
      <c r="FO591" s="10"/>
      <c r="FP591" s="10"/>
      <c r="FQ591" s="10"/>
      <c r="FR591" s="10"/>
      <c r="FS591" s="10"/>
      <c r="FT591" s="10"/>
      <c r="FU591" s="10"/>
      <c r="FV591" s="10"/>
      <c r="FW591" s="10"/>
      <c r="FX591" s="10"/>
      <c r="FY591" s="10"/>
      <c r="FZ591" s="10"/>
      <c r="GA591" s="10"/>
      <c r="GB591" s="10"/>
      <c r="GC591" s="10"/>
      <c r="GD591" s="10"/>
      <c r="GE591" s="10"/>
      <c r="GF591" s="10"/>
      <c r="GG591" s="10"/>
      <c r="GH591" s="10"/>
      <c r="GI591" s="10"/>
      <c r="GJ591" s="10"/>
      <c r="GK591" s="10"/>
    </row>
    <row r="592" customFormat="false" ht="12.75" hidden="false" customHeight="false" outlineLevel="0" collapsed="false">
      <c r="A592" s="7"/>
      <c r="B592" s="7"/>
      <c r="C592" s="8"/>
      <c r="D592" s="8"/>
      <c r="E592" s="8"/>
      <c r="F592" s="8"/>
      <c r="G592" s="9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  <c r="BT592" s="10"/>
      <c r="BU592" s="10"/>
      <c r="BV592" s="10"/>
      <c r="BW592" s="10"/>
      <c r="BX592" s="10"/>
      <c r="BY592" s="10"/>
      <c r="BZ592" s="10"/>
      <c r="CA592" s="10"/>
      <c r="CB592" s="10"/>
      <c r="CC592" s="10"/>
      <c r="CD592" s="10"/>
      <c r="CE592" s="10"/>
      <c r="CF592" s="10"/>
      <c r="CG592" s="10"/>
      <c r="CH592" s="10"/>
      <c r="CI592" s="10"/>
      <c r="CJ592" s="10"/>
      <c r="CK592" s="10"/>
      <c r="CL592" s="10"/>
      <c r="CM592" s="10"/>
      <c r="CN592" s="10"/>
      <c r="CO592" s="10"/>
      <c r="CP592" s="10"/>
      <c r="CQ592" s="10"/>
      <c r="CR592" s="10"/>
      <c r="CS592" s="10"/>
      <c r="CT592" s="10"/>
      <c r="CU592" s="10"/>
      <c r="CV592" s="10"/>
      <c r="CW592" s="10"/>
      <c r="CX592" s="10"/>
      <c r="CY592" s="10"/>
      <c r="CZ592" s="10"/>
      <c r="DA592" s="10"/>
      <c r="DB592" s="10"/>
      <c r="DC592" s="10"/>
      <c r="DD592" s="10"/>
      <c r="DE592" s="10"/>
      <c r="DF592" s="10"/>
      <c r="DG592" s="10"/>
      <c r="DH592" s="10"/>
      <c r="DI592" s="10"/>
      <c r="DJ592" s="10"/>
      <c r="DK592" s="10"/>
      <c r="DL592" s="10"/>
      <c r="DM592" s="10"/>
      <c r="DN592" s="10"/>
      <c r="DO592" s="10"/>
      <c r="DP592" s="10"/>
      <c r="DQ592" s="10"/>
      <c r="DR592" s="10"/>
      <c r="DS592" s="10"/>
      <c r="DT592" s="10"/>
      <c r="DU592" s="10"/>
      <c r="DV592" s="10"/>
      <c r="DW592" s="10"/>
      <c r="DX592" s="10"/>
      <c r="DY592" s="10"/>
      <c r="DZ592" s="10"/>
      <c r="EA592" s="10"/>
      <c r="EB592" s="10"/>
      <c r="EC592" s="10"/>
      <c r="ED592" s="10"/>
      <c r="EE592" s="10"/>
      <c r="EF592" s="10"/>
      <c r="EG592" s="10"/>
      <c r="EH592" s="10"/>
      <c r="EI592" s="10"/>
      <c r="EJ592" s="10"/>
      <c r="EK592" s="10"/>
      <c r="EL592" s="10"/>
      <c r="EM592" s="10"/>
      <c r="EN592" s="10"/>
      <c r="EO592" s="10"/>
      <c r="EP592" s="10"/>
      <c r="EQ592" s="10"/>
      <c r="ER592" s="10"/>
      <c r="ES592" s="10"/>
      <c r="ET592" s="10"/>
      <c r="EU592" s="10"/>
      <c r="EV592" s="10"/>
      <c r="EW592" s="10"/>
      <c r="EX592" s="10"/>
      <c r="EY592" s="10"/>
      <c r="EZ592" s="10"/>
      <c r="FA592" s="10"/>
      <c r="FB592" s="10"/>
      <c r="FC592" s="10"/>
      <c r="FD592" s="10"/>
      <c r="FE592" s="10"/>
      <c r="FF592" s="10"/>
      <c r="FG592" s="10"/>
      <c r="FH592" s="10"/>
      <c r="FI592" s="10"/>
      <c r="FJ592" s="10"/>
      <c r="FK592" s="10"/>
      <c r="FL592" s="10"/>
      <c r="FM592" s="10"/>
      <c r="FN592" s="10"/>
      <c r="FO592" s="10"/>
      <c r="FP592" s="10"/>
      <c r="FQ592" s="10"/>
      <c r="FR592" s="10"/>
      <c r="FS592" s="10"/>
      <c r="FT592" s="10"/>
      <c r="FU592" s="10"/>
      <c r="FV592" s="10"/>
      <c r="FW592" s="10"/>
      <c r="FX592" s="10"/>
      <c r="FY592" s="10"/>
      <c r="FZ592" s="10"/>
      <c r="GA592" s="10"/>
      <c r="GB592" s="10"/>
      <c r="GC592" s="10"/>
      <c r="GD592" s="10"/>
      <c r="GE592" s="10"/>
      <c r="GF592" s="10"/>
      <c r="GG592" s="10"/>
      <c r="GH592" s="10"/>
      <c r="GI592" s="10"/>
      <c r="GJ592" s="10"/>
      <c r="GK592" s="10"/>
    </row>
    <row r="593" customFormat="false" ht="12.75" hidden="false" customHeight="false" outlineLevel="0" collapsed="false">
      <c r="A593" s="7"/>
      <c r="B593" s="7"/>
      <c r="C593" s="8"/>
      <c r="D593" s="8"/>
      <c r="E593" s="8"/>
      <c r="F593" s="8"/>
      <c r="G593" s="9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  <c r="BU593" s="10"/>
      <c r="BV593" s="10"/>
      <c r="BW593" s="10"/>
      <c r="BX593" s="10"/>
      <c r="BY593" s="10"/>
      <c r="BZ593" s="10"/>
      <c r="CA593" s="10"/>
      <c r="CB593" s="10"/>
      <c r="CC593" s="10"/>
      <c r="CD593" s="10"/>
      <c r="CE593" s="10"/>
      <c r="CF593" s="10"/>
      <c r="CG593" s="10"/>
      <c r="CH593" s="10"/>
      <c r="CI593" s="10"/>
      <c r="CJ593" s="10"/>
      <c r="CK593" s="10"/>
      <c r="CL593" s="10"/>
      <c r="CM593" s="10"/>
      <c r="CN593" s="10"/>
      <c r="CO593" s="10"/>
      <c r="CP593" s="10"/>
      <c r="CQ593" s="10"/>
      <c r="CR593" s="10"/>
      <c r="CS593" s="10"/>
      <c r="CT593" s="10"/>
      <c r="CU593" s="10"/>
      <c r="CV593" s="10"/>
      <c r="CW593" s="10"/>
      <c r="CX593" s="10"/>
      <c r="CY593" s="10"/>
      <c r="CZ593" s="10"/>
      <c r="DA593" s="10"/>
      <c r="DB593" s="10"/>
      <c r="DC593" s="10"/>
      <c r="DD593" s="10"/>
      <c r="DE593" s="10"/>
      <c r="DF593" s="10"/>
      <c r="DG593" s="10"/>
      <c r="DH593" s="10"/>
      <c r="DI593" s="10"/>
      <c r="DJ593" s="10"/>
      <c r="DK593" s="10"/>
      <c r="DL593" s="10"/>
      <c r="DM593" s="10"/>
      <c r="DN593" s="10"/>
      <c r="DO593" s="10"/>
      <c r="DP593" s="10"/>
      <c r="DQ593" s="10"/>
      <c r="DR593" s="10"/>
      <c r="DS593" s="10"/>
      <c r="DT593" s="10"/>
      <c r="DU593" s="10"/>
      <c r="DV593" s="10"/>
      <c r="DW593" s="10"/>
      <c r="DX593" s="10"/>
      <c r="DY593" s="10"/>
      <c r="DZ593" s="10"/>
      <c r="EA593" s="10"/>
      <c r="EB593" s="10"/>
      <c r="EC593" s="10"/>
      <c r="ED593" s="10"/>
      <c r="EE593" s="10"/>
      <c r="EF593" s="10"/>
      <c r="EG593" s="10"/>
      <c r="EH593" s="10"/>
      <c r="EI593" s="10"/>
      <c r="EJ593" s="10"/>
      <c r="EK593" s="10"/>
      <c r="EL593" s="10"/>
      <c r="EM593" s="10"/>
      <c r="EN593" s="10"/>
      <c r="EO593" s="10"/>
      <c r="EP593" s="10"/>
      <c r="EQ593" s="10"/>
      <c r="ER593" s="10"/>
      <c r="ES593" s="10"/>
      <c r="ET593" s="10"/>
      <c r="EU593" s="10"/>
      <c r="EV593" s="10"/>
      <c r="EW593" s="10"/>
      <c r="EX593" s="10"/>
      <c r="EY593" s="10"/>
      <c r="EZ593" s="10"/>
      <c r="FA593" s="10"/>
      <c r="FB593" s="10"/>
      <c r="FC593" s="10"/>
      <c r="FD593" s="10"/>
      <c r="FE593" s="10"/>
      <c r="FF593" s="10"/>
      <c r="FG593" s="10"/>
      <c r="FH593" s="10"/>
      <c r="FI593" s="10"/>
      <c r="FJ593" s="10"/>
      <c r="FK593" s="10"/>
      <c r="FL593" s="10"/>
      <c r="FM593" s="10"/>
      <c r="FN593" s="10"/>
      <c r="FO593" s="10"/>
      <c r="FP593" s="10"/>
      <c r="FQ593" s="10"/>
      <c r="FR593" s="10"/>
      <c r="FS593" s="10"/>
      <c r="FT593" s="10"/>
      <c r="FU593" s="10"/>
      <c r="FV593" s="10"/>
      <c r="FW593" s="10"/>
      <c r="FX593" s="10"/>
      <c r="FY593" s="10"/>
      <c r="FZ593" s="10"/>
      <c r="GA593" s="10"/>
      <c r="GB593" s="10"/>
      <c r="GC593" s="10"/>
      <c r="GD593" s="10"/>
      <c r="GE593" s="10"/>
      <c r="GF593" s="10"/>
      <c r="GG593" s="10"/>
      <c r="GH593" s="10"/>
      <c r="GI593" s="10"/>
      <c r="GJ593" s="10"/>
      <c r="GK593" s="10"/>
    </row>
    <row r="594" customFormat="false" ht="12.75" hidden="false" customHeight="false" outlineLevel="0" collapsed="false">
      <c r="A594" s="7"/>
      <c r="B594" s="7"/>
      <c r="C594" s="8"/>
      <c r="D594" s="8"/>
      <c r="E594" s="8"/>
      <c r="F594" s="8"/>
      <c r="G594" s="9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  <c r="BT594" s="10"/>
      <c r="BU594" s="10"/>
      <c r="BV594" s="10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  <c r="EM594" s="10"/>
      <c r="EN594" s="10"/>
      <c r="EO594" s="10"/>
      <c r="EP594" s="10"/>
      <c r="EQ594" s="10"/>
      <c r="ER594" s="10"/>
      <c r="ES594" s="10"/>
      <c r="ET594" s="10"/>
      <c r="EU594" s="10"/>
      <c r="EV594" s="10"/>
      <c r="EW594" s="10"/>
      <c r="EX594" s="10"/>
      <c r="EY594" s="10"/>
      <c r="EZ594" s="10"/>
      <c r="FA594" s="10"/>
      <c r="FB594" s="10"/>
      <c r="FC594" s="10"/>
      <c r="FD594" s="10"/>
      <c r="FE594" s="10"/>
      <c r="FF594" s="10"/>
      <c r="FG594" s="10"/>
      <c r="FH594" s="10"/>
      <c r="FI594" s="10"/>
      <c r="FJ594" s="10"/>
      <c r="FK594" s="10"/>
      <c r="FL594" s="10"/>
      <c r="FM594" s="10"/>
      <c r="FN594" s="10"/>
      <c r="FO594" s="10"/>
      <c r="FP594" s="10"/>
      <c r="FQ594" s="10"/>
      <c r="FR594" s="10"/>
      <c r="FS594" s="10"/>
      <c r="FT594" s="10"/>
      <c r="FU594" s="10"/>
      <c r="FV594" s="10"/>
      <c r="FW594" s="10"/>
      <c r="FX594" s="10"/>
      <c r="FY594" s="10"/>
      <c r="FZ594" s="10"/>
      <c r="GA594" s="10"/>
      <c r="GB594" s="10"/>
      <c r="GC594" s="10"/>
      <c r="GD594" s="10"/>
      <c r="GE594" s="10"/>
      <c r="GF594" s="10"/>
      <c r="GG594" s="10"/>
      <c r="GH594" s="10"/>
      <c r="GI594" s="10"/>
      <c r="GJ594" s="10"/>
      <c r="GK594" s="10"/>
    </row>
    <row r="595" customFormat="false" ht="12.75" hidden="false" customHeight="false" outlineLevel="0" collapsed="false">
      <c r="A595" s="7"/>
      <c r="B595" s="7"/>
      <c r="C595" s="8"/>
      <c r="D595" s="8"/>
      <c r="E595" s="8"/>
      <c r="F595" s="8"/>
      <c r="G595" s="9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  <c r="BT595" s="10"/>
      <c r="BU595" s="10"/>
      <c r="BV595" s="10"/>
      <c r="BW595" s="10"/>
      <c r="BX595" s="10"/>
      <c r="BY595" s="10"/>
      <c r="BZ595" s="10"/>
      <c r="CA595" s="10"/>
      <c r="CB595" s="10"/>
      <c r="CC595" s="10"/>
      <c r="CD595" s="10"/>
      <c r="CE595" s="10"/>
      <c r="CF595" s="10"/>
      <c r="CG595" s="10"/>
      <c r="CH595" s="10"/>
      <c r="CI595" s="10"/>
      <c r="CJ595" s="10"/>
      <c r="CK595" s="10"/>
      <c r="CL595" s="10"/>
      <c r="CM595" s="10"/>
      <c r="CN595" s="10"/>
      <c r="CO595" s="10"/>
      <c r="CP595" s="10"/>
      <c r="CQ595" s="10"/>
      <c r="CR595" s="10"/>
      <c r="CS595" s="10"/>
      <c r="CT595" s="10"/>
      <c r="CU595" s="10"/>
      <c r="CV595" s="10"/>
      <c r="CW595" s="10"/>
      <c r="CX595" s="10"/>
      <c r="CY595" s="10"/>
      <c r="CZ595" s="10"/>
      <c r="DA595" s="10"/>
      <c r="DB595" s="10"/>
      <c r="DC595" s="10"/>
      <c r="DD595" s="10"/>
      <c r="DE595" s="10"/>
      <c r="DF595" s="10"/>
      <c r="DG595" s="10"/>
      <c r="DH595" s="10"/>
      <c r="DI595" s="10"/>
      <c r="DJ595" s="10"/>
      <c r="DK595" s="10"/>
      <c r="DL595" s="10"/>
      <c r="DM595" s="10"/>
      <c r="DN595" s="10"/>
      <c r="DO595" s="10"/>
      <c r="DP595" s="10"/>
      <c r="DQ595" s="10"/>
      <c r="DR595" s="10"/>
      <c r="DS595" s="10"/>
      <c r="DT595" s="10"/>
      <c r="DU595" s="10"/>
      <c r="DV595" s="10"/>
      <c r="DW595" s="10"/>
      <c r="DX595" s="10"/>
      <c r="DY595" s="10"/>
      <c r="DZ595" s="10"/>
      <c r="EA595" s="10"/>
      <c r="EB595" s="10"/>
      <c r="EC595" s="10"/>
      <c r="ED595" s="10"/>
      <c r="EE595" s="10"/>
      <c r="EF595" s="10"/>
      <c r="EG595" s="10"/>
      <c r="EH595" s="10"/>
      <c r="EI595" s="10"/>
      <c r="EJ595" s="10"/>
      <c r="EK595" s="10"/>
      <c r="EL595" s="10"/>
      <c r="EM595" s="10"/>
      <c r="EN595" s="10"/>
      <c r="EO595" s="10"/>
      <c r="EP595" s="10"/>
      <c r="EQ595" s="10"/>
      <c r="ER595" s="10"/>
      <c r="ES595" s="10"/>
      <c r="ET595" s="10"/>
      <c r="EU595" s="10"/>
      <c r="EV595" s="10"/>
      <c r="EW595" s="10"/>
      <c r="EX595" s="10"/>
      <c r="EY595" s="10"/>
      <c r="EZ595" s="10"/>
      <c r="FA595" s="10"/>
      <c r="FB595" s="10"/>
      <c r="FC595" s="10"/>
      <c r="FD595" s="10"/>
      <c r="FE595" s="10"/>
      <c r="FF595" s="10"/>
      <c r="FG595" s="10"/>
      <c r="FH595" s="10"/>
      <c r="FI595" s="10"/>
      <c r="FJ595" s="10"/>
      <c r="FK595" s="10"/>
      <c r="FL595" s="10"/>
      <c r="FM595" s="10"/>
      <c r="FN595" s="10"/>
      <c r="FO595" s="10"/>
      <c r="FP595" s="10"/>
      <c r="FQ595" s="10"/>
      <c r="FR595" s="10"/>
      <c r="FS595" s="10"/>
      <c r="FT595" s="10"/>
      <c r="FU595" s="10"/>
      <c r="FV595" s="10"/>
      <c r="FW595" s="10"/>
      <c r="FX595" s="10"/>
      <c r="FY595" s="10"/>
      <c r="FZ595" s="10"/>
      <c r="GA595" s="10"/>
      <c r="GB595" s="10"/>
      <c r="GC595" s="10"/>
      <c r="GD595" s="10"/>
      <c r="GE595" s="10"/>
      <c r="GF595" s="10"/>
      <c r="GG595" s="10"/>
      <c r="GH595" s="10"/>
      <c r="GI595" s="10"/>
      <c r="GJ595" s="10"/>
      <c r="GK595" s="10"/>
    </row>
    <row r="596" customFormat="false" ht="12.75" hidden="false" customHeight="false" outlineLevel="0" collapsed="false">
      <c r="A596" s="7"/>
      <c r="B596" s="7"/>
      <c r="C596" s="8"/>
      <c r="D596" s="8"/>
      <c r="E596" s="8"/>
      <c r="F596" s="8"/>
      <c r="G596" s="9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  <c r="BU596" s="10"/>
      <c r="BV596" s="10"/>
      <c r="BW596" s="10"/>
      <c r="BX596" s="10"/>
      <c r="BY596" s="10"/>
      <c r="BZ596" s="10"/>
      <c r="CA596" s="10"/>
      <c r="CB596" s="10"/>
      <c r="CC596" s="10"/>
      <c r="CD596" s="10"/>
      <c r="CE596" s="10"/>
      <c r="CF596" s="10"/>
      <c r="CG596" s="10"/>
      <c r="CH596" s="10"/>
      <c r="CI596" s="10"/>
      <c r="CJ596" s="10"/>
      <c r="CK596" s="10"/>
      <c r="CL596" s="10"/>
      <c r="CM596" s="10"/>
      <c r="CN596" s="10"/>
      <c r="CO596" s="10"/>
      <c r="CP596" s="10"/>
      <c r="CQ596" s="10"/>
      <c r="CR596" s="10"/>
      <c r="CS596" s="10"/>
      <c r="CT596" s="10"/>
      <c r="CU596" s="10"/>
      <c r="CV596" s="10"/>
      <c r="CW596" s="10"/>
      <c r="CX596" s="10"/>
      <c r="CY596" s="10"/>
      <c r="CZ596" s="10"/>
      <c r="DA596" s="10"/>
      <c r="DB596" s="10"/>
      <c r="DC596" s="10"/>
      <c r="DD596" s="10"/>
      <c r="DE596" s="10"/>
      <c r="DF596" s="10"/>
      <c r="DG596" s="10"/>
      <c r="DH596" s="10"/>
      <c r="DI596" s="10"/>
      <c r="DJ596" s="10"/>
      <c r="DK596" s="10"/>
      <c r="DL596" s="10"/>
      <c r="DM596" s="10"/>
      <c r="DN596" s="10"/>
      <c r="DO596" s="10"/>
      <c r="DP596" s="10"/>
      <c r="DQ596" s="10"/>
      <c r="DR596" s="10"/>
      <c r="DS596" s="10"/>
      <c r="DT596" s="10"/>
      <c r="DU596" s="10"/>
      <c r="DV596" s="10"/>
      <c r="DW596" s="10"/>
      <c r="DX596" s="10"/>
      <c r="DY596" s="10"/>
      <c r="DZ596" s="10"/>
      <c r="EA596" s="10"/>
      <c r="EB596" s="10"/>
      <c r="EC596" s="10"/>
      <c r="ED596" s="10"/>
      <c r="EE596" s="10"/>
      <c r="EF596" s="10"/>
      <c r="EG596" s="10"/>
      <c r="EH596" s="10"/>
      <c r="EI596" s="10"/>
      <c r="EJ596" s="10"/>
      <c r="EK596" s="10"/>
      <c r="EL596" s="10"/>
      <c r="EM596" s="10"/>
      <c r="EN596" s="10"/>
      <c r="EO596" s="10"/>
      <c r="EP596" s="10"/>
      <c r="EQ596" s="10"/>
      <c r="ER596" s="10"/>
      <c r="ES596" s="10"/>
      <c r="ET596" s="10"/>
      <c r="EU596" s="10"/>
      <c r="EV596" s="10"/>
      <c r="EW596" s="10"/>
      <c r="EX596" s="10"/>
      <c r="EY596" s="10"/>
      <c r="EZ596" s="10"/>
      <c r="FA596" s="10"/>
      <c r="FB596" s="10"/>
      <c r="FC596" s="10"/>
      <c r="FD596" s="10"/>
      <c r="FE596" s="10"/>
      <c r="FF596" s="10"/>
      <c r="FG596" s="10"/>
      <c r="FH596" s="10"/>
      <c r="FI596" s="10"/>
      <c r="FJ596" s="10"/>
      <c r="FK596" s="10"/>
      <c r="FL596" s="10"/>
      <c r="FM596" s="10"/>
      <c r="FN596" s="10"/>
      <c r="FO596" s="10"/>
      <c r="FP596" s="10"/>
      <c r="FQ596" s="10"/>
      <c r="FR596" s="10"/>
      <c r="FS596" s="10"/>
      <c r="FT596" s="10"/>
      <c r="FU596" s="10"/>
      <c r="FV596" s="10"/>
      <c r="FW596" s="10"/>
      <c r="FX596" s="10"/>
      <c r="FY596" s="10"/>
      <c r="FZ596" s="10"/>
      <c r="GA596" s="10"/>
      <c r="GB596" s="10"/>
      <c r="GC596" s="10"/>
      <c r="GD596" s="10"/>
      <c r="GE596" s="10"/>
      <c r="GF596" s="10"/>
      <c r="GG596" s="10"/>
      <c r="GH596" s="10"/>
      <c r="GI596" s="10"/>
      <c r="GJ596" s="10"/>
      <c r="GK596" s="10"/>
    </row>
    <row r="597" customFormat="false" ht="12.75" hidden="false" customHeight="false" outlineLevel="0" collapsed="false">
      <c r="A597" s="7"/>
      <c r="B597" s="7"/>
      <c r="C597" s="8"/>
      <c r="D597" s="8"/>
      <c r="E597" s="8"/>
      <c r="F597" s="8"/>
      <c r="G597" s="9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  <c r="BU597" s="10"/>
      <c r="BV597" s="10"/>
      <c r="BW597" s="10"/>
      <c r="BX597" s="10"/>
      <c r="BY597" s="10"/>
      <c r="BZ597" s="10"/>
      <c r="CA597" s="10"/>
      <c r="CB597" s="10"/>
      <c r="CC597" s="10"/>
      <c r="CD597" s="10"/>
      <c r="CE597" s="10"/>
      <c r="CF597" s="10"/>
      <c r="CG597" s="10"/>
      <c r="CH597" s="10"/>
      <c r="CI597" s="10"/>
      <c r="CJ597" s="10"/>
      <c r="CK597" s="10"/>
      <c r="CL597" s="10"/>
      <c r="CM597" s="10"/>
      <c r="CN597" s="10"/>
      <c r="CO597" s="10"/>
      <c r="CP597" s="10"/>
      <c r="CQ597" s="10"/>
      <c r="CR597" s="10"/>
      <c r="CS597" s="10"/>
      <c r="CT597" s="10"/>
      <c r="CU597" s="10"/>
      <c r="CV597" s="10"/>
      <c r="CW597" s="10"/>
      <c r="CX597" s="10"/>
      <c r="CY597" s="10"/>
      <c r="CZ597" s="10"/>
      <c r="DA597" s="10"/>
      <c r="DB597" s="10"/>
      <c r="DC597" s="10"/>
      <c r="DD597" s="10"/>
      <c r="DE597" s="10"/>
      <c r="DF597" s="10"/>
      <c r="DG597" s="10"/>
      <c r="DH597" s="10"/>
      <c r="DI597" s="10"/>
      <c r="DJ597" s="10"/>
      <c r="DK597" s="10"/>
      <c r="DL597" s="10"/>
      <c r="DM597" s="10"/>
      <c r="DN597" s="10"/>
      <c r="DO597" s="10"/>
      <c r="DP597" s="10"/>
      <c r="DQ597" s="10"/>
      <c r="DR597" s="10"/>
      <c r="DS597" s="10"/>
      <c r="DT597" s="10"/>
      <c r="DU597" s="10"/>
      <c r="DV597" s="10"/>
      <c r="DW597" s="10"/>
      <c r="DX597" s="10"/>
      <c r="DY597" s="10"/>
      <c r="DZ597" s="10"/>
      <c r="EA597" s="10"/>
      <c r="EB597" s="10"/>
      <c r="EC597" s="10"/>
      <c r="ED597" s="10"/>
      <c r="EE597" s="10"/>
      <c r="EF597" s="10"/>
      <c r="EG597" s="10"/>
      <c r="EH597" s="10"/>
      <c r="EI597" s="10"/>
      <c r="EJ597" s="10"/>
      <c r="EK597" s="10"/>
      <c r="EL597" s="10"/>
      <c r="EM597" s="10"/>
      <c r="EN597" s="10"/>
      <c r="EO597" s="10"/>
      <c r="EP597" s="10"/>
      <c r="EQ597" s="10"/>
      <c r="ER597" s="10"/>
      <c r="ES597" s="10"/>
      <c r="ET597" s="10"/>
      <c r="EU597" s="10"/>
      <c r="EV597" s="10"/>
      <c r="EW597" s="10"/>
      <c r="EX597" s="10"/>
      <c r="EY597" s="10"/>
      <c r="EZ597" s="10"/>
      <c r="FA597" s="10"/>
      <c r="FB597" s="10"/>
      <c r="FC597" s="10"/>
      <c r="FD597" s="10"/>
      <c r="FE597" s="10"/>
      <c r="FF597" s="10"/>
      <c r="FG597" s="10"/>
      <c r="FH597" s="10"/>
      <c r="FI597" s="10"/>
      <c r="FJ597" s="10"/>
      <c r="FK597" s="10"/>
      <c r="FL597" s="10"/>
      <c r="FM597" s="10"/>
      <c r="FN597" s="10"/>
      <c r="FO597" s="10"/>
      <c r="FP597" s="10"/>
      <c r="FQ597" s="10"/>
      <c r="FR597" s="10"/>
      <c r="FS597" s="10"/>
      <c r="FT597" s="10"/>
      <c r="FU597" s="10"/>
      <c r="FV597" s="10"/>
      <c r="FW597" s="10"/>
      <c r="FX597" s="10"/>
      <c r="FY597" s="10"/>
      <c r="FZ597" s="10"/>
      <c r="GA597" s="10"/>
      <c r="GB597" s="10"/>
      <c r="GC597" s="10"/>
      <c r="GD597" s="10"/>
      <c r="GE597" s="10"/>
      <c r="GF597" s="10"/>
      <c r="GG597" s="10"/>
      <c r="GH597" s="10"/>
      <c r="GI597" s="10"/>
      <c r="GJ597" s="10"/>
      <c r="GK597" s="10"/>
    </row>
    <row r="598" customFormat="false" ht="12.75" hidden="false" customHeight="false" outlineLevel="0" collapsed="false">
      <c r="A598" s="7"/>
      <c r="B598" s="7"/>
      <c r="C598" s="8"/>
      <c r="D598" s="8"/>
      <c r="E598" s="8"/>
      <c r="F598" s="8"/>
      <c r="G598" s="9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  <c r="BT598" s="10"/>
      <c r="BU598" s="10"/>
      <c r="BV598" s="10"/>
      <c r="BW598" s="10"/>
      <c r="BX598" s="10"/>
      <c r="BY598" s="10"/>
      <c r="BZ598" s="10"/>
      <c r="CA598" s="10"/>
      <c r="CB598" s="10"/>
      <c r="CC598" s="10"/>
      <c r="CD598" s="10"/>
      <c r="CE598" s="10"/>
      <c r="CF598" s="10"/>
      <c r="CG598" s="10"/>
      <c r="CH598" s="10"/>
      <c r="CI598" s="10"/>
      <c r="CJ598" s="10"/>
      <c r="CK598" s="10"/>
      <c r="CL598" s="10"/>
      <c r="CM598" s="10"/>
      <c r="CN598" s="10"/>
      <c r="CO598" s="10"/>
      <c r="CP598" s="10"/>
      <c r="CQ598" s="10"/>
      <c r="CR598" s="10"/>
      <c r="CS598" s="10"/>
      <c r="CT598" s="10"/>
      <c r="CU598" s="10"/>
      <c r="CV598" s="10"/>
      <c r="CW598" s="10"/>
      <c r="CX598" s="10"/>
      <c r="CY598" s="10"/>
      <c r="CZ598" s="10"/>
      <c r="DA598" s="10"/>
      <c r="DB598" s="10"/>
      <c r="DC598" s="10"/>
      <c r="DD598" s="10"/>
      <c r="DE598" s="10"/>
      <c r="DF598" s="10"/>
      <c r="DG598" s="10"/>
      <c r="DH598" s="10"/>
      <c r="DI598" s="10"/>
      <c r="DJ598" s="10"/>
      <c r="DK598" s="10"/>
      <c r="DL598" s="10"/>
      <c r="DM598" s="10"/>
      <c r="DN598" s="10"/>
      <c r="DO598" s="10"/>
      <c r="DP598" s="10"/>
      <c r="DQ598" s="10"/>
      <c r="DR598" s="10"/>
      <c r="DS598" s="10"/>
      <c r="DT598" s="10"/>
      <c r="DU598" s="10"/>
      <c r="DV598" s="10"/>
      <c r="DW598" s="10"/>
      <c r="DX598" s="10"/>
      <c r="DY598" s="10"/>
      <c r="DZ598" s="10"/>
      <c r="EA598" s="10"/>
      <c r="EB598" s="10"/>
      <c r="EC598" s="10"/>
      <c r="ED598" s="10"/>
      <c r="EE598" s="10"/>
      <c r="EF598" s="10"/>
      <c r="EG598" s="10"/>
      <c r="EH598" s="10"/>
      <c r="EI598" s="10"/>
      <c r="EJ598" s="10"/>
      <c r="EK598" s="10"/>
      <c r="EL598" s="10"/>
      <c r="EM598" s="10"/>
      <c r="EN598" s="10"/>
      <c r="EO598" s="10"/>
      <c r="EP598" s="10"/>
      <c r="EQ598" s="10"/>
      <c r="ER598" s="10"/>
      <c r="ES598" s="10"/>
      <c r="ET598" s="10"/>
      <c r="EU598" s="10"/>
      <c r="EV598" s="10"/>
      <c r="EW598" s="10"/>
      <c r="EX598" s="10"/>
      <c r="EY598" s="10"/>
      <c r="EZ598" s="10"/>
      <c r="FA598" s="10"/>
      <c r="FB598" s="10"/>
      <c r="FC598" s="10"/>
      <c r="FD598" s="10"/>
      <c r="FE598" s="10"/>
      <c r="FF598" s="10"/>
      <c r="FG598" s="10"/>
      <c r="FH598" s="10"/>
      <c r="FI598" s="10"/>
      <c r="FJ598" s="10"/>
      <c r="FK598" s="10"/>
      <c r="FL598" s="10"/>
      <c r="FM598" s="10"/>
      <c r="FN598" s="10"/>
      <c r="FO598" s="10"/>
      <c r="FP598" s="10"/>
      <c r="FQ598" s="10"/>
      <c r="FR598" s="10"/>
      <c r="FS598" s="10"/>
      <c r="FT598" s="10"/>
      <c r="FU598" s="10"/>
      <c r="FV598" s="10"/>
      <c r="FW598" s="10"/>
      <c r="FX598" s="10"/>
      <c r="FY598" s="10"/>
      <c r="FZ598" s="10"/>
      <c r="GA598" s="10"/>
      <c r="GB598" s="10"/>
      <c r="GC598" s="10"/>
      <c r="GD598" s="10"/>
      <c r="GE598" s="10"/>
      <c r="GF598" s="10"/>
      <c r="GG598" s="10"/>
      <c r="GH598" s="10"/>
      <c r="GI598" s="10"/>
      <c r="GJ598" s="10"/>
      <c r="GK598" s="10"/>
    </row>
    <row r="599" customFormat="false" ht="12.75" hidden="false" customHeight="false" outlineLevel="0" collapsed="false">
      <c r="A599" s="7"/>
      <c r="B599" s="7"/>
      <c r="C599" s="8"/>
      <c r="D599" s="8"/>
      <c r="E599" s="8"/>
      <c r="F599" s="8"/>
      <c r="G599" s="9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  <c r="BU599" s="10"/>
      <c r="BV599" s="10"/>
      <c r="BW599" s="10"/>
      <c r="BX599" s="10"/>
      <c r="BY599" s="10"/>
      <c r="BZ599" s="10"/>
      <c r="CA599" s="10"/>
      <c r="CB599" s="10"/>
      <c r="CC599" s="10"/>
      <c r="CD599" s="10"/>
      <c r="CE599" s="10"/>
      <c r="CF599" s="10"/>
      <c r="CG599" s="10"/>
      <c r="CH599" s="10"/>
      <c r="CI599" s="10"/>
      <c r="CJ599" s="10"/>
      <c r="CK599" s="10"/>
      <c r="CL599" s="10"/>
      <c r="CM599" s="10"/>
      <c r="CN599" s="10"/>
      <c r="CO599" s="10"/>
      <c r="CP599" s="10"/>
      <c r="CQ599" s="10"/>
      <c r="CR599" s="10"/>
      <c r="CS599" s="10"/>
      <c r="CT599" s="10"/>
      <c r="CU599" s="10"/>
      <c r="CV599" s="10"/>
      <c r="CW599" s="10"/>
      <c r="CX599" s="10"/>
      <c r="CY599" s="10"/>
      <c r="CZ599" s="10"/>
      <c r="DA599" s="10"/>
      <c r="DB599" s="10"/>
      <c r="DC599" s="10"/>
      <c r="DD599" s="10"/>
      <c r="DE599" s="10"/>
      <c r="DF599" s="10"/>
      <c r="DG599" s="10"/>
      <c r="DH599" s="10"/>
      <c r="DI599" s="10"/>
      <c r="DJ599" s="10"/>
      <c r="DK599" s="10"/>
      <c r="DL599" s="10"/>
      <c r="DM599" s="10"/>
      <c r="DN599" s="10"/>
      <c r="DO599" s="10"/>
      <c r="DP599" s="10"/>
      <c r="DQ599" s="10"/>
      <c r="DR599" s="10"/>
      <c r="DS599" s="10"/>
      <c r="DT599" s="10"/>
      <c r="DU599" s="10"/>
      <c r="DV599" s="10"/>
      <c r="DW599" s="10"/>
      <c r="DX599" s="10"/>
      <c r="DY599" s="10"/>
      <c r="DZ599" s="10"/>
      <c r="EA599" s="10"/>
      <c r="EB599" s="10"/>
      <c r="EC599" s="10"/>
      <c r="ED599" s="10"/>
      <c r="EE599" s="10"/>
      <c r="EF599" s="10"/>
      <c r="EG599" s="10"/>
      <c r="EH599" s="10"/>
      <c r="EI599" s="10"/>
      <c r="EJ599" s="10"/>
      <c r="EK599" s="10"/>
      <c r="EL599" s="10"/>
      <c r="EM599" s="10"/>
      <c r="EN599" s="10"/>
      <c r="EO599" s="10"/>
      <c r="EP599" s="10"/>
      <c r="EQ599" s="10"/>
      <c r="ER599" s="10"/>
      <c r="ES599" s="10"/>
      <c r="ET599" s="10"/>
      <c r="EU599" s="10"/>
      <c r="EV599" s="10"/>
      <c r="EW599" s="10"/>
      <c r="EX599" s="10"/>
      <c r="EY599" s="10"/>
      <c r="EZ599" s="10"/>
      <c r="FA599" s="10"/>
      <c r="FB599" s="10"/>
      <c r="FC599" s="10"/>
      <c r="FD599" s="10"/>
      <c r="FE599" s="10"/>
      <c r="FF599" s="10"/>
      <c r="FG599" s="10"/>
      <c r="FH599" s="10"/>
      <c r="FI599" s="10"/>
      <c r="FJ599" s="10"/>
      <c r="FK599" s="10"/>
      <c r="FL599" s="10"/>
      <c r="FM599" s="10"/>
      <c r="FN599" s="10"/>
      <c r="FO599" s="10"/>
      <c r="FP599" s="10"/>
      <c r="FQ599" s="10"/>
      <c r="FR599" s="10"/>
      <c r="FS599" s="10"/>
      <c r="FT599" s="10"/>
      <c r="FU599" s="10"/>
      <c r="FV599" s="10"/>
      <c r="FW599" s="10"/>
      <c r="FX599" s="10"/>
      <c r="FY599" s="10"/>
      <c r="FZ599" s="10"/>
      <c r="GA599" s="10"/>
      <c r="GB599" s="10"/>
      <c r="GC599" s="10"/>
      <c r="GD599" s="10"/>
      <c r="GE599" s="10"/>
      <c r="GF599" s="10"/>
      <c r="GG599" s="10"/>
      <c r="GH599" s="10"/>
      <c r="GI599" s="10"/>
      <c r="GJ599" s="10"/>
      <c r="GK599" s="10"/>
    </row>
    <row r="600" customFormat="false" ht="12.75" hidden="false" customHeight="false" outlineLevel="0" collapsed="false">
      <c r="A600" s="7"/>
      <c r="B600" s="7"/>
      <c r="C600" s="8"/>
      <c r="D600" s="8"/>
      <c r="E600" s="8"/>
      <c r="F600" s="8"/>
      <c r="G600" s="9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  <c r="BU600" s="10"/>
      <c r="BV600" s="10"/>
      <c r="BW600" s="10"/>
      <c r="BX600" s="10"/>
      <c r="BY600" s="10"/>
      <c r="BZ600" s="10"/>
      <c r="CA600" s="10"/>
      <c r="CB600" s="10"/>
      <c r="CC600" s="10"/>
      <c r="CD600" s="10"/>
      <c r="CE600" s="10"/>
      <c r="CF600" s="10"/>
      <c r="CG600" s="10"/>
      <c r="CH600" s="10"/>
      <c r="CI600" s="10"/>
      <c r="CJ600" s="10"/>
      <c r="CK600" s="10"/>
      <c r="CL600" s="10"/>
      <c r="CM600" s="10"/>
      <c r="CN600" s="10"/>
      <c r="CO600" s="10"/>
      <c r="CP600" s="10"/>
      <c r="CQ600" s="10"/>
      <c r="CR600" s="10"/>
      <c r="CS600" s="10"/>
      <c r="CT600" s="10"/>
      <c r="CU600" s="10"/>
      <c r="CV600" s="10"/>
      <c r="CW600" s="10"/>
      <c r="CX600" s="10"/>
      <c r="CY600" s="10"/>
      <c r="CZ600" s="10"/>
      <c r="DA600" s="10"/>
      <c r="DB600" s="10"/>
      <c r="DC600" s="10"/>
      <c r="DD600" s="10"/>
      <c r="DE600" s="10"/>
      <c r="DF600" s="10"/>
      <c r="DG600" s="10"/>
      <c r="DH600" s="10"/>
      <c r="DI600" s="10"/>
      <c r="DJ600" s="10"/>
      <c r="DK600" s="10"/>
      <c r="DL600" s="10"/>
      <c r="DM600" s="10"/>
      <c r="DN600" s="10"/>
      <c r="DO600" s="10"/>
      <c r="DP600" s="10"/>
      <c r="DQ600" s="10"/>
      <c r="DR600" s="10"/>
      <c r="DS600" s="10"/>
      <c r="DT600" s="10"/>
      <c r="DU600" s="10"/>
      <c r="DV600" s="10"/>
      <c r="DW600" s="10"/>
      <c r="DX600" s="10"/>
      <c r="DY600" s="10"/>
      <c r="DZ600" s="10"/>
      <c r="EA600" s="10"/>
      <c r="EB600" s="10"/>
      <c r="EC600" s="10"/>
      <c r="ED600" s="10"/>
      <c r="EE600" s="10"/>
      <c r="EF600" s="10"/>
      <c r="EG600" s="10"/>
      <c r="EH600" s="10"/>
      <c r="EI600" s="10"/>
      <c r="EJ600" s="10"/>
      <c r="EK600" s="10"/>
      <c r="EL600" s="10"/>
      <c r="EM600" s="10"/>
      <c r="EN600" s="10"/>
      <c r="EO600" s="10"/>
      <c r="EP600" s="10"/>
      <c r="EQ600" s="10"/>
      <c r="ER600" s="10"/>
      <c r="ES600" s="10"/>
      <c r="ET600" s="10"/>
      <c r="EU600" s="10"/>
      <c r="EV600" s="10"/>
      <c r="EW600" s="10"/>
      <c r="EX600" s="10"/>
      <c r="EY600" s="10"/>
      <c r="EZ600" s="10"/>
      <c r="FA600" s="10"/>
      <c r="FB600" s="10"/>
      <c r="FC600" s="10"/>
      <c r="FD600" s="10"/>
      <c r="FE600" s="10"/>
      <c r="FF600" s="10"/>
      <c r="FG600" s="10"/>
      <c r="FH600" s="10"/>
      <c r="FI600" s="10"/>
      <c r="FJ600" s="10"/>
      <c r="FK600" s="10"/>
      <c r="FL600" s="10"/>
      <c r="FM600" s="10"/>
      <c r="FN600" s="10"/>
      <c r="FO600" s="10"/>
      <c r="FP600" s="10"/>
      <c r="FQ600" s="10"/>
      <c r="FR600" s="10"/>
      <c r="FS600" s="10"/>
      <c r="FT600" s="10"/>
      <c r="FU600" s="10"/>
      <c r="FV600" s="10"/>
      <c r="FW600" s="10"/>
      <c r="FX600" s="10"/>
      <c r="FY600" s="10"/>
      <c r="FZ600" s="10"/>
      <c r="GA600" s="10"/>
      <c r="GB600" s="10"/>
      <c r="GC600" s="10"/>
      <c r="GD600" s="10"/>
      <c r="GE600" s="10"/>
      <c r="GF600" s="10"/>
      <c r="GG600" s="10"/>
      <c r="GH600" s="10"/>
      <c r="GI600" s="10"/>
      <c r="GJ600" s="10"/>
      <c r="GK600" s="10"/>
    </row>
    <row r="601" customFormat="false" ht="12.75" hidden="false" customHeight="false" outlineLevel="0" collapsed="false">
      <c r="A601" s="7"/>
      <c r="B601" s="7"/>
      <c r="C601" s="8"/>
      <c r="D601" s="8"/>
      <c r="E601" s="8"/>
      <c r="F601" s="8"/>
      <c r="G601" s="9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  <c r="BT601" s="10"/>
      <c r="BU601" s="10"/>
      <c r="BV601" s="10"/>
      <c r="BW601" s="10"/>
      <c r="BX601" s="10"/>
      <c r="BY601" s="10"/>
      <c r="BZ601" s="10"/>
      <c r="CA601" s="10"/>
      <c r="CB601" s="10"/>
      <c r="CC601" s="10"/>
      <c r="CD601" s="10"/>
      <c r="CE601" s="10"/>
      <c r="CF601" s="10"/>
      <c r="CG601" s="10"/>
      <c r="CH601" s="10"/>
      <c r="CI601" s="10"/>
      <c r="CJ601" s="10"/>
      <c r="CK601" s="10"/>
      <c r="CL601" s="10"/>
      <c r="CM601" s="10"/>
      <c r="CN601" s="10"/>
      <c r="CO601" s="10"/>
      <c r="CP601" s="10"/>
      <c r="CQ601" s="10"/>
      <c r="CR601" s="10"/>
      <c r="CS601" s="10"/>
      <c r="CT601" s="10"/>
      <c r="CU601" s="10"/>
      <c r="CV601" s="10"/>
      <c r="CW601" s="10"/>
      <c r="CX601" s="10"/>
      <c r="CY601" s="10"/>
      <c r="CZ601" s="10"/>
      <c r="DA601" s="10"/>
      <c r="DB601" s="10"/>
      <c r="DC601" s="10"/>
      <c r="DD601" s="10"/>
      <c r="DE601" s="10"/>
      <c r="DF601" s="10"/>
      <c r="DG601" s="10"/>
      <c r="DH601" s="10"/>
      <c r="DI601" s="10"/>
      <c r="DJ601" s="10"/>
      <c r="DK601" s="10"/>
      <c r="DL601" s="10"/>
      <c r="DM601" s="10"/>
      <c r="DN601" s="10"/>
      <c r="DO601" s="10"/>
      <c r="DP601" s="10"/>
      <c r="DQ601" s="10"/>
      <c r="DR601" s="10"/>
      <c r="DS601" s="10"/>
      <c r="DT601" s="10"/>
      <c r="DU601" s="10"/>
      <c r="DV601" s="10"/>
      <c r="DW601" s="10"/>
      <c r="DX601" s="10"/>
      <c r="DY601" s="10"/>
      <c r="DZ601" s="10"/>
      <c r="EA601" s="10"/>
      <c r="EB601" s="10"/>
      <c r="EC601" s="10"/>
      <c r="ED601" s="10"/>
      <c r="EE601" s="10"/>
      <c r="EF601" s="10"/>
      <c r="EG601" s="10"/>
      <c r="EH601" s="10"/>
      <c r="EI601" s="10"/>
      <c r="EJ601" s="10"/>
      <c r="EK601" s="10"/>
      <c r="EL601" s="10"/>
      <c r="EM601" s="10"/>
      <c r="EN601" s="10"/>
      <c r="EO601" s="10"/>
      <c r="EP601" s="10"/>
      <c r="EQ601" s="10"/>
      <c r="ER601" s="10"/>
      <c r="ES601" s="10"/>
      <c r="ET601" s="10"/>
      <c r="EU601" s="10"/>
      <c r="EV601" s="10"/>
      <c r="EW601" s="10"/>
      <c r="EX601" s="10"/>
      <c r="EY601" s="10"/>
      <c r="EZ601" s="10"/>
      <c r="FA601" s="10"/>
      <c r="FB601" s="10"/>
      <c r="FC601" s="10"/>
      <c r="FD601" s="10"/>
      <c r="FE601" s="10"/>
      <c r="FF601" s="10"/>
      <c r="FG601" s="10"/>
      <c r="FH601" s="10"/>
      <c r="FI601" s="10"/>
      <c r="FJ601" s="10"/>
      <c r="FK601" s="10"/>
      <c r="FL601" s="10"/>
      <c r="FM601" s="10"/>
      <c r="FN601" s="10"/>
      <c r="FO601" s="10"/>
      <c r="FP601" s="10"/>
      <c r="FQ601" s="10"/>
      <c r="FR601" s="10"/>
      <c r="FS601" s="10"/>
      <c r="FT601" s="10"/>
      <c r="FU601" s="10"/>
      <c r="FV601" s="10"/>
      <c r="FW601" s="10"/>
      <c r="FX601" s="10"/>
      <c r="FY601" s="10"/>
      <c r="FZ601" s="10"/>
      <c r="GA601" s="10"/>
      <c r="GB601" s="10"/>
      <c r="GC601" s="10"/>
      <c r="GD601" s="10"/>
      <c r="GE601" s="10"/>
      <c r="GF601" s="10"/>
      <c r="GG601" s="10"/>
      <c r="GH601" s="10"/>
      <c r="GI601" s="10"/>
      <c r="GJ601" s="10"/>
      <c r="GK601" s="10"/>
    </row>
    <row r="602" customFormat="false" ht="12.75" hidden="false" customHeight="false" outlineLevel="0" collapsed="false">
      <c r="A602" s="7"/>
      <c r="B602" s="7"/>
      <c r="C602" s="8"/>
      <c r="D602" s="8"/>
      <c r="E602" s="8"/>
      <c r="F602" s="8"/>
      <c r="G602" s="9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  <c r="BT602" s="10"/>
      <c r="BU602" s="10"/>
      <c r="BV602" s="10"/>
      <c r="BW602" s="10"/>
      <c r="BX602" s="10"/>
      <c r="BY602" s="10"/>
      <c r="BZ602" s="10"/>
      <c r="CA602" s="10"/>
      <c r="CB602" s="10"/>
      <c r="CC602" s="10"/>
      <c r="CD602" s="10"/>
      <c r="CE602" s="10"/>
      <c r="CF602" s="10"/>
      <c r="CG602" s="10"/>
      <c r="CH602" s="10"/>
      <c r="CI602" s="10"/>
      <c r="CJ602" s="10"/>
      <c r="CK602" s="10"/>
      <c r="CL602" s="10"/>
      <c r="CM602" s="10"/>
      <c r="CN602" s="10"/>
      <c r="CO602" s="10"/>
      <c r="CP602" s="10"/>
      <c r="CQ602" s="10"/>
      <c r="CR602" s="10"/>
      <c r="CS602" s="10"/>
      <c r="CT602" s="10"/>
      <c r="CU602" s="10"/>
      <c r="CV602" s="10"/>
      <c r="CW602" s="10"/>
      <c r="CX602" s="10"/>
      <c r="CY602" s="10"/>
      <c r="CZ602" s="10"/>
      <c r="DA602" s="10"/>
      <c r="DB602" s="10"/>
      <c r="DC602" s="10"/>
      <c r="DD602" s="10"/>
      <c r="DE602" s="10"/>
      <c r="DF602" s="10"/>
      <c r="DG602" s="10"/>
      <c r="DH602" s="10"/>
      <c r="DI602" s="10"/>
      <c r="DJ602" s="10"/>
      <c r="DK602" s="10"/>
      <c r="DL602" s="10"/>
      <c r="DM602" s="10"/>
      <c r="DN602" s="10"/>
      <c r="DO602" s="10"/>
      <c r="DP602" s="10"/>
      <c r="DQ602" s="10"/>
      <c r="DR602" s="10"/>
      <c r="DS602" s="10"/>
      <c r="DT602" s="10"/>
      <c r="DU602" s="10"/>
      <c r="DV602" s="10"/>
      <c r="DW602" s="10"/>
      <c r="DX602" s="10"/>
      <c r="DY602" s="10"/>
      <c r="DZ602" s="10"/>
      <c r="EA602" s="10"/>
      <c r="EB602" s="10"/>
      <c r="EC602" s="10"/>
      <c r="ED602" s="10"/>
      <c r="EE602" s="10"/>
      <c r="EF602" s="10"/>
      <c r="EG602" s="10"/>
      <c r="EH602" s="10"/>
      <c r="EI602" s="10"/>
      <c r="EJ602" s="10"/>
      <c r="EK602" s="10"/>
      <c r="EL602" s="10"/>
      <c r="EM602" s="10"/>
      <c r="EN602" s="10"/>
      <c r="EO602" s="10"/>
      <c r="EP602" s="10"/>
      <c r="EQ602" s="10"/>
      <c r="ER602" s="10"/>
      <c r="ES602" s="10"/>
      <c r="ET602" s="10"/>
      <c r="EU602" s="10"/>
      <c r="EV602" s="10"/>
      <c r="EW602" s="10"/>
      <c r="EX602" s="10"/>
      <c r="EY602" s="10"/>
      <c r="EZ602" s="10"/>
      <c r="FA602" s="10"/>
      <c r="FB602" s="10"/>
      <c r="FC602" s="10"/>
      <c r="FD602" s="10"/>
      <c r="FE602" s="10"/>
      <c r="FF602" s="10"/>
      <c r="FG602" s="10"/>
      <c r="FH602" s="10"/>
      <c r="FI602" s="10"/>
      <c r="FJ602" s="10"/>
      <c r="FK602" s="10"/>
      <c r="FL602" s="10"/>
      <c r="FM602" s="10"/>
      <c r="FN602" s="10"/>
      <c r="FO602" s="10"/>
      <c r="FP602" s="10"/>
      <c r="FQ602" s="10"/>
      <c r="FR602" s="10"/>
      <c r="FS602" s="10"/>
      <c r="FT602" s="10"/>
      <c r="FU602" s="10"/>
      <c r="FV602" s="10"/>
      <c r="FW602" s="10"/>
      <c r="FX602" s="10"/>
      <c r="FY602" s="10"/>
      <c r="FZ602" s="10"/>
      <c r="GA602" s="10"/>
      <c r="GB602" s="10"/>
      <c r="GC602" s="10"/>
      <c r="GD602" s="10"/>
      <c r="GE602" s="10"/>
      <c r="GF602" s="10"/>
      <c r="GG602" s="10"/>
      <c r="GH602" s="10"/>
      <c r="GI602" s="10"/>
      <c r="GJ602" s="10"/>
      <c r="GK602" s="10"/>
    </row>
    <row r="603" customFormat="false" ht="12.75" hidden="false" customHeight="false" outlineLevel="0" collapsed="false">
      <c r="A603" s="7"/>
      <c r="B603" s="7"/>
      <c r="C603" s="8"/>
      <c r="D603" s="8"/>
      <c r="E603" s="8"/>
      <c r="F603" s="8"/>
      <c r="G603" s="9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  <c r="BT603" s="10"/>
      <c r="BU603" s="10"/>
      <c r="BV603" s="10"/>
      <c r="BW603" s="10"/>
      <c r="BX603" s="10"/>
      <c r="BY603" s="10"/>
      <c r="BZ603" s="10"/>
      <c r="CA603" s="10"/>
      <c r="CB603" s="10"/>
      <c r="CC603" s="10"/>
      <c r="CD603" s="10"/>
      <c r="CE603" s="10"/>
      <c r="CF603" s="10"/>
      <c r="CG603" s="10"/>
      <c r="CH603" s="10"/>
      <c r="CI603" s="10"/>
      <c r="CJ603" s="10"/>
      <c r="CK603" s="10"/>
      <c r="CL603" s="10"/>
      <c r="CM603" s="10"/>
      <c r="CN603" s="10"/>
      <c r="CO603" s="10"/>
      <c r="CP603" s="10"/>
      <c r="CQ603" s="10"/>
      <c r="CR603" s="10"/>
      <c r="CS603" s="10"/>
      <c r="CT603" s="10"/>
      <c r="CU603" s="10"/>
      <c r="CV603" s="10"/>
      <c r="CW603" s="10"/>
      <c r="CX603" s="10"/>
      <c r="CY603" s="10"/>
      <c r="CZ603" s="10"/>
      <c r="DA603" s="10"/>
      <c r="DB603" s="10"/>
      <c r="DC603" s="10"/>
      <c r="DD603" s="10"/>
      <c r="DE603" s="10"/>
      <c r="DF603" s="10"/>
      <c r="DG603" s="10"/>
      <c r="DH603" s="10"/>
      <c r="DI603" s="10"/>
      <c r="DJ603" s="10"/>
      <c r="DK603" s="10"/>
      <c r="DL603" s="10"/>
      <c r="DM603" s="10"/>
      <c r="DN603" s="10"/>
      <c r="DO603" s="10"/>
      <c r="DP603" s="10"/>
      <c r="DQ603" s="10"/>
      <c r="DR603" s="10"/>
      <c r="DS603" s="10"/>
      <c r="DT603" s="10"/>
      <c r="DU603" s="10"/>
      <c r="DV603" s="10"/>
      <c r="DW603" s="10"/>
      <c r="DX603" s="10"/>
      <c r="DY603" s="10"/>
      <c r="DZ603" s="10"/>
      <c r="EA603" s="10"/>
      <c r="EB603" s="10"/>
      <c r="EC603" s="10"/>
      <c r="ED603" s="10"/>
      <c r="EE603" s="10"/>
      <c r="EF603" s="10"/>
      <c r="EG603" s="10"/>
      <c r="EH603" s="10"/>
      <c r="EI603" s="10"/>
      <c r="EJ603" s="10"/>
      <c r="EK603" s="10"/>
      <c r="EL603" s="10"/>
      <c r="EM603" s="10"/>
      <c r="EN603" s="10"/>
      <c r="EO603" s="10"/>
      <c r="EP603" s="10"/>
      <c r="EQ603" s="10"/>
      <c r="ER603" s="10"/>
      <c r="ES603" s="10"/>
      <c r="ET603" s="10"/>
      <c r="EU603" s="10"/>
      <c r="EV603" s="10"/>
      <c r="EW603" s="10"/>
      <c r="EX603" s="10"/>
      <c r="EY603" s="10"/>
      <c r="EZ603" s="10"/>
      <c r="FA603" s="10"/>
      <c r="FB603" s="10"/>
      <c r="FC603" s="10"/>
      <c r="FD603" s="10"/>
      <c r="FE603" s="10"/>
      <c r="FF603" s="10"/>
      <c r="FG603" s="10"/>
      <c r="FH603" s="10"/>
      <c r="FI603" s="10"/>
      <c r="FJ603" s="10"/>
      <c r="FK603" s="10"/>
      <c r="FL603" s="10"/>
      <c r="FM603" s="10"/>
      <c r="FN603" s="10"/>
      <c r="FO603" s="10"/>
      <c r="FP603" s="10"/>
      <c r="FQ603" s="10"/>
      <c r="FR603" s="10"/>
      <c r="FS603" s="10"/>
      <c r="FT603" s="10"/>
      <c r="FU603" s="10"/>
      <c r="FV603" s="10"/>
      <c r="FW603" s="10"/>
      <c r="FX603" s="10"/>
      <c r="FY603" s="10"/>
      <c r="FZ603" s="10"/>
      <c r="GA603" s="10"/>
      <c r="GB603" s="10"/>
      <c r="GC603" s="10"/>
      <c r="GD603" s="10"/>
      <c r="GE603" s="10"/>
      <c r="GF603" s="10"/>
      <c r="GG603" s="10"/>
      <c r="GH603" s="10"/>
      <c r="GI603" s="10"/>
      <c r="GJ603" s="10"/>
      <c r="GK603" s="10"/>
    </row>
    <row r="604" customFormat="false" ht="12.75" hidden="false" customHeight="false" outlineLevel="0" collapsed="false">
      <c r="A604" s="7"/>
      <c r="B604" s="7"/>
      <c r="C604" s="8"/>
      <c r="D604" s="8"/>
      <c r="E604" s="8"/>
      <c r="F604" s="8"/>
      <c r="G604" s="9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  <c r="BU604" s="10"/>
      <c r="BV604" s="10"/>
      <c r="BW604" s="10"/>
      <c r="BX604" s="10"/>
      <c r="BY604" s="10"/>
      <c r="BZ604" s="10"/>
      <c r="CA604" s="10"/>
      <c r="CB604" s="10"/>
      <c r="CC604" s="10"/>
      <c r="CD604" s="10"/>
      <c r="CE604" s="10"/>
      <c r="CF604" s="10"/>
      <c r="CG604" s="10"/>
      <c r="CH604" s="10"/>
      <c r="CI604" s="10"/>
      <c r="CJ604" s="10"/>
      <c r="CK604" s="10"/>
      <c r="CL604" s="10"/>
      <c r="CM604" s="10"/>
      <c r="CN604" s="10"/>
      <c r="CO604" s="10"/>
      <c r="CP604" s="10"/>
      <c r="CQ604" s="10"/>
      <c r="CR604" s="10"/>
      <c r="CS604" s="10"/>
      <c r="CT604" s="10"/>
      <c r="CU604" s="10"/>
      <c r="CV604" s="10"/>
      <c r="CW604" s="10"/>
      <c r="CX604" s="10"/>
      <c r="CY604" s="10"/>
      <c r="CZ604" s="10"/>
      <c r="DA604" s="10"/>
      <c r="DB604" s="10"/>
      <c r="DC604" s="10"/>
      <c r="DD604" s="10"/>
      <c r="DE604" s="10"/>
      <c r="DF604" s="10"/>
      <c r="DG604" s="10"/>
      <c r="DH604" s="10"/>
      <c r="DI604" s="10"/>
      <c r="DJ604" s="10"/>
      <c r="DK604" s="10"/>
      <c r="DL604" s="10"/>
      <c r="DM604" s="10"/>
      <c r="DN604" s="10"/>
      <c r="DO604" s="10"/>
      <c r="DP604" s="10"/>
      <c r="DQ604" s="10"/>
      <c r="DR604" s="10"/>
      <c r="DS604" s="10"/>
      <c r="DT604" s="10"/>
      <c r="DU604" s="10"/>
      <c r="DV604" s="10"/>
      <c r="DW604" s="10"/>
      <c r="DX604" s="10"/>
      <c r="DY604" s="10"/>
      <c r="DZ604" s="10"/>
      <c r="EA604" s="10"/>
      <c r="EB604" s="10"/>
      <c r="EC604" s="10"/>
      <c r="ED604" s="10"/>
      <c r="EE604" s="10"/>
      <c r="EF604" s="10"/>
      <c r="EG604" s="10"/>
      <c r="EH604" s="10"/>
      <c r="EI604" s="10"/>
      <c r="EJ604" s="10"/>
      <c r="EK604" s="10"/>
      <c r="EL604" s="10"/>
      <c r="EM604" s="10"/>
      <c r="EN604" s="10"/>
      <c r="EO604" s="10"/>
      <c r="EP604" s="10"/>
      <c r="EQ604" s="10"/>
      <c r="ER604" s="10"/>
      <c r="ES604" s="10"/>
      <c r="ET604" s="10"/>
      <c r="EU604" s="10"/>
      <c r="EV604" s="10"/>
      <c r="EW604" s="10"/>
      <c r="EX604" s="10"/>
      <c r="EY604" s="10"/>
      <c r="EZ604" s="10"/>
      <c r="FA604" s="10"/>
      <c r="FB604" s="10"/>
      <c r="FC604" s="10"/>
      <c r="FD604" s="10"/>
      <c r="FE604" s="10"/>
      <c r="FF604" s="10"/>
      <c r="FG604" s="10"/>
      <c r="FH604" s="10"/>
      <c r="FI604" s="10"/>
      <c r="FJ604" s="10"/>
      <c r="FK604" s="10"/>
      <c r="FL604" s="10"/>
      <c r="FM604" s="10"/>
      <c r="FN604" s="10"/>
      <c r="FO604" s="10"/>
      <c r="FP604" s="10"/>
      <c r="FQ604" s="10"/>
      <c r="FR604" s="10"/>
      <c r="FS604" s="10"/>
      <c r="FT604" s="10"/>
      <c r="FU604" s="10"/>
      <c r="FV604" s="10"/>
      <c r="FW604" s="10"/>
      <c r="FX604" s="10"/>
      <c r="FY604" s="10"/>
      <c r="FZ604" s="10"/>
      <c r="GA604" s="10"/>
      <c r="GB604" s="10"/>
      <c r="GC604" s="10"/>
      <c r="GD604" s="10"/>
      <c r="GE604" s="10"/>
      <c r="GF604" s="10"/>
      <c r="GG604" s="10"/>
      <c r="GH604" s="10"/>
      <c r="GI604" s="10"/>
      <c r="GJ604" s="10"/>
      <c r="GK604" s="10"/>
    </row>
    <row r="605" customFormat="false" ht="12.75" hidden="false" customHeight="false" outlineLevel="0" collapsed="false">
      <c r="A605" s="7"/>
      <c r="B605" s="7"/>
      <c r="C605" s="8"/>
      <c r="D605" s="8"/>
      <c r="E605" s="8"/>
      <c r="F605" s="8"/>
      <c r="G605" s="9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  <c r="BU605" s="10"/>
      <c r="BV605" s="10"/>
      <c r="BW605" s="10"/>
      <c r="BX605" s="10"/>
      <c r="BY605" s="10"/>
      <c r="BZ605" s="10"/>
      <c r="CA605" s="10"/>
      <c r="CB605" s="10"/>
      <c r="CC605" s="10"/>
      <c r="CD605" s="10"/>
      <c r="CE605" s="10"/>
      <c r="CF605" s="10"/>
      <c r="CG605" s="10"/>
      <c r="CH605" s="10"/>
      <c r="CI605" s="10"/>
      <c r="CJ605" s="10"/>
      <c r="CK605" s="10"/>
      <c r="CL605" s="10"/>
      <c r="CM605" s="10"/>
      <c r="CN605" s="10"/>
      <c r="CO605" s="10"/>
      <c r="CP605" s="10"/>
      <c r="CQ605" s="10"/>
      <c r="CR605" s="10"/>
      <c r="CS605" s="10"/>
      <c r="CT605" s="10"/>
      <c r="CU605" s="10"/>
      <c r="CV605" s="10"/>
      <c r="CW605" s="10"/>
      <c r="CX605" s="10"/>
      <c r="CY605" s="10"/>
      <c r="CZ605" s="10"/>
      <c r="DA605" s="10"/>
      <c r="DB605" s="10"/>
      <c r="DC605" s="10"/>
      <c r="DD605" s="10"/>
      <c r="DE605" s="10"/>
      <c r="DF605" s="10"/>
      <c r="DG605" s="10"/>
      <c r="DH605" s="10"/>
      <c r="DI605" s="10"/>
      <c r="DJ605" s="10"/>
      <c r="DK605" s="10"/>
      <c r="DL605" s="10"/>
      <c r="DM605" s="10"/>
      <c r="DN605" s="10"/>
      <c r="DO605" s="10"/>
      <c r="DP605" s="10"/>
      <c r="DQ605" s="10"/>
      <c r="DR605" s="10"/>
      <c r="DS605" s="10"/>
      <c r="DT605" s="10"/>
      <c r="DU605" s="10"/>
      <c r="DV605" s="10"/>
      <c r="DW605" s="10"/>
      <c r="DX605" s="10"/>
      <c r="DY605" s="10"/>
      <c r="DZ605" s="10"/>
      <c r="EA605" s="10"/>
      <c r="EB605" s="10"/>
      <c r="EC605" s="10"/>
      <c r="ED605" s="10"/>
      <c r="EE605" s="10"/>
      <c r="EF605" s="10"/>
      <c r="EG605" s="10"/>
      <c r="EH605" s="10"/>
      <c r="EI605" s="10"/>
      <c r="EJ605" s="10"/>
      <c r="EK605" s="10"/>
      <c r="EL605" s="10"/>
      <c r="EM605" s="10"/>
      <c r="EN605" s="10"/>
      <c r="EO605" s="10"/>
      <c r="EP605" s="10"/>
      <c r="EQ605" s="10"/>
      <c r="ER605" s="10"/>
      <c r="ES605" s="10"/>
      <c r="ET605" s="10"/>
      <c r="EU605" s="10"/>
      <c r="EV605" s="10"/>
      <c r="EW605" s="10"/>
      <c r="EX605" s="10"/>
      <c r="EY605" s="10"/>
      <c r="EZ605" s="10"/>
      <c r="FA605" s="10"/>
      <c r="FB605" s="10"/>
      <c r="FC605" s="10"/>
      <c r="FD605" s="10"/>
      <c r="FE605" s="10"/>
      <c r="FF605" s="10"/>
      <c r="FG605" s="10"/>
      <c r="FH605" s="10"/>
      <c r="FI605" s="10"/>
      <c r="FJ605" s="10"/>
      <c r="FK605" s="10"/>
      <c r="FL605" s="10"/>
      <c r="FM605" s="10"/>
      <c r="FN605" s="10"/>
      <c r="FO605" s="10"/>
      <c r="FP605" s="10"/>
      <c r="FQ605" s="10"/>
      <c r="FR605" s="10"/>
      <c r="FS605" s="10"/>
      <c r="FT605" s="10"/>
      <c r="FU605" s="10"/>
      <c r="FV605" s="10"/>
      <c r="FW605" s="10"/>
      <c r="FX605" s="10"/>
      <c r="FY605" s="10"/>
      <c r="FZ605" s="10"/>
      <c r="GA605" s="10"/>
      <c r="GB605" s="10"/>
      <c r="GC605" s="10"/>
      <c r="GD605" s="10"/>
      <c r="GE605" s="10"/>
      <c r="GF605" s="10"/>
      <c r="GG605" s="10"/>
      <c r="GH605" s="10"/>
      <c r="GI605" s="10"/>
      <c r="GJ605" s="10"/>
      <c r="GK605" s="10"/>
    </row>
    <row r="606" customFormat="false" ht="12.75" hidden="false" customHeight="false" outlineLevel="0" collapsed="false">
      <c r="A606" s="7"/>
      <c r="B606" s="7"/>
      <c r="C606" s="8"/>
      <c r="D606" s="8"/>
      <c r="E606" s="8"/>
      <c r="F606" s="8"/>
      <c r="G606" s="9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  <c r="BT606" s="10"/>
      <c r="BU606" s="10"/>
      <c r="BV606" s="10"/>
      <c r="BW606" s="10"/>
      <c r="BX606" s="10"/>
      <c r="BY606" s="10"/>
      <c r="BZ606" s="10"/>
      <c r="CA606" s="10"/>
      <c r="CB606" s="10"/>
      <c r="CC606" s="10"/>
      <c r="CD606" s="10"/>
      <c r="CE606" s="10"/>
      <c r="CF606" s="10"/>
      <c r="CG606" s="10"/>
      <c r="CH606" s="10"/>
      <c r="CI606" s="10"/>
      <c r="CJ606" s="10"/>
      <c r="CK606" s="10"/>
      <c r="CL606" s="10"/>
      <c r="CM606" s="10"/>
      <c r="CN606" s="10"/>
      <c r="CO606" s="10"/>
      <c r="CP606" s="10"/>
      <c r="CQ606" s="10"/>
      <c r="CR606" s="10"/>
      <c r="CS606" s="10"/>
      <c r="CT606" s="10"/>
      <c r="CU606" s="10"/>
      <c r="CV606" s="10"/>
      <c r="CW606" s="10"/>
      <c r="CX606" s="10"/>
      <c r="CY606" s="10"/>
      <c r="CZ606" s="10"/>
      <c r="DA606" s="10"/>
      <c r="DB606" s="10"/>
      <c r="DC606" s="10"/>
      <c r="DD606" s="10"/>
      <c r="DE606" s="10"/>
      <c r="DF606" s="10"/>
      <c r="DG606" s="10"/>
      <c r="DH606" s="10"/>
      <c r="DI606" s="10"/>
      <c r="DJ606" s="10"/>
      <c r="DK606" s="10"/>
      <c r="DL606" s="10"/>
      <c r="DM606" s="10"/>
      <c r="DN606" s="10"/>
      <c r="DO606" s="10"/>
      <c r="DP606" s="10"/>
      <c r="DQ606" s="10"/>
      <c r="DR606" s="10"/>
      <c r="DS606" s="10"/>
      <c r="DT606" s="10"/>
      <c r="DU606" s="10"/>
      <c r="DV606" s="10"/>
      <c r="DW606" s="10"/>
      <c r="DX606" s="10"/>
      <c r="DY606" s="10"/>
      <c r="DZ606" s="10"/>
      <c r="EA606" s="10"/>
      <c r="EB606" s="10"/>
      <c r="EC606" s="10"/>
      <c r="ED606" s="10"/>
      <c r="EE606" s="10"/>
      <c r="EF606" s="10"/>
      <c r="EG606" s="10"/>
      <c r="EH606" s="10"/>
      <c r="EI606" s="10"/>
      <c r="EJ606" s="10"/>
      <c r="EK606" s="10"/>
      <c r="EL606" s="10"/>
      <c r="EM606" s="10"/>
      <c r="EN606" s="10"/>
      <c r="EO606" s="10"/>
      <c r="EP606" s="10"/>
      <c r="EQ606" s="10"/>
      <c r="ER606" s="10"/>
      <c r="ES606" s="10"/>
      <c r="ET606" s="10"/>
      <c r="EU606" s="10"/>
      <c r="EV606" s="10"/>
      <c r="EW606" s="10"/>
      <c r="EX606" s="10"/>
      <c r="EY606" s="10"/>
      <c r="EZ606" s="10"/>
      <c r="FA606" s="10"/>
      <c r="FB606" s="10"/>
      <c r="FC606" s="10"/>
      <c r="FD606" s="10"/>
      <c r="FE606" s="10"/>
      <c r="FF606" s="10"/>
      <c r="FG606" s="10"/>
      <c r="FH606" s="10"/>
      <c r="FI606" s="10"/>
      <c r="FJ606" s="10"/>
      <c r="FK606" s="10"/>
      <c r="FL606" s="10"/>
      <c r="FM606" s="10"/>
      <c r="FN606" s="10"/>
      <c r="FO606" s="10"/>
      <c r="FP606" s="10"/>
      <c r="FQ606" s="10"/>
      <c r="FR606" s="10"/>
      <c r="FS606" s="10"/>
      <c r="FT606" s="10"/>
      <c r="FU606" s="10"/>
      <c r="FV606" s="10"/>
      <c r="FW606" s="10"/>
      <c r="FX606" s="10"/>
      <c r="FY606" s="10"/>
      <c r="FZ606" s="10"/>
      <c r="GA606" s="10"/>
      <c r="GB606" s="10"/>
      <c r="GC606" s="10"/>
      <c r="GD606" s="10"/>
      <c r="GE606" s="10"/>
      <c r="GF606" s="10"/>
      <c r="GG606" s="10"/>
      <c r="GH606" s="10"/>
      <c r="GI606" s="10"/>
      <c r="GJ606" s="10"/>
      <c r="GK606" s="10"/>
    </row>
    <row r="607" customFormat="false" ht="12.75" hidden="false" customHeight="false" outlineLevel="0" collapsed="false">
      <c r="A607" s="7"/>
      <c r="B607" s="7"/>
      <c r="C607" s="8"/>
      <c r="D607" s="8"/>
      <c r="E607" s="8"/>
      <c r="F607" s="8"/>
      <c r="G607" s="9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  <c r="BT607" s="10"/>
      <c r="BU607" s="10"/>
      <c r="BV607" s="10"/>
      <c r="BW607" s="10"/>
      <c r="BX607" s="10"/>
      <c r="BY607" s="10"/>
      <c r="BZ607" s="10"/>
      <c r="CA607" s="10"/>
      <c r="CB607" s="10"/>
      <c r="CC607" s="10"/>
      <c r="CD607" s="10"/>
      <c r="CE607" s="10"/>
      <c r="CF607" s="10"/>
      <c r="CG607" s="10"/>
      <c r="CH607" s="10"/>
      <c r="CI607" s="10"/>
      <c r="CJ607" s="10"/>
      <c r="CK607" s="10"/>
      <c r="CL607" s="10"/>
      <c r="CM607" s="10"/>
      <c r="CN607" s="10"/>
      <c r="CO607" s="10"/>
      <c r="CP607" s="10"/>
      <c r="CQ607" s="10"/>
      <c r="CR607" s="10"/>
      <c r="CS607" s="10"/>
      <c r="CT607" s="10"/>
      <c r="CU607" s="10"/>
      <c r="CV607" s="10"/>
      <c r="CW607" s="10"/>
      <c r="CX607" s="10"/>
      <c r="CY607" s="10"/>
      <c r="CZ607" s="10"/>
      <c r="DA607" s="10"/>
      <c r="DB607" s="10"/>
      <c r="DC607" s="10"/>
      <c r="DD607" s="10"/>
      <c r="DE607" s="10"/>
      <c r="DF607" s="10"/>
      <c r="DG607" s="10"/>
      <c r="DH607" s="10"/>
      <c r="DI607" s="10"/>
      <c r="DJ607" s="10"/>
      <c r="DK607" s="10"/>
      <c r="DL607" s="10"/>
      <c r="DM607" s="10"/>
      <c r="DN607" s="10"/>
      <c r="DO607" s="10"/>
      <c r="DP607" s="10"/>
      <c r="DQ607" s="10"/>
      <c r="DR607" s="10"/>
      <c r="DS607" s="10"/>
      <c r="DT607" s="10"/>
      <c r="DU607" s="10"/>
      <c r="DV607" s="10"/>
      <c r="DW607" s="10"/>
      <c r="DX607" s="10"/>
      <c r="DY607" s="10"/>
      <c r="DZ607" s="10"/>
      <c r="EA607" s="10"/>
      <c r="EB607" s="10"/>
      <c r="EC607" s="10"/>
      <c r="ED607" s="10"/>
      <c r="EE607" s="10"/>
      <c r="EF607" s="10"/>
      <c r="EG607" s="10"/>
      <c r="EH607" s="10"/>
      <c r="EI607" s="10"/>
      <c r="EJ607" s="10"/>
      <c r="EK607" s="10"/>
      <c r="EL607" s="10"/>
      <c r="EM607" s="10"/>
      <c r="EN607" s="10"/>
      <c r="EO607" s="10"/>
      <c r="EP607" s="10"/>
      <c r="EQ607" s="10"/>
      <c r="ER607" s="10"/>
      <c r="ES607" s="10"/>
      <c r="ET607" s="10"/>
      <c r="EU607" s="10"/>
      <c r="EV607" s="10"/>
      <c r="EW607" s="10"/>
      <c r="EX607" s="10"/>
      <c r="EY607" s="10"/>
      <c r="EZ607" s="10"/>
      <c r="FA607" s="10"/>
      <c r="FB607" s="10"/>
      <c r="FC607" s="10"/>
      <c r="FD607" s="10"/>
      <c r="FE607" s="10"/>
      <c r="FF607" s="10"/>
      <c r="FG607" s="10"/>
      <c r="FH607" s="10"/>
      <c r="FI607" s="10"/>
      <c r="FJ607" s="10"/>
      <c r="FK607" s="10"/>
      <c r="FL607" s="10"/>
      <c r="FM607" s="10"/>
      <c r="FN607" s="10"/>
      <c r="FO607" s="10"/>
      <c r="FP607" s="10"/>
      <c r="FQ607" s="10"/>
      <c r="FR607" s="10"/>
      <c r="FS607" s="10"/>
      <c r="FT607" s="10"/>
      <c r="FU607" s="10"/>
      <c r="FV607" s="10"/>
      <c r="FW607" s="10"/>
      <c r="FX607" s="10"/>
      <c r="FY607" s="10"/>
      <c r="FZ607" s="10"/>
      <c r="GA607" s="10"/>
      <c r="GB607" s="10"/>
      <c r="GC607" s="10"/>
      <c r="GD607" s="10"/>
      <c r="GE607" s="10"/>
      <c r="GF607" s="10"/>
      <c r="GG607" s="10"/>
      <c r="GH607" s="10"/>
      <c r="GI607" s="10"/>
      <c r="GJ607" s="10"/>
      <c r="GK607" s="10"/>
    </row>
    <row r="608" customFormat="false" ht="12.75" hidden="false" customHeight="false" outlineLevel="0" collapsed="false">
      <c r="A608" s="7"/>
      <c r="B608" s="7"/>
      <c r="C608" s="8"/>
      <c r="D608" s="8"/>
      <c r="E608" s="8"/>
      <c r="F608" s="8"/>
      <c r="G608" s="9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  <c r="BU608" s="10"/>
      <c r="BV608" s="10"/>
      <c r="BW608" s="10"/>
      <c r="BX608" s="10"/>
      <c r="BY608" s="10"/>
      <c r="BZ608" s="10"/>
      <c r="CA608" s="10"/>
      <c r="CB608" s="10"/>
      <c r="CC608" s="10"/>
      <c r="CD608" s="10"/>
      <c r="CE608" s="10"/>
      <c r="CF608" s="10"/>
      <c r="CG608" s="10"/>
      <c r="CH608" s="10"/>
      <c r="CI608" s="10"/>
      <c r="CJ608" s="10"/>
      <c r="CK608" s="10"/>
      <c r="CL608" s="10"/>
      <c r="CM608" s="10"/>
      <c r="CN608" s="10"/>
      <c r="CO608" s="10"/>
      <c r="CP608" s="10"/>
      <c r="CQ608" s="10"/>
      <c r="CR608" s="10"/>
      <c r="CS608" s="10"/>
      <c r="CT608" s="10"/>
      <c r="CU608" s="10"/>
      <c r="CV608" s="10"/>
      <c r="CW608" s="10"/>
      <c r="CX608" s="10"/>
      <c r="CY608" s="10"/>
      <c r="CZ608" s="10"/>
      <c r="DA608" s="10"/>
      <c r="DB608" s="10"/>
      <c r="DC608" s="10"/>
      <c r="DD608" s="10"/>
      <c r="DE608" s="10"/>
      <c r="DF608" s="10"/>
      <c r="DG608" s="10"/>
      <c r="DH608" s="10"/>
      <c r="DI608" s="10"/>
      <c r="DJ608" s="10"/>
      <c r="DK608" s="10"/>
      <c r="DL608" s="10"/>
      <c r="DM608" s="10"/>
      <c r="DN608" s="10"/>
      <c r="DO608" s="10"/>
      <c r="DP608" s="10"/>
      <c r="DQ608" s="10"/>
      <c r="DR608" s="10"/>
      <c r="DS608" s="10"/>
      <c r="DT608" s="10"/>
      <c r="DU608" s="10"/>
      <c r="DV608" s="10"/>
      <c r="DW608" s="10"/>
      <c r="DX608" s="10"/>
      <c r="DY608" s="10"/>
      <c r="DZ608" s="10"/>
      <c r="EA608" s="10"/>
      <c r="EB608" s="10"/>
      <c r="EC608" s="10"/>
      <c r="ED608" s="10"/>
      <c r="EE608" s="10"/>
      <c r="EF608" s="10"/>
      <c r="EG608" s="10"/>
      <c r="EH608" s="10"/>
      <c r="EI608" s="10"/>
      <c r="EJ608" s="10"/>
      <c r="EK608" s="10"/>
      <c r="EL608" s="10"/>
      <c r="EM608" s="10"/>
      <c r="EN608" s="10"/>
      <c r="EO608" s="10"/>
      <c r="EP608" s="10"/>
      <c r="EQ608" s="10"/>
      <c r="ER608" s="10"/>
      <c r="ES608" s="10"/>
      <c r="ET608" s="10"/>
      <c r="EU608" s="10"/>
      <c r="EV608" s="10"/>
      <c r="EW608" s="10"/>
      <c r="EX608" s="10"/>
      <c r="EY608" s="10"/>
      <c r="EZ608" s="10"/>
      <c r="FA608" s="10"/>
      <c r="FB608" s="10"/>
      <c r="FC608" s="10"/>
      <c r="FD608" s="10"/>
      <c r="FE608" s="10"/>
      <c r="FF608" s="10"/>
      <c r="FG608" s="10"/>
      <c r="FH608" s="10"/>
      <c r="FI608" s="10"/>
      <c r="FJ608" s="10"/>
      <c r="FK608" s="10"/>
      <c r="FL608" s="10"/>
      <c r="FM608" s="10"/>
      <c r="FN608" s="10"/>
      <c r="FO608" s="10"/>
      <c r="FP608" s="10"/>
      <c r="FQ608" s="10"/>
      <c r="FR608" s="10"/>
      <c r="FS608" s="10"/>
      <c r="FT608" s="10"/>
      <c r="FU608" s="10"/>
      <c r="FV608" s="10"/>
      <c r="FW608" s="10"/>
      <c r="FX608" s="10"/>
      <c r="FY608" s="10"/>
      <c r="FZ608" s="10"/>
      <c r="GA608" s="10"/>
      <c r="GB608" s="10"/>
      <c r="GC608" s="10"/>
      <c r="GD608" s="10"/>
      <c r="GE608" s="10"/>
      <c r="GF608" s="10"/>
      <c r="GG608" s="10"/>
      <c r="GH608" s="10"/>
      <c r="GI608" s="10"/>
      <c r="GJ608" s="10"/>
      <c r="GK608" s="10"/>
    </row>
    <row r="609" customFormat="false" ht="12.75" hidden="false" customHeight="false" outlineLevel="0" collapsed="false">
      <c r="A609" s="7"/>
      <c r="B609" s="7"/>
      <c r="C609" s="8"/>
      <c r="D609" s="8"/>
      <c r="E609" s="8"/>
      <c r="F609" s="8"/>
      <c r="G609" s="9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  <c r="BU609" s="10"/>
      <c r="BV609" s="10"/>
      <c r="BW609" s="10"/>
      <c r="BX609" s="10"/>
      <c r="BY609" s="10"/>
      <c r="BZ609" s="10"/>
      <c r="CA609" s="10"/>
      <c r="CB609" s="10"/>
      <c r="CC609" s="10"/>
      <c r="CD609" s="10"/>
      <c r="CE609" s="10"/>
      <c r="CF609" s="10"/>
      <c r="CG609" s="10"/>
      <c r="CH609" s="10"/>
      <c r="CI609" s="10"/>
      <c r="CJ609" s="10"/>
      <c r="CK609" s="10"/>
      <c r="CL609" s="10"/>
      <c r="CM609" s="10"/>
      <c r="CN609" s="10"/>
      <c r="CO609" s="10"/>
      <c r="CP609" s="10"/>
      <c r="CQ609" s="10"/>
      <c r="CR609" s="10"/>
      <c r="CS609" s="10"/>
      <c r="CT609" s="10"/>
      <c r="CU609" s="10"/>
      <c r="CV609" s="10"/>
      <c r="CW609" s="10"/>
      <c r="CX609" s="10"/>
      <c r="CY609" s="10"/>
      <c r="CZ609" s="10"/>
      <c r="DA609" s="10"/>
      <c r="DB609" s="10"/>
      <c r="DC609" s="10"/>
      <c r="DD609" s="10"/>
      <c r="DE609" s="10"/>
      <c r="DF609" s="10"/>
      <c r="DG609" s="10"/>
      <c r="DH609" s="10"/>
      <c r="DI609" s="10"/>
      <c r="DJ609" s="10"/>
      <c r="DK609" s="10"/>
      <c r="DL609" s="10"/>
      <c r="DM609" s="10"/>
      <c r="DN609" s="10"/>
      <c r="DO609" s="10"/>
      <c r="DP609" s="10"/>
      <c r="DQ609" s="10"/>
      <c r="DR609" s="10"/>
      <c r="DS609" s="10"/>
      <c r="DT609" s="10"/>
      <c r="DU609" s="10"/>
      <c r="DV609" s="10"/>
      <c r="DW609" s="10"/>
      <c r="DX609" s="10"/>
      <c r="DY609" s="10"/>
      <c r="DZ609" s="10"/>
      <c r="EA609" s="10"/>
      <c r="EB609" s="10"/>
      <c r="EC609" s="10"/>
      <c r="ED609" s="10"/>
      <c r="EE609" s="10"/>
      <c r="EF609" s="10"/>
      <c r="EG609" s="10"/>
      <c r="EH609" s="10"/>
      <c r="EI609" s="10"/>
      <c r="EJ609" s="10"/>
      <c r="EK609" s="10"/>
      <c r="EL609" s="10"/>
      <c r="EM609" s="10"/>
      <c r="EN609" s="10"/>
      <c r="EO609" s="10"/>
      <c r="EP609" s="10"/>
      <c r="EQ609" s="10"/>
      <c r="ER609" s="10"/>
      <c r="ES609" s="10"/>
      <c r="ET609" s="10"/>
      <c r="EU609" s="10"/>
      <c r="EV609" s="10"/>
      <c r="EW609" s="10"/>
      <c r="EX609" s="10"/>
      <c r="EY609" s="10"/>
      <c r="EZ609" s="10"/>
      <c r="FA609" s="10"/>
      <c r="FB609" s="10"/>
      <c r="FC609" s="10"/>
      <c r="FD609" s="10"/>
      <c r="FE609" s="10"/>
      <c r="FF609" s="10"/>
      <c r="FG609" s="10"/>
      <c r="FH609" s="10"/>
      <c r="FI609" s="10"/>
      <c r="FJ609" s="10"/>
      <c r="FK609" s="10"/>
      <c r="FL609" s="10"/>
      <c r="FM609" s="10"/>
      <c r="FN609" s="10"/>
      <c r="FO609" s="10"/>
      <c r="FP609" s="10"/>
      <c r="FQ609" s="10"/>
      <c r="FR609" s="10"/>
      <c r="FS609" s="10"/>
      <c r="FT609" s="10"/>
      <c r="FU609" s="10"/>
      <c r="FV609" s="10"/>
      <c r="FW609" s="10"/>
      <c r="FX609" s="10"/>
      <c r="FY609" s="10"/>
      <c r="FZ609" s="10"/>
      <c r="GA609" s="10"/>
      <c r="GB609" s="10"/>
      <c r="GC609" s="10"/>
      <c r="GD609" s="10"/>
      <c r="GE609" s="10"/>
      <c r="GF609" s="10"/>
      <c r="GG609" s="10"/>
      <c r="GH609" s="10"/>
      <c r="GI609" s="10"/>
      <c r="GJ609" s="10"/>
      <c r="GK609" s="10"/>
    </row>
    <row r="610" customFormat="false" ht="12.75" hidden="false" customHeight="false" outlineLevel="0" collapsed="false">
      <c r="A610" s="7"/>
      <c r="B610" s="7"/>
      <c r="C610" s="8"/>
      <c r="D610" s="8"/>
      <c r="E610" s="8"/>
      <c r="F610" s="8"/>
      <c r="G610" s="9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  <c r="BT610" s="10"/>
      <c r="BU610" s="10"/>
      <c r="BV610" s="10"/>
      <c r="BW610" s="10"/>
      <c r="BX610" s="10"/>
      <c r="BY610" s="10"/>
      <c r="BZ610" s="10"/>
      <c r="CA610" s="10"/>
      <c r="CB610" s="10"/>
      <c r="CC610" s="10"/>
      <c r="CD610" s="10"/>
      <c r="CE610" s="10"/>
      <c r="CF610" s="10"/>
      <c r="CG610" s="10"/>
      <c r="CH610" s="10"/>
      <c r="CI610" s="10"/>
      <c r="CJ610" s="10"/>
      <c r="CK610" s="10"/>
      <c r="CL610" s="10"/>
      <c r="CM610" s="10"/>
      <c r="CN610" s="10"/>
      <c r="CO610" s="10"/>
      <c r="CP610" s="10"/>
      <c r="CQ610" s="10"/>
      <c r="CR610" s="10"/>
      <c r="CS610" s="10"/>
      <c r="CT610" s="10"/>
      <c r="CU610" s="10"/>
      <c r="CV610" s="10"/>
      <c r="CW610" s="10"/>
      <c r="CX610" s="10"/>
      <c r="CY610" s="10"/>
      <c r="CZ610" s="10"/>
      <c r="DA610" s="10"/>
      <c r="DB610" s="10"/>
      <c r="DC610" s="10"/>
      <c r="DD610" s="10"/>
      <c r="DE610" s="10"/>
      <c r="DF610" s="10"/>
      <c r="DG610" s="10"/>
      <c r="DH610" s="10"/>
      <c r="DI610" s="10"/>
      <c r="DJ610" s="10"/>
      <c r="DK610" s="10"/>
      <c r="DL610" s="10"/>
      <c r="DM610" s="10"/>
      <c r="DN610" s="10"/>
      <c r="DO610" s="10"/>
      <c r="DP610" s="10"/>
      <c r="DQ610" s="10"/>
      <c r="DR610" s="10"/>
      <c r="DS610" s="10"/>
      <c r="DT610" s="10"/>
      <c r="DU610" s="10"/>
      <c r="DV610" s="10"/>
      <c r="DW610" s="10"/>
      <c r="DX610" s="10"/>
      <c r="DY610" s="10"/>
      <c r="DZ610" s="10"/>
      <c r="EA610" s="10"/>
      <c r="EB610" s="10"/>
      <c r="EC610" s="10"/>
      <c r="ED610" s="10"/>
      <c r="EE610" s="10"/>
      <c r="EF610" s="10"/>
      <c r="EG610" s="10"/>
      <c r="EH610" s="10"/>
      <c r="EI610" s="10"/>
      <c r="EJ610" s="10"/>
      <c r="EK610" s="10"/>
      <c r="EL610" s="10"/>
      <c r="EM610" s="10"/>
      <c r="EN610" s="10"/>
      <c r="EO610" s="10"/>
      <c r="EP610" s="10"/>
      <c r="EQ610" s="10"/>
      <c r="ER610" s="10"/>
      <c r="ES610" s="10"/>
      <c r="ET610" s="10"/>
      <c r="EU610" s="10"/>
      <c r="EV610" s="10"/>
      <c r="EW610" s="10"/>
      <c r="EX610" s="10"/>
      <c r="EY610" s="10"/>
      <c r="EZ610" s="10"/>
      <c r="FA610" s="10"/>
      <c r="FB610" s="10"/>
      <c r="FC610" s="10"/>
      <c r="FD610" s="10"/>
      <c r="FE610" s="10"/>
      <c r="FF610" s="10"/>
      <c r="FG610" s="10"/>
      <c r="FH610" s="10"/>
      <c r="FI610" s="10"/>
      <c r="FJ610" s="10"/>
      <c r="FK610" s="10"/>
      <c r="FL610" s="10"/>
      <c r="FM610" s="10"/>
      <c r="FN610" s="10"/>
      <c r="FO610" s="10"/>
      <c r="FP610" s="10"/>
      <c r="FQ610" s="10"/>
      <c r="FR610" s="10"/>
      <c r="FS610" s="10"/>
      <c r="FT610" s="10"/>
      <c r="FU610" s="10"/>
      <c r="FV610" s="10"/>
      <c r="FW610" s="10"/>
      <c r="FX610" s="10"/>
      <c r="FY610" s="10"/>
      <c r="FZ610" s="10"/>
      <c r="GA610" s="10"/>
      <c r="GB610" s="10"/>
      <c r="GC610" s="10"/>
      <c r="GD610" s="10"/>
      <c r="GE610" s="10"/>
      <c r="GF610" s="10"/>
      <c r="GG610" s="10"/>
      <c r="GH610" s="10"/>
      <c r="GI610" s="10"/>
      <c r="GJ610" s="10"/>
      <c r="GK610" s="10"/>
    </row>
    <row r="611" customFormat="false" ht="12.75" hidden="false" customHeight="false" outlineLevel="0" collapsed="false">
      <c r="A611" s="7"/>
      <c r="B611" s="7"/>
      <c r="C611" s="8"/>
      <c r="D611" s="8"/>
      <c r="E611" s="8"/>
      <c r="F611" s="8"/>
      <c r="G611" s="9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  <c r="BT611" s="10"/>
      <c r="BU611" s="10"/>
      <c r="BV611" s="10"/>
      <c r="BW611" s="10"/>
      <c r="BX611" s="10"/>
      <c r="BY611" s="10"/>
      <c r="BZ611" s="10"/>
      <c r="CA611" s="10"/>
      <c r="CB611" s="10"/>
      <c r="CC611" s="10"/>
      <c r="CD611" s="10"/>
      <c r="CE611" s="10"/>
      <c r="CF611" s="10"/>
      <c r="CG611" s="10"/>
      <c r="CH611" s="10"/>
      <c r="CI611" s="10"/>
      <c r="CJ611" s="10"/>
      <c r="CK611" s="10"/>
      <c r="CL611" s="10"/>
      <c r="CM611" s="10"/>
      <c r="CN611" s="10"/>
      <c r="CO611" s="10"/>
      <c r="CP611" s="10"/>
      <c r="CQ611" s="10"/>
      <c r="CR611" s="10"/>
      <c r="CS611" s="10"/>
      <c r="CT611" s="10"/>
      <c r="CU611" s="10"/>
      <c r="CV611" s="10"/>
      <c r="CW611" s="10"/>
      <c r="CX611" s="10"/>
      <c r="CY611" s="10"/>
      <c r="CZ611" s="10"/>
      <c r="DA611" s="10"/>
      <c r="DB611" s="10"/>
      <c r="DC611" s="10"/>
      <c r="DD611" s="10"/>
      <c r="DE611" s="10"/>
      <c r="DF611" s="10"/>
      <c r="DG611" s="10"/>
      <c r="DH611" s="10"/>
      <c r="DI611" s="10"/>
      <c r="DJ611" s="10"/>
      <c r="DK611" s="10"/>
      <c r="DL611" s="10"/>
      <c r="DM611" s="10"/>
      <c r="DN611" s="10"/>
      <c r="DO611" s="10"/>
      <c r="DP611" s="10"/>
      <c r="DQ611" s="10"/>
      <c r="DR611" s="10"/>
      <c r="DS611" s="10"/>
      <c r="DT611" s="10"/>
      <c r="DU611" s="10"/>
      <c r="DV611" s="10"/>
      <c r="DW611" s="10"/>
      <c r="DX611" s="10"/>
      <c r="DY611" s="10"/>
      <c r="DZ611" s="10"/>
      <c r="EA611" s="10"/>
      <c r="EB611" s="10"/>
      <c r="EC611" s="10"/>
      <c r="ED611" s="10"/>
      <c r="EE611" s="10"/>
      <c r="EF611" s="10"/>
      <c r="EG611" s="10"/>
      <c r="EH611" s="10"/>
      <c r="EI611" s="10"/>
      <c r="EJ611" s="10"/>
      <c r="EK611" s="10"/>
      <c r="EL611" s="10"/>
      <c r="EM611" s="10"/>
      <c r="EN611" s="10"/>
      <c r="EO611" s="10"/>
      <c r="EP611" s="10"/>
      <c r="EQ611" s="10"/>
      <c r="ER611" s="10"/>
      <c r="ES611" s="10"/>
      <c r="ET611" s="10"/>
      <c r="EU611" s="10"/>
      <c r="EV611" s="10"/>
      <c r="EW611" s="10"/>
      <c r="EX611" s="10"/>
      <c r="EY611" s="10"/>
      <c r="EZ611" s="10"/>
      <c r="FA611" s="10"/>
      <c r="FB611" s="10"/>
      <c r="FC611" s="10"/>
      <c r="FD611" s="10"/>
      <c r="FE611" s="10"/>
      <c r="FF611" s="10"/>
      <c r="FG611" s="10"/>
      <c r="FH611" s="10"/>
      <c r="FI611" s="10"/>
      <c r="FJ611" s="10"/>
      <c r="FK611" s="10"/>
      <c r="FL611" s="10"/>
      <c r="FM611" s="10"/>
      <c r="FN611" s="10"/>
      <c r="FO611" s="10"/>
      <c r="FP611" s="10"/>
      <c r="FQ611" s="10"/>
      <c r="FR611" s="10"/>
      <c r="FS611" s="10"/>
      <c r="FT611" s="10"/>
      <c r="FU611" s="10"/>
      <c r="FV611" s="10"/>
      <c r="FW611" s="10"/>
      <c r="FX611" s="10"/>
      <c r="FY611" s="10"/>
      <c r="FZ611" s="10"/>
      <c r="GA611" s="10"/>
      <c r="GB611" s="10"/>
      <c r="GC611" s="10"/>
      <c r="GD611" s="10"/>
      <c r="GE611" s="10"/>
      <c r="GF611" s="10"/>
      <c r="GG611" s="10"/>
      <c r="GH611" s="10"/>
      <c r="GI611" s="10"/>
      <c r="GJ611" s="10"/>
      <c r="GK611" s="10"/>
    </row>
    <row r="612" customFormat="false" ht="12.75" hidden="false" customHeight="false" outlineLevel="0" collapsed="false">
      <c r="A612" s="7"/>
      <c r="B612" s="7"/>
      <c r="C612" s="8"/>
      <c r="D612" s="8"/>
      <c r="E612" s="8"/>
      <c r="F612" s="8"/>
      <c r="G612" s="9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  <c r="BU612" s="10"/>
      <c r="BV612" s="10"/>
      <c r="BW612" s="10"/>
      <c r="BX612" s="10"/>
      <c r="BY612" s="10"/>
      <c r="BZ612" s="10"/>
      <c r="CA612" s="10"/>
      <c r="CB612" s="10"/>
      <c r="CC612" s="10"/>
      <c r="CD612" s="10"/>
      <c r="CE612" s="10"/>
      <c r="CF612" s="10"/>
      <c r="CG612" s="10"/>
      <c r="CH612" s="10"/>
      <c r="CI612" s="10"/>
      <c r="CJ612" s="10"/>
      <c r="CK612" s="10"/>
      <c r="CL612" s="10"/>
      <c r="CM612" s="10"/>
      <c r="CN612" s="10"/>
      <c r="CO612" s="10"/>
      <c r="CP612" s="10"/>
      <c r="CQ612" s="10"/>
      <c r="CR612" s="10"/>
      <c r="CS612" s="10"/>
      <c r="CT612" s="10"/>
      <c r="CU612" s="10"/>
      <c r="CV612" s="10"/>
      <c r="CW612" s="10"/>
      <c r="CX612" s="10"/>
      <c r="CY612" s="10"/>
      <c r="CZ612" s="10"/>
      <c r="DA612" s="10"/>
      <c r="DB612" s="10"/>
      <c r="DC612" s="10"/>
      <c r="DD612" s="10"/>
      <c r="DE612" s="10"/>
      <c r="DF612" s="10"/>
      <c r="DG612" s="10"/>
      <c r="DH612" s="10"/>
      <c r="DI612" s="10"/>
      <c r="DJ612" s="10"/>
      <c r="DK612" s="10"/>
      <c r="DL612" s="10"/>
      <c r="DM612" s="10"/>
      <c r="DN612" s="10"/>
      <c r="DO612" s="10"/>
      <c r="DP612" s="10"/>
      <c r="DQ612" s="10"/>
      <c r="DR612" s="10"/>
      <c r="DS612" s="10"/>
      <c r="DT612" s="10"/>
      <c r="DU612" s="10"/>
      <c r="DV612" s="10"/>
      <c r="DW612" s="10"/>
      <c r="DX612" s="10"/>
      <c r="DY612" s="10"/>
      <c r="DZ612" s="10"/>
      <c r="EA612" s="10"/>
      <c r="EB612" s="10"/>
      <c r="EC612" s="10"/>
      <c r="ED612" s="10"/>
      <c r="EE612" s="10"/>
      <c r="EF612" s="10"/>
      <c r="EG612" s="10"/>
      <c r="EH612" s="10"/>
      <c r="EI612" s="10"/>
      <c r="EJ612" s="10"/>
      <c r="EK612" s="10"/>
      <c r="EL612" s="10"/>
      <c r="EM612" s="10"/>
      <c r="EN612" s="10"/>
      <c r="EO612" s="10"/>
      <c r="EP612" s="10"/>
      <c r="EQ612" s="10"/>
      <c r="ER612" s="10"/>
      <c r="ES612" s="10"/>
      <c r="ET612" s="10"/>
      <c r="EU612" s="10"/>
      <c r="EV612" s="10"/>
      <c r="EW612" s="10"/>
      <c r="EX612" s="10"/>
      <c r="EY612" s="10"/>
      <c r="EZ612" s="10"/>
      <c r="FA612" s="10"/>
      <c r="FB612" s="10"/>
      <c r="FC612" s="10"/>
      <c r="FD612" s="10"/>
      <c r="FE612" s="10"/>
      <c r="FF612" s="10"/>
      <c r="FG612" s="10"/>
      <c r="FH612" s="10"/>
      <c r="FI612" s="10"/>
      <c r="FJ612" s="10"/>
      <c r="FK612" s="10"/>
      <c r="FL612" s="10"/>
      <c r="FM612" s="10"/>
      <c r="FN612" s="10"/>
      <c r="FO612" s="10"/>
      <c r="FP612" s="10"/>
      <c r="FQ612" s="10"/>
      <c r="FR612" s="10"/>
      <c r="FS612" s="10"/>
      <c r="FT612" s="10"/>
      <c r="FU612" s="10"/>
      <c r="FV612" s="10"/>
      <c r="FW612" s="10"/>
      <c r="FX612" s="10"/>
      <c r="FY612" s="10"/>
      <c r="FZ612" s="10"/>
      <c r="GA612" s="10"/>
      <c r="GB612" s="10"/>
      <c r="GC612" s="10"/>
      <c r="GD612" s="10"/>
      <c r="GE612" s="10"/>
      <c r="GF612" s="10"/>
      <c r="GG612" s="10"/>
      <c r="GH612" s="10"/>
      <c r="GI612" s="10"/>
      <c r="GJ612" s="10"/>
      <c r="GK612" s="10"/>
    </row>
    <row r="613" customFormat="false" ht="12.75" hidden="false" customHeight="false" outlineLevel="0" collapsed="false">
      <c r="A613" s="7"/>
      <c r="B613" s="7"/>
      <c r="C613" s="8"/>
      <c r="D613" s="8"/>
      <c r="E613" s="8"/>
      <c r="F613" s="8"/>
      <c r="G613" s="9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  <c r="BU613" s="10"/>
      <c r="BV613" s="10"/>
      <c r="BW613" s="10"/>
      <c r="BX613" s="10"/>
      <c r="BY613" s="10"/>
      <c r="BZ613" s="10"/>
      <c r="CA613" s="10"/>
      <c r="CB613" s="10"/>
      <c r="CC613" s="10"/>
      <c r="CD613" s="10"/>
      <c r="CE613" s="10"/>
      <c r="CF613" s="10"/>
      <c r="CG613" s="10"/>
      <c r="CH613" s="10"/>
      <c r="CI613" s="10"/>
      <c r="CJ613" s="10"/>
      <c r="CK613" s="10"/>
      <c r="CL613" s="10"/>
      <c r="CM613" s="10"/>
      <c r="CN613" s="10"/>
      <c r="CO613" s="10"/>
      <c r="CP613" s="10"/>
      <c r="CQ613" s="10"/>
      <c r="CR613" s="10"/>
      <c r="CS613" s="10"/>
      <c r="CT613" s="10"/>
      <c r="CU613" s="10"/>
      <c r="CV613" s="10"/>
      <c r="CW613" s="10"/>
      <c r="CX613" s="10"/>
      <c r="CY613" s="10"/>
      <c r="CZ613" s="10"/>
      <c r="DA613" s="10"/>
      <c r="DB613" s="10"/>
      <c r="DC613" s="10"/>
      <c r="DD613" s="10"/>
      <c r="DE613" s="10"/>
      <c r="DF613" s="10"/>
      <c r="DG613" s="10"/>
      <c r="DH613" s="10"/>
      <c r="DI613" s="10"/>
      <c r="DJ613" s="10"/>
      <c r="DK613" s="10"/>
      <c r="DL613" s="10"/>
      <c r="DM613" s="10"/>
      <c r="DN613" s="10"/>
      <c r="DO613" s="10"/>
      <c r="DP613" s="10"/>
      <c r="DQ613" s="10"/>
      <c r="DR613" s="10"/>
      <c r="DS613" s="10"/>
      <c r="DT613" s="10"/>
      <c r="DU613" s="10"/>
      <c r="DV613" s="10"/>
      <c r="DW613" s="10"/>
      <c r="DX613" s="10"/>
      <c r="DY613" s="10"/>
      <c r="DZ613" s="10"/>
      <c r="EA613" s="10"/>
      <c r="EB613" s="10"/>
      <c r="EC613" s="10"/>
      <c r="ED613" s="10"/>
      <c r="EE613" s="10"/>
      <c r="EF613" s="10"/>
      <c r="EG613" s="10"/>
      <c r="EH613" s="10"/>
      <c r="EI613" s="10"/>
      <c r="EJ613" s="10"/>
      <c r="EK613" s="10"/>
      <c r="EL613" s="10"/>
      <c r="EM613" s="10"/>
      <c r="EN613" s="10"/>
      <c r="EO613" s="10"/>
      <c r="EP613" s="10"/>
      <c r="EQ613" s="10"/>
      <c r="ER613" s="10"/>
      <c r="ES613" s="10"/>
      <c r="ET613" s="10"/>
      <c r="EU613" s="10"/>
      <c r="EV613" s="10"/>
      <c r="EW613" s="10"/>
      <c r="EX613" s="10"/>
      <c r="EY613" s="10"/>
      <c r="EZ613" s="10"/>
      <c r="FA613" s="10"/>
      <c r="FB613" s="10"/>
      <c r="FC613" s="10"/>
      <c r="FD613" s="10"/>
      <c r="FE613" s="10"/>
      <c r="FF613" s="10"/>
      <c r="FG613" s="10"/>
      <c r="FH613" s="10"/>
      <c r="FI613" s="10"/>
      <c r="FJ613" s="10"/>
      <c r="FK613" s="10"/>
      <c r="FL613" s="10"/>
      <c r="FM613" s="10"/>
      <c r="FN613" s="10"/>
      <c r="FO613" s="10"/>
      <c r="FP613" s="10"/>
      <c r="FQ613" s="10"/>
      <c r="FR613" s="10"/>
      <c r="FS613" s="10"/>
      <c r="FT613" s="10"/>
      <c r="FU613" s="10"/>
      <c r="FV613" s="10"/>
      <c r="FW613" s="10"/>
      <c r="FX613" s="10"/>
      <c r="FY613" s="10"/>
      <c r="FZ613" s="10"/>
      <c r="GA613" s="10"/>
      <c r="GB613" s="10"/>
      <c r="GC613" s="10"/>
      <c r="GD613" s="10"/>
      <c r="GE613" s="10"/>
      <c r="GF613" s="10"/>
      <c r="GG613" s="10"/>
      <c r="GH613" s="10"/>
      <c r="GI613" s="10"/>
      <c r="GJ613" s="10"/>
      <c r="GK613" s="10"/>
    </row>
    <row r="614" customFormat="false" ht="12.75" hidden="false" customHeight="false" outlineLevel="0" collapsed="false">
      <c r="A614" s="7"/>
      <c r="B614" s="7"/>
      <c r="C614" s="8"/>
      <c r="D614" s="8"/>
      <c r="E614" s="8"/>
      <c r="F614" s="8"/>
      <c r="G614" s="9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  <c r="BU614" s="10"/>
      <c r="BV614" s="10"/>
      <c r="BW614" s="10"/>
      <c r="BX614" s="10"/>
      <c r="BY614" s="10"/>
      <c r="BZ614" s="10"/>
      <c r="CA614" s="10"/>
      <c r="CB614" s="10"/>
      <c r="CC614" s="10"/>
      <c r="CD614" s="10"/>
      <c r="CE614" s="10"/>
      <c r="CF614" s="10"/>
      <c r="CG614" s="10"/>
      <c r="CH614" s="10"/>
      <c r="CI614" s="10"/>
      <c r="CJ614" s="10"/>
      <c r="CK614" s="10"/>
      <c r="CL614" s="10"/>
      <c r="CM614" s="10"/>
      <c r="CN614" s="10"/>
      <c r="CO614" s="10"/>
      <c r="CP614" s="10"/>
      <c r="CQ614" s="10"/>
      <c r="CR614" s="10"/>
      <c r="CS614" s="10"/>
      <c r="CT614" s="10"/>
      <c r="CU614" s="10"/>
      <c r="CV614" s="10"/>
      <c r="CW614" s="10"/>
      <c r="CX614" s="10"/>
      <c r="CY614" s="10"/>
      <c r="CZ614" s="10"/>
      <c r="DA614" s="10"/>
      <c r="DB614" s="10"/>
      <c r="DC614" s="10"/>
      <c r="DD614" s="10"/>
      <c r="DE614" s="10"/>
      <c r="DF614" s="10"/>
      <c r="DG614" s="10"/>
      <c r="DH614" s="10"/>
      <c r="DI614" s="10"/>
      <c r="DJ614" s="10"/>
      <c r="DK614" s="10"/>
      <c r="DL614" s="10"/>
      <c r="DM614" s="10"/>
      <c r="DN614" s="10"/>
      <c r="DO614" s="10"/>
      <c r="DP614" s="10"/>
      <c r="DQ614" s="10"/>
      <c r="DR614" s="10"/>
      <c r="DS614" s="10"/>
      <c r="DT614" s="10"/>
      <c r="DU614" s="10"/>
      <c r="DV614" s="10"/>
      <c r="DW614" s="10"/>
      <c r="DX614" s="10"/>
      <c r="DY614" s="10"/>
      <c r="DZ614" s="10"/>
      <c r="EA614" s="10"/>
      <c r="EB614" s="10"/>
      <c r="EC614" s="10"/>
      <c r="ED614" s="10"/>
      <c r="EE614" s="10"/>
      <c r="EF614" s="10"/>
      <c r="EG614" s="10"/>
      <c r="EH614" s="10"/>
      <c r="EI614" s="10"/>
      <c r="EJ614" s="10"/>
      <c r="EK614" s="10"/>
      <c r="EL614" s="10"/>
      <c r="EM614" s="10"/>
      <c r="EN614" s="10"/>
      <c r="EO614" s="10"/>
      <c r="EP614" s="10"/>
      <c r="EQ614" s="10"/>
      <c r="ER614" s="10"/>
      <c r="ES614" s="10"/>
      <c r="ET614" s="10"/>
      <c r="EU614" s="10"/>
      <c r="EV614" s="10"/>
      <c r="EW614" s="10"/>
      <c r="EX614" s="10"/>
      <c r="EY614" s="10"/>
      <c r="EZ614" s="10"/>
      <c r="FA614" s="10"/>
      <c r="FB614" s="10"/>
      <c r="FC614" s="10"/>
      <c r="FD614" s="10"/>
      <c r="FE614" s="10"/>
      <c r="FF614" s="10"/>
      <c r="FG614" s="10"/>
      <c r="FH614" s="10"/>
      <c r="FI614" s="10"/>
      <c r="FJ614" s="10"/>
      <c r="FK614" s="10"/>
      <c r="FL614" s="10"/>
      <c r="FM614" s="10"/>
      <c r="FN614" s="10"/>
      <c r="FO614" s="10"/>
      <c r="FP614" s="10"/>
      <c r="FQ614" s="10"/>
      <c r="FR614" s="10"/>
      <c r="FS614" s="10"/>
      <c r="FT614" s="10"/>
      <c r="FU614" s="10"/>
      <c r="FV614" s="10"/>
      <c r="FW614" s="10"/>
      <c r="FX614" s="10"/>
      <c r="FY614" s="10"/>
      <c r="FZ614" s="10"/>
      <c r="GA614" s="10"/>
      <c r="GB614" s="10"/>
      <c r="GC614" s="10"/>
      <c r="GD614" s="10"/>
      <c r="GE614" s="10"/>
      <c r="GF614" s="10"/>
      <c r="GG614" s="10"/>
      <c r="GH614" s="10"/>
      <c r="GI614" s="10"/>
      <c r="GJ614" s="10"/>
      <c r="GK614" s="10"/>
    </row>
    <row r="615" customFormat="false" ht="12.75" hidden="false" customHeight="false" outlineLevel="0" collapsed="false">
      <c r="A615" s="7"/>
      <c r="B615" s="7"/>
      <c r="C615" s="8"/>
      <c r="D615" s="8"/>
      <c r="E615" s="8"/>
      <c r="F615" s="8"/>
      <c r="G615" s="9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  <c r="BU615" s="10"/>
      <c r="BV615" s="10"/>
      <c r="BW615" s="10"/>
      <c r="BX615" s="10"/>
      <c r="BY615" s="10"/>
      <c r="BZ615" s="10"/>
      <c r="CA615" s="10"/>
      <c r="CB615" s="10"/>
      <c r="CC615" s="10"/>
      <c r="CD615" s="10"/>
      <c r="CE615" s="10"/>
      <c r="CF615" s="10"/>
      <c r="CG615" s="10"/>
      <c r="CH615" s="10"/>
      <c r="CI615" s="10"/>
      <c r="CJ615" s="10"/>
      <c r="CK615" s="10"/>
      <c r="CL615" s="10"/>
      <c r="CM615" s="10"/>
      <c r="CN615" s="10"/>
      <c r="CO615" s="10"/>
      <c r="CP615" s="10"/>
      <c r="CQ615" s="10"/>
      <c r="CR615" s="10"/>
      <c r="CS615" s="10"/>
      <c r="CT615" s="10"/>
      <c r="CU615" s="10"/>
      <c r="CV615" s="10"/>
      <c r="CW615" s="10"/>
      <c r="CX615" s="10"/>
      <c r="CY615" s="10"/>
      <c r="CZ615" s="10"/>
      <c r="DA615" s="10"/>
      <c r="DB615" s="10"/>
      <c r="DC615" s="10"/>
      <c r="DD615" s="10"/>
      <c r="DE615" s="10"/>
      <c r="DF615" s="10"/>
      <c r="DG615" s="10"/>
      <c r="DH615" s="10"/>
      <c r="DI615" s="10"/>
      <c r="DJ615" s="10"/>
      <c r="DK615" s="10"/>
      <c r="DL615" s="10"/>
      <c r="DM615" s="10"/>
      <c r="DN615" s="10"/>
      <c r="DO615" s="10"/>
      <c r="DP615" s="10"/>
      <c r="DQ615" s="10"/>
      <c r="DR615" s="10"/>
      <c r="DS615" s="10"/>
      <c r="DT615" s="10"/>
      <c r="DU615" s="10"/>
      <c r="DV615" s="10"/>
      <c r="DW615" s="10"/>
      <c r="DX615" s="10"/>
      <c r="DY615" s="10"/>
      <c r="DZ615" s="10"/>
      <c r="EA615" s="10"/>
      <c r="EB615" s="10"/>
      <c r="EC615" s="10"/>
      <c r="ED615" s="10"/>
      <c r="EE615" s="10"/>
      <c r="EF615" s="10"/>
      <c r="EG615" s="10"/>
      <c r="EH615" s="10"/>
      <c r="EI615" s="10"/>
      <c r="EJ615" s="10"/>
      <c r="EK615" s="10"/>
      <c r="EL615" s="10"/>
      <c r="EM615" s="10"/>
      <c r="EN615" s="10"/>
      <c r="EO615" s="10"/>
      <c r="EP615" s="10"/>
      <c r="EQ615" s="10"/>
      <c r="ER615" s="10"/>
      <c r="ES615" s="10"/>
      <c r="ET615" s="10"/>
      <c r="EU615" s="10"/>
      <c r="EV615" s="10"/>
      <c r="EW615" s="10"/>
      <c r="EX615" s="10"/>
      <c r="EY615" s="10"/>
      <c r="EZ615" s="10"/>
      <c r="FA615" s="10"/>
      <c r="FB615" s="10"/>
      <c r="FC615" s="10"/>
      <c r="FD615" s="10"/>
      <c r="FE615" s="10"/>
      <c r="FF615" s="10"/>
      <c r="FG615" s="10"/>
      <c r="FH615" s="10"/>
      <c r="FI615" s="10"/>
      <c r="FJ615" s="10"/>
      <c r="FK615" s="10"/>
      <c r="FL615" s="10"/>
      <c r="FM615" s="10"/>
      <c r="FN615" s="10"/>
      <c r="FO615" s="10"/>
      <c r="FP615" s="10"/>
      <c r="FQ615" s="10"/>
      <c r="FR615" s="10"/>
      <c r="FS615" s="10"/>
      <c r="FT615" s="10"/>
      <c r="FU615" s="10"/>
      <c r="FV615" s="10"/>
      <c r="FW615" s="10"/>
      <c r="FX615" s="10"/>
      <c r="FY615" s="10"/>
      <c r="FZ615" s="10"/>
      <c r="GA615" s="10"/>
      <c r="GB615" s="10"/>
      <c r="GC615" s="10"/>
      <c r="GD615" s="10"/>
      <c r="GE615" s="10"/>
      <c r="GF615" s="10"/>
      <c r="GG615" s="10"/>
      <c r="GH615" s="10"/>
      <c r="GI615" s="10"/>
      <c r="GJ615" s="10"/>
      <c r="GK615" s="10"/>
    </row>
    <row r="616" customFormat="false" ht="12.75" hidden="false" customHeight="false" outlineLevel="0" collapsed="false">
      <c r="A616" s="7"/>
      <c r="B616" s="7"/>
      <c r="C616" s="8"/>
      <c r="D616" s="8"/>
      <c r="E616" s="8"/>
      <c r="F616" s="8"/>
      <c r="G616" s="9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  <c r="BU616" s="10"/>
      <c r="BV616" s="10"/>
      <c r="BW616" s="10"/>
      <c r="BX616" s="10"/>
      <c r="BY616" s="10"/>
      <c r="BZ616" s="10"/>
      <c r="CA616" s="10"/>
      <c r="CB616" s="10"/>
      <c r="CC616" s="10"/>
      <c r="CD616" s="10"/>
      <c r="CE616" s="10"/>
      <c r="CF616" s="10"/>
      <c r="CG616" s="10"/>
      <c r="CH616" s="10"/>
      <c r="CI616" s="10"/>
      <c r="CJ616" s="10"/>
      <c r="CK616" s="10"/>
      <c r="CL616" s="10"/>
      <c r="CM616" s="10"/>
      <c r="CN616" s="10"/>
      <c r="CO616" s="10"/>
      <c r="CP616" s="10"/>
      <c r="CQ616" s="10"/>
      <c r="CR616" s="10"/>
      <c r="CS616" s="10"/>
      <c r="CT616" s="10"/>
      <c r="CU616" s="10"/>
      <c r="CV616" s="10"/>
      <c r="CW616" s="10"/>
      <c r="CX616" s="10"/>
      <c r="CY616" s="10"/>
      <c r="CZ616" s="10"/>
      <c r="DA616" s="10"/>
      <c r="DB616" s="10"/>
      <c r="DC616" s="10"/>
      <c r="DD616" s="10"/>
      <c r="DE616" s="10"/>
      <c r="DF616" s="10"/>
      <c r="DG616" s="10"/>
      <c r="DH616" s="10"/>
      <c r="DI616" s="10"/>
      <c r="DJ616" s="10"/>
      <c r="DK616" s="10"/>
      <c r="DL616" s="10"/>
      <c r="DM616" s="10"/>
      <c r="DN616" s="10"/>
      <c r="DO616" s="10"/>
      <c r="DP616" s="10"/>
      <c r="DQ616" s="10"/>
      <c r="DR616" s="10"/>
      <c r="DS616" s="10"/>
      <c r="DT616" s="10"/>
      <c r="DU616" s="10"/>
      <c r="DV616" s="10"/>
      <c r="DW616" s="10"/>
      <c r="DX616" s="10"/>
      <c r="DY616" s="10"/>
      <c r="DZ616" s="10"/>
      <c r="EA616" s="10"/>
      <c r="EB616" s="10"/>
      <c r="EC616" s="10"/>
      <c r="ED616" s="10"/>
      <c r="EE616" s="10"/>
      <c r="EF616" s="10"/>
      <c r="EG616" s="10"/>
      <c r="EH616" s="10"/>
      <c r="EI616" s="10"/>
      <c r="EJ616" s="10"/>
      <c r="EK616" s="10"/>
      <c r="EL616" s="10"/>
      <c r="EM616" s="10"/>
      <c r="EN616" s="10"/>
      <c r="EO616" s="10"/>
      <c r="EP616" s="10"/>
      <c r="EQ616" s="10"/>
      <c r="ER616" s="10"/>
      <c r="ES616" s="10"/>
      <c r="ET616" s="10"/>
      <c r="EU616" s="10"/>
      <c r="EV616" s="10"/>
      <c r="EW616" s="10"/>
      <c r="EX616" s="10"/>
      <c r="EY616" s="10"/>
      <c r="EZ616" s="10"/>
      <c r="FA616" s="10"/>
      <c r="FB616" s="10"/>
      <c r="FC616" s="10"/>
      <c r="FD616" s="10"/>
      <c r="FE616" s="10"/>
      <c r="FF616" s="10"/>
      <c r="FG616" s="10"/>
      <c r="FH616" s="10"/>
      <c r="FI616" s="10"/>
      <c r="FJ616" s="10"/>
      <c r="FK616" s="10"/>
      <c r="FL616" s="10"/>
      <c r="FM616" s="10"/>
      <c r="FN616" s="10"/>
      <c r="FO616" s="10"/>
      <c r="FP616" s="10"/>
      <c r="FQ616" s="10"/>
      <c r="FR616" s="10"/>
      <c r="FS616" s="10"/>
      <c r="FT616" s="10"/>
      <c r="FU616" s="10"/>
      <c r="FV616" s="10"/>
      <c r="FW616" s="10"/>
      <c r="FX616" s="10"/>
      <c r="FY616" s="10"/>
      <c r="FZ616" s="10"/>
      <c r="GA616" s="10"/>
      <c r="GB616" s="10"/>
      <c r="GC616" s="10"/>
      <c r="GD616" s="10"/>
      <c r="GE616" s="10"/>
      <c r="GF616" s="10"/>
      <c r="GG616" s="10"/>
      <c r="GH616" s="10"/>
      <c r="GI616" s="10"/>
      <c r="GJ616" s="10"/>
      <c r="GK616" s="10"/>
    </row>
    <row r="617" customFormat="false" ht="12.75" hidden="false" customHeight="false" outlineLevel="0" collapsed="false">
      <c r="A617" s="7"/>
      <c r="B617" s="7"/>
      <c r="C617" s="8"/>
      <c r="D617" s="8"/>
      <c r="E617" s="8"/>
      <c r="F617" s="8"/>
      <c r="G617" s="9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  <c r="BU617" s="10"/>
      <c r="BV617" s="10"/>
      <c r="BW617" s="10"/>
      <c r="BX617" s="10"/>
      <c r="BY617" s="10"/>
      <c r="BZ617" s="10"/>
      <c r="CA617" s="10"/>
      <c r="CB617" s="10"/>
      <c r="CC617" s="10"/>
      <c r="CD617" s="10"/>
      <c r="CE617" s="10"/>
      <c r="CF617" s="10"/>
      <c r="CG617" s="10"/>
      <c r="CH617" s="10"/>
      <c r="CI617" s="10"/>
      <c r="CJ617" s="10"/>
      <c r="CK617" s="10"/>
      <c r="CL617" s="10"/>
      <c r="CM617" s="10"/>
      <c r="CN617" s="10"/>
      <c r="CO617" s="10"/>
      <c r="CP617" s="10"/>
      <c r="CQ617" s="10"/>
      <c r="CR617" s="10"/>
      <c r="CS617" s="10"/>
      <c r="CT617" s="10"/>
      <c r="CU617" s="10"/>
      <c r="CV617" s="10"/>
      <c r="CW617" s="10"/>
      <c r="CX617" s="10"/>
      <c r="CY617" s="10"/>
      <c r="CZ617" s="10"/>
      <c r="DA617" s="10"/>
      <c r="DB617" s="10"/>
      <c r="DC617" s="10"/>
      <c r="DD617" s="10"/>
      <c r="DE617" s="10"/>
      <c r="DF617" s="10"/>
      <c r="DG617" s="10"/>
      <c r="DH617" s="10"/>
      <c r="DI617" s="10"/>
      <c r="DJ617" s="10"/>
      <c r="DK617" s="10"/>
      <c r="DL617" s="10"/>
      <c r="DM617" s="10"/>
      <c r="DN617" s="10"/>
      <c r="DO617" s="10"/>
      <c r="DP617" s="10"/>
      <c r="DQ617" s="10"/>
      <c r="DR617" s="10"/>
      <c r="DS617" s="10"/>
      <c r="DT617" s="10"/>
      <c r="DU617" s="10"/>
      <c r="DV617" s="10"/>
      <c r="DW617" s="10"/>
      <c r="DX617" s="10"/>
      <c r="DY617" s="10"/>
      <c r="DZ617" s="10"/>
      <c r="EA617" s="10"/>
      <c r="EB617" s="10"/>
      <c r="EC617" s="10"/>
      <c r="ED617" s="10"/>
      <c r="EE617" s="10"/>
      <c r="EF617" s="10"/>
      <c r="EG617" s="10"/>
      <c r="EH617" s="10"/>
      <c r="EI617" s="10"/>
      <c r="EJ617" s="10"/>
      <c r="EK617" s="10"/>
      <c r="EL617" s="10"/>
      <c r="EM617" s="10"/>
      <c r="EN617" s="10"/>
      <c r="EO617" s="10"/>
      <c r="EP617" s="10"/>
      <c r="EQ617" s="10"/>
      <c r="ER617" s="10"/>
      <c r="ES617" s="10"/>
      <c r="ET617" s="10"/>
      <c r="EU617" s="10"/>
      <c r="EV617" s="10"/>
      <c r="EW617" s="10"/>
      <c r="EX617" s="10"/>
      <c r="EY617" s="10"/>
      <c r="EZ617" s="10"/>
      <c r="FA617" s="10"/>
      <c r="FB617" s="10"/>
      <c r="FC617" s="10"/>
      <c r="FD617" s="10"/>
      <c r="FE617" s="10"/>
      <c r="FF617" s="10"/>
      <c r="FG617" s="10"/>
      <c r="FH617" s="10"/>
      <c r="FI617" s="10"/>
      <c r="FJ617" s="10"/>
      <c r="FK617" s="10"/>
      <c r="FL617" s="10"/>
      <c r="FM617" s="10"/>
      <c r="FN617" s="10"/>
      <c r="FO617" s="10"/>
      <c r="FP617" s="10"/>
      <c r="FQ617" s="10"/>
      <c r="FR617" s="10"/>
      <c r="FS617" s="10"/>
      <c r="FT617" s="10"/>
      <c r="FU617" s="10"/>
      <c r="FV617" s="10"/>
      <c r="FW617" s="10"/>
      <c r="FX617" s="10"/>
      <c r="FY617" s="10"/>
      <c r="FZ617" s="10"/>
      <c r="GA617" s="10"/>
      <c r="GB617" s="10"/>
      <c r="GC617" s="10"/>
      <c r="GD617" s="10"/>
      <c r="GE617" s="10"/>
      <c r="GF617" s="10"/>
      <c r="GG617" s="10"/>
      <c r="GH617" s="10"/>
      <c r="GI617" s="10"/>
      <c r="GJ617" s="10"/>
      <c r="GK617" s="10"/>
    </row>
    <row r="618" customFormat="false" ht="12.75" hidden="false" customHeight="false" outlineLevel="0" collapsed="false">
      <c r="A618" s="7"/>
      <c r="B618" s="7"/>
      <c r="C618" s="8"/>
      <c r="D618" s="8"/>
      <c r="E618" s="8"/>
      <c r="F618" s="8"/>
      <c r="G618" s="9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  <c r="BU618" s="10"/>
      <c r="BV618" s="10"/>
      <c r="BW618" s="10"/>
      <c r="BX618" s="10"/>
      <c r="BY618" s="10"/>
      <c r="BZ618" s="10"/>
      <c r="CA618" s="10"/>
      <c r="CB618" s="10"/>
      <c r="CC618" s="10"/>
      <c r="CD618" s="10"/>
      <c r="CE618" s="10"/>
      <c r="CF618" s="10"/>
      <c r="CG618" s="10"/>
      <c r="CH618" s="10"/>
      <c r="CI618" s="10"/>
      <c r="CJ618" s="10"/>
      <c r="CK618" s="10"/>
      <c r="CL618" s="10"/>
      <c r="CM618" s="10"/>
      <c r="CN618" s="10"/>
      <c r="CO618" s="10"/>
      <c r="CP618" s="10"/>
      <c r="CQ618" s="10"/>
      <c r="CR618" s="10"/>
      <c r="CS618" s="10"/>
      <c r="CT618" s="10"/>
      <c r="CU618" s="10"/>
      <c r="CV618" s="10"/>
      <c r="CW618" s="10"/>
      <c r="CX618" s="10"/>
      <c r="CY618" s="10"/>
      <c r="CZ618" s="10"/>
      <c r="DA618" s="10"/>
      <c r="DB618" s="10"/>
      <c r="DC618" s="10"/>
      <c r="DD618" s="10"/>
      <c r="DE618" s="10"/>
      <c r="DF618" s="10"/>
      <c r="DG618" s="10"/>
      <c r="DH618" s="10"/>
      <c r="DI618" s="10"/>
      <c r="DJ618" s="10"/>
      <c r="DK618" s="10"/>
      <c r="DL618" s="10"/>
      <c r="DM618" s="10"/>
      <c r="DN618" s="10"/>
      <c r="DO618" s="10"/>
      <c r="DP618" s="10"/>
      <c r="DQ618" s="10"/>
      <c r="DR618" s="10"/>
      <c r="DS618" s="10"/>
      <c r="DT618" s="10"/>
      <c r="DU618" s="10"/>
      <c r="DV618" s="10"/>
      <c r="DW618" s="10"/>
      <c r="DX618" s="10"/>
      <c r="DY618" s="10"/>
      <c r="DZ618" s="10"/>
      <c r="EA618" s="10"/>
      <c r="EB618" s="10"/>
      <c r="EC618" s="10"/>
      <c r="ED618" s="10"/>
      <c r="EE618" s="10"/>
      <c r="EF618" s="10"/>
      <c r="EG618" s="10"/>
      <c r="EH618" s="10"/>
      <c r="EI618" s="10"/>
      <c r="EJ618" s="10"/>
      <c r="EK618" s="10"/>
      <c r="EL618" s="10"/>
      <c r="EM618" s="10"/>
      <c r="EN618" s="10"/>
      <c r="EO618" s="10"/>
      <c r="EP618" s="10"/>
      <c r="EQ618" s="10"/>
      <c r="ER618" s="10"/>
      <c r="ES618" s="10"/>
      <c r="ET618" s="10"/>
      <c r="EU618" s="10"/>
      <c r="EV618" s="10"/>
      <c r="EW618" s="10"/>
      <c r="EX618" s="10"/>
      <c r="EY618" s="10"/>
      <c r="EZ618" s="10"/>
      <c r="FA618" s="10"/>
      <c r="FB618" s="10"/>
      <c r="FC618" s="10"/>
      <c r="FD618" s="10"/>
      <c r="FE618" s="10"/>
      <c r="FF618" s="10"/>
      <c r="FG618" s="10"/>
      <c r="FH618" s="10"/>
      <c r="FI618" s="10"/>
      <c r="FJ618" s="10"/>
      <c r="FK618" s="10"/>
      <c r="FL618" s="10"/>
      <c r="FM618" s="10"/>
      <c r="FN618" s="10"/>
      <c r="FO618" s="10"/>
      <c r="FP618" s="10"/>
      <c r="FQ618" s="10"/>
      <c r="FR618" s="10"/>
      <c r="FS618" s="10"/>
      <c r="FT618" s="10"/>
      <c r="FU618" s="10"/>
      <c r="FV618" s="10"/>
      <c r="FW618" s="10"/>
      <c r="FX618" s="10"/>
      <c r="FY618" s="10"/>
      <c r="FZ618" s="10"/>
      <c r="GA618" s="10"/>
      <c r="GB618" s="10"/>
      <c r="GC618" s="10"/>
      <c r="GD618" s="10"/>
      <c r="GE618" s="10"/>
      <c r="GF618" s="10"/>
      <c r="GG618" s="10"/>
      <c r="GH618" s="10"/>
      <c r="GI618" s="10"/>
      <c r="GJ618" s="10"/>
      <c r="GK618" s="10"/>
    </row>
    <row r="619" customFormat="false" ht="12.75" hidden="false" customHeight="false" outlineLevel="0" collapsed="false">
      <c r="A619" s="7"/>
      <c r="B619" s="7"/>
      <c r="C619" s="8"/>
      <c r="D619" s="8"/>
      <c r="E619" s="8"/>
      <c r="F619" s="8"/>
      <c r="G619" s="9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  <c r="BT619" s="10"/>
      <c r="BU619" s="10"/>
      <c r="BV619" s="10"/>
      <c r="BW619" s="10"/>
      <c r="BX619" s="10"/>
      <c r="BY619" s="10"/>
      <c r="BZ619" s="10"/>
      <c r="CA619" s="10"/>
      <c r="CB619" s="10"/>
      <c r="CC619" s="10"/>
      <c r="CD619" s="10"/>
      <c r="CE619" s="10"/>
      <c r="CF619" s="10"/>
      <c r="CG619" s="10"/>
      <c r="CH619" s="10"/>
      <c r="CI619" s="10"/>
      <c r="CJ619" s="10"/>
      <c r="CK619" s="10"/>
      <c r="CL619" s="10"/>
      <c r="CM619" s="10"/>
      <c r="CN619" s="10"/>
      <c r="CO619" s="10"/>
      <c r="CP619" s="10"/>
      <c r="CQ619" s="10"/>
      <c r="CR619" s="10"/>
      <c r="CS619" s="10"/>
      <c r="CT619" s="10"/>
      <c r="CU619" s="10"/>
      <c r="CV619" s="10"/>
      <c r="CW619" s="10"/>
      <c r="CX619" s="10"/>
      <c r="CY619" s="10"/>
      <c r="CZ619" s="10"/>
      <c r="DA619" s="10"/>
      <c r="DB619" s="10"/>
      <c r="DC619" s="10"/>
      <c r="DD619" s="10"/>
      <c r="DE619" s="10"/>
      <c r="DF619" s="10"/>
      <c r="DG619" s="10"/>
      <c r="DH619" s="10"/>
      <c r="DI619" s="10"/>
      <c r="DJ619" s="10"/>
      <c r="DK619" s="10"/>
      <c r="DL619" s="10"/>
      <c r="DM619" s="10"/>
      <c r="DN619" s="10"/>
      <c r="DO619" s="10"/>
      <c r="DP619" s="10"/>
      <c r="DQ619" s="10"/>
      <c r="DR619" s="10"/>
      <c r="DS619" s="10"/>
      <c r="DT619" s="10"/>
      <c r="DU619" s="10"/>
      <c r="DV619" s="10"/>
      <c r="DW619" s="10"/>
      <c r="DX619" s="10"/>
      <c r="DY619" s="10"/>
      <c r="DZ619" s="10"/>
      <c r="EA619" s="10"/>
      <c r="EB619" s="10"/>
      <c r="EC619" s="10"/>
      <c r="ED619" s="10"/>
      <c r="EE619" s="10"/>
      <c r="EF619" s="10"/>
      <c r="EG619" s="10"/>
      <c r="EH619" s="10"/>
      <c r="EI619" s="10"/>
      <c r="EJ619" s="10"/>
      <c r="EK619" s="10"/>
      <c r="EL619" s="10"/>
      <c r="EM619" s="10"/>
      <c r="EN619" s="10"/>
      <c r="EO619" s="10"/>
      <c r="EP619" s="10"/>
      <c r="EQ619" s="10"/>
      <c r="ER619" s="10"/>
      <c r="ES619" s="10"/>
      <c r="ET619" s="10"/>
      <c r="EU619" s="10"/>
      <c r="EV619" s="10"/>
      <c r="EW619" s="10"/>
      <c r="EX619" s="10"/>
      <c r="EY619" s="10"/>
      <c r="EZ619" s="10"/>
      <c r="FA619" s="10"/>
      <c r="FB619" s="10"/>
      <c r="FC619" s="10"/>
      <c r="FD619" s="10"/>
      <c r="FE619" s="10"/>
      <c r="FF619" s="10"/>
      <c r="FG619" s="10"/>
      <c r="FH619" s="10"/>
      <c r="FI619" s="10"/>
      <c r="FJ619" s="10"/>
      <c r="FK619" s="10"/>
      <c r="FL619" s="10"/>
      <c r="FM619" s="10"/>
      <c r="FN619" s="10"/>
      <c r="FO619" s="10"/>
      <c r="FP619" s="10"/>
      <c r="FQ619" s="10"/>
      <c r="FR619" s="10"/>
      <c r="FS619" s="10"/>
      <c r="FT619" s="10"/>
      <c r="FU619" s="10"/>
      <c r="FV619" s="10"/>
      <c r="FW619" s="10"/>
      <c r="FX619" s="10"/>
      <c r="FY619" s="10"/>
      <c r="FZ619" s="10"/>
      <c r="GA619" s="10"/>
      <c r="GB619" s="10"/>
      <c r="GC619" s="10"/>
      <c r="GD619" s="10"/>
      <c r="GE619" s="10"/>
      <c r="GF619" s="10"/>
      <c r="GG619" s="10"/>
      <c r="GH619" s="10"/>
      <c r="GI619" s="10"/>
      <c r="GJ619" s="10"/>
      <c r="GK619" s="10"/>
    </row>
    <row r="620" customFormat="false" ht="12.75" hidden="false" customHeight="false" outlineLevel="0" collapsed="false">
      <c r="A620" s="7"/>
      <c r="B620" s="7"/>
      <c r="C620" s="8"/>
      <c r="D620" s="8"/>
      <c r="E620" s="8"/>
      <c r="F620" s="8"/>
      <c r="G620" s="9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  <c r="BT620" s="10"/>
      <c r="BU620" s="10"/>
      <c r="BV620" s="10"/>
      <c r="BW620" s="10"/>
      <c r="BX620" s="10"/>
      <c r="BY620" s="10"/>
      <c r="BZ620" s="10"/>
      <c r="CA620" s="10"/>
      <c r="CB620" s="10"/>
      <c r="CC620" s="10"/>
      <c r="CD620" s="10"/>
      <c r="CE620" s="10"/>
      <c r="CF620" s="10"/>
      <c r="CG620" s="10"/>
      <c r="CH620" s="10"/>
      <c r="CI620" s="10"/>
      <c r="CJ620" s="10"/>
      <c r="CK620" s="10"/>
      <c r="CL620" s="10"/>
      <c r="CM620" s="10"/>
      <c r="CN620" s="10"/>
      <c r="CO620" s="10"/>
      <c r="CP620" s="10"/>
      <c r="CQ620" s="10"/>
      <c r="CR620" s="10"/>
      <c r="CS620" s="10"/>
      <c r="CT620" s="10"/>
      <c r="CU620" s="10"/>
      <c r="CV620" s="10"/>
      <c r="CW620" s="10"/>
      <c r="CX620" s="10"/>
      <c r="CY620" s="10"/>
      <c r="CZ620" s="10"/>
      <c r="DA620" s="10"/>
      <c r="DB620" s="10"/>
      <c r="DC620" s="10"/>
      <c r="DD620" s="10"/>
      <c r="DE620" s="10"/>
      <c r="DF620" s="10"/>
      <c r="DG620" s="10"/>
      <c r="DH620" s="10"/>
      <c r="DI620" s="10"/>
      <c r="DJ620" s="10"/>
      <c r="DK620" s="10"/>
      <c r="DL620" s="10"/>
      <c r="DM620" s="10"/>
      <c r="DN620" s="10"/>
      <c r="DO620" s="10"/>
      <c r="DP620" s="10"/>
      <c r="DQ620" s="10"/>
      <c r="DR620" s="10"/>
      <c r="DS620" s="10"/>
      <c r="DT620" s="10"/>
      <c r="DU620" s="10"/>
      <c r="DV620" s="10"/>
      <c r="DW620" s="10"/>
      <c r="DX620" s="10"/>
      <c r="DY620" s="10"/>
      <c r="DZ620" s="10"/>
      <c r="EA620" s="10"/>
      <c r="EB620" s="10"/>
      <c r="EC620" s="10"/>
      <c r="ED620" s="10"/>
      <c r="EE620" s="10"/>
      <c r="EF620" s="10"/>
      <c r="EG620" s="10"/>
      <c r="EH620" s="10"/>
      <c r="EI620" s="10"/>
      <c r="EJ620" s="10"/>
      <c r="EK620" s="10"/>
      <c r="EL620" s="10"/>
      <c r="EM620" s="10"/>
      <c r="EN620" s="10"/>
      <c r="EO620" s="10"/>
      <c r="EP620" s="10"/>
      <c r="EQ620" s="10"/>
      <c r="ER620" s="10"/>
      <c r="ES620" s="10"/>
      <c r="ET620" s="10"/>
      <c r="EU620" s="10"/>
      <c r="EV620" s="10"/>
      <c r="EW620" s="10"/>
      <c r="EX620" s="10"/>
      <c r="EY620" s="10"/>
      <c r="EZ620" s="10"/>
      <c r="FA620" s="10"/>
      <c r="FB620" s="10"/>
      <c r="FC620" s="10"/>
      <c r="FD620" s="10"/>
      <c r="FE620" s="10"/>
      <c r="FF620" s="10"/>
      <c r="FG620" s="10"/>
      <c r="FH620" s="10"/>
      <c r="FI620" s="10"/>
      <c r="FJ620" s="10"/>
      <c r="FK620" s="10"/>
      <c r="FL620" s="10"/>
      <c r="FM620" s="10"/>
      <c r="FN620" s="10"/>
      <c r="FO620" s="10"/>
      <c r="FP620" s="10"/>
      <c r="FQ620" s="10"/>
      <c r="FR620" s="10"/>
      <c r="FS620" s="10"/>
      <c r="FT620" s="10"/>
      <c r="FU620" s="10"/>
      <c r="FV620" s="10"/>
      <c r="FW620" s="10"/>
      <c r="FX620" s="10"/>
      <c r="FY620" s="10"/>
      <c r="FZ620" s="10"/>
      <c r="GA620" s="10"/>
      <c r="GB620" s="10"/>
      <c r="GC620" s="10"/>
      <c r="GD620" s="10"/>
      <c r="GE620" s="10"/>
      <c r="GF620" s="10"/>
      <c r="GG620" s="10"/>
      <c r="GH620" s="10"/>
      <c r="GI620" s="10"/>
      <c r="GJ620" s="10"/>
      <c r="GK620" s="10"/>
    </row>
    <row r="621" customFormat="false" ht="12.75" hidden="false" customHeight="false" outlineLevel="0" collapsed="false">
      <c r="A621" s="7"/>
      <c r="B621" s="7"/>
      <c r="C621" s="8"/>
      <c r="D621" s="8"/>
      <c r="E621" s="8"/>
      <c r="F621" s="8"/>
      <c r="G621" s="9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  <c r="BU621" s="10"/>
      <c r="BV621" s="10"/>
      <c r="BW621" s="10"/>
      <c r="BX621" s="10"/>
      <c r="BY621" s="10"/>
      <c r="BZ621" s="10"/>
      <c r="CA621" s="10"/>
      <c r="CB621" s="10"/>
      <c r="CC621" s="10"/>
      <c r="CD621" s="10"/>
      <c r="CE621" s="10"/>
      <c r="CF621" s="10"/>
      <c r="CG621" s="10"/>
      <c r="CH621" s="10"/>
      <c r="CI621" s="10"/>
      <c r="CJ621" s="10"/>
      <c r="CK621" s="10"/>
      <c r="CL621" s="10"/>
      <c r="CM621" s="10"/>
      <c r="CN621" s="10"/>
      <c r="CO621" s="10"/>
      <c r="CP621" s="10"/>
      <c r="CQ621" s="10"/>
      <c r="CR621" s="10"/>
      <c r="CS621" s="10"/>
      <c r="CT621" s="10"/>
      <c r="CU621" s="10"/>
      <c r="CV621" s="10"/>
      <c r="CW621" s="10"/>
      <c r="CX621" s="10"/>
      <c r="CY621" s="10"/>
      <c r="CZ621" s="10"/>
      <c r="DA621" s="10"/>
      <c r="DB621" s="10"/>
      <c r="DC621" s="10"/>
      <c r="DD621" s="10"/>
      <c r="DE621" s="10"/>
      <c r="DF621" s="10"/>
      <c r="DG621" s="10"/>
      <c r="DH621" s="10"/>
      <c r="DI621" s="10"/>
      <c r="DJ621" s="10"/>
      <c r="DK621" s="10"/>
      <c r="DL621" s="10"/>
      <c r="DM621" s="10"/>
      <c r="DN621" s="10"/>
      <c r="DO621" s="10"/>
      <c r="DP621" s="10"/>
      <c r="DQ621" s="10"/>
      <c r="DR621" s="10"/>
      <c r="DS621" s="10"/>
      <c r="DT621" s="10"/>
      <c r="DU621" s="10"/>
      <c r="DV621" s="10"/>
      <c r="DW621" s="10"/>
      <c r="DX621" s="10"/>
      <c r="DY621" s="10"/>
      <c r="DZ621" s="10"/>
      <c r="EA621" s="10"/>
      <c r="EB621" s="10"/>
      <c r="EC621" s="10"/>
      <c r="ED621" s="10"/>
      <c r="EE621" s="10"/>
      <c r="EF621" s="10"/>
      <c r="EG621" s="10"/>
      <c r="EH621" s="10"/>
      <c r="EI621" s="10"/>
      <c r="EJ621" s="10"/>
      <c r="EK621" s="10"/>
      <c r="EL621" s="10"/>
      <c r="EM621" s="10"/>
      <c r="EN621" s="10"/>
      <c r="EO621" s="10"/>
      <c r="EP621" s="10"/>
      <c r="EQ621" s="10"/>
      <c r="ER621" s="10"/>
      <c r="ES621" s="10"/>
      <c r="ET621" s="10"/>
      <c r="EU621" s="10"/>
      <c r="EV621" s="10"/>
      <c r="EW621" s="10"/>
      <c r="EX621" s="10"/>
      <c r="EY621" s="10"/>
      <c r="EZ621" s="10"/>
      <c r="FA621" s="10"/>
      <c r="FB621" s="10"/>
      <c r="FC621" s="10"/>
      <c r="FD621" s="10"/>
      <c r="FE621" s="10"/>
      <c r="FF621" s="10"/>
      <c r="FG621" s="10"/>
      <c r="FH621" s="10"/>
      <c r="FI621" s="10"/>
      <c r="FJ621" s="10"/>
      <c r="FK621" s="10"/>
      <c r="FL621" s="10"/>
      <c r="FM621" s="10"/>
      <c r="FN621" s="10"/>
      <c r="FO621" s="10"/>
      <c r="FP621" s="10"/>
      <c r="FQ621" s="10"/>
      <c r="FR621" s="10"/>
      <c r="FS621" s="10"/>
      <c r="FT621" s="10"/>
      <c r="FU621" s="10"/>
      <c r="FV621" s="10"/>
      <c r="FW621" s="10"/>
      <c r="FX621" s="10"/>
      <c r="FY621" s="10"/>
      <c r="FZ621" s="10"/>
      <c r="GA621" s="10"/>
      <c r="GB621" s="10"/>
      <c r="GC621" s="10"/>
      <c r="GD621" s="10"/>
      <c r="GE621" s="10"/>
      <c r="GF621" s="10"/>
      <c r="GG621" s="10"/>
      <c r="GH621" s="10"/>
      <c r="GI621" s="10"/>
      <c r="GJ621" s="10"/>
      <c r="GK621" s="10"/>
    </row>
    <row r="622" customFormat="false" ht="12.75" hidden="false" customHeight="false" outlineLevel="0" collapsed="false">
      <c r="A622" s="7"/>
      <c r="B622" s="7"/>
      <c r="C622" s="8"/>
      <c r="D622" s="8"/>
      <c r="E622" s="8"/>
      <c r="F622" s="8"/>
      <c r="G622" s="9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  <c r="BU622" s="10"/>
      <c r="BV622" s="10"/>
      <c r="BW622" s="10"/>
      <c r="BX622" s="10"/>
      <c r="BY622" s="10"/>
      <c r="BZ622" s="10"/>
      <c r="CA622" s="10"/>
      <c r="CB622" s="10"/>
      <c r="CC622" s="10"/>
      <c r="CD622" s="10"/>
      <c r="CE622" s="10"/>
      <c r="CF622" s="10"/>
      <c r="CG622" s="10"/>
      <c r="CH622" s="10"/>
      <c r="CI622" s="10"/>
      <c r="CJ622" s="10"/>
      <c r="CK622" s="10"/>
      <c r="CL622" s="10"/>
      <c r="CM622" s="10"/>
      <c r="CN622" s="10"/>
      <c r="CO622" s="10"/>
      <c r="CP622" s="10"/>
      <c r="CQ622" s="10"/>
      <c r="CR622" s="10"/>
      <c r="CS622" s="10"/>
      <c r="CT622" s="10"/>
      <c r="CU622" s="10"/>
      <c r="CV622" s="10"/>
      <c r="CW622" s="10"/>
      <c r="CX622" s="10"/>
      <c r="CY622" s="10"/>
      <c r="CZ622" s="10"/>
      <c r="DA622" s="10"/>
      <c r="DB622" s="10"/>
      <c r="DC622" s="10"/>
      <c r="DD622" s="10"/>
      <c r="DE622" s="10"/>
      <c r="DF622" s="10"/>
      <c r="DG622" s="10"/>
      <c r="DH622" s="10"/>
      <c r="DI622" s="10"/>
      <c r="DJ622" s="10"/>
      <c r="DK622" s="10"/>
      <c r="DL622" s="10"/>
      <c r="DM622" s="10"/>
      <c r="DN622" s="10"/>
      <c r="DO622" s="10"/>
      <c r="DP622" s="10"/>
      <c r="DQ622" s="10"/>
      <c r="DR622" s="10"/>
      <c r="DS622" s="10"/>
      <c r="DT622" s="10"/>
      <c r="DU622" s="10"/>
      <c r="DV622" s="10"/>
      <c r="DW622" s="10"/>
      <c r="DX622" s="10"/>
      <c r="DY622" s="10"/>
      <c r="DZ622" s="10"/>
      <c r="EA622" s="10"/>
      <c r="EB622" s="10"/>
      <c r="EC622" s="10"/>
      <c r="ED622" s="10"/>
      <c r="EE622" s="10"/>
      <c r="EF622" s="10"/>
      <c r="EG622" s="10"/>
      <c r="EH622" s="10"/>
      <c r="EI622" s="10"/>
      <c r="EJ622" s="10"/>
      <c r="EK622" s="10"/>
      <c r="EL622" s="10"/>
      <c r="EM622" s="10"/>
      <c r="EN622" s="10"/>
      <c r="EO622" s="10"/>
      <c r="EP622" s="10"/>
      <c r="EQ622" s="10"/>
      <c r="ER622" s="10"/>
      <c r="ES622" s="10"/>
      <c r="ET622" s="10"/>
      <c r="EU622" s="10"/>
      <c r="EV622" s="10"/>
      <c r="EW622" s="10"/>
      <c r="EX622" s="10"/>
      <c r="EY622" s="10"/>
      <c r="EZ622" s="10"/>
      <c r="FA622" s="10"/>
      <c r="FB622" s="10"/>
      <c r="FC622" s="10"/>
      <c r="FD622" s="10"/>
      <c r="FE622" s="10"/>
      <c r="FF622" s="10"/>
      <c r="FG622" s="10"/>
      <c r="FH622" s="10"/>
      <c r="FI622" s="10"/>
      <c r="FJ622" s="10"/>
      <c r="FK622" s="10"/>
      <c r="FL622" s="10"/>
      <c r="FM622" s="10"/>
      <c r="FN622" s="10"/>
      <c r="FO622" s="10"/>
      <c r="FP622" s="10"/>
      <c r="FQ622" s="10"/>
      <c r="FR622" s="10"/>
      <c r="FS622" s="10"/>
      <c r="FT622" s="10"/>
      <c r="FU622" s="10"/>
      <c r="FV622" s="10"/>
      <c r="FW622" s="10"/>
      <c r="FX622" s="10"/>
      <c r="FY622" s="10"/>
      <c r="FZ622" s="10"/>
      <c r="GA622" s="10"/>
      <c r="GB622" s="10"/>
      <c r="GC622" s="10"/>
      <c r="GD622" s="10"/>
      <c r="GE622" s="10"/>
      <c r="GF622" s="10"/>
      <c r="GG622" s="10"/>
      <c r="GH622" s="10"/>
      <c r="GI622" s="10"/>
      <c r="GJ622" s="10"/>
      <c r="GK622" s="10"/>
    </row>
    <row r="623" customFormat="false" ht="12.75" hidden="false" customHeight="false" outlineLevel="0" collapsed="false">
      <c r="A623" s="7"/>
      <c r="B623" s="7"/>
      <c r="C623" s="8"/>
      <c r="D623" s="8"/>
      <c r="E623" s="8"/>
      <c r="F623" s="8"/>
      <c r="G623" s="9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  <c r="BT623" s="10"/>
      <c r="BU623" s="10"/>
      <c r="BV623" s="10"/>
      <c r="BW623" s="10"/>
      <c r="BX623" s="10"/>
      <c r="BY623" s="10"/>
      <c r="BZ623" s="10"/>
      <c r="CA623" s="10"/>
      <c r="CB623" s="10"/>
      <c r="CC623" s="10"/>
      <c r="CD623" s="10"/>
      <c r="CE623" s="10"/>
      <c r="CF623" s="10"/>
      <c r="CG623" s="10"/>
      <c r="CH623" s="10"/>
      <c r="CI623" s="10"/>
      <c r="CJ623" s="10"/>
      <c r="CK623" s="10"/>
      <c r="CL623" s="10"/>
      <c r="CM623" s="10"/>
      <c r="CN623" s="10"/>
      <c r="CO623" s="10"/>
      <c r="CP623" s="10"/>
      <c r="CQ623" s="10"/>
      <c r="CR623" s="10"/>
      <c r="CS623" s="10"/>
      <c r="CT623" s="10"/>
      <c r="CU623" s="10"/>
      <c r="CV623" s="10"/>
      <c r="CW623" s="10"/>
      <c r="CX623" s="10"/>
      <c r="CY623" s="10"/>
      <c r="CZ623" s="10"/>
      <c r="DA623" s="10"/>
      <c r="DB623" s="10"/>
      <c r="DC623" s="10"/>
      <c r="DD623" s="10"/>
      <c r="DE623" s="10"/>
      <c r="DF623" s="10"/>
      <c r="DG623" s="10"/>
      <c r="DH623" s="10"/>
      <c r="DI623" s="10"/>
      <c r="DJ623" s="10"/>
      <c r="DK623" s="10"/>
      <c r="DL623" s="10"/>
      <c r="DM623" s="10"/>
      <c r="DN623" s="10"/>
      <c r="DO623" s="10"/>
      <c r="DP623" s="10"/>
      <c r="DQ623" s="10"/>
      <c r="DR623" s="10"/>
      <c r="DS623" s="10"/>
      <c r="DT623" s="10"/>
      <c r="DU623" s="10"/>
      <c r="DV623" s="10"/>
      <c r="DW623" s="10"/>
      <c r="DX623" s="10"/>
      <c r="DY623" s="10"/>
      <c r="DZ623" s="10"/>
      <c r="EA623" s="10"/>
      <c r="EB623" s="10"/>
      <c r="EC623" s="10"/>
      <c r="ED623" s="10"/>
      <c r="EE623" s="10"/>
      <c r="EF623" s="10"/>
      <c r="EG623" s="10"/>
      <c r="EH623" s="10"/>
      <c r="EI623" s="10"/>
      <c r="EJ623" s="10"/>
      <c r="EK623" s="10"/>
      <c r="EL623" s="10"/>
      <c r="EM623" s="10"/>
      <c r="EN623" s="10"/>
      <c r="EO623" s="10"/>
      <c r="EP623" s="10"/>
      <c r="EQ623" s="10"/>
      <c r="ER623" s="10"/>
      <c r="ES623" s="10"/>
      <c r="ET623" s="10"/>
      <c r="EU623" s="10"/>
      <c r="EV623" s="10"/>
      <c r="EW623" s="10"/>
      <c r="EX623" s="10"/>
      <c r="EY623" s="10"/>
      <c r="EZ623" s="10"/>
      <c r="FA623" s="10"/>
      <c r="FB623" s="10"/>
      <c r="FC623" s="10"/>
      <c r="FD623" s="10"/>
      <c r="FE623" s="10"/>
      <c r="FF623" s="10"/>
      <c r="FG623" s="10"/>
      <c r="FH623" s="10"/>
      <c r="FI623" s="10"/>
      <c r="FJ623" s="10"/>
      <c r="FK623" s="10"/>
      <c r="FL623" s="10"/>
      <c r="FM623" s="10"/>
      <c r="FN623" s="10"/>
      <c r="FO623" s="10"/>
      <c r="FP623" s="10"/>
      <c r="FQ623" s="10"/>
      <c r="FR623" s="10"/>
      <c r="FS623" s="10"/>
      <c r="FT623" s="10"/>
      <c r="FU623" s="10"/>
      <c r="FV623" s="10"/>
      <c r="FW623" s="10"/>
      <c r="FX623" s="10"/>
      <c r="FY623" s="10"/>
      <c r="FZ623" s="10"/>
      <c r="GA623" s="10"/>
      <c r="GB623" s="10"/>
      <c r="GC623" s="10"/>
      <c r="GD623" s="10"/>
      <c r="GE623" s="10"/>
      <c r="GF623" s="10"/>
      <c r="GG623" s="10"/>
      <c r="GH623" s="10"/>
      <c r="GI623" s="10"/>
      <c r="GJ623" s="10"/>
      <c r="GK623" s="10"/>
    </row>
    <row r="624" customFormat="false" ht="12.75" hidden="false" customHeight="false" outlineLevel="0" collapsed="false">
      <c r="A624" s="7"/>
      <c r="B624" s="7"/>
      <c r="C624" s="8"/>
      <c r="D624" s="8"/>
      <c r="E624" s="8"/>
      <c r="F624" s="8"/>
      <c r="G624" s="9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  <c r="BT624" s="10"/>
      <c r="BU624" s="10"/>
      <c r="BV624" s="10"/>
      <c r="BW624" s="10"/>
      <c r="BX624" s="10"/>
      <c r="BY624" s="10"/>
      <c r="BZ624" s="10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  <c r="EM624" s="10"/>
      <c r="EN624" s="10"/>
      <c r="EO624" s="10"/>
      <c r="EP624" s="10"/>
      <c r="EQ624" s="10"/>
      <c r="ER624" s="10"/>
      <c r="ES624" s="10"/>
      <c r="ET624" s="10"/>
      <c r="EU624" s="10"/>
      <c r="EV624" s="10"/>
      <c r="EW624" s="10"/>
      <c r="EX624" s="10"/>
      <c r="EY624" s="10"/>
      <c r="EZ624" s="10"/>
      <c r="FA624" s="10"/>
      <c r="FB624" s="10"/>
      <c r="FC624" s="10"/>
      <c r="FD624" s="10"/>
      <c r="FE624" s="10"/>
      <c r="FF624" s="10"/>
      <c r="FG624" s="10"/>
      <c r="FH624" s="10"/>
      <c r="FI624" s="10"/>
      <c r="FJ624" s="10"/>
      <c r="FK624" s="10"/>
      <c r="FL624" s="10"/>
      <c r="FM624" s="10"/>
      <c r="FN624" s="10"/>
      <c r="FO624" s="10"/>
      <c r="FP624" s="10"/>
      <c r="FQ624" s="10"/>
      <c r="FR624" s="10"/>
      <c r="FS624" s="10"/>
      <c r="FT624" s="10"/>
      <c r="FU624" s="10"/>
      <c r="FV624" s="10"/>
      <c r="FW624" s="10"/>
      <c r="FX624" s="10"/>
      <c r="FY624" s="10"/>
      <c r="FZ624" s="10"/>
      <c r="GA624" s="10"/>
      <c r="GB624" s="10"/>
      <c r="GC624" s="10"/>
      <c r="GD624" s="10"/>
      <c r="GE624" s="10"/>
      <c r="GF624" s="10"/>
      <c r="GG624" s="10"/>
      <c r="GH624" s="10"/>
      <c r="GI624" s="10"/>
      <c r="GJ624" s="10"/>
      <c r="GK624" s="10"/>
    </row>
    <row r="625" customFormat="false" ht="12.75" hidden="false" customHeight="false" outlineLevel="0" collapsed="false">
      <c r="A625" s="7"/>
      <c r="B625" s="7"/>
      <c r="C625" s="8"/>
      <c r="D625" s="8"/>
      <c r="E625" s="8"/>
      <c r="F625" s="8"/>
      <c r="G625" s="9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  <c r="BT625" s="10"/>
      <c r="BU625" s="10"/>
      <c r="BV625" s="10"/>
      <c r="BW625" s="10"/>
      <c r="BX625" s="10"/>
      <c r="BY625" s="10"/>
      <c r="BZ625" s="10"/>
      <c r="CA625" s="10"/>
      <c r="CB625" s="10"/>
      <c r="CC625" s="10"/>
      <c r="CD625" s="10"/>
      <c r="CE625" s="10"/>
      <c r="CF625" s="10"/>
      <c r="CG625" s="10"/>
      <c r="CH625" s="10"/>
      <c r="CI625" s="10"/>
      <c r="CJ625" s="10"/>
      <c r="CK625" s="10"/>
      <c r="CL625" s="10"/>
      <c r="CM625" s="10"/>
      <c r="CN625" s="10"/>
      <c r="CO625" s="10"/>
      <c r="CP625" s="10"/>
      <c r="CQ625" s="10"/>
      <c r="CR625" s="10"/>
      <c r="CS625" s="10"/>
      <c r="CT625" s="10"/>
      <c r="CU625" s="10"/>
      <c r="CV625" s="10"/>
      <c r="CW625" s="10"/>
      <c r="CX625" s="10"/>
      <c r="CY625" s="10"/>
      <c r="CZ625" s="10"/>
      <c r="DA625" s="10"/>
      <c r="DB625" s="10"/>
      <c r="DC625" s="10"/>
      <c r="DD625" s="10"/>
      <c r="DE625" s="10"/>
      <c r="DF625" s="10"/>
      <c r="DG625" s="10"/>
      <c r="DH625" s="10"/>
      <c r="DI625" s="10"/>
      <c r="DJ625" s="10"/>
      <c r="DK625" s="10"/>
      <c r="DL625" s="10"/>
      <c r="DM625" s="10"/>
      <c r="DN625" s="10"/>
      <c r="DO625" s="10"/>
      <c r="DP625" s="10"/>
      <c r="DQ625" s="10"/>
      <c r="DR625" s="10"/>
      <c r="DS625" s="10"/>
      <c r="DT625" s="10"/>
      <c r="DU625" s="10"/>
      <c r="DV625" s="10"/>
      <c r="DW625" s="10"/>
      <c r="DX625" s="10"/>
      <c r="DY625" s="10"/>
      <c r="DZ625" s="10"/>
      <c r="EA625" s="10"/>
      <c r="EB625" s="10"/>
      <c r="EC625" s="10"/>
      <c r="ED625" s="10"/>
      <c r="EE625" s="10"/>
      <c r="EF625" s="10"/>
      <c r="EG625" s="10"/>
      <c r="EH625" s="10"/>
      <c r="EI625" s="10"/>
      <c r="EJ625" s="10"/>
      <c r="EK625" s="10"/>
      <c r="EL625" s="10"/>
      <c r="EM625" s="10"/>
      <c r="EN625" s="10"/>
      <c r="EO625" s="10"/>
      <c r="EP625" s="10"/>
      <c r="EQ625" s="10"/>
      <c r="ER625" s="10"/>
      <c r="ES625" s="10"/>
      <c r="ET625" s="10"/>
      <c r="EU625" s="10"/>
      <c r="EV625" s="10"/>
      <c r="EW625" s="10"/>
      <c r="EX625" s="10"/>
      <c r="EY625" s="10"/>
      <c r="EZ625" s="10"/>
      <c r="FA625" s="10"/>
      <c r="FB625" s="10"/>
      <c r="FC625" s="10"/>
      <c r="FD625" s="10"/>
      <c r="FE625" s="10"/>
      <c r="FF625" s="10"/>
      <c r="FG625" s="10"/>
      <c r="FH625" s="10"/>
      <c r="FI625" s="10"/>
      <c r="FJ625" s="10"/>
      <c r="FK625" s="10"/>
      <c r="FL625" s="10"/>
      <c r="FM625" s="10"/>
      <c r="FN625" s="10"/>
      <c r="FO625" s="10"/>
      <c r="FP625" s="10"/>
      <c r="FQ625" s="10"/>
      <c r="FR625" s="10"/>
      <c r="FS625" s="10"/>
      <c r="FT625" s="10"/>
      <c r="FU625" s="10"/>
      <c r="FV625" s="10"/>
      <c r="FW625" s="10"/>
      <c r="FX625" s="10"/>
      <c r="FY625" s="10"/>
      <c r="FZ625" s="10"/>
      <c r="GA625" s="10"/>
      <c r="GB625" s="10"/>
      <c r="GC625" s="10"/>
      <c r="GD625" s="10"/>
      <c r="GE625" s="10"/>
      <c r="GF625" s="10"/>
      <c r="GG625" s="10"/>
      <c r="GH625" s="10"/>
      <c r="GI625" s="10"/>
      <c r="GJ625" s="10"/>
      <c r="GK625" s="10"/>
    </row>
    <row r="626" customFormat="false" ht="12.75" hidden="false" customHeight="false" outlineLevel="0" collapsed="false">
      <c r="A626" s="7"/>
      <c r="B626" s="7"/>
      <c r="C626" s="8"/>
      <c r="D626" s="8"/>
      <c r="E626" s="8"/>
      <c r="F626" s="8"/>
      <c r="G626" s="9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  <c r="BU626" s="10"/>
      <c r="BV626" s="10"/>
      <c r="BW626" s="10"/>
      <c r="BX626" s="10"/>
      <c r="BY626" s="10"/>
      <c r="BZ626" s="10"/>
      <c r="CA626" s="10"/>
      <c r="CB626" s="10"/>
      <c r="CC626" s="10"/>
      <c r="CD626" s="10"/>
      <c r="CE626" s="10"/>
      <c r="CF626" s="10"/>
      <c r="CG626" s="10"/>
      <c r="CH626" s="10"/>
      <c r="CI626" s="10"/>
      <c r="CJ626" s="10"/>
      <c r="CK626" s="10"/>
      <c r="CL626" s="10"/>
      <c r="CM626" s="10"/>
      <c r="CN626" s="10"/>
      <c r="CO626" s="10"/>
      <c r="CP626" s="10"/>
      <c r="CQ626" s="10"/>
      <c r="CR626" s="10"/>
      <c r="CS626" s="10"/>
      <c r="CT626" s="10"/>
      <c r="CU626" s="10"/>
      <c r="CV626" s="10"/>
      <c r="CW626" s="10"/>
      <c r="CX626" s="10"/>
      <c r="CY626" s="10"/>
      <c r="CZ626" s="10"/>
      <c r="DA626" s="10"/>
      <c r="DB626" s="10"/>
      <c r="DC626" s="10"/>
      <c r="DD626" s="10"/>
      <c r="DE626" s="10"/>
      <c r="DF626" s="10"/>
      <c r="DG626" s="10"/>
      <c r="DH626" s="10"/>
      <c r="DI626" s="10"/>
      <c r="DJ626" s="10"/>
      <c r="DK626" s="10"/>
      <c r="DL626" s="10"/>
      <c r="DM626" s="10"/>
      <c r="DN626" s="10"/>
      <c r="DO626" s="10"/>
      <c r="DP626" s="10"/>
      <c r="DQ626" s="10"/>
      <c r="DR626" s="10"/>
      <c r="DS626" s="10"/>
      <c r="DT626" s="10"/>
      <c r="DU626" s="10"/>
      <c r="DV626" s="10"/>
      <c r="DW626" s="10"/>
      <c r="DX626" s="10"/>
      <c r="DY626" s="10"/>
      <c r="DZ626" s="10"/>
      <c r="EA626" s="10"/>
      <c r="EB626" s="10"/>
      <c r="EC626" s="10"/>
      <c r="ED626" s="10"/>
      <c r="EE626" s="10"/>
      <c r="EF626" s="10"/>
      <c r="EG626" s="10"/>
      <c r="EH626" s="10"/>
      <c r="EI626" s="10"/>
      <c r="EJ626" s="10"/>
      <c r="EK626" s="10"/>
      <c r="EL626" s="10"/>
      <c r="EM626" s="10"/>
      <c r="EN626" s="10"/>
      <c r="EO626" s="10"/>
      <c r="EP626" s="10"/>
      <c r="EQ626" s="10"/>
      <c r="ER626" s="10"/>
      <c r="ES626" s="10"/>
      <c r="ET626" s="10"/>
      <c r="EU626" s="10"/>
      <c r="EV626" s="10"/>
      <c r="EW626" s="10"/>
      <c r="EX626" s="10"/>
      <c r="EY626" s="10"/>
      <c r="EZ626" s="10"/>
      <c r="FA626" s="10"/>
      <c r="FB626" s="10"/>
      <c r="FC626" s="10"/>
      <c r="FD626" s="10"/>
      <c r="FE626" s="10"/>
      <c r="FF626" s="10"/>
      <c r="FG626" s="10"/>
      <c r="FH626" s="10"/>
      <c r="FI626" s="10"/>
      <c r="FJ626" s="10"/>
      <c r="FK626" s="10"/>
      <c r="FL626" s="10"/>
      <c r="FM626" s="10"/>
      <c r="FN626" s="10"/>
      <c r="FO626" s="10"/>
      <c r="FP626" s="10"/>
      <c r="FQ626" s="10"/>
      <c r="FR626" s="10"/>
      <c r="FS626" s="10"/>
      <c r="FT626" s="10"/>
      <c r="FU626" s="10"/>
      <c r="FV626" s="10"/>
      <c r="FW626" s="10"/>
      <c r="FX626" s="10"/>
      <c r="FY626" s="10"/>
      <c r="FZ626" s="10"/>
      <c r="GA626" s="10"/>
      <c r="GB626" s="10"/>
      <c r="GC626" s="10"/>
      <c r="GD626" s="10"/>
      <c r="GE626" s="10"/>
      <c r="GF626" s="10"/>
      <c r="GG626" s="10"/>
      <c r="GH626" s="10"/>
      <c r="GI626" s="10"/>
      <c r="GJ626" s="10"/>
      <c r="GK626" s="10"/>
    </row>
    <row r="627" customFormat="false" ht="12.75" hidden="false" customHeight="false" outlineLevel="0" collapsed="false">
      <c r="A627" s="7"/>
      <c r="B627" s="7"/>
      <c r="C627" s="8"/>
      <c r="D627" s="8"/>
      <c r="E627" s="8"/>
      <c r="F627" s="8"/>
      <c r="G627" s="9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  <c r="BU627" s="10"/>
      <c r="BV627" s="10"/>
      <c r="BW627" s="10"/>
      <c r="BX627" s="10"/>
      <c r="BY627" s="10"/>
      <c r="BZ627" s="10"/>
      <c r="CA627" s="10"/>
      <c r="CB627" s="10"/>
      <c r="CC627" s="10"/>
      <c r="CD627" s="10"/>
      <c r="CE627" s="10"/>
      <c r="CF627" s="10"/>
      <c r="CG627" s="10"/>
      <c r="CH627" s="10"/>
      <c r="CI627" s="10"/>
      <c r="CJ627" s="10"/>
      <c r="CK627" s="10"/>
      <c r="CL627" s="10"/>
      <c r="CM627" s="10"/>
      <c r="CN627" s="10"/>
      <c r="CO627" s="10"/>
      <c r="CP627" s="10"/>
      <c r="CQ627" s="10"/>
      <c r="CR627" s="10"/>
      <c r="CS627" s="10"/>
      <c r="CT627" s="10"/>
      <c r="CU627" s="10"/>
      <c r="CV627" s="10"/>
      <c r="CW627" s="10"/>
      <c r="CX627" s="10"/>
      <c r="CY627" s="10"/>
      <c r="CZ627" s="10"/>
      <c r="DA627" s="10"/>
      <c r="DB627" s="10"/>
      <c r="DC627" s="10"/>
      <c r="DD627" s="10"/>
      <c r="DE627" s="10"/>
      <c r="DF627" s="10"/>
      <c r="DG627" s="10"/>
      <c r="DH627" s="10"/>
      <c r="DI627" s="10"/>
      <c r="DJ627" s="10"/>
      <c r="DK627" s="10"/>
      <c r="DL627" s="10"/>
      <c r="DM627" s="10"/>
      <c r="DN627" s="10"/>
      <c r="DO627" s="10"/>
      <c r="DP627" s="10"/>
      <c r="DQ627" s="10"/>
      <c r="DR627" s="10"/>
      <c r="DS627" s="10"/>
      <c r="DT627" s="10"/>
      <c r="DU627" s="10"/>
      <c r="DV627" s="10"/>
      <c r="DW627" s="10"/>
      <c r="DX627" s="10"/>
      <c r="DY627" s="10"/>
      <c r="DZ627" s="10"/>
      <c r="EA627" s="10"/>
      <c r="EB627" s="10"/>
      <c r="EC627" s="10"/>
      <c r="ED627" s="10"/>
      <c r="EE627" s="10"/>
      <c r="EF627" s="10"/>
      <c r="EG627" s="10"/>
      <c r="EH627" s="10"/>
      <c r="EI627" s="10"/>
      <c r="EJ627" s="10"/>
      <c r="EK627" s="10"/>
      <c r="EL627" s="10"/>
      <c r="EM627" s="10"/>
      <c r="EN627" s="10"/>
      <c r="EO627" s="10"/>
      <c r="EP627" s="10"/>
      <c r="EQ627" s="10"/>
      <c r="ER627" s="10"/>
      <c r="ES627" s="10"/>
      <c r="ET627" s="10"/>
      <c r="EU627" s="10"/>
      <c r="EV627" s="10"/>
      <c r="EW627" s="10"/>
      <c r="EX627" s="10"/>
      <c r="EY627" s="10"/>
      <c r="EZ627" s="10"/>
      <c r="FA627" s="10"/>
      <c r="FB627" s="10"/>
      <c r="FC627" s="10"/>
      <c r="FD627" s="10"/>
      <c r="FE627" s="10"/>
      <c r="FF627" s="10"/>
      <c r="FG627" s="10"/>
      <c r="FH627" s="10"/>
      <c r="FI627" s="10"/>
      <c r="FJ627" s="10"/>
      <c r="FK627" s="10"/>
      <c r="FL627" s="10"/>
      <c r="FM627" s="10"/>
      <c r="FN627" s="10"/>
      <c r="FO627" s="10"/>
      <c r="FP627" s="10"/>
      <c r="FQ627" s="10"/>
      <c r="FR627" s="10"/>
      <c r="FS627" s="10"/>
      <c r="FT627" s="10"/>
      <c r="FU627" s="10"/>
      <c r="FV627" s="10"/>
      <c r="FW627" s="10"/>
      <c r="FX627" s="10"/>
      <c r="FY627" s="10"/>
      <c r="FZ627" s="10"/>
      <c r="GA627" s="10"/>
      <c r="GB627" s="10"/>
      <c r="GC627" s="10"/>
      <c r="GD627" s="10"/>
      <c r="GE627" s="10"/>
      <c r="GF627" s="10"/>
      <c r="GG627" s="10"/>
      <c r="GH627" s="10"/>
      <c r="GI627" s="10"/>
      <c r="GJ627" s="10"/>
      <c r="GK627" s="10"/>
    </row>
    <row r="628" customFormat="false" ht="12.75" hidden="false" customHeight="false" outlineLevel="0" collapsed="false">
      <c r="A628" s="7"/>
      <c r="B628" s="7"/>
      <c r="C628" s="8"/>
      <c r="D628" s="8"/>
      <c r="E628" s="8"/>
      <c r="F628" s="8"/>
      <c r="G628" s="9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  <c r="BT628" s="10"/>
      <c r="BU628" s="10"/>
      <c r="BV628" s="10"/>
      <c r="BW628" s="10"/>
      <c r="BX628" s="10"/>
      <c r="BY628" s="10"/>
      <c r="BZ628" s="10"/>
      <c r="CA628" s="10"/>
      <c r="CB628" s="10"/>
      <c r="CC628" s="10"/>
      <c r="CD628" s="10"/>
      <c r="CE628" s="10"/>
      <c r="CF628" s="10"/>
      <c r="CG628" s="10"/>
      <c r="CH628" s="10"/>
      <c r="CI628" s="10"/>
      <c r="CJ628" s="10"/>
      <c r="CK628" s="10"/>
      <c r="CL628" s="10"/>
      <c r="CM628" s="10"/>
      <c r="CN628" s="10"/>
      <c r="CO628" s="10"/>
      <c r="CP628" s="10"/>
      <c r="CQ628" s="10"/>
      <c r="CR628" s="10"/>
      <c r="CS628" s="10"/>
      <c r="CT628" s="10"/>
      <c r="CU628" s="10"/>
      <c r="CV628" s="10"/>
      <c r="CW628" s="10"/>
      <c r="CX628" s="10"/>
      <c r="CY628" s="10"/>
      <c r="CZ628" s="10"/>
      <c r="DA628" s="10"/>
      <c r="DB628" s="10"/>
      <c r="DC628" s="10"/>
      <c r="DD628" s="10"/>
      <c r="DE628" s="10"/>
      <c r="DF628" s="10"/>
      <c r="DG628" s="10"/>
      <c r="DH628" s="10"/>
      <c r="DI628" s="10"/>
      <c r="DJ628" s="10"/>
      <c r="DK628" s="10"/>
      <c r="DL628" s="10"/>
      <c r="DM628" s="10"/>
      <c r="DN628" s="10"/>
      <c r="DO628" s="10"/>
      <c r="DP628" s="10"/>
      <c r="DQ628" s="10"/>
      <c r="DR628" s="10"/>
      <c r="DS628" s="10"/>
      <c r="DT628" s="10"/>
      <c r="DU628" s="10"/>
      <c r="DV628" s="10"/>
      <c r="DW628" s="10"/>
      <c r="DX628" s="10"/>
      <c r="DY628" s="10"/>
      <c r="DZ628" s="10"/>
      <c r="EA628" s="10"/>
      <c r="EB628" s="10"/>
      <c r="EC628" s="10"/>
      <c r="ED628" s="10"/>
      <c r="EE628" s="10"/>
      <c r="EF628" s="10"/>
      <c r="EG628" s="10"/>
      <c r="EH628" s="10"/>
      <c r="EI628" s="10"/>
      <c r="EJ628" s="10"/>
      <c r="EK628" s="10"/>
      <c r="EL628" s="10"/>
      <c r="EM628" s="10"/>
      <c r="EN628" s="10"/>
      <c r="EO628" s="10"/>
      <c r="EP628" s="10"/>
      <c r="EQ628" s="10"/>
      <c r="ER628" s="10"/>
      <c r="ES628" s="10"/>
      <c r="ET628" s="10"/>
      <c r="EU628" s="10"/>
      <c r="EV628" s="10"/>
      <c r="EW628" s="10"/>
      <c r="EX628" s="10"/>
      <c r="EY628" s="10"/>
      <c r="EZ628" s="10"/>
      <c r="FA628" s="10"/>
      <c r="FB628" s="10"/>
      <c r="FC628" s="10"/>
      <c r="FD628" s="10"/>
      <c r="FE628" s="10"/>
      <c r="FF628" s="10"/>
      <c r="FG628" s="10"/>
      <c r="FH628" s="10"/>
      <c r="FI628" s="10"/>
      <c r="FJ628" s="10"/>
      <c r="FK628" s="10"/>
      <c r="FL628" s="10"/>
      <c r="FM628" s="10"/>
      <c r="FN628" s="10"/>
      <c r="FO628" s="10"/>
      <c r="FP628" s="10"/>
      <c r="FQ628" s="10"/>
      <c r="FR628" s="10"/>
      <c r="FS628" s="10"/>
      <c r="FT628" s="10"/>
      <c r="FU628" s="10"/>
      <c r="FV628" s="10"/>
      <c r="FW628" s="10"/>
      <c r="FX628" s="10"/>
      <c r="FY628" s="10"/>
      <c r="FZ628" s="10"/>
      <c r="GA628" s="10"/>
      <c r="GB628" s="10"/>
      <c r="GC628" s="10"/>
      <c r="GD628" s="10"/>
      <c r="GE628" s="10"/>
      <c r="GF628" s="10"/>
      <c r="GG628" s="10"/>
      <c r="GH628" s="10"/>
      <c r="GI628" s="10"/>
      <c r="GJ628" s="10"/>
      <c r="GK628" s="10"/>
    </row>
    <row r="629" customFormat="false" ht="12.75" hidden="false" customHeight="false" outlineLevel="0" collapsed="false">
      <c r="A629" s="7"/>
      <c r="B629" s="7"/>
      <c r="C629" s="8"/>
      <c r="D629" s="8"/>
      <c r="E629" s="8"/>
      <c r="F629" s="8"/>
      <c r="G629" s="9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  <c r="BU629" s="10"/>
      <c r="BV629" s="10"/>
      <c r="BW629" s="10"/>
      <c r="BX629" s="10"/>
      <c r="BY629" s="10"/>
      <c r="BZ629" s="10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/>
      <c r="CO629" s="10"/>
      <c r="CP629" s="10"/>
      <c r="CQ629" s="10"/>
      <c r="CR629" s="10"/>
      <c r="CS629" s="10"/>
      <c r="CT629" s="10"/>
      <c r="CU629" s="10"/>
      <c r="CV629" s="10"/>
      <c r="CW629" s="10"/>
      <c r="CX629" s="10"/>
      <c r="CY629" s="10"/>
      <c r="CZ629" s="10"/>
      <c r="DA629" s="10"/>
      <c r="DB629" s="10"/>
      <c r="DC629" s="10"/>
      <c r="DD629" s="10"/>
      <c r="DE629" s="10"/>
      <c r="DF629" s="10"/>
      <c r="DG629" s="10"/>
      <c r="DH629" s="10"/>
      <c r="DI629" s="10"/>
      <c r="DJ629" s="10"/>
      <c r="DK629" s="10"/>
      <c r="DL629" s="10"/>
      <c r="DM629" s="10"/>
      <c r="DN629" s="10"/>
      <c r="DO629" s="10"/>
      <c r="DP629" s="10"/>
      <c r="DQ629" s="10"/>
      <c r="DR629" s="10"/>
      <c r="DS629" s="10"/>
      <c r="DT629" s="10"/>
      <c r="DU629" s="10"/>
      <c r="DV629" s="10"/>
      <c r="DW629" s="10"/>
      <c r="DX629" s="10"/>
      <c r="DY629" s="10"/>
      <c r="DZ629" s="10"/>
      <c r="EA629" s="10"/>
      <c r="EB629" s="10"/>
      <c r="EC629" s="10"/>
      <c r="ED629" s="10"/>
      <c r="EE629" s="10"/>
      <c r="EF629" s="10"/>
      <c r="EG629" s="10"/>
      <c r="EH629" s="10"/>
      <c r="EI629" s="10"/>
      <c r="EJ629" s="10"/>
      <c r="EK629" s="10"/>
      <c r="EL629" s="10"/>
      <c r="EM629" s="10"/>
      <c r="EN629" s="10"/>
      <c r="EO629" s="10"/>
      <c r="EP629" s="10"/>
      <c r="EQ629" s="10"/>
      <c r="ER629" s="10"/>
      <c r="ES629" s="10"/>
      <c r="ET629" s="10"/>
      <c r="EU629" s="10"/>
      <c r="EV629" s="10"/>
      <c r="EW629" s="10"/>
      <c r="EX629" s="10"/>
      <c r="EY629" s="10"/>
      <c r="EZ629" s="10"/>
      <c r="FA629" s="10"/>
      <c r="FB629" s="10"/>
      <c r="FC629" s="10"/>
      <c r="FD629" s="10"/>
      <c r="FE629" s="10"/>
      <c r="FF629" s="10"/>
      <c r="FG629" s="10"/>
      <c r="FH629" s="10"/>
      <c r="FI629" s="10"/>
      <c r="FJ629" s="10"/>
      <c r="FK629" s="10"/>
      <c r="FL629" s="10"/>
      <c r="FM629" s="10"/>
      <c r="FN629" s="10"/>
      <c r="FO629" s="10"/>
      <c r="FP629" s="10"/>
      <c r="FQ629" s="10"/>
      <c r="FR629" s="10"/>
      <c r="FS629" s="10"/>
      <c r="FT629" s="10"/>
      <c r="FU629" s="10"/>
      <c r="FV629" s="10"/>
      <c r="FW629" s="10"/>
      <c r="FX629" s="10"/>
      <c r="FY629" s="10"/>
      <c r="FZ629" s="10"/>
      <c r="GA629" s="10"/>
      <c r="GB629" s="10"/>
      <c r="GC629" s="10"/>
      <c r="GD629" s="10"/>
      <c r="GE629" s="10"/>
      <c r="GF629" s="10"/>
      <c r="GG629" s="10"/>
      <c r="GH629" s="10"/>
      <c r="GI629" s="10"/>
      <c r="GJ629" s="10"/>
      <c r="GK629" s="10"/>
    </row>
    <row r="630" customFormat="false" ht="12.75" hidden="false" customHeight="false" outlineLevel="0" collapsed="false">
      <c r="A630" s="7"/>
      <c r="B630" s="7"/>
      <c r="C630" s="8"/>
      <c r="D630" s="8"/>
      <c r="E630" s="8"/>
      <c r="F630" s="8"/>
      <c r="G630" s="9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  <c r="BT630" s="10"/>
      <c r="BU630" s="10"/>
      <c r="BV630" s="10"/>
      <c r="BW630" s="10"/>
      <c r="BX630" s="10"/>
      <c r="BY630" s="10"/>
      <c r="BZ630" s="10"/>
      <c r="CA630" s="10"/>
      <c r="CB630" s="10"/>
      <c r="CC630" s="10"/>
      <c r="CD630" s="10"/>
      <c r="CE630" s="10"/>
      <c r="CF630" s="10"/>
      <c r="CG630" s="10"/>
      <c r="CH630" s="10"/>
      <c r="CI630" s="10"/>
      <c r="CJ630" s="10"/>
      <c r="CK630" s="10"/>
      <c r="CL630" s="10"/>
      <c r="CM630" s="10"/>
      <c r="CN630" s="10"/>
      <c r="CO630" s="10"/>
      <c r="CP630" s="10"/>
      <c r="CQ630" s="10"/>
      <c r="CR630" s="10"/>
      <c r="CS630" s="10"/>
      <c r="CT630" s="10"/>
      <c r="CU630" s="10"/>
      <c r="CV630" s="10"/>
      <c r="CW630" s="10"/>
      <c r="CX630" s="10"/>
      <c r="CY630" s="10"/>
      <c r="CZ630" s="10"/>
      <c r="DA630" s="10"/>
      <c r="DB630" s="10"/>
      <c r="DC630" s="10"/>
      <c r="DD630" s="10"/>
      <c r="DE630" s="10"/>
      <c r="DF630" s="10"/>
      <c r="DG630" s="10"/>
      <c r="DH630" s="10"/>
      <c r="DI630" s="10"/>
      <c r="DJ630" s="10"/>
      <c r="DK630" s="10"/>
      <c r="DL630" s="10"/>
      <c r="DM630" s="10"/>
      <c r="DN630" s="10"/>
      <c r="DO630" s="10"/>
      <c r="DP630" s="10"/>
      <c r="DQ630" s="10"/>
      <c r="DR630" s="10"/>
      <c r="DS630" s="10"/>
      <c r="DT630" s="10"/>
      <c r="DU630" s="10"/>
      <c r="DV630" s="10"/>
      <c r="DW630" s="10"/>
      <c r="DX630" s="10"/>
      <c r="DY630" s="10"/>
      <c r="DZ630" s="10"/>
      <c r="EA630" s="10"/>
      <c r="EB630" s="10"/>
      <c r="EC630" s="10"/>
      <c r="ED630" s="10"/>
      <c r="EE630" s="10"/>
      <c r="EF630" s="10"/>
      <c r="EG630" s="10"/>
      <c r="EH630" s="10"/>
      <c r="EI630" s="10"/>
      <c r="EJ630" s="10"/>
      <c r="EK630" s="10"/>
      <c r="EL630" s="10"/>
      <c r="EM630" s="10"/>
      <c r="EN630" s="10"/>
      <c r="EO630" s="10"/>
      <c r="EP630" s="10"/>
      <c r="EQ630" s="10"/>
      <c r="ER630" s="10"/>
      <c r="ES630" s="10"/>
      <c r="ET630" s="10"/>
      <c r="EU630" s="10"/>
      <c r="EV630" s="10"/>
      <c r="EW630" s="10"/>
      <c r="EX630" s="10"/>
      <c r="EY630" s="10"/>
      <c r="EZ630" s="10"/>
      <c r="FA630" s="10"/>
      <c r="FB630" s="10"/>
      <c r="FC630" s="10"/>
      <c r="FD630" s="10"/>
      <c r="FE630" s="10"/>
      <c r="FF630" s="10"/>
      <c r="FG630" s="10"/>
      <c r="FH630" s="10"/>
      <c r="FI630" s="10"/>
      <c r="FJ630" s="10"/>
      <c r="FK630" s="10"/>
      <c r="FL630" s="10"/>
      <c r="FM630" s="10"/>
      <c r="FN630" s="10"/>
      <c r="FO630" s="10"/>
      <c r="FP630" s="10"/>
      <c r="FQ630" s="10"/>
      <c r="FR630" s="10"/>
      <c r="FS630" s="10"/>
      <c r="FT630" s="10"/>
      <c r="FU630" s="10"/>
      <c r="FV630" s="10"/>
      <c r="FW630" s="10"/>
      <c r="FX630" s="10"/>
      <c r="FY630" s="10"/>
      <c r="FZ630" s="10"/>
      <c r="GA630" s="10"/>
      <c r="GB630" s="10"/>
      <c r="GC630" s="10"/>
      <c r="GD630" s="10"/>
      <c r="GE630" s="10"/>
      <c r="GF630" s="10"/>
      <c r="GG630" s="10"/>
      <c r="GH630" s="10"/>
      <c r="GI630" s="10"/>
      <c r="GJ630" s="10"/>
      <c r="GK630" s="10"/>
    </row>
    <row r="631" customFormat="false" ht="12.75" hidden="false" customHeight="false" outlineLevel="0" collapsed="false">
      <c r="A631" s="7"/>
      <c r="B631" s="7"/>
      <c r="C631" s="8"/>
      <c r="D631" s="8"/>
      <c r="E631" s="8"/>
      <c r="F631" s="8"/>
      <c r="G631" s="9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  <c r="BT631" s="10"/>
      <c r="BU631" s="10"/>
      <c r="BV631" s="10"/>
      <c r="BW631" s="10"/>
      <c r="BX631" s="10"/>
      <c r="BY631" s="10"/>
      <c r="BZ631" s="10"/>
      <c r="CA631" s="10"/>
      <c r="CB631" s="10"/>
      <c r="CC631" s="10"/>
      <c r="CD631" s="10"/>
      <c r="CE631" s="10"/>
      <c r="CF631" s="10"/>
      <c r="CG631" s="10"/>
      <c r="CH631" s="10"/>
      <c r="CI631" s="10"/>
      <c r="CJ631" s="10"/>
      <c r="CK631" s="10"/>
      <c r="CL631" s="10"/>
      <c r="CM631" s="10"/>
      <c r="CN631" s="10"/>
      <c r="CO631" s="10"/>
      <c r="CP631" s="10"/>
      <c r="CQ631" s="10"/>
      <c r="CR631" s="10"/>
      <c r="CS631" s="10"/>
      <c r="CT631" s="10"/>
      <c r="CU631" s="10"/>
      <c r="CV631" s="10"/>
      <c r="CW631" s="10"/>
      <c r="CX631" s="10"/>
      <c r="CY631" s="10"/>
      <c r="CZ631" s="10"/>
      <c r="DA631" s="10"/>
      <c r="DB631" s="10"/>
      <c r="DC631" s="10"/>
      <c r="DD631" s="10"/>
      <c r="DE631" s="10"/>
      <c r="DF631" s="10"/>
      <c r="DG631" s="10"/>
      <c r="DH631" s="10"/>
      <c r="DI631" s="10"/>
      <c r="DJ631" s="10"/>
      <c r="DK631" s="10"/>
      <c r="DL631" s="10"/>
      <c r="DM631" s="10"/>
      <c r="DN631" s="10"/>
      <c r="DO631" s="10"/>
      <c r="DP631" s="10"/>
      <c r="DQ631" s="10"/>
      <c r="DR631" s="10"/>
      <c r="DS631" s="10"/>
      <c r="DT631" s="10"/>
      <c r="DU631" s="10"/>
      <c r="DV631" s="10"/>
      <c r="DW631" s="10"/>
      <c r="DX631" s="10"/>
      <c r="DY631" s="10"/>
      <c r="DZ631" s="10"/>
      <c r="EA631" s="10"/>
      <c r="EB631" s="10"/>
      <c r="EC631" s="10"/>
      <c r="ED631" s="10"/>
      <c r="EE631" s="10"/>
      <c r="EF631" s="10"/>
      <c r="EG631" s="10"/>
      <c r="EH631" s="10"/>
      <c r="EI631" s="10"/>
      <c r="EJ631" s="10"/>
      <c r="EK631" s="10"/>
      <c r="EL631" s="10"/>
      <c r="EM631" s="10"/>
      <c r="EN631" s="10"/>
      <c r="EO631" s="10"/>
      <c r="EP631" s="10"/>
      <c r="EQ631" s="10"/>
      <c r="ER631" s="10"/>
      <c r="ES631" s="10"/>
      <c r="ET631" s="10"/>
      <c r="EU631" s="10"/>
      <c r="EV631" s="10"/>
      <c r="EW631" s="10"/>
      <c r="EX631" s="10"/>
      <c r="EY631" s="10"/>
      <c r="EZ631" s="10"/>
      <c r="FA631" s="10"/>
      <c r="FB631" s="10"/>
      <c r="FC631" s="10"/>
      <c r="FD631" s="10"/>
      <c r="FE631" s="10"/>
      <c r="FF631" s="10"/>
      <c r="FG631" s="10"/>
      <c r="FH631" s="10"/>
      <c r="FI631" s="10"/>
      <c r="FJ631" s="10"/>
      <c r="FK631" s="10"/>
      <c r="FL631" s="10"/>
      <c r="FM631" s="10"/>
      <c r="FN631" s="10"/>
      <c r="FO631" s="10"/>
      <c r="FP631" s="10"/>
      <c r="FQ631" s="10"/>
      <c r="FR631" s="10"/>
      <c r="FS631" s="10"/>
      <c r="FT631" s="10"/>
      <c r="FU631" s="10"/>
      <c r="FV631" s="10"/>
      <c r="FW631" s="10"/>
      <c r="FX631" s="10"/>
      <c r="FY631" s="10"/>
      <c r="FZ631" s="10"/>
      <c r="GA631" s="10"/>
      <c r="GB631" s="10"/>
      <c r="GC631" s="10"/>
      <c r="GD631" s="10"/>
      <c r="GE631" s="10"/>
      <c r="GF631" s="10"/>
      <c r="GG631" s="10"/>
      <c r="GH631" s="10"/>
      <c r="GI631" s="10"/>
      <c r="GJ631" s="10"/>
      <c r="GK631" s="10"/>
    </row>
    <row r="632" customFormat="false" ht="12.75" hidden="false" customHeight="false" outlineLevel="0" collapsed="false">
      <c r="A632" s="7"/>
      <c r="B632" s="7"/>
      <c r="C632" s="8"/>
      <c r="D632" s="8"/>
      <c r="E632" s="8"/>
      <c r="F632" s="8"/>
      <c r="G632" s="9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  <c r="BT632" s="10"/>
      <c r="BU632" s="10"/>
      <c r="BV632" s="10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  <c r="EM632" s="10"/>
      <c r="EN632" s="10"/>
      <c r="EO632" s="10"/>
      <c r="EP632" s="10"/>
      <c r="EQ632" s="10"/>
      <c r="ER632" s="10"/>
      <c r="ES632" s="10"/>
      <c r="ET632" s="10"/>
      <c r="EU632" s="10"/>
      <c r="EV632" s="10"/>
      <c r="EW632" s="10"/>
      <c r="EX632" s="10"/>
      <c r="EY632" s="10"/>
      <c r="EZ632" s="10"/>
      <c r="FA632" s="10"/>
      <c r="FB632" s="10"/>
      <c r="FC632" s="10"/>
      <c r="FD632" s="10"/>
      <c r="FE632" s="10"/>
      <c r="FF632" s="10"/>
      <c r="FG632" s="10"/>
      <c r="FH632" s="10"/>
      <c r="FI632" s="10"/>
      <c r="FJ632" s="10"/>
      <c r="FK632" s="10"/>
      <c r="FL632" s="10"/>
      <c r="FM632" s="10"/>
      <c r="FN632" s="10"/>
      <c r="FO632" s="10"/>
      <c r="FP632" s="10"/>
      <c r="FQ632" s="10"/>
      <c r="FR632" s="10"/>
      <c r="FS632" s="10"/>
      <c r="FT632" s="10"/>
      <c r="FU632" s="10"/>
      <c r="FV632" s="10"/>
      <c r="FW632" s="10"/>
      <c r="FX632" s="10"/>
      <c r="FY632" s="10"/>
      <c r="FZ632" s="10"/>
      <c r="GA632" s="10"/>
      <c r="GB632" s="10"/>
      <c r="GC632" s="10"/>
      <c r="GD632" s="10"/>
      <c r="GE632" s="10"/>
      <c r="GF632" s="10"/>
      <c r="GG632" s="10"/>
      <c r="GH632" s="10"/>
      <c r="GI632" s="10"/>
      <c r="GJ632" s="10"/>
      <c r="GK632" s="10"/>
    </row>
    <row r="633" customFormat="false" ht="12.75" hidden="false" customHeight="false" outlineLevel="0" collapsed="false">
      <c r="A633" s="7"/>
      <c r="B633" s="7"/>
      <c r="C633" s="8"/>
      <c r="D633" s="8"/>
      <c r="E633" s="8"/>
      <c r="F633" s="8"/>
      <c r="G633" s="9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  <c r="BT633" s="10"/>
      <c r="BU633" s="10"/>
      <c r="BV633" s="10"/>
      <c r="BW633" s="10"/>
      <c r="BX633" s="10"/>
      <c r="BY633" s="10"/>
      <c r="BZ633" s="10"/>
      <c r="CA633" s="10"/>
      <c r="CB633" s="10"/>
      <c r="CC633" s="10"/>
      <c r="CD633" s="10"/>
      <c r="CE633" s="10"/>
      <c r="CF633" s="10"/>
      <c r="CG633" s="10"/>
      <c r="CH633" s="10"/>
      <c r="CI633" s="10"/>
      <c r="CJ633" s="10"/>
      <c r="CK633" s="10"/>
      <c r="CL633" s="10"/>
      <c r="CM633" s="10"/>
      <c r="CN633" s="10"/>
      <c r="CO633" s="10"/>
      <c r="CP633" s="10"/>
      <c r="CQ633" s="10"/>
      <c r="CR633" s="10"/>
      <c r="CS633" s="10"/>
      <c r="CT633" s="10"/>
      <c r="CU633" s="10"/>
      <c r="CV633" s="10"/>
      <c r="CW633" s="10"/>
      <c r="CX633" s="10"/>
      <c r="CY633" s="10"/>
      <c r="CZ633" s="10"/>
      <c r="DA633" s="10"/>
      <c r="DB633" s="10"/>
      <c r="DC633" s="10"/>
      <c r="DD633" s="10"/>
      <c r="DE633" s="10"/>
      <c r="DF633" s="10"/>
      <c r="DG633" s="10"/>
      <c r="DH633" s="10"/>
      <c r="DI633" s="10"/>
      <c r="DJ633" s="10"/>
      <c r="DK633" s="10"/>
      <c r="DL633" s="10"/>
      <c r="DM633" s="10"/>
      <c r="DN633" s="10"/>
      <c r="DO633" s="10"/>
      <c r="DP633" s="10"/>
      <c r="DQ633" s="10"/>
      <c r="DR633" s="10"/>
      <c r="DS633" s="10"/>
      <c r="DT633" s="10"/>
      <c r="DU633" s="10"/>
      <c r="DV633" s="10"/>
      <c r="DW633" s="10"/>
      <c r="DX633" s="10"/>
      <c r="DY633" s="10"/>
      <c r="DZ633" s="10"/>
      <c r="EA633" s="10"/>
      <c r="EB633" s="10"/>
      <c r="EC633" s="10"/>
      <c r="ED633" s="10"/>
      <c r="EE633" s="10"/>
      <c r="EF633" s="10"/>
      <c r="EG633" s="10"/>
      <c r="EH633" s="10"/>
      <c r="EI633" s="10"/>
      <c r="EJ633" s="10"/>
      <c r="EK633" s="10"/>
      <c r="EL633" s="10"/>
      <c r="EM633" s="10"/>
      <c r="EN633" s="10"/>
      <c r="EO633" s="10"/>
      <c r="EP633" s="10"/>
      <c r="EQ633" s="10"/>
      <c r="ER633" s="10"/>
      <c r="ES633" s="10"/>
      <c r="ET633" s="10"/>
      <c r="EU633" s="10"/>
      <c r="EV633" s="10"/>
      <c r="EW633" s="10"/>
      <c r="EX633" s="10"/>
      <c r="EY633" s="10"/>
      <c r="EZ633" s="10"/>
      <c r="FA633" s="10"/>
      <c r="FB633" s="10"/>
      <c r="FC633" s="10"/>
      <c r="FD633" s="10"/>
      <c r="FE633" s="10"/>
      <c r="FF633" s="10"/>
      <c r="FG633" s="10"/>
      <c r="FH633" s="10"/>
      <c r="FI633" s="10"/>
      <c r="FJ633" s="10"/>
      <c r="FK633" s="10"/>
      <c r="FL633" s="10"/>
      <c r="FM633" s="10"/>
      <c r="FN633" s="10"/>
      <c r="FO633" s="10"/>
      <c r="FP633" s="10"/>
      <c r="FQ633" s="10"/>
      <c r="FR633" s="10"/>
      <c r="FS633" s="10"/>
      <c r="FT633" s="10"/>
      <c r="FU633" s="10"/>
      <c r="FV633" s="10"/>
      <c r="FW633" s="10"/>
      <c r="FX633" s="10"/>
      <c r="FY633" s="10"/>
      <c r="FZ633" s="10"/>
      <c r="GA633" s="10"/>
      <c r="GB633" s="10"/>
      <c r="GC633" s="10"/>
      <c r="GD633" s="10"/>
      <c r="GE633" s="10"/>
      <c r="GF633" s="10"/>
      <c r="GG633" s="10"/>
      <c r="GH633" s="10"/>
      <c r="GI633" s="10"/>
      <c r="GJ633" s="10"/>
      <c r="GK633" s="10"/>
    </row>
    <row r="634" customFormat="false" ht="12.75" hidden="false" customHeight="false" outlineLevel="0" collapsed="false">
      <c r="A634" s="7"/>
      <c r="B634" s="7"/>
      <c r="C634" s="8"/>
      <c r="D634" s="8"/>
      <c r="E634" s="8"/>
      <c r="F634" s="8"/>
      <c r="G634" s="9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  <c r="BT634" s="10"/>
      <c r="BU634" s="10"/>
      <c r="BV634" s="10"/>
      <c r="BW634" s="10"/>
      <c r="BX634" s="10"/>
      <c r="BY634" s="10"/>
      <c r="BZ634" s="10"/>
      <c r="CA634" s="10"/>
      <c r="CB634" s="10"/>
      <c r="CC634" s="10"/>
      <c r="CD634" s="10"/>
      <c r="CE634" s="10"/>
      <c r="CF634" s="10"/>
      <c r="CG634" s="10"/>
      <c r="CH634" s="10"/>
      <c r="CI634" s="10"/>
      <c r="CJ634" s="10"/>
      <c r="CK634" s="10"/>
      <c r="CL634" s="10"/>
      <c r="CM634" s="10"/>
      <c r="CN634" s="10"/>
      <c r="CO634" s="10"/>
      <c r="CP634" s="10"/>
      <c r="CQ634" s="10"/>
      <c r="CR634" s="10"/>
      <c r="CS634" s="10"/>
      <c r="CT634" s="10"/>
      <c r="CU634" s="10"/>
      <c r="CV634" s="10"/>
      <c r="CW634" s="10"/>
      <c r="CX634" s="10"/>
      <c r="CY634" s="10"/>
      <c r="CZ634" s="10"/>
      <c r="DA634" s="10"/>
      <c r="DB634" s="10"/>
      <c r="DC634" s="10"/>
      <c r="DD634" s="10"/>
      <c r="DE634" s="10"/>
      <c r="DF634" s="10"/>
      <c r="DG634" s="10"/>
      <c r="DH634" s="10"/>
      <c r="DI634" s="10"/>
      <c r="DJ634" s="10"/>
      <c r="DK634" s="10"/>
      <c r="DL634" s="10"/>
      <c r="DM634" s="10"/>
      <c r="DN634" s="10"/>
      <c r="DO634" s="10"/>
      <c r="DP634" s="10"/>
      <c r="DQ634" s="10"/>
      <c r="DR634" s="10"/>
      <c r="DS634" s="10"/>
      <c r="DT634" s="10"/>
      <c r="DU634" s="10"/>
      <c r="DV634" s="10"/>
      <c r="DW634" s="10"/>
      <c r="DX634" s="10"/>
      <c r="DY634" s="10"/>
      <c r="DZ634" s="10"/>
      <c r="EA634" s="10"/>
      <c r="EB634" s="10"/>
      <c r="EC634" s="10"/>
      <c r="ED634" s="10"/>
      <c r="EE634" s="10"/>
      <c r="EF634" s="10"/>
      <c r="EG634" s="10"/>
      <c r="EH634" s="10"/>
      <c r="EI634" s="10"/>
      <c r="EJ634" s="10"/>
      <c r="EK634" s="10"/>
      <c r="EL634" s="10"/>
      <c r="EM634" s="10"/>
      <c r="EN634" s="10"/>
      <c r="EO634" s="10"/>
      <c r="EP634" s="10"/>
      <c r="EQ634" s="10"/>
      <c r="ER634" s="10"/>
      <c r="ES634" s="10"/>
      <c r="ET634" s="10"/>
      <c r="EU634" s="10"/>
      <c r="EV634" s="10"/>
      <c r="EW634" s="10"/>
      <c r="EX634" s="10"/>
      <c r="EY634" s="10"/>
      <c r="EZ634" s="10"/>
      <c r="FA634" s="10"/>
      <c r="FB634" s="10"/>
      <c r="FC634" s="10"/>
      <c r="FD634" s="10"/>
      <c r="FE634" s="10"/>
      <c r="FF634" s="10"/>
      <c r="FG634" s="10"/>
      <c r="FH634" s="10"/>
      <c r="FI634" s="10"/>
      <c r="FJ634" s="10"/>
      <c r="FK634" s="10"/>
      <c r="FL634" s="10"/>
      <c r="FM634" s="10"/>
      <c r="FN634" s="10"/>
      <c r="FO634" s="10"/>
      <c r="FP634" s="10"/>
      <c r="FQ634" s="10"/>
      <c r="FR634" s="10"/>
      <c r="FS634" s="10"/>
      <c r="FT634" s="10"/>
      <c r="FU634" s="10"/>
      <c r="FV634" s="10"/>
      <c r="FW634" s="10"/>
      <c r="FX634" s="10"/>
      <c r="FY634" s="10"/>
      <c r="FZ634" s="10"/>
      <c r="GA634" s="10"/>
      <c r="GB634" s="10"/>
      <c r="GC634" s="10"/>
      <c r="GD634" s="10"/>
      <c r="GE634" s="10"/>
      <c r="GF634" s="10"/>
      <c r="GG634" s="10"/>
      <c r="GH634" s="10"/>
      <c r="GI634" s="10"/>
      <c r="GJ634" s="10"/>
      <c r="GK634" s="10"/>
    </row>
    <row r="635" customFormat="false" ht="12.75" hidden="false" customHeight="false" outlineLevel="0" collapsed="false">
      <c r="A635" s="7"/>
      <c r="B635" s="7"/>
      <c r="C635" s="8"/>
      <c r="D635" s="8"/>
      <c r="E635" s="8"/>
      <c r="F635" s="8"/>
      <c r="G635" s="9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  <c r="BU635" s="10"/>
      <c r="BV635" s="10"/>
      <c r="BW635" s="10"/>
      <c r="BX635" s="10"/>
      <c r="BY635" s="10"/>
      <c r="BZ635" s="10"/>
      <c r="CA635" s="10"/>
      <c r="CB635" s="10"/>
      <c r="CC635" s="10"/>
      <c r="CD635" s="10"/>
      <c r="CE635" s="10"/>
      <c r="CF635" s="10"/>
      <c r="CG635" s="10"/>
      <c r="CH635" s="10"/>
      <c r="CI635" s="10"/>
      <c r="CJ635" s="10"/>
      <c r="CK635" s="10"/>
      <c r="CL635" s="10"/>
      <c r="CM635" s="10"/>
      <c r="CN635" s="10"/>
      <c r="CO635" s="10"/>
      <c r="CP635" s="10"/>
      <c r="CQ635" s="10"/>
      <c r="CR635" s="10"/>
      <c r="CS635" s="10"/>
      <c r="CT635" s="10"/>
      <c r="CU635" s="10"/>
      <c r="CV635" s="10"/>
      <c r="CW635" s="10"/>
      <c r="CX635" s="10"/>
      <c r="CY635" s="10"/>
      <c r="CZ635" s="10"/>
      <c r="DA635" s="10"/>
      <c r="DB635" s="10"/>
      <c r="DC635" s="10"/>
      <c r="DD635" s="10"/>
      <c r="DE635" s="10"/>
      <c r="DF635" s="10"/>
      <c r="DG635" s="10"/>
      <c r="DH635" s="10"/>
      <c r="DI635" s="10"/>
      <c r="DJ635" s="10"/>
      <c r="DK635" s="10"/>
      <c r="DL635" s="10"/>
      <c r="DM635" s="10"/>
      <c r="DN635" s="10"/>
      <c r="DO635" s="10"/>
      <c r="DP635" s="10"/>
      <c r="DQ635" s="10"/>
      <c r="DR635" s="10"/>
      <c r="DS635" s="10"/>
      <c r="DT635" s="10"/>
      <c r="DU635" s="10"/>
      <c r="DV635" s="10"/>
      <c r="DW635" s="10"/>
      <c r="DX635" s="10"/>
      <c r="DY635" s="10"/>
      <c r="DZ635" s="10"/>
      <c r="EA635" s="10"/>
      <c r="EB635" s="10"/>
      <c r="EC635" s="10"/>
      <c r="ED635" s="10"/>
      <c r="EE635" s="10"/>
      <c r="EF635" s="10"/>
      <c r="EG635" s="10"/>
      <c r="EH635" s="10"/>
      <c r="EI635" s="10"/>
      <c r="EJ635" s="10"/>
      <c r="EK635" s="10"/>
      <c r="EL635" s="10"/>
      <c r="EM635" s="10"/>
      <c r="EN635" s="10"/>
      <c r="EO635" s="10"/>
      <c r="EP635" s="10"/>
      <c r="EQ635" s="10"/>
      <c r="ER635" s="10"/>
      <c r="ES635" s="10"/>
      <c r="ET635" s="10"/>
      <c r="EU635" s="10"/>
      <c r="EV635" s="10"/>
      <c r="EW635" s="10"/>
      <c r="EX635" s="10"/>
      <c r="EY635" s="10"/>
      <c r="EZ635" s="10"/>
      <c r="FA635" s="10"/>
      <c r="FB635" s="10"/>
      <c r="FC635" s="10"/>
      <c r="FD635" s="10"/>
      <c r="FE635" s="10"/>
      <c r="FF635" s="10"/>
      <c r="FG635" s="10"/>
      <c r="FH635" s="10"/>
      <c r="FI635" s="10"/>
      <c r="FJ635" s="10"/>
      <c r="FK635" s="10"/>
      <c r="FL635" s="10"/>
      <c r="FM635" s="10"/>
      <c r="FN635" s="10"/>
      <c r="FO635" s="10"/>
      <c r="FP635" s="10"/>
      <c r="FQ635" s="10"/>
      <c r="FR635" s="10"/>
      <c r="FS635" s="10"/>
      <c r="FT635" s="10"/>
      <c r="FU635" s="10"/>
      <c r="FV635" s="10"/>
      <c r="FW635" s="10"/>
      <c r="FX635" s="10"/>
      <c r="FY635" s="10"/>
      <c r="FZ635" s="10"/>
      <c r="GA635" s="10"/>
      <c r="GB635" s="10"/>
      <c r="GC635" s="10"/>
      <c r="GD635" s="10"/>
      <c r="GE635" s="10"/>
      <c r="GF635" s="10"/>
      <c r="GG635" s="10"/>
      <c r="GH635" s="10"/>
      <c r="GI635" s="10"/>
      <c r="GJ635" s="10"/>
      <c r="GK635" s="10"/>
    </row>
    <row r="636" customFormat="false" ht="12.75" hidden="false" customHeight="false" outlineLevel="0" collapsed="false">
      <c r="A636" s="7"/>
      <c r="B636" s="7"/>
      <c r="C636" s="8"/>
      <c r="D636" s="8"/>
      <c r="E636" s="8"/>
      <c r="F636" s="8"/>
      <c r="G636" s="9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  <c r="BU636" s="10"/>
      <c r="BV636" s="10"/>
      <c r="BW636" s="10"/>
      <c r="BX636" s="10"/>
      <c r="BY636" s="10"/>
      <c r="BZ636" s="10"/>
      <c r="CA636" s="10"/>
      <c r="CB636" s="10"/>
      <c r="CC636" s="10"/>
      <c r="CD636" s="10"/>
      <c r="CE636" s="10"/>
      <c r="CF636" s="10"/>
      <c r="CG636" s="10"/>
      <c r="CH636" s="10"/>
      <c r="CI636" s="10"/>
      <c r="CJ636" s="10"/>
      <c r="CK636" s="10"/>
      <c r="CL636" s="10"/>
      <c r="CM636" s="10"/>
      <c r="CN636" s="10"/>
      <c r="CO636" s="10"/>
      <c r="CP636" s="10"/>
      <c r="CQ636" s="10"/>
      <c r="CR636" s="10"/>
      <c r="CS636" s="10"/>
      <c r="CT636" s="10"/>
      <c r="CU636" s="10"/>
      <c r="CV636" s="10"/>
      <c r="CW636" s="10"/>
      <c r="CX636" s="10"/>
      <c r="CY636" s="10"/>
      <c r="CZ636" s="10"/>
      <c r="DA636" s="10"/>
      <c r="DB636" s="10"/>
      <c r="DC636" s="10"/>
      <c r="DD636" s="10"/>
      <c r="DE636" s="10"/>
      <c r="DF636" s="10"/>
      <c r="DG636" s="10"/>
      <c r="DH636" s="10"/>
      <c r="DI636" s="10"/>
      <c r="DJ636" s="10"/>
      <c r="DK636" s="10"/>
      <c r="DL636" s="10"/>
      <c r="DM636" s="10"/>
      <c r="DN636" s="10"/>
      <c r="DO636" s="10"/>
      <c r="DP636" s="10"/>
      <c r="DQ636" s="10"/>
      <c r="DR636" s="10"/>
      <c r="DS636" s="10"/>
      <c r="DT636" s="10"/>
      <c r="DU636" s="10"/>
      <c r="DV636" s="10"/>
      <c r="DW636" s="10"/>
      <c r="DX636" s="10"/>
      <c r="DY636" s="10"/>
      <c r="DZ636" s="10"/>
      <c r="EA636" s="10"/>
      <c r="EB636" s="10"/>
      <c r="EC636" s="10"/>
      <c r="ED636" s="10"/>
      <c r="EE636" s="10"/>
      <c r="EF636" s="10"/>
      <c r="EG636" s="10"/>
      <c r="EH636" s="10"/>
      <c r="EI636" s="10"/>
      <c r="EJ636" s="10"/>
      <c r="EK636" s="10"/>
      <c r="EL636" s="10"/>
      <c r="EM636" s="10"/>
      <c r="EN636" s="10"/>
      <c r="EO636" s="10"/>
      <c r="EP636" s="10"/>
      <c r="EQ636" s="10"/>
      <c r="ER636" s="10"/>
      <c r="ES636" s="10"/>
      <c r="ET636" s="10"/>
      <c r="EU636" s="10"/>
      <c r="EV636" s="10"/>
      <c r="EW636" s="10"/>
      <c r="EX636" s="10"/>
      <c r="EY636" s="10"/>
      <c r="EZ636" s="10"/>
      <c r="FA636" s="10"/>
      <c r="FB636" s="10"/>
      <c r="FC636" s="10"/>
      <c r="FD636" s="10"/>
      <c r="FE636" s="10"/>
      <c r="FF636" s="10"/>
      <c r="FG636" s="10"/>
      <c r="FH636" s="10"/>
      <c r="FI636" s="10"/>
      <c r="FJ636" s="10"/>
      <c r="FK636" s="10"/>
      <c r="FL636" s="10"/>
      <c r="FM636" s="10"/>
      <c r="FN636" s="10"/>
      <c r="FO636" s="10"/>
      <c r="FP636" s="10"/>
      <c r="FQ636" s="10"/>
      <c r="FR636" s="10"/>
      <c r="FS636" s="10"/>
      <c r="FT636" s="10"/>
      <c r="FU636" s="10"/>
      <c r="FV636" s="10"/>
      <c r="FW636" s="10"/>
      <c r="FX636" s="10"/>
      <c r="FY636" s="10"/>
      <c r="FZ636" s="10"/>
      <c r="GA636" s="10"/>
      <c r="GB636" s="10"/>
      <c r="GC636" s="10"/>
      <c r="GD636" s="10"/>
      <c r="GE636" s="10"/>
      <c r="GF636" s="10"/>
      <c r="GG636" s="10"/>
      <c r="GH636" s="10"/>
      <c r="GI636" s="10"/>
      <c r="GJ636" s="10"/>
      <c r="GK636" s="10"/>
    </row>
    <row r="637" customFormat="false" ht="12.75" hidden="false" customHeight="false" outlineLevel="0" collapsed="false">
      <c r="A637" s="7"/>
      <c r="B637" s="7"/>
      <c r="C637" s="8"/>
      <c r="D637" s="8"/>
      <c r="E637" s="8"/>
      <c r="F637" s="8"/>
      <c r="G637" s="9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  <c r="BU637" s="10"/>
      <c r="BV637" s="10"/>
      <c r="BW637" s="10"/>
      <c r="BX637" s="10"/>
      <c r="BY637" s="10"/>
      <c r="BZ637" s="10"/>
      <c r="CA637" s="10"/>
      <c r="CB637" s="10"/>
      <c r="CC637" s="10"/>
      <c r="CD637" s="10"/>
      <c r="CE637" s="10"/>
      <c r="CF637" s="10"/>
      <c r="CG637" s="10"/>
      <c r="CH637" s="10"/>
      <c r="CI637" s="10"/>
      <c r="CJ637" s="10"/>
      <c r="CK637" s="10"/>
      <c r="CL637" s="10"/>
      <c r="CM637" s="10"/>
      <c r="CN637" s="10"/>
      <c r="CO637" s="10"/>
      <c r="CP637" s="10"/>
      <c r="CQ637" s="10"/>
      <c r="CR637" s="10"/>
      <c r="CS637" s="10"/>
      <c r="CT637" s="10"/>
      <c r="CU637" s="10"/>
      <c r="CV637" s="10"/>
      <c r="CW637" s="10"/>
      <c r="CX637" s="10"/>
      <c r="CY637" s="10"/>
      <c r="CZ637" s="10"/>
      <c r="DA637" s="10"/>
      <c r="DB637" s="10"/>
      <c r="DC637" s="10"/>
      <c r="DD637" s="10"/>
      <c r="DE637" s="10"/>
      <c r="DF637" s="10"/>
      <c r="DG637" s="10"/>
      <c r="DH637" s="10"/>
      <c r="DI637" s="10"/>
      <c r="DJ637" s="10"/>
      <c r="DK637" s="10"/>
      <c r="DL637" s="10"/>
      <c r="DM637" s="10"/>
      <c r="DN637" s="10"/>
      <c r="DO637" s="10"/>
      <c r="DP637" s="10"/>
      <c r="DQ637" s="10"/>
      <c r="DR637" s="10"/>
      <c r="DS637" s="10"/>
      <c r="DT637" s="10"/>
      <c r="DU637" s="10"/>
      <c r="DV637" s="10"/>
      <c r="DW637" s="10"/>
      <c r="DX637" s="10"/>
      <c r="DY637" s="10"/>
      <c r="DZ637" s="10"/>
      <c r="EA637" s="10"/>
      <c r="EB637" s="10"/>
      <c r="EC637" s="10"/>
      <c r="ED637" s="10"/>
      <c r="EE637" s="10"/>
      <c r="EF637" s="10"/>
      <c r="EG637" s="10"/>
      <c r="EH637" s="10"/>
      <c r="EI637" s="10"/>
      <c r="EJ637" s="10"/>
      <c r="EK637" s="10"/>
      <c r="EL637" s="10"/>
      <c r="EM637" s="10"/>
      <c r="EN637" s="10"/>
      <c r="EO637" s="10"/>
      <c r="EP637" s="10"/>
      <c r="EQ637" s="10"/>
      <c r="ER637" s="10"/>
      <c r="ES637" s="10"/>
      <c r="ET637" s="10"/>
      <c r="EU637" s="10"/>
      <c r="EV637" s="10"/>
      <c r="EW637" s="10"/>
      <c r="EX637" s="10"/>
      <c r="EY637" s="10"/>
      <c r="EZ637" s="10"/>
      <c r="FA637" s="10"/>
      <c r="FB637" s="10"/>
      <c r="FC637" s="10"/>
      <c r="FD637" s="10"/>
      <c r="FE637" s="10"/>
      <c r="FF637" s="10"/>
      <c r="FG637" s="10"/>
      <c r="FH637" s="10"/>
      <c r="FI637" s="10"/>
      <c r="FJ637" s="10"/>
      <c r="FK637" s="10"/>
      <c r="FL637" s="10"/>
      <c r="FM637" s="10"/>
      <c r="FN637" s="10"/>
      <c r="FO637" s="10"/>
      <c r="FP637" s="10"/>
      <c r="FQ637" s="10"/>
      <c r="FR637" s="10"/>
      <c r="FS637" s="10"/>
      <c r="FT637" s="10"/>
      <c r="FU637" s="10"/>
      <c r="FV637" s="10"/>
      <c r="FW637" s="10"/>
      <c r="FX637" s="10"/>
      <c r="FY637" s="10"/>
      <c r="FZ637" s="10"/>
      <c r="GA637" s="10"/>
      <c r="GB637" s="10"/>
      <c r="GC637" s="10"/>
      <c r="GD637" s="10"/>
      <c r="GE637" s="10"/>
      <c r="GF637" s="10"/>
      <c r="GG637" s="10"/>
      <c r="GH637" s="10"/>
      <c r="GI637" s="10"/>
      <c r="GJ637" s="10"/>
      <c r="GK637" s="10"/>
    </row>
    <row r="638" customFormat="false" ht="12.75" hidden="false" customHeight="false" outlineLevel="0" collapsed="false">
      <c r="A638" s="7"/>
      <c r="B638" s="7"/>
      <c r="C638" s="8"/>
      <c r="D638" s="8"/>
      <c r="E638" s="8"/>
      <c r="F638" s="8"/>
      <c r="G638" s="9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  <c r="BT638" s="10"/>
      <c r="BU638" s="10"/>
      <c r="BV638" s="10"/>
      <c r="BW638" s="10"/>
      <c r="BX638" s="10"/>
      <c r="BY638" s="10"/>
      <c r="BZ638" s="10"/>
      <c r="CA638" s="10"/>
      <c r="CB638" s="10"/>
      <c r="CC638" s="10"/>
      <c r="CD638" s="10"/>
      <c r="CE638" s="10"/>
      <c r="CF638" s="10"/>
      <c r="CG638" s="10"/>
      <c r="CH638" s="10"/>
      <c r="CI638" s="10"/>
      <c r="CJ638" s="10"/>
      <c r="CK638" s="10"/>
      <c r="CL638" s="10"/>
      <c r="CM638" s="10"/>
      <c r="CN638" s="10"/>
      <c r="CO638" s="10"/>
      <c r="CP638" s="10"/>
      <c r="CQ638" s="10"/>
      <c r="CR638" s="10"/>
      <c r="CS638" s="10"/>
      <c r="CT638" s="10"/>
      <c r="CU638" s="10"/>
      <c r="CV638" s="10"/>
      <c r="CW638" s="10"/>
      <c r="CX638" s="10"/>
      <c r="CY638" s="10"/>
      <c r="CZ638" s="10"/>
      <c r="DA638" s="10"/>
      <c r="DB638" s="10"/>
      <c r="DC638" s="10"/>
      <c r="DD638" s="10"/>
      <c r="DE638" s="10"/>
      <c r="DF638" s="10"/>
      <c r="DG638" s="10"/>
      <c r="DH638" s="10"/>
      <c r="DI638" s="10"/>
      <c r="DJ638" s="10"/>
      <c r="DK638" s="10"/>
      <c r="DL638" s="10"/>
      <c r="DM638" s="10"/>
      <c r="DN638" s="10"/>
      <c r="DO638" s="10"/>
      <c r="DP638" s="10"/>
      <c r="DQ638" s="10"/>
      <c r="DR638" s="10"/>
      <c r="DS638" s="10"/>
      <c r="DT638" s="10"/>
      <c r="DU638" s="10"/>
      <c r="DV638" s="10"/>
      <c r="DW638" s="10"/>
      <c r="DX638" s="10"/>
      <c r="DY638" s="10"/>
      <c r="DZ638" s="10"/>
      <c r="EA638" s="10"/>
      <c r="EB638" s="10"/>
      <c r="EC638" s="10"/>
      <c r="ED638" s="10"/>
      <c r="EE638" s="10"/>
      <c r="EF638" s="10"/>
      <c r="EG638" s="10"/>
      <c r="EH638" s="10"/>
      <c r="EI638" s="10"/>
      <c r="EJ638" s="10"/>
      <c r="EK638" s="10"/>
      <c r="EL638" s="10"/>
      <c r="EM638" s="10"/>
      <c r="EN638" s="10"/>
      <c r="EO638" s="10"/>
      <c r="EP638" s="10"/>
      <c r="EQ638" s="10"/>
      <c r="ER638" s="10"/>
      <c r="ES638" s="10"/>
      <c r="ET638" s="10"/>
      <c r="EU638" s="10"/>
      <c r="EV638" s="10"/>
      <c r="EW638" s="10"/>
      <c r="EX638" s="10"/>
      <c r="EY638" s="10"/>
      <c r="EZ638" s="10"/>
      <c r="FA638" s="10"/>
      <c r="FB638" s="10"/>
      <c r="FC638" s="10"/>
      <c r="FD638" s="10"/>
      <c r="FE638" s="10"/>
      <c r="FF638" s="10"/>
      <c r="FG638" s="10"/>
      <c r="FH638" s="10"/>
      <c r="FI638" s="10"/>
      <c r="FJ638" s="10"/>
      <c r="FK638" s="10"/>
      <c r="FL638" s="10"/>
      <c r="FM638" s="10"/>
      <c r="FN638" s="10"/>
      <c r="FO638" s="10"/>
      <c r="FP638" s="10"/>
      <c r="FQ638" s="10"/>
      <c r="FR638" s="10"/>
      <c r="FS638" s="10"/>
      <c r="FT638" s="10"/>
      <c r="FU638" s="10"/>
      <c r="FV638" s="10"/>
      <c r="FW638" s="10"/>
      <c r="FX638" s="10"/>
      <c r="FY638" s="10"/>
      <c r="FZ638" s="10"/>
      <c r="GA638" s="10"/>
      <c r="GB638" s="10"/>
      <c r="GC638" s="10"/>
      <c r="GD638" s="10"/>
      <c r="GE638" s="10"/>
      <c r="GF638" s="10"/>
      <c r="GG638" s="10"/>
      <c r="GH638" s="10"/>
      <c r="GI638" s="10"/>
      <c r="GJ638" s="10"/>
      <c r="GK638" s="10"/>
    </row>
    <row r="639" customFormat="false" ht="12.75" hidden="false" customHeight="false" outlineLevel="0" collapsed="false">
      <c r="A639" s="7"/>
      <c r="B639" s="7"/>
      <c r="C639" s="8"/>
      <c r="D639" s="8"/>
      <c r="E639" s="8"/>
      <c r="F639" s="8"/>
      <c r="G639" s="9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  <c r="BT639" s="10"/>
      <c r="BU639" s="10"/>
      <c r="BV639" s="10"/>
      <c r="BW639" s="10"/>
      <c r="BX639" s="10"/>
      <c r="BY639" s="10"/>
      <c r="BZ639" s="10"/>
      <c r="CA639" s="10"/>
      <c r="CB639" s="10"/>
      <c r="CC639" s="10"/>
      <c r="CD639" s="10"/>
      <c r="CE639" s="10"/>
      <c r="CF639" s="10"/>
      <c r="CG639" s="10"/>
      <c r="CH639" s="10"/>
      <c r="CI639" s="10"/>
      <c r="CJ639" s="10"/>
      <c r="CK639" s="10"/>
      <c r="CL639" s="10"/>
      <c r="CM639" s="10"/>
      <c r="CN639" s="10"/>
      <c r="CO639" s="10"/>
      <c r="CP639" s="10"/>
      <c r="CQ639" s="10"/>
      <c r="CR639" s="10"/>
      <c r="CS639" s="10"/>
      <c r="CT639" s="10"/>
      <c r="CU639" s="10"/>
      <c r="CV639" s="10"/>
      <c r="CW639" s="10"/>
      <c r="CX639" s="10"/>
      <c r="CY639" s="10"/>
      <c r="CZ639" s="10"/>
      <c r="DA639" s="10"/>
      <c r="DB639" s="10"/>
      <c r="DC639" s="10"/>
      <c r="DD639" s="10"/>
      <c r="DE639" s="10"/>
      <c r="DF639" s="10"/>
      <c r="DG639" s="10"/>
      <c r="DH639" s="10"/>
      <c r="DI639" s="10"/>
      <c r="DJ639" s="10"/>
      <c r="DK639" s="10"/>
      <c r="DL639" s="10"/>
      <c r="DM639" s="10"/>
      <c r="DN639" s="10"/>
      <c r="DO639" s="10"/>
      <c r="DP639" s="10"/>
      <c r="DQ639" s="10"/>
      <c r="DR639" s="10"/>
      <c r="DS639" s="10"/>
      <c r="DT639" s="10"/>
      <c r="DU639" s="10"/>
      <c r="DV639" s="10"/>
      <c r="DW639" s="10"/>
      <c r="DX639" s="10"/>
      <c r="DY639" s="10"/>
      <c r="DZ639" s="10"/>
      <c r="EA639" s="10"/>
      <c r="EB639" s="10"/>
      <c r="EC639" s="10"/>
      <c r="ED639" s="10"/>
      <c r="EE639" s="10"/>
      <c r="EF639" s="10"/>
      <c r="EG639" s="10"/>
      <c r="EH639" s="10"/>
      <c r="EI639" s="10"/>
      <c r="EJ639" s="10"/>
      <c r="EK639" s="10"/>
      <c r="EL639" s="10"/>
      <c r="EM639" s="10"/>
      <c r="EN639" s="10"/>
      <c r="EO639" s="10"/>
      <c r="EP639" s="10"/>
      <c r="EQ639" s="10"/>
      <c r="ER639" s="10"/>
      <c r="ES639" s="10"/>
      <c r="ET639" s="10"/>
      <c r="EU639" s="10"/>
      <c r="EV639" s="10"/>
      <c r="EW639" s="10"/>
      <c r="EX639" s="10"/>
      <c r="EY639" s="10"/>
      <c r="EZ639" s="10"/>
      <c r="FA639" s="10"/>
      <c r="FB639" s="10"/>
      <c r="FC639" s="10"/>
      <c r="FD639" s="10"/>
      <c r="FE639" s="10"/>
      <c r="FF639" s="10"/>
      <c r="FG639" s="10"/>
      <c r="FH639" s="10"/>
      <c r="FI639" s="10"/>
      <c r="FJ639" s="10"/>
      <c r="FK639" s="10"/>
      <c r="FL639" s="10"/>
      <c r="FM639" s="10"/>
      <c r="FN639" s="10"/>
      <c r="FO639" s="10"/>
      <c r="FP639" s="10"/>
      <c r="FQ639" s="10"/>
      <c r="FR639" s="10"/>
      <c r="FS639" s="10"/>
      <c r="FT639" s="10"/>
      <c r="FU639" s="10"/>
      <c r="FV639" s="10"/>
      <c r="FW639" s="10"/>
      <c r="FX639" s="10"/>
      <c r="FY639" s="10"/>
      <c r="FZ639" s="10"/>
      <c r="GA639" s="10"/>
      <c r="GB639" s="10"/>
      <c r="GC639" s="10"/>
      <c r="GD639" s="10"/>
      <c r="GE639" s="10"/>
      <c r="GF639" s="10"/>
      <c r="GG639" s="10"/>
      <c r="GH639" s="10"/>
      <c r="GI639" s="10"/>
      <c r="GJ639" s="10"/>
      <c r="GK639" s="10"/>
    </row>
    <row r="640" customFormat="false" ht="12.75" hidden="false" customHeight="false" outlineLevel="0" collapsed="false">
      <c r="A640" s="7"/>
      <c r="B640" s="7"/>
      <c r="C640" s="8"/>
      <c r="D640" s="8"/>
      <c r="E640" s="8"/>
      <c r="F640" s="8"/>
      <c r="G640" s="9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  <c r="BT640" s="10"/>
      <c r="BU640" s="10"/>
      <c r="BV640" s="10"/>
      <c r="BW640" s="10"/>
      <c r="BX640" s="10"/>
      <c r="BY640" s="10"/>
      <c r="BZ640" s="10"/>
      <c r="CA640" s="10"/>
      <c r="CB640" s="10"/>
      <c r="CC640" s="10"/>
      <c r="CD640" s="10"/>
      <c r="CE640" s="10"/>
      <c r="CF640" s="10"/>
      <c r="CG640" s="10"/>
      <c r="CH640" s="10"/>
      <c r="CI640" s="10"/>
      <c r="CJ640" s="10"/>
      <c r="CK640" s="10"/>
      <c r="CL640" s="10"/>
      <c r="CM640" s="10"/>
      <c r="CN640" s="10"/>
      <c r="CO640" s="10"/>
      <c r="CP640" s="10"/>
      <c r="CQ640" s="10"/>
      <c r="CR640" s="10"/>
      <c r="CS640" s="10"/>
      <c r="CT640" s="10"/>
      <c r="CU640" s="10"/>
      <c r="CV640" s="10"/>
      <c r="CW640" s="10"/>
      <c r="CX640" s="10"/>
      <c r="CY640" s="10"/>
      <c r="CZ640" s="10"/>
      <c r="DA640" s="10"/>
      <c r="DB640" s="10"/>
      <c r="DC640" s="10"/>
      <c r="DD640" s="10"/>
      <c r="DE640" s="10"/>
      <c r="DF640" s="10"/>
      <c r="DG640" s="10"/>
      <c r="DH640" s="10"/>
      <c r="DI640" s="10"/>
      <c r="DJ640" s="10"/>
      <c r="DK640" s="10"/>
      <c r="DL640" s="10"/>
      <c r="DM640" s="10"/>
      <c r="DN640" s="10"/>
      <c r="DO640" s="10"/>
      <c r="DP640" s="10"/>
      <c r="DQ640" s="10"/>
      <c r="DR640" s="10"/>
      <c r="DS640" s="10"/>
      <c r="DT640" s="10"/>
      <c r="DU640" s="10"/>
      <c r="DV640" s="10"/>
      <c r="DW640" s="10"/>
      <c r="DX640" s="10"/>
      <c r="DY640" s="10"/>
      <c r="DZ640" s="10"/>
      <c r="EA640" s="10"/>
      <c r="EB640" s="10"/>
      <c r="EC640" s="10"/>
      <c r="ED640" s="10"/>
      <c r="EE640" s="10"/>
      <c r="EF640" s="10"/>
      <c r="EG640" s="10"/>
      <c r="EH640" s="10"/>
      <c r="EI640" s="10"/>
      <c r="EJ640" s="10"/>
      <c r="EK640" s="10"/>
      <c r="EL640" s="10"/>
      <c r="EM640" s="10"/>
      <c r="EN640" s="10"/>
      <c r="EO640" s="10"/>
      <c r="EP640" s="10"/>
      <c r="EQ640" s="10"/>
      <c r="ER640" s="10"/>
      <c r="ES640" s="10"/>
      <c r="ET640" s="10"/>
      <c r="EU640" s="10"/>
      <c r="EV640" s="10"/>
      <c r="EW640" s="10"/>
      <c r="EX640" s="10"/>
      <c r="EY640" s="10"/>
      <c r="EZ640" s="10"/>
      <c r="FA640" s="10"/>
      <c r="FB640" s="10"/>
      <c r="FC640" s="10"/>
      <c r="FD640" s="10"/>
      <c r="FE640" s="10"/>
      <c r="FF640" s="10"/>
      <c r="FG640" s="10"/>
      <c r="FH640" s="10"/>
      <c r="FI640" s="10"/>
      <c r="FJ640" s="10"/>
      <c r="FK640" s="10"/>
      <c r="FL640" s="10"/>
      <c r="FM640" s="10"/>
      <c r="FN640" s="10"/>
      <c r="FO640" s="10"/>
      <c r="FP640" s="10"/>
      <c r="FQ640" s="10"/>
      <c r="FR640" s="10"/>
      <c r="FS640" s="10"/>
      <c r="FT640" s="10"/>
      <c r="FU640" s="10"/>
      <c r="FV640" s="10"/>
      <c r="FW640" s="10"/>
      <c r="FX640" s="10"/>
      <c r="FY640" s="10"/>
      <c r="FZ640" s="10"/>
      <c r="GA640" s="10"/>
      <c r="GB640" s="10"/>
      <c r="GC640" s="10"/>
      <c r="GD640" s="10"/>
      <c r="GE640" s="10"/>
      <c r="GF640" s="10"/>
      <c r="GG640" s="10"/>
      <c r="GH640" s="10"/>
      <c r="GI640" s="10"/>
      <c r="GJ640" s="10"/>
      <c r="GK640" s="10"/>
    </row>
    <row r="641" customFormat="false" ht="12.75" hidden="false" customHeight="false" outlineLevel="0" collapsed="false">
      <c r="A641" s="7"/>
      <c r="B641" s="7"/>
      <c r="C641" s="8"/>
      <c r="D641" s="8"/>
      <c r="E641" s="8"/>
      <c r="F641" s="8"/>
      <c r="G641" s="9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/>
      <c r="BT641" s="10"/>
      <c r="BU641" s="10"/>
      <c r="BV641" s="10"/>
      <c r="BW641" s="10"/>
      <c r="BX641" s="10"/>
      <c r="BY641" s="10"/>
      <c r="BZ641" s="10"/>
      <c r="CA641" s="10"/>
      <c r="CB641" s="10"/>
      <c r="CC641" s="10"/>
      <c r="CD641" s="10"/>
      <c r="CE641" s="10"/>
      <c r="CF641" s="10"/>
      <c r="CG641" s="10"/>
      <c r="CH641" s="10"/>
      <c r="CI641" s="10"/>
      <c r="CJ641" s="10"/>
      <c r="CK641" s="10"/>
      <c r="CL641" s="10"/>
      <c r="CM641" s="10"/>
      <c r="CN641" s="10"/>
      <c r="CO641" s="10"/>
      <c r="CP641" s="10"/>
      <c r="CQ641" s="10"/>
      <c r="CR641" s="10"/>
      <c r="CS641" s="10"/>
      <c r="CT641" s="10"/>
      <c r="CU641" s="10"/>
      <c r="CV641" s="10"/>
      <c r="CW641" s="10"/>
      <c r="CX641" s="10"/>
      <c r="CY641" s="10"/>
      <c r="CZ641" s="10"/>
      <c r="DA641" s="10"/>
      <c r="DB641" s="10"/>
      <c r="DC641" s="10"/>
      <c r="DD641" s="10"/>
      <c r="DE641" s="10"/>
      <c r="DF641" s="10"/>
      <c r="DG641" s="10"/>
      <c r="DH641" s="10"/>
      <c r="DI641" s="10"/>
      <c r="DJ641" s="10"/>
      <c r="DK641" s="10"/>
      <c r="DL641" s="10"/>
      <c r="DM641" s="10"/>
      <c r="DN641" s="10"/>
      <c r="DO641" s="10"/>
      <c r="DP641" s="10"/>
      <c r="DQ641" s="10"/>
      <c r="DR641" s="10"/>
      <c r="DS641" s="10"/>
      <c r="DT641" s="10"/>
      <c r="DU641" s="10"/>
      <c r="DV641" s="10"/>
      <c r="DW641" s="10"/>
      <c r="DX641" s="10"/>
      <c r="DY641" s="10"/>
      <c r="DZ641" s="10"/>
      <c r="EA641" s="10"/>
      <c r="EB641" s="10"/>
      <c r="EC641" s="10"/>
      <c r="ED641" s="10"/>
      <c r="EE641" s="10"/>
      <c r="EF641" s="10"/>
      <c r="EG641" s="10"/>
      <c r="EH641" s="10"/>
      <c r="EI641" s="10"/>
      <c r="EJ641" s="10"/>
      <c r="EK641" s="10"/>
      <c r="EL641" s="10"/>
      <c r="EM641" s="10"/>
      <c r="EN641" s="10"/>
      <c r="EO641" s="10"/>
      <c r="EP641" s="10"/>
      <c r="EQ641" s="10"/>
      <c r="ER641" s="10"/>
      <c r="ES641" s="10"/>
      <c r="ET641" s="10"/>
      <c r="EU641" s="10"/>
      <c r="EV641" s="10"/>
      <c r="EW641" s="10"/>
      <c r="EX641" s="10"/>
      <c r="EY641" s="10"/>
      <c r="EZ641" s="10"/>
      <c r="FA641" s="10"/>
      <c r="FB641" s="10"/>
      <c r="FC641" s="10"/>
      <c r="FD641" s="10"/>
      <c r="FE641" s="10"/>
      <c r="FF641" s="10"/>
      <c r="FG641" s="10"/>
      <c r="FH641" s="10"/>
      <c r="FI641" s="10"/>
      <c r="FJ641" s="10"/>
      <c r="FK641" s="10"/>
      <c r="FL641" s="10"/>
      <c r="FM641" s="10"/>
      <c r="FN641" s="10"/>
      <c r="FO641" s="10"/>
      <c r="FP641" s="10"/>
      <c r="FQ641" s="10"/>
      <c r="FR641" s="10"/>
      <c r="FS641" s="10"/>
      <c r="FT641" s="10"/>
      <c r="FU641" s="10"/>
      <c r="FV641" s="10"/>
      <c r="FW641" s="10"/>
      <c r="FX641" s="10"/>
      <c r="FY641" s="10"/>
      <c r="FZ641" s="10"/>
      <c r="GA641" s="10"/>
      <c r="GB641" s="10"/>
      <c r="GC641" s="10"/>
      <c r="GD641" s="10"/>
      <c r="GE641" s="10"/>
      <c r="GF641" s="10"/>
      <c r="GG641" s="10"/>
      <c r="GH641" s="10"/>
      <c r="GI641" s="10"/>
      <c r="GJ641" s="10"/>
      <c r="GK641" s="10"/>
    </row>
    <row r="642" customFormat="false" ht="12.75" hidden="false" customHeight="false" outlineLevel="0" collapsed="false">
      <c r="A642" s="7"/>
      <c r="B642" s="7"/>
      <c r="C642" s="8"/>
      <c r="D642" s="8"/>
      <c r="E642" s="8"/>
      <c r="F642" s="8"/>
      <c r="G642" s="9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  <c r="BT642" s="10"/>
      <c r="BU642" s="10"/>
      <c r="BV642" s="10"/>
      <c r="BW642" s="10"/>
      <c r="BX642" s="10"/>
      <c r="BY642" s="10"/>
      <c r="BZ642" s="10"/>
      <c r="CA642" s="10"/>
      <c r="CB642" s="10"/>
      <c r="CC642" s="10"/>
      <c r="CD642" s="10"/>
      <c r="CE642" s="10"/>
      <c r="CF642" s="10"/>
      <c r="CG642" s="10"/>
      <c r="CH642" s="10"/>
      <c r="CI642" s="10"/>
      <c r="CJ642" s="10"/>
      <c r="CK642" s="10"/>
      <c r="CL642" s="10"/>
      <c r="CM642" s="10"/>
      <c r="CN642" s="10"/>
      <c r="CO642" s="10"/>
      <c r="CP642" s="10"/>
      <c r="CQ642" s="10"/>
      <c r="CR642" s="10"/>
      <c r="CS642" s="10"/>
      <c r="CT642" s="10"/>
      <c r="CU642" s="10"/>
      <c r="CV642" s="10"/>
      <c r="CW642" s="10"/>
      <c r="CX642" s="10"/>
      <c r="CY642" s="10"/>
      <c r="CZ642" s="10"/>
      <c r="DA642" s="10"/>
      <c r="DB642" s="10"/>
      <c r="DC642" s="10"/>
      <c r="DD642" s="10"/>
      <c r="DE642" s="10"/>
      <c r="DF642" s="10"/>
      <c r="DG642" s="10"/>
      <c r="DH642" s="10"/>
      <c r="DI642" s="10"/>
      <c r="DJ642" s="10"/>
      <c r="DK642" s="10"/>
      <c r="DL642" s="10"/>
      <c r="DM642" s="10"/>
      <c r="DN642" s="10"/>
      <c r="DO642" s="10"/>
      <c r="DP642" s="10"/>
      <c r="DQ642" s="10"/>
      <c r="DR642" s="10"/>
      <c r="DS642" s="10"/>
      <c r="DT642" s="10"/>
      <c r="DU642" s="10"/>
      <c r="DV642" s="10"/>
      <c r="DW642" s="10"/>
      <c r="DX642" s="10"/>
      <c r="DY642" s="10"/>
      <c r="DZ642" s="10"/>
      <c r="EA642" s="10"/>
      <c r="EB642" s="10"/>
      <c r="EC642" s="10"/>
      <c r="ED642" s="10"/>
      <c r="EE642" s="10"/>
      <c r="EF642" s="10"/>
      <c r="EG642" s="10"/>
      <c r="EH642" s="10"/>
      <c r="EI642" s="10"/>
      <c r="EJ642" s="10"/>
      <c r="EK642" s="10"/>
      <c r="EL642" s="10"/>
      <c r="EM642" s="10"/>
      <c r="EN642" s="10"/>
      <c r="EO642" s="10"/>
      <c r="EP642" s="10"/>
      <c r="EQ642" s="10"/>
      <c r="ER642" s="10"/>
      <c r="ES642" s="10"/>
      <c r="ET642" s="10"/>
      <c r="EU642" s="10"/>
      <c r="EV642" s="10"/>
      <c r="EW642" s="10"/>
      <c r="EX642" s="10"/>
      <c r="EY642" s="10"/>
      <c r="EZ642" s="10"/>
      <c r="FA642" s="10"/>
      <c r="FB642" s="10"/>
      <c r="FC642" s="10"/>
      <c r="FD642" s="10"/>
      <c r="FE642" s="10"/>
      <c r="FF642" s="10"/>
      <c r="FG642" s="10"/>
      <c r="FH642" s="10"/>
      <c r="FI642" s="10"/>
      <c r="FJ642" s="10"/>
      <c r="FK642" s="10"/>
      <c r="FL642" s="10"/>
      <c r="FM642" s="10"/>
      <c r="FN642" s="10"/>
      <c r="FO642" s="10"/>
      <c r="FP642" s="10"/>
      <c r="FQ642" s="10"/>
      <c r="FR642" s="10"/>
      <c r="FS642" s="10"/>
      <c r="FT642" s="10"/>
      <c r="FU642" s="10"/>
      <c r="FV642" s="10"/>
      <c r="FW642" s="10"/>
      <c r="FX642" s="10"/>
      <c r="FY642" s="10"/>
      <c r="FZ642" s="10"/>
      <c r="GA642" s="10"/>
      <c r="GB642" s="10"/>
      <c r="GC642" s="10"/>
      <c r="GD642" s="10"/>
      <c r="GE642" s="10"/>
      <c r="GF642" s="10"/>
      <c r="GG642" s="10"/>
      <c r="GH642" s="10"/>
      <c r="GI642" s="10"/>
      <c r="GJ642" s="10"/>
      <c r="GK642" s="10"/>
    </row>
    <row r="643" customFormat="false" ht="12.75" hidden="false" customHeight="false" outlineLevel="0" collapsed="false">
      <c r="A643" s="7"/>
      <c r="B643" s="7"/>
      <c r="C643" s="8"/>
      <c r="D643" s="8"/>
      <c r="E643" s="8"/>
      <c r="F643" s="8"/>
      <c r="G643" s="9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  <c r="BR643" s="10"/>
      <c r="BS643" s="10"/>
      <c r="BT643" s="10"/>
      <c r="BU643" s="10"/>
      <c r="BV643" s="10"/>
      <c r="BW643" s="10"/>
      <c r="BX643" s="10"/>
      <c r="BY643" s="10"/>
      <c r="BZ643" s="10"/>
      <c r="CA643" s="10"/>
      <c r="CB643" s="10"/>
      <c r="CC643" s="10"/>
      <c r="CD643" s="10"/>
      <c r="CE643" s="10"/>
      <c r="CF643" s="10"/>
      <c r="CG643" s="10"/>
      <c r="CH643" s="10"/>
      <c r="CI643" s="10"/>
      <c r="CJ643" s="10"/>
      <c r="CK643" s="10"/>
      <c r="CL643" s="10"/>
      <c r="CM643" s="10"/>
      <c r="CN643" s="10"/>
      <c r="CO643" s="10"/>
      <c r="CP643" s="10"/>
      <c r="CQ643" s="10"/>
      <c r="CR643" s="10"/>
      <c r="CS643" s="10"/>
      <c r="CT643" s="10"/>
      <c r="CU643" s="10"/>
      <c r="CV643" s="10"/>
      <c r="CW643" s="10"/>
      <c r="CX643" s="10"/>
      <c r="CY643" s="10"/>
      <c r="CZ643" s="10"/>
      <c r="DA643" s="10"/>
      <c r="DB643" s="10"/>
      <c r="DC643" s="10"/>
      <c r="DD643" s="10"/>
      <c r="DE643" s="10"/>
      <c r="DF643" s="10"/>
      <c r="DG643" s="10"/>
      <c r="DH643" s="10"/>
      <c r="DI643" s="10"/>
      <c r="DJ643" s="10"/>
      <c r="DK643" s="10"/>
      <c r="DL643" s="10"/>
      <c r="DM643" s="10"/>
      <c r="DN643" s="10"/>
      <c r="DO643" s="10"/>
      <c r="DP643" s="10"/>
      <c r="DQ643" s="10"/>
      <c r="DR643" s="10"/>
      <c r="DS643" s="10"/>
      <c r="DT643" s="10"/>
      <c r="DU643" s="10"/>
      <c r="DV643" s="10"/>
      <c r="DW643" s="10"/>
      <c r="DX643" s="10"/>
      <c r="DY643" s="10"/>
      <c r="DZ643" s="10"/>
      <c r="EA643" s="10"/>
      <c r="EB643" s="10"/>
      <c r="EC643" s="10"/>
      <c r="ED643" s="10"/>
      <c r="EE643" s="10"/>
      <c r="EF643" s="10"/>
      <c r="EG643" s="10"/>
      <c r="EH643" s="10"/>
      <c r="EI643" s="10"/>
      <c r="EJ643" s="10"/>
      <c r="EK643" s="10"/>
      <c r="EL643" s="10"/>
      <c r="EM643" s="10"/>
      <c r="EN643" s="10"/>
      <c r="EO643" s="10"/>
      <c r="EP643" s="10"/>
      <c r="EQ643" s="10"/>
      <c r="ER643" s="10"/>
      <c r="ES643" s="10"/>
      <c r="ET643" s="10"/>
      <c r="EU643" s="10"/>
      <c r="EV643" s="10"/>
      <c r="EW643" s="10"/>
      <c r="EX643" s="10"/>
      <c r="EY643" s="10"/>
      <c r="EZ643" s="10"/>
      <c r="FA643" s="10"/>
      <c r="FB643" s="10"/>
      <c r="FC643" s="10"/>
      <c r="FD643" s="10"/>
      <c r="FE643" s="10"/>
      <c r="FF643" s="10"/>
      <c r="FG643" s="10"/>
      <c r="FH643" s="10"/>
      <c r="FI643" s="10"/>
      <c r="FJ643" s="10"/>
      <c r="FK643" s="10"/>
      <c r="FL643" s="10"/>
      <c r="FM643" s="10"/>
      <c r="FN643" s="10"/>
      <c r="FO643" s="10"/>
      <c r="FP643" s="10"/>
      <c r="FQ643" s="10"/>
      <c r="FR643" s="10"/>
      <c r="FS643" s="10"/>
      <c r="FT643" s="10"/>
      <c r="FU643" s="10"/>
      <c r="FV643" s="10"/>
      <c r="FW643" s="10"/>
      <c r="FX643" s="10"/>
      <c r="FY643" s="10"/>
      <c r="FZ643" s="10"/>
      <c r="GA643" s="10"/>
      <c r="GB643" s="10"/>
      <c r="GC643" s="10"/>
      <c r="GD643" s="10"/>
      <c r="GE643" s="10"/>
      <c r="GF643" s="10"/>
      <c r="GG643" s="10"/>
      <c r="GH643" s="10"/>
      <c r="GI643" s="10"/>
      <c r="GJ643" s="10"/>
      <c r="GK643" s="10"/>
    </row>
    <row r="644" customFormat="false" ht="12.75" hidden="false" customHeight="false" outlineLevel="0" collapsed="false">
      <c r="A644" s="7"/>
      <c r="B644" s="7"/>
      <c r="C644" s="8"/>
      <c r="D644" s="8"/>
      <c r="E644" s="8"/>
      <c r="F644" s="8"/>
      <c r="G644" s="9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0"/>
      <c r="BP644" s="10"/>
      <c r="BQ644" s="10"/>
      <c r="BR644" s="10"/>
      <c r="BS644" s="10"/>
      <c r="BT644" s="10"/>
      <c r="BU644" s="10"/>
      <c r="BV644" s="10"/>
      <c r="BW644" s="10"/>
      <c r="BX644" s="10"/>
      <c r="BY644" s="10"/>
      <c r="BZ644" s="10"/>
      <c r="CA644" s="10"/>
      <c r="CB644" s="10"/>
      <c r="CC644" s="10"/>
      <c r="CD644" s="10"/>
      <c r="CE644" s="10"/>
      <c r="CF644" s="10"/>
      <c r="CG644" s="10"/>
      <c r="CH644" s="10"/>
      <c r="CI644" s="10"/>
      <c r="CJ644" s="10"/>
      <c r="CK644" s="10"/>
      <c r="CL644" s="10"/>
      <c r="CM644" s="10"/>
      <c r="CN644" s="10"/>
      <c r="CO644" s="10"/>
      <c r="CP644" s="10"/>
      <c r="CQ644" s="10"/>
      <c r="CR644" s="10"/>
      <c r="CS644" s="10"/>
      <c r="CT644" s="10"/>
      <c r="CU644" s="10"/>
      <c r="CV644" s="10"/>
      <c r="CW644" s="10"/>
      <c r="CX644" s="10"/>
      <c r="CY644" s="10"/>
      <c r="CZ644" s="10"/>
      <c r="DA644" s="10"/>
      <c r="DB644" s="10"/>
      <c r="DC644" s="10"/>
      <c r="DD644" s="10"/>
      <c r="DE644" s="10"/>
      <c r="DF644" s="10"/>
      <c r="DG644" s="10"/>
      <c r="DH644" s="10"/>
      <c r="DI644" s="10"/>
      <c r="DJ644" s="10"/>
      <c r="DK644" s="10"/>
      <c r="DL644" s="10"/>
      <c r="DM644" s="10"/>
      <c r="DN644" s="10"/>
      <c r="DO644" s="10"/>
      <c r="DP644" s="10"/>
      <c r="DQ644" s="10"/>
      <c r="DR644" s="10"/>
      <c r="DS644" s="10"/>
      <c r="DT644" s="10"/>
      <c r="DU644" s="10"/>
      <c r="DV644" s="10"/>
      <c r="DW644" s="10"/>
      <c r="DX644" s="10"/>
      <c r="DY644" s="10"/>
      <c r="DZ644" s="10"/>
      <c r="EA644" s="10"/>
      <c r="EB644" s="10"/>
      <c r="EC644" s="10"/>
      <c r="ED644" s="10"/>
      <c r="EE644" s="10"/>
      <c r="EF644" s="10"/>
      <c r="EG644" s="10"/>
      <c r="EH644" s="10"/>
      <c r="EI644" s="10"/>
      <c r="EJ644" s="10"/>
      <c r="EK644" s="10"/>
      <c r="EL644" s="10"/>
      <c r="EM644" s="10"/>
      <c r="EN644" s="10"/>
      <c r="EO644" s="10"/>
      <c r="EP644" s="10"/>
      <c r="EQ644" s="10"/>
      <c r="ER644" s="10"/>
      <c r="ES644" s="10"/>
      <c r="ET644" s="10"/>
      <c r="EU644" s="10"/>
      <c r="EV644" s="10"/>
      <c r="EW644" s="10"/>
      <c r="EX644" s="10"/>
      <c r="EY644" s="10"/>
      <c r="EZ644" s="10"/>
      <c r="FA644" s="10"/>
      <c r="FB644" s="10"/>
      <c r="FC644" s="10"/>
      <c r="FD644" s="10"/>
      <c r="FE644" s="10"/>
      <c r="FF644" s="10"/>
      <c r="FG644" s="10"/>
      <c r="FH644" s="10"/>
      <c r="FI644" s="10"/>
      <c r="FJ644" s="10"/>
      <c r="FK644" s="10"/>
      <c r="FL644" s="10"/>
      <c r="FM644" s="10"/>
      <c r="FN644" s="10"/>
      <c r="FO644" s="10"/>
      <c r="FP644" s="10"/>
      <c r="FQ644" s="10"/>
      <c r="FR644" s="10"/>
      <c r="FS644" s="10"/>
      <c r="FT644" s="10"/>
      <c r="FU644" s="10"/>
      <c r="FV644" s="10"/>
      <c r="FW644" s="10"/>
      <c r="FX644" s="10"/>
      <c r="FY644" s="10"/>
      <c r="FZ644" s="10"/>
      <c r="GA644" s="10"/>
      <c r="GB644" s="10"/>
      <c r="GC644" s="10"/>
      <c r="GD644" s="10"/>
      <c r="GE644" s="10"/>
      <c r="GF644" s="10"/>
      <c r="GG644" s="10"/>
      <c r="GH644" s="10"/>
      <c r="GI644" s="10"/>
      <c r="GJ644" s="10"/>
      <c r="GK644" s="10"/>
    </row>
    <row r="645" customFormat="false" ht="12.75" hidden="false" customHeight="false" outlineLevel="0" collapsed="false">
      <c r="A645" s="7"/>
      <c r="B645" s="7"/>
      <c r="C645" s="8"/>
      <c r="D645" s="8"/>
      <c r="E645" s="8"/>
      <c r="F645" s="8"/>
      <c r="G645" s="9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0"/>
      <c r="BP645" s="10"/>
      <c r="BQ645" s="10"/>
      <c r="BR645" s="10"/>
      <c r="BS645" s="10"/>
      <c r="BT645" s="10"/>
      <c r="BU645" s="10"/>
      <c r="BV645" s="10"/>
      <c r="BW645" s="10"/>
      <c r="BX645" s="10"/>
      <c r="BY645" s="10"/>
      <c r="BZ645" s="10"/>
      <c r="CA645" s="10"/>
      <c r="CB645" s="10"/>
      <c r="CC645" s="10"/>
      <c r="CD645" s="10"/>
      <c r="CE645" s="10"/>
      <c r="CF645" s="10"/>
      <c r="CG645" s="10"/>
      <c r="CH645" s="10"/>
      <c r="CI645" s="10"/>
      <c r="CJ645" s="10"/>
      <c r="CK645" s="10"/>
      <c r="CL645" s="10"/>
      <c r="CM645" s="10"/>
      <c r="CN645" s="10"/>
      <c r="CO645" s="10"/>
      <c r="CP645" s="10"/>
      <c r="CQ645" s="10"/>
      <c r="CR645" s="10"/>
      <c r="CS645" s="10"/>
      <c r="CT645" s="10"/>
      <c r="CU645" s="10"/>
      <c r="CV645" s="10"/>
      <c r="CW645" s="10"/>
      <c r="CX645" s="10"/>
      <c r="CY645" s="10"/>
      <c r="CZ645" s="10"/>
      <c r="DA645" s="10"/>
      <c r="DB645" s="10"/>
      <c r="DC645" s="10"/>
      <c r="DD645" s="10"/>
      <c r="DE645" s="10"/>
      <c r="DF645" s="10"/>
      <c r="DG645" s="10"/>
      <c r="DH645" s="10"/>
      <c r="DI645" s="10"/>
      <c r="DJ645" s="10"/>
      <c r="DK645" s="10"/>
      <c r="DL645" s="10"/>
      <c r="DM645" s="10"/>
      <c r="DN645" s="10"/>
      <c r="DO645" s="10"/>
      <c r="DP645" s="10"/>
      <c r="DQ645" s="10"/>
      <c r="DR645" s="10"/>
      <c r="DS645" s="10"/>
      <c r="DT645" s="10"/>
      <c r="DU645" s="10"/>
      <c r="DV645" s="10"/>
      <c r="DW645" s="10"/>
      <c r="DX645" s="10"/>
      <c r="DY645" s="10"/>
      <c r="DZ645" s="10"/>
      <c r="EA645" s="10"/>
      <c r="EB645" s="10"/>
      <c r="EC645" s="10"/>
      <c r="ED645" s="10"/>
      <c r="EE645" s="10"/>
      <c r="EF645" s="10"/>
      <c r="EG645" s="10"/>
      <c r="EH645" s="10"/>
      <c r="EI645" s="10"/>
      <c r="EJ645" s="10"/>
      <c r="EK645" s="10"/>
      <c r="EL645" s="10"/>
      <c r="EM645" s="10"/>
      <c r="EN645" s="10"/>
      <c r="EO645" s="10"/>
      <c r="EP645" s="10"/>
      <c r="EQ645" s="10"/>
      <c r="ER645" s="10"/>
      <c r="ES645" s="10"/>
      <c r="ET645" s="10"/>
      <c r="EU645" s="10"/>
      <c r="EV645" s="10"/>
      <c r="EW645" s="10"/>
      <c r="EX645" s="10"/>
      <c r="EY645" s="10"/>
      <c r="EZ645" s="10"/>
      <c r="FA645" s="10"/>
      <c r="FB645" s="10"/>
      <c r="FC645" s="10"/>
      <c r="FD645" s="10"/>
      <c r="FE645" s="10"/>
      <c r="FF645" s="10"/>
      <c r="FG645" s="10"/>
      <c r="FH645" s="10"/>
      <c r="FI645" s="10"/>
      <c r="FJ645" s="10"/>
      <c r="FK645" s="10"/>
      <c r="FL645" s="10"/>
      <c r="FM645" s="10"/>
      <c r="FN645" s="10"/>
      <c r="FO645" s="10"/>
      <c r="FP645" s="10"/>
      <c r="FQ645" s="10"/>
      <c r="FR645" s="10"/>
      <c r="FS645" s="10"/>
      <c r="FT645" s="10"/>
      <c r="FU645" s="10"/>
      <c r="FV645" s="10"/>
      <c r="FW645" s="10"/>
      <c r="FX645" s="10"/>
      <c r="FY645" s="10"/>
      <c r="FZ645" s="10"/>
      <c r="GA645" s="10"/>
      <c r="GB645" s="10"/>
      <c r="GC645" s="10"/>
      <c r="GD645" s="10"/>
      <c r="GE645" s="10"/>
      <c r="GF645" s="10"/>
      <c r="GG645" s="10"/>
      <c r="GH645" s="10"/>
      <c r="GI645" s="10"/>
      <c r="GJ645" s="10"/>
      <c r="GK645" s="10"/>
    </row>
    <row r="646" customFormat="false" ht="12.75" hidden="false" customHeight="false" outlineLevel="0" collapsed="false">
      <c r="A646" s="7"/>
      <c r="B646" s="7"/>
      <c r="C646" s="8"/>
      <c r="D646" s="8"/>
      <c r="E646" s="8"/>
      <c r="F646" s="8"/>
      <c r="G646" s="9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  <c r="BS646" s="10"/>
      <c r="BT646" s="10"/>
      <c r="BU646" s="10"/>
      <c r="BV646" s="10"/>
      <c r="BW646" s="10"/>
      <c r="BX646" s="10"/>
      <c r="BY646" s="10"/>
      <c r="BZ646" s="10"/>
      <c r="CA646" s="10"/>
      <c r="CB646" s="10"/>
      <c r="CC646" s="10"/>
      <c r="CD646" s="10"/>
      <c r="CE646" s="10"/>
      <c r="CF646" s="10"/>
      <c r="CG646" s="10"/>
      <c r="CH646" s="10"/>
      <c r="CI646" s="10"/>
      <c r="CJ646" s="10"/>
      <c r="CK646" s="10"/>
      <c r="CL646" s="10"/>
      <c r="CM646" s="10"/>
      <c r="CN646" s="10"/>
      <c r="CO646" s="10"/>
      <c r="CP646" s="10"/>
      <c r="CQ646" s="10"/>
      <c r="CR646" s="10"/>
      <c r="CS646" s="10"/>
      <c r="CT646" s="10"/>
      <c r="CU646" s="10"/>
      <c r="CV646" s="10"/>
      <c r="CW646" s="10"/>
      <c r="CX646" s="10"/>
      <c r="CY646" s="10"/>
      <c r="CZ646" s="10"/>
      <c r="DA646" s="10"/>
      <c r="DB646" s="10"/>
      <c r="DC646" s="10"/>
      <c r="DD646" s="10"/>
      <c r="DE646" s="10"/>
      <c r="DF646" s="10"/>
      <c r="DG646" s="10"/>
      <c r="DH646" s="10"/>
      <c r="DI646" s="10"/>
      <c r="DJ646" s="10"/>
      <c r="DK646" s="10"/>
      <c r="DL646" s="10"/>
      <c r="DM646" s="10"/>
      <c r="DN646" s="10"/>
      <c r="DO646" s="10"/>
      <c r="DP646" s="10"/>
      <c r="DQ646" s="10"/>
      <c r="DR646" s="10"/>
      <c r="DS646" s="10"/>
      <c r="DT646" s="10"/>
      <c r="DU646" s="10"/>
      <c r="DV646" s="10"/>
      <c r="DW646" s="10"/>
      <c r="DX646" s="10"/>
      <c r="DY646" s="10"/>
      <c r="DZ646" s="10"/>
      <c r="EA646" s="10"/>
      <c r="EB646" s="10"/>
      <c r="EC646" s="10"/>
      <c r="ED646" s="10"/>
      <c r="EE646" s="10"/>
      <c r="EF646" s="10"/>
      <c r="EG646" s="10"/>
      <c r="EH646" s="10"/>
      <c r="EI646" s="10"/>
      <c r="EJ646" s="10"/>
      <c r="EK646" s="10"/>
      <c r="EL646" s="10"/>
      <c r="EM646" s="10"/>
      <c r="EN646" s="10"/>
      <c r="EO646" s="10"/>
      <c r="EP646" s="10"/>
      <c r="EQ646" s="10"/>
      <c r="ER646" s="10"/>
      <c r="ES646" s="10"/>
      <c r="ET646" s="10"/>
      <c r="EU646" s="10"/>
      <c r="EV646" s="10"/>
      <c r="EW646" s="10"/>
      <c r="EX646" s="10"/>
      <c r="EY646" s="10"/>
      <c r="EZ646" s="10"/>
      <c r="FA646" s="10"/>
      <c r="FB646" s="10"/>
      <c r="FC646" s="10"/>
      <c r="FD646" s="10"/>
      <c r="FE646" s="10"/>
      <c r="FF646" s="10"/>
      <c r="FG646" s="10"/>
      <c r="FH646" s="10"/>
      <c r="FI646" s="10"/>
      <c r="FJ646" s="10"/>
      <c r="FK646" s="10"/>
      <c r="FL646" s="10"/>
      <c r="FM646" s="10"/>
      <c r="FN646" s="10"/>
      <c r="FO646" s="10"/>
      <c r="FP646" s="10"/>
      <c r="FQ646" s="10"/>
      <c r="FR646" s="10"/>
      <c r="FS646" s="10"/>
      <c r="FT646" s="10"/>
      <c r="FU646" s="10"/>
      <c r="FV646" s="10"/>
      <c r="FW646" s="10"/>
      <c r="FX646" s="10"/>
      <c r="FY646" s="10"/>
      <c r="FZ646" s="10"/>
      <c r="GA646" s="10"/>
      <c r="GB646" s="10"/>
      <c r="GC646" s="10"/>
      <c r="GD646" s="10"/>
      <c r="GE646" s="10"/>
      <c r="GF646" s="10"/>
      <c r="GG646" s="10"/>
      <c r="GH646" s="10"/>
      <c r="GI646" s="10"/>
      <c r="GJ646" s="10"/>
      <c r="GK646" s="10"/>
    </row>
    <row r="647" customFormat="false" ht="12.75" hidden="false" customHeight="false" outlineLevel="0" collapsed="false">
      <c r="A647" s="7"/>
      <c r="B647" s="7"/>
      <c r="C647" s="8"/>
      <c r="D647" s="8"/>
      <c r="E647" s="8"/>
      <c r="F647" s="8"/>
      <c r="G647" s="9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0"/>
      <c r="BP647" s="10"/>
      <c r="BQ647" s="10"/>
      <c r="BR647" s="10"/>
      <c r="BS647" s="10"/>
      <c r="BT647" s="10"/>
      <c r="BU647" s="10"/>
      <c r="BV647" s="10"/>
      <c r="BW647" s="10"/>
      <c r="BX647" s="10"/>
      <c r="BY647" s="10"/>
      <c r="BZ647" s="10"/>
      <c r="CA647" s="10"/>
      <c r="CB647" s="10"/>
      <c r="CC647" s="10"/>
      <c r="CD647" s="10"/>
      <c r="CE647" s="10"/>
      <c r="CF647" s="10"/>
      <c r="CG647" s="10"/>
      <c r="CH647" s="10"/>
      <c r="CI647" s="10"/>
      <c r="CJ647" s="10"/>
      <c r="CK647" s="10"/>
      <c r="CL647" s="10"/>
      <c r="CM647" s="10"/>
      <c r="CN647" s="10"/>
      <c r="CO647" s="10"/>
      <c r="CP647" s="10"/>
      <c r="CQ647" s="10"/>
      <c r="CR647" s="10"/>
      <c r="CS647" s="10"/>
      <c r="CT647" s="10"/>
      <c r="CU647" s="10"/>
      <c r="CV647" s="10"/>
      <c r="CW647" s="10"/>
      <c r="CX647" s="10"/>
      <c r="CY647" s="10"/>
      <c r="CZ647" s="10"/>
      <c r="DA647" s="10"/>
      <c r="DB647" s="10"/>
      <c r="DC647" s="10"/>
      <c r="DD647" s="10"/>
      <c r="DE647" s="10"/>
      <c r="DF647" s="10"/>
      <c r="DG647" s="10"/>
      <c r="DH647" s="10"/>
      <c r="DI647" s="10"/>
      <c r="DJ647" s="10"/>
      <c r="DK647" s="10"/>
      <c r="DL647" s="10"/>
      <c r="DM647" s="10"/>
      <c r="DN647" s="10"/>
      <c r="DO647" s="10"/>
      <c r="DP647" s="10"/>
      <c r="DQ647" s="10"/>
      <c r="DR647" s="10"/>
      <c r="DS647" s="10"/>
      <c r="DT647" s="10"/>
      <c r="DU647" s="10"/>
      <c r="DV647" s="10"/>
      <c r="DW647" s="10"/>
      <c r="DX647" s="10"/>
      <c r="DY647" s="10"/>
      <c r="DZ647" s="10"/>
      <c r="EA647" s="10"/>
      <c r="EB647" s="10"/>
      <c r="EC647" s="10"/>
      <c r="ED647" s="10"/>
      <c r="EE647" s="10"/>
      <c r="EF647" s="10"/>
      <c r="EG647" s="10"/>
      <c r="EH647" s="10"/>
      <c r="EI647" s="10"/>
      <c r="EJ647" s="10"/>
      <c r="EK647" s="10"/>
      <c r="EL647" s="10"/>
      <c r="EM647" s="10"/>
      <c r="EN647" s="10"/>
      <c r="EO647" s="10"/>
      <c r="EP647" s="10"/>
      <c r="EQ647" s="10"/>
      <c r="ER647" s="10"/>
      <c r="ES647" s="10"/>
      <c r="ET647" s="10"/>
      <c r="EU647" s="10"/>
      <c r="EV647" s="10"/>
      <c r="EW647" s="10"/>
      <c r="EX647" s="10"/>
      <c r="EY647" s="10"/>
      <c r="EZ647" s="10"/>
      <c r="FA647" s="10"/>
      <c r="FB647" s="10"/>
      <c r="FC647" s="10"/>
      <c r="FD647" s="10"/>
      <c r="FE647" s="10"/>
      <c r="FF647" s="10"/>
      <c r="FG647" s="10"/>
      <c r="FH647" s="10"/>
      <c r="FI647" s="10"/>
      <c r="FJ647" s="10"/>
      <c r="FK647" s="10"/>
      <c r="FL647" s="10"/>
      <c r="FM647" s="10"/>
      <c r="FN647" s="10"/>
      <c r="FO647" s="10"/>
      <c r="FP647" s="10"/>
      <c r="FQ647" s="10"/>
      <c r="FR647" s="10"/>
      <c r="FS647" s="10"/>
      <c r="FT647" s="10"/>
      <c r="FU647" s="10"/>
      <c r="FV647" s="10"/>
      <c r="FW647" s="10"/>
      <c r="FX647" s="10"/>
      <c r="FY647" s="10"/>
      <c r="FZ647" s="10"/>
      <c r="GA647" s="10"/>
      <c r="GB647" s="10"/>
      <c r="GC647" s="10"/>
      <c r="GD647" s="10"/>
      <c r="GE647" s="10"/>
      <c r="GF647" s="10"/>
      <c r="GG647" s="10"/>
      <c r="GH647" s="10"/>
      <c r="GI647" s="10"/>
      <c r="GJ647" s="10"/>
      <c r="GK647" s="10"/>
    </row>
    <row r="648" customFormat="false" ht="12.75" hidden="false" customHeight="false" outlineLevel="0" collapsed="false">
      <c r="A648" s="7"/>
      <c r="B648" s="7"/>
      <c r="C648" s="8"/>
      <c r="D648" s="8"/>
      <c r="E648" s="8"/>
      <c r="F648" s="8"/>
      <c r="G648" s="9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10"/>
      <c r="BQ648" s="10"/>
      <c r="BR648" s="10"/>
      <c r="BS648" s="10"/>
      <c r="BT648" s="10"/>
      <c r="BU648" s="10"/>
      <c r="BV648" s="10"/>
      <c r="BW648" s="10"/>
      <c r="BX648" s="10"/>
      <c r="BY648" s="10"/>
      <c r="BZ648" s="10"/>
      <c r="CA648" s="10"/>
      <c r="CB648" s="10"/>
      <c r="CC648" s="10"/>
      <c r="CD648" s="10"/>
      <c r="CE648" s="10"/>
      <c r="CF648" s="10"/>
      <c r="CG648" s="10"/>
      <c r="CH648" s="10"/>
      <c r="CI648" s="10"/>
      <c r="CJ648" s="10"/>
      <c r="CK648" s="10"/>
      <c r="CL648" s="10"/>
      <c r="CM648" s="10"/>
      <c r="CN648" s="10"/>
      <c r="CO648" s="10"/>
      <c r="CP648" s="10"/>
      <c r="CQ648" s="10"/>
      <c r="CR648" s="10"/>
      <c r="CS648" s="10"/>
      <c r="CT648" s="10"/>
      <c r="CU648" s="10"/>
      <c r="CV648" s="10"/>
      <c r="CW648" s="10"/>
      <c r="CX648" s="10"/>
      <c r="CY648" s="10"/>
      <c r="CZ648" s="10"/>
      <c r="DA648" s="10"/>
      <c r="DB648" s="10"/>
      <c r="DC648" s="10"/>
      <c r="DD648" s="10"/>
      <c r="DE648" s="10"/>
      <c r="DF648" s="10"/>
      <c r="DG648" s="10"/>
      <c r="DH648" s="10"/>
      <c r="DI648" s="10"/>
      <c r="DJ648" s="10"/>
      <c r="DK648" s="10"/>
      <c r="DL648" s="10"/>
      <c r="DM648" s="10"/>
      <c r="DN648" s="10"/>
      <c r="DO648" s="10"/>
      <c r="DP648" s="10"/>
      <c r="DQ648" s="10"/>
      <c r="DR648" s="10"/>
      <c r="DS648" s="10"/>
      <c r="DT648" s="10"/>
      <c r="DU648" s="10"/>
      <c r="DV648" s="10"/>
      <c r="DW648" s="10"/>
      <c r="DX648" s="10"/>
      <c r="DY648" s="10"/>
      <c r="DZ648" s="10"/>
      <c r="EA648" s="10"/>
      <c r="EB648" s="10"/>
      <c r="EC648" s="10"/>
      <c r="ED648" s="10"/>
      <c r="EE648" s="10"/>
      <c r="EF648" s="10"/>
      <c r="EG648" s="10"/>
      <c r="EH648" s="10"/>
      <c r="EI648" s="10"/>
      <c r="EJ648" s="10"/>
      <c r="EK648" s="10"/>
      <c r="EL648" s="10"/>
      <c r="EM648" s="10"/>
      <c r="EN648" s="10"/>
      <c r="EO648" s="10"/>
      <c r="EP648" s="10"/>
      <c r="EQ648" s="10"/>
      <c r="ER648" s="10"/>
      <c r="ES648" s="10"/>
      <c r="ET648" s="10"/>
      <c r="EU648" s="10"/>
      <c r="EV648" s="10"/>
      <c r="EW648" s="10"/>
      <c r="EX648" s="10"/>
      <c r="EY648" s="10"/>
      <c r="EZ648" s="10"/>
      <c r="FA648" s="10"/>
      <c r="FB648" s="10"/>
      <c r="FC648" s="10"/>
      <c r="FD648" s="10"/>
      <c r="FE648" s="10"/>
      <c r="FF648" s="10"/>
      <c r="FG648" s="10"/>
      <c r="FH648" s="10"/>
      <c r="FI648" s="10"/>
      <c r="FJ648" s="10"/>
      <c r="FK648" s="10"/>
      <c r="FL648" s="10"/>
      <c r="FM648" s="10"/>
      <c r="FN648" s="10"/>
      <c r="FO648" s="10"/>
      <c r="FP648" s="10"/>
      <c r="FQ648" s="10"/>
      <c r="FR648" s="10"/>
      <c r="FS648" s="10"/>
      <c r="FT648" s="10"/>
      <c r="FU648" s="10"/>
      <c r="FV648" s="10"/>
      <c r="FW648" s="10"/>
      <c r="FX648" s="10"/>
      <c r="FY648" s="10"/>
      <c r="FZ648" s="10"/>
      <c r="GA648" s="10"/>
      <c r="GB648" s="10"/>
      <c r="GC648" s="10"/>
      <c r="GD648" s="10"/>
      <c r="GE648" s="10"/>
      <c r="GF648" s="10"/>
      <c r="GG648" s="10"/>
      <c r="GH648" s="10"/>
      <c r="GI648" s="10"/>
      <c r="GJ648" s="10"/>
      <c r="GK648" s="10"/>
    </row>
    <row r="649" customFormat="false" ht="12.75" hidden="false" customHeight="false" outlineLevel="0" collapsed="false">
      <c r="A649" s="7"/>
      <c r="B649" s="7"/>
      <c r="C649" s="8"/>
      <c r="D649" s="8"/>
      <c r="E649" s="8"/>
      <c r="F649" s="8"/>
      <c r="G649" s="9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  <c r="BS649" s="10"/>
      <c r="BT649" s="10"/>
      <c r="BU649" s="10"/>
      <c r="BV649" s="10"/>
      <c r="BW649" s="10"/>
      <c r="BX649" s="10"/>
      <c r="BY649" s="10"/>
      <c r="BZ649" s="10"/>
      <c r="CA649" s="10"/>
      <c r="CB649" s="10"/>
      <c r="CC649" s="10"/>
      <c r="CD649" s="10"/>
      <c r="CE649" s="10"/>
      <c r="CF649" s="10"/>
      <c r="CG649" s="10"/>
      <c r="CH649" s="10"/>
      <c r="CI649" s="10"/>
      <c r="CJ649" s="10"/>
      <c r="CK649" s="10"/>
      <c r="CL649" s="10"/>
      <c r="CM649" s="10"/>
      <c r="CN649" s="10"/>
      <c r="CO649" s="10"/>
      <c r="CP649" s="10"/>
      <c r="CQ649" s="10"/>
      <c r="CR649" s="10"/>
      <c r="CS649" s="10"/>
      <c r="CT649" s="10"/>
      <c r="CU649" s="10"/>
      <c r="CV649" s="10"/>
      <c r="CW649" s="10"/>
      <c r="CX649" s="10"/>
      <c r="CY649" s="10"/>
      <c r="CZ649" s="10"/>
      <c r="DA649" s="10"/>
      <c r="DB649" s="10"/>
      <c r="DC649" s="10"/>
      <c r="DD649" s="10"/>
      <c r="DE649" s="10"/>
      <c r="DF649" s="10"/>
      <c r="DG649" s="10"/>
      <c r="DH649" s="10"/>
      <c r="DI649" s="10"/>
      <c r="DJ649" s="10"/>
      <c r="DK649" s="10"/>
      <c r="DL649" s="10"/>
      <c r="DM649" s="10"/>
      <c r="DN649" s="10"/>
      <c r="DO649" s="10"/>
      <c r="DP649" s="10"/>
      <c r="DQ649" s="10"/>
      <c r="DR649" s="10"/>
      <c r="DS649" s="10"/>
      <c r="DT649" s="10"/>
      <c r="DU649" s="10"/>
      <c r="DV649" s="10"/>
      <c r="DW649" s="10"/>
      <c r="DX649" s="10"/>
      <c r="DY649" s="10"/>
      <c r="DZ649" s="10"/>
      <c r="EA649" s="10"/>
      <c r="EB649" s="10"/>
      <c r="EC649" s="10"/>
      <c r="ED649" s="10"/>
      <c r="EE649" s="10"/>
      <c r="EF649" s="10"/>
      <c r="EG649" s="10"/>
      <c r="EH649" s="10"/>
      <c r="EI649" s="10"/>
      <c r="EJ649" s="10"/>
      <c r="EK649" s="10"/>
      <c r="EL649" s="10"/>
      <c r="EM649" s="10"/>
      <c r="EN649" s="10"/>
      <c r="EO649" s="10"/>
      <c r="EP649" s="10"/>
      <c r="EQ649" s="10"/>
      <c r="ER649" s="10"/>
      <c r="ES649" s="10"/>
      <c r="ET649" s="10"/>
      <c r="EU649" s="10"/>
      <c r="EV649" s="10"/>
      <c r="EW649" s="10"/>
      <c r="EX649" s="10"/>
      <c r="EY649" s="10"/>
      <c r="EZ649" s="10"/>
      <c r="FA649" s="10"/>
      <c r="FB649" s="10"/>
      <c r="FC649" s="10"/>
      <c r="FD649" s="10"/>
      <c r="FE649" s="10"/>
      <c r="FF649" s="10"/>
      <c r="FG649" s="10"/>
      <c r="FH649" s="10"/>
      <c r="FI649" s="10"/>
      <c r="FJ649" s="10"/>
      <c r="FK649" s="10"/>
      <c r="FL649" s="10"/>
      <c r="FM649" s="10"/>
      <c r="FN649" s="10"/>
      <c r="FO649" s="10"/>
      <c r="FP649" s="10"/>
      <c r="FQ649" s="10"/>
      <c r="FR649" s="10"/>
      <c r="FS649" s="10"/>
      <c r="FT649" s="10"/>
      <c r="FU649" s="10"/>
      <c r="FV649" s="10"/>
      <c r="FW649" s="10"/>
      <c r="FX649" s="10"/>
      <c r="FY649" s="10"/>
      <c r="FZ649" s="10"/>
      <c r="GA649" s="10"/>
      <c r="GB649" s="10"/>
      <c r="GC649" s="10"/>
      <c r="GD649" s="10"/>
      <c r="GE649" s="10"/>
      <c r="GF649" s="10"/>
      <c r="GG649" s="10"/>
      <c r="GH649" s="10"/>
      <c r="GI649" s="10"/>
      <c r="GJ649" s="10"/>
      <c r="GK649" s="10"/>
    </row>
    <row r="650" customFormat="false" ht="12.75" hidden="false" customHeight="false" outlineLevel="0" collapsed="false">
      <c r="A650" s="7"/>
      <c r="B650" s="7"/>
      <c r="C650" s="8"/>
      <c r="D650" s="8"/>
      <c r="E650" s="8"/>
      <c r="F650" s="8"/>
      <c r="G650" s="9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  <c r="BS650" s="10"/>
      <c r="BT650" s="10"/>
      <c r="BU650" s="10"/>
      <c r="BV650" s="10"/>
      <c r="BW650" s="10"/>
      <c r="BX650" s="10"/>
      <c r="BY650" s="10"/>
      <c r="BZ650" s="10"/>
      <c r="CA650" s="10"/>
      <c r="CB650" s="10"/>
      <c r="CC650" s="10"/>
      <c r="CD650" s="10"/>
      <c r="CE650" s="10"/>
      <c r="CF650" s="10"/>
      <c r="CG650" s="10"/>
      <c r="CH650" s="10"/>
      <c r="CI650" s="10"/>
      <c r="CJ650" s="10"/>
      <c r="CK650" s="10"/>
      <c r="CL650" s="10"/>
      <c r="CM650" s="10"/>
      <c r="CN650" s="10"/>
      <c r="CO650" s="10"/>
      <c r="CP650" s="10"/>
      <c r="CQ650" s="10"/>
      <c r="CR650" s="10"/>
      <c r="CS650" s="10"/>
      <c r="CT650" s="10"/>
      <c r="CU650" s="10"/>
      <c r="CV650" s="10"/>
      <c r="CW650" s="10"/>
      <c r="CX650" s="10"/>
      <c r="CY650" s="10"/>
      <c r="CZ650" s="10"/>
      <c r="DA650" s="10"/>
      <c r="DB650" s="10"/>
      <c r="DC650" s="10"/>
      <c r="DD650" s="10"/>
      <c r="DE650" s="10"/>
      <c r="DF650" s="10"/>
      <c r="DG650" s="10"/>
      <c r="DH650" s="10"/>
      <c r="DI650" s="10"/>
      <c r="DJ650" s="10"/>
      <c r="DK650" s="10"/>
      <c r="DL650" s="10"/>
      <c r="DM650" s="10"/>
      <c r="DN650" s="10"/>
      <c r="DO650" s="10"/>
      <c r="DP650" s="10"/>
      <c r="DQ650" s="10"/>
      <c r="DR650" s="10"/>
      <c r="DS650" s="10"/>
      <c r="DT650" s="10"/>
      <c r="DU650" s="10"/>
      <c r="DV650" s="10"/>
      <c r="DW650" s="10"/>
      <c r="DX650" s="10"/>
      <c r="DY650" s="10"/>
      <c r="DZ650" s="10"/>
      <c r="EA650" s="10"/>
      <c r="EB650" s="10"/>
      <c r="EC650" s="10"/>
      <c r="ED650" s="10"/>
      <c r="EE650" s="10"/>
      <c r="EF650" s="10"/>
      <c r="EG650" s="10"/>
      <c r="EH650" s="10"/>
      <c r="EI650" s="10"/>
      <c r="EJ650" s="10"/>
      <c r="EK650" s="10"/>
      <c r="EL650" s="10"/>
      <c r="EM650" s="10"/>
      <c r="EN650" s="10"/>
      <c r="EO650" s="10"/>
      <c r="EP650" s="10"/>
      <c r="EQ650" s="10"/>
      <c r="ER650" s="10"/>
      <c r="ES650" s="10"/>
      <c r="ET650" s="10"/>
      <c r="EU650" s="10"/>
      <c r="EV650" s="10"/>
      <c r="EW650" s="10"/>
      <c r="EX650" s="10"/>
      <c r="EY650" s="10"/>
      <c r="EZ650" s="10"/>
      <c r="FA650" s="10"/>
      <c r="FB650" s="10"/>
      <c r="FC650" s="10"/>
      <c r="FD650" s="10"/>
      <c r="FE650" s="10"/>
      <c r="FF650" s="10"/>
      <c r="FG650" s="10"/>
      <c r="FH650" s="10"/>
      <c r="FI650" s="10"/>
      <c r="FJ650" s="10"/>
      <c r="FK650" s="10"/>
      <c r="FL650" s="10"/>
      <c r="FM650" s="10"/>
      <c r="FN650" s="10"/>
      <c r="FO650" s="10"/>
      <c r="FP650" s="10"/>
      <c r="FQ650" s="10"/>
      <c r="FR650" s="10"/>
      <c r="FS650" s="10"/>
      <c r="FT650" s="10"/>
      <c r="FU650" s="10"/>
      <c r="FV650" s="10"/>
      <c r="FW650" s="10"/>
      <c r="FX650" s="10"/>
      <c r="FY650" s="10"/>
      <c r="FZ650" s="10"/>
      <c r="GA650" s="10"/>
      <c r="GB650" s="10"/>
      <c r="GC650" s="10"/>
      <c r="GD650" s="10"/>
      <c r="GE650" s="10"/>
      <c r="GF650" s="10"/>
      <c r="GG650" s="10"/>
      <c r="GH650" s="10"/>
      <c r="GI650" s="10"/>
      <c r="GJ650" s="10"/>
      <c r="GK650" s="10"/>
    </row>
    <row r="651" customFormat="false" ht="12.75" hidden="false" customHeight="false" outlineLevel="0" collapsed="false">
      <c r="A651" s="7"/>
      <c r="B651" s="7"/>
      <c r="C651" s="8"/>
      <c r="D651" s="8"/>
      <c r="E651" s="8"/>
      <c r="F651" s="8"/>
      <c r="G651" s="9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10"/>
      <c r="BQ651" s="10"/>
      <c r="BR651" s="10"/>
      <c r="BS651" s="10"/>
      <c r="BT651" s="10"/>
      <c r="BU651" s="10"/>
      <c r="BV651" s="10"/>
      <c r="BW651" s="10"/>
      <c r="BX651" s="10"/>
      <c r="BY651" s="10"/>
      <c r="BZ651" s="10"/>
      <c r="CA651" s="10"/>
      <c r="CB651" s="10"/>
      <c r="CC651" s="10"/>
      <c r="CD651" s="10"/>
      <c r="CE651" s="10"/>
      <c r="CF651" s="10"/>
      <c r="CG651" s="10"/>
      <c r="CH651" s="10"/>
      <c r="CI651" s="10"/>
      <c r="CJ651" s="10"/>
      <c r="CK651" s="10"/>
      <c r="CL651" s="10"/>
      <c r="CM651" s="10"/>
      <c r="CN651" s="10"/>
      <c r="CO651" s="10"/>
      <c r="CP651" s="10"/>
      <c r="CQ651" s="10"/>
      <c r="CR651" s="10"/>
      <c r="CS651" s="10"/>
      <c r="CT651" s="10"/>
      <c r="CU651" s="10"/>
      <c r="CV651" s="10"/>
      <c r="CW651" s="10"/>
      <c r="CX651" s="10"/>
      <c r="CY651" s="10"/>
      <c r="CZ651" s="10"/>
      <c r="DA651" s="10"/>
      <c r="DB651" s="10"/>
      <c r="DC651" s="10"/>
      <c r="DD651" s="10"/>
      <c r="DE651" s="10"/>
      <c r="DF651" s="10"/>
      <c r="DG651" s="10"/>
      <c r="DH651" s="10"/>
      <c r="DI651" s="10"/>
      <c r="DJ651" s="10"/>
      <c r="DK651" s="10"/>
      <c r="DL651" s="10"/>
      <c r="DM651" s="10"/>
      <c r="DN651" s="10"/>
      <c r="DO651" s="10"/>
      <c r="DP651" s="10"/>
      <c r="DQ651" s="10"/>
      <c r="DR651" s="10"/>
      <c r="DS651" s="10"/>
      <c r="DT651" s="10"/>
      <c r="DU651" s="10"/>
      <c r="DV651" s="10"/>
      <c r="DW651" s="10"/>
      <c r="DX651" s="10"/>
      <c r="DY651" s="10"/>
      <c r="DZ651" s="10"/>
      <c r="EA651" s="10"/>
      <c r="EB651" s="10"/>
      <c r="EC651" s="10"/>
      <c r="ED651" s="10"/>
      <c r="EE651" s="10"/>
      <c r="EF651" s="10"/>
      <c r="EG651" s="10"/>
      <c r="EH651" s="10"/>
      <c r="EI651" s="10"/>
      <c r="EJ651" s="10"/>
      <c r="EK651" s="10"/>
      <c r="EL651" s="10"/>
      <c r="EM651" s="10"/>
      <c r="EN651" s="10"/>
      <c r="EO651" s="10"/>
      <c r="EP651" s="10"/>
      <c r="EQ651" s="10"/>
      <c r="ER651" s="10"/>
      <c r="ES651" s="10"/>
      <c r="ET651" s="10"/>
      <c r="EU651" s="10"/>
      <c r="EV651" s="10"/>
      <c r="EW651" s="10"/>
      <c r="EX651" s="10"/>
      <c r="EY651" s="10"/>
      <c r="EZ651" s="10"/>
      <c r="FA651" s="10"/>
      <c r="FB651" s="10"/>
      <c r="FC651" s="10"/>
      <c r="FD651" s="10"/>
      <c r="FE651" s="10"/>
      <c r="FF651" s="10"/>
      <c r="FG651" s="10"/>
      <c r="FH651" s="10"/>
      <c r="FI651" s="10"/>
      <c r="FJ651" s="10"/>
      <c r="FK651" s="10"/>
      <c r="FL651" s="10"/>
      <c r="FM651" s="10"/>
      <c r="FN651" s="10"/>
      <c r="FO651" s="10"/>
      <c r="FP651" s="10"/>
      <c r="FQ651" s="10"/>
      <c r="FR651" s="10"/>
      <c r="FS651" s="10"/>
      <c r="FT651" s="10"/>
      <c r="FU651" s="10"/>
      <c r="FV651" s="10"/>
      <c r="FW651" s="10"/>
      <c r="FX651" s="10"/>
      <c r="FY651" s="10"/>
      <c r="FZ651" s="10"/>
      <c r="GA651" s="10"/>
      <c r="GB651" s="10"/>
      <c r="GC651" s="10"/>
      <c r="GD651" s="10"/>
      <c r="GE651" s="10"/>
      <c r="GF651" s="10"/>
      <c r="GG651" s="10"/>
      <c r="GH651" s="10"/>
      <c r="GI651" s="10"/>
      <c r="GJ651" s="10"/>
      <c r="GK651" s="10"/>
    </row>
    <row r="652" customFormat="false" ht="12.75" hidden="false" customHeight="false" outlineLevel="0" collapsed="false">
      <c r="A652" s="7"/>
      <c r="B652" s="7"/>
      <c r="C652" s="8"/>
      <c r="D652" s="8"/>
      <c r="E652" s="8"/>
      <c r="F652" s="8"/>
      <c r="G652" s="9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  <c r="BR652" s="10"/>
      <c r="BS652" s="10"/>
      <c r="BT652" s="10"/>
      <c r="BU652" s="10"/>
      <c r="BV652" s="10"/>
      <c r="BW652" s="10"/>
      <c r="BX652" s="10"/>
      <c r="BY652" s="10"/>
      <c r="BZ652" s="10"/>
      <c r="CA652" s="10"/>
      <c r="CB652" s="10"/>
      <c r="CC652" s="10"/>
      <c r="CD652" s="10"/>
      <c r="CE652" s="10"/>
      <c r="CF652" s="10"/>
      <c r="CG652" s="10"/>
      <c r="CH652" s="10"/>
      <c r="CI652" s="10"/>
      <c r="CJ652" s="10"/>
      <c r="CK652" s="10"/>
      <c r="CL652" s="10"/>
      <c r="CM652" s="10"/>
      <c r="CN652" s="10"/>
      <c r="CO652" s="10"/>
      <c r="CP652" s="10"/>
      <c r="CQ652" s="10"/>
      <c r="CR652" s="10"/>
      <c r="CS652" s="10"/>
      <c r="CT652" s="10"/>
      <c r="CU652" s="10"/>
      <c r="CV652" s="10"/>
      <c r="CW652" s="10"/>
      <c r="CX652" s="10"/>
      <c r="CY652" s="10"/>
      <c r="CZ652" s="10"/>
      <c r="DA652" s="10"/>
      <c r="DB652" s="10"/>
      <c r="DC652" s="10"/>
      <c r="DD652" s="10"/>
      <c r="DE652" s="10"/>
      <c r="DF652" s="10"/>
      <c r="DG652" s="10"/>
      <c r="DH652" s="10"/>
      <c r="DI652" s="10"/>
      <c r="DJ652" s="10"/>
      <c r="DK652" s="10"/>
      <c r="DL652" s="10"/>
      <c r="DM652" s="10"/>
      <c r="DN652" s="10"/>
      <c r="DO652" s="10"/>
      <c r="DP652" s="10"/>
      <c r="DQ652" s="10"/>
      <c r="DR652" s="10"/>
      <c r="DS652" s="10"/>
      <c r="DT652" s="10"/>
      <c r="DU652" s="10"/>
      <c r="DV652" s="10"/>
      <c r="DW652" s="10"/>
      <c r="DX652" s="10"/>
      <c r="DY652" s="10"/>
      <c r="DZ652" s="10"/>
      <c r="EA652" s="10"/>
      <c r="EB652" s="10"/>
      <c r="EC652" s="10"/>
      <c r="ED652" s="10"/>
      <c r="EE652" s="10"/>
      <c r="EF652" s="10"/>
      <c r="EG652" s="10"/>
      <c r="EH652" s="10"/>
      <c r="EI652" s="10"/>
      <c r="EJ652" s="10"/>
      <c r="EK652" s="10"/>
      <c r="EL652" s="10"/>
      <c r="EM652" s="10"/>
      <c r="EN652" s="10"/>
      <c r="EO652" s="10"/>
      <c r="EP652" s="10"/>
      <c r="EQ652" s="10"/>
      <c r="ER652" s="10"/>
      <c r="ES652" s="10"/>
      <c r="ET652" s="10"/>
      <c r="EU652" s="10"/>
      <c r="EV652" s="10"/>
      <c r="EW652" s="10"/>
      <c r="EX652" s="10"/>
      <c r="EY652" s="10"/>
      <c r="EZ652" s="10"/>
      <c r="FA652" s="10"/>
      <c r="FB652" s="10"/>
      <c r="FC652" s="10"/>
      <c r="FD652" s="10"/>
      <c r="FE652" s="10"/>
      <c r="FF652" s="10"/>
      <c r="FG652" s="10"/>
      <c r="FH652" s="10"/>
      <c r="FI652" s="10"/>
      <c r="FJ652" s="10"/>
      <c r="FK652" s="10"/>
      <c r="FL652" s="10"/>
      <c r="FM652" s="10"/>
      <c r="FN652" s="10"/>
      <c r="FO652" s="10"/>
      <c r="FP652" s="10"/>
      <c r="FQ652" s="10"/>
      <c r="FR652" s="10"/>
      <c r="FS652" s="10"/>
      <c r="FT652" s="10"/>
      <c r="FU652" s="10"/>
      <c r="FV652" s="10"/>
      <c r="FW652" s="10"/>
      <c r="FX652" s="10"/>
      <c r="FY652" s="10"/>
      <c r="FZ652" s="10"/>
      <c r="GA652" s="10"/>
      <c r="GB652" s="10"/>
      <c r="GC652" s="10"/>
      <c r="GD652" s="10"/>
      <c r="GE652" s="10"/>
      <c r="GF652" s="10"/>
      <c r="GG652" s="10"/>
      <c r="GH652" s="10"/>
      <c r="GI652" s="10"/>
      <c r="GJ652" s="10"/>
      <c r="GK652" s="10"/>
    </row>
    <row r="653" customFormat="false" ht="12.75" hidden="false" customHeight="false" outlineLevel="0" collapsed="false">
      <c r="A653" s="7"/>
      <c r="B653" s="7"/>
      <c r="C653" s="8"/>
      <c r="D653" s="8"/>
      <c r="E653" s="8"/>
      <c r="F653" s="8"/>
      <c r="G653" s="9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  <c r="BS653" s="10"/>
      <c r="BT653" s="10"/>
      <c r="BU653" s="10"/>
      <c r="BV653" s="10"/>
      <c r="BW653" s="10"/>
      <c r="BX653" s="10"/>
      <c r="BY653" s="10"/>
      <c r="BZ653" s="10"/>
      <c r="CA653" s="10"/>
      <c r="CB653" s="10"/>
      <c r="CC653" s="10"/>
      <c r="CD653" s="10"/>
      <c r="CE653" s="10"/>
      <c r="CF653" s="10"/>
      <c r="CG653" s="10"/>
      <c r="CH653" s="10"/>
      <c r="CI653" s="10"/>
      <c r="CJ653" s="10"/>
      <c r="CK653" s="10"/>
      <c r="CL653" s="10"/>
      <c r="CM653" s="10"/>
      <c r="CN653" s="10"/>
      <c r="CO653" s="10"/>
      <c r="CP653" s="10"/>
      <c r="CQ653" s="10"/>
      <c r="CR653" s="10"/>
      <c r="CS653" s="10"/>
      <c r="CT653" s="10"/>
      <c r="CU653" s="10"/>
      <c r="CV653" s="10"/>
      <c r="CW653" s="10"/>
      <c r="CX653" s="10"/>
      <c r="CY653" s="10"/>
      <c r="CZ653" s="10"/>
      <c r="DA653" s="10"/>
      <c r="DB653" s="10"/>
      <c r="DC653" s="10"/>
      <c r="DD653" s="10"/>
      <c r="DE653" s="10"/>
      <c r="DF653" s="10"/>
      <c r="DG653" s="10"/>
      <c r="DH653" s="10"/>
      <c r="DI653" s="10"/>
      <c r="DJ653" s="10"/>
      <c r="DK653" s="10"/>
      <c r="DL653" s="10"/>
      <c r="DM653" s="10"/>
      <c r="DN653" s="10"/>
      <c r="DO653" s="10"/>
      <c r="DP653" s="10"/>
      <c r="DQ653" s="10"/>
      <c r="DR653" s="10"/>
      <c r="DS653" s="10"/>
      <c r="DT653" s="10"/>
      <c r="DU653" s="10"/>
      <c r="DV653" s="10"/>
      <c r="DW653" s="10"/>
      <c r="DX653" s="10"/>
      <c r="DY653" s="10"/>
      <c r="DZ653" s="10"/>
      <c r="EA653" s="10"/>
      <c r="EB653" s="10"/>
      <c r="EC653" s="10"/>
      <c r="ED653" s="10"/>
      <c r="EE653" s="10"/>
      <c r="EF653" s="10"/>
      <c r="EG653" s="10"/>
      <c r="EH653" s="10"/>
      <c r="EI653" s="10"/>
      <c r="EJ653" s="10"/>
      <c r="EK653" s="10"/>
      <c r="EL653" s="10"/>
      <c r="EM653" s="10"/>
      <c r="EN653" s="10"/>
      <c r="EO653" s="10"/>
      <c r="EP653" s="10"/>
      <c r="EQ653" s="10"/>
      <c r="ER653" s="10"/>
      <c r="ES653" s="10"/>
      <c r="ET653" s="10"/>
      <c r="EU653" s="10"/>
      <c r="EV653" s="10"/>
      <c r="EW653" s="10"/>
      <c r="EX653" s="10"/>
      <c r="EY653" s="10"/>
      <c r="EZ653" s="10"/>
      <c r="FA653" s="10"/>
      <c r="FB653" s="10"/>
      <c r="FC653" s="10"/>
      <c r="FD653" s="10"/>
      <c r="FE653" s="10"/>
      <c r="FF653" s="10"/>
      <c r="FG653" s="10"/>
      <c r="FH653" s="10"/>
      <c r="FI653" s="10"/>
      <c r="FJ653" s="10"/>
      <c r="FK653" s="10"/>
      <c r="FL653" s="10"/>
      <c r="FM653" s="10"/>
      <c r="FN653" s="10"/>
      <c r="FO653" s="10"/>
      <c r="FP653" s="10"/>
      <c r="FQ653" s="10"/>
      <c r="FR653" s="10"/>
      <c r="FS653" s="10"/>
      <c r="FT653" s="10"/>
      <c r="FU653" s="10"/>
      <c r="FV653" s="10"/>
      <c r="FW653" s="10"/>
      <c r="FX653" s="10"/>
      <c r="FY653" s="10"/>
      <c r="FZ653" s="10"/>
      <c r="GA653" s="10"/>
      <c r="GB653" s="10"/>
      <c r="GC653" s="10"/>
      <c r="GD653" s="10"/>
      <c r="GE653" s="10"/>
      <c r="GF653" s="10"/>
      <c r="GG653" s="10"/>
      <c r="GH653" s="10"/>
      <c r="GI653" s="10"/>
      <c r="GJ653" s="10"/>
      <c r="GK653" s="10"/>
    </row>
    <row r="654" customFormat="false" ht="12.75" hidden="false" customHeight="false" outlineLevel="0" collapsed="false">
      <c r="A654" s="7"/>
      <c r="B654" s="7"/>
      <c r="C654" s="8"/>
      <c r="D654" s="8"/>
      <c r="E654" s="8"/>
      <c r="F654" s="8"/>
      <c r="G654" s="9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  <c r="BS654" s="10"/>
      <c r="BT654" s="10"/>
      <c r="BU654" s="10"/>
      <c r="BV654" s="10"/>
      <c r="BW654" s="10"/>
      <c r="BX654" s="10"/>
      <c r="BY654" s="10"/>
      <c r="BZ654" s="10"/>
      <c r="CA654" s="10"/>
      <c r="CB654" s="10"/>
      <c r="CC654" s="10"/>
      <c r="CD654" s="10"/>
      <c r="CE654" s="10"/>
      <c r="CF654" s="10"/>
      <c r="CG654" s="10"/>
      <c r="CH654" s="10"/>
      <c r="CI654" s="10"/>
      <c r="CJ654" s="10"/>
      <c r="CK654" s="10"/>
      <c r="CL654" s="10"/>
      <c r="CM654" s="10"/>
      <c r="CN654" s="10"/>
      <c r="CO654" s="10"/>
      <c r="CP654" s="10"/>
      <c r="CQ654" s="10"/>
      <c r="CR654" s="10"/>
      <c r="CS654" s="10"/>
      <c r="CT654" s="10"/>
      <c r="CU654" s="10"/>
      <c r="CV654" s="10"/>
      <c r="CW654" s="10"/>
      <c r="CX654" s="10"/>
      <c r="CY654" s="10"/>
      <c r="CZ654" s="10"/>
      <c r="DA654" s="10"/>
      <c r="DB654" s="10"/>
      <c r="DC654" s="10"/>
      <c r="DD654" s="10"/>
      <c r="DE654" s="10"/>
      <c r="DF654" s="10"/>
      <c r="DG654" s="10"/>
      <c r="DH654" s="10"/>
      <c r="DI654" s="10"/>
      <c r="DJ654" s="10"/>
      <c r="DK654" s="10"/>
      <c r="DL654" s="10"/>
      <c r="DM654" s="10"/>
      <c r="DN654" s="10"/>
      <c r="DO654" s="10"/>
      <c r="DP654" s="10"/>
      <c r="DQ654" s="10"/>
      <c r="DR654" s="10"/>
      <c r="DS654" s="10"/>
      <c r="DT654" s="10"/>
      <c r="DU654" s="10"/>
      <c r="DV654" s="10"/>
      <c r="DW654" s="10"/>
      <c r="DX654" s="10"/>
      <c r="DY654" s="10"/>
      <c r="DZ654" s="10"/>
      <c r="EA654" s="10"/>
      <c r="EB654" s="10"/>
      <c r="EC654" s="10"/>
      <c r="ED654" s="10"/>
      <c r="EE654" s="10"/>
      <c r="EF654" s="10"/>
      <c r="EG654" s="10"/>
      <c r="EH654" s="10"/>
      <c r="EI654" s="10"/>
      <c r="EJ654" s="10"/>
      <c r="EK654" s="10"/>
      <c r="EL654" s="10"/>
      <c r="EM654" s="10"/>
      <c r="EN654" s="10"/>
      <c r="EO654" s="10"/>
      <c r="EP654" s="10"/>
      <c r="EQ654" s="10"/>
      <c r="ER654" s="10"/>
      <c r="ES654" s="10"/>
      <c r="ET654" s="10"/>
      <c r="EU654" s="10"/>
      <c r="EV654" s="10"/>
      <c r="EW654" s="10"/>
      <c r="EX654" s="10"/>
      <c r="EY654" s="10"/>
      <c r="EZ654" s="10"/>
      <c r="FA654" s="10"/>
      <c r="FB654" s="10"/>
      <c r="FC654" s="10"/>
      <c r="FD654" s="10"/>
      <c r="FE654" s="10"/>
      <c r="FF654" s="10"/>
      <c r="FG654" s="10"/>
      <c r="FH654" s="10"/>
      <c r="FI654" s="10"/>
      <c r="FJ654" s="10"/>
      <c r="FK654" s="10"/>
      <c r="FL654" s="10"/>
      <c r="FM654" s="10"/>
      <c r="FN654" s="10"/>
      <c r="FO654" s="10"/>
      <c r="FP654" s="10"/>
      <c r="FQ654" s="10"/>
      <c r="FR654" s="10"/>
      <c r="FS654" s="10"/>
      <c r="FT654" s="10"/>
      <c r="FU654" s="10"/>
      <c r="FV654" s="10"/>
      <c r="FW654" s="10"/>
      <c r="FX654" s="10"/>
      <c r="FY654" s="10"/>
      <c r="FZ654" s="10"/>
      <c r="GA654" s="10"/>
      <c r="GB654" s="10"/>
      <c r="GC654" s="10"/>
      <c r="GD654" s="10"/>
      <c r="GE654" s="10"/>
      <c r="GF654" s="10"/>
      <c r="GG654" s="10"/>
      <c r="GH654" s="10"/>
      <c r="GI654" s="10"/>
      <c r="GJ654" s="10"/>
      <c r="GK654" s="10"/>
    </row>
    <row r="655" customFormat="false" ht="12.75" hidden="false" customHeight="false" outlineLevel="0" collapsed="false">
      <c r="A655" s="7"/>
      <c r="B655" s="7"/>
      <c r="C655" s="8"/>
      <c r="D655" s="8"/>
      <c r="E655" s="8"/>
      <c r="F655" s="8"/>
      <c r="G655" s="9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  <c r="BS655" s="10"/>
      <c r="BT655" s="10"/>
      <c r="BU655" s="10"/>
      <c r="BV655" s="10"/>
      <c r="BW655" s="10"/>
      <c r="BX655" s="10"/>
      <c r="BY655" s="10"/>
      <c r="BZ655" s="10"/>
      <c r="CA655" s="10"/>
      <c r="CB655" s="10"/>
      <c r="CC655" s="10"/>
      <c r="CD655" s="10"/>
      <c r="CE655" s="10"/>
      <c r="CF655" s="10"/>
      <c r="CG655" s="10"/>
      <c r="CH655" s="10"/>
      <c r="CI655" s="10"/>
      <c r="CJ655" s="10"/>
      <c r="CK655" s="10"/>
      <c r="CL655" s="10"/>
      <c r="CM655" s="10"/>
      <c r="CN655" s="10"/>
      <c r="CO655" s="10"/>
      <c r="CP655" s="10"/>
      <c r="CQ655" s="10"/>
      <c r="CR655" s="10"/>
      <c r="CS655" s="10"/>
      <c r="CT655" s="10"/>
      <c r="CU655" s="10"/>
      <c r="CV655" s="10"/>
      <c r="CW655" s="10"/>
      <c r="CX655" s="10"/>
      <c r="CY655" s="10"/>
      <c r="CZ655" s="10"/>
      <c r="DA655" s="10"/>
      <c r="DB655" s="10"/>
      <c r="DC655" s="10"/>
      <c r="DD655" s="10"/>
      <c r="DE655" s="10"/>
      <c r="DF655" s="10"/>
      <c r="DG655" s="10"/>
      <c r="DH655" s="10"/>
      <c r="DI655" s="10"/>
      <c r="DJ655" s="10"/>
      <c r="DK655" s="10"/>
      <c r="DL655" s="10"/>
      <c r="DM655" s="10"/>
      <c r="DN655" s="10"/>
      <c r="DO655" s="10"/>
      <c r="DP655" s="10"/>
      <c r="DQ655" s="10"/>
      <c r="DR655" s="10"/>
      <c r="DS655" s="10"/>
      <c r="DT655" s="10"/>
      <c r="DU655" s="10"/>
      <c r="DV655" s="10"/>
      <c r="DW655" s="10"/>
      <c r="DX655" s="10"/>
      <c r="DY655" s="10"/>
      <c r="DZ655" s="10"/>
      <c r="EA655" s="10"/>
      <c r="EB655" s="10"/>
      <c r="EC655" s="10"/>
      <c r="ED655" s="10"/>
      <c r="EE655" s="10"/>
      <c r="EF655" s="10"/>
      <c r="EG655" s="10"/>
      <c r="EH655" s="10"/>
      <c r="EI655" s="10"/>
      <c r="EJ655" s="10"/>
      <c r="EK655" s="10"/>
      <c r="EL655" s="10"/>
      <c r="EM655" s="10"/>
      <c r="EN655" s="10"/>
      <c r="EO655" s="10"/>
      <c r="EP655" s="10"/>
      <c r="EQ655" s="10"/>
      <c r="ER655" s="10"/>
      <c r="ES655" s="10"/>
      <c r="ET655" s="10"/>
      <c r="EU655" s="10"/>
      <c r="EV655" s="10"/>
      <c r="EW655" s="10"/>
      <c r="EX655" s="10"/>
      <c r="EY655" s="10"/>
      <c r="EZ655" s="10"/>
      <c r="FA655" s="10"/>
      <c r="FB655" s="10"/>
      <c r="FC655" s="10"/>
      <c r="FD655" s="10"/>
      <c r="FE655" s="10"/>
      <c r="FF655" s="10"/>
      <c r="FG655" s="10"/>
      <c r="FH655" s="10"/>
      <c r="FI655" s="10"/>
      <c r="FJ655" s="10"/>
      <c r="FK655" s="10"/>
      <c r="FL655" s="10"/>
      <c r="FM655" s="10"/>
      <c r="FN655" s="10"/>
      <c r="FO655" s="10"/>
      <c r="FP655" s="10"/>
      <c r="FQ655" s="10"/>
      <c r="FR655" s="10"/>
      <c r="FS655" s="10"/>
      <c r="FT655" s="10"/>
      <c r="FU655" s="10"/>
      <c r="FV655" s="10"/>
      <c r="FW655" s="10"/>
      <c r="FX655" s="10"/>
      <c r="FY655" s="10"/>
      <c r="FZ655" s="10"/>
      <c r="GA655" s="10"/>
      <c r="GB655" s="10"/>
      <c r="GC655" s="10"/>
      <c r="GD655" s="10"/>
      <c r="GE655" s="10"/>
      <c r="GF655" s="10"/>
      <c r="GG655" s="10"/>
      <c r="GH655" s="10"/>
      <c r="GI655" s="10"/>
      <c r="GJ655" s="10"/>
      <c r="GK655" s="10"/>
    </row>
    <row r="656" customFormat="false" ht="12.75" hidden="false" customHeight="false" outlineLevel="0" collapsed="false">
      <c r="A656" s="7"/>
      <c r="B656" s="7"/>
      <c r="C656" s="8"/>
      <c r="D656" s="8"/>
      <c r="E656" s="8"/>
      <c r="F656" s="8"/>
      <c r="G656" s="9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  <c r="BS656" s="10"/>
      <c r="BT656" s="10"/>
      <c r="BU656" s="10"/>
      <c r="BV656" s="10"/>
      <c r="BW656" s="10"/>
      <c r="BX656" s="10"/>
      <c r="BY656" s="10"/>
      <c r="BZ656" s="10"/>
      <c r="CA656" s="10"/>
      <c r="CB656" s="10"/>
      <c r="CC656" s="10"/>
      <c r="CD656" s="10"/>
      <c r="CE656" s="10"/>
      <c r="CF656" s="10"/>
      <c r="CG656" s="10"/>
      <c r="CH656" s="10"/>
      <c r="CI656" s="10"/>
      <c r="CJ656" s="10"/>
      <c r="CK656" s="10"/>
      <c r="CL656" s="10"/>
      <c r="CM656" s="10"/>
      <c r="CN656" s="10"/>
      <c r="CO656" s="10"/>
      <c r="CP656" s="10"/>
      <c r="CQ656" s="10"/>
      <c r="CR656" s="10"/>
      <c r="CS656" s="10"/>
      <c r="CT656" s="10"/>
      <c r="CU656" s="10"/>
      <c r="CV656" s="10"/>
      <c r="CW656" s="10"/>
      <c r="CX656" s="10"/>
      <c r="CY656" s="10"/>
      <c r="CZ656" s="10"/>
      <c r="DA656" s="10"/>
      <c r="DB656" s="10"/>
      <c r="DC656" s="10"/>
      <c r="DD656" s="10"/>
      <c r="DE656" s="10"/>
      <c r="DF656" s="10"/>
      <c r="DG656" s="10"/>
      <c r="DH656" s="10"/>
      <c r="DI656" s="10"/>
      <c r="DJ656" s="10"/>
      <c r="DK656" s="10"/>
      <c r="DL656" s="10"/>
      <c r="DM656" s="10"/>
      <c r="DN656" s="10"/>
      <c r="DO656" s="10"/>
      <c r="DP656" s="10"/>
      <c r="DQ656" s="10"/>
      <c r="DR656" s="10"/>
      <c r="DS656" s="10"/>
      <c r="DT656" s="10"/>
      <c r="DU656" s="10"/>
      <c r="DV656" s="10"/>
      <c r="DW656" s="10"/>
      <c r="DX656" s="10"/>
      <c r="DY656" s="10"/>
      <c r="DZ656" s="10"/>
      <c r="EA656" s="10"/>
      <c r="EB656" s="10"/>
      <c r="EC656" s="10"/>
      <c r="ED656" s="10"/>
      <c r="EE656" s="10"/>
      <c r="EF656" s="10"/>
      <c r="EG656" s="10"/>
      <c r="EH656" s="10"/>
      <c r="EI656" s="10"/>
      <c r="EJ656" s="10"/>
      <c r="EK656" s="10"/>
      <c r="EL656" s="10"/>
      <c r="EM656" s="10"/>
      <c r="EN656" s="10"/>
      <c r="EO656" s="10"/>
      <c r="EP656" s="10"/>
      <c r="EQ656" s="10"/>
      <c r="ER656" s="10"/>
      <c r="ES656" s="10"/>
      <c r="ET656" s="10"/>
      <c r="EU656" s="10"/>
      <c r="EV656" s="10"/>
      <c r="EW656" s="10"/>
      <c r="EX656" s="10"/>
      <c r="EY656" s="10"/>
      <c r="EZ656" s="10"/>
      <c r="FA656" s="10"/>
      <c r="FB656" s="10"/>
      <c r="FC656" s="10"/>
      <c r="FD656" s="10"/>
      <c r="FE656" s="10"/>
      <c r="FF656" s="10"/>
      <c r="FG656" s="10"/>
      <c r="FH656" s="10"/>
      <c r="FI656" s="10"/>
      <c r="FJ656" s="10"/>
      <c r="FK656" s="10"/>
      <c r="FL656" s="10"/>
      <c r="FM656" s="10"/>
      <c r="FN656" s="10"/>
      <c r="FO656" s="10"/>
      <c r="FP656" s="10"/>
      <c r="FQ656" s="10"/>
      <c r="FR656" s="10"/>
      <c r="FS656" s="10"/>
      <c r="FT656" s="10"/>
      <c r="FU656" s="10"/>
      <c r="FV656" s="10"/>
      <c r="FW656" s="10"/>
      <c r="FX656" s="10"/>
      <c r="FY656" s="10"/>
      <c r="FZ656" s="10"/>
      <c r="GA656" s="10"/>
      <c r="GB656" s="10"/>
      <c r="GC656" s="10"/>
      <c r="GD656" s="10"/>
      <c r="GE656" s="10"/>
      <c r="GF656" s="10"/>
      <c r="GG656" s="10"/>
      <c r="GH656" s="10"/>
      <c r="GI656" s="10"/>
      <c r="GJ656" s="10"/>
      <c r="GK656" s="10"/>
    </row>
    <row r="657" customFormat="false" ht="12.75" hidden="false" customHeight="false" outlineLevel="0" collapsed="false">
      <c r="A657" s="7"/>
      <c r="B657" s="7"/>
      <c r="C657" s="8"/>
      <c r="D657" s="8"/>
      <c r="E657" s="8"/>
      <c r="F657" s="8"/>
      <c r="G657" s="9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  <c r="BS657" s="10"/>
      <c r="BT657" s="10"/>
      <c r="BU657" s="10"/>
      <c r="BV657" s="10"/>
      <c r="BW657" s="10"/>
      <c r="BX657" s="10"/>
      <c r="BY657" s="10"/>
      <c r="BZ657" s="10"/>
      <c r="CA657" s="10"/>
      <c r="CB657" s="10"/>
      <c r="CC657" s="10"/>
      <c r="CD657" s="10"/>
      <c r="CE657" s="10"/>
      <c r="CF657" s="10"/>
      <c r="CG657" s="10"/>
      <c r="CH657" s="10"/>
      <c r="CI657" s="10"/>
      <c r="CJ657" s="10"/>
      <c r="CK657" s="10"/>
      <c r="CL657" s="10"/>
      <c r="CM657" s="10"/>
      <c r="CN657" s="10"/>
      <c r="CO657" s="10"/>
      <c r="CP657" s="10"/>
      <c r="CQ657" s="10"/>
      <c r="CR657" s="10"/>
      <c r="CS657" s="10"/>
      <c r="CT657" s="10"/>
      <c r="CU657" s="10"/>
      <c r="CV657" s="10"/>
      <c r="CW657" s="10"/>
      <c r="CX657" s="10"/>
      <c r="CY657" s="10"/>
      <c r="CZ657" s="10"/>
      <c r="DA657" s="10"/>
      <c r="DB657" s="10"/>
      <c r="DC657" s="10"/>
      <c r="DD657" s="10"/>
      <c r="DE657" s="10"/>
      <c r="DF657" s="10"/>
      <c r="DG657" s="10"/>
      <c r="DH657" s="10"/>
      <c r="DI657" s="10"/>
      <c r="DJ657" s="10"/>
      <c r="DK657" s="10"/>
      <c r="DL657" s="10"/>
      <c r="DM657" s="10"/>
      <c r="DN657" s="10"/>
      <c r="DO657" s="10"/>
      <c r="DP657" s="10"/>
      <c r="DQ657" s="10"/>
      <c r="DR657" s="10"/>
      <c r="DS657" s="10"/>
      <c r="DT657" s="10"/>
      <c r="DU657" s="10"/>
      <c r="DV657" s="10"/>
      <c r="DW657" s="10"/>
      <c r="DX657" s="10"/>
      <c r="DY657" s="10"/>
      <c r="DZ657" s="10"/>
      <c r="EA657" s="10"/>
      <c r="EB657" s="10"/>
      <c r="EC657" s="10"/>
      <c r="ED657" s="10"/>
      <c r="EE657" s="10"/>
      <c r="EF657" s="10"/>
      <c r="EG657" s="10"/>
      <c r="EH657" s="10"/>
      <c r="EI657" s="10"/>
      <c r="EJ657" s="10"/>
      <c r="EK657" s="10"/>
      <c r="EL657" s="10"/>
      <c r="EM657" s="10"/>
      <c r="EN657" s="10"/>
      <c r="EO657" s="10"/>
      <c r="EP657" s="10"/>
      <c r="EQ657" s="10"/>
      <c r="ER657" s="10"/>
      <c r="ES657" s="10"/>
      <c r="ET657" s="10"/>
      <c r="EU657" s="10"/>
      <c r="EV657" s="10"/>
      <c r="EW657" s="10"/>
      <c r="EX657" s="10"/>
      <c r="EY657" s="10"/>
      <c r="EZ657" s="10"/>
      <c r="FA657" s="10"/>
      <c r="FB657" s="10"/>
      <c r="FC657" s="10"/>
      <c r="FD657" s="10"/>
      <c r="FE657" s="10"/>
      <c r="FF657" s="10"/>
      <c r="FG657" s="10"/>
      <c r="FH657" s="10"/>
      <c r="FI657" s="10"/>
      <c r="FJ657" s="10"/>
      <c r="FK657" s="10"/>
      <c r="FL657" s="10"/>
      <c r="FM657" s="10"/>
      <c r="FN657" s="10"/>
      <c r="FO657" s="10"/>
      <c r="FP657" s="10"/>
      <c r="FQ657" s="10"/>
      <c r="FR657" s="10"/>
      <c r="FS657" s="10"/>
      <c r="FT657" s="10"/>
      <c r="FU657" s="10"/>
      <c r="FV657" s="10"/>
      <c r="FW657" s="10"/>
      <c r="FX657" s="10"/>
      <c r="FY657" s="10"/>
      <c r="FZ657" s="10"/>
      <c r="GA657" s="10"/>
      <c r="GB657" s="10"/>
      <c r="GC657" s="10"/>
      <c r="GD657" s="10"/>
      <c r="GE657" s="10"/>
      <c r="GF657" s="10"/>
      <c r="GG657" s="10"/>
      <c r="GH657" s="10"/>
      <c r="GI657" s="10"/>
      <c r="GJ657" s="10"/>
      <c r="GK657" s="10"/>
    </row>
    <row r="658" customFormat="false" ht="12.75" hidden="false" customHeight="false" outlineLevel="0" collapsed="false">
      <c r="A658" s="7"/>
      <c r="B658" s="7"/>
      <c r="C658" s="8"/>
      <c r="D658" s="8"/>
      <c r="E658" s="8"/>
      <c r="F658" s="8"/>
      <c r="G658" s="9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  <c r="BS658" s="10"/>
      <c r="BT658" s="10"/>
      <c r="BU658" s="10"/>
      <c r="BV658" s="10"/>
      <c r="BW658" s="10"/>
      <c r="BX658" s="10"/>
      <c r="BY658" s="10"/>
      <c r="BZ658" s="10"/>
      <c r="CA658" s="10"/>
      <c r="CB658" s="10"/>
      <c r="CC658" s="10"/>
      <c r="CD658" s="10"/>
      <c r="CE658" s="10"/>
      <c r="CF658" s="10"/>
      <c r="CG658" s="10"/>
      <c r="CH658" s="10"/>
      <c r="CI658" s="10"/>
      <c r="CJ658" s="10"/>
      <c r="CK658" s="10"/>
      <c r="CL658" s="10"/>
      <c r="CM658" s="10"/>
      <c r="CN658" s="10"/>
      <c r="CO658" s="10"/>
      <c r="CP658" s="10"/>
      <c r="CQ658" s="10"/>
      <c r="CR658" s="10"/>
      <c r="CS658" s="10"/>
      <c r="CT658" s="10"/>
      <c r="CU658" s="10"/>
      <c r="CV658" s="10"/>
      <c r="CW658" s="10"/>
      <c r="CX658" s="10"/>
      <c r="CY658" s="10"/>
      <c r="CZ658" s="10"/>
      <c r="DA658" s="10"/>
      <c r="DB658" s="10"/>
      <c r="DC658" s="10"/>
      <c r="DD658" s="10"/>
      <c r="DE658" s="10"/>
      <c r="DF658" s="10"/>
      <c r="DG658" s="10"/>
      <c r="DH658" s="10"/>
      <c r="DI658" s="10"/>
      <c r="DJ658" s="10"/>
      <c r="DK658" s="10"/>
      <c r="DL658" s="10"/>
      <c r="DM658" s="10"/>
      <c r="DN658" s="10"/>
      <c r="DO658" s="10"/>
      <c r="DP658" s="10"/>
      <c r="DQ658" s="10"/>
      <c r="DR658" s="10"/>
      <c r="DS658" s="10"/>
      <c r="DT658" s="10"/>
      <c r="DU658" s="10"/>
      <c r="DV658" s="10"/>
      <c r="DW658" s="10"/>
      <c r="DX658" s="10"/>
      <c r="DY658" s="10"/>
      <c r="DZ658" s="10"/>
      <c r="EA658" s="10"/>
      <c r="EB658" s="10"/>
      <c r="EC658" s="10"/>
      <c r="ED658" s="10"/>
      <c r="EE658" s="10"/>
      <c r="EF658" s="10"/>
      <c r="EG658" s="10"/>
      <c r="EH658" s="10"/>
      <c r="EI658" s="10"/>
      <c r="EJ658" s="10"/>
      <c r="EK658" s="10"/>
      <c r="EL658" s="10"/>
      <c r="EM658" s="10"/>
      <c r="EN658" s="10"/>
      <c r="EO658" s="10"/>
      <c r="EP658" s="10"/>
      <c r="EQ658" s="10"/>
      <c r="ER658" s="10"/>
      <c r="ES658" s="10"/>
      <c r="ET658" s="10"/>
      <c r="EU658" s="10"/>
      <c r="EV658" s="10"/>
      <c r="EW658" s="10"/>
      <c r="EX658" s="10"/>
      <c r="EY658" s="10"/>
      <c r="EZ658" s="10"/>
      <c r="FA658" s="10"/>
      <c r="FB658" s="10"/>
      <c r="FC658" s="10"/>
      <c r="FD658" s="10"/>
      <c r="FE658" s="10"/>
      <c r="FF658" s="10"/>
      <c r="FG658" s="10"/>
      <c r="FH658" s="10"/>
      <c r="FI658" s="10"/>
      <c r="FJ658" s="10"/>
      <c r="FK658" s="10"/>
      <c r="FL658" s="10"/>
      <c r="FM658" s="10"/>
      <c r="FN658" s="10"/>
      <c r="FO658" s="10"/>
      <c r="FP658" s="10"/>
      <c r="FQ658" s="10"/>
      <c r="FR658" s="10"/>
      <c r="FS658" s="10"/>
      <c r="FT658" s="10"/>
      <c r="FU658" s="10"/>
      <c r="FV658" s="10"/>
      <c r="FW658" s="10"/>
      <c r="FX658" s="10"/>
      <c r="FY658" s="10"/>
      <c r="FZ658" s="10"/>
      <c r="GA658" s="10"/>
      <c r="GB658" s="10"/>
      <c r="GC658" s="10"/>
      <c r="GD658" s="10"/>
      <c r="GE658" s="10"/>
      <c r="GF658" s="10"/>
      <c r="GG658" s="10"/>
      <c r="GH658" s="10"/>
      <c r="GI658" s="10"/>
      <c r="GJ658" s="10"/>
      <c r="GK658" s="10"/>
    </row>
    <row r="659" customFormat="false" ht="12.75" hidden="false" customHeight="false" outlineLevel="0" collapsed="false">
      <c r="A659" s="7"/>
      <c r="B659" s="7"/>
      <c r="C659" s="8"/>
      <c r="D659" s="8"/>
      <c r="E659" s="8"/>
      <c r="F659" s="8"/>
      <c r="G659" s="9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  <c r="BS659" s="10"/>
      <c r="BT659" s="10"/>
      <c r="BU659" s="10"/>
      <c r="BV659" s="10"/>
      <c r="BW659" s="10"/>
      <c r="BX659" s="10"/>
      <c r="BY659" s="10"/>
      <c r="BZ659" s="10"/>
      <c r="CA659" s="10"/>
      <c r="CB659" s="10"/>
      <c r="CC659" s="10"/>
      <c r="CD659" s="10"/>
      <c r="CE659" s="10"/>
      <c r="CF659" s="10"/>
      <c r="CG659" s="10"/>
      <c r="CH659" s="10"/>
      <c r="CI659" s="10"/>
      <c r="CJ659" s="10"/>
      <c r="CK659" s="10"/>
      <c r="CL659" s="10"/>
      <c r="CM659" s="10"/>
      <c r="CN659" s="10"/>
      <c r="CO659" s="10"/>
      <c r="CP659" s="10"/>
      <c r="CQ659" s="10"/>
      <c r="CR659" s="10"/>
      <c r="CS659" s="10"/>
      <c r="CT659" s="10"/>
      <c r="CU659" s="10"/>
      <c r="CV659" s="10"/>
      <c r="CW659" s="10"/>
      <c r="CX659" s="10"/>
      <c r="CY659" s="10"/>
      <c r="CZ659" s="10"/>
      <c r="DA659" s="10"/>
      <c r="DB659" s="10"/>
      <c r="DC659" s="10"/>
      <c r="DD659" s="10"/>
      <c r="DE659" s="10"/>
      <c r="DF659" s="10"/>
      <c r="DG659" s="10"/>
      <c r="DH659" s="10"/>
      <c r="DI659" s="10"/>
      <c r="DJ659" s="10"/>
      <c r="DK659" s="10"/>
      <c r="DL659" s="10"/>
      <c r="DM659" s="10"/>
      <c r="DN659" s="10"/>
      <c r="DO659" s="10"/>
      <c r="DP659" s="10"/>
      <c r="DQ659" s="10"/>
      <c r="DR659" s="10"/>
      <c r="DS659" s="10"/>
      <c r="DT659" s="10"/>
      <c r="DU659" s="10"/>
      <c r="DV659" s="10"/>
      <c r="DW659" s="10"/>
      <c r="DX659" s="10"/>
      <c r="DY659" s="10"/>
      <c r="DZ659" s="10"/>
      <c r="EA659" s="10"/>
      <c r="EB659" s="10"/>
      <c r="EC659" s="10"/>
      <c r="ED659" s="10"/>
      <c r="EE659" s="10"/>
      <c r="EF659" s="10"/>
      <c r="EG659" s="10"/>
      <c r="EH659" s="10"/>
      <c r="EI659" s="10"/>
      <c r="EJ659" s="10"/>
      <c r="EK659" s="10"/>
      <c r="EL659" s="10"/>
      <c r="EM659" s="10"/>
      <c r="EN659" s="10"/>
      <c r="EO659" s="10"/>
      <c r="EP659" s="10"/>
      <c r="EQ659" s="10"/>
      <c r="ER659" s="10"/>
      <c r="ES659" s="10"/>
      <c r="ET659" s="10"/>
      <c r="EU659" s="10"/>
      <c r="EV659" s="10"/>
      <c r="EW659" s="10"/>
      <c r="EX659" s="10"/>
      <c r="EY659" s="10"/>
      <c r="EZ659" s="10"/>
      <c r="FA659" s="10"/>
      <c r="FB659" s="10"/>
      <c r="FC659" s="10"/>
      <c r="FD659" s="10"/>
      <c r="FE659" s="10"/>
      <c r="FF659" s="10"/>
      <c r="FG659" s="10"/>
      <c r="FH659" s="10"/>
      <c r="FI659" s="10"/>
      <c r="FJ659" s="10"/>
      <c r="FK659" s="10"/>
      <c r="FL659" s="10"/>
      <c r="FM659" s="10"/>
      <c r="FN659" s="10"/>
      <c r="FO659" s="10"/>
      <c r="FP659" s="10"/>
      <c r="FQ659" s="10"/>
      <c r="FR659" s="10"/>
      <c r="FS659" s="10"/>
      <c r="FT659" s="10"/>
      <c r="FU659" s="10"/>
      <c r="FV659" s="10"/>
      <c r="FW659" s="10"/>
      <c r="FX659" s="10"/>
      <c r="FY659" s="10"/>
      <c r="FZ659" s="10"/>
      <c r="GA659" s="10"/>
      <c r="GB659" s="10"/>
      <c r="GC659" s="10"/>
      <c r="GD659" s="10"/>
      <c r="GE659" s="10"/>
      <c r="GF659" s="10"/>
      <c r="GG659" s="10"/>
      <c r="GH659" s="10"/>
      <c r="GI659" s="10"/>
      <c r="GJ659" s="10"/>
      <c r="GK659" s="10"/>
    </row>
    <row r="660" customFormat="false" ht="12.75" hidden="false" customHeight="false" outlineLevel="0" collapsed="false">
      <c r="A660" s="7"/>
      <c r="B660" s="7"/>
      <c r="C660" s="8"/>
      <c r="D660" s="8"/>
      <c r="E660" s="8"/>
      <c r="F660" s="8"/>
      <c r="G660" s="9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  <c r="BS660" s="10"/>
      <c r="BT660" s="10"/>
      <c r="BU660" s="10"/>
      <c r="BV660" s="10"/>
      <c r="BW660" s="10"/>
      <c r="BX660" s="10"/>
      <c r="BY660" s="10"/>
      <c r="BZ660" s="10"/>
      <c r="CA660" s="10"/>
      <c r="CB660" s="10"/>
      <c r="CC660" s="10"/>
      <c r="CD660" s="10"/>
      <c r="CE660" s="10"/>
      <c r="CF660" s="10"/>
      <c r="CG660" s="10"/>
      <c r="CH660" s="10"/>
      <c r="CI660" s="10"/>
      <c r="CJ660" s="10"/>
      <c r="CK660" s="10"/>
      <c r="CL660" s="10"/>
      <c r="CM660" s="10"/>
      <c r="CN660" s="10"/>
      <c r="CO660" s="10"/>
      <c r="CP660" s="10"/>
      <c r="CQ660" s="10"/>
      <c r="CR660" s="10"/>
      <c r="CS660" s="10"/>
      <c r="CT660" s="10"/>
      <c r="CU660" s="10"/>
      <c r="CV660" s="10"/>
      <c r="CW660" s="10"/>
      <c r="CX660" s="10"/>
      <c r="CY660" s="10"/>
      <c r="CZ660" s="10"/>
      <c r="DA660" s="10"/>
      <c r="DB660" s="10"/>
      <c r="DC660" s="10"/>
      <c r="DD660" s="10"/>
      <c r="DE660" s="10"/>
      <c r="DF660" s="10"/>
      <c r="DG660" s="10"/>
      <c r="DH660" s="10"/>
      <c r="DI660" s="10"/>
      <c r="DJ660" s="10"/>
      <c r="DK660" s="10"/>
      <c r="DL660" s="10"/>
      <c r="DM660" s="10"/>
      <c r="DN660" s="10"/>
      <c r="DO660" s="10"/>
      <c r="DP660" s="10"/>
      <c r="DQ660" s="10"/>
      <c r="DR660" s="10"/>
      <c r="DS660" s="10"/>
      <c r="DT660" s="10"/>
      <c r="DU660" s="10"/>
      <c r="DV660" s="10"/>
      <c r="DW660" s="10"/>
      <c r="DX660" s="10"/>
      <c r="DY660" s="10"/>
      <c r="DZ660" s="10"/>
      <c r="EA660" s="10"/>
      <c r="EB660" s="10"/>
      <c r="EC660" s="10"/>
      <c r="ED660" s="10"/>
      <c r="EE660" s="10"/>
      <c r="EF660" s="10"/>
      <c r="EG660" s="10"/>
      <c r="EH660" s="10"/>
      <c r="EI660" s="10"/>
      <c r="EJ660" s="10"/>
      <c r="EK660" s="10"/>
      <c r="EL660" s="10"/>
      <c r="EM660" s="10"/>
      <c r="EN660" s="10"/>
      <c r="EO660" s="10"/>
      <c r="EP660" s="10"/>
      <c r="EQ660" s="10"/>
      <c r="ER660" s="10"/>
      <c r="ES660" s="10"/>
      <c r="ET660" s="10"/>
      <c r="EU660" s="10"/>
      <c r="EV660" s="10"/>
      <c r="EW660" s="10"/>
      <c r="EX660" s="10"/>
      <c r="EY660" s="10"/>
      <c r="EZ660" s="10"/>
      <c r="FA660" s="10"/>
      <c r="FB660" s="10"/>
      <c r="FC660" s="10"/>
      <c r="FD660" s="10"/>
      <c r="FE660" s="10"/>
      <c r="FF660" s="10"/>
      <c r="FG660" s="10"/>
      <c r="FH660" s="10"/>
      <c r="FI660" s="10"/>
      <c r="FJ660" s="10"/>
      <c r="FK660" s="10"/>
      <c r="FL660" s="10"/>
      <c r="FM660" s="10"/>
      <c r="FN660" s="10"/>
      <c r="FO660" s="10"/>
      <c r="FP660" s="10"/>
      <c r="FQ660" s="10"/>
      <c r="FR660" s="10"/>
      <c r="FS660" s="10"/>
      <c r="FT660" s="10"/>
      <c r="FU660" s="10"/>
      <c r="FV660" s="10"/>
      <c r="FW660" s="10"/>
      <c r="FX660" s="10"/>
      <c r="FY660" s="10"/>
      <c r="FZ660" s="10"/>
      <c r="GA660" s="10"/>
      <c r="GB660" s="10"/>
      <c r="GC660" s="10"/>
      <c r="GD660" s="10"/>
      <c r="GE660" s="10"/>
      <c r="GF660" s="10"/>
      <c r="GG660" s="10"/>
      <c r="GH660" s="10"/>
      <c r="GI660" s="10"/>
      <c r="GJ660" s="10"/>
      <c r="GK660" s="10"/>
    </row>
    <row r="661" customFormat="false" ht="12.75" hidden="false" customHeight="false" outlineLevel="0" collapsed="false">
      <c r="A661" s="7"/>
      <c r="B661" s="7"/>
      <c r="C661" s="8"/>
      <c r="D661" s="8"/>
      <c r="E661" s="8"/>
      <c r="F661" s="8"/>
      <c r="G661" s="9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  <c r="BS661" s="10"/>
      <c r="BT661" s="10"/>
      <c r="BU661" s="10"/>
      <c r="BV661" s="10"/>
      <c r="BW661" s="10"/>
      <c r="BX661" s="10"/>
      <c r="BY661" s="10"/>
      <c r="BZ661" s="10"/>
      <c r="CA661" s="10"/>
      <c r="CB661" s="10"/>
      <c r="CC661" s="10"/>
      <c r="CD661" s="10"/>
      <c r="CE661" s="10"/>
      <c r="CF661" s="10"/>
      <c r="CG661" s="10"/>
      <c r="CH661" s="10"/>
      <c r="CI661" s="10"/>
      <c r="CJ661" s="10"/>
      <c r="CK661" s="10"/>
      <c r="CL661" s="10"/>
      <c r="CM661" s="10"/>
      <c r="CN661" s="10"/>
      <c r="CO661" s="10"/>
      <c r="CP661" s="10"/>
      <c r="CQ661" s="10"/>
      <c r="CR661" s="10"/>
      <c r="CS661" s="10"/>
      <c r="CT661" s="10"/>
      <c r="CU661" s="10"/>
      <c r="CV661" s="10"/>
      <c r="CW661" s="10"/>
      <c r="CX661" s="10"/>
      <c r="CY661" s="10"/>
      <c r="CZ661" s="10"/>
      <c r="DA661" s="10"/>
      <c r="DB661" s="10"/>
      <c r="DC661" s="10"/>
      <c r="DD661" s="10"/>
      <c r="DE661" s="10"/>
      <c r="DF661" s="10"/>
      <c r="DG661" s="10"/>
      <c r="DH661" s="10"/>
      <c r="DI661" s="10"/>
      <c r="DJ661" s="10"/>
      <c r="DK661" s="10"/>
      <c r="DL661" s="10"/>
      <c r="DM661" s="10"/>
      <c r="DN661" s="10"/>
      <c r="DO661" s="10"/>
      <c r="DP661" s="10"/>
      <c r="DQ661" s="10"/>
      <c r="DR661" s="10"/>
      <c r="DS661" s="10"/>
      <c r="DT661" s="10"/>
      <c r="DU661" s="10"/>
      <c r="DV661" s="10"/>
      <c r="DW661" s="10"/>
      <c r="DX661" s="10"/>
      <c r="DY661" s="10"/>
      <c r="DZ661" s="10"/>
      <c r="EA661" s="10"/>
      <c r="EB661" s="10"/>
      <c r="EC661" s="10"/>
      <c r="ED661" s="10"/>
      <c r="EE661" s="10"/>
      <c r="EF661" s="10"/>
      <c r="EG661" s="10"/>
      <c r="EH661" s="10"/>
      <c r="EI661" s="10"/>
      <c r="EJ661" s="10"/>
      <c r="EK661" s="10"/>
      <c r="EL661" s="10"/>
      <c r="EM661" s="10"/>
      <c r="EN661" s="10"/>
      <c r="EO661" s="10"/>
      <c r="EP661" s="10"/>
      <c r="EQ661" s="10"/>
      <c r="ER661" s="10"/>
      <c r="ES661" s="10"/>
      <c r="ET661" s="10"/>
      <c r="EU661" s="10"/>
      <c r="EV661" s="10"/>
      <c r="EW661" s="10"/>
      <c r="EX661" s="10"/>
      <c r="EY661" s="10"/>
      <c r="EZ661" s="10"/>
      <c r="FA661" s="10"/>
      <c r="FB661" s="10"/>
      <c r="FC661" s="10"/>
      <c r="FD661" s="10"/>
      <c r="FE661" s="10"/>
      <c r="FF661" s="10"/>
      <c r="FG661" s="10"/>
      <c r="FH661" s="10"/>
      <c r="FI661" s="10"/>
      <c r="FJ661" s="10"/>
      <c r="FK661" s="10"/>
      <c r="FL661" s="10"/>
      <c r="FM661" s="10"/>
      <c r="FN661" s="10"/>
      <c r="FO661" s="10"/>
      <c r="FP661" s="10"/>
      <c r="FQ661" s="10"/>
      <c r="FR661" s="10"/>
      <c r="FS661" s="10"/>
      <c r="FT661" s="10"/>
      <c r="FU661" s="10"/>
      <c r="FV661" s="10"/>
      <c r="FW661" s="10"/>
      <c r="FX661" s="10"/>
      <c r="FY661" s="10"/>
      <c r="FZ661" s="10"/>
      <c r="GA661" s="10"/>
      <c r="GB661" s="10"/>
      <c r="GC661" s="10"/>
      <c r="GD661" s="10"/>
      <c r="GE661" s="10"/>
      <c r="GF661" s="10"/>
      <c r="GG661" s="10"/>
      <c r="GH661" s="10"/>
      <c r="GI661" s="10"/>
      <c r="GJ661" s="10"/>
      <c r="GK661" s="10"/>
    </row>
    <row r="662" customFormat="false" ht="12.75" hidden="false" customHeight="false" outlineLevel="0" collapsed="false">
      <c r="A662" s="7"/>
      <c r="B662" s="7"/>
      <c r="C662" s="8"/>
      <c r="D662" s="8"/>
      <c r="E662" s="8"/>
      <c r="F662" s="8"/>
      <c r="G662" s="9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  <c r="BR662" s="10"/>
      <c r="BS662" s="10"/>
      <c r="BT662" s="10"/>
      <c r="BU662" s="10"/>
      <c r="BV662" s="10"/>
      <c r="BW662" s="10"/>
      <c r="BX662" s="10"/>
      <c r="BY662" s="10"/>
      <c r="BZ662" s="10"/>
      <c r="CA662" s="10"/>
      <c r="CB662" s="10"/>
      <c r="CC662" s="10"/>
      <c r="CD662" s="10"/>
      <c r="CE662" s="10"/>
      <c r="CF662" s="10"/>
      <c r="CG662" s="10"/>
      <c r="CH662" s="10"/>
      <c r="CI662" s="10"/>
      <c r="CJ662" s="10"/>
      <c r="CK662" s="10"/>
      <c r="CL662" s="10"/>
      <c r="CM662" s="10"/>
      <c r="CN662" s="10"/>
      <c r="CO662" s="10"/>
      <c r="CP662" s="10"/>
      <c r="CQ662" s="10"/>
      <c r="CR662" s="10"/>
      <c r="CS662" s="10"/>
      <c r="CT662" s="10"/>
      <c r="CU662" s="10"/>
      <c r="CV662" s="10"/>
      <c r="CW662" s="10"/>
      <c r="CX662" s="10"/>
      <c r="CY662" s="10"/>
      <c r="CZ662" s="10"/>
      <c r="DA662" s="10"/>
      <c r="DB662" s="10"/>
      <c r="DC662" s="10"/>
      <c r="DD662" s="10"/>
      <c r="DE662" s="10"/>
      <c r="DF662" s="10"/>
      <c r="DG662" s="10"/>
      <c r="DH662" s="10"/>
      <c r="DI662" s="10"/>
      <c r="DJ662" s="10"/>
      <c r="DK662" s="10"/>
      <c r="DL662" s="10"/>
      <c r="DM662" s="10"/>
      <c r="DN662" s="10"/>
      <c r="DO662" s="10"/>
      <c r="DP662" s="10"/>
      <c r="DQ662" s="10"/>
      <c r="DR662" s="10"/>
      <c r="DS662" s="10"/>
      <c r="DT662" s="10"/>
      <c r="DU662" s="10"/>
      <c r="DV662" s="10"/>
      <c r="DW662" s="10"/>
      <c r="DX662" s="10"/>
      <c r="DY662" s="10"/>
      <c r="DZ662" s="10"/>
      <c r="EA662" s="10"/>
      <c r="EB662" s="10"/>
      <c r="EC662" s="10"/>
      <c r="ED662" s="10"/>
      <c r="EE662" s="10"/>
      <c r="EF662" s="10"/>
      <c r="EG662" s="10"/>
      <c r="EH662" s="10"/>
      <c r="EI662" s="10"/>
      <c r="EJ662" s="10"/>
      <c r="EK662" s="10"/>
      <c r="EL662" s="10"/>
      <c r="EM662" s="10"/>
      <c r="EN662" s="10"/>
      <c r="EO662" s="10"/>
      <c r="EP662" s="10"/>
      <c r="EQ662" s="10"/>
      <c r="ER662" s="10"/>
      <c r="ES662" s="10"/>
      <c r="ET662" s="10"/>
      <c r="EU662" s="10"/>
      <c r="EV662" s="10"/>
      <c r="EW662" s="10"/>
      <c r="EX662" s="10"/>
      <c r="EY662" s="10"/>
      <c r="EZ662" s="10"/>
      <c r="FA662" s="10"/>
      <c r="FB662" s="10"/>
      <c r="FC662" s="10"/>
      <c r="FD662" s="10"/>
      <c r="FE662" s="10"/>
      <c r="FF662" s="10"/>
      <c r="FG662" s="10"/>
      <c r="FH662" s="10"/>
      <c r="FI662" s="10"/>
      <c r="FJ662" s="10"/>
      <c r="FK662" s="10"/>
      <c r="FL662" s="10"/>
      <c r="FM662" s="10"/>
      <c r="FN662" s="10"/>
      <c r="FO662" s="10"/>
      <c r="FP662" s="10"/>
      <c r="FQ662" s="10"/>
      <c r="FR662" s="10"/>
      <c r="FS662" s="10"/>
      <c r="FT662" s="10"/>
      <c r="FU662" s="10"/>
      <c r="FV662" s="10"/>
      <c r="FW662" s="10"/>
      <c r="FX662" s="10"/>
      <c r="FY662" s="10"/>
      <c r="FZ662" s="10"/>
      <c r="GA662" s="10"/>
      <c r="GB662" s="10"/>
      <c r="GC662" s="10"/>
      <c r="GD662" s="10"/>
      <c r="GE662" s="10"/>
      <c r="GF662" s="10"/>
      <c r="GG662" s="10"/>
      <c r="GH662" s="10"/>
      <c r="GI662" s="10"/>
      <c r="GJ662" s="10"/>
      <c r="GK662" s="10"/>
    </row>
    <row r="663" customFormat="false" ht="12.75" hidden="false" customHeight="false" outlineLevel="0" collapsed="false">
      <c r="A663" s="7"/>
      <c r="B663" s="7"/>
      <c r="C663" s="8"/>
      <c r="D663" s="8"/>
      <c r="E663" s="8"/>
      <c r="F663" s="8"/>
      <c r="G663" s="9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  <c r="BP663" s="10"/>
      <c r="BQ663" s="10"/>
      <c r="BR663" s="10"/>
      <c r="BS663" s="10"/>
      <c r="BT663" s="10"/>
      <c r="BU663" s="10"/>
      <c r="BV663" s="10"/>
      <c r="BW663" s="10"/>
      <c r="BX663" s="10"/>
      <c r="BY663" s="10"/>
      <c r="BZ663" s="10"/>
      <c r="CA663" s="10"/>
      <c r="CB663" s="10"/>
      <c r="CC663" s="10"/>
      <c r="CD663" s="10"/>
      <c r="CE663" s="10"/>
      <c r="CF663" s="10"/>
      <c r="CG663" s="10"/>
      <c r="CH663" s="10"/>
      <c r="CI663" s="10"/>
      <c r="CJ663" s="10"/>
      <c r="CK663" s="10"/>
      <c r="CL663" s="10"/>
      <c r="CM663" s="10"/>
      <c r="CN663" s="10"/>
      <c r="CO663" s="10"/>
      <c r="CP663" s="10"/>
      <c r="CQ663" s="10"/>
      <c r="CR663" s="10"/>
      <c r="CS663" s="10"/>
      <c r="CT663" s="10"/>
      <c r="CU663" s="10"/>
      <c r="CV663" s="10"/>
      <c r="CW663" s="10"/>
      <c r="CX663" s="10"/>
      <c r="CY663" s="10"/>
      <c r="CZ663" s="10"/>
      <c r="DA663" s="10"/>
      <c r="DB663" s="10"/>
      <c r="DC663" s="10"/>
      <c r="DD663" s="10"/>
      <c r="DE663" s="10"/>
      <c r="DF663" s="10"/>
      <c r="DG663" s="10"/>
      <c r="DH663" s="10"/>
      <c r="DI663" s="10"/>
      <c r="DJ663" s="10"/>
      <c r="DK663" s="10"/>
      <c r="DL663" s="10"/>
      <c r="DM663" s="10"/>
      <c r="DN663" s="10"/>
      <c r="DO663" s="10"/>
      <c r="DP663" s="10"/>
      <c r="DQ663" s="10"/>
      <c r="DR663" s="10"/>
      <c r="DS663" s="10"/>
      <c r="DT663" s="10"/>
      <c r="DU663" s="10"/>
      <c r="DV663" s="10"/>
      <c r="DW663" s="10"/>
      <c r="DX663" s="10"/>
      <c r="DY663" s="10"/>
      <c r="DZ663" s="10"/>
      <c r="EA663" s="10"/>
      <c r="EB663" s="10"/>
      <c r="EC663" s="10"/>
      <c r="ED663" s="10"/>
      <c r="EE663" s="10"/>
      <c r="EF663" s="10"/>
      <c r="EG663" s="10"/>
      <c r="EH663" s="10"/>
      <c r="EI663" s="10"/>
      <c r="EJ663" s="10"/>
      <c r="EK663" s="10"/>
      <c r="EL663" s="10"/>
      <c r="EM663" s="10"/>
      <c r="EN663" s="10"/>
      <c r="EO663" s="10"/>
      <c r="EP663" s="10"/>
      <c r="EQ663" s="10"/>
      <c r="ER663" s="10"/>
      <c r="ES663" s="10"/>
      <c r="ET663" s="10"/>
      <c r="EU663" s="10"/>
      <c r="EV663" s="10"/>
      <c r="EW663" s="10"/>
      <c r="EX663" s="10"/>
      <c r="EY663" s="10"/>
      <c r="EZ663" s="10"/>
      <c r="FA663" s="10"/>
      <c r="FB663" s="10"/>
      <c r="FC663" s="10"/>
      <c r="FD663" s="10"/>
      <c r="FE663" s="10"/>
      <c r="FF663" s="10"/>
      <c r="FG663" s="10"/>
      <c r="FH663" s="10"/>
      <c r="FI663" s="10"/>
      <c r="FJ663" s="10"/>
      <c r="FK663" s="10"/>
      <c r="FL663" s="10"/>
      <c r="FM663" s="10"/>
      <c r="FN663" s="10"/>
      <c r="FO663" s="10"/>
      <c r="FP663" s="10"/>
      <c r="FQ663" s="10"/>
      <c r="FR663" s="10"/>
      <c r="FS663" s="10"/>
      <c r="FT663" s="10"/>
      <c r="FU663" s="10"/>
      <c r="FV663" s="10"/>
      <c r="FW663" s="10"/>
      <c r="FX663" s="10"/>
      <c r="FY663" s="10"/>
      <c r="FZ663" s="10"/>
      <c r="GA663" s="10"/>
      <c r="GB663" s="10"/>
      <c r="GC663" s="10"/>
      <c r="GD663" s="10"/>
      <c r="GE663" s="10"/>
      <c r="GF663" s="10"/>
      <c r="GG663" s="10"/>
      <c r="GH663" s="10"/>
      <c r="GI663" s="10"/>
      <c r="GJ663" s="10"/>
      <c r="GK663" s="10"/>
    </row>
    <row r="664" customFormat="false" ht="12.75" hidden="false" customHeight="false" outlineLevel="0" collapsed="false">
      <c r="A664" s="7"/>
      <c r="B664" s="7"/>
      <c r="C664" s="8"/>
      <c r="D664" s="8"/>
      <c r="E664" s="8"/>
      <c r="F664" s="8"/>
      <c r="G664" s="9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10"/>
      <c r="BQ664" s="10"/>
      <c r="BR664" s="10"/>
      <c r="BS664" s="10"/>
      <c r="BT664" s="10"/>
      <c r="BU664" s="10"/>
      <c r="BV664" s="10"/>
      <c r="BW664" s="10"/>
      <c r="BX664" s="10"/>
      <c r="BY664" s="10"/>
      <c r="BZ664" s="10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  <c r="EM664" s="10"/>
      <c r="EN664" s="10"/>
      <c r="EO664" s="10"/>
      <c r="EP664" s="10"/>
      <c r="EQ664" s="10"/>
      <c r="ER664" s="10"/>
      <c r="ES664" s="10"/>
      <c r="ET664" s="10"/>
      <c r="EU664" s="10"/>
      <c r="EV664" s="10"/>
      <c r="EW664" s="10"/>
      <c r="EX664" s="10"/>
      <c r="EY664" s="10"/>
      <c r="EZ664" s="10"/>
      <c r="FA664" s="10"/>
      <c r="FB664" s="10"/>
      <c r="FC664" s="10"/>
      <c r="FD664" s="10"/>
      <c r="FE664" s="10"/>
      <c r="FF664" s="10"/>
      <c r="FG664" s="10"/>
      <c r="FH664" s="10"/>
      <c r="FI664" s="10"/>
      <c r="FJ664" s="10"/>
      <c r="FK664" s="10"/>
      <c r="FL664" s="10"/>
      <c r="FM664" s="10"/>
      <c r="FN664" s="10"/>
      <c r="FO664" s="10"/>
      <c r="FP664" s="10"/>
      <c r="FQ664" s="10"/>
      <c r="FR664" s="10"/>
      <c r="FS664" s="10"/>
      <c r="FT664" s="10"/>
      <c r="FU664" s="10"/>
      <c r="FV664" s="10"/>
      <c r="FW664" s="10"/>
      <c r="FX664" s="10"/>
      <c r="FY664" s="10"/>
      <c r="FZ664" s="10"/>
      <c r="GA664" s="10"/>
      <c r="GB664" s="10"/>
      <c r="GC664" s="10"/>
      <c r="GD664" s="10"/>
      <c r="GE664" s="10"/>
      <c r="GF664" s="10"/>
      <c r="GG664" s="10"/>
      <c r="GH664" s="10"/>
      <c r="GI664" s="10"/>
      <c r="GJ664" s="10"/>
      <c r="GK664" s="10"/>
    </row>
    <row r="665" customFormat="false" ht="12.75" hidden="false" customHeight="false" outlineLevel="0" collapsed="false">
      <c r="A665" s="7"/>
      <c r="B665" s="7"/>
      <c r="C665" s="8"/>
      <c r="D665" s="8"/>
      <c r="E665" s="8"/>
      <c r="F665" s="8"/>
      <c r="G665" s="9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  <c r="BS665" s="10"/>
      <c r="BT665" s="10"/>
      <c r="BU665" s="10"/>
      <c r="BV665" s="10"/>
      <c r="BW665" s="10"/>
      <c r="BX665" s="10"/>
      <c r="BY665" s="10"/>
      <c r="BZ665" s="10"/>
      <c r="CA665" s="10"/>
      <c r="CB665" s="10"/>
      <c r="CC665" s="10"/>
      <c r="CD665" s="10"/>
      <c r="CE665" s="10"/>
      <c r="CF665" s="10"/>
      <c r="CG665" s="10"/>
      <c r="CH665" s="10"/>
      <c r="CI665" s="10"/>
      <c r="CJ665" s="10"/>
      <c r="CK665" s="10"/>
      <c r="CL665" s="10"/>
      <c r="CM665" s="10"/>
      <c r="CN665" s="10"/>
      <c r="CO665" s="10"/>
      <c r="CP665" s="10"/>
      <c r="CQ665" s="10"/>
      <c r="CR665" s="10"/>
      <c r="CS665" s="10"/>
      <c r="CT665" s="10"/>
      <c r="CU665" s="10"/>
      <c r="CV665" s="10"/>
      <c r="CW665" s="10"/>
      <c r="CX665" s="10"/>
      <c r="CY665" s="10"/>
      <c r="CZ665" s="10"/>
      <c r="DA665" s="10"/>
      <c r="DB665" s="10"/>
      <c r="DC665" s="10"/>
      <c r="DD665" s="10"/>
      <c r="DE665" s="10"/>
      <c r="DF665" s="10"/>
      <c r="DG665" s="10"/>
      <c r="DH665" s="10"/>
      <c r="DI665" s="10"/>
      <c r="DJ665" s="10"/>
      <c r="DK665" s="10"/>
      <c r="DL665" s="10"/>
      <c r="DM665" s="10"/>
      <c r="DN665" s="10"/>
      <c r="DO665" s="10"/>
      <c r="DP665" s="10"/>
      <c r="DQ665" s="10"/>
      <c r="DR665" s="10"/>
      <c r="DS665" s="10"/>
      <c r="DT665" s="10"/>
      <c r="DU665" s="10"/>
      <c r="DV665" s="10"/>
      <c r="DW665" s="10"/>
      <c r="DX665" s="10"/>
      <c r="DY665" s="10"/>
      <c r="DZ665" s="10"/>
      <c r="EA665" s="10"/>
      <c r="EB665" s="10"/>
      <c r="EC665" s="10"/>
      <c r="ED665" s="10"/>
      <c r="EE665" s="10"/>
      <c r="EF665" s="10"/>
      <c r="EG665" s="10"/>
      <c r="EH665" s="10"/>
      <c r="EI665" s="10"/>
      <c r="EJ665" s="10"/>
      <c r="EK665" s="10"/>
      <c r="EL665" s="10"/>
      <c r="EM665" s="10"/>
      <c r="EN665" s="10"/>
      <c r="EO665" s="10"/>
      <c r="EP665" s="10"/>
      <c r="EQ665" s="10"/>
      <c r="ER665" s="10"/>
      <c r="ES665" s="10"/>
      <c r="ET665" s="10"/>
      <c r="EU665" s="10"/>
      <c r="EV665" s="10"/>
      <c r="EW665" s="10"/>
      <c r="EX665" s="10"/>
      <c r="EY665" s="10"/>
      <c r="EZ665" s="10"/>
      <c r="FA665" s="10"/>
      <c r="FB665" s="10"/>
      <c r="FC665" s="10"/>
      <c r="FD665" s="10"/>
      <c r="FE665" s="10"/>
      <c r="FF665" s="10"/>
      <c r="FG665" s="10"/>
      <c r="FH665" s="10"/>
      <c r="FI665" s="10"/>
      <c r="FJ665" s="10"/>
      <c r="FK665" s="10"/>
      <c r="FL665" s="10"/>
      <c r="FM665" s="10"/>
      <c r="FN665" s="10"/>
      <c r="FO665" s="10"/>
      <c r="FP665" s="10"/>
      <c r="FQ665" s="10"/>
      <c r="FR665" s="10"/>
      <c r="FS665" s="10"/>
      <c r="FT665" s="10"/>
      <c r="FU665" s="10"/>
      <c r="FV665" s="10"/>
      <c r="FW665" s="10"/>
      <c r="FX665" s="10"/>
      <c r="FY665" s="10"/>
      <c r="FZ665" s="10"/>
      <c r="GA665" s="10"/>
      <c r="GB665" s="10"/>
      <c r="GC665" s="10"/>
      <c r="GD665" s="10"/>
      <c r="GE665" s="10"/>
      <c r="GF665" s="10"/>
      <c r="GG665" s="10"/>
      <c r="GH665" s="10"/>
      <c r="GI665" s="10"/>
      <c r="GJ665" s="10"/>
      <c r="GK665" s="10"/>
    </row>
    <row r="666" customFormat="false" ht="12.75" hidden="false" customHeight="false" outlineLevel="0" collapsed="false">
      <c r="A666" s="7"/>
      <c r="B666" s="7"/>
      <c r="C666" s="8"/>
      <c r="D666" s="8"/>
      <c r="E666" s="8"/>
      <c r="F666" s="8"/>
      <c r="G666" s="9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10"/>
      <c r="BQ666" s="10"/>
      <c r="BR666" s="10"/>
      <c r="BS666" s="10"/>
      <c r="BT666" s="10"/>
      <c r="BU666" s="10"/>
      <c r="BV666" s="10"/>
      <c r="BW666" s="10"/>
      <c r="BX666" s="10"/>
      <c r="BY666" s="10"/>
      <c r="BZ666" s="10"/>
      <c r="CA666" s="10"/>
      <c r="CB666" s="10"/>
      <c r="CC666" s="10"/>
      <c r="CD666" s="10"/>
      <c r="CE666" s="10"/>
      <c r="CF666" s="10"/>
      <c r="CG666" s="10"/>
      <c r="CH666" s="10"/>
      <c r="CI666" s="10"/>
      <c r="CJ666" s="10"/>
      <c r="CK666" s="10"/>
      <c r="CL666" s="10"/>
      <c r="CM666" s="10"/>
      <c r="CN666" s="10"/>
      <c r="CO666" s="10"/>
      <c r="CP666" s="10"/>
      <c r="CQ666" s="10"/>
      <c r="CR666" s="10"/>
      <c r="CS666" s="10"/>
      <c r="CT666" s="10"/>
      <c r="CU666" s="10"/>
      <c r="CV666" s="10"/>
      <c r="CW666" s="10"/>
      <c r="CX666" s="10"/>
      <c r="CY666" s="10"/>
      <c r="CZ666" s="10"/>
      <c r="DA666" s="10"/>
      <c r="DB666" s="10"/>
      <c r="DC666" s="10"/>
      <c r="DD666" s="10"/>
      <c r="DE666" s="10"/>
      <c r="DF666" s="10"/>
      <c r="DG666" s="10"/>
      <c r="DH666" s="10"/>
      <c r="DI666" s="10"/>
      <c r="DJ666" s="10"/>
      <c r="DK666" s="10"/>
      <c r="DL666" s="10"/>
      <c r="DM666" s="10"/>
      <c r="DN666" s="10"/>
      <c r="DO666" s="10"/>
      <c r="DP666" s="10"/>
      <c r="DQ666" s="10"/>
      <c r="DR666" s="10"/>
      <c r="DS666" s="10"/>
      <c r="DT666" s="10"/>
      <c r="DU666" s="10"/>
      <c r="DV666" s="10"/>
      <c r="DW666" s="10"/>
      <c r="DX666" s="10"/>
      <c r="DY666" s="10"/>
      <c r="DZ666" s="10"/>
      <c r="EA666" s="10"/>
      <c r="EB666" s="10"/>
      <c r="EC666" s="10"/>
      <c r="ED666" s="10"/>
      <c r="EE666" s="10"/>
      <c r="EF666" s="10"/>
      <c r="EG666" s="10"/>
      <c r="EH666" s="10"/>
      <c r="EI666" s="10"/>
      <c r="EJ666" s="10"/>
      <c r="EK666" s="10"/>
      <c r="EL666" s="10"/>
      <c r="EM666" s="10"/>
      <c r="EN666" s="10"/>
      <c r="EO666" s="10"/>
      <c r="EP666" s="10"/>
      <c r="EQ666" s="10"/>
      <c r="ER666" s="10"/>
      <c r="ES666" s="10"/>
      <c r="ET666" s="10"/>
      <c r="EU666" s="10"/>
      <c r="EV666" s="10"/>
      <c r="EW666" s="10"/>
      <c r="EX666" s="10"/>
      <c r="EY666" s="10"/>
      <c r="EZ666" s="10"/>
      <c r="FA666" s="10"/>
      <c r="FB666" s="10"/>
      <c r="FC666" s="10"/>
      <c r="FD666" s="10"/>
      <c r="FE666" s="10"/>
      <c r="FF666" s="10"/>
      <c r="FG666" s="10"/>
      <c r="FH666" s="10"/>
      <c r="FI666" s="10"/>
      <c r="FJ666" s="10"/>
      <c r="FK666" s="10"/>
      <c r="FL666" s="10"/>
      <c r="FM666" s="10"/>
      <c r="FN666" s="10"/>
      <c r="FO666" s="10"/>
      <c r="FP666" s="10"/>
      <c r="FQ666" s="10"/>
      <c r="FR666" s="10"/>
      <c r="FS666" s="10"/>
      <c r="FT666" s="10"/>
      <c r="FU666" s="10"/>
      <c r="FV666" s="10"/>
      <c r="FW666" s="10"/>
      <c r="FX666" s="10"/>
      <c r="FY666" s="10"/>
      <c r="FZ666" s="10"/>
      <c r="GA666" s="10"/>
      <c r="GB666" s="10"/>
      <c r="GC666" s="10"/>
      <c r="GD666" s="10"/>
      <c r="GE666" s="10"/>
      <c r="GF666" s="10"/>
      <c r="GG666" s="10"/>
      <c r="GH666" s="10"/>
      <c r="GI666" s="10"/>
      <c r="GJ666" s="10"/>
      <c r="GK666" s="10"/>
    </row>
    <row r="667" customFormat="false" ht="12.75" hidden="false" customHeight="false" outlineLevel="0" collapsed="false">
      <c r="A667" s="7"/>
      <c r="B667" s="7"/>
      <c r="C667" s="8"/>
      <c r="D667" s="8"/>
      <c r="E667" s="8"/>
      <c r="F667" s="8"/>
      <c r="G667" s="9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  <c r="BR667" s="10"/>
      <c r="BS667" s="10"/>
      <c r="BT667" s="10"/>
      <c r="BU667" s="10"/>
      <c r="BV667" s="10"/>
      <c r="BW667" s="10"/>
      <c r="BX667" s="10"/>
      <c r="BY667" s="10"/>
      <c r="BZ667" s="10"/>
      <c r="CA667" s="10"/>
      <c r="CB667" s="10"/>
      <c r="CC667" s="10"/>
      <c r="CD667" s="10"/>
      <c r="CE667" s="10"/>
      <c r="CF667" s="10"/>
      <c r="CG667" s="10"/>
      <c r="CH667" s="10"/>
      <c r="CI667" s="10"/>
      <c r="CJ667" s="10"/>
      <c r="CK667" s="10"/>
      <c r="CL667" s="10"/>
      <c r="CM667" s="10"/>
      <c r="CN667" s="10"/>
      <c r="CO667" s="10"/>
      <c r="CP667" s="10"/>
      <c r="CQ667" s="10"/>
      <c r="CR667" s="10"/>
      <c r="CS667" s="10"/>
      <c r="CT667" s="10"/>
      <c r="CU667" s="10"/>
      <c r="CV667" s="10"/>
      <c r="CW667" s="10"/>
      <c r="CX667" s="10"/>
      <c r="CY667" s="10"/>
      <c r="CZ667" s="10"/>
      <c r="DA667" s="10"/>
      <c r="DB667" s="10"/>
      <c r="DC667" s="10"/>
      <c r="DD667" s="10"/>
      <c r="DE667" s="10"/>
      <c r="DF667" s="10"/>
      <c r="DG667" s="10"/>
      <c r="DH667" s="10"/>
      <c r="DI667" s="10"/>
      <c r="DJ667" s="10"/>
      <c r="DK667" s="10"/>
      <c r="DL667" s="10"/>
      <c r="DM667" s="10"/>
      <c r="DN667" s="10"/>
      <c r="DO667" s="10"/>
      <c r="DP667" s="10"/>
      <c r="DQ667" s="10"/>
      <c r="DR667" s="10"/>
      <c r="DS667" s="10"/>
      <c r="DT667" s="10"/>
      <c r="DU667" s="10"/>
      <c r="DV667" s="10"/>
      <c r="DW667" s="10"/>
      <c r="DX667" s="10"/>
      <c r="DY667" s="10"/>
      <c r="DZ667" s="10"/>
      <c r="EA667" s="10"/>
      <c r="EB667" s="10"/>
      <c r="EC667" s="10"/>
      <c r="ED667" s="10"/>
      <c r="EE667" s="10"/>
      <c r="EF667" s="10"/>
      <c r="EG667" s="10"/>
      <c r="EH667" s="10"/>
      <c r="EI667" s="10"/>
      <c r="EJ667" s="10"/>
      <c r="EK667" s="10"/>
      <c r="EL667" s="10"/>
      <c r="EM667" s="10"/>
      <c r="EN667" s="10"/>
      <c r="EO667" s="10"/>
      <c r="EP667" s="10"/>
      <c r="EQ667" s="10"/>
      <c r="ER667" s="10"/>
      <c r="ES667" s="10"/>
      <c r="ET667" s="10"/>
      <c r="EU667" s="10"/>
      <c r="EV667" s="10"/>
      <c r="EW667" s="10"/>
      <c r="EX667" s="10"/>
      <c r="EY667" s="10"/>
      <c r="EZ667" s="10"/>
      <c r="FA667" s="10"/>
      <c r="FB667" s="10"/>
      <c r="FC667" s="10"/>
      <c r="FD667" s="10"/>
      <c r="FE667" s="10"/>
      <c r="FF667" s="10"/>
      <c r="FG667" s="10"/>
      <c r="FH667" s="10"/>
      <c r="FI667" s="10"/>
      <c r="FJ667" s="10"/>
      <c r="FK667" s="10"/>
      <c r="FL667" s="10"/>
      <c r="FM667" s="10"/>
      <c r="FN667" s="10"/>
      <c r="FO667" s="10"/>
      <c r="FP667" s="10"/>
      <c r="FQ667" s="10"/>
      <c r="FR667" s="10"/>
      <c r="FS667" s="10"/>
      <c r="FT667" s="10"/>
      <c r="FU667" s="10"/>
      <c r="FV667" s="10"/>
      <c r="FW667" s="10"/>
      <c r="FX667" s="10"/>
      <c r="FY667" s="10"/>
      <c r="FZ667" s="10"/>
      <c r="GA667" s="10"/>
      <c r="GB667" s="10"/>
      <c r="GC667" s="10"/>
      <c r="GD667" s="10"/>
      <c r="GE667" s="10"/>
      <c r="GF667" s="10"/>
      <c r="GG667" s="10"/>
      <c r="GH667" s="10"/>
      <c r="GI667" s="10"/>
      <c r="GJ667" s="10"/>
      <c r="GK667" s="10"/>
    </row>
    <row r="668" customFormat="false" ht="12.75" hidden="false" customHeight="false" outlineLevel="0" collapsed="false">
      <c r="A668" s="7"/>
      <c r="B668" s="7"/>
      <c r="C668" s="8"/>
      <c r="D668" s="8"/>
      <c r="E668" s="8"/>
      <c r="F668" s="8"/>
      <c r="G668" s="9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  <c r="BR668" s="10"/>
      <c r="BS668" s="10"/>
      <c r="BT668" s="10"/>
      <c r="BU668" s="10"/>
      <c r="BV668" s="10"/>
      <c r="BW668" s="10"/>
      <c r="BX668" s="10"/>
      <c r="BY668" s="10"/>
      <c r="BZ668" s="10"/>
      <c r="CA668" s="10"/>
      <c r="CB668" s="10"/>
      <c r="CC668" s="10"/>
      <c r="CD668" s="10"/>
      <c r="CE668" s="10"/>
      <c r="CF668" s="10"/>
      <c r="CG668" s="10"/>
      <c r="CH668" s="10"/>
      <c r="CI668" s="10"/>
      <c r="CJ668" s="10"/>
      <c r="CK668" s="10"/>
      <c r="CL668" s="10"/>
      <c r="CM668" s="10"/>
      <c r="CN668" s="10"/>
      <c r="CO668" s="10"/>
      <c r="CP668" s="10"/>
      <c r="CQ668" s="10"/>
      <c r="CR668" s="10"/>
      <c r="CS668" s="10"/>
      <c r="CT668" s="10"/>
      <c r="CU668" s="10"/>
      <c r="CV668" s="10"/>
      <c r="CW668" s="10"/>
      <c r="CX668" s="10"/>
      <c r="CY668" s="10"/>
      <c r="CZ668" s="10"/>
      <c r="DA668" s="10"/>
      <c r="DB668" s="10"/>
      <c r="DC668" s="10"/>
      <c r="DD668" s="10"/>
      <c r="DE668" s="10"/>
      <c r="DF668" s="10"/>
      <c r="DG668" s="10"/>
      <c r="DH668" s="10"/>
      <c r="DI668" s="10"/>
      <c r="DJ668" s="10"/>
      <c r="DK668" s="10"/>
      <c r="DL668" s="10"/>
      <c r="DM668" s="10"/>
      <c r="DN668" s="10"/>
      <c r="DO668" s="10"/>
      <c r="DP668" s="10"/>
      <c r="DQ668" s="10"/>
      <c r="DR668" s="10"/>
      <c r="DS668" s="10"/>
      <c r="DT668" s="10"/>
      <c r="DU668" s="10"/>
      <c r="DV668" s="10"/>
      <c r="DW668" s="10"/>
      <c r="DX668" s="10"/>
      <c r="DY668" s="10"/>
      <c r="DZ668" s="10"/>
      <c r="EA668" s="10"/>
      <c r="EB668" s="10"/>
      <c r="EC668" s="10"/>
      <c r="ED668" s="10"/>
      <c r="EE668" s="10"/>
      <c r="EF668" s="10"/>
      <c r="EG668" s="10"/>
      <c r="EH668" s="10"/>
      <c r="EI668" s="10"/>
      <c r="EJ668" s="10"/>
      <c r="EK668" s="10"/>
      <c r="EL668" s="10"/>
      <c r="EM668" s="10"/>
      <c r="EN668" s="10"/>
      <c r="EO668" s="10"/>
      <c r="EP668" s="10"/>
      <c r="EQ668" s="10"/>
      <c r="ER668" s="10"/>
      <c r="ES668" s="10"/>
      <c r="ET668" s="10"/>
      <c r="EU668" s="10"/>
      <c r="EV668" s="10"/>
      <c r="EW668" s="10"/>
      <c r="EX668" s="10"/>
      <c r="EY668" s="10"/>
      <c r="EZ668" s="10"/>
      <c r="FA668" s="10"/>
      <c r="FB668" s="10"/>
      <c r="FC668" s="10"/>
      <c r="FD668" s="10"/>
      <c r="FE668" s="10"/>
      <c r="FF668" s="10"/>
      <c r="FG668" s="10"/>
      <c r="FH668" s="10"/>
      <c r="FI668" s="10"/>
      <c r="FJ668" s="10"/>
      <c r="FK668" s="10"/>
      <c r="FL668" s="10"/>
      <c r="FM668" s="10"/>
      <c r="FN668" s="10"/>
      <c r="FO668" s="10"/>
      <c r="FP668" s="10"/>
      <c r="FQ668" s="10"/>
      <c r="FR668" s="10"/>
      <c r="FS668" s="10"/>
      <c r="FT668" s="10"/>
      <c r="FU668" s="10"/>
      <c r="FV668" s="10"/>
      <c r="FW668" s="10"/>
      <c r="FX668" s="10"/>
      <c r="FY668" s="10"/>
      <c r="FZ668" s="10"/>
      <c r="GA668" s="10"/>
      <c r="GB668" s="10"/>
      <c r="GC668" s="10"/>
      <c r="GD668" s="10"/>
      <c r="GE668" s="10"/>
      <c r="GF668" s="10"/>
      <c r="GG668" s="10"/>
      <c r="GH668" s="10"/>
      <c r="GI668" s="10"/>
      <c r="GJ668" s="10"/>
      <c r="GK668" s="10"/>
    </row>
    <row r="669" customFormat="false" ht="12.75" hidden="false" customHeight="false" outlineLevel="0" collapsed="false">
      <c r="A669" s="7"/>
      <c r="B669" s="7"/>
      <c r="C669" s="8"/>
      <c r="D669" s="8"/>
      <c r="E669" s="8"/>
      <c r="F669" s="8"/>
      <c r="G669" s="9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  <c r="BS669" s="10"/>
      <c r="BT669" s="10"/>
      <c r="BU669" s="10"/>
      <c r="BV669" s="10"/>
      <c r="BW669" s="10"/>
      <c r="BX669" s="10"/>
      <c r="BY669" s="10"/>
      <c r="BZ669" s="10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/>
      <c r="CK669" s="10"/>
      <c r="CL669" s="10"/>
      <c r="CM669" s="10"/>
      <c r="CN669" s="10"/>
      <c r="CO669" s="10"/>
      <c r="CP669" s="10"/>
      <c r="CQ669" s="10"/>
      <c r="CR669" s="10"/>
      <c r="CS669" s="10"/>
      <c r="CT669" s="10"/>
      <c r="CU669" s="10"/>
      <c r="CV669" s="10"/>
      <c r="CW669" s="10"/>
      <c r="CX669" s="10"/>
      <c r="CY669" s="10"/>
      <c r="CZ669" s="10"/>
      <c r="DA669" s="10"/>
      <c r="DB669" s="10"/>
      <c r="DC669" s="10"/>
      <c r="DD669" s="10"/>
      <c r="DE669" s="10"/>
      <c r="DF669" s="10"/>
      <c r="DG669" s="10"/>
      <c r="DH669" s="10"/>
      <c r="DI669" s="10"/>
      <c r="DJ669" s="10"/>
      <c r="DK669" s="10"/>
      <c r="DL669" s="10"/>
      <c r="DM669" s="10"/>
      <c r="DN669" s="10"/>
      <c r="DO669" s="10"/>
      <c r="DP669" s="10"/>
      <c r="DQ669" s="10"/>
      <c r="DR669" s="10"/>
      <c r="DS669" s="10"/>
      <c r="DT669" s="10"/>
      <c r="DU669" s="10"/>
      <c r="DV669" s="10"/>
      <c r="DW669" s="10"/>
      <c r="DX669" s="10"/>
      <c r="DY669" s="10"/>
      <c r="DZ669" s="10"/>
      <c r="EA669" s="10"/>
      <c r="EB669" s="10"/>
      <c r="EC669" s="10"/>
      <c r="ED669" s="10"/>
      <c r="EE669" s="10"/>
      <c r="EF669" s="10"/>
      <c r="EG669" s="10"/>
      <c r="EH669" s="10"/>
      <c r="EI669" s="10"/>
      <c r="EJ669" s="10"/>
      <c r="EK669" s="10"/>
      <c r="EL669" s="10"/>
      <c r="EM669" s="10"/>
      <c r="EN669" s="10"/>
      <c r="EO669" s="10"/>
      <c r="EP669" s="10"/>
      <c r="EQ669" s="10"/>
      <c r="ER669" s="10"/>
      <c r="ES669" s="10"/>
      <c r="ET669" s="10"/>
      <c r="EU669" s="10"/>
      <c r="EV669" s="10"/>
      <c r="EW669" s="10"/>
      <c r="EX669" s="10"/>
      <c r="EY669" s="10"/>
      <c r="EZ669" s="10"/>
      <c r="FA669" s="10"/>
      <c r="FB669" s="10"/>
      <c r="FC669" s="10"/>
      <c r="FD669" s="10"/>
      <c r="FE669" s="10"/>
      <c r="FF669" s="10"/>
      <c r="FG669" s="10"/>
      <c r="FH669" s="10"/>
      <c r="FI669" s="10"/>
      <c r="FJ669" s="10"/>
      <c r="FK669" s="10"/>
      <c r="FL669" s="10"/>
      <c r="FM669" s="10"/>
      <c r="FN669" s="10"/>
      <c r="FO669" s="10"/>
      <c r="FP669" s="10"/>
      <c r="FQ669" s="10"/>
      <c r="FR669" s="10"/>
      <c r="FS669" s="10"/>
      <c r="FT669" s="10"/>
      <c r="FU669" s="10"/>
      <c r="FV669" s="10"/>
      <c r="FW669" s="10"/>
      <c r="FX669" s="10"/>
      <c r="FY669" s="10"/>
      <c r="FZ669" s="10"/>
      <c r="GA669" s="10"/>
      <c r="GB669" s="10"/>
      <c r="GC669" s="10"/>
      <c r="GD669" s="10"/>
      <c r="GE669" s="10"/>
      <c r="GF669" s="10"/>
      <c r="GG669" s="10"/>
      <c r="GH669" s="10"/>
      <c r="GI669" s="10"/>
      <c r="GJ669" s="10"/>
      <c r="GK669" s="10"/>
    </row>
    <row r="670" customFormat="false" ht="12.75" hidden="false" customHeight="false" outlineLevel="0" collapsed="false">
      <c r="A670" s="7"/>
      <c r="B670" s="7"/>
      <c r="C670" s="8"/>
      <c r="D670" s="8"/>
      <c r="E670" s="8"/>
      <c r="F670" s="8"/>
      <c r="G670" s="9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0"/>
      <c r="BP670" s="10"/>
      <c r="BQ670" s="10"/>
      <c r="BR670" s="10"/>
      <c r="BS670" s="10"/>
      <c r="BT670" s="10"/>
      <c r="BU670" s="10"/>
      <c r="BV670" s="10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  <c r="EM670" s="10"/>
      <c r="EN670" s="10"/>
      <c r="EO670" s="10"/>
      <c r="EP670" s="10"/>
      <c r="EQ670" s="10"/>
      <c r="ER670" s="10"/>
      <c r="ES670" s="10"/>
      <c r="ET670" s="10"/>
      <c r="EU670" s="10"/>
      <c r="EV670" s="10"/>
      <c r="EW670" s="10"/>
      <c r="EX670" s="10"/>
      <c r="EY670" s="10"/>
      <c r="EZ670" s="10"/>
      <c r="FA670" s="10"/>
      <c r="FB670" s="10"/>
      <c r="FC670" s="10"/>
      <c r="FD670" s="10"/>
      <c r="FE670" s="10"/>
      <c r="FF670" s="10"/>
      <c r="FG670" s="10"/>
      <c r="FH670" s="10"/>
      <c r="FI670" s="10"/>
      <c r="FJ670" s="10"/>
      <c r="FK670" s="10"/>
      <c r="FL670" s="10"/>
      <c r="FM670" s="10"/>
      <c r="FN670" s="10"/>
      <c r="FO670" s="10"/>
      <c r="FP670" s="10"/>
      <c r="FQ670" s="10"/>
      <c r="FR670" s="10"/>
      <c r="FS670" s="10"/>
      <c r="FT670" s="10"/>
      <c r="FU670" s="10"/>
      <c r="FV670" s="10"/>
      <c r="FW670" s="10"/>
      <c r="FX670" s="10"/>
      <c r="FY670" s="10"/>
      <c r="FZ670" s="10"/>
      <c r="GA670" s="10"/>
      <c r="GB670" s="10"/>
      <c r="GC670" s="10"/>
      <c r="GD670" s="10"/>
      <c r="GE670" s="10"/>
      <c r="GF670" s="10"/>
      <c r="GG670" s="10"/>
      <c r="GH670" s="10"/>
      <c r="GI670" s="10"/>
      <c r="GJ670" s="10"/>
      <c r="GK670" s="10"/>
    </row>
    <row r="671" customFormat="false" ht="12.75" hidden="false" customHeight="false" outlineLevel="0" collapsed="false">
      <c r="A671" s="7"/>
      <c r="B671" s="7"/>
      <c r="C671" s="8"/>
      <c r="D671" s="8"/>
      <c r="E671" s="8"/>
      <c r="F671" s="8"/>
      <c r="G671" s="9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10"/>
      <c r="BP671" s="10"/>
      <c r="BQ671" s="10"/>
      <c r="BR671" s="10"/>
      <c r="BS671" s="10"/>
      <c r="BT671" s="10"/>
      <c r="BU671" s="10"/>
      <c r="BV671" s="10"/>
      <c r="BW671" s="10"/>
      <c r="BX671" s="10"/>
      <c r="BY671" s="10"/>
      <c r="BZ671" s="10"/>
      <c r="CA671" s="10"/>
      <c r="CB671" s="10"/>
      <c r="CC671" s="10"/>
      <c r="CD671" s="10"/>
      <c r="CE671" s="10"/>
      <c r="CF671" s="10"/>
      <c r="CG671" s="10"/>
      <c r="CH671" s="10"/>
      <c r="CI671" s="10"/>
      <c r="CJ671" s="10"/>
      <c r="CK671" s="10"/>
      <c r="CL671" s="10"/>
      <c r="CM671" s="10"/>
      <c r="CN671" s="10"/>
      <c r="CO671" s="10"/>
      <c r="CP671" s="10"/>
      <c r="CQ671" s="10"/>
      <c r="CR671" s="10"/>
      <c r="CS671" s="10"/>
      <c r="CT671" s="10"/>
      <c r="CU671" s="10"/>
      <c r="CV671" s="10"/>
      <c r="CW671" s="10"/>
      <c r="CX671" s="10"/>
      <c r="CY671" s="10"/>
      <c r="CZ671" s="10"/>
      <c r="DA671" s="10"/>
      <c r="DB671" s="10"/>
      <c r="DC671" s="10"/>
      <c r="DD671" s="10"/>
      <c r="DE671" s="10"/>
      <c r="DF671" s="10"/>
      <c r="DG671" s="10"/>
      <c r="DH671" s="10"/>
      <c r="DI671" s="10"/>
      <c r="DJ671" s="10"/>
      <c r="DK671" s="10"/>
      <c r="DL671" s="10"/>
      <c r="DM671" s="10"/>
      <c r="DN671" s="10"/>
      <c r="DO671" s="10"/>
      <c r="DP671" s="10"/>
      <c r="DQ671" s="10"/>
      <c r="DR671" s="10"/>
      <c r="DS671" s="10"/>
      <c r="DT671" s="10"/>
      <c r="DU671" s="10"/>
      <c r="DV671" s="10"/>
      <c r="DW671" s="10"/>
      <c r="DX671" s="10"/>
      <c r="DY671" s="10"/>
      <c r="DZ671" s="10"/>
      <c r="EA671" s="10"/>
      <c r="EB671" s="10"/>
      <c r="EC671" s="10"/>
      <c r="ED671" s="10"/>
      <c r="EE671" s="10"/>
      <c r="EF671" s="10"/>
      <c r="EG671" s="10"/>
      <c r="EH671" s="10"/>
      <c r="EI671" s="10"/>
      <c r="EJ671" s="10"/>
      <c r="EK671" s="10"/>
      <c r="EL671" s="10"/>
      <c r="EM671" s="10"/>
      <c r="EN671" s="10"/>
      <c r="EO671" s="10"/>
      <c r="EP671" s="10"/>
      <c r="EQ671" s="10"/>
      <c r="ER671" s="10"/>
      <c r="ES671" s="10"/>
      <c r="ET671" s="10"/>
      <c r="EU671" s="10"/>
      <c r="EV671" s="10"/>
      <c r="EW671" s="10"/>
      <c r="EX671" s="10"/>
      <c r="EY671" s="10"/>
      <c r="EZ671" s="10"/>
      <c r="FA671" s="10"/>
      <c r="FB671" s="10"/>
      <c r="FC671" s="10"/>
      <c r="FD671" s="10"/>
      <c r="FE671" s="10"/>
      <c r="FF671" s="10"/>
      <c r="FG671" s="10"/>
      <c r="FH671" s="10"/>
      <c r="FI671" s="10"/>
      <c r="FJ671" s="10"/>
      <c r="FK671" s="10"/>
      <c r="FL671" s="10"/>
      <c r="FM671" s="10"/>
      <c r="FN671" s="10"/>
      <c r="FO671" s="10"/>
      <c r="FP671" s="10"/>
      <c r="FQ671" s="10"/>
      <c r="FR671" s="10"/>
      <c r="FS671" s="10"/>
      <c r="FT671" s="10"/>
      <c r="FU671" s="10"/>
      <c r="FV671" s="10"/>
      <c r="FW671" s="10"/>
      <c r="FX671" s="10"/>
      <c r="FY671" s="10"/>
      <c r="FZ671" s="10"/>
      <c r="GA671" s="10"/>
      <c r="GB671" s="10"/>
      <c r="GC671" s="10"/>
      <c r="GD671" s="10"/>
      <c r="GE671" s="10"/>
      <c r="GF671" s="10"/>
      <c r="GG671" s="10"/>
      <c r="GH671" s="10"/>
      <c r="GI671" s="10"/>
      <c r="GJ671" s="10"/>
      <c r="GK671" s="10"/>
    </row>
    <row r="672" customFormat="false" ht="12.75" hidden="false" customHeight="false" outlineLevel="0" collapsed="false">
      <c r="A672" s="7"/>
      <c r="B672" s="7"/>
      <c r="C672" s="8"/>
      <c r="D672" s="8"/>
      <c r="E672" s="8"/>
      <c r="F672" s="8"/>
      <c r="G672" s="9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/>
      <c r="BP672" s="10"/>
      <c r="BQ672" s="10"/>
      <c r="BR672" s="10"/>
      <c r="BS672" s="10"/>
      <c r="BT672" s="10"/>
      <c r="BU672" s="10"/>
      <c r="BV672" s="10"/>
      <c r="BW672" s="10"/>
      <c r="BX672" s="10"/>
      <c r="BY672" s="10"/>
      <c r="BZ672" s="10"/>
      <c r="CA672" s="10"/>
      <c r="CB672" s="10"/>
      <c r="CC672" s="10"/>
      <c r="CD672" s="10"/>
      <c r="CE672" s="10"/>
      <c r="CF672" s="10"/>
      <c r="CG672" s="10"/>
      <c r="CH672" s="10"/>
      <c r="CI672" s="10"/>
      <c r="CJ672" s="10"/>
      <c r="CK672" s="10"/>
      <c r="CL672" s="10"/>
      <c r="CM672" s="10"/>
      <c r="CN672" s="10"/>
      <c r="CO672" s="10"/>
      <c r="CP672" s="10"/>
      <c r="CQ672" s="10"/>
      <c r="CR672" s="10"/>
      <c r="CS672" s="10"/>
      <c r="CT672" s="10"/>
      <c r="CU672" s="10"/>
      <c r="CV672" s="10"/>
      <c r="CW672" s="10"/>
      <c r="CX672" s="10"/>
      <c r="CY672" s="10"/>
      <c r="CZ672" s="10"/>
      <c r="DA672" s="10"/>
      <c r="DB672" s="10"/>
      <c r="DC672" s="10"/>
      <c r="DD672" s="10"/>
      <c r="DE672" s="10"/>
      <c r="DF672" s="10"/>
      <c r="DG672" s="10"/>
      <c r="DH672" s="10"/>
      <c r="DI672" s="10"/>
      <c r="DJ672" s="10"/>
      <c r="DK672" s="10"/>
      <c r="DL672" s="10"/>
      <c r="DM672" s="10"/>
      <c r="DN672" s="10"/>
      <c r="DO672" s="10"/>
      <c r="DP672" s="10"/>
      <c r="DQ672" s="10"/>
      <c r="DR672" s="10"/>
      <c r="DS672" s="10"/>
      <c r="DT672" s="10"/>
      <c r="DU672" s="10"/>
      <c r="DV672" s="10"/>
      <c r="DW672" s="10"/>
      <c r="DX672" s="10"/>
      <c r="DY672" s="10"/>
      <c r="DZ672" s="10"/>
      <c r="EA672" s="10"/>
      <c r="EB672" s="10"/>
      <c r="EC672" s="10"/>
      <c r="ED672" s="10"/>
      <c r="EE672" s="10"/>
      <c r="EF672" s="10"/>
      <c r="EG672" s="10"/>
      <c r="EH672" s="10"/>
      <c r="EI672" s="10"/>
      <c r="EJ672" s="10"/>
      <c r="EK672" s="10"/>
      <c r="EL672" s="10"/>
      <c r="EM672" s="10"/>
      <c r="EN672" s="10"/>
      <c r="EO672" s="10"/>
      <c r="EP672" s="10"/>
      <c r="EQ672" s="10"/>
      <c r="ER672" s="10"/>
      <c r="ES672" s="10"/>
      <c r="ET672" s="10"/>
      <c r="EU672" s="10"/>
      <c r="EV672" s="10"/>
      <c r="EW672" s="10"/>
      <c r="EX672" s="10"/>
      <c r="EY672" s="10"/>
      <c r="EZ672" s="10"/>
      <c r="FA672" s="10"/>
      <c r="FB672" s="10"/>
      <c r="FC672" s="10"/>
      <c r="FD672" s="10"/>
      <c r="FE672" s="10"/>
      <c r="FF672" s="10"/>
      <c r="FG672" s="10"/>
      <c r="FH672" s="10"/>
      <c r="FI672" s="10"/>
      <c r="FJ672" s="10"/>
      <c r="FK672" s="10"/>
      <c r="FL672" s="10"/>
      <c r="FM672" s="10"/>
      <c r="FN672" s="10"/>
      <c r="FO672" s="10"/>
      <c r="FP672" s="10"/>
      <c r="FQ672" s="10"/>
      <c r="FR672" s="10"/>
      <c r="FS672" s="10"/>
      <c r="FT672" s="10"/>
      <c r="FU672" s="10"/>
      <c r="FV672" s="10"/>
      <c r="FW672" s="10"/>
      <c r="FX672" s="10"/>
      <c r="FY672" s="10"/>
      <c r="FZ672" s="10"/>
      <c r="GA672" s="10"/>
      <c r="GB672" s="10"/>
      <c r="GC672" s="10"/>
      <c r="GD672" s="10"/>
      <c r="GE672" s="10"/>
      <c r="GF672" s="10"/>
      <c r="GG672" s="10"/>
      <c r="GH672" s="10"/>
      <c r="GI672" s="10"/>
      <c r="GJ672" s="10"/>
      <c r="GK672" s="10"/>
    </row>
    <row r="673" customFormat="false" ht="12.75" hidden="false" customHeight="false" outlineLevel="0" collapsed="false">
      <c r="A673" s="7"/>
      <c r="B673" s="7"/>
      <c r="C673" s="8"/>
      <c r="D673" s="8"/>
      <c r="E673" s="8"/>
      <c r="F673" s="8"/>
      <c r="G673" s="9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10"/>
      <c r="BQ673" s="10"/>
      <c r="BR673" s="10"/>
      <c r="BS673" s="10"/>
      <c r="BT673" s="10"/>
      <c r="BU673" s="10"/>
      <c r="BV673" s="10"/>
      <c r="BW673" s="10"/>
      <c r="BX673" s="10"/>
      <c r="BY673" s="10"/>
      <c r="BZ673" s="10"/>
      <c r="CA673" s="10"/>
      <c r="CB673" s="10"/>
      <c r="CC673" s="10"/>
      <c r="CD673" s="10"/>
      <c r="CE673" s="10"/>
      <c r="CF673" s="10"/>
      <c r="CG673" s="10"/>
      <c r="CH673" s="10"/>
      <c r="CI673" s="10"/>
      <c r="CJ673" s="10"/>
      <c r="CK673" s="10"/>
      <c r="CL673" s="10"/>
      <c r="CM673" s="10"/>
      <c r="CN673" s="10"/>
      <c r="CO673" s="10"/>
      <c r="CP673" s="10"/>
      <c r="CQ673" s="10"/>
      <c r="CR673" s="10"/>
      <c r="CS673" s="10"/>
      <c r="CT673" s="10"/>
      <c r="CU673" s="10"/>
      <c r="CV673" s="10"/>
      <c r="CW673" s="10"/>
      <c r="CX673" s="10"/>
      <c r="CY673" s="10"/>
      <c r="CZ673" s="10"/>
      <c r="DA673" s="10"/>
      <c r="DB673" s="10"/>
      <c r="DC673" s="10"/>
      <c r="DD673" s="10"/>
      <c r="DE673" s="10"/>
      <c r="DF673" s="10"/>
      <c r="DG673" s="10"/>
      <c r="DH673" s="10"/>
      <c r="DI673" s="10"/>
      <c r="DJ673" s="10"/>
      <c r="DK673" s="10"/>
      <c r="DL673" s="10"/>
      <c r="DM673" s="10"/>
      <c r="DN673" s="10"/>
      <c r="DO673" s="10"/>
      <c r="DP673" s="10"/>
      <c r="DQ673" s="10"/>
      <c r="DR673" s="10"/>
      <c r="DS673" s="10"/>
      <c r="DT673" s="10"/>
      <c r="DU673" s="10"/>
      <c r="DV673" s="10"/>
      <c r="DW673" s="10"/>
      <c r="DX673" s="10"/>
      <c r="DY673" s="10"/>
      <c r="DZ673" s="10"/>
      <c r="EA673" s="10"/>
      <c r="EB673" s="10"/>
      <c r="EC673" s="10"/>
      <c r="ED673" s="10"/>
      <c r="EE673" s="10"/>
      <c r="EF673" s="10"/>
      <c r="EG673" s="10"/>
      <c r="EH673" s="10"/>
      <c r="EI673" s="10"/>
      <c r="EJ673" s="10"/>
      <c r="EK673" s="10"/>
      <c r="EL673" s="10"/>
      <c r="EM673" s="10"/>
      <c r="EN673" s="10"/>
      <c r="EO673" s="10"/>
      <c r="EP673" s="10"/>
      <c r="EQ673" s="10"/>
      <c r="ER673" s="10"/>
      <c r="ES673" s="10"/>
      <c r="ET673" s="10"/>
      <c r="EU673" s="10"/>
      <c r="EV673" s="10"/>
      <c r="EW673" s="10"/>
      <c r="EX673" s="10"/>
      <c r="EY673" s="10"/>
      <c r="EZ673" s="10"/>
      <c r="FA673" s="10"/>
      <c r="FB673" s="10"/>
      <c r="FC673" s="10"/>
      <c r="FD673" s="10"/>
      <c r="FE673" s="10"/>
      <c r="FF673" s="10"/>
      <c r="FG673" s="10"/>
      <c r="FH673" s="10"/>
      <c r="FI673" s="10"/>
      <c r="FJ673" s="10"/>
      <c r="FK673" s="10"/>
      <c r="FL673" s="10"/>
      <c r="FM673" s="10"/>
      <c r="FN673" s="10"/>
      <c r="FO673" s="10"/>
      <c r="FP673" s="10"/>
      <c r="FQ673" s="10"/>
      <c r="FR673" s="10"/>
      <c r="FS673" s="10"/>
      <c r="FT673" s="10"/>
      <c r="FU673" s="10"/>
      <c r="FV673" s="10"/>
      <c r="FW673" s="10"/>
      <c r="FX673" s="10"/>
      <c r="FY673" s="10"/>
      <c r="FZ673" s="10"/>
      <c r="GA673" s="10"/>
      <c r="GB673" s="10"/>
      <c r="GC673" s="10"/>
      <c r="GD673" s="10"/>
      <c r="GE673" s="10"/>
      <c r="GF673" s="10"/>
      <c r="GG673" s="10"/>
      <c r="GH673" s="10"/>
      <c r="GI673" s="10"/>
      <c r="GJ673" s="10"/>
      <c r="GK673" s="10"/>
    </row>
    <row r="674" customFormat="false" ht="12.75" hidden="false" customHeight="false" outlineLevel="0" collapsed="false">
      <c r="A674" s="7"/>
      <c r="B674" s="7"/>
      <c r="C674" s="8"/>
      <c r="D674" s="8"/>
      <c r="E674" s="8"/>
      <c r="F674" s="8"/>
      <c r="G674" s="9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  <c r="BS674" s="10"/>
      <c r="BT674" s="10"/>
      <c r="BU674" s="10"/>
      <c r="BV674" s="10"/>
      <c r="BW674" s="10"/>
      <c r="BX674" s="10"/>
      <c r="BY674" s="10"/>
      <c r="BZ674" s="10"/>
      <c r="CA674" s="10"/>
      <c r="CB674" s="10"/>
      <c r="CC674" s="10"/>
      <c r="CD674" s="10"/>
      <c r="CE674" s="10"/>
      <c r="CF674" s="10"/>
      <c r="CG674" s="10"/>
      <c r="CH674" s="10"/>
      <c r="CI674" s="10"/>
      <c r="CJ674" s="10"/>
      <c r="CK674" s="10"/>
      <c r="CL674" s="10"/>
      <c r="CM674" s="10"/>
      <c r="CN674" s="10"/>
      <c r="CO674" s="10"/>
      <c r="CP674" s="10"/>
      <c r="CQ674" s="10"/>
      <c r="CR674" s="10"/>
      <c r="CS674" s="10"/>
      <c r="CT674" s="10"/>
      <c r="CU674" s="10"/>
      <c r="CV674" s="10"/>
      <c r="CW674" s="10"/>
      <c r="CX674" s="10"/>
      <c r="CY674" s="10"/>
      <c r="CZ674" s="10"/>
      <c r="DA674" s="10"/>
      <c r="DB674" s="10"/>
      <c r="DC674" s="10"/>
      <c r="DD674" s="10"/>
      <c r="DE674" s="10"/>
      <c r="DF674" s="10"/>
      <c r="DG674" s="10"/>
      <c r="DH674" s="10"/>
      <c r="DI674" s="10"/>
      <c r="DJ674" s="10"/>
      <c r="DK674" s="10"/>
      <c r="DL674" s="10"/>
      <c r="DM674" s="10"/>
      <c r="DN674" s="10"/>
      <c r="DO674" s="10"/>
      <c r="DP674" s="10"/>
      <c r="DQ674" s="10"/>
      <c r="DR674" s="10"/>
      <c r="DS674" s="10"/>
      <c r="DT674" s="10"/>
      <c r="DU674" s="10"/>
      <c r="DV674" s="10"/>
      <c r="DW674" s="10"/>
      <c r="DX674" s="10"/>
      <c r="DY674" s="10"/>
      <c r="DZ674" s="10"/>
      <c r="EA674" s="10"/>
      <c r="EB674" s="10"/>
      <c r="EC674" s="10"/>
      <c r="ED674" s="10"/>
      <c r="EE674" s="10"/>
      <c r="EF674" s="10"/>
      <c r="EG674" s="10"/>
      <c r="EH674" s="10"/>
      <c r="EI674" s="10"/>
      <c r="EJ674" s="10"/>
      <c r="EK674" s="10"/>
      <c r="EL674" s="10"/>
      <c r="EM674" s="10"/>
      <c r="EN674" s="10"/>
      <c r="EO674" s="10"/>
      <c r="EP674" s="10"/>
      <c r="EQ674" s="10"/>
      <c r="ER674" s="10"/>
      <c r="ES674" s="10"/>
      <c r="ET674" s="10"/>
      <c r="EU674" s="10"/>
      <c r="EV674" s="10"/>
      <c r="EW674" s="10"/>
      <c r="EX674" s="10"/>
      <c r="EY674" s="10"/>
      <c r="EZ674" s="10"/>
      <c r="FA674" s="10"/>
      <c r="FB674" s="10"/>
      <c r="FC674" s="10"/>
      <c r="FD674" s="10"/>
      <c r="FE674" s="10"/>
      <c r="FF674" s="10"/>
      <c r="FG674" s="10"/>
      <c r="FH674" s="10"/>
      <c r="FI674" s="10"/>
      <c r="FJ674" s="10"/>
      <c r="FK674" s="10"/>
      <c r="FL674" s="10"/>
      <c r="FM674" s="10"/>
      <c r="FN674" s="10"/>
      <c r="FO674" s="10"/>
      <c r="FP674" s="10"/>
      <c r="FQ674" s="10"/>
      <c r="FR674" s="10"/>
      <c r="FS674" s="10"/>
      <c r="FT674" s="10"/>
      <c r="FU674" s="10"/>
      <c r="FV674" s="10"/>
      <c r="FW674" s="10"/>
      <c r="FX674" s="10"/>
      <c r="FY674" s="10"/>
      <c r="FZ674" s="10"/>
      <c r="GA674" s="10"/>
      <c r="GB674" s="10"/>
      <c r="GC674" s="10"/>
      <c r="GD674" s="10"/>
      <c r="GE674" s="10"/>
      <c r="GF674" s="10"/>
      <c r="GG674" s="10"/>
      <c r="GH674" s="10"/>
      <c r="GI674" s="10"/>
      <c r="GJ674" s="10"/>
      <c r="GK674" s="10"/>
    </row>
    <row r="675" customFormat="false" ht="12.75" hidden="false" customHeight="false" outlineLevel="0" collapsed="false">
      <c r="A675" s="7"/>
      <c r="B675" s="7"/>
      <c r="C675" s="8"/>
      <c r="D675" s="8"/>
      <c r="E675" s="8"/>
      <c r="F675" s="8"/>
      <c r="G675" s="9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10"/>
      <c r="BQ675" s="10"/>
      <c r="BR675" s="10"/>
      <c r="BS675" s="10"/>
      <c r="BT675" s="10"/>
      <c r="BU675" s="10"/>
      <c r="BV675" s="10"/>
      <c r="BW675" s="10"/>
      <c r="BX675" s="10"/>
      <c r="BY675" s="10"/>
      <c r="BZ675" s="10"/>
      <c r="CA675" s="10"/>
      <c r="CB675" s="10"/>
      <c r="CC675" s="10"/>
      <c r="CD675" s="10"/>
      <c r="CE675" s="10"/>
      <c r="CF675" s="10"/>
      <c r="CG675" s="10"/>
      <c r="CH675" s="10"/>
      <c r="CI675" s="10"/>
      <c r="CJ675" s="10"/>
      <c r="CK675" s="10"/>
      <c r="CL675" s="10"/>
      <c r="CM675" s="10"/>
      <c r="CN675" s="10"/>
      <c r="CO675" s="10"/>
      <c r="CP675" s="10"/>
      <c r="CQ675" s="10"/>
      <c r="CR675" s="10"/>
      <c r="CS675" s="10"/>
      <c r="CT675" s="10"/>
      <c r="CU675" s="10"/>
      <c r="CV675" s="10"/>
      <c r="CW675" s="10"/>
      <c r="CX675" s="10"/>
      <c r="CY675" s="10"/>
      <c r="CZ675" s="10"/>
      <c r="DA675" s="10"/>
      <c r="DB675" s="10"/>
      <c r="DC675" s="10"/>
      <c r="DD675" s="10"/>
      <c r="DE675" s="10"/>
      <c r="DF675" s="10"/>
      <c r="DG675" s="10"/>
      <c r="DH675" s="10"/>
      <c r="DI675" s="10"/>
      <c r="DJ675" s="10"/>
      <c r="DK675" s="10"/>
      <c r="DL675" s="10"/>
      <c r="DM675" s="10"/>
      <c r="DN675" s="10"/>
      <c r="DO675" s="10"/>
      <c r="DP675" s="10"/>
      <c r="DQ675" s="10"/>
      <c r="DR675" s="10"/>
      <c r="DS675" s="10"/>
      <c r="DT675" s="10"/>
      <c r="DU675" s="10"/>
      <c r="DV675" s="10"/>
      <c r="DW675" s="10"/>
      <c r="DX675" s="10"/>
      <c r="DY675" s="10"/>
      <c r="DZ675" s="10"/>
      <c r="EA675" s="10"/>
      <c r="EB675" s="10"/>
      <c r="EC675" s="10"/>
      <c r="ED675" s="10"/>
      <c r="EE675" s="10"/>
      <c r="EF675" s="10"/>
      <c r="EG675" s="10"/>
      <c r="EH675" s="10"/>
      <c r="EI675" s="10"/>
      <c r="EJ675" s="10"/>
      <c r="EK675" s="10"/>
      <c r="EL675" s="10"/>
      <c r="EM675" s="10"/>
      <c r="EN675" s="10"/>
      <c r="EO675" s="10"/>
      <c r="EP675" s="10"/>
      <c r="EQ675" s="10"/>
      <c r="ER675" s="10"/>
      <c r="ES675" s="10"/>
      <c r="ET675" s="10"/>
      <c r="EU675" s="10"/>
      <c r="EV675" s="10"/>
      <c r="EW675" s="10"/>
      <c r="EX675" s="10"/>
      <c r="EY675" s="10"/>
      <c r="EZ675" s="10"/>
      <c r="FA675" s="10"/>
      <c r="FB675" s="10"/>
      <c r="FC675" s="10"/>
      <c r="FD675" s="10"/>
      <c r="FE675" s="10"/>
      <c r="FF675" s="10"/>
      <c r="FG675" s="10"/>
      <c r="FH675" s="10"/>
      <c r="FI675" s="10"/>
      <c r="FJ675" s="10"/>
      <c r="FK675" s="10"/>
      <c r="FL675" s="10"/>
      <c r="FM675" s="10"/>
      <c r="FN675" s="10"/>
      <c r="FO675" s="10"/>
      <c r="FP675" s="10"/>
      <c r="FQ675" s="10"/>
      <c r="FR675" s="10"/>
      <c r="FS675" s="10"/>
      <c r="FT675" s="10"/>
      <c r="FU675" s="10"/>
      <c r="FV675" s="10"/>
      <c r="FW675" s="10"/>
      <c r="FX675" s="10"/>
      <c r="FY675" s="10"/>
      <c r="FZ675" s="10"/>
      <c r="GA675" s="10"/>
      <c r="GB675" s="10"/>
      <c r="GC675" s="10"/>
      <c r="GD675" s="10"/>
      <c r="GE675" s="10"/>
      <c r="GF675" s="10"/>
      <c r="GG675" s="10"/>
      <c r="GH675" s="10"/>
      <c r="GI675" s="10"/>
      <c r="GJ675" s="10"/>
      <c r="GK675" s="10"/>
    </row>
    <row r="676" customFormat="false" ht="12.75" hidden="false" customHeight="false" outlineLevel="0" collapsed="false">
      <c r="A676" s="7"/>
      <c r="B676" s="7"/>
      <c r="C676" s="8"/>
      <c r="D676" s="8"/>
      <c r="E676" s="8"/>
      <c r="F676" s="8"/>
      <c r="G676" s="9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0"/>
      <c r="BP676" s="10"/>
      <c r="BQ676" s="10"/>
      <c r="BR676" s="10"/>
      <c r="BS676" s="10"/>
      <c r="BT676" s="10"/>
      <c r="BU676" s="10"/>
      <c r="BV676" s="10"/>
      <c r="BW676" s="10"/>
      <c r="BX676" s="10"/>
      <c r="BY676" s="10"/>
      <c r="BZ676" s="10"/>
      <c r="CA676" s="10"/>
      <c r="CB676" s="10"/>
      <c r="CC676" s="10"/>
      <c r="CD676" s="10"/>
      <c r="CE676" s="10"/>
      <c r="CF676" s="10"/>
      <c r="CG676" s="10"/>
      <c r="CH676" s="10"/>
      <c r="CI676" s="10"/>
      <c r="CJ676" s="10"/>
      <c r="CK676" s="10"/>
      <c r="CL676" s="10"/>
      <c r="CM676" s="10"/>
      <c r="CN676" s="10"/>
      <c r="CO676" s="10"/>
      <c r="CP676" s="10"/>
      <c r="CQ676" s="10"/>
      <c r="CR676" s="10"/>
      <c r="CS676" s="10"/>
      <c r="CT676" s="10"/>
      <c r="CU676" s="10"/>
      <c r="CV676" s="10"/>
      <c r="CW676" s="10"/>
      <c r="CX676" s="10"/>
      <c r="CY676" s="10"/>
      <c r="CZ676" s="10"/>
      <c r="DA676" s="10"/>
      <c r="DB676" s="10"/>
      <c r="DC676" s="10"/>
      <c r="DD676" s="10"/>
      <c r="DE676" s="10"/>
      <c r="DF676" s="10"/>
      <c r="DG676" s="10"/>
      <c r="DH676" s="10"/>
      <c r="DI676" s="10"/>
      <c r="DJ676" s="10"/>
      <c r="DK676" s="10"/>
      <c r="DL676" s="10"/>
      <c r="DM676" s="10"/>
      <c r="DN676" s="10"/>
      <c r="DO676" s="10"/>
      <c r="DP676" s="10"/>
      <c r="DQ676" s="10"/>
      <c r="DR676" s="10"/>
      <c r="DS676" s="10"/>
      <c r="DT676" s="10"/>
      <c r="DU676" s="10"/>
      <c r="DV676" s="10"/>
      <c r="DW676" s="10"/>
      <c r="DX676" s="10"/>
      <c r="DY676" s="10"/>
      <c r="DZ676" s="10"/>
      <c r="EA676" s="10"/>
      <c r="EB676" s="10"/>
      <c r="EC676" s="10"/>
      <c r="ED676" s="10"/>
      <c r="EE676" s="10"/>
      <c r="EF676" s="10"/>
      <c r="EG676" s="10"/>
      <c r="EH676" s="10"/>
      <c r="EI676" s="10"/>
      <c r="EJ676" s="10"/>
      <c r="EK676" s="10"/>
      <c r="EL676" s="10"/>
      <c r="EM676" s="10"/>
      <c r="EN676" s="10"/>
      <c r="EO676" s="10"/>
      <c r="EP676" s="10"/>
      <c r="EQ676" s="10"/>
      <c r="ER676" s="10"/>
      <c r="ES676" s="10"/>
      <c r="ET676" s="10"/>
      <c r="EU676" s="10"/>
      <c r="EV676" s="10"/>
      <c r="EW676" s="10"/>
      <c r="EX676" s="10"/>
      <c r="EY676" s="10"/>
      <c r="EZ676" s="10"/>
      <c r="FA676" s="10"/>
      <c r="FB676" s="10"/>
      <c r="FC676" s="10"/>
      <c r="FD676" s="10"/>
      <c r="FE676" s="10"/>
      <c r="FF676" s="10"/>
      <c r="FG676" s="10"/>
      <c r="FH676" s="10"/>
      <c r="FI676" s="10"/>
      <c r="FJ676" s="10"/>
      <c r="FK676" s="10"/>
      <c r="FL676" s="10"/>
      <c r="FM676" s="10"/>
      <c r="FN676" s="10"/>
      <c r="FO676" s="10"/>
      <c r="FP676" s="10"/>
      <c r="FQ676" s="10"/>
      <c r="FR676" s="10"/>
      <c r="FS676" s="10"/>
      <c r="FT676" s="10"/>
      <c r="FU676" s="10"/>
      <c r="FV676" s="10"/>
      <c r="FW676" s="10"/>
      <c r="FX676" s="10"/>
      <c r="FY676" s="10"/>
      <c r="FZ676" s="10"/>
      <c r="GA676" s="10"/>
      <c r="GB676" s="10"/>
      <c r="GC676" s="10"/>
      <c r="GD676" s="10"/>
      <c r="GE676" s="10"/>
      <c r="GF676" s="10"/>
      <c r="GG676" s="10"/>
      <c r="GH676" s="10"/>
      <c r="GI676" s="10"/>
      <c r="GJ676" s="10"/>
      <c r="GK676" s="10"/>
    </row>
    <row r="677" customFormat="false" ht="12.75" hidden="false" customHeight="false" outlineLevel="0" collapsed="false">
      <c r="A677" s="7"/>
      <c r="B677" s="7"/>
      <c r="C677" s="8"/>
      <c r="D677" s="8"/>
      <c r="E677" s="8"/>
      <c r="F677" s="8"/>
      <c r="G677" s="9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  <c r="BS677" s="10"/>
      <c r="BT677" s="10"/>
      <c r="BU677" s="10"/>
      <c r="BV677" s="10"/>
      <c r="BW677" s="10"/>
      <c r="BX677" s="10"/>
      <c r="BY677" s="10"/>
      <c r="BZ677" s="10"/>
      <c r="CA677" s="10"/>
      <c r="CB677" s="10"/>
      <c r="CC677" s="10"/>
      <c r="CD677" s="10"/>
      <c r="CE677" s="10"/>
      <c r="CF677" s="10"/>
      <c r="CG677" s="10"/>
      <c r="CH677" s="10"/>
      <c r="CI677" s="10"/>
      <c r="CJ677" s="10"/>
      <c r="CK677" s="10"/>
      <c r="CL677" s="10"/>
      <c r="CM677" s="10"/>
      <c r="CN677" s="10"/>
      <c r="CO677" s="10"/>
      <c r="CP677" s="10"/>
      <c r="CQ677" s="10"/>
      <c r="CR677" s="10"/>
      <c r="CS677" s="10"/>
      <c r="CT677" s="10"/>
      <c r="CU677" s="10"/>
      <c r="CV677" s="10"/>
      <c r="CW677" s="10"/>
      <c r="CX677" s="10"/>
      <c r="CY677" s="10"/>
      <c r="CZ677" s="10"/>
      <c r="DA677" s="10"/>
      <c r="DB677" s="10"/>
      <c r="DC677" s="10"/>
      <c r="DD677" s="10"/>
      <c r="DE677" s="10"/>
      <c r="DF677" s="10"/>
      <c r="DG677" s="10"/>
      <c r="DH677" s="10"/>
      <c r="DI677" s="10"/>
      <c r="DJ677" s="10"/>
      <c r="DK677" s="10"/>
      <c r="DL677" s="10"/>
      <c r="DM677" s="10"/>
      <c r="DN677" s="10"/>
      <c r="DO677" s="10"/>
      <c r="DP677" s="10"/>
      <c r="DQ677" s="10"/>
      <c r="DR677" s="10"/>
      <c r="DS677" s="10"/>
      <c r="DT677" s="10"/>
      <c r="DU677" s="10"/>
      <c r="DV677" s="10"/>
      <c r="DW677" s="10"/>
      <c r="DX677" s="10"/>
      <c r="DY677" s="10"/>
      <c r="DZ677" s="10"/>
      <c r="EA677" s="10"/>
      <c r="EB677" s="10"/>
      <c r="EC677" s="10"/>
      <c r="ED677" s="10"/>
      <c r="EE677" s="10"/>
      <c r="EF677" s="10"/>
      <c r="EG677" s="10"/>
      <c r="EH677" s="10"/>
      <c r="EI677" s="10"/>
      <c r="EJ677" s="10"/>
      <c r="EK677" s="10"/>
      <c r="EL677" s="10"/>
      <c r="EM677" s="10"/>
      <c r="EN677" s="10"/>
      <c r="EO677" s="10"/>
      <c r="EP677" s="10"/>
      <c r="EQ677" s="10"/>
      <c r="ER677" s="10"/>
      <c r="ES677" s="10"/>
      <c r="ET677" s="10"/>
      <c r="EU677" s="10"/>
      <c r="EV677" s="10"/>
      <c r="EW677" s="10"/>
      <c r="EX677" s="10"/>
      <c r="EY677" s="10"/>
      <c r="EZ677" s="10"/>
      <c r="FA677" s="10"/>
      <c r="FB677" s="10"/>
      <c r="FC677" s="10"/>
      <c r="FD677" s="10"/>
      <c r="FE677" s="10"/>
      <c r="FF677" s="10"/>
      <c r="FG677" s="10"/>
      <c r="FH677" s="10"/>
      <c r="FI677" s="10"/>
      <c r="FJ677" s="10"/>
      <c r="FK677" s="10"/>
      <c r="FL677" s="10"/>
      <c r="FM677" s="10"/>
      <c r="FN677" s="10"/>
      <c r="FO677" s="10"/>
      <c r="FP677" s="10"/>
      <c r="FQ677" s="10"/>
      <c r="FR677" s="10"/>
      <c r="FS677" s="10"/>
      <c r="FT677" s="10"/>
      <c r="FU677" s="10"/>
      <c r="FV677" s="10"/>
      <c r="FW677" s="10"/>
      <c r="FX677" s="10"/>
      <c r="FY677" s="10"/>
      <c r="FZ677" s="10"/>
      <c r="GA677" s="10"/>
      <c r="GB677" s="10"/>
      <c r="GC677" s="10"/>
      <c r="GD677" s="10"/>
      <c r="GE677" s="10"/>
      <c r="GF677" s="10"/>
      <c r="GG677" s="10"/>
      <c r="GH677" s="10"/>
      <c r="GI677" s="10"/>
      <c r="GJ677" s="10"/>
      <c r="GK677" s="10"/>
    </row>
    <row r="678" customFormat="false" ht="12.75" hidden="false" customHeight="false" outlineLevel="0" collapsed="false">
      <c r="A678" s="7"/>
      <c r="B678" s="7"/>
      <c r="C678" s="8"/>
      <c r="D678" s="8"/>
      <c r="E678" s="8"/>
      <c r="F678" s="8"/>
      <c r="G678" s="9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  <c r="BS678" s="10"/>
      <c r="BT678" s="10"/>
      <c r="BU678" s="10"/>
      <c r="BV678" s="10"/>
      <c r="BW678" s="10"/>
      <c r="BX678" s="10"/>
      <c r="BY678" s="10"/>
      <c r="BZ678" s="10"/>
      <c r="CA678" s="10"/>
      <c r="CB678" s="10"/>
      <c r="CC678" s="10"/>
      <c r="CD678" s="10"/>
      <c r="CE678" s="10"/>
      <c r="CF678" s="10"/>
      <c r="CG678" s="10"/>
      <c r="CH678" s="10"/>
      <c r="CI678" s="10"/>
      <c r="CJ678" s="10"/>
      <c r="CK678" s="10"/>
      <c r="CL678" s="10"/>
      <c r="CM678" s="10"/>
      <c r="CN678" s="10"/>
      <c r="CO678" s="10"/>
      <c r="CP678" s="10"/>
      <c r="CQ678" s="10"/>
      <c r="CR678" s="10"/>
      <c r="CS678" s="10"/>
      <c r="CT678" s="10"/>
      <c r="CU678" s="10"/>
      <c r="CV678" s="10"/>
      <c r="CW678" s="10"/>
      <c r="CX678" s="10"/>
      <c r="CY678" s="10"/>
      <c r="CZ678" s="10"/>
      <c r="DA678" s="10"/>
      <c r="DB678" s="10"/>
      <c r="DC678" s="10"/>
      <c r="DD678" s="10"/>
      <c r="DE678" s="10"/>
      <c r="DF678" s="10"/>
      <c r="DG678" s="10"/>
      <c r="DH678" s="10"/>
      <c r="DI678" s="10"/>
      <c r="DJ678" s="10"/>
      <c r="DK678" s="10"/>
      <c r="DL678" s="10"/>
      <c r="DM678" s="10"/>
      <c r="DN678" s="10"/>
      <c r="DO678" s="10"/>
      <c r="DP678" s="10"/>
      <c r="DQ678" s="10"/>
      <c r="DR678" s="10"/>
      <c r="DS678" s="10"/>
      <c r="DT678" s="10"/>
      <c r="DU678" s="10"/>
      <c r="DV678" s="10"/>
      <c r="DW678" s="10"/>
      <c r="DX678" s="10"/>
      <c r="DY678" s="10"/>
      <c r="DZ678" s="10"/>
      <c r="EA678" s="10"/>
      <c r="EB678" s="10"/>
      <c r="EC678" s="10"/>
      <c r="ED678" s="10"/>
      <c r="EE678" s="10"/>
      <c r="EF678" s="10"/>
      <c r="EG678" s="10"/>
      <c r="EH678" s="10"/>
      <c r="EI678" s="10"/>
      <c r="EJ678" s="10"/>
      <c r="EK678" s="10"/>
      <c r="EL678" s="10"/>
      <c r="EM678" s="10"/>
      <c r="EN678" s="10"/>
      <c r="EO678" s="10"/>
      <c r="EP678" s="10"/>
      <c r="EQ678" s="10"/>
      <c r="ER678" s="10"/>
      <c r="ES678" s="10"/>
      <c r="ET678" s="10"/>
      <c r="EU678" s="10"/>
      <c r="EV678" s="10"/>
      <c r="EW678" s="10"/>
      <c r="EX678" s="10"/>
      <c r="EY678" s="10"/>
      <c r="EZ678" s="10"/>
      <c r="FA678" s="10"/>
      <c r="FB678" s="10"/>
      <c r="FC678" s="10"/>
      <c r="FD678" s="10"/>
      <c r="FE678" s="10"/>
      <c r="FF678" s="10"/>
      <c r="FG678" s="10"/>
      <c r="FH678" s="10"/>
      <c r="FI678" s="10"/>
      <c r="FJ678" s="10"/>
      <c r="FK678" s="10"/>
      <c r="FL678" s="10"/>
      <c r="FM678" s="10"/>
      <c r="FN678" s="10"/>
      <c r="FO678" s="10"/>
      <c r="FP678" s="10"/>
      <c r="FQ678" s="10"/>
      <c r="FR678" s="10"/>
      <c r="FS678" s="10"/>
      <c r="FT678" s="10"/>
      <c r="FU678" s="10"/>
      <c r="FV678" s="10"/>
      <c r="FW678" s="10"/>
      <c r="FX678" s="10"/>
      <c r="FY678" s="10"/>
      <c r="FZ678" s="10"/>
      <c r="GA678" s="10"/>
      <c r="GB678" s="10"/>
      <c r="GC678" s="10"/>
      <c r="GD678" s="10"/>
      <c r="GE678" s="10"/>
      <c r="GF678" s="10"/>
      <c r="GG678" s="10"/>
      <c r="GH678" s="10"/>
      <c r="GI678" s="10"/>
      <c r="GJ678" s="10"/>
      <c r="GK678" s="10"/>
    </row>
    <row r="679" customFormat="false" ht="12.75" hidden="false" customHeight="false" outlineLevel="0" collapsed="false">
      <c r="A679" s="7"/>
      <c r="B679" s="7"/>
      <c r="C679" s="8"/>
      <c r="D679" s="8"/>
      <c r="E679" s="8"/>
      <c r="F679" s="8"/>
      <c r="G679" s="9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10"/>
      <c r="BQ679" s="10"/>
      <c r="BR679" s="10"/>
      <c r="BS679" s="10"/>
      <c r="BT679" s="10"/>
      <c r="BU679" s="10"/>
      <c r="BV679" s="10"/>
      <c r="BW679" s="10"/>
      <c r="BX679" s="10"/>
      <c r="BY679" s="10"/>
      <c r="BZ679" s="10"/>
      <c r="CA679" s="10"/>
      <c r="CB679" s="10"/>
      <c r="CC679" s="10"/>
      <c r="CD679" s="10"/>
      <c r="CE679" s="10"/>
      <c r="CF679" s="10"/>
      <c r="CG679" s="10"/>
      <c r="CH679" s="10"/>
      <c r="CI679" s="10"/>
      <c r="CJ679" s="10"/>
      <c r="CK679" s="10"/>
      <c r="CL679" s="10"/>
      <c r="CM679" s="10"/>
      <c r="CN679" s="10"/>
      <c r="CO679" s="10"/>
      <c r="CP679" s="10"/>
      <c r="CQ679" s="10"/>
      <c r="CR679" s="10"/>
      <c r="CS679" s="10"/>
      <c r="CT679" s="10"/>
      <c r="CU679" s="10"/>
      <c r="CV679" s="10"/>
      <c r="CW679" s="10"/>
      <c r="CX679" s="10"/>
      <c r="CY679" s="10"/>
      <c r="CZ679" s="10"/>
      <c r="DA679" s="10"/>
      <c r="DB679" s="10"/>
      <c r="DC679" s="10"/>
      <c r="DD679" s="10"/>
      <c r="DE679" s="10"/>
      <c r="DF679" s="10"/>
      <c r="DG679" s="10"/>
      <c r="DH679" s="10"/>
      <c r="DI679" s="10"/>
      <c r="DJ679" s="10"/>
      <c r="DK679" s="10"/>
      <c r="DL679" s="10"/>
      <c r="DM679" s="10"/>
      <c r="DN679" s="10"/>
      <c r="DO679" s="10"/>
      <c r="DP679" s="10"/>
      <c r="DQ679" s="10"/>
      <c r="DR679" s="10"/>
      <c r="DS679" s="10"/>
      <c r="DT679" s="10"/>
      <c r="DU679" s="10"/>
      <c r="DV679" s="10"/>
      <c r="DW679" s="10"/>
      <c r="DX679" s="10"/>
      <c r="DY679" s="10"/>
      <c r="DZ679" s="10"/>
      <c r="EA679" s="10"/>
      <c r="EB679" s="10"/>
      <c r="EC679" s="10"/>
      <c r="ED679" s="10"/>
      <c r="EE679" s="10"/>
      <c r="EF679" s="10"/>
      <c r="EG679" s="10"/>
      <c r="EH679" s="10"/>
      <c r="EI679" s="10"/>
      <c r="EJ679" s="10"/>
      <c r="EK679" s="10"/>
      <c r="EL679" s="10"/>
      <c r="EM679" s="10"/>
      <c r="EN679" s="10"/>
      <c r="EO679" s="10"/>
      <c r="EP679" s="10"/>
      <c r="EQ679" s="10"/>
      <c r="ER679" s="10"/>
      <c r="ES679" s="10"/>
      <c r="ET679" s="10"/>
      <c r="EU679" s="10"/>
      <c r="EV679" s="10"/>
      <c r="EW679" s="10"/>
      <c r="EX679" s="10"/>
      <c r="EY679" s="10"/>
      <c r="EZ679" s="10"/>
      <c r="FA679" s="10"/>
      <c r="FB679" s="10"/>
      <c r="FC679" s="10"/>
      <c r="FD679" s="10"/>
      <c r="FE679" s="10"/>
      <c r="FF679" s="10"/>
      <c r="FG679" s="10"/>
      <c r="FH679" s="10"/>
      <c r="FI679" s="10"/>
      <c r="FJ679" s="10"/>
      <c r="FK679" s="10"/>
      <c r="FL679" s="10"/>
      <c r="FM679" s="10"/>
      <c r="FN679" s="10"/>
      <c r="FO679" s="10"/>
      <c r="FP679" s="10"/>
      <c r="FQ679" s="10"/>
      <c r="FR679" s="10"/>
      <c r="FS679" s="10"/>
      <c r="FT679" s="10"/>
      <c r="FU679" s="10"/>
      <c r="FV679" s="10"/>
      <c r="FW679" s="10"/>
      <c r="FX679" s="10"/>
      <c r="FY679" s="10"/>
      <c r="FZ679" s="10"/>
      <c r="GA679" s="10"/>
      <c r="GB679" s="10"/>
      <c r="GC679" s="10"/>
      <c r="GD679" s="10"/>
      <c r="GE679" s="10"/>
      <c r="GF679" s="10"/>
      <c r="GG679" s="10"/>
      <c r="GH679" s="10"/>
      <c r="GI679" s="10"/>
      <c r="GJ679" s="10"/>
      <c r="GK679" s="10"/>
    </row>
    <row r="680" customFormat="false" ht="12.75" hidden="false" customHeight="false" outlineLevel="0" collapsed="false">
      <c r="A680" s="7"/>
      <c r="B680" s="7"/>
      <c r="C680" s="8"/>
      <c r="D680" s="8"/>
      <c r="E680" s="8"/>
      <c r="F680" s="8"/>
      <c r="G680" s="9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0"/>
      <c r="BP680" s="10"/>
      <c r="BQ680" s="10"/>
      <c r="BR680" s="10"/>
      <c r="BS680" s="10"/>
      <c r="BT680" s="10"/>
      <c r="BU680" s="10"/>
      <c r="BV680" s="10"/>
      <c r="BW680" s="10"/>
      <c r="BX680" s="10"/>
      <c r="BY680" s="10"/>
      <c r="BZ680" s="10"/>
      <c r="CA680" s="10"/>
      <c r="CB680" s="10"/>
      <c r="CC680" s="10"/>
      <c r="CD680" s="10"/>
      <c r="CE680" s="10"/>
      <c r="CF680" s="10"/>
      <c r="CG680" s="10"/>
      <c r="CH680" s="10"/>
      <c r="CI680" s="10"/>
      <c r="CJ680" s="10"/>
      <c r="CK680" s="10"/>
      <c r="CL680" s="10"/>
      <c r="CM680" s="10"/>
      <c r="CN680" s="10"/>
      <c r="CO680" s="10"/>
      <c r="CP680" s="10"/>
      <c r="CQ680" s="10"/>
      <c r="CR680" s="10"/>
      <c r="CS680" s="10"/>
      <c r="CT680" s="10"/>
      <c r="CU680" s="10"/>
      <c r="CV680" s="10"/>
      <c r="CW680" s="10"/>
      <c r="CX680" s="10"/>
      <c r="CY680" s="10"/>
      <c r="CZ680" s="10"/>
      <c r="DA680" s="10"/>
      <c r="DB680" s="10"/>
      <c r="DC680" s="10"/>
      <c r="DD680" s="10"/>
      <c r="DE680" s="10"/>
      <c r="DF680" s="10"/>
      <c r="DG680" s="10"/>
      <c r="DH680" s="10"/>
      <c r="DI680" s="10"/>
      <c r="DJ680" s="10"/>
      <c r="DK680" s="10"/>
      <c r="DL680" s="10"/>
      <c r="DM680" s="10"/>
      <c r="DN680" s="10"/>
      <c r="DO680" s="10"/>
      <c r="DP680" s="10"/>
      <c r="DQ680" s="10"/>
      <c r="DR680" s="10"/>
      <c r="DS680" s="10"/>
      <c r="DT680" s="10"/>
      <c r="DU680" s="10"/>
      <c r="DV680" s="10"/>
      <c r="DW680" s="10"/>
      <c r="DX680" s="10"/>
      <c r="DY680" s="10"/>
      <c r="DZ680" s="10"/>
      <c r="EA680" s="10"/>
      <c r="EB680" s="10"/>
      <c r="EC680" s="10"/>
      <c r="ED680" s="10"/>
      <c r="EE680" s="10"/>
      <c r="EF680" s="10"/>
      <c r="EG680" s="10"/>
      <c r="EH680" s="10"/>
      <c r="EI680" s="10"/>
      <c r="EJ680" s="10"/>
      <c r="EK680" s="10"/>
      <c r="EL680" s="10"/>
      <c r="EM680" s="10"/>
      <c r="EN680" s="10"/>
      <c r="EO680" s="10"/>
      <c r="EP680" s="10"/>
      <c r="EQ680" s="10"/>
      <c r="ER680" s="10"/>
      <c r="ES680" s="10"/>
      <c r="ET680" s="10"/>
      <c r="EU680" s="10"/>
      <c r="EV680" s="10"/>
      <c r="EW680" s="10"/>
      <c r="EX680" s="10"/>
      <c r="EY680" s="10"/>
      <c r="EZ680" s="10"/>
      <c r="FA680" s="10"/>
      <c r="FB680" s="10"/>
      <c r="FC680" s="10"/>
      <c r="FD680" s="10"/>
      <c r="FE680" s="10"/>
      <c r="FF680" s="10"/>
      <c r="FG680" s="10"/>
      <c r="FH680" s="10"/>
      <c r="FI680" s="10"/>
      <c r="FJ680" s="10"/>
      <c r="FK680" s="10"/>
      <c r="FL680" s="10"/>
      <c r="FM680" s="10"/>
      <c r="FN680" s="10"/>
      <c r="FO680" s="10"/>
      <c r="FP680" s="10"/>
      <c r="FQ680" s="10"/>
      <c r="FR680" s="10"/>
      <c r="FS680" s="10"/>
      <c r="FT680" s="10"/>
      <c r="FU680" s="10"/>
      <c r="FV680" s="10"/>
      <c r="FW680" s="10"/>
      <c r="FX680" s="10"/>
      <c r="FY680" s="10"/>
      <c r="FZ680" s="10"/>
      <c r="GA680" s="10"/>
      <c r="GB680" s="10"/>
      <c r="GC680" s="10"/>
      <c r="GD680" s="10"/>
      <c r="GE680" s="10"/>
      <c r="GF680" s="10"/>
      <c r="GG680" s="10"/>
      <c r="GH680" s="10"/>
      <c r="GI680" s="10"/>
      <c r="GJ680" s="10"/>
      <c r="GK680" s="10"/>
    </row>
    <row r="681" customFormat="false" ht="12.75" hidden="false" customHeight="false" outlineLevel="0" collapsed="false">
      <c r="A681" s="7"/>
      <c r="B681" s="7"/>
      <c r="C681" s="8"/>
      <c r="D681" s="8"/>
      <c r="E681" s="8"/>
      <c r="F681" s="8"/>
      <c r="G681" s="9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  <c r="BR681" s="10"/>
      <c r="BS681" s="10"/>
      <c r="BT681" s="10"/>
      <c r="BU681" s="10"/>
      <c r="BV681" s="10"/>
      <c r="BW681" s="10"/>
      <c r="BX681" s="10"/>
      <c r="BY681" s="10"/>
      <c r="BZ681" s="10"/>
      <c r="CA681" s="10"/>
      <c r="CB681" s="10"/>
      <c r="CC681" s="10"/>
      <c r="CD681" s="10"/>
      <c r="CE681" s="10"/>
      <c r="CF681" s="10"/>
      <c r="CG681" s="10"/>
      <c r="CH681" s="10"/>
      <c r="CI681" s="10"/>
      <c r="CJ681" s="10"/>
      <c r="CK681" s="10"/>
      <c r="CL681" s="10"/>
      <c r="CM681" s="10"/>
      <c r="CN681" s="10"/>
      <c r="CO681" s="10"/>
      <c r="CP681" s="10"/>
      <c r="CQ681" s="10"/>
      <c r="CR681" s="10"/>
      <c r="CS681" s="10"/>
      <c r="CT681" s="10"/>
      <c r="CU681" s="10"/>
      <c r="CV681" s="10"/>
      <c r="CW681" s="10"/>
      <c r="CX681" s="10"/>
      <c r="CY681" s="10"/>
      <c r="CZ681" s="10"/>
      <c r="DA681" s="10"/>
      <c r="DB681" s="10"/>
      <c r="DC681" s="10"/>
      <c r="DD681" s="10"/>
      <c r="DE681" s="10"/>
      <c r="DF681" s="10"/>
      <c r="DG681" s="10"/>
      <c r="DH681" s="10"/>
      <c r="DI681" s="10"/>
      <c r="DJ681" s="10"/>
      <c r="DK681" s="10"/>
      <c r="DL681" s="10"/>
      <c r="DM681" s="10"/>
      <c r="DN681" s="10"/>
      <c r="DO681" s="10"/>
      <c r="DP681" s="10"/>
      <c r="DQ681" s="10"/>
      <c r="DR681" s="10"/>
      <c r="DS681" s="10"/>
      <c r="DT681" s="10"/>
      <c r="DU681" s="10"/>
      <c r="DV681" s="10"/>
      <c r="DW681" s="10"/>
      <c r="DX681" s="10"/>
      <c r="DY681" s="10"/>
      <c r="DZ681" s="10"/>
      <c r="EA681" s="10"/>
      <c r="EB681" s="10"/>
      <c r="EC681" s="10"/>
      <c r="ED681" s="10"/>
      <c r="EE681" s="10"/>
      <c r="EF681" s="10"/>
      <c r="EG681" s="10"/>
      <c r="EH681" s="10"/>
      <c r="EI681" s="10"/>
      <c r="EJ681" s="10"/>
      <c r="EK681" s="10"/>
      <c r="EL681" s="10"/>
      <c r="EM681" s="10"/>
      <c r="EN681" s="10"/>
      <c r="EO681" s="10"/>
      <c r="EP681" s="10"/>
      <c r="EQ681" s="10"/>
      <c r="ER681" s="10"/>
      <c r="ES681" s="10"/>
      <c r="ET681" s="10"/>
      <c r="EU681" s="10"/>
      <c r="EV681" s="10"/>
      <c r="EW681" s="10"/>
      <c r="EX681" s="10"/>
      <c r="EY681" s="10"/>
      <c r="EZ681" s="10"/>
      <c r="FA681" s="10"/>
      <c r="FB681" s="10"/>
      <c r="FC681" s="10"/>
      <c r="FD681" s="10"/>
      <c r="FE681" s="10"/>
      <c r="FF681" s="10"/>
      <c r="FG681" s="10"/>
      <c r="FH681" s="10"/>
      <c r="FI681" s="10"/>
      <c r="FJ681" s="10"/>
      <c r="FK681" s="10"/>
      <c r="FL681" s="10"/>
      <c r="FM681" s="10"/>
      <c r="FN681" s="10"/>
      <c r="FO681" s="10"/>
      <c r="FP681" s="10"/>
      <c r="FQ681" s="10"/>
      <c r="FR681" s="10"/>
      <c r="FS681" s="10"/>
      <c r="FT681" s="10"/>
      <c r="FU681" s="10"/>
      <c r="FV681" s="10"/>
      <c r="FW681" s="10"/>
      <c r="FX681" s="10"/>
      <c r="FY681" s="10"/>
      <c r="FZ681" s="10"/>
      <c r="GA681" s="10"/>
      <c r="GB681" s="10"/>
      <c r="GC681" s="10"/>
      <c r="GD681" s="10"/>
      <c r="GE681" s="10"/>
      <c r="GF681" s="10"/>
      <c r="GG681" s="10"/>
      <c r="GH681" s="10"/>
      <c r="GI681" s="10"/>
      <c r="GJ681" s="10"/>
      <c r="GK681" s="10"/>
    </row>
    <row r="682" customFormat="false" ht="12.75" hidden="false" customHeight="false" outlineLevel="0" collapsed="false">
      <c r="A682" s="7"/>
      <c r="B682" s="7"/>
      <c r="C682" s="8"/>
      <c r="D682" s="8"/>
      <c r="E682" s="8"/>
      <c r="F682" s="8"/>
      <c r="G682" s="9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10"/>
      <c r="BQ682" s="10"/>
      <c r="BR682" s="10"/>
      <c r="BS682" s="10"/>
      <c r="BT682" s="10"/>
      <c r="BU682" s="10"/>
      <c r="BV682" s="10"/>
      <c r="BW682" s="10"/>
      <c r="BX682" s="10"/>
      <c r="BY682" s="10"/>
      <c r="BZ682" s="10"/>
      <c r="CA682" s="10"/>
      <c r="CB682" s="10"/>
      <c r="CC682" s="10"/>
      <c r="CD682" s="10"/>
      <c r="CE682" s="10"/>
      <c r="CF682" s="10"/>
      <c r="CG682" s="10"/>
      <c r="CH682" s="10"/>
      <c r="CI682" s="10"/>
      <c r="CJ682" s="10"/>
      <c r="CK682" s="10"/>
      <c r="CL682" s="10"/>
      <c r="CM682" s="10"/>
      <c r="CN682" s="10"/>
      <c r="CO682" s="10"/>
      <c r="CP682" s="10"/>
      <c r="CQ682" s="10"/>
      <c r="CR682" s="10"/>
      <c r="CS682" s="10"/>
      <c r="CT682" s="10"/>
      <c r="CU682" s="10"/>
      <c r="CV682" s="10"/>
      <c r="CW682" s="10"/>
      <c r="CX682" s="10"/>
      <c r="CY682" s="10"/>
      <c r="CZ682" s="10"/>
      <c r="DA682" s="10"/>
      <c r="DB682" s="10"/>
      <c r="DC682" s="10"/>
      <c r="DD682" s="10"/>
      <c r="DE682" s="10"/>
      <c r="DF682" s="10"/>
      <c r="DG682" s="10"/>
      <c r="DH682" s="10"/>
      <c r="DI682" s="10"/>
      <c r="DJ682" s="10"/>
      <c r="DK682" s="10"/>
      <c r="DL682" s="10"/>
      <c r="DM682" s="10"/>
      <c r="DN682" s="10"/>
      <c r="DO682" s="10"/>
      <c r="DP682" s="10"/>
      <c r="DQ682" s="10"/>
      <c r="DR682" s="10"/>
      <c r="DS682" s="10"/>
      <c r="DT682" s="10"/>
      <c r="DU682" s="10"/>
      <c r="DV682" s="10"/>
      <c r="DW682" s="10"/>
      <c r="DX682" s="10"/>
      <c r="DY682" s="10"/>
      <c r="DZ682" s="10"/>
      <c r="EA682" s="10"/>
      <c r="EB682" s="10"/>
      <c r="EC682" s="10"/>
      <c r="ED682" s="10"/>
      <c r="EE682" s="10"/>
      <c r="EF682" s="10"/>
      <c r="EG682" s="10"/>
      <c r="EH682" s="10"/>
      <c r="EI682" s="10"/>
      <c r="EJ682" s="10"/>
      <c r="EK682" s="10"/>
      <c r="EL682" s="10"/>
      <c r="EM682" s="10"/>
      <c r="EN682" s="10"/>
      <c r="EO682" s="10"/>
      <c r="EP682" s="10"/>
      <c r="EQ682" s="10"/>
      <c r="ER682" s="10"/>
      <c r="ES682" s="10"/>
      <c r="ET682" s="10"/>
      <c r="EU682" s="10"/>
      <c r="EV682" s="10"/>
      <c r="EW682" s="10"/>
      <c r="EX682" s="10"/>
      <c r="EY682" s="10"/>
      <c r="EZ682" s="10"/>
      <c r="FA682" s="10"/>
      <c r="FB682" s="10"/>
      <c r="FC682" s="10"/>
      <c r="FD682" s="10"/>
      <c r="FE682" s="10"/>
      <c r="FF682" s="10"/>
      <c r="FG682" s="10"/>
      <c r="FH682" s="10"/>
      <c r="FI682" s="10"/>
      <c r="FJ682" s="10"/>
      <c r="FK682" s="10"/>
      <c r="FL682" s="10"/>
      <c r="FM682" s="10"/>
      <c r="FN682" s="10"/>
      <c r="FO682" s="10"/>
      <c r="FP682" s="10"/>
      <c r="FQ682" s="10"/>
      <c r="FR682" s="10"/>
      <c r="FS682" s="10"/>
      <c r="FT682" s="10"/>
      <c r="FU682" s="10"/>
      <c r="FV682" s="10"/>
      <c r="FW682" s="10"/>
      <c r="FX682" s="10"/>
      <c r="FY682" s="10"/>
      <c r="FZ682" s="10"/>
      <c r="GA682" s="10"/>
      <c r="GB682" s="10"/>
      <c r="GC682" s="10"/>
      <c r="GD682" s="10"/>
      <c r="GE682" s="10"/>
      <c r="GF682" s="10"/>
      <c r="GG682" s="10"/>
      <c r="GH682" s="10"/>
      <c r="GI682" s="10"/>
      <c r="GJ682" s="10"/>
      <c r="GK682" s="10"/>
    </row>
    <row r="683" customFormat="false" ht="12.75" hidden="false" customHeight="false" outlineLevel="0" collapsed="false">
      <c r="A683" s="7"/>
      <c r="B683" s="7"/>
      <c r="C683" s="8"/>
      <c r="D683" s="8"/>
      <c r="E683" s="8"/>
      <c r="F683" s="8"/>
      <c r="G683" s="9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0"/>
      <c r="BP683" s="10"/>
      <c r="BQ683" s="10"/>
      <c r="BR683" s="10"/>
      <c r="BS683" s="10"/>
      <c r="BT683" s="10"/>
      <c r="BU683" s="10"/>
      <c r="BV683" s="10"/>
      <c r="BW683" s="10"/>
      <c r="BX683" s="10"/>
      <c r="BY683" s="10"/>
      <c r="BZ683" s="10"/>
      <c r="CA683" s="10"/>
      <c r="CB683" s="10"/>
      <c r="CC683" s="10"/>
      <c r="CD683" s="10"/>
      <c r="CE683" s="10"/>
      <c r="CF683" s="10"/>
      <c r="CG683" s="10"/>
      <c r="CH683" s="10"/>
      <c r="CI683" s="10"/>
      <c r="CJ683" s="10"/>
      <c r="CK683" s="10"/>
      <c r="CL683" s="10"/>
      <c r="CM683" s="10"/>
      <c r="CN683" s="10"/>
      <c r="CO683" s="10"/>
      <c r="CP683" s="10"/>
      <c r="CQ683" s="10"/>
      <c r="CR683" s="10"/>
      <c r="CS683" s="10"/>
      <c r="CT683" s="10"/>
      <c r="CU683" s="10"/>
      <c r="CV683" s="10"/>
      <c r="CW683" s="10"/>
      <c r="CX683" s="10"/>
      <c r="CY683" s="10"/>
      <c r="CZ683" s="10"/>
      <c r="DA683" s="10"/>
      <c r="DB683" s="10"/>
      <c r="DC683" s="10"/>
      <c r="DD683" s="10"/>
      <c r="DE683" s="10"/>
      <c r="DF683" s="10"/>
      <c r="DG683" s="10"/>
      <c r="DH683" s="10"/>
      <c r="DI683" s="10"/>
      <c r="DJ683" s="10"/>
      <c r="DK683" s="10"/>
      <c r="DL683" s="10"/>
      <c r="DM683" s="10"/>
      <c r="DN683" s="10"/>
      <c r="DO683" s="10"/>
      <c r="DP683" s="10"/>
      <c r="DQ683" s="10"/>
      <c r="DR683" s="10"/>
      <c r="DS683" s="10"/>
      <c r="DT683" s="10"/>
      <c r="DU683" s="10"/>
      <c r="DV683" s="10"/>
      <c r="DW683" s="10"/>
      <c r="DX683" s="10"/>
      <c r="DY683" s="10"/>
      <c r="DZ683" s="10"/>
      <c r="EA683" s="10"/>
      <c r="EB683" s="10"/>
      <c r="EC683" s="10"/>
      <c r="ED683" s="10"/>
      <c r="EE683" s="10"/>
      <c r="EF683" s="10"/>
      <c r="EG683" s="10"/>
      <c r="EH683" s="10"/>
      <c r="EI683" s="10"/>
      <c r="EJ683" s="10"/>
      <c r="EK683" s="10"/>
      <c r="EL683" s="10"/>
      <c r="EM683" s="10"/>
      <c r="EN683" s="10"/>
      <c r="EO683" s="10"/>
      <c r="EP683" s="10"/>
      <c r="EQ683" s="10"/>
      <c r="ER683" s="10"/>
      <c r="ES683" s="10"/>
      <c r="ET683" s="10"/>
      <c r="EU683" s="10"/>
      <c r="EV683" s="10"/>
      <c r="EW683" s="10"/>
      <c r="EX683" s="10"/>
      <c r="EY683" s="10"/>
      <c r="EZ683" s="10"/>
      <c r="FA683" s="10"/>
      <c r="FB683" s="10"/>
      <c r="FC683" s="10"/>
      <c r="FD683" s="10"/>
      <c r="FE683" s="10"/>
      <c r="FF683" s="10"/>
      <c r="FG683" s="10"/>
      <c r="FH683" s="10"/>
      <c r="FI683" s="10"/>
      <c r="FJ683" s="10"/>
      <c r="FK683" s="10"/>
      <c r="FL683" s="10"/>
      <c r="FM683" s="10"/>
      <c r="FN683" s="10"/>
      <c r="FO683" s="10"/>
      <c r="FP683" s="10"/>
      <c r="FQ683" s="10"/>
      <c r="FR683" s="10"/>
      <c r="FS683" s="10"/>
      <c r="FT683" s="10"/>
      <c r="FU683" s="10"/>
      <c r="FV683" s="10"/>
      <c r="FW683" s="10"/>
      <c r="FX683" s="10"/>
      <c r="FY683" s="10"/>
      <c r="FZ683" s="10"/>
      <c r="GA683" s="10"/>
      <c r="GB683" s="10"/>
      <c r="GC683" s="10"/>
      <c r="GD683" s="10"/>
      <c r="GE683" s="10"/>
      <c r="GF683" s="10"/>
      <c r="GG683" s="10"/>
      <c r="GH683" s="10"/>
      <c r="GI683" s="10"/>
      <c r="GJ683" s="10"/>
      <c r="GK683" s="10"/>
    </row>
    <row r="684" customFormat="false" ht="12.75" hidden="false" customHeight="false" outlineLevel="0" collapsed="false">
      <c r="A684" s="7"/>
      <c r="B684" s="7"/>
      <c r="C684" s="8"/>
      <c r="D684" s="8"/>
      <c r="E684" s="8"/>
      <c r="F684" s="8"/>
      <c r="G684" s="9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10"/>
      <c r="BQ684" s="10"/>
      <c r="BR684" s="10"/>
      <c r="BS684" s="10"/>
      <c r="BT684" s="10"/>
      <c r="BU684" s="10"/>
      <c r="BV684" s="10"/>
      <c r="BW684" s="10"/>
      <c r="BX684" s="10"/>
      <c r="BY684" s="10"/>
      <c r="BZ684" s="10"/>
      <c r="CA684" s="10"/>
      <c r="CB684" s="10"/>
      <c r="CC684" s="10"/>
      <c r="CD684" s="10"/>
      <c r="CE684" s="10"/>
      <c r="CF684" s="10"/>
      <c r="CG684" s="10"/>
      <c r="CH684" s="10"/>
      <c r="CI684" s="10"/>
      <c r="CJ684" s="10"/>
      <c r="CK684" s="10"/>
      <c r="CL684" s="10"/>
      <c r="CM684" s="10"/>
      <c r="CN684" s="10"/>
      <c r="CO684" s="10"/>
      <c r="CP684" s="10"/>
      <c r="CQ684" s="10"/>
      <c r="CR684" s="10"/>
      <c r="CS684" s="10"/>
      <c r="CT684" s="10"/>
      <c r="CU684" s="10"/>
      <c r="CV684" s="10"/>
      <c r="CW684" s="10"/>
      <c r="CX684" s="10"/>
      <c r="CY684" s="10"/>
      <c r="CZ684" s="10"/>
      <c r="DA684" s="10"/>
      <c r="DB684" s="10"/>
      <c r="DC684" s="10"/>
      <c r="DD684" s="10"/>
      <c r="DE684" s="10"/>
      <c r="DF684" s="10"/>
      <c r="DG684" s="10"/>
      <c r="DH684" s="10"/>
      <c r="DI684" s="10"/>
      <c r="DJ684" s="10"/>
      <c r="DK684" s="10"/>
      <c r="DL684" s="10"/>
      <c r="DM684" s="10"/>
      <c r="DN684" s="10"/>
      <c r="DO684" s="10"/>
      <c r="DP684" s="10"/>
      <c r="DQ684" s="10"/>
      <c r="DR684" s="10"/>
      <c r="DS684" s="10"/>
      <c r="DT684" s="10"/>
      <c r="DU684" s="10"/>
      <c r="DV684" s="10"/>
      <c r="DW684" s="10"/>
      <c r="DX684" s="10"/>
      <c r="DY684" s="10"/>
      <c r="DZ684" s="10"/>
      <c r="EA684" s="10"/>
      <c r="EB684" s="10"/>
      <c r="EC684" s="10"/>
      <c r="ED684" s="10"/>
      <c r="EE684" s="10"/>
      <c r="EF684" s="10"/>
      <c r="EG684" s="10"/>
      <c r="EH684" s="10"/>
      <c r="EI684" s="10"/>
      <c r="EJ684" s="10"/>
      <c r="EK684" s="10"/>
      <c r="EL684" s="10"/>
      <c r="EM684" s="10"/>
      <c r="EN684" s="10"/>
      <c r="EO684" s="10"/>
      <c r="EP684" s="10"/>
      <c r="EQ684" s="10"/>
      <c r="ER684" s="10"/>
      <c r="ES684" s="10"/>
      <c r="ET684" s="10"/>
      <c r="EU684" s="10"/>
      <c r="EV684" s="10"/>
      <c r="EW684" s="10"/>
      <c r="EX684" s="10"/>
      <c r="EY684" s="10"/>
      <c r="EZ684" s="10"/>
      <c r="FA684" s="10"/>
      <c r="FB684" s="10"/>
      <c r="FC684" s="10"/>
      <c r="FD684" s="10"/>
      <c r="FE684" s="10"/>
      <c r="FF684" s="10"/>
      <c r="FG684" s="10"/>
      <c r="FH684" s="10"/>
      <c r="FI684" s="10"/>
      <c r="FJ684" s="10"/>
      <c r="FK684" s="10"/>
      <c r="FL684" s="10"/>
      <c r="FM684" s="10"/>
      <c r="FN684" s="10"/>
      <c r="FO684" s="10"/>
      <c r="FP684" s="10"/>
      <c r="FQ684" s="10"/>
      <c r="FR684" s="10"/>
      <c r="FS684" s="10"/>
      <c r="FT684" s="10"/>
      <c r="FU684" s="10"/>
      <c r="FV684" s="10"/>
      <c r="FW684" s="10"/>
      <c r="FX684" s="10"/>
      <c r="FY684" s="10"/>
      <c r="FZ684" s="10"/>
      <c r="GA684" s="10"/>
      <c r="GB684" s="10"/>
      <c r="GC684" s="10"/>
      <c r="GD684" s="10"/>
      <c r="GE684" s="10"/>
      <c r="GF684" s="10"/>
      <c r="GG684" s="10"/>
      <c r="GH684" s="10"/>
      <c r="GI684" s="10"/>
      <c r="GJ684" s="10"/>
      <c r="GK684" s="10"/>
    </row>
    <row r="685" customFormat="false" ht="12.75" hidden="false" customHeight="false" outlineLevel="0" collapsed="false">
      <c r="A685" s="7"/>
      <c r="B685" s="7"/>
      <c r="C685" s="8"/>
      <c r="D685" s="8"/>
      <c r="E685" s="8"/>
      <c r="F685" s="8"/>
      <c r="G685" s="9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  <c r="BS685" s="10"/>
      <c r="BT685" s="10"/>
      <c r="BU685" s="10"/>
      <c r="BV685" s="10"/>
      <c r="BW685" s="10"/>
      <c r="BX685" s="10"/>
      <c r="BY685" s="10"/>
      <c r="BZ685" s="10"/>
      <c r="CA685" s="10"/>
      <c r="CB685" s="10"/>
      <c r="CC685" s="10"/>
      <c r="CD685" s="10"/>
      <c r="CE685" s="10"/>
      <c r="CF685" s="10"/>
      <c r="CG685" s="10"/>
      <c r="CH685" s="10"/>
      <c r="CI685" s="10"/>
      <c r="CJ685" s="10"/>
      <c r="CK685" s="10"/>
      <c r="CL685" s="10"/>
      <c r="CM685" s="10"/>
      <c r="CN685" s="10"/>
      <c r="CO685" s="10"/>
      <c r="CP685" s="10"/>
      <c r="CQ685" s="10"/>
      <c r="CR685" s="10"/>
      <c r="CS685" s="10"/>
      <c r="CT685" s="10"/>
      <c r="CU685" s="10"/>
      <c r="CV685" s="10"/>
      <c r="CW685" s="10"/>
      <c r="CX685" s="10"/>
      <c r="CY685" s="10"/>
      <c r="CZ685" s="10"/>
      <c r="DA685" s="10"/>
      <c r="DB685" s="10"/>
      <c r="DC685" s="10"/>
      <c r="DD685" s="10"/>
      <c r="DE685" s="10"/>
      <c r="DF685" s="10"/>
      <c r="DG685" s="10"/>
      <c r="DH685" s="10"/>
      <c r="DI685" s="10"/>
      <c r="DJ685" s="10"/>
      <c r="DK685" s="10"/>
      <c r="DL685" s="10"/>
      <c r="DM685" s="10"/>
      <c r="DN685" s="10"/>
      <c r="DO685" s="10"/>
      <c r="DP685" s="10"/>
      <c r="DQ685" s="10"/>
      <c r="DR685" s="10"/>
      <c r="DS685" s="10"/>
      <c r="DT685" s="10"/>
      <c r="DU685" s="10"/>
      <c r="DV685" s="10"/>
      <c r="DW685" s="10"/>
      <c r="DX685" s="10"/>
      <c r="DY685" s="10"/>
      <c r="DZ685" s="10"/>
      <c r="EA685" s="10"/>
      <c r="EB685" s="10"/>
      <c r="EC685" s="10"/>
      <c r="ED685" s="10"/>
      <c r="EE685" s="10"/>
      <c r="EF685" s="10"/>
      <c r="EG685" s="10"/>
      <c r="EH685" s="10"/>
      <c r="EI685" s="10"/>
      <c r="EJ685" s="10"/>
      <c r="EK685" s="10"/>
      <c r="EL685" s="10"/>
      <c r="EM685" s="10"/>
      <c r="EN685" s="10"/>
      <c r="EO685" s="10"/>
      <c r="EP685" s="10"/>
      <c r="EQ685" s="10"/>
      <c r="ER685" s="10"/>
      <c r="ES685" s="10"/>
      <c r="ET685" s="10"/>
      <c r="EU685" s="10"/>
      <c r="EV685" s="10"/>
      <c r="EW685" s="10"/>
      <c r="EX685" s="10"/>
      <c r="EY685" s="10"/>
      <c r="EZ685" s="10"/>
      <c r="FA685" s="10"/>
      <c r="FB685" s="10"/>
      <c r="FC685" s="10"/>
      <c r="FD685" s="10"/>
      <c r="FE685" s="10"/>
      <c r="FF685" s="10"/>
      <c r="FG685" s="10"/>
      <c r="FH685" s="10"/>
      <c r="FI685" s="10"/>
      <c r="FJ685" s="10"/>
      <c r="FK685" s="10"/>
      <c r="FL685" s="10"/>
      <c r="FM685" s="10"/>
      <c r="FN685" s="10"/>
      <c r="FO685" s="10"/>
      <c r="FP685" s="10"/>
      <c r="FQ685" s="10"/>
      <c r="FR685" s="10"/>
      <c r="FS685" s="10"/>
      <c r="FT685" s="10"/>
      <c r="FU685" s="10"/>
      <c r="FV685" s="10"/>
      <c r="FW685" s="10"/>
      <c r="FX685" s="10"/>
      <c r="FY685" s="10"/>
      <c r="FZ685" s="10"/>
      <c r="GA685" s="10"/>
      <c r="GB685" s="10"/>
      <c r="GC685" s="10"/>
      <c r="GD685" s="10"/>
      <c r="GE685" s="10"/>
      <c r="GF685" s="10"/>
      <c r="GG685" s="10"/>
      <c r="GH685" s="10"/>
      <c r="GI685" s="10"/>
      <c r="GJ685" s="10"/>
      <c r="GK685" s="10"/>
    </row>
    <row r="686" customFormat="false" ht="12.75" hidden="false" customHeight="false" outlineLevel="0" collapsed="false">
      <c r="A686" s="7"/>
      <c r="B686" s="7"/>
      <c r="C686" s="8"/>
      <c r="D686" s="8"/>
      <c r="E686" s="8"/>
      <c r="F686" s="8"/>
      <c r="G686" s="9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/>
      <c r="BT686" s="10"/>
      <c r="BU686" s="10"/>
      <c r="BV686" s="10"/>
      <c r="BW686" s="10"/>
      <c r="BX686" s="10"/>
      <c r="BY686" s="10"/>
      <c r="BZ686" s="10"/>
      <c r="CA686" s="10"/>
      <c r="CB686" s="10"/>
      <c r="CC686" s="10"/>
      <c r="CD686" s="10"/>
      <c r="CE686" s="10"/>
      <c r="CF686" s="10"/>
      <c r="CG686" s="10"/>
      <c r="CH686" s="10"/>
      <c r="CI686" s="10"/>
      <c r="CJ686" s="10"/>
      <c r="CK686" s="10"/>
      <c r="CL686" s="10"/>
      <c r="CM686" s="10"/>
      <c r="CN686" s="10"/>
      <c r="CO686" s="10"/>
      <c r="CP686" s="10"/>
      <c r="CQ686" s="10"/>
      <c r="CR686" s="10"/>
      <c r="CS686" s="10"/>
      <c r="CT686" s="10"/>
      <c r="CU686" s="10"/>
      <c r="CV686" s="10"/>
      <c r="CW686" s="10"/>
      <c r="CX686" s="10"/>
      <c r="CY686" s="10"/>
      <c r="CZ686" s="10"/>
      <c r="DA686" s="10"/>
      <c r="DB686" s="10"/>
      <c r="DC686" s="10"/>
      <c r="DD686" s="10"/>
      <c r="DE686" s="10"/>
      <c r="DF686" s="10"/>
      <c r="DG686" s="10"/>
      <c r="DH686" s="10"/>
      <c r="DI686" s="10"/>
      <c r="DJ686" s="10"/>
      <c r="DK686" s="10"/>
      <c r="DL686" s="10"/>
      <c r="DM686" s="10"/>
      <c r="DN686" s="10"/>
      <c r="DO686" s="10"/>
      <c r="DP686" s="10"/>
      <c r="DQ686" s="10"/>
      <c r="DR686" s="10"/>
      <c r="DS686" s="10"/>
      <c r="DT686" s="10"/>
      <c r="DU686" s="10"/>
      <c r="DV686" s="10"/>
      <c r="DW686" s="10"/>
      <c r="DX686" s="10"/>
      <c r="DY686" s="10"/>
      <c r="DZ686" s="10"/>
      <c r="EA686" s="10"/>
      <c r="EB686" s="10"/>
      <c r="EC686" s="10"/>
      <c r="ED686" s="10"/>
      <c r="EE686" s="10"/>
      <c r="EF686" s="10"/>
      <c r="EG686" s="10"/>
      <c r="EH686" s="10"/>
      <c r="EI686" s="10"/>
      <c r="EJ686" s="10"/>
      <c r="EK686" s="10"/>
      <c r="EL686" s="10"/>
      <c r="EM686" s="10"/>
      <c r="EN686" s="10"/>
      <c r="EO686" s="10"/>
      <c r="EP686" s="10"/>
      <c r="EQ686" s="10"/>
      <c r="ER686" s="10"/>
      <c r="ES686" s="10"/>
      <c r="ET686" s="10"/>
      <c r="EU686" s="10"/>
      <c r="EV686" s="10"/>
      <c r="EW686" s="10"/>
      <c r="EX686" s="10"/>
      <c r="EY686" s="10"/>
      <c r="EZ686" s="10"/>
      <c r="FA686" s="10"/>
      <c r="FB686" s="10"/>
      <c r="FC686" s="10"/>
      <c r="FD686" s="10"/>
      <c r="FE686" s="10"/>
      <c r="FF686" s="10"/>
      <c r="FG686" s="10"/>
      <c r="FH686" s="10"/>
      <c r="FI686" s="10"/>
      <c r="FJ686" s="10"/>
      <c r="FK686" s="10"/>
      <c r="FL686" s="10"/>
      <c r="FM686" s="10"/>
      <c r="FN686" s="10"/>
      <c r="FO686" s="10"/>
      <c r="FP686" s="10"/>
      <c r="FQ686" s="10"/>
      <c r="FR686" s="10"/>
      <c r="FS686" s="10"/>
      <c r="FT686" s="10"/>
      <c r="FU686" s="10"/>
      <c r="FV686" s="10"/>
      <c r="FW686" s="10"/>
      <c r="FX686" s="10"/>
      <c r="FY686" s="10"/>
      <c r="FZ686" s="10"/>
      <c r="GA686" s="10"/>
      <c r="GB686" s="10"/>
      <c r="GC686" s="10"/>
      <c r="GD686" s="10"/>
      <c r="GE686" s="10"/>
      <c r="GF686" s="10"/>
      <c r="GG686" s="10"/>
      <c r="GH686" s="10"/>
      <c r="GI686" s="10"/>
      <c r="GJ686" s="10"/>
      <c r="GK686" s="10"/>
    </row>
    <row r="687" customFormat="false" ht="12.75" hidden="false" customHeight="false" outlineLevel="0" collapsed="false">
      <c r="A687" s="7"/>
      <c r="B687" s="7"/>
      <c r="C687" s="8"/>
      <c r="D687" s="8"/>
      <c r="E687" s="8"/>
      <c r="F687" s="8"/>
      <c r="G687" s="9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10"/>
      <c r="BQ687" s="10"/>
      <c r="BR687" s="10"/>
      <c r="BS687" s="10"/>
      <c r="BT687" s="10"/>
      <c r="BU687" s="10"/>
      <c r="BV687" s="10"/>
      <c r="BW687" s="10"/>
      <c r="BX687" s="10"/>
      <c r="BY687" s="10"/>
      <c r="BZ687" s="10"/>
      <c r="CA687" s="10"/>
      <c r="CB687" s="10"/>
      <c r="CC687" s="10"/>
      <c r="CD687" s="10"/>
      <c r="CE687" s="10"/>
      <c r="CF687" s="10"/>
      <c r="CG687" s="10"/>
      <c r="CH687" s="10"/>
      <c r="CI687" s="10"/>
      <c r="CJ687" s="10"/>
      <c r="CK687" s="10"/>
      <c r="CL687" s="10"/>
      <c r="CM687" s="10"/>
      <c r="CN687" s="10"/>
      <c r="CO687" s="10"/>
      <c r="CP687" s="10"/>
      <c r="CQ687" s="10"/>
      <c r="CR687" s="10"/>
      <c r="CS687" s="10"/>
      <c r="CT687" s="10"/>
      <c r="CU687" s="10"/>
      <c r="CV687" s="10"/>
      <c r="CW687" s="10"/>
      <c r="CX687" s="10"/>
      <c r="CY687" s="10"/>
      <c r="CZ687" s="10"/>
      <c r="DA687" s="10"/>
      <c r="DB687" s="10"/>
      <c r="DC687" s="10"/>
      <c r="DD687" s="10"/>
      <c r="DE687" s="10"/>
      <c r="DF687" s="10"/>
      <c r="DG687" s="10"/>
      <c r="DH687" s="10"/>
      <c r="DI687" s="10"/>
      <c r="DJ687" s="10"/>
      <c r="DK687" s="10"/>
      <c r="DL687" s="10"/>
      <c r="DM687" s="10"/>
      <c r="DN687" s="10"/>
      <c r="DO687" s="10"/>
      <c r="DP687" s="10"/>
      <c r="DQ687" s="10"/>
      <c r="DR687" s="10"/>
      <c r="DS687" s="10"/>
      <c r="DT687" s="10"/>
      <c r="DU687" s="10"/>
      <c r="DV687" s="10"/>
      <c r="DW687" s="10"/>
      <c r="DX687" s="10"/>
      <c r="DY687" s="10"/>
      <c r="DZ687" s="10"/>
      <c r="EA687" s="10"/>
      <c r="EB687" s="10"/>
      <c r="EC687" s="10"/>
      <c r="ED687" s="10"/>
      <c r="EE687" s="10"/>
      <c r="EF687" s="10"/>
      <c r="EG687" s="10"/>
      <c r="EH687" s="10"/>
      <c r="EI687" s="10"/>
      <c r="EJ687" s="10"/>
      <c r="EK687" s="10"/>
      <c r="EL687" s="10"/>
      <c r="EM687" s="10"/>
      <c r="EN687" s="10"/>
      <c r="EO687" s="10"/>
      <c r="EP687" s="10"/>
      <c r="EQ687" s="10"/>
      <c r="ER687" s="10"/>
      <c r="ES687" s="10"/>
      <c r="ET687" s="10"/>
      <c r="EU687" s="10"/>
      <c r="EV687" s="10"/>
      <c r="EW687" s="10"/>
      <c r="EX687" s="10"/>
      <c r="EY687" s="10"/>
      <c r="EZ687" s="10"/>
      <c r="FA687" s="10"/>
      <c r="FB687" s="10"/>
      <c r="FC687" s="10"/>
      <c r="FD687" s="10"/>
      <c r="FE687" s="10"/>
      <c r="FF687" s="10"/>
      <c r="FG687" s="10"/>
      <c r="FH687" s="10"/>
      <c r="FI687" s="10"/>
      <c r="FJ687" s="10"/>
      <c r="FK687" s="10"/>
      <c r="FL687" s="10"/>
      <c r="FM687" s="10"/>
      <c r="FN687" s="10"/>
      <c r="FO687" s="10"/>
      <c r="FP687" s="10"/>
      <c r="FQ687" s="10"/>
      <c r="FR687" s="10"/>
      <c r="FS687" s="10"/>
      <c r="FT687" s="10"/>
      <c r="FU687" s="10"/>
      <c r="FV687" s="10"/>
      <c r="FW687" s="10"/>
      <c r="FX687" s="10"/>
      <c r="FY687" s="10"/>
      <c r="FZ687" s="10"/>
      <c r="GA687" s="10"/>
      <c r="GB687" s="10"/>
      <c r="GC687" s="10"/>
      <c r="GD687" s="10"/>
      <c r="GE687" s="10"/>
      <c r="GF687" s="10"/>
      <c r="GG687" s="10"/>
      <c r="GH687" s="10"/>
      <c r="GI687" s="10"/>
      <c r="GJ687" s="10"/>
      <c r="GK687" s="10"/>
    </row>
    <row r="688" customFormat="false" ht="12.75" hidden="false" customHeight="false" outlineLevel="0" collapsed="false">
      <c r="A688" s="7"/>
      <c r="B688" s="7"/>
      <c r="C688" s="8"/>
      <c r="D688" s="8"/>
      <c r="E688" s="8"/>
      <c r="F688" s="8"/>
      <c r="G688" s="9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  <c r="BS688" s="10"/>
      <c r="BT688" s="10"/>
      <c r="BU688" s="10"/>
      <c r="BV688" s="10"/>
      <c r="BW688" s="10"/>
      <c r="BX688" s="10"/>
      <c r="BY688" s="10"/>
      <c r="BZ688" s="10"/>
      <c r="CA688" s="10"/>
      <c r="CB688" s="10"/>
      <c r="CC688" s="10"/>
      <c r="CD688" s="10"/>
      <c r="CE688" s="10"/>
      <c r="CF688" s="10"/>
      <c r="CG688" s="10"/>
      <c r="CH688" s="10"/>
      <c r="CI688" s="10"/>
      <c r="CJ688" s="10"/>
      <c r="CK688" s="10"/>
      <c r="CL688" s="10"/>
      <c r="CM688" s="10"/>
      <c r="CN688" s="10"/>
      <c r="CO688" s="10"/>
      <c r="CP688" s="10"/>
      <c r="CQ688" s="10"/>
      <c r="CR688" s="10"/>
      <c r="CS688" s="10"/>
      <c r="CT688" s="10"/>
      <c r="CU688" s="10"/>
      <c r="CV688" s="10"/>
      <c r="CW688" s="10"/>
      <c r="CX688" s="10"/>
      <c r="CY688" s="10"/>
      <c r="CZ688" s="10"/>
      <c r="DA688" s="10"/>
      <c r="DB688" s="10"/>
      <c r="DC688" s="10"/>
      <c r="DD688" s="10"/>
      <c r="DE688" s="10"/>
      <c r="DF688" s="10"/>
      <c r="DG688" s="10"/>
      <c r="DH688" s="10"/>
      <c r="DI688" s="10"/>
      <c r="DJ688" s="10"/>
      <c r="DK688" s="10"/>
      <c r="DL688" s="10"/>
      <c r="DM688" s="10"/>
      <c r="DN688" s="10"/>
      <c r="DO688" s="10"/>
      <c r="DP688" s="10"/>
      <c r="DQ688" s="10"/>
      <c r="DR688" s="10"/>
      <c r="DS688" s="10"/>
      <c r="DT688" s="10"/>
      <c r="DU688" s="10"/>
      <c r="DV688" s="10"/>
      <c r="DW688" s="10"/>
      <c r="DX688" s="10"/>
      <c r="DY688" s="10"/>
      <c r="DZ688" s="10"/>
      <c r="EA688" s="10"/>
      <c r="EB688" s="10"/>
      <c r="EC688" s="10"/>
      <c r="ED688" s="10"/>
      <c r="EE688" s="10"/>
      <c r="EF688" s="10"/>
      <c r="EG688" s="10"/>
      <c r="EH688" s="10"/>
      <c r="EI688" s="10"/>
      <c r="EJ688" s="10"/>
      <c r="EK688" s="10"/>
      <c r="EL688" s="10"/>
      <c r="EM688" s="10"/>
      <c r="EN688" s="10"/>
      <c r="EO688" s="10"/>
      <c r="EP688" s="10"/>
      <c r="EQ688" s="10"/>
      <c r="ER688" s="10"/>
      <c r="ES688" s="10"/>
      <c r="ET688" s="10"/>
      <c r="EU688" s="10"/>
      <c r="EV688" s="10"/>
      <c r="EW688" s="10"/>
      <c r="EX688" s="10"/>
      <c r="EY688" s="10"/>
      <c r="EZ688" s="10"/>
      <c r="FA688" s="10"/>
      <c r="FB688" s="10"/>
      <c r="FC688" s="10"/>
      <c r="FD688" s="10"/>
      <c r="FE688" s="10"/>
      <c r="FF688" s="10"/>
      <c r="FG688" s="10"/>
      <c r="FH688" s="10"/>
      <c r="FI688" s="10"/>
      <c r="FJ688" s="10"/>
      <c r="FK688" s="10"/>
      <c r="FL688" s="10"/>
      <c r="FM688" s="10"/>
      <c r="FN688" s="10"/>
      <c r="FO688" s="10"/>
      <c r="FP688" s="10"/>
      <c r="FQ688" s="10"/>
      <c r="FR688" s="10"/>
      <c r="FS688" s="10"/>
      <c r="FT688" s="10"/>
      <c r="FU688" s="10"/>
      <c r="FV688" s="10"/>
      <c r="FW688" s="10"/>
      <c r="FX688" s="10"/>
      <c r="FY688" s="10"/>
      <c r="FZ688" s="10"/>
      <c r="GA688" s="10"/>
      <c r="GB688" s="10"/>
      <c r="GC688" s="10"/>
      <c r="GD688" s="10"/>
      <c r="GE688" s="10"/>
      <c r="GF688" s="10"/>
      <c r="GG688" s="10"/>
      <c r="GH688" s="10"/>
      <c r="GI688" s="10"/>
      <c r="GJ688" s="10"/>
      <c r="GK688" s="10"/>
    </row>
    <row r="689" customFormat="false" ht="12.75" hidden="false" customHeight="false" outlineLevel="0" collapsed="false">
      <c r="A689" s="7"/>
      <c r="B689" s="7"/>
      <c r="C689" s="8"/>
      <c r="D689" s="8"/>
      <c r="E689" s="8"/>
      <c r="F689" s="8"/>
      <c r="G689" s="9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  <c r="BR689" s="10"/>
      <c r="BS689" s="10"/>
      <c r="BT689" s="10"/>
      <c r="BU689" s="10"/>
      <c r="BV689" s="10"/>
      <c r="BW689" s="10"/>
      <c r="BX689" s="10"/>
      <c r="BY689" s="10"/>
      <c r="BZ689" s="10"/>
      <c r="CA689" s="10"/>
      <c r="CB689" s="10"/>
      <c r="CC689" s="10"/>
      <c r="CD689" s="10"/>
      <c r="CE689" s="10"/>
      <c r="CF689" s="10"/>
      <c r="CG689" s="10"/>
      <c r="CH689" s="10"/>
      <c r="CI689" s="10"/>
      <c r="CJ689" s="10"/>
      <c r="CK689" s="10"/>
      <c r="CL689" s="10"/>
      <c r="CM689" s="10"/>
      <c r="CN689" s="10"/>
      <c r="CO689" s="10"/>
      <c r="CP689" s="10"/>
      <c r="CQ689" s="10"/>
      <c r="CR689" s="10"/>
      <c r="CS689" s="10"/>
      <c r="CT689" s="10"/>
      <c r="CU689" s="10"/>
      <c r="CV689" s="10"/>
      <c r="CW689" s="10"/>
      <c r="CX689" s="10"/>
      <c r="CY689" s="10"/>
      <c r="CZ689" s="10"/>
      <c r="DA689" s="10"/>
      <c r="DB689" s="10"/>
      <c r="DC689" s="10"/>
      <c r="DD689" s="10"/>
      <c r="DE689" s="10"/>
      <c r="DF689" s="10"/>
      <c r="DG689" s="10"/>
      <c r="DH689" s="10"/>
      <c r="DI689" s="10"/>
      <c r="DJ689" s="10"/>
      <c r="DK689" s="10"/>
      <c r="DL689" s="10"/>
      <c r="DM689" s="10"/>
      <c r="DN689" s="10"/>
      <c r="DO689" s="10"/>
      <c r="DP689" s="10"/>
      <c r="DQ689" s="10"/>
      <c r="DR689" s="10"/>
      <c r="DS689" s="10"/>
      <c r="DT689" s="10"/>
      <c r="DU689" s="10"/>
      <c r="DV689" s="10"/>
      <c r="DW689" s="10"/>
      <c r="DX689" s="10"/>
      <c r="DY689" s="10"/>
      <c r="DZ689" s="10"/>
      <c r="EA689" s="10"/>
      <c r="EB689" s="10"/>
      <c r="EC689" s="10"/>
      <c r="ED689" s="10"/>
      <c r="EE689" s="10"/>
      <c r="EF689" s="10"/>
      <c r="EG689" s="10"/>
      <c r="EH689" s="10"/>
      <c r="EI689" s="10"/>
      <c r="EJ689" s="10"/>
      <c r="EK689" s="10"/>
      <c r="EL689" s="10"/>
      <c r="EM689" s="10"/>
      <c r="EN689" s="10"/>
      <c r="EO689" s="10"/>
      <c r="EP689" s="10"/>
      <c r="EQ689" s="10"/>
      <c r="ER689" s="10"/>
      <c r="ES689" s="10"/>
      <c r="ET689" s="10"/>
      <c r="EU689" s="10"/>
      <c r="EV689" s="10"/>
      <c r="EW689" s="10"/>
      <c r="EX689" s="10"/>
      <c r="EY689" s="10"/>
      <c r="EZ689" s="10"/>
      <c r="FA689" s="10"/>
      <c r="FB689" s="10"/>
      <c r="FC689" s="10"/>
      <c r="FD689" s="10"/>
      <c r="FE689" s="10"/>
      <c r="FF689" s="10"/>
      <c r="FG689" s="10"/>
      <c r="FH689" s="10"/>
      <c r="FI689" s="10"/>
      <c r="FJ689" s="10"/>
      <c r="FK689" s="10"/>
      <c r="FL689" s="10"/>
      <c r="FM689" s="10"/>
      <c r="FN689" s="10"/>
      <c r="FO689" s="10"/>
      <c r="FP689" s="10"/>
      <c r="FQ689" s="10"/>
      <c r="FR689" s="10"/>
      <c r="FS689" s="10"/>
      <c r="FT689" s="10"/>
      <c r="FU689" s="10"/>
      <c r="FV689" s="10"/>
      <c r="FW689" s="10"/>
      <c r="FX689" s="10"/>
      <c r="FY689" s="10"/>
      <c r="FZ689" s="10"/>
      <c r="GA689" s="10"/>
      <c r="GB689" s="10"/>
      <c r="GC689" s="10"/>
      <c r="GD689" s="10"/>
      <c r="GE689" s="10"/>
      <c r="GF689" s="10"/>
      <c r="GG689" s="10"/>
      <c r="GH689" s="10"/>
      <c r="GI689" s="10"/>
      <c r="GJ689" s="10"/>
      <c r="GK689" s="10"/>
    </row>
    <row r="690" customFormat="false" ht="12.75" hidden="false" customHeight="false" outlineLevel="0" collapsed="false">
      <c r="A690" s="7"/>
      <c r="B690" s="7"/>
      <c r="C690" s="8"/>
      <c r="D690" s="8"/>
      <c r="E690" s="8"/>
      <c r="F690" s="8"/>
      <c r="G690" s="9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0"/>
      <c r="BP690" s="10"/>
      <c r="BQ690" s="10"/>
      <c r="BR690" s="10"/>
      <c r="BS690" s="10"/>
      <c r="BT690" s="10"/>
      <c r="BU690" s="10"/>
      <c r="BV690" s="10"/>
      <c r="BW690" s="10"/>
      <c r="BX690" s="10"/>
      <c r="BY690" s="10"/>
      <c r="BZ690" s="10"/>
      <c r="CA690" s="10"/>
      <c r="CB690" s="10"/>
      <c r="CC690" s="10"/>
      <c r="CD690" s="10"/>
      <c r="CE690" s="10"/>
      <c r="CF690" s="10"/>
      <c r="CG690" s="10"/>
      <c r="CH690" s="10"/>
      <c r="CI690" s="10"/>
      <c r="CJ690" s="10"/>
      <c r="CK690" s="10"/>
      <c r="CL690" s="10"/>
      <c r="CM690" s="10"/>
      <c r="CN690" s="10"/>
      <c r="CO690" s="10"/>
      <c r="CP690" s="10"/>
      <c r="CQ690" s="10"/>
      <c r="CR690" s="10"/>
      <c r="CS690" s="10"/>
      <c r="CT690" s="10"/>
      <c r="CU690" s="10"/>
      <c r="CV690" s="10"/>
      <c r="CW690" s="10"/>
      <c r="CX690" s="10"/>
      <c r="CY690" s="10"/>
      <c r="CZ690" s="10"/>
      <c r="DA690" s="10"/>
      <c r="DB690" s="10"/>
      <c r="DC690" s="10"/>
      <c r="DD690" s="10"/>
      <c r="DE690" s="10"/>
      <c r="DF690" s="10"/>
      <c r="DG690" s="10"/>
      <c r="DH690" s="10"/>
      <c r="DI690" s="10"/>
      <c r="DJ690" s="10"/>
      <c r="DK690" s="10"/>
      <c r="DL690" s="10"/>
      <c r="DM690" s="10"/>
      <c r="DN690" s="10"/>
      <c r="DO690" s="10"/>
      <c r="DP690" s="10"/>
      <c r="DQ690" s="10"/>
      <c r="DR690" s="10"/>
      <c r="DS690" s="10"/>
      <c r="DT690" s="10"/>
      <c r="DU690" s="10"/>
      <c r="DV690" s="10"/>
      <c r="DW690" s="10"/>
      <c r="DX690" s="10"/>
      <c r="DY690" s="10"/>
      <c r="DZ690" s="10"/>
      <c r="EA690" s="10"/>
      <c r="EB690" s="10"/>
      <c r="EC690" s="10"/>
      <c r="ED690" s="10"/>
      <c r="EE690" s="10"/>
      <c r="EF690" s="10"/>
      <c r="EG690" s="10"/>
      <c r="EH690" s="10"/>
      <c r="EI690" s="10"/>
      <c r="EJ690" s="10"/>
      <c r="EK690" s="10"/>
      <c r="EL690" s="10"/>
      <c r="EM690" s="10"/>
      <c r="EN690" s="10"/>
      <c r="EO690" s="10"/>
      <c r="EP690" s="10"/>
      <c r="EQ690" s="10"/>
      <c r="ER690" s="10"/>
      <c r="ES690" s="10"/>
      <c r="ET690" s="10"/>
      <c r="EU690" s="10"/>
      <c r="EV690" s="10"/>
      <c r="EW690" s="10"/>
      <c r="EX690" s="10"/>
      <c r="EY690" s="10"/>
      <c r="EZ690" s="10"/>
      <c r="FA690" s="10"/>
      <c r="FB690" s="10"/>
      <c r="FC690" s="10"/>
      <c r="FD690" s="10"/>
      <c r="FE690" s="10"/>
      <c r="FF690" s="10"/>
      <c r="FG690" s="10"/>
      <c r="FH690" s="10"/>
      <c r="FI690" s="10"/>
      <c r="FJ690" s="10"/>
      <c r="FK690" s="10"/>
      <c r="FL690" s="10"/>
      <c r="FM690" s="10"/>
      <c r="FN690" s="10"/>
      <c r="FO690" s="10"/>
      <c r="FP690" s="10"/>
      <c r="FQ690" s="10"/>
      <c r="FR690" s="10"/>
      <c r="FS690" s="10"/>
      <c r="FT690" s="10"/>
      <c r="FU690" s="10"/>
      <c r="FV690" s="10"/>
      <c r="FW690" s="10"/>
      <c r="FX690" s="10"/>
      <c r="FY690" s="10"/>
      <c r="FZ690" s="10"/>
      <c r="GA690" s="10"/>
      <c r="GB690" s="10"/>
      <c r="GC690" s="10"/>
      <c r="GD690" s="10"/>
      <c r="GE690" s="10"/>
      <c r="GF690" s="10"/>
      <c r="GG690" s="10"/>
      <c r="GH690" s="10"/>
      <c r="GI690" s="10"/>
      <c r="GJ690" s="10"/>
      <c r="GK690" s="10"/>
    </row>
    <row r="691" customFormat="false" ht="12.75" hidden="false" customHeight="false" outlineLevel="0" collapsed="false">
      <c r="A691" s="7"/>
      <c r="B691" s="7"/>
      <c r="C691" s="8"/>
      <c r="D691" s="8"/>
      <c r="E691" s="8"/>
      <c r="F691" s="8"/>
      <c r="G691" s="9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  <c r="BS691" s="10"/>
      <c r="BT691" s="10"/>
      <c r="BU691" s="10"/>
      <c r="BV691" s="10"/>
      <c r="BW691" s="10"/>
      <c r="BX691" s="10"/>
      <c r="BY691" s="10"/>
      <c r="BZ691" s="10"/>
      <c r="CA691" s="10"/>
      <c r="CB691" s="10"/>
      <c r="CC691" s="10"/>
      <c r="CD691" s="10"/>
      <c r="CE691" s="10"/>
      <c r="CF691" s="10"/>
      <c r="CG691" s="10"/>
      <c r="CH691" s="10"/>
      <c r="CI691" s="10"/>
      <c r="CJ691" s="10"/>
      <c r="CK691" s="10"/>
      <c r="CL691" s="10"/>
      <c r="CM691" s="10"/>
      <c r="CN691" s="10"/>
      <c r="CO691" s="10"/>
      <c r="CP691" s="10"/>
      <c r="CQ691" s="10"/>
      <c r="CR691" s="10"/>
      <c r="CS691" s="10"/>
      <c r="CT691" s="10"/>
      <c r="CU691" s="10"/>
      <c r="CV691" s="10"/>
      <c r="CW691" s="10"/>
      <c r="CX691" s="10"/>
      <c r="CY691" s="10"/>
      <c r="CZ691" s="10"/>
      <c r="DA691" s="10"/>
      <c r="DB691" s="10"/>
      <c r="DC691" s="10"/>
      <c r="DD691" s="10"/>
      <c r="DE691" s="10"/>
      <c r="DF691" s="10"/>
      <c r="DG691" s="10"/>
      <c r="DH691" s="10"/>
      <c r="DI691" s="10"/>
      <c r="DJ691" s="10"/>
      <c r="DK691" s="10"/>
      <c r="DL691" s="10"/>
      <c r="DM691" s="10"/>
      <c r="DN691" s="10"/>
      <c r="DO691" s="10"/>
      <c r="DP691" s="10"/>
      <c r="DQ691" s="10"/>
      <c r="DR691" s="10"/>
      <c r="DS691" s="10"/>
      <c r="DT691" s="10"/>
      <c r="DU691" s="10"/>
      <c r="DV691" s="10"/>
      <c r="DW691" s="10"/>
      <c r="DX691" s="10"/>
      <c r="DY691" s="10"/>
      <c r="DZ691" s="10"/>
      <c r="EA691" s="10"/>
      <c r="EB691" s="10"/>
      <c r="EC691" s="10"/>
      <c r="ED691" s="10"/>
      <c r="EE691" s="10"/>
      <c r="EF691" s="10"/>
      <c r="EG691" s="10"/>
      <c r="EH691" s="10"/>
      <c r="EI691" s="10"/>
      <c r="EJ691" s="10"/>
      <c r="EK691" s="10"/>
      <c r="EL691" s="10"/>
      <c r="EM691" s="10"/>
      <c r="EN691" s="10"/>
      <c r="EO691" s="10"/>
      <c r="EP691" s="10"/>
      <c r="EQ691" s="10"/>
      <c r="ER691" s="10"/>
      <c r="ES691" s="10"/>
      <c r="ET691" s="10"/>
      <c r="EU691" s="10"/>
      <c r="EV691" s="10"/>
      <c r="EW691" s="10"/>
      <c r="EX691" s="10"/>
      <c r="EY691" s="10"/>
      <c r="EZ691" s="10"/>
      <c r="FA691" s="10"/>
      <c r="FB691" s="10"/>
      <c r="FC691" s="10"/>
      <c r="FD691" s="10"/>
      <c r="FE691" s="10"/>
      <c r="FF691" s="10"/>
      <c r="FG691" s="10"/>
      <c r="FH691" s="10"/>
      <c r="FI691" s="10"/>
      <c r="FJ691" s="10"/>
      <c r="FK691" s="10"/>
      <c r="FL691" s="10"/>
      <c r="FM691" s="10"/>
      <c r="FN691" s="10"/>
      <c r="FO691" s="10"/>
      <c r="FP691" s="10"/>
      <c r="FQ691" s="10"/>
      <c r="FR691" s="10"/>
      <c r="FS691" s="10"/>
      <c r="FT691" s="10"/>
      <c r="FU691" s="10"/>
      <c r="FV691" s="10"/>
      <c r="FW691" s="10"/>
      <c r="FX691" s="10"/>
      <c r="FY691" s="10"/>
      <c r="FZ691" s="10"/>
      <c r="GA691" s="10"/>
      <c r="GB691" s="10"/>
      <c r="GC691" s="10"/>
      <c r="GD691" s="10"/>
      <c r="GE691" s="10"/>
      <c r="GF691" s="10"/>
      <c r="GG691" s="10"/>
      <c r="GH691" s="10"/>
      <c r="GI691" s="10"/>
      <c r="GJ691" s="10"/>
      <c r="GK691" s="10"/>
    </row>
    <row r="692" customFormat="false" ht="12.75" hidden="false" customHeight="false" outlineLevel="0" collapsed="false">
      <c r="A692" s="7"/>
      <c r="B692" s="7"/>
      <c r="C692" s="8"/>
      <c r="D692" s="8"/>
      <c r="E692" s="8"/>
      <c r="F692" s="8"/>
      <c r="G692" s="9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10"/>
      <c r="BQ692" s="10"/>
      <c r="BR692" s="10"/>
      <c r="BS692" s="10"/>
      <c r="BT692" s="10"/>
      <c r="BU692" s="10"/>
      <c r="BV692" s="10"/>
      <c r="BW692" s="10"/>
      <c r="BX692" s="10"/>
      <c r="BY692" s="10"/>
      <c r="BZ692" s="10"/>
      <c r="CA692" s="10"/>
      <c r="CB692" s="10"/>
      <c r="CC692" s="10"/>
      <c r="CD692" s="10"/>
      <c r="CE692" s="10"/>
      <c r="CF692" s="10"/>
      <c r="CG692" s="10"/>
      <c r="CH692" s="10"/>
      <c r="CI692" s="10"/>
      <c r="CJ692" s="10"/>
      <c r="CK692" s="10"/>
      <c r="CL692" s="10"/>
      <c r="CM692" s="10"/>
      <c r="CN692" s="10"/>
      <c r="CO692" s="10"/>
      <c r="CP692" s="10"/>
      <c r="CQ692" s="10"/>
      <c r="CR692" s="10"/>
      <c r="CS692" s="10"/>
      <c r="CT692" s="10"/>
      <c r="CU692" s="10"/>
      <c r="CV692" s="10"/>
      <c r="CW692" s="10"/>
      <c r="CX692" s="10"/>
      <c r="CY692" s="10"/>
      <c r="CZ692" s="10"/>
      <c r="DA692" s="10"/>
      <c r="DB692" s="10"/>
      <c r="DC692" s="10"/>
      <c r="DD692" s="10"/>
      <c r="DE692" s="10"/>
      <c r="DF692" s="10"/>
      <c r="DG692" s="10"/>
      <c r="DH692" s="10"/>
      <c r="DI692" s="10"/>
      <c r="DJ692" s="10"/>
      <c r="DK692" s="10"/>
      <c r="DL692" s="10"/>
      <c r="DM692" s="10"/>
      <c r="DN692" s="10"/>
      <c r="DO692" s="10"/>
      <c r="DP692" s="10"/>
      <c r="DQ692" s="10"/>
      <c r="DR692" s="10"/>
      <c r="DS692" s="10"/>
      <c r="DT692" s="10"/>
      <c r="DU692" s="10"/>
      <c r="DV692" s="10"/>
      <c r="DW692" s="10"/>
      <c r="DX692" s="10"/>
      <c r="DY692" s="10"/>
      <c r="DZ692" s="10"/>
      <c r="EA692" s="10"/>
      <c r="EB692" s="10"/>
      <c r="EC692" s="10"/>
      <c r="ED692" s="10"/>
      <c r="EE692" s="10"/>
      <c r="EF692" s="10"/>
      <c r="EG692" s="10"/>
      <c r="EH692" s="10"/>
      <c r="EI692" s="10"/>
      <c r="EJ692" s="10"/>
      <c r="EK692" s="10"/>
      <c r="EL692" s="10"/>
      <c r="EM692" s="10"/>
      <c r="EN692" s="10"/>
      <c r="EO692" s="10"/>
      <c r="EP692" s="10"/>
      <c r="EQ692" s="10"/>
      <c r="ER692" s="10"/>
      <c r="ES692" s="10"/>
      <c r="ET692" s="10"/>
      <c r="EU692" s="10"/>
      <c r="EV692" s="10"/>
      <c r="EW692" s="10"/>
      <c r="EX692" s="10"/>
      <c r="EY692" s="10"/>
      <c r="EZ692" s="10"/>
      <c r="FA692" s="10"/>
      <c r="FB692" s="10"/>
      <c r="FC692" s="10"/>
      <c r="FD692" s="10"/>
      <c r="FE692" s="10"/>
      <c r="FF692" s="10"/>
      <c r="FG692" s="10"/>
      <c r="FH692" s="10"/>
      <c r="FI692" s="10"/>
      <c r="FJ692" s="10"/>
      <c r="FK692" s="10"/>
      <c r="FL692" s="10"/>
      <c r="FM692" s="10"/>
      <c r="FN692" s="10"/>
      <c r="FO692" s="10"/>
      <c r="FP692" s="10"/>
      <c r="FQ692" s="10"/>
      <c r="FR692" s="10"/>
      <c r="FS692" s="10"/>
      <c r="FT692" s="10"/>
      <c r="FU692" s="10"/>
      <c r="FV692" s="10"/>
      <c r="FW692" s="10"/>
      <c r="FX692" s="10"/>
      <c r="FY692" s="10"/>
      <c r="FZ692" s="10"/>
      <c r="GA692" s="10"/>
      <c r="GB692" s="10"/>
      <c r="GC692" s="10"/>
      <c r="GD692" s="10"/>
      <c r="GE692" s="10"/>
      <c r="GF692" s="10"/>
      <c r="GG692" s="10"/>
      <c r="GH692" s="10"/>
      <c r="GI692" s="10"/>
      <c r="GJ692" s="10"/>
      <c r="GK692" s="10"/>
    </row>
    <row r="693" customFormat="false" ht="12.75" hidden="false" customHeight="false" outlineLevel="0" collapsed="false">
      <c r="A693" s="7"/>
      <c r="B693" s="7"/>
      <c r="C693" s="8"/>
      <c r="D693" s="8"/>
      <c r="E693" s="8"/>
      <c r="F693" s="8"/>
      <c r="G693" s="9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  <c r="BR693" s="10"/>
      <c r="BS693" s="10"/>
      <c r="BT693" s="10"/>
      <c r="BU693" s="10"/>
      <c r="BV693" s="10"/>
      <c r="BW693" s="10"/>
      <c r="BX693" s="10"/>
      <c r="BY693" s="10"/>
      <c r="BZ693" s="10"/>
      <c r="CA693" s="10"/>
      <c r="CB693" s="10"/>
      <c r="CC693" s="10"/>
      <c r="CD693" s="10"/>
      <c r="CE693" s="10"/>
      <c r="CF693" s="10"/>
      <c r="CG693" s="10"/>
      <c r="CH693" s="10"/>
      <c r="CI693" s="10"/>
      <c r="CJ693" s="10"/>
      <c r="CK693" s="10"/>
      <c r="CL693" s="10"/>
      <c r="CM693" s="10"/>
      <c r="CN693" s="10"/>
      <c r="CO693" s="10"/>
      <c r="CP693" s="10"/>
      <c r="CQ693" s="10"/>
      <c r="CR693" s="10"/>
      <c r="CS693" s="10"/>
      <c r="CT693" s="10"/>
      <c r="CU693" s="10"/>
      <c r="CV693" s="10"/>
      <c r="CW693" s="10"/>
      <c r="CX693" s="10"/>
      <c r="CY693" s="10"/>
      <c r="CZ693" s="10"/>
      <c r="DA693" s="10"/>
      <c r="DB693" s="10"/>
      <c r="DC693" s="10"/>
      <c r="DD693" s="10"/>
      <c r="DE693" s="10"/>
      <c r="DF693" s="10"/>
      <c r="DG693" s="10"/>
      <c r="DH693" s="10"/>
      <c r="DI693" s="10"/>
      <c r="DJ693" s="10"/>
      <c r="DK693" s="10"/>
      <c r="DL693" s="10"/>
      <c r="DM693" s="10"/>
      <c r="DN693" s="10"/>
      <c r="DO693" s="10"/>
      <c r="DP693" s="10"/>
      <c r="DQ693" s="10"/>
      <c r="DR693" s="10"/>
      <c r="DS693" s="10"/>
      <c r="DT693" s="10"/>
      <c r="DU693" s="10"/>
      <c r="DV693" s="10"/>
      <c r="DW693" s="10"/>
      <c r="DX693" s="10"/>
      <c r="DY693" s="10"/>
      <c r="DZ693" s="10"/>
      <c r="EA693" s="10"/>
      <c r="EB693" s="10"/>
      <c r="EC693" s="10"/>
      <c r="ED693" s="10"/>
      <c r="EE693" s="10"/>
      <c r="EF693" s="10"/>
      <c r="EG693" s="10"/>
      <c r="EH693" s="10"/>
      <c r="EI693" s="10"/>
      <c r="EJ693" s="10"/>
      <c r="EK693" s="10"/>
      <c r="EL693" s="10"/>
      <c r="EM693" s="10"/>
      <c r="EN693" s="10"/>
      <c r="EO693" s="10"/>
      <c r="EP693" s="10"/>
      <c r="EQ693" s="10"/>
      <c r="ER693" s="10"/>
      <c r="ES693" s="10"/>
      <c r="ET693" s="10"/>
      <c r="EU693" s="10"/>
      <c r="EV693" s="10"/>
      <c r="EW693" s="10"/>
      <c r="EX693" s="10"/>
      <c r="EY693" s="10"/>
      <c r="EZ693" s="10"/>
      <c r="FA693" s="10"/>
      <c r="FB693" s="10"/>
      <c r="FC693" s="10"/>
      <c r="FD693" s="10"/>
      <c r="FE693" s="10"/>
      <c r="FF693" s="10"/>
      <c r="FG693" s="10"/>
      <c r="FH693" s="10"/>
      <c r="FI693" s="10"/>
      <c r="FJ693" s="10"/>
      <c r="FK693" s="10"/>
      <c r="FL693" s="10"/>
      <c r="FM693" s="10"/>
      <c r="FN693" s="10"/>
      <c r="FO693" s="10"/>
      <c r="FP693" s="10"/>
      <c r="FQ693" s="10"/>
      <c r="FR693" s="10"/>
      <c r="FS693" s="10"/>
      <c r="FT693" s="10"/>
      <c r="FU693" s="10"/>
      <c r="FV693" s="10"/>
      <c r="FW693" s="10"/>
      <c r="FX693" s="10"/>
      <c r="FY693" s="10"/>
      <c r="FZ693" s="10"/>
      <c r="GA693" s="10"/>
      <c r="GB693" s="10"/>
      <c r="GC693" s="10"/>
      <c r="GD693" s="10"/>
      <c r="GE693" s="10"/>
      <c r="GF693" s="10"/>
      <c r="GG693" s="10"/>
      <c r="GH693" s="10"/>
      <c r="GI693" s="10"/>
      <c r="GJ693" s="10"/>
      <c r="GK693" s="10"/>
    </row>
    <row r="694" customFormat="false" ht="12.75" hidden="false" customHeight="false" outlineLevel="0" collapsed="false">
      <c r="A694" s="7"/>
      <c r="B694" s="7"/>
      <c r="C694" s="8"/>
      <c r="D694" s="8"/>
      <c r="E694" s="8"/>
      <c r="F694" s="8"/>
      <c r="G694" s="9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  <c r="BS694" s="10"/>
      <c r="BT694" s="10"/>
      <c r="BU694" s="10"/>
      <c r="BV694" s="10"/>
      <c r="BW694" s="10"/>
      <c r="BX694" s="10"/>
      <c r="BY694" s="10"/>
      <c r="BZ694" s="10"/>
      <c r="CA694" s="10"/>
      <c r="CB694" s="10"/>
      <c r="CC694" s="10"/>
      <c r="CD694" s="10"/>
      <c r="CE694" s="10"/>
      <c r="CF694" s="10"/>
      <c r="CG694" s="10"/>
      <c r="CH694" s="10"/>
      <c r="CI694" s="10"/>
      <c r="CJ694" s="10"/>
      <c r="CK694" s="10"/>
      <c r="CL694" s="10"/>
      <c r="CM694" s="10"/>
      <c r="CN694" s="10"/>
      <c r="CO694" s="10"/>
      <c r="CP694" s="10"/>
      <c r="CQ694" s="10"/>
      <c r="CR694" s="10"/>
      <c r="CS694" s="10"/>
      <c r="CT694" s="10"/>
      <c r="CU694" s="10"/>
      <c r="CV694" s="10"/>
      <c r="CW694" s="10"/>
      <c r="CX694" s="10"/>
      <c r="CY694" s="10"/>
      <c r="CZ694" s="10"/>
      <c r="DA694" s="10"/>
      <c r="DB694" s="10"/>
      <c r="DC694" s="10"/>
      <c r="DD694" s="10"/>
      <c r="DE694" s="10"/>
      <c r="DF694" s="10"/>
      <c r="DG694" s="10"/>
      <c r="DH694" s="10"/>
      <c r="DI694" s="10"/>
      <c r="DJ694" s="10"/>
      <c r="DK694" s="10"/>
      <c r="DL694" s="10"/>
      <c r="DM694" s="10"/>
      <c r="DN694" s="10"/>
      <c r="DO694" s="10"/>
      <c r="DP694" s="10"/>
      <c r="DQ694" s="10"/>
      <c r="DR694" s="10"/>
      <c r="DS694" s="10"/>
      <c r="DT694" s="10"/>
      <c r="DU694" s="10"/>
      <c r="DV694" s="10"/>
      <c r="DW694" s="10"/>
      <c r="DX694" s="10"/>
      <c r="DY694" s="10"/>
      <c r="DZ694" s="10"/>
      <c r="EA694" s="10"/>
      <c r="EB694" s="10"/>
      <c r="EC694" s="10"/>
      <c r="ED694" s="10"/>
      <c r="EE694" s="10"/>
      <c r="EF694" s="10"/>
      <c r="EG694" s="10"/>
      <c r="EH694" s="10"/>
      <c r="EI694" s="10"/>
      <c r="EJ694" s="10"/>
      <c r="EK694" s="10"/>
      <c r="EL694" s="10"/>
      <c r="EM694" s="10"/>
      <c r="EN694" s="10"/>
      <c r="EO694" s="10"/>
      <c r="EP694" s="10"/>
      <c r="EQ694" s="10"/>
      <c r="ER694" s="10"/>
      <c r="ES694" s="10"/>
      <c r="ET694" s="10"/>
      <c r="EU694" s="10"/>
      <c r="EV694" s="10"/>
      <c r="EW694" s="10"/>
      <c r="EX694" s="10"/>
      <c r="EY694" s="10"/>
      <c r="EZ694" s="10"/>
      <c r="FA694" s="10"/>
      <c r="FB694" s="10"/>
      <c r="FC694" s="10"/>
      <c r="FD694" s="10"/>
      <c r="FE694" s="10"/>
      <c r="FF694" s="10"/>
      <c r="FG694" s="10"/>
      <c r="FH694" s="10"/>
      <c r="FI694" s="10"/>
      <c r="FJ694" s="10"/>
      <c r="FK694" s="10"/>
      <c r="FL694" s="10"/>
      <c r="FM694" s="10"/>
      <c r="FN694" s="10"/>
      <c r="FO694" s="10"/>
      <c r="FP694" s="10"/>
      <c r="FQ694" s="10"/>
      <c r="FR694" s="10"/>
      <c r="FS694" s="10"/>
      <c r="FT694" s="10"/>
      <c r="FU694" s="10"/>
      <c r="FV694" s="10"/>
      <c r="FW694" s="10"/>
      <c r="FX694" s="10"/>
      <c r="FY694" s="10"/>
      <c r="FZ694" s="10"/>
      <c r="GA694" s="10"/>
      <c r="GB694" s="10"/>
      <c r="GC694" s="10"/>
      <c r="GD694" s="10"/>
      <c r="GE694" s="10"/>
      <c r="GF694" s="10"/>
      <c r="GG694" s="10"/>
      <c r="GH694" s="10"/>
      <c r="GI694" s="10"/>
      <c r="GJ694" s="10"/>
      <c r="GK694" s="10"/>
    </row>
    <row r="695" customFormat="false" ht="12.75" hidden="false" customHeight="false" outlineLevel="0" collapsed="false">
      <c r="A695" s="7"/>
      <c r="B695" s="7"/>
      <c r="C695" s="8"/>
      <c r="D695" s="8"/>
      <c r="E695" s="8"/>
      <c r="F695" s="8"/>
      <c r="G695" s="9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10"/>
      <c r="BQ695" s="10"/>
      <c r="BR695" s="10"/>
      <c r="BS695" s="10"/>
      <c r="BT695" s="10"/>
      <c r="BU695" s="10"/>
      <c r="BV695" s="10"/>
      <c r="BW695" s="10"/>
      <c r="BX695" s="10"/>
      <c r="BY695" s="10"/>
      <c r="BZ695" s="10"/>
      <c r="CA695" s="10"/>
      <c r="CB695" s="10"/>
      <c r="CC695" s="10"/>
      <c r="CD695" s="10"/>
      <c r="CE695" s="10"/>
      <c r="CF695" s="10"/>
      <c r="CG695" s="10"/>
      <c r="CH695" s="10"/>
      <c r="CI695" s="10"/>
      <c r="CJ695" s="10"/>
      <c r="CK695" s="10"/>
      <c r="CL695" s="10"/>
      <c r="CM695" s="10"/>
      <c r="CN695" s="10"/>
      <c r="CO695" s="10"/>
      <c r="CP695" s="10"/>
      <c r="CQ695" s="10"/>
      <c r="CR695" s="10"/>
      <c r="CS695" s="10"/>
      <c r="CT695" s="10"/>
      <c r="CU695" s="10"/>
      <c r="CV695" s="10"/>
      <c r="CW695" s="10"/>
      <c r="CX695" s="10"/>
      <c r="CY695" s="10"/>
      <c r="CZ695" s="10"/>
      <c r="DA695" s="10"/>
      <c r="DB695" s="10"/>
      <c r="DC695" s="10"/>
      <c r="DD695" s="10"/>
      <c r="DE695" s="10"/>
      <c r="DF695" s="10"/>
      <c r="DG695" s="10"/>
      <c r="DH695" s="10"/>
      <c r="DI695" s="10"/>
      <c r="DJ695" s="10"/>
      <c r="DK695" s="10"/>
      <c r="DL695" s="10"/>
      <c r="DM695" s="10"/>
      <c r="DN695" s="10"/>
      <c r="DO695" s="10"/>
      <c r="DP695" s="10"/>
      <c r="DQ695" s="10"/>
      <c r="DR695" s="10"/>
      <c r="DS695" s="10"/>
      <c r="DT695" s="10"/>
      <c r="DU695" s="10"/>
      <c r="DV695" s="10"/>
      <c r="DW695" s="10"/>
      <c r="DX695" s="10"/>
      <c r="DY695" s="10"/>
      <c r="DZ695" s="10"/>
      <c r="EA695" s="10"/>
      <c r="EB695" s="10"/>
      <c r="EC695" s="10"/>
      <c r="ED695" s="10"/>
      <c r="EE695" s="10"/>
      <c r="EF695" s="10"/>
      <c r="EG695" s="10"/>
      <c r="EH695" s="10"/>
      <c r="EI695" s="10"/>
      <c r="EJ695" s="10"/>
      <c r="EK695" s="10"/>
      <c r="EL695" s="10"/>
      <c r="EM695" s="10"/>
      <c r="EN695" s="10"/>
      <c r="EO695" s="10"/>
      <c r="EP695" s="10"/>
      <c r="EQ695" s="10"/>
      <c r="ER695" s="10"/>
      <c r="ES695" s="10"/>
      <c r="ET695" s="10"/>
      <c r="EU695" s="10"/>
      <c r="EV695" s="10"/>
      <c r="EW695" s="10"/>
      <c r="EX695" s="10"/>
      <c r="EY695" s="10"/>
      <c r="EZ695" s="10"/>
      <c r="FA695" s="10"/>
      <c r="FB695" s="10"/>
      <c r="FC695" s="10"/>
      <c r="FD695" s="10"/>
      <c r="FE695" s="10"/>
      <c r="FF695" s="10"/>
      <c r="FG695" s="10"/>
      <c r="FH695" s="10"/>
      <c r="FI695" s="10"/>
      <c r="FJ695" s="10"/>
      <c r="FK695" s="10"/>
      <c r="FL695" s="10"/>
      <c r="FM695" s="10"/>
      <c r="FN695" s="10"/>
      <c r="FO695" s="10"/>
      <c r="FP695" s="10"/>
      <c r="FQ695" s="10"/>
      <c r="FR695" s="10"/>
      <c r="FS695" s="10"/>
      <c r="FT695" s="10"/>
      <c r="FU695" s="10"/>
      <c r="FV695" s="10"/>
      <c r="FW695" s="10"/>
      <c r="FX695" s="10"/>
      <c r="FY695" s="10"/>
      <c r="FZ695" s="10"/>
      <c r="GA695" s="10"/>
      <c r="GB695" s="10"/>
      <c r="GC695" s="10"/>
      <c r="GD695" s="10"/>
      <c r="GE695" s="10"/>
      <c r="GF695" s="10"/>
      <c r="GG695" s="10"/>
      <c r="GH695" s="10"/>
      <c r="GI695" s="10"/>
      <c r="GJ695" s="10"/>
      <c r="GK695" s="10"/>
    </row>
    <row r="696" customFormat="false" ht="12.75" hidden="false" customHeight="false" outlineLevel="0" collapsed="false">
      <c r="A696" s="7"/>
      <c r="B696" s="7"/>
      <c r="C696" s="8"/>
      <c r="D696" s="8"/>
      <c r="E696" s="8"/>
      <c r="F696" s="8"/>
      <c r="G696" s="9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0"/>
      <c r="BP696" s="10"/>
      <c r="BQ696" s="10"/>
      <c r="BR696" s="10"/>
      <c r="BS696" s="10"/>
      <c r="BT696" s="10"/>
      <c r="BU696" s="10"/>
      <c r="BV696" s="10"/>
      <c r="BW696" s="10"/>
      <c r="BX696" s="10"/>
      <c r="BY696" s="10"/>
      <c r="BZ696" s="10"/>
      <c r="CA696" s="10"/>
      <c r="CB696" s="10"/>
      <c r="CC696" s="10"/>
      <c r="CD696" s="10"/>
      <c r="CE696" s="10"/>
      <c r="CF696" s="10"/>
      <c r="CG696" s="10"/>
      <c r="CH696" s="10"/>
      <c r="CI696" s="10"/>
      <c r="CJ696" s="10"/>
      <c r="CK696" s="10"/>
      <c r="CL696" s="10"/>
      <c r="CM696" s="10"/>
      <c r="CN696" s="10"/>
      <c r="CO696" s="10"/>
      <c r="CP696" s="10"/>
      <c r="CQ696" s="10"/>
      <c r="CR696" s="10"/>
      <c r="CS696" s="10"/>
      <c r="CT696" s="10"/>
      <c r="CU696" s="10"/>
      <c r="CV696" s="10"/>
      <c r="CW696" s="10"/>
      <c r="CX696" s="10"/>
      <c r="CY696" s="10"/>
      <c r="CZ696" s="10"/>
      <c r="DA696" s="10"/>
      <c r="DB696" s="10"/>
      <c r="DC696" s="10"/>
      <c r="DD696" s="10"/>
      <c r="DE696" s="10"/>
      <c r="DF696" s="10"/>
      <c r="DG696" s="10"/>
      <c r="DH696" s="10"/>
      <c r="DI696" s="10"/>
      <c r="DJ696" s="10"/>
      <c r="DK696" s="10"/>
      <c r="DL696" s="10"/>
      <c r="DM696" s="10"/>
      <c r="DN696" s="10"/>
      <c r="DO696" s="10"/>
      <c r="DP696" s="10"/>
      <c r="DQ696" s="10"/>
      <c r="DR696" s="10"/>
      <c r="DS696" s="10"/>
      <c r="DT696" s="10"/>
      <c r="DU696" s="10"/>
      <c r="DV696" s="10"/>
      <c r="DW696" s="10"/>
      <c r="DX696" s="10"/>
      <c r="DY696" s="10"/>
      <c r="DZ696" s="10"/>
      <c r="EA696" s="10"/>
      <c r="EB696" s="10"/>
      <c r="EC696" s="10"/>
      <c r="ED696" s="10"/>
      <c r="EE696" s="10"/>
      <c r="EF696" s="10"/>
      <c r="EG696" s="10"/>
      <c r="EH696" s="10"/>
      <c r="EI696" s="10"/>
      <c r="EJ696" s="10"/>
      <c r="EK696" s="10"/>
      <c r="EL696" s="10"/>
      <c r="EM696" s="10"/>
      <c r="EN696" s="10"/>
      <c r="EO696" s="10"/>
      <c r="EP696" s="10"/>
      <c r="EQ696" s="10"/>
      <c r="ER696" s="10"/>
      <c r="ES696" s="10"/>
      <c r="ET696" s="10"/>
      <c r="EU696" s="10"/>
      <c r="EV696" s="10"/>
      <c r="EW696" s="10"/>
      <c r="EX696" s="10"/>
      <c r="EY696" s="10"/>
      <c r="EZ696" s="10"/>
      <c r="FA696" s="10"/>
      <c r="FB696" s="10"/>
      <c r="FC696" s="10"/>
      <c r="FD696" s="10"/>
      <c r="FE696" s="10"/>
      <c r="FF696" s="10"/>
      <c r="FG696" s="10"/>
      <c r="FH696" s="10"/>
      <c r="FI696" s="10"/>
      <c r="FJ696" s="10"/>
      <c r="FK696" s="10"/>
      <c r="FL696" s="10"/>
      <c r="FM696" s="10"/>
      <c r="FN696" s="10"/>
      <c r="FO696" s="10"/>
      <c r="FP696" s="10"/>
      <c r="FQ696" s="10"/>
      <c r="FR696" s="10"/>
      <c r="FS696" s="10"/>
      <c r="FT696" s="10"/>
      <c r="FU696" s="10"/>
      <c r="FV696" s="10"/>
      <c r="FW696" s="10"/>
      <c r="FX696" s="10"/>
      <c r="FY696" s="10"/>
      <c r="FZ696" s="10"/>
      <c r="GA696" s="10"/>
      <c r="GB696" s="10"/>
      <c r="GC696" s="10"/>
      <c r="GD696" s="10"/>
      <c r="GE696" s="10"/>
      <c r="GF696" s="10"/>
      <c r="GG696" s="10"/>
      <c r="GH696" s="10"/>
      <c r="GI696" s="10"/>
      <c r="GJ696" s="10"/>
      <c r="GK696" s="10"/>
    </row>
    <row r="697" customFormat="false" ht="12.75" hidden="false" customHeight="false" outlineLevel="0" collapsed="false">
      <c r="A697" s="7"/>
      <c r="B697" s="7"/>
      <c r="C697" s="8"/>
      <c r="D697" s="8"/>
      <c r="E697" s="8"/>
      <c r="F697" s="8"/>
      <c r="G697" s="9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0"/>
      <c r="BP697" s="10"/>
      <c r="BQ697" s="10"/>
      <c r="BR697" s="10"/>
      <c r="BS697" s="10"/>
      <c r="BT697" s="10"/>
      <c r="BU697" s="10"/>
      <c r="BV697" s="10"/>
      <c r="BW697" s="10"/>
      <c r="BX697" s="10"/>
      <c r="BY697" s="10"/>
      <c r="BZ697" s="10"/>
      <c r="CA697" s="10"/>
      <c r="CB697" s="10"/>
      <c r="CC697" s="10"/>
      <c r="CD697" s="10"/>
      <c r="CE697" s="10"/>
      <c r="CF697" s="10"/>
      <c r="CG697" s="10"/>
      <c r="CH697" s="10"/>
      <c r="CI697" s="10"/>
      <c r="CJ697" s="10"/>
      <c r="CK697" s="10"/>
      <c r="CL697" s="10"/>
      <c r="CM697" s="10"/>
      <c r="CN697" s="10"/>
      <c r="CO697" s="10"/>
      <c r="CP697" s="10"/>
      <c r="CQ697" s="10"/>
      <c r="CR697" s="10"/>
      <c r="CS697" s="10"/>
      <c r="CT697" s="10"/>
      <c r="CU697" s="10"/>
      <c r="CV697" s="10"/>
      <c r="CW697" s="10"/>
      <c r="CX697" s="10"/>
      <c r="CY697" s="10"/>
      <c r="CZ697" s="10"/>
      <c r="DA697" s="10"/>
      <c r="DB697" s="10"/>
      <c r="DC697" s="10"/>
      <c r="DD697" s="10"/>
      <c r="DE697" s="10"/>
      <c r="DF697" s="10"/>
      <c r="DG697" s="10"/>
      <c r="DH697" s="10"/>
      <c r="DI697" s="10"/>
      <c r="DJ697" s="10"/>
      <c r="DK697" s="10"/>
      <c r="DL697" s="10"/>
      <c r="DM697" s="10"/>
      <c r="DN697" s="10"/>
      <c r="DO697" s="10"/>
      <c r="DP697" s="10"/>
      <c r="DQ697" s="10"/>
      <c r="DR697" s="10"/>
      <c r="DS697" s="10"/>
      <c r="DT697" s="10"/>
      <c r="DU697" s="10"/>
      <c r="DV697" s="10"/>
      <c r="DW697" s="10"/>
      <c r="DX697" s="10"/>
      <c r="DY697" s="10"/>
      <c r="DZ697" s="10"/>
      <c r="EA697" s="10"/>
      <c r="EB697" s="10"/>
      <c r="EC697" s="10"/>
      <c r="ED697" s="10"/>
      <c r="EE697" s="10"/>
      <c r="EF697" s="10"/>
      <c r="EG697" s="10"/>
      <c r="EH697" s="10"/>
      <c r="EI697" s="10"/>
      <c r="EJ697" s="10"/>
      <c r="EK697" s="10"/>
      <c r="EL697" s="10"/>
      <c r="EM697" s="10"/>
      <c r="EN697" s="10"/>
      <c r="EO697" s="10"/>
      <c r="EP697" s="10"/>
      <c r="EQ697" s="10"/>
      <c r="ER697" s="10"/>
      <c r="ES697" s="10"/>
      <c r="ET697" s="10"/>
      <c r="EU697" s="10"/>
      <c r="EV697" s="10"/>
      <c r="EW697" s="10"/>
      <c r="EX697" s="10"/>
      <c r="EY697" s="10"/>
      <c r="EZ697" s="10"/>
      <c r="FA697" s="10"/>
      <c r="FB697" s="10"/>
      <c r="FC697" s="10"/>
      <c r="FD697" s="10"/>
      <c r="FE697" s="10"/>
      <c r="FF697" s="10"/>
      <c r="FG697" s="10"/>
      <c r="FH697" s="10"/>
      <c r="FI697" s="10"/>
      <c r="FJ697" s="10"/>
      <c r="FK697" s="10"/>
      <c r="FL697" s="10"/>
      <c r="FM697" s="10"/>
      <c r="FN697" s="10"/>
      <c r="FO697" s="10"/>
      <c r="FP697" s="10"/>
      <c r="FQ697" s="10"/>
      <c r="FR697" s="10"/>
      <c r="FS697" s="10"/>
      <c r="FT697" s="10"/>
      <c r="FU697" s="10"/>
      <c r="FV697" s="10"/>
      <c r="FW697" s="10"/>
      <c r="FX697" s="10"/>
      <c r="FY697" s="10"/>
      <c r="FZ697" s="10"/>
      <c r="GA697" s="10"/>
      <c r="GB697" s="10"/>
      <c r="GC697" s="10"/>
      <c r="GD697" s="10"/>
      <c r="GE697" s="10"/>
      <c r="GF697" s="10"/>
      <c r="GG697" s="10"/>
      <c r="GH697" s="10"/>
      <c r="GI697" s="10"/>
      <c r="GJ697" s="10"/>
      <c r="GK697" s="10"/>
    </row>
    <row r="698" customFormat="false" ht="12.75" hidden="false" customHeight="false" outlineLevel="0" collapsed="false">
      <c r="A698" s="7"/>
      <c r="B698" s="7"/>
      <c r="C698" s="8"/>
      <c r="D698" s="8"/>
      <c r="E698" s="8"/>
      <c r="F698" s="8"/>
      <c r="G698" s="9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  <c r="BR698" s="10"/>
      <c r="BS698" s="10"/>
      <c r="BT698" s="10"/>
      <c r="BU698" s="10"/>
      <c r="BV698" s="10"/>
      <c r="BW698" s="10"/>
      <c r="BX698" s="10"/>
      <c r="BY698" s="10"/>
      <c r="BZ698" s="10"/>
      <c r="CA698" s="10"/>
      <c r="CB698" s="10"/>
      <c r="CC698" s="10"/>
      <c r="CD698" s="10"/>
      <c r="CE698" s="10"/>
      <c r="CF698" s="10"/>
      <c r="CG698" s="10"/>
      <c r="CH698" s="10"/>
      <c r="CI698" s="10"/>
      <c r="CJ698" s="10"/>
      <c r="CK698" s="10"/>
      <c r="CL698" s="10"/>
      <c r="CM698" s="10"/>
      <c r="CN698" s="10"/>
      <c r="CO698" s="10"/>
      <c r="CP698" s="10"/>
      <c r="CQ698" s="10"/>
      <c r="CR698" s="10"/>
      <c r="CS698" s="10"/>
      <c r="CT698" s="10"/>
      <c r="CU698" s="10"/>
      <c r="CV698" s="10"/>
      <c r="CW698" s="10"/>
      <c r="CX698" s="10"/>
      <c r="CY698" s="10"/>
      <c r="CZ698" s="10"/>
      <c r="DA698" s="10"/>
      <c r="DB698" s="10"/>
      <c r="DC698" s="10"/>
      <c r="DD698" s="10"/>
      <c r="DE698" s="10"/>
      <c r="DF698" s="10"/>
      <c r="DG698" s="10"/>
      <c r="DH698" s="10"/>
      <c r="DI698" s="10"/>
      <c r="DJ698" s="10"/>
      <c r="DK698" s="10"/>
      <c r="DL698" s="10"/>
      <c r="DM698" s="10"/>
      <c r="DN698" s="10"/>
      <c r="DO698" s="10"/>
      <c r="DP698" s="10"/>
      <c r="DQ698" s="10"/>
      <c r="DR698" s="10"/>
      <c r="DS698" s="10"/>
      <c r="DT698" s="10"/>
      <c r="DU698" s="10"/>
      <c r="DV698" s="10"/>
      <c r="DW698" s="10"/>
      <c r="DX698" s="10"/>
      <c r="DY698" s="10"/>
      <c r="DZ698" s="10"/>
      <c r="EA698" s="10"/>
      <c r="EB698" s="10"/>
      <c r="EC698" s="10"/>
      <c r="ED698" s="10"/>
      <c r="EE698" s="10"/>
      <c r="EF698" s="10"/>
      <c r="EG698" s="10"/>
      <c r="EH698" s="10"/>
      <c r="EI698" s="10"/>
      <c r="EJ698" s="10"/>
      <c r="EK698" s="10"/>
      <c r="EL698" s="10"/>
      <c r="EM698" s="10"/>
      <c r="EN698" s="10"/>
      <c r="EO698" s="10"/>
      <c r="EP698" s="10"/>
      <c r="EQ698" s="10"/>
      <c r="ER698" s="10"/>
      <c r="ES698" s="10"/>
      <c r="ET698" s="10"/>
      <c r="EU698" s="10"/>
      <c r="EV698" s="10"/>
      <c r="EW698" s="10"/>
      <c r="EX698" s="10"/>
      <c r="EY698" s="10"/>
      <c r="EZ698" s="10"/>
      <c r="FA698" s="10"/>
      <c r="FB698" s="10"/>
      <c r="FC698" s="10"/>
      <c r="FD698" s="10"/>
      <c r="FE698" s="10"/>
      <c r="FF698" s="10"/>
      <c r="FG698" s="10"/>
      <c r="FH698" s="10"/>
      <c r="FI698" s="10"/>
      <c r="FJ698" s="10"/>
      <c r="FK698" s="10"/>
      <c r="FL698" s="10"/>
      <c r="FM698" s="10"/>
      <c r="FN698" s="10"/>
      <c r="FO698" s="10"/>
      <c r="FP698" s="10"/>
      <c r="FQ698" s="10"/>
      <c r="FR698" s="10"/>
      <c r="FS698" s="10"/>
      <c r="FT698" s="10"/>
      <c r="FU698" s="10"/>
      <c r="FV698" s="10"/>
      <c r="FW698" s="10"/>
      <c r="FX698" s="10"/>
      <c r="FY698" s="10"/>
      <c r="FZ698" s="10"/>
      <c r="GA698" s="10"/>
      <c r="GB698" s="10"/>
      <c r="GC698" s="10"/>
      <c r="GD698" s="10"/>
      <c r="GE698" s="10"/>
      <c r="GF698" s="10"/>
      <c r="GG698" s="10"/>
      <c r="GH698" s="10"/>
      <c r="GI698" s="10"/>
      <c r="GJ698" s="10"/>
      <c r="GK698" s="10"/>
    </row>
    <row r="699" customFormat="false" ht="12.75" hidden="false" customHeight="false" outlineLevel="0" collapsed="false">
      <c r="A699" s="7"/>
      <c r="B699" s="7"/>
      <c r="C699" s="8"/>
      <c r="D699" s="8"/>
      <c r="E699" s="8"/>
      <c r="F699" s="8"/>
      <c r="G699" s="9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10"/>
      <c r="BQ699" s="10"/>
      <c r="BR699" s="10"/>
      <c r="BS699" s="10"/>
      <c r="BT699" s="10"/>
      <c r="BU699" s="10"/>
      <c r="BV699" s="10"/>
      <c r="BW699" s="10"/>
      <c r="BX699" s="10"/>
      <c r="BY699" s="10"/>
      <c r="BZ699" s="10"/>
      <c r="CA699" s="10"/>
      <c r="CB699" s="10"/>
      <c r="CC699" s="10"/>
      <c r="CD699" s="10"/>
      <c r="CE699" s="10"/>
      <c r="CF699" s="10"/>
      <c r="CG699" s="10"/>
      <c r="CH699" s="10"/>
      <c r="CI699" s="10"/>
      <c r="CJ699" s="10"/>
      <c r="CK699" s="10"/>
      <c r="CL699" s="10"/>
      <c r="CM699" s="10"/>
      <c r="CN699" s="10"/>
      <c r="CO699" s="10"/>
      <c r="CP699" s="10"/>
      <c r="CQ699" s="10"/>
      <c r="CR699" s="10"/>
      <c r="CS699" s="10"/>
      <c r="CT699" s="10"/>
      <c r="CU699" s="10"/>
      <c r="CV699" s="10"/>
      <c r="CW699" s="10"/>
      <c r="CX699" s="10"/>
      <c r="CY699" s="10"/>
      <c r="CZ699" s="10"/>
      <c r="DA699" s="10"/>
      <c r="DB699" s="10"/>
      <c r="DC699" s="10"/>
      <c r="DD699" s="10"/>
      <c r="DE699" s="10"/>
      <c r="DF699" s="10"/>
      <c r="DG699" s="10"/>
      <c r="DH699" s="10"/>
      <c r="DI699" s="10"/>
      <c r="DJ699" s="10"/>
      <c r="DK699" s="10"/>
      <c r="DL699" s="10"/>
      <c r="DM699" s="10"/>
      <c r="DN699" s="10"/>
      <c r="DO699" s="10"/>
      <c r="DP699" s="10"/>
      <c r="DQ699" s="10"/>
      <c r="DR699" s="10"/>
      <c r="DS699" s="10"/>
      <c r="DT699" s="10"/>
      <c r="DU699" s="10"/>
      <c r="DV699" s="10"/>
      <c r="DW699" s="10"/>
      <c r="DX699" s="10"/>
      <c r="DY699" s="10"/>
      <c r="DZ699" s="10"/>
      <c r="EA699" s="10"/>
      <c r="EB699" s="10"/>
      <c r="EC699" s="10"/>
      <c r="ED699" s="10"/>
      <c r="EE699" s="10"/>
      <c r="EF699" s="10"/>
      <c r="EG699" s="10"/>
      <c r="EH699" s="10"/>
      <c r="EI699" s="10"/>
      <c r="EJ699" s="10"/>
      <c r="EK699" s="10"/>
      <c r="EL699" s="10"/>
      <c r="EM699" s="10"/>
      <c r="EN699" s="10"/>
      <c r="EO699" s="10"/>
      <c r="EP699" s="10"/>
      <c r="EQ699" s="10"/>
      <c r="ER699" s="10"/>
      <c r="ES699" s="10"/>
      <c r="ET699" s="10"/>
      <c r="EU699" s="10"/>
      <c r="EV699" s="10"/>
      <c r="EW699" s="10"/>
      <c r="EX699" s="10"/>
      <c r="EY699" s="10"/>
      <c r="EZ699" s="10"/>
      <c r="FA699" s="10"/>
      <c r="FB699" s="10"/>
      <c r="FC699" s="10"/>
      <c r="FD699" s="10"/>
      <c r="FE699" s="10"/>
      <c r="FF699" s="10"/>
      <c r="FG699" s="10"/>
      <c r="FH699" s="10"/>
      <c r="FI699" s="10"/>
      <c r="FJ699" s="10"/>
      <c r="FK699" s="10"/>
      <c r="FL699" s="10"/>
      <c r="FM699" s="10"/>
      <c r="FN699" s="10"/>
      <c r="FO699" s="10"/>
      <c r="FP699" s="10"/>
      <c r="FQ699" s="10"/>
      <c r="FR699" s="10"/>
      <c r="FS699" s="10"/>
      <c r="FT699" s="10"/>
      <c r="FU699" s="10"/>
      <c r="FV699" s="10"/>
      <c r="FW699" s="10"/>
      <c r="FX699" s="10"/>
      <c r="FY699" s="10"/>
      <c r="FZ699" s="10"/>
      <c r="GA699" s="10"/>
      <c r="GB699" s="10"/>
      <c r="GC699" s="10"/>
      <c r="GD699" s="10"/>
      <c r="GE699" s="10"/>
      <c r="GF699" s="10"/>
      <c r="GG699" s="10"/>
      <c r="GH699" s="10"/>
      <c r="GI699" s="10"/>
      <c r="GJ699" s="10"/>
      <c r="GK699" s="10"/>
    </row>
    <row r="700" customFormat="false" ht="12.75" hidden="false" customHeight="false" outlineLevel="0" collapsed="false">
      <c r="A700" s="7"/>
      <c r="B700" s="7"/>
      <c r="C700" s="8"/>
      <c r="D700" s="8"/>
      <c r="E700" s="8"/>
      <c r="F700" s="8"/>
      <c r="G700" s="9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10"/>
      <c r="BQ700" s="10"/>
      <c r="BR700" s="10"/>
      <c r="BS700" s="10"/>
      <c r="BT700" s="10"/>
      <c r="BU700" s="10"/>
      <c r="BV700" s="10"/>
      <c r="BW700" s="10"/>
      <c r="BX700" s="10"/>
      <c r="BY700" s="10"/>
      <c r="BZ700" s="10"/>
      <c r="CA700" s="10"/>
      <c r="CB700" s="10"/>
      <c r="CC700" s="10"/>
      <c r="CD700" s="10"/>
      <c r="CE700" s="10"/>
      <c r="CF700" s="10"/>
      <c r="CG700" s="10"/>
      <c r="CH700" s="10"/>
      <c r="CI700" s="10"/>
      <c r="CJ700" s="10"/>
      <c r="CK700" s="10"/>
      <c r="CL700" s="10"/>
      <c r="CM700" s="10"/>
      <c r="CN700" s="10"/>
      <c r="CO700" s="10"/>
      <c r="CP700" s="10"/>
      <c r="CQ700" s="10"/>
      <c r="CR700" s="10"/>
      <c r="CS700" s="10"/>
      <c r="CT700" s="10"/>
      <c r="CU700" s="10"/>
      <c r="CV700" s="10"/>
      <c r="CW700" s="10"/>
      <c r="CX700" s="10"/>
      <c r="CY700" s="10"/>
      <c r="CZ700" s="10"/>
      <c r="DA700" s="10"/>
      <c r="DB700" s="10"/>
      <c r="DC700" s="10"/>
      <c r="DD700" s="10"/>
      <c r="DE700" s="10"/>
      <c r="DF700" s="10"/>
      <c r="DG700" s="10"/>
      <c r="DH700" s="10"/>
      <c r="DI700" s="10"/>
      <c r="DJ700" s="10"/>
      <c r="DK700" s="10"/>
      <c r="DL700" s="10"/>
      <c r="DM700" s="10"/>
      <c r="DN700" s="10"/>
      <c r="DO700" s="10"/>
      <c r="DP700" s="10"/>
      <c r="DQ700" s="10"/>
      <c r="DR700" s="10"/>
      <c r="DS700" s="10"/>
      <c r="DT700" s="10"/>
      <c r="DU700" s="10"/>
      <c r="DV700" s="10"/>
      <c r="DW700" s="10"/>
      <c r="DX700" s="10"/>
      <c r="DY700" s="10"/>
      <c r="DZ700" s="10"/>
      <c r="EA700" s="10"/>
      <c r="EB700" s="10"/>
      <c r="EC700" s="10"/>
      <c r="ED700" s="10"/>
      <c r="EE700" s="10"/>
      <c r="EF700" s="10"/>
      <c r="EG700" s="10"/>
      <c r="EH700" s="10"/>
      <c r="EI700" s="10"/>
      <c r="EJ700" s="10"/>
      <c r="EK700" s="10"/>
      <c r="EL700" s="10"/>
      <c r="EM700" s="10"/>
      <c r="EN700" s="10"/>
      <c r="EO700" s="10"/>
      <c r="EP700" s="10"/>
      <c r="EQ700" s="10"/>
      <c r="ER700" s="10"/>
      <c r="ES700" s="10"/>
      <c r="ET700" s="10"/>
      <c r="EU700" s="10"/>
      <c r="EV700" s="10"/>
      <c r="EW700" s="10"/>
      <c r="EX700" s="10"/>
      <c r="EY700" s="10"/>
      <c r="EZ700" s="10"/>
      <c r="FA700" s="10"/>
      <c r="FB700" s="10"/>
      <c r="FC700" s="10"/>
      <c r="FD700" s="10"/>
      <c r="FE700" s="10"/>
      <c r="FF700" s="10"/>
      <c r="FG700" s="10"/>
      <c r="FH700" s="10"/>
      <c r="FI700" s="10"/>
      <c r="FJ700" s="10"/>
      <c r="FK700" s="10"/>
      <c r="FL700" s="10"/>
      <c r="FM700" s="10"/>
      <c r="FN700" s="10"/>
      <c r="FO700" s="10"/>
      <c r="FP700" s="10"/>
      <c r="FQ700" s="10"/>
      <c r="FR700" s="10"/>
      <c r="FS700" s="10"/>
      <c r="FT700" s="10"/>
      <c r="FU700" s="10"/>
      <c r="FV700" s="10"/>
      <c r="FW700" s="10"/>
      <c r="FX700" s="10"/>
      <c r="FY700" s="10"/>
      <c r="FZ700" s="10"/>
      <c r="GA700" s="10"/>
      <c r="GB700" s="10"/>
      <c r="GC700" s="10"/>
      <c r="GD700" s="10"/>
      <c r="GE700" s="10"/>
      <c r="GF700" s="10"/>
      <c r="GG700" s="10"/>
      <c r="GH700" s="10"/>
      <c r="GI700" s="10"/>
      <c r="GJ700" s="10"/>
      <c r="GK700" s="10"/>
    </row>
    <row r="701" customFormat="false" ht="12.75" hidden="false" customHeight="false" outlineLevel="0" collapsed="false">
      <c r="A701" s="7"/>
      <c r="B701" s="7"/>
      <c r="C701" s="8"/>
      <c r="D701" s="8"/>
      <c r="E701" s="8"/>
      <c r="F701" s="8"/>
      <c r="G701" s="9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  <c r="BR701" s="10"/>
      <c r="BS701" s="10"/>
      <c r="BT701" s="10"/>
      <c r="BU701" s="10"/>
      <c r="BV701" s="10"/>
      <c r="BW701" s="10"/>
      <c r="BX701" s="10"/>
      <c r="BY701" s="10"/>
      <c r="BZ701" s="10"/>
      <c r="CA701" s="10"/>
      <c r="CB701" s="10"/>
      <c r="CC701" s="10"/>
      <c r="CD701" s="10"/>
      <c r="CE701" s="10"/>
      <c r="CF701" s="10"/>
      <c r="CG701" s="10"/>
      <c r="CH701" s="10"/>
      <c r="CI701" s="10"/>
      <c r="CJ701" s="10"/>
      <c r="CK701" s="10"/>
      <c r="CL701" s="10"/>
      <c r="CM701" s="10"/>
      <c r="CN701" s="10"/>
      <c r="CO701" s="10"/>
      <c r="CP701" s="10"/>
      <c r="CQ701" s="10"/>
      <c r="CR701" s="10"/>
      <c r="CS701" s="10"/>
      <c r="CT701" s="10"/>
      <c r="CU701" s="10"/>
      <c r="CV701" s="10"/>
      <c r="CW701" s="10"/>
      <c r="CX701" s="10"/>
      <c r="CY701" s="10"/>
      <c r="CZ701" s="10"/>
      <c r="DA701" s="10"/>
      <c r="DB701" s="10"/>
      <c r="DC701" s="10"/>
      <c r="DD701" s="10"/>
      <c r="DE701" s="10"/>
      <c r="DF701" s="10"/>
      <c r="DG701" s="10"/>
      <c r="DH701" s="10"/>
      <c r="DI701" s="10"/>
      <c r="DJ701" s="10"/>
      <c r="DK701" s="10"/>
      <c r="DL701" s="10"/>
      <c r="DM701" s="10"/>
      <c r="DN701" s="10"/>
      <c r="DO701" s="10"/>
      <c r="DP701" s="10"/>
      <c r="DQ701" s="10"/>
      <c r="DR701" s="10"/>
      <c r="DS701" s="10"/>
      <c r="DT701" s="10"/>
      <c r="DU701" s="10"/>
      <c r="DV701" s="10"/>
      <c r="DW701" s="10"/>
      <c r="DX701" s="10"/>
      <c r="DY701" s="10"/>
      <c r="DZ701" s="10"/>
      <c r="EA701" s="10"/>
      <c r="EB701" s="10"/>
      <c r="EC701" s="10"/>
      <c r="ED701" s="10"/>
      <c r="EE701" s="10"/>
      <c r="EF701" s="10"/>
      <c r="EG701" s="10"/>
      <c r="EH701" s="10"/>
      <c r="EI701" s="10"/>
      <c r="EJ701" s="10"/>
      <c r="EK701" s="10"/>
      <c r="EL701" s="10"/>
      <c r="EM701" s="10"/>
      <c r="EN701" s="10"/>
      <c r="EO701" s="10"/>
      <c r="EP701" s="10"/>
      <c r="EQ701" s="10"/>
      <c r="ER701" s="10"/>
      <c r="ES701" s="10"/>
      <c r="ET701" s="10"/>
      <c r="EU701" s="10"/>
      <c r="EV701" s="10"/>
      <c r="EW701" s="10"/>
      <c r="EX701" s="10"/>
      <c r="EY701" s="10"/>
      <c r="EZ701" s="10"/>
      <c r="FA701" s="10"/>
      <c r="FB701" s="10"/>
      <c r="FC701" s="10"/>
      <c r="FD701" s="10"/>
      <c r="FE701" s="10"/>
      <c r="FF701" s="10"/>
      <c r="FG701" s="10"/>
      <c r="FH701" s="10"/>
      <c r="FI701" s="10"/>
      <c r="FJ701" s="10"/>
      <c r="FK701" s="10"/>
      <c r="FL701" s="10"/>
      <c r="FM701" s="10"/>
      <c r="FN701" s="10"/>
      <c r="FO701" s="10"/>
      <c r="FP701" s="10"/>
      <c r="FQ701" s="10"/>
      <c r="FR701" s="10"/>
      <c r="FS701" s="10"/>
      <c r="FT701" s="10"/>
      <c r="FU701" s="10"/>
      <c r="FV701" s="10"/>
      <c r="FW701" s="10"/>
      <c r="FX701" s="10"/>
      <c r="FY701" s="10"/>
      <c r="FZ701" s="10"/>
      <c r="GA701" s="10"/>
      <c r="GB701" s="10"/>
      <c r="GC701" s="10"/>
      <c r="GD701" s="10"/>
      <c r="GE701" s="10"/>
      <c r="GF701" s="10"/>
      <c r="GG701" s="10"/>
      <c r="GH701" s="10"/>
      <c r="GI701" s="10"/>
      <c r="GJ701" s="10"/>
      <c r="GK701" s="10"/>
    </row>
    <row r="702" customFormat="false" ht="12.75" hidden="false" customHeight="false" outlineLevel="0" collapsed="false">
      <c r="A702" s="7"/>
      <c r="B702" s="7"/>
      <c r="C702" s="8"/>
      <c r="D702" s="8"/>
      <c r="E702" s="8"/>
      <c r="F702" s="8"/>
      <c r="G702" s="9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  <c r="BT702" s="10"/>
      <c r="BU702" s="10"/>
      <c r="BV702" s="10"/>
      <c r="BW702" s="10"/>
      <c r="BX702" s="10"/>
      <c r="BY702" s="10"/>
      <c r="BZ702" s="10"/>
      <c r="CA702" s="10"/>
      <c r="CB702" s="10"/>
      <c r="CC702" s="10"/>
      <c r="CD702" s="10"/>
      <c r="CE702" s="10"/>
      <c r="CF702" s="10"/>
      <c r="CG702" s="10"/>
      <c r="CH702" s="10"/>
      <c r="CI702" s="10"/>
      <c r="CJ702" s="10"/>
      <c r="CK702" s="10"/>
      <c r="CL702" s="10"/>
      <c r="CM702" s="10"/>
      <c r="CN702" s="10"/>
      <c r="CO702" s="10"/>
      <c r="CP702" s="10"/>
      <c r="CQ702" s="10"/>
      <c r="CR702" s="10"/>
      <c r="CS702" s="10"/>
      <c r="CT702" s="10"/>
      <c r="CU702" s="10"/>
      <c r="CV702" s="10"/>
      <c r="CW702" s="10"/>
      <c r="CX702" s="10"/>
      <c r="CY702" s="10"/>
      <c r="CZ702" s="10"/>
      <c r="DA702" s="10"/>
      <c r="DB702" s="10"/>
      <c r="DC702" s="10"/>
      <c r="DD702" s="10"/>
      <c r="DE702" s="10"/>
      <c r="DF702" s="10"/>
      <c r="DG702" s="10"/>
      <c r="DH702" s="10"/>
      <c r="DI702" s="10"/>
      <c r="DJ702" s="10"/>
      <c r="DK702" s="10"/>
      <c r="DL702" s="10"/>
      <c r="DM702" s="10"/>
      <c r="DN702" s="10"/>
      <c r="DO702" s="10"/>
      <c r="DP702" s="10"/>
      <c r="DQ702" s="10"/>
      <c r="DR702" s="10"/>
      <c r="DS702" s="10"/>
      <c r="DT702" s="10"/>
      <c r="DU702" s="10"/>
      <c r="DV702" s="10"/>
      <c r="DW702" s="10"/>
      <c r="DX702" s="10"/>
      <c r="DY702" s="10"/>
      <c r="DZ702" s="10"/>
      <c r="EA702" s="10"/>
      <c r="EB702" s="10"/>
      <c r="EC702" s="10"/>
      <c r="ED702" s="10"/>
      <c r="EE702" s="10"/>
      <c r="EF702" s="10"/>
      <c r="EG702" s="10"/>
      <c r="EH702" s="10"/>
      <c r="EI702" s="10"/>
      <c r="EJ702" s="10"/>
      <c r="EK702" s="10"/>
      <c r="EL702" s="10"/>
      <c r="EM702" s="10"/>
      <c r="EN702" s="10"/>
      <c r="EO702" s="10"/>
      <c r="EP702" s="10"/>
      <c r="EQ702" s="10"/>
      <c r="ER702" s="10"/>
      <c r="ES702" s="10"/>
      <c r="ET702" s="10"/>
      <c r="EU702" s="10"/>
      <c r="EV702" s="10"/>
      <c r="EW702" s="10"/>
      <c r="EX702" s="10"/>
      <c r="EY702" s="10"/>
      <c r="EZ702" s="10"/>
      <c r="FA702" s="10"/>
      <c r="FB702" s="10"/>
      <c r="FC702" s="10"/>
      <c r="FD702" s="10"/>
      <c r="FE702" s="10"/>
      <c r="FF702" s="10"/>
      <c r="FG702" s="10"/>
      <c r="FH702" s="10"/>
      <c r="FI702" s="10"/>
      <c r="FJ702" s="10"/>
      <c r="FK702" s="10"/>
      <c r="FL702" s="10"/>
      <c r="FM702" s="10"/>
      <c r="FN702" s="10"/>
      <c r="FO702" s="10"/>
      <c r="FP702" s="10"/>
      <c r="FQ702" s="10"/>
      <c r="FR702" s="10"/>
      <c r="FS702" s="10"/>
      <c r="FT702" s="10"/>
      <c r="FU702" s="10"/>
      <c r="FV702" s="10"/>
      <c r="FW702" s="10"/>
      <c r="FX702" s="10"/>
      <c r="FY702" s="10"/>
      <c r="FZ702" s="10"/>
      <c r="GA702" s="10"/>
      <c r="GB702" s="10"/>
      <c r="GC702" s="10"/>
      <c r="GD702" s="10"/>
      <c r="GE702" s="10"/>
      <c r="GF702" s="10"/>
      <c r="GG702" s="10"/>
      <c r="GH702" s="10"/>
      <c r="GI702" s="10"/>
      <c r="GJ702" s="10"/>
      <c r="GK702" s="10"/>
    </row>
    <row r="703" customFormat="false" ht="12.75" hidden="false" customHeight="false" outlineLevel="0" collapsed="false">
      <c r="A703" s="7"/>
      <c r="B703" s="7"/>
      <c r="C703" s="8"/>
      <c r="D703" s="8"/>
      <c r="E703" s="8"/>
      <c r="F703" s="8"/>
      <c r="G703" s="9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  <c r="BR703" s="10"/>
      <c r="BS703" s="10"/>
      <c r="BT703" s="10"/>
      <c r="BU703" s="10"/>
      <c r="BV703" s="10"/>
      <c r="BW703" s="10"/>
      <c r="BX703" s="10"/>
      <c r="BY703" s="10"/>
      <c r="BZ703" s="10"/>
      <c r="CA703" s="10"/>
      <c r="CB703" s="10"/>
      <c r="CC703" s="10"/>
      <c r="CD703" s="10"/>
      <c r="CE703" s="10"/>
      <c r="CF703" s="10"/>
      <c r="CG703" s="10"/>
      <c r="CH703" s="10"/>
      <c r="CI703" s="10"/>
      <c r="CJ703" s="10"/>
      <c r="CK703" s="10"/>
      <c r="CL703" s="10"/>
      <c r="CM703" s="10"/>
      <c r="CN703" s="10"/>
      <c r="CO703" s="10"/>
      <c r="CP703" s="10"/>
      <c r="CQ703" s="10"/>
      <c r="CR703" s="10"/>
      <c r="CS703" s="10"/>
      <c r="CT703" s="10"/>
      <c r="CU703" s="10"/>
      <c r="CV703" s="10"/>
      <c r="CW703" s="10"/>
      <c r="CX703" s="10"/>
      <c r="CY703" s="10"/>
      <c r="CZ703" s="10"/>
      <c r="DA703" s="10"/>
      <c r="DB703" s="10"/>
      <c r="DC703" s="10"/>
      <c r="DD703" s="10"/>
      <c r="DE703" s="10"/>
      <c r="DF703" s="10"/>
      <c r="DG703" s="10"/>
      <c r="DH703" s="10"/>
      <c r="DI703" s="10"/>
      <c r="DJ703" s="10"/>
      <c r="DK703" s="10"/>
      <c r="DL703" s="10"/>
      <c r="DM703" s="10"/>
      <c r="DN703" s="10"/>
      <c r="DO703" s="10"/>
      <c r="DP703" s="10"/>
      <c r="DQ703" s="10"/>
      <c r="DR703" s="10"/>
      <c r="DS703" s="10"/>
      <c r="DT703" s="10"/>
      <c r="DU703" s="10"/>
      <c r="DV703" s="10"/>
      <c r="DW703" s="10"/>
      <c r="DX703" s="10"/>
      <c r="DY703" s="10"/>
      <c r="DZ703" s="10"/>
      <c r="EA703" s="10"/>
      <c r="EB703" s="10"/>
      <c r="EC703" s="10"/>
      <c r="ED703" s="10"/>
      <c r="EE703" s="10"/>
      <c r="EF703" s="10"/>
      <c r="EG703" s="10"/>
      <c r="EH703" s="10"/>
      <c r="EI703" s="10"/>
      <c r="EJ703" s="10"/>
      <c r="EK703" s="10"/>
      <c r="EL703" s="10"/>
      <c r="EM703" s="10"/>
      <c r="EN703" s="10"/>
      <c r="EO703" s="10"/>
      <c r="EP703" s="10"/>
      <c r="EQ703" s="10"/>
      <c r="ER703" s="10"/>
      <c r="ES703" s="10"/>
      <c r="ET703" s="10"/>
      <c r="EU703" s="10"/>
      <c r="EV703" s="10"/>
      <c r="EW703" s="10"/>
      <c r="EX703" s="10"/>
      <c r="EY703" s="10"/>
      <c r="EZ703" s="10"/>
      <c r="FA703" s="10"/>
      <c r="FB703" s="10"/>
      <c r="FC703" s="10"/>
      <c r="FD703" s="10"/>
      <c r="FE703" s="10"/>
      <c r="FF703" s="10"/>
      <c r="FG703" s="10"/>
      <c r="FH703" s="10"/>
      <c r="FI703" s="10"/>
      <c r="FJ703" s="10"/>
      <c r="FK703" s="10"/>
      <c r="FL703" s="10"/>
      <c r="FM703" s="10"/>
      <c r="FN703" s="10"/>
      <c r="FO703" s="10"/>
      <c r="FP703" s="10"/>
      <c r="FQ703" s="10"/>
      <c r="FR703" s="10"/>
      <c r="FS703" s="10"/>
      <c r="FT703" s="10"/>
      <c r="FU703" s="10"/>
      <c r="FV703" s="10"/>
      <c r="FW703" s="10"/>
      <c r="FX703" s="10"/>
      <c r="FY703" s="10"/>
      <c r="FZ703" s="10"/>
      <c r="GA703" s="10"/>
      <c r="GB703" s="10"/>
      <c r="GC703" s="10"/>
      <c r="GD703" s="10"/>
      <c r="GE703" s="10"/>
      <c r="GF703" s="10"/>
      <c r="GG703" s="10"/>
      <c r="GH703" s="10"/>
      <c r="GI703" s="10"/>
      <c r="GJ703" s="10"/>
      <c r="GK703" s="10"/>
    </row>
    <row r="704" customFormat="false" ht="12.75" hidden="false" customHeight="false" outlineLevel="0" collapsed="false">
      <c r="A704" s="7"/>
      <c r="B704" s="7"/>
      <c r="C704" s="8"/>
      <c r="D704" s="8"/>
      <c r="E704" s="8"/>
      <c r="F704" s="8"/>
      <c r="G704" s="9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10"/>
      <c r="BQ704" s="10"/>
      <c r="BR704" s="10"/>
      <c r="BS704" s="10"/>
      <c r="BT704" s="10"/>
      <c r="BU704" s="10"/>
      <c r="BV704" s="10"/>
      <c r="BW704" s="10"/>
      <c r="BX704" s="10"/>
      <c r="BY704" s="10"/>
      <c r="BZ704" s="10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  <c r="EM704" s="10"/>
      <c r="EN704" s="10"/>
      <c r="EO704" s="10"/>
      <c r="EP704" s="10"/>
      <c r="EQ704" s="10"/>
      <c r="ER704" s="10"/>
      <c r="ES704" s="10"/>
      <c r="ET704" s="10"/>
      <c r="EU704" s="10"/>
      <c r="EV704" s="10"/>
      <c r="EW704" s="10"/>
      <c r="EX704" s="10"/>
      <c r="EY704" s="10"/>
      <c r="EZ704" s="10"/>
      <c r="FA704" s="10"/>
      <c r="FB704" s="10"/>
      <c r="FC704" s="10"/>
      <c r="FD704" s="10"/>
      <c r="FE704" s="10"/>
      <c r="FF704" s="10"/>
      <c r="FG704" s="10"/>
      <c r="FH704" s="10"/>
      <c r="FI704" s="10"/>
      <c r="FJ704" s="10"/>
      <c r="FK704" s="10"/>
      <c r="FL704" s="10"/>
      <c r="FM704" s="10"/>
      <c r="FN704" s="10"/>
      <c r="FO704" s="10"/>
      <c r="FP704" s="10"/>
      <c r="FQ704" s="10"/>
      <c r="FR704" s="10"/>
      <c r="FS704" s="10"/>
      <c r="FT704" s="10"/>
      <c r="FU704" s="10"/>
      <c r="FV704" s="10"/>
      <c r="FW704" s="10"/>
      <c r="FX704" s="10"/>
      <c r="FY704" s="10"/>
      <c r="FZ704" s="10"/>
      <c r="GA704" s="10"/>
      <c r="GB704" s="10"/>
      <c r="GC704" s="10"/>
      <c r="GD704" s="10"/>
      <c r="GE704" s="10"/>
      <c r="GF704" s="10"/>
      <c r="GG704" s="10"/>
      <c r="GH704" s="10"/>
      <c r="GI704" s="10"/>
      <c r="GJ704" s="10"/>
      <c r="GK704" s="10"/>
    </row>
    <row r="705" customFormat="false" ht="12.75" hidden="false" customHeight="false" outlineLevel="0" collapsed="false">
      <c r="A705" s="7"/>
      <c r="B705" s="7"/>
      <c r="C705" s="8"/>
      <c r="D705" s="8"/>
      <c r="E705" s="8"/>
      <c r="F705" s="8"/>
      <c r="G705" s="9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/>
      <c r="BP705" s="10"/>
      <c r="BQ705" s="10"/>
      <c r="BR705" s="10"/>
      <c r="BS705" s="10"/>
      <c r="BT705" s="10"/>
      <c r="BU705" s="10"/>
      <c r="BV705" s="10"/>
      <c r="BW705" s="10"/>
      <c r="BX705" s="10"/>
      <c r="BY705" s="10"/>
      <c r="BZ705" s="10"/>
      <c r="CA705" s="10"/>
      <c r="CB705" s="10"/>
      <c r="CC705" s="10"/>
      <c r="CD705" s="10"/>
      <c r="CE705" s="10"/>
      <c r="CF705" s="10"/>
      <c r="CG705" s="10"/>
      <c r="CH705" s="10"/>
      <c r="CI705" s="10"/>
      <c r="CJ705" s="10"/>
      <c r="CK705" s="10"/>
      <c r="CL705" s="10"/>
      <c r="CM705" s="10"/>
      <c r="CN705" s="10"/>
      <c r="CO705" s="10"/>
      <c r="CP705" s="10"/>
      <c r="CQ705" s="10"/>
      <c r="CR705" s="10"/>
      <c r="CS705" s="10"/>
      <c r="CT705" s="10"/>
      <c r="CU705" s="10"/>
      <c r="CV705" s="10"/>
      <c r="CW705" s="10"/>
      <c r="CX705" s="10"/>
      <c r="CY705" s="10"/>
      <c r="CZ705" s="10"/>
      <c r="DA705" s="10"/>
      <c r="DB705" s="10"/>
      <c r="DC705" s="10"/>
      <c r="DD705" s="10"/>
      <c r="DE705" s="10"/>
      <c r="DF705" s="10"/>
      <c r="DG705" s="10"/>
      <c r="DH705" s="10"/>
      <c r="DI705" s="10"/>
      <c r="DJ705" s="10"/>
      <c r="DK705" s="10"/>
      <c r="DL705" s="10"/>
      <c r="DM705" s="10"/>
      <c r="DN705" s="10"/>
      <c r="DO705" s="10"/>
      <c r="DP705" s="10"/>
      <c r="DQ705" s="10"/>
      <c r="DR705" s="10"/>
      <c r="DS705" s="10"/>
      <c r="DT705" s="10"/>
      <c r="DU705" s="10"/>
      <c r="DV705" s="10"/>
      <c r="DW705" s="10"/>
      <c r="DX705" s="10"/>
      <c r="DY705" s="10"/>
      <c r="DZ705" s="10"/>
      <c r="EA705" s="10"/>
      <c r="EB705" s="10"/>
      <c r="EC705" s="10"/>
      <c r="ED705" s="10"/>
      <c r="EE705" s="10"/>
      <c r="EF705" s="10"/>
      <c r="EG705" s="10"/>
      <c r="EH705" s="10"/>
      <c r="EI705" s="10"/>
      <c r="EJ705" s="10"/>
      <c r="EK705" s="10"/>
      <c r="EL705" s="10"/>
      <c r="EM705" s="10"/>
      <c r="EN705" s="10"/>
      <c r="EO705" s="10"/>
      <c r="EP705" s="10"/>
      <c r="EQ705" s="10"/>
      <c r="ER705" s="10"/>
      <c r="ES705" s="10"/>
      <c r="ET705" s="10"/>
      <c r="EU705" s="10"/>
      <c r="EV705" s="10"/>
      <c r="EW705" s="10"/>
      <c r="EX705" s="10"/>
      <c r="EY705" s="10"/>
      <c r="EZ705" s="10"/>
      <c r="FA705" s="10"/>
      <c r="FB705" s="10"/>
      <c r="FC705" s="10"/>
      <c r="FD705" s="10"/>
      <c r="FE705" s="10"/>
      <c r="FF705" s="10"/>
      <c r="FG705" s="10"/>
      <c r="FH705" s="10"/>
      <c r="FI705" s="10"/>
      <c r="FJ705" s="10"/>
      <c r="FK705" s="10"/>
      <c r="FL705" s="10"/>
      <c r="FM705" s="10"/>
      <c r="FN705" s="10"/>
      <c r="FO705" s="10"/>
      <c r="FP705" s="10"/>
      <c r="FQ705" s="10"/>
      <c r="FR705" s="10"/>
      <c r="FS705" s="10"/>
      <c r="FT705" s="10"/>
      <c r="FU705" s="10"/>
      <c r="FV705" s="10"/>
      <c r="FW705" s="10"/>
      <c r="FX705" s="10"/>
      <c r="FY705" s="10"/>
      <c r="FZ705" s="10"/>
      <c r="GA705" s="10"/>
      <c r="GB705" s="10"/>
      <c r="GC705" s="10"/>
      <c r="GD705" s="10"/>
      <c r="GE705" s="10"/>
      <c r="GF705" s="10"/>
      <c r="GG705" s="10"/>
      <c r="GH705" s="10"/>
      <c r="GI705" s="10"/>
      <c r="GJ705" s="10"/>
      <c r="GK705" s="10"/>
    </row>
    <row r="706" customFormat="false" ht="12.75" hidden="false" customHeight="false" outlineLevel="0" collapsed="false">
      <c r="A706" s="7"/>
      <c r="B706" s="7"/>
      <c r="C706" s="8"/>
      <c r="D706" s="8"/>
      <c r="E706" s="8"/>
      <c r="F706" s="8"/>
      <c r="G706" s="9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10"/>
      <c r="BQ706" s="10"/>
      <c r="BR706" s="10"/>
      <c r="BS706" s="10"/>
      <c r="BT706" s="10"/>
      <c r="BU706" s="10"/>
      <c r="BV706" s="10"/>
      <c r="BW706" s="10"/>
      <c r="BX706" s="10"/>
      <c r="BY706" s="10"/>
      <c r="BZ706" s="10"/>
      <c r="CA706" s="10"/>
      <c r="CB706" s="10"/>
      <c r="CC706" s="10"/>
      <c r="CD706" s="10"/>
      <c r="CE706" s="10"/>
      <c r="CF706" s="10"/>
      <c r="CG706" s="10"/>
      <c r="CH706" s="10"/>
      <c r="CI706" s="10"/>
      <c r="CJ706" s="10"/>
      <c r="CK706" s="10"/>
      <c r="CL706" s="10"/>
      <c r="CM706" s="10"/>
      <c r="CN706" s="10"/>
      <c r="CO706" s="10"/>
      <c r="CP706" s="10"/>
      <c r="CQ706" s="10"/>
      <c r="CR706" s="10"/>
      <c r="CS706" s="10"/>
      <c r="CT706" s="10"/>
      <c r="CU706" s="10"/>
      <c r="CV706" s="10"/>
      <c r="CW706" s="10"/>
      <c r="CX706" s="10"/>
      <c r="CY706" s="10"/>
      <c r="CZ706" s="10"/>
      <c r="DA706" s="10"/>
      <c r="DB706" s="10"/>
      <c r="DC706" s="10"/>
      <c r="DD706" s="10"/>
      <c r="DE706" s="10"/>
      <c r="DF706" s="10"/>
      <c r="DG706" s="10"/>
      <c r="DH706" s="10"/>
      <c r="DI706" s="10"/>
      <c r="DJ706" s="10"/>
      <c r="DK706" s="10"/>
      <c r="DL706" s="10"/>
      <c r="DM706" s="10"/>
      <c r="DN706" s="10"/>
      <c r="DO706" s="10"/>
      <c r="DP706" s="10"/>
      <c r="DQ706" s="10"/>
      <c r="DR706" s="10"/>
      <c r="DS706" s="10"/>
      <c r="DT706" s="10"/>
      <c r="DU706" s="10"/>
      <c r="DV706" s="10"/>
      <c r="DW706" s="10"/>
      <c r="DX706" s="10"/>
      <c r="DY706" s="10"/>
      <c r="DZ706" s="10"/>
      <c r="EA706" s="10"/>
      <c r="EB706" s="10"/>
      <c r="EC706" s="10"/>
      <c r="ED706" s="10"/>
      <c r="EE706" s="10"/>
      <c r="EF706" s="10"/>
      <c r="EG706" s="10"/>
      <c r="EH706" s="10"/>
      <c r="EI706" s="10"/>
      <c r="EJ706" s="10"/>
      <c r="EK706" s="10"/>
      <c r="EL706" s="10"/>
      <c r="EM706" s="10"/>
      <c r="EN706" s="10"/>
      <c r="EO706" s="10"/>
      <c r="EP706" s="10"/>
      <c r="EQ706" s="10"/>
      <c r="ER706" s="10"/>
      <c r="ES706" s="10"/>
      <c r="ET706" s="10"/>
      <c r="EU706" s="10"/>
      <c r="EV706" s="10"/>
      <c r="EW706" s="10"/>
      <c r="EX706" s="10"/>
      <c r="EY706" s="10"/>
      <c r="EZ706" s="10"/>
      <c r="FA706" s="10"/>
      <c r="FB706" s="10"/>
      <c r="FC706" s="10"/>
      <c r="FD706" s="10"/>
      <c r="FE706" s="10"/>
      <c r="FF706" s="10"/>
      <c r="FG706" s="10"/>
      <c r="FH706" s="10"/>
      <c r="FI706" s="10"/>
      <c r="FJ706" s="10"/>
      <c r="FK706" s="10"/>
      <c r="FL706" s="10"/>
      <c r="FM706" s="10"/>
      <c r="FN706" s="10"/>
      <c r="FO706" s="10"/>
      <c r="FP706" s="10"/>
      <c r="FQ706" s="10"/>
      <c r="FR706" s="10"/>
      <c r="FS706" s="10"/>
      <c r="FT706" s="10"/>
      <c r="FU706" s="10"/>
      <c r="FV706" s="10"/>
      <c r="FW706" s="10"/>
      <c r="FX706" s="10"/>
      <c r="FY706" s="10"/>
      <c r="FZ706" s="10"/>
      <c r="GA706" s="10"/>
      <c r="GB706" s="10"/>
      <c r="GC706" s="10"/>
      <c r="GD706" s="10"/>
      <c r="GE706" s="10"/>
      <c r="GF706" s="10"/>
      <c r="GG706" s="10"/>
      <c r="GH706" s="10"/>
      <c r="GI706" s="10"/>
      <c r="GJ706" s="10"/>
      <c r="GK706" s="10"/>
    </row>
    <row r="707" customFormat="false" ht="12.75" hidden="false" customHeight="false" outlineLevel="0" collapsed="false">
      <c r="A707" s="7"/>
      <c r="B707" s="7"/>
      <c r="C707" s="8"/>
      <c r="D707" s="8"/>
      <c r="E707" s="8"/>
      <c r="F707" s="8"/>
      <c r="G707" s="9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10"/>
      <c r="BQ707" s="10"/>
      <c r="BR707" s="10"/>
      <c r="BS707" s="10"/>
      <c r="BT707" s="10"/>
      <c r="BU707" s="10"/>
      <c r="BV707" s="10"/>
      <c r="BW707" s="10"/>
      <c r="BX707" s="10"/>
      <c r="BY707" s="10"/>
      <c r="BZ707" s="10"/>
      <c r="CA707" s="10"/>
      <c r="CB707" s="10"/>
      <c r="CC707" s="10"/>
      <c r="CD707" s="10"/>
      <c r="CE707" s="10"/>
      <c r="CF707" s="10"/>
      <c r="CG707" s="10"/>
      <c r="CH707" s="10"/>
      <c r="CI707" s="10"/>
      <c r="CJ707" s="10"/>
      <c r="CK707" s="10"/>
      <c r="CL707" s="10"/>
      <c r="CM707" s="10"/>
      <c r="CN707" s="10"/>
      <c r="CO707" s="10"/>
      <c r="CP707" s="10"/>
      <c r="CQ707" s="10"/>
      <c r="CR707" s="10"/>
      <c r="CS707" s="10"/>
      <c r="CT707" s="10"/>
      <c r="CU707" s="10"/>
      <c r="CV707" s="10"/>
      <c r="CW707" s="10"/>
      <c r="CX707" s="10"/>
      <c r="CY707" s="10"/>
      <c r="CZ707" s="10"/>
      <c r="DA707" s="10"/>
      <c r="DB707" s="10"/>
      <c r="DC707" s="10"/>
      <c r="DD707" s="10"/>
      <c r="DE707" s="10"/>
      <c r="DF707" s="10"/>
      <c r="DG707" s="10"/>
      <c r="DH707" s="10"/>
      <c r="DI707" s="10"/>
      <c r="DJ707" s="10"/>
      <c r="DK707" s="10"/>
      <c r="DL707" s="10"/>
      <c r="DM707" s="10"/>
      <c r="DN707" s="10"/>
      <c r="DO707" s="10"/>
      <c r="DP707" s="10"/>
      <c r="DQ707" s="10"/>
      <c r="DR707" s="10"/>
      <c r="DS707" s="10"/>
      <c r="DT707" s="10"/>
      <c r="DU707" s="10"/>
      <c r="DV707" s="10"/>
      <c r="DW707" s="10"/>
      <c r="DX707" s="10"/>
      <c r="DY707" s="10"/>
      <c r="DZ707" s="10"/>
      <c r="EA707" s="10"/>
      <c r="EB707" s="10"/>
      <c r="EC707" s="10"/>
      <c r="ED707" s="10"/>
      <c r="EE707" s="10"/>
      <c r="EF707" s="10"/>
      <c r="EG707" s="10"/>
      <c r="EH707" s="10"/>
      <c r="EI707" s="10"/>
      <c r="EJ707" s="10"/>
      <c r="EK707" s="10"/>
      <c r="EL707" s="10"/>
      <c r="EM707" s="10"/>
      <c r="EN707" s="10"/>
      <c r="EO707" s="10"/>
      <c r="EP707" s="10"/>
      <c r="EQ707" s="10"/>
      <c r="ER707" s="10"/>
      <c r="ES707" s="10"/>
      <c r="ET707" s="10"/>
      <c r="EU707" s="10"/>
      <c r="EV707" s="10"/>
      <c r="EW707" s="10"/>
      <c r="EX707" s="10"/>
      <c r="EY707" s="10"/>
      <c r="EZ707" s="10"/>
      <c r="FA707" s="10"/>
      <c r="FB707" s="10"/>
      <c r="FC707" s="10"/>
      <c r="FD707" s="10"/>
      <c r="FE707" s="10"/>
      <c r="FF707" s="10"/>
      <c r="FG707" s="10"/>
      <c r="FH707" s="10"/>
      <c r="FI707" s="10"/>
      <c r="FJ707" s="10"/>
      <c r="FK707" s="10"/>
      <c r="FL707" s="10"/>
      <c r="FM707" s="10"/>
      <c r="FN707" s="10"/>
      <c r="FO707" s="10"/>
      <c r="FP707" s="10"/>
      <c r="FQ707" s="10"/>
      <c r="FR707" s="10"/>
      <c r="FS707" s="10"/>
      <c r="FT707" s="10"/>
      <c r="FU707" s="10"/>
      <c r="FV707" s="10"/>
      <c r="FW707" s="10"/>
      <c r="FX707" s="10"/>
      <c r="FY707" s="10"/>
      <c r="FZ707" s="10"/>
      <c r="GA707" s="10"/>
      <c r="GB707" s="10"/>
      <c r="GC707" s="10"/>
      <c r="GD707" s="10"/>
      <c r="GE707" s="10"/>
      <c r="GF707" s="10"/>
      <c r="GG707" s="10"/>
      <c r="GH707" s="10"/>
      <c r="GI707" s="10"/>
      <c r="GJ707" s="10"/>
      <c r="GK707" s="10"/>
    </row>
    <row r="708" customFormat="false" ht="12.75" hidden="false" customHeight="false" outlineLevel="0" collapsed="false">
      <c r="A708" s="7"/>
      <c r="B708" s="7"/>
      <c r="C708" s="8"/>
      <c r="D708" s="8"/>
      <c r="E708" s="8"/>
      <c r="F708" s="8"/>
      <c r="G708" s="9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0"/>
      <c r="BP708" s="10"/>
      <c r="BQ708" s="10"/>
      <c r="BR708" s="10"/>
      <c r="BS708" s="10"/>
      <c r="BT708" s="10"/>
      <c r="BU708" s="10"/>
      <c r="BV708" s="10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  <c r="EM708" s="10"/>
      <c r="EN708" s="10"/>
      <c r="EO708" s="10"/>
      <c r="EP708" s="10"/>
      <c r="EQ708" s="10"/>
      <c r="ER708" s="10"/>
      <c r="ES708" s="10"/>
      <c r="ET708" s="10"/>
      <c r="EU708" s="10"/>
      <c r="EV708" s="10"/>
      <c r="EW708" s="10"/>
      <c r="EX708" s="10"/>
      <c r="EY708" s="10"/>
      <c r="EZ708" s="10"/>
      <c r="FA708" s="10"/>
      <c r="FB708" s="10"/>
      <c r="FC708" s="10"/>
      <c r="FD708" s="10"/>
      <c r="FE708" s="10"/>
      <c r="FF708" s="10"/>
      <c r="FG708" s="10"/>
      <c r="FH708" s="10"/>
      <c r="FI708" s="10"/>
      <c r="FJ708" s="10"/>
      <c r="FK708" s="10"/>
      <c r="FL708" s="10"/>
      <c r="FM708" s="10"/>
      <c r="FN708" s="10"/>
      <c r="FO708" s="10"/>
      <c r="FP708" s="10"/>
      <c r="FQ708" s="10"/>
      <c r="FR708" s="10"/>
      <c r="FS708" s="10"/>
      <c r="FT708" s="10"/>
      <c r="FU708" s="10"/>
      <c r="FV708" s="10"/>
      <c r="FW708" s="10"/>
      <c r="FX708" s="10"/>
      <c r="FY708" s="10"/>
      <c r="FZ708" s="10"/>
      <c r="GA708" s="10"/>
      <c r="GB708" s="10"/>
      <c r="GC708" s="10"/>
      <c r="GD708" s="10"/>
      <c r="GE708" s="10"/>
      <c r="GF708" s="10"/>
      <c r="GG708" s="10"/>
      <c r="GH708" s="10"/>
      <c r="GI708" s="10"/>
      <c r="GJ708" s="10"/>
      <c r="GK708" s="10"/>
    </row>
    <row r="709" customFormat="false" ht="12.75" hidden="false" customHeight="false" outlineLevel="0" collapsed="false">
      <c r="A709" s="7"/>
      <c r="B709" s="7"/>
      <c r="C709" s="8"/>
      <c r="D709" s="8"/>
      <c r="E709" s="8"/>
      <c r="F709" s="8"/>
      <c r="G709" s="9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  <c r="BR709" s="10"/>
      <c r="BS709" s="10"/>
      <c r="BT709" s="10"/>
      <c r="BU709" s="10"/>
      <c r="BV709" s="10"/>
      <c r="BW709" s="10"/>
      <c r="BX709" s="10"/>
      <c r="BY709" s="10"/>
      <c r="BZ709" s="10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/>
      <c r="CK709" s="10"/>
      <c r="CL709" s="10"/>
      <c r="CM709" s="10"/>
      <c r="CN709" s="10"/>
      <c r="CO709" s="10"/>
      <c r="CP709" s="10"/>
      <c r="CQ709" s="10"/>
      <c r="CR709" s="10"/>
      <c r="CS709" s="10"/>
      <c r="CT709" s="10"/>
      <c r="CU709" s="10"/>
      <c r="CV709" s="10"/>
      <c r="CW709" s="10"/>
      <c r="CX709" s="10"/>
      <c r="CY709" s="10"/>
      <c r="CZ709" s="10"/>
      <c r="DA709" s="10"/>
      <c r="DB709" s="10"/>
      <c r="DC709" s="10"/>
      <c r="DD709" s="10"/>
      <c r="DE709" s="10"/>
      <c r="DF709" s="10"/>
      <c r="DG709" s="10"/>
      <c r="DH709" s="10"/>
      <c r="DI709" s="10"/>
      <c r="DJ709" s="10"/>
      <c r="DK709" s="10"/>
      <c r="DL709" s="10"/>
      <c r="DM709" s="10"/>
      <c r="DN709" s="10"/>
      <c r="DO709" s="10"/>
      <c r="DP709" s="10"/>
      <c r="DQ709" s="10"/>
      <c r="DR709" s="10"/>
      <c r="DS709" s="10"/>
      <c r="DT709" s="10"/>
      <c r="DU709" s="10"/>
      <c r="DV709" s="10"/>
      <c r="DW709" s="10"/>
      <c r="DX709" s="10"/>
      <c r="DY709" s="10"/>
      <c r="DZ709" s="10"/>
      <c r="EA709" s="10"/>
      <c r="EB709" s="10"/>
      <c r="EC709" s="10"/>
      <c r="ED709" s="10"/>
      <c r="EE709" s="10"/>
      <c r="EF709" s="10"/>
      <c r="EG709" s="10"/>
      <c r="EH709" s="10"/>
      <c r="EI709" s="10"/>
      <c r="EJ709" s="10"/>
      <c r="EK709" s="10"/>
      <c r="EL709" s="10"/>
      <c r="EM709" s="10"/>
      <c r="EN709" s="10"/>
      <c r="EO709" s="10"/>
      <c r="EP709" s="10"/>
      <c r="EQ709" s="10"/>
      <c r="ER709" s="10"/>
      <c r="ES709" s="10"/>
      <c r="ET709" s="10"/>
      <c r="EU709" s="10"/>
      <c r="EV709" s="10"/>
      <c r="EW709" s="10"/>
      <c r="EX709" s="10"/>
      <c r="EY709" s="10"/>
      <c r="EZ709" s="10"/>
      <c r="FA709" s="10"/>
      <c r="FB709" s="10"/>
      <c r="FC709" s="10"/>
      <c r="FD709" s="10"/>
      <c r="FE709" s="10"/>
      <c r="FF709" s="10"/>
      <c r="FG709" s="10"/>
      <c r="FH709" s="10"/>
      <c r="FI709" s="10"/>
      <c r="FJ709" s="10"/>
      <c r="FK709" s="10"/>
      <c r="FL709" s="10"/>
      <c r="FM709" s="10"/>
      <c r="FN709" s="10"/>
      <c r="FO709" s="10"/>
      <c r="FP709" s="10"/>
      <c r="FQ709" s="10"/>
      <c r="FR709" s="10"/>
      <c r="FS709" s="10"/>
      <c r="FT709" s="10"/>
      <c r="FU709" s="10"/>
      <c r="FV709" s="10"/>
      <c r="FW709" s="10"/>
      <c r="FX709" s="10"/>
      <c r="FY709" s="10"/>
      <c r="FZ709" s="10"/>
      <c r="GA709" s="10"/>
      <c r="GB709" s="10"/>
      <c r="GC709" s="10"/>
      <c r="GD709" s="10"/>
      <c r="GE709" s="10"/>
      <c r="GF709" s="10"/>
      <c r="GG709" s="10"/>
      <c r="GH709" s="10"/>
      <c r="GI709" s="10"/>
      <c r="GJ709" s="10"/>
      <c r="GK709" s="10"/>
    </row>
    <row r="710" customFormat="false" ht="12.75" hidden="false" customHeight="false" outlineLevel="0" collapsed="false">
      <c r="A710" s="7"/>
      <c r="B710" s="7"/>
      <c r="C710" s="8"/>
      <c r="D710" s="8"/>
      <c r="E710" s="8"/>
      <c r="F710" s="8"/>
      <c r="G710" s="9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  <c r="BS710" s="10"/>
      <c r="BT710" s="10"/>
      <c r="BU710" s="10"/>
      <c r="BV710" s="10"/>
      <c r="BW710" s="10"/>
      <c r="BX710" s="10"/>
      <c r="BY710" s="10"/>
      <c r="BZ710" s="10"/>
      <c r="CA710" s="10"/>
      <c r="CB710" s="10"/>
      <c r="CC710" s="10"/>
      <c r="CD710" s="10"/>
      <c r="CE710" s="10"/>
      <c r="CF710" s="10"/>
      <c r="CG710" s="10"/>
      <c r="CH710" s="10"/>
      <c r="CI710" s="10"/>
      <c r="CJ710" s="10"/>
      <c r="CK710" s="10"/>
      <c r="CL710" s="10"/>
      <c r="CM710" s="10"/>
      <c r="CN710" s="10"/>
      <c r="CO710" s="10"/>
      <c r="CP710" s="10"/>
      <c r="CQ710" s="10"/>
      <c r="CR710" s="10"/>
      <c r="CS710" s="10"/>
      <c r="CT710" s="10"/>
      <c r="CU710" s="10"/>
      <c r="CV710" s="10"/>
      <c r="CW710" s="10"/>
      <c r="CX710" s="10"/>
      <c r="CY710" s="10"/>
      <c r="CZ710" s="10"/>
      <c r="DA710" s="10"/>
      <c r="DB710" s="10"/>
      <c r="DC710" s="10"/>
      <c r="DD710" s="10"/>
      <c r="DE710" s="10"/>
      <c r="DF710" s="10"/>
      <c r="DG710" s="10"/>
      <c r="DH710" s="10"/>
      <c r="DI710" s="10"/>
      <c r="DJ710" s="10"/>
      <c r="DK710" s="10"/>
      <c r="DL710" s="10"/>
      <c r="DM710" s="10"/>
      <c r="DN710" s="10"/>
      <c r="DO710" s="10"/>
      <c r="DP710" s="10"/>
      <c r="DQ710" s="10"/>
      <c r="DR710" s="10"/>
      <c r="DS710" s="10"/>
      <c r="DT710" s="10"/>
      <c r="DU710" s="10"/>
      <c r="DV710" s="10"/>
      <c r="DW710" s="10"/>
      <c r="DX710" s="10"/>
      <c r="DY710" s="10"/>
      <c r="DZ710" s="10"/>
      <c r="EA710" s="10"/>
      <c r="EB710" s="10"/>
      <c r="EC710" s="10"/>
      <c r="ED710" s="10"/>
      <c r="EE710" s="10"/>
      <c r="EF710" s="10"/>
      <c r="EG710" s="10"/>
      <c r="EH710" s="10"/>
      <c r="EI710" s="10"/>
      <c r="EJ710" s="10"/>
      <c r="EK710" s="10"/>
      <c r="EL710" s="10"/>
      <c r="EM710" s="10"/>
      <c r="EN710" s="10"/>
      <c r="EO710" s="10"/>
      <c r="EP710" s="10"/>
      <c r="EQ710" s="10"/>
      <c r="ER710" s="10"/>
      <c r="ES710" s="10"/>
      <c r="ET710" s="10"/>
      <c r="EU710" s="10"/>
      <c r="EV710" s="10"/>
      <c r="EW710" s="10"/>
      <c r="EX710" s="10"/>
      <c r="EY710" s="10"/>
      <c r="EZ710" s="10"/>
      <c r="FA710" s="10"/>
      <c r="FB710" s="10"/>
      <c r="FC710" s="10"/>
      <c r="FD710" s="10"/>
      <c r="FE710" s="10"/>
      <c r="FF710" s="10"/>
      <c r="FG710" s="10"/>
      <c r="FH710" s="10"/>
      <c r="FI710" s="10"/>
      <c r="FJ710" s="10"/>
      <c r="FK710" s="10"/>
      <c r="FL710" s="10"/>
      <c r="FM710" s="10"/>
      <c r="FN710" s="10"/>
      <c r="FO710" s="10"/>
      <c r="FP710" s="10"/>
      <c r="FQ710" s="10"/>
      <c r="FR710" s="10"/>
      <c r="FS710" s="10"/>
      <c r="FT710" s="10"/>
      <c r="FU710" s="10"/>
      <c r="FV710" s="10"/>
      <c r="FW710" s="10"/>
      <c r="FX710" s="10"/>
      <c r="FY710" s="10"/>
      <c r="FZ710" s="10"/>
      <c r="GA710" s="10"/>
      <c r="GB710" s="10"/>
      <c r="GC710" s="10"/>
      <c r="GD710" s="10"/>
      <c r="GE710" s="10"/>
      <c r="GF710" s="10"/>
      <c r="GG710" s="10"/>
      <c r="GH710" s="10"/>
      <c r="GI710" s="10"/>
      <c r="GJ710" s="10"/>
      <c r="GK710" s="10"/>
    </row>
    <row r="711" customFormat="false" ht="12.75" hidden="false" customHeight="false" outlineLevel="0" collapsed="false">
      <c r="A711" s="7"/>
      <c r="B711" s="7"/>
      <c r="C711" s="8"/>
      <c r="D711" s="8"/>
      <c r="E711" s="8"/>
      <c r="F711" s="8"/>
      <c r="G711" s="9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10"/>
      <c r="BQ711" s="10"/>
      <c r="BR711" s="10"/>
      <c r="BS711" s="10"/>
      <c r="BT711" s="10"/>
      <c r="BU711" s="10"/>
      <c r="BV711" s="10"/>
      <c r="BW711" s="10"/>
      <c r="BX711" s="10"/>
      <c r="BY711" s="10"/>
      <c r="BZ711" s="10"/>
      <c r="CA711" s="10"/>
      <c r="CB711" s="10"/>
      <c r="CC711" s="10"/>
      <c r="CD711" s="10"/>
      <c r="CE711" s="10"/>
      <c r="CF711" s="10"/>
      <c r="CG711" s="10"/>
      <c r="CH711" s="10"/>
      <c r="CI711" s="10"/>
      <c r="CJ711" s="10"/>
      <c r="CK711" s="10"/>
      <c r="CL711" s="10"/>
      <c r="CM711" s="10"/>
      <c r="CN711" s="10"/>
      <c r="CO711" s="10"/>
      <c r="CP711" s="10"/>
      <c r="CQ711" s="10"/>
      <c r="CR711" s="10"/>
      <c r="CS711" s="10"/>
      <c r="CT711" s="10"/>
      <c r="CU711" s="10"/>
      <c r="CV711" s="10"/>
      <c r="CW711" s="10"/>
      <c r="CX711" s="10"/>
      <c r="CY711" s="10"/>
      <c r="CZ711" s="10"/>
      <c r="DA711" s="10"/>
      <c r="DB711" s="10"/>
      <c r="DC711" s="10"/>
      <c r="DD711" s="10"/>
      <c r="DE711" s="10"/>
      <c r="DF711" s="10"/>
      <c r="DG711" s="10"/>
      <c r="DH711" s="10"/>
      <c r="DI711" s="10"/>
      <c r="DJ711" s="10"/>
      <c r="DK711" s="10"/>
      <c r="DL711" s="10"/>
      <c r="DM711" s="10"/>
      <c r="DN711" s="10"/>
      <c r="DO711" s="10"/>
      <c r="DP711" s="10"/>
      <c r="DQ711" s="10"/>
      <c r="DR711" s="10"/>
      <c r="DS711" s="10"/>
      <c r="DT711" s="10"/>
      <c r="DU711" s="10"/>
      <c r="DV711" s="10"/>
      <c r="DW711" s="10"/>
      <c r="DX711" s="10"/>
      <c r="DY711" s="10"/>
      <c r="DZ711" s="10"/>
      <c r="EA711" s="10"/>
      <c r="EB711" s="10"/>
      <c r="EC711" s="10"/>
      <c r="ED711" s="10"/>
      <c r="EE711" s="10"/>
      <c r="EF711" s="10"/>
      <c r="EG711" s="10"/>
      <c r="EH711" s="10"/>
      <c r="EI711" s="10"/>
      <c r="EJ711" s="10"/>
      <c r="EK711" s="10"/>
      <c r="EL711" s="10"/>
      <c r="EM711" s="10"/>
      <c r="EN711" s="10"/>
      <c r="EO711" s="10"/>
      <c r="EP711" s="10"/>
      <c r="EQ711" s="10"/>
      <c r="ER711" s="10"/>
      <c r="ES711" s="10"/>
      <c r="ET711" s="10"/>
      <c r="EU711" s="10"/>
      <c r="EV711" s="10"/>
      <c r="EW711" s="10"/>
      <c r="EX711" s="10"/>
      <c r="EY711" s="10"/>
      <c r="EZ711" s="10"/>
      <c r="FA711" s="10"/>
      <c r="FB711" s="10"/>
      <c r="FC711" s="10"/>
      <c r="FD711" s="10"/>
      <c r="FE711" s="10"/>
      <c r="FF711" s="10"/>
      <c r="FG711" s="10"/>
      <c r="FH711" s="10"/>
      <c r="FI711" s="10"/>
      <c r="FJ711" s="10"/>
      <c r="FK711" s="10"/>
      <c r="FL711" s="10"/>
      <c r="FM711" s="10"/>
      <c r="FN711" s="10"/>
      <c r="FO711" s="10"/>
      <c r="FP711" s="10"/>
      <c r="FQ711" s="10"/>
      <c r="FR711" s="10"/>
      <c r="FS711" s="10"/>
      <c r="FT711" s="10"/>
      <c r="FU711" s="10"/>
      <c r="FV711" s="10"/>
      <c r="FW711" s="10"/>
      <c r="FX711" s="10"/>
      <c r="FY711" s="10"/>
      <c r="FZ711" s="10"/>
      <c r="GA711" s="10"/>
      <c r="GB711" s="10"/>
      <c r="GC711" s="10"/>
      <c r="GD711" s="10"/>
      <c r="GE711" s="10"/>
      <c r="GF711" s="10"/>
      <c r="GG711" s="10"/>
      <c r="GH711" s="10"/>
      <c r="GI711" s="10"/>
      <c r="GJ711" s="10"/>
      <c r="GK711" s="10"/>
    </row>
    <row r="712" customFormat="false" ht="12.75" hidden="false" customHeight="false" outlineLevel="0" collapsed="false">
      <c r="A712" s="7"/>
      <c r="B712" s="7"/>
      <c r="C712" s="8"/>
      <c r="D712" s="8"/>
      <c r="E712" s="8"/>
      <c r="F712" s="8"/>
      <c r="G712" s="9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10"/>
      <c r="BQ712" s="10"/>
      <c r="BR712" s="10"/>
      <c r="BS712" s="10"/>
      <c r="BT712" s="10"/>
      <c r="BU712" s="10"/>
      <c r="BV712" s="10"/>
      <c r="BW712" s="10"/>
      <c r="BX712" s="10"/>
      <c r="BY712" s="10"/>
      <c r="BZ712" s="10"/>
      <c r="CA712" s="10"/>
      <c r="CB712" s="10"/>
      <c r="CC712" s="10"/>
      <c r="CD712" s="10"/>
      <c r="CE712" s="10"/>
      <c r="CF712" s="10"/>
      <c r="CG712" s="10"/>
      <c r="CH712" s="10"/>
      <c r="CI712" s="10"/>
      <c r="CJ712" s="10"/>
      <c r="CK712" s="10"/>
      <c r="CL712" s="10"/>
      <c r="CM712" s="10"/>
      <c r="CN712" s="10"/>
      <c r="CO712" s="10"/>
      <c r="CP712" s="10"/>
      <c r="CQ712" s="10"/>
      <c r="CR712" s="10"/>
      <c r="CS712" s="10"/>
      <c r="CT712" s="10"/>
      <c r="CU712" s="10"/>
      <c r="CV712" s="10"/>
      <c r="CW712" s="10"/>
      <c r="CX712" s="10"/>
      <c r="CY712" s="10"/>
      <c r="CZ712" s="10"/>
      <c r="DA712" s="10"/>
      <c r="DB712" s="10"/>
      <c r="DC712" s="10"/>
      <c r="DD712" s="10"/>
      <c r="DE712" s="10"/>
      <c r="DF712" s="10"/>
      <c r="DG712" s="10"/>
      <c r="DH712" s="10"/>
      <c r="DI712" s="10"/>
      <c r="DJ712" s="10"/>
      <c r="DK712" s="10"/>
      <c r="DL712" s="10"/>
      <c r="DM712" s="10"/>
      <c r="DN712" s="10"/>
      <c r="DO712" s="10"/>
      <c r="DP712" s="10"/>
      <c r="DQ712" s="10"/>
      <c r="DR712" s="10"/>
      <c r="DS712" s="10"/>
      <c r="DT712" s="10"/>
      <c r="DU712" s="10"/>
      <c r="DV712" s="10"/>
      <c r="DW712" s="10"/>
      <c r="DX712" s="10"/>
      <c r="DY712" s="10"/>
      <c r="DZ712" s="10"/>
      <c r="EA712" s="10"/>
      <c r="EB712" s="10"/>
      <c r="EC712" s="10"/>
      <c r="ED712" s="10"/>
      <c r="EE712" s="10"/>
      <c r="EF712" s="10"/>
      <c r="EG712" s="10"/>
      <c r="EH712" s="10"/>
      <c r="EI712" s="10"/>
      <c r="EJ712" s="10"/>
      <c r="EK712" s="10"/>
      <c r="EL712" s="10"/>
      <c r="EM712" s="10"/>
      <c r="EN712" s="10"/>
      <c r="EO712" s="10"/>
      <c r="EP712" s="10"/>
      <c r="EQ712" s="10"/>
      <c r="ER712" s="10"/>
      <c r="ES712" s="10"/>
      <c r="ET712" s="10"/>
      <c r="EU712" s="10"/>
      <c r="EV712" s="10"/>
      <c r="EW712" s="10"/>
      <c r="EX712" s="10"/>
      <c r="EY712" s="10"/>
      <c r="EZ712" s="10"/>
      <c r="FA712" s="10"/>
      <c r="FB712" s="10"/>
      <c r="FC712" s="10"/>
      <c r="FD712" s="10"/>
      <c r="FE712" s="10"/>
      <c r="FF712" s="10"/>
      <c r="FG712" s="10"/>
      <c r="FH712" s="10"/>
      <c r="FI712" s="10"/>
      <c r="FJ712" s="10"/>
      <c r="FK712" s="10"/>
      <c r="FL712" s="10"/>
      <c r="FM712" s="10"/>
      <c r="FN712" s="10"/>
      <c r="FO712" s="10"/>
      <c r="FP712" s="10"/>
      <c r="FQ712" s="10"/>
      <c r="FR712" s="10"/>
      <c r="FS712" s="10"/>
      <c r="FT712" s="10"/>
      <c r="FU712" s="10"/>
      <c r="FV712" s="10"/>
      <c r="FW712" s="10"/>
      <c r="FX712" s="10"/>
      <c r="FY712" s="10"/>
      <c r="FZ712" s="10"/>
      <c r="GA712" s="10"/>
      <c r="GB712" s="10"/>
      <c r="GC712" s="10"/>
      <c r="GD712" s="10"/>
      <c r="GE712" s="10"/>
      <c r="GF712" s="10"/>
      <c r="GG712" s="10"/>
      <c r="GH712" s="10"/>
      <c r="GI712" s="10"/>
      <c r="GJ712" s="10"/>
      <c r="GK712" s="10"/>
    </row>
    <row r="713" customFormat="false" ht="12.75" hidden="false" customHeight="false" outlineLevel="0" collapsed="false">
      <c r="A713" s="7"/>
      <c r="B713" s="7"/>
      <c r="C713" s="8"/>
      <c r="D713" s="8"/>
      <c r="E713" s="8"/>
      <c r="F713" s="8"/>
      <c r="G713" s="9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0"/>
      <c r="BP713" s="10"/>
      <c r="BQ713" s="10"/>
      <c r="BR713" s="10"/>
      <c r="BS713" s="10"/>
      <c r="BT713" s="10"/>
      <c r="BU713" s="10"/>
      <c r="BV713" s="10"/>
      <c r="BW713" s="10"/>
      <c r="BX713" s="10"/>
      <c r="BY713" s="10"/>
      <c r="BZ713" s="10"/>
      <c r="CA713" s="10"/>
      <c r="CB713" s="10"/>
      <c r="CC713" s="10"/>
      <c r="CD713" s="10"/>
      <c r="CE713" s="10"/>
      <c r="CF713" s="10"/>
      <c r="CG713" s="10"/>
      <c r="CH713" s="10"/>
      <c r="CI713" s="10"/>
      <c r="CJ713" s="10"/>
      <c r="CK713" s="10"/>
      <c r="CL713" s="10"/>
      <c r="CM713" s="10"/>
      <c r="CN713" s="10"/>
      <c r="CO713" s="10"/>
      <c r="CP713" s="10"/>
      <c r="CQ713" s="10"/>
      <c r="CR713" s="10"/>
      <c r="CS713" s="10"/>
      <c r="CT713" s="10"/>
      <c r="CU713" s="10"/>
      <c r="CV713" s="10"/>
      <c r="CW713" s="10"/>
      <c r="CX713" s="10"/>
      <c r="CY713" s="10"/>
      <c r="CZ713" s="10"/>
      <c r="DA713" s="10"/>
      <c r="DB713" s="10"/>
      <c r="DC713" s="10"/>
      <c r="DD713" s="10"/>
      <c r="DE713" s="10"/>
      <c r="DF713" s="10"/>
      <c r="DG713" s="10"/>
      <c r="DH713" s="10"/>
      <c r="DI713" s="10"/>
      <c r="DJ713" s="10"/>
      <c r="DK713" s="10"/>
      <c r="DL713" s="10"/>
      <c r="DM713" s="10"/>
      <c r="DN713" s="10"/>
      <c r="DO713" s="10"/>
      <c r="DP713" s="10"/>
      <c r="DQ713" s="10"/>
      <c r="DR713" s="10"/>
      <c r="DS713" s="10"/>
      <c r="DT713" s="10"/>
      <c r="DU713" s="10"/>
      <c r="DV713" s="10"/>
      <c r="DW713" s="10"/>
      <c r="DX713" s="10"/>
      <c r="DY713" s="10"/>
      <c r="DZ713" s="10"/>
      <c r="EA713" s="10"/>
      <c r="EB713" s="10"/>
      <c r="EC713" s="10"/>
      <c r="ED713" s="10"/>
      <c r="EE713" s="10"/>
      <c r="EF713" s="10"/>
      <c r="EG713" s="10"/>
      <c r="EH713" s="10"/>
      <c r="EI713" s="10"/>
      <c r="EJ713" s="10"/>
      <c r="EK713" s="10"/>
      <c r="EL713" s="10"/>
      <c r="EM713" s="10"/>
      <c r="EN713" s="10"/>
      <c r="EO713" s="10"/>
      <c r="EP713" s="10"/>
      <c r="EQ713" s="10"/>
      <c r="ER713" s="10"/>
      <c r="ES713" s="10"/>
      <c r="ET713" s="10"/>
      <c r="EU713" s="10"/>
      <c r="EV713" s="10"/>
      <c r="EW713" s="10"/>
      <c r="EX713" s="10"/>
      <c r="EY713" s="10"/>
      <c r="EZ713" s="10"/>
      <c r="FA713" s="10"/>
      <c r="FB713" s="10"/>
      <c r="FC713" s="10"/>
      <c r="FD713" s="10"/>
      <c r="FE713" s="10"/>
      <c r="FF713" s="10"/>
      <c r="FG713" s="10"/>
      <c r="FH713" s="10"/>
      <c r="FI713" s="10"/>
      <c r="FJ713" s="10"/>
      <c r="FK713" s="10"/>
      <c r="FL713" s="10"/>
      <c r="FM713" s="10"/>
      <c r="FN713" s="10"/>
      <c r="FO713" s="10"/>
      <c r="FP713" s="10"/>
      <c r="FQ713" s="10"/>
      <c r="FR713" s="10"/>
      <c r="FS713" s="10"/>
      <c r="FT713" s="10"/>
      <c r="FU713" s="10"/>
      <c r="FV713" s="10"/>
      <c r="FW713" s="10"/>
      <c r="FX713" s="10"/>
      <c r="FY713" s="10"/>
      <c r="FZ713" s="10"/>
      <c r="GA713" s="10"/>
      <c r="GB713" s="10"/>
      <c r="GC713" s="10"/>
      <c r="GD713" s="10"/>
      <c r="GE713" s="10"/>
      <c r="GF713" s="10"/>
      <c r="GG713" s="10"/>
      <c r="GH713" s="10"/>
      <c r="GI713" s="10"/>
      <c r="GJ713" s="10"/>
      <c r="GK713" s="10"/>
    </row>
    <row r="714" customFormat="false" ht="12.75" hidden="false" customHeight="false" outlineLevel="0" collapsed="false">
      <c r="A714" s="7"/>
      <c r="B714" s="7"/>
      <c r="C714" s="8"/>
      <c r="D714" s="8"/>
      <c r="E714" s="8"/>
      <c r="F714" s="8"/>
      <c r="G714" s="9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10"/>
      <c r="BQ714" s="10"/>
      <c r="BR714" s="10"/>
      <c r="BS714" s="10"/>
      <c r="BT714" s="10"/>
      <c r="BU714" s="10"/>
      <c r="BV714" s="10"/>
      <c r="BW714" s="10"/>
      <c r="BX714" s="10"/>
      <c r="BY714" s="10"/>
      <c r="BZ714" s="10"/>
      <c r="CA714" s="10"/>
      <c r="CB714" s="10"/>
      <c r="CC714" s="10"/>
      <c r="CD714" s="10"/>
      <c r="CE714" s="10"/>
      <c r="CF714" s="10"/>
      <c r="CG714" s="10"/>
      <c r="CH714" s="10"/>
      <c r="CI714" s="10"/>
      <c r="CJ714" s="10"/>
      <c r="CK714" s="10"/>
      <c r="CL714" s="10"/>
      <c r="CM714" s="10"/>
      <c r="CN714" s="10"/>
      <c r="CO714" s="10"/>
      <c r="CP714" s="10"/>
      <c r="CQ714" s="10"/>
      <c r="CR714" s="10"/>
      <c r="CS714" s="10"/>
      <c r="CT714" s="10"/>
      <c r="CU714" s="10"/>
      <c r="CV714" s="10"/>
      <c r="CW714" s="10"/>
      <c r="CX714" s="10"/>
      <c r="CY714" s="10"/>
      <c r="CZ714" s="10"/>
      <c r="DA714" s="10"/>
      <c r="DB714" s="10"/>
      <c r="DC714" s="10"/>
      <c r="DD714" s="10"/>
      <c r="DE714" s="10"/>
      <c r="DF714" s="10"/>
      <c r="DG714" s="10"/>
      <c r="DH714" s="10"/>
      <c r="DI714" s="10"/>
      <c r="DJ714" s="10"/>
      <c r="DK714" s="10"/>
      <c r="DL714" s="10"/>
      <c r="DM714" s="10"/>
      <c r="DN714" s="10"/>
      <c r="DO714" s="10"/>
      <c r="DP714" s="10"/>
      <c r="DQ714" s="10"/>
      <c r="DR714" s="10"/>
      <c r="DS714" s="10"/>
      <c r="DT714" s="10"/>
      <c r="DU714" s="10"/>
      <c r="DV714" s="10"/>
      <c r="DW714" s="10"/>
      <c r="DX714" s="10"/>
      <c r="DY714" s="10"/>
      <c r="DZ714" s="10"/>
      <c r="EA714" s="10"/>
      <c r="EB714" s="10"/>
      <c r="EC714" s="10"/>
      <c r="ED714" s="10"/>
      <c r="EE714" s="10"/>
      <c r="EF714" s="10"/>
      <c r="EG714" s="10"/>
      <c r="EH714" s="10"/>
      <c r="EI714" s="10"/>
      <c r="EJ714" s="10"/>
      <c r="EK714" s="10"/>
      <c r="EL714" s="10"/>
      <c r="EM714" s="10"/>
      <c r="EN714" s="10"/>
      <c r="EO714" s="10"/>
      <c r="EP714" s="10"/>
      <c r="EQ714" s="10"/>
      <c r="ER714" s="10"/>
      <c r="ES714" s="10"/>
      <c r="ET714" s="10"/>
      <c r="EU714" s="10"/>
      <c r="EV714" s="10"/>
      <c r="EW714" s="10"/>
      <c r="EX714" s="10"/>
      <c r="EY714" s="10"/>
      <c r="EZ714" s="10"/>
      <c r="FA714" s="10"/>
      <c r="FB714" s="10"/>
      <c r="FC714" s="10"/>
      <c r="FD714" s="10"/>
      <c r="FE714" s="10"/>
      <c r="FF714" s="10"/>
      <c r="FG714" s="10"/>
      <c r="FH714" s="10"/>
      <c r="FI714" s="10"/>
      <c r="FJ714" s="10"/>
      <c r="FK714" s="10"/>
      <c r="FL714" s="10"/>
      <c r="FM714" s="10"/>
      <c r="FN714" s="10"/>
      <c r="FO714" s="10"/>
      <c r="FP714" s="10"/>
      <c r="FQ714" s="10"/>
      <c r="FR714" s="10"/>
      <c r="FS714" s="10"/>
      <c r="FT714" s="10"/>
      <c r="FU714" s="10"/>
      <c r="FV714" s="10"/>
      <c r="FW714" s="10"/>
      <c r="FX714" s="10"/>
      <c r="FY714" s="10"/>
      <c r="FZ714" s="10"/>
      <c r="GA714" s="10"/>
      <c r="GB714" s="10"/>
      <c r="GC714" s="10"/>
      <c r="GD714" s="10"/>
      <c r="GE714" s="10"/>
      <c r="GF714" s="10"/>
      <c r="GG714" s="10"/>
      <c r="GH714" s="10"/>
      <c r="GI714" s="10"/>
      <c r="GJ714" s="10"/>
      <c r="GK714" s="10"/>
    </row>
    <row r="715" customFormat="false" ht="12.75" hidden="false" customHeight="false" outlineLevel="0" collapsed="false">
      <c r="A715" s="7"/>
      <c r="B715" s="7"/>
      <c r="C715" s="8"/>
      <c r="D715" s="8"/>
      <c r="E715" s="8"/>
      <c r="F715" s="8"/>
      <c r="G715" s="9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0"/>
      <c r="BP715" s="10"/>
      <c r="BQ715" s="10"/>
      <c r="BR715" s="10"/>
      <c r="BS715" s="10"/>
      <c r="BT715" s="10"/>
      <c r="BU715" s="10"/>
      <c r="BV715" s="10"/>
      <c r="BW715" s="10"/>
      <c r="BX715" s="10"/>
      <c r="BY715" s="10"/>
      <c r="BZ715" s="10"/>
      <c r="CA715" s="10"/>
      <c r="CB715" s="10"/>
      <c r="CC715" s="10"/>
      <c r="CD715" s="10"/>
      <c r="CE715" s="10"/>
      <c r="CF715" s="10"/>
      <c r="CG715" s="10"/>
      <c r="CH715" s="10"/>
      <c r="CI715" s="10"/>
      <c r="CJ715" s="10"/>
      <c r="CK715" s="10"/>
      <c r="CL715" s="10"/>
      <c r="CM715" s="10"/>
      <c r="CN715" s="10"/>
      <c r="CO715" s="10"/>
      <c r="CP715" s="10"/>
      <c r="CQ715" s="10"/>
      <c r="CR715" s="10"/>
      <c r="CS715" s="10"/>
      <c r="CT715" s="10"/>
      <c r="CU715" s="10"/>
      <c r="CV715" s="10"/>
      <c r="CW715" s="10"/>
      <c r="CX715" s="10"/>
      <c r="CY715" s="10"/>
      <c r="CZ715" s="10"/>
      <c r="DA715" s="10"/>
      <c r="DB715" s="10"/>
      <c r="DC715" s="10"/>
      <c r="DD715" s="10"/>
      <c r="DE715" s="10"/>
      <c r="DF715" s="10"/>
      <c r="DG715" s="10"/>
      <c r="DH715" s="10"/>
      <c r="DI715" s="10"/>
      <c r="DJ715" s="10"/>
      <c r="DK715" s="10"/>
      <c r="DL715" s="10"/>
      <c r="DM715" s="10"/>
      <c r="DN715" s="10"/>
      <c r="DO715" s="10"/>
      <c r="DP715" s="10"/>
      <c r="DQ715" s="10"/>
      <c r="DR715" s="10"/>
      <c r="DS715" s="10"/>
      <c r="DT715" s="10"/>
      <c r="DU715" s="10"/>
      <c r="DV715" s="10"/>
      <c r="DW715" s="10"/>
      <c r="DX715" s="10"/>
      <c r="DY715" s="10"/>
      <c r="DZ715" s="10"/>
      <c r="EA715" s="10"/>
      <c r="EB715" s="10"/>
      <c r="EC715" s="10"/>
      <c r="ED715" s="10"/>
      <c r="EE715" s="10"/>
      <c r="EF715" s="10"/>
      <c r="EG715" s="10"/>
      <c r="EH715" s="10"/>
      <c r="EI715" s="10"/>
      <c r="EJ715" s="10"/>
      <c r="EK715" s="10"/>
      <c r="EL715" s="10"/>
      <c r="EM715" s="10"/>
      <c r="EN715" s="10"/>
      <c r="EO715" s="10"/>
      <c r="EP715" s="10"/>
      <c r="EQ715" s="10"/>
      <c r="ER715" s="10"/>
      <c r="ES715" s="10"/>
      <c r="ET715" s="10"/>
      <c r="EU715" s="10"/>
      <c r="EV715" s="10"/>
      <c r="EW715" s="10"/>
      <c r="EX715" s="10"/>
      <c r="EY715" s="10"/>
      <c r="EZ715" s="10"/>
      <c r="FA715" s="10"/>
      <c r="FB715" s="10"/>
      <c r="FC715" s="10"/>
      <c r="FD715" s="10"/>
      <c r="FE715" s="10"/>
      <c r="FF715" s="10"/>
      <c r="FG715" s="10"/>
      <c r="FH715" s="10"/>
      <c r="FI715" s="10"/>
      <c r="FJ715" s="10"/>
      <c r="FK715" s="10"/>
      <c r="FL715" s="10"/>
      <c r="FM715" s="10"/>
      <c r="FN715" s="10"/>
      <c r="FO715" s="10"/>
      <c r="FP715" s="10"/>
      <c r="FQ715" s="10"/>
      <c r="FR715" s="10"/>
      <c r="FS715" s="10"/>
      <c r="FT715" s="10"/>
      <c r="FU715" s="10"/>
      <c r="FV715" s="10"/>
      <c r="FW715" s="10"/>
      <c r="FX715" s="10"/>
      <c r="FY715" s="10"/>
      <c r="FZ715" s="10"/>
      <c r="GA715" s="10"/>
      <c r="GB715" s="10"/>
      <c r="GC715" s="10"/>
      <c r="GD715" s="10"/>
      <c r="GE715" s="10"/>
      <c r="GF715" s="10"/>
      <c r="GG715" s="10"/>
      <c r="GH715" s="10"/>
      <c r="GI715" s="10"/>
      <c r="GJ715" s="10"/>
      <c r="GK715" s="10"/>
    </row>
    <row r="716" customFormat="false" ht="12.75" hidden="false" customHeight="false" outlineLevel="0" collapsed="false">
      <c r="A716" s="7"/>
      <c r="B716" s="7"/>
      <c r="C716" s="8"/>
      <c r="D716" s="8"/>
      <c r="E716" s="8"/>
      <c r="F716" s="8"/>
      <c r="G716" s="9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10"/>
      <c r="BQ716" s="10"/>
      <c r="BR716" s="10"/>
      <c r="BS716" s="10"/>
      <c r="BT716" s="10"/>
      <c r="BU716" s="10"/>
      <c r="BV716" s="10"/>
      <c r="BW716" s="10"/>
      <c r="BX716" s="10"/>
      <c r="BY716" s="10"/>
      <c r="BZ716" s="10"/>
      <c r="CA716" s="10"/>
      <c r="CB716" s="10"/>
      <c r="CC716" s="10"/>
      <c r="CD716" s="10"/>
      <c r="CE716" s="10"/>
      <c r="CF716" s="10"/>
      <c r="CG716" s="10"/>
      <c r="CH716" s="10"/>
      <c r="CI716" s="10"/>
      <c r="CJ716" s="10"/>
      <c r="CK716" s="10"/>
      <c r="CL716" s="10"/>
      <c r="CM716" s="10"/>
      <c r="CN716" s="10"/>
      <c r="CO716" s="10"/>
      <c r="CP716" s="10"/>
      <c r="CQ716" s="10"/>
      <c r="CR716" s="10"/>
      <c r="CS716" s="10"/>
      <c r="CT716" s="10"/>
      <c r="CU716" s="10"/>
      <c r="CV716" s="10"/>
      <c r="CW716" s="10"/>
      <c r="CX716" s="10"/>
      <c r="CY716" s="10"/>
      <c r="CZ716" s="10"/>
      <c r="DA716" s="10"/>
      <c r="DB716" s="10"/>
      <c r="DC716" s="10"/>
      <c r="DD716" s="10"/>
      <c r="DE716" s="10"/>
      <c r="DF716" s="10"/>
      <c r="DG716" s="10"/>
      <c r="DH716" s="10"/>
      <c r="DI716" s="10"/>
      <c r="DJ716" s="10"/>
      <c r="DK716" s="10"/>
      <c r="DL716" s="10"/>
      <c r="DM716" s="10"/>
      <c r="DN716" s="10"/>
      <c r="DO716" s="10"/>
      <c r="DP716" s="10"/>
      <c r="DQ716" s="10"/>
      <c r="DR716" s="10"/>
      <c r="DS716" s="10"/>
      <c r="DT716" s="10"/>
      <c r="DU716" s="10"/>
      <c r="DV716" s="10"/>
      <c r="DW716" s="10"/>
      <c r="DX716" s="10"/>
      <c r="DY716" s="10"/>
      <c r="DZ716" s="10"/>
      <c r="EA716" s="10"/>
      <c r="EB716" s="10"/>
      <c r="EC716" s="10"/>
      <c r="ED716" s="10"/>
      <c r="EE716" s="10"/>
      <c r="EF716" s="10"/>
      <c r="EG716" s="10"/>
      <c r="EH716" s="10"/>
      <c r="EI716" s="10"/>
      <c r="EJ716" s="10"/>
      <c r="EK716" s="10"/>
      <c r="EL716" s="10"/>
      <c r="EM716" s="10"/>
      <c r="EN716" s="10"/>
      <c r="EO716" s="10"/>
      <c r="EP716" s="10"/>
      <c r="EQ716" s="10"/>
      <c r="ER716" s="10"/>
      <c r="ES716" s="10"/>
      <c r="ET716" s="10"/>
      <c r="EU716" s="10"/>
      <c r="EV716" s="10"/>
      <c r="EW716" s="10"/>
      <c r="EX716" s="10"/>
      <c r="EY716" s="10"/>
      <c r="EZ716" s="10"/>
      <c r="FA716" s="10"/>
      <c r="FB716" s="10"/>
      <c r="FC716" s="10"/>
      <c r="FD716" s="10"/>
      <c r="FE716" s="10"/>
      <c r="FF716" s="10"/>
      <c r="FG716" s="10"/>
      <c r="FH716" s="10"/>
      <c r="FI716" s="10"/>
      <c r="FJ716" s="10"/>
      <c r="FK716" s="10"/>
      <c r="FL716" s="10"/>
      <c r="FM716" s="10"/>
      <c r="FN716" s="10"/>
      <c r="FO716" s="10"/>
      <c r="FP716" s="10"/>
      <c r="FQ716" s="10"/>
      <c r="FR716" s="10"/>
      <c r="FS716" s="10"/>
      <c r="FT716" s="10"/>
      <c r="FU716" s="10"/>
      <c r="FV716" s="10"/>
      <c r="FW716" s="10"/>
      <c r="FX716" s="10"/>
      <c r="FY716" s="10"/>
      <c r="FZ716" s="10"/>
      <c r="GA716" s="10"/>
      <c r="GB716" s="10"/>
      <c r="GC716" s="10"/>
      <c r="GD716" s="10"/>
      <c r="GE716" s="10"/>
      <c r="GF716" s="10"/>
      <c r="GG716" s="10"/>
      <c r="GH716" s="10"/>
      <c r="GI716" s="10"/>
      <c r="GJ716" s="10"/>
      <c r="GK716" s="10"/>
    </row>
    <row r="717" customFormat="false" ht="12.75" hidden="false" customHeight="false" outlineLevel="0" collapsed="false">
      <c r="A717" s="7"/>
      <c r="B717" s="7"/>
      <c r="C717" s="8"/>
      <c r="D717" s="8"/>
      <c r="E717" s="8"/>
      <c r="F717" s="8"/>
      <c r="G717" s="9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  <c r="BS717" s="10"/>
      <c r="BT717" s="10"/>
      <c r="BU717" s="10"/>
      <c r="BV717" s="10"/>
      <c r="BW717" s="10"/>
      <c r="BX717" s="10"/>
      <c r="BY717" s="10"/>
      <c r="BZ717" s="10"/>
      <c r="CA717" s="10"/>
      <c r="CB717" s="10"/>
      <c r="CC717" s="10"/>
      <c r="CD717" s="10"/>
      <c r="CE717" s="10"/>
      <c r="CF717" s="10"/>
      <c r="CG717" s="10"/>
      <c r="CH717" s="10"/>
      <c r="CI717" s="10"/>
      <c r="CJ717" s="10"/>
      <c r="CK717" s="10"/>
      <c r="CL717" s="10"/>
      <c r="CM717" s="10"/>
      <c r="CN717" s="10"/>
      <c r="CO717" s="10"/>
      <c r="CP717" s="10"/>
      <c r="CQ717" s="10"/>
      <c r="CR717" s="10"/>
      <c r="CS717" s="10"/>
      <c r="CT717" s="10"/>
      <c r="CU717" s="10"/>
      <c r="CV717" s="10"/>
      <c r="CW717" s="10"/>
      <c r="CX717" s="10"/>
      <c r="CY717" s="10"/>
      <c r="CZ717" s="10"/>
      <c r="DA717" s="10"/>
      <c r="DB717" s="10"/>
      <c r="DC717" s="10"/>
      <c r="DD717" s="10"/>
      <c r="DE717" s="10"/>
      <c r="DF717" s="10"/>
      <c r="DG717" s="10"/>
      <c r="DH717" s="10"/>
      <c r="DI717" s="10"/>
      <c r="DJ717" s="10"/>
      <c r="DK717" s="10"/>
      <c r="DL717" s="10"/>
      <c r="DM717" s="10"/>
      <c r="DN717" s="10"/>
      <c r="DO717" s="10"/>
      <c r="DP717" s="10"/>
      <c r="DQ717" s="10"/>
      <c r="DR717" s="10"/>
      <c r="DS717" s="10"/>
      <c r="DT717" s="10"/>
      <c r="DU717" s="10"/>
      <c r="DV717" s="10"/>
      <c r="DW717" s="10"/>
      <c r="DX717" s="10"/>
      <c r="DY717" s="10"/>
      <c r="DZ717" s="10"/>
      <c r="EA717" s="10"/>
      <c r="EB717" s="10"/>
      <c r="EC717" s="10"/>
      <c r="ED717" s="10"/>
      <c r="EE717" s="10"/>
      <c r="EF717" s="10"/>
      <c r="EG717" s="10"/>
      <c r="EH717" s="10"/>
      <c r="EI717" s="10"/>
      <c r="EJ717" s="10"/>
      <c r="EK717" s="10"/>
      <c r="EL717" s="10"/>
      <c r="EM717" s="10"/>
      <c r="EN717" s="10"/>
      <c r="EO717" s="10"/>
      <c r="EP717" s="10"/>
      <c r="EQ717" s="10"/>
      <c r="ER717" s="10"/>
      <c r="ES717" s="10"/>
      <c r="ET717" s="10"/>
      <c r="EU717" s="10"/>
      <c r="EV717" s="10"/>
      <c r="EW717" s="10"/>
      <c r="EX717" s="10"/>
      <c r="EY717" s="10"/>
      <c r="EZ717" s="10"/>
      <c r="FA717" s="10"/>
      <c r="FB717" s="10"/>
      <c r="FC717" s="10"/>
      <c r="FD717" s="10"/>
      <c r="FE717" s="10"/>
      <c r="FF717" s="10"/>
      <c r="FG717" s="10"/>
      <c r="FH717" s="10"/>
      <c r="FI717" s="10"/>
      <c r="FJ717" s="10"/>
      <c r="FK717" s="10"/>
      <c r="FL717" s="10"/>
      <c r="FM717" s="10"/>
      <c r="FN717" s="10"/>
      <c r="FO717" s="10"/>
      <c r="FP717" s="10"/>
      <c r="FQ717" s="10"/>
      <c r="FR717" s="10"/>
      <c r="FS717" s="10"/>
      <c r="FT717" s="10"/>
      <c r="FU717" s="10"/>
      <c r="FV717" s="10"/>
      <c r="FW717" s="10"/>
      <c r="FX717" s="10"/>
      <c r="FY717" s="10"/>
      <c r="FZ717" s="10"/>
      <c r="GA717" s="10"/>
      <c r="GB717" s="10"/>
      <c r="GC717" s="10"/>
      <c r="GD717" s="10"/>
      <c r="GE717" s="10"/>
      <c r="GF717" s="10"/>
      <c r="GG717" s="10"/>
      <c r="GH717" s="10"/>
      <c r="GI717" s="10"/>
      <c r="GJ717" s="10"/>
      <c r="GK717" s="10"/>
    </row>
    <row r="718" customFormat="false" ht="12.75" hidden="false" customHeight="false" outlineLevel="0" collapsed="false">
      <c r="A718" s="7"/>
      <c r="B718" s="7"/>
      <c r="C718" s="8"/>
      <c r="D718" s="8"/>
      <c r="E718" s="8"/>
      <c r="F718" s="8"/>
      <c r="G718" s="9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  <c r="BR718" s="10"/>
      <c r="BS718" s="10"/>
      <c r="BT718" s="10"/>
      <c r="BU718" s="10"/>
      <c r="BV718" s="10"/>
      <c r="BW718" s="10"/>
      <c r="BX718" s="10"/>
      <c r="BY718" s="10"/>
      <c r="BZ718" s="10"/>
      <c r="CA718" s="10"/>
      <c r="CB718" s="10"/>
      <c r="CC718" s="10"/>
      <c r="CD718" s="10"/>
      <c r="CE718" s="10"/>
      <c r="CF718" s="10"/>
      <c r="CG718" s="10"/>
      <c r="CH718" s="10"/>
      <c r="CI718" s="10"/>
      <c r="CJ718" s="10"/>
      <c r="CK718" s="10"/>
      <c r="CL718" s="10"/>
      <c r="CM718" s="10"/>
      <c r="CN718" s="10"/>
      <c r="CO718" s="10"/>
      <c r="CP718" s="10"/>
      <c r="CQ718" s="10"/>
      <c r="CR718" s="10"/>
      <c r="CS718" s="10"/>
      <c r="CT718" s="10"/>
      <c r="CU718" s="10"/>
      <c r="CV718" s="10"/>
      <c r="CW718" s="10"/>
      <c r="CX718" s="10"/>
      <c r="CY718" s="10"/>
      <c r="CZ718" s="10"/>
      <c r="DA718" s="10"/>
      <c r="DB718" s="10"/>
      <c r="DC718" s="10"/>
      <c r="DD718" s="10"/>
      <c r="DE718" s="10"/>
      <c r="DF718" s="10"/>
      <c r="DG718" s="10"/>
      <c r="DH718" s="10"/>
      <c r="DI718" s="10"/>
      <c r="DJ718" s="10"/>
      <c r="DK718" s="10"/>
      <c r="DL718" s="10"/>
      <c r="DM718" s="10"/>
      <c r="DN718" s="10"/>
      <c r="DO718" s="10"/>
      <c r="DP718" s="10"/>
      <c r="DQ718" s="10"/>
      <c r="DR718" s="10"/>
      <c r="DS718" s="10"/>
      <c r="DT718" s="10"/>
      <c r="DU718" s="10"/>
      <c r="DV718" s="10"/>
      <c r="DW718" s="10"/>
      <c r="DX718" s="10"/>
      <c r="DY718" s="10"/>
      <c r="DZ718" s="10"/>
      <c r="EA718" s="10"/>
      <c r="EB718" s="10"/>
      <c r="EC718" s="10"/>
      <c r="ED718" s="10"/>
      <c r="EE718" s="10"/>
      <c r="EF718" s="10"/>
      <c r="EG718" s="10"/>
      <c r="EH718" s="10"/>
      <c r="EI718" s="10"/>
      <c r="EJ718" s="10"/>
      <c r="EK718" s="10"/>
      <c r="EL718" s="10"/>
      <c r="EM718" s="10"/>
      <c r="EN718" s="10"/>
      <c r="EO718" s="10"/>
      <c r="EP718" s="10"/>
      <c r="EQ718" s="10"/>
      <c r="ER718" s="10"/>
      <c r="ES718" s="10"/>
      <c r="ET718" s="10"/>
      <c r="EU718" s="10"/>
      <c r="EV718" s="10"/>
      <c r="EW718" s="10"/>
      <c r="EX718" s="10"/>
      <c r="EY718" s="10"/>
      <c r="EZ718" s="10"/>
      <c r="FA718" s="10"/>
      <c r="FB718" s="10"/>
      <c r="FC718" s="10"/>
      <c r="FD718" s="10"/>
      <c r="FE718" s="10"/>
      <c r="FF718" s="10"/>
      <c r="FG718" s="10"/>
      <c r="FH718" s="10"/>
      <c r="FI718" s="10"/>
      <c r="FJ718" s="10"/>
      <c r="FK718" s="10"/>
      <c r="FL718" s="10"/>
      <c r="FM718" s="10"/>
      <c r="FN718" s="10"/>
      <c r="FO718" s="10"/>
      <c r="FP718" s="10"/>
      <c r="FQ718" s="10"/>
      <c r="FR718" s="10"/>
      <c r="FS718" s="10"/>
      <c r="FT718" s="10"/>
      <c r="FU718" s="10"/>
      <c r="FV718" s="10"/>
      <c r="FW718" s="10"/>
      <c r="FX718" s="10"/>
      <c r="FY718" s="10"/>
      <c r="FZ718" s="10"/>
      <c r="GA718" s="10"/>
      <c r="GB718" s="10"/>
      <c r="GC718" s="10"/>
      <c r="GD718" s="10"/>
      <c r="GE718" s="10"/>
      <c r="GF718" s="10"/>
      <c r="GG718" s="10"/>
      <c r="GH718" s="10"/>
      <c r="GI718" s="10"/>
      <c r="GJ718" s="10"/>
      <c r="GK718" s="10"/>
    </row>
    <row r="719" customFormat="false" ht="12.75" hidden="false" customHeight="false" outlineLevel="0" collapsed="false">
      <c r="A719" s="7"/>
      <c r="B719" s="7"/>
      <c r="C719" s="8"/>
      <c r="D719" s="8"/>
      <c r="E719" s="8"/>
      <c r="F719" s="8"/>
      <c r="G719" s="9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10"/>
      <c r="BQ719" s="10"/>
      <c r="BR719" s="10"/>
      <c r="BS719" s="10"/>
      <c r="BT719" s="10"/>
      <c r="BU719" s="10"/>
      <c r="BV719" s="10"/>
      <c r="BW719" s="10"/>
      <c r="BX719" s="10"/>
      <c r="BY719" s="10"/>
      <c r="BZ719" s="10"/>
      <c r="CA719" s="10"/>
      <c r="CB719" s="10"/>
      <c r="CC719" s="10"/>
      <c r="CD719" s="10"/>
      <c r="CE719" s="10"/>
      <c r="CF719" s="10"/>
      <c r="CG719" s="10"/>
      <c r="CH719" s="10"/>
      <c r="CI719" s="10"/>
      <c r="CJ719" s="10"/>
      <c r="CK719" s="10"/>
      <c r="CL719" s="10"/>
      <c r="CM719" s="10"/>
      <c r="CN719" s="10"/>
      <c r="CO719" s="10"/>
      <c r="CP719" s="10"/>
      <c r="CQ719" s="10"/>
      <c r="CR719" s="10"/>
      <c r="CS719" s="10"/>
      <c r="CT719" s="10"/>
      <c r="CU719" s="10"/>
      <c r="CV719" s="10"/>
      <c r="CW719" s="10"/>
      <c r="CX719" s="10"/>
      <c r="CY719" s="10"/>
      <c r="CZ719" s="10"/>
      <c r="DA719" s="10"/>
      <c r="DB719" s="10"/>
      <c r="DC719" s="10"/>
      <c r="DD719" s="10"/>
      <c r="DE719" s="10"/>
      <c r="DF719" s="10"/>
      <c r="DG719" s="10"/>
      <c r="DH719" s="10"/>
      <c r="DI719" s="10"/>
      <c r="DJ719" s="10"/>
      <c r="DK719" s="10"/>
      <c r="DL719" s="10"/>
      <c r="DM719" s="10"/>
      <c r="DN719" s="10"/>
      <c r="DO719" s="10"/>
      <c r="DP719" s="10"/>
      <c r="DQ719" s="10"/>
      <c r="DR719" s="10"/>
      <c r="DS719" s="10"/>
      <c r="DT719" s="10"/>
      <c r="DU719" s="10"/>
      <c r="DV719" s="10"/>
      <c r="DW719" s="10"/>
      <c r="DX719" s="10"/>
      <c r="DY719" s="10"/>
      <c r="DZ719" s="10"/>
      <c r="EA719" s="10"/>
      <c r="EB719" s="10"/>
      <c r="EC719" s="10"/>
      <c r="ED719" s="10"/>
      <c r="EE719" s="10"/>
      <c r="EF719" s="10"/>
      <c r="EG719" s="10"/>
      <c r="EH719" s="10"/>
      <c r="EI719" s="10"/>
      <c r="EJ719" s="10"/>
      <c r="EK719" s="10"/>
      <c r="EL719" s="10"/>
      <c r="EM719" s="10"/>
      <c r="EN719" s="10"/>
      <c r="EO719" s="10"/>
      <c r="EP719" s="10"/>
      <c r="EQ719" s="10"/>
      <c r="ER719" s="10"/>
      <c r="ES719" s="10"/>
      <c r="ET719" s="10"/>
      <c r="EU719" s="10"/>
      <c r="EV719" s="10"/>
      <c r="EW719" s="10"/>
      <c r="EX719" s="10"/>
      <c r="EY719" s="10"/>
      <c r="EZ719" s="10"/>
      <c r="FA719" s="10"/>
      <c r="FB719" s="10"/>
      <c r="FC719" s="10"/>
      <c r="FD719" s="10"/>
      <c r="FE719" s="10"/>
      <c r="FF719" s="10"/>
      <c r="FG719" s="10"/>
      <c r="FH719" s="10"/>
      <c r="FI719" s="10"/>
      <c r="FJ719" s="10"/>
      <c r="FK719" s="10"/>
      <c r="FL719" s="10"/>
      <c r="FM719" s="10"/>
      <c r="FN719" s="10"/>
      <c r="FO719" s="10"/>
      <c r="FP719" s="10"/>
      <c r="FQ719" s="10"/>
      <c r="FR719" s="10"/>
      <c r="FS719" s="10"/>
      <c r="FT719" s="10"/>
      <c r="FU719" s="10"/>
      <c r="FV719" s="10"/>
      <c r="FW719" s="10"/>
      <c r="FX719" s="10"/>
      <c r="FY719" s="10"/>
      <c r="FZ719" s="10"/>
      <c r="GA719" s="10"/>
      <c r="GB719" s="10"/>
      <c r="GC719" s="10"/>
      <c r="GD719" s="10"/>
      <c r="GE719" s="10"/>
      <c r="GF719" s="10"/>
      <c r="GG719" s="10"/>
      <c r="GH719" s="10"/>
      <c r="GI719" s="10"/>
      <c r="GJ719" s="10"/>
      <c r="GK719" s="10"/>
    </row>
    <row r="720" customFormat="false" ht="12.75" hidden="false" customHeight="false" outlineLevel="0" collapsed="false">
      <c r="A720" s="7"/>
      <c r="B720" s="7"/>
      <c r="C720" s="8"/>
      <c r="D720" s="8"/>
      <c r="E720" s="8"/>
      <c r="F720" s="8"/>
      <c r="G720" s="9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10"/>
      <c r="BQ720" s="10"/>
      <c r="BR720" s="10"/>
      <c r="BS720" s="10"/>
      <c r="BT720" s="10"/>
      <c r="BU720" s="10"/>
      <c r="BV720" s="10"/>
      <c r="BW720" s="10"/>
      <c r="BX720" s="10"/>
      <c r="BY720" s="10"/>
      <c r="BZ720" s="10"/>
      <c r="CA720" s="10"/>
      <c r="CB720" s="10"/>
      <c r="CC720" s="10"/>
      <c r="CD720" s="10"/>
      <c r="CE720" s="10"/>
      <c r="CF720" s="10"/>
      <c r="CG720" s="10"/>
      <c r="CH720" s="10"/>
      <c r="CI720" s="10"/>
      <c r="CJ720" s="10"/>
      <c r="CK720" s="10"/>
      <c r="CL720" s="10"/>
      <c r="CM720" s="10"/>
      <c r="CN720" s="10"/>
      <c r="CO720" s="10"/>
      <c r="CP720" s="10"/>
      <c r="CQ720" s="10"/>
      <c r="CR720" s="10"/>
      <c r="CS720" s="10"/>
      <c r="CT720" s="10"/>
      <c r="CU720" s="10"/>
      <c r="CV720" s="10"/>
      <c r="CW720" s="10"/>
      <c r="CX720" s="10"/>
      <c r="CY720" s="10"/>
      <c r="CZ720" s="10"/>
      <c r="DA720" s="10"/>
      <c r="DB720" s="10"/>
      <c r="DC720" s="10"/>
      <c r="DD720" s="10"/>
      <c r="DE720" s="10"/>
      <c r="DF720" s="10"/>
      <c r="DG720" s="10"/>
      <c r="DH720" s="10"/>
      <c r="DI720" s="10"/>
      <c r="DJ720" s="10"/>
      <c r="DK720" s="10"/>
      <c r="DL720" s="10"/>
      <c r="DM720" s="10"/>
      <c r="DN720" s="10"/>
      <c r="DO720" s="10"/>
      <c r="DP720" s="10"/>
      <c r="DQ720" s="10"/>
      <c r="DR720" s="10"/>
      <c r="DS720" s="10"/>
      <c r="DT720" s="10"/>
      <c r="DU720" s="10"/>
      <c r="DV720" s="10"/>
      <c r="DW720" s="10"/>
      <c r="DX720" s="10"/>
      <c r="DY720" s="10"/>
      <c r="DZ720" s="10"/>
      <c r="EA720" s="10"/>
      <c r="EB720" s="10"/>
      <c r="EC720" s="10"/>
      <c r="ED720" s="10"/>
      <c r="EE720" s="10"/>
      <c r="EF720" s="10"/>
      <c r="EG720" s="10"/>
      <c r="EH720" s="10"/>
      <c r="EI720" s="10"/>
      <c r="EJ720" s="10"/>
      <c r="EK720" s="10"/>
      <c r="EL720" s="10"/>
      <c r="EM720" s="10"/>
      <c r="EN720" s="10"/>
      <c r="EO720" s="10"/>
      <c r="EP720" s="10"/>
      <c r="EQ720" s="10"/>
      <c r="ER720" s="10"/>
      <c r="ES720" s="10"/>
      <c r="ET720" s="10"/>
      <c r="EU720" s="10"/>
      <c r="EV720" s="10"/>
      <c r="EW720" s="10"/>
      <c r="EX720" s="10"/>
      <c r="EY720" s="10"/>
      <c r="EZ720" s="10"/>
      <c r="FA720" s="10"/>
      <c r="FB720" s="10"/>
      <c r="FC720" s="10"/>
      <c r="FD720" s="10"/>
      <c r="FE720" s="10"/>
      <c r="FF720" s="10"/>
      <c r="FG720" s="10"/>
      <c r="FH720" s="10"/>
      <c r="FI720" s="10"/>
      <c r="FJ720" s="10"/>
      <c r="FK720" s="10"/>
      <c r="FL720" s="10"/>
      <c r="FM720" s="10"/>
      <c r="FN720" s="10"/>
      <c r="FO720" s="10"/>
      <c r="FP720" s="10"/>
      <c r="FQ720" s="10"/>
      <c r="FR720" s="10"/>
      <c r="FS720" s="10"/>
      <c r="FT720" s="10"/>
      <c r="FU720" s="10"/>
      <c r="FV720" s="10"/>
      <c r="FW720" s="10"/>
      <c r="FX720" s="10"/>
      <c r="FY720" s="10"/>
      <c r="FZ720" s="10"/>
      <c r="GA720" s="10"/>
      <c r="GB720" s="10"/>
      <c r="GC720" s="10"/>
      <c r="GD720" s="10"/>
      <c r="GE720" s="10"/>
      <c r="GF720" s="10"/>
      <c r="GG720" s="10"/>
      <c r="GH720" s="10"/>
      <c r="GI720" s="10"/>
      <c r="GJ720" s="10"/>
      <c r="GK720" s="10"/>
    </row>
    <row r="721" customFormat="false" ht="12.75" hidden="false" customHeight="false" outlineLevel="0" collapsed="false">
      <c r="A721" s="7"/>
      <c r="B721" s="7"/>
      <c r="C721" s="8"/>
      <c r="D721" s="8"/>
      <c r="E721" s="8"/>
      <c r="F721" s="8"/>
      <c r="G721" s="9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10"/>
      <c r="BP721" s="10"/>
      <c r="BQ721" s="10"/>
      <c r="BR721" s="10"/>
      <c r="BS721" s="10"/>
      <c r="BT721" s="10"/>
      <c r="BU721" s="10"/>
      <c r="BV721" s="10"/>
      <c r="BW721" s="10"/>
      <c r="BX721" s="10"/>
      <c r="BY721" s="10"/>
      <c r="BZ721" s="10"/>
      <c r="CA721" s="10"/>
      <c r="CB721" s="10"/>
      <c r="CC721" s="10"/>
      <c r="CD721" s="10"/>
      <c r="CE721" s="10"/>
      <c r="CF721" s="10"/>
      <c r="CG721" s="10"/>
      <c r="CH721" s="10"/>
      <c r="CI721" s="10"/>
      <c r="CJ721" s="10"/>
      <c r="CK721" s="10"/>
      <c r="CL721" s="10"/>
      <c r="CM721" s="10"/>
      <c r="CN721" s="10"/>
      <c r="CO721" s="10"/>
      <c r="CP721" s="10"/>
      <c r="CQ721" s="10"/>
      <c r="CR721" s="10"/>
      <c r="CS721" s="10"/>
      <c r="CT721" s="10"/>
      <c r="CU721" s="10"/>
      <c r="CV721" s="10"/>
      <c r="CW721" s="10"/>
      <c r="CX721" s="10"/>
      <c r="CY721" s="10"/>
      <c r="CZ721" s="10"/>
      <c r="DA721" s="10"/>
      <c r="DB721" s="10"/>
      <c r="DC721" s="10"/>
      <c r="DD721" s="10"/>
      <c r="DE721" s="10"/>
      <c r="DF721" s="10"/>
      <c r="DG721" s="10"/>
      <c r="DH721" s="10"/>
      <c r="DI721" s="10"/>
      <c r="DJ721" s="10"/>
      <c r="DK721" s="10"/>
      <c r="DL721" s="10"/>
      <c r="DM721" s="10"/>
      <c r="DN721" s="10"/>
      <c r="DO721" s="10"/>
      <c r="DP721" s="10"/>
      <c r="DQ721" s="10"/>
      <c r="DR721" s="10"/>
      <c r="DS721" s="10"/>
      <c r="DT721" s="10"/>
      <c r="DU721" s="10"/>
      <c r="DV721" s="10"/>
      <c r="DW721" s="10"/>
      <c r="DX721" s="10"/>
      <c r="DY721" s="10"/>
      <c r="DZ721" s="10"/>
      <c r="EA721" s="10"/>
      <c r="EB721" s="10"/>
      <c r="EC721" s="10"/>
      <c r="ED721" s="10"/>
      <c r="EE721" s="10"/>
      <c r="EF721" s="10"/>
      <c r="EG721" s="10"/>
      <c r="EH721" s="10"/>
      <c r="EI721" s="10"/>
      <c r="EJ721" s="10"/>
      <c r="EK721" s="10"/>
      <c r="EL721" s="10"/>
      <c r="EM721" s="10"/>
      <c r="EN721" s="10"/>
      <c r="EO721" s="10"/>
      <c r="EP721" s="10"/>
      <c r="EQ721" s="10"/>
      <c r="ER721" s="10"/>
      <c r="ES721" s="10"/>
      <c r="ET721" s="10"/>
      <c r="EU721" s="10"/>
      <c r="EV721" s="10"/>
      <c r="EW721" s="10"/>
      <c r="EX721" s="10"/>
      <c r="EY721" s="10"/>
      <c r="EZ721" s="10"/>
      <c r="FA721" s="10"/>
      <c r="FB721" s="10"/>
      <c r="FC721" s="10"/>
      <c r="FD721" s="10"/>
      <c r="FE721" s="10"/>
      <c r="FF721" s="10"/>
      <c r="FG721" s="10"/>
      <c r="FH721" s="10"/>
      <c r="FI721" s="10"/>
      <c r="FJ721" s="10"/>
      <c r="FK721" s="10"/>
      <c r="FL721" s="10"/>
      <c r="FM721" s="10"/>
      <c r="FN721" s="10"/>
      <c r="FO721" s="10"/>
      <c r="FP721" s="10"/>
      <c r="FQ721" s="10"/>
      <c r="FR721" s="10"/>
      <c r="FS721" s="10"/>
      <c r="FT721" s="10"/>
      <c r="FU721" s="10"/>
      <c r="FV721" s="10"/>
      <c r="FW721" s="10"/>
      <c r="FX721" s="10"/>
      <c r="FY721" s="10"/>
      <c r="FZ721" s="10"/>
      <c r="GA721" s="10"/>
      <c r="GB721" s="10"/>
      <c r="GC721" s="10"/>
      <c r="GD721" s="10"/>
      <c r="GE721" s="10"/>
      <c r="GF721" s="10"/>
      <c r="GG721" s="10"/>
      <c r="GH721" s="10"/>
      <c r="GI721" s="10"/>
      <c r="GJ721" s="10"/>
      <c r="GK721" s="10"/>
    </row>
    <row r="722" customFormat="false" ht="12.75" hidden="false" customHeight="false" outlineLevel="0" collapsed="false">
      <c r="A722" s="7"/>
      <c r="B722" s="7"/>
      <c r="C722" s="8"/>
      <c r="D722" s="8"/>
      <c r="E722" s="8"/>
      <c r="F722" s="8"/>
      <c r="G722" s="9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10"/>
      <c r="BQ722" s="10"/>
      <c r="BR722" s="10"/>
      <c r="BS722" s="10"/>
      <c r="BT722" s="10"/>
      <c r="BU722" s="10"/>
      <c r="BV722" s="10"/>
      <c r="BW722" s="10"/>
      <c r="BX722" s="10"/>
      <c r="BY722" s="10"/>
      <c r="BZ722" s="10"/>
      <c r="CA722" s="10"/>
      <c r="CB722" s="10"/>
      <c r="CC722" s="10"/>
      <c r="CD722" s="10"/>
      <c r="CE722" s="10"/>
      <c r="CF722" s="10"/>
      <c r="CG722" s="10"/>
      <c r="CH722" s="10"/>
      <c r="CI722" s="10"/>
      <c r="CJ722" s="10"/>
      <c r="CK722" s="10"/>
      <c r="CL722" s="10"/>
      <c r="CM722" s="10"/>
      <c r="CN722" s="10"/>
      <c r="CO722" s="10"/>
      <c r="CP722" s="10"/>
      <c r="CQ722" s="10"/>
      <c r="CR722" s="10"/>
      <c r="CS722" s="10"/>
      <c r="CT722" s="10"/>
      <c r="CU722" s="10"/>
      <c r="CV722" s="10"/>
      <c r="CW722" s="10"/>
      <c r="CX722" s="10"/>
      <c r="CY722" s="10"/>
      <c r="CZ722" s="10"/>
      <c r="DA722" s="10"/>
      <c r="DB722" s="10"/>
      <c r="DC722" s="10"/>
      <c r="DD722" s="10"/>
      <c r="DE722" s="10"/>
      <c r="DF722" s="10"/>
      <c r="DG722" s="10"/>
      <c r="DH722" s="10"/>
      <c r="DI722" s="10"/>
      <c r="DJ722" s="10"/>
      <c r="DK722" s="10"/>
      <c r="DL722" s="10"/>
      <c r="DM722" s="10"/>
      <c r="DN722" s="10"/>
      <c r="DO722" s="10"/>
      <c r="DP722" s="10"/>
      <c r="DQ722" s="10"/>
      <c r="DR722" s="10"/>
      <c r="DS722" s="10"/>
      <c r="DT722" s="10"/>
      <c r="DU722" s="10"/>
      <c r="DV722" s="10"/>
      <c r="DW722" s="10"/>
      <c r="DX722" s="10"/>
      <c r="DY722" s="10"/>
      <c r="DZ722" s="10"/>
      <c r="EA722" s="10"/>
      <c r="EB722" s="10"/>
      <c r="EC722" s="10"/>
      <c r="ED722" s="10"/>
      <c r="EE722" s="10"/>
      <c r="EF722" s="10"/>
      <c r="EG722" s="10"/>
      <c r="EH722" s="10"/>
      <c r="EI722" s="10"/>
      <c r="EJ722" s="10"/>
      <c r="EK722" s="10"/>
      <c r="EL722" s="10"/>
      <c r="EM722" s="10"/>
      <c r="EN722" s="10"/>
      <c r="EO722" s="10"/>
      <c r="EP722" s="10"/>
      <c r="EQ722" s="10"/>
      <c r="ER722" s="10"/>
      <c r="ES722" s="10"/>
      <c r="ET722" s="10"/>
      <c r="EU722" s="10"/>
      <c r="EV722" s="10"/>
      <c r="EW722" s="10"/>
      <c r="EX722" s="10"/>
      <c r="EY722" s="10"/>
      <c r="EZ722" s="10"/>
      <c r="FA722" s="10"/>
      <c r="FB722" s="10"/>
      <c r="FC722" s="10"/>
      <c r="FD722" s="10"/>
      <c r="FE722" s="10"/>
      <c r="FF722" s="10"/>
      <c r="FG722" s="10"/>
      <c r="FH722" s="10"/>
      <c r="FI722" s="10"/>
      <c r="FJ722" s="10"/>
      <c r="FK722" s="10"/>
      <c r="FL722" s="10"/>
      <c r="FM722" s="10"/>
      <c r="FN722" s="10"/>
      <c r="FO722" s="10"/>
      <c r="FP722" s="10"/>
      <c r="FQ722" s="10"/>
      <c r="FR722" s="10"/>
      <c r="FS722" s="10"/>
      <c r="FT722" s="10"/>
      <c r="FU722" s="10"/>
      <c r="FV722" s="10"/>
      <c r="FW722" s="10"/>
      <c r="FX722" s="10"/>
      <c r="FY722" s="10"/>
      <c r="FZ722" s="10"/>
      <c r="GA722" s="10"/>
      <c r="GB722" s="10"/>
      <c r="GC722" s="10"/>
      <c r="GD722" s="10"/>
      <c r="GE722" s="10"/>
      <c r="GF722" s="10"/>
      <c r="GG722" s="10"/>
      <c r="GH722" s="10"/>
      <c r="GI722" s="10"/>
      <c r="GJ722" s="10"/>
      <c r="GK722" s="10"/>
    </row>
    <row r="723" customFormat="false" ht="12.75" hidden="false" customHeight="false" outlineLevel="0" collapsed="false">
      <c r="A723" s="7"/>
      <c r="B723" s="7"/>
      <c r="C723" s="8"/>
      <c r="D723" s="8"/>
      <c r="E723" s="8"/>
      <c r="F723" s="8"/>
      <c r="G723" s="9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0"/>
      <c r="BP723" s="10"/>
      <c r="BQ723" s="10"/>
      <c r="BR723" s="10"/>
      <c r="BS723" s="10"/>
      <c r="BT723" s="10"/>
      <c r="BU723" s="10"/>
      <c r="BV723" s="10"/>
      <c r="BW723" s="10"/>
      <c r="BX723" s="10"/>
      <c r="BY723" s="10"/>
      <c r="BZ723" s="10"/>
      <c r="CA723" s="10"/>
      <c r="CB723" s="10"/>
      <c r="CC723" s="10"/>
      <c r="CD723" s="10"/>
      <c r="CE723" s="10"/>
      <c r="CF723" s="10"/>
      <c r="CG723" s="10"/>
      <c r="CH723" s="10"/>
      <c r="CI723" s="10"/>
      <c r="CJ723" s="10"/>
      <c r="CK723" s="10"/>
      <c r="CL723" s="10"/>
      <c r="CM723" s="10"/>
      <c r="CN723" s="10"/>
      <c r="CO723" s="10"/>
      <c r="CP723" s="10"/>
      <c r="CQ723" s="10"/>
      <c r="CR723" s="10"/>
      <c r="CS723" s="10"/>
      <c r="CT723" s="10"/>
      <c r="CU723" s="10"/>
      <c r="CV723" s="10"/>
      <c r="CW723" s="10"/>
      <c r="CX723" s="10"/>
      <c r="CY723" s="10"/>
      <c r="CZ723" s="10"/>
      <c r="DA723" s="10"/>
      <c r="DB723" s="10"/>
      <c r="DC723" s="10"/>
      <c r="DD723" s="10"/>
      <c r="DE723" s="10"/>
      <c r="DF723" s="10"/>
      <c r="DG723" s="10"/>
      <c r="DH723" s="10"/>
      <c r="DI723" s="10"/>
      <c r="DJ723" s="10"/>
      <c r="DK723" s="10"/>
      <c r="DL723" s="10"/>
      <c r="DM723" s="10"/>
      <c r="DN723" s="10"/>
      <c r="DO723" s="10"/>
      <c r="DP723" s="10"/>
      <c r="DQ723" s="10"/>
      <c r="DR723" s="10"/>
      <c r="DS723" s="10"/>
      <c r="DT723" s="10"/>
      <c r="DU723" s="10"/>
      <c r="DV723" s="10"/>
      <c r="DW723" s="10"/>
      <c r="DX723" s="10"/>
      <c r="DY723" s="10"/>
      <c r="DZ723" s="10"/>
      <c r="EA723" s="10"/>
      <c r="EB723" s="10"/>
      <c r="EC723" s="10"/>
      <c r="ED723" s="10"/>
      <c r="EE723" s="10"/>
      <c r="EF723" s="10"/>
      <c r="EG723" s="10"/>
      <c r="EH723" s="10"/>
      <c r="EI723" s="10"/>
      <c r="EJ723" s="10"/>
      <c r="EK723" s="10"/>
      <c r="EL723" s="10"/>
      <c r="EM723" s="10"/>
      <c r="EN723" s="10"/>
      <c r="EO723" s="10"/>
      <c r="EP723" s="10"/>
      <c r="EQ723" s="10"/>
      <c r="ER723" s="10"/>
      <c r="ES723" s="10"/>
      <c r="ET723" s="10"/>
      <c r="EU723" s="10"/>
      <c r="EV723" s="10"/>
      <c r="EW723" s="10"/>
      <c r="EX723" s="10"/>
      <c r="EY723" s="10"/>
      <c r="EZ723" s="10"/>
      <c r="FA723" s="10"/>
      <c r="FB723" s="10"/>
      <c r="FC723" s="10"/>
      <c r="FD723" s="10"/>
      <c r="FE723" s="10"/>
      <c r="FF723" s="10"/>
      <c r="FG723" s="10"/>
      <c r="FH723" s="10"/>
      <c r="FI723" s="10"/>
      <c r="FJ723" s="10"/>
      <c r="FK723" s="10"/>
      <c r="FL723" s="10"/>
      <c r="FM723" s="10"/>
      <c r="FN723" s="10"/>
      <c r="FO723" s="10"/>
      <c r="FP723" s="10"/>
      <c r="FQ723" s="10"/>
      <c r="FR723" s="10"/>
      <c r="FS723" s="10"/>
      <c r="FT723" s="10"/>
      <c r="FU723" s="10"/>
      <c r="FV723" s="10"/>
      <c r="FW723" s="10"/>
      <c r="FX723" s="10"/>
      <c r="FY723" s="10"/>
      <c r="FZ723" s="10"/>
      <c r="GA723" s="10"/>
      <c r="GB723" s="10"/>
      <c r="GC723" s="10"/>
      <c r="GD723" s="10"/>
      <c r="GE723" s="10"/>
      <c r="GF723" s="10"/>
      <c r="GG723" s="10"/>
      <c r="GH723" s="10"/>
      <c r="GI723" s="10"/>
      <c r="GJ723" s="10"/>
      <c r="GK723" s="10"/>
    </row>
    <row r="724" customFormat="false" ht="12.75" hidden="false" customHeight="false" outlineLevel="0" collapsed="false">
      <c r="A724" s="7"/>
      <c r="B724" s="7"/>
      <c r="C724" s="8"/>
      <c r="D724" s="8"/>
      <c r="E724" s="8"/>
      <c r="F724" s="8"/>
      <c r="G724" s="9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0"/>
      <c r="BP724" s="10"/>
      <c r="BQ724" s="10"/>
      <c r="BR724" s="10"/>
      <c r="BS724" s="10"/>
      <c r="BT724" s="10"/>
      <c r="BU724" s="10"/>
      <c r="BV724" s="10"/>
      <c r="BW724" s="10"/>
      <c r="BX724" s="10"/>
      <c r="BY724" s="10"/>
      <c r="BZ724" s="10"/>
      <c r="CA724" s="10"/>
      <c r="CB724" s="10"/>
      <c r="CC724" s="10"/>
      <c r="CD724" s="10"/>
      <c r="CE724" s="10"/>
      <c r="CF724" s="10"/>
      <c r="CG724" s="10"/>
      <c r="CH724" s="10"/>
      <c r="CI724" s="10"/>
      <c r="CJ724" s="10"/>
      <c r="CK724" s="10"/>
      <c r="CL724" s="10"/>
      <c r="CM724" s="10"/>
      <c r="CN724" s="10"/>
      <c r="CO724" s="10"/>
      <c r="CP724" s="10"/>
      <c r="CQ724" s="10"/>
      <c r="CR724" s="10"/>
      <c r="CS724" s="10"/>
      <c r="CT724" s="10"/>
      <c r="CU724" s="10"/>
      <c r="CV724" s="10"/>
      <c r="CW724" s="10"/>
      <c r="CX724" s="10"/>
      <c r="CY724" s="10"/>
      <c r="CZ724" s="10"/>
      <c r="DA724" s="10"/>
      <c r="DB724" s="10"/>
      <c r="DC724" s="10"/>
      <c r="DD724" s="10"/>
      <c r="DE724" s="10"/>
      <c r="DF724" s="10"/>
      <c r="DG724" s="10"/>
      <c r="DH724" s="10"/>
      <c r="DI724" s="10"/>
      <c r="DJ724" s="10"/>
      <c r="DK724" s="10"/>
      <c r="DL724" s="10"/>
      <c r="DM724" s="10"/>
      <c r="DN724" s="10"/>
      <c r="DO724" s="10"/>
      <c r="DP724" s="10"/>
      <c r="DQ724" s="10"/>
      <c r="DR724" s="10"/>
      <c r="DS724" s="10"/>
      <c r="DT724" s="10"/>
      <c r="DU724" s="10"/>
      <c r="DV724" s="10"/>
      <c r="DW724" s="10"/>
      <c r="DX724" s="10"/>
      <c r="DY724" s="10"/>
      <c r="DZ724" s="10"/>
      <c r="EA724" s="10"/>
      <c r="EB724" s="10"/>
      <c r="EC724" s="10"/>
      <c r="ED724" s="10"/>
      <c r="EE724" s="10"/>
      <c r="EF724" s="10"/>
      <c r="EG724" s="10"/>
      <c r="EH724" s="10"/>
      <c r="EI724" s="10"/>
      <c r="EJ724" s="10"/>
      <c r="EK724" s="10"/>
      <c r="EL724" s="10"/>
      <c r="EM724" s="10"/>
      <c r="EN724" s="10"/>
      <c r="EO724" s="10"/>
      <c r="EP724" s="10"/>
      <c r="EQ724" s="10"/>
      <c r="ER724" s="10"/>
      <c r="ES724" s="10"/>
      <c r="ET724" s="10"/>
      <c r="EU724" s="10"/>
      <c r="EV724" s="10"/>
      <c r="EW724" s="10"/>
      <c r="EX724" s="10"/>
      <c r="EY724" s="10"/>
      <c r="EZ724" s="10"/>
      <c r="FA724" s="10"/>
      <c r="FB724" s="10"/>
      <c r="FC724" s="10"/>
      <c r="FD724" s="10"/>
      <c r="FE724" s="10"/>
      <c r="FF724" s="10"/>
      <c r="FG724" s="10"/>
      <c r="FH724" s="10"/>
      <c r="FI724" s="10"/>
      <c r="FJ724" s="10"/>
      <c r="FK724" s="10"/>
      <c r="FL724" s="10"/>
      <c r="FM724" s="10"/>
      <c r="FN724" s="10"/>
      <c r="FO724" s="10"/>
      <c r="FP724" s="10"/>
      <c r="FQ724" s="10"/>
      <c r="FR724" s="10"/>
      <c r="FS724" s="10"/>
      <c r="FT724" s="10"/>
      <c r="FU724" s="10"/>
      <c r="FV724" s="10"/>
      <c r="FW724" s="10"/>
      <c r="FX724" s="10"/>
      <c r="FY724" s="10"/>
      <c r="FZ724" s="10"/>
      <c r="GA724" s="10"/>
      <c r="GB724" s="10"/>
      <c r="GC724" s="10"/>
      <c r="GD724" s="10"/>
      <c r="GE724" s="10"/>
      <c r="GF724" s="10"/>
      <c r="GG724" s="10"/>
      <c r="GH724" s="10"/>
      <c r="GI724" s="10"/>
      <c r="GJ724" s="10"/>
      <c r="GK724" s="10"/>
    </row>
    <row r="725" customFormat="false" ht="12.75" hidden="false" customHeight="false" outlineLevel="0" collapsed="false">
      <c r="A725" s="7"/>
      <c r="B725" s="7"/>
      <c r="C725" s="8"/>
      <c r="D725" s="8"/>
      <c r="E725" s="8"/>
      <c r="F725" s="8"/>
      <c r="G725" s="9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  <c r="BR725" s="10"/>
      <c r="BS725" s="10"/>
      <c r="BT725" s="10"/>
      <c r="BU725" s="10"/>
      <c r="BV725" s="10"/>
      <c r="BW725" s="10"/>
      <c r="BX725" s="10"/>
      <c r="BY725" s="10"/>
      <c r="BZ725" s="10"/>
      <c r="CA725" s="10"/>
      <c r="CB725" s="10"/>
      <c r="CC725" s="10"/>
      <c r="CD725" s="10"/>
      <c r="CE725" s="10"/>
      <c r="CF725" s="10"/>
      <c r="CG725" s="10"/>
      <c r="CH725" s="10"/>
      <c r="CI725" s="10"/>
      <c r="CJ725" s="10"/>
      <c r="CK725" s="10"/>
      <c r="CL725" s="10"/>
      <c r="CM725" s="10"/>
      <c r="CN725" s="10"/>
      <c r="CO725" s="10"/>
      <c r="CP725" s="10"/>
      <c r="CQ725" s="10"/>
      <c r="CR725" s="10"/>
      <c r="CS725" s="10"/>
      <c r="CT725" s="10"/>
      <c r="CU725" s="10"/>
      <c r="CV725" s="10"/>
      <c r="CW725" s="10"/>
      <c r="CX725" s="10"/>
      <c r="CY725" s="10"/>
      <c r="CZ725" s="10"/>
      <c r="DA725" s="10"/>
      <c r="DB725" s="10"/>
      <c r="DC725" s="10"/>
      <c r="DD725" s="10"/>
      <c r="DE725" s="10"/>
      <c r="DF725" s="10"/>
      <c r="DG725" s="10"/>
      <c r="DH725" s="10"/>
      <c r="DI725" s="10"/>
      <c r="DJ725" s="10"/>
      <c r="DK725" s="10"/>
      <c r="DL725" s="10"/>
      <c r="DM725" s="10"/>
      <c r="DN725" s="10"/>
      <c r="DO725" s="10"/>
      <c r="DP725" s="10"/>
      <c r="DQ725" s="10"/>
      <c r="DR725" s="10"/>
      <c r="DS725" s="10"/>
      <c r="DT725" s="10"/>
      <c r="DU725" s="10"/>
      <c r="DV725" s="10"/>
      <c r="DW725" s="10"/>
      <c r="DX725" s="10"/>
      <c r="DY725" s="10"/>
      <c r="DZ725" s="10"/>
      <c r="EA725" s="10"/>
      <c r="EB725" s="10"/>
      <c r="EC725" s="10"/>
      <c r="ED725" s="10"/>
      <c r="EE725" s="10"/>
      <c r="EF725" s="10"/>
      <c r="EG725" s="10"/>
      <c r="EH725" s="10"/>
      <c r="EI725" s="10"/>
      <c r="EJ725" s="10"/>
      <c r="EK725" s="10"/>
      <c r="EL725" s="10"/>
      <c r="EM725" s="10"/>
      <c r="EN725" s="10"/>
      <c r="EO725" s="10"/>
      <c r="EP725" s="10"/>
      <c r="EQ725" s="10"/>
      <c r="ER725" s="10"/>
      <c r="ES725" s="10"/>
      <c r="ET725" s="10"/>
      <c r="EU725" s="10"/>
      <c r="EV725" s="10"/>
      <c r="EW725" s="10"/>
      <c r="EX725" s="10"/>
      <c r="EY725" s="10"/>
      <c r="EZ725" s="10"/>
      <c r="FA725" s="10"/>
      <c r="FB725" s="10"/>
      <c r="FC725" s="10"/>
      <c r="FD725" s="10"/>
      <c r="FE725" s="10"/>
      <c r="FF725" s="10"/>
      <c r="FG725" s="10"/>
      <c r="FH725" s="10"/>
      <c r="FI725" s="10"/>
      <c r="FJ725" s="10"/>
      <c r="FK725" s="10"/>
      <c r="FL725" s="10"/>
      <c r="FM725" s="10"/>
      <c r="FN725" s="10"/>
      <c r="FO725" s="10"/>
      <c r="FP725" s="10"/>
      <c r="FQ725" s="10"/>
      <c r="FR725" s="10"/>
      <c r="FS725" s="10"/>
      <c r="FT725" s="10"/>
      <c r="FU725" s="10"/>
      <c r="FV725" s="10"/>
      <c r="FW725" s="10"/>
      <c r="FX725" s="10"/>
      <c r="FY725" s="10"/>
      <c r="FZ725" s="10"/>
      <c r="GA725" s="10"/>
      <c r="GB725" s="10"/>
      <c r="GC725" s="10"/>
      <c r="GD725" s="10"/>
      <c r="GE725" s="10"/>
      <c r="GF725" s="10"/>
      <c r="GG725" s="10"/>
      <c r="GH725" s="10"/>
      <c r="GI725" s="10"/>
      <c r="GJ725" s="10"/>
      <c r="GK725" s="10"/>
    </row>
    <row r="726" customFormat="false" ht="12.75" hidden="false" customHeight="false" outlineLevel="0" collapsed="false">
      <c r="A726" s="7"/>
      <c r="B726" s="7"/>
      <c r="C726" s="8"/>
      <c r="D726" s="8"/>
      <c r="E726" s="8"/>
      <c r="F726" s="8"/>
      <c r="G726" s="9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  <c r="BR726" s="10"/>
      <c r="BS726" s="10"/>
      <c r="BT726" s="10"/>
      <c r="BU726" s="10"/>
      <c r="BV726" s="10"/>
      <c r="BW726" s="10"/>
      <c r="BX726" s="10"/>
      <c r="BY726" s="10"/>
      <c r="BZ726" s="10"/>
      <c r="CA726" s="10"/>
      <c r="CB726" s="10"/>
      <c r="CC726" s="10"/>
      <c r="CD726" s="10"/>
      <c r="CE726" s="10"/>
      <c r="CF726" s="10"/>
      <c r="CG726" s="10"/>
      <c r="CH726" s="10"/>
      <c r="CI726" s="10"/>
      <c r="CJ726" s="10"/>
      <c r="CK726" s="10"/>
      <c r="CL726" s="10"/>
      <c r="CM726" s="10"/>
      <c r="CN726" s="10"/>
      <c r="CO726" s="10"/>
      <c r="CP726" s="10"/>
      <c r="CQ726" s="10"/>
      <c r="CR726" s="10"/>
      <c r="CS726" s="10"/>
      <c r="CT726" s="10"/>
      <c r="CU726" s="10"/>
      <c r="CV726" s="10"/>
      <c r="CW726" s="10"/>
      <c r="CX726" s="10"/>
      <c r="CY726" s="10"/>
      <c r="CZ726" s="10"/>
      <c r="DA726" s="10"/>
      <c r="DB726" s="10"/>
      <c r="DC726" s="10"/>
      <c r="DD726" s="10"/>
      <c r="DE726" s="10"/>
      <c r="DF726" s="10"/>
      <c r="DG726" s="10"/>
      <c r="DH726" s="10"/>
      <c r="DI726" s="10"/>
      <c r="DJ726" s="10"/>
      <c r="DK726" s="10"/>
      <c r="DL726" s="10"/>
      <c r="DM726" s="10"/>
      <c r="DN726" s="10"/>
      <c r="DO726" s="10"/>
      <c r="DP726" s="10"/>
      <c r="DQ726" s="10"/>
      <c r="DR726" s="10"/>
      <c r="DS726" s="10"/>
      <c r="DT726" s="10"/>
      <c r="DU726" s="10"/>
      <c r="DV726" s="10"/>
      <c r="DW726" s="10"/>
      <c r="DX726" s="10"/>
      <c r="DY726" s="10"/>
      <c r="DZ726" s="10"/>
      <c r="EA726" s="10"/>
      <c r="EB726" s="10"/>
      <c r="EC726" s="10"/>
      <c r="ED726" s="10"/>
      <c r="EE726" s="10"/>
      <c r="EF726" s="10"/>
      <c r="EG726" s="10"/>
      <c r="EH726" s="10"/>
      <c r="EI726" s="10"/>
      <c r="EJ726" s="10"/>
      <c r="EK726" s="10"/>
      <c r="EL726" s="10"/>
      <c r="EM726" s="10"/>
      <c r="EN726" s="10"/>
      <c r="EO726" s="10"/>
      <c r="EP726" s="10"/>
      <c r="EQ726" s="10"/>
      <c r="ER726" s="10"/>
      <c r="ES726" s="10"/>
      <c r="ET726" s="10"/>
      <c r="EU726" s="10"/>
      <c r="EV726" s="10"/>
      <c r="EW726" s="10"/>
      <c r="EX726" s="10"/>
      <c r="EY726" s="10"/>
      <c r="EZ726" s="10"/>
      <c r="FA726" s="10"/>
      <c r="FB726" s="10"/>
      <c r="FC726" s="10"/>
      <c r="FD726" s="10"/>
      <c r="FE726" s="10"/>
      <c r="FF726" s="10"/>
      <c r="FG726" s="10"/>
      <c r="FH726" s="10"/>
      <c r="FI726" s="10"/>
      <c r="FJ726" s="10"/>
      <c r="FK726" s="10"/>
      <c r="FL726" s="10"/>
      <c r="FM726" s="10"/>
      <c r="FN726" s="10"/>
      <c r="FO726" s="10"/>
      <c r="FP726" s="10"/>
      <c r="FQ726" s="10"/>
      <c r="FR726" s="10"/>
      <c r="FS726" s="10"/>
      <c r="FT726" s="10"/>
      <c r="FU726" s="10"/>
      <c r="FV726" s="10"/>
      <c r="FW726" s="10"/>
      <c r="FX726" s="10"/>
      <c r="FY726" s="10"/>
      <c r="FZ726" s="10"/>
      <c r="GA726" s="10"/>
      <c r="GB726" s="10"/>
      <c r="GC726" s="10"/>
      <c r="GD726" s="10"/>
      <c r="GE726" s="10"/>
      <c r="GF726" s="10"/>
      <c r="GG726" s="10"/>
      <c r="GH726" s="10"/>
      <c r="GI726" s="10"/>
      <c r="GJ726" s="10"/>
      <c r="GK726" s="10"/>
    </row>
    <row r="727" customFormat="false" ht="12.75" hidden="false" customHeight="false" outlineLevel="0" collapsed="false">
      <c r="A727" s="7"/>
      <c r="B727" s="7"/>
      <c r="C727" s="8"/>
      <c r="D727" s="8"/>
      <c r="E727" s="8"/>
      <c r="F727" s="8"/>
      <c r="G727" s="9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0"/>
      <c r="BP727" s="10"/>
      <c r="BQ727" s="10"/>
      <c r="BR727" s="10"/>
      <c r="BS727" s="10"/>
      <c r="BT727" s="10"/>
      <c r="BU727" s="10"/>
      <c r="BV727" s="10"/>
      <c r="BW727" s="10"/>
      <c r="BX727" s="10"/>
      <c r="BY727" s="10"/>
      <c r="BZ727" s="10"/>
      <c r="CA727" s="10"/>
      <c r="CB727" s="10"/>
      <c r="CC727" s="10"/>
      <c r="CD727" s="10"/>
      <c r="CE727" s="10"/>
      <c r="CF727" s="10"/>
      <c r="CG727" s="10"/>
      <c r="CH727" s="10"/>
      <c r="CI727" s="10"/>
      <c r="CJ727" s="10"/>
      <c r="CK727" s="10"/>
      <c r="CL727" s="10"/>
      <c r="CM727" s="10"/>
      <c r="CN727" s="10"/>
      <c r="CO727" s="10"/>
      <c r="CP727" s="10"/>
      <c r="CQ727" s="10"/>
      <c r="CR727" s="10"/>
      <c r="CS727" s="10"/>
      <c r="CT727" s="10"/>
      <c r="CU727" s="10"/>
      <c r="CV727" s="10"/>
      <c r="CW727" s="10"/>
      <c r="CX727" s="10"/>
      <c r="CY727" s="10"/>
      <c r="CZ727" s="10"/>
      <c r="DA727" s="10"/>
      <c r="DB727" s="10"/>
      <c r="DC727" s="10"/>
      <c r="DD727" s="10"/>
      <c r="DE727" s="10"/>
      <c r="DF727" s="10"/>
      <c r="DG727" s="10"/>
      <c r="DH727" s="10"/>
      <c r="DI727" s="10"/>
      <c r="DJ727" s="10"/>
      <c r="DK727" s="10"/>
      <c r="DL727" s="10"/>
      <c r="DM727" s="10"/>
      <c r="DN727" s="10"/>
      <c r="DO727" s="10"/>
      <c r="DP727" s="10"/>
      <c r="DQ727" s="10"/>
      <c r="DR727" s="10"/>
      <c r="DS727" s="10"/>
      <c r="DT727" s="10"/>
      <c r="DU727" s="10"/>
      <c r="DV727" s="10"/>
      <c r="DW727" s="10"/>
      <c r="DX727" s="10"/>
      <c r="DY727" s="10"/>
      <c r="DZ727" s="10"/>
      <c r="EA727" s="10"/>
      <c r="EB727" s="10"/>
      <c r="EC727" s="10"/>
      <c r="ED727" s="10"/>
      <c r="EE727" s="10"/>
      <c r="EF727" s="10"/>
      <c r="EG727" s="10"/>
      <c r="EH727" s="10"/>
      <c r="EI727" s="10"/>
      <c r="EJ727" s="10"/>
      <c r="EK727" s="10"/>
      <c r="EL727" s="10"/>
      <c r="EM727" s="10"/>
      <c r="EN727" s="10"/>
      <c r="EO727" s="10"/>
      <c r="EP727" s="10"/>
      <c r="EQ727" s="10"/>
      <c r="ER727" s="10"/>
      <c r="ES727" s="10"/>
      <c r="ET727" s="10"/>
      <c r="EU727" s="10"/>
      <c r="EV727" s="10"/>
      <c r="EW727" s="10"/>
      <c r="EX727" s="10"/>
      <c r="EY727" s="10"/>
      <c r="EZ727" s="10"/>
      <c r="FA727" s="10"/>
      <c r="FB727" s="10"/>
      <c r="FC727" s="10"/>
      <c r="FD727" s="10"/>
      <c r="FE727" s="10"/>
      <c r="FF727" s="10"/>
      <c r="FG727" s="10"/>
      <c r="FH727" s="10"/>
      <c r="FI727" s="10"/>
      <c r="FJ727" s="10"/>
      <c r="FK727" s="10"/>
      <c r="FL727" s="10"/>
      <c r="FM727" s="10"/>
      <c r="FN727" s="10"/>
      <c r="FO727" s="10"/>
      <c r="FP727" s="10"/>
      <c r="FQ727" s="10"/>
      <c r="FR727" s="10"/>
      <c r="FS727" s="10"/>
      <c r="FT727" s="10"/>
      <c r="FU727" s="10"/>
      <c r="FV727" s="10"/>
      <c r="FW727" s="10"/>
      <c r="FX727" s="10"/>
      <c r="FY727" s="10"/>
      <c r="FZ727" s="10"/>
      <c r="GA727" s="10"/>
      <c r="GB727" s="10"/>
      <c r="GC727" s="10"/>
      <c r="GD727" s="10"/>
      <c r="GE727" s="10"/>
      <c r="GF727" s="10"/>
      <c r="GG727" s="10"/>
      <c r="GH727" s="10"/>
      <c r="GI727" s="10"/>
      <c r="GJ727" s="10"/>
      <c r="GK727" s="10"/>
    </row>
    <row r="728" customFormat="false" ht="12.75" hidden="false" customHeight="false" outlineLevel="0" collapsed="false">
      <c r="A728" s="7"/>
      <c r="B728" s="7"/>
      <c r="C728" s="8"/>
      <c r="D728" s="8"/>
      <c r="E728" s="8"/>
      <c r="F728" s="8"/>
      <c r="G728" s="9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0"/>
      <c r="BP728" s="10"/>
      <c r="BQ728" s="10"/>
      <c r="BR728" s="10"/>
      <c r="BS728" s="10"/>
      <c r="BT728" s="10"/>
      <c r="BU728" s="10"/>
      <c r="BV728" s="10"/>
      <c r="BW728" s="10"/>
      <c r="BX728" s="10"/>
      <c r="BY728" s="10"/>
      <c r="BZ728" s="10"/>
      <c r="CA728" s="10"/>
      <c r="CB728" s="10"/>
      <c r="CC728" s="10"/>
      <c r="CD728" s="10"/>
      <c r="CE728" s="10"/>
      <c r="CF728" s="10"/>
      <c r="CG728" s="10"/>
      <c r="CH728" s="10"/>
      <c r="CI728" s="10"/>
      <c r="CJ728" s="10"/>
      <c r="CK728" s="10"/>
      <c r="CL728" s="10"/>
      <c r="CM728" s="10"/>
      <c r="CN728" s="10"/>
      <c r="CO728" s="10"/>
      <c r="CP728" s="10"/>
      <c r="CQ728" s="10"/>
      <c r="CR728" s="10"/>
      <c r="CS728" s="10"/>
      <c r="CT728" s="10"/>
      <c r="CU728" s="10"/>
      <c r="CV728" s="10"/>
      <c r="CW728" s="10"/>
      <c r="CX728" s="10"/>
      <c r="CY728" s="10"/>
      <c r="CZ728" s="10"/>
      <c r="DA728" s="10"/>
      <c r="DB728" s="10"/>
      <c r="DC728" s="10"/>
      <c r="DD728" s="10"/>
      <c r="DE728" s="10"/>
      <c r="DF728" s="10"/>
      <c r="DG728" s="10"/>
      <c r="DH728" s="10"/>
      <c r="DI728" s="10"/>
      <c r="DJ728" s="10"/>
      <c r="DK728" s="10"/>
      <c r="DL728" s="10"/>
      <c r="DM728" s="10"/>
      <c r="DN728" s="10"/>
      <c r="DO728" s="10"/>
      <c r="DP728" s="10"/>
      <c r="DQ728" s="10"/>
      <c r="DR728" s="10"/>
      <c r="DS728" s="10"/>
      <c r="DT728" s="10"/>
      <c r="DU728" s="10"/>
      <c r="DV728" s="10"/>
      <c r="DW728" s="10"/>
      <c r="DX728" s="10"/>
      <c r="DY728" s="10"/>
      <c r="DZ728" s="10"/>
      <c r="EA728" s="10"/>
      <c r="EB728" s="10"/>
      <c r="EC728" s="10"/>
      <c r="ED728" s="10"/>
      <c r="EE728" s="10"/>
      <c r="EF728" s="10"/>
      <c r="EG728" s="10"/>
      <c r="EH728" s="10"/>
      <c r="EI728" s="10"/>
      <c r="EJ728" s="10"/>
      <c r="EK728" s="10"/>
      <c r="EL728" s="10"/>
      <c r="EM728" s="10"/>
      <c r="EN728" s="10"/>
      <c r="EO728" s="10"/>
      <c r="EP728" s="10"/>
      <c r="EQ728" s="10"/>
      <c r="ER728" s="10"/>
      <c r="ES728" s="10"/>
      <c r="ET728" s="10"/>
      <c r="EU728" s="10"/>
      <c r="EV728" s="10"/>
      <c r="EW728" s="10"/>
      <c r="EX728" s="10"/>
      <c r="EY728" s="10"/>
      <c r="EZ728" s="10"/>
      <c r="FA728" s="10"/>
      <c r="FB728" s="10"/>
      <c r="FC728" s="10"/>
      <c r="FD728" s="10"/>
      <c r="FE728" s="10"/>
      <c r="FF728" s="10"/>
      <c r="FG728" s="10"/>
      <c r="FH728" s="10"/>
      <c r="FI728" s="10"/>
      <c r="FJ728" s="10"/>
      <c r="FK728" s="10"/>
      <c r="FL728" s="10"/>
      <c r="FM728" s="10"/>
      <c r="FN728" s="10"/>
      <c r="FO728" s="10"/>
      <c r="FP728" s="10"/>
      <c r="FQ728" s="10"/>
      <c r="FR728" s="10"/>
      <c r="FS728" s="10"/>
      <c r="FT728" s="10"/>
      <c r="FU728" s="10"/>
      <c r="FV728" s="10"/>
      <c r="FW728" s="10"/>
      <c r="FX728" s="10"/>
      <c r="FY728" s="10"/>
      <c r="FZ728" s="10"/>
      <c r="GA728" s="10"/>
      <c r="GB728" s="10"/>
      <c r="GC728" s="10"/>
      <c r="GD728" s="10"/>
      <c r="GE728" s="10"/>
      <c r="GF728" s="10"/>
      <c r="GG728" s="10"/>
      <c r="GH728" s="10"/>
      <c r="GI728" s="10"/>
      <c r="GJ728" s="10"/>
      <c r="GK728" s="10"/>
    </row>
    <row r="729" customFormat="false" ht="12.75" hidden="false" customHeight="false" outlineLevel="0" collapsed="false">
      <c r="A729" s="7"/>
      <c r="B729" s="7"/>
      <c r="C729" s="8"/>
      <c r="D729" s="8"/>
      <c r="E729" s="8"/>
      <c r="F729" s="8"/>
      <c r="G729" s="9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10"/>
      <c r="BP729" s="10"/>
      <c r="BQ729" s="10"/>
      <c r="BR729" s="10"/>
      <c r="BS729" s="10"/>
      <c r="BT729" s="10"/>
      <c r="BU729" s="10"/>
      <c r="BV729" s="10"/>
      <c r="BW729" s="10"/>
      <c r="BX729" s="10"/>
      <c r="BY729" s="10"/>
      <c r="BZ729" s="10"/>
      <c r="CA729" s="10"/>
      <c r="CB729" s="10"/>
      <c r="CC729" s="10"/>
      <c r="CD729" s="10"/>
      <c r="CE729" s="10"/>
      <c r="CF729" s="10"/>
      <c r="CG729" s="10"/>
      <c r="CH729" s="10"/>
      <c r="CI729" s="10"/>
      <c r="CJ729" s="10"/>
      <c r="CK729" s="10"/>
      <c r="CL729" s="10"/>
      <c r="CM729" s="10"/>
      <c r="CN729" s="10"/>
      <c r="CO729" s="10"/>
      <c r="CP729" s="10"/>
      <c r="CQ729" s="10"/>
      <c r="CR729" s="10"/>
      <c r="CS729" s="10"/>
      <c r="CT729" s="10"/>
      <c r="CU729" s="10"/>
      <c r="CV729" s="10"/>
      <c r="CW729" s="10"/>
      <c r="CX729" s="10"/>
      <c r="CY729" s="10"/>
      <c r="CZ729" s="10"/>
      <c r="DA729" s="10"/>
      <c r="DB729" s="10"/>
      <c r="DC729" s="10"/>
      <c r="DD729" s="10"/>
      <c r="DE729" s="10"/>
      <c r="DF729" s="10"/>
      <c r="DG729" s="10"/>
      <c r="DH729" s="10"/>
      <c r="DI729" s="10"/>
      <c r="DJ729" s="10"/>
      <c r="DK729" s="10"/>
      <c r="DL729" s="10"/>
      <c r="DM729" s="10"/>
      <c r="DN729" s="10"/>
      <c r="DO729" s="10"/>
      <c r="DP729" s="10"/>
      <c r="DQ729" s="10"/>
      <c r="DR729" s="10"/>
      <c r="DS729" s="10"/>
      <c r="DT729" s="10"/>
      <c r="DU729" s="10"/>
      <c r="DV729" s="10"/>
      <c r="DW729" s="10"/>
      <c r="DX729" s="10"/>
      <c r="DY729" s="10"/>
      <c r="DZ729" s="10"/>
      <c r="EA729" s="10"/>
      <c r="EB729" s="10"/>
      <c r="EC729" s="10"/>
      <c r="ED729" s="10"/>
      <c r="EE729" s="10"/>
      <c r="EF729" s="10"/>
      <c r="EG729" s="10"/>
      <c r="EH729" s="10"/>
      <c r="EI729" s="10"/>
      <c r="EJ729" s="10"/>
      <c r="EK729" s="10"/>
      <c r="EL729" s="10"/>
      <c r="EM729" s="10"/>
      <c r="EN729" s="10"/>
      <c r="EO729" s="10"/>
      <c r="EP729" s="10"/>
      <c r="EQ729" s="10"/>
      <c r="ER729" s="10"/>
      <c r="ES729" s="10"/>
      <c r="ET729" s="10"/>
      <c r="EU729" s="10"/>
      <c r="EV729" s="10"/>
      <c r="EW729" s="10"/>
      <c r="EX729" s="10"/>
      <c r="EY729" s="10"/>
      <c r="EZ729" s="10"/>
      <c r="FA729" s="10"/>
      <c r="FB729" s="10"/>
      <c r="FC729" s="10"/>
      <c r="FD729" s="10"/>
      <c r="FE729" s="10"/>
      <c r="FF729" s="10"/>
      <c r="FG729" s="10"/>
      <c r="FH729" s="10"/>
      <c r="FI729" s="10"/>
      <c r="FJ729" s="10"/>
      <c r="FK729" s="10"/>
      <c r="FL729" s="10"/>
      <c r="FM729" s="10"/>
      <c r="FN729" s="10"/>
      <c r="FO729" s="10"/>
      <c r="FP729" s="10"/>
      <c r="FQ729" s="10"/>
      <c r="FR729" s="10"/>
      <c r="FS729" s="10"/>
      <c r="FT729" s="10"/>
      <c r="FU729" s="10"/>
      <c r="FV729" s="10"/>
      <c r="FW729" s="10"/>
      <c r="FX729" s="10"/>
      <c r="FY729" s="10"/>
      <c r="FZ729" s="10"/>
      <c r="GA729" s="10"/>
      <c r="GB729" s="10"/>
      <c r="GC729" s="10"/>
      <c r="GD729" s="10"/>
      <c r="GE729" s="10"/>
      <c r="GF729" s="10"/>
      <c r="GG729" s="10"/>
      <c r="GH729" s="10"/>
      <c r="GI729" s="10"/>
      <c r="GJ729" s="10"/>
      <c r="GK729" s="10"/>
    </row>
    <row r="730" customFormat="false" ht="12.75" hidden="false" customHeight="false" outlineLevel="0" collapsed="false">
      <c r="A730" s="7"/>
      <c r="B730" s="7"/>
      <c r="C730" s="8"/>
      <c r="D730" s="8"/>
      <c r="E730" s="8"/>
      <c r="F730" s="8"/>
      <c r="G730" s="9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0"/>
      <c r="BP730" s="10"/>
      <c r="BQ730" s="10"/>
      <c r="BR730" s="10"/>
      <c r="BS730" s="10"/>
      <c r="BT730" s="10"/>
      <c r="BU730" s="10"/>
      <c r="BV730" s="10"/>
      <c r="BW730" s="10"/>
      <c r="BX730" s="10"/>
      <c r="BY730" s="10"/>
      <c r="BZ730" s="10"/>
      <c r="CA730" s="10"/>
      <c r="CB730" s="10"/>
      <c r="CC730" s="10"/>
      <c r="CD730" s="10"/>
      <c r="CE730" s="10"/>
      <c r="CF730" s="10"/>
      <c r="CG730" s="10"/>
      <c r="CH730" s="10"/>
      <c r="CI730" s="10"/>
      <c r="CJ730" s="10"/>
      <c r="CK730" s="10"/>
      <c r="CL730" s="10"/>
      <c r="CM730" s="10"/>
      <c r="CN730" s="10"/>
      <c r="CO730" s="10"/>
      <c r="CP730" s="10"/>
      <c r="CQ730" s="10"/>
      <c r="CR730" s="10"/>
      <c r="CS730" s="10"/>
      <c r="CT730" s="10"/>
      <c r="CU730" s="10"/>
      <c r="CV730" s="10"/>
      <c r="CW730" s="10"/>
      <c r="CX730" s="10"/>
      <c r="CY730" s="10"/>
      <c r="CZ730" s="10"/>
      <c r="DA730" s="10"/>
      <c r="DB730" s="10"/>
      <c r="DC730" s="10"/>
      <c r="DD730" s="10"/>
      <c r="DE730" s="10"/>
      <c r="DF730" s="10"/>
      <c r="DG730" s="10"/>
      <c r="DH730" s="10"/>
      <c r="DI730" s="10"/>
      <c r="DJ730" s="10"/>
      <c r="DK730" s="10"/>
      <c r="DL730" s="10"/>
      <c r="DM730" s="10"/>
      <c r="DN730" s="10"/>
      <c r="DO730" s="10"/>
      <c r="DP730" s="10"/>
      <c r="DQ730" s="10"/>
      <c r="DR730" s="10"/>
      <c r="DS730" s="10"/>
      <c r="DT730" s="10"/>
      <c r="DU730" s="10"/>
      <c r="DV730" s="10"/>
      <c r="DW730" s="10"/>
      <c r="DX730" s="10"/>
      <c r="DY730" s="10"/>
      <c r="DZ730" s="10"/>
      <c r="EA730" s="10"/>
      <c r="EB730" s="10"/>
      <c r="EC730" s="10"/>
      <c r="ED730" s="10"/>
      <c r="EE730" s="10"/>
      <c r="EF730" s="10"/>
      <c r="EG730" s="10"/>
      <c r="EH730" s="10"/>
      <c r="EI730" s="10"/>
      <c r="EJ730" s="10"/>
      <c r="EK730" s="10"/>
      <c r="EL730" s="10"/>
      <c r="EM730" s="10"/>
      <c r="EN730" s="10"/>
      <c r="EO730" s="10"/>
      <c r="EP730" s="10"/>
      <c r="EQ730" s="10"/>
      <c r="ER730" s="10"/>
      <c r="ES730" s="10"/>
      <c r="ET730" s="10"/>
      <c r="EU730" s="10"/>
      <c r="EV730" s="10"/>
      <c r="EW730" s="10"/>
      <c r="EX730" s="10"/>
      <c r="EY730" s="10"/>
      <c r="EZ730" s="10"/>
      <c r="FA730" s="10"/>
      <c r="FB730" s="10"/>
      <c r="FC730" s="10"/>
      <c r="FD730" s="10"/>
      <c r="FE730" s="10"/>
      <c r="FF730" s="10"/>
      <c r="FG730" s="10"/>
      <c r="FH730" s="10"/>
      <c r="FI730" s="10"/>
      <c r="FJ730" s="10"/>
      <c r="FK730" s="10"/>
      <c r="FL730" s="10"/>
      <c r="FM730" s="10"/>
      <c r="FN730" s="10"/>
      <c r="FO730" s="10"/>
      <c r="FP730" s="10"/>
      <c r="FQ730" s="10"/>
      <c r="FR730" s="10"/>
      <c r="FS730" s="10"/>
      <c r="FT730" s="10"/>
      <c r="FU730" s="10"/>
      <c r="FV730" s="10"/>
      <c r="FW730" s="10"/>
      <c r="FX730" s="10"/>
      <c r="FY730" s="10"/>
      <c r="FZ730" s="10"/>
      <c r="GA730" s="10"/>
      <c r="GB730" s="10"/>
      <c r="GC730" s="10"/>
      <c r="GD730" s="10"/>
      <c r="GE730" s="10"/>
      <c r="GF730" s="10"/>
      <c r="GG730" s="10"/>
      <c r="GH730" s="10"/>
      <c r="GI730" s="10"/>
      <c r="GJ730" s="10"/>
      <c r="GK730" s="10"/>
    </row>
    <row r="731" customFormat="false" ht="12.75" hidden="false" customHeight="false" outlineLevel="0" collapsed="false">
      <c r="A731" s="7"/>
      <c r="B731" s="7"/>
      <c r="C731" s="8"/>
      <c r="D731" s="8"/>
      <c r="E731" s="8"/>
      <c r="F731" s="8"/>
      <c r="G731" s="9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0"/>
      <c r="BP731" s="10"/>
      <c r="BQ731" s="10"/>
      <c r="BR731" s="10"/>
      <c r="BS731" s="10"/>
      <c r="BT731" s="10"/>
      <c r="BU731" s="10"/>
      <c r="BV731" s="10"/>
      <c r="BW731" s="10"/>
      <c r="BX731" s="10"/>
      <c r="BY731" s="10"/>
      <c r="BZ731" s="10"/>
      <c r="CA731" s="10"/>
      <c r="CB731" s="10"/>
      <c r="CC731" s="10"/>
      <c r="CD731" s="10"/>
      <c r="CE731" s="10"/>
      <c r="CF731" s="10"/>
      <c r="CG731" s="10"/>
      <c r="CH731" s="10"/>
      <c r="CI731" s="10"/>
      <c r="CJ731" s="10"/>
      <c r="CK731" s="10"/>
      <c r="CL731" s="10"/>
      <c r="CM731" s="10"/>
      <c r="CN731" s="10"/>
      <c r="CO731" s="10"/>
      <c r="CP731" s="10"/>
      <c r="CQ731" s="10"/>
      <c r="CR731" s="10"/>
      <c r="CS731" s="10"/>
      <c r="CT731" s="10"/>
      <c r="CU731" s="10"/>
      <c r="CV731" s="10"/>
      <c r="CW731" s="10"/>
      <c r="CX731" s="10"/>
      <c r="CY731" s="10"/>
      <c r="CZ731" s="10"/>
      <c r="DA731" s="10"/>
      <c r="DB731" s="10"/>
      <c r="DC731" s="10"/>
      <c r="DD731" s="10"/>
      <c r="DE731" s="10"/>
      <c r="DF731" s="10"/>
      <c r="DG731" s="10"/>
      <c r="DH731" s="10"/>
      <c r="DI731" s="10"/>
      <c r="DJ731" s="10"/>
      <c r="DK731" s="10"/>
      <c r="DL731" s="10"/>
      <c r="DM731" s="10"/>
      <c r="DN731" s="10"/>
      <c r="DO731" s="10"/>
      <c r="DP731" s="10"/>
      <c r="DQ731" s="10"/>
      <c r="DR731" s="10"/>
      <c r="DS731" s="10"/>
      <c r="DT731" s="10"/>
      <c r="DU731" s="10"/>
      <c r="DV731" s="10"/>
      <c r="DW731" s="10"/>
      <c r="DX731" s="10"/>
      <c r="DY731" s="10"/>
      <c r="DZ731" s="10"/>
      <c r="EA731" s="10"/>
      <c r="EB731" s="10"/>
      <c r="EC731" s="10"/>
      <c r="ED731" s="10"/>
      <c r="EE731" s="10"/>
      <c r="EF731" s="10"/>
      <c r="EG731" s="10"/>
      <c r="EH731" s="10"/>
      <c r="EI731" s="10"/>
      <c r="EJ731" s="10"/>
      <c r="EK731" s="10"/>
      <c r="EL731" s="10"/>
      <c r="EM731" s="10"/>
      <c r="EN731" s="10"/>
      <c r="EO731" s="10"/>
      <c r="EP731" s="10"/>
      <c r="EQ731" s="10"/>
      <c r="ER731" s="10"/>
      <c r="ES731" s="10"/>
      <c r="ET731" s="10"/>
      <c r="EU731" s="10"/>
      <c r="EV731" s="10"/>
      <c r="EW731" s="10"/>
      <c r="EX731" s="10"/>
      <c r="EY731" s="10"/>
      <c r="EZ731" s="10"/>
      <c r="FA731" s="10"/>
      <c r="FB731" s="10"/>
      <c r="FC731" s="10"/>
      <c r="FD731" s="10"/>
      <c r="FE731" s="10"/>
      <c r="FF731" s="10"/>
      <c r="FG731" s="10"/>
      <c r="FH731" s="10"/>
      <c r="FI731" s="10"/>
      <c r="FJ731" s="10"/>
      <c r="FK731" s="10"/>
      <c r="FL731" s="10"/>
      <c r="FM731" s="10"/>
      <c r="FN731" s="10"/>
      <c r="FO731" s="10"/>
      <c r="FP731" s="10"/>
      <c r="FQ731" s="10"/>
      <c r="FR731" s="10"/>
      <c r="FS731" s="10"/>
      <c r="FT731" s="10"/>
      <c r="FU731" s="10"/>
      <c r="FV731" s="10"/>
      <c r="FW731" s="10"/>
      <c r="FX731" s="10"/>
      <c r="FY731" s="10"/>
      <c r="FZ731" s="10"/>
      <c r="GA731" s="10"/>
      <c r="GB731" s="10"/>
      <c r="GC731" s="10"/>
      <c r="GD731" s="10"/>
      <c r="GE731" s="10"/>
      <c r="GF731" s="10"/>
      <c r="GG731" s="10"/>
      <c r="GH731" s="10"/>
      <c r="GI731" s="10"/>
      <c r="GJ731" s="10"/>
      <c r="GK731" s="10"/>
    </row>
    <row r="732" customFormat="false" ht="12.75" hidden="false" customHeight="false" outlineLevel="0" collapsed="false">
      <c r="A732" s="7"/>
      <c r="B732" s="7"/>
      <c r="C732" s="8"/>
      <c r="D732" s="8"/>
      <c r="E732" s="8"/>
      <c r="F732" s="8"/>
      <c r="G732" s="9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0"/>
      <c r="BP732" s="10"/>
      <c r="BQ732" s="10"/>
      <c r="BR732" s="10"/>
      <c r="BS732" s="10"/>
      <c r="BT732" s="10"/>
      <c r="BU732" s="10"/>
      <c r="BV732" s="10"/>
      <c r="BW732" s="10"/>
      <c r="BX732" s="10"/>
      <c r="BY732" s="10"/>
      <c r="BZ732" s="10"/>
      <c r="CA732" s="10"/>
      <c r="CB732" s="10"/>
      <c r="CC732" s="10"/>
      <c r="CD732" s="10"/>
      <c r="CE732" s="10"/>
      <c r="CF732" s="10"/>
      <c r="CG732" s="10"/>
      <c r="CH732" s="10"/>
      <c r="CI732" s="10"/>
      <c r="CJ732" s="10"/>
      <c r="CK732" s="10"/>
      <c r="CL732" s="10"/>
      <c r="CM732" s="10"/>
      <c r="CN732" s="10"/>
      <c r="CO732" s="10"/>
      <c r="CP732" s="10"/>
      <c r="CQ732" s="10"/>
      <c r="CR732" s="10"/>
      <c r="CS732" s="10"/>
      <c r="CT732" s="10"/>
      <c r="CU732" s="10"/>
      <c r="CV732" s="10"/>
      <c r="CW732" s="10"/>
      <c r="CX732" s="10"/>
      <c r="CY732" s="10"/>
      <c r="CZ732" s="10"/>
      <c r="DA732" s="10"/>
      <c r="DB732" s="10"/>
      <c r="DC732" s="10"/>
      <c r="DD732" s="10"/>
      <c r="DE732" s="10"/>
      <c r="DF732" s="10"/>
      <c r="DG732" s="10"/>
      <c r="DH732" s="10"/>
      <c r="DI732" s="10"/>
      <c r="DJ732" s="10"/>
      <c r="DK732" s="10"/>
      <c r="DL732" s="10"/>
      <c r="DM732" s="10"/>
      <c r="DN732" s="10"/>
      <c r="DO732" s="10"/>
      <c r="DP732" s="10"/>
      <c r="DQ732" s="10"/>
      <c r="DR732" s="10"/>
      <c r="DS732" s="10"/>
      <c r="DT732" s="10"/>
      <c r="DU732" s="10"/>
      <c r="DV732" s="10"/>
      <c r="DW732" s="10"/>
      <c r="DX732" s="10"/>
      <c r="DY732" s="10"/>
      <c r="DZ732" s="10"/>
      <c r="EA732" s="10"/>
      <c r="EB732" s="10"/>
      <c r="EC732" s="10"/>
      <c r="ED732" s="10"/>
      <c r="EE732" s="10"/>
      <c r="EF732" s="10"/>
      <c r="EG732" s="10"/>
      <c r="EH732" s="10"/>
      <c r="EI732" s="10"/>
      <c r="EJ732" s="10"/>
      <c r="EK732" s="10"/>
      <c r="EL732" s="10"/>
      <c r="EM732" s="10"/>
      <c r="EN732" s="10"/>
      <c r="EO732" s="10"/>
      <c r="EP732" s="10"/>
      <c r="EQ732" s="10"/>
      <c r="ER732" s="10"/>
      <c r="ES732" s="10"/>
      <c r="ET732" s="10"/>
      <c r="EU732" s="10"/>
      <c r="EV732" s="10"/>
      <c r="EW732" s="10"/>
      <c r="EX732" s="10"/>
      <c r="EY732" s="10"/>
      <c r="EZ732" s="10"/>
      <c r="FA732" s="10"/>
      <c r="FB732" s="10"/>
      <c r="FC732" s="10"/>
      <c r="FD732" s="10"/>
      <c r="FE732" s="10"/>
      <c r="FF732" s="10"/>
      <c r="FG732" s="10"/>
      <c r="FH732" s="10"/>
      <c r="FI732" s="10"/>
      <c r="FJ732" s="10"/>
      <c r="FK732" s="10"/>
      <c r="FL732" s="10"/>
      <c r="FM732" s="10"/>
      <c r="FN732" s="10"/>
      <c r="FO732" s="10"/>
      <c r="FP732" s="10"/>
      <c r="FQ732" s="10"/>
      <c r="FR732" s="10"/>
      <c r="FS732" s="10"/>
      <c r="FT732" s="10"/>
      <c r="FU732" s="10"/>
      <c r="FV732" s="10"/>
      <c r="FW732" s="10"/>
      <c r="FX732" s="10"/>
      <c r="FY732" s="10"/>
      <c r="FZ732" s="10"/>
      <c r="GA732" s="10"/>
      <c r="GB732" s="10"/>
      <c r="GC732" s="10"/>
      <c r="GD732" s="10"/>
      <c r="GE732" s="10"/>
      <c r="GF732" s="10"/>
      <c r="GG732" s="10"/>
      <c r="GH732" s="10"/>
      <c r="GI732" s="10"/>
      <c r="GJ732" s="10"/>
      <c r="GK732" s="10"/>
    </row>
    <row r="733" customFormat="false" ht="12.75" hidden="false" customHeight="false" outlineLevel="0" collapsed="false">
      <c r="A733" s="7"/>
      <c r="B733" s="7"/>
      <c r="C733" s="8"/>
      <c r="D733" s="8"/>
      <c r="E733" s="8"/>
      <c r="F733" s="8"/>
      <c r="G733" s="9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10"/>
      <c r="BQ733" s="10"/>
      <c r="BR733" s="10"/>
      <c r="BS733" s="10"/>
      <c r="BT733" s="10"/>
      <c r="BU733" s="10"/>
      <c r="BV733" s="10"/>
      <c r="BW733" s="10"/>
      <c r="BX733" s="10"/>
      <c r="BY733" s="10"/>
      <c r="BZ733" s="10"/>
      <c r="CA733" s="10"/>
      <c r="CB733" s="10"/>
      <c r="CC733" s="10"/>
      <c r="CD733" s="10"/>
      <c r="CE733" s="10"/>
      <c r="CF733" s="10"/>
      <c r="CG733" s="10"/>
      <c r="CH733" s="10"/>
      <c r="CI733" s="10"/>
      <c r="CJ733" s="10"/>
      <c r="CK733" s="10"/>
      <c r="CL733" s="10"/>
      <c r="CM733" s="10"/>
      <c r="CN733" s="10"/>
      <c r="CO733" s="10"/>
      <c r="CP733" s="10"/>
      <c r="CQ733" s="10"/>
      <c r="CR733" s="10"/>
      <c r="CS733" s="10"/>
      <c r="CT733" s="10"/>
      <c r="CU733" s="10"/>
      <c r="CV733" s="10"/>
      <c r="CW733" s="10"/>
      <c r="CX733" s="10"/>
      <c r="CY733" s="10"/>
      <c r="CZ733" s="10"/>
      <c r="DA733" s="10"/>
      <c r="DB733" s="10"/>
      <c r="DC733" s="10"/>
      <c r="DD733" s="10"/>
      <c r="DE733" s="10"/>
      <c r="DF733" s="10"/>
      <c r="DG733" s="10"/>
      <c r="DH733" s="10"/>
      <c r="DI733" s="10"/>
      <c r="DJ733" s="10"/>
      <c r="DK733" s="10"/>
      <c r="DL733" s="10"/>
      <c r="DM733" s="10"/>
      <c r="DN733" s="10"/>
      <c r="DO733" s="10"/>
      <c r="DP733" s="10"/>
      <c r="DQ733" s="10"/>
      <c r="DR733" s="10"/>
      <c r="DS733" s="10"/>
      <c r="DT733" s="10"/>
      <c r="DU733" s="10"/>
      <c r="DV733" s="10"/>
      <c r="DW733" s="10"/>
      <c r="DX733" s="10"/>
      <c r="DY733" s="10"/>
      <c r="DZ733" s="10"/>
      <c r="EA733" s="10"/>
      <c r="EB733" s="10"/>
      <c r="EC733" s="10"/>
      <c r="ED733" s="10"/>
      <c r="EE733" s="10"/>
      <c r="EF733" s="10"/>
      <c r="EG733" s="10"/>
      <c r="EH733" s="10"/>
      <c r="EI733" s="10"/>
      <c r="EJ733" s="10"/>
      <c r="EK733" s="10"/>
      <c r="EL733" s="10"/>
      <c r="EM733" s="10"/>
      <c r="EN733" s="10"/>
      <c r="EO733" s="10"/>
      <c r="EP733" s="10"/>
      <c r="EQ733" s="10"/>
      <c r="ER733" s="10"/>
      <c r="ES733" s="10"/>
      <c r="ET733" s="10"/>
      <c r="EU733" s="10"/>
      <c r="EV733" s="10"/>
      <c r="EW733" s="10"/>
      <c r="EX733" s="10"/>
      <c r="EY733" s="10"/>
      <c r="EZ733" s="10"/>
      <c r="FA733" s="10"/>
      <c r="FB733" s="10"/>
      <c r="FC733" s="10"/>
      <c r="FD733" s="10"/>
      <c r="FE733" s="10"/>
      <c r="FF733" s="10"/>
      <c r="FG733" s="10"/>
      <c r="FH733" s="10"/>
      <c r="FI733" s="10"/>
      <c r="FJ733" s="10"/>
      <c r="FK733" s="10"/>
      <c r="FL733" s="10"/>
      <c r="FM733" s="10"/>
      <c r="FN733" s="10"/>
      <c r="FO733" s="10"/>
      <c r="FP733" s="10"/>
      <c r="FQ733" s="10"/>
      <c r="FR733" s="10"/>
      <c r="FS733" s="10"/>
      <c r="FT733" s="10"/>
      <c r="FU733" s="10"/>
      <c r="FV733" s="10"/>
      <c r="FW733" s="10"/>
      <c r="FX733" s="10"/>
      <c r="FY733" s="10"/>
      <c r="FZ733" s="10"/>
      <c r="GA733" s="10"/>
      <c r="GB733" s="10"/>
      <c r="GC733" s="10"/>
      <c r="GD733" s="10"/>
      <c r="GE733" s="10"/>
      <c r="GF733" s="10"/>
      <c r="GG733" s="10"/>
      <c r="GH733" s="10"/>
      <c r="GI733" s="10"/>
      <c r="GJ733" s="10"/>
      <c r="GK733" s="10"/>
    </row>
    <row r="734" customFormat="false" ht="12.75" hidden="false" customHeight="false" outlineLevel="0" collapsed="false">
      <c r="A734" s="7"/>
      <c r="B734" s="7"/>
      <c r="C734" s="8"/>
      <c r="D734" s="8"/>
      <c r="E734" s="8"/>
      <c r="F734" s="8"/>
      <c r="G734" s="9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  <c r="BS734" s="10"/>
      <c r="BT734" s="10"/>
      <c r="BU734" s="10"/>
      <c r="BV734" s="10"/>
      <c r="BW734" s="10"/>
      <c r="BX734" s="10"/>
      <c r="BY734" s="10"/>
      <c r="BZ734" s="10"/>
      <c r="CA734" s="10"/>
      <c r="CB734" s="10"/>
      <c r="CC734" s="10"/>
      <c r="CD734" s="10"/>
      <c r="CE734" s="10"/>
      <c r="CF734" s="10"/>
      <c r="CG734" s="10"/>
      <c r="CH734" s="10"/>
      <c r="CI734" s="10"/>
      <c r="CJ734" s="10"/>
      <c r="CK734" s="10"/>
      <c r="CL734" s="10"/>
      <c r="CM734" s="10"/>
      <c r="CN734" s="10"/>
      <c r="CO734" s="10"/>
      <c r="CP734" s="10"/>
      <c r="CQ734" s="10"/>
      <c r="CR734" s="10"/>
      <c r="CS734" s="10"/>
      <c r="CT734" s="10"/>
      <c r="CU734" s="10"/>
      <c r="CV734" s="10"/>
      <c r="CW734" s="10"/>
      <c r="CX734" s="10"/>
      <c r="CY734" s="10"/>
      <c r="CZ734" s="10"/>
      <c r="DA734" s="10"/>
      <c r="DB734" s="10"/>
      <c r="DC734" s="10"/>
      <c r="DD734" s="10"/>
      <c r="DE734" s="10"/>
      <c r="DF734" s="10"/>
      <c r="DG734" s="10"/>
      <c r="DH734" s="10"/>
      <c r="DI734" s="10"/>
      <c r="DJ734" s="10"/>
      <c r="DK734" s="10"/>
      <c r="DL734" s="10"/>
      <c r="DM734" s="10"/>
      <c r="DN734" s="10"/>
      <c r="DO734" s="10"/>
      <c r="DP734" s="10"/>
      <c r="DQ734" s="10"/>
      <c r="DR734" s="10"/>
      <c r="DS734" s="10"/>
      <c r="DT734" s="10"/>
      <c r="DU734" s="10"/>
      <c r="DV734" s="10"/>
      <c r="DW734" s="10"/>
      <c r="DX734" s="10"/>
      <c r="DY734" s="10"/>
      <c r="DZ734" s="10"/>
      <c r="EA734" s="10"/>
      <c r="EB734" s="10"/>
      <c r="EC734" s="10"/>
      <c r="ED734" s="10"/>
      <c r="EE734" s="10"/>
      <c r="EF734" s="10"/>
      <c r="EG734" s="10"/>
      <c r="EH734" s="10"/>
      <c r="EI734" s="10"/>
      <c r="EJ734" s="10"/>
      <c r="EK734" s="10"/>
      <c r="EL734" s="10"/>
      <c r="EM734" s="10"/>
      <c r="EN734" s="10"/>
      <c r="EO734" s="10"/>
      <c r="EP734" s="10"/>
      <c r="EQ734" s="10"/>
      <c r="ER734" s="10"/>
      <c r="ES734" s="10"/>
      <c r="ET734" s="10"/>
      <c r="EU734" s="10"/>
      <c r="EV734" s="10"/>
      <c r="EW734" s="10"/>
      <c r="EX734" s="10"/>
      <c r="EY734" s="10"/>
      <c r="EZ734" s="10"/>
      <c r="FA734" s="10"/>
      <c r="FB734" s="10"/>
      <c r="FC734" s="10"/>
      <c r="FD734" s="10"/>
      <c r="FE734" s="10"/>
      <c r="FF734" s="10"/>
      <c r="FG734" s="10"/>
      <c r="FH734" s="10"/>
      <c r="FI734" s="10"/>
      <c r="FJ734" s="10"/>
      <c r="FK734" s="10"/>
      <c r="FL734" s="10"/>
      <c r="FM734" s="10"/>
      <c r="FN734" s="10"/>
      <c r="FO734" s="10"/>
      <c r="FP734" s="10"/>
      <c r="FQ734" s="10"/>
      <c r="FR734" s="10"/>
      <c r="FS734" s="10"/>
      <c r="FT734" s="10"/>
      <c r="FU734" s="10"/>
      <c r="FV734" s="10"/>
      <c r="FW734" s="10"/>
      <c r="FX734" s="10"/>
      <c r="FY734" s="10"/>
      <c r="FZ734" s="10"/>
      <c r="GA734" s="10"/>
      <c r="GB734" s="10"/>
      <c r="GC734" s="10"/>
      <c r="GD734" s="10"/>
      <c r="GE734" s="10"/>
      <c r="GF734" s="10"/>
      <c r="GG734" s="10"/>
      <c r="GH734" s="10"/>
      <c r="GI734" s="10"/>
      <c r="GJ734" s="10"/>
      <c r="GK734" s="10"/>
    </row>
    <row r="735" customFormat="false" ht="12.75" hidden="false" customHeight="false" outlineLevel="0" collapsed="false">
      <c r="A735" s="7"/>
      <c r="B735" s="7"/>
      <c r="C735" s="8"/>
      <c r="D735" s="8"/>
      <c r="E735" s="8"/>
      <c r="F735" s="8"/>
      <c r="G735" s="9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0"/>
      <c r="BP735" s="10"/>
      <c r="BQ735" s="10"/>
      <c r="BR735" s="10"/>
      <c r="BS735" s="10"/>
      <c r="BT735" s="10"/>
      <c r="BU735" s="10"/>
      <c r="BV735" s="10"/>
      <c r="BW735" s="10"/>
      <c r="BX735" s="10"/>
      <c r="BY735" s="10"/>
      <c r="BZ735" s="10"/>
      <c r="CA735" s="10"/>
      <c r="CB735" s="10"/>
      <c r="CC735" s="10"/>
      <c r="CD735" s="10"/>
      <c r="CE735" s="10"/>
      <c r="CF735" s="10"/>
      <c r="CG735" s="10"/>
      <c r="CH735" s="10"/>
      <c r="CI735" s="10"/>
      <c r="CJ735" s="10"/>
      <c r="CK735" s="10"/>
      <c r="CL735" s="10"/>
      <c r="CM735" s="10"/>
      <c r="CN735" s="10"/>
      <c r="CO735" s="10"/>
      <c r="CP735" s="10"/>
      <c r="CQ735" s="10"/>
      <c r="CR735" s="10"/>
      <c r="CS735" s="10"/>
      <c r="CT735" s="10"/>
      <c r="CU735" s="10"/>
      <c r="CV735" s="10"/>
      <c r="CW735" s="10"/>
      <c r="CX735" s="10"/>
      <c r="CY735" s="10"/>
      <c r="CZ735" s="10"/>
      <c r="DA735" s="10"/>
      <c r="DB735" s="10"/>
      <c r="DC735" s="10"/>
      <c r="DD735" s="10"/>
      <c r="DE735" s="10"/>
      <c r="DF735" s="10"/>
      <c r="DG735" s="10"/>
      <c r="DH735" s="10"/>
      <c r="DI735" s="10"/>
      <c r="DJ735" s="10"/>
      <c r="DK735" s="10"/>
      <c r="DL735" s="10"/>
      <c r="DM735" s="10"/>
      <c r="DN735" s="10"/>
      <c r="DO735" s="10"/>
      <c r="DP735" s="10"/>
      <c r="DQ735" s="10"/>
      <c r="DR735" s="10"/>
      <c r="DS735" s="10"/>
      <c r="DT735" s="10"/>
      <c r="DU735" s="10"/>
      <c r="DV735" s="10"/>
      <c r="DW735" s="10"/>
      <c r="DX735" s="10"/>
      <c r="DY735" s="10"/>
      <c r="DZ735" s="10"/>
      <c r="EA735" s="10"/>
      <c r="EB735" s="10"/>
      <c r="EC735" s="10"/>
      <c r="ED735" s="10"/>
      <c r="EE735" s="10"/>
      <c r="EF735" s="10"/>
      <c r="EG735" s="10"/>
      <c r="EH735" s="10"/>
      <c r="EI735" s="10"/>
      <c r="EJ735" s="10"/>
      <c r="EK735" s="10"/>
      <c r="EL735" s="10"/>
      <c r="EM735" s="10"/>
      <c r="EN735" s="10"/>
      <c r="EO735" s="10"/>
      <c r="EP735" s="10"/>
      <c r="EQ735" s="10"/>
      <c r="ER735" s="10"/>
      <c r="ES735" s="10"/>
      <c r="ET735" s="10"/>
      <c r="EU735" s="10"/>
      <c r="EV735" s="10"/>
      <c r="EW735" s="10"/>
      <c r="EX735" s="10"/>
      <c r="EY735" s="10"/>
      <c r="EZ735" s="10"/>
      <c r="FA735" s="10"/>
      <c r="FB735" s="10"/>
      <c r="FC735" s="10"/>
      <c r="FD735" s="10"/>
      <c r="FE735" s="10"/>
      <c r="FF735" s="10"/>
      <c r="FG735" s="10"/>
      <c r="FH735" s="10"/>
      <c r="FI735" s="10"/>
      <c r="FJ735" s="10"/>
      <c r="FK735" s="10"/>
      <c r="FL735" s="10"/>
      <c r="FM735" s="10"/>
      <c r="FN735" s="10"/>
      <c r="FO735" s="10"/>
      <c r="FP735" s="10"/>
      <c r="FQ735" s="10"/>
      <c r="FR735" s="10"/>
      <c r="FS735" s="10"/>
      <c r="FT735" s="10"/>
      <c r="FU735" s="10"/>
      <c r="FV735" s="10"/>
      <c r="FW735" s="10"/>
      <c r="FX735" s="10"/>
      <c r="FY735" s="10"/>
      <c r="FZ735" s="10"/>
      <c r="GA735" s="10"/>
      <c r="GB735" s="10"/>
      <c r="GC735" s="10"/>
      <c r="GD735" s="10"/>
      <c r="GE735" s="10"/>
      <c r="GF735" s="10"/>
      <c r="GG735" s="10"/>
      <c r="GH735" s="10"/>
      <c r="GI735" s="10"/>
      <c r="GJ735" s="10"/>
      <c r="GK735" s="10"/>
    </row>
    <row r="736" customFormat="false" ht="12.75" hidden="false" customHeight="false" outlineLevel="0" collapsed="false">
      <c r="A736" s="7"/>
      <c r="B736" s="7"/>
      <c r="C736" s="8"/>
      <c r="D736" s="8"/>
      <c r="E736" s="8"/>
      <c r="F736" s="8"/>
      <c r="G736" s="9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10"/>
      <c r="BP736" s="10"/>
      <c r="BQ736" s="10"/>
      <c r="BR736" s="10"/>
      <c r="BS736" s="10"/>
      <c r="BT736" s="10"/>
      <c r="BU736" s="10"/>
      <c r="BV736" s="10"/>
      <c r="BW736" s="10"/>
      <c r="BX736" s="10"/>
      <c r="BY736" s="10"/>
      <c r="BZ736" s="10"/>
      <c r="CA736" s="10"/>
      <c r="CB736" s="10"/>
      <c r="CC736" s="10"/>
      <c r="CD736" s="10"/>
      <c r="CE736" s="10"/>
      <c r="CF736" s="10"/>
      <c r="CG736" s="10"/>
      <c r="CH736" s="10"/>
      <c r="CI736" s="10"/>
      <c r="CJ736" s="10"/>
      <c r="CK736" s="10"/>
      <c r="CL736" s="10"/>
      <c r="CM736" s="10"/>
      <c r="CN736" s="10"/>
      <c r="CO736" s="10"/>
      <c r="CP736" s="10"/>
      <c r="CQ736" s="10"/>
      <c r="CR736" s="10"/>
      <c r="CS736" s="10"/>
      <c r="CT736" s="10"/>
      <c r="CU736" s="10"/>
      <c r="CV736" s="10"/>
      <c r="CW736" s="10"/>
      <c r="CX736" s="10"/>
      <c r="CY736" s="10"/>
      <c r="CZ736" s="10"/>
      <c r="DA736" s="10"/>
      <c r="DB736" s="10"/>
      <c r="DC736" s="10"/>
      <c r="DD736" s="10"/>
      <c r="DE736" s="10"/>
      <c r="DF736" s="10"/>
      <c r="DG736" s="10"/>
      <c r="DH736" s="10"/>
      <c r="DI736" s="10"/>
      <c r="DJ736" s="10"/>
      <c r="DK736" s="10"/>
      <c r="DL736" s="10"/>
      <c r="DM736" s="10"/>
      <c r="DN736" s="10"/>
      <c r="DO736" s="10"/>
      <c r="DP736" s="10"/>
      <c r="DQ736" s="10"/>
      <c r="DR736" s="10"/>
      <c r="DS736" s="10"/>
      <c r="DT736" s="10"/>
      <c r="DU736" s="10"/>
      <c r="DV736" s="10"/>
      <c r="DW736" s="10"/>
      <c r="DX736" s="10"/>
      <c r="DY736" s="10"/>
      <c r="DZ736" s="10"/>
      <c r="EA736" s="10"/>
      <c r="EB736" s="10"/>
      <c r="EC736" s="10"/>
      <c r="ED736" s="10"/>
      <c r="EE736" s="10"/>
      <c r="EF736" s="10"/>
      <c r="EG736" s="10"/>
      <c r="EH736" s="10"/>
      <c r="EI736" s="10"/>
      <c r="EJ736" s="10"/>
      <c r="EK736" s="10"/>
      <c r="EL736" s="10"/>
      <c r="EM736" s="10"/>
      <c r="EN736" s="10"/>
      <c r="EO736" s="10"/>
      <c r="EP736" s="10"/>
      <c r="EQ736" s="10"/>
      <c r="ER736" s="10"/>
      <c r="ES736" s="10"/>
      <c r="ET736" s="10"/>
      <c r="EU736" s="10"/>
      <c r="EV736" s="10"/>
      <c r="EW736" s="10"/>
      <c r="EX736" s="10"/>
      <c r="EY736" s="10"/>
      <c r="EZ736" s="10"/>
      <c r="FA736" s="10"/>
      <c r="FB736" s="10"/>
      <c r="FC736" s="10"/>
      <c r="FD736" s="10"/>
      <c r="FE736" s="10"/>
      <c r="FF736" s="10"/>
      <c r="FG736" s="10"/>
      <c r="FH736" s="10"/>
      <c r="FI736" s="10"/>
      <c r="FJ736" s="10"/>
      <c r="FK736" s="10"/>
      <c r="FL736" s="10"/>
      <c r="FM736" s="10"/>
      <c r="FN736" s="10"/>
      <c r="FO736" s="10"/>
      <c r="FP736" s="10"/>
      <c r="FQ736" s="10"/>
      <c r="FR736" s="10"/>
      <c r="FS736" s="10"/>
      <c r="FT736" s="10"/>
      <c r="FU736" s="10"/>
      <c r="FV736" s="10"/>
      <c r="FW736" s="10"/>
      <c r="FX736" s="10"/>
      <c r="FY736" s="10"/>
      <c r="FZ736" s="10"/>
      <c r="GA736" s="10"/>
      <c r="GB736" s="10"/>
      <c r="GC736" s="10"/>
      <c r="GD736" s="10"/>
      <c r="GE736" s="10"/>
      <c r="GF736" s="10"/>
      <c r="GG736" s="10"/>
      <c r="GH736" s="10"/>
      <c r="GI736" s="10"/>
      <c r="GJ736" s="10"/>
      <c r="GK736" s="10"/>
    </row>
    <row r="737" customFormat="false" ht="12.75" hidden="false" customHeight="false" outlineLevel="0" collapsed="false">
      <c r="A737" s="7"/>
      <c r="B737" s="7"/>
      <c r="C737" s="8"/>
      <c r="D737" s="8"/>
      <c r="E737" s="8"/>
      <c r="F737" s="8"/>
      <c r="G737" s="9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0"/>
      <c r="BP737" s="10"/>
      <c r="BQ737" s="10"/>
      <c r="BR737" s="10"/>
      <c r="BS737" s="10"/>
      <c r="BT737" s="10"/>
      <c r="BU737" s="10"/>
      <c r="BV737" s="10"/>
      <c r="BW737" s="10"/>
      <c r="BX737" s="10"/>
      <c r="BY737" s="10"/>
      <c r="BZ737" s="10"/>
      <c r="CA737" s="10"/>
      <c r="CB737" s="10"/>
      <c r="CC737" s="10"/>
      <c r="CD737" s="10"/>
      <c r="CE737" s="10"/>
      <c r="CF737" s="10"/>
      <c r="CG737" s="10"/>
      <c r="CH737" s="10"/>
      <c r="CI737" s="10"/>
      <c r="CJ737" s="10"/>
      <c r="CK737" s="10"/>
      <c r="CL737" s="10"/>
      <c r="CM737" s="10"/>
      <c r="CN737" s="10"/>
      <c r="CO737" s="10"/>
      <c r="CP737" s="10"/>
      <c r="CQ737" s="10"/>
      <c r="CR737" s="10"/>
      <c r="CS737" s="10"/>
      <c r="CT737" s="10"/>
      <c r="CU737" s="10"/>
      <c r="CV737" s="10"/>
      <c r="CW737" s="10"/>
      <c r="CX737" s="10"/>
      <c r="CY737" s="10"/>
      <c r="CZ737" s="10"/>
      <c r="DA737" s="10"/>
      <c r="DB737" s="10"/>
      <c r="DC737" s="10"/>
      <c r="DD737" s="10"/>
      <c r="DE737" s="10"/>
      <c r="DF737" s="10"/>
      <c r="DG737" s="10"/>
      <c r="DH737" s="10"/>
      <c r="DI737" s="10"/>
      <c r="DJ737" s="10"/>
      <c r="DK737" s="10"/>
      <c r="DL737" s="10"/>
      <c r="DM737" s="10"/>
      <c r="DN737" s="10"/>
      <c r="DO737" s="10"/>
      <c r="DP737" s="10"/>
      <c r="DQ737" s="10"/>
      <c r="DR737" s="10"/>
      <c r="DS737" s="10"/>
      <c r="DT737" s="10"/>
      <c r="DU737" s="10"/>
      <c r="DV737" s="10"/>
      <c r="DW737" s="10"/>
      <c r="DX737" s="10"/>
      <c r="DY737" s="10"/>
      <c r="DZ737" s="10"/>
      <c r="EA737" s="10"/>
      <c r="EB737" s="10"/>
      <c r="EC737" s="10"/>
      <c r="ED737" s="10"/>
      <c r="EE737" s="10"/>
      <c r="EF737" s="10"/>
      <c r="EG737" s="10"/>
      <c r="EH737" s="10"/>
      <c r="EI737" s="10"/>
      <c r="EJ737" s="10"/>
      <c r="EK737" s="10"/>
      <c r="EL737" s="10"/>
      <c r="EM737" s="10"/>
      <c r="EN737" s="10"/>
      <c r="EO737" s="10"/>
      <c r="EP737" s="10"/>
      <c r="EQ737" s="10"/>
      <c r="ER737" s="10"/>
      <c r="ES737" s="10"/>
      <c r="ET737" s="10"/>
      <c r="EU737" s="10"/>
      <c r="EV737" s="10"/>
      <c r="EW737" s="10"/>
      <c r="EX737" s="10"/>
      <c r="EY737" s="10"/>
      <c r="EZ737" s="10"/>
      <c r="FA737" s="10"/>
      <c r="FB737" s="10"/>
      <c r="FC737" s="10"/>
      <c r="FD737" s="10"/>
      <c r="FE737" s="10"/>
      <c r="FF737" s="10"/>
      <c r="FG737" s="10"/>
      <c r="FH737" s="10"/>
      <c r="FI737" s="10"/>
      <c r="FJ737" s="10"/>
      <c r="FK737" s="10"/>
      <c r="FL737" s="10"/>
      <c r="FM737" s="10"/>
      <c r="FN737" s="10"/>
      <c r="FO737" s="10"/>
      <c r="FP737" s="10"/>
      <c r="FQ737" s="10"/>
      <c r="FR737" s="10"/>
      <c r="FS737" s="10"/>
      <c r="FT737" s="10"/>
      <c r="FU737" s="10"/>
      <c r="FV737" s="10"/>
      <c r="FW737" s="10"/>
      <c r="FX737" s="10"/>
      <c r="FY737" s="10"/>
      <c r="FZ737" s="10"/>
      <c r="GA737" s="10"/>
      <c r="GB737" s="10"/>
      <c r="GC737" s="10"/>
      <c r="GD737" s="10"/>
      <c r="GE737" s="10"/>
      <c r="GF737" s="10"/>
      <c r="GG737" s="10"/>
      <c r="GH737" s="10"/>
      <c r="GI737" s="10"/>
      <c r="GJ737" s="10"/>
      <c r="GK737" s="10"/>
    </row>
    <row r="738" customFormat="false" ht="12.75" hidden="false" customHeight="false" outlineLevel="0" collapsed="false">
      <c r="A738" s="7"/>
      <c r="B738" s="7"/>
      <c r="C738" s="8"/>
      <c r="D738" s="8"/>
      <c r="E738" s="8"/>
      <c r="F738" s="8"/>
      <c r="G738" s="9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10"/>
      <c r="BP738" s="10"/>
      <c r="BQ738" s="10"/>
      <c r="BR738" s="10"/>
      <c r="BS738" s="10"/>
      <c r="BT738" s="10"/>
      <c r="BU738" s="10"/>
      <c r="BV738" s="10"/>
      <c r="BW738" s="10"/>
      <c r="BX738" s="10"/>
      <c r="BY738" s="10"/>
      <c r="BZ738" s="10"/>
      <c r="CA738" s="10"/>
      <c r="CB738" s="10"/>
      <c r="CC738" s="10"/>
      <c r="CD738" s="10"/>
      <c r="CE738" s="10"/>
      <c r="CF738" s="10"/>
      <c r="CG738" s="10"/>
      <c r="CH738" s="10"/>
      <c r="CI738" s="10"/>
      <c r="CJ738" s="10"/>
      <c r="CK738" s="10"/>
      <c r="CL738" s="10"/>
      <c r="CM738" s="10"/>
      <c r="CN738" s="10"/>
      <c r="CO738" s="10"/>
      <c r="CP738" s="10"/>
      <c r="CQ738" s="10"/>
      <c r="CR738" s="10"/>
      <c r="CS738" s="10"/>
      <c r="CT738" s="10"/>
      <c r="CU738" s="10"/>
      <c r="CV738" s="10"/>
      <c r="CW738" s="10"/>
      <c r="CX738" s="10"/>
      <c r="CY738" s="10"/>
      <c r="CZ738" s="10"/>
      <c r="DA738" s="10"/>
      <c r="DB738" s="10"/>
      <c r="DC738" s="10"/>
      <c r="DD738" s="10"/>
      <c r="DE738" s="10"/>
      <c r="DF738" s="10"/>
      <c r="DG738" s="10"/>
      <c r="DH738" s="10"/>
      <c r="DI738" s="10"/>
      <c r="DJ738" s="10"/>
      <c r="DK738" s="10"/>
      <c r="DL738" s="10"/>
      <c r="DM738" s="10"/>
      <c r="DN738" s="10"/>
      <c r="DO738" s="10"/>
      <c r="DP738" s="10"/>
      <c r="DQ738" s="10"/>
      <c r="DR738" s="10"/>
      <c r="DS738" s="10"/>
      <c r="DT738" s="10"/>
      <c r="DU738" s="10"/>
      <c r="DV738" s="10"/>
      <c r="DW738" s="10"/>
      <c r="DX738" s="10"/>
      <c r="DY738" s="10"/>
      <c r="DZ738" s="10"/>
      <c r="EA738" s="10"/>
      <c r="EB738" s="10"/>
      <c r="EC738" s="10"/>
      <c r="ED738" s="10"/>
      <c r="EE738" s="10"/>
      <c r="EF738" s="10"/>
      <c r="EG738" s="10"/>
      <c r="EH738" s="10"/>
      <c r="EI738" s="10"/>
      <c r="EJ738" s="10"/>
      <c r="EK738" s="10"/>
      <c r="EL738" s="10"/>
      <c r="EM738" s="10"/>
      <c r="EN738" s="10"/>
      <c r="EO738" s="10"/>
      <c r="EP738" s="10"/>
      <c r="EQ738" s="10"/>
      <c r="ER738" s="10"/>
      <c r="ES738" s="10"/>
      <c r="ET738" s="10"/>
      <c r="EU738" s="10"/>
      <c r="EV738" s="10"/>
      <c r="EW738" s="10"/>
      <c r="EX738" s="10"/>
      <c r="EY738" s="10"/>
      <c r="EZ738" s="10"/>
      <c r="FA738" s="10"/>
      <c r="FB738" s="10"/>
      <c r="FC738" s="10"/>
      <c r="FD738" s="10"/>
      <c r="FE738" s="10"/>
      <c r="FF738" s="10"/>
      <c r="FG738" s="10"/>
      <c r="FH738" s="10"/>
      <c r="FI738" s="10"/>
      <c r="FJ738" s="10"/>
      <c r="FK738" s="10"/>
      <c r="FL738" s="10"/>
      <c r="FM738" s="10"/>
      <c r="FN738" s="10"/>
      <c r="FO738" s="10"/>
      <c r="FP738" s="10"/>
      <c r="FQ738" s="10"/>
      <c r="FR738" s="10"/>
      <c r="FS738" s="10"/>
      <c r="FT738" s="10"/>
      <c r="FU738" s="10"/>
      <c r="FV738" s="10"/>
      <c r="FW738" s="10"/>
      <c r="FX738" s="10"/>
      <c r="FY738" s="10"/>
      <c r="FZ738" s="10"/>
      <c r="GA738" s="10"/>
      <c r="GB738" s="10"/>
      <c r="GC738" s="10"/>
      <c r="GD738" s="10"/>
      <c r="GE738" s="10"/>
      <c r="GF738" s="10"/>
      <c r="GG738" s="10"/>
      <c r="GH738" s="10"/>
      <c r="GI738" s="10"/>
      <c r="GJ738" s="10"/>
      <c r="GK738" s="10"/>
    </row>
    <row r="739" customFormat="false" ht="12.75" hidden="false" customHeight="false" outlineLevel="0" collapsed="false">
      <c r="A739" s="7"/>
      <c r="B739" s="7"/>
      <c r="C739" s="8"/>
      <c r="D739" s="8"/>
      <c r="E739" s="8"/>
      <c r="F739" s="8"/>
      <c r="G739" s="9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0"/>
      <c r="BP739" s="10"/>
      <c r="BQ739" s="10"/>
      <c r="BR739" s="10"/>
      <c r="BS739" s="10"/>
      <c r="BT739" s="10"/>
      <c r="BU739" s="10"/>
      <c r="BV739" s="10"/>
      <c r="BW739" s="10"/>
      <c r="BX739" s="10"/>
      <c r="BY739" s="10"/>
      <c r="BZ739" s="10"/>
      <c r="CA739" s="10"/>
      <c r="CB739" s="10"/>
      <c r="CC739" s="10"/>
      <c r="CD739" s="10"/>
      <c r="CE739" s="10"/>
      <c r="CF739" s="10"/>
      <c r="CG739" s="10"/>
      <c r="CH739" s="10"/>
      <c r="CI739" s="10"/>
      <c r="CJ739" s="10"/>
      <c r="CK739" s="10"/>
      <c r="CL739" s="10"/>
      <c r="CM739" s="10"/>
      <c r="CN739" s="10"/>
      <c r="CO739" s="10"/>
      <c r="CP739" s="10"/>
      <c r="CQ739" s="10"/>
      <c r="CR739" s="10"/>
      <c r="CS739" s="10"/>
      <c r="CT739" s="10"/>
      <c r="CU739" s="10"/>
      <c r="CV739" s="10"/>
      <c r="CW739" s="10"/>
      <c r="CX739" s="10"/>
      <c r="CY739" s="10"/>
      <c r="CZ739" s="10"/>
      <c r="DA739" s="10"/>
      <c r="DB739" s="10"/>
      <c r="DC739" s="10"/>
      <c r="DD739" s="10"/>
      <c r="DE739" s="10"/>
      <c r="DF739" s="10"/>
      <c r="DG739" s="10"/>
      <c r="DH739" s="10"/>
      <c r="DI739" s="10"/>
      <c r="DJ739" s="10"/>
      <c r="DK739" s="10"/>
      <c r="DL739" s="10"/>
      <c r="DM739" s="10"/>
      <c r="DN739" s="10"/>
      <c r="DO739" s="10"/>
      <c r="DP739" s="10"/>
      <c r="DQ739" s="10"/>
      <c r="DR739" s="10"/>
      <c r="DS739" s="10"/>
      <c r="DT739" s="10"/>
      <c r="DU739" s="10"/>
      <c r="DV739" s="10"/>
      <c r="DW739" s="10"/>
      <c r="DX739" s="10"/>
      <c r="DY739" s="10"/>
      <c r="DZ739" s="10"/>
      <c r="EA739" s="10"/>
      <c r="EB739" s="10"/>
      <c r="EC739" s="10"/>
      <c r="ED739" s="10"/>
      <c r="EE739" s="10"/>
      <c r="EF739" s="10"/>
      <c r="EG739" s="10"/>
      <c r="EH739" s="10"/>
      <c r="EI739" s="10"/>
      <c r="EJ739" s="10"/>
      <c r="EK739" s="10"/>
      <c r="EL739" s="10"/>
      <c r="EM739" s="10"/>
      <c r="EN739" s="10"/>
      <c r="EO739" s="10"/>
      <c r="EP739" s="10"/>
      <c r="EQ739" s="10"/>
      <c r="ER739" s="10"/>
      <c r="ES739" s="10"/>
      <c r="ET739" s="10"/>
      <c r="EU739" s="10"/>
      <c r="EV739" s="10"/>
      <c r="EW739" s="10"/>
      <c r="EX739" s="10"/>
      <c r="EY739" s="10"/>
      <c r="EZ739" s="10"/>
      <c r="FA739" s="10"/>
      <c r="FB739" s="10"/>
      <c r="FC739" s="10"/>
      <c r="FD739" s="10"/>
      <c r="FE739" s="10"/>
      <c r="FF739" s="10"/>
      <c r="FG739" s="10"/>
      <c r="FH739" s="10"/>
      <c r="FI739" s="10"/>
      <c r="FJ739" s="10"/>
      <c r="FK739" s="10"/>
      <c r="FL739" s="10"/>
      <c r="FM739" s="10"/>
      <c r="FN739" s="10"/>
      <c r="FO739" s="10"/>
      <c r="FP739" s="10"/>
      <c r="FQ739" s="10"/>
      <c r="FR739" s="10"/>
      <c r="FS739" s="10"/>
      <c r="FT739" s="10"/>
      <c r="FU739" s="10"/>
      <c r="FV739" s="10"/>
      <c r="FW739" s="10"/>
      <c r="FX739" s="10"/>
      <c r="FY739" s="10"/>
      <c r="FZ739" s="10"/>
      <c r="GA739" s="10"/>
      <c r="GB739" s="10"/>
      <c r="GC739" s="10"/>
      <c r="GD739" s="10"/>
      <c r="GE739" s="10"/>
      <c r="GF739" s="10"/>
      <c r="GG739" s="10"/>
      <c r="GH739" s="10"/>
      <c r="GI739" s="10"/>
      <c r="GJ739" s="10"/>
      <c r="GK739" s="10"/>
    </row>
    <row r="740" customFormat="false" ht="12.75" hidden="false" customHeight="false" outlineLevel="0" collapsed="false">
      <c r="A740" s="7"/>
      <c r="B740" s="7"/>
      <c r="C740" s="8"/>
      <c r="D740" s="8"/>
      <c r="E740" s="8"/>
      <c r="F740" s="8"/>
      <c r="G740" s="9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10"/>
      <c r="BP740" s="10"/>
      <c r="BQ740" s="10"/>
      <c r="BR740" s="10"/>
      <c r="BS740" s="10"/>
      <c r="BT740" s="10"/>
      <c r="BU740" s="10"/>
      <c r="BV740" s="10"/>
      <c r="BW740" s="10"/>
      <c r="BX740" s="10"/>
      <c r="BY740" s="10"/>
      <c r="BZ740" s="10"/>
      <c r="CA740" s="10"/>
      <c r="CB740" s="10"/>
      <c r="CC740" s="10"/>
      <c r="CD740" s="10"/>
      <c r="CE740" s="10"/>
      <c r="CF740" s="10"/>
      <c r="CG740" s="10"/>
      <c r="CH740" s="10"/>
      <c r="CI740" s="10"/>
      <c r="CJ740" s="10"/>
      <c r="CK740" s="10"/>
      <c r="CL740" s="10"/>
      <c r="CM740" s="10"/>
      <c r="CN740" s="10"/>
      <c r="CO740" s="10"/>
      <c r="CP740" s="10"/>
      <c r="CQ740" s="10"/>
      <c r="CR740" s="10"/>
      <c r="CS740" s="10"/>
      <c r="CT740" s="10"/>
      <c r="CU740" s="10"/>
      <c r="CV740" s="10"/>
      <c r="CW740" s="10"/>
      <c r="CX740" s="10"/>
      <c r="CY740" s="10"/>
      <c r="CZ740" s="10"/>
      <c r="DA740" s="10"/>
      <c r="DB740" s="10"/>
      <c r="DC740" s="10"/>
      <c r="DD740" s="10"/>
      <c r="DE740" s="10"/>
      <c r="DF740" s="10"/>
      <c r="DG740" s="10"/>
      <c r="DH740" s="10"/>
      <c r="DI740" s="10"/>
      <c r="DJ740" s="10"/>
      <c r="DK740" s="10"/>
      <c r="DL740" s="10"/>
      <c r="DM740" s="10"/>
      <c r="DN740" s="10"/>
      <c r="DO740" s="10"/>
      <c r="DP740" s="10"/>
      <c r="DQ740" s="10"/>
      <c r="DR740" s="10"/>
      <c r="DS740" s="10"/>
      <c r="DT740" s="10"/>
      <c r="DU740" s="10"/>
      <c r="DV740" s="10"/>
      <c r="DW740" s="10"/>
      <c r="DX740" s="10"/>
      <c r="DY740" s="10"/>
      <c r="DZ740" s="10"/>
      <c r="EA740" s="10"/>
      <c r="EB740" s="10"/>
      <c r="EC740" s="10"/>
      <c r="ED740" s="10"/>
      <c r="EE740" s="10"/>
      <c r="EF740" s="10"/>
      <c r="EG740" s="10"/>
      <c r="EH740" s="10"/>
      <c r="EI740" s="10"/>
      <c r="EJ740" s="10"/>
      <c r="EK740" s="10"/>
      <c r="EL740" s="10"/>
      <c r="EM740" s="10"/>
      <c r="EN740" s="10"/>
      <c r="EO740" s="10"/>
      <c r="EP740" s="10"/>
      <c r="EQ740" s="10"/>
      <c r="ER740" s="10"/>
      <c r="ES740" s="10"/>
      <c r="ET740" s="10"/>
      <c r="EU740" s="10"/>
      <c r="EV740" s="10"/>
      <c r="EW740" s="10"/>
      <c r="EX740" s="10"/>
      <c r="EY740" s="10"/>
      <c r="EZ740" s="10"/>
      <c r="FA740" s="10"/>
      <c r="FB740" s="10"/>
      <c r="FC740" s="10"/>
      <c r="FD740" s="10"/>
      <c r="FE740" s="10"/>
      <c r="FF740" s="10"/>
      <c r="FG740" s="10"/>
      <c r="FH740" s="10"/>
      <c r="FI740" s="10"/>
      <c r="FJ740" s="10"/>
      <c r="FK740" s="10"/>
      <c r="FL740" s="10"/>
      <c r="FM740" s="10"/>
      <c r="FN740" s="10"/>
      <c r="FO740" s="10"/>
      <c r="FP740" s="10"/>
      <c r="FQ740" s="10"/>
      <c r="FR740" s="10"/>
      <c r="FS740" s="10"/>
      <c r="FT740" s="10"/>
      <c r="FU740" s="10"/>
      <c r="FV740" s="10"/>
      <c r="FW740" s="10"/>
      <c r="FX740" s="10"/>
      <c r="FY740" s="10"/>
      <c r="FZ740" s="10"/>
      <c r="GA740" s="10"/>
      <c r="GB740" s="10"/>
      <c r="GC740" s="10"/>
      <c r="GD740" s="10"/>
      <c r="GE740" s="10"/>
      <c r="GF740" s="10"/>
      <c r="GG740" s="10"/>
      <c r="GH740" s="10"/>
      <c r="GI740" s="10"/>
      <c r="GJ740" s="10"/>
      <c r="GK740" s="10"/>
    </row>
    <row r="741" customFormat="false" ht="12.75" hidden="false" customHeight="false" outlineLevel="0" collapsed="false">
      <c r="A741" s="7"/>
      <c r="B741" s="7"/>
      <c r="C741" s="8"/>
      <c r="D741" s="8"/>
      <c r="E741" s="8"/>
      <c r="F741" s="8"/>
      <c r="G741" s="9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  <c r="BR741" s="10"/>
      <c r="BS741" s="10"/>
      <c r="BT741" s="10"/>
      <c r="BU741" s="10"/>
      <c r="BV741" s="10"/>
      <c r="BW741" s="10"/>
      <c r="BX741" s="10"/>
      <c r="BY741" s="10"/>
      <c r="BZ741" s="10"/>
      <c r="CA741" s="10"/>
      <c r="CB741" s="10"/>
      <c r="CC741" s="10"/>
      <c r="CD741" s="10"/>
      <c r="CE741" s="10"/>
      <c r="CF741" s="10"/>
      <c r="CG741" s="10"/>
      <c r="CH741" s="10"/>
      <c r="CI741" s="10"/>
      <c r="CJ741" s="10"/>
      <c r="CK741" s="10"/>
      <c r="CL741" s="10"/>
      <c r="CM741" s="10"/>
      <c r="CN741" s="10"/>
      <c r="CO741" s="10"/>
      <c r="CP741" s="10"/>
      <c r="CQ741" s="10"/>
      <c r="CR741" s="10"/>
      <c r="CS741" s="10"/>
      <c r="CT741" s="10"/>
      <c r="CU741" s="10"/>
      <c r="CV741" s="10"/>
      <c r="CW741" s="10"/>
      <c r="CX741" s="10"/>
      <c r="CY741" s="10"/>
      <c r="CZ741" s="10"/>
      <c r="DA741" s="10"/>
      <c r="DB741" s="10"/>
      <c r="DC741" s="10"/>
      <c r="DD741" s="10"/>
      <c r="DE741" s="10"/>
      <c r="DF741" s="10"/>
      <c r="DG741" s="10"/>
      <c r="DH741" s="10"/>
      <c r="DI741" s="10"/>
      <c r="DJ741" s="10"/>
      <c r="DK741" s="10"/>
      <c r="DL741" s="10"/>
      <c r="DM741" s="10"/>
      <c r="DN741" s="10"/>
      <c r="DO741" s="10"/>
      <c r="DP741" s="10"/>
      <c r="DQ741" s="10"/>
      <c r="DR741" s="10"/>
      <c r="DS741" s="10"/>
      <c r="DT741" s="10"/>
      <c r="DU741" s="10"/>
      <c r="DV741" s="10"/>
      <c r="DW741" s="10"/>
      <c r="DX741" s="10"/>
      <c r="DY741" s="10"/>
      <c r="DZ741" s="10"/>
      <c r="EA741" s="10"/>
      <c r="EB741" s="10"/>
      <c r="EC741" s="10"/>
      <c r="ED741" s="10"/>
      <c r="EE741" s="10"/>
      <c r="EF741" s="10"/>
      <c r="EG741" s="10"/>
      <c r="EH741" s="10"/>
      <c r="EI741" s="10"/>
      <c r="EJ741" s="10"/>
      <c r="EK741" s="10"/>
      <c r="EL741" s="10"/>
      <c r="EM741" s="10"/>
      <c r="EN741" s="10"/>
      <c r="EO741" s="10"/>
      <c r="EP741" s="10"/>
      <c r="EQ741" s="10"/>
      <c r="ER741" s="10"/>
      <c r="ES741" s="10"/>
      <c r="ET741" s="10"/>
      <c r="EU741" s="10"/>
      <c r="EV741" s="10"/>
      <c r="EW741" s="10"/>
      <c r="EX741" s="10"/>
      <c r="EY741" s="10"/>
      <c r="EZ741" s="10"/>
      <c r="FA741" s="10"/>
      <c r="FB741" s="10"/>
      <c r="FC741" s="10"/>
      <c r="FD741" s="10"/>
      <c r="FE741" s="10"/>
      <c r="FF741" s="10"/>
      <c r="FG741" s="10"/>
      <c r="FH741" s="10"/>
      <c r="FI741" s="10"/>
      <c r="FJ741" s="10"/>
      <c r="FK741" s="10"/>
      <c r="FL741" s="10"/>
      <c r="FM741" s="10"/>
      <c r="FN741" s="10"/>
      <c r="FO741" s="10"/>
      <c r="FP741" s="10"/>
      <c r="FQ741" s="10"/>
      <c r="FR741" s="10"/>
      <c r="FS741" s="10"/>
      <c r="FT741" s="10"/>
      <c r="FU741" s="10"/>
      <c r="FV741" s="10"/>
      <c r="FW741" s="10"/>
      <c r="FX741" s="10"/>
      <c r="FY741" s="10"/>
      <c r="FZ741" s="10"/>
      <c r="GA741" s="10"/>
      <c r="GB741" s="10"/>
      <c r="GC741" s="10"/>
      <c r="GD741" s="10"/>
      <c r="GE741" s="10"/>
      <c r="GF741" s="10"/>
      <c r="GG741" s="10"/>
      <c r="GH741" s="10"/>
      <c r="GI741" s="10"/>
      <c r="GJ741" s="10"/>
      <c r="GK741" s="10"/>
    </row>
    <row r="742" customFormat="false" ht="12.75" hidden="false" customHeight="false" outlineLevel="0" collapsed="false">
      <c r="A742" s="7"/>
      <c r="B742" s="7"/>
      <c r="C742" s="8"/>
      <c r="D742" s="8"/>
      <c r="E742" s="8"/>
      <c r="F742" s="8"/>
      <c r="G742" s="9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10"/>
      <c r="BP742" s="10"/>
      <c r="BQ742" s="10"/>
      <c r="BR742" s="10"/>
      <c r="BS742" s="10"/>
      <c r="BT742" s="10"/>
      <c r="BU742" s="10"/>
      <c r="BV742" s="10"/>
      <c r="BW742" s="10"/>
      <c r="BX742" s="10"/>
      <c r="BY742" s="10"/>
      <c r="BZ742" s="10"/>
      <c r="CA742" s="10"/>
      <c r="CB742" s="10"/>
      <c r="CC742" s="10"/>
      <c r="CD742" s="10"/>
      <c r="CE742" s="10"/>
      <c r="CF742" s="10"/>
      <c r="CG742" s="10"/>
      <c r="CH742" s="10"/>
      <c r="CI742" s="10"/>
      <c r="CJ742" s="10"/>
      <c r="CK742" s="10"/>
      <c r="CL742" s="10"/>
      <c r="CM742" s="10"/>
      <c r="CN742" s="10"/>
      <c r="CO742" s="10"/>
      <c r="CP742" s="10"/>
      <c r="CQ742" s="10"/>
      <c r="CR742" s="10"/>
      <c r="CS742" s="10"/>
      <c r="CT742" s="10"/>
      <c r="CU742" s="10"/>
      <c r="CV742" s="10"/>
      <c r="CW742" s="10"/>
      <c r="CX742" s="10"/>
      <c r="CY742" s="10"/>
      <c r="CZ742" s="10"/>
      <c r="DA742" s="10"/>
      <c r="DB742" s="10"/>
      <c r="DC742" s="10"/>
      <c r="DD742" s="10"/>
      <c r="DE742" s="10"/>
      <c r="DF742" s="10"/>
      <c r="DG742" s="10"/>
      <c r="DH742" s="10"/>
      <c r="DI742" s="10"/>
      <c r="DJ742" s="10"/>
      <c r="DK742" s="10"/>
      <c r="DL742" s="10"/>
      <c r="DM742" s="10"/>
      <c r="DN742" s="10"/>
      <c r="DO742" s="10"/>
      <c r="DP742" s="10"/>
      <c r="DQ742" s="10"/>
      <c r="DR742" s="10"/>
      <c r="DS742" s="10"/>
      <c r="DT742" s="10"/>
      <c r="DU742" s="10"/>
      <c r="DV742" s="10"/>
      <c r="DW742" s="10"/>
      <c r="DX742" s="10"/>
      <c r="DY742" s="10"/>
      <c r="DZ742" s="10"/>
      <c r="EA742" s="10"/>
      <c r="EB742" s="10"/>
      <c r="EC742" s="10"/>
      <c r="ED742" s="10"/>
      <c r="EE742" s="10"/>
      <c r="EF742" s="10"/>
      <c r="EG742" s="10"/>
      <c r="EH742" s="10"/>
      <c r="EI742" s="10"/>
      <c r="EJ742" s="10"/>
      <c r="EK742" s="10"/>
      <c r="EL742" s="10"/>
      <c r="EM742" s="10"/>
      <c r="EN742" s="10"/>
      <c r="EO742" s="10"/>
      <c r="EP742" s="10"/>
      <c r="EQ742" s="10"/>
      <c r="ER742" s="10"/>
      <c r="ES742" s="10"/>
      <c r="ET742" s="10"/>
      <c r="EU742" s="10"/>
      <c r="EV742" s="10"/>
      <c r="EW742" s="10"/>
      <c r="EX742" s="10"/>
      <c r="EY742" s="10"/>
      <c r="EZ742" s="10"/>
      <c r="FA742" s="10"/>
      <c r="FB742" s="10"/>
      <c r="FC742" s="10"/>
      <c r="FD742" s="10"/>
      <c r="FE742" s="10"/>
      <c r="FF742" s="10"/>
      <c r="FG742" s="10"/>
      <c r="FH742" s="10"/>
      <c r="FI742" s="10"/>
      <c r="FJ742" s="10"/>
      <c r="FK742" s="10"/>
      <c r="FL742" s="10"/>
      <c r="FM742" s="10"/>
      <c r="FN742" s="10"/>
      <c r="FO742" s="10"/>
      <c r="FP742" s="10"/>
      <c r="FQ742" s="10"/>
      <c r="FR742" s="10"/>
      <c r="FS742" s="10"/>
      <c r="FT742" s="10"/>
      <c r="FU742" s="10"/>
      <c r="FV742" s="10"/>
      <c r="FW742" s="10"/>
      <c r="FX742" s="10"/>
      <c r="FY742" s="10"/>
      <c r="FZ742" s="10"/>
      <c r="GA742" s="10"/>
      <c r="GB742" s="10"/>
      <c r="GC742" s="10"/>
      <c r="GD742" s="10"/>
      <c r="GE742" s="10"/>
      <c r="GF742" s="10"/>
      <c r="GG742" s="10"/>
      <c r="GH742" s="10"/>
      <c r="GI742" s="10"/>
      <c r="GJ742" s="10"/>
      <c r="GK742" s="10"/>
    </row>
    <row r="743" customFormat="false" ht="12.75" hidden="false" customHeight="false" outlineLevel="0" collapsed="false">
      <c r="A743" s="7"/>
      <c r="B743" s="7"/>
      <c r="C743" s="8"/>
      <c r="D743" s="8"/>
      <c r="E743" s="8"/>
      <c r="F743" s="8"/>
      <c r="G743" s="9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0"/>
      <c r="BP743" s="10"/>
      <c r="BQ743" s="10"/>
      <c r="BR743" s="10"/>
      <c r="BS743" s="10"/>
      <c r="BT743" s="10"/>
      <c r="BU743" s="10"/>
      <c r="BV743" s="10"/>
      <c r="BW743" s="10"/>
      <c r="BX743" s="10"/>
      <c r="BY743" s="10"/>
      <c r="BZ743" s="10"/>
      <c r="CA743" s="10"/>
      <c r="CB743" s="10"/>
      <c r="CC743" s="10"/>
      <c r="CD743" s="10"/>
      <c r="CE743" s="10"/>
      <c r="CF743" s="10"/>
      <c r="CG743" s="10"/>
      <c r="CH743" s="10"/>
      <c r="CI743" s="10"/>
      <c r="CJ743" s="10"/>
      <c r="CK743" s="10"/>
      <c r="CL743" s="10"/>
      <c r="CM743" s="10"/>
      <c r="CN743" s="10"/>
      <c r="CO743" s="10"/>
      <c r="CP743" s="10"/>
      <c r="CQ743" s="10"/>
      <c r="CR743" s="10"/>
      <c r="CS743" s="10"/>
      <c r="CT743" s="10"/>
      <c r="CU743" s="10"/>
      <c r="CV743" s="10"/>
      <c r="CW743" s="10"/>
      <c r="CX743" s="10"/>
      <c r="CY743" s="10"/>
      <c r="CZ743" s="10"/>
      <c r="DA743" s="10"/>
      <c r="DB743" s="10"/>
      <c r="DC743" s="10"/>
      <c r="DD743" s="10"/>
      <c r="DE743" s="10"/>
      <c r="DF743" s="10"/>
      <c r="DG743" s="10"/>
      <c r="DH743" s="10"/>
      <c r="DI743" s="10"/>
      <c r="DJ743" s="10"/>
      <c r="DK743" s="10"/>
      <c r="DL743" s="10"/>
      <c r="DM743" s="10"/>
      <c r="DN743" s="10"/>
      <c r="DO743" s="10"/>
      <c r="DP743" s="10"/>
      <c r="DQ743" s="10"/>
      <c r="DR743" s="10"/>
      <c r="DS743" s="10"/>
      <c r="DT743" s="10"/>
      <c r="DU743" s="10"/>
      <c r="DV743" s="10"/>
      <c r="DW743" s="10"/>
      <c r="DX743" s="10"/>
      <c r="DY743" s="10"/>
      <c r="DZ743" s="10"/>
      <c r="EA743" s="10"/>
      <c r="EB743" s="10"/>
      <c r="EC743" s="10"/>
      <c r="ED743" s="10"/>
      <c r="EE743" s="10"/>
      <c r="EF743" s="10"/>
      <c r="EG743" s="10"/>
      <c r="EH743" s="10"/>
      <c r="EI743" s="10"/>
      <c r="EJ743" s="10"/>
      <c r="EK743" s="10"/>
      <c r="EL743" s="10"/>
      <c r="EM743" s="10"/>
      <c r="EN743" s="10"/>
      <c r="EO743" s="10"/>
      <c r="EP743" s="10"/>
      <c r="EQ743" s="10"/>
      <c r="ER743" s="10"/>
      <c r="ES743" s="10"/>
      <c r="ET743" s="10"/>
      <c r="EU743" s="10"/>
      <c r="EV743" s="10"/>
      <c r="EW743" s="10"/>
      <c r="EX743" s="10"/>
      <c r="EY743" s="10"/>
      <c r="EZ743" s="10"/>
      <c r="FA743" s="10"/>
      <c r="FB743" s="10"/>
      <c r="FC743" s="10"/>
      <c r="FD743" s="10"/>
      <c r="FE743" s="10"/>
      <c r="FF743" s="10"/>
      <c r="FG743" s="10"/>
      <c r="FH743" s="10"/>
      <c r="FI743" s="10"/>
      <c r="FJ743" s="10"/>
      <c r="FK743" s="10"/>
      <c r="FL743" s="10"/>
      <c r="FM743" s="10"/>
      <c r="FN743" s="10"/>
      <c r="FO743" s="10"/>
      <c r="FP743" s="10"/>
      <c r="FQ743" s="10"/>
      <c r="FR743" s="10"/>
      <c r="FS743" s="10"/>
      <c r="FT743" s="10"/>
      <c r="FU743" s="10"/>
      <c r="FV743" s="10"/>
      <c r="FW743" s="10"/>
      <c r="FX743" s="10"/>
      <c r="FY743" s="10"/>
      <c r="FZ743" s="10"/>
      <c r="GA743" s="10"/>
      <c r="GB743" s="10"/>
      <c r="GC743" s="10"/>
      <c r="GD743" s="10"/>
      <c r="GE743" s="10"/>
      <c r="GF743" s="10"/>
      <c r="GG743" s="10"/>
      <c r="GH743" s="10"/>
      <c r="GI743" s="10"/>
      <c r="GJ743" s="10"/>
      <c r="GK743" s="10"/>
    </row>
    <row r="744" customFormat="false" ht="12.75" hidden="false" customHeight="false" outlineLevel="0" collapsed="false">
      <c r="A744" s="7"/>
      <c r="B744" s="7"/>
      <c r="C744" s="8"/>
      <c r="D744" s="8"/>
      <c r="E744" s="8"/>
      <c r="F744" s="8"/>
      <c r="G744" s="9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  <c r="BR744" s="10"/>
      <c r="BS744" s="10"/>
      <c r="BT744" s="10"/>
      <c r="BU744" s="10"/>
      <c r="BV744" s="10"/>
      <c r="BW744" s="10"/>
      <c r="BX744" s="10"/>
      <c r="BY744" s="10"/>
      <c r="BZ744" s="10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  <c r="EM744" s="10"/>
      <c r="EN744" s="10"/>
      <c r="EO744" s="10"/>
      <c r="EP744" s="10"/>
      <c r="EQ744" s="10"/>
      <c r="ER744" s="10"/>
      <c r="ES744" s="10"/>
      <c r="ET744" s="10"/>
      <c r="EU744" s="10"/>
      <c r="EV744" s="10"/>
      <c r="EW744" s="10"/>
      <c r="EX744" s="10"/>
      <c r="EY744" s="10"/>
      <c r="EZ744" s="10"/>
      <c r="FA744" s="10"/>
      <c r="FB744" s="10"/>
      <c r="FC744" s="10"/>
      <c r="FD744" s="10"/>
      <c r="FE744" s="10"/>
      <c r="FF744" s="10"/>
      <c r="FG744" s="10"/>
      <c r="FH744" s="10"/>
      <c r="FI744" s="10"/>
      <c r="FJ744" s="10"/>
      <c r="FK744" s="10"/>
      <c r="FL744" s="10"/>
      <c r="FM744" s="10"/>
      <c r="FN744" s="10"/>
      <c r="FO744" s="10"/>
      <c r="FP744" s="10"/>
      <c r="FQ744" s="10"/>
      <c r="FR744" s="10"/>
      <c r="FS744" s="10"/>
      <c r="FT744" s="10"/>
      <c r="FU744" s="10"/>
      <c r="FV744" s="10"/>
      <c r="FW744" s="10"/>
      <c r="FX744" s="10"/>
      <c r="FY744" s="10"/>
      <c r="FZ744" s="10"/>
      <c r="GA744" s="10"/>
      <c r="GB744" s="10"/>
      <c r="GC744" s="10"/>
      <c r="GD744" s="10"/>
      <c r="GE744" s="10"/>
      <c r="GF744" s="10"/>
      <c r="GG744" s="10"/>
      <c r="GH744" s="10"/>
      <c r="GI744" s="10"/>
      <c r="GJ744" s="10"/>
      <c r="GK744" s="10"/>
    </row>
    <row r="745" customFormat="false" ht="12.75" hidden="false" customHeight="false" outlineLevel="0" collapsed="false">
      <c r="A745" s="7"/>
      <c r="B745" s="7"/>
      <c r="C745" s="8"/>
      <c r="D745" s="8"/>
      <c r="E745" s="8"/>
      <c r="F745" s="8"/>
      <c r="G745" s="9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0"/>
      <c r="BP745" s="10"/>
      <c r="BQ745" s="10"/>
      <c r="BR745" s="10"/>
      <c r="BS745" s="10"/>
      <c r="BT745" s="10"/>
      <c r="BU745" s="10"/>
      <c r="BV745" s="10"/>
      <c r="BW745" s="10"/>
      <c r="BX745" s="10"/>
      <c r="BY745" s="10"/>
      <c r="BZ745" s="10"/>
      <c r="CA745" s="10"/>
      <c r="CB745" s="10"/>
      <c r="CC745" s="10"/>
      <c r="CD745" s="10"/>
      <c r="CE745" s="10"/>
      <c r="CF745" s="10"/>
      <c r="CG745" s="10"/>
      <c r="CH745" s="10"/>
      <c r="CI745" s="10"/>
      <c r="CJ745" s="10"/>
      <c r="CK745" s="10"/>
      <c r="CL745" s="10"/>
      <c r="CM745" s="10"/>
      <c r="CN745" s="10"/>
      <c r="CO745" s="10"/>
      <c r="CP745" s="10"/>
      <c r="CQ745" s="10"/>
      <c r="CR745" s="10"/>
      <c r="CS745" s="10"/>
      <c r="CT745" s="10"/>
      <c r="CU745" s="10"/>
      <c r="CV745" s="10"/>
      <c r="CW745" s="10"/>
      <c r="CX745" s="10"/>
      <c r="CY745" s="10"/>
      <c r="CZ745" s="10"/>
      <c r="DA745" s="10"/>
      <c r="DB745" s="10"/>
      <c r="DC745" s="10"/>
      <c r="DD745" s="10"/>
      <c r="DE745" s="10"/>
      <c r="DF745" s="10"/>
      <c r="DG745" s="10"/>
      <c r="DH745" s="10"/>
      <c r="DI745" s="10"/>
      <c r="DJ745" s="10"/>
      <c r="DK745" s="10"/>
      <c r="DL745" s="10"/>
      <c r="DM745" s="10"/>
      <c r="DN745" s="10"/>
      <c r="DO745" s="10"/>
      <c r="DP745" s="10"/>
      <c r="DQ745" s="10"/>
      <c r="DR745" s="10"/>
      <c r="DS745" s="10"/>
      <c r="DT745" s="10"/>
      <c r="DU745" s="10"/>
      <c r="DV745" s="10"/>
      <c r="DW745" s="10"/>
      <c r="DX745" s="10"/>
      <c r="DY745" s="10"/>
      <c r="DZ745" s="10"/>
      <c r="EA745" s="10"/>
      <c r="EB745" s="10"/>
      <c r="EC745" s="10"/>
      <c r="ED745" s="10"/>
      <c r="EE745" s="10"/>
      <c r="EF745" s="10"/>
      <c r="EG745" s="10"/>
      <c r="EH745" s="10"/>
      <c r="EI745" s="10"/>
      <c r="EJ745" s="10"/>
      <c r="EK745" s="10"/>
      <c r="EL745" s="10"/>
      <c r="EM745" s="10"/>
      <c r="EN745" s="10"/>
      <c r="EO745" s="10"/>
      <c r="EP745" s="10"/>
      <c r="EQ745" s="10"/>
      <c r="ER745" s="10"/>
      <c r="ES745" s="10"/>
      <c r="ET745" s="10"/>
      <c r="EU745" s="10"/>
      <c r="EV745" s="10"/>
      <c r="EW745" s="10"/>
      <c r="EX745" s="10"/>
      <c r="EY745" s="10"/>
      <c r="EZ745" s="10"/>
      <c r="FA745" s="10"/>
      <c r="FB745" s="10"/>
      <c r="FC745" s="10"/>
      <c r="FD745" s="10"/>
      <c r="FE745" s="10"/>
      <c r="FF745" s="10"/>
      <c r="FG745" s="10"/>
      <c r="FH745" s="10"/>
      <c r="FI745" s="10"/>
      <c r="FJ745" s="10"/>
      <c r="FK745" s="10"/>
      <c r="FL745" s="10"/>
      <c r="FM745" s="10"/>
      <c r="FN745" s="10"/>
      <c r="FO745" s="10"/>
      <c r="FP745" s="10"/>
      <c r="FQ745" s="10"/>
      <c r="FR745" s="10"/>
      <c r="FS745" s="10"/>
      <c r="FT745" s="10"/>
      <c r="FU745" s="10"/>
      <c r="FV745" s="10"/>
      <c r="FW745" s="10"/>
      <c r="FX745" s="10"/>
      <c r="FY745" s="10"/>
      <c r="FZ745" s="10"/>
      <c r="GA745" s="10"/>
      <c r="GB745" s="10"/>
      <c r="GC745" s="10"/>
      <c r="GD745" s="10"/>
      <c r="GE745" s="10"/>
      <c r="GF745" s="10"/>
      <c r="GG745" s="10"/>
      <c r="GH745" s="10"/>
      <c r="GI745" s="10"/>
      <c r="GJ745" s="10"/>
      <c r="GK745" s="10"/>
    </row>
    <row r="746" customFormat="false" ht="12.75" hidden="false" customHeight="false" outlineLevel="0" collapsed="false">
      <c r="A746" s="7"/>
      <c r="B746" s="7"/>
      <c r="C746" s="8"/>
      <c r="D746" s="8"/>
      <c r="E746" s="8"/>
      <c r="F746" s="8"/>
      <c r="G746" s="9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0"/>
      <c r="BP746" s="10"/>
      <c r="BQ746" s="10"/>
      <c r="BR746" s="10"/>
      <c r="BS746" s="10"/>
      <c r="BT746" s="10"/>
      <c r="BU746" s="10"/>
      <c r="BV746" s="10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  <c r="EM746" s="10"/>
      <c r="EN746" s="10"/>
      <c r="EO746" s="10"/>
      <c r="EP746" s="10"/>
      <c r="EQ746" s="10"/>
      <c r="ER746" s="10"/>
      <c r="ES746" s="10"/>
      <c r="ET746" s="10"/>
      <c r="EU746" s="10"/>
      <c r="EV746" s="10"/>
      <c r="EW746" s="10"/>
      <c r="EX746" s="10"/>
      <c r="EY746" s="10"/>
      <c r="EZ746" s="10"/>
      <c r="FA746" s="10"/>
      <c r="FB746" s="10"/>
      <c r="FC746" s="10"/>
      <c r="FD746" s="10"/>
      <c r="FE746" s="10"/>
      <c r="FF746" s="10"/>
      <c r="FG746" s="10"/>
      <c r="FH746" s="10"/>
      <c r="FI746" s="10"/>
      <c r="FJ746" s="10"/>
      <c r="FK746" s="10"/>
      <c r="FL746" s="10"/>
      <c r="FM746" s="10"/>
      <c r="FN746" s="10"/>
      <c r="FO746" s="10"/>
      <c r="FP746" s="10"/>
      <c r="FQ746" s="10"/>
      <c r="FR746" s="10"/>
      <c r="FS746" s="10"/>
      <c r="FT746" s="10"/>
      <c r="FU746" s="10"/>
      <c r="FV746" s="10"/>
      <c r="FW746" s="10"/>
      <c r="FX746" s="10"/>
      <c r="FY746" s="10"/>
      <c r="FZ746" s="10"/>
      <c r="GA746" s="10"/>
      <c r="GB746" s="10"/>
      <c r="GC746" s="10"/>
      <c r="GD746" s="10"/>
      <c r="GE746" s="10"/>
      <c r="GF746" s="10"/>
      <c r="GG746" s="10"/>
      <c r="GH746" s="10"/>
      <c r="GI746" s="10"/>
      <c r="GJ746" s="10"/>
      <c r="GK746" s="10"/>
    </row>
    <row r="747" customFormat="false" ht="12.75" hidden="false" customHeight="false" outlineLevel="0" collapsed="false">
      <c r="A747" s="7"/>
      <c r="B747" s="7"/>
      <c r="C747" s="8"/>
      <c r="D747" s="8"/>
      <c r="E747" s="8"/>
      <c r="F747" s="8"/>
      <c r="G747" s="9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0"/>
      <c r="BP747" s="10"/>
      <c r="BQ747" s="10"/>
      <c r="BR747" s="10"/>
      <c r="BS747" s="10"/>
      <c r="BT747" s="10"/>
      <c r="BU747" s="10"/>
      <c r="BV747" s="10"/>
      <c r="BW747" s="10"/>
      <c r="BX747" s="10"/>
      <c r="BY747" s="10"/>
      <c r="BZ747" s="10"/>
      <c r="CA747" s="10"/>
      <c r="CB747" s="10"/>
      <c r="CC747" s="10"/>
      <c r="CD747" s="10"/>
      <c r="CE747" s="10"/>
      <c r="CF747" s="10"/>
      <c r="CG747" s="10"/>
      <c r="CH747" s="10"/>
      <c r="CI747" s="10"/>
      <c r="CJ747" s="10"/>
      <c r="CK747" s="10"/>
      <c r="CL747" s="10"/>
      <c r="CM747" s="10"/>
      <c r="CN747" s="10"/>
      <c r="CO747" s="10"/>
      <c r="CP747" s="10"/>
      <c r="CQ747" s="10"/>
      <c r="CR747" s="10"/>
      <c r="CS747" s="10"/>
      <c r="CT747" s="10"/>
      <c r="CU747" s="10"/>
      <c r="CV747" s="10"/>
      <c r="CW747" s="10"/>
      <c r="CX747" s="10"/>
      <c r="CY747" s="10"/>
      <c r="CZ747" s="10"/>
      <c r="DA747" s="10"/>
      <c r="DB747" s="10"/>
      <c r="DC747" s="10"/>
      <c r="DD747" s="10"/>
      <c r="DE747" s="10"/>
      <c r="DF747" s="10"/>
      <c r="DG747" s="10"/>
      <c r="DH747" s="10"/>
      <c r="DI747" s="10"/>
      <c r="DJ747" s="10"/>
      <c r="DK747" s="10"/>
      <c r="DL747" s="10"/>
      <c r="DM747" s="10"/>
      <c r="DN747" s="10"/>
      <c r="DO747" s="10"/>
      <c r="DP747" s="10"/>
      <c r="DQ747" s="10"/>
      <c r="DR747" s="10"/>
      <c r="DS747" s="10"/>
      <c r="DT747" s="10"/>
      <c r="DU747" s="10"/>
      <c r="DV747" s="10"/>
      <c r="DW747" s="10"/>
      <c r="DX747" s="10"/>
      <c r="DY747" s="10"/>
      <c r="DZ747" s="10"/>
      <c r="EA747" s="10"/>
      <c r="EB747" s="10"/>
      <c r="EC747" s="10"/>
      <c r="ED747" s="10"/>
      <c r="EE747" s="10"/>
      <c r="EF747" s="10"/>
      <c r="EG747" s="10"/>
      <c r="EH747" s="10"/>
      <c r="EI747" s="10"/>
      <c r="EJ747" s="10"/>
      <c r="EK747" s="10"/>
      <c r="EL747" s="10"/>
      <c r="EM747" s="10"/>
      <c r="EN747" s="10"/>
      <c r="EO747" s="10"/>
      <c r="EP747" s="10"/>
      <c r="EQ747" s="10"/>
      <c r="ER747" s="10"/>
      <c r="ES747" s="10"/>
      <c r="ET747" s="10"/>
      <c r="EU747" s="10"/>
      <c r="EV747" s="10"/>
      <c r="EW747" s="10"/>
      <c r="EX747" s="10"/>
      <c r="EY747" s="10"/>
      <c r="EZ747" s="10"/>
      <c r="FA747" s="10"/>
      <c r="FB747" s="10"/>
      <c r="FC747" s="10"/>
      <c r="FD747" s="10"/>
      <c r="FE747" s="10"/>
      <c r="FF747" s="10"/>
      <c r="FG747" s="10"/>
      <c r="FH747" s="10"/>
      <c r="FI747" s="10"/>
      <c r="FJ747" s="10"/>
      <c r="FK747" s="10"/>
      <c r="FL747" s="10"/>
      <c r="FM747" s="10"/>
      <c r="FN747" s="10"/>
      <c r="FO747" s="10"/>
      <c r="FP747" s="10"/>
      <c r="FQ747" s="10"/>
      <c r="FR747" s="10"/>
      <c r="FS747" s="10"/>
      <c r="FT747" s="10"/>
      <c r="FU747" s="10"/>
      <c r="FV747" s="10"/>
      <c r="FW747" s="10"/>
      <c r="FX747" s="10"/>
      <c r="FY747" s="10"/>
      <c r="FZ747" s="10"/>
      <c r="GA747" s="10"/>
      <c r="GB747" s="10"/>
      <c r="GC747" s="10"/>
      <c r="GD747" s="10"/>
      <c r="GE747" s="10"/>
      <c r="GF747" s="10"/>
      <c r="GG747" s="10"/>
      <c r="GH747" s="10"/>
      <c r="GI747" s="10"/>
      <c r="GJ747" s="10"/>
      <c r="GK747" s="10"/>
    </row>
    <row r="748" customFormat="false" ht="12.75" hidden="false" customHeight="false" outlineLevel="0" collapsed="false">
      <c r="A748" s="7"/>
      <c r="B748" s="7"/>
      <c r="C748" s="8"/>
      <c r="D748" s="8"/>
      <c r="E748" s="8"/>
      <c r="F748" s="8"/>
      <c r="G748" s="9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10"/>
      <c r="BP748" s="10"/>
      <c r="BQ748" s="10"/>
      <c r="BR748" s="10"/>
      <c r="BS748" s="10"/>
      <c r="BT748" s="10"/>
      <c r="BU748" s="10"/>
      <c r="BV748" s="10"/>
      <c r="BW748" s="10"/>
      <c r="BX748" s="10"/>
      <c r="BY748" s="10"/>
      <c r="BZ748" s="10"/>
      <c r="CA748" s="10"/>
      <c r="CB748" s="10"/>
      <c r="CC748" s="10"/>
      <c r="CD748" s="10"/>
      <c r="CE748" s="10"/>
      <c r="CF748" s="10"/>
      <c r="CG748" s="10"/>
      <c r="CH748" s="10"/>
      <c r="CI748" s="10"/>
      <c r="CJ748" s="10"/>
      <c r="CK748" s="10"/>
      <c r="CL748" s="10"/>
      <c r="CM748" s="10"/>
      <c r="CN748" s="10"/>
      <c r="CO748" s="10"/>
      <c r="CP748" s="10"/>
      <c r="CQ748" s="10"/>
      <c r="CR748" s="10"/>
      <c r="CS748" s="10"/>
      <c r="CT748" s="10"/>
      <c r="CU748" s="10"/>
      <c r="CV748" s="10"/>
      <c r="CW748" s="10"/>
      <c r="CX748" s="10"/>
      <c r="CY748" s="10"/>
      <c r="CZ748" s="10"/>
      <c r="DA748" s="10"/>
      <c r="DB748" s="10"/>
      <c r="DC748" s="10"/>
      <c r="DD748" s="10"/>
      <c r="DE748" s="10"/>
      <c r="DF748" s="10"/>
      <c r="DG748" s="10"/>
      <c r="DH748" s="10"/>
      <c r="DI748" s="10"/>
      <c r="DJ748" s="10"/>
      <c r="DK748" s="10"/>
      <c r="DL748" s="10"/>
      <c r="DM748" s="10"/>
      <c r="DN748" s="10"/>
      <c r="DO748" s="10"/>
      <c r="DP748" s="10"/>
      <c r="DQ748" s="10"/>
      <c r="DR748" s="10"/>
      <c r="DS748" s="10"/>
      <c r="DT748" s="10"/>
      <c r="DU748" s="10"/>
      <c r="DV748" s="10"/>
      <c r="DW748" s="10"/>
      <c r="DX748" s="10"/>
      <c r="DY748" s="10"/>
      <c r="DZ748" s="10"/>
      <c r="EA748" s="10"/>
      <c r="EB748" s="10"/>
      <c r="EC748" s="10"/>
      <c r="ED748" s="10"/>
      <c r="EE748" s="10"/>
      <c r="EF748" s="10"/>
      <c r="EG748" s="10"/>
      <c r="EH748" s="10"/>
      <c r="EI748" s="10"/>
      <c r="EJ748" s="10"/>
      <c r="EK748" s="10"/>
      <c r="EL748" s="10"/>
      <c r="EM748" s="10"/>
      <c r="EN748" s="10"/>
      <c r="EO748" s="10"/>
      <c r="EP748" s="10"/>
      <c r="EQ748" s="10"/>
      <c r="ER748" s="10"/>
      <c r="ES748" s="10"/>
      <c r="ET748" s="10"/>
      <c r="EU748" s="10"/>
      <c r="EV748" s="10"/>
      <c r="EW748" s="10"/>
      <c r="EX748" s="10"/>
      <c r="EY748" s="10"/>
      <c r="EZ748" s="10"/>
      <c r="FA748" s="10"/>
      <c r="FB748" s="10"/>
      <c r="FC748" s="10"/>
      <c r="FD748" s="10"/>
      <c r="FE748" s="10"/>
      <c r="FF748" s="10"/>
      <c r="FG748" s="10"/>
      <c r="FH748" s="10"/>
      <c r="FI748" s="10"/>
      <c r="FJ748" s="10"/>
      <c r="FK748" s="10"/>
      <c r="FL748" s="10"/>
      <c r="FM748" s="10"/>
      <c r="FN748" s="10"/>
      <c r="FO748" s="10"/>
      <c r="FP748" s="10"/>
      <c r="FQ748" s="10"/>
      <c r="FR748" s="10"/>
      <c r="FS748" s="10"/>
      <c r="FT748" s="10"/>
      <c r="FU748" s="10"/>
      <c r="FV748" s="10"/>
      <c r="FW748" s="10"/>
      <c r="FX748" s="10"/>
      <c r="FY748" s="10"/>
      <c r="FZ748" s="10"/>
      <c r="GA748" s="10"/>
      <c r="GB748" s="10"/>
      <c r="GC748" s="10"/>
      <c r="GD748" s="10"/>
      <c r="GE748" s="10"/>
      <c r="GF748" s="10"/>
      <c r="GG748" s="10"/>
      <c r="GH748" s="10"/>
      <c r="GI748" s="10"/>
      <c r="GJ748" s="10"/>
      <c r="GK748" s="10"/>
    </row>
    <row r="749" customFormat="false" ht="12.75" hidden="false" customHeight="false" outlineLevel="0" collapsed="false">
      <c r="A749" s="7"/>
      <c r="B749" s="7"/>
      <c r="C749" s="8"/>
      <c r="D749" s="8"/>
      <c r="E749" s="8"/>
      <c r="F749" s="8"/>
      <c r="G749" s="9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0"/>
      <c r="BP749" s="10"/>
      <c r="BQ749" s="10"/>
      <c r="BR749" s="10"/>
      <c r="BS749" s="10"/>
      <c r="BT749" s="10"/>
      <c r="BU749" s="10"/>
      <c r="BV749" s="10"/>
      <c r="BW749" s="10"/>
      <c r="BX749" s="10"/>
      <c r="BY749" s="10"/>
      <c r="BZ749" s="10"/>
      <c r="CA749" s="10"/>
      <c r="CB749" s="10"/>
      <c r="CC749" s="10"/>
      <c r="CD749" s="10"/>
      <c r="CE749" s="10"/>
      <c r="CF749" s="10"/>
      <c r="CG749" s="10"/>
      <c r="CH749" s="10"/>
      <c r="CI749" s="10"/>
      <c r="CJ749" s="10"/>
      <c r="CK749" s="10"/>
      <c r="CL749" s="10"/>
      <c r="CM749" s="10"/>
      <c r="CN749" s="10"/>
      <c r="CO749" s="10"/>
      <c r="CP749" s="10"/>
      <c r="CQ749" s="10"/>
      <c r="CR749" s="10"/>
      <c r="CS749" s="10"/>
      <c r="CT749" s="10"/>
      <c r="CU749" s="10"/>
      <c r="CV749" s="10"/>
      <c r="CW749" s="10"/>
      <c r="CX749" s="10"/>
      <c r="CY749" s="10"/>
      <c r="CZ749" s="10"/>
      <c r="DA749" s="10"/>
      <c r="DB749" s="10"/>
      <c r="DC749" s="10"/>
      <c r="DD749" s="10"/>
      <c r="DE749" s="10"/>
      <c r="DF749" s="10"/>
      <c r="DG749" s="10"/>
      <c r="DH749" s="10"/>
      <c r="DI749" s="10"/>
      <c r="DJ749" s="10"/>
      <c r="DK749" s="10"/>
      <c r="DL749" s="10"/>
      <c r="DM749" s="10"/>
      <c r="DN749" s="10"/>
      <c r="DO749" s="10"/>
      <c r="DP749" s="10"/>
      <c r="DQ749" s="10"/>
      <c r="DR749" s="10"/>
      <c r="DS749" s="10"/>
      <c r="DT749" s="10"/>
      <c r="DU749" s="10"/>
      <c r="DV749" s="10"/>
      <c r="DW749" s="10"/>
      <c r="DX749" s="10"/>
      <c r="DY749" s="10"/>
      <c r="DZ749" s="10"/>
      <c r="EA749" s="10"/>
      <c r="EB749" s="10"/>
      <c r="EC749" s="10"/>
      <c r="ED749" s="10"/>
      <c r="EE749" s="10"/>
      <c r="EF749" s="10"/>
      <c r="EG749" s="10"/>
      <c r="EH749" s="10"/>
      <c r="EI749" s="10"/>
      <c r="EJ749" s="10"/>
      <c r="EK749" s="10"/>
      <c r="EL749" s="10"/>
      <c r="EM749" s="10"/>
      <c r="EN749" s="10"/>
      <c r="EO749" s="10"/>
      <c r="EP749" s="10"/>
      <c r="EQ749" s="10"/>
      <c r="ER749" s="10"/>
      <c r="ES749" s="10"/>
      <c r="ET749" s="10"/>
      <c r="EU749" s="10"/>
      <c r="EV749" s="10"/>
      <c r="EW749" s="10"/>
      <c r="EX749" s="10"/>
      <c r="EY749" s="10"/>
      <c r="EZ749" s="10"/>
      <c r="FA749" s="10"/>
      <c r="FB749" s="10"/>
      <c r="FC749" s="10"/>
      <c r="FD749" s="10"/>
      <c r="FE749" s="10"/>
      <c r="FF749" s="10"/>
      <c r="FG749" s="10"/>
      <c r="FH749" s="10"/>
      <c r="FI749" s="10"/>
      <c r="FJ749" s="10"/>
      <c r="FK749" s="10"/>
      <c r="FL749" s="10"/>
      <c r="FM749" s="10"/>
      <c r="FN749" s="10"/>
      <c r="FO749" s="10"/>
      <c r="FP749" s="10"/>
      <c r="FQ749" s="10"/>
      <c r="FR749" s="10"/>
      <c r="FS749" s="10"/>
      <c r="FT749" s="10"/>
      <c r="FU749" s="10"/>
      <c r="FV749" s="10"/>
      <c r="FW749" s="10"/>
      <c r="FX749" s="10"/>
      <c r="FY749" s="10"/>
      <c r="FZ749" s="10"/>
      <c r="GA749" s="10"/>
      <c r="GB749" s="10"/>
      <c r="GC749" s="10"/>
      <c r="GD749" s="10"/>
      <c r="GE749" s="10"/>
      <c r="GF749" s="10"/>
      <c r="GG749" s="10"/>
      <c r="GH749" s="10"/>
      <c r="GI749" s="10"/>
      <c r="GJ749" s="10"/>
      <c r="GK749" s="10"/>
    </row>
    <row r="750" customFormat="false" ht="12.75" hidden="false" customHeight="false" outlineLevel="0" collapsed="false">
      <c r="A750" s="7"/>
      <c r="B750" s="7"/>
      <c r="C750" s="8"/>
      <c r="D750" s="8"/>
      <c r="E750" s="8"/>
      <c r="F750" s="8"/>
      <c r="G750" s="9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0"/>
      <c r="BP750" s="10"/>
      <c r="BQ750" s="10"/>
      <c r="BR750" s="10"/>
      <c r="BS750" s="10"/>
      <c r="BT750" s="10"/>
      <c r="BU750" s="10"/>
      <c r="BV750" s="10"/>
      <c r="BW750" s="10"/>
      <c r="BX750" s="10"/>
      <c r="BY750" s="10"/>
      <c r="BZ750" s="10"/>
      <c r="CA750" s="10"/>
      <c r="CB750" s="10"/>
      <c r="CC750" s="10"/>
      <c r="CD750" s="10"/>
      <c r="CE750" s="10"/>
      <c r="CF750" s="10"/>
      <c r="CG750" s="10"/>
      <c r="CH750" s="10"/>
      <c r="CI750" s="10"/>
      <c r="CJ750" s="10"/>
      <c r="CK750" s="10"/>
      <c r="CL750" s="10"/>
      <c r="CM750" s="10"/>
      <c r="CN750" s="10"/>
      <c r="CO750" s="10"/>
      <c r="CP750" s="10"/>
      <c r="CQ750" s="10"/>
      <c r="CR750" s="10"/>
      <c r="CS750" s="10"/>
      <c r="CT750" s="10"/>
      <c r="CU750" s="10"/>
      <c r="CV750" s="10"/>
      <c r="CW750" s="10"/>
      <c r="CX750" s="10"/>
      <c r="CY750" s="10"/>
      <c r="CZ750" s="10"/>
      <c r="DA750" s="10"/>
      <c r="DB750" s="10"/>
      <c r="DC750" s="10"/>
      <c r="DD750" s="10"/>
      <c r="DE750" s="10"/>
      <c r="DF750" s="10"/>
      <c r="DG750" s="10"/>
      <c r="DH750" s="10"/>
      <c r="DI750" s="10"/>
      <c r="DJ750" s="10"/>
      <c r="DK750" s="10"/>
      <c r="DL750" s="10"/>
      <c r="DM750" s="10"/>
      <c r="DN750" s="10"/>
      <c r="DO750" s="10"/>
      <c r="DP750" s="10"/>
      <c r="DQ750" s="10"/>
      <c r="DR750" s="10"/>
      <c r="DS750" s="10"/>
      <c r="DT750" s="10"/>
      <c r="DU750" s="10"/>
      <c r="DV750" s="10"/>
      <c r="DW750" s="10"/>
      <c r="DX750" s="10"/>
      <c r="DY750" s="10"/>
      <c r="DZ750" s="10"/>
      <c r="EA750" s="10"/>
      <c r="EB750" s="10"/>
      <c r="EC750" s="10"/>
      <c r="ED750" s="10"/>
      <c r="EE750" s="10"/>
      <c r="EF750" s="10"/>
      <c r="EG750" s="10"/>
      <c r="EH750" s="10"/>
      <c r="EI750" s="10"/>
      <c r="EJ750" s="10"/>
      <c r="EK750" s="10"/>
      <c r="EL750" s="10"/>
      <c r="EM750" s="10"/>
      <c r="EN750" s="10"/>
      <c r="EO750" s="10"/>
      <c r="EP750" s="10"/>
      <c r="EQ750" s="10"/>
      <c r="ER750" s="10"/>
      <c r="ES750" s="10"/>
      <c r="ET750" s="10"/>
      <c r="EU750" s="10"/>
      <c r="EV750" s="10"/>
      <c r="EW750" s="10"/>
      <c r="EX750" s="10"/>
      <c r="EY750" s="10"/>
      <c r="EZ750" s="10"/>
      <c r="FA750" s="10"/>
      <c r="FB750" s="10"/>
      <c r="FC750" s="10"/>
      <c r="FD750" s="10"/>
      <c r="FE750" s="10"/>
      <c r="FF750" s="10"/>
      <c r="FG750" s="10"/>
      <c r="FH750" s="10"/>
      <c r="FI750" s="10"/>
      <c r="FJ750" s="10"/>
      <c r="FK750" s="10"/>
      <c r="FL750" s="10"/>
      <c r="FM750" s="10"/>
      <c r="FN750" s="10"/>
      <c r="FO750" s="10"/>
      <c r="FP750" s="10"/>
      <c r="FQ750" s="10"/>
      <c r="FR750" s="10"/>
      <c r="FS750" s="10"/>
      <c r="FT750" s="10"/>
      <c r="FU750" s="10"/>
      <c r="FV750" s="10"/>
      <c r="FW750" s="10"/>
      <c r="FX750" s="10"/>
      <c r="FY750" s="10"/>
      <c r="FZ750" s="10"/>
      <c r="GA750" s="10"/>
      <c r="GB750" s="10"/>
      <c r="GC750" s="10"/>
      <c r="GD750" s="10"/>
      <c r="GE750" s="10"/>
      <c r="GF750" s="10"/>
      <c r="GG750" s="10"/>
      <c r="GH750" s="10"/>
      <c r="GI750" s="10"/>
      <c r="GJ750" s="10"/>
      <c r="GK750" s="10"/>
    </row>
    <row r="751" customFormat="false" ht="12.75" hidden="false" customHeight="false" outlineLevel="0" collapsed="false">
      <c r="A751" s="7"/>
      <c r="B751" s="7"/>
      <c r="C751" s="8"/>
      <c r="D751" s="8"/>
      <c r="E751" s="8"/>
      <c r="F751" s="8"/>
      <c r="G751" s="9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10"/>
      <c r="BQ751" s="10"/>
      <c r="BR751" s="10"/>
      <c r="BS751" s="10"/>
      <c r="BT751" s="10"/>
      <c r="BU751" s="10"/>
      <c r="BV751" s="10"/>
      <c r="BW751" s="10"/>
      <c r="BX751" s="10"/>
      <c r="BY751" s="10"/>
      <c r="BZ751" s="10"/>
      <c r="CA751" s="10"/>
      <c r="CB751" s="10"/>
      <c r="CC751" s="10"/>
      <c r="CD751" s="10"/>
      <c r="CE751" s="10"/>
      <c r="CF751" s="10"/>
      <c r="CG751" s="10"/>
      <c r="CH751" s="10"/>
      <c r="CI751" s="10"/>
      <c r="CJ751" s="10"/>
      <c r="CK751" s="10"/>
      <c r="CL751" s="10"/>
      <c r="CM751" s="10"/>
      <c r="CN751" s="10"/>
      <c r="CO751" s="10"/>
      <c r="CP751" s="10"/>
      <c r="CQ751" s="10"/>
      <c r="CR751" s="10"/>
      <c r="CS751" s="10"/>
      <c r="CT751" s="10"/>
      <c r="CU751" s="10"/>
      <c r="CV751" s="10"/>
      <c r="CW751" s="10"/>
      <c r="CX751" s="10"/>
      <c r="CY751" s="10"/>
      <c r="CZ751" s="10"/>
      <c r="DA751" s="10"/>
      <c r="DB751" s="10"/>
      <c r="DC751" s="10"/>
      <c r="DD751" s="10"/>
      <c r="DE751" s="10"/>
      <c r="DF751" s="10"/>
      <c r="DG751" s="10"/>
      <c r="DH751" s="10"/>
      <c r="DI751" s="10"/>
      <c r="DJ751" s="10"/>
      <c r="DK751" s="10"/>
      <c r="DL751" s="10"/>
      <c r="DM751" s="10"/>
      <c r="DN751" s="10"/>
      <c r="DO751" s="10"/>
      <c r="DP751" s="10"/>
      <c r="DQ751" s="10"/>
      <c r="DR751" s="10"/>
      <c r="DS751" s="10"/>
      <c r="DT751" s="10"/>
      <c r="DU751" s="10"/>
      <c r="DV751" s="10"/>
      <c r="DW751" s="10"/>
      <c r="DX751" s="10"/>
      <c r="DY751" s="10"/>
      <c r="DZ751" s="10"/>
      <c r="EA751" s="10"/>
      <c r="EB751" s="10"/>
      <c r="EC751" s="10"/>
      <c r="ED751" s="10"/>
      <c r="EE751" s="10"/>
      <c r="EF751" s="10"/>
      <c r="EG751" s="10"/>
      <c r="EH751" s="10"/>
      <c r="EI751" s="10"/>
      <c r="EJ751" s="10"/>
      <c r="EK751" s="10"/>
      <c r="EL751" s="10"/>
      <c r="EM751" s="10"/>
      <c r="EN751" s="10"/>
      <c r="EO751" s="10"/>
      <c r="EP751" s="10"/>
      <c r="EQ751" s="10"/>
      <c r="ER751" s="10"/>
      <c r="ES751" s="10"/>
      <c r="ET751" s="10"/>
      <c r="EU751" s="10"/>
      <c r="EV751" s="10"/>
      <c r="EW751" s="10"/>
      <c r="EX751" s="10"/>
      <c r="EY751" s="10"/>
      <c r="EZ751" s="10"/>
      <c r="FA751" s="10"/>
      <c r="FB751" s="10"/>
      <c r="FC751" s="10"/>
      <c r="FD751" s="10"/>
      <c r="FE751" s="10"/>
      <c r="FF751" s="10"/>
      <c r="FG751" s="10"/>
      <c r="FH751" s="10"/>
      <c r="FI751" s="10"/>
      <c r="FJ751" s="10"/>
      <c r="FK751" s="10"/>
      <c r="FL751" s="10"/>
      <c r="FM751" s="10"/>
      <c r="FN751" s="10"/>
      <c r="FO751" s="10"/>
      <c r="FP751" s="10"/>
      <c r="FQ751" s="10"/>
      <c r="FR751" s="10"/>
      <c r="FS751" s="10"/>
      <c r="FT751" s="10"/>
      <c r="FU751" s="10"/>
      <c r="FV751" s="10"/>
      <c r="FW751" s="10"/>
      <c r="FX751" s="10"/>
      <c r="FY751" s="10"/>
      <c r="FZ751" s="10"/>
      <c r="GA751" s="10"/>
      <c r="GB751" s="10"/>
      <c r="GC751" s="10"/>
      <c r="GD751" s="10"/>
      <c r="GE751" s="10"/>
      <c r="GF751" s="10"/>
      <c r="GG751" s="10"/>
      <c r="GH751" s="10"/>
      <c r="GI751" s="10"/>
      <c r="GJ751" s="10"/>
      <c r="GK751" s="10"/>
    </row>
    <row r="752" customFormat="false" ht="12.75" hidden="false" customHeight="false" outlineLevel="0" collapsed="false">
      <c r="A752" s="7"/>
      <c r="B752" s="7"/>
      <c r="C752" s="8"/>
      <c r="D752" s="8"/>
      <c r="E752" s="8"/>
      <c r="F752" s="8"/>
      <c r="G752" s="9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0"/>
      <c r="BP752" s="10"/>
      <c r="BQ752" s="10"/>
      <c r="BR752" s="10"/>
      <c r="BS752" s="10"/>
      <c r="BT752" s="10"/>
      <c r="BU752" s="10"/>
      <c r="BV752" s="10"/>
      <c r="BW752" s="10"/>
      <c r="BX752" s="10"/>
      <c r="BY752" s="10"/>
      <c r="BZ752" s="10"/>
      <c r="CA752" s="10"/>
      <c r="CB752" s="10"/>
      <c r="CC752" s="10"/>
      <c r="CD752" s="10"/>
      <c r="CE752" s="10"/>
      <c r="CF752" s="10"/>
      <c r="CG752" s="10"/>
      <c r="CH752" s="10"/>
      <c r="CI752" s="10"/>
      <c r="CJ752" s="10"/>
      <c r="CK752" s="10"/>
      <c r="CL752" s="10"/>
      <c r="CM752" s="10"/>
      <c r="CN752" s="10"/>
      <c r="CO752" s="10"/>
      <c r="CP752" s="10"/>
      <c r="CQ752" s="10"/>
      <c r="CR752" s="10"/>
      <c r="CS752" s="10"/>
      <c r="CT752" s="10"/>
      <c r="CU752" s="10"/>
      <c r="CV752" s="10"/>
      <c r="CW752" s="10"/>
      <c r="CX752" s="10"/>
      <c r="CY752" s="10"/>
      <c r="CZ752" s="10"/>
      <c r="DA752" s="10"/>
      <c r="DB752" s="10"/>
      <c r="DC752" s="10"/>
      <c r="DD752" s="10"/>
      <c r="DE752" s="10"/>
      <c r="DF752" s="10"/>
      <c r="DG752" s="10"/>
      <c r="DH752" s="10"/>
      <c r="DI752" s="10"/>
      <c r="DJ752" s="10"/>
      <c r="DK752" s="10"/>
      <c r="DL752" s="10"/>
      <c r="DM752" s="10"/>
      <c r="DN752" s="10"/>
      <c r="DO752" s="10"/>
      <c r="DP752" s="10"/>
      <c r="DQ752" s="10"/>
      <c r="DR752" s="10"/>
      <c r="DS752" s="10"/>
      <c r="DT752" s="10"/>
      <c r="DU752" s="10"/>
      <c r="DV752" s="10"/>
      <c r="DW752" s="10"/>
      <c r="DX752" s="10"/>
      <c r="DY752" s="10"/>
      <c r="DZ752" s="10"/>
      <c r="EA752" s="10"/>
      <c r="EB752" s="10"/>
      <c r="EC752" s="10"/>
      <c r="ED752" s="10"/>
      <c r="EE752" s="10"/>
      <c r="EF752" s="10"/>
      <c r="EG752" s="10"/>
      <c r="EH752" s="10"/>
      <c r="EI752" s="10"/>
      <c r="EJ752" s="10"/>
      <c r="EK752" s="10"/>
      <c r="EL752" s="10"/>
      <c r="EM752" s="10"/>
      <c r="EN752" s="10"/>
      <c r="EO752" s="10"/>
      <c r="EP752" s="10"/>
      <c r="EQ752" s="10"/>
      <c r="ER752" s="10"/>
      <c r="ES752" s="10"/>
      <c r="ET752" s="10"/>
      <c r="EU752" s="10"/>
      <c r="EV752" s="10"/>
      <c r="EW752" s="10"/>
      <c r="EX752" s="10"/>
      <c r="EY752" s="10"/>
      <c r="EZ752" s="10"/>
      <c r="FA752" s="10"/>
      <c r="FB752" s="10"/>
      <c r="FC752" s="10"/>
      <c r="FD752" s="10"/>
      <c r="FE752" s="10"/>
      <c r="FF752" s="10"/>
      <c r="FG752" s="10"/>
      <c r="FH752" s="10"/>
      <c r="FI752" s="10"/>
      <c r="FJ752" s="10"/>
      <c r="FK752" s="10"/>
      <c r="FL752" s="10"/>
      <c r="FM752" s="10"/>
      <c r="FN752" s="10"/>
      <c r="FO752" s="10"/>
      <c r="FP752" s="10"/>
      <c r="FQ752" s="10"/>
      <c r="FR752" s="10"/>
      <c r="FS752" s="10"/>
      <c r="FT752" s="10"/>
      <c r="FU752" s="10"/>
      <c r="FV752" s="10"/>
      <c r="FW752" s="10"/>
      <c r="FX752" s="10"/>
      <c r="FY752" s="10"/>
      <c r="FZ752" s="10"/>
      <c r="GA752" s="10"/>
      <c r="GB752" s="10"/>
      <c r="GC752" s="10"/>
      <c r="GD752" s="10"/>
      <c r="GE752" s="10"/>
      <c r="GF752" s="10"/>
      <c r="GG752" s="10"/>
      <c r="GH752" s="10"/>
      <c r="GI752" s="10"/>
      <c r="GJ752" s="10"/>
      <c r="GK752" s="10"/>
    </row>
    <row r="753" customFormat="false" ht="12.75" hidden="false" customHeight="false" outlineLevel="0" collapsed="false">
      <c r="A753" s="7"/>
      <c r="B753" s="7"/>
      <c r="C753" s="8"/>
      <c r="D753" s="8"/>
      <c r="E753" s="8"/>
      <c r="F753" s="8"/>
      <c r="G753" s="9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10"/>
      <c r="BP753" s="10"/>
      <c r="BQ753" s="10"/>
      <c r="BR753" s="10"/>
      <c r="BS753" s="10"/>
      <c r="BT753" s="10"/>
      <c r="BU753" s="10"/>
      <c r="BV753" s="10"/>
      <c r="BW753" s="10"/>
      <c r="BX753" s="10"/>
      <c r="BY753" s="10"/>
      <c r="BZ753" s="10"/>
      <c r="CA753" s="10"/>
      <c r="CB753" s="10"/>
      <c r="CC753" s="10"/>
      <c r="CD753" s="10"/>
      <c r="CE753" s="10"/>
      <c r="CF753" s="10"/>
      <c r="CG753" s="10"/>
      <c r="CH753" s="10"/>
      <c r="CI753" s="10"/>
      <c r="CJ753" s="10"/>
      <c r="CK753" s="10"/>
      <c r="CL753" s="10"/>
      <c r="CM753" s="10"/>
      <c r="CN753" s="10"/>
      <c r="CO753" s="10"/>
      <c r="CP753" s="10"/>
      <c r="CQ753" s="10"/>
      <c r="CR753" s="10"/>
      <c r="CS753" s="10"/>
      <c r="CT753" s="10"/>
      <c r="CU753" s="10"/>
      <c r="CV753" s="10"/>
      <c r="CW753" s="10"/>
      <c r="CX753" s="10"/>
      <c r="CY753" s="10"/>
      <c r="CZ753" s="10"/>
      <c r="DA753" s="10"/>
      <c r="DB753" s="10"/>
      <c r="DC753" s="10"/>
      <c r="DD753" s="10"/>
      <c r="DE753" s="10"/>
      <c r="DF753" s="10"/>
      <c r="DG753" s="10"/>
      <c r="DH753" s="10"/>
      <c r="DI753" s="10"/>
      <c r="DJ753" s="10"/>
      <c r="DK753" s="10"/>
      <c r="DL753" s="10"/>
      <c r="DM753" s="10"/>
      <c r="DN753" s="10"/>
      <c r="DO753" s="10"/>
      <c r="DP753" s="10"/>
      <c r="DQ753" s="10"/>
      <c r="DR753" s="10"/>
      <c r="DS753" s="10"/>
      <c r="DT753" s="10"/>
      <c r="DU753" s="10"/>
      <c r="DV753" s="10"/>
      <c r="DW753" s="10"/>
      <c r="DX753" s="10"/>
      <c r="DY753" s="10"/>
      <c r="DZ753" s="10"/>
      <c r="EA753" s="10"/>
      <c r="EB753" s="10"/>
      <c r="EC753" s="10"/>
      <c r="ED753" s="10"/>
      <c r="EE753" s="10"/>
      <c r="EF753" s="10"/>
      <c r="EG753" s="10"/>
      <c r="EH753" s="10"/>
      <c r="EI753" s="10"/>
      <c r="EJ753" s="10"/>
      <c r="EK753" s="10"/>
      <c r="EL753" s="10"/>
      <c r="EM753" s="10"/>
      <c r="EN753" s="10"/>
      <c r="EO753" s="10"/>
      <c r="EP753" s="10"/>
      <c r="EQ753" s="10"/>
      <c r="ER753" s="10"/>
      <c r="ES753" s="10"/>
      <c r="ET753" s="10"/>
      <c r="EU753" s="10"/>
      <c r="EV753" s="10"/>
      <c r="EW753" s="10"/>
      <c r="EX753" s="10"/>
      <c r="EY753" s="10"/>
      <c r="EZ753" s="10"/>
      <c r="FA753" s="10"/>
      <c r="FB753" s="10"/>
      <c r="FC753" s="10"/>
      <c r="FD753" s="10"/>
      <c r="FE753" s="10"/>
      <c r="FF753" s="10"/>
      <c r="FG753" s="10"/>
      <c r="FH753" s="10"/>
      <c r="FI753" s="10"/>
      <c r="FJ753" s="10"/>
      <c r="FK753" s="10"/>
      <c r="FL753" s="10"/>
      <c r="FM753" s="10"/>
      <c r="FN753" s="10"/>
      <c r="FO753" s="10"/>
      <c r="FP753" s="10"/>
      <c r="FQ753" s="10"/>
      <c r="FR753" s="10"/>
      <c r="FS753" s="10"/>
      <c r="FT753" s="10"/>
      <c r="FU753" s="10"/>
      <c r="FV753" s="10"/>
      <c r="FW753" s="10"/>
      <c r="FX753" s="10"/>
      <c r="FY753" s="10"/>
      <c r="FZ753" s="10"/>
      <c r="GA753" s="10"/>
      <c r="GB753" s="10"/>
      <c r="GC753" s="10"/>
      <c r="GD753" s="10"/>
      <c r="GE753" s="10"/>
      <c r="GF753" s="10"/>
      <c r="GG753" s="10"/>
      <c r="GH753" s="10"/>
      <c r="GI753" s="10"/>
      <c r="GJ753" s="10"/>
      <c r="GK753" s="10"/>
    </row>
    <row r="754" customFormat="false" ht="12.75" hidden="false" customHeight="false" outlineLevel="0" collapsed="false">
      <c r="A754" s="7"/>
      <c r="B754" s="7"/>
      <c r="C754" s="8"/>
      <c r="D754" s="8"/>
      <c r="E754" s="8"/>
      <c r="F754" s="8"/>
      <c r="G754" s="9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10"/>
      <c r="BP754" s="10"/>
      <c r="BQ754" s="10"/>
      <c r="BR754" s="10"/>
      <c r="BS754" s="10"/>
      <c r="BT754" s="10"/>
      <c r="BU754" s="10"/>
      <c r="BV754" s="10"/>
      <c r="BW754" s="10"/>
      <c r="BX754" s="10"/>
      <c r="BY754" s="10"/>
      <c r="BZ754" s="10"/>
      <c r="CA754" s="10"/>
      <c r="CB754" s="10"/>
      <c r="CC754" s="10"/>
      <c r="CD754" s="10"/>
      <c r="CE754" s="10"/>
      <c r="CF754" s="10"/>
      <c r="CG754" s="10"/>
      <c r="CH754" s="10"/>
      <c r="CI754" s="10"/>
      <c r="CJ754" s="10"/>
      <c r="CK754" s="10"/>
      <c r="CL754" s="10"/>
      <c r="CM754" s="10"/>
      <c r="CN754" s="10"/>
      <c r="CO754" s="10"/>
      <c r="CP754" s="10"/>
      <c r="CQ754" s="10"/>
      <c r="CR754" s="10"/>
      <c r="CS754" s="10"/>
      <c r="CT754" s="10"/>
      <c r="CU754" s="10"/>
      <c r="CV754" s="10"/>
      <c r="CW754" s="10"/>
      <c r="CX754" s="10"/>
      <c r="CY754" s="10"/>
      <c r="CZ754" s="10"/>
      <c r="DA754" s="10"/>
      <c r="DB754" s="10"/>
      <c r="DC754" s="10"/>
      <c r="DD754" s="10"/>
      <c r="DE754" s="10"/>
      <c r="DF754" s="10"/>
      <c r="DG754" s="10"/>
      <c r="DH754" s="10"/>
      <c r="DI754" s="10"/>
      <c r="DJ754" s="10"/>
      <c r="DK754" s="10"/>
      <c r="DL754" s="10"/>
      <c r="DM754" s="10"/>
      <c r="DN754" s="10"/>
      <c r="DO754" s="10"/>
      <c r="DP754" s="10"/>
      <c r="DQ754" s="10"/>
      <c r="DR754" s="10"/>
      <c r="DS754" s="10"/>
      <c r="DT754" s="10"/>
      <c r="DU754" s="10"/>
      <c r="DV754" s="10"/>
      <c r="DW754" s="10"/>
      <c r="DX754" s="10"/>
      <c r="DY754" s="10"/>
      <c r="DZ754" s="10"/>
      <c r="EA754" s="10"/>
      <c r="EB754" s="10"/>
      <c r="EC754" s="10"/>
      <c r="ED754" s="10"/>
      <c r="EE754" s="10"/>
      <c r="EF754" s="10"/>
      <c r="EG754" s="10"/>
      <c r="EH754" s="10"/>
      <c r="EI754" s="10"/>
      <c r="EJ754" s="10"/>
      <c r="EK754" s="10"/>
      <c r="EL754" s="10"/>
      <c r="EM754" s="10"/>
      <c r="EN754" s="10"/>
      <c r="EO754" s="10"/>
      <c r="EP754" s="10"/>
      <c r="EQ754" s="10"/>
      <c r="ER754" s="10"/>
      <c r="ES754" s="10"/>
      <c r="ET754" s="10"/>
      <c r="EU754" s="10"/>
      <c r="EV754" s="10"/>
      <c r="EW754" s="10"/>
      <c r="EX754" s="10"/>
      <c r="EY754" s="10"/>
      <c r="EZ754" s="10"/>
      <c r="FA754" s="10"/>
      <c r="FB754" s="10"/>
      <c r="FC754" s="10"/>
      <c r="FD754" s="10"/>
      <c r="FE754" s="10"/>
      <c r="FF754" s="10"/>
      <c r="FG754" s="10"/>
      <c r="FH754" s="10"/>
      <c r="FI754" s="10"/>
      <c r="FJ754" s="10"/>
      <c r="FK754" s="10"/>
      <c r="FL754" s="10"/>
      <c r="FM754" s="10"/>
      <c r="FN754" s="10"/>
      <c r="FO754" s="10"/>
      <c r="FP754" s="10"/>
      <c r="FQ754" s="10"/>
      <c r="FR754" s="10"/>
      <c r="FS754" s="10"/>
      <c r="FT754" s="10"/>
      <c r="FU754" s="10"/>
      <c r="FV754" s="10"/>
      <c r="FW754" s="10"/>
      <c r="FX754" s="10"/>
      <c r="FY754" s="10"/>
      <c r="FZ754" s="10"/>
      <c r="GA754" s="10"/>
      <c r="GB754" s="10"/>
      <c r="GC754" s="10"/>
      <c r="GD754" s="10"/>
      <c r="GE754" s="10"/>
      <c r="GF754" s="10"/>
      <c r="GG754" s="10"/>
      <c r="GH754" s="10"/>
      <c r="GI754" s="10"/>
      <c r="GJ754" s="10"/>
      <c r="GK754" s="10"/>
    </row>
    <row r="755" customFormat="false" ht="12.75" hidden="false" customHeight="false" outlineLevel="0" collapsed="false">
      <c r="A755" s="7"/>
      <c r="B755" s="7"/>
      <c r="C755" s="8"/>
      <c r="D755" s="8"/>
      <c r="E755" s="8"/>
      <c r="F755" s="8"/>
      <c r="G755" s="9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  <c r="BL755" s="10"/>
      <c r="BM755" s="10"/>
      <c r="BN755" s="10"/>
      <c r="BO755" s="10"/>
      <c r="BP755" s="10"/>
      <c r="BQ755" s="10"/>
      <c r="BR755" s="10"/>
      <c r="BS755" s="10"/>
      <c r="BT755" s="10"/>
      <c r="BU755" s="10"/>
      <c r="BV755" s="10"/>
      <c r="BW755" s="10"/>
      <c r="BX755" s="10"/>
      <c r="BY755" s="10"/>
      <c r="BZ755" s="10"/>
      <c r="CA755" s="10"/>
      <c r="CB755" s="10"/>
      <c r="CC755" s="10"/>
      <c r="CD755" s="10"/>
      <c r="CE755" s="10"/>
      <c r="CF755" s="10"/>
      <c r="CG755" s="10"/>
      <c r="CH755" s="10"/>
      <c r="CI755" s="10"/>
      <c r="CJ755" s="10"/>
      <c r="CK755" s="10"/>
      <c r="CL755" s="10"/>
      <c r="CM755" s="10"/>
      <c r="CN755" s="10"/>
      <c r="CO755" s="10"/>
      <c r="CP755" s="10"/>
      <c r="CQ755" s="10"/>
      <c r="CR755" s="10"/>
      <c r="CS755" s="10"/>
      <c r="CT755" s="10"/>
      <c r="CU755" s="10"/>
      <c r="CV755" s="10"/>
      <c r="CW755" s="10"/>
      <c r="CX755" s="10"/>
      <c r="CY755" s="10"/>
      <c r="CZ755" s="10"/>
      <c r="DA755" s="10"/>
      <c r="DB755" s="10"/>
      <c r="DC755" s="10"/>
      <c r="DD755" s="10"/>
      <c r="DE755" s="10"/>
      <c r="DF755" s="10"/>
      <c r="DG755" s="10"/>
      <c r="DH755" s="10"/>
      <c r="DI755" s="10"/>
      <c r="DJ755" s="10"/>
      <c r="DK755" s="10"/>
      <c r="DL755" s="10"/>
      <c r="DM755" s="10"/>
      <c r="DN755" s="10"/>
      <c r="DO755" s="10"/>
      <c r="DP755" s="10"/>
      <c r="DQ755" s="10"/>
      <c r="DR755" s="10"/>
      <c r="DS755" s="10"/>
      <c r="DT755" s="10"/>
      <c r="DU755" s="10"/>
      <c r="DV755" s="10"/>
      <c r="DW755" s="10"/>
      <c r="DX755" s="10"/>
      <c r="DY755" s="10"/>
      <c r="DZ755" s="10"/>
      <c r="EA755" s="10"/>
      <c r="EB755" s="10"/>
      <c r="EC755" s="10"/>
      <c r="ED755" s="10"/>
      <c r="EE755" s="10"/>
      <c r="EF755" s="10"/>
      <c r="EG755" s="10"/>
      <c r="EH755" s="10"/>
      <c r="EI755" s="10"/>
      <c r="EJ755" s="10"/>
      <c r="EK755" s="10"/>
      <c r="EL755" s="10"/>
      <c r="EM755" s="10"/>
      <c r="EN755" s="10"/>
      <c r="EO755" s="10"/>
      <c r="EP755" s="10"/>
      <c r="EQ755" s="10"/>
      <c r="ER755" s="10"/>
      <c r="ES755" s="10"/>
      <c r="ET755" s="10"/>
      <c r="EU755" s="10"/>
      <c r="EV755" s="10"/>
      <c r="EW755" s="10"/>
      <c r="EX755" s="10"/>
      <c r="EY755" s="10"/>
      <c r="EZ755" s="10"/>
      <c r="FA755" s="10"/>
      <c r="FB755" s="10"/>
      <c r="FC755" s="10"/>
      <c r="FD755" s="10"/>
      <c r="FE755" s="10"/>
      <c r="FF755" s="10"/>
      <c r="FG755" s="10"/>
      <c r="FH755" s="10"/>
      <c r="FI755" s="10"/>
      <c r="FJ755" s="10"/>
      <c r="FK755" s="10"/>
      <c r="FL755" s="10"/>
      <c r="FM755" s="10"/>
      <c r="FN755" s="10"/>
      <c r="FO755" s="10"/>
      <c r="FP755" s="10"/>
      <c r="FQ755" s="10"/>
      <c r="FR755" s="10"/>
      <c r="FS755" s="10"/>
      <c r="FT755" s="10"/>
      <c r="FU755" s="10"/>
      <c r="FV755" s="10"/>
      <c r="FW755" s="10"/>
      <c r="FX755" s="10"/>
      <c r="FY755" s="10"/>
      <c r="FZ755" s="10"/>
      <c r="GA755" s="10"/>
      <c r="GB755" s="10"/>
      <c r="GC755" s="10"/>
      <c r="GD755" s="10"/>
      <c r="GE755" s="10"/>
      <c r="GF755" s="10"/>
      <c r="GG755" s="10"/>
      <c r="GH755" s="10"/>
      <c r="GI755" s="10"/>
      <c r="GJ755" s="10"/>
      <c r="GK755" s="10"/>
    </row>
    <row r="756" customFormat="false" ht="12.75" hidden="false" customHeight="false" outlineLevel="0" collapsed="false">
      <c r="A756" s="7"/>
      <c r="B756" s="7"/>
      <c r="C756" s="8"/>
      <c r="D756" s="8"/>
      <c r="E756" s="8"/>
      <c r="F756" s="8"/>
      <c r="G756" s="9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10"/>
      <c r="BP756" s="10"/>
      <c r="BQ756" s="10"/>
      <c r="BR756" s="10"/>
      <c r="BS756" s="10"/>
      <c r="BT756" s="10"/>
      <c r="BU756" s="10"/>
      <c r="BV756" s="10"/>
      <c r="BW756" s="10"/>
      <c r="BX756" s="10"/>
      <c r="BY756" s="10"/>
      <c r="BZ756" s="10"/>
      <c r="CA756" s="10"/>
      <c r="CB756" s="10"/>
      <c r="CC756" s="10"/>
      <c r="CD756" s="10"/>
      <c r="CE756" s="10"/>
      <c r="CF756" s="10"/>
      <c r="CG756" s="10"/>
      <c r="CH756" s="10"/>
      <c r="CI756" s="10"/>
      <c r="CJ756" s="10"/>
      <c r="CK756" s="10"/>
      <c r="CL756" s="10"/>
      <c r="CM756" s="10"/>
      <c r="CN756" s="10"/>
      <c r="CO756" s="10"/>
      <c r="CP756" s="10"/>
      <c r="CQ756" s="10"/>
      <c r="CR756" s="10"/>
      <c r="CS756" s="10"/>
      <c r="CT756" s="10"/>
      <c r="CU756" s="10"/>
      <c r="CV756" s="10"/>
      <c r="CW756" s="10"/>
      <c r="CX756" s="10"/>
      <c r="CY756" s="10"/>
      <c r="CZ756" s="10"/>
      <c r="DA756" s="10"/>
      <c r="DB756" s="10"/>
      <c r="DC756" s="10"/>
      <c r="DD756" s="10"/>
      <c r="DE756" s="10"/>
      <c r="DF756" s="10"/>
      <c r="DG756" s="10"/>
      <c r="DH756" s="10"/>
      <c r="DI756" s="10"/>
      <c r="DJ756" s="10"/>
      <c r="DK756" s="10"/>
      <c r="DL756" s="10"/>
      <c r="DM756" s="10"/>
      <c r="DN756" s="10"/>
      <c r="DO756" s="10"/>
      <c r="DP756" s="10"/>
      <c r="DQ756" s="10"/>
      <c r="DR756" s="10"/>
      <c r="DS756" s="10"/>
      <c r="DT756" s="10"/>
      <c r="DU756" s="10"/>
      <c r="DV756" s="10"/>
      <c r="DW756" s="10"/>
      <c r="DX756" s="10"/>
      <c r="DY756" s="10"/>
      <c r="DZ756" s="10"/>
      <c r="EA756" s="10"/>
      <c r="EB756" s="10"/>
      <c r="EC756" s="10"/>
      <c r="ED756" s="10"/>
      <c r="EE756" s="10"/>
      <c r="EF756" s="10"/>
      <c r="EG756" s="10"/>
      <c r="EH756" s="10"/>
      <c r="EI756" s="10"/>
      <c r="EJ756" s="10"/>
      <c r="EK756" s="10"/>
      <c r="EL756" s="10"/>
      <c r="EM756" s="10"/>
      <c r="EN756" s="10"/>
      <c r="EO756" s="10"/>
      <c r="EP756" s="10"/>
      <c r="EQ756" s="10"/>
      <c r="ER756" s="10"/>
      <c r="ES756" s="10"/>
      <c r="ET756" s="10"/>
      <c r="EU756" s="10"/>
      <c r="EV756" s="10"/>
      <c r="EW756" s="10"/>
      <c r="EX756" s="10"/>
      <c r="EY756" s="10"/>
      <c r="EZ756" s="10"/>
      <c r="FA756" s="10"/>
      <c r="FB756" s="10"/>
      <c r="FC756" s="10"/>
      <c r="FD756" s="10"/>
      <c r="FE756" s="10"/>
      <c r="FF756" s="10"/>
      <c r="FG756" s="10"/>
      <c r="FH756" s="10"/>
      <c r="FI756" s="10"/>
      <c r="FJ756" s="10"/>
      <c r="FK756" s="10"/>
      <c r="FL756" s="10"/>
      <c r="FM756" s="10"/>
      <c r="FN756" s="10"/>
      <c r="FO756" s="10"/>
      <c r="FP756" s="10"/>
      <c r="FQ756" s="10"/>
      <c r="FR756" s="10"/>
      <c r="FS756" s="10"/>
      <c r="FT756" s="10"/>
      <c r="FU756" s="10"/>
      <c r="FV756" s="10"/>
      <c r="FW756" s="10"/>
      <c r="FX756" s="10"/>
      <c r="FY756" s="10"/>
      <c r="FZ756" s="10"/>
      <c r="GA756" s="10"/>
      <c r="GB756" s="10"/>
      <c r="GC756" s="10"/>
      <c r="GD756" s="10"/>
      <c r="GE756" s="10"/>
      <c r="GF756" s="10"/>
      <c r="GG756" s="10"/>
      <c r="GH756" s="10"/>
      <c r="GI756" s="10"/>
      <c r="GJ756" s="10"/>
      <c r="GK756" s="10"/>
    </row>
    <row r="757" customFormat="false" ht="12.75" hidden="false" customHeight="false" outlineLevel="0" collapsed="false">
      <c r="A757" s="7"/>
      <c r="B757" s="7"/>
      <c r="C757" s="8"/>
      <c r="D757" s="8"/>
      <c r="E757" s="8"/>
      <c r="F757" s="8"/>
      <c r="G757" s="9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0"/>
      <c r="BP757" s="10"/>
      <c r="BQ757" s="10"/>
      <c r="BR757" s="10"/>
      <c r="BS757" s="10"/>
      <c r="BT757" s="10"/>
      <c r="BU757" s="10"/>
      <c r="BV757" s="10"/>
      <c r="BW757" s="10"/>
      <c r="BX757" s="10"/>
      <c r="BY757" s="10"/>
      <c r="BZ757" s="10"/>
      <c r="CA757" s="10"/>
      <c r="CB757" s="10"/>
      <c r="CC757" s="10"/>
      <c r="CD757" s="10"/>
      <c r="CE757" s="10"/>
      <c r="CF757" s="10"/>
      <c r="CG757" s="10"/>
      <c r="CH757" s="10"/>
      <c r="CI757" s="10"/>
      <c r="CJ757" s="10"/>
      <c r="CK757" s="10"/>
      <c r="CL757" s="10"/>
      <c r="CM757" s="10"/>
      <c r="CN757" s="10"/>
      <c r="CO757" s="10"/>
      <c r="CP757" s="10"/>
      <c r="CQ757" s="10"/>
      <c r="CR757" s="10"/>
      <c r="CS757" s="10"/>
      <c r="CT757" s="10"/>
      <c r="CU757" s="10"/>
      <c r="CV757" s="10"/>
      <c r="CW757" s="10"/>
      <c r="CX757" s="10"/>
      <c r="CY757" s="10"/>
      <c r="CZ757" s="10"/>
      <c r="DA757" s="10"/>
      <c r="DB757" s="10"/>
      <c r="DC757" s="10"/>
      <c r="DD757" s="10"/>
      <c r="DE757" s="10"/>
      <c r="DF757" s="10"/>
      <c r="DG757" s="10"/>
      <c r="DH757" s="10"/>
      <c r="DI757" s="10"/>
      <c r="DJ757" s="10"/>
      <c r="DK757" s="10"/>
      <c r="DL757" s="10"/>
      <c r="DM757" s="10"/>
      <c r="DN757" s="10"/>
      <c r="DO757" s="10"/>
      <c r="DP757" s="10"/>
      <c r="DQ757" s="10"/>
      <c r="DR757" s="10"/>
      <c r="DS757" s="10"/>
      <c r="DT757" s="10"/>
      <c r="DU757" s="10"/>
      <c r="DV757" s="10"/>
      <c r="DW757" s="10"/>
      <c r="DX757" s="10"/>
      <c r="DY757" s="10"/>
      <c r="DZ757" s="10"/>
      <c r="EA757" s="10"/>
      <c r="EB757" s="10"/>
      <c r="EC757" s="10"/>
      <c r="ED757" s="10"/>
      <c r="EE757" s="10"/>
      <c r="EF757" s="10"/>
      <c r="EG757" s="10"/>
      <c r="EH757" s="10"/>
      <c r="EI757" s="10"/>
      <c r="EJ757" s="10"/>
      <c r="EK757" s="10"/>
      <c r="EL757" s="10"/>
      <c r="EM757" s="10"/>
      <c r="EN757" s="10"/>
      <c r="EO757" s="10"/>
      <c r="EP757" s="10"/>
      <c r="EQ757" s="10"/>
      <c r="ER757" s="10"/>
      <c r="ES757" s="10"/>
      <c r="ET757" s="10"/>
      <c r="EU757" s="10"/>
      <c r="EV757" s="10"/>
      <c r="EW757" s="10"/>
      <c r="EX757" s="10"/>
      <c r="EY757" s="10"/>
      <c r="EZ757" s="10"/>
      <c r="FA757" s="10"/>
      <c r="FB757" s="10"/>
      <c r="FC757" s="10"/>
      <c r="FD757" s="10"/>
      <c r="FE757" s="10"/>
      <c r="FF757" s="10"/>
      <c r="FG757" s="10"/>
      <c r="FH757" s="10"/>
      <c r="FI757" s="10"/>
      <c r="FJ757" s="10"/>
      <c r="FK757" s="10"/>
      <c r="FL757" s="10"/>
      <c r="FM757" s="10"/>
      <c r="FN757" s="10"/>
      <c r="FO757" s="10"/>
      <c r="FP757" s="10"/>
      <c r="FQ757" s="10"/>
      <c r="FR757" s="10"/>
      <c r="FS757" s="10"/>
      <c r="FT757" s="10"/>
      <c r="FU757" s="10"/>
      <c r="FV757" s="10"/>
      <c r="FW757" s="10"/>
      <c r="FX757" s="10"/>
      <c r="FY757" s="10"/>
      <c r="FZ757" s="10"/>
      <c r="GA757" s="10"/>
      <c r="GB757" s="10"/>
      <c r="GC757" s="10"/>
      <c r="GD757" s="10"/>
      <c r="GE757" s="10"/>
      <c r="GF757" s="10"/>
      <c r="GG757" s="10"/>
      <c r="GH757" s="10"/>
      <c r="GI757" s="10"/>
      <c r="GJ757" s="10"/>
      <c r="GK757" s="10"/>
    </row>
    <row r="758" customFormat="false" ht="12.75" hidden="false" customHeight="false" outlineLevel="0" collapsed="false">
      <c r="A758" s="7"/>
      <c r="B758" s="7"/>
      <c r="C758" s="8"/>
      <c r="D758" s="8"/>
      <c r="E758" s="8"/>
      <c r="F758" s="8"/>
      <c r="G758" s="9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  <c r="BO758" s="10"/>
      <c r="BP758" s="10"/>
      <c r="BQ758" s="10"/>
      <c r="BR758" s="10"/>
      <c r="BS758" s="10"/>
      <c r="BT758" s="10"/>
      <c r="BU758" s="10"/>
      <c r="BV758" s="10"/>
      <c r="BW758" s="10"/>
      <c r="BX758" s="10"/>
      <c r="BY758" s="10"/>
      <c r="BZ758" s="10"/>
      <c r="CA758" s="10"/>
      <c r="CB758" s="10"/>
      <c r="CC758" s="10"/>
      <c r="CD758" s="10"/>
      <c r="CE758" s="10"/>
      <c r="CF758" s="10"/>
      <c r="CG758" s="10"/>
      <c r="CH758" s="10"/>
      <c r="CI758" s="10"/>
      <c r="CJ758" s="10"/>
      <c r="CK758" s="10"/>
      <c r="CL758" s="10"/>
      <c r="CM758" s="10"/>
      <c r="CN758" s="10"/>
      <c r="CO758" s="10"/>
      <c r="CP758" s="10"/>
      <c r="CQ758" s="10"/>
      <c r="CR758" s="10"/>
      <c r="CS758" s="10"/>
      <c r="CT758" s="10"/>
      <c r="CU758" s="10"/>
      <c r="CV758" s="10"/>
      <c r="CW758" s="10"/>
      <c r="CX758" s="10"/>
      <c r="CY758" s="10"/>
      <c r="CZ758" s="10"/>
      <c r="DA758" s="10"/>
      <c r="DB758" s="10"/>
      <c r="DC758" s="10"/>
      <c r="DD758" s="10"/>
      <c r="DE758" s="10"/>
      <c r="DF758" s="10"/>
      <c r="DG758" s="10"/>
      <c r="DH758" s="10"/>
      <c r="DI758" s="10"/>
      <c r="DJ758" s="10"/>
      <c r="DK758" s="10"/>
      <c r="DL758" s="10"/>
      <c r="DM758" s="10"/>
      <c r="DN758" s="10"/>
      <c r="DO758" s="10"/>
      <c r="DP758" s="10"/>
      <c r="DQ758" s="10"/>
      <c r="DR758" s="10"/>
      <c r="DS758" s="10"/>
      <c r="DT758" s="10"/>
      <c r="DU758" s="10"/>
      <c r="DV758" s="10"/>
      <c r="DW758" s="10"/>
      <c r="DX758" s="10"/>
      <c r="DY758" s="10"/>
      <c r="DZ758" s="10"/>
      <c r="EA758" s="10"/>
      <c r="EB758" s="10"/>
      <c r="EC758" s="10"/>
      <c r="ED758" s="10"/>
      <c r="EE758" s="10"/>
      <c r="EF758" s="10"/>
      <c r="EG758" s="10"/>
      <c r="EH758" s="10"/>
      <c r="EI758" s="10"/>
      <c r="EJ758" s="10"/>
      <c r="EK758" s="10"/>
      <c r="EL758" s="10"/>
      <c r="EM758" s="10"/>
      <c r="EN758" s="10"/>
      <c r="EO758" s="10"/>
      <c r="EP758" s="10"/>
      <c r="EQ758" s="10"/>
      <c r="ER758" s="10"/>
      <c r="ES758" s="10"/>
      <c r="ET758" s="10"/>
      <c r="EU758" s="10"/>
      <c r="EV758" s="10"/>
      <c r="EW758" s="10"/>
      <c r="EX758" s="10"/>
      <c r="EY758" s="10"/>
      <c r="EZ758" s="10"/>
      <c r="FA758" s="10"/>
      <c r="FB758" s="10"/>
      <c r="FC758" s="10"/>
      <c r="FD758" s="10"/>
      <c r="FE758" s="10"/>
      <c r="FF758" s="10"/>
      <c r="FG758" s="10"/>
      <c r="FH758" s="10"/>
      <c r="FI758" s="10"/>
      <c r="FJ758" s="10"/>
      <c r="FK758" s="10"/>
      <c r="FL758" s="10"/>
      <c r="FM758" s="10"/>
      <c r="FN758" s="10"/>
      <c r="FO758" s="10"/>
      <c r="FP758" s="10"/>
      <c r="FQ758" s="10"/>
      <c r="FR758" s="10"/>
      <c r="FS758" s="10"/>
      <c r="FT758" s="10"/>
      <c r="FU758" s="10"/>
      <c r="FV758" s="10"/>
      <c r="FW758" s="10"/>
      <c r="FX758" s="10"/>
      <c r="FY758" s="10"/>
      <c r="FZ758" s="10"/>
      <c r="GA758" s="10"/>
      <c r="GB758" s="10"/>
      <c r="GC758" s="10"/>
      <c r="GD758" s="10"/>
      <c r="GE758" s="10"/>
      <c r="GF758" s="10"/>
      <c r="GG758" s="10"/>
      <c r="GH758" s="10"/>
      <c r="GI758" s="10"/>
      <c r="GJ758" s="10"/>
      <c r="GK758" s="10"/>
    </row>
    <row r="759" customFormat="false" ht="12.75" hidden="false" customHeight="false" outlineLevel="0" collapsed="false">
      <c r="A759" s="7"/>
      <c r="B759" s="7"/>
      <c r="C759" s="8"/>
      <c r="D759" s="8"/>
      <c r="E759" s="8"/>
      <c r="F759" s="8"/>
      <c r="G759" s="9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0"/>
      <c r="BP759" s="10"/>
      <c r="BQ759" s="10"/>
      <c r="BR759" s="10"/>
      <c r="BS759" s="10"/>
      <c r="BT759" s="10"/>
      <c r="BU759" s="10"/>
      <c r="BV759" s="10"/>
      <c r="BW759" s="10"/>
      <c r="BX759" s="10"/>
      <c r="BY759" s="10"/>
      <c r="BZ759" s="10"/>
      <c r="CA759" s="10"/>
      <c r="CB759" s="10"/>
      <c r="CC759" s="10"/>
      <c r="CD759" s="10"/>
      <c r="CE759" s="10"/>
      <c r="CF759" s="10"/>
      <c r="CG759" s="10"/>
      <c r="CH759" s="10"/>
      <c r="CI759" s="10"/>
      <c r="CJ759" s="10"/>
      <c r="CK759" s="10"/>
      <c r="CL759" s="10"/>
      <c r="CM759" s="10"/>
      <c r="CN759" s="10"/>
      <c r="CO759" s="10"/>
      <c r="CP759" s="10"/>
      <c r="CQ759" s="10"/>
      <c r="CR759" s="10"/>
      <c r="CS759" s="10"/>
      <c r="CT759" s="10"/>
      <c r="CU759" s="10"/>
      <c r="CV759" s="10"/>
      <c r="CW759" s="10"/>
      <c r="CX759" s="10"/>
      <c r="CY759" s="10"/>
      <c r="CZ759" s="10"/>
      <c r="DA759" s="10"/>
      <c r="DB759" s="10"/>
      <c r="DC759" s="10"/>
      <c r="DD759" s="10"/>
      <c r="DE759" s="10"/>
      <c r="DF759" s="10"/>
      <c r="DG759" s="10"/>
      <c r="DH759" s="10"/>
      <c r="DI759" s="10"/>
      <c r="DJ759" s="10"/>
      <c r="DK759" s="10"/>
      <c r="DL759" s="10"/>
      <c r="DM759" s="10"/>
      <c r="DN759" s="10"/>
      <c r="DO759" s="10"/>
      <c r="DP759" s="10"/>
      <c r="DQ759" s="10"/>
      <c r="DR759" s="10"/>
      <c r="DS759" s="10"/>
      <c r="DT759" s="10"/>
      <c r="DU759" s="10"/>
      <c r="DV759" s="10"/>
      <c r="DW759" s="10"/>
      <c r="DX759" s="10"/>
      <c r="DY759" s="10"/>
      <c r="DZ759" s="10"/>
      <c r="EA759" s="10"/>
      <c r="EB759" s="10"/>
      <c r="EC759" s="10"/>
      <c r="ED759" s="10"/>
      <c r="EE759" s="10"/>
      <c r="EF759" s="10"/>
      <c r="EG759" s="10"/>
      <c r="EH759" s="10"/>
      <c r="EI759" s="10"/>
      <c r="EJ759" s="10"/>
      <c r="EK759" s="10"/>
      <c r="EL759" s="10"/>
      <c r="EM759" s="10"/>
      <c r="EN759" s="10"/>
      <c r="EO759" s="10"/>
      <c r="EP759" s="10"/>
      <c r="EQ759" s="10"/>
      <c r="ER759" s="10"/>
      <c r="ES759" s="10"/>
      <c r="ET759" s="10"/>
      <c r="EU759" s="10"/>
      <c r="EV759" s="10"/>
      <c r="EW759" s="10"/>
      <c r="EX759" s="10"/>
      <c r="EY759" s="10"/>
      <c r="EZ759" s="10"/>
      <c r="FA759" s="10"/>
      <c r="FB759" s="10"/>
      <c r="FC759" s="10"/>
      <c r="FD759" s="10"/>
      <c r="FE759" s="10"/>
      <c r="FF759" s="10"/>
      <c r="FG759" s="10"/>
      <c r="FH759" s="10"/>
      <c r="FI759" s="10"/>
      <c r="FJ759" s="10"/>
      <c r="FK759" s="10"/>
      <c r="FL759" s="10"/>
      <c r="FM759" s="10"/>
      <c r="FN759" s="10"/>
      <c r="FO759" s="10"/>
      <c r="FP759" s="10"/>
      <c r="FQ759" s="10"/>
      <c r="FR759" s="10"/>
      <c r="FS759" s="10"/>
      <c r="FT759" s="10"/>
      <c r="FU759" s="10"/>
      <c r="FV759" s="10"/>
      <c r="FW759" s="10"/>
      <c r="FX759" s="10"/>
      <c r="FY759" s="10"/>
      <c r="FZ759" s="10"/>
      <c r="GA759" s="10"/>
      <c r="GB759" s="10"/>
      <c r="GC759" s="10"/>
      <c r="GD759" s="10"/>
      <c r="GE759" s="10"/>
      <c r="GF759" s="10"/>
      <c r="GG759" s="10"/>
      <c r="GH759" s="10"/>
      <c r="GI759" s="10"/>
      <c r="GJ759" s="10"/>
      <c r="GK759" s="10"/>
    </row>
    <row r="760" customFormat="false" ht="12.75" hidden="false" customHeight="false" outlineLevel="0" collapsed="false">
      <c r="A760" s="7"/>
      <c r="B760" s="7"/>
      <c r="C760" s="8"/>
      <c r="D760" s="8"/>
      <c r="E760" s="8"/>
      <c r="F760" s="8"/>
      <c r="G760" s="9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10"/>
      <c r="BQ760" s="10"/>
      <c r="BR760" s="10"/>
      <c r="BS760" s="10"/>
      <c r="BT760" s="10"/>
      <c r="BU760" s="10"/>
      <c r="BV760" s="10"/>
      <c r="BW760" s="10"/>
      <c r="BX760" s="10"/>
      <c r="BY760" s="10"/>
      <c r="BZ760" s="10"/>
      <c r="CA760" s="10"/>
      <c r="CB760" s="10"/>
      <c r="CC760" s="10"/>
      <c r="CD760" s="10"/>
      <c r="CE760" s="10"/>
      <c r="CF760" s="10"/>
      <c r="CG760" s="10"/>
      <c r="CH760" s="10"/>
      <c r="CI760" s="10"/>
      <c r="CJ760" s="10"/>
      <c r="CK760" s="10"/>
      <c r="CL760" s="10"/>
      <c r="CM760" s="10"/>
      <c r="CN760" s="10"/>
      <c r="CO760" s="10"/>
      <c r="CP760" s="10"/>
      <c r="CQ760" s="10"/>
      <c r="CR760" s="10"/>
      <c r="CS760" s="10"/>
      <c r="CT760" s="10"/>
      <c r="CU760" s="10"/>
      <c r="CV760" s="10"/>
      <c r="CW760" s="10"/>
      <c r="CX760" s="10"/>
      <c r="CY760" s="10"/>
      <c r="CZ760" s="10"/>
      <c r="DA760" s="10"/>
      <c r="DB760" s="10"/>
      <c r="DC760" s="10"/>
      <c r="DD760" s="10"/>
      <c r="DE760" s="10"/>
      <c r="DF760" s="10"/>
      <c r="DG760" s="10"/>
      <c r="DH760" s="10"/>
      <c r="DI760" s="10"/>
      <c r="DJ760" s="10"/>
      <c r="DK760" s="10"/>
      <c r="DL760" s="10"/>
      <c r="DM760" s="10"/>
      <c r="DN760" s="10"/>
      <c r="DO760" s="10"/>
      <c r="DP760" s="10"/>
      <c r="DQ760" s="10"/>
      <c r="DR760" s="10"/>
      <c r="DS760" s="10"/>
      <c r="DT760" s="10"/>
      <c r="DU760" s="10"/>
      <c r="DV760" s="10"/>
      <c r="DW760" s="10"/>
      <c r="DX760" s="10"/>
      <c r="DY760" s="10"/>
      <c r="DZ760" s="10"/>
      <c r="EA760" s="10"/>
      <c r="EB760" s="10"/>
      <c r="EC760" s="10"/>
      <c r="ED760" s="10"/>
      <c r="EE760" s="10"/>
      <c r="EF760" s="10"/>
      <c r="EG760" s="10"/>
      <c r="EH760" s="10"/>
      <c r="EI760" s="10"/>
      <c r="EJ760" s="10"/>
      <c r="EK760" s="10"/>
      <c r="EL760" s="10"/>
      <c r="EM760" s="10"/>
      <c r="EN760" s="10"/>
      <c r="EO760" s="10"/>
      <c r="EP760" s="10"/>
      <c r="EQ760" s="10"/>
      <c r="ER760" s="10"/>
      <c r="ES760" s="10"/>
      <c r="ET760" s="10"/>
      <c r="EU760" s="10"/>
      <c r="EV760" s="10"/>
      <c r="EW760" s="10"/>
      <c r="EX760" s="10"/>
      <c r="EY760" s="10"/>
      <c r="EZ760" s="10"/>
      <c r="FA760" s="10"/>
      <c r="FB760" s="10"/>
      <c r="FC760" s="10"/>
      <c r="FD760" s="10"/>
      <c r="FE760" s="10"/>
      <c r="FF760" s="10"/>
      <c r="FG760" s="10"/>
      <c r="FH760" s="10"/>
      <c r="FI760" s="10"/>
      <c r="FJ760" s="10"/>
      <c r="FK760" s="10"/>
      <c r="FL760" s="10"/>
      <c r="FM760" s="10"/>
      <c r="FN760" s="10"/>
      <c r="FO760" s="10"/>
      <c r="FP760" s="10"/>
      <c r="FQ760" s="10"/>
      <c r="FR760" s="10"/>
      <c r="FS760" s="10"/>
      <c r="FT760" s="10"/>
      <c r="FU760" s="10"/>
      <c r="FV760" s="10"/>
      <c r="FW760" s="10"/>
      <c r="FX760" s="10"/>
      <c r="FY760" s="10"/>
      <c r="FZ760" s="10"/>
      <c r="GA760" s="10"/>
      <c r="GB760" s="10"/>
      <c r="GC760" s="10"/>
      <c r="GD760" s="10"/>
      <c r="GE760" s="10"/>
      <c r="GF760" s="10"/>
      <c r="GG760" s="10"/>
      <c r="GH760" s="10"/>
      <c r="GI760" s="10"/>
      <c r="GJ760" s="10"/>
      <c r="GK760" s="10"/>
    </row>
    <row r="761" customFormat="false" ht="12.75" hidden="false" customHeight="false" outlineLevel="0" collapsed="false">
      <c r="A761" s="7"/>
      <c r="B761" s="7"/>
      <c r="C761" s="8"/>
      <c r="D761" s="8"/>
      <c r="E761" s="8"/>
      <c r="F761" s="8"/>
      <c r="G761" s="9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0"/>
      <c r="BP761" s="10"/>
      <c r="BQ761" s="10"/>
      <c r="BR761" s="10"/>
      <c r="BS761" s="10"/>
      <c r="BT761" s="10"/>
      <c r="BU761" s="10"/>
      <c r="BV761" s="10"/>
      <c r="BW761" s="10"/>
      <c r="BX761" s="10"/>
      <c r="BY761" s="10"/>
      <c r="BZ761" s="10"/>
      <c r="CA761" s="10"/>
      <c r="CB761" s="10"/>
      <c r="CC761" s="10"/>
      <c r="CD761" s="10"/>
      <c r="CE761" s="10"/>
      <c r="CF761" s="10"/>
      <c r="CG761" s="10"/>
      <c r="CH761" s="10"/>
      <c r="CI761" s="10"/>
      <c r="CJ761" s="10"/>
      <c r="CK761" s="10"/>
      <c r="CL761" s="10"/>
      <c r="CM761" s="10"/>
      <c r="CN761" s="10"/>
      <c r="CO761" s="10"/>
      <c r="CP761" s="10"/>
      <c r="CQ761" s="10"/>
      <c r="CR761" s="10"/>
      <c r="CS761" s="10"/>
      <c r="CT761" s="10"/>
      <c r="CU761" s="10"/>
      <c r="CV761" s="10"/>
      <c r="CW761" s="10"/>
      <c r="CX761" s="10"/>
      <c r="CY761" s="10"/>
      <c r="CZ761" s="10"/>
      <c r="DA761" s="10"/>
      <c r="DB761" s="10"/>
      <c r="DC761" s="10"/>
      <c r="DD761" s="10"/>
      <c r="DE761" s="10"/>
      <c r="DF761" s="10"/>
      <c r="DG761" s="10"/>
      <c r="DH761" s="10"/>
      <c r="DI761" s="10"/>
      <c r="DJ761" s="10"/>
      <c r="DK761" s="10"/>
      <c r="DL761" s="10"/>
      <c r="DM761" s="10"/>
      <c r="DN761" s="10"/>
      <c r="DO761" s="10"/>
      <c r="DP761" s="10"/>
      <c r="DQ761" s="10"/>
      <c r="DR761" s="10"/>
      <c r="DS761" s="10"/>
      <c r="DT761" s="10"/>
      <c r="DU761" s="10"/>
      <c r="DV761" s="10"/>
      <c r="DW761" s="10"/>
      <c r="DX761" s="10"/>
      <c r="DY761" s="10"/>
      <c r="DZ761" s="10"/>
      <c r="EA761" s="10"/>
      <c r="EB761" s="10"/>
      <c r="EC761" s="10"/>
      <c r="ED761" s="10"/>
      <c r="EE761" s="10"/>
      <c r="EF761" s="10"/>
      <c r="EG761" s="10"/>
      <c r="EH761" s="10"/>
      <c r="EI761" s="10"/>
      <c r="EJ761" s="10"/>
      <c r="EK761" s="10"/>
      <c r="EL761" s="10"/>
      <c r="EM761" s="10"/>
      <c r="EN761" s="10"/>
      <c r="EO761" s="10"/>
      <c r="EP761" s="10"/>
      <c r="EQ761" s="10"/>
      <c r="ER761" s="10"/>
      <c r="ES761" s="10"/>
      <c r="ET761" s="10"/>
      <c r="EU761" s="10"/>
      <c r="EV761" s="10"/>
      <c r="EW761" s="10"/>
      <c r="EX761" s="10"/>
      <c r="EY761" s="10"/>
      <c r="EZ761" s="10"/>
      <c r="FA761" s="10"/>
      <c r="FB761" s="10"/>
      <c r="FC761" s="10"/>
      <c r="FD761" s="10"/>
      <c r="FE761" s="10"/>
      <c r="FF761" s="10"/>
      <c r="FG761" s="10"/>
      <c r="FH761" s="10"/>
      <c r="FI761" s="10"/>
      <c r="FJ761" s="10"/>
      <c r="FK761" s="10"/>
      <c r="FL761" s="10"/>
      <c r="FM761" s="10"/>
      <c r="FN761" s="10"/>
      <c r="FO761" s="10"/>
      <c r="FP761" s="10"/>
      <c r="FQ761" s="10"/>
      <c r="FR761" s="10"/>
      <c r="FS761" s="10"/>
      <c r="FT761" s="10"/>
      <c r="FU761" s="10"/>
      <c r="FV761" s="10"/>
      <c r="FW761" s="10"/>
      <c r="FX761" s="10"/>
      <c r="FY761" s="10"/>
      <c r="FZ761" s="10"/>
      <c r="GA761" s="10"/>
      <c r="GB761" s="10"/>
      <c r="GC761" s="10"/>
      <c r="GD761" s="10"/>
      <c r="GE761" s="10"/>
      <c r="GF761" s="10"/>
      <c r="GG761" s="10"/>
      <c r="GH761" s="10"/>
      <c r="GI761" s="10"/>
      <c r="GJ761" s="10"/>
      <c r="GK761" s="10"/>
    </row>
    <row r="762" customFormat="false" ht="12.75" hidden="false" customHeight="false" outlineLevel="0" collapsed="false">
      <c r="A762" s="7"/>
      <c r="B762" s="7"/>
      <c r="C762" s="8"/>
      <c r="D762" s="8"/>
      <c r="E762" s="8"/>
      <c r="F762" s="8"/>
      <c r="G762" s="9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10"/>
      <c r="BP762" s="10"/>
      <c r="BQ762" s="10"/>
      <c r="BR762" s="10"/>
      <c r="BS762" s="10"/>
      <c r="BT762" s="10"/>
      <c r="BU762" s="10"/>
      <c r="BV762" s="10"/>
      <c r="BW762" s="10"/>
      <c r="BX762" s="10"/>
      <c r="BY762" s="10"/>
      <c r="BZ762" s="10"/>
      <c r="CA762" s="10"/>
      <c r="CB762" s="10"/>
      <c r="CC762" s="10"/>
      <c r="CD762" s="10"/>
      <c r="CE762" s="10"/>
      <c r="CF762" s="10"/>
      <c r="CG762" s="10"/>
      <c r="CH762" s="10"/>
      <c r="CI762" s="10"/>
      <c r="CJ762" s="10"/>
      <c r="CK762" s="10"/>
      <c r="CL762" s="10"/>
      <c r="CM762" s="10"/>
      <c r="CN762" s="10"/>
      <c r="CO762" s="10"/>
      <c r="CP762" s="10"/>
      <c r="CQ762" s="10"/>
      <c r="CR762" s="10"/>
      <c r="CS762" s="10"/>
      <c r="CT762" s="10"/>
      <c r="CU762" s="10"/>
      <c r="CV762" s="10"/>
      <c r="CW762" s="10"/>
      <c r="CX762" s="10"/>
      <c r="CY762" s="10"/>
      <c r="CZ762" s="10"/>
      <c r="DA762" s="10"/>
      <c r="DB762" s="10"/>
      <c r="DC762" s="10"/>
      <c r="DD762" s="10"/>
      <c r="DE762" s="10"/>
      <c r="DF762" s="10"/>
      <c r="DG762" s="10"/>
      <c r="DH762" s="10"/>
      <c r="DI762" s="10"/>
      <c r="DJ762" s="10"/>
      <c r="DK762" s="10"/>
      <c r="DL762" s="10"/>
      <c r="DM762" s="10"/>
      <c r="DN762" s="10"/>
      <c r="DO762" s="10"/>
      <c r="DP762" s="10"/>
      <c r="DQ762" s="10"/>
      <c r="DR762" s="10"/>
      <c r="DS762" s="10"/>
      <c r="DT762" s="10"/>
      <c r="DU762" s="10"/>
      <c r="DV762" s="10"/>
      <c r="DW762" s="10"/>
      <c r="DX762" s="10"/>
      <c r="DY762" s="10"/>
      <c r="DZ762" s="10"/>
      <c r="EA762" s="10"/>
      <c r="EB762" s="10"/>
      <c r="EC762" s="10"/>
      <c r="ED762" s="10"/>
      <c r="EE762" s="10"/>
      <c r="EF762" s="10"/>
      <c r="EG762" s="10"/>
      <c r="EH762" s="10"/>
      <c r="EI762" s="10"/>
      <c r="EJ762" s="10"/>
      <c r="EK762" s="10"/>
      <c r="EL762" s="10"/>
      <c r="EM762" s="10"/>
      <c r="EN762" s="10"/>
      <c r="EO762" s="10"/>
      <c r="EP762" s="10"/>
      <c r="EQ762" s="10"/>
      <c r="ER762" s="10"/>
      <c r="ES762" s="10"/>
      <c r="ET762" s="10"/>
      <c r="EU762" s="10"/>
      <c r="EV762" s="10"/>
      <c r="EW762" s="10"/>
      <c r="EX762" s="10"/>
      <c r="EY762" s="10"/>
      <c r="EZ762" s="10"/>
      <c r="FA762" s="10"/>
      <c r="FB762" s="10"/>
      <c r="FC762" s="10"/>
      <c r="FD762" s="10"/>
      <c r="FE762" s="10"/>
      <c r="FF762" s="10"/>
      <c r="FG762" s="10"/>
      <c r="FH762" s="10"/>
      <c r="FI762" s="10"/>
      <c r="FJ762" s="10"/>
      <c r="FK762" s="10"/>
      <c r="FL762" s="10"/>
      <c r="FM762" s="10"/>
      <c r="FN762" s="10"/>
      <c r="FO762" s="10"/>
      <c r="FP762" s="10"/>
      <c r="FQ762" s="10"/>
      <c r="FR762" s="10"/>
      <c r="FS762" s="10"/>
      <c r="FT762" s="10"/>
      <c r="FU762" s="10"/>
      <c r="FV762" s="10"/>
      <c r="FW762" s="10"/>
      <c r="FX762" s="10"/>
      <c r="FY762" s="10"/>
      <c r="FZ762" s="10"/>
      <c r="GA762" s="10"/>
      <c r="GB762" s="10"/>
      <c r="GC762" s="10"/>
      <c r="GD762" s="10"/>
      <c r="GE762" s="10"/>
      <c r="GF762" s="10"/>
      <c r="GG762" s="10"/>
      <c r="GH762" s="10"/>
      <c r="GI762" s="10"/>
      <c r="GJ762" s="10"/>
      <c r="GK762" s="10"/>
    </row>
    <row r="763" customFormat="false" ht="12.75" hidden="false" customHeight="false" outlineLevel="0" collapsed="false">
      <c r="A763" s="7"/>
      <c r="B763" s="7"/>
      <c r="C763" s="8"/>
      <c r="D763" s="8"/>
      <c r="E763" s="8"/>
      <c r="F763" s="8"/>
      <c r="G763" s="9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10"/>
      <c r="BP763" s="10"/>
      <c r="BQ763" s="10"/>
      <c r="BR763" s="10"/>
      <c r="BS763" s="10"/>
      <c r="BT763" s="10"/>
      <c r="BU763" s="10"/>
      <c r="BV763" s="10"/>
      <c r="BW763" s="10"/>
      <c r="BX763" s="10"/>
      <c r="BY763" s="10"/>
      <c r="BZ763" s="10"/>
      <c r="CA763" s="10"/>
      <c r="CB763" s="10"/>
      <c r="CC763" s="10"/>
      <c r="CD763" s="10"/>
      <c r="CE763" s="10"/>
      <c r="CF763" s="10"/>
      <c r="CG763" s="10"/>
      <c r="CH763" s="10"/>
      <c r="CI763" s="10"/>
      <c r="CJ763" s="10"/>
      <c r="CK763" s="10"/>
      <c r="CL763" s="10"/>
      <c r="CM763" s="10"/>
      <c r="CN763" s="10"/>
      <c r="CO763" s="10"/>
      <c r="CP763" s="10"/>
      <c r="CQ763" s="10"/>
      <c r="CR763" s="10"/>
      <c r="CS763" s="10"/>
      <c r="CT763" s="10"/>
      <c r="CU763" s="10"/>
      <c r="CV763" s="10"/>
      <c r="CW763" s="10"/>
      <c r="CX763" s="10"/>
      <c r="CY763" s="10"/>
      <c r="CZ763" s="10"/>
      <c r="DA763" s="10"/>
      <c r="DB763" s="10"/>
      <c r="DC763" s="10"/>
      <c r="DD763" s="10"/>
      <c r="DE763" s="10"/>
      <c r="DF763" s="10"/>
      <c r="DG763" s="10"/>
      <c r="DH763" s="10"/>
      <c r="DI763" s="10"/>
      <c r="DJ763" s="10"/>
      <c r="DK763" s="10"/>
      <c r="DL763" s="10"/>
      <c r="DM763" s="10"/>
      <c r="DN763" s="10"/>
      <c r="DO763" s="10"/>
      <c r="DP763" s="10"/>
      <c r="DQ763" s="10"/>
      <c r="DR763" s="10"/>
      <c r="DS763" s="10"/>
      <c r="DT763" s="10"/>
      <c r="DU763" s="10"/>
      <c r="DV763" s="10"/>
      <c r="DW763" s="10"/>
      <c r="DX763" s="10"/>
      <c r="DY763" s="10"/>
      <c r="DZ763" s="10"/>
      <c r="EA763" s="10"/>
      <c r="EB763" s="10"/>
      <c r="EC763" s="10"/>
      <c r="ED763" s="10"/>
      <c r="EE763" s="10"/>
      <c r="EF763" s="10"/>
      <c r="EG763" s="10"/>
      <c r="EH763" s="10"/>
      <c r="EI763" s="10"/>
      <c r="EJ763" s="10"/>
      <c r="EK763" s="10"/>
      <c r="EL763" s="10"/>
      <c r="EM763" s="10"/>
      <c r="EN763" s="10"/>
      <c r="EO763" s="10"/>
      <c r="EP763" s="10"/>
      <c r="EQ763" s="10"/>
      <c r="ER763" s="10"/>
      <c r="ES763" s="10"/>
      <c r="ET763" s="10"/>
      <c r="EU763" s="10"/>
      <c r="EV763" s="10"/>
      <c r="EW763" s="10"/>
      <c r="EX763" s="10"/>
      <c r="EY763" s="10"/>
      <c r="EZ763" s="10"/>
      <c r="FA763" s="10"/>
      <c r="FB763" s="10"/>
      <c r="FC763" s="10"/>
      <c r="FD763" s="10"/>
      <c r="FE763" s="10"/>
      <c r="FF763" s="10"/>
      <c r="FG763" s="10"/>
      <c r="FH763" s="10"/>
      <c r="FI763" s="10"/>
      <c r="FJ763" s="10"/>
      <c r="FK763" s="10"/>
      <c r="FL763" s="10"/>
      <c r="FM763" s="10"/>
      <c r="FN763" s="10"/>
      <c r="FO763" s="10"/>
      <c r="FP763" s="10"/>
      <c r="FQ763" s="10"/>
      <c r="FR763" s="10"/>
      <c r="FS763" s="10"/>
      <c r="FT763" s="10"/>
      <c r="FU763" s="10"/>
      <c r="FV763" s="10"/>
      <c r="FW763" s="10"/>
      <c r="FX763" s="10"/>
      <c r="FY763" s="10"/>
      <c r="FZ763" s="10"/>
      <c r="GA763" s="10"/>
      <c r="GB763" s="10"/>
      <c r="GC763" s="10"/>
      <c r="GD763" s="10"/>
      <c r="GE763" s="10"/>
      <c r="GF763" s="10"/>
      <c r="GG763" s="10"/>
      <c r="GH763" s="10"/>
      <c r="GI763" s="10"/>
      <c r="GJ763" s="10"/>
      <c r="GK763" s="10"/>
    </row>
    <row r="764" customFormat="false" ht="12.75" hidden="false" customHeight="false" outlineLevel="0" collapsed="false">
      <c r="A764" s="7"/>
      <c r="B764" s="7"/>
      <c r="C764" s="8"/>
      <c r="D764" s="8"/>
      <c r="E764" s="8"/>
      <c r="F764" s="8"/>
      <c r="G764" s="9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  <c r="BO764" s="10"/>
      <c r="BP764" s="10"/>
      <c r="BQ764" s="10"/>
      <c r="BR764" s="10"/>
      <c r="BS764" s="10"/>
      <c r="BT764" s="10"/>
      <c r="BU764" s="10"/>
      <c r="BV764" s="10"/>
      <c r="BW764" s="10"/>
      <c r="BX764" s="10"/>
      <c r="BY764" s="10"/>
      <c r="BZ764" s="10"/>
      <c r="CA764" s="10"/>
      <c r="CB764" s="10"/>
      <c r="CC764" s="10"/>
      <c r="CD764" s="10"/>
      <c r="CE764" s="10"/>
      <c r="CF764" s="10"/>
      <c r="CG764" s="10"/>
      <c r="CH764" s="10"/>
      <c r="CI764" s="10"/>
      <c r="CJ764" s="10"/>
      <c r="CK764" s="10"/>
      <c r="CL764" s="10"/>
      <c r="CM764" s="10"/>
      <c r="CN764" s="10"/>
      <c r="CO764" s="10"/>
      <c r="CP764" s="10"/>
      <c r="CQ764" s="10"/>
      <c r="CR764" s="10"/>
      <c r="CS764" s="10"/>
      <c r="CT764" s="10"/>
      <c r="CU764" s="10"/>
      <c r="CV764" s="10"/>
      <c r="CW764" s="10"/>
      <c r="CX764" s="10"/>
      <c r="CY764" s="10"/>
      <c r="CZ764" s="10"/>
      <c r="DA764" s="10"/>
      <c r="DB764" s="10"/>
      <c r="DC764" s="10"/>
      <c r="DD764" s="10"/>
      <c r="DE764" s="10"/>
      <c r="DF764" s="10"/>
      <c r="DG764" s="10"/>
      <c r="DH764" s="10"/>
      <c r="DI764" s="10"/>
      <c r="DJ764" s="10"/>
      <c r="DK764" s="10"/>
      <c r="DL764" s="10"/>
      <c r="DM764" s="10"/>
      <c r="DN764" s="10"/>
      <c r="DO764" s="10"/>
      <c r="DP764" s="10"/>
      <c r="DQ764" s="10"/>
      <c r="DR764" s="10"/>
      <c r="DS764" s="10"/>
      <c r="DT764" s="10"/>
      <c r="DU764" s="10"/>
      <c r="DV764" s="10"/>
      <c r="DW764" s="10"/>
      <c r="DX764" s="10"/>
      <c r="DY764" s="10"/>
      <c r="DZ764" s="10"/>
      <c r="EA764" s="10"/>
      <c r="EB764" s="10"/>
      <c r="EC764" s="10"/>
      <c r="ED764" s="10"/>
      <c r="EE764" s="10"/>
      <c r="EF764" s="10"/>
      <c r="EG764" s="10"/>
      <c r="EH764" s="10"/>
      <c r="EI764" s="10"/>
      <c r="EJ764" s="10"/>
      <c r="EK764" s="10"/>
      <c r="EL764" s="10"/>
      <c r="EM764" s="10"/>
      <c r="EN764" s="10"/>
      <c r="EO764" s="10"/>
      <c r="EP764" s="10"/>
      <c r="EQ764" s="10"/>
      <c r="ER764" s="10"/>
      <c r="ES764" s="10"/>
      <c r="ET764" s="10"/>
      <c r="EU764" s="10"/>
      <c r="EV764" s="10"/>
      <c r="EW764" s="10"/>
      <c r="EX764" s="10"/>
      <c r="EY764" s="10"/>
      <c r="EZ764" s="10"/>
      <c r="FA764" s="10"/>
      <c r="FB764" s="10"/>
      <c r="FC764" s="10"/>
      <c r="FD764" s="10"/>
      <c r="FE764" s="10"/>
      <c r="FF764" s="10"/>
      <c r="FG764" s="10"/>
      <c r="FH764" s="10"/>
      <c r="FI764" s="10"/>
      <c r="FJ764" s="10"/>
      <c r="FK764" s="10"/>
      <c r="FL764" s="10"/>
      <c r="FM764" s="10"/>
      <c r="FN764" s="10"/>
      <c r="FO764" s="10"/>
      <c r="FP764" s="10"/>
      <c r="FQ764" s="10"/>
      <c r="FR764" s="10"/>
      <c r="FS764" s="10"/>
      <c r="FT764" s="10"/>
      <c r="FU764" s="10"/>
      <c r="FV764" s="10"/>
      <c r="FW764" s="10"/>
      <c r="FX764" s="10"/>
      <c r="FY764" s="10"/>
      <c r="FZ764" s="10"/>
      <c r="GA764" s="10"/>
      <c r="GB764" s="10"/>
      <c r="GC764" s="10"/>
      <c r="GD764" s="10"/>
      <c r="GE764" s="10"/>
      <c r="GF764" s="10"/>
      <c r="GG764" s="10"/>
      <c r="GH764" s="10"/>
      <c r="GI764" s="10"/>
      <c r="GJ764" s="10"/>
      <c r="GK764" s="10"/>
    </row>
    <row r="765" customFormat="false" ht="12.75" hidden="false" customHeight="false" outlineLevel="0" collapsed="false">
      <c r="A765" s="7"/>
      <c r="B765" s="7"/>
      <c r="C765" s="8"/>
      <c r="D765" s="8"/>
      <c r="E765" s="8"/>
      <c r="F765" s="8"/>
      <c r="G765" s="9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  <c r="BO765" s="10"/>
      <c r="BP765" s="10"/>
      <c r="BQ765" s="10"/>
      <c r="BR765" s="10"/>
      <c r="BS765" s="10"/>
      <c r="BT765" s="10"/>
      <c r="BU765" s="10"/>
      <c r="BV765" s="10"/>
      <c r="BW765" s="10"/>
      <c r="BX765" s="10"/>
      <c r="BY765" s="10"/>
      <c r="BZ765" s="10"/>
      <c r="CA765" s="10"/>
      <c r="CB765" s="10"/>
      <c r="CC765" s="10"/>
      <c r="CD765" s="10"/>
      <c r="CE765" s="10"/>
      <c r="CF765" s="10"/>
      <c r="CG765" s="10"/>
      <c r="CH765" s="10"/>
      <c r="CI765" s="10"/>
      <c r="CJ765" s="10"/>
      <c r="CK765" s="10"/>
      <c r="CL765" s="10"/>
      <c r="CM765" s="10"/>
      <c r="CN765" s="10"/>
      <c r="CO765" s="10"/>
      <c r="CP765" s="10"/>
      <c r="CQ765" s="10"/>
      <c r="CR765" s="10"/>
      <c r="CS765" s="10"/>
      <c r="CT765" s="10"/>
      <c r="CU765" s="10"/>
      <c r="CV765" s="10"/>
      <c r="CW765" s="10"/>
      <c r="CX765" s="10"/>
      <c r="CY765" s="10"/>
      <c r="CZ765" s="10"/>
      <c r="DA765" s="10"/>
      <c r="DB765" s="10"/>
      <c r="DC765" s="10"/>
      <c r="DD765" s="10"/>
      <c r="DE765" s="10"/>
      <c r="DF765" s="10"/>
      <c r="DG765" s="10"/>
      <c r="DH765" s="10"/>
      <c r="DI765" s="10"/>
      <c r="DJ765" s="10"/>
      <c r="DK765" s="10"/>
      <c r="DL765" s="10"/>
      <c r="DM765" s="10"/>
      <c r="DN765" s="10"/>
      <c r="DO765" s="10"/>
      <c r="DP765" s="10"/>
      <c r="DQ765" s="10"/>
      <c r="DR765" s="10"/>
      <c r="DS765" s="10"/>
      <c r="DT765" s="10"/>
      <c r="DU765" s="10"/>
      <c r="DV765" s="10"/>
      <c r="DW765" s="10"/>
      <c r="DX765" s="10"/>
      <c r="DY765" s="10"/>
      <c r="DZ765" s="10"/>
      <c r="EA765" s="10"/>
      <c r="EB765" s="10"/>
      <c r="EC765" s="10"/>
      <c r="ED765" s="10"/>
      <c r="EE765" s="10"/>
      <c r="EF765" s="10"/>
      <c r="EG765" s="10"/>
      <c r="EH765" s="10"/>
      <c r="EI765" s="10"/>
      <c r="EJ765" s="10"/>
      <c r="EK765" s="10"/>
      <c r="EL765" s="10"/>
      <c r="EM765" s="10"/>
      <c r="EN765" s="10"/>
      <c r="EO765" s="10"/>
      <c r="EP765" s="10"/>
      <c r="EQ765" s="10"/>
      <c r="ER765" s="10"/>
      <c r="ES765" s="10"/>
      <c r="ET765" s="10"/>
      <c r="EU765" s="10"/>
      <c r="EV765" s="10"/>
      <c r="EW765" s="10"/>
      <c r="EX765" s="10"/>
      <c r="EY765" s="10"/>
      <c r="EZ765" s="10"/>
      <c r="FA765" s="10"/>
      <c r="FB765" s="10"/>
      <c r="FC765" s="10"/>
      <c r="FD765" s="10"/>
      <c r="FE765" s="10"/>
      <c r="FF765" s="10"/>
      <c r="FG765" s="10"/>
      <c r="FH765" s="10"/>
      <c r="FI765" s="10"/>
      <c r="FJ765" s="10"/>
      <c r="FK765" s="10"/>
      <c r="FL765" s="10"/>
      <c r="FM765" s="10"/>
      <c r="FN765" s="10"/>
      <c r="FO765" s="10"/>
      <c r="FP765" s="10"/>
      <c r="FQ765" s="10"/>
      <c r="FR765" s="10"/>
      <c r="FS765" s="10"/>
      <c r="FT765" s="10"/>
      <c r="FU765" s="10"/>
      <c r="FV765" s="10"/>
      <c r="FW765" s="10"/>
      <c r="FX765" s="10"/>
      <c r="FY765" s="10"/>
      <c r="FZ765" s="10"/>
      <c r="GA765" s="10"/>
      <c r="GB765" s="10"/>
      <c r="GC765" s="10"/>
      <c r="GD765" s="10"/>
      <c r="GE765" s="10"/>
      <c r="GF765" s="10"/>
      <c r="GG765" s="10"/>
      <c r="GH765" s="10"/>
      <c r="GI765" s="10"/>
      <c r="GJ765" s="10"/>
      <c r="GK765" s="10"/>
    </row>
    <row r="766" customFormat="false" ht="12.75" hidden="false" customHeight="false" outlineLevel="0" collapsed="false">
      <c r="A766" s="7"/>
      <c r="B766" s="7"/>
      <c r="C766" s="8"/>
      <c r="D766" s="8"/>
      <c r="E766" s="8"/>
      <c r="F766" s="8"/>
      <c r="G766" s="9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  <c r="BO766" s="10"/>
      <c r="BP766" s="10"/>
      <c r="BQ766" s="10"/>
      <c r="BR766" s="10"/>
      <c r="BS766" s="10"/>
      <c r="BT766" s="10"/>
      <c r="BU766" s="10"/>
      <c r="BV766" s="10"/>
      <c r="BW766" s="10"/>
      <c r="BX766" s="10"/>
      <c r="BY766" s="10"/>
      <c r="BZ766" s="10"/>
      <c r="CA766" s="10"/>
      <c r="CB766" s="10"/>
      <c r="CC766" s="10"/>
      <c r="CD766" s="10"/>
      <c r="CE766" s="10"/>
      <c r="CF766" s="10"/>
      <c r="CG766" s="10"/>
      <c r="CH766" s="10"/>
      <c r="CI766" s="10"/>
      <c r="CJ766" s="10"/>
      <c r="CK766" s="10"/>
      <c r="CL766" s="10"/>
      <c r="CM766" s="10"/>
      <c r="CN766" s="10"/>
      <c r="CO766" s="10"/>
      <c r="CP766" s="10"/>
      <c r="CQ766" s="10"/>
      <c r="CR766" s="10"/>
      <c r="CS766" s="10"/>
      <c r="CT766" s="10"/>
      <c r="CU766" s="10"/>
      <c r="CV766" s="10"/>
      <c r="CW766" s="10"/>
      <c r="CX766" s="10"/>
      <c r="CY766" s="10"/>
      <c r="CZ766" s="10"/>
      <c r="DA766" s="10"/>
      <c r="DB766" s="10"/>
      <c r="DC766" s="10"/>
      <c r="DD766" s="10"/>
      <c r="DE766" s="10"/>
      <c r="DF766" s="10"/>
      <c r="DG766" s="10"/>
      <c r="DH766" s="10"/>
      <c r="DI766" s="10"/>
      <c r="DJ766" s="10"/>
      <c r="DK766" s="10"/>
      <c r="DL766" s="10"/>
      <c r="DM766" s="10"/>
      <c r="DN766" s="10"/>
      <c r="DO766" s="10"/>
      <c r="DP766" s="10"/>
      <c r="DQ766" s="10"/>
      <c r="DR766" s="10"/>
      <c r="DS766" s="10"/>
      <c r="DT766" s="10"/>
      <c r="DU766" s="10"/>
      <c r="DV766" s="10"/>
      <c r="DW766" s="10"/>
      <c r="DX766" s="10"/>
      <c r="DY766" s="10"/>
      <c r="DZ766" s="10"/>
      <c r="EA766" s="10"/>
      <c r="EB766" s="10"/>
      <c r="EC766" s="10"/>
      <c r="ED766" s="10"/>
      <c r="EE766" s="10"/>
      <c r="EF766" s="10"/>
      <c r="EG766" s="10"/>
      <c r="EH766" s="10"/>
      <c r="EI766" s="10"/>
      <c r="EJ766" s="10"/>
      <c r="EK766" s="10"/>
      <c r="EL766" s="10"/>
      <c r="EM766" s="10"/>
      <c r="EN766" s="10"/>
      <c r="EO766" s="10"/>
      <c r="EP766" s="10"/>
      <c r="EQ766" s="10"/>
      <c r="ER766" s="10"/>
      <c r="ES766" s="10"/>
      <c r="ET766" s="10"/>
      <c r="EU766" s="10"/>
      <c r="EV766" s="10"/>
      <c r="EW766" s="10"/>
      <c r="EX766" s="10"/>
      <c r="EY766" s="10"/>
      <c r="EZ766" s="10"/>
      <c r="FA766" s="10"/>
      <c r="FB766" s="10"/>
      <c r="FC766" s="10"/>
      <c r="FD766" s="10"/>
      <c r="FE766" s="10"/>
      <c r="FF766" s="10"/>
      <c r="FG766" s="10"/>
      <c r="FH766" s="10"/>
      <c r="FI766" s="10"/>
      <c r="FJ766" s="10"/>
      <c r="FK766" s="10"/>
      <c r="FL766" s="10"/>
      <c r="FM766" s="10"/>
      <c r="FN766" s="10"/>
      <c r="FO766" s="10"/>
      <c r="FP766" s="10"/>
      <c r="FQ766" s="10"/>
      <c r="FR766" s="10"/>
      <c r="FS766" s="10"/>
      <c r="FT766" s="10"/>
      <c r="FU766" s="10"/>
      <c r="FV766" s="10"/>
      <c r="FW766" s="10"/>
      <c r="FX766" s="10"/>
      <c r="FY766" s="10"/>
      <c r="FZ766" s="10"/>
      <c r="GA766" s="10"/>
      <c r="GB766" s="10"/>
      <c r="GC766" s="10"/>
      <c r="GD766" s="10"/>
      <c r="GE766" s="10"/>
      <c r="GF766" s="10"/>
      <c r="GG766" s="10"/>
      <c r="GH766" s="10"/>
      <c r="GI766" s="10"/>
      <c r="GJ766" s="10"/>
      <c r="GK766" s="10"/>
    </row>
    <row r="767" customFormat="false" ht="12.75" hidden="false" customHeight="false" outlineLevel="0" collapsed="false">
      <c r="A767" s="7"/>
      <c r="B767" s="7"/>
      <c r="C767" s="8"/>
      <c r="D767" s="8"/>
      <c r="E767" s="8"/>
      <c r="F767" s="8"/>
      <c r="G767" s="9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0"/>
      <c r="BP767" s="10"/>
      <c r="BQ767" s="10"/>
      <c r="BR767" s="10"/>
      <c r="BS767" s="10"/>
      <c r="BT767" s="10"/>
      <c r="BU767" s="10"/>
      <c r="BV767" s="10"/>
      <c r="BW767" s="10"/>
      <c r="BX767" s="10"/>
      <c r="BY767" s="10"/>
      <c r="BZ767" s="10"/>
      <c r="CA767" s="10"/>
      <c r="CB767" s="10"/>
      <c r="CC767" s="10"/>
      <c r="CD767" s="10"/>
      <c r="CE767" s="10"/>
      <c r="CF767" s="10"/>
      <c r="CG767" s="10"/>
      <c r="CH767" s="10"/>
      <c r="CI767" s="10"/>
      <c r="CJ767" s="10"/>
      <c r="CK767" s="10"/>
      <c r="CL767" s="10"/>
      <c r="CM767" s="10"/>
      <c r="CN767" s="10"/>
      <c r="CO767" s="10"/>
      <c r="CP767" s="10"/>
      <c r="CQ767" s="10"/>
      <c r="CR767" s="10"/>
      <c r="CS767" s="10"/>
      <c r="CT767" s="10"/>
      <c r="CU767" s="10"/>
      <c r="CV767" s="10"/>
      <c r="CW767" s="10"/>
      <c r="CX767" s="10"/>
      <c r="CY767" s="10"/>
      <c r="CZ767" s="10"/>
      <c r="DA767" s="10"/>
      <c r="DB767" s="10"/>
      <c r="DC767" s="10"/>
      <c r="DD767" s="10"/>
      <c r="DE767" s="10"/>
      <c r="DF767" s="10"/>
      <c r="DG767" s="10"/>
      <c r="DH767" s="10"/>
      <c r="DI767" s="10"/>
      <c r="DJ767" s="10"/>
      <c r="DK767" s="10"/>
      <c r="DL767" s="10"/>
      <c r="DM767" s="10"/>
      <c r="DN767" s="10"/>
      <c r="DO767" s="10"/>
      <c r="DP767" s="10"/>
      <c r="DQ767" s="10"/>
      <c r="DR767" s="10"/>
      <c r="DS767" s="10"/>
      <c r="DT767" s="10"/>
      <c r="DU767" s="10"/>
      <c r="DV767" s="10"/>
      <c r="DW767" s="10"/>
      <c r="DX767" s="10"/>
      <c r="DY767" s="10"/>
      <c r="DZ767" s="10"/>
      <c r="EA767" s="10"/>
      <c r="EB767" s="10"/>
      <c r="EC767" s="10"/>
      <c r="ED767" s="10"/>
      <c r="EE767" s="10"/>
      <c r="EF767" s="10"/>
      <c r="EG767" s="10"/>
      <c r="EH767" s="10"/>
      <c r="EI767" s="10"/>
      <c r="EJ767" s="10"/>
      <c r="EK767" s="10"/>
      <c r="EL767" s="10"/>
      <c r="EM767" s="10"/>
      <c r="EN767" s="10"/>
      <c r="EO767" s="10"/>
      <c r="EP767" s="10"/>
      <c r="EQ767" s="10"/>
      <c r="ER767" s="10"/>
      <c r="ES767" s="10"/>
      <c r="ET767" s="10"/>
      <c r="EU767" s="10"/>
      <c r="EV767" s="10"/>
      <c r="EW767" s="10"/>
      <c r="EX767" s="10"/>
      <c r="EY767" s="10"/>
      <c r="EZ767" s="10"/>
      <c r="FA767" s="10"/>
      <c r="FB767" s="10"/>
      <c r="FC767" s="10"/>
      <c r="FD767" s="10"/>
      <c r="FE767" s="10"/>
      <c r="FF767" s="10"/>
      <c r="FG767" s="10"/>
      <c r="FH767" s="10"/>
      <c r="FI767" s="10"/>
      <c r="FJ767" s="10"/>
      <c r="FK767" s="10"/>
      <c r="FL767" s="10"/>
      <c r="FM767" s="10"/>
      <c r="FN767" s="10"/>
      <c r="FO767" s="10"/>
      <c r="FP767" s="10"/>
      <c r="FQ767" s="10"/>
      <c r="FR767" s="10"/>
      <c r="FS767" s="10"/>
      <c r="FT767" s="10"/>
      <c r="FU767" s="10"/>
      <c r="FV767" s="10"/>
      <c r="FW767" s="10"/>
      <c r="FX767" s="10"/>
      <c r="FY767" s="10"/>
      <c r="FZ767" s="10"/>
      <c r="GA767" s="10"/>
      <c r="GB767" s="10"/>
      <c r="GC767" s="10"/>
      <c r="GD767" s="10"/>
      <c r="GE767" s="10"/>
      <c r="GF767" s="10"/>
      <c r="GG767" s="10"/>
      <c r="GH767" s="10"/>
      <c r="GI767" s="10"/>
      <c r="GJ767" s="10"/>
      <c r="GK767" s="10"/>
    </row>
    <row r="768" customFormat="false" ht="12.75" hidden="false" customHeight="false" outlineLevel="0" collapsed="false">
      <c r="A768" s="7"/>
      <c r="B768" s="7"/>
      <c r="C768" s="8"/>
      <c r="D768" s="8"/>
      <c r="E768" s="8"/>
      <c r="F768" s="8"/>
      <c r="G768" s="9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  <c r="BR768" s="10"/>
      <c r="BS768" s="10"/>
      <c r="BT768" s="10"/>
      <c r="BU768" s="10"/>
      <c r="BV768" s="10"/>
      <c r="BW768" s="10"/>
      <c r="BX768" s="10"/>
      <c r="BY768" s="10"/>
      <c r="BZ768" s="10"/>
      <c r="CA768" s="10"/>
      <c r="CB768" s="10"/>
      <c r="CC768" s="10"/>
      <c r="CD768" s="10"/>
      <c r="CE768" s="10"/>
      <c r="CF768" s="10"/>
      <c r="CG768" s="10"/>
      <c r="CH768" s="10"/>
      <c r="CI768" s="10"/>
      <c r="CJ768" s="10"/>
      <c r="CK768" s="10"/>
      <c r="CL768" s="10"/>
      <c r="CM768" s="10"/>
      <c r="CN768" s="10"/>
      <c r="CO768" s="10"/>
      <c r="CP768" s="10"/>
      <c r="CQ768" s="10"/>
      <c r="CR768" s="10"/>
      <c r="CS768" s="10"/>
      <c r="CT768" s="10"/>
      <c r="CU768" s="10"/>
      <c r="CV768" s="10"/>
      <c r="CW768" s="10"/>
      <c r="CX768" s="10"/>
      <c r="CY768" s="10"/>
      <c r="CZ768" s="10"/>
      <c r="DA768" s="10"/>
      <c r="DB768" s="10"/>
      <c r="DC768" s="10"/>
      <c r="DD768" s="10"/>
      <c r="DE768" s="10"/>
      <c r="DF768" s="10"/>
      <c r="DG768" s="10"/>
      <c r="DH768" s="10"/>
      <c r="DI768" s="10"/>
      <c r="DJ768" s="10"/>
      <c r="DK768" s="10"/>
      <c r="DL768" s="10"/>
      <c r="DM768" s="10"/>
      <c r="DN768" s="10"/>
      <c r="DO768" s="10"/>
      <c r="DP768" s="10"/>
      <c r="DQ768" s="10"/>
      <c r="DR768" s="10"/>
      <c r="DS768" s="10"/>
      <c r="DT768" s="10"/>
      <c r="DU768" s="10"/>
      <c r="DV768" s="10"/>
      <c r="DW768" s="10"/>
      <c r="DX768" s="10"/>
      <c r="DY768" s="10"/>
      <c r="DZ768" s="10"/>
      <c r="EA768" s="10"/>
      <c r="EB768" s="10"/>
      <c r="EC768" s="10"/>
      <c r="ED768" s="10"/>
      <c r="EE768" s="10"/>
      <c r="EF768" s="10"/>
      <c r="EG768" s="10"/>
      <c r="EH768" s="10"/>
      <c r="EI768" s="10"/>
      <c r="EJ768" s="10"/>
      <c r="EK768" s="10"/>
      <c r="EL768" s="10"/>
      <c r="EM768" s="10"/>
      <c r="EN768" s="10"/>
      <c r="EO768" s="10"/>
      <c r="EP768" s="10"/>
      <c r="EQ768" s="10"/>
      <c r="ER768" s="10"/>
      <c r="ES768" s="10"/>
      <c r="ET768" s="10"/>
      <c r="EU768" s="10"/>
      <c r="EV768" s="10"/>
      <c r="EW768" s="10"/>
      <c r="EX768" s="10"/>
      <c r="EY768" s="10"/>
      <c r="EZ768" s="10"/>
      <c r="FA768" s="10"/>
      <c r="FB768" s="10"/>
      <c r="FC768" s="10"/>
      <c r="FD768" s="10"/>
      <c r="FE768" s="10"/>
      <c r="FF768" s="10"/>
      <c r="FG768" s="10"/>
      <c r="FH768" s="10"/>
      <c r="FI768" s="10"/>
      <c r="FJ768" s="10"/>
      <c r="FK768" s="10"/>
      <c r="FL768" s="10"/>
      <c r="FM768" s="10"/>
      <c r="FN768" s="10"/>
      <c r="FO768" s="10"/>
      <c r="FP768" s="10"/>
      <c r="FQ768" s="10"/>
      <c r="FR768" s="10"/>
      <c r="FS768" s="10"/>
      <c r="FT768" s="10"/>
      <c r="FU768" s="10"/>
      <c r="FV768" s="10"/>
      <c r="FW768" s="10"/>
      <c r="FX768" s="10"/>
      <c r="FY768" s="10"/>
      <c r="FZ768" s="10"/>
      <c r="GA768" s="10"/>
      <c r="GB768" s="10"/>
      <c r="GC768" s="10"/>
      <c r="GD768" s="10"/>
      <c r="GE768" s="10"/>
      <c r="GF768" s="10"/>
      <c r="GG768" s="10"/>
      <c r="GH768" s="10"/>
      <c r="GI768" s="10"/>
      <c r="GJ768" s="10"/>
      <c r="GK768" s="10"/>
    </row>
    <row r="769" customFormat="false" ht="12.75" hidden="false" customHeight="false" outlineLevel="0" collapsed="false">
      <c r="A769" s="7"/>
      <c r="B769" s="7"/>
      <c r="C769" s="8"/>
      <c r="D769" s="8"/>
      <c r="E769" s="8"/>
      <c r="F769" s="8"/>
      <c r="G769" s="9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0"/>
      <c r="BP769" s="10"/>
      <c r="BQ769" s="10"/>
      <c r="BR769" s="10"/>
      <c r="BS769" s="10"/>
      <c r="BT769" s="10"/>
      <c r="BU769" s="10"/>
      <c r="BV769" s="10"/>
      <c r="BW769" s="10"/>
      <c r="BX769" s="10"/>
      <c r="BY769" s="10"/>
      <c r="BZ769" s="10"/>
      <c r="CA769" s="10"/>
      <c r="CB769" s="10"/>
      <c r="CC769" s="10"/>
      <c r="CD769" s="10"/>
      <c r="CE769" s="10"/>
      <c r="CF769" s="10"/>
      <c r="CG769" s="10"/>
      <c r="CH769" s="10"/>
      <c r="CI769" s="10"/>
      <c r="CJ769" s="10"/>
      <c r="CK769" s="10"/>
      <c r="CL769" s="10"/>
      <c r="CM769" s="10"/>
      <c r="CN769" s="10"/>
      <c r="CO769" s="10"/>
      <c r="CP769" s="10"/>
      <c r="CQ769" s="10"/>
      <c r="CR769" s="10"/>
      <c r="CS769" s="10"/>
      <c r="CT769" s="10"/>
      <c r="CU769" s="10"/>
      <c r="CV769" s="10"/>
      <c r="CW769" s="10"/>
      <c r="CX769" s="10"/>
      <c r="CY769" s="10"/>
      <c r="CZ769" s="10"/>
      <c r="DA769" s="10"/>
      <c r="DB769" s="10"/>
      <c r="DC769" s="10"/>
      <c r="DD769" s="10"/>
      <c r="DE769" s="10"/>
      <c r="DF769" s="10"/>
      <c r="DG769" s="10"/>
      <c r="DH769" s="10"/>
      <c r="DI769" s="10"/>
      <c r="DJ769" s="10"/>
      <c r="DK769" s="10"/>
      <c r="DL769" s="10"/>
      <c r="DM769" s="10"/>
      <c r="DN769" s="10"/>
      <c r="DO769" s="10"/>
      <c r="DP769" s="10"/>
      <c r="DQ769" s="10"/>
      <c r="DR769" s="10"/>
      <c r="DS769" s="10"/>
      <c r="DT769" s="10"/>
      <c r="DU769" s="10"/>
      <c r="DV769" s="10"/>
      <c r="DW769" s="10"/>
      <c r="DX769" s="10"/>
      <c r="DY769" s="10"/>
      <c r="DZ769" s="10"/>
      <c r="EA769" s="10"/>
      <c r="EB769" s="10"/>
      <c r="EC769" s="10"/>
      <c r="ED769" s="10"/>
      <c r="EE769" s="10"/>
      <c r="EF769" s="10"/>
      <c r="EG769" s="10"/>
      <c r="EH769" s="10"/>
      <c r="EI769" s="10"/>
      <c r="EJ769" s="10"/>
      <c r="EK769" s="10"/>
      <c r="EL769" s="10"/>
      <c r="EM769" s="10"/>
      <c r="EN769" s="10"/>
      <c r="EO769" s="10"/>
      <c r="EP769" s="10"/>
      <c r="EQ769" s="10"/>
      <c r="ER769" s="10"/>
      <c r="ES769" s="10"/>
      <c r="ET769" s="10"/>
      <c r="EU769" s="10"/>
      <c r="EV769" s="10"/>
      <c r="EW769" s="10"/>
      <c r="EX769" s="10"/>
      <c r="EY769" s="10"/>
      <c r="EZ769" s="10"/>
      <c r="FA769" s="10"/>
      <c r="FB769" s="10"/>
      <c r="FC769" s="10"/>
      <c r="FD769" s="10"/>
      <c r="FE769" s="10"/>
      <c r="FF769" s="10"/>
      <c r="FG769" s="10"/>
      <c r="FH769" s="10"/>
      <c r="FI769" s="10"/>
      <c r="FJ769" s="10"/>
      <c r="FK769" s="10"/>
      <c r="FL769" s="10"/>
      <c r="FM769" s="10"/>
      <c r="FN769" s="10"/>
      <c r="FO769" s="10"/>
      <c r="FP769" s="10"/>
      <c r="FQ769" s="10"/>
      <c r="FR769" s="10"/>
      <c r="FS769" s="10"/>
      <c r="FT769" s="10"/>
      <c r="FU769" s="10"/>
      <c r="FV769" s="10"/>
      <c r="FW769" s="10"/>
      <c r="FX769" s="10"/>
      <c r="FY769" s="10"/>
      <c r="FZ769" s="10"/>
      <c r="GA769" s="10"/>
      <c r="GB769" s="10"/>
      <c r="GC769" s="10"/>
      <c r="GD769" s="10"/>
      <c r="GE769" s="10"/>
      <c r="GF769" s="10"/>
      <c r="GG769" s="10"/>
      <c r="GH769" s="10"/>
      <c r="GI769" s="10"/>
      <c r="GJ769" s="10"/>
      <c r="GK769" s="10"/>
    </row>
    <row r="770" customFormat="false" ht="12.75" hidden="false" customHeight="false" outlineLevel="0" collapsed="false">
      <c r="A770" s="7"/>
      <c r="B770" s="7"/>
      <c r="C770" s="8"/>
      <c r="D770" s="8"/>
      <c r="E770" s="8"/>
      <c r="F770" s="8"/>
      <c r="G770" s="9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10"/>
      <c r="BP770" s="10"/>
      <c r="BQ770" s="10"/>
      <c r="BR770" s="10"/>
      <c r="BS770" s="10"/>
      <c r="BT770" s="10"/>
      <c r="BU770" s="10"/>
      <c r="BV770" s="10"/>
      <c r="BW770" s="10"/>
      <c r="BX770" s="10"/>
      <c r="BY770" s="10"/>
      <c r="BZ770" s="10"/>
      <c r="CA770" s="10"/>
      <c r="CB770" s="10"/>
      <c r="CC770" s="10"/>
      <c r="CD770" s="10"/>
      <c r="CE770" s="10"/>
      <c r="CF770" s="10"/>
      <c r="CG770" s="10"/>
      <c r="CH770" s="10"/>
      <c r="CI770" s="10"/>
      <c r="CJ770" s="10"/>
      <c r="CK770" s="10"/>
      <c r="CL770" s="10"/>
      <c r="CM770" s="10"/>
      <c r="CN770" s="10"/>
      <c r="CO770" s="10"/>
      <c r="CP770" s="10"/>
      <c r="CQ770" s="10"/>
      <c r="CR770" s="10"/>
      <c r="CS770" s="10"/>
      <c r="CT770" s="10"/>
      <c r="CU770" s="10"/>
      <c r="CV770" s="10"/>
      <c r="CW770" s="10"/>
      <c r="CX770" s="10"/>
      <c r="CY770" s="10"/>
      <c r="CZ770" s="10"/>
      <c r="DA770" s="10"/>
      <c r="DB770" s="10"/>
      <c r="DC770" s="10"/>
      <c r="DD770" s="10"/>
      <c r="DE770" s="10"/>
      <c r="DF770" s="10"/>
      <c r="DG770" s="10"/>
      <c r="DH770" s="10"/>
      <c r="DI770" s="10"/>
      <c r="DJ770" s="10"/>
      <c r="DK770" s="10"/>
      <c r="DL770" s="10"/>
      <c r="DM770" s="10"/>
      <c r="DN770" s="10"/>
      <c r="DO770" s="10"/>
      <c r="DP770" s="10"/>
      <c r="DQ770" s="10"/>
      <c r="DR770" s="10"/>
      <c r="DS770" s="10"/>
      <c r="DT770" s="10"/>
      <c r="DU770" s="10"/>
      <c r="DV770" s="10"/>
      <c r="DW770" s="10"/>
      <c r="DX770" s="10"/>
      <c r="DY770" s="10"/>
      <c r="DZ770" s="10"/>
      <c r="EA770" s="10"/>
      <c r="EB770" s="10"/>
      <c r="EC770" s="10"/>
      <c r="ED770" s="10"/>
      <c r="EE770" s="10"/>
      <c r="EF770" s="10"/>
      <c r="EG770" s="10"/>
      <c r="EH770" s="10"/>
      <c r="EI770" s="10"/>
      <c r="EJ770" s="10"/>
      <c r="EK770" s="10"/>
      <c r="EL770" s="10"/>
      <c r="EM770" s="10"/>
      <c r="EN770" s="10"/>
      <c r="EO770" s="10"/>
      <c r="EP770" s="10"/>
      <c r="EQ770" s="10"/>
      <c r="ER770" s="10"/>
      <c r="ES770" s="10"/>
      <c r="ET770" s="10"/>
      <c r="EU770" s="10"/>
      <c r="EV770" s="10"/>
      <c r="EW770" s="10"/>
      <c r="EX770" s="10"/>
      <c r="EY770" s="10"/>
      <c r="EZ770" s="10"/>
      <c r="FA770" s="10"/>
      <c r="FB770" s="10"/>
      <c r="FC770" s="10"/>
      <c r="FD770" s="10"/>
      <c r="FE770" s="10"/>
      <c r="FF770" s="10"/>
      <c r="FG770" s="10"/>
      <c r="FH770" s="10"/>
      <c r="FI770" s="10"/>
      <c r="FJ770" s="10"/>
      <c r="FK770" s="10"/>
      <c r="FL770" s="10"/>
      <c r="FM770" s="10"/>
      <c r="FN770" s="10"/>
      <c r="FO770" s="10"/>
      <c r="FP770" s="10"/>
      <c r="FQ770" s="10"/>
      <c r="FR770" s="10"/>
      <c r="FS770" s="10"/>
      <c r="FT770" s="10"/>
      <c r="FU770" s="10"/>
      <c r="FV770" s="10"/>
      <c r="FW770" s="10"/>
      <c r="FX770" s="10"/>
      <c r="FY770" s="10"/>
      <c r="FZ770" s="10"/>
      <c r="GA770" s="10"/>
      <c r="GB770" s="10"/>
      <c r="GC770" s="10"/>
      <c r="GD770" s="10"/>
      <c r="GE770" s="10"/>
      <c r="GF770" s="10"/>
      <c r="GG770" s="10"/>
      <c r="GH770" s="10"/>
      <c r="GI770" s="10"/>
      <c r="GJ770" s="10"/>
      <c r="GK770" s="10"/>
    </row>
    <row r="771" customFormat="false" ht="12.75" hidden="false" customHeight="false" outlineLevel="0" collapsed="false">
      <c r="A771" s="7"/>
      <c r="B771" s="7"/>
      <c r="C771" s="8"/>
      <c r="D771" s="8"/>
      <c r="E771" s="8"/>
      <c r="F771" s="8"/>
      <c r="G771" s="9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0"/>
      <c r="BP771" s="10"/>
      <c r="BQ771" s="10"/>
      <c r="BR771" s="10"/>
      <c r="BS771" s="10"/>
      <c r="BT771" s="10"/>
      <c r="BU771" s="10"/>
      <c r="BV771" s="10"/>
      <c r="BW771" s="10"/>
      <c r="BX771" s="10"/>
      <c r="BY771" s="10"/>
      <c r="BZ771" s="10"/>
      <c r="CA771" s="10"/>
      <c r="CB771" s="10"/>
      <c r="CC771" s="10"/>
      <c r="CD771" s="10"/>
      <c r="CE771" s="10"/>
      <c r="CF771" s="10"/>
      <c r="CG771" s="10"/>
      <c r="CH771" s="10"/>
      <c r="CI771" s="10"/>
      <c r="CJ771" s="10"/>
      <c r="CK771" s="10"/>
      <c r="CL771" s="10"/>
      <c r="CM771" s="10"/>
      <c r="CN771" s="10"/>
      <c r="CO771" s="10"/>
      <c r="CP771" s="10"/>
      <c r="CQ771" s="10"/>
      <c r="CR771" s="10"/>
      <c r="CS771" s="10"/>
      <c r="CT771" s="10"/>
      <c r="CU771" s="10"/>
      <c r="CV771" s="10"/>
      <c r="CW771" s="10"/>
      <c r="CX771" s="10"/>
      <c r="CY771" s="10"/>
      <c r="CZ771" s="10"/>
      <c r="DA771" s="10"/>
      <c r="DB771" s="10"/>
      <c r="DC771" s="10"/>
      <c r="DD771" s="10"/>
      <c r="DE771" s="10"/>
      <c r="DF771" s="10"/>
      <c r="DG771" s="10"/>
      <c r="DH771" s="10"/>
      <c r="DI771" s="10"/>
      <c r="DJ771" s="10"/>
      <c r="DK771" s="10"/>
      <c r="DL771" s="10"/>
      <c r="DM771" s="10"/>
      <c r="DN771" s="10"/>
      <c r="DO771" s="10"/>
      <c r="DP771" s="10"/>
      <c r="DQ771" s="10"/>
      <c r="DR771" s="10"/>
      <c r="DS771" s="10"/>
      <c r="DT771" s="10"/>
      <c r="DU771" s="10"/>
      <c r="DV771" s="10"/>
      <c r="DW771" s="10"/>
      <c r="DX771" s="10"/>
      <c r="DY771" s="10"/>
      <c r="DZ771" s="10"/>
      <c r="EA771" s="10"/>
      <c r="EB771" s="10"/>
      <c r="EC771" s="10"/>
      <c r="ED771" s="10"/>
      <c r="EE771" s="10"/>
      <c r="EF771" s="10"/>
      <c r="EG771" s="10"/>
      <c r="EH771" s="10"/>
      <c r="EI771" s="10"/>
      <c r="EJ771" s="10"/>
      <c r="EK771" s="10"/>
      <c r="EL771" s="10"/>
      <c r="EM771" s="10"/>
      <c r="EN771" s="10"/>
      <c r="EO771" s="10"/>
      <c r="EP771" s="10"/>
      <c r="EQ771" s="10"/>
      <c r="ER771" s="10"/>
      <c r="ES771" s="10"/>
      <c r="ET771" s="10"/>
      <c r="EU771" s="10"/>
      <c r="EV771" s="10"/>
      <c r="EW771" s="10"/>
      <c r="EX771" s="10"/>
      <c r="EY771" s="10"/>
      <c r="EZ771" s="10"/>
      <c r="FA771" s="10"/>
      <c r="FB771" s="10"/>
      <c r="FC771" s="10"/>
      <c r="FD771" s="10"/>
      <c r="FE771" s="10"/>
      <c r="FF771" s="10"/>
      <c r="FG771" s="10"/>
      <c r="FH771" s="10"/>
      <c r="FI771" s="10"/>
      <c r="FJ771" s="10"/>
      <c r="FK771" s="10"/>
      <c r="FL771" s="10"/>
      <c r="FM771" s="10"/>
      <c r="FN771" s="10"/>
      <c r="FO771" s="10"/>
      <c r="FP771" s="10"/>
      <c r="FQ771" s="10"/>
      <c r="FR771" s="10"/>
      <c r="FS771" s="10"/>
      <c r="FT771" s="10"/>
      <c r="FU771" s="10"/>
      <c r="FV771" s="10"/>
      <c r="FW771" s="10"/>
      <c r="FX771" s="10"/>
      <c r="FY771" s="10"/>
      <c r="FZ771" s="10"/>
      <c r="GA771" s="10"/>
      <c r="GB771" s="10"/>
      <c r="GC771" s="10"/>
      <c r="GD771" s="10"/>
      <c r="GE771" s="10"/>
      <c r="GF771" s="10"/>
      <c r="GG771" s="10"/>
      <c r="GH771" s="10"/>
      <c r="GI771" s="10"/>
      <c r="GJ771" s="10"/>
      <c r="GK771" s="10"/>
    </row>
    <row r="772" customFormat="false" ht="12.75" hidden="false" customHeight="false" outlineLevel="0" collapsed="false">
      <c r="A772" s="7"/>
      <c r="B772" s="7"/>
      <c r="C772" s="8"/>
      <c r="D772" s="8"/>
      <c r="E772" s="8"/>
      <c r="F772" s="8"/>
      <c r="G772" s="9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0"/>
      <c r="BP772" s="10"/>
      <c r="BQ772" s="10"/>
      <c r="BR772" s="10"/>
      <c r="BS772" s="10"/>
      <c r="BT772" s="10"/>
      <c r="BU772" s="10"/>
      <c r="BV772" s="10"/>
      <c r="BW772" s="10"/>
      <c r="BX772" s="10"/>
      <c r="BY772" s="10"/>
      <c r="BZ772" s="10"/>
      <c r="CA772" s="10"/>
      <c r="CB772" s="10"/>
      <c r="CC772" s="10"/>
      <c r="CD772" s="10"/>
      <c r="CE772" s="10"/>
      <c r="CF772" s="10"/>
      <c r="CG772" s="10"/>
      <c r="CH772" s="10"/>
      <c r="CI772" s="10"/>
      <c r="CJ772" s="10"/>
      <c r="CK772" s="10"/>
      <c r="CL772" s="10"/>
      <c r="CM772" s="10"/>
      <c r="CN772" s="10"/>
      <c r="CO772" s="10"/>
      <c r="CP772" s="10"/>
      <c r="CQ772" s="10"/>
      <c r="CR772" s="10"/>
      <c r="CS772" s="10"/>
      <c r="CT772" s="10"/>
      <c r="CU772" s="10"/>
      <c r="CV772" s="10"/>
      <c r="CW772" s="10"/>
      <c r="CX772" s="10"/>
      <c r="CY772" s="10"/>
      <c r="CZ772" s="10"/>
      <c r="DA772" s="10"/>
      <c r="DB772" s="10"/>
      <c r="DC772" s="10"/>
      <c r="DD772" s="10"/>
      <c r="DE772" s="10"/>
      <c r="DF772" s="10"/>
      <c r="DG772" s="10"/>
      <c r="DH772" s="10"/>
      <c r="DI772" s="10"/>
      <c r="DJ772" s="10"/>
      <c r="DK772" s="10"/>
      <c r="DL772" s="10"/>
      <c r="DM772" s="10"/>
      <c r="DN772" s="10"/>
      <c r="DO772" s="10"/>
      <c r="DP772" s="10"/>
      <c r="DQ772" s="10"/>
      <c r="DR772" s="10"/>
      <c r="DS772" s="10"/>
      <c r="DT772" s="10"/>
      <c r="DU772" s="10"/>
      <c r="DV772" s="10"/>
      <c r="DW772" s="10"/>
      <c r="DX772" s="10"/>
      <c r="DY772" s="10"/>
      <c r="DZ772" s="10"/>
      <c r="EA772" s="10"/>
      <c r="EB772" s="10"/>
      <c r="EC772" s="10"/>
      <c r="ED772" s="10"/>
      <c r="EE772" s="10"/>
      <c r="EF772" s="10"/>
      <c r="EG772" s="10"/>
      <c r="EH772" s="10"/>
      <c r="EI772" s="10"/>
      <c r="EJ772" s="10"/>
      <c r="EK772" s="10"/>
      <c r="EL772" s="10"/>
      <c r="EM772" s="10"/>
      <c r="EN772" s="10"/>
      <c r="EO772" s="10"/>
      <c r="EP772" s="10"/>
      <c r="EQ772" s="10"/>
      <c r="ER772" s="10"/>
      <c r="ES772" s="10"/>
      <c r="ET772" s="10"/>
      <c r="EU772" s="10"/>
      <c r="EV772" s="10"/>
      <c r="EW772" s="10"/>
      <c r="EX772" s="10"/>
      <c r="EY772" s="10"/>
      <c r="EZ772" s="10"/>
      <c r="FA772" s="10"/>
      <c r="FB772" s="10"/>
      <c r="FC772" s="10"/>
      <c r="FD772" s="10"/>
      <c r="FE772" s="10"/>
      <c r="FF772" s="10"/>
      <c r="FG772" s="10"/>
      <c r="FH772" s="10"/>
      <c r="FI772" s="10"/>
      <c r="FJ772" s="10"/>
      <c r="FK772" s="10"/>
      <c r="FL772" s="10"/>
      <c r="FM772" s="10"/>
      <c r="FN772" s="10"/>
      <c r="FO772" s="10"/>
      <c r="FP772" s="10"/>
      <c r="FQ772" s="10"/>
      <c r="FR772" s="10"/>
      <c r="FS772" s="10"/>
      <c r="FT772" s="10"/>
      <c r="FU772" s="10"/>
      <c r="FV772" s="10"/>
      <c r="FW772" s="10"/>
      <c r="FX772" s="10"/>
      <c r="FY772" s="10"/>
      <c r="FZ772" s="10"/>
      <c r="GA772" s="10"/>
      <c r="GB772" s="10"/>
      <c r="GC772" s="10"/>
      <c r="GD772" s="10"/>
      <c r="GE772" s="10"/>
      <c r="GF772" s="10"/>
      <c r="GG772" s="10"/>
      <c r="GH772" s="10"/>
      <c r="GI772" s="10"/>
      <c r="GJ772" s="10"/>
      <c r="GK772" s="10"/>
    </row>
    <row r="773" customFormat="false" ht="12.75" hidden="false" customHeight="false" outlineLevel="0" collapsed="false">
      <c r="A773" s="7"/>
      <c r="B773" s="7"/>
      <c r="C773" s="8"/>
      <c r="D773" s="8"/>
      <c r="E773" s="8"/>
      <c r="F773" s="8"/>
      <c r="G773" s="9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10"/>
      <c r="BP773" s="10"/>
      <c r="BQ773" s="10"/>
      <c r="BR773" s="10"/>
      <c r="BS773" s="10"/>
      <c r="BT773" s="10"/>
      <c r="BU773" s="10"/>
      <c r="BV773" s="10"/>
      <c r="BW773" s="10"/>
      <c r="BX773" s="10"/>
      <c r="BY773" s="10"/>
      <c r="BZ773" s="10"/>
      <c r="CA773" s="10"/>
      <c r="CB773" s="10"/>
      <c r="CC773" s="10"/>
      <c r="CD773" s="10"/>
      <c r="CE773" s="10"/>
      <c r="CF773" s="10"/>
      <c r="CG773" s="10"/>
      <c r="CH773" s="10"/>
      <c r="CI773" s="10"/>
      <c r="CJ773" s="10"/>
      <c r="CK773" s="10"/>
      <c r="CL773" s="10"/>
      <c r="CM773" s="10"/>
      <c r="CN773" s="10"/>
      <c r="CO773" s="10"/>
      <c r="CP773" s="10"/>
      <c r="CQ773" s="10"/>
      <c r="CR773" s="10"/>
      <c r="CS773" s="10"/>
      <c r="CT773" s="10"/>
      <c r="CU773" s="10"/>
      <c r="CV773" s="10"/>
      <c r="CW773" s="10"/>
      <c r="CX773" s="10"/>
      <c r="CY773" s="10"/>
      <c r="CZ773" s="10"/>
      <c r="DA773" s="10"/>
      <c r="DB773" s="10"/>
      <c r="DC773" s="10"/>
      <c r="DD773" s="10"/>
      <c r="DE773" s="10"/>
      <c r="DF773" s="10"/>
      <c r="DG773" s="10"/>
      <c r="DH773" s="10"/>
      <c r="DI773" s="10"/>
      <c r="DJ773" s="10"/>
      <c r="DK773" s="10"/>
      <c r="DL773" s="10"/>
      <c r="DM773" s="10"/>
      <c r="DN773" s="10"/>
      <c r="DO773" s="10"/>
      <c r="DP773" s="10"/>
      <c r="DQ773" s="10"/>
      <c r="DR773" s="10"/>
      <c r="DS773" s="10"/>
      <c r="DT773" s="10"/>
      <c r="DU773" s="10"/>
      <c r="DV773" s="10"/>
      <c r="DW773" s="10"/>
      <c r="DX773" s="10"/>
      <c r="DY773" s="10"/>
      <c r="DZ773" s="10"/>
      <c r="EA773" s="10"/>
      <c r="EB773" s="10"/>
      <c r="EC773" s="10"/>
      <c r="ED773" s="10"/>
      <c r="EE773" s="10"/>
      <c r="EF773" s="10"/>
      <c r="EG773" s="10"/>
      <c r="EH773" s="10"/>
      <c r="EI773" s="10"/>
      <c r="EJ773" s="10"/>
      <c r="EK773" s="10"/>
      <c r="EL773" s="10"/>
      <c r="EM773" s="10"/>
      <c r="EN773" s="10"/>
      <c r="EO773" s="10"/>
      <c r="EP773" s="10"/>
      <c r="EQ773" s="10"/>
      <c r="ER773" s="10"/>
      <c r="ES773" s="10"/>
      <c r="ET773" s="10"/>
      <c r="EU773" s="10"/>
      <c r="EV773" s="10"/>
      <c r="EW773" s="10"/>
      <c r="EX773" s="10"/>
      <c r="EY773" s="10"/>
      <c r="EZ773" s="10"/>
      <c r="FA773" s="10"/>
      <c r="FB773" s="10"/>
      <c r="FC773" s="10"/>
      <c r="FD773" s="10"/>
      <c r="FE773" s="10"/>
      <c r="FF773" s="10"/>
      <c r="FG773" s="10"/>
      <c r="FH773" s="10"/>
      <c r="FI773" s="10"/>
      <c r="FJ773" s="10"/>
      <c r="FK773" s="10"/>
      <c r="FL773" s="10"/>
      <c r="FM773" s="10"/>
      <c r="FN773" s="10"/>
      <c r="FO773" s="10"/>
      <c r="FP773" s="10"/>
      <c r="FQ773" s="10"/>
      <c r="FR773" s="10"/>
      <c r="FS773" s="10"/>
      <c r="FT773" s="10"/>
      <c r="FU773" s="10"/>
      <c r="FV773" s="10"/>
      <c r="FW773" s="10"/>
      <c r="FX773" s="10"/>
      <c r="FY773" s="10"/>
      <c r="FZ773" s="10"/>
      <c r="GA773" s="10"/>
      <c r="GB773" s="10"/>
      <c r="GC773" s="10"/>
      <c r="GD773" s="10"/>
      <c r="GE773" s="10"/>
      <c r="GF773" s="10"/>
      <c r="GG773" s="10"/>
      <c r="GH773" s="10"/>
      <c r="GI773" s="10"/>
      <c r="GJ773" s="10"/>
      <c r="GK773" s="10"/>
    </row>
    <row r="774" customFormat="false" ht="12.75" hidden="false" customHeight="false" outlineLevel="0" collapsed="false">
      <c r="A774" s="7"/>
      <c r="B774" s="7"/>
      <c r="C774" s="8"/>
      <c r="D774" s="8"/>
      <c r="E774" s="8"/>
      <c r="F774" s="8"/>
      <c r="G774" s="9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  <c r="BO774" s="10"/>
      <c r="BP774" s="10"/>
      <c r="BQ774" s="10"/>
      <c r="BR774" s="10"/>
      <c r="BS774" s="10"/>
      <c r="BT774" s="10"/>
      <c r="BU774" s="10"/>
      <c r="BV774" s="10"/>
      <c r="BW774" s="10"/>
      <c r="BX774" s="10"/>
      <c r="BY774" s="10"/>
      <c r="BZ774" s="10"/>
      <c r="CA774" s="10"/>
      <c r="CB774" s="10"/>
      <c r="CC774" s="10"/>
      <c r="CD774" s="10"/>
      <c r="CE774" s="10"/>
      <c r="CF774" s="10"/>
      <c r="CG774" s="10"/>
      <c r="CH774" s="10"/>
      <c r="CI774" s="10"/>
      <c r="CJ774" s="10"/>
      <c r="CK774" s="10"/>
      <c r="CL774" s="10"/>
      <c r="CM774" s="10"/>
      <c r="CN774" s="10"/>
      <c r="CO774" s="10"/>
      <c r="CP774" s="10"/>
      <c r="CQ774" s="10"/>
      <c r="CR774" s="10"/>
      <c r="CS774" s="10"/>
      <c r="CT774" s="10"/>
      <c r="CU774" s="10"/>
      <c r="CV774" s="10"/>
      <c r="CW774" s="10"/>
      <c r="CX774" s="10"/>
      <c r="CY774" s="10"/>
      <c r="CZ774" s="10"/>
      <c r="DA774" s="10"/>
      <c r="DB774" s="10"/>
      <c r="DC774" s="10"/>
      <c r="DD774" s="10"/>
      <c r="DE774" s="10"/>
      <c r="DF774" s="10"/>
      <c r="DG774" s="10"/>
      <c r="DH774" s="10"/>
      <c r="DI774" s="10"/>
      <c r="DJ774" s="10"/>
      <c r="DK774" s="10"/>
      <c r="DL774" s="10"/>
      <c r="DM774" s="10"/>
      <c r="DN774" s="10"/>
      <c r="DO774" s="10"/>
      <c r="DP774" s="10"/>
      <c r="DQ774" s="10"/>
      <c r="DR774" s="10"/>
      <c r="DS774" s="10"/>
      <c r="DT774" s="10"/>
      <c r="DU774" s="10"/>
      <c r="DV774" s="10"/>
      <c r="DW774" s="10"/>
      <c r="DX774" s="10"/>
      <c r="DY774" s="10"/>
      <c r="DZ774" s="10"/>
      <c r="EA774" s="10"/>
      <c r="EB774" s="10"/>
      <c r="EC774" s="10"/>
      <c r="ED774" s="10"/>
      <c r="EE774" s="10"/>
      <c r="EF774" s="10"/>
      <c r="EG774" s="10"/>
      <c r="EH774" s="10"/>
      <c r="EI774" s="10"/>
      <c r="EJ774" s="10"/>
      <c r="EK774" s="10"/>
      <c r="EL774" s="10"/>
      <c r="EM774" s="10"/>
      <c r="EN774" s="10"/>
      <c r="EO774" s="10"/>
      <c r="EP774" s="10"/>
      <c r="EQ774" s="10"/>
      <c r="ER774" s="10"/>
      <c r="ES774" s="10"/>
      <c r="ET774" s="10"/>
      <c r="EU774" s="10"/>
      <c r="EV774" s="10"/>
      <c r="EW774" s="10"/>
      <c r="EX774" s="10"/>
      <c r="EY774" s="10"/>
      <c r="EZ774" s="10"/>
      <c r="FA774" s="10"/>
      <c r="FB774" s="10"/>
      <c r="FC774" s="10"/>
      <c r="FD774" s="10"/>
      <c r="FE774" s="10"/>
      <c r="FF774" s="10"/>
      <c r="FG774" s="10"/>
      <c r="FH774" s="10"/>
      <c r="FI774" s="10"/>
      <c r="FJ774" s="10"/>
      <c r="FK774" s="10"/>
      <c r="FL774" s="10"/>
      <c r="FM774" s="10"/>
      <c r="FN774" s="10"/>
      <c r="FO774" s="10"/>
      <c r="FP774" s="10"/>
      <c r="FQ774" s="10"/>
      <c r="FR774" s="10"/>
      <c r="FS774" s="10"/>
      <c r="FT774" s="10"/>
      <c r="FU774" s="10"/>
      <c r="FV774" s="10"/>
      <c r="FW774" s="10"/>
      <c r="FX774" s="10"/>
      <c r="FY774" s="10"/>
      <c r="FZ774" s="10"/>
      <c r="GA774" s="10"/>
      <c r="GB774" s="10"/>
      <c r="GC774" s="10"/>
      <c r="GD774" s="10"/>
      <c r="GE774" s="10"/>
      <c r="GF774" s="10"/>
      <c r="GG774" s="10"/>
      <c r="GH774" s="10"/>
      <c r="GI774" s="10"/>
      <c r="GJ774" s="10"/>
      <c r="GK774" s="10"/>
    </row>
    <row r="775" customFormat="false" ht="12.75" hidden="false" customHeight="false" outlineLevel="0" collapsed="false">
      <c r="A775" s="7"/>
      <c r="B775" s="7"/>
      <c r="C775" s="8"/>
      <c r="D775" s="8"/>
      <c r="E775" s="8"/>
      <c r="F775" s="8"/>
      <c r="G775" s="9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0"/>
      <c r="BP775" s="10"/>
      <c r="BQ775" s="10"/>
      <c r="BR775" s="10"/>
      <c r="BS775" s="10"/>
      <c r="BT775" s="10"/>
      <c r="BU775" s="10"/>
      <c r="BV775" s="10"/>
      <c r="BW775" s="10"/>
      <c r="BX775" s="10"/>
      <c r="BY775" s="10"/>
      <c r="BZ775" s="10"/>
      <c r="CA775" s="10"/>
      <c r="CB775" s="10"/>
      <c r="CC775" s="10"/>
      <c r="CD775" s="10"/>
      <c r="CE775" s="10"/>
      <c r="CF775" s="10"/>
      <c r="CG775" s="10"/>
      <c r="CH775" s="10"/>
      <c r="CI775" s="10"/>
      <c r="CJ775" s="10"/>
      <c r="CK775" s="10"/>
      <c r="CL775" s="10"/>
      <c r="CM775" s="10"/>
      <c r="CN775" s="10"/>
      <c r="CO775" s="10"/>
      <c r="CP775" s="10"/>
      <c r="CQ775" s="10"/>
      <c r="CR775" s="10"/>
      <c r="CS775" s="10"/>
      <c r="CT775" s="10"/>
      <c r="CU775" s="10"/>
      <c r="CV775" s="10"/>
      <c r="CW775" s="10"/>
      <c r="CX775" s="10"/>
      <c r="CY775" s="10"/>
      <c r="CZ775" s="10"/>
      <c r="DA775" s="10"/>
      <c r="DB775" s="10"/>
      <c r="DC775" s="10"/>
      <c r="DD775" s="10"/>
      <c r="DE775" s="10"/>
      <c r="DF775" s="10"/>
      <c r="DG775" s="10"/>
      <c r="DH775" s="10"/>
      <c r="DI775" s="10"/>
      <c r="DJ775" s="10"/>
      <c r="DK775" s="10"/>
      <c r="DL775" s="10"/>
      <c r="DM775" s="10"/>
      <c r="DN775" s="10"/>
      <c r="DO775" s="10"/>
      <c r="DP775" s="10"/>
      <c r="DQ775" s="10"/>
      <c r="DR775" s="10"/>
      <c r="DS775" s="10"/>
      <c r="DT775" s="10"/>
      <c r="DU775" s="10"/>
      <c r="DV775" s="10"/>
      <c r="DW775" s="10"/>
      <c r="DX775" s="10"/>
      <c r="DY775" s="10"/>
      <c r="DZ775" s="10"/>
      <c r="EA775" s="10"/>
      <c r="EB775" s="10"/>
      <c r="EC775" s="10"/>
      <c r="ED775" s="10"/>
      <c r="EE775" s="10"/>
      <c r="EF775" s="10"/>
      <c r="EG775" s="10"/>
      <c r="EH775" s="10"/>
      <c r="EI775" s="10"/>
      <c r="EJ775" s="10"/>
      <c r="EK775" s="10"/>
      <c r="EL775" s="10"/>
      <c r="EM775" s="10"/>
      <c r="EN775" s="10"/>
      <c r="EO775" s="10"/>
      <c r="EP775" s="10"/>
      <c r="EQ775" s="10"/>
      <c r="ER775" s="10"/>
      <c r="ES775" s="10"/>
      <c r="ET775" s="10"/>
      <c r="EU775" s="10"/>
      <c r="EV775" s="10"/>
      <c r="EW775" s="10"/>
      <c r="EX775" s="10"/>
      <c r="EY775" s="10"/>
      <c r="EZ775" s="10"/>
      <c r="FA775" s="10"/>
      <c r="FB775" s="10"/>
      <c r="FC775" s="10"/>
      <c r="FD775" s="10"/>
      <c r="FE775" s="10"/>
      <c r="FF775" s="10"/>
      <c r="FG775" s="10"/>
      <c r="FH775" s="10"/>
      <c r="FI775" s="10"/>
      <c r="FJ775" s="10"/>
      <c r="FK775" s="10"/>
      <c r="FL775" s="10"/>
      <c r="FM775" s="10"/>
      <c r="FN775" s="10"/>
      <c r="FO775" s="10"/>
      <c r="FP775" s="10"/>
      <c r="FQ775" s="10"/>
      <c r="FR775" s="10"/>
      <c r="FS775" s="10"/>
      <c r="FT775" s="10"/>
      <c r="FU775" s="10"/>
      <c r="FV775" s="10"/>
      <c r="FW775" s="10"/>
      <c r="FX775" s="10"/>
      <c r="FY775" s="10"/>
      <c r="FZ775" s="10"/>
      <c r="GA775" s="10"/>
      <c r="GB775" s="10"/>
      <c r="GC775" s="10"/>
      <c r="GD775" s="10"/>
      <c r="GE775" s="10"/>
      <c r="GF775" s="10"/>
      <c r="GG775" s="10"/>
      <c r="GH775" s="10"/>
      <c r="GI775" s="10"/>
      <c r="GJ775" s="10"/>
      <c r="GK775" s="10"/>
    </row>
    <row r="776" customFormat="false" ht="12.75" hidden="false" customHeight="false" outlineLevel="0" collapsed="false">
      <c r="A776" s="7"/>
      <c r="B776" s="7"/>
      <c r="C776" s="8"/>
      <c r="D776" s="8"/>
      <c r="E776" s="8"/>
      <c r="F776" s="8"/>
      <c r="G776" s="9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0"/>
      <c r="BP776" s="10"/>
      <c r="BQ776" s="10"/>
      <c r="BR776" s="10"/>
      <c r="BS776" s="10"/>
      <c r="BT776" s="10"/>
      <c r="BU776" s="10"/>
      <c r="BV776" s="10"/>
      <c r="BW776" s="10"/>
      <c r="BX776" s="10"/>
      <c r="BY776" s="10"/>
      <c r="BZ776" s="10"/>
      <c r="CA776" s="10"/>
      <c r="CB776" s="10"/>
      <c r="CC776" s="10"/>
      <c r="CD776" s="10"/>
      <c r="CE776" s="10"/>
      <c r="CF776" s="10"/>
      <c r="CG776" s="10"/>
      <c r="CH776" s="10"/>
      <c r="CI776" s="10"/>
      <c r="CJ776" s="10"/>
      <c r="CK776" s="10"/>
      <c r="CL776" s="10"/>
      <c r="CM776" s="10"/>
      <c r="CN776" s="10"/>
      <c r="CO776" s="10"/>
      <c r="CP776" s="10"/>
      <c r="CQ776" s="10"/>
      <c r="CR776" s="10"/>
      <c r="CS776" s="10"/>
      <c r="CT776" s="10"/>
      <c r="CU776" s="10"/>
      <c r="CV776" s="10"/>
      <c r="CW776" s="10"/>
      <c r="CX776" s="10"/>
      <c r="CY776" s="10"/>
      <c r="CZ776" s="10"/>
      <c r="DA776" s="10"/>
      <c r="DB776" s="10"/>
      <c r="DC776" s="10"/>
      <c r="DD776" s="10"/>
      <c r="DE776" s="10"/>
      <c r="DF776" s="10"/>
      <c r="DG776" s="10"/>
      <c r="DH776" s="10"/>
      <c r="DI776" s="10"/>
      <c r="DJ776" s="10"/>
      <c r="DK776" s="10"/>
      <c r="DL776" s="10"/>
      <c r="DM776" s="10"/>
      <c r="DN776" s="10"/>
      <c r="DO776" s="10"/>
      <c r="DP776" s="10"/>
      <c r="DQ776" s="10"/>
      <c r="DR776" s="10"/>
      <c r="DS776" s="10"/>
      <c r="DT776" s="10"/>
      <c r="DU776" s="10"/>
      <c r="DV776" s="10"/>
      <c r="DW776" s="10"/>
      <c r="DX776" s="10"/>
      <c r="DY776" s="10"/>
      <c r="DZ776" s="10"/>
      <c r="EA776" s="10"/>
      <c r="EB776" s="10"/>
      <c r="EC776" s="10"/>
      <c r="ED776" s="10"/>
      <c r="EE776" s="10"/>
      <c r="EF776" s="10"/>
      <c r="EG776" s="10"/>
      <c r="EH776" s="10"/>
      <c r="EI776" s="10"/>
      <c r="EJ776" s="10"/>
      <c r="EK776" s="10"/>
      <c r="EL776" s="10"/>
      <c r="EM776" s="10"/>
      <c r="EN776" s="10"/>
      <c r="EO776" s="10"/>
      <c r="EP776" s="10"/>
      <c r="EQ776" s="10"/>
      <c r="ER776" s="10"/>
      <c r="ES776" s="10"/>
      <c r="ET776" s="10"/>
      <c r="EU776" s="10"/>
      <c r="EV776" s="10"/>
      <c r="EW776" s="10"/>
      <c r="EX776" s="10"/>
      <c r="EY776" s="10"/>
      <c r="EZ776" s="10"/>
      <c r="FA776" s="10"/>
      <c r="FB776" s="10"/>
      <c r="FC776" s="10"/>
      <c r="FD776" s="10"/>
      <c r="FE776" s="10"/>
      <c r="FF776" s="10"/>
      <c r="FG776" s="10"/>
      <c r="FH776" s="10"/>
      <c r="FI776" s="10"/>
      <c r="FJ776" s="10"/>
      <c r="FK776" s="10"/>
      <c r="FL776" s="10"/>
      <c r="FM776" s="10"/>
      <c r="FN776" s="10"/>
      <c r="FO776" s="10"/>
      <c r="FP776" s="10"/>
      <c r="FQ776" s="10"/>
      <c r="FR776" s="10"/>
      <c r="FS776" s="10"/>
      <c r="FT776" s="10"/>
      <c r="FU776" s="10"/>
      <c r="FV776" s="10"/>
      <c r="FW776" s="10"/>
      <c r="FX776" s="10"/>
      <c r="FY776" s="10"/>
      <c r="FZ776" s="10"/>
      <c r="GA776" s="10"/>
      <c r="GB776" s="10"/>
      <c r="GC776" s="10"/>
      <c r="GD776" s="10"/>
      <c r="GE776" s="10"/>
      <c r="GF776" s="10"/>
      <c r="GG776" s="10"/>
      <c r="GH776" s="10"/>
      <c r="GI776" s="10"/>
      <c r="GJ776" s="10"/>
      <c r="GK776" s="10"/>
    </row>
    <row r="777" customFormat="false" ht="12.75" hidden="false" customHeight="false" outlineLevel="0" collapsed="false">
      <c r="A777" s="7"/>
      <c r="B777" s="7"/>
      <c r="C777" s="8"/>
      <c r="D777" s="8"/>
      <c r="E777" s="8"/>
      <c r="F777" s="8"/>
      <c r="G777" s="9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0"/>
      <c r="BP777" s="10"/>
      <c r="BQ777" s="10"/>
      <c r="BR777" s="10"/>
      <c r="BS777" s="10"/>
      <c r="BT777" s="10"/>
      <c r="BU777" s="10"/>
      <c r="BV777" s="10"/>
      <c r="BW777" s="10"/>
      <c r="BX777" s="10"/>
      <c r="BY777" s="10"/>
      <c r="BZ777" s="10"/>
      <c r="CA777" s="10"/>
      <c r="CB777" s="10"/>
      <c r="CC777" s="10"/>
      <c r="CD777" s="10"/>
      <c r="CE777" s="10"/>
      <c r="CF777" s="10"/>
      <c r="CG777" s="10"/>
      <c r="CH777" s="10"/>
      <c r="CI777" s="10"/>
      <c r="CJ777" s="10"/>
      <c r="CK777" s="10"/>
      <c r="CL777" s="10"/>
      <c r="CM777" s="10"/>
      <c r="CN777" s="10"/>
      <c r="CO777" s="10"/>
      <c r="CP777" s="10"/>
      <c r="CQ777" s="10"/>
      <c r="CR777" s="10"/>
      <c r="CS777" s="10"/>
      <c r="CT777" s="10"/>
      <c r="CU777" s="10"/>
      <c r="CV777" s="10"/>
      <c r="CW777" s="10"/>
      <c r="CX777" s="10"/>
      <c r="CY777" s="10"/>
      <c r="CZ777" s="10"/>
      <c r="DA777" s="10"/>
      <c r="DB777" s="10"/>
      <c r="DC777" s="10"/>
      <c r="DD777" s="10"/>
      <c r="DE777" s="10"/>
      <c r="DF777" s="10"/>
      <c r="DG777" s="10"/>
      <c r="DH777" s="10"/>
      <c r="DI777" s="10"/>
      <c r="DJ777" s="10"/>
      <c r="DK777" s="10"/>
      <c r="DL777" s="10"/>
      <c r="DM777" s="10"/>
      <c r="DN777" s="10"/>
      <c r="DO777" s="10"/>
      <c r="DP777" s="10"/>
      <c r="DQ777" s="10"/>
      <c r="DR777" s="10"/>
      <c r="DS777" s="10"/>
      <c r="DT777" s="10"/>
      <c r="DU777" s="10"/>
      <c r="DV777" s="10"/>
      <c r="DW777" s="10"/>
      <c r="DX777" s="10"/>
      <c r="DY777" s="10"/>
      <c r="DZ777" s="10"/>
      <c r="EA777" s="10"/>
      <c r="EB777" s="10"/>
      <c r="EC777" s="10"/>
      <c r="ED777" s="10"/>
      <c r="EE777" s="10"/>
      <c r="EF777" s="10"/>
      <c r="EG777" s="10"/>
      <c r="EH777" s="10"/>
      <c r="EI777" s="10"/>
      <c r="EJ777" s="10"/>
      <c r="EK777" s="10"/>
      <c r="EL777" s="10"/>
      <c r="EM777" s="10"/>
      <c r="EN777" s="10"/>
      <c r="EO777" s="10"/>
      <c r="EP777" s="10"/>
      <c r="EQ777" s="10"/>
      <c r="ER777" s="10"/>
      <c r="ES777" s="10"/>
      <c r="ET777" s="10"/>
      <c r="EU777" s="10"/>
      <c r="EV777" s="10"/>
      <c r="EW777" s="10"/>
      <c r="EX777" s="10"/>
      <c r="EY777" s="10"/>
      <c r="EZ777" s="10"/>
      <c r="FA777" s="10"/>
      <c r="FB777" s="10"/>
      <c r="FC777" s="10"/>
      <c r="FD777" s="10"/>
      <c r="FE777" s="10"/>
      <c r="FF777" s="10"/>
      <c r="FG777" s="10"/>
      <c r="FH777" s="10"/>
      <c r="FI777" s="10"/>
      <c r="FJ777" s="10"/>
      <c r="FK777" s="10"/>
      <c r="FL777" s="10"/>
      <c r="FM777" s="10"/>
      <c r="FN777" s="10"/>
      <c r="FO777" s="10"/>
      <c r="FP777" s="10"/>
      <c r="FQ777" s="10"/>
      <c r="FR777" s="10"/>
      <c r="FS777" s="10"/>
      <c r="FT777" s="10"/>
      <c r="FU777" s="10"/>
      <c r="FV777" s="10"/>
      <c r="FW777" s="10"/>
      <c r="FX777" s="10"/>
      <c r="FY777" s="10"/>
      <c r="FZ777" s="10"/>
      <c r="GA777" s="10"/>
      <c r="GB777" s="10"/>
      <c r="GC777" s="10"/>
      <c r="GD777" s="10"/>
      <c r="GE777" s="10"/>
      <c r="GF777" s="10"/>
      <c r="GG777" s="10"/>
      <c r="GH777" s="10"/>
      <c r="GI777" s="10"/>
      <c r="GJ777" s="10"/>
      <c r="GK777" s="10"/>
    </row>
    <row r="778" customFormat="false" ht="12.75" hidden="false" customHeight="false" outlineLevel="0" collapsed="false">
      <c r="A778" s="7"/>
      <c r="B778" s="7"/>
      <c r="C778" s="8"/>
      <c r="D778" s="8"/>
      <c r="E778" s="8"/>
      <c r="F778" s="8"/>
      <c r="G778" s="9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  <c r="BR778" s="10"/>
      <c r="BS778" s="10"/>
      <c r="BT778" s="10"/>
      <c r="BU778" s="10"/>
      <c r="BV778" s="10"/>
      <c r="BW778" s="10"/>
      <c r="BX778" s="10"/>
      <c r="BY778" s="10"/>
      <c r="BZ778" s="10"/>
      <c r="CA778" s="10"/>
      <c r="CB778" s="10"/>
      <c r="CC778" s="10"/>
      <c r="CD778" s="10"/>
      <c r="CE778" s="10"/>
      <c r="CF778" s="10"/>
      <c r="CG778" s="10"/>
      <c r="CH778" s="10"/>
      <c r="CI778" s="10"/>
      <c r="CJ778" s="10"/>
      <c r="CK778" s="10"/>
      <c r="CL778" s="10"/>
      <c r="CM778" s="10"/>
      <c r="CN778" s="10"/>
      <c r="CO778" s="10"/>
      <c r="CP778" s="10"/>
      <c r="CQ778" s="10"/>
      <c r="CR778" s="10"/>
      <c r="CS778" s="10"/>
      <c r="CT778" s="10"/>
      <c r="CU778" s="10"/>
      <c r="CV778" s="10"/>
      <c r="CW778" s="10"/>
      <c r="CX778" s="10"/>
      <c r="CY778" s="10"/>
      <c r="CZ778" s="10"/>
      <c r="DA778" s="10"/>
      <c r="DB778" s="10"/>
      <c r="DC778" s="10"/>
      <c r="DD778" s="10"/>
      <c r="DE778" s="10"/>
      <c r="DF778" s="10"/>
      <c r="DG778" s="10"/>
      <c r="DH778" s="10"/>
      <c r="DI778" s="10"/>
      <c r="DJ778" s="10"/>
      <c r="DK778" s="10"/>
      <c r="DL778" s="10"/>
      <c r="DM778" s="10"/>
      <c r="DN778" s="10"/>
      <c r="DO778" s="10"/>
      <c r="DP778" s="10"/>
      <c r="DQ778" s="10"/>
      <c r="DR778" s="10"/>
      <c r="DS778" s="10"/>
      <c r="DT778" s="10"/>
      <c r="DU778" s="10"/>
      <c r="DV778" s="10"/>
      <c r="DW778" s="10"/>
      <c r="DX778" s="10"/>
      <c r="DY778" s="10"/>
      <c r="DZ778" s="10"/>
      <c r="EA778" s="10"/>
      <c r="EB778" s="10"/>
      <c r="EC778" s="10"/>
      <c r="ED778" s="10"/>
      <c r="EE778" s="10"/>
      <c r="EF778" s="10"/>
      <c r="EG778" s="10"/>
      <c r="EH778" s="10"/>
      <c r="EI778" s="10"/>
      <c r="EJ778" s="10"/>
      <c r="EK778" s="10"/>
      <c r="EL778" s="10"/>
      <c r="EM778" s="10"/>
      <c r="EN778" s="10"/>
      <c r="EO778" s="10"/>
      <c r="EP778" s="10"/>
      <c r="EQ778" s="10"/>
      <c r="ER778" s="10"/>
      <c r="ES778" s="10"/>
      <c r="ET778" s="10"/>
      <c r="EU778" s="10"/>
      <c r="EV778" s="10"/>
      <c r="EW778" s="10"/>
      <c r="EX778" s="10"/>
      <c r="EY778" s="10"/>
      <c r="EZ778" s="10"/>
      <c r="FA778" s="10"/>
      <c r="FB778" s="10"/>
      <c r="FC778" s="10"/>
      <c r="FD778" s="10"/>
      <c r="FE778" s="10"/>
      <c r="FF778" s="10"/>
      <c r="FG778" s="10"/>
      <c r="FH778" s="10"/>
      <c r="FI778" s="10"/>
      <c r="FJ778" s="10"/>
      <c r="FK778" s="10"/>
      <c r="FL778" s="10"/>
      <c r="FM778" s="10"/>
      <c r="FN778" s="10"/>
      <c r="FO778" s="10"/>
      <c r="FP778" s="10"/>
      <c r="FQ778" s="10"/>
      <c r="FR778" s="10"/>
      <c r="FS778" s="10"/>
      <c r="FT778" s="10"/>
      <c r="FU778" s="10"/>
      <c r="FV778" s="10"/>
      <c r="FW778" s="10"/>
      <c r="FX778" s="10"/>
      <c r="FY778" s="10"/>
      <c r="FZ778" s="10"/>
      <c r="GA778" s="10"/>
      <c r="GB778" s="10"/>
      <c r="GC778" s="10"/>
      <c r="GD778" s="10"/>
      <c r="GE778" s="10"/>
      <c r="GF778" s="10"/>
      <c r="GG778" s="10"/>
      <c r="GH778" s="10"/>
      <c r="GI778" s="10"/>
      <c r="GJ778" s="10"/>
      <c r="GK778" s="10"/>
    </row>
    <row r="779" customFormat="false" ht="12.75" hidden="false" customHeight="false" outlineLevel="0" collapsed="false">
      <c r="A779" s="7"/>
      <c r="B779" s="7"/>
      <c r="C779" s="8"/>
      <c r="D779" s="8"/>
      <c r="E779" s="8"/>
      <c r="F779" s="8"/>
      <c r="G779" s="9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10"/>
      <c r="BP779" s="10"/>
      <c r="BQ779" s="10"/>
      <c r="BR779" s="10"/>
      <c r="BS779" s="10"/>
      <c r="BT779" s="10"/>
      <c r="BU779" s="10"/>
      <c r="BV779" s="10"/>
      <c r="BW779" s="10"/>
      <c r="BX779" s="10"/>
      <c r="BY779" s="10"/>
      <c r="BZ779" s="10"/>
      <c r="CA779" s="10"/>
      <c r="CB779" s="10"/>
      <c r="CC779" s="10"/>
      <c r="CD779" s="10"/>
      <c r="CE779" s="10"/>
      <c r="CF779" s="10"/>
      <c r="CG779" s="10"/>
      <c r="CH779" s="10"/>
      <c r="CI779" s="10"/>
      <c r="CJ779" s="10"/>
      <c r="CK779" s="10"/>
      <c r="CL779" s="10"/>
      <c r="CM779" s="10"/>
      <c r="CN779" s="10"/>
      <c r="CO779" s="10"/>
      <c r="CP779" s="10"/>
      <c r="CQ779" s="10"/>
      <c r="CR779" s="10"/>
      <c r="CS779" s="10"/>
      <c r="CT779" s="10"/>
      <c r="CU779" s="10"/>
      <c r="CV779" s="10"/>
      <c r="CW779" s="10"/>
      <c r="CX779" s="10"/>
      <c r="CY779" s="10"/>
      <c r="CZ779" s="10"/>
      <c r="DA779" s="10"/>
      <c r="DB779" s="10"/>
      <c r="DC779" s="10"/>
      <c r="DD779" s="10"/>
      <c r="DE779" s="10"/>
      <c r="DF779" s="10"/>
      <c r="DG779" s="10"/>
      <c r="DH779" s="10"/>
      <c r="DI779" s="10"/>
      <c r="DJ779" s="10"/>
      <c r="DK779" s="10"/>
      <c r="DL779" s="10"/>
      <c r="DM779" s="10"/>
      <c r="DN779" s="10"/>
      <c r="DO779" s="10"/>
      <c r="DP779" s="10"/>
      <c r="DQ779" s="10"/>
      <c r="DR779" s="10"/>
      <c r="DS779" s="10"/>
      <c r="DT779" s="10"/>
      <c r="DU779" s="10"/>
      <c r="DV779" s="10"/>
      <c r="DW779" s="10"/>
      <c r="DX779" s="10"/>
      <c r="DY779" s="10"/>
      <c r="DZ779" s="10"/>
      <c r="EA779" s="10"/>
      <c r="EB779" s="10"/>
      <c r="EC779" s="10"/>
      <c r="ED779" s="10"/>
      <c r="EE779" s="10"/>
      <c r="EF779" s="10"/>
      <c r="EG779" s="10"/>
      <c r="EH779" s="10"/>
      <c r="EI779" s="10"/>
      <c r="EJ779" s="10"/>
      <c r="EK779" s="10"/>
      <c r="EL779" s="10"/>
      <c r="EM779" s="10"/>
      <c r="EN779" s="10"/>
      <c r="EO779" s="10"/>
      <c r="EP779" s="10"/>
      <c r="EQ779" s="10"/>
      <c r="ER779" s="10"/>
      <c r="ES779" s="10"/>
      <c r="ET779" s="10"/>
      <c r="EU779" s="10"/>
      <c r="EV779" s="10"/>
      <c r="EW779" s="10"/>
      <c r="EX779" s="10"/>
      <c r="EY779" s="10"/>
      <c r="EZ779" s="10"/>
      <c r="FA779" s="10"/>
      <c r="FB779" s="10"/>
      <c r="FC779" s="10"/>
      <c r="FD779" s="10"/>
      <c r="FE779" s="10"/>
      <c r="FF779" s="10"/>
      <c r="FG779" s="10"/>
      <c r="FH779" s="10"/>
      <c r="FI779" s="10"/>
      <c r="FJ779" s="10"/>
      <c r="FK779" s="10"/>
      <c r="FL779" s="10"/>
      <c r="FM779" s="10"/>
      <c r="FN779" s="10"/>
      <c r="FO779" s="10"/>
      <c r="FP779" s="10"/>
      <c r="FQ779" s="10"/>
      <c r="FR779" s="10"/>
      <c r="FS779" s="10"/>
      <c r="FT779" s="10"/>
      <c r="FU779" s="10"/>
      <c r="FV779" s="10"/>
      <c r="FW779" s="10"/>
      <c r="FX779" s="10"/>
      <c r="FY779" s="10"/>
      <c r="FZ779" s="10"/>
      <c r="GA779" s="10"/>
      <c r="GB779" s="10"/>
      <c r="GC779" s="10"/>
      <c r="GD779" s="10"/>
      <c r="GE779" s="10"/>
      <c r="GF779" s="10"/>
      <c r="GG779" s="10"/>
      <c r="GH779" s="10"/>
      <c r="GI779" s="10"/>
      <c r="GJ779" s="10"/>
      <c r="GK779" s="10"/>
    </row>
    <row r="780" customFormat="false" ht="12.75" hidden="false" customHeight="false" outlineLevel="0" collapsed="false">
      <c r="A780" s="7"/>
      <c r="B780" s="7"/>
      <c r="C780" s="8"/>
      <c r="D780" s="8"/>
      <c r="E780" s="8"/>
      <c r="F780" s="8"/>
      <c r="G780" s="9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  <c r="BO780" s="10"/>
      <c r="BP780" s="10"/>
      <c r="BQ780" s="10"/>
      <c r="BR780" s="10"/>
      <c r="BS780" s="10"/>
      <c r="BT780" s="10"/>
      <c r="BU780" s="10"/>
      <c r="BV780" s="10"/>
      <c r="BW780" s="10"/>
      <c r="BX780" s="10"/>
      <c r="BY780" s="10"/>
      <c r="BZ780" s="10"/>
      <c r="CA780" s="10"/>
      <c r="CB780" s="10"/>
      <c r="CC780" s="10"/>
      <c r="CD780" s="10"/>
      <c r="CE780" s="10"/>
      <c r="CF780" s="10"/>
      <c r="CG780" s="10"/>
      <c r="CH780" s="10"/>
      <c r="CI780" s="10"/>
      <c r="CJ780" s="10"/>
      <c r="CK780" s="10"/>
      <c r="CL780" s="10"/>
      <c r="CM780" s="10"/>
      <c r="CN780" s="10"/>
      <c r="CO780" s="10"/>
      <c r="CP780" s="10"/>
      <c r="CQ780" s="10"/>
      <c r="CR780" s="10"/>
      <c r="CS780" s="10"/>
      <c r="CT780" s="10"/>
      <c r="CU780" s="10"/>
      <c r="CV780" s="10"/>
      <c r="CW780" s="10"/>
      <c r="CX780" s="10"/>
      <c r="CY780" s="10"/>
      <c r="CZ780" s="10"/>
      <c r="DA780" s="10"/>
      <c r="DB780" s="10"/>
      <c r="DC780" s="10"/>
      <c r="DD780" s="10"/>
      <c r="DE780" s="10"/>
      <c r="DF780" s="10"/>
      <c r="DG780" s="10"/>
      <c r="DH780" s="10"/>
      <c r="DI780" s="10"/>
      <c r="DJ780" s="10"/>
      <c r="DK780" s="10"/>
      <c r="DL780" s="10"/>
      <c r="DM780" s="10"/>
      <c r="DN780" s="10"/>
      <c r="DO780" s="10"/>
      <c r="DP780" s="10"/>
      <c r="DQ780" s="10"/>
      <c r="DR780" s="10"/>
      <c r="DS780" s="10"/>
      <c r="DT780" s="10"/>
      <c r="DU780" s="10"/>
      <c r="DV780" s="10"/>
      <c r="DW780" s="10"/>
      <c r="DX780" s="10"/>
      <c r="DY780" s="10"/>
      <c r="DZ780" s="10"/>
      <c r="EA780" s="10"/>
      <c r="EB780" s="10"/>
      <c r="EC780" s="10"/>
      <c r="ED780" s="10"/>
      <c r="EE780" s="10"/>
      <c r="EF780" s="10"/>
      <c r="EG780" s="10"/>
      <c r="EH780" s="10"/>
      <c r="EI780" s="10"/>
      <c r="EJ780" s="10"/>
      <c r="EK780" s="10"/>
      <c r="EL780" s="10"/>
      <c r="EM780" s="10"/>
      <c r="EN780" s="10"/>
      <c r="EO780" s="10"/>
      <c r="EP780" s="10"/>
      <c r="EQ780" s="10"/>
      <c r="ER780" s="10"/>
      <c r="ES780" s="10"/>
      <c r="ET780" s="10"/>
      <c r="EU780" s="10"/>
      <c r="EV780" s="10"/>
      <c r="EW780" s="10"/>
      <c r="EX780" s="10"/>
      <c r="EY780" s="10"/>
      <c r="EZ780" s="10"/>
      <c r="FA780" s="10"/>
      <c r="FB780" s="10"/>
      <c r="FC780" s="10"/>
      <c r="FD780" s="10"/>
      <c r="FE780" s="10"/>
      <c r="FF780" s="10"/>
      <c r="FG780" s="10"/>
      <c r="FH780" s="10"/>
      <c r="FI780" s="10"/>
      <c r="FJ780" s="10"/>
      <c r="FK780" s="10"/>
      <c r="FL780" s="10"/>
      <c r="FM780" s="10"/>
      <c r="FN780" s="10"/>
      <c r="FO780" s="10"/>
      <c r="FP780" s="10"/>
      <c r="FQ780" s="10"/>
      <c r="FR780" s="10"/>
      <c r="FS780" s="10"/>
      <c r="FT780" s="10"/>
      <c r="FU780" s="10"/>
      <c r="FV780" s="10"/>
      <c r="FW780" s="10"/>
      <c r="FX780" s="10"/>
      <c r="FY780" s="10"/>
      <c r="FZ780" s="10"/>
      <c r="GA780" s="10"/>
      <c r="GB780" s="10"/>
      <c r="GC780" s="10"/>
      <c r="GD780" s="10"/>
      <c r="GE780" s="10"/>
      <c r="GF780" s="10"/>
      <c r="GG780" s="10"/>
      <c r="GH780" s="10"/>
      <c r="GI780" s="10"/>
      <c r="GJ780" s="10"/>
      <c r="GK780" s="10"/>
    </row>
    <row r="781" customFormat="false" ht="12.75" hidden="false" customHeight="false" outlineLevel="0" collapsed="false">
      <c r="A781" s="7"/>
      <c r="B781" s="7"/>
      <c r="C781" s="8"/>
      <c r="D781" s="8"/>
      <c r="E781" s="8"/>
      <c r="F781" s="8"/>
      <c r="G781" s="9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  <c r="BO781" s="10"/>
      <c r="BP781" s="10"/>
      <c r="BQ781" s="10"/>
      <c r="BR781" s="10"/>
      <c r="BS781" s="10"/>
      <c r="BT781" s="10"/>
      <c r="BU781" s="10"/>
      <c r="BV781" s="10"/>
      <c r="BW781" s="10"/>
      <c r="BX781" s="10"/>
      <c r="BY781" s="10"/>
      <c r="BZ781" s="10"/>
      <c r="CA781" s="10"/>
      <c r="CB781" s="10"/>
      <c r="CC781" s="10"/>
      <c r="CD781" s="10"/>
      <c r="CE781" s="10"/>
      <c r="CF781" s="10"/>
      <c r="CG781" s="10"/>
      <c r="CH781" s="10"/>
      <c r="CI781" s="10"/>
      <c r="CJ781" s="10"/>
      <c r="CK781" s="10"/>
      <c r="CL781" s="10"/>
      <c r="CM781" s="10"/>
      <c r="CN781" s="10"/>
      <c r="CO781" s="10"/>
      <c r="CP781" s="10"/>
      <c r="CQ781" s="10"/>
      <c r="CR781" s="10"/>
      <c r="CS781" s="10"/>
      <c r="CT781" s="10"/>
      <c r="CU781" s="10"/>
      <c r="CV781" s="10"/>
      <c r="CW781" s="10"/>
      <c r="CX781" s="10"/>
      <c r="CY781" s="10"/>
      <c r="CZ781" s="10"/>
      <c r="DA781" s="10"/>
      <c r="DB781" s="10"/>
      <c r="DC781" s="10"/>
      <c r="DD781" s="10"/>
      <c r="DE781" s="10"/>
      <c r="DF781" s="10"/>
      <c r="DG781" s="10"/>
      <c r="DH781" s="10"/>
      <c r="DI781" s="10"/>
      <c r="DJ781" s="10"/>
      <c r="DK781" s="10"/>
      <c r="DL781" s="10"/>
      <c r="DM781" s="10"/>
      <c r="DN781" s="10"/>
      <c r="DO781" s="10"/>
      <c r="DP781" s="10"/>
      <c r="DQ781" s="10"/>
      <c r="DR781" s="10"/>
      <c r="DS781" s="10"/>
      <c r="DT781" s="10"/>
      <c r="DU781" s="10"/>
      <c r="DV781" s="10"/>
      <c r="DW781" s="10"/>
      <c r="DX781" s="10"/>
      <c r="DY781" s="10"/>
      <c r="DZ781" s="10"/>
      <c r="EA781" s="10"/>
      <c r="EB781" s="10"/>
      <c r="EC781" s="10"/>
      <c r="ED781" s="10"/>
      <c r="EE781" s="10"/>
      <c r="EF781" s="10"/>
      <c r="EG781" s="10"/>
      <c r="EH781" s="10"/>
      <c r="EI781" s="10"/>
      <c r="EJ781" s="10"/>
      <c r="EK781" s="10"/>
      <c r="EL781" s="10"/>
      <c r="EM781" s="10"/>
      <c r="EN781" s="10"/>
      <c r="EO781" s="10"/>
      <c r="EP781" s="10"/>
      <c r="EQ781" s="10"/>
      <c r="ER781" s="10"/>
      <c r="ES781" s="10"/>
      <c r="ET781" s="10"/>
      <c r="EU781" s="10"/>
      <c r="EV781" s="10"/>
      <c r="EW781" s="10"/>
      <c r="EX781" s="10"/>
      <c r="EY781" s="10"/>
      <c r="EZ781" s="10"/>
      <c r="FA781" s="10"/>
      <c r="FB781" s="10"/>
      <c r="FC781" s="10"/>
      <c r="FD781" s="10"/>
      <c r="FE781" s="10"/>
      <c r="FF781" s="10"/>
      <c r="FG781" s="10"/>
      <c r="FH781" s="10"/>
      <c r="FI781" s="10"/>
      <c r="FJ781" s="10"/>
      <c r="FK781" s="10"/>
      <c r="FL781" s="10"/>
      <c r="FM781" s="10"/>
      <c r="FN781" s="10"/>
      <c r="FO781" s="10"/>
      <c r="FP781" s="10"/>
      <c r="FQ781" s="10"/>
      <c r="FR781" s="10"/>
      <c r="FS781" s="10"/>
      <c r="FT781" s="10"/>
      <c r="FU781" s="10"/>
      <c r="FV781" s="10"/>
      <c r="FW781" s="10"/>
      <c r="FX781" s="10"/>
      <c r="FY781" s="10"/>
      <c r="FZ781" s="10"/>
      <c r="GA781" s="10"/>
      <c r="GB781" s="10"/>
      <c r="GC781" s="10"/>
      <c r="GD781" s="10"/>
      <c r="GE781" s="10"/>
      <c r="GF781" s="10"/>
      <c r="GG781" s="10"/>
      <c r="GH781" s="10"/>
      <c r="GI781" s="10"/>
      <c r="GJ781" s="10"/>
      <c r="GK781" s="10"/>
    </row>
    <row r="782" customFormat="false" ht="12.75" hidden="false" customHeight="false" outlineLevel="0" collapsed="false">
      <c r="A782" s="7"/>
      <c r="B782" s="7"/>
      <c r="C782" s="8"/>
      <c r="D782" s="8"/>
      <c r="E782" s="8"/>
      <c r="F782" s="8"/>
      <c r="G782" s="9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  <c r="BO782" s="10"/>
      <c r="BP782" s="10"/>
      <c r="BQ782" s="10"/>
      <c r="BR782" s="10"/>
      <c r="BS782" s="10"/>
      <c r="BT782" s="10"/>
      <c r="BU782" s="10"/>
      <c r="BV782" s="10"/>
      <c r="BW782" s="10"/>
      <c r="BX782" s="10"/>
      <c r="BY782" s="10"/>
      <c r="BZ782" s="10"/>
      <c r="CA782" s="10"/>
      <c r="CB782" s="10"/>
      <c r="CC782" s="10"/>
      <c r="CD782" s="10"/>
      <c r="CE782" s="10"/>
      <c r="CF782" s="10"/>
      <c r="CG782" s="10"/>
      <c r="CH782" s="10"/>
      <c r="CI782" s="10"/>
      <c r="CJ782" s="10"/>
      <c r="CK782" s="10"/>
      <c r="CL782" s="10"/>
      <c r="CM782" s="10"/>
      <c r="CN782" s="10"/>
      <c r="CO782" s="10"/>
      <c r="CP782" s="10"/>
      <c r="CQ782" s="10"/>
      <c r="CR782" s="10"/>
      <c r="CS782" s="10"/>
      <c r="CT782" s="10"/>
      <c r="CU782" s="10"/>
      <c r="CV782" s="10"/>
      <c r="CW782" s="10"/>
      <c r="CX782" s="10"/>
      <c r="CY782" s="10"/>
      <c r="CZ782" s="10"/>
      <c r="DA782" s="10"/>
      <c r="DB782" s="10"/>
      <c r="DC782" s="10"/>
      <c r="DD782" s="10"/>
      <c r="DE782" s="10"/>
      <c r="DF782" s="10"/>
      <c r="DG782" s="10"/>
      <c r="DH782" s="10"/>
      <c r="DI782" s="10"/>
      <c r="DJ782" s="10"/>
      <c r="DK782" s="10"/>
      <c r="DL782" s="10"/>
      <c r="DM782" s="10"/>
      <c r="DN782" s="10"/>
      <c r="DO782" s="10"/>
      <c r="DP782" s="10"/>
      <c r="DQ782" s="10"/>
      <c r="DR782" s="10"/>
      <c r="DS782" s="10"/>
      <c r="DT782" s="10"/>
      <c r="DU782" s="10"/>
      <c r="DV782" s="10"/>
      <c r="DW782" s="10"/>
      <c r="DX782" s="10"/>
      <c r="DY782" s="10"/>
      <c r="DZ782" s="10"/>
      <c r="EA782" s="10"/>
      <c r="EB782" s="10"/>
      <c r="EC782" s="10"/>
      <c r="ED782" s="10"/>
      <c r="EE782" s="10"/>
      <c r="EF782" s="10"/>
      <c r="EG782" s="10"/>
      <c r="EH782" s="10"/>
      <c r="EI782" s="10"/>
      <c r="EJ782" s="10"/>
      <c r="EK782" s="10"/>
      <c r="EL782" s="10"/>
      <c r="EM782" s="10"/>
      <c r="EN782" s="10"/>
      <c r="EO782" s="10"/>
      <c r="EP782" s="10"/>
      <c r="EQ782" s="10"/>
      <c r="ER782" s="10"/>
      <c r="ES782" s="10"/>
      <c r="ET782" s="10"/>
      <c r="EU782" s="10"/>
      <c r="EV782" s="10"/>
      <c r="EW782" s="10"/>
      <c r="EX782" s="10"/>
      <c r="EY782" s="10"/>
      <c r="EZ782" s="10"/>
      <c r="FA782" s="10"/>
      <c r="FB782" s="10"/>
      <c r="FC782" s="10"/>
      <c r="FD782" s="10"/>
      <c r="FE782" s="10"/>
      <c r="FF782" s="10"/>
      <c r="FG782" s="10"/>
      <c r="FH782" s="10"/>
      <c r="FI782" s="10"/>
      <c r="FJ782" s="10"/>
      <c r="FK782" s="10"/>
      <c r="FL782" s="10"/>
      <c r="FM782" s="10"/>
      <c r="FN782" s="10"/>
      <c r="FO782" s="10"/>
      <c r="FP782" s="10"/>
      <c r="FQ782" s="10"/>
      <c r="FR782" s="10"/>
      <c r="FS782" s="10"/>
      <c r="FT782" s="10"/>
      <c r="FU782" s="10"/>
      <c r="FV782" s="10"/>
      <c r="FW782" s="10"/>
      <c r="FX782" s="10"/>
      <c r="FY782" s="10"/>
      <c r="FZ782" s="10"/>
      <c r="GA782" s="10"/>
      <c r="GB782" s="10"/>
      <c r="GC782" s="10"/>
      <c r="GD782" s="10"/>
      <c r="GE782" s="10"/>
      <c r="GF782" s="10"/>
      <c r="GG782" s="10"/>
      <c r="GH782" s="10"/>
      <c r="GI782" s="10"/>
      <c r="GJ782" s="10"/>
      <c r="GK782" s="10"/>
    </row>
    <row r="783" customFormat="false" ht="12.75" hidden="false" customHeight="false" outlineLevel="0" collapsed="false">
      <c r="A783" s="7"/>
      <c r="B783" s="7"/>
      <c r="C783" s="8"/>
      <c r="D783" s="8"/>
      <c r="E783" s="8"/>
      <c r="F783" s="8"/>
      <c r="G783" s="9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  <c r="BO783" s="10"/>
      <c r="BP783" s="10"/>
      <c r="BQ783" s="10"/>
      <c r="BR783" s="10"/>
      <c r="BS783" s="10"/>
      <c r="BT783" s="10"/>
      <c r="BU783" s="10"/>
      <c r="BV783" s="10"/>
      <c r="BW783" s="10"/>
      <c r="BX783" s="10"/>
      <c r="BY783" s="10"/>
      <c r="BZ783" s="10"/>
      <c r="CA783" s="10"/>
      <c r="CB783" s="10"/>
      <c r="CC783" s="10"/>
      <c r="CD783" s="10"/>
      <c r="CE783" s="10"/>
      <c r="CF783" s="10"/>
      <c r="CG783" s="10"/>
      <c r="CH783" s="10"/>
      <c r="CI783" s="10"/>
      <c r="CJ783" s="10"/>
      <c r="CK783" s="10"/>
      <c r="CL783" s="10"/>
      <c r="CM783" s="10"/>
      <c r="CN783" s="10"/>
      <c r="CO783" s="10"/>
      <c r="CP783" s="10"/>
      <c r="CQ783" s="10"/>
      <c r="CR783" s="10"/>
      <c r="CS783" s="10"/>
      <c r="CT783" s="10"/>
      <c r="CU783" s="10"/>
      <c r="CV783" s="10"/>
      <c r="CW783" s="10"/>
      <c r="CX783" s="10"/>
      <c r="CY783" s="10"/>
      <c r="CZ783" s="10"/>
      <c r="DA783" s="10"/>
      <c r="DB783" s="10"/>
      <c r="DC783" s="10"/>
      <c r="DD783" s="10"/>
      <c r="DE783" s="10"/>
      <c r="DF783" s="10"/>
      <c r="DG783" s="10"/>
      <c r="DH783" s="10"/>
      <c r="DI783" s="10"/>
      <c r="DJ783" s="10"/>
      <c r="DK783" s="10"/>
      <c r="DL783" s="10"/>
      <c r="DM783" s="10"/>
      <c r="DN783" s="10"/>
      <c r="DO783" s="10"/>
      <c r="DP783" s="10"/>
      <c r="DQ783" s="10"/>
      <c r="DR783" s="10"/>
      <c r="DS783" s="10"/>
      <c r="DT783" s="10"/>
      <c r="DU783" s="10"/>
      <c r="DV783" s="10"/>
      <c r="DW783" s="10"/>
      <c r="DX783" s="10"/>
      <c r="DY783" s="10"/>
      <c r="DZ783" s="10"/>
      <c r="EA783" s="10"/>
      <c r="EB783" s="10"/>
      <c r="EC783" s="10"/>
      <c r="ED783" s="10"/>
      <c r="EE783" s="10"/>
      <c r="EF783" s="10"/>
      <c r="EG783" s="10"/>
      <c r="EH783" s="10"/>
      <c r="EI783" s="10"/>
      <c r="EJ783" s="10"/>
      <c r="EK783" s="10"/>
      <c r="EL783" s="10"/>
      <c r="EM783" s="10"/>
      <c r="EN783" s="10"/>
      <c r="EO783" s="10"/>
      <c r="EP783" s="10"/>
      <c r="EQ783" s="10"/>
      <c r="ER783" s="10"/>
      <c r="ES783" s="10"/>
      <c r="ET783" s="10"/>
      <c r="EU783" s="10"/>
      <c r="EV783" s="10"/>
      <c r="EW783" s="10"/>
      <c r="EX783" s="10"/>
      <c r="EY783" s="10"/>
      <c r="EZ783" s="10"/>
      <c r="FA783" s="10"/>
      <c r="FB783" s="10"/>
      <c r="FC783" s="10"/>
      <c r="FD783" s="10"/>
      <c r="FE783" s="10"/>
      <c r="FF783" s="10"/>
      <c r="FG783" s="10"/>
      <c r="FH783" s="10"/>
      <c r="FI783" s="10"/>
      <c r="FJ783" s="10"/>
      <c r="FK783" s="10"/>
      <c r="FL783" s="10"/>
      <c r="FM783" s="10"/>
      <c r="FN783" s="10"/>
      <c r="FO783" s="10"/>
      <c r="FP783" s="10"/>
      <c r="FQ783" s="10"/>
      <c r="FR783" s="10"/>
      <c r="FS783" s="10"/>
      <c r="FT783" s="10"/>
      <c r="FU783" s="10"/>
      <c r="FV783" s="10"/>
      <c r="FW783" s="10"/>
      <c r="FX783" s="10"/>
      <c r="FY783" s="10"/>
      <c r="FZ783" s="10"/>
      <c r="GA783" s="10"/>
      <c r="GB783" s="10"/>
      <c r="GC783" s="10"/>
      <c r="GD783" s="10"/>
      <c r="GE783" s="10"/>
      <c r="GF783" s="10"/>
      <c r="GG783" s="10"/>
      <c r="GH783" s="10"/>
      <c r="GI783" s="10"/>
      <c r="GJ783" s="10"/>
      <c r="GK783" s="10"/>
    </row>
    <row r="784" customFormat="false" ht="12.75" hidden="false" customHeight="false" outlineLevel="0" collapsed="false">
      <c r="A784" s="7"/>
      <c r="B784" s="7"/>
      <c r="C784" s="8"/>
      <c r="D784" s="8"/>
      <c r="E784" s="8"/>
      <c r="F784" s="8"/>
      <c r="G784" s="9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10"/>
      <c r="BP784" s="10"/>
      <c r="BQ784" s="10"/>
      <c r="BR784" s="10"/>
      <c r="BS784" s="10"/>
      <c r="BT784" s="10"/>
      <c r="BU784" s="10"/>
      <c r="BV784" s="10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  <c r="EM784" s="10"/>
      <c r="EN784" s="10"/>
      <c r="EO784" s="10"/>
      <c r="EP784" s="10"/>
      <c r="EQ784" s="10"/>
      <c r="ER784" s="10"/>
      <c r="ES784" s="10"/>
      <c r="ET784" s="10"/>
      <c r="EU784" s="10"/>
      <c r="EV784" s="10"/>
      <c r="EW784" s="10"/>
      <c r="EX784" s="10"/>
      <c r="EY784" s="10"/>
      <c r="EZ784" s="10"/>
      <c r="FA784" s="10"/>
      <c r="FB784" s="10"/>
      <c r="FC784" s="10"/>
      <c r="FD784" s="10"/>
      <c r="FE784" s="10"/>
      <c r="FF784" s="10"/>
      <c r="FG784" s="10"/>
      <c r="FH784" s="10"/>
      <c r="FI784" s="10"/>
      <c r="FJ784" s="10"/>
      <c r="FK784" s="10"/>
      <c r="FL784" s="10"/>
      <c r="FM784" s="10"/>
      <c r="FN784" s="10"/>
      <c r="FO784" s="10"/>
      <c r="FP784" s="10"/>
      <c r="FQ784" s="10"/>
      <c r="FR784" s="10"/>
      <c r="FS784" s="10"/>
      <c r="FT784" s="10"/>
      <c r="FU784" s="10"/>
      <c r="FV784" s="10"/>
      <c r="FW784" s="10"/>
      <c r="FX784" s="10"/>
      <c r="FY784" s="10"/>
      <c r="FZ784" s="10"/>
      <c r="GA784" s="10"/>
      <c r="GB784" s="10"/>
      <c r="GC784" s="10"/>
      <c r="GD784" s="10"/>
      <c r="GE784" s="10"/>
      <c r="GF784" s="10"/>
      <c r="GG784" s="10"/>
      <c r="GH784" s="10"/>
      <c r="GI784" s="10"/>
      <c r="GJ784" s="10"/>
      <c r="GK784" s="10"/>
    </row>
    <row r="785" customFormat="false" ht="12.75" hidden="false" customHeight="false" outlineLevel="0" collapsed="false">
      <c r="A785" s="7"/>
      <c r="B785" s="7"/>
      <c r="C785" s="8"/>
      <c r="D785" s="8"/>
      <c r="E785" s="8"/>
      <c r="F785" s="8"/>
      <c r="G785" s="9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10"/>
      <c r="BL785" s="10"/>
      <c r="BM785" s="10"/>
      <c r="BN785" s="10"/>
      <c r="BO785" s="10"/>
      <c r="BP785" s="10"/>
      <c r="BQ785" s="10"/>
      <c r="BR785" s="10"/>
      <c r="BS785" s="10"/>
      <c r="BT785" s="10"/>
      <c r="BU785" s="10"/>
      <c r="BV785" s="10"/>
      <c r="BW785" s="10"/>
      <c r="BX785" s="10"/>
      <c r="BY785" s="10"/>
      <c r="BZ785" s="10"/>
      <c r="CA785" s="10"/>
      <c r="CB785" s="10"/>
      <c r="CC785" s="10"/>
      <c r="CD785" s="10"/>
      <c r="CE785" s="10"/>
      <c r="CF785" s="10"/>
      <c r="CG785" s="10"/>
      <c r="CH785" s="10"/>
      <c r="CI785" s="10"/>
      <c r="CJ785" s="10"/>
      <c r="CK785" s="10"/>
      <c r="CL785" s="10"/>
      <c r="CM785" s="10"/>
      <c r="CN785" s="10"/>
      <c r="CO785" s="10"/>
      <c r="CP785" s="10"/>
      <c r="CQ785" s="10"/>
      <c r="CR785" s="10"/>
      <c r="CS785" s="10"/>
      <c r="CT785" s="10"/>
      <c r="CU785" s="10"/>
      <c r="CV785" s="10"/>
      <c r="CW785" s="10"/>
      <c r="CX785" s="10"/>
      <c r="CY785" s="10"/>
      <c r="CZ785" s="10"/>
      <c r="DA785" s="10"/>
      <c r="DB785" s="10"/>
      <c r="DC785" s="10"/>
      <c r="DD785" s="10"/>
      <c r="DE785" s="10"/>
      <c r="DF785" s="10"/>
      <c r="DG785" s="10"/>
      <c r="DH785" s="10"/>
      <c r="DI785" s="10"/>
      <c r="DJ785" s="10"/>
      <c r="DK785" s="10"/>
      <c r="DL785" s="10"/>
      <c r="DM785" s="10"/>
      <c r="DN785" s="10"/>
      <c r="DO785" s="10"/>
      <c r="DP785" s="10"/>
      <c r="DQ785" s="10"/>
      <c r="DR785" s="10"/>
      <c r="DS785" s="10"/>
      <c r="DT785" s="10"/>
      <c r="DU785" s="10"/>
      <c r="DV785" s="10"/>
      <c r="DW785" s="10"/>
      <c r="DX785" s="10"/>
      <c r="DY785" s="10"/>
      <c r="DZ785" s="10"/>
      <c r="EA785" s="10"/>
      <c r="EB785" s="10"/>
      <c r="EC785" s="10"/>
      <c r="ED785" s="10"/>
      <c r="EE785" s="10"/>
      <c r="EF785" s="10"/>
      <c r="EG785" s="10"/>
      <c r="EH785" s="10"/>
      <c r="EI785" s="10"/>
      <c r="EJ785" s="10"/>
      <c r="EK785" s="10"/>
      <c r="EL785" s="10"/>
      <c r="EM785" s="10"/>
      <c r="EN785" s="10"/>
      <c r="EO785" s="10"/>
      <c r="EP785" s="10"/>
      <c r="EQ785" s="10"/>
      <c r="ER785" s="10"/>
      <c r="ES785" s="10"/>
      <c r="ET785" s="10"/>
      <c r="EU785" s="10"/>
      <c r="EV785" s="10"/>
      <c r="EW785" s="10"/>
      <c r="EX785" s="10"/>
      <c r="EY785" s="10"/>
      <c r="EZ785" s="10"/>
      <c r="FA785" s="10"/>
      <c r="FB785" s="10"/>
      <c r="FC785" s="10"/>
      <c r="FD785" s="10"/>
      <c r="FE785" s="10"/>
      <c r="FF785" s="10"/>
      <c r="FG785" s="10"/>
      <c r="FH785" s="10"/>
      <c r="FI785" s="10"/>
      <c r="FJ785" s="10"/>
      <c r="FK785" s="10"/>
      <c r="FL785" s="10"/>
      <c r="FM785" s="10"/>
      <c r="FN785" s="10"/>
      <c r="FO785" s="10"/>
      <c r="FP785" s="10"/>
      <c r="FQ785" s="10"/>
      <c r="FR785" s="10"/>
      <c r="FS785" s="10"/>
      <c r="FT785" s="10"/>
      <c r="FU785" s="10"/>
      <c r="FV785" s="10"/>
      <c r="FW785" s="10"/>
      <c r="FX785" s="10"/>
      <c r="FY785" s="10"/>
      <c r="FZ785" s="10"/>
      <c r="GA785" s="10"/>
      <c r="GB785" s="10"/>
      <c r="GC785" s="10"/>
      <c r="GD785" s="10"/>
      <c r="GE785" s="10"/>
      <c r="GF785" s="10"/>
      <c r="GG785" s="10"/>
      <c r="GH785" s="10"/>
      <c r="GI785" s="10"/>
      <c r="GJ785" s="10"/>
      <c r="GK785" s="10"/>
    </row>
    <row r="786" customFormat="false" ht="12.75" hidden="false" customHeight="false" outlineLevel="0" collapsed="false">
      <c r="A786" s="7"/>
      <c r="B786" s="7"/>
      <c r="C786" s="8"/>
      <c r="D786" s="8"/>
      <c r="E786" s="8"/>
      <c r="F786" s="8"/>
      <c r="G786" s="9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  <c r="BK786" s="10"/>
      <c r="BL786" s="10"/>
      <c r="BM786" s="10"/>
      <c r="BN786" s="10"/>
      <c r="BO786" s="10"/>
      <c r="BP786" s="10"/>
      <c r="BQ786" s="10"/>
      <c r="BR786" s="10"/>
      <c r="BS786" s="10"/>
      <c r="BT786" s="10"/>
      <c r="BU786" s="10"/>
      <c r="BV786" s="10"/>
      <c r="BW786" s="10"/>
      <c r="BX786" s="10"/>
      <c r="BY786" s="10"/>
      <c r="BZ786" s="10"/>
      <c r="CA786" s="10"/>
      <c r="CB786" s="10"/>
      <c r="CC786" s="10"/>
      <c r="CD786" s="10"/>
      <c r="CE786" s="10"/>
      <c r="CF786" s="10"/>
      <c r="CG786" s="10"/>
      <c r="CH786" s="10"/>
      <c r="CI786" s="10"/>
      <c r="CJ786" s="10"/>
      <c r="CK786" s="10"/>
      <c r="CL786" s="10"/>
      <c r="CM786" s="10"/>
      <c r="CN786" s="10"/>
      <c r="CO786" s="10"/>
      <c r="CP786" s="10"/>
      <c r="CQ786" s="10"/>
      <c r="CR786" s="10"/>
      <c r="CS786" s="10"/>
      <c r="CT786" s="10"/>
      <c r="CU786" s="10"/>
      <c r="CV786" s="10"/>
      <c r="CW786" s="10"/>
      <c r="CX786" s="10"/>
      <c r="CY786" s="10"/>
      <c r="CZ786" s="10"/>
      <c r="DA786" s="10"/>
      <c r="DB786" s="10"/>
      <c r="DC786" s="10"/>
      <c r="DD786" s="10"/>
      <c r="DE786" s="10"/>
      <c r="DF786" s="10"/>
      <c r="DG786" s="10"/>
      <c r="DH786" s="10"/>
      <c r="DI786" s="10"/>
      <c r="DJ786" s="10"/>
      <c r="DK786" s="10"/>
      <c r="DL786" s="10"/>
      <c r="DM786" s="10"/>
      <c r="DN786" s="10"/>
      <c r="DO786" s="10"/>
      <c r="DP786" s="10"/>
      <c r="DQ786" s="10"/>
      <c r="DR786" s="10"/>
      <c r="DS786" s="10"/>
      <c r="DT786" s="10"/>
      <c r="DU786" s="10"/>
      <c r="DV786" s="10"/>
      <c r="DW786" s="10"/>
      <c r="DX786" s="10"/>
      <c r="DY786" s="10"/>
      <c r="DZ786" s="10"/>
      <c r="EA786" s="10"/>
      <c r="EB786" s="10"/>
      <c r="EC786" s="10"/>
      <c r="ED786" s="10"/>
      <c r="EE786" s="10"/>
      <c r="EF786" s="10"/>
      <c r="EG786" s="10"/>
      <c r="EH786" s="10"/>
      <c r="EI786" s="10"/>
      <c r="EJ786" s="10"/>
      <c r="EK786" s="10"/>
      <c r="EL786" s="10"/>
      <c r="EM786" s="10"/>
      <c r="EN786" s="10"/>
      <c r="EO786" s="10"/>
      <c r="EP786" s="10"/>
      <c r="EQ786" s="10"/>
      <c r="ER786" s="10"/>
      <c r="ES786" s="10"/>
      <c r="ET786" s="10"/>
      <c r="EU786" s="10"/>
      <c r="EV786" s="10"/>
      <c r="EW786" s="10"/>
      <c r="EX786" s="10"/>
      <c r="EY786" s="10"/>
      <c r="EZ786" s="10"/>
      <c r="FA786" s="10"/>
      <c r="FB786" s="10"/>
      <c r="FC786" s="10"/>
      <c r="FD786" s="10"/>
      <c r="FE786" s="10"/>
      <c r="FF786" s="10"/>
      <c r="FG786" s="10"/>
      <c r="FH786" s="10"/>
      <c r="FI786" s="10"/>
      <c r="FJ786" s="10"/>
      <c r="FK786" s="10"/>
      <c r="FL786" s="10"/>
      <c r="FM786" s="10"/>
      <c r="FN786" s="10"/>
      <c r="FO786" s="10"/>
      <c r="FP786" s="10"/>
      <c r="FQ786" s="10"/>
      <c r="FR786" s="10"/>
      <c r="FS786" s="10"/>
      <c r="FT786" s="10"/>
      <c r="FU786" s="10"/>
      <c r="FV786" s="10"/>
      <c r="FW786" s="10"/>
      <c r="FX786" s="10"/>
      <c r="FY786" s="10"/>
      <c r="FZ786" s="10"/>
      <c r="GA786" s="10"/>
      <c r="GB786" s="10"/>
      <c r="GC786" s="10"/>
      <c r="GD786" s="10"/>
      <c r="GE786" s="10"/>
      <c r="GF786" s="10"/>
      <c r="GG786" s="10"/>
      <c r="GH786" s="10"/>
      <c r="GI786" s="10"/>
      <c r="GJ786" s="10"/>
      <c r="GK786" s="10"/>
    </row>
    <row r="787" customFormat="false" ht="12.75" hidden="false" customHeight="false" outlineLevel="0" collapsed="false">
      <c r="A787" s="7"/>
      <c r="B787" s="7"/>
      <c r="C787" s="8"/>
      <c r="D787" s="8"/>
      <c r="E787" s="8"/>
      <c r="F787" s="8"/>
      <c r="G787" s="9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10"/>
      <c r="BL787" s="10"/>
      <c r="BM787" s="10"/>
      <c r="BN787" s="10"/>
      <c r="BO787" s="10"/>
      <c r="BP787" s="10"/>
      <c r="BQ787" s="10"/>
      <c r="BR787" s="10"/>
      <c r="BS787" s="10"/>
      <c r="BT787" s="10"/>
      <c r="BU787" s="10"/>
      <c r="BV787" s="10"/>
      <c r="BW787" s="10"/>
      <c r="BX787" s="10"/>
      <c r="BY787" s="10"/>
      <c r="BZ787" s="10"/>
      <c r="CA787" s="10"/>
      <c r="CB787" s="10"/>
      <c r="CC787" s="10"/>
      <c r="CD787" s="10"/>
      <c r="CE787" s="10"/>
      <c r="CF787" s="10"/>
      <c r="CG787" s="10"/>
      <c r="CH787" s="10"/>
      <c r="CI787" s="10"/>
      <c r="CJ787" s="10"/>
      <c r="CK787" s="10"/>
      <c r="CL787" s="10"/>
      <c r="CM787" s="10"/>
      <c r="CN787" s="10"/>
      <c r="CO787" s="10"/>
      <c r="CP787" s="10"/>
      <c r="CQ787" s="10"/>
      <c r="CR787" s="10"/>
      <c r="CS787" s="10"/>
      <c r="CT787" s="10"/>
      <c r="CU787" s="10"/>
      <c r="CV787" s="10"/>
      <c r="CW787" s="10"/>
      <c r="CX787" s="10"/>
      <c r="CY787" s="10"/>
      <c r="CZ787" s="10"/>
      <c r="DA787" s="10"/>
      <c r="DB787" s="10"/>
      <c r="DC787" s="10"/>
      <c r="DD787" s="10"/>
      <c r="DE787" s="10"/>
      <c r="DF787" s="10"/>
      <c r="DG787" s="10"/>
      <c r="DH787" s="10"/>
      <c r="DI787" s="10"/>
      <c r="DJ787" s="10"/>
      <c r="DK787" s="10"/>
      <c r="DL787" s="10"/>
      <c r="DM787" s="10"/>
      <c r="DN787" s="10"/>
      <c r="DO787" s="10"/>
      <c r="DP787" s="10"/>
      <c r="DQ787" s="10"/>
      <c r="DR787" s="10"/>
      <c r="DS787" s="10"/>
      <c r="DT787" s="10"/>
      <c r="DU787" s="10"/>
      <c r="DV787" s="10"/>
      <c r="DW787" s="10"/>
      <c r="DX787" s="10"/>
      <c r="DY787" s="10"/>
      <c r="DZ787" s="10"/>
      <c r="EA787" s="10"/>
      <c r="EB787" s="10"/>
      <c r="EC787" s="10"/>
      <c r="ED787" s="10"/>
      <c r="EE787" s="10"/>
      <c r="EF787" s="10"/>
      <c r="EG787" s="10"/>
      <c r="EH787" s="10"/>
      <c r="EI787" s="10"/>
      <c r="EJ787" s="10"/>
      <c r="EK787" s="10"/>
      <c r="EL787" s="10"/>
      <c r="EM787" s="10"/>
      <c r="EN787" s="10"/>
      <c r="EO787" s="10"/>
      <c r="EP787" s="10"/>
      <c r="EQ787" s="10"/>
      <c r="ER787" s="10"/>
      <c r="ES787" s="10"/>
      <c r="ET787" s="10"/>
      <c r="EU787" s="10"/>
      <c r="EV787" s="10"/>
      <c r="EW787" s="10"/>
      <c r="EX787" s="10"/>
      <c r="EY787" s="10"/>
      <c r="EZ787" s="10"/>
      <c r="FA787" s="10"/>
      <c r="FB787" s="10"/>
      <c r="FC787" s="10"/>
      <c r="FD787" s="10"/>
      <c r="FE787" s="10"/>
      <c r="FF787" s="10"/>
      <c r="FG787" s="10"/>
      <c r="FH787" s="10"/>
      <c r="FI787" s="10"/>
      <c r="FJ787" s="10"/>
      <c r="FK787" s="10"/>
      <c r="FL787" s="10"/>
      <c r="FM787" s="10"/>
      <c r="FN787" s="10"/>
      <c r="FO787" s="10"/>
      <c r="FP787" s="10"/>
      <c r="FQ787" s="10"/>
      <c r="FR787" s="10"/>
      <c r="FS787" s="10"/>
      <c r="FT787" s="10"/>
      <c r="FU787" s="10"/>
      <c r="FV787" s="10"/>
      <c r="FW787" s="10"/>
      <c r="FX787" s="10"/>
      <c r="FY787" s="10"/>
      <c r="FZ787" s="10"/>
      <c r="GA787" s="10"/>
      <c r="GB787" s="10"/>
      <c r="GC787" s="10"/>
      <c r="GD787" s="10"/>
      <c r="GE787" s="10"/>
      <c r="GF787" s="10"/>
      <c r="GG787" s="10"/>
      <c r="GH787" s="10"/>
      <c r="GI787" s="10"/>
      <c r="GJ787" s="10"/>
      <c r="GK787" s="10"/>
    </row>
    <row r="788" customFormat="false" ht="12.75" hidden="false" customHeight="false" outlineLevel="0" collapsed="false">
      <c r="A788" s="7"/>
      <c r="B788" s="7"/>
      <c r="C788" s="8"/>
      <c r="D788" s="8"/>
      <c r="E788" s="8"/>
      <c r="F788" s="8"/>
      <c r="G788" s="9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10"/>
      <c r="BL788" s="10"/>
      <c r="BM788" s="10"/>
      <c r="BN788" s="10"/>
      <c r="BO788" s="10"/>
      <c r="BP788" s="10"/>
      <c r="BQ788" s="10"/>
      <c r="BR788" s="10"/>
      <c r="BS788" s="10"/>
      <c r="BT788" s="10"/>
      <c r="BU788" s="10"/>
      <c r="BV788" s="10"/>
      <c r="BW788" s="10"/>
      <c r="BX788" s="10"/>
      <c r="BY788" s="10"/>
      <c r="BZ788" s="10"/>
      <c r="CA788" s="10"/>
      <c r="CB788" s="10"/>
      <c r="CC788" s="10"/>
      <c r="CD788" s="10"/>
      <c r="CE788" s="10"/>
      <c r="CF788" s="10"/>
      <c r="CG788" s="10"/>
      <c r="CH788" s="10"/>
      <c r="CI788" s="10"/>
      <c r="CJ788" s="10"/>
      <c r="CK788" s="10"/>
      <c r="CL788" s="10"/>
      <c r="CM788" s="10"/>
      <c r="CN788" s="10"/>
      <c r="CO788" s="10"/>
      <c r="CP788" s="10"/>
      <c r="CQ788" s="10"/>
      <c r="CR788" s="10"/>
      <c r="CS788" s="10"/>
      <c r="CT788" s="10"/>
      <c r="CU788" s="10"/>
      <c r="CV788" s="10"/>
      <c r="CW788" s="10"/>
      <c r="CX788" s="10"/>
      <c r="CY788" s="10"/>
      <c r="CZ788" s="10"/>
      <c r="DA788" s="10"/>
      <c r="DB788" s="10"/>
      <c r="DC788" s="10"/>
      <c r="DD788" s="10"/>
      <c r="DE788" s="10"/>
      <c r="DF788" s="10"/>
      <c r="DG788" s="10"/>
      <c r="DH788" s="10"/>
      <c r="DI788" s="10"/>
      <c r="DJ788" s="10"/>
      <c r="DK788" s="10"/>
      <c r="DL788" s="10"/>
      <c r="DM788" s="10"/>
      <c r="DN788" s="10"/>
      <c r="DO788" s="10"/>
      <c r="DP788" s="10"/>
      <c r="DQ788" s="10"/>
      <c r="DR788" s="10"/>
      <c r="DS788" s="10"/>
      <c r="DT788" s="10"/>
      <c r="DU788" s="10"/>
      <c r="DV788" s="10"/>
      <c r="DW788" s="10"/>
      <c r="DX788" s="10"/>
      <c r="DY788" s="10"/>
      <c r="DZ788" s="10"/>
      <c r="EA788" s="10"/>
      <c r="EB788" s="10"/>
      <c r="EC788" s="10"/>
      <c r="ED788" s="10"/>
      <c r="EE788" s="10"/>
      <c r="EF788" s="10"/>
      <c r="EG788" s="10"/>
      <c r="EH788" s="10"/>
      <c r="EI788" s="10"/>
      <c r="EJ788" s="10"/>
      <c r="EK788" s="10"/>
      <c r="EL788" s="10"/>
      <c r="EM788" s="10"/>
      <c r="EN788" s="10"/>
      <c r="EO788" s="10"/>
      <c r="EP788" s="10"/>
      <c r="EQ788" s="10"/>
      <c r="ER788" s="10"/>
      <c r="ES788" s="10"/>
      <c r="ET788" s="10"/>
      <c r="EU788" s="10"/>
      <c r="EV788" s="10"/>
      <c r="EW788" s="10"/>
      <c r="EX788" s="10"/>
      <c r="EY788" s="10"/>
      <c r="EZ788" s="10"/>
      <c r="FA788" s="10"/>
      <c r="FB788" s="10"/>
      <c r="FC788" s="10"/>
      <c r="FD788" s="10"/>
      <c r="FE788" s="10"/>
      <c r="FF788" s="10"/>
      <c r="FG788" s="10"/>
      <c r="FH788" s="10"/>
      <c r="FI788" s="10"/>
      <c r="FJ788" s="10"/>
      <c r="FK788" s="10"/>
      <c r="FL788" s="10"/>
      <c r="FM788" s="10"/>
      <c r="FN788" s="10"/>
      <c r="FO788" s="10"/>
      <c r="FP788" s="10"/>
      <c r="FQ788" s="10"/>
      <c r="FR788" s="10"/>
      <c r="FS788" s="10"/>
      <c r="FT788" s="10"/>
      <c r="FU788" s="10"/>
      <c r="FV788" s="10"/>
      <c r="FW788" s="10"/>
      <c r="FX788" s="10"/>
      <c r="FY788" s="10"/>
      <c r="FZ788" s="10"/>
      <c r="GA788" s="10"/>
      <c r="GB788" s="10"/>
      <c r="GC788" s="10"/>
      <c r="GD788" s="10"/>
      <c r="GE788" s="10"/>
      <c r="GF788" s="10"/>
      <c r="GG788" s="10"/>
      <c r="GH788" s="10"/>
      <c r="GI788" s="10"/>
      <c r="GJ788" s="10"/>
      <c r="GK788" s="10"/>
    </row>
    <row r="789" customFormat="false" ht="12.75" hidden="false" customHeight="false" outlineLevel="0" collapsed="false">
      <c r="A789" s="7"/>
      <c r="B789" s="7"/>
      <c r="C789" s="8"/>
      <c r="D789" s="8"/>
      <c r="E789" s="8"/>
      <c r="F789" s="8"/>
      <c r="G789" s="9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  <c r="BM789" s="10"/>
      <c r="BN789" s="10"/>
      <c r="BO789" s="10"/>
      <c r="BP789" s="10"/>
      <c r="BQ789" s="10"/>
      <c r="BR789" s="10"/>
      <c r="BS789" s="10"/>
      <c r="BT789" s="10"/>
      <c r="BU789" s="10"/>
      <c r="BV789" s="10"/>
      <c r="BW789" s="10"/>
      <c r="BX789" s="10"/>
      <c r="BY789" s="10"/>
      <c r="BZ789" s="10"/>
      <c r="CA789" s="10"/>
      <c r="CB789" s="10"/>
      <c r="CC789" s="10"/>
      <c r="CD789" s="10"/>
      <c r="CE789" s="10"/>
      <c r="CF789" s="10"/>
      <c r="CG789" s="10"/>
      <c r="CH789" s="10"/>
      <c r="CI789" s="10"/>
      <c r="CJ789" s="10"/>
      <c r="CK789" s="10"/>
      <c r="CL789" s="10"/>
      <c r="CM789" s="10"/>
      <c r="CN789" s="10"/>
      <c r="CO789" s="10"/>
      <c r="CP789" s="10"/>
      <c r="CQ789" s="10"/>
      <c r="CR789" s="10"/>
      <c r="CS789" s="10"/>
      <c r="CT789" s="10"/>
      <c r="CU789" s="10"/>
      <c r="CV789" s="10"/>
      <c r="CW789" s="10"/>
      <c r="CX789" s="10"/>
      <c r="CY789" s="10"/>
      <c r="CZ789" s="10"/>
      <c r="DA789" s="10"/>
      <c r="DB789" s="10"/>
      <c r="DC789" s="10"/>
      <c r="DD789" s="10"/>
      <c r="DE789" s="10"/>
      <c r="DF789" s="10"/>
      <c r="DG789" s="10"/>
      <c r="DH789" s="10"/>
      <c r="DI789" s="10"/>
      <c r="DJ789" s="10"/>
      <c r="DK789" s="10"/>
      <c r="DL789" s="10"/>
      <c r="DM789" s="10"/>
      <c r="DN789" s="10"/>
      <c r="DO789" s="10"/>
      <c r="DP789" s="10"/>
      <c r="DQ789" s="10"/>
      <c r="DR789" s="10"/>
      <c r="DS789" s="10"/>
      <c r="DT789" s="10"/>
      <c r="DU789" s="10"/>
      <c r="DV789" s="10"/>
      <c r="DW789" s="10"/>
      <c r="DX789" s="10"/>
      <c r="DY789" s="10"/>
      <c r="DZ789" s="10"/>
      <c r="EA789" s="10"/>
      <c r="EB789" s="10"/>
      <c r="EC789" s="10"/>
      <c r="ED789" s="10"/>
      <c r="EE789" s="10"/>
      <c r="EF789" s="10"/>
      <c r="EG789" s="10"/>
      <c r="EH789" s="10"/>
      <c r="EI789" s="10"/>
      <c r="EJ789" s="10"/>
      <c r="EK789" s="10"/>
      <c r="EL789" s="10"/>
      <c r="EM789" s="10"/>
      <c r="EN789" s="10"/>
      <c r="EO789" s="10"/>
      <c r="EP789" s="10"/>
      <c r="EQ789" s="10"/>
      <c r="ER789" s="10"/>
      <c r="ES789" s="10"/>
      <c r="ET789" s="10"/>
      <c r="EU789" s="10"/>
      <c r="EV789" s="10"/>
      <c r="EW789" s="10"/>
      <c r="EX789" s="10"/>
      <c r="EY789" s="10"/>
      <c r="EZ789" s="10"/>
      <c r="FA789" s="10"/>
      <c r="FB789" s="10"/>
      <c r="FC789" s="10"/>
      <c r="FD789" s="10"/>
      <c r="FE789" s="10"/>
      <c r="FF789" s="10"/>
      <c r="FG789" s="10"/>
      <c r="FH789" s="10"/>
      <c r="FI789" s="10"/>
      <c r="FJ789" s="10"/>
      <c r="FK789" s="10"/>
      <c r="FL789" s="10"/>
      <c r="FM789" s="10"/>
      <c r="FN789" s="10"/>
      <c r="FO789" s="10"/>
      <c r="FP789" s="10"/>
      <c r="FQ789" s="10"/>
      <c r="FR789" s="10"/>
      <c r="FS789" s="10"/>
      <c r="FT789" s="10"/>
      <c r="FU789" s="10"/>
      <c r="FV789" s="10"/>
      <c r="FW789" s="10"/>
      <c r="FX789" s="10"/>
      <c r="FY789" s="10"/>
      <c r="FZ789" s="10"/>
      <c r="GA789" s="10"/>
      <c r="GB789" s="10"/>
      <c r="GC789" s="10"/>
      <c r="GD789" s="10"/>
      <c r="GE789" s="10"/>
      <c r="GF789" s="10"/>
      <c r="GG789" s="10"/>
      <c r="GH789" s="10"/>
      <c r="GI789" s="10"/>
      <c r="GJ789" s="10"/>
      <c r="GK789" s="10"/>
    </row>
    <row r="790" customFormat="false" ht="12.75" hidden="false" customHeight="false" outlineLevel="0" collapsed="false">
      <c r="A790" s="7"/>
      <c r="B790" s="7"/>
      <c r="C790" s="8"/>
      <c r="D790" s="8"/>
      <c r="E790" s="8"/>
      <c r="F790" s="8"/>
      <c r="G790" s="9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  <c r="BL790" s="10"/>
      <c r="BM790" s="10"/>
      <c r="BN790" s="10"/>
      <c r="BO790" s="10"/>
      <c r="BP790" s="10"/>
      <c r="BQ790" s="10"/>
      <c r="BR790" s="10"/>
      <c r="BS790" s="10"/>
      <c r="BT790" s="10"/>
      <c r="BU790" s="10"/>
      <c r="BV790" s="10"/>
      <c r="BW790" s="10"/>
      <c r="BX790" s="10"/>
      <c r="BY790" s="10"/>
      <c r="BZ790" s="10"/>
      <c r="CA790" s="10"/>
      <c r="CB790" s="10"/>
      <c r="CC790" s="10"/>
      <c r="CD790" s="10"/>
      <c r="CE790" s="10"/>
      <c r="CF790" s="10"/>
      <c r="CG790" s="10"/>
      <c r="CH790" s="10"/>
      <c r="CI790" s="10"/>
      <c r="CJ790" s="10"/>
      <c r="CK790" s="10"/>
      <c r="CL790" s="10"/>
      <c r="CM790" s="10"/>
      <c r="CN790" s="10"/>
      <c r="CO790" s="10"/>
      <c r="CP790" s="10"/>
      <c r="CQ790" s="10"/>
      <c r="CR790" s="10"/>
      <c r="CS790" s="10"/>
      <c r="CT790" s="10"/>
      <c r="CU790" s="10"/>
      <c r="CV790" s="10"/>
      <c r="CW790" s="10"/>
      <c r="CX790" s="10"/>
      <c r="CY790" s="10"/>
      <c r="CZ790" s="10"/>
      <c r="DA790" s="10"/>
      <c r="DB790" s="10"/>
      <c r="DC790" s="10"/>
      <c r="DD790" s="10"/>
      <c r="DE790" s="10"/>
      <c r="DF790" s="10"/>
      <c r="DG790" s="10"/>
      <c r="DH790" s="10"/>
      <c r="DI790" s="10"/>
      <c r="DJ790" s="10"/>
      <c r="DK790" s="10"/>
      <c r="DL790" s="10"/>
      <c r="DM790" s="10"/>
      <c r="DN790" s="10"/>
      <c r="DO790" s="10"/>
      <c r="DP790" s="10"/>
      <c r="DQ790" s="10"/>
      <c r="DR790" s="10"/>
      <c r="DS790" s="10"/>
      <c r="DT790" s="10"/>
      <c r="DU790" s="10"/>
      <c r="DV790" s="10"/>
      <c r="DW790" s="10"/>
      <c r="DX790" s="10"/>
      <c r="DY790" s="10"/>
      <c r="DZ790" s="10"/>
      <c r="EA790" s="10"/>
      <c r="EB790" s="10"/>
      <c r="EC790" s="10"/>
      <c r="ED790" s="10"/>
      <c r="EE790" s="10"/>
      <c r="EF790" s="10"/>
      <c r="EG790" s="10"/>
      <c r="EH790" s="10"/>
      <c r="EI790" s="10"/>
      <c r="EJ790" s="10"/>
      <c r="EK790" s="10"/>
      <c r="EL790" s="10"/>
      <c r="EM790" s="10"/>
      <c r="EN790" s="10"/>
      <c r="EO790" s="10"/>
      <c r="EP790" s="10"/>
      <c r="EQ790" s="10"/>
      <c r="ER790" s="10"/>
      <c r="ES790" s="10"/>
      <c r="ET790" s="10"/>
      <c r="EU790" s="10"/>
      <c r="EV790" s="10"/>
      <c r="EW790" s="10"/>
      <c r="EX790" s="10"/>
      <c r="EY790" s="10"/>
      <c r="EZ790" s="10"/>
      <c r="FA790" s="10"/>
      <c r="FB790" s="10"/>
      <c r="FC790" s="10"/>
      <c r="FD790" s="10"/>
      <c r="FE790" s="10"/>
      <c r="FF790" s="10"/>
      <c r="FG790" s="10"/>
      <c r="FH790" s="10"/>
      <c r="FI790" s="10"/>
      <c r="FJ790" s="10"/>
      <c r="FK790" s="10"/>
      <c r="FL790" s="10"/>
      <c r="FM790" s="10"/>
      <c r="FN790" s="10"/>
      <c r="FO790" s="10"/>
      <c r="FP790" s="10"/>
      <c r="FQ790" s="10"/>
      <c r="FR790" s="10"/>
      <c r="FS790" s="10"/>
      <c r="FT790" s="10"/>
      <c r="FU790" s="10"/>
      <c r="FV790" s="10"/>
      <c r="FW790" s="10"/>
      <c r="FX790" s="10"/>
      <c r="FY790" s="10"/>
      <c r="FZ790" s="10"/>
      <c r="GA790" s="10"/>
      <c r="GB790" s="10"/>
      <c r="GC790" s="10"/>
      <c r="GD790" s="10"/>
      <c r="GE790" s="10"/>
      <c r="GF790" s="10"/>
      <c r="GG790" s="10"/>
      <c r="GH790" s="10"/>
      <c r="GI790" s="10"/>
      <c r="GJ790" s="10"/>
      <c r="GK790" s="10"/>
    </row>
    <row r="791" customFormat="false" ht="12.75" hidden="false" customHeight="false" outlineLevel="0" collapsed="false">
      <c r="A791" s="7"/>
      <c r="B791" s="7"/>
      <c r="C791" s="8"/>
      <c r="D791" s="8"/>
      <c r="E791" s="8"/>
      <c r="F791" s="8"/>
      <c r="G791" s="9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10"/>
      <c r="BP791" s="10"/>
      <c r="BQ791" s="10"/>
      <c r="BR791" s="10"/>
      <c r="BS791" s="10"/>
      <c r="BT791" s="10"/>
      <c r="BU791" s="10"/>
      <c r="BV791" s="10"/>
      <c r="BW791" s="10"/>
      <c r="BX791" s="10"/>
      <c r="BY791" s="10"/>
      <c r="BZ791" s="10"/>
      <c r="CA791" s="10"/>
      <c r="CB791" s="10"/>
      <c r="CC791" s="10"/>
      <c r="CD791" s="10"/>
      <c r="CE791" s="10"/>
      <c r="CF791" s="10"/>
      <c r="CG791" s="10"/>
      <c r="CH791" s="10"/>
      <c r="CI791" s="10"/>
      <c r="CJ791" s="10"/>
      <c r="CK791" s="10"/>
      <c r="CL791" s="10"/>
      <c r="CM791" s="10"/>
      <c r="CN791" s="10"/>
      <c r="CO791" s="10"/>
      <c r="CP791" s="10"/>
      <c r="CQ791" s="10"/>
      <c r="CR791" s="10"/>
      <c r="CS791" s="10"/>
      <c r="CT791" s="10"/>
      <c r="CU791" s="10"/>
      <c r="CV791" s="10"/>
      <c r="CW791" s="10"/>
      <c r="CX791" s="10"/>
      <c r="CY791" s="10"/>
      <c r="CZ791" s="10"/>
      <c r="DA791" s="10"/>
      <c r="DB791" s="10"/>
      <c r="DC791" s="10"/>
      <c r="DD791" s="10"/>
      <c r="DE791" s="10"/>
      <c r="DF791" s="10"/>
      <c r="DG791" s="10"/>
      <c r="DH791" s="10"/>
      <c r="DI791" s="10"/>
      <c r="DJ791" s="10"/>
      <c r="DK791" s="10"/>
      <c r="DL791" s="10"/>
      <c r="DM791" s="10"/>
      <c r="DN791" s="10"/>
      <c r="DO791" s="10"/>
      <c r="DP791" s="10"/>
      <c r="DQ791" s="10"/>
      <c r="DR791" s="10"/>
      <c r="DS791" s="10"/>
      <c r="DT791" s="10"/>
      <c r="DU791" s="10"/>
      <c r="DV791" s="10"/>
      <c r="DW791" s="10"/>
      <c r="DX791" s="10"/>
      <c r="DY791" s="10"/>
      <c r="DZ791" s="10"/>
      <c r="EA791" s="10"/>
      <c r="EB791" s="10"/>
      <c r="EC791" s="10"/>
      <c r="ED791" s="10"/>
      <c r="EE791" s="10"/>
      <c r="EF791" s="10"/>
      <c r="EG791" s="10"/>
      <c r="EH791" s="10"/>
      <c r="EI791" s="10"/>
      <c r="EJ791" s="10"/>
      <c r="EK791" s="10"/>
      <c r="EL791" s="10"/>
      <c r="EM791" s="10"/>
      <c r="EN791" s="10"/>
      <c r="EO791" s="10"/>
      <c r="EP791" s="10"/>
      <c r="EQ791" s="10"/>
      <c r="ER791" s="10"/>
      <c r="ES791" s="10"/>
      <c r="ET791" s="10"/>
      <c r="EU791" s="10"/>
      <c r="EV791" s="10"/>
      <c r="EW791" s="10"/>
      <c r="EX791" s="10"/>
      <c r="EY791" s="10"/>
      <c r="EZ791" s="10"/>
      <c r="FA791" s="10"/>
      <c r="FB791" s="10"/>
      <c r="FC791" s="10"/>
      <c r="FD791" s="10"/>
      <c r="FE791" s="10"/>
      <c r="FF791" s="10"/>
      <c r="FG791" s="10"/>
      <c r="FH791" s="10"/>
      <c r="FI791" s="10"/>
      <c r="FJ791" s="10"/>
      <c r="FK791" s="10"/>
      <c r="FL791" s="10"/>
      <c r="FM791" s="10"/>
      <c r="FN791" s="10"/>
      <c r="FO791" s="10"/>
      <c r="FP791" s="10"/>
      <c r="FQ791" s="10"/>
      <c r="FR791" s="10"/>
      <c r="FS791" s="10"/>
      <c r="FT791" s="10"/>
      <c r="FU791" s="10"/>
      <c r="FV791" s="10"/>
      <c r="FW791" s="10"/>
      <c r="FX791" s="10"/>
      <c r="FY791" s="10"/>
      <c r="FZ791" s="10"/>
      <c r="GA791" s="10"/>
      <c r="GB791" s="10"/>
      <c r="GC791" s="10"/>
      <c r="GD791" s="10"/>
      <c r="GE791" s="10"/>
      <c r="GF791" s="10"/>
      <c r="GG791" s="10"/>
      <c r="GH791" s="10"/>
      <c r="GI791" s="10"/>
      <c r="GJ791" s="10"/>
      <c r="GK791" s="10"/>
    </row>
    <row r="792" customFormat="false" ht="12.75" hidden="false" customHeight="false" outlineLevel="0" collapsed="false">
      <c r="A792" s="7"/>
      <c r="B792" s="7"/>
      <c r="C792" s="8"/>
      <c r="D792" s="8"/>
      <c r="E792" s="8"/>
      <c r="F792" s="8"/>
      <c r="G792" s="9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  <c r="BO792" s="10"/>
      <c r="BP792" s="10"/>
      <c r="BQ792" s="10"/>
      <c r="BR792" s="10"/>
      <c r="BS792" s="10"/>
      <c r="BT792" s="10"/>
      <c r="BU792" s="10"/>
      <c r="BV792" s="10"/>
      <c r="BW792" s="10"/>
      <c r="BX792" s="10"/>
      <c r="BY792" s="10"/>
      <c r="BZ792" s="10"/>
      <c r="CA792" s="10"/>
      <c r="CB792" s="10"/>
      <c r="CC792" s="10"/>
      <c r="CD792" s="10"/>
      <c r="CE792" s="10"/>
      <c r="CF792" s="10"/>
      <c r="CG792" s="10"/>
      <c r="CH792" s="10"/>
      <c r="CI792" s="10"/>
      <c r="CJ792" s="10"/>
      <c r="CK792" s="10"/>
      <c r="CL792" s="10"/>
      <c r="CM792" s="10"/>
      <c r="CN792" s="10"/>
      <c r="CO792" s="10"/>
      <c r="CP792" s="10"/>
      <c r="CQ792" s="10"/>
      <c r="CR792" s="10"/>
      <c r="CS792" s="10"/>
      <c r="CT792" s="10"/>
      <c r="CU792" s="10"/>
      <c r="CV792" s="10"/>
      <c r="CW792" s="10"/>
      <c r="CX792" s="10"/>
      <c r="CY792" s="10"/>
      <c r="CZ792" s="10"/>
      <c r="DA792" s="10"/>
      <c r="DB792" s="10"/>
      <c r="DC792" s="10"/>
      <c r="DD792" s="10"/>
      <c r="DE792" s="10"/>
      <c r="DF792" s="10"/>
      <c r="DG792" s="10"/>
      <c r="DH792" s="10"/>
      <c r="DI792" s="10"/>
      <c r="DJ792" s="10"/>
      <c r="DK792" s="10"/>
      <c r="DL792" s="10"/>
      <c r="DM792" s="10"/>
      <c r="DN792" s="10"/>
      <c r="DO792" s="10"/>
      <c r="DP792" s="10"/>
      <c r="DQ792" s="10"/>
      <c r="DR792" s="10"/>
      <c r="DS792" s="10"/>
      <c r="DT792" s="10"/>
      <c r="DU792" s="10"/>
      <c r="DV792" s="10"/>
      <c r="DW792" s="10"/>
      <c r="DX792" s="10"/>
      <c r="DY792" s="10"/>
      <c r="DZ792" s="10"/>
      <c r="EA792" s="10"/>
      <c r="EB792" s="10"/>
      <c r="EC792" s="10"/>
      <c r="ED792" s="10"/>
      <c r="EE792" s="10"/>
      <c r="EF792" s="10"/>
      <c r="EG792" s="10"/>
      <c r="EH792" s="10"/>
      <c r="EI792" s="10"/>
      <c r="EJ792" s="10"/>
      <c r="EK792" s="10"/>
      <c r="EL792" s="10"/>
      <c r="EM792" s="10"/>
      <c r="EN792" s="10"/>
      <c r="EO792" s="10"/>
      <c r="EP792" s="10"/>
      <c r="EQ792" s="10"/>
      <c r="ER792" s="10"/>
      <c r="ES792" s="10"/>
      <c r="ET792" s="10"/>
      <c r="EU792" s="10"/>
      <c r="EV792" s="10"/>
      <c r="EW792" s="10"/>
      <c r="EX792" s="10"/>
      <c r="EY792" s="10"/>
      <c r="EZ792" s="10"/>
      <c r="FA792" s="10"/>
      <c r="FB792" s="10"/>
      <c r="FC792" s="10"/>
      <c r="FD792" s="10"/>
      <c r="FE792" s="10"/>
      <c r="FF792" s="10"/>
      <c r="FG792" s="10"/>
      <c r="FH792" s="10"/>
      <c r="FI792" s="10"/>
      <c r="FJ792" s="10"/>
      <c r="FK792" s="10"/>
      <c r="FL792" s="10"/>
      <c r="FM792" s="10"/>
      <c r="FN792" s="10"/>
      <c r="FO792" s="10"/>
      <c r="FP792" s="10"/>
      <c r="FQ792" s="10"/>
      <c r="FR792" s="10"/>
      <c r="FS792" s="10"/>
      <c r="FT792" s="10"/>
      <c r="FU792" s="10"/>
      <c r="FV792" s="10"/>
      <c r="FW792" s="10"/>
      <c r="FX792" s="10"/>
      <c r="FY792" s="10"/>
      <c r="FZ792" s="10"/>
      <c r="GA792" s="10"/>
      <c r="GB792" s="10"/>
      <c r="GC792" s="10"/>
      <c r="GD792" s="10"/>
      <c r="GE792" s="10"/>
      <c r="GF792" s="10"/>
      <c r="GG792" s="10"/>
      <c r="GH792" s="10"/>
      <c r="GI792" s="10"/>
      <c r="GJ792" s="10"/>
      <c r="GK792" s="10"/>
    </row>
    <row r="793" customFormat="false" ht="12.75" hidden="false" customHeight="false" outlineLevel="0" collapsed="false">
      <c r="A793" s="7"/>
      <c r="B793" s="7"/>
      <c r="C793" s="8"/>
      <c r="D793" s="8"/>
      <c r="E793" s="8"/>
      <c r="F793" s="8"/>
      <c r="G793" s="9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  <c r="BO793" s="10"/>
      <c r="BP793" s="10"/>
      <c r="BQ793" s="10"/>
      <c r="BR793" s="10"/>
      <c r="BS793" s="10"/>
      <c r="BT793" s="10"/>
      <c r="BU793" s="10"/>
      <c r="BV793" s="10"/>
      <c r="BW793" s="10"/>
      <c r="BX793" s="10"/>
      <c r="BY793" s="10"/>
      <c r="BZ793" s="10"/>
      <c r="CA793" s="10"/>
      <c r="CB793" s="10"/>
      <c r="CC793" s="10"/>
      <c r="CD793" s="10"/>
      <c r="CE793" s="10"/>
      <c r="CF793" s="10"/>
      <c r="CG793" s="10"/>
      <c r="CH793" s="10"/>
      <c r="CI793" s="10"/>
      <c r="CJ793" s="10"/>
      <c r="CK793" s="10"/>
      <c r="CL793" s="10"/>
      <c r="CM793" s="10"/>
      <c r="CN793" s="10"/>
      <c r="CO793" s="10"/>
      <c r="CP793" s="10"/>
      <c r="CQ793" s="10"/>
      <c r="CR793" s="10"/>
      <c r="CS793" s="10"/>
      <c r="CT793" s="10"/>
      <c r="CU793" s="10"/>
      <c r="CV793" s="10"/>
      <c r="CW793" s="10"/>
      <c r="CX793" s="10"/>
      <c r="CY793" s="10"/>
      <c r="CZ793" s="10"/>
      <c r="DA793" s="10"/>
      <c r="DB793" s="10"/>
      <c r="DC793" s="10"/>
      <c r="DD793" s="10"/>
      <c r="DE793" s="10"/>
      <c r="DF793" s="10"/>
      <c r="DG793" s="10"/>
      <c r="DH793" s="10"/>
      <c r="DI793" s="10"/>
      <c r="DJ793" s="10"/>
      <c r="DK793" s="10"/>
      <c r="DL793" s="10"/>
      <c r="DM793" s="10"/>
      <c r="DN793" s="10"/>
      <c r="DO793" s="10"/>
      <c r="DP793" s="10"/>
      <c r="DQ793" s="10"/>
      <c r="DR793" s="10"/>
      <c r="DS793" s="10"/>
      <c r="DT793" s="10"/>
      <c r="DU793" s="10"/>
      <c r="DV793" s="10"/>
      <c r="DW793" s="10"/>
      <c r="DX793" s="10"/>
      <c r="DY793" s="10"/>
      <c r="DZ793" s="10"/>
      <c r="EA793" s="10"/>
      <c r="EB793" s="10"/>
      <c r="EC793" s="10"/>
      <c r="ED793" s="10"/>
      <c r="EE793" s="10"/>
      <c r="EF793" s="10"/>
      <c r="EG793" s="10"/>
      <c r="EH793" s="10"/>
      <c r="EI793" s="10"/>
      <c r="EJ793" s="10"/>
      <c r="EK793" s="10"/>
      <c r="EL793" s="10"/>
      <c r="EM793" s="10"/>
      <c r="EN793" s="10"/>
      <c r="EO793" s="10"/>
      <c r="EP793" s="10"/>
      <c r="EQ793" s="10"/>
      <c r="ER793" s="10"/>
      <c r="ES793" s="10"/>
      <c r="ET793" s="10"/>
      <c r="EU793" s="10"/>
      <c r="EV793" s="10"/>
      <c r="EW793" s="10"/>
      <c r="EX793" s="10"/>
      <c r="EY793" s="10"/>
      <c r="EZ793" s="10"/>
      <c r="FA793" s="10"/>
      <c r="FB793" s="10"/>
      <c r="FC793" s="10"/>
      <c r="FD793" s="10"/>
      <c r="FE793" s="10"/>
      <c r="FF793" s="10"/>
      <c r="FG793" s="10"/>
      <c r="FH793" s="10"/>
      <c r="FI793" s="10"/>
      <c r="FJ793" s="10"/>
      <c r="FK793" s="10"/>
      <c r="FL793" s="10"/>
      <c r="FM793" s="10"/>
      <c r="FN793" s="10"/>
      <c r="FO793" s="10"/>
      <c r="FP793" s="10"/>
      <c r="FQ793" s="10"/>
      <c r="FR793" s="10"/>
      <c r="FS793" s="10"/>
      <c r="FT793" s="10"/>
      <c r="FU793" s="10"/>
      <c r="FV793" s="10"/>
      <c r="FW793" s="10"/>
      <c r="FX793" s="10"/>
      <c r="FY793" s="10"/>
      <c r="FZ793" s="10"/>
      <c r="GA793" s="10"/>
      <c r="GB793" s="10"/>
      <c r="GC793" s="10"/>
      <c r="GD793" s="10"/>
      <c r="GE793" s="10"/>
      <c r="GF793" s="10"/>
      <c r="GG793" s="10"/>
      <c r="GH793" s="10"/>
      <c r="GI793" s="10"/>
      <c r="GJ793" s="10"/>
      <c r="GK793" s="10"/>
    </row>
    <row r="794" customFormat="false" ht="12.75" hidden="false" customHeight="false" outlineLevel="0" collapsed="false">
      <c r="A794" s="7"/>
      <c r="B794" s="7"/>
      <c r="C794" s="8"/>
      <c r="D794" s="8"/>
      <c r="E794" s="8"/>
      <c r="F794" s="8"/>
      <c r="G794" s="9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  <c r="BO794" s="10"/>
      <c r="BP794" s="10"/>
      <c r="BQ794" s="10"/>
      <c r="BR794" s="10"/>
      <c r="BS794" s="10"/>
      <c r="BT794" s="10"/>
      <c r="BU794" s="10"/>
      <c r="BV794" s="10"/>
      <c r="BW794" s="10"/>
      <c r="BX794" s="10"/>
      <c r="BY794" s="10"/>
      <c r="BZ794" s="10"/>
      <c r="CA794" s="10"/>
      <c r="CB794" s="10"/>
      <c r="CC794" s="10"/>
      <c r="CD794" s="10"/>
      <c r="CE794" s="10"/>
      <c r="CF794" s="10"/>
      <c r="CG794" s="10"/>
      <c r="CH794" s="10"/>
      <c r="CI794" s="10"/>
      <c r="CJ794" s="10"/>
      <c r="CK794" s="10"/>
      <c r="CL794" s="10"/>
      <c r="CM794" s="10"/>
      <c r="CN794" s="10"/>
      <c r="CO794" s="10"/>
      <c r="CP794" s="10"/>
      <c r="CQ794" s="10"/>
      <c r="CR794" s="10"/>
      <c r="CS794" s="10"/>
      <c r="CT794" s="10"/>
      <c r="CU794" s="10"/>
      <c r="CV794" s="10"/>
      <c r="CW794" s="10"/>
      <c r="CX794" s="10"/>
      <c r="CY794" s="10"/>
      <c r="CZ794" s="10"/>
      <c r="DA794" s="10"/>
      <c r="DB794" s="10"/>
      <c r="DC794" s="10"/>
      <c r="DD794" s="10"/>
      <c r="DE794" s="10"/>
      <c r="DF794" s="10"/>
      <c r="DG794" s="10"/>
      <c r="DH794" s="10"/>
      <c r="DI794" s="10"/>
      <c r="DJ794" s="10"/>
      <c r="DK794" s="10"/>
      <c r="DL794" s="10"/>
      <c r="DM794" s="10"/>
      <c r="DN794" s="10"/>
      <c r="DO794" s="10"/>
      <c r="DP794" s="10"/>
      <c r="DQ794" s="10"/>
      <c r="DR794" s="10"/>
      <c r="DS794" s="10"/>
      <c r="DT794" s="10"/>
      <c r="DU794" s="10"/>
      <c r="DV794" s="10"/>
      <c r="DW794" s="10"/>
      <c r="DX794" s="10"/>
      <c r="DY794" s="10"/>
      <c r="DZ794" s="10"/>
      <c r="EA794" s="10"/>
      <c r="EB794" s="10"/>
      <c r="EC794" s="10"/>
      <c r="ED794" s="10"/>
      <c r="EE794" s="10"/>
      <c r="EF794" s="10"/>
      <c r="EG794" s="10"/>
      <c r="EH794" s="10"/>
      <c r="EI794" s="10"/>
      <c r="EJ794" s="10"/>
      <c r="EK794" s="10"/>
      <c r="EL794" s="10"/>
      <c r="EM794" s="10"/>
      <c r="EN794" s="10"/>
      <c r="EO794" s="10"/>
      <c r="EP794" s="10"/>
      <c r="EQ794" s="10"/>
      <c r="ER794" s="10"/>
      <c r="ES794" s="10"/>
      <c r="ET794" s="10"/>
      <c r="EU794" s="10"/>
      <c r="EV794" s="10"/>
      <c r="EW794" s="10"/>
      <c r="EX794" s="10"/>
      <c r="EY794" s="10"/>
      <c r="EZ794" s="10"/>
      <c r="FA794" s="10"/>
      <c r="FB794" s="10"/>
      <c r="FC794" s="10"/>
      <c r="FD794" s="10"/>
      <c r="FE794" s="10"/>
      <c r="FF794" s="10"/>
      <c r="FG794" s="10"/>
      <c r="FH794" s="10"/>
      <c r="FI794" s="10"/>
      <c r="FJ794" s="10"/>
      <c r="FK794" s="10"/>
      <c r="FL794" s="10"/>
      <c r="FM794" s="10"/>
      <c r="FN794" s="10"/>
      <c r="FO794" s="10"/>
      <c r="FP794" s="10"/>
      <c r="FQ794" s="10"/>
      <c r="FR794" s="10"/>
      <c r="FS794" s="10"/>
      <c r="FT794" s="10"/>
      <c r="FU794" s="10"/>
      <c r="FV794" s="10"/>
      <c r="FW794" s="10"/>
      <c r="FX794" s="10"/>
      <c r="FY794" s="10"/>
      <c r="FZ794" s="10"/>
      <c r="GA794" s="10"/>
      <c r="GB794" s="10"/>
      <c r="GC794" s="10"/>
      <c r="GD794" s="10"/>
      <c r="GE794" s="10"/>
      <c r="GF794" s="10"/>
      <c r="GG794" s="10"/>
      <c r="GH794" s="10"/>
      <c r="GI794" s="10"/>
      <c r="GJ794" s="10"/>
      <c r="GK794" s="10"/>
    </row>
    <row r="795" customFormat="false" ht="12.75" hidden="false" customHeight="false" outlineLevel="0" collapsed="false">
      <c r="A795" s="7"/>
      <c r="B795" s="7"/>
      <c r="C795" s="8"/>
      <c r="D795" s="8"/>
      <c r="E795" s="8"/>
      <c r="F795" s="8"/>
      <c r="G795" s="9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  <c r="BM795" s="10"/>
      <c r="BN795" s="10"/>
      <c r="BO795" s="10"/>
      <c r="BP795" s="10"/>
      <c r="BQ795" s="10"/>
      <c r="BR795" s="10"/>
      <c r="BS795" s="10"/>
      <c r="BT795" s="10"/>
      <c r="BU795" s="10"/>
      <c r="BV795" s="10"/>
      <c r="BW795" s="10"/>
      <c r="BX795" s="10"/>
      <c r="BY795" s="10"/>
      <c r="BZ795" s="10"/>
      <c r="CA795" s="10"/>
      <c r="CB795" s="10"/>
      <c r="CC795" s="10"/>
      <c r="CD795" s="10"/>
      <c r="CE795" s="10"/>
      <c r="CF795" s="10"/>
      <c r="CG795" s="10"/>
      <c r="CH795" s="10"/>
      <c r="CI795" s="10"/>
      <c r="CJ795" s="10"/>
      <c r="CK795" s="10"/>
      <c r="CL795" s="10"/>
      <c r="CM795" s="10"/>
      <c r="CN795" s="10"/>
      <c r="CO795" s="10"/>
      <c r="CP795" s="10"/>
      <c r="CQ795" s="10"/>
      <c r="CR795" s="10"/>
      <c r="CS795" s="10"/>
      <c r="CT795" s="10"/>
      <c r="CU795" s="10"/>
      <c r="CV795" s="10"/>
      <c r="CW795" s="10"/>
      <c r="CX795" s="10"/>
      <c r="CY795" s="10"/>
      <c r="CZ795" s="10"/>
      <c r="DA795" s="10"/>
      <c r="DB795" s="10"/>
      <c r="DC795" s="10"/>
      <c r="DD795" s="10"/>
      <c r="DE795" s="10"/>
      <c r="DF795" s="10"/>
      <c r="DG795" s="10"/>
      <c r="DH795" s="10"/>
      <c r="DI795" s="10"/>
      <c r="DJ795" s="10"/>
      <c r="DK795" s="10"/>
      <c r="DL795" s="10"/>
      <c r="DM795" s="10"/>
      <c r="DN795" s="10"/>
      <c r="DO795" s="10"/>
      <c r="DP795" s="10"/>
      <c r="DQ795" s="10"/>
      <c r="DR795" s="10"/>
      <c r="DS795" s="10"/>
      <c r="DT795" s="10"/>
      <c r="DU795" s="10"/>
      <c r="DV795" s="10"/>
      <c r="DW795" s="10"/>
      <c r="DX795" s="10"/>
      <c r="DY795" s="10"/>
      <c r="DZ795" s="10"/>
      <c r="EA795" s="10"/>
      <c r="EB795" s="10"/>
      <c r="EC795" s="10"/>
      <c r="ED795" s="10"/>
      <c r="EE795" s="10"/>
      <c r="EF795" s="10"/>
      <c r="EG795" s="10"/>
      <c r="EH795" s="10"/>
      <c r="EI795" s="10"/>
      <c r="EJ795" s="10"/>
      <c r="EK795" s="10"/>
      <c r="EL795" s="10"/>
      <c r="EM795" s="10"/>
      <c r="EN795" s="10"/>
      <c r="EO795" s="10"/>
      <c r="EP795" s="10"/>
      <c r="EQ795" s="10"/>
      <c r="ER795" s="10"/>
      <c r="ES795" s="10"/>
      <c r="ET795" s="10"/>
      <c r="EU795" s="10"/>
      <c r="EV795" s="10"/>
      <c r="EW795" s="10"/>
      <c r="EX795" s="10"/>
      <c r="EY795" s="10"/>
      <c r="EZ795" s="10"/>
      <c r="FA795" s="10"/>
      <c r="FB795" s="10"/>
      <c r="FC795" s="10"/>
      <c r="FD795" s="10"/>
      <c r="FE795" s="10"/>
      <c r="FF795" s="10"/>
      <c r="FG795" s="10"/>
      <c r="FH795" s="10"/>
      <c r="FI795" s="10"/>
      <c r="FJ795" s="10"/>
      <c r="FK795" s="10"/>
      <c r="FL795" s="10"/>
      <c r="FM795" s="10"/>
      <c r="FN795" s="10"/>
      <c r="FO795" s="10"/>
      <c r="FP795" s="10"/>
      <c r="FQ795" s="10"/>
      <c r="FR795" s="10"/>
      <c r="FS795" s="10"/>
      <c r="FT795" s="10"/>
      <c r="FU795" s="10"/>
      <c r="FV795" s="10"/>
      <c r="FW795" s="10"/>
      <c r="FX795" s="10"/>
      <c r="FY795" s="10"/>
      <c r="FZ795" s="10"/>
      <c r="GA795" s="10"/>
      <c r="GB795" s="10"/>
      <c r="GC795" s="10"/>
      <c r="GD795" s="10"/>
      <c r="GE795" s="10"/>
      <c r="GF795" s="10"/>
      <c r="GG795" s="10"/>
      <c r="GH795" s="10"/>
      <c r="GI795" s="10"/>
      <c r="GJ795" s="10"/>
      <c r="GK795" s="10"/>
    </row>
    <row r="796" customFormat="false" ht="12.75" hidden="false" customHeight="false" outlineLevel="0" collapsed="false">
      <c r="A796" s="7"/>
      <c r="B796" s="7"/>
      <c r="C796" s="8"/>
      <c r="D796" s="8"/>
      <c r="E796" s="8"/>
      <c r="F796" s="8"/>
      <c r="G796" s="9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/>
      <c r="BL796" s="10"/>
      <c r="BM796" s="10"/>
      <c r="BN796" s="10"/>
      <c r="BO796" s="10"/>
      <c r="BP796" s="10"/>
      <c r="BQ796" s="10"/>
      <c r="BR796" s="10"/>
      <c r="BS796" s="10"/>
      <c r="BT796" s="10"/>
      <c r="BU796" s="10"/>
      <c r="BV796" s="10"/>
      <c r="BW796" s="10"/>
      <c r="BX796" s="10"/>
      <c r="BY796" s="10"/>
      <c r="BZ796" s="10"/>
      <c r="CA796" s="10"/>
      <c r="CB796" s="10"/>
      <c r="CC796" s="10"/>
      <c r="CD796" s="10"/>
      <c r="CE796" s="10"/>
      <c r="CF796" s="10"/>
      <c r="CG796" s="10"/>
      <c r="CH796" s="10"/>
      <c r="CI796" s="10"/>
      <c r="CJ796" s="10"/>
      <c r="CK796" s="10"/>
      <c r="CL796" s="10"/>
      <c r="CM796" s="10"/>
      <c r="CN796" s="10"/>
      <c r="CO796" s="10"/>
      <c r="CP796" s="10"/>
      <c r="CQ796" s="10"/>
      <c r="CR796" s="10"/>
      <c r="CS796" s="10"/>
      <c r="CT796" s="10"/>
      <c r="CU796" s="10"/>
      <c r="CV796" s="10"/>
      <c r="CW796" s="10"/>
      <c r="CX796" s="10"/>
      <c r="CY796" s="10"/>
      <c r="CZ796" s="10"/>
      <c r="DA796" s="10"/>
      <c r="DB796" s="10"/>
      <c r="DC796" s="10"/>
      <c r="DD796" s="10"/>
      <c r="DE796" s="10"/>
      <c r="DF796" s="10"/>
      <c r="DG796" s="10"/>
      <c r="DH796" s="10"/>
      <c r="DI796" s="10"/>
      <c r="DJ796" s="10"/>
      <c r="DK796" s="10"/>
      <c r="DL796" s="10"/>
      <c r="DM796" s="10"/>
      <c r="DN796" s="10"/>
      <c r="DO796" s="10"/>
      <c r="DP796" s="10"/>
      <c r="DQ796" s="10"/>
      <c r="DR796" s="10"/>
      <c r="DS796" s="10"/>
      <c r="DT796" s="10"/>
      <c r="DU796" s="10"/>
      <c r="DV796" s="10"/>
      <c r="DW796" s="10"/>
      <c r="DX796" s="10"/>
      <c r="DY796" s="10"/>
      <c r="DZ796" s="10"/>
      <c r="EA796" s="10"/>
      <c r="EB796" s="10"/>
      <c r="EC796" s="10"/>
      <c r="ED796" s="10"/>
      <c r="EE796" s="10"/>
      <c r="EF796" s="10"/>
      <c r="EG796" s="10"/>
      <c r="EH796" s="10"/>
      <c r="EI796" s="10"/>
      <c r="EJ796" s="10"/>
      <c r="EK796" s="10"/>
      <c r="EL796" s="10"/>
      <c r="EM796" s="10"/>
      <c r="EN796" s="10"/>
      <c r="EO796" s="10"/>
      <c r="EP796" s="10"/>
      <c r="EQ796" s="10"/>
      <c r="ER796" s="10"/>
      <c r="ES796" s="10"/>
      <c r="ET796" s="10"/>
      <c r="EU796" s="10"/>
      <c r="EV796" s="10"/>
      <c r="EW796" s="10"/>
      <c r="EX796" s="10"/>
      <c r="EY796" s="10"/>
      <c r="EZ796" s="10"/>
      <c r="FA796" s="10"/>
      <c r="FB796" s="10"/>
      <c r="FC796" s="10"/>
      <c r="FD796" s="10"/>
      <c r="FE796" s="10"/>
      <c r="FF796" s="10"/>
      <c r="FG796" s="10"/>
      <c r="FH796" s="10"/>
      <c r="FI796" s="10"/>
      <c r="FJ796" s="10"/>
      <c r="FK796" s="10"/>
      <c r="FL796" s="10"/>
      <c r="FM796" s="10"/>
      <c r="FN796" s="10"/>
      <c r="FO796" s="10"/>
      <c r="FP796" s="10"/>
      <c r="FQ796" s="10"/>
      <c r="FR796" s="10"/>
      <c r="FS796" s="10"/>
      <c r="FT796" s="10"/>
      <c r="FU796" s="10"/>
      <c r="FV796" s="10"/>
      <c r="FW796" s="10"/>
      <c r="FX796" s="10"/>
      <c r="FY796" s="10"/>
      <c r="FZ796" s="10"/>
      <c r="GA796" s="10"/>
      <c r="GB796" s="10"/>
      <c r="GC796" s="10"/>
      <c r="GD796" s="10"/>
      <c r="GE796" s="10"/>
      <c r="GF796" s="10"/>
      <c r="GG796" s="10"/>
      <c r="GH796" s="10"/>
      <c r="GI796" s="10"/>
      <c r="GJ796" s="10"/>
      <c r="GK796" s="10"/>
    </row>
    <row r="797" customFormat="false" ht="12.75" hidden="false" customHeight="false" outlineLevel="0" collapsed="false">
      <c r="A797" s="7"/>
      <c r="B797" s="7"/>
      <c r="C797" s="8"/>
      <c r="D797" s="8"/>
      <c r="E797" s="8"/>
      <c r="F797" s="8"/>
      <c r="G797" s="9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  <c r="BL797" s="10"/>
      <c r="BM797" s="10"/>
      <c r="BN797" s="10"/>
      <c r="BO797" s="10"/>
      <c r="BP797" s="10"/>
      <c r="BQ797" s="10"/>
      <c r="BR797" s="10"/>
      <c r="BS797" s="10"/>
      <c r="BT797" s="10"/>
      <c r="BU797" s="10"/>
      <c r="BV797" s="10"/>
      <c r="BW797" s="10"/>
      <c r="BX797" s="10"/>
      <c r="BY797" s="10"/>
      <c r="BZ797" s="10"/>
      <c r="CA797" s="10"/>
      <c r="CB797" s="10"/>
      <c r="CC797" s="10"/>
      <c r="CD797" s="10"/>
      <c r="CE797" s="10"/>
      <c r="CF797" s="10"/>
      <c r="CG797" s="10"/>
      <c r="CH797" s="10"/>
      <c r="CI797" s="10"/>
      <c r="CJ797" s="10"/>
      <c r="CK797" s="10"/>
      <c r="CL797" s="10"/>
      <c r="CM797" s="10"/>
      <c r="CN797" s="10"/>
      <c r="CO797" s="10"/>
      <c r="CP797" s="10"/>
      <c r="CQ797" s="10"/>
      <c r="CR797" s="10"/>
      <c r="CS797" s="10"/>
      <c r="CT797" s="10"/>
      <c r="CU797" s="10"/>
      <c r="CV797" s="10"/>
      <c r="CW797" s="10"/>
      <c r="CX797" s="10"/>
      <c r="CY797" s="10"/>
      <c r="CZ797" s="10"/>
      <c r="DA797" s="10"/>
      <c r="DB797" s="10"/>
      <c r="DC797" s="10"/>
      <c r="DD797" s="10"/>
      <c r="DE797" s="10"/>
      <c r="DF797" s="10"/>
      <c r="DG797" s="10"/>
      <c r="DH797" s="10"/>
      <c r="DI797" s="10"/>
      <c r="DJ797" s="10"/>
      <c r="DK797" s="10"/>
      <c r="DL797" s="10"/>
      <c r="DM797" s="10"/>
      <c r="DN797" s="10"/>
      <c r="DO797" s="10"/>
      <c r="DP797" s="10"/>
      <c r="DQ797" s="10"/>
      <c r="DR797" s="10"/>
      <c r="DS797" s="10"/>
      <c r="DT797" s="10"/>
      <c r="DU797" s="10"/>
      <c r="DV797" s="10"/>
      <c r="DW797" s="10"/>
      <c r="DX797" s="10"/>
      <c r="DY797" s="10"/>
      <c r="DZ797" s="10"/>
      <c r="EA797" s="10"/>
      <c r="EB797" s="10"/>
      <c r="EC797" s="10"/>
      <c r="ED797" s="10"/>
      <c r="EE797" s="10"/>
      <c r="EF797" s="10"/>
      <c r="EG797" s="10"/>
      <c r="EH797" s="10"/>
      <c r="EI797" s="10"/>
      <c r="EJ797" s="10"/>
      <c r="EK797" s="10"/>
      <c r="EL797" s="10"/>
      <c r="EM797" s="10"/>
      <c r="EN797" s="10"/>
      <c r="EO797" s="10"/>
      <c r="EP797" s="10"/>
      <c r="EQ797" s="10"/>
      <c r="ER797" s="10"/>
      <c r="ES797" s="10"/>
      <c r="ET797" s="10"/>
      <c r="EU797" s="10"/>
      <c r="EV797" s="10"/>
      <c r="EW797" s="10"/>
      <c r="EX797" s="10"/>
      <c r="EY797" s="10"/>
      <c r="EZ797" s="10"/>
      <c r="FA797" s="10"/>
      <c r="FB797" s="10"/>
      <c r="FC797" s="10"/>
      <c r="FD797" s="10"/>
      <c r="FE797" s="10"/>
      <c r="FF797" s="10"/>
      <c r="FG797" s="10"/>
      <c r="FH797" s="10"/>
      <c r="FI797" s="10"/>
      <c r="FJ797" s="10"/>
      <c r="FK797" s="10"/>
      <c r="FL797" s="10"/>
      <c r="FM797" s="10"/>
      <c r="FN797" s="10"/>
      <c r="FO797" s="10"/>
      <c r="FP797" s="10"/>
      <c r="FQ797" s="10"/>
      <c r="FR797" s="10"/>
      <c r="FS797" s="10"/>
      <c r="FT797" s="10"/>
      <c r="FU797" s="10"/>
      <c r="FV797" s="10"/>
      <c r="FW797" s="10"/>
      <c r="FX797" s="10"/>
      <c r="FY797" s="10"/>
      <c r="FZ797" s="10"/>
      <c r="GA797" s="10"/>
      <c r="GB797" s="10"/>
      <c r="GC797" s="10"/>
      <c r="GD797" s="10"/>
      <c r="GE797" s="10"/>
      <c r="GF797" s="10"/>
      <c r="GG797" s="10"/>
      <c r="GH797" s="10"/>
      <c r="GI797" s="10"/>
      <c r="GJ797" s="10"/>
      <c r="GK797" s="10"/>
    </row>
    <row r="798" customFormat="false" ht="12.75" hidden="false" customHeight="false" outlineLevel="0" collapsed="false">
      <c r="A798" s="7"/>
      <c r="B798" s="7"/>
      <c r="C798" s="8"/>
      <c r="D798" s="8"/>
      <c r="E798" s="8"/>
      <c r="F798" s="8"/>
      <c r="G798" s="9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10"/>
      <c r="BP798" s="10"/>
      <c r="BQ798" s="10"/>
      <c r="BR798" s="10"/>
      <c r="BS798" s="10"/>
      <c r="BT798" s="10"/>
      <c r="BU798" s="10"/>
      <c r="BV798" s="10"/>
      <c r="BW798" s="10"/>
      <c r="BX798" s="10"/>
      <c r="BY798" s="10"/>
      <c r="BZ798" s="10"/>
      <c r="CA798" s="10"/>
      <c r="CB798" s="10"/>
      <c r="CC798" s="10"/>
      <c r="CD798" s="10"/>
      <c r="CE798" s="10"/>
      <c r="CF798" s="10"/>
      <c r="CG798" s="10"/>
      <c r="CH798" s="10"/>
      <c r="CI798" s="10"/>
      <c r="CJ798" s="10"/>
      <c r="CK798" s="10"/>
      <c r="CL798" s="10"/>
      <c r="CM798" s="10"/>
      <c r="CN798" s="10"/>
      <c r="CO798" s="10"/>
      <c r="CP798" s="10"/>
      <c r="CQ798" s="10"/>
      <c r="CR798" s="10"/>
      <c r="CS798" s="10"/>
      <c r="CT798" s="10"/>
      <c r="CU798" s="10"/>
      <c r="CV798" s="10"/>
      <c r="CW798" s="10"/>
      <c r="CX798" s="10"/>
      <c r="CY798" s="10"/>
      <c r="CZ798" s="10"/>
      <c r="DA798" s="10"/>
      <c r="DB798" s="10"/>
      <c r="DC798" s="10"/>
      <c r="DD798" s="10"/>
      <c r="DE798" s="10"/>
      <c r="DF798" s="10"/>
      <c r="DG798" s="10"/>
      <c r="DH798" s="10"/>
      <c r="DI798" s="10"/>
      <c r="DJ798" s="10"/>
      <c r="DK798" s="10"/>
      <c r="DL798" s="10"/>
      <c r="DM798" s="10"/>
      <c r="DN798" s="10"/>
      <c r="DO798" s="10"/>
      <c r="DP798" s="10"/>
      <c r="DQ798" s="10"/>
      <c r="DR798" s="10"/>
      <c r="DS798" s="10"/>
      <c r="DT798" s="10"/>
      <c r="DU798" s="10"/>
      <c r="DV798" s="10"/>
      <c r="DW798" s="10"/>
      <c r="DX798" s="10"/>
      <c r="DY798" s="10"/>
      <c r="DZ798" s="10"/>
      <c r="EA798" s="10"/>
      <c r="EB798" s="10"/>
      <c r="EC798" s="10"/>
      <c r="ED798" s="10"/>
      <c r="EE798" s="10"/>
      <c r="EF798" s="10"/>
      <c r="EG798" s="10"/>
      <c r="EH798" s="10"/>
      <c r="EI798" s="10"/>
      <c r="EJ798" s="10"/>
      <c r="EK798" s="10"/>
      <c r="EL798" s="10"/>
      <c r="EM798" s="10"/>
      <c r="EN798" s="10"/>
      <c r="EO798" s="10"/>
      <c r="EP798" s="10"/>
      <c r="EQ798" s="10"/>
      <c r="ER798" s="10"/>
      <c r="ES798" s="10"/>
      <c r="ET798" s="10"/>
      <c r="EU798" s="10"/>
      <c r="EV798" s="10"/>
      <c r="EW798" s="10"/>
      <c r="EX798" s="10"/>
      <c r="EY798" s="10"/>
      <c r="EZ798" s="10"/>
      <c r="FA798" s="10"/>
      <c r="FB798" s="10"/>
      <c r="FC798" s="10"/>
      <c r="FD798" s="10"/>
      <c r="FE798" s="10"/>
      <c r="FF798" s="10"/>
      <c r="FG798" s="10"/>
      <c r="FH798" s="10"/>
      <c r="FI798" s="10"/>
      <c r="FJ798" s="10"/>
      <c r="FK798" s="10"/>
      <c r="FL798" s="10"/>
      <c r="FM798" s="10"/>
      <c r="FN798" s="10"/>
      <c r="FO798" s="10"/>
      <c r="FP798" s="10"/>
      <c r="FQ798" s="10"/>
      <c r="FR798" s="10"/>
      <c r="FS798" s="10"/>
      <c r="FT798" s="10"/>
      <c r="FU798" s="10"/>
      <c r="FV798" s="10"/>
      <c r="FW798" s="10"/>
      <c r="FX798" s="10"/>
      <c r="FY798" s="10"/>
      <c r="FZ798" s="10"/>
      <c r="GA798" s="10"/>
      <c r="GB798" s="10"/>
      <c r="GC798" s="10"/>
      <c r="GD798" s="10"/>
      <c r="GE798" s="10"/>
      <c r="GF798" s="10"/>
      <c r="GG798" s="10"/>
      <c r="GH798" s="10"/>
      <c r="GI798" s="10"/>
      <c r="GJ798" s="10"/>
      <c r="GK798" s="10"/>
    </row>
    <row r="799" customFormat="false" ht="12.75" hidden="false" customHeight="false" outlineLevel="0" collapsed="false">
      <c r="A799" s="7"/>
      <c r="B799" s="7"/>
      <c r="C799" s="8"/>
      <c r="D799" s="8"/>
      <c r="E799" s="8"/>
      <c r="F799" s="8"/>
      <c r="G799" s="9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10"/>
      <c r="BP799" s="10"/>
      <c r="BQ799" s="10"/>
      <c r="BR799" s="10"/>
      <c r="BS799" s="10"/>
      <c r="BT799" s="10"/>
      <c r="BU799" s="10"/>
      <c r="BV799" s="10"/>
      <c r="BW799" s="10"/>
      <c r="BX799" s="10"/>
      <c r="BY799" s="10"/>
      <c r="BZ799" s="10"/>
      <c r="CA799" s="10"/>
      <c r="CB799" s="10"/>
      <c r="CC799" s="10"/>
      <c r="CD799" s="10"/>
      <c r="CE799" s="10"/>
      <c r="CF799" s="10"/>
      <c r="CG799" s="10"/>
      <c r="CH799" s="10"/>
      <c r="CI799" s="10"/>
      <c r="CJ799" s="10"/>
      <c r="CK799" s="10"/>
      <c r="CL799" s="10"/>
      <c r="CM799" s="10"/>
      <c r="CN799" s="10"/>
      <c r="CO799" s="10"/>
      <c r="CP799" s="10"/>
      <c r="CQ799" s="10"/>
      <c r="CR799" s="10"/>
      <c r="CS799" s="10"/>
      <c r="CT799" s="10"/>
      <c r="CU799" s="10"/>
      <c r="CV799" s="10"/>
      <c r="CW799" s="10"/>
      <c r="CX799" s="10"/>
      <c r="CY799" s="10"/>
      <c r="CZ799" s="10"/>
      <c r="DA799" s="10"/>
      <c r="DB799" s="10"/>
      <c r="DC799" s="10"/>
      <c r="DD799" s="10"/>
      <c r="DE799" s="10"/>
      <c r="DF799" s="10"/>
      <c r="DG799" s="10"/>
      <c r="DH799" s="10"/>
      <c r="DI799" s="10"/>
      <c r="DJ799" s="10"/>
      <c r="DK799" s="10"/>
      <c r="DL799" s="10"/>
      <c r="DM799" s="10"/>
      <c r="DN799" s="10"/>
      <c r="DO799" s="10"/>
      <c r="DP799" s="10"/>
      <c r="DQ799" s="10"/>
      <c r="DR799" s="10"/>
      <c r="DS799" s="10"/>
      <c r="DT799" s="10"/>
      <c r="DU799" s="10"/>
      <c r="DV799" s="10"/>
      <c r="DW799" s="10"/>
      <c r="DX799" s="10"/>
      <c r="DY799" s="10"/>
      <c r="DZ799" s="10"/>
      <c r="EA799" s="10"/>
      <c r="EB799" s="10"/>
      <c r="EC799" s="10"/>
      <c r="ED799" s="10"/>
      <c r="EE799" s="10"/>
      <c r="EF799" s="10"/>
      <c r="EG799" s="10"/>
      <c r="EH799" s="10"/>
      <c r="EI799" s="10"/>
      <c r="EJ799" s="10"/>
      <c r="EK799" s="10"/>
      <c r="EL799" s="10"/>
      <c r="EM799" s="10"/>
      <c r="EN799" s="10"/>
      <c r="EO799" s="10"/>
      <c r="EP799" s="10"/>
      <c r="EQ799" s="10"/>
      <c r="ER799" s="10"/>
      <c r="ES799" s="10"/>
      <c r="ET799" s="10"/>
      <c r="EU799" s="10"/>
      <c r="EV799" s="10"/>
      <c r="EW799" s="10"/>
      <c r="EX799" s="10"/>
      <c r="EY799" s="10"/>
      <c r="EZ799" s="10"/>
      <c r="FA799" s="10"/>
      <c r="FB799" s="10"/>
      <c r="FC799" s="10"/>
      <c r="FD799" s="10"/>
      <c r="FE799" s="10"/>
      <c r="FF799" s="10"/>
      <c r="FG799" s="10"/>
      <c r="FH799" s="10"/>
      <c r="FI799" s="10"/>
      <c r="FJ799" s="10"/>
      <c r="FK799" s="10"/>
      <c r="FL799" s="10"/>
      <c r="FM799" s="10"/>
      <c r="FN799" s="10"/>
      <c r="FO799" s="10"/>
      <c r="FP799" s="10"/>
      <c r="FQ799" s="10"/>
      <c r="FR799" s="10"/>
      <c r="FS799" s="10"/>
      <c r="FT799" s="10"/>
      <c r="FU799" s="10"/>
      <c r="FV799" s="10"/>
      <c r="FW799" s="10"/>
      <c r="FX799" s="10"/>
      <c r="FY799" s="10"/>
      <c r="FZ799" s="10"/>
      <c r="GA799" s="10"/>
      <c r="GB799" s="10"/>
      <c r="GC799" s="10"/>
      <c r="GD799" s="10"/>
      <c r="GE799" s="10"/>
      <c r="GF799" s="10"/>
      <c r="GG799" s="10"/>
      <c r="GH799" s="10"/>
      <c r="GI799" s="10"/>
      <c r="GJ799" s="10"/>
      <c r="GK799" s="10"/>
    </row>
    <row r="800" customFormat="false" ht="12.75" hidden="false" customHeight="false" outlineLevel="0" collapsed="false">
      <c r="A800" s="7"/>
      <c r="B800" s="7"/>
      <c r="C800" s="8"/>
      <c r="D800" s="8"/>
      <c r="E800" s="8"/>
      <c r="F800" s="8"/>
      <c r="G800" s="9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10"/>
      <c r="BP800" s="10"/>
      <c r="BQ800" s="10"/>
      <c r="BR800" s="10"/>
      <c r="BS800" s="10"/>
      <c r="BT800" s="10"/>
      <c r="BU800" s="10"/>
      <c r="BV800" s="10"/>
      <c r="BW800" s="10"/>
      <c r="BX800" s="10"/>
      <c r="BY800" s="10"/>
      <c r="BZ800" s="10"/>
      <c r="CA800" s="10"/>
      <c r="CB800" s="10"/>
      <c r="CC800" s="10"/>
      <c r="CD800" s="10"/>
      <c r="CE800" s="10"/>
      <c r="CF800" s="10"/>
      <c r="CG800" s="10"/>
      <c r="CH800" s="10"/>
      <c r="CI800" s="10"/>
      <c r="CJ800" s="10"/>
      <c r="CK800" s="10"/>
      <c r="CL800" s="10"/>
      <c r="CM800" s="10"/>
      <c r="CN800" s="10"/>
      <c r="CO800" s="10"/>
      <c r="CP800" s="10"/>
      <c r="CQ800" s="10"/>
      <c r="CR800" s="10"/>
      <c r="CS800" s="10"/>
      <c r="CT800" s="10"/>
      <c r="CU800" s="10"/>
      <c r="CV800" s="10"/>
      <c r="CW800" s="10"/>
      <c r="CX800" s="10"/>
      <c r="CY800" s="10"/>
      <c r="CZ800" s="10"/>
      <c r="DA800" s="10"/>
      <c r="DB800" s="10"/>
      <c r="DC800" s="10"/>
      <c r="DD800" s="10"/>
      <c r="DE800" s="10"/>
      <c r="DF800" s="10"/>
      <c r="DG800" s="10"/>
      <c r="DH800" s="10"/>
      <c r="DI800" s="10"/>
      <c r="DJ800" s="10"/>
      <c r="DK800" s="10"/>
      <c r="DL800" s="10"/>
      <c r="DM800" s="10"/>
      <c r="DN800" s="10"/>
      <c r="DO800" s="10"/>
      <c r="DP800" s="10"/>
      <c r="DQ800" s="10"/>
      <c r="DR800" s="10"/>
      <c r="DS800" s="10"/>
      <c r="DT800" s="10"/>
      <c r="DU800" s="10"/>
      <c r="DV800" s="10"/>
      <c r="DW800" s="10"/>
      <c r="DX800" s="10"/>
      <c r="DY800" s="10"/>
      <c r="DZ800" s="10"/>
      <c r="EA800" s="10"/>
      <c r="EB800" s="10"/>
      <c r="EC800" s="10"/>
      <c r="ED800" s="10"/>
      <c r="EE800" s="10"/>
      <c r="EF800" s="10"/>
      <c r="EG800" s="10"/>
      <c r="EH800" s="10"/>
      <c r="EI800" s="10"/>
      <c r="EJ800" s="10"/>
      <c r="EK800" s="10"/>
      <c r="EL800" s="10"/>
      <c r="EM800" s="10"/>
      <c r="EN800" s="10"/>
      <c r="EO800" s="10"/>
      <c r="EP800" s="10"/>
      <c r="EQ800" s="10"/>
      <c r="ER800" s="10"/>
      <c r="ES800" s="10"/>
      <c r="ET800" s="10"/>
      <c r="EU800" s="10"/>
      <c r="EV800" s="10"/>
      <c r="EW800" s="10"/>
      <c r="EX800" s="10"/>
      <c r="EY800" s="10"/>
      <c r="EZ800" s="10"/>
      <c r="FA800" s="10"/>
      <c r="FB800" s="10"/>
      <c r="FC800" s="10"/>
      <c r="FD800" s="10"/>
      <c r="FE800" s="10"/>
      <c r="FF800" s="10"/>
      <c r="FG800" s="10"/>
      <c r="FH800" s="10"/>
      <c r="FI800" s="10"/>
      <c r="FJ800" s="10"/>
      <c r="FK800" s="10"/>
      <c r="FL800" s="10"/>
      <c r="FM800" s="10"/>
      <c r="FN800" s="10"/>
      <c r="FO800" s="10"/>
      <c r="FP800" s="10"/>
      <c r="FQ800" s="10"/>
      <c r="FR800" s="10"/>
      <c r="FS800" s="10"/>
      <c r="FT800" s="10"/>
      <c r="FU800" s="10"/>
      <c r="FV800" s="10"/>
      <c r="FW800" s="10"/>
      <c r="FX800" s="10"/>
      <c r="FY800" s="10"/>
      <c r="FZ800" s="10"/>
      <c r="GA800" s="10"/>
      <c r="GB800" s="10"/>
      <c r="GC800" s="10"/>
      <c r="GD800" s="10"/>
      <c r="GE800" s="10"/>
      <c r="GF800" s="10"/>
      <c r="GG800" s="10"/>
      <c r="GH800" s="10"/>
      <c r="GI800" s="10"/>
      <c r="GJ800" s="10"/>
      <c r="GK800" s="10"/>
    </row>
    <row r="801" customFormat="false" ht="12.75" hidden="false" customHeight="false" outlineLevel="0" collapsed="false">
      <c r="A801" s="7"/>
      <c r="B801" s="7"/>
      <c r="C801" s="8"/>
      <c r="D801" s="8"/>
      <c r="E801" s="8"/>
      <c r="F801" s="8"/>
      <c r="G801" s="9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10"/>
      <c r="BP801" s="10"/>
      <c r="BQ801" s="10"/>
      <c r="BR801" s="10"/>
      <c r="BS801" s="10"/>
      <c r="BT801" s="10"/>
      <c r="BU801" s="10"/>
      <c r="BV801" s="10"/>
      <c r="BW801" s="10"/>
      <c r="BX801" s="10"/>
      <c r="BY801" s="10"/>
      <c r="BZ801" s="10"/>
      <c r="CA801" s="10"/>
      <c r="CB801" s="10"/>
      <c r="CC801" s="10"/>
      <c r="CD801" s="10"/>
      <c r="CE801" s="10"/>
      <c r="CF801" s="10"/>
      <c r="CG801" s="10"/>
      <c r="CH801" s="10"/>
      <c r="CI801" s="10"/>
      <c r="CJ801" s="10"/>
      <c r="CK801" s="10"/>
      <c r="CL801" s="10"/>
      <c r="CM801" s="10"/>
      <c r="CN801" s="10"/>
      <c r="CO801" s="10"/>
      <c r="CP801" s="10"/>
      <c r="CQ801" s="10"/>
      <c r="CR801" s="10"/>
      <c r="CS801" s="10"/>
      <c r="CT801" s="10"/>
      <c r="CU801" s="10"/>
      <c r="CV801" s="10"/>
      <c r="CW801" s="10"/>
      <c r="CX801" s="10"/>
      <c r="CY801" s="10"/>
      <c r="CZ801" s="10"/>
      <c r="DA801" s="10"/>
      <c r="DB801" s="10"/>
      <c r="DC801" s="10"/>
      <c r="DD801" s="10"/>
      <c r="DE801" s="10"/>
      <c r="DF801" s="10"/>
      <c r="DG801" s="10"/>
      <c r="DH801" s="10"/>
      <c r="DI801" s="10"/>
      <c r="DJ801" s="10"/>
      <c r="DK801" s="10"/>
      <c r="DL801" s="10"/>
      <c r="DM801" s="10"/>
      <c r="DN801" s="10"/>
      <c r="DO801" s="10"/>
      <c r="DP801" s="10"/>
      <c r="DQ801" s="10"/>
      <c r="DR801" s="10"/>
      <c r="DS801" s="10"/>
      <c r="DT801" s="10"/>
      <c r="DU801" s="10"/>
      <c r="DV801" s="10"/>
      <c r="DW801" s="10"/>
      <c r="DX801" s="10"/>
      <c r="DY801" s="10"/>
      <c r="DZ801" s="10"/>
      <c r="EA801" s="10"/>
      <c r="EB801" s="10"/>
      <c r="EC801" s="10"/>
      <c r="ED801" s="10"/>
      <c r="EE801" s="10"/>
      <c r="EF801" s="10"/>
      <c r="EG801" s="10"/>
      <c r="EH801" s="10"/>
      <c r="EI801" s="10"/>
      <c r="EJ801" s="10"/>
      <c r="EK801" s="10"/>
      <c r="EL801" s="10"/>
      <c r="EM801" s="10"/>
      <c r="EN801" s="10"/>
      <c r="EO801" s="10"/>
      <c r="EP801" s="10"/>
      <c r="EQ801" s="10"/>
      <c r="ER801" s="10"/>
      <c r="ES801" s="10"/>
      <c r="ET801" s="10"/>
      <c r="EU801" s="10"/>
      <c r="EV801" s="10"/>
      <c r="EW801" s="10"/>
      <c r="EX801" s="10"/>
      <c r="EY801" s="10"/>
      <c r="EZ801" s="10"/>
      <c r="FA801" s="10"/>
      <c r="FB801" s="10"/>
      <c r="FC801" s="10"/>
      <c r="FD801" s="10"/>
      <c r="FE801" s="10"/>
      <c r="FF801" s="10"/>
      <c r="FG801" s="10"/>
      <c r="FH801" s="10"/>
      <c r="FI801" s="10"/>
      <c r="FJ801" s="10"/>
      <c r="FK801" s="10"/>
      <c r="FL801" s="10"/>
      <c r="FM801" s="10"/>
      <c r="FN801" s="10"/>
      <c r="FO801" s="10"/>
      <c r="FP801" s="10"/>
      <c r="FQ801" s="10"/>
      <c r="FR801" s="10"/>
      <c r="FS801" s="10"/>
      <c r="FT801" s="10"/>
      <c r="FU801" s="10"/>
      <c r="FV801" s="10"/>
      <c r="FW801" s="10"/>
      <c r="FX801" s="10"/>
      <c r="FY801" s="10"/>
      <c r="FZ801" s="10"/>
      <c r="GA801" s="10"/>
      <c r="GB801" s="10"/>
      <c r="GC801" s="10"/>
      <c r="GD801" s="10"/>
      <c r="GE801" s="10"/>
      <c r="GF801" s="10"/>
      <c r="GG801" s="10"/>
      <c r="GH801" s="10"/>
      <c r="GI801" s="10"/>
      <c r="GJ801" s="10"/>
      <c r="GK801" s="10"/>
    </row>
    <row r="802" customFormat="false" ht="12.75" hidden="false" customHeight="false" outlineLevel="0" collapsed="false">
      <c r="A802" s="7"/>
      <c r="B802" s="7"/>
      <c r="C802" s="8"/>
      <c r="D802" s="8"/>
      <c r="E802" s="8"/>
      <c r="F802" s="8"/>
      <c r="G802" s="9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10"/>
      <c r="BP802" s="10"/>
      <c r="BQ802" s="10"/>
      <c r="BR802" s="10"/>
      <c r="BS802" s="10"/>
      <c r="BT802" s="10"/>
      <c r="BU802" s="10"/>
      <c r="BV802" s="10"/>
      <c r="BW802" s="10"/>
      <c r="BX802" s="10"/>
      <c r="BY802" s="10"/>
      <c r="BZ802" s="10"/>
      <c r="CA802" s="10"/>
      <c r="CB802" s="10"/>
      <c r="CC802" s="10"/>
      <c r="CD802" s="10"/>
      <c r="CE802" s="10"/>
      <c r="CF802" s="10"/>
      <c r="CG802" s="10"/>
      <c r="CH802" s="10"/>
      <c r="CI802" s="10"/>
      <c r="CJ802" s="10"/>
      <c r="CK802" s="10"/>
      <c r="CL802" s="10"/>
      <c r="CM802" s="10"/>
      <c r="CN802" s="10"/>
      <c r="CO802" s="10"/>
      <c r="CP802" s="10"/>
      <c r="CQ802" s="10"/>
      <c r="CR802" s="10"/>
      <c r="CS802" s="10"/>
      <c r="CT802" s="10"/>
      <c r="CU802" s="10"/>
      <c r="CV802" s="10"/>
      <c r="CW802" s="10"/>
      <c r="CX802" s="10"/>
      <c r="CY802" s="10"/>
      <c r="CZ802" s="10"/>
      <c r="DA802" s="10"/>
      <c r="DB802" s="10"/>
      <c r="DC802" s="10"/>
      <c r="DD802" s="10"/>
      <c r="DE802" s="10"/>
      <c r="DF802" s="10"/>
      <c r="DG802" s="10"/>
      <c r="DH802" s="10"/>
      <c r="DI802" s="10"/>
      <c r="DJ802" s="10"/>
      <c r="DK802" s="10"/>
      <c r="DL802" s="10"/>
      <c r="DM802" s="10"/>
      <c r="DN802" s="10"/>
      <c r="DO802" s="10"/>
      <c r="DP802" s="10"/>
      <c r="DQ802" s="10"/>
      <c r="DR802" s="10"/>
      <c r="DS802" s="10"/>
      <c r="DT802" s="10"/>
      <c r="DU802" s="10"/>
      <c r="DV802" s="10"/>
      <c r="DW802" s="10"/>
      <c r="DX802" s="10"/>
      <c r="DY802" s="10"/>
      <c r="DZ802" s="10"/>
      <c r="EA802" s="10"/>
      <c r="EB802" s="10"/>
      <c r="EC802" s="10"/>
      <c r="ED802" s="10"/>
      <c r="EE802" s="10"/>
      <c r="EF802" s="10"/>
      <c r="EG802" s="10"/>
      <c r="EH802" s="10"/>
      <c r="EI802" s="10"/>
      <c r="EJ802" s="10"/>
      <c r="EK802" s="10"/>
      <c r="EL802" s="10"/>
      <c r="EM802" s="10"/>
      <c r="EN802" s="10"/>
      <c r="EO802" s="10"/>
      <c r="EP802" s="10"/>
      <c r="EQ802" s="10"/>
      <c r="ER802" s="10"/>
      <c r="ES802" s="10"/>
      <c r="ET802" s="10"/>
      <c r="EU802" s="10"/>
      <c r="EV802" s="10"/>
      <c r="EW802" s="10"/>
      <c r="EX802" s="10"/>
      <c r="EY802" s="10"/>
      <c r="EZ802" s="10"/>
      <c r="FA802" s="10"/>
      <c r="FB802" s="10"/>
      <c r="FC802" s="10"/>
      <c r="FD802" s="10"/>
      <c r="FE802" s="10"/>
      <c r="FF802" s="10"/>
      <c r="FG802" s="10"/>
      <c r="FH802" s="10"/>
      <c r="FI802" s="10"/>
      <c r="FJ802" s="10"/>
      <c r="FK802" s="10"/>
      <c r="FL802" s="10"/>
      <c r="FM802" s="10"/>
      <c r="FN802" s="10"/>
      <c r="FO802" s="10"/>
      <c r="FP802" s="10"/>
      <c r="FQ802" s="10"/>
      <c r="FR802" s="10"/>
      <c r="FS802" s="10"/>
      <c r="FT802" s="10"/>
      <c r="FU802" s="10"/>
      <c r="FV802" s="10"/>
      <c r="FW802" s="10"/>
      <c r="FX802" s="10"/>
      <c r="FY802" s="10"/>
      <c r="FZ802" s="10"/>
      <c r="GA802" s="10"/>
      <c r="GB802" s="10"/>
      <c r="GC802" s="10"/>
      <c r="GD802" s="10"/>
      <c r="GE802" s="10"/>
      <c r="GF802" s="10"/>
      <c r="GG802" s="10"/>
      <c r="GH802" s="10"/>
      <c r="GI802" s="10"/>
      <c r="GJ802" s="10"/>
      <c r="GK802" s="10"/>
    </row>
    <row r="803" customFormat="false" ht="12.75" hidden="false" customHeight="false" outlineLevel="0" collapsed="false">
      <c r="A803" s="7"/>
      <c r="B803" s="7"/>
      <c r="C803" s="8"/>
      <c r="D803" s="8"/>
      <c r="E803" s="8"/>
      <c r="F803" s="8"/>
      <c r="G803" s="9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  <c r="BK803" s="10"/>
      <c r="BL803" s="10"/>
      <c r="BM803" s="10"/>
      <c r="BN803" s="10"/>
      <c r="BO803" s="10"/>
      <c r="BP803" s="10"/>
      <c r="BQ803" s="10"/>
      <c r="BR803" s="10"/>
      <c r="BS803" s="10"/>
      <c r="BT803" s="10"/>
      <c r="BU803" s="10"/>
      <c r="BV803" s="10"/>
      <c r="BW803" s="10"/>
      <c r="BX803" s="10"/>
      <c r="BY803" s="10"/>
      <c r="BZ803" s="10"/>
      <c r="CA803" s="10"/>
      <c r="CB803" s="10"/>
      <c r="CC803" s="10"/>
      <c r="CD803" s="10"/>
      <c r="CE803" s="10"/>
      <c r="CF803" s="10"/>
      <c r="CG803" s="10"/>
      <c r="CH803" s="10"/>
      <c r="CI803" s="10"/>
      <c r="CJ803" s="10"/>
      <c r="CK803" s="10"/>
      <c r="CL803" s="10"/>
      <c r="CM803" s="10"/>
      <c r="CN803" s="10"/>
      <c r="CO803" s="10"/>
      <c r="CP803" s="10"/>
      <c r="CQ803" s="10"/>
      <c r="CR803" s="10"/>
      <c r="CS803" s="10"/>
      <c r="CT803" s="10"/>
      <c r="CU803" s="10"/>
      <c r="CV803" s="10"/>
      <c r="CW803" s="10"/>
      <c r="CX803" s="10"/>
      <c r="CY803" s="10"/>
      <c r="CZ803" s="10"/>
      <c r="DA803" s="10"/>
      <c r="DB803" s="10"/>
      <c r="DC803" s="10"/>
      <c r="DD803" s="10"/>
      <c r="DE803" s="10"/>
      <c r="DF803" s="10"/>
      <c r="DG803" s="10"/>
      <c r="DH803" s="10"/>
      <c r="DI803" s="10"/>
      <c r="DJ803" s="10"/>
      <c r="DK803" s="10"/>
      <c r="DL803" s="10"/>
      <c r="DM803" s="10"/>
      <c r="DN803" s="10"/>
      <c r="DO803" s="10"/>
      <c r="DP803" s="10"/>
      <c r="DQ803" s="10"/>
      <c r="DR803" s="10"/>
      <c r="DS803" s="10"/>
      <c r="DT803" s="10"/>
      <c r="DU803" s="10"/>
      <c r="DV803" s="10"/>
      <c r="DW803" s="10"/>
      <c r="DX803" s="10"/>
      <c r="DY803" s="10"/>
      <c r="DZ803" s="10"/>
      <c r="EA803" s="10"/>
      <c r="EB803" s="10"/>
      <c r="EC803" s="10"/>
      <c r="ED803" s="10"/>
      <c r="EE803" s="10"/>
      <c r="EF803" s="10"/>
      <c r="EG803" s="10"/>
      <c r="EH803" s="10"/>
      <c r="EI803" s="10"/>
      <c r="EJ803" s="10"/>
      <c r="EK803" s="10"/>
      <c r="EL803" s="10"/>
      <c r="EM803" s="10"/>
      <c r="EN803" s="10"/>
      <c r="EO803" s="10"/>
      <c r="EP803" s="10"/>
      <c r="EQ803" s="10"/>
      <c r="ER803" s="10"/>
      <c r="ES803" s="10"/>
      <c r="ET803" s="10"/>
      <c r="EU803" s="10"/>
      <c r="EV803" s="10"/>
      <c r="EW803" s="10"/>
      <c r="EX803" s="10"/>
      <c r="EY803" s="10"/>
      <c r="EZ803" s="10"/>
      <c r="FA803" s="10"/>
      <c r="FB803" s="10"/>
      <c r="FC803" s="10"/>
      <c r="FD803" s="10"/>
      <c r="FE803" s="10"/>
      <c r="FF803" s="10"/>
      <c r="FG803" s="10"/>
      <c r="FH803" s="10"/>
      <c r="FI803" s="10"/>
      <c r="FJ803" s="10"/>
      <c r="FK803" s="10"/>
      <c r="FL803" s="10"/>
      <c r="FM803" s="10"/>
      <c r="FN803" s="10"/>
      <c r="FO803" s="10"/>
      <c r="FP803" s="10"/>
      <c r="FQ803" s="10"/>
      <c r="FR803" s="10"/>
      <c r="FS803" s="10"/>
      <c r="FT803" s="10"/>
      <c r="FU803" s="10"/>
      <c r="FV803" s="10"/>
      <c r="FW803" s="10"/>
      <c r="FX803" s="10"/>
      <c r="FY803" s="10"/>
      <c r="FZ803" s="10"/>
      <c r="GA803" s="10"/>
      <c r="GB803" s="10"/>
      <c r="GC803" s="10"/>
      <c r="GD803" s="10"/>
      <c r="GE803" s="10"/>
      <c r="GF803" s="10"/>
      <c r="GG803" s="10"/>
      <c r="GH803" s="10"/>
      <c r="GI803" s="10"/>
      <c r="GJ803" s="10"/>
      <c r="GK803" s="10"/>
    </row>
    <row r="804" customFormat="false" ht="12.75" hidden="false" customHeight="false" outlineLevel="0" collapsed="false">
      <c r="A804" s="7"/>
      <c r="B804" s="7"/>
      <c r="C804" s="8"/>
      <c r="D804" s="8"/>
      <c r="E804" s="8"/>
      <c r="F804" s="8"/>
      <c r="G804" s="9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  <c r="BL804" s="10"/>
      <c r="BM804" s="10"/>
      <c r="BN804" s="10"/>
      <c r="BO804" s="10"/>
      <c r="BP804" s="10"/>
      <c r="BQ804" s="10"/>
      <c r="BR804" s="10"/>
      <c r="BS804" s="10"/>
      <c r="BT804" s="10"/>
      <c r="BU804" s="10"/>
      <c r="BV804" s="10"/>
      <c r="BW804" s="10"/>
      <c r="BX804" s="10"/>
      <c r="BY804" s="10"/>
      <c r="BZ804" s="10"/>
      <c r="CA804" s="10"/>
      <c r="CB804" s="10"/>
      <c r="CC804" s="10"/>
      <c r="CD804" s="10"/>
      <c r="CE804" s="10"/>
      <c r="CF804" s="10"/>
      <c r="CG804" s="10"/>
      <c r="CH804" s="10"/>
      <c r="CI804" s="10"/>
      <c r="CJ804" s="10"/>
      <c r="CK804" s="10"/>
      <c r="CL804" s="10"/>
      <c r="CM804" s="10"/>
      <c r="CN804" s="10"/>
      <c r="CO804" s="10"/>
      <c r="CP804" s="10"/>
      <c r="CQ804" s="10"/>
      <c r="CR804" s="10"/>
      <c r="CS804" s="10"/>
      <c r="CT804" s="10"/>
      <c r="CU804" s="10"/>
      <c r="CV804" s="10"/>
      <c r="CW804" s="10"/>
      <c r="CX804" s="10"/>
      <c r="CY804" s="10"/>
      <c r="CZ804" s="10"/>
      <c r="DA804" s="10"/>
      <c r="DB804" s="10"/>
      <c r="DC804" s="10"/>
      <c r="DD804" s="10"/>
      <c r="DE804" s="10"/>
      <c r="DF804" s="10"/>
      <c r="DG804" s="10"/>
      <c r="DH804" s="10"/>
      <c r="DI804" s="10"/>
      <c r="DJ804" s="10"/>
      <c r="DK804" s="10"/>
      <c r="DL804" s="10"/>
      <c r="DM804" s="10"/>
      <c r="DN804" s="10"/>
      <c r="DO804" s="10"/>
      <c r="DP804" s="10"/>
      <c r="DQ804" s="10"/>
      <c r="DR804" s="10"/>
      <c r="DS804" s="10"/>
      <c r="DT804" s="10"/>
      <c r="DU804" s="10"/>
      <c r="DV804" s="10"/>
      <c r="DW804" s="10"/>
      <c r="DX804" s="10"/>
      <c r="DY804" s="10"/>
      <c r="DZ804" s="10"/>
      <c r="EA804" s="10"/>
      <c r="EB804" s="10"/>
      <c r="EC804" s="10"/>
      <c r="ED804" s="10"/>
      <c r="EE804" s="10"/>
      <c r="EF804" s="10"/>
      <c r="EG804" s="10"/>
      <c r="EH804" s="10"/>
      <c r="EI804" s="10"/>
      <c r="EJ804" s="10"/>
      <c r="EK804" s="10"/>
      <c r="EL804" s="10"/>
      <c r="EM804" s="10"/>
      <c r="EN804" s="10"/>
      <c r="EO804" s="10"/>
      <c r="EP804" s="10"/>
      <c r="EQ804" s="10"/>
      <c r="ER804" s="10"/>
      <c r="ES804" s="10"/>
      <c r="ET804" s="10"/>
      <c r="EU804" s="10"/>
      <c r="EV804" s="10"/>
      <c r="EW804" s="10"/>
      <c r="EX804" s="10"/>
      <c r="EY804" s="10"/>
      <c r="EZ804" s="10"/>
      <c r="FA804" s="10"/>
      <c r="FB804" s="10"/>
      <c r="FC804" s="10"/>
      <c r="FD804" s="10"/>
      <c r="FE804" s="10"/>
      <c r="FF804" s="10"/>
      <c r="FG804" s="10"/>
      <c r="FH804" s="10"/>
      <c r="FI804" s="10"/>
      <c r="FJ804" s="10"/>
      <c r="FK804" s="10"/>
      <c r="FL804" s="10"/>
      <c r="FM804" s="10"/>
      <c r="FN804" s="10"/>
      <c r="FO804" s="10"/>
      <c r="FP804" s="10"/>
      <c r="FQ804" s="10"/>
      <c r="FR804" s="10"/>
      <c r="FS804" s="10"/>
      <c r="FT804" s="10"/>
      <c r="FU804" s="10"/>
      <c r="FV804" s="10"/>
      <c r="FW804" s="10"/>
      <c r="FX804" s="10"/>
      <c r="FY804" s="10"/>
      <c r="FZ804" s="10"/>
      <c r="GA804" s="10"/>
      <c r="GB804" s="10"/>
      <c r="GC804" s="10"/>
      <c r="GD804" s="10"/>
      <c r="GE804" s="10"/>
      <c r="GF804" s="10"/>
      <c r="GG804" s="10"/>
      <c r="GH804" s="10"/>
      <c r="GI804" s="10"/>
      <c r="GJ804" s="10"/>
      <c r="GK804" s="10"/>
    </row>
    <row r="805" customFormat="false" ht="12.75" hidden="false" customHeight="false" outlineLevel="0" collapsed="false">
      <c r="A805" s="7"/>
      <c r="B805" s="7"/>
      <c r="C805" s="8"/>
      <c r="D805" s="8"/>
      <c r="E805" s="8"/>
      <c r="F805" s="8"/>
      <c r="G805" s="9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  <c r="BL805" s="10"/>
      <c r="BM805" s="10"/>
      <c r="BN805" s="10"/>
      <c r="BO805" s="10"/>
      <c r="BP805" s="10"/>
      <c r="BQ805" s="10"/>
      <c r="BR805" s="10"/>
      <c r="BS805" s="10"/>
      <c r="BT805" s="10"/>
      <c r="BU805" s="10"/>
      <c r="BV805" s="10"/>
      <c r="BW805" s="10"/>
      <c r="BX805" s="10"/>
      <c r="BY805" s="10"/>
      <c r="BZ805" s="10"/>
      <c r="CA805" s="10"/>
      <c r="CB805" s="10"/>
      <c r="CC805" s="10"/>
      <c r="CD805" s="10"/>
      <c r="CE805" s="10"/>
      <c r="CF805" s="10"/>
      <c r="CG805" s="10"/>
      <c r="CH805" s="10"/>
      <c r="CI805" s="10"/>
      <c r="CJ805" s="10"/>
      <c r="CK805" s="10"/>
      <c r="CL805" s="10"/>
      <c r="CM805" s="10"/>
      <c r="CN805" s="10"/>
      <c r="CO805" s="10"/>
      <c r="CP805" s="10"/>
      <c r="CQ805" s="10"/>
      <c r="CR805" s="10"/>
      <c r="CS805" s="10"/>
      <c r="CT805" s="10"/>
      <c r="CU805" s="10"/>
      <c r="CV805" s="10"/>
      <c r="CW805" s="10"/>
      <c r="CX805" s="10"/>
      <c r="CY805" s="10"/>
      <c r="CZ805" s="10"/>
      <c r="DA805" s="10"/>
      <c r="DB805" s="10"/>
      <c r="DC805" s="10"/>
      <c r="DD805" s="10"/>
      <c r="DE805" s="10"/>
      <c r="DF805" s="10"/>
      <c r="DG805" s="10"/>
      <c r="DH805" s="10"/>
      <c r="DI805" s="10"/>
      <c r="DJ805" s="10"/>
      <c r="DK805" s="10"/>
      <c r="DL805" s="10"/>
      <c r="DM805" s="10"/>
      <c r="DN805" s="10"/>
      <c r="DO805" s="10"/>
      <c r="DP805" s="10"/>
      <c r="DQ805" s="10"/>
      <c r="DR805" s="10"/>
      <c r="DS805" s="10"/>
      <c r="DT805" s="10"/>
      <c r="DU805" s="10"/>
      <c r="DV805" s="10"/>
      <c r="DW805" s="10"/>
      <c r="DX805" s="10"/>
      <c r="DY805" s="10"/>
      <c r="DZ805" s="10"/>
      <c r="EA805" s="10"/>
      <c r="EB805" s="10"/>
      <c r="EC805" s="10"/>
      <c r="ED805" s="10"/>
      <c r="EE805" s="10"/>
      <c r="EF805" s="10"/>
      <c r="EG805" s="10"/>
      <c r="EH805" s="10"/>
      <c r="EI805" s="10"/>
      <c r="EJ805" s="10"/>
      <c r="EK805" s="10"/>
      <c r="EL805" s="10"/>
      <c r="EM805" s="10"/>
      <c r="EN805" s="10"/>
      <c r="EO805" s="10"/>
      <c r="EP805" s="10"/>
      <c r="EQ805" s="10"/>
      <c r="ER805" s="10"/>
      <c r="ES805" s="10"/>
      <c r="ET805" s="10"/>
      <c r="EU805" s="10"/>
      <c r="EV805" s="10"/>
      <c r="EW805" s="10"/>
      <c r="EX805" s="10"/>
      <c r="EY805" s="10"/>
      <c r="EZ805" s="10"/>
      <c r="FA805" s="10"/>
      <c r="FB805" s="10"/>
      <c r="FC805" s="10"/>
      <c r="FD805" s="10"/>
      <c r="FE805" s="10"/>
      <c r="FF805" s="10"/>
      <c r="FG805" s="10"/>
      <c r="FH805" s="10"/>
      <c r="FI805" s="10"/>
      <c r="FJ805" s="10"/>
      <c r="FK805" s="10"/>
      <c r="FL805" s="10"/>
      <c r="FM805" s="10"/>
      <c r="FN805" s="10"/>
      <c r="FO805" s="10"/>
      <c r="FP805" s="10"/>
      <c r="FQ805" s="10"/>
      <c r="FR805" s="10"/>
      <c r="FS805" s="10"/>
      <c r="FT805" s="10"/>
      <c r="FU805" s="10"/>
      <c r="FV805" s="10"/>
      <c r="FW805" s="10"/>
      <c r="FX805" s="10"/>
      <c r="FY805" s="10"/>
      <c r="FZ805" s="10"/>
      <c r="GA805" s="10"/>
      <c r="GB805" s="10"/>
      <c r="GC805" s="10"/>
      <c r="GD805" s="10"/>
      <c r="GE805" s="10"/>
      <c r="GF805" s="10"/>
      <c r="GG805" s="10"/>
      <c r="GH805" s="10"/>
      <c r="GI805" s="10"/>
      <c r="GJ805" s="10"/>
      <c r="GK805" s="10"/>
    </row>
    <row r="806" customFormat="false" ht="12.75" hidden="false" customHeight="false" outlineLevel="0" collapsed="false">
      <c r="A806" s="7"/>
      <c r="B806" s="7"/>
      <c r="C806" s="8"/>
      <c r="D806" s="8"/>
      <c r="E806" s="8"/>
      <c r="F806" s="8"/>
      <c r="G806" s="9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  <c r="BL806" s="10"/>
      <c r="BM806" s="10"/>
      <c r="BN806" s="10"/>
      <c r="BO806" s="10"/>
      <c r="BP806" s="10"/>
      <c r="BQ806" s="10"/>
      <c r="BR806" s="10"/>
      <c r="BS806" s="10"/>
      <c r="BT806" s="10"/>
      <c r="BU806" s="10"/>
      <c r="BV806" s="10"/>
      <c r="BW806" s="10"/>
      <c r="BX806" s="10"/>
      <c r="BY806" s="10"/>
      <c r="BZ806" s="10"/>
      <c r="CA806" s="10"/>
      <c r="CB806" s="10"/>
      <c r="CC806" s="10"/>
      <c r="CD806" s="10"/>
      <c r="CE806" s="10"/>
      <c r="CF806" s="10"/>
      <c r="CG806" s="10"/>
      <c r="CH806" s="10"/>
      <c r="CI806" s="10"/>
      <c r="CJ806" s="10"/>
      <c r="CK806" s="10"/>
      <c r="CL806" s="10"/>
      <c r="CM806" s="10"/>
      <c r="CN806" s="10"/>
      <c r="CO806" s="10"/>
      <c r="CP806" s="10"/>
      <c r="CQ806" s="10"/>
      <c r="CR806" s="10"/>
      <c r="CS806" s="10"/>
      <c r="CT806" s="10"/>
      <c r="CU806" s="10"/>
      <c r="CV806" s="10"/>
      <c r="CW806" s="10"/>
      <c r="CX806" s="10"/>
      <c r="CY806" s="10"/>
      <c r="CZ806" s="10"/>
      <c r="DA806" s="10"/>
      <c r="DB806" s="10"/>
      <c r="DC806" s="10"/>
      <c r="DD806" s="10"/>
      <c r="DE806" s="10"/>
      <c r="DF806" s="10"/>
      <c r="DG806" s="10"/>
      <c r="DH806" s="10"/>
      <c r="DI806" s="10"/>
      <c r="DJ806" s="10"/>
      <c r="DK806" s="10"/>
      <c r="DL806" s="10"/>
      <c r="DM806" s="10"/>
      <c r="DN806" s="10"/>
      <c r="DO806" s="10"/>
      <c r="DP806" s="10"/>
      <c r="DQ806" s="10"/>
      <c r="DR806" s="10"/>
      <c r="DS806" s="10"/>
      <c r="DT806" s="10"/>
      <c r="DU806" s="10"/>
      <c r="DV806" s="10"/>
      <c r="DW806" s="10"/>
      <c r="DX806" s="10"/>
      <c r="DY806" s="10"/>
      <c r="DZ806" s="10"/>
      <c r="EA806" s="10"/>
      <c r="EB806" s="10"/>
      <c r="EC806" s="10"/>
      <c r="ED806" s="10"/>
      <c r="EE806" s="10"/>
      <c r="EF806" s="10"/>
      <c r="EG806" s="10"/>
      <c r="EH806" s="10"/>
      <c r="EI806" s="10"/>
      <c r="EJ806" s="10"/>
      <c r="EK806" s="10"/>
      <c r="EL806" s="10"/>
      <c r="EM806" s="10"/>
      <c r="EN806" s="10"/>
      <c r="EO806" s="10"/>
      <c r="EP806" s="10"/>
      <c r="EQ806" s="10"/>
      <c r="ER806" s="10"/>
      <c r="ES806" s="10"/>
      <c r="ET806" s="10"/>
      <c r="EU806" s="10"/>
      <c r="EV806" s="10"/>
      <c r="EW806" s="10"/>
      <c r="EX806" s="10"/>
      <c r="EY806" s="10"/>
      <c r="EZ806" s="10"/>
      <c r="FA806" s="10"/>
      <c r="FB806" s="10"/>
      <c r="FC806" s="10"/>
      <c r="FD806" s="10"/>
      <c r="FE806" s="10"/>
      <c r="FF806" s="10"/>
      <c r="FG806" s="10"/>
      <c r="FH806" s="10"/>
      <c r="FI806" s="10"/>
      <c r="FJ806" s="10"/>
      <c r="FK806" s="10"/>
      <c r="FL806" s="10"/>
      <c r="FM806" s="10"/>
      <c r="FN806" s="10"/>
      <c r="FO806" s="10"/>
      <c r="FP806" s="10"/>
      <c r="FQ806" s="10"/>
      <c r="FR806" s="10"/>
      <c r="FS806" s="10"/>
      <c r="FT806" s="10"/>
      <c r="FU806" s="10"/>
      <c r="FV806" s="10"/>
      <c r="FW806" s="10"/>
      <c r="FX806" s="10"/>
      <c r="FY806" s="10"/>
      <c r="FZ806" s="10"/>
      <c r="GA806" s="10"/>
      <c r="GB806" s="10"/>
      <c r="GC806" s="10"/>
      <c r="GD806" s="10"/>
      <c r="GE806" s="10"/>
      <c r="GF806" s="10"/>
      <c r="GG806" s="10"/>
      <c r="GH806" s="10"/>
      <c r="GI806" s="10"/>
      <c r="GJ806" s="10"/>
      <c r="GK806" s="10"/>
    </row>
    <row r="807" customFormat="false" ht="12.75" hidden="false" customHeight="false" outlineLevel="0" collapsed="false">
      <c r="A807" s="7"/>
      <c r="B807" s="7"/>
      <c r="C807" s="8"/>
      <c r="D807" s="8"/>
      <c r="E807" s="8"/>
      <c r="F807" s="8"/>
      <c r="G807" s="9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10"/>
      <c r="BP807" s="10"/>
      <c r="BQ807" s="10"/>
      <c r="BR807" s="10"/>
      <c r="BS807" s="10"/>
      <c r="BT807" s="10"/>
      <c r="BU807" s="10"/>
      <c r="BV807" s="10"/>
      <c r="BW807" s="10"/>
      <c r="BX807" s="10"/>
      <c r="BY807" s="10"/>
      <c r="BZ807" s="10"/>
      <c r="CA807" s="10"/>
      <c r="CB807" s="10"/>
      <c r="CC807" s="10"/>
      <c r="CD807" s="10"/>
      <c r="CE807" s="10"/>
      <c r="CF807" s="10"/>
      <c r="CG807" s="10"/>
      <c r="CH807" s="10"/>
      <c r="CI807" s="10"/>
      <c r="CJ807" s="10"/>
      <c r="CK807" s="10"/>
      <c r="CL807" s="10"/>
      <c r="CM807" s="10"/>
      <c r="CN807" s="10"/>
      <c r="CO807" s="10"/>
      <c r="CP807" s="10"/>
      <c r="CQ807" s="10"/>
      <c r="CR807" s="10"/>
      <c r="CS807" s="10"/>
      <c r="CT807" s="10"/>
      <c r="CU807" s="10"/>
      <c r="CV807" s="10"/>
      <c r="CW807" s="10"/>
      <c r="CX807" s="10"/>
      <c r="CY807" s="10"/>
      <c r="CZ807" s="10"/>
      <c r="DA807" s="10"/>
      <c r="DB807" s="10"/>
      <c r="DC807" s="10"/>
      <c r="DD807" s="10"/>
      <c r="DE807" s="10"/>
      <c r="DF807" s="10"/>
      <c r="DG807" s="10"/>
      <c r="DH807" s="10"/>
      <c r="DI807" s="10"/>
      <c r="DJ807" s="10"/>
      <c r="DK807" s="10"/>
      <c r="DL807" s="10"/>
      <c r="DM807" s="10"/>
      <c r="DN807" s="10"/>
      <c r="DO807" s="10"/>
      <c r="DP807" s="10"/>
      <c r="DQ807" s="10"/>
      <c r="DR807" s="10"/>
      <c r="DS807" s="10"/>
      <c r="DT807" s="10"/>
      <c r="DU807" s="10"/>
      <c r="DV807" s="10"/>
      <c r="DW807" s="10"/>
      <c r="DX807" s="10"/>
      <c r="DY807" s="10"/>
      <c r="DZ807" s="10"/>
      <c r="EA807" s="10"/>
      <c r="EB807" s="10"/>
      <c r="EC807" s="10"/>
      <c r="ED807" s="10"/>
      <c r="EE807" s="10"/>
      <c r="EF807" s="10"/>
      <c r="EG807" s="10"/>
      <c r="EH807" s="10"/>
      <c r="EI807" s="10"/>
      <c r="EJ807" s="10"/>
      <c r="EK807" s="10"/>
      <c r="EL807" s="10"/>
      <c r="EM807" s="10"/>
      <c r="EN807" s="10"/>
      <c r="EO807" s="10"/>
      <c r="EP807" s="10"/>
      <c r="EQ807" s="10"/>
      <c r="ER807" s="10"/>
      <c r="ES807" s="10"/>
      <c r="ET807" s="10"/>
      <c r="EU807" s="10"/>
      <c r="EV807" s="10"/>
      <c r="EW807" s="10"/>
      <c r="EX807" s="10"/>
      <c r="EY807" s="10"/>
      <c r="EZ807" s="10"/>
      <c r="FA807" s="10"/>
      <c r="FB807" s="10"/>
      <c r="FC807" s="10"/>
      <c r="FD807" s="10"/>
      <c r="FE807" s="10"/>
      <c r="FF807" s="10"/>
      <c r="FG807" s="10"/>
      <c r="FH807" s="10"/>
      <c r="FI807" s="10"/>
      <c r="FJ807" s="10"/>
      <c r="FK807" s="10"/>
      <c r="FL807" s="10"/>
      <c r="FM807" s="10"/>
      <c r="FN807" s="10"/>
      <c r="FO807" s="10"/>
      <c r="FP807" s="10"/>
      <c r="FQ807" s="10"/>
      <c r="FR807" s="10"/>
      <c r="FS807" s="10"/>
      <c r="FT807" s="10"/>
      <c r="FU807" s="10"/>
      <c r="FV807" s="10"/>
      <c r="FW807" s="10"/>
      <c r="FX807" s="10"/>
      <c r="FY807" s="10"/>
      <c r="FZ807" s="10"/>
      <c r="GA807" s="10"/>
      <c r="GB807" s="10"/>
      <c r="GC807" s="10"/>
      <c r="GD807" s="10"/>
      <c r="GE807" s="10"/>
      <c r="GF807" s="10"/>
      <c r="GG807" s="10"/>
      <c r="GH807" s="10"/>
      <c r="GI807" s="10"/>
      <c r="GJ807" s="10"/>
      <c r="GK807" s="10"/>
    </row>
    <row r="808" customFormat="false" ht="12.75" hidden="false" customHeight="false" outlineLevel="0" collapsed="false">
      <c r="A808" s="7"/>
      <c r="B808" s="7"/>
      <c r="C808" s="8"/>
      <c r="D808" s="8"/>
      <c r="E808" s="8"/>
      <c r="F808" s="8"/>
      <c r="G808" s="9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10"/>
      <c r="BP808" s="10"/>
      <c r="BQ808" s="10"/>
      <c r="BR808" s="10"/>
      <c r="BS808" s="10"/>
      <c r="BT808" s="10"/>
      <c r="BU808" s="10"/>
      <c r="BV808" s="10"/>
      <c r="BW808" s="10"/>
      <c r="BX808" s="10"/>
      <c r="BY808" s="10"/>
      <c r="BZ808" s="10"/>
      <c r="CA808" s="10"/>
      <c r="CB808" s="10"/>
      <c r="CC808" s="10"/>
      <c r="CD808" s="10"/>
      <c r="CE808" s="10"/>
      <c r="CF808" s="10"/>
      <c r="CG808" s="10"/>
      <c r="CH808" s="10"/>
      <c r="CI808" s="10"/>
      <c r="CJ808" s="10"/>
      <c r="CK808" s="10"/>
      <c r="CL808" s="10"/>
      <c r="CM808" s="10"/>
      <c r="CN808" s="10"/>
      <c r="CO808" s="10"/>
      <c r="CP808" s="10"/>
      <c r="CQ808" s="10"/>
      <c r="CR808" s="10"/>
      <c r="CS808" s="10"/>
      <c r="CT808" s="10"/>
      <c r="CU808" s="10"/>
      <c r="CV808" s="10"/>
      <c r="CW808" s="10"/>
      <c r="CX808" s="10"/>
      <c r="CY808" s="10"/>
      <c r="CZ808" s="10"/>
      <c r="DA808" s="10"/>
      <c r="DB808" s="10"/>
      <c r="DC808" s="10"/>
      <c r="DD808" s="10"/>
      <c r="DE808" s="10"/>
      <c r="DF808" s="10"/>
      <c r="DG808" s="10"/>
      <c r="DH808" s="10"/>
      <c r="DI808" s="10"/>
      <c r="DJ808" s="10"/>
      <c r="DK808" s="10"/>
      <c r="DL808" s="10"/>
      <c r="DM808" s="10"/>
      <c r="DN808" s="10"/>
      <c r="DO808" s="10"/>
      <c r="DP808" s="10"/>
      <c r="DQ808" s="10"/>
      <c r="DR808" s="10"/>
      <c r="DS808" s="10"/>
      <c r="DT808" s="10"/>
      <c r="DU808" s="10"/>
      <c r="DV808" s="10"/>
      <c r="DW808" s="10"/>
      <c r="DX808" s="10"/>
      <c r="DY808" s="10"/>
      <c r="DZ808" s="10"/>
      <c r="EA808" s="10"/>
      <c r="EB808" s="10"/>
      <c r="EC808" s="10"/>
      <c r="ED808" s="10"/>
      <c r="EE808" s="10"/>
      <c r="EF808" s="10"/>
      <c r="EG808" s="10"/>
      <c r="EH808" s="10"/>
      <c r="EI808" s="10"/>
      <c r="EJ808" s="10"/>
      <c r="EK808" s="10"/>
      <c r="EL808" s="10"/>
      <c r="EM808" s="10"/>
      <c r="EN808" s="10"/>
      <c r="EO808" s="10"/>
      <c r="EP808" s="10"/>
      <c r="EQ808" s="10"/>
      <c r="ER808" s="10"/>
      <c r="ES808" s="10"/>
      <c r="ET808" s="10"/>
      <c r="EU808" s="10"/>
      <c r="EV808" s="10"/>
      <c r="EW808" s="10"/>
      <c r="EX808" s="10"/>
      <c r="EY808" s="10"/>
      <c r="EZ808" s="10"/>
      <c r="FA808" s="10"/>
      <c r="FB808" s="10"/>
      <c r="FC808" s="10"/>
      <c r="FD808" s="10"/>
      <c r="FE808" s="10"/>
      <c r="FF808" s="10"/>
      <c r="FG808" s="10"/>
      <c r="FH808" s="10"/>
      <c r="FI808" s="10"/>
      <c r="FJ808" s="10"/>
      <c r="FK808" s="10"/>
      <c r="FL808" s="10"/>
      <c r="FM808" s="10"/>
      <c r="FN808" s="10"/>
      <c r="FO808" s="10"/>
      <c r="FP808" s="10"/>
      <c r="FQ808" s="10"/>
      <c r="FR808" s="10"/>
      <c r="FS808" s="10"/>
      <c r="FT808" s="10"/>
      <c r="FU808" s="10"/>
      <c r="FV808" s="10"/>
      <c r="FW808" s="10"/>
      <c r="FX808" s="10"/>
      <c r="FY808" s="10"/>
      <c r="FZ808" s="10"/>
      <c r="GA808" s="10"/>
      <c r="GB808" s="10"/>
      <c r="GC808" s="10"/>
      <c r="GD808" s="10"/>
      <c r="GE808" s="10"/>
      <c r="GF808" s="10"/>
      <c r="GG808" s="10"/>
      <c r="GH808" s="10"/>
      <c r="GI808" s="10"/>
      <c r="GJ808" s="10"/>
      <c r="GK808" s="10"/>
    </row>
    <row r="809" customFormat="false" ht="12.75" hidden="false" customHeight="false" outlineLevel="0" collapsed="false">
      <c r="A809" s="7"/>
      <c r="B809" s="7"/>
      <c r="C809" s="8"/>
      <c r="D809" s="8"/>
      <c r="E809" s="8"/>
      <c r="F809" s="8"/>
      <c r="G809" s="9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  <c r="BL809" s="10"/>
      <c r="BM809" s="10"/>
      <c r="BN809" s="10"/>
      <c r="BO809" s="10"/>
      <c r="BP809" s="10"/>
      <c r="BQ809" s="10"/>
      <c r="BR809" s="10"/>
      <c r="BS809" s="10"/>
      <c r="BT809" s="10"/>
      <c r="BU809" s="10"/>
      <c r="BV809" s="10"/>
      <c r="BW809" s="10"/>
      <c r="BX809" s="10"/>
      <c r="BY809" s="10"/>
      <c r="BZ809" s="10"/>
      <c r="CA809" s="10"/>
      <c r="CB809" s="10"/>
      <c r="CC809" s="10"/>
      <c r="CD809" s="10"/>
      <c r="CE809" s="10"/>
      <c r="CF809" s="10"/>
      <c r="CG809" s="10"/>
      <c r="CH809" s="10"/>
      <c r="CI809" s="10"/>
      <c r="CJ809" s="10"/>
      <c r="CK809" s="10"/>
      <c r="CL809" s="10"/>
      <c r="CM809" s="10"/>
      <c r="CN809" s="10"/>
      <c r="CO809" s="10"/>
      <c r="CP809" s="10"/>
      <c r="CQ809" s="10"/>
      <c r="CR809" s="10"/>
      <c r="CS809" s="10"/>
      <c r="CT809" s="10"/>
      <c r="CU809" s="10"/>
      <c r="CV809" s="10"/>
      <c r="CW809" s="10"/>
      <c r="CX809" s="10"/>
      <c r="CY809" s="10"/>
      <c r="CZ809" s="10"/>
      <c r="DA809" s="10"/>
      <c r="DB809" s="10"/>
      <c r="DC809" s="10"/>
      <c r="DD809" s="10"/>
      <c r="DE809" s="10"/>
      <c r="DF809" s="10"/>
      <c r="DG809" s="10"/>
      <c r="DH809" s="10"/>
      <c r="DI809" s="10"/>
      <c r="DJ809" s="10"/>
      <c r="DK809" s="10"/>
      <c r="DL809" s="10"/>
      <c r="DM809" s="10"/>
      <c r="DN809" s="10"/>
      <c r="DO809" s="10"/>
      <c r="DP809" s="10"/>
      <c r="DQ809" s="10"/>
      <c r="DR809" s="10"/>
      <c r="DS809" s="10"/>
      <c r="DT809" s="10"/>
      <c r="DU809" s="10"/>
      <c r="DV809" s="10"/>
      <c r="DW809" s="10"/>
      <c r="DX809" s="10"/>
      <c r="DY809" s="10"/>
      <c r="DZ809" s="10"/>
      <c r="EA809" s="10"/>
      <c r="EB809" s="10"/>
      <c r="EC809" s="10"/>
      <c r="ED809" s="10"/>
      <c r="EE809" s="10"/>
      <c r="EF809" s="10"/>
      <c r="EG809" s="10"/>
      <c r="EH809" s="10"/>
      <c r="EI809" s="10"/>
      <c r="EJ809" s="10"/>
      <c r="EK809" s="10"/>
      <c r="EL809" s="10"/>
      <c r="EM809" s="10"/>
      <c r="EN809" s="10"/>
      <c r="EO809" s="10"/>
      <c r="EP809" s="10"/>
      <c r="EQ809" s="10"/>
      <c r="ER809" s="10"/>
      <c r="ES809" s="10"/>
      <c r="ET809" s="10"/>
      <c r="EU809" s="10"/>
      <c r="EV809" s="10"/>
      <c r="EW809" s="10"/>
      <c r="EX809" s="10"/>
      <c r="EY809" s="10"/>
      <c r="EZ809" s="10"/>
      <c r="FA809" s="10"/>
      <c r="FB809" s="10"/>
      <c r="FC809" s="10"/>
      <c r="FD809" s="10"/>
      <c r="FE809" s="10"/>
      <c r="FF809" s="10"/>
      <c r="FG809" s="10"/>
      <c r="FH809" s="10"/>
      <c r="FI809" s="10"/>
      <c r="FJ809" s="10"/>
      <c r="FK809" s="10"/>
      <c r="FL809" s="10"/>
      <c r="FM809" s="10"/>
      <c r="FN809" s="10"/>
      <c r="FO809" s="10"/>
      <c r="FP809" s="10"/>
      <c r="FQ809" s="10"/>
      <c r="FR809" s="10"/>
      <c r="FS809" s="10"/>
      <c r="FT809" s="10"/>
      <c r="FU809" s="10"/>
      <c r="FV809" s="10"/>
      <c r="FW809" s="10"/>
      <c r="FX809" s="10"/>
      <c r="FY809" s="10"/>
      <c r="FZ809" s="10"/>
      <c r="GA809" s="10"/>
      <c r="GB809" s="10"/>
      <c r="GC809" s="10"/>
      <c r="GD809" s="10"/>
      <c r="GE809" s="10"/>
      <c r="GF809" s="10"/>
      <c r="GG809" s="10"/>
      <c r="GH809" s="10"/>
      <c r="GI809" s="10"/>
      <c r="GJ809" s="10"/>
      <c r="GK809" s="10"/>
    </row>
    <row r="810" customFormat="false" ht="12.75" hidden="false" customHeight="false" outlineLevel="0" collapsed="false">
      <c r="A810" s="7"/>
      <c r="B810" s="7"/>
      <c r="C810" s="8"/>
      <c r="D810" s="8"/>
      <c r="E810" s="8"/>
      <c r="F810" s="8"/>
      <c r="G810" s="9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10"/>
      <c r="BL810" s="10"/>
      <c r="BM810" s="10"/>
      <c r="BN810" s="10"/>
      <c r="BO810" s="10"/>
      <c r="BP810" s="10"/>
      <c r="BQ810" s="10"/>
      <c r="BR810" s="10"/>
      <c r="BS810" s="10"/>
      <c r="BT810" s="10"/>
      <c r="BU810" s="10"/>
      <c r="BV810" s="10"/>
      <c r="BW810" s="10"/>
      <c r="BX810" s="10"/>
      <c r="BY810" s="10"/>
      <c r="BZ810" s="10"/>
      <c r="CA810" s="10"/>
      <c r="CB810" s="10"/>
      <c r="CC810" s="10"/>
      <c r="CD810" s="10"/>
      <c r="CE810" s="10"/>
      <c r="CF810" s="10"/>
      <c r="CG810" s="10"/>
      <c r="CH810" s="10"/>
      <c r="CI810" s="10"/>
      <c r="CJ810" s="10"/>
      <c r="CK810" s="10"/>
      <c r="CL810" s="10"/>
      <c r="CM810" s="10"/>
      <c r="CN810" s="10"/>
      <c r="CO810" s="10"/>
      <c r="CP810" s="10"/>
      <c r="CQ810" s="10"/>
      <c r="CR810" s="10"/>
      <c r="CS810" s="10"/>
      <c r="CT810" s="10"/>
      <c r="CU810" s="10"/>
      <c r="CV810" s="10"/>
      <c r="CW810" s="10"/>
      <c r="CX810" s="10"/>
      <c r="CY810" s="10"/>
      <c r="CZ810" s="10"/>
      <c r="DA810" s="10"/>
      <c r="DB810" s="10"/>
      <c r="DC810" s="10"/>
      <c r="DD810" s="10"/>
      <c r="DE810" s="10"/>
      <c r="DF810" s="10"/>
      <c r="DG810" s="10"/>
      <c r="DH810" s="10"/>
      <c r="DI810" s="10"/>
      <c r="DJ810" s="10"/>
      <c r="DK810" s="10"/>
      <c r="DL810" s="10"/>
      <c r="DM810" s="10"/>
      <c r="DN810" s="10"/>
      <c r="DO810" s="10"/>
      <c r="DP810" s="10"/>
      <c r="DQ810" s="10"/>
      <c r="DR810" s="10"/>
      <c r="DS810" s="10"/>
      <c r="DT810" s="10"/>
      <c r="DU810" s="10"/>
      <c r="DV810" s="10"/>
      <c r="DW810" s="10"/>
      <c r="DX810" s="10"/>
      <c r="DY810" s="10"/>
      <c r="DZ810" s="10"/>
      <c r="EA810" s="10"/>
      <c r="EB810" s="10"/>
      <c r="EC810" s="10"/>
      <c r="ED810" s="10"/>
      <c r="EE810" s="10"/>
      <c r="EF810" s="10"/>
      <c r="EG810" s="10"/>
      <c r="EH810" s="10"/>
      <c r="EI810" s="10"/>
      <c r="EJ810" s="10"/>
      <c r="EK810" s="10"/>
      <c r="EL810" s="10"/>
      <c r="EM810" s="10"/>
      <c r="EN810" s="10"/>
      <c r="EO810" s="10"/>
      <c r="EP810" s="10"/>
      <c r="EQ810" s="10"/>
      <c r="ER810" s="10"/>
      <c r="ES810" s="10"/>
      <c r="ET810" s="10"/>
      <c r="EU810" s="10"/>
      <c r="EV810" s="10"/>
      <c r="EW810" s="10"/>
      <c r="EX810" s="10"/>
      <c r="EY810" s="10"/>
      <c r="EZ810" s="10"/>
      <c r="FA810" s="10"/>
      <c r="FB810" s="10"/>
      <c r="FC810" s="10"/>
      <c r="FD810" s="10"/>
      <c r="FE810" s="10"/>
      <c r="FF810" s="10"/>
      <c r="FG810" s="10"/>
      <c r="FH810" s="10"/>
      <c r="FI810" s="10"/>
      <c r="FJ810" s="10"/>
      <c r="FK810" s="10"/>
      <c r="FL810" s="10"/>
      <c r="FM810" s="10"/>
      <c r="FN810" s="10"/>
      <c r="FO810" s="10"/>
      <c r="FP810" s="10"/>
      <c r="FQ810" s="10"/>
      <c r="FR810" s="10"/>
      <c r="FS810" s="10"/>
      <c r="FT810" s="10"/>
      <c r="FU810" s="10"/>
      <c r="FV810" s="10"/>
      <c r="FW810" s="10"/>
      <c r="FX810" s="10"/>
      <c r="FY810" s="10"/>
      <c r="FZ810" s="10"/>
      <c r="GA810" s="10"/>
      <c r="GB810" s="10"/>
      <c r="GC810" s="10"/>
      <c r="GD810" s="10"/>
      <c r="GE810" s="10"/>
      <c r="GF810" s="10"/>
      <c r="GG810" s="10"/>
      <c r="GH810" s="10"/>
      <c r="GI810" s="10"/>
      <c r="GJ810" s="10"/>
      <c r="GK810" s="10"/>
    </row>
    <row r="811" customFormat="false" ht="12.75" hidden="false" customHeight="false" outlineLevel="0" collapsed="false">
      <c r="A811" s="7"/>
      <c r="B811" s="7"/>
      <c r="C811" s="8"/>
      <c r="D811" s="8"/>
      <c r="E811" s="8"/>
      <c r="F811" s="8"/>
      <c r="G811" s="9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10"/>
      <c r="BL811" s="10"/>
      <c r="BM811" s="10"/>
      <c r="BN811" s="10"/>
      <c r="BO811" s="10"/>
      <c r="BP811" s="10"/>
      <c r="BQ811" s="10"/>
      <c r="BR811" s="10"/>
      <c r="BS811" s="10"/>
      <c r="BT811" s="10"/>
      <c r="BU811" s="10"/>
      <c r="BV811" s="10"/>
      <c r="BW811" s="10"/>
      <c r="BX811" s="10"/>
      <c r="BY811" s="10"/>
      <c r="BZ811" s="10"/>
      <c r="CA811" s="10"/>
      <c r="CB811" s="10"/>
      <c r="CC811" s="10"/>
      <c r="CD811" s="10"/>
      <c r="CE811" s="10"/>
      <c r="CF811" s="10"/>
      <c r="CG811" s="10"/>
      <c r="CH811" s="10"/>
      <c r="CI811" s="10"/>
      <c r="CJ811" s="10"/>
      <c r="CK811" s="10"/>
      <c r="CL811" s="10"/>
      <c r="CM811" s="10"/>
      <c r="CN811" s="10"/>
      <c r="CO811" s="10"/>
      <c r="CP811" s="10"/>
      <c r="CQ811" s="10"/>
      <c r="CR811" s="10"/>
      <c r="CS811" s="10"/>
      <c r="CT811" s="10"/>
      <c r="CU811" s="10"/>
      <c r="CV811" s="10"/>
      <c r="CW811" s="10"/>
      <c r="CX811" s="10"/>
      <c r="CY811" s="10"/>
      <c r="CZ811" s="10"/>
      <c r="DA811" s="10"/>
      <c r="DB811" s="10"/>
      <c r="DC811" s="10"/>
      <c r="DD811" s="10"/>
      <c r="DE811" s="10"/>
      <c r="DF811" s="10"/>
      <c r="DG811" s="10"/>
      <c r="DH811" s="10"/>
      <c r="DI811" s="10"/>
      <c r="DJ811" s="10"/>
      <c r="DK811" s="10"/>
      <c r="DL811" s="10"/>
      <c r="DM811" s="10"/>
      <c r="DN811" s="10"/>
      <c r="DO811" s="10"/>
      <c r="DP811" s="10"/>
      <c r="DQ811" s="10"/>
      <c r="DR811" s="10"/>
      <c r="DS811" s="10"/>
      <c r="DT811" s="10"/>
      <c r="DU811" s="10"/>
      <c r="DV811" s="10"/>
      <c r="DW811" s="10"/>
      <c r="DX811" s="10"/>
      <c r="DY811" s="10"/>
      <c r="DZ811" s="10"/>
      <c r="EA811" s="10"/>
      <c r="EB811" s="10"/>
      <c r="EC811" s="10"/>
      <c r="ED811" s="10"/>
      <c r="EE811" s="10"/>
      <c r="EF811" s="10"/>
      <c r="EG811" s="10"/>
      <c r="EH811" s="10"/>
      <c r="EI811" s="10"/>
      <c r="EJ811" s="10"/>
      <c r="EK811" s="10"/>
      <c r="EL811" s="10"/>
      <c r="EM811" s="10"/>
      <c r="EN811" s="10"/>
      <c r="EO811" s="10"/>
      <c r="EP811" s="10"/>
      <c r="EQ811" s="10"/>
      <c r="ER811" s="10"/>
      <c r="ES811" s="10"/>
      <c r="ET811" s="10"/>
      <c r="EU811" s="10"/>
      <c r="EV811" s="10"/>
      <c r="EW811" s="10"/>
      <c r="EX811" s="10"/>
      <c r="EY811" s="10"/>
      <c r="EZ811" s="10"/>
      <c r="FA811" s="10"/>
      <c r="FB811" s="10"/>
      <c r="FC811" s="10"/>
      <c r="FD811" s="10"/>
      <c r="FE811" s="10"/>
      <c r="FF811" s="10"/>
      <c r="FG811" s="10"/>
      <c r="FH811" s="10"/>
      <c r="FI811" s="10"/>
      <c r="FJ811" s="10"/>
      <c r="FK811" s="10"/>
      <c r="FL811" s="10"/>
      <c r="FM811" s="10"/>
      <c r="FN811" s="10"/>
      <c r="FO811" s="10"/>
      <c r="FP811" s="10"/>
      <c r="FQ811" s="10"/>
      <c r="FR811" s="10"/>
      <c r="FS811" s="10"/>
      <c r="FT811" s="10"/>
      <c r="FU811" s="10"/>
      <c r="FV811" s="10"/>
      <c r="FW811" s="10"/>
      <c r="FX811" s="10"/>
      <c r="FY811" s="10"/>
      <c r="FZ811" s="10"/>
      <c r="GA811" s="10"/>
      <c r="GB811" s="10"/>
      <c r="GC811" s="10"/>
      <c r="GD811" s="10"/>
      <c r="GE811" s="10"/>
      <c r="GF811" s="10"/>
      <c r="GG811" s="10"/>
      <c r="GH811" s="10"/>
      <c r="GI811" s="10"/>
      <c r="GJ811" s="10"/>
      <c r="GK811" s="10"/>
    </row>
    <row r="812" customFormat="false" ht="12.75" hidden="false" customHeight="false" outlineLevel="0" collapsed="false">
      <c r="A812" s="7"/>
      <c r="B812" s="7"/>
      <c r="C812" s="8"/>
      <c r="D812" s="8"/>
      <c r="E812" s="8"/>
      <c r="F812" s="8"/>
      <c r="G812" s="9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  <c r="BL812" s="10"/>
      <c r="BM812" s="10"/>
      <c r="BN812" s="10"/>
      <c r="BO812" s="10"/>
      <c r="BP812" s="10"/>
      <c r="BQ812" s="10"/>
      <c r="BR812" s="10"/>
      <c r="BS812" s="10"/>
      <c r="BT812" s="10"/>
      <c r="BU812" s="10"/>
      <c r="BV812" s="10"/>
      <c r="BW812" s="10"/>
      <c r="BX812" s="10"/>
      <c r="BY812" s="10"/>
      <c r="BZ812" s="10"/>
      <c r="CA812" s="10"/>
      <c r="CB812" s="10"/>
      <c r="CC812" s="10"/>
      <c r="CD812" s="10"/>
      <c r="CE812" s="10"/>
      <c r="CF812" s="10"/>
      <c r="CG812" s="10"/>
      <c r="CH812" s="10"/>
      <c r="CI812" s="10"/>
      <c r="CJ812" s="10"/>
      <c r="CK812" s="10"/>
      <c r="CL812" s="10"/>
      <c r="CM812" s="10"/>
      <c r="CN812" s="10"/>
      <c r="CO812" s="10"/>
      <c r="CP812" s="10"/>
      <c r="CQ812" s="10"/>
      <c r="CR812" s="10"/>
      <c r="CS812" s="10"/>
      <c r="CT812" s="10"/>
      <c r="CU812" s="10"/>
      <c r="CV812" s="10"/>
      <c r="CW812" s="10"/>
      <c r="CX812" s="10"/>
      <c r="CY812" s="10"/>
      <c r="CZ812" s="10"/>
      <c r="DA812" s="10"/>
      <c r="DB812" s="10"/>
      <c r="DC812" s="10"/>
      <c r="DD812" s="10"/>
      <c r="DE812" s="10"/>
      <c r="DF812" s="10"/>
      <c r="DG812" s="10"/>
      <c r="DH812" s="10"/>
      <c r="DI812" s="10"/>
      <c r="DJ812" s="10"/>
      <c r="DK812" s="10"/>
      <c r="DL812" s="10"/>
      <c r="DM812" s="10"/>
      <c r="DN812" s="10"/>
      <c r="DO812" s="10"/>
      <c r="DP812" s="10"/>
      <c r="DQ812" s="10"/>
      <c r="DR812" s="10"/>
      <c r="DS812" s="10"/>
      <c r="DT812" s="10"/>
      <c r="DU812" s="10"/>
      <c r="DV812" s="10"/>
      <c r="DW812" s="10"/>
      <c r="DX812" s="10"/>
      <c r="DY812" s="10"/>
      <c r="DZ812" s="10"/>
      <c r="EA812" s="10"/>
      <c r="EB812" s="10"/>
      <c r="EC812" s="10"/>
      <c r="ED812" s="10"/>
      <c r="EE812" s="10"/>
      <c r="EF812" s="10"/>
      <c r="EG812" s="10"/>
      <c r="EH812" s="10"/>
      <c r="EI812" s="10"/>
      <c r="EJ812" s="10"/>
      <c r="EK812" s="10"/>
      <c r="EL812" s="10"/>
      <c r="EM812" s="10"/>
      <c r="EN812" s="10"/>
      <c r="EO812" s="10"/>
      <c r="EP812" s="10"/>
      <c r="EQ812" s="10"/>
      <c r="ER812" s="10"/>
      <c r="ES812" s="10"/>
      <c r="ET812" s="10"/>
      <c r="EU812" s="10"/>
      <c r="EV812" s="10"/>
      <c r="EW812" s="10"/>
      <c r="EX812" s="10"/>
      <c r="EY812" s="10"/>
      <c r="EZ812" s="10"/>
      <c r="FA812" s="10"/>
      <c r="FB812" s="10"/>
      <c r="FC812" s="10"/>
      <c r="FD812" s="10"/>
      <c r="FE812" s="10"/>
      <c r="FF812" s="10"/>
      <c r="FG812" s="10"/>
      <c r="FH812" s="10"/>
      <c r="FI812" s="10"/>
      <c r="FJ812" s="10"/>
      <c r="FK812" s="10"/>
      <c r="FL812" s="10"/>
      <c r="FM812" s="10"/>
      <c r="FN812" s="10"/>
      <c r="FO812" s="10"/>
      <c r="FP812" s="10"/>
      <c r="FQ812" s="10"/>
      <c r="FR812" s="10"/>
      <c r="FS812" s="10"/>
      <c r="FT812" s="10"/>
      <c r="FU812" s="10"/>
      <c r="FV812" s="10"/>
      <c r="FW812" s="10"/>
      <c r="FX812" s="10"/>
      <c r="FY812" s="10"/>
      <c r="FZ812" s="10"/>
      <c r="GA812" s="10"/>
      <c r="GB812" s="10"/>
      <c r="GC812" s="10"/>
      <c r="GD812" s="10"/>
      <c r="GE812" s="10"/>
      <c r="GF812" s="10"/>
      <c r="GG812" s="10"/>
      <c r="GH812" s="10"/>
      <c r="GI812" s="10"/>
      <c r="GJ812" s="10"/>
      <c r="GK812" s="10"/>
    </row>
    <row r="813" customFormat="false" ht="12.75" hidden="false" customHeight="false" outlineLevel="0" collapsed="false">
      <c r="A813" s="7"/>
      <c r="B813" s="7"/>
      <c r="C813" s="8"/>
      <c r="D813" s="8"/>
      <c r="E813" s="8"/>
      <c r="F813" s="8"/>
      <c r="G813" s="9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0"/>
      <c r="BP813" s="10"/>
      <c r="BQ813" s="10"/>
      <c r="BR813" s="10"/>
      <c r="BS813" s="10"/>
      <c r="BT813" s="10"/>
      <c r="BU813" s="10"/>
      <c r="BV813" s="10"/>
      <c r="BW813" s="10"/>
      <c r="BX813" s="10"/>
      <c r="BY813" s="10"/>
      <c r="BZ813" s="10"/>
      <c r="CA813" s="10"/>
      <c r="CB813" s="10"/>
      <c r="CC813" s="10"/>
      <c r="CD813" s="10"/>
      <c r="CE813" s="10"/>
      <c r="CF813" s="10"/>
      <c r="CG813" s="10"/>
      <c r="CH813" s="10"/>
      <c r="CI813" s="10"/>
      <c r="CJ813" s="10"/>
      <c r="CK813" s="10"/>
      <c r="CL813" s="10"/>
      <c r="CM813" s="10"/>
      <c r="CN813" s="10"/>
      <c r="CO813" s="10"/>
      <c r="CP813" s="10"/>
      <c r="CQ813" s="10"/>
      <c r="CR813" s="10"/>
      <c r="CS813" s="10"/>
      <c r="CT813" s="10"/>
      <c r="CU813" s="10"/>
      <c r="CV813" s="10"/>
      <c r="CW813" s="10"/>
      <c r="CX813" s="10"/>
      <c r="CY813" s="10"/>
      <c r="CZ813" s="10"/>
      <c r="DA813" s="10"/>
      <c r="DB813" s="10"/>
      <c r="DC813" s="10"/>
      <c r="DD813" s="10"/>
      <c r="DE813" s="10"/>
      <c r="DF813" s="10"/>
      <c r="DG813" s="10"/>
      <c r="DH813" s="10"/>
      <c r="DI813" s="10"/>
      <c r="DJ813" s="10"/>
      <c r="DK813" s="10"/>
      <c r="DL813" s="10"/>
      <c r="DM813" s="10"/>
      <c r="DN813" s="10"/>
      <c r="DO813" s="10"/>
      <c r="DP813" s="10"/>
      <c r="DQ813" s="10"/>
      <c r="DR813" s="10"/>
      <c r="DS813" s="10"/>
      <c r="DT813" s="10"/>
      <c r="DU813" s="10"/>
      <c r="DV813" s="10"/>
      <c r="DW813" s="10"/>
      <c r="DX813" s="10"/>
      <c r="DY813" s="10"/>
      <c r="DZ813" s="10"/>
      <c r="EA813" s="10"/>
      <c r="EB813" s="10"/>
      <c r="EC813" s="10"/>
      <c r="ED813" s="10"/>
      <c r="EE813" s="10"/>
      <c r="EF813" s="10"/>
      <c r="EG813" s="10"/>
      <c r="EH813" s="10"/>
      <c r="EI813" s="10"/>
      <c r="EJ813" s="10"/>
      <c r="EK813" s="10"/>
      <c r="EL813" s="10"/>
      <c r="EM813" s="10"/>
      <c r="EN813" s="10"/>
      <c r="EO813" s="10"/>
      <c r="EP813" s="10"/>
      <c r="EQ813" s="10"/>
      <c r="ER813" s="10"/>
      <c r="ES813" s="10"/>
      <c r="ET813" s="10"/>
      <c r="EU813" s="10"/>
      <c r="EV813" s="10"/>
      <c r="EW813" s="10"/>
      <c r="EX813" s="10"/>
      <c r="EY813" s="10"/>
      <c r="EZ813" s="10"/>
      <c r="FA813" s="10"/>
      <c r="FB813" s="10"/>
      <c r="FC813" s="10"/>
      <c r="FD813" s="10"/>
      <c r="FE813" s="10"/>
      <c r="FF813" s="10"/>
      <c r="FG813" s="10"/>
      <c r="FH813" s="10"/>
      <c r="FI813" s="10"/>
      <c r="FJ813" s="10"/>
      <c r="FK813" s="10"/>
      <c r="FL813" s="10"/>
      <c r="FM813" s="10"/>
      <c r="FN813" s="10"/>
      <c r="FO813" s="10"/>
      <c r="FP813" s="10"/>
      <c r="FQ813" s="10"/>
      <c r="FR813" s="10"/>
      <c r="FS813" s="10"/>
      <c r="FT813" s="10"/>
      <c r="FU813" s="10"/>
      <c r="FV813" s="10"/>
      <c r="FW813" s="10"/>
      <c r="FX813" s="10"/>
      <c r="FY813" s="10"/>
      <c r="FZ813" s="10"/>
      <c r="GA813" s="10"/>
      <c r="GB813" s="10"/>
      <c r="GC813" s="10"/>
      <c r="GD813" s="10"/>
      <c r="GE813" s="10"/>
      <c r="GF813" s="10"/>
      <c r="GG813" s="10"/>
      <c r="GH813" s="10"/>
      <c r="GI813" s="10"/>
      <c r="GJ813" s="10"/>
      <c r="GK813" s="10"/>
    </row>
    <row r="814" customFormat="false" ht="12.75" hidden="false" customHeight="false" outlineLevel="0" collapsed="false">
      <c r="A814" s="7"/>
      <c r="B814" s="7"/>
      <c r="C814" s="8"/>
      <c r="D814" s="8"/>
      <c r="E814" s="8"/>
      <c r="F814" s="8"/>
      <c r="G814" s="9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  <c r="BO814" s="10"/>
      <c r="BP814" s="10"/>
      <c r="BQ814" s="10"/>
      <c r="BR814" s="10"/>
      <c r="BS814" s="10"/>
      <c r="BT814" s="10"/>
      <c r="BU814" s="10"/>
      <c r="BV814" s="10"/>
      <c r="BW814" s="10"/>
      <c r="BX814" s="10"/>
      <c r="BY814" s="10"/>
      <c r="BZ814" s="10"/>
      <c r="CA814" s="10"/>
      <c r="CB814" s="10"/>
      <c r="CC814" s="10"/>
      <c r="CD814" s="10"/>
      <c r="CE814" s="10"/>
      <c r="CF814" s="10"/>
      <c r="CG814" s="10"/>
      <c r="CH814" s="10"/>
      <c r="CI814" s="10"/>
      <c r="CJ814" s="10"/>
      <c r="CK814" s="10"/>
      <c r="CL814" s="10"/>
      <c r="CM814" s="10"/>
      <c r="CN814" s="10"/>
      <c r="CO814" s="10"/>
      <c r="CP814" s="10"/>
      <c r="CQ814" s="10"/>
      <c r="CR814" s="10"/>
      <c r="CS814" s="10"/>
      <c r="CT814" s="10"/>
      <c r="CU814" s="10"/>
      <c r="CV814" s="10"/>
      <c r="CW814" s="10"/>
      <c r="CX814" s="10"/>
      <c r="CY814" s="10"/>
      <c r="CZ814" s="10"/>
      <c r="DA814" s="10"/>
      <c r="DB814" s="10"/>
      <c r="DC814" s="10"/>
      <c r="DD814" s="10"/>
      <c r="DE814" s="10"/>
      <c r="DF814" s="10"/>
      <c r="DG814" s="10"/>
      <c r="DH814" s="10"/>
      <c r="DI814" s="10"/>
      <c r="DJ814" s="10"/>
      <c r="DK814" s="10"/>
      <c r="DL814" s="10"/>
      <c r="DM814" s="10"/>
      <c r="DN814" s="10"/>
      <c r="DO814" s="10"/>
      <c r="DP814" s="10"/>
      <c r="DQ814" s="10"/>
      <c r="DR814" s="10"/>
      <c r="DS814" s="10"/>
      <c r="DT814" s="10"/>
      <c r="DU814" s="10"/>
      <c r="DV814" s="10"/>
      <c r="DW814" s="10"/>
      <c r="DX814" s="10"/>
      <c r="DY814" s="10"/>
      <c r="DZ814" s="10"/>
      <c r="EA814" s="10"/>
      <c r="EB814" s="10"/>
      <c r="EC814" s="10"/>
      <c r="ED814" s="10"/>
      <c r="EE814" s="10"/>
      <c r="EF814" s="10"/>
      <c r="EG814" s="10"/>
      <c r="EH814" s="10"/>
      <c r="EI814" s="10"/>
      <c r="EJ814" s="10"/>
      <c r="EK814" s="10"/>
      <c r="EL814" s="10"/>
      <c r="EM814" s="10"/>
      <c r="EN814" s="10"/>
      <c r="EO814" s="10"/>
      <c r="EP814" s="10"/>
      <c r="EQ814" s="10"/>
      <c r="ER814" s="10"/>
      <c r="ES814" s="10"/>
      <c r="ET814" s="10"/>
      <c r="EU814" s="10"/>
      <c r="EV814" s="10"/>
      <c r="EW814" s="10"/>
      <c r="EX814" s="10"/>
      <c r="EY814" s="10"/>
      <c r="EZ814" s="10"/>
      <c r="FA814" s="10"/>
      <c r="FB814" s="10"/>
      <c r="FC814" s="10"/>
      <c r="FD814" s="10"/>
      <c r="FE814" s="10"/>
      <c r="FF814" s="10"/>
      <c r="FG814" s="10"/>
      <c r="FH814" s="10"/>
      <c r="FI814" s="10"/>
      <c r="FJ814" s="10"/>
      <c r="FK814" s="10"/>
      <c r="FL814" s="10"/>
      <c r="FM814" s="10"/>
      <c r="FN814" s="10"/>
      <c r="FO814" s="10"/>
      <c r="FP814" s="10"/>
      <c r="FQ814" s="10"/>
      <c r="FR814" s="10"/>
      <c r="FS814" s="10"/>
      <c r="FT814" s="10"/>
      <c r="FU814" s="10"/>
      <c r="FV814" s="10"/>
      <c r="FW814" s="10"/>
      <c r="FX814" s="10"/>
      <c r="FY814" s="10"/>
      <c r="FZ814" s="10"/>
      <c r="GA814" s="10"/>
      <c r="GB814" s="10"/>
      <c r="GC814" s="10"/>
      <c r="GD814" s="10"/>
      <c r="GE814" s="10"/>
      <c r="GF814" s="10"/>
      <c r="GG814" s="10"/>
      <c r="GH814" s="10"/>
      <c r="GI814" s="10"/>
      <c r="GJ814" s="10"/>
      <c r="GK814" s="10"/>
    </row>
    <row r="815" customFormat="false" ht="12.75" hidden="false" customHeight="false" outlineLevel="0" collapsed="false">
      <c r="A815" s="7"/>
      <c r="B815" s="7"/>
      <c r="C815" s="8"/>
      <c r="D815" s="8"/>
      <c r="E815" s="8"/>
      <c r="F815" s="8"/>
      <c r="G815" s="9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  <c r="BO815" s="10"/>
      <c r="BP815" s="10"/>
      <c r="BQ815" s="10"/>
      <c r="BR815" s="10"/>
      <c r="BS815" s="10"/>
      <c r="BT815" s="10"/>
      <c r="BU815" s="10"/>
      <c r="BV815" s="10"/>
      <c r="BW815" s="10"/>
      <c r="BX815" s="10"/>
      <c r="BY815" s="10"/>
      <c r="BZ815" s="10"/>
      <c r="CA815" s="10"/>
      <c r="CB815" s="10"/>
      <c r="CC815" s="10"/>
      <c r="CD815" s="10"/>
      <c r="CE815" s="10"/>
      <c r="CF815" s="10"/>
      <c r="CG815" s="10"/>
      <c r="CH815" s="10"/>
      <c r="CI815" s="10"/>
      <c r="CJ815" s="10"/>
      <c r="CK815" s="10"/>
      <c r="CL815" s="10"/>
      <c r="CM815" s="10"/>
      <c r="CN815" s="10"/>
      <c r="CO815" s="10"/>
      <c r="CP815" s="10"/>
      <c r="CQ815" s="10"/>
      <c r="CR815" s="10"/>
      <c r="CS815" s="10"/>
      <c r="CT815" s="10"/>
      <c r="CU815" s="10"/>
      <c r="CV815" s="10"/>
      <c r="CW815" s="10"/>
      <c r="CX815" s="10"/>
      <c r="CY815" s="10"/>
      <c r="CZ815" s="10"/>
      <c r="DA815" s="10"/>
      <c r="DB815" s="10"/>
      <c r="DC815" s="10"/>
      <c r="DD815" s="10"/>
      <c r="DE815" s="10"/>
      <c r="DF815" s="10"/>
      <c r="DG815" s="10"/>
      <c r="DH815" s="10"/>
      <c r="DI815" s="10"/>
      <c r="DJ815" s="10"/>
      <c r="DK815" s="10"/>
      <c r="DL815" s="10"/>
      <c r="DM815" s="10"/>
      <c r="DN815" s="10"/>
      <c r="DO815" s="10"/>
      <c r="DP815" s="10"/>
      <c r="DQ815" s="10"/>
      <c r="DR815" s="10"/>
      <c r="DS815" s="10"/>
      <c r="DT815" s="10"/>
      <c r="DU815" s="10"/>
      <c r="DV815" s="10"/>
      <c r="DW815" s="10"/>
      <c r="DX815" s="10"/>
      <c r="DY815" s="10"/>
      <c r="DZ815" s="10"/>
      <c r="EA815" s="10"/>
      <c r="EB815" s="10"/>
      <c r="EC815" s="10"/>
      <c r="ED815" s="10"/>
      <c r="EE815" s="10"/>
      <c r="EF815" s="10"/>
      <c r="EG815" s="10"/>
      <c r="EH815" s="10"/>
      <c r="EI815" s="10"/>
      <c r="EJ815" s="10"/>
      <c r="EK815" s="10"/>
      <c r="EL815" s="10"/>
      <c r="EM815" s="10"/>
      <c r="EN815" s="10"/>
      <c r="EO815" s="10"/>
      <c r="EP815" s="10"/>
      <c r="EQ815" s="10"/>
      <c r="ER815" s="10"/>
      <c r="ES815" s="10"/>
      <c r="ET815" s="10"/>
      <c r="EU815" s="10"/>
      <c r="EV815" s="10"/>
      <c r="EW815" s="10"/>
      <c r="EX815" s="10"/>
      <c r="EY815" s="10"/>
      <c r="EZ815" s="10"/>
      <c r="FA815" s="10"/>
      <c r="FB815" s="10"/>
      <c r="FC815" s="10"/>
      <c r="FD815" s="10"/>
      <c r="FE815" s="10"/>
      <c r="FF815" s="10"/>
      <c r="FG815" s="10"/>
      <c r="FH815" s="10"/>
      <c r="FI815" s="10"/>
      <c r="FJ815" s="10"/>
      <c r="FK815" s="10"/>
      <c r="FL815" s="10"/>
      <c r="FM815" s="10"/>
      <c r="FN815" s="10"/>
      <c r="FO815" s="10"/>
      <c r="FP815" s="10"/>
      <c r="FQ815" s="10"/>
      <c r="FR815" s="10"/>
      <c r="FS815" s="10"/>
      <c r="FT815" s="10"/>
      <c r="FU815" s="10"/>
      <c r="FV815" s="10"/>
      <c r="FW815" s="10"/>
      <c r="FX815" s="10"/>
      <c r="FY815" s="10"/>
      <c r="FZ815" s="10"/>
      <c r="GA815" s="10"/>
      <c r="GB815" s="10"/>
      <c r="GC815" s="10"/>
      <c r="GD815" s="10"/>
      <c r="GE815" s="10"/>
      <c r="GF815" s="10"/>
      <c r="GG815" s="10"/>
      <c r="GH815" s="10"/>
      <c r="GI815" s="10"/>
      <c r="GJ815" s="10"/>
      <c r="GK815" s="10"/>
    </row>
    <row r="816" customFormat="false" ht="12.75" hidden="false" customHeight="false" outlineLevel="0" collapsed="false">
      <c r="A816" s="7"/>
      <c r="B816" s="7"/>
      <c r="C816" s="8"/>
      <c r="D816" s="8"/>
      <c r="E816" s="8"/>
      <c r="F816" s="8"/>
      <c r="G816" s="9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0"/>
      <c r="BP816" s="10"/>
      <c r="BQ816" s="10"/>
      <c r="BR816" s="10"/>
      <c r="BS816" s="10"/>
      <c r="BT816" s="10"/>
      <c r="BU816" s="10"/>
      <c r="BV816" s="10"/>
      <c r="BW816" s="10"/>
      <c r="BX816" s="10"/>
      <c r="BY816" s="10"/>
      <c r="BZ816" s="10"/>
      <c r="CA816" s="10"/>
      <c r="CB816" s="10"/>
      <c r="CC816" s="10"/>
      <c r="CD816" s="10"/>
      <c r="CE816" s="10"/>
      <c r="CF816" s="10"/>
      <c r="CG816" s="10"/>
      <c r="CH816" s="10"/>
      <c r="CI816" s="10"/>
      <c r="CJ816" s="10"/>
      <c r="CK816" s="10"/>
      <c r="CL816" s="10"/>
      <c r="CM816" s="10"/>
      <c r="CN816" s="10"/>
      <c r="CO816" s="10"/>
      <c r="CP816" s="10"/>
      <c r="CQ816" s="10"/>
      <c r="CR816" s="10"/>
      <c r="CS816" s="10"/>
      <c r="CT816" s="10"/>
      <c r="CU816" s="10"/>
      <c r="CV816" s="10"/>
      <c r="CW816" s="10"/>
      <c r="CX816" s="10"/>
      <c r="CY816" s="10"/>
      <c r="CZ816" s="10"/>
      <c r="DA816" s="10"/>
      <c r="DB816" s="10"/>
      <c r="DC816" s="10"/>
      <c r="DD816" s="10"/>
      <c r="DE816" s="10"/>
      <c r="DF816" s="10"/>
      <c r="DG816" s="10"/>
      <c r="DH816" s="10"/>
      <c r="DI816" s="10"/>
      <c r="DJ816" s="10"/>
      <c r="DK816" s="10"/>
      <c r="DL816" s="10"/>
      <c r="DM816" s="10"/>
      <c r="DN816" s="10"/>
      <c r="DO816" s="10"/>
      <c r="DP816" s="10"/>
      <c r="DQ816" s="10"/>
      <c r="DR816" s="10"/>
      <c r="DS816" s="10"/>
      <c r="DT816" s="10"/>
      <c r="DU816" s="10"/>
      <c r="DV816" s="10"/>
      <c r="DW816" s="10"/>
      <c r="DX816" s="10"/>
      <c r="DY816" s="10"/>
      <c r="DZ816" s="10"/>
      <c r="EA816" s="10"/>
      <c r="EB816" s="10"/>
      <c r="EC816" s="10"/>
      <c r="ED816" s="10"/>
      <c r="EE816" s="10"/>
      <c r="EF816" s="10"/>
      <c r="EG816" s="10"/>
      <c r="EH816" s="10"/>
      <c r="EI816" s="10"/>
      <c r="EJ816" s="10"/>
      <c r="EK816" s="10"/>
      <c r="EL816" s="10"/>
      <c r="EM816" s="10"/>
      <c r="EN816" s="10"/>
      <c r="EO816" s="10"/>
      <c r="EP816" s="10"/>
      <c r="EQ816" s="10"/>
      <c r="ER816" s="10"/>
      <c r="ES816" s="10"/>
      <c r="ET816" s="10"/>
      <c r="EU816" s="10"/>
      <c r="EV816" s="10"/>
      <c r="EW816" s="10"/>
      <c r="EX816" s="10"/>
      <c r="EY816" s="10"/>
      <c r="EZ816" s="10"/>
      <c r="FA816" s="10"/>
      <c r="FB816" s="10"/>
      <c r="FC816" s="10"/>
      <c r="FD816" s="10"/>
      <c r="FE816" s="10"/>
      <c r="FF816" s="10"/>
      <c r="FG816" s="10"/>
      <c r="FH816" s="10"/>
      <c r="FI816" s="10"/>
      <c r="FJ816" s="10"/>
      <c r="FK816" s="10"/>
      <c r="FL816" s="10"/>
      <c r="FM816" s="10"/>
      <c r="FN816" s="10"/>
      <c r="FO816" s="10"/>
      <c r="FP816" s="10"/>
      <c r="FQ816" s="10"/>
      <c r="FR816" s="10"/>
      <c r="FS816" s="10"/>
      <c r="FT816" s="10"/>
      <c r="FU816" s="10"/>
      <c r="FV816" s="10"/>
      <c r="FW816" s="10"/>
      <c r="FX816" s="10"/>
      <c r="FY816" s="10"/>
      <c r="FZ816" s="10"/>
      <c r="GA816" s="10"/>
      <c r="GB816" s="10"/>
      <c r="GC816" s="10"/>
      <c r="GD816" s="10"/>
      <c r="GE816" s="10"/>
      <c r="GF816" s="10"/>
      <c r="GG816" s="10"/>
      <c r="GH816" s="10"/>
      <c r="GI816" s="10"/>
      <c r="GJ816" s="10"/>
      <c r="GK816" s="10"/>
    </row>
    <row r="817" customFormat="false" ht="12.75" hidden="false" customHeight="false" outlineLevel="0" collapsed="false">
      <c r="A817" s="7"/>
      <c r="B817" s="7"/>
      <c r="C817" s="8"/>
      <c r="D817" s="8"/>
      <c r="E817" s="8"/>
      <c r="F817" s="8"/>
      <c r="G817" s="9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10"/>
      <c r="BP817" s="10"/>
      <c r="BQ817" s="10"/>
      <c r="BR817" s="10"/>
      <c r="BS817" s="10"/>
      <c r="BT817" s="10"/>
      <c r="BU817" s="10"/>
      <c r="BV817" s="10"/>
      <c r="BW817" s="10"/>
      <c r="BX817" s="10"/>
      <c r="BY817" s="10"/>
      <c r="BZ817" s="10"/>
      <c r="CA817" s="10"/>
      <c r="CB817" s="10"/>
      <c r="CC817" s="10"/>
      <c r="CD817" s="10"/>
      <c r="CE817" s="10"/>
      <c r="CF817" s="10"/>
      <c r="CG817" s="10"/>
      <c r="CH817" s="10"/>
      <c r="CI817" s="10"/>
      <c r="CJ817" s="10"/>
      <c r="CK817" s="10"/>
      <c r="CL817" s="10"/>
      <c r="CM817" s="10"/>
      <c r="CN817" s="10"/>
      <c r="CO817" s="10"/>
      <c r="CP817" s="10"/>
      <c r="CQ817" s="10"/>
      <c r="CR817" s="10"/>
      <c r="CS817" s="10"/>
      <c r="CT817" s="10"/>
      <c r="CU817" s="10"/>
      <c r="CV817" s="10"/>
      <c r="CW817" s="10"/>
      <c r="CX817" s="10"/>
      <c r="CY817" s="10"/>
      <c r="CZ817" s="10"/>
      <c r="DA817" s="10"/>
      <c r="DB817" s="10"/>
      <c r="DC817" s="10"/>
      <c r="DD817" s="10"/>
      <c r="DE817" s="10"/>
      <c r="DF817" s="10"/>
      <c r="DG817" s="10"/>
      <c r="DH817" s="10"/>
      <c r="DI817" s="10"/>
      <c r="DJ817" s="10"/>
      <c r="DK817" s="10"/>
      <c r="DL817" s="10"/>
      <c r="DM817" s="10"/>
      <c r="DN817" s="10"/>
      <c r="DO817" s="10"/>
      <c r="DP817" s="10"/>
      <c r="DQ817" s="10"/>
      <c r="DR817" s="10"/>
      <c r="DS817" s="10"/>
      <c r="DT817" s="10"/>
      <c r="DU817" s="10"/>
      <c r="DV817" s="10"/>
      <c r="DW817" s="10"/>
      <c r="DX817" s="10"/>
      <c r="DY817" s="10"/>
      <c r="DZ817" s="10"/>
      <c r="EA817" s="10"/>
      <c r="EB817" s="10"/>
      <c r="EC817" s="10"/>
      <c r="ED817" s="10"/>
      <c r="EE817" s="10"/>
      <c r="EF817" s="10"/>
      <c r="EG817" s="10"/>
      <c r="EH817" s="10"/>
      <c r="EI817" s="10"/>
      <c r="EJ817" s="10"/>
      <c r="EK817" s="10"/>
      <c r="EL817" s="10"/>
      <c r="EM817" s="10"/>
      <c r="EN817" s="10"/>
      <c r="EO817" s="10"/>
      <c r="EP817" s="10"/>
      <c r="EQ817" s="10"/>
      <c r="ER817" s="10"/>
      <c r="ES817" s="10"/>
      <c r="ET817" s="10"/>
      <c r="EU817" s="10"/>
      <c r="EV817" s="10"/>
      <c r="EW817" s="10"/>
      <c r="EX817" s="10"/>
      <c r="EY817" s="10"/>
      <c r="EZ817" s="10"/>
      <c r="FA817" s="10"/>
      <c r="FB817" s="10"/>
      <c r="FC817" s="10"/>
      <c r="FD817" s="10"/>
      <c r="FE817" s="10"/>
      <c r="FF817" s="10"/>
      <c r="FG817" s="10"/>
      <c r="FH817" s="10"/>
      <c r="FI817" s="10"/>
      <c r="FJ817" s="10"/>
      <c r="FK817" s="10"/>
      <c r="FL817" s="10"/>
      <c r="FM817" s="10"/>
      <c r="FN817" s="10"/>
      <c r="FO817" s="10"/>
      <c r="FP817" s="10"/>
      <c r="FQ817" s="10"/>
      <c r="FR817" s="10"/>
      <c r="FS817" s="10"/>
      <c r="FT817" s="10"/>
      <c r="FU817" s="10"/>
      <c r="FV817" s="10"/>
      <c r="FW817" s="10"/>
      <c r="FX817" s="10"/>
      <c r="FY817" s="10"/>
      <c r="FZ817" s="10"/>
      <c r="GA817" s="10"/>
      <c r="GB817" s="10"/>
      <c r="GC817" s="10"/>
      <c r="GD817" s="10"/>
      <c r="GE817" s="10"/>
      <c r="GF817" s="10"/>
      <c r="GG817" s="10"/>
      <c r="GH817" s="10"/>
      <c r="GI817" s="10"/>
      <c r="GJ817" s="10"/>
      <c r="GK817" s="10"/>
    </row>
    <row r="818" customFormat="false" ht="12.75" hidden="false" customHeight="false" outlineLevel="0" collapsed="false">
      <c r="A818" s="7"/>
      <c r="B818" s="7"/>
      <c r="C818" s="8"/>
      <c r="D818" s="8"/>
      <c r="E818" s="8"/>
      <c r="F818" s="8"/>
      <c r="G818" s="9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10"/>
      <c r="BL818" s="10"/>
      <c r="BM818" s="10"/>
      <c r="BN818" s="10"/>
      <c r="BO818" s="10"/>
      <c r="BP818" s="10"/>
      <c r="BQ818" s="10"/>
      <c r="BR818" s="10"/>
      <c r="BS818" s="10"/>
      <c r="BT818" s="10"/>
      <c r="BU818" s="10"/>
      <c r="BV818" s="10"/>
      <c r="BW818" s="10"/>
      <c r="BX818" s="10"/>
      <c r="BY818" s="10"/>
      <c r="BZ818" s="10"/>
      <c r="CA818" s="10"/>
      <c r="CB818" s="10"/>
      <c r="CC818" s="10"/>
      <c r="CD818" s="10"/>
      <c r="CE818" s="10"/>
      <c r="CF818" s="10"/>
      <c r="CG818" s="10"/>
      <c r="CH818" s="10"/>
      <c r="CI818" s="10"/>
      <c r="CJ818" s="10"/>
      <c r="CK818" s="10"/>
      <c r="CL818" s="10"/>
      <c r="CM818" s="10"/>
      <c r="CN818" s="10"/>
      <c r="CO818" s="10"/>
      <c r="CP818" s="10"/>
      <c r="CQ818" s="10"/>
      <c r="CR818" s="10"/>
      <c r="CS818" s="10"/>
      <c r="CT818" s="10"/>
      <c r="CU818" s="10"/>
      <c r="CV818" s="10"/>
      <c r="CW818" s="10"/>
      <c r="CX818" s="10"/>
      <c r="CY818" s="10"/>
      <c r="CZ818" s="10"/>
      <c r="DA818" s="10"/>
      <c r="DB818" s="10"/>
      <c r="DC818" s="10"/>
      <c r="DD818" s="10"/>
      <c r="DE818" s="10"/>
      <c r="DF818" s="10"/>
      <c r="DG818" s="10"/>
      <c r="DH818" s="10"/>
      <c r="DI818" s="10"/>
      <c r="DJ818" s="10"/>
      <c r="DK818" s="10"/>
      <c r="DL818" s="10"/>
      <c r="DM818" s="10"/>
      <c r="DN818" s="10"/>
      <c r="DO818" s="10"/>
      <c r="DP818" s="10"/>
      <c r="DQ818" s="10"/>
      <c r="DR818" s="10"/>
      <c r="DS818" s="10"/>
      <c r="DT818" s="10"/>
      <c r="DU818" s="10"/>
      <c r="DV818" s="10"/>
      <c r="DW818" s="10"/>
      <c r="DX818" s="10"/>
      <c r="DY818" s="10"/>
      <c r="DZ818" s="10"/>
      <c r="EA818" s="10"/>
      <c r="EB818" s="10"/>
      <c r="EC818" s="10"/>
      <c r="ED818" s="10"/>
      <c r="EE818" s="10"/>
      <c r="EF818" s="10"/>
      <c r="EG818" s="10"/>
      <c r="EH818" s="10"/>
      <c r="EI818" s="10"/>
      <c r="EJ818" s="10"/>
      <c r="EK818" s="10"/>
      <c r="EL818" s="10"/>
      <c r="EM818" s="10"/>
      <c r="EN818" s="10"/>
      <c r="EO818" s="10"/>
      <c r="EP818" s="10"/>
      <c r="EQ818" s="10"/>
      <c r="ER818" s="10"/>
      <c r="ES818" s="10"/>
      <c r="ET818" s="10"/>
      <c r="EU818" s="10"/>
      <c r="EV818" s="10"/>
      <c r="EW818" s="10"/>
      <c r="EX818" s="10"/>
      <c r="EY818" s="10"/>
      <c r="EZ818" s="10"/>
      <c r="FA818" s="10"/>
      <c r="FB818" s="10"/>
      <c r="FC818" s="10"/>
      <c r="FD818" s="10"/>
      <c r="FE818" s="10"/>
      <c r="FF818" s="10"/>
      <c r="FG818" s="10"/>
      <c r="FH818" s="10"/>
      <c r="FI818" s="10"/>
      <c r="FJ818" s="10"/>
      <c r="FK818" s="10"/>
      <c r="FL818" s="10"/>
      <c r="FM818" s="10"/>
      <c r="FN818" s="10"/>
      <c r="FO818" s="10"/>
      <c r="FP818" s="10"/>
      <c r="FQ818" s="10"/>
      <c r="FR818" s="10"/>
      <c r="FS818" s="10"/>
      <c r="FT818" s="10"/>
      <c r="FU818" s="10"/>
      <c r="FV818" s="10"/>
      <c r="FW818" s="10"/>
      <c r="FX818" s="10"/>
      <c r="FY818" s="10"/>
      <c r="FZ818" s="10"/>
      <c r="GA818" s="10"/>
      <c r="GB818" s="10"/>
      <c r="GC818" s="10"/>
      <c r="GD818" s="10"/>
      <c r="GE818" s="10"/>
      <c r="GF818" s="10"/>
      <c r="GG818" s="10"/>
      <c r="GH818" s="10"/>
      <c r="GI818" s="10"/>
      <c r="GJ818" s="10"/>
      <c r="GK818" s="10"/>
    </row>
    <row r="819" customFormat="false" ht="12.75" hidden="false" customHeight="false" outlineLevel="0" collapsed="false">
      <c r="A819" s="7"/>
      <c r="B819" s="7"/>
      <c r="C819" s="8"/>
      <c r="D819" s="8"/>
      <c r="E819" s="8"/>
      <c r="F819" s="8"/>
      <c r="G819" s="9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  <c r="BM819" s="10"/>
      <c r="BN819" s="10"/>
      <c r="BO819" s="10"/>
      <c r="BP819" s="10"/>
      <c r="BQ819" s="10"/>
      <c r="BR819" s="10"/>
      <c r="BS819" s="10"/>
      <c r="BT819" s="10"/>
      <c r="BU819" s="10"/>
      <c r="BV819" s="10"/>
      <c r="BW819" s="10"/>
      <c r="BX819" s="10"/>
      <c r="BY819" s="10"/>
      <c r="BZ819" s="10"/>
      <c r="CA819" s="10"/>
      <c r="CB819" s="10"/>
      <c r="CC819" s="10"/>
      <c r="CD819" s="10"/>
      <c r="CE819" s="10"/>
      <c r="CF819" s="10"/>
      <c r="CG819" s="10"/>
      <c r="CH819" s="10"/>
      <c r="CI819" s="10"/>
      <c r="CJ819" s="10"/>
      <c r="CK819" s="10"/>
      <c r="CL819" s="10"/>
      <c r="CM819" s="10"/>
      <c r="CN819" s="10"/>
      <c r="CO819" s="10"/>
      <c r="CP819" s="10"/>
      <c r="CQ819" s="10"/>
      <c r="CR819" s="10"/>
      <c r="CS819" s="10"/>
      <c r="CT819" s="10"/>
      <c r="CU819" s="10"/>
      <c r="CV819" s="10"/>
      <c r="CW819" s="10"/>
      <c r="CX819" s="10"/>
      <c r="CY819" s="10"/>
      <c r="CZ819" s="10"/>
      <c r="DA819" s="10"/>
      <c r="DB819" s="10"/>
      <c r="DC819" s="10"/>
      <c r="DD819" s="10"/>
      <c r="DE819" s="10"/>
      <c r="DF819" s="10"/>
      <c r="DG819" s="10"/>
      <c r="DH819" s="10"/>
      <c r="DI819" s="10"/>
      <c r="DJ819" s="10"/>
      <c r="DK819" s="10"/>
      <c r="DL819" s="10"/>
      <c r="DM819" s="10"/>
      <c r="DN819" s="10"/>
      <c r="DO819" s="10"/>
      <c r="DP819" s="10"/>
      <c r="DQ819" s="10"/>
      <c r="DR819" s="10"/>
      <c r="DS819" s="10"/>
      <c r="DT819" s="10"/>
      <c r="DU819" s="10"/>
      <c r="DV819" s="10"/>
      <c r="DW819" s="10"/>
      <c r="DX819" s="10"/>
      <c r="DY819" s="10"/>
      <c r="DZ819" s="10"/>
      <c r="EA819" s="10"/>
      <c r="EB819" s="10"/>
      <c r="EC819" s="10"/>
      <c r="ED819" s="10"/>
      <c r="EE819" s="10"/>
      <c r="EF819" s="10"/>
      <c r="EG819" s="10"/>
      <c r="EH819" s="10"/>
      <c r="EI819" s="10"/>
      <c r="EJ819" s="10"/>
      <c r="EK819" s="10"/>
      <c r="EL819" s="10"/>
      <c r="EM819" s="10"/>
      <c r="EN819" s="10"/>
      <c r="EO819" s="10"/>
      <c r="EP819" s="10"/>
      <c r="EQ819" s="10"/>
      <c r="ER819" s="10"/>
      <c r="ES819" s="10"/>
      <c r="ET819" s="10"/>
      <c r="EU819" s="10"/>
      <c r="EV819" s="10"/>
      <c r="EW819" s="10"/>
      <c r="EX819" s="10"/>
      <c r="EY819" s="10"/>
      <c r="EZ819" s="10"/>
      <c r="FA819" s="10"/>
      <c r="FB819" s="10"/>
      <c r="FC819" s="10"/>
      <c r="FD819" s="10"/>
      <c r="FE819" s="10"/>
      <c r="FF819" s="10"/>
      <c r="FG819" s="10"/>
      <c r="FH819" s="10"/>
      <c r="FI819" s="10"/>
      <c r="FJ819" s="10"/>
      <c r="FK819" s="10"/>
      <c r="FL819" s="10"/>
      <c r="FM819" s="10"/>
      <c r="FN819" s="10"/>
      <c r="FO819" s="10"/>
      <c r="FP819" s="10"/>
      <c r="FQ819" s="10"/>
      <c r="FR819" s="10"/>
      <c r="FS819" s="10"/>
      <c r="FT819" s="10"/>
      <c r="FU819" s="10"/>
      <c r="FV819" s="10"/>
      <c r="FW819" s="10"/>
      <c r="FX819" s="10"/>
      <c r="FY819" s="10"/>
      <c r="FZ819" s="10"/>
      <c r="GA819" s="10"/>
      <c r="GB819" s="10"/>
      <c r="GC819" s="10"/>
      <c r="GD819" s="10"/>
      <c r="GE819" s="10"/>
      <c r="GF819" s="10"/>
      <c r="GG819" s="10"/>
      <c r="GH819" s="10"/>
      <c r="GI819" s="10"/>
      <c r="GJ819" s="10"/>
      <c r="GK819" s="10"/>
    </row>
    <row r="820" customFormat="false" ht="12.75" hidden="false" customHeight="false" outlineLevel="0" collapsed="false">
      <c r="A820" s="7"/>
      <c r="B820" s="7"/>
      <c r="C820" s="8"/>
      <c r="D820" s="8"/>
      <c r="E820" s="8"/>
      <c r="F820" s="8"/>
      <c r="G820" s="9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  <c r="BL820" s="10"/>
      <c r="BM820" s="10"/>
      <c r="BN820" s="10"/>
      <c r="BO820" s="10"/>
      <c r="BP820" s="10"/>
      <c r="BQ820" s="10"/>
      <c r="BR820" s="10"/>
      <c r="BS820" s="10"/>
      <c r="BT820" s="10"/>
      <c r="BU820" s="10"/>
      <c r="BV820" s="10"/>
      <c r="BW820" s="10"/>
      <c r="BX820" s="10"/>
      <c r="BY820" s="10"/>
      <c r="BZ820" s="10"/>
      <c r="CA820" s="10"/>
      <c r="CB820" s="10"/>
      <c r="CC820" s="10"/>
      <c r="CD820" s="10"/>
      <c r="CE820" s="10"/>
      <c r="CF820" s="10"/>
      <c r="CG820" s="10"/>
      <c r="CH820" s="10"/>
      <c r="CI820" s="10"/>
      <c r="CJ820" s="10"/>
      <c r="CK820" s="10"/>
      <c r="CL820" s="10"/>
      <c r="CM820" s="10"/>
      <c r="CN820" s="10"/>
      <c r="CO820" s="10"/>
      <c r="CP820" s="10"/>
      <c r="CQ820" s="10"/>
      <c r="CR820" s="10"/>
      <c r="CS820" s="10"/>
      <c r="CT820" s="10"/>
      <c r="CU820" s="10"/>
      <c r="CV820" s="10"/>
      <c r="CW820" s="10"/>
      <c r="CX820" s="10"/>
      <c r="CY820" s="10"/>
      <c r="CZ820" s="10"/>
      <c r="DA820" s="10"/>
      <c r="DB820" s="10"/>
      <c r="DC820" s="10"/>
      <c r="DD820" s="10"/>
      <c r="DE820" s="10"/>
      <c r="DF820" s="10"/>
      <c r="DG820" s="10"/>
      <c r="DH820" s="10"/>
      <c r="DI820" s="10"/>
      <c r="DJ820" s="10"/>
      <c r="DK820" s="10"/>
      <c r="DL820" s="10"/>
      <c r="DM820" s="10"/>
      <c r="DN820" s="10"/>
      <c r="DO820" s="10"/>
      <c r="DP820" s="10"/>
      <c r="DQ820" s="10"/>
      <c r="DR820" s="10"/>
      <c r="DS820" s="10"/>
      <c r="DT820" s="10"/>
      <c r="DU820" s="10"/>
      <c r="DV820" s="10"/>
      <c r="DW820" s="10"/>
      <c r="DX820" s="10"/>
      <c r="DY820" s="10"/>
      <c r="DZ820" s="10"/>
      <c r="EA820" s="10"/>
      <c r="EB820" s="10"/>
      <c r="EC820" s="10"/>
      <c r="ED820" s="10"/>
      <c r="EE820" s="10"/>
      <c r="EF820" s="10"/>
      <c r="EG820" s="10"/>
      <c r="EH820" s="10"/>
      <c r="EI820" s="10"/>
      <c r="EJ820" s="10"/>
      <c r="EK820" s="10"/>
      <c r="EL820" s="10"/>
      <c r="EM820" s="10"/>
      <c r="EN820" s="10"/>
      <c r="EO820" s="10"/>
      <c r="EP820" s="10"/>
      <c r="EQ820" s="10"/>
      <c r="ER820" s="10"/>
      <c r="ES820" s="10"/>
      <c r="ET820" s="10"/>
      <c r="EU820" s="10"/>
      <c r="EV820" s="10"/>
      <c r="EW820" s="10"/>
      <c r="EX820" s="10"/>
      <c r="EY820" s="10"/>
      <c r="EZ820" s="10"/>
      <c r="FA820" s="10"/>
      <c r="FB820" s="10"/>
      <c r="FC820" s="10"/>
      <c r="FD820" s="10"/>
      <c r="FE820" s="10"/>
      <c r="FF820" s="10"/>
      <c r="FG820" s="10"/>
      <c r="FH820" s="10"/>
      <c r="FI820" s="10"/>
      <c r="FJ820" s="10"/>
      <c r="FK820" s="10"/>
      <c r="FL820" s="10"/>
      <c r="FM820" s="10"/>
      <c r="FN820" s="10"/>
      <c r="FO820" s="10"/>
      <c r="FP820" s="10"/>
      <c r="FQ820" s="10"/>
      <c r="FR820" s="10"/>
      <c r="FS820" s="10"/>
      <c r="FT820" s="10"/>
      <c r="FU820" s="10"/>
      <c r="FV820" s="10"/>
      <c r="FW820" s="10"/>
      <c r="FX820" s="10"/>
      <c r="FY820" s="10"/>
      <c r="FZ820" s="10"/>
      <c r="GA820" s="10"/>
      <c r="GB820" s="10"/>
      <c r="GC820" s="10"/>
      <c r="GD820" s="10"/>
      <c r="GE820" s="10"/>
      <c r="GF820" s="10"/>
      <c r="GG820" s="10"/>
      <c r="GH820" s="10"/>
      <c r="GI820" s="10"/>
      <c r="GJ820" s="10"/>
      <c r="GK820" s="10"/>
    </row>
    <row r="821" customFormat="false" ht="12.75" hidden="false" customHeight="false" outlineLevel="0" collapsed="false">
      <c r="A821" s="7"/>
      <c r="B821" s="7"/>
      <c r="C821" s="8"/>
      <c r="D821" s="8"/>
      <c r="E821" s="8"/>
      <c r="F821" s="8"/>
      <c r="G821" s="9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10"/>
      <c r="BP821" s="10"/>
      <c r="BQ821" s="10"/>
      <c r="BR821" s="10"/>
      <c r="BS821" s="10"/>
      <c r="BT821" s="10"/>
      <c r="BU821" s="10"/>
      <c r="BV821" s="10"/>
      <c r="BW821" s="10"/>
      <c r="BX821" s="10"/>
      <c r="BY821" s="10"/>
      <c r="BZ821" s="10"/>
      <c r="CA821" s="10"/>
      <c r="CB821" s="10"/>
      <c r="CC821" s="10"/>
      <c r="CD821" s="10"/>
      <c r="CE821" s="10"/>
      <c r="CF821" s="10"/>
      <c r="CG821" s="10"/>
      <c r="CH821" s="10"/>
      <c r="CI821" s="10"/>
      <c r="CJ821" s="10"/>
      <c r="CK821" s="10"/>
      <c r="CL821" s="10"/>
      <c r="CM821" s="10"/>
      <c r="CN821" s="10"/>
      <c r="CO821" s="10"/>
      <c r="CP821" s="10"/>
      <c r="CQ821" s="10"/>
      <c r="CR821" s="10"/>
      <c r="CS821" s="10"/>
      <c r="CT821" s="10"/>
      <c r="CU821" s="10"/>
      <c r="CV821" s="10"/>
      <c r="CW821" s="10"/>
      <c r="CX821" s="10"/>
      <c r="CY821" s="10"/>
      <c r="CZ821" s="10"/>
      <c r="DA821" s="10"/>
      <c r="DB821" s="10"/>
      <c r="DC821" s="10"/>
      <c r="DD821" s="10"/>
      <c r="DE821" s="10"/>
      <c r="DF821" s="10"/>
      <c r="DG821" s="10"/>
      <c r="DH821" s="10"/>
      <c r="DI821" s="10"/>
      <c r="DJ821" s="10"/>
      <c r="DK821" s="10"/>
      <c r="DL821" s="10"/>
      <c r="DM821" s="10"/>
      <c r="DN821" s="10"/>
      <c r="DO821" s="10"/>
      <c r="DP821" s="10"/>
      <c r="DQ821" s="10"/>
      <c r="DR821" s="10"/>
      <c r="DS821" s="10"/>
      <c r="DT821" s="10"/>
      <c r="DU821" s="10"/>
      <c r="DV821" s="10"/>
      <c r="DW821" s="10"/>
      <c r="DX821" s="10"/>
      <c r="DY821" s="10"/>
      <c r="DZ821" s="10"/>
      <c r="EA821" s="10"/>
      <c r="EB821" s="10"/>
      <c r="EC821" s="10"/>
      <c r="ED821" s="10"/>
      <c r="EE821" s="10"/>
      <c r="EF821" s="10"/>
      <c r="EG821" s="10"/>
      <c r="EH821" s="10"/>
      <c r="EI821" s="10"/>
      <c r="EJ821" s="10"/>
      <c r="EK821" s="10"/>
      <c r="EL821" s="10"/>
      <c r="EM821" s="10"/>
      <c r="EN821" s="10"/>
      <c r="EO821" s="10"/>
      <c r="EP821" s="10"/>
      <c r="EQ821" s="10"/>
      <c r="ER821" s="10"/>
      <c r="ES821" s="10"/>
      <c r="ET821" s="10"/>
      <c r="EU821" s="10"/>
      <c r="EV821" s="10"/>
      <c r="EW821" s="10"/>
      <c r="EX821" s="10"/>
      <c r="EY821" s="10"/>
      <c r="EZ821" s="10"/>
      <c r="FA821" s="10"/>
      <c r="FB821" s="10"/>
      <c r="FC821" s="10"/>
      <c r="FD821" s="10"/>
      <c r="FE821" s="10"/>
      <c r="FF821" s="10"/>
      <c r="FG821" s="10"/>
      <c r="FH821" s="10"/>
      <c r="FI821" s="10"/>
      <c r="FJ821" s="10"/>
      <c r="FK821" s="10"/>
      <c r="FL821" s="10"/>
      <c r="FM821" s="10"/>
      <c r="FN821" s="10"/>
      <c r="FO821" s="10"/>
      <c r="FP821" s="10"/>
      <c r="FQ821" s="10"/>
      <c r="FR821" s="10"/>
      <c r="FS821" s="10"/>
      <c r="FT821" s="10"/>
      <c r="FU821" s="10"/>
      <c r="FV821" s="10"/>
      <c r="FW821" s="10"/>
      <c r="FX821" s="10"/>
      <c r="FY821" s="10"/>
      <c r="FZ821" s="10"/>
      <c r="GA821" s="10"/>
      <c r="GB821" s="10"/>
      <c r="GC821" s="10"/>
      <c r="GD821" s="10"/>
      <c r="GE821" s="10"/>
      <c r="GF821" s="10"/>
      <c r="GG821" s="10"/>
      <c r="GH821" s="10"/>
      <c r="GI821" s="10"/>
      <c r="GJ821" s="10"/>
      <c r="GK821" s="10"/>
    </row>
    <row r="822" customFormat="false" ht="12.75" hidden="false" customHeight="false" outlineLevel="0" collapsed="false">
      <c r="A822" s="7"/>
      <c r="B822" s="7"/>
      <c r="C822" s="8"/>
      <c r="D822" s="8"/>
      <c r="E822" s="8"/>
      <c r="F822" s="8"/>
      <c r="G822" s="9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10"/>
      <c r="BL822" s="10"/>
      <c r="BM822" s="10"/>
      <c r="BN822" s="10"/>
      <c r="BO822" s="10"/>
      <c r="BP822" s="10"/>
      <c r="BQ822" s="10"/>
      <c r="BR822" s="10"/>
      <c r="BS822" s="10"/>
      <c r="BT822" s="10"/>
      <c r="BU822" s="10"/>
      <c r="BV822" s="10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  <c r="EM822" s="10"/>
      <c r="EN822" s="10"/>
      <c r="EO822" s="10"/>
      <c r="EP822" s="10"/>
      <c r="EQ822" s="10"/>
      <c r="ER822" s="10"/>
      <c r="ES822" s="10"/>
      <c r="ET822" s="10"/>
      <c r="EU822" s="10"/>
      <c r="EV822" s="10"/>
      <c r="EW822" s="10"/>
      <c r="EX822" s="10"/>
      <c r="EY822" s="10"/>
      <c r="EZ822" s="10"/>
      <c r="FA822" s="10"/>
      <c r="FB822" s="10"/>
      <c r="FC822" s="10"/>
      <c r="FD822" s="10"/>
      <c r="FE822" s="10"/>
      <c r="FF822" s="10"/>
      <c r="FG822" s="10"/>
      <c r="FH822" s="10"/>
      <c r="FI822" s="10"/>
      <c r="FJ822" s="10"/>
      <c r="FK822" s="10"/>
      <c r="FL822" s="10"/>
      <c r="FM822" s="10"/>
      <c r="FN822" s="10"/>
      <c r="FO822" s="10"/>
      <c r="FP822" s="10"/>
      <c r="FQ822" s="10"/>
      <c r="FR822" s="10"/>
      <c r="FS822" s="10"/>
      <c r="FT822" s="10"/>
      <c r="FU822" s="10"/>
      <c r="FV822" s="10"/>
      <c r="FW822" s="10"/>
      <c r="FX822" s="10"/>
      <c r="FY822" s="10"/>
      <c r="FZ822" s="10"/>
      <c r="GA822" s="10"/>
      <c r="GB822" s="10"/>
      <c r="GC822" s="10"/>
      <c r="GD822" s="10"/>
      <c r="GE822" s="10"/>
      <c r="GF822" s="10"/>
      <c r="GG822" s="10"/>
      <c r="GH822" s="10"/>
      <c r="GI822" s="10"/>
      <c r="GJ822" s="10"/>
      <c r="GK822" s="10"/>
    </row>
    <row r="823" customFormat="false" ht="12.75" hidden="false" customHeight="false" outlineLevel="0" collapsed="false">
      <c r="A823" s="7"/>
      <c r="B823" s="7"/>
      <c r="C823" s="8"/>
      <c r="D823" s="8"/>
      <c r="E823" s="8"/>
      <c r="F823" s="8"/>
      <c r="G823" s="9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0"/>
      <c r="BP823" s="10"/>
      <c r="BQ823" s="10"/>
      <c r="BR823" s="10"/>
      <c r="BS823" s="10"/>
      <c r="BT823" s="10"/>
      <c r="BU823" s="10"/>
      <c r="BV823" s="10"/>
      <c r="BW823" s="10"/>
      <c r="BX823" s="10"/>
      <c r="BY823" s="10"/>
      <c r="BZ823" s="10"/>
      <c r="CA823" s="10"/>
      <c r="CB823" s="10"/>
      <c r="CC823" s="10"/>
      <c r="CD823" s="10"/>
      <c r="CE823" s="10"/>
      <c r="CF823" s="10"/>
      <c r="CG823" s="10"/>
      <c r="CH823" s="10"/>
      <c r="CI823" s="10"/>
      <c r="CJ823" s="10"/>
      <c r="CK823" s="10"/>
      <c r="CL823" s="10"/>
      <c r="CM823" s="10"/>
      <c r="CN823" s="10"/>
      <c r="CO823" s="10"/>
      <c r="CP823" s="10"/>
      <c r="CQ823" s="10"/>
      <c r="CR823" s="10"/>
      <c r="CS823" s="10"/>
      <c r="CT823" s="10"/>
      <c r="CU823" s="10"/>
      <c r="CV823" s="10"/>
      <c r="CW823" s="10"/>
      <c r="CX823" s="10"/>
      <c r="CY823" s="10"/>
      <c r="CZ823" s="10"/>
      <c r="DA823" s="10"/>
      <c r="DB823" s="10"/>
      <c r="DC823" s="10"/>
      <c r="DD823" s="10"/>
      <c r="DE823" s="10"/>
      <c r="DF823" s="10"/>
      <c r="DG823" s="10"/>
      <c r="DH823" s="10"/>
      <c r="DI823" s="10"/>
      <c r="DJ823" s="10"/>
      <c r="DK823" s="10"/>
      <c r="DL823" s="10"/>
      <c r="DM823" s="10"/>
      <c r="DN823" s="10"/>
      <c r="DO823" s="10"/>
      <c r="DP823" s="10"/>
      <c r="DQ823" s="10"/>
      <c r="DR823" s="10"/>
      <c r="DS823" s="10"/>
      <c r="DT823" s="10"/>
      <c r="DU823" s="10"/>
      <c r="DV823" s="10"/>
      <c r="DW823" s="10"/>
      <c r="DX823" s="10"/>
      <c r="DY823" s="10"/>
      <c r="DZ823" s="10"/>
      <c r="EA823" s="10"/>
      <c r="EB823" s="10"/>
      <c r="EC823" s="10"/>
      <c r="ED823" s="10"/>
      <c r="EE823" s="10"/>
      <c r="EF823" s="10"/>
      <c r="EG823" s="10"/>
      <c r="EH823" s="10"/>
      <c r="EI823" s="10"/>
      <c r="EJ823" s="10"/>
      <c r="EK823" s="10"/>
      <c r="EL823" s="10"/>
      <c r="EM823" s="10"/>
      <c r="EN823" s="10"/>
      <c r="EO823" s="10"/>
      <c r="EP823" s="10"/>
      <c r="EQ823" s="10"/>
      <c r="ER823" s="10"/>
      <c r="ES823" s="10"/>
      <c r="ET823" s="10"/>
      <c r="EU823" s="10"/>
      <c r="EV823" s="10"/>
      <c r="EW823" s="10"/>
      <c r="EX823" s="10"/>
      <c r="EY823" s="10"/>
      <c r="EZ823" s="10"/>
      <c r="FA823" s="10"/>
      <c r="FB823" s="10"/>
      <c r="FC823" s="10"/>
      <c r="FD823" s="10"/>
      <c r="FE823" s="10"/>
      <c r="FF823" s="10"/>
      <c r="FG823" s="10"/>
      <c r="FH823" s="10"/>
      <c r="FI823" s="10"/>
      <c r="FJ823" s="10"/>
      <c r="FK823" s="10"/>
      <c r="FL823" s="10"/>
      <c r="FM823" s="10"/>
      <c r="FN823" s="10"/>
      <c r="FO823" s="10"/>
      <c r="FP823" s="10"/>
      <c r="FQ823" s="10"/>
      <c r="FR823" s="10"/>
      <c r="FS823" s="10"/>
      <c r="FT823" s="10"/>
      <c r="FU823" s="10"/>
      <c r="FV823" s="10"/>
      <c r="FW823" s="10"/>
      <c r="FX823" s="10"/>
      <c r="FY823" s="10"/>
      <c r="FZ823" s="10"/>
      <c r="GA823" s="10"/>
      <c r="GB823" s="10"/>
      <c r="GC823" s="10"/>
      <c r="GD823" s="10"/>
      <c r="GE823" s="10"/>
      <c r="GF823" s="10"/>
      <c r="GG823" s="10"/>
      <c r="GH823" s="10"/>
      <c r="GI823" s="10"/>
      <c r="GJ823" s="10"/>
      <c r="GK823" s="10"/>
    </row>
    <row r="824" customFormat="false" ht="12.75" hidden="false" customHeight="false" outlineLevel="0" collapsed="false">
      <c r="A824" s="7"/>
      <c r="B824" s="7"/>
      <c r="C824" s="8"/>
      <c r="D824" s="8"/>
      <c r="E824" s="8"/>
      <c r="F824" s="8"/>
      <c r="G824" s="9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0"/>
      <c r="BP824" s="10"/>
      <c r="BQ824" s="10"/>
      <c r="BR824" s="10"/>
      <c r="BS824" s="10"/>
      <c r="BT824" s="10"/>
      <c r="BU824" s="10"/>
      <c r="BV824" s="10"/>
      <c r="BW824" s="10"/>
      <c r="BX824" s="10"/>
      <c r="BY824" s="10"/>
      <c r="BZ824" s="10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  <c r="EM824" s="10"/>
      <c r="EN824" s="10"/>
      <c r="EO824" s="10"/>
      <c r="EP824" s="10"/>
      <c r="EQ824" s="10"/>
      <c r="ER824" s="10"/>
      <c r="ES824" s="10"/>
      <c r="ET824" s="10"/>
      <c r="EU824" s="10"/>
      <c r="EV824" s="10"/>
      <c r="EW824" s="10"/>
      <c r="EX824" s="10"/>
      <c r="EY824" s="10"/>
      <c r="EZ824" s="10"/>
      <c r="FA824" s="10"/>
      <c r="FB824" s="10"/>
      <c r="FC824" s="10"/>
      <c r="FD824" s="10"/>
      <c r="FE824" s="10"/>
      <c r="FF824" s="10"/>
      <c r="FG824" s="10"/>
      <c r="FH824" s="10"/>
      <c r="FI824" s="10"/>
      <c r="FJ824" s="10"/>
      <c r="FK824" s="10"/>
      <c r="FL824" s="10"/>
      <c r="FM824" s="10"/>
      <c r="FN824" s="10"/>
      <c r="FO824" s="10"/>
      <c r="FP824" s="10"/>
      <c r="FQ824" s="10"/>
      <c r="FR824" s="10"/>
      <c r="FS824" s="10"/>
      <c r="FT824" s="10"/>
      <c r="FU824" s="10"/>
      <c r="FV824" s="10"/>
      <c r="FW824" s="10"/>
      <c r="FX824" s="10"/>
      <c r="FY824" s="10"/>
      <c r="FZ824" s="10"/>
      <c r="GA824" s="10"/>
      <c r="GB824" s="10"/>
      <c r="GC824" s="10"/>
      <c r="GD824" s="10"/>
      <c r="GE824" s="10"/>
      <c r="GF824" s="10"/>
      <c r="GG824" s="10"/>
      <c r="GH824" s="10"/>
      <c r="GI824" s="10"/>
      <c r="GJ824" s="10"/>
      <c r="GK824" s="10"/>
    </row>
    <row r="825" customFormat="false" ht="12.75" hidden="false" customHeight="false" outlineLevel="0" collapsed="false">
      <c r="A825" s="7"/>
      <c r="B825" s="7"/>
      <c r="C825" s="8"/>
      <c r="D825" s="8"/>
      <c r="E825" s="8"/>
      <c r="F825" s="8"/>
      <c r="G825" s="9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10"/>
      <c r="BL825" s="10"/>
      <c r="BM825" s="10"/>
      <c r="BN825" s="10"/>
      <c r="BO825" s="10"/>
      <c r="BP825" s="10"/>
      <c r="BQ825" s="10"/>
      <c r="BR825" s="10"/>
      <c r="BS825" s="10"/>
      <c r="BT825" s="10"/>
      <c r="BU825" s="10"/>
      <c r="BV825" s="10"/>
      <c r="BW825" s="10"/>
      <c r="BX825" s="10"/>
      <c r="BY825" s="10"/>
      <c r="BZ825" s="10"/>
      <c r="CA825" s="10"/>
      <c r="CB825" s="10"/>
      <c r="CC825" s="10"/>
      <c r="CD825" s="10"/>
      <c r="CE825" s="10"/>
      <c r="CF825" s="10"/>
      <c r="CG825" s="10"/>
      <c r="CH825" s="10"/>
      <c r="CI825" s="10"/>
      <c r="CJ825" s="10"/>
      <c r="CK825" s="10"/>
      <c r="CL825" s="10"/>
      <c r="CM825" s="10"/>
      <c r="CN825" s="10"/>
      <c r="CO825" s="10"/>
      <c r="CP825" s="10"/>
      <c r="CQ825" s="10"/>
      <c r="CR825" s="10"/>
      <c r="CS825" s="10"/>
      <c r="CT825" s="10"/>
      <c r="CU825" s="10"/>
      <c r="CV825" s="10"/>
      <c r="CW825" s="10"/>
      <c r="CX825" s="10"/>
      <c r="CY825" s="10"/>
      <c r="CZ825" s="10"/>
      <c r="DA825" s="10"/>
      <c r="DB825" s="10"/>
      <c r="DC825" s="10"/>
      <c r="DD825" s="10"/>
      <c r="DE825" s="10"/>
      <c r="DF825" s="10"/>
      <c r="DG825" s="10"/>
      <c r="DH825" s="10"/>
      <c r="DI825" s="10"/>
      <c r="DJ825" s="10"/>
      <c r="DK825" s="10"/>
      <c r="DL825" s="10"/>
      <c r="DM825" s="10"/>
      <c r="DN825" s="10"/>
      <c r="DO825" s="10"/>
      <c r="DP825" s="10"/>
      <c r="DQ825" s="10"/>
      <c r="DR825" s="10"/>
      <c r="DS825" s="10"/>
      <c r="DT825" s="10"/>
      <c r="DU825" s="10"/>
      <c r="DV825" s="10"/>
      <c r="DW825" s="10"/>
      <c r="DX825" s="10"/>
      <c r="DY825" s="10"/>
      <c r="DZ825" s="10"/>
      <c r="EA825" s="10"/>
      <c r="EB825" s="10"/>
      <c r="EC825" s="10"/>
      <c r="ED825" s="10"/>
      <c r="EE825" s="10"/>
      <c r="EF825" s="10"/>
      <c r="EG825" s="10"/>
      <c r="EH825" s="10"/>
      <c r="EI825" s="10"/>
      <c r="EJ825" s="10"/>
      <c r="EK825" s="10"/>
      <c r="EL825" s="10"/>
      <c r="EM825" s="10"/>
      <c r="EN825" s="10"/>
      <c r="EO825" s="10"/>
      <c r="EP825" s="10"/>
      <c r="EQ825" s="10"/>
      <c r="ER825" s="10"/>
      <c r="ES825" s="10"/>
      <c r="ET825" s="10"/>
      <c r="EU825" s="10"/>
      <c r="EV825" s="10"/>
      <c r="EW825" s="10"/>
      <c r="EX825" s="10"/>
      <c r="EY825" s="10"/>
      <c r="EZ825" s="10"/>
      <c r="FA825" s="10"/>
      <c r="FB825" s="10"/>
      <c r="FC825" s="10"/>
      <c r="FD825" s="10"/>
      <c r="FE825" s="10"/>
      <c r="FF825" s="10"/>
      <c r="FG825" s="10"/>
      <c r="FH825" s="10"/>
      <c r="FI825" s="10"/>
      <c r="FJ825" s="10"/>
      <c r="FK825" s="10"/>
      <c r="FL825" s="10"/>
      <c r="FM825" s="10"/>
      <c r="FN825" s="10"/>
      <c r="FO825" s="10"/>
      <c r="FP825" s="10"/>
      <c r="FQ825" s="10"/>
      <c r="FR825" s="10"/>
      <c r="FS825" s="10"/>
      <c r="FT825" s="10"/>
      <c r="FU825" s="10"/>
      <c r="FV825" s="10"/>
      <c r="FW825" s="10"/>
      <c r="FX825" s="10"/>
      <c r="FY825" s="10"/>
      <c r="FZ825" s="10"/>
      <c r="GA825" s="10"/>
      <c r="GB825" s="10"/>
      <c r="GC825" s="10"/>
      <c r="GD825" s="10"/>
      <c r="GE825" s="10"/>
      <c r="GF825" s="10"/>
      <c r="GG825" s="10"/>
      <c r="GH825" s="10"/>
      <c r="GI825" s="10"/>
      <c r="GJ825" s="10"/>
      <c r="GK825" s="10"/>
    </row>
    <row r="826" customFormat="false" ht="12.75" hidden="false" customHeight="false" outlineLevel="0" collapsed="false">
      <c r="A826" s="7"/>
      <c r="B826" s="7"/>
      <c r="C826" s="8"/>
      <c r="D826" s="8"/>
      <c r="E826" s="8"/>
      <c r="F826" s="8"/>
      <c r="G826" s="9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10"/>
      <c r="BP826" s="10"/>
      <c r="BQ826" s="10"/>
      <c r="BR826" s="10"/>
      <c r="BS826" s="10"/>
      <c r="BT826" s="10"/>
      <c r="BU826" s="10"/>
      <c r="BV826" s="10"/>
      <c r="BW826" s="10"/>
      <c r="BX826" s="10"/>
      <c r="BY826" s="10"/>
      <c r="BZ826" s="10"/>
      <c r="CA826" s="10"/>
      <c r="CB826" s="10"/>
      <c r="CC826" s="10"/>
      <c r="CD826" s="10"/>
      <c r="CE826" s="10"/>
      <c r="CF826" s="10"/>
      <c r="CG826" s="10"/>
      <c r="CH826" s="10"/>
      <c r="CI826" s="10"/>
      <c r="CJ826" s="10"/>
      <c r="CK826" s="10"/>
      <c r="CL826" s="10"/>
      <c r="CM826" s="10"/>
      <c r="CN826" s="10"/>
      <c r="CO826" s="10"/>
      <c r="CP826" s="10"/>
      <c r="CQ826" s="10"/>
      <c r="CR826" s="10"/>
      <c r="CS826" s="10"/>
      <c r="CT826" s="10"/>
      <c r="CU826" s="10"/>
      <c r="CV826" s="10"/>
      <c r="CW826" s="10"/>
      <c r="CX826" s="10"/>
      <c r="CY826" s="10"/>
      <c r="CZ826" s="10"/>
      <c r="DA826" s="10"/>
      <c r="DB826" s="10"/>
      <c r="DC826" s="10"/>
      <c r="DD826" s="10"/>
      <c r="DE826" s="10"/>
      <c r="DF826" s="10"/>
      <c r="DG826" s="10"/>
      <c r="DH826" s="10"/>
      <c r="DI826" s="10"/>
      <c r="DJ826" s="10"/>
      <c r="DK826" s="10"/>
      <c r="DL826" s="10"/>
      <c r="DM826" s="10"/>
      <c r="DN826" s="10"/>
      <c r="DO826" s="10"/>
      <c r="DP826" s="10"/>
      <c r="DQ826" s="10"/>
      <c r="DR826" s="10"/>
      <c r="DS826" s="10"/>
      <c r="DT826" s="10"/>
      <c r="DU826" s="10"/>
      <c r="DV826" s="10"/>
      <c r="DW826" s="10"/>
      <c r="DX826" s="10"/>
      <c r="DY826" s="10"/>
      <c r="DZ826" s="10"/>
      <c r="EA826" s="10"/>
      <c r="EB826" s="10"/>
      <c r="EC826" s="10"/>
      <c r="ED826" s="10"/>
      <c r="EE826" s="10"/>
      <c r="EF826" s="10"/>
      <c r="EG826" s="10"/>
      <c r="EH826" s="10"/>
      <c r="EI826" s="10"/>
      <c r="EJ826" s="10"/>
      <c r="EK826" s="10"/>
      <c r="EL826" s="10"/>
      <c r="EM826" s="10"/>
      <c r="EN826" s="10"/>
      <c r="EO826" s="10"/>
      <c r="EP826" s="10"/>
      <c r="EQ826" s="10"/>
      <c r="ER826" s="10"/>
      <c r="ES826" s="10"/>
      <c r="ET826" s="10"/>
      <c r="EU826" s="10"/>
      <c r="EV826" s="10"/>
      <c r="EW826" s="10"/>
      <c r="EX826" s="10"/>
      <c r="EY826" s="10"/>
      <c r="EZ826" s="10"/>
      <c r="FA826" s="10"/>
      <c r="FB826" s="10"/>
      <c r="FC826" s="10"/>
      <c r="FD826" s="10"/>
      <c r="FE826" s="10"/>
      <c r="FF826" s="10"/>
      <c r="FG826" s="10"/>
      <c r="FH826" s="10"/>
      <c r="FI826" s="10"/>
      <c r="FJ826" s="10"/>
      <c r="FK826" s="10"/>
      <c r="FL826" s="10"/>
      <c r="FM826" s="10"/>
      <c r="FN826" s="10"/>
      <c r="FO826" s="10"/>
      <c r="FP826" s="10"/>
      <c r="FQ826" s="10"/>
      <c r="FR826" s="10"/>
      <c r="FS826" s="10"/>
      <c r="FT826" s="10"/>
      <c r="FU826" s="10"/>
      <c r="FV826" s="10"/>
      <c r="FW826" s="10"/>
      <c r="FX826" s="10"/>
      <c r="FY826" s="10"/>
      <c r="FZ826" s="10"/>
      <c r="GA826" s="10"/>
      <c r="GB826" s="10"/>
      <c r="GC826" s="10"/>
      <c r="GD826" s="10"/>
      <c r="GE826" s="10"/>
      <c r="GF826" s="10"/>
      <c r="GG826" s="10"/>
      <c r="GH826" s="10"/>
      <c r="GI826" s="10"/>
      <c r="GJ826" s="10"/>
      <c r="GK826" s="10"/>
    </row>
    <row r="827" customFormat="false" ht="12.75" hidden="false" customHeight="false" outlineLevel="0" collapsed="false">
      <c r="A827" s="7"/>
      <c r="B827" s="7"/>
      <c r="C827" s="8"/>
      <c r="D827" s="8"/>
      <c r="E827" s="8"/>
      <c r="F827" s="8"/>
      <c r="G827" s="9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10"/>
      <c r="BP827" s="10"/>
      <c r="BQ827" s="10"/>
      <c r="BR827" s="10"/>
      <c r="BS827" s="10"/>
      <c r="BT827" s="10"/>
      <c r="BU827" s="10"/>
      <c r="BV827" s="10"/>
      <c r="BW827" s="10"/>
      <c r="BX827" s="10"/>
      <c r="BY827" s="10"/>
      <c r="BZ827" s="10"/>
      <c r="CA827" s="10"/>
      <c r="CB827" s="10"/>
      <c r="CC827" s="10"/>
      <c r="CD827" s="10"/>
      <c r="CE827" s="10"/>
      <c r="CF827" s="10"/>
      <c r="CG827" s="10"/>
      <c r="CH827" s="10"/>
      <c r="CI827" s="10"/>
      <c r="CJ827" s="10"/>
      <c r="CK827" s="10"/>
      <c r="CL827" s="10"/>
      <c r="CM827" s="10"/>
      <c r="CN827" s="10"/>
      <c r="CO827" s="10"/>
      <c r="CP827" s="10"/>
      <c r="CQ827" s="10"/>
      <c r="CR827" s="10"/>
      <c r="CS827" s="10"/>
      <c r="CT827" s="10"/>
      <c r="CU827" s="10"/>
      <c r="CV827" s="10"/>
      <c r="CW827" s="10"/>
      <c r="CX827" s="10"/>
      <c r="CY827" s="10"/>
      <c r="CZ827" s="10"/>
      <c r="DA827" s="10"/>
      <c r="DB827" s="10"/>
      <c r="DC827" s="10"/>
      <c r="DD827" s="10"/>
      <c r="DE827" s="10"/>
      <c r="DF827" s="10"/>
      <c r="DG827" s="10"/>
      <c r="DH827" s="10"/>
      <c r="DI827" s="10"/>
      <c r="DJ827" s="10"/>
      <c r="DK827" s="10"/>
      <c r="DL827" s="10"/>
      <c r="DM827" s="10"/>
      <c r="DN827" s="10"/>
      <c r="DO827" s="10"/>
      <c r="DP827" s="10"/>
      <c r="DQ827" s="10"/>
      <c r="DR827" s="10"/>
      <c r="DS827" s="10"/>
      <c r="DT827" s="10"/>
      <c r="DU827" s="10"/>
      <c r="DV827" s="10"/>
      <c r="DW827" s="10"/>
      <c r="DX827" s="10"/>
      <c r="DY827" s="10"/>
      <c r="DZ827" s="10"/>
      <c r="EA827" s="10"/>
      <c r="EB827" s="10"/>
      <c r="EC827" s="10"/>
      <c r="ED827" s="10"/>
      <c r="EE827" s="10"/>
      <c r="EF827" s="10"/>
      <c r="EG827" s="10"/>
      <c r="EH827" s="10"/>
      <c r="EI827" s="10"/>
      <c r="EJ827" s="10"/>
      <c r="EK827" s="10"/>
      <c r="EL827" s="10"/>
      <c r="EM827" s="10"/>
      <c r="EN827" s="10"/>
      <c r="EO827" s="10"/>
      <c r="EP827" s="10"/>
      <c r="EQ827" s="10"/>
      <c r="ER827" s="10"/>
      <c r="ES827" s="10"/>
      <c r="ET827" s="10"/>
      <c r="EU827" s="10"/>
      <c r="EV827" s="10"/>
      <c r="EW827" s="10"/>
      <c r="EX827" s="10"/>
      <c r="EY827" s="10"/>
      <c r="EZ827" s="10"/>
      <c r="FA827" s="10"/>
      <c r="FB827" s="10"/>
      <c r="FC827" s="10"/>
      <c r="FD827" s="10"/>
      <c r="FE827" s="10"/>
      <c r="FF827" s="10"/>
      <c r="FG827" s="10"/>
      <c r="FH827" s="10"/>
      <c r="FI827" s="10"/>
      <c r="FJ827" s="10"/>
      <c r="FK827" s="10"/>
      <c r="FL827" s="10"/>
      <c r="FM827" s="10"/>
      <c r="FN827" s="10"/>
      <c r="FO827" s="10"/>
      <c r="FP827" s="10"/>
      <c r="FQ827" s="10"/>
      <c r="FR827" s="10"/>
      <c r="FS827" s="10"/>
      <c r="FT827" s="10"/>
      <c r="FU827" s="10"/>
      <c r="FV827" s="10"/>
      <c r="FW827" s="10"/>
      <c r="FX827" s="10"/>
      <c r="FY827" s="10"/>
      <c r="FZ827" s="10"/>
      <c r="GA827" s="10"/>
      <c r="GB827" s="10"/>
      <c r="GC827" s="10"/>
      <c r="GD827" s="10"/>
      <c r="GE827" s="10"/>
      <c r="GF827" s="10"/>
      <c r="GG827" s="10"/>
      <c r="GH827" s="10"/>
      <c r="GI827" s="10"/>
      <c r="GJ827" s="10"/>
      <c r="GK827" s="10"/>
    </row>
    <row r="828" customFormat="false" ht="12.75" hidden="false" customHeight="false" outlineLevel="0" collapsed="false">
      <c r="A828" s="7"/>
      <c r="B828" s="7"/>
      <c r="C828" s="8"/>
      <c r="D828" s="8"/>
      <c r="E828" s="8"/>
      <c r="F828" s="8"/>
      <c r="G828" s="9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  <c r="BK828" s="10"/>
      <c r="BL828" s="10"/>
      <c r="BM828" s="10"/>
      <c r="BN828" s="10"/>
      <c r="BO828" s="10"/>
      <c r="BP828" s="10"/>
      <c r="BQ828" s="10"/>
      <c r="BR828" s="10"/>
      <c r="BS828" s="10"/>
      <c r="BT828" s="10"/>
      <c r="BU828" s="10"/>
      <c r="BV828" s="10"/>
      <c r="BW828" s="10"/>
      <c r="BX828" s="10"/>
      <c r="BY828" s="10"/>
      <c r="BZ828" s="10"/>
      <c r="CA828" s="10"/>
      <c r="CB828" s="10"/>
      <c r="CC828" s="10"/>
      <c r="CD828" s="10"/>
      <c r="CE828" s="10"/>
      <c r="CF828" s="10"/>
      <c r="CG828" s="10"/>
      <c r="CH828" s="10"/>
      <c r="CI828" s="10"/>
      <c r="CJ828" s="10"/>
      <c r="CK828" s="10"/>
      <c r="CL828" s="10"/>
      <c r="CM828" s="10"/>
      <c r="CN828" s="10"/>
      <c r="CO828" s="10"/>
      <c r="CP828" s="10"/>
      <c r="CQ828" s="10"/>
      <c r="CR828" s="10"/>
      <c r="CS828" s="10"/>
      <c r="CT828" s="10"/>
      <c r="CU828" s="10"/>
      <c r="CV828" s="10"/>
      <c r="CW828" s="10"/>
      <c r="CX828" s="10"/>
      <c r="CY828" s="10"/>
      <c r="CZ828" s="10"/>
      <c r="DA828" s="10"/>
      <c r="DB828" s="10"/>
      <c r="DC828" s="10"/>
      <c r="DD828" s="10"/>
      <c r="DE828" s="10"/>
      <c r="DF828" s="10"/>
      <c r="DG828" s="10"/>
      <c r="DH828" s="10"/>
      <c r="DI828" s="10"/>
      <c r="DJ828" s="10"/>
      <c r="DK828" s="10"/>
      <c r="DL828" s="10"/>
      <c r="DM828" s="10"/>
      <c r="DN828" s="10"/>
      <c r="DO828" s="10"/>
      <c r="DP828" s="10"/>
      <c r="DQ828" s="10"/>
      <c r="DR828" s="10"/>
      <c r="DS828" s="10"/>
      <c r="DT828" s="10"/>
      <c r="DU828" s="10"/>
      <c r="DV828" s="10"/>
      <c r="DW828" s="10"/>
      <c r="DX828" s="10"/>
      <c r="DY828" s="10"/>
      <c r="DZ828" s="10"/>
      <c r="EA828" s="10"/>
      <c r="EB828" s="10"/>
      <c r="EC828" s="10"/>
      <c r="ED828" s="10"/>
      <c r="EE828" s="10"/>
      <c r="EF828" s="10"/>
      <c r="EG828" s="10"/>
      <c r="EH828" s="10"/>
      <c r="EI828" s="10"/>
      <c r="EJ828" s="10"/>
      <c r="EK828" s="10"/>
      <c r="EL828" s="10"/>
      <c r="EM828" s="10"/>
      <c r="EN828" s="10"/>
      <c r="EO828" s="10"/>
      <c r="EP828" s="10"/>
      <c r="EQ828" s="10"/>
      <c r="ER828" s="10"/>
      <c r="ES828" s="10"/>
      <c r="ET828" s="10"/>
      <c r="EU828" s="10"/>
      <c r="EV828" s="10"/>
      <c r="EW828" s="10"/>
      <c r="EX828" s="10"/>
      <c r="EY828" s="10"/>
      <c r="EZ828" s="10"/>
      <c r="FA828" s="10"/>
      <c r="FB828" s="10"/>
      <c r="FC828" s="10"/>
      <c r="FD828" s="10"/>
      <c r="FE828" s="10"/>
      <c r="FF828" s="10"/>
      <c r="FG828" s="10"/>
      <c r="FH828" s="10"/>
      <c r="FI828" s="10"/>
      <c r="FJ828" s="10"/>
      <c r="FK828" s="10"/>
      <c r="FL828" s="10"/>
      <c r="FM828" s="10"/>
      <c r="FN828" s="10"/>
      <c r="FO828" s="10"/>
      <c r="FP828" s="10"/>
      <c r="FQ828" s="10"/>
      <c r="FR828" s="10"/>
      <c r="FS828" s="10"/>
      <c r="FT828" s="10"/>
      <c r="FU828" s="10"/>
      <c r="FV828" s="10"/>
      <c r="FW828" s="10"/>
      <c r="FX828" s="10"/>
      <c r="FY828" s="10"/>
      <c r="FZ828" s="10"/>
      <c r="GA828" s="10"/>
      <c r="GB828" s="10"/>
      <c r="GC828" s="10"/>
      <c r="GD828" s="10"/>
      <c r="GE828" s="10"/>
      <c r="GF828" s="10"/>
      <c r="GG828" s="10"/>
      <c r="GH828" s="10"/>
      <c r="GI828" s="10"/>
      <c r="GJ828" s="10"/>
      <c r="GK828" s="10"/>
    </row>
    <row r="829" customFormat="false" ht="12.75" hidden="false" customHeight="false" outlineLevel="0" collapsed="false">
      <c r="A829" s="7"/>
      <c r="B829" s="7"/>
      <c r="C829" s="8"/>
      <c r="D829" s="8"/>
      <c r="E829" s="8"/>
      <c r="F829" s="8"/>
      <c r="G829" s="9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10"/>
      <c r="BL829" s="10"/>
      <c r="BM829" s="10"/>
      <c r="BN829" s="10"/>
      <c r="BO829" s="10"/>
      <c r="BP829" s="10"/>
      <c r="BQ829" s="10"/>
      <c r="BR829" s="10"/>
      <c r="BS829" s="10"/>
      <c r="BT829" s="10"/>
      <c r="BU829" s="10"/>
      <c r="BV829" s="10"/>
      <c r="BW829" s="10"/>
      <c r="BX829" s="10"/>
      <c r="BY829" s="10"/>
      <c r="BZ829" s="10"/>
      <c r="CA829" s="10"/>
      <c r="CB829" s="10"/>
      <c r="CC829" s="10"/>
      <c r="CD829" s="10"/>
      <c r="CE829" s="10"/>
      <c r="CF829" s="10"/>
      <c r="CG829" s="10"/>
      <c r="CH829" s="10"/>
      <c r="CI829" s="10"/>
      <c r="CJ829" s="10"/>
      <c r="CK829" s="10"/>
      <c r="CL829" s="10"/>
      <c r="CM829" s="10"/>
      <c r="CN829" s="10"/>
      <c r="CO829" s="10"/>
      <c r="CP829" s="10"/>
      <c r="CQ829" s="10"/>
      <c r="CR829" s="10"/>
      <c r="CS829" s="10"/>
      <c r="CT829" s="10"/>
      <c r="CU829" s="10"/>
      <c r="CV829" s="10"/>
      <c r="CW829" s="10"/>
      <c r="CX829" s="10"/>
      <c r="CY829" s="10"/>
      <c r="CZ829" s="10"/>
      <c r="DA829" s="10"/>
      <c r="DB829" s="10"/>
      <c r="DC829" s="10"/>
      <c r="DD829" s="10"/>
      <c r="DE829" s="10"/>
      <c r="DF829" s="10"/>
      <c r="DG829" s="10"/>
      <c r="DH829" s="10"/>
      <c r="DI829" s="10"/>
      <c r="DJ829" s="10"/>
      <c r="DK829" s="10"/>
      <c r="DL829" s="10"/>
      <c r="DM829" s="10"/>
      <c r="DN829" s="10"/>
      <c r="DO829" s="10"/>
      <c r="DP829" s="10"/>
      <c r="DQ829" s="10"/>
      <c r="DR829" s="10"/>
      <c r="DS829" s="10"/>
      <c r="DT829" s="10"/>
      <c r="DU829" s="10"/>
      <c r="DV829" s="10"/>
      <c r="DW829" s="10"/>
      <c r="DX829" s="10"/>
      <c r="DY829" s="10"/>
      <c r="DZ829" s="10"/>
      <c r="EA829" s="10"/>
      <c r="EB829" s="10"/>
      <c r="EC829" s="10"/>
      <c r="ED829" s="10"/>
      <c r="EE829" s="10"/>
      <c r="EF829" s="10"/>
      <c r="EG829" s="10"/>
      <c r="EH829" s="10"/>
      <c r="EI829" s="10"/>
      <c r="EJ829" s="10"/>
      <c r="EK829" s="10"/>
      <c r="EL829" s="10"/>
      <c r="EM829" s="10"/>
      <c r="EN829" s="10"/>
      <c r="EO829" s="10"/>
      <c r="EP829" s="10"/>
      <c r="EQ829" s="10"/>
      <c r="ER829" s="10"/>
      <c r="ES829" s="10"/>
      <c r="ET829" s="10"/>
      <c r="EU829" s="10"/>
      <c r="EV829" s="10"/>
      <c r="EW829" s="10"/>
      <c r="EX829" s="10"/>
      <c r="EY829" s="10"/>
      <c r="EZ829" s="10"/>
      <c r="FA829" s="10"/>
      <c r="FB829" s="10"/>
      <c r="FC829" s="10"/>
      <c r="FD829" s="10"/>
      <c r="FE829" s="10"/>
      <c r="FF829" s="10"/>
      <c r="FG829" s="10"/>
      <c r="FH829" s="10"/>
      <c r="FI829" s="10"/>
      <c r="FJ829" s="10"/>
      <c r="FK829" s="10"/>
      <c r="FL829" s="10"/>
      <c r="FM829" s="10"/>
      <c r="FN829" s="10"/>
      <c r="FO829" s="10"/>
      <c r="FP829" s="10"/>
      <c r="FQ829" s="10"/>
      <c r="FR829" s="10"/>
      <c r="FS829" s="10"/>
      <c r="FT829" s="10"/>
      <c r="FU829" s="10"/>
      <c r="FV829" s="10"/>
      <c r="FW829" s="10"/>
      <c r="FX829" s="10"/>
      <c r="FY829" s="10"/>
      <c r="FZ829" s="10"/>
      <c r="GA829" s="10"/>
      <c r="GB829" s="10"/>
      <c r="GC829" s="10"/>
      <c r="GD829" s="10"/>
      <c r="GE829" s="10"/>
      <c r="GF829" s="10"/>
      <c r="GG829" s="10"/>
      <c r="GH829" s="10"/>
      <c r="GI829" s="10"/>
      <c r="GJ829" s="10"/>
      <c r="GK829" s="10"/>
    </row>
    <row r="830" customFormat="false" ht="12.75" hidden="false" customHeight="false" outlineLevel="0" collapsed="false">
      <c r="A830" s="7"/>
      <c r="B830" s="7"/>
      <c r="C830" s="8"/>
      <c r="D830" s="8"/>
      <c r="E830" s="8"/>
      <c r="F830" s="8"/>
      <c r="G830" s="9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  <c r="BL830" s="10"/>
      <c r="BM830" s="10"/>
      <c r="BN830" s="10"/>
      <c r="BO830" s="10"/>
      <c r="BP830" s="10"/>
      <c r="BQ830" s="10"/>
      <c r="BR830" s="10"/>
      <c r="BS830" s="10"/>
      <c r="BT830" s="10"/>
      <c r="BU830" s="10"/>
      <c r="BV830" s="10"/>
      <c r="BW830" s="10"/>
      <c r="BX830" s="10"/>
      <c r="BY830" s="10"/>
      <c r="BZ830" s="10"/>
      <c r="CA830" s="10"/>
      <c r="CB830" s="10"/>
      <c r="CC830" s="10"/>
      <c r="CD830" s="10"/>
      <c r="CE830" s="10"/>
      <c r="CF830" s="10"/>
      <c r="CG830" s="10"/>
      <c r="CH830" s="10"/>
      <c r="CI830" s="10"/>
      <c r="CJ830" s="10"/>
      <c r="CK830" s="10"/>
      <c r="CL830" s="10"/>
      <c r="CM830" s="10"/>
      <c r="CN830" s="10"/>
      <c r="CO830" s="10"/>
      <c r="CP830" s="10"/>
      <c r="CQ830" s="10"/>
      <c r="CR830" s="10"/>
      <c r="CS830" s="10"/>
      <c r="CT830" s="10"/>
      <c r="CU830" s="10"/>
      <c r="CV830" s="10"/>
      <c r="CW830" s="10"/>
      <c r="CX830" s="10"/>
      <c r="CY830" s="10"/>
      <c r="CZ830" s="10"/>
      <c r="DA830" s="10"/>
      <c r="DB830" s="10"/>
      <c r="DC830" s="10"/>
      <c r="DD830" s="10"/>
      <c r="DE830" s="10"/>
      <c r="DF830" s="10"/>
      <c r="DG830" s="10"/>
      <c r="DH830" s="10"/>
      <c r="DI830" s="10"/>
      <c r="DJ830" s="10"/>
      <c r="DK830" s="10"/>
      <c r="DL830" s="10"/>
      <c r="DM830" s="10"/>
      <c r="DN830" s="10"/>
      <c r="DO830" s="10"/>
      <c r="DP830" s="10"/>
      <c r="DQ830" s="10"/>
      <c r="DR830" s="10"/>
      <c r="DS830" s="10"/>
      <c r="DT830" s="10"/>
      <c r="DU830" s="10"/>
      <c r="DV830" s="10"/>
      <c r="DW830" s="10"/>
      <c r="DX830" s="10"/>
      <c r="DY830" s="10"/>
      <c r="DZ830" s="10"/>
      <c r="EA830" s="10"/>
      <c r="EB830" s="10"/>
      <c r="EC830" s="10"/>
      <c r="ED830" s="10"/>
      <c r="EE830" s="10"/>
      <c r="EF830" s="10"/>
      <c r="EG830" s="10"/>
      <c r="EH830" s="10"/>
      <c r="EI830" s="10"/>
      <c r="EJ830" s="10"/>
      <c r="EK830" s="10"/>
      <c r="EL830" s="10"/>
      <c r="EM830" s="10"/>
      <c r="EN830" s="10"/>
      <c r="EO830" s="10"/>
      <c r="EP830" s="10"/>
      <c r="EQ830" s="10"/>
      <c r="ER830" s="10"/>
      <c r="ES830" s="10"/>
      <c r="ET830" s="10"/>
      <c r="EU830" s="10"/>
      <c r="EV830" s="10"/>
      <c r="EW830" s="10"/>
      <c r="EX830" s="10"/>
      <c r="EY830" s="10"/>
      <c r="EZ830" s="10"/>
      <c r="FA830" s="10"/>
      <c r="FB830" s="10"/>
      <c r="FC830" s="10"/>
      <c r="FD830" s="10"/>
      <c r="FE830" s="10"/>
      <c r="FF830" s="10"/>
      <c r="FG830" s="10"/>
      <c r="FH830" s="10"/>
      <c r="FI830" s="10"/>
      <c r="FJ830" s="10"/>
      <c r="FK830" s="10"/>
      <c r="FL830" s="10"/>
      <c r="FM830" s="10"/>
      <c r="FN830" s="10"/>
      <c r="FO830" s="10"/>
      <c r="FP830" s="10"/>
      <c r="FQ830" s="10"/>
      <c r="FR830" s="10"/>
      <c r="FS830" s="10"/>
      <c r="FT830" s="10"/>
      <c r="FU830" s="10"/>
      <c r="FV830" s="10"/>
      <c r="FW830" s="10"/>
      <c r="FX830" s="10"/>
      <c r="FY830" s="10"/>
      <c r="FZ830" s="10"/>
      <c r="GA830" s="10"/>
      <c r="GB830" s="10"/>
      <c r="GC830" s="10"/>
      <c r="GD830" s="10"/>
      <c r="GE830" s="10"/>
      <c r="GF830" s="10"/>
      <c r="GG830" s="10"/>
      <c r="GH830" s="10"/>
      <c r="GI830" s="10"/>
      <c r="GJ830" s="10"/>
      <c r="GK830" s="10"/>
    </row>
    <row r="831" customFormat="false" ht="12.75" hidden="false" customHeight="false" outlineLevel="0" collapsed="false">
      <c r="A831" s="7"/>
      <c r="B831" s="7"/>
      <c r="C831" s="8"/>
      <c r="D831" s="8"/>
      <c r="E831" s="8"/>
      <c r="F831" s="8"/>
      <c r="G831" s="9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  <c r="BM831" s="10"/>
      <c r="BN831" s="10"/>
      <c r="BO831" s="10"/>
      <c r="BP831" s="10"/>
      <c r="BQ831" s="10"/>
      <c r="BR831" s="10"/>
      <c r="BS831" s="10"/>
      <c r="BT831" s="10"/>
      <c r="BU831" s="10"/>
      <c r="BV831" s="10"/>
      <c r="BW831" s="10"/>
      <c r="BX831" s="10"/>
      <c r="BY831" s="10"/>
      <c r="BZ831" s="10"/>
      <c r="CA831" s="10"/>
      <c r="CB831" s="10"/>
      <c r="CC831" s="10"/>
      <c r="CD831" s="10"/>
      <c r="CE831" s="10"/>
      <c r="CF831" s="10"/>
      <c r="CG831" s="10"/>
      <c r="CH831" s="10"/>
      <c r="CI831" s="10"/>
      <c r="CJ831" s="10"/>
      <c r="CK831" s="10"/>
      <c r="CL831" s="10"/>
      <c r="CM831" s="10"/>
      <c r="CN831" s="10"/>
      <c r="CO831" s="10"/>
      <c r="CP831" s="10"/>
      <c r="CQ831" s="10"/>
      <c r="CR831" s="10"/>
      <c r="CS831" s="10"/>
      <c r="CT831" s="10"/>
      <c r="CU831" s="10"/>
      <c r="CV831" s="10"/>
      <c r="CW831" s="10"/>
      <c r="CX831" s="10"/>
      <c r="CY831" s="10"/>
      <c r="CZ831" s="10"/>
      <c r="DA831" s="10"/>
      <c r="DB831" s="10"/>
      <c r="DC831" s="10"/>
      <c r="DD831" s="10"/>
      <c r="DE831" s="10"/>
      <c r="DF831" s="10"/>
      <c r="DG831" s="10"/>
      <c r="DH831" s="10"/>
      <c r="DI831" s="10"/>
      <c r="DJ831" s="10"/>
      <c r="DK831" s="10"/>
      <c r="DL831" s="10"/>
      <c r="DM831" s="10"/>
      <c r="DN831" s="10"/>
      <c r="DO831" s="10"/>
      <c r="DP831" s="10"/>
      <c r="DQ831" s="10"/>
      <c r="DR831" s="10"/>
      <c r="DS831" s="10"/>
      <c r="DT831" s="10"/>
      <c r="DU831" s="10"/>
      <c r="DV831" s="10"/>
      <c r="DW831" s="10"/>
      <c r="DX831" s="10"/>
      <c r="DY831" s="10"/>
      <c r="DZ831" s="10"/>
      <c r="EA831" s="10"/>
      <c r="EB831" s="10"/>
      <c r="EC831" s="10"/>
      <c r="ED831" s="10"/>
      <c r="EE831" s="10"/>
      <c r="EF831" s="10"/>
      <c r="EG831" s="10"/>
      <c r="EH831" s="10"/>
      <c r="EI831" s="10"/>
      <c r="EJ831" s="10"/>
      <c r="EK831" s="10"/>
      <c r="EL831" s="10"/>
      <c r="EM831" s="10"/>
      <c r="EN831" s="10"/>
      <c r="EO831" s="10"/>
      <c r="EP831" s="10"/>
      <c r="EQ831" s="10"/>
      <c r="ER831" s="10"/>
      <c r="ES831" s="10"/>
      <c r="ET831" s="10"/>
      <c r="EU831" s="10"/>
      <c r="EV831" s="10"/>
      <c r="EW831" s="10"/>
      <c r="EX831" s="10"/>
      <c r="EY831" s="10"/>
      <c r="EZ831" s="10"/>
      <c r="FA831" s="10"/>
      <c r="FB831" s="10"/>
      <c r="FC831" s="10"/>
      <c r="FD831" s="10"/>
      <c r="FE831" s="10"/>
      <c r="FF831" s="10"/>
      <c r="FG831" s="10"/>
      <c r="FH831" s="10"/>
      <c r="FI831" s="10"/>
      <c r="FJ831" s="10"/>
      <c r="FK831" s="10"/>
      <c r="FL831" s="10"/>
      <c r="FM831" s="10"/>
      <c r="FN831" s="10"/>
      <c r="FO831" s="10"/>
      <c r="FP831" s="10"/>
      <c r="FQ831" s="10"/>
      <c r="FR831" s="10"/>
      <c r="FS831" s="10"/>
      <c r="FT831" s="10"/>
      <c r="FU831" s="10"/>
      <c r="FV831" s="10"/>
      <c r="FW831" s="10"/>
      <c r="FX831" s="10"/>
      <c r="FY831" s="10"/>
      <c r="FZ831" s="10"/>
      <c r="GA831" s="10"/>
      <c r="GB831" s="10"/>
      <c r="GC831" s="10"/>
      <c r="GD831" s="10"/>
      <c r="GE831" s="10"/>
      <c r="GF831" s="10"/>
      <c r="GG831" s="10"/>
      <c r="GH831" s="10"/>
      <c r="GI831" s="10"/>
      <c r="GJ831" s="10"/>
      <c r="GK831" s="10"/>
    </row>
    <row r="832" customFormat="false" ht="12.75" hidden="false" customHeight="false" outlineLevel="0" collapsed="false">
      <c r="A832" s="7"/>
      <c r="B832" s="7"/>
      <c r="C832" s="8"/>
      <c r="D832" s="8"/>
      <c r="E832" s="8"/>
      <c r="F832" s="8"/>
      <c r="G832" s="9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10"/>
      <c r="BP832" s="10"/>
      <c r="BQ832" s="10"/>
      <c r="BR832" s="10"/>
      <c r="BS832" s="10"/>
      <c r="BT832" s="10"/>
      <c r="BU832" s="10"/>
      <c r="BV832" s="10"/>
      <c r="BW832" s="10"/>
      <c r="BX832" s="10"/>
      <c r="BY832" s="10"/>
      <c r="BZ832" s="10"/>
      <c r="CA832" s="10"/>
      <c r="CB832" s="10"/>
      <c r="CC832" s="10"/>
      <c r="CD832" s="10"/>
      <c r="CE832" s="10"/>
      <c r="CF832" s="10"/>
      <c r="CG832" s="10"/>
      <c r="CH832" s="10"/>
      <c r="CI832" s="10"/>
      <c r="CJ832" s="10"/>
      <c r="CK832" s="10"/>
      <c r="CL832" s="10"/>
      <c r="CM832" s="10"/>
      <c r="CN832" s="10"/>
      <c r="CO832" s="10"/>
      <c r="CP832" s="10"/>
      <c r="CQ832" s="10"/>
      <c r="CR832" s="10"/>
      <c r="CS832" s="10"/>
      <c r="CT832" s="10"/>
      <c r="CU832" s="10"/>
      <c r="CV832" s="10"/>
      <c r="CW832" s="10"/>
      <c r="CX832" s="10"/>
      <c r="CY832" s="10"/>
      <c r="CZ832" s="10"/>
      <c r="DA832" s="10"/>
      <c r="DB832" s="10"/>
      <c r="DC832" s="10"/>
      <c r="DD832" s="10"/>
      <c r="DE832" s="10"/>
      <c r="DF832" s="10"/>
      <c r="DG832" s="10"/>
      <c r="DH832" s="10"/>
      <c r="DI832" s="10"/>
      <c r="DJ832" s="10"/>
      <c r="DK832" s="10"/>
      <c r="DL832" s="10"/>
      <c r="DM832" s="10"/>
      <c r="DN832" s="10"/>
      <c r="DO832" s="10"/>
      <c r="DP832" s="10"/>
      <c r="DQ832" s="10"/>
      <c r="DR832" s="10"/>
      <c r="DS832" s="10"/>
      <c r="DT832" s="10"/>
      <c r="DU832" s="10"/>
      <c r="DV832" s="10"/>
      <c r="DW832" s="10"/>
      <c r="DX832" s="10"/>
      <c r="DY832" s="10"/>
      <c r="DZ832" s="10"/>
      <c r="EA832" s="10"/>
      <c r="EB832" s="10"/>
      <c r="EC832" s="10"/>
      <c r="ED832" s="10"/>
      <c r="EE832" s="10"/>
      <c r="EF832" s="10"/>
      <c r="EG832" s="10"/>
      <c r="EH832" s="10"/>
      <c r="EI832" s="10"/>
      <c r="EJ832" s="10"/>
      <c r="EK832" s="10"/>
      <c r="EL832" s="10"/>
      <c r="EM832" s="10"/>
      <c r="EN832" s="10"/>
      <c r="EO832" s="10"/>
      <c r="EP832" s="10"/>
      <c r="EQ832" s="10"/>
      <c r="ER832" s="10"/>
      <c r="ES832" s="10"/>
      <c r="ET832" s="10"/>
      <c r="EU832" s="10"/>
      <c r="EV832" s="10"/>
      <c r="EW832" s="10"/>
      <c r="EX832" s="10"/>
      <c r="EY832" s="10"/>
      <c r="EZ832" s="10"/>
      <c r="FA832" s="10"/>
      <c r="FB832" s="10"/>
      <c r="FC832" s="10"/>
      <c r="FD832" s="10"/>
      <c r="FE832" s="10"/>
      <c r="FF832" s="10"/>
      <c r="FG832" s="10"/>
      <c r="FH832" s="10"/>
      <c r="FI832" s="10"/>
      <c r="FJ832" s="10"/>
      <c r="FK832" s="10"/>
      <c r="FL832" s="10"/>
      <c r="FM832" s="10"/>
      <c r="FN832" s="10"/>
      <c r="FO832" s="10"/>
      <c r="FP832" s="10"/>
      <c r="FQ832" s="10"/>
      <c r="FR832" s="10"/>
      <c r="FS832" s="10"/>
      <c r="FT832" s="10"/>
      <c r="FU832" s="10"/>
      <c r="FV832" s="10"/>
      <c r="FW832" s="10"/>
      <c r="FX832" s="10"/>
      <c r="FY832" s="10"/>
      <c r="FZ832" s="10"/>
      <c r="GA832" s="10"/>
      <c r="GB832" s="10"/>
      <c r="GC832" s="10"/>
      <c r="GD832" s="10"/>
      <c r="GE832" s="10"/>
      <c r="GF832" s="10"/>
      <c r="GG832" s="10"/>
      <c r="GH832" s="10"/>
      <c r="GI832" s="10"/>
      <c r="GJ832" s="10"/>
      <c r="GK832" s="10"/>
    </row>
    <row r="833" customFormat="false" ht="12.75" hidden="false" customHeight="false" outlineLevel="0" collapsed="false">
      <c r="A833" s="7"/>
      <c r="B833" s="7"/>
      <c r="C833" s="8"/>
      <c r="D833" s="8"/>
      <c r="E833" s="8"/>
      <c r="F833" s="8"/>
      <c r="G833" s="9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  <c r="BL833" s="10"/>
      <c r="BM833" s="10"/>
      <c r="BN833" s="10"/>
      <c r="BO833" s="10"/>
      <c r="BP833" s="10"/>
      <c r="BQ833" s="10"/>
      <c r="BR833" s="10"/>
      <c r="BS833" s="10"/>
      <c r="BT833" s="10"/>
      <c r="BU833" s="10"/>
      <c r="BV833" s="10"/>
      <c r="BW833" s="10"/>
      <c r="BX833" s="10"/>
      <c r="BY833" s="10"/>
      <c r="BZ833" s="10"/>
      <c r="CA833" s="10"/>
      <c r="CB833" s="10"/>
      <c r="CC833" s="10"/>
      <c r="CD833" s="10"/>
      <c r="CE833" s="10"/>
      <c r="CF833" s="10"/>
      <c r="CG833" s="10"/>
      <c r="CH833" s="10"/>
      <c r="CI833" s="10"/>
      <c r="CJ833" s="10"/>
      <c r="CK833" s="10"/>
      <c r="CL833" s="10"/>
      <c r="CM833" s="10"/>
      <c r="CN833" s="10"/>
      <c r="CO833" s="10"/>
      <c r="CP833" s="10"/>
      <c r="CQ833" s="10"/>
      <c r="CR833" s="10"/>
      <c r="CS833" s="10"/>
      <c r="CT833" s="10"/>
      <c r="CU833" s="10"/>
      <c r="CV833" s="10"/>
      <c r="CW833" s="10"/>
      <c r="CX833" s="10"/>
      <c r="CY833" s="10"/>
      <c r="CZ833" s="10"/>
      <c r="DA833" s="10"/>
      <c r="DB833" s="10"/>
      <c r="DC833" s="10"/>
      <c r="DD833" s="10"/>
      <c r="DE833" s="10"/>
      <c r="DF833" s="10"/>
      <c r="DG833" s="10"/>
      <c r="DH833" s="10"/>
      <c r="DI833" s="10"/>
      <c r="DJ833" s="10"/>
      <c r="DK833" s="10"/>
      <c r="DL833" s="10"/>
      <c r="DM833" s="10"/>
      <c r="DN833" s="10"/>
      <c r="DO833" s="10"/>
      <c r="DP833" s="10"/>
      <c r="DQ833" s="10"/>
      <c r="DR833" s="10"/>
      <c r="DS833" s="10"/>
      <c r="DT833" s="10"/>
      <c r="DU833" s="10"/>
      <c r="DV833" s="10"/>
      <c r="DW833" s="10"/>
      <c r="DX833" s="10"/>
      <c r="DY833" s="10"/>
      <c r="DZ833" s="10"/>
      <c r="EA833" s="10"/>
      <c r="EB833" s="10"/>
      <c r="EC833" s="10"/>
      <c r="ED833" s="10"/>
      <c r="EE833" s="10"/>
      <c r="EF833" s="10"/>
      <c r="EG833" s="10"/>
      <c r="EH833" s="10"/>
      <c r="EI833" s="10"/>
      <c r="EJ833" s="10"/>
      <c r="EK833" s="10"/>
      <c r="EL833" s="10"/>
      <c r="EM833" s="10"/>
      <c r="EN833" s="10"/>
      <c r="EO833" s="10"/>
      <c r="EP833" s="10"/>
      <c r="EQ833" s="10"/>
      <c r="ER833" s="10"/>
      <c r="ES833" s="10"/>
      <c r="ET833" s="10"/>
      <c r="EU833" s="10"/>
      <c r="EV833" s="10"/>
      <c r="EW833" s="10"/>
      <c r="EX833" s="10"/>
      <c r="EY833" s="10"/>
      <c r="EZ833" s="10"/>
      <c r="FA833" s="10"/>
      <c r="FB833" s="10"/>
      <c r="FC833" s="10"/>
      <c r="FD833" s="10"/>
      <c r="FE833" s="10"/>
      <c r="FF833" s="10"/>
      <c r="FG833" s="10"/>
      <c r="FH833" s="10"/>
      <c r="FI833" s="10"/>
      <c r="FJ833" s="10"/>
      <c r="FK833" s="10"/>
      <c r="FL833" s="10"/>
      <c r="FM833" s="10"/>
      <c r="FN833" s="10"/>
      <c r="FO833" s="10"/>
      <c r="FP833" s="10"/>
      <c r="FQ833" s="10"/>
      <c r="FR833" s="10"/>
      <c r="FS833" s="10"/>
      <c r="FT833" s="10"/>
      <c r="FU833" s="10"/>
      <c r="FV833" s="10"/>
      <c r="FW833" s="10"/>
      <c r="FX833" s="10"/>
      <c r="FY833" s="10"/>
      <c r="FZ833" s="10"/>
      <c r="GA833" s="10"/>
      <c r="GB833" s="10"/>
      <c r="GC833" s="10"/>
      <c r="GD833" s="10"/>
      <c r="GE833" s="10"/>
      <c r="GF833" s="10"/>
      <c r="GG833" s="10"/>
      <c r="GH833" s="10"/>
      <c r="GI833" s="10"/>
      <c r="GJ833" s="10"/>
      <c r="GK833" s="10"/>
    </row>
    <row r="834" customFormat="false" ht="12.75" hidden="false" customHeight="false" outlineLevel="0" collapsed="false">
      <c r="A834" s="7"/>
      <c r="B834" s="7"/>
      <c r="C834" s="8"/>
      <c r="D834" s="8"/>
      <c r="E834" s="8"/>
      <c r="F834" s="8"/>
      <c r="G834" s="9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  <c r="BO834" s="10"/>
      <c r="BP834" s="10"/>
      <c r="BQ834" s="10"/>
      <c r="BR834" s="10"/>
      <c r="BS834" s="10"/>
      <c r="BT834" s="10"/>
      <c r="BU834" s="10"/>
      <c r="BV834" s="10"/>
      <c r="BW834" s="10"/>
      <c r="BX834" s="10"/>
      <c r="BY834" s="10"/>
      <c r="BZ834" s="10"/>
      <c r="CA834" s="10"/>
      <c r="CB834" s="10"/>
      <c r="CC834" s="10"/>
      <c r="CD834" s="10"/>
      <c r="CE834" s="10"/>
      <c r="CF834" s="10"/>
      <c r="CG834" s="10"/>
      <c r="CH834" s="10"/>
      <c r="CI834" s="10"/>
      <c r="CJ834" s="10"/>
      <c r="CK834" s="10"/>
      <c r="CL834" s="10"/>
      <c r="CM834" s="10"/>
      <c r="CN834" s="10"/>
      <c r="CO834" s="10"/>
      <c r="CP834" s="10"/>
      <c r="CQ834" s="10"/>
      <c r="CR834" s="10"/>
      <c r="CS834" s="10"/>
      <c r="CT834" s="10"/>
      <c r="CU834" s="10"/>
      <c r="CV834" s="10"/>
      <c r="CW834" s="10"/>
      <c r="CX834" s="10"/>
      <c r="CY834" s="10"/>
      <c r="CZ834" s="10"/>
      <c r="DA834" s="10"/>
      <c r="DB834" s="10"/>
      <c r="DC834" s="10"/>
      <c r="DD834" s="10"/>
      <c r="DE834" s="10"/>
      <c r="DF834" s="10"/>
      <c r="DG834" s="10"/>
      <c r="DH834" s="10"/>
      <c r="DI834" s="10"/>
      <c r="DJ834" s="10"/>
      <c r="DK834" s="10"/>
      <c r="DL834" s="10"/>
      <c r="DM834" s="10"/>
      <c r="DN834" s="10"/>
      <c r="DO834" s="10"/>
      <c r="DP834" s="10"/>
      <c r="DQ834" s="10"/>
      <c r="DR834" s="10"/>
      <c r="DS834" s="10"/>
      <c r="DT834" s="10"/>
      <c r="DU834" s="10"/>
      <c r="DV834" s="10"/>
      <c r="DW834" s="10"/>
      <c r="DX834" s="10"/>
      <c r="DY834" s="10"/>
      <c r="DZ834" s="10"/>
      <c r="EA834" s="10"/>
      <c r="EB834" s="10"/>
      <c r="EC834" s="10"/>
      <c r="ED834" s="10"/>
      <c r="EE834" s="10"/>
      <c r="EF834" s="10"/>
      <c r="EG834" s="10"/>
      <c r="EH834" s="10"/>
      <c r="EI834" s="10"/>
      <c r="EJ834" s="10"/>
      <c r="EK834" s="10"/>
      <c r="EL834" s="10"/>
      <c r="EM834" s="10"/>
      <c r="EN834" s="10"/>
      <c r="EO834" s="10"/>
      <c r="EP834" s="10"/>
      <c r="EQ834" s="10"/>
      <c r="ER834" s="10"/>
      <c r="ES834" s="10"/>
      <c r="ET834" s="10"/>
      <c r="EU834" s="10"/>
      <c r="EV834" s="10"/>
      <c r="EW834" s="10"/>
      <c r="EX834" s="10"/>
      <c r="EY834" s="10"/>
      <c r="EZ834" s="10"/>
      <c r="FA834" s="10"/>
      <c r="FB834" s="10"/>
      <c r="FC834" s="10"/>
      <c r="FD834" s="10"/>
      <c r="FE834" s="10"/>
      <c r="FF834" s="10"/>
      <c r="FG834" s="10"/>
      <c r="FH834" s="10"/>
      <c r="FI834" s="10"/>
      <c r="FJ834" s="10"/>
      <c r="FK834" s="10"/>
      <c r="FL834" s="10"/>
      <c r="FM834" s="10"/>
      <c r="FN834" s="10"/>
      <c r="FO834" s="10"/>
      <c r="FP834" s="10"/>
      <c r="FQ834" s="10"/>
      <c r="FR834" s="10"/>
      <c r="FS834" s="10"/>
      <c r="FT834" s="10"/>
      <c r="FU834" s="10"/>
      <c r="FV834" s="10"/>
      <c r="FW834" s="10"/>
      <c r="FX834" s="10"/>
      <c r="FY834" s="10"/>
      <c r="FZ834" s="10"/>
      <c r="GA834" s="10"/>
      <c r="GB834" s="10"/>
      <c r="GC834" s="10"/>
      <c r="GD834" s="10"/>
      <c r="GE834" s="10"/>
      <c r="GF834" s="10"/>
      <c r="GG834" s="10"/>
      <c r="GH834" s="10"/>
      <c r="GI834" s="10"/>
      <c r="GJ834" s="10"/>
      <c r="GK834" s="10"/>
    </row>
    <row r="835" customFormat="false" ht="12.75" hidden="false" customHeight="false" outlineLevel="0" collapsed="false">
      <c r="A835" s="7"/>
      <c r="B835" s="7"/>
      <c r="C835" s="8"/>
      <c r="D835" s="8"/>
      <c r="E835" s="8"/>
      <c r="F835" s="8"/>
      <c r="G835" s="9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  <c r="BO835" s="10"/>
      <c r="BP835" s="10"/>
      <c r="BQ835" s="10"/>
      <c r="BR835" s="10"/>
      <c r="BS835" s="10"/>
      <c r="BT835" s="10"/>
      <c r="BU835" s="10"/>
      <c r="BV835" s="10"/>
      <c r="BW835" s="10"/>
      <c r="BX835" s="10"/>
      <c r="BY835" s="10"/>
      <c r="BZ835" s="10"/>
      <c r="CA835" s="10"/>
      <c r="CB835" s="10"/>
      <c r="CC835" s="10"/>
      <c r="CD835" s="10"/>
      <c r="CE835" s="10"/>
      <c r="CF835" s="10"/>
      <c r="CG835" s="10"/>
      <c r="CH835" s="10"/>
      <c r="CI835" s="10"/>
      <c r="CJ835" s="10"/>
      <c r="CK835" s="10"/>
      <c r="CL835" s="10"/>
      <c r="CM835" s="10"/>
      <c r="CN835" s="10"/>
      <c r="CO835" s="10"/>
      <c r="CP835" s="10"/>
      <c r="CQ835" s="10"/>
      <c r="CR835" s="10"/>
      <c r="CS835" s="10"/>
      <c r="CT835" s="10"/>
      <c r="CU835" s="10"/>
      <c r="CV835" s="10"/>
      <c r="CW835" s="10"/>
      <c r="CX835" s="10"/>
      <c r="CY835" s="10"/>
      <c r="CZ835" s="10"/>
      <c r="DA835" s="10"/>
      <c r="DB835" s="10"/>
      <c r="DC835" s="10"/>
      <c r="DD835" s="10"/>
      <c r="DE835" s="10"/>
      <c r="DF835" s="10"/>
      <c r="DG835" s="10"/>
      <c r="DH835" s="10"/>
      <c r="DI835" s="10"/>
      <c r="DJ835" s="10"/>
      <c r="DK835" s="10"/>
      <c r="DL835" s="10"/>
      <c r="DM835" s="10"/>
      <c r="DN835" s="10"/>
      <c r="DO835" s="10"/>
      <c r="DP835" s="10"/>
      <c r="DQ835" s="10"/>
      <c r="DR835" s="10"/>
      <c r="DS835" s="10"/>
      <c r="DT835" s="10"/>
      <c r="DU835" s="10"/>
      <c r="DV835" s="10"/>
      <c r="DW835" s="10"/>
      <c r="DX835" s="10"/>
      <c r="DY835" s="10"/>
      <c r="DZ835" s="10"/>
      <c r="EA835" s="10"/>
      <c r="EB835" s="10"/>
      <c r="EC835" s="10"/>
      <c r="ED835" s="10"/>
      <c r="EE835" s="10"/>
      <c r="EF835" s="10"/>
      <c r="EG835" s="10"/>
      <c r="EH835" s="10"/>
      <c r="EI835" s="10"/>
      <c r="EJ835" s="10"/>
      <c r="EK835" s="10"/>
      <c r="EL835" s="10"/>
      <c r="EM835" s="10"/>
      <c r="EN835" s="10"/>
      <c r="EO835" s="10"/>
      <c r="EP835" s="10"/>
      <c r="EQ835" s="10"/>
      <c r="ER835" s="10"/>
      <c r="ES835" s="10"/>
      <c r="ET835" s="10"/>
      <c r="EU835" s="10"/>
      <c r="EV835" s="10"/>
      <c r="EW835" s="10"/>
      <c r="EX835" s="10"/>
      <c r="EY835" s="10"/>
      <c r="EZ835" s="10"/>
      <c r="FA835" s="10"/>
      <c r="FB835" s="10"/>
      <c r="FC835" s="10"/>
      <c r="FD835" s="10"/>
      <c r="FE835" s="10"/>
      <c r="FF835" s="10"/>
      <c r="FG835" s="10"/>
      <c r="FH835" s="10"/>
      <c r="FI835" s="10"/>
      <c r="FJ835" s="10"/>
      <c r="FK835" s="10"/>
      <c r="FL835" s="10"/>
      <c r="FM835" s="10"/>
      <c r="FN835" s="10"/>
      <c r="FO835" s="10"/>
      <c r="FP835" s="10"/>
      <c r="FQ835" s="10"/>
      <c r="FR835" s="10"/>
      <c r="FS835" s="10"/>
      <c r="FT835" s="10"/>
      <c r="FU835" s="10"/>
      <c r="FV835" s="10"/>
      <c r="FW835" s="10"/>
      <c r="FX835" s="10"/>
      <c r="FY835" s="10"/>
      <c r="FZ835" s="10"/>
      <c r="GA835" s="10"/>
      <c r="GB835" s="10"/>
      <c r="GC835" s="10"/>
      <c r="GD835" s="10"/>
      <c r="GE835" s="10"/>
      <c r="GF835" s="10"/>
      <c r="GG835" s="10"/>
      <c r="GH835" s="10"/>
      <c r="GI835" s="10"/>
      <c r="GJ835" s="10"/>
      <c r="GK835" s="10"/>
    </row>
    <row r="836" customFormat="false" ht="12.75" hidden="false" customHeight="false" outlineLevel="0" collapsed="false">
      <c r="A836" s="7"/>
      <c r="B836" s="7"/>
      <c r="C836" s="8"/>
      <c r="D836" s="8"/>
      <c r="E836" s="8"/>
      <c r="F836" s="8"/>
      <c r="G836" s="9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10"/>
      <c r="BP836" s="10"/>
      <c r="BQ836" s="10"/>
      <c r="BR836" s="10"/>
      <c r="BS836" s="10"/>
      <c r="BT836" s="10"/>
      <c r="BU836" s="10"/>
      <c r="BV836" s="10"/>
      <c r="BW836" s="10"/>
      <c r="BX836" s="10"/>
      <c r="BY836" s="10"/>
      <c r="BZ836" s="10"/>
      <c r="CA836" s="10"/>
      <c r="CB836" s="10"/>
      <c r="CC836" s="10"/>
      <c r="CD836" s="10"/>
      <c r="CE836" s="10"/>
      <c r="CF836" s="10"/>
      <c r="CG836" s="10"/>
      <c r="CH836" s="10"/>
      <c r="CI836" s="10"/>
      <c r="CJ836" s="10"/>
      <c r="CK836" s="10"/>
      <c r="CL836" s="10"/>
      <c r="CM836" s="10"/>
      <c r="CN836" s="10"/>
      <c r="CO836" s="10"/>
      <c r="CP836" s="10"/>
      <c r="CQ836" s="10"/>
      <c r="CR836" s="10"/>
      <c r="CS836" s="10"/>
      <c r="CT836" s="10"/>
      <c r="CU836" s="10"/>
      <c r="CV836" s="10"/>
      <c r="CW836" s="10"/>
      <c r="CX836" s="10"/>
      <c r="CY836" s="10"/>
      <c r="CZ836" s="10"/>
      <c r="DA836" s="10"/>
      <c r="DB836" s="10"/>
      <c r="DC836" s="10"/>
      <c r="DD836" s="10"/>
      <c r="DE836" s="10"/>
      <c r="DF836" s="10"/>
      <c r="DG836" s="10"/>
      <c r="DH836" s="10"/>
      <c r="DI836" s="10"/>
      <c r="DJ836" s="10"/>
      <c r="DK836" s="10"/>
      <c r="DL836" s="10"/>
      <c r="DM836" s="10"/>
      <c r="DN836" s="10"/>
      <c r="DO836" s="10"/>
      <c r="DP836" s="10"/>
      <c r="DQ836" s="10"/>
      <c r="DR836" s="10"/>
      <c r="DS836" s="10"/>
      <c r="DT836" s="10"/>
      <c r="DU836" s="10"/>
      <c r="DV836" s="10"/>
      <c r="DW836" s="10"/>
      <c r="DX836" s="10"/>
      <c r="DY836" s="10"/>
      <c r="DZ836" s="10"/>
      <c r="EA836" s="10"/>
      <c r="EB836" s="10"/>
      <c r="EC836" s="10"/>
      <c r="ED836" s="10"/>
      <c r="EE836" s="10"/>
      <c r="EF836" s="10"/>
      <c r="EG836" s="10"/>
      <c r="EH836" s="10"/>
      <c r="EI836" s="10"/>
      <c r="EJ836" s="10"/>
      <c r="EK836" s="10"/>
      <c r="EL836" s="10"/>
      <c r="EM836" s="10"/>
      <c r="EN836" s="10"/>
      <c r="EO836" s="10"/>
      <c r="EP836" s="10"/>
      <c r="EQ836" s="10"/>
      <c r="ER836" s="10"/>
      <c r="ES836" s="10"/>
      <c r="ET836" s="10"/>
      <c r="EU836" s="10"/>
      <c r="EV836" s="10"/>
      <c r="EW836" s="10"/>
      <c r="EX836" s="10"/>
      <c r="EY836" s="10"/>
      <c r="EZ836" s="10"/>
      <c r="FA836" s="10"/>
      <c r="FB836" s="10"/>
      <c r="FC836" s="10"/>
      <c r="FD836" s="10"/>
      <c r="FE836" s="10"/>
      <c r="FF836" s="10"/>
      <c r="FG836" s="10"/>
      <c r="FH836" s="10"/>
      <c r="FI836" s="10"/>
      <c r="FJ836" s="10"/>
      <c r="FK836" s="10"/>
      <c r="FL836" s="10"/>
      <c r="FM836" s="10"/>
      <c r="FN836" s="10"/>
      <c r="FO836" s="10"/>
      <c r="FP836" s="10"/>
      <c r="FQ836" s="10"/>
      <c r="FR836" s="10"/>
      <c r="FS836" s="10"/>
      <c r="FT836" s="10"/>
      <c r="FU836" s="10"/>
      <c r="FV836" s="10"/>
      <c r="FW836" s="10"/>
      <c r="FX836" s="10"/>
      <c r="FY836" s="10"/>
      <c r="FZ836" s="10"/>
      <c r="GA836" s="10"/>
      <c r="GB836" s="10"/>
      <c r="GC836" s="10"/>
      <c r="GD836" s="10"/>
      <c r="GE836" s="10"/>
      <c r="GF836" s="10"/>
      <c r="GG836" s="10"/>
      <c r="GH836" s="10"/>
      <c r="GI836" s="10"/>
      <c r="GJ836" s="10"/>
      <c r="GK836" s="10"/>
    </row>
    <row r="837" customFormat="false" ht="12.75" hidden="false" customHeight="false" outlineLevel="0" collapsed="false">
      <c r="A837" s="7"/>
      <c r="B837" s="7"/>
      <c r="C837" s="8"/>
      <c r="D837" s="8"/>
      <c r="E837" s="8"/>
      <c r="F837" s="8"/>
      <c r="G837" s="9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  <c r="BM837" s="10"/>
      <c r="BN837" s="10"/>
      <c r="BO837" s="10"/>
      <c r="BP837" s="10"/>
      <c r="BQ837" s="10"/>
      <c r="BR837" s="10"/>
      <c r="BS837" s="10"/>
      <c r="BT837" s="10"/>
      <c r="BU837" s="10"/>
      <c r="BV837" s="10"/>
      <c r="BW837" s="10"/>
      <c r="BX837" s="10"/>
      <c r="BY837" s="10"/>
      <c r="BZ837" s="10"/>
      <c r="CA837" s="10"/>
      <c r="CB837" s="10"/>
      <c r="CC837" s="10"/>
      <c r="CD837" s="10"/>
      <c r="CE837" s="10"/>
      <c r="CF837" s="10"/>
      <c r="CG837" s="10"/>
      <c r="CH837" s="10"/>
      <c r="CI837" s="10"/>
      <c r="CJ837" s="10"/>
      <c r="CK837" s="10"/>
      <c r="CL837" s="10"/>
      <c r="CM837" s="10"/>
      <c r="CN837" s="10"/>
      <c r="CO837" s="10"/>
      <c r="CP837" s="10"/>
      <c r="CQ837" s="10"/>
      <c r="CR837" s="10"/>
      <c r="CS837" s="10"/>
      <c r="CT837" s="10"/>
      <c r="CU837" s="10"/>
      <c r="CV837" s="10"/>
      <c r="CW837" s="10"/>
      <c r="CX837" s="10"/>
      <c r="CY837" s="10"/>
      <c r="CZ837" s="10"/>
      <c r="DA837" s="10"/>
      <c r="DB837" s="10"/>
      <c r="DC837" s="10"/>
      <c r="DD837" s="10"/>
      <c r="DE837" s="10"/>
      <c r="DF837" s="10"/>
      <c r="DG837" s="10"/>
      <c r="DH837" s="10"/>
      <c r="DI837" s="10"/>
      <c r="DJ837" s="10"/>
      <c r="DK837" s="10"/>
      <c r="DL837" s="10"/>
      <c r="DM837" s="10"/>
      <c r="DN837" s="10"/>
      <c r="DO837" s="10"/>
      <c r="DP837" s="10"/>
      <c r="DQ837" s="10"/>
      <c r="DR837" s="10"/>
      <c r="DS837" s="10"/>
      <c r="DT837" s="10"/>
      <c r="DU837" s="10"/>
      <c r="DV837" s="10"/>
      <c r="DW837" s="10"/>
      <c r="DX837" s="10"/>
      <c r="DY837" s="10"/>
      <c r="DZ837" s="10"/>
      <c r="EA837" s="10"/>
      <c r="EB837" s="10"/>
      <c r="EC837" s="10"/>
      <c r="ED837" s="10"/>
      <c r="EE837" s="10"/>
      <c r="EF837" s="10"/>
      <c r="EG837" s="10"/>
      <c r="EH837" s="10"/>
      <c r="EI837" s="10"/>
      <c r="EJ837" s="10"/>
      <c r="EK837" s="10"/>
      <c r="EL837" s="10"/>
      <c r="EM837" s="10"/>
      <c r="EN837" s="10"/>
      <c r="EO837" s="10"/>
      <c r="EP837" s="10"/>
      <c r="EQ837" s="10"/>
      <c r="ER837" s="10"/>
      <c r="ES837" s="10"/>
      <c r="ET837" s="10"/>
      <c r="EU837" s="10"/>
      <c r="EV837" s="10"/>
      <c r="EW837" s="10"/>
      <c r="EX837" s="10"/>
      <c r="EY837" s="10"/>
      <c r="EZ837" s="10"/>
      <c r="FA837" s="10"/>
      <c r="FB837" s="10"/>
      <c r="FC837" s="10"/>
      <c r="FD837" s="10"/>
      <c r="FE837" s="10"/>
      <c r="FF837" s="10"/>
      <c r="FG837" s="10"/>
      <c r="FH837" s="10"/>
      <c r="FI837" s="10"/>
      <c r="FJ837" s="10"/>
      <c r="FK837" s="10"/>
      <c r="FL837" s="10"/>
      <c r="FM837" s="10"/>
      <c r="FN837" s="10"/>
      <c r="FO837" s="10"/>
      <c r="FP837" s="10"/>
      <c r="FQ837" s="10"/>
      <c r="FR837" s="10"/>
      <c r="FS837" s="10"/>
      <c r="FT837" s="10"/>
      <c r="FU837" s="10"/>
      <c r="FV837" s="10"/>
      <c r="FW837" s="10"/>
      <c r="FX837" s="10"/>
      <c r="FY837" s="10"/>
      <c r="FZ837" s="10"/>
      <c r="GA837" s="10"/>
      <c r="GB837" s="10"/>
      <c r="GC837" s="10"/>
      <c r="GD837" s="10"/>
      <c r="GE837" s="10"/>
      <c r="GF837" s="10"/>
      <c r="GG837" s="10"/>
      <c r="GH837" s="10"/>
      <c r="GI837" s="10"/>
      <c r="GJ837" s="10"/>
      <c r="GK837" s="10"/>
    </row>
    <row r="838" customFormat="false" ht="12.75" hidden="false" customHeight="false" outlineLevel="0" collapsed="false">
      <c r="A838" s="7"/>
      <c r="B838" s="7"/>
      <c r="C838" s="8"/>
      <c r="D838" s="8"/>
      <c r="E838" s="8"/>
      <c r="F838" s="8"/>
      <c r="G838" s="9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0"/>
      <c r="BP838" s="10"/>
      <c r="BQ838" s="10"/>
      <c r="BR838" s="10"/>
      <c r="BS838" s="10"/>
      <c r="BT838" s="10"/>
      <c r="BU838" s="10"/>
      <c r="BV838" s="10"/>
      <c r="BW838" s="10"/>
      <c r="BX838" s="10"/>
      <c r="BY838" s="10"/>
      <c r="BZ838" s="10"/>
      <c r="CA838" s="10"/>
      <c r="CB838" s="10"/>
      <c r="CC838" s="10"/>
      <c r="CD838" s="10"/>
      <c r="CE838" s="10"/>
      <c r="CF838" s="10"/>
      <c r="CG838" s="10"/>
      <c r="CH838" s="10"/>
      <c r="CI838" s="10"/>
      <c r="CJ838" s="10"/>
      <c r="CK838" s="10"/>
      <c r="CL838" s="10"/>
      <c r="CM838" s="10"/>
      <c r="CN838" s="10"/>
      <c r="CO838" s="10"/>
      <c r="CP838" s="10"/>
      <c r="CQ838" s="10"/>
      <c r="CR838" s="10"/>
      <c r="CS838" s="10"/>
      <c r="CT838" s="10"/>
      <c r="CU838" s="10"/>
      <c r="CV838" s="10"/>
      <c r="CW838" s="10"/>
      <c r="CX838" s="10"/>
      <c r="CY838" s="10"/>
      <c r="CZ838" s="10"/>
      <c r="DA838" s="10"/>
      <c r="DB838" s="10"/>
      <c r="DC838" s="10"/>
      <c r="DD838" s="10"/>
      <c r="DE838" s="10"/>
      <c r="DF838" s="10"/>
      <c r="DG838" s="10"/>
      <c r="DH838" s="10"/>
      <c r="DI838" s="10"/>
      <c r="DJ838" s="10"/>
      <c r="DK838" s="10"/>
      <c r="DL838" s="10"/>
      <c r="DM838" s="10"/>
      <c r="DN838" s="10"/>
      <c r="DO838" s="10"/>
      <c r="DP838" s="10"/>
      <c r="DQ838" s="10"/>
      <c r="DR838" s="10"/>
      <c r="DS838" s="10"/>
      <c r="DT838" s="10"/>
      <c r="DU838" s="10"/>
      <c r="DV838" s="10"/>
      <c r="DW838" s="10"/>
      <c r="DX838" s="10"/>
      <c r="DY838" s="10"/>
      <c r="DZ838" s="10"/>
      <c r="EA838" s="10"/>
      <c r="EB838" s="10"/>
      <c r="EC838" s="10"/>
      <c r="ED838" s="10"/>
      <c r="EE838" s="10"/>
      <c r="EF838" s="10"/>
      <c r="EG838" s="10"/>
      <c r="EH838" s="10"/>
      <c r="EI838" s="10"/>
      <c r="EJ838" s="10"/>
      <c r="EK838" s="10"/>
      <c r="EL838" s="10"/>
      <c r="EM838" s="10"/>
      <c r="EN838" s="10"/>
      <c r="EO838" s="10"/>
      <c r="EP838" s="10"/>
      <c r="EQ838" s="10"/>
      <c r="ER838" s="10"/>
      <c r="ES838" s="10"/>
      <c r="ET838" s="10"/>
      <c r="EU838" s="10"/>
      <c r="EV838" s="10"/>
      <c r="EW838" s="10"/>
      <c r="EX838" s="10"/>
      <c r="EY838" s="10"/>
      <c r="EZ838" s="10"/>
      <c r="FA838" s="10"/>
      <c r="FB838" s="10"/>
      <c r="FC838" s="10"/>
      <c r="FD838" s="10"/>
      <c r="FE838" s="10"/>
      <c r="FF838" s="10"/>
      <c r="FG838" s="10"/>
      <c r="FH838" s="10"/>
      <c r="FI838" s="10"/>
      <c r="FJ838" s="10"/>
      <c r="FK838" s="10"/>
      <c r="FL838" s="10"/>
      <c r="FM838" s="10"/>
      <c r="FN838" s="10"/>
      <c r="FO838" s="10"/>
      <c r="FP838" s="10"/>
      <c r="FQ838" s="10"/>
      <c r="FR838" s="10"/>
      <c r="FS838" s="10"/>
      <c r="FT838" s="10"/>
      <c r="FU838" s="10"/>
      <c r="FV838" s="10"/>
      <c r="FW838" s="10"/>
      <c r="FX838" s="10"/>
      <c r="FY838" s="10"/>
      <c r="FZ838" s="10"/>
      <c r="GA838" s="10"/>
      <c r="GB838" s="10"/>
      <c r="GC838" s="10"/>
      <c r="GD838" s="10"/>
      <c r="GE838" s="10"/>
      <c r="GF838" s="10"/>
      <c r="GG838" s="10"/>
      <c r="GH838" s="10"/>
      <c r="GI838" s="10"/>
      <c r="GJ838" s="10"/>
      <c r="GK838" s="10"/>
    </row>
    <row r="839" customFormat="false" ht="12.75" hidden="false" customHeight="false" outlineLevel="0" collapsed="false">
      <c r="A839" s="7"/>
      <c r="B839" s="7"/>
      <c r="C839" s="8"/>
      <c r="D839" s="8"/>
      <c r="E839" s="8"/>
      <c r="F839" s="8"/>
      <c r="G839" s="9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10"/>
      <c r="BP839" s="10"/>
      <c r="BQ839" s="10"/>
      <c r="BR839" s="10"/>
      <c r="BS839" s="10"/>
      <c r="BT839" s="10"/>
      <c r="BU839" s="10"/>
      <c r="BV839" s="10"/>
      <c r="BW839" s="10"/>
      <c r="BX839" s="10"/>
      <c r="BY839" s="10"/>
      <c r="BZ839" s="10"/>
      <c r="CA839" s="10"/>
      <c r="CB839" s="10"/>
      <c r="CC839" s="10"/>
      <c r="CD839" s="10"/>
      <c r="CE839" s="10"/>
      <c r="CF839" s="10"/>
      <c r="CG839" s="10"/>
      <c r="CH839" s="10"/>
      <c r="CI839" s="10"/>
      <c r="CJ839" s="10"/>
      <c r="CK839" s="10"/>
      <c r="CL839" s="10"/>
      <c r="CM839" s="10"/>
      <c r="CN839" s="10"/>
      <c r="CO839" s="10"/>
      <c r="CP839" s="10"/>
      <c r="CQ839" s="10"/>
      <c r="CR839" s="10"/>
      <c r="CS839" s="10"/>
      <c r="CT839" s="10"/>
      <c r="CU839" s="10"/>
      <c r="CV839" s="10"/>
      <c r="CW839" s="10"/>
      <c r="CX839" s="10"/>
      <c r="CY839" s="10"/>
      <c r="CZ839" s="10"/>
      <c r="DA839" s="10"/>
      <c r="DB839" s="10"/>
      <c r="DC839" s="10"/>
      <c r="DD839" s="10"/>
      <c r="DE839" s="10"/>
      <c r="DF839" s="10"/>
      <c r="DG839" s="10"/>
      <c r="DH839" s="10"/>
      <c r="DI839" s="10"/>
      <c r="DJ839" s="10"/>
      <c r="DK839" s="10"/>
      <c r="DL839" s="10"/>
      <c r="DM839" s="10"/>
      <c r="DN839" s="10"/>
      <c r="DO839" s="10"/>
      <c r="DP839" s="10"/>
      <c r="DQ839" s="10"/>
      <c r="DR839" s="10"/>
      <c r="DS839" s="10"/>
      <c r="DT839" s="10"/>
      <c r="DU839" s="10"/>
      <c r="DV839" s="10"/>
      <c r="DW839" s="10"/>
      <c r="DX839" s="10"/>
      <c r="DY839" s="10"/>
      <c r="DZ839" s="10"/>
      <c r="EA839" s="10"/>
      <c r="EB839" s="10"/>
      <c r="EC839" s="10"/>
      <c r="ED839" s="10"/>
      <c r="EE839" s="10"/>
      <c r="EF839" s="10"/>
      <c r="EG839" s="10"/>
      <c r="EH839" s="10"/>
      <c r="EI839" s="10"/>
      <c r="EJ839" s="10"/>
      <c r="EK839" s="10"/>
      <c r="EL839" s="10"/>
      <c r="EM839" s="10"/>
      <c r="EN839" s="10"/>
      <c r="EO839" s="10"/>
      <c r="EP839" s="10"/>
      <c r="EQ839" s="10"/>
      <c r="ER839" s="10"/>
      <c r="ES839" s="10"/>
      <c r="ET839" s="10"/>
      <c r="EU839" s="10"/>
      <c r="EV839" s="10"/>
      <c r="EW839" s="10"/>
      <c r="EX839" s="10"/>
      <c r="EY839" s="10"/>
      <c r="EZ839" s="10"/>
      <c r="FA839" s="10"/>
      <c r="FB839" s="10"/>
      <c r="FC839" s="10"/>
      <c r="FD839" s="10"/>
      <c r="FE839" s="10"/>
      <c r="FF839" s="10"/>
      <c r="FG839" s="10"/>
      <c r="FH839" s="10"/>
      <c r="FI839" s="10"/>
      <c r="FJ839" s="10"/>
      <c r="FK839" s="10"/>
      <c r="FL839" s="10"/>
      <c r="FM839" s="10"/>
      <c r="FN839" s="10"/>
      <c r="FO839" s="10"/>
      <c r="FP839" s="10"/>
      <c r="FQ839" s="10"/>
      <c r="FR839" s="10"/>
      <c r="FS839" s="10"/>
      <c r="FT839" s="10"/>
      <c r="FU839" s="10"/>
      <c r="FV839" s="10"/>
      <c r="FW839" s="10"/>
      <c r="FX839" s="10"/>
      <c r="FY839" s="10"/>
      <c r="FZ839" s="10"/>
      <c r="GA839" s="10"/>
      <c r="GB839" s="10"/>
      <c r="GC839" s="10"/>
      <c r="GD839" s="10"/>
      <c r="GE839" s="10"/>
      <c r="GF839" s="10"/>
      <c r="GG839" s="10"/>
      <c r="GH839" s="10"/>
      <c r="GI839" s="10"/>
      <c r="GJ839" s="10"/>
      <c r="GK839" s="10"/>
    </row>
    <row r="840" customFormat="false" ht="12.75" hidden="false" customHeight="false" outlineLevel="0" collapsed="false">
      <c r="A840" s="7"/>
      <c r="B840" s="7"/>
      <c r="C840" s="8"/>
      <c r="D840" s="8"/>
      <c r="E840" s="8"/>
      <c r="F840" s="8"/>
      <c r="G840" s="9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  <c r="BL840" s="10"/>
      <c r="BM840" s="10"/>
      <c r="BN840" s="10"/>
      <c r="BO840" s="10"/>
      <c r="BP840" s="10"/>
      <c r="BQ840" s="10"/>
      <c r="BR840" s="10"/>
      <c r="BS840" s="10"/>
      <c r="BT840" s="10"/>
      <c r="BU840" s="10"/>
      <c r="BV840" s="10"/>
      <c r="BW840" s="10"/>
      <c r="BX840" s="10"/>
      <c r="BY840" s="10"/>
      <c r="BZ840" s="10"/>
      <c r="CA840" s="10"/>
      <c r="CB840" s="10"/>
      <c r="CC840" s="10"/>
      <c r="CD840" s="10"/>
      <c r="CE840" s="10"/>
      <c r="CF840" s="10"/>
      <c r="CG840" s="10"/>
      <c r="CH840" s="10"/>
      <c r="CI840" s="10"/>
      <c r="CJ840" s="10"/>
      <c r="CK840" s="10"/>
      <c r="CL840" s="10"/>
      <c r="CM840" s="10"/>
      <c r="CN840" s="10"/>
      <c r="CO840" s="10"/>
      <c r="CP840" s="10"/>
      <c r="CQ840" s="10"/>
      <c r="CR840" s="10"/>
      <c r="CS840" s="10"/>
      <c r="CT840" s="10"/>
      <c r="CU840" s="10"/>
      <c r="CV840" s="10"/>
      <c r="CW840" s="10"/>
      <c r="CX840" s="10"/>
      <c r="CY840" s="10"/>
      <c r="CZ840" s="10"/>
      <c r="DA840" s="10"/>
      <c r="DB840" s="10"/>
      <c r="DC840" s="10"/>
      <c r="DD840" s="10"/>
      <c r="DE840" s="10"/>
      <c r="DF840" s="10"/>
      <c r="DG840" s="10"/>
      <c r="DH840" s="10"/>
      <c r="DI840" s="10"/>
      <c r="DJ840" s="10"/>
      <c r="DK840" s="10"/>
      <c r="DL840" s="10"/>
      <c r="DM840" s="10"/>
      <c r="DN840" s="10"/>
      <c r="DO840" s="10"/>
      <c r="DP840" s="10"/>
      <c r="DQ840" s="10"/>
      <c r="DR840" s="10"/>
      <c r="DS840" s="10"/>
      <c r="DT840" s="10"/>
      <c r="DU840" s="10"/>
      <c r="DV840" s="10"/>
      <c r="DW840" s="10"/>
      <c r="DX840" s="10"/>
      <c r="DY840" s="10"/>
      <c r="DZ840" s="10"/>
      <c r="EA840" s="10"/>
      <c r="EB840" s="10"/>
      <c r="EC840" s="10"/>
      <c r="ED840" s="10"/>
      <c r="EE840" s="10"/>
      <c r="EF840" s="10"/>
      <c r="EG840" s="10"/>
      <c r="EH840" s="10"/>
      <c r="EI840" s="10"/>
      <c r="EJ840" s="10"/>
      <c r="EK840" s="10"/>
      <c r="EL840" s="10"/>
      <c r="EM840" s="10"/>
      <c r="EN840" s="10"/>
      <c r="EO840" s="10"/>
      <c r="EP840" s="10"/>
      <c r="EQ840" s="10"/>
      <c r="ER840" s="10"/>
      <c r="ES840" s="10"/>
      <c r="ET840" s="10"/>
      <c r="EU840" s="10"/>
      <c r="EV840" s="10"/>
      <c r="EW840" s="10"/>
      <c r="EX840" s="10"/>
      <c r="EY840" s="10"/>
      <c r="EZ840" s="10"/>
      <c r="FA840" s="10"/>
      <c r="FB840" s="10"/>
      <c r="FC840" s="10"/>
      <c r="FD840" s="10"/>
      <c r="FE840" s="10"/>
      <c r="FF840" s="10"/>
      <c r="FG840" s="10"/>
      <c r="FH840" s="10"/>
      <c r="FI840" s="10"/>
      <c r="FJ840" s="10"/>
      <c r="FK840" s="10"/>
      <c r="FL840" s="10"/>
      <c r="FM840" s="10"/>
      <c r="FN840" s="10"/>
      <c r="FO840" s="10"/>
      <c r="FP840" s="10"/>
      <c r="FQ840" s="10"/>
      <c r="FR840" s="10"/>
      <c r="FS840" s="10"/>
      <c r="FT840" s="10"/>
      <c r="FU840" s="10"/>
      <c r="FV840" s="10"/>
      <c r="FW840" s="10"/>
      <c r="FX840" s="10"/>
      <c r="FY840" s="10"/>
      <c r="FZ840" s="10"/>
      <c r="GA840" s="10"/>
      <c r="GB840" s="10"/>
      <c r="GC840" s="10"/>
      <c r="GD840" s="10"/>
      <c r="GE840" s="10"/>
      <c r="GF840" s="10"/>
      <c r="GG840" s="10"/>
      <c r="GH840" s="10"/>
      <c r="GI840" s="10"/>
      <c r="GJ840" s="10"/>
      <c r="GK840" s="10"/>
    </row>
    <row r="841" customFormat="false" ht="12.75" hidden="false" customHeight="false" outlineLevel="0" collapsed="false">
      <c r="A841" s="7"/>
      <c r="B841" s="7"/>
      <c r="C841" s="8"/>
      <c r="D841" s="8"/>
      <c r="E841" s="8"/>
      <c r="F841" s="8"/>
      <c r="G841" s="9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10"/>
      <c r="BL841" s="10"/>
      <c r="BM841" s="10"/>
      <c r="BN841" s="10"/>
      <c r="BO841" s="10"/>
      <c r="BP841" s="10"/>
      <c r="BQ841" s="10"/>
      <c r="BR841" s="10"/>
      <c r="BS841" s="10"/>
      <c r="BT841" s="10"/>
      <c r="BU841" s="10"/>
      <c r="BV841" s="10"/>
      <c r="BW841" s="10"/>
      <c r="BX841" s="10"/>
      <c r="BY841" s="10"/>
      <c r="BZ841" s="10"/>
      <c r="CA841" s="10"/>
      <c r="CB841" s="10"/>
      <c r="CC841" s="10"/>
      <c r="CD841" s="10"/>
      <c r="CE841" s="10"/>
      <c r="CF841" s="10"/>
      <c r="CG841" s="10"/>
      <c r="CH841" s="10"/>
      <c r="CI841" s="10"/>
      <c r="CJ841" s="10"/>
      <c r="CK841" s="10"/>
      <c r="CL841" s="10"/>
      <c r="CM841" s="10"/>
      <c r="CN841" s="10"/>
      <c r="CO841" s="10"/>
      <c r="CP841" s="10"/>
      <c r="CQ841" s="10"/>
      <c r="CR841" s="10"/>
      <c r="CS841" s="10"/>
      <c r="CT841" s="10"/>
      <c r="CU841" s="10"/>
      <c r="CV841" s="10"/>
      <c r="CW841" s="10"/>
      <c r="CX841" s="10"/>
      <c r="CY841" s="10"/>
      <c r="CZ841" s="10"/>
      <c r="DA841" s="10"/>
      <c r="DB841" s="10"/>
      <c r="DC841" s="10"/>
      <c r="DD841" s="10"/>
      <c r="DE841" s="10"/>
      <c r="DF841" s="10"/>
      <c r="DG841" s="10"/>
      <c r="DH841" s="10"/>
      <c r="DI841" s="10"/>
      <c r="DJ841" s="10"/>
      <c r="DK841" s="10"/>
      <c r="DL841" s="10"/>
      <c r="DM841" s="10"/>
      <c r="DN841" s="10"/>
      <c r="DO841" s="10"/>
      <c r="DP841" s="10"/>
      <c r="DQ841" s="10"/>
      <c r="DR841" s="10"/>
      <c r="DS841" s="10"/>
      <c r="DT841" s="10"/>
      <c r="DU841" s="10"/>
      <c r="DV841" s="10"/>
      <c r="DW841" s="10"/>
      <c r="DX841" s="10"/>
      <c r="DY841" s="10"/>
      <c r="DZ841" s="10"/>
      <c r="EA841" s="10"/>
      <c r="EB841" s="10"/>
      <c r="EC841" s="10"/>
      <c r="ED841" s="10"/>
      <c r="EE841" s="10"/>
      <c r="EF841" s="10"/>
      <c r="EG841" s="10"/>
      <c r="EH841" s="10"/>
      <c r="EI841" s="10"/>
      <c r="EJ841" s="10"/>
      <c r="EK841" s="10"/>
      <c r="EL841" s="10"/>
      <c r="EM841" s="10"/>
      <c r="EN841" s="10"/>
      <c r="EO841" s="10"/>
      <c r="EP841" s="10"/>
      <c r="EQ841" s="10"/>
      <c r="ER841" s="10"/>
      <c r="ES841" s="10"/>
      <c r="ET841" s="10"/>
      <c r="EU841" s="10"/>
      <c r="EV841" s="10"/>
      <c r="EW841" s="10"/>
      <c r="EX841" s="10"/>
      <c r="EY841" s="10"/>
      <c r="EZ841" s="10"/>
      <c r="FA841" s="10"/>
      <c r="FB841" s="10"/>
      <c r="FC841" s="10"/>
      <c r="FD841" s="10"/>
      <c r="FE841" s="10"/>
      <c r="FF841" s="10"/>
      <c r="FG841" s="10"/>
      <c r="FH841" s="10"/>
      <c r="FI841" s="10"/>
      <c r="FJ841" s="10"/>
      <c r="FK841" s="10"/>
      <c r="FL841" s="10"/>
      <c r="FM841" s="10"/>
      <c r="FN841" s="10"/>
      <c r="FO841" s="10"/>
      <c r="FP841" s="10"/>
      <c r="FQ841" s="10"/>
      <c r="FR841" s="10"/>
      <c r="FS841" s="10"/>
      <c r="FT841" s="10"/>
      <c r="FU841" s="10"/>
      <c r="FV841" s="10"/>
      <c r="FW841" s="10"/>
      <c r="FX841" s="10"/>
      <c r="FY841" s="10"/>
      <c r="FZ841" s="10"/>
      <c r="GA841" s="10"/>
      <c r="GB841" s="10"/>
      <c r="GC841" s="10"/>
      <c r="GD841" s="10"/>
      <c r="GE841" s="10"/>
      <c r="GF841" s="10"/>
      <c r="GG841" s="10"/>
      <c r="GH841" s="10"/>
      <c r="GI841" s="10"/>
      <c r="GJ841" s="10"/>
      <c r="GK841" s="10"/>
    </row>
    <row r="842" customFormat="false" ht="12.75" hidden="false" customHeight="false" outlineLevel="0" collapsed="false">
      <c r="A842" s="7"/>
      <c r="B842" s="7"/>
      <c r="C842" s="8"/>
      <c r="D842" s="8"/>
      <c r="E842" s="8"/>
      <c r="F842" s="8"/>
      <c r="G842" s="9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/>
      <c r="BL842" s="10"/>
      <c r="BM842" s="10"/>
      <c r="BN842" s="10"/>
      <c r="BO842" s="10"/>
      <c r="BP842" s="10"/>
      <c r="BQ842" s="10"/>
      <c r="BR842" s="10"/>
      <c r="BS842" s="10"/>
      <c r="BT842" s="10"/>
      <c r="BU842" s="10"/>
      <c r="BV842" s="10"/>
      <c r="BW842" s="10"/>
      <c r="BX842" s="10"/>
      <c r="BY842" s="10"/>
      <c r="BZ842" s="10"/>
      <c r="CA842" s="10"/>
      <c r="CB842" s="10"/>
      <c r="CC842" s="10"/>
      <c r="CD842" s="10"/>
      <c r="CE842" s="10"/>
      <c r="CF842" s="10"/>
      <c r="CG842" s="10"/>
      <c r="CH842" s="10"/>
      <c r="CI842" s="10"/>
      <c r="CJ842" s="10"/>
      <c r="CK842" s="10"/>
      <c r="CL842" s="10"/>
      <c r="CM842" s="10"/>
      <c r="CN842" s="10"/>
      <c r="CO842" s="10"/>
      <c r="CP842" s="10"/>
      <c r="CQ842" s="10"/>
      <c r="CR842" s="10"/>
      <c r="CS842" s="10"/>
      <c r="CT842" s="10"/>
      <c r="CU842" s="10"/>
      <c r="CV842" s="10"/>
      <c r="CW842" s="10"/>
      <c r="CX842" s="10"/>
      <c r="CY842" s="10"/>
      <c r="CZ842" s="10"/>
      <c r="DA842" s="10"/>
      <c r="DB842" s="10"/>
      <c r="DC842" s="10"/>
      <c r="DD842" s="10"/>
      <c r="DE842" s="10"/>
      <c r="DF842" s="10"/>
      <c r="DG842" s="10"/>
      <c r="DH842" s="10"/>
      <c r="DI842" s="10"/>
      <c r="DJ842" s="10"/>
      <c r="DK842" s="10"/>
      <c r="DL842" s="10"/>
      <c r="DM842" s="10"/>
      <c r="DN842" s="10"/>
      <c r="DO842" s="10"/>
      <c r="DP842" s="10"/>
      <c r="DQ842" s="10"/>
      <c r="DR842" s="10"/>
      <c r="DS842" s="10"/>
      <c r="DT842" s="10"/>
      <c r="DU842" s="10"/>
      <c r="DV842" s="10"/>
      <c r="DW842" s="10"/>
      <c r="DX842" s="10"/>
      <c r="DY842" s="10"/>
      <c r="DZ842" s="10"/>
      <c r="EA842" s="10"/>
      <c r="EB842" s="10"/>
      <c r="EC842" s="10"/>
      <c r="ED842" s="10"/>
      <c r="EE842" s="10"/>
      <c r="EF842" s="10"/>
      <c r="EG842" s="10"/>
      <c r="EH842" s="10"/>
      <c r="EI842" s="10"/>
      <c r="EJ842" s="10"/>
      <c r="EK842" s="10"/>
      <c r="EL842" s="10"/>
      <c r="EM842" s="10"/>
      <c r="EN842" s="10"/>
      <c r="EO842" s="10"/>
      <c r="EP842" s="10"/>
      <c r="EQ842" s="10"/>
      <c r="ER842" s="10"/>
      <c r="ES842" s="10"/>
      <c r="ET842" s="10"/>
      <c r="EU842" s="10"/>
      <c r="EV842" s="10"/>
      <c r="EW842" s="10"/>
      <c r="EX842" s="10"/>
      <c r="EY842" s="10"/>
      <c r="EZ842" s="10"/>
      <c r="FA842" s="10"/>
      <c r="FB842" s="10"/>
      <c r="FC842" s="10"/>
      <c r="FD842" s="10"/>
      <c r="FE842" s="10"/>
      <c r="FF842" s="10"/>
      <c r="FG842" s="10"/>
      <c r="FH842" s="10"/>
      <c r="FI842" s="10"/>
      <c r="FJ842" s="10"/>
      <c r="FK842" s="10"/>
      <c r="FL842" s="10"/>
      <c r="FM842" s="10"/>
      <c r="FN842" s="10"/>
      <c r="FO842" s="10"/>
      <c r="FP842" s="10"/>
      <c r="FQ842" s="10"/>
      <c r="FR842" s="10"/>
      <c r="FS842" s="10"/>
      <c r="FT842" s="10"/>
      <c r="FU842" s="10"/>
      <c r="FV842" s="10"/>
      <c r="FW842" s="10"/>
      <c r="FX842" s="10"/>
      <c r="FY842" s="10"/>
      <c r="FZ842" s="10"/>
      <c r="GA842" s="10"/>
      <c r="GB842" s="10"/>
      <c r="GC842" s="10"/>
      <c r="GD842" s="10"/>
      <c r="GE842" s="10"/>
      <c r="GF842" s="10"/>
      <c r="GG842" s="10"/>
      <c r="GH842" s="10"/>
      <c r="GI842" s="10"/>
      <c r="GJ842" s="10"/>
      <c r="GK842" s="10"/>
    </row>
    <row r="843" customFormat="false" ht="12.75" hidden="false" customHeight="false" outlineLevel="0" collapsed="false">
      <c r="A843" s="7"/>
      <c r="B843" s="7"/>
      <c r="C843" s="8"/>
      <c r="D843" s="8"/>
      <c r="E843" s="8"/>
      <c r="F843" s="8"/>
      <c r="G843" s="9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0"/>
      <c r="BP843" s="10"/>
      <c r="BQ843" s="10"/>
      <c r="BR843" s="10"/>
      <c r="BS843" s="10"/>
      <c r="BT843" s="10"/>
      <c r="BU843" s="10"/>
      <c r="BV843" s="10"/>
      <c r="BW843" s="10"/>
      <c r="BX843" s="10"/>
      <c r="BY843" s="10"/>
      <c r="BZ843" s="10"/>
      <c r="CA843" s="10"/>
      <c r="CB843" s="10"/>
      <c r="CC843" s="10"/>
      <c r="CD843" s="10"/>
      <c r="CE843" s="10"/>
      <c r="CF843" s="10"/>
      <c r="CG843" s="10"/>
      <c r="CH843" s="10"/>
      <c r="CI843" s="10"/>
      <c r="CJ843" s="10"/>
      <c r="CK843" s="10"/>
      <c r="CL843" s="10"/>
      <c r="CM843" s="10"/>
      <c r="CN843" s="10"/>
      <c r="CO843" s="10"/>
      <c r="CP843" s="10"/>
      <c r="CQ843" s="10"/>
      <c r="CR843" s="10"/>
      <c r="CS843" s="10"/>
      <c r="CT843" s="10"/>
      <c r="CU843" s="10"/>
      <c r="CV843" s="10"/>
      <c r="CW843" s="10"/>
      <c r="CX843" s="10"/>
      <c r="CY843" s="10"/>
      <c r="CZ843" s="10"/>
      <c r="DA843" s="10"/>
      <c r="DB843" s="10"/>
      <c r="DC843" s="10"/>
      <c r="DD843" s="10"/>
      <c r="DE843" s="10"/>
      <c r="DF843" s="10"/>
      <c r="DG843" s="10"/>
      <c r="DH843" s="10"/>
      <c r="DI843" s="10"/>
      <c r="DJ843" s="10"/>
      <c r="DK843" s="10"/>
      <c r="DL843" s="10"/>
      <c r="DM843" s="10"/>
      <c r="DN843" s="10"/>
      <c r="DO843" s="10"/>
      <c r="DP843" s="10"/>
      <c r="DQ843" s="10"/>
      <c r="DR843" s="10"/>
      <c r="DS843" s="10"/>
      <c r="DT843" s="10"/>
      <c r="DU843" s="10"/>
      <c r="DV843" s="10"/>
      <c r="DW843" s="10"/>
      <c r="DX843" s="10"/>
      <c r="DY843" s="10"/>
      <c r="DZ843" s="10"/>
      <c r="EA843" s="10"/>
      <c r="EB843" s="10"/>
      <c r="EC843" s="10"/>
      <c r="ED843" s="10"/>
      <c r="EE843" s="10"/>
      <c r="EF843" s="10"/>
      <c r="EG843" s="10"/>
      <c r="EH843" s="10"/>
      <c r="EI843" s="10"/>
      <c r="EJ843" s="10"/>
      <c r="EK843" s="10"/>
      <c r="EL843" s="10"/>
      <c r="EM843" s="10"/>
      <c r="EN843" s="10"/>
      <c r="EO843" s="10"/>
      <c r="EP843" s="10"/>
      <c r="EQ843" s="10"/>
      <c r="ER843" s="10"/>
      <c r="ES843" s="10"/>
      <c r="ET843" s="10"/>
      <c r="EU843" s="10"/>
      <c r="EV843" s="10"/>
      <c r="EW843" s="10"/>
      <c r="EX843" s="10"/>
      <c r="EY843" s="10"/>
      <c r="EZ843" s="10"/>
      <c r="FA843" s="10"/>
      <c r="FB843" s="10"/>
      <c r="FC843" s="10"/>
      <c r="FD843" s="10"/>
      <c r="FE843" s="10"/>
      <c r="FF843" s="10"/>
      <c r="FG843" s="10"/>
      <c r="FH843" s="10"/>
      <c r="FI843" s="10"/>
      <c r="FJ843" s="10"/>
      <c r="FK843" s="10"/>
      <c r="FL843" s="10"/>
      <c r="FM843" s="10"/>
      <c r="FN843" s="10"/>
      <c r="FO843" s="10"/>
      <c r="FP843" s="10"/>
      <c r="FQ843" s="10"/>
      <c r="FR843" s="10"/>
      <c r="FS843" s="10"/>
      <c r="FT843" s="10"/>
      <c r="FU843" s="10"/>
      <c r="FV843" s="10"/>
      <c r="FW843" s="10"/>
      <c r="FX843" s="10"/>
      <c r="FY843" s="10"/>
      <c r="FZ843" s="10"/>
      <c r="GA843" s="10"/>
      <c r="GB843" s="10"/>
      <c r="GC843" s="10"/>
      <c r="GD843" s="10"/>
      <c r="GE843" s="10"/>
      <c r="GF843" s="10"/>
      <c r="GG843" s="10"/>
      <c r="GH843" s="10"/>
      <c r="GI843" s="10"/>
      <c r="GJ843" s="10"/>
      <c r="GK843" s="10"/>
    </row>
    <row r="844" customFormat="false" ht="12.75" hidden="false" customHeight="false" outlineLevel="0" collapsed="false">
      <c r="A844" s="7"/>
      <c r="B844" s="7"/>
      <c r="C844" s="8"/>
      <c r="D844" s="8"/>
      <c r="E844" s="8"/>
      <c r="F844" s="8"/>
      <c r="G844" s="9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  <c r="BL844" s="10"/>
      <c r="BM844" s="10"/>
      <c r="BN844" s="10"/>
      <c r="BO844" s="10"/>
      <c r="BP844" s="10"/>
      <c r="BQ844" s="10"/>
      <c r="BR844" s="10"/>
      <c r="BS844" s="10"/>
      <c r="BT844" s="10"/>
      <c r="BU844" s="10"/>
      <c r="BV844" s="10"/>
      <c r="BW844" s="10"/>
      <c r="BX844" s="10"/>
      <c r="BY844" s="10"/>
      <c r="BZ844" s="10"/>
      <c r="CA844" s="10"/>
      <c r="CB844" s="10"/>
      <c r="CC844" s="10"/>
      <c r="CD844" s="10"/>
      <c r="CE844" s="10"/>
      <c r="CF844" s="10"/>
      <c r="CG844" s="10"/>
      <c r="CH844" s="10"/>
      <c r="CI844" s="10"/>
      <c r="CJ844" s="10"/>
      <c r="CK844" s="10"/>
      <c r="CL844" s="10"/>
      <c r="CM844" s="10"/>
      <c r="CN844" s="10"/>
      <c r="CO844" s="10"/>
      <c r="CP844" s="10"/>
      <c r="CQ844" s="10"/>
      <c r="CR844" s="10"/>
      <c r="CS844" s="10"/>
      <c r="CT844" s="10"/>
      <c r="CU844" s="10"/>
      <c r="CV844" s="10"/>
      <c r="CW844" s="10"/>
      <c r="CX844" s="10"/>
      <c r="CY844" s="10"/>
      <c r="CZ844" s="10"/>
      <c r="DA844" s="10"/>
      <c r="DB844" s="10"/>
      <c r="DC844" s="10"/>
      <c r="DD844" s="10"/>
      <c r="DE844" s="10"/>
      <c r="DF844" s="10"/>
      <c r="DG844" s="10"/>
      <c r="DH844" s="10"/>
      <c r="DI844" s="10"/>
      <c r="DJ844" s="10"/>
      <c r="DK844" s="10"/>
      <c r="DL844" s="10"/>
      <c r="DM844" s="10"/>
      <c r="DN844" s="10"/>
      <c r="DO844" s="10"/>
      <c r="DP844" s="10"/>
      <c r="DQ844" s="10"/>
      <c r="DR844" s="10"/>
      <c r="DS844" s="10"/>
      <c r="DT844" s="10"/>
      <c r="DU844" s="10"/>
      <c r="DV844" s="10"/>
      <c r="DW844" s="10"/>
      <c r="DX844" s="10"/>
      <c r="DY844" s="10"/>
      <c r="DZ844" s="10"/>
      <c r="EA844" s="10"/>
      <c r="EB844" s="10"/>
      <c r="EC844" s="10"/>
      <c r="ED844" s="10"/>
      <c r="EE844" s="10"/>
      <c r="EF844" s="10"/>
      <c r="EG844" s="10"/>
      <c r="EH844" s="10"/>
      <c r="EI844" s="10"/>
      <c r="EJ844" s="10"/>
      <c r="EK844" s="10"/>
      <c r="EL844" s="10"/>
      <c r="EM844" s="10"/>
      <c r="EN844" s="10"/>
      <c r="EO844" s="10"/>
      <c r="EP844" s="10"/>
      <c r="EQ844" s="10"/>
      <c r="ER844" s="10"/>
      <c r="ES844" s="10"/>
      <c r="ET844" s="10"/>
      <c r="EU844" s="10"/>
      <c r="EV844" s="10"/>
      <c r="EW844" s="10"/>
      <c r="EX844" s="10"/>
      <c r="EY844" s="10"/>
      <c r="EZ844" s="10"/>
      <c r="FA844" s="10"/>
      <c r="FB844" s="10"/>
      <c r="FC844" s="10"/>
      <c r="FD844" s="10"/>
      <c r="FE844" s="10"/>
      <c r="FF844" s="10"/>
      <c r="FG844" s="10"/>
      <c r="FH844" s="10"/>
      <c r="FI844" s="10"/>
      <c r="FJ844" s="10"/>
      <c r="FK844" s="10"/>
      <c r="FL844" s="10"/>
      <c r="FM844" s="10"/>
      <c r="FN844" s="10"/>
      <c r="FO844" s="10"/>
      <c r="FP844" s="10"/>
      <c r="FQ844" s="10"/>
      <c r="FR844" s="10"/>
      <c r="FS844" s="10"/>
      <c r="FT844" s="10"/>
      <c r="FU844" s="10"/>
      <c r="FV844" s="10"/>
      <c r="FW844" s="10"/>
      <c r="FX844" s="10"/>
      <c r="FY844" s="10"/>
      <c r="FZ844" s="10"/>
      <c r="GA844" s="10"/>
      <c r="GB844" s="10"/>
      <c r="GC844" s="10"/>
      <c r="GD844" s="10"/>
      <c r="GE844" s="10"/>
      <c r="GF844" s="10"/>
      <c r="GG844" s="10"/>
      <c r="GH844" s="10"/>
      <c r="GI844" s="10"/>
      <c r="GJ844" s="10"/>
      <c r="GK844" s="10"/>
    </row>
    <row r="845" customFormat="false" ht="12.75" hidden="false" customHeight="false" outlineLevel="0" collapsed="false">
      <c r="A845" s="7"/>
      <c r="B845" s="7"/>
      <c r="C845" s="8"/>
      <c r="D845" s="8"/>
      <c r="E845" s="8"/>
      <c r="F845" s="8"/>
      <c r="G845" s="9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  <c r="BO845" s="10"/>
      <c r="BP845" s="10"/>
      <c r="BQ845" s="10"/>
      <c r="BR845" s="10"/>
      <c r="BS845" s="10"/>
      <c r="BT845" s="10"/>
      <c r="BU845" s="10"/>
      <c r="BV845" s="10"/>
      <c r="BW845" s="10"/>
      <c r="BX845" s="10"/>
      <c r="BY845" s="10"/>
      <c r="BZ845" s="10"/>
      <c r="CA845" s="10"/>
      <c r="CB845" s="10"/>
      <c r="CC845" s="10"/>
      <c r="CD845" s="10"/>
      <c r="CE845" s="10"/>
      <c r="CF845" s="10"/>
      <c r="CG845" s="10"/>
      <c r="CH845" s="10"/>
      <c r="CI845" s="10"/>
      <c r="CJ845" s="10"/>
      <c r="CK845" s="10"/>
      <c r="CL845" s="10"/>
      <c r="CM845" s="10"/>
      <c r="CN845" s="10"/>
      <c r="CO845" s="10"/>
      <c r="CP845" s="10"/>
      <c r="CQ845" s="10"/>
      <c r="CR845" s="10"/>
      <c r="CS845" s="10"/>
      <c r="CT845" s="10"/>
      <c r="CU845" s="10"/>
      <c r="CV845" s="10"/>
      <c r="CW845" s="10"/>
      <c r="CX845" s="10"/>
      <c r="CY845" s="10"/>
      <c r="CZ845" s="10"/>
      <c r="DA845" s="10"/>
      <c r="DB845" s="10"/>
      <c r="DC845" s="10"/>
      <c r="DD845" s="10"/>
      <c r="DE845" s="10"/>
      <c r="DF845" s="10"/>
      <c r="DG845" s="10"/>
      <c r="DH845" s="10"/>
      <c r="DI845" s="10"/>
      <c r="DJ845" s="10"/>
      <c r="DK845" s="10"/>
      <c r="DL845" s="10"/>
      <c r="DM845" s="10"/>
      <c r="DN845" s="10"/>
      <c r="DO845" s="10"/>
      <c r="DP845" s="10"/>
      <c r="DQ845" s="10"/>
      <c r="DR845" s="10"/>
      <c r="DS845" s="10"/>
      <c r="DT845" s="10"/>
      <c r="DU845" s="10"/>
      <c r="DV845" s="10"/>
      <c r="DW845" s="10"/>
      <c r="DX845" s="10"/>
      <c r="DY845" s="10"/>
      <c r="DZ845" s="10"/>
      <c r="EA845" s="10"/>
      <c r="EB845" s="10"/>
      <c r="EC845" s="10"/>
      <c r="ED845" s="10"/>
      <c r="EE845" s="10"/>
      <c r="EF845" s="10"/>
      <c r="EG845" s="10"/>
      <c r="EH845" s="10"/>
      <c r="EI845" s="10"/>
      <c r="EJ845" s="10"/>
      <c r="EK845" s="10"/>
      <c r="EL845" s="10"/>
      <c r="EM845" s="10"/>
      <c r="EN845" s="10"/>
      <c r="EO845" s="10"/>
      <c r="EP845" s="10"/>
      <c r="EQ845" s="10"/>
      <c r="ER845" s="10"/>
      <c r="ES845" s="10"/>
      <c r="ET845" s="10"/>
      <c r="EU845" s="10"/>
      <c r="EV845" s="10"/>
      <c r="EW845" s="10"/>
      <c r="EX845" s="10"/>
      <c r="EY845" s="10"/>
      <c r="EZ845" s="10"/>
      <c r="FA845" s="10"/>
      <c r="FB845" s="10"/>
      <c r="FC845" s="10"/>
      <c r="FD845" s="10"/>
      <c r="FE845" s="10"/>
      <c r="FF845" s="10"/>
      <c r="FG845" s="10"/>
      <c r="FH845" s="10"/>
      <c r="FI845" s="10"/>
      <c r="FJ845" s="10"/>
      <c r="FK845" s="10"/>
      <c r="FL845" s="10"/>
      <c r="FM845" s="10"/>
      <c r="FN845" s="10"/>
      <c r="FO845" s="10"/>
      <c r="FP845" s="10"/>
      <c r="FQ845" s="10"/>
      <c r="FR845" s="10"/>
      <c r="FS845" s="10"/>
      <c r="FT845" s="10"/>
      <c r="FU845" s="10"/>
      <c r="FV845" s="10"/>
      <c r="FW845" s="10"/>
      <c r="FX845" s="10"/>
      <c r="FY845" s="10"/>
      <c r="FZ845" s="10"/>
      <c r="GA845" s="10"/>
      <c r="GB845" s="10"/>
      <c r="GC845" s="10"/>
      <c r="GD845" s="10"/>
      <c r="GE845" s="10"/>
      <c r="GF845" s="10"/>
      <c r="GG845" s="10"/>
      <c r="GH845" s="10"/>
      <c r="GI845" s="10"/>
      <c r="GJ845" s="10"/>
      <c r="GK845" s="10"/>
    </row>
    <row r="846" customFormat="false" ht="12.75" hidden="false" customHeight="false" outlineLevel="0" collapsed="false">
      <c r="A846" s="7"/>
      <c r="B846" s="7"/>
      <c r="C846" s="8"/>
      <c r="D846" s="8"/>
      <c r="E846" s="8"/>
      <c r="F846" s="8"/>
      <c r="G846" s="9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10"/>
      <c r="BP846" s="10"/>
      <c r="BQ846" s="10"/>
      <c r="BR846" s="10"/>
      <c r="BS846" s="10"/>
      <c r="BT846" s="10"/>
      <c r="BU846" s="10"/>
      <c r="BV846" s="10"/>
      <c r="BW846" s="10"/>
      <c r="BX846" s="10"/>
      <c r="BY846" s="10"/>
      <c r="BZ846" s="10"/>
      <c r="CA846" s="10"/>
      <c r="CB846" s="10"/>
      <c r="CC846" s="10"/>
      <c r="CD846" s="10"/>
      <c r="CE846" s="10"/>
      <c r="CF846" s="10"/>
      <c r="CG846" s="10"/>
      <c r="CH846" s="10"/>
      <c r="CI846" s="10"/>
      <c r="CJ846" s="10"/>
      <c r="CK846" s="10"/>
      <c r="CL846" s="10"/>
      <c r="CM846" s="10"/>
      <c r="CN846" s="10"/>
      <c r="CO846" s="10"/>
      <c r="CP846" s="10"/>
      <c r="CQ846" s="10"/>
      <c r="CR846" s="10"/>
      <c r="CS846" s="10"/>
      <c r="CT846" s="10"/>
      <c r="CU846" s="10"/>
      <c r="CV846" s="10"/>
      <c r="CW846" s="10"/>
      <c r="CX846" s="10"/>
      <c r="CY846" s="10"/>
      <c r="CZ846" s="10"/>
      <c r="DA846" s="10"/>
      <c r="DB846" s="10"/>
      <c r="DC846" s="10"/>
      <c r="DD846" s="10"/>
      <c r="DE846" s="10"/>
      <c r="DF846" s="10"/>
      <c r="DG846" s="10"/>
      <c r="DH846" s="10"/>
      <c r="DI846" s="10"/>
      <c r="DJ846" s="10"/>
      <c r="DK846" s="10"/>
      <c r="DL846" s="10"/>
      <c r="DM846" s="10"/>
      <c r="DN846" s="10"/>
      <c r="DO846" s="10"/>
      <c r="DP846" s="10"/>
      <c r="DQ846" s="10"/>
      <c r="DR846" s="10"/>
      <c r="DS846" s="10"/>
      <c r="DT846" s="10"/>
      <c r="DU846" s="10"/>
      <c r="DV846" s="10"/>
      <c r="DW846" s="10"/>
      <c r="DX846" s="10"/>
      <c r="DY846" s="10"/>
      <c r="DZ846" s="10"/>
      <c r="EA846" s="10"/>
      <c r="EB846" s="10"/>
      <c r="EC846" s="10"/>
      <c r="ED846" s="10"/>
      <c r="EE846" s="10"/>
      <c r="EF846" s="10"/>
      <c r="EG846" s="10"/>
      <c r="EH846" s="10"/>
      <c r="EI846" s="10"/>
      <c r="EJ846" s="10"/>
      <c r="EK846" s="10"/>
      <c r="EL846" s="10"/>
      <c r="EM846" s="10"/>
      <c r="EN846" s="10"/>
      <c r="EO846" s="10"/>
      <c r="EP846" s="10"/>
      <c r="EQ846" s="10"/>
      <c r="ER846" s="10"/>
      <c r="ES846" s="10"/>
      <c r="ET846" s="10"/>
      <c r="EU846" s="10"/>
      <c r="EV846" s="10"/>
      <c r="EW846" s="10"/>
      <c r="EX846" s="10"/>
      <c r="EY846" s="10"/>
      <c r="EZ846" s="10"/>
      <c r="FA846" s="10"/>
      <c r="FB846" s="10"/>
      <c r="FC846" s="10"/>
      <c r="FD846" s="10"/>
      <c r="FE846" s="10"/>
      <c r="FF846" s="10"/>
      <c r="FG846" s="10"/>
      <c r="FH846" s="10"/>
      <c r="FI846" s="10"/>
      <c r="FJ846" s="10"/>
      <c r="FK846" s="10"/>
      <c r="FL846" s="10"/>
      <c r="FM846" s="10"/>
      <c r="FN846" s="10"/>
      <c r="FO846" s="10"/>
      <c r="FP846" s="10"/>
      <c r="FQ846" s="10"/>
      <c r="FR846" s="10"/>
      <c r="FS846" s="10"/>
      <c r="FT846" s="10"/>
      <c r="FU846" s="10"/>
      <c r="FV846" s="10"/>
      <c r="FW846" s="10"/>
      <c r="FX846" s="10"/>
      <c r="FY846" s="10"/>
      <c r="FZ846" s="10"/>
      <c r="GA846" s="10"/>
      <c r="GB846" s="10"/>
      <c r="GC846" s="10"/>
      <c r="GD846" s="10"/>
      <c r="GE846" s="10"/>
      <c r="GF846" s="10"/>
      <c r="GG846" s="10"/>
      <c r="GH846" s="10"/>
      <c r="GI846" s="10"/>
      <c r="GJ846" s="10"/>
      <c r="GK846" s="10"/>
    </row>
    <row r="847" customFormat="false" ht="12.75" hidden="false" customHeight="false" outlineLevel="0" collapsed="false">
      <c r="A847" s="7"/>
      <c r="B847" s="7"/>
      <c r="C847" s="8"/>
      <c r="D847" s="8"/>
      <c r="E847" s="8"/>
      <c r="F847" s="8"/>
      <c r="G847" s="9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  <c r="BO847" s="10"/>
      <c r="BP847" s="10"/>
      <c r="BQ847" s="10"/>
      <c r="BR847" s="10"/>
      <c r="BS847" s="10"/>
      <c r="BT847" s="10"/>
      <c r="BU847" s="10"/>
      <c r="BV847" s="10"/>
      <c r="BW847" s="10"/>
      <c r="BX847" s="10"/>
      <c r="BY847" s="10"/>
      <c r="BZ847" s="10"/>
      <c r="CA847" s="10"/>
      <c r="CB847" s="10"/>
      <c r="CC847" s="10"/>
      <c r="CD847" s="10"/>
      <c r="CE847" s="10"/>
      <c r="CF847" s="10"/>
      <c r="CG847" s="10"/>
      <c r="CH847" s="10"/>
      <c r="CI847" s="10"/>
      <c r="CJ847" s="10"/>
      <c r="CK847" s="10"/>
      <c r="CL847" s="10"/>
      <c r="CM847" s="10"/>
      <c r="CN847" s="10"/>
      <c r="CO847" s="10"/>
      <c r="CP847" s="10"/>
      <c r="CQ847" s="10"/>
      <c r="CR847" s="10"/>
      <c r="CS847" s="10"/>
      <c r="CT847" s="10"/>
      <c r="CU847" s="10"/>
      <c r="CV847" s="10"/>
      <c r="CW847" s="10"/>
      <c r="CX847" s="10"/>
      <c r="CY847" s="10"/>
      <c r="CZ847" s="10"/>
      <c r="DA847" s="10"/>
      <c r="DB847" s="10"/>
      <c r="DC847" s="10"/>
      <c r="DD847" s="10"/>
      <c r="DE847" s="10"/>
      <c r="DF847" s="10"/>
      <c r="DG847" s="10"/>
      <c r="DH847" s="10"/>
      <c r="DI847" s="10"/>
      <c r="DJ847" s="10"/>
      <c r="DK847" s="10"/>
      <c r="DL847" s="10"/>
      <c r="DM847" s="10"/>
      <c r="DN847" s="10"/>
      <c r="DO847" s="10"/>
      <c r="DP847" s="10"/>
      <c r="DQ847" s="10"/>
      <c r="DR847" s="10"/>
      <c r="DS847" s="10"/>
      <c r="DT847" s="10"/>
      <c r="DU847" s="10"/>
      <c r="DV847" s="10"/>
      <c r="DW847" s="10"/>
      <c r="DX847" s="10"/>
      <c r="DY847" s="10"/>
      <c r="DZ847" s="10"/>
      <c r="EA847" s="10"/>
      <c r="EB847" s="10"/>
      <c r="EC847" s="10"/>
      <c r="ED847" s="10"/>
      <c r="EE847" s="10"/>
      <c r="EF847" s="10"/>
      <c r="EG847" s="10"/>
      <c r="EH847" s="10"/>
      <c r="EI847" s="10"/>
      <c r="EJ847" s="10"/>
      <c r="EK847" s="10"/>
      <c r="EL847" s="10"/>
      <c r="EM847" s="10"/>
      <c r="EN847" s="10"/>
      <c r="EO847" s="10"/>
      <c r="EP847" s="10"/>
      <c r="EQ847" s="10"/>
      <c r="ER847" s="10"/>
      <c r="ES847" s="10"/>
      <c r="ET847" s="10"/>
      <c r="EU847" s="10"/>
      <c r="EV847" s="10"/>
      <c r="EW847" s="10"/>
      <c r="EX847" s="10"/>
      <c r="EY847" s="10"/>
      <c r="EZ847" s="10"/>
      <c r="FA847" s="10"/>
      <c r="FB847" s="10"/>
      <c r="FC847" s="10"/>
      <c r="FD847" s="10"/>
      <c r="FE847" s="10"/>
      <c r="FF847" s="10"/>
      <c r="FG847" s="10"/>
      <c r="FH847" s="10"/>
      <c r="FI847" s="10"/>
      <c r="FJ847" s="10"/>
      <c r="FK847" s="10"/>
      <c r="FL847" s="10"/>
      <c r="FM847" s="10"/>
      <c r="FN847" s="10"/>
      <c r="FO847" s="10"/>
      <c r="FP847" s="10"/>
      <c r="FQ847" s="10"/>
      <c r="FR847" s="10"/>
      <c r="FS847" s="10"/>
      <c r="FT847" s="10"/>
      <c r="FU847" s="10"/>
      <c r="FV847" s="10"/>
      <c r="FW847" s="10"/>
      <c r="FX847" s="10"/>
      <c r="FY847" s="10"/>
      <c r="FZ847" s="10"/>
      <c r="GA847" s="10"/>
      <c r="GB847" s="10"/>
      <c r="GC847" s="10"/>
      <c r="GD847" s="10"/>
      <c r="GE847" s="10"/>
      <c r="GF847" s="10"/>
      <c r="GG847" s="10"/>
      <c r="GH847" s="10"/>
      <c r="GI847" s="10"/>
      <c r="GJ847" s="10"/>
      <c r="GK847" s="10"/>
    </row>
    <row r="848" customFormat="false" ht="12.75" hidden="false" customHeight="false" outlineLevel="0" collapsed="false">
      <c r="A848" s="7"/>
      <c r="B848" s="7"/>
      <c r="C848" s="8"/>
      <c r="D848" s="8"/>
      <c r="E848" s="8"/>
      <c r="F848" s="8"/>
      <c r="G848" s="9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  <c r="BO848" s="10"/>
      <c r="BP848" s="10"/>
      <c r="BQ848" s="10"/>
      <c r="BR848" s="10"/>
      <c r="BS848" s="10"/>
      <c r="BT848" s="10"/>
      <c r="BU848" s="10"/>
      <c r="BV848" s="10"/>
      <c r="BW848" s="10"/>
      <c r="BX848" s="10"/>
      <c r="BY848" s="10"/>
      <c r="BZ848" s="10"/>
      <c r="CA848" s="10"/>
      <c r="CB848" s="10"/>
      <c r="CC848" s="10"/>
      <c r="CD848" s="10"/>
      <c r="CE848" s="10"/>
      <c r="CF848" s="10"/>
      <c r="CG848" s="10"/>
      <c r="CH848" s="10"/>
      <c r="CI848" s="10"/>
      <c r="CJ848" s="10"/>
      <c r="CK848" s="10"/>
      <c r="CL848" s="10"/>
      <c r="CM848" s="10"/>
      <c r="CN848" s="10"/>
      <c r="CO848" s="10"/>
      <c r="CP848" s="10"/>
      <c r="CQ848" s="10"/>
      <c r="CR848" s="10"/>
      <c r="CS848" s="10"/>
      <c r="CT848" s="10"/>
      <c r="CU848" s="10"/>
      <c r="CV848" s="10"/>
      <c r="CW848" s="10"/>
      <c r="CX848" s="10"/>
      <c r="CY848" s="10"/>
      <c r="CZ848" s="10"/>
      <c r="DA848" s="10"/>
      <c r="DB848" s="10"/>
      <c r="DC848" s="10"/>
      <c r="DD848" s="10"/>
      <c r="DE848" s="10"/>
      <c r="DF848" s="10"/>
      <c r="DG848" s="10"/>
      <c r="DH848" s="10"/>
      <c r="DI848" s="10"/>
      <c r="DJ848" s="10"/>
      <c r="DK848" s="10"/>
      <c r="DL848" s="10"/>
      <c r="DM848" s="10"/>
      <c r="DN848" s="10"/>
      <c r="DO848" s="10"/>
      <c r="DP848" s="10"/>
      <c r="DQ848" s="10"/>
      <c r="DR848" s="10"/>
      <c r="DS848" s="10"/>
      <c r="DT848" s="10"/>
      <c r="DU848" s="10"/>
      <c r="DV848" s="10"/>
      <c r="DW848" s="10"/>
      <c r="DX848" s="10"/>
      <c r="DY848" s="10"/>
      <c r="DZ848" s="10"/>
      <c r="EA848" s="10"/>
      <c r="EB848" s="10"/>
      <c r="EC848" s="10"/>
      <c r="ED848" s="10"/>
      <c r="EE848" s="10"/>
      <c r="EF848" s="10"/>
      <c r="EG848" s="10"/>
      <c r="EH848" s="10"/>
      <c r="EI848" s="10"/>
      <c r="EJ848" s="10"/>
      <c r="EK848" s="10"/>
      <c r="EL848" s="10"/>
      <c r="EM848" s="10"/>
      <c r="EN848" s="10"/>
      <c r="EO848" s="10"/>
      <c r="EP848" s="10"/>
      <c r="EQ848" s="10"/>
      <c r="ER848" s="10"/>
      <c r="ES848" s="10"/>
      <c r="ET848" s="10"/>
      <c r="EU848" s="10"/>
      <c r="EV848" s="10"/>
      <c r="EW848" s="10"/>
      <c r="EX848" s="10"/>
      <c r="EY848" s="10"/>
      <c r="EZ848" s="10"/>
      <c r="FA848" s="10"/>
      <c r="FB848" s="10"/>
      <c r="FC848" s="10"/>
      <c r="FD848" s="10"/>
      <c r="FE848" s="10"/>
      <c r="FF848" s="10"/>
      <c r="FG848" s="10"/>
      <c r="FH848" s="10"/>
      <c r="FI848" s="10"/>
      <c r="FJ848" s="10"/>
      <c r="FK848" s="10"/>
      <c r="FL848" s="10"/>
      <c r="FM848" s="10"/>
      <c r="FN848" s="10"/>
      <c r="FO848" s="10"/>
      <c r="FP848" s="10"/>
      <c r="FQ848" s="10"/>
      <c r="FR848" s="10"/>
      <c r="FS848" s="10"/>
      <c r="FT848" s="10"/>
      <c r="FU848" s="10"/>
      <c r="FV848" s="10"/>
      <c r="FW848" s="10"/>
      <c r="FX848" s="10"/>
      <c r="FY848" s="10"/>
      <c r="FZ848" s="10"/>
      <c r="GA848" s="10"/>
      <c r="GB848" s="10"/>
      <c r="GC848" s="10"/>
      <c r="GD848" s="10"/>
      <c r="GE848" s="10"/>
      <c r="GF848" s="10"/>
      <c r="GG848" s="10"/>
      <c r="GH848" s="10"/>
      <c r="GI848" s="10"/>
      <c r="GJ848" s="10"/>
      <c r="GK848" s="10"/>
    </row>
  </sheetData>
  <conditionalFormatting sqref="H2:GK819">
    <cfRule type="cellIs" priority="2" operator="greaterThan" aboveAverage="0" equalAverage="0" bottom="0" percent="0" rank="0" text="" dxfId="0">
      <formula>$G2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2"/>
  <sheetViews>
    <sheetView showFormulas="false" showGridLines="true" showRowColHeaders="true" showZeros="true" rightToLeft="false" tabSelected="false" showOutlineSymbols="true" defaultGridColor="true" view="normal" topLeftCell="A110" colorId="64" zoomScale="75" zoomScaleNormal="75" zoomScalePageLayoutView="100" workbookViewId="0">
      <selection pane="topLeft" activeCell="F221" activeCellId="0" sqref="F221"/>
    </sheetView>
  </sheetViews>
  <sheetFormatPr defaultColWidth="8.6796875" defaultRowHeight="12.75" zeroHeight="false" outlineLevelRow="0" outlineLevelCol="0"/>
  <sheetData>
    <row r="1" customFormat="false" ht="39" hidden="false" customHeight="false" outlineLevel="0" collapsed="false">
      <c r="A1" s="11" t="s">
        <v>95</v>
      </c>
      <c r="B1" s="11" t="s">
        <v>96</v>
      </c>
      <c r="C1" s="11" t="s">
        <v>97</v>
      </c>
    </row>
    <row r="2" customFormat="false" ht="39" hidden="false" customHeight="false" outlineLevel="0" collapsed="false">
      <c r="A2" s="12" t="n">
        <v>1</v>
      </c>
      <c r="B2" s="12" t="s">
        <v>7</v>
      </c>
      <c r="C2" s="12" t="s">
        <v>8</v>
      </c>
    </row>
    <row r="3" customFormat="false" ht="39" hidden="false" customHeight="false" outlineLevel="0" collapsed="false">
      <c r="A3" s="12" t="n">
        <v>2</v>
      </c>
      <c r="B3" s="12" t="s">
        <v>9</v>
      </c>
      <c r="C3" s="12" t="s">
        <v>10</v>
      </c>
    </row>
    <row r="4" customFormat="false" ht="51.75" hidden="false" customHeight="false" outlineLevel="0" collapsed="false">
      <c r="A4" s="12" t="n">
        <v>3</v>
      </c>
      <c r="B4" s="12" t="s">
        <v>98</v>
      </c>
      <c r="C4" s="12" t="s">
        <v>12</v>
      </c>
    </row>
    <row r="5" customFormat="false" ht="51.75" hidden="false" customHeight="false" outlineLevel="0" collapsed="false">
      <c r="A5" s="12" t="n">
        <v>4</v>
      </c>
      <c r="B5" s="12" t="s">
        <v>13</v>
      </c>
      <c r="C5" s="12" t="s">
        <v>14</v>
      </c>
    </row>
    <row r="6" customFormat="false" ht="39" hidden="false" customHeight="false" outlineLevel="0" collapsed="false">
      <c r="A6" s="12" t="n">
        <v>5</v>
      </c>
      <c r="B6" s="12" t="s">
        <v>15</v>
      </c>
      <c r="C6" s="12" t="s">
        <v>16</v>
      </c>
    </row>
    <row r="7" customFormat="false" ht="39" hidden="false" customHeight="false" outlineLevel="0" collapsed="false">
      <c r="A7" s="12" t="n">
        <v>6</v>
      </c>
      <c r="B7" s="12" t="s">
        <v>17</v>
      </c>
      <c r="C7" s="12" t="s">
        <v>18</v>
      </c>
    </row>
    <row r="8" customFormat="false" ht="39" hidden="false" customHeight="false" outlineLevel="0" collapsed="false">
      <c r="A8" s="12" t="n">
        <v>7</v>
      </c>
      <c r="B8" s="12" t="s">
        <v>19</v>
      </c>
      <c r="C8" s="12" t="s">
        <v>20</v>
      </c>
    </row>
    <row r="9" customFormat="false" ht="77.25" hidden="false" customHeight="false" outlineLevel="0" collapsed="false">
      <c r="A9" s="12" t="n">
        <v>8</v>
      </c>
      <c r="B9" s="12" t="s">
        <v>21</v>
      </c>
      <c r="C9" s="12" t="s">
        <v>22</v>
      </c>
    </row>
    <row r="10" customFormat="false" ht="51.75" hidden="false" customHeight="false" outlineLevel="0" collapsed="false">
      <c r="A10" s="12" t="n">
        <v>9</v>
      </c>
      <c r="B10" s="12" t="s">
        <v>23</v>
      </c>
      <c r="C10" s="12" t="s">
        <v>24</v>
      </c>
    </row>
    <row r="11" customFormat="false" ht="13.5" hidden="false" customHeight="false" outlineLevel="0" collapsed="false">
      <c r="A11" s="12" t="n">
        <v>10</v>
      </c>
      <c r="B11" s="12" t="s">
        <v>25</v>
      </c>
      <c r="C11" s="12" t="s">
        <v>26</v>
      </c>
    </row>
    <row r="12" customFormat="false" ht="39" hidden="false" customHeight="false" outlineLevel="0" collapsed="false">
      <c r="A12" s="12" t="n">
        <v>11</v>
      </c>
      <c r="B12" s="12" t="s">
        <v>27</v>
      </c>
      <c r="C12" s="12" t="s">
        <v>28</v>
      </c>
    </row>
    <row r="13" customFormat="false" ht="39" hidden="false" customHeight="false" outlineLevel="0" collapsed="false">
      <c r="A13" s="12" t="n">
        <v>12</v>
      </c>
      <c r="B13" s="12" t="s">
        <v>29</v>
      </c>
      <c r="C13" s="12" t="s">
        <v>30</v>
      </c>
    </row>
    <row r="14" customFormat="false" ht="51.75" hidden="false" customHeight="false" outlineLevel="0" collapsed="false">
      <c r="A14" s="12" t="n">
        <v>13</v>
      </c>
      <c r="B14" s="12" t="s">
        <v>31</v>
      </c>
      <c r="C14" s="12" t="s">
        <v>32</v>
      </c>
    </row>
    <row r="15" customFormat="false" ht="26.25" hidden="false" customHeight="false" outlineLevel="0" collapsed="false">
      <c r="A15" s="12" t="n">
        <v>14</v>
      </c>
      <c r="B15" s="12" t="s">
        <v>33</v>
      </c>
      <c r="C15" s="12" t="s">
        <v>34</v>
      </c>
    </row>
    <row r="16" customFormat="false" ht="51.75" hidden="false" customHeight="false" outlineLevel="0" collapsed="false">
      <c r="A16" s="12" t="n">
        <v>15</v>
      </c>
      <c r="B16" s="12" t="s">
        <v>35</v>
      </c>
      <c r="C16" s="12" t="s">
        <v>36</v>
      </c>
    </row>
    <row r="17" customFormat="false" ht="77.25" hidden="false" customHeight="false" outlineLevel="0" collapsed="false">
      <c r="A17" s="12" t="n">
        <v>16</v>
      </c>
      <c r="B17" s="12" t="s">
        <v>37</v>
      </c>
      <c r="C17" s="12" t="s">
        <v>38</v>
      </c>
    </row>
    <row r="18" customFormat="false" ht="51.75" hidden="false" customHeight="false" outlineLevel="0" collapsed="false">
      <c r="A18" s="12" t="n">
        <v>17</v>
      </c>
      <c r="B18" s="12" t="s">
        <v>39</v>
      </c>
      <c r="C18" s="12" t="s">
        <v>40</v>
      </c>
    </row>
    <row r="19" customFormat="false" ht="51.75" hidden="false" customHeight="false" outlineLevel="0" collapsed="false">
      <c r="A19" s="12" t="n">
        <v>18</v>
      </c>
      <c r="B19" s="12" t="s">
        <v>41</v>
      </c>
      <c r="C19" s="12" t="s">
        <v>42</v>
      </c>
    </row>
    <row r="20" customFormat="false" ht="64.5" hidden="false" customHeight="false" outlineLevel="0" collapsed="false">
      <c r="A20" s="12" t="n">
        <v>19</v>
      </c>
      <c r="B20" s="12" t="s">
        <v>43</v>
      </c>
      <c r="C20" s="12" t="s">
        <v>44</v>
      </c>
    </row>
    <row r="21" customFormat="false" ht="39" hidden="false" customHeight="false" outlineLevel="0" collapsed="false">
      <c r="A21" s="12" t="n">
        <v>20</v>
      </c>
      <c r="B21" s="12" t="s">
        <v>45</v>
      </c>
      <c r="C21" s="12" t="s">
        <v>46</v>
      </c>
    </row>
    <row r="22" customFormat="false" ht="39" hidden="false" customHeight="false" outlineLevel="0" collapsed="false">
      <c r="A22" s="12" t="n">
        <v>21</v>
      </c>
      <c r="B22" s="12" t="s">
        <v>47</v>
      </c>
      <c r="C22" s="12" t="s">
        <v>48</v>
      </c>
    </row>
    <row r="23" customFormat="false" ht="39" hidden="false" customHeight="false" outlineLevel="0" collapsed="false">
      <c r="A23" s="12" t="n">
        <v>22</v>
      </c>
      <c r="B23" s="12" t="s">
        <v>49</v>
      </c>
      <c r="C23" s="12" t="s">
        <v>50</v>
      </c>
    </row>
    <row r="24" customFormat="false" ht="26.25" hidden="false" customHeight="false" outlineLevel="0" collapsed="false">
      <c r="A24" s="12" t="n">
        <v>23</v>
      </c>
      <c r="B24" s="12" t="s">
        <v>51</v>
      </c>
      <c r="C24" s="12" t="s">
        <v>52</v>
      </c>
    </row>
    <row r="25" customFormat="false" ht="26.25" hidden="false" customHeight="false" outlineLevel="0" collapsed="false">
      <c r="A25" s="12" t="n">
        <v>24</v>
      </c>
      <c r="B25" s="12" t="s">
        <v>53</v>
      </c>
      <c r="C25" s="12" t="s">
        <v>54</v>
      </c>
    </row>
    <row r="26" customFormat="false" ht="39" hidden="false" customHeight="false" outlineLevel="0" collapsed="false">
      <c r="A26" s="12" t="n">
        <v>25</v>
      </c>
      <c r="B26" s="12" t="s">
        <v>55</v>
      </c>
      <c r="C26" s="12" t="s">
        <v>56</v>
      </c>
    </row>
    <row r="27" customFormat="false" ht="51.75" hidden="false" customHeight="false" outlineLevel="0" collapsed="false">
      <c r="A27" s="12" t="n">
        <v>26</v>
      </c>
      <c r="B27" s="12" t="s">
        <v>57</v>
      </c>
      <c r="C27" s="12" t="s">
        <v>58</v>
      </c>
    </row>
    <row r="28" customFormat="false" ht="39" hidden="false" customHeight="false" outlineLevel="0" collapsed="false">
      <c r="A28" s="12" t="n">
        <v>27</v>
      </c>
      <c r="B28" s="12" t="s">
        <v>59</v>
      </c>
      <c r="C28" s="12" t="s">
        <v>60</v>
      </c>
    </row>
    <row r="29" customFormat="false" ht="26.25" hidden="false" customHeight="false" outlineLevel="0" collapsed="false">
      <c r="A29" s="12" t="n">
        <v>28</v>
      </c>
      <c r="B29" s="12" t="s">
        <v>61</v>
      </c>
      <c r="C29" s="12" t="s">
        <v>62</v>
      </c>
    </row>
    <row r="30" customFormat="false" ht="26.25" hidden="false" customHeight="false" outlineLevel="0" collapsed="false">
      <c r="A30" s="12" t="n">
        <v>29</v>
      </c>
      <c r="B30" s="12" t="s">
        <v>63</v>
      </c>
      <c r="C30" s="12" t="s">
        <v>64</v>
      </c>
    </row>
    <row r="31" customFormat="false" ht="51.75" hidden="false" customHeight="false" outlineLevel="0" collapsed="false">
      <c r="A31" s="12" t="n">
        <v>30</v>
      </c>
      <c r="B31" s="12" t="s">
        <v>65</v>
      </c>
      <c r="C31" s="12" t="s">
        <v>66</v>
      </c>
    </row>
    <row r="32" customFormat="false" ht="51.75" hidden="false" customHeight="false" outlineLevel="0" collapsed="false">
      <c r="A32" s="12" t="n">
        <v>31</v>
      </c>
      <c r="B32" s="12" t="s">
        <v>67</v>
      </c>
      <c r="C32" s="12" t="s">
        <v>68</v>
      </c>
    </row>
    <row r="33" customFormat="false" ht="26.25" hidden="false" customHeight="false" outlineLevel="0" collapsed="false">
      <c r="A33" s="12" t="n">
        <v>32</v>
      </c>
      <c r="B33" s="12" t="s">
        <v>69</v>
      </c>
      <c r="C33" s="12" t="s">
        <v>70</v>
      </c>
    </row>
    <row r="34" customFormat="false" ht="64.5" hidden="false" customHeight="false" outlineLevel="0" collapsed="false">
      <c r="A34" s="12" t="n">
        <v>33</v>
      </c>
      <c r="B34" s="12" t="s">
        <v>71</v>
      </c>
      <c r="C34" s="12" t="s">
        <v>72</v>
      </c>
    </row>
    <row r="35" customFormat="false" ht="64.5" hidden="false" customHeight="false" outlineLevel="0" collapsed="false">
      <c r="A35" s="12" t="n">
        <v>34</v>
      </c>
      <c r="B35" s="12" t="s">
        <v>73</v>
      </c>
      <c r="C35" s="12" t="s">
        <v>74</v>
      </c>
    </row>
    <row r="36" customFormat="false" ht="39" hidden="false" customHeight="false" outlineLevel="0" collapsed="false">
      <c r="A36" s="12" t="n">
        <v>35</v>
      </c>
      <c r="B36" s="12" t="s">
        <v>75</v>
      </c>
      <c r="C36" s="12" t="s">
        <v>76</v>
      </c>
    </row>
    <row r="37" customFormat="false" ht="39" hidden="false" customHeight="false" outlineLevel="0" collapsed="false">
      <c r="A37" s="12" t="n">
        <v>36</v>
      </c>
      <c r="B37" s="12" t="s">
        <v>77</v>
      </c>
      <c r="C37" s="12" t="s">
        <v>78</v>
      </c>
    </row>
    <row r="38" customFormat="false" ht="26.25" hidden="false" customHeight="false" outlineLevel="0" collapsed="false">
      <c r="A38" s="12" t="n">
        <v>37</v>
      </c>
      <c r="B38" s="12" t="s">
        <v>79</v>
      </c>
      <c r="C38" s="12" t="s">
        <v>80</v>
      </c>
    </row>
    <row r="39" customFormat="false" ht="77.25" hidden="false" customHeight="false" outlineLevel="0" collapsed="false">
      <c r="A39" s="12" t="n">
        <v>38</v>
      </c>
      <c r="B39" s="12" t="s">
        <v>81</v>
      </c>
      <c r="C39" s="12" t="s">
        <v>82</v>
      </c>
    </row>
    <row r="40" customFormat="false" ht="51.75" hidden="false" customHeight="false" outlineLevel="0" collapsed="false">
      <c r="A40" s="12" t="n">
        <v>39</v>
      </c>
      <c r="B40" s="12" t="s">
        <v>83</v>
      </c>
      <c r="C40" s="12" t="s">
        <v>84</v>
      </c>
    </row>
    <row r="41" customFormat="false" ht="64.5" hidden="false" customHeight="false" outlineLevel="0" collapsed="false">
      <c r="A41" s="12" t="n">
        <v>40</v>
      </c>
      <c r="B41" s="12" t="s">
        <v>85</v>
      </c>
      <c r="C41" s="12" t="s">
        <v>86</v>
      </c>
    </row>
    <row r="42" customFormat="false" ht="26.25" hidden="false" customHeight="false" outlineLevel="0" collapsed="false">
      <c r="A42" s="12" t="n">
        <v>41</v>
      </c>
      <c r="B42" s="12" t="s">
        <v>87</v>
      </c>
      <c r="C42" s="12" t="s">
        <v>88</v>
      </c>
    </row>
    <row r="43" customFormat="false" ht="39" hidden="false" customHeight="false" outlineLevel="0" collapsed="false">
      <c r="A43" s="12" t="n">
        <v>42</v>
      </c>
      <c r="B43" s="12" t="s">
        <v>89</v>
      </c>
      <c r="C43" s="12" t="s">
        <v>90</v>
      </c>
    </row>
    <row r="44" customFormat="false" ht="64.5" hidden="false" customHeight="false" outlineLevel="0" collapsed="false">
      <c r="A44" s="12" t="n">
        <v>43</v>
      </c>
      <c r="B44" s="12" t="s">
        <v>91</v>
      </c>
      <c r="C44" s="12" t="s">
        <v>92</v>
      </c>
    </row>
    <row r="45" customFormat="false" ht="26.25" hidden="false" customHeight="false" outlineLevel="0" collapsed="false">
      <c r="A45" s="12" t="n">
        <v>44</v>
      </c>
      <c r="B45" s="12" t="s">
        <v>93</v>
      </c>
      <c r="C45" s="12" t="s">
        <v>94</v>
      </c>
    </row>
    <row r="46" customFormat="false" ht="39" hidden="false" customHeight="false" outlineLevel="0" collapsed="false">
      <c r="A46" s="12" t="n">
        <v>45</v>
      </c>
      <c r="B46" s="12" t="s">
        <v>99</v>
      </c>
      <c r="C46" s="12" t="s">
        <v>100</v>
      </c>
    </row>
    <row r="47" customFormat="false" ht="39" hidden="false" customHeight="false" outlineLevel="0" collapsed="false">
      <c r="A47" s="12" t="n">
        <v>46</v>
      </c>
      <c r="B47" s="12" t="s">
        <v>101</v>
      </c>
      <c r="C47" s="12" t="s">
        <v>102</v>
      </c>
    </row>
    <row r="48" customFormat="false" ht="64.5" hidden="false" customHeight="false" outlineLevel="0" collapsed="false">
      <c r="A48" s="12" t="n">
        <v>47</v>
      </c>
      <c r="B48" s="12" t="s">
        <v>103</v>
      </c>
      <c r="C48" s="12" t="s">
        <v>104</v>
      </c>
    </row>
    <row r="49" customFormat="false" ht="51.75" hidden="false" customHeight="false" outlineLevel="0" collapsed="false">
      <c r="A49" s="12" t="n">
        <v>48</v>
      </c>
      <c r="B49" s="12" t="s">
        <v>105</v>
      </c>
      <c r="C49" s="12" t="s">
        <v>106</v>
      </c>
    </row>
    <row r="50" customFormat="false" ht="26.25" hidden="false" customHeight="false" outlineLevel="0" collapsed="false">
      <c r="A50" s="12" t="n">
        <v>49</v>
      </c>
      <c r="B50" s="12" t="s">
        <v>107</v>
      </c>
      <c r="C50" s="12" t="s">
        <v>108</v>
      </c>
    </row>
    <row r="51" customFormat="false" ht="26.25" hidden="false" customHeight="false" outlineLevel="0" collapsed="false">
      <c r="A51" s="12" t="n">
        <v>50</v>
      </c>
      <c r="B51" s="12" t="s">
        <v>109</v>
      </c>
      <c r="C51" s="12" t="s">
        <v>110</v>
      </c>
    </row>
    <row r="52" customFormat="false" ht="39" hidden="false" customHeight="false" outlineLevel="0" collapsed="false">
      <c r="A52" s="12" t="n">
        <v>51</v>
      </c>
      <c r="B52" s="12" t="s">
        <v>111</v>
      </c>
      <c r="C52" s="12" t="s">
        <v>112</v>
      </c>
    </row>
    <row r="53" customFormat="false" ht="39" hidden="false" customHeight="false" outlineLevel="0" collapsed="false">
      <c r="A53" s="12" t="n">
        <v>52</v>
      </c>
      <c r="B53" s="12" t="s">
        <v>113</v>
      </c>
      <c r="C53" s="12" t="s">
        <v>114</v>
      </c>
    </row>
    <row r="54" customFormat="false" ht="51.75" hidden="false" customHeight="false" outlineLevel="0" collapsed="false">
      <c r="A54" s="12" t="n">
        <v>53</v>
      </c>
      <c r="B54" s="12" t="s">
        <v>115</v>
      </c>
      <c r="C54" s="12" t="s">
        <v>116</v>
      </c>
    </row>
    <row r="55" customFormat="false" ht="26.25" hidden="false" customHeight="false" outlineLevel="0" collapsed="false">
      <c r="A55" s="12" t="n">
        <v>54</v>
      </c>
      <c r="B55" s="12" t="s">
        <v>117</v>
      </c>
      <c r="C55" s="12" t="s">
        <v>118</v>
      </c>
    </row>
    <row r="56" customFormat="false" ht="64.5" hidden="false" customHeight="false" outlineLevel="0" collapsed="false">
      <c r="A56" s="12" t="n">
        <v>55</v>
      </c>
      <c r="B56" s="12" t="s">
        <v>119</v>
      </c>
      <c r="C56" s="12" t="s">
        <v>120</v>
      </c>
    </row>
    <row r="57" customFormat="false" ht="26.25" hidden="false" customHeight="false" outlineLevel="0" collapsed="false">
      <c r="A57" s="12" t="n">
        <v>56</v>
      </c>
      <c r="B57" s="12" t="s">
        <v>121</v>
      </c>
      <c r="C57" s="12" t="s">
        <v>122</v>
      </c>
    </row>
    <row r="58" customFormat="false" ht="26.25" hidden="false" customHeight="false" outlineLevel="0" collapsed="false">
      <c r="A58" s="12" t="n">
        <v>57</v>
      </c>
      <c r="B58" s="12" t="s">
        <v>123</v>
      </c>
      <c r="C58" s="12" t="s">
        <v>124</v>
      </c>
    </row>
    <row r="59" customFormat="false" ht="26.25" hidden="false" customHeight="false" outlineLevel="0" collapsed="false">
      <c r="A59" s="12" t="n">
        <v>58</v>
      </c>
      <c r="B59" s="12" t="s">
        <v>125</v>
      </c>
      <c r="C59" s="12" t="s">
        <v>126</v>
      </c>
    </row>
    <row r="60" customFormat="false" ht="13.5" hidden="false" customHeight="false" outlineLevel="0" collapsed="false">
      <c r="A60" s="12" t="n">
        <v>59</v>
      </c>
      <c r="B60" s="12" t="s">
        <v>127</v>
      </c>
      <c r="C60" s="12" t="s">
        <v>128</v>
      </c>
    </row>
    <row r="61" customFormat="false" ht="64.5" hidden="false" customHeight="false" outlineLevel="0" collapsed="false">
      <c r="A61" s="12" t="n">
        <v>60</v>
      </c>
      <c r="B61" s="12" t="s">
        <v>129</v>
      </c>
      <c r="C61" s="12" t="s">
        <v>130</v>
      </c>
    </row>
    <row r="62" customFormat="false" ht="26.25" hidden="false" customHeight="false" outlineLevel="0" collapsed="false">
      <c r="A62" s="12" t="n">
        <v>61</v>
      </c>
      <c r="B62" s="12" t="s">
        <v>131</v>
      </c>
      <c r="C62" s="12" t="s">
        <v>132</v>
      </c>
    </row>
    <row r="63" customFormat="false" ht="51.75" hidden="false" customHeight="false" outlineLevel="0" collapsed="false">
      <c r="A63" s="12" t="n">
        <v>62</v>
      </c>
      <c r="B63" s="12" t="s">
        <v>133</v>
      </c>
      <c r="C63" s="12" t="s">
        <v>134</v>
      </c>
    </row>
    <row r="64" customFormat="false" ht="39" hidden="false" customHeight="false" outlineLevel="0" collapsed="false">
      <c r="A64" s="12" t="n">
        <v>63</v>
      </c>
      <c r="B64" s="12" t="s">
        <v>135</v>
      </c>
      <c r="C64" s="12" t="s">
        <v>136</v>
      </c>
    </row>
    <row r="65" customFormat="false" ht="51.75" hidden="false" customHeight="false" outlineLevel="0" collapsed="false">
      <c r="A65" s="12" t="n">
        <v>64</v>
      </c>
      <c r="B65" s="12" t="s">
        <v>137</v>
      </c>
      <c r="C65" s="12" t="s">
        <v>138</v>
      </c>
    </row>
    <row r="66" customFormat="false" ht="51.75" hidden="false" customHeight="false" outlineLevel="0" collapsed="false">
      <c r="A66" s="12" t="n">
        <v>65</v>
      </c>
      <c r="B66" s="12" t="s">
        <v>139</v>
      </c>
      <c r="C66" s="12" t="s">
        <v>140</v>
      </c>
    </row>
    <row r="67" customFormat="false" ht="64.5" hidden="false" customHeight="false" outlineLevel="0" collapsed="false">
      <c r="A67" s="12" t="n">
        <v>66</v>
      </c>
      <c r="B67" s="12" t="s">
        <v>141</v>
      </c>
      <c r="C67" s="12" t="s">
        <v>142</v>
      </c>
    </row>
    <row r="68" customFormat="false" ht="39" hidden="false" customHeight="false" outlineLevel="0" collapsed="false">
      <c r="A68" s="12" t="n">
        <v>67</v>
      </c>
      <c r="B68" s="12" t="s">
        <v>143</v>
      </c>
      <c r="C68" s="12" t="s">
        <v>144</v>
      </c>
    </row>
    <row r="69" customFormat="false" ht="26.25" hidden="false" customHeight="false" outlineLevel="0" collapsed="false">
      <c r="A69" s="12" t="n">
        <v>68</v>
      </c>
      <c r="B69" s="12" t="s">
        <v>145</v>
      </c>
      <c r="C69" s="12" t="s">
        <v>146</v>
      </c>
    </row>
    <row r="70" customFormat="false" ht="26.25" hidden="false" customHeight="false" outlineLevel="0" collapsed="false">
      <c r="A70" s="12" t="n">
        <v>69</v>
      </c>
      <c r="B70" s="12" t="s">
        <v>147</v>
      </c>
      <c r="C70" s="12" t="s">
        <v>148</v>
      </c>
    </row>
    <row r="71" customFormat="false" ht="39" hidden="false" customHeight="false" outlineLevel="0" collapsed="false">
      <c r="A71" s="12" t="n">
        <v>70</v>
      </c>
      <c r="B71" s="12" t="s">
        <v>149</v>
      </c>
      <c r="C71" s="12" t="s">
        <v>150</v>
      </c>
    </row>
    <row r="72" customFormat="false" ht="39" hidden="false" customHeight="false" outlineLevel="0" collapsed="false">
      <c r="A72" s="12" t="n">
        <v>71</v>
      </c>
      <c r="B72" s="12" t="s">
        <v>151</v>
      </c>
      <c r="C72" s="12" t="s">
        <v>152</v>
      </c>
    </row>
    <row r="73" customFormat="false" ht="39" hidden="false" customHeight="false" outlineLevel="0" collapsed="false">
      <c r="A73" s="12" t="n">
        <v>72</v>
      </c>
      <c r="B73" s="12" t="s">
        <v>153</v>
      </c>
      <c r="C73" s="12" t="s">
        <v>154</v>
      </c>
    </row>
    <row r="74" customFormat="false" ht="64.5" hidden="false" customHeight="false" outlineLevel="0" collapsed="false">
      <c r="A74" s="12" t="n">
        <v>73</v>
      </c>
      <c r="B74" s="12" t="s">
        <v>155</v>
      </c>
      <c r="C74" s="12" t="s">
        <v>156</v>
      </c>
    </row>
    <row r="75" customFormat="false" ht="64.5" hidden="false" customHeight="false" outlineLevel="0" collapsed="false">
      <c r="A75" s="12" t="n">
        <v>74</v>
      </c>
      <c r="B75" s="12" t="s">
        <v>157</v>
      </c>
      <c r="C75" s="12" t="s">
        <v>158</v>
      </c>
    </row>
    <row r="76" customFormat="false" ht="26.25" hidden="false" customHeight="false" outlineLevel="0" collapsed="false">
      <c r="A76" s="12" t="n">
        <v>75</v>
      </c>
      <c r="B76" s="12" t="s">
        <v>159</v>
      </c>
      <c r="C76" s="12" t="s">
        <v>160</v>
      </c>
    </row>
    <row r="77" customFormat="false" ht="26.25" hidden="false" customHeight="false" outlineLevel="0" collapsed="false">
      <c r="A77" s="12" t="n">
        <v>76</v>
      </c>
      <c r="B77" s="12" t="s">
        <v>161</v>
      </c>
      <c r="C77" s="12" t="s">
        <v>162</v>
      </c>
    </row>
    <row r="78" customFormat="false" ht="26.25" hidden="false" customHeight="false" outlineLevel="0" collapsed="false">
      <c r="A78" s="12" t="n">
        <v>77</v>
      </c>
      <c r="B78" s="12" t="s">
        <v>163</v>
      </c>
      <c r="C78" s="12" t="s">
        <v>164</v>
      </c>
    </row>
    <row r="79" customFormat="false" ht="64.5" hidden="false" customHeight="false" outlineLevel="0" collapsed="false">
      <c r="A79" s="12" t="n">
        <v>78</v>
      </c>
      <c r="B79" s="12" t="s">
        <v>165</v>
      </c>
      <c r="C79" s="12" t="s">
        <v>166</v>
      </c>
    </row>
    <row r="80" customFormat="false" ht="26.25" hidden="false" customHeight="false" outlineLevel="0" collapsed="false">
      <c r="A80" s="12" t="n">
        <v>79</v>
      </c>
      <c r="B80" s="12" t="s">
        <v>167</v>
      </c>
      <c r="C80" s="12" t="s">
        <v>168</v>
      </c>
    </row>
    <row r="81" customFormat="false" ht="51.75" hidden="false" customHeight="false" outlineLevel="0" collapsed="false">
      <c r="A81" s="12" t="n">
        <v>80</v>
      </c>
      <c r="B81" s="12" t="s">
        <v>169</v>
      </c>
      <c r="C81" s="12" t="s">
        <v>170</v>
      </c>
    </row>
    <row r="82" customFormat="false" ht="39" hidden="false" customHeight="false" outlineLevel="0" collapsed="false">
      <c r="A82" s="12" t="n">
        <v>81</v>
      </c>
      <c r="B82" s="12" t="s">
        <v>171</v>
      </c>
      <c r="C82" s="12" t="s">
        <v>172</v>
      </c>
    </row>
    <row r="83" customFormat="false" ht="26.25" hidden="false" customHeight="false" outlineLevel="0" collapsed="false">
      <c r="A83" s="12" t="n">
        <v>82</v>
      </c>
      <c r="B83" s="12" t="s">
        <v>173</v>
      </c>
      <c r="C83" s="12" t="s">
        <v>174</v>
      </c>
    </row>
    <row r="84" customFormat="false" ht="39" hidden="false" customHeight="false" outlineLevel="0" collapsed="false">
      <c r="A84" s="12" t="n">
        <v>83</v>
      </c>
      <c r="B84" s="12" t="s">
        <v>175</v>
      </c>
      <c r="C84" s="12" t="s">
        <v>176</v>
      </c>
    </row>
    <row r="85" customFormat="false" ht="26.25" hidden="false" customHeight="false" outlineLevel="0" collapsed="false">
      <c r="A85" s="12" t="n">
        <v>84</v>
      </c>
      <c r="B85" s="12" t="s">
        <v>177</v>
      </c>
      <c r="C85" s="12" t="s">
        <v>178</v>
      </c>
    </row>
    <row r="86" customFormat="false" ht="39" hidden="false" customHeight="false" outlineLevel="0" collapsed="false">
      <c r="A86" s="12" t="n">
        <v>85</v>
      </c>
      <c r="B86" s="12" t="s">
        <v>179</v>
      </c>
      <c r="C86" s="12" t="s">
        <v>180</v>
      </c>
    </row>
    <row r="87" customFormat="false" ht="64.5" hidden="false" customHeight="false" outlineLevel="0" collapsed="false">
      <c r="A87" s="12" t="n">
        <v>86</v>
      </c>
      <c r="B87" s="12" t="s">
        <v>181</v>
      </c>
      <c r="C87" s="12" t="s">
        <v>182</v>
      </c>
    </row>
    <row r="88" customFormat="false" ht="51.75" hidden="false" customHeight="false" outlineLevel="0" collapsed="false">
      <c r="A88" s="12" t="n">
        <v>87</v>
      </c>
      <c r="B88" s="12" t="s">
        <v>183</v>
      </c>
      <c r="C88" s="12" t="s">
        <v>184</v>
      </c>
    </row>
    <row r="89" customFormat="false" ht="51.75" hidden="false" customHeight="false" outlineLevel="0" collapsed="false">
      <c r="A89" s="12" t="n">
        <v>88</v>
      </c>
      <c r="B89" s="12" t="s">
        <v>185</v>
      </c>
      <c r="C89" s="12" t="s">
        <v>186</v>
      </c>
    </row>
    <row r="90" customFormat="false" ht="39" hidden="false" customHeight="false" outlineLevel="0" collapsed="false">
      <c r="A90" s="12" t="n">
        <v>89</v>
      </c>
      <c r="B90" s="12" t="s">
        <v>187</v>
      </c>
      <c r="C90" s="12" t="s">
        <v>188</v>
      </c>
    </row>
    <row r="91" customFormat="false" ht="39" hidden="false" customHeight="false" outlineLevel="0" collapsed="false">
      <c r="A91" s="12" t="n">
        <v>90</v>
      </c>
      <c r="B91" s="12" t="s">
        <v>189</v>
      </c>
      <c r="C91" s="12" t="s">
        <v>190</v>
      </c>
    </row>
    <row r="92" customFormat="false" ht="39" hidden="false" customHeight="false" outlineLevel="0" collapsed="false">
      <c r="A92" s="12" t="n">
        <v>91</v>
      </c>
      <c r="B92" s="12" t="s">
        <v>191</v>
      </c>
      <c r="C92" s="12" t="s">
        <v>192</v>
      </c>
    </row>
    <row r="93" customFormat="false" ht="64.5" hidden="false" customHeight="false" outlineLevel="0" collapsed="false">
      <c r="A93" s="12" t="n">
        <v>92</v>
      </c>
      <c r="B93" s="12" t="s">
        <v>193</v>
      </c>
      <c r="C93" s="12" t="s">
        <v>194</v>
      </c>
    </row>
    <row r="94" customFormat="false" ht="39" hidden="false" customHeight="false" outlineLevel="0" collapsed="false">
      <c r="A94" s="12" t="n">
        <v>93</v>
      </c>
      <c r="B94" s="12" t="s">
        <v>195</v>
      </c>
      <c r="C94" s="12" t="s">
        <v>196</v>
      </c>
    </row>
    <row r="95" customFormat="false" ht="64.5" hidden="false" customHeight="false" outlineLevel="0" collapsed="false">
      <c r="A95" s="12" t="n">
        <v>94</v>
      </c>
      <c r="B95" s="12" t="s">
        <v>197</v>
      </c>
      <c r="C95" s="12" t="s">
        <v>198</v>
      </c>
    </row>
    <row r="96" customFormat="false" ht="64.5" hidden="false" customHeight="false" outlineLevel="0" collapsed="false">
      <c r="A96" s="12" t="n">
        <v>95</v>
      </c>
      <c r="B96" s="12" t="s">
        <v>199</v>
      </c>
      <c r="C96" s="12" t="s">
        <v>200</v>
      </c>
    </row>
    <row r="97" customFormat="false" ht="90" hidden="false" customHeight="false" outlineLevel="0" collapsed="false">
      <c r="A97" s="12" t="n">
        <v>96</v>
      </c>
      <c r="B97" s="12" t="s">
        <v>201</v>
      </c>
      <c r="C97" s="12" t="s">
        <v>202</v>
      </c>
    </row>
    <row r="98" customFormat="false" ht="39" hidden="false" customHeight="false" outlineLevel="0" collapsed="false">
      <c r="A98" s="12" t="n">
        <v>97</v>
      </c>
      <c r="B98" s="12" t="s">
        <v>203</v>
      </c>
      <c r="C98" s="12" t="s">
        <v>204</v>
      </c>
    </row>
    <row r="99" customFormat="false" ht="26.25" hidden="false" customHeight="false" outlineLevel="0" collapsed="false">
      <c r="A99" s="12" t="n">
        <v>98</v>
      </c>
      <c r="B99" s="12" t="s">
        <v>205</v>
      </c>
      <c r="C99" s="12" t="s">
        <v>206</v>
      </c>
    </row>
    <row r="100" customFormat="false" ht="64.5" hidden="false" customHeight="false" outlineLevel="0" collapsed="false">
      <c r="A100" s="12" t="n">
        <v>99</v>
      </c>
      <c r="B100" s="12" t="s">
        <v>207</v>
      </c>
      <c r="C100" s="12" t="s">
        <v>208</v>
      </c>
    </row>
    <row r="101" customFormat="false" ht="64.5" hidden="false" customHeight="false" outlineLevel="0" collapsed="false">
      <c r="A101" s="12" t="n">
        <v>100</v>
      </c>
      <c r="B101" s="12" t="s">
        <v>209</v>
      </c>
      <c r="C101" s="12" t="s">
        <v>210</v>
      </c>
    </row>
    <row r="102" customFormat="false" ht="39" hidden="false" customHeight="false" outlineLevel="0" collapsed="false">
      <c r="A102" s="12" t="n">
        <v>101</v>
      </c>
      <c r="B102" s="12" t="s">
        <v>211</v>
      </c>
      <c r="C102" s="12" t="s">
        <v>212</v>
      </c>
    </row>
    <row r="103" customFormat="false" ht="77.25" hidden="false" customHeight="false" outlineLevel="0" collapsed="false">
      <c r="A103" s="12" t="n">
        <v>102</v>
      </c>
      <c r="B103" s="12" t="s">
        <v>213</v>
      </c>
      <c r="C103" s="12" t="s">
        <v>214</v>
      </c>
    </row>
    <row r="104" customFormat="false" ht="39" hidden="false" customHeight="false" outlineLevel="0" collapsed="false">
      <c r="A104" s="12" t="n">
        <v>103</v>
      </c>
      <c r="B104" s="12" t="s">
        <v>215</v>
      </c>
      <c r="C104" s="12" t="s">
        <v>216</v>
      </c>
    </row>
    <row r="105" customFormat="false" ht="26.25" hidden="false" customHeight="false" outlineLevel="0" collapsed="false">
      <c r="A105" s="12" t="n">
        <v>104</v>
      </c>
      <c r="B105" s="12" t="s">
        <v>217</v>
      </c>
      <c r="C105" s="12" t="s">
        <v>218</v>
      </c>
    </row>
    <row r="106" customFormat="false" ht="26.25" hidden="false" customHeight="false" outlineLevel="0" collapsed="false">
      <c r="A106" s="12" t="n">
        <v>105</v>
      </c>
      <c r="B106" s="12" t="s">
        <v>219</v>
      </c>
      <c r="C106" s="12" t="s">
        <v>220</v>
      </c>
    </row>
    <row r="107" customFormat="false" ht="64.5" hidden="false" customHeight="false" outlineLevel="0" collapsed="false">
      <c r="A107" s="12" t="n">
        <v>106</v>
      </c>
      <c r="B107" s="12" t="s">
        <v>221</v>
      </c>
      <c r="C107" s="12" t="s">
        <v>222</v>
      </c>
    </row>
    <row r="108" customFormat="false" ht="77.25" hidden="false" customHeight="false" outlineLevel="0" collapsed="false">
      <c r="A108" s="12" t="n">
        <v>107</v>
      </c>
      <c r="B108" s="12" t="s">
        <v>223</v>
      </c>
      <c r="C108" s="12" t="s">
        <v>224</v>
      </c>
    </row>
    <row r="109" customFormat="false" ht="26.25" hidden="false" customHeight="false" outlineLevel="0" collapsed="false">
      <c r="A109" s="12" t="n">
        <v>108</v>
      </c>
      <c r="B109" s="12" t="s">
        <v>225</v>
      </c>
      <c r="C109" s="12" t="s">
        <v>226</v>
      </c>
    </row>
    <row r="110" customFormat="false" ht="51.75" hidden="false" customHeight="false" outlineLevel="0" collapsed="false">
      <c r="A110" s="12" t="n">
        <v>109</v>
      </c>
      <c r="B110" s="12" t="s">
        <v>227</v>
      </c>
      <c r="C110" s="12" t="s">
        <v>228</v>
      </c>
    </row>
    <row r="111" customFormat="false" ht="51.75" hidden="false" customHeight="false" outlineLevel="0" collapsed="false">
      <c r="A111" s="12" t="n">
        <v>110</v>
      </c>
      <c r="B111" s="12" t="s">
        <v>229</v>
      </c>
      <c r="C111" s="12" t="s">
        <v>230</v>
      </c>
    </row>
    <row r="112" customFormat="false" ht="51.75" hidden="false" customHeight="false" outlineLevel="0" collapsed="false">
      <c r="A112" s="12" t="n">
        <v>111</v>
      </c>
      <c r="B112" s="12" t="s">
        <v>231</v>
      </c>
      <c r="C112" s="12" t="s">
        <v>232</v>
      </c>
    </row>
    <row r="113" customFormat="false" ht="51.75" hidden="false" customHeight="false" outlineLevel="0" collapsed="false">
      <c r="A113" s="12" t="n">
        <v>112</v>
      </c>
      <c r="B113" s="12" t="s">
        <v>233</v>
      </c>
      <c r="C113" s="12" t="s">
        <v>234</v>
      </c>
    </row>
    <row r="114" customFormat="false" ht="26.25" hidden="false" customHeight="false" outlineLevel="0" collapsed="false">
      <c r="A114" s="12" t="n">
        <v>113</v>
      </c>
      <c r="B114" s="12" t="s">
        <v>235</v>
      </c>
      <c r="C114" s="12" t="s">
        <v>236</v>
      </c>
    </row>
    <row r="115" customFormat="false" ht="39" hidden="false" customHeight="false" outlineLevel="0" collapsed="false">
      <c r="A115" s="12" t="n">
        <v>114</v>
      </c>
      <c r="B115" s="12" t="s">
        <v>237</v>
      </c>
      <c r="C115" s="12" t="s">
        <v>238</v>
      </c>
    </row>
    <row r="116" customFormat="false" ht="51.75" hidden="false" customHeight="false" outlineLevel="0" collapsed="false">
      <c r="A116" s="12" t="n">
        <v>115</v>
      </c>
      <c r="B116" s="12" t="s">
        <v>239</v>
      </c>
      <c r="C116" s="12" t="s">
        <v>240</v>
      </c>
    </row>
    <row r="117" customFormat="false" ht="26.25" hidden="false" customHeight="false" outlineLevel="0" collapsed="false">
      <c r="A117" s="12" t="n">
        <v>116</v>
      </c>
      <c r="B117" s="12" t="s">
        <v>241</v>
      </c>
      <c r="C117" s="12" t="s">
        <v>242</v>
      </c>
    </row>
    <row r="118" customFormat="false" ht="39" hidden="false" customHeight="false" outlineLevel="0" collapsed="false">
      <c r="A118" s="12" t="n">
        <v>117</v>
      </c>
      <c r="B118" s="12" t="s">
        <v>243</v>
      </c>
      <c r="C118" s="12" t="s">
        <v>244</v>
      </c>
    </row>
    <row r="119" customFormat="false" ht="51.75" hidden="false" customHeight="false" outlineLevel="0" collapsed="false">
      <c r="A119" s="12" t="n">
        <v>118</v>
      </c>
      <c r="B119" s="12" t="s">
        <v>245</v>
      </c>
      <c r="C119" s="12" t="s">
        <v>246</v>
      </c>
    </row>
    <row r="120" customFormat="false" ht="13.5" hidden="false" customHeight="false" outlineLevel="0" collapsed="false">
      <c r="A120" s="12" t="n">
        <v>119</v>
      </c>
      <c r="B120" s="12" t="s">
        <v>247</v>
      </c>
      <c r="C120" s="12" t="s">
        <v>248</v>
      </c>
    </row>
    <row r="121" customFormat="false" ht="64.5" hidden="false" customHeight="false" outlineLevel="0" collapsed="false">
      <c r="A121" s="12" t="n">
        <v>120</v>
      </c>
      <c r="B121" s="12" t="s">
        <v>249</v>
      </c>
      <c r="C121" s="12" t="s">
        <v>250</v>
      </c>
    </row>
    <row r="122" customFormat="false" ht="26.25" hidden="false" customHeight="false" outlineLevel="0" collapsed="false">
      <c r="A122" s="12" t="n">
        <v>121</v>
      </c>
      <c r="B122" s="12" t="s">
        <v>251</v>
      </c>
      <c r="C122" s="12" t="s">
        <v>252</v>
      </c>
    </row>
    <row r="123" customFormat="false" ht="51.75" hidden="false" customHeight="false" outlineLevel="0" collapsed="false">
      <c r="A123" s="12" t="n">
        <v>122</v>
      </c>
      <c r="B123" s="12" t="s">
        <v>253</v>
      </c>
      <c r="C123" s="12" t="s">
        <v>254</v>
      </c>
    </row>
    <row r="124" customFormat="false" ht="39" hidden="false" customHeight="false" outlineLevel="0" collapsed="false">
      <c r="A124" s="12" t="n">
        <v>123</v>
      </c>
      <c r="B124" s="12" t="s">
        <v>255</v>
      </c>
      <c r="C124" s="12" t="s">
        <v>256</v>
      </c>
    </row>
    <row r="125" customFormat="false" ht="51.75" hidden="false" customHeight="false" outlineLevel="0" collapsed="false">
      <c r="A125" s="12" t="n">
        <v>124</v>
      </c>
      <c r="B125" s="12" t="s">
        <v>257</v>
      </c>
      <c r="C125" s="12" t="s">
        <v>258</v>
      </c>
    </row>
    <row r="126" customFormat="false" ht="26.25" hidden="false" customHeight="false" outlineLevel="0" collapsed="false">
      <c r="A126" s="12" t="n">
        <v>125</v>
      </c>
      <c r="B126" s="12" t="s">
        <v>259</v>
      </c>
      <c r="C126" s="12" t="s">
        <v>260</v>
      </c>
    </row>
    <row r="127" customFormat="false" ht="51.75" hidden="false" customHeight="false" outlineLevel="0" collapsed="false">
      <c r="A127" s="12" t="n">
        <v>126</v>
      </c>
      <c r="B127" s="12" t="s">
        <v>261</v>
      </c>
      <c r="C127" s="12" t="s">
        <v>262</v>
      </c>
    </row>
    <row r="128" customFormat="false" ht="51.75" hidden="false" customHeight="false" outlineLevel="0" collapsed="false">
      <c r="A128" s="12" t="n">
        <v>127</v>
      </c>
      <c r="B128" s="12" t="s">
        <v>263</v>
      </c>
      <c r="C128" s="12" t="s">
        <v>264</v>
      </c>
    </row>
    <row r="129" customFormat="false" ht="13.5" hidden="false" customHeight="false" outlineLevel="0" collapsed="false">
      <c r="A129" s="12" t="n">
        <v>128</v>
      </c>
      <c r="B129" s="12" t="s">
        <v>265</v>
      </c>
      <c r="C129" s="12" t="s">
        <v>266</v>
      </c>
    </row>
    <row r="130" customFormat="false" ht="51.75" hidden="false" customHeight="false" outlineLevel="0" collapsed="false">
      <c r="A130" s="12" t="n">
        <v>129</v>
      </c>
      <c r="B130" s="12" t="s">
        <v>267</v>
      </c>
      <c r="C130" s="12" t="s">
        <v>268</v>
      </c>
    </row>
    <row r="131" customFormat="false" ht="51.75" hidden="false" customHeight="false" outlineLevel="0" collapsed="false">
      <c r="A131" s="12" t="n">
        <v>130</v>
      </c>
      <c r="B131" s="12" t="s">
        <v>269</v>
      </c>
      <c r="C131" s="12" t="s">
        <v>270</v>
      </c>
    </row>
    <row r="132" customFormat="false" ht="51.75" hidden="false" customHeight="false" outlineLevel="0" collapsed="false">
      <c r="A132" s="12" t="n">
        <v>131</v>
      </c>
      <c r="B132" s="12" t="s">
        <v>271</v>
      </c>
      <c r="C132" s="12" t="s">
        <v>272</v>
      </c>
    </row>
    <row r="133" customFormat="false" ht="51.75" hidden="false" customHeight="false" outlineLevel="0" collapsed="false">
      <c r="A133" s="12" t="n">
        <v>132</v>
      </c>
      <c r="B133" s="12" t="s">
        <v>273</v>
      </c>
      <c r="C133" s="12" t="s">
        <v>274</v>
      </c>
    </row>
    <row r="134" customFormat="false" ht="90" hidden="false" customHeight="false" outlineLevel="0" collapsed="false">
      <c r="A134" s="12" t="n">
        <v>133</v>
      </c>
      <c r="B134" s="12" t="s">
        <v>275</v>
      </c>
      <c r="C134" s="12" t="s">
        <v>276</v>
      </c>
    </row>
    <row r="135" customFormat="false" ht="26.25" hidden="false" customHeight="false" outlineLevel="0" collapsed="false">
      <c r="A135" s="12" t="n">
        <v>134</v>
      </c>
      <c r="B135" s="12" t="s">
        <v>277</v>
      </c>
      <c r="C135" s="12" t="s">
        <v>278</v>
      </c>
    </row>
    <row r="136" customFormat="false" ht="51.75" hidden="false" customHeight="false" outlineLevel="0" collapsed="false">
      <c r="A136" s="12" t="n">
        <v>135</v>
      </c>
      <c r="B136" s="12" t="s">
        <v>279</v>
      </c>
      <c r="C136" s="12" t="s">
        <v>280</v>
      </c>
    </row>
    <row r="137" customFormat="false" ht="39" hidden="false" customHeight="false" outlineLevel="0" collapsed="false">
      <c r="A137" s="12" t="n">
        <v>136</v>
      </c>
      <c r="B137" s="12" t="s">
        <v>281</v>
      </c>
      <c r="C137" s="12" t="s">
        <v>282</v>
      </c>
    </row>
    <row r="138" customFormat="false" ht="64.5" hidden="false" customHeight="false" outlineLevel="0" collapsed="false">
      <c r="A138" s="12" t="n">
        <v>137</v>
      </c>
      <c r="B138" s="12" t="s">
        <v>283</v>
      </c>
      <c r="C138" s="12" t="s">
        <v>284</v>
      </c>
    </row>
    <row r="139" customFormat="false" ht="26.25" hidden="false" customHeight="false" outlineLevel="0" collapsed="false">
      <c r="A139" s="12" t="n">
        <v>138</v>
      </c>
      <c r="B139" s="12" t="s">
        <v>285</v>
      </c>
      <c r="C139" s="12" t="s">
        <v>286</v>
      </c>
    </row>
    <row r="140" customFormat="false" ht="26.25" hidden="false" customHeight="false" outlineLevel="0" collapsed="false">
      <c r="A140" s="12" t="n">
        <v>139</v>
      </c>
      <c r="B140" s="12" t="s">
        <v>287</v>
      </c>
      <c r="C140" s="12" t="s">
        <v>288</v>
      </c>
    </row>
    <row r="141" customFormat="false" ht="39" hidden="false" customHeight="false" outlineLevel="0" collapsed="false">
      <c r="A141" s="12" t="n">
        <v>140</v>
      </c>
      <c r="B141" s="12" t="s">
        <v>289</v>
      </c>
      <c r="C141" s="12" t="s">
        <v>290</v>
      </c>
    </row>
    <row r="142" customFormat="false" ht="13.5" hidden="false" customHeight="false" outlineLevel="0" collapsed="false">
      <c r="A142" s="12" t="n">
        <v>141</v>
      </c>
      <c r="B142" s="12" t="s">
        <v>291</v>
      </c>
      <c r="C142" s="12" t="s">
        <v>291</v>
      </c>
    </row>
    <row r="143" customFormat="false" ht="13.5" hidden="false" customHeight="false" outlineLevel="0" collapsed="false">
      <c r="A143" s="12" t="n">
        <v>142</v>
      </c>
      <c r="B143" s="12" t="s">
        <v>292</v>
      </c>
      <c r="C143" s="12" t="s">
        <v>292</v>
      </c>
    </row>
    <row r="144" customFormat="false" ht="77.25" hidden="false" customHeight="false" outlineLevel="0" collapsed="false">
      <c r="A144" s="12" t="n">
        <v>143</v>
      </c>
      <c r="B144" s="12" t="s">
        <v>293</v>
      </c>
      <c r="C144" s="12" t="s">
        <v>294</v>
      </c>
    </row>
    <row r="145" customFormat="false" ht="77.25" hidden="false" customHeight="false" outlineLevel="0" collapsed="false">
      <c r="A145" s="12" t="n">
        <v>144</v>
      </c>
      <c r="B145" s="12" t="s">
        <v>295</v>
      </c>
      <c r="C145" s="12" t="s">
        <v>296</v>
      </c>
    </row>
    <row r="146" customFormat="false" ht="64.5" hidden="false" customHeight="false" outlineLevel="0" collapsed="false">
      <c r="A146" s="12" t="n">
        <v>145</v>
      </c>
      <c r="B146" s="12" t="s">
        <v>297</v>
      </c>
      <c r="C146" s="12" t="s">
        <v>298</v>
      </c>
    </row>
    <row r="147" customFormat="false" ht="51.75" hidden="false" customHeight="false" outlineLevel="0" collapsed="false">
      <c r="A147" s="12" t="n">
        <v>146</v>
      </c>
      <c r="B147" s="12" t="s">
        <v>299</v>
      </c>
      <c r="C147" s="12" t="s">
        <v>300</v>
      </c>
    </row>
    <row r="148" customFormat="false" ht="39" hidden="false" customHeight="false" outlineLevel="0" collapsed="false">
      <c r="A148" s="12" t="n">
        <v>147</v>
      </c>
      <c r="B148" s="12" t="s">
        <v>301</v>
      </c>
      <c r="C148" s="12" t="s">
        <v>302</v>
      </c>
    </row>
    <row r="149" customFormat="false" ht="13.5" hidden="false" customHeight="false" outlineLevel="0" collapsed="false">
      <c r="A149" s="12" t="n">
        <v>148</v>
      </c>
      <c r="B149" s="12" t="s">
        <v>303</v>
      </c>
      <c r="C149" s="12" t="s">
        <v>303</v>
      </c>
    </row>
    <row r="150" customFormat="false" ht="51.75" hidden="false" customHeight="false" outlineLevel="0" collapsed="false">
      <c r="A150" s="12" t="n">
        <v>149</v>
      </c>
      <c r="B150" s="12" t="s">
        <v>304</v>
      </c>
      <c r="C150" s="12" t="s">
        <v>305</v>
      </c>
    </row>
    <row r="151" customFormat="false" ht="26.25" hidden="false" customHeight="false" outlineLevel="0" collapsed="false">
      <c r="A151" s="12" t="n">
        <v>150</v>
      </c>
      <c r="B151" s="12" t="s">
        <v>306</v>
      </c>
      <c r="C151" s="12" t="s">
        <v>118</v>
      </c>
    </row>
    <row r="152" customFormat="false" ht="64.5" hidden="false" customHeight="false" outlineLevel="0" collapsed="false">
      <c r="A152" s="12" t="n">
        <v>151</v>
      </c>
      <c r="B152" s="12" t="s">
        <v>307</v>
      </c>
      <c r="C152" s="12" t="s">
        <v>308</v>
      </c>
    </row>
    <row r="153" customFormat="false" ht="26.25" hidden="false" customHeight="false" outlineLevel="0" collapsed="false">
      <c r="A153" s="12" t="n">
        <v>152</v>
      </c>
      <c r="B153" s="12" t="s">
        <v>309</v>
      </c>
      <c r="C153" s="12" t="s">
        <v>310</v>
      </c>
    </row>
    <row r="154" customFormat="false" ht="13.5" hidden="false" customHeight="false" outlineLevel="0" collapsed="false">
      <c r="A154" s="12" t="n">
        <v>153</v>
      </c>
      <c r="B154" s="12" t="s">
        <v>311</v>
      </c>
      <c r="C154" s="12" t="s">
        <v>312</v>
      </c>
    </row>
    <row r="155" customFormat="false" ht="39" hidden="false" customHeight="false" outlineLevel="0" collapsed="false">
      <c r="A155" s="12" t="n">
        <v>154</v>
      </c>
      <c r="B155" s="12" t="s">
        <v>313</v>
      </c>
      <c r="C155" s="12" t="s">
        <v>314</v>
      </c>
    </row>
    <row r="156" customFormat="false" ht="26.25" hidden="false" customHeight="false" outlineLevel="0" collapsed="false">
      <c r="A156" s="12" t="n">
        <v>155</v>
      </c>
      <c r="B156" s="12" t="s">
        <v>315</v>
      </c>
      <c r="C156" s="12" t="s">
        <v>316</v>
      </c>
    </row>
    <row r="157" customFormat="false" ht="39" hidden="false" customHeight="false" outlineLevel="0" collapsed="false">
      <c r="A157" s="12" t="n">
        <v>156</v>
      </c>
      <c r="B157" s="12" t="s">
        <v>317</v>
      </c>
      <c r="C157" s="12" t="s">
        <v>318</v>
      </c>
    </row>
    <row r="158" customFormat="false" ht="13.5" hidden="false" customHeight="false" outlineLevel="0" collapsed="false">
      <c r="A158" s="12" t="n">
        <v>157</v>
      </c>
      <c r="B158" s="12" t="s">
        <v>319</v>
      </c>
      <c r="C158" s="12" t="s">
        <v>320</v>
      </c>
    </row>
    <row r="159" customFormat="false" ht="13.5" hidden="false" customHeight="false" outlineLevel="0" collapsed="false">
      <c r="A159" s="12" t="n">
        <v>158</v>
      </c>
      <c r="B159" s="12" t="s">
        <v>321</v>
      </c>
      <c r="C159" s="12" t="s">
        <v>322</v>
      </c>
    </row>
    <row r="160" customFormat="false" ht="26.25" hidden="false" customHeight="false" outlineLevel="0" collapsed="false">
      <c r="A160" s="12" t="n">
        <v>159</v>
      </c>
      <c r="B160" s="12" t="s">
        <v>323</v>
      </c>
      <c r="C160" s="12" t="s">
        <v>324</v>
      </c>
    </row>
    <row r="161" customFormat="false" ht="39" hidden="false" customHeight="false" outlineLevel="0" collapsed="false">
      <c r="A161" s="12" t="n">
        <v>160</v>
      </c>
      <c r="B161" s="12" t="s">
        <v>325</v>
      </c>
      <c r="C161" s="12" t="s">
        <v>326</v>
      </c>
    </row>
    <row r="162" customFormat="false" ht="51.75" hidden="false" customHeight="false" outlineLevel="0" collapsed="false">
      <c r="A162" s="12" t="n">
        <v>161</v>
      </c>
      <c r="B162" s="12" t="s">
        <v>327</v>
      </c>
      <c r="C162" s="12" t="s">
        <v>328</v>
      </c>
    </row>
    <row r="163" customFormat="false" ht="39" hidden="false" customHeight="false" outlineLevel="0" collapsed="false">
      <c r="A163" s="12" t="n">
        <v>162</v>
      </c>
      <c r="B163" s="12" t="s">
        <v>329</v>
      </c>
      <c r="C163" s="12" t="s">
        <v>330</v>
      </c>
    </row>
    <row r="164" customFormat="false" ht="39" hidden="false" customHeight="false" outlineLevel="0" collapsed="false">
      <c r="A164" s="12" t="n">
        <v>163</v>
      </c>
      <c r="B164" s="12" t="s">
        <v>331</v>
      </c>
      <c r="C164" s="12" t="s">
        <v>332</v>
      </c>
    </row>
    <row r="165" customFormat="false" ht="51.75" hidden="false" customHeight="false" outlineLevel="0" collapsed="false">
      <c r="A165" s="12" t="n">
        <v>164</v>
      </c>
      <c r="B165" s="12" t="s">
        <v>333</v>
      </c>
      <c r="C165" s="12" t="s">
        <v>334</v>
      </c>
    </row>
    <row r="166" customFormat="false" ht="64.5" hidden="false" customHeight="false" outlineLevel="0" collapsed="false">
      <c r="A166" s="12" t="n">
        <v>165</v>
      </c>
      <c r="B166" s="12" t="s">
        <v>335</v>
      </c>
      <c r="C166" s="12" t="s">
        <v>336</v>
      </c>
    </row>
    <row r="167" customFormat="false" ht="39" hidden="false" customHeight="false" outlineLevel="0" collapsed="false">
      <c r="A167" s="12" t="n">
        <v>166</v>
      </c>
      <c r="B167" s="12" t="s">
        <v>337</v>
      </c>
      <c r="C167" s="12" t="s">
        <v>338</v>
      </c>
    </row>
    <row r="168" customFormat="false" ht="64.5" hidden="false" customHeight="false" outlineLevel="0" collapsed="false">
      <c r="A168" s="12" t="n">
        <v>167</v>
      </c>
      <c r="B168" s="12" t="s">
        <v>339</v>
      </c>
      <c r="C168" s="12" t="s">
        <v>340</v>
      </c>
    </row>
    <row r="169" customFormat="false" ht="26.25" hidden="false" customHeight="false" outlineLevel="0" collapsed="false">
      <c r="A169" s="12" t="n">
        <v>168</v>
      </c>
      <c r="B169" s="12" t="s">
        <v>341</v>
      </c>
      <c r="C169" s="12" t="s">
        <v>342</v>
      </c>
    </row>
    <row r="170" customFormat="false" ht="39" hidden="false" customHeight="false" outlineLevel="0" collapsed="false">
      <c r="A170" s="12" t="n">
        <v>169</v>
      </c>
      <c r="B170" s="12" t="s">
        <v>343</v>
      </c>
      <c r="C170" s="12" t="s">
        <v>344</v>
      </c>
    </row>
    <row r="171" customFormat="false" ht="26.25" hidden="false" customHeight="false" outlineLevel="0" collapsed="false">
      <c r="A171" s="12" t="n">
        <v>170</v>
      </c>
      <c r="B171" s="12" t="s">
        <v>345</v>
      </c>
      <c r="C171" s="12" t="s">
        <v>346</v>
      </c>
    </row>
    <row r="172" customFormat="false" ht="26.25" hidden="false" customHeight="false" outlineLevel="0" collapsed="false">
      <c r="A172" s="12" t="n">
        <v>171</v>
      </c>
      <c r="B172" s="12" t="s">
        <v>347</v>
      </c>
      <c r="C172" s="12" t="s">
        <v>348</v>
      </c>
    </row>
    <row r="173" customFormat="false" ht="39" hidden="false" customHeight="false" outlineLevel="0" collapsed="false">
      <c r="A173" s="12" t="n">
        <v>172</v>
      </c>
      <c r="B173" s="12" t="s">
        <v>349</v>
      </c>
      <c r="C173" s="12" t="s">
        <v>350</v>
      </c>
    </row>
    <row r="174" customFormat="false" ht="51.75" hidden="false" customHeight="false" outlineLevel="0" collapsed="false">
      <c r="A174" s="12" t="n">
        <v>173</v>
      </c>
      <c r="B174" s="12" t="s">
        <v>351</v>
      </c>
      <c r="C174" s="12" t="s">
        <v>352</v>
      </c>
    </row>
    <row r="175" customFormat="false" ht="51.75" hidden="false" customHeight="false" outlineLevel="0" collapsed="false">
      <c r="A175" s="12" t="n">
        <v>174</v>
      </c>
      <c r="B175" s="12" t="s">
        <v>353</v>
      </c>
      <c r="C175" s="12" t="s">
        <v>354</v>
      </c>
    </row>
    <row r="176" customFormat="false" ht="26.25" hidden="false" customHeight="false" outlineLevel="0" collapsed="false">
      <c r="A176" s="12" t="n">
        <v>175</v>
      </c>
      <c r="B176" s="12" t="s">
        <v>355</v>
      </c>
      <c r="C176" s="12" t="s">
        <v>356</v>
      </c>
    </row>
    <row r="177" customFormat="false" ht="64.5" hidden="false" customHeight="false" outlineLevel="0" collapsed="false">
      <c r="A177" s="12" t="n">
        <v>176</v>
      </c>
      <c r="B177" s="12" t="s">
        <v>357</v>
      </c>
      <c r="C177" s="12" t="s">
        <v>358</v>
      </c>
    </row>
    <row r="178" customFormat="false" ht="51.75" hidden="false" customHeight="false" outlineLevel="0" collapsed="false">
      <c r="A178" s="12" t="n">
        <v>177</v>
      </c>
      <c r="B178" s="12" t="s">
        <v>359</v>
      </c>
      <c r="C178" s="12" t="s">
        <v>360</v>
      </c>
    </row>
    <row r="179" customFormat="false" ht="26.25" hidden="false" customHeight="false" outlineLevel="0" collapsed="false">
      <c r="A179" s="12" t="n">
        <v>178</v>
      </c>
      <c r="B179" s="12" t="s">
        <v>361</v>
      </c>
      <c r="C179" s="12" t="s">
        <v>362</v>
      </c>
    </row>
    <row r="180" customFormat="false" ht="39" hidden="false" customHeight="false" outlineLevel="0" collapsed="false">
      <c r="A180" s="12" t="n">
        <v>179</v>
      </c>
      <c r="B180" s="12" t="s">
        <v>363</v>
      </c>
      <c r="C180" s="12" t="s">
        <v>364</v>
      </c>
    </row>
    <row r="181" customFormat="false" ht="51.75" hidden="false" customHeight="false" outlineLevel="0" collapsed="false">
      <c r="A181" s="12" t="n">
        <v>180</v>
      </c>
      <c r="B181" s="12" t="s">
        <v>365</v>
      </c>
      <c r="C181" s="12" t="s">
        <v>366</v>
      </c>
    </row>
    <row r="182" customFormat="false" ht="39" hidden="false" customHeight="false" outlineLevel="0" collapsed="false">
      <c r="A182" s="12" t="n">
        <v>181</v>
      </c>
      <c r="B182" s="12" t="s">
        <v>367</v>
      </c>
      <c r="C182" s="12" t="s">
        <v>368</v>
      </c>
    </row>
    <row r="183" customFormat="false" ht="51.75" hidden="false" customHeight="false" outlineLevel="0" collapsed="false">
      <c r="A183" s="12" t="n">
        <v>182</v>
      </c>
      <c r="B183" s="12" t="s">
        <v>369</v>
      </c>
      <c r="C183" s="12" t="s">
        <v>370</v>
      </c>
    </row>
    <row r="184" customFormat="false" ht="26.25" hidden="false" customHeight="false" outlineLevel="0" collapsed="false">
      <c r="A184" s="12" t="n">
        <v>183</v>
      </c>
      <c r="B184" s="12" t="s">
        <v>371</v>
      </c>
      <c r="C184" s="12" t="s">
        <v>372</v>
      </c>
    </row>
    <row r="185" customFormat="false" ht="51.75" hidden="false" customHeight="false" outlineLevel="0" collapsed="false">
      <c r="A185" s="12" t="n">
        <v>184</v>
      </c>
      <c r="B185" s="12" t="s">
        <v>373</v>
      </c>
      <c r="C185" s="12" t="s">
        <v>374</v>
      </c>
    </row>
    <row r="186" customFormat="false" ht="39" hidden="false" customHeight="false" outlineLevel="0" collapsed="false">
      <c r="A186" s="12" t="n">
        <v>185</v>
      </c>
      <c r="B186" s="12" t="s">
        <v>375</v>
      </c>
      <c r="C186" s="12" t="s">
        <v>376</v>
      </c>
    </row>
    <row r="187" customFormat="false" ht="39" hidden="false" customHeight="false" outlineLevel="0" collapsed="false">
      <c r="A187" s="12" t="n">
        <v>186</v>
      </c>
      <c r="B187" s="12" t="s">
        <v>377</v>
      </c>
      <c r="C187" s="12" t="s">
        <v>378</v>
      </c>
    </row>
    <row r="188" customFormat="false" ht="26.25" hidden="false" customHeight="false" outlineLevel="0" collapsed="false">
      <c r="A188" s="12" t="n">
        <v>187</v>
      </c>
      <c r="B188" s="12" t="s">
        <v>379</v>
      </c>
      <c r="C188" s="12" t="s">
        <v>380</v>
      </c>
    </row>
    <row r="189" customFormat="false" ht="51.75" hidden="false" customHeight="false" outlineLevel="0" collapsed="false">
      <c r="A189" s="12" t="n">
        <v>188</v>
      </c>
      <c r="B189" s="12" t="s">
        <v>381</v>
      </c>
      <c r="C189" s="12" t="s">
        <v>382</v>
      </c>
    </row>
    <row r="190" customFormat="false" ht="26.25" hidden="false" customHeight="false" outlineLevel="0" collapsed="false">
      <c r="A190" s="12" t="n">
        <v>189</v>
      </c>
      <c r="B190" s="12" t="s">
        <v>383</v>
      </c>
      <c r="C190" s="12" t="s">
        <v>384</v>
      </c>
    </row>
    <row r="191" customFormat="false" ht="64.5" hidden="false" customHeight="false" outlineLevel="0" collapsed="false">
      <c r="A191" s="12" t="n">
        <v>190</v>
      </c>
      <c r="B191" s="12" t="s">
        <v>385</v>
      </c>
      <c r="C191" s="12" t="s">
        <v>386</v>
      </c>
    </row>
    <row r="192" customFormat="false" ht="51.75" hidden="false" customHeight="false" outlineLevel="0" collapsed="false">
      <c r="A192" s="12" t="n">
        <v>191</v>
      </c>
      <c r="B192" s="12" t="s">
        <v>387</v>
      </c>
      <c r="C192" s="12" t="s">
        <v>388</v>
      </c>
    </row>
    <row r="193" customFormat="false" ht="39" hidden="false" customHeight="false" outlineLevel="0" collapsed="false">
      <c r="A193" s="12" t="n">
        <v>192</v>
      </c>
      <c r="B193" s="12" t="s">
        <v>389</v>
      </c>
      <c r="C193" s="12" t="s">
        <v>390</v>
      </c>
    </row>
    <row r="194" customFormat="false" ht="26.25" hidden="false" customHeight="false" outlineLevel="0" collapsed="false">
      <c r="A194" s="12" t="n">
        <v>193</v>
      </c>
      <c r="B194" s="12" t="s">
        <v>391</v>
      </c>
      <c r="C194" s="12" t="s">
        <v>392</v>
      </c>
    </row>
    <row r="195" customFormat="false" ht="26.25" hidden="false" customHeight="false" outlineLevel="0" collapsed="false">
      <c r="A195" s="12" t="n">
        <v>194</v>
      </c>
      <c r="B195" s="12" t="s">
        <v>393</v>
      </c>
      <c r="C195" s="12" t="s">
        <v>394</v>
      </c>
    </row>
    <row r="196" customFormat="false" ht="26.25" hidden="false" customHeight="false" outlineLevel="0" collapsed="false">
      <c r="A196" s="12" t="n">
        <v>195</v>
      </c>
      <c r="B196" s="12" t="s">
        <v>395</v>
      </c>
      <c r="C196" s="12" t="s">
        <v>396</v>
      </c>
    </row>
    <row r="197" customFormat="false" ht="39" hidden="false" customHeight="false" outlineLevel="0" collapsed="false">
      <c r="A197" s="12" t="n">
        <v>196</v>
      </c>
      <c r="B197" s="12" t="s">
        <v>397</v>
      </c>
      <c r="C197" s="12" t="s">
        <v>398</v>
      </c>
    </row>
    <row r="198" customFormat="false" ht="39" hidden="false" customHeight="false" outlineLevel="0" collapsed="false">
      <c r="A198" s="12" t="n">
        <v>197</v>
      </c>
      <c r="B198" s="12" t="s">
        <v>399</v>
      </c>
      <c r="C198" s="12" t="s">
        <v>400</v>
      </c>
    </row>
    <row r="199" customFormat="false" ht="39" hidden="false" customHeight="false" outlineLevel="0" collapsed="false">
      <c r="A199" s="12" t="n">
        <v>198</v>
      </c>
      <c r="B199" s="12" t="s">
        <v>401</v>
      </c>
      <c r="C199" s="12" t="s">
        <v>402</v>
      </c>
    </row>
    <row r="200" customFormat="false" ht="51.75" hidden="false" customHeight="false" outlineLevel="0" collapsed="false">
      <c r="A200" s="12" t="n">
        <v>199</v>
      </c>
      <c r="B200" s="12" t="s">
        <v>403</v>
      </c>
      <c r="C200" s="12" t="s">
        <v>404</v>
      </c>
    </row>
    <row r="201" customFormat="false" ht="26.25" hidden="false" customHeight="false" outlineLevel="0" collapsed="false">
      <c r="A201" s="12" t="n">
        <v>200</v>
      </c>
      <c r="B201" s="12" t="s">
        <v>405</v>
      </c>
      <c r="C201" s="12" t="s">
        <v>406</v>
      </c>
    </row>
    <row r="202" customFormat="false" ht="39" hidden="false" customHeight="false" outlineLevel="0" collapsed="false">
      <c r="A202" s="12" t="n">
        <v>201</v>
      </c>
      <c r="B202" s="12" t="s">
        <v>407</v>
      </c>
      <c r="C202" s="12" t="s">
        <v>408</v>
      </c>
    </row>
    <row r="203" customFormat="false" ht="64.5" hidden="false" customHeight="false" outlineLevel="0" collapsed="false">
      <c r="A203" s="12" t="n">
        <v>202</v>
      </c>
      <c r="B203" s="12" t="s">
        <v>409</v>
      </c>
      <c r="C203" s="12" t="s">
        <v>410</v>
      </c>
    </row>
    <row r="204" customFormat="false" ht="39" hidden="false" customHeight="false" outlineLevel="0" collapsed="false">
      <c r="A204" s="12" t="n">
        <v>203</v>
      </c>
      <c r="B204" s="12" t="s">
        <v>411</v>
      </c>
      <c r="C204" s="12" t="s">
        <v>412</v>
      </c>
    </row>
    <row r="205" customFormat="false" ht="64.5" hidden="false" customHeight="false" outlineLevel="0" collapsed="false">
      <c r="A205" s="12" t="n">
        <v>204</v>
      </c>
      <c r="B205" s="12" t="s">
        <v>413</v>
      </c>
      <c r="C205" s="12" t="s">
        <v>414</v>
      </c>
    </row>
    <row r="206" customFormat="false" ht="51.75" hidden="false" customHeight="false" outlineLevel="0" collapsed="false">
      <c r="A206" s="12" t="n">
        <v>205</v>
      </c>
      <c r="B206" s="12" t="s">
        <v>415</v>
      </c>
      <c r="C206" s="12" t="s">
        <v>416</v>
      </c>
    </row>
    <row r="207" customFormat="false" ht="51.75" hidden="false" customHeight="false" outlineLevel="0" collapsed="false">
      <c r="A207" s="12" t="n">
        <v>206</v>
      </c>
      <c r="B207" s="12" t="s">
        <v>417</v>
      </c>
      <c r="C207" s="12" t="s">
        <v>418</v>
      </c>
    </row>
    <row r="208" customFormat="false" ht="39" hidden="false" customHeight="false" outlineLevel="0" collapsed="false">
      <c r="A208" s="12" t="n">
        <v>207</v>
      </c>
      <c r="B208" s="12" t="s">
        <v>419</v>
      </c>
      <c r="C208" s="12" t="s">
        <v>420</v>
      </c>
    </row>
    <row r="209" customFormat="false" ht="39" hidden="false" customHeight="false" outlineLevel="0" collapsed="false">
      <c r="A209" s="12" t="n">
        <v>208</v>
      </c>
      <c r="B209" s="12" t="s">
        <v>421</v>
      </c>
      <c r="C209" s="12" t="s">
        <v>422</v>
      </c>
    </row>
    <row r="210" customFormat="false" ht="51.75" hidden="false" customHeight="false" outlineLevel="0" collapsed="false">
      <c r="A210" s="12" t="n">
        <v>209</v>
      </c>
      <c r="B210" s="12" t="s">
        <v>423</v>
      </c>
      <c r="C210" s="12" t="s">
        <v>424</v>
      </c>
    </row>
    <row r="211" customFormat="false" ht="39" hidden="false" customHeight="false" outlineLevel="0" collapsed="false">
      <c r="A211" s="12" t="n">
        <v>210</v>
      </c>
      <c r="B211" s="12" t="s">
        <v>425</v>
      </c>
      <c r="C211" s="12" t="s">
        <v>426</v>
      </c>
    </row>
    <row r="212" customFormat="false" ht="51.75" hidden="false" customHeight="false" outlineLevel="0" collapsed="false">
      <c r="A212" s="12" t="n">
        <v>211</v>
      </c>
      <c r="B212" s="12" t="s">
        <v>427</v>
      </c>
      <c r="C212" s="12" t="s">
        <v>428</v>
      </c>
    </row>
    <row r="213" customFormat="false" ht="39" hidden="false" customHeight="false" outlineLevel="0" collapsed="false">
      <c r="A213" s="12" t="n">
        <v>212</v>
      </c>
      <c r="B213" s="12" t="s">
        <v>429</v>
      </c>
      <c r="C213" s="12" t="s">
        <v>430</v>
      </c>
    </row>
    <row r="214" customFormat="false" ht="39" hidden="false" customHeight="false" outlineLevel="0" collapsed="false">
      <c r="A214" s="12" t="n">
        <v>213</v>
      </c>
      <c r="B214" s="12" t="s">
        <v>431</v>
      </c>
      <c r="C214" s="12" t="s">
        <v>432</v>
      </c>
    </row>
    <row r="215" customFormat="false" ht="51.75" hidden="false" customHeight="false" outlineLevel="0" collapsed="false">
      <c r="A215" s="12" t="n">
        <v>214</v>
      </c>
      <c r="B215" s="12" t="s">
        <v>433</v>
      </c>
      <c r="C215" s="12" t="s">
        <v>434</v>
      </c>
    </row>
    <row r="216" customFormat="false" ht="13.5" hidden="false" customHeight="false" outlineLevel="0" collapsed="false">
      <c r="A216" s="12" t="n">
        <v>215</v>
      </c>
      <c r="B216" s="12" t="s">
        <v>435</v>
      </c>
      <c r="C216" s="12" t="s">
        <v>436</v>
      </c>
    </row>
    <row r="217" customFormat="false" ht="90" hidden="false" customHeight="false" outlineLevel="0" collapsed="false">
      <c r="A217" s="12" t="n">
        <v>216</v>
      </c>
      <c r="B217" s="12" t="s">
        <v>437</v>
      </c>
      <c r="C217" s="12" t="s">
        <v>438</v>
      </c>
    </row>
    <row r="218" customFormat="false" ht="39" hidden="false" customHeight="false" outlineLevel="0" collapsed="false">
      <c r="A218" s="12" t="n">
        <v>217</v>
      </c>
      <c r="B218" s="12" t="s">
        <v>439</v>
      </c>
      <c r="C218" s="12" t="s">
        <v>440</v>
      </c>
    </row>
    <row r="219" customFormat="false" ht="51.75" hidden="false" customHeight="false" outlineLevel="0" collapsed="false">
      <c r="A219" s="12" t="n">
        <v>218</v>
      </c>
      <c r="B219" s="12" t="s">
        <v>441</v>
      </c>
      <c r="C219" s="12" t="s">
        <v>442</v>
      </c>
    </row>
    <row r="220" customFormat="false" ht="64.5" hidden="false" customHeight="false" outlineLevel="0" collapsed="false">
      <c r="A220" s="12" t="n">
        <v>219</v>
      </c>
      <c r="B220" s="12" t="s">
        <v>443</v>
      </c>
      <c r="C220" s="12" t="s">
        <v>444</v>
      </c>
    </row>
    <row r="221" customFormat="false" ht="39" hidden="false" customHeight="false" outlineLevel="0" collapsed="false">
      <c r="A221" s="12" t="n">
        <v>220</v>
      </c>
      <c r="B221" s="12" t="s">
        <v>445</v>
      </c>
      <c r="C221" s="12" t="s">
        <v>446</v>
      </c>
    </row>
    <row r="222" customFormat="false" ht="51.75" hidden="false" customHeight="false" outlineLevel="0" collapsed="false">
      <c r="A222" s="12" t="n">
        <v>221</v>
      </c>
      <c r="B222" s="12" t="s">
        <v>447</v>
      </c>
      <c r="C222" s="12" t="s">
        <v>448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X8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12.5703125" defaultRowHeight="15.75" zeroHeight="false" outlineLevelRow="0" outlineLevelCol="0"/>
  <cols>
    <col collapsed="false" customWidth="true" hidden="false" outlineLevel="0" max="1" min="1" style="0" width="38.85"/>
    <col collapsed="false" customWidth="true" hidden="false" outlineLevel="0" max="102" min="2" style="0" width="9.42"/>
  </cols>
  <sheetData>
    <row r="1" s="14" customFormat="true" ht="15.75" hidden="false" customHeight="false" outlineLevel="0" collapsed="false">
      <c r="A1" s="13" t="s">
        <v>449</v>
      </c>
      <c r="B1" s="13" t="n">
        <v>46061</v>
      </c>
      <c r="C1" s="13" t="n">
        <v>46071</v>
      </c>
      <c r="D1" s="13" t="n">
        <v>46076</v>
      </c>
      <c r="E1" s="13" t="n">
        <v>46077</v>
      </c>
      <c r="F1" s="13" t="n">
        <v>46078</v>
      </c>
      <c r="G1" s="13" t="n">
        <v>46079</v>
      </c>
      <c r="H1" s="13" t="n">
        <v>46080</v>
      </c>
      <c r="I1" s="13" t="n">
        <v>46081</v>
      </c>
      <c r="J1" s="13" t="n">
        <v>46083</v>
      </c>
      <c r="K1" s="13" t="n">
        <v>46084</v>
      </c>
      <c r="L1" s="13" t="n">
        <v>46085</v>
      </c>
      <c r="M1" s="13" t="n">
        <v>46086</v>
      </c>
      <c r="N1" s="13" t="n">
        <v>46087</v>
      </c>
      <c r="O1" s="13" t="n">
        <v>46090</v>
      </c>
      <c r="P1" s="13" t="n">
        <v>46091</v>
      </c>
      <c r="Q1" s="13" t="n">
        <v>46092</v>
      </c>
      <c r="R1" s="13" t="n">
        <v>46093</v>
      </c>
      <c r="S1" s="13" t="n">
        <v>46094</v>
      </c>
      <c r="T1" s="13" t="n">
        <v>46095</v>
      </c>
      <c r="U1" s="13" t="n">
        <v>46097</v>
      </c>
      <c r="V1" s="13" t="n">
        <v>46098</v>
      </c>
      <c r="W1" s="13" t="n">
        <v>46099</v>
      </c>
      <c r="X1" s="13" t="n">
        <v>46100</v>
      </c>
      <c r="Y1" s="13" t="n">
        <v>46101</v>
      </c>
      <c r="Z1" s="13" t="n">
        <v>46102</v>
      </c>
      <c r="AA1" s="13" t="n">
        <v>46104</v>
      </c>
      <c r="AB1" s="13" t="n">
        <v>46105</v>
      </c>
      <c r="AC1" s="13" t="n">
        <v>46106</v>
      </c>
      <c r="AD1" s="13" t="n">
        <v>46107</v>
      </c>
      <c r="AE1" s="13" t="n">
        <v>46108</v>
      </c>
      <c r="AF1" s="13" t="n">
        <v>46111</v>
      </c>
      <c r="AG1" s="13" t="n">
        <v>46112</v>
      </c>
      <c r="AH1" s="13" t="n">
        <v>46114</v>
      </c>
      <c r="AI1" s="13" t="n">
        <v>46115</v>
      </c>
      <c r="AJ1" s="13" t="n">
        <v>46116</v>
      </c>
      <c r="AK1" s="13" t="n">
        <v>46118</v>
      </c>
      <c r="AL1" s="13" t="n">
        <v>46119</v>
      </c>
      <c r="AM1" s="13" t="n">
        <v>46120</v>
      </c>
      <c r="AN1" s="13" t="n">
        <v>46121</v>
      </c>
      <c r="AO1" s="13" t="n">
        <v>46122</v>
      </c>
      <c r="AP1" s="13" t="n">
        <v>46125</v>
      </c>
      <c r="AQ1" s="13" t="n">
        <v>46126</v>
      </c>
      <c r="AR1" s="13" t="n">
        <v>46127</v>
      </c>
      <c r="AS1" s="13" t="n">
        <v>46128</v>
      </c>
      <c r="AT1" s="13" t="n">
        <v>46129</v>
      </c>
      <c r="AU1" s="13" t="n">
        <v>46130</v>
      </c>
      <c r="AV1" s="13" t="n">
        <v>46132</v>
      </c>
      <c r="AW1" s="13" t="n">
        <v>46133</v>
      </c>
      <c r="AX1" s="13" t="n">
        <v>46134</v>
      </c>
      <c r="AY1" s="13" t="n">
        <v>46135</v>
      </c>
      <c r="AZ1" s="13" t="n">
        <v>46136</v>
      </c>
      <c r="BA1" s="13" t="n">
        <v>46139</v>
      </c>
      <c r="BB1" s="13" t="n">
        <v>46140</v>
      </c>
      <c r="BC1" s="13" t="n">
        <v>46141</v>
      </c>
      <c r="BD1" s="13" t="n">
        <v>46146</v>
      </c>
      <c r="BE1" s="13" t="n">
        <v>46147</v>
      </c>
      <c r="BF1" s="13" t="n">
        <v>46148</v>
      </c>
      <c r="BG1" s="13" t="n">
        <v>46149</v>
      </c>
      <c r="BH1" s="13" t="n">
        <v>46150</v>
      </c>
      <c r="BI1" s="13" t="n">
        <v>46151</v>
      </c>
      <c r="BJ1" s="13" t="n">
        <v>46153</v>
      </c>
      <c r="BK1" s="13" t="n">
        <v>46154</v>
      </c>
      <c r="BL1" s="13" t="n">
        <v>46155</v>
      </c>
      <c r="BM1" s="13" t="n">
        <v>46156</v>
      </c>
      <c r="BN1" s="13" t="n">
        <v>46157</v>
      </c>
      <c r="BO1" s="13" t="n">
        <v>46160</v>
      </c>
      <c r="BP1" s="13" t="n">
        <v>46161</v>
      </c>
      <c r="BQ1" s="13" t="n">
        <v>46162</v>
      </c>
      <c r="BR1" s="13" t="n">
        <v>46163</v>
      </c>
      <c r="BS1" s="13" t="n">
        <v>46164</v>
      </c>
      <c r="BT1" s="13" t="n">
        <v>46165</v>
      </c>
      <c r="BU1" s="13" t="n">
        <v>46167</v>
      </c>
      <c r="BV1" s="13" t="n">
        <v>46168</v>
      </c>
      <c r="BW1" s="13" t="n">
        <v>46169</v>
      </c>
      <c r="BX1" s="13" t="n">
        <v>46170</v>
      </c>
      <c r="BY1" s="13" t="n">
        <v>46171</v>
      </c>
      <c r="BZ1" s="13" t="n">
        <v>46175</v>
      </c>
      <c r="CA1" s="13" t="n">
        <v>46176</v>
      </c>
      <c r="CB1" s="13" t="n">
        <v>46177</v>
      </c>
      <c r="CC1" s="13" t="n">
        <v>46178</v>
      </c>
      <c r="CD1" s="13" t="n">
        <v>46179</v>
      </c>
      <c r="CE1" s="13" t="n">
        <v>46181</v>
      </c>
      <c r="CF1" s="13" t="n">
        <v>46182</v>
      </c>
      <c r="CG1" s="13" t="n">
        <v>46183</v>
      </c>
      <c r="CH1" s="13" t="n">
        <v>46184</v>
      </c>
      <c r="CI1" s="13" t="n">
        <v>46185</v>
      </c>
      <c r="CJ1" s="13" t="n">
        <v>46188</v>
      </c>
      <c r="CK1" s="13" t="n">
        <v>46189</v>
      </c>
      <c r="CL1" s="13" t="n">
        <v>46190</v>
      </c>
      <c r="CM1" s="13" t="n">
        <v>46191</v>
      </c>
      <c r="CN1" s="13" t="n">
        <v>46192</v>
      </c>
      <c r="CO1" s="13" t="n">
        <v>46193</v>
      </c>
      <c r="CP1" s="13" t="n">
        <v>46195</v>
      </c>
      <c r="CQ1" s="13" t="n">
        <v>46196</v>
      </c>
      <c r="CR1" s="13" t="n">
        <v>46197</v>
      </c>
      <c r="CS1" s="13" t="n">
        <v>46198</v>
      </c>
      <c r="CT1" s="13"/>
      <c r="CU1" s="13"/>
      <c r="CV1" s="13"/>
      <c r="CW1" s="13"/>
      <c r="CX1" s="13"/>
    </row>
    <row r="2" customFormat="false" ht="15.75" hidden="false" customHeight="false" outlineLevel="0" collapsed="false">
      <c r="A2" s="15" t="s">
        <v>450</v>
      </c>
      <c r="V2" s="15" t="n">
        <v>1</v>
      </c>
      <c r="BO2" s="15" t="n">
        <v>1</v>
      </c>
    </row>
    <row r="3" customFormat="false" ht="15.75" hidden="false" customHeight="false" outlineLevel="0" collapsed="false">
      <c r="A3" s="15" t="s">
        <v>451</v>
      </c>
      <c r="D3" s="15" t="n">
        <v>1</v>
      </c>
      <c r="AK3" s="15" t="n">
        <v>1</v>
      </c>
      <c r="BD3" s="15" t="n">
        <v>1</v>
      </c>
      <c r="BE3" s="15" t="n">
        <v>1</v>
      </c>
    </row>
    <row r="4" customFormat="false" ht="15.75" hidden="false" customHeight="false" outlineLevel="0" collapsed="false">
      <c r="A4" s="15" t="s">
        <v>452</v>
      </c>
      <c r="F4" s="15" t="n">
        <v>1</v>
      </c>
      <c r="G4" s="15" t="n">
        <v>1</v>
      </c>
      <c r="O4" s="15" t="n">
        <v>1</v>
      </c>
      <c r="P4" s="15" t="n">
        <v>1</v>
      </c>
      <c r="Q4" s="15" t="n">
        <v>1</v>
      </c>
      <c r="R4" s="15" t="n">
        <v>1</v>
      </c>
      <c r="S4" s="15" t="n">
        <v>1</v>
      </c>
      <c r="X4" s="15" t="n">
        <v>1</v>
      </c>
      <c r="Y4" s="15" t="n">
        <v>1</v>
      </c>
      <c r="AO4" s="15" t="n">
        <v>1</v>
      </c>
      <c r="AP4" s="15" t="n">
        <v>1</v>
      </c>
      <c r="AQ4" s="15" t="n">
        <v>1</v>
      </c>
      <c r="BN4" s="15" t="n">
        <v>1</v>
      </c>
    </row>
    <row r="5" customFormat="false" ht="15.75" hidden="false" customHeight="false" outlineLevel="0" collapsed="false">
      <c r="A5" s="15" t="s">
        <v>453</v>
      </c>
      <c r="D5" s="15" t="n">
        <v>1</v>
      </c>
      <c r="E5" s="15" t="n">
        <v>1</v>
      </c>
      <c r="G5" s="15" t="n">
        <v>1</v>
      </c>
      <c r="H5" s="15" t="n">
        <v>1</v>
      </c>
      <c r="J5" s="15" t="n">
        <v>1</v>
      </c>
      <c r="K5" s="15" t="n">
        <v>1</v>
      </c>
      <c r="L5" s="15" t="n">
        <v>1</v>
      </c>
      <c r="W5" s="15" t="n">
        <v>1</v>
      </c>
      <c r="X5" s="15" t="n">
        <v>1</v>
      </c>
      <c r="Y5" s="15" t="n">
        <v>1</v>
      </c>
      <c r="Z5" s="15" t="n">
        <v>1</v>
      </c>
      <c r="AA5" s="15" t="n">
        <v>1</v>
      </c>
      <c r="AB5" s="15" t="n">
        <v>1</v>
      </c>
      <c r="AC5" s="15" t="n">
        <v>1</v>
      </c>
      <c r="AD5" s="15" t="n">
        <v>1</v>
      </c>
      <c r="AE5" s="15" t="n">
        <v>1</v>
      </c>
      <c r="AF5" s="15" t="n">
        <v>1</v>
      </c>
      <c r="AG5" s="15" t="n">
        <v>1</v>
      </c>
      <c r="AH5" s="15" t="n">
        <v>1</v>
      </c>
      <c r="AI5" s="15" t="n">
        <v>1</v>
      </c>
      <c r="AJ5" s="15" t="n">
        <v>1</v>
      </c>
      <c r="AK5" s="15" t="n">
        <v>1</v>
      </c>
      <c r="AL5" s="15" t="n">
        <v>1</v>
      </c>
      <c r="AM5" s="15" t="n">
        <v>1</v>
      </c>
      <c r="AN5" s="15" t="n">
        <v>1</v>
      </c>
      <c r="AO5" s="15" t="n">
        <v>1</v>
      </c>
      <c r="AP5" s="15" t="n">
        <v>1</v>
      </c>
      <c r="AQ5" s="15" t="n">
        <v>1</v>
      </c>
      <c r="AR5" s="15" t="n">
        <v>1</v>
      </c>
      <c r="AS5" s="15" t="n">
        <v>1</v>
      </c>
      <c r="AT5" s="15" t="n">
        <v>1</v>
      </c>
      <c r="AU5" s="15" t="n">
        <v>1</v>
      </c>
      <c r="AV5" s="15" t="n">
        <v>1</v>
      </c>
      <c r="AW5" s="15" t="n">
        <v>1</v>
      </c>
      <c r="AX5" s="15" t="n">
        <v>1</v>
      </c>
      <c r="AY5" s="15" t="n">
        <v>1</v>
      </c>
      <c r="AZ5" s="15" t="n">
        <v>1</v>
      </c>
      <c r="BB5" s="15" t="n">
        <v>1</v>
      </c>
      <c r="BC5" s="15" t="n">
        <v>1</v>
      </c>
      <c r="BD5" s="15" t="n">
        <v>1</v>
      </c>
      <c r="BE5" s="15" t="n">
        <v>1</v>
      </c>
      <c r="BF5" s="15" t="n">
        <v>1</v>
      </c>
      <c r="BG5" s="15" t="n">
        <v>1</v>
      </c>
      <c r="BH5" s="15" t="n">
        <v>1</v>
      </c>
      <c r="BI5" s="15" t="n">
        <v>1</v>
      </c>
      <c r="BJ5" s="15" t="n">
        <v>1</v>
      </c>
      <c r="BK5" s="15" t="n">
        <v>2</v>
      </c>
      <c r="BL5" s="15" t="n">
        <v>2</v>
      </c>
      <c r="BM5" s="15" t="n">
        <v>2</v>
      </c>
      <c r="BN5" s="15" t="n">
        <v>2</v>
      </c>
      <c r="BO5" s="15" t="n">
        <v>2</v>
      </c>
      <c r="BP5" s="15" t="n">
        <v>2</v>
      </c>
      <c r="BQ5" s="15" t="n">
        <v>2</v>
      </c>
      <c r="BR5" s="15" t="n">
        <v>2</v>
      </c>
      <c r="BS5" s="15" t="n">
        <v>2</v>
      </c>
      <c r="BT5" s="15" t="n">
        <v>2</v>
      </c>
      <c r="BU5" s="15" t="n">
        <v>2</v>
      </c>
      <c r="BV5" s="15" t="n">
        <v>2</v>
      </c>
      <c r="BW5" s="15" t="n">
        <v>2</v>
      </c>
      <c r="BX5" s="15" t="n">
        <v>2</v>
      </c>
      <c r="BY5" s="15" t="n">
        <v>2</v>
      </c>
      <c r="BZ5" s="15" t="n">
        <v>2</v>
      </c>
      <c r="CA5" s="15" t="n">
        <v>2</v>
      </c>
      <c r="CB5" s="15" t="n">
        <v>2</v>
      </c>
      <c r="CC5" s="15" t="n">
        <v>2</v>
      </c>
      <c r="CD5" s="15" t="n">
        <v>2</v>
      </c>
      <c r="CE5" s="15" t="n">
        <v>2</v>
      </c>
      <c r="CF5" s="15" t="n">
        <v>2</v>
      </c>
      <c r="CG5" s="15" t="n">
        <v>2</v>
      </c>
      <c r="CH5" s="15" t="n">
        <v>2</v>
      </c>
      <c r="CI5" s="15" t="n">
        <v>2</v>
      </c>
      <c r="CJ5" s="15" t="n">
        <v>1</v>
      </c>
    </row>
    <row r="6" customFormat="false" ht="15.75" hidden="false" customHeight="false" outlineLevel="0" collapsed="false">
      <c r="A6" s="15" t="s">
        <v>454</v>
      </c>
      <c r="BM6" s="15" t="n">
        <v>1</v>
      </c>
      <c r="BN6" s="15" t="n">
        <v>1</v>
      </c>
      <c r="BO6" s="15" t="n">
        <v>1</v>
      </c>
      <c r="BP6" s="15" t="n">
        <v>1</v>
      </c>
      <c r="BQ6" s="15" t="n">
        <v>1</v>
      </c>
      <c r="BR6" s="15" t="n">
        <v>1</v>
      </c>
      <c r="BS6" s="15" t="n">
        <v>1</v>
      </c>
      <c r="BT6" s="15" t="n">
        <v>1</v>
      </c>
      <c r="BU6" s="15" t="n">
        <v>1</v>
      </c>
      <c r="CF6" s="15" t="n">
        <v>1</v>
      </c>
      <c r="CG6" s="15" t="n">
        <v>1</v>
      </c>
      <c r="CH6" s="15" t="n">
        <v>1</v>
      </c>
      <c r="CI6" s="15" t="n">
        <v>1</v>
      </c>
      <c r="CJ6" s="15" t="n">
        <v>1</v>
      </c>
      <c r="CK6" s="15" t="n">
        <v>1</v>
      </c>
      <c r="CL6" s="15" t="n">
        <v>1</v>
      </c>
      <c r="CM6" s="15" t="n">
        <v>1</v>
      </c>
      <c r="CN6" s="15" t="n">
        <v>1</v>
      </c>
      <c r="CP6" s="15" t="n">
        <v>1</v>
      </c>
    </row>
    <row r="7" customFormat="false" ht="15.75" hidden="false" customHeight="false" outlineLevel="0" collapsed="false">
      <c r="A7" s="15" t="s">
        <v>455</v>
      </c>
      <c r="D7" s="15" t="n">
        <v>1</v>
      </c>
      <c r="E7" s="15" t="n">
        <v>1</v>
      </c>
      <c r="F7" s="15" t="n">
        <v>1</v>
      </c>
      <c r="G7" s="15" t="n">
        <v>1</v>
      </c>
    </row>
    <row r="8" customFormat="false" ht="15.75" hidden="false" customHeight="false" outlineLevel="0" collapsed="false">
      <c r="A8" s="15" t="s">
        <v>456</v>
      </c>
      <c r="AX8" s="15" t="n">
        <v>1</v>
      </c>
      <c r="AY8" s="15" t="n">
        <v>1</v>
      </c>
      <c r="AZ8" s="15" t="n">
        <v>1</v>
      </c>
      <c r="BB8" s="15" t="n">
        <v>1</v>
      </c>
    </row>
    <row r="9" customFormat="false" ht="15.75" hidden="false" customHeight="false" outlineLevel="0" collapsed="false">
      <c r="A9" s="15" t="s">
        <v>457</v>
      </c>
      <c r="AV9" s="15" t="n">
        <v>1</v>
      </c>
      <c r="BX9" s="15" t="n">
        <v>1</v>
      </c>
      <c r="BZ9" s="15" t="n">
        <v>1</v>
      </c>
      <c r="CD9" s="15" t="n">
        <v>1</v>
      </c>
      <c r="CE9" s="15" t="n">
        <v>1</v>
      </c>
    </row>
    <row r="10" customFormat="false" ht="15.75" hidden="false" customHeight="false" outlineLevel="0" collapsed="false">
      <c r="A10" s="15" t="s">
        <v>458</v>
      </c>
      <c r="AP10" s="15" t="n">
        <v>1</v>
      </c>
      <c r="BI10" s="15" t="n">
        <v>1</v>
      </c>
      <c r="BL10" s="15" t="n">
        <v>1</v>
      </c>
      <c r="BM10" s="15" t="n">
        <v>1</v>
      </c>
      <c r="BT10" s="15" t="n">
        <v>1</v>
      </c>
      <c r="BU10" s="15" t="n">
        <v>1</v>
      </c>
    </row>
    <row r="11" customFormat="false" ht="15.75" hidden="false" customHeight="false" outlineLevel="0" collapsed="false">
      <c r="A11" s="15" t="s">
        <v>459</v>
      </c>
      <c r="AW11" s="15" t="n">
        <v>1</v>
      </c>
      <c r="BY11" s="15" t="n">
        <v>1</v>
      </c>
      <c r="CA11" s="15" t="n">
        <v>1</v>
      </c>
      <c r="CB11" s="15" t="n">
        <v>1</v>
      </c>
      <c r="CF11" s="15" t="n">
        <v>1</v>
      </c>
    </row>
    <row r="12" customFormat="false" ht="15.75" hidden="false" customHeight="false" outlineLevel="0" collapsed="false">
      <c r="A12" s="15" t="s">
        <v>460</v>
      </c>
      <c r="AQ12" s="15" t="n">
        <v>1</v>
      </c>
      <c r="BJ12" s="15" t="n">
        <v>1</v>
      </c>
      <c r="BN12" s="15" t="n">
        <v>1</v>
      </c>
      <c r="BV12" s="15" t="n">
        <v>1</v>
      </c>
    </row>
    <row r="13" customFormat="false" ht="15.75" hidden="false" customHeight="false" outlineLevel="0" collapsed="false">
      <c r="A13" s="15" t="s">
        <v>461</v>
      </c>
      <c r="BK13" s="15" t="n">
        <v>1</v>
      </c>
      <c r="BW13" s="15" t="n">
        <v>1</v>
      </c>
    </row>
    <row r="14" customFormat="false" ht="15.75" hidden="false" customHeight="false" outlineLevel="0" collapsed="false">
      <c r="A14" s="15" t="s">
        <v>462</v>
      </c>
      <c r="CC14" s="15" t="n">
        <v>1</v>
      </c>
      <c r="CG14" s="15" t="n">
        <v>1</v>
      </c>
    </row>
    <row r="15" customFormat="false" ht="15.75" hidden="false" customHeight="false" outlineLevel="0" collapsed="false">
      <c r="A15" s="15" t="s">
        <v>463</v>
      </c>
      <c r="AN15" s="15" t="n">
        <v>1</v>
      </c>
      <c r="AO15" s="15" t="n">
        <v>1</v>
      </c>
      <c r="AP15" s="15" t="n">
        <v>1</v>
      </c>
    </row>
    <row r="16" customFormat="false" ht="15.75" hidden="false" customHeight="false" outlineLevel="0" collapsed="false">
      <c r="A16" s="15" t="s">
        <v>464</v>
      </c>
      <c r="O16" s="15" t="n">
        <v>1</v>
      </c>
      <c r="P16" s="15" t="n">
        <v>1</v>
      </c>
      <c r="Q16" s="15" t="n">
        <v>1</v>
      </c>
      <c r="R16" s="15" t="n">
        <v>1</v>
      </c>
      <c r="S16" s="15" t="n">
        <v>1</v>
      </c>
      <c r="U16" s="15" t="n">
        <v>1</v>
      </c>
      <c r="V16" s="15" t="n">
        <v>1</v>
      </c>
      <c r="W16" s="15" t="n">
        <v>1</v>
      </c>
      <c r="X16" s="15" t="n">
        <v>1</v>
      </c>
      <c r="Y16" s="15" t="n">
        <v>1</v>
      </c>
      <c r="AA16" s="15" t="n">
        <v>1</v>
      </c>
      <c r="AB16" s="15" t="n">
        <v>1</v>
      </c>
      <c r="AC16" s="15" t="n">
        <v>1</v>
      </c>
      <c r="AD16" s="15" t="n">
        <v>1</v>
      </c>
      <c r="AE16" s="15" t="n">
        <v>1</v>
      </c>
      <c r="AF16" s="15" t="n">
        <v>1</v>
      </c>
      <c r="AG16" s="15" t="n">
        <v>1</v>
      </c>
      <c r="AH16" s="15" t="n">
        <v>1</v>
      </c>
      <c r="AI16" s="15" t="n">
        <v>1</v>
      </c>
      <c r="AK16" s="15" t="n">
        <v>1</v>
      </c>
      <c r="AL16" s="15" t="n">
        <v>1</v>
      </c>
      <c r="AM16" s="15" t="n">
        <v>1</v>
      </c>
      <c r="AN16" s="15" t="n">
        <v>1</v>
      </c>
      <c r="AO16" s="15" t="n">
        <v>1</v>
      </c>
      <c r="AP16" s="15" t="n">
        <v>1</v>
      </c>
      <c r="AQ16" s="15" t="n">
        <v>1</v>
      </c>
      <c r="AR16" s="15" t="n">
        <v>1</v>
      </c>
      <c r="AS16" s="15" t="n">
        <v>1</v>
      </c>
      <c r="AT16" s="15" t="n">
        <v>1</v>
      </c>
      <c r="AV16" s="15" t="n">
        <v>1</v>
      </c>
      <c r="AW16" s="15" t="n">
        <v>1</v>
      </c>
      <c r="AX16" s="15" t="n">
        <v>1</v>
      </c>
      <c r="AY16" s="15" t="n">
        <v>1</v>
      </c>
      <c r="AZ16" s="15" t="n">
        <v>1</v>
      </c>
      <c r="BB16" s="15" t="n">
        <v>1</v>
      </c>
      <c r="BC16" s="15" t="n">
        <v>1</v>
      </c>
      <c r="BD16" s="15" t="n">
        <v>1</v>
      </c>
      <c r="BE16" s="15" t="n">
        <v>1</v>
      </c>
      <c r="BF16" s="15" t="n">
        <v>1</v>
      </c>
      <c r="BG16" s="15" t="n">
        <v>1</v>
      </c>
      <c r="BH16" s="15" t="n">
        <v>1</v>
      </c>
      <c r="BJ16" s="15" t="n">
        <v>1</v>
      </c>
      <c r="BK16" s="15" t="n">
        <v>1</v>
      </c>
      <c r="BL16" s="15" t="n">
        <v>1</v>
      </c>
      <c r="BM16" s="15" t="n">
        <v>1</v>
      </c>
      <c r="BN16" s="15" t="n">
        <v>1</v>
      </c>
      <c r="BO16" s="15" t="n">
        <v>1</v>
      </c>
      <c r="BP16" s="15" t="n">
        <v>1</v>
      </c>
      <c r="BQ16" s="15" t="n">
        <v>1</v>
      </c>
      <c r="BR16" s="15" t="n">
        <v>1</v>
      </c>
      <c r="BS16" s="15" t="n">
        <v>1</v>
      </c>
      <c r="BT16" s="15" t="n">
        <v>1</v>
      </c>
      <c r="BU16" s="15" t="n">
        <v>1</v>
      </c>
      <c r="BV16" s="15" t="n">
        <v>1</v>
      </c>
      <c r="BW16" s="15" t="n">
        <v>1</v>
      </c>
      <c r="BX16" s="15" t="n">
        <v>1</v>
      </c>
      <c r="BY16" s="15" t="n">
        <v>1</v>
      </c>
      <c r="BZ16" s="15" t="n">
        <v>1</v>
      </c>
      <c r="CA16" s="15" t="n">
        <v>1</v>
      </c>
      <c r="CB16" s="15" t="n">
        <v>1</v>
      </c>
      <c r="CC16" s="15" t="n">
        <v>1</v>
      </c>
      <c r="CD16" s="15" t="n">
        <v>1</v>
      </c>
      <c r="CE16" s="15" t="n">
        <v>1</v>
      </c>
      <c r="CF16" s="15" t="n">
        <v>1</v>
      </c>
      <c r="CG16" s="15" t="n">
        <v>1</v>
      </c>
      <c r="CH16" s="15" t="n">
        <v>1</v>
      </c>
      <c r="CI16" s="15" t="n">
        <v>1</v>
      </c>
      <c r="CJ16" s="15" t="n">
        <v>1</v>
      </c>
      <c r="CK16" s="15" t="n">
        <v>1</v>
      </c>
      <c r="CL16" s="15" t="n">
        <v>1</v>
      </c>
      <c r="CM16" s="15" t="n">
        <v>1</v>
      </c>
      <c r="CN16" s="15" t="n">
        <v>1</v>
      </c>
    </row>
    <row r="17" customFormat="false" ht="15.75" hidden="false" customHeight="false" outlineLevel="0" collapsed="false">
      <c r="A17" s="15" t="s">
        <v>465</v>
      </c>
      <c r="X17" s="15" t="n">
        <v>1</v>
      </c>
      <c r="Y17" s="15" t="n">
        <v>1</v>
      </c>
      <c r="AA17" s="15" t="n">
        <v>1</v>
      </c>
      <c r="AB17" s="15" t="n">
        <v>1</v>
      </c>
      <c r="AC17" s="15" t="n">
        <v>1</v>
      </c>
      <c r="AD17" s="15" t="n">
        <v>1</v>
      </c>
      <c r="BO17" s="15" t="n">
        <v>1</v>
      </c>
      <c r="BP17" s="15" t="n">
        <v>1</v>
      </c>
      <c r="BQ17" s="15" t="n">
        <v>1</v>
      </c>
    </row>
    <row r="18" customFormat="false" ht="15.75" hidden="false" customHeight="false" outlineLevel="0" collapsed="false">
      <c r="A18" s="15" t="s">
        <v>466</v>
      </c>
      <c r="W18" s="15" t="n">
        <v>1</v>
      </c>
      <c r="BR18" s="15" t="n">
        <v>1</v>
      </c>
      <c r="BS18" s="15" t="n">
        <v>1</v>
      </c>
    </row>
    <row r="19" customFormat="false" ht="15.75" hidden="false" customHeight="false" outlineLevel="0" collapsed="false">
      <c r="A19" s="15" t="s">
        <v>19</v>
      </c>
      <c r="E19" s="15" t="n">
        <v>1</v>
      </c>
      <c r="F19" s="15" t="n">
        <v>1</v>
      </c>
      <c r="AO19" s="15" t="n">
        <v>1</v>
      </c>
      <c r="AP19" s="15" t="n">
        <v>1</v>
      </c>
      <c r="AY19" s="15" t="n">
        <v>1</v>
      </c>
      <c r="AZ19" s="15" t="n">
        <v>1</v>
      </c>
      <c r="BB19" s="15" t="n">
        <v>1</v>
      </c>
      <c r="BC19" s="15" t="n">
        <v>1</v>
      </c>
    </row>
    <row r="20" customFormat="false" ht="15.75" hidden="false" customHeight="false" outlineLevel="0" collapsed="false">
      <c r="A20" s="15" t="s">
        <v>467</v>
      </c>
      <c r="D20" s="15" t="n">
        <v>1</v>
      </c>
      <c r="E20" s="15" t="n">
        <v>1</v>
      </c>
      <c r="F20" s="15" t="n">
        <v>1</v>
      </c>
      <c r="G20" s="15" t="n">
        <v>1</v>
      </c>
      <c r="H20" s="15" t="n">
        <v>1</v>
      </c>
      <c r="AA20" s="15" t="n">
        <v>1</v>
      </c>
      <c r="AB20" s="15" t="n">
        <v>1</v>
      </c>
      <c r="AC20" s="15" t="n">
        <v>1</v>
      </c>
      <c r="AD20" s="15" t="n">
        <v>1</v>
      </c>
      <c r="AE20" s="15" t="n">
        <v>1</v>
      </c>
      <c r="AF20" s="15" t="n">
        <v>1</v>
      </c>
      <c r="AG20" s="15" t="n">
        <v>1</v>
      </c>
      <c r="AH20" s="15" t="n">
        <v>1</v>
      </c>
      <c r="AI20" s="15" t="n">
        <v>1</v>
      </c>
      <c r="AJ20" s="15" t="n">
        <v>1</v>
      </c>
      <c r="AK20" s="15" t="n">
        <v>1</v>
      </c>
      <c r="AL20" s="15" t="n">
        <v>1</v>
      </c>
      <c r="AM20" s="15" t="n">
        <v>1</v>
      </c>
      <c r="AN20" s="15" t="n">
        <v>1</v>
      </c>
      <c r="AO20" s="15" t="n">
        <v>1</v>
      </c>
      <c r="AP20" s="15" t="n">
        <v>1</v>
      </c>
      <c r="AQ20" s="15" t="n">
        <v>1</v>
      </c>
      <c r="AR20" s="15" t="n">
        <v>1</v>
      </c>
      <c r="AS20" s="15" t="n">
        <v>1</v>
      </c>
      <c r="AT20" s="15" t="n">
        <v>1</v>
      </c>
      <c r="AU20" s="15" t="n">
        <v>1</v>
      </c>
      <c r="AV20" s="15" t="n">
        <v>1</v>
      </c>
      <c r="AW20" s="15" t="n">
        <v>1</v>
      </c>
      <c r="AX20" s="15" t="n">
        <v>1</v>
      </c>
      <c r="AY20" s="15" t="n">
        <v>1</v>
      </c>
      <c r="AZ20" s="15" t="n">
        <v>1</v>
      </c>
      <c r="BB20" s="15" t="n">
        <v>1</v>
      </c>
      <c r="BC20" s="15" t="n">
        <v>1</v>
      </c>
      <c r="BD20" s="15" t="n">
        <v>1</v>
      </c>
      <c r="BE20" s="15" t="n">
        <v>1</v>
      </c>
      <c r="BF20" s="15" t="n">
        <v>1</v>
      </c>
      <c r="BG20" s="15" t="n">
        <v>1</v>
      </c>
      <c r="BH20" s="15" t="n">
        <v>1</v>
      </c>
      <c r="BI20" s="15" t="n">
        <v>1</v>
      </c>
      <c r="BJ20" s="15" t="n">
        <v>1</v>
      </c>
    </row>
    <row r="21" customFormat="false" ht="15.75" hidden="false" customHeight="false" outlineLevel="0" collapsed="false">
      <c r="A21" s="15" t="s">
        <v>468</v>
      </c>
      <c r="S21" s="15" t="n">
        <v>1</v>
      </c>
      <c r="U21" s="15" t="n">
        <v>1</v>
      </c>
      <c r="V21" s="15" t="n">
        <v>1</v>
      </c>
      <c r="W21" s="15" t="n">
        <v>1</v>
      </c>
      <c r="X21" s="15" t="n">
        <v>1</v>
      </c>
      <c r="Y21" s="15" t="n">
        <v>1</v>
      </c>
      <c r="AA21" s="15" t="n">
        <v>1</v>
      </c>
      <c r="BP21" s="15" t="n">
        <v>1</v>
      </c>
      <c r="BQ21" s="15" t="n">
        <v>1</v>
      </c>
      <c r="BR21" s="15" t="n">
        <v>1</v>
      </c>
      <c r="BS21" s="15" t="n">
        <v>1</v>
      </c>
      <c r="BU21" s="15" t="n">
        <v>1</v>
      </c>
      <c r="BV21" s="15" t="n">
        <v>1</v>
      </c>
      <c r="BW21" s="15" t="n">
        <v>1</v>
      </c>
      <c r="BX21" s="15" t="n">
        <v>1</v>
      </c>
      <c r="BY21" s="15" t="n">
        <v>1</v>
      </c>
      <c r="BZ21" s="15" t="n">
        <v>1</v>
      </c>
      <c r="CA21" s="15" t="n">
        <v>1</v>
      </c>
      <c r="CB21" s="15" t="n">
        <v>1</v>
      </c>
      <c r="CC21" s="15" t="n">
        <v>1</v>
      </c>
      <c r="CE21" s="15" t="n">
        <v>1</v>
      </c>
      <c r="CF21" s="15" t="n">
        <v>1</v>
      </c>
      <c r="CG21" s="15" t="n">
        <v>1</v>
      </c>
      <c r="CH21" s="15" t="n">
        <v>1</v>
      </c>
    </row>
    <row r="22" customFormat="false" ht="15.75" hidden="false" customHeight="false" outlineLevel="0" collapsed="false">
      <c r="A22" s="15" t="s">
        <v>469</v>
      </c>
      <c r="K22" s="15" t="n">
        <v>1</v>
      </c>
      <c r="L22" s="15" t="n">
        <v>1</v>
      </c>
      <c r="M22" s="15" t="n">
        <v>1</v>
      </c>
      <c r="O22" s="15" t="n">
        <v>1</v>
      </c>
      <c r="P22" s="15" t="n">
        <v>1</v>
      </c>
      <c r="Q22" s="15" t="n">
        <v>1</v>
      </c>
      <c r="R22" s="15" t="n">
        <v>1</v>
      </c>
      <c r="S22" s="15" t="n">
        <v>1</v>
      </c>
      <c r="U22" s="15" t="n">
        <v>1</v>
      </c>
      <c r="V22" s="15" t="n">
        <v>1</v>
      </c>
      <c r="W22" s="15" t="n">
        <v>1</v>
      </c>
      <c r="X22" s="15" t="n">
        <v>1</v>
      </c>
      <c r="Y22" s="15" t="n">
        <v>1</v>
      </c>
      <c r="AA22" s="15" t="n">
        <v>1</v>
      </c>
      <c r="AB22" s="15" t="n">
        <v>1</v>
      </c>
      <c r="AC22" s="15" t="n">
        <v>1</v>
      </c>
      <c r="AD22" s="15" t="n">
        <v>1</v>
      </c>
      <c r="AE22" s="15" t="n">
        <v>1</v>
      </c>
      <c r="AF22" s="15" t="n">
        <v>1</v>
      </c>
      <c r="AG22" s="15" t="n">
        <v>1</v>
      </c>
      <c r="AH22" s="15" t="n">
        <v>1</v>
      </c>
      <c r="AI22" s="15" t="n">
        <v>1</v>
      </c>
      <c r="AK22" s="15" t="n">
        <v>1</v>
      </c>
      <c r="AL22" s="15" t="n">
        <v>1</v>
      </c>
      <c r="AM22" s="15" t="n">
        <v>1</v>
      </c>
      <c r="AQ22" s="15" t="n">
        <v>1</v>
      </c>
      <c r="AR22" s="15" t="n">
        <v>1</v>
      </c>
      <c r="AS22" s="15" t="n">
        <v>1</v>
      </c>
      <c r="AT22" s="15" t="n">
        <v>1</v>
      </c>
      <c r="AV22" s="15" t="n">
        <v>1</v>
      </c>
      <c r="AW22" s="15" t="n">
        <v>1</v>
      </c>
      <c r="AX22" s="15" t="n">
        <v>1</v>
      </c>
      <c r="AY22" s="15" t="n">
        <v>1</v>
      </c>
      <c r="AZ22" s="15" t="n">
        <v>1</v>
      </c>
      <c r="BB22" s="15" t="n">
        <v>1</v>
      </c>
      <c r="BC22" s="15" t="n">
        <v>1</v>
      </c>
      <c r="BD22" s="15" t="n">
        <v>1</v>
      </c>
    </row>
    <row r="23" customFormat="false" ht="15.75" hidden="false" customHeight="false" outlineLevel="0" collapsed="false">
      <c r="A23" s="15" t="s">
        <v>470</v>
      </c>
      <c r="D23" s="15" t="n">
        <v>1</v>
      </c>
      <c r="AK23" s="15" t="n">
        <v>1</v>
      </c>
      <c r="BD23" s="15" t="n">
        <v>1</v>
      </c>
      <c r="BE23" s="15" t="n">
        <v>1</v>
      </c>
    </row>
    <row r="24" customFormat="false" ht="15.75" hidden="false" customHeight="false" outlineLevel="0" collapsed="false">
      <c r="A24" s="15" t="s">
        <v>471</v>
      </c>
      <c r="F24" s="15" t="n">
        <v>1</v>
      </c>
      <c r="G24" s="15" t="n">
        <v>1</v>
      </c>
      <c r="O24" s="15" t="n">
        <v>1</v>
      </c>
      <c r="P24" s="15" t="n">
        <v>1</v>
      </c>
      <c r="Q24" s="15" t="n">
        <v>1</v>
      </c>
      <c r="R24" s="15" t="n">
        <v>1</v>
      </c>
      <c r="S24" s="15" t="n">
        <v>1</v>
      </c>
      <c r="X24" s="15" t="n">
        <v>1</v>
      </c>
      <c r="Y24" s="15" t="n">
        <v>1</v>
      </c>
      <c r="AO24" s="15" t="n">
        <v>1</v>
      </c>
      <c r="AP24" s="15" t="n">
        <v>1</v>
      </c>
      <c r="AQ24" s="15" t="n">
        <v>1</v>
      </c>
      <c r="BN24" s="15" t="n">
        <v>1</v>
      </c>
    </row>
    <row r="25" customFormat="false" ht="15.75" hidden="false" customHeight="false" outlineLevel="0" collapsed="false">
      <c r="A25" s="15" t="s">
        <v>472</v>
      </c>
      <c r="AK25" s="15" t="n">
        <v>1</v>
      </c>
      <c r="AL25" s="15" t="n">
        <v>1</v>
      </c>
      <c r="AP25" s="15" t="n">
        <v>1</v>
      </c>
      <c r="AQ25" s="15" t="n">
        <v>1</v>
      </c>
      <c r="AR25" s="15" t="n">
        <v>1</v>
      </c>
      <c r="AS25" s="15" t="n">
        <v>1</v>
      </c>
      <c r="AT25" s="15" t="n">
        <v>1</v>
      </c>
      <c r="AU25" s="15" t="n">
        <v>1</v>
      </c>
      <c r="AV25" s="15" t="n">
        <v>1</v>
      </c>
      <c r="AW25" s="15" t="n">
        <v>1</v>
      </c>
      <c r="AX25" s="15" t="n">
        <v>1</v>
      </c>
      <c r="AY25" s="15" t="n">
        <v>1</v>
      </c>
      <c r="AZ25" s="15" t="n">
        <v>1</v>
      </c>
    </row>
    <row r="26" customFormat="false" ht="15.75" hidden="false" customHeight="false" outlineLevel="0" collapsed="false">
      <c r="A26" s="15" t="s">
        <v>473</v>
      </c>
      <c r="Q26" s="15" t="n">
        <v>1</v>
      </c>
      <c r="R26" s="15" t="n">
        <v>1</v>
      </c>
      <c r="S26" s="15" t="n">
        <v>1</v>
      </c>
      <c r="U26" s="15" t="n">
        <v>1</v>
      </c>
      <c r="AF26" s="15" t="n">
        <v>1</v>
      </c>
      <c r="AG26" s="15" t="n">
        <v>1</v>
      </c>
      <c r="AH26" s="15" t="n">
        <v>1</v>
      </c>
      <c r="AI26" s="15" t="n">
        <v>1</v>
      </c>
      <c r="BA26" s="15" t="n">
        <v>1</v>
      </c>
      <c r="BJ26" s="15" t="n">
        <v>1</v>
      </c>
      <c r="BK26" s="15" t="n">
        <v>1</v>
      </c>
      <c r="BL26" s="15" t="n">
        <v>1</v>
      </c>
      <c r="BM26" s="15" t="n">
        <v>1</v>
      </c>
      <c r="BN26" s="15" t="n">
        <v>1</v>
      </c>
    </row>
    <row r="27" customFormat="false" ht="15.75" hidden="false" customHeight="false" outlineLevel="0" collapsed="false">
      <c r="A27" s="15" t="s">
        <v>474</v>
      </c>
      <c r="H27" s="15" t="n">
        <v>1</v>
      </c>
      <c r="J27" s="15" t="n">
        <v>1</v>
      </c>
      <c r="K27" s="15" t="n">
        <v>1</v>
      </c>
      <c r="L27" s="15" t="n">
        <v>1</v>
      </c>
      <c r="AK27" s="15" t="n">
        <v>1</v>
      </c>
      <c r="AL27" s="15" t="n">
        <v>1</v>
      </c>
      <c r="AM27" s="15" t="n">
        <v>1</v>
      </c>
      <c r="AN27" s="15" t="n">
        <v>1</v>
      </c>
      <c r="AZ27" s="15" t="n">
        <v>1</v>
      </c>
      <c r="BB27" s="15" t="n">
        <v>1</v>
      </c>
      <c r="BC27" s="15" t="n">
        <v>1</v>
      </c>
    </row>
    <row r="28" customFormat="false" ht="15.75" hidden="false" customHeight="false" outlineLevel="0" collapsed="false">
      <c r="A28" s="15" t="s">
        <v>475</v>
      </c>
      <c r="D28" s="15" t="n">
        <v>1</v>
      </c>
      <c r="AQ28" s="15" t="n">
        <v>1</v>
      </c>
      <c r="AR28" s="15" t="n">
        <v>1</v>
      </c>
      <c r="AS28" s="15" t="n">
        <v>1</v>
      </c>
      <c r="AT28" s="15" t="n">
        <v>1</v>
      </c>
      <c r="AV28" s="15" t="n">
        <v>1</v>
      </c>
    </row>
    <row r="29" customFormat="false" ht="15.75" hidden="false" customHeight="false" outlineLevel="0" collapsed="false">
      <c r="A29" s="15" t="s">
        <v>476</v>
      </c>
      <c r="AA29" s="15" t="n">
        <v>1</v>
      </c>
      <c r="AB29" s="15" t="n">
        <v>1</v>
      </c>
      <c r="AE29" s="15" t="n">
        <v>1</v>
      </c>
    </row>
    <row r="30" customFormat="false" ht="15.75" hidden="false" customHeight="false" outlineLevel="0" collapsed="false">
      <c r="A30" s="15" t="s">
        <v>477</v>
      </c>
      <c r="D30" s="15" t="n">
        <v>1</v>
      </c>
      <c r="E30" s="15" t="n">
        <v>1</v>
      </c>
      <c r="F30" s="15" t="n">
        <v>1</v>
      </c>
      <c r="G30" s="15" t="n">
        <v>1</v>
      </c>
      <c r="H30" s="15" t="n">
        <v>1</v>
      </c>
      <c r="J30" s="15" t="n">
        <v>1</v>
      </c>
      <c r="K30" s="15" t="n">
        <v>1</v>
      </c>
      <c r="L30" s="15" t="n">
        <v>1</v>
      </c>
      <c r="M30" s="15" t="n">
        <v>1</v>
      </c>
      <c r="N30" s="15" t="n">
        <v>1</v>
      </c>
      <c r="O30" s="15" t="n">
        <v>1</v>
      </c>
      <c r="P30" s="15" t="n">
        <v>1</v>
      </c>
      <c r="Q30" s="15" t="n">
        <v>1</v>
      </c>
      <c r="R30" s="15" t="n">
        <v>1</v>
      </c>
      <c r="S30" s="15" t="n">
        <v>1</v>
      </c>
      <c r="AB30" s="15" t="n">
        <v>1</v>
      </c>
      <c r="AC30" s="15" t="n">
        <v>1</v>
      </c>
      <c r="AD30" s="15" t="n">
        <v>1</v>
      </c>
      <c r="AE30" s="15" t="n">
        <v>1</v>
      </c>
      <c r="AF30" s="15" t="n">
        <v>1</v>
      </c>
      <c r="AG30" s="15" t="n">
        <v>1</v>
      </c>
      <c r="AH30" s="15" t="n">
        <v>1</v>
      </c>
      <c r="AI30" s="15" t="n">
        <v>1</v>
      </c>
      <c r="BB30" s="15" t="n">
        <v>1</v>
      </c>
      <c r="BC30" s="15" t="n">
        <v>1</v>
      </c>
      <c r="BD30" s="15" t="n">
        <v>1</v>
      </c>
      <c r="BE30" s="15" t="n">
        <v>1</v>
      </c>
      <c r="BF30" s="15" t="n">
        <v>1</v>
      </c>
      <c r="BG30" s="15" t="n">
        <v>1</v>
      </c>
      <c r="BH30" s="15" t="n">
        <v>1</v>
      </c>
      <c r="BJ30" s="15" t="n">
        <v>1</v>
      </c>
      <c r="BK30" s="15" t="n">
        <v>1</v>
      </c>
    </row>
    <row r="31" customFormat="false" ht="15.75" hidden="false" customHeight="false" outlineLevel="0" collapsed="false">
      <c r="A31" s="15" t="s">
        <v>478</v>
      </c>
      <c r="V31" s="15" t="n">
        <v>1</v>
      </c>
      <c r="W31" s="15" t="n">
        <v>1</v>
      </c>
      <c r="AX31" s="15" t="n">
        <v>1</v>
      </c>
    </row>
    <row r="32" customFormat="false" ht="15.75" hidden="false" customHeight="false" outlineLevel="0" collapsed="false">
      <c r="A32" s="15" t="s">
        <v>479</v>
      </c>
      <c r="AL32" s="15" t="n">
        <v>1</v>
      </c>
      <c r="AN32" s="15" t="n">
        <v>1</v>
      </c>
      <c r="AY32" s="15" t="n">
        <v>1</v>
      </c>
      <c r="AZ32" s="15" t="n">
        <v>1</v>
      </c>
      <c r="BB32" s="15" t="n">
        <v>1</v>
      </c>
      <c r="BC32" s="15" t="n">
        <v>1</v>
      </c>
    </row>
    <row r="33" customFormat="false" ht="15.75" hidden="false" customHeight="false" outlineLevel="0" collapsed="false">
      <c r="A33" s="15" t="s">
        <v>480</v>
      </c>
      <c r="X33" s="15" t="n">
        <v>1</v>
      </c>
      <c r="Y33" s="15" t="n">
        <v>1</v>
      </c>
      <c r="AA33" s="15" t="n">
        <v>1</v>
      </c>
      <c r="BN33" s="15" t="n">
        <v>1</v>
      </c>
    </row>
    <row r="34" customFormat="false" ht="15.75" hidden="false" customHeight="false" outlineLevel="0" collapsed="false">
      <c r="A34" s="15" t="s">
        <v>481</v>
      </c>
      <c r="Q34" s="15" t="n">
        <v>1</v>
      </c>
      <c r="R34" s="15" t="n">
        <v>1</v>
      </c>
      <c r="AM34" s="15" t="n">
        <v>1</v>
      </c>
      <c r="AW34" s="15" t="n">
        <v>1</v>
      </c>
    </row>
    <row r="35" customFormat="false" ht="15.75" hidden="false" customHeight="false" outlineLevel="0" collapsed="false">
      <c r="A35" s="15" t="s">
        <v>482</v>
      </c>
      <c r="W35" s="15" t="n">
        <v>1</v>
      </c>
    </row>
    <row r="36" customFormat="false" ht="15.75" hidden="false" customHeight="false" outlineLevel="0" collapsed="false">
      <c r="A36" s="15" t="s">
        <v>483</v>
      </c>
      <c r="D36" s="15" t="n">
        <v>1</v>
      </c>
    </row>
    <row r="37" customFormat="false" ht="15.75" hidden="false" customHeight="false" outlineLevel="0" collapsed="false">
      <c r="A37" s="15" t="s">
        <v>484</v>
      </c>
      <c r="AA37" s="15" t="n">
        <v>1</v>
      </c>
      <c r="AB37" s="15" t="n">
        <v>1</v>
      </c>
      <c r="AC37" s="15" t="n">
        <v>1</v>
      </c>
      <c r="AD37" s="15" t="n">
        <v>1</v>
      </c>
      <c r="BP37" s="15" t="n">
        <v>1</v>
      </c>
      <c r="BQ37" s="15" t="n">
        <v>1</v>
      </c>
      <c r="BR37" s="15" t="n">
        <v>1</v>
      </c>
      <c r="BS37" s="15" t="n">
        <v>1</v>
      </c>
    </row>
    <row r="38" customFormat="false" ht="15.75" hidden="false" customHeight="false" outlineLevel="0" collapsed="false">
      <c r="A38" s="15" t="s">
        <v>485</v>
      </c>
      <c r="G38" s="15" t="n">
        <v>1</v>
      </c>
      <c r="H38" s="15" t="n">
        <v>1</v>
      </c>
    </row>
    <row r="39" customFormat="false" ht="15.75" hidden="false" customHeight="false" outlineLevel="0" collapsed="false">
      <c r="A39" s="15" t="s">
        <v>486</v>
      </c>
      <c r="AK39" s="15" t="n">
        <v>1</v>
      </c>
      <c r="AL39" s="15" t="n">
        <v>1</v>
      </c>
      <c r="AP39" s="15" t="n">
        <v>1</v>
      </c>
      <c r="AQ39" s="15" t="n">
        <v>1</v>
      </c>
      <c r="AR39" s="15" t="n">
        <v>1</v>
      </c>
      <c r="AS39" s="15" t="n">
        <v>1</v>
      </c>
      <c r="AT39" s="15" t="n">
        <v>1</v>
      </c>
      <c r="AU39" s="15" t="n">
        <v>1</v>
      </c>
      <c r="AV39" s="15" t="n">
        <v>1</v>
      </c>
      <c r="AW39" s="15" t="n">
        <v>1</v>
      </c>
      <c r="AX39" s="15" t="n">
        <v>1</v>
      </c>
      <c r="AY39" s="15" t="n">
        <v>1</v>
      </c>
      <c r="AZ39" s="15" t="n">
        <v>1</v>
      </c>
    </row>
    <row r="40" customFormat="false" ht="15.75" hidden="false" customHeight="false" outlineLevel="0" collapsed="false">
      <c r="A40" s="15" t="s">
        <v>487</v>
      </c>
      <c r="Q40" s="15" t="n">
        <v>1</v>
      </c>
      <c r="R40" s="15" t="n">
        <v>1</v>
      </c>
      <c r="S40" s="15" t="n">
        <v>1</v>
      </c>
      <c r="U40" s="15" t="n">
        <v>1</v>
      </c>
      <c r="AF40" s="15" t="n">
        <v>1</v>
      </c>
      <c r="AG40" s="15" t="n">
        <v>1</v>
      </c>
      <c r="AH40" s="15" t="n">
        <v>1</v>
      </c>
      <c r="AI40" s="15" t="n">
        <v>1</v>
      </c>
      <c r="BA40" s="15" t="n">
        <v>1</v>
      </c>
      <c r="BJ40" s="15" t="n">
        <v>1</v>
      </c>
      <c r="BK40" s="15" t="n">
        <v>1</v>
      </c>
      <c r="BL40" s="15" t="n">
        <v>1</v>
      </c>
      <c r="BM40" s="15" t="n">
        <v>1</v>
      </c>
      <c r="BN40" s="15" t="n">
        <v>1</v>
      </c>
    </row>
    <row r="41" customFormat="false" ht="15.75" hidden="false" customHeight="false" outlineLevel="0" collapsed="false">
      <c r="A41" s="15" t="s">
        <v>488</v>
      </c>
      <c r="H41" s="15" t="n">
        <v>1</v>
      </c>
      <c r="J41" s="15" t="n">
        <v>1</v>
      </c>
      <c r="K41" s="15" t="n">
        <v>1</v>
      </c>
      <c r="L41" s="15" t="n">
        <v>1</v>
      </c>
      <c r="AK41" s="15" t="n">
        <v>1</v>
      </c>
      <c r="AL41" s="15" t="n">
        <v>1</v>
      </c>
      <c r="AM41" s="15" t="n">
        <v>1</v>
      </c>
      <c r="AN41" s="15" t="n">
        <v>1</v>
      </c>
      <c r="AZ41" s="15" t="n">
        <v>1</v>
      </c>
      <c r="BB41" s="15" t="n">
        <v>1</v>
      </c>
      <c r="BC41" s="15" t="n">
        <v>1</v>
      </c>
    </row>
    <row r="42" customFormat="false" ht="15.75" hidden="false" customHeight="false" outlineLevel="0" collapsed="false">
      <c r="A42" s="15" t="s">
        <v>489</v>
      </c>
      <c r="D42" s="15" t="n">
        <v>1</v>
      </c>
      <c r="AQ42" s="15" t="n">
        <v>1</v>
      </c>
      <c r="AR42" s="15" t="n">
        <v>1</v>
      </c>
      <c r="AS42" s="15" t="n">
        <v>1</v>
      </c>
      <c r="AT42" s="15" t="n">
        <v>1</v>
      </c>
      <c r="AV42" s="15" t="n">
        <v>1</v>
      </c>
    </row>
    <row r="43" customFormat="false" ht="15.75" hidden="false" customHeight="false" outlineLevel="0" collapsed="false">
      <c r="A43" s="15" t="s">
        <v>490</v>
      </c>
      <c r="AA43" s="15" t="n">
        <v>1</v>
      </c>
      <c r="AB43" s="15" t="n">
        <v>1</v>
      </c>
      <c r="AE43" s="15" t="n">
        <v>1</v>
      </c>
    </row>
    <row r="44" customFormat="false" ht="15.75" hidden="false" customHeight="false" outlineLevel="0" collapsed="false">
      <c r="A44" s="15" t="s">
        <v>491</v>
      </c>
      <c r="D44" s="15" t="n">
        <v>1</v>
      </c>
      <c r="E44" s="15" t="n">
        <v>1</v>
      </c>
      <c r="F44" s="15" t="n">
        <v>1</v>
      </c>
      <c r="G44" s="15" t="n">
        <v>1</v>
      </c>
      <c r="H44" s="15" t="n">
        <v>1</v>
      </c>
      <c r="J44" s="15" t="n">
        <v>1</v>
      </c>
      <c r="K44" s="15" t="n">
        <v>1</v>
      </c>
      <c r="L44" s="15" t="n">
        <v>1</v>
      </c>
      <c r="M44" s="15" t="n">
        <v>1</v>
      </c>
      <c r="N44" s="15" t="n">
        <v>1</v>
      </c>
      <c r="O44" s="15" t="n">
        <v>1</v>
      </c>
      <c r="P44" s="15" t="n">
        <v>1</v>
      </c>
      <c r="Q44" s="15" t="n">
        <v>1</v>
      </c>
      <c r="R44" s="15" t="n">
        <v>1</v>
      </c>
      <c r="S44" s="15" t="n">
        <v>1</v>
      </c>
      <c r="AB44" s="15" t="n">
        <v>1</v>
      </c>
      <c r="AC44" s="15" t="n">
        <v>1</v>
      </c>
      <c r="AD44" s="15" t="n">
        <v>1</v>
      </c>
      <c r="AE44" s="15" t="n">
        <v>1</v>
      </c>
      <c r="AF44" s="15" t="n">
        <v>1</v>
      </c>
      <c r="AG44" s="15" t="n">
        <v>1</v>
      </c>
      <c r="AH44" s="15" t="n">
        <v>1</v>
      </c>
      <c r="AI44" s="15" t="n">
        <v>1</v>
      </c>
      <c r="BB44" s="15" t="n">
        <v>1</v>
      </c>
      <c r="BC44" s="15" t="n">
        <v>1</v>
      </c>
      <c r="BD44" s="15" t="n">
        <v>1</v>
      </c>
      <c r="BE44" s="15" t="n">
        <v>1</v>
      </c>
      <c r="BF44" s="15" t="n">
        <v>1</v>
      </c>
      <c r="BG44" s="15" t="n">
        <v>1</v>
      </c>
      <c r="BH44" s="15" t="n">
        <v>1</v>
      </c>
      <c r="BJ44" s="15" t="n">
        <v>1</v>
      </c>
      <c r="BK44" s="15" t="n">
        <v>1</v>
      </c>
    </row>
    <row r="45" customFormat="false" ht="15.75" hidden="false" customHeight="false" outlineLevel="0" collapsed="false">
      <c r="A45" s="15" t="s">
        <v>492</v>
      </c>
      <c r="AG45" s="15" t="n">
        <v>1</v>
      </c>
    </row>
    <row r="46" customFormat="false" ht="15.75" hidden="false" customHeight="false" outlineLevel="0" collapsed="false">
      <c r="A46" s="15" t="s">
        <v>493</v>
      </c>
      <c r="J46" s="15" t="n">
        <v>1</v>
      </c>
      <c r="K46" s="15" t="n">
        <v>1</v>
      </c>
      <c r="L46" s="15" t="n">
        <v>1</v>
      </c>
      <c r="M46" s="15" t="n">
        <v>1</v>
      </c>
      <c r="N46" s="15" t="n">
        <v>1</v>
      </c>
      <c r="O46" s="15" t="n">
        <v>1</v>
      </c>
      <c r="P46" s="15" t="n">
        <v>1</v>
      </c>
      <c r="Q46" s="15" t="n">
        <v>1</v>
      </c>
    </row>
    <row r="47" customFormat="false" ht="15.75" hidden="false" customHeight="false" outlineLevel="0" collapsed="false">
      <c r="A47" s="15" t="s">
        <v>494</v>
      </c>
      <c r="J47" s="15" t="n">
        <v>1</v>
      </c>
      <c r="K47" s="15" t="n">
        <v>1</v>
      </c>
      <c r="AE47" s="15" t="n">
        <v>1</v>
      </c>
      <c r="AF47" s="15" t="n">
        <v>1</v>
      </c>
      <c r="BO47" s="15" t="n">
        <v>1</v>
      </c>
      <c r="BP47" s="15" t="n">
        <v>1</v>
      </c>
      <c r="BQ47" s="15" t="n">
        <v>1</v>
      </c>
    </row>
    <row r="48" customFormat="false" ht="15.75" hidden="false" customHeight="false" outlineLevel="0" collapsed="false">
      <c r="A48" s="15" t="s">
        <v>495</v>
      </c>
      <c r="U48" s="15" t="n">
        <v>1</v>
      </c>
      <c r="V48" s="15" t="n">
        <v>1</v>
      </c>
      <c r="W48" s="15" t="n">
        <v>1</v>
      </c>
      <c r="X48" s="15" t="n">
        <v>1</v>
      </c>
      <c r="Y48" s="15" t="n">
        <v>1</v>
      </c>
      <c r="AA48" s="15" t="n">
        <v>1</v>
      </c>
      <c r="AR48" s="15" t="n">
        <v>1</v>
      </c>
      <c r="AS48" s="15" t="n">
        <v>1</v>
      </c>
      <c r="AT48" s="15" t="n">
        <v>1</v>
      </c>
      <c r="AV48" s="15" t="n">
        <v>1</v>
      </c>
      <c r="AW48" s="15" t="n">
        <v>1</v>
      </c>
      <c r="AX48" s="15" t="n">
        <v>1</v>
      </c>
    </row>
    <row r="49" customFormat="false" ht="15.75" hidden="false" customHeight="false" outlineLevel="0" collapsed="false">
      <c r="A49" s="15" t="s">
        <v>496</v>
      </c>
      <c r="L49" s="15" t="n">
        <v>1</v>
      </c>
      <c r="M49" s="15" t="n">
        <v>1</v>
      </c>
      <c r="N49" s="15" t="n">
        <v>1</v>
      </c>
      <c r="O49" s="15" t="n">
        <v>1</v>
      </c>
      <c r="P49" s="15" t="n">
        <v>1</v>
      </c>
      <c r="Q49" s="15" t="n">
        <v>1</v>
      </c>
      <c r="R49" s="15" t="n">
        <v>1</v>
      </c>
      <c r="S49" s="15" t="n">
        <v>1</v>
      </c>
      <c r="T49" s="15" t="n">
        <v>1</v>
      </c>
      <c r="U49" s="15" t="n">
        <v>1</v>
      </c>
      <c r="V49" s="15" t="n">
        <v>1</v>
      </c>
      <c r="AG49" s="15" t="n">
        <v>1</v>
      </c>
      <c r="AH49" s="15" t="n">
        <v>1</v>
      </c>
      <c r="AI49" s="15" t="n">
        <v>1</v>
      </c>
      <c r="AK49" s="15" t="n">
        <v>1</v>
      </c>
      <c r="AL49" s="15" t="n">
        <v>1</v>
      </c>
      <c r="AM49" s="15" t="n">
        <v>1</v>
      </c>
      <c r="AN49" s="15" t="n">
        <v>1</v>
      </c>
      <c r="BF49" s="15" t="n">
        <v>1</v>
      </c>
      <c r="BG49" s="15" t="n">
        <v>1</v>
      </c>
      <c r="BH49" s="15" t="n">
        <v>1</v>
      </c>
      <c r="BJ49" s="15" t="n">
        <v>1</v>
      </c>
      <c r="BK49" s="15" t="n">
        <v>1</v>
      </c>
      <c r="BL49" s="15" t="n">
        <v>1</v>
      </c>
      <c r="BM49" s="15" t="n">
        <v>1</v>
      </c>
    </row>
    <row r="50" customFormat="false" ht="15.75" hidden="false" customHeight="false" outlineLevel="0" collapsed="false">
      <c r="A50" s="15" t="s">
        <v>205</v>
      </c>
      <c r="BE50" s="15" t="n">
        <v>1</v>
      </c>
      <c r="BF50" s="15" t="n">
        <v>1</v>
      </c>
      <c r="BG50" s="15" t="n">
        <v>1</v>
      </c>
      <c r="BH50" s="15" t="n">
        <v>1</v>
      </c>
      <c r="BJ50" s="15" t="n">
        <v>1</v>
      </c>
      <c r="BK50" s="15" t="n">
        <v>1</v>
      </c>
      <c r="BL50" s="15" t="n">
        <v>1</v>
      </c>
      <c r="BM50" s="15" t="n">
        <v>1</v>
      </c>
    </row>
    <row r="51" customFormat="false" ht="15.75" hidden="false" customHeight="false" outlineLevel="0" collapsed="false">
      <c r="A51" s="15" t="s">
        <v>497</v>
      </c>
      <c r="U51" s="15" t="n">
        <v>1</v>
      </c>
      <c r="V51" s="15" t="n">
        <v>1</v>
      </c>
    </row>
    <row r="52" customFormat="false" ht="15.75" hidden="false" customHeight="false" outlineLevel="0" collapsed="false">
      <c r="A52" s="15" t="s">
        <v>498</v>
      </c>
      <c r="AJ52" s="15" t="n">
        <v>1</v>
      </c>
      <c r="AM52" s="15" t="n">
        <v>1</v>
      </c>
      <c r="AN52" s="15" t="n">
        <v>1</v>
      </c>
      <c r="AO52" s="15" t="n">
        <v>2</v>
      </c>
      <c r="AP52" s="15" t="n">
        <v>1</v>
      </c>
      <c r="AQ52" s="15" t="n">
        <v>1</v>
      </c>
      <c r="AR52" s="15" t="n">
        <v>1</v>
      </c>
      <c r="AS52" s="15" t="n">
        <v>1</v>
      </c>
      <c r="AT52" s="15" t="n">
        <v>1</v>
      </c>
      <c r="AV52" s="15" t="n">
        <v>1</v>
      </c>
    </row>
    <row r="53" customFormat="false" ht="15.75" hidden="false" customHeight="false" outlineLevel="0" collapsed="false">
      <c r="A53" s="15" t="s">
        <v>499</v>
      </c>
      <c r="M53" s="15" t="n">
        <v>1</v>
      </c>
      <c r="N53" s="15" t="n">
        <v>1</v>
      </c>
      <c r="O53" s="15" t="n">
        <v>1</v>
      </c>
      <c r="P53" s="15" t="n">
        <v>1</v>
      </c>
      <c r="AB53" s="15" t="n">
        <v>1</v>
      </c>
      <c r="AC53" s="15" t="n">
        <v>1</v>
      </c>
      <c r="AD53" s="15" t="n">
        <v>1</v>
      </c>
      <c r="AE53" s="15" t="n">
        <v>1</v>
      </c>
      <c r="AF53" s="15" t="n">
        <v>1</v>
      </c>
      <c r="BD53" s="15" t="n">
        <v>1</v>
      </c>
      <c r="BE53" s="15" t="n">
        <v>1</v>
      </c>
      <c r="BF53" s="15" t="n">
        <v>1</v>
      </c>
      <c r="BG53" s="15" t="n">
        <v>1</v>
      </c>
      <c r="BH53" s="15" t="n">
        <v>1</v>
      </c>
    </row>
    <row r="54" customFormat="false" ht="15.75" hidden="false" customHeight="false" outlineLevel="0" collapsed="false">
      <c r="A54" s="15" t="s">
        <v>500</v>
      </c>
      <c r="E54" s="15" t="n">
        <v>1</v>
      </c>
      <c r="F54" s="15" t="n">
        <v>1</v>
      </c>
      <c r="G54" s="15" t="n">
        <v>1</v>
      </c>
      <c r="AG54" s="15" t="n">
        <v>1</v>
      </c>
      <c r="AH54" s="15" t="n">
        <v>1</v>
      </c>
      <c r="AI54" s="15" t="n">
        <v>1</v>
      </c>
      <c r="AW54" s="15" t="n">
        <v>1</v>
      </c>
      <c r="AX54" s="15" t="n">
        <v>1</v>
      </c>
      <c r="AY54" s="15" t="n">
        <v>1</v>
      </c>
    </row>
    <row r="55" customFormat="false" ht="15.75" hidden="false" customHeight="false" outlineLevel="0" collapsed="false">
      <c r="A55" s="15" t="s">
        <v>501</v>
      </c>
      <c r="B55" s="15" t="n">
        <v>1</v>
      </c>
      <c r="C55" s="15" t="n">
        <v>1</v>
      </c>
      <c r="I55" s="15" t="n">
        <v>1</v>
      </c>
    </row>
    <row r="56" customFormat="false" ht="15.75" hidden="false" customHeight="false" outlineLevel="0" collapsed="false">
      <c r="A56" s="15" t="s">
        <v>502</v>
      </c>
      <c r="AB56" s="15" t="n">
        <v>1</v>
      </c>
      <c r="AC56" s="15" t="n">
        <v>1</v>
      </c>
      <c r="AD56" s="15" t="n">
        <v>1</v>
      </c>
      <c r="AE56" s="15" t="n">
        <v>1</v>
      </c>
      <c r="AF56" s="15" t="n">
        <v>1</v>
      </c>
      <c r="AG56" s="15" t="n">
        <v>1</v>
      </c>
      <c r="AH56" s="15" t="n">
        <v>1</v>
      </c>
      <c r="AI56" s="15" t="n">
        <v>1</v>
      </c>
      <c r="AK56" s="15" t="n">
        <v>1</v>
      </c>
      <c r="AL56" s="15" t="n">
        <v>1</v>
      </c>
      <c r="AM56" s="15" t="n">
        <v>1</v>
      </c>
      <c r="AN56" s="15" t="n">
        <v>1</v>
      </c>
      <c r="AO56" s="15" t="n">
        <v>1</v>
      </c>
      <c r="AP56" s="15" t="n">
        <v>1</v>
      </c>
      <c r="AQ56" s="15" t="n">
        <v>1</v>
      </c>
      <c r="AR56" s="15" t="n">
        <v>1</v>
      </c>
      <c r="AS56" s="15" t="n">
        <v>1</v>
      </c>
      <c r="AT56" s="15" t="n">
        <v>1</v>
      </c>
      <c r="AV56" s="15" t="n">
        <v>1</v>
      </c>
      <c r="AW56" s="15" t="n">
        <v>1</v>
      </c>
    </row>
    <row r="57" customFormat="false" ht="15.75" hidden="false" customHeight="false" outlineLevel="0" collapsed="false">
      <c r="A57" s="15" t="s">
        <v>503</v>
      </c>
      <c r="R57" s="15" t="n">
        <v>1</v>
      </c>
      <c r="S57" s="15" t="n">
        <v>1</v>
      </c>
      <c r="U57" s="15" t="n">
        <v>1</v>
      </c>
      <c r="V57" s="15" t="n">
        <v>1</v>
      </c>
      <c r="W57" s="15" t="n">
        <v>1</v>
      </c>
      <c r="X57" s="15" t="n">
        <v>1</v>
      </c>
      <c r="Y57" s="15" t="n">
        <v>1</v>
      </c>
      <c r="Z57" s="15" t="n">
        <v>1</v>
      </c>
    </row>
    <row r="58" customFormat="false" ht="15.75" hidden="false" customHeight="false" outlineLevel="0" collapsed="false">
      <c r="A58" s="15" t="s">
        <v>504</v>
      </c>
      <c r="D58" s="15" t="n">
        <v>1</v>
      </c>
      <c r="E58" s="15" t="n">
        <v>1</v>
      </c>
      <c r="F58" s="15" t="n">
        <v>1</v>
      </c>
      <c r="G58" s="15" t="n">
        <v>1</v>
      </c>
      <c r="H58" s="15" t="n">
        <v>1</v>
      </c>
      <c r="J58" s="15" t="n">
        <v>1</v>
      </c>
      <c r="K58" s="15" t="n">
        <v>1</v>
      </c>
      <c r="L58" s="15" t="n">
        <v>1</v>
      </c>
      <c r="AC58" s="15" t="n">
        <v>1</v>
      </c>
      <c r="AD58" s="15" t="n">
        <v>1</v>
      </c>
      <c r="AE58" s="15" t="n">
        <v>1</v>
      </c>
      <c r="AF58" s="15" t="n">
        <v>1</v>
      </c>
      <c r="AG58" s="15" t="n">
        <v>1</v>
      </c>
      <c r="AH58" s="15" t="n">
        <v>1</v>
      </c>
      <c r="AI58" s="15" t="n">
        <v>1</v>
      </c>
      <c r="AJ58" s="15" t="n">
        <v>1</v>
      </c>
      <c r="AK58" s="15" t="n">
        <v>1</v>
      </c>
      <c r="AL58" s="15" t="n">
        <v>1</v>
      </c>
      <c r="AM58" s="15" t="n">
        <v>1</v>
      </c>
      <c r="AN58" s="15" t="n">
        <v>1</v>
      </c>
      <c r="AO58" s="15" t="n">
        <v>1</v>
      </c>
      <c r="AP58" s="15" t="n">
        <v>1</v>
      </c>
      <c r="AQ58" s="15" t="n">
        <v>2</v>
      </c>
      <c r="AR58" s="15" t="n">
        <v>2</v>
      </c>
      <c r="AS58" s="15" t="n">
        <v>2</v>
      </c>
      <c r="AT58" s="15" t="n">
        <v>2</v>
      </c>
      <c r="AU58" s="15" t="n">
        <v>2</v>
      </c>
      <c r="AV58" s="15" t="n">
        <v>2</v>
      </c>
      <c r="AW58" s="15" t="n">
        <v>2</v>
      </c>
      <c r="AX58" s="15" t="n">
        <v>2</v>
      </c>
      <c r="AY58" s="15" t="n">
        <v>2</v>
      </c>
      <c r="AZ58" s="15" t="n">
        <v>2</v>
      </c>
      <c r="BA58" s="15" t="n">
        <v>1</v>
      </c>
      <c r="BB58" s="15" t="n">
        <v>2</v>
      </c>
      <c r="BC58" s="15" t="n">
        <v>2</v>
      </c>
      <c r="BD58" s="15" t="n">
        <v>2</v>
      </c>
      <c r="BE58" s="15" t="n">
        <v>2</v>
      </c>
      <c r="BF58" s="15" t="n">
        <v>2</v>
      </c>
      <c r="BG58" s="15" t="n">
        <v>2</v>
      </c>
      <c r="BH58" s="15" t="n">
        <v>2</v>
      </c>
      <c r="BI58" s="15" t="n">
        <v>2</v>
      </c>
      <c r="BJ58" s="15" t="n">
        <v>2</v>
      </c>
      <c r="BK58" s="15" t="n">
        <v>2</v>
      </c>
      <c r="BL58" s="15" t="n">
        <v>2</v>
      </c>
      <c r="BM58" s="15" t="n">
        <v>2</v>
      </c>
      <c r="BN58" s="15" t="n">
        <v>2</v>
      </c>
      <c r="BO58" s="15" t="n">
        <v>2</v>
      </c>
      <c r="BP58" s="15" t="n">
        <v>2</v>
      </c>
      <c r="BQ58" s="15" t="n">
        <v>2</v>
      </c>
      <c r="BR58" s="15" t="n">
        <v>2</v>
      </c>
      <c r="BS58" s="15" t="n">
        <v>2</v>
      </c>
      <c r="BT58" s="15" t="n">
        <v>2</v>
      </c>
      <c r="BU58" s="15" t="n">
        <v>2</v>
      </c>
      <c r="BV58" s="15" t="n">
        <v>2</v>
      </c>
      <c r="BW58" s="15" t="n">
        <v>2</v>
      </c>
      <c r="BX58" s="15" t="n">
        <v>2</v>
      </c>
      <c r="BY58" s="15" t="n">
        <v>2</v>
      </c>
      <c r="BZ58" s="15" t="n">
        <v>2</v>
      </c>
      <c r="CA58" s="15" t="n">
        <v>2</v>
      </c>
      <c r="CB58" s="15" t="n">
        <v>2</v>
      </c>
      <c r="CC58" s="15" t="n">
        <v>2</v>
      </c>
      <c r="CE58" s="15" t="n">
        <v>2</v>
      </c>
      <c r="CF58" s="15" t="n">
        <v>2</v>
      </c>
      <c r="CG58" s="15" t="n">
        <v>1</v>
      </c>
    </row>
    <row r="59" customFormat="false" ht="15.75" hidden="false" customHeight="false" outlineLevel="0" collapsed="false">
      <c r="A59" s="15" t="s">
        <v>505</v>
      </c>
      <c r="M59" s="15" t="n">
        <v>1</v>
      </c>
      <c r="N59" s="15" t="n">
        <v>1</v>
      </c>
      <c r="O59" s="15" t="n">
        <v>1</v>
      </c>
      <c r="P59" s="15" t="n">
        <v>1</v>
      </c>
      <c r="Q59" s="15" t="n">
        <v>1</v>
      </c>
      <c r="R59" s="15" t="n">
        <v>1</v>
      </c>
      <c r="S59" s="15" t="n">
        <v>1</v>
      </c>
      <c r="U59" s="15" t="n">
        <v>1</v>
      </c>
      <c r="V59" s="15" t="n">
        <v>1</v>
      </c>
      <c r="W59" s="15" t="n">
        <v>1</v>
      </c>
      <c r="X59" s="15" t="n">
        <v>1</v>
      </c>
      <c r="Y59" s="15" t="n">
        <v>1</v>
      </c>
      <c r="AA59" s="15" t="n">
        <v>1</v>
      </c>
      <c r="AB59" s="15" t="n">
        <v>1</v>
      </c>
      <c r="AC59" s="15" t="n">
        <v>1</v>
      </c>
      <c r="AD59" s="15" t="n">
        <v>1</v>
      </c>
      <c r="AE59" s="15" t="n">
        <v>1</v>
      </c>
      <c r="AF59" s="15" t="n">
        <v>1</v>
      </c>
      <c r="AG59" s="15" t="n">
        <v>1</v>
      </c>
      <c r="AH59" s="15" t="n">
        <v>1</v>
      </c>
      <c r="AI59" s="15" t="n">
        <v>1</v>
      </c>
      <c r="AJ59" s="15" t="n">
        <v>1</v>
      </c>
      <c r="AK59" s="15" t="n">
        <v>1</v>
      </c>
      <c r="AL59" s="15" t="n">
        <v>1</v>
      </c>
      <c r="AM59" s="15" t="n">
        <v>1</v>
      </c>
      <c r="AN59" s="15" t="n">
        <v>1</v>
      </c>
      <c r="AO59" s="15" t="n">
        <v>1</v>
      </c>
      <c r="AP59" s="15" t="n">
        <v>1</v>
      </c>
      <c r="BE59" s="15" t="n">
        <v>1</v>
      </c>
      <c r="BF59" s="15" t="n">
        <v>1</v>
      </c>
      <c r="BG59" s="15" t="n">
        <v>1</v>
      </c>
      <c r="BH59" s="15" t="n">
        <v>1</v>
      </c>
      <c r="BJ59" s="15" t="n">
        <v>1</v>
      </c>
      <c r="BK59" s="15" t="n">
        <v>1</v>
      </c>
      <c r="BL59" s="15" t="n">
        <v>1</v>
      </c>
      <c r="BM59" s="15" t="n">
        <v>1</v>
      </c>
      <c r="BN59" s="15" t="n">
        <v>1</v>
      </c>
      <c r="BO59" s="15" t="n">
        <v>1</v>
      </c>
    </row>
    <row r="60" customFormat="false" ht="15.75" hidden="false" customHeight="false" outlineLevel="0" collapsed="false">
      <c r="A60" s="15" t="s">
        <v>506</v>
      </c>
      <c r="BC60" s="15" t="n">
        <v>1</v>
      </c>
      <c r="BD60" s="15" t="n">
        <v>1</v>
      </c>
    </row>
    <row r="61" customFormat="false" ht="15.75" hidden="false" customHeight="false" outlineLevel="0" collapsed="false">
      <c r="A61" s="15" t="s">
        <v>507</v>
      </c>
      <c r="BL61" s="15" t="n">
        <v>1</v>
      </c>
      <c r="CI61" s="15" t="n">
        <v>1</v>
      </c>
    </row>
    <row r="62" customFormat="false" ht="15.75" hidden="false" customHeight="false" outlineLevel="0" collapsed="false">
      <c r="A62" s="15" t="s">
        <v>508</v>
      </c>
      <c r="D62" s="15" t="n">
        <v>1</v>
      </c>
      <c r="E62" s="15" t="n">
        <v>1</v>
      </c>
      <c r="F62" s="15" t="n">
        <v>1</v>
      </c>
      <c r="G62" s="15" t="n">
        <v>1</v>
      </c>
      <c r="H62" s="15" t="n">
        <v>1</v>
      </c>
      <c r="J62" s="15" t="n">
        <v>1</v>
      </c>
      <c r="K62" s="15" t="n">
        <v>1</v>
      </c>
      <c r="L62" s="15" t="n">
        <v>1</v>
      </c>
      <c r="M62" s="15" t="n">
        <v>1</v>
      </c>
      <c r="N62" s="15" t="n">
        <v>1</v>
      </c>
      <c r="O62" s="15" t="n">
        <v>1</v>
      </c>
      <c r="P62" s="15" t="n">
        <v>1</v>
      </c>
      <c r="Q62" s="15" t="n">
        <v>1</v>
      </c>
      <c r="R62" s="15" t="n">
        <v>1</v>
      </c>
      <c r="AD62" s="15" t="n">
        <v>1</v>
      </c>
      <c r="AE62" s="15" t="n">
        <v>1</v>
      </c>
      <c r="AF62" s="15" t="n">
        <v>1</v>
      </c>
      <c r="AG62" s="15" t="n">
        <v>1</v>
      </c>
      <c r="AH62" s="15" t="n">
        <v>1</v>
      </c>
      <c r="AI62" s="15" t="n">
        <v>1</v>
      </c>
      <c r="AJ62" s="15" t="n">
        <v>1</v>
      </c>
      <c r="AK62" s="15" t="n">
        <v>1</v>
      </c>
      <c r="AL62" s="15" t="n">
        <v>1</v>
      </c>
      <c r="AM62" s="15" t="n">
        <v>1</v>
      </c>
      <c r="AN62" s="15" t="n">
        <v>1</v>
      </c>
      <c r="AO62" s="15" t="n">
        <v>1</v>
      </c>
      <c r="AP62" s="15" t="n">
        <v>1</v>
      </c>
      <c r="AQ62" s="15" t="n">
        <v>1</v>
      </c>
      <c r="AR62" s="15" t="n">
        <v>1</v>
      </c>
      <c r="AS62" s="15" t="n">
        <v>1</v>
      </c>
      <c r="AT62" s="15" t="n">
        <v>1</v>
      </c>
      <c r="AU62" s="15" t="n">
        <v>1</v>
      </c>
      <c r="AV62" s="15" t="n">
        <v>1</v>
      </c>
      <c r="AW62" s="15" t="n">
        <v>1</v>
      </c>
      <c r="AX62" s="15" t="n">
        <v>1</v>
      </c>
      <c r="AY62" s="15" t="n">
        <v>1</v>
      </c>
      <c r="AZ62" s="15" t="n">
        <v>1</v>
      </c>
      <c r="BA62" s="15" t="n">
        <v>1</v>
      </c>
      <c r="BB62" s="15" t="n">
        <v>1</v>
      </c>
      <c r="BC62" s="15" t="n">
        <v>1</v>
      </c>
      <c r="BD62" s="15" t="n">
        <v>1</v>
      </c>
      <c r="BE62" s="15" t="n">
        <v>1</v>
      </c>
      <c r="BF62" s="15" t="n">
        <v>1</v>
      </c>
      <c r="BG62" s="15" t="n">
        <v>1</v>
      </c>
      <c r="BH62" s="15" t="n">
        <v>1</v>
      </c>
      <c r="BI62" s="15" t="n">
        <v>1</v>
      </c>
      <c r="BJ62" s="15" t="n">
        <v>1</v>
      </c>
      <c r="BK62" s="15" t="n">
        <v>1</v>
      </c>
      <c r="BV62" s="15" t="n">
        <v>1</v>
      </c>
      <c r="BW62" s="15" t="n">
        <v>1</v>
      </c>
      <c r="BX62" s="15" t="n">
        <v>1</v>
      </c>
      <c r="BY62" s="15" t="n">
        <v>1</v>
      </c>
      <c r="BZ62" s="15" t="n">
        <v>1</v>
      </c>
      <c r="CA62" s="15" t="n">
        <v>1</v>
      </c>
      <c r="CB62" s="15" t="n">
        <v>1</v>
      </c>
      <c r="CC62" s="15" t="n">
        <v>1</v>
      </c>
      <c r="CD62" s="15" t="n">
        <v>1</v>
      </c>
      <c r="CE62" s="15" t="n">
        <v>1</v>
      </c>
    </row>
    <row r="63" customFormat="false" ht="15.75" hidden="false" customHeight="false" outlineLevel="0" collapsed="false">
      <c r="A63" s="15" t="s">
        <v>509</v>
      </c>
      <c r="G63" s="15" t="n">
        <v>1</v>
      </c>
      <c r="H63" s="15" t="n">
        <v>1</v>
      </c>
      <c r="J63" s="15" t="n">
        <v>1</v>
      </c>
      <c r="AR63" s="15" t="n">
        <v>1</v>
      </c>
      <c r="AS63" s="15" t="n">
        <v>1</v>
      </c>
      <c r="AT63" s="15" t="n">
        <v>1</v>
      </c>
      <c r="AV63" s="15" t="n">
        <v>1</v>
      </c>
    </row>
    <row r="64" customFormat="false" ht="15.75" hidden="false" customHeight="false" outlineLevel="0" collapsed="false">
      <c r="A64" s="15" t="s">
        <v>510</v>
      </c>
      <c r="G64" s="15" t="n">
        <v>1</v>
      </c>
      <c r="H64" s="15" t="n">
        <v>1</v>
      </c>
      <c r="J64" s="15" t="n">
        <v>1</v>
      </c>
    </row>
    <row r="65" customFormat="false" ht="15.75" hidden="false" customHeight="false" outlineLevel="0" collapsed="false">
      <c r="A65" s="15" t="s">
        <v>511</v>
      </c>
      <c r="E65" s="15" t="n">
        <v>1</v>
      </c>
      <c r="F65" s="15" t="n">
        <v>1</v>
      </c>
      <c r="N65" s="15" t="n">
        <v>1</v>
      </c>
    </row>
    <row r="66" customFormat="false" ht="15.75" hidden="false" customHeight="false" outlineLevel="0" collapsed="false">
      <c r="A66" s="15" t="s">
        <v>512</v>
      </c>
      <c r="D66" s="15" t="n">
        <v>1</v>
      </c>
    </row>
    <row r="67" customFormat="false" ht="15.75" hidden="false" customHeight="false" outlineLevel="0" collapsed="false">
      <c r="A67" s="15" t="s">
        <v>513</v>
      </c>
      <c r="CH67" s="15" t="n">
        <v>1</v>
      </c>
      <c r="CI67" s="15" t="n">
        <v>1</v>
      </c>
      <c r="CJ67" s="15" t="n">
        <v>1</v>
      </c>
      <c r="CK67" s="15" t="n">
        <v>1</v>
      </c>
      <c r="CL67" s="15" t="n">
        <v>1</v>
      </c>
      <c r="CM67" s="15" t="n">
        <v>1</v>
      </c>
      <c r="CN67" s="15" t="n">
        <v>1</v>
      </c>
      <c r="CO67" s="15" t="n">
        <v>1</v>
      </c>
      <c r="CP67" s="15" t="n">
        <v>1</v>
      </c>
      <c r="CQ67" s="15" t="n">
        <v>1</v>
      </c>
      <c r="CR67" s="15" t="n">
        <v>1</v>
      </c>
      <c r="CS67" s="15" t="n">
        <v>1</v>
      </c>
    </row>
    <row r="68" customFormat="false" ht="15.75" hidden="false" customHeight="false" outlineLevel="0" collapsed="false">
      <c r="A68" s="15" t="s">
        <v>514</v>
      </c>
      <c r="M68" s="15" t="n">
        <v>1</v>
      </c>
      <c r="N68" s="15" t="n">
        <v>1</v>
      </c>
      <c r="O68" s="15" t="n">
        <v>1</v>
      </c>
      <c r="P68" s="15" t="n">
        <v>1</v>
      </c>
      <c r="Q68" s="15" t="n">
        <v>1</v>
      </c>
      <c r="R68" s="15" t="n">
        <v>1</v>
      </c>
      <c r="S68" s="15" t="n">
        <v>1</v>
      </c>
      <c r="U68" s="15" t="n">
        <v>1</v>
      </c>
      <c r="V68" s="15" t="n">
        <v>1</v>
      </c>
      <c r="AY68" s="15" t="n">
        <v>1</v>
      </c>
      <c r="AZ68" s="15" t="n">
        <v>1</v>
      </c>
      <c r="BB68" s="15" t="n">
        <v>1</v>
      </c>
      <c r="BC68" s="15" t="n">
        <v>1</v>
      </c>
      <c r="BD68" s="15" t="n">
        <v>1</v>
      </c>
      <c r="BE68" s="15" t="n">
        <v>1</v>
      </c>
      <c r="BF68" s="15" t="n">
        <v>1</v>
      </c>
      <c r="BG68" s="15" t="n">
        <v>1</v>
      </c>
      <c r="BH68" s="15" t="n">
        <v>1</v>
      </c>
      <c r="BO68" s="15" t="n">
        <v>1</v>
      </c>
      <c r="BP68" s="15" t="n">
        <v>1</v>
      </c>
      <c r="BQ68" s="15" t="n">
        <v>1</v>
      </c>
      <c r="BR68" s="15" t="n">
        <v>1</v>
      </c>
      <c r="BS68" s="15" t="n">
        <v>1</v>
      </c>
    </row>
    <row r="69" customFormat="false" ht="15.75" hidden="false" customHeight="false" outlineLevel="0" collapsed="false">
      <c r="A69" s="15" t="s">
        <v>515</v>
      </c>
      <c r="F69" s="15" t="n">
        <v>1</v>
      </c>
      <c r="H69" s="15" t="n">
        <v>1</v>
      </c>
      <c r="J69" s="15" t="n">
        <v>1</v>
      </c>
      <c r="K69" s="15" t="n">
        <v>1</v>
      </c>
      <c r="L69" s="15" t="n">
        <v>1</v>
      </c>
      <c r="AH69" s="15" t="n">
        <v>1</v>
      </c>
      <c r="AI69" s="15" t="n">
        <v>1</v>
      </c>
      <c r="AK69" s="15" t="n">
        <v>1</v>
      </c>
      <c r="AL69" s="15" t="n">
        <v>1</v>
      </c>
    </row>
    <row r="70" customFormat="false" ht="15.75" hidden="false" customHeight="false" outlineLevel="0" collapsed="false">
      <c r="A70" s="15" t="s">
        <v>516</v>
      </c>
      <c r="AA70" s="15" t="n">
        <v>1</v>
      </c>
      <c r="AB70" s="15" t="n">
        <v>1</v>
      </c>
    </row>
    <row r="71" customFormat="false" ht="15.75" hidden="false" customHeight="false" outlineLevel="0" collapsed="false">
      <c r="A71" s="15" t="s">
        <v>517</v>
      </c>
      <c r="AW71" s="15" t="n">
        <v>1</v>
      </c>
      <c r="AX71" s="15" t="n">
        <v>1</v>
      </c>
      <c r="AY71" s="15" t="n">
        <v>1</v>
      </c>
      <c r="AZ71" s="15" t="n">
        <v>1</v>
      </c>
    </row>
    <row r="72" customFormat="false" ht="15.75" hidden="false" customHeight="false" outlineLevel="0" collapsed="false">
      <c r="A72" s="15" t="s">
        <v>518</v>
      </c>
      <c r="N72" s="15" t="n">
        <v>1</v>
      </c>
      <c r="O72" s="15" t="n">
        <v>1</v>
      </c>
      <c r="P72" s="15" t="n">
        <v>1</v>
      </c>
      <c r="Q72" s="15" t="n">
        <v>1</v>
      </c>
      <c r="R72" s="15" t="n">
        <v>1</v>
      </c>
      <c r="S72" s="15" t="n">
        <v>1</v>
      </c>
      <c r="U72" s="15" t="n">
        <v>1</v>
      </c>
      <c r="V72" s="15" t="n">
        <v>1</v>
      </c>
      <c r="W72" s="15" t="n">
        <v>1</v>
      </c>
      <c r="X72" s="15" t="n">
        <v>1</v>
      </c>
      <c r="Y72" s="15" t="n">
        <v>1</v>
      </c>
      <c r="AV72" s="15" t="n">
        <v>1</v>
      </c>
      <c r="AW72" s="15" t="n">
        <v>1</v>
      </c>
      <c r="AX72" s="15" t="n">
        <v>1</v>
      </c>
      <c r="AY72" s="15" t="n">
        <v>1</v>
      </c>
      <c r="AZ72" s="15" t="n">
        <v>1</v>
      </c>
      <c r="BB72" s="15" t="n">
        <v>1</v>
      </c>
      <c r="BC72" s="15" t="n">
        <v>1</v>
      </c>
      <c r="BD72" s="15" t="n">
        <v>1</v>
      </c>
      <c r="BE72" s="15" t="n">
        <v>1</v>
      </c>
      <c r="BF72" s="15" t="n">
        <v>1</v>
      </c>
      <c r="BG72" s="15" t="n">
        <v>1</v>
      </c>
      <c r="BH72" s="15" t="n">
        <v>1</v>
      </c>
      <c r="BJ72" s="15" t="n">
        <v>1</v>
      </c>
      <c r="BK72" s="15" t="n">
        <v>1</v>
      </c>
      <c r="BL72" s="15" t="n">
        <v>1</v>
      </c>
    </row>
    <row r="73" customFormat="false" ht="15.75" hidden="false" customHeight="false" outlineLevel="0" collapsed="false">
      <c r="A73" s="15" t="s">
        <v>519</v>
      </c>
      <c r="S73" s="15" t="n">
        <v>1</v>
      </c>
      <c r="U73" s="15" t="n">
        <v>1</v>
      </c>
      <c r="V73" s="15" t="n">
        <v>1</v>
      </c>
    </row>
    <row r="74" customFormat="false" ht="15.75" hidden="false" customHeight="false" outlineLevel="0" collapsed="false">
      <c r="A74" s="15" t="s">
        <v>520</v>
      </c>
      <c r="W74" s="15" t="n">
        <v>1</v>
      </c>
      <c r="X74" s="15" t="n">
        <v>1</v>
      </c>
      <c r="Y74" s="15" t="n">
        <v>1</v>
      </c>
      <c r="BL74" s="15" t="n">
        <v>1</v>
      </c>
      <c r="BM74" s="15" t="n">
        <v>1</v>
      </c>
    </row>
    <row r="75" customFormat="false" ht="15.75" hidden="false" customHeight="false" outlineLevel="0" collapsed="false">
      <c r="A75" s="15" t="s">
        <v>521</v>
      </c>
      <c r="M75" s="15" t="n">
        <v>1</v>
      </c>
      <c r="N75" s="15" t="n">
        <v>1</v>
      </c>
      <c r="O75" s="15" t="n">
        <v>1</v>
      </c>
      <c r="P75" s="15" t="n">
        <v>1</v>
      </c>
      <c r="Q75" s="15" t="n">
        <v>1</v>
      </c>
      <c r="R75" s="15" t="n">
        <v>1</v>
      </c>
      <c r="AG75" s="15" t="n">
        <v>1</v>
      </c>
      <c r="AH75" s="15" t="n">
        <v>1</v>
      </c>
      <c r="AI75" s="15" t="n">
        <v>1</v>
      </c>
      <c r="AK75" s="15" t="n">
        <v>1</v>
      </c>
      <c r="AL75" s="15" t="n">
        <v>1</v>
      </c>
      <c r="AM75" s="15" t="n">
        <v>1</v>
      </c>
      <c r="AN75" s="15" t="n">
        <v>1</v>
      </c>
      <c r="AO75" s="15" t="n">
        <v>1</v>
      </c>
      <c r="AP75" s="15" t="n">
        <v>1</v>
      </c>
      <c r="AQ75" s="15" t="n">
        <v>1</v>
      </c>
      <c r="AR75" s="15" t="n">
        <v>1</v>
      </c>
      <c r="AS75" s="15" t="n">
        <v>1</v>
      </c>
      <c r="AT75" s="15" t="n">
        <v>1</v>
      </c>
    </row>
    <row r="76" customFormat="false" ht="15.75" hidden="false" customHeight="false" outlineLevel="0" collapsed="false">
      <c r="A76" s="15" t="s">
        <v>522</v>
      </c>
      <c r="AC76" s="15" t="n">
        <v>1</v>
      </c>
      <c r="AD76" s="15" t="n">
        <v>1</v>
      </c>
      <c r="AE76" s="15" t="n">
        <v>1</v>
      </c>
      <c r="AF76" s="15" t="n">
        <v>1</v>
      </c>
      <c r="BB76" s="15" t="n">
        <v>1</v>
      </c>
      <c r="BC76" s="15" t="n">
        <v>1</v>
      </c>
      <c r="BD76" s="15" t="n">
        <v>1</v>
      </c>
      <c r="BE76" s="15" t="n">
        <v>1</v>
      </c>
      <c r="BF76" s="15" t="n">
        <v>1</v>
      </c>
    </row>
    <row r="77" customFormat="false" ht="15.75" hidden="false" customHeight="false" outlineLevel="0" collapsed="false">
      <c r="A77" s="15" t="s">
        <v>523</v>
      </c>
      <c r="BG77" s="15" t="n">
        <v>1</v>
      </c>
    </row>
    <row r="78" customFormat="false" ht="15.75" hidden="false" customHeight="false" outlineLevel="0" collapsed="false">
      <c r="A78" s="15" t="s">
        <v>524</v>
      </c>
      <c r="D78" s="15" t="n">
        <v>1</v>
      </c>
      <c r="E78" s="15" t="n">
        <v>1</v>
      </c>
      <c r="F78" s="15" t="n">
        <v>1</v>
      </c>
      <c r="K78" s="15" t="n">
        <v>1</v>
      </c>
      <c r="L78" s="15" t="n">
        <v>1</v>
      </c>
      <c r="M78" s="15" t="n">
        <v>1</v>
      </c>
      <c r="AB78" s="15" t="n">
        <v>1</v>
      </c>
      <c r="AC78" s="15" t="n">
        <v>1</v>
      </c>
      <c r="AD78" s="15" t="n">
        <v>1</v>
      </c>
      <c r="AE78" s="15" t="n">
        <v>1</v>
      </c>
      <c r="AF78" s="15" t="n">
        <v>1</v>
      </c>
    </row>
    <row r="79" customFormat="false" ht="15.75" hidden="false" customHeight="false" outlineLevel="0" collapsed="false">
      <c r="A79" s="15" t="s">
        <v>525</v>
      </c>
      <c r="D79" s="15" t="n">
        <v>1</v>
      </c>
      <c r="E79" s="15" t="n">
        <v>1</v>
      </c>
      <c r="AM79" s="15" t="n">
        <v>1</v>
      </c>
      <c r="AN79" s="15" t="n">
        <v>1</v>
      </c>
      <c r="AO79" s="15" t="n">
        <v>1</v>
      </c>
      <c r="AP79" s="15" t="n">
        <v>1</v>
      </c>
      <c r="AQ79" s="15" t="n">
        <v>1</v>
      </c>
    </row>
    <row r="80" customFormat="false" ht="15.75" hidden="false" customHeight="false" outlineLevel="0" collapsed="false">
      <c r="A80" s="15" t="s">
        <v>526</v>
      </c>
      <c r="W80" s="15" t="n">
        <v>1</v>
      </c>
      <c r="X80" s="15" t="n">
        <v>1</v>
      </c>
      <c r="Y80" s="15" t="n">
        <v>1</v>
      </c>
      <c r="AA80" s="15" t="n">
        <v>1</v>
      </c>
    </row>
    <row r="81" customFormat="false" ht="15.75" hidden="false" customHeight="false" outlineLevel="0" collapsed="false">
      <c r="A81" s="15" t="s">
        <v>527</v>
      </c>
      <c r="V81" s="15" t="n">
        <v>1</v>
      </c>
      <c r="W81" s="15" t="n">
        <v>1</v>
      </c>
      <c r="AX81" s="15" t="n">
        <v>1</v>
      </c>
    </row>
    <row r="82" customFormat="false" ht="15.75" hidden="false" customHeight="false" outlineLevel="0" collapsed="false">
      <c r="A82" s="15" t="s">
        <v>528</v>
      </c>
      <c r="AL82" s="15" t="n">
        <v>1</v>
      </c>
      <c r="AN82" s="15" t="n">
        <v>1</v>
      </c>
      <c r="AY82" s="15" t="n">
        <v>1</v>
      </c>
      <c r="AZ82" s="15" t="n">
        <v>1</v>
      </c>
      <c r="BB82" s="15" t="n">
        <v>1</v>
      </c>
      <c r="BC82" s="15" t="n">
        <v>1</v>
      </c>
    </row>
    <row r="83" customFormat="false" ht="15.75" hidden="false" customHeight="false" outlineLevel="0" collapsed="false">
      <c r="A83" s="15" t="s">
        <v>529</v>
      </c>
      <c r="X83" s="15" t="n">
        <v>1</v>
      </c>
      <c r="Y83" s="15" t="n">
        <v>1</v>
      </c>
      <c r="AA83" s="15" t="n">
        <v>1</v>
      </c>
      <c r="BN83" s="15" t="n">
        <v>1</v>
      </c>
    </row>
    <row r="84" customFormat="false" ht="15.75" hidden="false" customHeight="false" outlineLevel="0" collapsed="false">
      <c r="A84" s="15" t="s">
        <v>530</v>
      </c>
      <c r="Q84" s="15" t="n">
        <v>1</v>
      </c>
      <c r="R84" s="15" t="n">
        <v>1</v>
      </c>
      <c r="AM84" s="15" t="n">
        <v>1</v>
      </c>
      <c r="AW84" s="15" t="n">
        <v>1</v>
      </c>
    </row>
  </sheetData>
  <autoFilter ref="A1:CX84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11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2" activeCellId="0" sqref="C2"/>
    </sheetView>
  </sheetViews>
  <sheetFormatPr defaultColWidth="12.5703125" defaultRowHeight="15.75" zeroHeight="false" outlineLevelRow="0" outlineLevelCol="0"/>
  <cols>
    <col collapsed="false" customWidth="true" hidden="false" outlineLevel="0" max="1" min="1" style="0" width="12.86"/>
    <col collapsed="false" customWidth="true" hidden="false" outlineLevel="0" max="2" min="2" style="0" width="21.29"/>
    <col collapsed="false" customWidth="true" hidden="false" outlineLevel="0" max="4" min="3" style="0" width="34.14"/>
    <col collapsed="false" customWidth="true" hidden="false" outlineLevel="0" max="5" min="5" style="0" width="11"/>
    <col collapsed="false" customWidth="true" hidden="false" outlineLevel="0" max="8" min="6" style="0" width="10.29"/>
    <col collapsed="false" customWidth="true" hidden="true" outlineLevel="0" max="17" min="9" style="0" width="10.29"/>
    <col collapsed="false" customWidth="true" hidden="false" outlineLevel="0" max="201" min="18" style="0" width="10.29"/>
  </cols>
  <sheetData>
    <row r="1" s="17" customFormat="true" ht="15.75" hidden="false" customHeight="false" outlineLevel="0" collapsed="false">
      <c r="A1" s="16" t="s">
        <v>531</v>
      </c>
      <c r="B1" s="16" t="s">
        <v>449</v>
      </c>
      <c r="C1" s="16" t="s">
        <v>0</v>
      </c>
      <c r="D1" s="16" t="s">
        <v>532</v>
      </c>
      <c r="E1" s="16" t="s">
        <v>533</v>
      </c>
      <c r="H1" s="16"/>
      <c r="I1" s="18"/>
      <c r="M1" s="16"/>
      <c r="N1" s="16"/>
      <c r="P1" s="16"/>
      <c r="Q1" s="19"/>
    </row>
    <row r="2" customFormat="false" ht="15.75" hidden="false" customHeight="false" outlineLevel="0" collapsed="false">
      <c r="A2" s="20" t="n">
        <v>46076</v>
      </c>
      <c r="B2" s="15" t="s">
        <v>451</v>
      </c>
      <c r="C2" s="15" t="s">
        <v>81</v>
      </c>
      <c r="D2" s="15" t="s">
        <v>534</v>
      </c>
      <c r="E2" s="15" t="n">
        <v>2</v>
      </c>
      <c r="H2" s="10"/>
      <c r="I2" s="21"/>
      <c r="M2" s="10"/>
      <c r="N2" s="10"/>
      <c r="P2" s="10"/>
      <c r="Q2" s="22"/>
    </row>
    <row r="3" customFormat="false" ht="15.75" hidden="false" customHeight="false" outlineLevel="0" collapsed="false">
      <c r="A3" s="20" t="n">
        <v>46076</v>
      </c>
      <c r="B3" s="15" t="s">
        <v>451</v>
      </c>
      <c r="C3" s="15" t="s">
        <v>69</v>
      </c>
      <c r="D3" s="15" t="s">
        <v>535</v>
      </c>
      <c r="E3" s="15" t="n">
        <v>3</v>
      </c>
      <c r="H3" s="10"/>
      <c r="I3" s="21"/>
      <c r="M3" s="10"/>
      <c r="N3" s="10"/>
      <c r="P3" s="10"/>
      <c r="Q3" s="22"/>
    </row>
    <row r="4" customFormat="false" ht="15.75" hidden="false" customHeight="false" outlineLevel="0" collapsed="false">
      <c r="A4" s="20" t="n">
        <v>46076</v>
      </c>
      <c r="B4" s="15" t="s">
        <v>451</v>
      </c>
      <c r="C4" s="15" t="s">
        <v>33</v>
      </c>
      <c r="D4" s="15" t="s">
        <v>536</v>
      </c>
      <c r="E4" s="15" t="n">
        <v>2</v>
      </c>
      <c r="H4" s="10"/>
      <c r="I4" s="21"/>
      <c r="M4" s="10"/>
      <c r="N4" s="10"/>
      <c r="P4" s="10"/>
      <c r="Q4" s="22"/>
    </row>
    <row r="5" customFormat="false" ht="15.75" hidden="false" customHeight="false" outlineLevel="0" collapsed="false">
      <c r="A5" s="20" t="n">
        <v>46076</v>
      </c>
      <c r="B5" s="15" t="s">
        <v>451</v>
      </c>
      <c r="C5" s="15" t="s">
        <v>77</v>
      </c>
      <c r="D5" s="15" t="s">
        <v>78</v>
      </c>
      <c r="E5" s="15" t="n">
        <v>2</v>
      </c>
      <c r="H5" s="10"/>
      <c r="I5" s="21"/>
      <c r="M5" s="10"/>
      <c r="N5" s="10"/>
      <c r="P5" s="10"/>
      <c r="Q5" s="22"/>
    </row>
    <row r="6" customFormat="false" ht="15.75" hidden="false" customHeight="false" outlineLevel="0" collapsed="false">
      <c r="A6" s="20" t="n">
        <v>46076</v>
      </c>
      <c r="B6" s="15" t="s">
        <v>451</v>
      </c>
      <c r="C6" s="15" t="s">
        <v>49</v>
      </c>
      <c r="D6" s="15" t="s">
        <v>537</v>
      </c>
      <c r="E6" s="15" t="n">
        <v>1</v>
      </c>
      <c r="H6" s="10"/>
      <c r="I6" s="21"/>
      <c r="M6" s="10"/>
      <c r="N6" s="10"/>
      <c r="P6" s="10"/>
      <c r="Q6" s="22"/>
    </row>
    <row r="7" customFormat="false" ht="15.75" hidden="false" customHeight="false" outlineLevel="0" collapsed="false">
      <c r="A7" s="20" t="n">
        <v>46076</v>
      </c>
      <c r="B7" s="15" t="s">
        <v>451</v>
      </c>
      <c r="C7" s="15" t="s">
        <v>43</v>
      </c>
      <c r="D7" s="15" t="s">
        <v>538</v>
      </c>
      <c r="E7" s="15" t="n">
        <v>2</v>
      </c>
      <c r="H7" s="10"/>
      <c r="I7" s="21"/>
      <c r="M7" s="10"/>
      <c r="N7" s="10"/>
      <c r="P7" s="10"/>
      <c r="Q7" s="22"/>
    </row>
    <row r="8" customFormat="false" ht="15.75" hidden="false" customHeight="false" outlineLevel="0" collapsed="false">
      <c r="A8" s="20" t="n">
        <v>46076</v>
      </c>
      <c r="B8" s="15" t="s">
        <v>451</v>
      </c>
      <c r="C8" s="15" t="s">
        <v>55</v>
      </c>
      <c r="D8" s="15" t="s">
        <v>539</v>
      </c>
      <c r="E8" s="15" t="n">
        <v>1</v>
      </c>
      <c r="H8" s="10"/>
      <c r="I8" s="21"/>
      <c r="M8" s="10"/>
      <c r="N8" s="10"/>
      <c r="P8" s="10"/>
      <c r="Q8" s="22"/>
    </row>
    <row r="9" customFormat="false" ht="15.75" hidden="false" customHeight="false" outlineLevel="0" collapsed="false">
      <c r="A9" s="20" t="n">
        <v>46076</v>
      </c>
      <c r="B9" s="15" t="s">
        <v>451</v>
      </c>
      <c r="C9" s="15" t="s">
        <v>45</v>
      </c>
      <c r="D9" s="15" t="s">
        <v>540</v>
      </c>
      <c r="E9" s="15" t="n">
        <v>1</v>
      </c>
      <c r="H9" s="10"/>
      <c r="I9" s="21"/>
      <c r="M9" s="10"/>
      <c r="N9" s="10"/>
      <c r="P9" s="10"/>
      <c r="Q9" s="22"/>
    </row>
    <row r="10" customFormat="false" ht="15.75" hidden="false" customHeight="false" outlineLevel="0" collapsed="false">
      <c r="A10" s="20" t="n">
        <v>46076</v>
      </c>
      <c r="B10" s="15" t="s">
        <v>451</v>
      </c>
      <c r="C10" s="15" t="s">
        <v>541</v>
      </c>
      <c r="D10" s="15" t="s">
        <v>542</v>
      </c>
      <c r="E10" s="15" t="n">
        <v>1</v>
      </c>
      <c r="H10" s="10"/>
      <c r="I10" s="21"/>
      <c r="M10" s="10"/>
      <c r="N10" s="10"/>
      <c r="P10" s="10"/>
      <c r="Q10" s="22"/>
    </row>
    <row r="11" customFormat="false" ht="15.75" hidden="false" customHeight="false" outlineLevel="0" collapsed="false">
      <c r="A11" s="20" t="n">
        <v>46076</v>
      </c>
      <c r="B11" s="15" t="s">
        <v>451</v>
      </c>
      <c r="C11" s="15" t="s">
        <v>543</v>
      </c>
      <c r="D11" s="15" t="s">
        <v>544</v>
      </c>
      <c r="E11" s="15" t="n">
        <v>3</v>
      </c>
      <c r="H11" s="10"/>
      <c r="I11" s="21"/>
      <c r="M11" s="10"/>
      <c r="N11" s="10"/>
      <c r="P11" s="10"/>
      <c r="Q11" s="22"/>
    </row>
    <row r="12" customFormat="false" ht="15.75" hidden="false" customHeight="false" outlineLevel="0" collapsed="false">
      <c r="A12" s="20" t="n">
        <v>46076</v>
      </c>
      <c r="B12" s="15" t="s">
        <v>451</v>
      </c>
      <c r="C12" s="15" t="s">
        <v>545</v>
      </c>
      <c r="D12" s="15" t="s">
        <v>546</v>
      </c>
      <c r="E12" s="15" t="n">
        <v>1</v>
      </c>
      <c r="H12" s="10"/>
      <c r="I12" s="21"/>
      <c r="M12" s="10"/>
      <c r="N12" s="10"/>
      <c r="P12" s="10"/>
      <c r="Q12" s="22"/>
    </row>
    <row r="13" customFormat="false" ht="15.75" hidden="false" customHeight="false" outlineLevel="0" collapsed="false">
      <c r="A13" s="20" t="n">
        <v>46076</v>
      </c>
      <c r="B13" s="15" t="s">
        <v>451</v>
      </c>
      <c r="C13" s="15" t="s">
        <v>547</v>
      </c>
      <c r="D13" s="15" t="s">
        <v>548</v>
      </c>
      <c r="E13" s="15" t="n">
        <v>2</v>
      </c>
      <c r="H13" s="10"/>
      <c r="I13" s="21"/>
      <c r="M13" s="10"/>
      <c r="N13" s="10"/>
      <c r="P13" s="10"/>
      <c r="Q13" s="22"/>
    </row>
    <row r="14" customFormat="false" ht="15.75" hidden="false" customHeight="false" outlineLevel="0" collapsed="false">
      <c r="A14" s="20" t="n">
        <v>46076</v>
      </c>
      <c r="B14" s="15" t="s">
        <v>453</v>
      </c>
      <c r="C14" s="15" t="s">
        <v>47</v>
      </c>
      <c r="D14" s="15" t="s">
        <v>549</v>
      </c>
      <c r="E14" s="15" t="n">
        <v>2</v>
      </c>
      <c r="H14" s="10"/>
      <c r="I14" s="21"/>
      <c r="M14" s="10"/>
      <c r="N14" s="10"/>
      <c r="P14" s="10"/>
      <c r="Q14" s="22"/>
    </row>
    <row r="15" customFormat="false" ht="15.75" hidden="false" customHeight="false" outlineLevel="0" collapsed="false">
      <c r="A15" s="20" t="n">
        <v>46076</v>
      </c>
      <c r="B15" s="15" t="s">
        <v>453</v>
      </c>
      <c r="C15" s="15" t="s">
        <v>55</v>
      </c>
      <c r="D15" s="15" t="s">
        <v>539</v>
      </c>
      <c r="E15" s="15" t="n">
        <v>4</v>
      </c>
      <c r="H15" s="10"/>
      <c r="I15" s="21"/>
      <c r="M15" s="10"/>
      <c r="N15" s="10"/>
      <c r="P15" s="10"/>
      <c r="Q15" s="22"/>
    </row>
    <row r="16" customFormat="false" ht="15.75" hidden="false" customHeight="false" outlineLevel="0" collapsed="false">
      <c r="A16" s="20" t="n">
        <v>46076</v>
      </c>
      <c r="B16" s="15" t="s">
        <v>453</v>
      </c>
      <c r="C16" s="15" t="s">
        <v>81</v>
      </c>
      <c r="D16" s="15" t="s">
        <v>534</v>
      </c>
      <c r="E16" s="15" t="n">
        <v>8</v>
      </c>
      <c r="H16" s="10"/>
      <c r="I16" s="21"/>
      <c r="M16" s="10"/>
      <c r="N16" s="10"/>
      <c r="P16" s="10"/>
      <c r="Q16" s="22"/>
    </row>
    <row r="17" customFormat="false" ht="15.75" hidden="false" customHeight="false" outlineLevel="0" collapsed="false">
      <c r="A17" s="20" t="n">
        <v>46076</v>
      </c>
      <c r="B17" s="15" t="s">
        <v>453</v>
      </c>
      <c r="C17" s="15" t="s">
        <v>39</v>
      </c>
      <c r="D17" s="15" t="s">
        <v>550</v>
      </c>
      <c r="E17" s="15" t="n">
        <v>2</v>
      </c>
      <c r="H17" s="10"/>
      <c r="I17" s="21"/>
      <c r="M17" s="10"/>
      <c r="N17" s="10"/>
      <c r="P17" s="10"/>
      <c r="Q17" s="22"/>
    </row>
    <row r="18" customFormat="false" ht="15.75" hidden="false" customHeight="false" outlineLevel="0" collapsed="false">
      <c r="A18" s="20" t="n">
        <v>46076</v>
      </c>
      <c r="B18" s="15" t="s">
        <v>453</v>
      </c>
      <c r="C18" s="15" t="s">
        <v>63</v>
      </c>
      <c r="D18" s="15" t="s">
        <v>551</v>
      </c>
      <c r="E18" s="15" t="n">
        <v>1</v>
      </c>
      <c r="H18" s="10"/>
      <c r="I18" s="21"/>
      <c r="M18" s="10"/>
      <c r="N18" s="10"/>
      <c r="P18" s="10"/>
      <c r="Q18" s="22"/>
    </row>
    <row r="19" customFormat="false" ht="15.75" hidden="false" customHeight="false" outlineLevel="0" collapsed="false">
      <c r="A19" s="20" t="n">
        <v>46076</v>
      </c>
      <c r="B19" s="15" t="s">
        <v>453</v>
      </c>
      <c r="C19" s="15" t="s">
        <v>35</v>
      </c>
      <c r="D19" s="15" t="s">
        <v>552</v>
      </c>
      <c r="E19" s="15" t="n">
        <v>2</v>
      </c>
      <c r="H19" s="10"/>
      <c r="I19" s="21"/>
      <c r="M19" s="10"/>
      <c r="N19" s="10"/>
      <c r="P19" s="10"/>
      <c r="Q19" s="22"/>
    </row>
    <row r="20" customFormat="false" ht="15.75" hidden="false" customHeight="false" outlineLevel="0" collapsed="false">
      <c r="A20" s="20" t="n">
        <v>46076</v>
      </c>
      <c r="B20" s="15" t="s">
        <v>455</v>
      </c>
      <c r="C20" s="15" t="s">
        <v>81</v>
      </c>
      <c r="D20" s="15" t="s">
        <v>534</v>
      </c>
      <c r="E20" s="15" t="n">
        <v>8</v>
      </c>
      <c r="H20" s="10"/>
      <c r="I20" s="21"/>
      <c r="M20" s="10"/>
      <c r="N20" s="10"/>
      <c r="P20" s="10"/>
      <c r="Q20" s="22"/>
    </row>
    <row r="21" customFormat="false" ht="15.75" hidden="false" customHeight="false" outlineLevel="0" collapsed="false">
      <c r="A21" s="20" t="n">
        <v>46076</v>
      </c>
      <c r="B21" s="15" t="s">
        <v>455</v>
      </c>
      <c r="C21" s="15" t="s">
        <v>55</v>
      </c>
      <c r="D21" s="15" t="s">
        <v>539</v>
      </c>
      <c r="E21" s="15" t="n">
        <v>3</v>
      </c>
      <c r="H21" s="10"/>
      <c r="I21" s="21"/>
      <c r="M21" s="10"/>
      <c r="N21" s="10"/>
      <c r="P21" s="10"/>
      <c r="Q21" s="22"/>
    </row>
    <row r="22" customFormat="false" ht="15.75" hidden="false" customHeight="false" outlineLevel="0" collapsed="false">
      <c r="A22" s="20" t="n">
        <v>46076</v>
      </c>
      <c r="B22" s="15" t="s">
        <v>455</v>
      </c>
      <c r="C22" s="15" t="s">
        <v>47</v>
      </c>
      <c r="D22" s="15" t="s">
        <v>549</v>
      </c>
      <c r="E22" s="15" t="n">
        <v>3</v>
      </c>
      <c r="H22" s="10"/>
      <c r="I22" s="21"/>
      <c r="M22" s="10"/>
      <c r="N22" s="10"/>
      <c r="P22" s="10"/>
      <c r="Q22" s="22"/>
    </row>
    <row r="23" customFormat="false" ht="15.75" hidden="false" customHeight="false" outlineLevel="0" collapsed="false">
      <c r="A23" s="20" t="n">
        <v>46076</v>
      </c>
      <c r="B23" s="15" t="s">
        <v>455</v>
      </c>
      <c r="C23" s="15" t="s">
        <v>63</v>
      </c>
      <c r="D23" s="15" t="s">
        <v>551</v>
      </c>
      <c r="E23" s="15" t="n">
        <v>1</v>
      </c>
      <c r="H23" s="10"/>
      <c r="I23" s="21"/>
      <c r="M23" s="10"/>
      <c r="N23" s="10"/>
      <c r="P23" s="10"/>
      <c r="Q23" s="22"/>
    </row>
    <row r="24" customFormat="false" ht="15.75" hidden="false" customHeight="false" outlineLevel="0" collapsed="false">
      <c r="A24" s="20" t="n">
        <v>46076</v>
      </c>
      <c r="B24" s="15" t="s">
        <v>455</v>
      </c>
      <c r="C24" s="15" t="s">
        <v>49</v>
      </c>
      <c r="D24" s="15" t="s">
        <v>537</v>
      </c>
      <c r="E24" s="15" t="n">
        <v>2</v>
      </c>
      <c r="H24" s="10"/>
      <c r="I24" s="21"/>
      <c r="M24" s="10"/>
      <c r="N24" s="10"/>
      <c r="P24" s="10"/>
      <c r="Q24" s="22"/>
    </row>
    <row r="25" customFormat="false" ht="15.75" hidden="false" customHeight="false" outlineLevel="0" collapsed="false">
      <c r="A25" s="20" t="n">
        <v>46076</v>
      </c>
      <c r="B25" s="15" t="s">
        <v>455</v>
      </c>
      <c r="C25" s="15" t="s">
        <v>57</v>
      </c>
      <c r="D25" s="15" t="s">
        <v>553</v>
      </c>
      <c r="E25" s="15" t="n">
        <v>2</v>
      </c>
      <c r="H25" s="10"/>
      <c r="I25" s="21"/>
      <c r="M25" s="10"/>
      <c r="N25" s="10"/>
      <c r="P25" s="10"/>
      <c r="Q25" s="22"/>
    </row>
    <row r="26" customFormat="false" ht="15.75" hidden="false" customHeight="false" outlineLevel="0" collapsed="false">
      <c r="A26" s="20" t="n">
        <v>46076</v>
      </c>
      <c r="B26" s="15" t="s">
        <v>455</v>
      </c>
      <c r="C26" s="15" t="s">
        <v>17</v>
      </c>
      <c r="D26" s="15" t="s">
        <v>554</v>
      </c>
      <c r="E26" s="15" t="n">
        <v>1</v>
      </c>
      <c r="H26" s="10"/>
      <c r="I26" s="21"/>
      <c r="M26" s="10"/>
      <c r="N26" s="10"/>
      <c r="P26" s="10"/>
      <c r="Q26" s="22"/>
    </row>
    <row r="27" customFormat="false" ht="15.75" hidden="false" customHeight="false" outlineLevel="0" collapsed="false">
      <c r="A27" s="20" t="n">
        <v>46076</v>
      </c>
      <c r="B27" s="15" t="s">
        <v>455</v>
      </c>
      <c r="C27" s="15" t="s">
        <v>39</v>
      </c>
      <c r="D27" s="15" t="s">
        <v>550</v>
      </c>
      <c r="E27" s="15" t="n">
        <v>1</v>
      </c>
      <c r="H27" s="10"/>
      <c r="I27" s="21"/>
      <c r="M27" s="10"/>
      <c r="N27" s="10"/>
      <c r="P27" s="10"/>
      <c r="Q27" s="22"/>
    </row>
    <row r="28" customFormat="false" ht="15.75" hidden="false" customHeight="false" outlineLevel="0" collapsed="false">
      <c r="A28" s="20" t="n">
        <v>46076</v>
      </c>
      <c r="B28" s="15" t="s">
        <v>467</v>
      </c>
      <c r="C28" s="15" t="s">
        <v>55</v>
      </c>
      <c r="D28" s="15" t="s">
        <v>539</v>
      </c>
      <c r="E28" s="15" t="n">
        <v>6</v>
      </c>
      <c r="H28" s="10"/>
      <c r="I28" s="21"/>
      <c r="M28" s="10"/>
      <c r="N28" s="10"/>
      <c r="P28" s="10"/>
      <c r="Q28" s="22"/>
    </row>
    <row r="29" customFormat="false" ht="15.75" hidden="false" customHeight="false" outlineLevel="0" collapsed="false">
      <c r="A29" s="20" t="n">
        <v>46076</v>
      </c>
      <c r="B29" s="15" t="s">
        <v>467</v>
      </c>
      <c r="C29" s="15" t="s">
        <v>57</v>
      </c>
      <c r="D29" s="15" t="s">
        <v>553</v>
      </c>
      <c r="E29" s="15" t="n">
        <v>2</v>
      </c>
      <c r="H29" s="10"/>
      <c r="I29" s="21"/>
      <c r="M29" s="10"/>
      <c r="N29" s="10"/>
      <c r="P29" s="10"/>
      <c r="Q29" s="22"/>
    </row>
    <row r="30" customFormat="false" ht="15.75" hidden="false" customHeight="false" outlineLevel="0" collapsed="false">
      <c r="A30" s="20" t="n">
        <v>46076</v>
      </c>
      <c r="B30" s="15" t="s">
        <v>467</v>
      </c>
      <c r="C30" s="15" t="s">
        <v>47</v>
      </c>
      <c r="D30" s="15" t="s">
        <v>549</v>
      </c>
      <c r="E30" s="15" t="n">
        <v>2</v>
      </c>
      <c r="H30" s="10"/>
      <c r="I30" s="21"/>
      <c r="M30" s="10"/>
      <c r="N30" s="10"/>
      <c r="P30" s="10"/>
      <c r="Q30" s="22"/>
    </row>
    <row r="31" customFormat="false" ht="15.75" hidden="false" customHeight="false" outlineLevel="0" collapsed="false">
      <c r="A31" s="20" t="n">
        <v>46076</v>
      </c>
      <c r="B31" s="15" t="s">
        <v>467</v>
      </c>
      <c r="C31" s="15" t="s">
        <v>81</v>
      </c>
      <c r="D31" s="15" t="s">
        <v>534</v>
      </c>
      <c r="E31" s="15" t="n">
        <v>7</v>
      </c>
      <c r="H31" s="10"/>
      <c r="I31" s="21"/>
      <c r="M31" s="10"/>
      <c r="N31" s="10"/>
      <c r="P31" s="10"/>
      <c r="Q31" s="22"/>
    </row>
    <row r="32" customFormat="false" ht="15.75" hidden="false" customHeight="false" outlineLevel="0" collapsed="false">
      <c r="A32" s="20" t="n">
        <v>46076</v>
      </c>
      <c r="B32" s="15" t="s">
        <v>467</v>
      </c>
      <c r="C32" s="15" t="s">
        <v>49</v>
      </c>
      <c r="D32" s="15" t="s">
        <v>537</v>
      </c>
      <c r="E32" s="15" t="n">
        <v>2</v>
      </c>
      <c r="H32" s="10"/>
      <c r="I32" s="21"/>
      <c r="M32" s="10"/>
      <c r="N32" s="10"/>
      <c r="P32" s="10"/>
      <c r="Q32" s="22"/>
    </row>
    <row r="33" customFormat="false" ht="15.75" hidden="false" customHeight="false" outlineLevel="0" collapsed="false">
      <c r="A33" s="20" t="n">
        <v>46076</v>
      </c>
      <c r="B33" s="15" t="s">
        <v>467</v>
      </c>
      <c r="C33" s="15" t="s">
        <v>63</v>
      </c>
      <c r="D33" s="15" t="s">
        <v>551</v>
      </c>
      <c r="E33" s="15" t="n">
        <v>1</v>
      </c>
      <c r="H33" s="10"/>
      <c r="I33" s="21"/>
      <c r="M33" s="10"/>
      <c r="N33" s="10"/>
      <c r="P33" s="10"/>
      <c r="Q33" s="22"/>
    </row>
    <row r="34" customFormat="false" ht="15.75" hidden="false" customHeight="false" outlineLevel="0" collapsed="false">
      <c r="A34" s="20" t="n">
        <v>46076</v>
      </c>
      <c r="B34" s="15" t="s">
        <v>470</v>
      </c>
      <c r="C34" s="15" t="s">
        <v>547</v>
      </c>
      <c r="D34" s="15" t="s">
        <v>548</v>
      </c>
      <c r="E34" s="15" t="n">
        <v>2</v>
      </c>
      <c r="H34" s="10"/>
      <c r="I34" s="21"/>
      <c r="M34" s="10"/>
      <c r="N34" s="10"/>
      <c r="P34" s="10"/>
      <c r="Q34" s="22"/>
    </row>
    <row r="35" customFormat="false" ht="15.75" hidden="false" customHeight="false" outlineLevel="0" collapsed="false">
      <c r="A35" s="20" t="n">
        <v>46076</v>
      </c>
      <c r="B35" s="15" t="s">
        <v>470</v>
      </c>
      <c r="C35" s="15" t="s">
        <v>69</v>
      </c>
      <c r="D35" s="15" t="s">
        <v>535</v>
      </c>
      <c r="E35" s="15" t="n">
        <v>2</v>
      </c>
      <c r="H35" s="10"/>
      <c r="I35" s="21"/>
      <c r="M35" s="10"/>
      <c r="N35" s="10"/>
      <c r="P35" s="10"/>
      <c r="Q35" s="22"/>
    </row>
    <row r="36" customFormat="false" ht="15.75" hidden="false" customHeight="false" outlineLevel="0" collapsed="false">
      <c r="A36" s="20" t="n">
        <v>46076</v>
      </c>
      <c r="B36" s="15" t="s">
        <v>475</v>
      </c>
      <c r="C36" s="15" t="s">
        <v>69</v>
      </c>
      <c r="D36" s="15" t="s">
        <v>535</v>
      </c>
      <c r="E36" s="15" t="n">
        <v>2</v>
      </c>
      <c r="H36" s="10"/>
      <c r="I36" s="21"/>
      <c r="M36" s="10"/>
      <c r="N36" s="10"/>
      <c r="P36" s="10"/>
      <c r="Q36" s="22"/>
    </row>
    <row r="37" customFormat="false" ht="15.75" hidden="false" customHeight="false" outlineLevel="0" collapsed="false">
      <c r="A37" s="20" t="n">
        <v>46076</v>
      </c>
      <c r="B37" s="15" t="s">
        <v>475</v>
      </c>
      <c r="C37" s="15" t="s">
        <v>33</v>
      </c>
      <c r="D37" s="15" t="s">
        <v>536</v>
      </c>
      <c r="E37" s="15" t="n">
        <v>2</v>
      </c>
      <c r="H37" s="10"/>
      <c r="I37" s="21"/>
      <c r="M37" s="10"/>
      <c r="N37" s="10"/>
      <c r="P37" s="10"/>
      <c r="Q37" s="22"/>
    </row>
    <row r="38" customFormat="false" ht="15.75" hidden="false" customHeight="false" outlineLevel="0" collapsed="false">
      <c r="A38" s="20" t="n">
        <v>46076</v>
      </c>
      <c r="B38" s="15" t="s">
        <v>475</v>
      </c>
      <c r="C38" s="15" t="s">
        <v>555</v>
      </c>
      <c r="D38" s="15" t="s">
        <v>556</v>
      </c>
      <c r="E38" s="15" t="n">
        <v>2</v>
      </c>
      <c r="H38" s="10"/>
      <c r="I38" s="21"/>
      <c r="M38" s="10"/>
      <c r="N38" s="10"/>
      <c r="P38" s="10"/>
      <c r="Q38" s="22"/>
    </row>
    <row r="39" customFormat="false" ht="15.75" hidden="false" customHeight="false" outlineLevel="0" collapsed="false">
      <c r="A39" s="20" t="n">
        <v>46076</v>
      </c>
      <c r="B39" s="15" t="s">
        <v>475</v>
      </c>
      <c r="C39" s="15" t="s">
        <v>547</v>
      </c>
      <c r="D39" s="15" t="s">
        <v>548</v>
      </c>
      <c r="E39" s="15" t="n">
        <v>6</v>
      </c>
      <c r="H39" s="10"/>
      <c r="I39" s="21"/>
      <c r="M39" s="10"/>
      <c r="N39" s="10"/>
      <c r="P39" s="10"/>
      <c r="Q39" s="22"/>
    </row>
    <row r="40" customFormat="false" ht="15.75" hidden="false" customHeight="false" outlineLevel="0" collapsed="false">
      <c r="A40" s="20" t="n">
        <v>46076</v>
      </c>
      <c r="B40" s="15" t="s">
        <v>475</v>
      </c>
      <c r="C40" s="15" t="s">
        <v>557</v>
      </c>
      <c r="D40" s="15" t="s">
        <v>558</v>
      </c>
      <c r="E40" s="15" t="n">
        <v>2</v>
      </c>
      <c r="H40" s="10"/>
      <c r="I40" s="21"/>
      <c r="M40" s="10"/>
      <c r="N40" s="10"/>
      <c r="P40" s="10"/>
      <c r="Q40" s="22"/>
    </row>
    <row r="41" customFormat="false" ht="15.75" hidden="false" customHeight="false" outlineLevel="0" collapsed="false">
      <c r="A41" s="20" t="n">
        <v>46076</v>
      </c>
      <c r="B41" s="15" t="s">
        <v>477</v>
      </c>
      <c r="C41" s="15" t="s">
        <v>69</v>
      </c>
      <c r="D41" s="15" t="s">
        <v>535</v>
      </c>
      <c r="E41" s="15" t="n">
        <v>3</v>
      </c>
      <c r="H41" s="10"/>
      <c r="I41" s="21"/>
      <c r="M41" s="10"/>
      <c r="N41" s="10"/>
      <c r="P41" s="10"/>
      <c r="Q41" s="22"/>
    </row>
    <row r="42" customFormat="false" ht="15.75" hidden="false" customHeight="false" outlineLevel="0" collapsed="false">
      <c r="A42" s="20" t="n">
        <v>46076</v>
      </c>
      <c r="B42" s="15" t="s">
        <v>477</v>
      </c>
      <c r="C42" s="15" t="s">
        <v>547</v>
      </c>
      <c r="D42" s="15" t="s">
        <v>548</v>
      </c>
      <c r="E42" s="15" t="n">
        <v>3</v>
      </c>
      <c r="H42" s="10"/>
      <c r="I42" s="21"/>
      <c r="M42" s="10"/>
      <c r="N42" s="10"/>
      <c r="P42" s="10"/>
      <c r="Q42" s="22"/>
    </row>
    <row r="43" customFormat="false" ht="15.75" hidden="false" customHeight="false" outlineLevel="0" collapsed="false">
      <c r="A43" s="20" t="n">
        <v>46076</v>
      </c>
      <c r="B43" s="15" t="s">
        <v>477</v>
      </c>
      <c r="C43" s="15" t="s">
        <v>25</v>
      </c>
      <c r="D43" s="15" t="s">
        <v>26</v>
      </c>
      <c r="E43" s="15" t="n">
        <v>3</v>
      </c>
      <c r="H43" s="10"/>
      <c r="I43" s="21"/>
      <c r="M43" s="10"/>
      <c r="N43" s="10"/>
      <c r="P43" s="10"/>
      <c r="Q43" s="22"/>
    </row>
    <row r="44" customFormat="false" ht="15.75" hidden="false" customHeight="false" outlineLevel="0" collapsed="false">
      <c r="A44" s="20" t="n">
        <v>46076</v>
      </c>
      <c r="B44" s="15" t="s">
        <v>489</v>
      </c>
      <c r="C44" s="15" t="s">
        <v>31</v>
      </c>
      <c r="D44" s="15" t="s">
        <v>559</v>
      </c>
      <c r="E44" s="15" t="n">
        <v>2</v>
      </c>
      <c r="H44" s="10"/>
      <c r="I44" s="21"/>
      <c r="M44" s="10"/>
      <c r="N44" s="10"/>
      <c r="P44" s="10"/>
      <c r="Q44" s="22"/>
    </row>
    <row r="45" customFormat="false" ht="15.75" hidden="false" customHeight="false" outlineLevel="0" collapsed="false">
      <c r="A45" s="20" t="n">
        <v>46076</v>
      </c>
      <c r="B45" s="15" t="s">
        <v>489</v>
      </c>
      <c r="C45" s="15" t="s">
        <v>43</v>
      </c>
      <c r="D45" s="15" t="s">
        <v>538</v>
      </c>
      <c r="E45" s="15" t="n">
        <v>3</v>
      </c>
      <c r="H45" s="10"/>
      <c r="I45" s="21"/>
      <c r="M45" s="10"/>
      <c r="N45" s="10"/>
      <c r="P45" s="10"/>
      <c r="Q45" s="22"/>
    </row>
    <row r="46" customFormat="false" ht="15.75" hidden="false" customHeight="false" outlineLevel="0" collapsed="false">
      <c r="A46" s="20" t="n">
        <v>46076</v>
      </c>
      <c r="B46" s="15" t="s">
        <v>489</v>
      </c>
      <c r="C46" s="15" t="s">
        <v>81</v>
      </c>
      <c r="D46" s="15" t="s">
        <v>534</v>
      </c>
      <c r="E46" s="15" t="n">
        <v>5</v>
      </c>
      <c r="H46" s="10"/>
      <c r="I46" s="21"/>
      <c r="M46" s="10"/>
      <c r="N46" s="10"/>
      <c r="P46" s="10"/>
      <c r="Q46" s="22"/>
    </row>
    <row r="47" customFormat="false" ht="15.75" hidden="false" customHeight="false" outlineLevel="0" collapsed="false">
      <c r="A47" s="20" t="n">
        <v>46076</v>
      </c>
      <c r="B47" s="15" t="s">
        <v>489</v>
      </c>
      <c r="C47" s="15" t="s">
        <v>547</v>
      </c>
      <c r="D47" s="15" t="s">
        <v>548</v>
      </c>
      <c r="E47" s="15" t="n">
        <v>6</v>
      </c>
      <c r="H47" s="10"/>
      <c r="I47" s="21"/>
      <c r="M47" s="10"/>
      <c r="N47" s="10"/>
      <c r="P47" s="10"/>
      <c r="Q47" s="22"/>
    </row>
    <row r="48" customFormat="false" ht="15.75" hidden="false" customHeight="false" outlineLevel="0" collapsed="false">
      <c r="A48" s="20" t="n">
        <v>46076</v>
      </c>
      <c r="B48" s="15" t="s">
        <v>489</v>
      </c>
      <c r="C48" s="15" t="s">
        <v>69</v>
      </c>
      <c r="D48" s="15" t="s">
        <v>535</v>
      </c>
      <c r="E48" s="15" t="n">
        <v>4</v>
      </c>
      <c r="H48" s="10"/>
      <c r="I48" s="21"/>
      <c r="M48" s="10"/>
      <c r="N48" s="10"/>
      <c r="P48" s="10"/>
      <c r="Q48" s="22"/>
    </row>
    <row r="49" customFormat="false" ht="15.75" hidden="false" customHeight="false" outlineLevel="0" collapsed="false">
      <c r="A49" s="20" t="n">
        <v>46076</v>
      </c>
      <c r="B49" s="15" t="s">
        <v>489</v>
      </c>
      <c r="C49" s="15" t="s">
        <v>33</v>
      </c>
      <c r="D49" s="15" t="s">
        <v>536</v>
      </c>
      <c r="E49" s="15" t="n">
        <v>4</v>
      </c>
      <c r="H49" s="10"/>
      <c r="I49" s="21"/>
      <c r="M49" s="10"/>
      <c r="N49" s="10"/>
      <c r="P49" s="10"/>
      <c r="Q49" s="22"/>
    </row>
    <row r="50" customFormat="false" ht="15.75" hidden="false" customHeight="false" outlineLevel="0" collapsed="false">
      <c r="A50" s="20" t="n">
        <v>46076</v>
      </c>
      <c r="B50" s="15" t="s">
        <v>489</v>
      </c>
      <c r="C50" s="15" t="s">
        <v>545</v>
      </c>
      <c r="D50" s="15" t="s">
        <v>546</v>
      </c>
      <c r="E50" s="15" t="n">
        <v>2</v>
      </c>
      <c r="H50" s="10"/>
      <c r="I50" s="21"/>
      <c r="M50" s="10"/>
      <c r="N50" s="10"/>
      <c r="P50" s="10"/>
      <c r="Q50" s="22"/>
    </row>
    <row r="51" customFormat="false" ht="15.75" hidden="false" customHeight="false" outlineLevel="0" collapsed="false">
      <c r="A51" s="20" t="n">
        <v>46076</v>
      </c>
      <c r="B51" s="15" t="s">
        <v>489</v>
      </c>
      <c r="C51" s="15" t="s">
        <v>555</v>
      </c>
      <c r="D51" s="15" t="s">
        <v>556</v>
      </c>
      <c r="E51" s="15" t="n">
        <v>2</v>
      </c>
      <c r="H51" s="10"/>
      <c r="I51" s="21"/>
      <c r="M51" s="10"/>
      <c r="N51" s="10"/>
      <c r="P51" s="10"/>
      <c r="Q51" s="22"/>
    </row>
    <row r="52" customFormat="false" ht="15.75" hidden="false" customHeight="false" outlineLevel="0" collapsed="false">
      <c r="A52" s="20" t="n">
        <v>46076</v>
      </c>
      <c r="B52" s="15" t="s">
        <v>489</v>
      </c>
      <c r="C52" s="15" t="s">
        <v>75</v>
      </c>
      <c r="D52" s="15" t="s">
        <v>560</v>
      </c>
      <c r="E52" s="15" t="n">
        <v>1</v>
      </c>
      <c r="H52" s="10"/>
      <c r="I52" s="21"/>
      <c r="M52" s="10"/>
      <c r="N52" s="10"/>
      <c r="P52" s="10"/>
      <c r="Q52" s="22"/>
    </row>
    <row r="53" customFormat="false" ht="15.75" hidden="false" customHeight="false" outlineLevel="0" collapsed="false">
      <c r="A53" s="20" t="n">
        <v>46076</v>
      </c>
      <c r="B53" s="15" t="s">
        <v>489</v>
      </c>
      <c r="C53" s="15" t="s">
        <v>77</v>
      </c>
      <c r="D53" s="15" t="s">
        <v>78</v>
      </c>
      <c r="E53" s="15" t="n">
        <v>2</v>
      </c>
      <c r="H53" s="10"/>
      <c r="I53" s="21"/>
      <c r="M53" s="10"/>
      <c r="N53" s="10"/>
      <c r="P53" s="10"/>
      <c r="Q53" s="22"/>
    </row>
    <row r="54" customFormat="false" ht="15.75" hidden="false" customHeight="false" outlineLevel="0" collapsed="false">
      <c r="A54" s="20" t="n">
        <v>46076</v>
      </c>
      <c r="B54" s="15" t="s">
        <v>491</v>
      </c>
      <c r="C54" s="15" t="s">
        <v>37</v>
      </c>
      <c r="D54" s="15" t="s">
        <v>561</v>
      </c>
      <c r="E54" s="15" t="n">
        <v>1</v>
      </c>
      <c r="H54" s="10"/>
      <c r="I54" s="21"/>
      <c r="M54" s="10"/>
      <c r="N54" s="10"/>
      <c r="P54" s="10"/>
      <c r="Q54" s="22"/>
    </row>
    <row r="55" customFormat="false" ht="15.75" hidden="false" customHeight="false" outlineLevel="0" collapsed="false">
      <c r="A55" s="20" t="n">
        <v>46076</v>
      </c>
      <c r="B55" s="15" t="s">
        <v>491</v>
      </c>
      <c r="C55" s="15" t="s">
        <v>81</v>
      </c>
      <c r="D55" s="15" t="s">
        <v>534</v>
      </c>
      <c r="E55" s="15" t="n">
        <v>8</v>
      </c>
      <c r="H55" s="10"/>
      <c r="I55" s="21"/>
      <c r="M55" s="10"/>
      <c r="N55" s="10"/>
      <c r="P55" s="10"/>
      <c r="Q55" s="22"/>
    </row>
    <row r="56" customFormat="false" ht="15.75" hidden="false" customHeight="false" outlineLevel="0" collapsed="false">
      <c r="A56" s="20" t="n">
        <v>46076</v>
      </c>
      <c r="B56" s="15" t="s">
        <v>491</v>
      </c>
      <c r="C56" s="15" t="s">
        <v>75</v>
      </c>
      <c r="D56" s="15" t="s">
        <v>560</v>
      </c>
      <c r="E56" s="15" t="n">
        <v>1</v>
      </c>
      <c r="H56" s="10"/>
      <c r="I56" s="23"/>
      <c r="M56" s="10"/>
      <c r="N56" s="10"/>
      <c r="P56" s="10"/>
      <c r="Q56" s="22"/>
    </row>
    <row r="57" customFormat="false" ht="15.75" hidden="false" customHeight="false" outlineLevel="0" collapsed="false">
      <c r="A57" s="20" t="n">
        <v>46076</v>
      </c>
      <c r="B57" s="15" t="s">
        <v>491</v>
      </c>
      <c r="C57" s="15" t="s">
        <v>69</v>
      </c>
      <c r="D57" s="15" t="s">
        <v>535</v>
      </c>
      <c r="E57" s="15" t="n">
        <v>6</v>
      </c>
      <c r="H57" s="10"/>
      <c r="I57" s="23"/>
      <c r="M57" s="10"/>
      <c r="N57" s="10"/>
      <c r="P57" s="10"/>
      <c r="Q57" s="22"/>
    </row>
    <row r="58" customFormat="false" ht="15.75" hidden="false" customHeight="false" outlineLevel="0" collapsed="false">
      <c r="A58" s="20" t="n">
        <v>46076</v>
      </c>
      <c r="B58" s="15" t="s">
        <v>491</v>
      </c>
      <c r="C58" s="15" t="s">
        <v>547</v>
      </c>
      <c r="D58" s="15" t="s">
        <v>548</v>
      </c>
      <c r="E58" s="15" t="n">
        <v>1</v>
      </c>
      <c r="H58" s="10"/>
      <c r="I58" s="21"/>
      <c r="M58" s="10"/>
      <c r="N58" s="10"/>
      <c r="P58" s="10"/>
      <c r="Q58" s="22"/>
    </row>
    <row r="59" customFormat="false" ht="15.75" hidden="false" customHeight="false" outlineLevel="0" collapsed="false">
      <c r="A59" s="20" t="n">
        <v>46076</v>
      </c>
      <c r="B59" s="15" t="s">
        <v>491</v>
      </c>
      <c r="C59" s="15" t="s">
        <v>31</v>
      </c>
      <c r="D59" s="15" t="s">
        <v>559</v>
      </c>
      <c r="E59" s="15" t="n">
        <v>2</v>
      </c>
      <c r="H59" s="10"/>
      <c r="I59" s="21"/>
      <c r="M59" s="10"/>
      <c r="N59" s="10"/>
      <c r="P59" s="10"/>
      <c r="Q59" s="22"/>
    </row>
    <row r="60" customFormat="false" ht="15.75" hidden="false" customHeight="false" outlineLevel="0" collapsed="false">
      <c r="A60" s="20" t="n">
        <v>46076</v>
      </c>
      <c r="B60" s="15" t="s">
        <v>491</v>
      </c>
      <c r="C60" s="15" t="s">
        <v>545</v>
      </c>
      <c r="D60" s="15" t="s">
        <v>546</v>
      </c>
      <c r="E60" s="15" t="n">
        <v>2</v>
      </c>
      <c r="H60" s="10"/>
      <c r="I60" s="21"/>
      <c r="M60" s="10"/>
      <c r="N60" s="10"/>
      <c r="P60" s="10"/>
      <c r="Q60" s="22"/>
    </row>
    <row r="61" customFormat="false" ht="15.75" hidden="false" customHeight="false" outlineLevel="0" collapsed="false">
      <c r="A61" s="20" t="n">
        <v>46076</v>
      </c>
      <c r="B61" s="15" t="s">
        <v>491</v>
      </c>
      <c r="C61" s="15" t="s">
        <v>543</v>
      </c>
      <c r="D61" s="15" t="s">
        <v>544</v>
      </c>
      <c r="E61" s="15" t="n">
        <v>4</v>
      </c>
      <c r="H61" s="10"/>
      <c r="I61" s="23"/>
      <c r="M61" s="10"/>
      <c r="N61" s="10"/>
      <c r="P61" s="10"/>
      <c r="Q61" s="22"/>
    </row>
    <row r="62" customFormat="false" ht="15.75" hidden="false" customHeight="false" outlineLevel="0" collapsed="false">
      <c r="A62" s="20" t="n">
        <v>46076</v>
      </c>
      <c r="B62" s="15" t="s">
        <v>491</v>
      </c>
      <c r="C62" s="15" t="s">
        <v>541</v>
      </c>
      <c r="D62" s="15" t="s">
        <v>542</v>
      </c>
      <c r="E62" s="15" t="n">
        <v>2</v>
      </c>
      <c r="H62" s="10"/>
      <c r="I62" s="21"/>
      <c r="M62" s="10"/>
      <c r="N62" s="10"/>
      <c r="P62" s="10"/>
      <c r="Q62" s="22"/>
    </row>
    <row r="63" customFormat="false" ht="15.75" hidden="false" customHeight="false" outlineLevel="0" collapsed="false">
      <c r="A63" s="20" t="n">
        <v>46076</v>
      </c>
      <c r="B63" s="15" t="s">
        <v>491</v>
      </c>
      <c r="C63" s="15" t="s">
        <v>49</v>
      </c>
      <c r="D63" s="15" t="s">
        <v>537</v>
      </c>
      <c r="E63" s="15" t="n">
        <v>1</v>
      </c>
      <c r="H63" s="10"/>
      <c r="I63" s="21"/>
      <c r="M63" s="10"/>
      <c r="N63" s="10"/>
      <c r="P63" s="10"/>
      <c r="Q63" s="22"/>
    </row>
    <row r="64" customFormat="false" ht="15.75" hidden="false" customHeight="false" outlineLevel="0" collapsed="false">
      <c r="A64" s="20" t="n">
        <v>46076</v>
      </c>
      <c r="B64" s="15" t="s">
        <v>491</v>
      </c>
      <c r="C64" s="15" t="s">
        <v>33</v>
      </c>
      <c r="D64" s="15" t="s">
        <v>536</v>
      </c>
      <c r="E64" s="15" t="n">
        <v>5</v>
      </c>
      <c r="H64" s="10"/>
      <c r="I64" s="21"/>
      <c r="M64" s="10"/>
      <c r="N64" s="10"/>
      <c r="P64" s="10"/>
      <c r="Q64" s="22"/>
    </row>
    <row r="65" customFormat="false" ht="15.75" hidden="false" customHeight="false" outlineLevel="0" collapsed="false">
      <c r="A65" s="20" t="n">
        <v>46076</v>
      </c>
      <c r="B65" s="15" t="s">
        <v>491</v>
      </c>
      <c r="C65" s="15" t="s">
        <v>77</v>
      </c>
      <c r="D65" s="15" t="s">
        <v>78</v>
      </c>
      <c r="E65" s="15" t="n">
        <v>3</v>
      </c>
      <c r="H65" s="10"/>
      <c r="I65" s="21"/>
      <c r="M65" s="10"/>
      <c r="N65" s="10"/>
      <c r="P65" s="10"/>
      <c r="Q65" s="22"/>
    </row>
    <row r="66" customFormat="false" ht="15.75" hidden="false" customHeight="false" outlineLevel="0" collapsed="false">
      <c r="A66" s="20" t="n">
        <v>46076</v>
      </c>
      <c r="B66" s="15" t="s">
        <v>491</v>
      </c>
      <c r="C66" s="15" t="s">
        <v>47</v>
      </c>
      <c r="D66" s="15" t="s">
        <v>549</v>
      </c>
      <c r="E66" s="15" t="n">
        <v>1</v>
      </c>
      <c r="H66" s="10"/>
      <c r="I66" s="21"/>
      <c r="M66" s="10"/>
      <c r="N66" s="10"/>
      <c r="P66" s="10"/>
      <c r="Q66" s="22"/>
    </row>
    <row r="67" customFormat="false" ht="15.75" hidden="false" customHeight="false" outlineLevel="0" collapsed="false">
      <c r="A67" s="20" t="n">
        <v>46076</v>
      </c>
      <c r="B67" s="15" t="s">
        <v>491</v>
      </c>
      <c r="C67" s="15" t="s">
        <v>55</v>
      </c>
      <c r="D67" s="15" t="s">
        <v>539</v>
      </c>
      <c r="E67" s="15" t="n">
        <v>1</v>
      </c>
      <c r="H67" s="10"/>
      <c r="I67" s="21"/>
      <c r="M67" s="10"/>
      <c r="N67" s="10"/>
      <c r="P67" s="10"/>
      <c r="Q67" s="22"/>
    </row>
    <row r="68" customFormat="false" ht="15.75" hidden="false" customHeight="false" outlineLevel="0" collapsed="false">
      <c r="A68" s="20" t="n">
        <v>46076</v>
      </c>
      <c r="B68" s="15" t="s">
        <v>491</v>
      </c>
      <c r="C68" s="15" t="s">
        <v>59</v>
      </c>
      <c r="D68" s="15" t="s">
        <v>562</v>
      </c>
      <c r="E68" s="15" t="n">
        <v>1</v>
      </c>
      <c r="H68" s="10"/>
      <c r="I68" s="21"/>
      <c r="M68" s="10"/>
      <c r="N68" s="10"/>
      <c r="P68" s="10"/>
      <c r="Q68" s="22"/>
    </row>
    <row r="69" customFormat="false" ht="15.75" hidden="false" customHeight="false" outlineLevel="0" collapsed="false">
      <c r="A69" s="20" t="n">
        <v>46076</v>
      </c>
      <c r="B69" s="15" t="s">
        <v>491</v>
      </c>
      <c r="C69" s="15" t="s">
        <v>43</v>
      </c>
      <c r="D69" s="15" t="s">
        <v>538</v>
      </c>
      <c r="E69" s="15" t="n">
        <v>1</v>
      </c>
      <c r="H69" s="10"/>
      <c r="I69" s="21"/>
      <c r="M69" s="10"/>
      <c r="N69" s="10"/>
      <c r="P69" s="10"/>
      <c r="Q69" s="22"/>
    </row>
    <row r="70" customFormat="false" ht="15.75" hidden="false" customHeight="false" outlineLevel="0" collapsed="false">
      <c r="A70" s="20" t="n">
        <v>46076</v>
      </c>
      <c r="B70" s="15" t="s">
        <v>491</v>
      </c>
      <c r="C70" s="15" t="s">
        <v>87</v>
      </c>
      <c r="D70" s="15" t="s">
        <v>563</v>
      </c>
      <c r="E70" s="15" t="n">
        <v>1</v>
      </c>
      <c r="H70" s="10"/>
      <c r="I70" s="21"/>
      <c r="M70" s="10"/>
      <c r="N70" s="10"/>
      <c r="P70" s="10"/>
      <c r="Q70" s="22"/>
    </row>
    <row r="71" customFormat="false" ht="15.75" hidden="false" customHeight="false" outlineLevel="0" collapsed="false">
      <c r="A71" s="20" t="n">
        <v>46076</v>
      </c>
      <c r="B71" s="15" t="s">
        <v>491</v>
      </c>
      <c r="C71" s="15" t="s">
        <v>79</v>
      </c>
      <c r="D71" s="15" t="s">
        <v>564</v>
      </c>
      <c r="E71" s="15" t="n">
        <v>1</v>
      </c>
      <c r="H71" s="10"/>
      <c r="I71" s="21"/>
      <c r="M71" s="10"/>
      <c r="N71" s="10"/>
      <c r="P71" s="10"/>
      <c r="Q71" s="22"/>
    </row>
    <row r="72" customFormat="false" ht="15.75" hidden="false" customHeight="false" outlineLevel="0" collapsed="false">
      <c r="A72" s="20" t="n">
        <v>46076</v>
      </c>
      <c r="B72" s="15" t="s">
        <v>504</v>
      </c>
      <c r="C72" s="15" t="s">
        <v>47</v>
      </c>
      <c r="D72" s="15" t="s">
        <v>549</v>
      </c>
      <c r="E72" s="15" t="n">
        <v>3</v>
      </c>
      <c r="H72" s="10"/>
      <c r="I72" s="21"/>
      <c r="M72" s="10"/>
      <c r="N72" s="10"/>
      <c r="P72" s="10"/>
      <c r="Q72" s="22"/>
    </row>
    <row r="73" customFormat="false" ht="15.75" hidden="false" customHeight="false" outlineLevel="0" collapsed="false">
      <c r="A73" s="20" t="n">
        <v>46076</v>
      </c>
      <c r="B73" s="15" t="s">
        <v>504</v>
      </c>
      <c r="C73" s="15" t="s">
        <v>55</v>
      </c>
      <c r="D73" s="15" t="s">
        <v>539</v>
      </c>
      <c r="E73" s="15" t="n">
        <v>6</v>
      </c>
      <c r="H73" s="10"/>
      <c r="I73" s="21"/>
      <c r="M73" s="10"/>
      <c r="N73" s="10"/>
      <c r="P73" s="10"/>
      <c r="Q73" s="22"/>
    </row>
    <row r="74" customFormat="false" ht="15.75" hidden="false" customHeight="false" outlineLevel="0" collapsed="false">
      <c r="A74" s="20" t="n">
        <v>46076</v>
      </c>
      <c r="B74" s="15" t="s">
        <v>504</v>
      </c>
      <c r="C74" s="15" t="s">
        <v>81</v>
      </c>
      <c r="D74" s="15" t="s">
        <v>534</v>
      </c>
      <c r="E74" s="15" t="n">
        <v>9</v>
      </c>
      <c r="H74" s="10"/>
      <c r="I74" s="21"/>
      <c r="M74" s="10"/>
      <c r="N74" s="10"/>
      <c r="P74" s="10"/>
      <c r="Q74" s="22"/>
    </row>
    <row r="75" customFormat="false" ht="15.75" hidden="false" customHeight="false" outlineLevel="0" collapsed="false">
      <c r="A75" s="20" t="n">
        <v>46076</v>
      </c>
      <c r="B75" s="15" t="s">
        <v>504</v>
      </c>
      <c r="C75" s="15" t="s">
        <v>39</v>
      </c>
      <c r="D75" s="15" t="s">
        <v>550</v>
      </c>
      <c r="E75" s="15" t="n">
        <v>1</v>
      </c>
      <c r="H75" s="10"/>
      <c r="I75" s="21"/>
      <c r="M75" s="10"/>
      <c r="N75" s="10"/>
      <c r="P75" s="10"/>
      <c r="Q75" s="22"/>
    </row>
    <row r="76" customFormat="false" ht="15.75" hidden="false" customHeight="false" outlineLevel="0" collapsed="false">
      <c r="A76" s="20" t="n">
        <v>46076</v>
      </c>
      <c r="B76" s="15" t="s">
        <v>504</v>
      </c>
      <c r="C76" s="15" t="s">
        <v>63</v>
      </c>
      <c r="D76" s="15" t="s">
        <v>551</v>
      </c>
      <c r="E76" s="15" t="n">
        <v>1</v>
      </c>
      <c r="H76" s="10"/>
      <c r="I76" s="21"/>
      <c r="M76" s="10"/>
      <c r="N76" s="10"/>
      <c r="P76" s="10"/>
      <c r="Q76" s="22"/>
    </row>
    <row r="77" customFormat="false" ht="15.75" hidden="false" customHeight="false" outlineLevel="0" collapsed="false">
      <c r="A77" s="20" t="n">
        <v>46076</v>
      </c>
      <c r="B77" s="15" t="s">
        <v>504</v>
      </c>
      <c r="C77" s="15" t="s">
        <v>17</v>
      </c>
      <c r="D77" s="15" t="s">
        <v>554</v>
      </c>
      <c r="E77" s="15" t="n">
        <v>1</v>
      </c>
      <c r="H77" s="10"/>
      <c r="I77" s="21"/>
      <c r="M77" s="10"/>
      <c r="N77" s="10"/>
      <c r="P77" s="10"/>
      <c r="Q77" s="22"/>
    </row>
    <row r="78" customFormat="false" ht="15.75" hidden="false" customHeight="false" outlineLevel="0" collapsed="false">
      <c r="A78" s="20" t="n">
        <v>46076</v>
      </c>
      <c r="B78" s="15" t="s">
        <v>508</v>
      </c>
      <c r="C78" s="15" t="s">
        <v>55</v>
      </c>
      <c r="D78" s="15" t="s">
        <v>539</v>
      </c>
      <c r="E78" s="15" t="n">
        <v>5</v>
      </c>
      <c r="H78" s="10"/>
      <c r="I78" s="21"/>
      <c r="M78" s="10"/>
      <c r="N78" s="10"/>
      <c r="P78" s="10"/>
      <c r="Q78" s="22"/>
    </row>
    <row r="79" customFormat="false" ht="15.75" hidden="false" customHeight="false" outlineLevel="0" collapsed="false">
      <c r="A79" s="20" t="n">
        <v>46076</v>
      </c>
      <c r="B79" s="15" t="s">
        <v>508</v>
      </c>
      <c r="C79" s="15" t="s">
        <v>81</v>
      </c>
      <c r="D79" s="15" t="s">
        <v>534</v>
      </c>
      <c r="E79" s="15" t="n">
        <v>9</v>
      </c>
      <c r="H79" s="10"/>
      <c r="I79" s="21"/>
      <c r="M79" s="10"/>
      <c r="N79" s="10"/>
      <c r="P79" s="10"/>
      <c r="Q79" s="22"/>
    </row>
    <row r="80" customFormat="false" ht="15.75" hidden="false" customHeight="false" outlineLevel="0" collapsed="false">
      <c r="A80" s="20" t="n">
        <v>46076</v>
      </c>
      <c r="B80" s="15" t="s">
        <v>508</v>
      </c>
      <c r="C80" s="15" t="s">
        <v>39</v>
      </c>
      <c r="D80" s="15" t="s">
        <v>550</v>
      </c>
      <c r="E80" s="15" t="n">
        <v>2</v>
      </c>
      <c r="H80" s="10"/>
      <c r="I80" s="21"/>
      <c r="M80" s="10"/>
      <c r="N80" s="10"/>
      <c r="P80" s="10"/>
      <c r="Q80" s="22"/>
    </row>
    <row r="81" customFormat="false" ht="15.75" hidden="false" customHeight="false" outlineLevel="0" collapsed="false">
      <c r="A81" s="20" t="n">
        <v>46076</v>
      </c>
      <c r="B81" s="15" t="s">
        <v>508</v>
      </c>
      <c r="C81" s="15" t="s">
        <v>47</v>
      </c>
      <c r="D81" s="15" t="s">
        <v>549</v>
      </c>
      <c r="E81" s="15" t="n">
        <v>2</v>
      </c>
      <c r="H81" s="10"/>
      <c r="I81" s="21"/>
      <c r="M81" s="10"/>
      <c r="N81" s="10"/>
      <c r="P81" s="10"/>
      <c r="Q81" s="22"/>
    </row>
    <row r="82" customFormat="false" ht="15.75" hidden="false" customHeight="false" outlineLevel="0" collapsed="false">
      <c r="A82" s="20" t="n">
        <v>46076</v>
      </c>
      <c r="B82" s="15" t="s">
        <v>508</v>
      </c>
      <c r="C82" s="15" t="s">
        <v>63</v>
      </c>
      <c r="D82" s="15" t="s">
        <v>551</v>
      </c>
      <c r="E82" s="15" t="n">
        <v>1</v>
      </c>
      <c r="H82" s="10"/>
      <c r="I82" s="23"/>
      <c r="M82" s="10"/>
      <c r="N82" s="10"/>
      <c r="P82" s="10"/>
      <c r="Q82" s="22"/>
    </row>
    <row r="83" customFormat="false" ht="15.75" hidden="false" customHeight="false" outlineLevel="0" collapsed="false">
      <c r="A83" s="20" t="n">
        <v>46076</v>
      </c>
      <c r="B83" s="15" t="s">
        <v>524</v>
      </c>
      <c r="C83" s="15" t="s">
        <v>69</v>
      </c>
      <c r="D83" s="15" t="s">
        <v>535</v>
      </c>
      <c r="E83" s="15" t="n">
        <v>6</v>
      </c>
      <c r="H83" s="10"/>
      <c r="I83" s="21"/>
      <c r="M83" s="10"/>
      <c r="N83" s="10"/>
      <c r="P83" s="10"/>
      <c r="Q83" s="22"/>
    </row>
    <row r="84" customFormat="false" ht="15.75" hidden="false" customHeight="false" outlineLevel="0" collapsed="false">
      <c r="A84" s="20" t="n">
        <v>46076</v>
      </c>
      <c r="B84" s="15" t="s">
        <v>524</v>
      </c>
      <c r="C84" s="15" t="s">
        <v>33</v>
      </c>
      <c r="D84" s="15" t="s">
        <v>536</v>
      </c>
      <c r="E84" s="15" t="n">
        <v>6</v>
      </c>
      <c r="H84" s="10"/>
      <c r="I84" s="21"/>
      <c r="M84" s="10"/>
      <c r="N84" s="10"/>
      <c r="P84" s="10"/>
      <c r="Q84" s="22"/>
    </row>
    <row r="85" customFormat="false" ht="15.75" hidden="false" customHeight="false" outlineLevel="0" collapsed="false">
      <c r="A85" s="20" t="n">
        <v>46076</v>
      </c>
      <c r="B85" s="15" t="s">
        <v>524</v>
      </c>
      <c r="C85" s="15" t="s">
        <v>55</v>
      </c>
      <c r="D85" s="15" t="s">
        <v>539</v>
      </c>
      <c r="E85" s="15" t="n">
        <v>4</v>
      </c>
      <c r="H85" s="10"/>
      <c r="I85" s="23"/>
      <c r="M85" s="10"/>
      <c r="N85" s="10"/>
      <c r="P85" s="10"/>
      <c r="Q85" s="22"/>
    </row>
    <row r="86" customFormat="false" ht="15.75" hidden="false" customHeight="false" outlineLevel="0" collapsed="false">
      <c r="A86" s="20" t="n">
        <v>46076</v>
      </c>
      <c r="B86" s="15" t="s">
        <v>524</v>
      </c>
      <c r="C86" s="15" t="s">
        <v>81</v>
      </c>
      <c r="D86" s="15" t="s">
        <v>534</v>
      </c>
      <c r="E86" s="15" t="n">
        <v>3</v>
      </c>
      <c r="H86" s="10"/>
      <c r="I86" s="21"/>
      <c r="M86" s="10"/>
      <c r="N86" s="10"/>
      <c r="P86" s="10"/>
      <c r="Q86" s="22"/>
    </row>
    <row r="87" customFormat="false" ht="15.75" hidden="false" customHeight="false" outlineLevel="0" collapsed="false">
      <c r="A87" s="20" t="n">
        <v>46076</v>
      </c>
      <c r="B87" s="15" t="s">
        <v>524</v>
      </c>
      <c r="C87" s="15" t="s">
        <v>37</v>
      </c>
      <c r="D87" s="15" t="s">
        <v>561</v>
      </c>
      <c r="E87" s="15" t="n">
        <v>1</v>
      </c>
      <c r="H87" s="10"/>
      <c r="I87" s="21"/>
      <c r="M87" s="10"/>
      <c r="N87" s="10"/>
      <c r="P87" s="10"/>
      <c r="Q87" s="22"/>
    </row>
    <row r="88" customFormat="false" ht="15.75" hidden="false" customHeight="false" outlineLevel="0" collapsed="false">
      <c r="A88" s="20" t="n">
        <v>46076</v>
      </c>
      <c r="B88" s="15" t="s">
        <v>524</v>
      </c>
      <c r="C88" s="15" t="s">
        <v>547</v>
      </c>
      <c r="D88" s="15" t="s">
        <v>548</v>
      </c>
      <c r="E88" s="15" t="n">
        <v>1</v>
      </c>
      <c r="H88" s="10"/>
      <c r="I88" s="21"/>
      <c r="M88" s="10"/>
      <c r="N88" s="10"/>
      <c r="P88" s="10"/>
      <c r="Q88" s="22"/>
    </row>
    <row r="89" customFormat="false" ht="15.75" hidden="false" customHeight="false" outlineLevel="0" collapsed="false">
      <c r="A89" s="20" t="n">
        <v>46077</v>
      </c>
      <c r="B89" s="15" t="s">
        <v>453</v>
      </c>
      <c r="C89" s="15" t="s">
        <v>47</v>
      </c>
      <c r="D89" s="15" t="s">
        <v>549</v>
      </c>
      <c r="E89" s="15" t="n">
        <v>2</v>
      </c>
      <c r="H89" s="10"/>
      <c r="I89" s="23"/>
      <c r="M89" s="10"/>
      <c r="N89" s="10"/>
      <c r="P89" s="10"/>
      <c r="Q89" s="22"/>
    </row>
    <row r="90" customFormat="false" ht="15.75" hidden="false" customHeight="false" outlineLevel="0" collapsed="false">
      <c r="A90" s="20" t="n">
        <v>46077</v>
      </c>
      <c r="B90" s="15" t="s">
        <v>453</v>
      </c>
      <c r="C90" s="15" t="s">
        <v>55</v>
      </c>
      <c r="D90" s="15" t="s">
        <v>539</v>
      </c>
      <c r="E90" s="15" t="n">
        <v>4</v>
      </c>
      <c r="H90" s="10"/>
      <c r="I90" s="23"/>
      <c r="M90" s="10"/>
      <c r="N90" s="10"/>
      <c r="P90" s="10"/>
      <c r="Q90" s="22"/>
    </row>
    <row r="91" customFormat="false" ht="15.75" hidden="false" customHeight="false" outlineLevel="0" collapsed="false">
      <c r="A91" s="20" t="n">
        <v>46077</v>
      </c>
      <c r="B91" s="15" t="s">
        <v>453</v>
      </c>
      <c r="C91" s="15" t="s">
        <v>81</v>
      </c>
      <c r="D91" s="15" t="s">
        <v>534</v>
      </c>
      <c r="E91" s="15" t="n">
        <v>8</v>
      </c>
      <c r="H91" s="10"/>
      <c r="I91" s="21"/>
      <c r="M91" s="10"/>
      <c r="N91" s="10"/>
      <c r="P91" s="10"/>
      <c r="Q91" s="22"/>
    </row>
    <row r="92" customFormat="false" ht="15.75" hidden="false" customHeight="false" outlineLevel="0" collapsed="false">
      <c r="A92" s="20" t="n">
        <v>46077</v>
      </c>
      <c r="B92" s="15" t="s">
        <v>453</v>
      </c>
      <c r="C92" s="15" t="s">
        <v>39</v>
      </c>
      <c r="D92" s="15" t="s">
        <v>550</v>
      </c>
      <c r="E92" s="15" t="n">
        <v>2</v>
      </c>
      <c r="H92" s="10"/>
      <c r="I92" s="23"/>
      <c r="M92" s="10"/>
      <c r="N92" s="10"/>
      <c r="P92" s="10"/>
      <c r="Q92" s="22"/>
    </row>
    <row r="93" customFormat="false" ht="15.75" hidden="false" customHeight="false" outlineLevel="0" collapsed="false">
      <c r="A93" s="20" t="n">
        <v>46077</v>
      </c>
      <c r="B93" s="15" t="s">
        <v>453</v>
      </c>
      <c r="C93" s="15" t="s">
        <v>63</v>
      </c>
      <c r="D93" s="15" t="s">
        <v>551</v>
      </c>
      <c r="E93" s="15" t="n">
        <v>1</v>
      </c>
      <c r="H93" s="10"/>
      <c r="I93" s="21"/>
      <c r="M93" s="10"/>
      <c r="N93" s="10"/>
      <c r="P93" s="10"/>
      <c r="Q93" s="22"/>
    </row>
    <row r="94" customFormat="false" ht="15.75" hidden="false" customHeight="false" outlineLevel="0" collapsed="false">
      <c r="A94" s="20" t="n">
        <v>46077</v>
      </c>
      <c r="B94" s="15" t="s">
        <v>453</v>
      </c>
      <c r="C94" s="15" t="s">
        <v>35</v>
      </c>
      <c r="D94" s="15" t="s">
        <v>552</v>
      </c>
      <c r="E94" s="15" t="n">
        <v>2</v>
      </c>
      <c r="H94" s="10"/>
      <c r="I94" s="21"/>
      <c r="M94" s="10"/>
      <c r="N94" s="10"/>
      <c r="P94" s="10"/>
      <c r="Q94" s="22"/>
    </row>
    <row r="95" customFormat="false" ht="15.75" hidden="false" customHeight="false" outlineLevel="0" collapsed="false">
      <c r="A95" s="20" t="n">
        <v>46077</v>
      </c>
      <c r="B95" s="15" t="s">
        <v>455</v>
      </c>
      <c r="C95" s="15" t="s">
        <v>81</v>
      </c>
      <c r="D95" s="15" t="s">
        <v>534</v>
      </c>
      <c r="E95" s="15" t="n">
        <v>8</v>
      </c>
      <c r="H95" s="10"/>
      <c r="I95" s="23"/>
      <c r="M95" s="10"/>
      <c r="N95" s="10"/>
      <c r="P95" s="10"/>
      <c r="Q95" s="22"/>
    </row>
    <row r="96" customFormat="false" ht="15.75" hidden="false" customHeight="false" outlineLevel="0" collapsed="false">
      <c r="A96" s="20" t="n">
        <v>46077</v>
      </c>
      <c r="B96" s="15" t="s">
        <v>455</v>
      </c>
      <c r="C96" s="15" t="s">
        <v>55</v>
      </c>
      <c r="D96" s="15" t="s">
        <v>539</v>
      </c>
      <c r="E96" s="15" t="n">
        <v>3</v>
      </c>
      <c r="H96" s="10"/>
      <c r="I96" s="21"/>
      <c r="M96" s="10"/>
      <c r="N96" s="10"/>
      <c r="P96" s="10"/>
      <c r="Q96" s="22"/>
    </row>
    <row r="97" customFormat="false" ht="15.75" hidden="false" customHeight="false" outlineLevel="0" collapsed="false">
      <c r="A97" s="20" t="n">
        <v>46077</v>
      </c>
      <c r="B97" s="15" t="s">
        <v>455</v>
      </c>
      <c r="C97" s="15" t="s">
        <v>47</v>
      </c>
      <c r="D97" s="15" t="s">
        <v>549</v>
      </c>
      <c r="E97" s="15" t="n">
        <v>3</v>
      </c>
      <c r="H97" s="10"/>
      <c r="I97" s="21"/>
      <c r="M97" s="10"/>
      <c r="N97" s="10"/>
      <c r="P97" s="10"/>
      <c r="Q97" s="22"/>
    </row>
    <row r="98" customFormat="false" ht="15.75" hidden="false" customHeight="false" outlineLevel="0" collapsed="false">
      <c r="A98" s="20" t="n">
        <v>46077</v>
      </c>
      <c r="B98" s="15" t="s">
        <v>455</v>
      </c>
      <c r="C98" s="15" t="s">
        <v>63</v>
      </c>
      <c r="D98" s="15" t="s">
        <v>551</v>
      </c>
      <c r="E98" s="15" t="n">
        <v>1</v>
      </c>
      <c r="H98" s="10"/>
      <c r="I98" s="23"/>
      <c r="M98" s="10"/>
      <c r="N98" s="10"/>
      <c r="P98" s="10"/>
      <c r="Q98" s="22"/>
    </row>
    <row r="99" customFormat="false" ht="15.75" hidden="false" customHeight="false" outlineLevel="0" collapsed="false">
      <c r="A99" s="20" t="n">
        <v>46077</v>
      </c>
      <c r="B99" s="15" t="s">
        <v>455</v>
      </c>
      <c r="C99" s="15" t="s">
        <v>49</v>
      </c>
      <c r="D99" s="15" t="s">
        <v>537</v>
      </c>
      <c r="E99" s="15" t="n">
        <v>2</v>
      </c>
      <c r="H99" s="10"/>
      <c r="I99" s="21"/>
      <c r="M99" s="10"/>
      <c r="N99" s="10"/>
      <c r="P99" s="10"/>
      <c r="Q99" s="22"/>
    </row>
    <row r="100" customFormat="false" ht="15.75" hidden="false" customHeight="false" outlineLevel="0" collapsed="false">
      <c r="A100" s="20" t="n">
        <v>46077</v>
      </c>
      <c r="B100" s="15" t="s">
        <v>455</v>
      </c>
      <c r="C100" s="15" t="s">
        <v>57</v>
      </c>
      <c r="D100" s="15" t="s">
        <v>553</v>
      </c>
      <c r="E100" s="15" t="n">
        <v>2</v>
      </c>
      <c r="H100" s="10"/>
      <c r="I100" s="23"/>
      <c r="M100" s="10"/>
      <c r="N100" s="10"/>
      <c r="P100" s="10"/>
      <c r="Q100" s="22"/>
    </row>
    <row r="101" customFormat="false" ht="15.75" hidden="false" customHeight="false" outlineLevel="0" collapsed="false">
      <c r="A101" s="20" t="n">
        <v>46077</v>
      </c>
      <c r="B101" s="15" t="s">
        <v>455</v>
      </c>
      <c r="C101" s="15" t="s">
        <v>17</v>
      </c>
      <c r="D101" s="15" t="s">
        <v>554</v>
      </c>
      <c r="E101" s="15" t="n">
        <v>1</v>
      </c>
      <c r="H101" s="10"/>
      <c r="I101" s="21"/>
      <c r="M101" s="10"/>
      <c r="N101" s="10"/>
      <c r="P101" s="10"/>
      <c r="Q101" s="22"/>
    </row>
    <row r="102" customFormat="false" ht="15.75" hidden="false" customHeight="false" outlineLevel="0" collapsed="false">
      <c r="A102" s="20" t="n">
        <v>46077</v>
      </c>
      <c r="B102" s="15" t="s">
        <v>455</v>
      </c>
      <c r="C102" s="15" t="s">
        <v>39</v>
      </c>
      <c r="D102" s="15" t="s">
        <v>550</v>
      </c>
      <c r="E102" s="15" t="n">
        <v>1</v>
      </c>
      <c r="H102" s="10"/>
      <c r="I102" s="21"/>
      <c r="M102" s="10"/>
      <c r="N102" s="10"/>
      <c r="P102" s="10"/>
      <c r="Q102" s="22"/>
    </row>
    <row r="103" customFormat="false" ht="15.75" hidden="false" customHeight="false" outlineLevel="0" collapsed="false">
      <c r="A103" s="20" t="n">
        <v>46077</v>
      </c>
      <c r="B103" s="15" t="s">
        <v>19</v>
      </c>
      <c r="C103" s="15" t="s">
        <v>69</v>
      </c>
      <c r="D103" s="15" t="s">
        <v>535</v>
      </c>
      <c r="E103" s="15" t="n">
        <v>10</v>
      </c>
      <c r="H103" s="10"/>
      <c r="I103" s="23"/>
      <c r="M103" s="10"/>
      <c r="N103" s="10"/>
      <c r="P103" s="10"/>
      <c r="Q103" s="22"/>
    </row>
    <row r="104" customFormat="false" ht="15.75" hidden="false" customHeight="false" outlineLevel="0" collapsed="false">
      <c r="A104" s="20" t="n">
        <v>46077</v>
      </c>
      <c r="B104" s="15" t="s">
        <v>19</v>
      </c>
      <c r="C104" s="15" t="s">
        <v>55</v>
      </c>
      <c r="D104" s="15" t="s">
        <v>539</v>
      </c>
      <c r="E104" s="15" t="n">
        <v>10</v>
      </c>
      <c r="H104" s="10"/>
      <c r="I104" s="21"/>
      <c r="M104" s="10"/>
      <c r="N104" s="10"/>
      <c r="P104" s="10"/>
      <c r="Q104" s="22"/>
    </row>
    <row r="105" customFormat="false" ht="15.75" hidden="false" customHeight="false" outlineLevel="0" collapsed="false">
      <c r="A105" s="20" t="n">
        <v>46077</v>
      </c>
      <c r="B105" s="15" t="s">
        <v>19</v>
      </c>
      <c r="C105" s="15" t="s">
        <v>37</v>
      </c>
      <c r="D105" s="15" t="s">
        <v>561</v>
      </c>
      <c r="E105" s="15" t="n">
        <v>4</v>
      </c>
      <c r="H105" s="10"/>
      <c r="I105" s="21"/>
      <c r="M105" s="10"/>
      <c r="N105" s="10"/>
      <c r="P105" s="10"/>
      <c r="Q105" s="22"/>
    </row>
    <row r="106" customFormat="false" ht="15.75" hidden="false" customHeight="false" outlineLevel="0" collapsed="false">
      <c r="A106" s="20" t="n">
        <v>46077</v>
      </c>
      <c r="B106" s="15" t="s">
        <v>19</v>
      </c>
      <c r="C106" s="15" t="s">
        <v>555</v>
      </c>
      <c r="D106" s="15" t="s">
        <v>556</v>
      </c>
      <c r="E106" s="15" t="n">
        <v>4</v>
      </c>
      <c r="H106" s="10"/>
      <c r="I106" s="21"/>
      <c r="M106" s="10"/>
      <c r="N106" s="10"/>
      <c r="P106" s="10"/>
      <c r="Q106" s="22"/>
    </row>
    <row r="107" customFormat="false" ht="15.75" hidden="false" customHeight="false" outlineLevel="0" collapsed="false">
      <c r="A107" s="20" t="n">
        <v>46077</v>
      </c>
      <c r="B107" s="15" t="s">
        <v>19</v>
      </c>
      <c r="C107" s="15" t="s">
        <v>565</v>
      </c>
      <c r="D107" s="15" t="s">
        <v>566</v>
      </c>
      <c r="E107" s="15" t="n">
        <v>4</v>
      </c>
      <c r="H107" s="10"/>
      <c r="I107" s="21"/>
      <c r="M107" s="10"/>
      <c r="N107" s="10"/>
      <c r="P107" s="10"/>
      <c r="Q107" s="22"/>
    </row>
    <row r="108" customFormat="false" ht="15.75" hidden="false" customHeight="false" outlineLevel="0" collapsed="false">
      <c r="A108" s="20" t="n">
        <v>46077</v>
      </c>
      <c r="B108" s="15" t="s">
        <v>19</v>
      </c>
      <c r="C108" s="15" t="s">
        <v>567</v>
      </c>
      <c r="D108" s="15" t="s">
        <v>568</v>
      </c>
      <c r="E108" s="15" t="n">
        <v>4</v>
      </c>
      <c r="H108" s="10"/>
      <c r="I108" s="23"/>
      <c r="M108" s="10"/>
      <c r="N108" s="10"/>
      <c r="P108" s="10"/>
      <c r="Q108" s="22"/>
    </row>
    <row r="109" customFormat="false" ht="15.75" hidden="false" customHeight="false" outlineLevel="0" collapsed="false">
      <c r="A109" s="20" t="n">
        <v>46077</v>
      </c>
      <c r="B109" s="15" t="s">
        <v>19</v>
      </c>
      <c r="C109" s="15" t="s">
        <v>43</v>
      </c>
      <c r="D109" s="15" t="s">
        <v>538</v>
      </c>
      <c r="E109" s="15" t="n">
        <v>4</v>
      </c>
      <c r="H109" s="10"/>
      <c r="I109" s="21"/>
      <c r="M109" s="10"/>
      <c r="N109" s="10"/>
      <c r="P109" s="10"/>
      <c r="Q109" s="22"/>
    </row>
    <row r="110" customFormat="false" ht="15.75" hidden="false" customHeight="false" outlineLevel="0" collapsed="false">
      <c r="A110" s="20" t="n">
        <v>46077</v>
      </c>
      <c r="B110" s="15" t="s">
        <v>19</v>
      </c>
      <c r="C110" s="15" t="s">
        <v>81</v>
      </c>
      <c r="D110" s="15" t="s">
        <v>534</v>
      </c>
      <c r="E110" s="15" t="n">
        <v>9</v>
      </c>
      <c r="H110" s="10"/>
      <c r="I110" s="21"/>
      <c r="M110" s="10"/>
      <c r="N110" s="10"/>
      <c r="P110" s="10"/>
      <c r="Q110" s="22"/>
    </row>
    <row r="111" customFormat="false" ht="15.75" hidden="false" customHeight="false" outlineLevel="0" collapsed="false">
      <c r="A111" s="20" t="n">
        <v>46077</v>
      </c>
      <c r="B111" s="15" t="s">
        <v>19</v>
      </c>
      <c r="C111" s="15" t="s">
        <v>545</v>
      </c>
      <c r="D111" s="15" t="s">
        <v>546</v>
      </c>
      <c r="E111" s="15" t="n">
        <v>2</v>
      </c>
      <c r="H111" s="10"/>
      <c r="I111" s="21"/>
      <c r="M111" s="10"/>
      <c r="N111" s="10"/>
      <c r="P111" s="10"/>
      <c r="Q111" s="22"/>
    </row>
    <row r="112" customFormat="false" ht="15.75" hidden="false" customHeight="false" outlineLevel="0" collapsed="false">
      <c r="A112" s="20" t="n">
        <v>46077</v>
      </c>
      <c r="B112" s="15" t="s">
        <v>19</v>
      </c>
      <c r="C112" s="15" t="s">
        <v>67</v>
      </c>
      <c r="D112" s="15" t="s">
        <v>569</v>
      </c>
      <c r="E112" s="15" t="n">
        <v>2</v>
      </c>
      <c r="H112" s="10"/>
      <c r="I112" s="21"/>
      <c r="M112" s="10"/>
      <c r="N112" s="10"/>
      <c r="P112" s="10"/>
      <c r="Q112" s="22"/>
    </row>
    <row r="113" customFormat="false" ht="15.75" hidden="false" customHeight="false" outlineLevel="0" collapsed="false">
      <c r="A113" s="20" t="n">
        <v>46077</v>
      </c>
      <c r="B113" s="15" t="s">
        <v>19</v>
      </c>
      <c r="C113" s="15" t="s">
        <v>77</v>
      </c>
      <c r="D113" s="15" t="s">
        <v>78</v>
      </c>
      <c r="E113" s="15" t="n">
        <v>4</v>
      </c>
      <c r="H113" s="10"/>
      <c r="I113" s="21"/>
      <c r="M113" s="10"/>
      <c r="N113" s="10"/>
      <c r="P113" s="10"/>
      <c r="Q113" s="22"/>
    </row>
    <row r="114" customFormat="false" ht="15.75" hidden="false" customHeight="false" outlineLevel="0" collapsed="false">
      <c r="A114" s="20" t="n">
        <v>46077</v>
      </c>
      <c r="B114" s="15" t="s">
        <v>19</v>
      </c>
      <c r="C114" s="15" t="s">
        <v>33</v>
      </c>
      <c r="D114" s="15" t="s">
        <v>536</v>
      </c>
      <c r="E114" s="15" t="n">
        <v>10</v>
      </c>
      <c r="H114" s="10"/>
      <c r="I114" s="23"/>
      <c r="M114" s="10"/>
      <c r="N114" s="10"/>
      <c r="P114" s="10"/>
      <c r="Q114" s="22"/>
    </row>
    <row r="115" customFormat="false" ht="15.75" hidden="false" customHeight="false" outlineLevel="0" collapsed="false">
      <c r="A115" s="20" t="n">
        <v>46077</v>
      </c>
      <c r="B115" s="15" t="s">
        <v>19</v>
      </c>
      <c r="C115" s="15" t="s">
        <v>59</v>
      </c>
      <c r="D115" s="15" t="s">
        <v>562</v>
      </c>
      <c r="E115" s="15" t="n">
        <v>10</v>
      </c>
      <c r="H115" s="10"/>
      <c r="I115" s="23"/>
      <c r="M115" s="10"/>
      <c r="N115" s="10"/>
      <c r="P115" s="10"/>
      <c r="Q115" s="22"/>
    </row>
    <row r="116" customFormat="false" ht="15.75" hidden="false" customHeight="false" outlineLevel="0" collapsed="false">
      <c r="A116" s="20" t="n">
        <v>46077</v>
      </c>
      <c r="B116" s="15" t="s">
        <v>19</v>
      </c>
      <c r="C116" s="15" t="s">
        <v>19</v>
      </c>
      <c r="D116" s="15" t="s">
        <v>19</v>
      </c>
      <c r="E116" s="15" t="n">
        <v>2</v>
      </c>
      <c r="H116" s="10"/>
      <c r="I116" s="23"/>
      <c r="M116" s="10"/>
      <c r="N116" s="10"/>
      <c r="P116" s="10"/>
      <c r="Q116" s="22"/>
    </row>
    <row r="117" customFormat="false" ht="15.75" hidden="false" customHeight="false" outlineLevel="0" collapsed="false">
      <c r="A117" s="20" t="n">
        <v>46077</v>
      </c>
      <c r="B117" s="15" t="s">
        <v>19</v>
      </c>
      <c r="C117" s="15" t="s">
        <v>570</v>
      </c>
      <c r="D117" s="15" t="s">
        <v>571</v>
      </c>
      <c r="E117" s="15" t="n">
        <v>2</v>
      </c>
      <c r="H117" s="10"/>
      <c r="I117" s="21"/>
      <c r="M117" s="10"/>
      <c r="N117" s="10"/>
      <c r="P117" s="10"/>
      <c r="Q117" s="22"/>
    </row>
    <row r="118" customFormat="false" ht="15.75" hidden="false" customHeight="false" outlineLevel="0" collapsed="false">
      <c r="A118" s="20" t="n">
        <v>46077</v>
      </c>
      <c r="B118" s="15" t="s">
        <v>19</v>
      </c>
      <c r="C118" s="15" t="s">
        <v>11</v>
      </c>
      <c r="D118" s="15" t="s">
        <v>572</v>
      </c>
      <c r="E118" s="15" t="n">
        <v>2</v>
      </c>
      <c r="H118" s="10"/>
      <c r="I118" s="23"/>
      <c r="M118" s="10"/>
      <c r="N118" s="10"/>
      <c r="P118" s="10"/>
      <c r="Q118" s="22"/>
    </row>
    <row r="119" customFormat="false" ht="15.75" hidden="false" customHeight="false" outlineLevel="0" collapsed="false">
      <c r="A119" s="20" t="n">
        <v>46077</v>
      </c>
      <c r="B119" s="15" t="s">
        <v>467</v>
      </c>
      <c r="C119" s="15" t="s">
        <v>55</v>
      </c>
      <c r="D119" s="15" t="s">
        <v>539</v>
      </c>
      <c r="E119" s="15" t="n">
        <v>6</v>
      </c>
      <c r="H119" s="10"/>
      <c r="I119" s="23"/>
      <c r="M119" s="10"/>
      <c r="N119" s="10"/>
      <c r="P119" s="10"/>
      <c r="Q119" s="22"/>
    </row>
    <row r="120" customFormat="false" ht="15.75" hidden="false" customHeight="false" outlineLevel="0" collapsed="false">
      <c r="A120" s="20" t="n">
        <v>46077</v>
      </c>
      <c r="B120" s="15" t="s">
        <v>467</v>
      </c>
      <c r="C120" s="15" t="s">
        <v>57</v>
      </c>
      <c r="D120" s="15" t="s">
        <v>553</v>
      </c>
      <c r="E120" s="15" t="n">
        <v>2</v>
      </c>
      <c r="H120" s="10"/>
      <c r="I120" s="23"/>
      <c r="M120" s="10"/>
      <c r="N120" s="10"/>
      <c r="P120" s="10"/>
      <c r="Q120" s="22"/>
    </row>
    <row r="121" customFormat="false" ht="15.75" hidden="false" customHeight="false" outlineLevel="0" collapsed="false">
      <c r="A121" s="20" t="n">
        <v>46077</v>
      </c>
      <c r="B121" s="15" t="s">
        <v>467</v>
      </c>
      <c r="C121" s="15" t="s">
        <v>47</v>
      </c>
      <c r="D121" s="15" t="s">
        <v>549</v>
      </c>
      <c r="E121" s="15" t="n">
        <v>2</v>
      </c>
      <c r="H121" s="10"/>
      <c r="I121" s="23"/>
      <c r="M121" s="10"/>
      <c r="N121" s="10"/>
      <c r="P121" s="10"/>
      <c r="Q121" s="22"/>
    </row>
    <row r="122" customFormat="false" ht="15.75" hidden="false" customHeight="false" outlineLevel="0" collapsed="false">
      <c r="A122" s="20" t="n">
        <v>46077</v>
      </c>
      <c r="B122" s="15" t="s">
        <v>467</v>
      </c>
      <c r="C122" s="15" t="s">
        <v>81</v>
      </c>
      <c r="D122" s="15" t="s">
        <v>534</v>
      </c>
      <c r="E122" s="15" t="n">
        <v>7</v>
      </c>
      <c r="H122" s="10"/>
      <c r="I122" s="21"/>
      <c r="M122" s="10"/>
      <c r="N122" s="10"/>
      <c r="P122" s="10"/>
      <c r="Q122" s="22"/>
    </row>
    <row r="123" customFormat="false" ht="15.75" hidden="false" customHeight="false" outlineLevel="0" collapsed="false">
      <c r="A123" s="20" t="n">
        <v>46077</v>
      </c>
      <c r="B123" s="15" t="s">
        <v>467</v>
      </c>
      <c r="C123" s="15" t="s">
        <v>49</v>
      </c>
      <c r="D123" s="15" t="s">
        <v>537</v>
      </c>
      <c r="E123" s="15" t="n">
        <v>2</v>
      </c>
      <c r="H123" s="10"/>
      <c r="I123" s="21"/>
      <c r="M123" s="10"/>
      <c r="N123" s="10"/>
      <c r="P123" s="10"/>
      <c r="Q123" s="22"/>
    </row>
    <row r="124" customFormat="false" ht="15.75" hidden="false" customHeight="false" outlineLevel="0" collapsed="false">
      <c r="A124" s="20" t="n">
        <v>46077</v>
      </c>
      <c r="B124" s="15" t="s">
        <v>467</v>
      </c>
      <c r="C124" s="15" t="s">
        <v>63</v>
      </c>
      <c r="D124" s="15" t="s">
        <v>551</v>
      </c>
      <c r="E124" s="15" t="n">
        <v>1</v>
      </c>
      <c r="H124" s="10"/>
      <c r="I124" s="21"/>
      <c r="M124" s="10"/>
      <c r="N124" s="10"/>
      <c r="P124" s="10"/>
      <c r="Q124" s="22"/>
    </row>
    <row r="125" customFormat="false" ht="15.75" hidden="false" customHeight="false" outlineLevel="0" collapsed="false">
      <c r="A125" s="20" t="n">
        <v>46077</v>
      </c>
      <c r="B125" s="15" t="s">
        <v>477</v>
      </c>
      <c r="C125" s="15" t="s">
        <v>69</v>
      </c>
      <c r="D125" s="15" t="s">
        <v>535</v>
      </c>
      <c r="E125" s="15" t="n">
        <v>3</v>
      </c>
      <c r="H125" s="10"/>
      <c r="I125" s="21"/>
      <c r="M125" s="10"/>
      <c r="N125" s="10"/>
      <c r="P125" s="10"/>
      <c r="Q125" s="22"/>
    </row>
    <row r="126" customFormat="false" ht="15.75" hidden="false" customHeight="false" outlineLevel="0" collapsed="false">
      <c r="A126" s="20" t="n">
        <v>46077</v>
      </c>
      <c r="B126" s="15" t="s">
        <v>477</v>
      </c>
      <c r="C126" s="15" t="s">
        <v>547</v>
      </c>
      <c r="D126" s="15" t="s">
        <v>548</v>
      </c>
      <c r="E126" s="15" t="n">
        <v>3</v>
      </c>
      <c r="H126" s="10"/>
      <c r="I126" s="21"/>
      <c r="M126" s="10"/>
      <c r="N126" s="10"/>
      <c r="P126" s="10"/>
      <c r="Q126" s="22"/>
    </row>
    <row r="127" customFormat="false" ht="15.75" hidden="false" customHeight="false" outlineLevel="0" collapsed="false">
      <c r="A127" s="20" t="n">
        <v>46077</v>
      </c>
      <c r="B127" s="15" t="s">
        <v>477</v>
      </c>
      <c r="C127" s="15" t="s">
        <v>25</v>
      </c>
      <c r="D127" s="15" t="s">
        <v>26</v>
      </c>
      <c r="E127" s="15" t="n">
        <v>3</v>
      </c>
      <c r="H127" s="10"/>
      <c r="I127" s="21"/>
      <c r="M127" s="10"/>
      <c r="N127" s="10"/>
      <c r="P127" s="10"/>
      <c r="Q127" s="22"/>
    </row>
    <row r="128" customFormat="false" ht="15.75" hidden="false" customHeight="false" outlineLevel="0" collapsed="false">
      <c r="A128" s="20" t="n">
        <v>46077</v>
      </c>
      <c r="B128" s="15" t="s">
        <v>491</v>
      </c>
      <c r="C128" s="15" t="s">
        <v>37</v>
      </c>
      <c r="D128" s="15" t="s">
        <v>561</v>
      </c>
      <c r="E128" s="15" t="n">
        <v>1</v>
      </c>
      <c r="H128" s="10"/>
      <c r="I128" s="21"/>
      <c r="M128" s="10"/>
      <c r="N128" s="10"/>
      <c r="P128" s="10"/>
      <c r="Q128" s="22"/>
    </row>
    <row r="129" customFormat="false" ht="15.75" hidden="false" customHeight="false" outlineLevel="0" collapsed="false">
      <c r="A129" s="20" t="n">
        <v>46077</v>
      </c>
      <c r="B129" s="15" t="s">
        <v>491</v>
      </c>
      <c r="C129" s="15" t="s">
        <v>81</v>
      </c>
      <c r="D129" s="15" t="s">
        <v>534</v>
      </c>
      <c r="E129" s="15" t="n">
        <v>8</v>
      </c>
      <c r="H129" s="10"/>
      <c r="I129" s="21"/>
      <c r="M129" s="10"/>
      <c r="N129" s="10"/>
      <c r="P129" s="10"/>
      <c r="Q129" s="22"/>
    </row>
    <row r="130" customFormat="false" ht="15.75" hidden="false" customHeight="false" outlineLevel="0" collapsed="false">
      <c r="A130" s="20" t="n">
        <v>46077</v>
      </c>
      <c r="B130" s="15" t="s">
        <v>491</v>
      </c>
      <c r="C130" s="15" t="s">
        <v>75</v>
      </c>
      <c r="D130" s="15" t="s">
        <v>560</v>
      </c>
      <c r="E130" s="15" t="n">
        <v>1</v>
      </c>
      <c r="H130" s="10"/>
      <c r="I130" s="21"/>
      <c r="M130" s="10"/>
      <c r="N130" s="10"/>
      <c r="P130" s="10"/>
      <c r="Q130" s="22"/>
    </row>
    <row r="131" customFormat="false" ht="15.75" hidden="false" customHeight="false" outlineLevel="0" collapsed="false">
      <c r="A131" s="20" t="n">
        <v>46077</v>
      </c>
      <c r="B131" s="15" t="s">
        <v>491</v>
      </c>
      <c r="C131" s="15" t="s">
        <v>69</v>
      </c>
      <c r="D131" s="15" t="s">
        <v>535</v>
      </c>
      <c r="E131" s="15" t="n">
        <v>6</v>
      </c>
      <c r="H131" s="10"/>
      <c r="I131" s="21"/>
      <c r="M131" s="10"/>
      <c r="N131" s="10"/>
      <c r="P131" s="10"/>
      <c r="Q131" s="22"/>
    </row>
    <row r="132" customFormat="false" ht="15.75" hidden="false" customHeight="false" outlineLevel="0" collapsed="false">
      <c r="A132" s="20" t="n">
        <v>46077</v>
      </c>
      <c r="B132" s="15" t="s">
        <v>491</v>
      </c>
      <c r="C132" s="15" t="s">
        <v>547</v>
      </c>
      <c r="D132" s="15" t="s">
        <v>548</v>
      </c>
      <c r="E132" s="15" t="n">
        <v>1</v>
      </c>
      <c r="H132" s="10"/>
      <c r="I132" s="21"/>
      <c r="M132" s="10"/>
      <c r="N132" s="10"/>
      <c r="P132" s="10"/>
      <c r="Q132" s="22"/>
    </row>
    <row r="133" customFormat="false" ht="15.75" hidden="false" customHeight="false" outlineLevel="0" collapsed="false">
      <c r="A133" s="20" t="n">
        <v>46077</v>
      </c>
      <c r="B133" s="15" t="s">
        <v>491</v>
      </c>
      <c r="C133" s="15" t="s">
        <v>31</v>
      </c>
      <c r="D133" s="15" t="s">
        <v>559</v>
      </c>
      <c r="E133" s="15" t="n">
        <v>2</v>
      </c>
      <c r="H133" s="10"/>
      <c r="I133" s="21"/>
      <c r="M133" s="10"/>
      <c r="N133" s="10"/>
      <c r="P133" s="10"/>
      <c r="Q133" s="22"/>
    </row>
    <row r="134" customFormat="false" ht="15.75" hidden="false" customHeight="false" outlineLevel="0" collapsed="false">
      <c r="A134" s="20" t="n">
        <v>46077</v>
      </c>
      <c r="B134" s="15" t="s">
        <v>491</v>
      </c>
      <c r="C134" s="15" t="s">
        <v>545</v>
      </c>
      <c r="D134" s="15" t="s">
        <v>546</v>
      </c>
      <c r="E134" s="15" t="n">
        <v>2</v>
      </c>
      <c r="H134" s="10"/>
      <c r="I134" s="21"/>
      <c r="M134" s="10"/>
      <c r="N134" s="10"/>
      <c r="P134" s="10"/>
      <c r="Q134" s="22"/>
    </row>
    <row r="135" customFormat="false" ht="15.75" hidden="false" customHeight="false" outlineLevel="0" collapsed="false">
      <c r="A135" s="20" t="n">
        <v>46077</v>
      </c>
      <c r="B135" s="15" t="s">
        <v>491</v>
      </c>
      <c r="C135" s="15" t="s">
        <v>543</v>
      </c>
      <c r="D135" s="15" t="s">
        <v>544</v>
      </c>
      <c r="E135" s="15" t="n">
        <v>4</v>
      </c>
      <c r="H135" s="10"/>
      <c r="I135" s="21"/>
      <c r="M135" s="10"/>
      <c r="N135" s="10"/>
      <c r="P135" s="10"/>
      <c r="Q135" s="22"/>
    </row>
    <row r="136" customFormat="false" ht="15.75" hidden="false" customHeight="false" outlineLevel="0" collapsed="false">
      <c r="A136" s="20" t="n">
        <v>46077</v>
      </c>
      <c r="B136" s="15" t="s">
        <v>491</v>
      </c>
      <c r="C136" s="15" t="s">
        <v>541</v>
      </c>
      <c r="D136" s="15" t="s">
        <v>542</v>
      </c>
      <c r="E136" s="15" t="n">
        <v>2</v>
      </c>
      <c r="H136" s="10"/>
      <c r="I136" s="21"/>
      <c r="M136" s="10"/>
      <c r="N136" s="10"/>
      <c r="P136" s="10"/>
      <c r="Q136" s="22"/>
    </row>
    <row r="137" customFormat="false" ht="15.75" hidden="false" customHeight="false" outlineLevel="0" collapsed="false">
      <c r="A137" s="20" t="n">
        <v>46077</v>
      </c>
      <c r="B137" s="15" t="s">
        <v>491</v>
      </c>
      <c r="C137" s="15" t="s">
        <v>49</v>
      </c>
      <c r="D137" s="15" t="s">
        <v>537</v>
      </c>
      <c r="E137" s="15" t="n">
        <v>1</v>
      </c>
      <c r="H137" s="10"/>
      <c r="I137" s="21"/>
      <c r="M137" s="10"/>
      <c r="N137" s="10"/>
      <c r="P137" s="10"/>
      <c r="Q137" s="22"/>
    </row>
    <row r="138" customFormat="false" ht="15.75" hidden="false" customHeight="false" outlineLevel="0" collapsed="false">
      <c r="A138" s="20" t="n">
        <v>46077</v>
      </c>
      <c r="B138" s="15" t="s">
        <v>491</v>
      </c>
      <c r="C138" s="15" t="s">
        <v>33</v>
      </c>
      <c r="D138" s="15" t="s">
        <v>536</v>
      </c>
      <c r="E138" s="15" t="n">
        <v>5</v>
      </c>
      <c r="H138" s="10"/>
      <c r="I138" s="21"/>
      <c r="M138" s="10"/>
      <c r="N138" s="10"/>
      <c r="P138" s="10"/>
      <c r="Q138" s="22"/>
    </row>
    <row r="139" customFormat="false" ht="15.75" hidden="false" customHeight="false" outlineLevel="0" collapsed="false">
      <c r="A139" s="20" t="n">
        <v>46077</v>
      </c>
      <c r="B139" s="15" t="s">
        <v>491</v>
      </c>
      <c r="C139" s="15" t="s">
        <v>77</v>
      </c>
      <c r="D139" s="15" t="s">
        <v>78</v>
      </c>
      <c r="E139" s="15" t="n">
        <v>3</v>
      </c>
      <c r="H139" s="10"/>
      <c r="I139" s="21"/>
      <c r="M139" s="10"/>
      <c r="N139" s="10"/>
      <c r="P139" s="10"/>
      <c r="Q139" s="22"/>
    </row>
    <row r="140" customFormat="false" ht="15.75" hidden="false" customHeight="false" outlineLevel="0" collapsed="false">
      <c r="A140" s="20" t="n">
        <v>46077</v>
      </c>
      <c r="B140" s="15" t="s">
        <v>491</v>
      </c>
      <c r="C140" s="15" t="s">
        <v>47</v>
      </c>
      <c r="D140" s="15" t="s">
        <v>549</v>
      </c>
      <c r="E140" s="15" t="n">
        <v>1</v>
      </c>
      <c r="H140" s="10"/>
      <c r="I140" s="21"/>
      <c r="M140" s="10"/>
      <c r="N140" s="10"/>
      <c r="P140" s="10"/>
      <c r="Q140" s="22"/>
    </row>
    <row r="141" customFormat="false" ht="15.75" hidden="false" customHeight="false" outlineLevel="0" collapsed="false">
      <c r="A141" s="20" t="n">
        <v>46077</v>
      </c>
      <c r="B141" s="15" t="s">
        <v>491</v>
      </c>
      <c r="C141" s="15" t="s">
        <v>55</v>
      </c>
      <c r="D141" s="15" t="s">
        <v>539</v>
      </c>
      <c r="E141" s="15" t="n">
        <v>1</v>
      </c>
      <c r="H141" s="10"/>
      <c r="I141" s="21"/>
      <c r="M141" s="10"/>
      <c r="N141" s="10"/>
      <c r="P141" s="10"/>
      <c r="Q141" s="22"/>
    </row>
    <row r="142" customFormat="false" ht="15.75" hidden="false" customHeight="false" outlineLevel="0" collapsed="false">
      <c r="A142" s="20" t="n">
        <v>46077</v>
      </c>
      <c r="B142" s="15" t="s">
        <v>491</v>
      </c>
      <c r="C142" s="15" t="s">
        <v>59</v>
      </c>
      <c r="D142" s="15" t="s">
        <v>562</v>
      </c>
      <c r="E142" s="15" t="n">
        <v>1</v>
      </c>
      <c r="H142" s="10"/>
      <c r="I142" s="21"/>
      <c r="M142" s="10"/>
      <c r="N142" s="10"/>
      <c r="P142" s="10"/>
      <c r="Q142" s="22"/>
    </row>
    <row r="143" customFormat="false" ht="15.75" hidden="false" customHeight="false" outlineLevel="0" collapsed="false">
      <c r="A143" s="20" t="n">
        <v>46077</v>
      </c>
      <c r="B143" s="15" t="s">
        <v>491</v>
      </c>
      <c r="C143" s="15" t="s">
        <v>43</v>
      </c>
      <c r="D143" s="15" t="s">
        <v>538</v>
      </c>
      <c r="E143" s="15" t="n">
        <v>1</v>
      </c>
      <c r="H143" s="10"/>
      <c r="I143" s="21"/>
      <c r="M143" s="10"/>
      <c r="N143" s="10"/>
      <c r="P143" s="10"/>
      <c r="Q143" s="22"/>
    </row>
    <row r="144" customFormat="false" ht="15.75" hidden="false" customHeight="false" outlineLevel="0" collapsed="false">
      <c r="A144" s="20" t="n">
        <v>46077</v>
      </c>
      <c r="B144" s="15" t="s">
        <v>491</v>
      </c>
      <c r="C144" s="15" t="s">
        <v>87</v>
      </c>
      <c r="D144" s="15" t="s">
        <v>563</v>
      </c>
      <c r="E144" s="15" t="n">
        <v>1</v>
      </c>
      <c r="H144" s="10"/>
      <c r="I144" s="21"/>
      <c r="M144" s="10"/>
      <c r="N144" s="10"/>
      <c r="P144" s="10"/>
      <c r="Q144" s="22"/>
    </row>
    <row r="145" customFormat="false" ht="15.75" hidden="false" customHeight="false" outlineLevel="0" collapsed="false">
      <c r="A145" s="20" t="n">
        <v>46077</v>
      </c>
      <c r="B145" s="15" t="s">
        <v>491</v>
      </c>
      <c r="C145" s="15" t="s">
        <v>79</v>
      </c>
      <c r="D145" s="15" t="s">
        <v>564</v>
      </c>
      <c r="E145" s="15" t="n">
        <v>1</v>
      </c>
      <c r="H145" s="10"/>
      <c r="I145" s="21"/>
      <c r="M145" s="10"/>
      <c r="N145" s="10"/>
      <c r="P145" s="10"/>
      <c r="Q145" s="22"/>
    </row>
    <row r="146" customFormat="false" ht="15.75" hidden="false" customHeight="false" outlineLevel="0" collapsed="false">
      <c r="A146" s="20" t="n">
        <v>46077</v>
      </c>
      <c r="B146" s="15" t="s">
        <v>500</v>
      </c>
      <c r="C146" s="15" t="s">
        <v>81</v>
      </c>
      <c r="D146" s="15" t="s">
        <v>534</v>
      </c>
      <c r="E146" s="15" t="n">
        <v>7</v>
      </c>
      <c r="H146" s="10"/>
      <c r="I146" s="21"/>
      <c r="M146" s="10"/>
      <c r="N146" s="10"/>
      <c r="P146" s="10"/>
      <c r="Q146" s="22"/>
    </row>
    <row r="147" customFormat="false" ht="15.75" hidden="false" customHeight="false" outlineLevel="0" collapsed="false">
      <c r="A147" s="20" t="n">
        <v>46077</v>
      </c>
      <c r="B147" s="15" t="s">
        <v>500</v>
      </c>
      <c r="C147" s="15" t="s">
        <v>543</v>
      </c>
      <c r="D147" s="15" t="s">
        <v>544</v>
      </c>
      <c r="E147" s="15" t="n">
        <v>1</v>
      </c>
      <c r="H147" s="10"/>
      <c r="I147" s="21"/>
      <c r="M147" s="10"/>
      <c r="N147" s="10"/>
      <c r="P147" s="10"/>
      <c r="Q147" s="22"/>
    </row>
    <row r="148" customFormat="false" ht="15.75" hidden="false" customHeight="false" outlineLevel="0" collapsed="false">
      <c r="A148" s="20" t="n">
        <v>46077</v>
      </c>
      <c r="B148" s="15" t="s">
        <v>500</v>
      </c>
      <c r="C148" s="15" t="s">
        <v>55</v>
      </c>
      <c r="D148" s="15" t="s">
        <v>539</v>
      </c>
      <c r="E148" s="15" t="n">
        <v>1</v>
      </c>
      <c r="H148" s="10"/>
      <c r="I148" s="21"/>
      <c r="M148" s="10"/>
      <c r="N148" s="10"/>
      <c r="P148" s="10"/>
      <c r="Q148" s="22"/>
    </row>
    <row r="149" customFormat="false" ht="15.75" hidden="false" customHeight="false" outlineLevel="0" collapsed="false">
      <c r="A149" s="20" t="n">
        <v>46077</v>
      </c>
      <c r="B149" s="15" t="s">
        <v>500</v>
      </c>
      <c r="C149" s="15" t="s">
        <v>59</v>
      </c>
      <c r="D149" s="15" t="s">
        <v>562</v>
      </c>
      <c r="E149" s="15" t="n">
        <v>1</v>
      </c>
      <c r="H149" s="10"/>
      <c r="I149" s="21"/>
      <c r="M149" s="10"/>
      <c r="N149" s="10"/>
      <c r="P149" s="10"/>
      <c r="Q149" s="22"/>
    </row>
    <row r="150" customFormat="false" ht="15.75" hidden="false" customHeight="false" outlineLevel="0" collapsed="false">
      <c r="A150" s="20" t="n">
        <v>46077</v>
      </c>
      <c r="B150" s="15" t="s">
        <v>500</v>
      </c>
      <c r="C150" s="15" t="s">
        <v>47</v>
      </c>
      <c r="D150" s="15" t="s">
        <v>549</v>
      </c>
      <c r="E150" s="15" t="n">
        <v>1</v>
      </c>
      <c r="H150" s="10"/>
      <c r="I150" s="21"/>
      <c r="M150" s="10"/>
      <c r="N150" s="10"/>
      <c r="P150" s="10"/>
      <c r="Q150" s="22"/>
    </row>
    <row r="151" customFormat="false" ht="15.75" hidden="false" customHeight="false" outlineLevel="0" collapsed="false">
      <c r="A151" s="20" t="n">
        <v>46077</v>
      </c>
      <c r="B151" s="15" t="s">
        <v>500</v>
      </c>
      <c r="C151" s="15" t="s">
        <v>69</v>
      </c>
      <c r="D151" s="15" t="s">
        <v>535</v>
      </c>
      <c r="E151" s="15" t="n">
        <v>1</v>
      </c>
      <c r="H151" s="10"/>
      <c r="I151" s="21"/>
      <c r="M151" s="10"/>
      <c r="N151" s="10"/>
      <c r="P151" s="10"/>
      <c r="Q151" s="22"/>
    </row>
    <row r="152" customFormat="false" ht="15.75" hidden="false" customHeight="false" outlineLevel="0" collapsed="false">
      <c r="A152" s="20" t="n">
        <v>46077</v>
      </c>
      <c r="B152" s="15" t="s">
        <v>500</v>
      </c>
      <c r="C152" s="15" t="s">
        <v>33</v>
      </c>
      <c r="D152" s="15" t="s">
        <v>536</v>
      </c>
      <c r="E152" s="15" t="n">
        <v>2</v>
      </c>
      <c r="H152" s="10"/>
      <c r="I152" s="21"/>
      <c r="M152" s="10"/>
      <c r="N152" s="10"/>
      <c r="P152" s="10"/>
      <c r="Q152" s="22"/>
    </row>
    <row r="153" customFormat="false" ht="15.75" hidden="false" customHeight="false" outlineLevel="0" collapsed="false">
      <c r="A153" s="20" t="n">
        <v>46077</v>
      </c>
      <c r="B153" s="15" t="s">
        <v>500</v>
      </c>
      <c r="C153" s="15" t="s">
        <v>77</v>
      </c>
      <c r="D153" s="15" t="s">
        <v>78</v>
      </c>
      <c r="E153" s="15" t="n">
        <v>2</v>
      </c>
      <c r="H153" s="10"/>
      <c r="I153" s="21"/>
      <c r="M153" s="10"/>
      <c r="N153" s="10"/>
      <c r="P153" s="10"/>
      <c r="Q153" s="22"/>
    </row>
    <row r="154" customFormat="false" ht="15.75" hidden="false" customHeight="false" outlineLevel="0" collapsed="false">
      <c r="A154" s="20" t="n">
        <v>46077</v>
      </c>
      <c r="B154" s="15" t="s">
        <v>500</v>
      </c>
      <c r="C154" s="15" t="s">
        <v>75</v>
      </c>
      <c r="D154" s="15" t="s">
        <v>560</v>
      </c>
      <c r="E154" s="15" t="n">
        <v>1</v>
      </c>
      <c r="H154" s="10"/>
      <c r="I154" s="21"/>
      <c r="M154" s="10"/>
      <c r="N154" s="10"/>
      <c r="P154" s="10"/>
      <c r="Q154" s="22"/>
    </row>
    <row r="155" customFormat="false" ht="15.75" hidden="false" customHeight="false" outlineLevel="0" collapsed="false">
      <c r="A155" s="20" t="n">
        <v>46077</v>
      </c>
      <c r="B155" s="15" t="s">
        <v>504</v>
      </c>
      <c r="C155" s="15" t="s">
        <v>47</v>
      </c>
      <c r="D155" s="15" t="s">
        <v>549</v>
      </c>
      <c r="E155" s="15" t="n">
        <v>3</v>
      </c>
      <c r="H155" s="10"/>
      <c r="I155" s="21"/>
      <c r="M155" s="10"/>
      <c r="N155" s="10"/>
      <c r="P155" s="10"/>
      <c r="Q155" s="22"/>
    </row>
    <row r="156" customFormat="false" ht="15.75" hidden="false" customHeight="false" outlineLevel="0" collapsed="false">
      <c r="A156" s="20" t="n">
        <v>46077</v>
      </c>
      <c r="B156" s="15" t="s">
        <v>504</v>
      </c>
      <c r="C156" s="15" t="s">
        <v>55</v>
      </c>
      <c r="D156" s="15" t="s">
        <v>539</v>
      </c>
      <c r="E156" s="15" t="n">
        <v>6</v>
      </c>
      <c r="H156" s="10"/>
      <c r="I156" s="21"/>
      <c r="M156" s="10"/>
      <c r="N156" s="10"/>
      <c r="P156" s="10"/>
      <c r="Q156" s="22"/>
    </row>
    <row r="157" customFormat="false" ht="15.75" hidden="false" customHeight="false" outlineLevel="0" collapsed="false">
      <c r="A157" s="20" t="n">
        <v>46077</v>
      </c>
      <c r="B157" s="15" t="s">
        <v>504</v>
      </c>
      <c r="C157" s="15" t="s">
        <v>81</v>
      </c>
      <c r="D157" s="15" t="s">
        <v>534</v>
      </c>
      <c r="E157" s="15" t="n">
        <v>9</v>
      </c>
      <c r="H157" s="10"/>
      <c r="I157" s="21"/>
      <c r="M157" s="10"/>
      <c r="N157" s="10"/>
      <c r="P157" s="10"/>
      <c r="Q157" s="22"/>
    </row>
    <row r="158" customFormat="false" ht="15.75" hidden="false" customHeight="false" outlineLevel="0" collapsed="false">
      <c r="A158" s="20" t="n">
        <v>46077</v>
      </c>
      <c r="B158" s="15" t="s">
        <v>504</v>
      </c>
      <c r="C158" s="15" t="s">
        <v>39</v>
      </c>
      <c r="D158" s="15" t="s">
        <v>550</v>
      </c>
      <c r="E158" s="15" t="n">
        <v>1</v>
      </c>
      <c r="H158" s="10"/>
      <c r="I158" s="21"/>
      <c r="M158" s="10"/>
      <c r="N158" s="10"/>
      <c r="P158" s="10"/>
      <c r="Q158" s="22"/>
    </row>
    <row r="159" customFormat="false" ht="15.75" hidden="false" customHeight="false" outlineLevel="0" collapsed="false">
      <c r="A159" s="20" t="n">
        <v>46077</v>
      </c>
      <c r="B159" s="15" t="s">
        <v>504</v>
      </c>
      <c r="C159" s="15" t="s">
        <v>63</v>
      </c>
      <c r="D159" s="15" t="s">
        <v>551</v>
      </c>
      <c r="E159" s="15" t="n">
        <v>1</v>
      </c>
      <c r="H159" s="10"/>
      <c r="I159" s="21"/>
      <c r="M159" s="10"/>
      <c r="N159" s="10"/>
      <c r="P159" s="10"/>
      <c r="Q159" s="22"/>
    </row>
    <row r="160" customFormat="false" ht="15.75" hidden="false" customHeight="false" outlineLevel="0" collapsed="false">
      <c r="A160" s="20" t="n">
        <v>46077</v>
      </c>
      <c r="B160" s="15" t="s">
        <v>504</v>
      </c>
      <c r="C160" s="15" t="s">
        <v>17</v>
      </c>
      <c r="D160" s="15" t="s">
        <v>554</v>
      </c>
      <c r="E160" s="15" t="n">
        <v>1</v>
      </c>
      <c r="H160" s="10"/>
      <c r="I160" s="21"/>
      <c r="M160" s="10"/>
      <c r="N160" s="10"/>
      <c r="P160" s="10"/>
      <c r="Q160" s="22"/>
    </row>
    <row r="161" customFormat="false" ht="15.75" hidden="false" customHeight="false" outlineLevel="0" collapsed="false">
      <c r="A161" s="20" t="n">
        <v>46077</v>
      </c>
      <c r="B161" s="15" t="s">
        <v>508</v>
      </c>
      <c r="C161" s="15" t="s">
        <v>55</v>
      </c>
      <c r="D161" s="15" t="s">
        <v>539</v>
      </c>
      <c r="E161" s="15" t="n">
        <v>5</v>
      </c>
      <c r="H161" s="10"/>
      <c r="I161" s="21"/>
      <c r="M161" s="10"/>
      <c r="N161" s="10"/>
      <c r="P161" s="10"/>
      <c r="Q161" s="22"/>
    </row>
    <row r="162" customFormat="false" ht="15.75" hidden="false" customHeight="false" outlineLevel="0" collapsed="false">
      <c r="A162" s="20" t="n">
        <v>46077</v>
      </c>
      <c r="B162" s="15" t="s">
        <v>508</v>
      </c>
      <c r="C162" s="15" t="s">
        <v>81</v>
      </c>
      <c r="D162" s="15" t="s">
        <v>534</v>
      </c>
      <c r="E162" s="15" t="n">
        <v>9</v>
      </c>
      <c r="H162" s="10"/>
      <c r="I162" s="21"/>
      <c r="M162" s="10"/>
      <c r="N162" s="10"/>
      <c r="P162" s="10"/>
      <c r="Q162" s="22"/>
    </row>
    <row r="163" customFormat="false" ht="15.75" hidden="false" customHeight="false" outlineLevel="0" collapsed="false">
      <c r="A163" s="20" t="n">
        <v>46077</v>
      </c>
      <c r="B163" s="15" t="s">
        <v>508</v>
      </c>
      <c r="C163" s="15" t="s">
        <v>39</v>
      </c>
      <c r="D163" s="15" t="s">
        <v>550</v>
      </c>
      <c r="E163" s="15" t="n">
        <v>2</v>
      </c>
      <c r="H163" s="10"/>
      <c r="I163" s="21"/>
      <c r="M163" s="10"/>
      <c r="N163" s="10"/>
      <c r="P163" s="10"/>
      <c r="Q163" s="22"/>
    </row>
    <row r="164" customFormat="false" ht="15.75" hidden="false" customHeight="false" outlineLevel="0" collapsed="false">
      <c r="A164" s="20" t="n">
        <v>46077</v>
      </c>
      <c r="B164" s="15" t="s">
        <v>508</v>
      </c>
      <c r="C164" s="15" t="s">
        <v>47</v>
      </c>
      <c r="D164" s="15" t="s">
        <v>549</v>
      </c>
      <c r="E164" s="15" t="n">
        <v>2</v>
      </c>
      <c r="H164" s="10"/>
      <c r="I164" s="21"/>
      <c r="M164" s="10"/>
      <c r="N164" s="10"/>
      <c r="P164" s="10"/>
      <c r="Q164" s="22"/>
    </row>
    <row r="165" customFormat="false" ht="15.75" hidden="false" customHeight="false" outlineLevel="0" collapsed="false">
      <c r="A165" s="20" t="n">
        <v>46077</v>
      </c>
      <c r="B165" s="15" t="s">
        <v>508</v>
      </c>
      <c r="C165" s="15" t="s">
        <v>63</v>
      </c>
      <c r="D165" s="15" t="s">
        <v>551</v>
      </c>
      <c r="E165" s="15" t="n">
        <v>1</v>
      </c>
      <c r="H165" s="10"/>
      <c r="I165" s="21"/>
      <c r="M165" s="10"/>
      <c r="N165" s="10"/>
      <c r="P165" s="10"/>
      <c r="Q165" s="22"/>
    </row>
    <row r="166" customFormat="false" ht="15.75" hidden="false" customHeight="false" outlineLevel="0" collapsed="false">
      <c r="A166" s="20" t="n">
        <v>46077</v>
      </c>
      <c r="B166" s="15" t="s">
        <v>511</v>
      </c>
      <c r="C166" s="15" t="s">
        <v>51</v>
      </c>
      <c r="D166" s="15" t="s">
        <v>573</v>
      </c>
      <c r="E166" s="15" t="n">
        <v>1</v>
      </c>
      <c r="H166" s="10"/>
      <c r="I166" s="21"/>
      <c r="M166" s="10"/>
      <c r="N166" s="10"/>
      <c r="P166" s="10"/>
      <c r="Q166" s="22"/>
    </row>
    <row r="167" customFormat="false" ht="15.75" hidden="false" customHeight="false" outlineLevel="0" collapsed="false">
      <c r="A167" s="20" t="n">
        <v>46077</v>
      </c>
      <c r="B167" s="15" t="s">
        <v>511</v>
      </c>
      <c r="C167" s="15" t="s">
        <v>55</v>
      </c>
      <c r="D167" s="15" t="s">
        <v>539</v>
      </c>
      <c r="E167" s="15" t="n">
        <v>2</v>
      </c>
      <c r="H167" s="10"/>
      <c r="I167" s="21"/>
      <c r="M167" s="10"/>
      <c r="N167" s="10"/>
      <c r="P167" s="10"/>
      <c r="Q167" s="22"/>
    </row>
    <row r="168" customFormat="false" ht="15.75" hidden="false" customHeight="false" outlineLevel="0" collapsed="false">
      <c r="A168" s="20" t="n">
        <v>46077</v>
      </c>
      <c r="B168" s="15" t="s">
        <v>511</v>
      </c>
      <c r="C168" s="15" t="s">
        <v>89</v>
      </c>
      <c r="D168" s="15" t="s">
        <v>574</v>
      </c>
      <c r="E168" s="15" t="n">
        <v>2</v>
      </c>
      <c r="H168" s="10"/>
      <c r="I168" s="21"/>
      <c r="M168" s="10"/>
      <c r="N168" s="10"/>
      <c r="P168" s="10"/>
      <c r="Q168" s="22"/>
    </row>
    <row r="169" customFormat="false" ht="15.75" hidden="false" customHeight="false" outlineLevel="0" collapsed="false">
      <c r="A169" s="20" t="n">
        <v>46077</v>
      </c>
      <c r="B169" s="15" t="s">
        <v>511</v>
      </c>
      <c r="C169" s="15" t="s">
        <v>23</v>
      </c>
      <c r="D169" s="15" t="s">
        <v>575</v>
      </c>
      <c r="E169" s="15" t="n">
        <v>1</v>
      </c>
      <c r="H169" s="10"/>
      <c r="I169" s="21"/>
      <c r="M169" s="10"/>
      <c r="N169" s="10"/>
      <c r="P169" s="10"/>
      <c r="Q169" s="22"/>
    </row>
    <row r="170" customFormat="false" ht="15.75" hidden="false" customHeight="false" outlineLevel="0" collapsed="false">
      <c r="A170" s="20" t="n">
        <v>46077</v>
      </c>
      <c r="B170" s="15" t="s">
        <v>524</v>
      </c>
      <c r="C170" s="15" t="s">
        <v>69</v>
      </c>
      <c r="D170" s="15" t="s">
        <v>535</v>
      </c>
      <c r="E170" s="15" t="n">
        <v>6</v>
      </c>
      <c r="H170" s="10"/>
      <c r="I170" s="21"/>
      <c r="M170" s="10"/>
      <c r="N170" s="10"/>
      <c r="P170" s="10"/>
      <c r="Q170" s="22"/>
    </row>
    <row r="171" customFormat="false" ht="15.75" hidden="false" customHeight="false" outlineLevel="0" collapsed="false">
      <c r="A171" s="20" t="n">
        <v>46077</v>
      </c>
      <c r="B171" s="15" t="s">
        <v>524</v>
      </c>
      <c r="C171" s="15" t="s">
        <v>33</v>
      </c>
      <c r="D171" s="15" t="s">
        <v>536</v>
      </c>
      <c r="E171" s="15" t="n">
        <v>6</v>
      </c>
      <c r="H171" s="10"/>
      <c r="I171" s="21"/>
      <c r="M171" s="10"/>
      <c r="N171" s="10"/>
      <c r="P171" s="10"/>
      <c r="Q171" s="22"/>
    </row>
    <row r="172" customFormat="false" ht="15.75" hidden="false" customHeight="false" outlineLevel="0" collapsed="false">
      <c r="A172" s="20" t="n">
        <v>46077</v>
      </c>
      <c r="B172" s="15" t="s">
        <v>524</v>
      </c>
      <c r="C172" s="15" t="s">
        <v>55</v>
      </c>
      <c r="D172" s="15" t="s">
        <v>539</v>
      </c>
      <c r="E172" s="15" t="n">
        <v>4</v>
      </c>
      <c r="H172" s="10"/>
      <c r="I172" s="21"/>
      <c r="M172" s="10"/>
      <c r="N172" s="10"/>
      <c r="P172" s="10"/>
      <c r="Q172" s="22"/>
    </row>
    <row r="173" customFormat="false" ht="15.75" hidden="false" customHeight="false" outlineLevel="0" collapsed="false">
      <c r="A173" s="20" t="n">
        <v>46077</v>
      </c>
      <c r="B173" s="15" t="s">
        <v>524</v>
      </c>
      <c r="C173" s="15" t="s">
        <v>81</v>
      </c>
      <c r="D173" s="15" t="s">
        <v>534</v>
      </c>
      <c r="E173" s="15" t="n">
        <v>3</v>
      </c>
      <c r="H173" s="10"/>
      <c r="I173" s="21"/>
      <c r="M173" s="10"/>
      <c r="N173" s="10"/>
      <c r="P173" s="10"/>
      <c r="Q173" s="22"/>
    </row>
    <row r="174" customFormat="false" ht="15.75" hidden="false" customHeight="false" outlineLevel="0" collapsed="false">
      <c r="A174" s="20" t="n">
        <v>46077</v>
      </c>
      <c r="B174" s="15" t="s">
        <v>524</v>
      </c>
      <c r="C174" s="15" t="s">
        <v>37</v>
      </c>
      <c r="D174" s="15" t="s">
        <v>561</v>
      </c>
      <c r="E174" s="15" t="n">
        <v>1</v>
      </c>
      <c r="H174" s="10"/>
      <c r="I174" s="21"/>
      <c r="M174" s="10"/>
      <c r="N174" s="10"/>
      <c r="P174" s="10"/>
      <c r="Q174" s="22"/>
    </row>
    <row r="175" customFormat="false" ht="15.75" hidden="false" customHeight="false" outlineLevel="0" collapsed="false">
      <c r="A175" s="20" t="n">
        <v>46077</v>
      </c>
      <c r="B175" s="15" t="s">
        <v>524</v>
      </c>
      <c r="C175" s="15" t="s">
        <v>547</v>
      </c>
      <c r="D175" s="15" t="s">
        <v>548</v>
      </c>
      <c r="E175" s="15" t="n">
        <v>1</v>
      </c>
      <c r="H175" s="10"/>
      <c r="I175" s="21"/>
      <c r="M175" s="10"/>
      <c r="N175" s="10"/>
      <c r="P175" s="10"/>
      <c r="Q175" s="22"/>
    </row>
    <row r="176" customFormat="false" ht="15.75" hidden="false" customHeight="false" outlineLevel="0" collapsed="false">
      <c r="A176" s="20" t="n">
        <v>46078</v>
      </c>
      <c r="B176" s="15" t="s">
        <v>452</v>
      </c>
      <c r="C176" s="15" t="s">
        <v>81</v>
      </c>
      <c r="D176" s="15" t="s">
        <v>534</v>
      </c>
      <c r="E176" s="15" t="n">
        <v>11</v>
      </c>
      <c r="H176" s="10"/>
      <c r="I176" s="21"/>
      <c r="M176" s="10"/>
      <c r="N176" s="10"/>
      <c r="P176" s="10"/>
      <c r="Q176" s="22"/>
    </row>
    <row r="177" customFormat="false" ht="15.75" hidden="false" customHeight="false" outlineLevel="0" collapsed="false">
      <c r="A177" s="20" t="n">
        <v>46078</v>
      </c>
      <c r="B177" s="15" t="s">
        <v>452</v>
      </c>
      <c r="C177" s="15" t="s">
        <v>555</v>
      </c>
      <c r="D177" s="15" t="s">
        <v>556</v>
      </c>
      <c r="E177" s="15" t="n">
        <v>2</v>
      </c>
      <c r="H177" s="10"/>
      <c r="I177" s="21"/>
      <c r="M177" s="10"/>
      <c r="N177" s="10"/>
      <c r="P177" s="10"/>
      <c r="Q177" s="22"/>
    </row>
    <row r="178" customFormat="false" ht="15.75" hidden="false" customHeight="false" outlineLevel="0" collapsed="false">
      <c r="A178" s="20" t="n">
        <v>46078</v>
      </c>
      <c r="B178" s="15" t="s">
        <v>452</v>
      </c>
      <c r="C178" s="15" t="s">
        <v>545</v>
      </c>
      <c r="D178" s="15" t="s">
        <v>546</v>
      </c>
      <c r="E178" s="15" t="n">
        <v>1</v>
      </c>
      <c r="H178" s="10"/>
      <c r="I178" s="21"/>
      <c r="M178" s="10"/>
      <c r="N178" s="10"/>
      <c r="P178" s="10"/>
      <c r="Q178" s="22"/>
    </row>
    <row r="179" customFormat="false" ht="15.75" hidden="false" customHeight="false" outlineLevel="0" collapsed="false">
      <c r="A179" s="20" t="n">
        <v>46078</v>
      </c>
      <c r="B179" s="15" t="s">
        <v>452</v>
      </c>
      <c r="C179" s="15" t="s">
        <v>543</v>
      </c>
      <c r="D179" s="15" t="s">
        <v>544</v>
      </c>
      <c r="E179" s="15" t="n">
        <v>1</v>
      </c>
      <c r="H179" s="10"/>
      <c r="I179" s="21"/>
      <c r="M179" s="10"/>
      <c r="N179" s="10"/>
      <c r="P179" s="10"/>
      <c r="Q179" s="22"/>
    </row>
    <row r="180" customFormat="false" ht="15.75" hidden="false" customHeight="false" outlineLevel="0" collapsed="false">
      <c r="A180" s="20" t="n">
        <v>46078</v>
      </c>
      <c r="B180" s="15" t="s">
        <v>452</v>
      </c>
      <c r="C180" s="15" t="s">
        <v>69</v>
      </c>
      <c r="D180" s="15" t="s">
        <v>535</v>
      </c>
      <c r="E180" s="15" t="n">
        <v>4</v>
      </c>
      <c r="H180" s="10"/>
      <c r="I180" s="21"/>
      <c r="M180" s="10"/>
      <c r="N180" s="10"/>
      <c r="P180" s="10"/>
      <c r="Q180" s="22"/>
    </row>
    <row r="181" customFormat="false" ht="15.75" hidden="false" customHeight="false" outlineLevel="0" collapsed="false">
      <c r="A181" s="20" t="n">
        <v>46078</v>
      </c>
      <c r="B181" s="15" t="s">
        <v>452</v>
      </c>
      <c r="C181" s="15" t="s">
        <v>33</v>
      </c>
      <c r="D181" s="15" t="s">
        <v>536</v>
      </c>
      <c r="E181" s="15" t="n">
        <v>4</v>
      </c>
      <c r="H181" s="10"/>
      <c r="I181" s="21"/>
      <c r="M181" s="10"/>
      <c r="N181" s="10"/>
      <c r="P181" s="10"/>
      <c r="Q181" s="22"/>
    </row>
    <row r="182" customFormat="false" ht="15.75" hidden="false" customHeight="false" outlineLevel="0" collapsed="false">
      <c r="A182" s="20" t="n">
        <v>46078</v>
      </c>
      <c r="B182" s="15" t="s">
        <v>452</v>
      </c>
      <c r="C182" s="15" t="s">
        <v>79</v>
      </c>
      <c r="D182" s="15" t="s">
        <v>564</v>
      </c>
      <c r="E182" s="15" t="n">
        <v>1</v>
      </c>
      <c r="H182" s="10"/>
      <c r="I182" s="21"/>
      <c r="M182" s="10"/>
      <c r="N182" s="10"/>
      <c r="P182" s="10"/>
      <c r="Q182" s="22"/>
    </row>
    <row r="183" customFormat="false" ht="15.75" hidden="false" customHeight="false" outlineLevel="0" collapsed="false">
      <c r="A183" s="20" t="n">
        <v>46078</v>
      </c>
      <c r="B183" s="15" t="s">
        <v>452</v>
      </c>
      <c r="C183" s="15" t="s">
        <v>77</v>
      </c>
      <c r="D183" s="15" t="s">
        <v>78</v>
      </c>
      <c r="E183" s="15" t="n">
        <v>2</v>
      </c>
      <c r="H183" s="10"/>
      <c r="I183" s="21"/>
      <c r="M183" s="10"/>
      <c r="N183" s="10"/>
      <c r="P183" s="10"/>
      <c r="Q183" s="22"/>
    </row>
    <row r="184" customFormat="false" ht="15.75" hidden="false" customHeight="false" outlineLevel="0" collapsed="false">
      <c r="A184" s="20" t="n">
        <v>46078</v>
      </c>
      <c r="B184" s="15" t="s">
        <v>452</v>
      </c>
      <c r="C184" s="15" t="s">
        <v>49</v>
      </c>
      <c r="D184" s="15" t="s">
        <v>537</v>
      </c>
      <c r="E184" s="15" t="n">
        <v>5</v>
      </c>
      <c r="H184" s="10"/>
      <c r="I184" s="21"/>
      <c r="M184" s="10"/>
      <c r="N184" s="10"/>
      <c r="P184" s="10"/>
      <c r="Q184" s="22"/>
    </row>
    <row r="185" customFormat="false" ht="15.75" hidden="false" customHeight="false" outlineLevel="0" collapsed="false">
      <c r="A185" s="20" t="n">
        <v>46078</v>
      </c>
      <c r="B185" s="15" t="s">
        <v>452</v>
      </c>
      <c r="C185" s="15" t="s">
        <v>61</v>
      </c>
      <c r="D185" s="15" t="s">
        <v>576</v>
      </c>
      <c r="E185" s="15" t="n">
        <v>1</v>
      </c>
      <c r="H185" s="10"/>
      <c r="I185" s="21"/>
      <c r="M185" s="10"/>
      <c r="N185" s="10"/>
      <c r="P185" s="10"/>
      <c r="Q185" s="22"/>
    </row>
    <row r="186" customFormat="false" ht="15.75" hidden="false" customHeight="false" outlineLevel="0" collapsed="false">
      <c r="A186" s="20" t="n">
        <v>46078</v>
      </c>
      <c r="B186" s="15" t="s">
        <v>455</v>
      </c>
      <c r="C186" s="15" t="s">
        <v>81</v>
      </c>
      <c r="D186" s="15" t="s">
        <v>534</v>
      </c>
      <c r="E186" s="15" t="n">
        <v>8</v>
      </c>
      <c r="H186" s="10"/>
      <c r="I186" s="21"/>
      <c r="M186" s="10"/>
      <c r="N186" s="10"/>
      <c r="P186" s="10"/>
      <c r="Q186" s="22"/>
    </row>
    <row r="187" customFormat="false" ht="15.75" hidden="false" customHeight="false" outlineLevel="0" collapsed="false">
      <c r="A187" s="20" t="n">
        <v>46078</v>
      </c>
      <c r="B187" s="15" t="s">
        <v>455</v>
      </c>
      <c r="C187" s="15" t="s">
        <v>55</v>
      </c>
      <c r="D187" s="15" t="s">
        <v>539</v>
      </c>
      <c r="E187" s="15" t="n">
        <v>3</v>
      </c>
      <c r="H187" s="10"/>
      <c r="I187" s="21"/>
      <c r="M187" s="10"/>
      <c r="N187" s="10"/>
      <c r="P187" s="10"/>
      <c r="Q187" s="22"/>
    </row>
    <row r="188" customFormat="false" ht="15.75" hidden="false" customHeight="false" outlineLevel="0" collapsed="false">
      <c r="A188" s="20" t="n">
        <v>46078</v>
      </c>
      <c r="B188" s="15" t="s">
        <v>455</v>
      </c>
      <c r="C188" s="15" t="s">
        <v>47</v>
      </c>
      <c r="D188" s="15" t="s">
        <v>549</v>
      </c>
      <c r="E188" s="15" t="n">
        <v>3</v>
      </c>
      <c r="H188" s="10"/>
      <c r="I188" s="21"/>
      <c r="M188" s="10"/>
      <c r="N188" s="10"/>
      <c r="P188" s="10"/>
      <c r="Q188" s="22"/>
    </row>
    <row r="189" customFormat="false" ht="15.75" hidden="false" customHeight="false" outlineLevel="0" collapsed="false">
      <c r="A189" s="20" t="n">
        <v>46078</v>
      </c>
      <c r="B189" s="15" t="s">
        <v>455</v>
      </c>
      <c r="C189" s="15" t="s">
        <v>63</v>
      </c>
      <c r="D189" s="15" t="s">
        <v>551</v>
      </c>
      <c r="E189" s="15" t="n">
        <v>1</v>
      </c>
      <c r="H189" s="10"/>
      <c r="I189" s="21"/>
      <c r="M189" s="10"/>
      <c r="N189" s="10"/>
      <c r="P189" s="10"/>
      <c r="Q189" s="22"/>
    </row>
    <row r="190" customFormat="false" ht="15.75" hidden="false" customHeight="false" outlineLevel="0" collapsed="false">
      <c r="A190" s="20" t="n">
        <v>46078</v>
      </c>
      <c r="B190" s="15" t="s">
        <v>455</v>
      </c>
      <c r="C190" s="15" t="s">
        <v>49</v>
      </c>
      <c r="D190" s="15" t="s">
        <v>537</v>
      </c>
      <c r="E190" s="15" t="n">
        <v>2</v>
      </c>
      <c r="H190" s="10"/>
      <c r="I190" s="21"/>
      <c r="M190" s="10"/>
      <c r="N190" s="10"/>
      <c r="P190" s="10"/>
      <c r="Q190" s="22"/>
    </row>
    <row r="191" customFormat="false" ht="15.75" hidden="false" customHeight="false" outlineLevel="0" collapsed="false">
      <c r="A191" s="20" t="n">
        <v>46078</v>
      </c>
      <c r="B191" s="15" t="s">
        <v>455</v>
      </c>
      <c r="C191" s="15" t="s">
        <v>57</v>
      </c>
      <c r="D191" s="15" t="s">
        <v>553</v>
      </c>
      <c r="E191" s="15" t="n">
        <v>2</v>
      </c>
      <c r="H191" s="10"/>
      <c r="I191" s="21"/>
      <c r="M191" s="10"/>
      <c r="N191" s="10"/>
      <c r="P191" s="10"/>
      <c r="Q191" s="22"/>
    </row>
    <row r="192" customFormat="false" ht="15.75" hidden="false" customHeight="false" outlineLevel="0" collapsed="false">
      <c r="A192" s="20" t="n">
        <v>46078</v>
      </c>
      <c r="B192" s="15" t="s">
        <v>455</v>
      </c>
      <c r="C192" s="15" t="s">
        <v>17</v>
      </c>
      <c r="D192" s="15" t="s">
        <v>554</v>
      </c>
      <c r="E192" s="15" t="n">
        <v>1</v>
      </c>
      <c r="H192" s="10"/>
      <c r="I192" s="21"/>
      <c r="M192" s="10"/>
      <c r="N192" s="10"/>
      <c r="P192" s="10"/>
      <c r="Q192" s="22"/>
    </row>
    <row r="193" customFormat="false" ht="15.75" hidden="false" customHeight="false" outlineLevel="0" collapsed="false">
      <c r="A193" s="20" t="n">
        <v>46078</v>
      </c>
      <c r="B193" s="15" t="s">
        <v>455</v>
      </c>
      <c r="C193" s="15" t="s">
        <v>39</v>
      </c>
      <c r="D193" s="15" t="s">
        <v>550</v>
      </c>
      <c r="E193" s="15" t="n">
        <v>1</v>
      </c>
      <c r="H193" s="10"/>
      <c r="I193" s="21"/>
      <c r="M193" s="10"/>
      <c r="N193" s="10"/>
      <c r="P193" s="10"/>
      <c r="Q193" s="22"/>
    </row>
    <row r="194" customFormat="false" ht="15.75" hidden="false" customHeight="false" outlineLevel="0" collapsed="false">
      <c r="A194" s="20" t="n">
        <v>46078</v>
      </c>
      <c r="B194" s="15" t="s">
        <v>19</v>
      </c>
      <c r="C194" s="15" t="s">
        <v>69</v>
      </c>
      <c r="D194" s="15" t="s">
        <v>535</v>
      </c>
      <c r="E194" s="15" t="n">
        <v>10</v>
      </c>
      <c r="H194" s="10"/>
      <c r="I194" s="21"/>
      <c r="M194" s="10"/>
      <c r="N194" s="10"/>
      <c r="P194" s="10"/>
      <c r="Q194" s="22"/>
    </row>
    <row r="195" customFormat="false" ht="15.75" hidden="false" customHeight="false" outlineLevel="0" collapsed="false">
      <c r="A195" s="20" t="n">
        <v>46078</v>
      </c>
      <c r="B195" s="15" t="s">
        <v>19</v>
      </c>
      <c r="C195" s="15" t="s">
        <v>55</v>
      </c>
      <c r="D195" s="15" t="s">
        <v>539</v>
      </c>
      <c r="E195" s="15" t="n">
        <v>10</v>
      </c>
      <c r="H195" s="10"/>
      <c r="I195" s="21"/>
      <c r="M195" s="10"/>
      <c r="N195" s="10"/>
      <c r="P195" s="10"/>
      <c r="Q195" s="22"/>
    </row>
    <row r="196" customFormat="false" ht="15.75" hidden="false" customHeight="false" outlineLevel="0" collapsed="false">
      <c r="A196" s="20" t="n">
        <v>46078</v>
      </c>
      <c r="B196" s="15" t="s">
        <v>19</v>
      </c>
      <c r="C196" s="15" t="s">
        <v>37</v>
      </c>
      <c r="D196" s="15" t="s">
        <v>561</v>
      </c>
      <c r="E196" s="15" t="n">
        <v>4</v>
      </c>
      <c r="H196" s="10"/>
      <c r="I196" s="21"/>
      <c r="M196" s="10"/>
      <c r="N196" s="10"/>
      <c r="P196" s="10"/>
      <c r="Q196" s="22"/>
    </row>
    <row r="197" customFormat="false" ht="15.75" hidden="false" customHeight="false" outlineLevel="0" collapsed="false">
      <c r="A197" s="20" t="n">
        <v>46078</v>
      </c>
      <c r="B197" s="15" t="s">
        <v>19</v>
      </c>
      <c r="C197" s="15" t="s">
        <v>555</v>
      </c>
      <c r="D197" s="15" t="s">
        <v>556</v>
      </c>
      <c r="E197" s="15" t="n">
        <v>4</v>
      </c>
      <c r="H197" s="10"/>
      <c r="I197" s="21"/>
      <c r="M197" s="10"/>
      <c r="N197" s="10"/>
      <c r="P197" s="10"/>
      <c r="Q197" s="22"/>
    </row>
    <row r="198" customFormat="false" ht="15.75" hidden="false" customHeight="false" outlineLevel="0" collapsed="false">
      <c r="A198" s="20" t="n">
        <v>46078</v>
      </c>
      <c r="B198" s="15" t="s">
        <v>19</v>
      </c>
      <c r="C198" s="15" t="s">
        <v>565</v>
      </c>
      <c r="D198" s="15" t="s">
        <v>566</v>
      </c>
      <c r="E198" s="15" t="n">
        <v>4</v>
      </c>
      <c r="H198" s="10"/>
      <c r="I198" s="21"/>
      <c r="M198" s="10"/>
      <c r="N198" s="10"/>
      <c r="P198" s="10"/>
      <c r="Q198" s="22"/>
    </row>
    <row r="199" customFormat="false" ht="15.75" hidden="false" customHeight="false" outlineLevel="0" collapsed="false">
      <c r="A199" s="20" t="n">
        <v>46078</v>
      </c>
      <c r="B199" s="15" t="s">
        <v>19</v>
      </c>
      <c r="C199" s="15" t="s">
        <v>567</v>
      </c>
      <c r="D199" s="15" t="s">
        <v>568</v>
      </c>
      <c r="E199" s="15" t="n">
        <v>4</v>
      </c>
      <c r="H199" s="10"/>
      <c r="I199" s="21"/>
      <c r="M199" s="10"/>
      <c r="N199" s="10"/>
      <c r="P199" s="10"/>
      <c r="Q199" s="22"/>
    </row>
    <row r="200" customFormat="false" ht="15.75" hidden="false" customHeight="false" outlineLevel="0" collapsed="false">
      <c r="A200" s="20" t="n">
        <v>46078</v>
      </c>
      <c r="B200" s="15" t="s">
        <v>19</v>
      </c>
      <c r="C200" s="15" t="s">
        <v>43</v>
      </c>
      <c r="D200" s="15" t="s">
        <v>538</v>
      </c>
      <c r="E200" s="15" t="n">
        <v>4</v>
      </c>
      <c r="H200" s="10"/>
      <c r="I200" s="21"/>
      <c r="M200" s="10"/>
      <c r="N200" s="10"/>
      <c r="P200" s="10"/>
      <c r="Q200" s="22"/>
    </row>
    <row r="201" customFormat="false" ht="15.75" hidden="false" customHeight="false" outlineLevel="0" collapsed="false">
      <c r="A201" s="20" t="n">
        <v>46078</v>
      </c>
      <c r="B201" s="15" t="s">
        <v>19</v>
      </c>
      <c r="C201" s="15" t="s">
        <v>81</v>
      </c>
      <c r="D201" s="15" t="s">
        <v>534</v>
      </c>
      <c r="E201" s="15" t="n">
        <v>9</v>
      </c>
      <c r="H201" s="10"/>
      <c r="I201" s="21"/>
      <c r="M201" s="10"/>
      <c r="N201" s="10"/>
      <c r="P201" s="10"/>
      <c r="Q201" s="22"/>
    </row>
    <row r="202" customFormat="false" ht="15.75" hidden="false" customHeight="false" outlineLevel="0" collapsed="false">
      <c r="A202" s="20" t="n">
        <v>46078</v>
      </c>
      <c r="B202" s="15" t="s">
        <v>19</v>
      </c>
      <c r="C202" s="15" t="s">
        <v>545</v>
      </c>
      <c r="D202" s="15" t="s">
        <v>546</v>
      </c>
      <c r="E202" s="15" t="n">
        <v>2</v>
      </c>
      <c r="H202" s="10"/>
      <c r="I202" s="21"/>
      <c r="M202" s="10"/>
      <c r="N202" s="10"/>
      <c r="P202" s="10"/>
      <c r="Q202" s="22"/>
    </row>
    <row r="203" customFormat="false" ht="15.75" hidden="false" customHeight="false" outlineLevel="0" collapsed="false">
      <c r="A203" s="20" t="n">
        <v>46078</v>
      </c>
      <c r="B203" s="15" t="s">
        <v>19</v>
      </c>
      <c r="C203" s="15" t="s">
        <v>67</v>
      </c>
      <c r="D203" s="15" t="s">
        <v>569</v>
      </c>
      <c r="E203" s="15" t="n">
        <v>2</v>
      </c>
      <c r="H203" s="10"/>
      <c r="I203" s="21"/>
      <c r="M203" s="10"/>
      <c r="N203" s="10"/>
      <c r="P203" s="10"/>
      <c r="Q203" s="22"/>
    </row>
    <row r="204" customFormat="false" ht="15.75" hidden="false" customHeight="false" outlineLevel="0" collapsed="false">
      <c r="A204" s="20" t="n">
        <v>46078</v>
      </c>
      <c r="B204" s="15" t="s">
        <v>19</v>
      </c>
      <c r="C204" s="15" t="s">
        <v>77</v>
      </c>
      <c r="D204" s="15" t="s">
        <v>78</v>
      </c>
      <c r="E204" s="15" t="n">
        <v>4</v>
      </c>
      <c r="H204" s="10"/>
      <c r="I204" s="21"/>
      <c r="M204" s="10"/>
      <c r="N204" s="10"/>
      <c r="P204" s="10"/>
      <c r="Q204" s="22"/>
    </row>
    <row r="205" customFormat="false" ht="15.75" hidden="false" customHeight="false" outlineLevel="0" collapsed="false">
      <c r="A205" s="20" t="n">
        <v>46078</v>
      </c>
      <c r="B205" s="15" t="s">
        <v>19</v>
      </c>
      <c r="C205" s="15" t="s">
        <v>33</v>
      </c>
      <c r="D205" s="15" t="s">
        <v>536</v>
      </c>
      <c r="E205" s="15" t="n">
        <v>10</v>
      </c>
      <c r="H205" s="10"/>
      <c r="I205" s="21"/>
      <c r="M205" s="10"/>
      <c r="N205" s="10"/>
      <c r="P205" s="10"/>
      <c r="Q205" s="22"/>
    </row>
    <row r="206" customFormat="false" ht="15.75" hidden="false" customHeight="false" outlineLevel="0" collapsed="false">
      <c r="A206" s="20" t="n">
        <v>46078</v>
      </c>
      <c r="B206" s="15" t="s">
        <v>19</v>
      </c>
      <c r="C206" s="15" t="s">
        <v>59</v>
      </c>
      <c r="D206" s="15" t="s">
        <v>562</v>
      </c>
      <c r="E206" s="15" t="n">
        <v>10</v>
      </c>
      <c r="H206" s="10"/>
      <c r="I206" s="21"/>
      <c r="M206" s="10"/>
      <c r="N206" s="10"/>
      <c r="P206" s="10"/>
      <c r="Q206" s="22"/>
    </row>
    <row r="207" customFormat="false" ht="15.75" hidden="false" customHeight="false" outlineLevel="0" collapsed="false">
      <c r="A207" s="20" t="n">
        <v>46078</v>
      </c>
      <c r="B207" s="15" t="s">
        <v>19</v>
      </c>
      <c r="C207" s="15" t="s">
        <v>19</v>
      </c>
      <c r="D207" s="15" t="s">
        <v>19</v>
      </c>
      <c r="E207" s="15" t="n">
        <v>2</v>
      </c>
      <c r="H207" s="10"/>
      <c r="I207" s="21"/>
      <c r="M207" s="10"/>
      <c r="N207" s="10"/>
      <c r="P207" s="10"/>
      <c r="Q207" s="22"/>
    </row>
    <row r="208" customFormat="false" ht="15.75" hidden="false" customHeight="false" outlineLevel="0" collapsed="false">
      <c r="A208" s="20" t="n">
        <v>46078</v>
      </c>
      <c r="B208" s="15" t="s">
        <v>19</v>
      </c>
      <c r="C208" s="15" t="s">
        <v>570</v>
      </c>
      <c r="D208" s="15" t="s">
        <v>571</v>
      </c>
      <c r="E208" s="15" t="n">
        <v>2</v>
      </c>
      <c r="H208" s="10"/>
      <c r="I208" s="21"/>
      <c r="M208" s="10"/>
      <c r="N208" s="10"/>
      <c r="P208" s="10"/>
      <c r="Q208" s="22"/>
    </row>
    <row r="209" customFormat="false" ht="15.75" hidden="false" customHeight="false" outlineLevel="0" collapsed="false">
      <c r="A209" s="20" t="n">
        <v>46078</v>
      </c>
      <c r="B209" s="15" t="s">
        <v>19</v>
      </c>
      <c r="C209" s="15" t="s">
        <v>11</v>
      </c>
      <c r="D209" s="15" t="s">
        <v>572</v>
      </c>
      <c r="E209" s="15" t="n">
        <v>2</v>
      </c>
      <c r="H209" s="10"/>
      <c r="I209" s="21"/>
      <c r="M209" s="10"/>
      <c r="N209" s="10"/>
      <c r="P209" s="10"/>
      <c r="Q209" s="22"/>
    </row>
    <row r="210" customFormat="false" ht="15.75" hidden="false" customHeight="false" outlineLevel="0" collapsed="false">
      <c r="A210" s="20" t="n">
        <v>46078</v>
      </c>
      <c r="B210" s="15" t="s">
        <v>467</v>
      </c>
      <c r="C210" s="15" t="s">
        <v>55</v>
      </c>
      <c r="D210" s="15" t="s">
        <v>539</v>
      </c>
      <c r="E210" s="15" t="n">
        <v>6</v>
      </c>
      <c r="H210" s="10"/>
      <c r="I210" s="21"/>
      <c r="M210" s="10"/>
      <c r="N210" s="10"/>
      <c r="P210" s="10"/>
      <c r="Q210" s="22"/>
    </row>
    <row r="211" customFormat="false" ht="15.75" hidden="false" customHeight="false" outlineLevel="0" collapsed="false">
      <c r="A211" s="20" t="n">
        <v>46078</v>
      </c>
      <c r="B211" s="15" t="s">
        <v>467</v>
      </c>
      <c r="C211" s="15" t="s">
        <v>57</v>
      </c>
      <c r="D211" s="15" t="s">
        <v>553</v>
      </c>
      <c r="E211" s="15" t="n">
        <v>2</v>
      </c>
      <c r="H211" s="10"/>
      <c r="I211" s="21"/>
      <c r="M211" s="10"/>
      <c r="N211" s="10"/>
      <c r="P211" s="10"/>
      <c r="Q211" s="22"/>
    </row>
    <row r="212" customFormat="false" ht="15.75" hidden="false" customHeight="false" outlineLevel="0" collapsed="false">
      <c r="A212" s="20" t="n">
        <v>46078</v>
      </c>
      <c r="B212" s="15" t="s">
        <v>467</v>
      </c>
      <c r="C212" s="15" t="s">
        <v>47</v>
      </c>
      <c r="D212" s="15" t="s">
        <v>549</v>
      </c>
      <c r="E212" s="15" t="n">
        <v>2</v>
      </c>
      <c r="H212" s="10"/>
      <c r="I212" s="21"/>
      <c r="M212" s="10"/>
      <c r="N212" s="10"/>
      <c r="P212" s="10"/>
      <c r="Q212" s="22"/>
    </row>
    <row r="213" customFormat="false" ht="15.75" hidden="false" customHeight="false" outlineLevel="0" collapsed="false">
      <c r="A213" s="20" t="n">
        <v>46078</v>
      </c>
      <c r="B213" s="15" t="s">
        <v>467</v>
      </c>
      <c r="C213" s="15" t="s">
        <v>81</v>
      </c>
      <c r="D213" s="15" t="s">
        <v>534</v>
      </c>
      <c r="E213" s="15" t="n">
        <v>7</v>
      </c>
      <c r="H213" s="10"/>
      <c r="I213" s="21"/>
      <c r="M213" s="10"/>
      <c r="N213" s="10"/>
      <c r="P213" s="10"/>
      <c r="Q213" s="22"/>
    </row>
    <row r="214" customFormat="false" ht="15.75" hidden="false" customHeight="false" outlineLevel="0" collapsed="false">
      <c r="A214" s="20" t="n">
        <v>46078</v>
      </c>
      <c r="B214" s="15" t="s">
        <v>467</v>
      </c>
      <c r="C214" s="15" t="s">
        <v>49</v>
      </c>
      <c r="D214" s="15" t="s">
        <v>537</v>
      </c>
      <c r="E214" s="15" t="n">
        <v>2</v>
      </c>
      <c r="H214" s="10"/>
      <c r="I214" s="21"/>
      <c r="M214" s="10"/>
      <c r="N214" s="10"/>
      <c r="P214" s="10"/>
      <c r="Q214" s="22"/>
    </row>
    <row r="215" customFormat="false" ht="15.75" hidden="false" customHeight="false" outlineLevel="0" collapsed="false">
      <c r="A215" s="20" t="n">
        <v>46078</v>
      </c>
      <c r="B215" s="15" t="s">
        <v>467</v>
      </c>
      <c r="C215" s="15" t="s">
        <v>63</v>
      </c>
      <c r="D215" s="15" t="s">
        <v>551</v>
      </c>
      <c r="E215" s="15" t="n">
        <v>1</v>
      </c>
      <c r="H215" s="10"/>
      <c r="I215" s="21"/>
      <c r="M215" s="10"/>
      <c r="N215" s="10"/>
      <c r="P215" s="10"/>
      <c r="Q215" s="22"/>
    </row>
    <row r="216" customFormat="false" ht="15.75" hidden="false" customHeight="false" outlineLevel="0" collapsed="false">
      <c r="A216" s="20" t="n">
        <v>46078</v>
      </c>
      <c r="B216" s="15" t="s">
        <v>471</v>
      </c>
      <c r="C216" s="15" t="s">
        <v>25</v>
      </c>
      <c r="D216" s="15" t="s">
        <v>26</v>
      </c>
      <c r="E216" s="15" t="n">
        <v>2</v>
      </c>
      <c r="H216" s="10"/>
      <c r="I216" s="21"/>
      <c r="M216" s="10"/>
      <c r="N216" s="10"/>
      <c r="P216" s="10"/>
      <c r="Q216" s="22"/>
    </row>
    <row r="217" customFormat="false" ht="15.75" hidden="false" customHeight="false" outlineLevel="0" collapsed="false">
      <c r="A217" s="20" t="n">
        <v>46078</v>
      </c>
      <c r="B217" s="15" t="s">
        <v>471</v>
      </c>
      <c r="C217" s="15" t="s">
        <v>69</v>
      </c>
      <c r="D217" s="15" t="s">
        <v>535</v>
      </c>
      <c r="E217" s="15" t="n">
        <v>2</v>
      </c>
      <c r="H217" s="10"/>
      <c r="I217" s="21"/>
      <c r="M217" s="10"/>
      <c r="N217" s="10"/>
      <c r="P217" s="10"/>
      <c r="Q217" s="22"/>
    </row>
    <row r="218" customFormat="false" ht="15.75" hidden="false" customHeight="false" outlineLevel="0" collapsed="false">
      <c r="A218" s="20" t="n">
        <v>46078</v>
      </c>
      <c r="B218" s="15" t="s">
        <v>471</v>
      </c>
      <c r="C218" s="15" t="s">
        <v>555</v>
      </c>
      <c r="D218" s="15" t="s">
        <v>556</v>
      </c>
      <c r="E218" s="15" t="n">
        <v>2</v>
      </c>
      <c r="H218" s="10"/>
      <c r="I218" s="21"/>
      <c r="M218" s="10"/>
      <c r="N218" s="10"/>
      <c r="P218" s="10"/>
      <c r="Q218" s="22"/>
    </row>
    <row r="219" customFormat="false" ht="15.75" hidden="false" customHeight="false" outlineLevel="0" collapsed="false">
      <c r="A219" s="20" t="n">
        <v>46078</v>
      </c>
      <c r="B219" s="15" t="s">
        <v>477</v>
      </c>
      <c r="C219" s="15" t="s">
        <v>69</v>
      </c>
      <c r="D219" s="15" t="s">
        <v>535</v>
      </c>
      <c r="E219" s="15" t="n">
        <v>3</v>
      </c>
      <c r="H219" s="10"/>
      <c r="I219" s="21"/>
      <c r="M219" s="10"/>
      <c r="N219" s="10"/>
      <c r="P219" s="10"/>
      <c r="Q219" s="22"/>
    </row>
    <row r="220" customFormat="false" ht="15.75" hidden="false" customHeight="false" outlineLevel="0" collapsed="false">
      <c r="A220" s="20" t="n">
        <v>46078</v>
      </c>
      <c r="B220" s="15" t="s">
        <v>477</v>
      </c>
      <c r="C220" s="15" t="s">
        <v>547</v>
      </c>
      <c r="D220" s="15" t="s">
        <v>548</v>
      </c>
      <c r="E220" s="15" t="n">
        <v>3</v>
      </c>
      <c r="H220" s="10"/>
      <c r="I220" s="21"/>
      <c r="M220" s="10"/>
      <c r="N220" s="10"/>
      <c r="P220" s="10"/>
      <c r="Q220" s="22"/>
    </row>
    <row r="221" customFormat="false" ht="15.75" hidden="false" customHeight="false" outlineLevel="0" collapsed="false">
      <c r="A221" s="20" t="n">
        <v>46078</v>
      </c>
      <c r="B221" s="15" t="s">
        <v>477</v>
      </c>
      <c r="C221" s="15" t="s">
        <v>25</v>
      </c>
      <c r="D221" s="15" t="s">
        <v>26</v>
      </c>
      <c r="E221" s="15" t="n">
        <v>3</v>
      </c>
      <c r="H221" s="10"/>
      <c r="I221" s="21"/>
      <c r="M221" s="10"/>
      <c r="N221" s="10"/>
      <c r="P221" s="10"/>
      <c r="Q221" s="22"/>
    </row>
    <row r="222" customFormat="false" ht="15.75" hidden="false" customHeight="false" outlineLevel="0" collapsed="false">
      <c r="A222" s="20" t="n">
        <v>46078</v>
      </c>
      <c r="B222" s="15" t="s">
        <v>491</v>
      </c>
      <c r="C222" s="15" t="s">
        <v>37</v>
      </c>
      <c r="D222" s="15" t="s">
        <v>561</v>
      </c>
      <c r="E222" s="15" t="n">
        <v>1</v>
      </c>
      <c r="H222" s="10"/>
      <c r="I222" s="21"/>
      <c r="M222" s="10"/>
      <c r="N222" s="10"/>
      <c r="P222" s="10"/>
      <c r="Q222" s="22"/>
    </row>
    <row r="223" customFormat="false" ht="15.75" hidden="false" customHeight="false" outlineLevel="0" collapsed="false">
      <c r="A223" s="20" t="n">
        <v>46078</v>
      </c>
      <c r="B223" s="15" t="s">
        <v>491</v>
      </c>
      <c r="C223" s="15" t="s">
        <v>81</v>
      </c>
      <c r="D223" s="15" t="s">
        <v>534</v>
      </c>
      <c r="E223" s="15" t="n">
        <v>8</v>
      </c>
      <c r="H223" s="10"/>
      <c r="I223" s="21"/>
      <c r="M223" s="10"/>
      <c r="N223" s="10"/>
      <c r="P223" s="10"/>
      <c r="Q223" s="22"/>
    </row>
    <row r="224" customFormat="false" ht="15.75" hidden="false" customHeight="false" outlineLevel="0" collapsed="false">
      <c r="A224" s="20" t="n">
        <v>46078</v>
      </c>
      <c r="B224" s="15" t="s">
        <v>491</v>
      </c>
      <c r="C224" s="15" t="s">
        <v>75</v>
      </c>
      <c r="D224" s="15" t="s">
        <v>560</v>
      </c>
      <c r="E224" s="15" t="n">
        <v>1</v>
      </c>
      <c r="H224" s="10"/>
      <c r="I224" s="21"/>
      <c r="M224" s="10"/>
      <c r="N224" s="10"/>
      <c r="P224" s="10"/>
      <c r="Q224" s="22"/>
    </row>
    <row r="225" customFormat="false" ht="15.75" hidden="false" customHeight="false" outlineLevel="0" collapsed="false">
      <c r="A225" s="20" t="n">
        <v>46078</v>
      </c>
      <c r="B225" s="15" t="s">
        <v>491</v>
      </c>
      <c r="C225" s="15" t="s">
        <v>69</v>
      </c>
      <c r="D225" s="15" t="s">
        <v>535</v>
      </c>
      <c r="E225" s="15" t="n">
        <v>6</v>
      </c>
      <c r="H225" s="10"/>
      <c r="I225" s="21"/>
      <c r="M225" s="10"/>
      <c r="N225" s="10"/>
      <c r="P225" s="10"/>
      <c r="Q225" s="22"/>
    </row>
    <row r="226" customFormat="false" ht="15.75" hidden="false" customHeight="false" outlineLevel="0" collapsed="false">
      <c r="A226" s="20" t="n">
        <v>46078</v>
      </c>
      <c r="B226" s="15" t="s">
        <v>491</v>
      </c>
      <c r="C226" s="15" t="s">
        <v>547</v>
      </c>
      <c r="D226" s="15" t="s">
        <v>548</v>
      </c>
      <c r="E226" s="15" t="n">
        <v>1</v>
      </c>
      <c r="H226" s="10"/>
      <c r="I226" s="21"/>
      <c r="M226" s="10"/>
      <c r="N226" s="10"/>
      <c r="P226" s="10"/>
      <c r="Q226" s="22"/>
    </row>
    <row r="227" customFormat="false" ht="15.75" hidden="false" customHeight="false" outlineLevel="0" collapsed="false">
      <c r="A227" s="20" t="n">
        <v>46078</v>
      </c>
      <c r="B227" s="15" t="s">
        <v>491</v>
      </c>
      <c r="C227" s="15" t="s">
        <v>31</v>
      </c>
      <c r="D227" s="15" t="s">
        <v>559</v>
      </c>
      <c r="E227" s="15" t="n">
        <v>2</v>
      </c>
      <c r="H227" s="10"/>
      <c r="I227" s="21"/>
      <c r="M227" s="10"/>
      <c r="N227" s="10"/>
      <c r="P227" s="10"/>
      <c r="Q227" s="22"/>
    </row>
    <row r="228" customFormat="false" ht="15.75" hidden="false" customHeight="false" outlineLevel="0" collapsed="false">
      <c r="A228" s="20" t="n">
        <v>46078</v>
      </c>
      <c r="B228" s="15" t="s">
        <v>491</v>
      </c>
      <c r="C228" s="15" t="s">
        <v>545</v>
      </c>
      <c r="D228" s="15" t="s">
        <v>546</v>
      </c>
      <c r="E228" s="15" t="n">
        <v>2</v>
      </c>
      <c r="H228" s="10"/>
      <c r="I228" s="21"/>
      <c r="M228" s="10"/>
      <c r="N228" s="10"/>
      <c r="P228" s="10"/>
      <c r="Q228" s="22"/>
    </row>
    <row r="229" customFormat="false" ht="15.75" hidden="false" customHeight="false" outlineLevel="0" collapsed="false">
      <c r="A229" s="20" t="n">
        <v>46078</v>
      </c>
      <c r="B229" s="15" t="s">
        <v>491</v>
      </c>
      <c r="C229" s="15" t="s">
        <v>543</v>
      </c>
      <c r="D229" s="15" t="s">
        <v>544</v>
      </c>
      <c r="E229" s="15" t="n">
        <v>4</v>
      </c>
      <c r="H229" s="10"/>
      <c r="I229" s="21"/>
      <c r="M229" s="10"/>
      <c r="N229" s="10"/>
      <c r="P229" s="10"/>
      <c r="Q229" s="22"/>
    </row>
    <row r="230" customFormat="false" ht="15.75" hidden="false" customHeight="false" outlineLevel="0" collapsed="false">
      <c r="A230" s="20" t="n">
        <v>46078</v>
      </c>
      <c r="B230" s="15" t="s">
        <v>491</v>
      </c>
      <c r="C230" s="15" t="s">
        <v>541</v>
      </c>
      <c r="D230" s="15" t="s">
        <v>542</v>
      </c>
      <c r="E230" s="15" t="n">
        <v>2</v>
      </c>
      <c r="H230" s="10"/>
      <c r="I230" s="21"/>
      <c r="M230" s="10"/>
      <c r="N230" s="10"/>
      <c r="P230" s="10"/>
      <c r="Q230" s="22"/>
    </row>
    <row r="231" customFormat="false" ht="15.75" hidden="false" customHeight="false" outlineLevel="0" collapsed="false">
      <c r="A231" s="20" t="n">
        <v>46078</v>
      </c>
      <c r="B231" s="15" t="s">
        <v>491</v>
      </c>
      <c r="C231" s="15" t="s">
        <v>49</v>
      </c>
      <c r="D231" s="15" t="s">
        <v>537</v>
      </c>
      <c r="E231" s="15" t="n">
        <v>1</v>
      </c>
      <c r="H231" s="10"/>
      <c r="I231" s="21"/>
      <c r="M231" s="10"/>
      <c r="N231" s="10"/>
      <c r="P231" s="10"/>
      <c r="Q231" s="22"/>
    </row>
    <row r="232" customFormat="false" ht="15.75" hidden="false" customHeight="false" outlineLevel="0" collapsed="false">
      <c r="A232" s="20" t="n">
        <v>46078</v>
      </c>
      <c r="B232" s="15" t="s">
        <v>491</v>
      </c>
      <c r="C232" s="15" t="s">
        <v>33</v>
      </c>
      <c r="D232" s="15" t="s">
        <v>536</v>
      </c>
      <c r="E232" s="15" t="n">
        <v>5</v>
      </c>
      <c r="H232" s="10"/>
      <c r="I232" s="21"/>
      <c r="M232" s="10"/>
      <c r="N232" s="10"/>
      <c r="P232" s="10"/>
      <c r="Q232" s="22"/>
    </row>
    <row r="233" customFormat="false" ht="15.75" hidden="false" customHeight="false" outlineLevel="0" collapsed="false">
      <c r="A233" s="20" t="n">
        <v>46078</v>
      </c>
      <c r="B233" s="15" t="s">
        <v>491</v>
      </c>
      <c r="C233" s="15" t="s">
        <v>77</v>
      </c>
      <c r="D233" s="15" t="s">
        <v>78</v>
      </c>
      <c r="E233" s="15" t="n">
        <v>3</v>
      </c>
      <c r="H233" s="10"/>
      <c r="I233" s="21"/>
      <c r="M233" s="10"/>
      <c r="N233" s="10"/>
      <c r="P233" s="10"/>
      <c r="Q233" s="22"/>
    </row>
    <row r="234" customFormat="false" ht="15.75" hidden="false" customHeight="false" outlineLevel="0" collapsed="false">
      <c r="A234" s="20" t="n">
        <v>46078</v>
      </c>
      <c r="B234" s="15" t="s">
        <v>491</v>
      </c>
      <c r="C234" s="15" t="s">
        <v>47</v>
      </c>
      <c r="D234" s="15" t="s">
        <v>549</v>
      </c>
      <c r="E234" s="15" t="n">
        <v>1</v>
      </c>
      <c r="H234" s="10"/>
      <c r="I234" s="21"/>
      <c r="M234" s="10"/>
      <c r="N234" s="10"/>
      <c r="P234" s="10"/>
      <c r="Q234" s="22"/>
    </row>
    <row r="235" customFormat="false" ht="15.75" hidden="false" customHeight="false" outlineLevel="0" collapsed="false">
      <c r="A235" s="20" t="n">
        <v>46078</v>
      </c>
      <c r="B235" s="15" t="s">
        <v>491</v>
      </c>
      <c r="C235" s="15" t="s">
        <v>55</v>
      </c>
      <c r="D235" s="15" t="s">
        <v>539</v>
      </c>
      <c r="E235" s="15" t="n">
        <v>1</v>
      </c>
      <c r="H235" s="10"/>
      <c r="I235" s="21"/>
      <c r="M235" s="10"/>
      <c r="N235" s="10"/>
      <c r="P235" s="10"/>
      <c r="Q235" s="22"/>
    </row>
    <row r="236" customFormat="false" ht="15.75" hidden="false" customHeight="false" outlineLevel="0" collapsed="false">
      <c r="A236" s="20" t="n">
        <v>46078</v>
      </c>
      <c r="B236" s="15" t="s">
        <v>491</v>
      </c>
      <c r="C236" s="15" t="s">
        <v>59</v>
      </c>
      <c r="D236" s="15" t="s">
        <v>562</v>
      </c>
      <c r="E236" s="15" t="n">
        <v>1</v>
      </c>
      <c r="H236" s="10"/>
      <c r="I236" s="23"/>
      <c r="M236" s="10"/>
      <c r="N236" s="10"/>
      <c r="P236" s="10"/>
      <c r="Q236" s="22"/>
    </row>
    <row r="237" customFormat="false" ht="15.75" hidden="false" customHeight="false" outlineLevel="0" collapsed="false">
      <c r="A237" s="20" t="n">
        <v>46078</v>
      </c>
      <c r="B237" s="15" t="s">
        <v>491</v>
      </c>
      <c r="C237" s="15" t="s">
        <v>43</v>
      </c>
      <c r="D237" s="15" t="s">
        <v>538</v>
      </c>
      <c r="E237" s="15" t="n">
        <v>1</v>
      </c>
      <c r="H237" s="10"/>
      <c r="I237" s="21"/>
      <c r="M237" s="10"/>
      <c r="N237" s="10"/>
      <c r="P237" s="10"/>
      <c r="Q237" s="22"/>
    </row>
    <row r="238" customFormat="false" ht="15.75" hidden="false" customHeight="false" outlineLevel="0" collapsed="false">
      <c r="A238" s="20" t="n">
        <v>46078</v>
      </c>
      <c r="B238" s="15" t="s">
        <v>491</v>
      </c>
      <c r="C238" s="15" t="s">
        <v>87</v>
      </c>
      <c r="D238" s="15" t="s">
        <v>563</v>
      </c>
      <c r="E238" s="15" t="n">
        <v>1</v>
      </c>
      <c r="H238" s="10"/>
      <c r="I238" s="21"/>
      <c r="M238" s="10"/>
      <c r="N238" s="10"/>
      <c r="P238" s="10"/>
      <c r="Q238" s="22"/>
    </row>
    <row r="239" customFormat="false" ht="15.75" hidden="false" customHeight="false" outlineLevel="0" collapsed="false">
      <c r="A239" s="20" t="n">
        <v>46078</v>
      </c>
      <c r="B239" s="15" t="s">
        <v>491</v>
      </c>
      <c r="C239" s="15" t="s">
        <v>79</v>
      </c>
      <c r="D239" s="15" t="s">
        <v>564</v>
      </c>
      <c r="E239" s="15" t="n">
        <v>1</v>
      </c>
      <c r="H239" s="10"/>
      <c r="I239" s="21"/>
      <c r="M239" s="10"/>
      <c r="N239" s="10"/>
      <c r="P239" s="10"/>
      <c r="Q239" s="22"/>
    </row>
    <row r="240" customFormat="false" ht="15.75" hidden="false" customHeight="false" outlineLevel="0" collapsed="false">
      <c r="A240" s="20" t="n">
        <v>46078</v>
      </c>
      <c r="B240" s="15" t="s">
        <v>500</v>
      </c>
      <c r="C240" s="15" t="s">
        <v>81</v>
      </c>
      <c r="D240" s="15" t="s">
        <v>534</v>
      </c>
      <c r="E240" s="15" t="n">
        <v>7</v>
      </c>
      <c r="H240" s="10"/>
      <c r="I240" s="21"/>
      <c r="M240" s="10"/>
      <c r="N240" s="10"/>
      <c r="P240" s="10"/>
      <c r="Q240" s="22"/>
    </row>
    <row r="241" customFormat="false" ht="15.75" hidden="false" customHeight="false" outlineLevel="0" collapsed="false">
      <c r="A241" s="20" t="n">
        <v>46078</v>
      </c>
      <c r="B241" s="15" t="s">
        <v>500</v>
      </c>
      <c r="C241" s="15" t="s">
        <v>543</v>
      </c>
      <c r="D241" s="15" t="s">
        <v>544</v>
      </c>
      <c r="E241" s="15" t="n">
        <v>1</v>
      </c>
      <c r="H241" s="10"/>
      <c r="I241" s="21"/>
      <c r="M241" s="10"/>
      <c r="N241" s="10"/>
      <c r="P241" s="10"/>
      <c r="Q241" s="22"/>
    </row>
    <row r="242" customFormat="false" ht="15.75" hidden="false" customHeight="false" outlineLevel="0" collapsed="false">
      <c r="A242" s="20" t="n">
        <v>46078</v>
      </c>
      <c r="B242" s="15" t="s">
        <v>500</v>
      </c>
      <c r="C242" s="15" t="s">
        <v>55</v>
      </c>
      <c r="D242" s="15" t="s">
        <v>539</v>
      </c>
      <c r="E242" s="15" t="n">
        <v>1</v>
      </c>
      <c r="H242" s="10"/>
      <c r="I242" s="21"/>
      <c r="M242" s="10"/>
      <c r="N242" s="10"/>
      <c r="P242" s="10"/>
      <c r="Q242" s="22"/>
    </row>
    <row r="243" customFormat="false" ht="15.75" hidden="false" customHeight="false" outlineLevel="0" collapsed="false">
      <c r="A243" s="20" t="n">
        <v>46078</v>
      </c>
      <c r="B243" s="15" t="s">
        <v>500</v>
      </c>
      <c r="C243" s="15" t="s">
        <v>59</v>
      </c>
      <c r="D243" s="15" t="s">
        <v>562</v>
      </c>
      <c r="E243" s="15" t="n">
        <v>1</v>
      </c>
      <c r="H243" s="10"/>
      <c r="I243" s="21"/>
      <c r="M243" s="10"/>
      <c r="N243" s="10"/>
      <c r="P243" s="10"/>
      <c r="Q243" s="22"/>
    </row>
    <row r="244" customFormat="false" ht="15.75" hidden="false" customHeight="false" outlineLevel="0" collapsed="false">
      <c r="A244" s="20" t="n">
        <v>46078</v>
      </c>
      <c r="B244" s="15" t="s">
        <v>500</v>
      </c>
      <c r="C244" s="15" t="s">
        <v>47</v>
      </c>
      <c r="D244" s="15" t="s">
        <v>549</v>
      </c>
      <c r="E244" s="15" t="n">
        <v>1</v>
      </c>
      <c r="H244" s="10"/>
      <c r="I244" s="21"/>
      <c r="M244" s="10"/>
      <c r="N244" s="10"/>
      <c r="P244" s="10"/>
      <c r="Q244" s="22"/>
    </row>
    <row r="245" customFormat="false" ht="15.75" hidden="false" customHeight="false" outlineLevel="0" collapsed="false">
      <c r="A245" s="20" t="n">
        <v>46078</v>
      </c>
      <c r="B245" s="15" t="s">
        <v>500</v>
      </c>
      <c r="C245" s="15" t="s">
        <v>69</v>
      </c>
      <c r="D245" s="15" t="s">
        <v>535</v>
      </c>
      <c r="E245" s="15" t="n">
        <v>1</v>
      </c>
      <c r="H245" s="10"/>
      <c r="I245" s="21"/>
      <c r="M245" s="10"/>
      <c r="N245" s="10"/>
      <c r="P245" s="10"/>
      <c r="Q245" s="22"/>
    </row>
    <row r="246" customFormat="false" ht="15.75" hidden="false" customHeight="false" outlineLevel="0" collapsed="false">
      <c r="A246" s="20" t="n">
        <v>46078</v>
      </c>
      <c r="B246" s="15" t="s">
        <v>500</v>
      </c>
      <c r="C246" s="15" t="s">
        <v>33</v>
      </c>
      <c r="D246" s="15" t="s">
        <v>536</v>
      </c>
      <c r="E246" s="15" t="n">
        <v>2</v>
      </c>
      <c r="H246" s="10"/>
      <c r="I246" s="21"/>
      <c r="M246" s="10"/>
      <c r="N246" s="10"/>
      <c r="P246" s="10"/>
      <c r="Q246" s="22"/>
    </row>
    <row r="247" customFormat="false" ht="15.75" hidden="false" customHeight="false" outlineLevel="0" collapsed="false">
      <c r="A247" s="20" t="n">
        <v>46078</v>
      </c>
      <c r="B247" s="15" t="s">
        <v>500</v>
      </c>
      <c r="C247" s="15" t="s">
        <v>77</v>
      </c>
      <c r="D247" s="15" t="s">
        <v>78</v>
      </c>
      <c r="E247" s="15" t="n">
        <v>2</v>
      </c>
      <c r="H247" s="10"/>
      <c r="I247" s="21"/>
      <c r="M247" s="10"/>
      <c r="N247" s="10"/>
      <c r="P247" s="10"/>
      <c r="Q247" s="22"/>
    </row>
    <row r="248" customFormat="false" ht="15.75" hidden="false" customHeight="false" outlineLevel="0" collapsed="false">
      <c r="A248" s="20" t="n">
        <v>46078</v>
      </c>
      <c r="B248" s="15" t="s">
        <v>500</v>
      </c>
      <c r="C248" s="15" t="s">
        <v>75</v>
      </c>
      <c r="D248" s="15" t="s">
        <v>560</v>
      </c>
      <c r="E248" s="15" t="n">
        <v>1</v>
      </c>
      <c r="H248" s="10"/>
      <c r="I248" s="21"/>
      <c r="M248" s="10"/>
      <c r="N248" s="10"/>
      <c r="P248" s="10"/>
      <c r="Q248" s="22"/>
    </row>
    <row r="249" customFormat="false" ht="15.75" hidden="false" customHeight="false" outlineLevel="0" collapsed="false">
      <c r="A249" s="20" t="n">
        <v>46078</v>
      </c>
      <c r="B249" s="15" t="s">
        <v>504</v>
      </c>
      <c r="C249" s="15" t="s">
        <v>47</v>
      </c>
      <c r="D249" s="15" t="s">
        <v>549</v>
      </c>
      <c r="E249" s="15" t="n">
        <v>3</v>
      </c>
      <c r="H249" s="10"/>
      <c r="I249" s="21"/>
      <c r="M249" s="10"/>
      <c r="N249" s="10"/>
      <c r="P249" s="10"/>
      <c r="Q249" s="22"/>
    </row>
    <row r="250" customFormat="false" ht="15.75" hidden="false" customHeight="false" outlineLevel="0" collapsed="false">
      <c r="A250" s="20" t="n">
        <v>46078</v>
      </c>
      <c r="B250" s="15" t="s">
        <v>504</v>
      </c>
      <c r="C250" s="15" t="s">
        <v>55</v>
      </c>
      <c r="D250" s="15" t="s">
        <v>539</v>
      </c>
      <c r="E250" s="15" t="n">
        <v>6</v>
      </c>
      <c r="H250" s="10"/>
      <c r="I250" s="21"/>
      <c r="M250" s="10"/>
      <c r="N250" s="10"/>
      <c r="P250" s="10"/>
      <c r="Q250" s="22"/>
    </row>
    <row r="251" customFormat="false" ht="15.75" hidden="false" customHeight="false" outlineLevel="0" collapsed="false">
      <c r="A251" s="20" t="n">
        <v>46078</v>
      </c>
      <c r="B251" s="15" t="s">
        <v>504</v>
      </c>
      <c r="C251" s="15" t="s">
        <v>81</v>
      </c>
      <c r="D251" s="15" t="s">
        <v>534</v>
      </c>
      <c r="E251" s="15" t="n">
        <v>9</v>
      </c>
      <c r="H251" s="10"/>
      <c r="I251" s="21"/>
      <c r="M251" s="10"/>
      <c r="N251" s="10"/>
      <c r="P251" s="10"/>
      <c r="Q251" s="22"/>
    </row>
    <row r="252" customFormat="false" ht="15.75" hidden="false" customHeight="false" outlineLevel="0" collapsed="false">
      <c r="A252" s="20" t="n">
        <v>46078</v>
      </c>
      <c r="B252" s="15" t="s">
        <v>504</v>
      </c>
      <c r="C252" s="15" t="s">
        <v>39</v>
      </c>
      <c r="D252" s="15" t="s">
        <v>550</v>
      </c>
      <c r="E252" s="15" t="n">
        <v>1</v>
      </c>
      <c r="H252" s="10"/>
      <c r="I252" s="21"/>
      <c r="M252" s="10"/>
      <c r="N252" s="10"/>
      <c r="P252" s="10"/>
      <c r="Q252" s="22"/>
    </row>
    <row r="253" customFormat="false" ht="15.75" hidden="false" customHeight="false" outlineLevel="0" collapsed="false">
      <c r="A253" s="20" t="n">
        <v>46078</v>
      </c>
      <c r="B253" s="15" t="s">
        <v>504</v>
      </c>
      <c r="C253" s="15" t="s">
        <v>63</v>
      </c>
      <c r="D253" s="15" t="s">
        <v>551</v>
      </c>
      <c r="E253" s="15" t="n">
        <v>1</v>
      </c>
      <c r="H253" s="10"/>
      <c r="I253" s="21"/>
      <c r="M253" s="10"/>
      <c r="N253" s="10"/>
      <c r="P253" s="10"/>
      <c r="Q253" s="22"/>
    </row>
    <row r="254" customFormat="false" ht="15.75" hidden="false" customHeight="false" outlineLevel="0" collapsed="false">
      <c r="A254" s="20" t="n">
        <v>46078</v>
      </c>
      <c r="B254" s="15" t="s">
        <v>504</v>
      </c>
      <c r="C254" s="15" t="s">
        <v>17</v>
      </c>
      <c r="D254" s="15" t="s">
        <v>554</v>
      </c>
      <c r="E254" s="15" t="n">
        <v>1</v>
      </c>
      <c r="H254" s="10"/>
      <c r="I254" s="23"/>
      <c r="M254" s="10"/>
      <c r="N254" s="10"/>
      <c r="P254" s="10"/>
      <c r="Q254" s="22"/>
    </row>
    <row r="255" customFormat="false" ht="15.75" hidden="false" customHeight="false" outlineLevel="0" collapsed="false">
      <c r="A255" s="20" t="n">
        <v>46078</v>
      </c>
      <c r="B255" s="15" t="s">
        <v>508</v>
      </c>
      <c r="C255" s="15" t="s">
        <v>55</v>
      </c>
      <c r="D255" s="15" t="s">
        <v>539</v>
      </c>
      <c r="E255" s="15" t="n">
        <v>5</v>
      </c>
      <c r="H255" s="10"/>
      <c r="I255" s="21"/>
      <c r="M255" s="10"/>
      <c r="N255" s="10"/>
      <c r="P255" s="10"/>
      <c r="Q255" s="22"/>
    </row>
    <row r="256" customFormat="false" ht="15.75" hidden="false" customHeight="false" outlineLevel="0" collapsed="false">
      <c r="A256" s="20" t="n">
        <v>46078</v>
      </c>
      <c r="B256" s="15" t="s">
        <v>508</v>
      </c>
      <c r="C256" s="15" t="s">
        <v>81</v>
      </c>
      <c r="D256" s="15" t="s">
        <v>534</v>
      </c>
      <c r="E256" s="15" t="n">
        <v>9</v>
      </c>
      <c r="H256" s="10"/>
      <c r="I256" s="21"/>
      <c r="M256" s="10"/>
      <c r="N256" s="10"/>
      <c r="P256" s="10"/>
      <c r="Q256" s="22"/>
    </row>
    <row r="257" customFormat="false" ht="15.75" hidden="false" customHeight="false" outlineLevel="0" collapsed="false">
      <c r="A257" s="20" t="n">
        <v>46078</v>
      </c>
      <c r="B257" s="15" t="s">
        <v>508</v>
      </c>
      <c r="C257" s="15" t="s">
        <v>39</v>
      </c>
      <c r="D257" s="15" t="s">
        <v>550</v>
      </c>
      <c r="E257" s="15" t="n">
        <v>2</v>
      </c>
      <c r="H257" s="10"/>
      <c r="I257" s="21"/>
      <c r="M257" s="10"/>
      <c r="N257" s="10"/>
      <c r="P257" s="10"/>
      <c r="Q257" s="22"/>
    </row>
    <row r="258" customFormat="false" ht="15.75" hidden="false" customHeight="false" outlineLevel="0" collapsed="false">
      <c r="A258" s="20" t="n">
        <v>46078</v>
      </c>
      <c r="B258" s="15" t="s">
        <v>508</v>
      </c>
      <c r="C258" s="15" t="s">
        <v>47</v>
      </c>
      <c r="D258" s="15" t="s">
        <v>549</v>
      </c>
      <c r="E258" s="15" t="n">
        <v>2</v>
      </c>
      <c r="H258" s="10"/>
      <c r="I258" s="21"/>
      <c r="M258" s="10"/>
      <c r="N258" s="10"/>
      <c r="P258" s="10"/>
      <c r="Q258" s="22"/>
    </row>
    <row r="259" customFormat="false" ht="15.75" hidden="false" customHeight="false" outlineLevel="0" collapsed="false">
      <c r="A259" s="20" t="n">
        <v>46078</v>
      </c>
      <c r="B259" s="15" t="s">
        <v>508</v>
      </c>
      <c r="C259" s="15" t="s">
        <v>63</v>
      </c>
      <c r="D259" s="15" t="s">
        <v>551</v>
      </c>
      <c r="E259" s="15" t="n">
        <v>1</v>
      </c>
      <c r="H259" s="10"/>
      <c r="I259" s="21"/>
      <c r="M259" s="10"/>
      <c r="N259" s="10"/>
      <c r="P259" s="10"/>
      <c r="Q259" s="22"/>
    </row>
    <row r="260" customFormat="false" ht="15.75" hidden="false" customHeight="false" outlineLevel="0" collapsed="false">
      <c r="A260" s="20" t="n">
        <v>46078</v>
      </c>
      <c r="B260" s="15" t="s">
        <v>511</v>
      </c>
      <c r="C260" s="15" t="s">
        <v>51</v>
      </c>
      <c r="D260" s="15" t="s">
        <v>573</v>
      </c>
      <c r="E260" s="15" t="n">
        <v>1</v>
      </c>
      <c r="H260" s="10"/>
      <c r="I260" s="21"/>
      <c r="M260" s="10"/>
      <c r="N260" s="10"/>
      <c r="P260" s="10"/>
      <c r="Q260" s="22"/>
    </row>
    <row r="261" customFormat="false" ht="15.75" hidden="false" customHeight="false" outlineLevel="0" collapsed="false">
      <c r="A261" s="20" t="n">
        <v>46078</v>
      </c>
      <c r="B261" s="15" t="s">
        <v>511</v>
      </c>
      <c r="C261" s="15" t="s">
        <v>55</v>
      </c>
      <c r="D261" s="15" t="s">
        <v>539</v>
      </c>
      <c r="E261" s="15" t="n">
        <v>2</v>
      </c>
      <c r="H261" s="10"/>
      <c r="I261" s="21"/>
      <c r="M261" s="10"/>
      <c r="N261" s="10"/>
      <c r="P261" s="10"/>
      <c r="Q261" s="22"/>
    </row>
    <row r="262" customFormat="false" ht="15.75" hidden="false" customHeight="false" outlineLevel="0" collapsed="false">
      <c r="A262" s="20" t="n">
        <v>46078</v>
      </c>
      <c r="B262" s="15" t="s">
        <v>511</v>
      </c>
      <c r="C262" s="15" t="s">
        <v>89</v>
      </c>
      <c r="D262" s="15" t="s">
        <v>574</v>
      </c>
      <c r="E262" s="15" t="n">
        <v>2</v>
      </c>
      <c r="H262" s="10"/>
      <c r="I262" s="21"/>
      <c r="M262" s="10"/>
      <c r="N262" s="10"/>
      <c r="P262" s="10"/>
      <c r="Q262" s="22"/>
    </row>
    <row r="263" customFormat="false" ht="15.75" hidden="false" customHeight="false" outlineLevel="0" collapsed="false">
      <c r="A263" s="20" t="n">
        <v>46078</v>
      </c>
      <c r="B263" s="15" t="s">
        <v>511</v>
      </c>
      <c r="C263" s="15" t="s">
        <v>23</v>
      </c>
      <c r="D263" s="15" t="s">
        <v>575</v>
      </c>
      <c r="E263" s="15" t="n">
        <v>1</v>
      </c>
      <c r="H263" s="10"/>
      <c r="I263" s="21"/>
      <c r="M263" s="10"/>
      <c r="N263" s="10"/>
      <c r="P263" s="10"/>
      <c r="Q263" s="22"/>
    </row>
    <row r="264" customFormat="false" ht="15.75" hidden="false" customHeight="false" outlineLevel="0" collapsed="false">
      <c r="A264" s="20" t="n">
        <v>46078</v>
      </c>
      <c r="B264" s="15" t="s">
        <v>515</v>
      </c>
      <c r="C264" s="15" t="s">
        <v>69</v>
      </c>
      <c r="D264" s="15" t="s">
        <v>535</v>
      </c>
      <c r="E264" s="15" t="n">
        <v>6</v>
      </c>
      <c r="H264" s="10"/>
      <c r="I264" s="21"/>
      <c r="M264" s="10"/>
      <c r="N264" s="10"/>
      <c r="P264" s="10"/>
      <c r="Q264" s="22"/>
    </row>
    <row r="265" customFormat="false" ht="15.75" hidden="false" customHeight="false" outlineLevel="0" collapsed="false">
      <c r="A265" s="20" t="n">
        <v>46078</v>
      </c>
      <c r="B265" s="15" t="s">
        <v>515</v>
      </c>
      <c r="C265" s="15" t="s">
        <v>33</v>
      </c>
      <c r="D265" s="15" t="s">
        <v>536</v>
      </c>
      <c r="E265" s="15" t="n">
        <v>6</v>
      </c>
      <c r="H265" s="10"/>
      <c r="I265" s="21"/>
      <c r="M265" s="10"/>
      <c r="N265" s="10"/>
      <c r="P265" s="10"/>
      <c r="Q265" s="22"/>
    </row>
    <row r="266" customFormat="false" ht="15.75" hidden="false" customHeight="false" outlineLevel="0" collapsed="false">
      <c r="A266" s="20" t="n">
        <v>46078</v>
      </c>
      <c r="B266" s="15" t="s">
        <v>515</v>
      </c>
      <c r="C266" s="15" t="s">
        <v>55</v>
      </c>
      <c r="D266" s="15" t="s">
        <v>539</v>
      </c>
      <c r="E266" s="15" t="n">
        <v>4</v>
      </c>
      <c r="H266" s="10"/>
      <c r="I266" s="21"/>
      <c r="M266" s="10"/>
      <c r="N266" s="10"/>
      <c r="P266" s="10"/>
      <c r="Q266" s="22"/>
    </row>
    <row r="267" customFormat="false" ht="15.75" hidden="false" customHeight="false" outlineLevel="0" collapsed="false">
      <c r="A267" s="20" t="n">
        <v>46078</v>
      </c>
      <c r="B267" s="15" t="s">
        <v>515</v>
      </c>
      <c r="C267" s="15" t="s">
        <v>27</v>
      </c>
      <c r="D267" s="15" t="s">
        <v>577</v>
      </c>
      <c r="E267" s="15" t="n">
        <v>1</v>
      </c>
      <c r="H267" s="10"/>
      <c r="I267" s="21"/>
      <c r="M267" s="10"/>
      <c r="N267" s="10"/>
      <c r="P267" s="10"/>
      <c r="Q267" s="22"/>
    </row>
    <row r="268" customFormat="false" ht="15.75" hidden="false" customHeight="false" outlineLevel="0" collapsed="false">
      <c r="A268" s="20" t="n">
        <v>46078</v>
      </c>
      <c r="B268" s="15" t="s">
        <v>515</v>
      </c>
      <c r="C268" s="15" t="s">
        <v>51</v>
      </c>
      <c r="D268" s="15" t="s">
        <v>573</v>
      </c>
      <c r="E268" s="15" t="n">
        <v>1</v>
      </c>
      <c r="H268" s="10"/>
      <c r="I268" s="21"/>
      <c r="M268" s="10"/>
      <c r="N268" s="10"/>
      <c r="P268" s="10"/>
      <c r="Q268" s="22"/>
    </row>
    <row r="269" customFormat="false" ht="15.75" hidden="false" customHeight="false" outlineLevel="0" collapsed="false">
      <c r="A269" s="20" t="n">
        <v>46078</v>
      </c>
      <c r="B269" s="15" t="s">
        <v>515</v>
      </c>
      <c r="C269" s="15" t="s">
        <v>37</v>
      </c>
      <c r="D269" s="15" t="s">
        <v>561</v>
      </c>
      <c r="E269" s="15" t="n">
        <v>1</v>
      </c>
      <c r="H269" s="10"/>
      <c r="I269" s="21"/>
      <c r="M269" s="10"/>
      <c r="N269" s="10"/>
      <c r="P269" s="10"/>
      <c r="Q269" s="22"/>
    </row>
    <row r="270" customFormat="false" ht="15.75" hidden="false" customHeight="false" outlineLevel="0" collapsed="false">
      <c r="A270" s="20" t="n">
        <v>46078</v>
      </c>
      <c r="B270" s="15" t="s">
        <v>515</v>
      </c>
      <c r="C270" s="15" t="s">
        <v>81</v>
      </c>
      <c r="D270" s="15" t="s">
        <v>534</v>
      </c>
      <c r="E270" s="15" t="n">
        <v>2</v>
      </c>
      <c r="H270" s="10"/>
      <c r="I270" s="21"/>
      <c r="M270" s="10"/>
      <c r="N270" s="10"/>
      <c r="P270" s="10"/>
      <c r="Q270" s="22"/>
    </row>
    <row r="271" customFormat="false" ht="15.75" hidden="false" customHeight="false" outlineLevel="0" collapsed="false">
      <c r="A271" s="20" t="n">
        <v>46078</v>
      </c>
      <c r="B271" s="15" t="s">
        <v>515</v>
      </c>
      <c r="C271" s="15" t="s">
        <v>77</v>
      </c>
      <c r="D271" s="15" t="s">
        <v>78</v>
      </c>
      <c r="E271" s="15" t="n">
        <v>4</v>
      </c>
      <c r="H271" s="10"/>
      <c r="I271" s="21"/>
      <c r="M271" s="10"/>
      <c r="N271" s="10"/>
      <c r="P271" s="10"/>
      <c r="Q271" s="22"/>
    </row>
    <row r="272" customFormat="false" ht="15.75" hidden="false" customHeight="false" outlineLevel="0" collapsed="false">
      <c r="A272" s="20" t="n">
        <v>46078</v>
      </c>
      <c r="B272" s="15" t="s">
        <v>524</v>
      </c>
      <c r="C272" s="15" t="s">
        <v>69</v>
      </c>
      <c r="D272" s="15" t="s">
        <v>535</v>
      </c>
      <c r="E272" s="15" t="n">
        <v>6</v>
      </c>
      <c r="H272" s="10"/>
      <c r="I272" s="23"/>
      <c r="M272" s="10"/>
      <c r="N272" s="10"/>
      <c r="P272" s="10"/>
      <c r="Q272" s="22"/>
    </row>
    <row r="273" customFormat="false" ht="15.75" hidden="false" customHeight="false" outlineLevel="0" collapsed="false">
      <c r="A273" s="20" t="n">
        <v>46078</v>
      </c>
      <c r="B273" s="15" t="s">
        <v>524</v>
      </c>
      <c r="C273" s="15" t="s">
        <v>33</v>
      </c>
      <c r="D273" s="15" t="s">
        <v>536</v>
      </c>
      <c r="E273" s="15" t="n">
        <v>6</v>
      </c>
      <c r="H273" s="10"/>
      <c r="I273" s="23"/>
      <c r="M273" s="10"/>
      <c r="N273" s="10"/>
      <c r="P273" s="10"/>
      <c r="Q273" s="22"/>
    </row>
    <row r="274" customFormat="false" ht="15.75" hidden="false" customHeight="false" outlineLevel="0" collapsed="false">
      <c r="A274" s="20" t="n">
        <v>46078</v>
      </c>
      <c r="B274" s="15" t="s">
        <v>524</v>
      </c>
      <c r="C274" s="15" t="s">
        <v>55</v>
      </c>
      <c r="D274" s="15" t="s">
        <v>539</v>
      </c>
      <c r="E274" s="15" t="n">
        <v>4</v>
      </c>
      <c r="H274" s="10"/>
      <c r="I274" s="21"/>
      <c r="M274" s="10"/>
      <c r="N274" s="10"/>
      <c r="P274" s="10"/>
      <c r="Q274" s="22"/>
    </row>
    <row r="275" customFormat="false" ht="15.75" hidden="false" customHeight="false" outlineLevel="0" collapsed="false">
      <c r="A275" s="20" t="n">
        <v>46078</v>
      </c>
      <c r="B275" s="15" t="s">
        <v>524</v>
      </c>
      <c r="C275" s="15" t="s">
        <v>81</v>
      </c>
      <c r="D275" s="15" t="s">
        <v>534</v>
      </c>
      <c r="E275" s="15" t="n">
        <v>3</v>
      </c>
      <c r="H275" s="10"/>
      <c r="I275" s="23"/>
      <c r="M275" s="10"/>
      <c r="N275" s="10"/>
      <c r="P275" s="10"/>
      <c r="Q275" s="22"/>
    </row>
    <row r="276" customFormat="false" ht="15.75" hidden="false" customHeight="false" outlineLevel="0" collapsed="false">
      <c r="A276" s="20" t="n">
        <v>46078</v>
      </c>
      <c r="B276" s="15" t="s">
        <v>524</v>
      </c>
      <c r="C276" s="15" t="s">
        <v>37</v>
      </c>
      <c r="D276" s="15" t="s">
        <v>561</v>
      </c>
      <c r="E276" s="15" t="n">
        <v>1</v>
      </c>
      <c r="H276" s="10"/>
      <c r="I276" s="23"/>
      <c r="M276" s="10"/>
      <c r="N276" s="10"/>
      <c r="P276" s="10"/>
      <c r="Q276" s="22"/>
    </row>
    <row r="277" customFormat="false" ht="15.75" hidden="false" customHeight="false" outlineLevel="0" collapsed="false">
      <c r="A277" s="20" t="n">
        <v>46078</v>
      </c>
      <c r="B277" s="15" t="s">
        <v>524</v>
      </c>
      <c r="C277" s="15" t="s">
        <v>547</v>
      </c>
      <c r="D277" s="15" t="s">
        <v>548</v>
      </c>
      <c r="E277" s="15" t="n">
        <v>1</v>
      </c>
      <c r="H277" s="10"/>
      <c r="I277" s="23"/>
      <c r="M277" s="10"/>
      <c r="N277" s="10"/>
      <c r="P277" s="10"/>
      <c r="Q277" s="22"/>
    </row>
    <row r="278" customFormat="false" ht="15.75" hidden="false" customHeight="false" outlineLevel="0" collapsed="false">
      <c r="A278" s="20" t="n">
        <v>46079</v>
      </c>
      <c r="B278" s="15" t="s">
        <v>452</v>
      </c>
      <c r="C278" s="15" t="s">
        <v>81</v>
      </c>
      <c r="D278" s="15" t="s">
        <v>534</v>
      </c>
      <c r="E278" s="15" t="n">
        <v>11</v>
      </c>
      <c r="H278" s="10"/>
      <c r="I278" s="23"/>
      <c r="M278" s="10"/>
      <c r="N278" s="10"/>
      <c r="P278" s="10"/>
      <c r="Q278" s="22"/>
    </row>
    <row r="279" customFormat="false" ht="15.75" hidden="false" customHeight="false" outlineLevel="0" collapsed="false">
      <c r="A279" s="20" t="n">
        <v>46079</v>
      </c>
      <c r="B279" s="15" t="s">
        <v>452</v>
      </c>
      <c r="C279" s="15" t="s">
        <v>555</v>
      </c>
      <c r="D279" s="15" t="s">
        <v>556</v>
      </c>
      <c r="E279" s="15" t="n">
        <v>2</v>
      </c>
      <c r="H279" s="10"/>
      <c r="I279" s="21"/>
      <c r="M279" s="10"/>
      <c r="N279" s="10"/>
      <c r="P279" s="10"/>
      <c r="Q279" s="22"/>
    </row>
    <row r="280" customFormat="false" ht="15.75" hidden="false" customHeight="false" outlineLevel="0" collapsed="false">
      <c r="A280" s="20" t="n">
        <v>46079</v>
      </c>
      <c r="B280" s="15" t="s">
        <v>452</v>
      </c>
      <c r="C280" s="15" t="s">
        <v>545</v>
      </c>
      <c r="D280" s="15" t="s">
        <v>546</v>
      </c>
      <c r="E280" s="15" t="n">
        <v>1</v>
      </c>
      <c r="H280" s="10"/>
      <c r="I280" s="21"/>
      <c r="M280" s="10"/>
      <c r="N280" s="10"/>
      <c r="P280" s="10"/>
      <c r="Q280" s="22"/>
    </row>
    <row r="281" customFormat="false" ht="15.75" hidden="false" customHeight="false" outlineLevel="0" collapsed="false">
      <c r="A281" s="20" t="n">
        <v>46079</v>
      </c>
      <c r="B281" s="15" t="s">
        <v>452</v>
      </c>
      <c r="C281" s="15" t="s">
        <v>543</v>
      </c>
      <c r="D281" s="15" t="s">
        <v>544</v>
      </c>
      <c r="E281" s="15" t="n">
        <v>1</v>
      </c>
      <c r="H281" s="10"/>
      <c r="I281" s="21"/>
      <c r="M281" s="10"/>
      <c r="N281" s="10"/>
      <c r="P281" s="10"/>
      <c r="Q281" s="22"/>
    </row>
    <row r="282" customFormat="false" ht="15.75" hidden="false" customHeight="false" outlineLevel="0" collapsed="false">
      <c r="A282" s="20" t="n">
        <v>46079</v>
      </c>
      <c r="B282" s="15" t="s">
        <v>452</v>
      </c>
      <c r="C282" s="15" t="s">
        <v>69</v>
      </c>
      <c r="D282" s="15" t="s">
        <v>535</v>
      </c>
      <c r="E282" s="15" t="n">
        <v>4</v>
      </c>
      <c r="H282" s="10"/>
      <c r="I282" s="21"/>
      <c r="M282" s="10"/>
      <c r="N282" s="10"/>
      <c r="P282" s="10"/>
      <c r="Q282" s="22"/>
    </row>
    <row r="283" customFormat="false" ht="15.75" hidden="false" customHeight="false" outlineLevel="0" collapsed="false">
      <c r="A283" s="20" t="n">
        <v>46079</v>
      </c>
      <c r="B283" s="15" t="s">
        <v>452</v>
      </c>
      <c r="C283" s="15" t="s">
        <v>33</v>
      </c>
      <c r="D283" s="15" t="s">
        <v>536</v>
      </c>
      <c r="E283" s="15" t="n">
        <v>4</v>
      </c>
      <c r="H283" s="10"/>
      <c r="I283" s="21"/>
      <c r="M283" s="10"/>
      <c r="N283" s="10"/>
      <c r="P283" s="10"/>
      <c r="Q283" s="22"/>
    </row>
    <row r="284" customFormat="false" ht="15.75" hidden="false" customHeight="false" outlineLevel="0" collapsed="false">
      <c r="A284" s="20" t="n">
        <v>46079</v>
      </c>
      <c r="B284" s="15" t="s">
        <v>452</v>
      </c>
      <c r="C284" s="15" t="s">
        <v>79</v>
      </c>
      <c r="D284" s="15" t="s">
        <v>564</v>
      </c>
      <c r="E284" s="15" t="n">
        <v>1</v>
      </c>
      <c r="H284" s="10"/>
      <c r="I284" s="21"/>
      <c r="M284" s="10"/>
      <c r="N284" s="10"/>
      <c r="P284" s="10"/>
      <c r="Q284" s="22"/>
    </row>
    <row r="285" customFormat="false" ht="15.75" hidden="false" customHeight="false" outlineLevel="0" collapsed="false">
      <c r="A285" s="20" t="n">
        <v>46079</v>
      </c>
      <c r="B285" s="15" t="s">
        <v>452</v>
      </c>
      <c r="C285" s="15" t="s">
        <v>77</v>
      </c>
      <c r="D285" s="15" t="s">
        <v>78</v>
      </c>
      <c r="E285" s="15" t="n">
        <v>2</v>
      </c>
      <c r="H285" s="10"/>
      <c r="I285" s="21"/>
      <c r="M285" s="10"/>
      <c r="N285" s="10"/>
      <c r="P285" s="10"/>
      <c r="Q285" s="22"/>
    </row>
    <row r="286" customFormat="false" ht="15.75" hidden="false" customHeight="false" outlineLevel="0" collapsed="false">
      <c r="A286" s="20" t="n">
        <v>46079</v>
      </c>
      <c r="B286" s="15" t="s">
        <v>452</v>
      </c>
      <c r="C286" s="15" t="s">
        <v>49</v>
      </c>
      <c r="D286" s="15" t="s">
        <v>537</v>
      </c>
      <c r="E286" s="15" t="n">
        <v>5</v>
      </c>
      <c r="H286" s="10"/>
      <c r="I286" s="21"/>
      <c r="M286" s="10"/>
      <c r="N286" s="10"/>
      <c r="P286" s="10"/>
      <c r="Q286" s="22"/>
    </row>
    <row r="287" customFormat="false" ht="15.75" hidden="false" customHeight="false" outlineLevel="0" collapsed="false">
      <c r="A287" s="20" t="n">
        <v>46079</v>
      </c>
      <c r="B287" s="15" t="s">
        <v>452</v>
      </c>
      <c r="C287" s="15" t="s">
        <v>61</v>
      </c>
      <c r="D287" s="15" t="s">
        <v>576</v>
      </c>
      <c r="E287" s="15" t="n">
        <v>1</v>
      </c>
      <c r="H287" s="10"/>
      <c r="I287" s="21"/>
      <c r="M287" s="10"/>
      <c r="N287" s="10"/>
      <c r="P287" s="10"/>
      <c r="Q287" s="22"/>
    </row>
    <row r="288" customFormat="false" ht="15.75" hidden="false" customHeight="false" outlineLevel="0" collapsed="false">
      <c r="A288" s="20" t="n">
        <v>46079</v>
      </c>
      <c r="B288" s="15" t="s">
        <v>453</v>
      </c>
      <c r="C288" s="15" t="s">
        <v>47</v>
      </c>
      <c r="D288" s="15" t="s">
        <v>549</v>
      </c>
      <c r="E288" s="15" t="n">
        <v>2</v>
      </c>
      <c r="H288" s="10"/>
      <c r="I288" s="21"/>
      <c r="M288" s="10"/>
      <c r="N288" s="10"/>
      <c r="P288" s="10"/>
      <c r="Q288" s="22"/>
    </row>
    <row r="289" customFormat="false" ht="15.75" hidden="false" customHeight="false" outlineLevel="0" collapsed="false">
      <c r="A289" s="20" t="n">
        <v>46079</v>
      </c>
      <c r="B289" s="15" t="s">
        <v>453</v>
      </c>
      <c r="C289" s="15" t="s">
        <v>55</v>
      </c>
      <c r="D289" s="15" t="s">
        <v>539</v>
      </c>
      <c r="E289" s="15" t="n">
        <v>4</v>
      </c>
      <c r="H289" s="10"/>
      <c r="I289" s="21"/>
      <c r="M289" s="10"/>
      <c r="N289" s="10"/>
      <c r="P289" s="10"/>
      <c r="Q289" s="22"/>
    </row>
    <row r="290" customFormat="false" ht="15.75" hidden="false" customHeight="false" outlineLevel="0" collapsed="false">
      <c r="A290" s="20" t="n">
        <v>46079</v>
      </c>
      <c r="B290" s="15" t="s">
        <v>453</v>
      </c>
      <c r="C290" s="15" t="s">
        <v>81</v>
      </c>
      <c r="D290" s="15" t="s">
        <v>534</v>
      </c>
      <c r="E290" s="15" t="n">
        <v>8</v>
      </c>
      <c r="H290" s="10"/>
      <c r="I290" s="21"/>
      <c r="M290" s="10"/>
      <c r="N290" s="10"/>
      <c r="P290" s="10"/>
      <c r="Q290" s="22"/>
    </row>
    <row r="291" customFormat="false" ht="15.75" hidden="false" customHeight="false" outlineLevel="0" collapsed="false">
      <c r="A291" s="20" t="n">
        <v>46079</v>
      </c>
      <c r="B291" s="15" t="s">
        <v>453</v>
      </c>
      <c r="C291" s="15" t="s">
        <v>39</v>
      </c>
      <c r="D291" s="15" t="s">
        <v>550</v>
      </c>
      <c r="E291" s="15" t="n">
        <v>2</v>
      </c>
      <c r="H291" s="10"/>
      <c r="I291" s="21"/>
      <c r="M291" s="10"/>
      <c r="N291" s="10"/>
      <c r="P291" s="10"/>
      <c r="Q291" s="22"/>
    </row>
    <row r="292" customFormat="false" ht="15.75" hidden="false" customHeight="false" outlineLevel="0" collapsed="false">
      <c r="A292" s="20" t="n">
        <v>46079</v>
      </c>
      <c r="B292" s="15" t="s">
        <v>453</v>
      </c>
      <c r="C292" s="15" t="s">
        <v>63</v>
      </c>
      <c r="D292" s="15" t="s">
        <v>551</v>
      </c>
      <c r="E292" s="15" t="n">
        <v>1</v>
      </c>
      <c r="H292" s="10"/>
      <c r="I292" s="21"/>
      <c r="M292" s="10"/>
      <c r="N292" s="10"/>
      <c r="P292" s="10"/>
      <c r="Q292" s="22"/>
    </row>
    <row r="293" customFormat="false" ht="15.75" hidden="false" customHeight="false" outlineLevel="0" collapsed="false">
      <c r="A293" s="20" t="n">
        <v>46079</v>
      </c>
      <c r="B293" s="15" t="s">
        <v>453</v>
      </c>
      <c r="C293" s="15" t="s">
        <v>35</v>
      </c>
      <c r="D293" s="15" t="s">
        <v>552</v>
      </c>
      <c r="E293" s="15" t="n">
        <v>2</v>
      </c>
      <c r="H293" s="10"/>
      <c r="I293" s="21"/>
      <c r="M293" s="10"/>
      <c r="N293" s="10"/>
      <c r="P293" s="10"/>
      <c r="Q293" s="22"/>
    </row>
    <row r="294" customFormat="false" ht="15.75" hidden="false" customHeight="false" outlineLevel="0" collapsed="false">
      <c r="A294" s="20" t="n">
        <v>46079</v>
      </c>
      <c r="B294" s="15" t="s">
        <v>455</v>
      </c>
      <c r="C294" s="15" t="s">
        <v>81</v>
      </c>
      <c r="D294" s="15" t="s">
        <v>534</v>
      </c>
      <c r="E294" s="15" t="n">
        <v>8</v>
      </c>
      <c r="H294" s="10"/>
      <c r="I294" s="21"/>
      <c r="M294" s="10"/>
      <c r="N294" s="10"/>
      <c r="P294" s="10"/>
      <c r="Q294" s="22"/>
    </row>
    <row r="295" customFormat="false" ht="15.75" hidden="false" customHeight="false" outlineLevel="0" collapsed="false">
      <c r="A295" s="20" t="n">
        <v>46079</v>
      </c>
      <c r="B295" s="15" t="s">
        <v>455</v>
      </c>
      <c r="C295" s="15" t="s">
        <v>55</v>
      </c>
      <c r="D295" s="15" t="s">
        <v>539</v>
      </c>
      <c r="E295" s="15" t="n">
        <v>3</v>
      </c>
      <c r="H295" s="10"/>
      <c r="I295" s="21"/>
      <c r="M295" s="10"/>
      <c r="N295" s="10"/>
      <c r="P295" s="10"/>
      <c r="Q295" s="22"/>
    </row>
    <row r="296" customFormat="false" ht="15.75" hidden="false" customHeight="false" outlineLevel="0" collapsed="false">
      <c r="A296" s="20" t="n">
        <v>46079</v>
      </c>
      <c r="B296" s="15" t="s">
        <v>455</v>
      </c>
      <c r="C296" s="15" t="s">
        <v>47</v>
      </c>
      <c r="D296" s="15" t="s">
        <v>549</v>
      </c>
      <c r="E296" s="15" t="n">
        <v>3</v>
      </c>
      <c r="H296" s="10"/>
      <c r="I296" s="21"/>
      <c r="M296" s="10"/>
      <c r="N296" s="10"/>
      <c r="P296" s="10"/>
      <c r="Q296" s="22"/>
    </row>
    <row r="297" customFormat="false" ht="15.75" hidden="false" customHeight="false" outlineLevel="0" collapsed="false">
      <c r="A297" s="20" t="n">
        <v>46079</v>
      </c>
      <c r="B297" s="15" t="s">
        <v>455</v>
      </c>
      <c r="C297" s="15" t="s">
        <v>63</v>
      </c>
      <c r="D297" s="15" t="s">
        <v>551</v>
      </c>
      <c r="E297" s="15" t="n">
        <v>1</v>
      </c>
      <c r="H297" s="10"/>
      <c r="I297" s="21"/>
      <c r="M297" s="10"/>
      <c r="N297" s="10"/>
      <c r="P297" s="10"/>
      <c r="Q297" s="22"/>
    </row>
    <row r="298" customFormat="false" ht="15.75" hidden="false" customHeight="false" outlineLevel="0" collapsed="false">
      <c r="A298" s="20" t="n">
        <v>46079</v>
      </c>
      <c r="B298" s="15" t="s">
        <v>455</v>
      </c>
      <c r="C298" s="15" t="s">
        <v>49</v>
      </c>
      <c r="D298" s="15" t="s">
        <v>537</v>
      </c>
      <c r="E298" s="15" t="n">
        <v>2</v>
      </c>
      <c r="H298" s="10"/>
      <c r="I298" s="21"/>
      <c r="M298" s="10"/>
      <c r="N298" s="10"/>
      <c r="P298" s="10"/>
      <c r="Q298" s="22"/>
    </row>
    <row r="299" customFormat="false" ht="15.75" hidden="false" customHeight="false" outlineLevel="0" collapsed="false">
      <c r="A299" s="20" t="n">
        <v>46079</v>
      </c>
      <c r="B299" s="15" t="s">
        <v>455</v>
      </c>
      <c r="C299" s="15" t="s">
        <v>57</v>
      </c>
      <c r="D299" s="15" t="s">
        <v>553</v>
      </c>
      <c r="E299" s="15" t="n">
        <v>2</v>
      </c>
      <c r="H299" s="10"/>
      <c r="I299" s="21"/>
      <c r="M299" s="10"/>
      <c r="N299" s="10"/>
      <c r="P299" s="10"/>
      <c r="Q299" s="22"/>
    </row>
    <row r="300" customFormat="false" ht="15.75" hidden="false" customHeight="false" outlineLevel="0" collapsed="false">
      <c r="A300" s="20" t="n">
        <v>46079</v>
      </c>
      <c r="B300" s="15" t="s">
        <v>455</v>
      </c>
      <c r="C300" s="15" t="s">
        <v>17</v>
      </c>
      <c r="D300" s="15" t="s">
        <v>554</v>
      </c>
      <c r="E300" s="15" t="n">
        <v>1</v>
      </c>
      <c r="H300" s="10"/>
      <c r="I300" s="21"/>
      <c r="M300" s="10"/>
      <c r="N300" s="10"/>
      <c r="P300" s="10"/>
      <c r="Q300" s="22"/>
    </row>
    <row r="301" customFormat="false" ht="15.75" hidden="false" customHeight="false" outlineLevel="0" collapsed="false">
      <c r="A301" s="20" t="n">
        <v>46079</v>
      </c>
      <c r="B301" s="15" t="s">
        <v>455</v>
      </c>
      <c r="C301" s="15" t="s">
        <v>39</v>
      </c>
      <c r="D301" s="15" t="s">
        <v>550</v>
      </c>
      <c r="E301" s="15" t="n">
        <v>1</v>
      </c>
      <c r="H301" s="10"/>
      <c r="I301" s="21"/>
      <c r="M301" s="10"/>
      <c r="N301" s="10"/>
      <c r="P301" s="10"/>
      <c r="Q301" s="22"/>
    </row>
    <row r="302" customFormat="false" ht="15.75" hidden="false" customHeight="false" outlineLevel="0" collapsed="false">
      <c r="A302" s="20" t="n">
        <v>46079</v>
      </c>
      <c r="B302" s="15" t="s">
        <v>467</v>
      </c>
      <c r="C302" s="15" t="s">
        <v>55</v>
      </c>
      <c r="D302" s="15" t="s">
        <v>539</v>
      </c>
      <c r="E302" s="15" t="n">
        <v>6</v>
      </c>
      <c r="H302" s="10"/>
      <c r="I302" s="21"/>
      <c r="M302" s="10"/>
      <c r="N302" s="10"/>
      <c r="P302" s="10"/>
      <c r="Q302" s="22"/>
    </row>
    <row r="303" customFormat="false" ht="15.75" hidden="false" customHeight="false" outlineLevel="0" collapsed="false">
      <c r="A303" s="20" t="n">
        <v>46079</v>
      </c>
      <c r="B303" s="15" t="s">
        <v>467</v>
      </c>
      <c r="C303" s="15" t="s">
        <v>57</v>
      </c>
      <c r="D303" s="15" t="s">
        <v>553</v>
      </c>
      <c r="E303" s="15" t="n">
        <v>2</v>
      </c>
      <c r="H303" s="10"/>
      <c r="I303" s="21"/>
      <c r="M303" s="10"/>
      <c r="N303" s="10"/>
      <c r="P303" s="10"/>
      <c r="Q303" s="22"/>
    </row>
    <row r="304" customFormat="false" ht="15.75" hidden="false" customHeight="false" outlineLevel="0" collapsed="false">
      <c r="A304" s="20" t="n">
        <v>46079</v>
      </c>
      <c r="B304" s="15" t="s">
        <v>467</v>
      </c>
      <c r="C304" s="15" t="s">
        <v>47</v>
      </c>
      <c r="D304" s="15" t="s">
        <v>549</v>
      </c>
      <c r="E304" s="15" t="n">
        <v>2</v>
      </c>
      <c r="H304" s="10"/>
      <c r="I304" s="21"/>
      <c r="M304" s="10"/>
      <c r="N304" s="10"/>
      <c r="P304" s="10"/>
      <c r="Q304" s="22"/>
    </row>
    <row r="305" customFormat="false" ht="15.75" hidden="false" customHeight="false" outlineLevel="0" collapsed="false">
      <c r="A305" s="20" t="n">
        <v>46079</v>
      </c>
      <c r="B305" s="15" t="s">
        <v>467</v>
      </c>
      <c r="C305" s="15" t="s">
        <v>81</v>
      </c>
      <c r="D305" s="15" t="s">
        <v>534</v>
      </c>
      <c r="E305" s="15" t="n">
        <v>7</v>
      </c>
      <c r="H305" s="10"/>
      <c r="I305" s="21"/>
      <c r="M305" s="10"/>
      <c r="N305" s="10"/>
      <c r="P305" s="10"/>
      <c r="Q305" s="22"/>
    </row>
    <row r="306" customFormat="false" ht="15.75" hidden="false" customHeight="false" outlineLevel="0" collapsed="false">
      <c r="A306" s="20" t="n">
        <v>46079</v>
      </c>
      <c r="B306" s="15" t="s">
        <v>467</v>
      </c>
      <c r="C306" s="15" t="s">
        <v>49</v>
      </c>
      <c r="D306" s="15" t="s">
        <v>537</v>
      </c>
      <c r="E306" s="15" t="n">
        <v>2</v>
      </c>
      <c r="H306" s="10"/>
      <c r="I306" s="21"/>
      <c r="M306" s="10"/>
      <c r="N306" s="10"/>
      <c r="P306" s="10"/>
      <c r="Q306" s="22"/>
    </row>
    <row r="307" customFormat="false" ht="15.75" hidden="false" customHeight="false" outlineLevel="0" collapsed="false">
      <c r="A307" s="20" t="n">
        <v>46079</v>
      </c>
      <c r="B307" s="15" t="s">
        <v>467</v>
      </c>
      <c r="C307" s="15" t="s">
        <v>63</v>
      </c>
      <c r="D307" s="15" t="s">
        <v>551</v>
      </c>
      <c r="E307" s="15" t="n">
        <v>1</v>
      </c>
      <c r="H307" s="10"/>
      <c r="I307" s="21"/>
      <c r="M307" s="10"/>
      <c r="N307" s="10"/>
      <c r="P307" s="10"/>
      <c r="Q307" s="22"/>
    </row>
    <row r="308" customFormat="false" ht="15.75" hidden="false" customHeight="false" outlineLevel="0" collapsed="false">
      <c r="A308" s="20" t="n">
        <v>46079</v>
      </c>
      <c r="B308" s="15" t="s">
        <v>471</v>
      </c>
      <c r="C308" s="15" t="s">
        <v>25</v>
      </c>
      <c r="D308" s="15" t="s">
        <v>26</v>
      </c>
      <c r="E308" s="15" t="n">
        <v>2</v>
      </c>
      <c r="H308" s="10"/>
      <c r="I308" s="21"/>
      <c r="M308" s="10"/>
      <c r="N308" s="10"/>
      <c r="P308" s="10"/>
      <c r="Q308" s="22"/>
    </row>
    <row r="309" customFormat="false" ht="15.75" hidden="false" customHeight="false" outlineLevel="0" collapsed="false">
      <c r="A309" s="20" t="n">
        <v>46079</v>
      </c>
      <c r="B309" s="15" t="s">
        <v>471</v>
      </c>
      <c r="C309" s="15" t="s">
        <v>69</v>
      </c>
      <c r="D309" s="15" t="s">
        <v>535</v>
      </c>
      <c r="E309" s="15" t="n">
        <v>2</v>
      </c>
      <c r="H309" s="10"/>
      <c r="I309" s="21"/>
      <c r="M309" s="10"/>
      <c r="N309" s="10"/>
      <c r="P309" s="10"/>
      <c r="Q309" s="22"/>
    </row>
    <row r="310" customFormat="false" ht="15.75" hidden="false" customHeight="false" outlineLevel="0" collapsed="false">
      <c r="A310" s="20" t="n">
        <v>46079</v>
      </c>
      <c r="B310" s="15" t="s">
        <v>471</v>
      </c>
      <c r="C310" s="15" t="s">
        <v>555</v>
      </c>
      <c r="D310" s="15" t="s">
        <v>556</v>
      </c>
      <c r="E310" s="15" t="n">
        <v>2</v>
      </c>
      <c r="H310" s="10"/>
      <c r="I310" s="23"/>
      <c r="M310" s="10"/>
      <c r="N310" s="10"/>
      <c r="P310" s="10"/>
      <c r="Q310" s="22"/>
    </row>
    <row r="311" customFormat="false" ht="15.75" hidden="false" customHeight="false" outlineLevel="0" collapsed="false">
      <c r="A311" s="20" t="n">
        <v>46079</v>
      </c>
      <c r="B311" s="15" t="s">
        <v>477</v>
      </c>
      <c r="C311" s="15" t="s">
        <v>69</v>
      </c>
      <c r="D311" s="15" t="s">
        <v>535</v>
      </c>
      <c r="E311" s="15" t="n">
        <v>3</v>
      </c>
      <c r="H311" s="10"/>
      <c r="I311" s="21"/>
      <c r="M311" s="10"/>
      <c r="N311" s="10"/>
      <c r="P311" s="10"/>
      <c r="Q311" s="22"/>
    </row>
    <row r="312" customFormat="false" ht="15.75" hidden="false" customHeight="false" outlineLevel="0" collapsed="false">
      <c r="A312" s="20" t="n">
        <v>46079</v>
      </c>
      <c r="B312" s="15" t="s">
        <v>477</v>
      </c>
      <c r="C312" s="15" t="s">
        <v>547</v>
      </c>
      <c r="D312" s="15" t="s">
        <v>548</v>
      </c>
      <c r="E312" s="15" t="n">
        <v>3</v>
      </c>
      <c r="H312" s="10"/>
      <c r="I312" s="23"/>
      <c r="M312" s="10"/>
      <c r="N312" s="10"/>
      <c r="P312" s="10"/>
      <c r="Q312" s="22"/>
    </row>
    <row r="313" customFormat="false" ht="15.75" hidden="false" customHeight="false" outlineLevel="0" collapsed="false">
      <c r="A313" s="20" t="n">
        <v>46079</v>
      </c>
      <c r="B313" s="15" t="s">
        <v>477</v>
      </c>
      <c r="C313" s="15" t="s">
        <v>25</v>
      </c>
      <c r="D313" s="15" t="s">
        <v>26</v>
      </c>
      <c r="E313" s="15" t="n">
        <v>3</v>
      </c>
      <c r="H313" s="10"/>
      <c r="I313" s="21"/>
      <c r="M313" s="10"/>
      <c r="N313" s="10"/>
      <c r="P313" s="10"/>
      <c r="Q313" s="22"/>
    </row>
    <row r="314" customFormat="false" ht="15.75" hidden="false" customHeight="false" outlineLevel="0" collapsed="false">
      <c r="A314" s="20" t="n">
        <v>46079</v>
      </c>
      <c r="B314" s="15" t="s">
        <v>485</v>
      </c>
      <c r="C314" s="15" t="s">
        <v>69</v>
      </c>
      <c r="D314" s="15" t="s">
        <v>535</v>
      </c>
      <c r="E314" s="15" t="n">
        <v>2</v>
      </c>
      <c r="H314" s="10"/>
      <c r="I314" s="23"/>
      <c r="M314" s="10"/>
      <c r="N314" s="10"/>
      <c r="P314" s="10"/>
      <c r="Q314" s="22"/>
    </row>
    <row r="315" customFormat="false" ht="15.75" hidden="false" customHeight="false" outlineLevel="0" collapsed="false">
      <c r="A315" s="20" t="n">
        <v>46079</v>
      </c>
      <c r="B315" s="15" t="s">
        <v>485</v>
      </c>
      <c r="C315" s="15" t="s">
        <v>578</v>
      </c>
      <c r="D315" s="15" t="s">
        <v>579</v>
      </c>
      <c r="E315" s="15" t="n">
        <v>1</v>
      </c>
      <c r="H315" s="10"/>
      <c r="I315" s="23"/>
      <c r="M315" s="10"/>
      <c r="N315" s="10"/>
      <c r="P315" s="10"/>
      <c r="Q315" s="22"/>
    </row>
    <row r="316" customFormat="false" ht="15.75" hidden="false" customHeight="false" outlineLevel="0" collapsed="false">
      <c r="A316" s="20" t="n">
        <v>46079</v>
      </c>
      <c r="B316" s="15" t="s">
        <v>485</v>
      </c>
      <c r="C316" s="15" t="s">
        <v>11</v>
      </c>
      <c r="D316" s="15" t="s">
        <v>572</v>
      </c>
      <c r="E316" s="15" t="n">
        <v>1</v>
      </c>
      <c r="H316" s="10"/>
      <c r="I316" s="23"/>
      <c r="M316" s="10"/>
      <c r="N316" s="10"/>
      <c r="P316" s="10"/>
      <c r="Q316" s="22"/>
    </row>
    <row r="317" customFormat="false" ht="15.75" hidden="false" customHeight="false" outlineLevel="0" collapsed="false">
      <c r="A317" s="20" t="n">
        <v>46079</v>
      </c>
      <c r="B317" s="15" t="s">
        <v>485</v>
      </c>
      <c r="C317" s="15" t="s">
        <v>33</v>
      </c>
      <c r="D317" s="15" t="s">
        <v>536</v>
      </c>
      <c r="E317" s="15" t="n">
        <v>2</v>
      </c>
      <c r="H317" s="10"/>
      <c r="I317" s="23"/>
      <c r="M317" s="10"/>
      <c r="N317" s="10"/>
      <c r="P317" s="10"/>
      <c r="Q317" s="22"/>
    </row>
    <row r="318" customFormat="false" ht="15.75" hidden="false" customHeight="false" outlineLevel="0" collapsed="false">
      <c r="A318" s="20" t="n">
        <v>46079</v>
      </c>
      <c r="B318" s="15" t="s">
        <v>485</v>
      </c>
      <c r="C318" s="15" t="s">
        <v>81</v>
      </c>
      <c r="D318" s="15" t="s">
        <v>534</v>
      </c>
      <c r="E318" s="15" t="n">
        <v>5</v>
      </c>
      <c r="H318" s="10"/>
      <c r="I318" s="21"/>
      <c r="M318" s="10"/>
      <c r="N318" s="10"/>
      <c r="P318" s="10"/>
      <c r="Q318" s="22"/>
    </row>
    <row r="319" customFormat="false" ht="15.75" hidden="false" customHeight="false" outlineLevel="0" collapsed="false">
      <c r="A319" s="20" t="n">
        <v>46079</v>
      </c>
      <c r="B319" s="15" t="s">
        <v>485</v>
      </c>
      <c r="C319" s="15" t="s">
        <v>37</v>
      </c>
      <c r="D319" s="15" t="s">
        <v>561</v>
      </c>
      <c r="E319" s="15" t="n">
        <v>1</v>
      </c>
      <c r="H319" s="10"/>
      <c r="I319" s="23"/>
      <c r="M319" s="10"/>
      <c r="N319" s="10"/>
      <c r="P319" s="10"/>
      <c r="Q319" s="22"/>
    </row>
    <row r="320" customFormat="false" ht="15.75" hidden="false" customHeight="false" outlineLevel="0" collapsed="false">
      <c r="A320" s="20" t="n">
        <v>46079</v>
      </c>
      <c r="B320" s="15" t="s">
        <v>485</v>
      </c>
      <c r="C320" s="15" t="s">
        <v>77</v>
      </c>
      <c r="D320" s="15" t="s">
        <v>78</v>
      </c>
      <c r="E320" s="15" t="n">
        <v>2</v>
      </c>
      <c r="H320" s="10"/>
      <c r="I320" s="23"/>
      <c r="M320" s="10"/>
      <c r="N320" s="10"/>
      <c r="P320" s="10"/>
      <c r="Q320" s="22"/>
    </row>
    <row r="321" customFormat="false" ht="15.75" hidden="false" customHeight="false" outlineLevel="0" collapsed="false">
      <c r="A321" s="20" t="n">
        <v>46079</v>
      </c>
      <c r="B321" s="15" t="s">
        <v>491</v>
      </c>
      <c r="C321" s="15" t="s">
        <v>37</v>
      </c>
      <c r="D321" s="15" t="s">
        <v>561</v>
      </c>
      <c r="E321" s="15" t="n">
        <v>1</v>
      </c>
      <c r="H321" s="10"/>
      <c r="I321" s="23"/>
      <c r="M321" s="10"/>
      <c r="N321" s="10"/>
      <c r="P321" s="10"/>
      <c r="Q321" s="22"/>
    </row>
    <row r="322" customFormat="false" ht="15.75" hidden="false" customHeight="false" outlineLevel="0" collapsed="false">
      <c r="A322" s="20" t="n">
        <v>46079</v>
      </c>
      <c r="B322" s="15" t="s">
        <v>491</v>
      </c>
      <c r="C322" s="15" t="s">
        <v>81</v>
      </c>
      <c r="D322" s="15" t="s">
        <v>534</v>
      </c>
      <c r="E322" s="15" t="n">
        <v>8</v>
      </c>
      <c r="H322" s="10"/>
      <c r="I322" s="23"/>
      <c r="M322" s="10"/>
      <c r="N322" s="10"/>
      <c r="P322" s="10"/>
      <c r="Q322" s="22"/>
    </row>
    <row r="323" customFormat="false" ht="15.75" hidden="false" customHeight="false" outlineLevel="0" collapsed="false">
      <c r="A323" s="20" t="n">
        <v>46079</v>
      </c>
      <c r="B323" s="15" t="s">
        <v>491</v>
      </c>
      <c r="C323" s="15" t="s">
        <v>75</v>
      </c>
      <c r="D323" s="15" t="s">
        <v>560</v>
      </c>
      <c r="E323" s="15" t="n">
        <v>1</v>
      </c>
      <c r="H323" s="10"/>
      <c r="I323" s="23"/>
      <c r="M323" s="10"/>
      <c r="N323" s="10"/>
      <c r="P323" s="10"/>
      <c r="Q323" s="22"/>
    </row>
    <row r="324" customFormat="false" ht="15.75" hidden="false" customHeight="false" outlineLevel="0" collapsed="false">
      <c r="A324" s="20" t="n">
        <v>46079</v>
      </c>
      <c r="B324" s="15" t="s">
        <v>491</v>
      </c>
      <c r="C324" s="15" t="s">
        <v>69</v>
      </c>
      <c r="D324" s="15" t="s">
        <v>535</v>
      </c>
      <c r="E324" s="15" t="n">
        <v>6</v>
      </c>
      <c r="H324" s="10"/>
      <c r="I324" s="23"/>
      <c r="M324" s="10"/>
      <c r="N324" s="10"/>
      <c r="P324" s="10"/>
      <c r="Q324" s="22"/>
    </row>
    <row r="325" customFormat="false" ht="15.75" hidden="false" customHeight="false" outlineLevel="0" collapsed="false">
      <c r="A325" s="20" t="n">
        <v>46079</v>
      </c>
      <c r="B325" s="15" t="s">
        <v>491</v>
      </c>
      <c r="C325" s="15" t="s">
        <v>547</v>
      </c>
      <c r="D325" s="15" t="s">
        <v>548</v>
      </c>
      <c r="E325" s="15" t="n">
        <v>1</v>
      </c>
      <c r="H325" s="10"/>
      <c r="I325" s="23"/>
      <c r="M325" s="10"/>
      <c r="N325" s="10"/>
      <c r="P325" s="10"/>
      <c r="Q325" s="22"/>
    </row>
    <row r="326" customFormat="false" ht="15.75" hidden="false" customHeight="false" outlineLevel="0" collapsed="false">
      <c r="A326" s="20" t="n">
        <v>46079</v>
      </c>
      <c r="B326" s="15" t="s">
        <v>491</v>
      </c>
      <c r="C326" s="15" t="s">
        <v>31</v>
      </c>
      <c r="D326" s="15" t="s">
        <v>559</v>
      </c>
      <c r="E326" s="15" t="n">
        <v>2</v>
      </c>
      <c r="H326" s="10"/>
      <c r="I326" s="23"/>
      <c r="M326" s="10"/>
      <c r="N326" s="10"/>
      <c r="P326" s="10"/>
      <c r="Q326" s="22"/>
    </row>
    <row r="327" customFormat="false" ht="15.75" hidden="false" customHeight="false" outlineLevel="0" collapsed="false">
      <c r="A327" s="20" t="n">
        <v>46079</v>
      </c>
      <c r="B327" s="15" t="s">
        <v>491</v>
      </c>
      <c r="C327" s="15" t="s">
        <v>545</v>
      </c>
      <c r="D327" s="15" t="s">
        <v>546</v>
      </c>
      <c r="E327" s="15" t="n">
        <v>2</v>
      </c>
      <c r="H327" s="10"/>
      <c r="I327" s="21"/>
      <c r="M327" s="10"/>
      <c r="N327" s="10"/>
      <c r="P327" s="10"/>
      <c r="Q327" s="22"/>
    </row>
    <row r="328" customFormat="false" ht="15.75" hidden="false" customHeight="false" outlineLevel="0" collapsed="false">
      <c r="A328" s="20" t="n">
        <v>46079</v>
      </c>
      <c r="B328" s="15" t="s">
        <v>491</v>
      </c>
      <c r="C328" s="15" t="s">
        <v>543</v>
      </c>
      <c r="D328" s="15" t="s">
        <v>544</v>
      </c>
      <c r="E328" s="15" t="n">
        <v>4</v>
      </c>
      <c r="H328" s="10"/>
      <c r="I328" s="21"/>
      <c r="M328" s="10"/>
      <c r="N328" s="10"/>
      <c r="P328" s="10"/>
      <c r="Q328" s="22"/>
    </row>
    <row r="329" customFormat="false" ht="15.75" hidden="false" customHeight="false" outlineLevel="0" collapsed="false">
      <c r="A329" s="20" t="n">
        <v>46079</v>
      </c>
      <c r="B329" s="15" t="s">
        <v>491</v>
      </c>
      <c r="C329" s="15" t="s">
        <v>541</v>
      </c>
      <c r="D329" s="15" t="s">
        <v>542</v>
      </c>
      <c r="E329" s="15" t="n">
        <v>2</v>
      </c>
      <c r="H329" s="10"/>
      <c r="I329" s="23"/>
      <c r="M329" s="10"/>
      <c r="N329" s="10"/>
      <c r="P329" s="10"/>
      <c r="Q329" s="22"/>
    </row>
    <row r="330" customFormat="false" ht="15.75" hidden="false" customHeight="false" outlineLevel="0" collapsed="false">
      <c r="A330" s="20" t="n">
        <v>46079</v>
      </c>
      <c r="B330" s="15" t="s">
        <v>491</v>
      </c>
      <c r="C330" s="15" t="s">
        <v>49</v>
      </c>
      <c r="D330" s="15" t="s">
        <v>537</v>
      </c>
      <c r="E330" s="15" t="n">
        <v>1</v>
      </c>
      <c r="H330" s="10"/>
      <c r="I330" s="23"/>
      <c r="M330" s="10"/>
      <c r="N330" s="10"/>
      <c r="P330" s="10"/>
      <c r="Q330" s="22"/>
    </row>
    <row r="331" customFormat="false" ht="15.75" hidden="false" customHeight="false" outlineLevel="0" collapsed="false">
      <c r="A331" s="20" t="n">
        <v>46079</v>
      </c>
      <c r="B331" s="15" t="s">
        <v>491</v>
      </c>
      <c r="C331" s="15" t="s">
        <v>33</v>
      </c>
      <c r="D331" s="15" t="s">
        <v>536</v>
      </c>
      <c r="E331" s="15" t="n">
        <v>5</v>
      </c>
      <c r="H331" s="10"/>
      <c r="I331" s="23"/>
      <c r="M331" s="10"/>
      <c r="N331" s="10"/>
      <c r="P331" s="10"/>
      <c r="Q331" s="22"/>
    </row>
    <row r="332" customFormat="false" ht="15.75" hidden="false" customHeight="false" outlineLevel="0" collapsed="false">
      <c r="A332" s="20" t="n">
        <v>46079</v>
      </c>
      <c r="B332" s="15" t="s">
        <v>491</v>
      </c>
      <c r="C332" s="15" t="s">
        <v>77</v>
      </c>
      <c r="D332" s="15" t="s">
        <v>78</v>
      </c>
      <c r="E332" s="15" t="n">
        <v>3</v>
      </c>
      <c r="H332" s="10"/>
      <c r="I332" s="23"/>
      <c r="M332" s="10"/>
      <c r="N332" s="10"/>
      <c r="P332" s="10"/>
      <c r="Q332" s="22"/>
    </row>
    <row r="333" customFormat="false" ht="15.75" hidden="false" customHeight="false" outlineLevel="0" collapsed="false">
      <c r="A333" s="20" t="n">
        <v>46079</v>
      </c>
      <c r="B333" s="15" t="s">
        <v>491</v>
      </c>
      <c r="C333" s="15" t="s">
        <v>47</v>
      </c>
      <c r="D333" s="15" t="s">
        <v>549</v>
      </c>
      <c r="E333" s="15" t="n">
        <v>1</v>
      </c>
      <c r="H333" s="10"/>
      <c r="I333" s="23"/>
      <c r="M333" s="10"/>
      <c r="N333" s="10"/>
      <c r="P333" s="10"/>
      <c r="Q333" s="22"/>
    </row>
    <row r="334" customFormat="false" ht="15.75" hidden="false" customHeight="false" outlineLevel="0" collapsed="false">
      <c r="A334" s="20" t="n">
        <v>46079</v>
      </c>
      <c r="B334" s="15" t="s">
        <v>491</v>
      </c>
      <c r="C334" s="15" t="s">
        <v>55</v>
      </c>
      <c r="D334" s="15" t="s">
        <v>539</v>
      </c>
      <c r="E334" s="15" t="n">
        <v>1</v>
      </c>
      <c r="H334" s="10"/>
      <c r="I334" s="23"/>
      <c r="M334" s="10"/>
      <c r="N334" s="10"/>
      <c r="P334" s="10"/>
      <c r="Q334" s="22"/>
    </row>
    <row r="335" customFormat="false" ht="15.75" hidden="false" customHeight="false" outlineLevel="0" collapsed="false">
      <c r="A335" s="20" t="n">
        <v>46079</v>
      </c>
      <c r="B335" s="15" t="s">
        <v>491</v>
      </c>
      <c r="C335" s="15" t="s">
        <v>59</v>
      </c>
      <c r="D335" s="15" t="s">
        <v>562</v>
      </c>
      <c r="E335" s="15" t="n">
        <v>1</v>
      </c>
      <c r="H335" s="10"/>
      <c r="I335" s="21"/>
      <c r="M335" s="10"/>
      <c r="N335" s="10"/>
      <c r="P335" s="10"/>
      <c r="Q335" s="22"/>
    </row>
    <row r="336" customFormat="false" ht="15.75" hidden="false" customHeight="false" outlineLevel="0" collapsed="false">
      <c r="A336" s="20" t="n">
        <v>46079</v>
      </c>
      <c r="B336" s="15" t="s">
        <v>491</v>
      </c>
      <c r="C336" s="15" t="s">
        <v>43</v>
      </c>
      <c r="D336" s="15" t="s">
        <v>538</v>
      </c>
      <c r="E336" s="15" t="n">
        <v>1</v>
      </c>
      <c r="H336" s="10"/>
      <c r="I336" s="23"/>
      <c r="M336" s="10"/>
      <c r="N336" s="10"/>
      <c r="P336" s="10"/>
      <c r="Q336" s="22"/>
    </row>
    <row r="337" customFormat="false" ht="15.75" hidden="false" customHeight="false" outlineLevel="0" collapsed="false">
      <c r="A337" s="20" t="n">
        <v>46079</v>
      </c>
      <c r="B337" s="15" t="s">
        <v>491</v>
      </c>
      <c r="C337" s="15" t="s">
        <v>87</v>
      </c>
      <c r="D337" s="15" t="s">
        <v>563</v>
      </c>
      <c r="E337" s="15" t="n">
        <v>1</v>
      </c>
      <c r="H337" s="10"/>
      <c r="I337" s="23"/>
      <c r="M337" s="10"/>
      <c r="N337" s="10"/>
      <c r="P337" s="10"/>
      <c r="Q337" s="22"/>
    </row>
    <row r="338" customFormat="false" ht="15.75" hidden="false" customHeight="false" outlineLevel="0" collapsed="false">
      <c r="A338" s="20" t="n">
        <v>46079</v>
      </c>
      <c r="B338" s="15" t="s">
        <v>491</v>
      </c>
      <c r="C338" s="15" t="s">
        <v>79</v>
      </c>
      <c r="D338" s="15" t="s">
        <v>564</v>
      </c>
      <c r="E338" s="15" t="n">
        <v>1</v>
      </c>
      <c r="H338" s="10"/>
      <c r="I338" s="21"/>
      <c r="M338" s="10"/>
      <c r="N338" s="10"/>
      <c r="P338" s="10"/>
      <c r="Q338" s="22"/>
    </row>
    <row r="339" customFormat="false" ht="15.75" hidden="false" customHeight="false" outlineLevel="0" collapsed="false">
      <c r="A339" s="20" t="n">
        <v>46079</v>
      </c>
      <c r="B339" s="15" t="s">
        <v>500</v>
      </c>
      <c r="C339" s="15" t="s">
        <v>81</v>
      </c>
      <c r="D339" s="15" t="s">
        <v>534</v>
      </c>
      <c r="E339" s="15" t="n">
        <v>7</v>
      </c>
      <c r="H339" s="10"/>
      <c r="I339" s="21"/>
      <c r="M339" s="10"/>
      <c r="N339" s="10"/>
      <c r="P339" s="10"/>
      <c r="Q339" s="22"/>
    </row>
    <row r="340" customFormat="false" ht="15.75" hidden="false" customHeight="false" outlineLevel="0" collapsed="false">
      <c r="A340" s="20" t="n">
        <v>46079</v>
      </c>
      <c r="B340" s="15" t="s">
        <v>500</v>
      </c>
      <c r="C340" s="15" t="s">
        <v>543</v>
      </c>
      <c r="D340" s="15" t="s">
        <v>544</v>
      </c>
      <c r="E340" s="15" t="n">
        <v>1</v>
      </c>
      <c r="H340" s="10"/>
      <c r="I340" s="21"/>
      <c r="M340" s="10"/>
      <c r="N340" s="10"/>
      <c r="P340" s="10"/>
      <c r="Q340" s="22"/>
    </row>
    <row r="341" customFormat="false" ht="15.75" hidden="false" customHeight="false" outlineLevel="0" collapsed="false">
      <c r="A341" s="20" t="n">
        <v>46079</v>
      </c>
      <c r="B341" s="15" t="s">
        <v>500</v>
      </c>
      <c r="C341" s="15" t="s">
        <v>55</v>
      </c>
      <c r="D341" s="15" t="s">
        <v>539</v>
      </c>
      <c r="E341" s="15" t="n">
        <v>1</v>
      </c>
      <c r="H341" s="10"/>
      <c r="I341" s="21"/>
      <c r="M341" s="10"/>
      <c r="N341" s="10"/>
      <c r="P341" s="10"/>
      <c r="Q341" s="22"/>
    </row>
    <row r="342" customFormat="false" ht="15.75" hidden="false" customHeight="false" outlineLevel="0" collapsed="false">
      <c r="A342" s="20" t="n">
        <v>46079</v>
      </c>
      <c r="B342" s="15" t="s">
        <v>500</v>
      </c>
      <c r="C342" s="15" t="s">
        <v>59</v>
      </c>
      <c r="D342" s="15" t="s">
        <v>562</v>
      </c>
      <c r="E342" s="15" t="n">
        <v>1</v>
      </c>
      <c r="H342" s="10"/>
      <c r="I342" s="21"/>
      <c r="M342" s="10"/>
      <c r="N342" s="10"/>
      <c r="P342" s="10"/>
      <c r="Q342" s="22"/>
    </row>
    <row r="343" customFormat="false" ht="15.75" hidden="false" customHeight="false" outlineLevel="0" collapsed="false">
      <c r="A343" s="20" t="n">
        <v>46079</v>
      </c>
      <c r="B343" s="15" t="s">
        <v>500</v>
      </c>
      <c r="C343" s="15" t="s">
        <v>47</v>
      </c>
      <c r="D343" s="15" t="s">
        <v>549</v>
      </c>
      <c r="E343" s="15" t="n">
        <v>1</v>
      </c>
      <c r="H343" s="10"/>
      <c r="I343" s="21"/>
      <c r="M343" s="10"/>
      <c r="N343" s="10"/>
      <c r="P343" s="10"/>
      <c r="Q343" s="22"/>
    </row>
    <row r="344" customFormat="false" ht="15.75" hidden="false" customHeight="false" outlineLevel="0" collapsed="false">
      <c r="A344" s="20" t="n">
        <v>46079</v>
      </c>
      <c r="B344" s="15" t="s">
        <v>500</v>
      </c>
      <c r="C344" s="15" t="s">
        <v>69</v>
      </c>
      <c r="D344" s="15" t="s">
        <v>535</v>
      </c>
      <c r="E344" s="15" t="n">
        <v>1</v>
      </c>
      <c r="H344" s="10"/>
      <c r="I344" s="21"/>
      <c r="M344" s="10"/>
      <c r="N344" s="10"/>
      <c r="P344" s="10"/>
      <c r="Q344" s="22"/>
    </row>
    <row r="345" customFormat="false" ht="15.75" hidden="false" customHeight="false" outlineLevel="0" collapsed="false">
      <c r="A345" s="20" t="n">
        <v>46079</v>
      </c>
      <c r="B345" s="15" t="s">
        <v>500</v>
      </c>
      <c r="C345" s="15" t="s">
        <v>33</v>
      </c>
      <c r="D345" s="15" t="s">
        <v>536</v>
      </c>
      <c r="E345" s="15" t="n">
        <v>2</v>
      </c>
      <c r="H345" s="10"/>
      <c r="I345" s="21"/>
      <c r="M345" s="10"/>
      <c r="N345" s="10"/>
      <c r="P345" s="10"/>
      <c r="Q345" s="22"/>
    </row>
    <row r="346" customFormat="false" ht="15.75" hidden="false" customHeight="false" outlineLevel="0" collapsed="false">
      <c r="A346" s="20" t="n">
        <v>46079</v>
      </c>
      <c r="B346" s="15" t="s">
        <v>500</v>
      </c>
      <c r="C346" s="15" t="s">
        <v>77</v>
      </c>
      <c r="D346" s="15" t="s">
        <v>78</v>
      </c>
      <c r="E346" s="15" t="n">
        <v>2</v>
      </c>
      <c r="H346" s="10"/>
      <c r="I346" s="21"/>
      <c r="M346" s="10"/>
      <c r="N346" s="10"/>
      <c r="P346" s="10"/>
      <c r="Q346" s="22"/>
    </row>
    <row r="347" customFormat="false" ht="15.75" hidden="false" customHeight="false" outlineLevel="0" collapsed="false">
      <c r="A347" s="20" t="n">
        <v>46079</v>
      </c>
      <c r="B347" s="15" t="s">
        <v>500</v>
      </c>
      <c r="C347" s="15" t="s">
        <v>75</v>
      </c>
      <c r="D347" s="15" t="s">
        <v>560</v>
      </c>
      <c r="E347" s="15" t="n">
        <v>1</v>
      </c>
      <c r="H347" s="10"/>
      <c r="I347" s="21"/>
      <c r="M347" s="10"/>
      <c r="N347" s="10"/>
      <c r="P347" s="10"/>
      <c r="Q347" s="22"/>
    </row>
    <row r="348" customFormat="false" ht="15.75" hidden="false" customHeight="false" outlineLevel="0" collapsed="false">
      <c r="A348" s="20" t="n">
        <v>46079</v>
      </c>
      <c r="B348" s="15" t="s">
        <v>504</v>
      </c>
      <c r="C348" s="15" t="s">
        <v>47</v>
      </c>
      <c r="D348" s="15" t="s">
        <v>549</v>
      </c>
      <c r="E348" s="15" t="n">
        <v>3</v>
      </c>
      <c r="H348" s="10"/>
      <c r="I348" s="21"/>
      <c r="M348" s="10"/>
      <c r="N348" s="10"/>
      <c r="P348" s="10"/>
      <c r="Q348" s="22"/>
    </row>
    <row r="349" customFormat="false" ht="15.75" hidden="false" customHeight="false" outlineLevel="0" collapsed="false">
      <c r="A349" s="20" t="n">
        <v>46079</v>
      </c>
      <c r="B349" s="15" t="s">
        <v>504</v>
      </c>
      <c r="C349" s="15" t="s">
        <v>55</v>
      </c>
      <c r="D349" s="15" t="s">
        <v>539</v>
      </c>
      <c r="E349" s="15" t="n">
        <v>6</v>
      </c>
      <c r="H349" s="10"/>
      <c r="I349" s="21"/>
      <c r="M349" s="10"/>
      <c r="N349" s="10"/>
      <c r="P349" s="10"/>
      <c r="Q349" s="22"/>
    </row>
    <row r="350" customFormat="false" ht="15.75" hidden="false" customHeight="false" outlineLevel="0" collapsed="false">
      <c r="A350" s="20" t="n">
        <v>46079</v>
      </c>
      <c r="B350" s="15" t="s">
        <v>504</v>
      </c>
      <c r="C350" s="15" t="s">
        <v>81</v>
      </c>
      <c r="D350" s="15" t="s">
        <v>534</v>
      </c>
      <c r="E350" s="15" t="n">
        <v>9</v>
      </c>
      <c r="H350" s="10"/>
      <c r="I350" s="21"/>
      <c r="M350" s="10"/>
      <c r="N350" s="10"/>
      <c r="P350" s="10"/>
      <c r="Q350" s="22"/>
    </row>
    <row r="351" customFormat="false" ht="15.75" hidden="false" customHeight="false" outlineLevel="0" collapsed="false">
      <c r="A351" s="20" t="n">
        <v>46079</v>
      </c>
      <c r="B351" s="15" t="s">
        <v>504</v>
      </c>
      <c r="C351" s="15" t="s">
        <v>39</v>
      </c>
      <c r="D351" s="15" t="s">
        <v>550</v>
      </c>
      <c r="E351" s="15" t="n">
        <v>1</v>
      </c>
      <c r="H351" s="10"/>
      <c r="I351" s="21"/>
      <c r="M351" s="10"/>
      <c r="N351" s="10"/>
      <c r="P351" s="10"/>
      <c r="Q351" s="22"/>
    </row>
    <row r="352" customFormat="false" ht="15.75" hidden="false" customHeight="false" outlineLevel="0" collapsed="false">
      <c r="A352" s="20" t="n">
        <v>46079</v>
      </c>
      <c r="B352" s="15" t="s">
        <v>504</v>
      </c>
      <c r="C352" s="15" t="s">
        <v>63</v>
      </c>
      <c r="D352" s="15" t="s">
        <v>551</v>
      </c>
      <c r="E352" s="15" t="n">
        <v>1</v>
      </c>
      <c r="H352" s="10"/>
      <c r="I352" s="21"/>
      <c r="M352" s="10"/>
      <c r="N352" s="10"/>
      <c r="P352" s="10"/>
      <c r="Q352" s="22"/>
    </row>
    <row r="353" customFormat="false" ht="15.75" hidden="false" customHeight="false" outlineLevel="0" collapsed="false">
      <c r="A353" s="20" t="n">
        <v>46079</v>
      </c>
      <c r="B353" s="15" t="s">
        <v>504</v>
      </c>
      <c r="C353" s="15" t="s">
        <v>17</v>
      </c>
      <c r="D353" s="15" t="s">
        <v>554</v>
      </c>
      <c r="E353" s="15" t="n">
        <v>1</v>
      </c>
      <c r="H353" s="10"/>
      <c r="I353" s="21"/>
      <c r="M353" s="10"/>
      <c r="N353" s="10"/>
      <c r="P353" s="10"/>
      <c r="Q353" s="22"/>
    </row>
    <row r="354" customFormat="false" ht="15.75" hidden="false" customHeight="false" outlineLevel="0" collapsed="false">
      <c r="A354" s="20" t="n">
        <v>46079</v>
      </c>
      <c r="B354" s="15" t="s">
        <v>508</v>
      </c>
      <c r="C354" s="15" t="s">
        <v>55</v>
      </c>
      <c r="D354" s="15" t="s">
        <v>539</v>
      </c>
      <c r="E354" s="15" t="n">
        <v>5</v>
      </c>
      <c r="H354" s="10"/>
      <c r="I354" s="21"/>
      <c r="M354" s="10"/>
      <c r="N354" s="10"/>
      <c r="P354" s="10"/>
      <c r="Q354" s="22"/>
    </row>
    <row r="355" customFormat="false" ht="15.75" hidden="false" customHeight="false" outlineLevel="0" collapsed="false">
      <c r="A355" s="20" t="n">
        <v>46079</v>
      </c>
      <c r="B355" s="15" t="s">
        <v>508</v>
      </c>
      <c r="C355" s="15" t="s">
        <v>81</v>
      </c>
      <c r="D355" s="15" t="s">
        <v>534</v>
      </c>
      <c r="E355" s="15" t="n">
        <v>9</v>
      </c>
      <c r="H355" s="10"/>
      <c r="I355" s="21"/>
      <c r="M355" s="10"/>
      <c r="N355" s="10"/>
      <c r="P355" s="10"/>
      <c r="Q355" s="22"/>
    </row>
    <row r="356" customFormat="false" ht="15.75" hidden="false" customHeight="false" outlineLevel="0" collapsed="false">
      <c r="A356" s="20" t="n">
        <v>46079</v>
      </c>
      <c r="B356" s="15" t="s">
        <v>508</v>
      </c>
      <c r="C356" s="15" t="s">
        <v>39</v>
      </c>
      <c r="D356" s="15" t="s">
        <v>550</v>
      </c>
      <c r="E356" s="15" t="n">
        <v>2</v>
      </c>
      <c r="H356" s="10"/>
      <c r="I356" s="21"/>
      <c r="M356" s="10"/>
      <c r="N356" s="10"/>
      <c r="P356" s="10"/>
      <c r="Q356" s="22"/>
    </row>
    <row r="357" customFormat="false" ht="15.75" hidden="false" customHeight="false" outlineLevel="0" collapsed="false">
      <c r="A357" s="20" t="n">
        <v>46079</v>
      </c>
      <c r="B357" s="15" t="s">
        <v>508</v>
      </c>
      <c r="C357" s="15" t="s">
        <v>47</v>
      </c>
      <c r="D357" s="15" t="s">
        <v>549</v>
      </c>
      <c r="E357" s="15" t="n">
        <v>2</v>
      </c>
      <c r="H357" s="10"/>
      <c r="I357" s="21"/>
      <c r="M357" s="10"/>
      <c r="N357" s="10"/>
      <c r="P357" s="10"/>
      <c r="Q357" s="22"/>
    </row>
    <row r="358" customFormat="false" ht="15.75" hidden="false" customHeight="false" outlineLevel="0" collapsed="false">
      <c r="A358" s="20" t="n">
        <v>46079</v>
      </c>
      <c r="B358" s="15" t="s">
        <v>508</v>
      </c>
      <c r="C358" s="15" t="s">
        <v>63</v>
      </c>
      <c r="D358" s="15" t="s">
        <v>551</v>
      </c>
      <c r="E358" s="15" t="n">
        <v>1</v>
      </c>
      <c r="H358" s="10"/>
      <c r="I358" s="21"/>
      <c r="M358" s="10"/>
      <c r="N358" s="10"/>
      <c r="P358" s="10"/>
      <c r="Q358" s="22"/>
    </row>
    <row r="359" customFormat="false" ht="15.75" hidden="false" customHeight="false" outlineLevel="0" collapsed="false">
      <c r="A359" s="20" t="n">
        <v>46079</v>
      </c>
      <c r="B359" s="15" t="s">
        <v>509</v>
      </c>
      <c r="C359" s="15" t="s">
        <v>69</v>
      </c>
      <c r="D359" s="15" t="s">
        <v>535</v>
      </c>
      <c r="E359" s="15" t="n">
        <v>6</v>
      </c>
      <c r="H359" s="10"/>
      <c r="I359" s="21"/>
      <c r="M359" s="10"/>
      <c r="N359" s="10"/>
      <c r="P359" s="10"/>
      <c r="Q359" s="22"/>
    </row>
    <row r="360" customFormat="false" ht="15.75" hidden="false" customHeight="false" outlineLevel="0" collapsed="false">
      <c r="A360" s="20" t="n">
        <v>46079</v>
      </c>
      <c r="B360" s="15" t="s">
        <v>509</v>
      </c>
      <c r="C360" s="15" t="s">
        <v>33</v>
      </c>
      <c r="D360" s="15" t="s">
        <v>536</v>
      </c>
      <c r="E360" s="15" t="n">
        <v>6</v>
      </c>
      <c r="H360" s="10"/>
      <c r="I360" s="21"/>
      <c r="M360" s="10"/>
      <c r="N360" s="10"/>
      <c r="P360" s="10"/>
      <c r="Q360" s="22"/>
    </row>
    <row r="361" customFormat="false" ht="15.75" hidden="false" customHeight="false" outlineLevel="0" collapsed="false">
      <c r="A361" s="20" t="n">
        <v>46079</v>
      </c>
      <c r="B361" s="15" t="s">
        <v>509</v>
      </c>
      <c r="C361" s="15" t="s">
        <v>55</v>
      </c>
      <c r="D361" s="15" t="s">
        <v>539</v>
      </c>
      <c r="E361" s="15" t="n">
        <v>3</v>
      </c>
      <c r="H361" s="10"/>
      <c r="I361" s="21"/>
      <c r="M361" s="10"/>
      <c r="N361" s="10"/>
      <c r="P361" s="10"/>
      <c r="Q361" s="22"/>
    </row>
    <row r="362" customFormat="false" ht="15.75" hidden="false" customHeight="false" outlineLevel="0" collapsed="false">
      <c r="A362" s="20" t="n">
        <v>46079</v>
      </c>
      <c r="B362" s="15" t="s">
        <v>509</v>
      </c>
      <c r="C362" s="15" t="s">
        <v>547</v>
      </c>
      <c r="D362" s="15" t="s">
        <v>548</v>
      </c>
      <c r="E362" s="15" t="n">
        <v>1</v>
      </c>
      <c r="H362" s="10"/>
      <c r="I362" s="21"/>
      <c r="M362" s="10"/>
      <c r="N362" s="10"/>
      <c r="P362" s="10"/>
      <c r="Q362" s="22"/>
    </row>
    <row r="363" customFormat="false" ht="15.75" hidden="false" customHeight="false" outlineLevel="0" collapsed="false">
      <c r="A363" s="20" t="n">
        <v>46079</v>
      </c>
      <c r="B363" s="15" t="s">
        <v>509</v>
      </c>
      <c r="C363" s="15" t="s">
        <v>81</v>
      </c>
      <c r="D363" s="15" t="s">
        <v>534</v>
      </c>
      <c r="E363" s="15" t="n">
        <v>2</v>
      </c>
      <c r="H363" s="10"/>
      <c r="I363" s="21"/>
      <c r="M363" s="10"/>
      <c r="N363" s="10"/>
      <c r="P363" s="10"/>
      <c r="Q363" s="22"/>
    </row>
    <row r="364" customFormat="false" ht="15.75" hidden="false" customHeight="false" outlineLevel="0" collapsed="false">
      <c r="A364" s="20" t="n">
        <v>46079</v>
      </c>
      <c r="B364" s="15" t="s">
        <v>509</v>
      </c>
      <c r="C364" s="15" t="s">
        <v>37</v>
      </c>
      <c r="D364" s="15" t="s">
        <v>561</v>
      </c>
      <c r="E364" s="15" t="n">
        <v>1</v>
      </c>
      <c r="H364" s="10"/>
      <c r="I364" s="21"/>
      <c r="M364" s="10"/>
      <c r="N364" s="10"/>
      <c r="P364" s="10"/>
      <c r="Q364" s="22"/>
    </row>
    <row r="365" customFormat="false" ht="15.75" hidden="false" customHeight="false" outlineLevel="0" collapsed="false">
      <c r="A365" s="20" t="n">
        <v>46079</v>
      </c>
      <c r="B365" s="15" t="s">
        <v>510</v>
      </c>
      <c r="C365" s="15" t="s">
        <v>89</v>
      </c>
      <c r="D365" s="15" t="s">
        <v>574</v>
      </c>
      <c r="E365" s="15" t="n">
        <v>2</v>
      </c>
      <c r="H365" s="10"/>
      <c r="I365" s="21"/>
      <c r="M365" s="10"/>
      <c r="N365" s="10"/>
      <c r="P365" s="10"/>
      <c r="Q365" s="22"/>
    </row>
    <row r="366" customFormat="false" ht="15.75" hidden="false" customHeight="false" outlineLevel="0" collapsed="false">
      <c r="A366" s="20" t="n">
        <v>46079</v>
      </c>
      <c r="B366" s="15" t="s">
        <v>510</v>
      </c>
      <c r="C366" s="15" t="s">
        <v>55</v>
      </c>
      <c r="D366" s="15" t="s">
        <v>539</v>
      </c>
      <c r="E366" s="15" t="n">
        <v>2</v>
      </c>
      <c r="H366" s="10"/>
      <c r="I366" s="21"/>
      <c r="M366" s="10"/>
      <c r="N366" s="10"/>
      <c r="P366" s="10"/>
      <c r="Q366" s="22"/>
    </row>
    <row r="367" customFormat="false" ht="15.75" hidden="false" customHeight="false" outlineLevel="0" collapsed="false">
      <c r="A367" s="20" t="n">
        <v>46079</v>
      </c>
      <c r="B367" s="15" t="s">
        <v>510</v>
      </c>
      <c r="C367" s="15" t="s">
        <v>23</v>
      </c>
      <c r="D367" s="15" t="s">
        <v>575</v>
      </c>
      <c r="E367" s="15" t="n">
        <v>1</v>
      </c>
      <c r="H367" s="10"/>
      <c r="I367" s="21"/>
      <c r="M367" s="10"/>
      <c r="N367" s="10"/>
      <c r="P367" s="10"/>
      <c r="Q367" s="22"/>
    </row>
    <row r="368" customFormat="false" ht="15.75" hidden="false" customHeight="false" outlineLevel="0" collapsed="false">
      <c r="A368" s="20" t="n">
        <v>46079</v>
      </c>
      <c r="B368" s="15" t="s">
        <v>510</v>
      </c>
      <c r="C368" s="15" t="s">
        <v>51</v>
      </c>
      <c r="D368" s="15" t="s">
        <v>573</v>
      </c>
      <c r="E368" s="15" t="n">
        <v>1</v>
      </c>
      <c r="H368" s="10"/>
      <c r="I368" s="21"/>
      <c r="M368" s="10"/>
      <c r="N368" s="10"/>
      <c r="P368" s="10"/>
      <c r="Q368" s="22"/>
    </row>
    <row r="369" customFormat="false" ht="15.75" hidden="false" customHeight="false" outlineLevel="0" collapsed="false">
      <c r="A369" s="20" t="n">
        <v>46079</v>
      </c>
      <c r="B369" s="15" t="s">
        <v>510</v>
      </c>
      <c r="C369" s="15" t="s">
        <v>69</v>
      </c>
      <c r="D369" s="15" t="s">
        <v>535</v>
      </c>
      <c r="E369" s="15" t="n">
        <v>6</v>
      </c>
      <c r="H369" s="10"/>
      <c r="I369" s="21"/>
      <c r="M369" s="10"/>
      <c r="N369" s="10"/>
      <c r="P369" s="10"/>
      <c r="Q369" s="22"/>
    </row>
    <row r="370" customFormat="false" ht="15.75" hidden="false" customHeight="false" outlineLevel="0" collapsed="false">
      <c r="A370" s="20" t="n">
        <v>46079</v>
      </c>
      <c r="B370" s="15" t="s">
        <v>510</v>
      </c>
      <c r="C370" s="15" t="s">
        <v>33</v>
      </c>
      <c r="D370" s="15" t="s">
        <v>536</v>
      </c>
      <c r="E370" s="15" t="n">
        <v>6</v>
      </c>
      <c r="H370" s="10"/>
      <c r="I370" s="21"/>
      <c r="M370" s="10"/>
      <c r="N370" s="10"/>
      <c r="P370" s="10"/>
      <c r="Q370" s="22"/>
    </row>
    <row r="371" customFormat="false" ht="15.75" hidden="false" customHeight="false" outlineLevel="0" collapsed="false">
      <c r="A371" s="20" t="n">
        <v>46080</v>
      </c>
      <c r="B371" s="15" t="s">
        <v>453</v>
      </c>
      <c r="C371" s="15" t="s">
        <v>47</v>
      </c>
      <c r="D371" s="15" t="s">
        <v>549</v>
      </c>
      <c r="E371" s="15" t="n">
        <v>2</v>
      </c>
      <c r="H371" s="10"/>
      <c r="I371" s="21"/>
      <c r="M371" s="10"/>
      <c r="N371" s="10"/>
      <c r="P371" s="10"/>
      <c r="Q371" s="22"/>
    </row>
    <row r="372" customFormat="false" ht="15.75" hidden="false" customHeight="false" outlineLevel="0" collapsed="false">
      <c r="A372" s="20" t="n">
        <v>46080</v>
      </c>
      <c r="B372" s="15" t="s">
        <v>453</v>
      </c>
      <c r="C372" s="15" t="s">
        <v>55</v>
      </c>
      <c r="D372" s="15" t="s">
        <v>539</v>
      </c>
      <c r="E372" s="15" t="n">
        <v>4</v>
      </c>
      <c r="H372" s="10"/>
      <c r="I372" s="21"/>
      <c r="M372" s="10"/>
      <c r="N372" s="10"/>
      <c r="P372" s="10"/>
      <c r="Q372" s="22"/>
    </row>
    <row r="373" customFormat="false" ht="15.75" hidden="false" customHeight="false" outlineLevel="0" collapsed="false">
      <c r="A373" s="20" t="n">
        <v>46080</v>
      </c>
      <c r="B373" s="15" t="s">
        <v>453</v>
      </c>
      <c r="C373" s="15" t="s">
        <v>81</v>
      </c>
      <c r="D373" s="15" t="s">
        <v>534</v>
      </c>
      <c r="E373" s="15" t="n">
        <v>8</v>
      </c>
      <c r="H373" s="10"/>
      <c r="I373" s="21"/>
      <c r="M373" s="10"/>
      <c r="N373" s="10"/>
      <c r="P373" s="10"/>
      <c r="Q373" s="22"/>
    </row>
    <row r="374" customFormat="false" ht="15.75" hidden="false" customHeight="false" outlineLevel="0" collapsed="false">
      <c r="A374" s="20" t="n">
        <v>46080</v>
      </c>
      <c r="B374" s="15" t="s">
        <v>453</v>
      </c>
      <c r="C374" s="15" t="s">
        <v>39</v>
      </c>
      <c r="D374" s="15" t="s">
        <v>550</v>
      </c>
      <c r="E374" s="15" t="n">
        <v>2</v>
      </c>
      <c r="H374" s="10"/>
      <c r="I374" s="21"/>
      <c r="M374" s="10"/>
      <c r="N374" s="10"/>
      <c r="P374" s="10"/>
      <c r="Q374" s="22"/>
    </row>
    <row r="375" customFormat="false" ht="15.75" hidden="false" customHeight="false" outlineLevel="0" collapsed="false">
      <c r="A375" s="20" t="n">
        <v>46080</v>
      </c>
      <c r="B375" s="15" t="s">
        <v>453</v>
      </c>
      <c r="C375" s="15" t="s">
        <v>63</v>
      </c>
      <c r="D375" s="15" t="s">
        <v>551</v>
      </c>
      <c r="E375" s="15" t="n">
        <v>1</v>
      </c>
      <c r="H375" s="10"/>
      <c r="I375" s="21"/>
      <c r="M375" s="10"/>
      <c r="N375" s="10"/>
      <c r="P375" s="10"/>
      <c r="Q375" s="22"/>
    </row>
    <row r="376" customFormat="false" ht="15.75" hidden="false" customHeight="false" outlineLevel="0" collapsed="false">
      <c r="A376" s="20" t="n">
        <v>46080</v>
      </c>
      <c r="B376" s="15" t="s">
        <v>453</v>
      </c>
      <c r="C376" s="15" t="s">
        <v>35</v>
      </c>
      <c r="D376" s="15" t="s">
        <v>552</v>
      </c>
      <c r="E376" s="15" t="n">
        <v>2</v>
      </c>
      <c r="H376" s="10"/>
      <c r="I376" s="21"/>
      <c r="M376" s="10"/>
      <c r="N376" s="10"/>
      <c r="P376" s="10"/>
      <c r="Q376" s="22"/>
    </row>
    <row r="377" customFormat="false" ht="15.75" hidden="false" customHeight="false" outlineLevel="0" collapsed="false">
      <c r="A377" s="20" t="n">
        <v>46080</v>
      </c>
      <c r="B377" s="15" t="s">
        <v>467</v>
      </c>
      <c r="C377" s="15" t="s">
        <v>55</v>
      </c>
      <c r="D377" s="15" t="s">
        <v>539</v>
      </c>
      <c r="E377" s="15" t="n">
        <v>6</v>
      </c>
      <c r="H377" s="10"/>
      <c r="I377" s="21"/>
      <c r="M377" s="10"/>
      <c r="N377" s="10"/>
      <c r="P377" s="10"/>
      <c r="Q377" s="22"/>
    </row>
    <row r="378" customFormat="false" ht="15.75" hidden="false" customHeight="false" outlineLevel="0" collapsed="false">
      <c r="A378" s="20" t="n">
        <v>46080</v>
      </c>
      <c r="B378" s="15" t="s">
        <v>467</v>
      </c>
      <c r="C378" s="15" t="s">
        <v>57</v>
      </c>
      <c r="D378" s="15" t="s">
        <v>553</v>
      </c>
      <c r="E378" s="15" t="n">
        <v>2</v>
      </c>
      <c r="H378" s="10"/>
      <c r="I378" s="21"/>
      <c r="M378" s="10"/>
      <c r="N378" s="10"/>
      <c r="P378" s="10"/>
      <c r="Q378" s="22"/>
    </row>
    <row r="379" customFormat="false" ht="15.75" hidden="false" customHeight="false" outlineLevel="0" collapsed="false">
      <c r="A379" s="20" t="n">
        <v>46080</v>
      </c>
      <c r="B379" s="15" t="s">
        <v>467</v>
      </c>
      <c r="C379" s="15" t="s">
        <v>47</v>
      </c>
      <c r="D379" s="15" t="s">
        <v>549</v>
      </c>
      <c r="E379" s="15" t="n">
        <v>2</v>
      </c>
      <c r="H379" s="10"/>
      <c r="I379" s="21"/>
      <c r="M379" s="10"/>
      <c r="N379" s="10"/>
      <c r="P379" s="10"/>
      <c r="Q379" s="22"/>
    </row>
    <row r="380" customFormat="false" ht="15.75" hidden="false" customHeight="false" outlineLevel="0" collapsed="false">
      <c r="A380" s="20" t="n">
        <v>46080</v>
      </c>
      <c r="B380" s="15" t="s">
        <v>467</v>
      </c>
      <c r="C380" s="15" t="s">
        <v>81</v>
      </c>
      <c r="D380" s="15" t="s">
        <v>534</v>
      </c>
      <c r="E380" s="15" t="n">
        <v>7</v>
      </c>
      <c r="H380" s="10"/>
      <c r="I380" s="21"/>
      <c r="M380" s="10"/>
      <c r="N380" s="10"/>
      <c r="P380" s="10"/>
      <c r="Q380" s="22"/>
    </row>
    <row r="381" customFormat="false" ht="15.75" hidden="false" customHeight="false" outlineLevel="0" collapsed="false">
      <c r="A381" s="20" t="n">
        <v>46080</v>
      </c>
      <c r="B381" s="15" t="s">
        <v>467</v>
      </c>
      <c r="C381" s="15" t="s">
        <v>49</v>
      </c>
      <c r="D381" s="15" t="s">
        <v>537</v>
      </c>
      <c r="E381" s="15" t="n">
        <v>2</v>
      </c>
      <c r="H381" s="10"/>
      <c r="I381" s="21"/>
      <c r="M381" s="10"/>
      <c r="N381" s="10"/>
      <c r="P381" s="10"/>
      <c r="Q381" s="22"/>
    </row>
    <row r="382" customFormat="false" ht="15.75" hidden="false" customHeight="false" outlineLevel="0" collapsed="false">
      <c r="A382" s="20" t="n">
        <v>46080</v>
      </c>
      <c r="B382" s="15" t="s">
        <v>467</v>
      </c>
      <c r="C382" s="15" t="s">
        <v>63</v>
      </c>
      <c r="D382" s="15" t="s">
        <v>551</v>
      </c>
      <c r="E382" s="15" t="n">
        <v>1</v>
      </c>
      <c r="H382" s="10"/>
      <c r="I382" s="21"/>
      <c r="M382" s="10"/>
      <c r="N382" s="10"/>
      <c r="P382" s="10"/>
      <c r="Q382" s="22"/>
    </row>
    <row r="383" customFormat="false" ht="15.75" hidden="false" customHeight="false" outlineLevel="0" collapsed="false">
      <c r="A383" s="20" t="n">
        <v>46080</v>
      </c>
      <c r="B383" s="15" t="s">
        <v>474</v>
      </c>
      <c r="C383" s="15" t="s">
        <v>555</v>
      </c>
      <c r="D383" s="15" t="s">
        <v>556</v>
      </c>
      <c r="E383" s="15" t="n">
        <v>8</v>
      </c>
      <c r="H383" s="10"/>
      <c r="I383" s="21"/>
      <c r="M383" s="10"/>
      <c r="N383" s="10"/>
      <c r="P383" s="10"/>
      <c r="Q383" s="22"/>
    </row>
    <row r="384" customFormat="false" ht="15.75" hidden="false" customHeight="false" outlineLevel="0" collapsed="false">
      <c r="A384" s="20" t="n">
        <v>46080</v>
      </c>
      <c r="B384" s="15" t="s">
        <v>474</v>
      </c>
      <c r="C384" s="15" t="s">
        <v>565</v>
      </c>
      <c r="D384" s="15" t="s">
        <v>566</v>
      </c>
      <c r="E384" s="15" t="n">
        <v>4</v>
      </c>
      <c r="H384" s="10"/>
      <c r="I384" s="21"/>
      <c r="M384" s="10"/>
      <c r="N384" s="10"/>
      <c r="P384" s="10"/>
      <c r="Q384" s="22"/>
    </row>
    <row r="385" customFormat="false" ht="15.75" hidden="false" customHeight="false" outlineLevel="0" collapsed="false">
      <c r="A385" s="20" t="n">
        <v>46080</v>
      </c>
      <c r="B385" s="15" t="s">
        <v>474</v>
      </c>
      <c r="C385" s="15" t="s">
        <v>11</v>
      </c>
      <c r="D385" s="15" t="s">
        <v>572</v>
      </c>
      <c r="E385" s="15" t="n">
        <v>4</v>
      </c>
      <c r="H385" s="10"/>
      <c r="I385" s="21"/>
      <c r="M385" s="10"/>
      <c r="N385" s="10"/>
      <c r="P385" s="10"/>
      <c r="Q385" s="22"/>
    </row>
    <row r="386" customFormat="false" ht="15.75" hidden="false" customHeight="false" outlineLevel="0" collapsed="false">
      <c r="A386" s="20" t="n">
        <v>46080</v>
      </c>
      <c r="B386" s="15" t="s">
        <v>474</v>
      </c>
      <c r="C386" s="15" t="s">
        <v>543</v>
      </c>
      <c r="D386" s="15" t="s">
        <v>544</v>
      </c>
      <c r="E386" s="15" t="n">
        <v>4</v>
      </c>
      <c r="H386" s="10"/>
      <c r="I386" s="21"/>
      <c r="M386" s="10"/>
      <c r="N386" s="10"/>
      <c r="P386" s="10"/>
      <c r="Q386" s="22"/>
    </row>
    <row r="387" customFormat="false" ht="15.75" hidden="false" customHeight="false" outlineLevel="0" collapsed="false">
      <c r="A387" s="20" t="n">
        <v>46080</v>
      </c>
      <c r="B387" s="15" t="s">
        <v>474</v>
      </c>
      <c r="C387" s="15" t="s">
        <v>91</v>
      </c>
      <c r="D387" s="15" t="s">
        <v>91</v>
      </c>
      <c r="E387" s="15" t="n">
        <v>4</v>
      </c>
      <c r="H387" s="10"/>
      <c r="I387" s="21"/>
      <c r="M387" s="10"/>
      <c r="N387" s="10"/>
      <c r="P387" s="10"/>
      <c r="Q387" s="22"/>
    </row>
    <row r="388" customFormat="false" ht="15.75" hidden="false" customHeight="false" outlineLevel="0" collapsed="false">
      <c r="A388" s="20" t="n">
        <v>46080</v>
      </c>
      <c r="B388" s="15" t="s">
        <v>474</v>
      </c>
      <c r="C388" s="15" t="s">
        <v>25</v>
      </c>
      <c r="D388" s="15" t="s">
        <v>26</v>
      </c>
      <c r="E388" s="15" t="n">
        <v>4</v>
      </c>
      <c r="H388" s="10"/>
      <c r="I388" s="21"/>
      <c r="M388" s="10"/>
      <c r="N388" s="10"/>
      <c r="P388" s="10"/>
      <c r="Q388" s="22"/>
    </row>
    <row r="389" customFormat="false" ht="15.75" hidden="false" customHeight="false" outlineLevel="0" collapsed="false">
      <c r="A389" s="20" t="n">
        <v>46080</v>
      </c>
      <c r="B389" s="15" t="s">
        <v>477</v>
      </c>
      <c r="C389" s="15" t="s">
        <v>69</v>
      </c>
      <c r="D389" s="15" t="s">
        <v>535</v>
      </c>
      <c r="E389" s="15" t="n">
        <v>3</v>
      </c>
      <c r="H389" s="10"/>
      <c r="I389" s="21"/>
      <c r="M389" s="10"/>
      <c r="N389" s="10"/>
      <c r="P389" s="10"/>
      <c r="Q389" s="22"/>
    </row>
    <row r="390" customFormat="false" ht="15.75" hidden="false" customHeight="false" outlineLevel="0" collapsed="false">
      <c r="A390" s="20" t="n">
        <v>46080</v>
      </c>
      <c r="B390" s="15" t="s">
        <v>477</v>
      </c>
      <c r="C390" s="15" t="s">
        <v>547</v>
      </c>
      <c r="D390" s="15" t="s">
        <v>548</v>
      </c>
      <c r="E390" s="15" t="n">
        <v>3</v>
      </c>
      <c r="H390" s="10"/>
      <c r="I390" s="21"/>
      <c r="M390" s="10"/>
      <c r="N390" s="10"/>
      <c r="P390" s="10"/>
      <c r="Q390" s="22"/>
    </row>
    <row r="391" customFormat="false" ht="15.75" hidden="false" customHeight="false" outlineLevel="0" collapsed="false">
      <c r="A391" s="20" t="n">
        <v>46080</v>
      </c>
      <c r="B391" s="15" t="s">
        <v>477</v>
      </c>
      <c r="C391" s="15" t="s">
        <v>25</v>
      </c>
      <c r="D391" s="15" t="s">
        <v>26</v>
      </c>
      <c r="E391" s="15" t="n">
        <v>3</v>
      </c>
      <c r="H391" s="10"/>
      <c r="I391" s="21"/>
      <c r="M391" s="10"/>
      <c r="N391" s="10"/>
      <c r="P391" s="10"/>
      <c r="Q391" s="22"/>
    </row>
    <row r="392" customFormat="false" ht="15.75" hidden="false" customHeight="false" outlineLevel="0" collapsed="false">
      <c r="A392" s="20" t="n">
        <v>46080</v>
      </c>
      <c r="B392" s="15" t="s">
        <v>485</v>
      </c>
      <c r="C392" s="15" t="s">
        <v>69</v>
      </c>
      <c r="D392" s="15" t="s">
        <v>535</v>
      </c>
      <c r="E392" s="15" t="n">
        <v>2</v>
      </c>
      <c r="H392" s="10"/>
      <c r="I392" s="21"/>
      <c r="M392" s="10"/>
      <c r="N392" s="10"/>
      <c r="P392" s="10"/>
      <c r="Q392" s="22"/>
    </row>
    <row r="393" customFormat="false" ht="15.75" hidden="false" customHeight="false" outlineLevel="0" collapsed="false">
      <c r="A393" s="20" t="n">
        <v>46080</v>
      </c>
      <c r="B393" s="15" t="s">
        <v>485</v>
      </c>
      <c r="C393" s="15" t="s">
        <v>578</v>
      </c>
      <c r="D393" s="15" t="s">
        <v>579</v>
      </c>
      <c r="E393" s="15" t="n">
        <v>1</v>
      </c>
      <c r="H393" s="10"/>
      <c r="I393" s="21"/>
      <c r="M393" s="10"/>
      <c r="N393" s="10"/>
      <c r="P393" s="10"/>
      <c r="Q393" s="22"/>
    </row>
    <row r="394" customFormat="false" ht="15.75" hidden="false" customHeight="false" outlineLevel="0" collapsed="false">
      <c r="A394" s="20" t="n">
        <v>46080</v>
      </c>
      <c r="B394" s="15" t="s">
        <v>485</v>
      </c>
      <c r="C394" s="15" t="s">
        <v>11</v>
      </c>
      <c r="D394" s="15" t="s">
        <v>572</v>
      </c>
      <c r="E394" s="15" t="n">
        <v>1</v>
      </c>
      <c r="H394" s="10"/>
      <c r="I394" s="21"/>
      <c r="M394" s="10"/>
      <c r="N394" s="10"/>
      <c r="P394" s="10"/>
      <c r="Q394" s="22"/>
    </row>
    <row r="395" customFormat="false" ht="15.75" hidden="false" customHeight="false" outlineLevel="0" collapsed="false">
      <c r="A395" s="20" t="n">
        <v>46080</v>
      </c>
      <c r="B395" s="15" t="s">
        <v>485</v>
      </c>
      <c r="C395" s="15" t="s">
        <v>33</v>
      </c>
      <c r="D395" s="15" t="s">
        <v>536</v>
      </c>
      <c r="E395" s="15" t="n">
        <v>2</v>
      </c>
      <c r="H395" s="10"/>
      <c r="I395" s="21"/>
      <c r="M395" s="10"/>
      <c r="N395" s="10"/>
      <c r="P395" s="10"/>
      <c r="Q395" s="22"/>
    </row>
    <row r="396" customFormat="false" ht="15.75" hidden="false" customHeight="false" outlineLevel="0" collapsed="false">
      <c r="A396" s="20" t="n">
        <v>46080</v>
      </c>
      <c r="B396" s="15" t="s">
        <v>485</v>
      </c>
      <c r="C396" s="15" t="s">
        <v>81</v>
      </c>
      <c r="D396" s="15" t="s">
        <v>534</v>
      </c>
      <c r="E396" s="15" t="n">
        <v>5</v>
      </c>
      <c r="H396" s="10"/>
      <c r="I396" s="21"/>
      <c r="M396" s="10"/>
      <c r="N396" s="10"/>
      <c r="P396" s="10"/>
      <c r="Q396" s="22"/>
    </row>
    <row r="397" customFormat="false" ht="15.75" hidden="false" customHeight="false" outlineLevel="0" collapsed="false">
      <c r="A397" s="20" t="n">
        <v>46080</v>
      </c>
      <c r="B397" s="15" t="s">
        <v>485</v>
      </c>
      <c r="C397" s="15" t="s">
        <v>37</v>
      </c>
      <c r="D397" s="15" t="s">
        <v>561</v>
      </c>
      <c r="E397" s="15" t="n">
        <v>1</v>
      </c>
      <c r="H397" s="10"/>
      <c r="I397" s="21"/>
      <c r="M397" s="10"/>
      <c r="N397" s="10"/>
      <c r="P397" s="10"/>
      <c r="Q397" s="22"/>
    </row>
    <row r="398" customFormat="false" ht="15.75" hidden="false" customHeight="false" outlineLevel="0" collapsed="false">
      <c r="A398" s="20" t="n">
        <v>46080</v>
      </c>
      <c r="B398" s="15" t="s">
        <v>485</v>
      </c>
      <c r="C398" s="15" t="s">
        <v>77</v>
      </c>
      <c r="D398" s="15" t="s">
        <v>78</v>
      </c>
      <c r="E398" s="15" t="n">
        <v>2</v>
      </c>
      <c r="H398" s="10"/>
      <c r="I398" s="21"/>
      <c r="M398" s="10"/>
      <c r="N398" s="10"/>
      <c r="P398" s="10"/>
      <c r="Q398" s="22"/>
    </row>
    <row r="399" customFormat="false" ht="15.75" hidden="false" customHeight="false" outlineLevel="0" collapsed="false">
      <c r="A399" s="20" t="n">
        <v>46080</v>
      </c>
      <c r="B399" s="15" t="s">
        <v>488</v>
      </c>
      <c r="C399" s="15" t="s">
        <v>69</v>
      </c>
      <c r="D399" s="15" t="s">
        <v>535</v>
      </c>
      <c r="E399" s="15" t="n">
        <v>3</v>
      </c>
      <c r="H399" s="10"/>
      <c r="I399" s="21"/>
      <c r="M399" s="10"/>
      <c r="N399" s="10"/>
      <c r="P399" s="10"/>
      <c r="Q399" s="22"/>
    </row>
    <row r="400" customFormat="false" ht="15.75" hidden="false" customHeight="false" outlineLevel="0" collapsed="false">
      <c r="A400" s="20" t="n">
        <v>46080</v>
      </c>
      <c r="B400" s="15" t="s">
        <v>488</v>
      </c>
      <c r="C400" s="15" t="s">
        <v>555</v>
      </c>
      <c r="D400" s="15" t="s">
        <v>556</v>
      </c>
      <c r="E400" s="15" t="n">
        <v>2</v>
      </c>
      <c r="H400" s="10"/>
      <c r="I400" s="21"/>
      <c r="M400" s="10"/>
      <c r="N400" s="10"/>
      <c r="P400" s="10"/>
      <c r="Q400" s="22"/>
    </row>
    <row r="401" customFormat="false" ht="15.75" hidden="false" customHeight="false" outlineLevel="0" collapsed="false">
      <c r="A401" s="20" t="n">
        <v>46080</v>
      </c>
      <c r="B401" s="15" t="s">
        <v>488</v>
      </c>
      <c r="C401" s="15" t="s">
        <v>565</v>
      </c>
      <c r="D401" s="15" t="s">
        <v>566</v>
      </c>
      <c r="E401" s="15" t="n">
        <v>1</v>
      </c>
      <c r="H401" s="10"/>
      <c r="I401" s="21"/>
      <c r="M401" s="10"/>
      <c r="N401" s="10"/>
      <c r="P401" s="10"/>
      <c r="Q401" s="22"/>
    </row>
    <row r="402" customFormat="false" ht="15.75" hidden="false" customHeight="false" outlineLevel="0" collapsed="false">
      <c r="A402" s="20" t="n">
        <v>46080</v>
      </c>
      <c r="B402" s="15" t="s">
        <v>488</v>
      </c>
      <c r="C402" s="15" t="s">
        <v>545</v>
      </c>
      <c r="D402" s="15" t="s">
        <v>546</v>
      </c>
      <c r="E402" s="15" t="n">
        <v>2</v>
      </c>
      <c r="H402" s="10"/>
      <c r="I402" s="21"/>
      <c r="M402" s="10"/>
      <c r="N402" s="10"/>
      <c r="P402" s="10"/>
      <c r="Q402" s="22"/>
    </row>
    <row r="403" customFormat="false" ht="15.75" hidden="false" customHeight="false" outlineLevel="0" collapsed="false">
      <c r="A403" s="20" t="n">
        <v>46080</v>
      </c>
      <c r="B403" s="15" t="s">
        <v>488</v>
      </c>
      <c r="C403" s="15" t="s">
        <v>578</v>
      </c>
      <c r="D403" s="15" t="s">
        <v>579</v>
      </c>
      <c r="E403" s="15" t="n">
        <v>1</v>
      </c>
      <c r="H403" s="10"/>
      <c r="I403" s="21"/>
      <c r="M403" s="10"/>
      <c r="N403" s="10"/>
      <c r="P403" s="10"/>
      <c r="Q403" s="22"/>
    </row>
    <row r="404" customFormat="false" ht="15.75" hidden="false" customHeight="false" outlineLevel="0" collapsed="false">
      <c r="A404" s="20" t="n">
        <v>46080</v>
      </c>
      <c r="B404" s="15" t="s">
        <v>488</v>
      </c>
      <c r="C404" s="15" t="s">
        <v>570</v>
      </c>
      <c r="D404" s="15" t="s">
        <v>571</v>
      </c>
      <c r="E404" s="15" t="n">
        <v>1</v>
      </c>
      <c r="H404" s="10"/>
      <c r="I404" s="21"/>
      <c r="M404" s="10"/>
      <c r="N404" s="10"/>
      <c r="P404" s="10"/>
      <c r="Q404" s="22"/>
    </row>
    <row r="405" customFormat="false" ht="15.75" hidden="false" customHeight="false" outlineLevel="0" collapsed="false">
      <c r="A405" s="20" t="n">
        <v>46080</v>
      </c>
      <c r="B405" s="15" t="s">
        <v>488</v>
      </c>
      <c r="C405" s="15" t="s">
        <v>11</v>
      </c>
      <c r="D405" s="15" t="s">
        <v>572</v>
      </c>
      <c r="E405" s="15" t="n">
        <v>1</v>
      </c>
      <c r="H405" s="10"/>
      <c r="I405" s="21"/>
      <c r="M405" s="10"/>
      <c r="N405" s="10"/>
      <c r="P405" s="10"/>
      <c r="Q405" s="22"/>
    </row>
    <row r="406" customFormat="false" ht="15.75" hidden="false" customHeight="false" outlineLevel="0" collapsed="false">
      <c r="A406" s="20" t="n">
        <v>46080</v>
      </c>
      <c r="B406" s="15" t="s">
        <v>488</v>
      </c>
      <c r="C406" s="15" t="s">
        <v>543</v>
      </c>
      <c r="D406" s="15" t="s">
        <v>544</v>
      </c>
      <c r="E406" s="15" t="n">
        <v>3</v>
      </c>
      <c r="H406" s="10"/>
      <c r="I406" s="21"/>
      <c r="M406" s="10"/>
      <c r="N406" s="10"/>
      <c r="P406" s="10"/>
      <c r="Q406" s="22"/>
    </row>
    <row r="407" customFormat="false" ht="15.75" hidden="false" customHeight="false" outlineLevel="0" collapsed="false">
      <c r="A407" s="20" t="n">
        <v>46080</v>
      </c>
      <c r="B407" s="15" t="s">
        <v>488</v>
      </c>
      <c r="C407" s="15" t="s">
        <v>65</v>
      </c>
      <c r="D407" s="15" t="s">
        <v>580</v>
      </c>
      <c r="E407" s="15" t="n">
        <v>1</v>
      </c>
      <c r="H407" s="10"/>
      <c r="I407" s="21"/>
      <c r="M407" s="10"/>
      <c r="N407" s="10"/>
      <c r="P407" s="10"/>
      <c r="Q407" s="22"/>
    </row>
    <row r="408" customFormat="false" ht="15.75" hidden="false" customHeight="false" outlineLevel="0" collapsed="false">
      <c r="A408" s="20" t="n">
        <v>46080</v>
      </c>
      <c r="B408" s="15" t="s">
        <v>488</v>
      </c>
      <c r="C408" s="15" t="s">
        <v>91</v>
      </c>
      <c r="D408" s="15" t="s">
        <v>91</v>
      </c>
      <c r="E408" s="15" t="n">
        <v>2</v>
      </c>
      <c r="H408" s="10"/>
      <c r="I408" s="21"/>
      <c r="M408" s="10"/>
      <c r="N408" s="10"/>
      <c r="P408" s="10"/>
      <c r="Q408" s="22"/>
    </row>
    <row r="409" customFormat="false" ht="15.75" hidden="false" customHeight="false" outlineLevel="0" collapsed="false">
      <c r="A409" s="20" t="n">
        <v>46080</v>
      </c>
      <c r="B409" s="15" t="s">
        <v>488</v>
      </c>
      <c r="C409" s="15" t="s">
        <v>33</v>
      </c>
      <c r="D409" s="15" t="s">
        <v>536</v>
      </c>
      <c r="E409" s="15" t="n">
        <v>3</v>
      </c>
      <c r="H409" s="10"/>
      <c r="I409" s="21"/>
      <c r="M409" s="10"/>
      <c r="N409" s="10"/>
      <c r="P409" s="10"/>
      <c r="Q409" s="22"/>
    </row>
    <row r="410" customFormat="false" ht="15.75" hidden="false" customHeight="false" outlineLevel="0" collapsed="false">
      <c r="A410" s="20" t="n">
        <v>46080</v>
      </c>
      <c r="B410" s="15" t="s">
        <v>488</v>
      </c>
      <c r="C410" s="15" t="s">
        <v>75</v>
      </c>
      <c r="D410" s="15" t="s">
        <v>560</v>
      </c>
      <c r="E410" s="15" t="n">
        <v>1</v>
      </c>
      <c r="H410" s="10"/>
      <c r="I410" s="21"/>
      <c r="M410" s="10"/>
      <c r="N410" s="10"/>
      <c r="P410" s="10"/>
      <c r="Q410" s="22"/>
    </row>
    <row r="411" customFormat="false" ht="15.75" hidden="false" customHeight="false" outlineLevel="0" collapsed="false">
      <c r="A411" s="20" t="n">
        <v>46080</v>
      </c>
      <c r="B411" s="15" t="s">
        <v>488</v>
      </c>
      <c r="C411" s="15" t="s">
        <v>79</v>
      </c>
      <c r="D411" s="15" t="s">
        <v>564</v>
      </c>
      <c r="E411" s="15" t="n">
        <v>2</v>
      </c>
      <c r="H411" s="10"/>
      <c r="I411" s="21"/>
      <c r="M411" s="10"/>
      <c r="N411" s="10"/>
      <c r="P411" s="10"/>
      <c r="Q411" s="22"/>
    </row>
    <row r="412" customFormat="false" ht="15.75" hidden="false" customHeight="false" outlineLevel="0" collapsed="false">
      <c r="A412" s="20" t="n">
        <v>46080</v>
      </c>
      <c r="B412" s="15" t="s">
        <v>488</v>
      </c>
      <c r="C412" s="15" t="s">
        <v>81</v>
      </c>
      <c r="D412" s="15" t="s">
        <v>534</v>
      </c>
      <c r="E412" s="15" t="n">
        <v>10</v>
      </c>
      <c r="H412" s="10"/>
      <c r="I412" s="21"/>
      <c r="M412" s="10"/>
      <c r="N412" s="10"/>
      <c r="P412" s="10"/>
      <c r="Q412" s="22"/>
    </row>
    <row r="413" customFormat="false" ht="15.75" hidden="false" customHeight="false" outlineLevel="0" collapsed="false">
      <c r="A413" s="20" t="n">
        <v>46080</v>
      </c>
      <c r="B413" s="15" t="s">
        <v>488</v>
      </c>
      <c r="C413" s="15" t="s">
        <v>77</v>
      </c>
      <c r="D413" s="15" t="s">
        <v>78</v>
      </c>
      <c r="E413" s="15" t="n">
        <v>3</v>
      </c>
      <c r="H413" s="10"/>
      <c r="I413" s="21"/>
      <c r="M413" s="10"/>
      <c r="N413" s="10"/>
      <c r="P413" s="10"/>
      <c r="Q413" s="22"/>
    </row>
    <row r="414" customFormat="false" ht="15.75" hidden="false" customHeight="false" outlineLevel="0" collapsed="false">
      <c r="A414" s="20" t="n">
        <v>46080</v>
      </c>
      <c r="B414" s="15" t="s">
        <v>488</v>
      </c>
      <c r="C414" s="15" t="s">
        <v>25</v>
      </c>
      <c r="D414" s="15" t="s">
        <v>26</v>
      </c>
      <c r="E414" s="15" t="n">
        <v>1</v>
      </c>
      <c r="H414" s="10"/>
      <c r="I414" s="21"/>
      <c r="M414" s="10"/>
      <c r="N414" s="10"/>
      <c r="P414" s="10"/>
      <c r="Q414" s="22"/>
    </row>
    <row r="415" customFormat="false" ht="15.75" hidden="false" customHeight="false" outlineLevel="0" collapsed="false">
      <c r="A415" s="20" t="n">
        <v>46080</v>
      </c>
      <c r="B415" s="15" t="s">
        <v>491</v>
      </c>
      <c r="C415" s="15" t="s">
        <v>37</v>
      </c>
      <c r="D415" s="15" t="s">
        <v>561</v>
      </c>
      <c r="E415" s="15" t="n">
        <v>1</v>
      </c>
      <c r="H415" s="10"/>
      <c r="I415" s="21"/>
      <c r="M415" s="10"/>
      <c r="N415" s="10"/>
      <c r="P415" s="10"/>
      <c r="Q415" s="22"/>
    </row>
    <row r="416" customFormat="false" ht="15.75" hidden="false" customHeight="false" outlineLevel="0" collapsed="false">
      <c r="A416" s="20" t="n">
        <v>46080</v>
      </c>
      <c r="B416" s="15" t="s">
        <v>491</v>
      </c>
      <c r="C416" s="15" t="s">
        <v>81</v>
      </c>
      <c r="D416" s="15" t="s">
        <v>534</v>
      </c>
      <c r="E416" s="15" t="n">
        <v>8</v>
      </c>
      <c r="H416" s="10"/>
      <c r="I416" s="21"/>
      <c r="M416" s="10"/>
      <c r="N416" s="10"/>
      <c r="P416" s="10"/>
      <c r="Q416" s="22"/>
    </row>
    <row r="417" customFormat="false" ht="15.75" hidden="false" customHeight="false" outlineLevel="0" collapsed="false">
      <c r="A417" s="20" t="n">
        <v>46080</v>
      </c>
      <c r="B417" s="15" t="s">
        <v>491</v>
      </c>
      <c r="C417" s="15" t="s">
        <v>75</v>
      </c>
      <c r="D417" s="15" t="s">
        <v>560</v>
      </c>
      <c r="E417" s="15" t="n">
        <v>1</v>
      </c>
      <c r="H417" s="10"/>
      <c r="I417" s="21"/>
      <c r="M417" s="10"/>
      <c r="N417" s="10"/>
      <c r="P417" s="10"/>
      <c r="Q417" s="22"/>
    </row>
    <row r="418" customFormat="false" ht="15.75" hidden="false" customHeight="false" outlineLevel="0" collapsed="false">
      <c r="A418" s="20" t="n">
        <v>46080</v>
      </c>
      <c r="B418" s="15" t="s">
        <v>491</v>
      </c>
      <c r="C418" s="15" t="s">
        <v>69</v>
      </c>
      <c r="D418" s="15" t="s">
        <v>535</v>
      </c>
      <c r="E418" s="15" t="n">
        <v>6</v>
      </c>
      <c r="H418" s="10"/>
      <c r="I418" s="21"/>
      <c r="M418" s="10"/>
      <c r="N418" s="10"/>
      <c r="P418" s="10"/>
      <c r="Q418" s="22"/>
    </row>
    <row r="419" customFormat="false" ht="15.75" hidden="false" customHeight="false" outlineLevel="0" collapsed="false">
      <c r="A419" s="20" t="n">
        <v>46080</v>
      </c>
      <c r="B419" s="15" t="s">
        <v>491</v>
      </c>
      <c r="C419" s="15" t="s">
        <v>547</v>
      </c>
      <c r="D419" s="15" t="s">
        <v>548</v>
      </c>
      <c r="E419" s="15" t="n">
        <v>1</v>
      </c>
      <c r="H419" s="10"/>
      <c r="I419" s="21"/>
      <c r="M419" s="10"/>
      <c r="N419" s="10"/>
      <c r="P419" s="10"/>
      <c r="Q419" s="22"/>
    </row>
    <row r="420" customFormat="false" ht="15.75" hidden="false" customHeight="false" outlineLevel="0" collapsed="false">
      <c r="A420" s="20" t="n">
        <v>46080</v>
      </c>
      <c r="B420" s="15" t="s">
        <v>491</v>
      </c>
      <c r="C420" s="15" t="s">
        <v>31</v>
      </c>
      <c r="D420" s="15" t="s">
        <v>559</v>
      </c>
      <c r="E420" s="15" t="n">
        <v>2</v>
      </c>
      <c r="H420" s="10"/>
      <c r="I420" s="21"/>
      <c r="M420" s="10"/>
      <c r="N420" s="10"/>
      <c r="P420" s="10"/>
      <c r="Q420" s="22"/>
    </row>
    <row r="421" customFormat="false" ht="15.75" hidden="false" customHeight="false" outlineLevel="0" collapsed="false">
      <c r="A421" s="20" t="n">
        <v>46080</v>
      </c>
      <c r="B421" s="15" t="s">
        <v>491</v>
      </c>
      <c r="C421" s="15" t="s">
        <v>545</v>
      </c>
      <c r="D421" s="15" t="s">
        <v>546</v>
      </c>
      <c r="E421" s="15" t="n">
        <v>2</v>
      </c>
      <c r="H421" s="10"/>
      <c r="I421" s="21"/>
      <c r="M421" s="10"/>
      <c r="N421" s="10"/>
      <c r="P421" s="10"/>
      <c r="Q421" s="22"/>
    </row>
    <row r="422" customFormat="false" ht="15.75" hidden="false" customHeight="false" outlineLevel="0" collapsed="false">
      <c r="A422" s="20" t="n">
        <v>46080</v>
      </c>
      <c r="B422" s="15" t="s">
        <v>491</v>
      </c>
      <c r="C422" s="15" t="s">
        <v>543</v>
      </c>
      <c r="D422" s="15" t="s">
        <v>544</v>
      </c>
      <c r="E422" s="15" t="n">
        <v>4</v>
      </c>
      <c r="H422" s="10"/>
      <c r="I422" s="21"/>
      <c r="M422" s="10"/>
      <c r="N422" s="10"/>
      <c r="P422" s="10"/>
      <c r="Q422" s="22"/>
    </row>
    <row r="423" customFormat="false" ht="15.75" hidden="false" customHeight="false" outlineLevel="0" collapsed="false">
      <c r="A423" s="20" t="n">
        <v>46080</v>
      </c>
      <c r="B423" s="15" t="s">
        <v>491</v>
      </c>
      <c r="C423" s="15" t="s">
        <v>541</v>
      </c>
      <c r="D423" s="15" t="s">
        <v>542</v>
      </c>
      <c r="E423" s="15" t="n">
        <v>2</v>
      </c>
      <c r="H423" s="10"/>
      <c r="I423" s="21"/>
      <c r="M423" s="10"/>
      <c r="N423" s="10"/>
      <c r="P423" s="10"/>
      <c r="Q423" s="22"/>
    </row>
    <row r="424" customFormat="false" ht="15.75" hidden="false" customHeight="false" outlineLevel="0" collapsed="false">
      <c r="A424" s="20" t="n">
        <v>46080</v>
      </c>
      <c r="B424" s="15" t="s">
        <v>491</v>
      </c>
      <c r="C424" s="15" t="s">
        <v>49</v>
      </c>
      <c r="D424" s="15" t="s">
        <v>537</v>
      </c>
      <c r="E424" s="15" t="n">
        <v>1</v>
      </c>
      <c r="H424" s="10"/>
      <c r="I424" s="21"/>
      <c r="M424" s="10"/>
      <c r="N424" s="10"/>
      <c r="P424" s="10"/>
      <c r="Q424" s="22"/>
    </row>
    <row r="425" customFormat="false" ht="15.75" hidden="false" customHeight="false" outlineLevel="0" collapsed="false">
      <c r="A425" s="20" t="n">
        <v>46080</v>
      </c>
      <c r="B425" s="15" t="s">
        <v>491</v>
      </c>
      <c r="C425" s="15" t="s">
        <v>33</v>
      </c>
      <c r="D425" s="15" t="s">
        <v>536</v>
      </c>
      <c r="E425" s="15" t="n">
        <v>5</v>
      </c>
      <c r="H425" s="10"/>
      <c r="I425" s="21"/>
      <c r="M425" s="10"/>
      <c r="N425" s="10"/>
      <c r="P425" s="10"/>
      <c r="Q425" s="22"/>
    </row>
    <row r="426" customFormat="false" ht="15.75" hidden="false" customHeight="false" outlineLevel="0" collapsed="false">
      <c r="A426" s="20" t="n">
        <v>46080</v>
      </c>
      <c r="B426" s="15" t="s">
        <v>491</v>
      </c>
      <c r="C426" s="15" t="s">
        <v>77</v>
      </c>
      <c r="D426" s="15" t="s">
        <v>78</v>
      </c>
      <c r="E426" s="15" t="n">
        <v>3</v>
      </c>
      <c r="H426" s="10"/>
      <c r="I426" s="21"/>
      <c r="M426" s="10"/>
      <c r="N426" s="10"/>
      <c r="P426" s="10"/>
      <c r="Q426" s="22"/>
    </row>
    <row r="427" customFormat="false" ht="15.75" hidden="false" customHeight="false" outlineLevel="0" collapsed="false">
      <c r="A427" s="20" t="n">
        <v>46080</v>
      </c>
      <c r="B427" s="15" t="s">
        <v>491</v>
      </c>
      <c r="C427" s="15" t="s">
        <v>47</v>
      </c>
      <c r="D427" s="15" t="s">
        <v>549</v>
      </c>
      <c r="E427" s="15" t="n">
        <v>1</v>
      </c>
      <c r="H427" s="10"/>
      <c r="I427" s="21"/>
      <c r="M427" s="10"/>
      <c r="N427" s="10"/>
      <c r="P427" s="10"/>
      <c r="Q427" s="22"/>
    </row>
    <row r="428" customFormat="false" ht="15.75" hidden="false" customHeight="false" outlineLevel="0" collapsed="false">
      <c r="A428" s="20" t="n">
        <v>46080</v>
      </c>
      <c r="B428" s="15" t="s">
        <v>491</v>
      </c>
      <c r="C428" s="15" t="s">
        <v>55</v>
      </c>
      <c r="D428" s="15" t="s">
        <v>539</v>
      </c>
      <c r="E428" s="15" t="n">
        <v>1</v>
      </c>
      <c r="H428" s="10"/>
      <c r="I428" s="21"/>
      <c r="M428" s="10"/>
      <c r="N428" s="10"/>
      <c r="P428" s="10"/>
      <c r="Q428" s="22"/>
    </row>
    <row r="429" customFormat="false" ht="15.75" hidden="false" customHeight="false" outlineLevel="0" collapsed="false">
      <c r="A429" s="20" t="n">
        <v>46080</v>
      </c>
      <c r="B429" s="15" t="s">
        <v>491</v>
      </c>
      <c r="C429" s="15" t="s">
        <v>59</v>
      </c>
      <c r="D429" s="15" t="s">
        <v>562</v>
      </c>
      <c r="E429" s="15" t="n">
        <v>1</v>
      </c>
      <c r="H429" s="10"/>
      <c r="I429" s="21"/>
      <c r="M429" s="10"/>
      <c r="N429" s="10"/>
      <c r="P429" s="10"/>
      <c r="Q429" s="22"/>
    </row>
    <row r="430" customFormat="false" ht="15.75" hidden="false" customHeight="false" outlineLevel="0" collapsed="false">
      <c r="A430" s="20" t="n">
        <v>46080</v>
      </c>
      <c r="B430" s="15" t="s">
        <v>491</v>
      </c>
      <c r="C430" s="15" t="s">
        <v>43</v>
      </c>
      <c r="D430" s="15" t="s">
        <v>538</v>
      </c>
      <c r="E430" s="15" t="n">
        <v>1</v>
      </c>
      <c r="H430" s="10"/>
      <c r="I430" s="21"/>
      <c r="M430" s="10"/>
      <c r="N430" s="10"/>
      <c r="P430" s="10"/>
      <c r="Q430" s="22"/>
    </row>
    <row r="431" customFormat="false" ht="15.75" hidden="false" customHeight="false" outlineLevel="0" collapsed="false">
      <c r="A431" s="20" t="n">
        <v>46080</v>
      </c>
      <c r="B431" s="15" t="s">
        <v>491</v>
      </c>
      <c r="C431" s="15" t="s">
        <v>87</v>
      </c>
      <c r="D431" s="15" t="s">
        <v>563</v>
      </c>
      <c r="E431" s="15" t="n">
        <v>1</v>
      </c>
      <c r="H431" s="10"/>
      <c r="I431" s="21"/>
      <c r="M431" s="10"/>
      <c r="N431" s="10"/>
      <c r="P431" s="10"/>
      <c r="Q431" s="22"/>
    </row>
    <row r="432" customFormat="false" ht="15.75" hidden="false" customHeight="false" outlineLevel="0" collapsed="false">
      <c r="A432" s="20" t="n">
        <v>46080</v>
      </c>
      <c r="B432" s="15" t="s">
        <v>491</v>
      </c>
      <c r="C432" s="15" t="s">
        <v>79</v>
      </c>
      <c r="D432" s="15" t="s">
        <v>564</v>
      </c>
      <c r="E432" s="15" t="n">
        <v>1</v>
      </c>
      <c r="H432" s="10"/>
      <c r="I432" s="21"/>
      <c r="M432" s="10"/>
      <c r="N432" s="10"/>
      <c r="P432" s="10"/>
      <c r="Q432" s="22"/>
    </row>
    <row r="433" customFormat="false" ht="15.75" hidden="false" customHeight="false" outlineLevel="0" collapsed="false">
      <c r="A433" s="20" t="n">
        <v>46080</v>
      </c>
      <c r="B433" s="15" t="s">
        <v>504</v>
      </c>
      <c r="C433" s="15" t="s">
        <v>47</v>
      </c>
      <c r="D433" s="15" t="s">
        <v>549</v>
      </c>
      <c r="E433" s="15" t="n">
        <v>3</v>
      </c>
      <c r="H433" s="10"/>
      <c r="I433" s="21"/>
      <c r="M433" s="10"/>
      <c r="N433" s="10"/>
      <c r="P433" s="10"/>
      <c r="Q433" s="22"/>
    </row>
    <row r="434" customFormat="false" ht="15.75" hidden="false" customHeight="false" outlineLevel="0" collapsed="false">
      <c r="A434" s="20" t="n">
        <v>46080</v>
      </c>
      <c r="B434" s="15" t="s">
        <v>504</v>
      </c>
      <c r="C434" s="15" t="s">
        <v>55</v>
      </c>
      <c r="D434" s="15" t="s">
        <v>539</v>
      </c>
      <c r="E434" s="15" t="n">
        <v>6</v>
      </c>
      <c r="H434" s="10"/>
      <c r="I434" s="21"/>
      <c r="M434" s="10"/>
      <c r="N434" s="10"/>
      <c r="P434" s="10"/>
      <c r="Q434" s="22"/>
    </row>
    <row r="435" customFormat="false" ht="15.75" hidden="false" customHeight="false" outlineLevel="0" collapsed="false">
      <c r="A435" s="20" t="n">
        <v>46080</v>
      </c>
      <c r="B435" s="15" t="s">
        <v>504</v>
      </c>
      <c r="C435" s="15" t="s">
        <v>81</v>
      </c>
      <c r="D435" s="15" t="s">
        <v>534</v>
      </c>
      <c r="E435" s="15" t="n">
        <v>9</v>
      </c>
      <c r="H435" s="10"/>
      <c r="I435" s="21"/>
      <c r="M435" s="10"/>
      <c r="N435" s="10"/>
      <c r="P435" s="10"/>
      <c r="Q435" s="22"/>
    </row>
    <row r="436" customFormat="false" ht="15.75" hidden="false" customHeight="false" outlineLevel="0" collapsed="false">
      <c r="A436" s="20" t="n">
        <v>46080</v>
      </c>
      <c r="B436" s="15" t="s">
        <v>504</v>
      </c>
      <c r="C436" s="15" t="s">
        <v>39</v>
      </c>
      <c r="D436" s="15" t="s">
        <v>550</v>
      </c>
      <c r="E436" s="15" t="n">
        <v>1</v>
      </c>
      <c r="H436" s="10"/>
      <c r="I436" s="21"/>
      <c r="M436" s="10"/>
      <c r="N436" s="10"/>
      <c r="P436" s="10"/>
      <c r="Q436" s="22"/>
    </row>
    <row r="437" customFormat="false" ht="15.75" hidden="false" customHeight="false" outlineLevel="0" collapsed="false">
      <c r="A437" s="20" t="n">
        <v>46080</v>
      </c>
      <c r="B437" s="15" t="s">
        <v>504</v>
      </c>
      <c r="C437" s="15" t="s">
        <v>63</v>
      </c>
      <c r="D437" s="15" t="s">
        <v>551</v>
      </c>
      <c r="E437" s="15" t="n">
        <v>1</v>
      </c>
      <c r="H437" s="10"/>
      <c r="I437" s="21"/>
      <c r="M437" s="10"/>
      <c r="N437" s="10"/>
      <c r="P437" s="10"/>
      <c r="Q437" s="22"/>
    </row>
    <row r="438" customFormat="false" ht="15.75" hidden="false" customHeight="false" outlineLevel="0" collapsed="false">
      <c r="A438" s="20" t="n">
        <v>46080</v>
      </c>
      <c r="B438" s="15" t="s">
        <v>504</v>
      </c>
      <c r="C438" s="15" t="s">
        <v>17</v>
      </c>
      <c r="D438" s="15" t="s">
        <v>554</v>
      </c>
      <c r="E438" s="15" t="n">
        <v>1</v>
      </c>
      <c r="H438" s="10"/>
      <c r="I438" s="21"/>
      <c r="M438" s="10"/>
      <c r="N438" s="10"/>
      <c r="P438" s="10"/>
      <c r="Q438" s="22"/>
    </row>
    <row r="439" customFormat="false" ht="15.75" hidden="false" customHeight="false" outlineLevel="0" collapsed="false">
      <c r="A439" s="20" t="n">
        <v>46080</v>
      </c>
      <c r="B439" s="15" t="s">
        <v>508</v>
      </c>
      <c r="C439" s="15" t="s">
        <v>55</v>
      </c>
      <c r="D439" s="15" t="s">
        <v>539</v>
      </c>
      <c r="E439" s="15" t="n">
        <v>5</v>
      </c>
      <c r="H439" s="10"/>
      <c r="I439" s="21"/>
      <c r="M439" s="10"/>
      <c r="N439" s="10"/>
      <c r="P439" s="10"/>
      <c r="Q439" s="22"/>
    </row>
    <row r="440" customFormat="false" ht="15.75" hidden="false" customHeight="false" outlineLevel="0" collapsed="false">
      <c r="A440" s="20" t="n">
        <v>46080</v>
      </c>
      <c r="B440" s="15" t="s">
        <v>508</v>
      </c>
      <c r="C440" s="15" t="s">
        <v>81</v>
      </c>
      <c r="D440" s="15" t="s">
        <v>534</v>
      </c>
      <c r="E440" s="15" t="n">
        <v>9</v>
      </c>
      <c r="H440" s="10"/>
      <c r="I440" s="21"/>
      <c r="M440" s="10"/>
      <c r="N440" s="10"/>
      <c r="P440" s="10"/>
      <c r="Q440" s="22"/>
    </row>
    <row r="441" customFormat="false" ht="15.75" hidden="false" customHeight="false" outlineLevel="0" collapsed="false">
      <c r="A441" s="20" t="n">
        <v>46080</v>
      </c>
      <c r="B441" s="15" t="s">
        <v>508</v>
      </c>
      <c r="C441" s="15" t="s">
        <v>39</v>
      </c>
      <c r="D441" s="15" t="s">
        <v>550</v>
      </c>
      <c r="E441" s="15" t="n">
        <v>2</v>
      </c>
      <c r="H441" s="10"/>
      <c r="I441" s="21"/>
      <c r="M441" s="10"/>
      <c r="N441" s="10"/>
      <c r="P441" s="10"/>
      <c r="Q441" s="22"/>
    </row>
    <row r="442" customFormat="false" ht="15.75" hidden="false" customHeight="false" outlineLevel="0" collapsed="false">
      <c r="A442" s="20" t="n">
        <v>46080</v>
      </c>
      <c r="B442" s="15" t="s">
        <v>508</v>
      </c>
      <c r="C442" s="15" t="s">
        <v>47</v>
      </c>
      <c r="D442" s="15" t="s">
        <v>549</v>
      </c>
      <c r="E442" s="15" t="n">
        <v>2</v>
      </c>
      <c r="H442" s="10"/>
      <c r="I442" s="21"/>
      <c r="M442" s="10"/>
      <c r="N442" s="10"/>
      <c r="P442" s="10"/>
      <c r="Q442" s="22"/>
    </row>
    <row r="443" customFormat="false" ht="15.75" hidden="false" customHeight="false" outlineLevel="0" collapsed="false">
      <c r="A443" s="20" t="n">
        <v>46080</v>
      </c>
      <c r="B443" s="15" t="s">
        <v>508</v>
      </c>
      <c r="C443" s="15" t="s">
        <v>63</v>
      </c>
      <c r="D443" s="15" t="s">
        <v>551</v>
      </c>
      <c r="E443" s="15" t="n">
        <v>1</v>
      </c>
      <c r="H443" s="10"/>
      <c r="I443" s="21"/>
      <c r="M443" s="10"/>
      <c r="N443" s="10"/>
      <c r="P443" s="10"/>
      <c r="Q443" s="22"/>
    </row>
    <row r="444" customFormat="false" ht="15.75" hidden="false" customHeight="false" outlineLevel="0" collapsed="false">
      <c r="A444" s="20" t="n">
        <v>46080</v>
      </c>
      <c r="B444" s="15" t="s">
        <v>509</v>
      </c>
      <c r="C444" s="15" t="s">
        <v>69</v>
      </c>
      <c r="D444" s="15" t="s">
        <v>535</v>
      </c>
      <c r="E444" s="15" t="n">
        <v>6</v>
      </c>
      <c r="H444" s="10"/>
      <c r="I444" s="21"/>
      <c r="M444" s="10"/>
      <c r="N444" s="10"/>
      <c r="P444" s="10"/>
      <c r="Q444" s="22"/>
    </row>
    <row r="445" customFormat="false" ht="15.75" hidden="false" customHeight="false" outlineLevel="0" collapsed="false">
      <c r="A445" s="20" t="n">
        <v>46080</v>
      </c>
      <c r="B445" s="15" t="s">
        <v>509</v>
      </c>
      <c r="C445" s="15" t="s">
        <v>33</v>
      </c>
      <c r="D445" s="15" t="s">
        <v>536</v>
      </c>
      <c r="E445" s="15" t="n">
        <v>6</v>
      </c>
      <c r="H445" s="10"/>
      <c r="I445" s="21"/>
      <c r="M445" s="10"/>
      <c r="N445" s="10"/>
      <c r="P445" s="10"/>
      <c r="Q445" s="22"/>
    </row>
    <row r="446" customFormat="false" ht="15.75" hidden="false" customHeight="false" outlineLevel="0" collapsed="false">
      <c r="A446" s="20" t="n">
        <v>46080</v>
      </c>
      <c r="B446" s="15" t="s">
        <v>509</v>
      </c>
      <c r="C446" s="15" t="s">
        <v>55</v>
      </c>
      <c r="D446" s="15" t="s">
        <v>539</v>
      </c>
      <c r="E446" s="15" t="n">
        <v>3</v>
      </c>
      <c r="H446" s="10"/>
      <c r="I446" s="21"/>
      <c r="M446" s="10"/>
      <c r="N446" s="10"/>
      <c r="P446" s="10"/>
      <c r="Q446" s="22"/>
    </row>
    <row r="447" customFormat="false" ht="15.75" hidden="false" customHeight="false" outlineLevel="0" collapsed="false">
      <c r="A447" s="20" t="n">
        <v>46080</v>
      </c>
      <c r="B447" s="15" t="s">
        <v>509</v>
      </c>
      <c r="C447" s="15" t="s">
        <v>547</v>
      </c>
      <c r="D447" s="15" t="s">
        <v>548</v>
      </c>
      <c r="E447" s="15" t="n">
        <v>1</v>
      </c>
      <c r="H447" s="10"/>
      <c r="I447" s="21"/>
      <c r="M447" s="10"/>
      <c r="N447" s="10"/>
      <c r="P447" s="10"/>
      <c r="Q447" s="22"/>
    </row>
    <row r="448" customFormat="false" ht="15.75" hidden="false" customHeight="false" outlineLevel="0" collapsed="false">
      <c r="A448" s="20" t="n">
        <v>46080</v>
      </c>
      <c r="B448" s="15" t="s">
        <v>509</v>
      </c>
      <c r="C448" s="15" t="s">
        <v>81</v>
      </c>
      <c r="D448" s="15" t="s">
        <v>534</v>
      </c>
      <c r="E448" s="15" t="n">
        <v>2</v>
      </c>
      <c r="H448" s="10"/>
      <c r="I448" s="21"/>
      <c r="M448" s="10"/>
      <c r="N448" s="10"/>
      <c r="P448" s="10"/>
      <c r="Q448" s="22"/>
    </row>
    <row r="449" customFormat="false" ht="15.75" hidden="false" customHeight="false" outlineLevel="0" collapsed="false">
      <c r="A449" s="20" t="n">
        <v>46080</v>
      </c>
      <c r="B449" s="15" t="s">
        <v>509</v>
      </c>
      <c r="C449" s="15" t="s">
        <v>37</v>
      </c>
      <c r="D449" s="15" t="s">
        <v>561</v>
      </c>
      <c r="E449" s="15" t="n">
        <v>1</v>
      </c>
      <c r="H449" s="10"/>
      <c r="I449" s="21"/>
      <c r="M449" s="10"/>
      <c r="N449" s="10"/>
      <c r="P449" s="10"/>
      <c r="Q449" s="22"/>
    </row>
    <row r="450" customFormat="false" ht="15.75" hidden="false" customHeight="false" outlineLevel="0" collapsed="false">
      <c r="A450" s="20" t="n">
        <v>46080</v>
      </c>
      <c r="B450" s="15" t="s">
        <v>510</v>
      </c>
      <c r="C450" s="15" t="s">
        <v>89</v>
      </c>
      <c r="D450" s="15" t="s">
        <v>574</v>
      </c>
      <c r="E450" s="15" t="n">
        <v>2</v>
      </c>
      <c r="H450" s="10"/>
      <c r="I450" s="21"/>
      <c r="M450" s="10"/>
      <c r="N450" s="10"/>
      <c r="P450" s="10"/>
      <c r="Q450" s="22"/>
    </row>
    <row r="451" customFormat="false" ht="15.75" hidden="false" customHeight="false" outlineLevel="0" collapsed="false">
      <c r="A451" s="20" t="n">
        <v>46080</v>
      </c>
      <c r="B451" s="15" t="s">
        <v>510</v>
      </c>
      <c r="C451" s="15" t="s">
        <v>55</v>
      </c>
      <c r="D451" s="15" t="s">
        <v>539</v>
      </c>
      <c r="E451" s="15" t="n">
        <v>2</v>
      </c>
      <c r="H451" s="10"/>
      <c r="I451" s="21"/>
      <c r="M451" s="10"/>
      <c r="N451" s="10"/>
      <c r="P451" s="10"/>
      <c r="Q451" s="22"/>
    </row>
    <row r="452" customFormat="false" ht="15.75" hidden="false" customHeight="false" outlineLevel="0" collapsed="false">
      <c r="A452" s="20" t="n">
        <v>46080</v>
      </c>
      <c r="B452" s="15" t="s">
        <v>510</v>
      </c>
      <c r="C452" s="15" t="s">
        <v>23</v>
      </c>
      <c r="D452" s="15" t="s">
        <v>575</v>
      </c>
      <c r="E452" s="15" t="n">
        <v>1</v>
      </c>
      <c r="H452" s="10"/>
      <c r="I452" s="21"/>
      <c r="M452" s="10"/>
      <c r="N452" s="10"/>
      <c r="P452" s="10"/>
      <c r="Q452" s="22"/>
    </row>
    <row r="453" customFormat="false" ht="15.75" hidden="false" customHeight="false" outlineLevel="0" collapsed="false">
      <c r="A453" s="20" t="n">
        <v>46080</v>
      </c>
      <c r="B453" s="15" t="s">
        <v>510</v>
      </c>
      <c r="C453" s="15" t="s">
        <v>51</v>
      </c>
      <c r="D453" s="15" t="s">
        <v>573</v>
      </c>
      <c r="E453" s="15" t="n">
        <v>1</v>
      </c>
      <c r="H453" s="10"/>
      <c r="I453" s="21"/>
      <c r="M453" s="10"/>
      <c r="N453" s="10"/>
      <c r="P453" s="10"/>
      <c r="Q453" s="22"/>
    </row>
    <row r="454" customFormat="false" ht="15.75" hidden="false" customHeight="false" outlineLevel="0" collapsed="false">
      <c r="A454" s="20" t="n">
        <v>46080</v>
      </c>
      <c r="B454" s="15" t="s">
        <v>510</v>
      </c>
      <c r="C454" s="15" t="s">
        <v>69</v>
      </c>
      <c r="D454" s="15" t="s">
        <v>535</v>
      </c>
      <c r="E454" s="15" t="n">
        <v>6</v>
      </c>
      <c r="H454" s="10"/>
      <c r="I454" s="21"/>
      <c r="M454" s="10"/>
      <c r="N454" s="10"/>
      <c r="P454" s="10"/>
      <c r="Q454" s="22"/>
    </row>
    <row r="455" customFormat="false" ht="15.75" hidden="false" customHeight="false" outlineLevel="0" collapsed="false">
      <c r="A455" s="20" t="n">
        <v>46080</v>
      </c>
      <c r="B455" s="15" t="s">
        <v>510</v>
      </c>
      <c r="C455" s="15" t="s">
        <v>33</v>
      </c>
      <c r="D455" s="15" t="s">
        <v>536</v>
      </c>
      <c r="E455" s="15" t="n">
        <v>6</v>
      </c>
      <c r="H455" s="10"/>
      <c r="I455" s="21"/>
      <c r="M455" s="10"/>
      <c r="N455" s="10"/>
      <c r="P455" s="10"/>
      <c r="Q455" s="22"/>
    </row>
    <row r="456" customFormat="false" ht="15.75" hidden="false" customHeight="false" outlineLevel="0" collapsed="false">
      <c r="A456" s="20" t="n">
        <v>46080</v>
      </c>
      <c r="B456" s="15" t="s">
        <v>515</v>
      </c>
      <c r="C456" s="15" t="s">
        <v>69</v>
      </c>
      <c r="D456" s="15" t="s">
        <v>535</v>
      </c>
      <c r="E456" s="15" t="n">
        <v>6</v>
      </c>
      <c r="H456" s="10"/>
      <c r="I456" s="21"/>
      <c r="M456" s="10"/>
      <c r="N456" s="10"/>
      <c r="P456" s="10"/>
      <c r="Q456" s="22"/>
    </row>
    <row r="457" customFormat="false" ht="15.75" hidden="false" customHeight="false" outlineLevel="0" collapsed="false">
      <c r="A457" s="20" t="n">
        <v>46080</v>
      </c>
      <c r="B457" s="15" t="s">
        <v>515</v>
      </c>
      <c r="C457" s="15" t="s">
        <v>33</v>
      </c>
      <c r="D457" s="15" t="s">
        <v>536</v>
      </c>
      <c r="E457" s="15" t="n">
        <v>6</v>
      </c>
      <c r="H457" s="10"/>
      <c r="I457" s="21"/>
      <c r="M457" s="10"/>
      <c r="N457" s="10"/>
      <c r="P457" s="10"/>
      <c r="Q457" s="22"/>
    </row>
    <row r="458" customFormat="false" ht="15.75" hidden="false" customHeight="false" outlineLevel="0" collapsed="false">
      <c r="A458" s="20" t="n">
        <v>46080</v>
      </c>
      <c r="B458" s="15" t="s">
        <v>515</v>
      </c>
      <c r="C458" s="15" t="s">
        <v>55</v>
      </c>
      <c r="D458" s="15" t="s">
        <v>539</v>
      </c>
      <c r="E458" s="15" t="n">
        <v>4</v>
      </c>
      <c r="H458" s="10"/>
      <c r="I458" s="21"/>
      <c r="M458" s="10"/>
      <c r="N458" s="10"/>
      <c r="P458" s="10"/>
      <c r="Q458" s="22"/>
    </row>
    <row r="459" customFormat="false" ht="15.75" hidden="false" customHeight="false" outlineLevel="0" collapsed="false">
      <c r="A459" s="20" t="n">
        <v>46080</v>
      </c>
      <c r="B459" s="15" t="s">
        <v>515</v>
      </c>
      <c r="C459" s="15" t="s">
        <v>27</v>
      </c>
      <c r="D459" s="15" t="s">
        <v>577</v>
      </c>
      <c r="E459" s="15" t="n">
        <v>1</v>
      </c>
      <c r="H459" s="10"/>
      <c r="I459" s="21"/>
      <c r="M459" s="10"/>
      <c r="N459" s="10"/>
      <c r="P459" s="10"/>
      <c r="Q459" s="22"/>
    </row>
    <row r="460" customFormat="false" ht="15.75" hidden="false" customHeight="false" outlineLevel="0" collapsed="false">
      <c r="A460" s="20" t="n">
        <v>46080</v>
      </c>
      <c r="B460" s="15" t="s">
        <v>515</v>
      </c>
      <c r="C460" s="15" t="s">
        <v>51</v>
      </c>
      <c r="D460" s="15" t="s">
        <v>573</v>
      </c>
      <c r="E460" s="15" t="n">
        <v>1</v>
      </c>
      <c r="H460" s="10"/>
      <c r="I460" s="21"/>
      <c r="M460" s="10"/>
      <c r="N460" s="10"/>
      <c r="P460" s="10"/>
      <c r="Q460" s="22"/>
    </row>
    <row r="461" customFormat="false" ht="15.75" hidden="false" customHeight="false" outlineLevel="0" collapsed="false">
      <c r="A461" s="20" t="n">
        <v>46080</v>
      </c>
      <c r="B461" s="15" t="s">
        <v>515</v>
      </c>
      <c r="C461" s="15" t="s">
        <v>37</v>
      </c>
      <c r="D461" s="15" t="s">
        <v>561</v>
      </c>
      <c r="E461" s="15" t="n">
        <v>1</v>
      </c>
      <c r="H461" s="10"/>
      <c r="I461" s="21"/>
      <c r="M461" s="10"/>
      <c r="N461" s="10"/>
      <c r="P461" s="10"/>
      <c r="Q461" s="22"/>
    </row>
    <row r="462" customFormat="false" ht="15.75" hidden="false" customHeight="false" outlineLevel="0" collapsed="false">
      <c r="A462" s="20" t="n">
        <v>46080</v>
      </c>
      <c r="B462" s="15" t="s">
        <v>515</v>
      </c>
      <c r="C462" s="15" t="s">
        <v>81</v>
      </c>
      <c r="D462" s="15" t="s">
        <v>534</v>
      </c>
      <c r="E462" s="15" t="n">
        <v>2</v>
      </c>
      <c r="H462" s="10"/>
      <c r="I462" s="21"/>
      <c r="M462" s="10"/>
      <c r="N462" s="10"/>
      <c r="P462" s="10"/>
      <c r="Q462" s="22"/>
    </row>
    <row r="463" customFormat="false" ht="15.75" hidden="false" customHeight="false" outlineLevel="0" collapsed="false">
      <c r="A463" s="20" t="n">
        <v>46080</v>
      </c>
      <c r="B463" s="15" t="s">
        <v>515</v>
      </c>
      <c r="C463" s="15" t="s">
        <v>77</v>
      </c>
      <c r="D463" s="15" t="s">
        <v>78</v>
      </c>
      <c r="E463" s="15" t="n">
        <v>4</v>
      </c>
      <c r="H463" s="10"/>
      <c r="I463" s="21"/>
      <c r="M463" s="10"/>
      <c r="N463" s="10"/>
      <c r="P463" s="10"/>
      <c r="Q463" s="22"/>
    </row>
    <row r="464" customFormat="false" ht="15.75" hidden="false" customHeight="false" outlineLevel="0" collapsed="false">
      <c r="A464" s="20" t="n">
        <v>46083</v>
      </c>
      <c r="B464" s="15" t="s">
        <v>453</v>
      </c>
      <c r="C464" s="15" t="s">
        <v>47</v>
      </c>
      <c r="D464" s="15" t="s">
        <v>549</v>
      </c>
      <c r="E464" s="15" t="n">
        <v>2</v>
      </c>
      <c r="H464" s="10"/>
      <c r="I464" s="21"/>
      <c r="M464" s="10"/>
      <c r="N464" s="10"/>
      <c r="P464" s="10"/>
      <c r="Q464" s="22"/>
    </row>
    <row r="465" customFormat="false" ht="15.75" hidden="false" customHeight="false" outlineLevel="0" collapsed="false">
      <c r="A465" s="20" t="n">
        <v>46083</v>
      </c>
      <c r="B465" s="15" t="s">
        <v>453</v>
      </c>
      <c r="C465" s="15" t="s">
        <v>55</v>
      </c>
      <c r="D465" s="15" t="s">
        <v>539</v>
      </c>
      <c r="E465" s="15" t="n">
        <v>4</v>
      </c>
      <c r="H465" s="10"/>
      <c r="I465" s="21"/>
      <c r="M465" s="10"/>
      <c r="N465" s="10"/>
      <c r="P465" s="10"/>
      <c r="Q465" s="22"/>
    </row>
    <row r="466" customFormat="false" ht="15.75" hidden="false" customHeight="false" outlineLevel="0" collapsed="false">
      <c r="A466" s="20" t="n">
        <v>46083</v>
      </c>
      <c r="B466" s="15" t="s">
        <v>453</v>
      </c>
      <c r="C466" s="15" t="s">
        <v>81</v>
      </c>
      <c r="D466" s="15" t="s">
        <v>534</v>
      </c>
      <c r="E466" s="15" t="n">
        <v>8</v>
      </c>
      <c r="H466" s="10"/>
      <c r="I466" s="21"/>
      <c r="M466" s="10"/>
      <c r="N466" s="10"/>
      <c r="P466" s="10"/>
      <c r="Q466" s="22"/>
    </row>
    <row r="467" customFormat="false" ht="15.75" hidden="false" customHeight="false" outlineLevel="0" collapsed="false">
      <c r="A467" s="20" t="n">
        <v>46083</v>
      </c>
      <c r="B467" s="15" t="s">
        <v>453</v>
      </c>
      <c r="C467" s="15" t="s">
        <v>39</v>
      </c>
      <c r="D467" s="15" t="s">
        <v>550</v>
      </c>
      <c r="E467" s="15" t="n">
        <v>2</v>
      </c>
      <c r="H467" s="10"/>
      <c r="I467" s="21"/>
      <c r="M467" s="10"/>
      <c r="N467" s="10"/>
      <c r="P467" s="10"/>
      <c r="Q467" s="22"/>
    </row>
    <row r="468" customFormat="false" ht="15.75" hidden="false" customHeight="false" outlineLevel="0" collapsed="false">
      <c r="A468" s="20" t="n">
        <v>46083</v>
      </c>
      <c r="B468" s="15" t="s">
        <v>453</v>
      </c>
      <c r="C468" s="15" t="s">
        <v>63</v>
      </c>
      <c r="D468" s="15" t="s">
        <v>551</v>
      </c>
      <c r="E468" s="15" t="n">
        <v>1</v>
      </c>
      <c r="H468" s="10"/>
      <c r="I468" s="21"/>
      <c r="M468" s="10"/>
      <c r="N468" s="10"/>
      <c r="P468" s="10"/>
      <c r="Q468" s="22"/>
    </row>
    <row r="469" customFormat="false" ht="15.75" hidden="false" customHeight="false" outlineLevel="0" collapsed="false">
      <c r="A469" s="20" t="n">
        <v>46083</v>
      </c>
      <c r="B469" s="15" t="s">
        <v>453</v>
      </c>
      <c r="C469" s="15" t="s">
        <v>35</v>
      </c>
      <c r="D469" s="15" t="s">
        <v>552</v>
      </c>
      <c r="E469" s="15" t="n">
        <v>2</v>
      </c>
      <c r="H469" s="10"/>
      <c r="I469" s="21"/>
      <c r="M469" s="10"/>
      <c r="N469" s="10"/>
      <c r="P469" s="10"/>
      <c r="Q469" s="22"/>
    </row>
    <row r="470" customFormat="false" ht="15.75" hidden="false" customHeight="false" outlineLevel="0" collapsed="false">
      <c r="A470" s="20" t="n">
        <v>46083</v>
      </c>
      <c r="B470" s="15" t="s">
        <v>474</v>
      </c>
      <c r="C470" s="15" t="s">
        <v>555</v>
      </c>
      <c r="D470" s="15" t="s">
        <v>556</v>
      </c>
      <c r="E470" s="15" t="n">
        <v>8</v>
      </c>
      <c r="H470" s="10"/>
      <c r="I470" s="21"/>
      <c r="M470" s="10"/>
      <c r="N470" s="10"/>
      <c r="P470" s="10"/>
      <c r="Q470" s="22"/>
    </row>
    <row r="471" customFormat="false" ht="15.75" hidden="false" customHeight="false" outlineLevel="0" collapsed="false">
      <c r="A471" s="20" t="n">
        <v>46083</v>
      </c>
      <c r="B471" s="15" t="s">
        <v>474</v>
      </c>
      <c r="C471" s="15" t="s">
        <v>565</v>
      </c>
      <c r="D471" s="15" t="s">
        <v>566</v>
      </c>
      <c r="E471" s="15" t="n">
        <v>4</v>
      </c>
      <c r="H471" s="10"/>
      <c r="I471" s="21"/>
      <c r="M471" s="10"/>
      <c r="N471" s="10"/>
      <c r="P471" s="10"/>
      <c r="Q471" s="22"/>
    </row>
    <row r="472" customFormat="false" ht="15.75" hidden="false" customHeight="false" outlineLevel="0" collapsed="false">
      <c r="A472" s="20" t="n">
        <v>46083</v>
      </c>
      <c r="B472" s="15" t="s">
        <v>474</v>
      </c>
      <c r="C472" s="15" t="s">
        <v>11</v>
      </c>
      <c r="D472" s="15" t="s">
        <v>572</v>
      </c>
      <c r="E472" s="15" t="n">
        <v>4</v>
      </c>
      <c r="H472" s="10"/>
      <c r="I472" s="21"/>
      <c r="M472" s="10"/>
      <c r="N472" s="10"/>
      <c r="P472" s="10"/>
      <c r="Q472" s="22"/>
    </row>
    <row r="473" customFormat="false" ht="15.75" hidden="false" customHeight="false" outlineLevel="0" collapsed="false">
      <c r="A473" s="20" t="n">
        <v>46083</v>
      </c>
      <c r="B473" s="15" t="s">
        <v>474</v>
      </c>
      <c r="C473" s="15" t="s">
        <v>543</v>
      </c>
      <c r="D473" s="15" t="s">
        <v>544</v>
      </c>
      <c r="E473" s="15" t="n">
        <v>4</v>
      </c>
      <c r="H473" s="10"/>
      <c r="I473" s="21"/>
      <c r="M473" s="10"/>
      <c r="N473" s="10"/>
      <c r="P473" s="10"/>
      <c r="Q473" s="22"/>
    </row>
    <row r="474" customFormat="false" ht="15.75" hidden="false" customHeight="false" outlineLevel="0" collapsed="false">
      <c r="A474" s="20" t="n">
        <v>46083</v>
      </c>
      <c r="B474" s="15" t="s">
        <v>474</v>
      </c>
      <c r="C474" s="15" t="s">
        <v>91</v>
      </c>
      <c r="D474" s="15" t="s">
        <v>91</v>
      </c>
      <c r="E474" s="15" t="n">
        <v>4</v>
      </c>
      <c r="H474" s="10"/>
      <c r="I474" s="21"/>
      <c r="M474" s="10"/>
      <c r="N474" s="10"/>
      <c r="P474" s="10"/>
      <c r="Q474" s="22"/>
    </row>
    <row r="475" customFormat="false" ht="15.75" hidden="false" customHeight="false" outlineLevel="0" collapsed="false">
      <c r="A475" s="20" t="n">
        <v>46083</v>
      </c>
      <c r="B475" s="15" t="s">
        <v>474</v>
      </c>
      <c r="C475" s="15" t="s">
        <v>25</v>
      </c>
      <c r="D475" s="15" t="s">
        <v>26</v>
      </c>
      <c r="E475" s="15" t="n">
        <v>4</v>
      </c>
      <c r="H475" s="10"/>
      <c r="I475" s="21"/>
      <c r="M475" s="10"/>
      <c r="N475" s="10"/>
      <c r="P475" s="10"/>
      <c r="Q475" s="22"/>
    </row>
    <row r="476" customFormat="false" ht="15.75" hidden="false" customHeight="false" outlineLevel="0" collapsed="false">
      <c r="A476" s="20" t="n">
        <v>46083</v>
      </c>
      <c r="B476" s="15" t="s">
        <v>477</v>
      </c>
      <c r="C476" s="15" t="s">
        <v>69</v>
      </c>
      <c r="D476" s="15" t="s">
        <v>535</v>
      </c>
      <c r="E476" s="15" t="n">
        <v>3</v>
      </c>
      <c r="H476" s="10"/>
      <c r="I476" s="21"/>
      <c r="M476" s="10"/>
      <c r="N476" s="10"/>
      <c r="P476" s="10"/>
      <c r="Q476" s="22"/>
    </row>
    <row r="477" customFormat="false" ht="15.75" hidden="false" customHeight="false" outlineLevel="0" collapsed="false">
      <c r="A477" s="20" t="n">
        <v>46083</v>
      </c>
      <c r="B477" s="15" t="s">
        <v>477</v>
      </c>
      <c r="C477" s="15" t="s">
        <v>547</v>
      </c>
      <c r="D477" s="15" t="s">
        <v>548</v>
      </c>
      <c r="E477" s="15" t="n">
        <v>3</v>
      </c>
      <c r="H477" s="10"/>
      <c r="I477" s="21"/>
      <c r="M477" s="10"/>
      <c r="N477" s="10"/>
      <c r="P477" s="10"/>
      <c r="Q477" s="22"/>
    </row>
    <row r="478" customFormat="false" ht="15.75" hidden="false" customHeight="false" outlineLevel="0" collapsed="false">
      <c r="A478" s="20" t="n">
        <v>46083</v>
      </c>
      <c r="B478" s="15" t="s">
        <v>477</v>
      </c>
      <c r="C478" s="15" t="s">
        <v>25</v>
      </c>
      <c r="D478" s="15" t="s">
        <v>26</v>
      </c>
      <c r="E478" s="15" t="n">
        <v>3</v>
      </c>
      <c r="H478" s="10"/>
      <c r="I478" s="21"/>
      <c r="M478" s="10"/>
      <c r="N478" s="10"/>
      <c r="P478" s="10"/>
      <c r="Q478" s="22"/>
    </row>
    <row r="479" customFormat="false" ht="15.75" hidden="false" customHeight="false" outlineLevel="0" collapsed="false">
      <c r="A479" s="20" t="n">
        <v>46083</v>
      </c>
      <c r="B479" s="15" t="s">
        <v>488</v>
      </c>
      <c r="C479" s="15" t="s">
        <v>69</v>
      </c>
      <c r="D479" s="15" t="s">
        <v>535</v>
      </c>
      <c r="E479" s="15" t="n">
        <v>3</v>
      </c>
      <c r="H479" s="10"/>
      <c r="I479" s="21"/>
      <c r="M479" s="10"/>
      <c r="N479" s="10"/>
      <c r="P479" s="10"/>
      <c r="Q479" s="22"/>
    </row>
    <row r="480" customFormat="false" ht="15.75" hidden="false" customHeight="false" outlineLevel="0" collapsed="false">
      <c r="A480" s="20" t="n">
        <v>46083</v>
      </c>
      <c r="B480" s="15" t="s">
        <v>488</v>
      </c>
      <c r="C480" s="15" t="s">
        <v>555</v>
      </c>
      <c r="D480" s="15" t="s">
        <v>556</v>
      </c>
      <c r="E480" s="15" t="n">
        <v>2</v>
      </c>
      <c r="H480" s="10"/>
      <c r="I480" s="21"/>
      <c r="M480" s="10"/>
      <c r="N480" s="10"/>
      <c r="P480" s="10"/>
      <c r="Q480" s="22"/>
    </row>
    <row r="481" customFormat="false" ht="15.75" hidden="false" customHeight="false" outlineLevel="0" collapsed="false">
      <c r="A481" s="20" t="n">
        <v>46083</v>
      </c>
      <c r="B481" s="15" t="s">
        <v>488</v>
      </c>
      <c r="C481" s="15" t="s">
        <v>565</v>
      </c>
      <c r="D481" s="15" t="s">
        <v>566</v>
      </c>
      <c r="E481" s="15" t="n">
        <v>1</v>
      </c>
      <c r="H481" s="10"/>
      <c r="I481" s="21"/>
      <c r="M481" s="10"/>
      <c r="N481" s="10"/>
      <c r="P481" s="10"/>
      <c r="Q481" s="22"/>
    </row>
    <row r="482" customFormat="false" ht="15.75" hidden="false" customHeight="false" outlineLevel="0" collapsed="false">
      <c r="A482" s="20" t="n">
        <v>46083</v>
      </c>
      <c r="B482" s="15" t="s">
        <v>488</v>
      </c>
      <c r="C482" s="15" t="s">
        <v>545</v>
      </c>
      <c r="D482" s="15" t="s">
        <v>546</v>
      </c>
      <c r="E482" s="15" t="n">
        <v>2</v>
      </c>
      <c r="H482" s="10"/>
      <c r="I482" s="21"/>
      <c r="M482" s="10"/>
      <c r="N482" s="10"/>
      <c r="P482" s="10"/>
      <c r="Q482" s="22"/>
    </row>
    <row r="483" customFormat="false" ht="15.75" hidden="false" customHeight="false" outlineLevel="0" collapsed="false">
      <c r="A483" s="20" t="n">
        <v>46083</v>
      </c>
      <c r="B483" s="15" t="s">
        <v>488</v>
      </c>
      <c r="C483" s="15" t="s">
        <v>578</v>
      </c>
      <c r="D483" s="15" t="s">
        <v>579</v>
      </c>
      <c r="E483" s="15" t="n">
        <v>1</v>
      </c>
      <c r="H483" s="10"/>
      <c r="I483" s="21"/>
      <c r="M483" s="10"/>
      <c r="N483" s="10"/>
      <c r="P483" s="10"/>
      <c r="Q483" s="22"/>
    </row>
    <row r="484" customFormat="false" ht="15.75" hidden="false" customHeight="false" outlineLevel="0" collapsed="false">
      <c r="A484" s="20" t="n">
        <v>46083</v>
      </c>
      <c r="B484" s="15" t="s">
        <v>488</v>
      </c>
      <c r="C484" s="15" t="s">
        <v>570</v>
      </c>
      <c r="D484" s="15" t="s">
        <v>571</v>
      </c>
      <c r="E484" s="15" t="n">
        <v>1</v>
      </c>
      <c r="H484" s="10"/>
      <c r="I484" s="21"/>
      <c r="M484" s="10"/>
      <c r="N484" s="10"/>
      <c r="P484" s="10"/>
      <c r="Q484" s="22"/>
    </row>
    <row r="485" customFormat="false" ht="15.75" hidden="false" customHeight="false" outlineLevel="0" collapsed="false">
      <c r="A485" s="20" t="n">
        <v>46083</v>
      </c>
      <c r="B485" s="15" t="s">
        <v>488</v>
      </c>
      <c r="C485" s="15" t="s">
        <v>11</v>
      </c>
      <c r="D485" s="15" t="s">
        <v>572</v>
      </c>
      <c r="E485" s="15" t="n">
        <v>1</v>
      </c>
      <c r="H485" s="10"/>
      <c r="I485" s="21"/>
      <c r="M485" s="10"/>
      <c r="N485" s="10"/>
      <c r="P485" s="10"/>
      <c r="Q485" s="22"/>
    </row>
    <row r="486" customFormat="false" ht="15.75" hidden="false" customHeight="false" outlineLevel="0" collapsed="false">
      <c r="A486" s="20" t="n">
        <v>46083</v>
      </c>
      <c r="B486" s="15" t="s">
        <v>488</v>
      </c>
      <c r="C486" s="15" t="s">
        <v>543</v>
      </c>
      <c r="D486" s="15" t="s">
        <v>544</v>
      </c>
      <c r="E486" s="15" t="n">
        <v>3</v>
      </c>
      <c r="H486" s="10"/>
      <c r="I486" s="21"/>
      <c r="M486" s="10"/>
      <c r="N486" s="10"/>
      <c r="P486" s="10"/>
      <c r="Q486" s="22"/>
    </row>
    <row r="487" customFormat="false" ht="15.75" hidden="false" customHeight="false" outlineLevel="0" collapsed="false">
      <c r="A487" s="20" t="n">
        <v>46083</v>
      </c>
      <c r="B487" s="15" t="s">
        <v>488</v>
      </c>
      <c r="C487" s="15" t="s">
        <v>65</v>
      </c>
      <c r="D487" s="15" t="s">
        <v>580</v>
      </c>
      <c r="E487" s="15" t="n">
        <v>1</v>
      </c>
      <c r="H487" s="10"/>
      <c r="I487" s="21"/>
      <c r="M487" s="10"/>
      <c r="N487" s="10"/>
      <c r="P487" s="10"/>
      <c r="Q487" s="22"/>
    </row>
    <row r="488" customFormat="false" ht="15.75" hidden="false" customHeight="false" outlineLevel="0" collapsed="false">
      <c r="A488" s="20" t="n">
        <v>46083</v>
      </c>
      <c r="B488" s="15" t="s">
        <v>488</v>
      </c>
      <c r="C488" s="15" t="s">
        <v>91</v>
      </c>
      <c r="D488" s="15" t="s">
        <v>91</v>
      </c>
      <c r="E488" s="15" t="n">
        <v>2</v>
      </c>
      <c r="H488" s="10"/>
      <c r="I488" s="21"/>
      <c r="M488" s="10"/>
      <c r="N488" s="10"/>
      <c r="P488" s="10"/>
      <c r="Q488" s="22"/>
    </row>
    <row r="489" customFormat="false" ht="15.75" hidden="false" customHeight="false" outlineLevel="0" collapsed="false">
      <c r="A489" s="20" t="n">
        <v>46083</v>
      </c>
      <c r="B489" s="15" t="s">
        <v>488</v>
      </c>
      <c r="C489" s="15" t="s">
        <v>33</v>
      </c>
      <c r="D489" s="15" t="s">
        <v>536</v>
      </c>
      <c r="E489" s="15" t="n">
        <v>3</v>
      </c>
      <c r="H489" s="10"/>
      <c r="I489" s="21"/>
      <c r="M489" s="10"/>
      <c r="N489" s="10"/>
      <c r="P489" s="10"/>
      <c r="Q489" s="22"/>
    </row>
    <row r="490" customFormat="false" ht="15.75" hidden="false" customHeight="false" outlineLevel="0" collapsed="false">
      <c r="A490" s="20" t="n">
        <v>46083</v>
      </c>
      <c r="B490" s="15" t="s">
        <v>488</v>
      </c>
      <c r="C490" s="15" t="s">
        <v>75</v>
      </c>
      <c r="D490" s="15" t="s">
        <v>560</v>
      </c>
      <c r="E490" s="15" t="n">
        <v>1</v>
      </c>
      <c r="H490" s="10"/>
      <c r="I490" s="21"/>
      <c r="M490" s="10"/>
      <c r="N490" s="10"/>
      <c r="P490" s="10"/>
      <c r="Q490" s="22"/>
    </row>
    <row r="491" customFormat="false" ht="15.75" hidden="false" customHeight="false" outlineLevel="0" collapsed="false">
      <c r="A491" s="20" t="n">
        <v>46083</v>
      </c>
      <c r="B491" s="15" t="s">
        <v>488</v>
      </c>
      <c r="C491" s="15" t="s">
        <v>79</v>
      </c>
      <c r="D491" s="15" t="s">
        <v>564</v>
      </c>
      <c r="E491" s="15" t="n">
        <v>2</v>
      </c>
      <c r="H491" s="10"/>
      <c r="I491" s="21"/>
      <c r="M491" s="10"/>
      <c r="N491" s="10"/>
      <c r="P491" s="10"/>
      <c r="Q491" s="22"/>
    </row>
    <row r="492" customFormat="false" ht="15.75" hidden="false" customHeight="false" outlineLevel="0" collapsed="false">
      <c r="A492" s="20" t="n">
        <v>46083</v>
      </c>
      <c r="B492" s="15" t="s">
        <v>488</v>
      </c>
      <c r="C492" s="15" t="s">
        <v>81</v>
      </c>
      <c r="D492" s="15" t="s">
        <v>534</v>
      </c>
      <c r="E492" s="15" t="n">
        <v>10</v>
      </c>
      <c r="H492" s="10"/>
      <c r="I492" s="21"/>
      <c r="M492" s="10"/>
      <c r="N492" s="10"/>
      <c r="P492" s="10"/>
      <c r="Q492" s="22"/>
    </row>
    <row r="493" customFormat="false" ht="15.75" hidden="false" customHeight="false" outlineLevel="0" collapsed="false">
      <c r="A493" s="20" t="n">
        <v>46083</v>
      </c>
      <c r="B493" s="15" t="s">
        <v>488</v>
      </c>
      <c r="C493" s="15" t="s">
        <v>77</v>
      </c>
      <c r="D493" s="15" t="s">
        <v>78</v>
      </c>
      <c r="E493" s="15" t="n">
        <v>3</v>
      </c>
      <c r="H493" s="10"/>
      <c r="I493" s="21"/>
      <c r="M493" s="10"/>
      <c r="N493" s="10"/>
      <c r="P493" s="10"/>
      <c r="Q493" s="22"/>
    </row>
    <row r="494" customFormat="false" ht="15.75" hidden="false" customHeight="false" outlineLevel="0" collapsed="false">
      <c r="A494" s="20" t="n">
        <v>46083</v>
      </c>
      <c r="B494" s="15" t="s">
        <v>488</v>
      </c>
      <c r="C494" s="15" t="s">
        <v>25</v>
      </c>
      <c r="D494" s="15" t="s">
        <v>26</v>
      </c>
      <c r="E494" s="15" t="n">
        <v>1</v>
      </c>
      <c r="H494" s="10"/>
      <c r="I494" s="21"/>
      <c r="M494" s="10"/>
      <c r="N494" s="10"/>
      <c r="P494" s="10"/>
      <c r="Q494" s="22"/>
    </row>
    <row r="495" customFormat="false" ht="15.75" hidden="false" customHeight="false" outlineLevel="0" collapsed="false">
      <c r="A495" s="20" t="n">
        <v>46083</v>
      </c>
      <c r="B495" s="15" t="s">
        <v>491</v>
      </c>
      <c r="C495" s="15" t="s">
        <v>37</v>
      </c>
      <c r="D495" s="15" t="s">
        <v>561</v>
      </c>
      <c r="E495" s="15" t="n">
        <v>1</v>
      </c>
      <c r="H495" s="10"/>
      <c r="I495" s="21"/>
      <c r="M495" s="10"/>
      <c r="N495" s="10"/>
      <c r="P495" s="10"/>
      <c r="Q495" s="22"/>
    </row>
    <row r="496" customFormat="false" ht="15.75" hidden="false" customHeight="false" outlineLevel="0" collapsed="false">
      <c r="A496" s="20" t="n">
        <v>46083</v>
      </c>
      <c r="B496" s="15" t="s">
        <v>491</v>
      </c>
      <c r="C496" s="15" t="s">
        <v>81</v>
      </c>
      <c r="D496" s="15" t="s">
        <v>534</v>
      </c>
      <c r="E496" s="15" t="n">
        <v>8</v>
      </c>
      <c r="H496" s="10"/>
      <c r="I496" s="21"/>
      <c r="M496" s="10"/>
      <c r="N496" s="10"/>
      <c r="P496" s="10"/>
      <c r="Q496" s="22"/>
    </row>
    <row r="497" customFormat="false" ht="15.75" hidden="false" customHeight="false" outlineLevel="0" collapsed="false">
      <c r="A497" s="20" t="n">
        <v>46083</v>
      </c>
      <c r="B497" s="15" t="s">
        <v>491</v>
      </c>
      <c r="C497" s="15" t="s">
        <v>75</v>
      </c>
      <c r="D497" s="15" t="s">
        <v>560</v>
      </c>
      <c r="E497" s="15" t="n">
        <v>1</v>
      </c>
      <c r="H497" s="10"/>
      <c r="I497" s="21"/>
      <c r="M497" s="10"/>
      <c r="N497" s="10"/>
      <c r="P497" s="10"/>
      <c r="Q497" s="22"/>
    </row>
    <row r="498" customFormat="false" ht="15.75" hidden="false" customHeight="false" outlineLevel="0" collapsed="false">
      <c r="A498" s="20" t="n">
        <v>46083</v>
      </c>
      <c r="B498" s="15" t="s">
        <v>491</v>
      </c>
      <c r="C498" s="15" t="s">
        <v>69</v>
      </c>
      <c r="D498" s="15" t="s">
        <v>535</v>
      </c>
      <c r="E498" s="15" t="n">
        <v>6</v>
      </c>
      <c r="H498" s="10"/>
      <c r="I498" s="21"/>
      <c r="M498" s="10"/>
      <c r="N498" s="10"/>
      <c r="P498" s="10"/>
      <c r="Q498" s="22"/>
    </row>
    <row r="499" customFormat="false" ht="15.75" hidden="false" customHeight="false" outlineLevel="0" collapsed="false">
      <c r="A499" s="20" t="n">
        <v>46083</v>
      </c>
      <c r="B499" s="15" t="s">
        <v>491</v>
      </c>
      <c r="C499" s="15" t="s">
        <v>547</v>
      </c>
      <c r="D499" s="15" t="s">
        <v>548</v>
      </c>
      <c r="E499" s="15" t="n">
        <v>1</v>
      </c>
      <c r="H499" s="10"/>
      <c r="I499" s="21"/>
      <c r="M499" s="10"/>
      <c r="N499" s="10"/>
      <c r="P499" s="10"/>
      <c r="Q499" s="22"/>
    </row>
    <row r="500" customFormat="false" ht="15.75" hidden="false" customHeight="false" outlineLevel="0" collapsed="false">
      <c r="A500" s="20" t="n">
        <v>46083</v>
      </c>
      <c r="B500" s="15" t="s">
        <v>491</v>
      </c>
      <c r="C500" s="15" t="s">
        <v>31</v>
      </c>
      <c r="D500" s="15" t="s">
        <v>559</v>
      </c>
      <c r="E500" s="15" t="n">
        <v>2</v>
      </c>
      <c r="H500" s="10"/>
      <c r="I500" s="21"/>
      <c r="M500" s="10"/>
      <c r="N500" s="10"/>
      <c r="P500" s="10"/>
      <c r="Q500" s="22"/>
    </row>
    <row r="501" customFormat="false" ht="15.75" hidden="false" customHeight="false" outlineLevel="0" collapsed="false">
      <c r="A501" s="20" t="n">
        <v>46083</v>
      </c>
      <c r="B501" s="15" t="s">
        <v>491</v>
      </c>
      <c r="C501" s="15" t="s">
        <v>545</v>
      </c>
      <c r="D501" s="15" t="s">
        <v>546</v>
      </c>
      <c r="E501" s="15" t="n">
        <v>2</v>
      </c>
      <c r="H501" s="10"/>
      <c r="I501" s="21"/>
      <c r="M501" s="10"/>
      <c r="N501" s="10"/>
      <c r="P501" s="10"/>
      <c r="Q501" s="22"/>
    </row>
    <row r="502" customFormat="false" ht="15.75" hidden="false" customHeight="false" outlineLevel="0" collapsed="false">
      <c r="A502" s="20" t="n">
        <v>46083</v>
      </c>
      <c r="B502" s="15" t="s">
        <v>491</v>
      </c>
      <c r="C502" s="15" t="s">
        <v>543</v>
      </c>
      <c r="D502" s="15" t="s">
        <v>544</v>
      </c>
      <c r="E502" s="15" t="n">
        <v>4</v>
      </c>
      <c r="H502" s="10"/>
      <c r="I502" s="21"/>
      <c r="M502" s="10"/>
      <c r="N502" s="10"/>
      <c r="P502" s="10"/>
      <c r="Q502" s="22"/>
    </row>
    <row r="503" customFormat="false" ht="15.75" hidden="false" customHeight="false" outlineLevel="0" collapsed="false">
      <c r="A503" s="20" t="n">
        <v>46083</v>
      </c>
      <c r="B503" s="15" t="s">
        <v>491</v>
      </c>
      <c r="C503" s="15" t="s">
        <v>541</v>
      </c>
      <c r="D503" s="15" t="s">
        <v>542</v>
      </c>
      <c r="E503" s="15" t="n">
        <v>2</v>
      </c>
      <c r="H503" s="10"/>
      <c r="I503" s="21"/>
      <c r="M503" s="10"/>
      <c r="N503" s="10"/>
      <c r="P503" s="10"/>
      <c r="Q503" s="22"/>
    </row>
    <row r="504" customFormat="false" ht="15.75" hidden="false" customHeight="false" outlineLevel="0" collapsed="false">
      <c r="A504" s="20" t="n">
        <v>46083</v>
      </c>
      <c r="B504" s="15" t="s">
        <v>491</v>
      </c>
      <c r="C504" s="15" t="s">
        <v>49</v>
      </c>
      <c r="D504" s="15" t="s">
        <v>537</v>
      </c>
      <c r="E504" s="15" t="n">
        <v>1</v>
      </c>
      <c r="H504" s="10"/>
      <c r="I504" s="21"/>
      <c r="M504" s="10"/>
      <c r="N504" s="10"/>
      <c r="P504" s="10"/>
      <c r="Q504" s="22"/>
    </row>
    <row r="505" customFormat="false" ht="15.75" hidden="false" customHeight="false" outlineLevel="0" collapsed="false">
      <c r="A505" s="20" t="n">
        <v>46083</v>
      </c>
      <c r="B505" s="15" t="s">
        <v>491</v>
      </c>
      <c r="C505" s="15" t="s">
        <v>33</v>
      </c>
      <c r="D505" s="15" t="s">
        <v>536</v>
      </c>
      <c r="E505" s="15" t="n">
        <v>5</v>
      </c>
      <c r="H505" s="10"/>
      <c r="I505" s="21"/>
      <c r="M505" s="10"/>
      <c r="N505" s="10"/>
      <c r="P505" s="10"/>
      <c r="Q505" s="22"/>
    </row>
    <row r="506" customFormat="false" ht="15.75" hidden="false" customHeight="false" outlineLevel="0" collapsed="false">
      <c r="A506" s="20" t="n">
        <v>46083</v>
      </c>
      <c r="B506" s="15" t="s">
        <v>491</v>
      </c>
      <c r="C506" s="15" t="s">
        <v>77</v>
      </c>
      <c r="D506" s="15" t="s">
        <v>78</v>
      </c>
      <c r="E506" s="15" t="n">
        <v>3</v>
      </c>
      <c r="H506" s="10"/>
      <c r="I506" s="21"/>
      <c r="M506" s="10"/>
      <c r="N506" s="10"/>
      <c r="P506" s="10"/>
      <c r="Q506" s="22"/>
    </row>
    <row r="507" customFormat="false" ht="15.75" hidden="false" customHeight="false" outlineLevel="0" collapsed="false">
      <c r="A507" s="20" t="n">
        <v>46083</v>
      </c>
      <c r="B507" s="15" t="s">
        <v>491</v>
      </c>
      <c r="C507" s="15" t="s">
        <v>47</v>
      </c>
      <c r="D507" s="15" t="s">
        <v>549</v>
      </c>
      <c r="E507" s="15" t="n">
        <v>1</v>
      </c>
      <c r="H507" s="10"/>
      <c r="I507" s="21"/>
      <c r="M507" s="10"/>
      <c r="N507" s="10"/>
      <c r="P507" s="10"/>
      <c r="Q507" s="22"/>
    </row>
    <row r="508" customFormat="false" ht="15.75" hidden="false" customHeight="false" outlineLevel="0" collapsed="false">
      <c r="A508" s="20" t="n">
        <v>46083</v>
      </c>
      <c r="B508" s="15" t="s">
        <v>491</v>
      </c>
      <c r="C508" s="15" t="s">
        <v>55</v>
      </c>
      <c r="D508" s="15" t="s">
        <v>539</v>
      </c>
      <c r="E508" s="15" t="n">
        <v>1</v>
      </c>
      <c r="H508" s="10"/>
      <c r="I508" s="21"/>
      <c r="M508" s="10"/>
      <c r="N508" s="10"/>
      <c r="P508" s="10"/>
      <c r="Q508" s="22"/>
    </row>
    <row r="509" customFormat="false" ht="15.75" hidden="false" customHeight="false" outlineLevel="0" collapsed="false">
      <c r="A509" s="20" t="n">
        <v>46083</v>
      </c>
      <c r="B509" s="15" t="s">
        <v>491</v>
      </c>
      <c r="C509" s="15" t="s">
        <v>59</v>
      </c>
      <c r="D509" s="15" t="s">
        <v>562</v>
      </c>
      <c r="E509" s="15" t="n">
        <v>1</v>
      </c>
      <c r="H509" s="10"/>
      <c r="I509" s="21"/>
      <c r="M509" s="10"/>
      <c r="N509" s="10"/>
      <c r="P509" s="10"/>
      <c r="Q509" s="22"/>
    </row>
    <row r="510" customFormat="false" ht="15.75" hidden="false" customHeight="false" outlineLevel="0" collapsed="false">
      <c r="A510" s="20" t="n">
        <v>46083</v>
      </c>
      <c r="B510" s="15" t="s">
        <v>491</v>
      </c>
      <c r="C510" s="15" t="s">
        <v>43</v>
      </c>
      <c r="D510" s="15" t="s">
        <v>538</v>
      </c>
      <c r="E510" s="15" t="n">
        <v>1</v>
      </c>
      <c r="H510" s="10"/>
      <c r="I510" s="21"/>
      <c r="M510" s="10"/>
      <c r="N510" s="10"/>
      <c r="P510" s="10"/>
      <c r="Q510" s="22"/>
    </row>
    <row r="511" customFormat="false" ht="15.75" hidden="false" customHeight="false" outlineLevel="0" collapsed="false">
      <c r="A511" s="20" t="n">
        <v>46083</v>
      </c>
      <c r="B511" s="15" t="s">
        <v>491</v>
      </c>
      <c r="C511" s="15" t="s">
        <v>87</v>
      </c>
      <c r="D511" s="15" t="s">
        <v>563</v>
      </c>
      <c r="E511" s="15" t="n">
        <v>1</v>
      </c>
      <c r="H511" s="10"/>
      <c r="I511" s="21"/>
      <c r="M511" s="10"/>
      <c r="N511" s="10"/>
      <c r="P511" s="10"/>
      <c r="Q511" s="22"/>
    </row>
    <row r="512" customFormat="false" ht="15.75" hidden="false" customHeight="false" outlineLevel="0" collapsed="false">
      <c r="A512" s="20" t="n">
        <v>46083</v>
      </c>
      <c r="B512" s="15" t="s">
        <v>491</v>
      </c>
      <c r="C512" s="15" t="s">
        <v>79</v>
      </c>
      <c r="D512" s="15" t="s">
        <v>564</v>
      </c>
      <c r="E512" s="15" t="n">
        <v>1</v>
      </c>
      <c r="H512" s="10"/>
      <c r="I512" s="21"/>
      <c r="M512" s="10"/>
      <c r="N512" s="10"/>
      <c r="P512" s="10"/>
      <c r="Q512" s="22"/>
    </row>
    <row r="513" customFormat="false" ht="15.75" hidden="false" customHeight="false" outlineLevel="0" collapsed="false">
      <c r="A513" s="20" t="n">
        <v>46083</v>
      </c>
      <c r="B513" s="15" t="s">
        <v>493</v>
      </c>
      <c r="C513" s="15" t="s">
        <v>63</v>
      </c>
      <c r="D513" s="15" t="s">
        <v>551</v>
      </c>
      <c r="E513" s="15" t="n">
        <v>1</v>
      </c>
      <c r="H513" s="10"/>
      <c r="I513" s="21"/>
      <c r="M513" s="10"/>
      <c r="N513" s="10"/>
      <c r="P513" s="10"/>
      <c r="Q513" s="22"/>
    </row>
    <row r="514" customFormat="false" ht="15.75" hidden="false" customHeight="false" outlineLevel="0" collapsed="false">
      <c r="A514" s="20" t="n">
        <v>46083</v>
      </c>
      <c r="B514" s="15" t="s">
        <v>493</v>
      </c>
      <c r="C514" s="15" t="s">
        <v>47</v>
      </c>
      <c r="D514" s="15" t="s">
        <v>549</v>
      </c>
      <c r="E514" s="15" t="n">
        <v>1</v>
      </c>
      <c r="H514" s="10"/>
      <c r="I514" s="21"/>
      <c r="M514" s="10"/>
      <c r="N514" s="10"/>
      <c r="P514" s="10"/>
      <c r="Q514" s="22"/>
    </row>
    <row r="515" customFormat="false" ht="15.75" hidden="false" customHeight="false" outlineLevel="0" collapsed="false">
      <c r="A515" s="20" t="n">
        <v>46083</v>
      </c>
      <c r="B515" s="15" t="s">
        <v>494</v>
      </c>
      <c r="C515" s="15" t="s">
        <v>25</v>
      </c>
      <c r="D515" s="15" t="s">
        <v>26</v>
      </c>
      <c r="E515" s="15" t="n">
        <v>3</v>
      </c>
      <c r="H515" s="10"/>
      <c r="I515" s="21"/>
      <c r="M515" s="10"/>
      <c r="N515" s="10"/>
      <c r="P515" s="10"/>
      <c r="Q515" s="22"/>
    </row>
    <row r="516" customFormat="false" ht="15.75" hidden="false" customHeight="false" outlineLevel="0" collapsed="false">
      <c r="A516" s="20" t="n">
        <v>46083</v>
      </c>
      <c r="B516" s="15" t="s">
        <v>494</v>
      </c>
      <c r="C516" s="15" t="s">
        <v>547</v>
      </c>
      <c r="D516" s="15" t="s">
        <v>548</v>
      </c>
      <c r="E516" s="15" t="n">
        <v>3</v>
      </c>
      <c r="H516" s="10"/>
      <c r="I516" s="21"/>
      <c r="M516" s="10"/>
      <c r="N516" s="10"/>
      <c r="P516" s="10"/>
      <c r="Q516" s="22"/>
    </row>
    <row r="517" customFormat="false" ht="15.75" hidden="false" customHeight="false" outlineLevel="0" collapsed="false">
      <c r="A517" s="20" t="n">
        <v>46083</v>
      </c>
      <c r="B517" s="15" t="s">
        <v>494</v>
      </c>
      <c r="C517" s="15" t="s">
        <v>543</v>
      </c>
      <c r="D517" s="15" t="s">
        <v>544</v>
      </c>
      <c r="E517" s="15" t="n">
        <v>4</v>
      </c>
      <c r="H517" s="10"/>
      <c r="I517" s="21"/>
      <c r="M517" s="10"/>
      <c r="N517" s="10"/>
      <c r="P517" s="10"/>
      <c r="Q517" s="22"/>
    </row>
    <row r="518" customFormat="false" ht="15.75" hidden="false" customHeight="false" outlineLevel="0" collapsed="false">
      <c r="A518" s="20" t="n">
        <v>46083</v>
      </c>
      <c r="B518" s="15" t="s">
        <v>494</v>
      </c>
      <c r="C518" s="15" t="s">
        <v>545</v>
      </c>
      <c r="D518" s="15" t="s">
        <v>546</v>
      </c>
      <c r="E518" s="15" t="n">
        <v>4</v>
      </c>
      <c r="H518" s="10"/>
      <c r="I518" s="21"/>
      <c r="M518" s="10"/>
      <c r="N518" s="10"/>
      <c r="P518" s="10"/>
      <c r="Q518" s="22"/>
    </row>
    <row r="519" customFormat="false" ht="15.75" hidden="false" customHeight="false" outlineLevel="0" collapsed="false">
      <c r="A519" s="20" t="n">
        <v>46083</v>
      </c>
      <c r="B519" s="15" t="s">
        <v>494</v>
      </c>
      <c r="C519" s="15" t="s">
        <v>555</v>
      </c>
      <c r="D519" s="15" t="s">
        <v>556</v>
      </c>
      <c r="E519" s="15" t="n">
        <v>3</v>
      </c>
      <c r="H519" s="10"/>
      <c r="I519" s="21"/>
      <c r="M519" s="10"/>
      <c r="N519" s="10"/>
      <c r="P519" s="10"/>
      <c r="Q519" s="22"/>
    </row>
    <row r="520" customFormat="false" ht="15.75" hidden="false" customHeight="false" outlineLevel="0" collapsed="false">
      <c r="A520" s="20" t="n">
        <v>46083</v>
      </c>
      <c r="B520" s="15" t="s">
        <v>494</v>
      </c>
      <c r="C520" s="15" t="s">
        <v>45</v>
      </c>
      <c r="D520" s="15" t="s">
        <v>540</v>
      </c>
      <c r="E520" s="15" t="n">
        <v>1</v>
      </c>
      <c r="H520" s="10"/>
      <c r="I520" s="21"/>
      <c r="M520" s="10"/>
      <c r="N520" s="10"/>
      <c r="P520" s="10"/>
      <c r="Q520" s="22"/>
    </row>
    <row r="521" customFormat="false" ht="15.75" hidden="false" customHeight="false" outlineLevel="0" collapsed="false">
      <c r="A521" s="20" t="n">
        <v>46083</v>
      </c>
      <c r="B521" s="15" t="s">
        <v>494</v>
      </c>
      <c r="C521" s="15" t="s">
        <v>59</v>
      </c>
      <c r="D521" s="15" t="s">
        <v>562</v>
      </c>
      <c r="E521" s="15" t="n">
        <v>1</v>
      </c>
      <c r="H521" s="10"/>
      <c r="I521" s="21"/>
      <c r="M521" s="10"/>
      <c r="N521" s="10"/>
      <c r="P521" s="10"/>
      <c r="Q521" s="22"/>
    </row>
    <row r="522" customFormat="false" ht="15.75" hidden="false" customHeight="false" outlineLevel="0" collapsed="false">
      <c r="A522" s="20" t="n">
        <v>46083</v>
      </c>
      <c r="B522" s="15" t="s">
        <v>494</v>
      </c>
      <c r="C522" s="15" t="s">
        <v>69</v>
      </c>
      <c r="D522" s="15" t="s">
        <v>535</v>
      </c>
      <c r="E522" s="15" t="n">
        <v>6</v>
      </c>
      <c r="H522" s="10"/>
      <c r="I522" s="21"/>
      <c r="M522" s="10"/>
      <c r="N522" s="10"/>
      <c r="P522" s="10"/>
      <c r="Q522" s="22"/>
    </row>
    <row r="523" customFormat="false" ht="15.75" hidden="false" customHeight="false" outlineLevel="0" collapsed="false">
      <c r="A523" s="20" t="n">
        <v>46083</v>
      </c>
      <c r="B523" s="15" t="s">
        <v>494</v>
      </c>
      <c r="C523" s="15" t="s">
        <v>81</v>
      </c>
      <c r="D523" s="15" t="s">
        <v>534</v>
      </c>
      <c r="E523" s="15" t="n">
        <v>10</v>
      </c>
      <c r="H523" s="10"/>
      <c r="I523" s="21"/>
      <c r="M523" s="10"/>
      <c r="N523" s="10"/>
      <c r="P523" s="10"/>
      <c r="Q523" s="22"/>
    </row>
    <row r="524" customFormat="false" ht="15.75" hidden="false" customHeight="false" outlineLevel="0" collapsed="false">
      <c r="A524" s="20" t="n">
        <v>46083</v>
      </c>
      <c r="B524" s="15" t="s">
        <v>494</v>
      </c>
      <c r="C524" s="15" t="s">
        <v>79</v>
      </c>
      <c r="D524" s="15" t="s">
        <v>564</v>
      </c>
      <c r="E524" s="15" t="n">
        <v>2</v>
      </c>
      <c r="H524" s="10"/>
      <c r="I524" s="21"/>
      <c r="M524" s="10"/>
      <c r="N524" s="10"/>
      <c r="P524" s="10"/>
      <c r="Q524" s="22"/>
    </row>
    <row r="525" customFormat="false" ht="15.75" hidden="false" customHeight="false" outlineLevel="0" collapsed="false">
      <c r="A525" s="20" t="n">
        <v>46083</v>
      </c>
      <c r="B525" s="15" t="s">
        <v>494</v>
      </c>
      <c r="C525" s="15" t="s">
        <v>33</v>
      </c>
      <c r="D525" s="15" t="s">
        <v>536</v>
      </c>
      <c r="E525" s="15" t="n">
        <v>2</v>
      </c>
      <c r="H525" s="10"/>
      <c r="I525" s="21"/>
      <c r="M525" s="10"/>
      <c r="N525" s="10"/>
      <c r="P525" s="10"/>
      <c r="Q525" s="22"/>
    </row>
    <row r="526" customFormat="false" ht="15.75" hidden="false" customHeight="false" outlineLevel="0" collapsed="false">
      <c r="A526" s="20" t="n">
        <v>46083</v>
      </c>
      <c r="B526" s="15" t="s">
        <v>494</v>
      </c>
      <c r="C526" s="15" t="s">
        <v>87</v>
      </c>
      <c r="D526" s="15" t="s">
        <v>563</v>
      </c>
      <c r="E526" s="15" t="n">
        <v>1</v>
      </c>
      <c r="H526" s="10"/>
      <c r="I526" s="21"/>
      <c r="M526" s="10"/>
      <c r="N526" s="10"/>
      <c r="P526" s="10"/>
      <c r="Q526" s="22"/>
    </row>
    <row r="527" customFormat="false" ht="15.75" hidden="false" customHeight="false" outlineLevel="0" collapsed="false">
      <c r="A527" s="20" t="n">
        <v>46083</v>
      </c>
      <c r="B527" s="15" t="s">
        <v>494</v>
      </c>
      <c r="C527" s="15" t="s">
        <v>77</v>
      </c>
      <c r="D527" s="15" t="s">
        <v>78</v>
      </c>
      <c r="E527" s="15" t="n">
        <v>2</v>
      </c>
      <c r="H527" s="10"/>
      <c r="I527" s="21"/>
      <c r="M527" s="10"/>
      <c r="N527" s="10"/>
      <c r="P527" s="10"/>
      <c r="Q527" s="22"/>
    </row>
    <row r="528" customFormat="false" ht="15.75" hidden="false" customHeight="false" outlineLevel="0" collapsed="false">
      <c r="A528" s="20" t="n">
        <v>46083</v>
      </c>
      <c r="B528" s="15" t="s">
        <v>494</v>
      </c>
      <c r="C528" s="15" t="s">
        <v>65</v>
      </c>
      <c r="D528" s="15" t="s">
        <v>580</v>
      </c>
      <c r="E528" s="15" t="n">
        <v>1</v>
      </c>
      <c r="H528" s="10"/>
      <c r="I528" s="21"/>
      <c r="M528" s="10"/>
      <c r="N528" s="10"/>
      <c r="P528" s="10"/>
      <c r="Q528" s="22"/>
    </row>
    <row r="529" customFormat="false" ht="15.75" hidden="false" customHeight="false" outlineLevel="0" collapsed="false">
      <c r="A529" s="20" t="n">
        <v>46083</v>
      </c>
      <c r="B529" s="15" t="s">
        <v>494</v>
      </c>
      <c r="C529" s="15" t="s">
        <v>55</v>
      </c>
      <c r="D529" s="15" t="s">
        <v>539</v>
      </c>
      <c r="E529" s="15" t="n">
        <v>1</v>
      </c>
      <c r="H529" s="10"/>
      <c r="I529" s="21"/>
      <c r="M529" s="10"/>
      <c r="N529" s="10"/>
      <c r="P529" s="10"/>
      <c r="Q529" s="22"/>
    </row>
    <row r="530" customFormat="false" ht="15.75" hidden="false" customHeight="false" outlineLevel="0" collapsed="false">
      <c r="A530" s="20" t="n">
        <v>46083</v>
      </c>
      <c r="B530" s="15" t="s">
        <v>494</v>
      </c>
      <c r="C530" s="15" t="s">
        <v>47</v>
      </c>
      <c r="D530" s="15" t="s">
        <v>549</v>
      </c>
      <c r="E530" s="15" t="n">
        <v>1</v>
      </c>
      <c r="H530" s="10"/>
      <c r="I530" s="21"/>
      <c r="M530" s="10"/>
      <c r="N530" s="10"/>
      <c r="P530" s="10"/>
      <c r="Q530" s="22"/>
    </row>
    <row r="531" customFormat="false" ht="15.75" hidden="false" customHeight="false" outlineLevel="0" collapsed="false">
      <c r="A531" s="20" t="n">
        <v>46083</v>
      </c>
      <c r="B531" s="15" t="s">
        <v>494</v>
      </c>
      <c r="C531" s="15" t="s">
        <v>565</v>
      </c>
      <c r="D531" s="15" t="s">
        <v>566</v>
      </c>
      <c r="E531" s="15" t="n">
        <v>2</v>
      </c>
      <c r="H531" s="10"/>
      <c r="I531" s="21"/>
      <c r="M531" s="10"/>
      <c r="N531" s="10"/>
      <c r="P531" s="10"/>
      <c r="Q531" s="22"/>
    </row>
    <row r="532" customFormat="false" ht="15.75" hidden="false" customHeight="false" outlineLevel="0" collapsed="false">
      <c r="A532" s="20" t="n">
        <v>46083</v>
      </c>
      <c r="B532" s="15" t="s">
        <v>494</v>
      </c>
      <c r="C532" s="15" t="s">
        <v>37</v>
      </c>
      <c r="D532" s="15" t="s">
        <v>561</v>
      </c>
      <c r="E532" s="15" t="n">
        <v>1</v>
      </c>
      <c r="H532" s="10"/>
      <c r="I532" s="21"/>
      <c r="M532" s="10"/>
      <c r="N532" s="10"/>
      <c r="P532" s="10"/>
      <c r="Q532" s="22"/>
    </row>
    <row r="533" customFormat="false" ht="15.75" hidden="false" customHeight="false" outlineLevel="0" collapsed="false">
      <c r="A533" s="20" t="n">
        <v>46083</v>
      </c>
      <c r="B533" s="15" t="s">
        <v>504</v>
      </c>
      <c r="C533" s="15" t="s">
        <v>47</v>
      </c>
      <c r="D533" s="15" t="s">
        <v>549</v>
      </c>
      <c r="E533" s="15" t="n">
        <v>3</v>
      </c>
      <c r="H533" s="10"/>
      <c r="I533" s="21"/>
      <c r="M533" s="10"/>
      <c r="N533" s="10"/>
      <c r="P533" s="10"/>
      <c r="Q533" s="22"/>
    </row>
    <row r="534" customFormat="false" ht="15.75" hidden="false" customHeight="false" outlineLevel="0" collapsed="false">
      <c r="A534" s="20" t="n">
        <v>46083</v>
      </c>
      <c r="B534" s="15" t="s">
        <v>504</v>
      </c>
      <c r="C534" s="15" t="s">
        <v>55</v>
      </c>
      <c r="D534" s="15" t="s">
        <v>539</v>
      </c>
      <c r="E534" s="15" t="n">
        <v>6</v>
      </c>
      <c r="H534" s="10"/>
      <c r="I534" s="21"/>
      <c r="M534" s="10"/>
      <c r="N534" s="10"/>
      <c r="P534" s="10"/>
      <c r="Q534" s="22"/>
    </row>
    <row r="535" customFormat="false" ht="15.75" hidden="false" customHeight="false" outlineLevel="0" collapsed="false">
      <c r="A535" s="20" t="n">
        <v>46083</v>
      </c>
      <c r="B535" s="15" t="s">
        <v>504</v>
      </c>
      <c r="C535" s="15" t="s">
        <v>81</v>
      </c>
      <c r="D535" s="15" t="s">
        <v>534</v>
      </c>
      <c r="E535" s="15" t="n">
        <v>9</v>
      </c>
      <c r="H535" s="10"/>
      <c r="I535" s="21"/>
      <c r="M535" s="10"/>
      <c r="N535" s="10"/>
      <c r="P535" s="10"/>
      <c r="Q535" s="22"/>
    </row>
    <row r="536" customFormat="false" ht="15.75" hidden="false" customHeight="false" outlineLevel="0" collapsed="false">
      <c r="A536" s="20" t="n">
        <v>46083</v>
      </c>
      <c r="B536" s="15" t="s">
        <v>504</v>
      </c>
      <c r="C536" s="15" t="s">
        <v>39</v>
      </c>
      <c r="D536" s="15" t="s">
        <v>550</v>
      </c>
      <c r="E536" s="15" t="n">
        <v>1</v>
      </c>
      <c r="H536" s="10"/>
      <c r="I536" s="21"/>
      <c r="M536" s="10"/>
      <c r="N536" s="10"/>
      <c r="P536" s="10"/>
      <c r="Q536" s="22"/>
    </row>
    <row r="537" customFormat="false" ht="15.75" hidden="false" customHeight="false" outlineLevel="0" collapsed="false">
      <c r="A537" s="20" t="n">
        <v>46083</v>
      </c>
      <c r="B537" s="15" t="s">
        <v>504</v>
      </c>
      <c r="C537" s="15" t="s">
        <v>63</v>
      </c>
      <c r="D537" s="15" t="s">
        <v>551</v>
      </c>
      <c r="E537" s="15" t="n">
        <v>1</v>
      </c>
      <c r="H537" s="10"/>
      <c r="I537" s="21"/>
      <c r="M537" s="10"/>
      <c r="N537" s="10"/>
      <c r="P537" s="10"/>
      <c r="Q537" s="22"/>
    </row>
    <row r="538" customFormat="false" ht="15.75" hidden="false" customHeight="false" outlineLevel="0" collapsed="false">
      <c r="A538" s="20" t="n">
        <v>46083</v>
      </c>
      <c r="B538" s="15" t="s">
        <v>504</v>
      </c>
      <c r="C538" s="15" t="s">
        <v>17</v>
      </c>
      <c r="D538" s="15" t="s">
        <v>554</v>
      </c>
      <c r="E538" s="15" t="n">
        <v>1</v>
      </c>
      <c r="H538" s="10"/>
      <c r="I538" s="21"/>
      <c r="M538" s="10"/>
      <c r="N538" s="10"/>
      <c r="P538" s="10"/>
      <c r="Q538" s="22"/>
    </row>
    <row r="539" customFormat="false" ht="15.75" hidden="false" customHeight="false" outlineLevel="0" collapsed="false">
      <c r="A539" s="20" t="n">
        <v>46083</v>
      </c>
      <c r="B539" s="15" t="s">
        <v>508</v>
      </c>
      <c r="C539" s="15" t="s">
        <v>55</v>
      </c>
      <c r="D539" s="15" t="s">
        <v>539</v>
      </c>
      <c r="E539" s="15" t="n">
        <v>5</v>
      </c>
      <c r="H539" s="10"/>
      <c r="I539" s="21"/>
      <c r="M539" s="10"/>
      <c r="N539" s="10"/>
      <c r="P539" s="10"/>
      <c r="Q539" s="22"/>
    </row>
    <row r="540" customFormat="false" ht="15.75" hidden="false" customHeight="false" outlineLevel="0" collapsed="false">
      <c r="A540" s="20" t="n">
        <v>46083</v>
      </c>
      <c r="B540" s="15" t="s">
        <v>508</v>
      </c>
      <c r="C540" s="15" t="s">
        <v>81</v>
      </c>
      <c r="D540" s="15" t="s">
        <v>534</v>
      </c>
      <c r="E540" s="15" t="n">
        <v>9</v>
      </c>
      <c r="H540" s="10"/>
      <c r="I540" s="21"/>
      <c r="M540" s="10"/>
      <c r="N540" s="10"/>
      <c r="P540" s="10"/>
      <c r="Q540" s="22"/>
    </row>
    <row r="541" customFormat="false" ht="15.75" hidden="false" customHeight="false" outlineLevel="0" collapsed="false">
      <c r="A541" s="20" t="n">
        <v>46083</v>
      </c>
      <c r="B541" s="15" t="s">
        <v>508</v>
      </c>
      <c r="C541" s="15" t="s">
        <v>39</v>
      </c>
      <c r="D541" s="15" t="s">
        <v>550</v>
      </c>
      <c r="E541" s="15" t="n">
        <v>2</v>
      </c>
      <c r="H541" s="10"/>
      <c r="I541" s="21"/>
      <c r="M541" s="10"/>
      <c r="N541" s="10"/>
      <c r="P541" s="10"/>
      <c r="Q541" s="22"/>
    </row>
    <row r="542" customFormat="false" ht="15.75" hidden="false" customHeight="false" outlineLevel="0" collapsed="false">
      <c r="A542" s="20" t="n">
        <v>46083</v>
      </c>
      <c r="B542" s="15" t="s">
        <v>508</v>
      </c>
      <c r="C542" s="15" t="s">
        <v>47</v>
      </c>
      <c r="D542" s="15" t="s">
        <v>549</v>
      </c>
      <c r="E542" s="15" t="n">
        <v>2</v>
      </c>
      <c r="H542" s="10"/>
      <c r="I542" s="21"/>
      <c r="M542" s="10"/>
      <c r="N542" s="10"/>
      <c r="P542" s="10"/>
      <c r="Q542" s="22"/>
    </row>
    <row r="543" customFormat="false" ht="15.75" hidden="false" customHeight="false" outlineLevel="0" collapsed="false">
      <c r="A543" s="20" t="n">
        <v>46083</v>
      </c>
      <c r="B543" s="15" t="s">
        <v>508</v>
      </c>
      <c r="C543" s="15" t="s">
        <v>63</v>
      </c>
      <c r="D543" s="15" t="s">
        <v>551</v>
      </c>
      <c r="E543" s="15" t="n">
        <v>1</v>
      </c>
      <c r="H543" s="10"/>
      <c r="I543" s="21"/>
      <c r="M543" s="10"/>
      <c r="N543" s="10"/>
      <c r="P543" s="10"/>
      <c r="Q543" s="22"/>
    </row>
    <row r="544" customFormat="false" ht="15.75" hidden="false" customHeight="false" outlineLevel="0" collapsed="false">
      <c r="A544" s="20" t="n">
        <v>46083</v>
      </c>
      <c r="B544" s="15" t="s">
        <v>509</v>
      </c>
      <c r="C544" s="15" t="s">
        <v>69</v>
      </c>
      <c r="D544" s="15" t="s">
        <v>535</v>
      </c>
      <c r="E544" s="15" t="n">
        <v>6</v>
      </c>
      <c r="H544" s="10"/>
      <c r="I544" s="21"/>
      <c r="M544" s="10"/>
      <c r="N544" s="10"/>
      <c r="P544" s="10"/>
      <c r="Q544" s="22"/>
    </row>
    <row r="545" customFormat="false" ht="15.75" hidden="false" customHeight="false" outlineLevel="0" collapsed="false">
      <c r="A545" s="20" t="n">
        <v>46083</v>
      </c>
      <c r="B545" s="15" t="s">
        <v>509</v>
      </c>
      <c r="C545" s="15" t="s">
        <v>33</v>
      </c>
      <c r="D545" s="15" t="s">
        <v>536</v>
      </c>
      <c r="E545" s="15" t="n">
        <v>6</v>
      </c>
      <c r="H545" s="10"/>
      <c r="I545" s="21"/>
      <c r="M545" s="10"/>
      <c r="N545" s="10"/>
      <c r="P545" s="10"/>
      <c r="Q545" s="22"/>
    </row>
    <row r="546" customFormat="false" ht="15.75" hidden="false" customHeight="false" outlineLevel="0" collapsed="false">
      <c r="A546" s="20" t="n">
        <v>46083</v>
      </c>
      <c r="B546" s="15" t="s">
        <v>509</v>
      </c>
      <c r="C546" s="15" t="s">
        <v>55</v>
      </c>
      <c r="D546" s="15" t="s">
        <v>539</v>
      </c>
      <c r="E546" s="15" t="n">
        <v>3</v>
      </c>
      <c r="H546" s="10"/>
      <c r="I546" s="21"/>
      <c r="M546" s="10"/>
      <c r="N546" s="10"/>
      <c r="P546" s="10"/>
      <c r="Q546" s="22"/>
    </row>
    <row r="547" customFormat="false" ht="15.75" hidden="false" customHeight="false" outlineLevel="0" collapsed="false">
      <c r="A547" s="20" t="n">
        <v>46083</v>
      </c>
      <c r="B547" s="15" t="s">
        <v>509</v>
      </c>
      <c r="C547" s="15" t="s">
        <v>547</v>
      </c>
      <c r="D547" s="15" t="s">
        <v>548</v>
      </c>
      <c r="E547" s="15" t="n">
        <v>1</v>
      </c>
      <c r="H547" s="10"/>
      <c r="I547" s="21"/>
      <c r="M547" s="10"/>
      <c r="N547" s="10"/>
      <c r="P547" s="10"/>
      <c r="Q547" s="22"/>
    </row>
    <row r="548" customFormat="false" ht="15.75" hidden="false" customHeight="false" outlineLevel="0" collapsed="false">
      <c r="A548" s="20" t="n">
        <v>46083</v>
      </c>
      <c r="B548" s="15" t="s">
        <v>509</v>
      </c>
      <c r="C548" s="15" t="s">
        <v>81</v>
      </c>
      <c r="D548" s="15" t="s">
        <v>534</v>
      </c>
      <c r="E548" s="15" t="n">
        <v>2</v>
      </c>
      <c r="H548" s="10"/>
      <c r="I548" s="21"/>
      <c r="M548" s="10"/>
      <c r="N548" s="10"/>
      <c r="P548" s="10"/>
      <c r="Q548" s="22"/>
    </row>
    <row r="549" customFormat="false" ht="15.75" hidden="false" customHeight="false" outlineLevel="0" collapsed="false">
      <c r="A549" s="20" t="n">
        <v>46083</v>
      </c>
      <c r="B549" s="15" t="s">
        <v>509</v>
      </c>
      <c r="C549" s="15" t="s">
        <v>37</v>
      </c>
      <c r="D549" s="15" t="s">
        <v>561</v>
      </c>
      <c r="E549" s="15" t="n">
        <v>1</v>
      </c>
      <c r="H549" s="10"/>
      <c r="I549" s="21"/>
      <c r="M549" s="10"/>
      <c r="N549" s="10"/>
      <c r="P549" s="10"/>
      <c r="Q549" s="22"/>
    </row>
    <row r="550" customFormat="false" ht="15.75" hidden="false" customHeight="false" outlineLevel="0" collapsed="false">
      <c r="A550" s="20" t="n">
        <v>46083</v>
      </c>
      <c r="B550" s="15" t="s">
        <v>510</v>
      </c>
      <c r="C550" s="15" t="s">
        <v>89</v>
      </c>
      <c r="D550" s="15" t="s">
        <v>574</v>
      </c>
      <c r="E550" s="15" t="n">
        <v>2</v>
      </c>
      <c r="H550" s="10"/>
      <c r="I550" s="21"/>
      <c r="M550" s="10"/>
      <c r="N550" s="10"/>
      <c r="P550" s="10"/>
      <c r="Q550" s="22"/>
    </row>
    <row r="551" customFormat="false" ht="15.75" hidden="false" customHeight="false" outlineLevel="0" collapsed="false">
      <c r="A551" s="20" t="n">
        <v>46083</v>
      </c>
      <c r="B551" s="15" t="s">
        <v>510</v>
      </c>
      <c r="C551" s="15" t="s">
        <v>55</v>
      </c>
      <c r="D551" s="15" t="s">
        <v>539</v>
      </c>
      <c r="E551" s="15" t="n">
        <v>2</v>
      </c>
      <c r="H551" s="10"/>
      <c r="I551" s="21"/>
      <c r="M551" s="10"/>
      <c r="N551" s="10"/>
      <c r="P551" s="10"/>
      <c r="Q551" s="22"/>
    </row>
    <row r="552" customFormat="false" ht="15.75" hidden="false" customHeight="false" outlineLevel="0" collapsed="false">
      <c r="A552" s="20" t="n">
        <v>46083</v>
      </c>
      <c r="B552" s="15" t="s">
        <v>510</v>
      </c>
      <c r="C552" s="15" t="s">
        <v>23</v>
      </c>
      <c r="D552" s="15" t="s">
        <v>575</v>
      </c>
      <c r="E552" s="15" t="n">
        <v>1</v>
      </c>
      <c r="H552" s="10"/>
      <c r="I552" s="21"/>
      <c r="M552" s="10"/>
      <c r="N552" s="10"/>
      <c r="P552" s="10"/>
      <c r="Q552" s="22"/>
    </row>
    <row r="553" customFormat="false" ht="15.75" hidden="false" customHeight="false" outlineLevel="0" collapsed="false">
      <c r="A553" s="20" t="n">
        <v>46083</v>
      </c>
      <c r="B553" s="15" t="s">
        <v>510</v>
      </c>
      <c r="C553" s="15" t="s">
        <v>51</v>
      </c>
      <c r="D553" s="15" t="s">
        <v>573</v>
      </c>
      <c r="E553" s="15" t="n">
        <v>1</v>
      </c>
      <c r="H553" s="10"/>
      <c r="I553" s="21"/>
      <c r="M553" s="10"/>
      <c r="N553" s="10"/>
      <c r="P553" s="10"/>
      <c r="Q553" s="22"/>
    </row>
    <row r="554" customFormat="false" ht="15.75" hidden="false" customHeight="false" outlineLevel="0" collapsed="false">
      <c r="A554" s="20" t="n">
        <v>46083</v>
      </c>
      <c r="B554" s="15" t="s">
        <v>510</v>
      </c>
      <c r="C554" s="15" t="s">
        <v>69</v>
      </c>
      <c r="D554" s="15" t="s">
        <v>535</v>
      </c>
      <c r="E554" s="15" t="n">
        <v>6</v>
      </c>
      <c r="H554" s="10"/>
      <c r="I554" s="21"/>
      <c r="M554" s="10"/>
      <c r="N554" s="10"/>
      <c r="P554" s="10"/>
      <c r="Q554" s="22"/>
    </row>
    <row r="555" customFormat="false" ht="15.75" hidden="false" customHeight="false" outlineLevel="0" collapsed="false">
      <c r="A555" s="20" t="n">
        <v>46083</v>
      </c>
      <c r="B555" s="15" t="s">
        <v>510</v>
      </c>
      <c r="C555" s="15" t="s">
        <v>33</v>
      </c>
      <c r="D555" s="15" t="s">
        <v>536</v>
      </c>
      <c r="E555" s="15" t="n">
        <v>6</v>
      </c>
      <c r="H555" s="10"/>
      <c r="I555" s="21"/>
      <c r="M555" s="10"/>
      <c r="N555" s="10"/>
      <c r="P555" s="10"/>
      <c r="Q555" s="22"/>
    </row>
    <row r="556" customFormat="false" ht="15.75" hidden="false" customHeight="false" outlineLevel="0" collapsed="false">
      <c r="A556" s="20" t="n">
        <v>46083</v>
      </c>
      <c r="B556" s="15" t="s">
        <v>515</v>
      </c>
      <c r="C556" s="15" t="s">
        <v>69</v>
      </c>
      <c r="D556" s="15" t="s">
        <v>535</v>
      </c>
      <c r="E556" s="15" t="n">
        <v>6</v>
      </c>
      <c r="H556" s="10"/>
      <c r="I556" s="21"/>
      <c r="M556" s="10"/>
      <c r="N556" s="10"/>
      <c r="P556" s="10"/>
      <c r="Q556" s="22"/>
    </row>
    <row r="557" customFormat="false" ht="15.75" hidden="false" customHeight="false" outlineLevel="0" collapsed="false">
      <c r="A557" s="20" t="n">
        <v>46083</v>
      </c>
      <c r="B557" s="15" t="s">
        <v>515</v>
      </c>
      <c r="C557" s="15" t="s">
        <v>33</v>
      </c>
      <c r="D557" s="15" t="s">
        <v>536</v>
      </c>
      <c r="E557" s="15" t="n">
        <v>6</v>
      </c>
      <c r="H557" s="10"/>
      <c r="I557" s="21"/>
      <c r="M557" s="10"/>
      <c r="N557" s="10"/>
      <c r="P557" s="10"/>
      <c r="Q557" s="22"/>
    </row>
    <row r="558" customFormat="false" ht="15.75" hidden="false" customHeight="false" outlineLevel="0" collapsed="false">
      <c r="A558" s="20" t="n">
        <v>46083</v>
      </c>
      <c r="B558" s="15" t="s">
        <v>515</v>
      </c>
      <c r="C558" s="15" t="s">
        <v>55</v>
      </c>
      <c r="D558" s="15" t="s">
        <v>539</v>
      </c>
      <c r="E558" s="15" t="n">
        <v>4</v>
      </c>
      <c r="H558" s="10"/>
      <c r="I558" s="21"/>
      <c r="M558" s="10"/>
      <c r="N558" s="10"/>
      <c r="P558" s="10"/>
      <c r="Q558" s="22"/>
    </row>
    <row r="559" customFormat="false" ht="15.75" hidden="false" customHeight="false" outlineLevel="0" collapsed="false">
      <c r="A559" s="20" t="n">
        <v>46083</v>
      </c>
      <c r="B559" s="15" t="s">
        <v>515</v>
      </c>
      <c r="C559" s="15" t="s">
        <v>27</v>
      </c>
      <c r="D559" s="15" t="s">
        <v>577</v>
      </c>
      <c r="E559" s="15" t="n">
        <v>1</v>
      </c>
      <c r="H559" s="10"/>
      <c r="I559" s="21"/>
      <c r="M559" s="10"/>
      <c r="N559" s="10"/>
      <c r="P559" s="10"/>
      <c r="Q559" s="22"/>
    </row>
    <row r="560" customFormat="false" ht="15.75" hidden="false" customHeight="false" outlineLevel="0" collapsed="false">
      <c r="A560" s="20" t="n">
        <v>46083</v>
      </c>
      <c r="B560" s="15" t="s">
        <v>515</v>
      </c>
      <c r="C560" s="15" t="s">
        <v>51</v>
      </c>
      <c r="D560" s="15" t="s">
        <v>573</v>
      </c>
      <c r="E560" s="15" t="n">
        <v>1</v>
      </c>
      <c r="H560" s="10"/>
      <c r="I560" s="21"/>
      <c r="M560" s="10"/>
      <c r="N560" s="10"/>
      <c r="P560" s="10"/>
      <c r="Q560" s="22"/>
    </row>
    <row r="561" customFormat="false" ht="15.75" hidden="false" customHeight="false" outlineLevel="0" collapsed="false">
      <c r="A561" s="20" t="n">
        <v>46083</v>
      </c>
      <c r="B561" s="15" t="s">
        <v>515</v>
      </c>
      <c r="C561" s="15" t="s">
        <v>37</v>
      </c>
      <c r="D561" s="15" t="s">
        <v>561</v>
      </c>
      <c r="E561" s="15" t="n">
        <v>1</v>
      </c>
      <c r="H561" s="10"/>
      <c r="I561" s="21"/>
      <c r="M561" s="10"/>
      <c r="N561" s="10"/>
      <c r="P561" s="10"/>
      <c r="Q561" s="22"/>
    </row>
    <row r="562" customFormat="false" ht="15.75" hidden="false" customHeight="false" outlineLevel="0" collapsed="false">
      <c r="A562" s="20" t="n">
        <v>46083</v>
      </c>
      <c r="B562" s="15" t="s">
        <v>515</v>
      </c>
      <c r="C562" s="15" t="s">
        <v>81</v>
      </c>
      <c r="D562" s="15" t="s">
        <v>534</v>
      </c>
      <c r="E562" s="15" t="n">
        <v>2</v>
      </c>
      <c r="H562" s="10"/>
      <c r="I562" s="21"/>
      <c r="M562" s="10"/>
      <c r="N562" s="10"/>
      <c r="P562" s="10"/>
      <c r="Q562" s="22"/>
    </row>
    <row r="563" customFormat="false" ht="15.75" hidden="false" customHeight="false" outlineLevel="0" collapsed="false">
      <c r="A563" s="20" t="n">
        <v>46083</v>
      </c>
      <c r="B563" s="15" t="s">
        <v>515</v>
      </c>
      <c r="C563" s="15" t="s">
        <v>77</v>
      </c>
      <c r="D563" s="15" t="s">
        <v>78</v>
      </c>
      <c r="E563" s="15" t="n">
        <v>4</v>
      </c>
      <c r="H563" s="10"/>
      <c r="I563" s="21"/>
      <c r="M563" s="10"/>
      <c r="N563" s="10"/>
      <c r="P563" s="10"/>
      <c r="Q563" s="22"/>
    </row>
    <row r="564" customFormat="false" ht="15.75" hidden="false" customHeight="false" outlineLevel="0" collapsed="false">
      <c r="A564" s="20" t="n">
        <v>46084</v>
      </c>
      <c r="B564" s="15" t="s">
        <v>453</v>
      </c>
      <c r="C564" s="15" t="s">
        <v>47</v>
      </c>
      <c r="D564" s="15" t="s">
        <v>549</v>
      </c>
      <c r="E564" s="15" t="n">
        <v>2</v>
      </c>
      <c r="H564" s="10"/>
      <c r="I564" s="21"/>
      <c r="M564" s="10"/>
      <c r="N564" s="10"/>
      <c r="P564" s="10"/>
      <c r="Q564" s="22"/>
    </row>
    <row r="565" customFormat="false" ht="15.75" hidden="false" customHeight="false" outlineLevel="0" collapsed="false">
      <c r="A565" s="20" t="n">
        <v>46084</v>
      </c>
      <c r="B565" s="15" t="s">
        <v>453</v>
      </c>
      <c r="C565" s="15" t="s">
        <v>55</v>
      </c>
      <c r="D565" s="15" t="s">
        <v>539</v>
      </c>
      <c r="E565" s="15" t="n">
        <v>4</v>
      </c>
      <c r="H565" s="10"/>
      <c r="I565" s="21"/>
      <c r="M565" s="10"/>
      <c r="N565" s="10"/>
      <c r="P565" s="10"/>
      <c r="Q565" s="22"/>
    </row>
    <row r="566" customFormat="false" ht="15.75" hidden="false" customHeight="false" outlineLevel="0" collapsed="false">
      <c r="A566" s="20" t="n">
        <v>46084</v>
      </c>
      <c r="B566" s="15" t="s">
        <v>453</v>
      </c>
      <c r="C566" s="15" t="s">
        <v>81</v>
      </c>
      <c r="D566" s="15" t="s">
        <v>534</v>
      </c>
      <c r="E566" s="15" t="n">
        <v>8</v>
      </c>
      <c r="H566" s="10"/>
      <c r="I566" s="21"/>
      <c r="M566" s="10"/>
      <c r="N566" s="10"/>
      <c r="P566" s="10"/>
      <c r="Q566" s="22"/>
    </row>
    <row r="567" customFormat="false" ht="15.75" hidden="false" customHeight="false" outlineLevel="0" collapsed="false">
      <c r="A567" s="20" t="n">
        <v>46084</v>
      </c>
      <c r="B567" s="15" t="s">
        <v>453</v>
      </c>
      <c r="C567" s="15" t="s">
        <v>39</v>
      </c>
      <c r="D567" s="15" t="s">
        <v>550</v>
      </c>
      <c r="E567" s="15" t="n">
        <v>2</v>
      </c>
      <c r="H567" s="10"/>
      <c r="I567" s="21"/>
      <c r="M567" s="10"/>
      <c r="N567" s="10"/>
      <c r="P567" s="10"/>
      <c r="Q567" s="22"/>
    </row>
    <row r="568" customFormat="false" ht="15.75" hidden="false" customHeight="false" outlineLevel="0" collapsed="false">
      <c r="A568" s="20" t="n">
        <v>46084</v>
      </c>
      <c r="B568" s="15" t="s">
        <v>453</v>
      </c>
      <c r="C568" s="15" t="s">
        <v>63</v>
      </c>
      <c r="D568" s="15" t="s">
        <v>551</v>
      </c>
      <c r="E568" s="15" t="n">
        <v>1</v>
      </c>
      <c r="H568" s="10"/>
      <c r="I568" s="21"/>
      <c r="M568" s="10"/>
      <c r="N568" s="10"/>
      <c r="P568" s="10"/>
      <c r="Q568" s="22"/>
    </row>
    <row r="569" customFormat="false" ht="15.75" hidden="false" customHeight="false" outlineLevel="0" collapsed="false">
      <c r="A569" s="20" t="n">
        <v>46084</v>
      </c>
      <c r="B569" s="15" t="s">
        <v>453</v>
      </c>
      <c r="C569" s="15" t="s">
        <v>35</v>
      </c>
      <c r="D569" s="15" t="s">
        <v>552</v>
      </c>
      <c r="E569" s="15" t="n">
        <v>2</v>
      </c>
      <c r="H569" s="10"/>
      <c r="I569" s="21"/>
      <c r="M569" s="10"/>
      <c r="N569" s="10"/>
      <c r="P569" s="10"/>
      <c r="Q569" s="22"/>
    </row>
    <row r="570" customFormat="false" ht="15.75" hidden="false" customHeight="false" outlineLevel="0" collapsed="false">
      <c r="A570" s="20" t="n">
        <v>46084</v>
      </c>
      <c r="B570" s="15" t="s">
        <v>469</v>
      </c>
      <c r="C570" s="15" t="s">
        <v>69</v>
      </c>
      <c r="D570" s="15" t="s">
        <v>535</v>
      </c>
      <c r="E570" s="15" t="n">
        <v>5</v>
      </c>
      <c r="H570" s="10"/>
      <c r="I570" s="21"/>
      <c r="M570" s="10"/>
      <c r="N570" s="10"/>
      <c r="P570" s="10"/>
      <c r="Q570" s="22"/>
    </row>
    <row r="571" customFormat="false" ht="15.75" hidden="false" customHeight="false" outlineLevel="0" collapsed="false">
      <c r="A571" s="20" t="n">
        <v>46084</v>
      </c>
      <c r="B571" s="15" t="s">
        <v>469</v>
      </c>
      <c r="C571" s="15" t="s">
        <v>55</v>
      </c>
      <c r="D571" s="15" t="s">
        <v>539</v>
      </c>
      <c r="E571" s="15" t="n">
        <v>2</v>
      </c>
      <c r="H571" s="10"/>
      <c r="I571" s="21"/>
      <c r="M571" s="10"/>
      <c r="N571" s="10"/>
      <c r="P571" s="10"/>
      <c r="Q571" s="22"/>
    </row>
    <row r="572" customFormat="false" ht="15.75" hidden="false" customHeight="false" outlineLevel="0" collapsed="false">
      <c r="A572" s="20" t="n">
        <v>46084</v>
      </c>
      <c r="B572" s="15" t="s">
        <v>469</v>
      </c>
      <c r="C572" s="15" t="s">
        <v>33</v>
      </c>
      <c r="D572" s="15" t="s">
        <v>536</v>
      </c>
      <c r="E572" s="15" t="n">
        <v>5</v>
      </c>
      <c r="H572" s="10"/>
      <c r="I572" s="21"/>
      <c r="M572" s="10"/>
      <c r="N572" s="10"/>
      <c r="P572" s="10"/>
      <c r="Q572" s="22"/>
    </row>
    <row r="573" customFormat="false" ht="15.75" hidden="false" customHeight="false" outlineLevel="0" collapsed="false">
      <c r="A573" s="20" t="n">
        <v>46084</v>
      </c>
      <c r="B573" s="15" t="s">
        <v>469</v>
      </c>
      <c r="C573" s="15" t="s">
        <v>547</v>
      </c>
      <c r="D573" s="15" t="s">
        <v>548</v>
      </c>
      <c r="E573" s="15" t="n">
        <v>1</v>
      </c>
      <c r="H573" s="10"/>
      <c r="I573" s="21"/>
      <c r="M573" s="10"/>
      <c r="N573" s="10"/>
      <c r="P573" s="10"/>
      <c r="Q573" s="22"/>
    </row>
    <row r="574" customFormat="false" ht="15.75" hidden="false" customHeight="false" outlineLevel="0" collapsed="false">
      <c r="A574" s="20" t="n">
        <v>46084</v>
      </c>
      <c r="B574" s="15" t="s">
        <v>469</v>
      </c>
      <c r="C574" s="15" t="s">
        <v>81</v>
      </c>
      <c r="D574" s="15" t="s">
        <v>534</v>
      </c>
      <c r="E574" s="15" t="n">
        <v>2</v>
      </c>
      <c r="H574" s="10"/>
      <c r="I574" s="21"/>
      <c r="M574" s="10"/>
      <c r="N574" s="10"/>
      <c r="P574" s="10"/>
      <c r="Q574" s="22"/>
    </row>
    <row r="575" customFormat="false" ht="15.75" hidden="false" customHeight="false" outlineLevel="0" collapsed="false">
      <c r="A575" s="20" t="n">
        <v>46084</v>
      </c>
      <c r="B575" s="15" t="s">
        <v>474</v>
      </c>
      <c r="C575" s="15" t="s">
        <v>555</v>
      </c>
      <c r="D575" s="15" t="s">
        <v>556</v>
      </c>
      <c r="E575" s="15" t="n">
        <v>8</v>
      </c>
      <c r="H575" s="10"/>
      <c r="I575" s="21"/>
      <c r="M575" s="10"/>
      <c r="N575" s="10"/>
      <c r="P575" s="10"/>
      <c r="Q575" s="22"/>
    </row>
    <row r="576" customFormat="false" ht="15.75" hidden="false" customHeight="false" outlineLevel="0" collapsed="false">
      <c r="A576" s="20" t="n">
        <v>46084</v>
      </c>
      <c r="B576" s="15" t="s">
        <v>474</v>
      </c>
      <c r="C576" s="15" t="s">
        <v>565</v>
      </c>
      <c r="D576" s="15" t="s">
        <v>566</v>
      </c>
      <c r="E576" s="15" t="n">
        <v>4</v>
      </c>
      <c r="H576" s="10"/>
      <c r="I576" s="21"/>
      <c r="M576" s="10"/>
      <c r="N576" s="10"/>
      <c r="P576" s="10"/>
      <c r="Q576" s="22"/>
    </row>
    <row r="577" customFormat="false" ht="15.75" hidden="false" customHeight="false" outlineLevel="0" collapsed="false">
      <c r="A577" s="20" t="n">
        <v>46084</v>
      </c>
      <c r="B577" s="15" t="s">
        <v>474</v>
      </c>
      <c r="C577" s="15" t="s">
        <v>11</v>
      </c>
      <c r="D577" s="15" t="s">
        <v>572</v>
      </c>
      <c r="E577" s="15" t="n">
        <v>4</v>
      </c>
      <c r="H577" s="10"/>
      <c r="I577" s="21"/>
      <c r="M577" s="10"/>
      <c r="N577" s="10"/>
      <c r="P577" s="10"/>
      <c r="Q577" s="22"/>
    </row>
    <row r="578" customFormat="false" ht="15.75" hidden="false" customHeight="false" outlineLevel="0" collapsed="false">
      <c r="A578" s="20" t="n">
        <v>46084</v>
      </c>
      <c r="B578" s="15" t="s">
        <v>474</v>
      </c>
      <c r="C578" s="15" t="s">
        <v>543</v>
      </c>
      <c r="D578" s="15" t="s">
        <v>544</v>
      </c>
      <c r="E578" s="15" t="n">
        <v>4</v>
      </c>
      <c r="H578" s="10"/>
      <c r="I578" s="21"/>
      <c r="M578" s="10"/>
      <c r="N578" s="10"/>
      <c r="P578" s="10"/>
      <c r="Q578" s="22"/>
    </row>
    <row r="579" customFormat="false" ht="15.75" hidden="false" customHeight="false" outlineLevel="0" collapsed="false">
      <c r="A579" s="20" t="n">
        <v>46084</v>
      </c>
      <c r="B579" s="15" t="s">
        <v>474</v>
      </c>
      <c r="C579" s="15" t="s">
        <v>91</v>
      </c>
      <c r="D579" s="15" t="s">
        <v>91</v>
      </c>
      <c r="E579" s="15" t="n">
        <v>4</v>
      </c>
      <c r="H579" s="10"/>
      <c r="I579" s="21"/>
      <c r="M579" s="10"/>
      <c r="N579" s="10"/>
      <c r="P579" s="10"/>
      <c r="Q579" s="22"/>
    </row>
    <row r="580" customFormat="false" ht="15.75" hidden="false" customHeight="false" outlineLevel="0" collapsed="false">
      <c r="A580" s="20" t="n">
        <v>46084</v>
      </c>
      <c r="B580" s="15" t="s">
        <v>474</v>
      </c>
      <c r="C580" s="15" t="s">
        <v>25</v>
      </c>
      <c r="D580" s="15" t="s">
        <v>26</v>
      </c>
      <c r="E580" s="15" t="n">
        <v>4</v>
      </c>
      <c r="H580" s="10"/>
      <c r="I580" s="21"/>
      <c r="M580" s="10"/>
      <c r="N580" s="10"/>
      <c r="P580" s="10"/>
      <c r="Q580" s="22"/>
    </row>
    <row r="581" customFormat="false" ht="15.75" hidden="false" customHeight="false" outlineLevel="0" collapsed="false">
      <c r="A581" s="20" t="n">
        <v>46084</v>
      </c>
      <c r="B581" s="15" t="s">
        <v>477</v>
      </c>
      <c r="C581" s="15" t="s">
        <v>69</v>
      </c>
      <c r="D581" s="15" t="s">
        <v>535</v>
      </c>
      <c r="E581" s="15" t="n">
        <v>3</v>
      </c>
      <c r="H581" s="10"/>
      <c r="I581" s="21"/>
      <c r="M581" s="10"/>
      <c r="N581" s="10"/>
      <c r="P581" s="10"/>
      <c r="Q581" s="22"/>
    </row>
    <row r="582" customFormat="false" ht="15.75" hidden="false" customHeight="false" outlineLevel="0" collapsed="false">
      <c r="A582" s="20" t="n">
        <v>46084</v>
      </c>
      <c r="B582" s="15" t="s">
        <v>477</v>
      </c>
      <c r="C582" s="15" t="s">
        <v>547</v>
      </c>
      <c r="D582" s="15" t="s">
        <v>548</v>
      </c>
      <c r="E582" s="15" t="n">
        <v>3</v>
      </c>
      <c r="H582" s="10"/>
      <c r="I582" s="21"/>
      <c r="M582" s="10"/>
      <c r="N582" s="10"/>
      <c r="P582" s="10"/>
      <c r="Q582" s="22"/>
    </row>
    <row r="583" customFormat="false" ht="15.75" hidden="false" customHeight="false" outlineLevel="0" collapsed="false">
      <c r="A583" s="20" t="n">
        <v>46084</v>
      </c>
      <c r="B583" s="15" t="s">
        <v>477</v>
      </c>
      <c r="C583" s="15" t="s">
        <v>25</v>
      </c>
      <c r="D583" s="15" t="s">
        <v>26</v>
      </c>
      <c r="E583" s="15" t="n">
        <v>3</v>
      </c>
      <c r="H583" s="10"/>
      <c r="I583" s="21"/>
      <c r="M583" s="10"/>
      <c r="N583" s="10"/>
      <c r="P583" s="10"/>
      <c r="Q583" s="22"/>
    </row>
    <row r="584" customFormat="false" ht="15.75" hidden="false" customHeight="false" outlineLevel="0" collapsed="false">
      <c r="A584" s="20" t="n">
        <v>46084</v>
      </c>
      <c r="B584" s="15" t="s">
        <v>488</v>
      </c>
      <c r="C584" s="15" t="s">
        <v>69</v>
      </c>
      <c r="D584" s="15" t="s">
        <v>535</v>
      </c>
      <c r="E584" s="15" t="n">
        <v>3</v>
      </c>
      <c r="H584" s="10"/>
      <c r="I584" s="21"/>
      <c r="M584" s="10"/>
      <c r="N584" s="10"/>
      <c r="P584" s="10"/>
      <c r="Q584" s="22"/>
    </row>
    <row r="585" customFormat="false" ht="15.75" hidden="false" customHeight="false" outlineLevel="0" collapsed="false">
      <c r="A585" s="20" t="n">
        <v>46084</v>
      </c>
      <c r="B585" s="15" t="s">
        <v>488</v>
      </c>
      <c r="C585" s="15" t="s">
        <v>555</v>
      </c>
      <c r="D585" s="15" t="s">
        <v>556</v>
      </c>
      <c r="E585" s="15" t="n">
        <v>2</v>
      </c>
      <c r="H585" s="10"/>
      <c r="I585" s="21"/>
      <c r="M585" s="10"/>
      <c r="N585" s="10"/>
      <c r="P585" s="10"/>
      <c r="Q585" s="22"/>
    </row>
    <row r="586" customFormat="false" ht="15.75" hidden="false" customHeight="false" outlineLevel="0" collapsed="false">
      <c r="A586" s="20" t="n">
        <v>46084</v>
      </c>
      <c r="B586" s="15" t="s">
        <v>488</v>
      </c>
      <c r="C586" s="15" t="s">
        <v>565</v>
      </c>
      <c r="D586" s="15" t="s">
        <v>566</v>
      </c>
      <c r="E586" s="15" t="n">
        <v>1</v>
      </c>
      <c r="H586" s="10"/>
      <c r="I586" s="21"/>
      <c r="M586" s="10"/>
      <c r="N586" s="10"/>
      <c r="P586" s="10"/>
      <c r="Q586" s="22"/>
    </row>
    <row r="587" customFormat="false" ht="15.75" hidden="false" customHeight="false" outlineLevel="0" collapsed="false">
      <c r="A587" s="20" t="n">
        <v>46084</v>
      </c>
      <c r="B587" s="15" t="s">
        <v>488</v>
      </c>
      <c r="C587" s="15" t="s">
        <v>545</v>
      </c>
      <c r="D587" s="15" t="s">
        <v>546</v>
      </c>
      <c r="E587" s="15" t="n">
        <v>2</v>
      </c>
      <c r="H587" s="10"/>
      <c r="I587" s="21"/>
      <c r="M587" s="10"/>
      <c r="N587" s="10"/>
      <c r="P587" s="10"/>
      <c r="Q587" s="22"/>
    </row>
    <row r="588" customFormat="false" ht="15.75" hidden="false" customHeight="false" outlineLevel="0" collapsed="false">
      <c r="A588" s="20" t="n">
        <v>46084</v>
      </c>
      <c r="B588" s="15" t="s">
        <v>488</v>
      </c>
      <c r="C588" s="15" t="s">
        <v>578</v>
      </c>
      <c r="D588" s="15" t="s">
        <v>579</v>
      </c>
      <c r="E588" s="15" t="n">
        <v>1</v>
      </c>
      <c r="H588" s="10"/>
      <c r="I588" s="21"/>
      <c r="M588" s="10"/>
      <c r="N588" s="10"/>
      <c r="P588" s="10"/>
      <c r="Q588" s="22"/>
    </row>
    <row r="589" customFormat="false" ht="15.75" hidden="false" customHeight="false" outlineLevel="0" collapsed="false">
      <c r="A589" s="20" t="n">
        <v>46084</v>
      </c>
      <c r="B589" s="15" t="s">
        <v>488</v>
      </c>
      <c r="C589" s="15" t="s">
        <v>570</v>
      </c>
      <c r="D589" s="15" t="s">
        <v>571</v>
      </c>
      <c r="E589" s="15" t="n">
        <v>1</v>
      </c>
      <c r="H589" s="10"/>
      <c r="I589" s="21"/>
      <c r="M589" s="10"/>
      <c r="N589" s="10"/>
      <c r="P589" s="10"/>
      <c r="Q589" s="22"/>
    </row>
    <row r="590" customFormat="false" ht="15.75" hidden="false" customHeight="false" outlineLevel="0" collapsed="false">
      <c r="A590" s="20" t="n">
        <v>46084</v>
      </c>
      <c r="B590" s="15" t="s">
        <v>488</v>
      </c>
      <c r="C590" s="15" t="s">
        <v>11</v>
      </c>
      <c r="D590" s="15" t="s">
        <v>572</v>
      </c>
      <c r="E590" s="15" t="n">
        <v>1</v>
      </c>
      <c r="H590" s="10"/>
      <c r="I590" s="21"/>
      <c r="M590" s="10"/>
      <c r="N590" s="10"/>
      <c r="P590" s="10"/>
      <c r="Q590" s="22"/>
    </row>
    <row r="591" customFormat="false" ht="15.75" hidden="false" customHeight="false" outlineLevel="0" collapsed="false">
      <c r="A591" s="20" t="n">
        <v>46084</v>
      </c>
      <c r="B591" s="15" t="s">
        <v>488</v>
      </c>
      <c r="C591" s="15" t="s">
        <v>543</v>
      </c>
      <c r="D591" s="15" t="s">
        <v>544</v>
      </c>
      <c r="E591" s="15" t="n">
        <v>3</v>
      </c>
      <c r="H591" s="10"/>
      <c r="I591" s="21"/>
      <c r="M591" s="10"/>
      <c r="N591" s="10"/>
      <c r="P591" s="10"/>
      <c r="Q591" s="22"/>
    </row>
    <row r="592" customFormat="false" ht="15.75" hidden="false" customHeight="false" outlineLevel="0" collapsed="false">
      <c r="A592" s="20" t="n">
        <v>46084</v>
      </c>
      <c r="B592" s="15" t="s">
        <v>488</v>
      </c>
      <c r="C592" s="15" t="s">
        <v>65</v>
      </c>
      <c r="D592" s="15" t="s">
        <v>580</v>
      </c>
      <c r="E592" s="15" t="n">
        <v>1</v>
      </c>
      <c r="H592" s="10"/>
      <c r="I592" s="21"/>
      <c r="M592" s="10"/>
      <c r="N592" s="10"/>
      <c r="P592" s="10"/>
      <c r="Q592" s="22"/>
    </row>
    <row r="593" customFormat="false" ht="15.75" hidden="false" customHeight="false" outlineLevel="0" collapsed="false">
      <c r="A593" s="20" t="n">
        <v>46084</v>
      </c>
      <c r="B593" s="15" t="s">
        <v>488</v>
      </c>
      <c r="C593" s="15" t="s">
        <v>91</v>
      </c>
      <c r="D593" s="15" t="s">
        <v>91</v>
      </c>
      <c r="E593" s="15" t="n">
        <v>2</v>
      </c>
      <c r="H593" s="10"/>
      <c r="I593" s="21"/>
      <c r="M593" s="10"/>
      <c r="N593" s="10"/>
      <c r="P593" s="10"/>
      <c r="Q593" s="22"/>
    </row>
    <row r="594" customFormat="false" ht="15.75" hidden="false" customHeight="false" outlineLevel="0" collapsed="false">
      <c r="A594" s="20" t="n">
        <v>46084</v>
      </c>
      <c r="B594" s="15" t="s">
        <v>488</v>
      </c>
      <c r="C594" s="15" t="s">
        <v>33</v>
      </c>
      <c r="D594" s="15" t="s">
        <v>536</v>
      </c>
      <c r="E594" s="15" t="n">
        <v>3</v>
      </c>
      <c r="H594" s="10"/>
      <c r="I594" s="21"/>
      <c r="M594" s="10"/>
      <c r="N594" s="10"/>
      <c r="P594" s="10"/>
      <c r="Q594" s="22"/>
    </row>
    <row r="595" customFormat="false" ht="15.75" hidden="false" customHeight="false" outlineLevel="0" collapsed="false">
      <c r="A595" s="20" t="n">
        <v>46084</v>
      </c>
      <c r="B595" s="15" t="s">
        <v>488</v>
      </c>
      <c r="C595" s="15" t="s">
        <v>75</v>
      </c>
      <c r="D595" s="15" t="s">
        <v>560</v>
      </c>
      <c r="E595" s="15" t="n">
        <v>1</v>
      </c>
      <c r="H595" s="10"/>
      <c r="I595" s="21"/>
      <c r="M595" s="10"/>
      <c r="N595" s="10"/>
      <c r="P595" s="10"/>
      <c r="Q595" s="22"/>
    </row>
    <row r="596" customFormat="false" ht="15.75" hidden="false" customHeight="false" outlineLevel="0" collapsed="false">
      <c r="A596" s="20" t="n">
        <v>46084</v>
      </c>
      <c r="B596" s="15" t="s">
        <v>488</v>
      </c>
      <c r="C596" s="15" t="s">
        <v>79</v>
      </c>
      <c r="D596" s="15" t="s">
        <v>564</v>
      </c>
      <c r="E596" s="15" t="n">
        <v>2</v>
      </c>
      <c r="H596" s="10"/>
      <c r="I596" s="21"/>
      <c r="M596" s="10"/>
      <c r="N596" s="10"/>
      <c r="P596" s="10"/>
      <c r="Q596" s="22"/>
    </row>
    <row r="597" customFormat="false" ht="15.75" hidden="false" customHeight="false" outlineLevel="0" collapsed="false">
      <c r="A597" s="20" t="n">
        <v>46084</v>
      </c>
      <c r="B597" s="15" t="s">
        <v>488</v>
      </c>
      <c r="C597" s="15" t="s">
        <v>81</v>
      </c>
      <c r="D597" s="15" t="s">
        <v>534</v>
      </c>
      <c r="E597" s="15" t="n">
        <v>10</v>
      </c>
      <c r="H597" s="10"/>
      <c r="I597" s="21"/>
      <c r="M597" s="10"/>
      <c r="N597" s="10"/>
      <c r="P597" s="10"/>
      <c r="Q597" s="22"/>
    </row>
    <row r="598" customFormat="false" ht="15.75" hidden="false" customHeight="false" outlineLevel="0" collapsed="false">
      <c r="A598" s="20" t="n">
        <v>46084</v>
      </c>
      <c r="B598" s="15" t="s">
        <v>488</v>
      </c>
      <c r="C598" s="15" t="s">
        <v>77</v>
      </c>
      <c r="D598" s="15" t="s">
        <v>78</v>
      </c>
      <c r="E598" s="15" t="n">
        <v>3</v>
      </c>
      <c r="H598" s="10"/>
      <c r="I598" s="21"/>
      <c r="M598" s="10"/>
      <c r="N598" s="10"/>
      <c r="P598" s="10"/>
      <c r="Q598" s="22"/>
    </row>
    <row r="599" customFormat="false" ht="15.75" hidden="false" customHeight="false" outlineLevel="0" collapsed="false">
      <c r="A599" s="20" t="n">
        <v>46084</v>
      </c>
      <c r="B599" s="15" t="s">
        <v>488</v>
      </c>
      <c r="C599" s="15" t="s">
        <v>25</v>
      </c>
      <c r="D599" s="15" t="s">
        <v>26</v>
      </c>
      <c r="E599" s="15" t="n">
        <v>1</v>
      </c>
      <c r="H599" s="10"/>
      <c r="I599" s="21"/>
      <c r="M599" s="10"/>
      <c r="N599" s="10"/>
      <c r="P599" s="10"/>
      <c r="Q599" s="22"/>
    </row>
    <row r="600" customFormat="false" ht="15.75" hidden="false" customHeight="false" outlineLevel="0" collapsed="false">
      <c r="A600" s="20" t="n">
        <v>46084</v>
      </c>
      <c r="B600" s="15" t="s">
        <v>491</v>
      </c>
      <c r="C600" s="15" t="s">
        <v>37</v>
      </c>
      <c r="D600" s="15" t="s">
        <v>561</v>
      </c>
      <c r="E600" s="15" t="n">
        <v>1</v>
      </c>
      <c r="H600" s="10"/>
      <c r="I600" s="21"/>
      <c r="M600" s="10"/>
      <c r="N600" s="10"/>
      <c r="P600" s="10"/>
      <c r="Q600" s="22"/>
    </row>
    <row r="601" customFormat="false" ht="15.75" hidden="false" customHeight="false" outlineLevel="0" collapsed="false">
      <c r="A601" s="20" t="n">
        <v>46084</v>
      </c>
      <c r="B601" s="15" t="s">
        <v>491</v>
      </c>
      <c r="C601" s="15" t="s">
        <v>81</v>
      </c>
      <c r="D601" s="15" t="s">
        <v>534</v>
      </c>
      <c r="E601" s="15" t="n">
        <v>8</v>
      </c>
      <c r="H601" s="10"/>
      <c r="I601" s="21"/>
      <c r="M601" s="10"/>
      <c r="N601" s="10"/>
      <c r="P601" s="10"/>
      <c r="Q601" s="22"/>
    </row>
    <row r="602" customFormat="false" ht="15.75" hidden="false" customHeight="false" outlineLevel="0" collapsed="false">
      <c r="A602" s="20" t="n">
        <v>46084</v>
      </c>
      <c r="B602" s="15" t="s">
        <v>491</v>
      </c>
      <c r="C602" s="15" t="s">
        <v>75</v>
      </c>
      <c r="D602" s="15" t="s">
        <v>560</v>
      </c>
      <c r="E602" s="15" t="n">
        <v>1</v>
      </c>
      <c r="H602" s="10"/>
      <c r="I602" s="21"/>
      <c r="M602" s="10"/>
      <c r="N602" s="10"/>
      <c r="P602" s="10"/>
      <c r="Q602" s="22"/>
    </row>
    <row r="603" customFormat="false" ht="15.75" hidden="false" customHeight="false" outlineLevel="0" collapsed="false">
      <c r="A603" s="20" t="n">
        <v>46084</v>
      </c>
      <c r="B603" s="15" t="s">
        <v>491</v>
      </c>
      <c r="C603" s="15" t="s">
        <v>69</v>
      </c>
      <c r="D603" s="15" t="s">
        <v>535</v>
      </c>
      <c r="E603" s="15" t="n">
        <v>6</v>
      </c>
      <c r="H603" s="10"/>
      <c r="I603" s="21"/>
      <c r="M603" s="10"/>
      <c r="N603" s="10"/>
      <c r="P603" s="10"/>
      <c r="Q603" s="22"/>
    </row>
    <row r="604" customFormat="false" ht="15.75" hidden="false" customHeight="false" outlineLevel="0" collapsed="false">
      <c r="A604" s="20" t="n">
        <v>46084</v>
      </c>
      <c r="B604" s="15" t="s">
        <v>491</v>
      </c>
      <c r="C604" s="15" t="s">
        <v>547</v>
      </c>
      <c r="D604" s="15" t="s">
        <v>548</v>
      </c>
      <c r="E604" s="15" t="n">
        <v>1</v>
      </c>
      <c r="H604" s="10"/>
      <c r="I604" s="21"/>
      <c r="M604" s="10"/>
      <c r="N604" s="10"/>
      <c r="P604" s="10"/>
      <c r="Q604" s="22"/>
    </row>
    <row r="605" customFormat="false" ht="15.75" hidden="false" customHeight="false" outlineLevel="0" collapsed="false">
      <c r="A605" s="20" t="n">
        <v>46084</v>
      </c>
      <c r="B605" s="15" t="s">
        <v>491</v>
      </c>
      <c r="C605" s="15" t="s">
        <v>31</v>
      </c>
      <c r="D605" s="15" t="s">
        <v>559</v>
      </c>
      <c r="E605" s="15" t="n">
        <v>2</v>
      </c>
      <c r="H605" s="10"/>
      <c r="I605" s="21"/>
      <c r="M605" s="10"/>
      <c r="N605" s="10"/>
      <c r="P605" s="10"/>
      <c r="Q605" s="22"/>
    </row>
    <row r="606" customFormat="false" ht="15.75" hidden="false" customHeight="false" outlineLevel="0" collapsed="false">
      <c r="A606" s="20" t="n">
        <v>46084</v>
      </c>
      <c r="B606" s="15" t="s">
        <v>491</v>
      </c>
      <c r="C606" s="15" t="s">
        <v>545</v>
      </c>
      <c r="D606" s="15" t="s">
        <v>546</v>
      </c>
      <c r="E606" s="15" t="n">
        <v>2</v>
      </c>
      <c r="H606" s="10"/>
      <c r="I606" s="21"/>
      <c r="M606" s="10"/>
      <c r="N606" s="10"/>
      <c r="P606" s="10"/>
      <c r="Q606" s="22"/>
    </row>
    <row r="607" customFormat="false" ht="15.75" hidden="false" customHeight="false" outlineLevel="0" collapsed="false">
      <c r="A607" s="20" t="n">
        <v>46084</v>
      </c>
      <c r="B607" s="15" t="s">
        <v>491</v>
      </c>
      <c r="C607" s="15" t="s">
        <v>543</v>
      </c>
      <c r="D607" s="15" t="s">
        <v>544</v>
      </c>
      <c r="E607" s="15" t="n">
        <v>4</v>
      </c>
      <c r="H607" s="10"/>
      <c r="I607" s="21"/>
      <c r="M607" s="10"/>
      <c r="N607" s="10"/>
      <c r="P607" s="10"/>
      <c r="Q607" s="22"/>
    </row>
    <row r="608" customFormat="false" ht="15.75" hidden="false" customHeight="false" outlineLevel="0" collapsed="false">
      <c r="A608" s="20" t="n">
        <v>46084</v>
      </c>
      <c r="B608" s="15" t="s">
        <v>491</v>
      </c>
      <c r="C608" s="15" t="s">
        <v>541</v>
      </c>
      <c r="D608" s="15" t="s">
        <v>542</v>
      </c>
      <c r="E608" s="15" t="n">
        <v>2</v>
      </c>
      <c r="H608" s="10"/>
      <c r="I608" s="21"/>
      <c r="M608" s="10"/>
      <c r="N608" s="10"/>
      <c r="P608" s="10"/>
      <c r="Q608" s="22"/>
    </row>
    <row r="609" customFormat="false" ht="15.75" hidden="false" customHeight="false" outlineLevel="0" collapsed="false">
      <c r="A609" s="20" t="n">
        <v>46084</v>
      </c>
      <c r="B609" s="15" t="s">
        <v>491</v>
      </c>
      <c r="C609" s="15" t="s">
        <v>49</v>
      </c>
      <c r="D609" s="15" t="s">
        <v>537</v>
      </c>
      <c r="E609" s="15" t="n">
        <v>1</v>
      </c>
      <c r="H609" s="10"/>
      <c r="I609" s="21"/>
      <c r="M609" s="10"/>
      <c r="N609" s="10"/>
      <c r="P609" s="10"/>
      <c r="Q609" s="22"/>
    </row>
    <row r="610" customFormat="false" ht="15.75" hidden="false" customHeight="false" outlineLevel="0" collapsed="false">
      <c r="A610" s="20" t="n">
        <v>46084</v>
      </c>
      <c r="B610" s="15" t="s">
        <v>491</v>
      </c>
      <c r="C610" s="15" t="s">
        <v>33</v>
      </c>
      <c r="D610" s="15" t="s">
        <v>536</v>
      </c>
      <c r="E610" s="15" t="n">
        <v>5</v>
      </c>
      <c r="H610" s="10"/>
      <c r="I610" s="21"/>
      <c r="M610" s="10"/>
      <c r="N610" s="10"/>
      <c r="P610" s="10"/>
      <c r="Q610" s="22"/>
    </row>
    <row r="611" customFormat="false" ht="15.75" hidden="false" customHeight="false" outlineLevel="0" collapsed="false">
      <c r="A611" s="20" t="n">
        <v>46084</v>
      </c>
      <c r="B611" s="15" t="s">
        <v>491</v>
      </c>
      <c r="C611" s="15" t="s">
        <v>77</v>
      </c>
      <c r="D611" s="15" t="s">
        <v>78</v>
      </c>
      <c r="E611" s="15" t="n">
        <v>3</v>
      </c>
      <c r="H611" s="10"/>
      <c r="I611" s="21"/>
      <c r="M611" s="10"/>
      <c r="N611" s="10"/>
      <c r="P611" s="10"/>
      <c r="Q611" s="22"/>
    </row>
    <row r="612" customFormat="false" ht="15.75" hidden="false" customHeight="false" outlineLevel="0" collapsed="false">
      <c r="A612" s="20" t="n">
        <v>46084</v>
      </c>
      <c r="B612" s="15" t="s">
        <v>491</v>
      </c>
      <c r="C612" s="15" t="s">
        <v>47</v>
      </c>
      <c r="D612" s="15" t="s">
        <v>549</v>
      </c>
      <c r="E612" s="15" t="n">
        <v>1</v>
      </c>
      <c r="H612" s="10"/>
      <c r="I612" s="21"/>
      <c r="M612" s="10"/>
      <c r="N612" s="10"/>
      <c r="P612" s="10"/>
      <c r="Q612" s="22"/>
    </row>
    <row r="613" customFormat="false" ht="15.75" hidden="false" customHeight="false" outlineLevel="0" collapsed="false">
      <c r="A613" s="20" t="n">
        <v>46084</v>
      </c>
      <c r="B613" s="15" t="s">
        <v>491</v>
      </c>
      <c r="C613" s="15" t="s">
        <v>55</v>
      </c>
      <c r="D613" s="15" t="s">
        <v>539</v>
      </c>
      <c r="E613" s="15" t="n">
        <v>1</v>
      </c>
      <c r="H613" s="10"/>
      <c r="I613" s="21"/>
      <c r="M613" s="10"/>
      <c r="N613" s="10"/>
      <c r="P613" s="10"/>
      <c r="Q613" s="22"/>
    </row>
    <row r="614" customFormat="false" ht="15.75" hidden="false" customHeight="false" outlineLevel="0" collapsed="false">
      <c r="A614" s="20" t="n">
        <v>46084</v>
      </c>
      <c r="B614" s="15" t="s">
        <v>491</v>
      </c>
      <c r="C614" s="15" t="s">
        <v>59</v>
      </c>
      <c r="D614" s="15" t="s">
        <v>562</v>
      </c>
      <c r="E614" s="15" t="n">
        <v>1</v>
      </c>
      <c r="H614" s="10"/>
      <c r="I614" s="21"/>
      <c r="M614" s="10"/>
      <c r="N614" s="10"/>
      <c r="P614" s="10"/>
      <c r="Q614" s="22"/>
    </row>
    <row r="615" customFormat="false" ht="15.75" hidden="false" customHeight="false" outlineLevel="0" collapsed="false">
      <c r="A615" s="20" t="n">
        <v>46084</v>
      </c>
      <c r="B615" s="15" t="s">
        <v>491</v>
      </c>
      <c r="C615" s="15" t="s">
        <v>43</v>
      </c>
      <c r="D615" s="15" t="s">
        <v>538</v>
      </c>
      <c r="E615" s="15" t="n">
        <v>1</v>
      </c>
      <c r="H615" s="10"/>
      <c r="I615" s="21"/>
      <c r="M615" s="10"/>
      <c r="N615" s="10"/>
      <c r="P615" s="10"/>
      <c r="Q615" s="22"/>
    </row>
    <row r="616" customFormat="false" ht="15.75" hidden="false" customHeight="false" outlineLevel="0" collapsed="false">
      <c r="A616" s="20" t="n">
        <v>46084</v>
      </c>
      <c r="B616" s="15" t="s">
        <v>491</v>
      </c>
      <c r="C616" s="15" t="s">
        <v>87</v>
      </c>
      <c r="D616" s="15" t="s">
        <v>563</v>
      </c>
      <c r="E616" s="15" t="n">
        <v>1</v>
      </c>
      <c r="H616" s="10"/>
      <c r="I616" s="21"/>
      <c r="M616" s="10"/>
      <c r="N616" s="10"/>
      <c r="P616" s="10"/>
      <c r="Q616" s="22"/>
    </row>
    <row r="617" customFormat="false" ht="15.75" hidden="false" customHeight="false" outlineLevel="0" collapsed="false">
      <c r="A617" s="20" t="n">
        <v>46084</v>
      </c>
      <c r="B617" s="15" t="s">
        <v>491</v>
      </c>
      <c r="C617" s="15" t="s">
        <v>79</v>
      </c>
      <c r="D617" s="15" t="s">
        <v>564</v>
      </c>
      <c r="E617" s="15" t="n">
        <v>1</v>
      </c>
      <c r="H617" s="10"/>
      <c r="I617" s="21"/>
      <c r="M617" s="10"/>
      <c r="N617" s="10"/>
      <c r="P617" s="10"/>
      <c r="Q617" s="22"/>
    </row>
    <row r="618" customFormat="false" ht="15.75" hidden="false" customHeight="false" outlineLevel="0" collapsed="false">
      <c r="A618" s="20" t="n">
        <v>46084</v>
      </c>
      <c r="B618" s="15" t="s">
        <v>493</v>
      </c>
      <c r="C618" s="15" t="s">
        <v>63</v>
      </c>
      <c r="D618" s="15" t="s">
        <v>551</v>
      </c>
      <c r="E618" s="15" t="n">
        <v>1</v>
      </c>
      <c r="H618" s="10"/>
      <c r="I618" s="21"/>
      <c r="M618" s="10"/>
      <c r="N618" s="10"/>
      <c r="P618" s="10"/>
      <c r="Q618" s="22"/>
    </row>
    <row r="619" customFormat="false" ht="15.75" hidden="false" customHeight="false" outlineLevel="0" collapsed="false">
      <c r="A619" s="20" t="n">
        <v>46084</v>
      </c>
      <c r="B619" s="15" t="s">
        <v>493</v>
      </c>
      <c r="C619" s="15" t="s">
        <v>47</v>
      </c>
      <c r="D619" s="15" t="s">
        <v>549</v>
      </c>
      <c r="E619" s="15" t="n">
        <v>1</v>
      </c>
      <c r="H619" s="10"/>
      <c r="I619" s="21"/>
      <c r="M619" s="10"/>
      <c r="N619" s="10"/>
      <c r="P619" s="10"/>
      <c r="Q619" s="22"/>
    </row>
    <row r="620" customFormat="false" ht="15.75" hidden="false" customHeight="false" outlineLevel="0" collapsed="false">
      <c r="A620" s="20" t="n">
        <v>46084</v>
      </c>
      <c r="B620" s="15" t="s">
        <v>494</v>
      </c>
      <c r="C620" s="15" t="s">
        <v>25</v>
      </c>
      <c r="D620" s="15" t="s">
        <v>26</v>
      </c>
      <c r="E620" s="15" t="n">
        <v>3</v>
      </c>
      <c r="H620" s="10"/>
      <c r="I620" s="21"/>
      <c r="M620" s="10"/>
      <c r="N620" s="10"/>
      <c r="P620" s="10"/>
      <c r="Q620" s="22"/>
    </row>
    <row r="621" customFormat="false" ht="15.75" hidden="false" customHeight="false" outlineLevel="0" collapsed="false">
      <c r="A621" s="20" t="n">
        <v>46084</v>
      </c>
      <c r="B621" s="15" t="s">
        <v>494</v>
      </c>
      <c r="C621" s="15" t="s">
        <v>547</v>
      </c>
      <c r="D621" s="15" t="s">
        <v>548</v>
      </c>
      <c r="E621" s="15" t="n">
        <v>3</v>
      </c>
      <c r="H621" s="10"/>
      <c r="I621" s="21"/>
      <c r="M621" s="10"/>
      <c r="N621" s="10"/>
      <c r="P621" s="10"/>
      <c r="Q621" s="22"/>
    </row>
    <row r="622" customFormat="false" ht="15.75" hidden="false" customHeight="false" outlineLevel="0" collapsed="false">
      <c r="A622" s="20" t="n">
        <v>46084</v>
      </c>
      <c r="B622" s="15" t="s">
        <v>494</v>
      </c>
      <c r="C622" s="15" t="s">
        <v>543</v>
      </c>
      <c r="D622" s="15" t="s">
        <v>544</v>
      </c>
      <c r="E622" s="15" t="n">
        <v>4</v>
      </c>
      <c r="H622" s="10"/>
      <c r="I622" s="21"/>
      <c r="M622" s="10"/>
      <c r="N622" s="10"/>
      <c r="P622" s="10"/>
      <c r="Q622" s="22"/>
    </row>
    <row r="623" customFormat="false" ht="15.75" hidden="false" customHeight="false" outlineLevel="0" collapsed="false">
      <c r="A623" s="20" t="n">
        <v>46084</v>
      </c>
      <c r="B623" s="15" t="s">
        <v>494</v>
      </c>
      <c r="C623" s="15" t="s">
        <v>545</v>
      </c>
      <c r="D623" s="15" t="s">
        <v>546</v>
      </c>
      <c r="E623" s="15" t="n">
        <v>4</v>
      </c>
      <c r="H623" s="10"/>
      <c r="I623" s="21"/>
      <c r="M623" s="10"/>
      <c r="N623" s="10"/>
      <c r="P623" s="10"/>
      <c r="Q623" s="22"/>
    </row>
    <row r="624" customFormat="false" ht="15.75" hidden="false" customHeight="false" outlineLevel="0" collapsed="false">
      <c r="A624" s="20" t="n">
        <v>46084</v>
      </c>
      <c r="B624" s="15" t="s">
        <v>494</v>
      </c>
      <c r="C624" s="15" t="s">
        <v>555</v>
      </c>
      <c r="D624" s="15" t="s">
        <v>556</v>
      </c>
      <c r="E624" s="15" t="n">
        <v>3</v>
      </c>
      <c r="H624" s="10"/>
      <c r="I624" s="21"/>
      <c r="M624" s="10"/>
      <c r="N624" s="10"/>
      <c r="P624" s="10"/>
      <c r="Q624" s="22"/>
    </row>
    <row r="625" customFormat="false" ht="15.75" hidden="false" customHeight="false" outlineLevel="0" collapsed="false">
      <c r="A625" s="20" t="n">
        <v>46084</v>
      </c>
      <c r="B625" s="15" t="s">
        <v>494</v>
      </c>
      <c r="C625" s="15" t="s">
        <v>45</v>
      </c>
      <c r="D625" s="15" t="s">
        <v>540</v>
      </c>
      <c r="E625" s="15" t="n">
        <v>1</v>
      </c>
      <c r="H625" s="10"/>
      <c r="I625" s="21"/>
      <c r="M625" s="10"/>
      <c r="N625" s="10"/>
      <c r="P625" s="10"/>
      <c r="Q625" s="22"/>
    </row>
    <row r="626" customFormat="false" ht="15.75" hidden="false" customHeight="false" outlineLevel="0" collapsed="false">
      <c r="A626" s="20" t="n">
        <v>46084</v>
      </c>
      <c r="B626" s="15" t="s">
        <v>494</v>
      </c>
      <c r="C626" s="15" t="s">
        <v>59</v>
      </c>
      <c r="D626" s="15" t="s">
        <v>562</v>
      </c>
      <c r="E626" s="15" t="n">
        <v>1</v>
      </c>
      <c r="H626" s="10"/>
      <c r="I626" s="21"/>
      <c r="M626" s="10"/>
      <c r="N626" s="10"/>
      <c r="P626" s="10"/>
      <c r="Q626" s="22"/>
    </row>
    <row r="627" customFormat="false" ht="15.75" hidden="false" customHeight="false" outlineLevel="0" collapsed="false">
      <c r="A627" s="20" t="n">
        <v>46084</v>
      </c>
      <c r="B627" s="15" t="s">
        <v>494</v>
      </c>
      <c r="C627" s="15" t="s">
        <v>69</v>
      </c>
      <c r="D627" s="15" t="s">
        <v>535</v>
      </c>
      <c r="E627" s="15" t="n">
        <v>6</v>
      </c>
      <c r="H627" s="10"/>
      <c r="I627" s="21"/>
      <c r="M627" s="10"/>
      <c r="N627" s="10"/>
      <c r="P627" s="10"/>
      <c r="Q627" s="22"/>
    </row>
    <row r="628" customFormat="false" ht="15.75" hidden="false" customHeight="false" outlineLevel="0" collapsed="false">
      <c r="A628" s="20" t="n">
        <v>46084</v>
      </c>
      <c r="B628" s="15" t="s">
        <v>494</v>
      </c>
      <c r="C628" s="15" t="s">
        <v>81</v>
      </c>
      <c r="D628" s="15" t="s">
        <v>534</v>
      </c>
      <c r="E628" s="15" t="n">
        <v>10</v>
      </c>
      <c r="H628" s="10"/>
      <c r="I628" s="21"/>
      <c r="M628" s="10"/>
      <c r="N628" s="10"/>
      <c r="P628" s="10"/>
      <c r="Q628" s="22"/>
    </row>
    <row r="629" customFormat="false" ht="15.75" hidden="false" customHeight="false" outlineLevel="0" collapsed="false">
      <c r="A629" s="20" t="n">
        <v>46084</v>
      </c>
      <c r="B629" s="15" t="s">
        <v>494</v>
      </c>
      <c r="C629" s="15" t="s">
        <v>79</v>
      </c>
      <c r="D629" s="15" t="s">
        <v>564</v>
      </c>
      <c r="E629" s="15" t="n">
        <v>2</v>
      </c>
      <c r="H629" s="10"/>
      <c r="I629" s="21"/>
      <c r="M629" s="10"/>
      <c r="N629" s="10"/>
      <c r="P629" s="10"/>
      <c r="Q629" s="22"/>
    </row>
    <row r="630" customFormat="false" ht="15.75" hidden="false" customHeight="false" outlineLevel="0" collapsed="false">
      <c r="A630" s="20" t="n">
        <v>46084</v>
      </c>
      <c r="B630" s="15" t="s">
        <v>494</v>
      </c>
      <c r="C630" s="15" t="s">
        <v>33</v>
      </c>
      <c r="D630" s="15" t="s">
        <v>536</v>
      </c>
      <c r="E630" s="15" t="n">
        <v>2</v>
      </c>
      <c r="H630" s="10"/>
      <c r="I630" s="21"/>
      <c r="M630" s="10"/>
      <c r="N630" s="10"/>
      <c r="P630" s="10"/>
      <c r="Q630" s="22"/>
    </row>
    <row r="631" customFormat="false" ht="15.75" hidden="false" customHeight="false" outlineLevel="0" collapsed="false">
      <c r="A631" s="20" t="n">
        <v>46084</v>
      </c>
      <c r="B631" s="15" t="s">
        <v>494</v>
      </c>
      <c r="C631" s="15" t="s">
        <v>87</v>
      </c>
      <c r="D631" s="15" t="s">
        <v>563</v>
      </c>
      <c r="E631" s="15" t="n">
        <v>1</v>
      </c>
      <c r="H631" s="10"/>
      <c r="I631" s="21"/>
      <c r="M631" s="10"/>
      <c r="N631" s="10"/>
      <c r="P631" s="10"/>
      <c r="Q631" s="22"/>
    </row>
    <row r="632" customFormat="false" ht="15.75" hidden="false" customHeight="false" outlineLevel="0" collapsed="false">
      <c r="A632" s="20" t="n">
        <v>46084</v>
      </c>
      <c r="B632" s="15" t="s">
        <v>494</v>
      </c>
      <c r="C632" s="15" t="s">
        <v>77</v>
      </c>
      <c r="D632" s="15" t="s">
        <v>78</v>
      </c>
      <c r="E632" s="15" t="n">
        <v>2</v>
      </c>
      <c r="H632" s="10"/>
      <c r="I632" s="21"/>
      <c r="M632" s="10"/>
      <c r="N632" s="10"/>
      <c r="P632" s="10"/>
      <c r="Q632" s="22"/>
    </row>
    <row r="633" customFormat="false" ht="15.75" hidden="false" customHeight="false" outlineLevel="0" collapsed="false">
      <c r="A633" s="20" t="n">
        <v>46084</v>
      </c>
      <c r="B633" s="15" t="s">
        <v>494</v>
      </c>
      <c r="C633" s="15" t="s">
        <v>65</v>
      </c>
      <c r="D633" s="15" t="s">
        <v>580</v>
      </c>
      <c r="E633" s="15" t="n">
        <v>1</v>
      </c>
      <c r="H633" s="10"/>
      <c r="I633" s="21"/>
      <c r="M633" s="10"/>
      <c r="N633" s="10"/>
      <c r="P633" s="10"/>
      <c r="Q633" s="22"/>
    </row>
    <row r="634" customFormat="false" ht="15.75" hidden="false" customHeight="false" outlineLevel="0" collapsed="false">
      <c r="A634" s="20" t="n">
        <v>46084</v>
      </c>
      <c r="B634" s="15" t="s">
        <v>494</v>
      </c>
      <c r="C634" s="15" t="s">
        <v>55</v>
      </c>
      <c r="D634" s="15" t="s">
        <v>539</v>
      </c>
      <c r="E634" s="15" t="n">
        <v>1</v>
      </c>
      <c r="H634" s="10"/>
      <c r="I634" s="21"/>
      <c r="M634" s="10"/>
      <c r="N634" s="10"/>
      <c r="P634" s="10"/>
      <c r="Q634" s="22"/>
    </row>
    <row r="635" customFormat="false" ht="15.75" hidden="false" customHeight="false" outlineLevel="0" collapsed="false">
      <c r="A635" s="20" t="n">
        <v>46084</v>
      </c>
      <c r="B635" s="15" t="s">
        <v>494</v>
      </c>
      <c r="C635" s="15" t="s">
        <v>47</v>
      </c>
      <c r="D635" s="15" t="s">
        <v>549</v>
      </c>
      <c r="E635" s="15" t="n">
        <v>1</v>
      </c>
      <c r="H635" s="10"/>
      <c r="I635" s="21"/>
      <c r="M635" s="10"/>
      <c r="N635" s="10"/>
      <c r="P635" s="10"/>
      <c r="Q635" s="22"/>
    </row>
    <row r="636" customFormat="false" ht="15.75" hidden="false" customHeight="false" outlineLevel="0" collapsed="false">
      <c r="A636" s="20" t="n">
        <v>46084</v>
      </c>
      <c r="B636" s="15" t="s">
        <v>494</v>
      </c>
      <c r="C636" s="15" t="s">
        <v>565</v>
      </c>
      <c r="D636" s="15" t="s">
        <v>566</v>
      </c>
      <c r="E636" s="15" t="n">
        <v>2</v>
      </c>
      <c r="H636" s="10"/>
      <c r="I636" s="21"/>
      <c r="M636" s="10"/>
      <c r="N636" s="10"/>
      <c r="P636" s="10"/>
      <c r="Q636" s="22"/>
    </row>
    <row r="637" customFormat="false" ht="15.75" hidden="false" customHeight="false" outlineLevel="0" collapsed="false">
      <c r="A637" s="20" t="n">
        <v>46084</v>
      </c>
      <c r="B637" s="15" t="s">
        <v>494</v>
      </c>
      <c r="C637" s="15" t="s">
        <v>37</v>
      </c>
      <c r="D637" s="15" t="s">
        <v>561</v>
      </c>
      <c r="E637" s="15" t="n">
        <v>1</v>
      </c>
      <c r="H637" s="10"/>
      <c r="I637" s="21"/>
      <c r="M637" s="10"/>
      <c r="N637" s="10"/>
      <c r="P637" s="10"/>
      <c r="Q637" s="22"/>
    </row>
    <row r="638" customFormat="false" ht="15.75" hidden="false" customHeight="false" outlineLevel="0" collapsed="false">
      <c r="A638" s="20" t="n">
        <v>46084</v>
      </c>
      <c r="B638" s="15" t="s">
        <v>504</v>
      </c>
      <c r="C638" s="15" t="s">
        <v>47</v>
      </c>
      <c r="D638" s="15" t="s">
        <v>549</v>
      </c>
      <c r="E638" s="15" t="n">
        <v>3</v>
      </c>
      <c r="H638" s="10"/>
      <c r="I638" s="21"/>
      <c r="M638" s="10"/>
      <c r="N638" s="10"/>
      <c r="P638" s="10"/>
      <c r="Q638" s="22"/>
    </row>
    <row r="639" customFormat="false" ht="15.75" hidden="false" customHeight="false" outlineLevel="0" collapsed="false">
      <c r="A639" s="20" t="n">
        <v>46084</v>
      </c>
      <c r="B639" s="15" t="s">
        <v>504</v>
      </c>
      <c r="C639" s="15" t="s">
        <v>55</v>
      </c>
      <c r="D639" s="15" t="s">
        <v>539</v>
      </c>
      <c r="E639" s="15" t="n">
        <v>6</v>
      </c>
      <c r="H639" s="10"/>
      <c r="I639" s="21"/>
      <c r="M639" s="10"/>
      <c r="N639" s="10"/>
      <c r="P639" s="10"/>
      <c r="Q639" s="22"/>
    </row>
    <row r="640" customFormat="false" ht="15.75" hidden="false" customHeight="false" outlineLevel="0" collapsed="false">
      <c r="A640" s="20" t="n">
        <v>46084</v>
      </c>
      <c r="B640" s="15" t="s">
        <v>504</v>
      </c>
      <c r="C640" s="15" t="s">
        <v>81</v>
      </c>
      <c r="D640" s="15" t="s">
        <v>534</v>
      </c>
      <c r="E640" s="15" t="n">
        <v>9</v>
      </c>
      <c r="H640" s="10"/>
      <c r="I640" s="21"/>
      <c r="M640" s="10"/>
      <c r="N640" s="10"/>
      <c r="P640" s="10"/>
      <c r="Q640" s="22"/>
    </row>
    <row r="641" customFormat="false" ht="15.75" hidden="false" customHeight="false" outlineLevel="0" collapsed="false">
      <c r="A641" s="20" t="n">
        <v>46084</v>
      </c>
      <c r="B641" s="15" t="s">
        <v>504</v>
      </c>
      <c r="C641" s="15" t="s">
        <v>39</v>
      </c>
      <c r="D641" s="15" t="s">
        <v>550</v>
      </c>
      <c r="E641" s="15" t="n">
        <v>1</v>
      </c>
      <c r="H641" s="10"/>
      <c r="I641" s="21"/>
      <c r="M641" s="10"/>
      <c r="N641" s="10"/>
      <c r="P641" s="10"/>
      <c r="Q641" s="22"/>
    </row>
    <row r="642" customFormat="false" ht="15.75" hidden="false" customHeight="false" outlineLevel="0" collapsed="false">
      <c r="A642" s="20" t="n">
        <v>46084</v>
      </c>
      <c r="B642" s="15" t="s">
        <v>504</v>
      </c>
      <c r="C642" s="15" t="s">
        <v>63</v>
      </c>
      <c r="D642" s="15" t="s">
        <v>551</v>
      </c>
      <c r="E642" s="15" t="n">
        <v>1</v>
      </c>
      <c r="H642" s="10"/>
      <c r="I642" s="21"/>
      <c r="M642" s="10"/>
      <c r="N642" s="10"/>
      <c r="P642" s="10"/>
      <c r="Q642" s="22"/>
    </row>
    <row r="643" customFormat="false" ht="15.75" hidden="false" customHeight="false" outlineLevel="0" collapsed="false">
      <c r="A643" s="20" t="n">
        <v>46084</v>
      </c>
      <c r="B643" s="15" t="s">
        <v>504</v>
      </c>
      <c r="C643" s="15" t="s">
        <v>17</v>
      </c>
      <c r="D643" s="15" t="s">
        <v>554</v>
      </c>
      <c r="E643" s="15" t="n">
        <v>1</v>
      </c>
      <c r="H643" s="10"/>
      <c r="I643" s="21"/>
      <c r="M643" s="10"/>
      <c r="N643" s="10"/>
      <c r="P643" s="10"/>
      <c r="Q643" s="22"/>
    </row>
    <row r="644" customFormat="false" ht="15.75" hidden="false" customHeight="false" outlineLevel="0" collapsed="false">
      <c r="A644" s="20" t="n">
        <v>46084</v>
      </c>
      <c r="B644" s="15" t="s">
        <v>508</v>
      </c>
      <c r="C644" s="15" t="s">
        <v>55</v>
      </c>
      <c r="D644" s="15" t="s">
        <v>539</v>
      </c>
      <c r="E644" s="15" t="n">
        <v>5</v>
      </c>
      <c r="H644" s="10"/>
      <c r="I644" s="21"/>
      <c r="M644" s="10"/>
      <c r="N644" s="10"/>
      <c r="P644" s="10"/>
      <c r="Q644" s="22"/>
    </row>
    <row r="645" customFormat="false" ht="15.75" hidden="false" customHeight="false" outlineLevel="0" collapsed="false">
      <c r="A645" s="20" t="n">
        <v>46084</v>
      </c>
      <c r="B645" s="15" t="s">
        <v>508</v>
      </c>
      <c r="C645" s="15" t="s">
        <v>81</v>
      </c>
      <c r="D645" s="15" t="s">
        <v>534</v>
      </c>
      <c r="E645" s="15" t="n">
        <v>9</v>
      </c>
      <c r="H645" s="10"/>
      <c r="I645" s="21"/>
      <c r="M645" s="10"/>
      <c r="N645" s="10"/>
      <c r="P645" s="10"/>
      <c r="Q645" s="22"/>
    </row>
    <row r="646" customFormat="false" ht="15.75" hidden="false" customHeight="false" outlineLevel="0" collapsed="false">
      <c r="A646" s="20" t="n">
        <v>46084</v>
      </c>
      <c r="B646" s="15" t="s">
        <v>508</v>
      </c>
      <c r="C646" s="15" t="s">
        <v>39</v>
      </c>
      <c r="D646" s="15" t="s">
        <v>550</v>
      </c>
      <c r="E646" s="15" t="n">
        <v>2</v>
      </c>
      <c r="H646" s="10"/>
      <c r="I646" s="21"/>
      <c r="M646" s="10"/>
      <c r="N646" s="10"/>
      <c r="P646" s="10"/>
      <c r="Q646" s="22"/>
    </row>
    <row r="647" customFormat="false" ht="15.75" hidden="false" customHeight="false" outlineLevel="0" collapsed="false">
      <c r="A647" s="20" t="n">
        <v>46084</v>
      </c>
      <c r="B647" s="15" t="s">
        <v>508</v>
      </c>
      <c r="C647" s="15" t="s">
        <v>47</v>
      </c>
      <c r="D647" s="15" t="s">
        <v>549</v>
      </c>
      <c r="E647" s="15" t="n">
        <v>2</v>
      </c>
      <c r="H647" s="10"/>
      <c r="I647" s="21"/>
      <c r="M647" s="10"/>
      <c r="N647" s="10"/>
      <c r="P647" s="10"/>
      <c r="Q647" s="22"/>
    </row>
    <row r="648" customFormat="false" ht="15.75" hidden="false" customHeight="false" outlineLevel="0" collapsed="false">
      <c r="A648" s="20" t="n">
        <v>46084</v>
      </c>
      <c r="B648" s="15" t="s">
        <v>508</v>
      </c>
      <c r="C648" s="15" t="s">
        <v>63</v>
      </c>
      <c r="D648" s="15" t="s">
        <v>551</v>
      </c>
      <c r="E648" s="15" t="n">
        <v>1</v>
      </c>
      <c r="H648" s="10"/>
      <c r="I648" s="21"/>
      <c r="M648" s="10"/>
      <c r="N648" s="10"/>
      <c r="P648" s="10"/>
      <c r="Q648" s="22"/>
    </row>
    <row r="649" customFormat="false" ht="15.75" hidden="false" customHeight="false" outlineLevel="0" collapsed="false">
      <c r="A649" s="20" t="n">
        <v>46084</v>
      </c>
      <c r="B649" s="15" t="s">
        <v>515</v>
      </c>
      <c r="C649" s="15" t="s">
        <v>69</v>
      </c>
      <c r="D649" s="15" t="s">
        <v>535</v>
      </c>
      <c r="E649" s="15" t="n">
        <v>6</v>
      </c>
      <c r="H649" s="10"/>
      <c r="I649" s="21"/>
      <c r="M649" s="10"/>
      <c r="N649" s="10"/>
      <c r="P649" s="10"/>
      <c r="Q649" s="22"/>
    </row>
    <row r="650" customFormat="false" ht="15.75" hidden="false" customHeight="false" outlineLevel="0" collapsed="false">
      <c r="A650" s="20" t="n">
        <v>46084</v>
      </c>
      <c r="B650" s="15" t="s">
        <v>515</v>
      </c>
      <c r="C650" s="15" t="s">
        <v>33</v>
      </c>
      <c r="D650" s="15" t="s">
        <v>536</v>
      </c>
      <c r="E650" s="15" t="n">
        <v>6</v>
      </c>
      <c r="H650" s="10"/>
      <c r="I650" s="21"/>
      <c r="M650" s="10"/>
      <c r="N650" s="10"/>
      <c r="P650" s="10"/>
      <c r="Q650" s="22"/>
    </row>
    <row r="651" customFormat="false" ht="15.75" hidden="false" customHeight="false" outlineLevel="0" collapsed="false">
      <c r="A651" s="20" t="n">
        <v>46084</v>
      </c>
      <c r="B651" s="15" t="s">
        <v>515</v>
      </c>
      <c r="C651" s="15" t="s">
        <v>55</v>
      </c>
      <c r="D651" s="15" t="s">
        <v>539</v>
      </c>
      <c r="E651" s="15" t="n">
        <v>4</v>
      </c>
      <c r="H651" s="10"/>
      <c r="I651" s="21"/>
      <c r="M651" s="10"/>
      <c r="N651" s="10"/>
      <c r="P651" s="10"/>
      <c r="Q651" s="22"/>
    </row>
    <row r="652" customFormat="false" ht="15.75" hidden="false" customHeight="false" outlineLevel="0" collapsed="false">
      <c r="A652" s="20" t="n">
        <v>46084</v>
      </c>
      <c r="B652" s="15" t="s">
        <v>515</v>
      </c>
      <c r="C652" s="15" t="s">
        <v>27</v>
      </c>
      <c r="D652" s="15" t="s">
        <v>577</v>
      </c>
      <c r="E652" s="15" t="n">
        <v>1</v>
      </c>
      <c r="H652" s="10"/>
      <c r="I652" s="21"/>
      <c r="M652" s="10"/>
      <c r="N652" s="10"/>
      <c r="P652" s="10"/>
      <c r="Q652" s="22"/>
    </row>
    <row r="653" customFormat="false" ht="15.75" hidden="false" customHeight="false" outlineLevel="0" collapsed="false">
      <c r="A653" s="20" t="n">
        <v>46084</v>
      </c>
      <c r="B653" s="15" t="s">
        <v>515</v>
      </c>
      <c r="C653" s="15" t="s">
        <v>51</v>
      </c>
      <c r="D653" s="15" t="s">
        <v>573</v>
      </c>
      <c r="E653" s="15" t="n">
        <v>1</v>
      </c>
      <c r="H653" s="10"/>
      <c r="I653" s="21"/>
      <c r="M653" s="10"/>
      <c r="N653" s="10"/>
      <c r="P653" s="10"/>
      <c r="Q653" s="22"/>
    </row>
    <row r="654" customFormat="false" ht="15.75" hidden="false" customHeight="false" outlineLevel="0" collapsed="false">
      <c r="A654" s="20" t="n">
        <v>46084</v>
      </c>
      <c r="B654" s="15" t="s">
        <v>515</v>
      </c>
      <c r="C654" s="15" t="s">
        <v>37</v>
      </c>
      <c r="D654" s="15" t="s">
        <v>561</v>
      </c>
      <c r="E654" s="15" t="n">
        <v>1</v>
      </c>
      <c r="H654" s="10"/>
      <c r="I654" s="21"/>
      <c r="M654" s="10"/>
      <c r="N654" s="10"/>
      <c r="P654" s="10"/>
      <c r="Q654" s="22"/>
    </row>
    <row r="655" customFormat="false" ht="15.75" hidden="false" customHeight="false" outlineLevel="0" collapsed="false">
      <c r="A655" s="20" t="n">
        <v>46084</v>
      </c>
      <c r="B655" s="15" t="s">
        <v>515</v>
      </c>
      <c r="C655" s="15" t="s">
        <v>81</v>
      </c>
      <c r="D655" s="15" t="s">
        <v>534</v>
      </c>
      <c r="E655" s="15" t="n">
        <v>2</v>
      </c>
      <c r="H655" s="10"/>
      <c r="I655" s="21"/>
      <c r="M655" s="10"/>
      <c r="N655" s="10"/>
      <c r="P655" s="10"/>
      <c r="Q655" s="22"/>
    </row>
    <row r="656" customFormat="false" ht="15.75" hidden="false" customHeight="false" outlineLevel="0" collapsed="false">
      <c r="A656" s="20" t="n">
        <v>46084</v>
      </c>
      <c r="B656" s="15" t="s">
        <v>515</v>
      </c>
      <c r="C656" s="15" t="s">
        <v>77</v>
      </c>
      <c r="D656" s="15" t="s">
        <v>78</v>
      </c>
      <c r="E656" s="15" t="n">
        <v>4</v>
      </c>
      <c r="H656" s="10"/>
      <c r="I656" s="21"/>
      <c r="M656" s="10"/>
      <c r="N656" s="10"/>
      <c r="P656" s="10"/>
      <c r="Q656" s="22"/>
    </row>
    <row r="657" customFormat="false" ht="15.75" hidden="false" customHeight="false" outlineLevel="0" collapsed="false">
      <c r="A657" s="20" t="n">
        <v>46084</v>
      </c>
      <c r="B657" s="15" t="s">
        <v>524</v>
      </c>
      <c r="C657" s="15" t="s">
        <v>69</v>
      </c>
      <c r="D657" s="15" t="s">
        <v>535</v>
      </c>
      <c r="E657" s="15" t="n">
        <v>6</v>
      </c>
      <c r="H657" s="10"/>
      <c r="I657" s="21"/>
      <c r="M657" s="10"/>
      <c r="N657" s="10"/>
      <c r="P657" s="10"/>
      <c r="Q657" s="22"/>
    </row>
    <row r="658" customFormat="false" ht="15.75" hidden="false" customHeight="false" outlineLevel="0" collapsed="false">
      <c r="A658" s="20" t="n">
        <v>46084</v>
      </c>
      <c r="B658" s="15" t="s">
        <v>524</v>
      </c>
      <c r="C658" s="15" t="s">
        <v>33</v>
      </c>
      <c r="D658" s="15" t="s">
        <v>536</v>
      </c>
      <c r="E658" s="15" t="n">
        <v>6</v>
      </c>
      <c r="H658" s="10"/>
      <c r="I658" s="21"/>
      <c r="M658" s="10"/>
      <c r="N658" s="10"/>
      <c r="P658" s="10"/>
      <c r="Q658" s="22"/>
    </row>
    <row r="659" customFormat="false" ht="15.75" hidden="false" customHeight="false" outlineLevel="0" collapsed="false">
      <c r="A659" s="20" t="n">
        <v>46084</v>
      </c>
      <c r="B659" s="15" t="s">
        <v>524</v>
      </c>
      <c r="C659" s="15" t="s">
        <v>55</v>
      </c>
      <c r="D659" s="15" t="s">
        <v>539</v>
      </c>
      <c r="E659" s="15" t="n">
        <v>4</v>
      </c>
      <c r="H659" s="10"/>
      <c r="I659" s="21"/>
      <c r="M659" s="10"/>
      <c r="N659" s="10"/>
      <c r="P659" s="10"/>
      <c r="Q659" s="22"/>
    </row>
    <row r="660" customFormat="false" ht="15.75" hidden="false" customHeight="false" outlineLevel="0" collapsed="false">
      <c r="A660" s="20" t="n">
        <v>46084</v>
      </c>
      <c r="B660" s="15" t="s">
        <v>524</v>
      </c>
      <c r="C660" s="15" t="s">
        <v>81</v>
      </c>
      <c r="D660" s="15" t="s">
        <v>534</v>
      </c>
      <c r="E660" s="15" t="n">
        <v>3</v>
      </c>
      <c r="H660" s="10"/>
      <c r="I660" s="21"/>
      <c r="M660" s="10"/>
      <c r="N660" s="10"/>
      <c r="P660" s="10"/>
      <c r="Q660" s="22"/>
    </row>
    <row r="661" customFormat="false" ht="15.75" hidden="false" customHeight="false" outlineLevel="0" collapsed="false">
      <c r="A661" s="20" t="n">
        <v>46084</v>
      </c>
      <c r="B661" s="15" t="s">
        <v>524</v>
      </c>
      <c r="C661" s="15" t="s">
        <v>37</v>
      </c>
      <c r="D661" s="15" t="s">
        <v>561</v>
      </c>
      <c r="E661" s="15" t="n">
        <v>1</v>
      </c>
      <c r="H661" s="10"/>
      <c r="I661" s="21"/>
      <c r="M661" s="10"/>
      <c r="N661" s="10"/>
      <c r="P661" s="10"/>
      <c r="Q661" s="22"/>
    </row>
    <row r="662" customFormat="false" ht="15.75" hidden="false" customHeight="false" outlineLevel="0" collapsed="false">
      <c r="A662" s="20" t="n">
        <v>46084</v>
      </c>
      <c r="B662" s="15" t="s">
        <v>524</v>
      </c>
      <c r="C662" s="15" t="s">
        <v>547</v>
      </c>
      <c r="D662" s="15" t="s">
        <v>548</v>
      </c>
      <c r="E662" s="15" t="n">
        <v>1</v>
      </c>
      <c r="H662" s="10"/>
      <c r="I662" s="21"/>
      <c r="M662" s="10"/>
      <c r="N662" s="10"/>
      <c r="P662" s="10"/>
      <c r="Q662" s="22"/>
    </row>
    <row r="663" customFormat="false" ht="15.75" hidden="false" customHeight="false" outlineLevel="0" collapsed="false">
      <c r="A663" s="20" t="n">
        <v>46085</v>
      </c>
      <c r="B663" s="15" t="s">
        <v>453</v>
      </c>
      <c r="C663" s="15" t="s">
        <v>47</v>
      </c>
      <c r="D663" s="15" t="s">
        <v>549</v>
      </c>
      <c r="E663" s="15" t="n">
        <v>2</v>
      </c>
      <c r="H663" s="10"/>
      <c r="I663" s="21"/>
      <c r="M663" s="10"/>
      <c r="N663" s="10"/>
      <c r="P663" s="10"/>
      <c r="Q663" s="22"/>
    </row>
    <row r="664" customFormat="false" ht="15.75" hidden="false" customHeight="false" outlineLevel="0" collapsed="false">
      <c r="A664" s="20" t="n">
        <v>46085</v>
      </c>
      <c r="B664" s="15" t="s">
        <v>453</v>
      </c>
      <c r="C664" s="15" t="s">
        <v>55</v>
      </c>
      <c r="D664" s="15" t="s">
        <v>539</v>
      </c>
      <c r="E664" s="15" t="n">
        <v>4</v>
      </c>
      <c r="H664" s="10"/>
      <c r="I664" s="21"/>
      <c r="M664" s="10"/>
      <c r="N664" s="10"/>
      <c r="P664" s="10"/>
      <c r="Q664" s="22"/>
    </row>
    <row r="665" customFormat="false" ht="15.75" hidden="false" customHeight="false" outlineLevel="0" collapsed="false">
      <c r="A665" s="20" t="n">
        <v>46085</v>
      </c>
      <c r="B665" s="15" t="s">
        <v>453</v>
      </c>
      <c r="C665" s="15" t="s">
        <v>81</v>
      </c>
      <c r="D665" s="15" t="s">
        <v>534</v>
      </c>
      <c r="E665" s="15" t="n">
        <v>8</v>
      </c>
      <c r="H665" s="10"/>
      <c r="I665" s="21"/>
      <c r="M665" s="10"/>
      <c r="N665" s="10"/>
      <c r="P665" s="10"/>
      <c r="Q665" s="22"/>
    </row>
    <row r="666" customFormat="false" ht="15.75" hidden="false" customHeight="false" outlineLevel="0" collapsed="false">
      <c r="A666" s="20" t="n">
        <v>46085</v>
      </c>
      <c r="B666" s="15" t="s">
        <v>453</v>
      </c>
      <c r="C666" s="15" t="s">
        <v>39</v>
      </c>
      <c r="D666" s="15" t="s">
        <v>550</v>
      </c>
      <c r="E666" s="15" t="n">
        <v>2</v>
      </c>
      <c r="H666" s="10"/>
      <c r="I666" s="21"/>
      <c r="M666" s="10"/>
      <c r="N666" s="10"/>
      <c r="P666" s="10"/>
      <c r="Q666" s="22"/>
    </row>
    <row r="667" customFormat="false" ht="15.75" hidden="false" customHeight="false" outlineLevel="0" collapsed="false">
      <c r="A667" s="20" t="n">
        <v>46085</v>
      </c>
      <c r="B667" s="15" t="s">
        <v>453</v>
      </c>
      <c r="C667" s="15" t="s">
        <v>63</v>
      </c>
      <c r="D667" s="15" t="s">
        <v>551</v>
      </c>
      <c r="E667" s="15" t="n">
        <v>1</v>
      </c>
      <c r="H667" s="10"/>
      <c r="I667" s="21"/>
      <c r="M667" s="10"/>
      <c r="N667" s="10"/>
      <c r="P667" s="10"/>
      <c r="Q667" s="22"/>
    </row>
    <row r="668" customFormat="false" ht="15.75" hidden="false" customHeight="false" outlineLevel="0" collapsed="false">
      <c r="A668" s="20" t="n">
        <v>46085</v>
      </c>
      <c r="B668" s="15" t="s">
        <v>453</v>
      </c>
      <c r="C668" s="15" t="s">
        <v>35</v>
      </c>
      <c r="D668" s="15" t="s">
        <v>552</v>
      </c>
      <c r="E668" s="15" t="n">
        <v>2</v>
      </c>
      <c r="H668" s="10"/>
      <c r="I668" s="21"/>
      <c r="M668" s="10"/>
      <c r="N668" s="10"/>
      <c r="P668" s="10"/>
      <c r="Q668" s="22"/>
    </row>
    <row r="669" customFormat="false" ht="15.75" hidden="false" customHeight="false" outlineLevel="0" collapsed="false">
      <c r="A669" s="20" t="n">
        <v>46085</v>
      </c>
      <c r="B669" s="15" t="s">
        <v>469</v>
      </c>
      <c r="C669" s="15" t="s">
        <v>69</v>
      </c>
      <c r="D669" s="15" t="s">
        <v>535</v>
      </c>
      <c r="E669" s="15" t="n">
        <v>5</v>
      </c>
      <c r="H669" s="10"/>
      <c r="I669" s="21"/>
      <c r="M669" s="10"/>
      <c r="N669" s="10"/>
      <c r="P669" s="10"/>
      <c r="Q669" s="22"/>
    </row>
    <row r="670" customFormat="false" ht="15.75" hidden="false" customHeight="false" outlineLevel="0" collapsed="false">
      <c r="A670" s="20" t="n">
        <v>46085</v>
      </c>
      <c r="B670" s="15" t="s">
        <v>469</v>
      </c>
      <c r="C670" s="15" t="s">
        <v>55</v>
      </c>
      <c r="D670" s="15" t="s">
        <v>539</v>
      </c>
      <c r="E670" s="15" t="n">
        <v>2</v>
      </c>
      <c r="H670" s="10"/>
      <c r="I670" s="21"/>
      <c r="M670" s="10"/>
      <c r="N670" s="10"/>
      <c r="P670" s="10"/>
      <c r="Q670" s="22"/>
    </row>
    <row r="671" customFormat="false" ht="15.75" hidden="false" customHeight="false" outlineLevel="0" collapsed="false">
      <c r="A671" s="20" t="n">
        <v>46085</v>
      </c>
      <c r="B671" s="15" t="s">
        <v>469</v>
      </c>
      <c r="C671" s="15" t="s">
        <v>33</v>
      </c>
      <c r="D671" s="15" t="s">
        <v>536</v>
      </c>
      <c r="E671" s="15" t="n">
        <v>5</v>
      </c>
      <c r="H671" s="10"/>
      <c r="I671" s="21"/>
      <c r="M671" s="10"/>
      <c r="N671" s="10"/>
      <c r="P671" s="10"/>
      <c r="Q671" s="22"/>
    </row>
    <row r="672" customFormat="false" ht="15.75" hidden="false" customHeight="false" outlineLevel="0" collapsed="false">
      <c r="A672" s="20" t="n">
        <v>46085</v>
      </c>
      <c r="B672" s="15" t="s">
        <v>469</v>
      </c>
      <c r="C672" s="15" t="s">
        <v>547</v>
      </c>
      <c r="D672" s="15" t="s">
        <v>548</v>
      </c>
      <c r="E672" s="15" t="n">
        <v>1</v>
      </c>
      <c r="H672" s="10"/>
      <c r="I672" s="21"/>
      <c r="M672" s="10"/>
      <c r="N672" s="10"/>
      <c r="P672" s="10"/>
      <c r="Q672" s="22"/>
    </row>
    <row r="673" customFormat="false" ht="15.75" hidden="false" customHeight="false" outlineLevel="0" collapsed="false">
      <c r="A673" s="20" t="n">
        <v>46085</v>
      </c>
      <c r="B673" s="15" t="s">
        <v>469</v>
      </c>
      <c r="C673" s="15" t="s">
        <v>81</v>
      </c>
      <c r="D673" s="15" t="s">
        <v>534</v>
      </c>
      <c r="E673" s="15" t="n">
        <v>2</v>
      </c>
      <c r="H673" s="10"/>
      <c r="I673" s="21"/>
      <c r="M673" s="10"/>
      <c r="N673" s="10"/>
      <c r="P673" s="10"/>
      <c r="Q673" s="22"/>
    </row>
    <row r="674" customFormat="false" ht="15.75" hidden="false" customHeight="false" outlineLevel="0" collapsed="false">
      <c r="A674" s="20" t="n">
        <v>46085</v>
      </c>
      <c r="B674" s="15" t="s">
        <v>474</v>
      </c>
      <c r="C674" s="15" t="s">
        <v>555</v>
      </c>
      <c r="D674" s="15" t="s">
        <v>556</v>
      </c>
      <c r="E674" s="15" t="n">
        <v>8</v>
      </c>
      <c r="H674" s="10"/>
      <c r="I674" s="21"/>
      <c r="M674" s="10"/>
      <c r="N674" s="10"/>
      <c r="P674" s="10"/>
      <c r="Q674" s="22"/>
    </row>
    <row r="675" customFormat="false" ht="15.75" hidden="false" customHeight="false" outlineLevel="0" collapsed="false">
      <c r="A675" s="20" t="n">
        <v>46085</v>
      </c>
      <c r="B675" s="15" t="s">
        <v>474</v>
      </c>
      <c r="C675" s="15" t="s">
        <v>565</v>
      </c>
      <c r="D675" s="15" t="s">
        <v>566</v>
      </c>
      <c r="E675" s="15" t="n">
        <v>4</v>
      </c>
      <c r="H675" s="10"/>
      <c r="I675" s="21"/>
      <c r="M675" s="10"/>
      <c r="N675" s="10"/>
      <c r="P675" s="10"/>
      <c r="Q675" s="22"/>
    </row>
    <row r="676" customFormat="false" ht="15.75" hidden="false" customHeight="false" outlineLevel="0" collapsed="false">
      <c r="A676" s="20" t="n">
        <v>46085</v>
      </c>
      <c r="B676" s="15" t="s">
        <v>474</v>
      </c>
      <c r="C676" s="15" t="s">
        <v>11</v>
      </c>
      <c r="D676" s="15" t="s">
        <v>572</v>
      </c>
      <c r="E676" s="15" t="n">
        <v>4</v>
      </c>
      <c r="H676" s="10"/>
      <c r="I676" s="21"/>
      <c r="M676" s="10"/>
      <c r="N676" s="10"/>
      <c r="P676" s="10"/>
      <c r="Q676" s="22"/>
    </row>
    <row r="677" customFormat="false" ht="15.75" hidden="false" customHeight="false" outlineLevel="0" collapsed="false">
      <c r="A677" s="20" t="n">
        <v>46085</v>
      </c>
      <c r="B677" s="15" t="s">
        <v>474</v>
      </c>
      <c r="C677" s="15" t="s">
        <v>543</v>
      </c>
      <c r="D677" s="15" t="s">
        <v>544</v>
      </c>
      <c r="E677" s="15" t="n">
        <v>4</v>
      </c>
      <c r="H677" s="10"/>
      <c r="I677" s="21"/>
      <c r="M677" s="10"/>
      <c r="N677" s="10"/>
      <c r="P677" s="10"/>
      <c r="Q677" s="22"/>
    </row>
    <row r="678" customFormat="false" ht="15.75" hidden="false" customHeight="false" outlineLevel="0" collapsed="false">
      <c r="A678" s="20" t="n">
        <v>46085</v>
      </c>
      <c r="B678" s="15" t="s">
        <v>474</v>
      </c>
      <c r="C678" s="15" t="s">
        <v>91</v>
      </c>
      <c r="D678" s="15" t="s">
        <v>91</v>
      </c>
      <c r="E678" s="15" t="n">
        <v>4</v>
      </c>
      <c r="H678" s="10"/>
      <c r="I678" s="21"/>
      <c r="M678" s="10"/>
      <c r="N678" s="10"/>
      <c r="P678" s="10"/>
      <c r="Q678" s="22"/>
    </row>
    <row r="679" customFormat="false" ht="15.75" hidden="false" customHeight="false" outlineLevel="0" collapsed="false">
      <c r="A679" s="20" t="n">
        <v>46085</v>
      </c>
      <c r="B679" s="15" t="s">
        <v>474</v>
      </c>
      <c r="C679" s="15" t="s">
        <v>25</v>
      </c>
      <c r="D679" s="15" t="s">
        <v>26</v>
      </c>
      <c r="E679" s="15" t="n">
        <v>4</v>
      </c>
      <c r="H679" s="10"/>
      <c r="I679" s="21"/>
      <c r="M679" s="10"/>
      <c r="N679" s="10"/>
      <c r="P679" s="10"/>
      <c r="Q679" s="22"/>
    </row>
    <row r="680" customFormat="false" ht="15.75" hidden="false" customHeight="false" outlineLevel="0" collapsed="false">
      <c r="A680" s="20" t="n">
        <v>46085</v>
      </c>
      <c r="B680" s="15" t="s">
        <v>477</v>
      </c>
      <c r="C680" s="15" t="s">
        <v>69</v>
      </c>
      <c r="D680" s="15" t="s">
        <v>535</v>
      </c>
      <c r="E680" s="15" t="n">
        <v>3</v>
      </c>
      <c r="H680" s="10"/>
      <c r="I680" s="21"/>
      <c r="M680" s="10"/>
      <c r="N680" s="10"/>
      <c r="P680" s="10"/>
      <c r="Q680" s="22"/>
    </row>
    <row r="681" customFormat="false" ht="15.75" hidden="false" customHeight="false" outlineLevel="0" collapsed="false">
      <c r="A681" s="20" t="n">
        <v>46085</v>
      </c>
      <c r="B681" s="15" t="s">
        <v>477</v>
      </c>
      <c r="C681" s="15" t="s">
        <v>547</v>
      </c>
      <c r="D681" s="15" t="s">
        <v>548</v>
      </c>
      <c r="E681" s="15" t="n">
        <v>3</v>
      </c>
      <c r="H681" s="10"/>
      <c r="I681" s="21"/>
      <c r="M681" s="10"/>
      <c r="N681" s="10"/>
      <c r="P681" s="10"/>
      <c r="Q681" s="22"/>
    </row>
    <row r="682" customFormat="false" ht="15.75" hidden="false" customHeight="false" outlineLevel="0" collapsed="false">
      <c r="A682" s="20" t="n">
        <v>46085</v>
      </c>
      <c r="B682" s="15" t="s">
        <v>477</v>
      </c>
      <c r="C682" s="15" t="s">
        <v>25</v>
      </c>
      <c r="D682" s="15" t="s">
        <v>26</v>
      </c>
      <c r="E682" s="15" t="n">
        <v>3</v>
      </c>
      <c r="H682" s="10"/>
      <c r="I682" s="21"/>
      <c r="M682" s="10"/>
      <c r="N682" s="10"/>
      <c r="P682" s="10"/>
      <c r="Q682" s="22"/>
    </row>
    <row r="683" customFormat="false" ht="15.75" hidden="false" customHeight="false" outlineLevel="0" collapsed="false">
      <c r="A683" s="20" t="n">
        <v>46085</v>
      </c>
      <c r="B683" s="15" t="s">
        <v>488</v>
      </c>
      <c r="C683" s="15" t="s">
        <v>69</v>
      </c>
      <c r="D683" s="15" t="s">
        <v>535</v>
      </c>
      <c r="E683" s="15" t="n">
        <v>3</v>
      </c>
      <c r="H683" s="10"/>
      <c r="I683" s="21"/>
      <c r="M683" s="10"/>
      <c r="N683" s="10"/>
      <c r="P683" s="10"/>
      <c r="Q683" s="22"/>
    </row>
    <row r="684" customFormat="false" ht="15.75" hidden="false" customHeight="false" outlineLevel="0" collapsed="false">
      <c r="A684" s="20" t="n">
        <v>46085</v>
      </c>
      <c r="B684" s="15" t="s">
        <v>488</v>
      </c>
      <c r="C684" s="15" t="s">
        <v>555</v>
      </c>
      <c r="D684" s="15" t="s">
        <v>556</v>
      </c>
      <c r="E684" s="15" t="n">
        <v>2</v>
      </c>
      <c r="H684" s="10"/>
      <c r="I684" s="21"/>
      <c r="M684" s="10"/>
      <c r="N684" s="10"/>
      <c r="P684" s="10"/>
      <c r="Q684" s="22"/>
    </row>
    <row r="685" customFormat="false" ht="15.75" hidden="false" customHeight="false" outlineLevel="0" collapsed="false">
      <c r="A685" s="20" t="n">
        <v>46085</v>
      </c>
      <c r="B685" s="15" t="s">
        <v>488</v>
      </c>
      <c r="C685" s="15" t="s">
        <v>565</v>
      </c>
      <c r="D685" s="15" t="s">
        <v>566</v>
      </c>
      <c r="E685" s="15" t="n">
        <v>1</v>
      </c>
      <c r="H685" s="10"/>
      <c r="I685" s="21"/>
      <c r="M685" s="10"/>
      <c r="N685" s="10"/>
      <c r="P685" s="10"/>
      <c r="Q685" s="22"/>
    </row>
    <row r="686" customFormat="false" ht="15.75" hidden="false" customHeight="false" outlineLevel="0" collapsed="false">
      <c r="A686" s="20" t="n">
        <v>46085</v>
      </c>
      <c r="B686" s="15" t="s">
        <v>488</v>
      </c>
      <c r="C686" s="15" t="s">
        <v>545</v>
      </c>
      <c r="D686" s="15" t="s">
        <v>546</v>
      </c>
      <c r="E686" s="15" t="n">
        <v>2</v>
      </c>
      <c r="H686" s="10"/>
      <c r="I686" s="21"/>
      <c r="M686" s="10"/>
      <c r="N686" s="10"/>
      <c r="P686" s="10"/>
      <c r="Q686" s="22"/>
    </row>
    <row r="687" customFormat="false" ht="15.75" hidden="false" customHeight="false" outlineLevel="0" collapsed="false">
      <c r="A687" s="20" t="n">
        <v>46085</v>
      </c>
      <c r="B687" s="15" t="s">
        <v>488</v>
      </c>
      <c r="C687" s="15" t="s">
        <v>578</v>
      </c>
      <c r="D687" s="15" t="s">
        <v>579</v>
      </c>
      <c r="E687" s="15" t="n">
        <v>1</v>
      </c>
      <c r="H687" s="10"/>
      <c r="I687" s="21"/>
      <c r="M687" s="10"/>
      <c r="N687" s="10"/>
      <c r="P687" s="10"/>
      <c r="Q687" s="22"/>
    </row>
    <row r="688" customFormat="false" ht="15.75" hidden="false" customHeight="false" outlineLevel="0" collapsed="false">
      <c r="A688" s="20" t="n">
        <v>46085</v>
      </c>
      <c r="B688" s="15" t="s">
        <v>488</v>
      </c>
      <c r="C688" s="15" t="s">
        <v>570</v>
      </c>
      <c r="D688" s="15" t="s">
        <v>571</v>
      </c>
      <c r="E688" s="15" t="n">
        <v>1</v>
      </c>
      <c r="H688" s="10"/>
      <c r="I688" s="21"/>
      <c r="M688" s="10"/>
      <c r="N688" s="10"/>
      <c r="P688" s="10"/>
      <c r="Q688" s="22"/>
    </row>
    <row r="689" customFormat="false" ht="15.75" hidden="false" customHeight="false" outlineLevel="0" collapsed="false">
      <c r="A689" s="20" t="n">
        <v>46085</v>
      </c>
      <c r="B689" s="15" t="s">
        <v>488</v>
      </c>
      <c r="C689" s="15" t="s">
        <v>11</v>
      </c>
      <c r="D689" s="15" t="s">
        <v>572</v>
      </c>
      <c r="E689" s="15" t="n">
        <v>1</v>
      </c>
      <c r="H689" s="10"/>
      <c r="I689" s="21"/>
      <c r="M689" s="10"/>
      <c r="N689" s="10"/>
      <c r="P689" s="10"/>
      <c r="Q689" s="22"/>
    </row>
    <row r="690" customFormat="false" ht="15.75" hidden="false" customHeight="false" outlineLevel="0" collapsed="false">
      <c r="A690" s="20" t="n">
        <v>46085</v>
      </c>
      <c r="B690" s="15" t="s">
        <v>488</v>
      </c>
      <c r="C690" s="15" t="s">
        <v>543</v>
      </c>
      <c r="D690" s="15" t="s">
        <v>544</v>
      </c>
      <c r="E690" s="15" t="n">
        <v>3</v>
      </c>
      <c r="H690" s="10"/>
      <c r="I690" s="21"/>
      <c r="M690" s="10"/>
      <c r="N690" s="10"/>
      <c r="P690" s="10"/>
      <c r="Q690" s="22"/>
    </row>
    <row r="691" customFormat="false" ht="15.75" hidden="false" customHeight="false" outlineLevel="0" collapsed="false">
      <c r="A691" s="20" t="n">
        <v>46085</v>
      </c>
      <c r="B691" s="15" t="s">
        <v>488</v>
      </c>
      <c r="C691" s="15" t="s">
        <v>65</v>
      </c>
      <c r="D691" s="15" t="s">
        <v>580</v>
      </c>
      <c r="E691" s="15" t="n">
        <v>1</v>
      </c>
      <c r="H691" s="10"/>
      <c r="I691" s="21"/>
      <c r="M691" s="10"/>
      <c r="N691" s="10"/>
      <c r="P691" s="10"/>
      <c r="Q691" s="22"/>
    </row>
    <row r="692" customFormat="false" ht="15.75" hidden="false" customHeight="false" outlineLevel="0" collapsed="false">
      <c r="A692" s="20" t="n">
        <v>46085</v>
      </c>
      <c r="B692" s="15" t="s">
        <v>488</v>
      </c>
      <c r="C692" s="15" t="s">
        <v>91</v>
      </c>
      <c r="D692" s="15" t="s">
        <v>91</v>
      </c>
      <c r="E692" s="15" t="n">
        <v>2</v>
      </c>
      <c r="H692" s="10"/>
      <c r="I692" s="21"/>
      <c r="M692" s="10"/>
      <c r="N692" s="10"/>
      <c r="P692" s="10"/>
      <c r="Q692" s="22"/>
    </row>
    <row r="693" customFormat="false" ht="15.75" hidden="false" customHeight="false" outlineLevel="0" collapsed="false">
      <c r="A693" s="20" t="n">
        <v>46085</v>
      </c>
      <c r="B693" s="15" t="s">
        <v>488</v>
      </c>
      <c r="C693" s="15" t="s">
        <v>33</v>
      </c>
      <c r="D693" s="15" t="s">
        <v>536</v>
      </c>
      <c r="E693" s="15" t="n">
        <v>3</v>
      </c>
      <c r="H693" s="10"/>
      <c r="I693" s="21"/>
      <c r="M693" s="10"/>
      <c r="N693" s="10"/>
      <c r="P693" s="10"/>
      <c r="Q693" s="22"/>
    </row>
    <row r="694" customFormat="false" ht="15.75" hidden="false" customHeight="false" outlineLevel="0" collapsed="false">
      <c r="A694" s="20" t="n">
        <v>46085</v>
      </c>
      <c r="B694" s="15" t="s">
        <v>488</v>
      </c>
      <c r="C694" s="15" t="s">
        <v>75</v>
      </c>
      <c r="D694" s="15" t="s">
        <v>560</v>
      </c>
      <c r="E694" s="15" t="n">
        <v>1</v>
      </c>
      <c r="H694" s="10"/>
      <c r="I694" s="21"/>
      <c r="M694" s="10"/>
      <c r="N694" s="10"/>
      <c r="P694" s="10"/>
      <c r="Q694" s="22"/>
    </row>
    <row r="695" customFormat="false" ht="15.75" hidden="false" customHeight="false" outlineLevel="0" collapsed="false">
      <c r="A695" s="20" t="n">
        <v>46085</v>
      </c>
      <c r="B695" s="15" t="s">
        <v>488</v>
      </c>
      <c r="C695" s="15" t="s">
        <v>79</v>
      </c>
      <c r="D695" s="15" t="s">
        <v>564</v>
      </c>
      <c r="E695" s="15" t="n">
        <v>2</v>
      </c>
      <c r="H695" s="10"/>
      <c r="I695" s="21"/>
      <c r="M695" s="10"/>
      <c r="N695" s="10"/>
      <c r="P695" s="10"/>
      <c r="Q695" s="22"/>
    </row>
    <row r="696" customFormat="false" ht="15.75" hidden="false" customHeight="false" outlineLevel="0" collapsed="false">
      <c r="A696" s="20" t="n">
        <v>46085</v>
      </c>
      <c r="B696" s="15" t="s">
        <v>488</v>
      </c>
      <c r="C696" s="15" t="s">
        <v>81</v>
      </c>
      <c r="D696" s="15" t="s">
        <v>534</v>
      </c>
      <c r="E696" s="15" t="n">
        <v>10</v>
      </c>
      <c r="H696" s="10"/>
      <c r="I696" s="21"/>
      <c r="M696" s="10"/>
      <c r="N696" s="10"/>
      <c r="P696" s="10"/>
      <c r="Q696" s="22"/>
    </row>
    <row r="697" customFormat="false" ht="15.75" hidden="false" customHeight="false" outlineLevel="0" collapsed="false">
      <c r="A697" s="20" t="n">
        <v>46085</v>
      </c>
      <c r="B697" s="15" t="s">
        <v>488</v>
      </c>
      <c r="C697" s="15" t="s">
        <v>77</v>
      </c>
      <c r="D697" s="15" t="s">
        <v>78</v>
      </c>
      <c r="E697" s="15" t="n">
        <v>3</v>
      </c>
      <c r="H697" s="10"/>
      <c r="I697" s="21"/>
      <c r="M697" s="10"/>
      <c r="N697" s="10"/>
      <c r="P697" s="10"/>
      <c r="Q697" s="22"/>
    </row>
    <row r="698" customFormat="false" ht="15.75" hidden="false" customHeight="false" outlineLevel="0" collapsed="false">
      <c r="A698" s="20" t="n">
        <v>46085</v>
      </c>
      <c r="B698" s="15" t="s">
        <v>488</v>
      </c>
      <c r="C698" s="15" t="s">
        <v>25</v>
      </c>
      <c r="D698" s="15" t="s">
        <v>26</v>
      </c>
      <c r="E698" s="15" t="n">
        <v>1</v>
      </c>
      <c r="H698" s="10"/>
      <c r="I698" s="21"/>
      <c r="M698" s="10"/>
      <c r="N698" s="10"/>
      <c r="P698" s="10"/>
      <c r="Q698" s="22"/>
    </row>
    <row r="699" customFormat="false" ht="15.75" hidden="false" customHeight="false" outlineLevel="0" collapsed="false">
      <c r="A699" s="20" t="n">
        <v>46085</v>
      </c>
      <c r="B699" s="15" t="s">
        <v>491</v>
      </c>
      <c r="C699" s="15" t="s">
        <v>37</v>
      </c>
      <c r="D699" s="15" t="s">
        <v>561</v>
      </c>
      <c r="E699" s="15" t="n">
        <v>1</v>
      </c>
      <c r="H699" s="10"/>
      <c r="I699" s="21"/>
      <c r="M699" s="10"/>
      <c r="N699" s="10"/>
      <c r="P699" s="10"/>
      <c r="Q699" s="22"/>
    </row>
    <row r="700" customFormat="false" ht="15.75" hidden="false" customHeight="false" outlineLevel="0" collapsed="false">
      <c r="A700" s="20" t="n">
        <v>46085</v>
      </c>
      <c r="B700" s="15" t="s">
        <v>491</v>
      </c>
      <c r="C700" s="15" t="s">
        <v>81</v>
      </c>
      <c r="D700" s="15" t="s">
        <v>534</v>
      </c>
      <c r="E700" s="15" t="n">
        <v>8</v>
      </c>
      <c r="H700" s="10"/>
      <c r="I700" s="21"/>
      <c r="M700" s="10"/>
      <c r="N700" s="10"/>
      <c r="P700" s="10"/>
      <c r="Q700" s="22"/>
    </row>
    <row r="701" customFormat="false" ht="15.75" hidden="false" customHeight="false" outlineLevel="0" collapsed="false">
      <c r="A701" s="20" t="n">
        <v>46085</v>
      </c>
      <c r="B701" s="15" t="s">
        <v>491</v>
      </c>
      <c r="C701" s="15" t="s">
        <v>75</v>
      </c>
      <c r="D701" s="15" t="s">
        <v>560</v>
      </c>
      <c r="E701" s="15" t="n">
        <v>1</v>
      </c>
      <c r="H701" s="10"/>
      <c r="I701" s="21"/>
      <c r="M701" s="10"/>
      <c r="N701" s="10"/>
      <c r="P701" s="10"/>
      <c r="Q701" s="22"/>
    </row>
    <row r="702" customFormat="false" ht="15.75" hidden="false" customHeight="false" outlineLevel="0" collapsed="false">
      <c r="A702" s="20" t="n">
        <v>46085</v>
      </c>
      <c r="B702" s="15" t="s">
        <v>491</v>
      </c>
      <c r="C702" s="15" t="s">
        <v>69</v>
      </c>
      <c r="D702" s="15" t="s">
        <v>535</v>
      </c>
      <c r="E702" s="15" t="n">
        <v>6</v>
      </c>
      <c r="H702" s="10"/>
      <c r="I702" s="21"/>
      <c r="M702" s="10"/>
      <c r="N702" s="10"/>
      <c r="P702" s="10"/>
      <c r="Q702" s="22"/>
    </row>
    <row r="703" customFormat="false" ht="15.75" hidden="false" customHeight="false" outlineLevel="0" collapsed="false">
      <c r="A703" s="20" t="n">
        <v>46085</v>
      </c>
      <c r="B703" s="15" t="s">
        <v>491</v>
      </c>
      <c r="C703" s="15" t="s">
        <v>547</v>
      </c>
      <c r="D703" s="15" t="s">
        <v>548</v>
      </c>
      <c r="E703" s="15" t="n">
        <v>1</v>
      </c>
      <c r="H703" s="10"/>
      <c r="I703" s="21"/>
      <c r="M703" s="10"/>
      <c r="N703" s="10"/>
      <c r="P703" s="10"/>
      <c r="Q703" s="22"/>
    </row>
    <row r="704" customFormat="false" ht="15.75" hidden="false" customHeight="false" outlineLevel="0" collapsed="false">
      <c r="A704" s="20" t="n">
        <v>46085</v>
      </c>
      <c r="B704" s="15" t="s">
        <v>491</v>
      </c>
      <c r="C704" s="15" t="s">
        <v>31</v>
      </c>
      <c r="D704" s="15" t="s">
        <v>559</v>
      </c>
      <c r="E704" s="15" t="n">
        <v>2</v>
      </c>
      <c r="H704" s="10"/>
      <c r="I704" s="21"/>
      <c r="M704" s="10"/>
      <c r="N704" s="10"/>
      <c r="P704" s="10"/>
      <c r="Q704" s="22"/>
    </row>
    <row r="705" customFormat="false" ht="15.75" hidden="false" customHeight="false" outlineLevel="0" collapsed="false">
      <c r="A705" s="20" t="n">
        <v>46085</v>
      </c>
      <c r="B705" s="15" t="s">
        <v>491</v>
      </c>
      <c r="C705" s="15" t="s">
        <v>545</v>
      </c>
      <c r="D705" s="15" t="s">
        <v>546</v>
      </c>
      <c r="E705" s="15" t="n">
        <v>2</v>
      </c>
      <c r="H705" s="10"/>
      <c r="I705" s="21"/>
      <c r="M705" s="10"/>
      <c r="N705" s="10"/>
      <c r="P705" s="10"/>
      <c r="Q705" s="22"/>
    </row>
    <row r="706" customFormat="false" ht="15.75" hidden="false" customHeight="false" outlineLevel="0" collapsed="false">
      <c r="A706" s="20" t="n">
        <v>46085</v>
      </c>
      <c r="B706" s="15" t="s">
        <v>491</v>
      </c>
      <c r="C706" s="15" t="s">
        <v>543</v>
      </c>
      <c r="D706" s="15" t="s">
        <v>544</v>
      </c>
      <c r="E706" s="15" t="n">
        <v>4</v>
      </c>
      <c r="H706" s="10"/>
      <c r="I706" s="21"/>
      <c r="M706" s="10"/>
      <c r="N706" s="10"/>
      <c r="P706" s="10"/>
      <c r="Q706" s="22"/>
    </row>
    <row r="707" customFormat="false" ht="15.75" hidden="false" customHeight="false" outlineLevel="0" collapsed="false">
      <c r="A707" s="20" t="n">
        <v>46085</v>
      </c>
      <c r="B707" s="15" t="s">
        <v>491</v>
      </c>
      <c r="C707" s="15" t="s">
        <v>541</v>
      </c>
      <c r="D707" s="15" t="s">
        <v>542</v>
      </c>
      <c r="E707" s="15" t="n">
        <v>2</v>
      </c>
      <c r="H707" s="10"/>
      <c r="I707" s="21"/>
      <c r="M707" s="10"/>
      <c r="N707" s="10"/>
      <c r="P707" s="10"/>
      <c r="Q707" s="22"/>
    </row>
    <row r="708" customFormat="false" ht="15.75" hidden="false" customHeight="false" outlineLevel="0" collapsed="false">
      <c r="A708" s="20" t="n">
        <v>46085</v>
      </c>
      <c r="B708" s="15" t="s">
        <v>491</v>
      </c>
      <c r="C708" s="15" t="s">
        <v>49</v>
      </c>
      <c r="D708" s="15" t="s">
        <v>537</v>
      </c>
      <c r="E708" s="15" t="n">
        <v>1</v>
      </c>
      <c r="H708" s="10"/>
      <c r="I708" s="21"/>
      <c r="M708" s="10"/>
      <c r="N708" s="10"/>
      <c r="P708" s="10"/>
      <c r="Q708" s="22"/>
    </row>
    <row r="709" customFormat="false" ht="15.75" hidden="false" customHeight="false" outlineLevel="0" collapsed="false">
      <c r="A709" s="20" t="n">
        <v>46085</v>
      </c>
      <c r="B709" s="15" t="s">
        <v>491</v>
      </c>
      <c r="C709" s="15" t="s">
        <v>33</v>
      </c>
      <c r="D709" s="15" t="s">
        <v>536</v>
      </c>
      <c r="E709" s="15" t="n">
        <v>5</v>
      </c>
      <c r="H709" s="10"/>
      <c r="I709" s="21"/>
      <c r="M709" s="10"/>
      <c r="N709" s="10"/>
      <c r="P709" s="10"/>
      <c r="Q709" s="22"/>
    </row>
    <row r="710" customFormat="false" ht="15.75" hidden="false" customHeight="false" outlineLevel="0" collapsed="false">
      <c r="A710" s="20" t="n">
        <v>46085</v>
      </c>
      <c r="B710" s="15" t="s">
        <v>491</v>
      </c>
      <c r="C710" s="15" t="s">
        <v>77</v>
      </c>
      <c r="D710" s="15" t="s">
        <v>78</v>
      </c>
      <c r="E710" s="15" t="n">
        <v>3</v>
      </c>
      <c r="H710" s="10"/>
      <c r="I710" s="21"/>
      <c r="M710" s="10"/>
      <c r="N710" s="10"/>
      <c r="P710" s="10"/>
      <c r="Q710" s="22"/>
    </row>
    <row r="711" customFormat="false" ht="15.75" hidden="false" customHeight="false" outlineLevel="0" collapsed="false">
      <c r="A711" s="20" t="n">
        <v>46085</v>
      </c>
      <c r="B711" s="15" t="s">
        <v>491</v>
      </c>
      <c r="C711" s="15" t="s">
        <v>47</v>
      </c>
      <c r="D711" s="15" t="s">
        <v>549</v>
      </c>
      <c r="E711" s="15" t="n">
        <v>1</v>
      </c>
      <c r="H711" s="10"/>
      <c r="I711" s="21"/>
      <c r="M711" s="10"/>
      <c r="N711" s="10"/>
      <c r="P711" s="10"/>
      <c r="Q711" s="22"/>
    </row>
    <row r="712" customFormat="false" ht="15.75" hidden="false" customHeight="false" outlineLevel="0" collapsed="false">
      <c r="A712" s="20" t="n">
        <v>46085</v>
      </c>
      <c r="B712" s="15" t="s">
        <v>491</v>
      </c>
      <c r="C712" s="15" t="s">
        <v>55</v>
      </c>
      <c r="D712" s="15" t="s">
        <v>539</v>
      </c>
      <c r="E712" s="15" t="n">
        <v>1</v>
      </c>
      <c r="H712" s="10"/>
      <c r="I712" s="21"/>
      <c r="M712" s="10"/>
      <c r="N712" s="10"/>
      <c r="P712" s="10"/>
      <c r="Q712" s="22"/>
    </row>
    <row r="713" customFormat="false" ht="15.75" hidden="false" customHeight="false" outlineLevel="0" collapsed="false">
      <c r="A713" s="20" t="n">
        <v>46085</v>
      </c>
      <c r="B713" s="15" t="s">
        <v>491</v>
      </c>
      <c r="C713" s="15" t="s">
        <v>59</v>
      </c>
      <c r="D713" s="15" t="s">
        <v>562</v>
      </c>
      <c r="E713" s="15" t="n">
        <v>1</v>
      </c>
      <c r="H713" s="10"/>
      <c r="I713" s="21"/>
      <c r="M713" s="10"/>
      <c r="N713" s="10"/>
      <c r="P713" s="10"/>
      <c r="Q713" s="22"/>
    </row>
    <row r="714" customFormat="false" ht="15.75" hidden="false" customHeight="false" outlineLevel="0" collapsed="false">
      <c r="A714" s="20" t="n">
        <v>46085</v>
      </c>
      <c r="B714" s="15" t="s">
        <v>491</v>
      </c>
      <c r="C714" s="15" t="s">
        <v>43</v>
      </c>
      <c r="D714" s="15" t="s">
        <v>538</v>
      </c>
      <c r="E714" s="15" t="n">
        <v>1</v>
      </c>
      <c r="H714" s="10"/>
      <c r="I714" s="21"/>
      <c r="M714" s="10"/>
      <c r="N714" s="10"/>
      <c r="P714" s="10"/>
      <c r="Q714" s="22"/>
    </row>
    <row r="715" customFormat="false" ht="15.75" hidden="false" customHeight="false" outlineLevel="0" collapsed="false">
      <c r="A715" s="20" t="n">
        <v>46085</v>
      </c>
      <c r="B715" s="15" t="s">
        <v>491</v>
      </c>
      <c r="C715" s="15" t="s">
        <v>87</v>
      </c>
      <c r="D715" s="15" t="s">
        <v>563</v>
      </c>
      <c r="E715" s="15" t="n">
        <v>1</v>
      </c>
      <c r="H715" s="10"/>
      <c r="I715" s="21"/>
      <c r="M715" s="10"/>
      <c r="N715" s="10"/>
      <c r="P715" s="10"/>
      <c r="Q715" s="22"/>
    </row>
    <row r="716" customFormat="false" ht="15.75" hidden="false" customHeight="false" outlineLevel="0" collapsed="false">
      <c r="A716" s="20" t="n">
        <v>46085</v>
      </c>
      <c r="B716" s="15" t="s">
        <v>491</v>
      </c>
      <c r="C716" s="15" t="s">
        <v>79</v>
      </c>
      <c r="D716" s="15" t="s">
        <v>564</v>
      </c>
      <c r="E716" s="15" t="n">
        <v>1</v>
      </c>
      <c r="H716" s="10"/>
      <c r="I716" s="21"/>
      <c r="M716" s="10"/>
      <c r="N716" s="10"/>
      <c r="P716" s="10"/>
      <c r="Q716" s="22"/>
    </row>
    <row r="717" customFormat="false" ht="15.75" hidden="false" customHeight="false" outlineLevel="0" collapsed="false">
      <c r="A717" s="20" t="n">
        <v>46085</v>
      </c>
      <c r="B717" s="15" t="s">
        <v>493</v>
      </c>
      <c r="C717" s="15" t="s">
        <v>63</v>
      </c>
      <c r="D717" s="15" t="s">
        <v>551</v>
      </c>
      <c r="E717" s="15" t="n">
        <v>1</v>
      </c>
      <c r="H717" s="10"/>
      <c r="I717" s="21"/>
      <c r="M717" s="10"/>
      <c r="N717" s="10"/>
      <c r="P717" s="10"/>
      <c r="Q717" s="22"/>
    </row>
    <row r="718" customFormat="false" ht="15.75" hidden="false" customHeight="false" outlineLevel="0" collapsed="false">
      <c r="A718" s="20" t="n">
        <v>46085</v>
      </c>
      <c r="B718" s="15" t="s">
        <v>493</v>
      </c>
      <c r="C718" s="15" t="s">
        <v>47</v>
      </c>
      <c r="D718" s="15" t="s">
        <v>549</v>
      </c>
      <c r="E718" s="15" t="n">
        <v>1</v>
      </c>
      <c r="H718" s="10"/>
      <c r="I718" s="21"/>
      <c r="M718" s="10"/>
      <c r="N718" s="10"/>
      <c r="P718" s="10"/>
      <c r="Q718" s="22"/>
    </row>
    <row r="719" customFormat="false" ht="15.75" hidden="false" customHeight="false" outlineLevel="0" collapsed="false">
      <c r="A719" s="20" t="n">
        <v>46085</v>
      </c>
      <c r="B719" s="15" t="s">
        <v>496</v>
      </c>
      <c r="C719" s="15" t="s">
        <v>81</v>
      </c>
      <c r="D719" s="15" t="s">
        <v>534</v>
      </c>
      <c r="E719" s="15" t="n">
        <v>7</v>
      </c>
      <c r="H719" s="10"/>
      <c r="I719" s="21"/>
      <c r="M719" s="10"/>
      <c r="N719" s="10"/>
      <c r="P719" s="10"/>
      <c r="Q719" s="22"/>
    </row>
    <row r="720" customFormat="false" ht="15.75" hidden="false" customHeight="false" outlineLevel="0" collapsed="false">
      <c r="A720" s="20" t="n">
        <v>46085</v>
      </c>
      <c r="B720" s="15" t="s">
        <v>496</v>
      </c>
      <c r="C720" s="15" t="s">
        <v>47</v>
      </c>
      <c r="D720" s="15" t="s">
        <v>549</v>
      </c>
      <c r="E720" s="15" t="n">
        <v>4</v>
      </c>
      <c r="H720" s="10"/>
      <c r="I720" s="21"/>
      <c r="M720" s="10"/>
      <c r="N720" s="10"/>
      <c r="P720" s="10"/>
      <c r="Q720" s="22"/>
    </row>
    <row r="721" customFormat="false" ht="15.75" hidden="false" customHeight="false" outlineLevel="0" collapsed="false">
      <c r="A721" s="20" t="n">
        <v>46085</v>
      </c>
      <c r="B721" s="15" t="s">
        <v>496</v>
      </c>
      <c r="C721" s="15" t="s">
        <v>55</v>
      </c>
      <c r="D721" s="15" t="s">
        <v>539</v>
      </c>
      <c r="E721" s="15" t="n">
        <v>2</v>
      </c>
      <c r="H721" s="10"/>
      <c r="I721" s="21"/>
      <c r="M721" s="10"/>
      <c r="N721" s="10"/>
      <c r="P721" s="10"/>
      <c r="Q721" s="22"/>
    </row>
    <row r="722" customFormat="false" ht="15.75" hidden="false" customHeight="false" outlineLevel="0" collapsed="false">
      <c r="A722" s="20" t="n">
        <v>46085</v>
      </c>
      <c r="B722" s="15" t="s">
        <v>496</v>
      </c>
      <c r="C722" s="15" t="s">
        <v>567</v>
      </c>
      <c r="D722" s="15" t="s">
        <v>568</v>
      </c>
      <c r="E722" s="15" t="n">
        <v>3</v>
      </c>
      <c r="H722" s="10"/>
      <c r="I722" s="21"/>
      <c r="M722" s="10"/>
      <c r="N722" s="10"/>
      <c r="P722" s="10"/>
      <c r="Q722" s="22"/>
    </row>
    <row r="723" customFormat="false" ht="15.75" hidden="false" customHeight="false" outlineLevel="0" collapsed="false">
      <c r="A723" s="20" t="n">
        <v>46085</v>
      </c>
      <c r="B723" s="15" t="s">
        <v>496</v>
      </c>
      <c r="C723" s="15" t="s">
        <v>545</v>
      </c>
      <c r="D723" s="15" t="s">
        <v>546</v>
      </c>
      <c r="E723" s="15" t="n">
        <v>3</v>
      </c>
      <c r="H723" s="10"/>
      <c r="I723" s="21"/>
      <c r="M723" s="10"/>
      <c r="N723" s="10"/>
      <c r="P723" s="10"/>
      <c r="Q723" s="22"/>
    </row>
    <row r="724" customFormat="false" ht="15.75" hidden="false" customHeight="false" outlineLevel="0" collapsed="false">
      <c r="A724" s="20" t="n">
        <v>46085</v>
      </c>
      <c r="B724" s="15" t="s">
        <v>496</v>
      </c>
      <c r="C724" s="15" t="s">
        <v>547</v>
      </c>
      <c r="D724" s="15" t="s">
        <v>548</v>
      </c>
      <c r="E724" s="15" t="n">
        <v>1</v>
      </c>
      <c r="H724" s="10"/>
      <c r="I724" s="21"/>
      <c r="M724" s="10"/>
      <c r="N724" s="10"/>
      <c r="P724" s="10"/>
      <c r="Q724" s="22"/>
    </row>
    <row r="725" customFormat="false" ht="15.75" hidden="false" customHeight="false" outlineLevel="0" collapsed="false">
      <c r="A725" s="20" t="n">
        <v>46085</v>
      </c>
      <c r="B725" s="15" t="s">
        <v>496</v>
      </c>
      <c r="C725" s="15" t="s">
        <v>555</v>
      </c>
      <c r="D725" s="15" t="s">
        <v>556</v>
      </c>
      <c r="E725" s="15" t="n">
        <v>4</v>
      </c>
      <c r="H725" s="10"/>
      <c r="I725" s="21"/>
      <c r="M725" s="10"/>
      <c r="N725" s="10"/>
      <c r="P725" s="10"/>
      <c r="Q725" s="22"/>
    </row>
    <row r="726" customFormat="false" ht="15.75" hidden="false" customHeight="false" outlineLevel="0" collapsed="false">
      <c r="A726" s="20" t="n">
        <v>46085</v>
      </c>
      <c r="B726" s="15" t="s">
        <v>496</v>
      </c>
      <c r="C726" s="15" t="s">
        <v>541</v>
      </c>
      <c r="D726" s="15" t="s">
        <v>542</v>
      </c>
      <c r="E726" s="15" t="n">
        <v>4</v>
      </c>
      <c r="H726" s="10"/>
      <c r="I726" s="21"/>
      <c r="M726" s="10"/>
      <c r="N726" s="10"/>
      <c r="P726" s="10"/>
      <c r="Q726" s="22"/>
    </row>
    <row r="727" customFormat="false" ht="15.75" hidden="false" customHeight="false" outlineLevel="0" collapsed="false">
      <c r="A727" s="20" t="n">
        <v>46085</v>
      </c>
      <c r="B727" s="15" t="s">
        <v>496</v>
      </c>
      <c r="C727" s="15" t="s">
        <v>45</v>
      </c>
      <c r="D727" s="15" t="s">
        <v>540</v>
      </c>
      <c r="E727" s="15" t="n">
        <v>1</v>
      </c>
      <c r="H727" s="10"/>
      <c r="I727" s="21"/>
      <c r="M727" s="10"/>
      <c r="N727" s="10"/>
      <c r="P727" s="10"/>
      <c r="Q727" s="22"/>
    </row>
    <row r="728" customFormat="false" ht="15.75" hidden="false" customHeight="false" outlineLevel="0" collapsed="false">
      <c r="A728" s="20" t="n">
        <v>46085</v>
      </c>
      <c r="B728" s="15" t="s">
        <v>496</v>
      </c>
      <c r="C728" s="15" t="s">
        <v>37</v>
      </c>
      <c r="D728" s="15" t="s">
        <v>561</v>
      </c>
      <c r="E728" s="15" t="n">
        <v>1</v>
      </c>
      <c r="H728" s="10"/>
      <c r="I728" s="21"/>
      <c r="M728" s="10"/>
      <c r="N728" s="10"/>
      <c r="P728" s="10"/>
      <c r="Q728" s="22"/>
    </row>
    <row r="729" customFormat="false" ht="15.75" hidden="false" customHeight="false" outlineLevel="0" collapsed="false">
      <c r="A729" s="20" t="n">
        <v>46085</v>
      </c>
      <c r="B729" s="15" t="s">
        <v>496</v>
      </c>
      <c r="C729" s="15" t="s">
        <v>543</v>
      </c>
      <c r="D729" s="15" t="s">
        <v>544</v>
      </c>
      <c r="E729" s="15" t="n">
        <v>4</v>
      </c>
      <c r="H729" s="10"/>
      <c r="I729" s="21"/>
      <c r="M729" s="10"/>
      <c r="N729" s="10"/>
      <c r="P729" s="10"/>
      <c r="Q729" s="22"/>
    </row>
    <row r="730" customFormat="false" ht="15.75" hidden="false" customHeight="false" outlineLevel="0" collapsed="false">
      <c r="A730" s="20" t="n">
        <v>46085</v>
      </c>
      <c r="B730" s="15" t="s">
        <v>496</v>
      </c>
      <c r="C730" s="15" t="s">
        <v>69</v>
      </c>
      <c r="D730" s="15" t="s">
        <v>535</v>
      </c>
      <c r="E730" s="15" t="n">
        <v>2</v>
      </c>
      <c r="H730" s="10"/>
      <c r="I730" s="21"/>
      <c r="M730" s="10"/>
      <c r="N730" s="10"/>
      <c r="P730" s="10"/>
      <c r="Q730" s="22"/>
    </row>
    <row r="731" customFormat="false" ht="15.75" hidden="false" customHeight="false" outlineLevel="0" collapsed="false">
      <c r="A731" s="20" t="n">
        <v>46085</v>
      </c>
      <c r="B731" s="15" t="s">
        <v>496</v>
      </c>
      <c r="C731" s="15" t="s">
        <v>77</v>
      </c>
      <c r="D731" s="15" t="s">
        <v>78</v>
      </c>
      <c r="E731" s="15" t="n">
        <v>2</v>
      </c>
      <c r="H731" s="10"/>
      <c r="I731" s="21"/>
      <c r="M731" s="10"/>
      <c r="N731" s="10"/>
      <c r="P731" s="10"/>
      <c r="Q731" s="22"/>
    </row>
    <row r="732" customFormat="false" ht="15.75" hidden="false" customHeight="false" outlineLevel="0" collapsed="false">
      <c r="A732" s="20" t="n">
        <v>46085</v>
      </c>
      <c r="B732" s="15" t="s">
        <v>496</v>
      </c>
      <c r="C732" s="15" t="s">
        <v>59</v>
      </c>
      <c r="D732" s="15" t="s">
        <v>562</v>
      </c>
      <c r="E732" s="15" t="n">
        <v>2</v>
      </c>
      <c r="H732" s="10"/>
      <c r="I732" s="21"/>
      <c r="M732" s="10"/>
      <c r="N732" s="10"/>
      <c r="P732" s="10"/>
      <c r="Q732" s="22"/>
    </row>
    <row r="733" customFormat="false" ht="15.75" hidden="false" customHeight="false" outlineLevel="0" collapsed="false">
      <c r="A733" s="20" t="n">
        <v>46085</v>
      </c>
      <c r="B733" s="15" t="s">
        <v>496</v>
      </c>
      <c r="C733" s="15" t="s">
        <v>33</v>
      </c>
      <c r="D733" s="15" t="s">
        <v>536</v>
      </c>
      <c r="E733" s="15" t="n">
        <v>2</v>
      </c>
      <c r="H733" s="10"/>
      <c r="I733" s="21"/>
      <c r="M733" s="10"/>
      <c r="N733" s="10"/>
      <c r="P733" s="10"/>
      <c r="Q733" s="22"/>
    </row>
    <row r="734" customFormat="false" ht="15.75" hidden="false" customHeight="false" outlineLevel="0" collapsed="false">
      <c r="A734" s="20" t="n">
        <v>46085</v>
      </c>
      <c r="B734" s="15" t="s">
        <v>496</v>
      </c>
      <c r="C734" s="15" t="s">
        <v>79</v>
      </c>
      <c r="D734" s="15" t="s">
        <v>564</v>
      </c>
      <c r="E734" s="15" t="n">
        <v>1</v>
      </c>
      <c r="H734" s="10"/>
      <c r="I734" s="21"/>
      <c r="M734" s="10"/>
      <c r="N734" s="10"/>
      <c r="P734" s="10"/>
      <c r="Q734" s="22"/>
    </row>
    <row r="735" customFormat="false" ht="15.75" hidden="false" customHeight="false" outlineLevel="0" collapsed="false">
      <c r="A735" s="20" t="n">
        <v>46085</v>
      </c>
      <c r="B735" s="15" t="s">
        <v>496</v>
      </c>
      <c r="C735" s="15" t="s">
        <v>65</v>
      </c>
      <c r="D735" s="15" t="s">
        <v>580</v>
      </c>
      <c r="E735" s="15" t="n">
        <v>1</v>
      </c>
      <c r="H735" s="10"/>
      <c r="I735" s="21"/>
      <c r="M735" s="10"/>
      <c r="N735" s="10"/>
      <c r="P735" s="10"/>
      <c r="Q735" s="22"/>
    </row>
    <row r="736" customFormat="false" ht="15.75" hidden="false" customHeight="false" outlineLevel="0" collapsed="false">
      <c r="A736" s="20" t="n">
        <v>46085</v>
      </c>
      <c r="B736" s="15" t="s">
        <v>504</v>
      </c>
      <c r="C736" s="15" t="s">
        <v>47</v>
      </c>
      <c r="D736" s="15" t="s">
        <v>549</v>
      </c>
      <c r="E736" s="15" t="n">
        <v>3</v>
      </c>
      <c r="H736" s="10"/>
      <c r="I736" s="21"/>
      <c r="M736" s="10"/>
      <c r="N736" s="10"/>
      <c r="P736" s="10"/>
      <c r="Q736" s="22"/>
    </row>
    <row r="737" customFormat="false" ht="15.75" hidden="false" customHeight="false" outlineLevel="0" collapsed="false">
      <c r="A737" s="20" t="n">
        <v>46085</v>
      </c>
      <c r="B737" s="15" t="s">
        <v>504</v>
      </c>
      <c r="C737" s="15" t="s">
        <v>55</v>
      </c>
      <c r="D737" s="15" t="s">
        <v>539</v>
      </c>
      <c r="E737" s="15" t="n">
        <v>6</v>
      </c>
      <c r="H737" s="10"/>
      <c r="I737" s="21"/>
      <c r="M737" s="10"/>
      <c r="N737" s="10"/>
      <c r="P737" s="10"/>
      <c r="Q737" s="22"/>
    </row>
    <row r="738" customFormat="false" ht="15.75" hidden="false" customHeight="false" outlineLevel="0" collapsed="false">
      <c r="A738" s="20" t="n">
        <v>46085</v>
      </c>
      <c r="B738" s="15" t="s">
        <v>504</v>
      </c>
      <c r="C738" s="15" t="s">
        <v>81</v>
      </c>
      <c r="D738" s="15" t="s">
        <v>534</v>
      </c>
      <c r="E738" s="15" t="n">
        <v>9</v>
      </c>
      <c r="H738" s="10"/>
      <c r="I738" s="21"/>
      <c r="M738" s="10"/>
      <c r="N738" s="10"/>
      <c r="P738" s="10"/>
      <c r="Q738" s="22"/>
    </row>
    <row r="739" customFormat="false" ht="15.75" hidden="false" customHeight="false" outlineLevel="0" collapsed="false">
      <c r="A739" s="20" t="n">
        <v>46085</v>
      </c>
      <c r="B739" s="15" t="s">
        <v>504</v>
      </c>
      <c r="C739" s="15" t="s">
        <v>39</v>
      </c>
      <c r="D739" s="15" t="s">
        <v>550</v>
      </c>
      <c r="E739" s="15" t="n">
        <v>1</v>
      </c>
      <c r="H739" s="10"/>
      <c r="I739" s="21"/>
      <c r="M739" s="10"/>
      <c r="N739" s="10"/>
      <c r="P739" s="10"/>
      <c r="Q739" s="22"/>
    </row>
    <row r="740" customFormat="false" ht="15.75" hidden="false" customHeight="false" outlineLevel="0" collapsed="false">
      <c r="A740" s="20" t="n">
        <v>46085</v>
      </c>
      <c r="B740" s="15" t="s">
        <v>504</v>
      </c>
      <c r="C740" s="15" t="s">
        <v>63</v>
      </c>
      <c r="D740" s="15" t="s">
        <v>551</v>
      </c>
      <c r="E740" s="15" t="n">
        <v>1</v>
      </c>
      <c r="H740" s="10"/>
      <c r="I740" s="21"/>
      <c r="M740" s="10"/>
      <c r="N740" s="10"/>
      <c r="P740" s="10"/>
      <c r="Q740" s="22"/>
    </row>
    <row r="741" customFormat="false" ht="15.75" hidden="false" customHeight="false" outlineLevel="0" collapsed="false">
      <c r="A741" s="20" t="n">
        <v>46085</v>
      </c>
      <c r="B741" s="15" t="s">
        <v>504</v>
      </c>
      <c r="C741" s="15" t="s">
        <v>17</v>
      </c>
      <c r="D741" s="15" t="s">
        <v>554</v>
      </c>
      <c r="E741" s="15" t="n">
        <v>1</v>
      </c>
      <c r="H741" s="10"/>
      <c r="I741" s="21"/>
      <c r="M741" s="10"/>
      <c r="N741" s="10"/>
      <c r="P741" s="10"/>
      <c r="Q741" s="22"/>
    </row>
    <row r="742" customFormat="false" ht="15.75" hidden="false" customHeight="false" outlineLevel="0" collapsed="false">
      <c r="A742" s="20" t="n">
        <v>46085</v>
      </c>
      <c r="B742" s="15" t="s">
        <v>508</v>
      </c>
      <c r="C742" s="15" t="s">
        <v>55</v>
      </c>
      <c r="D742" s="15" t="s">
        <v>539</v>
      </c>
      <c r="E742" s="15" t="n">
        <v>5</v>
      </c>
      <c r="H742" s="10"/>
      <c r="I742" s="21"/>
      <c r="M742" s="10"/>
      <c r="N742" s="10"/>
      <c r="P742" s="10"/>
      <c r="Q742" s="22"/>
    </row>
    <row r="743" customFormat="false" ht="15.75" hidden="false" customHeight="false" outlineLevel="0" collapsed="false">
      <c r="A743" s="20" t="n">
        <v>46085</v>
      </c>
      <c r="B743" s="15" t="s">
        <v>508</v>
      </c>
      <c r="C743" s="15" t="s">
        <v>81</v>
      </c>
      <c r="D743" s="15" t="s">
        <v>534</v>
      </c>
      <c r="E743" s="15" t="n">
        <v>9</v>
      </c>
      <c r="H743" s="10"/>
      <c r="I743" s="21"/>
      <c r="M743" s="10"/>
      <c r="N743" s="10"/>
      <c r="P743" s="10"/>
      <c r="Q743" s="22"/>
    </row>
    <row r="744" customFormat="false" ht="15.75" hidden="false" customHeight="false" outlineLevel="0" collapsed="false">
      <c r="A744" s="20" t="n">
        <v>46085</v>
      </c>
      <c r="B744" s="15" t="s">
        <v>508</v>
      </c>
      <c r="C744" s="15" t="s">
        <v>39</v>
      </c>
      <c r="D744" s="15" t="s">
        <v>550</v>
      </c>
      <c r="E744" s="15" t="n">
        <v>2</v>
      </c>
      <c r="H744" s="10"/>
      <c r="I744" s="21"/>
      <c r="M744" s="10"/>
      <c r="N744" s="10"/>
      <c r="P744" s="10"/>
      <c r="Q744" s="22"/>
    </row>
    <row r="745" customFormat="false" ht="15.75" hidden="false" customHeight="false" outlineLevel="0" collapsed="false">
      <c r="A745" s="20" t="n">
        <v>46085</v>
      </c>
      <c r="B745" s="15" t="s">
        <v>508</v>
      </c>
      <c r="C745" s="15" t="s">
        <v>47</v>
      </c>
      <c r="D745" s="15" t="s">
        <v>549</v>
      </c>
      <c r="E745" s="15" t="n">
        <v>2</v>
      </c>
      <c r="H745" s="10"/>
      <c r="I745" s="21"/>
      <c r="M745" s="10"/>
      <c r="N745" s="10"/>
      <c r="P745" s="10"/>
      <c r="Q745" s="22"/>
    </row>
    <row r="746" customFormat="false" ht="15.75" hidden="false" customHeight="false" outlineLevel="0" collapsed="false">
      <c r="A746" s="20" t="n">
        <v>46085</v>
      </c>
      <c r="B746" s="15" t="s">
        <v>508</v>
      </c>
      <c r="C746" s="15" t="s">
        <v>63</v>
      </c>
      <c r="D746" s="15" t="s">
        <v>551</v>
      </c>
      <c r="E746" s="15" t="n">
        <v>1</v>
      </c>
      <c r="H746" s="10"/>
      <c r="I746" s="21"/>
      <c r="M746" s="10"/>
      <c r="N746" s="10"/>
      <c r="P746" s="10"/>
      <c r="Q746" s="22"/>
    </row>
    <row r="747" customFormat="false" ht="15.75" hidden="false" customHeight="false" outlineLevel="0" collapsed="false">
      <c r="A747" s="20" t="n">
        <v>46085</v>
      </c>
      <c r="B747" s="15" t="s">
        <v>515</v>
      </c>
      <c r="C747" s="15" t="s">
        <v>69</v>
      </c>
      <c r="D747" s="15" t="s">
        <v>535</v>
      </c>
      <c r="E747" s="15" t="n">
        <v>6</v>
      </c>
      <c r="H747" s="10"/>
      <c r="I747" s="21"/>
      <c r="M747" s="10"/>
      <c r="N747" s="10"/>
      <c r="P747" s="10"/>
      <c r="Q747" s="22"/>
    </row>
    <row r="748" customFormat="false" ht="15.75" hidden="false" customHeight="false" outlineLevel="0" collapsed="false">
      <c r="A748" s="20" t="n">
        <v>46085</v>
      </c>
      <c r="B748" s="15" t="s">
        <v>515</v>
      </c>
      <c r="C748" s="15" t="s">
        <v>33</v>
      </c>
      <c r="D748" s="15" t="s">
        <v>536</v>
      </c>
      <c r="E748" s="15" t="n">
        <v>6</v>
      </c>
      <c r="H748" s="10"/>
      <c r="I748" s="21"/>
      <c r="M748" s="10"/>
      <c r="N748" s="10"/>
      <c r="P748" s="10"/>
      <c r="Q748" s="22"/>
    </row>
    <row r="749" customFormat="false" ht="15.75" hidden="false" customHeight="false" outlineLevel="0" collapsed="false">
      <c r="A749" s="20" t="n">
        <v>46085</v>
      </c>
      <c r="B749" s="15" t="s">
        <v>515</v>
      </c>
      <c r="C749" s="15" t="s">
        <v>55</v>
      </c>
      <c r="D749" s="15" t="s">
        <v>539</v>
      </c>
      <c r="E749" s="15" t="n">
        <v>4</v>
      </c>
      <c r="H749" s="10"/>
      <c r="I749" s="21"/>
      <c r="M749" s="10"/>
      <c r="N749" s="10"/>
      <c r="P749" s="10"/>
      <c r="Q749" s="22"/>
    </row>
    <row r="750" customFormat="false" ht="15.75" hidden="false" customHeight="false" outlineLevel="0" collapsed="false">
      <c r="A750" s="20" t="n">
        <v>46085</v>
      </c>
      <c r="B750" s="15" t="s">
        <v>515</v>
      </c>
      <c r="C750" s="15" t="s">
        <v>27</v>
      </c>
      <c r="D750" s="15" t="s">
        <v>577</v>
      </c>
      <c r="E750" s="15" t="n">
        <v>1</v>
      </c>
      <c r="H750" s="10"/>
      <c r="I750" s="21"/>
      <c r="M750" s="10"/>
      <c r="N750" s="10"/>
      <c r="P750" s="10"/>
      <c r="Q750" s="22"/>
    </row>
    <row r="751" customFormat="false" ht="15.75" hidden="false" customHeight="false" outlineLevel="0" collapsed="false">
      <c r="A751" s="20" t="n">
        <v>46085</v>
      </c>
      <c r="B751" s="15" t="s">
        <v>515</v>
      </c>
      <c r="C751" s="15" t="s">
        <v>51</v>
      </c>
      <c r="D751" s="15" t="s">
        <v>573</v>
      </c>
      <c r="E751" s="15" t="n">
        <v>1</v>
      </c>
      <c r="H751" s="10"/>
      <c r="I751" s="21"/>
      <c r="M751" s="10"/>
      <c r="N751" s="10"/>
      <c r="P751" s="10"/>
      <c r="Q751" s="22"/>
    </row>
    <row r="752" customFormat="false" ht="15.75" hidden="false" customHeight="false" outlineLevel="0" collapsed="false">
      <c r="A752" s="20" t="n">
        <v>46085</v>
      </c>
      <c r="B752" s="15" t="s">
        <v>515</v>
      </c>
      <c r="C752" s="15" t="s">
        <v>37</v>
      </c>
      <c r="D752" s="15" t="s">
        <v>561</v>
      </c>
      <c r="E752" s="15" t="n">
        <v>1</v>
      </c>
      <c r="H752" s="10"/>
      <c r="I752" s="21"/>
      <c r="M752" s="10"/>
      <c r="N752" s="10"/>
      <c r="P752" s="10"/>
      <c r="Q752" s="22"/>
    </row>
    <row r="753" customFormat="false" ht="15.75" hidden="false" customHeight="false" outlineLevel="0" collapsed="false">
      <c r="A753" s="20" t="n">
        <v>46085</v>
      </c>
      <c r="B753" s="15" t="s">
        <v>515</v>
      </c>
      <c r="C753" s="15" t="s">
        <v>81</v>
      </c>
      <c r="D753" s="15" t="s">
        <v>534</v>
      </c>
      <c r="E753" s="15" t="n">
        <v>2</v>
      </c>
      <c r="H753" s="10"/>
      <c r="I753" s="21"/>
      <c r="M753" s="10"/>
      <c r="N753" s="10"/>
      <c r="P753" s="10"/>
      <c r="Q753" s="22"/>
    </row>
    <row r="754" customFormat="false" ht="15.75" hidden="false" customHeight="false" outlineLevel="0" collapsed="false">
      <c r="A754" s="20" t="n">
        <v>46085</v>
      </c>
      <c r="B754" s="15" t="s">
        <v>515</v>
      </c>
      <c r="C754" s="15" t="s">
        <v>77</v>
      </c>
      <c r="D754" s="15" t="s">
        <v>78</v>
      </c>
      <c r="E754" s="15" t="n">
        <v>4</v>
      </c>
      <c r="H754" s="10"/>
      <c r="I754" s="21"/>
      <c r="M754" s="10"/>
      <c r="N754" s="10"/>
      <c r="P754" s="10"/>
      <c r="Q754" s="22"/>
    </row>
    <row r="755" customFormat="false" ht="15.75" hidden="false" customHeight="false" outlineLevel="0" collapsed="false">
      <c r="A755" s="20" t="n">
        <v>46085</v>
      </c>
      <c r="B755" s="15" t="s">
        <v>524</v>
      </c>
      <c r="C755" s="15" t="s">
        <v>69</v>
      </c>
      <c r="D755" s="15" t="s">
        <v>535</v>
      </c>
      <c r="E755" s="15" t="n">
        <v>6</v>
      </c>
      <c r="H755" s="10"/>
      <c r="I755" s="21"/>
      <c r="M755" s="10"/>
      <c r="N755" s="10"/>
      <c r="P755" s="10"/>
      <c r="Q755" s="22"/>
    </row>
    <row r="756" customFormat="false" ht="15.75" hidden="false" customHeight="false" outlineLevel="0" collapsed="false">
      <c r="A756" s="20" t="n">
        <v>46085</v>
      </c>
      <c r="B756" s="15" t="s">
        <v>524</v>
      </c>
      <c r="C756" s="15" t="s">
        <v>33</v>
      </c>
      <c r="D756" s="15" t="s">
        <v>536</v>
      </c>
      <c r="E756" s="15" t="n">
        <v>6</v>
      </c>
      <c r="H756" s="10"/>
      <c r="I756" s="21"/>
      <c r="M756" s="10"/>
      <c r="N756" s="10"/>
      <c r="P756" s="10"/>
      <c r="Q756" s="22"/>
    </row>
    <row r="757" customFormat="false" ht="15.75" hidden="false" customHeight="false" outlineLevel="0" collapsed="false">
      <c r="A757" s="20" t="n">
        <v>46085</v>
      </c>
      <c r="B757" s="15" t="s">
        <v>524</v>
      </c>
      <c r="C757" s="15" t="s">
        <v>55</v>
      </c>
      <c r="D757" s="15" t="s">
        <v>539</v>
      </c>
      <c r="E757" s="15" t="n">
        <v>4</v>
      </c>
      <c r="H757" s="10"/>
      <c r="I757" s="21"/>
      <c r="M757" s="10"/>
      <c r="N757" s="10"/>
      <c r="P757" s="10"/>
      <c r="Q757" s="22"/>
    </row>
    <row r="758" customFormat="false" ht="15.75" hidden="false" customHeight="false" outlineLevel="0" collapsed="false">
      <c r="A758" s="20" t="n">
        <v>46085</v>
      </c>
      <c r="B758" s="15" t="s">
        <v>524</v>
      </c>
      <c r="C758" s="15" t="s">
        <v>81</v>
      </c>
      <c r="D758" s="15" t="s">
        <v>534</v>
      </c>
      <c r="E758" s="15" t="n">
        <v>3</v>
      </c>
      <c r="H758" s="10"/>
      <c r="I758" s="21"/>
      <c r="M758" s="10"/>
      <c r="N758" s="10"/>
      <c r="P758" s="10"/>
      <c r="Q758" s="22"/>
    </row>
    <row r="759" customFormat="false" ht="15.75" hidden="false" customHeight="false" outlineLevel="0" collapsed="false">
      <c r="A759" s="20" t="n">
        <v>46085</v>
      </c>
      <c r="B759" s="15" t="s">
        <v>524</v>
      </c>
      <c r="C759" s="15" t="s">
        <v>37</v>
      </c>
      <c r="D759" s="15" t="s">
        <v>561</v>
      </c>
      <c r="E759" s="15" t="n">
        <v>1</v>
      </c>
      <c r="H759" s="10"/>
      <c r="I759" s="21"/>
      <c r="M759" s="10"/>
      <c r="N759" s="10"/>
      <c r="P759" s="10"/>
      <c r="Q759" s="22"/>
    </row>
    <row r="760" customFormat="false" ht="15.75" hidden="false" customHeight="false" outlineLevel="0" collapsed="false">
      <c r="A760" s="20" t="n">
        <v>46085</v>
      </c>
      <c r="B760" s="15" t="s">
        <v>524</v>
      </c>
      <c r="C760" s="15" t="s">
        <v>547</v>
      </c>
      <c r="D760" s="15" t="s">
        <v>548</v>
      </c>
      <c r="E760" s="15" t="n">
        <v>1</v>
      </c>
      <c r="H760" s="10"/>
      <c r="I760" s="21"/>
      <c r="M760" s="10"/>
      <c r="N760" s="10"/>
      <c r="P760" s="10"/>
      <c r="Q760" s="22"/>
    </row>
    <row r="761" customFormat="false" ht="15.75" hidden="false" customHeight="false" outlineLevel="0" collapsed="false">
      <c r="A761" s="20" t="n">
        <v>46086</v>
      </c>
      <c r="B761" s="15" t="s">
        <v>469</v>
      </c>
      <c r="C761" s="15" t="s">
        <v>69</v>
      </c>
      <c r="D761" s="15" t="s">
        <v>535</v>
      </c>
      <c r="E761" s="15" t="n">
        <v>5</v>
      </c>
      <c r="H761" s="10"/>
      <c r="I761" s="21"/>
      <c r="M761" s="10"/>
      <c r="N761" s="10"/>
      <c r="P761" s="10"/>
      <c r="Q761" s="22"/>
    </row>
    <row r="762" customFormat="false" ht="15.75" hidden="false" customHeight="false" outlineLevel="0" collapsed="false">
      <c r="A762" s="20" t="n">
        <v>46086</v>
      </c>
      <c r="B762" s="15" t="s">
        <v>469</v>
      </c>
      <c r="C762" s="15" t="s">
        <v>55</v>
      </c>
      <c r="D762" s="15" t="s">
        <v>539</v>
      </c>
      <c r="E762" s="15" t="n">
        <v>2</v>
      </c>
      <c r="H762" s="10"/>
      <c r="I762" s="21"/>
      <c r="M762" s="10"/>
      <c r="N762" s="10"/>
      <c r="P762" s="10"/>
      <c r="Q762" s="22"/>
    </row>
    <row r="763" customFormat="false" ht="15.75" hidden="false" customHeight="false" outlineLevel="0" collapsed="false">
      <c r="A763" s="20" t="n">
        <v>46086</v>
      </c>
      <c r="B763" s="15" t="s">
        <v>469</v>
      </c>
      <c r="C763" s="15" t="s">
        <v>33</v>
      </c>
      <c r="D763" s="15" t="s">
        <v>536</v>
      </c>
      <c r="E763" s="15" t="n">
        <v>5</v>
      </c>
      <c r="H763" s="10"/>
      <c r="I763" s="21"/>
      <c r="M763" s="10"/>
      <c r="N763" s="10"/>
      <c r="P763" s="10"/>
      <c r="Q763" s="22"/>
    </row>
    <row r="764" customFormat="false" ht="15.75" hidden="false" customHeight="false" outlineLevel="0" collapsed="false">
      <c r="A764" s="20" t="n">
        <v>46086</v>
      </c>
      <c r="B764" s="15" t="s">
        <v>469</v>
      </c>
      <c r="C764" s="15" t="s">
        <v>547</v>
      </c>
      <c r="D764" s="15" t="s">
        <v>548</v>
      </c>
      <c r="E764" s="15" t="n">
        <v>1</v>
      </c>
      <c r="H764" s="10"/>
      <c r="I764" s="21"/>
      <c r="M764" s="10"/>
      <c r="N764" s="10"/>
      <c r="P764" s="10"/>
      <c r="Q764" s="22"/>
    </row>
    <row r="765" customFormat="false" ht="15.75" hidden="false" customHeight="false" outlineLevel="0" collapsed="false">
      <c r="A765" s="20" t="n">
        <v>46086</v>
      </c>
      <c r="B765" s="15" t="s">
        <v>469</v>
      </c>
      <c r="C765" s="15" t="s">
        <v>81</v>
      </c>
      <c r="D765" s="15" t="s">
        <v>534</v>
      </c>
      <c r="E765" s="15" t="n">
        <v>2</v>
      </c>
      <c r="H765" s="10"/>
      <c r="I765" s="21"/>
      <c r="M765" s="10"/>
      <c r="N765" s="10"/>
      <c r="P765" s="10"/>
      <c r="Q765" s="22"/>
    </row>
    <row r="766" customFormat="false" ht="15.75" hidden="false" customHeight="false" outlineLevel="0" collapsed="false">
      <c r="A766" s="20" t="n">
        <v>46086</v>
      </c>
      <c r="B766" s="15" t="s">
        <v>477</v>
      </c>
      <c r="C766" s="15" t="s">
        <v>69</v>
      </c>
      <c r="D766" s="15" t="s">
        <v>535</v>
      </c>
      <c r="E766" s="15" t="n">
        <v>3</v>
      </c>
      <c r="H766" s="10"/>
      <c r="I766" s="21"/>
      <c r="M766" s="10"/>
      <c r="N766" s="10"/>
      <c r="P766" s="10"/>
      <c r="Q766" s="22"/>
    </row>
    <row r="767" customFormat="false" ht="15.75" hidden="false" customHeight="false" outlineLevel="0" collapsed="false">
      <c r="A767" s="20" t="n">
        <v>46086</v>
      </c>
      <c r="B767" s="15" t="s">
        <v>477</v>
      </c>
      <c r="C767" s="15" t="s">
        <v>547</v>
      </c>
      <c r="D767" s="15" t="s">
        <v>548</v>
      </c>
      <c r="E767" s="15" t="n">
        <v>3</v>
      </c>
      <c r="H767" s="10"/>
      <c r="I767" s="21"/>
      <c r="M767" s="10"/>
      <c r="N767" s="10"/>
      <c r="P767" s="10"/>
      <c r="Q767" s="22"/>
    </row>
    <row r="768" customFormat="false" ht="15.75" hidden="false" customHeight="false" outlineLevel="0" collapsed="false">
      <c r="A768" s="20" t="n">
        <v>46086</v>
      </c>
      <c r="B768" s="15" t="s">
        <v>477</v>
      </c>
      <c r="C768" s="15" t="s">
        <v>25</v>
      </c>
      <c r="D768" s="15" t="s">
        <v>26</v>
      </c>
      <c r="E768" s="15" t="n">
        <v>3</v>
      </c>
      <c r="H768" s="10"/>
      <c r="I768" s="21"/>
      <c r="M768" s="10"/>
      <c r="N768" s="10"/>
      <c r="P768" s="10"/>
      <c r="Q768" s="22"/>
    </row>
    <row r="769" customFormat="false" ht="15.75" hidden="false" customHeight="false" outlineLevel="0" collapsed="false">
      <c r="A769" s="20" t="n">
        <v>46086</v>
      </c>
      <c r="B769" s="15" t="s">
        <v>491</v>
      </c>
      <c r="C769" s="15" t="s">
        <v>37</v>
      </c>
      <c r="D769" s="15" t="s">
        <v>561</v>
      </c>
      <c r="E769" s="15" t="n">
        <v>1</v>
      </c>
      <c r="H769" s="10"/>
      <c r="I769" s="21"/>
      <c r="M769" s="10"/>
      <c r="N769" s="10"/>
      <c r="P769" s="10"/>
      <c r="Q769" s="22"/>
    </row>
    <row r="770" customFormat="false" ht="15.75" hidden="false" customHeight="false" outlineLevel="0" collapsed="false">
      <c r="A770" s="20" t="n">
        <v>46086</v>
      </c>
      <c r="B770" s="15" t="s">
        <v>491</v>
      </c>
      <c r="C770" s="15" t="s">
        <v>81</v>
      </c>
      <c r="D770" s="15" t="s">
        <v>534</v>
      </c>
      <c r="E770" s="15" t="n">
        <v>8</v>
      </c>
      <c r="H770" s="10"/>
      <c r="I770" s="21"/>
      <c r="M770" s="10"/>
      <c r="N770" s="10"/>
      <c r="P770" s="10"/>
      <c r="Q770" s="22"/>
    </row>
    <row r="771" customFormat="false" ht="15.75" hidden="false" customHeight="false" outlineLevel="0" collapsed="false">
      <c r="A771" s="20" t="n">
        <v>46086</v>
      </c>
      <c r="B771" s="15" t="s">
        <v>491</v>
      </c>
      <c r="C771" s="15" t="s">
        <v>75</v>
      </c>
      <c r="D771" s="15" t="s">
        <v>560</v>
      </c>
      <c r="E771" s="15" t="n">
        <v>1</v>
      </c>
      <c r="H771" s="10"/>
      <c r="I771" s="21"/>
      <c r="M771" s="10"/>
      <c r="N771" s="10"/>
      <c r="P771" s="10"/>
      <c r="Q771" s="22"/>
    </row>
    <row r="772" customFormat="false" ht="15.75" hidden="false" customHeight="false" outlineLevel="0" collapsed="false">
      <c r="A772" s="20" t="n">
        <v>46086</v>
      </c>
      <c r="B772" s="15" t="s">
        <v>491</v>
      </c>
      <c r="C772" s="15" t="s">
        <v>69</v>
      </c>
      <c r="D772" s="15" t="s">
        <v>535</v>
      </c>
      <c r="E772" s="15" t="n">
        <v>6</v>
      </c>
      <c r="H772" s="10"/>
      <c r="I772" s="21"/>
      <c r="M772" s="10"/>
      <c r="N772" s="10"/>
      <c r="P772" s="10"/>
      <c r="Q772" s="22"/>
    </row>
    <row r="773" customFormat="false" ht="15.75" hidden="false" customHeight="false" outlineLevel="0" collapsed="false">
      <c r="A773" s="20" t="n">
        <v>46086</v>
      </c>
      <c r="B773" s="15" t="s">
        <v>491</v>
      </c>
      <c r="C773" s="15" t="s">
        <v>547</v>
      </c>
      <c r="D773" s="15" t="s">
        <v>548</v>
      </c>
      <c r="E773" s="15" t="n">
        <v>1</v>
      </c>
      <c r="H773" s="10"/>
      <c r="I773" s="21"/>
      <c r="M773" s="10"/>
      <c r="N773" s="10"/>
      <c r="P773" s="10"/>
      <c r="Q773" s="22"/>
    </row>
    <row r="774" customFormat="false" ht="15.75" hidden="false" customHeight="false" outlineLevel="0" collapsed="false">
      <c r="A774" s="20" t="n">
        <v>46086</v>
      </c>
      <c r="B774" s="15" t="s">
        <v>491</v>
      </c>
      <c r="C774" s="15" t="s">
        <v>31</v>
      </c>
      <c r="D774" s="15" t="s">
        <v>559</v>
      </c>
      <c r="E774" s="15" t="n">
        <v>2</v>
      </c>
      <c r="H774" s="10"/>
      <c r="I774" s="21"/>
      <c r="M774" s="10"/>
      <c r="N774" s="10"/>
      <c r="P774" s="10"/>
      <c r="Q774" s="22"/>
    </row>
    <row r="775" customFormat="false" ht="15.75" hidden="false" customHeight="false" outlineLevel="0" collapsed="false">
      <c r="A775" s="20" t="n">
        <v>46086</v>
      </c>
      <c r="B775" s="15" t="s">
        <v>491</v>
      </c>
      <c r="C775" s="15" t="s">
        <v>545</v>
      </c>
      <c r="D775" s="15" t="s">
        <v>546</v>
      </c>
      <c r="E775" s="15" t="n">
        <v>2</v>
      </c>
      <c r="H775" s="10"/>
      <c r="I775" s="21"/>
      <c r="M775" s="10"/>
      <c r="N775" s="10"/>
      <c r="P775" s="10"/>
      <c r="Q775" s="22"/>
    </row>
    <row r="776" customFormat="false" ht="15.75" hidden="false" customHeight="false" outlineLevel="0" collapsed="false">
      <c r="A776" s="20" t="n">
        <v>46086</v>
      </c>
      <c r="B776" s="15" t="s">
        <v>491</v>
      </c>
      <c r="C776" s="15" t="s">
        <v>543</v>
      </c>
      <c r="D776" s="15" t="s">
        <v>544</v>
      </c>
      <c r="E776" s="15" t="n">
        <v>4</v>
      </c>
      <c r="H776" s="10"/>
      <c r="I776" s="21"/>
      <c r="M776" s="10"/>
      <c r="N776" s="10"/>
      <c r="P776" s="10"/>
      <c r="Q776" s="22"/>
    </row>
    <row r="777" customFormat="false" ht="15.75" hidden="false" customHeight="false" outlineLevel="0" collapsed="false">
      <c r="A777" s="20" t="n">
        <v>46086</v>
      </c>
      <c r="B777" s="15" t="s">
        <v>491</v>
      </c>
      <c r="C777" s="15" t="s">
        <v>541</v>
      </c>
      <c r="D777" s="15" t="s">
        <v>542</v>
      </c>
      <c r="E777" s="15" t="n">
        <v>2</v>
      </c>
      <c r="H777" s="10"/>
      <c r="I777" s="21"/>
      <c r="M777" s="10"/>
      <c r="N777" s="10"/>
      <c r="P777" s="10"/>
      <c r="Q777" s="22"/>
    </row>
    <row r="778" customFormat="false" ht="15.75" hidden="false" customHeight="false" outlineLevel="0" collapsed="false">
      <c r="A778" s="20" t="n">
        <v>46086</v>
      </c>
      <c r="B778" s="15" t="s">
        <v>491</v>
      </c>
      <c r="C778" s="15" t="s">
        <v>49</v>
      </c>
      <c r="D778" s="15" t="s">
        <v>537</v>
      </c>
      <c r="E778" s="15" t="n">
        <v>1</v>
      </c>
      <c r="H778" s="10"/>
      <c r="I778" s="21"/>
      <c r="M778" s="10"/>
      <c r="N778" s="10"/>
      <c r="P778" s="10"/>
      <c r="Q778" s="22"/>
    </row>
    <row r="779" customFormat="false" ht="15.75" hidden="false" customHeight="false" outlineLevel="0" collapsed="false">
      <c r="A779" s="20" t="n">
        <v>46086</v>
      </c>
      <c r="B779" s="15" t="s">
        <v>491</v>
      </c>
      <c r="C779" s="15" t="s">
        <v>33</v>
      </c>
      <c r="D779" s="15" t="s">
        <v>536</v>
      </c>
      <c r="E779" s="15" t="n">
        <v>5</v>
      </c>
      <c r="H779" s="10"/>
      <c r="I779" s="21"/>
      <c r="M779" s="10"/>
      <c r="N779" s="10"/>
      <c r="P779" s="10"/>
      <c r="Q779" s="22"/>
    </row>
    <row r="780" customFormat="false" ht="15.75" hidden="false" customHeight="false" outlineLevel="0" collapsed="false">
      <c r="A780" s="20" t="n">
        <v>46086</v>
      </c>
      <c r="B780" s="15" t="s">
        <v>491</v>
      </c>
      <c r="C780" s="15" t="s">
        <v>77</v>
      </c>
      <c r="D780" s="15" t="s">
        <v>78</v>
      </c>
      <c r="E780" s="15" t="n">
        <v>3</v>
      </c>
      <c r="H780" s="10"/>
      <c r="I780" s="21"/>
      <c r="M780" s="10"/>
      <c r="N780" s="10"/>
      <c r="P780" s="10"/>
      <c r="Q780" s="22"/>
    </row>
    <row r="781" customFormat="false" ht="15.75" hidden="false" customHeight="false" outlineLevel="0" collapsed="false">
      <c r="A781" s="20" t="n">
        <v>46086</v>
      </c>
      <c r="B781" s="15" t="s">
        <v>491</v>
      </c>
      <c r="C781" s="15" t="s">
        <v>47</v>
      </c>
      <c r="D781" s="15" t="s">
        <v>549</v>
      </c>
      <c r="E781" s="15" t="n">
        <v>1</v>
      </c>
      <c r="H781" s="10"/>
      <c r="I781" s="21"/>
      <c r="M781" s="10"/>
      <c r="N781" s="10"/>
      <c r="P781" s="10"/>
      <c r="Q781" s="22"/>
    </row>
    <row r="782" customFormat="false" ht="15.75" hidden="false" customHeight="false" outlineLevel="0" collapsed="false">
      <c r="A782" s="20" t="n">
        <v>46086</v>
      </c>
      <c r="B782" s="15" t="s">
        <v>491</v>
      </c>
      <c r="C782" s="15" t="s">
        <v>55</v>
      </c>
      <c r="D782" s="15" t="s">
        <v>539</v>
      </c>
      <c r="E782" s="15" t="n">
        <v>1</v>
      </c>
      <c r="H782" s="10"/>
      <c r="I782" s="21"/>
      <c r="M782" s="10"/>
      <c r="N782" s="10"/>
      <c r="P782" s="10"/>
      <c r="Q782" s="22"/>
    </row>
    <row r="783" customFormat="false" ht="15.75" hidden="false" customHeight="false" outlineLevel="0" collapsed="false">
      <c r="A783" s="20" t="n">
        <v>46086</v>
      </c>
      <c r="B783" s="15" t="s">
        <v>491</v>
      </c>
      <c r="C783" s="15" t="s">
        <v>59</v>
      </c>
      <c r="D783" s="15" t="s">
        <v>562</v>
      </c>
      <c r="E783" s="15" t="n">
        <v>1</v>
      </c>
      <c r="H783" s="10"/>
      <c r="I783" s="21"/>
      <c r="M783" s="10"/>
      <c r="N783" s="10"/>
      <c r="P783" s="10"/>
      <c r="Q783" s="22"/>
    </row>
    <row r="784" customFormat="false" ht="15.75" hidden="false" customHeight="false" outlineLevel="0" collapsed="false">
      <c r="A784" s="20" t="n">
        <v>46086</v>
      </c>
      <c r="B784" s="15" t="s">
        <v>491</v>
      </c>
      <c r="C784" s="15" t="s">
        <v>43</v>
      </c>
      <c r="D784" s="15" t="s">
        <v>538</v>
      </c>
      <c r="E784" s="15" t="n">
        <v>1</v>
      </c>
      <c r="H784" s="10"/>
      <c r="I784" s="21"/>
      <c r="M784" s="10"/>
      <c r="N784" s="10"/>
      <c r="P784" s="10"/>
      <c r="Q784" s="22"/>
    </row>
    <row r="785" customFormat="false" ht="15.75" hidden="false" customHeight="false" outlineLevel="0" collapsed="false">
      <c r="A785" s="20" t="n">
        <v>46086</v>
      </c>
      <c r="B785" s="15" t="s">
        <v>491</v>
      </c>
      <c r="C785" s="15" t="s">
        <v>87</v>
      </c>
      <c r="D785" s="15" t="s">
        <v>563</v>
      </c>
      <c r="E785" s="15" t="n">
        <v>1</v>
      </c>
      <c r="H785" s="10"/>
      <c r="I785" s="21"/>
      <c r="M785" s="10"/>
      <c r="N785" s="10"/>
      <c r="P785" s="10"/>
      <c r="Q785" s="22"/>
    </row>
    <row r="786" customFormat="false" ht="15.75" hidden="false" customHeight="false" outlineLevel="0" collapsed="false">
      <c r="A786" s="20" t="n">
        <v>46086</v>
      </c>
      <c r="B786" s="15" t="s">
        <v>491</v>
      </c>
      <c r="C786" s="15" t="s">
        <v>79</v>
      </c>
      <c r="D786" s="15" t="s">
        <v>564</v>
      </c>
      <c r="E786" s="15" t="n">
        <v>1</v>
      </c>
      <c r="H786" s="10"/>
      <c r="I786" s="21"/>
      <c r="M786" s="10"/>
      <c r="N786" s="10"/>
      <c r="P786" s="10"/>
      <c r="Q786" s="22"/>
    </row>
    <row r="787" customFormat="false" ht="15.75" hidden="false" customHeight="false" outlineLevel="0" collapsed="false">
      <c r="A787" s="20" t="n">
        <v>46086</v>
      </c>
      <c r="B787" s="15" t="s">
        <v>493</v>
      </c>
      <c r="C787" s="15" t="s">
        <v>63</v>
      </c>
      <c r="D787" s="15" t="s">
        <v>551</v>
      </c>
      <c r="E787" s="15" t="n">
        <v>1</v>
      </c>
      <c r="H787" s="10"/>
      <c r="I787" s="21"/>
      <c r="M787" s="10"/>
      <c r="N787" s="10"/>
      <c r="P787" s="10"/>
      <c r="Q787" s="22"/>
    </row>
    <row r="788" customFormat="false" ht="15.75" hidden="false" customHeight="false" outlineLevel="0" collapsed="false">
      <c r="A788" s="20" t="n">
        <v>46086</v>
      </c>
      <c r="B788" s="15" t="s">
        <v>493</v>
      </c>
      <c r="C788" s="15" t="s">
        <v>47</v>
      </c>
      <c r="D788" s="15" t="s">
        <v>549</v>
      </c>
      <c r="E788" s="15" t="n">
        <v>1</v>
      </c>
      <c r="H788" s="10"/>
      <c r="I788" s="21"/>
      <c r="M788" s="10"/>
      <c r="N788" s="10"/>
      <c r="P788" s="10"/>
      <c r="Q788" s="22"/>
    </row>
    <row r="789" customFormat="false" ht="15.75" hidden="false" customHeight="false" outlineLevel="0" collapsed="false">
      <c r="A789" s="20" t="n">
        <v>46086</v>
      </c>
      <c r="B789" s="15" t="s">
        <v>496</v>
      </c>
      <c r="C789" s="15" t="s">
        <v>81</v>
      </c>
      <c r="D789" s="15" t="s">
        <v>534</v>
      </c>
      <c r="E789" s="15" t="n">
        <v>7</v>
      </c>
      <c r="H789" s="10"/>
      <c r="I789" s="21"/>
      <c r="M789" s="10"/>
      <c r="N789" s="10"/>
      <c r="P789" s="10"/>
      <c r="Q789" s="22"/>
    </row>
    <row r="790" customFormat="false" ht="15.75" hidden="false" customHeight="false" outlineLevel="0" collapsed="false">
      <c r="A790" s="20" t="n">
        <v>46086</v>
      </c>
      <c r="B790" s="15" t="s">
        <v>496</v>
      </c>
      <c r="C790" s="15" t="s">
        <v>47</v>
      </c>
      <c r="D790" s="15" t="s">
        <v>549</v>
      </c>
      <c r="E790" s="15" t="n">
        <v>4</v>
      </c>
      <c r="H790" s="10"/>
      <c r="I790" s="21"/>
      <c r="M790" s="10"/>
      <c r="N790" s="10"/>
      <c r="P790" s="10"/>
      <c r="Q790" s="22"/>
    </row>
    <row r="791" customFormat="false" ht="15.75" hidden="false" customHeight="false" outlineLevel="0" collapsed="false">
      <c r="A791" s="20" t="n">
        <v>46086</v>
      </c>
      <c r="B791" s="15" t="s">
        <v>496</v>
      </c>
      <c r="C791" s="15" t="s">
        <v>55</v>
      </c>
      <c r="D791" s="15" t="s">
        <v>539</v>
      </c>
      <c r="E791" s="15" t="n">
        <v>2</v>
      </c>
      <c r="H791" s="10"/>
      <c r="I791" s="21"/>
      <c r="M791" s="10"/>
      <c r="N791" s="10"/>
      <c r="P791" s="10"/>
      <c r="Q791" s="22"/>
    </row>
    <row r="792" customFormat="false" ht="15.75" hidden="false" customHeight="false" outlineLevel="0" collapsed="false">
      <c r="A792" s="20" t="n">
        <v>46086</v>
      </c>
      <c r="B792" s="15" t="s">
        <v>496</v>
      </c>
      <c r="C792" s="15" t="s">
        <v>567</v>
      </c>
      <c r="D792" s="15" t="s">
        <v>568</v>
      </c>
      <c r="E792" s="15" t="n">
        <v>3</v>
      </c>
      <c r="H792" s="10"/>
      <c r="I792" s="21"/>
      <c r="M792" s="10"/>
      <c r="N792" s="10"/>
      <c r="P792" s="10"/>
      <c r="Q792" s="22"/>
    </row>
    <row r="793" customFormat="false" ht="15.75" hidden="false" customHeight="false" outlineLevel="0" collapsed="false">
      <c r="A793" s="20" t="n">
        <v>46086</v>
      </c>
      <c r="B793" s="15" t="s">
        <v>496</v>
      </c>
      <c r="C793" s="15" t="s">
        <v>545</v>
      </c>
      <c r="D793" s="15" t="s">
        <v>546</v>
      </c>
      <c r="E793" s="15" t="n">
        <v>3</v>
      </c>
      <c r="H793" s="10"/>
      <c r="I793" s="21"/>
      <c r="M793" s="10"/>
      <c r="N793" s="10"/>
      <c r="P793" s="10"/>
      <c r="Q793" s="22"/>
    </row>
    <row r="794" customFormat="false" ht="15.75" hidden="false" customHeight="false" outlineLevel="0" collapsed="false">
      <c r="A794" s="20" t="n">
        <v>46086</v>
      </c>
      <c r="B794" s="15" t="s">
        <v>496</v>
      </c>
      <c r="C794" s="15" t="s">
        <v>547</v>
      </c>
      <c r="D794" s="15" t="s">
        <v>548</v>
      </c>
      <c r="E794" s="15" t="n">
        <v>1</v>
      </c>
      <c r="H794" s="10"/>
      <c r="I794" s="21"/>
      <c r="M794" s="10"/>
      <c r="N794" s="10"/>
      <c r="P794" s="10"/>
      <c r="Q794" s="22"/>
    </row>
    <row r="795" customFormat="false" ht="15.75" hidden="false" customHeight="false" outlineLevel="0" collapsed="false">
      <c r="A795" s="20" t="n">
        <v>46086</v>
      </c>
      <c r="B795" s="15" t="s">
        <v>496</v>
      </c>
      <c r="C795" s="15" t="s">
        <v>555</v>
      </c>
      <c r="D795" s="15" t="s">
        <v>556</v>
      </c>
      <c r="E795" s="15" t="n">
        <v>4</v>
      </c>
      <c r="H795" s="10"/>
      <c r="I795" s="21"/>
      <c r="M795" s="10"/>
      <c r="N795" s="10"/>
      <c r="P795" s="10"/>
      <c r="Q795" s="22"/>
    </row>
    <row r="796" customFormat="false" ht="15.75" hidden="false" customHeight="false" outlineLevel="0" collapsed="false">
      <c r="A796" s="20" t="n">
        <v>46086</v>
      </c>
      <c r="B796" s="15" t="s">
        <v>496</v>
      </c>
      <c r="C796" s="15" t="s">
        <v>541</v>
      </c>
      <c r="D796" s="15" t="s">
        <v>542</v>
      </c>
      <c r="E796" s="15" t="n">
        <v>4</v>
      </c>
      <c r="H796" s="10"/>
      <c r="I796" s="21"/>
      <c r="M796" s="10"/>
      <c r="N796" s="10"/>
      <c r="P796" s="10"/>
      <c r="Q796" s="22"/>
    </row>
    <row r="797" customFormat="false" ht="15.75" hidden="false" customHeight="false" outlineLevel="0" collapsed="false">
      <c r="A797" s="20" t="n">
        <v>46086</v>
      </c>
      <c r="B797" s="15" t="s">
        <v>496</v>
      </c>
      <c r="C797" s="15" t="s">
        <v>45</v>
      </c>
      <c r="D797" s="15" t="s">
        <v>540</v>
      </c>
      <c r="E797" s="15" t="n">
        <v>1</v>
      </c>
      <c r="H797" s="10"/>
      <c r="I797" s="21"/>
      <c r="M797" s="10"/>
      <c r="N797" s="10"/>
      <c r="P797" s="10"/>
      <c r="Q797" s="22"/>
    </row>
    <row r="798" customFormat="false" ht="15.75" hidden="false" customHeight="false" outlineLevel="0" collapsed="false">
      <c r="A798" s="20" t="n">
        <v>46086</v>
      </c>
      <c r="B798" s="15" t="s">
        <v>496</v>
      </c>
      <c r="C798" s="15" t="s">
        <v>37</v>
      </c>
      <c r="D798" s="15" t="s">
        <v>561</v>
      </c>
      <c r="E798" s="15" t="n">
        <v>1</v>
      </c>
      <c r="H798" s="10"/>
      <c r="I798" s="21"/>
      <c r="M798" s="10"/>
      <c r="N798" s="10"/>
      <c r="P798" s="10"/>
      <c r="Q798" s="22"/>
    </row>
    <row r="799" customFormat="false" ht="15.75" hidden="false" customHeight="false" outlineLevel="0" collapsed="false">
      <c r="A799" s="20" t="n">
        <v>46086</v>
      </c>
      <c r="B799" s="15" t="s">
        <v>496</v>
      </c>
      <c r="C799" s="15" t="s">
        <v>543</v>
      </c>
      <c r="D799" s="15" t="s">
        <v>544</v>
      </c>
      <c r="E799" s="15" t="n">
        <v>4</v>
      </c>
      <c r="H799" s="10"/>
      <c r="I799" s="21"/>
      <c r="M799" s="10"/>
      <c r="N799" s="10"/>
      <c r="P799" s="10"/>
      <c r="Q799" s="22"/>
    </row>
    <row r="800" customFormat="false" ht="15.75" hidden="false" customHeight="false" outlineLevel="0" collapsed="false">
      <c r="A800" s="20" t="n">
        <v>46086</v>
      </c>
      <c r="B800" s="15" t="s">
        <v>496</v>
      </c>
      <c r="C800" s="15" t="s">
        <v>69</v>
      </c>
      <c r="D800" s="15" t="s">
        <v>535</v>
      </c>
      <c r="E800" s="15" t="n">
        <v>2</v>
      </c>
      <c r="H800" s="10"/>
      <c r="I800" s="21"/>
      <c r="M800" s="10"/>
      <c r="N800" s="10"/>
      <c r="P800" s="10"/>
      <c r="Q800" s="22"/>
    </row>
    <row r="801" customFormat="false" ht="15.75" hidden="false" customHeight="false" outlineLevel="0" collapsed="false">
      <c r="A801" s="20" t="n">
        <v>46086</v>
      </c>
      <c r="B801" s="15" t="s">
        <v>496</v>
      </c>
      <c r="C801" s="15" t="s">
        <v>77</v>
      </c>
      <c r="D801" s="15" t="s">
        <v>78</v>
      </c>
      <c r="E801" s="15" t="n">
        <v>2</v>
      </c>
      <c r="H801" s="10"/>
      <c r="I801" s="21"/>
      <c r="M801" s="10"/>
      <c r="N801" s="10"/>
      <c r="P801" s="10"/>
      <c r="Q801" s="22"/>
    </row>
    <row r="802" customFormat="false" ht="15.75" hidden="false" customHeight="false" outlineLevel="0" collapsed="false">
      <c r="A802" s="20" t="n">
        <v>46086</v>
      </c>
      <c r="B802" s="15" t="s">
        <v>496</v>
      </c>
      <c r="C802" s="15" t="s">
        <v>59</v>
      </c>
      <c r="D802" s="15" t="s">
        <v>562</v>
      </c>
      <c r="E802" s="15" t="n">
        <v>2</v>
      </c>
      <c r="H802" s="10"/>
      <c r="I802" s="21"/>
      <c r="M802" s="10"/>
      <c r="N802" s="10"/>
      <c r="P802" s="10"/>
      <c r="Q802" s="22"/>
    </row>
    <row r="803" customFormat="false" ht="15.75" hidden="false" customHeight="false" outlineLevel="0" collapsed="false">
      <c r="A803" s="20" t="n">
        <v>46086</v>
      </c>
      <c r="B803" s="15" t="s">
        <v>496</v>
      </c>
      <c r="C803" s="15" t="s">
        <v>33</v>
      </c>
      <c r="D803" s="15" t="s">
        <v>536</v>
      </c>
      <c r="E803" s="15" t="n">
        <v>2</v>
      </c>
      <c r="H803" s="10"/>
      <c r="I803" s="21"/>
      <c r="M803" s="10"/>
      <c r="N803" s="10"/>
      <c r="P803" s="10"/>
      <c r="Q803" s="22"/>
    </row>
    <row r="804" customFormat="false" ht="15.75" hidden="false" customHeight="false" outlineLevel="0" collapsed="false">
      <c r="A804" s="20" t="n">
        <v>46086</v>
      </c>
      <c r="B804" s="15" t="s">
        <v>496</v>
      </c>
      <c r="C804" s="15" t="s">
        <v>79</v>
      </c>
      <c r="D804" s="15" t="s">
        <v>564</v>
      </c>
      <c r="E804" s="15" t="n">
        <v>1</v>
      </c>
      <c r="H804" s="10"/>
      <c r="I804" s="21"/>
      <c r="M804" s="10"/>
      <c r="N804" s="10"/>
      <c r="P804" s="10"/>
      <c r="Q804" s="22"/>
    </row>
    <row r="805" customFormat="false" ht="15.75" hidden="false" customHeight="false" outlineLevel="0" collapsed="false">
      <c r="A805" s="20" t="n">
        <v>46086</v>
      </c>
      <c r="B805" s="15" t="s">
        <v>496</v>
      </c>
      <c r="C805" s="15" t="s">
        <v>65</v>
      </c>
      <c r="D805" s="15" t="s">
        <v>580</v>
      </c>
      <c r="E805" s="15" t="n">
        <v>1</v>
      </c>
      <c r="H805" s="10"/>
      <c r="I805" s="21"/>
      <c r="M805" s="10"/>
      <c r="N805" s="10"/>
      <c r="P805" s="10"/>
      <c r="Q805" s="22"/>
    </row>
    <row r="806" customFormat="false" ht="15.75" hidden="false" customHeight="false" outlineLevel="0" collapsed="false">
      <c r="A806" s="20" t="n">
        <v>46086</v>
      </c>
      <c r="B806" s="15" t="s">
        <v>499</v>
      </c>
      <c r="C806" s="15" t="s">
        <v>543</v>
      </c>
      <c r="D806" s="15" t="s">
        <v>544</v>
      </c>
      <c r="E806" s="15" t="n">
        <v>1</v>
      </c>
      <c r="H806" s="10"/>
      <c r="I806" s="21"/>
      <c r="M806" s="10"/>
      <c r="N806" s="10"/>
      <c r="P806" s="10"/>
      <c r="Q806" s="22"/>
    </row>
    <row r="807" customFormat="false" ht="15.75" hidden="false" customHeight="false" outlineLevel="0" collapsed="false">
      <c r="A807" s="20" t="n">
        <v>46086</v>
      </c>
      <c r="B807" s="15" t="s">
        <v>499</v>
      </c>
      <c r="C807" s="15" t="s">
        <v>69</v>
      </c>
      <c r="D807" s="15" t="s">
        <v>535</v>
      </c>
      <c r="E807" s="15" t="n">
        <v>1</v>
      </c>
      <c r="H807" s="10"/>
      <c r="I807" s="21"/>
      <c r="M807" s="10"/>
      <c r="N807" s="10"/>
      <c r="P807" s="10"/>
      <c r="Q807" s="22"/>
    </row>
    <row r="808" customFormat="false" ht="15.75" hidden="false" customHeight="false" outlineLevel="0" collapsed="false">
      <c r="A808" s="20" t="n">
        <v>46086</v>
      </c>
      <c r="B808" s="15" t="s">
        <v>499</v>
      </c>
      <c r="C808" s="15" t="s">
        <v>33</v>
      </c>
      <c r="D808" s="15" t="s">
        <v>536</v>
      </c>
      <c r="E808" s="15" t="n">
        <v>2</v>
      </c>
      <c r="H808" s="10"/>
      <c r="I808" s="21"/>
      <c r="M808" s="10"/>
      <c r="N808" s="10"/>
      <c r="P808" s="10"/>
      <c r="Q808" s="22"/>
    </row>
    <row r="809" customFormat="false" ht="15.75" hidden="false" customHeight="false" outlineLevel="0" collapsed="false">
      <c r="A809" s="20" t="n">
        <v>46086</v>
      </c>
      <c r="B809" s="15" t="s">
        <v>499</v>
      </c>
      <c r="C809" s="15" t="s">
        <v>55</v>
      </c>
      <c r="D809" s="15" t="s">
        <v>539</v>
      </c>
      <c r="E809" s="15" t="n">
        <v>1</v>
      </c>
      <c r="H809" s="10"/>
      <c r="I809" s="21"/>
      <c r="M809" s="10"/>
      <c r="N809" s="10"/>
      <c r="P809" s="10"/>
      <c r="Q809" s="22"/>
    </row>
    <row r="810" customFormat="false" ht="15.75" hidden="false" customHeight="false" outlineLevel="0" collapsed="false">
      <c r="A810" s="20" t="n">
        <v>46086</v>
      </c>
      <c r="B810" s="15" t="s">
        <v>499</v>
      </c>
      <c r="C810" s="15" t="s">
        <v>59</v>
      </c>
      <c r="D810" s="15" t="s">
        <v>562</v>
      </c>
      <c r="E810" s="15" t="n">
        <v>1</v>
      </c>
      <c r="H810" s="10"/>
      <c r="I810" s="21"/>
      <c r="M810" s="10"/>
      <c r="N810" s="10"/>
      <c r="P810" s="10"/>
      <c r="Q810" s="22"/>
    </row>
    <row r="811" customFormat="false" ht="15.75" hidden="false" customHeight="false" outlineLevel="0" collapsed="false">
      <c r="A811" s="20" t="n">
        <v>46086</v>
      </c>
      <c r="B811" s="15" t="s">
        <v>499</v>
      </c>
      <c r="C811" s="15" t="s">
        <v>47</v>
      </c>
      <c r="D811" s="15" t="s">
        <v>549</v>
      </c>
      <c r="E811" s="15" t="n">
        <v>1</v>
      </c>
      <c r="H811" s="10"/>
      <c r="I811" s="21"/>
      <c r="M811" s="10"/>
      <c r="N811" s="10"/>
      <c r="P811" s="10"/>
      <c r="Q811" s="22"/>
    </row>
    <row r="812" customFormat="false" ht="15.75" hidden="false" customHeight="false" outlineLevel="0" collapsed="false">
      <c r="A812" s="20" t="n">
        <v>46086</v>
      </c>
      <c r="B812" s="15" t="s">
        <v>499</v>
      </c>
      <c r="C812" s="15" t="s">
        <v>75</v>
      </c>
      <c r="D812" s="15" t="s">
        <v>560</v>
      </c>
      <c r="E812" s="15" t="n">
        <v>1</v>
      </c>
      <c r="H812" s="10"/>
      <c r="I812" s="21"/>
      <c r="M812" s="10"/>
      <c r="N812" s="10"/>
      <c r="P812" s="10"/>
      <c r="Q812" s="22"/>
    </row>
    <row r="813" customFormat="false" ht="15.75" hidden="false" customHeight="false" outlineLevel="0" collapsed="false">
      <c r="A813" s="20" t="n">
        <v>46086</v>
      </c>
      <c r="B813" s="15" t="s">
        <v>499</v>
      </c>
      <c r="C813" s="15" t="s">
        <v>81</v>
      </c>
      <c r="D813" s="15" t="s">
        <v>534</v>
      </c>
      <c r="E813" s="15" t="n">
        <v>7</v>
      </c>
      <c r="H813" s="10"/>
      <c r="I813" s="21"/>
      <c r="M813" s="10"/>
      <c r="N813" s="10"/>
      <c r="P813" s="10"/>
      <c r="Q813" s="22"/>
    </row>
    <row r="814" customFormat="false" ht="15.75" hidden="false" customHeight="false" outlineLevel="0" collapsed="false">
      <c r="A814" s="20" t="n">
        <v>46086</v>
      </c>
      <c r="B814" s="15" t="s">
        <v>499</v>
      </c>
      <c r="C814" s="15" t="s">
        <v>77</v>
      </c>
      <c r="D814" s="15" t="s">
        <v>78</v>
      </c>
      <c r="E814" s="15" t="n">
        <v>2</v>
      </c>
      <c r="H814" s="10"/>
      <c r="I814" s="21"/>
      <c r="M814" s="10"/>
      <c r="N814" s="10"/>
      <c r="P814" s="10"/>
      <c r="Q814" s="22"/>
    </row>
    <row r="815" customFormat="false" ht="15.75" hidden="false" customHeight="false" outlineLevel="0" collapsed="false">
      <c r="A815" s="20" t="n">
        <v>46086</v>
      </c>
      <c r="B815" s="15" t="s">
        <v>505</v>
      </c>
      <c r="C815" s="15" t="s">
        <v>55</v>
      </c>
      <c r="D815" s="15" t="s">
        <v>539</v>
      </c>
      <c r="E815" s="15" t="n">
        <v>6</v>
      </c>
      <c r="H815" s="10"/>
      <c r="I815" s="21"/>
      <c r="M815" s="10"/>
      <c r="N815" s="10"/>
      <c r="P815" s="10"/>
      <c r="Q815" s="22"/>
    </row>
    <row r="816" customFormat="false" ht="15.75" hidden="false" customHeight="false" outlineLevel="0" collapsed="false">
      <c r="A816" s="20" t="n">
        <v>46086</v>
      </c>
      <c r="B816" s="15" t="s">
        <v>505</v>
      </c>
      <c r="C816" s="15" t="s">
        <v>39</v>
      </c>
      <c r="D816" s="15" t="s">
        <v>550</v>
      </c>
      <c r="E816" s="15" t="n">
        <v>1</v>
      </c>
      <c r="H816" s="10"/>
      <c r="I816" s="21"/>
      <c r="M816" s="10"/>
      <c r="N816" s="10"/>
      <c r="P816" s="10"/>
      <c r="Q816" s="22"/>
    </row>
    <row r="817" customFormat="false" ht="15.75" hidden="false" customHeight="false" outlineLevel="0" collapsed="false">
      <c r="A817" s="20" t="n">
        <v>46086</v>
      </c>
      <c r="B817" s="15" t="s">
        <v>505</v>
      </c>
      <c r="C817" s="15" t="s">
        <v>81</v>
      </c>
      <c r="D817" s="15" t="s">
        <v>534</v>
      </c>
      <c r="E817" s="15" t="n">
        <v>9</v>
      </c>
      <c r="H817" s="10"/>
      <c r="I817" s="21"/>
      <c r="M817" s="10"/>
      <c r="N817" s="10"/>
      <c r="P817" s="10"/>
      <c r="Q817" s="22"/>
    </row>
    <row r="818" customFormat="false" ht="15.75" hidden="false" customHeight="false" outlineLevel="0" collapsed="false">
      <c r="A818" s="20" t="n">
        <v>46086</v>
      </c>
      <c r="B818" s="15" t="s">
        <v>505</v>
      </c>
      <c r="C818" s="15" t="s">
        <v>47</v>
      </c>
      <c r="D818" s="15" t="s">
        <v>549</v>
      </c>
      <c r="E818" s="15" t="n">
        <v>3</v>
      </c>
      <c r="H818" s="10"/>
      <c r="I818" s="21"/>
      <c r="M818" s="10"/>
      <c r="N818" s="10"/>
      <c r="P818" s="10"/>
      <c r="Q818" s="22"/>
    </row>
    <row r="819" customFormat="false" ht="15.75" hidden="false" customHeight="false" outlineLevel="0" collapsed="false">
      <c r="A819" s="20" t="n">
        <v>46086</v>
      </c>
      <c r="B819" s="15" t="s">
        <v>505</v>
      </c>
      <c r="C819" s="15" t="s">
        <v>63</v>
      </c>
      <c r="D819" s="15" t="s">
        <v>551</v>
      </c>
      <c r="E819" s="15" t="n">
        <v>1</v>
      </c>
      <c r="H819" s="10"/>
      <c r="I819" s="21"/>
      <c r="M819" s="10"/>
      <c r="N819" s="10"/>
      <c r="P819" s="10"/>
      <c r="Q819" s="22"/>
    </row>
    <row r="820" customFormat="false" ht="15.75" hidden="false" customHeight="false" outlineLevel="0" collapsed="false">
      <c r="A820" s="20" t="n">
        <v>46086</v>
      </c>
      <c r="B820" s="15" t="s">
        <v>505</v>
      </c>
      <c r="C820" s="15" t="s">
        <v>17</v>
      </c>
      <c r="D820" s="15" t="s">
        <v>554</v>
      </c>
      <c r="E820" s="15" t="n">
        <v>1</v>
      </c>
      <c r="H820" s="10"/>
      <c r="I820" s="21"/>
      <c r="M820" s="10"/>
      <c r="N820" s="10"/>
      <c r="P820" s="10"/>
      <c r="Q820" s="22"/>
    </row>
    <row r="821" customFormat="false" ht="15.75" hidden="false" customHeight="false" outlineLevel="0" collapsed="false">
      <c r="A821" s="20" t="n">
        <v>46086</v>
      </c>
      <c r="B821" s="15" t="s">
        <v>508</v>
      </c>
      <c r="C821" s="15" t="s">
        <v>55</v>
      </c>
      <c r="D821" s="15" t="s">
        <v>539</v>
      </c>
      <c r="E821" s="15" t="n">
        <v>5</v>
      </c>
      <c r="H821" s="10"/>
      <c r="I821" s="21"/>
      <c r="M821" s="10"/>
      <c r="N821" s="10"/>
      <c r="P821" s="10"/>
      <c r="Q821" s="22"/>
    </row>
    <row r="822" customFormat="false" ht="15.75" hidden="false" customHeight="false" outlineLevel="0" collapsed="false">
      <c r="A822" s="20" t="n">
        <v>46086</v>
      </c>
      <c r="B822" s="15" t="s">
        <v>508</v>
      </c>
      <c r="C822" s="15" t="s">
        <v>81</v>
      </c>
      <c r="D822" s="15" t="s">
        <v>534</v>
      </c>
      <c r="E822" s="15" t="n">
        <v>9</v>
      </c>
      <c r="H822" s="10"/>
      <c r="I822" s="21"/>
      <c r="M822" s="10"/>
      <c r="N822" s="10"/>
      <c r="P822" s="10"/>
      <c r="Q822" s="22"/>
    </row>
    <row r="823" customFormat="false" ht="15.75" hidden="false" customHeight="false" outlineLevel="0" collapsed="false">
      <c r="A823" s="20" t="n">
        <v>46086</v>
      </c>
      <c r="B823" s="15" t="s">
        <v>508</v>
      </c>
      <c r="C823" s="15" t="s">
        <v>39</v>
      </c>
      <c r="D823" s="15" t="s">
        <v>550</v>
      </c>
      <c r="E823" s="15" t="n">
        <v>2</v>
      </c>
      <c r="H823" s="10"/>
      <c r="I823" s="21"/>
      <c r="M823" s="10"/>
      <c r="N823" s="10"/>
      <c r="P823" s="10"/>
      <c r="Q823" s="22"/>
    </row>
    <row r="824" customFormat="false" ht="15.75" hidden="false" customHeight="false" outlineLevel="0" collapsed="false">
      <c r="A824" s="20" t="n">
        <v>46086</v>
      </c>
      <c r="B824" s="15" t="s">
        <v>508</v>
      </c>
      <c r="C824" s="15" t="s">
        <v>47</v>
      </c>
      <c r="D824" s="15" t="s">
        <v>549</v>
      </c>
      <c r="E824" s="15" t="n">
        <v>2</v>
      </c>
      <c r="H824" s="10"/>
      <c r="I824" s="21"/>
      <c r="M824" s="10"/>
      <c r="N824" s="10"/>
      <c r="P824" s="10"/>
      <c r="Q824" s="22"/>
    </row>
    <row r="825" customFormat="false" ht="15.75" hidden="false" customHeight="false" outlineLevel="0" collapsed="false">
      <c r="A825" s="20" t="n">
        <v>46086</v>
      </c>
      <c r="B825" s="15" t="s">
        <v>508</v>
      </c>
      <c r="C825" s="15" t="s">
        <v>63</v>
      </c>
      <c r="D825" s="15" t="s">
        <v>551</v>
      </c>
      <c r="E825" s="15" t="n">
        <v>1</v>
      </c>
      <c r="H825" s="10"/>
      <c r="I825" s="21"/>
      <c r="M825" s="10"/>
      <c r="N825" s="10"/>
      <c r="P825" s="10"/>
      <c r="Q825" s="22"/>
    </row>
    <row r="826" customFormat="false" ht="15.75" hidden="false" customHeight="false" outlineLevel="0" collapsed="false">
      <c r="A826" s="20" t="n">
        <v>46086</v>
      </c>
      <c r="B826" s="15" t="s">
        <v>514</v>
      </c>
      <c r="C826" s="15" t="s">
        <v>55</v>
      </c>
      <c r="D826" s="15" t="s">
        <v>539</v>
      </c>
      <c r="E826" s="15" t="n">
        <v>5</v>
      </c>
      <c r="H826" s="10"/>
      <c r="I826" s="21"/>
      <c r="M826" s="10"/>
      <c r="N826" s="10"/>
      <c r="P826" s="10"/>
      <c r="Q826" s="22"/>
    </row>
    <row r="827" customFormat="false" ht="15.75" hidden="false" customHeight="false" outlineLevel="0" collapsed="false">
      <c r="A827" s="20" t="n">
        <v>46086</v>
      </c>
      <c r="B827" s="15" t="s">
        <v>514</v>
      </c>
      <c r="C827" s="15" t="s">
        <v>57</v>
      </c>
      <c r="D827" s="15" t="s">
        <v>553</v>
      </c>
      <c r="E827" s="15" t="n">
        <v>1</v>
      </c>
      <c r="H827" s="10"/>
      <c r="I827" s="21"/>
      <c r="M827" s="10"/>
      <c r="N827" s="10"/>
      <c r="P827" s="10"/>
      <c r="Q827" s="22"/>
    </row>
    <row r="828" customFormat="false" ht="15.75" hidden="false" customHeight="false" outlineLevel="0" collapsed="false">
      <c r="A828" s="20" t="n">
        <v>46086</v>
      </c>
      <c r="B828" s="15" t="s">
        <v>514</v>
      </c>
      <c r="C828" s="15" t="s">
        <v>49</v>
      </c>
      <c r="D828" s="15" t="s">
        <v>537</v>
      </c>
      <c r="E828" s="15" t="n">
        <v>1</v>
      </c>
      <c r="H828" s="10"/>
      <c r="I828" s="21"/>
      <c r="M828" s="10"/>
      <c r="N828" s="10"/>
      <c r="P828" s="10"/>
      <c r="Q828" s="22"/>
    </row>
    <row r="829" customFormat="false" ht="15.75" hidden="false" customHeight="false" outlineLevel="0" collapsed="false">
      <c r="A829" s="20" t="n">
        <v>46086</v>
      </c>
      <c r="B829" s="15" t="s">
        <v>514</v>
      </c>
      <c r="C829" s="15" t="s">
        <v>47</v>
      </c>
      <c r="D829" s="15" t="s">
        <v>549</v>
      </c>
      <c r="E829" s="15" t="n">
        <v>4</v>
      </c>
      <c r="H829" s="10"/>
      <c r="I829" s="21"/>
      <c r="M829" s="10"/>
      <c r="N829" s="10"/>
      <c r="P829" s="10"/>
      <c r="Q829" s="22"/>
    </row>
    <row r="830" customFormat="false" ht="15.75" hidden="false" customHeight="false" outlineLevel="0" collapsed="false">
      <c r="A830" s="20" t="n">
        <v>46086</v>
      </c>
      <c r="B830" s="15" t="s">
        <v>514</v>
      </c>
      <c r="C830" s="15" t="s">
        <v>81</v>
      </c>
      <c r="D830" s="15" t="s">
        <v>534</v>
      </c>
      <c r="E830" s="15" t="n">
        <v>7</v>
      </c>
      <c r="H830" s="10"/>
      <c r="I830" s="21"/>
      <c r="M830" s="10"/>
      <c r="N830" s="10"/>
      <c r="P830" s="10"/>
      <c r="Q830" s="22"/>
    </row>
    <row r="831" customFormat="false" ht="15.75" hidden="false" customHeight="false" outlineLevel="0" collapsed="false">
      <c r="A831" s="20" t="n">
        <v>46086</v>
      </c>
      <c r="B831" s="15" t="s">
        <v>514</v>
      </c>
      <c r="C831" s="15" t="s">
        <v>63</v>
      </c>
      <c r="D831" s="15" t="s">
        <v>551</v>
      </c>
      <c r="E831" s="15" t="n">
        <v>1</v>
      </c>
      <c r="H831" s="10"/>
      <c r="I831" s="21"/>
      <c r="M831" s="10"/>
      <c r="N831" s="10"/>
      <c r="P831" s="10"/>
      <c r="Q831" s="22"/>
    </row>
    <row r="832" customFormat="false" ht="15.75" hidden="false" customHeight="false" outlineLevel="0" collapsed="false">
      <c r="A832" s="20" t="n">
        <v>46086</v>
      </c>
      <c r="B832" s="15" t="s">
        <v>514</v>
      </c>
      <c r="C832" s="15" t="s">
        <v>17</v>
      </c>
      <c r="D832" s="15" t="s">
        <v>554</v>
      </c>
      <c r="E832" s="15" t="n">
        <v>1</v>
      </c>
      <c r="H832" s="10"/>
      <c r="I832" s="21"/>
      <c r="M832" s="10"/>
      <c r="N832" s="10"/>
      <c r="P832" s="10"/>
      <c r="Q832" s="22"/>
    </row>
    <row r="833" customFormat="false" ht="15.75" hidden="false" customHeight="false" outlineLevel="0" collapsed="false">
      <c r="A833" s="20" t="n">
        <v>46086</v>
      </c>
      <c r="B833" s="15" t="s">
        <v>524</v>
      </c>
      <c r="C833" s="15" t="s">
        <v>69</v>
      </c>
      <c r="D833" s="15" t="s">
        <v>535</v>
      </c>
      <c r="E833" s="15" t="n">
        <v>6</v>
      </c>
      <c r="H833" s="10"/>
      <c r="I833" s="21"/>
      <c r="M833" s="10"/>
      <c r="N833" s="10"/>
      <c r="P833" s="10"/>
      <c r="Q833" s="22"/>
    </row>
    <row r="834" customFormat="false" ht="15.75" hidden="false" customHeight="false" outlineLevel="0" collapsed="false">
      <c r="A834" s="20" t="n">
        <v>46086</v>
      </c>
      <c r="B834" s="15" t="s">
        <v>524</v>
      </c>
      <c r="C834" s="15" t="s">
        <v>33</v>
      </c>
      <c r="D834" s="15" t="s">
        <v>536</v>
      </c>
      <c r="E834" s="15" t="n">
        <v>6</v>
      </c>
      <c r="H834" s="10"/>
      <c r="I834" s="21"/>
      <c r="M834" s="10"/>
      <c r="N834" s="10"/>
      <c r="P834" s="10"/>
      <c r="Q834" s="22"/>
    </row>
    <row r="835" customFormat="false" ht="15.75" hidden="false" customHeight="false" outlineLevel="0" collapsed="false">
      <c r="A835" s="20" t="n">
        <v>46086</v>
      </c>
      <c r="B835" s="15" t="s">
        <v>524</v>
      </c>
      <c r="C835" s="15" t="s">
        <v>55</v>
      </c>
      <c r="D835" s="15" t="s">
        <v>539</v>
      </c>
      <c r="E835" s="15" t="n">
        <v>4</v>
      </c>
      <c r="H835" s="10"/>
      <c r="I835" s="21"/>
      <c r="M835" s="10"/>
      <c r="N835" s="10"/>
      <c r="P835" s="10"/>
      <c r="Q835" s="22"/>
    </row>
    <row r="836" customFormat="false" ht="15.75" hidden="false" customHeight="false" outlineLevel="0" collapsed="false">
      <c r="A836" s="20" t="n">
        <v>46086</v>
      </c>
      <c r="B836" s="15" t="s">
        <v>524</v>
      </c>
      <c r="C836" s="15" t="s">
        <v>81</v>
      </c>
      <c r="D836" s="15" t="s">
        <v>534</v>
      </c>
      <c r="E836" s="15" t="n">
        <v>3</v>
      </c>
      <c r="H836" s="10"/>
      <c r="I836" s="21"/>
      <c r="M836" s="10"/>
      <c r="N836" s="10"/>
      <c r="P836" s="10"/>
      <c r="Q836" s="22"/>
    </row>
    <row r="837" customFormat="false" ht="15.75" hidden="false" customHeight="false" outlineLevel="0" collapsed="false">
      <c r="A837" s="20" t="n">
        <v>46086</v>
      </c>
      <c r="B837" s="15" t="s">
        <v>524</v>
      </c>
      <c r="C837" s="15" t="s">
        <v>37</v>
      </c>
      <c r="D837" s="15" t="s">
        <v>561</v>
      </c>
      <c r="E837" s="15" t="n">
        <v>1</v>
      </c>
      <c r="H837" s="10"/>
      <c r="I837" s="21"/>
      <c r="M837" s="10"/>
      <c r="N837" s="10"/>
      <c r="P837" s="10"/>
      <c r="Q837" s="22"/>
    </row>
    <row r="838" customFormat="false" ht="15.75" hidden="false" customHeight="false" outlineLevel="0" collapsed="false">
      <c r="A838" s="20" t="n">
        <v>46086</v>
      </c>
      <c r="B838" s="15" t="s">
        <v>524</v>
      </c>
      <c r="C838" s="15" t="s">
        <v>547</v>
      </c>
      <c r="D838" s="15" t="s">
        <v>548</v>
      </c>
      <c r="E838" s="15" t="n">
        <v>1</v>
      </c>
      <c r="H838" s="10"/>
      <c r="I838" s="21"/>
      <c r="M838" s="10"/>
      <c r="N838" s="10"/>
      <c r="P838" s="10"/>
      <c r="Q838" s="22"/>
    </row>
    <row r="839" customFormat="false" ht="15.75" hidden="false" customHeight="false" outlineLevel="0" collapsed="false">
      <c r="A839" s="20" t="n">
        <v>46087</v>
      </c>
      <c r="B839" s="15" t="s">
        <v>477</v>
      </c>
      <c r="C839" s="15" t="s">
        <v>69</v>
      </c>
      <c r="D839" s="15" t="s">
        <v>535</v>
      </c>
      <c r="E839" s="15" t="n">
        <v>3</v>
      </c>
      <c r="H839" s="10"/>
      <c r="I839" s="21"/>
      <c r="M839" s="10"/>
      <c r="N839" s="10"/>
      <c r="P839" s="10"/>
      <c r="Q839" s="22"/>
    </row>
    <row r="840" customFormat="false" ht="15.75" hidden="false" customHeight="false" outlineLevel="0" collapsed="false">
      <c r="A840" s="20" t="n">
        <v>46087</v>
      </c>
      <c r="B840" s="15" t="s">
        <v>477</v>
      </c>
      <c r="C840" s="15" t="s">
        <v>547</v>
      </c>
      <c r="D840" s="15" t="s">
        <v>548</v>
      </c>
      <c r="E840" s="15" t="n">
        <v>3</v>
      </c>
      <c r="H840" s="10"/>
      <c r="I840" s="21"/>
      <c r="M840" s="10"/>
      <c r="N840" s="10"/>
      <c r="P840" s="10"/>
      <c r="Q840" s="22"/>
    </row>
    <row r="841" customFormat="false" ht="15.75" hidden="false" customHeight="false" outlineLevel="0" collapsed="false">
      <c r="A841" s="20" t="n">
        <v>46087</v>
      </c>
      <c r="B841" s="15" t="s">
        <v>477</v>
      </c>
      <c r="C841" s="15" t="s">
        <v>25</v>
      </c>
      <c r="D841" s="15" t="s">
        <v>26</v>
      </c>
      <c r="E841" s="15" t="n">
        <v>3</v>
      </c>
      <c r="H841" s="10"/>
      <c r="I841" s="21"/>
      <c r="M841" s="10"/>
      <c r="N841" s="10"/>
      <c r="P841" s="10"/>
      <c r="Q841" s="22"/>
    </row>
    <row r="842" customFormat="false" ht="15.75" hidden="false" customHeight="false" outlineLevel="0" collapsed="false">
      <c r="A842" s="20" t="n">
        <v>46087</v>
      </c>
      <c r="B842" s="15" t="s">
        <v>491</v>
      </c>
      <c r="C842" s="15" t="s">
        <v>37</v>
      </c>
      <c r="D842" s="15" t="s">
        <v>561</v>
      </c>
      <c r="E842" s="15" t="n">
        <v>1</v>
      </c>
      <c r="H842" s="10"/>
      <c r="I842" s="21"/>
      <c r="M842" s="10"/>
      <c r="N842" s="10"/>
      <c r="P842" s="10"/>
      <c r="Q842" s="22"/>
    </row>
    <row r="843" customFormat="false" ht="15.75" hidden="false" customHeight="false" outlineLevel="0" collapsed="false">
      <c r="A843" s="20" t="n">
        <v>46087</v>
      </c>
      <c r="B843" s="15" t="s">
        <v>491</v>
      </c>
      <c r="C843" s="15" t="s">
        <v>81</v>
      </c>
      <c r="D843" s="15" t="s">
        <v>534</v>
      </c>
      <c r="E843" s="15" t="n">
        <v>8</v>
      </c>
      <c r="H843" s="10"/>
      <c r="I843" s="21"/>
      <c r="M843" s="10"/>
      <c r="N843" s="10"/>
      <c r="P843" s="10"/>
      <c r="Q843" s="22"/>
    </row>
    <row r="844" customFormat="false" ht="15.75" hidden="false" customHeight="false" outlineLevel="0" collapsed="false">
      <c r="A844" s="20" t="n">
        <v>46087</v>
      </c>
      <c r="B844" s="15" t="s">
        <v>491</v>
      </c>
      <c r="C844" s="15" t="s">
        <v>75</v>
      </c>
      <c r="D844" s="15" t="s">
        <v>560</v>
      </c>
      <c r="E844" s="15" t="n">
        <v>1</v>
      </c>
      <c r="H844" s="10"/>
      <c r="I844" s="21"/>
      <c r="M844" s="10"/>
      <c r="N844" s="10"/>
      <c r="P844" s="10"/>
      <c r="Q844" s="22"/>
    </row>
    <row r="845" customFormat="false" ht="15.75" hidden="false" customHeight="false" outlineLevel="0" collapsed="false">
      <c r="A845" s="20" t="n">
        <v>46087</v>
      </c>
      <c r="B845" s="15" t="s">
        <v>491</v>
      </c>
      <c r="C845" s="15" t="s">
        <v>69</v>
      </c>
      <c r="D845" s="15" t="s">
        <v>535</v>
      </c>
      <c r="E845" s="15" t="n">
        <v>6</v>
      </c>
      <c r="H845" s="10"/>
      <c r="I845" s="21"/>
      <c r="M845" s="10"/>
      <c r="N845" s="10"/>
      <c r="P845" s="10"/>
      <c r="Q845" s="22"/>
    </row>
    <row r="846" customFormat="false" ht="15.75" hidden="false" customHeight="false" outlineLevel="0" collapsed="false">
      <c r="A846" s="20" t="n">
        <v>46087</v>
      </c>
      <c r="B846" s="15" t="s">
        <v>491</v>
      </c>
      <c r="C846" s="15" t="s">
        <v>547</v>
      </c>
      <c r="D846" s="15" t="s">
        <v>548</v>
      </c>
      <c r="E846" s="15" t="n">
        <v>1</v>
      </c>
      <c r="H846" s="10"/>
      <c r="I846" s="21"/>
      <c r="M846" s="10"/>
      <c r="N846" s="10"/>
      <c r="P846" s="10"/>
      <c r="Q846" s="22"/>
    </row>
    <row r="847" customFormat="false" ht="15.75" hidden="false" customHeight="false" outlineLevel="0" collapsed="false">
      <c r="A847" s="20" t="n">
        <v>46087</v>
      </c>
      <c r="B847" s="15" t="s">
        <v>491</v>
      </c>
      <c r="C847" s="15" t="s">
        <v>31</v>
      </c>
      <c r="D847" s="15" t="s">
        <v>559</v>
      </c>
      <c r="E847" s="15" t="n">
        <v>2</v>
      </c>
      <c r="H847" s="10"/>
      <c r="I847" s="21"/>
      <c r="M847" s="10"/>
      <c r="N847" s="10"/>
      <c r="P847" s="10"/>
      <c r="Q847" s="22"/>
    </row>
    <row r="848" customFormat="false" ht="15.75" hidden="false" customHeight="false" outlineLevel="0" collapsed="false">
      <c r="A848" s="20" t="n">
        <v>46087</v>
      </c>
      <c r="B848" s="15" t="s">
        <v>491</v>
      </c>
      <c r="C848" s="15" t="s">
        <v>545</v>
      </c>
      <c r="D848" s="15" t="s">
        <v>546</v>
      </c>
      <c r="E848" s="15" t="n">
        <v>2</v>
      </c>
      <c r="H848" s="10"/>
      <c r="I848" s="21"/>
      <c r="M848" s="10"/>
      <c r="N848" s="10"/>
      <c r="P848" s="10"/>
      <c r="Q848" s="22"/>
    </row>
    <row r="849" customFormat="false" ht="15.75" hidden="false" customHeight="false" outlineLevel="0" collapsed="false">
      <c r="A849" s="20" t="n">
        <v>46087</v>
      </c>
      <c r="B849" s="15" t="s">
        <v>491</v>
      </c>
      <c r="C849" s="15" t="s">
        <v>543</v>
      </c>
      <c r="D849" s="15" t="s">
        <v>544</v>
      </c>
      <c r="E849" s="15" t="n">
        <v>4</v>
      </c>
      <c r="H849" s="10"/>
      <c r="I849" s="21"/>
      <c r="M849" s="10"/>
      <c r="N849" s="10"/>
      <c r="P849" s="10"/>
      <c r="Q849" s="22"/>
    </row>
    <row r="850" customFormat="false" ht="15.75" hidden="false" customHeight="false" outlineLevel="0" collapsed="false">
      <c r="A850" s="20" t="n">
        <v>46087</v>
      </c>
      <c r="B850" s="15" t="s">
        <v>491</v>
      </c>
      <c r="C850" s="15" t="s">
        <v>541</v>
      </c>
      <c r="D850" s="15" t="s">
        <v>542</v>
      </c>
      <c r="E850" s="15" t="n">
        <v>2</v>
      </c>
      <c r="H850" s="10"/>
      <c r="I850" s="21"/>
      <c r="M850" s="10"/>
      <c r="N850" s="10"/>
      <c r="P850" s="10"/>
      <c r="Q850" s="22"/>
    </row>
    <row r="851" customFormat="false" ht="15.75" hidden="false" customHeight="false" outlineLevel="0" collapsed="false">
      <c r="A851" s="20" t="n">
        <v>46087</v>
      </c>
      <c r="B851" s="15" t="s">
        <v>491</v>
      </c>
      <c r="C851" s="15" t="s">
        <v>49</v>
      </c>
      <c r="D851" s="15" t="s">
        <v>537</v>
      </c>
      <c r="E851" s="15" t="n">
        <v>1</v>
      </c>
      <c r="H851" s="10"/>
      <c r="I851" s="21"/>
      <c r="M851" s="10"/>
      <c r="N851" s="10"/>
      <c r="P851" s="10"/>
      <c r="Q851" s="22"/>
    </row>
    <row r="852" customFormat="false" ht="15.75" hidden="false" customHeight="false" outlineLevel="0" collapsed="false">
      <c r="A852" s="20" t="n">
        <v>46087</v>
      </c>
      <c r="B852" s="15" t="s">
        <v>491</v>
      </c>
      <c r="C852" s="15" t="s">
        <v>33</v>
      </c>
      <c r="D852" s="15" t="s">
        <v>536</v>
      </c>
      <c r="E852" s="15" t="n">
        <v>5</v>
      </c>
      <c r="H852" s="10"/>
      <c r="I852" s="21"/>
      <c r="M852" s="10"/>
      <c r="N852" s="10"/>
      <c r="P852" s="10"/>
      <c r="Q852" s="22"/>
    </row>
    <row r="853" customFormat="false" ht="15.75" hidden="false" customHeight="false" outlineLevel="0" collapsed="false">
      <c r="A853" s="20" t="n">
        <v>46087</v>
      </c>
      <c r="B853" s="15" t="s">
        <v>491</v>
      </c>
      <c r="C853" s="15" t="s">
        <v>77</v>
      </c>
      <c r="D853" s="15" t="s">
        <v>78</v>
      </c>
      <c r="E853" s="15" t="n">
        <v>3</v>
      </c>
      <c r="H853" s="10"/>
      <c r="I853" s="21"/>
      <c r="M853" s="10"/>
      <c r="N853" s="10"/>
      <c r="P853" s="10"/>
      <c r="Q853" s="22"/>
    </row>
    <row r="854" customFormat="false" ht="15.75" hidden="false" customHeight="false" outlineLevel="0" collapsed="false">
      <c r="A854" s="20" t="n">
        <v>46087</v>
      </c>
      <c r="B854" s="15" t="s">
        <v>491</v>
      </c>
      <c r="C854" s="15" t="s">
        <v>47</v>
      </c>
      <c r="D854" s="15" t="s">
        <v>549</v>
      </c>
      <c r="E854" s="15" t="n">
        <v>1</v>
      </c>
      <c r="H854" s="10"/>
      <c r="I854" s="21"/>
      <c r="M854" s="10"/>
      <c r="N854" s="10"/>
      <c r="P854" s="10"/>
      <c r="Q854" s="22"/>
    </row>
    <row r="855" customFormat="false" ht="15.75" hidden="false" customHeight="false" outlineLevel="0" collapsed="false">
      <c r="A855" s="20" t="n">
        <v>46087</v>
      </c>
      <c r="B855" s="15" t="s">
        <v>491</v>
      </c>
      <c r="C855" s="15" t="s">
        <v>55</v>
      </c>
      <c r="D855" s="15" t="s">
        <v>539</v>
      </c>
      <c r="E855" s="15" t="n">
        <v>1</v>
      </c>
      <c r="H855" s="10"/>
      <c r="I855" s="21"/>
      <c r="M855" s="10"/>
      <c r="N855" s="10"/>
      <c r="P855" s="10"/>
      <c r="Q855" s="22"/>
    </row>
    <row r="856" customFormat="false" ht="15.75" hidden="false" customHeight="false" outlineLevel="0" collapsed="false">
      <c r="A856" s="20" t="n">
        <v>46087</v>
      </c>
      <c r="B856" s="15" t="s">
        <v>491</v>
      </c>
      <c r="C856" s="15" t="s">
        <v>59</v>
      </c>
      <c r="D856" s="15" t="s">
        <v>562</v>
      </c>
      <c r="E856" s="15" t="n">
        <v>1</v>
      </c>
      <c r="H856" s="10"/>
      <c r="I856" s="21"/>
      <c r="M856" s="10"/>
      <c r="N856" s="10"/>
      <c r="P856" s="10"/>
      <c r="Q856" s="22"/>
    </row>
    <row r="857" customFormat="false" ht="15.75" hidden="false" customHeight="false" outlineLevel="0" collapsed="false">
      <c r="A857" s="20" t="n">
        <v>46087</v>
      </c>
      <c r="B857" s="15" t="s">
        <v>491</v>
      </c>
      <c r="C857" s="15" t="s">
        <v>43</v>
      </c>
      <c r="D857" s="15" t="s">
        <v>538</v>
      </c>
      <c r="E857" s="15" t="n">
        <v>1</v>
      </c>
      <c r="H857" s="10"/>
      <c r="I857" s="21"/>
      <c r="M857" s="10"/>
      <c r="N857" s="10"/>
      <c r="P857" s="10"/>
      <c r="Q857" s="22"/>
    </row>
    <row r="858" customFormat="false" ht="15.75" hidden="false" customHeight="false" outlineLevel="0" collapsed="false">
      <c r="A858" s="20" t="n">
        <v>46087</v>
      </c>
      <c r="B858" s="15" t="s">
        <v>491</v>
      </c>
      <c r="C858" s="15" t="s">
        <v>87</v>
      </c>
      <c r="D858" s="15" t="s">
        <v>563</v>
      </c>
      <c r="E858" s="15" t="n">
        <v>1</v>
      </c>
      <c r="H858" s="10"/>
      <c r="I858" s="21"/>
      <c r="M858" s="10"/>
      <c r="N858" s="10"/>
      <c r="P858" s="10"/>
      <c r="Q858" s="22"/>
    </row>
    <row r="859" customFormat="false" ht="15.75" hidden="false" customHeight="false" outlineLevel="0" collapsed="false">
      <c r="A859" s="20" t="n">
        <v>46087</v>
      </c>
      <c r="B859" s="15" t="s">
        <v>491</v>
      </c>
      <c r="C859" s="15" t="s">
        <v>79</v>
      </c>
      <c r="D859" s="15" t="s">
        <v>564</v>
      </c>
      <c r="E859" s="15" t="n">
        <v>1</v>
      </c>
      <c r="H859" s="10"/>
      <c r="I859" s="21"/>
      <c r="M859" s="10"/>
      <c r="N859" s="10"/>
      <c r="P859" s="10"/>
      <c r="Q859" s="22"/>
    </row>
    <row r="860" customFormat="false" ht="15.75" hidden="false" customHeight="false" outlineLevel="0" collapsed="false">
      <c r="A860" s="20" t="n">
        <v>46087</v>
      </c>
      <c r="B860" s="15" t="s">
        <v>493</v>
      </c>
      <c r="C860" s="15" t="s">
        <v>63</v>
      </c>
      <c r="D860" s="15" t="s">
        <v>551</v>
      </c>
      <c r="E860" s="15" t="n">
        <v>1</v>
      </c>
      <c r="H860" s="10"/>
      <c r="I860" s="21"/>
      <c r="M860" s="10"/>
      <c r="N860" s="10"/>
      <c r="P860" s="10"/>
      <c r="Q860" s="22"/>
    </row>
    <row r="861" customFormat="false" ht="15.75" hidden="false" customHeight="false" outlineLevel="0" collapsed="false">
      <c r="A861" s="20" t="n">
        <v>46087</v>
      </c>
      <c r="B861" s="15" t="s">
        <v>493</v>
      </c>
      <c r="C861" s="15" t="s">
        <v>47</v>
      </c>
      <c r="D861" s="15" t="s">
        <v>549</v>
      </c>
      <c r="E861" s="15" t="n">
        <v>1</v>
      </c>
      <c r="H861" s="10"/>
      <c r="I861" s="21"/>
      <c r="M861" s="10"/>
      <c r="N861" s="10"/>
      <c r="P861" s="10"/>
      <c r="Q861" s="22"/>
    </row>
    <row r="862" customFormat="false" ht="15.75" hidden="false" customHeight="false" outlineLevel="0" collapsed="false">
      <c r="A862" s="20" t="n">
        <v>46087</v>
      </c>
      <c r="B862" s="15" t="s">
        <v>496</v>
      </c>
      <c r="C862" s="15" t="s">
        <v>81</v>
      </c>
      <c r="D862" s="15" t="s">
        <v>534</v>
      </c>
      <c r="E862" s="15" t="n">
        <v>7</v>
      </c>
      <c r="H862" s="10"/>
      <c r="I862" s="21"/>
      <c r="M862" s="10"/>
      <c r="N862" s="10"/>
      <c r="P862" s="10"/>
      <c r="Q862" s="22"/>
    </row>
    <row r="863" customFormat="false" ht="15.75" hidden="false" customHeight="false" outlineLevel="0" collapsed="false">
      <c r="A863" s="20" t="n">
        <v>46087</v>
      </c>
      <c r="B863" s="15" t="s">
        <v>496</v>
      </c>
      <c r="C863" s="15" t="s">
        <v>47</v>
      </c>
      <c r="D863" s="15" t="s">
        <v>549</v>
      </c>
      <c r="E863" s="15" t="n">
        <v>4</v>
      </c>
      <c r="H863" s="10"/>
      <c r="I863" s="21"/>
      <c r="M863" s="10"/>
      <c r="N863" s="10"/>
      <c r="P863" s="10"/>
      <c r="Q863" s="22"/>
    </row>
    <row r="864" customFormat="false" ht="15.75" hidden="false" customHeight="false" outlineLevel="0" collapsed="false">
      <c r="A864" s="20" t="n">
        <v>46087</v>
      </c>
      <c r="B864" s="15" t="s">
        <v>496</v>
      </c>
      <c r="C864" s="15" t="s">
        <v>55</v>
      </c>
      <c r="D864" s="15" t="s">
        <v>539</v>
      </c>
      <c r="E864" s="15" t="n">
        <v>2</v>
      </c>
      <c r="H864" s="10"/>
      <c r="I864" s="21"/>
      <c r="M864" s="10"/>
      <c r="N864" s="10"/>
      <c r="P864" s="10"/>
      <c r="Q864" s="22"/>
    </row>
    <row r="865" customFormat="false" ht="15.75" hidden="false" customHeight="false" outlineLevel="0" collapsed="false">
      <c r="A865" s="20" t="n">
        <v>46087</v>
      </c>
      <c r="B865" s="15" t="s">
        <v>496</v>
      </c>
      <c r="C865" s="15" t="s">
        <v>567</v>
      </c>
      <c r="D865" s="15" t="s">
        <v>568</v>
      </c>
      <c r="E865" s="15" t="n">
        <v>3</v>
      </c>
      <c r="H865" s="10"/>
      <c r="I865" s="21"/>
      <c r="M865" s="10"/>
      <c r="N865" s="10"/>
      <c r="P865" s="10"/>
      <c r="Q865" s="22"/>
    </row>
    <row r="866" customFormat="false" ht="15.75" hidden="false" customHeight="false" outlineLevel="0" collapsed="false">
      <c r="A866" s="20" t="n">
        <v>46087</v>
      </c>
      <c r="B866" s="15" t="s">
        <v>496</v>
      </c>
      <c r="C866" s="15" t="s">
        <v>545</v>
      </c>
      <c r="D866" s="15" t="s">
        <v>546</v>
      </c>
      <c r="E866" s="15" t="n">
        <v>3</v>
      </c>
      <c r="H866" s="10"/>
      <c r="I866" s="21"/>
      <c r="M866" s="10"/>
      <c r="N866" s="10"/>
      <c r="P866" s="10"/>
      <c r="Q866" s="22"/>
    </row>
    <row r="867" customFormat="false" ht="15.75" hidden="false" customHeight="false" outlineLevel="0" collapsed="false">
      <c r="A867" s="20" t="n">
        <v>46087</v>
      </c>
      <c r="B867" s="15" t="s">
        <v>496</v>
      </c>
      <c r="C867" s="15" t="s">
        <v>547</v>
      </c>
      <c r="D867" s="15" t="s">
        <v>548</v>
      </c>
      <c r="E867" s="15" t="n">
        <v>1</v>
      </c>
      <c r="H867" s="10"/>
      <c r="I867" s="21"/>
      <c r="M867" s="10"/>
      <c r="N867" s="10"/>
      <c r="P867" s="10"/>
      <c r="Q867" s="22"/>
    </row>
    <row r="868" customFormat="false" ht="15.75" hidden="false" customHeight="false" outlineLevel="0" collapsed="false">
      <c r="A868" s="20" t="n">
        <v>46087</v>
      </c>
      <c r="B868" s="15" t="s">
        <v>496</v>
      </c>
      <c r="C868" s="15" t="s">
        <v>555</v>
      </c>
      <c r="D868" s="15" t="s">
        <v>556</v>
      </c>
      <c r="E868" s="15" t="n">
        <v>4</v>
      </c>
      <c r="H868" s="10"/>
      <c r="I868" s="21"/>
      <c r="M868" s="10"/>
      <c r="N868" s="10"/>
      <c r="P868" s="10"/>
      <c r="Q868" s="22"/>
    </row>
    <row r="869" customFormat="false" ht="15.75" hidden="false" customHeight="false" outlineLevel="0" collapsed="false">
      <c r="A869" s="20" t="n">
        <v>46087</v>
      </c>
      <c r="B869" s="15" t="s">
        <v>496</v>
      </c>
      <c r="C869" s="15" t="s">
        <v>541</v>
      </c>
      <c r="D869" s="15" t="s">
        <v>542</v>
      </c>
      <c r="E869" s="15" t="n">
        <v>4</v>
      </c>
      <c r="H869" s="10"/>
      <c r="I869" s="21"/>
      <c r="M869" s="10"/>
      <c r="N869" s="10"/>
      <c r="P869" s="10"/>
      <c r="Q869" s="22"/>
    </row>
    <row r="870" customFormat="false" ht="15.75" hidden="false" customHeight="false" outlineLevel="0" collapsed="false">
      <c r="A870" s="20" t="n">
        <v>46087</v>
      </c>
      <c r="B870" s="15" t="s">
        <v>496</v>
      </c>
      <c r="C870" s="15" t="s">
        <v>45</v>
      </c>
      <c r="D870" s="15" t="s">
        <v>540</v>
      </c>
      <c r="E870" s="15" t="n">
        <v>1</v>
      </c>
      <c r="H870" s="10"/>
      <c r="I870" s="21"/>
      <c r="M870" s="10"/>
      <c r="N870" s="10"/>
      <c r="P870" s="10"/>
      <c r="Q870" s="22"/>
    </row>
    <row r="871" customFormat="false" ht="15.75" hidden="false" customHeight="false" outlineLevel="0" collapsed="false">
      <c r="A871" s="20" t="n">
        <v>46087</v>
      </c>
      <c r="B871" s="15" t="s">
        <v>496</v>
      </c>
      <c r="C871" s="15" t="s">
        <v>37</v>
      </c>
      <c r="D871" s="15" t="s">
        <v>561</v>
      </c>
      <c r="E871" s="15" t="n">
        <v>1</v>
      </c>
      <c r="H871" s="10"/>
      <c r="I871" s="21"/>
      <c r="M871" s="10"/>
      <c r="N871" s="10"/>
      <c r="P871" s="10"/>
      <c r="Q871" s="22"/>
    </row>
    <row r="872" customFormat="false" ht="15.75" hidden="false" customHeight="false" outlineLevel="0" collapsed="false">
      <c r="A872" s="20" t="n">
        <v>46087</v>
      </c>
      <c r="B872" s="15" t="s">
        <v>496</v>
      </c>
      <c r="C872" s="15" t="s">
        <v>543</v>
      </c>
      <c r="D872" s="15" t="s">
        <v>544</v>
      </c>
      <c r="E872" s="15" t="n">
        <v>4</v>
      </c>
      <c r="H872" s="10"/>
      <c r="I872" s="21"/>
      <c r="M872" s="10"/>
      <c r="N872" s="10"/>
      <c r="P872" s="10"/>
      <c r="Q872" s="22"/>
    </row>
    <row r="873" customFormat="false" ht="15.75" hidden="false" customHeight="false" outlineLevel="0" collapsed="false">
      <c r="A873" s="20" t="n">
        <v>46087</v>
      </c>
      <c r="B873" s="15" t="s">
        <v>496</v>
      </c>
      <c r="C873" s="15" t="s">
        <v>69</v>
      </c>
      <c r="D873" s="15" t="s">
        <v>535</v>
      </c>
      <c r="E873" s="15" t="n">
        <v>2</v>
      </c>
      <c r="H873" s="10"/>
      <c r="I873" s="21"/>
      <c r="M873" s="10"/>
      <c r="N873" s="10"/>
      <c r="P873" s="10"/>
      <c r="Q873" s="22"/>
    </row>
    <row r="874" customFormat="false" ht="15.75" hidden="false" customHeight="false" outlineLevel="0" collapsed="false">
      <c r="A874" s="20" t="n">
        <v>46087</v>
      </c>
      <c r="B874" s="15" t="s">
        <v>496</v>
      </c>
      <c r="C874" s="15" t="s">
        <v>77</v>
      </c>
      <c r="D874" s="15" t="s">
        <v>78</v>
      </c>
      <c r="E874" s="15" t="n">
        <v>2</v>
      </c>
      <c r="H874" s="10"/>
      <c r="I874" s="21"/>
      <c r="M874" s="10"/>
      <c r="N874" s="10"/>
      <c r="P874" s="10"/>
      <c r="Q874" s="22"/>
    </row>
    <row r="875" customFormat="false" ht="15.75" hidden="false" customHeight="false" outlineLevel="0" collapsed="false">
      <c r="A875" s="20" t="n">
        <v>46087</v>
      </c>
      <c r="B875" s="15" t="s">
        <v>496</v>
      </c>
      <c r="C875" s="15" t="s">
        <v>59</v>
      </c>
      <c r="D875" s="15" t="s">
        <v>562</v>
      </c>
      <c r="E875" s="15" t="n">
        <v>2</v>
      </c>
      <c r="H875" s="10"/>
      <c r="I875" s="21"/>
      <c r="M875" s="10"/>
      <c r="N875" s="10"/>
      <c r="P875" s="10"/>
      <c r="Q875" s="22"/>
    </row>
    <row r="876" customFormat="false" ht="15.75" hidden="false" customHeight="false" outlineLevel="0" collapsed="false">
      <c r="A876" s="20" t="n">
        <v>46087</v>
      </c>
      <c r="B876" s="15" t="s">
        <v>496</v>
      </c>
      <c r="C876" s="15" t="s">
        <v>33</v>
      </c>
      <c r="D876" s="15" t="s">
        <v>536</v>
      </c>
      <c r="E876" s="15" t="n">
        <v>2</v>
      </c>
      <c r="H876" s="10"/>
      <c r="I876" s="21"/>
      <c r="M876" s="10"/>
      <c r="N876" s="10"/>
      <c r="P876" s="10"/>
      <c r="Q876" s="22"/>
    </row>
    <row r="877" customFormat="false" ht="15.75" hidden="false" customHeight="false" outlineLevel="0" collapsed="false">
      <c r="A877" s="20" t="n">
        <v>46087</v>
      </c>
      <c r="B877" s="15" t="s">
        <v>496</v>
      </c>
      <c r="C877" s="15" t="s">
        <v>79</v>
      </c>
      <c r="D877" s="15" t="s">
        <v>564</v>
      </c>
      <c r="E877" s="15" t="n">
        <v>1</v>
      </c>
      <c r="H877" s="10"/>
      <c r="I877" s="21"/>
      <c r="M877" s="10"/>
      <c r="N877" s="10"/>
      <c r="P877" s="10"/>
      <c r="Q877" s="22"/>
    </row>
    <row r="878" customFormat="false" ht="15.75" hidden="false" customHeight="false" outlineLevel="0" collapsed="false">
      <c r="A878" s="20" t="n">
        <v>46087</v>
      </c>
      <c r="B878" s="15" t="s">
        <v>496</v>
      </c>
      <c r="C878" s="15" t="s">
        <v>65</v>
      </c>
      <c r="D878" s="15" t="s">
        <v>580</v>
      </c>
      <c r="E878" s="15" t="n">
        <v>1</v>
      </c>
      <c r="H878" s="10"/>
      <c r="I878" s="21"/>
      <c r="M878" s="10"/>
      <c r="N878" s="10"/>
      <c r="P878" s="10"/>
      <c r="Q878" s="22"/>
    </row>
    <row r="879" customFormat="false" ht="15.75" hidden="false" customHeight="false" outlineLevel="0" collapsed="false">
      <c r="A879" s="20" t="n">
        <v>46087</v>
      </c>
      <c r="B879" s="15" t="s">
        <v>499</v>
      </c>
      <c r="C879" s="15" t="s">
        <v>543</v>
      </c>
      <c r="D879" s="15" t="s">
        <v>544</v>
      </c>
      <c r="E879" s="15" t="n">
        <v>1</v>
      </c>
      <c r="H879" s="10"/>
      <c r="I879" s="21"/>
      <c r="M879" s="10"/>
      <c r="N879" s="10"/>
      <c r="P879" s="10"/>
      <c r="Q879" s="22"/>
    </row>
    <row r="880" customFormat="false" ht="15.75" hidden="false" customHeight="false" outlineLevel="0" collapsed="false">
      <c r="A880" s="20" t="n">
        <v>46087</v>
      </c>
      <c r="B880" s="15" t="s">
        <v>499</v>
      </c>
      <c r="C880" s="15" t="s">
        <v>69</v>
      </c>
      <c r="D880" s="15" t="s">
        <v>535</v>
      </c>
      <c r="E880" s="15" t="n">
        <v>1</v>
      </c>
      <c r="H880" s="10"/>
      <c r="I880" s="21"/>
      <c r="M880" s="10"/>
      <c r="N880" s="10"/>
      <c r="P880" s="10"/>
      <c r="Q880" s="22"/>
    </row>
    <row r="881" customFormat="false" ht="15.75" hidden="false" customHeight="false" outlineLevel="0" collapsed="false">
      <c r="A881" s="20" t="n">
        <v>46087</v>
      </c>
      <c r="B881" s="15" t="s">
        <v>499</v>
      </c>
      <c r="C881" s="15" t="s">
        <v>33</v>
      </c>
      <c r="D881" s="15" t="s">
        <v>536</v>
      </c>
      <c r="E881" s="15" t="n">
        <v>2</v>
      </c>
      <c r="H881" s="10"/>
      <c r="I881" s="21"/>
      <c r="M881" s="10"/>
      <c r="N881" s="10"/>
      <c r="P881" s="10"/>
      <c r="Q881" s="22"/>
    </row>
    <row r="882" customFormat="false" ht="15.75" hidden="false" customHeight="false" outlineLevel="0" collapsed="false">
      <c r="A882" s="20" t="n">
        <v>46087</v>
      </c>
      <c r="B882" s="15" t="s">
        <v>499</v>
      </c>
      <c r="C882" s="15" t="s">
        <v>55</v>
      </c>
      <c r="D882" s="15" t="s">
        <v>539</v>
      </c>
      <c r="E882" s="15" t="n">
        <v>1</v>
      </c>
      <c r="H882" s="10"/>
      <c r="I882" s="21"/>
      <c r="M882" s="10"/>
      <c r="N882" s="10"/>
      <c r="P882" s="10"/>
      <c r="Q882" s="22"/>
    </row>
    <row r="883" customFormat="false" ht="15.75" hidden="false" customHeight="false" outlineLevel="0" collapsed="false">
      <c r="A883" s="20" t="n">
        <v>46087</v>
      </c>
      <c r="B883" s="15" t="s">
        <v>499</v>
      </c>
      <c r="C883" s="15" t="s">
        <v>59</v>
      </c>
      <c r="D883" s="15" t="s">
        <v>562</v>
      </c>
      <c r="E883" s="15" t="n">
        <v>1</v>
      </c>
      <c r="H883" s="10"/>
      <c r="I883" s="21"/>
      <c r="M883" s="10"/>
      <c r="N883" s="10"/>
      <c r="P883" s="10"/>
      <c r="Q883" s="22"/>
    </row>
    <row r="884" customFormat="false" ht="15.75" hidden="false" customHeight="false" outlineLevel="0" collapsed="false">
      <c r="A884" s="20" t="n">
        <v>46087</v>
      </c>
      <c r="B884" s="15" t="s">
        <v>499</v>
      </c>
      <c r="C884" s="15" t="s">
        <v>47</v>
      </c>
      <c r="D884" s="15" t="s">
        <v>549</v>
      </c>
      <c r="E884" s="15" t="n">
        <v>1</v>
      </c>
      <c r="H884" s="10"/>
      <c r="I884" s="21"/>
      <c r="M884" s="10"/>
      <c r="N884" s="10"/>
      <c r="P884" s="10"/>
      <c r="Q884" s="22"/>
    </row>
    <row r="885" customFormat="false" ht="15.75" hidden="false" customHeight="false" outlineLevel="0" collapsed="false">
      <c r="A885" s="20" t="n">
        <v>46087</v>
      </c>
      <c r="B885" s="15" t="s">
        <v>499</v>
      </c>
      <c r="C885" s="15" t="s">
        <v>75</v>
      </c>
      <c r="D885" s="15" t="s">
        <v>560</v>
      </c>
      <c r="E885" s="15" t="n">
        <v>1</v>
      </c>
      <c r="H885" s="10"/>
      <c r="I885" s="21"/>
      <c r="M885" s="10"/>
      <c r="N885" s="10"/>
      <c r="P885" s="10"/>
      <c r="Q885" s="22"/>
    </row>
    <row r="886" customFormat="false" ht="15.75" hidden="false" customHeight="false" outlineLevel="0" collapsed="false">
      <c r="A886" s="20" t="n">
        <v>46087</v>
      </c>
      <c r="B886" s="15" t="s">
        <v>499</v>
      </c>
      <c r="C886" s="15" t="s">
        <v>81</v>
      </c>
      <c r="D886" s="15" t="s">
        <v>534</v>
      </c>
      <c r="E886" s="15" t="n">
        <v>7</v>
      </c>
      <c r="H886" s="10"/>
      <c r="I886" s="21"/>
      <c r="M886" s="10"/>
      <c r="N886" s="10"/>
      <c r="P886" s="10"/>
      <c r="Q886" s="22"/>
    </row>
    <row r="887" customFormat="false" ht="15.75" hidden="false" customHeight="false" outlineLevel="0" collapsed="false">
      <c r="A887" s="20" t="n">
        <v>46087</v>
      </c>
      <c r="B887" s="15" t="s">
        <v>499</v>
      </c>
      <c r="C887" s="15" t="s">
        <v>77</v>
      </c>
      <c r="D887" s="15" t="s">
        <v>78</v>
      </c>
      <c r="E887" s="15" t="n">
        <v>2</v>
      </c>
      <c r="H887" s="10"/>
      <c r="I887" s="21"/>
      <c r="M887" s="10"/>
      <c r="N887" s="10"/>
      <c r="P887" s="10"/>
      <c r="Q887" s="22"/>
    </row>
    <row r="888" customFormat="false" ht="15.75" hidden="false" customHeight="false" outlineLevel="0" collapsed="false">
      <c r="A888" s="20" t="n">
        <v>46087</v>
      </c>
      <c r="B888" s="15" t="s">
        <v>505</v>
      </c>
      <c r="C888" s="15" t="s">
        <v>55</v>
      </c>
      <c r="D888" s="15" t="s">
        <v>539</v>
      </c>
      <c r="E888" s="15" t="n">
        <v>6</v>
      </c>
      <c r="H888" s="10"/>
      <c r="I888" s="21"/>
      <c r="M888" s="10"/>
      <c r="N888" s="10"/>
      <c r="P888" s="10"/>
      <c r="Q888" s="22"/>
    </row>
    <row r="889" customFormat="false" ht="15.75" hidden="false" customHeight="false" outlineLevel="0" collapsed="false">
      <c r="A889" s="20" t="n">
        <v>46087</v>
      </c>
      <c r="B889" s="15" t="s">
        <v>505</v>
      </c>
      <c r="C889" s="15" t="s">
        <v>39</v>
      </c>
      <c r="D889" s="15" t="s">
        <v>550</v>
      </c>
      <c r="E889" s="15" t="n">
        <v>1</v>
      </c>
      <c r="H889" s="10"/>
      <c r="I889" s="21"/>
      <c r="M889" s="10"/>
      <c r="N889" s="10"/>
      <c r="P889" s="10"/>
      <c r="Q889" s="22"/>
    </row>
    <row r="890" customFormat="false" ht="15.75" hidden="false" customHeight="false" outlineLevel="0" collapsed="false">
      <c r="A890" s="20" t="n">
        <v>46087</v>
      </c>
      <c r="B890" s="15" t="s">
        <v>505</v>
      </c>
      <c r="C890" s="15" t="s">
        <v>81</v>
      </c>
      <c r="D890" s="15" t="s">
        <v>534</v>
      </c>
      <c r="E890" s="15" t="n">
        <v>9</v>
      </c>
      <c r="H890" s="10"/>
      <c r="I890" s="21"/>
      <c r="M890" s="10"/>
      <c r="N890" s="10"/>
      <c r="P890" s="10"/>
      <c r="Q890" s="22"/>
    </row>
    <row r="891" customFormat="false" ht="15.75" hidden="false" customHeight="false" outlineLevel="0" collapsed="false">
      <c r="A891" s="20" t="n">
        <v>46087</v>
      </c>
      <c r="B891" s="15" t="s">
        <v>505</v>
      </c>
      <c r="C891" s="15" t="s">
        <v>47</v>
      </c>
      <c r="D891" s="15" t="s">
        <v>549</v>
      </c>
      <c r="E891" s="15" t="n">
        <v>3</v>
      </c>
      <c r="H891" s="10"/>
      <c r="I891" s="21"/>
      <c r="M891" s="10"/>
      <c r="N891" s="10"/>
      <c r="P891" s="10"/>
      <c r="Q891" s="22"/>
    </row>
    <row r="892" customFormat="false" ht="15.75" hidden="false" customHeight="false" outlineLevel="0" collapsed="false">
      <c r="A892" s="20" t="n">
        <v>46087</v>
      </c>
      <c r="B892" s="15" t="s">
        <v>505</v>
      </c>
      <c r="C892" s="15" t="s">
        <v>63</v>
      </c>
      <c r="D892" s="15" t="s">
        <v>551</v>
      </c>
      <c r="E892" s="15" t="n">
        <v>1</v>
      </c>
      <c r="H892" s="10"/>
      <c r="I892" s="21"/>
      <c r="M892" s="10"/>
      <c r="N892" s="10"/>
      <c r="P892" s="10"/>
      <c r="Q892" s="22"/>
    </row>
    <row r="893" customFormat="false" ht="15.75" hidden="false" customHeight="false" outlineLevel="0" collapsed="false">
      <c r="A893" s="20" t="n">
        <v>46087</v>
      </c>
      <c r="B893" s="15" t="s">
        <v>505</v>
      </c>
      <c r="C893" s="15" t="s">
        <v>17</v>
      </c>
      <c r="D893" s="15" t="s">
        <v>554</v>
      </c>
      <c r="E893" s="15" t="n">
        <v>1</v>
      </c>
      <c r="H893" s="10"/>
      <c r="I893" s="21"/>
      <c r="M893" s="10"/>
      <c r="N893" s="10"/>
      <c r="P893" s="10"/>
      <c r="Q893" s="22"/>
    </row>
    <row r="894" customFormat="false" ht="15.75" hidden="false" customHeight="false" outlineLevel="0" collapsed="false">
      <c r="A894" s="20" t="n">
        <v>46087</v>
      </c>
      <c r="B894" s="15" t="s">
        <v>508</v>
      </c>
      <c r="C894" s="15" t="s">
        <v>55</v>
      </c>
      <c r="D894" s="15" t="s">
        <v>539</v>
      </c>
      <c r="E894" s="15" t="n">
        <v>5</v>
      </c>
      <c r="H894" s="10"/>
      <c r="I894" s="21"/>
      <c r="M894" s="10"/>
      <c r="N894" s="10"/>
      <c r="P894" s="10"/>
      <c r="Q894" s="22"/>
    </row>
    <row r="895" customFormat="false" ht="15.75" hidden="false" customHeight="false" outlineLevel="0" collapsed="false">
      <c r="A895" s="20" t="n">
        <v>46087</v>
      </c>
      <c r="B895" s="15" t="s">
        <v>508</v>
      </c>
      <c r="C895" s="15" t="s">
        <v>81</v>
      </c>
      <c r="D895" s="15" t="s">
        <v>534</v>
      </c>
      <c r="E895" s="15" t="n">
        <v>9</v>
      </c>
      <c r="H895" s="10"/>
      <c r="I895" s="21"/>
      <c r="M895" s="10"/>
      <c r="N895" s="10"/>
      <c r="P895" s="10"/>
      <c r="Q895" s="22"/>
    </row>
    <row r="896" customFormat="false" ht="15.75" hidden="false" customHeight="false" outlineLevel="0" collapsed="false">
      <c r="A896" s="20" t="n">
        <v>46087</v>
      </c>
      <c r="B896" s="15" t="s">
        <v>508</v>
      </c>
      <c r="C896" s="15" t="s">
        <v>39</v>
      </c>
      <c r="D896" s="15" t="s">
        <v>550</v>
      </c>
      <c r="E896" s="15" t="n">
        <v>2</v>
      </c>
      <c r="H896" s="10"/>
      <c r="I896" s="21"/>
      <c r="M896" s="10"/>
      <c r="N896" s="10"/>
      <c r="P896" s="10"/>
      <c r="Q896" s="22"/>
    </row>
    <row r="897" customFormat="false" ht="15.75" hidden="false" customHeight="false" outlineLevel="0" collapsed="false">
      <c r="A897" s="20" t="n">
        <v>46087</v>
      </c>
      <c r="B897" s="15" t="s">
        <v>508</v>
      </c>
      <c r="C897" s="15" t="s">
        <v>47</v>
      </c>
      <c r="D897" s="15" t="s">
        <v>549</v>
      </c>
      <c r="E897" s="15" t="n">
        <v>2</v>
      </c>
      <c r="H897" s="10"/>
      <c r="I897" s="21"/>
      <c r="M897" s="10"/>
      <c r="N897" s="10"/>
      <c r="P897" s="10"/>
      <c r="Q897" s="22"/>
    </row>
    <row r="898" customFormat="false" ht="15.75" hidden="false" customHeight="false" outlineLevel="0" collapsed="false">
      <c r="A898" s="20" t="n">
        <v>46087</v>
      </c>
      <c r="B898" s="15" t="s">
        <v>508</v>
      </c>
      <c r="C898" s="15" t="s">
        <v>63</v>
      </c>
      <c r="D898" s="15" t="s">
        <v>551</v>
      </c>
      <c r="E898" s="15" t="n">
        <v>1</v>
      </c>
      <c r="H898" s="10"/>
      <c r="I898" s="21"/>
      <c r="M898" s="10"/>
      <c r="N898" s="10"/>
      <c r="P898" s="10"/>
      <c r="Q898" s="22"/>
    </row>
    <row r="899" customFormat="false" ht="15.75" hidden="false" customHeight="false" outlineLevel="0" collapsed="false">
      <c r="A899" s="20" t="n">
        <v>46087</v>
      </c>
      <c r="B899" s="15" t="s">
        <v>511</v>
      </c>
      <c r="C899" s="15" t="s">
        <v>51</v>
      </c>
      <c r="D899" s="15" t="s">
        <v>573</v>
      </c>
      <c r="E899" s="15" t="n">
        <v>1</v>
      </c>
      <c r="H899" s="10"/>
      <c r="I899" s="21"/>
      <c r="M899" s="10"/>
      <c r="N899" s="10"/>
      <c r="P899" s="10"/>
      <c r="Q899" s="22"/>
    </row>
    <row r="900" customFormat="false" ht="15.75" hidden="false" customHeight="false" outlineLevel="0" collapsed="false">
      <c r="A900" s="20" t="n">
        <v>46087</v>
      </c>
      <c r="B900" s="15" t="s">
        <v>511</v>
      </c>
      <c r="C900" s="15" t="s">
        <v>55</v>
      </c>
      <c r="D900" s="15" t="s">
        <v>539</v>
      </c>
      <c r="E900" s="15" t="n">
        <v>2</v>
      </c>
      <c r="H900" s="10"/>
      <c r="I900" s="21"/>
      <c r="M900" s="10"/>
      <c r="N900" s="10"/>
      <c r="P900" s="10"/>
      <c r="Q900" s="22"/>
    </row>
    <row r="901" customFormat="false" ht="15.75" hidden="false" customHeight="false" outlineLevel="0" collapsed="false">
      <c r="A901" s="20" t="n">
        <v>46087</v>
      </c>
      <c r="B901" s="15" t="s">
        <v>511</v>
      </c>
      <c r="C901" s="15" t="s">
        <v>89</v>
      </c>
      <c r="D901" s="15" t="s">
        <v>574</v>
      </c>
      <c r="E901" s="15" t="n">
        <v>2</v>
      </c>
      <c r="H901" s="10"/>
      <c r="I901" s="21"/>
      <c r="M901" s="10"/>
      <c r="N901" s="10"/>
      <c r="P901" s="10"/>
      <c r="Q901" s="22"/>
    </row>
    <row r="902" customFormat="false" ht="15.75" hidden="false" customHeight="false" outlineLevel="0" collapsed="false">
      <c r="A902" s="20" t="n">
        <v>46087</v>
      </c>
      <c r="B902" s="15" t="s">
        <v>511</v>
      </c>
      <c r="C902" s="15" t="s">
        <v>23</v>
      </c>
      <c r="D902" s="15" t="s">
        <v>575</v>
      </c>
      <c r="E902" s="15" t="n">
        <v>1</v>
      </c>
      <c r="H902" s="10"/>
      <c r="I902" s="21"/>
      <c r="M902" s="10"/>
      <c r="N902" s="10"/>
      <c r="P902" s="10"/>
      <c r="Q902" s="22"/>
    </row>
    <row r="903" customFormat="false" ht="15.75" hidden="false" customHeight="false" outlineLevel="0" collapsed="false">
      <c r="A903" s="20" t="n">
        <v>46087</v>
      </c>
      <c r="B903" s="15" t="s">
        <v>514</v>
      </c>
      <c r="C903" s="15" t="s">
        <v>55</v>
      </c>
      <c r="D903" s="15" t="s">
        <v>539</v>
      </c>
      <c r="E903" s="15" t="n">
        <v>5</v>
      </c>
      <c r="H903" s="10"/>
      <c r="I903" s="21"/>
      <c r="M903" s="10"/>
      <c r="N903" s="10"/>
      <c r="P903" s="10"/>
      <c r="Q903" s="22"/>
    </row>
    <row r="904" customFormat="false" ht="15.75" hidden="false" customHeight="false" outlineLevel="0" collapsed="false">
      <c r="A904" s="20" t="n">
        <v>46087</v>
      </c>
      <c r="B904" s="15" t="s">
        <v>514</v>
      </c>
      <c r="C904" s="15" t="s">
        <v>57</v>
      </c>
      <c r="D904" s="15" t="s">
        <v>553</v>
      </c>
      <c r="E904" s="15" t="n">
        <v>1</v>
      </c>
      <c r="H904" s="10"/>
      <c r="I904" s="21"/>
      <c r="M904" s="10"/>
      <c r="N904" s="10"/>
      <c r="P904" s="10"/>
      <c r="Q904" s="22"/>
    </row>
    <row r="905" customFormat="false" ht="15.75" hidden="false" customHeight="false" outlineLevel="0" collapsed="false">
      <c r="A905" s="20" t="n">
        <v>46087</v>
      </c>
      <c r="B905" s="15" t="s">
        <v>514</v>
      </c>
      <c r="C905" s="15" t="s">
        <v>49</v>
      </c>
      <c r="D905" s="15" t="s">
        <v>537</v>
      </c>
      <c r="E905" s="15" t="n">
        <v>1</v>
      </c>
      <c r="H905" s="10"/>
      <c r="I905" s="21"/>
      <c r="M905" s="10"/>
      <c r="N905" s="10"/>
      <c r="P905" s="10"/>
      <c r="Q905" s="22"/>
    </row>
    <row r="906" customFormat="false" ht="15.75" hidden="false" customHeight="false" outlineLevel="0" collapsed="false">
      <c r="A906" s="20" t="n">
        <v>46087</v>
      </c>
      <c r="B906" s="15" t="s">
        <v>514</v>
      </c>
      <c r="C906" s="15" t="s">
        <v>47</v>
      </c>
      <c r="D906" s="15" t="s">
        <v>549</v>
      </c>
      <c r="E906" s="15" t="n">
        <v>4</v>
      </c>
      <c r="H906" s="10"/>
      <c r="I906" s="21"/>
      <c r="M906" s="10"/>
      <c r="N906" s="10"/>
      <c r="P906" s="10"/>
      <c r="Q906" s="22"/>
    </row>
    <row r="907" customFormat="false" ht="15.75" hidden="false" customHeight="false" outlineLevel="0" collapsed="false">
      <c r="A907" s="20" t="n">
        <v>46087</v>
      </c>
      <c r="B907" s="15" t="s">
        <v>514</v>
      </c>
      <c r="C907" s="15" t="s">
        <v>81</v>
      </c>
      <c r="D907" s="15" t="s">
        <v>534</v>
      </c>
      <c r="E907" s="15" t="n">
        <v>7</v>
      </c>
      <c r="H907" s="10"/>
      <c r="I907" s="21"/>
      <c r="M907" s="10"/>
      <c r="N907" s="10"/>
      <c r="P907" s="10"/>
      <c r="Q907" s="22"/>
    </row>
    <row r="908" customFormat="false" ht="15.75" hidden="false" customHeight="false" outlineLevel="0" collapsed="false">
      <c r="A908" s="20" t="n">
        <v>46087</v>
      </c>
      <c r="B908" s="15" t="s">
        <v>514</v>
      </c>
      <c r="C908" s="15" t="s">
        <v>63</v>
      </c>
      <c r="D908" s="15" t="s">
        <v>551</v>
      </c>
      <c r="E908" s="15" t="n">
        <v>1</v>
      </c>
      <c r="H908" s="10"/>
      <c r="I908" s="21"/>
      <c r="M908" s="10"/>
      <c r="N908" s="10"/>
      <c r="P908" s="10"/>
      <c r="Q908" s="22"/>
    </row>
    <row r="909" customFormat="false" ht="15.75" hidden="false" customHeight="false" outlineLevel="0" collapsed="false">
      <c r="A909" s="20" t="n">
        <v>46087</v>
      </c>
      <c r="B909" s="15" t="s">
        <v>514</v>
      </c>
      <c r="C909" s="15" t="s">
        <v>17</v>
      </c>
      <c r="D909" s="15" t="s">
        <v>554</v>
      </c>
      <c r="E909" s="15" t="n">
        <v>1</v>
      </c>
      <c r="H909" s="10"/>
      <c r="I909" s="21"/>
      <c r="M909" s="10"/>
      <c r="N909" s="10"/>
      <c r="P909" s="10"/>
      <c r="Q909" s="22"/>
    </row>
    <row r="910" customFormat="false" ht="15.75" hidden="false" customHeight="false" outlineLevel="0" collapsed="false">
      <c r="A910" s="20" t="n">
        <v>46087</v>
      </c>
      <c r="B910" s="15" t="s">
        <v>518</v>
      </c>
      <c r="C910" s="15" t="s">
        <v>69</v>
      </c>
      <c r="D910" s="15" t="s">
        <v>535</v>
      </c>
      <c r="E910" s="15" t="n">
        <v>6</v>
      </c>
      <c r="H910" s="10"/>
      <c r="I910" s="21"/>
      <c r="M910" s="10"/>
      <c r="N910" s="10"/>
      <c r="P910" s="10"/>
      <c r="Q910" s="22"/>
    </row>
    <row r="911" customFormat="false" ht="15.75" hidden="false" customHeight="false" outlineLevel="0" collapsed="false">
      <c r="A911" s="20" t="n">
        <v>46087</v>
      </c>
      <c r="B911" s="15" t="s">
        <v>518</v>
      </c>
      <c r="C911" s="15" t="s">
        <v>33</v>
      </c>
      <c r="D911" s="15" t="s">
        <v>536</v>
      </c>
      <c r="E911" s="15" t="n">
        <v>6</v>
      </c>
      <c r="H911" s="10"/>
      <c r="I911" s="21"/>
      <c r="M911" s="10"/>
      <c r="N911" s="10"/>
      <c r="P911" s="10"/>
      <c r="Q911" s="22"/>
    </row>
    <row r="912" customFormat="false" ht="15.75" hidden="false" customHeight="false" outlineLevel="0" collapsed="false">
      <c r="A912" s="20" t="n">
        <v>46087</v>
      </c>
      <c r="B912" s="15" t="s">
        <v>518</v>
      </c>
      <c r="C912" s="15" t="s">
        <v>47</v>
      </c>
      <c r="D912" s="15" t="s">
        <v>549</v>
      </c>
      <c r="E912" s="15" t="n">
        <v>2</v>
      </c>
      <c r="H912" s="10"/>
      <c r="I912" s="21"/>
      <c r="M912" s="10"/>
      <c r="N912" s="10"/>
      <c r="P912" s="10"/>
      <c r="Q912" s="22"/>
    </row>
    <row r="913" customFormat="false" ht="15.75" hidden="false" customHeight="false" outlineLevel="0" collapsed="false">
      <c r="A913" s="20" t="n">
        <v>46087</v>
      </c>
      <c r="B913" s="15" t="s">
        <v>518</v>
      </c>
      <c r="C913" s="15" t="s">
        <v>51</v>
      </c>
      <c r="D913" s="15" t="s">
        <v>573</v>
      </c>
      <c r="E913" s="15" t="n">
        <v>1</v>
      </c>
      <c r="H913" s="10"/>
      <c r="I913" s="21"/>
      <c r="M913" s="10"/>
      <c r="N913" s="10"/>
      <c r="P913" s="10"/>
      <c r="Q913" s="22"/>
    </row>
    <row r="914" customFormat="false" ht="15.75" hidden="false" customHeight="false" outlineLevel="0" collapsed="false">
      <c r="A914" s="20" t="n">
        <v>46087</v>
      </c>
      <c r="B914" s="15" t="s">
        <v>518</v>
      </c>
      <c r="C914" s="15" t="s">
        <v>55</v>
      </c>
      <c r="D914" s="15" t="s">
        <v>539</v>
      </c>
      <c r="E914" s="15" t="n">
        <v>2</v>
      </c>
      <c r="H914" s="10"/>
      <c r="I914" s="21"/>
      <c r="M914" s="10"/>
      <c r="N914" s="10"/>
      <c r="P914" s="10"/>
      <c r="Q914" s="22"/>
    </row>
    <row r="915" customFormat="false" ht="15.75" hidden="false" customHeight="false" outlineLevel="0" collapsed="false">
      <c r="A915" s="20" t="n">
        <v>46087</v>
      </c>
      <c r="B915" s="15" t="s">
        <v>518</v>
      </c>
      <c r="C915" s="15" t="s">
        <v>37</v>
      </c>
      <c r="D915" s="15" t="s">
        <v>561</v>
      </c>
      <c r="E915" s="15" t="n">
        <v>2</v>
      </c>
      <c r="H915" s="10"/>
      <c r="I915" s="21"/>
      <c r="M915" s="10"/>
      <c r="N915" s="10"/>
      <c r="P915" s="10"/>
      <c r="Q915" s="22"/>
    </row>
    <row r="916" customFormat="false" ht="15.75" hidden="false" customHeight="false" outlineLevel="0" collapsed="false">
      <c r="A916" s="20" t="n">
        <v>46087</v>
      </c>
      <c r="B916" s="15" t="s">
        <v>518</v>
      </c>
      <c r="C916" s="15" t="s">
        <v>547</v>
      </c>
      <c r="D916" s="15" t="s">
        <v>548</v>
      </c>
      <c r="E916" s="15" t="n">
        <v>1</v>
      </c>
      <c r="H916" s="10"/>
      <c r="I916" s="21"/>
      <c r="M916" s="10"/>
      <c r="N916" s="10"/>
      <c r="P916" s="10"/>
      <c r="Q916" s="22"/>
    </row>
    <row r="917" customFormat="false" ht="15.75" hidden="false" customHeight="false" outlineLevel="0" collapsed="false">
      <c r="A917" s="20" t="n">
        <v>46087</v>
      </c>
      <c r="B917" s="15" t="s">
        <v>518</v>
      </c>
      <c r="C917" s="15" t="s">
        <v>81</v>
      </c>
      <c r="D917" s="15" t="s">
        <v>534</v>
      </c>
      <c r="E917" s="15" t="n">
        <v>1</v>
      </c>
      <c r="H917" s="10"/>
      <c r="I917" s="21"/>
      <c r="M917" s="10"/>
      <c r="N917" s="10"/>
      <c r="P917" s="10"/>
      <c r="Q917" s="22"/>
    </row>
    <row r="918" customFormat="false" ht="15.75" hidden="false" customHeight="false" outlineLevel="0" collapsed="false">
      <c r="A918" s="20" t="n">
        <v>46090</v>
      </c>
      <c r="B918" s="15" t="s">
        <v>452</v>
      </c>
      <c r="C918" s="15" t="s">
        <v>81</v>
      </c>
      <c r="D918" s="15" t="s">
        <v>534</v>
      </c>
      <c r="E918" s="15" t="n">
        <v>11</v>
      </c>
      <c r="H918" s="10"/>
      <c r="I918" s="21"/>
      <c r="M918" s="10"/>
      <c r="N918" s="10"/>
      <c r="P918" s="10"/>
      <c r="Q918" s="22"/>
    </row>
    <row r="919" customFormat="false" ht="15.75" hidden="false" customHeight="false" outlineLevel="0" collapsed="false">
      <c r="A919" s="20" t="n">
        <v>46090</v>
      </c>
      <c r="B919" s="15" t="s">
        <v>452</v>
      </c>
      <c r="C919" s="15" t="s">
        <v>555</v>
      </c>
      <c r="D919" s="15" t="s">
        <v>556</v>
      </c>
      <c r="E919" s="15" t="n">
        <v>2</v>
      </c>
      <c r="H919" s="10"/>
      <c r="I919" s="21"/>
      <c r="M919" s="10"/>
      <c r="N919" s="10"/>
      <c r="P919" s="10"/>
      <c r="Q919" s="22"/>
    </row>
    <row r="920" customFormat="false" ht="15.75" hidden="false" customHeight="false" outlineLevel="0" collapsed="false">
      <c r="A920" s="20" t="n">
        <v>46090</v>
      </c>
      <c r="B920" s="15" t="s">
        <v>452</v>
      </c>
      <c r="C920" s="15" t="s">
        <v>545</v>
      </c>
      <c r="D920" s="15" t="s">
        <v>546</v>
      </c>
      <c r="E920" s="15" t="n">
        <v>1</v>
      </c>
      <c r="H920" s="10"/>
      <c r="I920" s="21"/>
      <c r="M920" s="10"/>
      <c r="N920" s="10"/>
      <c r="P920" s="10"/>
      <c r="Q920" s="22"/>
    </row>
    <row r="921" customFormat="false" ht="15.75" hidden="false" customHeight="false" outlineLevel="0" collapsed="false">
      <c r="A921" s="20" t="n">
        <v>46090</v>
      </c>
      <c r="B921" s="15" t="s">
        <v>452</v>
      </c>
      <c r="C921" s="15" t="s">
        <v>543</v>
      </c>
      <c r="D921" s="15" t="s">
        <v>544</v>
      </c>
      <c r="E921" s="15" t="n">
        <v>1</v>
      </c>
      <c r="H921" s="10"/>
      <c r="I921" s="21"/>
      <c r="M921" s="10"/>
      <c r="N921" s="10"/>
      <c r="P921" s="10"/>
      <c r="Q921" s="22"/>
    </row>
    <row r="922" customFormat="false" ht="15.75" hidden="false" customHeight="false" outlineLevel="0" collapsed="false">
      <c r="A922" s="20" t="n">
        <v>46090</v>
      </c>
      <c r="B922" s="15" t="s">
        <v>452</v>
      </c>
      <c r="C922" s="15" t="s">
        <v>69</v>
      </c>
      <c r="D922" s="15" t="s">
        <v>535</v>
      </c>
      <c r="E922" s="15" t="n">
        <v>4</v>
      </c>
      <c r="H922" s="10"/>
      <c r="I922" s="21"/>
      <c r="M922" s="10"/>
      <c r="N922" s="10"/>
      <c r="P922" s="10"/>
      <c r="Q922" s="22"/>
    </row>
    <row r="923" customFormat="false" ht="15.75" hidden="false" customHeight="false" outlineLevel="0" collapsed="false">
      <c r="A923" s="20" t="n">
        <v>46090</v>
      </c>
      <c r="B923" s="15" t="s">
        <v>452</v>
      </c>
      <c r="C923" s="15" t="s">
        <v>33</v>
      </c>
      <c r="D923" s="15" t="s">
        <v>536</v>
      </c>
      <c r="E923" s="15" t="n">
        <v>4</v>
      </c>
      <c r="H923" s="10"/>
      <c r="I923" s="21"/>
      <c r="M923" s="10"/>
      <c r="N923" s="10"/>
      <c r="P923" s="10"/>
      <c r="Q923" s="22"/>
    </row>
    <row r="924" customFormat="false" ht="15.75" hidden="false" customHeight="false" outlineLevel="0" collapsed="false">
      <c r="A924" s="20" t="n">
        <v>46090</v>
      </c>
      <c r="B924" s="15" t="s">
        <v>452</v>
      </c>
      <c r="C924" s="15" t="s">
        <v>79</v>
      </c>
      <c r="D924" s="15" t="s">
        <v>564</v>
      </c>
      <c r="E924" s="15" t="n">
        <v>1</v>
      </c>
      <c r="H924" s="10"/>
      <c r="I924" s="21"/>
      <c r="M924" s="10"/>
      <c r="N924" s="10"/>
      <c r="P924" s="10"/>
      <c r="Q924" s="22"/>
    </row>
    <row r="925" customFormat="false" ht="15.75" hidden="false" customHeight="false" outlineLevel="0" collapsed="false">
      <c r="A925" s="20" t="n">
        <v>46090</v>
      </c>
      <c r="B925" s="15" t="s">
        <v>452</v>
      </c>
      <c r="C925" s="15" t="s">
        <v>77</v>
      </c>
      <c r="D925" s="15" t="s">
        <v>78</v>
      </c>
      <c r="E925" s="15" t="n">
        <v>2</v>
      </c>
      <c r="H925" s="10"/>
      <c r="I925" s="21"/>
      <c r="M925" s="10"/>
      <c r="N925" s="10"/>
      <c r="P925" s="10"/>
      <c r="Q925" s="22"/>
    </row>
    <row r="926" customFormat="false" ht="15.75" hidden="false" customHeight="false" outlineLevel="0" collapsed="false">
      <c r="A926" s="20" t="n">
        <v>46090</v>
      </c>
      <c r="B926" s="15" t="s">
        <v>452</v>
      </c>
      <c r="C926" s="15" t="s">
        <v>49</v>
      </c>
      <c r="D926" s="15" t="s">
        <v>537</v>
      </c>
      <c r="E926" s="15" t="n">
        <v>5</v>
      </c>
      <c r="H926" s="10"/>
      <c r="I926" s="21"/>
      <c r="M926" s="10"/>
      <c r="N926" s="10"/>
      <c r="P926" s="10"/>
      <c r="Q926" s="22"/>
    </row>
    <row r="927" customFormat="false" ht="15.75" hidden="false" customHeight="false" outlineLevel="0" collapsed="false">
      <c r="A927" s="20" t="n">
        <v>46090</v>
      </c>
      <c r="B927" s="15" t="s">
        <v>452</v>
      </c>
      <c r="C927" s="15" t="s">
        <v>61</v>
      </c>
      <c r="D927" s="15" t="s">
        <v>576</v>
      </c>
      <c r="E927" s="15" t="n">
        <v>1</v>
      </c>
      <c r="H927" s="10"/>
      <c r="I927" s="21"/>
      <c r="M927" s="10"/>
      <c r="N927" s="10"/>
      <c r="P927" s="10"/>
      <c r="Q927" s="22"/>
    </row>
    <row r="928" customFormat="false" ht="15.75" hidden="false" customHeight="false" outlineLevel="0" collapsed="false">
      <c r="A928" s="20" t="n">
        <v>46090</v>
      </c>
      <c r="B928" s="15" t="s">
        <v>469</v>
      </c>
      <c r="C928" s="15" t="s">
        <v>69</v>
      </c>
      <c r="D928" s="15" t="s">
        <v>535</v>
      </c>
      <c r="E928" s="15" t="n">
        <v>5</v>
      </c>
      <c r="H928" s="10"/>
      <c r="I928" s="21"/>
      <c r="M928" s="10"/>
      <c r="N928" s="10"/>
      <c r="P928" s="10"/>
      <c r="Q928" s="22"/>
    </row>
    <row r="929" customFormat="false" ht="15.75" hidden="false" customHeight="false" outlineLevel="0" collapsed="false">
      <c r="A929" s="20" t="n">
        <v>46090</v>
      </c>
      <c r="B929" s="15" t="s">
        <v>469</v>
      </c>
      <c r="C929" s="15" t="s">
        <v>55</v>
      </c>
      <c r="D929" s="15" t="s">
        <v>539</v>
      </c>
      <c r="E929" s="15" t="n">
        <v>2</v>
      </c>
      <c r="H929" s="10"/>
      <c r="I929" s="21"/>
      <c r="M929" s="10"/>
      <c r="N929" s="10"/>
      <c r="P929" s="10"/>
      <c r="Q929" s="22"/>
    </row>
    <row r="930" customFormat="false" ht="15.75" hidden="false" customHeight="false" outlineLevel="0" collapsed="false">
      <c r="A930" s="20" t="n">
        <v>46090</v>
      </c>
      <c r="B930" s="15" t="s">
        <v>469</v>
      </c>
      <c r="C930" s="15" t="s">
        <v>33</v>
      </c>
      <c r="D930" s="15" t="s">
        <v>536</v>
      </c>
      <c r="E930" s="15" t="n">
        <v>5</v>
      </c>
      <c r="H930" s="10"/>
      <c r="I930" s="21"/>
      <c r="M930" s="10"/>
      <c r="N930" s="10"/>
      <c r="P930" s="10"/>
      <c r="Q930" s="22"/>
    </row>
    <row r="931" customFormat="false" ht="15.75" hidden="false" customHeight="false" outlineLevel="0" collapsed="false">
      <c r="A931" s="20" t="n">
        <v>46090</v>
      </c>
      <c r="B931" s="15" t="s">
        <v>469</v>
      </c>
      <c r="C931" s="15" t="s">
        <v>547</v>
      </c>
      <c r="D931" s="15" t="s">
        <v>548</v>
      </c>
      <c r="E931" s="15" t="n">
        <v>1</v>
      </c>
      <c r="H931" s="10"/>
      <c r="I931" s="21"/>
      <c r="M931" s="10"/>
      <c r="N931" s="10"/>
      <c r="P931" s="10"/>
      <c r="Q931" s="22"/>
    </row>
    <row r="932" customFormat="false" ht="15.75" hidden="false" customHeight="false" outlineLevel="0" collapsed="false">
      <c r="A932" s="20" t="n">
        <v>46090</v>
      </c>
      <c r="B932" s="15" t="s">
        <v>469</v>
      </c>
      <c r="C932" s="15" t="s">
        <v>81</v>
      </c>
      <c r="D932" s="15" t="s">
        <v>534</v>
      </c>
      <c r="E932" s="15" t="n">
        <v>2</v>
      </c>
      <c r="H932" s="10"/>
      <c r="I932" s="21"/>
      <c r="M932" s="10"/>
      <c r="N932" s="10"/>
      <c r="P932" s="10"/>
      <c r="Q932" s="22"/>
    </row>
    <row r="933" customFormat="false" ht="15.75" hidden="false" customHeight="false" outlineLevel="0" collapsed="false">
      <c r="A933" s="20" t="n">
        <v>46090</v>
      </c>
      <c r="B933" s="15" t="s">
        <v>471</v>
      </c>
      <c r="C933" s="15" t="s">
        <v>25</v>
      </c>
      <c r="D933" s="15" t="s">
        <v>26</v>
      </c>
      <c r="E933" s="15" t="n">
        <v>2</v>
      </c>
      <c r="H933" s="10"/>
      <c r="I933" s="21"/>
      <c r="M933" s="10"/>
      <c r="N933" s="10"/>
      <c r="P933" s="10"/>
      <c r="Q933" s="22"/>
    </row>
    <row r="934" customFormat="false" ht="15.75" hidden="false" customHeight="false" outlineLevel="0" collapsed="false">
      <c r="A934" s="20" t="n">
        <v>46090</v>
      </c>
      <c r="B934" s="15" t="s">
        <v>471</v>
      </c>
      <c r="C934" s="15" t="s">
        <v>69</v>
      </c>
      <c r="D934" s="15" t="s">
        <v>535</v>
      </c>
      <c r="E934" s="15" t="n">
        <v>2</v>
      </c>
      <c r="H934" s="10"/>
      <c r="I934" s="21"/>
      <c r="M934" s="10"/>
      <c r="N934" s="10"/>
      <c r="P934" s="10"/>
      <c r="Q934" s="22"/>
    </row>
    <row r="935" customFormat="false" ht="15.75" hidden="false" customHeight="false" outlineLevel="0" collapsed="false">
      <c r="A935" s="20" t="n">
        <v>46090</v>
      </c>
      <c r="B935" s="15" t="s">
        <v>471</v>
      </c>
      <c r="C935" s="15" t="s">
        <v>555</v>
      </c>
      <c r="D935" s="15" t="s">
        <v>556</v>
      </c>
      <c r="E935" s="15" t="n">
        <v>2</v>
      </c>
      <c r="H935" s="10"/>
      <c r="I935" s="21"/>
      <c r="M935" s="10"/>
      <c r="N935" s="10"/>
      <c r="P935" s="10"/>
      <c r="Q935" s="22"/>
    </row>
    <row r="936" customFormat="false" ht="15.75" hidden="false" customHeight="false" outlineLevel="0" collapsed="false">
      <c r="A936" s="20" t="n">
        <v>46090</v>
      </c>
      <c r="B936" s="15" t="s">
        <v>477</v>
      </c>
      <c r="C936" s="15" t="s">
        <v>69</v>
      </c>
      <c r="D936" s="15" t="s">
        <v>535</v>
      </c>
      <c r="E936" s="15" t="n">
        <v>3</v>
      </c>
      <c r="H936" s="10"/>
      <c r="I936" s="21"/>
      <c r="M936" s="10"/>
      <c r="N936" s="10"/>
      <c r="P936" s="10"/>
      <c r="Q936" s="22"/>
    </row>
    <row r="937" customFormat="false" ht="15.75" hidden="false" customHeight="false" outlineLevel="0" collapsed="false">
      <c r="A937" s="20" t="n">
        <v>46090</v>
      </c>
      <c r="B937" s="15" t="s">
        <v>477</v>
      </c>
      <c r="C937" s="15" t="s">
        <v>547</v>
      </c>
      <c r="D937" s="15" t="s">
        <v>548</v>
      </c>
      <c r="E937" s="15" t="n">
        <v>3</v>
      </c>
      <c r="H937" s="10"/>
      <c r="I937" s="21"/>
      <c r="M937" s="10"/>
      <c r="N937" s="10"/>
      <c r="P937" s="10"/>
      <c r="Q937" s="22"/>
    </row>
    <row r="938" customFormat="false" ht="15.75" hidden="false" customHeight="false" outlineLevel="0" collapsed="false">
      <c r="A938" s="20" t="n">
        <v>46090</v>
      </c>
      <c r="B938" s="15" t="s">
        <v>477</v>
      </c>
      <c r="C938" s="15" t="s">
        <v>25</v>
      </c>
      <c r="D938" s="15" t="s">
        <v>26</v>
      </c>
      <c r="E938" s="15" t="n">
        <v>3</v>
      </c>
      <c r="H938" s="10"/>
      <c r="I938" s="21"/>
      <c r="M938" s="10"/>
      <c r="N938" s="10"/>
      <c r="P938" s="10"/>
      <c r="Q938" s="22"/>
    </row>
    <row r="939" customFormat="false" ht="15.75" hidden="false" customHeight="false" outlineLevel="0" collapsed="false">
      <c r="A939" s="20" t="n">
        <v>46090</v>
      </c>
      <c r="B939" s="15" t="s">
        <v>491</v>
      </c>
      <c r="C939" s="15" t="s">
        <v>37</v>
      </c>
      <c r="D939" s="15" t="s">
        <v>561</v>
      </c>
      <c r="E939" s="15" t="n">
        <v>1</v>
      </c>
      <c r="H939" s="10"/>
      <c r="I939" s="21"/>
      <c r="M939" s="10"/>
      <c r="N939" s="10"/>
      <c r="P939" s="10"/>
      <c r="Q939" s="22"/>
    </row>
    <row r="940" customFormat="false" ht="15.75" hidden="false" customHeight="false" outlineLevel="0" collapsed="false">
      <c r="A940" s="20" t="n">
        <v>46090</v>
      </c>
      <c r="B940" s="15" t="s">
        <v>491</v>
      </c>
      <c r="C940" s="15" t="s">
        <v>81</v>
      </c>
      <c r="D940" s="15" t="s">
        <v>534</v>
      </c>
      <c r="E940" s="15" t="n">
        <v>8</v>
      </c>
      <c r="H940" s="10"/>
      <c r="I940" s="21"/>
      <c r="M940" s="10"/>
      <c r="N940" s="10"/>
      <c r="P940" s="10"/>
      <c r="Q940" s="22"/>
    </row>
    <row r="941" customFormat="false" ht="15.75" hidden="false" customHeight="false" outlineLevel="0" collapsed="false">
      <c r="A941" s="20" t="n">
        <v>46090</v>
      </c>
      <c r="B941" s="15" t="s">
        <v>491</v>
      </c>
      <c r="C941" s="15" t="s">
        <v>75</v>
      </c>
      <c r="D941" s="15" t="s">
        <v>560</v>
      </c>
      <c r="E941" s="15" t="n">
        <v>1</v>
      </c>
      <c r="H941" s="10"/>
      <c r="I941" s="21"/>
      <c r="M941" s="10"/>
      <c r="N941" s="10"/>
      <c r="P941" s="10"/>
      <c r="Q941" s="22"/>
    </row>
    <row r="942" customFormat="false" ht="15.75" hidden="false" customHeight="false" outlineLevel="0" collapsed="false">
      <c r="A942" s="20" t="n">
        <v>46090</v>
      </c>
      <c r="B942" s="15" t="s">
        <v>491</v>
      </c>
      <c r="C942" s="15" t="s">
        <v>69</v>
      </c>
      <c r="D942" s="15" t="s">
        <v>535</v>
      </c>
      <c r="E942" s="15" t="n">
        <v>6</v>
      </c>
      <c r="H942" s="10"/>
      <c r="I942" s="21"/>
      <c r="M942" s="10"/>
      <c r="N942" s="10"/>
      <c r="P942" s="10"/>
      <c r="Q942" s="22"/>
    </row>
    <row r="943" customFormat="false" ht="15.75" hidden="false" customHeight="false" outlineLevel="0" collapsed="false">
      <c r="A943" s="20" t="n">
        <v>46090</v>
      </c>
      <c r="B943" s="15" t="s">
        <v>491</v>
      </c>
      <c r="C943" s="15" t="s">
        <v>547</v>
      </c>
      <c r="D943" s="15" t="s">
        <v>548</v>
      </c>
      <c r="E943" s="15" t="n">
        <v>1</v>
      </c>
      <c r="H943" s="10"/>
      <c r="I943" s="21"/>
      <c r="M943" s="10"/>
      <c r="N943" s="10"/>
      <c r="P943" s="10"/>
      <c r="Q943" s="22"/>
    </row>
    <row r="944" customFormat="false" ht="15.75" hidden="false" customHeight="false" outlineLevel="0" collapsed="false">
      <c r="A944" s="20" t="n">
        <v>46090</v>
      </c>
      <c r="B944" s="15" t="s">
        <v>491</v>
      </c>
      <c r="C944" s="15" t="s">
        <v>31</v>
      </c>
      <c r="D944" s="15" t="s">
        <v>559</v>
      </c>
      <c r="E944" s="15" t="n">
        <v>2</v>
      </c>
      <c r="H944" s="10"/>
      <c r="I944" s="21"/>
      <c r="M944" s="10"/>
      <c r="N944" s="10"/>
      <c r="P944" s="10"/>
      <c r="Q944" s="22"/>
    </row>
    <row r="945" customFormat="false" ht="15.75" hidden="false" customHeight="false" outlineLevel="0" collapsed="false">
      <c r="A945" s="20" t="n">
        <v>46090</v>
      </c>
      <c r="B945" s="15" t="s">
        <v>491</v>
      </c>
      <c r="C945" s="15" t="s">
        <v>545</v>
      </c>
      <c r="D945" s="15" t="s">
        <v>546</v>
      </c>
      <c r="E945" s="15" t="n">
        <v>2</v>
      </c>
      <c r="H945" s="10"/>
      <c r="I945" s="21"/>
      <c r="M945" s="10"/>
      <c r="N945" s="10"/>
      <c r="P945" s="10"/>
      <c r="Q945" s="22"/>
    </row>
    <row r="946" customFormat="false" ht="15.75" hidden="false" customHeight="false" outlineLevel="0" collapsed="false">
      <c r="A946" s="20" t="n">
        <v>46090</v>
      </c>
      <c r="B946" s="15" t="s">
        <v>491</v>
      </c>
      <c r="C946" s="15" t="s">
        <v>543</v>
      </c>
      <c r="D946" s="15" t="s">
        <v>544</v>
      </c>
      <c r="E946" s="15" t="n">
        <v>4</v>
      </c>
      <c r="H946" s="10"/>
      <c r="I946" s="21"/>
      <c r="M946" s="10"/>
      <c r="N946" s="10"/>
      <c r="P946" s="10"/>
      <c r="Q946" s="22"/>
    </row>
    <row r="947" customFormat="false" ht="15.75" hidden="false" customHeight="false" outlineLevel="0" collapsed="false">
      <c r="A947" s="20" t="n">
        <v>46090</v>
      </c>
      <c r="B947" s="15" t="s">
        <v>491</v>
      </c>
      <c r="C947" s="15" t="s">
        <v>541</v>
      </c>
      <c r="D947" s="15" t="s">
        <v>542</v>
      </c>
      <c r="E947" s="15" t="n">
        <v>2</v>
      </c>
      <c r="H947" s="10"/>
      <c r="I947" s="21"/>
      <c r="M947" s="10"/>
      <c r="N947" s="10"/>
      <c r="P947" s="10"/>
      <c r="Q947" s="22"/>
    </row>
    <row r="948" customFormat="false" ht="15.75" hidden="false" customHeight="false" outlineLevel="0" collapsed="false">
      <c r="A948" s="20" t="n">
        <v>46090</v>
      </c>
      <c r="B948" s="15" t="s">
        <v>491</v>
      </c>
      <c r="C948" s="15" t="s">
        <v>49</v>
      </c>
      <c r="D948" s="15" t="s">
        <v>537</v>
      </c>
      <c r="E948" s="15" t="n">
        <v>1</v>
      </c>
      <c r="H948" s="10"/>
      <c r="I948" s="21"/>
      <c r="M948" s="10"/>
      <c r="N948" s="10"/>
      <c r="P948" s="10"/>
      <c r="Q948" s="22"/>
    </row>
    <row r="949" customFormat="false" ht="15.75" hidden="false" customHeight="false" outlineLevel="0" collapsed="false">
      <c r="A949" s="20" t="n">
        <v>46090</v>
      </c>
      <c r="B949" s="15" t="s">
        <v>491</v>
      </c>
      <c r="C949" s="15" t="s">
        <v>33</v>
      </c>
      <c r="D949" s="15" t="s">
        <v>536</v>
      </c>
      <c r="E949" s="15" t="n">
        <v>5</v>
      </c>
      <c r="H949" s="10"/>
      <c r="I949" s="21"/>
      <c r="M949" s="10"/>
      <c r="N949" s="10"/>
      <c r="P949" s="10"/>
      <c r="Q949" s="22"/>
    </row>
    <row r="950" customFormat="false" ht="15.75" hidden="false" customHeight="false" outlineLevel="0" collapsed="false">
      <c r="A950" s="20" t="n">
        <v>46090</v>
      </c>
      <c r="B950" s="15" t="s">
        <v>491</v>
      </c>
      <c r="C950" s="15" t="s">
        <v>77</v>
      </c>
      <c r="D950" s="15" t="s">
        <v>78</v>
      </c>
      <c r="E950" s="15" t="n">
        <v>3</v>
      </c>
      <c r="H950" s="10"/>
      <c r="I950" s="21"/>
      <c r="M950" s="10"/>
      <c r="N950" s="10"/>
      <c r="P950" s="10"/>
      <c r="Q950" s="22"/>
    </row>
    <row r="951" customFormat="false" ht="15.75" hidden="false" customHeight="false" outlineLevel="0" collapsed="false">
      <c r="A951" s="20" t="n">
        <v>46090</v>
      </c>
      <c r="B951" s="15" t="s">
        <v>491</v>
      </c>
      <c r="C951" s="15" t="s">
        <v>47</v>
      </c>
      <c r="D951" s="15" t="s">
        <v>549</v>
      </c>
      <c r="E951" s="15" t="n">
        <v>1</v>
      </c>
      <c r="H951" s="10"/>
      <c r="I951" s="21"/>
      <c r="M951" s="10"/>
      <c r="N951" s="10"/>
      <c r="P951" s="10"/>
      <c r="Q951" s="22"/>
    </row>
    <row r="952" customFormat="false" ht="15.75" hidden="false" customHeight="false" outlineLevel="0" collapsed="false">
      <c r="A952" s="20" t="n">
        <v>46090</v>
      </c>
      <c r="B952" s="15" t="s">
        <v>491</v>
      </c>
      <c r="C952" s="15" t="s">
        <v>55</v>
      </c>
      <c r="D952" s="15" t="s">
        <v>539</v>
      </c>
      <c r="E952" s="15" t="n">
        <v>1</v>
      </c>
      <c r="H952" s="10"/>
      <c r="I952" s="21"/>
      <c r="M952" s="10"/>
      <c r="N952" s="10"/>
      <c r="P952" s="10"/>
      <c r="Q952" s="22"/>
    </row>
    <row r="953" customFormat="false" ht="15.75" hidden="false" customHeight="false" outlineLevel="0" collapsed="false">
      <c r="A953" s="20" t="n">
        <v>46090</v>
      </c>
      <c r="B953" s="15" t="s">
        <v>491</v>
      </c>
      <c r="C953" s="15" t="s">
        <v>59</v>
      </c>
      <c r="D953" s="15" t="s">
        <v>562</v>
      </c>
      <c r="E953" s="15" t="n">
        <v>1</v>
      </c>
      <c r="H953" s="10"/>
      <c r="I953" s="21"/>
      <c r="M953" s="10"/>
      <c r="N953" s="10"/>
      <c r="P953" s="10"/>
      <c r="Q953" s="22"/>
    </row>
    <row r="954" customFormat="false" ht="15.75" hidden="false" customHeight="false" outlineLevel="0" collapsed="false">
      <c r="A954" s="20" t="n">
        <v>46090</v>
      </c>
      <c r="B954" s="15" t="s">
        <v>491</v>
      </c>
      <c r="C954" s="15" t="s">
        <v>43</v>
      </c>
      <c r="D954" s="15" t="s">
        <v>538</v>
      </c>
      <c r="E954" s="15" t="n">
        <v>1</v>
      </c>
      <c r="H954" s="10"/>
      <c r="I954" s="21"/>
      <c r="M954" s="10"/>
      <c r="N954" s="10"/>
      <c r="P954" s="10"/>
      <c r="Q954" s="22"/>
    </row>
    <row r="955" customFormat="false" ht="15.75" hidden="false" customHeight="false" outlineLevel="0" collapsed="false">
      <c r="A955" s="20" t="n">
        <v>46090</v>
      </c>
      <c r="B955" s="15" t="s">
        <v>491</v>
      </c>
      <c r="C955" s="15" t="s">
        <v>87</v>
      </c>
      <c r="D955" s="15" t="s">
        <v>563</v>
      </c>
      <c r="E955" s="15" t="n">
        <v>1</v>
      </c>
      <c r="H955" s="10"/>
      <c r="I955" s="21"/>
      <c r="M955" s="10"/>
      <c r="N955" s="10"/>
      <c r="P955" s="10"/>
      <c r="Q955" s="22"/>
    </row>
    <row r="956" customFormat="false" ht="15.75" hidden="false" customHeight="false" outlineLevel="0" collapsed="false">
      <c r="A956" s="20" t="n">
        <v>46090</v>
      </c>
      <c r="B956" s="15" t="s">
        <v>491</v>
      </c>
      <c r="C956" s="15" t="s">
        <v>79</v>
      </c>
      <c r="D956" s="15" t="s">
        <v>564</v>
      </c>
      <c r="E956" s="15" t="n">
        <v>1</v>
      </c>
      <c r="H956" s="10"/>
      <c r="I956" s="21"/>
      <c r="M956" s="10"/>
      <c r="N956" s="10"/>
      <c r="P956" s="10"/>
      <c r="Q956" s="22"/>
    </row>
    <row r="957" customFormat="false" ht="15.75" hidden="false" customHeight="false" outlineLevel="0" collapsed="false">
      <c r="A957" s="20" t="n">
        <v>46090</v>
      </c>
      <c r="B957" s="15" t="s">
        <v>493</v>
      </c>
      <c r="C957" s="15" t="s">
        <v>63</v>
      </c>
      <c r="D957" s="15" t="s">
        <v>551</v>
      </c>
      <c r="E957" s="15" t="n">
        <v>1</v>
      </c>
      <c r="H957" s="10"/>
      <c r="I957" s="21"/>
      <c r="M957" s="10"/>
      <c r="N957" s="10"/>
      <c r="P957" s="10"/>
      <c r="Q957" s="22"/>
    </row>
    <row r="958" customFormat="false" ht="15.75" hidden="false" customHeight="false" outlineLevel="0" collapsed="false">
      <c r="A958" s="20" t="n">
        <v>46090</v>
      </c>
      <c r="B958" s="15" t="s">
        <v>493</v>
      </c>
      <c r="C958" s="15" t="s">
        <v>47</v>
      </c>
      <c r="D958" s="15" t="s">
        <v>549</v>
      </c>
      <c r="E958" s="15" t="n">
        <v>1</v>
      </c>
      <c r="H958" s="10"/>
      <c r="I958" s="21"/>
      <c r="M958" s="10"/>
      <c r="N958" s="10"/>
      <c r="P958" s="10"/>
      <c r="Q958" s="22"/>
    </row>
    <row r="959" customFormat="false" ht="15.75" hidden="false" customHeight="false" outlineLevel="0" collapsed="false">
      <c r="A959" s="20" t="n">
        <v>46090</v>
      </c>
      <c r="B959" s="15" t="s">
        <v>496</v>
      </c>
      <c r="C959" s="15" t="s">
        <v>81</v>
      </c>
      <c r="D959" s="15" t="s">
        <v>534</v>
      </c>
      <c r="E959" s="15" t="n">
        <v>7</v>
      </c>
      <c r="H959" s="10"/>
      <c r="I959" s="21"/>
      <c r="M959" s="10"/>
      <c r="N959" s="10"/>
      <c r="P959" s="10"/>
      <c r="Q959" s="22"/>
    </row>
    <row r="960" customFormat="false" ht="15.75" hidden="false" customHeight="false" outlineLevel="0" collapsed="false">
      <c r="A960" s="20" t="n">
        <v>46090</v>
      </c>
      <c r="B960" s="15" t="s">
        <v>496</v>
      </c>
      <c r="C960" s="15" t="s">
        <v>47</v>
      </c>
      <c r="D960" s="15" t="s">
        <v>549</v>
      </c>
      <c r="E960" s="15" t="n">
        <v>4</v>
      </c>
      <c r="H960" s="10"/>
      <c r="I960" s="21"/>
      <c r="M960" s="10"/>
      <c r="N960" s="10"/>
      <c r="P960" s="10"/>
      <c r="Q960" s="22"/>
    </row>
    <row r="961" customFormat="false" ht="15.75" hidden="false" customHeight="false" outlineLevel="0" collapsed="false">
      <c r="A961" s="20" t="n">
        <v>46090</v>
      </c>
      <c r="B961" s="15" t="s">
        <v>496</v>
      </c>
      <c r="C961" s="15" t="s">
        <v>55</v>
      </c>
      <c r="D961" s="15" t="s">
        <v>539</v>
      </c>
      <c r="E961" s="15" t="n">
        <v>2</v>
      </c>
      <c r="H961" s="10"/>
      <c r="I961" s="21"/>
      <c r="M961" s="10"/>
      <c r="N961" s="10"/>
      <c r="P961" s="10"/>
      <c r="Q961" s="22"/>
    </row>
    <row r="962" customFormat="false" ht="15.75" hidden="false" customHeight="false" outlineLevel="0" collapsed="false">
      <c r="A962" s="20" t="n">
        <v>46090</v>
      </c>
      <c r="B962" s="15" t="s">
        <v>496</v>
      </c>
      <c r="C962" s="15" t="s">
        <v>567</v>
      </c>
      <c r="D962" s="15" t="s">
        <v>568</v>
      </c>
      <c r="E962" s="15" t="n">
        <v>3</v>
      </c>
      <c r="H962" s="10"/>
      <c r="I962" s="21"/>
      <c r="M962" s="10"/>
      <c r="N962" s="10"/>
      <c r="P962" s="10"/>
      <c r="Q962" s="22"/>
    </row>
    <row r="963" customFormat="false" ht="15.75" hidden="false" customHeight="false" outlineLevel="0" collapsed="false">
      <c r="A963" s="20" t="n">
        <v>46090</v>
      </c>
      <c r="B963" s="15" t="s">
        <v>496</v>
      </c>
      <c r="C963" s="15" t="s">
        <v>545</v>
      </c>
      <c r="D963" s="15" t="s">
        <v>546</v>
      </c>
      <c r="E963" s="15" t="n">
        <v>3</v>
      </c>
      <c r="H963" s="10"/>
      <c r="I963" s="21"/>
      <c r="M963" s="10"/>
      <c r="N963" s="10"/>
      <c r="P963" s="10"/>
      <c r="Q963" s="22"/>
    </row>
    <row r="964" customFormat="false" ht="15.75" hidden="false" customHeight="false" outlineLevel="0" collapsed="false">
      <c r="A964" s="20" t="n">
        <v>46090</v>
      </c>
      <c r="B964" s="15" t="s">
        <v>496</v>
      </c>
      <c r="C964" s="15" t="s">
        <v>547</v>
      </c>
      <c r="D964" s="15" t="s">
        <v>548</v>
      </c>
      <c r="E964" s="15" t="n">
        <v>1</v>
      </c>
      <c r="H964" s="10"/>
      <c r="I964" s="21"/>
      <c r="M964" s="10"/>
      <c r="N964" s="10"/>
      <c r="P964" s="10"/>
      <c r="Q964" s="22"/>
    </row>
    <row r="965" customFormat="false" ht="15.75" hidden="false" customHeight="false" outlineLevel="0" collapsed="false">
      <c r="A965" s="20" t="n">
        <v>46090</v>
      </c>
      <c r="B965" s="15" t="s">
        <v>496</v>
      </c>
      <c r="C965" s="15" t="s">
        <v>555</v>
      </c>
      <c r="D965" s="15" t="s">
        <v>556</v>
      </c>
      <c r="E965" s="15" t="n">
        <v>4</v>
      </c>
      <c r="H965" s="10"/>
      <c r="I965" s="21"/>
      <c r="M965" s="10"/>
      <c r="N965" s="10"/>
      <c r="P965" s="10"/>
      <c r="Q965" s="22"/>
    </row>
    <row r="966" customFormat="false" ht="15.75" hidden="false" customHeight="false" outlineLevel="0" collapsed="false">
      <c r="A966" s="20" t="n">
        <v>46090</v>
      </c>
      <c r="B966" s="15" t="s">
        <v>496</v>
      </c>
      <c r="C966" s="15" t="s">
        <v>541</v>
      </c>
      <c r="D966" s="15" t="s">
        <v>542</v>
      </c>
      <c r="E966" s="15" t="n">
        <v>4</v>
      </c>
      <c r="H966" s="10"/>
      <c r="I966" s="21"/>
      <c r="M966" s="10"/>
      <c r="N966" s="10"/>
      <c r="P966" s="10"/>
      <c r="Q966" s="22"/>
    </row>
    <row r="967" customFormat="false" ht="15.75" hidden="false" customHeight="false" outlineLevel="0" collapsed="false">
      <c r="A967" s="20" t="n">
        <v>46090</v>
      </c>
      <c r="B967" s="15" t="s">
        <v>496</v>
      </c>
      <c r="C967" s="15" t="s">
        <v>45</v>
      </c>
      <c r="D967" s="15" t="s">
        <v>540</v>
      </c>
      <c r="E967" s="15" t="n">
        <v>1</v>
      </c>
      <c r="H967" s="10"/>
      <c r="I967" s="21"/>
      <c r="M967" s="10"/>
      <c r="N967" s="10"/>
      <c r="P967" s="10"/>
      <c r="Q967" s="22"/>
    </row>
    <row r="968" customFormat="false" ht="15.75" hidden="false" customHeight="false" outlineLevel="0" collapsed="false">
      <c r="A968" s="20" t="n">
        <v>46090</v>
      </c>
      <c r="B968" s="15" t="s">
        <v>496</v>
      </c>
      <c r="C968" s="15" t="s">
        <v>37</v>
      </c>
      <c r="D968" s="15" t="s">
        <v>561</v>
      </c>
      <c r="E968" s="15" t="n">
        <v>1</v>
      </c>
      <c r="H968" s="10"/>
      <c r="I968" s="21"/>
      <c r="M968" s="10"/>
      <c r="N968" s="10"/>
      <c r="P968" s="10"/>
      <c r="Q968" s="22"/>
    </row>
    <row r="969" customFormat="false" ht="15.75" hidden="false" customHeight="false" outlineLevel="0" collapsed="false">
      <c r="A969" s="20" t="n">
        <v>46090</v>
      </c>
      <c r="B969" s="15" t="s">
        <v>496</v>
      </c>
      <c r="C969" s="15" t="s">
        <v>543</v>
      </c>
      <c r="D969" s="15" t="s">
        <v>544</v>
      </c>
      <c r="E969" s="15" t="n">
        <v>4</v>
      </c>
      <c r="H969" s="10"/>
      <c r="I969" s="21"/>
      <c r="M969" s="10"/>
      <c r="N969" s="10"/>
      <c r="P969" s="10"/>
      <c r="Q969" s="22"/>
    </row>
    <row r="970" customFormat="false" ht="15.75" hidden="false" customHeight="false" outlineLevel="0" collapsed="false">
      <c r="A970" s="20" t="n">
        <v>46090</v>
      </c>
      <c r="B970" s="15" t="s">
        <v>496</v>
      </c>
      <c r="C970" s="15" t="s">
        <v>69</v>
      </c>
      <c r="D970" s="15" t="s">
        <v>535</v>
      </c>
      <c r="E970" s="15" t="n">
        <v>2</v>
      </c>
      <c r="H970" s="10"/>
      <c r="I970" s="21"/>
      <c r="M970" s="10"/>
      <c r="N970" s="10"/>
      <c r="P970" s="10"/>
      <c r="Q970" s="22"/>
    </row>
    <row r="971" customFormat="false" ht="15.75" hidden="false" customHeight="false" outlineLevel="0" collapsed="false">
      <c r="A971" s="20" t="n">
        <v>46090</v>
      </c>
      <c r="B971" s="15" t="s">
        <v>496</v>
      </c>
      <c r="C971" s="15" t="s">
        <v>77</v>
      </c>
      <c r="D971" s="15" t="s">
        <v>78</v>
      </c>
      <c r="E971" s="15" t="n">
        <v>2</v>
      </c>
      <c r="H971" s="10"/>
      <c r="I971" s="21"/>
      <c r="M971" s="10"/>
      <c r="N971" s="10"/>
      <c r="P971" s="10"/>
      <c r="Q971" s="22"/>
    </row>
    <row r="972" customFormat="false" ht="15.75" hidden="false" customHeight="false" outlineLevel="0" collapsed="false">
      <c r="A972" s="20" t="n">
        <v>46090</v>
      </c>
      <c r="B972" s="15" t="s">
        <v>496</v>
      </c>
      <c r="C972" s="15" t="s">
        <v>59</v>
      </c>
      <c r="D972" s="15" t="s">
        <v>562</v>
      </c>
      <c r="E972" s="15" t="n">
        <v>2</v>
      </c>
      <c r="H972" s="10"/>
      <c r="I972" s="21"/>
      <c r="M972" s="10"/>
      <c r="N972" s="10"/>
      <c r="P972" s="10"/>
      <c r="Q972" s="22"/>
    </row>
    <row r="973" customFormat="false" ht="15.75" hidden="false" customHeight="false" outlineLevel="0" collapsed="false">
      <c r="A973" s="20" t="n">
        <v>46090</v>
      </c>
      <c r="B973" s="15" t="s">
        <v>496</v>
      </c>
      <c r="C973" s="15" t="s">
        <v>33</v>
      </c>
      <c r="D973" s="15" t="s">
        <v>536</v>
      </c>
      <c r="E973" s="15" t="n">
        <v>2</v>
      </c>
      <c r="H973" s="10"/>
      <c r="I973" s="21"/>
      <c r="M973" s="10"/>
      <c r="N973" s="10"/>
      <c r="P973" s="10"/>
      <c r="Q973" s="22"/>
    </row>
    <row r="974" customFormat="false" ht="15.75" hidden="false" customHeight="false" outlineLevel="0" collapsed="false">
      <c r="A974" s="20" t="n">
        <v>46090</v>
      </c>
      <c r="B974" s="15" t="s">
        <v>496</v>
      </c>
      <c r="C974" s="15" t="s">
        <v>79</v>
      </c>
      <c r="D974" s="15" t="s">
        <v>564</v>
      </c>
      <c r="E974" s="15" t="n">
        <v>1</v>
      </c>
      <c r="H974" s="10"/>
      <c r="I974" s="21"/>
      <c r="M974" s="10"/>
      <c r="N974" s="10"/>
      <c r="P974" s="10"/>
      <c r="Q974" s="22"/>
    </row>
    <row r="975" customFormat="false" ht="15.75" hidden="false" customHeight="false" outlineLevel="0" collapsed="false">
      <c r="A975" s="20" t="n">
        <v>46090</v>
      </c>
      <c r="B975" s="15" t="s">
        <v>496</v>
      </c>
      <c r="C975" s="15" t="s">
        <v>65</v>
      </c>
      <c r="D975" s="15" t="s">
        <v>580</v>
      </c>
      <c r="E975" s="15" t="n">
        <v>1</v>
      </c>
      <c r="H975" s="10"/>
      <c r="I975" s="21"/>
      <c r="M975" s="10"/>
      <c r="N975" s="10"/>
      <c r="P975" s="10"/>
      <c r="Q975" s="22"/>
    </row>
    <row r="976" customFormat="false" ht="15.75" hidden="false" customHeight="false" outlineLevel="0" collapsed="false">
      <c r="A976" s="20" t="n">
        <v>46090</v>
      </c>
      <c r="B976" s="15" t="s">
        <v>499</v>
      </c>
      <c r="C976" s="15" t="s">
        <v>543</v>
      </c>
      <c r="D976" s="15" t="s">
        <v>544</v>
      </c>
      <c r="E976" s="15" t="n">
        <v>1</v>
      </c>
      <c r="H976" s="10"/>
      <c r="I976" s="21"/>
      <c r="M976" s="10"/>
      <c r="N976" s="10"/>
      <c r="P976" s="10"/>
      <c r="Q976" s="22"/>
    </row>
    <row r="977" customFormat="false" ht="15.75" hidden="false" customHeight="false" outlineLevel="0" collapsed="false">
      <c r="A977" s="20" t="n">
        <v>46090</v>
      </c>
      <c r="B977" s="15" t="s">
        <v>499</v>
      </c>
      <c r="C977" s="15" t="s">
        <v>69</v>
      </c>
      <c r="D977" s="15" t="s">
        <v>535</v>
      </c>
      <c r="E977" s="15" t="n">
        <v>1</v>
      </c>
      <c r="H977" s="10"/>
      <c r="I977" s="21"/>
      <c r="M977" s="10"/>
      <c r="N977" s="10"/>
      <c r="P977" s="10"/>
      <c r="Q977" s="22"/>
    </row>
    <row r="978" customFormat="false" ht="15.75" hidden="false" customHeight="false" outlineLevel="0" collapsed="false">
      <c r="A978" s="20" t="n">
        <v>46090</v>
      </c>
      <c r="B978" s="15" t="s">
        <v>499</v>
      </c>
      <c r="C978" s="15" t="s">
        <v>33</v>
      </c>
      <c r="D978" s="15" t="s">
        <v>536</v>
      </c>
      <c r="E978" s="15" t="n">
        <v>2</v>
      </c>
      <c r="H978" s="10"/>
      <c r="I978" s="21"/>
      <c r="M978" s="10"/>
      <c r="N978" s="10"/>
      <c r="P978" s="10"/>
      <c r="Q978" s="22"/>
    </row>
    <row r="979" customFormat="false" ht="15.75" hidden="false" customHeight="false" outlineLevel="0" collapsed="false">
      <c r="A979" s="20" t="n">
        <v>46090</v>
      </c>
      <c r="B979" s="15" t="s">
        <v>499</v>
      </c>
      <c r="C979" s="15" t="s">
        <v>55</v>
      </c>
      <c r="D979" s="15" t="s">
        <v>539</v>
      </c>
      <c r="E979" s="15" t="n">
        <v>1</v>
      </c>
      <c r="H979" s="10"/>
      <c r="I979" s="21"/>
      <c r="M979" s="10"/>
      <c r="N979" s="10"/>
      <c r="P979" s="10"/>
      <c r="Q979" s="22"/>
    </row>
    <row r="980" customFormat="false" ht="15.75" hidden="false" customHeight="false" outlineLevel="0" collapsed="false">
      <c r="A980" s="20" t="n">
        <v>46090</v>
      </c>
      <c r="B980" s="15" t="s">
        <v>499</v>
      </c>
      <c r="C980" s="15" t="s">
        <v>59</v>
      </c>
      <c r="D980" s="15" t="s">
        <v>562</v>
      </c>
      <c r="E980" s="15" t="n">
        <v>1</v>
      </c>
      <c r="H980" s="10"/>
      <c r="I980" s="21"/>
      <c r="M980" s="10"/>
      <c r="N980" s="10"/>
      <c r="P980" s="10"/>
      <c r="Q980" s="22"/>
    </row>
    <row r="981" customFormat="false" ht="15.75" hidden="false" customHeight="false" outlineLevel="0" collapsed="false">
      <c r="A981" s="20" t="n">
        <v>46090</v>
      </c>
      <c r="B981" s="15" t="s">
        <v>499</v>
      </c>
      <c r="C981" s="15" t="s">
        <v>47</v>
      </c>
      <c r="D981" s="15" t="s">
        <v>549</v>
      </c>
      <c r="E981" s="15" t="n">
        <v>1</v>
      </c>
      <c r="H981" s="10"/>
      <c r="I981" s="21"/>
      <c r="M981" s="10"/>
      <c r="N981" s="10"/>
      <c r="P981" s="10"/>
      <c r="Q981" s="22"/>
    </row>
    <row r="982" customFormat="false" ht="15.75" hidden="false" customHeight="false" outlineLevel="0" collapsed="false">
      <c r="A982" s="20" t="n">
        <v>46090</v>
      </c>
      <c r="B982" s="15" t="s">
        <v>499</v>
      </c>
      <c r="C982" s="15" t="s">
        <v>75</v>
      </c>
      <c r="D982" s="15" t="s">
        <v>560</v>
      </c>
      <c r="E982" s="15" t="n">
        <v>1</v>
      </c>
      <c r="H982" s="10"/>
      <c r="I982" s="21"/>
      <c r="M982" s="10"/>
      <c r="N982" s="10"/>
      <c r="P982" s="10"/>
      <c r="Q982" s="22"/>
    </row>
    <row r="983" customFormat="false" ht="15.75" hidden="false" customHeight="false" outlineLevel="0" collapsed="false">
      <c r="A983" s="20" t="n">
        <v>46090</v>
      </c>
      <c r="B983" s="15" t="s">
        <v>499</v>
      </c>
      <c r="C983" s="15" t="s">
        <v>81</v>
      </c>
      <c r="D983" s="15" t="s">
        <v>534</v>
      </c>
      <c r="E983" s="15" t="n">
        <v>7</v>
      </c>
      <c r="H983" s="10"/>
      <c r="I983" s="21"/>
      <c r="M983" s="10"/>
      <c r="N983" s="10"/>
      <c r="P983" s="10"/>
      <c r="Q983" s="22"/>
    </row>
    <row r="984" customFormat="false" ht="15.75" hidden="false" customHeight="false" outlineLevel="0" collapsed="false">
      <c r="A984" s="20" t="n">
        <v>46090</v>
      </c>
      <c r="B984" s="15" t="s">
        <v>499</v>
      </c>
      <c r="C984" s="15" t="s">
        <v>77</v>
      </c>
      <c r="D984" s="15" t="s">
        <v>78</v>
      </c>
      <c r="E984" s="15" t="n">
        <v>2</v>
      </c>
      <c r="H984" s="10"/>
      <c r="I984" s="21"/>
      <c r="M984" s="10"/>
      <c r="N984" s="10"/>
      <c r="P984" s="10"/>
      <c r="Q984" s="22"/>
    </row>
    <row r="985" customFormat="false" ht="15.75" hidden="false" customHeight="false" outlineLevel="0" collapsed="false">
      <c r="A985" s="20" t="n">
        <v>46090</v>
      </c>
      <c r="B985" s="15" t="s">
        <v>505</v>
      </c>
      <c r="C985" s="15" t="s">
        <v>55</v>
      </c>
      <c r="D985" s="15" t="s">
        <v>539</v>
      </c>
      <c r="E985" s="15" t="n">
        <v>6</v>
      </c>
      <c r="H985" s="10"/>
      <c r="I985" s="21"/>
      <c r="M985" s="10"/>
      <c r="N985" s="10"/>
      <c r="P985" s="10"/>
      <c r="Q985" s="22"/>
    </row>
    <row r="986" customFormat="false" ht="15.75" hidden="false" customHeight="false" outlineLevel="0" collapsed="false">
      <c r="A986" s="20" t="n">
        <v>46090</v>
      </c>
      <c r="B986" s="15" t="s">
        <v>505</v>
      </c>
      <c r="C986" s="15" t="s">
        <v>39</v>
      </c>
      <c r="D986" s="15" t="s">
        <v>550</v>
      </c>
      <c r="E986" s="15" t="n">
        <v>1</v>
      </c>
      <c r="H986" s="10"/>
      <c r="I986" s="21"/>
      <c r="M986" s="10"/>
      <c r="N986" s="10"/>
      <c r="P986" s="10"/>
      <c r="Q986" s="22"/>
    </row>
    <row r="987" customFormat="false" ht="15.75" hidden="false" customHeight="false" outlineLevel="0" collapsed="false">
      <c r="A987" s="20" t="n">
        <v>46090</v>
      </c>
      <c r="B987" s="15" t="s">
        <v>505</v>
      </c>
      <c r="C987" s="15" t="s">
        <v>81</v>
      </c>
      <c r="D987" s="15" t="s">
        <v>534</v>
      </c>
      <c r="E987" s="15" t="n">
        <v>9</v>
      </c>
      <c r="H987" s="10"/>
      <c r="I987" s="21"/>
      <c r="M987" s="10"/>
      <c r="N987" s="10"/>
      <c r="P987" s="10"/>
      <c r="Q987" s="22"/>
    </row>
    <row r="988" customFormat="false" ht="15.75" hidden="false" customHeight="false" outlineLevel="0" collapsed="false">
      <c r="A988" s="20" t="n">
        <v>46090</v>
      </c>
      <c r="B988" s="15" t="s">
        <v>505</v>
      </c>
      <c r="C988" s="15" t="s">
        <v>47</v>
      </c>
      <c r="D988" s="15" t="s">
        <v>549</v>
      </c>
      <c r="E988" s="15" t="n">
        <v>3</v>
      </c>
      <c r="H988" s="10"/>
      <c r="I988" s="21"/>
      <c r="M988" s="10"/>
      <c r="N988" s="10"/>
      <c r="P988" s="10"/>
      <c r="Q988" s="22"/>
    </row>
    <row r="989" customFormat="false" ht="15.75" hidden="false" customHeight="false" outlineLevel="0" collapsed="false">
      <c r="A989" s="20" t="n">
        <v>46090</v>
      </c>
      <c r="B989" s="15" t="s">
        <v>505</v>
      </c>
      <c r="C989" s="15" t="s">
        <v>63</v>
      </c>
      <c r="D989" s="15" t="s">
        <v>551</v>
      </c>
      <c r="E989" s="15" t="n">
        <v>1</v>
      </c>
      <c r="H989" s="10"/>
      <c r="I989" s="21"/>
      <c r="M989" s="10"/>
      <c r="N989" s="10"/>
      <c r="P989" s="10"/>
      <c r="Q989" s="22"/>
    </row>
    <row r="990" customFormat="false" ht="15.75" hidden="false" customHeight="false" outlineLevel="0" collapsed="false">
      <c r="A990" s="20" t="n">
        <v>46090</v>
      </c>
      <c r="B990" s="15" t="s">
        <v>505</v>
      </c>
      <c r="C990" s="15" t="s">
        <v>17</v>
      </c>
      <c r="D990" s="15" t="s">
        <v>554</v>
      </c>
      <c r="E990" s="15" t="n">
        <v>1</v>
      </c>
      <c r="H990" s="10"/>
      <c r="I990" s="21"/>
      <c r="M990" s="10"/>
      <c r="N990" s="10"/>
      <c r="P990" s="10"/>
      <c r="Q990" s="22"/>
    </row>
    <row r="991" customFormat="false" ht="15.75" hidden="false" customHeight="false" outlineLevel="0" collapsed="false">
      <c r="A991" s="20" t="n">
        <v>46090</v>
      </c>
      <c r="B991" s="15" t="s">
        <v>508</v>
      </c>
      <c r="C991" s="15" t="s">
        <v>55</v>
      </c>
      <c r="D991" s="15" t="s">
        <v>539</v>
      </c>
      <c r="E991" s="15" t="n">
        <v>5</v>
      </c>
      <c r="H991" s="10"/>
      <c r="I991" s="21"/>
      <c r="M991" s="10"/>
      <c r="N991" s="10"/>
      <c r="P991" s="10"/>
      <c r="Q991" s="22"/>
    </row>
    <row r="992" customFormat="false" ht="15.75" hidden="false" customHeight="false" outlineLevel="0" collapsed="false">
      <c r="A992" s="20" t="n">
        <v>46090</v>
      </c>
      <c r="B992" s="15" t="s">
        <v>508</v>
      </c>
      <c r="C992" s="15" t="s">
        <v>81</v>
      </c>
      <c r="D992" s="15" t="s">
        <v>534</v>
      </c>
      <c r="E992" s="15" t="n">
        <v>9</v>
      </c>
      <c r="H992" s="10"/>
      <c r="I992" s="21"/>
      <c r="M992" s="10"/>
      <c r="N992" s="10"/>
      <c r="P992" s="10"/>
      <c r="Q992" s="22"/>
    </row>
    <row r="993" customFormat="false" ht="15.75" hidden="false" customHeight="false" outlineLevel="0" collapsed="false">
      <c r="A993" s="20" t="n">
        <v>46090</v>
      </c>
      <c r="B993" s="15" t="s">
        <v>508</v>
      </c>
      <c r="C993" s="15" t="s">
        <v>39</v>
      </c>
      <c r="D993" s="15" t="s">
        <v>550</v>
      </c>
      <c r="E993" s="15" t="n">
        <v>2</v>
      </c>
      <c r="H993" s="10"/>
      <c r="I993" s="21"/>
      <c r="M993" s="10"/>
      <c r="N993" s="10"/>
      <c r="P993" s="10"/>
      <c r="Q993" s="22"/>
    </row>
    <row r="994" customFormat="false" ht="15.75" hidden="false" customHeight="false" outlineLevel="0" collapsed="false">
      <c r="A994" s="20" t="n">
        <v>46090</v>
      </c>
      <c r="B994" s="15" t="s">
        <v>508</v>
      </c>
      <c r="C994" s="15" t="s">
        <v>47</v>
      </c>
      <c r="D994" s="15" t="s">
        <v>549</v>
      </c>
      <c r="E994" s="15" t="n">
        <v>2</v>
      </c>
      <c r="H994" s="10"/>
      <c r="I994" s="21"/>
      <c r="M994" s="10"/>
      <c r="N994" s="10"/>
      <c r="P994" s="10"/>
      <c r="Q994" s="22"/>
    </row>
    <row r="995" customFormat="false" ht="15.75" hidden="false" customHeight="false" outlineLevel="0" collapsed="false">
      <c r="A995" s="20" t="n">
        <v>46090</v>
      </c>
      <c r="B995" s="15" t="s">
        <v>508</v>
      </c>
      <c r="C995" s="15" t="s">
        <v>63</v>
      </c>
      <c r="D995" s="15" t="s">
        <v>551</v>
      </c>
      <c r="E995" s="15" t="n">
        <v>1</v>
      </c>
      <c r="H995" s="10"/>
      <c r="I995" s="21"/>
      <c r="M995" s="10"/>
      <c r="N995" s="10"/>
      <c r="P995" s="10"/>
      <c r="Q995" s="22"/>
    </row>
    <row r="996" customFormat="false" ht="15.75" hidden="false" customHeight="false" outlineLevel="0" collapsed="false">
      <c r="A996" s="20" t="n">
        <v>46090</v>
      </c>
      <c r="B996" s="15" t="s">
        <v>514</v>
      </c>
      <c r="C996" s="15" t="s">
        <v>55</v>
      </c>
      <c r="D996" s="15" t="s">
        <v>539</v>
      </c>
      <c r="E996" s="15" t="n">
        <v>5</v>
      </c>
      <c r="H996" s="10"/>
      <c r="I996" s="21"/>
      <c r="M996" s="10"/>
      <c r="N996" s="10"/>
      <c r="P996" s="10"/>
      <c r="Q996" s="22"/>
    </row>
    <row r="997" customFormat="false" ht="15.75" hidden="false" customHeight="false" outlineLevel="0" collapsed="false">
      <c r="A997" s="20" t="n">
        <v>46090</v>
      </c>
      <c r="B997" s="15" t="s">
        <v>514</v>
      </c>
      <c r="C997" s="15" t="s">
        <v>57</v>
      </c>
      <c r="D997" s="15" t="s">
        <v>553</v>
      </c>
      <c r="E997" s="15" t="n">
        <v>1</v>
      </c>
      <c r="H997" s="10"/>
      <c r="I997" s="21"/>
      <c r="M997" s="10"/>
      <c r="N997" s="10"/>
      <c r="P997" s="10"/>
      <c r="Q997" s="22"/>
    </row>
    <row r="998" customFormat="false" ht="15.75" hidden="false" customHeight="false" outlineLevel="0" collapsed="false">
      <c r="A998" s="20" t="n">
        <v>46090</v>
      </c>
      <c r="B998" s="15" t="s">
        <v>514</v>
      </c>
      <c r="C998" s="15" t="s">
        <v>49</v>
      </c>
      <c r="D998" s="15" t="s">
        <v>537</v>
      </c>
      <c r="E998" s="15" t="n">
        <v>1</v>
      </c>
      <c r="H998" s="10"/>
      <c r="I998" s="21"/>
      <c r="M998" s="10"/>
      <c r="N998" s="10"/>
      <c r="P998" s="10"/>
      <c r="Q998" s="22"/>
    </row>
    <row r="999" customFormat="false" ht="15.75" hidden="false" customHeight="false" outlineLevel="0" collapsed="false">
      <c r="A999" s="20" t="n">
        <v>46090</v>
      </c>
      <c r="B999" s="15" t="s">
        <v>514</v>
      </c>
      <c r="C999" s="15" t="s">
        <v>47</v>
      </c>
      <c r="D999" s="15" t="s">
        <v>549</v>
      </c>
      <c r="E999" s="15" t="n">
        <v>4</v>
      </c>
      <c r="H999" s="10"/>
      <c r="I999" s="21"/>
      <c r="M999" s="10"/>
      <c r="N999" s="10"/>
      <c r="P999" s="10"/>
      <c r="Q999" s="22"/>
    </row>
    <row r="1000" customFormat="false" ht="15.75" hidden="false" customHeight="false" outlineLevel="0" collapsed="false">
      <c r="A1000" s="20" t="n">
        <v>46090</v>
      </c>
      <c r="B1000" s="15" t="s">
        <v>514</v>
      </c>
      <c r="C1000" s="15" t="s">
        <v>81</v>
      </c>
      <c r="D1000" s="15" t="s">
        <v>534</v>
      </c>
      <c r="E1000" s="15" t="n">
        <v>7</v>
      </c>
      <c r="H1000" s="10"/>
      <c r="I1000" s="21"/>
      <c r="M1000" s="10"/>
      <c r="N1000" s="10"/>
      <c r="P1000" s="10"/>
      <c r="Q1000" s="22"/>
    </row>
    <row r="1001" customFormat="false" ht="15.75" hidden="false" customHeight="false" outlineLevel="0" collapsed="false">
      <c r="A1001" s="20" t="n">
        <v>46090</v>
      </c>
      <c r="B1001" s="15" t="s">
        <v>514</v>
      </c>
      <c r="C1001" s="15" t="s">
        <v>63</v>
      </c>
      <c r="D1001" s="15" t="s">
        <v>551</v>
      </c>
      <c r="E1001" s="15" t="n">
        <v>1</v>
      </c>
      <c r="H1001" s="10"/>
      <c r="I1001" s="21"/>
      <c r="M1001" s="10"/>
      <c r="N1001" s="10"/>
      <c r="P1001" s="10"/>
      <c r="Q1001" s="22"/>
    </row>
    <row r="1002" customFormat="false" ht="15.75" hidden="false" customHeight="false" outlineLevel="0" collapsed="false">
      <c r="A1002" s="20" t="n">
        <v>46090</v>
      </c>
      <c r="B1002" s="15" t="s">
        <v>514</v>
      </c>
      <c r="C1002" s="15" t="s">
        <v>17</v>
      </c>
      <c r="D1002" s="15" t="s">
        <v>554</v>
      </c>
      <c r="E1002" s="15" t="n">
        <v>1</v>
      </c>
      <c r="H1002" s="10"/>
      <c r="I1002" s="21"/>
      <c r="M1002" s="10"/>
      <c r="N1002" s="10"/>
      <c r="P1002" s="10"/>
      <c r="Q1002" s="22"/>
    </row>
    <row r="1003" customFormat="false" ht="15.75" hidden="false" customHeight="false" outlineLevel="0" collapsed="false">
      <c r="A1003" s="20" t="n">
        <v>46090</v>
      </c>
      <c r="B1003" s="15" t="s">
        <v>518</v>
      </c>
      <c r="C1003" s="15" t="s">
        <v>69</v>
      </c>
      <c r="D1003" s="15" t="s">
        <v>535</v>
      </c>
      <c r="E1003" s="15" t="n">
        <v>6</v>
      </c>
      <c r="H1003" s="10"/>
      <c r="I1003" s="21"/>
      <c r="M1003" s="10"/>
      <c r="N1003" s="10"/>
      <c r="P1003" s="10"/>
      <c r="Q1003" s="22"/>
    </row>
    <row r="1004" customFormat="false" ht="15.75" hidden="false" customHeight="false" outlineLevel="0" collapsed="false">
      <c r="A1004" s="20" t="n">
        <v>46090</v>
      </c>
      <c r="B1004" s="15" t="s">
        <v>518</v>
      </c>
      <c r="C1004" s="15" t="s">
        <v>33</v>
      </c>
      <c r="D1004" s="15" t="s">
        <v>536</v>
      </c>
      <c r="E1004" s="15" t="n">
        <v>6</v>
      </c>
      <c r="H1004" s="10"/>
      <c r="I1004" s="21"/>
      <c r="M1004" s="10"/>
      <c r="N1004" s="10"/>
      <c r="P1004" s="10"/>
      <c r="Q1004" s="22"/>
    </row>
    <row r="1005" customFormat="false" ht="15.75" hidden="false" customHeight="false" outlineLevel="0" collapsed="false">
      <c r="A1005" s="20" t="n">
        <v>46090</v>
      </c>
      <c r="B1005" s="15" t="s">
        <v>518</v>
      </c>
      <c r="C1005" s="15" t="s">
        <v>47</v>
      </c>
      <c r="D1005" s="15" t="s">
        <v>549</v>
      </c>
      <c r="E1005" s="15" t="n">
        <v>2</v>
      </c>
      <c r="H1005" s="10"/>
      <c r="I1005" s="21"/>
      <c r="M1005" s="10"/>
      <c r="N1005" s="10"/>
      <c r="P1005" s="10"/>
      <c r="Q1005" s="22"/>
    </row>
    <row r="1006" customFormat="false" ht="15.75" hidden="false" customHeight="false" outlineLevel="0" collapsed="false">
      <c r="A1006" s="20" t="n">
        <v>46090</v>
      </c>
      <c r="B1006" s="15" t="s">
        <v>518</v>
      </c>
      <c r="C1006" s="15" t="s">
        <v>51</v>
      </c>
      <c r="D1006" s="15" t="s">
        <v>573</v>
      </c>
      <c r="E1006" s="15" t="n">
        <v>1</v>
      </c>
      <c r="H1006" s="10"/>
      <c r="I1006" s="21"/>
      <c r="M1006" s="10"/>
      <c r="N1006" s="10"/>
      <c r="P1006" s="10"/>
      <c r="Q1006" s="22"/>
    </row>
    <row r="1007" customFormat="false" ht="15.75" hidden="false" customHeight="false" outlineLevel="0" collapsed="false">
      <c r="A1007" s="20" t="n">
        <v>46090</v>
      </c>
      <c r="B1007" s="15" t="s">
        <v>518</v>
      </c>
      <c r="C1007" s="15" t="s">
        <v>55</v>
      </c>
      <c r="D1007" s="15" t="s">
        <v>539</v>
      </c>
      <c r="E1007" s="15" t="n">
        <v>2</v>
      </c>
      <c r="H1007" s="10"/>
      <c r="I1007" s="21"/>
      <c r="M1007" s="10"/>
      <c r="N1007" s="10"/>
      <c r="P1007" s="10"/>
      <c r="Q1007" s="22"/>
    </row>
    <row r="1008" customFormat="false" ht="15.75" hidden="false" customHeight="false" outlineLevel="0" collapsed="false">
      <c r="A1008" s="20" t="n">
        <v>46090</v>
      </c>
      <c r="B1008" s="15" t="s">
        <v>518</v>
      </c>
      <c r="C1008" s="15" t="s">
        <v>37</v>
      </c>
      <c r="D1008" s="15" t="s">
        <v>561</v>
      </c>
      <c r="E1008" s="15" t="n">
        <v>2</v>
      </c>
      <c r="H1008" s="10"/>
      <c r="I1008" s="21"/>
      <c r="M1008" s="10"/>
      <c r="N1008" s="10"/>
      <c r="P1008" s="10"/>
      <c r="Q1008" s="22"/>
    </row>
    <row r="1009" customFormat="false" ht="15.75" hidden="false" customHeight="false" outlineLevel="0" collapsed="false">
      <c r="A1009" s="20" t="n">
        <v>46090</v>
      </c>
      <c r="B1009" s="15" t="s">
        <v>518</v>
      </c>
      <c r="C1009" s="15" t="s">
        <v>547</v>
      </c>
      <c r="D1009" s="15" t="s">
        <v>548</v>
      </c>
      <c r="E1009" s="15" t="n">
        <v>1</v>
      </c>
      <c r="H1009" s="10"/>
      <c r="I1009" s="21"/>
      <c r="M1009" s="10"/>
      <c r="N1009" s="10"/>
      <c r="P1009" s="10"/>
      <c r="Q1009" s="22"/>
    </row>
    <row r="1010" customFormat="false" ht="15.75" hidden="false" customHeight="false" outlineLevel="0" collapsed="false">
      <c r="A1010" s="20" t="n">
        <v>46090</v>
      </c>
      <c r="B1010" s="15" t="s">
        <v>518</v>
      </c>
      <c r="C1010" s="15" t="s">
        <v>81</v>
      </c>
      <c r="D1010" s="15" t="s">
        <v>534</v>
      </c>
      <c r="E1010" s="15" t="n">
        <v>1</v>
      </c>
      <c r="H1010" s="10"/>
      <c r="I1010" s="21"/>
      <c r="M1010" s="10"/>
      <c r="N1010" s="10"/>
      <c r="P1010" s="10"/>
      <c r="Q1010" s="22"/>
    </row>
    <row r="1011" customFormat="false" ht="15.75" hidden="false" customHeight="false" outlineLevel="0" collapsed="false">
      <c r="A1011" s="20" t="n">
        <v>46091</v>
      </c>
      <c r="B1011" s="15" t="s">
        <v>452</v>
      </c>
      <c r="C1011" s="15" t="s">
        <v>81</v>
      </c>
      <c r="D1011" s="15" t="s">
        <v>534</v>
      </c>
      <c r="E1011" s="15" t="n">
        <v>11</v>
      </c>
      <c r="H1011" s="10"/>
      <c r="I1011" s="21"/>
      <c r="M1011" s="10"/>
      <c r="N1011" s="10"/>
      <c r="P1011" s="10"/>
      <c r="Q1011" s="22"/>
    </row>
    <row r="1012" customFormat="false" ht="15.75" hidden="false" customHeight="false" outlineLevel="0" collapsed="false">
      <c r="A1012" s="20" t="n">
        <v>46091</v>
      </c>
      <c r="B1012" s="15" t="s">
        <v>452</v>
      </c>
      <c r="C1012" s="15" t="s">
        <v>555</v>
      </c>
      <c r="D1012" s="15" t="s">
        <v>556</v>
      </c>
      <c r="E1012" s="15" t="n">
        <v>2</v>
      </c>
      <c r="H1012" s="10"/>
      <c r="I1012" s="21"/>
      <c r="M1012" s="10"/>
      <c r="N1012" s="10"/>
      <c r="P1012" s="10"/>
      <c r="Q1012" s="22"/>
    </row>
    <row r="1013" customFormat="false" ht="15.75" hidden="false" customHeight="false" outlineLevel="0" collapsed="false">
      <c r="A1013" s="20" t="n">
        <v>46091</v>
      </c>
      <c r="B1013" s="15" t="s">
        <v>452</v>
      </c>
      <c r="C1013" s="15" t="s">
        <v>545</v>
      </c>
      <c r="D1013" s="15" t="s">
        <v>546</v>
      </c>
      <c r="E1013" s="15" t="n">
        <v>1</v>
      </c>
      <c r="H1013" s="10"/>
      <c r="I1013" s="21"/>
      <c r="M1013" s="10"/>
      <c r="N1013" s="10"/>
      <c r="P1013" s="10"/>
      <c r="Q1013" s="22"/>
    </row>
    <row r="1014" customFormat="false" ht="15.75" hidden="false" customHeight="false" outlineLevel="0" collapsed="false">
      <c r="A1014" s="20" t="n">
        <v>46091</v>
      </c>
      <c r="B1014" s="15" t="s">
        <v>452</v>
      </c>
      <c r="C1014" s="15" t="s">
        <v>543</v>
      </c>
      <c r="D1014" s="15" t="s">
        <v>544</v>
      </c>
      <c r="E1014" s="15" t="n">
        <v>1</v>
      </c>
      <c r="H1014" s="10"/>
      <c r="I1014" s="21"/>
      <c r="M1014" s="10"/>
      <c r="N1014" s="10"/>
      <c r="P1014" s="10"/>
      <c r="Q1014" s="22"/>
    </row>
    <row r="1015" customFormat="false" ht="15.75" hidden="false" customHeight="false" outlineLevel="0" collapsed="false">
      <c r="A1015" s="20" t="n">
        <v>46091</v>
      </c>
      <c r="B1015" s="15" t="s">
        <v>452</v>
      </c>
      <c r="C1015" s="15" t="s">
        <v>69</v>
      </c>
      <c r="D1015" s="15" t="s">
        <v>535</v>
      </c>
      <c r="E1015" s="15" t="n">
        <v>4</v>
      </c>
      <c r="H1015" s="10"/>
      <c r="I1015" s="21"/>
      <c r="M1015" s="10"/>
      <c r="N1015" s="10"/>
      <c r="P1015" s="10"/>
      <c r="Q1015" s="22"/>
    </row>
    <row r="1016" customFormat="false" ht="15.75" hidden="false" customHeight="false" outlineLevel="0" collapsed="false">
      <c r="A1016" s="20" t="n">
        <v>46091</v>
      </c>
      <c r="B1016" s="15" t="s">
        <v>452</v>
      </c>
      <c r="C1016" s="15" t="s">
        <v>33</v>
      </c>
      <c r="D1016" s="15" t="s">
        <v>536</v>
      </c>
      <c r="E1016" s="15" t="n">
        <v>4</v>
      </c>
      <c r="H1016" s="10"/>
      <c r="I1016" s="21"/>
      <c r="M1016" s="10"/>
      <c r="N1016" s="10"/>
      <c r="P1016" s="10"/>
      <c r="Q1016" s="22"/>
    </row>
    <row r="1017" customFormat="false" ht="15.75" hidden="false" customHeight="false" outlineLevel="0" collapsed="false">
      <c r="A1017" s="20" t="n">
        <v>46091</v>
      </c>
      <c r="B1017" s="15" t="s">
        <v>452</v>
      </c>
      <c r="C1017" s="15" t="s">
        <v>79</v>
      </c>
      <c r="D1017" s="15" t="s">
        <v>564</v>
      </c>
      <c r="E1017" s="15" t="n">
        <v>1</v>
      </c>
      <c r="H1017" s="10"/>
      <c r="I1017" s="21"/>
      <c r="M1017" s="10"/>
      <c r="N1017" s="10"/>
      <c r="P1017" s="10"/>
      <c r="Q1017" s="22"/>
    </row>
    <row r="1018" customFormat="false" ht="15.75" hidden="false" customHeight="false" outlineLevel="0" collapsed="false">
      <c r="A1018" s="20" t="n">
        <v>46091</v>
      </c>
      <c r="B1018" s="15" t="s">
        <v>452</v>
      </c>
      <c r="C1018" s="15" t="s">
        <v>77</v>
      </c>
      <c r="D1018" s="15" t="s">
        <v>78</v>
      </c>
      <c r="E1018" s="15" t="n">
        <v>2</v>
      </c>
      <c r="H1018" s="10"/>
      <c r="I1018" s="21"/>
      <c r="M1018" s="10"/>
      <c r="N1018" s="10"/>
      <c r="P1018" s="10"/>
      <c r="Q1018" s="22"/>
    </row>
    <row r="1019" customFormat="false" ht="15.75" hidden="false" customHeight="false" outlineLevel="0" collapsed="false">
      <c r="A1019" s="20" t="n">
        <v>46091</v>
      </c>
      <c r="B1019" s="15" t="s">
        <v>452</v>
      </c>
      <c r="C1019" s="15" t="s">
        <v>49</v>
      </c>
      <c r="D1019" s="15" t="s">
        <v>537</v>
      </c>
      <c r="E1019" s="15" t="n">
        <v>5</v>
      </c>
      <c r="H1019" s="10"/>
      <c r="I1019" s="21"/>
      <c r="M1019" s="10"/>
      <c r="N1019" s="10"/>
      <c r="P1019" s="10"/>
      <c r="Q1019" s="22"/>
    </row>
    <row r="1020" customFormat="false" ht="15.75" hidden="false" customHeight="false" outlineLevel="0" collapsed="false">
      <c r="A1020" s="20" t="n">
        <v>46091</v>
      </c>
      <c r="B1020" s="15" t="s">
        <v>452</v>
      </c>
      <c r="C1020" s="15" t="s">
        <v>61</v>
      </c>
      <c r="D1020" s="15" t="s">
        <v>576</v>
      </c>
      <c r="E1020" s="15" t="n">
        <v>1</v>
      </c>
      <c r="H1020" s="10"/>
      <c r="I1020" s="21"/>
      <c r="M1020" s="10"/>
      <c r="N1020" s="10"/>
      <c r="P1020" s="10"/>
      <c r="Q1020" s="22"/>
    </row>
    <row r="1021" customFormat="false" ht="15.75" hidden="false" customHeight="false" outlineLevel="0" collapsed="false">
      <c r="A1021" s="20" t="n">
        <v>46091</v>
      </c>
      <c r="B1021" s="15" t="s">
        <v>469</v>
      </c>
      <c r="C1021" s="15" t="s">
        <v>69</v>
      </c>
      <c r="D1021" s="15" t="s">
        <v>535</v>
      </c>
      <c r="E1021" s="15" t="n">
        <v>5</v>
      </c>
      <c r="H1021" s="10"/>
      <c r="I1021" s="21"/>
      <c r="M1021" s="10"/>
      <c r="N1021" s="10"/>
      <c r="P1021" s="10"/>
      <c r="Q1021" s="22"/>
    </row>
    <row r="1022" customFormat="false" ht="15.75" hidden="false" customHeight="false" outlineLevel="0" collapsed="false">
      <c r="A1022" s="20" t="n">
        <v>46091</v>
      </c>
      <c r="B1022" s="15" t="s">
        <v>469</v>
      </c>
      <c r="C1022" s="15" t="s">
        <v>55</v>
      </c>
      <c r="D1022" s="15" t="s">
        <v>539</v>
      </c>
      <c r="E1022" s="15" t="n">
        <v>2</v>
      </c>
      <c r="H1022" s="10"/>
      <c r="I1022" s="21"/>
      <c r="M1022" s="10"/>
      <c r="N1022" s="10"/>
      <c r="P1022" s="10"/>
      <c r="Q1022" s="22"/>
    </row>
    <row r="1023" customFormat="false" ht="15.75" hidden="false" customHeight="false" outlineLevel="0" collapsed="false">
      <c r="A1023" s="20" t="n">
        <v>46091</v>
      </c>
      <c r="B1023" s="15" t="s">
        <v>469</v>
      </c>
      <c r="C1023" s="15" t="s">
        <v>33</v>
      </c>
      <c r="D1023" s="15" t="s">
        <v>536</v>
      </c>
      <c r="E1023" s="15" t="n">
        <v>5</v>
      </c>
      <c r="H1023" s="10"/>
      <c r="I1023" s="21"/>
      <c r="M1023" s="10"/>
      <c r="N1023" s="10"/>
      <c r="P1023" s="10"/>
      <c r="Q1023" s="22"/>
    </row>
    <row r="1024" customFormat="false" ht="15.75" hidden="false" customHeight="false" outlineLevel="0" collapsed="false">
      <c r="A1024" s="20" t="n">
        <v>46091</v>
      </c>
      <c r="B1024" s="15" t="s">
        <v>469</v>
      </c>
      <c r="C1024" s="15" t="s">
        <v>547</v>
      </c>
      <c r="D1024" s="15" t="s">
        <v>548</v>
      </c>
      <c r="E1024" s="15" t="n">
        <v>1</v>
      </c>
      <c r="H1024" s="10"/>
      <c r="I1024" s="21"/>
      <c r="M1024" s="10"/>
      <c r="N1024" s="10"/>
      <c r="P1024" s="10"/>
      <c r="Q1024" s="22"/>
    </row>
    <row r="1025" customFormat="false" ht="15.75" hidden="false" customHeight="false" outlineLevel="0" collapsed="false">
      <c r="A1025" s="20" t="n">
        <v>46091</v>
      </c>
      <c r="B1025" s="15" t="s">
        <v>469</v>
      </c>
      <c r="C1025" s="15" t="s">
        <v>81</v>
      </c>
      <c r="D1025" s="15" t="s">
        <v>534</v>
      </c>
      <c r="E1025" s="15" t="n">
        <v>2</v>
      </c>
      <c r="H1025" s="10"/>
      <c r="I1025" s="21"/>
      <c r="M1025" s="10"/>
      <c r="N1025" s="10"/>
      <c r="P1025" s="10"/>
      <c r="Q1025" s="22"/>
    </row>
    <row r="1026" customFormat="false" ht="15.75" hidden="false" customHeight="false" outlineLevel="0" collapsed="false">
      <c r="A1026" s="20" t="n">
        <v>46091</v>
      </c>
      <c r="B1026" s="15" t="s">
        <v>471</v>
      </c>
      <c r="C1026" s="15" t="s">
        <v>25</v>
      </c>
      <c r="D1026" s="15" t="s">
        <v>26</v>
      </c>
      <c r="E1026" s="15" t="n">
        <v>2</v>
      </c>
      <c r="H1026" s="10"/>
      <c r="I1026" s="21"/>
      <c r="M1026" s="10"/>
      <c r="N1026" s="10"/>
      <c r="P1026" s="10"/>
      <c r="Q1026" s="22"/>
    </row>
    <row r="1027" customFormat="false" ht="15.75" hidden="false" customHeight="false" outlineLevel="0" collapsed="false">
      <c r="A1027" s="20" t="n">
        <v>46091</v>
      </c>
      <c r="B1027" s="15" t="s">
        <v>471</v>
      </c>
      <c r="C1027" s="15" t="s">
        <v>69</v>
      </c>
      <c r="D1027" s="15" t="s">
        <v>535</v>
      </c>
      <c r="E1027" s="15" t="n">
        <v>2</v>
      </c>
      <c r="H1027" s="10"/>
      <c r="I1027" s="21"/>
      <c r="M1027" s="10"/>
      <c r="N1027" s="10"/>
      <c r="P1027" s="10"/>
      <c r="Q1027" s="22"/>
    </row>
    <row r="1028" customFormat="false" ht="15.75" hidden="false" customHeight="false" outlineLevel="0" collapsed="false">
      <c r="A1028" s="20" t="n">
        <v>46091</v>
      </c>
      <c r="B1028" s="15" t="s">
        <v>471</v>
      </c>
      <c r="C1028" s="15" t="s">
        <v>555</v>
      </c>
      <c r="D1028" s="15" t="s">
        <v>556</v>
      </c>
      <c r="E1028" s="15" t="n">
        <v>2</v>
      </c>
      <c r="H1028" s="10"/>
      <c r="I1028" s="21"/>
      <c r="M1028" s="10"/>
      <c r="N1028" s="10"/>
      <c r="P1028" s="10"/>
      <c r="Q1028" s="22"/>
    </row>
    <row r="1029" customFormat="false" ht="15.75" hidden="false" customHeight="false" outlineLevel="0" collapsed="false">
      <c r="A1029" s="20" t="n">
        <v>46091</v>
      </c>
      <c r="B1029" s="15" t="s">
        <v>477</v>
      </c>
      <c r="C1029" s="15" t="s">
        <v>69</v>
      </c>
      <c r="D1029" s="15" t="s">
        <v>535</v>
      </c>
      <c r="E1029" s="15" t="n">
        <v>3</v>
      </c>
      <c r="H1029" s="10"/>
      <c r="I1029" s="21"/>
      <c r="M1029" s="10"/>
      <c r="N1029" s="10"/>
      <c r="P1029" s="10"/>
      <c r="Q1029" s="22"/>
    </row>
    <row r="1030" customFormat="false" ht="15.75" hidden="false" customHeight="false" outlineLevel="0" collapsed="false">
      <c r="A1030" s="20" t="n">
        <v>46091</v>
      </c>
      <c r="B1030" s="15" t="s">
        <v>477</v>
      </c>
      <c r="C1030" s="15" t="s">
        <v>547</v>
      </c>
      <c r="D1030" s="15" t="s">
        <v>548</v>
      </c>
      <c r="E1030" s="15" t="n">
        <v>3</v>
      </c>
      <c r="H1030" s="10"/>
      <c r="I1030" s="21"/>
      <c r="M1030" s="10"/>
      <c r="N1030" s="10"/>
      <c r="P1030" s="10"/>
      <c r="Q1030" s="22"/>
    </row>
    <row r="1031" customFormat="false" ht="15.75" hidden="false" customHeight="false" outlineLevel="0" collapsed="false">
      <c r="A1031" s="20" t="n">
        <v>46091</v>
      </c>
      <c r="B1031" s="15" t="s">
        <v>477</v>
      </c>
      <c r="C1031" s="15" t="s">
        <v>25</v>
      </c>
      <c r="D1031" s="15" t="s">
        <v>26</v>
      </c>
      <c r="E1031" s="15" t="n">
        <v>3</v>
      </c>
      <c r="H1031" s="10"/>
      <c r="I1031" s="21"/>
      <c r="M1031" s="10"/>
      <c r="N1031" s="10"/>
      <c r="P1031" s="10"/>
      <c r="Q1031" s="22"/>
    </row>
    <row r="1032" customFormat="false" ht="15.75" hidden="false" customHeight="false" outlineLevel="0" collapsed="false">
      <c r="A1032" s="20" t="n">
        <v>46091</v>
      </c>
      <c r="B1032" s="15" t="s">
        <v>491</v>
      </c>
      <c r="C1032" s="15" t="s">
        <v>37</v>
      </c>
      <c r="D1032" s="15" t="s">
        <v>561</v>
      </c>
      <c r="E1032" s="15" t="n">
        <v>1</v>
      </c>
      <c r="H1032" s="10"/>
      <c r="I1032" s="21"/>
      <c r="M1032" s="10"/>
      <c r="N1032" s="10"/>
      <c r="P1032" s="10"/>
      <c r="Q1032" s="22"/>
    </row>
    <row r="1033" customFormat="false" ht="15.75" hidden="false" customHeight="false" outlineLevel="0" collapsed="false">
      <c r="A1033" s="20" t="n">
        <v>46091</v>
      </c>
      <c r="B1033" s="15" t="s">
        <v>491</v>
      </c>
      <c r="C1033" s="15" t="s">
        <v>81</v>
      </c>
      <c r="D1033" s="15" t="s">
        <v>534</v>
      </c>
      <c r="E1033" s="15" t="n">
        <v>8</v>
      </c>
      <c r="H1033" s="10"/>
      <c r="I1033" s="21"/>
      <c r="M1033" s="10"/>
      <c r="N1033" s="10"/>
      <c r="P1033" s="10"/>
      <c r="Q1033" s="22"/>
    </row>
    <row r="1034" customFormat="false" ht="15.75" hidden="false" customHeight="false" outlineLevel="0" collapsed="false">
      <c r="A1034" s="20" t="n">
        <v>46091</v>
      </c>
      <c r="B1034" s="15" t="s">
        <v>491</v>
      </c>
      <c r="C1034" s="15" t="s">
        <v>75</v>
      </c>
      <c r="D1034" s="15" t="s">
        <v>560</v>
      </c>
      <c r="E1034" s="15" t="n">
        <v>1</v>
      </c>
      <c r="H1034" s="10"/>
      <c r="I1034" s="21"/>
      <c r="M1034" s="10"/>
      <c r="N1034" s="10"/>
      <c r="P1034" s="10"/>
      <c r="Q1034" s="22"/>
    </row>
    <row r="1035" customFormat="false" ht="15.75" hidden="false" customHeight="false" outlineLevel="0" collapsed="false">
      <c r="A1035" s="20" t="n">
        <v>46091</v>
      </c>
      <c r="B1035" s="15" t="s">
        <v>491</v>
      </c>
      <c r="C1035" s="15" t="s">
        <v>69</v>
      </c>
      <c r="D1035" s="15" t="s">
        <v>535</v>
      </c>
      <c r="E1035" s="15" t="n">
        <v>6</v>
      </c>
      <c r="H1035" s="10"/>
      <c r="I1035" s="21"/>
      <c r="M1035" s="10"/>
      <c r="N1035" s="10"/>
      <c r="P1035" s="10"/>
      <c r="Q1035" s="22"/>
    </row>
    <row r="1036" customFormat="false" ht="15.75" hidden="false" customHeight="false" outlineLevel="0" collapsed="false">
      <c r="A1036" s="20" t="n">
        <v>46091</v>
      </c>
      <c r="B1036" s="15" t="s">
        <v>491</v>
      </c>
      <c r="C1036" s="15" t="s">
        <v>547</v>
      </c>
      <c r="D1036" s="15" t="s">
        <v>548</v>
      </c>
      <c r="E1036" s="15" t="n">
        <v>1</v>
      </c>
      <c r="H1036" s="10"/>
      <c r="I1036" s="21"/>
      <c r="M1036" s="10"/>
      <c r="N1036" s="10"/>
      <c r="P1036" s="10"/>
      <c r="Q1036" s="22"/>
    </row>
    <row r="1037" customFormat="false" ht="15.75" hidden="false" customHeight="false" outlineLevel="0" collapsed="false">
      <c r="A1037" s="20" t="n">
        <v>46091</v>
      </c>
      <c r="B1037" s="15" t="s">
        <v>491</v>
      </c>
      <c r="C1037" s="15" t="s">
        <v>31</v>
      </c>
      <c r="D1037" s="15" t="s">
        <v>559</v>
      </c>
      <c r="E1037" s="15" t="n">
        <v>2</v>
      </c>
      <c r="H1037" s="10"/>
      <c r="I1037" s="21"/>
      <c r="M1037" s="10"/>
      <c r="N1037" s="10"/>
      <c r="P1037" s="10"/>
      <c r="Q1037" s="22"/>
    </row>
    <row r="1038" customFormat="false" ht="15.75" hidden="false" customHeight="false" outlineLevel="0" collapsed="false">
      <c r="A1038" s="20" t="n">
        <v>46091</v>
      </c>
      <c r="B1038" s="15" t="s">
        <v>491</v>
      </c>
      <c r="C1038" s="15" t="s">
        <v>545</v>
      </c>
      <c r="D1038" s="15" t="s">
        <v>546</v>
      </c>
      <c r="E1038" s="15" t="n">
        <v>2</v>
      </c>
      <c r="H1038" s="10"/>
      <c r="I1038" s="21"/>
      <c r="M1038" s="10"/>
      <c r="N1038" s="10"/>
      <c r="P1038" s="10"/>
      <c r="Q1038" s="22"/>
    </row>
    <row r="1039" customFormat="false" ht="15.75" hidden="false" customHeight="false" outlineLevel="0" collapsed="false">
      <c r="A1039" s="20" t="n">
        <v>46091</v>
      </c>
      <c r="B1039" s="15" t="s">
        <v>491</v>
      </c>
      <c r="C1039" s="15" t="s">
        <v>543</v>
      </c>
      <c r="D1039" s="15" t="s">
        <v>544</v>
      </c>
      <c r="E1039" s="15" t="n">
        <v>4</v>
      </c>
      <c r="H1039" s="10"/>
      <c r="I1039" s="21"/>
      <c r="M1039" s="10"/>
      <c r="N1039" s="10"/>
      <c r="P1039" s="10"/>
      <c r="Q1039" s="22"/>
    </row>
    <row r="1040" customFormat="false" ht="15.75" hidden="false" customHeight="false" outlineLevel="0" collapsed="false">
      <c r="A1040" s="20" t="n">
        <v>46091</v>
      </c>
      <c r="B1040" s="15" t="s">
        <v>491</v>
      </c>
      <c r="C1040" s="15" t="s">
        <v>541</v>
      </c>
      <c r="D1040" s="15" t="s">
        <v>542</v>
      </c>
      <c r="E1040" s="15" t="n">
        <v>2</v>
      </c>
      <c r="H1040" s="10"/>
      <c r="I1040" s="21"/>
      <c r="M1040" s="10"/>
      <c r="N1040" s="10"/>
      <c r="P1040" s="10"/>
      <c r="Q1040" s="22"/>
    </row>
    <row r="1041" customFormat="false" ht="15.75" hidden="false" customHeight="false" outlineLevel="0" collapsed="false">
      <c r="A1041" s="20" t="n">
        <v>46091</v>
      </c>
      <c r="B1041" s="15" t="s">
        <v>491</v>
      </c>
      <c r="C1041" s="15" t="s">
        <v>49</v>
      </c>
      <c r="D1041" s="15" t="s">
        <v>537</v>
      </c>
      <c r="E1041" s="15" t="n">
        <v>1</v>
      </c>
      <c r="H1041" s="10"/>
      <c r="I1041" s="21"/>
      <c r="M1041" s="10"/>
      <c r="N1041" s="10"/>
      <c r="P1041" s="10"/>
      <c r="Q1041" s="22"/>
    </row>
    <row r="1042" customFormat="false" ht="15.75" hidden="false" customHeight="false" outlineLevel="0" collapsed="false">
      <c r="A1042" s="20" t="n">
        <v>46091</v>
      </c>
      <c r="B1042" s="15" t="s">
        <v>491</v>
      </c>
      <c r="C1042" s="15" t="s">
        <v>33</v>
      </c>
      <c r="D1042" s="15" t="s">
        <v>536</v>
      </c>
      <c r="E1042" s="15" t="n">
        <v>5</v>
      </c>
      <c r="H1042" s="10"/>
      <c r="I1042" s="21"/>
      <c r="M1042" s="10"/>
      <c r="N1042" s="10"/>
      <c r="P1042" s="10"/>
      <c r="Q1042" s="22"/>
    </row>
    <row r="1043" customFormat="false" ht="15.75" hidden="false" customHeight="false" outlineLevel="0" collapsed="false">
      <c r="A1043" s="20" t="n">
        <v>46091</v>
      </c>
      <c r="B1043" s="15" t="s">
        <v>491</v>
      </c>
      <c r="C1043" s="15" t="s">
        <v>77</v>
      </c>
      <c r="D1043" s="15" t="s">
        <v>78</v>
      </c>
      <c r="E1043" s="15" t="n">
        <v>3</v>
      </c>
      <c r="H1043" s="10"/>
      <c r="I1043" s="21"/>
      <c r="M1043" s="10"/>
      <c r="N1043" s="10"/>
      <c r="P1043" s="10"/>
      <c r="Q1043" s="22"/>
    </row>
    <row r="1044" customFormat="false" ht="15.75" hidden="false" customHeight="false" outlineLevel="0" collapsed="false">
      <c r="A1044" s="20" t="n">
        <v>46091</v>
      </c>
      <c r="B1044" s="15" t="s">
        <v>491</v>
      </c>
      <c r="C1044" s="15" t="s">
        <v>47</v>
      </c>
      <c r="D1044" s="15" t="s">
        <v>549</v>
      </c>
      <c r="E1044" s="15" t="n">
        <v>1</v>
      </c>
      <c r="H1044" s="10"/>
      <c r="I1044" s="21"/>
      <c r="M1044" s="10"/>
      <c r="N1044" s="10"/>
      <c r="P1044" s="10"/>
      <c r="Q1044" s="22"/>
    </row>
    <row r="1045" customFormat="false" ht="15.75" hidden="false" customHeight="false" outlineLevel="0" collapsed="false">
      <c r="A1045" s="20" t="n">
        <v>46091</v>
      </c>
      <c r="B1045" s="15" t="s">
        <v>491</v>
      </c>
      <c r="C1045" s="15" t="s">
        <v>55</v>
      </c>
      <c r="D1045" s="15" t="s">
        <v>539</v>
      </c>
      <c r="E1045" s="15" t="n">
        <v>1</v>
      </c>
      <c r="H1045" s="10"/>
      <c r="I1045" s="21"/>
      <c r="M1045" s="10"/>
      <c r="N1045" s="10"/>
      <c r="P1045" s="10"/>
      <c r="Q1045" s="22"/>
    </row>
    <row r="1046" customFormat="false" ht="15.75" hidden="false" customHeight="false" outlineLevel="0" collapsed="false">
      <c r="A1046" s="20" t="n">
        <v>46091</v>
      </c>
      <c r="B1046" s="15" t="s">
        <v>491</v>
      </c>
      <c r="C1046" s="15" t="s">
        <v>59</v>
      </c>
      <c r="D1046" s="15" t="s">
        <v>562</v>
      </c>
      <c r="E1046" s="15" t="n">
        <v>1</v>
      </c>
      <c r="H1046" s="10"/>
      <c r="I1046" s="21"/>
      <c r="M1046" s="10"/>
      <c r="N1046" s="10"/>
      <c r="P1046" s="10"/>
      <c r="Q1046" s="22"/>
    </row>
    <row r="1047" customFormat="false" ht="15.75" hidden="false" customHeight="false" outlineLevel="0" collapsed="false">
      <c r="A1047" s="20" t="n">
        <v>46091</v>
      </c>
      <c r="B1047" s="15" t="s">
        <v>491</v>
      </c>
      <c r="C1047" s="15" t="s">
        <v>43</v>
      </c>
      <c r="D1047" s="15" t="s">
        <v>538</v>
      </c>
      <c r="E1047" s="15" t="n">
        <v>1</v>
      </c>
      <c r="H1047" s="10"/>
      <c r="I1047" s="21"/>
      <c r="M1047" s="10"/>
      <c r="N1047" s="10"/>
      <c r="P1047" s="10"/>
      <c r="Q1047" s="22"/>
    </row>
    <row r="1048" customFormat="false" ht="15.75" hidden="false" customHeight="false" outlineLevel="0" collapsed="false">
      <c r="A1048" s="20" t="n">
        <v>46091</v>
      </c>
      <c r="B1048" s="15" t="s">
        <v>491</v>
      </c>
      <c r="C1048" s="15" t="s">
        <v>87</v>
      </c>
      <c r="D1048" s="15" t="s">
        <v>563</v>
      </c>
      <c r="E1048" s="15" t="n">
        <v>1</v>
      </c>
      <c r="H1048" s="10"/>
      <c r="I1048" s="21"/>
      <c r="M1048" s="10"/>
      <c r="N1048" s="10"/>
      <c r="P1048" s="10"/>
      <c r="Q1048" s="22"/>
    </row>
    <row r="1049" customFormat="false" ht="15.75" hidden="false" customHeight="false" outlineLevel="0" collapsed="false">
      <c r="A1049" s="20" t="n">
        <v>46091</v>
      </c>
      <c r="B1049" s="15" t="s">
        <v>491</v>
      </c>
      <c r="C1049" s="15" t="s">
        <v>79</v>
      </c>
      <c r="D1049" s="15" t="s">
        <v>564</v>
      </c>
      <c r="E1049" s="15" t="n">
        <v>1</v>
      </c>
      <c r="H1049" s="10"/>
      <c r="I1049" s="21"/>
      <c r="M1049" s="10"/>
      <c r="N1049" s="10"/>
      <c r="P1049" s="10"/>
      <c r="Q1049" s="22"/>
    </row>
    <row r="1050" customFormat="false" ht="15.75" hidden="false" customHeight="false" outlineLevel="0" collapsed="false">
      <c r="A1050" s="20" t="n">
        <v>46091</v>
      </c>
      <c r="B1050" s="15" t="s">
        <v>493</v>
      </c>
      <c r="C1050" s="15" t="s">
        <v>63</v>
      </c>
      <c r="D1050" s="15" t="s">
        <v>551</v>
      </c>
      <c r="E1050" s="15" t="n">
        <v>1</v>
      </c>
      <c r="H1050" s="10"/>
      <c r="I1050" s="21"/>
      <c r="M1050" s="10"/>
      <c r="N1050" s="10"/>
      <c r="P1050" s="10"/>
      <c r="Q1050" s="22"/>
    </row>
    <row r="1051" customFormat="false" ht="15.75" hidden="false" customHeight="false" outlineLevel="0" collapsed="false">
      <c r="A1051" s="20" t="n">
        <v>46091</v>
      </c>
      <c r="B1051" s="15" t="s">
        <v>493</v>
      </c>
      <c r="C1051" s="15" t="s">
        <v>47</v>
      </c>
      <c r="D1051" s="15" t="s">
        <v>549</v>
      </c>
      <c r="E1051" s="15" t="n">
        <v>1</v>
      </c>
      <c r="H1051" s="10"/>
      <c r="I1051" s="21"/>
      <c r="M1051" s="10"/>
      <c r="N1051" s="10"/>
      <c r="P1051" s="10"/>
      <c r="Q1051" s="22"/>
    </row>
    <row r="1052" customFormat="false" ht="15.75" hidden="false" customHeight="false" outlineLevel="0" collapsed="false">
      <c r="A1052" s="20" t="n">
        <v>46091</v>
      </c>
      <c r="B1052" s="15" t="s">
        <v>496</v>
      </c>
      <c r="C1052" s="15" t="s">
        <v>81</v>
      </c>
      <c r="D1052" s="15" t="s">
        <v>534</v>
      </c>
      <c r="E1052" s="15" t="n">
        <v>7</v>
      </c>
      <c r="H1052" s="10"/>
      <c r="I1052" s="21"/>
      <c r="M1052" s="10"/>
      <c r="N1052" s="10"/>
      <c r="P1052" s="10"/>
      <c r="Q1052" s="22"/>
    </row>
    <row r="1053" customFormat="false" ht="15.75" hidden="false" customHeight="false" outlineLevel="0" collapsed="false">
      <c r="A1053" s="20" t="n">
        <v>46091</v>
      </c>
      <c r="B1053" s="15" t="s">
        <v>496</v>
      </c>
      <c r="C1053" s="15" t="s">
        <v>47</v>
      </c>
      <c r="D1053" s="15" t="s">
        <v>549</v>
      </c>
      <c r="E1053" s="15" t="n">
        <v>4</v>
      </c>
      <c r="H1053" s="10"/>
      <c r="I1053" s="21"/>
      <c r="M1053" s="10"/>
      <c r="N1053" s="10"/>
      <c r="P1053" s="10"/>
      <c r="Q1053" s="22"/>
    </row>
    <row r="1054" customFormat="false" ht="15.75" hidden="false" customHeight="false" outlineLevel="0" collapsed="false">
      <c r="A1054" s="20" t="n">
        <v>46091</v>
      </c>
      <c r="B1054" s="15" t="s">
        <v>496</v>
      </c>
      <c r="C1054" s="15" t="s">
        <v>55</v>
      </c>
      <c r="D1054" s="15" t="s">
        <v>539</v>
      </c>
      <c r="E1054" s="15" t="n">
        <v>2</v>
      </c>
      <c r="H1054" s="10"/>
      <c r="I1054" s="21"/>
      <c r="M1054" s="10"/>
      <c r="N1054" s="10"/>
      <c r="P1054" s="10"/>
      <c r="Q1054" s="22"/>
    </row>
    <row r="1055" customFormat="false" ht="15.75" hidden="false" customHeight="false" outlineLevel="0" collapsed="false">
      <c r="A1055" s="20" t="n">
        <v>46091</v>
      </c>
      <c r="B1055" s="15" t="s">
        <v>496</v>
      </c>
      <c r="C1055" s="15" t="s">
        <v>567</v>
      </c>
      <c r="D1055" s="15" t="s">
        <v>568</v>
      </c>
      <c r="E1055" s="15" t="n">
        <v>3</v>
      </c>
      <c r="H1055" s="10"/>
      <c r="I1055" s="21"/>
      <c r="M1055" s="10"/>
      <c r="N1055" s="10"/>
      <c r="P1055" s="10"/>
      <c r="Q1055" s="22"/>
    </row>
    <row r="1056" customFormat="false" ht="15.75" hidden="false" customHeight="false" outlineLevel="0" collapsed="false">
      <c r="A1056" s="20" t="n">
        <v>46091</v>
      </c>
      <c r="B1056" s="15" t="s">
        <v>496</v>
      </c>
      <c r="C1056" s="15" t="s">
        <v>545</v>
      </c>
      <c r="D1056" s="15" t="s">
        <v>546</v>
      </c>
      <c r="E1056" s="15" t="n">
        <v>3</v>
      </c>
      <c r="H1056" s="10"/>
      <c r="I1056" s="21"/>
      <c r="M1056" s="10"/>
      <c r="N1056" s="10"/>
      <c r="P1056" s="10"/>
      <c r="Q1056" s="22"/>
    </row>
    <row r="1057" customFormat="false" ht="15.75" hidden="false" customHeight="false" outlineLevel="0" collapsed="false">
      <c r="A1057" s="20" t="n">
        <v>46091</v>
      </c>
      <c r="B1057" s="15" t="s">
        <v>496</v>
      </c>
      <c r="C1057" s="15" t="s">
        <v>547</v>
      </c>
      <c r="D1057" s="15" t="s">
        <v>548</v>
      </c>
      <c r="E1057" s="15" t="n">
        <v>1</v>
      </c>
      <c r="H1057" s="10"/>
      <c r="I1057" s="21"/>
      <c r="M1057" s="10"/>
      <c r="N1057" s="10"/>
      <c r="P1057" s="10"/>
      <c r="Q1057" s="22"/>
    </row>
    <row r="1058" customFormat="false" ht="15.75" hidden="false" customHeight="false" outlineLevel="0" collapsed="false">
      <c r="A1058" s="20" t="n">
        <v>46091</v>
      </c>
      <c r="B1058" s="15" t="s">
        <v>496</v>
      </c>
      <c r="C1058" s="15" t="s">
        <v>555</v>
      </c>
      <c r="D1058" s="15" t="s">
        <v>556</v>
      </c>
      <c r="E1058" s="15" t="n">
        <v>4</v>
      </c>
      <c r="H1058" s="10"/>
      <c r="I1058" s="21"/>
      <c r="M1058" s="10"/>
      <c r="N1058" s="10"/>
      <c r="P1058" s="10"/>
      <c r="Q1058" s="22"/>
    </row>
    <row r="1059" customFormat="false" ht="15.75" hidden="false" customHeight="false" outlineLevel="0" collapsed="false">
      <c r="A1059" s="20" t="n">
        <v>46091</v>
      </c>
      <c r="B1059" s="15" t="s">
        <v>496</v>
      </c>
      <c r="C1059" s="15" t="s">
        <v>541</v>
      </c>
      <c r="D1059" s="15" t="s">
        <v>542</v>
      </c>
      <c r="E1059" s="15" t="n">
        <v>4</v>
      </c>
      <c r="H1059" s="10"/>
      <c r="I1059" s="21"/>
      <c r="M1059" s="10"/>
      <c r="N1059" s="10"/>
      <c r="P1059" s="10"/>
      <c r="Q1059" s="22"/>
    </row>
    <row r="1060" customFormat="false" ht="15.75" hidden="false" customHeight="false" outlineLevel="0" collapsed="false">
      <c r="A1060" s="20" t="n">
        <v>46091</v>
      </c>
      <c r="B1060" s="15" t="s">
        <v>496</v>
      </c>
      <c r="C1060" s="15" t="s">
        <v>45</v>
      </c>
      <c r="D1060" s="15" t="s">
        <v>540</v>
      </c>
      <c r="E1060" s="15" t="n">
        <v>1</v>
      </c>
      <c r="H1060" s="10"/>
      <c r="I1060" s="21"/>
      <c r="M1060" s="10"/>
      <c r="N1060" s="10"/>
      <c r="P1060" s="10"/>
      <c r="Q1060" s="22"/>
    </row>
    <row r="1061" customFormat="false" ht="15.75" hidden="false" customHeight="false" outlineLevel="0" collapsed="false">
      <c r="A1061" s="20" t="n">
        <v>46091</v>
      </c>
      <c r="B1061" s="15" t="s">
        <v>496</v>
      </c>
      <c r="C1061" s="15" t="s">
        <v>37</v>
      </c>
      <c r="D1061" s="15" t="s">
        <v>561</v>
      </c>
      <c r="E1061" s="15" t="n">
        <v>1</v>
      </c>
      <c r="H1061" s="10"/>
      <c r="I1061" s="21"/>
      <c r="M1061" s="10"/>
      <c r="N1061" s="10"/>
      <c r="P1061" s="10"/>
      <c r="Q1061" s="22"/>
    </row>
    <row r="1062" customFormat="false" ht="15.75" hidden="false" customHeight="false" outlineLevel="0" collapsed="false">
      <c r="A1062" s="20" t="n">
        <v>46091</v>
      </c>
      <c r="B1062" s="15" t="s">
        <v>496</v>
      </c>
      <c r="C1062" s="15" t="s">
        <v>543</v>
      </c>
      <c r="D1062" s="15" t="s">
        <v>544</v>
      </c>
      <c r="E1062" s="15" t="n">
        <v>4</v>
      </c>
      <c r="H1062" s="10"/>
      <c r="I1062" s="21"/>
      <c r="M1062" s="10"/>
      <c r="N1062" s="10"/>
      <c r="P1062" s="10"/>
      <c r="Q1062" s="22"/>
    </row>
    <row r="1063" customFormat="false" ht="15.75" hidden="false" customHeight="false" outlineLevel="0" collapsed="false">
      <c r="A1063" s="20" t="n">
        <v>46091</v>
      </c>
      <c r="B1063" s="15" t="s">
        <v>496</v>
      </c>
      <c r="C1063" s="15" t="s">
        <v>69</v>
      </c>
      <c r="D1063" s="15" t="s">
        <v>535</v>
      </c>
      <c r="E1063" s="15" t="n">
        <v>2</v>
      </c>
      <c r="H1063" s="10"/>
      <c r="I1063" s="21"/>
      <c r="M1063" s="10"/>
      <c r="N1063" s="10"/>
      <c r="P1063" s="10"/>
      <c r="Q1063" s="22"/>
    </row>
    <row r="1064" customFormat="false" ht="15.75" hidden="false" customHeight="false" outlineLevel="0" collapsed="false">
      <c r="A1064" s="20" t="n">
        <v>46091</v>
      </c>
      <c r="B1064" s="15" t="s">
        <v>496</v>
      </c>
      <c r="C1064" s="15" t="s">
        <v>77</v>
      </c>
      <c r="D1064" s="15" t="s">
        <v>78</v>
      </c>
      <c r="E1064" s="15" t="n">
        <v>2</v>
      </c>
      <c r="H1064" s="10"/>
      <c r="I1064" s="21"/>
      <c r="M1064" s="10"/>
      <c r="N1064" s="10"/>
      <c r="P1064" s="10"/>
      <c r="Q1064" s="22"/>
    </row>
    <row r="1065" customFormat="false" ht="15.75" hidden="false" customHeight="false" outlineLevel="0" collapsed="false">
      <c r="A1065" s="20" t="n">
        <v>46091</v>
      </c>
      <c r="B1065" s="15" t="s">
        <v>496</v>
      </c>
      <c r="C1065" s="15" t="s">
        <v>59</v>
      </c>
      <c r="D1065" s="15" t="s">
        <v>562</v>
      </c>
      <c r="E1065" s="15" t="n">
        <v>2</v>
      </c>
      <c r="H1065" s="10"/>
      <c r="I1065" s="21"/>
      <c r="M1065" s="10"/>
      <c r="N1065" s="10"/>
      <c r="P1065" s="10"/>
      <c r="Q1065" s="22"/>
    </row>
    <row r="1066" customFormat="false" ht="15.75" hidden="false" customHeight="false" outlineLevel="0" collapsed="false">
      <c r="A1066" s="20" t="n">
        <v>46091</v>
      </c>
      <c r="B1066" s="15" t="s">
        <v>496</v>
      </c>
      <c r="C1066" s="15" t="s">
        <v>33</v>
      </c>
      <c r="D1066" s="15" t="s">
        <v>536</v>
      </c>
      <c r="E1066" s="15" t="n">
        <v>2</v>
      </c>
      <c r="H1066" s="10"/>
      <c r="I1066" s="21"/>
      <c r="M1066" s="10"/>
      <c r="N1066" s="10"/>
      <c r="P1066" s="10"/>
      <c r="Q1066" s="22"/>
    </row>
    <row r="1067" customFormat="false" ht="15.75" hidden="false" customHeight="false" outlineLevel="0" collapsed="false">
      <c r="A1067" s="20" t="n">
        <v>46091</v>
      </c>
      <c r="B1067" s="15" t="s">
        <v>496</v>
      </c>
      <c r="C1067" s="15" t="s">
        <v>79</v>
      </c>
      <c r="D1067" s="15" t="s">
        <v>564</v>
      </c>
      <c r="E1067" s="15" t="n">
        <v>1</v>
      </c>
      <c r="H1067" s="10"/>
      <c r="I1067" s="21"/>
      <c r="M1067" s="10"/>
      <c r="N1067" s="10"/>
      <c r="P1067" s="10"/>
      <c r="Q1067" s="22"/>
    </row>
    <row r="1068" customFormat="false" ht="15.75" hidden="false" customHeight="false" outlineLevel="0" collapsed="false">
      <c r="A1068" s="20" t="n">
        <v>46091</v>
      </c>
      <c r="B1068" s="15" t="s">
        <v>496</v>
      </c>
      <c r="C1068" s="15" t="s">
        <v>65</v>
      </c>
      <c r="D1068" s="15" t="s">
        <v>580</v>
      </c>
      <c r="E1068" s="15" t="n">
        <v>1</v>
      </c>
      <c r="H1068" s="10"/>
      <c r="I1068" s="21"/>
      <c r="M1068" s="10"/>
      <c r="N1068" s="10"/>
      <c r="P1068" s="10"/>
      <c r="Q1068" s="22"/>
    </row>
    <row r="1069" customFormat="false" ht="15.75" hidden="false" customHeight="false" outlineLevel="0" collapsed="false">
      <c r="A1069" s="20" t="n">
        <v>46091</v>
      </c>
      <c r="B1069" s="15" t="s">
        <v>499</v>
      </c>
      <c r="C1069" s="15" t="s">
        <v>543</v>
      </c>
      <c r="D1069" s="15" t="s">
        <v>544</v>
      </c>
      <c r="E1069" s="15" t="n">
        <v>1</v>
      </c>
      <c r="H1069" s="10"/>
      <c r="I1069" s="21"/>
      <c r="M1069" s="10"/>
      <c r="N1069" s="10"/>
      <c r="P1069" s="10"/>
      <c r="Q1069" s="22"/>
    </row>
    <row r="1070" customFormat="false" ht="15.75" hidden="false" customHeight="false" outlineLevel="0" collapsed="false">
      <c r="A1070" s="20" t="n">
        <v>46091</v>
      </c>
      <c r="B1070" s="15" t="s">
        <v>499</v>
      </c>
      <c r="C1070" s="15" t="s">
        <v>69</v>
      </c>
      <c r="D1070" s="15" t="s">
        <v>535</v>
      </c>
      <c r="E1070" s="15" t="n">
        <v>1</v>
      </c>
      <c r="H1070" s="10"/>
      <c r="I1070" s="21"/>
      <c r="M1070" s="10"/>
      <c r="N1070" s="10"/>
      <c r="P1070" s="10"/>
      <c r="Q1070" s="22"/>
    </row>
    <row r="1071" customFormat="false" ht="15.75" hidden="false" customHeight="false" outlineLevel="0" collapsed="false">
      <c r="A1071" s="20" t="n">
        <v>46091</v>
      </c>
      <c r="B1071" s="15" t="s">
        <v>499</v>
      </c>
      <c r="C1071" s="15" t="s">
        <v>33</v>
      </c>
      <c r="D1071" s="15" t="s">
        <v>536</v>
      </c>
      <c r="E1071" s="15" t="n">
        <v>2</v>
      </c>
      <c r="H1071" s="10"/>
      <c r="I1071" s="21"/>
      <c r="M1071" s="10"/>
      <c r="N1071" s="10"/>
      <c r="P1071" s="10"/>
      <c r="Q1071" s="22"/>
    </row>
    <row r="1072" customFormat="false" ht="15.75" hidden="false" customHeight="false" outlineLevel="0" collapsed="false">
      <c r="A1072" s="20" t="n">
        <v>46091</v>
      </c>
      <c r="B1072" s="15" t="s">
        <v>499</v>
      </c>
      <c r="C1072" s="15" t="s">
        <v>55</v>
      </c>
      <c r="D1072" s="15" t="s">
        <v>539</v>
      </c>
      <c r="E1072" s="15" t="n">
        <v>1</v>
      </c>
      <c r="H1072" s="10"/>
      <c r="I1072" s="21"/>
      <c r="M1072" s="10"/>
      <c r="N1072" s="10"/>
      <c r="P1072" s="10"/>
      <c r="Q1072" s="22"/>
    </row>
    <row r="1073" customFormat="false" ht="15.75" hidden="false" customHeight="false" outlineLevel="0" collapsed="false">
      <c r="A1073" s="20" t="n">
        <v>46091</v>
      </c>
      <c r="B1073" s="15" t="s">
        <v>499</v>
      </c>
      <c r="C1073" s="15" t="s">
        <v>59</v>
      </c>
      <c r="D1073" s="15" t="s">
        <v>562</v>
      </c>
      <c r="E1073" s="15" t="n">
        <v>1</v>
      </c>
      <c r="H1073" s="10"/>
      <c r="I1073" s="21"/>
      <c r="M1073" s="10"/>
      <c r="N1073" s="10"/>
      <c r="P1073" s="10"/>
      <c r="Q1073" s="22"/>
    </row>
    <row r="1074" customFormat="false" ht="15.75" hidden="false" customHeight="false" outlineLevel="0" collapsed="false">
      <c r="A1074" s="20" t="n">
        <v>46091</v>
      </c>
      <c r="B1074" s="15" t="s">
        <v>499</v>
      </c>
      <c r="C1074" s="15" t="s">
        <v>47</v>
      </c>
      <c r="D1074" s="15" t="s">
        <v>549</v>
      </c>
      <c r="E1074" s="15" t="n">
        <v>1</v>
      </c>
      <c r="H1074" s="10"/>
      <c r="I1074" s="21"/>
      <c r="M1074" s="10"/>
      <c r="N1074" s="10"/>
      <c r="P1074" s="10"/>
      <c r="Q1074" s="22"/>
    </row>
    <row r="1075" customFormat="false" ht="15.75" hidden="false" customHeight="false" outlineLevel="0" collapsed="false">
      <c r="A1075" s="20" t="n">
        <v>46091</v>
      </c>
      <c r="B1075" s="15" t="s">
        <v>499</v>
      </c>
      <c r="C1075" s="15" t="s">
        <v>75</v>
      </c>
      <c r="D1075" s="15" t="s">
        <v>560</v>
      </c>
      <c r="E1075" s="15" t="n">
        <v>1</v>
      </c>
      <c r="H1075" s="10"/>
      <c r="I1075" s="21"/>
      <c r="M1075" s="10"/>
      <c r="N1075" s="10"/>
      <c r="P1075" s="10"/>
      <c r="Q1075" s="22"/>
    </row>
    <row r="1076" customFormat="false" ht="15.75" hidden="false" customHeight="false" outlineLevel="0" collapsed="false">
      <c r="A1076" s="20" t="n">
        <v>46091</v>
      </c>
      <c r="B1076" s="15" t="s">
        <v>499</v>
      </c>
      <c r="C1076" s="15" t="s">
        <v>81</v>
      </c>
      <c r="D1076" s="15" t="s">
        <v>534</v>
      </c>
      <c r="E1076" s="15" t="n">
        <v>7</v>
      </c>
      <c r="H1076" s="10"/>
      <c r="I1076" s="21"/>
      <c r="M1076" s="10"/>
      <c r="N1076" s="10"/>
      <c r="P1076" s="10"/>
      <c r="Q1076" s="22"/>
    </row>
    <row r="1077" customFormat="false" ht="15.75" hidden="false" customHeight="false" outlineLevel="0" collapsed="false">
      <c r="A1077" s="20" t="n">
        <v>46091</v>
      </c>
      <c r="B1077" s="15" t="s">
        <v>499</v>
      </c>
      <c r="C1077" s="15" t="s">
        <v>77</v>
      </c>
      <c r="D1077" s="15" t="s">
        <v>78</v>
      </c>
      <c r="E1077" s="15" t="n">
        <v>2</v>
      </c>
      <c r="H1077" s="10"/>
      <c r="I1077" s="21"/>
      <c r="M1077" s="10"/>
      <c r="N1077" s="10"/>
      <c r="P1077" s="10"/>
      <c r="Q1077" s="22"/>
    </row>
    <row r="1078" customFormat="false" ht="15.75" hidden="false" customHeight="false" outlineLevel="0" collapsed="false">
      <c r="A1078" s="20" t="n">
        <v>46091</v>
      </c>
      <c r="B1078" s="15" t="s">
        <v>505</v>
      </c>
      <c r="C1078" s="15" t="s">
        <v>55</v>
      </c>
      <c r="D1078" s="15" t="s">
        <v>539</v>
      </c>
      <c r="E1078" s="15" t="n">
        <v>6</v>
      </c>
      <c r="H1078" s="10"/>
      <c r="I1078" s="21"/>
      <c r="M1078" s="10"/>
      <c r="N1078" s="10"/>
      <c r="P1078" s="10"/>
      <c r="Q1078" s="22"/>
    </row>
    <row r="1079" customFormat="false" ht="15.75" hidden="false" customHeight="false" outlineLevel="0" collapsed="false">
      <c r="A1079" s="20" t="n">
        <v>46091</v>
      </c>
      <c r="B1079" s="15" t="s">
        <v>505</v>
      </c>
      <c r="C1079" s="15" t="s">
        <v>39</v>
      </c>
      <c r="D1079" s="15" t="s">
        <v>550</v>
      </c>
      <c r="E1079" s="15" t="n">
        <v>1</v>
      </c>
      <c r="H1079" s="10"/>
      <c r="I1079" s="21"/>
      <c r="M1079" s="10"/>
      <c r="N1079" s="10"/>
      <c r="P1079" s="10"/>
      <c r="Q1079" s="22"/>
    </row>
    <row r="1080" customFormat="false" ht="15.75" hidden="false" customHeight="false" outlineLevel="0" collapsed="false">
      <c r="A1080" s="20" t="n">
        <v>46091</v>
      </c>
      <c r="B1080" s="15" t="s">
        <v>505</v>
      </c>
      <c r="C1080" s="15" t="s">
        <v>81</v>
      </c>
      <c r="D1080" s="15" t="s">
        <v>534</v>
      </c>
      <c r="E1080" s="15" t="n">
        <v>9</v>
      </c>
      <c r="H1080" s="10"/>
      <c r="I1080" s="21"/>
      <c r="M1080" s="10"/>
      <c r="N1080" s="10"/>
      <c r="P1080" s="10"/>
      <c r="Q1080" s="22"/>
    </row>
    <row r="1081" customFormat="false" ht="15.75" hidden="false" customHeight="false" outlineLevel="0" collapsed="false">
      <c r="A1081" s="20" t="n">
        <v>46091</v>
      </c>
      <c r="B1081" s="15" t="s">
        <v>505</v>
      </c>
      <c r="C1081" s="15" t="s">
        <v>47</v>
      </c>
      <c r="D1081" s="15" t="s">
        <v>549</v>
      </c>
      <c r="E1081" s="15" t="n">
        <v>3</v>
      </c>
      <c r="H1081" s="10"/>
      <c r="I1081" s="21"/>
      <c r="M1081" s="10"/>
      <c r="N1081" s="10"/>
      <c r="P1081" s="10"/>
      <c r="Q1081" s="22"/>
    </row>
    <row r="1082" customFormat="false" ht="15.75" hidden="false" customHeight="false" outlineLevel="0" collapsed="false">
      <c r="A1082" s="20" t="n">
        <v>46091</v>
      </c>
      <c r="B1082" s="15" t="s">
        <v>505</v>
      </c>
      <c r="C1082" s="15" t="s">
        <v>63</v>
      </c>
      <c r="D1082" s="15" t="s">
        <v>551</v>
      </c>
      <c r="E1082" s="15" t="n">
        <v>1</v>
      </c>
      <c r="H1082" s="10"/>
      <c r="I1082" s="21"/>
      <c r="M1082" s="10"/>
      <c r="N1082" s="10"/>
      <c r="P1082" s="10"/>
      <c r="Q1082" s="22"/>
    </row>
    <row r="1083" customFormat="false" ht="15.75" hidden="false" customHeight="false" outlineLevel="0" collapsed="false">
      <c r="A1083" s="20" t="n">
        <v>46091</v>
      </c>
      <c r="B1083" s="15" t="s">
        <v>505</v>
      </c>
      <c r="C1083" s="15" t="s">
        <v>17</v>
      </c>
      <c r="D1083" s="15" t="s">
        <v>554</v>
      </c>
      <c r="E1083" s="15" t="n">
        <v>1</v>
      </c>
      <c r="H1083" s="10"/>
      <c r="I1083" s="21"/>
      <c r="M1083" s="10"/>
      <c r="N1083" s="10"/>
      <c r="P1083" s="10"/>
      <c r="Q1083" s="22"/>
    </row>
    <row r="1084" customFormat="false" ht="15.75" hidden="false" customHeight="false" outlineLevel="0" collapsed="false">
      <c r="A1084" s="20" t="n">
        <v>46091</v>
      </c>
      <c r="B1084" s="15" t="s">
        <v>508</v>
      </c>
      <c r="C1084" s="15" t="s">
        <v>55</v>
      </c>
      <c r="D1084" s="15" t="s">
        <v>539</v>
      </c>
      <c r="E1084" s="15" t="n">
        <v>5</v>
      </c>
      <c r="H1084" s="10"/>
      <c r="I1084" s="21"/>
      <c r="M1084" s="10"/>
      <c r="N1084" s="10"/>
      <c r="P1084" s="10"/>
      <c r="Q1084" s="22"/>
    </row>
    <row r="1085" customFormat="false" ht="15.75" hidden="false" customHeight="false" outlineLevel="0" collapsed="false">
      <c r="A1085" s="20" t="n">
        <v>46091</v>
      </c>
      <c r="B1085" s="15" t="s">
        <v>508</v>
      </c>
      <c r="C1085" s="15" t="s">
        <v>81</v>
      </c>
      <c r="D1085" s="15" t="s">
        <v>534</v>
      </c>
      <c r="E1085" s="15" t="n">
        <v>9</v>
      </c>
      <c r="H1085" s="10"/>
      <c r="I1085" s="21"/>
      <c r="M1085" s="10"/>
      <c r="N1085" s="10"/>
      <c r="P1085" s="10"/>
      <c r="Q1085" s="22"/>
    </row>
    <row r="1086" customFormat="false" ht="15.75" hidden="false" customHeight="false" outlineLevel="0" collapsed="false">
      <c r="A1086" s="20" t="n">
        <v>46091</v>
      </c>
      <c r="B1086" s="15" t="s">
        <v>508</v>
      </c>
      <c r="C1086" s="15" t="s">
        <v>39</v>
      </c>
      <c r="D1086" s="15" t="s">
        <v>550</v>
      </c>
      <c r="E1086" s="15" t="n">
        <v>2</v>
      </c>
      <c r="H1086" s="10"/>
      <c r="I1086" s="21"/>
      <c r="M1086" s="10"/>
      <c r="N1086" s="10"/>
      <c r="P1086" s="10"/>
      <c r="Q1086" s="22"/>
    </row>
    <row r="1087" customFormat="false" ht="15.75" hidden="false" customHeight="false" outlineLevel="0" collapsed="false">
      <c r="A1087" s="20" t="n">
        <v>46091</v>
      </c>
      <c r="B1087" s="15" t="s">
        <v>508</v>
      </c>
      <c r="C1087" s="15" t="s">
        <v>47</v>
      </c>
      <c r="D1087" s="15" t="s">
        <v>549</v>
      </c>
      <c r="E1087" s="15" t="n">
        <v>2</v>
      </c>
      <c r="H1087" s="10"/>
      <c r="I1087" s="21"/>
      <c r="M1087" s="10"/>
      <c r="N1087" s="10"/>
      <c r="P1087" s="10"/>
      <c r="Q1087" s="22"/>
    </row>
    <row r="1088" customFormat="false" ht="15.75" hidden="false" customHeight="false" outlineLevel="0" collapsed="false">
      <c r="A1088" s="20" t="n">
        <v>46091</v>
      </c>
      <c r="B1088" s="15" t="s">
        <v>508</v>
      </c>
      <c r="C1088" s="15" t="s">
        <v>63</v>
      </c>
      <c r="D1088" s="15" t="s">
        <v>551</v>
      </c>
      <c r="E1088" s="15" t="n">
        <v>1</v>
      </c>
      <c r="H1088" s="10"/>
      <c r="I1088" s="21"/>
      <c r="M1088" s="10"/>
      <c r="N1088" s="10"/>
      <c r="P1088" s="10"/>
      <c r="Q1088" s="22"/>
    </row>
    <row r="1089" customFormat="false" ht="15.75" hidden="false" customHeight="false" outlineLevel="0" collapsed="false">
      <c r="A1089" s="20" t="n">
        <v>46091</v>
      </c>
      <c r="B1089" s="15" t="s">
        <v>514</v>
      </c>
      <c r="C1089" s="15" t="s">
        <v>55</v>
      </c>
      <c r="D1089" s="15" t="s">
        <v>539</v>
      </c>
      <c r="E1089" s="15" t="n">
        <v>5</v>
      </c>
      <c r="H1089" s="10"/>
      <c r="I1089" s="21"/>
      <c r="M1089" s="10"/>
      <c r="N1089" s="10"/>
      <c r="P1089" s="10"/>
      <c r="Q1089" s="22"/>
    </row>
    <row r="1090" customFormat="false" ht="15.75" hidden="false" customHeight="false" outlineLevel="0" collapsed="false">
      <c r="A1090" s="20" t="n">
        <v>46091</v>
      </c>
      <c r="B1090" s="15" t="s">
        <v>514</v>
      </c>
      <c r="C1090" s="15" t="s">
        <v>57</v>
      </c>
      <c r="D1090" s="15" t="s">
        <v>553</v>
      </c>
      <c r="E1090" s="15" t="n">
        <v>1</v>
      </c>
      <c r="H1090" s="10"/>
      <c r="I1090" s="21"/>
      <c r="M1090" s="10"/>
      <c r="N1090" s="10"/>
      <c r="P1090" s="10"/>
      <c r="Q1090" s="22"/>
    </row>
    <row r="1091" customFormat="false" ht="15.75" hidden="false" customHeight="false" outlineLevel="0" collapsed="false">
      <c r="A1091" s="20" t="n">
        <v>46091</v>
      </c>
      <c r="B1091" s="15" t="s">
        <v>514</v>
      </c>
      <c r="C1091" s="15" t="s">
        <v>49</v>
      </c>
      <c r="D1091" s="15" t="s">
        <v>537</v>
      </c>
      <c r="E1091" s="15" t="n">
        <v>1</v>
      </c>
      <c r="H1091" s="10"/>
      <c r="I1091" s="21"/>
      <c r="M1091" s="10"/>
      <c r="N1091" s="10"/>
      <c r="P1091" s="10"/>
      <c r="Q1091" s="22"/>
    </row>
    <row r="1092" customFormat="false" ht="15.75" hidden="false" customHeight="false" outlineLevel="0" collapsed="false">
      <c r="A1092" s="20" t="n">
        <v>46091</v>
      </c>
      <c r="B1092" s="15" t="s">
        <v>514</v>
      </c>
      <c r="C1092" s="15" t="s">
        <v>47</v>
      </c>
      <c r="D1092" s="15" t="s">
        <v>549</v>
      </c>
      <c r="E1092" s="15" t="n">
        <v>4</v>
      </c>
      <c r="H1092" s="10"/>
      <c r="I1092" s="21"/>
      <c r="M1092" s="10"/>
      <c r="N1092" s="10"/>
      <c r="P1092" s="10"/>
      <c r="Q1092" s="22"/>
    </row>
    <row r="1093" customFormat="false" ht="15.75" hidden="false" customHeight="false" outlineLevel="0" collapsed="false">
      <c r="A1093" s="20" t="n">
        <v>46091</v>
      </c>
      <c r="B1093" s="15" t="s">
        <v>514</v>
      </c>
      <c r="C1093" s="15" t="s">
        <v>81</v>
      </c>
      <c r="D1093" s="15" t="s">
        <v>534</v>
      </c>
      <c r="E1093" s="15" t="n">
        <v>7</v>
      </c>
      <c r="H1093" s="10"/>
      <c r="I1093" s="21"/>
      <c r="M1093" s="10"/>
      <c r="N1093" s="10"/>
      <c r="P1093" s="10"/>
      <c r="Q1093" s="22"/>
    </row>
    <row r="1094" customFormat="false" ht="15.75" hidden="false" customHeight="false" outlineLevel="0" collapsed="false">
      <c r="A1094" s="20" t="n">
        <v>46091</v>
      </c>
      <c r="B1094" s="15" t="s">
        <v>514</v>
      </c>
      <c r="C1094" s="15" t="s">
        <v>63</v>
      </c>
      <c r="D1094" s="15" t="s">
        <v>551</v>
      </c>
      <c r="E1094" s="15" t="n">
        <v>1</v>
      </c>
      <c r="H1094" s="10"/>
      <c r="I1094" s="21"/>
      <c r="M1094" s="10"/>
      <c r="N1094" s="10"/>
      <c r="P1094" s="10"/>
      <c r="Q1094" s="22"/>
    </row>
    <row r="1095" customFormat="false" ht="15.75" hidden="false" customHeight="false" outlineLevel="0" collapsed="false">
      <c r="A1095" s="20" t="n">
        <v>46091</v>
      </c>
      <c r="B1095" s="15" t="s">
        <v>514</v>
      </c>
      <c r="C1095" s="15" t="s">
        <v>17</v>
      </c>
      <c r="D1095" s="15" t="s">
        <v>554</v>
      </c>
      <c r="E1095" s="15" t="n">
        <v>1</v>
      </c>
      <c r="H1095" s="10"/>
      <c r="I1095" s="21"/>
      <c r="M1095" s="10"/>
      <c r="N1095" s="10"/>
      <c r="P1095" s="10"/>
      <c r="Q1095" s="22"/>
    </row>
    <row r="1096" customFormat="false" ht="15.75" hidden="false" customHeight="false" outlineLevel="0" collapsed="false">
      <c r="A1096" s="20" t="n">
        <v>46091</v>
      </c>
      <c r="B1096" s="15" t="s">
        <v>518</v>
      </c>
      <c r="C1096" s="15" t="s">
        <v>69</v>
      </c>
      <c r="D1096" s="15" t="s">
        <v>535</v>
      </c>
      <c r="E1096" s="15" t="n">
        <v>6</v>
      </c>
      <c r="H1096" s="10"/>
      <c r="I1096" s="21"/>
      <c r="M1096" s="10"/>
      <c r="N1096" s="10"/>
      <c r="P1096" s="10"/>
      <c r="Q1096" s="22"/>
    </row>
    <row r="1097" customFormat="false" ht="15.75" hidden="false" customHeight="false" outlineLevel="0" collapsed="false">
      <c r="A1097" s="20" t="n">
        <v>46091</v>
      </c>
      <c r="B1097" s="15" t="s">
        <v>518</v>
      </c>
      <c r="C1097" s="15" t="s">
        <v>33</v>
      </c>
      <c r="D1097" s="15" t="s">
        <v>536</v>
      </c>
      <c r="E1097" s="15" t="n">
        <v>6</v>
      </c>
      <c r="H1097" s="10"/>
      <c r="I1097" s="21"/>
      <c r="M1097" s="10"/>
      <c r="N1097" s="10"/>
      <c r="P1097" s="10"/>
      <c r="Q1097" s="22"/>
    </row>
    <row r="1098" customFormat="false" ht="15.75" hidden="false" customHeight="false" outlineLevel="0" collapsed="false">
      <c r="A1098" s="20" t="n">
        <v>46091</v>
      </c>
      <c r="B1098" s="15" t="s">
        <v>518</v>
      </c>
      <c r="C1098" s="15" t="s">
        <v>47</v>
      </c>
      <c r="D1098" s="15" t="s">
        <v>549</v>
      </c>
      <c r="E1098" s="15" t="n">
        <v>2</v>
      </c>
      <c r="H1098" s="10"/>
      <c r="I1098" s="21"/>
      <c r="M1098" s="10"/>
      <c r="N1098" s="10"/>
      <c r="P1098" s="10"/>
      <c r="Q1098" s="22"/>
    </row>
    <row r="1099" customFormat="false" ht="15.75" hidden="false" customHeight="false" outlineLevel="0" collapsed="false">
      <c r="A1099" s="20" t="n">
        <v>46091</v>
      </c>
      <c r="B1099" s="15" t="s">
        <v>518</v>
      </c>
      <c r="C1099" s="15" t="s">
        <v>51</v>
      </c>
      <c r="D1099" s="15" t="s">
        <v>573</v>
      </c>
      <c r="E1099" s="15" t="n">
        <v>1</v>
      </c>
      <c r="H1099" s="10"/>
      <c r="I1099" s="21"/>
      <c r="M1099" s="10"/>
      <c r="N1099" s="10"/>
      <c r="P1099" s="10"/>
      <c r="Q1099" s="22"/>
    </row>
    <row r="1100" customFormat="false" ht="15.75" hidden="false" customHeight="false" outlineLevel="0" collapsed="false">
      <c r="A1100" s="20" t="n">
        <v>46091</v>
      </c>
      <c r="B1100" s="15" t="s">
        <v>518</v>
      </c>
      <c r="C1100" s="15" t="s">
        <v>55</v>
      </c>
      <c r="D1100" s="15" t="s">
        <v>539</v>
      </c>
      <c r="E1100" s="15" t="n">
        <v>2</v>
      </c>
      <c r="H1100" s="10"/>
      <c r="I1100" s="21"/>
      <c r="M1100" s="10"/>
      <c r="N1100" s="10"/>
      <c r="P1100" s="10"/>
      <c r="Q1100" s="22"/>
    </row>
    <row r="1101" customFormat="false" ht="15.75" hidden="false" customHeight="false" outlineLevel="0" collapsed="false">
      <c r="A1101" s="20" t="n">
        <v>46091</v>
      </c>
      <c r="B1101" s="15" t="s">
        <v>518</v>
      </c>
      <c r="C1101" s="15" t="s">
        <v>37</v>
      </c>
      <c r="D1101" s="15" t="s">
        <v>561</v>
      </c>
      <c r="E1101" s="15" t="n">
        <v>2</v>
      </c>
      <c r="H1101" s="10"/>
      <c r="I1101" s="21"/>
      <c r="M1101" s="10"/>
      <c r="N1101" s="10"/>
      <c r="P1101" s="10"/>
      <c r="Q1101" s="22"/>
    </row>
    <row r="1102" customFormat="false" ht="15.75" hidden="false" customHeight="false" outlineLevel="0" collapsed="false">
      <c r="A1102" s="20" t="n">
        <v>46091</v>
      </c>
      <c r="B1102" s="15" t="s">
        <v>518</v>
      </c>
      <c r="C1102" s="15" t="s">
        <v>547</v>
      </c>
      <c r="D1102" s="15" t="s">
        <v>548</v>
      </c>
      <c r="E1102" s="15" t="n">
        <v>1</v>
      </c>
      <c r="H1102" s="10"/>
      <c r="I1102" s="21"/>
      <c r="M1102" s="10"/>
      <c r="N1102" s="10"/>
      <c r="P1102" s="10"/>
      <c r="Q1102" s="22"/>
    </row>
    <row r="1103" customFormat="false" ht="15.75" hidden="false" customHeight="false" outlineLevel="0" collapsed="false">
      <c r="A1103" s="20" t="n">
        <v>46091</v>
      </c>
      <c r="B1103" s="15" t="s">
        <v>518</v>
      </c>
      <c r="C1103" s="15" t="s">
        <v>81</v>
      </c>
      <c r="D1103" s="15" t="s">
        <v>534</v>
      </c>
      <c r="E1103" s="15" t="n">
        <v>1</v>
      </c>
      <c r="H1103" s="10"/>
      <c r="I1103" s="21"/>
      <c r="M1103" s="10"/>
      <c r="N1103" s="10"/>
      <c r="P1103" s="10"/>
      <c r="Q1103" s="22"/>
    </row>
    <row r="1104" customFormat="false" ht="15.75" hidden="false" customHeight="false" outlineLevel="0" collapsed="false">
      <c r="A1104" s="20" t="n">
        <v>46092</v>
      </c>
      <c r="B1104" s="15" t="s">
        <v>452</v>
      </c>
      <c r="C1104" s="15" t="s">
        <v>81</v>
      </c>
      <c r="D1104" s="15" t="s">
        <v>534</v>
      </c>
      <c r="E1104" s="15" t="n">
        <v>11</v>
      </c>
      <c r="H1104" s="10"/>
      <c r="I1104" s="21"/>
      <c r="M1104" s="10"/>
      <c r="N1104" s="10"/>
      <c r="P1104" s="10"/>
      <c r="Q1104" s="22"/>
    </row>
    <row r="1105" customFormat="false" ht="15.75" hidden="false" customHeight="false" outlineLevel="0" collapsed="false">
      <c r="A1105" s="20" t="n">
        <v>46092</v>
      </c>
      <c r="B1105" s="15" t="s">
        <v>452</v>
      </c>
      <c r="C1105" s="15" t="s">
        <v>555</v>
      </c>
      <c r="D1105" s="15" t="s">
        <v>556</v>
      </c>
      <c r="E1105" s="15" t="n">
        <v>2</v>
      </c>
      <c r="H1105" s="10"/>
      <c r="I1105" s="21"/>
      <c r="M1105" s="10"/>
      <c r="N1105" s="10"/>
      <c r="P1105" s="10"/>
      <c r="Q1105" s="22"/>
    </row>
    <row r="1106" customFormat="false" ht="15.75" hidden="false" customHeight="false" outlineLevel="0" collapsed="false">
      <c r="A1106" s="20" t="n">
        <v>46092</v>
      </c>
      <c r="B1106" s="15" t="s">
        <v>452</v>
      </c>
      <c r="C1106" s="15" t="s">
        <v>545</v>
      </c>
      <c r="D1106" s="15" t="s">
        <v>546</v>
      </c>
      <c r="E1106" s="15" t="n">
        <v>1</v>
      </c>
      <c r="H1106" s="10"/>
      <c r="I1106" s="21"/>
      <c r="M1106" s="10"/>
      <c r="N1106" s="10"/>
      <c r="P1106" s="10"/>
      <c r="Q1106" s="22"/>
    </row>
    <row r="1107" customFormat="false" ht="15.75" hidden="false" customHeight="false" outlineLevel="0" collapsed="false">
      <c r="A1107" s="20" t="n">
        <v>46092</v>
      </c>
      <c r="B1107" s="15" t="s">
        <v>452</v>
      </c>
      <c r="C1107" s="15" t="s">
        <v>543</v>
      </c>
      <c r="D1107" s="15" t="s">
        <v>544</v>
      </c>
      <c r="E1107" s="15" t="n">
        <v>1</v>
      </c>
      <c r="H1107" s="10"/>
      <c r="I1107" s="21"/>
      <c r="M1107" s="10"/>
      <c r="N1107" s="10"/>
      <c r="P1107" s="10"/>
      <c r="Q1107" s="22"/>
    </row>
    <row r="1108" customFormat="false" ht="15.75" hidden="false" customHeight="false" outlineLevel="0" collapsed="false">
      <c r="A1108" s="20" t="n">
        <v>46092</v>
      </c>
      <c r="B1108" s="15" t="s">
        <v>452</v>
      </c>
      <c r="C1108" s="15" t="s">
        <v>69</v>
      </c>
      <c r="D1108" s="15" t="s">
        <v>535</v>
      </c>
      <c r="E1108" s="15" t="n">
        <v>4</v>
      </c>
      <c r="H1108" s="10"/>
      <c r="I1108" s="21"/>
      <c r="M1108" s="10"/>
      <c r="N1108" s="10"/>
      <c r="P1108" s="10"/>
      <c r="Q1108" s="22"/>
    </row>
    <row r="1109" customFormat="false" ht="15.75" hidden="false" customHeight="false" outlineLevel="0" collapsed="false">
      <c r="A1109" s="20" t="n">
        <v>46092</v>
      </c>
      <c r="B1109" s="15" t="s">
        <v>452</v>
      </c>
      <c r="C1109" s="15" t="s">
        <v>33</v>
      </c>
      <c r="D1109" s="15" t="s">
        <v>536</v>
      </c>
      <c r="E1109" s="15" t="n">
        <v>4</v>
      </c>
      <c r="H1109" s="10"/>
      <c r="I1109" s="21"/>
      <c r="M1109" s="10"/>
      <c r="N1109" s="10"/>
      <c r="P1109" s="10"/>
      <c r="Q1109" s="22"/>
    </row>
    <row r="1110" customFormat="false" ht="15.75" hidden="false" customHeight="false" outlineLevel="0" collapsed="false">
      <c r="A1110" s="20" t="n">
        <v>46092</v>
      </c>
      <c r="B1110" s="15" t="s">
        <v>452</v>
      </c>
      <c r="C1110" s="15" t="s">
        <v>79</v>
      </c>
      <c r="D1110" s="15" t="s">
        <v>564</v>
      </c>
      <c r="E1110" s="15" t="n">
        <v>1</v>
      </c>
      <c r="H1110" s="10"/>
      <c r="I1110" s="21"/>
      <c r="M1110" s="10"/>
      <c r="N1110" s="10"/>
      <c r="P1110" s="10"/>
      <c r="Q1110" s="22"/>
    </row>
    <row r="1111" customFormat="false" ht="15.75" hidden="false" customHeight="false" outlineLevel="0" collapsed="false">
      <c r="A1111" s="20" t="n">
        <v>46092</v>
      </c>
      <c r="B1111" s="15" t="s">
        <v>452</v>
      </c>
      <c r="C1111" s="15" t="s">
        <v>77</v>
      </c>
      <c r="D1111" s="15" t="s">
        <v>78</v>
      </c>
      <c r="E1111" s="15" t="n">
        <v>2</v>
      </c>
      <c r="H1111" s="10"/>
      <c r="I1111" s="21"/>
      <c r="M1111" s="10"/>
      <c r="N1111" s="10"/>
      <c r="P1111" s="10"/>
      <c r="Q1111" s="22"/>
    </row>
    <row r="1112" customFormat="false" ht="15.75" hidden="false" customHeight="false" outlineLevel="0" collapsed="false">
      <c r="A1112" s="20" t="n">
        <v>46092</v>
      </c>
      <c r="B1112" s="15" t="s">
        <v>452</v>
      </c>
      <c r="C1112" s="15" t="s">
        <v>49</v>
      </c>
      <c r="D1112" s="15" t="s">
        <v>537</v>
      </c>
      <c r="E1112" s="15" t="n">
        <v>5</v>
      </c>
      <c r="H1112" s="10"/>
      <c r="I1112" s="21"/>
      <c r="M1112" s="10"/>
      <c r="N1112" s="10"/>
      <c r="P1112" s="10"/>
      <c r="Q1112" s="22"/>
    </row>
    <row r="1113" customFormat="false" ht="15.75" hidden="false" customHeight="false" outlineLevel="0" collapsed="false">
      <c r="A1113" s="20" t="n">
        <v>46092</v>
      </c>
      <c r="B1113" s="15" t="s">
        <v>452</v>
      </c>
      <c r="C1113" s="15" t="s">
        <v>61</v>
      </c>
      <c r="D1113" s="15" t="s">
        <v>576</v>
      </c>
      <c r="E1113" s="15" t="n">
        <v>1</v>
      </c>
      <c r="H1113" s="10"/>
      <c r="I1113" s="21"/>
      <c r="M1113" s="10"/>
      <c r="N1113" s="10"/>
      <c r="P1113" s="10"/>
      <c r="Q1113" s="22"/>
    </row>
    <row r="1114" customFormat="false" ht="15.75" hidden="false" customHeight="false" outlineLevel="0" collapsed="false">
      <c r="A1114" s="20" t="n">
        <v>46092</v>
      </c>
      <c r="B1114" s="15" t="s">
        <v>469</v>
      </c>
      <c r="C1114" s="15" t="s">
        <v>69</v>
      </c>
      <c r="D1114" s="15" t="s">
        <v>535</v>
      </c>
      <c r="E1114" s="15" t="n">
        <v>5</v>
      </c>
      <c r="H1114" s="10"/>
      <c r="I1114" s="21"/>
      <c r="M1114" s="10"/>
      <c r="N1114" s="10"/>
      <c r="P1114" s="10"/>
      <c r="Q1114" s="22"/>
    </row>
    <row r="1115" customFormat="false" ht="15.75" hidden="false" customHeight="false" outlineLevel="0" collapsed="false">
      <c r="A1115" s="20" t="n">
        <v>46092</v>
      </c>
      <c r="B1115" s="15" t="s">
        <v>469</v>
      </c>
      <c r="C1115" s="15" t="s">
        <v>55</v>
      </c>
      <c r="D1115" s="15" t="s">
        <v>539</v>
      </c>
      <c r="E1115" s="15" t="n">
        <v>2</v>
      </c>
      <c r="H1115" s="10"/>
      <c r="I1115" s="21"/>
      <c r="M1115" s="10"/>
      <c r="N1115" s="10"/>
      <c r="P1115" s="10"/>
      <c r="Q1115" s="22"/>
    </row>
    <row r="1116" customFormat="false" ht="15.75" hidden="false" customHeight="false" outlineLevel="0" collapsed="false">
      <c r="A1116" s="20" t="n">
        <v>46092</v>
      </c>
      <c r="B1116" s="15" t="s">
        <v>469</v>
      </c>
      <c r="C1116" s="15" t="s">
        <v>33</v>
      </c>
      <c r="D1116" s="15" t="s">
        <v>536</v>
      </c>
      <c r="E1116" s="15" t="n">
        <v>5</v>
      </c>
      <c r="H1116" s="10"/>
      <c r="I1116" s="21"/>
      <c r="M1116" s="10"/>
      <c r="N1116" s="10"/>
      <c r="P1116" s="10"/>
      <c r="Q1116" s="22"/>
    </row>
    <row r="1117" customFormat="false" ht="15.75" hidden="false" customHeight="false" outlineLevel="0" collapsed="false">
      <c r="A1117" s="20" t="n">
        <v>46092</v>
      </c>
      <c r="B1117" s="15" t="s">
        <v>469</v>
      </c>
      <c r="C1117" s="15" t="s">
        <v>547</v>
      </c>
      <c r="D1117" s="15" t="s">
        <v>548</v>
      </c>
      <c r="E1117" s="15" t="n">
        <v>1</v>
      </c>
      <c r="H1117" s="10"/>
      <c r="I1117" s="21"/>
      <c r="M1117" s="10"/>
      <c r="N1117" s="10"/>
      <c r="P1117" s="10"/>
      <c r="Q1117" s="22"/>
    </row>
    <row r="1118" customFormat="false" ht="15.75" hidden="false" customHeight="false" outlineLevel="0" collapsed="false">
      <c r="A1118" s="20" t="n">
        <v>46092</v>
      </c>
      <c r="B1118" s="15" t="s">
        <v>469</v>
      </c>
      <c r="C1118" s="15" t="s">
        <v>81</v>
      </c>
      <c r="D1118" s="15" t="s">
        <v>534</v>
      </c>
      <c r="E1118" s="15" t="n">
        <v>2</v>
      </c>
      <c r="H1118" s="10"/>
      <c r="I1118" s="21"/>
      <c r="M1118" s="10"/>
      <c r="N1118" s="10"/>
      <c r="P1118" s="10"/>
      <c r="Q1118" s="22"/>
    </row>
    <row r="1119" customFormat="false" ht="15.75" hidden="false" customHeight="false" outlineLevel="0" collapsed="false">
      <c r="A1119" s="20" t="n">
        <v>46092</v>
      </c>
      <c r="B1119" s="15" t="s">
        <v>471</v>
      </c>
      <c r="C1119" s="15" t="s">
        <v>25</v>
      </c>
      <c r="D1119" s="15" t="s">
        <v>26</v>
      </c>
      <c r="E1119" s="15" t="n">
        <v>2</v>
      </c>
      <c r="H1119" s="10"/>
      <c r="I1119" s="21"/>
      <c r="M1119" s="10"/>
      <c r="N1119" s="10"/>
      <c r="P1119" s="10"/>
      <c r="Q1119" s="22"/>
    </row>
    <row r="1120" customFormat="false" ht="15.75" hidden="false" customHeight="false" outlineLevel="0" collapsed="false">
      <c r="A1120" s="20" t="n">
        <v>46092</v>
      </c>
      <c r="B1120" s="15" t="s">
        <v>471</v>
      </c>
      <c r="C1120" s="15" t="s">
        <v>69</v>
      </c>
      <c r="D1120" s="15" t="s">
        <v>535</v>
      </c>
      <c r="E1120" s="15" t="n">
        <v>2</v>
      </c>
      <c r="H1120" s="10"/>
      <c r="I1120" s="21"/>
      <c r="M1120" s="10"/>
      <c r="N1120" s="10"/>
      <c r="P1120" s="10"/>
      <c r="Q1120" s="22"/>
    </row>
    <row r="1121" customFormat="false" ht="15.75" hidden="false" customHeight="false" outlineLevel="0" collapsed="false">
      <c r="A1121" s="20" t="n">
        <v>46092</v>
      </c>
      <c r="B1121" s="15" t="s">
        <v>471</v>
      </c>
      <c r="C1121" s="15" t="s">
        <v>555</v>
      </c>
      <c r="D1121" s="15" t="s">
        <v>556</v>
      </c>
      <c r="E1121" s="15" t="n">
        <v>2</v>
      </c>
      <c r="H1121" s="10"/>
      <c r="I1121" s="21"/>
      <c r="M1121" s="10"/>
      <c r="N1121" s="10"/>
      <c r="P1121" s="10"/>
      <c r="Q1121" s="22"/>
    </row>
    <row r="1122" customFormat="false" ht="15.75" hidden="false" customHeight="false" outlineLevel="0" collapsed="false">
      <c r="A1122" s="20" t="n">
        <v>46092</v>
      </c>
      <c r="B1122" s="15" t="s">
        <v>473</v>
      </c>
      <c r="C1122" s="15" t="s">
        <v>555</v>
      </c>
      <c r="D1122" s="15" t="s">
        <v>556</v>
      </c>
      <c r="E1122" s="15" t="n">
        <v>4</v>
      </c>
      <c r="H1122" s="10"/>
      <c r="I1122" s="21"/>
      <c r="M1122" s="10"/>
      <c r="N1122" s="10"/>
      <c r="P1122" s="10"/>
      <c r="Q1122" s="22"/>
    </row>
    <row r="1123" customFormat="false" ht="15.75" hidden="false" customHeight="false" outlineLevel="0" collapsed="false">
      <c r="A1123" s="20" t="n">
        <v>46092</v>
      </c>
      <c r="B1123" s="15" t="s">
        <v>473</v>
      </c>
      <c r="C1123" s="15" t="s">
        <v>11</v>
      </c>
      <c r="D1123" s="15" t="s">
        <v>572</v>
      </c>
      <c r="E1123" s="15" t="n">
        <v>4</v>
      </c>
      <c r="H1123" s="10"/>
      <c r="I1123" s="21"/>
      <c r="M1123" s="10"/>
      <c r="N1123" s="10"/>
      <c r="P1123" s="10"/>
      <c r="Q1123" s="22"/>
    </row>
    <row r="1124" customFormat="false" ht="15.75" hidden="false" customHeight="false" outlineLevel="0" collapsed="false">
      <c r="A1124" s="20" t="n">
        <v>46092</v>
      </c>
      <c r="B1124" s="15" t="s">
        <v>473</v>
      </c>
      <c r="C1124" s="15" t="s">
        <v>543</v>
      </c>
      <c r="D1124" s="15" t="s">
        <v>544</v>
      </c>
      <c r="E1124" s="15" t="n">
        <v>4</v>
      </c>
      <c r="H1124" s="10"/>
      <c r="I1124" s="21"/>
      <c r="M1124" s="10"/>
      <c r="N1124" s="10"/>
      <c r="P1124" s="10"/>
      <c r="Q1124" s="22"/>
    </row>
    <row r="1125" customFormat="false" ht="15.75" hidden="false" customHeight="false" outlineLevel="0" collapsed="false">
      <c r="A1125" s="20" t="n">
        <v>46092</v>
      </c>
      <c r="B1125" s="15" t="s">
        <v>473</v>
      </c>
      <c r="C1125" s="15" t="s">
        <v>91</v>
      </c>
      <c r="D1125" s="15" t="s">
        <v>91</v>
      </c>
      <c r="E1125" s="15" t="n">
        <v>4</v>
      </c>
      <c r="H1125" s="10"/>
      <c r="I1125" s="21"/>
      <c r="M1125" s="10"/>
      <c r="N1125" s="10"/>
      <c r="P1125" s="10"/>
      <c r="Q1125" s="22"/>
    </row>
    <row r="1126" customFormat="false" ht="15.75" hidden="false" customHeight="false" outlineLevel="0" collapsed="false">
      <c r="A1126" s="20" t="n">
        <v>46092</v>
      </c>
      <c r="B1126" s="15" t="s">
        <v>473</v>
      </c>
      <c r="C1126" s="15" t="s">
        <v>25</v>
      </c>
      <c r="D1126" s="15" t="s">
        <v>26</v>
      </c>
      <c r="E1126" s="15" t="n">
        <v>4</v>
      </c>
      <c r="H1126" s="10"/>
      <c r="I1126" s="21"/>
      <c r="M1126" s="10"/>
      <c r="N1126" s="10"/>
      <c r="P1126" s="10"/>
      <c r="Q1126" s="22"/>
    </row>
    <row r="1127" customFormat="false" ht="15.75" hidden="false" customHeight="false" outlineLevel="0" collapsed="false">
      <c r="A1127" s="20" t="n">
        <v>46092</v>
      </c>
      <c r="B1127" s="15" t="s">
        <v>477</v>
      </c>
      <c r="C1127" s="15" t="s">
        <v>69</v>
      </c>
      <c r="D1127" s="15" t="s">
        <v>535</v>
      </c>
      <c r="E1127" s="15" t="n">
        <v>3</v>
      </c>
      <c r="H1127" s="10"/>
      <c r="I1127" s="21"/>
      <c r="M1127" s="10"/>
      <c r="N1127" s="10"/>
      <c r="P1127" s="10"/>
      <c r="Q1127" s="22"/>
    </row>
    <row r="1128" customFormat="false" ht="15.75" hidden="false" customHeight="false" outlineLevel="0" collapsed="false">
      <c r="A1128" s="20" t="n">
        <v>46092</v>
      </c>
      <c r="B1128" s="15" t="s">
        <v>477</v>
      </c>
      <c r="C1128" s="15" t="s">
        <v>547</v>
      </c>
      <c r="D1128" s="15" t="s">
        <v>548</v>
      </c>
      <c r="E1128" s="15" t="n">
        <v>3</v>
      </c>
      <c r="H1128" s="10"/>
      <c r="I1128" s="21"/>
      <c r="M1128" s="10"/>
      <c r="N1128" s="10"/>
      <c r="P1128" s="10"/>
      <c r="Q1128" s="22"/>
    </row>
    <row r="1129" customFormat="false" ht="15.75" hidden="false" customHeight="false" outlineLevel="0" collapsed="false">
      <c r="A1129" s="20" t="n">
        <v>46092</v>
      </c>
      <c r="B1129" s="15" t="s">
        <v>477</v>
      </c>
      <c r="C1129" s="15" t="s">
        <v>25</v>
      </c>
      <c r="D1129" s="15" t="s">
        <v>26</v>
      </c>
      <c r="E1129" s="15" t="n">
        <v>3</v>
      </c>
      <c r="H1129" s="10"/>
      <c r="I1129" s="21"/>
      <c r="M1129" s="10"/>
      <c r="N1129" s="10"/>
      <c r="P1129" s="10"/>
      <c r="Q1129" s="22"/>
    </row>
    <row r="1130" customFormat="false" ht="15.75" hidden="false" customHeight="false" outlineLevel="0" collapsed="false">
      <c r="A1130" s="20" t="n">
        <v>46092</v>
      </c>
      <c r="B1130" s="15" t="s">
        <v>481</v>
      </c>
      <c r="C1130" s="15" t="s">
        <v>69</v>
      </c>
      <c r="D1130" s="15" t="s">
        <v>535</v>
      </c>
      <c r="E1130" s="15" t="n">
        <v>2</v>
      </c>
      <c r="H1130" s="10"/>
      <c r="I1130" s="21"/>
      <c r="M1130" s="10"/>
      <c r="N1130" s="10"/>
      <c r="P1130" s="10"/>
      <c r="Q1130" s="22"/>
    </row>
    <row r="1131" customFormat="false" ht="15.75" hidden="false" customHeight="false" outlineLevel="0" collapsed="false">
      <c r="A1131" s="20" t="n">
        <v>46092</v>
      </c>
      <c r="B1131" s="15" t="s">
        <v>481</v>
      </c>
      <c r="C1131" s="15" t="s">
        <v>547</v>
      </c>
      <c r="D1131" s="15" t="s">
        <v>548</v>
      </c>
      <c r="E1131" s="15" t="n">
        <v>2</v>
      </c>
      <c r="H1131" s="10"/>
      <c r="I1131" s="21"/>
      <c r="M1131" s="10"/>
      <c r="N1131" s="10"/>
      <c r="P1131" s="10"/>
      <c r="Q1131" s="22"/>
    </row>
    <row r="1132" customFormat="false" ht="15.75" hidden="false" customHeight="false" outlineLevel="0" collapsed="false">
      <c r="A1132" s="20" t="n">
        <v>46092</v>
      </c>
      <c r="B1132" s="15" t="s">
        <v>487</v>
      </c>
      <c r="C1132" s="15" t="s">
        <v>55</v>
      </c>
      <c r="D1132" s="15" t="s">
        <v>539</v>
      </c>
      <c r="E1132" s="15" t="n">
        <v>1</v>
      </c>
      <c r="H1132" s="10"/>
      <c r="I1132" s="21"/>
      <c r="M1132" s="10"/>
      <c r="N1132" s="10"/>
      <c r="P1132" s="10"/>
      <c r="Q1132" s="22"/>
    </row>
    <row r="1133" customFormat="false" ht="15.75" hidden="false" customHeight="false" outlineLevel="0" collapsed="false">
      <c r="A1133" s="20" t="n">
        <v>46092</v>
      </c>
      <c r="B1133" s="15" t="s">
        <v>487</v>
      </c>
      <c r="C1133" s="15" t="s">
        <v>81</v>
      </c>
      <c r="D1133" s="15" t="s">
        <v>534</v>
      </c>
      <c r="E1133" s="15" t="n">
        <v>9</v>
      </c>
      <c r="H1133" s="10"/>
      <c r="I1133" s="21"/>
      <c r="M1133" s="10"/>
      <c r="N1133" s="10"/>
      <c r="P1133" s="10"/>
      <c r="Q1133" s="22"/>
    </row>
    <row r="1134" customFormat="false" ht="15.75" hidden="false" customHeight="false" outlineLevel="0" collapsed="false">
      <c r="A1134" s="20" t="n">
        <v>46092</v>
      </c>
      <c r="B1134" s="15" t="s">
        <v>487</v>
      </c>
      <c r="C1134" s="15" t="s">
        <v>555</v>
      </c>
      <c r="D1134" s="15" t="s">
        <v>556</v>
      </c>
      <c r="E1134" s="15" t="n">
        <v>1</v>
      </c>
      <c r="H1134" s="10"/>
      <c r="I1134" s="21"/>
      <c r="M1134" s="10"/>
      <c r="N1134" s="10"/>
      <c r="P1134" s="10"/>
      <c r="Q1134" s="22"/>
    </row>
    <row r="1135" customFormat="false" ht="15.75" hidden="false" customHeight="false" outlineLevel="0" collapsed="false">
      <c r="A1135" s="20" t="n">
        <v>46092</v>
      </c>
      <c r="B1135" s="15" t="s">
        <v>487</v>
      </c>
      <c r="C1135" s="15" t="s">
        <v>570</v>
      </c>
      <c r="D1135" s="15" t="s">
        <v>571</v>
      </c>
      <c r="E1135" s="15" t="n">
        <v>1</v>
      </c>
      <c r="H1135" s="10"/>
      <c r="I1135" s="21"/>
      <c r="M1135" s="10"/>
      <c r="N1135" s="10"/>
      <c r="P1135" s="10"/>
      <c r="Q1135" s="22"/>
    </row>
    <row r="1136" customFormat="false" ht="15.75" hidden="false" customHeight="false" outlineLevel="0" collapsed="false">
      <c r="A1136" s="20" t="n">
        <v>46092</v>
      </c>
      <c r="B1136" s="15" t="s">
        <v>487</v>
      </c>
      <c r="C1136" s="15" t="s">
        <v>25</v>
      </c>
      <c r="D1136" s="15" t="s">
        <v>26</v>
      </c>
      <c r="E1136" s="15" t="n">
        <v>1</v>
      </c>
      <c r="H1136" s="10"/>
      <c r="I1136" s="21"/>
      <c r="M1136" s="10"/>
      <c r="N1136" s="10"/>
      <c r="P1136" s="10"/>
      <c r="Q1136" s="22"/>
    </row>
    <row r="1137" customFormat="false" ht="15.75" hidden="false" customHeight="false" outlineLevel="0" collapsed="false">
      <c r="A1137" s="20" t="n">
        <v>46092</v>
      </c>
      <c r="B1137" s="15" t="s">
        <v>487</v>
      </c>
      <c r="C1137" s="15" t="s">
        <v>91</v>
      </c>
      <c r="D1137" s="15" t="s">
        <v>91</v>
      </c>
      <c r="E1137" s="15" t="n">
        <v>2</v>
      </c>
      <c r="H1137" s="10"/>
      <c r="I1137" s="21"/>
      <c r="M1137" s="10"/>
      <c r="N1137" s="10"/>
      <c r="P1137" s="10"/>
      <c r="Q1137" s="22"/>
    </row>
    <row r="1138" customFormat="false" ht="15.75" hidden="false" customHeight="false" outlineLevel="0" collapsed="false">
      <c r="A1138" s="20" t="n">
        <v>46092</v>
      </c>
      <c r="B1138" s="15" t="s">
        <v>487</v>
      </c>
      <c r="C1138" s="15" t="s">
        <v>543</v>
      </c>
      <c r="D1138" s="15" t="s">
        <v>544</v>
      </c>
      <c r="E1138" s="15" t="n">
        <v>3</v>
      </c>
      <c r="H1138" s="10"/>
      <c r="I1138" s="21"/>
      <c r="M1138" s="10"/>
      <c r="N1138" s="10"/>
      <c r="P1138" s="10"/>
      <c r="Q1138" s="22"/>
    </row>
    <row r="1139" customFormat="false" ht="15.75" hidden="false" customHeight="false" outlineLevel="0" collapsed="false">
      <c r="A1139" s="20" t="n">
        <v>46092</v>
      </c>
      <c r="B1139" s="15" t="s">
        <v>487</v>
      </c>
      <c r="C1139" s="15" t="s">
        <v>545</v>
      </c>
      <c r="D1139" s="15" t="s">
        <v>546</v>
      </c>
      <c r="E1139" s="15" t="n">
        <v>1</v>
      </c>
      <c r="H1139" s="10"/>
      <c r="I1139" s="21"/>
      <c r="M1139" s="10"/>
      <c r="N1139" s="10"/>
      <c r="P1139" s="10"/>
      <c r="Q1139" s="22"/>
    </row>
    <row r="1140" customFormat="false" ht="15.75" hidden="false" customHeight="false" outlineLevel="0" collapsed="false">
      <c r="A1140" s="20" t="n">
        <v>46092</v>
      </c>
      <c r="B1140" s="15" t="s">
        <v>487</v>
      </c>
      <c r="C1140" s="15" t="s">
        <v>69</v>
      </c>
      <c r="D1140" s="15" t="s">
        <v>535</v>
      </c>
      <c r="E1140" s="15" t="n">
        <v>3</v>
      </c>
      <c r="H1140" s="10"/>
      <c r="I1140" s="21"/>
      <c r="M1140" s="10"/>
      <c r="N1140" s="10"/>
      <c r="P1140" s="10"/>
      <c r="Q1140" s="22"/>
    </row>
    <row r="1141" customFormat="false" ht="15.75" hidden="false" customHeight="false" outlineLevel="0" collapsed="false">
      <c r="A1141" s="20" t="n">
        <v>46092</v>
      </c>
      <c r="B1141" s="15" t="s">
        <v>487</v>
      </c>
      <c r="C1141" s="15" t="s">
        <v>77</v>
      </c>
      <c r="D1141" s="15" t="s">
        <v>78</v>
      </c>
      <c r="E1141" s="15" t="n">
        <v>3</v>
      </c>
      <c r="H1141" s="10"/>
      <c r="I1141" s="21"/>
      <c r="M1141" s="10"/>
      <c r="N1141" s="10"/>
      <c r="P1141" s="10"/>
      <c r="Q1141" s="22"/>
    </row>
    <row r="1142" customFormat="false" ht="15.75" hidden="false" customHeight="false" outlineLevel="0" collapsed="false">
      <c r="A1142" s="20" t="n">
        <v>46092</v>
      </c>
      <c r="B1142" s="15" t="s">
        <v>487</v>
      </c>
      <c r="C1142" s="15" t="s">
        <v>11</v>
      </c>
      <c r="D1142" s="15" t="s">
        <v>572</v>
      </c>
      <c r="E1142" s="15" t="n">
        <v>1</v>
      </c>
      <c r="H1142" s="10"/>
      <c r="I1142" s="21"/>
      <c r="M1142" s="10"/>
      <c r="N1142" s="10"/>
      <c r="P1142" s="10"/>
      <c r="Q1142" s="22"/>
    </row>
    <row r="1143" customFormat="false" ht="15.75" hidden="false" customHeight="false" outlineLevel="0" collapsed="false">
      <c r="A1143" s="20" t="n">
        <v>46092</v>
      </c>
      <c r="B1143" s="15" t="s">
        <v>487</v>
      </c>
      <c r="C1143" s="15" t="s">
        <v>33</v>
      </c>
      <c r="D1143" s="15" t="s">
        <v>536</v>
      </c>
      <c r="E1143" s="15" t="n">
        <v>3</v>
      </c>
      <c r="H1143" s="10"/>
      <c r="I1143" s="21"/>
      <c r="M1143" s="10"/>
      <c r="N1143" s="10"/>
      <c r="P1143" s="10"/>
      <c r="Q1143" s="22"/>
    </row>
    <row r="1144" customFormat="false" ht="15.75" hidden="false" customHeight="false" outlineLevel="0" collapsed="false">
      <c r="A1144" s="20" t="n">
        <v>46092</v>
      </c>
      <c r="B1144" s="15" t="s">
        <v>487</v>
      </c>
      <c r="C1144" s="15" t="s">
        <v>59</v>
      </c>
      <c r="D1144" s="15" t="s">
        <v>562</v>
      </c>
      <c r="E1144" s="15" t="n">
        <v>1</v>
      </c>
      <c r="H1144" s="10"/>
      <c r="I1144" s="21"/>
      <c r="M1144" s="10"/>
      <c r="N1144" s="10"/>
      <c r="P1144" s="10"/>
      <c r="Q1144" s="22"/>
    </row>
    <row r="1145" customFormat="false" ht="15.75" hidden="false" customHeight="false" outlineLevel="0" collapsed="false">
      <c r="A1145" s="20" t="n">
        <v>46092</v>
      </c>
      <c r="B1145" s="15" t="s">
        <v>487</v>
      </c>
      <c r="C1145" s="15" t="s">
        <v>75</v>
      </c>
      <c r="D1145" s="15" t="s">
        <v>560</v>
      </c>
      <c r="E1145" s="15" t="n">
        <v>1</v>
      </c>
      <c r="H1145" s="10"/>
      <c r="I1145" s="21"/>
      <c r="M1145" s="10"/>
      <c r="N1145" s="10"/>
      <c r="P1145" s="10"/>
      <c r="Q1145" s="22"/>
    </row>
    <row r="1146" customFormat="false" ht="15.75" hidden="false" customHeight="false" outlineLevel="0" collapsed="false">
      <c r="A1146" s="20" t="n">
        <v>46092</v>
      </c>
      <c r="B1146" s="15" t="s">
        <v>487</v>
      </c>
      <c r="C1146" s="15" t="s">
        <v>79</v>
      </c>
      <c r="D1146" s="15" t="s">
        <v>564</v>
      </c>
      <c r="E1146" s="15" t="n">
        <v>2</v>
      </c>
      <c r="H1146" s="10"/>
      <c r="I1146" s="21"/>
      <c r="M1146" s="10"/>
      <c r="N1146" s="10"/>
      <c r="P1146" s="10"/>
      <c r="Q1146" s="22"/>
    </row>
    <row r="1147" customFormat="false" ht="15.75" hidden="false" customHeight="false" outlineLevel="0" collapsed="false">
      <c r="A1147" s="20" t="n">
        <v>46092</v>
      </c>
      <c r="B1147" s="15" t="s">
        <v>491</v>
      </c>
      <c r="C1147" s="15" t="s">
        <v>37</v>
      </c>
      <c r="D1147" s="15" t="s">
        <v>561</v>
      </c>
      <c r="E1147" s="15" t="n">
        <v>1</v>
      </c>
      <c r="H1147" s="10"/>
      <c r="I1147" s="21"/>
      <c r="M1147" s="10"/>
      <c r="N1147" s="10"/>
      <c r="P1147" s="10"/>
      <c r="Q1147" s="22"/>
    </row>
    <row r="1148" customFormat="false" ht="15.75" hidden="false" customHeight="false" outlineLevel="0" collapsed="false">
      <c r="A1148" s="20" t="n">
        <v>46092</v>
      </c>
      <c r="B1148" s="15" t="s">
        <v>491</v>
      </c>
      <c r="C1148" s="15" t="s">
        <v>81</v>
      </c>
      <c r="D1148" s="15" t="s">
        <v>534</v>
      </c>
      <c r="E1148" s="15" t="n">
        <v>8</v>
      </c>
      <c r="H1148" s="10"/>
      <c r="I1148" s="21"/>
      <c r="M1148" s="10"/>
      <c r="N1148" s="10"/>
      <c r="P1148" s="10"/>
      <c r="Q1148" s="22"/>
    </row>
    <row r="1149" customFormat="false" ht="15.75" hidden="false" customHeight="false" outlineLevel="0" collapsed="false">
      <c r="A1149" s="20" t="n">
        <v>46092</v>
      </c>
      <c r="B1149" s="15" t="s">
        <v>491</v>
      </c>
      <c r="C1149" s="15" t="s">
        <v>75</v>
      </c>
      <c r="D1149" s="15" t="s">
        <v>560</v>
      </c>
      <c r="E1149" s="15" t="n">
        <v>1</v>
      </c>
      <c r="H1149" s="10"/>
      <c r="I1149" s="21"/>
      <c r="M1149" s="10"/>
      <c r="N1149" s="10"/>
      <c r="P1149" s="10"/>
      <c r="Q1149" s="22"/>
    </row>
    <row r="1150" customFormat="false" ht="15.75" hidden="false" customHeight="false" outlineLevel="0" collapsed="false">
      <c r="A1150" s="20" t="n">
        <v>46092</v>
      </c>
      <c r="B1150" s="15" t="s">
        <v>491</v>
      </c>
      <c r="C1150" s="15" t="s">
        <v>69</v>
      </c>
      <c r="D1150" s="15" t="s">
        <v>535</v>
      </c>
      <c r="E1150" s="15" t="n">
        <v>6</v>
      </c>
      <c r="H1150" s="10"/>
      <c r="I1150" s="21"/>
      <c r="M1150" s="10"/>
      <c r="N1150" s="10"/>
      <c r="P1150" s="10"/>
      <c r="Q1150" s="22"/>
    </row>
    <row r="1151" customFormat="false" ht="15.75" hidden="false" customHeight="false" outlineLevel="0" collapsed="false">
      <c r="A1151" s="20" t="n">
        <v>46092</v>
      </c>
      <c r="B1151" s="15" t="s">
        <v>491</v>
      </c>
      <c r="C1151" s="15" t="s">
        <v>547</v>
      </c>
      <c r="D1151" s="15" t="s">
        <v>548</v>
      </c>
      <c r="E1151" s="15" t="n">
        <v>1</v>
      </c>
      <c r="H1151" s="10"/>
      <c r="I1151" s="21"/>
      <c r="M1151" s="10"/>
      <c r="N1151" s="10"/>
      <c r="P1151" s="10"/>
      <c r="Q1151" s="22"/>
    </row>
    <row r="1152" customFormat="false" ht="15.75" hidden="false" customHeight="false" outlineLevel="0" collapsed="false">
      <c r="A1152" s="20" t="n">
        <v>46092</v>
      </c>
      <c r="B1152" s="15" t="s">
        <v>491</v>
      </c>
      <c r="C1152" s="15" t="s">
        <v>31</v>
      </c>
      <c r="D1152" s="15" t="s">
        <v>559</v>
      </c>
      <c r="E1152" s="15" t="n">
        <v>2</v>
      </c>
      <c r="H1152" s="10"/>
      <c r="I1152" s="21"/>
      <c r="M1152" s="10"/>
      <c r="N1152" s="10"/>
      <c r="P1152" s="10"/>
      <c r="Q1152" s="22"/>
    </row>
    <row r="1153" customFormat="false" ht="15.75" hidden="false" customHeight="false" outlineLevel="0" collapsed="false">
      <c r="A1153" s="20" t="n">
        <v>46092</v>
      </c>
      <c r="B1153" s="15" t="s">
        <v>491</v>
      </c>
      <c r="C1153" s="15" t="s">
        <v>545</v>
      </c>
      <c r="D1153" s="15" t="s">
        <v>546</v>
      </c>
      <c r="E1153" s="15" t="n">
        <v>2</v>
      </c>
      <c r="H1153" s="10"/>
      <c r="I1153" s="21"/>
      <c r="M1153" s="10"/>
      <c r="N1153" s="10"/>
      <c r="P1153" s="10"/>
      <c r="Q1153" s="22"/>
    </row>
    <row r="1154" customFormat="false" ht="15.75" hidden="false" customHeight="false" outlineLevel="0" collapsed="false">
      <c r="A1154" s="20" t="n">
        <v>46092</v>
      </c>
      <c r="B1154" s="15" t="s">
        <v>491</v>
      </c>
      <c r="C1154" s="15" t="s">
        <v>543</v>
      </c>
      <c r="D1154" s="15" t="s">
        <v>544</v>
      </c>
      <c r="E1154" s="15" t="n">
        <v>4</v>
      </c>
      <c r="H1154" s="10"/>
      <c r="I1154" s="21"/>
      <c r="M1154" s="10"/>
      <c r="N1154" s="10"/>
      <c r="P1154" s="10"/>
      <c r="Q1154" s="22"/>
    </row>
    <row r="1155" customFormat="false" ht="15.75" hidden="false" customHeight="false" outlineLevel="0" collapsed="false">
      <c r="A1155" s="20" t="n">
        <v>46092</v>
      </c>
      <c r="B1155" s="15" t="s">
        <v>491</v>
      </c>
      <c r="C1155" s="15" t="s">
        <v>541</v>
      </c>
      <c r="D1155" s="15" t="s">
        <v>542</v>
      </c>
      <c r="E1155" s="15" t="n">
        <v>2</v>
      </c>
      <c r="H1155" s="10"/>
      <c r="I1155" s="21"/>
      <c r="M1155" s="10"/>
      <c r="N1155" s="10"/>
      <c r="P1155" s="10"/>
      <c r="Q1155" s="22"/>
    </row>
    <row r="1156" customFormat="false" ht="15.75" hidden="false" customHeight="false" outlineLevel="0" collapsed="false">
      <c r="A1156" s="20" t="n">
        <v>46092</v>
      </c>
      <c r="B1156" s="15" t="s">
        <v>491</v>
      </c>
      <c r="C1156" s="15" t="s">
        <v>49</v>
      </c>
      <c r="D1156" s="15" t="s">
        <v>537</v>
      </c>
      <c r="E1156" s="15" t="n">
        <v>1</v>
      </c>
      <c r="H1156" s="10"/>
      <c r="I1156" s="21"/>
      <c r="M1156" s="10"/>
      <c r="N1156" s="10"/>
      <c r="P1156" s="10"/>
      <c r="Q1156" s="22"/>
    </row>
    <row r="1157" customFormat="false" ht="15.75" hidden="false" customHeight="false" outlineLevel="0" collapsed="false">
      <c r="A1157" s="20" t="n">
        <v>46092</v>
      </c>
      <c r="B1157" s="15" t="s">
        <v>491</v>
      </c>
      <c r="C1157" s="15" t="s">
        <v>33</v>
      </c>
      <c r="D1157" s="15" t="s">
        <v>536</v>
      </c>
      <c r="E1157" s="15" t="n">
        <v>5</v>
      </c>
      <c r="H1157" s="10"/>
      <c r="I1157" s="21"/>
      <c r="M1157" s="10"/>
      <c r="N1157" s="10"/>
      <c r="P1157" s="10"/>
      <c r="Q1157" s="22"/>
    </row>
    <row r="1158" customFormat="false" ht="15.75" hidden="false" customHeight="false" outlineLevel="0" collapsed="false">
      <c r="A1158" s="20" t="n">
        <v>46092</v>
      </c>
      <c r="B1158" s="15" t="s">
        <v>491</v>
      </c>
      <c r="C1158" s="15" t="s">
        <v>77</v>
      </c>
      <c r="D1158" s="15" t="s">
        <v>78</v>
      </c>
      <c r="E1158" s="15" t="n">
        <v>3</v>
      </c>
      <c r="H1158" s="10"/>
      <c r="I1158" s="21"/>
      <c r="M1158" s="10"/>
      <c r="N1158" s="10"/>
      <c r="P1158" s="10"/>
      <c r="Q1158" s="22"/>
    </row>
    <row r="1159" customFormat="false" ht="15.75" hidden="false" customHeight="false" outlineLevel="0" collapsed="false">
      <c r="A1159" s="20" t="n">
        <v>46092</v>
      </c>
      <c r="B1159" s="15" t="s">
        <v>491</v>
      </c>
      <c r="C1159" s="15" t="s">
        <v>47</v>
      </c>
      <c r="D1159" s="15" t="s">
        <v>549</v>
      </c>
      <c r="E1159" s="15" t="n">
        <v>1</v>
      </c>
      <c r="H1159" s="10"/>
      <c r="I1159" s="21"/>
      <c r="M1159" s="10"/>
      <c r="N1159" s="10"/>
      <c r="P1159" s="10"/>
      <c r="Q1159" s="22"/>
    </row>
    <row r="1160" customFormat="false" ht="15.75" hidden="false" customHeight="false" outlineLevel="0" collapsed="false">
      <c r="A1160" s="20" t="n">
        <v>46092</v>
      </c>
      <c r="B1160" s="15" t="s">
        <v>491</v>
      </c>
      <c r="C1160" s="15" t="s">
        <v>55</v>
      </c>
      <c r="D1160" s="15" t="s">
        <v>539</v>
      </c>
      <c r="E1160" s="15" t="n">
        <v>1</v>
      </c>
      <c r="H1160" s="10"/>
      <c r="I1160" s="21"/>
      <c r="M1160" s="10"/>
      <c r="N1160" s="10"/>
      <c r="P1160" s="10"/>
      <c r="Q1160" s="22"/>
    </row>
    <row r="1161" customFormat="false" ht="15.75" hidden="false" customHeight="false" outlineLevel="0" collapsed="false">
      <c r="A1161" s="20" t="n">
        <v>46092</v>
      </c>
      <c r="B1161" s="15" t="s">
        <v>491</v>
      </c>
      <c r="C1161" s="15" t="s">
        <v>59</v>
      </c>
      <c r="D1161" s="15" t="s">
        <v>562</v>
      </c>
      <c r="E1161" s="15" t="n">
        <v>1</v>
      </c>
      <c r="H1161" s="10"/>
      <c r="I1161" s="21"/>
      <c r="M1161" s="10"/>
      <c r="N1161" s="10"/>
      <c r="P1161" s="10"/>
      <c r="Q1161" s="22"/>
    </row>
    <row r="1162" customFormat="false" ht="15.75" hidden="false" customHeight="false" outlineLevel="0" collapsed="false">
      <c r="A1162" s="20" t="n">
        <v>46092</v>
      </c>
      <c r="B1162" s="15" t="s">
        <v>491</v>
      </c>
      <c r="C1162" s="15" t="s">
        <v>43</v>
      </c>
      <c r="D1162" s="15" t="s">
        <v>538</v>
      </c>
      <c r="E1162" s="15" t="n">
        <v>1</v>
      </c>
      <c r="H1162" s="10"/>
      <c r="I1162" s="21"/>
      <c r="M1162" s="10"/>
      <c r="N1162" s="10"/>
      <c r="P1162" s="10"/>
      <c r="Q1162" s="22"/>
    </row>
    <row r="1163" customFormat="false" ht="15.75" hidden="false" customHeight="false" outlineLevel="0" collapsed="false">
      <c r="A1163" s="20" t="n">
        <v>46092</v>
      </c>
      <c r="B1163" s="15" t="s">
        <v>491</v>
      </c>
      <c r="C1163" s="15" t="s">
        <v>87</v>
      </c>
      <c r="D1163" s="15" t="s">
        <v>563</v>
      </c>
      <c r="E1163" s="15" t="n">
        <v>1</v>
      </c>
      <c r="H1163" s="10"/>
      <c r="I1163" s="21"/>
      <c r="M1163" s="10"/>
      <c r="N1163" s="10"/>
      <c r="P1163" s="10"/>
      <c r="Q1163" s="22"/>
    </row>
    <row r="1164" customFormat="false" ht="15.75" hidden="false" customHeight="false" outlineLevel="0" collapsed="false">
      <c r="A1164" s="20" t="n">
        <v>46092</v>
      </c>
      <c r="B1164" s="15" t="s">
        <v>491</v>
      </c>
      <c r="C1164" s="15" t="s">
        <v>79</v>
      </c>
      <c r="D1164" s="15" t="s">
        <v>564</v>
      </c>
      <c r="E1164" s="15" t="n">
        <v>1</v>
      </c>
      <c r="H1164" s="10"/>
      <c r="I1164" s="21"/>
      <c r="M1164" s="10"/>
      <c r="N1164" s="10"/>
      <c r="P1164" s="10"/>
      <c r="Q1164" s="22"/>
    </row>
    <row r="1165" customFormat="false" ht="15.75" hidden="false" customHeight="false" outlineLevel="0" collapsed="false">
      <c r="A1165" s="20" t="n">
        <v>46092</v>
      </c>
      <c r="B1165" s="15" t="s">
        <v>493</v>
      </c>
      <c r="C1165" s="15" t="s">
        <v>63</v>
      </c>
      <c r="D1165" s="15" t="s">
        <v>551</v>
      </c>
      <c r="E1165" s="15" t="n">
        <v>1</v>
      </c>
      <c r="H1165" s="10"/>
      <c r="I1165" s="21"/>
      <c r="M1165" s="10"/>
      <c r="N1165" s="10"/>
      <c r="P1165" s="10"/>
      <c r="Q1165" s="22"/>
    </row>
    <row r="1166" customFormat="false" ht="15.75" hidden="false" customHeight="false" outlineLevel="0" collapsed="false">
      <c r="A1166" s="20" t="n">
        <v>46092</v>
      </c>
      <c r="B1166" s="15" t="s">
        <v>493</v>
      </c>
      <c r="C1166" s="15" t="s">
        <v>47</v>
      </c>
      <c r="D1166" s="15" t="s">
        <v>549</v>
      </c>
      <c r="E1166" s="15" t="n">
        <v>1</v>
      </c>
      <c r="H1166" s="10"/>
      <c r="I1166" s="21"/>
      <c r="M1166" s="10"/>
      <c r="N1166" s="10"/>
      <c r="P1166" s="10"/>
      <c r="Q1166" s="22"/>
    </row>
    <row r="1167" customFormat="false" ht="15.75" hidden="false" customHeight="false" outlineLevel="0" collapsed="false">
      <c r="A1167" s="20" t="n">
        <v>46092</v>
      </c>
      <c r="B1167" s="15" t="s">
        <v>496</v>
      </c>
      <c r="C1167" s="15" t="s">
        <v>81</v>
      </c>
      <c r="D1167" s="15" t="s">
        <v>534</v>
      </c>
      <c r="E1167" s="15" t="n">
        <v>7</v>
      </c>
      <c r="H1167" s="10"/>
      <c r="I1167" s="21"/>
      <c r="M1167" s="10"/>
      <c r="N1167" s="10"/>
      <c r="P1167" s="10"/>
      <c r="Q1167" s="22"/>
    </row>
    <row r="1168" customFormat="false" ht="15.75" hidden="false" customHeight="false" outlineLevel="0" collapsed="false">
      <c r="A1168" s="20" t="n">
        <v>46092</v>
      </c>
      <c r="B1168" s="15" t="s">
        <v>496</v>
      </c>
      <c r="C1168" s="15" t="s">
        <v>47</v>
      </c>
      <c r="D1168" s="15" t="s">
        <v>549</v>
      </c>
      <c r="E1168" s="15" t="n">
        <v>4</v>
      </c>
      <c r="H1168" s="10"/>
      <c r="I1168" s="21"/>
      <c r="M1168" s="10"/>
      <c r="N1168" s="10"/>
      <c r="P1168" s="10"/>
      <c r="Q1168" s="22"/>
    </row>
    <row r="1169" customFormat="false" ht="15.75" hidden="false" customHeight="false" outlineLevel="0" collapsed="false">
      <c r="A1169" s="20" t="n">
        <v>46092</v>
      </c>
      <c r="B1169" s="15" t="s">
        <v>496</v>
      </c>
      <c r="C1169" s="15" t="s">
        <v>55</v>
      </c>
      <c r="D1169" s="15" t="s">
        <v>539</v>
      </c>
      <c r="E1169" s="15" t="n">
        <v>2</v>
      </c>
      <c r="H1169" s="10"/>
      <c r="I1169" s="21"/>
      <c r="M1169" s="10"/>
      <c r="N1169" s="10"/>
      <c r="P1169" s="10"/>
      <c r="Q1169" s="22"/>
    </row>
    <row r="1170" customFormat="false" ht="15.75" hidden="false" customHeight="false" outlineLevel="0" collapsed="false">
      <c r="A1170" s="20" t="n">
        <v>46092</v>
      </c>
      <c r="B1170" s="15" t="s">
        <v>496</v>
      </c>
      <c r="C1170" s="15" t="s">
        <v>567</v>
      </c>
      <c r="D1170" s="15" t="s">
        <v>568</v>
      </c>
      <c r="E1170" s="15" t="n">
        <v>3</v>
      </c>
      <c r="H1170" s="10"/>
      <c r="I1170" s="21"/>
      <c r="M1170" s="10"/>
      <c r="N1170" s="10"/>
      <c r="P1170" s="10"/>
      <c r="Q1170" s="22"/>
    </row>
    <row r="1171" customFormat="false" ht="15.75" hidden="false" customHeight="false" outlineLevel="0" collapsed="false">
      <c r="A1171" s="20" t="n">
        <v>46092</v>
      </c>
      <c r="B1171" s="15" t="s">
        <v>496</v>
      </c>
      <c r="C1171" s="15" t="s">
        <v>545</v>
      </c>
      <c r="D1171" s="15" t="s">
        <v>546</v>
      </c>
      <c r="E1171" s="15" t="n">
        <v>3</v>
      </c>
      <c r="H1171" s="10"/>
      <c r="I1171" s="21"/>
      <c r="M1171" s="10"/>
      <c r="N1171" s="10"/>
      <c r="P1171" s="10"/>
      <c r="Q1171" s="22"/>
    </row>
    <row r="1172" customFormat="false" ht="15.75" hidden="false" customHeight="false" outlineLevel="0" collapsed="false">
      <c r="A1172" s="20" t="n">
        <v>46092</v>
      </c>
      <c r="B1172" s="15" t="s">
        <v>496</v>
      </c>
      <c r="C1172" s="15" t="s">
        <v>547</v>
      </c>
      <c r="D1172" s="15" t="s">
        <v>548</v>
      </c>
      <c r="E1172" s="15" t="n">
        <v>1</v>
      </c>
      <c r="H1172" s="10"/>
      <c r="I1172" s="21"/>
      <c r="M1172" s="10"/>
      <c r="N1172" s="10"/>
      <c r="P1172" s="10"/>
      <c r="Q1172" s="22"/>
    </row>
    <row r="1173" customFormat="false" ht="15.75" hidden="false" customHeight="false" outlineLevel="0" collapsed="false">
      <c r="A1173" s="20" t="n">
        <v>46092</v>
      </c>
      <c r="B1173" s="15" t="s">
        <v>496</v>
      </c>
      <c r="C1173" s="15" t="s">
        <v>555</v>
      </c>
      <c r="D1173" s="15" t="s">
        <v>556</v>
      </c>
      <c r="E1173" s="15" t="n">
        <v>4</v>
      </c>
      <c r="H1173" s="10"/>
      <c r="I1173" s="21"/>
      <c r="M1173" s="10"/>
      <c r="N1173" s="10"/>
      <c r="P1173" s="10"/>
      <c r="Q1173" s="22"/>
    </row>
    <row r="1174" customFormat="false" ht="15.75" hidden="false" customHeight="false" outlineLevel="0" collapsed="false">
      <c r="A1174" s="20" t="n">
        <v>46092</v>
      </c>
      <c r="B1174" s="15" t="s">
        <v>496</v>
      </c>
      <c r="C1174" s="15" t="s">
        <v>541</v>
      </c>
      <c r="D1174" s="15" t="s">
        <v>542</v>
      </c>
      <c r="E1174" s="15" t="n">
        <v>4</v>
      </c>
      <c r="H1174" s="10"/>
      <c r="I1174" s="21"/>
      <c r="M1174" s="10"/>
      <c r="N1174" s="10"/>
      <c r="P1174" s="10"/>
      <c r="Q1174" s="22"/>
    </row>
    <row r="1175" customFormat="false" ht="15.75" hidden="false" customHeight="false" outlineLevel="0" collapsed="false">
      <c r="A1175" s="20" t="n">
        <v>46092</v>
      </c>
      <c r="B1175" s="15" t="s">
        <v>496</v>
      </c>
      <c r="C1175" s="15" t="s">
        <v>45</v>
      </c>
      <c r="D1175" s="15" t="s">
        <v>540</v>
      </c>
      <c r="E1175" s="15" t="n">
        <v>1</v>
      </c>
      <c r="H1175" s="10"/>
      <c r="I1175" s="21"/>
      <c r="M1175" s="10"/>
      <c r="N1175" s="10"/>
      <c r="P1175" s="10"/>
      <c r="Q1175" s="22"/>
    </row>
    <row r="1176" customFormat="false" ht="15.75" hidden="false" customHeight="false" outlineLevel="0" collapsed="false">
      <c r="A1176" s="20" t="n">
        <v>46092</v>
      </c>
      <c r="B1176" s="15" t="s">
        <v>496</v>
      </c>
      <c r="C1176" s="15" t="s">
        <v>37</v>
      </c>
      <c r="D1176" s="15" t="s">
        <v>561</v>
      </c>
      <c r="E1176" s="15" t="n">
        <v>1</v>
      </c>
      <c r="H1176" s="10"/>
      <c r="I1176" s="21"/>
      <c r="M1176" s="10"/>
      <c r="N1176" s="10"/>
      <c r="P1176" s="10"/>
      <c r="Q1176" s="22"/>
    </row>
    <row r="1177" customFormat="false" ht="15.75" hidden="false" customHeight="false" outlineLevel="0" collapsed="false">
      <c r="A1177" s="20" t="n">
        <v>46092</v>
      </c>
      <c r="B1177" s="15" t="s">
        <v>496</v>
      </c>
      <c r="C1177" s="15" t="s">
        <v>543</v>
      </c>
      <c r="D1177" s="15" t="s">
        <v>544</v>
      </c>
      <c r="E1177" s="15" t="n">
        <v>4</v>
      </c>
      <c r="H1177" s="10"/>
      <c r="I1177" s="21"/>
      <c r="M1177" s="10"/>
      <c r="N1177" s="10"/>
      <c r="P1177" s="10"/>
      <c r="Q1177" s="22"/>
    </row>
    <row r="1178" customFormat="false" ht="15.75" hidden="false" customHeight="false" outlineLevel="0" collapsed="false">
      <c r="A1178" s="20" t="n">
        <v>46092</v>
      </c>
      <c r="B1178" s="15" t="s">
        <v>496</v>
      </c>
      <c r="C1178" s="15" t="s">
        <v>69</v>
      </c>
      <c r="D1178" s="15" t="s">
        <v>535</v>
      </c>
      <c r="E1178" s="15" t="n">
        <v>2</v>
      </c>
      <c r="H1178" s="10"/>
      <c r="I1178" s="21"/>
      <c r="M1178" s="10"/>
      <c r="N1178" s="10"/>
      <c r="P1178" s="10"/>
      <c r="Q1178" s="22"/>
    </row>
    <row r="1179" customFormat="false" ht="15.75" hidden="false" customHeight="false" outlineLevel="0" collapsed="false">
      <c r="A1179" s="20" t="n">
        <v>46092</v>
      </c>
      <c r="B1179" s="15" t="s">
        <v>496</v>
      </c>
      <c r="C1179" s="15" t="s">
        <v>77</v>
      </c>
      <c r="D1179" s="15" t="s">
        <v>78</v>
      </c>
      <c r="E1179" s="15" t="n">
        <v>2</v>
      </c>
      <c r="H1179" s="10"/>
      <c r="I1179" s="21"/>
      <c r="M1179" s="10"/>
      <c r="N1179" s="10"/>
      <c r="P1179" s="10"/>
      <c r="Q1179" s="22"/>
    </row>
    <row r="1180" customFormat="false" ht="15.75" hidden="false" customHeight="false" outlineLevel="0" collapsed="false">
      <c r="A1180" s="20" t="n">
        <v>46092</v>
      </c>
      <c r="B1180" s="15" t="s">
        <v>496</v>
      </c>
      <c r="C1180" s="15" t="s">
        <v>59</v>
      </c>
      <c r="D1180" s="15" t="s">
        <v>562</v>
      </c>
      <c r="E1180" s="15" t="n">
        <v>2</v>
      </c>
      <c r="H1180" s="10"/>
      <c r="I1180" s="21"/>
      <c r="M1180" s="10"/>
      <c r="N1180" s="10"/>
      <c r="P1180" s="10"/>
      <c r="Q1180" s="22"/>
    </row>
    <row r="1181" customFormat="false" ht="15.75" hidden="false" customHeight="false" outlineLevel="0" collapsed="false">
      <c r="A1181" s="20" t="n">
        <v>46092</v>
      </c>
      <c r="B1181" s="15" t="s">
        <v>496</v>
      </c>
      <c r="C1181" s="15" t="s">
        <v>33</v>
      </c>
      <c r="D1181" s="15" t="s">
        <v>536</v>
      </c>
      <c r="E1181" s="15" t="n">
        <v>2</v>
      </c>
      <c r="H1181" s="10"/>
      <c r="I1181" s="21"/>
      <c r="M1181" s="10"/>
      <c r="N1181" s="10"/>
      <c r="P1181" s="10"/>
      <c r="Q1181" s="22"/>
    </row>
    <row r="1182" customFormat="false" ht="15.75" hidden="false" customHeight="false" outlineLevel="0" collapsed="false">
      <c r="A1182" s="20" t="n">
        <v>46092</v>
      </c>
      <c r="B1182" s="15" t="s">
        <v>496</v>
      </c>
      <c r="C1182" s="15" t="s">
        <v>79</v>
      </c>
      <c r="D1182" s="15" t="s">
        <v>564</v>
      </c>
      <c r="E1182" s="15" t="n">
        <v>1</v>
      </c>
      <c r="H1182" s="10"/>
      <c r="I1182" s="21"/>
      <c r="M1182" s="10"/>
      <c r="N1182" s="10"/>
      <c r="P1182" s="10"/>
      <c r="Q1182" s="22"/>
    </row>
    <row r="1183" customFormat="false" ht="15.75" hidden="false" customHeight="false" outlineLevel="0" collapsed="false">
      <c r="A1183" s="20" t="n">
        <v>46092</v>
      </c>
      <c r="B1183" s="15" t="s">
        <v>496</v>
      </c>
      <c r="C1183" s="15" t="s">
        <v>65</v>
      </c>
      <c r="D1183" s="15" t="s">
        <v>580</v>
      </c>
      <c r="E1183" s="15" t="n">
        <v>1</v>
      </c>
      <c r="H1183" s="10"/>
      <c r="I1183" s="21"/>
      <c r="M1183" s="10"/>
      <c r="N1183" s="10"/>
      <c r="P1183" s="10"/>
      <c r="Q1183" s="22"/>
    </row>
    <row r="1184" customFormat="false" ht="15.75" hidden="false" customHeight="false" outlineLevel="0" collapsed="false">
      <c r="A1184" s="20" t="n">
        <v>46092</v>
      </c>
      <c r="B1184" s="15" t="s">
        <v>505</v>
      </c>
      <c r="C1184" s="15" t="s">
        <v>55</v>
      </c>
      <c r="D1184" s="15" t="s">
        <v>539</v>
      </c>
      <c r="E1184" s="15" t="n">
        <v>6</v>
      </c>
      <c r="H1184" s="10"/>
      <c r="I1184" s="21"/>
      <c r="M1184" s="10"/>
      <c r="N1184" s="10"/>
      <c r="P1184" s="10"/>
      <c r="Q1184" s="22"/>
    </row>
    <row r="1185" customFormat="false" ht="15.75" hidden="false" customHeight="false" outlineLevel="0" collapsed="false">
      <c r="A1185" s="20" t="n">
        <v>46092</v>
      </c>
      <c r="B1185" s="15" t="s">
        <v>505</v>
      </c>
      <c r="C1185" s="15" t="s">
        <v>39</v>
      </c>
      <c r="D1185" s="15" t="s">
        <v>550</v>
      </c>
      <c r="E1185" s="15" t="n">
        <v>1</v>
      </c>
      <c r="H1185" s="10"/>
      <c r="I1185" s="21"/>
      <c r="M1185" s="10"/>
      <c r="N1185" s="10"/>
      <c r="P1185" s="10"/>
      <c r="Q1185" s="22"/>
    </row>
    <row r="1186" customFormat="false" ht="15.75" hidden="false" customHeight="false" outlineLevel="0" collapsed="false">
      <c r="A1186" s="20" t="n">
        <v>46092</v>
      </c>
      <c r="B1186" s="15" t="s">
        <v>505</v>
      </c>
      <c r="C1186" s="15" t="s">
        <v>81</v>
      </c>
      <c r="D1186" s="15" t="s">
        <v>534</v>
      </c>
      <c r="E1186" s="15" t="n">
        <v>9</v>
      </c>
      <c r="H1186" s="10"/>
      <c r="I1186" s="21"/>
      <c r="M1186" s="10"/>
      <c r="N1186" s="10"/>
      <c r="P1186" s="10"/>
      <c r="Q1186" s="22"/>
    </row>
    <row r="1187" customFormat="false" ht="15.75" hidden="false" customHeight="false" outlineLevel="0" collapsed="false">
      <c r="A1187" s="20" t="n">
        <v>46092</v>
      </c>
      <c r="B1187" s="15" t="s">
        <v>505</v>
      </c>
      <c r="C1187" s="15" t="s">
        <v>47</v>
      </c>
      <c r="D1187" s="15" t="s">
        <v>549</v>
      </c>
      <c r="E1187" s="15" t="n">
        <v>3</v>
      </c>
      <c r="H1187" s="10"/>
      <c r="I1187" s="21"/>
      <c r="M1187" s="10"/>
      <c r="N1187" s="10"/>
      <c r="P1187" s="10"/>
      <c r="Q1187" s="22"/>
    </row>
    <row r="1188" customFormat="false" ht="15.75" hidden="false" customHeight="false" outlineLevel="0" collapsed="false">
      <c r="A1188" s="20" t="n">
        <v>46092</v>
      </c>
      <c r="B1188" s="15" t="s">
        <v>505</v>
      </c>
      <c r="C1188" s="15" t="s">
        <v>63</v>
      </c>
      <c r="D1188" s="15" t="s">
        <v>551</v>
      </c>
      <c r="E1188" s="15" t="n">
        <v>1</v>
      </c>
      <c r="H1188" s="10"/>
      <c r="I1188" s="21"/>
      <c r="M1188" s="10"/>
      <c r="N1188" s="10"/>
      <c r="P1188" s="10"/>
      <c r="Q1188" s="22"/>
    </row>
    <row r="1189" customFormat="false" ht="15.75" hidden="false" customHeight="false" outlineLevel="0" collapsed="false">
      <c r="A1189" s="20" t="n">
        <v>46092</v>
      </c>
      <c r="B1189" s="15" t="s">
        <v>505</v>
      </c>
      <c r="C1189" s="15" t="s">
        <v>17</v>
      </c>
      <c r="D1189" s="15" t="s">
        <v>554</v>
      </c>
      <c r="E1189" s="15" t="n">
        <v>1</v>
      </c>
      <c r="H1189" s="10"/>
      <c r="I1189" s="21"/>
      <c r="M1189" s="10"/>
      <c r="N1189" s="10"/>
      <c r="P1189" s="10"/>
      <c r="Q1189" s="22"/>
    </row>
    <row r="1190" customFormat="false" ht="15.75" hidden="false" customHeight="false" outlineLevel="0" collapsed="false">
      <c r="A1190" s="20" t="n">
        <v>46092</v>
      </c>
      <c r="B1190" s="15" t="s">
        <v>508</v>
      </c>
      <c r="C1190" s="15" t="s">
        <v>55</v>
      </c>
      <c r="D1190" s="15" t="s">
        <v>539</v>
      </c>
      <c r="E1190" s="15" t="n">
        <v>5</v>
      </c>
      <c r="H1190" s="10"/>
      <c r="I1190" s="21"/>
      <c r="M1190" s="10"/>
      <c r="N1190" s="10"/>
      <c r="P1190" s="10"/>
      <c r="Q1190" s="22"/>
    </row>
    <row r="1191" customFormat="false" ht="15.75" hidden="false" customHeight="false" outlineLevel="0" collapsed="false">
      <c r="A1191" s="20" t="n">
        <v>46092</v>
      </c>
      <c r="B1191" s="15" t="s">
        <v>508</v>
      </c>
      <c r="C1191" s="15" t="s">
        <v>81</v>
      </c>
      <c r="D1191" s="15" t="s">
        <v>534</v>
      </c>
      <c r="E1191" s="15" t="n">
        <v>9</v>
      </c>
      <c r="H1191" s="10"/>
      <c r="I1191" s="21"/>
      <c r="M1191" s="10"/>
      <c r="N1191" s="10"/>
      <c r="P1191" s="10"/>
      <c r="Q1191" s="22"/>
    </row>
    <row r="1192" customFormat="false" ht="15.75" hidden="false" customHeight="false" outlineLevel="0" collapsed="false">
      <c r="A1192" s="20" t="n">
        <v>46092</v>
      </c>
      <c r="B1192" s="15" t="s">
        <v>508</v>
      </c>
      <c r="C1192" s="15" t="s">
        <v>39</v>
      </c>
      <c r="D1192" s="15" t="s">
        <v>550</v>
      </c>
      <c r="E1192" s="15" t="n">
        <v>2</v>
      </c>
      <c r="H1192" s="10"/>
      <c r="I1192" s="21"/>
      <c r="M1192" s="10"/>
      <c r="N1192" s="10"/>
      <c r="P1192" s="10"/>
      <c r="Q1192" s="22"/>
    </row>
    <row r="1193" customFormat="false" ht="15.75" hidden="false" customHeight="false" outlineLevel="0" collapsed="false">
      <c r="A1193" s="20" t="n">
        <v>46092</v>
      </c>
      <c r="B1193" s="15" t="s">
        <v>508</v>
      </c>
      <c r="C1193" s="15" t="s">
        <v>47</v>
      </c>
      <c r="D1193" s="15" t="s">
        <v>549</v>
      </c>
      <c r="E1193" s="15" t="n">
        <v>2</v>
      </c>
      <c r="H1193" s="10"/>
      <c r="I1193" s="21"/>
      <c r="M1193" s="10"/>
      <c r="N1193" s="10"/>
      <c r="P1193" s="10"/>
      <c r="Q1193" s="22"/>
    </row>
    <row r="1194" customFormat="false" ht="15.75" hidden="false" customHeight="false" outlineLevel="0" collapsed="false">
      <c r="A1194" s="20" t="n">
        <v>46092</v>
      </c>
      <c r="B1194" s="15" t="s">
        <v>508</v>
      </c>
      <c r="C1194" s="15" t="s">
        <v>63</v>
      </c>
      <c r="D1194" s="15" t="s">
        <v>551</v>
      </c>
      <c r="E1194" s="15" t="n">
        <v>1</v>
      </c>
      <c r="H1194" s="10"/>
      <c r="I1194" s="21"/>
      <c r="M1194" s="10"/>
      <c r="N1194" s="10"/>
      <c r="P1194" s="10"/>
      <c r="Q1194" s="22"/>
    </row>
    <row r="1195" customFormat="false" ht="15.75" hidden="false" customHeight="false" outlineLevel="0" collapsed="false">
      <c r="A1195" s="20" t="n">
        <v>46092</v>
      </c>
      <c r="B1195" s="15" t="s">
        <v>514</v>
      </c>
      <c r="C1195" s="15" t="s">
        <v>55</v>
      </c>
      <c r="D1195" s="15" t="s">
        <v>539</v>
      </c>
      <c r="E1195" s="15" t="n">
        <v>5</v>
      </c>
      <c r="H1195" s="10"/>
      <c r="I1195" s="21"/>
      <c r="M1195" s="10"/>
      <c r="N1195" s="10"/>
      <c r="P1195" s="10"/>
      <c r="Q1195" s="22"/>
    </row>
    <row r="1196" customFormat="false" ht="15.75" hidden="false" customHeight="false" outlineLevel="0" collapsed="false">
      <c r="A1196" s="20" t="n">
        <v>46092</v>
      </c>
      <c r="B1196" s="15" t="s">
        <v>514</v>
      </c>
      <c r="C1196" s="15" t="s">
        <v>57</v>
      </c>
      <c r="D1196" s="15" t="s">
        <v>553</v>
      </c>
      <c r="E1196" s="15" t="n">
        <v>1</v>
      </c>
      <c r="H1196" s="10"/>
      <c r="I1196" s="21"/>
      <c r="M1196" s="10"/>
      <c r="N1196" s="10"/>
      <c r="P1196" s="10"/>
      <c r="Q1196" s="22"/>
    </row>
    <row r="1197" customFormat="false" ht="15.75" hidden="false" customHeight="false" outlineLevel="0" collapsed="false">
      <c r="A1197" s="20" t="n">
        <v>46092</v>
      </c>
      <c r="B1197" s="15" t="s">
        <v>514</v>
      </c>
      <c r="C1197" s="15" t="s">
        <v>49</v>
      </c>
      <c r="D1197" s="15" t="s">
        <v>537</v>
      </c>
      <c r="E1197" s="15" t="n">
        <v>1</v>
      </c>
      <c r="H1197" s="10"/>
      <c r="I1197" s="21"/>
      <c r="M1197" s="10"/>
      <c r="N1197" s="10"/>
      <c r="P1197" s="10"/>
      <c r="Q1197" s="22"/>
    </row>
    <row r="1198" customFormat="false" ht="15.75" hidden="false" customHeight="false" outlineLevel="0" collapsed="false">
      <c r="A1198" s="20" t="n">
        <v>46092</v>
      </c>
      <c r="B1198" s="15" t="s">
        <v>514</v>
      </c>
      <c r="C1198" s="15" t="s">
        <v>47</v>
      </c>
      <c r="D1198" s="15" t="s">
        <v>549</v>
      </c>
      <c r="E1198" s="15" t="n">
        <v>4</v>
      </c>
      <c r="H1198" s="10"/>
      <c r="I1198" s="21"/>
      <c r="M1198" s="10"/>
      <c r="N1198" s="10"/>
      <c r="P1198" s="10"/>
      <c r="Q1198" s="22"/>
    </row>
    <row r="1199" customFormat="false" ht="15.75" hidden="false" customHeight="false" outlineLevel="0" collapsed="false">
      <c r="A1199" s="20" t="n">
        <v>46092</v>
      </c>
      <c r="B1199" s="15" t="s">
        <v>514</v>
      </c>
      <c r="C1199" s="15" t="s">
        <v>81</v>
      </c>
      <c r="D1199" s="15" t="s">
        <v>534</v>
      </c>
      <c r="E1199" s="15" t="n">
        <v>7</v>
      </c>
      <c r="H1199" s="10"/>
      <c r="I1199" s="21"/>
      <c r="M1199" s="10"/>
      <c r="N1199" s="10"/>
      <c r="P1199" s="10"/>
      <c r="Q1199" s="22"/>
    </row>
    <row r="1200" customFormat="false" ht="15.75" hidden="false" customHeight="false" outlineLevel="0" collapsed="false">
      <c r="A1200" s="20" t="n">
        <v>46092</v>
      </c>
      <c r="B1200" s="15" t="s">
        <v>514</v>
      </c>
      <c r="C1200" s="15" t="s">
        <v>63</v>
      </c>
      <c r="D1200" s="15" t="s">
        <v>551</v>
      </c>
      <c r="E1200" s="15" t="n">
        <v>1</v>
      </c>
      <c r="H1200" s="10"/>
      <c r="I1200" s="21"/>
      <c r="M1200" s="10"/>
      <c r="N1200" s="10"/>
      <c r="P1200" s="10"/>
      <c r="Q1200" s="22"/>
    </row>
    <row r="1201" customFormat="false" ht="15.75" hidden="false" customHeight="false" outlineLevel="0" collapsed="false">
      <c r="A1201" s="20" t="n">
        <v>46092</v>
      </c>
      <c r="B1201" s="15" t="s">
        <v>514</v>
      </c>
      <c r="C1201" s="15" t="s">
        <v>17</v>
      </c>
      <c r="D1201" s="15" t="s">
        <v>554</v>
      </c>
      <c r="E1201" s="15" t="n">
        <v>1</v>
      </c>
      <c r="H1201" s="10"/>
      <c r="I1201" s="21"/>
      <c r="M1201" s="10"/>
      <c r="N1201" s="10"/>
      <c r="P1201" s="10"/>
      <c r="Q1201" s="22"/>
    </row>
    <row r="1202" customFormat="false" ht="15.75" hidden="false" customHeight="false" outlineLevel="0" collapsed="false">
      <c r="A1202" s="20" t="n">
        <v>46092</v>
      </c>
      <c r="B1202" s="15" t="s">
        <v>518</v>
      </c>
      <c r="C1202" s="15" t="s">
        <v>69</v>
      </c>
      <c r="D1202" s="15" t="s">
        <v>535</v>
      </c>
      <c r="E1202" s="15" t="n">
        <v>6</v>
      </c>
      <c r="H1202" s="10"/>
      <c r="I1202" s="21"/>
      <c r="M1202" s="10"/>
      <c r="N1202" s="10"/>
      <c r="P1202" s="10"/>
      <c r="Q1202" s="22"/>
    </row>
    <row r="1203" customFormat="false" ht="15.75" hidden="false" customHeight="false" outlineLevel="0" collapsed="false">
      <c r="A1203" s="20" t="n">
        <v>46092</v>
      </c>
      <c r="B1203" s="15" t="s">
        <v>518</v>
      </c>
      <c r="C1203" s="15" t="s">
        <v>33</v>
      </c>
      <c r="D1203" s="15" t="s">
        <v>536</v>
      </c>
      <c r="E1203" s="15" t="n">
        <v>6</v>
      </c>
      <c r="H1203" s="10"/>
      <c r="I1203" s="21"/>
      <c r="M1203" s="10"/>
      <c r="N1203" s="10"/>
      <c r="P1203" s="10"/>
      <c r="Q1203" s="22"/>
    </row>
    <row r="1204" customFormat="false" ht="15.75" hidden="false" customHeight="false" outlineLevel="0" collapsed="false">
      <c r="A1204" s="20" t="n">
        <v>46092</v>
      </c>
      <c r="B1204" s="15" t="s">
        <v>518</v>
      </c>
      <c r="C1204" s="15" t="s">
        <v>47</v>
      </c>
      <c r="D1204" s="15" t="s">
        <v>549</v>
      </c>
      <c r="E1204" s="15" t="n">
        <v>2</v>
      </c>
      <c r="H1204" s="10"/>
      <c r="I1204" s="21"/>
      <c r="M1204" s="10"/>
      <c r="N1204" s="10"/>
      <c r="P1204" s="10"/>
      <c r="Q1204" s="22"/>
    </row>
    <row r="1205" customFormat="false" ht="15.75" hidden="false" customHeight="false" outlineLevel="0" collapsed="false">
      <c r="A1205" s="20" t="n">
        <v>46092</v>
      </c>
      <c r="B1205" s="15" t="s">
        <v>518</v>
      </c>
      <c r="C1205" s="15" t="s">
        <v>51</v>
      </c>
      <c r="D1205" s="15" t="s">
        <v>573</v>
      </c>
      <c r="E1205" s="15" t="n">
        <v>1</v>
      </c>
      <c r="H1205" s="10"/>
      <c r="I1205" s="21"/>
      <c r="M1205" s="10"/>
      <c r="N1205" s="10"/>
      <c r="P1205" s="10"/>
      <c r="Q1205" s="22"/>
    </row>
    <row r="1206" customFormat="false" ht="15.75" hidden="false" customHeight="false" outlineLevel="0" collapsed="false">
      <c r="A1206" s="20" t="n">
        <v>46092</v>
      </c>
      <c r="B1206" s="15" t="s">
        <v>518</v>
      </c>
      <c r="C1206" s="15" t="s">
        <v>55</v>
      </c>
      <c r="D1206" s="15" t="s">
        <v>539</v>
      </c>
      <c r="E1206" s="15" t="n">
        <v>2</v>
      </c>
      <c r="H1206" s="10"/>
      <c r="I1206" s="21"/>
      <c r="M1206" s="10"/>
      <c r="N1206" s="10"/>
      <c r="P1206" s="10"/>
      <c r="Q1206" s="22"/>
    </row>
    <row r="1207" customFormat="false" ht="15.75" hidden="false" customHeight="false" outlineLevel="0" collapsed="false">
      <c r="A1207" s="20" t="n">
        <v>46092</v>
      </c>
      <c r="B1207" s="15" t="s">
        <v>518</v>
      </c>
      <c r="C1207" s="15" t="s">
        <v>37</v>
      </c>
      <c r="D1207" s="15" t="s">
        <v>561</v>
      </c>
      <c r="E1207" s="15" t="n">
        <v>2</v>
      </c>
      <c r="H1207" s="10"/>
      <c r="I1207" s="21"/>
      <c r="M1207" s="10"/>
      <c r="N1207" s="10"/>
      <c r="P1207" s="10"/>
      <c r="Q1207" s="22"/>
    </row>
    <row r="1208" customFormat="false" ht="15.75" hidden="false" customHeight="false" outlineLevel="0" collapsed="false">
      <c r="A1208" s="20" t="n">
        <v>46092</v>
      </c>
      <c r="B1208" s="15" t="s">
        <v>518</v>
      </c>
      <c r="C1208" s="15" t="s">
        <v>547</v>
      </c>
      <c r="D1208" s="15" t="s">
        <v>548</v>
      </c>
      <c r="E1208" s="15" t="n">
        <v>1</v>
      </c>
      <c r="H1208" s="10"/>
      <c r="I1208" s="21"/>
      <c r="M1208" s="10"/>
      <c r="N1208" s="10"/>
      <c r="P1208" s="10"/>
      <c r="Q1208" s="22"/>
    </row>
    <row r="1209" customFormat="false" ht="15.75" hidden="false" customHeight="false" outlineLevel="0" collapsed="false">
      <c r="A1209" s="20" t="n">
        <v>46092</v>
      </c>
      <c r="B1209" s="15" t="s">
        <v>518</v>
      </c>
      <c r="C1209" s="15" t="s">
        <v>81</v>
      </c>
      <c r="D1209" s="15" t="s">
        <v>534</v>
      </c>
      <c r="E1209" s="15" t="n">
        <v>1</v>
      </c>
      <c r="H1209" s="10"/>
      <c r="I1209" s="21"/>
      <c r="M1209" s="10"/>
      <c r="N1209" s="10"/>
      <c r="P1209" s="10"/>
      <c r="Q1209" s="22"/>
    </row>
    <row r="1210" customFormat="false" ht="15.75" hidden="false" customHeight="false" outlineLevel="0" collapsed="false">
      <c r="A1210" s="20" t="n">
        <v>46092</v>
      </c>
      <c r="B1210" s="15" t="s">
        <v>530</v>
      </c>
      <c r="C1210" s="15" t="s">
        <v>81</v>
      </c>
      <c r="D1210" s="15" t="s">
        <v>534</v>
      </c>
      <c r="E1210" s="15" t="n">
        <v>1</v>
      </c>
      <c r="H1210" s="10"/>
      <c r="I1210" s="21"/>
      <c r="M1210" s="10"/>
      <c r="N1210" s="10"/>
      <c r="P1210" s="10"/>
      <c r="Q1210" s="22"/>
    </row>
    <row r="1211" customFormat="false" ht="15.75" hidden="false" customHeight="false" outlineLevel="0" collapsed="false">
      <c r="A1211" s="20" t="n">
        <v>46092</v>
      </c>
      <c r="B1211" s="15" t="s">
        <v>530</v>
      </c>
      <c r="C1211" s="15" t="s">
        <v>69</v>
      </c>
      <c r="D1211" s="15" t="s">
        <v>535</v>
      </c>
      <c r="E1211" s="15" t="n">
        <v>3</v>
      </c>
      <c r="H1211" s="10"/>
      <c r="I1211" s="21"/>
      <c r="M1211" s="10"/>
      <c r="N1211" s="10"/>
      <c r="P1211" s="10"/>
      <c r="Q1211" s="22"/>
    </row>
    <row r="1212" customFormat="false" ht="15.75" hidden="false" customHeight="false" outlineLevel="0" collapsed="false">
      <c r="A1212" s="20" t="n">
        <v>46092</v>
      </c>
      <c r="B1212" s="15" t="s">
        <v>530</v>
      </c>
      <c r="C1212" s="15" t="s">
        <v>33</v>
      </c>
      <c r="D1212" s="15" t="s">
        <v>536</v>
      </c>
      <c r="E1212" s="15" t="n">
        <v>3</v>
      </c>
      <c r="H1212" s="10"/>
      <c r="I1212" s="21"/>
      <c r="M1212" s="10"/>
      <c r="N1212" s="10"/>
      <c r="P1212" s="10"/>
      <c r="Q1212" s="22"/>
    </row>
    <row r="1213" customFormat="false" ht="15.75" hidden="false" customHeight="false" outlineLevel="0" collapsed="false">
      <c r="A1213" s="20" t="n">
        <v>46092</v>
      </c>
      <c r="B1213" s="15" t="s">
        <v>530</v>
      </c>
      <c r="C1213" s="15" t="s">
        <v>77</v>
      </c>
      <c r="D1213" s="15" t="s">
        <v>78</v>
      </c>
      <c r="E1213" s="15" t="n">
        <v>2</v>
      </c>
      <c r="H1213" s="10"/>
      <c r="I1213" s="21"/>
      <c r="M1213" s="10"/>
      <c r="N1213" s="10"/>
      <c r="P1213" s="10"/>
      <c r="Q1213" s="22"/>
    </row>
    <row r="1214" customFormat="false" ht="15.75" hidden="false" customHeight="false" outlineLevel="0" collapsed="false">
      <c r="A1214" s="20" t="n">
        <v>46093</v>
      </c>
      <c r="B1214" s="15" t="s">
        <v>452</v>
      </c>
      <c r="C1214" s="15" t="s">
        <v>81</v>
      </c>
      <c r="D1214" s="15" t="s">
        <v>534</v>
      </c>
      <c r="E1214" s="15" t="n">
        <v>11</v>
      </c>
      <c r="H1214" s="10"/>
      <c r="I1214" s="21"/>
      <c r="M1214" s="10"/>
      <c r="N1214" s="10"/>
      <c r="P1214" s="10"/>
      <c r="Q1214" s="22"/>
    </row>
    <row r="1215" customFormat="false" ht="15.75" hidden="false" customHeight="false" outlineLevel="0" collapsed="false">
      <c r="A1215" s="20" t="n">
        <v>46093</v>
      </c>
      <c r="B1215" s="15" t="s">
        <v>452</v>
      </c>
      <c r="C1215" s="15" t="s">
        <v>555</v>
      </c>
      <c r="D1215" s="15" t="s">
        <v>556</v>
      </c>
      <c r="E1215" s="15" t="n">
        <v>2</v>
      </c>
      <c r="H1215" s="10"/>
      <c r="I1215" s="21"/>
      <c r="M1215" s="10"/>
      <c r="N1215" s="10"/>
      <c r="P1215" s="10"/>
      <c r="Q1215" s="22"/>
    </row>
    <row r="1216" customFormat="false" ht="15.75" hidden="false" customHeight="false" outlineLevel="0" collapsed="false">
      <c r="A1216" s="20" t="n">
        <v>46093</v>
      </c>
      <c r="B1216" s="15" t="s">
        <v>452</v>
      </c>
      <c r="C1216" s="15" t="s">
        <v>545</v>
      </c>
      <c r="D1216" s="15" t="s">
        <v>546</v>
      </c>
      <c r="E1216" s="15" t="n">
        <v>1</v>
      </c>
      <c r="H1216" s="10"/>
      <c r="I1216" s="21"/>
      <c r="M1216" s="10"/>
      <c r="N1216" s="10"/>
      <c r="P1216" s="10"/>
      <c r="Q1216" s="22"/>
    </row>
    <row r="1217" customFormat="false" ht="15.75" hidden="false" customHeight="false" outlineLevel="0" collapsed="false">
      <c r="A1217" s="20" t="n">
        <v>46093</v>
      </c>
      <c r="B1217" s="15" t="s">
        <v>452</v>
      </c>
      <c r="C1217" s="15" t="s">
        <v>543</v>
      </c>
      <c r="D1217" s="15" t="s">
        <v>544</v>
      </c>
      <c r="E1217" s="15" t="n">
        <v>1</v>
      </c>
      <c r="H1217" s="10"/>
      <c r="I1217" s="21"/>
      <c r="M1217" s="10"/>
      <c r="N1217" s="10"/>
      <c r="P1217" s="10"/>
      <c r="Q1217" s="22"/>
    </row>
    <row r="1218" customFormat="false" ht="15.75" hidden="false" customHeight="false" outlineLevel="0" collapsed="false">
      <c r="A1218" s="20" t="n">
        <v>46093</v>
      </c>
      <c r="B1218" s="15" t="s">
        <v>452</v>
      </c>
      <c r="C1218" s="15" t="s">
        <v>69</v>
      </c>
      <c r="D1218" s="15" t="s">
        <v>535</v>
      </c>
      <c r="E1218" s="15" t="n">
        <v>4</v>
      </c>
      <c r="H1218" s="10"/>
      <c r="I1218" s="21"/>
      <c r="M1218" s="10"/>
      <c r="N1218" s="10"/>
      <c r="P1218" s="10"/>
      <c r="Q1218" s="22"/>
    </row>
    <row r="1219" customFormat="false" ht="15.75" hidden="false" customHeight="false" outlineLevel="0" collapsed="false">
      <c r="A1219" s="20" t="n">
        <v>46093</v>
      </c>
      <c r="B1219" s="15" t="s">
        <v>452</v>
      </c>
      <c r="C1219" s="15" t="s">
        <v>33</v>
      </c>
      <c r="D1219" s="15" t="s">
        <v>536</v>
      </c>
      <c r="E1219" s="15" t="n">
        <v>4</v>
      </c>
      <c r="H1219" s="10"/>
      <c r="I1219" s="21"/>
      <c r="M1219" s="10"/>
      <c r="N1219" s="10"/>
      <c r="P1219" s="10"/>
      <c r="Q1219" s="22"/>
    </row>
    <row r="1220" customFormat="false" ht="15.75" hidden="false" customHeight="false" outlineLevel="0" collapsed="false">
      <c r="A1220" s="20" t="n">
        <v>46093</v>
      </c>
      <c r="B1220" s="15" t="s">
        <v>452</v>
      </c>
      <c r="C1220" s="15" t="s">
        <v>79</v>
      </c>
      <c r="D1220" s="15" t="s">
        <v>564</v>
      </c>
      <c r="E1220" s="15" t="n">
        <v>1</v>
      </c>
      <c r="H1220" s="10"/>
      <c r="I1220" s="21"/>
      <c r="M1220" s="10"/>
      <c r="N1220" s="10"/>
      <c r="P1220" s="10"/>
      <c r="Q1220" s="22"/>
    </row>
    <row r="1221" customFormat="false" ht="15.75" hidden="false" customHeight="false" outlineLevel="0" collapsed="false">
      <c r="A1221" s="20" t="n">
        <v>46093</v>
      </c>
      <c r="B1221" s="15" t="s">
        <v>452</v>
      </c>
      <c r="C1221" s="15" t="s">
        <v>77</v>
      </c>
      <c r="D1221" s="15" t="s">
        <v>78</v>
      </c>
      <c r="E1221" s="15" t="n">
        <v>2</v>
      </c>
      <c r="H1221" s="10"/>
      <c r="I1221" s="21"/>
      <c r="M1221" s="10"/>
      <c r="N1221" s="10"/>
      <c r="P1221" s="10"/>
      <c r="Q1221" s="22"/>
    </row>
    <row r="1222" customFormat="false" ht="15.75" hidden="false" customHeight="false" outlineLevel="0" collapsed="false">
      <c r="A1222" s="20" t="n">
        <v>46093</v>
      </c>
      <c r="B1222" s="15" t="s">
        <v>452</v>
      </c>
      <c r="C1222" s="15" t="s">
        <v>49</v>
      </c>
      <c r="D1222" s="15" t="s">
        <v>537</v>
      </c>
      <c r="E1222" s="15" t="n">
        <v>5</v>
      </c>
      <c r="H1222" s="10"/>
      <c r="I1222" s="21"/>
      <c r="M1222" s="10"/>
      <c r="N1222" s="10"/>
      <c r="P1222" s="10"/>
      <c r="Q1222" s="22"/>
    </row>
    <row r="1223" customFormat="false" ht="15.75" hidden="false" customHeight="false" outlineLevel="0" collapsed="false">
      <c r="A1223" s="20" t="n">
        <v>46093</v>
      </c>
      <c r="B1223" s="15" t="s">
        <v>452</v>
      </c>
      <c r="C1223" s="15" t="s">
        <v>61</v>
      </c>
      <c r="D1223" s="15" t="s">
        <v>576</v>
      </c>
      <c r="E1223" s="15" t="n">
        <v>1</v>
      </c>
      <c r="H1223" s="10"/>
      <c r="I1223" s="21"/>
      <c r="M1223" s="10"/>
      <c r="N1223" s="10"/>
      <c r="P1223" s="10"/>
      <c r="Q1223" s="22"/>
    </row>
    <row r="1224" customFormat="false" ht="15.75" hidden="false" customHeight="false" outlineLevel="0" collapsed="false">
      <c r="A1224" s="20" t="n">
        <v>46093</v>
      </c>
      <c r="B1224" s="15" t="s">
        <v>469</v>
      </c>
      <c r="C1224" s="15" t="s">
        <v>69</v>
      </c>
      <c r="D1224" s="15" t="s">
        <v>535</v>
      </c>
      <c r="E1224" s="15" t="n">
        <v>5</v>
      </c>
      <c r="H1224" s="10"/>
      <c r="I1224" s="21"/>
      <c r="M1224" s="10"/>
      <c r="N1224" s="10"/>
      <c r="P1224" s="10"/>
      <c r="Q1224" s="22"/>
    </row>
    <row r="1225" customFormat="false" ht="15.75" hidden="false" customHeight="false" outlineLevel="0" collapsed="false">
      <c r="A1225" s="20" t="n">
        <v>46093</v>
      </c>
      <c r="B1225" s="15" t="s">
        <v>469</v>
      </c>
      <c r="C1225" s="15" t="s">
        <v>55</v>
      </c>
      <c r="D1225" s="15" t="s">
        <v>539</v>
      </c>
      <c r="E1225" s="15" t="n">
        <v>2</v>
      </c>
      <c r="H1225" s="10"/>
      <c r="I1225" s="21"/>
      <c r="M1225" s="10"/>
      <c r="N1225" s="10"/>
      <c r="P1225" s="10"/>
      <c r="Q1225" s="22"/>
    </row>
    <row r="1226" customFormat="false" ht="15.75" hidden="false" customHeight="false" outlineLevel="0" collapsed="false">
      <c r="A1226" s="20" t="n">
        <v>46093</v>
      </c>
      <c r="B1226" s="15" t="s">
        <v>469</v>
      </c>
      <c r="C1226" s="15" t="s">
        <v>33</v>
      </c>
      <c r="D1226" s="15" t="s">
        <v>536</v>
      </c>
      <c r="E1226" s="15" t="n">
        <v>5</v>
      </c>
      <c r="H1226" s="10"/>
      <c r="I1226" s="21"/>
      <c r="M1226" s="10"/>
      <c r="N1226" s="10"/>
      <c r="P1226" s="10"/>
      <c r="Q1226" s="22"/>
    </row>
    <row r="1227" customFormat="false" ht="15.75" hidden="false" customHeight="false" outlineLevel="0" collapsed="false">
      <c r="A1227" s="20" t="n">
        <v>46093</v>
      </c>
      <c r="B1227" s="15" t="s">
        <v>469</v>
      </c>
      <c r="C1227" s="15" t="s">
        <v>547</v>
      </c>
      <c r="D1227" s="15" t="s">
        <v>548</v>
      </c>
      <c r="E1227" s="15" t="n">
        <v>1</v>
      </c>
      <c r="H1227" s="10"/>
      <c r="I1227" s="21"/>
      <c r="M1227" s="10"/>
      <c r="N1227" s="10"/>
      <c r="P1227" s="10"/>
      <c r="Q1227" s="22"/>
    </row>
    <row r="1228" customFormat="false" ht="15.75" hidden="false" customHeight="false" outlineLevel="0" collapsed="false">
      <c r="A1228" s="20" t="n">
        <v>46093</v>
      </c>
      <c r="B1228" s="15" t="s">
        <v>469</v>
      </c>
      <c r="C1228" s="15" t="s">
        <v>81</v>
      </c>
      <c r="D1228" s="15" t="s">
        <v>534</v>
      </c>
      <c r="E1228" s="15" t="n">
        <v>2</v>
      </c>
      <c r="H1228" s="10"/>
      <c r="I1228" s="21"/>
      <c r="M1228" s="10"/>
      <c r="N1228" s="10"/>
      <c r="P1228" s="10"/>
      <c r="Q1228" s="22"/>
    </row>
    <row r="1229" customFormat="false" ht="15.75" hidden="false" customHeight="false" outlineLevel="0" collapsed="false">
      <c r="A1229" s="20" t="n">
        <v>46093</v>
      </c>
      <c r="B1229" s="15" t="s">
        <v>471</v>
      </c>
      <c r="C1229" s="15" t="s">
        <v>25</v>
      </c>
      <c r="D1229" s="15" t="s">
        <v>26</v>
      </c>
      <c r="E1229" s="15" t="n">
        <v>2</v>
      </c>
      <c r="H1229" s="10"/>
      <c r="I1229" s="21"/>
      <c r="M1229" s="10"/>
      <c r="N1229" s="10"/>
      <c r="P1229" s="10"/>
      <c r="Q1229" s="22"/>
    </row>
    <row r="1230" customFormat="false" ht="15.75" hidden="false" customHeight="false" outlineLevel="0" collapsed="false">
      <c r="A1230" s="20" t="n">
        <v>46093</v>
      </c>
      <c r="B1230" s="15" t="s">
        <v>471</v>
      </c>
      <c r="C1230" s="15" t="s">
        <v>69</v>
      </c>
      <c r="D1230" s="15" t="s">
        <v>535</v>
      </c>
      <c r="E1230" s="15" t="n">
        <v>2</v>
      </c>
      <c r="H1230" s="10"/>
      <c r="I1230" s="21"/>
      <c r="M1230" s="10"/>
      <c r="N1230" s="10"/>
      <c r="P1230" s="10"/>
      <c r="Q1230" s="22"/>
    </row>
    <row r="1231" customFormat="false" ht="15.75" hidden="false" customHeight="false" outlineLevel="0" collapsed="false">
      <c r="A1231" s="20" t="n">
        <v>46093</v>
      </c>
      <c r="B1231" s="15" t="s">
        <v>471</v>
      </c>
      <c r="C1231" s="15" t="s">
        <v>555</v>
      </c>
      <c r="D1231" s="15" t="s">
        <v>556</v>
      </c>
      <c r="E1231" s="15" t="n">
        <v>2</v>
      </c>
      <c r="H1231" s="10"/>
      <c r="I1231" s="21"/>
      <c r="M1231" s="10"/>
      <c r="N1231" s="10"/>
      <c r="P1231" s="10"/>
      <c r="Q1231" s="22"/>
    </row>
    <row r="1232" customFormat="false" ht="15.75" hidden="false" customHeight="false" outlineLevel="0" collapsed="false">
      <c r="A1232" s="20" t="n">
        <v>46093</v>
      </c>
      <c r="B1232" s="15" t="s">
        <v>473</v>
      </c>
      <c r="C1232" s="15" t="s">
        <v>555</v>
      </c>
      <c r="D1232" s="15" t="s">
        <v>556</v>
      </c>
      <c r="E1232" s="15" t="n">
        <v>4</v>
      </c>
      <c r="H1232" s="10"/>
      <c r="I1232" s="21"/>
      <c r="M1232" s="10"/>
      <c r="N1232" s="10"/>
      <c r="P1232" s="10"/>
      <c r="Q1232" s="22"/>
    </row>
    <row r="1233" customFormat="false" ht="15.75" hidden="false" customHeight="false" outlineLevel="0" collapsed="false">
      <c r="A1233" s="20" t="n">
        <v>46093</v>
      </c>
      <c r="B1233" s="15" t="s">
        <v>473</v>
      </c>
      <c r="C1233" s="15" t="s">
        <v>11</v>
      </c>
      <c r="D1233" s="15" t="s">
        <v>572</v>
      </c>
      <c r="E1233" s="15" t="n">
        <v>4</v>
      </c>
      <c r="H1233" s="10"/>
      <c r="I1233" s="21"/>
      <c r="M1233" s="10"/>
      <c r="N1233" s="10"/>
      <c r="P1233" s="10"/>
      <c r="Q1233" s="22"/>
    </row>
    <row r="1234" customFormat="false" ht="15.75" hidden="false" customHeight="false" outlineLevel="0" collapsed="false">
      <c r="A1234" s="20" t="n">
        <v>46093</v>
      </c>
      <c r="B1234" s="15" t="s">
        <v>473</v>
      </c>
      <c r="C1234" s="15" t="s">
        <v>543</v>
      </c>
      <c r="D1234" s="15" t="s">
        <v>544</v>
      </c>
      <c r="E1234" s="15" t="n">
        <v>4</v>
      </c>
      <c r="H1234" s="10"/>
      <c r="I1234" s="21"/>
      <c r="M1234" s="10"/>
      <c r="N1234" s="10"/>
      <c r="P1234" s="10"/>
      <c r="Q1234" s="22"/>
    </row>
    <row r="1235" customFormat="false" ht="15.75" hidden="false" customHeight="false" outlineLevel="0" collapsed="false">
      <c r="A1235" s="20" t="n">
        <v>46093</v>
      </c>
      <c r="B1235" s="15" t="s">
        <v>473</v>
      </c>
      <c r="C1235" s="15" t="s">
        <v>91</v>
      </c>
      <c r="D1235" s="15" t="s">
        <v>91</v>
      </c>
      <c r="E1235" s="15" t="n">
        <v>4</v>
      </c>
      <c r="H1235" s="10"/>
      <c r="I1235" s="21"/>
      <c r="M1235" s="10"/>
      <c r="N1235" s="10"/>
      <c r="P1235" s="10"/>
      <c r="Q1235" s="22"/>
    </row>
    <row r="1236" customFormat="false" ht="15.75" hidden="false" customHeight="false" outlineLevel="0" collapsed="false">
      <c r="A1236" s="20" t="n">
        <v>46093</v>
      </c>
      <c r="B1236" s="15" t="s">
        <v>473</v>
      </c>
      <c r="C1236" s="15" t="s">
        <v>25</v>
      </c>
      <c r="D1236" s="15" t="s">
        <v>26</v>
      </c>
      <c r="E1236" s="15" t="n">
        <v>4</v>
      </c>
      <c r="H1236" s="10"/>
      <c r="I1236" s="21"/>
      <c r="M1236" s="10"/>
      <c r="N1236" s="10"/>
      <c r="P1236" s="10"/>
      <c r="Q1236" s="22"/>
    </row>
    <row r="1237" customFormat="false" ht="15.75" hidden="false" customHeight="false" outlineLevel="0" collapsed="false">
      <c r="A1237" s="20" t="n">
        <v>46093</v>
      </c>
      <c r="B1237" s="15" t="s">
        <v>477</v>
      </c>
      <c r="C1237" s="15" t="s">
        <v>69</v>
      </c>
      <c r="D1237" s="15" t="s">
        <v>535</v>
      </c>
      <c r="E1237" s="15" t="n">
        <v>3</v>
      </c>
      <c r="H1237" s="10"/>
      <c r="I1237" s="21"/>
      <c r="M1237" s="10"/>
      <c r="N1237" s="10"/>
      <c r="P1237" s="10"/>
      <c r="Q1237" s="22"/>
    </row>
    <row r="1238" customFormat="false" ht="15.75" hidden="false" customHeight="false" outlineLevel="0" collapsed="false">
      <c r="A1238" s="20" t="n">
        <v>46093</v>
      </c>
      <c r="B1238" s="15" t="s">
        <v>477</v>
      </c>
      <c r="C1238" s="15" t="s">
        <v>547</v>
      </c>
      <c r="D1238" s="15" t="s">
        <v>548</v>
      </c>
      <c r="E1238" s="15" t="n">
        <v>3</v>
      </c>
      <c r="H1238" s="10"/>
      <c r="I1238" s="21"/>
      <c r="M1238" s="10"/>
      <c r="N1238" s="10"/>
      <c r="P1238" s="10"/>
      <c r="Q1238" s="22"/>
    </row>
    <row r="1239" customFormat="false" ht="15.75" hidden="false" customHeight="false" outlineLevel="0" collapsed="false">
      <c r="A1239" s="20" t="n">
        <v>46093</v>
      </c>
      <c r="B1239" s="15" t="s">
        <v>477</v>
      </c>
      <c r="C1239" s="15" t="s">
        <v>25</v>
      </c>
      <c r="D1239" s="15" t="s">
        <v>26</v>
      </c>
      <c r="E1239" s="15" t="n">
        <v>3</v>
      </c>
      <c r="H1239" s="10"/>
      <c r="I1239" s="21"/>
      <c r="M1239" s="10"/>
      <c r="N1239" s="10"/>
      <c r="P1239" s="10"/>
      <c r="Q1239" s="22"/>
    </row>
    <row r="1240" customFormat="false" ht="15.75" hidden="false" customHeight="false" outlineLevel="0" collapsed="false">
      <c r="A1240" s="20" t="n">
        <v>46093</v>
      </c>
      <c r="B1240" s="15" t="s">
        <v>481</v>
      </c>
      <c r="C1240" s="15" t="s">
        <v>69</v>
      </c>
      <c r="D1240" s="15" t="s">
        <v>535</v>
      </c>
      <c r="E1240" s="15" t="n">
        <v>2</v>
      </c>
      <c r="H1240" s="10"/>
      <c r="I1240" s="21"/>
      <c r="M1240" s="10"/>
      <c r="N1240" s="10"/>
      <c r="P1240" s="10"/>
      <c r="Q1240" s="22"/>
    </row>
    <row r="1241" customFormat="false" ht="15.75" hidden="false" customHeight="false" outlineLevel="0" collapsed="false">
      <c r="A1241" s="20" t="n">
        <v>46093</v>
      </c>
      <c r="B1241" s="15" t="s">
        <v>481</v>
      </c>
      <c r="C1241" s="15" t="s">
        <v>547</v>
      </c>
      <c r="D1241" s="15" t="s">
        <v>548</v>
      </c>
      <c r="E1241" s="15" t="n">
        <v>2</v>
      </c>
      <c r="H1241" s="10"/>
      <c r="I1241" s="21"/>
      <c r="M1241" s="10"/>
      <c r="N1241" s="10"/>
      <c r="P1241" s="10"/>
      <c r="Q1241" s="22"/>
    </row>
    <row r="1242" customFormat="false" ht="15.75" hidden="false" customHeight="false" outlineLevel="0" collapsed="false">
      <c r="A1242" s="20" t="n">
        <v>46093</v>
      </c>
      <c r="B1242" s="15" t="s">
        <v>487</v>
      </c>
      <c r="C1242" s="15" t="s">
        <v>55</v>
      </c>
      <c r="D1242" s="15" t="s">
        <v>539</v>
      </c>
      <c r="E1242" s="15" t="n">
        <v>1</v>
      </c>
      <c r="H1242" s="10"/>
      <c r="I1242" s="21"/>
      <c r="M1242" s="10"/>
      <c r="N1242" s="10"/>
      <c r="P1242" s="10"/>
      <c r="Q1242" s="22"/>
    </row>
    <row r="1243" customFormat="false" ht="15.75" hidden="false" customHeight="false" outlineLevel="0" collapsed="false">
      <c r="A1243" s="20" t="n">
        <v>46093</v>
      </c>
      <c r="B1243" s="15" t="s">
        <v>487</v>
      </c>
      <c r="C1243" s="15" t="s">
        <v>81</v>
      </c>
      <c r="D1243" s="15" t="s">
        <v>534</v>
      </c>
      <c r="E1243" s="15" t="n">
        <v>9</v>
      </c>
      <c r="H1243" s="10"/>
      <c r="I1243" s="21"/>
      <c r="M1243" s="10"/>
      <c r="N1243" s="10"/>
      <c r="P1243" s="10"/>
      <c r="Q1243" s="22"/>
    </row>
    <row r="1244" customFormat="false" ht="15.75" hidden="false" customHeight="false" outlineLevel="0" collapsed="false">
      <c r="A1244" s="20" t="n">
        <v>46093</v>
      </c>
      <c r="B1244" s="15" t="s">
        <v>487</v>
      </c>
      <c r="C1244" s="15" t="s">
        <v>555</v>
      </c>
      <c r="D1244" s="15" t="s">
        <v>556</v>
      </c>
      <c r="E1244" s="15" t="n">
        <v>1</v>
      </c>
      <c r="H1244" s="10"/>
      <c r="I1244" s="21"/>
      <c r="M1244" s="10"/>
      <c r="N1244" s="10"/>
      <c r="P1244" s="10"/>
      <c r="Q1244" s="22"/>
    </row>
    <row r="1245" customFormat="false" ht="15.75" hidden="false" customHeight="false" outlineLevel="0" collapsed="false">
      <c r="A1245" s="20" t="n">
        <v>46093</v>
      </c>
      <c r="B1245" s="15" t="s">
        <v>487</v>
      </c>
      <c r="C1245" s="15" t="s">
        <v>570</v>
      </c>
      <c r="D1245" s="15" t="s">
        <v>571</v>
      </c>
      <c r="E1245" s="15" t="n">
        <v>1</v>
      </c>
      <c r="H1245" s="10"/>
      <c r="I1245" s="21"/>
      <c r="M1245" s="10"/>
      <c r="N1245" s="10"/>
      <c r="P1245" s="10"/>
      <c r="Q1245" s="22"/>
    </row>
    <row r="1246" customFormat="false" ht="15.75" hidden="false" customHeight="false" outlineLevel="0" collapsed="false">
      <c r="A1246" s="20" t="n">
        <v>46093</v>
      </c>
      <c r="B1246" s="15" t="s">
        <v>487</v>
      </c>
      <c r="C1246" s="15" t="s">
        <v>25</v>
      </c>
      <c r="D1246" s="15" t="s">
        <v>26</v>
      </c>
      <c r="E1246" s="15" t="n">
        <v>1</v>
      </c>
      <c r="H1246" s="10"/>
      <c r="I1246" s="21"/>
      <c r="M1246" s="10"/>
      <c r="N1246" s="10"/>
      <c r="P1246" s="10"/>
      <c r="Q1246" s="22"/>
    </row>
    <row r="1247" customFormat="false" ht="15.75" hidden="false" customHeight="false" outlineLevel="0" collapsed="false">
      <c r="A1247" s="20" t="n">
        <v>46093</v>
      </c>
      <c r="B1247" s="15" t="s">
        <v>487</v>
      </c>
      <c r="C1247" s="15" t="s">
        <v>91</v>
      </c>
      <c r="D1247" s="15" t="s">
        <v>91</v>
      </c>
      <c r="E1247" s="15" t="n">
        <v>2</v>
      </c>
      <c r="H1247" s="10"/>
      <c r="I1247" s="21"/>
      <c r="M1247" s="10"/>
      <c r="N1247" s="10"/>
      <c r="P1247" s="10"/>
      <c r="Q1247" s="22"/>
    </row>
    <row r="1248" customFormat="false" ht="15.75" hidden="false" customHeight="false" outlineLevel="0" collapsed="false">
      <c r="A1248" s="20" t="n">
        <v>46093</v>
      </c>
      <c r="B1248" s="15" t="s">
        <v>487</v>
      </c>
      <c r="C1248" s="15" t="s">
        <v>543</v>
      </c>
      <c r="D1248" s="15" t="s">
        <v>544</v>
      </c>
      <c r="E1248" s="15" t="n">
        <v>3</v>
      </c>
      <c r="H1248" s="10"/>
      <c r="I1248" s="21"/>
      <c r="M1248" s="10"/>
      <c r="N1248" s="10"/>
      <c r="P1248" s="10"/>
      <c r="Q1248" s="22"/>
    </row>
    <row r="1249" customFormat="false" ht="15.75" hidden="false" customHeight="false" outlineLevel="0" collapsed="false">
      <c r="A1249" s="20" t="n">
        <v>46093</v>
      </c>
      <c r="B1249" s="15" t="s">
        <v>487</v>
      </c>
      <c r="C1249" s="15" t="s">
        <v>545</v>
      </c>
      <c r="D1249" s="15" t="s">
        <v>546</v>
      </c>
      <c r="E1249" s="15" t="n">
        <v>1</v>
      </c>
      <c r="H1249" s="10"/>
      <c r="I1249" s="21"/>
      <c r="M1249" s="10"/>
      <c r="N1249" s="10"/>
      <c r="P1249" s="10"/>
      <c r="Q1249" s="22"/>
    </row>
    <row r="1250" customFormat="false" ht="15.75" hidden="false" customHeight="false" outlineLevel="0" collapsed="false">
      <c r="A1250" s="20" t="n">
        <v>46093</v>
      </c>
      <c r="B1250" s="15" t="s">
        <v>487</v>
      </c>
      <c r="C1250" s="15" t="s">
        <v>69</v>
      </c>
      <c r="D1250" s="15" t="s">
        <v>535</v>
      </c>
      <c r="E1250" s="15" t="n">
        <v>3</v>
      </c>
      <c r="H1250" s="10"/>
      <c r="I1250" s="21"/>
      <c r="M1250" s="10"/>
      <c r="N1250" s="10"/>
      <c r="P1250" s="10"/>
      <c r="Q1250" s="22"/>
    </row>
    <row r="1251" customFormat="false" ht="15.75" hidden="false" customHeight="false" outlineLevel="0" collapsed="false">
      <c r="A1251" s="20" t="n">
        <v>46093</v>
      </c>
      <c r="B1251" s="15" t="s">
        <v>487</v>
      </c>
      <c r="C1251" s="15" t="s">
        <v>77</v>
      </c>
      <c r="D1251" s="15" t="s">
        <v>78</v>
      </c>
      <c r="E1251" s="15" t="n">
        <v>3</v>
      </c>
      <c r="H1251" s="10"/>
      <c r="I1251" s="21"/>
      <c r="M1251" s="10"/>
      <c r="N1251" s="10"/>
      <c r="P1251" s="10"/>
      <c r="Q1251" s="22"/>
    </row>
    <row r="1252" customFormat="false" ht="15.75" hidden="false" customHeight="false" outlineLevel="0" collapsed="false">
      <c r="A1252" s="20" t="n">
        <v>46093</v>
      </c>
      <c r="B1252" s="15" t="s">
        <v>487</v>
      </c>
      <c r="C1252" s="15" t="s">
        <v>11</v>
      </c>
      <c r="D1252" s="15" t="s">
        <v>572</v>
      </c>
      <c r="E1252" s="15" t="n">
        <v>1</v>
      </c>
      <c r="H1252" s="10"/>
      <c r="I1252" s="21"/>
      <c r="M1252" s="10"/>
      <c r="N1252" s="10"/>
      <c r="P1252" s="10"/>
      <c r="Q1252" s="22"/>
    </row>
    <row r="1253" customFormat="false" ht="15.75" hidden="false" customHeight="false" outlineLevel="0" collapsed="false">
      <c r="A1253" s="20" t="n">
        <v>46093</v>
      </c>
      <c r="B1253" s="15" t="s">
        <v>487</v>
      </c>
      <c r="C1253" s="15" t="s">
        <v>33</v>
      </c>
      <c r="D1253" s="15" t="s">
        <v>536</v>
      </c>
      <c r="E1253" s="15" t="n">
        <v>3</v>
      </c>
      <c r="H1253" s="10"/>
      <c r="I1253" s="21"/>
      <c r="M1253" s="10"/>
      <c r="N1253" s="10"/>
      <c r="P1253" s="10"/>
      <c r="Q1253" s="22"/>
    </row>
    <row r="1254" customFormat="false" ht="15.75" hidden="false" customHeight="false" outlineLevel="0" collapsed="false">
      <c r="A1254" s="20" t="n">
        <v>46093</v>
      </c>
      <c r="B1254" s="15" t="s">
        <v>487</v>
      </c>
      <c r="C1254" s="15" t="s">
        <v>59</v>
      </c>
      <c r="D1254" s="15" t="s">
        <v>562</v>
      </c>
      <c r="E1254" s="15" t="n">
        <v>1</v>
      </c>
      <c r="H1254" s="10"/>
      <c r="I1254" s="21"/>
      <c r="M1254" s="10"/>
      <c r="N1254" s="10"/>
      <c r="P1254" s="10"/>
      <c r="Q1254" s="22"/>
    </row>
    <row r="1255" customFormat="false" ht="15.75" hidden="false" customHeight="false" outlineLevel="0" collapsed="false">
      <c r="A1255" s="20" t="n">
        <v>46093</v>
      </c>
      <c r="B1255" s="15" t="s">
        <v>487</v>
      </c>
      <c r="C1255" s="15" t="s">
        <v>75</v>
      </c>
      <c r="D1255" s="15" t="s">
        <v>560</v>
      </c>
      <c r="E1255" s="15" t="n">
        <v>1</v>
      </c>
      <c r="H1255" s="10"/>
      <c r="I1255" s="21"/>
      <c r="M1255" s="10"/>
      <c r="N1255" s="10"/>
      <c r="P1255" s="10"/>
      <c r="Q1255" s="22"/>
    </row>
    <row r="1256" customFormat="false" ht="15.75" hidden="false" customHeight="false" outlineLevel="0" collapsed="false">
      <c r="A1256" s="20" t="n">
        <v>46093</v>
      </c>
      <c r="B1256" s="15" t="s">
        <v>487</v>
      </c>
      <c r="C1256" s="15" t="s">
        <v>79</v>
      </c>
      <c r="D1256" s="15" t="s">
        <v>564</v>
      </c>
      <c r="E1256" s="15" t="n">
        <v>2</v>
      </c>
      <c r="H1256" s="10"/>
      <c r="I1256" s="21"/>
      <c r="M1256" s="10"/>
      <c r="N1256" s="10"/>
      <c r="P1256" s="10"/>
      <c r="Q1256" s="22"/>
    </row>
    <row r="1257" customFormat="false" ht="15.75" hidden="false" customHeight="false" outlineLevel="0" collapsed="false">
      <c r="A1257" s="20" t="n">
        <v>46093</v>
      </c>
      <c r="B1257" s="15" t="s">
        <v>491</v>
      </c>
      <c r="C1257" s="15" t="s">
        <v>37</v>
      </c>
      <c r="D1257" s="15" t="s">
        <v>561</v>
      </c>
      <c r="E1257" s="15" t="n">
        <v>1</v>
      </c>
      <c r="H1257" s="10"/>
      <c r="I1257" s="21"/>
      <c r="M1257" s="10"/>
      <c r="N1257" s="10"/>
      <c r="P1257" s="10"/>
      <c r="Q1257" s="22"/>
    </row>
    <row r="1258" customFormat="false" ht="15.75" hidden="false" customHeight="false" outlineLevel="0" collapsed="false">
      <c r="A1258" s="20" t="n">
        <v>46093</v>
      </c>
      <c r="B1258" s="15" t="s">
        <v>491</v>
      </c>
      <c r="C1258" s="15" t="s">
        <v>81</v>
      </c>
      <c r="D1258" s="15" t="s">
        <v>534</v>
      </c>
      <c r="E1258" s="15" t="n">
        <v>8</v>
      </c>
      <c r="H1258" s="10"/>
      <c r="I1258" s="21"/>
      <c r="M1258" s="10"/>
      <c r="N1258" s="10"/>
      <c r="P1258" s="10"/>
      <c r="Q1258" s="22"/>
    </row>
    <row r="1259" customFormat="false" ht="15.75" hidden="false" customHeight="false" outlineLevel="0" collapsed="false">
      <c r="A1259" s="20" t="n">
        <v>46093</v>
      </c>
      <c r="B1259" s="15" t="s">
        <v>491</v>
      </c>
      <c r="C1259" s="15" t="s">
        <v>75</v>
      </c>
      <c r="D1259" s="15" t="s">
        <v>560</v>
      </c>
      <c r="E1259" s="15" t="n">
        <v>1</v>
      </c>
      <c r="H1259" s="10"/>
      <c r="I1259" s="21"/>
      <c r="M1259" s="10"/>
      <c r="N1259" s="10"/>
      <c r="P1259" s="10"/>
      <c r="Q1259" s="22"/>
    </row>
    <row r="1260" customFormat="false" ht="15.75" hidden="false" customHeight="false" outlineLevel="0" collapsed="false">
      <c r="A1260" s="20" t="n">
        <v>46093</v>
      </c>
      <c r="B1260" s="15" t="s">
        <v>491</v>
      </c>
      <c r="C1260" s="15" t="s">
        <v>69</v>
      </c>
      <c r="D1260" s="15" t="s">
        <v>535</v>
      </c>
      <c r="E1260" s="15" t="n">
        <v>6</v>
      </c>
      <c r="H1260" s="10"/>
      <c r="I1260" s="21"/>
      <c r="M1260" s="10"/>
      <c r="N1260" s="10"/>
      <c r="P1260" s="10"/>
      <c r="Q1260" s="22"/>
    </row>
    <row r="1261" customFormat="false" ht="15.75" hidden="false" customHeight="false" outlineLevel="0" collapsed="false">
      <c r="A1261" s="20" t="n">
        <v>46093</v>
      </c>
      <c r="B1261" s="15" t="s">
        <v>491</v>
      </c>
      <c r="C1261" s="15" t="s">
        <v>547</v>
      </c>
      <c r="D1261" s="15" t="s">
        <v>548</v>
      </c>
      <c r="E1261" s="15" t="n">
        <v>1</v>
      </c>
      <c r="H1261" s="10"/>
      <c r="I1261" s="21"/>
      <c r="M1261" s="10"/>
      <c r="N1261" s="10"/>
      <c r="P1261" s="10"/>
      <c r="Q1261" s="22"/>
    </row>
    <row r="1262" customFormat="false" ht="15.75" hidden="false" customHeight="false" outlineLevel="0" collapsed="false">
      <c r="A1262" s="20" t="n">
        <v>46093</v>
      </c>
      <c r="B1262" s="15" t="s">
        <v>491</v>
      </c>
      <c r="C1262" s="15" t="s">
        <v>31</v>
      </c>
      <c r="D1262" s="15" t="s">
        <v>559</v>
      </c>
      <c r="E1262" s="15" t="n">
        <v>2</v>
      </c>
      <c r="H1262" s="10"/>
      <c r="I1262" s="21"/>
      <c r="M1262" s="10"/>
      <c r="N1262" s="10"/>
      <c r="P1262" s="10"/>
      <c r="Q1262" s="22"/>
    </row>
    <row r="1263" customFormat="false" ht="15.75" hidden="false" customHeight="false" outlineLevel="0" collapsed="false">
      <c r="A1263" s="20" t="n">
        <v>46093</v>
      </c>
      <c r="B1263" s="15" t="s">
        <v>491</v>
      </c>
      <c r="C1263" s="15" t="s">
        <v>545</v>
      </c>
      <c r="D1263" s="15" t="s">
        <v>546</v>
      </c>
      <c r="E1263" s="15" t="n">
        <v>2</v>
      </c>
      <c r="H1263" s="10"/>
      <c r="I1263" s="21"/>
      <c r="M1263" s="10"/>
      <c r="N1263" s="10"/>
      <c r="P1263" s="10"/>
      <c r="Q1263" s="22"/>
    </row>
    <row r="1264" customFormat="false" ht="15.75" hidden="false" customHeight="false" outlineLevel="0" collapsed="false">
      <c r="A1264" s="20" t="n">
        <v>46093</v>
      </c>
      <c r="B1264" s="15" t="s">
        <v>491</v>
      </c>
      <c r="C1264" s="15" t="s">
        <v>543</v>
      </c>
      <c r="D1264" s="15" t="s">
        <v>544</v>
      </c>
      <c r="E1264" s="15" t="n">
        <v>4</v>
      </c>
      <c r="H1264" s="10"/>
      <c r="I1264" s="21"/>
      <c r="M1264" s="10"/>
      <c r="N1264" s="10"/>
      <c r="P1264" s="10"/>
      <c r="Q1264" s="22"/>
    </row>
    <row r="1265" customFormat="false" ht="15.75" hidden="false" customHeight="false" outlineLevel="0" collapsed="false">
      <c r="A1265" s="20" t="n">
        <v>46093</v>
      </c>
      <c r="B1265" s="15" t="s">
        <v>491</v>
      </c>
      <c r="C1265" s="15" t="s">
        <v>541</v>
      </c>
      <c r="D1265" s="15" t="s">
        <v>542</v>
      </c>
      <c r="E1265" s="15" t="n">
        <v>2</v>
      </c>
      <c r="H1265" s="10"/>
      <c r="I1265" s="21"/>
      <c r="M1265" s="10"/>
      <c r="N1265" s="10"/>
      <c r="P1265" s="10"/>
      <c r="Q1265" s="22"/>
    </row>
    <row r="1266" customFormat="false" ht="15.75" hidden="false" customHeight="false" outlineLevel="0" collapsed="false">
      <c r="A1266" s="20" t="n">
        <v>46093</v>
      </c>
      <c r="B1266" s="15" t="s">
        <v>491</v>
      </c>
      <c r="C1266" s="15" t="s">
        <v>49</v>
      </c>
      <c r="D1266" s="15" t="s">
        <v>537</v>
      </c>
      <c r="E1266" s="15" t="n">
        <v>1</v>
      </c>
      <c r="H1266" s="10"/>
      <c r="I1266" s="21"/>
      <c r="M1266" s="10"/>
      <c r="N1266" s="10"/>
      <c r="P1266" s="10"/>
      <c r="Q1266" s="22"/>
    </row>
    <row r="1267" customFormat="false" ht="15.75" hidden="false" customHeight="false" outlineLevel="0" collapsed="false">
      <c r="A1267" s="20" t="n">
        <v>46093</v>
      </c>
      <c r="B1267" s="15" t="s">
        <v>491</v>
      </c>
      <c r="C1267" s="15" t="s">
        <v>33</v>
      </c>
      <c r="D1267" s="15" t="s">
        <v>536</v>
      </c>
      <c r="E1267" s="15" t="n">
        <v>5</v>
      </c>
      <c r="H1267" s="10"/>
      <c r="I1267" s="21"/>
      <c r="M1267" s="10"/>
      <c r="N1267" s="10"/>
      <c r="P1267" s="10"/>
      <c r="Q1267" s="22"/>
    </row>
    <row r="1268" customFormat="false" ht="15.75" hidden="false" customHeight="false" outlineLevel="0" collapsed="false">
      <c r="A1268" s="20" t="n">
        <v>46093</v>
      </c>
      <c r="B1268" s="15" t="s">
        <v>491</v>
      </c>
      <c r="C1268" s="15" t="s">
        <v>77</v>
      </c>
      <c r="D1268" s="15" t="s">
        <v>78</v>
      </c>
      <c r="E1268" s="15" t="n">
        <v>3</v>
      </c>
      <c r="H1268" s="10"/>
      <c r="I1268" s="21"/>
      <c r="M1268" s="10"/>
      <c r="N1268" s="10"/>
      <c r="P1268" s="10"/>
      <c r="Q1268" s="22"/>
    </row>
    <row r="1269" customFormat="false" ht="15.75" hidden="false" customHeight="false" outlineLevel="0" collapsed="false">
      <c r="A1269" s="20" t="n">
        <v>46093</v>
      </c>
      <c r="B1269" s="15" t="s">
        <v>491</v>
      </c>
      <c r="C1269" s="15" t="s">
        <v>47</v>
      </c>
      <c r="D1269" s="15" t="s">
        <v>549</v>
      </c>
      <c r="E1269" s="15" t="n">
        <v>1</v>
      </c>
      <c r="H1269" s="10"/>
      <c r="I1269" s="21"/>
      <c r="M1269" s="10"/>
      <c r="N1269" s="10"/>
      <c r="P1269" s="10"/>
      <c r="Q1269" s="22"/>
    </row>
    <row r="1270" customFormat="false" ht="15.75" hidden="false" customHeight="false" outlineLevel="0" collapsed="false">
      <c r="A1270" s="20" t="n">
        <v>46093</v>
      </c>
      <c r="B1270" s="15" t="s">
        <v>491</v>
      </c>
      <c r="C1270" s="15" t="s">
        <v>55</v>
      </c>
      <c r="D1270" s="15" t="s">
        <v>539</v>
      </c>
      <c r="E1270" s="15" t="n">
        <v>1</v>
      </c>
      <c r="H1270" s="10"/>
      <c r="I1270" s="21"/>
      <c r="M1270" s="10"/>
      <c r="N1270" s="10"/>
      <c r="P1270" s="10"/>
      <c r="Q1270" s="22"/>
    </row>
    <row r="1271" customFormat="false" ht="15.75" hidden="false" customHeight="false" outlineLevel="0" collapsed="false">
      <c r="A1271" s="20" t="n">
        <v>46093</v>
      </c>
      <c r="B1271" s="15" t="s">
        <v>491</v>
      </c>
      <c r="C1271" s="15" t="s">
        <v>59</v>
      </c>
      <c r="D1271" s="15" t="s">
        <v>562</v>
      </c>
      <c r="E1271" s="15" t="n">
        <v>1</v>
      </c>
      <c r="H1271" s="10"/>
      <c r="I1271" s="21"/>
      <c r="M1271" s="10"/>
      <c r="N1271" s="10"/>
      <c r="P1271" s="10"/>
      <c r="Q1271" s="22"/>
    </row>
    <row r="1272" customFormat="false" ht="15.75" hidden="false" customHeight="false" outlineLevel="0" collapsed="false">
      <c r="A1272" s="20" t="n">
        <v>46093</v>
      </c>
      <c r="B1272" s="15" t="s">
        <v>491</v>
      </c>
      <c r="C1272" s="15" t="s">
        <v>43</v>
      </c>
      <c r="D1272" s="15" t="s">
        <v>538</v>
      </c>
      <c r="E1272" s="15" t="n">
        <v>1</v>
      </c>
      <c r="H1272" s="10"/>
      <c r="I1272" s="21"/>
      <c r="M1272" s="10"/>
      <c r="N1272" s="10"/>
      <c r="P1272" s="10"/>
      <c r="Q1272" s="22"/>
    </row>
    <row r="1273" customFormat="false" ht="15.75" hidden="false" customHeight="false" outlineLevel="0" collapsed="false">
      <c r="A1273" s="20" t="n">
        <v>46093</v>
      </c>
      <c r="B1273" s="15" t="s">
        <v>491</v>
      </c>
      <c r="C1273" s="15" t="s">
        <v>87</v>
      </c>
      <c r="D1273" s="15" t="s">
        <v>563</v>
      </c>
      <c r="E1273" s="15" t="n">
        <v>1</v>
      </c>
      <c r="H1273" s="10"/>
      <c r="I1273" s="21"/>
      <c r="M1273" s="10"/>
      <c r="N1273" s="10"/>
      <c r="P1273" s="10"/>
      <c r="Q1273" s="22"/>
    </row>
    <row r="1274" customFormat="false" ht="15.75" hidden="false" customHeight="false" outlineLevel="0" collapsed="false">
      <c r="A1274" s="20" t="n">
        <v>46093</v>
      </c>
      <c r="B1274" s="15" t="s">
        <v>491</v>
      </c>
      <c r="C1274" s="15" t="s">
        <v>79</v>
      </c>
      <c r="D1274" s="15" t="s">
        <v>564</v>
      </c>
      <c r="E1274" s="15" t="n">
        <v>1</v>
      </c>
      <c r="H1274" s="10"/>
      <c r="I1274" s="21"/>
      <c r="M1274" s="10"/>
      <c r="N1274" s="10"/>
      <c r="P1274" s="10"/>
      <c r="Q1274" s="22"/>
    </row>
    <row r="1275" customFormat="false" ht="15.75" hidden="false" customHeight="false" outlineLevel="0" collapsed="false">
      <c r="A1275" s="20" t="n">
        <v>46093</v>
      </c>
      <c r="B1275" s="15" t="s">
        <v>496</v>
      </c>
      <c r="C1275" s="15" t="s">
        <v>81</v>
      </c>
      <c r="D1275" s="15" t="s">
        <v>534</v>
      </c>
      <c r="E1275" s="15" t="n">
        <v>7</v>
      </c>
      <c r="H1275" s="10"/>
      <c r="I1275" s="21"/>
      <c r="M1275" s="10"/>
      <c r="N1275" s="10"/>
      <c r="P1275" s="10"/>
      <c r="Q1275" s="22"/>
    </row>
    <row r="1276" customFormat="false" ht="15.75" hidden="false" customHeight="false" outlineLevel="0" collapsed="false">
      <c r="A1276" s="20" t="n">
        <v>46093</v>
      </c>
      <c r="B1276" s="15" t="s">
        <v>496</v>
      </c>
      <c r="C1276" s="15" t="s">
        <v>47</v>
      </c>
      <c r="D1276" s="15" t="s">
        <v>549</v>
      </c>
      <c r="E1276" s="15" t="n">
        <v>4</v>
      </c>
      <c r="H1276" s="10"/>
      <c r="I1276" s="21"/>
      <c r="M1276" s="10"/>
      <c r="N1276" s="10"/>
      <c r="P1276" s="10"/>
      <c r="Q1276" s="22"/>
    </row>
    <row r="1277" customFormat="false" ht="15.75" hidden="false" customHeight="false" outlineLevel="0" collapsed="false">
      <c r="A1277" s="20" t="n">
        <v>46093</v>
      </c>
      <c r="B1277" s="15" t="s">
        <v>496</v>
      </c>
      <c r="C1277" s="15" t="s">
        <v>55</v>
      </c>
      <c r="D1277" s="15" t="s">
        <v>539</v>
      </c>
      <c r="E1277" s="15" t="n">
        <v>2</v>
      </c>
      <c r="H1277" s="10"/>
      <c r="I1277" s="21"/>
      <c r="M1277" s="10"/>
      <c r="N1277" s="10"/>
      <c r="P1277" s="10"/>
      <c r="Q1277" s="22"/>
    </row>
    <row r="1278" customFormat="false" ht="15.75" hidden="false" customHeight="false" outlineLevel="0" collapsed="false">
      <c r="A1278" s="20" t="n">
        <v>46093</v>
      </c>
      <c r="B1278" s="15" t="s">
        <v>496</v>
      </c>
      <c r="C1278" s="15" t="s">
        <v>567</v>
      </c>
      <c r="D1278" s="15" t="s">
        <v>568</v>
      </c>
      <c r="E1278" s="15" t="n">
        <v>3</v>
      </c>
      <c r="H1278" s="10"/>
      <c r="I1278" s="21"/>
      <c r="M1278" s="10"/>
      <c r="N1278" s="10"/>
      <c r="P1278" s="10"/>
      <c r="Q1278" s="22"/>
    </row>
    <row r="1279" customFormat="false" ht="15.75" hidden="false" customHeight="false" outlineLevel="0" collapsed="false">
      <c r="A1279" s="20" t="n">
        <v>46093</v>
      </c>
      <c r="B1279" s="15" t="s">
        <v>496</v>
      </c>
      <c r="C1279" s="15" t="s">
        <v>545</v>
      </c>
      <c r="D1279" s="15" t="s">
        <v>546</v>
      </c>
      <c r="E1279" s="15" t="n">
        <v>3</v>
      </c>
      <c r="H1279" s="10"/>
      <c r="I1279" s="21"/>
      <c r="M1279" s="10"/>
      <c r="N1279" s="10"/>
      <c r="P1279" s="10"/>
      <c r="Q1279" s="22"/>
    </row>
    <row r="1280" customFormat="false" ht="15.75" hidden="false" customHeight="false" outlineLevel="0" collapsed="false">
      <c r="A1280" s="20" t="n">
        <v>46093</v>
      </c>
      <c r="B1280" s="15" t="s">
        <v>496</v>
      </c>
      <c r="C1280" s="15" t="s">
        <v>547</v>
      </c>
      <c r="D1280" s="15" t="s">
        <v>548</v>
      </c>
      <c r="E1280" s="15" t="n">
        <v>1</v>
      </c>
      <c r="H1280" s="10"/>
      <c r="I1280" s="21"/>
      <c r="M1280" s="10"/>
      <c r="N1280" s="10"/>
      <c r="P1280" s="10"/>
      <c r="Q1280" s="22"/>
    </row>
    <row r="1281" customFormat="false" ht="15.75" hidden="false" customHeight="false" outlineLevel="0" collapsed="false">
      <c r="A1281" s="20" t="n">
        <v>46093</v>
      </c>
      <c r="B1281" s="15" t="s">
        <v>496</v>
      </c>
      <c r="C1281" s="15" t="s">
        <v>555</v>
      </c>
      <c r="D1281" s="15" t="s">
        <v>556</v>
      </c>
      <c r="E1281" s="15" t="n">
        <v>4</v>
      </c>
      <c r="H1281" s="10"/>
      <c r="I1281" s="21"/>
      <c r="M1281" s="10"/>
      <c r="N1281" s="10"/>
      <c r="P1281" s="10"/>
      <c r="Q1281" s="22"/>
    </row>
    <row r="1282" customFormat="false" ht="15.75" hidden="false" customHeight="false" outlineLevel="0" collapsed="false">
      <c r="A1282" s="20" t="n">
        <v>46093</v>
      </c>
      <c r="B1282" s="15" t="s">
        <v>496</v>
      </c>
      <c r="C1282" s="15" t="s">
        <v>541</v>
      </c>
      <c r="D1282" s="15" t="s">
        <v>542</v>
      </c>
      <c r="E1282" s="15" t="n">
        <v>4</v>
      </c>
      <c r="H1282" s="10"/>
      <c r="I1282" s="21"/>
      <c r="M1282" s="10"/>
      <c r="N1282" s="10"/>
      <c r="P1282" s="10"/>
      <c r="Q1282" s="22"/>
    </row>
    <row r="1283" customFormat="false" ht="15.75" hidden="false" customHeight="false" outlineLevel="0" collapsed="false">
      <c r="A1283" s="20" t="n">
        <v>46093</v>
      </c>
      <c r="B1283" s="15" t="s">
        <v>496</v>
      </c>
      <c r="C1283" s="15" t="s">
        <v>45</v>
      </c>
      <c r="D1283" s="15" t="s">
        <v>540</v>
      </c>
      <c r="E1283" s="15" t="n">
        <v>1</v>
      </c>
      <c r="H1283" s="10"/>
      <c r="I1283" s="21"/>
      <c r="M1283" s="10"/>
      <c r="N1283" s="10"/>
      <c r="P1283" s="10"/>
      <c r="Q1283" s="22"/>
    </row>
    <row r="1284" customFormat="false" ht="15.75" hidden="false" customHeight="false" outlineLevel="0" collapsed="false">
      <c r="A1284" s="20" t="n">
        <v>46093</v>
      </c>
      <c r="B1284" s="15" t="s">
        <v>496</v>
      </c>
      <c r="C1284" s="15" t="s">
        <v>37</v>
      </c>
      <c r="D1284" s="15" t="s">
        <v>561</v>
      </c>
      <c r="E1284" s="15" t="n">
        <v>1</v>
      </c>
      <c r="H1284" s="10"/>
      <c r="I1284" s="21"/>
      <c r="M1284" s="10"/>
      <c r="N1284" s="10"/>
      <c r="P1284" s="10"/>
      <c r="Q1284" s="22"/>
    </row>
    <row r="1285" customFormat="false" ht="15.75" hidden="false" customHeight="false" outlineLevel="0" collapsed="false">
      <c r="A1285" s="20" t="n">
        <v>46093</v>
      </c>
      <c r="B1285" s="15" t="s">
        <v>496</v>
      </c>
      <c r="C1285" s="15" t="s">
        <v>543</v>
      </c>
      <c r="D1285" s="15" t="s">
        <v>544</v>
      </c>
      <c r="E1285" s="15" t="n">
        <v>4</v>
      </c>
      <c r="H1285" s="10"/>
      <c r="I1285" s="21"/>
      <c r="M1285" s="10"/>
      <c r="N1285" s="10"/>
      <c r="P1285" s="10"/>
      <c r="Q1285" s="22"/>
    </row>
    <row r="1286" customFormat="false" ht="15.75" hidden="false" customHeight="false" outlineLevel="0" collapsed="false">
      <c r="A1286" s="20" t="n">
        <v>46093</v>
      </c>
      <c r="B1286" s="15" t="s">
        <v>496</v>
      </c>
      <c r="C1286" s="15" t="s">
        <v>69</v>
      </c>
      <c r="D1286" s="15" t="s">
        <v>535</v>
      </c>
      <c r="E1286" s="15" t="n">
        <v>2</v>
      </c>
      <c r="H1286" s="10"/>
      <c r="I1286" s="21"/>
      <c r="M1286" s="10"/>
      <c r="N1286" s="10"/>
      <c r="P1286" s="10"/>
      <c r="Q1286" s="22"/>
    </row>
    <row r="1287" customFormat="false" ht="15.75" hidden="false" customHeight="false" outlineLevel="0" collapsed="false">
      <c r="A1287" s="20" t="n">
        <v>46093</v>
      </c>
      <c r="B1287" s="15" t="s">
        <v>496</v>
      </c>
      <c r="C1287" s="15" t="s">
        <v>77</v>
      </c>
      <c r="D1287" s="15" t="s">
        <v>78</v>
      </c>
      <c r="E1287" s="15" t="n">
        <v>2</v>
      </c>
      <c r="H1287" s="10"/>
      <c r="I1287" s="21"/>
      <c r="M1287" s="10"/>
      <c r="N1287" s="10"/>
      <c r="P1287" s="10"/>
      <c r="Q1287" s="22"/>
    </row>
    <row r="1288" customFormat="false" ht="15.75" hidden="false" customHeight="false" outlineLevel="0" collapsed="false">
      <c r="A1288" s="20" t="n">
        <v>46093</v>
      </c>
      <c r="B1288" s="15" t="s">
        <v>496</v>
      </c>
      <c r="C1288" s="15" t="s">
        <v>59</v>
      </c>
      <c r="D1288" s="15" t="s">
        <v>562</v>
      </c>
      <c r="E1288" s="15" t="n">
        <v>2</v>
      </c>
      <c r="H1288" s="10"/>
      <c r="I1288" s="21"/>
      <c r="M1288" s="10"/>
      <c r="N1288" s="10"/>
      <c r="P1288" s="10"/>
      <c r="Q1288" s="22"/>
    </row>
    <row r="1289" customFormat="false" ht="15.75" hidden="false" customHeight="false" outlineLevel="0" collapsed="false">
      <c r="A1289" s="20" t="n">
        <v>46093</v>
      </c>
      <c r="B1289" s="15" t="s">
        <v>496</v>
      </c>
      <c r="C1289" s="15" t="s">
        <v>33</v>
      </c>
      <c r="D1289" s="15" t="s">
        <v>536</v>
      </c>
      <c r="E1289" s="15" t="n">
        <v>2</v>
      </c>
      <c r="H1289" s="10"/>
      <c r="I1289" s="21"/>
      <c r="M1289" s="10"/>
      <c r="N1289" s="10"/>
      <c r="P1289" s="10"/>
      <c r="Q1289" s="22"/>
    </row>
    <row r="1290" customFormat="false" ht="15.75" hidden="false" customHeight="false" outlineLevel="0" collapsed="false">
      <c r="A1290" s="20" t="n">
        <v>46093</v>
      </c>
      <c r="B1290" s="15" t="s">
        <v>496</v>
      </c>
      <c r="C1290" s="15" t="s">
        <v>79</v>
      </c>
      <c r="D1290" s="15" t="s">
        <v>564</v>
      </c>
      <c r="E1290" s="15" t="n">
        <v>1</v>
      </c>
      <c r="H1290" s="10"/>
      <c r="I1290" s="21"/>
      <c r="M1290" s="10"/>
      <c r="N1290" s="10"/>
      <c r="P1290" s="10"/>
      <c r="Q1290" s="22"/>
    </row>
    <row r="1291" customFormat="false" ht="15.75" hidden="false" customHeight="false" outlineLevel="0" collapsed="false">
      <c r="A1291" s="20" t="n">
        <v>46093</v>
      </c>
      <c r="B1291" s="15" t="s">
        <v>496</v>
      </c>
      <c r="C1291" s="15" t="s">
        <v>65</v>
      </c>
      <c r="D1291" s="15" t="s">
        <v>580</v>
      </c>
      <c r="E1291" s="15" t="n">
        <v>1</v>
      </c>
      <c r="H1291" s="10"/>
      <c r="I1291" s="21"/>
      <c r="M1291" s="10"/>
      <c r="N1291" s="10"/>
      <c r="P1291" s="10"/>
      <c r="Q1291" s="22"/>
    </row>
    <row r="1292" customFormat="false" ht="15.75" hidden="false" customHeight="false" outlineLevel="0" collapsed="false">
      <c r="A1292" s="20" t="n">
        <v>46093</v>
      </c>
      <c r="B1292" s="15" t="s">
        <v>503</v>
      </c>
      <c r="C1292" s="15" t="s">
        <v>81</v>
      </c>
      <c r="D1292" s="15" t="s">
        <v>534</v>
      </c>
      <c r="E1292" s="15" t="n">
        <v>2</v>
      </c>
      <c r="H1292" s="10"/>
      <c r="I1292" s="21"/>
      <c r="M1292" s="10"/>
      <c r="N1292" s="10"/>
      <c r="P1292" s="10"/>
      <c r="Q1292" s="22"/>
    </row>
    <row r="1293" customFormat="false" ht="15.75" hidden="false" customHeight="false" outlineLevel="0" collapsed="false">
      <c r="A1293" s="20" t="n">
        <v>46093</v>
      </c>
      <c r="B1293" s="15" t="s">
        <v>503</v>
      </c>
      <c r="C1293" s="15" t="s">
        <v>55</v>
      </c>
      <c r="D1293" s="15" t="s">
        <v>539</v>
      </c>
      <c r="E1293" s="15" t="n">
        <v>12</v>
      </c>
      <c r="H1293" s="10"/>
      <c r="I1293" s="21"/>
      <c r="M1293" s="10"/>
      <c r="N1293" s="10"/>
      <c r="P1293" s="10"/>
      <c r="Q1293" s="22"/>
    </row>
    <row r="1294" customFormat="false" ht="15.75" hidden="false" customHeight="false" outlineLevel="0" collapsed="false">
      <c r="A1294" s="20" t="n">
        <v>46093</v>
      </c>
      <c r="B1294" s="15" t="s">
        <v>503</v>
      </c>
      <c r="C1294" s="15" t="s">
        <v>63</v>
      </c>
      <c r="D1294" s="15" t="s">
        <v>551</v>
      </c>
      <c r="E1294" s="15" t="n">
        <v>1</v>
      </c>
      <c r="H1294" s="10"/>
      <c r="I1294" s="21"/>
      <c r="M1294" s="10"/>
      <c r="N1294" s="10"/>
      <c r="P1294" s="10"/>
      <c r="Q1294" s="22"/>
    </row>
    <row r="1295" customFormat="false" ht="15.75" hidden="false" customHeight="false" outlineLevel="0" collapsed="false">
      <c r="A1295" s="20" t="n">
        <v>46093</v>
      </c>
      <c r="B1295" s="15" t="s">
        <v>503</v>
      </c>
      <c r="C1295" s="15" t="s">
        <v>39</v>
      </c>
      <c r="D1295" s="15" t="s">
        <v>550</v>
      </c>
      <c r="E1295" s="15" t="n">
        <v>1</v>
      </c>
      <c r="H1295" s="10"/>
      <c r="I1295" s="21"/>
      <c r="M1295" s="10"/>
      <c r="N1295" s="10"/>
      <c r="P1295" s="10"/>
      <c r="Q1295" s="22"/>
    </row>
    <row r="1296" customFormat="false" ht="15.75" hidden="false" customHeight="false" outlineLevel="0" collapsed="false">
      <c r="A1296" s="20" t="n">
        <v>46093</v>
      </c>
      <c r="B1296" s="15" t="s">
        <v>503</v>
      </c>
      <c r="C1296" s="15" t="s">
        <v>47</v>
      </c>
      <c r="D1296" s="15" t="s">
        <v>549</v>
      </c>
      <c r="E1296" s="15" t="n">
        <v>2</v>
      </c>
      <c r="H1296" s="10"/>
      <c r="I1296" s="21"/>
      <c r="M1296" s="10"/>
      <c r="N1296" s="10"/>
      <c r="P1296" s="10"/>
      <c r="Q1296" s="22"/>
    </row>
    <row r="1297" customFormat="false" ht="15.75" hidden="false" customHeight="false" outlineLevel="0" collapsed="false">
      <c r="A1297" s="20" t="n">
        <v>46093</v>
      </c>
      <c r="B1297" s="15" t="s">
        <v>505</v>
      </c>
      <c r="C1297" s="15" t="s">
        <v>55</v>
      </c>
      <c r="D1297" s="15" t="s">
        <v>539</v>
      </c>
      <c r="E1297" s="15" t="n">
        <v>6</v>
      </c>
      <c r="H1297" s="10"/>
      <c r="I1297" s="21"/>
      <c r="M1297" s="10"/>
      <c r="N1297" s="10"/>
      <c r="P1297" s="10"/>
      <c r="Q1297" s="22"/>
    </row>
    <row r="1298" customFormat="false" ht="15.75" hidden="false" customHeight="false" outlineLevel="0" collapsed="false">
      <c r="A1298" s="20" t="n">
        <v>46093</v>
      </c>
      <c r="B1298" s="15" t="s">
        <v>505</v>
      </c>
      <c r="C1298" s="15" t="s">
        <v>39</v>
      </c>
      <c r="D1298" s="15" t="s">
        <v>550</v>
      </c>
      <c r="E1298" s="15" t="n">
        <v>1</v>
      </c>
      <c r="H1298" s="10"/>
      <c r="I1298" s="21"/>
      <c r="M1298" s="10"/>
      <c r="N1298" s="10"/>
      <c r="P1298" s="10"/>
      <c r="Q1298" s="22"/>
    </row>
    <row r="1299" customFormat="false" ht="15.75" hidden="false" customHeight="false" outlineLevel="0" collapsed="false">
      <c r="A1299" s="20" t="n">
        <v>46093</v>
      </c>
      <c r="B1299" s="15" t="s">
        <v>505</v>
      </c>
      <c r="C1299" s="15" t="s">
        <v>81</v>
      </c>
      <c r="D1299" s="15" t="s">
        <v>534</v>
      </c>
      <c r="E1299" s="15" t="n">
        <v>9</v>
      </c>
      <c r="H1299" s="10"/>
      <c r="I1299" s="21"/>
      <c r="M1299" s="10"/>
      <c r="N1299" s="10"/>
      <c r="P1299" s="10"/>
      <c r="Q1299" s="22"/>
    </row>
    <row r="1300" customFormat="false" ht="15.75" hidden="false" customHeight="false" outlineLevel="0" collapsed="false">
      <c r="A1300" s="20" t="n">
        <v>46093</v>
      </c>
      <c r="B1300" s="15" t="s">
        <v>505</v>
      </c>
      <c r="C1300" s="15" t="s">
        <v>47</v>
      </c>
      <c r="D1300" s="15" t="s">
        <v>549</v>
      </c>
      <c r="E1300" s="15" t="n">
        <v>3</v>
      </c>
      <c r="H1300" s="10"/>
      <c r="I1300" s="21"/>
      <c r="M1300" s="10"/>
      <c r="N1300" s="10"/>
      <c r="P1300" s="10"/>
      <c r="Q1300" s="22"/>
    </row>
    <row r="1301" customFormat="false" ht="15.75" hidden="false" customHeight="false" outlineLevel="0" collapsed="false">
      <c r="A1301" s="20" t="n">
        <v>46093</v>
      </c>
      <c r="B1301" s="15" t="s">
        <v>505</v>
      </c>
      <c r="C1301" s="15" t="s">
        <v>63</v>
      </c>
      <c r="D1301" s="15" t="s">
        <v>551</v>
      </c>
      <c r="E1301" s="15" t="n">
        <v>1</v>
      </c>
      <c r="H1301" s="10"/>
      <c r="I1301" s="21"/>
      <c r="M1301" s="10"/>
      <c r="N1301" s="10"/>
      <c r="P1301" s="10"/>
      <c r="Q1301" s="22"/>
    </row>
    <row r="1302" customFormat="false" ht="15.75" hidden="false" customHeight="false" outlineLevel="0" collapsed="false">
      <c r="A1302" s="20" t="n">
        <v>46093</v>
      </c>
      <c r="B1302" s="15" t="s">
        <v>505</v>
      </c>
      <c r="C1302" s="15" t="s">
        <v>17</v>
      </c>
      <c r="D1302" s="15" t="s">
        <v>554</v>
      </c>
      <c r="E1302" s="15" t="n">
        <v>1</v>
      </c>
      <c r="H1302" s="10"/>
      <c r="I1302" s="21"/>
      <c r="M1302" s="10"/>
      <c r="N1302" s="10"/>
      <c r="P1302" s="10"/>
      <c r="Q1302" s="22"/>
    </row>
    <row r="1303" customFormat="false" ht="15.75" hidden="false" customHeight="false" outlineLevel="0" collapsed="false">
      <c r="A1303" s="20" t="n">
        <v>46093</v>
      </c>
      <c r="B1303" s="15" t="s">
        <v>508</v>
      </c>
      <c r="C1303" s="15" t="s">
        <v>55</v>
      </c>
      <c r="D1303" s="15" t="s">
        <v>539</v>
      </c>
      <c r="E1303" s="15" t="n">
        <v>5</v>
      </c>
      <c r="H1303" s="10"/>
      <c r="I1303" s="21"/>
      <c r="M1303" s="10"/>
      <c r="N1303" s="10"/>
      <c r="P1303" s="10"/>
      <c r="Q1303" s="22"/>
    </row>
    <row r="1304" customFormat="false" ht="15.75" hidden="false" customHeight="false" outlineLevel="0" collapsed="false">
      <c r="A1304" s="20" t="n">
        <v>46093</v>
      </c>
      <c r="B1304" s="15" t="s">
        <v>508</v>
      </c>
      <c r="C1304" s="15" t="s">
        <v>81</v>
      </c>
      <c r="D1304" s="15" t="s">
        <v>534</v>
      </c>
      <c r="E1304" s="15" t="n">
        <v>9</v>
      </c>
      <c r="H1304" s="10"/>
      <c r="I1304" s="21"/>
      <c r="M1304" s="10"/>
      <c r="N1304" s="10"/>
      <c r="P1304" s="10"/>
      <c r="Q1304" s="22"/>
    </row>
    <row r="1305" customFormat="false" ht="15.75" hidden="false" customHeight="false" outlineLevel="0" collapsed="false">
      <c r="A1305" s="20" t="n">
        <v>46093</v>
      </c>
      <c r="B1305" s="15" t="s">
        <v>508</v>
      </c>
      <c r="C1305" s="15" t="s">
        <v>39</v>
      </c>
      <c r="D1305" s="15" t="s">
        <v>550</v>
      </c>
      <c r="E1305" s="15" t="n">
        <v>2</v>
      </c>
      <c r="H1305" s="10"/>
      <c r="I1305" s="21"/>
      <c r="M1305" s="10"/>
      <c r="N1305" s="10"/>
      <c r="P1305" s="10"/>
      <c r="Q1305" s="22"/>
    </row>
    <row r="1306" customFormat="false" ht="15.75" hidden="false" customHeight="false" outlineLevel="0" collapsed="false">
      <c r="A1306" s="20" t="n">
        <v>46093</v>
      </c>
      <c r="B1306" s="15" t="s">
        <v>508</v>
      </c>
      <c r="C1306" s="15" t="s">
        <v>47</v>
      </c>
      <c r="D1306" s="15" t="s">
        <v>549</v>
      </c>
      <c r="E1306" s="15" t="n">
        <v>2</v>
      </c>
      <c r="H1306" s="10"/>
      <c r="I1306" s="21"/>
      <c r="M1306" s="10"/>
      <c r="N1306" s="10"/>
      <c r="P1306" s="10"/>
      <c r="Q1306" s="22"/>
    </row>
    <row r="1307" customFormat="false" ht="15.75" hidden="false" customHeight="false" outlineLevel="0" collapsed="false">
      <c r="A1307" s="20" t="n">
        <v>46093</v>
      </c>
      <c r="B1307" s="15" t="s">
        <v>508</v>
      </c>
      <c r="C1307" s="15" t="s">
        <v>63</v>
      </c>
      <c r="D1307" s="15" t="s">
        <v>551</v>
      </c>
      <c r="E1307" s="15" t="n">
        <v>1</v>
      </c>
      <c r="H1307" s="10"/>
      <c r="I1307" s="21"/>
      <c r="M1307" s="10"/>
      <c r="N1307" s="10"/>
      <c r="P1307" s="10"/>
      <c r="Q1307" s="22"/>
    </row>
    <row r="1308" customFormat="false" ht="15.75" hidden="false" customHeight="false" outlineLevel="0" collapsed="false">
      <c r="A1308" s="20" t="n">
        <v>46093</v>
      </c>
      <c r="B1308" s="15" t="s">
        <v>514</v>
      </c>
      <c r="C1308" s="15" t="s">
        <v>55</v>
      </c>
      <c r="D1308" s="15" t="s">
        <v>539</v>
      </c>
      <c r="E1308" s="15" t="n">
        <v>5</v>
      </c>
      <c r="H1308" s="10"/>
      <c r="I1308" s="21"/>
      <c r="M1308" s="10"/>
      <c r="N1308" s="10"/>
      <c r="P1308" s="10"/>
      <c r="Q1308" s="22"/>
    </row>
    <row r="1309" customFormat="false" ht="15.75" hidden="false" customHeight="false" outlineLevel="0" collapsed="false">
      <c r="A1309" s="20" t="n">
        <v>46093</v>
      </c>
      <c r="B1309" s="15" t="s">
        <v>514</v>
      </c>
      <c r="C1309" s="15" t="s">
        <v>57</v>
      </c>
      <c r="D1309" s="15" t="s">
        <v>553</v>
      </c>
      <c r="E1309" s="15" t="n">
        <v>1</v>
      </c>
      <c r="H1309" s="10"/>
      <c r="I1309" s="21"/>
      <c r="M1309" s="10"/>
      <c r="N1309" s="10"/>
      <c r="P1309" s="10"/>
      <c r="Q1309" s="22"/>
    </row>
    <row r="1310" customFormat="false" ht="15.75" hidden="false" customHeight="false" outlineLevel="0" collapsed="false">
      <c r="A1310" s="20" t="n">
        <v>46093</v>
      </c>
      <c r="B1310" s="15" t="s">
        <v>514</v>
      </c>
      <c r="C1310" s="15" t="s">
        <v>49</v>
      </c>
      <c r="D1310" s="15" t="s">
        <v>537</v>
      </c>
      <c r="E1310" s="15" t="n">
        <v>1</v>
      </c>
      <c r="H1310" s="10"/>
      <c r="I1310" s="21"/>
      <c r="M1310" s="10"/>
      <c r="N1310" s="10"/>
      <c r="P1310" s="10"/>
      <c r="Q1310" s="22"/>
    </row>
    <row r="1311" customFormat="false" ht="15.75" hidden="false" customHeight="false" outlineLevel="0" collapsed="false">
      <c r="A1311" s="20" t="n">
        <v>46093</v>
      </c>
      <c r="B1311" s="15" t="s">
        <v>514</v>
      </c>
      <c r="C1311" s="15" t="s">
        <v>47</v>
      </c>
      <c r="D1311" s="15" t="s">
        <v>549</v>
      </c>
      <c r="E1311" s="15" t="n">
        <v>4</v>
      </c>
      <c r="H1311" s="10"/>
      <c r="I1311" s="21"/>
      <c r="M1311" s="10"/>
      <c r="N1311" s="10"/>
      <c r="P1311" s="10"/>
      <c r="Q1311" s="22"/>
    </row>
    <row r="1312" customFormat="false" ht="15.75" hidden="false" customHeight="false" outlineLevel="0" collapsed="false">
      <c r="A1312" s="20" t="n">
        <v>46093</v>
      </c>
      <c r="B1312" s="15" t="s">
        <v>514</v>
      </c>
      <c r="C1312" s="15" t="s">
        <v>81</v>
      </c>
      <c r="D1312" s="15" t="s">
        <v>534</v>
      </c>
      <c r="E1312" s="15" t="n">
        <v>7</v>
      </c>
      <c r="H1312" s="10"/>
      <c r="I1312" s="21"/>
      <c r="M1312" s="10"/>
      <c r="N1312" s="10"/>
      <c r="P1312" s="10"/>
      <c r="Q1312" s="22"/>
    </row>
    <row r="1313" customFormat="false" ht="15.75" hidden="false" customHeight="false" outlineLevel="0" collapsed="false">
      <c r="A1313" s="20" t="n">
        <v>46093</v>
      </c>
      <c r="B1313" s="15" t="s">
        <v>514</v>
      </c>
      <c r="C1313" s="15" t="s">
        <v>63</v>
      </c>
      <c r="D1313" s="15" t="s">
        <v>551</v>
      </c>
      <c r="E1313" s="15" t="n">
        <v>1</v>
      </c>
      <c r="H1313" s="10"/>
      <c r="I1313" s="21"/>
      <c r="M1313" s="10"/>
      <c r="N1313" s="10"/>
      <c r="P1313" s="10"/>
      <c r="Q1313" s="22"/>
    </row>
    <row r="1314" customFormat="false" ht="15.75" hidden="false" customHeight="false" outlineLevel="0" collapsed="false">
      <c r="A1314" s="20" t="n">
        <v>46093</v>
      </c>
      <c r="B1314" s="15" t="s">
        <v>514</v>
      </c>
      <c r="C1314" s="15" t="s">
        <v>17</v>
      </c>
      <c r="D1314" s="15" t="s">
        <v>554</v>
      </c>
      <c r="E1314" s="15" t="n">
        <v>1</v>
      </c>
      <c r="H1314" s="10"/>
      <c r="I1314" s="21"/>
      <c r="M1314" s="10"/>
      <c r="N1314" s="10"/>
      <c r="P1314" s="10"/>
      <c r="Q1314" s="22"/>
    </row>
    <row r="1315" customFormat="false" ht="15.75" hidden="false" customHeight="false" outlineLevel="0" collapsed="false">
      <c r="A1315" s="20" t="n">
        <v>46093</v>
      </c>
      <c r="B1315" s="15" t="s">
        <v>518</v>
      </c>
      <c r="C1315" s="15" t="s">
        <v>69</v>
      </c>
      <c r="D1315" s="15" t="s">
        <v>535</v>
      </c>
      <c r="E1315" s="15" t="n">
        <v>6</v>
      </c>
      <c r="H1315" s="10"/>
      <c r="I1315" s="21"/>
      <c r="M1315" s="10"/>
      <c r="N1315" s="10"/>
      <c r="P1315" s="10"/>
      <c r="Q1315" s="22"/>
    </row>
    <row r="1316" customFormat="false" ht="15.75" hidden="false" customHeight="false" outlineLevel="0" collapsed="false">
      <c r="A1316" s="20" t="n">
        <v>46093</v>
      </c>
      <c r="B1316" s="15" t="s">
        <v>518</v>
      </c>
      <c r="C1316" s="15" t="s">
        <v>33</v>
      </c>
      <c r="D1316" s="15" t="s">
        <v>536</v>
      </c>
      <c r="E1316" s="15" t="n">
        <v>6</v>
      </c>
      <c r="H1316" s="10"/>
      <c r="I1316" s="21"/>
      <c r="M1316" s="10"/>
      <c r="N1316" s="10"/>
      <c r="P1316" s="10"/>
      <c r="Q1316" s="22"/>
    </row>
    <row r="1317" customFormat="false" ht="15.75" hidden="false" customHeight="false" outlineLevel="0" collapsed="false">
      <c r="A1317" s="20" t="n">
        <v>46093</v>
      </c>
      <c r="B1317" s="15" t="s">
        <v>518</v>
      </c>
      <c r="C1317" s="15" t="s">
        <v>47</v>
      </c>
      <c r="D1317" s="15" t="s">
        <v>549</v>
      </c>
      <c r="E1317" s="15" t="n">
        <v>2</v>
      </c>
      <c r="H1317" s="10"/>
      <c r="I1317" s="21"/>
      <c r="M1317" s="10"/>
      <c r="N1317" s="10"/>
      <c r="P1317" s="10"/>
      <c r="Q1317" s="22"/>
    </row>
    <row r="1318" customFormat="false" ht="15.75" hidden="false" customHeight="false" outlineLevel="0" collapsed="false">
      <c r="A1318" s="20" t="n">
        <v>46093</v>
      </c>
      <c r="B1318" s="15" t="s">
        <v>518</v>
      </c>
      <c r="C1318" s="15" t="s">
        <v>51</v>
      </c>
      <c r="D1318" s="15" t="s">
        <v>573</v>
      </c>
      <c r="E1318" s="15" t="n">
        <v>1</v>
      </c>
      <c r="H1318" s="10"/>
      <c r="I1318" s="21"/>
      <c r="M1318" s="10"/>
      <c r="N1318" s="10"/>
      <c r="P1318" s="10"/>
      <c r="Q1318" s="22"/>
    </row>
    <row r="1319" customFormat="false" ht="15.75" hidden="false" customHeight="false" outlineLevel="0" collapsed="false">
      <c r="A1319" s="20" t="n">
        <v>46093</v>
      </c>
      <c r="B1319" s="15" t="s">
        <v>518</v>
      </c>
      <c r="C1319" s="15" t="s">
        <v>55</v>
      </c>
      <c r="D1319" s="15" t="s">
        <v>539</v>
      </c>
      <c r="E1319" s="15" t="n">
        <v>2</v>
      </c>
      <c r="H1319" s="10"/>
      <c r="I1319" s="21"/>
      <c r="M1319" s="10"/>
      <c r="N1319" s="10"/>
      <c r="P1319" s="10"/>
      <c r="Q1319" s="22"/>
    </row>
    <row r="1320" customFormat="false" ht="15.75" hidden="false" customHeight="false" outlineLevel="0" collapsed="false">
      <c r="A1320" s="20" t="n">
        <v>46093</v>
      </c>
      <c r="B1320" s="15" t="s">
        <v>518</v>
      </c>
      <c r="C1320" s="15" t="s">
        <v>37</v>
      </c>
      <c r="D1320" s="15" t="s">
        <v>561</v>
      </c>
      <c r="E1320" s="15" t="n">
        <v>2</v>
      </c>
      <c r="H1320" s="10"/>
      <c r="I1320" s="21"/>
      <c r="M1320" s="10"/>
      <c r="N1320" s="10"/>
      <c r="P1320" s="10"/>
      <c r="Q1320" s="22"/>
    </row>
    <row r="1321" customFormat="false" ht="15.75" hidden="false" customHeight="false" outlineLevel="0" collapsed="false">
      <c r="A1321" s="20" t="n">
        <v>46093</v>
      </c>
      <c r="B1321" s="15" t="s">
        <v>518</v>
      </c>
      <c r="C1321" s="15" t="s">
        <v>547</v>
      </c>
      <c r="D1321" s="15" t="s">
        <v>548</v>
      </c>
      <c r="E1321" s="15" t="n">
        <v>1</v>
      </c>
      <c r="H1321" s="10"/>
      <c r="I1321" s="21"/>
      <c r="M1321" s="10"/>
      <c r="N1321" s="10"/>
      <c r="P1321" s="10"/>
      <c r="Q1321" s="22"/>
    </row>
    <row r="1322" customFormat="false" ht="15.75" hidden="false" customHeight="false" outlineLevel="0" collapsed="false">
      <c r="A1322" s="20" t="n">
        <v>46093</v>
      </c>
      <c r="B1322" s="15" t="s">
        <v>518</v>
      </c>
      <c r="C1322" s="15" t="s">
        <v>81</v>
      </c>
      <c r="D1322" s="15" t="s">
        <v>534</v>
      </c>
      <c r="E1322" s="15" t="n">
        <v>1</v>
      </c>
      <c r="H1322" s="10"/>
      <c r="I1322" s="21"/>
      <c r="M1322" s="10"/>
      <c r="N1322" s="10"/>
      <c r="P1322" s="10"/>
      <c r="Q1322" s="22"/>
    </row>
    <row r="1323" customFormat="false" ht="15.75" hidden="false" customHeight="false" outlineLevel="0" collapsed="false">
      <c r="A1323" s="20" t="n">
        <v>46093</v>
      </c>
      <c r="B1323" s="15" t="s">
        <v>530</v>
      </c>
      <c r="C1323" s="15" t="s">
        <v>81</v>
      </c>
      <c r="D1323" s="15" t="s">
        <v>534</v>
      </c>
      <c r="E1323" s="15" t="n">
        <v>1</v>
      </c>
      <c r="H1323" s="10"/>
      <c r="I1323" s="21"/>
      <c r="M1323" s="10"/>
      <c r="N1323" s="10"/>
      <c r="P1323" s="10"/>
      <c r="Q1323" s="22"/>
    </row>
    <row r="1324" customFormat="false" ht="15.75" hidden="false" customHeight="false" outlineLevel="0" collapsed="false">
      <c r="A1324" s="20" t="n">
        <v>46093</v>
      </c>
      <c r="B1324" s="15" t="s">
        <v>530</v>
      </c>
      <c r="C1324" s="15" t="s">
        <v>69</v>
      </c>
      <c r="D1324" s="15" t="s">
        <v>535</v>
      </c>
      <c r="E1324" s="15" t="n">
        <v>3</v>
      </c>
      <c r="H1324" s="10"/>
      <c r="I1324" s="21"/>
      <c r="M1324" s="10"/>
      <c r="N1324" s="10"/>
      <c r="P1324" s="10"/>
      <c r="Q1324" s="22"/>
    </row>
    <row r="1325" customFormat="false" ht="15.75" hidden="false" customHeight="false" outlineLevel="0" collapsed="false">
      <c r="A1325" s="20" t="n">
        <v>46093</v>
      </c>
      <c r="B1325" s="15" t="s">
        <v>530</v>
      </c>
      <c r="C1325" s="15" t="s">
        <v>33</v>
      </c>
      <c r="D1325" s="15" t="s">
        <v>536</v>
      </c>
      <c r="E1325" s="15" t="n">
        <v>3</v>
      </c>
      <c r="H1325" s="10"/>
      <c r="I1325" s="21"/>
      <c r="M1325" s="10"/>
      <c r="N1325" s="10"/>
      <c r="P1325" s="10"/>
      <c r="Q1325" s="22"/>
    </row>
    <row r="1326" customFormat="false" ht="15.75" hidden="false" customHeight="false" outlineLevel="0" collapsed="false">
      <c r="A1326" s="20" t="n">
        <v>46093</v>
      </c>
      <c r="B1326" s="15" t="s">
        <v>530</v>
      </c>
      <c r="C1326" s="15" t="s">
        <v>77</v>
      </c>
      <c r="D1326" s="15" t="s">
        <v>78</v>
      </c>
      <c r="E1326" s="15" t="n">
        <v>2</v>
      </c>
      <c r="H1326" s="10"/>
      <c r="I1326" s="21"/>
      <c r="M1326" s="10"/>
      <c r="N1326" s="10"/>
      <c r="P1326" s="10"/>
      <c r="Q1326" s="22"/>
    </row>
    <row r="1327" customFormat="false" ht="15.75" hidden="false" customHeight="false" outlineLevel="0" collapsed="false">
      <c r="A1327" s="20" t="n">
        <v>46094</v>
      </c>
      <c r="B1327" s="15" t="s">
        <v>452</v>
      </c>
      <c r="C1327" s="15" t="s">
        <v>81</v>
      </c>
      <c r="D1327" s="15" t="s">
        <v>534</v>
      </c>
      <c r="E1327" s="15" t="n">
        <v>11</v>
      </c>
      <c r="H1327" s="10"/>
      <c r="I1327" s="21"/>
      <c r="M1327" s="10"/>
      <c r="N1327" s="10"/>
      <c r="P1327" s="10"/>
      <c r="Q1327" s="22"/>
    </row>
    <row r="1328" customFormat="false" ht="15.75" hidden="false" customHeight="false" outlineLevel="0" collapsed="false">
      <c r="A1328" s="20" t="n">
        <v>46094</v>
      </c>
      <c r="B1328" s="15" t="s">
        <v>452</v>
      </c>
      <c r="C1328" s="15" t="s">
        <v>555</v>
      </c>
      <c r="D1328" s="15" t="s">
        <v>556</v>
      </c>
      <c r="E1328" s="15" t="n">
        <v>2</v>
      </c>
      <c r="H1328" s="10"/>
      <c r="I1328" s="21"/>
      <c r="M1328" s="10"/>
      <c r="N1328" s="10"/>
      <c r="P1328" s="10"/>
      <c r="Q1328" s="22"/>
    </row>
    <row r="1329" customFormat="false" ht="15.75" hidden="false" customHeight="false" outlineLevel="0" collapsed="false">
      <c r="A1329" s="20" t="n">
        <v>46094</v>
      </c>
      <c r="B1329" s="15" t="s">
        <v>452</v>
      </c>
      <c r="C1329" s="15" t="s">
        <v>545</v>
      </c>
      <c r="D1329" s="15" t="s">
        <v>546</v>
      </c>
      <c r="E1329" s="15" t="n">
        <v>1</v>
      </c>
      <c r="H1329" s="10"/>
      <c r="I1329" s="21"/>
      <c r="M1329" s="10"/>
      <c r="N1329" s="10"/>
      <c r="P1329" s="10"/>
      <c r="Q1329" s="22"/>
    </row>
    <row r="1330" customFormat="false" ht="15.75" hidden="false" customHeight="false" outlineLevel="0" collapsed="false">
      <c r="A1330" s="20" t="n">
        <v>46094</v>
      </c>
      <c r="B1330" s="15" t="s">
        <v>452</v>
      </c>
      <c r="C1330" s="15" t="s">
        <v>543</v>
      </c>
      <c r="D1330" s="15" t="s">
        <v>544</v>
      </c>
      <c r="E1330" s="15" t="n">
        <v>1</v>
      </c>
      <c r="H1330" s="10"/>
      <c r="I1330" s="21"/>
      <c r="M1330" s="10"/>
      <c r="N1330" s="10"/>
      <c r="P1330" s="10"/>
      <c r="Q1330" s="22"/>
    </row>
    <row r="1331" customFormat="false" ht="15.75" hidden="false" customHeight="false" outlineLevel="0" collapsed="false">
      <c r="A1331" s="20" t="n">
        <v>46094</v>
      </c>
      <c r="B1331" s="15" t="s">
        <v>452</v>
      </c>
      <c r="C1331" s="15" t="s">
        <v>69</v>
      </c>
      <c r="D1331" s="15" t="s">
        <v>535</v>
      </c>
      <c r="E1331" s="15" t="n">
        <v>4</v>
      </c>
      <c r="H1331" s="10"/>
      <c r="I1331" s="21"/>
      <c r="M1331" s="10"/>
      <c r="N1331" s="10"/>
      <c r="P1331" s="10"/>
      <c r="Q1331" s="22"/>
    </row>
    <row r="1332" customFormat="false" ht="15.75" hidden="false" customHeight="false" outlineLevel="0" collapsed="false">
      <c r="A1332" s="20" t="n">
        <v>46094</v>
      </c>
      <c r="B1332" s="15" t="s">
        <v>452</v>
      </c>
      <c r="C1332" s="15" t="s">
        <v>33</v>
      </c>
      <c r="D1332" s="15" t="s">
        <v>536</v>
      </c>
      <c r="E1332" s="15" t="n">
        <v>4</v>
      </c>
      <c r="H1332" s="10"/>
      <c r="I1332" s="21"/>
      <c r="M1332" s="10"/>
      <c r="N1332" s="10"/>
      <c r="P1332" s="10"/>
      <c r="Q1332" s="22"/>
    </row>
    <row r="1333" customFormat="false" ht="15.75" hidden="false" customHeight="false" outlineLevel="0" collapsed="false">
      <c r="A1333" s="20" t="n">
        <v>46094</v>
      </c>
      <c r="B1333" s="15" t="s">
        <v>452</v>
      </c>
      <c r="C1333" s="15" t="s">
        <v>79</v>
      </c>
      <c r="D1333" s="15" t="s">
        <v>564</v>
      </c>
      <c r="E1333" s="15" t="n">
        <v>1</v>
      </c>
      <c r="H1333" s="10"/>
      <c r="I1333" s="21"/>
      <c r="M1333" s="10"/>
      <c r="N1333" s="10"/>
      <c r="P1333" s="10"/>
      <c r="Q1333" s="22"/>
    </row>
    <row r="1334" customFormat="false" ht="15.75" hidden="false" customHeight="false" outlineLevel="0" collapsed="false">
      <c r="A1334" s="20" t="n">
        <v>46094</v>
      </c>
      <c r="B1334" s="15" t="s">
        <v>452</v>
      </c>
      <c r="C1334" s="15" t="s">
        <v>77</v>
      </c>
      <c r="D1334" s="15" t="s">
        <v>78</v>
      </c>
      <c r="E1334" s="15" t="n">
        <v>2</v>
      </c>
      <c r="H1334" s="10"/>
      <c r="I1334" s="21"/>
      <c r="M1334" s="10"/>
      <c r="N1334" s="10"/>
      <c r="P1334" s="10"/>
      <c r="Q1334" s="22"/>
    </row>
    <row r="1335" customFormat="false" ht="15.75" hidden="false" customHeight="false" outlineLevel="0" collapsed="false">
      <c r="A1335" s="20" t="n">
        <v>46094</v>
      </c>
      <c r="B1335" s="15" t="s">
        <v>452</v>
      </c>
      <c r="C1335" s="15" t="s">
        <v>49</v>
      </c>
      <c r="D1335" s="15" t="s">
        <v>537</v>
      </c>
      <c r="E1335" s="15" t="n">
        <v>5</v>
      </c>
      <c r="H1335" s="10"/>
      <c r="I1335" s="21"/>
      <c r="M1335" s="10"/>
      <c r="N1335" s="10"/>
      <c r="P1335" s="10"/>
      <c r="Q1335" s="22"/>
    </row>
    <row r="1336" customFormat="false" ht="15.75" hidden="false" customHeight="false" outlineLevel="0" collapsed="false">
      <c r="A1336" s="20" t="n">
        <v>46094</v>
      </c>
      <c r="B1336" s="15" t="s">
        <v>452</v>
      </c>
      <c r="C1336" s="15" t="s">
        <v>61</v>
      </c>
      <c r="D1336" s="15" t="s">
        <v>576</v>
      </c>
      <c r="E1336" s="15" t="n">
        <v>1</v>
      </c>
      <c r="H1336" s="10"/>
      <c r="I1336" s="21"/>
      <c r="M1336" s="10"/>
      <c r="N1336" s="10"/>
      <c r="P1336" s="10"/>
      <c r="Q1336" s="22"/>
    </row>
    <row r="1337" customFormat="false" ht="15.75" hidden="false" customHeight="false" outlineLevel="0" collapsed="false">
      <c r="A1337" s="20" t="n">
        <v>46094</v>
      </c>
      <c r="B1337" s="15" t="s">
        <v>469</v>
      </c>
      <c r="C1337" s="15" t="s">
        <v>69</v>
      </c>
      <c r="D1337" s="15" t="s">
        <v>535</v>
      </c>
      <c r="E1337" s="15" t="n">
        <v>5</v>
      </c>
      <c r="H1337" s="10"/>
      <c r="I1337" s="21"/>
      <c r="M1337" s="10"/>
      <c r="N1337" s="10"/>
      <c r="P1337" s="10"/>
      <c r="Q1337" s="22"/>
    </row>
    <row r="1338" customFormat="false" ht="15.75" hidden="false" customHeight="false" outlineLevel="0" collapsed="false">
      <c r="A1338" s="20" t="n">
        <v>46094</v>
      </c>
      <c r="B1338" s="15" t="s">
        <v>469</v>
      </c>
      <c r="C1338" s="15" t="s">
        <v>55</v>
      </c>
      <c r="D1338" s="15" t="s">
        <v>539</v>
      </c>
      <c r="E1338" s="15" t="n">
        <v>2</v>
      </c>
      <c r="H1338" s="10"/>
      <c r="I1338" s="21"/>
      <c r="M1338" s="10"/>
      <c r="N1338" s="10"/>
      <c r="P1338" s="10"/>
      <c r="Q1338" s="22"/>
    </row>
    <row r="1339" customFormat="false" ht="15.75" hidden="false" customHeight="false" outlineLevel="0" collapsed="false">
      <c r="A1339" s="20" t="n">
        <v>46094</v>
      </c>
      <c r="B1339" s="15" t="s">
        <v>469</v>
      </c>
      <c r="C1339" s="15" t="s">
        <v>33</v>
      </c>
      <c r="D1339" s="15" t="s">
        <v>536</v>
      </c>
      <c r="E1339" s="15" t="n">
        <v>5</v>
      </c>
      <c r="H1339" s="10"/>
      <c r="I1339" s="21"/>
      <c r="M1339" s="10"/>
      <c r="N1339" s="10"/>
      <c r="P1339" s="10"/>
      <c r="Q1339" s="22"/>
    </row>
    <row r="1340" customFormat="false" ht="15.75" hidden="false" customHeight="false" outlineLevel="0" collapsed="false">
      <c r="A1340" s="20" t="n">
        <v>46094</v>
      </c>
      <c r="B1340" s="15" t="s">
        <v>469</v>
      </c>
      <c r="C1340" s="15" t="s">
        <v>547</v>
      </c>
      <c r="D1340" s="15" t="s">
        <v>548</v>
      </c>
      <c r="E1340" s="15" t="n">
        <v>1</v>
      </c>
      <c r="H1340" s="10"/>
      <c r="I1340" s="21"/>
      <c r="M1340" s="10"/>
      <c r="N1340" s="10"/>
      <c r="P1340" s="10"/>
      <c r="Q1340" s="22"/>
    </row>
    <row r="1341" customFormat="false" ht="15.75" hidden="false" customHeight="false" outlineLevel="0" collapsed="false">
      <c r="A1341" s="20" t="n">
        <v>46094</v>
      </c>
      <c r="B1341" s="15" t="s">
        <v>469</v>
      </c>
      <c r="C1341" s="15" t="s">
        <v>81</v>
      </c>
      <c r="D1341" s="15" t="s">
        <v>534</v>
      </c>
      <c r="E1341" s="15" t="n">
        <v>2</v>
      </c>
      <c r="H1341" s="10"/>
      <c r="I1341" s="21"/>
      <c r="M1341" s="10"/>
      <c r="N1341" s="10"/>
      <c r="P1341" s="10"/>
      <c r="Q1341" s="22"/>
    </row>
    <row r="1342" customFormat="false" ht="15.75" hidden="false" customHeight="false" outlineLevel="0" collapsed="false">
      <c r="A1342" s="20" t="n">
        <v>46094</v>
      </c>
      <c r="B1342" s="15" t="s">
        <v>471</v>
      </c>
      <c r="C1342" s="15" t="s">
        <v>25</v>
      </c>
      <c r="D1342" s="15" t="s">
        <v>26</v>
      </c>
      <c r="E1342" s="15" t="n">
        <v>2</v>
      </c>
      <c r="H1342" s="10"/>
      <c r="I1342" s="21"/>
      <c r="M1342" s="10"/>
      <c r="N1342" s="10"/>
      <c r="P1342" s="10"/>
      <c r="Q1342" s="22"/>
    </row>
    <row r="1343" customFormat="false" ht="15.75" hidden="false" customHeight="false" outlineLevel="0" collapsed="false">
      <c r="A1343" s="20" t="n">
        <v>46094</v>
      </c>
      <c r="B1343" s="15" t="s">
        <v>471</v>
      </c>
      <c r="C1343" s="15" t="s">
        <v>69</v>
      </c>
      <c r="D1343" s="15" t="s">
        <v>535</v>
      </c>
      <c r="E1343" s="15" t="n">
        <v>2</v>
      </c>
      <c r="H1343" s="10"/>
      <c r="I1343" s="21"/>
      <c r="M1343" s="10"/>
      <c r="N1343" s="10"/>
      <c r="P1343" s="10"/>
      <c r="Q1343" s="22"/>
    </row>
    <row r="1344" customFormat="false" ht="15.75" hidden="false" customHeight="false" outlineLevel="0" collapsed="false">
      <c r="A1344" s="20" t="n">
        <v>46094</v>
      </c>
      <c r="B1344" s="15" t="s">
        <v>471</v>
      </c>
      <c r="C1344" s="15" t="s">
        <v>555</v>
      </c>
      <c r="D1344" s="15" t="s">
        <v>556</v>
      </c>
      <c r="E1344" s="15" t="n">
        <v>2</v>
      </c>
      <c r="H1344" s="10"/>
      <c r="I1344" s="21"/>
      <c r="M1344" s="10"/>
      <c r="N1344" s="10"/>
      <c r="P1344" s="10"/>
      <c r="Q1344" s="22"/>
    </row>
    <row r="1345" customFormat="false" ht="15.75" hidden="false" customHeight="false" outlineLevel="0" collapsed="false">
      <c r="A1345" s="20" t="n">
        <v>46094</v>
      </c>
      <c r="B1345" s="15" t="s">
        <v>473</v>
      </c>
      <c r="C1345" s="15" t="s">
        <v>555</v>
      </c>
      <c r="D1345" s="15" t="s">
        <v>556</v>
      </c>
      <c r="E1345" s="15" t="n">
        <v>4</v>
      </c>
      <c r="H1345" s="10"/>
      <c r="I1345" s="21"/>
      <c r="M1345" s="10"/>
      <c r="N1345" s="10"/>
      <c r="P1345" s="10"/>
      <c r="Q1345" s="22"/>
    </row>
    <row r="1346" customFormat="false" ht="15.75" hidden="false" customHeight="false" outlineLevel="0" collapsed="false">
      <c r="A1346" s="20" t="n">
        <v>46094</v>
      </c>
      <c r="B1346" s="15" t="s">
        <v>473</v>
      </c>
      <c r="C1346" s="15" t="s">
        <v>11</v>
      </c>
      <c r="D1346" s="15" t="s">
        <v>572</v>
      </c>
      <c r="E1346" s="15" t="n">
        <v>4</v>
      </c>
      <c r="H1346" s="10"/>
      <c r="I1346" s="21"/>
      <c r="M1346" s="10"/>
      <c r="N1346" s="10"/>
      <c r="P1346" s="10"/>
      <c r="Q1346" s="22"/>
    </row>
    <row r="1347" customFormat="false" ht="15.75" hidden="false" customHeight="false" outlineLevel="0" collapsed="false">
      <c r="A1347" s="20" t="n">
        <v>46094</v>
      </c>
      <c r="B1347" s="15" t="s">
        <v>473</v>
      </c>
      <c r="C1347" s="15" t="s">
        <v>543</v>
      </c>
      <c r="D1347" s="15" t="s">
        <v>544</v>
      </c>
      <c r="E1347" s="15" t="n">
        <v>4</v>
      </c>
      <c r="H1347" s="10"/>
      <c r="I1347" s="21"/>
      <c r="M1347" s="10"/>
      <c r="N1347" s="10"/>
      <c r="P1347" s="10"/>
      <c r="Q1347" s="22"/>
    </row>
    <row r="1348" customFormat="false" ht="15.75" hidden="false" customHeight="false" outlineLevel="0" collapsed="false">
      <c r="A1348" s="20" t="n">
        <v>46094</v>
      </c>
      <c r="B1348" s="15" t="s">
        <v>473</v>
      </c>
      <c r="C1348" s="15" t="s">
        <v>91</v>
      </c>
      <c r="D1348" s="15" t="s">
        <v>91</v>
      </c>
      <c r="E1348" s="15" t="n">
        <v>4</v>
      </c>
      <c r="H1348" s="10"/>
      <c r="I1348" s="21"/>
      <c r="M1348" s="10"/>
      <c r="N1348" s="10"/>
      <c r="P1348" s="10"/>
      <c r="Q1348" s="22"/>
    </row>
    <row r="1349" customFormat="false" ht="15.75" hidden="false" customHeight="false" outlineLevel="0" collapsed="false">
      <c r="A1349" s="20" t="n">
        <v>46094</v>
      </c>
      <c r="B1349" s="15" t="s">
        <v>473</v>
      </c>
      <c r="C1349" s="15" t="s">
        <v>25</v>
      </c>
      <c r="D1349" s="15" t="s">
        <v>26</v>
      </c>
      <c r="E1349" s="15" t="n">
        <v>4</v>
      </c>
      <c r="H1349" s="10"/>
      <c r="I1349" s="21"/>
      <c r="M1349" s="10"/>
      <c r="N1349" s="10"/>
      <c r="P1349" s="10"/>
      <c r="Q1349" s="22"/>
    </row>
    <row r="1350" customFormat="false" ht="15.75" hidden="false" customHeight="false" outlineLevel="0" collapsed="false">
      <c r="A1350" s="20" t="n">
        <v>46094</v>
      </c>
      <c r="B1350" s="15" t="s">
        <v>477</v>
      </c>
      <c r="C1350" s="15" t="s">
        <v>69</v>
      </c>
      <c r="D1350" s="15" t="s">
        <v>535</v>
      </c>
      <c r="E1350" s="15" t="n">
        <v>3</v>
      </c>
      <c r="H1350" s="10"/>
      <c r="I1350" s="21"/>
      <c r="M1350" s="10"/>
      <c r="N1350" s="10"/>
      <c r="P1350" s="10"/>
      <c r="Q1350" s="22"/>
    </row>
    <row r="1351" customFormat="false" ht="15.75" hidden="false" customHeight="false" outlineLevel="0" collapsed="false">
      <c r="A1351" s="20" t="n">
        <v>46094</v>
      </c>
      <c r="B1351" s="15" t="s">
        <v>477</v>
      </c>
      <c r="C1351" s="15" t="s">
        <v>547</v>
      </c>
      <c r="D1351" s="15" t="s">
        <v>548</v>
      </c>
      <c r="E1351" s="15" t="n">
        <v>3</v>
      </c>
      <c r="H1351" s="10"/>
      <c r="I1351" s="21"/>
      <c r="M1351" s="10"/>
      <c r="N1351" s="10"/>
      <c r="P1351" s="10"/>
      <c r="Q1351" s="22"/>
    </row>
    <row r="1352" customFormat="false" ht="15.75" hidden="false" customHeight="false" outlineLevel="0" collapsed="false">
      <c r="A1352" s="20" t="n">
        <v>46094</v>
      </c>
      <c r="B1352" s="15" t="s">
        <v>477</v>
      </c>
      <c r="C1352" s="15" t="s">
        <v>25</v>
      </c>
      <c r="D1352" s="15" t="s">
        <v>26</v>
      </c>
      <c r="E1352" s="15" t="n">
        <v>3</v>
      </c>
      <c r="H1352" s="10"/>
      <c r="I1352" s="21"/>
      <c r="M1352" s="10"/>
      <c r="N1352" s="10"/>
      <c r="P1352" s="10"/>
      <c r="Q1352" s="22"/>
    </row>
    <row r="1353" customFormat="false" ht="15.75" hidden="false" customHeight="false" outlineLevel="0" collapsed="false">
      <c r="A1353" s="20" t="n">
        <v>46094</v>
      </c>
      <c r="B1353" s="15" t="s">
        <v>487</v>
      </c>
      <c r="C1353" s="15" t="s">
        <v>55</v>
      </c>
      <c r="D1353" s="15" t="s">
        <v>539</v>
      </c>
      <c r="E1353" s="15" t="n">
        <v>1</v>
      </c>
      <c r="H1353" s="10"/>
      <c r="I1353" s="21"/>
      <c r="M1353" s="10"/>
      <c r="N1353" s="10"/>
      <c r="P1353" s="10"/>
      <c r="Q1353" s="22"/>
    </row>
    <row r="1354" customFormat="false" ht="15.75" hidden="false" customHeight="false" outlineLevel="0" collapsed="false">
      <c r="A1354" s="20" t="n">
        <v>46094</v>
      </c>
      <c r="B1354" s="15" t="s">
        <v>487</v>
      </c>
      <c r="C1354" s="15" t="s">
        <v>81</v>
      </c>
      <c r="D1354" s="15" t="s">
        <v>534</v>
      </c>
      <c r="E1354" s="15" t="n">
        <v>9</v>
      </c>
      <c r="H1354" s="10"/>
      <c r="I1354" s="21"/>
      <c r="M1354" s="10"/>
      <c r="N1354" s="10"/>
      <c r="P1354" s="10"/>
      <c r="Q1354" s="22"/>
    </row>
    <row r="1355" customFormat="false" ht="15.75" hidden="false" customHeight="false" outlineLevel="0" collapsed="false">
      <c r="A1355" s="20" t="n">
        <v>46094</v>
      </c>
      <c r="B1355" s="15" t="s">
        <v>487</v>
      </c>
      <c r="C1355" s="15" t="s">
        <v>555</v>
      </c>
      <c r="D1355" s="15" t="s">
        <v>556</v>
      </c>
      <c r="E1355" s="15" t="n">
        <v>1</v>
      </c>
      <c r="H1355" s="10"/>
      <c r="I1355" s="21"/>
      <c r="M1355" s="10"/>
      <c r="N1355" s="10"/>
      <c r="P1355" s="10"/>
      <c r="Q1355" s="22"/>
    </row>
    <row r="1356" customFormat="false" ht="15.75" hidden="false" customHeight="false" outlineLevel="0" collapsed="false">
      <c r="A1356" s="20" t="n">
        <v>46094</v>
      </c>
      <c r="B1356" s="15" t="s">
        <v>487</v>
      </c>
      <c r="C1356" s="15" t="s">
        <v>570</v>
      </c>
      <c r="D1356" s="15" t="s">
        <v>571</v>
      </c>
      <c r="E1356" s="15" t="n">
        <v>1</v>
      </c>
      <c r="H1356" s="10"/>
      <c r="I1356" s="21"/>
      <c r="M1356" s="10"/>
      <c r="N1356" s="10"/>
      <c r="P1356" s="10"/>
      <c r="Q1356" s="22"/>
    </row>
    <row r="1357" customFormat="false" ht="15.75" hidden="false" customHeight="false" outlineLevel="0" collapsed="false">
      <c r="A1357" s="20" t="n">
        <v>46094</v>
      </c>
      <c r="B1357" s="15" t="s">
        <v>487</v>
      </c>
      <c r="C1357" s="15" t="s">
        <v>25</v>
      </c>
      <c r="D1357" s="15" t="s">
        <v>26</v>
      </c>
      <c r="E1357" s="15" t="n">
        <v>1</v>
      </c>
      <c r="H1357" s="10"/>
      <c r="I1357" s="21"/>
      <c r="M1357" s="10"/>
      <c r="N1357" s="10"/>
      <c r="P1357" s="10"/>
      <c r="Q1357" s="22"/>
    </row>
    <row r="1358" customFormat="false" ht="15.75" hidden="false" customHeight="false" outlineLevel="0" collapsed="false">
      <c r="A1358" s="20" t="n">
        <v>46094</v>
      </c>
      <c r="B1358" s="15" t="s">
        <v>487</v>
      </c>
      <c r="C1358" s="15" t="s">
        <v>91</v>
      </c>
      <c r="D1358" s="15" t="s">
        <v>91</v>
      </c>
      <c r="E1358" s="15" t="n">
        <v>2</v>
      </c>
      <c r="H1358" s="10"/>
      <c r="I1358" s="21"/>
      <c r="M1358" s="10"/>
      <c r="N1358" s="10"/>
      <c r="P1358" s="10"/>
      <c r="Q1358" s="22"/>
    </row>
    <row r="1359" customFormat="false" ht="15.75" hidden="false" customHeight="false" outlineLevel="0" collapsed="false">
      <c r="A1359" s="20" t="n">
        <v>46094</v>
      </c>
      <c r="B1359" s="15" t="s">
        <v>487</v>
      </c>
      <c r="C1359" s="15" t="s">
        <v>543</v>
      </c>
      <c r="D1359" s="15" t="s">
        <v>544</v>
      </c>
      <c r="E1359" s="15" t="n">
        <v>3</v>
      </c>
      <c r="H1359" s="10"/>
      <c r="I1359" s="21"/>
      <c r="M1359" s="10"/>
      <c r="N1359" s="10"/>
      <c r="P1359" s="10"/>
      <c r="Q1359" s="22"/>
    </row>
    <row r="1360" customFormat="false" ht="15.75" hidden="false" customHeight="false" outlineLevel="0" collapsed="false">
      <c r="A1360" s="20" t="n">
        <v>46094</v>
      </c>
      <c r="B1360" s="15" t="s">
        <v>487</v>
      </c>
      <c r="C1360" s="15" t="s">
        <v>545</v>
      </c>
      <c r="D1360" s="15" t="s">
        <v>546</v>
      </c>
      <c r="E1360" s="15" t="n">
        <v>1</v>
      </c>
      <c r="H1360" s="10"/>
      <c r="I1360" s="21"/>
      <c r="M1360" s="10"/>
      <c r="N1360" s="10"/>
      <c r="P1360" s="10"/>
      <c r="Q1360" s="22"/>
    </row>
    <row r="1361" customFormat="false" ht="15.75" hidden="false" customHeight="false" outlineLevel="0" collapsed="false">
      <c r="A1361" s="20" t="n">
        <v>46094</v>
      </c>
      <c r="B1361" s="15" t="s">
        <v>487</v>
      </c>
      <c r="C1361" s="15" t="s">
        <v>69</v>
      </c>
      <c r="D1361" s="15" t="s">
        <v>535</v>
      </c>
      <c r="E1361" s="15" t="n">
        <v>3</v>
      </c>
      <c r="H1361" s="10"/>
      <c r="I1361" s="21"/>
      <c r="M1361" s="10"/>
      <c r="N1361" s="10"/>
      <c r="P1361" s="10"/>
      <c r="Q1361" s="22"/>
    </row>
    <row r="1362" customFormat="false" ht="15.75" hidden="false" customHeight="false" outlineLevel="0" collapsed="false">
      <c r="A1362" s="20" t="n">
        <v>46094</v>
      </c>
      <c r="B1362" s="15" t="s">
        <v>487</v>
      </c>
      <c r="C1362" s="15" t="s">
        <v>77</v>
      </c>
      <c r="D1362" s="15" t="s">
        <v>78</v>
      </c>
      <c r="E1362" s="15" t="n">
        <v>3</v>
      </c>
      <c r="H1362" s="10"/>
      <c r="I1362" s="21"/>
      <c r="M1362" s="10"/>
      <c r="N1362" s="10"/>
      <c r="P1362" s="10"/>
      <c r="Q1362" s="22"/>
    </row>
    <row r="1363" customFormat="false" ht="15.75" hidden="false" customHeight="false" outlineLevel="0" collapsed="false">
      <c r="A1363" s="20" t="n">
        <v>46094</v>
      </c>
      <c r="B1363" s="15" t="s">
        <v>487</v>
      </c>
      <c r="C1363" s="15" t="s">
        <v>11</v>
      </c>
      <c r="D1363" s="15" t="s">
        <v>572</v>
      </c>
      <c r="E1363" s="15" t="n">
        <v>1</v>
      </c>
      <c r="H1363" s="10"/>
      <c r="I1363" s="21"/>
      <c r="M1363" s="10"/>
      <c r="N1363" s="10"/>
      <c r="P1363" s="10"/>
      <c r="Q1363" s="22"/>
    </row>
    <row r="1364" customFormat="false" ht="15.75" hidden="false" customHeight="false" outlineLevel="0" collapsed="false">
      <c r="A1364" s="20" t="n">
        <v>46094</v>
      </c>
      <c r="B1364" s="15" t="s">
        <v>487</v>
      </c>
      <c r="C1364" s="15" t="s">
        <v>33</v>
      </c>
      <c r="D1364" s="15" t="s">
        <v>536</v>
      </c>
      <c r="E1364" s="15" t="n">
        <v>3</v>
      </c>
      <c r="H1364" s="10"/>
      <c r="I1364" s="21"/>
      <c r="M1364" s="10"/>
      <c r="N1364" s="10"/>
      <c r="P1364" s="10"/>
      <c r="Q1364" s="22"/>
    </row>
    <row r="1365" customFormat="false" ht="15.75" hidden="false" customHeight="false" outlineLevel="0" collapsed="false">
      <c r="A1365" s="20" t="n">
        <v>46094</v>
      </c>
      <c r="B1365" s="15" t="s">
        <v>487</v>
      </c>
      <c r="C1365" s="15" t="s">
        <v>59</v>
      </c>
      <c r="D1365" s="15" t="s">
        <v>562</v>
      </c>
      <c r="E1365" s="15" t="n">
        <v>1</v>
      </c>
      <c r="H1365" s="10"/>
      <c r="I1365" s="21"/>
      <c r="M1365" s="10"/>
      <c r="N1365" s="10"/>
      <c r="P1365" s="10"/>
      <c r="Q1365" s="22"/>
    </row>
    <row r="1366" customFormat="false" ht="15.75" hidden="false" customHeight="false" outlineLevel="0" collapsed="false">
      <c r="A1366" s="20" t="n">
        <v>46094</v>
      </c>
      <c r="B1366" s="15" t="s">
        <v>487</v>
      </c>
      <c r="C1366" s="15" t="s">
        <v>75</v>
      </c>
      <c r="D1366" s="15" t="s">
        <v>560</v>
      </c>
      <c r="E1366" s="15" t="n">
        <v>1</v>
      </c>
      <c r="H1366" s="10"/>
      <c r="I1366" s="21"/>
      <c r="M1366" s="10"/>
      <c r="N1366" s="10"/>
      <c r="P1366" s="10"/>
      <c r="Q1366" s="22"/>
    </row>
    <row r="1367" customFormat="false" ht="15.75" hidden="false" customHeight="false" outlineLevel="0" collapsed="false">
      <c r="A1367" s="20" t="n">
        <v>46094</v>
      </c>
      <c r="B1367" s="15" t="s">
        <v>487</v>
      </c>
      <c r="C1367" s="15" t="s">
        <v>79</v>
      </c>
      <c r="D1367" s="15" t="s">
        <v>564</v>
      </c>
      <c r="E1367" s="15" t="n">
        <v>2</v>
      </c>
      <c r="H1367" s="10"/>
      <c r="I1367" s="21"/>
      <c r="M1367" s="10"/>
      <c r="N1367" s="10"/>
      <c r="P1367" s="10"/>
      <c r="Q1367" s="22"/>
    </row>
    <row r="1368" customFormat="false" ht="15.75" hidden="false" customHeight="false" outlineLevel="0" collapsed="false">
      <c r="A1368" s="20" t="n">
        <v>46094</v>
      </c>
      <c r="B1368" s="15" t="s">
        <v>491</v>
      </c>
      <c r="C1368" s="15" t="s">
        <v>37</v>
      </c>
      <c r="D1368" s="15" t="s">
        <v>561</v>
      </c>
      <c r="E1368" s="15" t="n">
        <v>1</v>
      </c>
      <c r="H1368" s="10"/>
      <c r="I1368" s="21"/>
      <c r="M1368" s="10"/>
      <c r="N1368" s="10"/>
      <c r="P1368" s="10"/>
      <c r="Q1368" s="22"/>
    </row>
    <row r="1369" customFormat="false" ht="15.75" hidden="false" customHeight="false" outlineLevel="0" collapsed="false">
      <c r="A1369" s="20" t="n">
        <v>46094</v>
      </c>
      <c r="B1369" s="15" t="s">
        <v>491</v>
      </c>
      <c r="C1369" s="15" t="s">
        <v>81</v>
      </c>
      <c r="D1369" s="15" t="s">
        <v>534</v>
      </c>
      <c r="E1369" s="15" t="n">
        <v>8</v>
      </c>
      <c r="H1369" s="10"/>
      <c r="I1369" s="21"/>
      <c r="M1369" s="10"/>
      <c r="N1369" s="10"/>
      <c r="P1369" s="10"/>
      <c r="Q1369" s="22"/>
    </row>
    <row r="1370" customFormat="false" ht="15.75" hidden="false" customHeight="false" outlineLevel="0" collapsed="false">
      <c r="A1370" s="20" t="n">
        <v>46094</v>
      </c>
      <c r="B1370" s="15" t="s">
        <v>491</v>
      </c>
      <c r="C1370" s="15" t="s">
        <v>75</v>
      </c>
      <c r="D1370" s="15" t="s">
        <v>560</v>
      </c>
      <c r="E1370" s="15" t="n">
        <v>1</v>
      </c>
      <c r="H1370" s="10"/>
      <c r="I1370" s="21"/>
      <c r="M1370" s="10"/>
      <c r="N1370" s="10"/>
      <c r="P1370" s="10"/>
      <c r="Q1370" s="22"/>
    </row>
    <row r="1371" customFormat="false" ht="15.75" hidden="false" customHeight="false" outlineLevel="0" collapsed="false">
      <c r="A1371" s="20" t="n">
        <v>46094</v>
      </c>
      <c r="B1371" s="15" t="s">
        <v>491</v>
      </c>
      <c r="C1371" s="15" t="s">
        <v>69</v>
      </c>
      <c r="D1371" s="15" t="s">
        <v>535</v>
      </c>
      <c r="E1371" s="15" t="n">
        <v>6</v>
      </c>
      <c r="H1371" s="10"/>
      <c r="I1371" s="21"/>
      <c r="M1371" s="10"/>
      <c r="N1371" s="10"/>
      <c r="P1371" s="10"/>
      <c r="Q1371" s="22"/>
    </row>
    <row r="1372" customFormat="false" ht="15.75" hidden="false" customHeight="false" outlineLevel="0" collapsed="false">
      <c r="A1372" s="20" t="n">
        <v>46094</v>
      </c>
      <c r="B1372" s="15" t="s">
        <v>491</v>
      </c>
      <c r="C1372" s="15" t="s">
        <v>547</v>
      </c>
      <c r="D1372" s="15" t="s">
        <v>548</v>
      </c>
      <c r="E1372" s="15" t="n">
        <v>1</v>
      </c>
      <c r="H1372" s="10"/>
      <c r="I1372" s="21"/>
      <c r="M1372" s="10"/>
      <c r="N1372" s="10"/>
      <c r="P1372" s="10"/>
      <c r="Q1372" s="22"/>
    </row>
    <row r="1373" customFormat="false" ht="15.75" hidden="false" customHeight="false" outlineLevel="0" collapsed="false">
      <c r="A1373" s="20" t="n">
        <v>46094</v>
      </c>
      <c r="B1373" s="15" t="s">
        <v>491</v>
      </c>
      <c r="C1373" s="15" t="s">
        <v>31</v>
      </c>
      <c r="D1373" s="15" t="s">
        <v>559</v>
      </c>
      <c r="E1373" s="15" t="n">
        <v>2</v>
      </c>
      <c r="H1373" s="10"/>
      <c r="I1373" s="21"/>
      <c r="M1373" s="10"/>
      <c r="N1373" s="10"/>
      <c r="P1373" s="10"/>
      <c r="Q1373" s="22"/>
    </row>
    <row r="1374" customFormat="false" ht="15.75" hidden="false" customHeight="false" outlineLevel="0" collapsed="false">
      <c r="A1374" s="20" t="n">
        <v>46094</v>
      </c>
      <c r="B1374" s="15" t="s">
        <v>491</v>
      </c>
      <c r="C1374" s="15" t="s">
        <v>545</v>
      </c>
      <c r="D1374" s="15" t="s">
        <v>546</v>
      </c>
      <c r="E1374" s="15" t="n">
        <v>2</v>
      </c>
      <c r="H1374" s="10"/>
      <c r="I1374" s="21"/>
      <c r="M1374" s="10"/>
      <c r="N1374" s="10"/>
      <c r="P1374" s="10"/>
      <c r="Q1374" s="22"/>
    </row>
    <row r="1375" customFormat="false" ht="15.75" hidden="false" customHeight="false" outlineLevel="0" collapsed="false">
      <c r="A1375" s="20" t="n">
        <v>46094</v>
      </c>
      <c r="B1375" s="15" t="s">
        <v>491</v>
      </c>
      <c r="C1375" s="15" t="s">
        <v>543</v>
      </c>
      <c r="D1375" s="15" t="s">
        <v>544</v>
      </c>
      <c r="E1375" s="15" t="n">
        <v>4</v>
      </c>
      <c r="H1375" s="10"/>
      <c r="I1375" s="21"/>
      <c r="M1375" s="10"/>
      <c r="N1375" s="10"/>
      <c r="P1375" s="10"/>
      <c r="Q1375" s="22"/>
    </row>
    <row r="1376" customFormat="false" ht="15.75" hidden="false" customHeight="false" outlineLevel="0" collapsed="false">
      <c r="A1376" s="20" t="n">
        <v>46094</v>
      </c>
      <c r="B1376" s="15" t="s">
        <v>491</v>
      </c>
      <c r="C1376" s="15" t="s">
        <v>541</v>
      </c>
      <c r="D1376" s="15" t="s">
        <v>542</v>
      </c>
      <c r="E1376" s="15" t="n">
        <v>2</v>
      </c>
      <c r="H1376" s="10"/>
      <c r="I1376" s="21"/>
      <c r="M1376" s="10"/>
      <c r="N1376" s="10"/>
      <c r="P1376" s="10"/>
      <c r="Q1376" s="22"/>
    </row>
    <row r="1377" customFormat="false" ht="15.75" hidden="false" customHeight="false" outlineLevel="0" collapsed="false">
      <c r="A1377" s="20" t="n">
        <v>46094</v>
      </c>
      <c r="B1377" s="15" t="s">
        <v>491</v>
      </c>
      <c r="C1377" s="15" t="s">
        <v>49</v>
      </c>
      <c r="D1377" s="15" t="s">
        <v>537</v>
      </c>
      <c r="E1377" s="15" t="n">
        <v>1</v>
      </c>
      <c r="H1377" s="10"/>
      <c r="I1377" s="21"/>
      <c r="M1377" s="10"/>
      <c r="N1377" s="10"/>
      <c r="P1377" s="10"/>
      <c r="Q1377" s="22"/>
    </row>
    <row r="1378" customFormat="false" ht="15.75" hidden="false" customHeight="false" outlineLevel="0" collapsed="false">
      <c r="A1378" s="20" t="n">
        <v>46094</v>
      </c>
      <c r="B1378" s="15" t="s">
        <v>491</v>
      </c>
      <c r="C1378" s="15" t="s">
        <v>33</v>
      </c>
      <c r="D1378" s="15" t="s">
        <v>536</v>
      </c>
      <c r="E1378" s="15" t="n">
        <v>5</v>
      </c>
      <c r="H1378" s="10"/>
      <c r="I1378" s="21"/>
      <c r="M1378" s="10"/>
      <c r="N1378" s="10"/>
      <c r="P1378" s="10"/>
      <c r="Q1378" s="22"/>
    </row>
    <row r="1379" customFormat="false" ht="15.75" hidden="false" customHeight="false" outlineLevel="0" collapsed="false">
      <c r="A1379" s="20" t="n">
        <v>46094</v>
      </c>
      <c r="B1379" s="15" t="s">
        <v>491</v>
      </c>
      <c r="C1379" s="15" t="s">
        <v>77</v>
      </c>
      <c r="D1379" s="15" t="s">
        <v>78</v>
      </c>
      <c r="E1379" s="15" t="n">
        <v>3</v>
      </c>
      <c r="H1379" s="10"/>
      <c r="I1379" s="21"/>
      <c r="M1379" s="10"/>
      <c r="N1379" s="10"/>
      <c r="P1379" s="10"/>
      <c r="Q1379" s="22"/>
    </row>
    <row r="1380" customFormat="false" ht="15.75" hidden="false" customHeight="false" outlineLevel="0" collapsed="false">
      <c r="A1380" s="20" t="n">
        <v>46094</v>
      </c>
      <c r="B1380" s="15" t="s">
        <v>491</v>
      </c>
      <c r="C1380" s="15" t="s">
        <v>47</v>
      </c>
      <c r="D1380" s="15" t="s">
        <v>549</v>
      </c>
      <c r="E1380" s="15" t="n">
        <v>1</v>
      </c>
      <c r="H1380" s="10"/>
      <c r="I1380" s="21"/>
      <c r="M1380" s="10"/>
      <c r="N1380" s="10"/>
      <c r="P1380" s="10"/>
      <c r="Q1380" s="22"/>
    </row>
    <row r="1381" customFormat="false" ht="15.75" hidden="false" customHeight="false" outlineLevel="0" collapsed="false">
      <c r="A1381" s="20" t="n">
        <v>46094</v>
      </c>
      <c r="B1381" s="15" t="s">
        <v>491</v>
      </c>
      <c r="C1381" s="15" t="s">
        <v>55</v>
      </c>
      <c r="D1381" s="15" t="s">
        <v>539</v>
      </c>
      <c r="E1381" s="15" t="n">
        <v>1</v>
      </c>
      <c r="H1381" s="10"/>
      <c r="I1381" s="21"/>
      <c r="M1381" s="10"/>
      <c r="N1381" s="10"/>
      <c r="P1381" s="10"/>
      <c r="Q1381" s="22"/>
    </row>
    <row r="1382" customFormat="false" ht="15.75" hidden="false" customHeight="false" outlineLevel="0" collapsed="false">
      <c r="A1382" s="20" t="n">
        <v>46094</v>
      </c>
      <c r="B1382" s="15" t="s">
        <v>491</v>
      </c>
      <c r="C1382" s="15" t="s">
        <v>59</v>
      </c>
      <c r="D1382" s="15" t="s">
        <v>562</v>
      </c>
      <c r="E1382" s="15" t="n">
        <v>1</v>
      </c>
      <c r="H1382" s="10"/>
      <c r="I1382" s="21"/>
      <c r="M1382" s="10"/>
      <c r="N1382" s="10"/>
      <c r="P1382" s="10"/>
      <c r="Q1382" s="22"/>
    </row>
    <row r="1383" customFormat="false" ht="15.75" hidden="false" customHeight="false" outlineLevel="0" collapsed="false">
      <c r="A1383" s="20" t="n">
        <v>46094</v>
      </c>
      <c r="B1383" s="15" t="s">
        <v>491</v>
      </c>
      <c r="C1383" s="15" t="s">
        <v>43</v>
      </c>
      <c r="D1383" s="15" t="s">
        <v>538</v>
      </c>
      <c r="E1383" s="15" t="n">
        <v>1</v>
      </c>
      <c r="H1383" s="10"/>
      <c r="I1383" s="21"/>
      <c r="M1383" s="10"/>
      <c r="N1383" s="10"/>
      <c r="P1383" s="10"/>
      <c r="Q1383" s="22"/>
    </row>
    <row r="1384" customFormat="false" ht="15.75" hidden="false" customHeight="false" outlineLevel="0" collapsed="false">
      <c r="A1384" s="20" t="n">
        <v>46094</v>
      </c>
      <c r="B1384" s="15" t="s">
        <v>491</v>
      </c>
      <c r="C1384" s="15" t="s">
        <v>87</v>
      </c>
      <c r="D1384" s="15" t="s">
        <v>563</v>
      </c>
      <c r="E1384" s="15" t="n">
        <v>1</v>
      </c>
      <c r="H1384" s="10"/>
      <c r="I1384" s="21"/>
      <c r="M1384" s="10"/>
      <c r="N1384" s="10"/>
      <c r="P1384" s="10"/>
      <c r="Q1384" s="22"/>
    </row>
    <row r="1385" customFormat="false" ht="15.75" hidden="false" customHeight="false" outlineLevel="0" collapsed="false">
      <c r="A1385" s="20" t="n">
        <v>46094</v>
      </c>
      <c r="B1385" s="15" t="s">
        <v>491</v>
      </c>
      <c r="C1385" s="15" t="s">
        <v>79</v>
      </c>
      <c r="D1385" s="15" t="s">
        <v>564</v>
      </c>
      <c r="E1385" s="15" t="n">
        <v>1</v>
      </c>
      <c r="H1385" s="10"/>
      <c r="I1385" s="21"/>
      <c r="M1385" s="10"/>
      <c r="N1385" s="10"/>
      <c r="P1385" s="10"/>
      <c r="Q1385" s="22"/>
    </row>
    <row r="1386" customFormat="false" ht="15.75" hidden="false" customHeight="false" outlineLevel="0" collapsed="false">
      <c r="A1386" s="20" t="n">
        <v>46094</v>
      </c>
      <c r="B1386" s="15" t="s">
        <v>496</v>
      </c>
      <c r="C1386" s="15" t="s">
        <v>81</v>
      </c>
      <c r="D1386" s="15" t="s">
        <v>534</v>
      </c>
      <c r="E1386" s="15" t="n">
        <v>7</v>
      </c>
      <c r="H1386" s="10"/>
      <c r="I1386" s="21"/>
      <c r="M1386" s="10"/>
      <c r="N1386" s="10"/>
      <c r="P1386" s="10"/>
      <c r="Q1386" s="22"/>
    </row>
    <row r="1387" customFormat="false" ht="15.75" hidden="false" customHeight="false" outlineLevel="0" collapsed="false">
      <c r="A1387" s="20" t="n">
        <v>46094</v>
      </c>
      <c r="B1387" s="15" t="s">
        <v>496</v>
      </c>
      <c r="C1387" s="15" t="s">
        <v>47</v>
      </c>
      <c r="D1387" s="15" t="s">
        <v>549</v>
      </c>
      <c r="E1387" s="15" t="n">
        <v>4</v>
      </c>
      <c r="H1387" s="10"/>
      <c r="I1387" s="21"/>
      <c r="M1387" s="10"/>
      <c r="N1387" s="10"/>
      <c r="P1387" s="10"/>
      <c r="Q1387" s="22"/>
    </row>
    <row r="1388" customFormat="false" ht="15.75" hidden="false" customHeight="false" outlineLevel="0" collapsed="false">
      <c r="A1388" s="20" t="n">
        <v>46094</v>
      </c>
      <c r="B1388" s="15" t="s">
        <v>496</v>
      </c>
      <c r="C1388" s="15" t="s">
        <v>55</v>
      </c>
      <c r="D1388" s="15" t="s">
        <v>539</v>
      </c>
      <c r="E1388" s="15" t="n">
        <v>2</v>
      </c>
      <c r="H1388" s="10"/>
      <c r="I1388" s="21"/>
      <c r="M1388" s="10"/>
      <c r="N1388" s="10"/>
      <c r="P1388" s="10"/>
      <c r="Q1388" s="22"/>
    </row>
    <row r="1389" customFormat="false" ht="15.75" hidden="false" customHeight="false" outlineLevel="0" collapsed="false">
      <c r="A1389" s="20" t="n">
        <v>46094</v>
      </c>
      <c r="B1389" s="15" t="s">
        <v>496</v>
      </c>
      <c r="C1389" s="15" t="s">
        <v>567</v>
      </c>
      <c r="D1389" s="15" t="s">
        <v>568</v>
      </c>
      <c r="E1389" s="15" t="n">
        <v>3</v>
      </c>
      <c r="H1389" s="10"/>
      <c r="I1389" s="21"/>
      <c r="M1389" s="10"/>
      <c r="N1389" s="10"/>
      <c r="P1389" s="10"/>
      <c r="Q1389" s="22"/>
    </row>
    <row r="1390" customFormat="false" ht="15.75" hidden="false" customHeight="false" outlineLevel="0" collapsed="false">
      <c r="A1390" s="20" t="n">
        <v>46094</v>
      </c>
      <c r="B1390" s="15" t="s">
        <v>496</v>
      </c>
      <c r="C1390" s="15" t="s">
        <v>545</v>
      </c>
      <c r="D1390" s="15" t="s">
        <v>546</v>
      </c>
      <c r="E1390" s="15" t="n">
        <v>3</v>
      </c>
      <c r="H1390" s="10"/>
      <c r="I1390" s="21"/>
      <c r="M1390" s="10"/>
      <c r="N1390" s="10"/>
      <c r="P1390" s="10"/>
      <c r="Q1390" s="22"/>
    </row>
    <row r="1391" customFormat="false" ht="15.75" hidden="false" customHeight="false" outlineLevel="0" collapsed="false">
      <c r="A1391" s="20" t="n">
        <v>46094</v>
      </c>
      <c r="B1391" s="15" t="s">
        <v>496</v>
      </c>
      <c r="C1391" s="15" t="s">
        <v>547</v>
      </c>
      <c r="D1391" s="15" t="s">
        <v>548</v>
      </c>
      <c r="E1391" s="15" t="n">
        <v>1</v>
      </c>
      <c r="H1391" s="10"/>
      <c r="I1391" s="21"/>
      <c r="M1391" s="10"/>
      <c r="N1391" s="10"/>
      <c r="P1391" s="10"/>
      <c r="Q1391" s="22"/>
    </row>
    <row r="1392" customFormat="false" ht="15.75" hidden="false" customHeight="false" outlineLevel="0" collapsed="false">
      <c r="A1392" s="20" t="n">
        <v>46094</v>
      </c>
      <c r="B1392" s="15" t="s">
        <v>496</v>
      </c>
      <c r="C1392" s="15" t="s">
        <v>555</v>
      </c>
      <c r="D1392" s="15" t="s">
        <v>556</v>
      </c>
      <c r="E1392" s="15" t="n">
        <v>4</v>
      </c>
      <c r="H1392" s="10"/>
      <c r="I1392" s="21"/>
      <c r="M1392" s="10"/>
      <c r="N1392" s="10"/>
      <c r="P1392" s="10"/>
      <c r="Q1392" s="22"/>
    </row>
    <row r="1393" customFormat="false" ht="15.75" hidden="false" customHeight="false" outlineLevel="0" collapsed="false">
      <c r="A1393" s="20" t="n">
        <v>46094</v>
      </c>
      <c r="B1393" s="15" t="s">
        <v>496</v>
      </c>
      <c r="C1393" s="15" t="s">
        <v>541</v>
      </c>
      <c r="D1393" s="15" t="s">
        <v>542</v>
      </c>
      <c r="E1393" s="15" t="n">
        <v>4</v>
      </c>
      <c r="H1393" s="10"/>
      <c r="I1393" s="21"/>
      <c r="M1393" s="10"/>
      <c r="N1393" s="10"/>
      <c r="P1393" s="10"/>
      <c r="Q1393" s="22"/>
    </row>
    <row r="1394" customFormat="false" ht="15.75" hidden="false" customHeight="false" outlineLevel="0" collapsed="false">
      <c r="A1394" s="20" t="n">
        <v>46094</v>
      </c>
      <c r="B1394" s="15" t="s">
        <v>496</v>
      </c>
      <c r="C1394" s="15" t="s">
        <v>45</v>
      </c>
      <c r="D1394" s="15" t="s">
        <v>540</v>
      </c>
      <c r="E1394" s="15" t="n">
        <v>1</v>
      </c>
      <c r="H1394" s="10"/>
      <c r="I1394" s="21"/>
      <c r="M1394" s="10"/>
      <c r="N1394" s="10"/>
      <c r="P1394" s="10"/>
      <c r="Q1394" s="22"/>
    </row>
    <row r="1395" customFormat="false" ht="15.75" hidden="false" customHeight="false" outlineLevel="0" collapsed="false">
      <c r="A1395" s="20" t="n">
        <v>46094</v>
      </c>
      <c r="B1395" s="15" t="s">
        <v>496</v>
      </c>
      <c r="C1395" s="15" t="s">
        <v>37</v>
      </c>
      <c r="D1395" s="15" t="s">
        <v>561</v>
      </c>
      <c r="E1395" s="15" t="n">
        <v>1</v>
      </c>
      <c r="H1395" s="10"/>
      <c r="I1395" s="21"/>
      <c r="M1395" s="10"/>
      <c r="N1395" s="10"/>
      <c r="P1395" s="10"/>
      <c r="Q1395" s="22"/>
    </row>
    <row r="1396" customFormat="false" ht="15.75" hidden="false" customHeight="false" outlineLevel="0" collapsed="false">
      <c r="A1396" s="20" t="n">
        <v>46094</v>
      </c>
      <c r="B1396" s="15" t="s">
        <v>496</v>
      </c>
      <c r="C1396" s="15" t="s">
        <v>543</v>
      </c>
      <c r="D1396" s="15" t="s">
        <v>544</v>
      </c>
      <c r="E1396" s="15" t="n">
        <v>4</v>
      </c>
      <c r="H1396" s="10"/>
      <c r="I1396" s="21"/>
      <c r="M1396" s="10"/>
      <c r="N1396" s="10"/>
      <c r="P1396" s="10"/>
      <c r="Q1396" s="22"/>
    </row>
    <row r="1397" customFormat="false" ht="15.75" hidden="false" customHeight="false" outlineLevel="0" collapsed="false">
      <c r="A1397" s="20" t="n">
        <v>46094</v>
      </c>
      <c r="B1397" s="15" t="s">
        <v>496</v>
      </c>
      <c r="C1397" s="15" t="s">
        <v>69</v>
      </c>
      <c r="D1397" s="15" t="s">
        <v>535</v>
      </c>
      <c r="E1397" s="15" t="n">
        <v>2</v>
      </c>
      <c r="H1397" s="10"/>
      <c r="I1397" s="21"/>
      <c r="M1397" s="10"/>
      <c r="N1397" s="10"/>
      <c r="P1397" s="10"/>
      <c r="Q1397" s="22"/>
    </row>
    <row r="1398" customFormat="false" ht="15.75" hidden="false" customHeight="false" outlineLevel="0" collapsed="false">
      <c r="A1398" s="20" t="n">
        <v>46094</v>
      </c>
      <c r="B1398" s="15" t="s">
        <v>496</v>
      </c>
      <c r="C1398" s="15" t="s">
        <v>77</v>
      </c>
      <c r="D1398" s="15" t="s">
        <v>78</v>
      </c>
      <c r="E1398" s="15" t="n">
        <v>2</v>
      </c>
      <c r="H1398" s="10"/>
      <c r="I1398" s="21"/>
      <c r="M1398" s="10"/>
      <c r="N1398" s="10"/>
      <c r="P1398" s="10"/>
      <c r="Q1398" s="22"/>
    </row>
    <row r="1399" customFormat="false" ht="15.75" hidden="false" customHeight="false" outlineLevel="0" collapsed="false">
      <c r="A1399" s="20" t="n">
        <v>46094</v>
      </c>
      <c r="B1399" s="15" t="s">
        <v>496</v>
      </c>
      <c r="C1399" s="15" t="s">
        <v>59</v>
      </c>
      <c r="D1399" s="15" t="s">
        <v>562</v>
      </c>
      <c r="E1399" s="15" t="n">
        <v>2</v>
      </c>
      <c r="H1399" s="10"/>
      <c r="I1399" s="21"/>
      <c r="M1399" s="10"/>
      <c r="N1399" s="10"/>
      <c r="P1399" s="10"/>
      <c r="Q1399" s="22"/>
    </row>
    <row r="1400" customFormat="false" ht="15.75" hidden="false" customHeight="false" outlineLevel="0" collapsed="false">
      <c r="A1400" s="20" t="n">
        <v>46094</v>
      </c>
      <c r="B1400" s="15" t="s">
        <v>496</v>
      </c>
      <c r="C1400" s="15" t="s">
        <v>33</v>
      </c>
      <c r="D1400" s="15" t="s">
        <v>536</v>
      </c>
      <c r="E1400" s="15" t="n">
        <v>2</v>
      </c>
      <c r="H1400" s="10"/>
      <c r="I1400" s="21"/>
      <c r="M1400" s="10"/>
      <c r="N1400" s="10"/>
      <c r="P1400" s="10"/>
      <c r="Q1400" s="22"/>
    </row>
    <row r="1401" customFormat="false" ht="15.75" hidden="false" customHeight="false" outlineLevel="0" collapsed="false">
      <c r="A1401" s="20" t="n">
        <v>46094</v>
      </c>
      <c r="B1401" s="15" t="s">
        <v>496</v>
      </c>
      <c r="C1401" s="15" t="s">
        <v>79</v>
      </c>
      <c r="D1401" s="15" t="s">
        <v>564</v>
      </c>
      <c r="E1401" s="15" t="n">
        <v>1</v>
      </c>
      <c r="H1401" s="10"/>
      <c r="I1401" s="21"/>
      <c r="M1401" s="10"/>
      <c r="N1401" s="10"/>
      <c r="P1401" s="10"/>
      <c r="Q1401" s="22"/>
    </row>
    <row r="1402" customFormat="false" ht="15.75" hidden="false" customHeight="false" outlineLevel="0" collapsed="false">
      <c r="A1402" s="20" t="n">
        <v>46094</v>
      </c>
      <c r="B1402" s="15" t="s">
        <v>496</v>
      </c>
      <c r="C1402" s="15" t="s">
        <v>65</v>
      </c>
      <c r="D1402" s="15" t="s">
        <v>580</v>
      </c>
      <c r="E1402" s="15" t="n">
        <v>1</v>
      </c>
      <c r="H1402" s="10"/>
      <c r="I1402" s="21"/>
      <c r="M1402" s="10"/>
      <c r="N1402" s="10"/>
      <c r="P1402" s="10"/>
      <c r="Q1402" s="22"/>
    </row>
    <row r="1403" customFormat="false" ht="15.75" hidden="false" customHeight="false" outlineLevel="0" collapsed="false">
      <c r="A1403" s="20" t="n">
        <v>46094</v>
      </c>
      <c r="B1403" s="15" t="s">
        <v>503</v>
      </c>
      <c r="C1403" s="15" t="s">
        <v>81</v>
      </c>
      <c r="D1403" s="15" t="s">
        <v>534</v>
      </c>
      <c r="E1403" s="15" t="n">
        <v>2</v>
      </c>
      <c r="H1403" s="10"/>
      <c r="I1403" s="21"/>
      <c r="M1403" s="10"/>
      <c r="N1403" s="10"/>
      <c r="P1403" s="10"/>
      <c r="Q1403" s="22"/>
    </row>
    <row r="1404" customFormat="false" ht="15.75" hidden="false" customHeight="false" outlineLevel="0" collapsed="false">
      <c r="A1404" s="20" t="n">
        <v>46094</v>
      </c>
      <c r="B1404" s="15" t="s">
        <v>503</v>
      </c>
      <c r="C1404" s="15" t="s">
        <v>55</v>
      </c>
      <c r="D1404" s="15" t="s">
        <v>539</v>
      </c>
      <c r="E1404" s="15" t="n">
        <v>12</v>
      </c>
      <c r="H1404" s="10"/>
      <c r="I1404" s="21"/>
      <c r="M1404" s="10"/>
      <c r="N1404" s="10"/>
      <c r="P1404" s="10"/>
      <c r="Q1404" s="22"/>
    </row>
    <row r="1405" customFormat="false" ht="15.75" hidden="false" customHeight="false" outlineLevel="0" collapsed="false">
      <c r="A1405" s="20" t="n">
        <v>46094</v>
      </c>
      <c r="B1405" s="15" t="s">
        <v>503</v>
      </c>
      <c r="C1405" s="15" t="s">
        <v>63</v>
      </c>
      <c r="D1405" s="15" t="s">
        <v>551</v>
      </c>
      <c r="E1405" s="15" t="n">
        <v>1</v>
      </c>
      <c r="H1405" s="10"/>
      <c r="I1405" s="21"/>
      <c r="M1405" s="10"/>
      <c r="N1405" s="10"/>
      <c r="P1405" s="10"/>
      <c r="Q1405" s="22"/>
    </row>
    <row r="1406" customFormat="false" ht="15.75" hidden="false" customHeight="false" outlineLevel="0" collapsed="false">
      <c r="A1406" s="20" t="n">
        <v>46094</v>
      </c>
      <c r="B1406" s="15" t="s">
        <v>503</v>
      </c>
      <c r="C1406" s="15" t="s">
        <v>39</v>
      </c>
      <c r="D1406" s="15" t="s">
        <v>550</v>
      </c>
      <c r="E1406" s="15" t="n">
        <v>1</v>
      </c>
      <c r="H1406" s="10"/>
      <c r="I1406" s="21"/>
      <c r="M1406" s="10"/>
      <c r="N1406" s="10"/>
      <c r="P1406" s="10"/>
      <c r="Q1406" s="22"/>
    </row>
    <row r="1407" customFormat="false" ht="15.75" hidden="false" customHeight="false" outlineLevel="0" collapsed="false">
      <c r="A1407" s="20" t="n">
        <v>46094</v>
      </c>
      <c r="B1407" s="15" t="s">
        <v>503</v>
      </c>
      <c r="C1407" s="15" t="s">
        <v>47</v>
      </c>
      <c r="D1407" s="15" t="s">
        <v>549</v>
      </c>
      <c r="E1407" s="15" t="n">
        <v>2</v>
      </c>
      <c r="H1407" s="10"/>
      <c r="I1407" s="21"/>
      <c r="M1407" s="10"/>
      <c r="N1407" s="10"/>
      <c r="P1407" s="10"/>
      <c r="Q1407" s="22"/>
    </row>
    <row r="1408" customFormat="false" ht="15.75" hidden="false" customHeight="false" outlineLevel="0" collapsed="false">
      <c r="A1408" s="20" t="n">
        <v>46094</v>
      </c>
      <c r="B1408" s="15" t="s">
        <v>505</v>
      </c>
      <c r="C1408" s="15" t="s">
        <v>55</v>
      </c>
      <c r="D1408" s="15" t="s">
        <v>539</v>
      </c>
      <c r="E1408" s="15" t="n">
        <v>6</v>
      </c>
      <c r="H1408" s="10"/>
      <c r="I1408" s="21"/>
      <c r="M1408" s="10"/>
      <c r="N1408" s="10"/>
      <c r="P1408" s="10"/>
      <c r="Q1408" s="22"/>
    </row>
    <row r="1409" customFormat="false" ht="15.75" hidden="false" customHeight="false" outlineLevel="0" collapsed="false">
      <c r="A1409" s="20" t="n">
        <v>46094</v>
      </c>
      <c r="B1409" s="15" t="s">
        <v>505</v>
      </c>
      <c r="C1409" s="15" t="s">
        <v>39</v>
      </c>
      <c r="D1409" s="15" t="s">
        <v>550</v>
      </c>
      <c r="E1409" s="15" t="n">
        <v>1</v>
      </c>
      <c r="H1409" s="10"/>
      <c r="I1409" s="21"/>
      <c r="M1409" s="10"/>
      <c r="N1409" s="10"/>
      <c r="P1409" s="10"/>
      <c r="Q1409" s="22"/>
    </row>
    <row r="1410" customFormat="false" ht="15.75" hidden="false" customHeight="false" outlineLevel="0" collapsed="false">
      <c r="A1410" s="20" t="n">
        <v>46094</v>
      </c>
      <c r="B1410" s="15" t="s">
        <v>505</v>
      </c>
      <c r="C1410" s="15" t="s">
        <v>81</v>
      </c>
      <c r="D1410" s="15" t="s">
        <v>534</v>
      </c>
      <c r="E1410" s="15" t="n">
        <v>9</v>
      </c>
      <c r="H1410" s="10"/>
      <c r="I1410" s="21"/>
      <c r="M1410" s="10"/>
      <c r="N1410" s="10"/>
      <c r="P1410" s="10"/>
      <c r="Q1410" s="22"/>
    </row>
    <row r="1411" customFormat="false" ht="15.75" hidden="false" customHeight="false" outlineLevel="0" collapsed="false">
      <c r="A1411" s="20" t="n">
        <v>46094</v>
      </c>
      <c r="B1411" s="15" t="s">
        <v>505</v>
      </c>
      <c r="C1411" s="15" t="s">
        <v>47</v>
      </c>
      <c r="D1411" s="15" t="s">
        <v>549</v>
      </c>
      <c r="E1411" s="15" t="n">
        <v>3</v>
      </c>
      <c r="H1411" s="10"/>
      <c r="I1411" s="21"/>
      <c r="M1411" s="10"/>
      <c r="N1411" s="10"/>
      <c r="P1411" s="10"/>
      <c r="Q1411" s="22"/>
    </row>
    <row r="1412" customFormat="false" ht="15.75" hidden="false" customHeight="false" outlineLevel="0" collapsed="false">
      <c r="A1412" s="20" t="n">
        <v>46094</v>
      </c>
      <c r="B1412" s="15" t="s">
        <v>505</v>
      </c>
      <c r="C1412" s="15" t="s">
        <v>63</v>
      </c>
      <c r="D1412" s="15" t="s">
        <v>551</v>
      </c>
      <c r="E1412" s="15" t="n">
        <v>1</v>
      </c>
      <c r="H1412" s="10"/>
      <c r="I1412" s="21"/>
      <c r="M1412" s="10"/>
      <c r="N1412" s="10"/>
      <c r="P1412" s="10"/>
      <c r="Q1412" s="22"/>
    </row>
    <row r="1413" customFormat="false" ht="15.75" hidden="false" customHeight="false" outlineLevel="0" collapsed="false">
      <c r="A1413" s="20" t="n">
        <v>46094</v>
      </c>
      <c r="B1413" s="15" t="s">
        <v>505</v>
      </c>
      <c r="C1413" s="15" t="s">
        <v>17</v>
      </c>
      <c r="D1413" s="15" t="s">
        <v>554</v>
      </c>
      <c r="E1413" s="15" t="n">
        <v>1</v>
      </c>
      <c r="H1413" s="10"/>
      <c r="I1413" s="21"/>
      <c r="M1413" s="10"/>
      <c r="N1413" s="10"/>
      <c r="P1413" s="10"/>
      <c r="Q1413" s="22"/>
    </row>
    <row r="1414" customFormat="false" ht="15.75" hidden="false" customHeight="false" outlineLevel="0" collapsed="false">
      <c r="A1414" s="20" t="n">
        <v>46094</v>
      </c>
      <c r="B1414" s="15" t="s">
        <v>514</v>
      </c>
      <c r="C1414" s="15" t="s">
        <v>55</v>
      </c>
      <c r="D1414" s="15" t="s">
        <v>539</v>
      </c>
      <c r="E1414" s="15" t="n">
        <v>5</v>
      </c>
      <c r="H1414" s="10"/>
      <c r="I1414" s="21"/>
      <c r="M1414" s="10"/>
      <c r="N1414" s="10"/>
      <c r="P1414" s="10"/>
      <c r="Q1414" s="22"/>
    </row>
    <row r="1415" customFormat="false" ht="15.75" hidden="false" customHeight="false" outlineLevel="0" collapsed="false">
      <c r="A1415" s="20" t="n">
        <v>46094</v>
      </c>
      <c r="B1415" s="15" t="s">
        <v>514</v>
      </c>
      <c r="C1415" s="15" t="s">
        <v>57</v>
      </c>
      <c r="D1415" s="15" t="s">
        <v>553</v>
      </c>
      <c r="E1415" s="15" t="n">
        <v>1</v>
      </c>
      <c r="H1415" s="10"/>
      <c r="I1415" s="21"/>
      <c r="M1415" s="10"/>
      <c r="N1415" s="10"/>
      <c r="P1415" s="10"/>
      <c r="Q1415" s="22"/>
    </row>
    <row r="1416" customFormat="false" ht="15.75" hidden="false" customHeight="false" outlineLevel="0" collapsed="false">
      <c r="A1416" s="20" t="n">
        <v>46094</v>
      </c>
      <c r="B1416" s="15" t="s">
        <v>514</v>
      </c>
      <c r="C1416" s="15" t="s">
        <v>49</v>
      </c>
      <c r="D1416" s="15" t="s">
        <v>537</v>
      </c>
      <c r="E1416" s="15" t="n">
        <v>1</v>
      </c>
      <c r="H1416" s="10"/>
      <c r="I1416" s="21"/>
      <c r="M1416" s="10"/>
      <c r="N1416" s="10"/>
      <c r="P1416" s="10"/>
      <c r="Q1416" s="22"/>
    </row>
    <row r="1417" customFormat="false" ht="15.75" hidden="false" customHeight="false" outlineLevel="0" collapsed="false">
      <c r="A1417" s="20" t="n">
        <v>46094</v>
      </c>
      <c r="B1417" s="15" t="s">
        <v>514</v>
      </c>
      <c r="C1417" s="15" t="s">
        <v>47</v>
      </c>
      <c r="D1417" s="15" t="s">
        <v>549</v>
      </c>
      <c r="E1417" s="15" t="n">
        <v>4</v>
      </c>
      <c r="H1417" s="10"/>
      <c r="I1417" s="21"/>
      <c r="M1417" s="10"/>
      <c r="N1417" s="10"/>
      <c r="P1417" s="10"/>
      <c r="Q1417" s="22"/>
    </row>
    <row r="1418" customFormat="false" ht="15.75" hidden="false" customHeight="false" outlineLevel="0" collapsed="false">
      <c r="A1418" s="20" t="n">
        <v>46094</v>
      </c>
      <c r="B1418" s="15" t="s">
        <v>514</v>
      </c>
      <c r="C1418" s="15" t="s">
        <v>81</v>
      </c>
      <c r="D1418" s="15" t="s">
        <v>534</v>
      </c>
      <c r="E1418" s="15" t="n">
        <v>7</v>
      </c>
      <c r="H1418" s="10"/>
      <c r="I1418" s="21"/>
      <c r="M1418" s="10"/>
      <c r="N1418" s="10"/>
      <c r="P1418" s="10"/>
      <c r="Q1418" s="22"/>
    </row>
    <row r="1419" customFormat="false" ht="15.75" hidden="false" customHeight="false" outlineLevel="0" collapsed="false">
      <c r="A1419" s="20" t="n">
        <v>46094</v>
      </c>
      <c r="B1419" s="15" t="s">
        <v>514</v>
      </c>
      <c r="C1419" s="15" t="s">
        <v>63</v>
      </c>
      <c r="D1419" s="15" t="s">
        <v>551</v>
      </c>
      <c r="E1419" s="15" t="n">
        <v>1</v>
      </c>
      <c r="H1419" s="10"/>
      <c r="I1419" s="21"/>
      <c r="M1419" s="10"/>
      <c r="N1419" s="10"/>
      <c r="P1419" s="10"/>
      <c r="Q1419" s="22"/>
    </row>
    <row r="1420" customFormat="false" ht="15.75" hidden="false" customHeight="false" outlineLevel="0" collapsed="false">
      <c r="A1420" s="20" t="n">
        <v>46094</v>
      </c>
      <c r="B1420" s="15" t="s">
        <v>514</v>
      </c>
      <c r="C1420" s="15" t="s">
        <v>17</v>
      </c>
      <c r="D1420" s="15" t="s">
        <v>554</v>
      </c>
      <c r="E1420" s="15" t="n">
        <v>1</v>
      </c>
      <c r="H1420" s="10"/>
      <c r="I1420" s="21"/>
      <c r="M1420" s="10"/>
      <c r="N1420" s="10"/>
      <c r="P1420" s="10"/>
      <c r="Q1420" s="22"/>
    </row>
    <row r="1421" customFormat="false" ht="15.75" hidden="false" customHeight="false" outlineLevel="0" collapsed="false">
      <c r="A1421" s="20" t="n">
        <v>46094</v>
      </c>
      <c r="B1421" s="15" t="s">
        <v>518</v>
      </c>
      <c r="C1421" s="15" t="s">
        <v>69</v>
      </c>
      <c r="D1421" s="15" t="s">
        <v>535</v>
      </c>
      <c r="E1421" s="15" t="n">
        <v>6</v>
      </c>
      <c r="H1421" s="10"/>
      <c r="I1421" s="21"/>
      <c r="M1421" s="10"/>
      <c r="N1421" s="10"/>
      <c r="P1421" s="10"/>
      <c r="Q1421" s="22"/>
    </row>
    <row r="1422" customFormat="false" ht="15.75" hidden="false" customHeight="false" outlineLevel="0" collapsed="false">
      <c r="A1422" s="20" t="n">
        <v>46094</v>
      </c>
      <c r="B1422" s="15" t="s">
        <v>518</v>
      </c>
      <c r="C1422" s="15" t="s">
        <v>33</v>
      </c>
      <c r="D1422" s="15" t="s">
        <v>536</v>
      </c>
      <c r="E1422" s="15" t="n">
        <v>6</v>
      </c>
      <c r="H1422" s="10"/>
      <c r="I1422" s="21"/>
      <c r="M1422" s="10"/>
      <c r="N1422" s="10"/>
      <c r="P1422" s="10"/>
      <c r="Q1422" s="22"/>
    </row>
    <row r="1423" customFormat="false" ht="15.75" hidden="false" customHeight="false" outlineLevel="0" collapsed="false">
      <c r="A1423" s="20" t="n">
        <v>46094</v>
      </c>
      <c r="B1423" s="15" t="s">
        <v>518</v>
      </c>
      <c r="C1423" s="15" t="s">
        <v>47</v>
      </c>
      <c r="D1423" s="15" t="s">
        <v>549</v>
      </c>
      <c r="E1423" s="15" t="n">
        <v>2</v>
      </c>
      <c r="H1423" s="10"/>
      <c r="I1423" s="21"/>
      <c r="M1423" s="10"/>
      <c r="N1423" s="10"/>
      <c r="P1423" s="10"/>
      <c r="Q1423" s="22"/>
    </row>
    <row r="1424" customFormat="false" ht="15.75" hidden="false" customHeight="false" outlineLevel="0" collapsed="false">
      <c r="A1424" s="20" t="n">
        <v>46094</v>
      </c>
      <c r="B1424" s="15" t="s">
        <v>518</v>
      </c>
      <c r="C1424" s="15" t="s">
        <v>51</v>
      </c>
      <c r="D1424" s="15" t="s">
        <v>573</v>
      </c>
      <c r="E1424" s="15" t="n">
        <v>1</v>
      </c>
      <c r="H1424" s="10"/>
      <c r="I1424" s="21"/>
      <c r="M1424" s="10"/>
      <c r="N1424" s="10"/>
      <c r="P1424" s="10"/>
      <c r="Q1424" s="22"/>
    </row>
    <row r="1425" customFormat="false" ht="15.75" hidden="false" customHeight="false" outlineLevel="0" collapsed="false">
      <c r="A1425" s="20" t="n">
        <v>46094</v>
      </c>
      <c r="B1425" s="15" t="s">
        <v>518</v>
      </c>
      <c r="C1425" s="15" t="s">
        <v>55</v>
      </c>
      <c r="D1425" s="15" t="s">
        <v>539</v>
      </c>
      <c r="E1425" s="15" t="n">
        <v>2</v>
      </c>
      <c r="H1425" s="10"/>
      <c r="I1425" s="21"/>
      <c r="M1425" s="10"/>
      <c r="N1425" s="10"/>
      <c r="P1425" s="10"/>
      <c r="Q1425" s="22"/>
    </row>
    <row r="1426" customFormat="false" ht="15.75" hidden="false" customHeight="false" outlineLevel="0" collapsed="false">
      <c r="A1426" s="20" t="n">
        <v>46094</v>
      </c>
      <c r="B1426" s="15" t="s">
        <v>518</v>
      </c>
      <c r="C1426" s="15" t="s">
        <v>37</v>
      </c>
      <c r="D1426" s="15" t="s">
        <v>561</v>
      </c>
      <c r="E1426" s="15" t="n">
        <v>2</v>
      </c>
      <c r="H1426" s="10"/>
      <c r="I1426" s="21"/>
      <c r="M1426" s="10"/>
      <c r="N1426" s="10"/>
      <c r="P1426" s="10"/>
      <c r="Q1426" s="22"/>
    </row>
    <row r="1427" customFormat="false" ht="15.75" hidden="false" customHeight="false" outlineLevel="0" collapsed="false">
      <c r="A1427" s="20" t="n">
        <v>46094</v>
      </c>
      <c r="B1427" s="15" t="s">
        <v>518</v>
      </c>
      <c r="C1427" s="15" t="s">
        <v>547</v>
      </c>
      <c r="D1427" s="15" t="s">
        <v>548</v>
      </c>
      <c r="E1427" s="15" t="n">
        <v>1</v>
      </c>
      <c r="H1427" s="10"/>
      <c r="I1427" s="21"/>
      <c r="M1427" s="10"/>
      <c r="N1427" s="10"/>
      <c r="P1427" s="10"/>
      <c r="Q1427" s="22"/>
    </row>
    <row r="1428" customFormat="false" ht="15.75" hidden="false" customHeight="false" outlineLevel="0" collapsed="false">
      <c r="A1428" s="20" t="n">
        <v>46094</v>
      </c>
      <c r="B1428" s="15" t="s">
        <v>518</v>
      </c>
      <c r="C1428" s="15" t="s">
        <v>81</v>
      </c>
      <c r="D1428" s="15" t="s">
        <v>534</v>
      </c>
      <c r="E1428" s="15" t="n">
        <v>1</v>
      </c>
      <c r="H1428" s="10"/>
      <c r="I1428" s="21"/>
      <c r="M1428" s="10"/>
      <c r="N1428" s="10"/>
      <c r="P1428" s="10"/>
      <c r="Q1428" s="22"/>
    </row>
    <row r="1429" customFormat="false" ht="15.75" hidden="false" customHeight="false" outlineLevel="0" collapsed="false">
      <c r="A1429" s="20" t="n">
        <v>46094</v>
      </c>
      <c r="B1429" s="15" t="s">
        <v>519</v>
      </c>
      <c r="C1429" s="15" t="s">
        <v>69</v>
      </c>
      <c r="D1429" s="15" t="s">
        <v>535</v>
      </c>
      <c r="E1429" s="15" t="n">
        <v>6</v>
      </c>
      <c r="H1429" s="10"/>
      <c r="I1429" s="21"/>
      <c r="M1429" s="10"/>
      <c r="N1429" s="10"/>
      <c r="P1429" s="10"/>
      <c r="Q1429" s="22"/>
    </row>
    <row r="1430" customFormat="false" ht="15.75" hidden="false" customHeight="false" outlineLevel="0" collapsed="false">
      <c r="A1430" s="20" t="n">
        <v>46094</v>
      </c>
      <c r="B1430" s="15" t="s">
        <v>519</v>
      </c>
      <c r="C1430" s="15" t="s">
        <v>33</v>
      </c>
      <c r="D1430" s="15" t="s">
        <v>536</v>
      </c>
      <c r="E1430" s="15" t="n">
        <v>6</v>
      </c>
      <c r="H1430" s="10"/>
      <c r="I1430" s="21"/>
      <c r="M1430" s="10"/>
      <c r="N1430" s="10"/>
      <c r="P1430" s="10"/>
      <c r="Q1430" s="22"/>
    </row>
    <row r="1431" customFormat="false" ht="15.75" hidden="false" customHeight="false" outlineLevel="0" collapsed="false">
      <c r="A1431" s="20" t="n">
        <v>46094</v>
      </c>
      <c r="B1431" s="15" t="s">
        <v>519</v>
      </c>
      <c r="C1431" s="15" t="s">
        <v>55</v>
      </c>
      <c r="D1431" s="15" t="s">
        <v>539</v>
      </c>
      <c r="E1431" s="15" t="n">
        <v>2</v>
      </c>
      <c r="H1431" s="10"/>
      <c r="I1431" s="21"/>
      <c r="M1431" s="10"/>
      <c r="N1431" s="10"/>
      <c r="P1431" s="10"/>
      <c r="Q1431" s="22"/>
    </row>
    <row r="1432" customFormat="false" ht="15.75" hidden="false" customHeight="false" outlineLevel="0" collapsed="false">
      <c r="A1432" s="20" t="n">
        <v>46094</v>
      </c>
      <c r="B1432" s="15" t="s">
        <v>519</v>
      </c>
      <c r="C1432" s="15" t="s">
        <v>51</v>
      </c>
      <c r="D1432" s="15" t="s">
        <v>573</v>
      </c>
      <c r="E1432" s="15" t="n">
        <v>1</v>
      </c>
      <c r="H1432" s="10"/>
      <c r="I1432" s="21"/>
      <c r="M1432" s="10"/>
      <c r="N1432" s="10"/>
      <c r="P1432" s="10"/>
      <c r="Q1432" s="22"/>
    </row>
    <row r="1433" customFormat="false" ht="15.75" hidden="false" customHeight="false" outlineLevel="0" collapsed="false">
      <c r="A1433" s="20" t="n">
        <v>46094</v>
      </c>
      <c r="B1433" s="15" t="s">
        <v>519</v>
      </c>
      <c r="C1433" s="15" t="s">
        <v>47</v>
      </c>
      <c r="D1433" s="15" t="s">
        <v>549</v>
      </c>
      <c r="E1433" s="15" t="n">
        <v>1</v>
      </c>
      <c r="H1433" s="10"/>
      <c r="I1433" s="21"/>
      <c r="M1433" s="10"/>
      <c r="N1433" s="10"/>
      <c r="P1433" s="10"/>
      <c r="Q1433" s="22"/>
    </row>
    <row r="1434" customFormat="false" ht="15.75" hidden="false" customHeight="false" outlineLevel="0" collapsed="false">
      <c r="A1434" s="20" t="n">
        <v>46094</v>
      </c>
      <c r="B1434" s="15" t="s">
        <v>519</v>
      </c>
      <c r="C1434" s="15" t="s">
        <v>81</v>
      </c>
      <c r="D1434" s="15" t="s">
        <v>534</v>
      </c>
      <c r="E1434" s="15" t="n">
        <v>1</v>
      </c>
      <c r="H1434" s="10"/>
      <c r="I1434" s="21"/>
      <c r="M1434" s="10"/>
      <c r="N1434" s="10"/>
      <c r="P1434" s="10"/>
      <c r="Q1434" s="22"/>
    </row>
    <row r="1435" customFormat="false" ht="15.75" hidden="false" customHeight="false" outlineLevel="0" collapsed="false">
      <c r="A1435" s="20" t="n">
        <v>46094</v>
      </c>
      <c r="B1435" s="15" t="s">
        <v>519</v>
      </c>
      <c r="C1435" s="15" t="s">
        <v>547</v>
      </c>
      <c r="D1435" s="15" t="s">
        <v>548</v>
      </c>
      <c r="E1435" s="15" t="n">
        <v>1</v>
      </c>
      <c r="H1435" s="10"/>
      <c r="I1435" s="21"/>
      <c r="M1435" s="10"/>
      <c r="N1435" s="10"/>
      <c r="P1435" s="10"/>
      <c r="Q1435" s="22"/>
    </row>
    <row r="1436" customFormat="false" ht="15.75" hidden="false" customHeight="false" outlineLevel="0" collapsed="false">
      <c r="A1436" s="20" t="n">
        <v>46095</v>
      </c>
      <c r="B1436" s="15" t="s">
        <v>496</v>
      </c>
      <c r="C1436" s="15" t="s">
        <v>81</v>
      </c>
      <c r="D1436" s="15" t="s">
        <v>534</v>
      </c>
      <c r="E1436" s="15" t="n">
        <v>7</v>
      </c>
      <c r="H1436" s="10"/>
      <c r="I1436" s="21"/>
      <c r="M1436" s="10"/>
      <c r="N1436" s="10"/>
      <c r="P1436" s="10"/>
      <c r="Q1436" s="22"/>
    </row>
    <row r="1437" customFormat="false" ht="15.75" hidden="false" customHeight="false" outlineLevel="0" collapsed="false">
      <c r="A1437" s="20" t="n">
        <v>46095</v>
      </c>
      <c r="B1437" s="15" t="s">
        <v>496</v>
      </c>
      <c r="C1437" s="15" t="s">
        <v>47</v>
      </c>
      <c r="D1437" s="15" t="s">
        <v>549</v>
      </c>
      <c r="E1437" s="15" t="n">
        <v>4</v>
      </c>
      <c r="H1437" s="10"/>
      <c r="I1437" s="21"/>
      <c r="M1437" s="10"/>
      <c r="N1437" s="10"/>
      <c r="P1437" s="10"/>
      <c r="Q1437" s="22"/>
    </row>
    <row r="1438" customFormat="false" ht="15.75" hidden="false" customHeight="false" outlineLevel="0" collapsed="false">
      <c r="A1438" s="20" t="n">
        <v>46095</v>
      </c>
      <c r="B1438" s="15" t="s">
        <v>496</v>
      </c>
      <c r="C1438" s="15" t="s">
        <v>55</v>
      </c>
      <c r="D1438" s="15" t="s">
        <v>539</v>
      </c>
      <c r="E1438" s="15" t="n">
        <v>2</v>
      </c>
      <c r="H1438" s="10"/>
      <c r="I1438" s="21"/>
      <c r="M1438" s="10"/>
      <c r="N1438" s="10"/>
      <c r="P1438" s="10"/>
      <c r="Q1438" s="22"/>
    </row>
    <row r="1439" customFormat="false" ht="15.75" hidden="false" customHeight="false" outlineLevel="0" collapsed="false">
      <c r="A1439" s="20" t="n">
        <v>46095</v>
      </c>
      <c r="B1439" s="15" t="s">
        <v>496</v>
      </c>
      <c r="C1439" s="15" t="s">
        <v>567</v>
      </c>
      <c r="D1439" s="15" t="s">
        <v>568</v>
      </c>
      <c r="E1439" s="15" t="n">
        <v>3</v>
      </c>
      <c r="H1439" s="10"/>
      <c r="I1439" s="21"/>
      <c r="M1439" s="10"/>
      <c r="N1439" s="10"/>
      <c r="P1439" s="10"/>
      <c r="Q1439" s="22"/>
    </row>
    <row r="1440" customFormat="false" ht="15.75" hidden="false" customHeight="false" outlineLevel="0" collapsed="false">
      <c r="A1440" s="20" t="n">
        <v>46095</v>
      </c>
      <c r="B1440" s="15" t="s">
        <v>496</v>
      </c>
      <c r="C1440" s="15" t="s">
        <v>545</v>
      </c>
      <c r="D1440" s="15" t="s">
        <v>546</v>
      </c>
      <c r="E1440" s="15" t="n">
        <v>3</v>
      </c>
      <c r="H1440" s="10"/>
      <c r="I1440" s="21"/>
      <c r="M1440" s="10"/>
      <c r="N1440" s="10"/>
      <c r="P1440" s="10"/>
      <c r="Q1440" s="22"/>
    </row>
    <row r="1441" customFormat="false" ht="15.75" hidden="false" customHeight="false" outlineLevel="0" collapsed="false">
      <c r="A1441" s="20" t="n">
        <v>46095</v>
      </c>
      <c r="B1441" s="15" t="s">
        <v>496</v>
      </c>
      <c r="C1441" s="15" t="s">
        <v>547</v>
      </c>
      <c r="D1441" s="15" t="s">
        <v>548</v>
      </c>
      <c r="E1441" s="15" t="n">
        <v>1</v>
      </c>
      <c r="H1441" s="10"/>
      <c r="I1441" s="21"/>
      <c r="M1441" s="10"/>
      <c r="N1441" s="10"/>
      <c r="P1441" s="10"/>
      <c r="Q1441" s="22"/>
    </row>
    <row r="1442" customFormat="false" ht="15.75" hidden="false" customHeight="false" outlineLevel="0" collapsed="false">
      <c r="A1442" s="20" t="n">
        <v>46095</v>
      </c>
      <c r="B1442" s="15" t="s">
        <v>496</v>
      </c>
      <c r="C1442" s="15" t="s">
        <v>555</v>
      </c>
      <c r="D1442" s="15" t="s">
        <v>556</v>
      </c>
      <c r="E1442" s="15" t="n">
        <v>4</v>
      </c>
      <c r="H1442" s="10"/>
      <c r="I1442" s="21"/>
      <c r="M1442" s="10"/>
      <c r="N1442" s="10"/>
      <c r="P1442" s="10"/>
      <c r="Q1442" s="22"/>
    </row>
    <row r="1443" customFormat="false" ht="15.75" hidden="false" customHeight="false" outlineLevel="0" collapsed="false">
      <c r="A1443" s="20" t="n">
        <v>46095</v>
      </c>
      <c r="B1443" s="15" t="s">
        <v>496</v>
      </c>
      <c r="C1443" s="15" t="s">
        <v>541</v>
      </c>
      <c r="D1443" s="15" t="s">
        <v>542</v>
      </c>
      <c r="E1443" s="15" t="n">
        <v>4</v>
      </c>
      <c r="H1443" s="10"/>
      <c r="I1443" s="21"/>
      <c r="M1443" s="10"/>
      <c r="N1443" s="10"/>
      <c r="P1443" s="10"/>
      <c r="Q1443" s="22"/>
    </row>
    <row r="1444" customFormat="false" ht="15.75" hidden="false" customHeight="false" outlineLevel="0" collapsed="false">
      <c r="A1444" s="20" t="n">
        <v>46095</v>
      </c>
      <c r="B1444" s="15" t="s">
        <v>496</v>
      </c>
      <c r="C1444" s="15" t="s">
        <v>45</v>
      </c>
      <c r="D1444" s="15" t="s">
        <v>540</v>
      </c>
      <c r="E1444" s="15" t="n">
        <v>1</v>
      </c>
      <c r="H1444" s="10"/>
      <c r="I1444" s="21"/>
      <c r="M1444" s="10"/>
      <c r="N1444" s="10"/>
      <c r="P1444" s="10"/>
      <c r="Q1444" s="22"/>
    </row>
    <row r="1445" customFormat="false" ht="15.75" hidden="false" customHeight="false" outlineLevel="0" collapsed="false">
      <c r="A1445" s="20" t="n">
        <v>46095</v>
      </c>
      <c r="B1445" s="15" t="s">
        <v>496</v>
      </c>
      <c r="C1445" s="15" t="s">
        <v>37</v>
      </c>
      <c r="D1445" s="15" t="s">
        <v>561</v>
      </c>
      <c r="E1445" s="15" t="n">
        <v>1</v>
      </c>
      <c r="H1445" s="10"/>
      <c r="I1445" s="21"/>
      <c r="M1445" s="10"/>
      <c r="N1445" s="10"/>
      <c r="P1445" s="10"/>
      <c r="Q1445" s="22"/>
    </row>
    <row r="1446" customFormat="false" ht="15.75" hidden="false" customHeight="false" outlineLevel="0" collapsed="false">
      <c r="A1446" s="20" t="n">
        <v>46095</v>
      </c>
      <c r="B1446" s="15" t="s">
        <v>496</v>
      </c>
      <c r="C1446" s="15" t="s">
        <v>543</v>
      </c>
      <c r="D1446" s="15" t="s">
        <v>544</v>
      </c>
      <c r="E1446" s="15" t="n">
        <v>4</v>
      </c>
      <c r="H1446" s="10"/>
      <c r="I1446" s="21"/>
      <c r="M1446" s="10"/>
      <c r="N1446" s="10"/>
      <c r="P1446" s="10"/>
      <c r="Q1446" s="22"/>
    </row>
    <row r="1447" customFormat="false" ht="15.75" hidden="false" customHeight="false" outlineLevel="0" collapsed="false">
      <c r="A1447" s="20" t="n">
        <v>46095</v>
      </c>
      <c r="B1447" s="15" t="s">
        <v>496</v>
      </c>
      <c r="C1447" s="15" t="s">
        <v>69</v>
      </c>
      <c r="D1447" s="15" t="s">
        <v>535</v>
      </c>
      <c r="E1447" s="15" t="n">
        <v>2</v>
      </c>
      <c r="H1447" s="10"/>
      <c r="I1447" s="21"/>
      <c r="M1447" s="10"/>
      <c r="N1447" s="10"/>
      <c r="P1447" s="10"/>
      <c r="Q1447" s="22"/>
    </row>
    <row r="1448" customFormat="false" ht="15.75" hidden="false" customHeight="false" outlineLevel="0" collapsed="false">
      <c r="A1448" s="20" t="n">
        <v>46095</v>
      </c>
      <c r="B1448" s="15" t="s">
        <v>496</v>
      </c>
      <c r="C1448" s="15" t="s">
        <v>77</v>
      </c>
      <c r="D1448" s="15" t="s">
        <v>78</v>
      </c>
      <c r="E1448" s="15" t="n">
        <v>2</v>
      </c>
      <c r="H1448" s="10"/>
      <c r="I1448" s="21"/>
      <c r="M1448" s="10"/>
      <c r="N1448" s="10"/>
      <c r="P1448" s="10"/>
      <c r="Q1448" s="22"/>
    </row>
    <row r="1449" customFormat="false" ht="15.75" hidden="false" customHeight="false" outlineLevel="0" collapsed="false">
      <c r="A1449" s="20" t="n">
        <v>46095</v>
      </c>
      <c r="B1449" s="15" t="s">
        <v>496</v>
      </c>
      <c r="C1449" s="15" t="s">
        <v>59</v>
      </c>
      <c r="D1449" s="15" t="s">
        <v>562</v>
      </c>
      <c r="E1449" s="15" t="n">
        <v>2</v>
      </c>
      <c r="H1449" s="10"/>
      <c r="I1449" s="21"/>
      <c r="M1449" s="10"/>
      <c r="N1449" s="10"/>
      <c r="P1449" s="10"/>
      <c r="Q1449" s="22"/>
    </row>
    <row r="1450" customFormat="false" ht="15.75" hidden="false" customHeight="false" outlineLevel="0" collapsed="false">
      <c r="A1450" s="20" t="n">
        <v>46095</v>
      </c>
      <c r="B1450" s="15" t="s">
        <v>496</v>
      </c>
      <c r="C1450" s="15" t="s">
        <v>33</v>
      </c>
      <c r="D1450" s="15" t="s">
        <v>536</v>
      </c>
      <c r="E1450" s="15" t="n">
        <v>2</v>
      </c>
      <c r="H1450" s="10"/>
      <c r="I1450" s="21"/>
      <c r="M1450" s="10"/>
      <c r="N1450" s="10"/>
      <c r="P1450" s="10"/>
      <c r="Q1450" s="22"/>
    </row>
    <row r="1451" customFormat="false" ht="15.75" hidden="false" customHeight="false" outlineLevel="0" collapsed="false">
      <c r="A1451" s="20" t="n">
        <v>46095</v>
      </c>
      <c r="B1451" s="15" t="s">
        <v>496</v>
      </c>
      <c r="C1451" s="15" t="s">
        <v>79</v>
      </c>
      <c r="D1451" s="15" t="s">
        <v>564</v>
      </c>
      <c r="E1451" s="15" t="n">
        <v>1</v>
      </c>
      <c r="H1451" s="10"/>
      <c r="I1451" s="21"/>
      <c r="M1451" s="10"/>
      <c r="N1451" s="10"/>
      <c r="P1451" s="10"/>
      <c r="Q1451" s="22"/>
    </row>
    <row r="1452" customFormat="false" ht="15.75" hidden="false" customHeight="false" outlineLevel="0" collapsed="false">
      <c r="A1452" s="20" t="n">
        <v>46095</v>
      </c>
      <c r="B1452" s="15" t="s">
        <v>496</v>
      </c>
      <c r="C1452" s="15" t="s">
        <v>65</v>
      </c>
      <c r="D1452" s="15" t="s">
        <v>580</v>
      </c>
      <c r="E1452" s="15" t="n">
        <v>1</v>
      </c>
      <c r="H1452" s="10"/>
      <c r="I1452" s="21"/>
      <c r="M1452" s="10"/>
      <c r="N1452" s="10"/>
      <c r="P1452" s="10"/>
      <c r="Q1452" s="22"/>
    </row>
    <row r="1453" customFormat="false" ht="15.75" hidden="false" customHeight="false" outlineLevel="0" collapsed="false">
      <c r="A1453" s="20" t="n">
        <v>46097</v>
      </c>
      <c r="B1453" s="15" t="s">
        <v>469</v>
      </c>
      <c r="C1453" s="15" t="s">
        <v>69</v>
      </c>
      <c r="D1453" s="15" t="s">
        <v>535</v>
      </c>
      <c r="E1453" s="15" t="n">
        <v>5</v>
      </c>
      <c r="H1453" s="10"/>
      <c r="I1453" s="21"/>
      <c r="M1453" s="10"/>
      <c r="N1453" s="10"/>
      <c r="P1453" s="10"/>
      <c r="Q1453" s="22"/>
    </row>
    <row r="1454" customFormat="false" ht="15.75" hidden="false" customHeight="false" outlineLevel="0" collapsed="false">
      <c r="A1454" s="20" t="n">
        <v>46097</v>
      </c>
      <c r="B1454" s="15" t="s">
        <v>469</v>
      </c>
      <c r="C1454" s="15" t="s">
        <v>55</v>
      </c>
      <c r="D1454" s="15" t="s">
        <v>539</v>
      </c>
      <c r="E1454" s="15" t="n">
        <v>2</v>
      </c>
      <c r="H1454" s="10"/>
      <c r="I1454" s="21"/>
      <c r="M1454" s="10"/>
      <c r="N1454" s="10"/>
      <c r="P1454" s="10"/>
      <c r="Q1454" s="22"/>
    </row>
    <row r="1455" customFormat="false" ht="15.75" hidden="false" customHeight="false" outlineLevel="0" collapsed="false">
      <c r="A1455" s="20" t="n">
        <v>46097</v>
      </c>
      <c r="B1455" s="15" t="s">
        <v>469</v>
      </c>
      <c r="C1455" s="15" t="s">
        <v>33</v>
      </c>
      <c r="D1455" s="15" t="s">
        <v>536</v>
      </c>
      <c r="E1455" s="15" t="n">
        <v>5</v>
      </c>
      <c r="H1455" s="10"/>
      <c r="I1455" s="21"/>
      <c r="M1455" s="10"/>
      <c r="N1455" s="10"/>
      <c r="P1455" s="10"/>
      <c r="Q1455" s="22"/>
    </row>
    <row r="1456" customFormat="false" ht="15.75" hidden="false" customHeight="false" outlineLevel="0" collapsed="false">
      <c r="A1456" s="20" t="n">
        <v>46097</v>
      </c>
      <c r="B1456" s="15" t="s">
        <v>469</v>
      </c>
      <c r="C1456" s="15" t="s">
        <v>547</v>
      </c>
      <c r="D1456" s="15" t="s">
        <v>548</v>
      </c>
      <c r="E1456" s="15" t="n">
        <v>1</v>
      </c>
      <c r="H1456" s="10"/>
      <c r="I1456" s="21"/>
      <c r="M1456" s="10"/>
      <c r="N1456" s="10"/>
      <c r="P1456" s="10"/>
      <c r="Q1456" s="22"/>
    </row>
    <row r="1457" customFormat="false" ht="15.75" hidden="false" customHeight="false" outlineLevel="0" collapsed="false">
      <c r="A1457" s="20" t="n">
        <v>46097</v>
      </c>
      <c r="B1457" s="15" t="s">
        <v>469</v>
      </c>
      <c r="C1457" s="15" t="s">
        <v>81</v>
      </c>
      <c r="D1457" s="15" t="s">
        <v>534</v>
      </c>
      <c r="E1457" s="15" t="n">
        <v>2</v>
      </c>
      <c r="H1457" s="10"/>
      <c r="I1457" s="21"/>
      <c r="M1457" s="10"/>
      <c r="N1457" s="10"/>
      <c r="P1457" s="10"/>
      <c r="Q1457" s="22"/>
    </row>
    <row r="1458" customFormat="false" ht="15.75" hidden="false" customHeight="false" outlineLevel="0" collapsed="false">
      <c r="A1458" s="20" t="n">
        <v>46097</v>
      </c>
      <c r="B1458" s="15" t="s">
        <v>473</v>
      </c>
      <c r="C1458" s="15" t="s">
        <v>555</v>
      </c>
      <c r="D1458" s="15" t="s">
        <v>556</v>
      </c>
      <c r="E1458" s="15" t="n">
        <v>4</v>
      </c>
      <c r="H1458" s="10"/>
      <c r="I1458" s="21"/>
      <c r="M1458" s="10"/>
      <c r="N1458" s="10"/>
      <c r="P1458" s="10"/>
      <c r="Q1458" s="22"/>
    </row>
    <row r="1459" customFormat="false" ht="15.75" hidden="false" customHeight="false" outlineLevel="0" collapsed="false">
      <c r="A1459" s="20" t="n">
        <v>46097</v>
      </c>
      <c r="B1459" s="15" t="s">
        <v>473</v>
      </c>
      <c r="C1459" s="15" t="s">
        <v>11</v>
      </c>
      <c r="D1459" s="15" t="s">
        <v>572</v>
      </c>
      <c r="E1459" s="15" t="n">
        <v>4</v>
      </c>
      <c r="H1459" s="10"/>
      <c r="I1459" s="21"/>
      <c r="M1459" s="10"/>
      <c r="N1459" s="10"/>
      <c r="P1459" s="10"/>
      <c r="Q1459" s="22"/>
    </row>
    <row r="1460" customFormat="false" ht="15.75" hidden="false" customHeight="false" outlineLevel="0" collapsed="false">
      <c r="A1460" s="20" t="n">
        <v>46097</v>
      </c>
      <c r="B1460" s="15" t="s">
        <v>473</v>
      </c>
      <c r="C1460" s="15" t="s">
        <v>543</v>
      </c>
      <c r="D1460" s="15" t="s">
        <v>544</v>
      </c>
      <c r="E1460" s="15" t="n">
        <v>4</v>
      </c>
      <c r="H1460" s="10"/>
      <c r="I1460" s="21"/>
      <c r="M1460" s="10"/>
      <c r="N1460" s="10"/>
      <c r="P1460" s="10"/>
      <c r="Q1460" s="22"/>
    </row>
    <row r="1461" customFormat="false" ht="15.75" hidden="false" customHeight="false" outlineLevel="0" collapsed="false">
      <c r="A1461" s="20" t="n">
        <v>46097</v>
      </c>
      <c r="B1461" s="15" t="s">
        <v>473</v>
      </c>
      <c r="C1461" s="15" t="s">
        <v>91</v>
      </c>
      <c r="D1461" s="15" t="s">
        <v>91</v>
      </c>
      <c r="E1461" s="15" t="n">
        <v>4</v>
      </c>
      <c r="H1461" s="10"/>
      <c r="I1461" s="21"/>
      <c r="M1461" s="10"/>
      <c r="N1461" s="10"/>
      <c r="P1461" s="10"/>
      <c r="Q1461" s="22"/>
    </row>
    <row r="1462" customFormat="false" ht="15.75" hidden="false" customHeight="false" outlineLevel="0" collapsed="false">
      <c r="A1462" s="20" t="n">
        <v>46097</v>
      </c>
      <c r="B1462" s="15" t="s">
        <v>473</v>
      </c>
      <c r="C1462" s="15" t="s">
        <v>25</v>
      </c>
      <c r="D1462" s="15" t="s">
        <v>26</v>
      </c>
      <c r="E1462" s="15" t="n">
        <v>4</v>
      </c>
      <c r="H1462" s="10"/>
      <c r="I1462" s="21"/>
      <c r="M1462" s="10"/>
      <c r="N1462" s="10"/>
      <c r="P1462" s="10"/>
      <c r="Q1462" s="22"/>
    </row>
    <row r="1463" customFormat="false" ht="15.75" hidden="false" customHeight="false" outlineLevel="0" collapsed="false">
      <c r="A1463" s="20" t="n">
        <v>46097</v>
      </c>
      <c r="B1463" s="15" t="s">
        <v>487</v>
      </c>
      <c r="C1463" s="15" t="s">
        <v>55</v>
      </c>
      <c r="D1463" s="15" t="s">
        <v>539</v>
      </c>
      <c r="E1463" s="15" t="n">
        <v>1</v>
      </c>
      <c r="H1463" s="10"/>
      <c r="I1463" s="21"/>
      <c r="M1463" s="10"/>
      <c r="N1463" s="10"/>
      <c r="P1463" s="10"/>
      <c r="Q1463" s="22"/>
    </row>
    <row r="1464" customFormat="false" ht="15.75" hidden="false" customHeight="false" outlineLevel="0" collapsed="false">
      <c r="A1464" s="20" t="n">
        <v>46097</v>
      </c>
      <c r="B1464" s="15" t="s">
        <v>487</v>
      </c>
      <c r="C1464" s="15" t="s">
        <v>81</v>
      </c>
      <c r="D1464" s="15" t="s">
        <v>534</v>
      </c>
      <c r="E1464" s="15" t="n">
        <v>9</v>
      </c>
      <c r="H1464" s="10"/>
      <c r="I1464" s="21"/>
      <c r="M1464" s="10"/>
      <c r="N1464" s="10"/>
      <c r="P1464" s="10"/>
      <c r="Q1464" s="22"/>
    </row>
    <row r="1465" customFormat="false" ht="15.75" hidden="false" customHeight="false" outlineLevel="0" collapsed="false">
      <c r="A1465" s="20" t="n">
        <v>46097</v>
      </c>
      <c r="B1465" s="15" t="s">
        <v>487</v>
      </c>
      <c r="C1465" s="15" t="s">
        <v>555</v>
      </c>
      <c r="D1465" s="15" t="s">
        <v>556</v>
      </c>
      <c r="E1465" s="15" t="n">
        <v>1</v>
      </c>
      <c r="H1465" s="10"/>
      <c r="I1465" s="21"/>
      <c r="M1465" s="10"/>
      <c r="N1465" s="10"/>
      <c r="P1465" s="10"/>
      <c r="Q1465" s="22"/>
    </row>
    <row r="1466" customFormat="false" ht="15.75" hidden="false" customHeight="false" outlineLevel="0" collapsed="false">
      <c r="A1466" s="20" t="n">
        <v>46097</v>
      </c>
      <c r="B1466" s="15" t="s">
        <v>487</v>
      </c>
      <c r="C1466" s="15" t="s">
        <v>570</v>
      </c>
      <c r="D1466" s="15" t="s">
        <v>571</v>
      </c>
      <c r="E1466" s="15" t="n">
        <v>1</v>
      </c>
      <c r="H1466" s="10"/>
      <c r="I1466" s="21"/>
      <c r="M1466" s="10"/>
      <c r="N1466" s="10"/>
      <c r="P1466" s="10"/>
      <c r="Q1466" s="22"/>
    </row>
    <row r="1467" customFormat="false" ht="15.75" hidden="false" customHeight="false" outlineLevel="0" collapsed="false">
      <c r="A1467" s="20" t="n">
        <v>46097</v>
      </c>
      <c r="B1467" s="15" t="s">
        <v>487</v>
      </c>
      <c r="C1467" s="15" t="s">
        <v>25</v>
      </c>
      <c r="D1467" s="15" t="s">
        <v>26</v>
      </c>
      <c r="E1467" s="15" t="n">
        <v>1</v>
      </c>
      <c r="H1467" s="10"/>
      <c r="I1467" s="21"/>
      <c r="M1467" s="10"/>
      <c r="N1467" s="10"/>
      <c r="P1467" s="10"/>
      <c r="Q1467" s="22"/>
    </row>
    <row r="1468" customFormat="false" ht="15.75" hidden="false" customHeight="false" outlineLevel="0" collapsed="false">
      <c r="A1468" s="20" t="n">
        <v>46097</v>
      </c>
      <c r="B1468" s="15" t="s">
        <v>487</v>
      </c>
      <c r="C1468" s="15" t="s">
        <v>91</v>
      </c>
      <c r="D1468" s="15" t="s">
        <v>91</v>
      </c>
      <c r="E1468" s="15" t="n">
        <v>2</v>
      </c>
      <c r="H1468" s="10"/>
      <c r="I1468" s="21"/>
      <c r="M1468" s="10"/>
      <c r="N1468" s="10"/>
      <c r="P1468" s="10"/>
      <c r="Q1468" s="22"/>
    </row>
    <row r="1469" customFormat="false" ht="15.75" hidden="false" customHeight="false" outlineLevel="0" collapsed="false">
      <c r="A1469" s="20" t="n">
        <v>46097</v>
      </c>
      <c r="B1469" s="15" t="s">
        <v>487</v>
      </c>
      <c r="C1469" s="15" t="s">
        <v>543</v>
      </c>
      <c r="D1469" s="15" t="s">
        <v>544</v>
      </c>
      <c r="E1469" s="15" t="n">
        <v>3</v>
      </c>
      <c r="H1469" s="10"/>
      <c r="I1469" s="21"/>
      <c r="M1469" s="10"/>
      <c r="N1469" s="10"/>
      <c r="P1469" s="10"/>
      <c r="Q1469" s="22"/>
    </row>
    <row r="1470" customFormat="false" ht="15.75" hidden="false" customHeight="false" outlineLevel="0" collapsed="false">
      <c r="A1470" s="20" t="n">
        <v>46097</v>
      </c>
      <c r="B1470" s="15" t="s">
        <v>487</v>
      </c>
      <c r="C1470" s="15" t="s">
        <v>545</v>
      </c>
      <c r="D1470" s="15" t="s">
        <v>546</v>
      </c>
      <c r="E1470" s="15" t="n">
        <v>1</v>
      </c>
      <c r="H1470" s="10"/>
      <c r="I1470" s="21"/>
      <c r="M1470" s="10"/>
      <c r="N1470" s="10"/>
      <c r="P1470" s="10"/>
      <c r="Q1470" s="22"/>
    </row>
    <row r="1471" customFormat="false" ht="15.75" hidden="false" customHeight="false" outlineLevel="0" collapsed="false">
      <c r="A1471" s="20" t="n">
        <v>46097</v>
      </c>
      <c r="B1471" s="15" t="s">
        <v>487</v>
      </c>
      <c r="C1471" s="15" t="s">
        <v>69</v>
      </c>
      <c r="D1471" s="15" t="s">
        <v>535</v>
      </c>
      <c r="E1471" s="15" t="n">
        <v>3</v>
      </c>
      <c r="H1471" s="10"/>
      <c r="I1471" s="21"/>
      <c r="M1471" s="10"/>
      <c r="N1471" s="10"/>
      <c r="P1471" s="10"/>
      <c r="Q1471" s="22"/>
    </row>
    <row r="1472" customFormat="false" ht="15.75" hidden="false" customHeight="false" outlineLevel="0" collapsed="false">
      <c r="A1472" s="20" t="n">
        <v>46097</v>
      </c>
      <c r="B1472" s="15" t="s">
        <v>487</v>
      </c>
      <c r="C1472" s="15" t="s">
        <v>77</v>
      </c>
      <c r="D1472" s="15" t="s">
        <v>78</v>
      </c>
      <c r="E1472" s="15" t="n">
        <v>3</v>
      </c>
      <c r="H1472" s="10"/>
      <c r="I1472" s="21"/>
      <c r="M1472" s="10"/>
      <c r="N1472" s="10"/>
      <c r="P1472" s="10"/>
      <c r="Q1472" s="22"/>
    </row>
    <row r="1473" customFormat="false" ht="15.75" hidden="false" customHeight="false" outlineLevel="0" collapsed="false">
      <c r="A1473" s="20" t="n">
        <v>46097</v>
      </c>
      <c r="B1473" s="15" t="s">
        <v>487</v>
      </c>
      <c r="C1473" s="15" t="s">
        <v>11</v>
      </c>
      <c r="D1473" s="15" t="s">
        <v>572</v>
      </c>
      <c r="E1473" s="15" t="n">
        <v>1</v>
      </c>
      <c r="H1473" s="10"/>
      <c r="I1473" s="21"/>
      <c r="M1473" s="10"/>
      <c r="N1473" s="10"/>
      <c r="P1473" s="10"/>
      <c r="Q1473" s="22"/>
    </row>
    <row r="1474" customFormat="false" ht="15.75" hidden="false" customHeight="false" outlineLevel="0" collapsed="false">
      <c r="A1474" s="20" t="n">
        <v>46097</v>
      </c>
      <c r="B1474" s="15" t="s">
        <v>487</v>
      </c>
      <c r="C1474" s="15" t="s">
        <v>33</v>
      </c>
      <c r="D1474" s="15" t="s">
        <v>536</v>
      </c>
      <c r="E1474" s="15" t="n">
        <v>3</v>
      </c>
      <c r="H1474" s="10"/>
      <c r="I1474" s="21"/>
      <c r="M1474" s="10"/>
      <c r="N1474" s="10"/>
      <c r="P1474" s="10"/>
      <c r="Q1474" s="22"/>
    </row>
    <row r="1475" customFormat="false" ht="15.75" hidden="false" customHeight="false" outlineLevel="0" collapsed="false">
      <c r="A1475" s="20" t="n">
        <v>46097</v>
      </c>
      <c r="B1475" s="15" t="s">
        <v>487</v>
      </c>
      <c r="C1475" s="15" t="s">
        <v>59</v>
      </c>
      <c r="D1475" s="15" t="s">
        <v>562</v>
      </c>
      <c r="E1475" s="15" t="n">
        <v>1</v>
      </c>
      <c r="H1475" s="10"/>
      <c r="I1475" s="21"/>
      <c r="M1475" s="10"/>
      <c r="N1475" s="10"/>
      <c r="P1475" s="10"/>
      <c r="Q1475" s="22"/>
    </row>
    <row r="1476" customFormat="false" ht="15.75" hidden="false" customHeight="false" outlineLevel="0" collapsed="false">
      <c r="A1476" s="20" t="n">
        <v>46097</v>
      </c>
      <c r="B1476" s="15" t="s">
        <v>487</v>
      </c>
      <c r="C1476" s="15" t="s">
        <v>75</v>
      </c>
      <c r="D1476" s="15" t="s">
        <v>560</v>
      </c>
      <c r="E1476" s="15" t="n">
        <v>1</v>
      </c>
      <c r="H1476" s="10"/>
      <c r="I1476" s="21"/>
      <c r="M1476" s="10"/>
      <c r="N1476" s="10"/>
      <c r="P1476" s="10"/>
      <c r="Q1476" s="22"/>
    </row>
    <row r="1477" customFormat="false" ht="15.75" hidden="false" customHeight="false" outlineLevel="0" collapsed="false">
      <c r="A1477" s="20" t="n">
        <v>46097</v>
      </c>
      <c r="B1477" s="15" t="s">
        <v>487</v>
      </c>
      <c r="C1477" s="15" t="s">
        <v>79</v>
      </c>
      <c r="D1477" s="15" t="s">
        <v>564</v>
      </c>
      <c r="E1477" s="15" t="n">
        <v>2</v>
      </c>
      <c r="H1477" s="10"/>
      <c r="I1477" s="21"/>
      <c r="M1477" s="10"/>
      <c r="N1477" s="10"/>
      <c r="P1477" s="10"/>
      <c r="Q1477" s="22"/>
    </row>
    <row r="1478" customFormat="false" ht="15.75" hidden="false" customHeight="false" outlineLevel="0" collapsed="false">
      <c r="A1478" s="20" t="n">
        <v>46097</v>
      </c>
      <c r="B1478" s="15" t="s">
        <v>495</v>
      </c>
      <c r="C1478" s="15" t="s">
        <v>55</v>
      </c>
      <c r="D1478" s="15" t="s">
        <v>539</v>
      </c>
      <c r="E1478" s="15" t="n">
        <v>1</v>
      </c>
      <c r="H1478" s="10"/>
      <c r="I1478" s="21"/>
      <c r="M1478" s="10"/>
      <c r="N1478" s="10"/>
      <c r="P1478" s="10"/>
      <c r="Q1478" s="22"/>
    </row>
    <row r="1479" customFormat="false" ht="15.75" hidden="false" customHeight="false" outlineLevel="0" collapsed="false">
      <c r="A1479" s="20" t="n">
        <v>46097</v>
      </c>
      <c r="B1479" s="15" t="s">
        <v>495</v>
      </c>
      <c r="C1479" s="15" t="s">
        <v>81</v>
      </c>
      <c r="D1479" s="15" t="s">
        <v>534</v>
      </c>
      <c r="E1479" s="15" t="n">
        <v>3</v>
      </c>
      <c r="H1479" s="10"/>
      <c r="I1479" s="21"/>
      <c r="M1479" s="10"/>
      <c r="N1479" s="10"/>
      <c r="P1479" s="10"/>
      <c r="Q1479" s="22"/>
    </row>
    <row r="1480" customFormat="false" ht="15.75" hidden="false" customHeight="false" outlineLevel="0" collapsed="false">
      <c r="A1480" s="20" t="n">
        <v>46097</v>
      </c>
      <c r="B1480" s="15" t="s">
        <v>495</v>
      </c>
      <c r="C1480" s="15" t="s">
        <v>75</v>
      </c>
      <c r="D1480" s="15" t="s">
        <v>560</v>
      </c>
      <c r="E1480" s="15" t="n">
        <v>1</v>
      </c>
      <c r="H1480" s="10"/>
      <c r="I1480" s="21"/>
      <c r="M1480" s="10"/>
      <c r="N1480" s="10"/>
      <c r="P1480" s="10"/>
      <c r="Q1480" s="22"/>
    </row>
    <row r="1481" customFormat="false" ht="15.75" hidden="false" customHeight="false" outlineLevel="0" collapsed="false">
      <c r="A1481" s="20" t="n">
        <v>46097</v>
      </c>
      <c r="B1481" s="15" t="s">
        <v>495</v>
      </c>
      <c r="C1481" s="15" t="s">
        <v>43</v>
      </c>
      <c r="D1481" s="15" t="s">
        <v>538</v>
      </c>
      <c r="E1481" s="15" t="n">
        <v>1</v>
      </c>
      <c r="H1481" s="10"/>
      <c r="I1481" s="21"/>
      <c r="M1481" s="10"/>
      <c r="N1481" s="10"/>
      <c r="P1481" s="10"/>
      <c r="Q1481" s="22"/>
    </row>
    <row r="1482" customFormat="false" ht="15.75" hidden="false" customHeight="false" outlineLevel="0" collapsed="false">
      <c r="A1482" s="20" t="n">
        <v>46097</v>
      </c>
      <c r="B1482" s="15" t="s">
        <v>495</v>
      </c>
      <c r="C1482" s="15" t="s">
        <v>69</v>
      </c>
      <c r="D1482" s="15" t="s">
        <v>535</v>
      </c>
      <c r="E1482" s="15" t="n">
        <v>5</v>
      </c>
      <c r="H1482" s="10"/>
      <c r="I1482" s="21"/>
      <c r="M1482" s="10"/>
      <c r="N1482" s="10"/>
      <c r="P1482" s="10"/>
      <c r="Q1482" s="22"/>
    </row>
    <row r="1483" customFormat="false" ht="15.75" hidden="false" customHeight="false" outlineLevel="0" collapsed="false">
      <c r="A1483" s="20" t="n">
        <v>46097</v>
      </c>
      <c r="B1483" s="15" t="s">
        <v>495</v>
      </c>
      <c r="C1483" s="15" t="s">
        <v>547</v>
      </c>
      <c r="D1483" s="15" t="s">
        <v>548</v>
      </c>
      <c r="E1483" s="15" t="n">
        <v>3</v>
      </c>
      <c r="H1483" s="10"/>
      <c r="I1483" s="21"/>
      <c r="M1483" s="10"/>
      <c r="N1483" s="10"/>
      <c r="P1483" s="10"/>
      <c r="Q1483" s="22"/>
    </row>
    <row r="1484" customFormat="false" ht="15.75" hidden="false" customHeight="false" outlineLevel="0" collapsed="false">
      <c r="A1484" s="20" t="n">
        <v>46097</v>
      </c>
      <c r="B1484" s="15" t="s">
        <v>495</v>
      </c>
      <c r="C1484" s="15" t="s">
        <v>25</v>
      </c>
      <c r="D1484" s="15" t="s">
        <v>26</v>
      </c>
      <c r="E1484" s="15" t="n">
        <v>3</v>
      </c>
      <c r="H1484" s="10"/>
      <c r="I1484" s="21"/>
      <c r="M1484" s="10"/>
      <c r="N1484" s="10"/>
      <c r="P1484" s="10"/>
      <c r="Q1484" s="22"/>
    </row>
    <row r="1485" customFormat="false" ht="15.75" hidden="false" customHeight="false" outlineLevel="0" collapsed="false">
      <c r="A1485" s="20" t="n">
        <v>46097</v>
      </c>
      <c r="B1485" s="15" t="s">
        <v>495</v>
      </c>
      <c r="C1485" s="15" t="s">
        <v>543</v>
      </c>
      <c r="D1485" s="15" t="s">
        <v>544</v>
      </c>
      <c r="E1485" s="15" t="n">
        <v>6</v>
      </c>
      <c r="H1485" s="10"/>
      <c r="I1485" s="21"/>
      <c r="M1485" s="10"/>
      <c r="N1485" s="10"/>
      <c r="P1485" s="10"/>
      <c r="Q1485" s="22"/>
    </row>
    <row r="1486" customFormat="false" ht="15.75" hidden="false" customHeight="false" outlineLevel="0" collapsed="false">
      <c r="A1486" s="20" t="n">
        <v>46097</v>
      </c>
      <c r="B1486" s="15" t="s">
        <v>495</v>
      </c>
      <c r="C1486" s="15" t="s">
        <v>545</v>
      </c>
      <c r="D1486" s="15" t="s">
        <v>546</v>
      </c>
      <c r="E1486" s="15" t="n">
        <v>3</v>
      </c>
      <c r="H1486" s="10"/>
      <c r="I1486" s="21"/>
      <c r="M1486" s="10"/>
      <c r="N1486" s="10"/>
      <c r="P1486" s="10"/>
      <c r="Q1486" s="22"/>
    </row>
    <row r="1487" customFormat="false" ht="15.75" hidden="false" customHeight="false" outlineLevel="0" collapsed="false">
      <c r="A1487" s="20" t="n">
        <v>46097</v>
      </c>
      <c r="B1487" s="15" t="s">
        <v>495</v>
      </c>
      <c r="C1487" s="15" t="s">
        <v>63</v>
      </c>
      <c r="D1487" s="15" t="s">
        <v>551</v>
      </c>
      <c r="E1487" s="15" t="n">
        <v>1</v>
      </c>
      <c r="H1487" s="10"/>
      <c r="I1487" s="21"/>
      <c r="M1487" s="10"/>
      <c r="N1487" s="10"/>
      <c r="P1487" s="10"/>
      <c r="Q1487" s="22"/>
    </row>
    <row r="1488" customFormat="false" ht="15.75" hidden="false" customHeight="false" outlineLevel="0" collapsed="false">
      <c r="A1488" s="20" t="n">
        <v>46097</v>
      </c>
      <c r="B1488" s="15" t="s">
        <v>495</v>
      </c>
      <c r="C1488" s="15" t="s">
        <v>77</v>
      </c>
      <c r="D1488" s="15" t="s">
        <v>78</v>
      </c>
      <c r="E1488" s="15" t="n">
        <v>3</v>
      </c>
      <c r="H1488" s="10"/>
      <c r="I1488" s="21"/>
      <c r="M1488" s="10"/>
      <c r="N1488" s="10"/>
      <c r="P1488" s="10"/>
      <c r="Q1488" s="22"/>
    </row>
    <row r="1489" customFormat="false" ht="15.75" hidden="false" customHeight="false" outlineLevel="0" collapsed="false">
      <c r="A1489" s="20" t="n">
        <v>46097</v>
      </c>
      <c r="B1489" s="15" t="s">
        <v>495</v>
      </c>
      <c r="C1489" s="15" t="s">
        <v>61</v>
      </c>
      <c r="D1489" s="15" t="s">
        <v>576</v>
      </c>
      <c r="E1489" s="15" t="n">
        <v>1</v>
      </c>
      <c r="H1489" s="10"/>
      <c r="I1489" s="21"/>
      <c r="M1489" s="10"/>
      <c r="N1489" s="10"/>
      <c r="P1489" s="10"/>
      <c r="Q1489" s="22"/>
    </row>
    <row r="1490" customFormat="false" ht="15.75" hidden="false" customHeight="false" outlineLevel="0" collapsed="false">
      <c r="A1490" s="20" t="n">
        <v>46097</v>
      </c>
      <c r="B1490" s="15" t="s">
        <v>495</v>
      </c>
      <c r="C1490" s="15" t="s">
        <v>33</v>
      </c>
      <c r="D1490" s="15" t="s">
        <v>536</v>
      </c>
      <c r="E1490" s="15" t="n">
        <v>2</v>
      </c>
      <c r="H1490" s="10"/>
      <c r="I1490" s="21"/>
      <c r="M1490" s="10"/>
      <c r="N1490" s="10"/>
      <c r="P1490" s="10"/>
      <c r="Q1490" s="22"/>
    </row>
    <row r="1491" customFormat="false" ht="15.75" hidden="false" customHeight="false" outlineLevel="0" collapsed="false">
      <c r="A1491" s="20" t="n">
        <v>46097</v>
      </c>
      <c r="B1491" s="15" t="s">
        <v>495</v>
      </c>
      <c r="C1491" s="15" t="s">
        <v>59</v>
      </c>
      <c r="D1491" s="15" t="s">
        <v>562</v>
      </c>
      <c r="E1491" s="15" t="n">
        <v>2</v>
      </c>
      <c r="H1491" s="10"/>
      <c r="I1491" s="21"/>
      <c r="M1491" s="10"/>
      <c r="N1491" s="10"/>
      <c r="P1491" s="10"/>
      <c r="Q1491" s="22"/>
    </row>
    <row r="1492" customFormat="false" ht="15.75" hidden="false" customHeight="false" outlineLevel="0" collapsed="false">
      <c r="A1492" s="20" t="n">
        <v>46097</v>
      </c>
      <c r="B1492" s="15" t="s">
        <v>496</v>
      </c>
      <c r="C1492" s="15" t="s">
        <v>81</v>
      </c>
      <c r="D1492" s="15" t="s">
        <v>534</v>
      </c>
      <c r="E1492" s="15" t="n">
        <v>7</v>
      </c>
      <c r="H1492" s="10"/>
      <c r="I1492" s="21"/>
      <c r="M1492" s="10"/>
      <c r="N1492" s="10"/>
      <c r="P1492" s="10"/>
      <c r="Q1492" s="22"/>
    </row>
    <row r="1493" customFormat="false" ht="15.75" hidden="false" customHeight="false" outlineLevel="0" collapsed="false">
      <c r="A1493" s="20" t="n">
        <v>46097</v>
      </c>
      <c r="B1493" s="15" t="s">
        <v>496</v>
      </c>
      <c r="C1493" s="15" t="s">
        <v>47</v>
      </c>
      <c r="D1493" s="15" t="s">
        <v>549</v>
      </c>
      <c r="E1493" s="15" t="n">
        <v>4</v>
      </c>
      <c r="H1493" s="10"/>
      <c r="I1493" s="21"/>
      <c r="M1493" s="10"/>
      <c r="N1493" s="10"/>
      <c r="P1493" s="10"/>
      <c r="Q1493" s="22"/>
    </row>
    <row r="1494" customFormat="false" ht="15.75" hidden="false" customHeight="false" outlineLevel="0" collapsed="false">
      <c r="A1494" s="20" t="n">
        <v>46097</v>
      </c>
      <c r="B1494" s="15" t="s">
        <v>496</v>
      </c>
      <c r="C1494" s="15" t="s">
        <v>55</v>
      </c>
      <c r="D1494" s="15" t="s">
        <v>539</v>
      </c>
      <c r="E1494" s="15" t="n">
        <v>2</v>
      </c>
      <c r="H1494" s="10"/>
      <c r="I1494" s="21"/>
      <c r="M1494" s="10"/>
      <c r="N1494" s="10"/>
      <c r="P1494" s="10"/>
      <c r="Q1494" s="22"/>
    </row>
    <row r="1495" customFormat="false" ht="15.75" hidden="false" customHeight="false" outlineLevel="0" collapsed="false">
      <c r="A1495" s="20" t="n">
        <v>46097</v>
      </c>
      <c r="B1495" s="15" t="s">
        <v>496</v>
      </c>
      <c r="C1495" s="15" t="s">
        <v>567</v>
      </c>
      <c r="D1495" s="15" t="s">
        <v>568</v>
      </c>
      <c r="E1495" s="15" t="n">
        <v>3</v>
      </c>
      <c r="H1495" s="10"/>
      <c r="I1495" s="21"/>
      <c r="M1495" s="10"/>
      <c r="N1495" s="10"/>
      <c r="P1495" s="10"/>
      <c r="Q1495" s="22"/>
    </row>
    <row r="1496" customFormat="false" ht="15.75" hidden="false" customHeight="false" outlineLevel="0" collapsed="false">
      <c r="A1496" s="20" t="n">
        <v>46097</v>
      </c>
      <c r="B1496" s="15" t="s">
        <v>496</v>
      </c>
      <c r="C1496" s="15" t="s">
        <v>545</v>
      </c>
      <c r="D1496" s="15" t="s">
        <v>546</v>
      </c>
      <c r="E1496" s="15" t="n">
        <v>3</v>
      </c>
      <c r="H1496" s="10"/>
      <c r="I1496" s="21"/>
      <c r="M1496" s="10"/>
      <c r="N1496" s="10"/>
      <c r="P1496" s="10"/>
      <c r="Q1496" s="22"/>
    </row>
    <row r="1497" customFormat="false" ht="15.75" hidden="false" customHeight="false" outlineLevel="0" collapsed="false">
      <c r="A1497" s="20" t="n">
        <v>46097</v>
      </c>
      <c r="B1497" s="15" t="s">
        <v>496</v>
      </c>
      <c r="C1497" s="15" t="s">
        <v>547</v>
      </c>
      <c r="D1497" s="15" t="s">
        <v>548</v>
      </c>
      <c r="E1497" s="15" t="n">
        <v>1</v>
      </c>
      <c r="H1497" s="10"/>
      <c r="I1497" s="21"/>
      <c r="M1497" s="10"/>
      <c r="N1497" s="10"/>
      <c r="P1497" s="10"/>
      <c r="Q1497" s="22"/>
    </row>
    <row r="1498" customFormat="false" ht="15.75" hidden="false" customHeight="false" outlineLevel="0" collapsed="false">
      <c r="A1498" s="20" t="n">
        <v>46097</v>
      </c>
      <c r="B1498" s="15" t="s">
        <v>496</v>
      </c>
      <c r="C1498" s="15" t="s">
        <v>555</v>
      </c>
      <c r="D1498" s="15" t="s">
        <v>556</v>
      </c>
      <c r="E1498" s="15" t="n">
        <v>4</v>
      </c>
      <c r="H1498" s="10"/>
      <c r="I1498" s="21"/>
      <c r="M1498" s="10"/>
      <c r="N1498" s="10"/>
      <c r="P1498" s="10"/>
      <c r="Q1498" s="22"/>
    </row>
    <row r="1499" customFormat="false" ht="15.75" hidden="false" customHeight="false" outlineLevel="0" collapsed="false">
      <c r="A1499" s="20" t="n">
        <v>46097</v>
      </c>
      <c r="B1499" s="15" t="s">
        <v>496</v>
      </c>
      <c r="C1499" s="15" t="s">
        <v>541</v>
      </c>
      <c r="D1499" s="15" t="s">
        <v>542</v>
      </c>
      <c r="E1499" s="15" t="n">
        <v>4</v>
      </c>
      <c r="H1499" s="10"/>
      <c r="I1499" s="21"/>
      <c r="M1499" s="10"/>
      <c r="N1499" s="10"/>
      <c r="P1499" s="10"/>
      <c r="Q1499" s="22"/>
    </row>
    <row r="1500" customFormat="false" ht="15.75" hidden="false" customHeight="false" outlineLevel="0" collapsed="false">
      <c r="A1500" s="20" t="n">
        <v>46097</v>
      </c>
      <c r="B1500" s="15" t="s">
        <v>496</v>
      </c>
      <c r="C1500" s="15" t="s">
        <v>45</v>
      </c>
      <c r="D1500" s="15" t="s">
        <v>540</v>
      </c>
      <c r="E1500" s="15" t="n">
        <v>1</v>
      </c>
      <c r="H1500" s="10"/>
      <c r="I1500" s="21"/>
      <c r="M1500" s="10"/>
      <c r="N1500" s="10"/>
      <c r="P1500" s="10"/>
      <c r="Q1500" s="22"/>
    </row>
    <row r="1501" customFormat="false" ht="15.75" hidden="false" customHeight="false" outlineLevel="0" collapsed="false">
      <c r="A1501" s="20" t="n">
        <v>46097</v>
      </c>
      <c r="B1501" s="15" t="s">
        <v>496</v>
      </c>
      <c r="C1501" s="15" t="s">
        <v>37</v>
      </c>
      <c r="D1501" s="15" t="s">
        <v>561</v>
      </c>
      <c r="E1501" s="15" t="n">
        <v>1</v>
      </c>
      <c r="H1501" s="10"/>
      <c r="I1501" s="21"/>
      <c r="M1501" s="10"/>
      <c r="N1501" s="10"/>
      <c r="P1501" s="10"/>
      <c r="Q1501" s="22"/>
    </row>
    <row r="1502" customFormat="false" ht="15.75" hidden="false" customHeight="false" outlineLevel="0" collapsed="false">
      <c r="A1502" s="20" t="n">
        <v>46097</v>
      </c>
      <c r="B1502" s="15" t="s">
        <v>496</v>
      </c>
      <c r="C1502" s="15" t="s">
        <v>543</v>
      </c>
      <c r="D1502" s="15" t="s">
        <v>544</v>
      </c>
      <c r="E1502" s="15" t="n">
        <v>4</v>
      </c>
      <c r="H1502" s="10"/>
      <c r="I1502" s="21"/>
      <c r="M1502" s="10"/>
      <c r="N1502" s="10"/>
      <c r="P1502" s="10"/>
      <c r="Q1502" s="22"/>
    </row>
    <row r="1503" customFormat="false" ht="15.75" hidden="false" customHeight="false" outlineLevel="0" collapsed="false">
      <c r="A1503" s="20" t="n">
        <v>46097</v>
      </c>
      <c r="B1503" s="15" t="s">
        <v>496</v>
      </c>
      <c r="C1503" s="15" t="s">
        <v>69</v>
      </c>
      <c r="D1503" s="15" t="s">
        <v>535</v>
      </c>
      <c r="E1503" s="15" t="n">
        <v>2</v>
      </c>
      <c r="H1503" s="10"/>
      <c r="I1503" s="21"/>
      <c r="M1503" s="10"/>
      <c r="N1503" s="10"/>
      <c r="P1503" s="10"/>
      <c r="Q1503" s="22"/>
    </row>
    <row r="1504" customFormat="false" ht="15.75" hidden="false" customHeight="false" outlineLevel="0" collapsed="false">
      <c r="A1504" s="20" t="n">
        <v>46097</v>
      </c>
      <c r="B1504" s="15" t="s">
        <v>496</v>
      </c>
      <c r="C1504" s="15" t="s">
        <v>77</v>
      </c>
      <c r="D1504" s="15" t="s">
        <v>78</v>
      </c>
      <c r="E1504" s="15" t="n">
        <v>2</v>
      </c>
      <c r="H1504" s="10"/>
      <c r="I1504" s="21"/>
      <c r="M1504" s="10"/>
      <c r="N1504" s="10"/>
      <c r="P1504" s="10"/>
      <c r="Q1504" s="22"/>
    </row>
    <row r="1505" customFormat="false" ht="15.75" hidden="false" customHeight="false" outlineLevel="0" collapsed="false">
      <c r="A1505" s="20" t="n">
        <v>46097</v>
      </c>
      <c r="B1505" s="15" t="s">
        <v>496</v>
      </c>
      <c r="C1505" s="15" t="s">
        <v>59</v>
      </c>
      <c r="D1505" s="15" t="s">
        <v>562</v>
      </c>
      <c r="E1505" s="15" t="n">
        <v>2</v>
      </c>
      <c r="H1505" s="10"/>
      <c r="I1505" s="21"/>
      <c r="M1505" s="10"/>
      <c r="N1505" s="10"/>
      <c r="P1505" s="10"/>
      <c r="Q1505" s="22"/>
    </row>
    <row r="1506" customFormat="false" ht="15.75" hidden="false" customHeight="false" outlineLevel="0" collapsed="false">
      <c r="A1506" s="20" t="n">
        <v>46097</v>
      </c>
      <c r="B1506" s="15" t="s">
        <v>496</v>
      </c>
      <c r="C1506" s="15" t="s">
        <v>33</v>
      </c>
      <c r="D1506" s="15" t="s">
        <v>536</v>
      </c>
      <c r="E1506" s="15" t="n">
        <v>2</v>
      </c>
      <c r="H1506" s="10"/>
      <c r="I1506" s="21"/>
      <c r="M1506" s="10"/>
      <c r="N1506" s="10"/>
      <c r="P1506" s="10"/>
      <c r="Q1506" s="22"/>
    </row>
    <row r="1507" customFormat="false" ht="15.75" hidden="false" customHeight="false" outlineLevel="0" collapsed="false">
      <c r="A1507" s="20" t="n">
        <v>46097</v>
      </c>
      <c r="B1507" s="15" t="s">
        <v>496</v>
      </c>
      <c r="C1507" s="15" t="s">
        <v>79</v>
      </c>
      <c r="D1507" s="15" t="s">
        <v>564</v>
      </c>
      <c r="E1507" s="15" t="n">
        <v>1</v>
      </c>
      <c r="H1507" s="10"/>
      <c r="I1507" s="21"/>
      <c r="M1507" s="10"/>
      <c r="N1507" s="10"/>
      <c r="P1507" s="10"/>
      <c r="Q1507" s="22"/>
    </row>
    <row r="1508" customFormat="false" ht="15.75" hidden="false" customHeight="false" outlineLevel="0" collapsed="false">
      <c r="A1508" s="20" t="n">
        <v>46097</v>
      </c>
      <c r="B1508" s="15" t="s">
        <v>496</v>
      </c>
      <c r="C1508" s="15" t="s">
        <v>65</v>
      </c>
      <c r="D1508" s="15" t="s">
        <v>580</v>
      </c>
      <c r="E1508" s="15" t="n">
        <v>1</v>
      </c>
      <c r="H1508" s="10"/>
      <c r="I1508" s="21"/>
      <c r="M1508" s="10"/>
      <c r="N1508" s="10"/>
      <c r="P1508" s="10"/>
      <c r="Q1508" s="22"/>
    </row>
    <row r="1509" customFormat="false" ht="15.75" hidden="false" customHeight="false" outlineLevel="0" collapsed="false">
      <c r="A1509" s="20" t="n">
        <v>46097</v>
      </c>
      <c r="B1509" s="15" t="s">
        <v>503</v>
      </c>
      <c r="C1509" s="15" t="s">
        <v>81</v>
      </c>
      <c r="D1509" s="15" t="s">
        <v>534</v>
      </c>
      <c r="E1509" s="15" t="n">
        <v>2</v>
      </c>
      <c r="H1509" s="10"/>
      <c r="I1509" s="21"/>
      <c r="M1509" s="10"/>
      <c r="N1509" s="10"/>
      <c r="P1509" s="10"/>
      <c r="Q1509" s="22"/>
    </row>
    <row r="1510" customFormat="false" ht="15.75" hidden="false" customHeight="false" outlineLevel="0" collapsed="false">
      <c r="A1510" s="20" t="n">
        <v>46097</v>
      </c>
      <c r="B1510" s="15" t="s">
        <v>503</v>
      </c>
      <c r="C1510" s="15" t="s">
        <v>55</v>
      </c>
      <c r="D1510" s="15" t="s">
        <v>539</v>
      </c>
      <c r="E1510" s="15" t="n">
        <v>12</v>
      </c>
      <c r="H1510" s="10"/>
      <c r="I1510" s="21"/>
      <c r="M1510" s="10"/>
      <c r="N1510" s="10"/>
      <c r="P1510" s="10"/>
      <c r="Q1510" s="22"/>
    </row>
    <row r="1511" customFormat="false" ht="15.75" hidden="false" customHeight="false" outlineLevel="0" collapsed="false">
      <c r="A1511" s="20" t="n">
        <v>46097</v>
      </c>
      <c r="B1511" s="15" t="s">
        <v>503</v>
      </c>
      <c r="C1511" s="15" t="s">
        <v>63</v>
      </c>
      <c r="D1511" s="15" t="s">
        <v>551</v>
      </c>
      <c r="E1511" s="15" t="n">
        <v>1</v>
      </c>
      <c r="H1511" s="10"/>
      <c r="I1511" s="21"/>
      <c r="M1511" s="10"/>
      <c r="N1511" s="10"/>
      <c r="P1511" s="10"/>
      <c r="Q1511" s="22"/>
    </row>
    <row r="1512" customFormat="false" ht="15.75" hidden="false" customHeight="false" outlineLevel="0" collapsed="false">
      <c r="A1512" s="20" t="n">
        <v>46097</v>
      </c>
      <c r="B1512" s="15" t="s">
        <v>503</v>
      </c>
      <c r="C1512" s="15" t="s">
        <v>39</v>
      </c>
      <c r="D1512" s="15" t="s">
        <v>550</v>
      </c>
      <c r="E1512" s="15" t="n">
        <v>1</v>
      </c>
      <c r="H1512" s="10"/>
      <c r="I1512" s="21"/>
      <c r="M1512" s="10"/>
      <c r="N1512" s="10"/>
      <c r="P1512" s="10"/>
      <c r="Q1512" s="22"/>
    </row>
    <row r="1513" customFormat="false" ht="15.75" hidden="false" customHeight="false" outlineLevel="0" collapsed="false">
      <c r="A1513" s="20" t="n">
        <v>46097</v>
      </c>
      <c r="B1513" s="15" t="s">
        <v>503</v>
      </c>
      <c r="C1513" s="15" t="s">
        <v>47</v>
      </c>
      <c r="D1513" s="15" t="s">
        <v>549</v>
      </c>
      <c r="E1513" s="15" t="n">
        <v>2</v>
      </c>
      <c r="H1513" s="10"/>
      <c r="I1513" s="21"/>
      <c r="M1513" s="10"/>
      <c r="N1513" s="10"/>
      <c r="P1513" s="10"/>
      <c r="Q1513" s="22"/>
    </row>
    <row r="1514" customFormat="false" ht="15.75" hidden="false" customHeight="false" outlineLevel="0" collapsed="false">
      <c r="A1514" s="20" t="n">
        <v>46097</v>
      </c>
      <c r="B1514" s="15" t="s">
        <v>505</v>
      </c>
      <c r="C1514" s="15" t="s">
        <v>55</v>
      </c>
      <c r="D1514" s="15" t="s">
        <v>539</v>
      </c>
      <c r="E1514" s="15" t="n">
        <v>6</v>
      </c>
      <c r="H1514" s="10"/>
      <c r="I1514" s="21"/>
      <c r="M1514" s="10"/>
      <c r="N1514" s="10"/>
      <c r="P1514" s="10"/>
      <c r="Q1514" s="22"/>
    </row>
    <row r="1515" customFormat="false" ht="15.75" hidden="false" customHeight="false" outlineLevel="0" collapsed="false">
      <c r="A1515" s="20" t="n">
        <v>46097</v>
      </c>
      <c r="B1515" s="15" t="s">
        <v>505</v>
      </c>
      <c r="C1515" s="15" t="s">
        <v>39</v>
      </c>
      <c r="D1515" s="15" t="s">
        <v>550</v>
      </c>
      <c r="E1515" s="15" t="n">
        <v>1</v>
      </c>
      <c r="H1515" s="10"/>
      <c r="I1515" s="21"/>
      <c r="M1515" s="10"/>
      <c r="N1515" s="10"/>
      <c r="P1515" s="10"/>
      <c r="Q1515" s="22"/>
    </row>
    <row r="1516" customFormat="false" ht="15.75" hidden="false" customHeight="false" outlineLevel="0" collapsed="false">
      <c r="A1516" s="20" t="n">
        <v>46097</v>
      </c>
      <c r="B1516" s="15" t="s">
        <v>505</v>
      </c>
      <c r="C1516" s="15" t="s">
        <v>81</v>
      </c>
      <c r="D1516" s="15" t="s">
        <v>534</v>
      </c>
      <c r="E1516" s="15" t="n">
        <v>9</v>
      </c>
      <c r="H1516" s="10"/>
      <c r="I1516" s="21"/>
      <c r="M1516" s="10"/>
      <c r="N1516" s="10"/>
      <c r="P1516" s="10"/>
      <c r="Q1516" s="22"/>
    </row>
    <row r="1517" customFormat="false" ht="15.75" hidden="false" customHeight="false" outlineLevel="0" collapsed="false">
      <c r="A1517" s="20" t="n">
        <v>46097</v>
      </c>
      <c r="B1517" s="15" t="s">
        <v>505</v>
      </c>
      <c r="C1517" s="15" t="s">
        <v>47</v>
      </c>
      <c r="D1517" s="15" t="s">
        <v>549</v>
      </c>
      <c r="E1517" s="15" t="n">
        <v>3</v>
      </c>
      <c r="H1517" s="10"/>
      <c r="I1517" s="21"/>
      <c r="M1517" s="10"/>
      <c r="N1517" s="10"/>
      <c r="P1517" s="10"/>
      <c r="Q1517" s="22"/>
    </row>
    <row r="1518" customFormat="false" ht="15.75" hidden="false" customHeight="false" outlineLevel="0" collapsed="false">
      <c r="A1518" s="20" t="n">
        <v>46097</v>
      </c>
      <c r="B1518" s="15" t="s">
        <v>505</v>
      </c>
      <c r="C1518" s="15" t="s">
        <v>63</v>
      </c>
      <c r="D1518" s="15" t="s">
        <v>551</v>
      </c>
      <c r="E1518" s="15" t="n">
        <v>1</v>
      </c>
      <c r="H1518" s="10"/>
      <c r="I1518" s="21"/>
      <c r="M1518" s="10"/>
      <c r="N1518" s="10"/>
      <c r="P1518" s="10"/>
      <c r="Q1518" s="22"/>
    </row>
    <row r="1519" customFormat="false" ht="15.75" hidden="false" customHeight="false" outlineLevel="0" collapsed="false">
      <c r="A1519" s="20" t="n">
        <v>46097</v>
      </c>
      <c r="B1519" s="15" t="s">
        <v>505</v>
      </c>
      <c r="C1519" s="15" t="s">
        <v>17</v>
      </c>
      <c r="D1519" s="15" t="s">
        <v>554</v>
      </c>
      <c r="E1519" s="15" t="n">
        <v>1</v>
      </c>
      <c r="H1519" s="10"/>
      <c r="I1519" s="21"/>
      <c r="M1519" s="10"/>
      <c r="N1519" s="10"/>
      <c r="P1519" s="10"/>
      <c r="Q1519" s="22"/>
    </row>
    <row r="1520" customFormat="false" ht="15.75" hidden="false" customHeight="false" outlineLevel="0" collapsed="false">
      <c r="A1520" s="20" t="n">
        <v>46097</v>
      </c>
      <c r="B1520" s="15" t="s">
        <v>514</v>
      </c>
      <c r="C1520" s="15" t="s">
        <v>55</v>
      </c>
      <c r="D1520" s="15" t="s">
        <v>539</v>
      </c>
      <c r="E1520" s="15" t="n">
        <v>5</v>
      </c>
      <c r="H1520" s="10"/>
      <c r="I1520" s="21"/>
      <c r="M1520" s="10"/>
      <c r="N1520" s="10"/>
      <c r="P1520" s="10"/>
      <c r="Q1520" s="22"/>
    </row>
    <row r="1521" customFormat="false" ht="15.75" hidden="false" customHeight="false" outlineLevel="0" collapsed="false">
      <c r="A1521" s="20" t="n">
        <v>46097</v>
      </c>
      <c r="B1521" s="15" t="s">
        <v>514</v>
      </c>
      <c r="C1521" s="15" t="s">
        <v>57</v>
      </c>
      <c r="D1521" s="15" t="s">
        <v>553</v>
      </c>
      <c r="E1521" s="15" t="n">
        <v>1</v>
      </c>
      <c r="H1521" s="10"/>
      <c r="I1521" s="21"/>
      <c r="M1521" s="10"/>
      <c r="N1521" s="10"/>
      <c r="P1521" s="10"/>
      <c r="Q1521" s="22"/>
    </row>
    <row r="1522" customFormat="false" ht="15.75" hidden="false" customHeight="false" outlineLevel="0" collapsed="false">
      <c r="A1522" s="20" t="n">
        <v>46097</v>
      </c>
      <c r="B1522" s="15" t="s">
        <v>514</v>
      </c>
      <c r="C1522" s="15" t="s">
        <v>49</v>
      </c>
      <c r="D1522" s="15" t="s">
        <v>537</v>
      </c>
      <c r="E1522" s="15" t="n">
        <v>1</v>
      </c>
      <c r="H1522" s="10"/>
      <c r="I1522" s="21"/>
      <c r="M1522" s="10"/>
      <c r="N1522" s="10"/>
      <c r="P1522" s="10"/>
      <c r="Q1522" s="22"/>
    </row>
    <row r="1523" customFormat="false" ht="15.75" hidden="false" customHeight="false" outlineLevel="0" collapsed="false">
      <c r="A1523" s="20" t="n">
        <v>46097</v>
      </c>
      <c r="B1523" s="15" t="s">
        <v>514</v>
      </c>
      <c r="C1523" s="15" t="s">
        <v>47</v>
      </c>
      <c r="D1523" s="15" t="s">
        <v>549</v>
      </c>
      <c r="E1523" s="15" t="n">
        <v>4</v>
      </c>
      <c r="H1523" s="10"/>
      <c r="I1523" s="21"/>
      <c r="M1523" s="10"/>
      <c r="N1523" s="10"/>
      <c r="P1523" s="10"/>
      <c r="Q1523" s="22"/>
    </row>
    <row r="1524" customFormat="false" ht="15.75" hidden="false" customHeight="false" outlineLevel="0" collapsed="false">
      <c r="A1524" s="20" t="n">
        <v>46097</v>
      </c>
      <c r="B1524" s="15" t="s">
        <v>514</v>
      </c>
      <c r="C1524" s="15" t="s">
        <v>81</v>
      </c>
      <c r="D1524" s="15" t="s">
        <v>534</v>
      </c>
      <c r="E1524" s="15" t="n">
        <v>7</v>
      </c>
      <c r="H1524" s="10"/>
      <c r="I1524" s="21"/>
      <c r="M1524" s="10"/>
      <c r="N1524" s="10"/>
      <c r="P1524" s="10"/>
      <c r="Q1524" s="22"/>
    </row>
    <row r="1525" customFormat="false" ht="15.75" hidden="false" customHeight="false" outlineLevel="0" collapsed="false">
      <c r="A1525" s="20" t="n">
        <v>46097</v>
      </c>
      <c r="B1525" s="15" t="s">
        <v>514</v>
      </c>
      <c r="C1525" s="15" t="s">
        <v>63</v>
      </c>
      <c r="D1525" s="15" t="s">
        <v>551</v>
      </c>
      <c r="E1525" s="15" t="n">
        <v>1</v>
      </c>
      <c r="H1525" s="10"/>
      <c r="I1525" s="21"/>
      <c r="M1525" s="10"/>
      <c r="N1525" s="10"/>
      <c r="P1525" s="10"/>
      <c r="Q1525" s="22"/>
    </row>
    <row r="1526" customFormat="false" ht="15.75" hidden="false" customHeight="false" outlineLevel="0" collapsed="false">
      <c r="A1526" s="20" t="n">
        <v>46097</v>
      </c>
      <c r="B1526" s="15" t="s">
        <v>514</v>
      </c>
      <c r="C1526" s="15" t="s">
        <v>17</v>
      </c>
      <c r="D1526" s="15" t="s">
        <v>554</v>
      </c>
      <c r="E1526" s="15" t="n">
        <v>1</v>
      </c>
      <c r="H1526" s="10"/>
      <c r="I1526" s="21"/>
      <c r="M1526" s="10"/>
      <c r="N1526" s="10"/>
      <c r="P1526" s="10"/>
      <c r="Q1526" s="22"/>
    </row>
    <row r="1527" customFormat="false" ht="15.75" hidden="false" customHeight="false" outlineLevel="0" collapsed="false">
      <c r="A1527" s="20" t="n">
        <v>46097</v>
      </c>
      <c r="B1527" s="15" t="s">
        <v>518</v>
      </c>
      <c r="C1527" s="15" t="s">
        <v>69</v>
      </c>
      <c r="D1527" s="15" t="s">
        <v>535</v>
      </c>
      <c r="E1527" s="15" t="n">
        <v>6</v>
      </c>
      <c r="H1527" s="10"/>
      <c r="I1527" s="21"/>
      <c r="M1527" s="10"/>
      <c r="N1527" s="10"/>
      <c r="P1527" s="10"/>
      <c r="Q1527" s="22"/>
    </row>
    <row r="1528" customFormat="false" ht="15.75" hidden="false" customHeight="false" outlineLevel="0" collapsed="false">
      <c r="A1528" s="20" t="n">
        <v>46097</v>
      </c>
      <c r="B1528" s="15" t="s">
        <v>518</v>
      </c>
      <c r="C1528" s="15" t="s">
        <v>33</v>
      </c>
      <c r="D1528" s="15" t="s">
        <v>536</v>
      </c>
      <c r="E1528" s="15" t="n">
        <v>6</v>
      </c>
      <c r="H1528" s="10"/>
      <c r="I1528" s="21"/>
      <c r="M1528" s="10"/>
      <c r="N1528" s="10"/>
      <c r="P1528" s="10"/>
      <c r="Q1528" s="22"/>
    </row>
    <row r="1529" customFormat="false" ht="15.75" hidden="false" customHeight="false" outlineLevel="0" collapsed="false">
      <c r="A1529" s="20" t="n">
        <v>46097</v>
      </c>
      <c r="B1529" s="15" t="s">
        <v>518</v>
      </c>
      <c r="C1529" s="15" t="s">
        <v>47</v>
      </c>
      <c r="D1529" s="15" t="s">
        <v>549</v>
      </c>
      <c r="E1529" s="15" t="n">
        <v>2</v>
      </c>
      <c r="H1529" s="10"/>
      <c r="I1529" s="21"/>
      <c r="M1529" s="10"/>
      <c r="N1529" s="10"/>
      <c r="P1529" s="10"/>
      <c r="Q1529" s="22"/>
    </row>
    <row r="1530" customFormat="false" ht="15.75" hidden="false" customHeight="false" outlineLevel="0" collapsed="false">
      <c r="A1530" s="20" t="n">
        <v>46097</v>
      </c>
      <c r="B1530" s="15" t="s">
        <v>518</v>
      </c>
      <c r="C1530" s="15" t="s">
        <v>51</v>
      </c>
      <c r="D1530" s="15" t="s">
        <v>573</v>
      </c>
      <c r="E1530" s="15" t="n">
        <v>1</v>
      </c>
      <c r="H1530" s="10"/>
      <c r="I1530" s="21"/>
      <c r="M1530" s="10"/>
      <c r="N1530" s="10"/>
      <c r="P1530" s="10"/>
      <c r="Q1530" s="22"/>
    </row>
    <row r="1531" customFormat="false" ht="15.75" hidden="false" customHeight="false" outlineLevel="0" collapsed="false">
      <c r="A1531" s="20" t="n">
        <v>46097</v>
      </c>
      <c r="B1531" s="15" t="s">
        <v>518</v>
      </c>
      <c r="C1531" s="15" t="s">
        <v>55</v>
      </c>
      <c r="D1531" s="15" t="s">
        <v>539</v>
      </c>
      <c r="E1531" s="15" t="n">
        <v>2</v>
      </c>
      <c r="H1531" s="10"/>
      <c r="I1531" s="21"/>
      <c r="M1531" s="10"/>
      <c r="N1531" s="10"/>
      <c r="P1531" s="10"/>
      <c r="Q1531" s="22"/>
    </row>
    <row r="1532" customFormat="false" ht="15.75" hidden="false" customHeight="false" outlineLevel="0" collapsed="false">
      <c r="A1532" s="20" t="n">
        <v>46097</v>
      </c>
      <c r="B1532" s="15" t="s">
        <v>518</v>
      </c>
      <c r="C1532" s="15" t="s">
        <v>37</v>
      </c>
      <c r="D1532" s="15" t="s">
        <v>561</v>
      </c>
      <c r="E1532" s="15" t="n">
        <v>2</v>
      </c>
      <c r="H1532" s="10"/>
      <c r="I1532" s="21"/>
      <c r="M1532" s="10"/>
      <c r="N1532" s="10"/>
      <c r="P1532" s="10"/>
      <c r="Q1532" s="22"/>
    </row>
    <row r="1533" customFormat="false" ht="15.75" hidden="false" customHeight="false" outlineLevel="0" collapsed="false">
      <c r="A1533" s="20" t="n">
        <v>46097</v>
      </c>
      <c r="B1533" s="15" t="s">
        <v>518</v>
      </c>
      <c r="C1533" s="15" t="s">
        <v>547</v>
      </c>
      <c r="D1533" s="15" t="s">
        <v>548</v>
      </c>
      <c r="E1533" s="15" t="n">
        <v>1</v>
      </c>
      <c r="H1533" s="10"/>
      <c r="I1533" s="21"/>
      <c r="M1533" s="10"/>
      <c r="N1533" s="10"/>
      <c r="P1533" s="10"/>
      <c r="Q1533" s="22"/>
    </row>
    <row r="1534" customFormat="false" ht="15.75" hidden="false" customHeight="false" outlineLevel="0" collapsed="false">
      <c r="A1534" s="20" t="n">
        <v>46097</v>
      </c>
      <c r="B1534" s="15" t="s">
        <v>518</v>
      </c>
      <c r="C1534" s="15" t="s">
        <v>81</v>
      </c>
      <c r="D1534" s="15" t="s">
        <v>534</v>
      </c>
      <c r="E1534" s="15" t="n">
        <v>1</v>
      </c>
      <c r="H1534" s="10"/>
      <c r="I1534" s="21"/>
      <c r="M1534" s="10"/>
      <c r="N1534" s="10"/>
      <c r="P1534" s="10"/>
      <c r="Q1534" s="22"/>
    </row>
    <row r="1535" customFormat="false" ht="15.75" hidden="false" customHeight="false" outlineLevel="0" collapsed="false">
      <c r="A1535" s="20" t="n">
        <v>46097</v>
      </c>
      <c r="B1535" s="15" t="s">
        <v>519</v>
      </c>
      <c r="C1535" s="15" t="s">
        <v>69</v>
      </c>
      <c r="D1535" s="15" t="s">
        <v>535</v>
      </c>
      <c r="E1535" s="15" t="n">
        <v>6</v>
      </c>
      <c r="H1535" s="10"/>
      <c r="I1535" s="21"/>
      <c r="M1535" s="10"/>
      <c r="N1535" s="10"/>
      <c r="P1535" s="10"/>
      <c r="Q1535" s="22"/>
    </row>
    <row r="1536" customFormat="false" ht="15.75" hidden="false" customHeight="false" outlineLevel="0" collapsed="false">
      <c r="A1536" s="20" t="n">
        <v>46097</v>
      </c>
      <c r="B1536" s="15" t="s">
        <v>519</v>
      </c>
      <c r="C1536" s="15" t="s">
        <v>33</v>
      </c>
      <c r="D1536" s="15" t="s">
        <v>536</v>
      </c>
      <c r="E1536" s="15" t="n">
        <v>6</v>
      </c>
      <c r="H1536" s="10"/>
      <c r="I1536" s="21"/>
      <c r="M1536" s="10"/>
      <c r="N1536" s="10"/>
      <c r="P1536" s="10"/>
      <c r="Q1536" s="22"/>
    </row>
    <row r="1537" customFormat="false" ht="15.75" hidden="false" customHeight="false" outlineLevel="0" collapsed="false">
      <c r="A1537" s="20" t="n">
        <v>46097</v>
      </c>
      <c r="B1537" s="15" t="s">
        <v>519</v>
      </c>
      <c r="C1537" s="15" t="s">
        <v>55</v>
      </c>
      <c r="D1537" s="15" t="s">
        <v>539</v>
      </c>
      <c r="E1537" s="15" t="n">
        <v>2</v>
      </c>
      <c r="H1537" s="10"/>
      <c r="I1537" s="21"/>
      <c r="M1537" s="10"/>
      <c r="N1537" s="10"/>
      <c r="P1537" s="10"/>
      <c r="Q1537" s="22"/>
    </row>
    <row r="1538" customFormat="false" ht="15.75" hidden="false" customHeight="false" outlineLevel="0" collapsed="false">
      <c r="A1538" s="20" t="n">
        <v>46097</v>
      </c>
      <c r="B1538" s="15" t="s">
        <v>519</v>
      </c>
      <c r="C1538" s="15" t="s">
        <v>51</v>
      </c>
      <c r="D1538" s="15" t="s">
        <v>573</v>
      </c>
      <c r="E1538" s="15" t="n">
        <v>1</v>
      </c>
      <c r="H1538" s="10"/>
      <c r="I1538" s="21"/>
      <c r="M1538" s="10"/>
      <c r="N1538" s="10"/>
      <c r="P1538" s="10"/>
      <c r="Q1538" s="22"/>
    </row>
    <row r="1539" customFormat="false" ht="15.75" hidden="false" customHeight="false" outlineLevel="0" collapsed="false">
      <c r="A1539" s="20" t="n">
        <v>46097</v>
      </c>
      <c r="B1539" s="15" t="s">
        <v>519</v>
      </c>
      <c r="C1539" s="15" t="s">
        <v>47</v>
      </c>
      <c r="D1539" s="15" t="s">
        <v>549</v>
      </c>
      <c r="E1539" s="15" t="n">
        <v>1</v>
      </c>
      <c r="H1539" s="10"/>
      <c r="I1539" s="21"/>
      <c r="M1539" s="10"/>
      <c r="N1539" s="10"/>
      <c r="P1539" s="10"/>
      <c r="Q1539" s="22"/>
    </row>
    <row r="1540" customFormat="false" ht="15.75" hidden="false" customHeight="false" outlineLevel="0" collapsed="false">
      <c r="A1540" s="20" t="n">
        <v>46097</v>
      </c>
      <c r="B1540" s="15" t="s">
        <v>519</v>
      </c>
      <c r="C1540" s="15" t="s">
        <v>81</v>
      </c>
      <c r="D1540" s="15" t="s">
        <v>534</v>
      </c>
      <c r="E1540" s="15" t="n">
        <v>1</v>
      </c>
      <c r="H1540" s="10"/>
      <c r="I1540" s="21"/>
      <c r="M1540" s="10"/>
      <c r="N1540" s="10"/>
      <c r="P1540" s="10"/>
      <c r="Q1540" s="22"/>
    </row>
    <row r="1541" customFormat="false" ht="15.75" hidden="false" customHeight="false" outlineLevel="0" collapsed="false">
      <c r="A1541" s="20" t="n">
        <v>46097</v>
      </c>
      <c r="B1541" s="15" t="s">
        <v>519</v>
      </c>
      <c r="C1541" s="15" t="s">
        <v>547</v>
      </c>
      <c r="D1541" s="15" t="s">
        <v>548</v>
      </c>
      <c r="E1541" s="15" t="n">
        <v>1</v>
      </c>
      <c r="H1541" s="10"/>
      <c r="I1541" s="21"/>
      <c r="M1541" s="10"/>
      <c r="N1541" s="10"/>
      <c r="P1541" s="10"/>
      <c r="Q1541" s="22"/>
    </row>
    <row r="1542" customFormat="false" ht="15.75" hidden="false" customHeight="false" outlineLevel="0" collapsed="false">
      <c r="A1542" s="20" t="n">
        <v>46098</v>
      </c>
      <c r="B1542" s="15" t="s">
        <v>450</v>
      </c>
      <c r="C1542" s="15" t="s">
        <v>37</v>
      </c>
      <c r="D1542" s="15" t="s">
        <v>561</v>
      </c>
      <c r="E1542" s="15" t="n">
        <v>1</v>
      </c>
      <c r="H1542" s="10"/>
      <c r="I1542" s="21"/>
      <c r="M1542" s="10"/>
      <c r="N1542" s="10"/>
      <c r="P1542" s="10"/>
      <c r="Q1542" s="22"/>
    </row>
    <row r="1543" customFormat="false" ht="15.75" hidden="false" customHeight="false" outlineLevel="0" collapsed="false">
      <c r="A1543" s="20" t="n">
        <v>46098</v>
      </c>
      <c r="B1543" s="15" t="s">
        <v>450</v>
      </c>
      <c r="C1543" s="15" t="s">
        <v>47</v>
      </c>
      <c r="D1543" s="15" t="s">
        <v>549</v>
      </c>
      <c r="E1543" s="15" t="n">
        <v>3</v>
      </c>
      <c r="H1543" s="10"/>
      <c r="I1543" s="21"/>
      <c r="M1543" s="10"/>
      <c r="N1543" s="10"/>
      <c r="P1543" s="10"/>
      <c r="Q1543" s="22"/>
    </row>
    <row r="1544" customFormat="false" ht="15.75" hidden="false" customHeight="false" outlineLevel="0" collapsed="false">
      <c r="A1544" s="20" t="n">
        <v>46098</v>
      </c>
      <c r="B1544" s="15" t="s">
        <v>450</v>
      </c>
      <c r="C1544" s="15" t="s">
        <v>81</v>
      </c>
      <c r="D1544" s="15" t="s">
        <v>534</v>
      </c>
      <c r="E1544" s="15" t="n">
        <v>12</v>
      </c>
      <c r="H1544" s="10"/>
      <c r="I1544" s="21"/>
      <c r="M1544" s="10"/>
      <c r="N1544" s="10"/>
      <c r="P1544" s="10"/>
      <c r="Q1544" s="22"/>
    </row>
    <row r="1545" customFormat="false" ht="15.75" hidden="false" customHeight="false" outlineLevel="0" collapsed="false">
      <c r="A1545" s="20" t="n">
        <v>46098</v>
      </c>
      <c r="B1545" s="15" t="s">
        <v>450</v>
      </c>
      <c r="C1545" s="15" t="s">
        <v>55</v>
      </c>
      <c r="D1545" s="15" t="s">
        <v>539</v>
      </c>
      <c r="E1545" s="15" t="n">
        <v>2</v>
      </c>
      <c r="H1545" s="10"/>
      <c r="I1545" s="21"/>
      <c r="M1545" s="10"/>
      <c r="N1545" s="10"/>
      <c r="P1545" s="10"/>
      <c r="Q1545" s="22"/>
    </row>
    <row r="1546" customFormat="false" ht="15.75" hidden="false" customHeight="false" outlineLevel="0" collapsed="false">
      <c r="A1546" s="20" t="n">
        <v>46098</v>
      </c>
      <c r="B1546" s="15" t="s">
        <v>450</v>
      </c>
      <c r="C1546" s="15" t="s">
        <v>565</v>
      </c>
      <c r="D1546" s="15" t="s">
        <v>566</v>
      </c>
      <c r="E1546" s="15" t="n">
        <v>4</v>
      </c>
      <c r="H1546" s="10"/>
      <c r="I1546" s="21"/>
      <c r="M1546" s="10"/>
      <c r="N1546" s="10"/>
      <c r="P1546" s="10"/>
      <c r="Q1546" s="22"/>
    </row>
    <row r="1547" customFormat="false" ht="15.75" hidden="false" customHeight="false" outlineLevel="0" collapsed="false">
      <c r="A1547" s="20" t="n">
        <v>46098</v>
      </c>
      <c r="B1547" s="15" t="s">
        <v>450</v>
      </c>
      <c r="C1547" s="15" t="s">
        <v>555</v>
      </c>
      <c r="D1547" s="15" t="s">
        <v>556</v>
      </c>
      <c r="E1547" s="15" t="n">
        <v>3</v>
      </c>
      <c r="H1547" s="10"/>
      <c r="I1547" s="21"/>
      <c r="M1547" s="10"/>
      <c r="N1547" s="10"/>
      <c r="P1547" s="10"/>
      <c r="Q1547" s="22"/>
    </row>
    <row r="1548" customFormat="false" ht="15.75" hidden="false" customHeight="false" outlineLevel="0" collapsed="false">
      <c r="A1548" s="20" t="n">
        <v>46098</v>
      </c>
      <c r="B1548" s="15" t="s">
        <v>450</v>
      </c>
      <c r="C1548" s="15" t="s">
        <v>545</v>
      </c>
      <c r="D1548" s="15" t="s">
        <v>546</v>
      </c>
      <c r="E1548" s="15" t="n">
        <v>4</v>
      </c>
      <c r="H1548" s="10"/>
      <c r="I1548" s="21"/>
      <c r="M1548" s="10"/>
      <c r="N1548" s="10"/>
      <c r="P1548" s="10"/>
      <c r="Q1548" s="22"/>
    </row>
    <row r="1549" customFormat="false" ht="15.75" hidden="false" customHeight="false" outlineLevel="0" collapsed="false">
      <c r="A1549" s="20" t="n">
        <v>46098</v>
      </c>
      <c r="B1549" s="15" t="s">
        <v>450</v>
      </c>
      <c r="C1549" s="15" t="s">
        <v>547</v>
      </c>
      <c r="D1549" s="15" t="s">
        <v>548</v>
      </c>
      <c r="E1549" s="15" t="n">
        <v>9</v>
      </c>
      <c r="H1549" s="10"/>
      <c r="I1549" s="21"/>
      <c r="M1549" s="10"/>
      <c r="N1549" s="10"/>
      <c r="P1549" s="10"/>
      <c r="Q1549" s="22"/>
    </row>
    <row r="1550" customFormat="false" ht="15.75" hidden="false" customHeight="false" outlineLevel="0" collapsed="false">
      <c r="A1550" s="20" t="n">
        <v>46098</v>
      </c>
      <c r="B1550" s="15" t="s">
        <v>450</v>
      </c>
      <c r="C1550" s="15" t="s">
        <v>570</v>
      </c>
      <c r="D1550" s="15" t="s">
        <v>571</v>
      </c>
      <c r="E1550" s="15" t="n">
        <v>6</v>
      </c>
      <c r="H1550" s="10"/>
      <c r="I1550" s="21"/>
      <c r="M1550" s="10"/>
      <c r="N1550" s="10"/>
      <c r="P1550" s="10"/>
      <c r="Q1550" s="22"/>
    </row>
    <row r="1551" customFormat="false" ht="15.75" hidden="false" customHeight="false" outlineLevel="0" collapsed="false">
      <c r="A1551" s="20" t="n">
        <v>46098</v>
      </c>
      <c r="B1551" s="15" t="s">
        <v>450</v>
      </c>
      <c r="C1551" s="15" t="s">
        <v>567</v>
      </c>
      <c r="D1551" s="15" t="s">
        <v>568</v>
      </c>
      <c r="E1551" s="15" t="n">
        <v>4</v>
      </c>
      <c r="H1551" s="10"/>
      <c r="I1551" s="21"/>
      <c r="M1551" s="10"/>
      <c r="N1551" s="10"/>
      <c r="P1551" s="10"/>
      <c r="Q1551" s="22"/>
    </row>
    <row r="1552" customFormat="false" ht="15.75" hidden="false" customHeight="false" outlineLevel="0" collapsed="false">
      <c r="A1552" s="20" t="n">
        <v>46098</v>
      </c>
      <c r="B1552" s="15" t="s">
        <v>450</v>
      </c>
      <c r="C1552" s="15" t="s">
        <v>69</v>
      </c>
      <c r="D1552" s="15" t="s">
        <v>535</v>
      </c>
      <c r="E1552" s="15" t="n">
        <v>5</v>
      </c>
      <c r="H1552" s="10"/>
      <c r="I1552" s="21"/>
      <c r="M1552" s="10"/>
      <c r="N1552" s="10"/>
      <c r="P1552" s="10"/>
      <c r="Q1552" s="22"/>
    </row>
    <row r="1553" customFormat="false" ht="15.75" hidden="false" customHeight="false" outlineLevel="0" collapsed="false">
      <c r="A1553" s="20" t="n">
        <v>46098</v>
      </c>
      <c r="B1553" s="15" t="s">
        <v>450</v>
      </c>
      <c r="C1553" s="15" t="s">
        <v>543</v>
      </c>
      <c r="D1553" s="15" t="s">
        <v>544</v>
      </c>
      <c r="E1553" s="15" t="n">
        <v>4</v>
      </c>
      <c r="H1553" s="10"/>
      <c r="I1553" s="21"/>
      <c r="M1553" s="10"/>
      <c r="N1553" s="10"/>
      <c r="P1553" s="10"/>
      <c r="Q1553" s="22"/>
    </row>
    <row r="1554" customFormat="false" ht="15.75" hidden="false" customHeight="false" outlineLevel="0" collapsed="false">
      <c r="A1554" s="20" t="n">
        <v>46098</v>
      </c>
      <c r="B1554" s="15" t="s">
        <v>450</v>
      </c>
      <c r="C1554" s="15" t="s">
        <v>11</v>
      </c>
      <c r="D1554" s="15" t="s">
        <v>572</v>
      </c>
      <c r="E1554" s="15" t="n">
        <v>6</v>
      </c>
      <c r="H1554" s="10"/>
      <c r="I1554" s="21"/>
      <c r="M1554" s="10"/>
      <c r="N1554" s="10"/>
      <c r="P1554" s="10"/>
      <c r="Q1554" s="22"/>
    </row>
    <row r="1555" customFormat="false" ht="15.75" hidden="false" customHeight="false" outlineLevel="0" collapsed="false">
      <c r="A1555" s="20" t="n">
        <v>46098</v>
      </c>
      <c r="B1555" s="15" t="s">
        <v>450</v>
      </c>
      <c r="C1555" s="15" t="s">
        <v>65</v>
      </c>
      <c r="D1555" s="15" t="s">
        <v>580</v>
      </c>
      <c r="E1555" s="15" t="n">
        <v>1</v>
      </c>
      <c r="H1555" s="10"/>
      <c r="I1555" s="21"/>
      <c r="M1555" s="10"/>
      <c r="N1555" s="10"/>
      <c r="P1555" s="10"/>
      <c r="Q1555" s="22"/>
    </row>
    <row r="1556" customFormat="false" ht="15.75" hidden="false" customHeight="false" outlineLevel="0" collapsed="false">
      <c r="A1556" s="20" t="n">
        <v>46098</v>
      </c>
      <c r="B1556" s="15" t="s">
        <v>450</v>
      </c>
      <c r="C1556" s="15" t="s">
        <v>33</v>
      </c>
      <c r="D1556" s="15" t="s">
        <v>536</v>
      </c>
      <c r="E1556" s="15" t="n">
        <v>5</v>
      </c>
      <c r="H1556" s="10"/>
      <c r="I1556" s="21"/>
      <c r="M1556" s="10"/>
      <c r="N1556" s="10"/>
      <c r="P1556" s="10"/>
      <c r="Q1556" s="22"/>
    </row>
    <row r="1557" customFormat="false" ht="15.75" hidden="false" customHeight="false" outlineLevel="0" collapsed="false">
      <c r="A1557" s="20" t="n">
        <v>46098</v>
      </c>
      <c r="B1557" s="15" t="s">
        <v>450</v>
      </c>
      <c r="C1557" s="15" t="s">
        <v>45</v>
      </c>
      <c r="D1557" s="15" t="s">
        <v>540</v>
      </c>
      <c r="E1557" s="15" t="n">
        <v>1</v>
      </c>
      <c r="H1557" s="10"/>
      <c r="I1557" s="21"/>
      <c r="M1557" s="10"/>
      <c r="N1557" s="10"/>
      <c r="P1557" s="10"/>
      <c r="Q1557" s="22"/>
    </row>
    <row r="1558" customFormat="false" ht="15.75" hidden="false" customHeight="false" outlineLevel="0" collapsed="false">
      <c r="A1558" s="20" t="n">
        <v>46098</v>
      </c>
      <c r="B1558" s="15" t="s">
        <v>450</v>
      </c>
      <c r="C1558" s="15" t="s">
        <v>59</v>
      </c>
      <c r="D1558" s="15" t="s">
        <v>562</v>
      </c>
      <c r="E1558" s="15" t="n">
        <v>2</v>
      </c>
      <c r="H1558" s="10"/>
      <c r="I1558" s="21"/>
      <c r="M1558" s="10"/>
      <c r="N1558" s="10"/>
      <c r="P1558" s="10"/>
      <c r="Q1558" s="22"/>
    </row>
    <row r="1559" customFormat="false" ht="15.75" hidden="false" customHeight="false" outlineLevel="0" collapsed="false">
      <c r="A1559" s="20" t="n">
        <v>46098</v>
      </c>
      <c r="B1559" s="15" t="s">
        <v>450</v>
      </c>
      <c r="C1559" s="15" t="s">
        <v>79</v>
      </c>
      <c r="D1559" s="15" t="s">
        <v>564</v>
      </c>
      <c r="E1559" s="15" t="n">
        <v>1</v>
      </c>
      <c r="H1559" s="10"/>
      <c r="I1559" s="21"/>
      <c r="M1559" s="10"/>
      <c r="N1559" s="10"/>
      <c r="P1559" s="10"/>
      <c r="Q1559" s="22"/>
    </row>
    <row r="1560" customFormat="false" ht="15.75" hidden="false" customHeight="false" outlineLevel="0" collapsed="false">
      <c r="A1560" s="20" t="n">
        <v>46098</v>
      </c>
      <c r="B1560" s="15" t="s">
        <v>450</v>
      </c>
      <c r="C1560" s="15" t="s">
        <v>77</v>
      </c>
      <c r="D1560" s="15" t="s">
        <v>78</v>
      </c>
      <c r="E1560" s="15" t="n">
        <v>2</v>
      </c>
      <c r="H1560" s="10"/>
      <c r="I1560" s="21"/>
      <c r="M1560" s="10"/>
      <c r="N1560" s="10"/>
      <c r="P1560" s="10"/>
      <c r="Q1560" s="22"/>
    </row>
    <row r="1561" customFormat="false" ht="15.75" hidden="false" customHeight="false" outlineLevel="0" collapsed="false">
      <c r="A1561" s="20" t="n">
        <v>46098</v>
      </c>
      <c r="B1561" s="15" t="s">
        <v>469</v>
      </c>
      <c r="C1561" s="15" t="s">
        <v>69</v>
      </c>
      <c r="D1561" s="15" t="s">
        <v>535</v>
      </c>
      <c r="E1561" s="15" t="n">
        <v>5</v>
      </c>
      <c r="H1561" s="10"/>
      <c r="I1561" s="21"/>
      <c r="M1561" s="10"/>
      <c r="N1561" s="10"/>
      <c r="P1561" s="10"/>
      <c r="Q1561" s="22"/>
    </row>
    <row r="1562" customFormat="false" ht="15.75" hidden="false" customHeight="false" outlineLevel="0" collapsed="false">
      <c r="A1562" s="20" t="n">
        <v>46098</v>
      </c>
      <c r="B1562" s="15" t="s">
        <v>469</v>
      </c>
      <c r="C1562" s="15" t="s">
        <v>55</v>
      </c>
      <c r="D1562" s="15" t="s">
        <v>539</v>
      </c>
      <c r="E1562" s="15" t="n">
        <v>2</v>
      </c>
      <c r="H1562" s="10"/>
      <c r="I1562" s="21"/>
      <c r="M1562" s="10"/>
      <c r="N1562" s="10"/>
      <c r="P1562" s="10"/>
      <c r="Q1562" s="22"/>
    </row>
    <row r="1563" customFormat="false" ht="15.75" hidden="false" customHeight="false" outlineLevel="0" collapsed="false">
      <c r="A1563" s="20" t="n">
        <v>46098</v>
      </c>
      <c r="B1563" s="15" t="s">
        <v>469</v>
      </c>
      <c r="C1563" s="15" t="s">
        <v>33</v>
      </c>
      <c r="D1563" s="15" t="s">
        <v>536</v>
      </c>
      <c r="E1563" s="15" t="n">
        <v>5</v>
      </c>
      <c r="H1563" s="10"/>
      <c r="I1563" s="21"/>
      <c r="M1563" s="10"/>
      <c r="N1563" s="10"/>
      <c r="P1563" s="10"/>
      <c r="Q1563" s="22"/>
    </row>
    <row r="1564" customFormat="false" ht="15.75" hidden="false" customHeight="false" outlineLevel="0" collapsed="false">
      <c r="A1564" s="20" t="n">
        <v>46098</v>
      </c>
      <c r="B1564" s="15" t="s">
        <v>469</v>
      </c>
      <c r="C1564" s="15" t="s">
        <v>547</v>
      </c>
      <c r="D1564" s="15" t="s">
        <v>548</v>
      </c>
      <c r="E1564" s="15" t="n">
        <v>1</v>
      </c>
      <c r="H1564" s="10"/>
      <c r="I1564" s="21"/>
      <c r="M1564" s="10"/>
      <c r="N1564" s="10"/>
      <c r="P1564" s="10"/>
      <c r="Q1564" s="22"/>
    </row>
    <row r="1565" customFormat="false" ht="15.75" hidden="false" customHeight="false" outlineLevel="0" collapsed="false">
      <c r="A1565" s="20" t="n">
        <v>46098</v>
      </c>
      <c r="B1565" s="15" t="s">
        <v>469</v>
      </c>
      <c r="C1565" s="15" t="s">
        <v>81</v>
      </c>
      <c r="D1565" s="15" t="s">
        <v>534</v>
      </c>
      <c r="E1565" s="15" t="n">
        <v>2</v>
      </c>
      <c r="H1565" s="10"/>
      <c r="I1565" s="21"/>
      <c r="M1565" s="10"/>
      <c r="N1565" s="10"/>
      <c r="P1565" s="10"/>
      <c r="Q1565" s="22"/>
    </row>
    <row r="1566" customFormat="false" ht="15.75" hidden="false" customHeight="false" outlineLevel="0" collapsed="false">
      <c r="A1566" s="20" t="n">
        <v>46098</v>
      </c>
      <c r="B1566" s="15" t="s">
        <v>478</v>
      </c>
      <c r="C1566" s="15" t="s">
        <v>547</v>
      </c>
      <c r="D1566" s="15" t="s">
        <v>548</v>
      </c>
      <c r="E1566" s="15" t="n">
        <v>2</v>
      </c>
      <c r="H1566" s="10"/>
      <c r="I1566" s="21"/>
      <c r="M1566" s="10"/>
      <c r="N1566" s="10"/>
      <c r="P1566" s="10"/>
      <c r="Q1566" s="22"/>
    </row>
    <row r="1567" customFormat="false" ht="15.75" hidden="false" customHeight="false" outlineLevel="0" collapsed="false">
      <c r="A1567" s="20" t="n">
        <v>46098</v>
      </c>
      <c r="B1567" s="15" t="s">
        <v>478</v>
      </c>
      <c r="C1567" s="15" t="s">
        <v>69</v>
      </c>
      <c r="D1567" s="15" t="s">
        <v>535</v>
      </c>
      <c r="E1567" s="15" t="n">
        <v>2</v>
      </c>
      <c r="H1567" s="10"/>
      <c r="I1567" s="21"/>
      <c r="M1567" s="10"/>
      <c r="N1567" s="10"/>
      <c r="P1567" s="10"/>
      <c r="Q1567" s="22"/>
    </row>
    <row r="1568" customFormat="false" ht="15.75" hidden="false" customHeight="false" outlineLevel="0" collapsed="false">
      <c r="A1568" s="20" t="n">
        <v>46098</v>
      </c>
      <c r="B1568" s="15" t="s">
        <v>495</v>
      </c>
      <c r="C1568" s="15" t="s">
        <v>55</v>
      </c>
      <c r="D1568" s="15" t="s">
        <v>539</v>
      </c>
      <c r="E1568" s="15" t="n">
        <v>1</v>
      </c>
      <c r="H1568" s="10"/>
      <c r="I1568" s="21"/>
      <c r="M1568" s="10"/>
      <c r="N1568" s="10"/>
      <c r="P1568" s="10"/>
      <c r="Q1568" s="22"/>
    </row>
    <row r="1569" customFormat="false" ht="15.75" hidden="false" customHeight="false" outlineLevel="0" collapsed="false">
      <c r="A1569" s="20" t="n">
        <v>46098</v>
      </c>
      <c r="B1569" s="15" t="s">
        <v>495</v>
      </c>
      <c r="C1569" s="15" t="s">
        <v>81</v>
      </c>
      <c r="D1569" s="15" t="s">
        <v>534</v>
      </c>
      <c r="E1569" s="15" t="n">
        <v>3</v>
      </c>
      <c r="H1569" s="10"/>
      <c r="I1569" s="21"/>
      <c r="M1569" s="10"/>
      <c r="N1569" s="10"/>
      <c r="P1569" s="10"/>
      <c r="Q1569" s="22"/>
    </row>
    <row r="1570" customFormat="false" ht="15.75" hidden="false" customHeight="false" outlineLevel="0" collapsed="false">
      <c r="A1570" s="20" t="n">
        <v>46098</v>
      </c>
      <c r="B1570" s="15" t="s">
        <v>495</v>
      </c>
      <c r="C1570" s="15" t="s">
        <v>75</v>
      </c>
      <c r="D1570" s="15" t="s">
        <v>560</v>
      </c>
      <c r="E1570" s="15" t="n">
        <v>1</v>
      </c>
      <c r="H1570" s="10"/>
      <c r="I1570" s="21"/>
      <c r="M1570" s="10"/>
      <c r="N1570" s="10"/>
      <c r="P1570" s="10"/>
      <c r="Q1570" s="22"/>
    </row>
    <row r="1571" customFormat="false" ht="15.75" hidden="false" customHeight="false" outlineLevel="0" collapsed="false">
      <c r="A1571" s="20" t="n">
        <v>46098</v>
      </c>
      <c r="B1571" s="15" t="s">
        <v>495</v>
      </c>
      <c r="C1571" s="15" t="s">
        <v>43</v>
      </c>
      <c r="D1571" s="15" t="s">
        <v>538</v>
      </c>
      <c r="E1571" s="15" t="n">
        <v>1</v>
      </c>
      <c r="H1571" s="10"/>
      <c r="I1571" s="21"/>
      <c r="M1571" s="10"/>
      <c r="N1571" s="10"/>
      <c r="P1571" s="10"/>
      <c r="Q1571" s="22"/>
    </row>
    <row r="1572" customFormat="false" ht="15.75" hidden="false" customHeight="false" outlineLevel="0" collapsed="false">
      <c r="A1572" s="20" t="n">
        <v>46098</v>
      </c>
      <c r="B1572" s="15" t="s">
        <v>495</v>
      </c>
      <c r="C1572" s="15" t="s">
        <v>69</v>
      </c>
      <c r="D1572" s="15" t="s">
        <v>535</v>
      </c>
      <c r="E1572" s="15" t="n">
        <v>5</v>
      </c>
      <c r="H1572" s="10"/>
      <c r="I1572" s="21"/>
      <c r="M1572" s="10"/>
      <c r="N1572" s="10"/>
      <c r="P1572" s="10"/>
      <c r="Q1572" s="22"/>
    </row>
    <row r="1573" customFormat="false" ht="15.75" hidden="false" customHeight="false" outlineLevel="0" collapsed="false">
      <c r="A1573" s="20" t="n">
        <v>46098</v>
      </c>
      <c r="B1573" s="15" t="s">
        <v>495</v>
      </c>
      <c r="C1573" s="15" t="s">
        <v>547</v>
      </c>
      <c r="D1573" s="15" t="s">
        <v>548</v>
      </c>
      <c r="E1573" s="15" t="n">
        <v>3</v>
      </c>
      <c r="H1573" s="10"/>
      <c r="I1573" s="21"/>
      <c r="M1573" s="10"/>
      <c r="N1573" s="10"/>
      <c r="P1573" s="10"/>
      <c r="Q1573" s="22"/>
    </row>
    <row r="1574" customFormat="false" ht="15.75" hidden="false" customHeight="false" outlineLevel="0" collapsed="false">
      <c r="A1574" s="20" t="n">
        <v>46098</v>
      </c>
      <c r="B1574" s="15" t="s">
        <v>495</v>
      </c>
      <c r="C1574" s="15" t="s">
        <v>25</v>
      </c>
      <c r="D1574" s="15" t="s">
        <v>26</v>
      </c>
      <c r="E1574" s="15" t="n">
        <v>3</v>
      </c>
      <c r="H1574" s="10"/>
      <c r="I1574" s="21"/>
      <c r="M1574" s="10"/>
      <c r="N1574" s="10"/>
      <c r="P1574" s="10"/>
      <c r="Q1574" s="22"/>
    </row>
    <row r="1575" customFormat="false" ht="15.75" hidden="false" customHeight="false" outlineLevel="0" collapsed="false">
      <c r="A1575" s="20" t="n">
        <v>46098</v>
      </c>
      <c r="B1575" s="15" t="s">
        <v>495</v>
      </c>
      <c r="C1575" s="15" t="s">
        <v>543</v>
      </c>
      <c r="D1575" s="15" t="s">
        <v>544</v>
      </c>
      <c r="E1575" s="15" t="n">
        <v>6</v>
      </c>
      <c r="H1575" s="10"/>
      <c r="I1575" s="21"/>
      <c r="M1575" s="10"/>
      <c r="N1575" s="10"/>
      <c r="P1575" s="10"/>
      <c r="Q1575" s="22"/>
    </row>
    <row r="1576" customFormat="false" ht="15.75" hidden="false" customHeight="false" outlineLevel="0" collapsed="false">
      <c r="A1576" s="20" t="n">
        <v>46098</v>
      </c>
      <c r="B1576" s="15" t="s">
        <v>495</v>
      </c>
      <c r="C1576" s="15" t="s">
        <v>545</v>
      </c>
      <c r="D1576" s="15" t="s">
        <v>546</v>
      </c>
      <c r="E1576" s="15" t="n">
        <v>3</v>
      </c>
      <c r="H1576" s="10"/>
      <c r="I1576" s="21"/>
      <c r="M1576" s="10"/>
      <c r="N1576" s="10"/>
      <c r="P1576" s="10"/>
      <c r="Q1576" s="22"/>
    </row>
    <row r="1577" customFormat="false" ht="15.75" hidden="false" customHeight="false" outlineLevel="0" collapsed="false">
      <c r="A1577" s="20" t="n">
        <v>46098</v>
      </c>
      <c r="B1577" s="15" t="s">
        <v>495</v>
      </c>
      <c r="C1577" s="15" t="s">
        <v>63</v>
      </c>
      <c r="D1577" s="15" t="s">
        <v>551</v>
      </c>
      <c r="E1577" s="15" t="n">
        <v>1</v>
      </c>
      <c r="H1577" s="10"/>
      <c r="I1577" s="21"/>
      <c r="M1577" s="10"/>
      <c r="N1577" s="10"/>
      <c r="P1577" s="10"/>
      <c r="Q1577" s="22"/>
    </row>
    <row r="1578" customFormat="false" ht="15.75" hidden="false" customHeight="false" outlineLevel="0" collapsed="false">
      <c r="A1578" s="20" t="n">
        <v>46098</v>
      </c>
      <c r="B1578" s="15" t="s">
        <v>495</v>
      </c>
      <c r="C1578" s="15" t="s">
        <v>77</v>
      </c>
      <c r="D1578" s="15" t="s">
        <v>78</v>
      </c>
      <c r="E1578" s="15" t="n">
        <v>3</v>
      </c>
      <c r="H1578" s="10"/>
      <c r="I1578" s="21"/>
      <c r="M1578" s="10"/>
      <c r="N1578" s="10"/>
      <c r="P1578" s="10"/>
      <c r="Q1578" s="22"/>
    </row>
    <row r="1579" customFormat="false" ht="15.75" hidden="false" customHeight="false" outlineLevel="0" collapsed="false">
      <c r="A1579" s="20" t="n">
        <v>46098</v>
      </c>
      <c r="B1579" s="15" t="s">
        <v>495</v>
      </c>
      <c r="C1579" s="15" t="s">
        <v>61</v>
      </c>
      <c r="D1579" s="15" t="s">
        <v>576</v>
      </c>
      <c r="E1579" s="15" t="n">
        <v>1</v>
      </c>
      <c r="H1579" s="10"/>
      <c r="I1579" s="21"/>
      <c r="M1579" s="10"/>
      <c r="N1579" s="10"/>
      <c r="P1579" s="10"/>
      <c r="Q1579" s="22"/>
    </row>
    <row r="1580" customFormat="false" ht="15.75" hidden="false" customHeight="false" outlineLevel="0" collapsed="false">
      <c r="A1580" s="20" t="n">
        <v>46098</v>
      </c>
      <c r="B1580" s="15" t="s">
        <v>495</v>
      </c>
      <c r="C1580" s="15" t="s">
        <v>33</v>
      </c>
      <c r="D1580" s="15" t="s">
        <v>536</v>
      </c>
      <c r="E1580" s="15" t="n">
        <v>2</v>
      </c>
      <c r="H1580" s="10"/>
      <c r="I1580" s="21"/>
      <c r="M1580" s="10"/>
      <c r="N1580" s="10"/>
      <c r="P1580" s="10"/>
      <c r="Q1580" s="22"/>
    </row>
    <row r="1581" customFormat="false" ht="15.75" hidden="false" customHeight="false" outlineLevel="0" collapsed="false">
      <c r="A1581" s="20" t="n">
        <v>46098</v>
      </c>
      <c r="B1581" s="15" t="s">
        <v>495</v>
      </c>
      <c r="C1581" s="15" t="s">
        <v>59</v>
      </c>
      <c r="D1581" s="15" t="s">
        <v>562</v>
      </c>
      <c r="E1581" s="15" t="n">
        <v>2</v>
      </c>
      <c r="H1581" s="10"/>
      <c r="I1581" s="21"/>
      <c r="M1581" s="10"/>
      <c r="N1581" s="10"/>
      <c r="P1581" s="10"/>
      <c r="Q1581" s="22"/>
    </row>
    <row r="1582" customFormat="false" ht="15.75" hidden="false" customHeight="false" outlineLevel="0" collapsed="false">
      <c r="A1582" s="20" t="n">
        <v>46098</v>
      </c>
      <c r="B1582" s="15" t="s">
        <v>496</v>
      </c>
      <c r="C1582" s="15" t="s">
        <v>81</v>
      </c>
      <c r="D1582" s="15" t="s">
        <v>534</v>
      </c>
      <c r="E1582" s="15" t="n">
        <v>7</v>
      </c>
      <c r="H1582" s="10"/>
      <c r="I1582" s="21"/>
      <c r="M1582" s="10"/>
      <c r="N1582" s="10"/>
      <c r="P1582" s="10"/>
      <c r="Q1582" s="22"/>
    </row>
    <row r="1583" customFormat="false" ht="15.75" hidden="false" customHeight="false" outlineLevel="0" collapsed="false">
      <c r="A1583" s="20" t="n">
        <v>46098</v>
      </c>
      <c r="B1583" s="15" t="s">
        <v>496</v>
      </c>
      <c r="C1583" s="15" t="s">
        <v>47</v>
      </c>
      <c r="D1583" s="15" t="s">
        <v>549</v>
      </c>
      <c r="E1583" s="15" t="n">
        <v>4</v>
      </c>
      <c r="H1583" s="10"/>
      <c r="I1583" s="21"/>
      <c r="M1583" s="10"/>
      <c r="N1583" s="10"/>
      <c r="P1583" s="10"/>
      <c r="Q1583" s="22"/>
    </row>
    <row r="1584" customFormat="false" ht="15.75" hidden="false" customHeight="false" outlineLevel="0" collapsed="false">
      <c r="A1584" s="20" t="n">
        <v>46098</v>
      </c>
      <c r="B1584" s="15" t="s">
        <v>496</v>
      </c>
      <c r="C1584" s="15" t="s">
        <v>55</v>
      </c>
      <c r="D1584" s="15" t="s">
        <v>539</v>
      </c>
      <c r="E1584" s="15" t="n">
        <v>2</v>
      </c>
      <c r="H1584" s="10"/>
      <c r="I1584" s="21"/>
      <c r="M1584" s="10"/>
      <c r="N1584" s="10"/>
      <c r="P1584" s="10"/>
      <c r="Q1584" s="22"/>
    </row>
    <row r="1585" customFormat="false" ht="15.75" hidden="false" customHeight="false" outlineLevel="0" collapsed="false">
      <c r="A1585" s="20" t="n">
        <v>46098</v>
      </c>
      <c r="B1585" s="15" t="s">
        <v>496</v>
      </c>
      <c r="C1585" s="15" t="s">
        <v>567</v>
      </c>
      <c r="D1585" s="15" t="s">
        <v>568</v>
      </c>
      <c r="E1585" s="15" t="n">
        <v>3</v>
      </c>
      <c r="H1585" s="10"/>
      <c r="I1585" s="21"/>
      <c r="M1585" s="10"/>
      <c r="N1585" s="10"/>
      <c r="P1585" s="10"/>
      <c r="Q1585" s="22"/>
    </row>
    <row r="1586" customFormat="false" ht="15.75" hidden="false" customHeight="false" outlineLevel="0" collapsed="false">
      <c r="A1586" s="20" t="n">
        <v>46098</v>
      </c>
      <c r="B1586" s="15" t="s">
        <v>496</v>
      </c>
      <c r="C1586" s="15" t="s">
        <v>545</v>
      </c>
      <c r="D1586" s="15" t="s">
        <v>546</v>
      </c>
      <c r="E1586" s="15" t="n">
        <v>3</v>
      </c>
      <c r="H1586" s="10"/>
      <c r="I1586" s="21"/>
      <c r="M1586" s="10"/>
      <c r="N1586" s="10"/>
      <c r="P1586" s="10"/>
      <c r="Q1586" s="22"/>
    </row>
    <row r="1587" customFormat="false" ht="15.75" hidden="false" customHeight="false" outlineLevel="0" collapsed="false">
      <c r="A1587" s="20" t="n">
        <v>46098</v>
      </c>
      <c r="B1587" s="15" t="s">
        <v>496</v>
      </c>
      <c r="C1587" s="15" t="s">
        <v>547</v>
      </c>
      <c r="D1587" s="15" t="s">
        <v>548</v>
      </c>
      <c r="E1587" s="15" t="n">
        <v>1</v>
      </c>
      <c r="H1587" s="10"/>
      <c r="I1587" s="21"/>
      <c r="M1587" s="10"/>
      <c r="N1587" s="10"/>
      <c r="P1587" s="10"/>
      <c r="Q1587" s="22"/>
    </row>
    <row r="1588" customFormat="false" ht="15.75" hidden="false" customHeight="false" outlineLevel="0" collapsed="false">
      <c r="A1588" s="20" t="n">
        <v>46098</v>
      </c>
      <c r="B1588" s="15" t="s">
        <v>496</v>
      </c>
      <c r="C1588" s="15" t="s">
        <v>555</v>
      </c>
      <c r="D1588" s="15" t="s">
        <v>556</v>
      </c>
      <c r="E1588" s="15" t="n">
        <v>4</v>
      </c>
      <c r="H1588" s="10"/>
      <c r="I1588" s="21"/>
      <c r="M1588" s="10"/>
      <c r="N1588" s="10"/>
      <c r="P1588" s="10"/>
      <c r="Q1588" s="22"/>
    </row>
    <row r="1589" customFormat="false" ht="15.75" hidden="false" customHeight="false" outlineLevel="0" collapsed="false">
      <c r="A1589" s="20" t="n">
        <v>46098</v>
      </c>
      <c r="B1589" s="15" t="s">
        <v>496</v>
      </c>
      <c r="C1589" s="15" t="s">
        <v>541</v>
      </c>
      <c r="D1589" s="15" t="s">
        <v>542</v>
      </c>
      <c r="E1589" s="15" t="n">
        <v>4</v>
      </c>
      <c r="H1589" s="10"/>
      <c r="I1589" s="21"/>
      <c r="M1589" s="10"/>
      <c r="N1589" s="10"/>
      <c r="P1589" s="10"/>
      <c r="Q1589" s="22"/>
    </row>
    <row r="1590" customFormat="false" ht="15.75" hidden="false" customHeight="false" outlineLevel="0" collapsed="false">
      <c r="A1590" s="20" t="n">
        <v>46098</v>
      </c>
      <c r="B1590" s="15" t="s">
        <v>496</v>
      </c>
      <c r="C1590" s="15" t="s">
        <v>45</v>
      </c>
      <c r="D1590" s="15" t="s">
        <v>540</v>
      </c>
      <c r="E1590" s="15" t="n">
        <v>1</v>
      </c>
      <c r="H1590" s="10"/>
      <c r="I1590" s="21"/>
      <c r="M1590" s="10"/>
      <c r="N1590" s="10"/>
      <c r="P1590" s="10"/>
      <c r="Q1590" s="22"/>
    </row>
    <row r="1591" customFormat="false" ht="15.75" hidden="false" customHeight="false" outlineLevel="0" collapsed="false">
      <c r="A1591" s="20" t="n">
        <v>46098</v>
      </c>
      <c r="B1591" s="15" t="s">
        <v>496</v>
      </c>
      <c r="C1591" s="15" t="s">
        <v>37</v>
      </c>
      <c r="D1591" s="15" t="s">
        <v>561</v>
      </c>
      <c r="E1591" s="15" t="n">
        <v>1</v>
      </c>
      <c r="H1591" s="10"/>
      <c r="I1591" s="21"/>
      <c r="M1591" s="10"/>
      <c r="N1591" s="10"/>
      <c r="P1591" s="10"/>
      <c r="Q1591" s="22"/>
    </row>
    <row r="1592" customFormat="false" ht="15.75" hidden="false" customHeight="false" outlineLevel="0" collapsed="false">
      <c r="A1592" s="20" t="n">
        <v>46098</v>
      </c>
      <c r="B1592" s="15" t="s">
        <v>496</v>
      </c>
      <c r="C1592" s="15" t="s">
        <v>543</v>
      </c>
      <c r="D1592" s="15" t="s">
        <v>544</v>
      </c>
      <c r="E1592" s="15" t="n">
        <v>4</v>
      </c>
      <c r="H1592" s="10"/>
      <c r="I1592" s="21"/>
      <c r="M1592" s="10"/>
      <c r="N1592" s="10"/>
      <c r="P1592" s="10"/>
      <c r="Q1592" s="22"/>
    </row>
    <row r="1593" customFormat="false" ht="15.75" hidden="false" customHeight="false" outlineLevel="0" collapsed="false">
      <c r="A1593" s="20" t="n">
        <v>46098</v>
      </c>
      <c r="B1593" s="15" t="s">
        <v>496</v>
      </c>
      <c r="C1593" s="15" t="s">
        <v>69</v>
      </c>
      <c r="D1593" s="15" t="s">
        <v>535</v>
      </c>
      <c r="E1593" s="15" t="n">
        <v>2</v>
      </c>
      <c r="H1593" s="10"/>
      <c r="I1593" s="21"/>
      <c r="M1593" s="10"/>
      <c r="N1593" s="10"/>
      <c r="P1593" s="10"/>
      <c r="Q1593" s="22"/>
    </row>
    <row r="1594" customFormat="false" ht="15.75" hidden="false" customHeight="false" outlineLevel="0" collapsed="false">
      <c r="A1594" s="20" t="n">
        <v>46098</v>
      </c>
      <c r="B1594" s="15" t="s">
        <v>496</v>
      </c>
      <c r="C1594" s="15" t="s">
        <v>77</v>
      </c>
      <c r="D1594" s="15" t="s">
        <v>78</v>
      </c>
      <c r="E1594" s="15" t="n">
        <v>2</v>
      </c>
      <c r="H1594" s="10"/>
      <c r="I1594" s="21"/>
      <c r="M1594" s="10"/>
      <c r="N1594" s="10"/>
      <c r="P1594" s="10"/>
      <c r="Q1594" s="22"/>
    </row>
    <row r="1595" customFormat="false" ht="15.75" hidden="false" customHeight="false" outlineLevel="0" collapsed="false">
      <c r="A1595" s="20" t="n">
        <v>46098</v>
      </c>
      <c r="B1595" s="15" t="s">
        <v>496</v>
      </c>
      <c r="C1595" s="15" t="s">
        <v>59</v>
      </c>
      <c r="D1595" s="15" t="s">
        <v>562</v>
      </c>
      <c r="E1595" s="15" t="n">
        <v>2</v>
      </c>
      <c r="H1595" s="10"/>
      <c r="I1595" s="21"/>
      <c r="M1595" s="10"/>
      <c r="N1595" s="10"/>
      <c r="P1595" s="10"/>
      <c r="Q1595" s="22"/>
    </row>
    <row r="1596" customFormat="false" ht="15.75" hidden="false" customHeight="false" outlineLevel="0" collapsed="false">
      <c r="A1596" s="20" t="n">
        <v>46098</v>
      </c>
      <c r="B1596" s="15" t="s">
        <v>496</v>
      </c>
      <c r="C1596" s="15" t="s">
        <v>33</v>
      </c>
      <c r="D1596" s="15" t="s">
        <v>536</v>
      </c>
      <c r="E1596" s="15" t="n">
        <v>2</v>
      </c>
      <c r="H1596" s="10"/>
      <c r="I1596" s="21"/>
      <c r="M1596" s="10"/>
      <c r="N1596" s="10"/>
      <c r="P1596" s="10"/>
      <c r="Q1596" s="22"/>
    </row>
    <row r="1597" customFormat="false" ht="15.75" hidden="false" customHeight="false" outlineLevel="0" collapsed="false">
      <c r="A1597" s="20" t="n">
        <v>46098</v>
      </c>
      <c r="B1597" s="15" t="s">
        <v>496</v>
      </c>
      <c r="C1597" s="15" t="s">
        <v>79</v>
      </c>
      <c r="D1597" s="15" t="s">
        <v>564</v>
      </c>
      <c r="E1597" s="15" t="n">
        <v>1</v>
      </c>
      <c r="H1597" s="10"/>
      <c r="I1597" s="21"/>
      <c r="M1597" s="10"/>
      <c r="N1597" s="10"/>
      <c r="P1597" s="10"/>
      <c r="Q1597" s="22"/>
    </row>
    <row r="1598" customFormat="false" ht="15.75" hidden="false" customHeight="false" outlineLevel="0" collapsed="false">
      <c r="A1598" s="20" t="n">
        <v>46098</v>
      </c>
      <c r="B1598" s="15" t="s">
        <v>496</v>
      </c>
      <c r="C1598" s="15" t="s">
        <v>65</v>
      </c>
      <c r="D1598" s="15" t="s">
        <v>580</v>
      </c>
      <c r="E1598" s="15" t="n">
        <v>1</v>
      </c>
      <c r="H1598" s="10"/>
      <c r="I1598" s="21"/>
      <c r="M1598" s="10"/>
      <c r="N1598" s="10"/>
      <c r="P1598" s="10"/>
      <c r="Q1598" s="22"/>
    </row>
    <row r="1599" customFormat="false" ht="15.75" hidden="false" customHeight="false" outlineLevel="0" collapsed="false">
      <c r="A1599" s="20" t="n">
        <v>46098</v>
      </c>
      <c r="B1599" s="15" t="s">
        <v>503</v>
      </c>
      <c r="C1599" s="15" t="s">
        <v>81</v>
      </c>
      <c r="D1599" s="15" t="s">
        <v>534</v>
      </c>
      <c r="E1599" s="15" t="n">
        <v>2</v>
      </c>
      <c r="H1599" s="10"/>
      <c r="I1599" s="21"/>
      <c r="M1599" s="10"/>
      <c r="N1599" s="10"/>
      <c r="P1599" s="10"/>
      <c r="Q1599" s="22"/>
    </row>
    <row r="1600" customFormat="false" ht="15.75" hidden="false" customHeight="false" outlineLevel="0" collapsed="false">
      <c r="A1600" s="20" t="n">
        <v>46098</v>
      </c>
      <c r="B1600" s="15" t="s">
        <v>503</v>
      </c>
      <c r="C1600" s="15" t="s">
        <v>55</v>
      </c>
      <c r="D1600" s="15" t="s">
        <v>539</v>
      </c>
      <c r="E1600" s="15" t="n">
        <v>12</v>
      </c>
      <c r="H1600" s="10"/>
      <c r="I1600" s="21"/>
      <c r="M1600" s="10"/>
      <c r="N1600" s="10"/>
      <c r="P1600" s="10"/>
      <c r="Q1600" s="22"/>
    </row>
    <row r="1601" customFormat="false" ht="15.75" hidden="false" customHeight="false" outlineLevel="0" collapsed="false">
      <c r="A1601" s="20" t="n">
        <v>46098</v>
      </c>
      <c r="B1601" s="15" t="s">
        <v>503</v>
      </c>
      <c r="C1601" s="15" t="s">
        <v>63</v>
      </c>
      <c r="D1601" s="15" t="s">
        <v>551</v>
      </c>
      <c r="E1601" s="15" t="n">
        <v>1</v>
      </c>
      <c r="H1601" s="10"/>
      <c r="I1601" s="21"/>
      <c r="M1601" s="10"/>
      <c r="N1601" s="10"/>
      <c r="P1601" s="10"/>
      <c r="Q1601" s="22"/>
    </row>
    <row r="1602" customFormat="false" ht="15.75" hidden="false" customHeight="false" outlineLevel="0" collapsed="false">
      <c r="A1602" s="20" t="n">
        <v>46098</v>
      </c>
      <c r="B1602" s="15" t="s">
        <v>503</v>
      </c>
      <c r="C1602" s="15" t="s">
        <v>39</v>
      </c>
      <c r="D1602" s="15" t="s">
        <v>550</v>
      </c>
      <c r="E1602" s="15" t="n">
        <v>1</v>
      </c>
      <c r="H1602" s="10"/>
      <c r="I1602" s="21"/>
      <c r="M1602" s="10"/>
      <c r="N1602" s="10"/>
      <c r="P1602" s="10"/>
      <c r="Q1602" s="22"/>
    </row>
    <row r="1603" customFormat="false" ht="15.75" hidden="false" customHeight="false" outlineLevel="0" collapsed="false">
      <c r="A1603" s="20" t="n">
        <v>46098</v>
      </c>
      <c r="B1603" s="15" t="s">
        <v>503</v>
      </c>
      <c r="C1603" s="15" t="s">
        <v>47</v>
      </c>
      <c r="D1603" s="15" t="s">
        <v>549</v>
      </c>
      <c r="E1603" s="15" t="n">
        <v>2</v>
      </c>
      <c r="H1603" s="10"/>
      <c r="I1603" s="21"/>
      <c r="M1603" s="10"/>
      <c r="N1603" s="10"/>
      <c r="P1603" s="10"/>
      <c r="Q1603" s="22"/>
    </row>
    <row r="1604" customFormat="false" ht="15.75" hidden="false" customHeight="false" outlineLevel="0" collapsed="false">
      <c r="A1604" s="20" t="n">
        <v>46098</v>
      </c>
      <c r="B1604" s="15" t="s">
        <v>505</v>
      </c>
      <c r="C1604" s="15" t="s">
        <v>55</v>
      </c>
      <c r="D1604" s="15" t="s">
        <v>539</v>
      </c>
      <c r="E1604" s="15" t="n">
        <v>6</v>
      </c>
      <c r="H1604" s="10"/>
      <c r="I1604" s="21"/>
      <c r="M1604" s="10"/>
      <c r="N1604" s="10"/>
      <c r="P1604" s="10"/>
      <c r="Q1604" s="22"/>
    </row>
    <row r="1605" customFormat="false" ht="15.75" hidden="false" customHeight="false" outlineLevel="0" collapsed="false">
      <c r="A1605" s="20" t="n">
        <v>46098</v>
      </c>
      <c r="B1605" s="15" t="s">
        <v>505</v>
      </c>
      <c r="C1605" s="15" t="s">
        <v>39</v>
      </c>
      <c r="D1605" s="15" t="s">
        <v>550</v>
      </c>
      <c r="E1605" s="15" t="n">
        <v>1</v>
      </c>
      <c r="H1605" s="10"/>
      <c r="I1605" s="21"/>
      <c r="M1605" s="10"/>
      <c r="N1605" s="10"/>
      <c r="P1605" s="10"/>
      <c r="Q1605" s="22"/>
    </row>
    <row r="1606" customFormat="false" ht="15.75" hidden="false" customHeight="false" outlineLevel="0" collapsed="false">
      <c r="A1606" s="20" t="n">
        <v>46098</v>
      </c>
      <c r="B1606" s="15" t="s">
        <v>505</v>
      </c>
      <c r="C1606" s="15" t="s">
        <v>81</v>
      </c>
      <c r="D1606" s="15" t="s">
        <v>534</v>
      </c>
      <c r="E1606" s="15" t="n">
        <v>9</v>
      </c>
      <c r="H1606" s="10"/>
      <c r="I1606" s="21"/>
      <c r="M1606" s="10"/>
      <c r="N1606" s="10"/>
      <c r="P1606" s="10"/>
      <c r="Q1606" s="22"/>
    </row>
    <row r="1607" customFormat="false" ht="15.75" hidden="false" customHeight="false" outlineLevel="0" collapsed="false">
      <c r="A1607" s="20" t="n">
        <v>46098</v>
      </c>
      <c r="B1607" s="15" t="s">
        <v>505</v>
      </c>
      <c r="C1607" s="15" t="s">
        <v>47</v>
      </c>
      <c r="D1607" s="15" t="s">
        <v>549</v>
      </c>
      <c r="E1607" s="15" t="n">
        <v>3</v>
      </c>
      <c r="H1607" s="10"/>
      <c r="I1607" s="21"/>
      <c r="M1607" s="10"/>
      <c r="N1607" s="10"/>
      <c r="P1607" s="10"/>
      <c r="Q1607" s="22"/>
    </row>
    <row r="1608" customFormat="false" ht="15.75" hidden="false" customHeight="false" outlineLevel="0" collapsed="false">
      <c r="A1608" s="20" t="n">
        <v>46098</v>
      </c>
      <c r="B1608" s="15" t="s">
        <v>505</v>
      </c>
      <c r="C1608" s="15" t="s">
        <v>63</v>
      </c>
      <c r="D1608" s="15" t="s">
        <v>551</v>
      </c>
      <c r="E1608" s="15" t="n">
        <v>1</v>
      </c>
      <c r="H1608" s="10"/>
      <c r="I1608" s="21"/>
      <c r="M1608" s="10"/>
      <c r="N1608" s="10"/>
      <c r="P1608" s="10"/>
      <c r="Q1608" s="22"/>
    </row>
    <row r="1609" customFormat="false" ht="15.75" hidden="false" customHeight="false" outlineLevel="0" collapsed="false">
      <c r="A1609" s="20" t="n">
        <v>46098</v>
      </c>
      <c r="B1609" s="15" t="s">
        <v>505</v>
      </c>
      <c r="C1609" s="15" t="s">
        <v>17</v>
      </c>
      <c r="D1609" s="15" t="s">
        <v>554</v>
      </c>
      <c r="E1609" s="15" t="n">
        <v>1</v>
      </c>
      <c r="H1609" s="10"/>
      <c r="I1609" s="21"/>
      <c r="M1609" s="10"/>
      <c r="N1609" s="10"/>
      <c r="P1609" s="10"/>
      <c r="Q1609" s="22"/>
    </row>
    <row r="1610" customFormat="false" ht="15.75" hidden="false" customHeight="false" outlineLevel="0" collapsed="false">
      <c r="A1610" s="20" t="n">
        <v>46098</v>
      </c>
      <c r="B1610" s="15" t="s">
        <v>514</v>
      </c>
      <c r="C1610" s="15" t="s">
        <v>55</v>
      </c>
      <c r="D1610" s="15" t="s">
        <v>539</v>
      </c>
      <c r="E1610" s="15" t="n">
        <v>5</v>
      </c>
      <c r="H1610" s="10"/>
      <c r="I1610" s="21"/>
      <c r="M1610" s="10"/>
      <c r="N1610" s="10"/>
      <c r="P1610" s="10"/>
      <c r="Q1610" s="22"/>
    </row>
    <row r="1611" customFormat="false" ht="15.75" hidden="false" customHeight="false" outlineLevel="0" collapsed="false">
      <c r="A1611" s="20" t="n">
        <v>46098</v>
      </c>
      <c r="B1611" s="15" t="s">
        <v>514</v>
      </c>
      <c r="C1611" s="15" t="s">
        <v>57</v>
      </c>
      <c r="D1611" s="15" t="s">
        <v>553</v>
      </c>
      <c r="E1611" s="15" t="n">
        <v>1</v>
      </c>
      <c r="H1611" s="10"/>
      <c r="I1611" s="21"/>
      <c r="M1611" s="10"/>
      <c r="N1611" s="10"/>
      <c r="P1611" s="10"/>
      <c r="Q1611" s="22"/>
    </row>
    <row r="1612" customFormat="false" ht="15.75" hidden="false" customHeight="false" outlineLevel="0" collapsed="false">
      <c r="A1612" s="20" t="n">
        <v>46098</v>
      </c>
      <c r="B1612" s="15" t="s">
        <v>514</v>
      </c>
      <c r="C1612" s="15" t="s">
        <v>49</v>
      </c>
      <c r="D1612" s="15" t="s">
        <v>537</v>
      </c>
      <c r="E1612" s="15" t="n">
        <v>1</v>
      </c>
      <c r="H1612" s="10"/>
      <c r="I1612" s="21"/>
      <c r="M1612" s="10"/>
      <c r="N1612" s="10"/>
      <c r="P1612" s="10"/>
      <c r="Q1612" s="22"/>
    </row>
    <row r="1613" customFormat="false" ht="15.75" hidden="false" customHeight="false" outlineLevel="0" collapsed="false">
      <c r="A1613" s="20" t="n">
        <v>46098</v>
      </c>
      <c r="B1613" s="15" t="s">
        <v>514</v>
      </c>
      <c r="C1613" s="15" t="s">
        <v>47</v>
      </c>
      <c r="D1613" s="15" t="s">
        <v>549</v>
      </c>
      <c r="E1613" s="15" t="n">
        <v>4</v>
      </c>
      <c r="H1613" s="10"/>
      <c r="I1613" s="21"/>
      <c r="M1613" s="10"/>
      <c r="N1613" s="10"/>
      <c r="P1613" s="10"/>
      <c r="Q1613" s="22"/>
    </row>
    <row r="1614" customFormat="false" ht="15.75" hidden="false" customHeight="false" outlineLevel="0" collapsed="false">
      <c r="A1614" s="20" t="n">
        <v>46098</v>
      </c>
      <c r="B1614" s="15" t="s">
        <v>514</v>
      </c>
      <c r="C1614" s="15" t="s">
        <v>81</v>
      </c>
      <c r="D1614" s="15" t="s">
        <v>534</v>
      </c>
      <c r="E1614" s="15" t="n">
        <v>7</v>
      </c>
      <c r="H1614" s="10"/>
      <c r="I1614" s="21"/>
      <c r="M1614" s="10"/>
      <c r="N1614" s="10"/>
      <c r="P1614" s="10"/>
      <c r="Q1614" s="22"/>
    </row>
    <row r="1615" customFormat="false" ht="15.75" hidden="false" customHeight="false" outlineLevel="0" collapsed="false">
      <c r="A1615" s="20" t="n">
        <v>46098</v>
      </c>
      <c r="B1615" s="15" t="s">
        <v>514</v>
      </c>
      <c r="C1615" s="15" t="s">
        <v>63</v>
      </c>
      <c r="D1615" s="15" t="s">
        <v>551</v>
      </c>
      <c r="E1615" s="15" t="n">
        <v>1</v>
      </c>
      <c r="H1615" s="10"/>
      <c r="I1615" s="21"/>
      <c r="M1615" s="10"/>
      <c r="N1615" s="10"/>
      <c r="P1615" s="10"/>
      <c r="Q1615" s="22"/>
    </row>
    <row r="1616" customFormat="false" ht="15.75" hidden="false" customHeight="false" outlineLevel="0" collapsed="false">
      <c r="A1616" s="20" t="n">
        <v>46098</v>
      </c>
      <c r="B1616" s="15" t="s">
        <v>514</v>
      </c>
      <c r="C1616" s="15" t="s">
        <v>17</v>
      </c>
      <c r="D1616" s="15" t="s">
        <v>554</v>
      </c>
      <c r="E1616" s="15" t="n">
        <v>1</v>
      </c>
      <c r="H1616" s="10"/>
      <c r="I1616" s="21"/>
      <c r="M1616" s="10"/>
      <c r="N1616" s="10"/>
      <c r="P1616" s="10"/>
      <c r="Q1616" s="22"/>
    </row>
    <row r="1617" customFormat="false" ht="15.75" hidden="false" customHeight="false" outlineLevel="0" collapsed="false">
      <c r="A1617" s="20" t="n">
        <v>46098</v>
      </c>
      <c r="B1617" s="15" t="s">
        <v>518</v>
      </c>
      <c r="C1617" s="15" t="s">
        <v>69</v>
      </c>
      <c r="D1617" s="15" t="s">
        <v>535</v>
      </c>
      <c r="E1617" s="15" t="n">
        <v>6</v>
      </c>
      <c r="H1617" s="10"/>
      <c r="I1617" s="21"/>
      <c r="M1617" s="10"/>
      <c r="N1617" s="10"/>
      <c r="P1617" s="10"/>
      <c r="Q1617" s="22"/>
    </row>
    <row r="1618" customFormat="false" ht="15.75" hidden="false" customHeight="false" outlineLevel="0" collapsed="false">
      <c r="A1618" s="20" t="n">
        <v>46098</v>
      </c>
      <c r="B1618" s="15" t="s">
        <v>518</v>
      </c>
      <c r="C1618" s="15" t="s">
        <v>33</v>
      </c>
      <c r="D1618" s="15" t="s">
        <v>536</v>
      </c>
      <c r="E1618" s="15" t="n">
        <v>6</v>
      </c>
      <c r="H1618" s="10"/>
      <c r="I1618" s="21"/>
      <c r="M1618" s="10"/>
      <c r="N1618" s="10"/>
      <c r="P1618" s="10"/>
      <c r="Q1618" s="22"/>
    </row>
    <row r="1619" customFormat="false" ht="15.75" hidden="false" customHeight="false" outlineLevel="0" collapsed="false">
      <c r="A1619" s="20" t="n">
        <v>46098</v>
      </c>
      <c r="B1619" s="15" t="s">
        <v>518</v>
      </c>
      <c r="C1619" s="15" t="s">
        <v>47</v>
      </c>
      <c r="D1619" s="15" t="s">
        <v>549</v>
      </c>
      <c r="E1619" s="15" t="n">
        <v>2</v>
      </c>
      <c r="H1619" s="10"/>
      <c r="I1619" s="21"/>
      <c r="M1619" s="10"/>
      <c r="N1619" s="10"/>
      <c r="P1619" s="10"/>
      <c r="Q1619" s="22"/>
    </row>
    <row r="1620" customFormat="false" ht="15.75" hidden="false" customHeight="false" outlineLevel="0" collapsed="false">
      <c r="A1620" s="20" t="n">
        <v>46098</v>
      </c>
      <c r="B1620" s="15" t="s">
        <v>518</v>
      </c>
      <c r="C1620" s="15" t="s">
        <v>51</v>
      </c>
      <c r="D1620" s="15" t="s">
        <v>573</v>
      </c>
      <c r="E1620" s="15" t="n">
        <v>1</v>
      </c>
      <c r="H1620" s="10"/>
      <c r="I1620" s="21"/>
      <c r="M1620" s="10"/>
      <c r="N1620" s="10"/>
      <c r="P1620" s="10"/>
      <c r="Q1620" s="22"/>
    </row>
    <row r="1621" customFormat="false" ht="15.75" hidden="false" customHeight="false" outlineLevel="0" collapsed="false">
      <c r="A1621" s="20" t="n">
        <v>46098</v>
      </c>
      <c r="B1621" s="15" t="s">
        <v>518</v>
      </c>
      <c r="C1621" s="15" t="s">
        <v>55</v>
      </c>
      <c r="D1621" s="15" t="s">
        <v>539</v>
      </c>
      <c r="E1621" s="15" t="n">
        <v>2</v>
      </c>
      <c r="H1621" s="10"/>
      <c r="I1621" s="21"/>
      <c r="M1621" s="10"/>
      <c r="N1621" s="10"/>
      <c r="P1621" s="10"/>
      <c r="Q1621" s="22"/>
    </row>
    <row r="1622" customFormat="false" ht="15.75" hidden="false" customHeight="false" outlineLevel="0" collapsed="false">
      <c r="A1622" s="20" t="n">
        <v>46098</v>
      </c>
      <c r="B1622" s="15" t="s">
        <v>518</v>
      </c>
      <c r="C1622" s="15" t="s">
        <v>37</v>
      </c>
      <c r="D1622" s="15" t="s">
        <v>561</v>
      </c>
      <c r="E1622" s="15" t="n">
        <v>2</v>
      </c>
      <c r="H1622" s="10"/>
      <c r="I1622" s="21"/>
      <c r="M1622" s="10"/>
      <c r="N1622" s="10"/>
      <c r="P1622" s="10"/>
      <c r="Q1622" s="22"/>
    </row>
    <row r="1623" customFormat="false" ht="15.75" hidden="false" customHeight="false" outlineLevel="0" collapsed="false">
      <c r="A1623" s="20" t="n">
        <v>46098</v>
      </c>
      <c r="B1623" s="15" t="s">
        <v>518</v>
      </c>
      <c r="C1623" s="15" t="s">
        <v>547</v>
      </c>
      <c r="D1623" s="15" t="s">
        <v>548</v>
      </c>
      <c r="E1623" s="15" t="n">
        <v>1</v>
      </c>
      <c r="H1623" s="10"/>
      <c r="I1623" s="21"/>
      <c r="M1623" s="10"/>
      <c r="N1623" s="10"/>
      <c r="P1623" s="10"/>
      <c r="Q1623" s="22"/>
    </row>
    <row r="1624" customFormat="false" ht="15.75" hidden="false" customHeight="false" outlineLevel="0" collapsed="false">
      <c r="A1624" s="20" t="n">
        <v>46098</v>
      </c>
      <c r="B1624" s="15" t="s">
        <v>518</v>
      </c>
      <c r="C1624" s="15" t="s">
        <v>81</v>
      </c>
      <c r="D1624" s="15" t="s">
        <v>534</v>
      </c>
      <c r="E1624" s="15" t="n">
        <v>1</v>
      </c>
      <c r="H1624" s="10"/>
      <c r="I1624" s="21"/>
      <c r="M1624" s="10"/>
      <c r="N1624" s="10"/>
      <c r="P1624" s="10"/>
      <c r="Q1624" s="22"/>
    </row>
    <row r="1625" customFormat="false" ht="15.75" hidden="false" customHeight="false" outlineLevel="0" collapsed="false">
      <c r="A1625" s="20" t="n">
        <v>46098</v>
      </c>
      <c r="B1625" s="15" t="s">
        <v>519</v>
      </c>
      <c r="C1625" s="15" t="s">
        <v>69</v>
      </c>
      <c r="D1625" s="15" t="s">
        <v>535</v>
      </c>
      <c r="E1625" s="15" t="n">
        <v>6</v>
      </c>
      <c r="H1625" s="10"/>
      <c r="I1625" s="21"/>
      <c r="M1625" s="10"/>
      <c r="N1625" s="10"/>
      <c r="P1625" s="10"/>
      <c r="Q1625" s="22"/>
    </row>
    <row r="1626" customFormat="false" ht="15.75" hidden="false" customHeight="false" outlineLevel="0" collapsed="false">
      <c r="A1626" s="20" t="n">
        <v>46098</v>
      </c>
      <c r="B1626" s="15" t="s">
        <v>519</v>
      </c>
      <c r="C1626" s="15" t="s">
        <v>33</v>
      </c>
      <c r="D1626" s="15" t="s">
        <v>536</v>
      </c>
      <c r="E1626" s="15" t="n">
        <v>6</v>
      </c>
      <c r="H1626" s="10"/>
      <c r="I1626" s="21"/>
      <c r="M1626" s="10"/>
      <c r="N1626" s="10"/>
      <c r="P1626" s="10"/>
      <c r="Q1626" s="22"/>
    </row>
    <row r="1627" customFormat="false" ht="15.75" hidden="false" customHeight="false" outlineLevel="0" collapsed="false">
      <c r="A1627" s="20" t="n">
        <v>46098</v>
      </c>
      <c r="B1627" s="15" t="s">
        <v>519</v>
      </c>
      <c r="C1627" s="15" t="s">
        <v>55</v>
      </c>
      <c r="D1627" s="15" t="s">
        <v>539</v>
      </c>
      <c r="E1627" s="15" t="n">
        <v>2</v>
      </c>
      <c r="H1627" s="10"/>
      <c r="I1627" s="21"/>
      <c r="M1627" s="10"/>
      <c r="N1627" s="10"/>
      <c r="P1627" s="10"/>
      <c r="Q1627" s="22"/>
    </row>
    <row r="1628" customFormat="false" ht="15.75" hidden="false" customHeight="false" outlineLevel="0" collapsed="false">
      <c r="A1628" s="20" t="n">
        <v>46098</v>
      </c>
      <c r="B1628" s="15" t="s">
        <v>519</v>
      </c>
      <c r="C1628" s="15" t="s">
        <v>51</v>
      </c>
      <c r="D1628" s="15" t="s">
        <v>573</v>
      </c>
      <c r="E1628" s="15" t="n">
        <v>1</v>
      </c>
      <c r="H1628" s="10"/>
      <c r="I1628" s="21"/>
      <c r="M1628" s="10"/>
      <c r="N1628" s="10"/>
      <c r="P1628" s="10"/>
      <c r="Q1628" s="22"/>
    </row>
    <row r="1629" customFormat="false" ht="15.75" hidden="false" customHeight="false" outlineLevel="0" collapsed="false">
      <c r="A1629" s="20" t="n">
        <v>46098</v>
      </c>
      <c r="B1629" s="15" t="s">
        <v>519</v>
      </c>
      <c r="C1629" s="15" t="s">
        <v>47</v>
      </c>
      <c r="D1629" s="15" t="s">
        <v>549</v>
      </c>
      <c r="E1629" s="15" t="n">
        <v>1</v>
      </c>
      <c r="H1629" s="10"/>
      <c r="I1629" s="21"/>
      <c r="M1629" s="10"/>
      <c r="N1629" s="10"/>
      <c r="P1629" s="10"/>
      <c r="Q1629" s="22"/>
    </row>
    <row r="1630" customFormat="false" ht="15.75" hidden="false" customHeight="false" outlineLevel="0" collapsed="false">
      <c r="A1630" s="20" t="n">
        <v>46098</v>
      </c>
      <c r="B1630" s="15" t="s">
        <v>519</v>
      </c>
      <c r="C1630" s="15" t="s">
        <v>81</v>
      </c>
      <c r="D1630" s="15" t="s">
        <v>534</v>
      </c>
      <c r="E1630" s="15" t="n">
        <v>1</v>
      </c>
      <c r="H1630" s="10"/>
      <c r="I1630" s="21"/>
      <c r="M1630" s="10"/>
      <c r="N1630" s="10"/>
      <c r="P1630" s="10"/>
      <c r="Q1630" s="22"/>
    </row>
    <row r="1631" customFormat="false" ht="15.75" hidden="false" customHeight="false" outlineLevel="0" collapsed="false">
      <c r="A1631" s="20" t="n">
        <v>46098</v>
      </c>
      <c r="B1631" s="15" t="s">
        <v>519</v>
      </c>
      <c r="C1631" s="15" t="s">
        <v>547</v>
      </c>
      <c r="D1631" s="15" t="s">
        <v>548</v>
      </c>
      <c r="E1631" s="15" t="n">
        <v>1</v>
      </c>
      <c r="H1631" s="10"/>
      <c r="I1631" s="21"/>
      <c r="M1631" s="10"/>
      <c r="N1631" s="10"/>
      <c r="P1631" s="10"/>
      <c r="Q1631" s="22"/>
    </row>
    <row r="1632" customFormat="false" ht="15.75" hidden="false" customHeight="false" outlineLevel="0" collapsed="false">
      <c r="A1632" s="20" t="n">
        <v>46098</v>
      </c>
      <c r="B1632" s="15" t="s">
        <v>527</v>
      </c>
      <c r="C1632" s="15" t="s">
        <v>81</v>
      </c>
      <c r="D1632" s="15" t="s">
        <v>534</v>
      </c>
      <c r="E1632" s="15" t="n">
        <v>1</v>
      </c>
      <c r="H1632" s="10"/>
      <c r="I1632" s="21"/>
      <c r="M1632" s="10"/>
      <c r="N1632" s="10"/>
      <c r="P1632" s="10"/>
      <c r="Q1632" s="22"/>
    </row>
    <row r="1633" customFormat="false" ht="15.75" hidden="false" customHeight="false" outlineLevel="0" collapsed="false">
      <c r="A1633" s="20" t="n">
        <v>46098</v>
      </c>
      <c r="B1633" s="15" t="s">
        <v>527</v>
      </c>
      <c r="C1633" s="15" t="s">
        <v>69</v>
      </c>
      <c r="D1633" s="15" t="s">
        <v>535</v>
      </c>
      <c r="E1633" s="15" t="n">
        <v>3</v>
      </c>
      <c r="H1633" s="10"/>
      <c r="I1633" s="21"/>
      <c r="M1633" s="10"/>
      <c r="N1633" s="10"/>
      <c r="P1633" s="10"/>
      <c r="Q1633" s="22"/>
    </row>
    <row r="1634" customFormat="false" ht="15.75" hidden="false" customHeight="false" outlineLevel="0" collapsed="false">
      <c r="A1634" s="20" t="n">
        <v>46098</v>
      </c>
      <c r="B1634" s="15" t="s">
        <v>527</v>
      </c>
      <c r="C1634" s="15" t="s">
        <v>33</v>
      </c>
      <c r="D1634" s="15" t="s">
        <v>536</v>
      </c>
      <c r="E1634" s="15" t="n">
        <v>2</v>
      </c>
      <c r="H1634" s="10"/>
      <c r="I1634" s="21"/>
      <c r="M1634" s="10"/>
      <c r="N1634" s="10"/>
      <c r="P1634" s="10"/>
      <c r="Q1634" s="22"/>
    </row>
    <row r="1635" customFormat="false" ht="15.75" hidden="false" customHeight="false" outlineLevel="0" collapsed="false">
      <c r="A1635" s="20" t="n">
        <v>46098</v>
      </c>
      <c r="B1635" s="15" t="s">
        <v>527</v>
      </c>
      <c r="C1635" s="15" t="s">
        <v>77</v>
      </c>
      <c r="D1635" s="15" t="s">
        <v>78</v>
      </c>
      <c r="E1635" s="15" t="n">
        <v>2</v>
      </c>
      <c r="H1635" s="10"/>
      <c r="I1635" s="21"/>
      <c r="M1635" s="10"/>
      <c r="N1635" s="10"/>
      <c r="P1635" s="10"/>
      <c r="Q1635" s="22"/>
    </row>
    <row r="1636" customFormat="false" ht="15.75" hidden="false" customHeight="false" outlineLevel="0" collapsed="false">
      <c r="A1636" s="20" t="n">
        <v>46098</v>
      </c>
      <c r="B1636" s="15" t="s">
        <v>527</v>
      </c>
      <c r="C1636" s="15" t="s">
        <v>547</v>
      </c>
      <c r="D1636" s="15" t="s">
        <v>548</v>
      </c>
      <c r="E1636" s="15" t="n">
        <v>1</v>
      </c>
      <c r="H1636" s="10"/>
      <c r="I1636" s="21"/>
      <c r="M1636" s="10"/>
      <c r="N1636" s="10"/>
      <c r="P1636" s="10"/>
      <c r="Q1636" s="22"/>
    </row>
    <row r="1637" customFormat="false" ht="15.75" hidden="false" customHeight="false" outlineLevel="0" collapsed="false">
      <c r="A1637" s="20" t="n">
        <v>46098</v>
      </c>
      <c r="B1637" s="15" t="s">
        <v>527</v>
      </c>
      <c r="C1637" s="15" t="s">
        <v>545</v>
      </c>
      <c r="D1637" s="15" t="s">
        <v>546</v>
      </c>
      <c r="E1637" s="15" t="n">
        <v>1</v>
      </c>
      <c r="H1637" s="10"/>
      <c r="I1637" s="21"/>
      <c r="M1637" s="10"/>
      <c r="N1637" s="10"/>
      <c r="P1637" s="10"/>
      <c r="Q1637" s="22"/>
    </row>
    <row r="1638" customFormat="false" ht="15.75" hidden="false" customHeight="false" outlineLevel="0" collapsed="false">
      <c r="A1638" s="20" t="n">
        <v>46098</v>
      </c>
      <c r="B1638" s="15" t="s">
        <v>527</v>
      </c>
      <c r="C1638" s="15" t="s">
        <v>543</v>
      </c>
      <c r="D1638" s="15" t="s">
        <v>544</v>
      </c>
      <c r="E1638" s="15" t="n">
        <v>2</v>
      </c>
      <c r="H1638" s="10"/>
      <c r="I1638" s="21"/>
      <c r="M1638" s="10"/>
      <c r="N1638" s="10"/>
      <c r="P1638" s="10"/>
      <c r="Q1638" s="22"/>
    </row>
    <row r="1639" customFormat="false" ht="15.75" hidden="false" customHeight="false" outlineLevel="0" collapsed="false">
      <c r="A1639" s="20" t="n">
        <v>46098</v>
      </c>
      <c r="B1639" s="15" t="s">
        <v>527</v>
      </c>
      <c r="C1639" s="15" t="s">
        <v>541</v>
      </c>
      <c r="D1639" s="15" t="s">
        <v>542</v>
      </c>
      <c r="E1639" s="15" t="n">
        <v>1</v>
      </c>
      <c r="H1639" s="10"/>
      <c r="I1639" s="21"/>
      <c r="M1639" s="10"/>
      <c r="N1639" s="10"/>
      <c r="P1639" s="10"/>
      <c r="Q1639" s="22"/>
    </row>
    <row r="1640" customFormat="false" ht="15.75" hidden="false" customHeight="false" outlineLevel="0" collapsed="false">
      <c r="A1640" s="20" t="n">
        <v>46098</v>
      </c>
      <c r="B1640" s="15" t="s">
        <v>527</v>
      </c>
      <c r="C1640" s="15" t="s">
        <v>45</v>
      </c>
      <c r="D1640" s="15" t="s">
        <v>540</v>
      </c>
      <c r="E1640" s="15" t="n">
        <v>1</v>
      </c>
      <c r="H1640" s="10"/>
      <c r="I1640" s="21"/>
      <c r="M1640" s="10"/>
      <c r="N1640" s="10"/>
      <c r="P1640" s="10"/>
      <c r="Q1640" s="22"/>
    </row>
    <row r="1641" customFormat="false" ht="15.75" hidden="false" customHeight="false" outlineLevel="0" collapsed="false">
      <c r="A1641" s="20" t="n">
        <v>46098</v>
      </c>
      <c r="B1641" s="15" t="s">
        <v>527</v>
      </c>
      <c r="C1641" s="15" t="s">
        <v>55</v>
      </c>
      <c r="D1641" s="15" t="s">
        <v>539</v>
      </c>
      <c r="E1641" s="15" t="n">
        <v>1</v>
      </c>
      <c r="H1641" s="10"/>
      <c r="I1641" s="21"/>
      <c r="M1641" s="10"/>
      <c r="N1641" s="10"/>
      <c r="P1641" s="10"/>
      <c r="Q1641" s="22"/>
    </row>
    <row r="1642" customFormat="false" ht="15.75" hidden="false" customHeight="false" outlineLevel="0" collapsed="false">
      <c r="A1642" s="20" t="n">
        <v>46098</v>
      </c>
      <c r="B1642" s="15" t="s">
        <v>527</v>
      </c>
      <c r="C1642" s="15" t="s">
        <v>59</v>
      </c>
      <c r="D1642" s="15" t="s">
        <v>562</v>
      </c>
      <c r="E1642" s="15" t="n">
        <v>1</v>
      </c>
      <c r="H1642" s="10"/>
      <c r="I1642" s="21"/>
      <c r="M1642" s="10"/>
      <c r="N1642" s="10"/>
      <c r="P1642" s="10"/>
      <c r="Q1642" s="22"/>
    </row>
    <row r="1643" customFormat="false" ht="15.75" hidden="false" customHeight="false" outlineLevel="0" collapsed="false">
      <c r="A1643" s="20" t="n">
        <v>46098</v>
      </c>
      <c r="B1643" s="15" t="s">
        <v>527</v>
      </c>
      <c r="C1643" s="15" t="s">
        <v>47</v>
      </c>
      <c r="D1643" s="15" t="s">
        <v>549</v>
      </c>
      <c r="E1643" s="15" t="n">
        <v>1</v>
      </c>
      <c r="H1643" s="10"/>
      <c r="I1643" s="21"/>
      <c r="M1643" s="10"/>
      <c r="N1643" s="10"/>
      <c r="P1643" s="10"/>
      <c r="Q1643" s="22"/>
    </row>
    <row r="1644" customFormat="false" ht="15.75" hidden="false" customHeight="false" outlineLevel="0" collapsed="false">
      <c r="A1644" s="20" t="n">
        <v>46098</v>
      </c>
      <c r="B1644" s="15" t="s">
        <v>527</v>
      </c>
      <c r="C1644" s="15" t="s">
        <v>43</v>
      </c>
      <c r="D1644" s="15" t="s">
        <v>538</v>
      </c>
      <c r="E1644" s="15" t="n">
        <v>1</v>
      </c>
      <c r="H1644" s="10"/>
      <c r="I1644" s="21"/>
      <c r="M1644" s="10"/>
      <c r="N1644" s="10"/>
      <c r="P1644" s="10"/>
      <c r="Q1644" s="22"/>
    </row>
    <row r="1645" customFormat="false" ht="15.75" hidden="false" customHeight="false" outlineLevel="0" collapsed="false">
      <c r="A1645" s="20" t="n">
        <v>46099</v>
      </c>
      <c r="B1645" s="15" t="s">
        <v>453</v>
      </c>
      <c r="C1645" s="15" t="s">
        <v>47</v>
      </c>
      <c r="D1645" s="15" t="s">
        <v>549</v>
      </c>
      <c r="E1645" s="15" t="n">
        <v>2</v>
      </c>
      <c r="H1645" s="10"/>
      <c r="I1645" s="21"/>
      <c r="M1645" s="10"/>
      <c r="N1645" s="10"/>
      <c r="P1645" s="10"/>
      <c r="Q1645" s="22"/>
    </row>
    <row r="1646" customFormat="false" ht="15.75" hidden="false" customHeight="false" outlineLevel="0" collapsed="false">
      <c r="A1646" s="20" t="n">
        <v>46099</v>
      </c>
      <c r="B1646" s="15" t="s">
        <v>453</v>
      </c>
      <c r="C1646" s="15" t="s">
        <v>55</v>
      </c>
      <c r="D1646" s="15" t="s">
        <v>539</v>
      </c>
      <c r="E1646" s="15" t="n">
        <v>4</v>
      </c>
      <c r="H1646" s="10"/>
      <c r="I1646" s="21"/>
      <c r="M1646" s="10"/>
      <c r="N1646" s="10"/>
      <c r="P1646" s="10"/>
      <c r="Q1646" s="22"/>
    </row>
    <row r="1647" customFormat="false" ht="15.75" hidden="false" customHeight="false" outlineLevel="0" collapsed="false">
      <c r="A1647" s="20" t="n">
        <v>46099</v>
      </c>
      <c r="B1647" s="15" t="s">
        <v>453</v>
      </c>
      <c r="C1647" s="15" t="s">
        <v>81</v>
      </c>
      <c r="D1647" s="15" t="s">
        <v>534</v>
      </c>
      <c r="E1647" s="15" t="n">
        <v>8</v>
      </c>
      <c r="H1647" s="10"/>
      <c r="I1647" s="21"/>
      <c r="M1647" s="10"/>
      <c r="N1647" s="10"/>
      <c r="P1647" s="10"/>
      <c r="Q1647" s="22"/>
    </row>
    <row r="1648" customFormat="false" ht="15.75" hidden="false" customHeight="false" outlineLevel="0" collapsed="false">
      <c r="A1648" s="20" t="n">
        <v>46099</v>
      </c>
      <c r="B1648" s="15" t="s">
        <v>453</v>
      </c>
      <c r="C1648" s="15" t="s">
        <v>39</v>
      </c>
      <c r="D1648" s="15" t="s">
        <v>550</v>
      </c>
      <c r="E1648" s="15" t="n">
        <v>2</v>
      </c>
      <c r="H1648" s="10"/>
      <c r="I1648" s="21"/>
      <c r="M1648" s="10"/>
      <c r="N1648" s="10"/>
      <c r="P1648" s="10"/>
      <c r="Q1648" s="22"/>
    </row>
    <row r="1649" customFormat="false" ht="15.75" hidden="false" customHeight="false" outlineLevel="0" collapsed="false">
      <c r="A1649" s="20" t="n">
        <v>46099</v>
      </c>
      <c r="B1649" s="15" t="s">
        <v>453</v>
      </c>
      <c r="C1649" s="15" t="s">
        <v>63</v>
      </c>
      <c r="D1649" s="15" t="s">
        <v>551</v>
      </c>
      <c r="E1649" s="15" t="n">
        <v>1</v>
      </c>
      <c r="H1649" s="10"/>
      <c r="I1649" s="21"/>
      <c r="M1649" s="10"/>
      <c r="N1649" s="10"/>
      <c r="P1649" s="10"/>
      <c r="Q1649" s="22"/>
    </row>
    <row r="1650" customFormat="false" ht="15.75" hidden="false" customHeight="false" outlineLevel="0" collapsed="false">
      <c r="A1650" s="20" t="n">
        <v>46099</v>
      </c>
      <c r="B1650" s="15" t="s">
        <v>453</v>
      </c>
      <c r="C1650" s="15" t="s">
        <v>35</v>
      </c>
      <c r="D1650" s="15" t="s">
        <v>552</v>
      </c>
      <c r="E1650" s="15" t="n">
        <v>2</v>
      </c>
      <c r="H1650" s="10"/>
      <c r="I1650" s="21"/>
      <c r="M1650" s="10"/>
      <c r="N1650" s="10"/>
      <c r="P1650" s="10"/>
      <c r="Q1650" s="22"/>
    </row>
    <row r="1651" customFormat="false" ht="15.75" hidden="false" customHeight="false" outlineLevel="0" collapsed="false">
      <c r="A1651" s="20" t="n">
        <v>46099</v>
      </c>
      <c r="B1651" s="15" t="s">
        <v>466</v>
      </c>
      <c r="C1651" s="15" t="s">
        <v>570</v>
      </c>
      <c r="D1651" s="15" t="s">
        <v>571</v>
      </c>
      <c r="E1651" s="15" t="n">
        <v>6</v>
      </c>
      <c r="H1651" s="10"/>
      <c r="I1651" s="21"/>
      <c r="M1651" s="10"/>
      <c r="N1651" s="10"/>
      <c r="P1651" s="10"/>
      <c r="Q1651" s="22"/>
    </row>
    <row r="1652" customFormat="false" ht="15.75" hidden="false" customHeight="false" outlineLevel="0" collapsed="false">
      <c r="A1652" s="20" t="n">
        <v>46099</v>
      </c>
      <c r="B1652" s="15" t="s">
        <v>466</v>
      </c>
      <c r="C1652" s="15" t="s">
        <v>565</v>
      </c>
      <c r="D1652" s="15" t="s">
        <v>566</v>
      </c>
      <c r="E1652" s="15" t="n">
        <v>4</v>
      </c>
      <c r="H1652" s="10"/>
      <c r="I1652" s="21"/>
      <c r="M1652" s="10"/>
      <c r="N1652" s="10"/>
      <c r="P1652" s="10"/>
      <c r="Q1652" s="22"/>
    </row>
    <row r="1653" customFormat="false" ht="15.75" hidden="false" customHeight="false" outlineLevel="0" collapsed="false">
      <c r="A1653" s="20" t="n">
        <v>46099</v>
      </c>
      <c r="B1653" s="15" t="s">
        <v>466</v>
      </c>
      <c r="C1653" s="15" t="s">
        <v>69</v>
      </c>
      <c r="D1653" s="15" t="s">
        <v>535</v>
      </c>
      <c r="E1653" s="15" t="n">
        <v>5</v>
      </c>
      <c r="H1653" s="10"/>
      <c r="I1653" s="21"/>
      <c r="M1653" s="10"/>
      <c r="N1653" s="10"/>
      <c r="P1653" s="10"/>
      <c r="Q1653" s="22"/>
    </row>
    <row r="1654" customFormat="false" ht="15.75" hidden="false" customHeight="false" outlineLevel="0" collapsed="false">
      <c r="A1654" s="20" t="n">
        <v>46099</v>
      </c>
      <c r="B1654" s="15" t="s">
        <v>466</v>
      </c>
      <c r="C1654" s="15" t="s">
        <v>547</v>
      </c>
      <c r="D1654" s="15" t="s">
        <v>548</v>
      </c>
      <c r="E1654" s="15" t="n">
        <v>6</v>
      </c>
      <c r="H1654" s="10"/>
      <c r="I1654" s="21"/>
      <c r="M1654" s="10"/>
      <c r="N1654" s="10"/>
      <c r="P1654" s="10"/>
      <c r="Q1654" s="22"/>
    </row>
    <row r="1655" customFormat="false" ht="15.75" hidden="false" customHeight="false" outlineLevel="0" collapsed="false">
      <c r="A1655" s="20" t="n">
        <v>46099</v>
      </c>
      <c r="B1655" s="15" t="s">
        <v>466</v>
      </c>
      <c r="C1655" s="15" t="s">
        <v>37</v>
      </c>
      <c r="D1655" s="15" t="s">
        <v>561</v>
      </c>
      <c r="E1655" s="15" t="n">
        <v>3</v>
      </c>
      <c r="H1655" s="10"/>
      <c r="I1655" s="21"/>
      <c r="M1655" s="10"/>
      <c r="N1655" s="10"/>
      <c r="P1655" s="10"/>
      <c r="Q1655" s="22"/>
    </row>
    <row r="1656" customFormat="false" ht="15.75" hidden="false" customHeight="false" outlineLevel="0" collapsed="false">
      <c r="A1656" s="20" t="n">
        <v>46099</v>
      </c>
      <c r="B1656" s="15" t="s">
        <v>466</v>
      </c>
      <c r="C1656" s="15" t="s">
        <v>47</v>
      </c>
      <c r="D1656" s="15" t="s">
        <v>549</v>
      </c>
      <c r="E1656" s="15" t="n">
        <v>2</v>
      </c>
      <c r="H1656" s="10"/>
      <c r="I1656" s="21"/>
      <c r="M1656" s="10"/>
      <c r="N1656" s="10"/>
      <c r="P1656" s="10"/>
      <c r="Q1656" s="22"/>
    </row>
    <row r="1657" customFormat="false" ht="15.75" hidden="false" customHeight="false" outlineLevel="0" collapsed="false">
      <c r="A1657" s="20" t="n">
        <v>46099</v>
      </c>
      <c r="B1657" s="15" t="s">
        <v>466</v>
      </c>
      <c r="C1657" s="15" t="s">
        <v>81</v>
      </c>
      <c r="D1657" s="15" t="s">
        <v>534</v>
      </c>
      <c r="E1657" s="15" t="n">
        <v>13</v>
      </c>
      <c r="H1657" s="10"/>
      <c r="I1657" s="21"/>
      <c r="M1657" s="10"/>
      <c r="N1657" s="10"/>
      <c r="P1657" s="10"/>
      <c r="Q1657" s="22"/>
    </row>
    <row r="1658" customFormat="false" ht="15.75" hidden="false" customHeight="false" outlineLevel="0" collapsed="false">
      <c r="A1658" s="20" t="n">
        <v>46099</v>
      </c>
      <c r="B1658" s="15" t="s">
        <v>466</v>
      </c>
      <c r="C1658" s="15" t="s">
        <v>55</v>
      </c>
      <c r="D1658" s="15" t="s">
        <v>539</v>
      </c>
      <c r="E1658" s="15" t="n">
        <v>2</v>
      </c>
      <c r="H1658" s="10"/>
      <c r="I1658" s="21"/>
      <c r="M1658" s="10"/>
      <c r="N1658" s="10"/>
      <c r="P1658" s="10"/>
      <c r="Q1658" s="22"/>
    </row>
    <row r="1659" customFormat="false" ht="15.75" hidden="false" customHeight="false" outlineLevel="0" collapsed="false">
      <c r="A1659" s="20" t="n">
        <v>46099</v>
      </c>
      <c r="B1659" s="15" t="s">
        <v>466</v>
      </c>
      <c r="C1659" s="15" t="s">
        <v>567</v>
      </c>
      <c r="D1659" s="15" t="s">
        <v>568</v>
      </c>
      <c r="E1659" s="15" t="n">
        <v>4</v>
      </c>
      <c r="H1659" s="10"/>
      <c r="I1659" s="21"/>
      <c r="M1659" s="10"/>
      <c r="N1659" s="10"/>
      <c r="P1659" s="10"/>
      <c r="Q1659" s="22"/>
    </row>
    <row r="1660" customFormat="false" ht="15.75" hidden="false" customHeight="false" outlineLevel="0" collapsed="false">
      <c r="A1660" s="20" t="n">
        <v>46099</v>
      </c>
      <c r="B1660" s="15" t="s">
        <v>466</v>
      </c>
      <c r="C1660" s="15" t="s">
        <v>545</v>
      </c>
      <c r="D1660" s="15" t="s">
        <v>546</v>
      </c>
      <c r="E1660" s="15" t="n">
        <v>4</v>
      </c>
      <c r="H1660" s="10"/>
      <c r="I1660" s="21"/>
      <c r="M1660" s="10"/>
      <c r="N1660" s="10"/>
      <c r="P1660" s="10"/>
      <c r="Q1660" s="22"/>
    </row>
    <row r="1661" customFormat="false" ht="15.75" hidden="false" customHeight="false" outlineLevel="0" collapsed="false">
      <c r="A1661" s="20" t="n">
        <v>46099</v>
      </c>
      <c r="B1661" s="15" t="s">
        <v>466</v>
      </c>
      <c r="C1661" s="15" t="s">
        <v>543</v>
      </c>
      <c r="D1661" s="15" t="s">
        <v>544</v>
      </c>
      <c r="E1661" s="15" t="n">
        <v>2</v>
      </c>
      <c r="H1661" s="10"/>
      <c r="I1661" s="21"/>
      <c r="M1661" s="10"/>
      <c r="N1661" s="10"/>
      <c r="P1661" s="10"/>
      <c r="Q1661" s="22"/>
    </row>
    <row r="1662" customFormat="false" ht="15.75" hidden="false" customHeight="false" outlineLevel="0" collapsed="false">
      <c r="A1662" s="20" t="n">
        <v>46099</v>
      </c>
      <c r="B1662" s="15" t="s">
        <v>466</v>
      </c>
      <c r="C1662" s="15" t="s">
        <v>83</v>
      </c>
      <c r="D1662" s="15" t="s">
        <v>581</v>
      </c>
      <c r="E1662" s="15" t="n">
        <v>1</v>
      </c>
      <c r="H1662" s="10"/>
      <c r="I1662" s="21"/>
      <c r="M1662" s="10"/>
      <c r="N1662" s="10"/>
      <c r="P1662" s="10"/>
      <c r="Q1662" s="22"/>
    </row>
    <row r="1663" customFormat="false" ht="15.75" hidden="false" customHeight="false" outlineLevel="0" collapsed="false">
      <c r="A1663" s="20" t="n">
        <v>46099</v>
      </c>
      <c r="B1663" s="15" t="s">
        <v>466</v>
      </c>
      <c r="C1663" s="15" t="s">
        <v>85</v>
      </c>
      <c r="D1663" s="15" t="s">
        <v>582</v>
      </c>
      <c r="E1663" s="15" t="n">
        <v>1</v>
      </c>
      <c r="H1663" s="10"/>
      <c r="I1663" s="21"/>
      <c r="M1663" s="10"/>
      <c r="N1663" s="10"/>
      <c r="P1663" s="10"/>
      <c r="Q1663" s="22"/>
    </row>
    <row r="1664" customFormat="false" ht="15.75" hidden="false" customHeight="false" outlineLevel="0" collapsed="false">
      <c r="A1664" s="20" t="n">
        <v>46099</v>
      </c>
      <c r="B1664" s="15" t="s">
        <v>466</v>
      </c>
      <c r="C1664" s="15" t="s">
        <v>555</v>
      </c>
      <c r="D1664" s="15" t="s">
        <v>556</v>
      </c>
      <c r="E1664" s="15" t="n">
        <v>3</v>
      </c>
      <c r="H1664" s="10"/>
      <c r="I1664" s="21"/>
      <c r="M1664" s="10"/>
      <c r="N1664" s="10"/>
      <c r="P1664" s="10"/>
      <c r="Q1664" s="22"/>
    </row>
    <row r="1665" customFormat="false" ht="15.75" hidden="false" customHeight="false" outlineLevel="0" collapsed="false">
      <c r="A1665" s="20" t="n">
        <v>46099</v>
      </c>
      <c r="B1665" s="15" t="s">
        <v>466</v>
      </c>
      <c r="C1665" s="15" t="s">
        <v>25</v>
      </c>
      <c r="D1665" s="15" t="s">
        <v>26</v>
      </c>
      <c r="E1665" s="15" t="n">
        <v>1</v>
      </c>
      <c r="H1665" s="10"/>
      <c r="I1665" s="21"/>
      <c r="M1665" s="10"/>
      <c r="N1665" s="10"/>
      <c r="P1665" s="10"/>
      <c r="Q1665" s="22"/>
    </row>
    <row r="1666" customFormat="false" ht="15.75" hidden="false" customHeight="false" outlineLevel="0" collapsed="false">
      <c r="A1666" s="20" t="n">
        <v>46099</v>
      </c>
      <c r="B1666" s="15" t="s">
        <v>466</v>
      </c>
      <c r="C1666" s="15" t="s">
        <v>77</v>
      </c>
      <c r="D1666" s="15" t="s">
        <v>78</v>
      </c>
      <c r="E1666" s="15" t="n">
        <v>2</v>
      </c>
      <c r="H1666" s="10"/>
      <c r="I1666" s="21"/>
      <c r="M1666" s="10"/>
      <c r="N1666" s="10"/>
      <c r="P1666" s="10"/>
      <c r="Q1666" s="22"/>
    </row>
    <row r="1667" customFormat="false" ht="15.75" hidden="false" customHeight="false" outlineLevel="0" collapsed="false">
      <c r="A1667" s="20" t="n">
        <v>46099</v>
      </c>
      <c r="B1667" s="15" t="s">
        <v>466</v>
      </c>
      <c r="C1667" s="15" t="s">
        <v>11</v>
      </c>
      <c r="D1667" s="15" t="s">
        <v>572</v>
      </c>
      <c r="E1667" s="15" t="n">
        <v>6</v>
      </c>
      <c r="H1667" s="10"/>
      <c r="I1667" s="21"/>
      <c r="M1667" s="10"/>
      <c r="N1667" s="10"/>
      <c r="P1667" s="10"/>
      <c r="Q1667" s="22"/>
    </row>
    <row r="1668" customFormat="false" ht="15.75" hidden="false" customHeight="false" outlineLevel="0" collapsed="false">
      <c r="A1668" s="20" t="n">
        <v>46099</v>
      </c>
      <c r="B1668" s="15" t="s">
        <v>466</v>
      </c>
      <c r="C1668" s="15" t="s">
        <v>65</v>
      </c>
      <c r="D1668" s="15" t="s">
        <v>580</v>
      </c>
      <c r="E1668" s="15" t="n">
        <v>1</v>
      </c>
      <c r="H1668" s="10"/>
      <c r="I1668" s="21"/>
      <c r="M1668" s="10"/>
      <c r="N1668" s="10"/>
      <c r="P1668" s="10"/>
      <c r="Q1668" s="22"/>
    </row>
    <row r="1669" customFormat="false" ht="15.75" hidden="false" customHeight="false" outlineLevel="0" collapsed="false">
      <c r="A1669" s="20" t="n">
        <v>46099</v>
      </c>
      <c r="B1669" s="15" t="s">
        <v>466</v>
      </c>
      <c r="C1669" s="15" t="s">
        <v>33</v>
      </c>
      <c r="D1669" s="15" t="s">
        <v>536</v>
      </c>
      <c r="E1669" s="15" t="n">
        <v>2</v>
      </c>
      <c r="H1669" s="10"/>
      <c r="I1669" s="21"/>
      <c r="M1669" s="10"/>
      <c r="N1669" s="10"/>
      <c r="P1669" s="10"/>
      <c r="Q1669" s="22"/>
    </row>
    <row r="1670" customFormat="false" ht="15.75" hidden="false" customHeight="false" outlineLevel="0" collapsed="false">
      <c r="A1670" s="20" t="n">
        <v>46099</v>
      </c>
      <c r="B1670" s="15" t="s">
        <v>466</v>
      </c>
      <c r="C1670" s="15" t="s">
        <v>21</v>
      </c>
      <c r="D1670" s="15" t="s">
        <v>583</v>
      </c>
      <c r="E1670" s="15" t="n">
        <v>1</v>
      </c>
      <c r="H1670" s="10"/>
      <c r="I1670" s="21"/>
      <c r="M1670" s="10"/>
      <c r="N1670" s="10"/>
      <c r="P1670" s="10"/>
      <c r="Q1670" s="22"/>
    </row>
    <row r="1671" customFormat="false" ht="15.75" hidden="false" customHeight="false" outlineLevel="0" collapsed="false">
      <c r="A1671" s="20" t="n">
        <v>46099</v>
      </c>
      <c r="B1671" s="15" t="s">
        <v>466</v>
      </c>
      <c r="C1671" s="15" t="s">
        <v>45</v>
      </c>
      <c r="D1671" s="15" t="s">
        <v>540</v>
      </c>
      <c r="E1671" s="15" t="n">
        <v>1</v>
      </c>
      <c r="H1671" s="10"/>
      <c r="I1671" s="21"/>
      <c r="M1671" s="10"/>
      <c r="N1671" s="10"/>
      <c r="P1671" s="10"/>
      <c r="Q1671" s="22"/>
    </row>
    <row r="1672" customFormat="false" ht="15.75" hidden="false" customHeight="false" outlineLevel="0" collapsed="false">
      <c r="A1672" s="20" t="n">
        <v>46099</v>
      </c>
      <c r="B1672" s="15" t="s">
        <v>466</v>
      </c>
      <c r="C1672" s="15" t="s">
        <v>59</v>
      </c>
      <c r="D1672" s="15" t="s">
        <v>562</v>
      </c>
      <c r="E1672" s="15" t="n">
        <v>2</v>
      </c>
      <c r="H1672" s="10"/>
      <c r="I1672" s="21"/>
      <c r="M1672" s="10"/>
      <c r="N1672" s="10"/>
      <c r="P1672" s="10"/>
      <c r="Q1672" s="22"/>
    </row>
    <row r="1673" customFormat="false" ht="15.75" hidden="false" customHeight="false" outlineLevel="0" collapsed="false">
      <c r="A1673" s="20" t="n">
        <v>46099</v>
      </c>
      <c r="B1673" s="15" t="s">
        <v>466</v>
      </c>
      <c r="C1673" s="15" t="s">
        <v>79</v>
      </c>
      <c r="D1673" s="15" t="s">
        <v>564</v>
      </c>
      <c r="E1673" s="15" t="n">
        <v>1</v>
      </c>
      <c r="H1673" s="10"/>
      <c r="I1673" s="21"/>
      <c r="M1673" s="10"/>
      <c r="N1673" s="10"/>
      <c r="P1673" s="10"/>
      <c r="Q1673" s="22"/>
    </row>
    <row r="1674" customFormat="false" ht="15.75" hidden="false" customHeight="false" outlineLevel="0" collapsed="false">
      <c r="A1674" s="20" t="n">
        <v>46099</v>
      </c>
      <c r="B1674" s="15" t="s">
        <v>469</v>
      </c>
      <c r="C1674" s="15" t="s">
        <v>69</v>
      </c>
      <c r="D1674" s="15" t="s">
        <v>535</v>
      </c>
      <c r="E1674" s="15" t="n">
        <v>5</v>
      </c>
      <c r="H1674" s="10"/>
      <c r="I1674" s="21"/>
      <c r="M1674" s="10"/>
      <c r="N1674" s="10"/>
      <c r="P1674" s="10"/>
      <c r="Q1674" s="22"/>
    </row>
    <row r="1675" customFormat="false" ht="15.75" hidden="false" customHeight="false" outlineLevel="0" collapsed="false">
      <c r="A1675" s="20" t="n">
        <v>46099</v>
      </c>
      <c r="B1675" s="15" t="s">
        <v>469</v>
      </c>
      <c r="C1675" s="15" t="s">
        <v>55</v>
      </c>
      <c r="D1675" s="15" t="s">
        <v>539</v>
      </c>
      <c r="E1675" s="15" t="n">
        <v>2</v>
      </c>
      <c r="H1675" s="10"/>
      <c r="I1675" s="21"/>
      <c r="M1675" s="10"/>
      <c r="N1675" s="10"/>
      <c r="P1675" s="10"/>
      <c r="Q1675" s="22"/>
    </row>
    <row r="1676" customFormat="false" ht="15.75" hidden="false" customHeight="false" outlineLevel="0" collapsed="false">
      <c r="A1676" s="20" t="n">
        <v>46099</v>
      </c>
      <c r="B1676" s="15" t="s">
        <v>469</v>
      </c>
      <c r="C1676" s="15" t="s">
        <v>33</v>
      </c>
      <c r="D1676" s="15" t="s">
        <v>536</v>
      </c>
      <c r="E1676" s="15" t="n">
        <v>5</v>
      </c>
      <c r="H1676" s="10"/>
      <c r="I1676" s="21"/>
      <c r="M1676" s="10"/>
      <c r="N1676" s="10"/>
      <c r="P1676" s="10"/>
      <c r="Q1676" s="22"/>
    </row>
    <row r="1677" customFormat="false" ht="15.75" hidden="false" customHeight="false" outlineLevel="0" collapsed="false">
      <c r="A1677" s="20" t="n">
        <v>46099</v>
      </c>
      <c r="B1677" s="15" t="s">
        <v>469</v>
      </c>
      <c r="C1677" s="15" t="s">
        <v>547</v>
      </c>
      <c r="D1677" s="15" t="s">
        <v>548</v>
      </c>
      <c r="E1677" s="15" t="n">
        <v>1</v>
      </c>
      <c r="H1677" s="10"/>
      <c r="I1677" s="21"/>
      <c r="M1677" s="10"/>
      <c r="N1677" s="10"/>
      <c r="P1677" s="10"/>
      <c r="Q1677" s="22"/>
    </row>
    <row r="1678" customFormat="false" ht="15.75" hidden="false" customHeight="false" outlineLevel="0" collapsed="false">
      <c r="A1678" s="20" t="n">
        <v>46099</v>
      </c>
      <c r="B1678" s="15" t="s">
        <v>469</v>
      </c>
      <c r="C1678" s="15" t="s">
        <v>81</v>
      </c>
      <c r="D1678" s="15" t="s">
        <v>534</v>
      </c>
      <c r="E1678" s="15" t="n">
        <v>2</v>
      </c>
      <c r="H1678" s="10"/>
      <c r="I1678" s="21"/>
      <c r="M1678" s="10"/>
      <c r="N1678" s="10"/>
      <c r="P1678" s="10"/>
      <c r="Q1678" s="22"/>
    </row>
    <row r="1679" customFormat="false" ht="15.75" hidden="false" customHeight="false" outlineLevel="0" collapsed="false">
      <c r="A1679" s="20" t="n">
        <v>46099</v>
      </c>
      <c r="B1679" s="15" t="s">
        <v>478</v>
      </c>
      <c r="C1679" s="15" t="s">
        <v>547</v>
      </c>
      <c r="D1679" s="15" t="s">
        <v>548</v>
      </c>
      <c r="E1679" s="15" t="n">
        <v>2</v>
      </c>
      <c r="H1679" s="10"/>
      <c r="I1679" s="21"/>
      <c r="M1679" s="10"/>
      <c r="N1679" s="10"/>
      <c r="P1679" s="10"/>
      <c r="Q1679" s="22"/>
    </row>
    <row r="1680" customFormat="false" ht="15.75" hidden="false" customHeight="false" outlineLevel="0" collapsed="false">
      <c r="A1680" s="20" t="n">
        <v>46099</v>
      </c>
      <c r="B1680" s="15" t="s">
        <v>478</v>
      </c>
      <c r="C1680" s="15" t="s">
        <v>69</v>
      </c>
      <c r="D1680" s="15" t="s">
        <v>535</v>
      </c>
      <c r="E1680" s="15" t="n">
        <v>2</v>
      </c>
      <c r="H1680" s="10"/>
      <c r="I1680" s="21"/>
      <c r="M1680" s="10"/>
      <c r="N1680" s="10"/>
      <c r="P1680" s="10"/>
      <c r="Q1680" s="22"/>
    </row>
    <row r="1681" customFormat="false" ht="15.75" hidden="false" customHeight="false" outlineLevel="0" collapsed="false">
      <c r="A1681" s="20" t="n">
        <v>46099</v>
      </c>
      <c r="B1681" s="15" t="s">
        <v>482</v>
      </c>
      <c r="C1681" s="15" t="s">
        <v>69</v>
      </c>
      <c r="D1681" s="15" t="s">
        <v>535</v>
      </c>
      <c r="E1681" s="15" t="n">
        <v>2</v>
      </c>
      <c r="H1681" s="10"/>
      <c r="I1681" s="21"/>
      <c r="M1681" s="10"/>
      <c r="N1681" s="10"/>
      <c r="P1681" s="10"/>
      <c r="Q1681" s="22"/>
    </row>
    <row r="1682" customFormat="false" ht="15.75" hidden="false" customHeight="false" outlineLevel="0" collapsed="false">
      <c r="A1682" s="20" t="n">
        <v>46099</v>
      </c>
      <c r="B1682" s="15" t="s">
        <v>482</v>
      </c>
      <c r="C1682" s="15" t="s">
        <v>33</v>
      </c>
      <c r="D1682" s="15" t="s">
        <v>536</v>
      </c>
      <c r="E1682" s="15" t="n">
        <v>2</v>
      </c>
      <c r="H1682" s="10"/>
      <c r="I1682" s="21"/>
      <c r="M1682" s="10"/>
      <c r="N1682" s="10"/>
      <c r="P1682" s="10"/>
      <c r="Q1682" s="22"/>
    </row>
    <row r="1683" customFormat="false" ht="15.75" hidden="false" customHeight="false" outlineLevel="0" collapsed="false">
      <c r="A1683" s="20" t="n">
        <v>46099</v>
      </c>
      <c r="B1683" s="15" t="s">
        <v>482</v>
      </c>
      <c r="C1683" s="15" t="s">
        <v>77</v>
      </c>
      <c r="D1683" s="15" t="s">
        <v>78</v>
      </c>
      <c r="E1683" s="15" t="n">
        <v>2</v>
      </c>
      <c r="H1683" s="10"/>
      <c r="I1683" s="21"/>
      <c r="M1683" s="10"/>
      <c r="N1683" s="10"/>
      <c r="P1683" s="10"/>
      <c r="Q1683" s="22"/>
    </row>
    <row r="1684" customFormat="false" ht="15.75" hidden="false" customHeight="false" outlineLevel="0" collapsed="false">
      <c r="A1684" s="20" t="n">
        <v>46099</v>
      </c>
      <c r="B1684" s="15" t="s">
        <v>495</v>
      </c>
      <c r="C1684" s="15" t="s">
        <v>55</v>
      </c>
      <c r="D1684" s="15" t="s">
        <v>539</v>
      </c>
      <c r="E1684" s="15" t="n">
        <v>1</v>
      </c>
      <c r="H1684" s="10"/>
      <c r="I1684" s="21"/>
      <c r="M1684" s="10"/>
      <c r="N1684" s="10"/>
      <c r="P1684" s="10"/>
      <c r="Q1684" s="22"/>
    </row>
    <row r="1685" customFormat="false" ht="15.75" hidden="false" customHeight="false" outlineLevel="0" collapsed="false">
      <c r="A1685" s="20" t="n">
        <v>46099</v>
      </c>
      <c r="B1685" s="15" t="s">
        <v>495</v>
      </c>
      <c r="C1685" s="15" t="s">
        <v>81</v>
      </c>
      <c r="D1685" s="15" t="s">
        <v>534</v>
      </c>
      <c r="E1685" s="15" t="n">
        <v>3</v>
      </c>
      <c r="H1685" s="10"/>
      <c r="I1685" s="21"/>
      <c r="M1685" s="10"/>
      <c r="N1685" s="10"/>
      <c r="P1685" s="10"/>
      <c r="Q1685" s="22"/>
    </row>
    <row r="1686" customFormat="false" ht="15.75" hidden="false" customHeight="false" outlineLevel="0" collapsed="false">
      <c r="A1686" s="20" t="n">
        <v>46099</v>
      </c>
      <c r="B1686" s="15" t="s">
        <v>495</v>
      </c>
      <c r="C1686" s="15" t="s">
        <v>75</v>
      </c>
      <c r="D1686" s="15" t="s">
        <v>560</v>
      </c>
      <c r="E1686" s="15" t="n">
        <v>1</v>
      </c>
      <c r="H1686" s="10"/>
      <c r="I1686" s="21"/>
      <c r="M1686" s="10"/>
      <c r="N1686" s="10"/>
      <c r="P1686" s="10"/>
      <c r="Q1686" s="22"/>
    </row>
    <row r="1687" customFormat="false" ht="15.75" hidden="false" customHeight="false" outlineLevel="0" collapsed="false">
      <c r="A1687" s="20" t="n">
        <v>46099</v>
      </c>
      <c r="B1687" s="15" t="s">
        <v>495</v>
      </c>
      <c r="C1687" s="15" t="s">
        <v>43</v>
      </c>
      <c r="D1687" s="15" t="s">
        <v>538</v>
      </c>
      <c r="E1687" s="15" t="n">
        <v>1</v>
      </c>
      <c r="H1687" s="10"/>
      <c r="I1687" s="21"/>
      <c r="M1687" s="10"/>
      <c r="N1687" s="10"/>
      <c r="P1687" s="10"/>
      <c r="Q1687" s="22"/>
    </row>
    <row r="1688" customFormat="false" ht="15.75" hidden="false" customHeight="false" outlineLevel="0" collapsed="false">
      <c r="A1688" s="20" t="n">
        <v>46099</v>
      </c>
      <c r="B1688" s="15" t="s">
        <v>495</v>
      </c>
      <c r="C1688" s="15" t="s">
        <v>69</v>
      </c>
      <c r="D1688" s="15" t="s">
        <v>535</v>
      </c>
      <c r="E1688" s="15" t="n">
        <v>5</v>
      </c>
      <c r="H1688" s="10"/>
      <c r="I1688" s="21"/>
      <c r="M1688" s="10"/>
      <c r="N1688" s="10"/>
      <c r="P1688" s="10"/>
      <c r="Q1688" s="22"/>
    </row>
    <row r="1689" customFormat="false" ht="15.75" hidden="false" customHeight="false" outlineLevel="0" collapsed="false">
      <c r="A1689" s="20" t="n">
        <v>46099</v>
      </c>
      <c r="B1689" s="15" t="s">
        <v>495</v>
      </c>
      <c r="C1689" s="15" t="s">
        <v>547</v>
      </c>
      <c r="D1689" s="15" t="s">
        <v>548</v>
      </c>
      <c r="E1689" s="15" t="n">
        <v>3</v>
      </c>
      <c r="H1689" s="10"/>
      <c r="I1689" s="21"/>
      <c r="M1689" s="10"/>
      <c r="N1689" s="10"/>
      <c r="P1689" s="10"/>
      <c r="Q1689" s="22"/>
    </row>
    <row r="1690" customFormat="false" ht="15.75" hidden="false" customHeight="false" outlineLevel="0" collapsed="false">
      <c r="A1690" s="20" t="n">
        <v>46099</v>
      </c>
      <c r="B1690" s="15" t="s">
        <v>495</v>
      </c>
      <c r="C1690" s="15" t="s">
        <v>25</v>
      </c>
      <c r="D1690" s="15" t="s">
        <v>26</v>
      </c>
      <c r="E1690" s="15" t="n">
        <v>3</v>
      </c>
      <c r="H1690" s="10"/>
      <c r="I1690" s="21"/>
      <c r="M1690" s="10"/>
      <c r="N1690" s="10"/>
      <c r="P1690" s="10"/>
      <c r="Q1690" s="22"/>
    </row>
    <row r="1691" customFormat="false" ht="15.75" hidden="false" customHeight="false" outlineLevel="0" collapsed="false">
      <c r="A1691" s="20" t="n">
        <v>46099</v>
      </c>
      <c r="B1691" s="15" t="s">
        <v>495</v>
      </c>
      <c r="C1691" s="15" t="s">
        <v>543</v>
      </c>
      <c r="D1691" s="15" t="s">
        <v>544</v>
      </c>
      <c r="E1691" s="15" t="n">
        <v>6</v>
      </c>
      <c r="H1691" s="10"/>
      <c r="I1691" s="21"/>
      <c r="M1691" s="10"/>
      <c r="N1691" s="10"/>
      <c r="P1691" s="10"/>
      <c r="Q1691" s="22"/>
    </row>
    <row r="1692" customFormat="false" ht="15.75" hidden="false" customHeight="false" outlineLevel="0" collapsed="false">
      <c r="A1692" s="20" t="n">
        <v>46099</v>
      </c>
      <c r="B1692" s="15" t="s">
        <v>495</v>
      </c>
      <c r="C1692" s="15" t="s">
        <v>545</v>
      </c>
      <c r="D1692" s="15" t="s">
        <v>546</v>
      </c>
      <c r="E1692" s="15" t="n">
        <v>3</v>
      </c>
      <c r="H1692" s="10"/>
      <c r="I1692" s="21"/>
      <c r="M1692" s="10"/>
      <c r="N1692" s="10"/>
      <c r="P1692" s="10"/>
      <c r="Q1692" s="22"/>
    </row>
    <row r="1693" customFormat="false" ht="15.75" hidden="false" customHeight="false" outlineLevel="0" collapsed="false">
      <c r="A1693" s="20" t="n">
        <v>46099</v>
      </c>
      <c r="B1693" s="15" t="s">
        <v>495</v>
      </c>
      <c r="C1693" s="15" t="s">
        <v>63</v>
      </c>
      <c r="D1693" s="15" t="s">
        <v>551</v>
      </c>
      <c r="E1693" s="15" t="n">
        <v>1</v>
      </c>
      <c r="H1693" s="10"/>
      <c r="I1693" s="21"/>
      <c r="M1693" s="10"/>
      <c r="N1693" s="10"/>
      <c r="P1693" s="10"/>
      <c r="Q1693" s="22"/>
    </row>
    <row r="1694" customFormat="false" ht="15.75" hidden="false" customHeight="false" outlineLevel="0" collapsed="false">
      <c r="A1694" s="20" t="n">
        <v>46099</v>
      </c>
      <c r="B1694" s="15" t="s">
        <v>495</v>
      </c>
      <c r="C1694" s="15" t="s">
        <v>77</v>
      </c>
      <c r="D1694" s="15" t="s">
        <v>78</v>
      </c>
      <c r="E1694" s="15" t="n">
        <v>3</v>
      </c>
      <c r="H1694" s="10"/>
      <c r="I1694" s="21"/>
      <c r="M1694" s="10"/>
      <c r="N1694" s="10"/>
      <c r="P1694" s="10"/>
      <c r="Q1694" s="22"/>
    </row>
    <row r="1695" customFormat="false" ht="15.75" hidden="false" customHeight="false" outlineLevel="0" collapsed="false">
      <c r="A1695" s="20" t="n">
        <v>46099</v>
      </c>
      <c r="B1695" s="15" t="s">
        <v>495</v>
      </c>
      <c r="C1695" s="15" t="s">
        <v>61</v>
      </c>
      <c r="D1695" s="15" t="s">
        <v>576</v>
      </c>
      <c r="E1695" s="15" t="n">
        <v>1</v>
      </c>
      <c r="H1695" s="10"/>
      <c r="I1695" s="21"/>
      <c r="M1695" s="10"/>
      <c r="N1695" s="10"/>
      <c r="P1695" s="10"/>
      <c r="Q1695" s="22"/>
    </row>
    <row r="1696" customFormat="false" ht="15.75" hidden="false" customHeight="false" outlineLevel="0" collapsed="false">
      <c r="A1696" s="20" t="n">
        <v>46099</v>
      </c>
      <c r="B1696" s="15" t="s">
        <v>495</v>
      </c>
      <c r="C1696" s="15" t="s">
        <v>33</v>
      </c>
      <c r="D1696" s="15" t="s">
        <v>536</v>
      </c>
      <c r="E1696" s="15" t="n">
        <v>2</v>
      </c>
      <c r="H1696" s="10"/>
      <c r="I1696" s="21"/>
      <c r="M1696" s="10"/>
      <c r="N1696" s="10"/>
      <c r="P1696" s="10"/>
      <c r="Q1696" s="22"/>
    </row>
    <row r="1697" customFormat="false" ht="15.75" hidden="false" customHeight="false" outlineLevel="0" collapsed="false">
      <c r="A1697" s="20" t="n">
        <v>46099</v>
      </c>
      <c r="B1697" s="15" t="s">
        <v>495</v>
      </c>
      <c r="C1697" s="15" t="s">
        <v>59</v>
      </c>
      <c r="D1697" s="15" t="s">
        <v>562</v>
      </c>
      <c r="E1697" s="15" t="n">
        <v>2</v>
      </c>
      <c r="H1697" s="10"/>
      <c r="I1697" s="21"/>
      <c r="M1697" s="10"/>
      <c r="N1697" s="10"/>
      <c r="P1697" s="10"/>
      <c r="Q1697" s="22"/>
    </row>
    <row r="1698" customFormat="false" ht="15.75" hidden="false" customHeight="false" outlineLevel="0" collapsed="false">
      <c r="A1698" s="20" t="n">
        <v>46099</v>
      </c>
      <c r="B1698" s="15" t="s">
        <v>503</v>
      </c>
      <c r="C1698" s="15" t="s">
        <v>81</v>
      </c>
      <c r="D1698" s="15" t="s">
        <v>534</v>
      </c>
      <c r="E1698" s="15" t="n">
        <v>2</v>
      </c>
      <c r="H1698" s="10"/>
      <c r="I1698" s="21"/>
      <c r="M1698" s="10"/>
      <c r="N1698" s="10"/>
      <c r="P1698" s="10"/>
      <c r="Q1698" s="22"/>
    </row>
    <row r="1699" customFormat="false" ht="15.75" hidden="false" customHeight="false" outlineLevel="0" collapsed="false">
      <c r="A1699" s="20" t="n">
        <v>46099</v>
      </c>
      <c r="B1699" s="15" t="s">
        <v>503</v>
      </c>
      <c r="C1699" s="15" t="s">
        <v>55</v>
      </c>
      <c r="D1699" s="15" t="s">
        <v>539</v>
      </c>
      <c r="E1699" s="15" t="n">
        <v>12</v>
      </c>
      <c r="H1699" s="10"/>
      <c r="I1699" s="21"/>
      <c r="M1699" s="10"/>
      <c r="N1699" s="10"/>
      <c r="P1699" s="10"/>
      <c r="Q1699" s="22"/>
    </row>
    <row r="1700" customFormat="false" ht="15.75" hidden="false" customHeight="false" outlineLevel="0" collapsed="false">
      <c r="A1700" s="20" t="n">
        <v>46099</v>
      </c>
      <c r="B1700" s="15" t="s">
        <v>503</v>
      </c>
      <c r="C1700" s="15" t="s">
        <v>63</v>
      </c>
      <c r="D1700" s="15" t="s">
        <v>551</v>
      </c>
      <c r="E1700" s="15" t="n">
        <v>1</v>
      </c>
      <c r="H1700" s="10"/>
      <c r="I1700" s="21"/>
      <c r="M1700" s="10"/>
      <c r="N1700" s="10"/>
      <c r="P1700" s="10"/>
      <c r="Q1700" s="22"/>
    </row>
    <row r="1701" customFormat="false" ht="15.75" hidden="false" customHeight="false" outlineLevel="0" collapsed="false">
      <c r="A1701" s="20" t="n">
        <v>46099</v>
      </c>
      <c r="B1701" s="15" t="s">
        <v>503</v>
      </c>
      <c r="C1701" s="15" t="s">
        <v>39</v>
      </c>
      <c r="D1701" s="15" t="s">
        <v>550</v>
      </c>
      <c r="E1701" s="15" t="n">
        <v>1</v>
      </c>
      <c r="H1701" s="10"/>
      <c r="I1701" s="21"/>
      <c r="M1701" s="10"/>
      <c r="N1701" s="10"/>
      <c r="P1701" s="10"/>
      <c r="Q1701" s="22"/>
    </row>
    <row r="1702" customFormat="false" ht="15.75" hidden="false" customHeight="false" outlineLevel="0" collapsed="false">
      <c r="A1702" s="20" t="n">
        <v>46099</v>
      </c>
      <c r="B1702" s="15" t="s">
        <v>503</v>
      </c>
      <c r="C1702" s="15" t="s">
        <v>47</v>
      </c>
      <c r="D1702" s="15" t="s">
        <v>549</v>
      </c>
      <c r="E1702" s="15" t="n">
        <v>2</v>
      </c>
      <c r="H1702" s="10"/>
      <c r="I1702" s="21"/>
      <c r="M1702" s="10"/>
      <c r="N1702" s="10"/>
      <c r="P1702" s="10"/>
      <c r="Q1702" s="22"/>
    </row>
    <row r="1703" customFormat="false" ht="15.75" hidden="false" customHeight="false" outlineLevel="0" collapsed="false">
      <c r="A1703" s="20" t="n">
        <v>46099</v>
      </c>
      <c r="B1703" s="15" t="s">
        <v>505</v>
      </c>
      <c r="C1703" s="15" t="s">
        <v>55</v>
      </c>
      <c r="D1703" s="15" t="s">
        <v>539</v>
      </c>
      <c r="E1703" s="15" t="n">
        <v>6</v>
      </c>
      <c r="H1703" s="10"/>
      <c r="I1703" s="21"/>
      <c r="M1703" s="10"/>
      <c r="N1703" s="10"/>
      <c r="P1703" s="10"/>
      <c r="Q1703" s="22"/>
    </row>
    <row r="1704" customFormat="false" ht="15.75" hidden="false" customHeight="false" outlineLevel="0" collapsed="false">
      <c r="A1704" s="20" t="n">
        <v>46099</v>
      </c>
      <c r="B1704" s="15" t="s">
        <v>505</v>
      </c>
      <c r="C1704" s="15" t="s">
        <v>39</v>
      </c>
      <c r="D1704" s="15" t="s">
        <v>550</v>
      </c>
      <c r="E1704" s="15" t="n">
        <v>1</v>
      </c>
      <c r="H1704" s="10"/>
      <c r="I1704" s="21"/>
      <c r="M1704" s="10"/>
      <c r="N1704" s="10"/>
      <c r="P1704" s="10"/>
      <c r="Q1704" s="22"/>
    </row>
    <row r="1705" customFormat="false" ht="15.75" hidden="false" customHeight="false" outlineLevel="0" collapsed="false">
      <c r="A1705" s="20" t="n">
        <v>46099</v>
      </c>
      <c r="B1705" s="15" t="s">
        <v>505</v>
      </c>
      <c r="C1705" s="15" t="s">
        <v>81</v>
      </c>
      <c r="D1705" s="15" t="s">
        <v>534</v>
      </c>
      <c r="E1705" s="15" t="n">
        <v>9</v>
      </c>
      <c r="H1705" s="10"/>
      <c r="I1705" s="21"/>
      <c r="M1705" s="10"/>
      <c r="N1705" s="10"/>
      <c r="P1705" s="10"/>
      <c r="Q1705" s="22"/>
    </row>
    <row r="1706" customFormat="false" ht="15.75" hidden="false" customHeight="false" outlineLevel="0" collapsed="false">
      <c r="A1706" s="20" t="n">
        <v>46099</v>
      </c>
      <c r="B1706" s="15" t="s">
        <v>505</v>
      </c>
      <c r="C1706" s="15" t="s">
        <v>47</v>
      </c>
      <c r="D1706" s="15" t="s">
        <v>549</v>
      </c>
      <c r="E1706" s="15" t="n">
        <v>3</v>
      </c>
      <c r="H1706" s="10"/>
      <c r="I1706" s="21"/>
      <c r="M1706" s="10"/>
      <c r="N1706" s="10"/>
      <c r="P1706" s="10"/>
      <c r="Q1706" s="22"/>
    </row>
    <row r="1707" customFormat="false" ht="15.75" hidden="false" customHeight="false" outlineLevel="0" collapsed="false">
      <c r="A1707" s="20" t="n">
        <v>46099</v>
      </c>
      <c r="B1707" s="15" t="s">
        <v>505</v>
      </c>
      <c r="C1707" s="15" t="s">
        <v>63</v>
      </c>
      <c r="D1707" s="15" t="s">
        <v>551</v>
      </c>
      <c r="E1707" s="15" t="n">
        <v>1</v>
      </c>
      <c r="H1707" s="10"/>
      <c r="I1707" s="21"/>
      <c r="M1707" s="10"/>
      <c r="N1707" s="10"/>
      <c r="P1707" s="10"/>
      <c r="Q1707" s="22"/>
    </row>
    <row r="1708" customFormat="false" ht="15.75" hidden="false" customHeight="false" outlineLevel="0" collapsed="false">
      <c r="A1708" s="20" t="n">
        <v>46099</v>
      </c>
      <c r="B1708" s="15" t="s">
        <v>505</v>
      </c>
      <c r="C1708" s="15" t="s">
        <v>17</v>
      </c>
      <c r="D1708" s="15" t="s">
        <v>554</v>
      </c>
      <c r="E1708" s="15" t="n">
        <v>1</v>
      </c>
      <c r="H1708" s="10"/>
      <c r="I1708" s="21"/>
      <c r="M1708" s="10"/>
      <c r="N1708" s="10"/>
      <c r="P1708" s="10"/>
      <c r="Q1708" s="22"/>
    </row>
    <row r="1709" customFormat="false" ht="15.75" hidden="false" customHeight="false" outlineLevel="0" collapsed="false">
      <c r="A1709" s="20" t="n">
        <v>46099</v>
      </c>
      <c r="B1709" s="15" t="s">
        <v>518</v>
      </c>
      <c r="C1709" s="15" t="s">
        <v>69</v>
      </c>
      <c r="D1709" s="15" t="s">
        <v>535</v>
      </c>
      <c r="E1709" s="15" t="n">
        <v>6</v>
      </c>
      <c r="H1709" s="10"/>
      <c r="I1709" s="21"/>
      <c r="M1709" s="10"/>
      <c r="N1709" s="10"/>
      <c r="P1709" s="10"/>
      <c r="Q1709" s="22"/>
    </row>
    <row r="1710" customFormat="false" ht="15.75" hidden="false" customHeight="false" outlineLevel="0" collapsed="false">
      <c r="A1710" s="20" t="n">
        <v>46099</v>
      </c>
      <c r="B1710" s="15" t="s">
        <v>518</v>
      </c>
      <c r="C1710" s="15" t="s">
        <v>33</v>
      </c>
      <c r="D1710" s="15" t="s">
        <v>536</v>
      </c>
      <c r="E1710" s="15" t="n">
        <v>6</v>
      </c>
      <c r="H1710" s="10"/>
      <c r="I1710" s="21"/>
      <c r="M1710" s="10"/>
      <c r="N1710" s="10"/>
      <c r="P1710" s="10"/>
      <c r="Q1710" s="22"/>
    </row>
    <row r="1711" customFormat="false" ht="15.75" hidden="false" customHeight="false" outlineLevel="0" collapsed="false">
      <c r="A1711" s="20" t="n">
        <v>46099</v>
      </c>
      <c r="B1711" s="15" t="s">
        <v>518</v>
      </c>
      <c r="C1711" s="15" t="s">
        <v>47</v>
      </c>
      <c r="D1711" s="15" t="s">
        <v>549</v>
      </c>
      <c r="E1711" s="15" t="n">
        <v>2</v>
      </c>
      <c r="H1711" s="10"/>
      <c r="I1711" s="21"/>
      <c r="M1711" s="10"/>
      <c r="N1711" s="10"/>
      <c r="P1711" s="10"/>
      <c r="Q1711" s="22"/>
    </row>
    <row r="1712" customFormat="false" ht="15.75" hidden="false" customHeight="false" outlineLevel="0" collapsed="false">
      <c r="A1712" s="20" t="n">
        <v>46099</v>
      </c>
      <c r="B1712" s="15" t="s">
        <v>518</v>
      </c>
      <c r="C1712" s="15" t="s">
        <v>51</v>
      </c>
      <c r="D1712" s="15" t="s">
        <v>573</v>
      </c>
      <c r="E1712" s="15" t="n">
        <v>1</v>
      </c>
      <c r="H1712" s="10"/>
      <c r="I1712" s="21"/>
      <c r="M1712" s="10"/>
      <c r="N1712" s="10"/>
      <c r="P1712" s="10"/>
      <c r="Q1712" s="22"/>
    </row>
    <row r="1713" customFormat="false" ht="15.75" hidden="false" customHeight="false" outlineLevel="0" collapsed="false">
      <c r="A1713" s="20" t="n">
        <v>46099</v>
      </c>
      <c r="B1713" s="15" t="s">
        <v>518</v>
      </c>
      <c r="C1713" s="15" t="s">
        <v>55</v>
      </c>
      <c r="D1713" s="15" t="s">
        <v>539</v>
      </c>
      <c r="E1713" s="15" t="n">
        <v>2</v>
      </c>
      <c r="H1713" s="10"/>
      <c r="I1713" s="21"/>
      <c r="M1713" s="10"/>
      <c r="N1713" s="10"/>
      <c r="P1713" s="10"/>
      <c r="Q1713" s="22"/>
    </row>
    <row r="1714" customFormat="false" ht="15.75" hidden="false" customHeight="false" outlineLevel="0" collapsed="false">
      <c r="A1714" s="20" t="n">
        <v>46099</v>
      </c>
      <c r="B1714" s="15" t="s">
        <v>518</v>
      </c>
      <c r="C1714" s="15" t="s">
        <v>37</v>
      </c>
      <c r="D1714" s="15" t="s">
        <v>561</v>
      </c>
      <c r="E1714" s="15" t="n">
        <v>2</v>
      </c>
      <c r="H1714" s="10"/>
      <c r="I1714" s="21"/>
      <c r="M1714" s="10"/>
      <c r="N1714" s="10"/>
      <c r="P1714" s="10"/>
      <c r="Q1714" s="22"/>
    </row>
    <row r="1715" customFormat="false" ht="15.75" hidden="false" customHeight="false" outlineLevel="0" collapsed="false">
      <c r="A1715" s="20" t="n">
        <v>46099</v>
      </c>
      <c r="B1715" s="15" t="s">
        <v>518</v>
      </c>
      <c r="C1715" s="15" t="s">
        <v>547</v>
      </c>
      <c r="D1715" s="15" t="s">
        <v>548</v>
      </c>
      <c r="E1715" s="15" t="n">
        <v>1</v>
      </c>
      <c r="H1715" s="10"/>
      <c r="I1715" s="21"/>
      <c r="M1715" s="10"/>
      <c r="N1715" s="10"/>
      <c r="P1715" s="10"/>
      <c r="Q1715" s="22"/>
    </row>
    <row r="1716" customFormat="false" ht="15.75" hidden="false" customHeight="false" outlineLevel="0" collapsed="false">
      <c r="A1716" s="20" t="n">
        <v>46099</v>
      </c>
      <c r="B1716" s="15" t="s">
        <v>518</v>
      </c>
      <c r="C1716" s="15" t="s">
        <v>81</v>
      </c>
      <c r="D1716" s="15" t="s">
        <v>534</v>
      </c>
      <c r="E1716" s="15" t="n">
        <v>1</v>
      </c>
      <c r="H1716" s="10"/>
      <c r="I1716" s="21"/>
      <c r="M1716" s="10"/>
      <c r="N1716" s="10"/>
      <c r="P1716" s="10"/>
      <c r="Q1716" s="22"/>
    </row>
    <row r="1717" customFormat="false" ht="15.75" hidden="false" customHeight="false" outlineLevel="0" collapsed="false">
      <c r="A1717" s="20" t="n">
        <v>46099</v>
      </c>
      <c r="B1717" s="15" t="s">
        <v>520</v>
      </c>
      <c r="C1717" s="15" t="s">
        <v>55</v>
      </c>
      <c r="D1717" s="15" t="s">
        <v>539</v>
      </c>
      <c r="E1717" s="15" t="n">
        <v>3</v>
      </c>
      <c r="H1717" s="10"/>
      <c r="I1717" s="21"/>
      <c r="M1717" s="10"/>
      <c r="N1717" s="10"/>
      <c r="P1717" s="10"/>
      <c r="Q1717" s="22"/>
    </row>
    <row r="1718" customFormat="false" ht="15.75" hidden="false" customHeight="false" outlineLevel="0" collapsed="false">
      <c r="A1718" s="20" t="n">
        <v>46099</v>
      </c>
      <c r="B1718" s="15" t="s">
        <v>520</v>
      </c>
      <c r="C1718" s="15" t="s">
        <v>69</v>
      </c>
      <c r="D1718" s="15" t="s">
        <v>535</v>
      </c>
      <c r="E1718" s="15" t="n">
        <v>4</v>
      </c>
      <c r="H1718" s="10"/>
      <c r="I1718" s="21"/>
      <c r="M1718" s="10"/>
      <c r="N1718" s="10"/>
      <c r="P1718" s="10"/>
      <c r="Q1718" s="22"/>
    </row>
    <row r="1719" customFormat="false" ht="15.75" hidden="false" customHeight="false" outlineLevel="0" collapsed="false">
      <c r="A1719" s="20" t="n">
        <v>46099</v>
      </c>
      <c r="B1719" s="15" t="s">
        <v>520</v>
      </c>
      <c r="C1719" s="15" t="s">
        <v>81</v>
      </c>
      <c r="D1719" s="15" t="s">
        <v>534</v>
      </c>
      <c r="E1719" s="15" t="n">
        <v>1</v>
      </c>
      <c r="H1719" s="10"/>
      <c r="I1719" s="21"/>
      <c r="M1719" s="10"/>
      <c r="N1719" s="10"/>
      <c r="P1719" s="10"/>
      <c r="Q1719" s="22"/>
    </row>
    <row r="1720" customFormat="false" ht="15.75" hidden="false" customHeight="false" outlineLevel="0" collapsed="false">
      <c r="A1720" s="20" t="n">
        <v>46099</v>
      </c>
      <c r="B1720" s="15" t="s">
        <v>520</v>
      </c>
      <c r="C1720" s="15" t="s">
        <v>77</v>
      </c>
      <c r="D1720" s="15" t="s">
        <v>78</v>
      </c>
      <c r="E1720" s="15" t="n">
        <v>2</v>
      </c>
      <c r="H1720" s="10"/>
      <c r="I1720" s="21"/>
      <c r="M1720" s="10"/>
      <c r="N1720" s="10"/>
      <c r="P1720" s="10"/>
      <c r="Q1720" s="22"/>
    </row>
    <row r="1721" customFormat="false" ht="15.75" hidden="false" customHeight="false" outlineLevel="0" collapsed="false">
      <c r="A1721" s="20" t="n">
        <v>46099</v>
      </c>
      <c r="B1721" s="15" t="s">
        <v>520</v>
      </c>
      <c r="C1721" s="15" t="s">
        <v>33</v>
      </c>
      <c r="D1721" s="15" t="s">
        <v>536</v>
      </c>
      <c r="E1721" s="15" t="n">
        <v>4</v>
      </c>
      <c r="H1721" s="10"/>
      <c r="I1721" s="21"/>
      <c r="M1721" s="10"/>
      <c r="N1721" s="10"/>
      <c r="P1721" s="10"/>
      <c r="Q1721" s="22"/>
    </row>
    <row r="1722" customFormat="false" ht="15.75" hidden="false" customHeight="false" outlineLevel="0" collapsed="false">
      <c r="A1722" s="20" t="n">
        <v>46099</v>
      </c>
      <c r="B1722" s="15" t="s">
        <v>520</v>
      </c>
      <c r="C1722" s="15" t="s">
        <v>45</v>
      </c>
      <c r="D1722" s="15" t="s">
        <v>540</v>
      </c>
      <c r="E1722" s="15" t="n">
        <v>1</v>
      </c>
      <c r="H1722" s="10"/>
      <c r="I1722" s="21"/>
      <c r="M1722" s="10"/>
      <c r="N1722" s="10"/>
      <c r="P1722" s="10"/>
      <c r="Q1722" s="22"/>
    </row>
    <row r="1723" customFormat="false" ht="15.75" hidden="false" customHeight="false" outlineLevel="0" collapsed="false">
      <c r="A1723" s="20" t="n">
        <v>46099</v>
      </c>
      <c r="B1723" s="15" t="s">
        <v>520</v>
      </c>
      <c r="C1723" s="15" t="s">
        <v>59</v>
      </c>
      <c r="D1723" s="15" t="s">
        <v>562</v>
      </c>
      <c r="E1723" s="15" t="n">
        <v>3</v>
      </c>
      <c r="H1723" s="10"/>
      <c r="I1723" s="21"/>
      <c r="M1723" s="10"/>
      <c r="N1723" s="10"/>
      <c r="P1723" s="10"/>
      <c r="Q1723" s="22"/>
    </row>
    <row r="1724" customFormat="false" ht="15.75" hidden="false" customHeight="false" outlineLevel="0" collapsed="false">
      <c r="A1724" s="20" t="n">
        <v>46099</v>
      </c>
      <c r="B1724" s="15" t="s">
        <v>520</v>
      </c>
      <c r="C1724" s="15" t="s">
        <v>43</v>
      </c>
      <c r="D1724" s="15" t="s">
        <v>538</v>
      </c>
      <c r="E1724" s="15" t="n">
        <v>1</v>
      </c>
      <c r="H1724" s="10"/>
      <c r="I1724" s="21"/>
      <c r="M1724" s="10"/>
      <c r="N1724" s="10"/>
      <c r="P1724" s="10"/>
      <c r="Q1724" s="22"/>
    </row>
    <row r="1725" customFormat="false" ht="15.75" hidden="false" customHeight="false" outlineLevel="0" collapsed="false">
      <c r="A1725" s="20" t="n">
        <v>46099</v>
      </c>
      <c r="B1725" s="15" t="s">
        <v>526</v>
      </c>
      <c r="C1725" s="15" t="s">
        <v>69</v>
      </c>
      <c r="D1725" s="15" t="s">
        <v>535</v>
      </c>
      <c r="E1725" s="15" t="n">
        <v>6</v>
      </c>
      <c r="H1725" s="10"/>
      <c r="I1725" s="21"/>
      <c r="M1725" s="10"/>
      <c r="N1725" s="10"/>
      <c r="P1725" s="10"/>
      <c r="Q1725" s="22"/>
    </row>
    <row r="1726" customFormat="false" ht="15.75" hidden="false" customHeight="false" outlineLevel="0" collapsed="false">
      <c r="A1726" s="20" t="n">
        <v>46099</v>
      </c>
      <c r="B1726" s="15" t="s">
        <v>526</v>
      </c>
      <c r="C1726" s="15" t="s">
        <v>33</v>
      </c>
      <c r="D1726" s="15" t="s">
        <v>536</v>
      </c>
      <c r="E1726" s="15" t="n">
        <v>6</v>
      </c>
      <c r="H1726" s="10"/>
      <c r="I1726" s="21"/>
      <c r="M1726" s="10"/>
      <c r="N1726" s="10"/>
      <c r="P1726" s="10"/>
      <c r="Q1726" s="22"/>
    </row>
    <row r="1727" customFormat="false" ht="15.75" hidden="false" customHeight="false" outlineLevel="0" collapsed="false">
      <c r="A1727" s="20" t="n">
        <v>46099</v>
      </c>
      <c r="B1727" s="15" t="s">
        <v>526</v>
      </c>
      <c r="C1727" s="15" t="s">
        <v>55</v>
      </c>
      <c r="D1727" s="15" t="s">
        <v>539</v>
      </c>
      <c r="E1727" s="15" t="n">
        <v>4</v>
      </c>
      <c r="H1727" s="10"/>
      <c r="I1727" s="21"/>
      <c r="M1727" s="10"/>
      <c r="N1727" s="10"/>
      <c r="P1727" s="10"/>
      <c r="Q1727" s="22"/>
    </row>
    <row r="1728" customFormat="false" ht="15.75" hidden="false" customHeight="false" outlineLevel="0" collapsed="false">
      <c r="A1728" s="20" t="n">
        <v>46099</v>
      </c>
      <c r="B1728" s="15" t="s">
        <v>526</v>
      </c>
      <c r="C1728" s="15" t="s">
        <v>81</v>
      </c>
      <c r="D1728" s="15" t="s">
        <v>534</v>
      </c>
      <c r="E1728" s="15" t="n">
        <v>2</v>
      </c>
      <c r="H1728" s="10"/>
      <c r="I1728" s="21"/>
      <c r="M1728" s="10"/>
      <c r="N1728" s="10"/>
      <c r="P1728" s="10"/>
      <c r="Q1728" s="22"/>
    </row>
    <row r="1729" customFormat="false" ht="15.75" hidden="false" customHeight="false" outlineLevel="0" collapsed="false">
      <c r="A1729" s="20" t="n">
        <v>46099</v>
      </c>
      <c r="B1729" s="15" t="s">
        <v>526</v>
      </c>
      <c r="C1729" s="15" t="s">
        <v>47</v>
      </c>
      <c r="D1729" s="15" t="s">
        <v>549</v>
      </c>
      <c r="E1729" s="15" t="n">
        <v>1</v>
      </c>
      <c r="H1729" s="10"/>
      <c r="I1729" s="21"/>
      <c r="M1729" s="10"/>
      <c r="N1729" s="10"/>
      <c r="P1729" s="10"/>
      <c r="Q1729" s="22"/>
    </row>
    <row r="1730" customFormat="false" ht="15.75" hidden="false" customHeight="false" outlineLevel="0" collapsed="false">
      <c r="A1730" s="20" t="n">
        <v>46099</v>
      </c>
      <c r="B1730" s="15" t="s">
        <v>527</v>
      </c>
      <c r="C1730" s="15" t="s">
        <v>81</v>
      </c>
      <c r="D1730" s="15" t="s">
        <v>534</v>
      </c>
      <c r="E1730" s="15" t="n">
        <v>1</v>
      </c>
      <c r="H1730" s="10"/>
      <c r="I1730" s="21"/>
      <c r="M1730" s="10"/>
      <c r="N1730" s="10"/>
      <c r="P1730" s="10"/>
      <c r="Q1730" s="22"/>
    </row>
    <row r="1731" customFormat="false" ht="15.75" hidden="false" customHeight="false" outlineLevel="0" collapsed="false">
      <c r="A1731" s="20" t="n">
        <v>46099</v>
      </c>
      <c r="B1731" s="15" t="s">
        <v>527</v>
      </c>
      <c r="C1731" s="15" t="s">
        <v>69</v>
      </c>
      <c r="D1731" s="15" t="s">
        <v>535</v>
      </c>
      <c r="E1731" s="15" t="n">
        <v>3</v>
      </c>
      <c r="H1731" s="10"/>
      <c r="I1731" s="21"/>
      <c r="M1731" s="10"/>
      <c r="N1731" s="10"/>
      <c r="P1731" s="10"/>
      <c r="Q1731" s="22"/>
    </row>
    <row r="1732" customFormat="false" ht="15.75" hidden="false" customHeight="false" outlineLevel="0" collapsed="false">
      <c r="A1732" s="20" t="n">
        <v>46099</v>
      </c>
      <c r="B1732" s="15" t="s">
        <v>527</v>
      </c>
      <c r="C1732" s="15" t="s">
        <v>33</v>
      </c>
      <c r="D1732" s="15" t="s">
        <v>536</v>
      </c>
      <c r="E1732" s="15" t="n">
        <v>2</v>
      </c>
      <c r="H1732" s="10"/>
      <c r="I1732" s="21"/>
      <c r="M1732" s="10"/>
      <c r="N1732" s="10"/>
      <c r="P1732" s="10"/>
      <c r="Q1732" s="22"/>
    </row>
    <row r="1733" customFormat="false" ht="15.75" hidden="false" customHeight="false" outlineLevel="0" collapsed="false">
      <c r="A1733" s="20" t="n">
        <v>46099</v>
      </c>
      <c r="B1733" s="15" t="s">
        <v>527</v>
      </c>
      <c r="C1733" s="15" t="s">
        <v>77</v>
      </c>
      <c r="D1733" s="15" t="s">
        <v>78</v>
      </c>
      <c r="E1733" s="15" t="n">
        <v>2</v>
      </c>
      <c r="H1733" s="10"/>
      <c r="I1733" s="21"/>
      <c r="M1733" s="10"/>
      <c r="N1733" s="10"/>
      <c r="P1733" s="10"/>
      <c r="Q1733" s="22"/>
    </row>
    <row r="1734" customFormat="false" ht="15.75" hidden="false" customHeight="false" outlineLevel="0" collapsed="false">
      <c r="A1734" s="20" t="n">
        <v>46099</v>
      </c>
      <c r="B1734" s="15" t="s">
        <v>527</v>
      </c>
      <c r="C1734" s="15" t="s">
        <v>547</v>
      </c>
      <c r="D1734" s="15" t="s">
        <v>548</v>
      </c>
      <c r="E1734" s="15" t="n">
        <v>1</v>
      </c>
      <c r="H1734" s="10"/>
      <c r="I1734" s="21"/>
      <c r="M1734" s="10"/>
      <c r="N1734" s="10"/>
      <c r="P1734" s="10"/>
      <c r="Q1734" s="22"/>
    </row>
    <row r="1735" customFormat="false" ht="15.75" hidden="false" customHeight="false" outlineLevel="0" collapsed="false">
      <c r="A1735" s="20" t="n">
        <v>46099</v>
      </c>
      <c r="B1735" s="15" t="s">
        <v>527</v>
      </c>
      <c r="C1735" s="15" t="s">
        <v>545</v>
      </c>
      <c r="D1735" s="15" t="s">
        <v>546</v>
      </c>
      <c r="E1735" s="15" t="n">
        <v>1</v>
      </c>
      <c r="H1735" s="10"/>
      <c r="I1735" s="21"/>
      <c r="M1735" s="10"/>
      <c r="N1735" s="10"/>
      <c r="P1735" s="10"/>
      <c r="Q1735" s="22"/>
    </row>
    <row r="1736" customFormat="false" ht="15.75" hidden="false" customHeight="false" outlineLevel="0" collapsed="false">
      <c r="A1736" s="20" t="n">
        <v>46099</v>
      </c>
      <c r="B1736" s="15" t="s">
        <v>527</v>
      </c>
      <c r="C1736" s="15" t="s">
        <v>543</v>
      </c>
      <c r="D1736" s="15" t="s">
        <v>544</v>
      </c>
      <c r="E1736" s="15" t="n">
        <v>2</v>
      </c>
      <c r="H1736" s="10"/>
      <c r="I1736" s="21"/>
      <c r="M1736" s="10"/>
      <c r="N1736" s="10"/>
      <c r="P1736" s="10"/>
      <c r="Q1736" s="22"/>
    </row>
    <row r="1737" customFormat="false" ht="15.75" hidden="false" customHeight="false" outlineLevel="0" collapsed="false">
      <c r="A1737" s="20" t="n">
        <v>46099</v>
      </c>
      <c r="B1737" s="15" t="s">
        <v>527</v>
      </c>
      <c r="C1737" s="15" t="s">
        <v>541</v>
      </c>
      <c r="D1737" s="15" t="s">
        <v>542</v>
      </c>
      <c r="E1737" s="15" t="n">
        <v>1</v>
      </c>
      <c r="H1737" s="10"/>
      <c r="I1737" s="21"/>
      <c r="M1737" s="10"/>
      <c r="N1737" s="10"/>
      <c r="P1737" s="10"/>
      <c r="Q1737" s="22"/>
    </row>
    <row r="1738" customFormat="false" ht="15.75" hidden="false" customHeight="false" outlineLevel="0" collapsed="false">
      <c r="A1738" s="20" t="n">
        <v>46099</v>
      </c>
      <c r="B1738" s="15" t="s">
        <v>527</v>
      </c>
      <c r="C1738" s="15" t="s">
        <v>45</v>
      </c>
      <c r="D1738" s="15" t="s">
        <v>540</v>
      </c>
      <c r="E1738" s="15" t="n">
        <v>1</v>
      </c>
      <c r="H1738" s="10"/>
      <c r="I1738" s="21"/>
      <c r="M1738" s="10"/>
      <c r="N1738" s="10"/>
      <c r="P1738" s="10"/>
      <c r="Q1738" s="22"/>
    </row>
    <row r="1739" customFormat="false" ht="15.75" hidden="false" customHeight="false" outlineLevel="0" collapsed="false">
      <c r="A1739" s="20" t="n">
        <v>46099</v>
      </c>
      <c r="B1739" s="15" t="s">
        <v>527</v>
      </c>
      <c r="C1739" s="15" t="s">
        <v>55</v>
      </c>
      <c r="D1739" s="15" t="s">
        <v>539</v>
      </c>
      <c r="E1739" s="15" t="n">
        <v>1</v>
      </c>
      <c r="H1739" s="10"/>
      <c r="I1739" s="21"/>
      <c r="M1739" s="10"/>
      <c r="N1739" s="10"/>
      <c r="P1739" s="10"/>
      <c r="Q1739" s="22"/>
    </row>
    <row r="1740" customFormat="false" ht="15.75" hidden="false" customHeight="false" outlineLevel="0" collapsed="false">
      <c r="A1740" s="20" t="n">
        <v>46099</v>
      </c>
      <c r="B1740" s="15" t="s">
        <v>527</v>
      </c>
      <c r="C1740" s="15" t="s">
        <v>59</v>
      </c>
      <c r="D1740" s="15" t="s">
        <v>562</v>
      </c>
      <c r="E1740" s="15" t="n">
        <v>1</v>
      </c>
      <c r="H1740" s="10"/>
      <c r="I1740" s="21"/>
      <c r="M1740" s="10"/>
      <c r="N1740" s="10"/>
      <c r="P1740" s="10"/>
      <c r="Q1740" s="22"/>
    </row>
    <row r="1741" customFormat="false" ht="15.75" hidden="false" customHeight="false" outlineLevel="0" collapsed="false">
      <c r="A1741" s="20" t="n">
        <v>46099</v>
      </c>
      <c r="B1741" s="15" t="s">
        <v>527</v>
      </c>
      <c r="C1741" s="15" t="s">
        <v>47</v>
      </c>
      <c r="D1741" s="15" t="s">
        <v>549</v>
      </c>
      <c r="E1741" s="15" t="n">
        <v>1</v>
      </c>
      <c r="H1741" s="10"/>
      <c r="I1741" s="21"/>
      <c r="M1741" s="10"/>
      <c r="N1741" s="10"/>
      <c r="P1741" s="10"/>
      <c r="Q1741" s="22"/>
    </row>
    <row r="1742" customFormat="false" ht="15.75" hidden="false" customHeight="false" outlineLevel="0" collapsed="false">
      <c r="A1742" s="20" t="n">
        <v>46099</v>
      </c>
      <c r="B1742" s="15" t="s">
        <v>527</v>
      </c>
      <c r="C1742" s="15" t="s">
        <v>43</v>
      </c>
      <c r="D1742" s="15" t="s">
        <v>538</v>
      </c>
      <c r="E1742" s="15" t="n">
        <v>1</v>
      </c>
      <c r="H1742" s="10"/>
      <c r="I1742" s="21"/>
      <c r="M1742" s="10"/>
      <c r="N1742" s="10"/>
      <c r="P1742" s="10"/>
      <c r="Q1742" s="22"/>
    </row>
    <row r="1743" customFormat="false" ht="15.75" hidden="false" customHeight="false" outlineLevel="0" collapsed="false">
      <c r="A1743" s="20" t="n">
        <v>46100</v>
      </c>
      <c r="B1743" s="15" t="s">
        <v>452</v>
      </c>
      <c r="C1743" s="15" t="s">
        <v>81</v>
      </c>
      <c r="D1743" s="15" t="s">
        <v>534</v>
      </c>
      <c r="E1743" s="15" t="n">
        <v>11</v>
      </c>
      <c r="H1743" s="10"/>
      <c r="I1743" s="21"/>
      <c r="M1743" s="10"/>
      <c r="N1743" s="10"/>
      <c r="P1743" s="10"/>
      <c r="Q1743" s="22"/>
    </row>
    <row r="1744" customFormat="false" ht="15.75" hidden="false" customHeight="false" outlineLevel="0" collapsed="false">
      <c r="A1744" s="20" t="n">
        <v>46100</v>
      </c>
      <c r="B1744" s="15" t="s">
        <v>452</v>
      </c>
      <c r="C1744" s="15" t="s">
        <v>555</v>
      </c>
      <c r="D1744" s="15" t="s">
        <v>556</v>
      </c>
      <c r="E1744" s="15" t="n">
        <v>2</v>
      </c>
      <c r="H1744" s="10"/>
      <c r="I1744" s="21"/>
      <c r="M1744" s="10"/>
      <c r="N1744" s="10"/>
      <c r="P1744" s="10"/>
      <c r="Q1744" s="22"/>
    </row>
    <row r="1745" customFormat="false" ht="15.75" hidden="false" customHeight="false" outlineLevel="0" collapsed="false">
      <c r="A1745" s="20" t="n">
        <v>46100</v>
      </c>
      <c r="B1745" s="15" t="s">
        <v>452</v>
      </c>
      <c r="C1745" s="15" t="s">
        <v>545</v>
      </c>
      <c r="D1745" s="15" t="s">
        <v>546</v>
      </c>
      <c r="E1745" s="15" t="n">
        <v>1</v>
      </c>
      <c r="H1745" s="10"/>
      <c r="I1745" s="21"/>
      <c r="M1745" s="10"/>
      <c r="N1745" s="10"/>
      <c r="P1745" s="10"/>
      <c r="Q1745" s="22"/>
    </row>
    <row r="1746" customFormat="false" ht="15.75" hidden="false" customHeight="false" outlineLevel="0" collapsed="false">
      <c r="A1746" s="20" t="n">
        <v>46100</v>
      </c>
      <c r="B1746" s="15" t="s">
        <v>452</v>
      </c>
      <c r="C1746" s="15" t="s">
        <v>543</v>
      </c>
      <c r="D1746" s="15" t="s">
        <v>544</v>
      </c>
      <c r="E1746" s="15" t="n">
        <v>1</v>
      </c>
      <c r="H1746" s="10"/>
      <c r="I1746" s="21"/>
      <c r="M1746" s="10"/>
      <c r="N1746" s="10"/>
      <c r="P1746" s="10"/>
      <c r="Q1746" s="22"/>
    </row>
    <row r="1747" customFormat="false" ht="15.75" hidden="false" customHeight="false" outlineLevel="0" collapsed="false">
      <c r="A1747" s="20" t="n">
        <v>46100</v>
      </c>
      <c r="B1747" s="15" t="s">
        <v>452</v>
      </c>
      <c r="C1747" s="15" t="s">
        <v>69</v>
      </c>
      <c r="D1747" s="15" t="s">
        <v>535</v>
      </c>
      <c r="E1747" s="15" t="n">
        <v>4</v>
      </c>
      <c r="H1747" s="10"/>
      <c r="I1747" s="21"/>
      <c r="M1747" s="10"/>
      <c r="N1747" s="10"/>
      <c r="P1747" s="10"/>
      <c r="Q1747" s="22"/>
    </row>
    <row r="1748" customFormat="false" ht="15.75" hidden="false" customHeight="false" outlineLevel="0" collapsed="false">
      <c r="A1748" s="20" t="n">
        <v>46100</v>
      </c>
      <c r="B1748" s="15" t="s">
        <v>452</v>
      </c>
      <c r="C1748" s="15" t="s">
        <v>33</v>
      </c>
      <c r="D1748" s="15" t="s">
        <v>536</v>
      </c>
      <c r="E1748" s="15" t="n">
        <v>4</v>
      </c>
      <c r="H1748" s="10"/>
      <c r="I1748" s="21"/>
      <c r="M1748" s="10"/>
      <c r="N1748" s="10"/>
      <c r="P1748" s="10"/>
      <c r="Q1748" s="22"/>
    </row>
    <row r="1749" customFormat="false" ht="15.75" hidden="false" customHeight="false" outlineLevel="0" collapsed="false">
      <c r="A1749" s="20" t="n">
        <v>46100</v>
      </c>
      <c r="B1749" s="15" t="s">
        <v>452</v>
      </c>
      <c r="C1749" s="15" t="s">
        <v>79</v>
      </c>
      <c r="D1749" s="15" t="s">
        <v>564</v>
      </c>
      <c r="E1749" s="15" t="n">
        <v>1</v>
      </c>
      <c r="H1749" s="10"/>
      <c r="I1749" s="21"/>
      <c r="M1749" s="10"/>
      <c r="N1749" s="10"/>
      <c r="P1749" s="10"/>
      <c r="Q1749" s="22"/>
    </row>
    <row r="1750" customFormat="false" ht="15.75" hidden="false" customHeight="false" outlineLevel="0" collapsed="false">
      <c r="A1750" s="20" t="n">
        <v>46100</v>
      </c>
      <c r="B1750" s="15" t="s">
        <v>452</v>
      </c>
      <c r="C1750" s="15" t="s">
        <v>77</v>
      </c>
      <c r="D1750" s="15" t="s">
        <v>78</v>
      </c>
      <c r="E1750" s="15" t="n">
        <v>2</v>
      </c>
      <c r="H1750" s="10"/>
      <c r="I1750" s="21"/>
      <c r="M1750" s="10"/>
      <c r="N1750" s="10"/>
      <c r="P1750" s="10"/>
      <c r="Q1750" s="22"/>
    </row>
    <row r="1751" customFormat="false" ht="15.75" hidden="false" customHeight="false" outlineLevel="0" collapsed="false">
      <c r="A1751" s="20" t="n">
        <v>46100</v>
      </c>
      <c r="B1751" s="15" t="s">
        <v>452</v>
      </c>
      <c r="C1751" s="15" t="s">
        <v>49</v>
      </c>
      <c r="D1751" s="15" t="s">
        <v>537</v>
      </c>
      <c r="E1751" s="15" t="n">
        <v>5</v>
      </c>
      <c r="H1751" s="10"/>
      <c r="I1751" s="21"/>
      <c r="M1751" s="10"/>
      <c r="N1751" s="10"/>
      <c r="P1751" s="10"/>
      <c r="Q1751" s="22"/>
    </row>
    <row r="1752" customFormat="false" ht="15.75" hidden="false" customHeight="false" outlineLevel="0" collapsed="false">
      <c r="A1752" s="20" t="n">
        <v>46100</v>
      </c>
      <c r="B1752" s="15" t="s">
        <v>452</v>
      </c>
      <c r="C1752" s="15" t="s">
        <v>61</v>
      </c>
      <c r="D1752" s="15" t="s">
        <v>576</v>
      </c>
      <c r="E1752" s="15" t="n">
        <v>1</v>
      </c>
      <c r="H1752" s="10"/>
      <c r="I1752" s="21"/>
      <c r="M1752" s="10"/>
      <c r="N1752" s="10"/>
      <c r="P1752" s="10"/>
      <c r="Q1752" s="22"/>
    </row>
    <row r="1753" customFormat="false" ht="15.75" hidden="false" customHeight="false" outlineLevel="0" collapsed="false">
      <c r="A1753" s="20" t="n">
        <v>46100</v>
      </c>
      <c r="B1753" s="15" t="s">
        <v>453</v>
      </c>
      <c r="C1753" s="15" t="s">
        <v>47</v>
      </c>
      <c r="D1753" s="15" t="s">
        <v>549</v>
      </c>
      <c r="E1753" s="15" t="n">
        <v>2</v>
      </c>
      <c r="H1753" s="10"/>
      <c r="I1753" s="21"/>
      <c r="M1753" s="10"/>
      <c r="N1753" s="10"/>
      <c r="P1753" s="10"/>
      <c r="Q1753" s="22"/>
    </row>
    <row r="1754" customFormat="false" ht="15.75" hidden="false" customHeight="false" outlineLevel="0" collapsed="false">
      <c r="A1754" s="20" t="n">
        <v>46100</v>
      </c>
      <c r="B1754" s="15" t="s">
        <v>453</v>
      </c>
      <c r="C1754" s="15" t="s">
        <v>55</v>
      </c>
      <c r="D1754" s="15" t="s">
        <v>539</v>
      </c>
      <c r="E1754" s="15" t="n">
        <v>4</v>
      </c>
      <c r="H1754" s="10"/>
      <c r="I1754" s="21"/>
      <c r="M1754" s="10"/>
      <c r="N1754" s="10"/>
      <c r="P1754" s="10"/>
      <c r="Q1754" s="22"/>
    </row>
    <row r="1755" customFormat="false" ht="15.75" hidden="false" customHeight="false" outlineLevel="0" collapsed="false">
      <c r="A1755" s="20" t="n">
        <v>46100</v>
      </c>
      <c r="B1755" s="15" t="s">
        <v>453</v>
      </c>
      <c r="C1755" s="15" t="s">
        <v>81</v>
      </c>
      <c r="D1755" s="15" t="s">
        <v>534</v>
      </c>
      <c r="E1755" s="15" t="n">
        <v>8</v>
      </c>
      <c r="H1755" s="10"/>
      <c r="I1755" s="21"/>
      <c r="M1755" s="10"/>
      <c r="N1755" s="10"/>
      <c r="P1755" s="10"/>
      <c r="Q1755" s="22"/>
    </row>
    <row r="1756" customFormat="false" ht="15.75" hidden="false" customHeight="false" outlineLevel="0" collapsed="false">
      <c r="A1756" s="20" t="n">
        <v>46100</v>
      </c>
      <c r="B1756" s="15" t="s">
        <v>453</v>
      </c>
      <c r="C1756" s="15" t="s">
        <v>39</v>
      </c>
      <c r="D1756" s="15" t="s">
        <v>550</v>
      </c>
      <c r="E1756" s="15" t="n">
        <v>2</v>
      </c>
      <c r="H1756" s="10"/>
      <c r="I1756" s="21"/>
      <c r="M1756" s="10"/>
      <c r="N1756" s="10"/>
      <c r="P1756" s="10"/>
      <c r="Q1756" s="22"/>
    </row>
    <row r="1757" customFormat="false" ht="15.75" hidden="false" customHeight="false" outlineLevel="0" collapsed="false">
      <c r="A1757" s="20" t="n">
        <v>46100</v>
      </c>
      <c r="B1757" s="15" t="s">
        <v>453</v>
      </c>
      <c r="C1757" s="15" t="s">
        <v>63</v>
      </c>
      <c r="D1757" s="15" t="s">
        <v>551</v>
      </c>
      <c r="E1757" s="15" t="n">
        <v>1</v>
      </c>
      <c r="H1757" s="10"/>
      <c r="I1757" s="21"/>
      <c r="M1757" s="10"/>
      <c r="N1757" s="10"/>
      <c r="P1757" s="10"/>
      <c r="Q1757" s="22"/>
    </row>
    <row r="1758" customFormat="false" ht="15.75" hidden="false" customHeight="false" outlineLevel="0" collapsed="false">
      <c r="A1758" s="20" t="n">
        <v>46100</v>
      </c>
      <c r="B1758" s="15" t="s">
        <v>453</v>
      </c>
      <c r="C1758" s="15" t="s">
        <v>35</v>
      </c>
      <c r="D1758" s="15" t="s">
        <v>552</v>
      </c>
      <c r="E1758" s="15" t="n">
        <v>2</v>
      </c>
      <c r="H1758" s="10"/>
      <c r="I1758" s="21"/>
      <c r="M1758" s="10"/>
      <c r="N1758" s="10"/>
      <c r="P1758" s="10"/>
      <c r="Q1758" s="22"/>
    </row>
    <row r="1759" customFormat="false" ht="15.75" hidden="false" customHeight="false" outlineLevel="0" collapsed="false">
      <c r="A1759" s="20" t="n">
        <v>46100</v>
      </c>
      <c r="B1759" s="15" t="s">
        <v>465</v>
      </c>
      <c r="C1759" s="15" t="s">
        <v>47</v>
      </c>
      <c r="D1759" s="15" t="s">
        <v>549</v>
      </c>
      <c r="E1759" s="15" t="n">
        <v>2</v>
      </c>
      <c r="H1759" s="10"/>
      <c r="I1759" s="21"/>
      <c r="M1759" s="10"/>
      <c r="N1759" s="10"/>
      <c r="P1759" s="10"/>
      <c r="Q1759" s="22"/>
    </row>
    <row r="1760" customFormat="false" ht="15.75" hidden="false" customHeight="false" outlineLevel="0" collapsed="false">
      <c r="A1760" s="20" t="n">
        <v>46100</v>
      </c>
      <c r="B1760" s="15" t="s">
        <v>465</v>
      </c>
      <c r="C1760" s="15" t="s">
        <v>81</v>
      </c>
      <c r="D1760" s="15" t="s">
        <v>534</v>
      </c>
      <c r="E1760" s="15" t="n">
        <v>13</v>
      </c>
      <c r="H1760" s="10"/>
      <c r="I1760" s="21"/>
      <c r="M1760" s="10"/>
      <c r="N1760" s="10"/>
      <c r="P1760" s="10"/>
      <c r="Q1760" s="22"/>
    </row>
    <row r="1761" customFormat="false" ht="15.75" hidden="false" customHeight="false" outlineLevel="0" collapsed="false">
      <c r="A1761" s="20" t="n">
        <v>46100</v>
      </c>
      <c r="B1761" s="15" t="s">
        <v>465</v>
      </c>
      <c r="C1761" s="15" t="s">
        <v>55</v>
      </c>
      <c r="D1761" s="15" t="s">
        <v>539</v>
      </c>
      <c r="E1761" s="15" t="n">
        <v>2</v>
      </c>
      <c r="H1761" s="10"/>
      <c r="I1761" s="21"/>
      <c r="M1761" s="10"/>
      <c r="N1761" s="10"/>
      <c r="P1761" s="10"/>
      <c r="Q1761" s="22"/>
    </row>
    <row r="1762" customFormat="false" ht="15.75" hidden="false" customHeight="false" outlineLevel="0" collapsed="false">
      <c r="A1762" s="20" t="n">
        <v>46100</v>
      </c>
      <c r="B1762" s="15" t="s">
        <v>465</v>
      </c>
      <c r="C1762" s="15" t="s">
        <v>69</v>
      </c>
      <c r="D1762" s="15" t="s">
        <v>535</v>
      </c>
      <c r="E1762" s="15" t="n">
        <v>5</v>
      </c>
      <c r="H1762" s="10"/>
      <c r="I1762" s="21"/>
      <c r="M1762" s="10"/>
      <c r="N1762" s="10"/>
      <c r="P1762" s="10"/>
      <c r="Q1762" s="22"/>
    </row>
    <row r="1763" customFormat="false" ht="15.75" hidden="false" customHeight="false" outlineLevel="0" collapsed="false">
      <c r="A1763" s="20" t="n">
        <v>46100</v>
      </c>
      <c r="B1763" s="15" t="s">
        <v>465</v>
      </c>
      <c r="C1763" s="15" t="s">
        <v>555</v>
      </c>
      <c r="D1763" s="15" t="s">
        <v>556</v>
      </c>
      <c r="E1763" s="15" t="n">
        <v>3</v>
      </c>
      <c r="H1763" s="10"/>
      <c r="I1763" s="21"/>
      <c r="M1763" s="10"/>
      <c r="N1763" s="10"/>
      <c r="P1763" s="10"/>
      <c r="Q1763" s="22"/>
    </row>
    <row r="1764" customFormat="false" ht="15.75" hidden="false" customHeight="false" outlineLevel="0" collapsed="false">
      <c r="A1764" s="20" t="n">
        <v>46100</v>
      </c>
      <c r="B1764" s="15" t="s">
        <v>465</v>
      </c>
      <c r="C1764" s="15" t="s">
        <v>565</v>
      </c>
      <c r="D1764" s="15" t="s">
        <v>566</v>
      </c>
      <c r="E1764" s="15" t="n">
        <v>3</v>
      </c>
      <c r="H1764" s="10"/>
      <c r="I1764" s="21"/>
      <c r="M1764" s="10"/>
      <c r="N1764" s="10"/>
      <c r="P1764" s="10"/>
      <c r="Q1764" s="22"/>
    </row>
    <row r="1765" customFormat="false" ht="15.75" hidden="false" customHeight="false" outlineLevel="0" collapsed="false">
      <c r="A1765" s="20" t="n">
        <v>46100</v>
      </c>
      <c r="B1765" s="15" t="s">
        <v>465</v>
      </c>
      <c r="C1765" s="15" t="s">
        <v>570</v>
      </c>
      <c r="D1765" s="15" t="s">
        <v>571</v>
      </c>
      <c r="E1765" s="15" t="n">
        <v>6</v>
      </c>
      <c r="H1765" s="10"/>
      <c r="I1765" s="21"/>
      <c r="M1765" s="10"/>
      <c r="N1765" s="10"/>
      <c r="P1765" s="10"/>
      <c r="Q1765" s="22"/>
    </row>
    <row r="1766" customFormat="false" ht="15.75" hidden="false" customHeight="false" outlineLevel="0" collapsed="false">
      <c r="A1766" s="20" t="n">
        <v>46100</v>
      </c>
      <c r="B1766" s="15" t="s">
        <v>465</v>
      </c>
      <c r="C1766" s="15" t="s">
        <v>45</v>
      </c>
      <c r="D1766" s="15" t="s">
        <v>540</v>
      </c>
      <c r="E1766" s="15" t="n">
        <v>2</v>
      </c>
      <c r="H1766" s="10"/>
      <c r="I1766" s="21"/>
      <c r="M1766" s="10"/>
      <c r="N1766" s="10"/>
      <c r="P1766" s="10"/>
      <c r="Q1766" s="22"/>
    </row>
    <row r="1767" customFormat="false" ht="15.75" hidden="false" customHeight="false" outlineLevel="0" collapsed="false">
      <c r="A1767" s="20" t="n">
        <v>46100</v>
      </c>
      <c r="B1767" s="15" t="s">
        <v>465</v>
      </c>
      <c r="C1767" s="15" t="s">
        <v>547</v>
      </c>
      <c r="D1767" s="15" t="s">
        <v>548</v>
      </c>
      <c r="E1767" s="15" t="n">
        <v>3</v>
      </c>
      <c r="H1767" s="10"/>
      <c r="I1767" s="21"/>
      <c r="M1767" s="10"/>
      <c r="N1767" s="10"/>
      <c r="P1767" s="10"/>
      <c r="Q1767" s="22"/>
    </row>
    <row r="1768" customFormat="false" ht="15.75" hidden="false" customHeight="false" outlineLevel="0" collapsed="false">
      <c r="A1768" s="20" t="n">
        <v>46100</v>
      </c>
      <c r="B1768" s="15" t="s">
        <v>465</v>
      </c>
      <c r="C1768" s="15" t="s">
        <v>567</v>
      </c>
      <c r="D1768" s="15" t="s">
        <v>568</v>
      </c>
      <c r="E1768" s="15" t="n">
        <v>2</v>
      </c>
      <c r="H1768" s="10"/>
      <c r="I1768" s="21"/>
      <c r="M1768" s="10"/>
      <c r="N1768" s="10"/>
      <c r="P1768" s="10"/>
      <c r="Q1768" s="22"/>
    </row>
    <row r="1769" customFormat="false" ht="15.75" hidden="false" customHeight="false" outlineLevel="0" collapsed="false">
      <c r="A1769" s="20" t="n">
        <v>46100</v>
      </c>
      <c r="B1769" s="15" t="s">
        <v>465</v>
      </c>
      <c r="C1769" s="15" t="s">
        <v>543</v>
      </c>
      <c r="D1769" s="15" t="s">
        <v>544</v>
      </c>
      <c r="E1769" s="15" t="n">
        <v>3</v>
      </c>
      <c r="H1769" s="10"/>
      <c r="I1769" s="21"/>
      <c r="M1769" s="10"/>
      <c r="N1769" s="10"/>
      <c r="P1769" s="10"/>
      <c r="Q1769" s="22"/>
    </row>
    <row r="1770" customFormat="false" ht="15.75" hidden="false" customHeight="false" outlineLevel="0" collapsed="false">
      <c r="A1770" s="20" t="n">
        <v>46100</v>
      </c>
      <c r="B1770" s="15" t="s">
        <v>465</v>
      </c>
      <c r="C1770" s="15" t="s">
        <v>25</v>
      </c>
      <c r="D1770" s="15" t="s">
        <v>26</v>
      </c>
      <c r="E1770" s="15" t="n">
        <v>1</v>
      </c>
      <c r="H1770" s="10"/>
      <c r="I1770" s="21"/>
      <c r="M1770" s="10"/>
      <c r="N1770" s="10"/>
      <c r="P1770" s="10"/>
      <c r="Q1770" s="22"/>
    </row>
    <row r="1771" customFormat="false" ht="15.75" hidden="false" customHeight="false" outlineLevel="0" collapsed="false">
      <c r="A1771" s="20" t="n">
        <v>46100</v>
      </c>
      <c r="B1771" s="15" t="s">
        <v>465</v>
      </c>
      <c r="C1771" s="15" t="s">
        <v>77</v>
      </c>
      <c r="D1771" s="15" t="s">
        <v>78</v>
      </c>
      <c r="E1771" s="15" t="n">
        <v>2</v>
      </c>
      <c r="H1771" s="10"/>
      <c r="I1771" s="21"/>
      <c r="M1771" s="10"/>
      <c r="N1771" s="10"/>
      <c r="P1771" s="10"/>
      <c r="Q1771" s="22"/>
    </row>
    <row r="1772" customFormat="false" ht="15.75" hidden="false" customHeight="false" outlineLevel="0" collapsed="false">
      <c r="A1772" s="20" t="n">
        <v>46100</v>
      </c>
      <c r="B1772" s="15" t="s">
        <v>465</v>
      </c>
      <c r="C1772" s="15" t="s">
        <v>59</v>
      </c>
      <c r="D1772" s="15" t="s">
        <v>562</v>
      </c>
      <c r="E1772" s="15" t="n">
        <v>2</v>
      </c>
      <c r="H1772" s="10"/>
      <c r="I1772" s="21"/>
      <c r="M1772" s="10"/>
      <c r="N1772" s="10"/>
      <c r="P1772" s="10"/>
      <c r="Q1772" s="22"/>
    </row>
    <row r="1773" customFormat="false" ht="15.75" hidden="false" customHeight="false" outlineLevel="0" collapsed="false">
      <c r="A1773" s="20" t="n">
        <v>46100</v>
      </c>
      <c r="B1773" s="15" t="s">
        <v>465</v>
      </c>
      <c r="C1773" s="15" t="s">
        <v>545</v>
      </c>
      <c r="D1773" s="15" t="s">
        <v>546</v>
      </c>
      <c r="E1773" s="15" t="n">
        <v>4</v>
      </c>
      <c r="H1773" s="10"/>
      <c r="I1773" s="21"/>
      <c r="M1773" s="10"/>
      <c r="N1773" s="10"/>
      <c r="P1773" s="10"/>
      <c r="Q1773" s="22"/>
    </row>
    <row r="1774" customFormat="false" ht="15.75" hidden="false" customHeight="false" outlineLevel="0" collapsed="false">
      <c r="A1774" s="20" t="n">
        <v>46100</v>
      </c>
      <c r="B1774" s="15" t="s">
        <v>465</v>
      </c>
      <c r="C1774" s="15" t="s">
        <v>79</v>
      </c>
      <c r="D1774" s="15" t="s">
        <v>564</v>
      </c>
      <c r="E1774" s="15" t="n">
        <v>1</v>
      </c>
      <c r="H1774" s="10"/>
      <c r="I1774" s="21"/>
      <c r="M1774" s="10"/>
      <c r="N1774" s="10"/>
      <c r="P1774" s="10"/>
      <c r="Q1774" s="22"/>
    </row>
    <row r="1775" customFormat="false" ht="15.75" hidden="false" customHeight="false" outlineLevel="0" collapsed="false">
      <c r="A1775" s="20" t="n">
        <v>46100</v>
      </c>
      <c r="B1775" s="15" t="s">
        <v>465</v>
      </c>
      <c r="C1775" s="15" t="s">
        <v>43</v>
      </c>
      <c r="D1775" s="15" t="s">
        <v>538</v>
      </c>
      <c r="E1775" s="15" t="n">
        <v>1</v>
      </c>
      <c r="H1775" s="10"/>
      <c r="I1775" s="21"/>
      <c r="M1775" s="10"/>
      <c r="N1775" s="10"/>
      <c r="P1775" s="10"/>
      <c r="Q1775" s="22"/>
    </row>
    <row r="1776" customFormat="false" ht="15.75" hidden="false" customHeight="false" outlineLevel="0" collapsed="false">
      <c r="A1776" s="20" t="n">
        <v>46100</v>
      </c>
      <c r="B1776" s="15" t="s">
        <v>465</v>
      </c>
      <c r="C1776" s="15" t="s">
        <v>33</v>
      </c>
      <c r="D1776" s="15" t="s">
        <v>536</v>
      </c>
      <c r="E1776" s="15" t="n">
        <v>2</v>
      </c>
      <c r="H1776" s="10"/>
      <c r="I1776" s="21"/>
      <c r="M1776" s="10"/>
      <c r="N1776" s="10"/>
      <c r="P1776" s="10"/>
      <c r="Q1776" s="22"/>
    </row>
    <row r="1777" customFormat="false" ht="15.75" hidden="false" customHeight="false" outlineLevel="0" collapsed="false">
      <c r="A1777" s="20" t="n">
        <v>46100</v>
      </c>
      <c r="B1777" s="15" t="s">
        <v>465</v>
      </c>
      <c r="C1777" s="15" t="s">
        <v>65</v>
      </c>
      <c r="D1777" s="15" t="s">
        <v>580</v>
      </c>
      <c r="E1777" s="15" t="n">
        <v>1</v>
      </c>
      <c r="H1777" s="10"/>
      <c r="I1777" s="21"/>
      <c r="M1777" s="10"/>
      <c r="N1777" s="10"/>
      <c r="P1777" s="10"/>
      <c r="Q1777" s="22"/>
    </row>
    <row r="1778" customFormat="false" ht="15.75" hidden="false" customHeight="false" outlineLevel="0" collapsed="false">
      <c r="A1778" s="20" t="n">
        <v>46100</v>
      </c>
      <c r="B1778" s="15" t="s">
        <v>465</v>
      </c>
      <c r="C1778" s="15" t="s">
        <v>11</v>
      </c>
      <c r="D1778" s="15" t="s">
        <v>572</v>
      </c>
      <c r="E1778" s="15" t="n">
        <v>6</v>
      </c>
      <c r="H1778" s="10"/>
      <c r="I1778" s="21"/>
      <c r="M1778" s="10"/>
      <c r="N1778" s="10"/>
      <c r="P1778" s="10"/>
      <c r="Q1778" s="22"/>
    </row>
    <row r="1779" customFormat="false" ht="15.75" hidden="false" customHeight="false" outlineLevel="0" collapsed="false">
      <c r="A1779" s="20" t="n">
        <v>46100</v>
      </c>
      <c r="B1779" s="15" t="s">
        <v>469</v>
      </c>
      <c r="C1779" s="15" t="s">
        <v>69</v>
      </c>
      <c r="D1779" s="15" t="s">
        <v>535</v>
      </c>
      <c r="E1779" s="15" t="n">
        <v>5</v>
      </c>
      <c r="H1779" s="10"/>
      <c r="I1779" s="21"/>
      <c r="M1779" s="10"/>
      <c r="N1779" s="10"/>
      <c r="P1779" s="10"/>
      <c r="Q1779" s="22"/>
    </row>
    <row r="1780" customFormat="false" ht="15.75" hidden="false" customHeight="false" outlineLevel="0" collapsed="false">
      <c r="A1780" s="20" t="n">
        <v>46100</v>
      </c>
      <c r="B1780" s="15" t="s">
        <v>469</v>
      </c>
      <c r="C1780" s="15" t="s">
        <v>55</v>
      </c>
      <c r="D1780" s="15" t="s">
        <v>539</v>
      </c>
      <c r="E1780" s="15" t="n">
        <v>2</v>
      </c>
      <c r="H1780" s="10"/>
      <c r="I1780" s="21"/>
      <c r="M1780" s="10"/>
      <c r="N1780" s="10"/>
      <c r="P1780" s="10"/>
      <c r="Q1780" s="22"/>
    </row>
    <row r="1781" customFormat="false" ht="15.75" hidden="false" customHeight="false" outlineLevel="0" collapsed="false">
      <c r="A1781" s="20" t="n">
        <v>46100</v>
      </c>
      <c r="B1781" s="15" t="s">
        <v>469</v>
      </c>
      <c r="C1781" s="15" t="s">
        <v>33</v>
      </c>
      <c r="D1781" s="15" t="s">
        <v>536</v>
      </c>
      <c r="E1781" s="15" t="n">
        <v>5</v>
      </c>
      <c r="H1781" s="10"/>
      <c r="I1781" s="21"/>
      <c r="M1781" s="10"/>
      <c r="N1781" s="10"/>
      <c r="P1781" s="10"/>
      <c r="Q1781" s="22"/>
    </row>
    <row r="1782" customFormat="false" ht="15.75" hidden="false" customHeight="false" outlineLevel="0" collapsed="false">
      <c r="A1782" s="20" t="n">
        <v>46100</v>
      </c>
      <c r="B1782" s="15" t="s">
        <v>469</v>
      </c>
      <c r="C1782" s="15" t="s">
        <v>547</v>
      </c>
      <c r="D1782" s="15" t="s">
        <v>548</v>
      </c>
      <c r="E1782" s="15" t="n">
        <v>1</v>
      </c>
      <c r="H1782" s="10"/>
      <c r="I1782" s="21"/>
      <c r="M1782" s="10"/>
      <c r="N1782" s="10"/>
      <c r="P1782" s="10"/>
      <c r="Q1782" s="22"/>
    </row>
    <row r="1783" customFormat="false" ht="15.75" hidden="false" customHeight="false" outlineLevel="0" collapsed="false">
      <c r="A1783" s="20" t="n">
        <v>46100</v>
      </c>
      <c r="B1783" s="15" t="s">
        <v>469</v>
      </c>
      <c r="C1783" s="15" t="s">
        <v>81</v>
      </c>
      <c r="D1783" s="15" t="s">
        <v>534</v>
      </c>
      <c r="E1783" s="15" t="n">
        <v>2</v>
      </c>
      <c r="H1783" s="10"/>
      <c r="I1783" s="21"/>
      <c r="M1783" s="10"/>
      <c r="N1783" s="10"/>
      <c r="P1783" s="10"/>
      <c r="Q1783" s="22"/>
    </row>
    <row r="1784" customFormat="false" ht="15.75" hidden="false" customHeight="false" outlineLevel="0" collapsed="false">
      <c r="A1784" s="20" t="n">
        <v>46100</v>
      </c>
      <c r="B1784" s="15" t="s">
        <v>471</v>
      </c>
      <c r="C1784" s="15" t="s">
        <v>25</v>
      </c>
      <c r="D1784" s="15" t="s">
        <v>26</v>
      </c>
      <c r="E1784" s="15" t="n">
        <v>2</v>
      </c>
      <c r="H1784" s="10"/>
      <c r="I1784" s="21"/>
      <c r="M1784" s="10"/>
      <c r="N1784" s="10"/>
      <c r="P1784" s="10"/>
      <c r="Q1784" s="22"/>
    </row>
    <row r="1785" customFormat="false" ht="15.75" hidden="false" customHeight="false" outlineLevel="0" collapsed="false">
      <c r="A1785" s="20" t="n">
        <v>46100</v>
      </c>
      <c r="B1785" s="15" t="s">
        <v>471</v>
      </c>
      <c r="C1785" s="15" t="s">
        <v>69</v>
      </c>
      <c r="D1785" s="15" t="s">
        <v>535</v>
      </c>
      <c r="E1785" s="15" t="n">
        <v>2</v>
      </c>
      <c r="H1785" s="10"/>
      <c r="I1785" s="21"/>
      <c r="M1785" s="10"/>
      <c r="N1785" s="10"/>
      <c r="P1785" s="10"/>
      <c r="Q1785" s="22"/>
    </row>
    <row r="1786" customFormat="false" ht="15.75" hidden="false" customHeight="false" outlineLevel="0" collapsed="false">
      <c r="A1786" s="20" t="n">
        <v>46100</v>
      </c>
      <c r="B1786" s="15" t="s">
        <v>471</v>
      </c>
      <c r="C1786" s="15" t="s">
        <v>555</v>
      </c>
      <c r="D1786" s="15" t="s">
        <v>556</v>
      </c>
      <c r="E1786" s="15" t="n">
        <v>2</v>
      </c>
      <c r="H1786" s="10"/>
      <c r="I1786" s="21"/>
      <c r="M1786" s="10"/>
      <c r="N1786" s="10"/>
      <c r="P1786" s="10"/>
      <c r="Q1786" s="22"/>
    </row>
    <row r="1787" customFormat="false" ht="15.75" hidden="false" customHeight="false" outlineLevel="0" collapsed="false">
      <c r="A1787" s="20" t="n">
        <v>46100</v>
      </c>
      <c r="B1787" s="15" t="s">
        <v>480</v>
      </c>
      <c r="C1787" s="15" t="s">
        <v>547</v>
      </c>
      <c r="D1787" s="15" t="s">
        <v>548</v>
      </c>
      <c r="E1787" s="15" t="n">
        <v>1</v>
      </c>
      <c r="H1787" s="10"/>
      <c r="I1787" s="21"/>
      <c r="M1787" s="10"/>
      <c r="N1787" s="10"/>
      <c r="P1787" s="10"/>
      <c r="Q1787" s="22"/>
    </row>
    <row r="1788" customFormat="false" ht="15.75" hidden="false" customHeight="false" outlineLevel="0" collapsed="false">
      <c r="A1788" s="20" t="n">
        <v>46100</v>
      </c>
      <c r="B1788" s="15" t="s">
        <v>480</v>
      </c>
      <c r="C1788" s="15" t="s">
        <v>69</v>
      </c>
      <c r="D1788" s="15" t="s">
        <v>535</v>
      </c>
      <c r="E1788" s="15" t="n">
        <v>1</v>
      </c>
      <c r="H1788" s="10"/>
      <c r="I1788" s="21"/>
      <c r="M1788" s="10"/>
      <c r="N1788" s="10"/>
      <c r="P1788" s="10"/>
      <c r="Q1788" s="22"/>
    </row>
    <row r="1789" customFormat="false" ht="15.75" hidden="false" customHeight="false" outlineLevel="0" collapsed="false">
      <c r="A1789" s="20" t="n">
        <v>46100</v>
      </c>
      <c r="B1789" s="15" t="s">
        <v>495</v>
      </c>
      <c r="C1789" s="15" t="s">
        <v>55</v>
      </c>
      <c r="D1789" s="15" t="s">
        <v>539</v>
      </c>
      <c r="E1789" s="15" t="n">
        <v>1</v>
      </c>
      <c r="H1789" s="10"/>
      <c r="I1789" s="21"/>
      <c r="M1789" s="10"/>
      <c r="N1789" s="10"/>
      <c r="P1789" s="10"/>
      <c r="Q1789" s="22"/>
    </row>
    <row r="1790" customFormat="false" ht="15.75" hidden="false" customHeight="false" outlineLevel="0" collapsed="false">
      <c r="A1790" s="20" t="n">
        <v>46100</v>
      </c>
      <c r="B1790" s="15" t="s">
        <v>495</v>
      </c>
      <c r="C1790" s="15" t="s">
        <v>81</v>
      </c>
      <c r="D1790" s="15" t="s">
        <v>534</v>
      </c>
      <c r="E1790" s="15" t="n">
        <v>3</v>
      </c>
      <c r="H1790" s="10"/>
      <c r="I1790" s="21"/>
      <c r="M1790" s="10"/>
      <c r="N1790" s="10"/>
      <c r="P1790" s="10"/>
      <c r="Q1790" s="22"/>
    </row>
    <row r="1791" customFormat="false" ht="15.75" hidden="false" customHeight="false" outlineLevel="0" collapsed="false">
      <c r="A1791" s="20" t="n">
        <v>46100</v>
      </c>
      <c r="B1791" s="15" t="s">
        <v>495</v>
      </c>
      <c r="C1791" s="15" t="s">
        <v>75</v>
      </c>
      <c r="D1791" s="15" t="s">
        <v>560</v>
      </c>
      <c r="E1791" s="15" t="n">
        <v>1</v>
      </c>
      <c r="H1791" s="10"/>
      <c r="I1791" s="21"/>
      <c r="M1791" s="10"/>
      <c r="N1791" s="10"/>
      <c r="P1791" s="10"/>
      <c r="Q1791" s="22"/>
    </row>
    <row r="1792" customFormat="false" ht="15.75" hidden="false" customHeight="false" outlineLevel="0" collapsed="false">
      <c r="A1792" s="20" t="n">
        <v>46100</v>
      </c>
      <c r="B1792" s="15" t="s">
        <v>495</v>
      </c>
      <c r="C1792" s="15" t="s">
        <v>43</v>
      </c>
      <c r="D1792" s="15" t="s">
        <v>538</v>
      </c>
      <c r="E1792" s="15" t="n">
        <v>1</v>
      </c>
      <c r="H1792" s="10"/>
      <c r="I1792" s="21"/>
      <c r="M1792" s="10"/>
      <c r="N1792" s="10"/>
      <c r="P1792" s="10"/>
      <c r="Q1792" s="22"/>
    </row>
    <row r="1793" customFormat="false" ht="15.75" hidden="false" customHeight="false" outlineLevel="0" collapsed="false">
      <c r="A1793" s="20" t="n">
        <v>46100</v>
      </c>
      <c r="B1793" s="15" t="s">
        <v>495</v>
      </c>
      <c r="C1793" s="15" t="s">
        <v>69</v>
      </c>
      <c r="D1793" s="15" t="s">
        <v>535</v>
      </c>
      <c r="E1793" s="15" t="n">
        <v>5</v>
      </c>
      <c r="H1793" s="10"/>
      <c r="I1793" s="21"/>
      <c r="M1793" s="10"/>
      <c r="N1793" s="10"/>
      <c r="P1793" s="10"/>
      <c r="Q1793" s="22"/>
    </row>
    <row r="1794" customFormat="false" ht="15.75" hidden="false" customHeight="false" outlineLevel="0" collapsed="false">
      <c r="A1794" s="20" t="n">
        <v>46100</v>
      </c>
      <c r="B1794" s="15" t="s">
        <v>495</v>
      </c>
      <c r="C1794" s="15" t="s">
        <v>547</v>
      </c>
      <c r="D1794" s="15" t="s">
        <v>548</v>
      </c>
      <c r="E1794" s="15" t="n">
        <v>3</v>
      </c>
      <c r="H1794" s="10"/>
      <c r="I1794" s="21"/>
      <c r="M1794" s="10"/>
      <c r="N1794" s="10"/>
      <c r="P1794" s="10"/>
      <c r="Q1794" s="22"/>
    </row>
    <row r="1795" customFormat="false" ht="15.75" hidden="false" customHeight="false" outlineLevel="0" collapsed="false">
      <c r="A1795" s="20" t="n">
        <v>46100</v>
      </c>
      <c r="B1795" s="15" t="s">
        <v>495</v>
      </c>
      <c r="C1795" s="15" t="s">
        <v>25</v>
      </c>
      <c r="D1795" s="15" t="s">
        <v>26</v>
      </c>
      <c r="E1795" s="15" t="n">
        <v>3</v>
      </c>
      <c r="H1795" s="10"/>
      <c r="I1795" s="21"/>
      <c r="M1795" s="10"/>
      <c r="N1795" s="10"/>
      <c r="P1795" s="10"/>
      <c r="Q1795" s="22"/>
    </row>
    <row r="1796" customFormat="false" ht="15.75" hidden="false" customHeight="false" outlineLevel="0" collapsed="false">
      <c r="A1796" s="20" t="n">
        <v>46100</v>
      </c>
      <c r="B1796" s="15" t="s">
        <v>495</v>
      </c>
      <c r="C1796" s="15" t="s">
        <v>543</v>
      </c>
      <c r="D1796" s="15" t="s">
        <v>544</v>
      </c>
      <c r="E1796" s="15" t="n">
        <v>6</v>
      </c>
      <c r="H1796" s="10"/>
      <c r="I1796" s="21"/>
      <c r="M1796" s="10"/>
      <c r="N1796" s="10"/>
      <c r="P1796" s="10"/>
      <c r="Q1796" s="22"/>
    </row>
    <row r="1797" customFormat="false" ht="15.75" hidden="false" customHeight="false" outlineLevel="0" collapsed="false">
      <c r="A1797" s="20" t="n">
        <v>46100</v>
      </c>
      <c r="B1797" s="15" t="s">
        <v>495</v>
      </c>
      <c r="C1797" s="15" t="s">
        <v>545</v>
      </c>
      <c r="D1797" s="15" t="s">
        <v>546</v>
      </c>
      <c r="E1797" s="15" t="n">
        <v>3</v>
      </c>
      <c r="H1797" s="10"/>
      <c r="I1797" s="21"/>
      <c r="M1797" s="10"/>
      <c r="N1797" s="10"/>
      <c r="P1797" s="10"/>
      <c r="Q1797" s="22"/>
    </row>
    <row r="1798" customFormat="false" ht="15.75" hidden="false" customHeight="false" outlineLevel="0" collapsed="false">
      <c r="A1798" s="20" t="n">
        <v>46100</v>
      </c>
      <c r="B1798" s="15" t="s">
        <v>495</v>
      </c>
      <c r="C1798" s="15" t="s">
        <v>63</v>
      </c>
      <c r="D1798" s="15" t="s">
        <v>551</v>
      </c>
      <c r="E1798" s="15" t="n">
        <v>1</v>
      </c>
      <c r="H1798" s="10"/>
      <c r="I1798" s="21"/>
      <c r="M1798" s="10"/>
      <c r="N1798" s="10"/>
      <c r="P1798" s="10"/>
      <c r="Q1798" s="22"/>
    </row>
    <row r="1799" customFormat="false" ht="15.75" hidden="false" customHeight="false" outlineLevel="0" collapsed="false">
      <c r="A1799" s="20" t="n">
        <v>46100</v>
      </c>
      <c r="B1799" s="15" t="s">
        <v>495</v>
      </c>
      <c r="C1799" s="15" t="s">
        <v>77</v>
      </c>
      <c r="D1799" s="15" t="s">
        <v>78</v>
      </c>
      <c r="E1799" s="15" t="n">
        <v>3</v>
      </c>
      <c r="H1799" s="10"/>
      <c r="I1799" s="21"/>
      <c r="M1799" s="10"/>
      <c r="N1799" s="10"/>
      <c r="P1799" s="10"/>
      <c r="Q1799" s="22"/>
    </row>
    <row r="1800" customFormat="false" ht="15.75" hidden="false" customHeight="false" outlineLevel="0" collapsed="false">
      <c r="A1800" s="20" t="n">
        <v>46100</v>
      </c>
      <c r="B1800" s="15" t="s">
        <v>495</v>
      </c>
      <c r="C1800" s="15" t="s">
        <v>61</v>
      </c>
      <c r="D1800" s="15" t="s">
        <v>576</v>
      </c>
      <c r="E1800" s="15" t="n">
        <v>1</v>
      </c>
      <c r="H1800" s="10"/>
      <c r="I1800" s="21"/>
      <c r="M1800" s="10"/>
      <c r="N1800" s="10"/>
      <c r="P1800" s="10"/>
      <c r="Q1800" s="22"/>
    </row>
    <row r="1801" customFormat="false" ht="15.75" hidden="false" customHeight="false" outlineLevel="0" collapsed="false">
      <c r="A1801" s="20" t="n">
        <v>46100</v>
      </c>
      <c r="B1801" s="15" t="s">
        <v>495</v>
      </c>
      <c r="C1801" s="15" t="s">
        <v>33</v>
      </c>
      <c r="D1801" s="15" t="s">
        <v>536</v>
      </c>
      <c r="E1801" s="15" t="n">
        <v>2</v>
      </c>
      <c r="H1801" s="10"/>
      <c r="I1801" s="21"/>
      <c r="M1801" s="10"/>
      <c r="N1801" s="10"/>
      <c r="P1801" s="10"/>
      <c r="Q1801" s="22"/>
    </row>
    <row r="1802" customFormat="false" ht="15.75" hidden="false" customHeight="false" outlineLevel="0" collapsed="false">
      <c r="A1802" s="20" t="n">
        <v>46100</v>
      </c>
      <c r="B1802" s="15" t="s">
        <v>495</v>
      </c>
      <c r="C1802" s="15" t="s">
        <v>59</v>
      </c>
      <c r="D1802" s="15" t="s">
        <v>562</v>
      </c>
      <c r="E1802" s="15" t="n">
        <v>2</v>
      </c>
      <c r="H1802" s="10"/>
      <c r="I1802" s="21"/>
      <c r="M1802" s="10"/>
      <c r="N1802" s="10"/>
      <c r="P1802" s="10"/>
      <c r="Q1802" s="22"/>
    </row>
    <row r="1803" customFormat="false" ht="15.75" hidden="false" customHeight="false" outlineLevel="0" collapsed="false">
      <c r="A1803" s="20" t="n">
        <v>46100</v>
      </c>
      <c r="B1803" s="15" t="s">
        <v>503</v>
      </c>
      <c r="C1803" s="15" t="s">
        <v>81</v>
      </c>
      <c r="D1803" s="15" t="s">
        <v>534</v>
      </c>
      <c r="E1803" s="15" t="n">
        <v>2</v>
      </c>
      <c r="H1803" s="10"/>
      <c r="I1803" s="21"/>
      <c r="M1803" s="10"/>
      <c r="N1803" s="10"/>
      <c r="P1803" s="10"/>
      <c r="Q1803" s="22"/>
    </row>
    <row r="1804" customFormat="false" ht="15.75" hidden="false" customHeight="false" outlineLevel="0" collapsed="false">
      <c r="A1804" s="20" t="n">
        <v>46100</v>
      </c>
      <c r="B1804" s="15" t="s">
        <v>503</v>
      </c>
      <c r="C1804" s="15" t="s">
        <v>55</v>
      </c>
      <c r="D1804" s="15" t="s">
        <v>539</v>
      </c>
      <c r="E1804" s="15" t="n">
        <v>12</v>
      </c>
      <c r="H1804" s="10"/>
      <c r="I1804" s="21"/>
      <c r="M1804" s="10"/>
      <c r="N1804" s="10"/>
      <c r="P1804" s="10"/>
      <c r="Q1804" s="22"/>
    </row>
    <row r="1805" customFormat="false" ht="15.75" hidden="false" customHeight="false" outlineLevel="0" collapsed="false">
      <c r="A1805" s="20" t="n">
        <v>46100</v>
      </c>
      <c r="B1805" s="15" t="s">
        <v>503</v>
      </c>
      <c r="C1805" s="15" t="s">
        <v>63</v>
      </c>
      <c r="D1805" s="15" t="s">
        <v>551</v>
      </c>
      <c r="E1805" s="15" t="n">
        <v>1</v>
      </c>
      <c r="H1805" s="10"/>
      <c r="I1805" s="21"/>
      <c r="M1805" s="10"/>
      <c r="N1805" s="10"/>
      <c r="P1805" s="10"/>
      <c r="Q1805" s="22"/>
    </row>
    <row r="1806" customFormat="false" ht="15.75" hidden="false" customHeight="false" outlineLevel="0" collapsed="false">
      <c r="A1806" s="20" t="n">
        <v>46100</v>
      </c>
      <c r="B1806" s="15" t="s">
        <v>503</v>
      </c>
      <c r="C1806" s="15" t="s">
        <v>39</v>
      </c>
      <c r="D1806" s="15" t="s">
        <v>550</v>
      </c>
      <c r="E1806" s="15" t="n">
        <v>1</v>
      </c>
      <c r="H1806" s="10"/>
      <c r="I1806" s="21"/>
      <c r="M1806" s="10"/>
      <c r="N1806" s="10"/>
      <c r="P1806" s="10"/>
      <c r="Q1806" s="22"/>
    </row>
    <row r="1807" customFormat="false" ht="15.75" hidden="false" customHeight="false" outlineLevel="0" collapsed="false">
      <c r="A1807" s="20" t="n">
        <v>46100</v>
      </c>
      <c r="B1807" s="15" t="s">
        <v>503</v>
      </c>
      <c r="C1807" s="15" t="s">
        <v>47</v>
      </c>
      <c r="D1807" s="15" t="s">
        <v>549</v>
      </c>
      <c r="E1807" s="15" t="n">
        <v>2</v>
      </c>
      <c r="H1807" s="10"/>
      <c r="I1807" s="21"/>
      <c r="M1807" s="10"/>
      <c r="N1807" s="10"/>
      <c r="P1807" s="10"/>
      <c r="Q1807" s="22"/>
    </row>
    <row r="1808" customFormat="false" ht="15.75" hidden="false" customHeight="false" outlineLevel="0" collapsed="false">
      <c r="A1808" s="20" t="n">
        <v>46100</v>
      </c>
      <c r="B1808" s="15" t="s">
        <v>505</v>
      </c>
      <c r="C1808" s="15" t="s">
        <v>55</v>
      </c>
      <c r="D1808" s="15" t="s">
        <v>539</v>
      </c>
      <c r="E1808" s="15" t="n">
        <v>6</v>
      </c>
      <c r="H1808" s="10"/>
      <c r="I1808" s="21"/>
      <c r="M1808" s="10"/>
      <c r="N1808" s="10"/>
      <c r="P1808" s="10"/>
      <c r="Q1808" s="22"/>
    </row>
    <row r="1809" customFormat="false" ht="15.75" hidden="false" customHeight="false" outlineLevel="0" collapsed="false">
      <c r="A1809" s="20" t="n">
        <v>46100</v>
      </c>
      <c r="B1809" s="15" t="s">
        <v>505</v>
      </c>
      <c r="C1809" s="15" t="s">
        <v>39</v>
      </c>
      <c r="D1809" s="15" t="s">
        <v>550</v>
      </c>
      <c r="E1809" s="15" t="n">
        <v>1</v>
      </c>
      <c r="H1809" s="10"/>
      <c r="I1809" s="21"/>
      <c r="M1809" s="10"/>
      <c r="N1809" s="10"/>
      <c r="P1809" s="10"/>
      <c r="Q1809" s="22"/>
    </row>
    <row r="1810" customFormat="false" ht="15.75" hidden="false" customHeight="false" outlineLevel="0" collapsed="false">
      <c r="A1810" s="20" t="n">
        <v>46100</v>
      </c>
      <c r="B1810" s="15" t="s">
        <v>505</v>
      </c>
      <c r="C1810" s="15" t="s">
        <v>81</v>
      </c>
      <c r="D1810" s="15" t="s">
        <v>534</v>
      </c>
      <c r="E1810" s="15" t="n">
        <v>9</v>
      </c>
      <c r="H1810" s="10"/>
      <c r="I1810" s="21"/>
      <c r="M1810" s="10"/>
      <c r="N1810" s="10"/>
      <c r="P1810" s="10"/>
      <c r="Q1810" s="22"/>
    </row>
    <row r="1811" customFormat="false" ht="15.75" hidden="false" customHeight="false" outlineLevel="0" collapsed="false">
      <c r="A1811" s="20" t="n">
        <v>46100</v>
      </c>
      <c r="B1811" s="15" t="s">
        <v>505</v>
      </c>
      <c r="C1811" s="15" t="s">
        <v>47</v>
      </c>
      <c r="D1811" s="15" t="s">
        <v>549</v>
      </c>
      <c r="E1811" s="15" t="n">
        <v>3</v>
      </c>
      <c r="H1811" s="10"/>
      <c r="I1811" s="21"/>
      <c r="M1811" s="10"/>
      <c r="N1811" s="10"/>
      <c r="P1811" s="10"/>
      <c r="Q1811" s="22"/>
    </row>
    <row r="1812" customFormat="false" ht="15.75" hidden="false" customHeight="false" outlineLevel="0" collapsed="false">
      <c r="A1812" s="20" t="n">
        <v>46100</v>
      </c>
      <c r="B1812" s="15" t="s">
        <v>505</v>
      </c>
      <c r="C1812" s="15" t="s">
        <v>63</v>
      </c>
      <c r="D1812" s="15" t="s">
        <v>551</v>
      </c>
      <c r="E1812" s="15" t="n">
        <v>1</v>
      </c>
      <c r="H1812" s="10"/>
      <c r="I1812" s="21"/>
      <c r="M1812" s="10"/>
      <c r="N1812" s="10"/>
      <c r="P1812" s="10"/>
      <c r="Q1812" s="22"/>
    </row>
    <row r="1813" customFormat="false" ht="15.75" hidden="false" customHeight="false" outlineLevel="0" collapsed="false">
      <c r="A1813" s="20" t="n">
        <v>46100</v>
      </c>
      <c r="B1813" s="15" t="s">
        <v>505</v>
      </c>
      <c r="C1813" s="15" t="s">
        <v>17</v>
      </c>
      <c r="D1813" s="15" t="s">
        <v>554</v>
      </c>
      <c r="E1813" s="15" t="n">
        <v>1</v>
      </c>
      <c r="H1813" s="10"/>
      <c r="I1813" s="21"/>
      <c r="M1813" s="10"/>
      <c r="N1813" s="10"/>
      <c r="P1813" s="10"/>
      <c r="Q1813" s="22"/>
    </row>
    <row r="1814" customFormat="false" ht="15.75" hidden="false" customHeight="false" outlineLevel="0" collapsed="false">
      <c r="A1814" s="20" t="n">
        <v>46100</v>
      </c>
      <c r="B1814" s="15" t="s">
        <v>518</v>
      </c>
      <c r="C1814" s="15" t="s">
        <v>69</v>
      </c>
      <c r="D1814" s="15" t="s">
        <v>535</v>
      </c>
      <c r="E1814" s="15" t="n">
        <v>6</v>
      </c>
      <c r="H1814" s="10"/>
      <c r="I1814" s="21"/>
      <c r="M1814" s="10"/>
      <c r="N1814" s="10"/>
      <c r="P1814" s="10"/>
      <c r="Q1814" s="22"/>
    </row>
    <row r="1815" customFormat="false" ht="15.75" hidden="false" customHeight="false" outlineLevel="0" collapsed="false">
      <c r="A1815" s="20" t="n">
        <v>46100</v>
      </c>
      <c r="B1815" s="15" t="s">
        <v>518</v>
      </c>
      <c r="C1815" s="15" t="s">
        <v>33</v>
      </c>
      <c r="D1815" s="15" t="s">
        <v>536</v>
      </c>
      <c r="E1815" s="15" t="n">
        <v>6</v>
      </c>
      <c r="H1815" s="10"/>
      <c r="I1815" s="21"/>
      <c r="M1815" s="10"/>
      <c r="N1815" s="10"/>
      <c r="P1815" s="10"/>
      <c r="Q1815" s="22"/>
    </row>
    <row r="1816" customFormat="false" ht="15.75" hidden="false" customHeight="false" outlineLevel="0" collapsed="false">
      <c r="A1816" s="20" t="n">
        <v>46100</v>
      </c>
      <c r="B1816" s="15" t="s">
        <v>518</v>
      </c>
      <c r="C1816" s="15" t="s">
        <v>47</v>
      </c>
      <c r="D1816" s="15" t="s">
        <v>549</v>
      </c>
      <c r="E1816" s="15" t="n">
        <v>2</v>
      </c>
      <c r="H1816" s="10"/>
      <c r="I1816" s="21"/>
      <c r="M1816" s="10"/>
      <c r="N1816" s="10"/>
      <c r="P1816" s="10"/>
      <c r="Q1816" s="22"/>
    </row>
    <row r="1817" customFormat="false" ht="15.75" hidden="false" customHeight="false" outlineLevel="0" collapsed="false">
      <c r="A1817" s="20" t="n">
        <v>46100</v>
      </c>
      <c r="B1817" s="15" t="s">
        <v>518</v>
      </c>
      <c r="C1817" s="15" t="s">
        <v>51</v>
      </c>
      <c r="D1817" s="15" t="s">
        <v>573</v>
      </c>
      <c r="E1817" s="15" t="n">
        <v>1</v>
      </c>
      <c r="H1817" s="10"/>
      <c r="I1817" s="21"/>
      <c r="M1817" s="10"/>
      <c r="N1817" s="10"/>
      <c r="P1817" s="10"/>
      <c r="Q1817" s="22"/>
    </row>
    <row r="1818" customFormat="false" ht="15.75" hidden="false" customHeight="false" outlineLevel="0" collapsed="false">
      <c r="A1818" s="20" t="n">
        <v>46100</v>
      </c>
      <c r="B1818" s="15" t="s">
        <v>518</v>
      </c>
      <c r="C1818" s="15" t="s">
        <v>55</v>
      </c>
      <c r="D1818" s="15" t="s">
        <v>539</v>
      </c>
      <c r="E1818" s="15" t="n">
        <v>2</v>
      </c>
      <c r="H1818" s="10"/>
      <c r="I1818" s="21"/>
      <c r="M1818" s="10"/>
      <c r="N1818" s="10"/>
      <c r="P1818" s="10"/>
      <c r="Q1818" s="22"/>
    </row>
    <row r="1819" customFormat="false" ht="15.75" hidden="false" customHeight="false" outlineLevel="0" collapsed="false">
      <c r="A1819" s="20" t="n">
        <v>46100</v>
      </c>
      <c r="B1819" s="15" t="s">
        <v>518</v>
      </c>
      <c r="C1819" s="15" t="s">
        <v>37</v>
      </c>
      <c r="D1819" s="15" t="s">
        <v>561</v>
      </c>
      <c r="E1819" s="15" t="n">
        <v>2</v>
      </c>
      <c r="H1819" s="10"/>
      <c r="I1819" s="21"/>
      <c r="M1819" s="10"/>
      <c r="N1819" s="10"/>
      <c r="P1819" s="10"/>
      <c r="Q1819" s="22"/>
    </row>
    <row r="1820" customFormat="false" ht="15.75" hidden="false" customHeight="false" outlineLevel="0" collapsed="false">
      <c r="A1820" s="20" t="n">
        <v>46100</v>
      </c>
      <c r="B1820" s="15" t="s">
        <v>518</v>
      </c>
      <c r="C1820" s="15" t="s">
        <v>547</v>
      </c>
      <c r="D1820" s="15" t="s">
        <v>548</v>
      </c>
      <c r="E1820" s="15" t="n">
        <v>1</v>
      </c>
      <c r="H1820" s="10"/>
      <c r="I1820" s="21"/>
      <c r="M1820" s="10"/>
      <c r="N1820" s="10"/>
      <c r="P1820" s="10"/>
      <c r="Q1820" s="22"/>
    </row>
    <row r="1821" customFormat="false" ht="15.75" hidden="false" customHeight="false" outlineLevel="0" collapsed="false">
      <c r="A1821" s="20" t="n">
        <v>46100</v>
      </c>
      <c r="B1821" s="15" t="s">
        <v>518</v>
      </c>
      <c r="C1821" s="15" t="s">
        <v>81</v>
      </c>
      <c r="D1821" s="15" t="s">
        <v>534</v>
      </c>
      <c r="E1821" s="15" t="n">
        <v>1</v>
      </c>
      <c r="H1821" s="10"/>
      <c r="I1821" s="21"/>
      <c r="M1821" s="10"/>
      <c r="N1821" s="10"/>
      <c r="P1821" s="10"/>
      <c r="Q1821" s="22"/>
    </row>
    <row r="1822" customFormat="false" ht="15.75" hidden="false" customHeight="false" outlineLevel="0" collapsed="false">
      <c r="A1822" s="20" t="n">
        <v>46100</v>
      </c>
      <c r="B1822" s="15" t="s">
        <v>520</v>
      </c>
      <c r="C1822" s="15" t="s">
        <v>55</v>
      </c>
      <c r="D1822" s="15" t="s">
        <v>539</v>
      </c>
      <c r="E1822" s="15" t="n">
        <v>3</v>
      </c>
      <c r="H1822" s="10"/>
      <c r="I1822" s="21"/>
      <c r="M1822" s="10"/>
      <c r="N1822" s="10"/>
      <c r="P1822" s="10"/>
      <c r="Q1822" s="22"/>
    </row>
    <row r="1823" customFormat="false" ht="15.75" hidden="false" customHeight="false" outlineLevel="0" collapsed="false">
      <c r="A1823" s="20" t="n">
        <v>46100</v>
      </c>
      <c r="B1823" s="15" t="s">
        <v>520</v>
      </c>
      <c r="C1823" s="15" t="s">
        <v>69</v>
      </c>
      <c r="D1823" s="15" t="s">
        <v>535</v>
      </c>
      <c r="E1823" s="15" t="n">
        <v>4</v>
      </c>
      <c r="H1823" s="10"/>
      <c r="I1823" s="21"/>
      <c r="M1823" s="10"/>
      <c r="N1823" s="10"/>
      <c r="P1823" s="10"/>
      <c r="Q1823" s="22"/>
    </row>
    <row r="1824" customFormat="false" ht="15.75" hidden="false" customHeight="false" outlineLevel="0" collapsed="false">
      <c r="A1824" s="20" t="n">
        <v>46100</v>
      </c>
      <c r="B1824" s="15" t="s">
        <v>520</v>
      </c>
      <c r="C1824" s="15" t="s">
        <v>81</v>
      </c>
      <c r="D1824" s="15" t="s">
        <v>534</v>
      </c>
      <c r="E1824" s="15" t="n">
        <v>1</v>
      </c>
      <c r="H1824" s="10"/>
      <c r="I1824" s="21"/>
      <c r="M1824" s="10"/>
      <c r="N1824" s="10"/>
      <c r="P1824" s="10"/>
      <c r="Q1824" s="22"/>
    </row>
    <row r="1825" customFormat="false" ht="15.75" hidden="false" customHeight="false" outlineLevel="0" collapsed="false">
      <c r="A1825" s="20" t="n">
        <v>46100</v>
      </c>
      <c r="B1825" s="15" t="s">
        <v>520</v>
      </c>
      <c r="C1825" s="15" t="s">
        <v>77</v>
      </c>
      <c r="D1825" s="15" t="s">
        <v>78</v>
      </c>
      <c r="E1825" s="15" t="n">
        <v>2</v>
      </c>
      <c r="H1825" s="10"/>
      <c r="I1825" s="21"/>
      <c r="M1825" s="10"/>
      <c r="N1825" s="10"/>
      <c r="P1825" s="10"/>
      <c r="Q1825" s="22"/>
    </row>
    <row r="1826" customFormat="false" ht="15.75" hidden="false" customHeight="false" outlineLevel="0" collapsed="false">
      <c r="A1826" s="20" t="n">
        <v>46100</v>
      </c>
      <c r="B1826" s="15" t="s">
        <v>520</v>
      </c>
      <c r="C1826" s="15" t="s">
        <v>33</v>
      </c>
      <c r="D1826" s="15" t="s">
        <v>536</v>
      </c>
      <c r="E1826" s="15" t="n">
        <v>4</v>
      </c>
      <c r="H1826" s="10"/>
      <c r="I1826" s="21"/>
      <c r="M1826" s="10"/>
      <c r="N1826" s="10"/>
      <c r="P1826" s="10"/>
      <c r="Q1826" s="22"/>
    </row>
    <row r="1827" customFormat="false" ht="15.75" hidden="false" customHeight="false" outlineLevel="0" collapsed="false">
      <c r="A1827" s="20" t="n">
        <v>46100</v>
      </c>
      <c r="B1827" s="15" t="s">
        <v>520</v>
      </c>
      <c r="C1827" s="15" t="s">
        <v>45</v>
      </c>
      <c r="D1827" s="15" t="s">
        <v>540</v>
      </c>
      <c r="E1827" s="15" t="n">
        <v>1</v>
      </c>
      <c r="H1827" s="10"/>
      <c r="I1827" s="21"/>
      <c r="M1827" s="10"/>
      <c r="N1827" s="10"/>
      <c r="P1827" s="10"/>
      <c r="Q1827" s="22"/>
    </row>
    <row r="1828" customFormat="false" ht="15.75" hidden="false" customHeight="false" outlineLevel="0" collapsed="false">
      <c r="A1828" s="20" t="n">
        <v>46100</v>
      </c>
      <c r="B1828" s="15" t="s">
        <v>520</v>
      </c>
      <c r="C1828" s="15" t="s">
        <v>59</v>
      </c>
      <c r="D1828" s="15" t="s">
        <v>562</v>
      </c>
      <c r="E1828" s="15" t="n">
        <v>3</v>
      </c>
      <c r="H1828" s="10"/>
      <c r="I1828" s="21"/>
      <c r="M1828" s="10"/>
      <c r="N1828" s="10"/>
      <c r="P1828" s="10"/>
      <c r="Q1828" s="22"/>
    </row>
    <row r="1829" customFormat="false" ht="15.75" hidden="false" customHeight="false" outlineLevel="0" collapsed="false">
      <c r="A1829" s="20" t="n">
        <v>46100</v>
      </c>
      <c r="B1829" s="15" t="s">
        <v>520</v>
      </c>
      <c r="C1829" s="15" t="s">
        <v>43</v>
      </c>
      <c r="D1829" s="15" t="s">
        <v>538</v>
      </c>
      <c r="E1829" s="15" t="n">
        <v>1</v>
      </c>
      <c r="H1829" s="10"/>
      <c r="I1829" s="21"/>
      <c r="M1829" s="10"/>
      <c r="N1829" s="10"/>
      <c r="P1829" s="10"/>
      <c r="Q1829" s="22"/>
    </row>
    <row r="1830" customFormat="false" ht="15.75" hidden="false" customHeight="false" outlineLevel="0" collapsed="false">
      <c r="A1830" s="20" t="n">
        <v>46100</v>
      </c>
      <c r="B1830" s="15" t="s">
        <v>526</v>
      </c>
      <c r="C1830" s="15" t="s">
        <v>69</v>
      </c>
      <c r="D1830" s="15" t="s">
        <v>535</v>
      </c>
      <c r="E1830" s="15" t="n">
        <v>6</v>
      </c>
      <c r="H1830" s="10"/>
      <c r="I1830" s="21"/>
      <c r="M1830" s="10"/>
      <c r="N1830" s="10"/>
      <c r="P1830" s="10"/>
      <c r="Q1830" s="22"/>
    </row>
    <row r="1831" customFormat="false" ht="15.75" hidden="false" customHeight="false" outlineLevel="0" collapsed="false">
      <c r="A1831" s="20" t="n">
        <v>46100</v>
      </c>
      <c r="B1831" s="15" t="s">
        <v>526</v>
      </c>
      <c r="C1831" s="15" t="s">
        <v>33</v>
      </c>
      <c r="D1831" s="15" t="s">
        <v>536</v>
      </c>
      <c r="E1831" s="15" t="n">
        <v>6</v>
      </c>
      <c r="H1831" s="10"/>
      <c r="I1831" s="21"/>
      <c r="M1831" s="10"/>
      <c r="N1831" s="10"/>
      <c r="P1831" s="10"/>
      <c r="Q1831" s="22"/>
    </row>
    <row r="1832" customFormat="false" ht="15.75" hidden="false" customHeight="false" outlineLevel="0" collapsed="false">
      <c r="A1832" s="20" t="n">
        <v>46100</v>
      </c>
      <c r="B1832" s="15" t="s">
        <v>526</v>
      </c>
      <c r="C1832" s="15" t="s">
        <v>55</v>
      </c>
      <c r="D1832" s="15" t="s">
        <v>539</v>
      </c>
      <c r="E1832" s="15" t="n">
        <v>4</v>
      </c>
      <c r="H1832" s="10"/>
      <c r="I1832" s="21"/>
      <c r="M1832" s="10"/>
      <c r="N1832" s="10"/>
      <c r="P1832" s="10"/>
      <c r="Q1832" s="22"/>
    </row>
    <row r="1833" customFormat="false" ht="15.75" hidden="false" customHeight="false" outlineLevel="0" collapsed="false">
      <c r="A1833" s="20" t="n">
        <v>46100</v>
      </c>
      <c r="B1833" s="15" t="s">
        <v>526</v>
      </c>
      <c r="C1833" s="15" t="s">
        <v>81</v>
      </c>
      <c r="D1833" s="15" t="s">
        <v>534</v>
      </c>
      <c r="E1833" s="15" t="n">
        <v>2</v>
      </c>
      <c r="H1833" s="10"/>
      <c r="I1833" s="21"/>
      <c r="M1833" s="10"/>
      <c r="N1833" s="10"/>
      <c r="P1833" s="10"/>
      <c r="Q1833" s="22"/>
    </row>
    <row r="1834" customFormat="false" ht="15.75" hidden="false" customHeight="false" outlineLevel="0" collapsed="false">
      <c r="A1834" s="20" t="n">
        <v>46100</v>
      </c>
      <c r="B1834" s="15" t="s">
        <v>526</v>
      </c>
      <c r="C1834" s="15" t="s">
        <v>47</v>
      </c>
      <c r="D1834" s="15" t="s">
        <v>549</v>
      </c>
      <c r="E1834" s="15" t="n">
        <v>1</v>
      </c>
      <c r="H1834" s="10"/>
      <c r="I1834" s="21"/>
      <c r="M1834" s="10"/>
      <c r="N1834" s="10"/>
      <c r="P1834" s="10"/>
      <c r="Q1834" s="22"/>
    </row>
    <row r="1835" customFormat="false" ht="15.75" hidden="false" customHeight="false" outlineLevel="0" collapsed="false">
      <c r="A1835" s="20" t="n">
        <v>46100</v>
      </c>
      <c r="B1835" s="15" t="s">
        <v>529</v>
      </c>
      <c r="C1835" s="15" t="s">
        <v>81</v>
      </c>
      <c r="D1835" s="15" t="s">
        <v>534</v>
      </c>
      <c r="E1835" s="15" t="n">
        <v>8</v>
      </c>
      <c r="H1835" s="10"/>
      <c r="I1835" s="21"/>
      <c r="M1835" s="10"/>
      <c r="N1835" s="10"/>
      <c r="P1835" s="10"/>
      <c r="Q1835" s="22"/>
    </row>
    <row r="1836" customFormat="false" ht="15.75" hidden="false" customHeight="false" outlineLevel="0" collapsed="false">
      <c r="A1836" s="20" t="n">
        <v>46100</v>
      </c>
      <c r="B1836" s="15" t="s">
        <v>529</v>
      </c>
      <c r="C1836" s="15" t="s">
        <v>543</v>
      </c>
      <c r="D1836" s="15" t="s">
        <v>544</v>
      </c>
      <c r="E1836" s="15" t="n">
        <v>2</v>
      </c>
      <c r="H1836" s="10"/>
      <c r="I1836" s="21"/>
      <c r="M1836" s="10"/>
      <c r="N1836" s="10"/>
      <c r="P1836" s="10"/>
      <c r="Q1836" s="22"/>
    </row>
    <row r="1837" customFormat="false" ht="15.75" hidden="false" customHeight="false" outlineLevel="0" collapsed="false">
      <c r="A1837" s="20" t="n">
        <v>46100</v>
      </c>
      <c r="B1837" s="15" t="s">
        <v>529</v>
      </c>
      <c r="C1837" s="15" t="s">
        <v>545</v>
      </c>
      <c r="D1837" s="15" t="s">
        <v>546</v>
      </c>
      <c r="E1837" s="15" t="n">
        <v>1</v>
      </c>
      <c r="H1837" s="10"/>
      <c r="I1837" s="21"/>
      <c r="M1837" s="10"/>
      <c r="N1837" s="10"/>
      <c r="P1837" s="10"/>
      <c r="Q1837" s="22"/>
    </row>
    <row r="1838" customFormat="false" ht="15.75" hidden="false" customHeight="false" outlineLevel="0" collapsed="false">
      <c r="A1838" s="20" t="n">
        <v>46100</v>
      </c>
      <c r="B1838" s="15" t="s">
        <v>529</v>
      </c>
      <c r="C1838" s="15" t="s">
        <v>69</v>
      </c>
      <c r="D1838" s="15" t="s">
        <v>535</v>
      </c>
      <c r="E1838" s="15" t="n">
        <v>3</v>
      </c>
      <c r="H1838" s="10"/>
      <c r="I1838" s="21"/>
      <c r="M1838" s="10"/>
      <c r="N1838" s="10"/>
      <c r="P1838" s="10"/>
      <c r="Q1838" s="22"/>
    </row>
    <row r="1839" customFormat="false" ht="15.75" hidden="false" customHeight="false" outlineLevel="0" collapsed="false">
      <c r="A1839" s="20" t="n">
        <v>46100</v>
      </c>
      <c r="B1839" s="15" t="s">
        <v>529</v>
      </c>
      <c r="C1839" s="15" t="s">
        <v>77</v>
      </c>
      <c r="D1839" s="15" t="s">
        <v>78</v>
      </c>
      <c r="E1839" s="15" t="n">
        <v>2</v>
      </c>
      <c r="H1839" s="10"/>
      <c r="I1839" s="21"/>
      <c r="M1839" s="10"/>
      <c r="N1839" s="10"/>
      <c r="P1839" s="10"/>
      <c r="Q1839" s="22"/>
    </row>
    <row r="1840" customFormat="false" ht="15.75" hidden="false" customHeight="false" outlineLevel="0" collapsed="false">
      <c r="A1840" s="20" t="n">
        <v>46100</v>
      </c>
      <c r="B1840" s="15" t="s">
        <v>529</v>
      </c>
      <c r="C1840" s="15" t="s">
        <v>547</v>
      </c>
      <c r="D1840" s="15" t="s">
        <v>548</v>
      </c>
      <c r="E1840" s="15" t="n">
        <v>1</v>
      </c>
      <c r="H1840" s="10"/>
      <c r="I1840" s="21"/>
      <c r="M1840" s="10"/>
      <c r="N1840" s="10"/>
      <c r="P1840" s="10"/>
      <c r="Q1840" s="22"/>
    </row>
    <row r="1841" customFormat="false" ht="15.75" hidden="false" customHeight="false" outlineLevel="0" collapsed="false">
      <c r="A1841" s="20" t="n">
        <v>46100</v>
      </c>
      <c r="B1841" s="15" t="s">
        <v>529</v>
      </c>
      <c r="C1841" s="15" t="s">
        <v>49</v>
      </c>
      <c r="D1841" s="15" t="s">
        <v>537</v>
      </c>
      <c r="E1841" s="15" t="n">
        <v>1</v>
      </c>
      <c r="H1841" s="10"/>
      <c r="I1841" s="21"/>
      <c r="M1841" s="10"/>
      <c r="N1841" s="10"/>
      <c r="P1841" s="10"/>
      <c r="Q1841" s="22"/>
    </row>
    <row r="1842" customFormat="false" ht="15.75" hidden="false" customHeight="false" outlineLevel="0" collapsed="false">
      <c r="A1842" s="20" t="n">
        <v>46100</v>
      </c>
      <c r="B1842" s="15" t="s">
        <v>529</v>
      </c>
      <c r="C1842" s="15" t="s">
        <v>33</v>
      </c>
      <c r="D1842" s="15" t="s">
        <v>536</v>
      </c>
      <c r="E1842" s="15" t="n">
        <v>2</v>
      </c>
      <c r="H1842" s="10"/>
      <c r="I1842" s="21"/>
      <c r="M1842" s="10"/>
      <c r="N1842" s="10"/>
      <c r="P1842" s="10"/>
      <c r="Q1842" s="22"/>
    </row>
    <row r="1843" customFormat="false" ht="15.75" hidden="false" customHeight="false" outlineLevel="0" collapsed="false">
      <c r="A1843" s="20" t="n">
        <v>46101</v>
      </c>
      <c r="B1843" s="15" t="s">
        <v>452</v>
      </c>
      <c r="C1843" s="15" t="s">
        <v>81</v>
      </c>
      <c r="D1843" s="15" t="s">
        <v>534</v>
      </c>
      <c r="E1843" s="15" t="n">
        <v>11</v>
      </c>
      <c r="H1843" s="10"/>
      <c r="I1843" s="21"/>
      <c r="M1843" s="10"/>
      <c r="N1843" s="10"/>
      <c r="P1843" s="10"/>
      <c r="Q1843" s="22"/>
    </row>
    <row r="1844" customFormat="false" ht="15.75" hidden="false" customHeight="false" outlineLevel="0" collapsed="false">
      <c r="A1844" s="20" t="n">
        <v>46101</v>
      </c>
      <c r="B1844" s="15" t="s">
        <v>452</v>
      </c>
      <c r="C1844" s="15" t="s">
        <v>555</v>
      </c>
      <c r="D1844" s="15" t="s">
        <v>556</v>
      </c>
      <c r="E1844" s="15" t="n">
        <v>2</v>
      </c>
      <c r="H1844" s="10"/>
      <c r="I1844" s="21"/>
      <c r="M1844" s="10"/>
      <c r="N1844" s="10"/>
      <c r="P1844" s="10"/>
      <c r="Q1844" s="22"/>
    </row>
    <row r="1845" customFormat="false" ht="15.75" hidden="false" customHeight="false" outlineLevel="0" collapsed="false">
      <c r="A1845" s="20" t="n">
        <v>46101</v>
      </c>
      <c r="B1845" s="15" t="s">
        <v>452</v>
      </c>
      <c r="C1845" s="15" t="s">
        <v>545</v>
      </c>
      <c r="D1845" s="15" t="s">
        <v>546</v>
      </c>
      <c r="E1845" s="15" t="n">
        <v>1</v>
      </c>
      <c r="H1845" s="10"/>
      <c r="I1845" s="21"/>
      <c r="M1845" s="10"/>
      <c r="N1845" s="10"/>
      <c r="P1845" s="10"/>
      <c r="Q1845" s="22"/>
    </row>
    <row r="1846" customFormat="false" ht="15.75" hidden="false" customHeight="false" outlineLevel="0" collapsed="false">
      <c r="A1846" s="20" t="n">
        <v>46101</v>
      </c>
      <c r="B1846" s="15" t="s">
        <v>452</v>
      </c>
      <c r="C1846" s="15" t="s">
        <v>543</v>
      </c>
      <c r="D1846" s="15" t="s">
        <v>544</v>
      </c>
      <c r="E1846" s="15" t="n">
        <v>1</v>
      </c>
      <c r="H1846" s="10"/>
      <c r="I1846" s="21"/>
      <c r="M1846" s="10"/>
      <c r="N1846" s="10"/>
      <c r="P1846" s="10"/>
      <c r="Q1846" s="22"/>
    </row>
    <row r="1847" customFormat="false" ht="15.75" hidden="false" customHeight="false" outlineLevel="0" collapsed="false">
      <c r="A1847" s="20" t="n">
        <v>46101</v>
      </c>
      <c r="B1847" s="15" t="s">
        <v>452</v>
      </c>
      <c r="C1847" s="15" t="s">
        <v>69</v>
      </c>
      <c r="D1847" s="15" t="s">
        <v>535</v>
      </c>
      <c r="E1847" s="15" t="n">
        <v>4</v>
      </c>
      <c r="H1847" s="10"/>
      <c r="I1847" s="21"/>
      <c r="M1847" s="10"/>
      <c r="N1847" s="10"/>
      <c r="P1847" s="10"/>
      <c r="Q1847" s="22"/>
    </row>
    <row r="1848" customFormat="false" ht="15.75" hidden="false" customHeight="false" outlineLevel="0" collapsed="false">
      <c r="A1848" s="20" t="n">
        <v>46101</v>
      </c>
      <c r="B1848" s="15" t="s">
        <v>452</v>
      </c>
      <c r="C1848" s="15" t="s">
        <v>33</v>
      </c>
      <c r="D1848" s="15" t="s">
        <v>536</v>
      </c>
      <c r="E1848" s="15" t="n">
        <v>4</v>
      </c>
      <c r="H1848" s="10"/>
      <c r="I1848" s="21"/>
      <c r="M1848" s="10"/>
      <c r="N1848" s="10"/>
      <c r="P1848" s="10"/>
      <c r="Q1848" s="22"/>
    </row>
    <row r="1849" customFormat="false" ht="15.75" hidden="false" customHeight="false" outlineLevel="0" collapsed="false">
      <c r="A1849" s="20" t="n">
        <v>46101</v>
      </c>
      <c r="B1849" s="15" t="s">
        <v>452</v>
      </c>
      <c r="C1849" s="15" t="s">
        <v>79</v>
      </c>
      <c r="D1849" s="15" t="s">
        <v>564</v>
      </c>
      <c r="E1849" s="15" t="n">
        <v>1</v>
      </c>
      <c r="H1849" s="10"/>
      <c r="I1849" s="21"/>
      <c r="M1849" s="10"/>
      <c r="N1849" s="10"/>
      <c r="P1849" s="10"/>
      <c r="Q1849" s="22"/>
    </row>
    <row r="1850" customFormat="false" ht="15.75" hidden="false" customHeight="false" outlineLevel="0" collapsed="false">
      <c r="A1850" s="20" t="n">
        <v>46101</v>
      </c>
      <c r="B1850" s="15" t="s">
        <v>452</v>
      </c>
      <c r="C1850" s="15" t="s">
        <v>77</v>
      </c>
      <c r="D1850" s="15" t="s">
        <v>78</v>
      </c>
      <c r="E1850" s="15" t="n">
        <v>2</v>
      </c>
      <c r="H1850" s="10"/>
      <c r="I1850" s="21"/>
      <c r="M1850" s="10"/>
      <c r="N1850" s="10"/>
      <c r="P1850" s="10"/>
      <c r="Q1850" s="22"/>
    </row>
    <row r="1851" customFormat="false" ht="15.75" hidden="false" customHeight="false" outlineLevel="0" collapsed="false">
      <c r="A1851" s="20" t="n">
        <v>46101</v>
      </c>
      <c r="B1851" s="15" t="s">
        <v>452</v>
      </c>
      <c r="C1851" s="15" t="s">
        <v>49</v>
      </c>
      <c r="D1851" s="15" t="s">
        <v>537</v>
      </c>
      <c r="E1851" s="15" t="n">
        <v>5</v>
      </c>
      <c r="H1851" s="10"/>
      <c r="I1851" s="21"/>
      <c r="M1851" s="10"/>
      <c r="N1851" s="10"/>
      <c r="P1851" s="10"/>
      <c r="Q1851" s="22"/>
    </row>
    <row r="1852" customFormat="false" ht="15.75" hidden="false" customHeight="false" outlineLevel="0" collapsed="false">
      <c r="A1852" s="20" t="n">
        <v>46101</v>
      </c>
      <c r="B1852" s="15" t="s">
        <v>452</v>
      </c>
      <c r="C1852" s="15" t="s">
        <v>61</v>
      </c>
      <c r="D1852" s="15" t="s">
        <v>576</v>
      </c>
      <c r="E1852" s="15" t="n">
        <v>1</v>
      </c>
      <c r="H1852" s="10"/>
      <c r="I1852" s="21"/>
      <c r="M1852" s="10"/>
      <c r="N1852" s="10"/>
      <c r="P1852" s="10"/>
      <c r="Q1852" s="22"/>
    </row>
    <row r="1853" customFormat="false" ht="15.75" hidden="false" customHeight="false" outlineLevel="0" collapsed="false">
      <c r="A1853" s="20" t="n">
        <v>46101</v>
      </c>
      <c r="B1853" s="15" t="s">
        <v>453</v>
      </c>
      <c r="C1853" s="15" t="s">
        <v>47</v>
      </c>
      <c r="D1853" s="15" t="s">
        <v>549</v>
      </c>
      <c r="E1853" s="15" t="n">
        <v>2</v>
      </c>
      <c r="H1853" s="10"/>
      <c r="I1853" s="21"/>
      <c r="M1853" s="10"/>
      <c r="N1853" s="10"/>
      <c r="P1853" s="10"/>
      <c r="Q1853" s="22"/>
    </row>
    <row r="1854" customFormat="false" ht="15.75" hidden="false" customHeight="false" outlineLevel="0" collapsed="false">
      <c r="A1854" s="20" t="n">
        <v>46101</v>
      </c>
      <c r="B1854" s="15" t="s">
        <v>453</v>
      </c>
      <c r="C1854" s="15" t="s">
        <v>55</v>
      </c>
      <c r="D1854" s="15" t="s">
        <v>539</v>
      </c>
      <c r="E1854" s="15" t="n">
        <v>4</v>
      </c>
      <c r="H1854" s="10"/>
      <c r="I1854" s="21"/>
      <c r="M1854" s="10"/>
      <c r="N1854" s="10"/>
      <c r="P1854" s="10"/>
      <c r="Q1854" s="22"/>
    </row>
    <row r="1855" customFormat="false" ht="15.75" hidden="false" customHeight="false" outlineLevel="0" collapsed="false">
      <c r="A1855" s="20" t="n">
        <v>46101</v>
      </c>
      <c r="B1855" s="15" t="s">
        <v>453</v>
      </c>
      <c r="C1855" s="15" t="s">
        <v>81</v>
      </c>
      <c r="D1855" s="15" t="s">
        <v>534</v>
      </c>
      <c r="E1855" s="15" t="n">
        <v>8</v>
      </c>
      <c r="H1855" s="10"/>
      <c r="I1855" s="21"/>
      <c r="M1855" s="10"/>
      <c r="N1855" s="10"/>
      <c r="P1855" s="10"/>
      <c r="Q1855" s="22"/>
    </row>
    <row r="1856" customFormat="false" ht="15.75" hidden="false" customHeight="false" outlineLevel="0" collapsed="false">
      <c r="A1856" s="20" t="n">
        <v>46101</v>
      </c>
      <c r="B1856" s="15" t="s">
        <v>453</v>
      </c>
      <c r="C1856" s="15" t="s">
        <v>39</v>
      </c>
      <c r="D1856" s="15" t="s">
        <v>550</v>
      </c>
      <c r="E1856" s="15" t="n">
        <v>2</v>
      </c>
      <c r="H1856" s="10"/>
      <c r="I1856" s="21"/>
      <c r="M1856" s="10"/>
      <c r="N1856" s="10"/>
      <c r="P1856" s="10"/>
      <c r="Q1856" s="22"/>
    </row>
    <row r="1857" customFormat="false" ht="15.75" hidden="false" customHeight="false" outlineLevel="0" collapsed="false">
      <c r="A1857" s="20" t="n">
        <v>46101</v>
      </c>
      <c r="B1857" s="15" t="s">
        <v>453</v>
      </c>
      <c r="C1857" s="15" t="s">
        <v>63</v>
      </c>
      <c r="D1857" s="15" t="s">
        <v>551</v>
      </c>
      <c r="E1857" s="15" t="n">
        <v>1</v>
      </c>
      <c r="H1857" s="10"/>
      <c r="I1857" s="21"/>
      <c r="M1857" s="10"/>
      <c r="N1857" s="10"/>
      <c r="P1857" s="10"/>
      <c r="Q1857" s="22"/>
    </row>
    <row r="1858" customFormat="false" ht="15.75" hidden="false" customHeight="false" outlineLevel="0" collapsed="false">
      <c r="A1858" s="20" t="n">
        <v>46101</v>
      </c>
      <c r="B1858" s="15" t="s">
        <v>453</v>
      </c>
      <c r="C1858" s="15" t="s">
        <v>35</v>
      </c>
      <c r="D1858" s="15" t="s">
        <v>552</v>
      </c>
      <c r="E1858" s="15" t="n">
        <v>2</v>
      </c>
      <c r="H1858" s="10"/>
      <c r="I1858" s="21"/>
      <c r="M1858" s="10"/>
      <c r="N1858" s="10"/>
      <c r="P1858" s="10"/>
      <c r="Q1858" s="22"/>
    </row>
    <row r="1859" customFormat="false" ht="15.75" hidden="false" customHeight="false" outlineLevel="0" collapsed="false">
      <c r="A1859" s="20" t="n">
        <v>46101</v>
      </c>
      <c r="B1859" s="15" t="s">
        <v>465</v>
      </c>
      <c r="C1859" s="15" t="s">
        <v>47</v>
      </c>
      <c r="D1859" s="15" t="s">
        <v>549</v>
      </c>
      <c r="E1859" s="15" t="n">
        <v>2</v>
      </c>
      <c r="H1859" s="10"/>
      <c r="I1859" s="21"/>
      <c r="M1859" s="10"/>
      <c r="N1859" s="10"/>
      <c r="P1859" s="10"/>
      <c r="Q1859" s="22"/>
    </row>
    <row r="1860" customFormat="false" ht="15.75" hidden="false" customHeight="false" outlineLevel="0" collapsed="false">
      <c r="A1860" s="20" t="n">
        <v>46101</v>
      </c>
      <c r="B1860" s="15" t="s">
        <v>465</v>
      </c>
      <c r="C1860" s="15" t="s">
        <v>81</v>
      </c>
      <c r="D1860" s="15" t="s">
        <v>534</v>
      </c>
      <c r="E1860" s="15" t="n">
        <v>13</v>
      </c>
      <c r="H1860" s="10"/>
      <c r="I1860" s="21"/>
      <c r="M1860" s="10"/>
      <c r="N1860" s="10"/>
      <c r="P1860" s="10"/>
      <c r="Q1860" s="22"/>
    </row>
    <row r="1861" customFormat="false" ht="15.75" hidden="false" customHeight="false" outlineLevel="0" collapsed="false">
      <c r="A1861" s="20" t="n">
        <v>46101</v>
      </c>
      <c r="B1861" s="15" t="s">
        <v>465</v>
      </c>
      <c r="C1861" s="15" t="s">
        <v>55</v>
      </c>
      <c r="D1861" s="15" t="s">
        <v>539</v>
      </c>
      <c r="E1861" s="15" t="n">
        <v>2</v>
      </c>
      <c r="H1861" s="10"/>
      <c r="I1861" s="21"/>
      <c r="M1861" s="10"/>
      <c r="N1861" s="10"/>
      <c r="P1861" s="10"/>
      <c r="Q1861" s="22"/>
    </row>
    <row r="1862" customFormat="false" ht="15.75" hidden="false" customHeight="false" outlineLevel="0" collapsed="false">
      <c r="A1862" s="20" t="n">
        <v>46101</v>
      </c>
      <c r="B1862" s="15" t="s">
        <v>465</v>
      </c>
      <c r="C1862" s="15" t="s">
        <v>69</v>
      </c>
      <c r="D1862" s="15" t="s">
        <v>535</v>
      </c>
      <c r="E1862" s="15" t="n">
        <v>5</v>
      </c>
      <c r="H1862" s="10"/>
      <c r="I1862" s="21"/>
      <c r="M1862" s="10"/>
      <c r="N1862" s="10"/>
      <c r="P1862" s="10"/>
      <c r="Q1862" s="22"/>
    </row>
    <row r="1863" customFormat="false" ht="15.75" hidden="false" customHeight="false" outlineLevel="0" collapsed="false">
      <c r="A1863" s="20" t="n">
        <v>46101</v>
      </c>
      <c r="B1863" s="15" t="s">
        <v>465</v>
      </c>
      <c r="C1863" s="15" t="s">
        <v>555</v>
      </c>
      <c r="D1863" s="15" t="s">
        <v>556</v>
      </c>
      <c r="E1863" s="15" t="n">
        <v>3</v>
      </c>
      <c r="H1863" s="10"/>
      <c r="I1863" s="21"/>
      <c r="M1863" s="10"/>
      <c r="N1863" s="10"/>
      <c r="P1863" s="10"/>
      <c r="Q1863" s="22"/>
    </row>
    <row r="1864" customFormat="false" ht="15.75" hidden="false" customHeight="false" outlineLevel="0" collapsed="false">
      <c r="A1864" s="20" t="n">
        <v>46101</v>
      </c>
      <c r="B1864" s="15" t="s">
        <v>465</v>
      </c>
      <c r="C1864" s="15" t="s">
        <v>565</v>
      </c>
      <c r="D1864" s="15" t="s">
        <v>566</v>
      </c>
      <c r="E1864" s="15" t="n">
        <v>3</v>
      </c>
      <c r="H1864" s="10"/>
      <c r="I1864" s="21"/>
      <c r="M1864" s="10"/>
      <c r="N1864" s="10"/>
      <c r="P1864" s="10"/>
      <c r="Q1864" s="22"/>
    </row>
    <row r="1865" customFormat="false" ht="15.75" hidden="false" customHeight="false" outlineLevel="0" collapsed="false">
      <c r="A1865" s="20" t="n">
        <v>46101</v>
      </c>
      <c r="B1865" s="15" t="s">
        <v>465</v>
      </c>
      <c r="C1865" s="15" t="s">
        <v>570</v>
      </c>
      <c r="D1865" s="15" t="s">
        <v>571</v>
      </c>
      <c r="E1865" s="15" t="n">
        <v>6</v>
      </c>
      <c r="H1865" s="10"/>
      <c r="I1865" s="21"/>
      <c r="M1865" s="10"/>
      <c r="N1865" s="10"/>
      <c r="P1865" s="10"/>
      <c r="Q1865" s="22"/>
    </row>
    <row r="1866" customFormat="false" ht="15.75" hidden="false" customHeight="false" outlineLevel="0" collapsed="false">
      <c r="A1866" s="20" t="n">
        <v>46101</v>
      </c>
      <c r="B1866" s="15" t="s">
        <v>465</v>
      </c>
      <c r="C1866" s="15" t="s">
        <v>45</v>
      </c>
      <c r="D1866" s="15" t="s">
        <v>540</v>
      </c>
      <c r="E1866" s="15" t="n">
        <v>2</v>
      </c>
      <c r="H1866" s="10"/>
      <c r="I1866" s="21"/>
      <c r="M1866" s="10"/>
      <c r="N1866" s="10"/>
      <c r="P1866" s="10"/>
      <c r="Q1866" s="22"/>
    </row>
    <row r="1867" customFormat="false" ht="15.75" hidden="false" customHeight="false" outlineLevel="0" collapsed="false">
      <c r="A1867" s="20" t="n">
        <v>46101</v>
      </c>
      <c r="B1867" s="15" t="s">
        <v>465</v>
      </c>
      <c r="C1867" s="15" t="s">
        <v>547</v>
      </c>
      <c r="D1867" s="15" t="s">
        <v>548</v>
      </c>
      <c r="E1867" s="15" t="n">
        <v>3</v>
      </c>
      <c r="H1867" s="10"/>
      <c r="I1867" s="21"/>
      <c r="M1867" s="10"/>
      <c r="N1867" s="10"/>
      <c r="P1867" s="10"/>
      <c r="Q1867" s="22"/>
    </row>
    <row r="1868" customFormat="false" ht="15.75" hidden="false" customHeight="false" outlineLevel="0" collapsed="false">
      <c r="A1868" s="20" t="n">
        <v>46101</v>
      </c>
      <c r="B1868" s="15" t="s">
        <v>465</v>
      </c>
      <c r="C1868" s="15" t="s">
        <v>567</v>
      </c>
      <c r="D1868" s="15" t="s">
        <v>568</v>
      </c>
      <c r="E1868" s="15" t="n">
        <v>2</v>
      </c>
      <c r="H1868" s="10"/>
      <c r="I1868" s="21"/>
      <c r="M1868" s="10"/>
      <c r="N1868" s="10"/>
      <c r="P1868" s="10"/>
      <c r="Q1868" s="22"/>
    </row>
    <row r="1869" customFormat="false" ht="15.75" hidden="false" customHeight="false" outlineLevel="0" collapsed="false">
      <c r="A1869" s="20" t="n">
        <v>46101</v>
      </c>
      <c r="B1869" s="15" t="s">
        <v>465</v>
      </c>
      <c r="C1869" s="15" t="s">
        <v>543</v>
      </c>
      <c r="D1869" s="15" t="s">
        <v>544</v>
      </c>
      <c r="E1869" s="15" t="n">
        <v>3</v>
      </c>
      <c r="H1869" s="10"/>
      <c r="I1869" s="21"/>
      <c r="M1869" s="10"/>
      <c r="N1869" s="10"/>
      <c r="P1869" s="10"/>
      <c r="Q1869" s="22"/>
    </row>
    <row r="1870" customFormat="false" ht="15.75" hidden="false" customHeight="false" outlineLevel="0" collapsed="false">
      <c r="A1870" s="20" t="n">
        <v>46101</v>
      </c>
      <c r="B1870" s="15" t="s">
        <v>465</v>
      </c>
      <c r="C1870" s="15" t="s">
        <v>25</v>
      </c>
      <c r="D1870" s="15" t="s">
        <v>26</v>
      </c>
      <c r="E1870" s="15" t="n">
        <v>1</v>
      </c>
      <c r="H1870" s="10"/>
      <c r="I1870" s="21"/>
      <c r="M1870" s="10"/>
      <c r="N1870" s="10"/>
      <c r="P1870" s="10"/>
      <c r="Q1870" s="22"/>
    </row>
    <row r="1871" customFormat="false" ht="15.75" hidden="false" customHeight="false" outlineLevel="0" collapsed="false">
      <c r="A1871" s="20" t="n">
        <v>46101</v>
      </c>
      <c r="B1871" s="15" t="s">
        <v>465</v>
      </c>
      <c r="C1871" s="15" t="s">
        <v>77</v>
      </c>
      <c r="D1871" s="15" t="s">
        <v>78</v>
      </c>
      <c r="E1871" s="15" t="n">
        <v>2</v>
      </c>
      <c r="H1871" s="10"/>
      <c r="I1871" s="21"/>
      <c r="M1871" s="10"/>
      <c r="N1871" s="10"/>
      <c r="P1871" s="10"/>
      <c r="Q1871" s="22"/>
    </row>
    <row r="1872" customFormat="false" ht="15.75" hidden="false" customHeight="false" outlineLevel="0" collapsed="false">
      <c r="A1872" s="20" t="n">
        <v>46101</v>
      </c>
      <c r="B1872" s="15" t="s">
        <v>465</v>
      </c>
      <c r="C1872" s="15" t="s">
        <v>59</v>
      </c>
      <c r="D1872" s="15" t="s">
        <v>562</v>
      </c>
      <c r="E1872" s="15" t="n">
        <v>2</v>
      </c>
      <c r="H1872" s="10"/>
      <c r="I1872" s="21"/>
      <c r="M1872" s="10"/>
      <c r="N1872" s="10"/>
      <c r="P1872" s="10"/>
      <c r="Q1872" s="22"/>
    </row>
    <row r="1873" customFormat="false" ht="15.75" hidden="false" customHeight="false" outlineLevel="0" collapsed="false">
      <c r="A1873" s="20" t="n">
        <v>46101</v>
      </c>
      <c r="B1873" s="15" t="s">
        <v>465</v>
      </c>
      <c r="C1873" s="15" t="s">
        <v>545</v>
      </c>
      <c r="D1873" s="15" t="s">
        <v>546</v>
      </c>
      <c r="E1873" s="15" t="n">
        <v>4</v>
      </c>
      <c r="H1873" s="10"/>
      <c r="I1873" s="21"/>
      <c r="M1873" s="10"/>
      <c r="N1873" s="10"/>
      <c r="P1873" s="10"/>
      <c r="Q1873" s="22"/>
    </row>
    <row r="1874" customFormat="false" ht="15.75" hidden="false" customHeight="false" outlineLevel="0" collapsed="false">
      <c r="A1874" s="20" t="n">
        <v>46101</v>
      </c>
      <c r="B1874" s="15" t="s">
        <v>465</v>
      </c>
      <c r="C1874" s="15" t="s">
        <v>79</v>
      </c>
      <c r="D1874" s="15" t="s">
        <v>564</v>
      </c>
      <c r="E1874" s="15" t="n">
        <v>1</v>
      </c>
      <c r="H1874" s="10"/>
      <c r="I1874" s="21"/>
      <c r="M1874" s="10"/>
      <c r="N1874" s="10"/>
      <c r="P1874" s="10"/>
      <c r="Q1874" s="22"/>
    </row>
    <row r="1875" customFormat="false" ht="15.75" hidden="false" customHeight="false" outlineLevel="0" collapsed="false">
      <c r="A1875" s="20" t="n">
        <v>46101</v>
      </c>
      <c r="B1875" s="15" t="s">
        <v>465</v>
      </c>
      <c r="C1875" s="15" t="s">
        <v>43</v>
      </c>
      <c r="D1875" s="15" t="s">
        <v>538</v>
      </c>
      <c r="E1875" s="15" t="n">
        <v>1</v>
      </c>
      <c r="H1875" s="10"/>
      <c r="I1875" s="21"/>
      <c r="M1875" s="10"/>
      <c r="N1875" s="10"/>
      <c r="P1875" s="10"/>
      <c r="Q1875" s="22"/>
    </row>
    <row r="1876" customFormat="false" ht="15.75" hidden="false" customHeight="false" outlineLevel="0" collapsed="false">
      <c r="A1876" s="20" t="n">
        <v>46101</v>
      </c>
      <c r="B1876" s="15" t="s">
        <v>465</v>
      </c>
      <c r="C1876" s="15" t="s">
        <v>33</v>
      </c>
      <c r="D1876" s="15" t="s">
        <v>536</v>
      </c>
      <c r="E1876" s="15" t="n">
        <v>2</v>
      </c>
      <c r="H1876" s="10"/>
      <c r="I1876" s="21"/>
      <c r="M1876" s="10"/>
      <c r="N1876" s="10"/>
      <c r="P1876" s="10"/>
      <c r="Q1876" s="22"/>
    </row>
    <row r="1877" customFormat="false" ht="15.75" hidden="false" customHeight="false" outlineLevel="0" collapsed="false">
      <c r="A1877" s="20" t="n">
        <v>46101</v>
      </c>
      <c r="B1877" s="15" t="s">
        <v>465</v>
      </c>
      <c r="C1877" s="15" t="s">
        <v>65</v>
      </c>
      <c r="D1877" s="15" t="s">
        <v>580</v>
      </c>
      <c r="E1877" s="15" t="n">
        <v>1</v>
      </c>
      <c r="H1877" s="10"/>
      <c r="I1877" s="21"/>
      <c r="M1877" s="10"/>
      <c r="N1877" s="10"/>
      <c r="P1877" s="10"/>
      <c r="Q1877" s="22"/>
    </row>
    <row r="1878" customFormat="false" ht="15.75" hidden="false" customHeight="false" outlineLevel="0" collapsed="false">
      <c r="A1878" s="20" t="n">
        <v>46101</v>
      </c>
      <c r="B1878" s="15" t="s">
        <v>465</v>
      </c>
      <c r="C1878" s="15" t="s">
        <v>11</v>
      </c>
      <c r="D1878" s="15" t="s">
        <v>572</v>
      </c>
      <c r="E1878" s="15" t="n">
        <v>6</v>
      </c>
      <c r="H1878" s="10"/>
      <c r="I1878" s="21"/>
      <c r="M1878" s="10"/>
      <c r="N1878" s="10"/>
      <c r="P1878" s="10"/>
      <c r="Q1878" s="22"/>
    </row>
    <row r="1879" customFormat="false" ht="15.75" hidden="false" customHeight="false" outlineLevel="0" collapsed="false">
      <c r="A1879" s="20" t="n">
        <v>46101</v>
      </c>
      <c r="B1879" s="15" t="s">
        <v>469</v>
      </c>
      <c r="C1879" s="15" t="s">
        <v>69</v>
      </c>
      <c r="D1879" s="15" t="s">
        <v>535</v>
      </c>
      <c r="E1879" s="15" t="n">
        <v>5</v>
      </c>
      <c r="H1879" s="10"/>
      <c r="I1879" s="21"/>
      <c r="M1879" s="10"/>
      <c r="N1879" s="10"/>
      <c r="P1879" s="10"/>
      <c r="Q1879" s="22"/>
    </row>
    <row r="1880" customFormat="false" ht="15.75" hidden="false" customHeight="false" outlineLevel="0" collapsed="false">
      <c r="A1880" s="20" t="n">
        <v>46101</v>
      </c>
      <c r="B1880" s="15" t="s">
        <v>469</v>
      </c>
      <c r="C1880" s="15" t="s">
        <v>55</v>
      </c>
      <c r="D1880" s="15" t="s">
        <v>539</v>
      </c>
      <c r="E1880" s="15" t="n">
        <v>2</v>
      </c>
      <c r="H1880" s="10"/>
      <c r="I1880" s="21"/>
      <c r="M1880" s="10"/>
      <c r="N1880" s="10"/>
      <c r="P1880" s="10"/>
      <c r="Q1880" s="22"/>
    </row>
    <row r="1881" customFormat="false" ht="15.75" hidden="false" customHeight="false" outlineLevel="0" collapsed="false">
      <c r="A1881" s="20" t="n">
        <v>46101</v>
      </c>
      <c r="B1881" s="15" t="s">
        <v>469</v>
      </c>
      <c r="C1881" s="15" t="s">
        <v>33</v>
      </c>
      <c r="D1881" s="15" t="s">
        <v>536</v>
      </c>
      <c r="E1881" s="15" t="n">
        <v>5</v>
      </c>
      <c r="H1881" s="10"/>
      <c r="I1881" s="21"/>
      <c r="M1881" s="10"/>
      <c r="N1881" s="10"/>
      <c r="P1881" s="10"/>
      <c r="Q1881" s="22"/>
    </row>
    <row r="1882" customFormat="false" ht="15.75" hidden="false" customHeight="false" outlineLevel="0" collapsed="false">
      <c r="A1882" s="20" t="n">
        <v>46101</v>
      </c>
      <c r="B1882" s="15" t="s">
        <v>469</v>
      </c>
      <c r="C1882" s="15" t="s">
        <v>547</v>
      </c>
      <c r="D1882" s="15" t="s">
        <v>548</v>
      </c>
      <c r="E1882" s="15" t="n">
        <v>1</v>
      </c>
      <c r="H1882" s="10"/>
      <c r="I1882" s="21"/>
      <c r="M1882" s="10"/>
      <c r="N1882" s="10"/>
      <c r="P1882" s="10"/>
      <c r="Q1882" s="22"/>
    </row>
    <row r="1883" customFormat="false" ht="15.75" hidden="false" customHeight="false" outlineLevel="0" collapsed="false">
      <c r="A1883" s="20" t="n">
        <v>46101</v>
      </c>
      <c r="B1883" s="15" t="s">
        <v>469</v>
      </c>
      <c r="C1883" s="15" t="s">
        <v>81</v>
      </c>
      <c r="D1883" s="15" t="s">
        <v>534</v>
      </c>
      <c r="E1883" s="15" t="n">
        <v>2</v>
      </c>
      <c r="H1883" s="10"/>
      <c r="I1883" s="21"/>
      <c r="M1883" s="10"/>
      <c r="N1883" s="10"/>
      <c r="P1883" s="10"/>
      <c r="Q1883" s="22"/>
    </row>
    <row r="1884" customFormat="false" ht="15.75" hidden="false" customHeight="false" outlineLevel="0" collapsed="false">
      <c r="A1884" s="20" t="n">
        <v>46101</v>
      </c>
      <c r="B1884" s="15" t="s">
        <v>471</v>
      </c>
      <c r="C1884" s="15" t="s">
        <v>25</v>
      </c>
      <c r="D1884" s="15" t="s">
        <v>26</v>
      </c>
      <c r="E1884" s="15" t="n">
        <v>2</v>
      </c>
      <c r="H1884" s="10"/>
      <c r="I1884" s="21"/>
      <c r="M1884" s="10"/>
      <c r="N1884" s="10"/>
      <c r="P1884" s="10"/>
      <c r="Q1884" s="22"/>
    </row>
    <row r="1885" customFormat="false" ht="15.75" hidden="false" customHeight="false" outlineLevel="0" collapsed="false">
      <c r="A1885" s="20" t="n">
        <v>46101</v>
      </c>
      <c r="B1885" s="15" t="s">
        <v>471</v>
      </c>
      <c r="C1885" s="15" t="s">
        <v>69</v>
      </c>
      <c r="D1885" s="15" t="s">
        <v>535</v>
      </c>
      <c r="E1885" s="15" t="n">
        <v>2</v>
      </c>
      <c r="H1885" s="10"/>
      <c r="I1885" s="21"/>
      <c r="M1885" s="10"/>
      <c r="N1885" s="10"/>
      <c r="P1885" s="10"/>
      <c r="Q1885" s="22"/>
    </row>
    <row r="1886" customFormat="false" ht="15.75" hidden="false" customHeight="false" outlineLevel="0" collapsed="false">
      <c r="A1886" s="20" t="n">
        <v>46101</v>
      </c>
      <c r="B1886" s="15" t="s">
        <v>471</v>
      </c>
      <c r="C1886" s="15" t="s">
        <v>555</v>
      </c>
      <c r="D1886" s="15" t="s">
        <v>556</v>
      </c>
      <c r="E1886" s="15" t="n">
        <v>2</v>
      </c>
      <c r="H1886" s="10"/>
      <c r="I1886" s="21"/>
      <c r="M1886" s="10"/>
      <c r="N1886" s="10"/>
      <c r="P1886" s="10"/>
      <c r="Q1886" s="22"/>
    </row>
    <row r="1887" customFormat="false" ht="15.75" hidden="false" customHeight="false" outlineLevel="0" collapsed="false">
      <c r="A1887" s="20" t="n">
        <v>46101</v>
      </c>
      <c r="B1887" s="15" t="s">
        <v>480</v>
      </c>
      <c r="C1887" s="15" t="s">
        <v>547</v>
      </c>
      <c r="D1887" s="15" t="s">
        <v>548</v>
      </c>
      <c r="E1887" s="15" t="n">
        <v>1</v>
      </c>
      <c r="H1887" s="10"/>
      <c r="I1887" s="21"/>
      <c r="M1887" s="10"/>
      <c r="N1887" s="10"/>
      <c r="P1887" s="10"/>
      <c r="Q1887" s="22"/>
    </row>
    <row r="1888" customFormat="false" ht="15.75" hidden="false" customHeight="false" outlineLevel="0" collapsed="false">
      <c r="A1888" s="20" t="n">
        <v>46101</v>
      </c>
      <c r="B1888" s="15" t="s">
        <v>480</v>
      </c>
      <c r="C1888" s="15" t="s">
        <v>69</v>
      </c>
      <c r="D1888" s="15" t="s">
        <v>535</v>
      </c>
      <c r="E1888" s="15" t="n">
        <v>1</v>
      </c>
      <c r="H1888" s="10"/>
      <c r="I1888" s="21"/>
      <c r="M1888" s="10"/>
      <c r="N1888" s="10"/>
      <c r="P1888" s="10"/>
      <c r="Q1888" s="22"/>
    </row>
    <row r="1889" customFormat="false" ht="15.75" hidden="false" customHeight="false" outlineLevel="0" collapsed="false">
      <c r="A1889" s="20" t="n">
        <v>46101</v>
      </c>
      <c r="B1889" s="15" t="s">
        <v>495</v>
      </c>
      <c r="C1889" s="15" t="s">
        <v>55</v>
      </c>
      <c r="D1889" s="15" t="s">
        <v>539</v>
      </c>
      <c r="E1889" s="15" t="n">
        <v>1</v>
      </c>
      <c r="H1889" s="10"/>
      <c r="I1889" s="21"/>
      <c r="M1889" s="10"/>
      <c r="N1889" s="10"/>
      <c r="P1889" s="10"/>
      <c r="Q1889" s="22"/>
    </row>
    <row r="1890" customFormat="false" ht="15.75" hidden="false" customHeight="false" outlineLevel="0" collapsed="false">
      <c r="A1890" s="20" t="n">
        <v>46101</v>
      </c>
      <c r="B1890" s="15" t="s">
        <v>495</v>
      </c>
      <c r="C1890" s="15" t="s">
        <v>81</v>
      </c>
      <c r="D1890" s="15" t="s">
        <v>534</v>
      </c>
      <c r="E1890" s="15" t="n">
        <v>3</v>
      </c>
      <c r="H1890" s="10"/>
      <c r="I1890" s="21"/>
      <c r="M1890" s="10"/>
      <c r="N1890" s="10"/>
      <c r="P1890" s="10"/>
      <c r="Q1890" s="22"/>
    </row>
    <row r="1891" customFormat="false" ht="15.75" hidden="false" customHeight="false" outlineLevel="0" collapsed="false">
      <c r="A1891" s="20" t="n">
        <v>46101</v>
      </c>
      <c r="B1891" s="15" t="s">
        <v>495</v>
      </c>
      <c r="C1891" s="15" t="s">
        <v>75</v>
      </c>
      <c r="D1891" s="15" t="s">
        <v>560</v>
      </c>
      <c r="E1891" s="15" t="n">
        <v>1</v>
      </c>
      <c r="H1891" s="10"/>
      <c r="I1891" s="21"/>
      <c r="M1891" s="10"/>
      <c r="N1891" s="10"/>
      <c r="P1891" s="10"/>
      <c r="Q1891" s="22"/>
    </row>
    <row r="1892" customFormat="false" ht="15.75" hidden="false" customHeight="false" outlineLevel="0" collapsed="false">
      <c r="A1892" s="20" t="n">
        <v>46101</v>
      </c>
      <c r="B1892" s="15" t="s">
        <v>495</v>
      </c>
      <c r="C1892" s="15" t="s">
        <v>43</v>
      </c>
      <c r="D1892" s="15" t="s">
        <v>538</v>
      </c>
      <c r="E1892" s="15" t="n">
        <v>1</v>
      </c>
      <c r="H1892" s="10"/>
      <c r="I1892" s="21"/>
      <c r="M1892" s="10"/>
      <c r="N1892" s="10"/>
      <c r="P1892" s="10"/>
      <c r="Q1892" s="22"/>
    </row>
    <row r="1893" customFormat="false" ht="15.75" hidden="false" customHeight="false" outlineLevel="0" collapsed="false">
      <c r="A1893" s="20" t="n">
        <v>46101</v>
      </c>
      <c r="B1893" s="15" t="s">
        <v>495</v>
      </c>
      <c r="C1893" s="15" t="s">
        <v>69</v>
      </c>
      <c r="D1893" s="15" t="s">
        <v>535</v>
      </c>
      <c r="E1893" s="15" t="n">
        <v>5</v>
      </c>
      <c r="H1893" s="10"/>
      <c r="I1893" s="21"/>
      <c r="M1893" s="10"/>
      <c r="N1893" s="10"/>
      <c r="P1893" s="10"/>
      <c r="Q1893" s="22"/>
    </row>
    <row r="1894" customFormat="false" ht="15.75" hidden="false" customHeight="false" outlineLevel="0" collapsed="false">
      <c r="A1894" s="20" t="n">
        <v>46101</v>
      </c>
      <c r="B1894" s="15" t="s">
        <v>495</v>
      </c>
      <c r="C1894" s="15" t="s">
        <v>547</v>
      </c>
      <c r="D1894" s="15" t="s">
        <v>548</v>
      </c>
      <c r="E1894" s="15" t="n">
        <v>3</v>
      </c>
      <c r="H1894" s="10"/>
      <c r="I1894" s="21"/>
      <c r="M1894" s="10"/>
      <c r="N1894" s="10"/>
      <c r="P1894" s="10"/>
      <c r="Q1894" s="22"/>
    </row>
    <row r="1895" customFormat="false" ht="15.75" hidden="false" customHeight="false" outlineLevel="0" collapsed="false">
      <c r="A1895" s="20" t="n">
        <v>46101</v>
      </c>
      <c r="B1895" s="15" t="s">
        <v>495</v>
      </c>
      <c r="C1895" s="15" t="s">
        <v>25</v>
      </c>
      <c r="D1895" s="15" t="s">
        <v>26</v>
      </c>
      <c r="E1895" s="15" t="n">
        <v>3</v>
      </c>
      <c r="H1895" s="10"/>
      <c r="I1895" s="21"/>
      <c r="M1895" s="10"/>
      <c r="N1895" s="10"/>
      <c r="P1895" s="10"/>
      <c r="Q1895" s="22"/>
    </row>
    <row r="1896" customFormat="false" ht="15.75" hidden="false" customHeight="false" outlineLevel="0" collapsed="false">
      <c r="A1896" s="20" t="n">
        <v>46101</v>
      </c>
      <c r="B1896" s="15" t="s">
        <v>495</v>
      </c>
      <c r="C1896" s="15" t="s">
        <v>543</v>
      </c>
      <c r="D1896" s="15" t="s">
        <v>544</v>
      </c>
      <c r="E1896" s="15" t="n">
        <v>6</v>
      </c>
      <c r="H1896" s="10"/>
      <c r="I1896" s="21"/>
      <c r="M1896" s="10"/>
      <c r="N1896" s="10"/>
      <c r="P1896" s="10"/>
      <c r="Q1896" s="22"/>
    </row>
    <row r="1897" customFormat="false" ht="15.75" hidden="false" customHeight="false" outlineLevel="0" collapsed="false">
      <c r="A1897" s="20" t="n">
        <v>46101</v>
      </c>
      <c r="B1897" s="15" t="s">
        <v>495</v>
      </c>
      <c r="C1897" s="15" t="s">
        <v>545</v>
      </c>
      <c r="D1897" s="15" t="s">
        <v>546</v>
      </c>
      <c r="E1897" s="15" t="n">
        <v>3</v>
      </c>
      <c r="H1897" s="10"/>
      <c r="I1897" s="21"/>
      <c r="M1897" s="10"/>
      <c r="N1897" s="10"/>
      <c r="P1897" s="10"/>
      <c r="Q1897" s="22"/>
    </row>
    <row r="1898" customFormat="false" ht="15.75" hidden="false" customHeight="false" outlineLevel="0" collapsed="false">
      <c r="A1898" s="20" t="n">
        <v>46101</v>
      </c>
      <c r="B1898" s="15" t="s">
        <v>495</v>
      </c>
      <c r="C1898" s="15" t="s">
        <v>63</v>
      </c>
      <c r="D1898" s="15" t="s">
        <v>551</v>
      </c>
      <c r="E1898" s="15" t="n">
        <v>1</v>
      </c>
      <c r="H1898" s="10"/>
      <c r="I1898" s="21"/>
      <c r="M1898" s="10"/>
      <c r="N1898" s="10"/>
      <c r="P1898" s="10"/>
      <c r="Q1898" s="22"/>
    </row>
    <row r="1899" customFormat="false" ht="15.75" hidden="false" customHeight="false" outlineLevel="0" collapsed="false">
      <c r="A1899" s="20" t="n">
        <v>46101</v>
      </c>
      <c r="B1899" s="15" t="s">
        <v>495</v>
      </c>
      <c r="C1899" s="15" t="s">
        <v>77</v>
      </c>
      <c r="D1899" s="15" t="s">
        <v>78</v>
      </c>
      <c r="E1899" s="15" t="n">
        <v>3</v>
      </c>
      <c r="H1899" s="10"/>
      <c r="I1899" s="21"/>
      <c r="M1899" s="10"/>
      <c r="N1899" s="10"/>
      <c r="P1899" s="10"/>
      <c r="Q1899" s="22"/>
    </row>
    <row r="1900" customFormat="false" ht="15.75" hidden="false" customHeight="false" outlineLevel="0" collapsed="false">
      <c r="A1900" s="20" t="n">
        <v>46101</v>
      </c>
      <c r="B1900" s="15" t="s">
        <v>495</v>
      </c>
      <c r="C1900" s="15" t="s">
        <v>61</v>
      </c>
      <c r="D1900" s="15" t="s">
        <v>576</v>
      </c>
      <c r="E1900" s="15" t="n">
        <v>1</v>
      </c>
      <c r="H1900" s="10"/>
      <c r="I1900" s="21"/>
      <c r="M1900" s="10"/>
      <c r="N1900" s="10"/>
      <c r="P1900" s="10"/>
      <c r="Q1900" s="22"/>
    </row>
    <row r="1901" customFormat="false" ht="15.75" hidden="false" customHeight="false" outlineLevel="0" collapsed="false">
      <c r="A1901" s="20" t="n">
        <v>46101</v>
      </c>
      <c r="B1901" s="15" t="s">
        <v>495</v>
      </c>
      <c r="C1901" s="15" t="s">
        <v>33</v>
      </c>
      <c r="D1901" s="15" t="s">
        <v>536</v>
      </c>
      <c r="E1901" s="15" t="n">
        <v>2</v>
      </c>
      <c r="H1901" s="10"/>
      <c r="I1901" s="21"/>
      <c r="M1901" s="10"/>
      <c r="N1901" s="10"/>
      <c r="P1901" s="10"/>
      <c r="Q1901" s="22"/>
    </row>
    <row r="1902" customFormat="false" ht="15.75" hidden="false" customHeight="false" outlineLevel="0" collapsed="false">
      <c r="A1902" s="20" t="n">
        <v>46101</v>
      </c>
      <c r="B1902" s="15" t="s">
        <v>495</v>
      </c>
      <c r="C1902" s="15" t="s">
        <v>59</v>
      </c>
      <c r="D1902" s="15" t="s">
        <v>562</v>
      </c>
      <c r="E1902" s="15" t="n">
        <v>2</v>
      </c>
      <c r="H1902" s="10"/>
      <c r="I1902" s="21"/>
      <c r="M1902" s="10"/>
      <c r="N1902" s="10"/>
      <c r="P1902" s="10"/>
      <c r="Q1902" s="22"/>
    </row>
    <row r="1903" customFormat="false" ht="15.75" hidden="false" customHeight="false" outlineLevel="0" collapsed="false">
      <c r="A1903" s="20" t="n">
        <v>46101</v>
      </c>
      <c r="B1903" s="15" t="s">
        <v>503</v>
      </c>
      <c r="C1903" s="15" t="s">
        <v>81</v>
      </c>
      <c r="D1903" s="15" t="s">
        <v>534</v>
      </c>
      <c r="E1903" s="15" t="n">
        <v>2</v>
      </c>
      <c r="H1903" s="10"/>
      <c r="I1903" s="21"/>
      <c r="M1903" s="10"/>
      <c r="N1903" s="10"/>
      <c r="P1903" s="10"/>
      <c r="Q1903" s="22"/>
    </row>
    <row r="1904" customFormat="false" ht="15.75" hidden="false" customHeight="false" outlineLevel="0" collapsed="false">
      <c r="A1904" s="20" t="n">
        <v>46101</v>
      </c>
      <c r="B1904" s="15" t="s">
        <v>503</v>
      </c>
      <c r="C1904" s="15" t="s">
        <v>55</v>
      </c>
      <c r="D1904" s="15" t="s">
        <v>539</v>
      </c>
      <c r="E1904" s="15" t="n">
        <v>12</v>
      </c>
      <c r="H1904" s="10"/>
      <c r="I1904" s="21"/>
      <c r="M1904" s="10"/>
      <c r="N1904" s="10"/>
      <c r="P1904" s="10"/>
      <c r="Q1904" s="22"/>
    </row>
    <row r="1905" customFormat="false" ht="15.75" hidden="false" customHeight="false" outlineLevel="0" collapsed="false">
      <c r="A1905" s="20" t="n">
        <v>46101</v>
      </c>
      <c r="B1905" s="15" t="s">
        <v>503</v>
      </c>
      <c r="C1905" s="15" t="s">
        <v>63</v>
      </c>
      <c r="D1905" s="15" t="s">
        <v>551</v>
      </c>
      <c r="E1905" s="15" t="n">
        <v>1</v>
      </c>
      <c r="H1905" s="10"/>
      <c r="I1905" s="21"/>
      <c r="M1905" s="10"/>
      <c r="N1905" s="10"/>
      <c r="P1905" s="10"/>
      <c r="Q1905" s="22"/>
    </row>
    <row r="1906" customFormat="false" ht="15.75" hidden="false" customHeight="false" outlineLevel="0" collapsed="false">
      <c r="A1906" s="20" t="n">
        <v>46101</v>
      </c>
      <c r="B1906" s="15" t="s">
        <v>503</v>
      </c>
      <c r="C1906" s="15" t="s">
        <v>39</v>
      </c>
      <c r="D1906" s="15" t="s">
        <v>550</v>
      </c>
      <c r="E1906" s="15" t="n">
        <v>1</v>
      </c>
      <c r="H1906" s="10"/>
      <c r="I1906" s="21"/>
      <c r="M1906" s="10"/>
      <c r="N1906" s="10"/>
      <c r="P1906" s="10"/>
      <c r="Q1906" s="22"/>
    </row>
    <row r="1907" customFormat="false" ht="15.75" hidden="false" customHeight="false" outlineLevel="0" collapsed="false">
      <c r="A1907" s="20" t="n">
        <v>46101</v>
      </c>
      <c r="B1907" s="15" t="s">
        <v>503</v>
      </c>
      <c r="C1907" s="15" t="s">
        <v>47</v>
      </c>
      <c r="D1907" s="15" t="s">
        <v>549</v>
      </c>
      <c r="E1907" s="15" t="n">
        <v>2</v>
      </c>
      <c r="H1907" s="10"/>
      <c r="I1907" s="21"/>
      <c r="M1907" s="10"/>
      <c r="N1907" s="10"/>
      <c r="P1907" s="10"/>
      <c r="Q1907" s="22"/>
    </row>
    <row r="1908" customFormat="false" ht="15.75" hidden="false" customHeight="false" outlineLevel="0" collapsed="false">
      <c r="A1908" s="20" t="n">
        <v>46101</v>
      </c>
      <c r="B1908" s="15" t="s">
        <v>505</v>
      </c>
      <c r="C1908" s="15" t="s">
        <v>55</v>
      </c>
      <c r="D1908" s="15" t="s">
        <v>539</v>
      </c>
      <c r="E1908" s="15" t="n">
        <v>6</v>
      </c>
      <c r="H1908" s="10"/>
      <c r="I1908" s="21"/>
      <c r="M1908" s="10"/>
      <c r="N1908" s="10"/>
      <c r="P1908" s="10"/>
      <c r="Q1908" s="22"/>
    </row>
    <row r="1909" customFormat="false" ht="15.75" hidden="false" customHeight="false" outlineLevel="0" collapsed="false">
      <c r="A1909" s="20" t="n">
        <v>46101</v>
      </c>
      <c r="B1909" s="15" t="s">
        <v>505</v>
      </c>
      <c r="C1909" s="15" t="s">
        <v>39</v>
      </c>
      <c r="D1909" s="15" t="s">
        <v>550</v>
      </c>
      <c r="E1909" s="15" t="n">
        <v>1</v>
      </c>
      <c r="H1909" s="10"/>
      <c r="I1909" s="21"/>
      <c r="M1909" s="10"/>
      <c r="N1909" s="10"/>
      <c r="P1909" s="10"/>
      <c r="Q1909" s="22"/>
    </row>
    <row r="1910" customFormat="false" ht="15.75" hidden="false" customHeight="false" outlineLevel="0" collapsed="false">
      <c r="A1910" s="20" t="n">
        <v>46101</v>
      </c>
      <c r="B1910" s="15" t="s">
        <v>505</v>
      </c>
      <c r="C1910" s="15" t="s">
        <v>81</v>
      </c>
      <c r="D1910" s="15" t="s">
        <v>534</v>
      </c>
      <c r="E1910" s="15" t="n">
        <v>9</v>
      </c>
      <c r="H1910" s="10"/>
      <c r="I1910" s="21"/>
      <c r="M1910" s="10"/>
      <c r="N1910" s="10"/>
      <c r="P1910" s="10"/>
      <c r="Q1910" s="22"/>
    </row>
    <row r="1911" customFormat="false" ht="15.75" hidden="false" customHeight="false" outlineLevel="0" collapsed="false">
      <c r="A1911" s="20" t="n">
        <v>46101</v>
      </c>
      <c r="B1911" s="15" t="s">
        <v>505</v>
      </c>
      <c r="C1911" s="15" t="s">
        <v>47</v>
      </c>
      <c r="D1911" s="15" t="s">
        <v>549</v>
      </c>
      <c r="E1911" s="15" t="n">
        <v>3</v>
      </c>
      <c r="H1911" s="10"/>
      <c r="I1911" s="21"/>
      <c r="M1911" s="10"/>
      <c r="N1911" s="10"/>
      <c r="P1911" s="10"/>
      <c r="Q1911" s="22"/>
    </row>
    <row r="1912" customFormat="false" ht="15.75" hidden="false" customHeight="false" outlineLevel="0" collapsed="false">
      <c r="A1912" s="20" t="n">
        <v>46101</v>
      </c>
      <c r="B1912" s="15" t="s">
        <v>505</v>
      </c>
      <c r="C1912" s="15" t="s">
        <v>63</v>
      </c>
      <c r="D1912" s="15" t="s">
        <v>551</v>
      </c>
      <c r="E1912" s="15" t="n">
        <v>1</v>
      </c>
      <c r="H1912" s="10"/>
      <c r="I1912" s="21"/>
      <c r="M1912" s="10"/>
      <c r="N1912" s="10"/>
      <c r="P1912" s="10"/>
      <c r="Q1912" s="22"/>
    </row>
    <row r="1913" customFormat="false" ht="15.75" hidden="false" customHeight="false" outlineLevel="0" collapsed="false">
      <c r="A1913" s="20" t="n">
        <v>46101</v>
      </c>
      <c r="B1913" s="15" t="s">
        <v>505</v>
      </c>
      <c r="C1913" s="15" t="s">
        <v>17</v>
      </c>
      <c r="D1913" s="15" t="s">
        <v>554</v>
      </c>
      <c r="E1913" s="15" t="n">
        <v>1</v>
      </c>
      <c r="H1913" s="10"/>
      <c r="I1913" s="21"/>
      <c r="M1913" s="10"/>
      <c r="N1913" s="10"/>
      <c r="P1913" s="10"/>
      <c r="Q1913" s="22"/>
    </row>
    <row r="1914" customFormat="false" ht="15.75" hidden="false" customHeight="false" outlineLevel="0" collapsed="false">
      <c r="A1914" s="20" t="n">
        <v>46101</v>
      </c>
      <c r="B1914" s="15" t="s">
        <v>518</v>
      </c>
      <c r="C1914" s="15" t="s">
        <v>69</v>
      </c>
      <c r="D1914" s="15" t="s">
        <v>535</v>
      </c>
      <c r="E1914" s="15" t="n">
        <v>6</v>
      </c>
      <c r="H1914" s="10"/>
      <c r="I1914" s="21"/>
      <c r="M1914" s="10"/>
      <c r="N1914" s="10"/>
      <c r="P1914" s="10"/>
      <c r="Q1914" s="22"/>
    </row>
    <row r="1915" customFormat="false" ht="15.75" hidden="false" customHeight="false" outlineLevel="0" collapsed="false">
      <c r="A1915" s="20" t="n">
        <v>46101</v>
      </c>
      <c r="B1915" s="15" t="s">
        <v>518</v>
      </c>
      <c r="C1915" s="15" t="s">
        <v>33</v>
      </c>
      <c r="D1915" s="15" t="s">
        <v>536</v>
      </c>
      <c r="E1915" s="15" t="n">
        <v>6</v>
      </c>
      <c r="H1915" s="10"/>
      <c r="I1915" s="21"/>
      <c r="M1915" s="10"/>
      <c r="N1915" s="10"/>
      <c r="P1915" s="10"/>
      <c r="Q1915" s="22"/>
    </row>
    <row r="1916" customFormat="false" ht="15.75" hidden="false" customHeight="false" outlineLevel="0" collapsed="false">
      <c r="A1916" s="20" t="n">
        <v>46101</v>
      </c>
      <c r="B1916" s="15" t="s">
        <v>518</v>
      </c>
      <c r="C1916" s="15" t="s">
        <v>47</v>
      </c>
      <c r="D1916" s="15" t="s">
        <v>549</v>
      </c>
      <c r="E1916" s="15" t="n">
        <v>2</v>
      </c>
      <c r="H1916" s="10"/>
      <c r="I1916" s="21"/>
      <c r="M1916" s="10"/>
      <c r="N1916" s="10"/>
      <c r="P1916" s="10"/>
      <c r="Q1916" s="22"/>
    </row>
    <row r="1917" customFormat="false" ht="15.75" hidden="false" customHeight="false" outlineLevel="0" collapsed="false">
      <c r="A1917" s="20" t="n">
        <v>46101</v>
      </c>
      <c r="B1917" s="15" t="s">
        <v>518</v>
      </c>
      <c r="C1917" s="15" t="s">
        <v>51</v>
      </c>
      <c r="D1917" s="15" t="s">
        <v>573</v>
      </c>
      <c r="E1917" s="15" t="n">
        <v>1</v>
      </c>
      <c r="H1917" s="10"/>
      <c r="I1917" s="21"/>
      <c r="M1917" s="10"/>
      <c r="N1917" s="10"/>
      <c r="P1917" s="10"/>
      <c r="Q1917" s="22"/>
    </row>
    <row r="1918" customFormat="false" ht="15.75" hidden="false" customHeight="false" outlineLevel="0" collapsed="false">
      <c r="A1918" s="20" t="n">
        <v>46101</v>
      </c>
      <c r="B1918" s="15" t="s">
        <v>518</v>
      </c>
      <c r="C1918" s="15" t="s">
        <v>55</v>
      </c>
      <c r="D1918" s="15" t="s">
        <v>539</v>
      </c>
      <c r="E1918" s="15" t="n">
        <v>2</v>
      </c>
      <c r="H1918" s="10"/>
      <c r="I1918" s="21"/>
      <c r="M1918" s="10"/>
      <c r="N1918" s="10"/>
      <c r="P1918" s="10"/>
      <c r="Q1918" s="22"/>
    </row>
    <row r="1919" customFormat="false" ht="15.75" hidden="false" customHeight="false" outlineLevel="0" collapsed="false">
      <c r="A1919" s="20" t="n">
        <v>46101</v>
      </c>
      <c r="B1919" s="15" t="s">
        <v>518</v>
      </c>
      <c r="C1919" s="15" t="s">
        <v>37</v>
      </c>
      <c r="D1919" s="15" t="s">
        <v>561</v>
      </c>
      <c r="E1919" s="15" t="n">
        <v>2</v>
      </c>
      <c r="H1919" s="10"/>
      <c r="I1919" s="21"/>
      <c r="M1919" s="10"/>
      <c r="N1919" s="10"/>
      <c r="P1919" s="10"/>
      <c r="Q1919" s="22"/>
    </row>
    <row r="1920" customFormat="false" ht="15.75" hidden="false" customHeight="false" outlineLevel="0" collapsed="false">
      <c r="A1920" s="20" t="n">
        <v>46101</v>
      </c>
      <c r="B1920" s="15" t="s">
        <v>518</v>
      </c>
      <c r="C1920" s="15" t="s">
        <v>547</v>
      </c>
      <c r="D1920" s="15" t="s">
        <v>548</v>
      </c>
      <c r="E1920" s="15" t="n">
        <v>1</v>
      </c>
      <c r="H1920" s="10"/>
      <c r="I1920" s="21"/>
      <c r="M1920" s="10"/>
      <c r="N1920" s="10"/>
      <c r="P1920" s="10"/>
      <c r="Q1920" s="22"/>
    </row>
    <row r="1921" customFormat="false" ht="15.75" hidden="false" customHeight="false" outlineLevel="0" collapsed="false">
      <c r="A1921" s="20" t="n">
        <v>46101</v>
      </c>
      <c r="B1921" s="15" t="s">
        <v>518</v>
      </c>
      <c r="C1921" s="15" t="s">
        <v>81</v>
      </c>
      <c r="D1921" s="15" t="s">
        <v>534</v>
      </c>
      <c r="E1921" s="15" t="n">
        <v>1</v>
      </c>
      <c r="H1921" s="10"/>
      <c r="I1921" s="21"/>
      <c r="M1921" s="10"/>
      <c r="N1921" s="10"/>
      <c r="P1921" s="10"/>
      <c r="Q1921" s="22"/>
    </row>
    <row r="1922" customFormat="false" ht="15.75" hidden="false" customHeight="false" outlineLevel="0" collapsed="false">
      <c r="A1922" s="20" t="n">
        <v>46101</v>
      </c>
      <c r="B1922" s="15" t="s">
        <v>520</v>
      </c>
      <c r="C1922" s="15" t="s">
        <v>55</v>
      </c>
      <c r="D1922" s="15" t="s">
        <v>539</v>
      </c>
      <c r="E1922" s="15" t="n">
        <v>3</v>
      </c>
      <c r="H1922" s="10"/>
      <c r="I1922" s="21"/>
      <c r="M1922" s="10"/>
      <c r="N1922" s="10"/>
      <c r="P1922" s="10"/>
      <c r="Q1922" s="22"/>
    </row>
    <row r="1923" customFormat="false" ht="15.75" hidden="false" customHeight="false" outlineLevel="0" collapsed="false">
      <c r="A1923" s="20" t="n">
        <v>46101</v>
      </c>
      <c r="B1923" s="15" t="s">
        <v>520</v>
      </c>
      <c r="C1923" s="15" t="s">
        <v>69</v>
      </c>
      <c r="D1923" s="15" t="s">
        <v>535</v>
      </c>
      <c r="E1923" s="15" t="n">
        <v>4</v>
      </c>
      <c r="H1923" s="10"/>
      <c r="I1923" s="21"/>
      <c r="M1923" s="10"/>
      <c r="N1923" s="10"/>
      <c r="P1923" s="10"/>
      <c r="Q1923" s="22"/>
    </row>
    <row r="1924" customFormat="false" ht="15.75" hidden="false" customHeight="false" outlineLevel="0" collapsed="false">
      <c r="A1924" s="20" t="n">
        <v>46101</v>
      </c>
      <c r="B1924" s="15" t="s">
        <v>520</v>
      </c>
      <c r="C1924" s="15" t="s">
        <v>81</v>
      </c>
      <c r="D1924" s="15" t="s">
        <v>534</v>
      </c>
      <c r="E1924" s="15" t="n">
        <v>1</v>
      </c>
      <c r="H1924" s="10"/>
      <c r="I1924" s="21"/>
      <c r="M1924" s="10"/>
      <c r="N1924" s="10"/>
      <c r="P1924" s="10"/>
      <c r="Q1924" s="22"/>
    </row>
    <row r="1925" customFormat="false" ht="15.75" hidden="false" customHeight="false" outlineLevel="0" collapsed="false">
      <c r="A1925" s="20" t="n">
        <v>46101</v>
      </c>
      <c r="B1925" s="15" t="s">
        <v>520</v>
      </c>
      <c r="C1925" s="15" t="s">
        <v>77</v>
      </c>
      <c r="D1925" s="15" t="s">
        <v>78</v>
      </c>
      <c r="E1925" s="15" t="n">
        <v>2</v>
      </c>
      <c r="H1925" s="10"/>
      <c r="I1925" s="21"/>
      <c r="M1925" s="10"/>
      <c r="N1925" s="10"/>
      <c r="P1925" s="10"/>
      <c r="Q1925" s="22"/>
    </row>
    <row r="1926" customFormat="false" ht="15.75" hidden="false" customHeight="false" outlineLevel="0" collapsed="false">
      <c r="A1926" s="20" t="n">
        <v>46101</v>
      </c>
      <c r="B1926" s="15" t="s">
        <v>520</v>
      </c>
      <c r="C1926" s="15" t="s">
        <v>33</v>
      </c>
      <c r="D1926" s="15" t="s">
        <v>536</v>
      </c>
      <c r="E1926" s="15" t="n">
        <v>4</v>
      </c>
      <c r="H1926" s="10"/>
      <c r="I1926" s="21"/>
      <c r="M1926" s="10"/>
      <c r="N1926" s="10"/>
      <c r="P1926" s="10"/>
      <c r="Q1926" s="22"/>
    </row>
    <row r="1927" customFormat="false" ht="15.75" hidden="false" customHeight="false" outlineLevel="0" collapsed="false">
      <c r="A1927" s="20" t="n">
        <v>46101</v>
      </c>
      <c r="B1927" s="15" t="s">
        <v>520</v>
      </c>
      <c r="C1927" s="15" t="s">
        <v>45</v>
      </c>
      <c r="D1927" s="15" t="s">
        <v>540</v>
      </c>
      <c r="E1927" s="15" t="n">
        <v>1</v>
      </c>
      <c r="H1927" s="10"/>
      <c r="I1927" s="21"/>
      <c r="M1927" s="10"/>
      <c r="N1927" s="10"/>
      <c r="P1927" s="10"/>
      <c r="Q1927" s="22"/>
    </row>
    <row r="1928" customFormat="false" ht="15.75" hidden="false" customHeight="false" outlineLevel="0" collapsed="false">
      <c r="A1928" s="20" t="n">
        <v>46101</v>
      </c>
      <c r="B1928" s="15" t="s">
        <v>520</v>
      </c>
      <c r="C1928" s="15" t="s">
        <v>59</v>
      </c>
      <c r="D1928" s="15" t="s">
        <v>562</v>
      </c>
      <c r="E1928" s="15" t="n">
        <v>3</v>
      </c>
      <c r="H1928" s="10"/>
      <c r="I1928" s="21"/>
      <c r="M1928" s="10"/>
      <c r="N1928" s="10"/>
      <c r="P1928" s="10"/>
      <c r="Q1928" s="22"/>
    </row>
    <row r="1929" customFormat="false" ht="15.75" hidden="false" customHeight="false" outlineLevel="0" collapsed="false">
      <c r="A1929" s="20" t="n">
        <v>46101</v>
      </c>
      <c r="B1929" s="15" t="s">
        <v>520</v>
      </c>
      <c r="C1929" s="15" t="s">
        <v>43</v>
      </c>
      <c r="D1929" s="15" t="s">
        <v>538</v>
      </c>
      <c r="E1929" s="15" t="n">
        <v>1</v>
      </c>
      <c r="H1929" s="10"/>
      <c r="I1929" s="21"/>
      <c r="M1929" s="10"/>
      <c r="N1929" s="10"/>
      <c r="P1929" s="10"/>
      <c r="Q1929" s="22"/>
    </row>
    <row r="1930" customFormat="false" ht="15.75" hidden="false" customHeight="false" outlineLevel="0" collapsed="false">
      <c r="A1930" s="20" t="n">
        <v>46101</v>
      </c>
      <c r="B1930" s="15" t="s">
        <v>526</v>
      </c>
      <c r="C1930" s="15" t="s">
        <v>69</v>
      </c>
      <c r="D1930" s="15" t="s">
        <v>535</v>
      </c>
      <c r="E1930" s="15" t="n">
        <v>6</v>
      </c>
      <c r="H1930" s="10"/>
      <c r="I1930" s="21"/>
      <c r="M1930" s="10"/>
      <c r="N1930" s="10"/>
      <c r="P1930" s="10"/>
      <c r="Q1930" s="22"/>
    </row>
    <row r="1931" customFormat="false" ht="15.75" hidden="false" customHeight="false" outlineLevel="0" collapsed="false">
      <c r="A1931" s="20" t="n">
        <v>46101</v>
      </c>
      <c r="B1931" s="15" t="s">
        <v>526</v>
      </c>
      <c r="C1931" s="15" t="s">
        <v>33</v>
      </c>
      <c r="D1931" s="15" t="s">
        <v>536</v>
      </c>
      <c r="E1931" s="15" t="n">
        <v>6</v>
      </c>
      <c r="H1931" s="10"/>
      <c r="I1931" s="21"/>
      <c r="M1931" s="10"/>
      <c r="N1931" s="10"/>
      <c r="P1931" s="10"/>
      <c r="Q1931" s="22"/>
    </row>
    <row r="1932" customFormat="false" ht="15.75" hidden="false" customHeight="false" outlineLevel="0" collapsed="false">
      <c r="A1932" s="20" t="n">
        <v>46101</v>
      </c>
      <c r="B1932" s="15" t="s">
        <v>526</v>
      </c>
      <c r="C1932" s="15" t="s">
        <v>55</v>
      </c>
      <c r="D1932" s="15" t="s">
        <v>539</v>
      </c>
      <c r="E1932" s="15" t="n">
        <v>4</v>
      </c>
      <c r="H1932" s="10"/>
      <c r="I1932" s="21"/>
      <c r="M1932" s="10"/>
      <c r="N1932" s="10"/>
      <c r="P1932" s="10"/>
      <c r="Q1932" s="22"/>
    </row>
    <row r="1933" customFormat="false" ht="15.75" hidden="false" customHeight="false" outlineLevel="0" collapsed="false">
      <c r="A1933" s="20" t="n">
        <v>46101</v>
      </c>
      <c r="B1933" s="15" t="s">
        <v>526</v>
      </c>
      <c r="C1933" s="15" t="s">
        <v>81</v>
      </c>
      <c r="D1933" s="15" t="s">
        <v>534</v>
      </c>
      <c r="E1933" s="15" t="n">
        <v>2</v>
      </c>
      <c r="H1933" s="10"/>
      <c r="I1933" s="21"/>
      <c r="M1933" s="10"/>
      <c r="N1933" s="10"/>
      <c r="P1933" s="10"/>
      <c r="Q1933" s="22"/>
    </row>
    <row r="1934" customFormat="false" ht="15.75" hidden="false" customHeight="false" outlineLevel="0" collapsed="false">
      <c r="A1934" s="20" t="n">
        <v>46101</v>
      </c>
      <c r="B1934" s="15" t="s">
        <v>526</v>
      </c>
      <c r="C1934" s="15" t="s">
        <v>47</v>
      </c>
      <c r="D1934" s="15" t="s">
        <v>549</v>
      </c>
      <c r="E1934" s="15" t="n">
        <v>1</v>
      </c>
      <c r="H1934" s="10"/>
      <c r="I1934" s="21"/>
      <c r="M1934" s="10"/>
      <c r="N1934" s="10"/>
      <c r="P1934" s="10"/>
      <c r="Q1934" s="22"/>
    </row>
    <row r="1935" customFormat="false" ht="15.75" hidden="false" customHeight="false" outlineLevel="0" collapsed="false">
      <c r="A1935" s="20" t="n">
        <v>46101</v>
      </c>
      <c r="B1935" s="15" t="s">
        <v>529</v>
      </c>
      <c r="C1935" s="15" t="s">
        <v>81</v>
      </c>
      <c r="D1935" s="15" t="s">
        <v>534</v>
      </c>
      <c r="E1935" s="15" t="n">
        <v>8</v>
      </c>
      <c r="H1935" s="10"/>
      <c r="I1935" s="21"/>
      <c r="M1935" s="10"/>
      <c r="N1935" s="10"/>
      <c r="P1935" s="10"/>
      <c r="Q1935" s="22"/>
    </row>
    <row r="1936" customFormat="false" ht="15.75" hidden="false" customHeight="false" outlineLevel="0" collapsed="false">
      <c r="A1936" s="20" t="n">
        <v>46101</v>
      </c>
      <c r="B1936" s="15" t="s">
        <v>529</v>
      </c>
      <c r="C1936" s="15" t="s">
        <v>543</v>
      </c>
      <c r="D1936" s="15" t="s">
        <v>544</v>
      </c>
      <c r="E1936" s="15" t="n">
        <v>2</v>
      </c>
      <c r="H1936" s="10"/>
      <c r="I1936" s="21"/>
      <c r="M1936" s="10"/>
      <c r="N1936" s="10"/>
      <c r="P1936" s="10"/>
      <c r="Q1936" s="22"/>
    </row>
    <row r="1937" customFormat="false" ht="15.75" hidden="false" customHeight="false" outlineLevel="0" collapsed="false">
      <c r="A1937" s="20" t="n">
        <v>46101</v>
      </c>
      <c r="B1937" s="15" t="s">
        <v>529</v>
      </c>
      <c r="C1937" s="15" t="s">
        <v>545</v>
      </c>
      <c r="D1937" s="15" t="s">
        <v>546</v>
      </c>
      <c r="E1937" s="15" t="n">
        <v>1</v>
      </c>
      <c r="H1937" s="10"/>
      <c r="I1937" s="21"/>
      <c r="M1937" s="10"/>
      <c r="N1937" s="10"/>
      <c r="P1937" s="10"/>
      <c r="Q1937" s="22"/>
    </row>
    <row r="1938" customFormat="false" ht="15.75" hidden="false" customHeight="false" outlineLevel="0" collapsed="false">
      <c r="A1938" s="20" t="n">
        <v>46101</v>
      </c>
      <c r="B1938" s="15" t="s">
        <v>529</v>
      </c>
      <c r="C1938" s="15" t="s">
        <v>69</v>
      </c>
      <c r="D1938" s="15" t="s">
        <v>535</v>
      </c>
      <c r="E1938" s="15" t="n">
        <v>3</v>
      </c>
      <c r="H1938" s="10"/>
      <c r="I1938" s="21"/>
      <c r="M1938" s="10"/>
      <c r="N1938" s="10"/>
      <c r="P1938" s="10"/>
      <c r="Q1938" s="22"/>
    </row>
    <row r="1939" customFormat="false" ht="15.75" hidden="false" customHeight="false" outlineLevel="0" collapsed="false">
      <c r="A1939" s="20" t="n">
        <v>46101</v>
      </c>
      <c r="B1939" s="15" t="s">
        <v>529</v>
      </c>
      <c r="C1939" s="15" t="s">
        <v>77</v>
      </c>
      <c r="D1939" s="15" t="s">
        <v>78</v>
      </c>
      <c r="E1939" s="15" t="n">
        <v>2</v>
      </c>
      <c r="H1939" s="10"/>
      <c r="I1939" s="21"/>
      <c r="M1939" s="10"/>
      <c r="N1939" s="10"/>
      <c r="P1939" s="10"/>
      <c r="Q1939" s="22"/>
    </row>
    <row r="1940" customFormat="false" ht="15.75" hidden="false" customHeight="false" outlineLevel="0" collapsed="false">
      <c r="A1940" s="20" t="n">
        <v>46101</v>
      </c>
      <c r="B1940" s="15" t="s">
        <v>529</v>
      </c>
      <c r="C1940" s="15" t="s">
        <v>547</v>
      </c>
      <c r="D1940" s="15" t="s">
        <v>548</v>
      </c>
      <c r="E1940" s="15" t="n">
        <v>1</v>
      </c>
      <c r="H1940" s="10"/>
      <c r="I1940" s="21"/>
      <c r="M1940" s="10"/>
      <c r="N1940" s="10"/>
      <c r="P1940" s="10"/>
      <c r="Q1940" s="22"/>
    </row>
    <row r="1941" customFormat="false" ht="15.75" hidden="false" customHeight="false" outlineLevel="0" collapsed="false">
      <c r="A1941" s="20" t="n">
        <v>46101</v>
      </c>
      <c r="B1941" s="15" t="s">
        <v>529</v>
      </c>
      <c r="C1941" s="15" t="s">
        <v>49</v>
      </c>
      <c r="D1941" s="15" t="s">
        <v>537</v>
      </c>
      <c r="E1941" s="15" t="n">
        <v>1</v>
      </c>
      <c r="H1941" s="10"/>
      <c r="I1941" s="21"/>
      <c r="M1941" s="10"/>
      <c r="N1941" s="10"/>
      <c r="P1941" s="10"/>
      <c r="Q1941" s="22"/>
    </row>
    <row r="1942" customFormat="false" ht="15.75" hidden="false" customHeight="false" outlineLevel="0" collapsed="false">
      <c r="A1942" s="20" t="n">
        <v>46101</v>
      </c>
      <c r="B1942" s="15" t="s">
        <v>529</v>
      </c>
      <c r="C1942" s="15" t="s">
        <v>33</v>
      </c>
      <c r="D1942" s="15" t="s">
        <v>536</v>
      </c>
      <c r="E1942" s="15" t="n">
        <v>2</v>
      </c>
      <c r="H1942" s="10"/>
      <c r="I1942" s="21"/>
      <c r="M1942" s="10"/>
      <c r="N1942" s="10"/>
      <c r="P1942" s="10"/>
      <c r="Q1942" s="22"/>
    </row>
    <row r="1943" customFormat="false" ht="15.75" hidden="false" customHeight="false" outlineLevel="0" collapsed="false">
      <c r="A1943" s="20" t="n">
        <v>46102</v>
      </c>
      <c r="B1943" s="15" t="s">
        <v>453</v>
      </c>
      <c r="C1943" s="15" t="s">
        <v>47</v>
      </c>
      <c r="D1943" s="15" t="s">
        <v>549</v>
      </c>
      <c r="E1943" s="15" t="n">
        <v>2</v>
      </c>
      <c r="H1943" s="10"/>
      <c r="I1943" s="21"/>
      <c r="M1943" s="10"/>
      <c r="N1943" s="10"/>
      <c r="P1943" s="10"/>
      <c r="Q1943" s="22"/>
    </row>
    <row r="1944" customFormat="false" ht="15.75" hidden="false" customHeight="false" outlineLevel="0" collapsed="false">
      <c r="A1944" s="20" t="n">
        <v>46102</v>
      </c>
      <c r="B1944" s="15" t="s">
        <v>453</v>
      </c>
      <c r="C1944" s="15" t="s">
        <v>55</v>
      </c>
      <c r="D1944" s="15" t="s">
        <v>539</v>
      </c>
      <c r="E1944" s="15" t="n">
        <v>4</v>
      </c>
      <c r="H1944" s="10"/>
      <c r="I1944" s="21"/>
      <c r="M1944" s="10"/>
      <c r="N1944" s="10"/>
      <c r="P1944" s="10"/>
      <c r="Q1944" s="22"/>
    </row>
    <row r="1945" customFormat="false" ht="15.75" hidden="false" customHeight="false" outlineLevel="0" collapsed="false">
      <c r="A1945" s="20" t="n">
        <v>46102</v>
      </c>
      <c r="B1945" s="15" t="s">
        <v>453</v>
      </c>
      <c r="C1945" s="15" t="s">
        <v>81</v>
      </c>
      <c r="D1945" s="15" t="s">
        <v>534</v>
      </c>
      <c r="E1945" s="15" t="n">
        <v>8</v>
      </c>
      <c r="H1945" s="10"/>
      <c r="I1945" s="21"/>
      <c r="M1945" s="10"/>
      <c r="N1945" s="10"/>
      <c r="P1945" s="10"/>
      <c r="Q1945" s="22"/>
    </row>
    <row r="1946" customFormat="false" ht="15.75" hidden="false" customHeight="false" outlineLevel="0" collapsed="false">
      <c r="A1946" s="20" t="n">
        <v>46102</v>
      </c>
      <c r="B1946" s="15" t="s">
        <v>453</v>
      </c>
      <c r="C1946" s="15" t="s">
        <v>39</v>
      </c>
      <c r="D1946" s="15" t="s">
        <v>550</v>
      </c>
      <c r="E1946" s="15" t="n">
        <v>2</v>
      </c>
      <c r="H1946" s="10"/>
      <c r="I1946" s="21"/>
      <c r="M1946" s="10"/>
      <c r="N1946" s="10"/>
      <c r="P1946" s="10"/>
      <c r="Q1946" s="22"/>
    </row>
    <row r="1947" customFormat="false" ht="15.75" hidden="false" customHeight="false" outlineLevel="0" collapsed="false">
      <c r="A1947" s="20" t="n">
        <v>46102</v>
      </c>
      <c r="B1947" s="15" t="s">
        <v>453</v>
      </c>
      <c r="C1947" s="15" t="s">
        <v>63</v>
      </c>
      <c r="D1947" s="15" t="s">
        <v>551</v>
      </c>
      <c r="E1947" s="15" t="n">
        <v>1</v>
      </c>
      <c r="H1947" s="10"/>
      <c r="I1947" s="21"/>
      <c r="M1947" s="10"/>
      <c r="N1947" s="10"/>
      <c r="P1947" s="10"/>
      <c r="Q1947" s="22"/>
    </row>
    <row r="1948" customFormat="false" ht="15.75" hidden="false" customHeight="false" outlineLevel="0" collapsed="false">
      <c r="A1948" s="20" t="n">
        <v>46102</v>
      </c>
      <c r="B1948" s="15" t="s">
        <v>453</v>
      </c>
      <c r="C1948" s="15" t="s">
        <v>35</v>
      </c>
      <c r="D1948" s="15" t="s">
        <v>552</v>
      </c>
      <c r="E1948" s="15" t="n">
        <v>2</v>
      </c>
      <c r="H1948" s="10"/>
      <c r="I1948" s="21"/>
      <c r="M1948" s="10"/>
      <c r="N1948" s="10"/>
      <c r="P1948" s="10"/>
      <c r="Q1948" s="22"/>
    </row>
    <row r="1949" customFormat="false" ht="15.75" hidden="false" customHeight="false" outlineLevel="0" collapsed="false">
      <c r="A1949" s="20" t="n">
        <v>46102</v>
      </c>
      <c r="B1949" s="15" t="s">
        <v>503</v>
      </c>
      <c r="C1949" s="15" t="s">
        <v>81</v>
      </c>
      <c r="D1949" s="15" t="s">
        <v>534</v>
      </c>
      <c r="E1949" s="15" t="n">
        <v>2</v>
      </c>
      <c r="H1949" s="10"/>
      <c r="I1949" s="21"/>
      <c r="M1949" s="10"/>
      <c r="N1949" s="10"/>
      <c r="P1949" s="10"/>
      <c r="Q1949" s="22"/>
    </row>
    <row r="1950" customFormat="false" ht="15.75" hidden="false" customHeight="false" outlineLevel="0" collapsed="false">
      <c r="A1950" s="20" t="n">
        <v>46102</v>
      </c>
      <c r="B1950" s="15" t="s">
        <v>503</v>
      </c>
      <c r="C1950" s="15" t="s">
        <v>55</v>
      </c>
      <c r="D1950" s="15" t="s">
        <v>539</v>
      </c>
      <c r="E1950" s="15" t="n">
        <v>12</v>
      </c>
      <c r="H1950" s="10"/>
      <c r="I1950" s="21"/>
      <c r="M1950" s="10"/>
      <c r="N1950" s="10"/>
      <c r="P1950" s="10"/>
      <c r="Q1950" s="22"/>
    </row>
    <row r="1951" customFormat="false" ht="15.75" hidden="false" customHeight="false" outlineLevel="0" collapsed="false">
      <c r="A1951" s="20" t="n">
        <v>46102</v>
      </c>
      <c r="B1951" s="15" t="s">
        <v>503</v>
      </c>
      <c r="C1951" s="15" t="s">
        <v>63</v>
      </c>
      <c r="D1951" s="15" t="s">
        <v>551</v>
      </c>
      <c r="E1951" s="15" t="n">
        <v>1</v>
      </c>
      <c r="H1951" s="10"/>
      <c r="I1951" s="21"/>
      <c r="M1951" s="10"/>
      <c r="N1951" s="10"/>
      <c r="P1951" s="10"/>
      <c r="Q1951" s="22"/>
    </row>
    <row r="1952" customFormat="false" ht="15.75" hidden="false" customHeight="false" outlineLevel="0" collapsed="false">
      <c r="A1952" s="20" t="n">
        <v>46102</v>
      </c>
      <c r="B1952" s="15" t="s">
        <v>503</v>
      </c>
      <c r="C1952" s="15" t="s">
        <v>39</v>
      </c>
      <c r="D1952" s="15" t="s">
        <v>550</v>
      </c>
      <c r="E1952" s="15" t="n">
        <v>1</v>
      </c>
      <c r="H1952" s="10"/>
      <c r="I1952" s="21"/>
      <c r="M1952" s="10"/>
      <c r="N1952" s="10"/>
      <c r="P1952" s="10"/>
      <c r="Q1952" s="22"/>
    </row>
    <row r="1953" customFormat="false" ht="15.75" hidden="false" customHeight="false" outlineLevel="0" collapsed="false">
      <c r="A1953" s="20" t="n">
        <v>46102</v>
      </c>
      <c r="B1953" s="15" t="s">
        <v>503</v>
      </c>
      <c r="C1953" s="15" t="s">
        <v>47</v>
      </c>
      <c r="D1953" s="15" t="s">
        <v>549</v>
      </c>
      <c r="E1953" s="15" t="n">
        <v>2</v>
      </c>
      <c r="H1953" s="10"/>
      <c r="I1953" s="21"/>
      <c r="M1953" s="10"/>
      <c r="N1953" s="10"/>
      <c r="P1953" s="10"/>
      <c r="Q1953" s="22"/>
    </row>
    <row r="1954" customFormat="false" ht="15.75" hidden="false" customHeight="false" outlineLevel="0" collapsed="false">
      <c r="A1954" s="20" t="n">
        <v>46104</v>
      </c>
      <c r="B1954" s="15" t="s">
        <v>453</v>
      </c>
      <c r="C1954" s="15" t="s">
        <v>47</v>
      </c>
      <c r="D1954" s="15" t="s">
        <v>549</v>
      </c>
      <c r="E1954" s="15" t="n">
        <v>2</v>
      </c>
      <c r="H1954" s="10"/>
      <c r="I1954" s="21"/>
      <c r="M1954" s="10"/>
      <c r="N1954" s="10"/>
      <c r="P1954" s="10"/>
      <c r="Q1954" s="22"/>
    </row>
    <row r="1955" customFormat="false" ht="15.75" hidden="false" customHeight="false" outlineLevel="0" collapsed="false">
      <c r="A1955" s="20" t="n">
        <v>46104</v>
      </c>
      <c r="B1955" s="15" t="s">
        <v>453</v>
      </c>
      <c r="C1955" s="15" t="s">
        <v>55</v>
      </c>
      <c r="D1955" s="15" t="s">
        <v>539</v>
      </c>
      <c r="E1955" s="15" t="n">
        <v>4</v>
      </c>
      <c r="H1955" s="10"/>
      <c r="I1955" s="21"/>
      <c r="M1955" s="10"/>
      <c r="N1955" s="10"/>
      <c r="P1955" s="10"/>
      <c r="Q1955" s="22"/>
    </row>
    <row r="1956" customFormat="false" ht="15.75" hidden="false" customHeight="false" outlineLevel="0" collapsed="false">
      <c r="A1956" s="20" t="n">
        <v>46104</v>
      </c>
      <c r="B1956" s="15" t="s">
        <v>453</v>
      </c>
      <c r="C1956" s="15" t="s">
        <v>81</v>
      </c>
      <c r="D1956" s="15" t="s">
        <v>534</v>
      </c>
      <c r="E1956" s="15" t="n">
        <v>8</v>
      </c>
      <c r="H1956" s="10"/>
      <c r="I1956" s="21"/>
      <c r="M1956" s="10"/>
      <c r="N1956" s="10"/>
      <c r="P1956" s="10"/>
      <c r="Q1956" s="22"/>
    </row>
    <row r="1957" customFormat="false" ht="15.75" hidden="false" customHeight="false" outlineLevel="0" collapsed="false">
      <c r="A1957" s="20" t="n">
        <v>46104</v>
      </c>
      <c r="B1957" s="15" t="s">
        <v>453</v>
      </c>
      <c r="C1957" s="15" t="s">
        <v>39</v>
      </c>
      <c r="D1957" s="15" t="s">
        <v>550</v>
      </c>
      <c r="E1957" s="15" t="n">
        <v>2</v>
      </c>
      <c r="H1957" s="10"/>
      <c r="I1957" s="21"/>
      <c r="M1957" s="10"/>
      <c r="N1957" s="10"/>
      <c r="P1957" s="10"/>
      <c r="Q1957" s="22"/>
    </row>
    <row r="1958" customFormat="false" ht="15.75" hidden="false" customHeight="false" outlineLevel="0" collapsed="false">
      <c r="A1958" s="20" t="n">
        <v>46104</v>
      </c>
      <c r="B1958" s="15" t="s">
        <v>453</v>
      </c>
      <c r="C1958" s="15" t="s">
        <v>63</v>
      </c>
      <c r="D1958" s="15" t="s">
        <v>551</v>
      </c>
      <c r="E1958" s="15" t="n">
        <v>1</v>
      </c>
      <c r="H1958" s="10"/>
      <c r="I1958" s="21"/>
      <c r="M1958" s="10"/>
      <c r="N1958" s="10"/>
      <c r="P1958" s="10"/>
      <c r="Q1958" s="22"/>
    </row>
    <row r="1959" customFormat="false" ht="15.75" hidden="false" customHeight="false" outlineLevel="0" collapsed="false">
      <c r="A1959" s="20" t="n">
        <v>46104</v>
      </c>
      <c r="B1959" s="15" t="s">
        <v>453</v>
      </c>
      <c r="C1959" s="15" t="s">
        <v>35</v>
      </c>
      <c r="D1959" s="15" t="s">
        <v>552</v>
      </c>
      <c r="E1959" s="15" t="n">
        <v>2</v>
      </c>
      <c r="H1959" s="10"/>
      <c r="I1959" s="21"/>
      <c r="M1959" s="10"/>
      <c r="N1959" s="10"/>
      <c r="P1959" s="10"/>
      <c r="Q1959" s="22"/>
    </row>
    <row r="1960" customFormat="false" ht="15.75" hidden="false" customHeight="false" outlineLevel="0" collapsed="false">
      <c r="A1960" s="20" t="n">
        <v>46104</v>
      </c>
      <c r="B1960" s="15" t="s">
        <v>465</v>
      </c>
      <c r="C1960" s="15" t="s">
        <v>47</v>
      </c>
      <c r="D1960" s="15" t="s">
        <v>549</v>
      </c>
      <c r="E1960" s="15" t="n">
        <v>2</v>
      </c>
      <c r="H1960" s="10"/>
      <c r="I1960" s="21"/>
      <c r="M1960" s="10"/>
      <c r="N1960" s="10"/>
      <c r="P1960" s="10"/>
      <c r="Q1960" s="22"/>
    </row>
    <row r="1961" customFormat="false" ht="15.75" hidden="false" customHeight="false" outlineLevel="0" collapsed="false">
      <c r="A1961" s="20" t="n">
        <v>46104</v>
      </c>
      <c r="B1961" s="15" t="s">
        <v>465</v>
      </c>
      <c r="C1961" s="15" t="s">
        <v>81</v>
      </c>
      <c r="D1961" s="15" t="s">
        <v>534</v>
      </c>
      <c r="E1961" s="15" t="n">
        <v>13</v>
      </c>
      <c r="H1961" s="10"/>
      <c r="I1961" s="21"/>
      <c r="M1961" s="10"/>
      <c r="N1961" s="10"/>
      <c r="P1961" s="10"/>
      <c r="Q1961" s="22"/>
    </row>
    <row r="1962" customFormat="false" ht="15.75" hidden="false" customHeight="false" outlineLevel="0" collapsed="false">
      <c r="A1962" s="20" t="n">
        <v>46104</v>
      </c>
      <c r="B1962" s="15" t="s">
        <v>465</v>
      </c>
      <c r="C1962" s="15" t="s">
        <v>55</v>
      </c>
      <c r="D1962" s="15" t="s">
        <v>539</v>
      </c>
      <c r="E1962" s="15" t="n">
        <v>2</v>
      </c>
      <c r="H1962" s="10"/>
      <c r="I1962" s="21"/>
      <c r="M1962" s="10"/>
      <c r="N1962" s="10"/>
      <c r="P1962" s="10"/>
      <c r="Q1962" s="22"/>
    </row>
    <row r="1963" customFormat="false" ht="15.75" hidden="false" customHeight="false" outlineLevel="0" collapsed="false">
      <c r="A1963" s="20" t="n">
        <v>46104</v>
      </c>
      <c r="B1963" s="15" t="s">
        <v>465</v>
      </c>
      <c r="C1963" s="15" t="s">
        <v>69</v>
      </c>
      <c r="D1963" s="15" t="s">
        <v>535</v>
      </c>
      <c r="E1963" s="15" t="n">
        <v>5</v>
      </c>
      <c r="H1963" s="10"/>
      <c r="I1963" s="21"/>
      <c r="M1963" s="10"/>
      <c r="N1963" s="10"/>
      <c r="P1963" s="10"/>
      <c r="Q1963" s="22"/>
    </row>
    <row r="1964" customFormat="false" ht="15.75" hidden="false" customHeight="false" outlineLevel="0" collapsed="false">
      <c r="A1964" s="20" t="n">
        <v>46104</v>
      </c>
      <c r="B1964" s="15" t="s">
        <v>465</v>
      </c>
      <c r="C1964" s="15" t="s">
        <v>555</v>
      </c>
      <c r="D1964" s="15" t="s">
        <v>556</v>
      </c>
      <c r="E1964" s="15" t="n">
        <v>3</v>
      </c>
      <c r="H1964" s="10"/>
      <c r="I1964" s="21"/>
      <c r="M1964" s="10"/>
      <c r="N1964" s="10"/>
      <c r="P1964" s="10"/>
      <c r="Q1964" s="22"/>
    </row>
    <row r="1965" customFormat="false" ht="15.75" hidden="false" customHeight="false" outlineLevel="0" collapsed="false">
      <c r="A1965" s="20" t="n">
        <v>46104</v>
      </c>
      <c r="B1965" s="15" t="s">
        <v>465</v>
      </c>
      <c r="C1965" s="15" t="s">
        <v>565</v>
      </c>
      <c r="D1965" s="15" t="s">
        <v>566</v>
      </c>
      <c r="E1965" s="15" t="n">
        <v>3</v>
      </c>
      <c r="H1965" s="10"/>
      <c r="I1965" s="21"/>
      <c r="M1965" s="10"/>
      <c r="N1965" s="10"/>
      <c r="P1965" s="10"/>
      <c r="Q1965" s="22"/>
    </row>
    <row r="1966" customFormat="false" ht="15.75" hidden="false" customHeight="false" outlineLevel="0" collapsed="false">
      <c r="A1966" s="20" t="n">
        <v>46104</v>
      </c>
      <c r="B1966" s="15" t="s">
        <v>465</v>
      </c>
      <c r="C1966" s="15" t="s">
        <v>570</v>
      </c>
      <c r="D1966" s="15" t="s">
        <v>571</v>
      </c>
      <c r="E1966" s="15" t="n">
        <v>6</v>
      </c>
      <c r="H1966" s="10"/>
      <c r="I1966" s="21"/>
      <c r="M1966" s="10"/>
      <c r="N1966" s="10"/>
      <c r="P1966" s="10"/>
      <c r="Q1966" s="22"/>
    </row>
    <row r="1967" customFormat="false" ht="15.75" hidden="false" customHeight="false" outlineLevel="0" collapsed="false">
      <c r="A1967" s="20" t="n">
        <v>46104</v>
      </c>
      <c r="B1967" s="15" t="s">
        <v>465</v>
      </c>
      <c r="C1967" s="15" t="s">
        <v>45</v>
      </c>
      <c r="D1967" s="15" t="s">
        <v>540</v>
      </c>
      <c r="E1967" s="15" t="n">
        <v>2</v>
      </c>
      <c r="H1967" s="10"/>
      <c r="I1967" s="21"/>
      <c r="M1967" s="10"/>
      <c r="N1967" s="10"/>
      <c r="P1967" s="10"/>
      <c r="Q1967" s="22"/>
    </row>
    <row r="1968" customFormat="false" ht="15.75" hidden="false" customHeight="false" outlineLevel="0" collapsed="false">
      <c r="A1968" s="20" t="n">
        <v>46104</v>
      </c>
      <c r="B1968" s="15" t="s">
        <v>465</v>
      </c>
      <c r="C1968" s="15" t="s">
        <v>547</v>
      </c>
      <c r="D1968" s="15" t="s">
        <v>548</v>
      </c>
      <c r="E1968" s="15" t="n">
        <v>3</v>
      </c>
      <c r="H1968" s="10"/>
      <c r="I1968" s="21"/>
      <c r="M1968" s="10"/>
      <c r="N1968" s="10"/>
      <c r="P1968" s="10"/>
      <c r="Q1968" s="22"/>
    </row>
    <row r="1969" customFormat="false" ht="15.75" hidden="false" customHeight="false" outlineLevel="0" collapsed="false">
      <c r="A1969" s="20" t="n">
        <v>46104</v>
      </c>
      <c r="B1969" s="15" t="s">
        <v>465</v>
      </c>
      <c r="C1969" s="15" t="s">
        <v>567</v>
      </c>
      <c r="D1969" s="15" t="s">
        <v>568</v>
      </c>
      <c r="E1969" s="15" t="n">
        <v>2</v>
      </c>
      <c r="H1969" s="10"/>
      <c r="I1969" s="21"/>
      <c r="M1969" s="10"/>
      <c r="N1969" s="10"/>
      <c r="P1969" s="10"/>
      <c r="Q1969" s="22"/>
    </row>
    <row r="1970" customFormat="false" ht="15.75" hidden="false" customHeight="false" outlineLevel="0" collapsed="false">
      <c r="A1970" s="20" t="n">
        <v>46104</v>
      </c>
      <c r="B1970" s="15" t="s">
        <v>465</v>
      </c>
      <c r="C1970" s="15" t="s">
        <v>543</v>
      </c>
      <c r="D1970" s="15" t="s">
        <v>544</v>
      </c>
      <c r="E1970" s="15" t="n">
        <v>3</v>
      </c>
      <c r="H1970" s="10"/>
      <c r="I1970" s="21"/>
      <c r="M1970" s="10"/>
      <c r="N1970" s="10"/>
      <c r="P1970" s="10"/>
      <c r="Q1970" s="22"/>
    </row>
    <row r="1971" customFormat="false" ht="15.75" hidden="false" customHeight="false" outlineLevel="0" collapsed="false">
      <c r="A1971" s="20" t="n">
        <v>46104</v>
      </c>
      <c r="B1971" s="15" t="s">
        <v>465</v>
      </c>
      <c r="C1971" s="15" t="s">
        <v>25</v>
      </c>
      <c r="D1971" s="15" t="s">
        <v>26</v>
      </c>
      <c r="E1971" s="15" t="n">
        <v>1</v>
      </c>
      <c r="H1971" s="10"/>
      <c r="I1971" s="21"/>
      <c r="M1971" s="10"/>
      <c r="N1971" s="10"/>
      <c r="P1971" s="10"/>
      <c r="Q1971" s="22"/>
    </row>
    <row r="1972" customFormat="false" ht="15.75" hidden="false" customHeight="false" outlineLevel="0" collapsed="false">
      <c r="A1972" s="20" t="n">
        <v>46104</v>
      </c>
      <c r="B1972" s="15" t="s">
        <v>465</v>
      </c>
      <c r="C1972" s="15" t="s">
        <v>77</v>
      </c>
      <c r="D1972" s="15" t="s">
        <v>78</v>
      </c>
      <c r="E1972" s="15" t="n">
        <v>2</v>
      </c>
      <c r="H1972" s="10"/>
      <c r="I1972" s="21"/>
      <c r="M1972" s="10"/>
      <c r="N1972" s="10"/>
      <c r="P1972" s="10"/>
      <c r="Q1972" s="22"/>
    </row>
    <row r="1973" customFormat="false" ht="15.75" hidden="false" customHeight="false" outlineLevel="0" collapsed="false">
      <c r="A1973" s="20" t="n">
        <v>46104</v>
      </c>
      <c r="B1973" s="15" t="s">
        <v>465</v>
      </c>
      <c r="C1973" s="15" t="s">
        <v>59</v>
      </c>
      <c r="D1973" s="15" t="s">
        <v>562</v>
      </c>
      <c r="E1973" s="15" t="n">
        <v>2</v>
      </c>
      <c r="H1973" s="10"/>
      <c r="I1973" s="21"/>
      <c r="M1973" s="10"/>
      <c r="N1973" s="10"/>
      <c r="P1973" s="10"/>
      <c r="Q1973" s="22"/>
    </row>
    <row r="1974" customFormat="false" ht="15.75" hidden="false" customHeight="false" outlineLevel="0" collapsed="false">
      <c r="A1974" s="20" t="n">
        <v>46104</v>
      </c>
      <c r="B1974" s="15" t="s">
        <v>465</v>
      </c>
      <c r="C1974" s="15" t="s">
        <v>545</v>
      </c>
      <c r="D1974" s="15" t="s">
        <v>546</v>
      </c>
      <c r="E1974" s="15" t="n">
        <v>4</v>
      </c>
      <c r="H1974" s="10"/>
      <c r="I1974" s="21"/>
      <c r="M1974" s="10"/>
      <c r="N1974" s="10"/>
      <c r="P1974" s="10"/>
      <c r="Q1974" s="22"/>
    </row>
    <row r="1975" customFormat="false" ht="15.75" hidden="false" customHeight="false" outlineLevel="0" collapsed="false">
      <c r="A1975" s="20" t="n">
        <v>46104</v>
      </c>
      <c r="B1975" s="15" t="s">
        <v>465</v>
      </c>
      <c r="C1975" s="15" t="s">
        <v>79</v>
      </c>
      <c r="D1975" s="15" t="s">
        <v>564</v>
      </c>
      <c r="E1975" s="15" t="n">
        <v>1</v>
      </c>
      <c r="H1975" s="10"/>
      <c r="I1975" s="21"/>
      <c r="M1975" s="10"/>
      <c r="N1975" s="10"/>
      <c r="P1975" s="10"/>
      <c r="Q1975" s="22"/>
    </row>
    <row r="1976" customFormat="false" ht="15.75" hidden="false" customHeight="false" outlineLevel="0" collapsed="false">
      <c r="A1976" s="20" t="n">
        <v>46104</v>
      </c>
      <c r="B1976" s="15" t="s">
        <v>465</v>
      </c>
      <c r="C1976" s="15" t="s">
        <v>43</v>
      </c>
      <c r="D1976" s="15" t="s">
        <v>538</v>
      </c>
      <c r="E1976" s="15" t="n">
        <v>1</v>
      </c>
      <c r="H1976" s="10"/>
      <c r="I1976" s="21"/>
      <c r="M1976" s="10"/>
      <c r="N1976" s="10"/>
      <c r="P1976" s="10"/>
      <c r="Q1976" s="22"/>
    </row>
    <row r="1977" customFormat="false" ht="15.75" hidden="false" customHeight="false" outlineLevel="0" collapsed="false">
      <c r="A1977" s="20" t="n">
        <v>46104</v>
      </c>
      <c r="B1977" s="15" t="s">
        <v>465</v>
      </c>
      <c r="C1977" s="15" t="s">
        <v>33</v>
      </c>
      <c r="D1977" s="15" t="s">
        <v>536</v>
      </c>
      <c r="E1977" s="15" t="n">
        <v>2</v>
      </c>
      <c r="H1977" s="10"/>
      <c r="I1977" s="21"/>
      <c r="M1977" s="10"/>
      <c r="N1977" s="10"/>
      <c r="P1977" s="10"/>
      <c r="Q1977" s="22"/>
    </row>
    <row r="1978" customFormat="false" ht="15.75" hidden="false" customHeight="false" outlineLevel="0" collapsed="false">
      <c r="A1978" s="20" t="n">
        <v>46104</v>
      </c>
      <c r="B1978" s="15" t="s">
        <v>465</v>
      </c>
      <c r="C1978" s="15" t="s">
        <v>65</v>
      </c>
      <c r="D1978" s="15" t="s">
        <v>580</v>
      </c>
      <c r="E1978" s="15" t="n">
        <v>1</v>
      </c>
      <c r="H1978" s="10"/>
      <c r="I1978" s="21"/>
      <c r="M1978" s="10"/>
      <c r="N1978" s="10"/>
      <c r="P1978" s="10"/>
      <c r="Q1978" s="22"/>
    </row>
    <row r="1979" customFormat="false" ht="15.75" hidden="false" customHeight="false" outlineLevel="0" collapsed="false">
      <c r="A1979" s="20" t="n">
        <v>46104</v>
      </c>
      <c r="B1979" s="15" t="s">
        <v>465</v>
      </c>
      <c r="C1979" s="15" t="s">
        <v>11</v>
      </c>
      <c r="D1979" s="15" t="s">
        <v>572</v>
      </c>
      <c r="E1979" s="15" t="n">
        <v>6</v>
      </c>
      <c r="H1979" s="10"/>
      <c r="I1979" s="21"/>
      <c r="M1979" s="10"/>
      <c r="N1979" s="10"/>
      <c r="P1979" s="10"/>
      <c r="Q1979" s="22"/>
    </row>
    <row r="1980" customFormat="false" ht="15.75" hidden="false" customHeight="false" outlineLevel="0" collapsed="false">
      <c r="A1980" s="20" t="n">
        <v>46104</v>
      </c>
      <c r="B1980" s="15" t="s">
        <v>467</v>
      </c>
      <c r="C1980" s="15" t="s">
        <v>55</v>
      </c>
      <c r="D1980" s="15" t="s">
        <v>539</v>
      </c>
      <c r="E1980" s="15" t="n">
        <v>6</v>
      </c>
      <c r="H1980" s="10"/>
      <c r="I1980" s="21"/>
      <c r="M1980" s="10"/>
      <c r="N1980" s="10"/>
      <c r="P1980" s="10"/>
      <c r="Q1980" s="22"/>
    </row>
    <row r="1981" customFormat="false" ht="15.75" hidden="false" customHeight="false" outlineLevel="0" collapsed="false">
      <c r="A1981" s="20" t="n">
        <v>46104</v>
      </c>
      <c r="B1981" s="15" t="s">
        <v>467</v>
      </c>
      <c r="C1981" s="15" t="s">
        <v>57</v>
      </c>
      <c r="D1981" s="15" t="s">
        <v>553</v>
      </c>
      <c r="E1981" s="15" t="n">
        <v>2</v>
      </c>
      <c r="H1981" s="10"/>
      <c r="I1981" s="21"/>
      <c r="M1981" s="10"/>
      <c r="N1981" s="10"/>
      <c r="P1981" s="10"/>
      <c r="Q1981" s="22"/>
    </row>
    <row r="1982" customFormat="false" ht="15.75" hidden="false" customHeight="false" outlineLevel="0" collapsed="false">
      <c r="A1982" s="20" t="n">
        <v>46104</v>
      </c>
      <c r="B1982" s="15" t="s">
        <v>467</v>
      </c>
      <c r="C1982" s="15" t="s">
        <v>47</v>
      </c>
      <c r="D1982" s="15" t="s">
        <v>549</v>
      </c>
      <c r="E1982" s="15" t="n">
        <v>2</v>
      </c>
      <c r="H1982" s="10"/>
      <c r="I1982" s="21"/>
      <c r="M1982" s="10"/>
      <c r="N1982" s="10"/>
      <c r="P1982" s="10"/>
      <c r="Q1982" s="22"/>
    </row>
    <row r="1983" customFormat="false" ht="15.75" hidden="false" customHeight="false" outlineLevel="0" collapsed="false">
      <c r="A1983" s="20" t="n">
        <v>46104</v>
      </c>
      <c r="B1983" s="15" t="s">
        <v>467</v>
      </c>
      <c r="C1983" s="15" t="s">
        <v>81</v>
      </c>
      <c r="D1983" s="15" t="s">
        <v>534</v>
      </c>
      <c r="E1983" s="15" t="n">
        <v>7</v>
      </c>
      <c r="H1983" s="10"/>
      <c r="I1983" s="21"/>
      <c r="M1983" s="10"/>
      <c r="N1983" s="10"/>
      <c r="P1983" s="10"/>
      <c r="Q1983" s="22"/>
    </row>
    <row r="1984" customFormat="false" ht="15.75" hidden="false" customHeight="false" outlineLevel="0" collapsed="false">
      <c r="A1984" s="20" t="n">
        <v>46104</v>
      </c>
      <c r="B1984" s="15" t="s">
        <v>467</v>
      </c>
      <c r="C1984" s="15" t="s">
        <v>49</v>
      </c>
      <c r="D1984" s="15" t="s">
        <v>537</v>
      </c>
      <c r="E1984" s="15" t="n">
        <v>2</v>
      </c>
      <c r="H1984" s="10"/>
      <c r="I1984" s="21"/>
      <c r="M1984" s="10"/>
      <c r="N1984" s="10"/>
      <c r="P1984" s="10"/>
      <c r="Q1984" s="22"/>
    </row>
    <row r="1985" customFormat="false" ht="15.75" hidden="false" customHeight="false" outlineLevel="0" collapsed="false">
      <c r="A1985" s="20" t="n">
        <v>46104</v>
      </c>
      <c r="B1985" s="15" t="s">
        <v>467</v>
      </c>
      <c r="C1985" s="15" t="s">
        <v>63</v>
      </c>
      <c r="D1985" s="15" t="s">
        <v>551</v>
      </c>
      <c r="E1985" s="15" t="n">
        <v>1</v>
      </c>
      <c r="H1985" s="10"/>
      <c r="I1985" s="21"/>
      <c r="M1985" s="10"/>
      <c r="N1985" s="10"/>
      <c r="P1985" s="10"/>
      <c r="Q1985" s="22"/>
    </row>
    <row r="1986" customFormat="false" ht="15.75" hidden="false" customHeight="false" outlineLevel="0" collapsed="false">
      <c r="A1986" s="20" t="n">
        <v>46104</v>
      </c>
      <c r="B1986" s="15" t="s">
        <v>469</v>
      </c>
      <c r="C1986" s="15" t="s">
        <v>69</v>
      </c>
      <c r="D1986" s="15" t="s">
        <v>535</v>
      </c>
      <c r="E1986" s="15" t="n">
        <v>5</v>
      </c>
      <c r="H1986" s="10"/>
      <c r="I1986" s="21"/>
      <c r="M1986" s="10"/>
      <c r="N1986" s="10"/>
      <c r="P1986" s="10"/>
      <c r="Q1986" s="22"/>
    </row>
    <row r="1987" customFormat="false" ht="15.75" hidden="false" customHeight="false" outlineLevel="0" collapsed="false">
      <c r="A1987" s="20" t="n">
        <v>46104</v>
      </c>
      <c r="B1987" s="15" t="s">
        <v>469</v>
      </c>
      <c r="C1987" s="15" t="s">
        <v>55</v>
      </c>
      <c r="D1987" s="15" t="s">
        <v>539</v>
      </c>
      <c r="E1987" s="15" t="n">
        <v>2</v>
      </c>
      <c r="H1987" s="10"/>
      <c r="I1987" s="21"/>
      <c r="M1987" s="10"/>
      <c r="N1987" s="10"/>
      <c r="P1987" s="10"/>
      <c r="Q1987" s="22"/>
    </row>
    <row r="1988" customFormat="false" ht="15.75" hidden="false" customHeight="false" outlineLevel="0" collapsed="false">
      <c r="A1988" s="20" t="n">
        <v>46104</v>
      </c>
      <c r="B1988" s="15" t="s">
        <v>469</v>
      </c>
      <c r="C1988" s="15" t="s">
        <v>33</v>
      </c>
      <c r="D1988" s="15" t="s">
        <v>536</v>
      </c>
      <c r="E1988" s="15" t="n">
        <v>5</v>
      </c>
      <c r="H1988" s="10"/>
      <c r="I1988" s="21"/>
      <c r="M1988" s="10"/>
      <c r="N1988" s="10"/>
      <c r="P1988" s="10"/>
      <c r="Q1988" s="22"/>
    </row>
    <row r="1989" customFormat="false" ht="15.75" hidden="false" customHeight="false" outlineLevel="0" collapsed="false">
      <c r="A1989" s="20" t="n">
        <v>46104</v>
      </c>
      <c r="B1989" s="15" t="s">
        <v>469</v>
      </c>
      <c r="C1989" s="15" t="s">
        <v>547</v>
      </c>
      <c r="D1989" s="15" t="s">
        <v>548</v>
      </c>
      <c r="E1989" s="15" t="n">
        <v>1</v>
      </c>
      <c r="H1989" s="10"/>
      <c r="I1989" s="21"/>
      <c r="M1989" s="10"/>
      <c r="N1989" s="10"/>
      <c r="P1989" s="10"/>
      <c r="Q1989" s="22"/>
    </row>
    <row r="1990" customFormat="false" ht="15.75" hidden="false" customHeight="false" outlineLevel="0" collapsed="false">
      <c r="A1990" s="20" t="n">
        <v>46104</v>
      </c>
      <c r="B1990" s="15" t="s">
        <v>469</v>
      </c>
      <c r="C1990" s="15" t="s">
        <v>81</v>
      </c>
      <c r="D1990" s="15" t="s">
        <v>534</v>
      </c>
      <c r="E1990" s="15" t="n">
        <v>2</v>
      </c>
      <c r="H1990" s="10"/>
      <c r="I1990" s="21"/>
      <c r="M1990" s="10"/>
      <c r="N1990" s="10"/>
      <c r="P1990" s="10"/>
      <c r="Q1990" s="22"/>
    </row>
    <row r="1991" customFormat="false" ht="15.75" hidden="false" customHeight="false" outlineLevel="0" collapsed="false">
      <c r="A1991" s="20" t="n">
        <v>46104</v>
      </c>
      <c r="B1991" s="15" t="s">
        <v>476</v>
      </c>
      <c r="C1991" s="15" t="s">
        <v>69</v>
      </c>
      <c r="D1991" s="15" t="s">
        <v>535</v>
      </c>
      <c r="E1991" s="15" t="n">
        <v>2</v>
      </c>
      <c r="H1991" s="10"/>
      <c r="I1991" s="21"/>
      <c r="M1991" s="10"/>
      <c r="N1991" s="10"/>
      <c r="P1991" s="10"/>
      <c r="Q1991" s="22"/>
    </row>
    <row r="1992" customFormat="false" ht="15.75" hidden="false" customHeight="false" outlineLevel="0" collapsed="false">
      <c r="A1992" s="20" t="n">
        <v>46104</v>
      </c>
      <c r="B1992" s="15" t="s">
        <v>476</v>
      </c>
      <c r="C1992" s="15" t="s">
        <v>33</v>
      </c>
      <c r="D1992" s="15" t="s">
        <v>536</v>
      </c>
      <c r="E1992" s="15" t="n">
        <v>2</v>
      </c>
      <c r="H1992" s="10"/>
      <c r="I1992" s="21"/>
      <c r="M1992" s="10"/>
      <c r="N1992" s="10"/>
      <c r="P1992" s="10"/>
      <c r="Q1992" s="22"/>
    </row>
    <row r="1993" customFormat="false" ht="15.75" hidden="false" customHeight="false" outlineLevel="0" collapsed="false">
      <c r="A1993" s="20" t="n">
        <v>46104</v>
      </c>
      <c r="B1993" s="15" t="s">
        <v>476</v>
      </c>
      <c r="C1993" s="15" t="s">
        <v>547</v>
      </c>
      <c r="D1993" s="15" t="s">
        <v>548</v>
      </c>
      <c r="E1993" s="15" t="n">
        <v>2</v>
      </c>
      <c r="H1993" s="10"/>
      <c r="I1993" s="21"/>
      <c r="M1993" s="10"/>
      <c r="N1993" s="10"/>
      <c r="P1993" s="10"/>
      <c r="Q1993" s="22"/>
    </row>
    <row r="1994" customFormat="false" ht="15.75" hidden="false" customHeight="false" outlineLevel="0" collapsed="false">
      <c r="A1994" s="20" t="n">
        <v>46104</v>
      </c>
      <c r="B1994" s="15" t="s">
        <v>476</v>
      </c>
      <c r="C1994" s="15" t="s">
        <v>25</v>
      </c>
      <c r="D1994" s="15" t="s">
        <v>26</v>
      </c>
      <c r="E1994" s="15" t="n">
        <v>2</v>
      </c>
      <c r="H1994" s="10"/>
      <c r="I1994" s="21"/>
      <c r="M1994" s="10"/>
      <c r="N1994" s="10"/>
      <c r="P1994" s="10"/>
      <c r="Q1994" s="22"/>
    </row>
    <row r="1995" customFormat="false" ht="15.75" hidden="false" customHeight="false" outlineLevel="0" collapsed="false">
      <c r="A1995" s="20" t="n">
        <v>46104</v>
      </c>
      <c r="B1995" s="15" t="s">
        <v>480</v>
      </c>
      <c r="C1995" s="15" t="s">
        <v>547</v>
      </c>
      <c r="D1995" s="15" t="s">
        <v>548</v>
      </c>
      <c r="E1995" s="15" t="n">
        <v>1</v>
      </c>
      <c r="H1995" s="10"/>
      <c r="I1995" s="21"/>
      <c r="M1995" s="10"/>
      <c r="N1995" s="10"/>
      <c r="P1995" s="10"/>
      <c r="Q1995" s="22"/>
    </row>
    <row r="1996" customFormat="false" ht="15.75" hidden="false" customHeight="false" outlineLevel="0" collapsed="false">
      <c r="A1996" s="20" t="n">
        <v>46104</v>
      </c>
      <c r="B1996" s="15" t="s">
        <v>480</v>
      </c>
      <c r="C1996" s="15" t="s">
        <v>69</v>
      </c>
      <c r="D1996" s="15" t="s">
        <v>535</v>
      </c>
      <c r="E1996" s="15" t="n">
        <v>1</v>
      </c>
      <c r="H1996" s="10"/>
      <c r="I1996" s="21"/>
      <c r="M1996" s="10"/>
      <c r="N1996" s="10"/>
      <c r="P1996" s="10"/>
      <c r="Q1996" s="22"/>
    </row>
    <row r="1997" customFormat="false" ht="15.75" hidden="false" customHeight="false" outlineLevel="0" collapsed="false">
      <c r="A1997" s="20" t="n">
        <v>46104</v>
      </c>
      <c r="B1997" s="15" t="s">
        <v>484</v>
      </c>
      <c r="C1997" s="15" t="s">
        <v>69</v>
      </c>
      <c r="D1997" s="15" t="s">
        <v>535</v>
      </c>
      <c r="E1997" s="15" t="n">
        <v>2</v>
      </c>
      <c r="H1997" s="10"/>
      <c r="I1997" s="21"/>
      <c r="M1997" s="10"/>
      <c r="N1997" s="10"/>
      <c r="P1997" s="10"/>
      <c r="Q1997" s="22"/>
    </row>
    <row r="1998" customFormat="false" ht="15.75" hidden="false" customHeight="false" outlineLevel="0" collapsed="false">
      <c r="A1998" s="20" t="n">
        <v>46104</v>
      </c>
      <c r="B1998" s="15" t="s">
        <v>484</v>
      </c>
      <c r="C1998" s="15" t="s">
        <v>81</v>
      </c>
      <c r="D1998" s="15" t="s">
        <v>534</v>
      </c>
      <c r="E1998" s="15" t="n">
        <v>5</v>
      </c>
      <c r="H1998" s="10"/>
      <c r="I1998" s="21"/>
      <c r="M1998" s="10"/>
      <c r="N1998" s="10"/>
      <c r="P1998" s="10"/>
      <c r="Q1998" s="22"/>
    </row>
    <row r="1999" customFormat="false" ht="15.75" hidden="false" customHeight="false" outlineLevel="0" collapsed="false">
      <c r="A1999" s="20" t="n">
        <v>46104</v>
      </c>
      <c r="B1999" s="15" t="s">
        <v>484</v>
      </c>
      <c r="C1999" s="15" t="s">
        <v>37</v>
      </c>
      <c r="D1999" s="15" t="s">
        <v>561</v>
      </c>
      <c r="E1999" s="15" t="n">
        <v>2</v>
      </c>
      <c r="H1999" s="10"/>
      <c r="I1999" s="21"/>
      <c r="M1999" s="10"/>
      <c r="N1999" s="10"/>
      <c r="P1999" s="10"/>
      <c r="Q1999" s="22"/>
    </row>
    <row r="2000" customFormat="false" ht="15.75" hidden="false" customHeight="false" outlineLevel="0" collapsed="false">
      <c r="A2000" s="20" t="n">
        <v>46104</v>
      </c>
      <c r="B2000" s="15" t="s">
        <v>484</v>
      </c>
      <c r="C2000" s="15" t="s">
        <v>547</v>
      </c>
      <c r="D2000" s="15" t="s">
        <v>548</v>
      </c>
      <c r="E2000" s="15" t="n">
        <v>1</v>
      </c>
      <c r="H2000" s="10"/>
      <c r="I2000" s="21"/>
      <c r="M2000" s="10"/>
      <c r="N2000" s="10"/>
      <c r="P2000" s="10"/>
      <c r="Q2000" s="22"/>
    </row>
    <row r="2001" customFormat="false" ht="15.75" hidden="false" customHeight="false" outlineLevel="0" collapsed="false">
      <c r="A2001" s="20" t="n">
        <v>46104</v>
      </c>
      <c r="B2001" s="15" t="s">
        <v>484</v>
      </c>
      <c r="C2001" s="15" t="s">
        <v>33</v>
      </c>
      <c r="D2001" s="15" t="s">
        <v>536</v>
      </c>
      <c r="E2001" s="15" t="n">
        <v>2</v>
      </c>
      <c r="H2001" s="10"/>
      <c r="I2001" s="21"/>
      <c r="M2001" s="10"/>
      <c r="N2001" s="10"/>
      <c r="P2001" s="10"/>
      <c r="Q2001" s="22"/>
    </row>
    <row r="2002" customFormat="false" ht="15.75" hidden="false" customHeight="false" outlineLevel="0" collapsed="false">
      <c r="A2002" s="20" t="n">
        <v>46104</v>
      </c>
      <c r="B2002" s="15" t="s">
        <v>484</v>
      </c>
      <c r="C2002" s="15" t="s">
        <v>77</v>
      </c>
      <c r="D2002" s="15" t="s">
        <v>78</v>
      </c>
      <c r="E2002" s="15" t="n">
        <v>2</v>
      </c>
      <c r="H2002" s="10"/>
      <c r="I2002" s="21"/>
      <c r="M2002" s="10"/>
      <c r="N2002" s="10"/>
      <c r="P2002" s="10"/>
      <c r="Q2002" s="22"/>
    </row>
    <row r="2003" customFormat="false" ht="15.75" hidden="false" customHeight="false" outlineLevel="0" collapsed="false">
      <c r="A2003" s="20" t="n">
        <v>46104</v>
      </c>
      <c r="B2003" s="15" t="s">
        <v>484</v>
      </c>
      <c r="C2003" s="15" t="s">
        <v>578</v>
      </c>
      <c r="D2003" s="15" t="s">
        <v>579</v>
      </c>
      <c r="E2003" s="15" t="n">
        <v>1</v>
      </c>
      <c r="H2003" s="10"/>
      <c r="I2003" s="21"/>
      <c r="M2003" s="10"/>
      <c r="N2003" s="10"/>
      <c r="P2003" s="10"/>
      <c r="Q2003" s="22"/>
    </row>
    <row r="2004" customFormat="false" ht="15.75" hidden="false" customHeight="false" outlineLevel="0" collapsed="false">
      <c r="A2004" s="20" t="n">
        <v>46104</v>
      </c>
      <c r="B2004" s="15" t="s">
        <v>484</v>
      </c>
      <c r="C2004" s="15" t="s">
        <v>11</v>
      </c>
      <c r="D2004" s="15" t="s">
        <v>572</v>
      </c>
      <c r="E2004" s="15" t="n">
        <v>1</v>
      </c>
      <c r="H2004" s="10"/>
      <c r="I2004" s="21"/>
      <c r="M2004" s="10"/>
      <c r="N2004" s="10"/>
      <c r="P2004" s="10"/>
      <c r="Q2004" s="22"/>
    </row>
    <row r="2005" customFormat="false" ht="15.75" hidden="false" customHeight="false" outlineLevel="0" collapsed="false">
      <c r="A2005" s="20" t="n">
        <v>46104</v>
      </c>
      <c r="B2005" s="15" t="s">
        <v>490</v>
      </c>
      <c r="C2005" s="15" t="s">
        <v>81</v>
      </c>
      <c r="D2005" s="15" t="s">
        <v>534</v>
      </c>
      <c r="E2005" s="15" t="n">
        <v>23</v>
      </c>
      <c r="H2005" s="10"/>
      <c r="I2005" s="21"/>
      <c r="M2005" s="10"/>
      <c r="N2005" s="10"/>
      <c r="P2005" s="10"/>
      <c r="Q2005" s="22"/>
    </row>
    <row r="2006" customFormat="false" ht="15.75" hidden="false" customHeight="false" outlineLevel="0" collapsed="false">
      <c r="A2006" s="20" t="n">
        <v>46104</v>
      </c>
      <c r="B2006" s="15" t="s">
        <v>490</v>
      </c>
      <c r="C2006" s="15" t="s">
        <v>75</v>
      </c>
      <c r="D2006" s="15" t="s">
        <v>560</v>
      </c>
      <c r="E2006" s="15" t="n">
        <v>1</v>
      </c>
      <c r="H2006" s="10"/>
      <c r="I2006" s="21"/>
      <c r="M2006" s="10"/>
      <c r="N2006" s="10"/>
      <c r="P2006" s="10"/>
      <c r="Q2006" s="22"/>
    </row>
    <row r="2007" customFormat="false" ht="15.75" hidden="false" customHeight="false" outlineLevel="0" collapsed="false">
      <c r="A2007" s="20" t="n">
        <v>46104</v>
      </c>
      <c r="B2007" s="15" t="s">
        <v>490</v>
      </c>
      <c r="C2007" s="15" t="s">
        <v>37</v>
      </c>
      <c r="D2007" s="15" t="s">
        <v>561</v>
      </c>
      <c r="E2007" s="15" t="n">
        <v>1</v>
      </c>
      <c r="H2007" s="10"/>
      <c r="I2007" s="21"/>
      <c r="M2007" s="10"/>
      <c r="N2007" s="10"/>
      <c r="P2007" s="10"/>
      <c r="Q2007" s="22"/>
    </row>
    <row r="2008" customFormat="false" ht="15.75" hidden="false" customHeight="false" outlineLevel="0" collapsed="false">
      <c r="A2008" s="20" t="n">
        <v>46104</v>
      </c>
      <c r="B2008" s="15" t="s">
        <v>490</v>
      </c>
      <c r="C2008" s="15" t="s">
        <v>69</v>
      </c>
      <c r="D2008" s="15" t="s">
        <v>535</v>
      </c>
      <c r="E2008" s="15" t="n">
        <v>4</v>
      </c>
      <c r="H2008" s="10"/>
      <c r="I2008" s="21"/>
      <c r="M2008" s="10"/>
      <c r="N2008" s="10"/>
      <c r="P2008" s="10"/>
      <c r="Q2008" s="22"/>
    </row>
    <row r="2009" customFormat="false" ht="15.75" hidden="false" customHeight="false" outlineLevel="0" collapsed="false">
      <c r="A2009" s="20" t="n">
        <v>46104</v>
      </c>
      <c r="B2009" s="15" t="s">
        <v>490</v>
      </c>
      <c r="C2009" s="15" t="s">
        <v>25</v>
      </c>
      <c r="D2009" s="15" t="s">
        <v>26</v>
      </c>
      <c r="E2009" s="15" t="n">
        <v>1</v>
      </c>
      <c r="H2009" s="10"/>
      <c r="I2009" s="21"/>
      <c r="M2009" s="10"/>
      <c r="N2009" s="10"/>
      <c r="P2009" s="10"/>
      <c r="Q2009" s="22"/>
    </row>
    <row r="2010" customFormat="false" ht="15.75" hidden="false" customHeight="false" outlineLevel="0" collapsed="false">
      <c r="A2010" s="20" t="n">
        <v>46104</v>
      </c>
      <c r="B2010" s="15" t="s">
        <v>490</v>
      </c>
      <c r="C2010" s="15" t="s">
        <v>547</v>
      </c>
      <c r="D2010" s="15" t="s">
        <v>548</v>
      </c>
      <c r="E2010" s="15" t="n">
        <v>1</v>
      </c>
      <c r="H2010" s="10"/>
      <c r="I2010" s="21"/>
      <c r="M2010" s="10"/>
      <c r="N2010" s="10"/>
      <c r="P2010" s="10"/>
      <c r="Q2010" s="22"/>
    </row>
    <row r="2011" customFormat="false" ht="15.75" hidden="false" customHeight="false" outlineLevel="0" collapsed="false">
      <c r="A2011" s="20" t="n">
        <v>46104</v>
      </c>
      <c r="B2011" s="15" t="s">
        <v>490</v>
      </c>
      <c r="C2011" s="15" t="s">
        <v>545</v>
      </c>
      <c r="D2011" s="15" t="s">
        <v>546</v>
      </c>
      <c r="E2011" s="15" t="n">
        <v>2</v>
      </c>
      <c r="H2011" s="10"/>
      <c r="I2011" s="21"/>
      <c r="M2011" s="10"/>
      <c r="N2011" s="10"/>
      <c r="P2011" s="10"/>
      <c r="Q2011" s="22"/>
    </row>
    <row r="2012" customFormat="false" ht="15.75" hidden="false" customHeight="false" outlineLevel="0" collapsed="false">
      <c r="A2012" s="20" t="n">
        <v>46104</v>
      </c>
      <c r="B2012" s="15" t="s">
        <v>490</v>
      </c>
      <c r="C2012" s="15" t="s">
        <v>543</v>
      </c>
      <c r="D2012" s="15" t="s">
        <v>544</v>
      </c>
      <c r="E2012" s="15" t="n">
        <v>2</v>
      </c>
      <c r="H2012" s="10"/>
      <c r="I2012" s="21"/>
      <c r="M2012" s="10"/>
      <c r="N2012" s="10"/>
      <c r="P2012" s="10"/>
      <c r="Q2012" s="22"/>
    </row>
    <row r="2013" customFormat="false" ht="15.75" hidden="false" customHeight="false" outlineLevel="0" collapsed="false">
      <c r="A2013" s="20" t="n">
        <v>46104</v>
      </c>
      <c r="B2013" s="15" t="s">
        <v>490</v>
      </c>
      <c r="C2013" s="15" t="s">
        <v>77</v>
      </c>
      <c r="D2013" s="15" t="s">
        <v>78</v>
      </c>
      <c r="E2013" s="15" t="n">
        <v>3</v>
      </c>
      <c r="H2013" s="10"/>
      <c r="I2013" s="21"/>
      <c r="M2013" s="10"/>
      <c r="N2013" s="10"/>
      <c r="P2013" s="10"/>
      <c r="Q2013" s="22"/>
    </row>
    <row r="2014" customFormat="false" ht="15.75" hidden="false" customHeight="false" outlineLevel="0" collapsed="false">
      <c r="A2014" s="20" t="n">
        <v>46104</v>
      </c>
      <c r="B2014" s="15" t="s">
        <v>490</v>
      </c>
      <c r="C2014" s="15" t="s">
        <v>33</v>
      </c>
      <c r="D2014" s="15" t="s">
        <v>536</v>
      </c>
      <c r="E2014" s="15" t="n">
        <v>3</v>
      </c>
      <c r="H2014" s="10"/>
      <c r="I2014" s="21"/>
      <c r="M2014" s="10"/>
      <c r="N2014" s="10"/>
      <c r="P2014" s="10"/>
      <c r="Q2014" s="22"/>
    </row>
    <row r="2015" customFormat="false" ht="15.75" hidden="false" customHeight="false" outlineLevel="0" collapsed="false">
      <c r="A2015" s="20" t="n">
        <v>46104</v>
      </c>
      <c r="B2015" s="15" t="s">
        <v>490</v>
      </c>
      <c r="C2015" s="15" t="s">
        <v>79</v>
      </c>
      <c r="D2015" s="15" t="s">
        <v>564</v>
      </c>
      <c r="E2015" s="15" t="n">
        <v>1</v>
      </c>
      <c r="H2015" s="10"/>
      <c r="I2015" s="21"/>
      <c r="M2015" s="10"/>
      <c r="N2015" s="10"/>
      <c r="P2015" s="10"/>
      <c r="Q2015" s="22"/>
    </row>
    <row r="2016" customFormat="false" ht="15.75" hidden="false" customHeight="false" outlineLevel="0" collapsed="false">
      <c r="A2016" s="20" t="n">
        <v>46104</v>
      </c>
      <c r="B2016" s="15" t="s">
        <v>490</v>
      </c>
      <c r="C2016" s="15" t="s">
        <v>49</v>
      </c>
      <c r="D2016" s="15" t="s">
        <v>537</v>
      </c>
      <c r="E2016" s="15" t="n">
        <v>2</v>
      </c>
      <c r="H2016" s="10"/>
      <c r="I2016" s="21"/>
      <c r="M2016" s="10"/>
      <c r="N2016" s="10"/>
      <c r="P2016" s="10"/>
      <c r="Q2016" s="22"/>
    </row>
    <row r="2017" customFormat="false" ht="15.75" hidden="false" customHeight="false" outlineLevel="0" collapsed="false">
      <c r="A2017" s="20" t="n">
        <v>46104</v>
      </c>
      <c r="B2017" s="15" t="s">
        <v>495</v>
      </c>
      <c r="C2017" s="15" t="s">
        <v>55</v>
      </c>
      <c r="D2017" s="15" t="s">
        <v>539</v>
      </c>
      <c r="E2017" s="15" t="n">
        <v>1</v>
      </c>
      <c r="H2017" s="10"/>
      <c r="I2017" s="21"/>
      <c r="M2017" s="10"/>
      <c r="N2017" s="10"/>
      <c r="P2017" s="10"/>
      <c r="Q2017" s="22"/>
    </row>
    <row r="2018" customFormat="false" ht="15.75" hidden="false" customHeight="false" outlineLevel="0" collapsed="false">
      <c r="A2018" s="20" t="n">
        <v>46104</v>
      </c>
      <c r="B2018" s="15" t="s">
        <v>495</v>
      </c>
      <c r="C2018" s="15" t="s">
        <v>81</v>
      </c>
      <c r="D2018" s="15" t="s">
        <v>534</v>
      </c>
      <c r="E2018" s="15" t="n">
        <v>3</v>
      </c>
      <c r="H2018" s="10"/>
      <c r="I2018" s="21"/>
      <c r="M2018" s="10"/>
      <c r="N2018" s="10"/>
      <c r="P2018" s="10"/>
      <c r="Q2018" s="22"/>
    </row>
    <row r="2019" customFormat="false" ht="15.75" hidden="false" customHeight="false" outlineLevel="0" collapsed="false">
      <c r="A2019" s="20" t="n">
        <v>46104</v>
      </c>
      <c r="B2019" s="15" t="s">
        <v>495</v>
      </c>
      <c r="C2019" s="15" t="s">
        <v>75</v>
      </c>
      <c r="D2019" s="15" t="s">
        <v>560</v>
      </c>
      <c r="E2019" s="15" t="n">
        <v>1</v>
      </c>
      <c r="H2019" s="10"/>
      <c r="I2019" s="21"/>
      <c r="M2019" s="10"/>
      <c r="N2019" s="10"/>
      <c r="P2019" s="10"/>
      <c r="Q2019" s="22"/>
    </row>
    <row r="2020" customFormat="false" ht="15.75" hidden="false" customHeight="false" outlineLevel="0" collapsed="false">
      <c r="A2020" s="20" t="n">
        <v>46104</v>
      </c>
      <c r="B2020" s="15" t="s">
        <v>495</v>
      </c>
      <c r="C2020" s="15" t="s">
        <v>43</v>
      </c>
      <c r="D2020" s="15" t="s">
        <v>538</v>
      </c>
      <c r="E2020" s="15" t="n">
        <v>1</v>
      </c>
      <c r="H2020" s="10"/>
      <c r="I2020" s="21"/>
      <c r="M2020" s="10"/>
      <c r="N2020" s="10"/>
      <c r="P2020" s="10"/>
      <c r="Q2020" s="22"/>
    </row>
    <row r="2021" customFormat="false" ht="15.75" hidden="false" customHeight="false" outlineLevel="0" collapsed="false">
      <c r="A2021" s="20" t="n">
        <v>46104</v>
      </c>
      <c r="B2021" s="15" t="s">
        <v>495</v>
      </c>
      <c r="C2021" s="15" t="s">
        <v>69</v>
      </c>
      <c r="D2021" s="15" t="s">
        <v>535</v>
      </c>
      <c r="E2021" s="15" t="n">
        <v>5</v>
      </c>
      <c r="H2021" s="10"/>
      <c r="I2021" s="21"/>
      <c r="M2021" s="10"/>
      <c r="N2021" s="10"/>
      <c r="P2021" s="10"/>
      <c r="Q2021" s="22"/>
    </row>
    <row r="2022" customFormat="false" ht="15.75" hidden="false" customHeight="false" outlineLevel="0" collapsed="false">
      <c r="A2022" s="20" t="n">
        <v>46104</v>
      </c>
      <c r="B2022" s="15" t="s">
        <v>495</v>
      </c>
      <c r="C2022" s="15" t="s">
        <v>547</v>
      </c>
      <c r="D2022" s="15" t="s">
        <v>548</v>
      </c>
      <c r="E2022" s="15" t="n">
        <v>3</v>
      </c>
      <c r="H2022" s="10"/>
      <c r="I2022" s="21"/>
      <c r="M2022" s="10"/>
      <c r="N2022" s="10"/>
      <c r="P2022" s="10"/>
      <c r="Q2022" s="22"/>
    </row>
    <row r="2023" customFormat="false" ht="15.75" hidden="false" customHeight="false" outlineLevel="0" collapsed="false">
      <c r="A2023" s="20" t="n">
        <v>46104</v>
      </c>
      <c r="B2023" s="15" t="s">
        <v>495</v>
      </c>
      <c r="C2023" s="15" t="s">
        <v>25</v>
      </c>
      <c r="D2023" s="15" t="s">
        <v>26</v>
      </c>
      <c r="E2023" s="15" t="n">
        <v>3</v>
      </c>
      <c r="H2023" s="10"/>
      <c r="I2023" s="21"/>
      <c r="M2023" s="10"/>
      <c r="N2023" s="10"/>
      <c r="P2023" s="10"/>
      <c r="Q2023" s="22"/>
    </row>
    <row r="2024" customFormat="false" ht="15.75" hidden="false" customHeight="false" outlineLevel="0" collapsed="false">
      <c r="A2024" s="20" t="n">
        <v>46104</v>
      </c>
      <c r="B2024" s="15" t="s">
        <v>495</v>
      </c>
      <c r="C2024" s="15" t="s">
        <v>543</v>
      </c>
      <c r="D2024" s="15" t="s">
        <v>544</v>
      </c>
      <c r="E2024" s="15" t="n">
        <v>6</v>
      </c>
      <c r="H2024" s="10"/>
      <c r="I2024" s="21"/>
      <c r="M2024" s="10"/>
      <c r="N2024" s="10"/>
      <c r="P2024" s="10"/>
      <c r="Q2024" s="22"/>
    </row>
    <row r="2025" customFormat="false" ht="15.75" hidden="false" customHeight="false" outlineLevel="0" collapsed="false">
      <c r="A2025" s="20" t="n">
        <v>46104</v>
      </c>
      <c r="B2025" s="15" t="s">
        <v>495</v>
      </c>
      <c r="C2025" s="15" t="s">
        <v>545</v>
      </c>
      <c r="D2025" s="15" t="s">
        <v>546</v>
      </c>
      <c r="E2025" s="15" t="n">
        <v>3</v>
      </c>
      <c r="H2025" s="10"/>
      <c r="I2025" s="21"/>
      <c r="M2025" s="10"/>
      <c r="N2025" s="10"/>
      <c r="P2025" s="10"/>
      <c r="Q2025" s="22"/>
    </row>
    <row r="2026" customFormat="false" ht="15.75" hidden="false" customHeight="false" outlineLevel="0" collapsed="false">
      <c r="A2026" s="20" t="n">
        <v>46104</v>
      </c>
      <c r="B2026" s="15" t="s">
        <v>495</v>
      </c>
      <c r="C2026" s="15" t="s">
        <v>63</v>
      </c>
      <c r="D2026" s="15" t="s">
        <v>551</v>
      </c>
      <c r="E2026" s="15" t="n">
        <v>1</v>
      </c>
      <c r="H2026" s="10"/>
      <c r="I2026" s="21"/>
      <c r="M2026" s="10"/>
      <c r="N2026" s="10"/>
      <c r="P2026" s="10"/>
      <c r="Q2026" s="22"/>
    </row>
    <row r="2027" customFormat="false" ht="15.75" hidden="false" customHeight="false" outlineLevel="0" collapsed="false">
      <c r="A2027" s="20" t="n">
        <v>46104</v>
      </c>
      <c r="B2027" s="15" t="s">
        <v>495</v>
      </c>
      <c r="C2027" s="15" t="s">
        <v>77</v>
      </c>
      <c r="D2027" s="15" t="s">
        <v>78</v>
      </c>
      <c r="E2027" s="15" t="n">
        <v>3</v>
      </c>
      <c r="H2027" s="10"/>
      <c r="I2027" s="21"/>
      <c r="M2027" s="10"/>
      <c r="N2027" s="10"/>
      <c r="P2027" s="10"/>
      <c r="Q2027" s="22"/>
    </row>
    <row r="2028" customFormat="false" ht="15.75" hidden="false" customHeight="false" outlineLevel="0" collapsed="false">
      <c r="A2028" s="20" t="n">
        <v>46104</v>
      </c>
      <c r="B2028" s="15" t="s">
        <v>495</v>
      </c>
      <c r="C2028" s="15" t="s">
        <v>61</v>
      </c>
      <c r="D2028" s="15" t="s">
        <v>576</v>
      </c>
      <c r="E2028" s="15" t="n">
        <v>1</v>
      </c>
      <c r="H2028" s="10"/>
      <c r="I2028" s="21"/>
      <c r="M2028" s="10"/>
      <c r="N2028" s="10"/>
      <c r="P2028" s="10"/>
      <c r="Q2028" s="22"/>
    </row>
    <row r="2029" customFormat="false" ht="15.75" hidden="false" customHeight="false" outlineLevel="0" collapsed="false">
      <c r="A2029" s="20" t="n">
        <v>46104</v>
      </c>
      <c r="B2029" s="15" t="s">
        <v>495</v>
      </c>
      <c r="C2029" s="15" t="s">
        <v>33</v>
      </c>
      <c r="D2029" s="15" t="s">
        <v>536</v>
      </c>
      <c r="E2029" s="15" t="n">
        <v>2</v>
      </c>
      <c r="H2029" s="10"/>
      <c r="I2029" s="21"/>
      <c r="M2029" s="10"/>
      <c r="N2029" s="10"/>
      <c r="P2029" s="10"/>
      <c r="Q2029" s="22"/>
    </row>
    <row r="2030" customFormat="false" ht="15.75" hidden="false" customHeight="false" outlineLevel="0" collapsed="false">
      <c r="A2030" s="20" t="n">
        <v>46104</v>
      </c>
      <c r="B2030" s="15" t="s">
        <v>495</v>
      </c>
      <c r="C2030" s="15" t="s">
        <v>59</v>
      </c>
      <c r="D2030" s="15" t="s">
        <v>562</v>
      </c>
      <c r="E2030" s="15" t="n">
        <v>2</v>
      </c>
      <c r="H2030" s="10"/>
      <c r="I2030" s="21"/>
      <c r="M2030" s="10"/>
      <c r="N2030" s="10"/>
      <c r="P2030" s="10"/>
      <c r="Q2030" s="22"/>
    </row>
    <row r="2031" customFormat="false" ht="15.75" hidden="false" customHeight="false" outlineLevel="0" collapsed="false">
      <c r="A2031" s="20" t="n">
        <v>46104</v>
      </c>
      <c r="B2031" s="15" t="s">
        <v>505</v>
      </c>
      <c r="C2031" s="15" t="s">
        <v>55</v>
      </c>
      <c r="D2031" s="15" t="s">
        <v>539</v>
      </c>
      <c r="E2031" s="15" t="n">
        <v>6</v>
      </c>
      <c r="H2031" s="10"/>
      <c r="I2031" s="21"/>
      <c r="M2031" s="10"/>
      <c r="N2031" s="10"/>
      <c r="P2031" s="10"/>
      <c r="Q2031" s="22"/>
    </row>
    <row r="2032" customFormat="false" ht="15.75" hidden="false" customHeight="false" outlineLevel="0" collapsed="false">
      <c r="A2032" s="20" t="n">
        <v>46104</v>
      </c>
      <c r="B2032" s="15" t="s">
        <v>505</v>
      </c>
      <c r="C2032" s="15" t="s">
        <v>39</v>
      </c>
      <c r="D2032" s="15" t="s">
        <v>550</v>
      </c>
      <c r="E2032" s="15" t="n">
        <v>1</v>
      </c>
      <c r="H2032" s="10"/>
      <c r="I2032" s="21"/>
      <c r="M2032" s="10"/>
      <c r="N2032" s="10"/>
      <c r="P2032" s="10"/>
      <c r="Q2032" s="22"/>
    </row>
    <row r="2033" customFormat="false" ht="15.75" hidden="false" customHeight="false" outlineLevel="0" collapsed="false">
      <c r="A2033" s="20" t="n">
        <v>46104</v>
      </c>
      <c r="B2033" s="15" t="s">
        <v>505</v>
      </c>
      <c r="C2033" s="15" t="s">
        <v>81</v>
      </c>
      <c r="D2033" s="15" t="s">
        <v>534</v>
      </c>
      <c r="E2033" s="15" t="n">
        <v>9</v>
      </c>
      <c r="H2033" s="10"/>
      <c r="I2033" s="21"/>
      <c r="M2033" s="10"/>
      <c r="N2033" s="10"/>
      <c r="P2033" s="10"/>
      <c r="Q2033" s="22"/>
    </row>
    <row r="2034" customFormat="false" ht="15.75" hidden="false" customHeight="false" outlineLevel="0" collapsed="false">
      <c r="A2034" s="20" t="n">
        <v>46104</v>
      </c>
      <c r="B2034" s="15" t="s">
        <v>505</v>
      </c>
      <c r="C2034" s="15" t="s">
        <v>47</v>
      </c>
      <c r="D2034" s="15" t="s">
        <v>549</v>
      </c>
      <c r="E2034" s="15" t="n">
        <v>3</v>
      </c>
      <c r="H2034" s="10"/>
      <c r="I2034" s="21"/>
      <c r="M2034" s="10"/>
      <c r="N2034" s="10"/>
      <c r="P2034" s="10"/>
      <c r="Q2034" s="22"/>
    </row>
    <row r="2035" customFormat="false" ht="15.75" hidden="false" customHeight="false" outlineLevel="0" collapsed="false">
      <c r="A2035" s="20" t="n">
        <v>46104</v>
      </c>
      <c r="B2035" s="15" t="s">
        <v>505</v>
      </c>
      <c r="C2035" s="15" t="s">
        <v>63</v>
      </c>
      <c r="D2035" s="15" t="s">
        <v>551</v>
      </c>
      <c r="E2035" s="15" t="n">
        <v>1</v>
      </c>
      <c r="H2035" s="10"/>
      <c r="I2035" s="21"/>
      <c r="M2035" s="10"/>
      <c r="N2035" s="10"/>
      <c r="P2035" s="10"/>
      <c r="Q2035" s="22"/>
    </row>
    <row r="2036" customFormat="false" ht="15.75" hidden="false" customHeight="false" outlineLevel="0" collapsed="false">
      <c r="A2036" s="20" t="n">
        <v>46104</v>
      </c>
      <c r="B2036" s="15" t="s">
        <v>505</v>
      </c>
      <c r="C2036" s="15" t="s">
        <v>17</v>
      </c>
      <c r="D2036" s="15" t="s">
        <v>554</v>
      </c>
      <c r="E2036" s="15" t="n">
        <v>1</v>
      </c>
      <c r="H2036" s="10"/>
      <c r="I2036" s="21"/>
      <c r="M2036" s="10"/>
      <c r="N2036" s="10"/>
      <c r="P2036" s="10"/>
      <c r="Q2036" s="22"/>
    </row>
    <row r="2037" customFormat="false" ht="15.75" hidden="false" customHeight="false" outlineLevel="0" collapsed="false">
      <c r="A2037" s="20" t="n">
        <v>46104</v>
      </c>
      <c r="B2037" s="15" t="s">
        <v>516</v>
      </c>
      <c r="C2037" s="15" t="s">
        <v>69</v>
      </c>
      <c r="D2037" s="15" t="s">
        <v>535</v>
      </c>
      <c r="E2037" s="15" t="n">
        <v>6</v>
      </c>
      <c r="H2037" s="10"/>
      <c r="I2037" s="21"/>
      <c r="M2037" s="10"/>
      <c r="N2037" s="10"/>
      <c r="P2037" s="10"/>
      <c r="Q2037" s="22"/>
    </row>
    <row r="2038" customFormat="false" ht="15.75" hidden="false" customHeight="false" outlineLevel="0" collapsed="false">
      <c r="A2038" s="20" t="n">
        <v>46104</v>
      </c>
      <c r="B2038" s="15" t="s">
        <v>516</v>
      </c>
      <c r="C2038" s="15" t="s">
        <v>33</v>
      </c>
      <c r="D2038" s="15" t="s">
        <v>536</v>
      </c>
      <c r="E2038" s="15" t="n">
        <v>6</v>
      </c>
      <c r="H2038" s="10"/>
      <c r="I2038" s="21"/>
      <c r="M2038" s="10"/>
      <c r="N2038" s="10"/>
      <c r="P2038" s="10"/>
      <c r="Q2038" s="22"/>
    </row>
    <row r="2039" customFormat="false" ht="15.75" hidden="false" customHeight="false" outlineLevel="0" collapsed="false">
      <c r="A2039" s="20" t="n">
        <v>46104</v>
      </c>
      <c r="B2039" s="15" t="s">
        <v>516</v>
      </c>
      <c r="C2039" s="15" t="s">
        <v>55</v>
      </c>
      <c r="D2039" s="15" t="s">
        <v>539</v>
      </c>
      <c r="E2039" s="15" t="n">
        <v>3</v>
      </c>
      <c r="H2039" s="10"/>
      <c r="I2039" s="21"/>
      <c r="M2039" s="10"/>
      <c r="N2039" s="10"/>
      <c r="P2039" s="10"/>
      <c r="Q2039" s="22"/>
    </row>
    <row r="2040" customFormat="false" ht="15.75" hidden="false" customHeight="false" outlineLevel="0" collapsed="false">
      <c r="A2040" s="20" t="n">
        <v>46104</v>
      </c>
      <c r="B2040" s="15" t="s">
        <v>516</v>
      </c>
      <c r="C2040" s="15" t="s">
        <v>47</v>
      </c>
      <c r="D2040" s="15" t="s">
        <v>549</v>
      </c>
      <c r="E2040" s="15" t="n">
        <v>2</v>
      </c>
      <c r="H2040" s="10"/>
      <c r="I2040" s="21"/>
      <c r="M2040" s="10"/>
      <c r="N2040" s="10"/>
      <c r="P2040" s="10"/>
      <c r="Q2040" s="22"/>
    </row>
    <row r="2041" customFormat="false" ht="15.75" hidden="false" customHeight="false" outlineLevel="0" collapsed="false">
      <c r="A2041" s="20" t="n">
        <v>46104</v>
      </c>
      <c r="B2041" s="15" t="s">
        <v>516</v>
      </c>
      <c r="C2041" s="15" t="s">
        <v>51</v>
      </c>
      <c r="D2041" s="15" t="s">
        <v>573</v>
      </c>
      <c r="E2041" s="15" t="n">
        <v>1</v>
      </c>
      <c r="H2041" s="10"/>
      <c r="I2041" s="21"/>
      <c r="M2041" s="10"/>
      <c r="N2041" s="10"/>
      <c r="P2041" s="10"/>
      <c r="Q2041" s="22"/>
    </row>
    <row r="2042" customFormat="false" ht="15.75" hidden="false" customHeight="false" outlineLevel="0" collapsed="false">
      <c r="A2042" s="20" t="n">
        <v>46104</v>
      </c>
      <c r="B2042" s="15" t="s">
        <v>516</v>
      </c>
      <c r="C2042" s="15" t="s">
        <v>37</v>
      </c>
      <c r="D2042" s="15" t="s">
        <v>561</v>
      </c>
      <c r="E2042" s="15" t="n">
        <v>1</v>
      </c>
      <c r="H2042" s="10"/>
      <c r="I2042" s="21"/>
      <c r="M2042" s="10"/>
      <c r="N2042" s="10"/>
      <c r="P2042" s="10"/>
      <c r="Q2042" s="22"/>
    </row>
    <row r="2043" customFormat="false" ht="15.75" hidden="false" customHeight="false" outlineLevel="0" collapsed="false">
      <c r="A2043" s="20" t="n">
        <v>46104</v>
      </c>
      <c r="B2043" s="15" t="s">
        <v>516</v>
      </c>
      <c r="C2043" s="15" t="s">
        <v>547</v>
      </c>
      <c r="D2043" s="15" t="s">
        <v>548</v>
      </c>
      <c r="E2043" s="15" t="n">
        <v>1</v>
      </c>
      <c r="H2043" s="10"/>
      <c r="I2043" s="21"/>
      <c r="M2043" s="10"/>
      <c r="N2043" s="10"/>
      <c r="P2043" s="10"/>
      <c r="Q2043" s="22"/>
    </row>
    <row r="2044" customFormat="false" ht="15.75" hidden="false" customHeight="false" outlineLevel="0" collapsed="false">
      <c r="A2044" s="20" t="n">
        <v>46104</v>
      </c>
      <c r="B2044" s="15" t="s">
        <v>516</v>
      </c>
      <c r="C2044" s="15" t="s">
        <v>81</v>
      </c>
      <c r="D2044" s="15" t="s">
        <v>534</v>
      </c>
      <c r="E2044" s="15" t="n">
        <v>1</v>
      </c>
      <c r="H2044" s="10"/>
      <c r="I2044" s="21"/>
      <c r="M2044" s="10"/>
      <c r="N2044" s="10"/>
      <c r="P2044" s="10"/>
      <c r="Q2044" s="22"/>
    </row>
    <row r="2045" customFormat="false" ht="15.75" hidden="false" customHeight="false" outlineLevel="0" collapsed="false">
      <c r="A2045" s="20" t="n">
        <v>46104</v>
      </c>
      <c r="B2045" s="15" t="s">
        <v>526</v>
      </c>
      <c r="C2045" s="15" t="s">
        <v>69</v>
      </c>
      <c r="D2045" s="15" t="s">
        <v>535</v>
      </c>
      <c r="E2045" s="15" t="n">
        <v>6</v>
      </c>
      <c r="H2045" s="10"/>
      <c r="I2045" s="21"/>
      <c r="M2045" s="10"/>
      <c r="N2045" s="10"/>
      <c r="P2045" s="10"/>
      <c r="Q2045" s="22"/>
    </row>
    <row r="2046" customFormat="false" ht="15.75" hidden="false" customHeight="false" outlineLevel="0" collapsed="false">
      <c r="A2046" s="20" t="n">
        <v>46104</v>
      </c>
      <c r="B2046" s="15" t="s">
        <v>526</v>
      </c>
      <c r="C2046" s="15" t="s">
        <v>33</v>
      </c>
      <c r="D2046" s="15" t="s">
        <v>536</v>
      </c>
      <c r="E2046" s="15" t="n">
        <v>6</v>
      </c>
      <c r="H2046" s="10"/>
      <c r="I2046" s="21"/>
      <c r="M2046" s="10"/>
      <c r="N2046" s="10"/>
      <c r="P2046" s="10"/>
      <c r="Q2046" s="22"/>
    </row>
    <row r="2047" customFormat="false" ht="15.75" hidden="false" customHeight="false" outlineLevel="0" collapsed="false">
      <c r="A2047" s="20" t="n">
        <v>46104</v>
      </c>
      <c r="B2047" s="15" t="s">
        <v>526</v>
      </c>
      <c r="C2047" s="15" t="s">
        <v>55</v>
      </c>
      <c r="D2047" s="15" t="s">
        <v>539</v>
      </c>
      <c r="E2047" s="15" t="n">
        <v>4</v>
      </c>
      <c r="H2047" s="10"/>
      <c r="I2047" s="21"/>
      <c r="M2047" s="10"/>
      <c r="N2047" s="10"/>
      <c r="P2047" s="10"/>
      <c r="Q2047" s="22"/>
    </row>
    <row r="2048" customFormat="false" ht="15.75" hidden="false" customHeight="false" outlineLevel="0" collapsed="false">
      <c r="A2048" s="20" t="n">
        <v>46104</v>
      </c>
      <c r="B2048" s="15" t="s">
        <v>526</v>
      </c>
      <c r="C2048" s="15" t="s">
        <v>81</v>
      </c>
      <c r="D2048" s="15" t="s">
        <v>534</v>
      </c>
      <c r="E2048" s="15" t="n">
        <v>2</v>
      </c>
      <c r="H2048" s="10"/>
      <c r="I2048" s="21"/>
      <c r="M2048" s="10"/>
      <c r="N2048" s="10"/>
      <c r="P2048" s="10"/>
      <c r="Q2048" s="22"/>
    </row>
    <row r="2049" customFormat="false" ht="15.75" hidden="false" customHeight="false" outlineLevel="0" collapsed="false">
      <c r="A2049" s="20" t="n">
        <v>46104</v>
      </c>
      <c r="B2049" s="15" t="s">
        <v>526</v>
      </c>
      <c r="C2049" s="15" t="s">
        <v>47</v>
      </c>
      <c r="D2049" s="15" t="s">
        <v>549</v>
      </c>
      <c r="E2049" s="15" t="n">
        <v>1</v>
      </c>
      <c r="H2049" s="10"/>
      <c r="I2049" s="21"/>
      <c r="M2049" s="10"/>
      <c r="N2049" s="10"/>
      <c r="P2049" s="10"/>
      <c r="Q2049" s="22"/>
    </row>
    <row r="2050" customFormat="false" ht="15.75" hidden="false" customHeight="false" outlineLevel="0" collapsed="false">
      <c r="A2050" s="20" t="n">
        <v>46104</v>
      </c>
      <c r="B2050" s="15" t="s">
        <v>529</v>
      </c>
      <c r="C2050" s="15" t="s">
        <v>81</v>
      </c>
      <c r="D2050" s="15" t="s">
        <v>534</v>
      </c>
      <c r="E2050" s="15" t="n">
        <v>8</v>
      </c>
      <c r="H2050" s="10"/>
      <c r="I2050" s="21"/>
      <c r="M2050" s="10"/>
      <c r="N2050" s="10"/>
      <c r="P2050" s="10"/>
      <c r="Q2050" s="22"/>
    </row>
    <row r="2051" customFormat="false" ht="15.75" hidden="false" customHeight="false" outlineLevel="0" collapsed="false">
      <c r="A2051" s="20" t="n">
        <v>46104</v>
      </c>
      <c r="B2051" s="15" t="s">
        <v>529</v>
      </c>
      <c r="C2051" s="15" t="s">
        <v>543</v>
      </c>
      <c r="D2051" s="15" t="s">
        <v>544</v>
      </c>
      <c r="E2051" s="15" t="n">
        <v>2</v>
      </c>
      <c r="H2051" s="10"/>
      <c r="I2051" s="21"/>
      <c r="M2051" s="10"/>
      <c r="N2051" s="10"/>
      <c r="P2051" s="10"/>
      <c r="Q2051" s="22"/>
    </row>
    <row r="2052" customFormat="false" ht="15.75" hidden="false" customHeight="false" outlineLevel="0" collapsed="false">
      <c r="A2052" s="20" t="n">
        <v>46104</v>
      </c>
      <c r="B2052" s="15" t="s">
        <v>529</v>
      </c>
      <c r="C2052" s="15" t="s">
        <v>545</v>
      </c>
      <c r="D2052" s="15" t="s">
        <v>546</v>
      </c>
      <c r="E2052" s="15" t="n">
        <v>1</v>
      </c>
      <c r="H2052" s="10"/>
      <c r="I2052" s="21"/>
      <c r="M2052" s="10"/>
      <c r="N2052" s="10"/>
      <c r="P2052" s="10"/>
      <c r="Q2052" s="22"/>
    </row>
    <row r="2053" customFormat="false" ht="15.75" hidden="false" customHeight="false" outlineLevel="0" collapsed="false">
      <c r="A2053" s="20" t="n">
        <v>46104</v>
      </c>
      <c r="B2053" s="15" t="s">
        <v>529</v>
      </c>
      <c r="C2053" s="15" t="s">
        <v>69</v>
      </c>
      <c r="D2053" s="15" t="s">
        <v>535</v>
      </c>
      <c r="E2053" s="15" t="n">
        <v>3</v>
      </c>
      <c r="H2053" s="10"/>
      <c r="I2053" s="21"/>
      <c r="M2053" s="10"/>
      <c r="N2053" s="10"/>
      <c r="P2053" s="10"/>
      <c r="Q2053" s="22"/>
    </row>
    <row r="2054" customFormat="false" ht="15.75" hidden="false" customHeight="false" outlineLevel="0" collapsed="false">
      <c r="A2054" s="20" t="n">
        <v>46104</v>
      </c>
      <c r="B2054" s="15" t="s">
        <v>529</v>
      </c>
      <c r="C2054" s="15" t="s">
        <v>77</v>
      </c>
      <c r="D2054" s="15" t="s">
        <v>78</v>
      </c>
      <c r="E2054" s="15" t="n">
        <v>2</v>
      </c>
      <c r="H2054" s="10"/>
      <c r="I2054" s="21"/>
      <c r="M2054" s="10"/>
      <c r="N2054" s="10"/>
      <c r="P2054" s="10"/>
      <c r="Q2054" s="22"/>
    </row>
    <row r="2055" customFormat="false" ht="15.75" hidden="false" customHeight="false" outlineLevel="0" collapsed="false">
      <c r="A2055" s="20" t="n">
        <v>46104</v>
      </c>
      <c r="B2055" s="15" t="s">
        <v>529</v>
      </c>
      <c r="C2055" s="15" t="s">
        <v>547</v>
      </c>
      <c r="D2055" s="15" t="s">
        <v>548</v>
      </c>
      <c r="E2055" s="15" t="n">
        <v>1</v>
      </c>
      <c r="H2055" s="10"/>
      <c r="I2055" s="21"/>
      <c r="M2055" s="10"/>
      <c r="N2055" s="10"/>
      <c r="P2055" s="10"/>
      <c r="Q2055" s="22"/>
    </row>
    <row r="2056" customFormat="false" ht="15.75" hidden="false" customHeight="false" outlineLevel="0" collapsed="false">
      <c r="A2056" s="20" t="n">
        <v>46104</v>
      </c>
      <c r="B2056" s="15" t="s">
        <v>529</v>
      </c>
      <c r="C2056" s="15" t="s">
        <v>49</v>
      </c>
      <c r="D2056" s="15" t="s">
        <v>537</v>
      </c>
      <c r="E2056" s="15" t="n">
        <v>1</v>
      </c>
      <c r="H2056" s="10"/>
      <c r="I2056" s="21"/>
      <c r="M2056" s="10"/>
      <c r="N2056" s="10"/>
      <c r="P2056" s="10"/>
      <c r="Q2056" s="22"/>
    </row>
    <row r="2057" customFormat="false" ht="15.75" hidden="false" customHeight="false" outlineLevel="0" collapsed="false">
      <c r="A2057" s="20" t="n">
        <v>46104</v>
      </c>
      <c r="B2057" s="15" t="s">
        <v>529</v>
      </c>
      <c r="C2057" s="15" t="s">
        <v>33</v>
      </c>
      <c r="D2057" s="15" t="s">
        <v>536</v>
      </c>
      <c r="E2057" s="15" t="n">
        <v>2</v>
      </c>
      <c r="H2057" s="10"/>
      <c r="I2057" s="21"/>
      <c r="M2057" s="10"/>
      <c r="N2057" s="10"/>
      <c r="P2057" s="10"/>
      <c r="Q2057" s="22"/>
    </row>
    <row r="2058" customFormat="false" ht="15.75" hidden="false" customHeight="false" outlineLevel="0" collapsed="false">
      <c r="A2058" s="20" t="n">
        <v>46105</v>
      </c>
      <c r="B2058" s="15" t="s">
        <v>453</v>
      </c>
      <c r="C2058" s="15" t="s">
        <v>47</v>
      </c>
      <c r="D2058" s="15" t="s">
        <v>549</v>
      </c>
      <c r="E2058" s="15" t="n">
        <v>2</v>
      </c>
      <c r="H2058" s="10"/>
      <c r="I2058" s="21"/>
      <c r="M2058" s="10"/>
      <c r="N2058" s="10"/>
      <c r="P2058" s="10"/>
      <c r="Q2058" s="22"/>
    </row>
    <row r="2059" customFormat="false" ht="15.75" hidden="false" customHeight="false" outlineLevel="0" collapsed="false">
      <c r="A2059" s="20" t="n">
        <v>46105</v>
      </c>
      <c r="B2059" s="15" t="s">
        <v>453</v>
      </c>
      <c r="C2059" s="15" t="s">
        <v>55</v>
      </c>
      <c r="D2059" s="15" t="s">
        <v>539</v>
      </c>
      <c r="E2059" s="15" t="n">
        <v>4</v>
      </c>
      <c r="H2059" s="10"/>
      <c r="I2059" s="21"/>
      <c r="M2059" s="10"/>
      <c r="N2059" s="10"/>
      <c r="P2059" s="10"/>
      <c r="Q2059" s="22"/>
    </row>
    <row r="2060" customFormat="false" ht="15.75" hidden="false" customHeight="false" outlineLevel="0" collapsed="false">
      <c r="A2060" s="20" t="n">
        <v>46105</v>
      </c>
      <c r="B2060" s="15" t="s">
        <v>453</v>
      </c>
      <c r="C2060" s="15" t="s">
        <v>81</v>
      </c>
      <c r="D2060" s="15" t="s">
        <v>534</v>
      </c>
      <c r="E2060" s="15" t="n">
        <v>8</v>
      </c>
      <c r="H2060" s="10"/>
      <c r="I2060" s="21"/>
      <c r="M2060" s="10"/>
      <c r="N2060" s="10"/>
      <c r="P2060" s="10"/>
      <c r="Q2060" s="22"/>
    </row>
    <row r="2061" customFormat="false" ht="15.75" hidden="false" customHeight="false" outlineLevel="0" collapsed="false">
      <c r="A2061" s="20" t="n">
        <v>46105</v>
      </c>
      <c r="B2061" s="15" t="s">
        <v>453</v>
      </c>
      <c r="C2061" s="15" t="s">
        <v>39</v>
      </c>
      <c r="D2061" s="15" t="s">
        <v>550</v>
      </c>
      <c r="E2061" s="15" t="n">
        <v>2</v>
      </c>
      <c r="H2061" s="10"/>
      <c r="I2061" s="21"/>
      <c r="M2061" s="10"/>
      <c r="N2061" s="10"/>
      <c r="P2061" s="10"/>
      <c r="Q2061" s="22"/>
    </row>
    <row r="2062" customFormat="false" ht="15.75" hidden="false" customHeight="false" outlineLevel="0" collapsed="false">
      <c r="A2062" s="20" t="n">
        <v>46105</v>
      </c>
      <c r="B2062" s="15" t="s">
        <v>453</v>
      </c>
      <c r="C2062" s="15" t="s">
        <v>63</v>
      </c>
      <c r="D2062" s="15" t="s">
        <v>551</v>
      </c>
      <c r="E2062" s="15" t="n">
        <v>1</v>
      </c>
      <c r="H2062" s="10"/>
      <c r="I2062" s="21"/>
      <c r="M2062" s="10"/>
      <c r="N2062" s="10"/>
      <c r="P2062" s="10"/>
      <c r="Q2062" s="22"/>
    </row>
    <row r="2063" customFormat="false" ht="15.75" hidden="false" customHeight="false" outlineLevel="0" collapsed="false">
      <c r="A2063" s="20" t="n">
        <v>46105</v>
      </c>
      <c r="B2063" s="15" t="s">
        <v>453</v>
      </c>
      <c r="C2063" s="15" t="s">
        <v>35</v>
      </c>
      <c r="D2063" s="15" t="s">
        <v>552</v>
      </c>
      <c r="E2063" s="15" t="n">
        <v>2</v>
      </c>
      <c r="H2063" s="10"/>
      <c r="I2063" s="21"/>
      <c r="M2063" s="10"/>
      <c r="N2063" s="10"/>
      <c r="P2063" s="10"/>
      <c r="Q2063" s="22"/>
    </row>
    <row r="2064" customFormat="false" ht="15.75" hidden="false" customHeight="false" outlineLevel="0" collapsed="false">
      <c r="A2064" s="20" t="n">
        <v>46105</v>
      </c>
      <c r="B2064" s="15" t="s">
        <v>465</v>
      </c>
      <c r="C2064" s="15" t="s">
        <v>47</v>
      </c>
      <c r="D2064" s="15" t="s">
        <v>549</v>
      </c>
      <c r="E2064" s="15" t="n">
        <v>2</v>
      </c>
      <c r="H2064" s="10"/>
      <c r="I2064" s="21"/>
      <c r="M2064" s="10"/>
      <c r="N2064" s="10"/>
      <c r="P2064" s="10"/>
      <c r="Q2064" s="22"/>
    </row>
    <row r="2065" customFormat="false" ht="15.75" hidden="false" customHeight="false" outlineLevel="0" collapsed="false">
      <c r="A2065" s="20" t="n">
        <v>46105</v>
      </c>
      <c r="B2065" s="15" t="s">
        <v>465</v>
      </c>
      <c r="C2065" s="15" t="s">
        <v>81</v>
      </c>
      <c r="D2065" s="15" t="s">
        <v>534</v>
      </c>
      <c r="E2065" s="15" t="n">
        <v>13</v>
      </c>
      <c r="H2065" s="10"/>
      <c r="I2065" s="21"/>
      <c r="M2065" s="10"/>
      <c r="N2065" s="10"/>
      <c r="P2065" s="10"/>
      <c r="Q2065" s="22"/>
    </row>
    <row r="2066" customFormat="false" ht="15.75" hidden="false" customHeight="false" outlineLevel="0" collapsed="false">
      <c r="A2066" s="20" t="n">
        <v>46105</v>
      </c>
      <c r="B2066" s="15" t="s">
        <v>465</v>
      </c>
      <c r="C2066" s="15" t="s">
        <v>55</v>
      </c>
      <c r="D2066" s="15" t="s">
        <v>539</v>
      </c>
      <c r="E2066" s="15" t="n">
        <v>2</v>
      </c>
      <c r="H2066" s="10"/>
      <c r="I2066" s="21"/>
      <c r="M2066" s="10"/>
      <c r="N2066" s="10"/>
      <c r="P2066" s="10"/>
      <c r="Q2066" s="22"/>
    </row>
    <row r="2067" customFormat="false" ht="15.75" hidden="false" customHeight="false" outlineLevel="0" collapsed="false">
      <c r="A2067" s="20" t="n">
        <v>46105</v>
      </c>
      <c r="B2067" s="15" t="s">
        <v>465</v>
      </c>
      <c r="C2067" s="15" t="s">
        <v>69</v>
      </c>
      <c r="D2067" s="15" t="s">
        <v>535</v>
      </c>
      <c r="E2067" s="15" t="n">
        <v>5</v>
      </c>
      <c r="H2067" s="10"/>
      <c r="I2067" s="21"/>
      <c r="M2067" s="10"/>
      <c r="N2067" s="10"/>
      <c r="P2067" s="10"/>
      <c r="Q2067" s="22"/>
    </row>
    <row r="2068" customFormat="false" ht="15.75" hidden="false" customHeight="false" outlineLevel="0" collapsed="false">
      <c r="A2068" s="20" t="n">
        <v>46105</v>
      </c>
      <c r="B2068" s="15" t="s">
        <v>465</v>
      </c>
      <c r="C2068" s="15" t="s">
        <v>555</v>
      </c>
      <c r="D2068" s="15" t="s">
        <v>556</v>
      </c>
      <c r="E2068" s="15" t="n">
        <v>3</v>
      </c>
      <c r="H2068" s="10"/>
      <c r="I2068" s="21"/>
      <c r="M2068" s="10"/>
      <c r="N2068" s="10"/>
      <c r="P2068" s="10"/>
      <c r="Q2068" s="22"/>
    </row>
    <row r="2069" customFormat="false" ht="15.75" hidden="false" customHeight="false" outlineLevel="0" collapsed="false">
      <c r="A2069" s="20" t="n">
        <v>46105</v>
      </c>
      <c r="B2069" s="15" t="s">
        <v>465</v>
      </c>
      <c r="C2069" s="15" t="s">
        <v>565</v>
      </c>
      <c r="D2069" s="15" t="s">
        <v>566</v>
      </c>
      <c r="E2069" s="15" t="n">
        <v>3</v>
      </c>
      <c r="H2069" s="10"/>
      <c r="I2069" s="21"/>
      <c r="M2069" s="10"/>
      <c r="N2069" s="10"/>
      <c r="P2069" s="10"/>
      <c r="Q2069" s="22"/>
    </row>
    <row r="2070" customFormat="false" ht="15.75" hidden="false" customHeight="false" outlineLevel="0" collapsed="false">
      <c r="A2070" s="20" t="n">
        <v>46105</v>
      </c>
      <c r="B2070" s="15" t="s">
        <v>465</v>
      </c>
      <c r="C2070" s="15" t="s">
        <v>570</v>
      </c>
      <c r="D2070" s="15" t="s">
        <v>571</v>
      </c>
      <c r="E2070" s="15" t="n">
        <v>6</v>
      </c>
      <c r="H2070" s="10"/>
      <c r="I2070" s="21"/>
      <c r="M2070" s="10"/>
      <c r="N2070" s="10"/>
      <c r="P2070" s="10"/>
      <c r="Q2070" s="22"/>
    </row>
    <row r="2071" customFormat="false" ht="15.75" hidden="false" customHeight="false" outlineLevel="0" collapsed="false">
      <c r="A2071" s="20" t="n">
        <v>46105</v>
      </c>
      <c r="B2071" s="15" t="s">
        <v>465</v>
      </c>
      <c r="C2071" s="15" t="s">
        <v>45</v>
      </c>
      <c r="D2071" s="15" t="s">
        <v>540</v>
      </c>
      <c r="E2071" s="15" t="n">
        <v>2</v>
      </c>
      <c r="H2071" s="10"/>
      <c r="I2071" s="21"/>
      <c r="M2071" s="10"/>
      <c r="N2071" s="10"/>
      <c r="P2071" s="10"/>
      <c r="Q2071" s="22"/>
    </row>
    <row r="2072" customFormat="false" ht="15.75" hidden="false" customHeight="false" outlineLevel="0" collapsed="false">
      <c r="A2072" s="20" t="n">
        <v>46105</v>
      </c>
      <c r="B2072" s="15" t="s">
        <v>465</v>
      </c>
      <c r="C2072" s="15" t="s">
        <v>547</v>
      </c>
      <c r="D2072" s="15" t="s">
        <v>548</v>
      </c>
      <c r="E2072" s="15" t="n">
        <v>3</v>
      </c>
      <c r="H2072" s="10"/>
      <c r="I2072" s="21"/>
      <c r="M2072" s="10"/>
      <c r="N2072" s="10"/>
      <c r="P2072" s="10"/>
      <c r="Q2072" s="22"/>
    </row>
    <row r="2073" customFormat="false" ht="15.75" hidden="false" customHeight="false" outlineLevel="0" collapsed="false">
      <c r="A2073" s="20" t="n">
        <v>46105</v>
      </c>
      <c r="B2073" s="15" t="s">
        <v>465</v>
      </c>
      <c r="C2073" s="15" t="s">
        <v>567</v>
      </c>
      <c r="D2073" s="15" t="s">
        <v>568</v>
      </c>
      <c r="E2073" s="15" t="n">
        <v>2</v>
      </c>
      <c r="H2073" s="10"/>
      <c r="I2073" s="21"/>
      <c r="M2073" s="10"/>
      <c r="N2073" s="10"/>
      <c r="P2073" s="10"/>
      <c r="Q2073" s="22"/>
    </row>
    <row r="2074" customFormat="false" ht="15.75" hidden="false" customHeight="false" outlineLevel="0" collapsed="false">
      <c r="A2074" s="20" t="n">
        <v>46105</v>
      </c>
      <c r="B2074" s="15" t="s">
        <v>465</v>
      </c>
      <c r="C2074" s="15" t="s">
        <v>543</v>
      </c>
      <c r="D2074" s="15" t="s">
        <v>544</v>
      </c>
      <c r="E2074" s="15" t="n">
        <v>3</v>
      </c>
      <c r="H2074" s="10"/>
      <c r="I2074" s="21"/>
      <c r="M2074" s="10"/>
      <c r="N2074" s="10"/>
      <c r="P2074" s="10"/>
      <c r="Q2074" s="22"/>
    </row>
    <row r="2075" customFormat="false" ht="15.75" hidden="false" customHeight="false" outlineLevel="0" collapsed="false">
      <c r="A2075" s="20" t="n">
        <v>46105</v>
      </c>
      <c r="B2075" s="15" t="s">
        <v>465</v>
      </c>
      <c r="C2075" s="15" t="s">
        <v>25</v>
      </c>
      <c r="D2075" s="15" t="s">
        <v>26</v>
      </c>
      <c r="E2075" s="15" t="n">
        <v>1</v>
      </c>
      <c r="H2075" s="10"/>
      <c r="I2075" s="21"/>
      <c r="M2075" s="10"/>
      <c r="N2075" s="10"/>
      <c r="P2075" s="10"/>
      <c r="Q2075" s="22"/>
    </row>
    <row r="2076" customFormat="false" ht="15.75" hidden="false" customHeight="false" outlineLevel="0" collapsed="false">
      <c r="A2076" s="20" t="n">
        <v>46105</v>
      </c>
      <c r="B2076" s="15" t="s">
        <v>465</v>
      </c>
      <c r="C2076" s="15" t="s">
        <v>77</v>
      </c>
      <c r="D2076" s="15" t="s">
        <v>78</v>
      </c>
      <c r="E2076" s="15" t="n">
        <v>2</v>
      </c>
      <c r="H2076" s="10"/>
      <c r="I2076" s="21"/>
      <c r="M2076" s="10"/>
      <c r="N2076" s="10"/>
      <c r="P2076" s="10"/>
      <c r="Q2076" s="22"/>
    </row>
    <row r="2077" customFormat="false" ht="15.75" hidden="false" customHeight="false" outlineLevel="0" collapsed="false">
      <c r="A2077" s="20" t="n">
        <v>46105</v>
      </c>
      <c r="B2077" s="15" t="s">
        <v>465</v>
      </c>
      <c r="C2077" s="15" t="s">
        <v>59</v>
      </c>
      <c r="D2077" s="15" t="s">
        <v>562</v>
      </c>
      <c r="E2077" s="15" t="n">
        <v>2</v>
      </c>
      <c r="H2077" s="10"/>
      <c r="I2077" s="21"/>
      <c r="M2077" s="10"/>
      <c r="N2077" s="10"/>
      <c r="P2077" s="10"/>
      <c r="Q2077" s="22"/>
    </row>
    <row r="2078" customFormat="false" ht="15.75" hidden="false" customHeight="false" outlineLevel="0" collapsed="false">
      <c r="A2078" s="20" t="n">
        <v>46105</v>
      </c>
      <c r="B2078" s="15" t="s">
        <v>465</v>
      </c>
      <c r="C2078" s="15" t="s">
        <v>545</v>
      </c>
      <c r="D2078" s="15" t="s">
        <v>546</v>
      </c>
      <c r="E2078" s="15" t="n">
        <v>4</v>
      </c>
      <c r="H2078" s="10"/>
      <c r="I2078" s="21"/>
      <c r="M2078" s="10"/>
      <c r="N2078" s="10"/>
      <c r="P2078" s="10"/>
      <c r="Q2078" s="22"/>
    </row>
    <row r="2079" customFormat="false" ht="15.75" hidden="false" customHeight="false" outlineLevel="0" collapsed="false">
      <c r="A2079" s="20" t="n">
        <v>46105</v>
      </c>
      <c r="B2079" s="15" t="s">
        <v>465</v>
      </c>
      <c r="C2079" s="15" t="s">
        <v>79</v>
      </c>
      <c r="D2079" s="15" t="s">
        <v>564</v>
      </c>
      <c r="E2079" s="15" t="n">
        <v>1</v>
      </c>
      <c r="H2079" s="10"/>
      <c r="I2079" s="21"/>
      <c r="M2079" s="10"/>
      <c r="N2079" s="10"/>
      <c r="P2079" s="10"/>
      <c r="Q2079" s="22"/>
    </row>
    <row r="2080" customFormat="false" ht="15.75" hidden="false" customHeight="false" outlineLevel="0" collapsed="false">
      <c r="A2080" s="20" t="n">
        <v>46105</v>
      </c>
      <c r="B2080" s="15" t="s">
        <v>465</v>
      </c>
      <c r="C2080" s="15" t="s">
        <v>43</v>
      </c>
      <c r="D2080" s="15" t="s">
        <v>538</v>
      </c>
      <c r="E2080" s="15" t="n">
        <v>1</v>
      </c>
      <c r="H2080" s="10"/>
      <c r="I2080" s="21"/>
      <c r="M2080" s="10"/>
      <c r="N2080" s="10"/>
      <c r="P2080" s="10"/>
      <c r="Q2080" s="22"/>
    </row>
    <row r="2081" customFormat="false" ht="15.75" hidden="false" customHeight="false" outlineLevel="0" collapsed="false">
      <c r="A2081" s="20" t="n">
        <v>46105</v>
      </c>
      <c r="B2081" s="15" t="s">
        <v>465</v>
      </c>
      <c r="C2081" s="15" t="s">
        <v>33</v>
      </c>
      <c r="D2081" s="15" t="s">
        <v>536</v>
      </c>
      <c r="E2081" s="15" t="n">
        <v>2</v>
      </c>
      <c r="H2081" s="10"/>
      <c r="I2081" s="21"/>
      <c r="M2081" s="10"/>
      <c r="N2081" s="10"/>
      <c r="P2081" s="10"/>
      <c r="Q2081" s="22"/>
    </row>
    <row r="2082" customFormat="false" ht="15.75" hidden="false" customHeight="false" outlineLevel="0" collapsed="false">
      <c r="A2082" s="20" t="n">
        <v>46105</v>
      </c>
      <c r="B2082" s="15" t="s">
        <v>465</v>
      </c>
      <c r="C2082" s="15" t="s">
        <v>65</v>
      </c>
      <c r="D2082" s="15" t="s">
        <v>580</v>
      </c>
      <c r="E2082" s="15" t="n">
        <v>1</v>
      </c>
      <c r="H2082" s="10"/>
      <c r="I2082" s="21"/>
      <c r="M2082" s="10"/>
      <c r="N2082" s="10"/>
      <c r="P2082" s="10"/>
      <c r="Q2082" s="22"/>
    </row>
    <row r="2083" customFormat="false" ht="15.75" hidden="false" customHeight="false" outlineLevel="0" collapsed="false">
      <c r="A2083" s="20" t="n">
        <v>46105</v>
      </c>
      <c r="B2083" s="15" t="s">
        <v>465</v>
      </c>
      <c r="C2083" s="15" t="s">
        <v>11</v>
      </c>
      <c r="D2083" s="15" t="s">
        <v>572</v>
      </c>
      <c r="E2083" s="15" t="n">
        <v>6</v>
      </c>
      <c r="H2083" s="10"/>
      <c r="I2083" s="21"/>
      <c r="M2083" s="10"/>
      <c r="N2083" s="10"/>
      <c r="P2083" s="10"/>
      <c r="Q2083" s="22"/>
    </row>
    <row r="2084" customFormat="false" ht="15.75" hidden="false" customHeight="false" outlineLevel="0" collapsed="false">
      <c r="A2084" s="20" t="n">
        <v>46105</v>
      </c>
      <c r="B2084" s="15" t="s">
        <v>467</v>
      </c>
      <c r="C2084" s="15" t="s">
        <v>55</v>
      </c>
      <c r="D2084" s="15" t="s">
        <v>539</v>
      </c>
      <c r="E2084" s="15" t="n">
        <v>6</v>
      </c>
      <c r="H2084" s="10"/>
      <c r="I2084" s="21"/>
      <c r="M2084" s="10"/>
      <c r="N2084" s="10"/>
      <c r="P2084" s="10"/>
      <c r="Q2084" s="22"/>
    </row>
    <row r="2085" customFormat="false" ht="15.75" hidden="false" customHeight="false" outlineLevel="0" collapsed="false">
      <c r="A2085" s="20" t="n">
        <v>46105</v>
      </c>
      <c r="B2085" s="15" t="s">
        <v>467</v>
      </c>
      <c r="C2085" s="15" t="s">
        <v>57</v>
      </c>
      <c r="D2085" s="15" t="s">
        <v>553</v>
      </c>
      <c r="E2085" s="15" t="n">
        <v>2</v>
      </c>
      <c r="H2085" s="10"/>
      <c r="I2085" s="21"/>
      <c r="M2085" s="10"/>
      <c r="N2085" s="10"/>
      <c r="P2085" s="10"/>
      <c r="Q2085" s="22"/>
    </row>
    <row r="2086" customFormat="false" ht="15.75" hidden="false" customHeight="false" outlineLevel="0" collapsed="false">
      <c r="A2086" s="20" t="n">
        <v>46105</v>
      </c>
      <c r="B2086" s="15" t="s">
        <v>467</v>
      </c>
      <c r="C2086" s="15" t="s">
        <v>47</v>
      </c>
      <c r="D2086" s="15" t="s">
        <v>549</v>
      </c>
      <c r="E2086" s="15" t="n">
        <v>2</v>
      </c>
      <c r="H2086" s="10"/>
      <c r="I2086" s="21"/>
      <c r="M2086" s="10"/>
      <c r="N2086" s="10"/>
      <c r="P2086" s="10"/>
      <c r="Q2086" s="22"/>
    </row>
    <row r="2087" customFormat="false" ht="15.75" hidden="false" customHeight="false" outlineLevel="0" collapsed="false">
      <c r="A2087" s="20" t="n">
        <v>46105</v>
      </c>
      <c r="B2087" s="15" t="s">
        <v>467</v>
      </c>
      <c r="C2087" s="15" t="s">
        <v>81</v>
      </c>
      <c r="D2087" s="15" t="s">
        <v>534</v>
      </c>
      <c r="E2087" s="15" t="n">
        <v>7</v>
      </c>
      <c r="H2087" s="10"/>
      <c r="I2087" s="21"/>
      <c r="M2087" s="10"/>
      <c r="N2087" s="10"/>
      <c r="P2087" s="10"/>
      <c r="Q2087" s="22"/>
    </row>
    <row r="2088" customFormat="false" ht="15.75" hidden="false" customHeight="false" outlineLevel="0" collapsed="false">
      <c r="A2088" s="20" t="n">
        <v>46105</v>
      </c>
      <c r="B2088" s="15" t="s">
        <v>467</v>
      </c>
      <c r="C2088" s="15" t="s">
        <v>49</v>
      </c>
      <c r="D2088" s="15" t="s">
        <v>537</v>
      </c>
      <c r="E2088" s="15" t="n">
        <v>2</v>
      </c>
      <c r="H2088" s="10"/>
      <c r="I2088" s="21"/>
      <c r="M2088" s="10"/>
      <c r="N2088" s="10"/>
      <c r="P2088" s="10"/>
      <c r="Q2088" s="22"/>
    </row>
    <row r="2089" customFormat="false" ht="15.75" hidden="false" customHeight="false" outlineLevel="0" collapsed="false">
      <c r="A2089" s="20" t="n">
        <v>46105</v>
      </c>
      <c r="B2089" s="15" t="s">
        <v>467</v>
      </c>
      <c r="C2089" s="15" t="s">
        <v>63</v>
      </c>
      <c r="D2089" s="15" t="s">
        <v>551</v>
      </c>
      <c r="E2089" s="15" t="n">
        <v>1</v>
      </c>
      <c r="H2089" s="10"/>
      <c r="I2089" s="21"/>
      <c r="M2089" s="10"/>
      <c r="N2089" s="10"/>
      <c r="P2089" s="10"/>
      <c r="Q2089" s="22"/>
    </row>
    <row r="2090" customFormat="false" ht="15.75" hidden="false" customHeight="false" outlineLevel="0" collapsed="false">
      <c r="A2090" s="20" t="n">
        <v>46105</v>
      </c>
      <c r="B2090" s="15" t="s">
        <v>469</v>
      </c>
      <c r="C2090" s="15" t="s">
        <v>69</v>
      </c>
      <c r="D2090" s="15" t="s">
        <v>535</v>
      </c>
      <c r="E2090" s="15" t="n">
        <v>5</v>
      </c>
      <c r="H2090" s="10"/>
      <c r="I2090" s="21"/>
      <c r="M2090" s="10"/>
      <c r="N2090" s="10"/>
      <c r="P2090" s="10"/>
      <c r="Q2090" s="22"/>
    </row>
    <row r="2091" customFormat="false" ht="15.75" hidden="false" customHeight="false" outlineLevel="0" collapsed="false">
      <c r="A2091" s="20" t="n">
        <v>46105</v>
      </c>
      <c r="B2091" s="15" t="s">
        <v>469</v>
      </c>
      <c r="C2091" s="15" t="s">
        <v>55</v>
      </c>
      <c r="D2091" s="15" t="s">
        <v>539</v>
      </c>
      <c r="E2091" s="15" t="n">
        <v>2</v>
      </c>
      <c r="H2091" s="10"/>
      <c r="I2091" s="21"/>
      <c r="M2091" s="10"/>
      <c r="N2091" s="10"/>
      <c r="P2091" s="10"/>
      <c r="Q2091" s="22"/>
    </row>
    <row r="2092" customFormat="false" ht="15.75" hidden="false" customHeight="false" outlineLevel="0" collapsed="false">
      <c r="A2092" s="20" t="n">
        <v>46105</v>
      </c>
      <c r="B2092" s="15" t="s">
        <v>469</v>
      </c>
      <c r="C2092" s="15" t="s">
        <v>33</v>
      </c>
      <c r="D2092" s="15" t="s">
        <v>536</v>
      </c>
      <c r="E2092" s="15" t="n">
        <v>5</v>
      </c>
      <c r="H2092" s="10"/>
      <c r="I2092" s="21"/>
      <c r="M2092" s="10"/>
      <c r="N2092" s="10"/>
      <c r="P2092" s="10"/>
      <c r="Q2092" s="22"/>
    </row>
    <row r="2093" customFormat="false" ht="15.75" hidden="false" customHeight="false" outlineLevel="0" collapsed="false">
      <c r="A2093" s="20" t="n">
        <v>46105</v>
      </c>
      <c r="B2093" s="15" t="s">
        <v>469</v>
      </c>
      <c r="C2093" s="15" t="s">
        <v>547</v>
      </c>
      <c r="D2093" s="15" t="s">
        <v>548</v>
      </c>
      <c r="E2093" s="15" t="n">
        <v>1</v>
      </c>
      <c r="H2093" s="10"/>
      <c r="I2093" s="21"/>
      <c r="M2093" s="10"/>
      <c r="N2093" s="10"/>
      <c r="P2093" s="10"/>
      <c r="Q2093" s="22"/>
    </row>
    <row r="2094" customFormat="false" ht="15.75" hidden="false" customHeight="false" outlineLevel="0" collapsed="false">
      <c r="A2094" s="20" t="n">
        <v>46105</v>
      </c>
      <c r="B2094" s="15" t="s">
        <v>469</v>
      </c>
      <c r="C2094" s="15" t="s">
        <v>81</v>
      </c>
      <c r="D2094" s="15" t="s">
        <v>534</v>
      </c>
      <c r="E2094" s="15" t="n">
        <v>2</v>
      </c>
      <c r="H2094" s="10"/>
      <c r="I2094" s="21"/>
      <c r="M2094" s="10"/>
      <c r="N2094" s="10"/>
      <c r="P2094" s="10"/>
      <c r="Q2094" s="22"/>
    </row>
    <row r="2095" customFormat="false" ht="15.75" hidden="false" customHeight="false" outlineLevel="0" collapsed="false">
      <c r="A2095" s="20" t="n">
        <v>46105</v>
      </c>
      <c r="B2095" s="15" t="s">
        <v>476</v>
      </c>
      <c r="C2095" s="15" t="s">
        <v>69</v>
      </c>
      <c r="D2095" s="15" t="s">
        <v>535</v>
      </c>
      <c r="E2095" s="15" t="n">
        <v>2</v>
      </c>
      <c r="H2095" s="10"/>
      <c r="I2095" s="21"/>
      <c r="M2095" s="10"/>
      <c r="N2095" s="10"/>
      <c r="P2095" s="10"/>
      <c r="Q2095" s="22"/>
    </row>
    <row r="2096" customFormat="false" ht="15.75" hidden="false" customHeight="false" outlineLevel="0" collapsed="false">
      <c r="A2096" s="20" t="n">
        <v>46105</v>
      </c>
      <c r="B2096" s="15" t="s">
        <v>476</v>
      </c>
      <c r="C2096" s="15" t="s">
        <v>33</v>
      </c>
      <c r="D2096" s="15" t="s">
        <v>536</v>
      </c>
      <c r="E2096" s="15" t="n">
        <v>2</v>
      </c>
      <c r="H2096" s="10"/>
      <c r="I2096" s="21"/>
      <c r="M2096" s="10"/>
      <c r="N2096" s="10"/>
      <c r="P2096" s="10"/>
      <c r="Q2096" s="22"/>
    </row>
    <row r="2097" customFormat="false" ht="15.75" hidden="false" customHeight="false" outlineLevel="0" collapsed="false">
      <c r="A2097" s="20" t="n">
        <v>46105</v>
      </c>
      <c r="B2097" s="15" t="s">
        <v>476</v>
      </c>
      <c r="C2097" s="15" t="s">
        <v>547</v>
      </c>
      <c r="D2097" s="15" t="s">
        <v>548</v>
      </c>
      <c r="E2097" s="15" t="n">
        <v>2</v>
      </c>
      <c r="H2097" s="10"/>
      <c r="I2097" s="21"/>
      <c r="M2097" s="10"/>
      <c r="N2097" s="10"/>
      <c r="P2097" s="10"/>
      <c r="Q2097" s="22"/>
    </row>
    <row r="2098" customFormat="false" ht="15.75" hidden="false" customHeight="false" outlineLevel="0" collapsed="false">
      <c r="A2098" s="20" t="n">
        <v>46105</v>
      </c>
      <c r="B2098" s="15" t="s">
        <v>476</v>
      </c>
      <c r="C2098" s="15" t="s">
        <v>25</v>
      </c>
      <c r="D2098" s="15" t="s">
        <v>26</v>
      </c>
      <c r="E2098" s="15" t="n">
        <v>2</v>
      </c>
      <c r="H2098" s="10"/>
      <c r="I2098" s="21"/>
      <c r="M2098" s="10"/>
      <c r="N2098" s="10"/>
      <c r="P2098" s="10"/>
      <c r="Q2098" s="22"/>
    </row>
    <row r="2099" customFormat="false" ht="15.75" hidden="false" customHeight="false" outlineLevel="0" collapsed="false">
      <c r="A2099" s="20" t="n">
        <v>46105</v>
      </c>
      <c r="B2099" s="15" t="s">
        <v>477</v>
      </c>
      <c r="C2099" s="15" t="s">
        <v>69</v>
      </c>
      <c r="D2099" s="15" t="s">
        <v>535</v>
      </c>
      <c r="E2099" s="15" t="n">
        <v>3</v>
      </c>
      <c r="H2099" s="10"/>
      <c r="I2099" s="21"/>
      <c r="M2099" s="10"/>
      <c r="N2099" s="10"/>
      <c r="P2099" s="10"/>
      <c r="Q2099" s="22"/>
    </row>
    <row r="2100" customFormat="false" ht="15.75" hidden="false" customHeight="false" outlineLevel="0" collapsed="false">
      <c r="A2100" s="20" t="n">
        <v>46105</v>
      </c>
      <c r="B2100" s="15" t="s">
        <v>477</v>
      </c>
      <c r="C2100" s="15" t="s">
        <v>547</v>
      </c>
      <c r="D2100" s="15" t="s">
        <v>548</v>
      </c>
      <c r="E2100" s="15" t="n">
        <v>3</v>
      </c>
      <c r="H2100" s="10"/>
      <c r="I2100" s="21"/>
      <c r="M2100" s="10"/>
      <c r="N2100" s="10"/>
      <c r="P2100" s="10"/>
      <c r="Q2100" s="22"/>
    </row>
    <row r="2101" customFormat="false" ht="15.75" hidden="false" customHeight="false" outlineLevel="0" collapsed="false">
      <c r="A2101" s="20" t="n">
        <v>46105</v>
      </c>
      <c r="B2101" s="15" t="s">
        <v>477</v>
      </c>
      <c r="C2101" s="15" t="s">
        <v>25</v>
      </c>
      <c r="D2101" s="15" t="s">
        <v>26</v>
      </c>
      <c r="E2101" s="15" t="n">
        <v>3</v>
      </c>
      <c r="H2101" s="10"/>
      <c r="I2101" s="21"/>
      <c r="M2101" s="10"/>
      <c r="N2101" s="10"/>
      <c r="P2101" s="10"/>
      <c r="Q2101" s="22"/>
    </row>
    <row r="2102" customFormat="false" ht="15.75" hidden="false" customHeight="false" outlineLevel="0" collapsed="false">
      <c r="A2102" s="20" t="n">
        <v>46105</v>
      </c>
      <c r="B2102" s="15" t="s">
        <v>484</v>
      </c>
      <c r="C2102" s="15" t="s">
        <v>69</v>
      </c>
      <c r="D2102" s="15" t="s">
        <v>535</v>
      </c>
      <c r="E2102" s="15" t="n">
        <v>2</v>
      </c>
      <c r="H2102" s="10"/>
      <c r="I2102" s="21"/>
      <c r="M2102" s="10"/>
      <c r="N2102" s="10"/>
      <c r="P2102" s="10"/>
      <c r="Q2102" s="22"/>
    </row>
    <row r="2103" customFormat="false" ht="15.75" hidden="false" customHeight="false" outlineLevel="0" collapsed="false">
      <c r="A2103" s="20" t="n">
        <v>46105</v>
      </c>
      <c r="B2103" s="15" t="s">
        <v>484</v>
      </c>
      <c r="C2103" s="15" t="s">
        <v>81</v>
      </c>
      <c r="D2103" s="15" t="s">
        <v>534</v>
      </c>
      <c r="E2103" s="15" t="n">
        <v>5</v>
      </c>
      <c r="H2103" s="10"/>
      <c r="I2103" s="21"/>
      <c r="M2103" s="10"/>
      <c r="N2103" s="10"/>
      <c r="P2103" s="10"/>
      <c r="Q2103" s="22"/>
    </row>
    <row r="2104" customFormat="false" ht="15.75" hidden="false" customHeight="false" outlineLevel="0" collapsed="false">
      <c r="A2104" s="20" t="n">
        <v>46105</v>
      </c>
      <c r="B2104" s="15" t="s">
        <v>484</v>
      </c>
      <c r="C2104" s="15" t="s">
        <v>37</v>
      </c>
      <c r="D2104" s="15" t="s">
        <v>561</v>
      </c>
      <c r="E2104" s="15" t="n">
        <v>2</v>
      </c>
      <c r="H2104" s="10"/>
      <c r="I2104" s="21"/>
      <c r="M2104" s="10"/>
      <c r="N2104" s="10"/>
      <c r="P2104" s="10"/>
      <c r="Q2104" s="22"/>
    </row>
    <row r="2105" customFormat="false" ht="15.75" hidden="false" customHeight="false" outlineLevel="0" collapsed="false">
      <c r="A2105" s="20" t="n">
        <v>46105</v>
      </c>
      <c r="B2105" s="15" t="s">
        <v>484</v>
      </c>
      <c r="C2105" s="15" t="s">
        <v>547</v>
      </c>
      <c r="D2105" s="15" t="s">
        <v>548</v>
      </c>
      <c r="E2105" s="15" t="n">
        <v>1</v>
      </c>
      <c r="H2105" s="10"/>
      <c r="I2105" s="21"/>
      <c r="M2105" s="10"/>
      <c r="N2105" s="10"/>
      <c r="P2105" s="10"/>
      <c r="Q2105" s="22"/>
    </row>
    <row r="2106" customFormat="false" ht="15.75" hidden="false" customHeight="false" outlineLevel="0" collapsed="false">
      <c r="A2106" s="20" t="n">
        <v>46105</v>
      </c>
      <c r="B2106" s="15" t="s">
        <v>484</v>
      </c>
      <c r="C2106" s="15" t="s">
        <v>33</v>
      </c>
      <c r="D2106" s="15" t="s">
        <v>536</v>
      </c>
      <c r="E2106" s="15" t="n">
        <v>2</v>
      </c>
      <c r="H2106" s="10"/>
      <c r="I2106" s="21"/>
      <c r="M2106" s="10"/>
      <c r="N2106" s="10"/>
      <c r="P2106" s="10"/>
      <c r="Q2106" s="22"/>
    </row>
    <row r="2107" customFormat="false" ht="15.75" hidden="false" customHeight="false" outlineLevel="0" collapsed="false">
      <c r="A2107" s="20" t="n">
        <v>46105</v>
      </c>
      <c r="B2107" s="15" t="s">
        <v>484</v>
      </c>
      <c r="C2107" s="15" t="s">
        <v>77</v>
      </c>
      <c r="D2107" s="15" t="s">
        <v>78</v>
      </c>
      <c r="E2107" s="15" t="n">
        <v>2</v>
      </c>
      <c r="H2107" s="10"/>
      <c r="I2107" s="21"/>
      <c r="M2107" s="10"/>
      <c r="N2107" s="10"/>
      <c r="P2107" s="10"/>
      <c r="Q2107" s="22"/>
    </row>
    <row r="2108" customFormat="false" ht="15.75" hidden="false" customHeight="false" outlineLevel="0" collapsed="false">
      <c r="A2108" s="20" t="n">
        <v>46105</v>
      </c>
      <c r="B2108" s="15" t="s">
        <v>484</v>
      </c>
      <c r="C2108" s="15" t="s">
        <v>578</v>
      </c>
      <c r="D2108" s="15" t="s">
        <v>579</v>
      </c>
      <c r="E2108" s="15" t="n">
        <v>1</v>
      </c>
      <c r="H2108" s="10"/>
      <c r="I2108" s="21"/>
      <c r="M2108" s="10"/>
      <c r="N2108" s="10"/>
      <c r="P2108" s="10"/>
      <c r="Q2108" s="22"/>
    </row>
    <row r="2109" customFormat="false" ht="15.75" hidden="false" customHeight="false" outlineLevel="0" collapsed="false">
      <c r="A2109" s="20" t="n">
        <v>46105</v>
      </c>
      <c r="B2109" s="15" t="s">
        <v>484</v>
      </c>
      <c r="C2109" s="15" t="s">
        <v>11</v>
      </c>
      <c r="D2109" s="15" t="s">
        <v>572</v>
      </c>
      <c r="E2109" s="15" t="n">
        <v>1</v>
      </c>
      <c r="H2109" s="10"/>
      <c r="I2109" s="21"/>
      <c r="M2109" s="10"/>
      <c r="N2109" s="10"/>
      <c r="P2109" s="10"/>
      <c r="Q2109" s="22"/>
    </row>
    <row r="2110" customFormat="false" ht="15.75" hidden="false" customHeight="false" outlineLevel="0" collapsed="false">
      <c r="A2110" s="20" t="n">
        <v>46105</v>
      </c>
      <c r="B2110" s="15" t="s">
        <v>490</v>
      </c>
      <c r="C2110" s="15" t="s">
        <v>81</v>
      </c>
      <c r="D2110" s="15" t="s">
        <v>534</v>
      </c>
      <c r="E2110" s="15" t="n">
        <v>23</v>
      </c>
      <c r="H2110" s="10"/>
      <c r="I2110" s="21"/>
      <c r="M2110" s="10"/>
      <c r="N2110" s="10"/>
      <c r="P2110" s="10"/>
      <c r="Q2110" s="22"/>
    </row>
    <row r="2111" customFormat="false" ht="15.75" hidden="false" customHeight="false" outlineLevel="0" collapsed="false">
      <c r="A2111" s="20" t="n">
        <v>46105</v>
      </c>
      <c r="B2111" s="15" t="s">
        <v>490</v>
      </c>
      <c r="C2111" s="15" t="s">
        <v>75</v>
      </c>
      <c r="D2111" s="15" t="s">
        <v>560</v>
      </c>
      <c r="E2111" s="15" t="n">
        <v>1</v>
      </c>
      <c r="H2111" s="10"/>
      <c r="I2111" s="21"/>
      <c r="M2111" s="10"/>
      <c r="N2111" s="10"/>
      <c r="P2111" s="10"/>
      <c r="Q2111" s="22"/>
    </row>
    <row r="2112" customFormat="false" ht="15.75" hidden="false" customHeight="false" outlineLevel="0" collapsed="false">
      <c r="A2112" s="20" t="n">
        <v>46105</v>
      </c>
      <c r="B2112" s="15" t="s">
        <v>490</v>
      </c>
      <c r="C2112" s="15" t="s">
        <v>37</v>
      </c>
      <c r="D2112" s="15" t="s">
        <v>561</v>
      </c>
      <c r="E2112" s="15" t="n">
        <v>1</v>
      </c>
      <c r="H2112" s="10"/>
      <c r="I2112" s="21"/>
      <c r="M2112" s="10"/>
      <c r="N2112" s="10"/>
      <c r="P2112" s="10"/>
      <c r="Q2112" s="22"/>
    </row>
    <row r="2113" customFormat="false" ht="15.75" hidden="false" customHeight="false" outlineLevel="0" collapsed="false">
      <c r="A2113" s="20" t="n">
        <v>46105</v>
      </c>
      <c r="B2113" s="15" t="s">
        <v>490</v>
      </c>
      <c r="C2113" s="15" t="s">
        <v>69</v>
      </c>
      <c r="D2113" s="15" t="s">
        <v>535</v>
      </c>
      <c r="E2113" s="15" t="n">
        <v>4</v>
      </c>
      <c r="H2113" s="10"/>
      <c r="I2113" s="21"/>
      <c r="M2113" s="10"/>
      <c r="N2113" s="10"/>
      <c r="P2113" s="10"/>
      <c r="Q2113" s="22"/>
    </row>
    <row r="2114" customFormat="false" ht="15.75" hidden="false" customHeight="false" outlineLevel="0" collapsed="false">
      <c r="A2114" s="20" t="n">
        <v>46105</v>
      </c>
      <c r="B2114" s="15" t="s">
        <v>490</v>
      </c>
      <c r="C2114" s="15" t="s">
        <v>25</v>
      </c>
      <c r="D2114" s="15" t="s">
        <v>26</v>
      </c>
      <c r="E2114" s="15" t="n">
        <v>1</v>
      </c>
      <c r="H2114" s="10"/>
      <c r="I2114" s="21"/>
      <c r="M2114" s="10"/>
      <c r="N2114" s="10"/>
      <c r="P2114" s="10"/>
      <c r="Q2114" s="22"/>
    </row>
    <row r="2115" customFormat="false" ht="15.75" hidden="false" customHeight="false" outlineLevel="0" collapsed="false">
      <c r="A2115" s="20" t="n">
        <v>46105</v>
      </c>
      <c r="B2115" s="15" t="s">
        <v>490</v>
      </c>
      <c r="C2115" s="15" t="s">
        <v>547</v>
      </c>
      <c r="D2115" s="15" t="s">
        <v>548</v>
      </c>
      <c r="E2115" s="15" t="n">
        <v>1</v>
      </c>
      <c r="H2115" s="10"/>
      <c r="I2115" s="21"/>
      <c r="M2115" s="10"/>
      <c r="N2115" s="10"/>
      <c r="P2115" s="10"/>
      <c r="Q2115" s="22"/>
    </row>
    <row r="2116" customFormat="false" ht="15.75" hidden="false" customHeight="false" outlineLevel="0" collapsed="false">
      <c r="A2116" s="20" t="n">
        <v>46105</v>
      </c>
      <c r="B2116" s="15" t="s">
        <v>490</v>
      </c>
      <c r="C2116" s="15" t="s">
        <v>545</v>
      </c>
      <c r="D2116" s="15" t="s">
        <v>546</v>
      </c>
      <c r="E2116" s="15" t="n">
        <v>2</v>
      </c>
      <c r="H2116" s="10"/>
      <c r="I2116" s="21"/>
      <c r="M2116" s="10"/>
      <c r="N2116" s="10"/>
      <c r="P2116" s="10"/>
      <c r="Q2116" s="22"/>
    </row>
    <row r="2117" customFormat="false" ht="15.75" hidden="false" customHeight="false" outlineLevel="0" collapsed="false">
      <c r="A2117" s="20" t="n">
        <v>46105</v>
      </c>
      <c r="B2117" s="15" t="s">
        <v>490</v>
      </c>
      <c r="C2117" s="15" t="s">
        <v>543</v>
      </c>
      <c r="D2117" s="15" t="s">
        <v>544</v>
      </c>
      <c r="E2117" s="15" t="n">
        <v>2</v>
      </c>
      <c r="H2117" s="10"/>
      <c r="I2117" s="21"/>
      <c r="M2117" s="10"/>
      <c r="N2117" s="10"/>
      <c r="P2117" s="10"/>
      <c r="Q2117" s="22"/>
    </row>
    <row r="2118" customFormat="false" ht="15.75" hidden="false" customHeight="false" outlineLevel="0" collapsed="false">
      <c r="A2118" s="20" t="n">
        <v>46105</v>
      </c>
      <c r="B2118" s="15" t="s">
        <v>490</v>
      </c>
      <c r="C2118" s="15" t="s">
        <v>77</v>
      </c>
      <c r="D2118" s="15" t="s">
        <v>78</v>
      </c>
      <c r="E2118" s="15" t="n">
        <v>3</v>
      </c>
      <c r="H2118" s="10"/>
      <c r="I2118" s="21"/>
      <c r="M2118" s="10"/>
      <c r="N2118" s="10"/>
      <c r="P2118" s="10"/>
      <c r="Q2118" s="22"/>
    </row>
    <row r="2119" customFormat="false" ht="15.75" hidden="false" customHeight="false" outlineLevel="0" collapsed="false">
      <c r="A2119" s="20" t="n">
        <v>46105</v>
      </c>
      <c r="B2119" s="15" t="s">
        <v>490</v>
      </c>
      <c r="C2119" s="15" t="s">
        <v>33</v>
      </c>
      <c r="D2119" s="15" t="s">
        <v>536</v>
      </c>
      <c r="E2119" s="15" t="n">
        <v>3</v>
      </c>
      <c r="H2119" s="10"/>
      <c r="I2119" s="21"/>
      <c r="M2119" s="10"/>
      <c r="N2119" s="10"/>
      <c r="P2119" s="10"/>
      <c r="Q2119" s="22"/>
    </row>
    <row r="2120" customFormat="false" ht="15.75" hidden="false" customHeight="false" outlineLevel="0" collapsed="false">
      <c r="A2120" s="20" t="n">
        <v>46105</v>
      </c>
      <c r="B2120" s="15" t="s">
        <v>490</v>
      </c>
      <c r="C2120" s="15" t="s">
        <v>79</v>
      </c>
      <c r="D2120" s="15" t="s">
        <v>564</v>
      </c>
      <c r="E2120" s="15" t="n">
        <v>1</v>
      </c>
      <c r="H2120" s="10"/>
      <c r="I2120" s="21"/>
      <c r="M2120" s="10"/>
      <c r="N2120" s="10"/>
      <c r="P2120" s="10"/>
      <c r="Q2120" s="22"/>
    </row>
    <row r="2121" customFormat="false" ht="15.75" hidden="false" customHeight="false" outlineLevel="0" collapsed="false">
      <c r="A2121" s="20" t="n">
        <v>46105</v>
      </c>
      <c r="B2121" s="15" t="s">
        <v>490</v>
      </c>
      <c r="C2121" s="15" t="s">
        <v>49</v>
      </c>
      <c r="D2121" s="15" t="s">
        <v>537</v>
      </c>
      <c r="E2121" s="15" t="n">
        <v>2</v>
      </c>
      <c r="H2121" s="10"/>
      <c r="I2121" s="21"/>
      <c r="M2121" s="10"/>
      <c r="N2121" s="10"/>
      <c r="P2121" s="10"/>
      <c r="Q2121" s="22"/>
    </row>
    <row r="2122" customFormat="false" ht="15.75" hidden="false" customHeight="false" outlineLevel="0" collapsed="false">
      <c r="A2122" s="20" t="n">
        <v>46105</v>
      </c>
      <c r="B2122" s="15" t="s">
        <v>491</v>
      </c>
      <c r="C2122" s="15" t="s">
        <v>37</v>
      </c>
      <c r="D2122" s="15" t="s">
        <v>561</v>
      </c>
      <c r="E2122" s="15" t="n">
        <v>1</v>
      </c>
      <c r="H2122" s="10"/>
      <c r="I2122" s="21"/>
      <c r="M2122" s="10"/>
      <c r="N2122" s="10"/>
      <c r="P2122" s="10"/>
      <c r="Q2122" s="22"/>
    </row>
    <row r="2123" customFormat="false" ht="15.75" hidden="false" customHeight="false" outlineLevel="0" collapsed="false">
      <c r="A2123" s="20" t="n">
        <v>46105</v>
      </c>
      <c r="B2123" s="15" t="s">
        <v>491</v>
      </c>
      <c r="C2123" s="15" t="s">
        <v>81</v>
      </c>
      <c r="D2123" s="15" t="s">
        <v>534</v>
      </c>
      <c r="E2123" s="15" t="n">
        <v>8</v>
      </c>
      <c r="H2123" s="10"/>
      <c r="I2123" s="21"/>
      <c r="M2123" s="10"/>
      <c r="N2123" s="10"/>
      <c r="P2123" s="10"/>
      <c r="Q2123" s="22"/>
    </row>
    <row r="2124" customFormat="false" ht="15.75" hidden="false" customHeight="false" outlineLevel="0" collapsed="false">
      <c r="A2124" s="20" t="n">
        <v>46105</v>
      </c>
      <c r="B2124" s="15" t="s">
        <v>491</v>
      </c>
      <c r="C2124" s="15" t="s">
        <v>75</v>
      </c>
      <c r="D2124" s="15" t="s">
        <v>560</v>
      </c>
      <c r="E2124" s="15" t="n">
        <v>1</v>
      </c>
      <c r="H2124" s="10"/>
      <c r="I2124" s="21"/>
      <c r="M2124" s="10"/>
      <c r="N2124" s="10"/>
      <c r="P2124" s="10"/>
      <c r="Q2124" s="22"/>
    </row>
    <row r="2125" customFormat="false" ht="15.75" hidden="false" customHeight="false" outlineLevel="0" collapsed="false">
      <c r="A2125" s="20" t="n">
        <v>46105</v>
      </c>
      <c r="B2125" s="15" t="s">
        <v>491</v>
      </c>
      <c r="C2125" s="15" t="s">
        <v>69</v>
      </c>
      <c r="D2125" s="15" t="s">
        <v>535</v>
      </c>
      <c r="E2125" s="15" t="n">
        <v>6</v>
      </c>
      <c r="H2125" s="10"/>
      <c r="I2125" s="21"/>
      <c r="M2125" s="10"/>
      <c r="N2125" s="10"/>
      <c r="P2125" s="10"/>
      <c r="Q2125" s="22"/>
    </row>
    <row r="2126" customFormat="false" ht="15.75" hidden="false" customHeight="false" outlineLevel="0" collapsed="false">
      <c r="A2126" s="20" t="n">
        <v>46105</v>
      </c>
      <c r="B2126" s="15" t="s">
        <v>491</v>
      </c>
      <c r="C2126" s="15" t="s">
        <v>547</v>
      </c>
      <c r="D2126" s="15" t="s">
        <v>548</v>
      </c>
      <c r="E2126" s="15" t="n">
        <v>1</v>
      </c>
      <c r="H2126" s="10"/>
      <c r="I2126" s="21"/>
      <c r="M2126" s="10"/>
      <c r="N2126" s="10"/>
      <c r="P2126" s="10"/>
      <c r="Q2126" s="22"/>
    </row>
    <row r="2127" customFormat="false" ht="15.75" hidden="false" customHeight="false" outlineLevel="0" collapsed="false">
      <c r="A2127" s="20" t="n">
        <v>46105</v>
      </c>
      <c r="B2127" s="15" t="s">
        <v>491</v>
      </c>
      <c r="C2127" s="15" t="s">
        <v>31</v>
      </c>
      <c r="D2127" s="15" t="s">
        <v>559</v>
      </c>
      <c r="E2127" s="15" t="n">
        <v>2</v>
      </c>
      <c r="H2127" s="10"/>
      <c r="I2127" s="21"/>
      <c r="M2127" s="10"/>
      <c r="N2127" s="10"/>
      <c r="P2127" s="10"/>
      <c r="Q2127" s="22"/>
    </row>
    <row r="2128" customFormat="false" ht="15.75" hidden="false" customHeight="false" outlineLevel="0" collapsed="false">
      <c r="A2128" s="20" t="n">
        <v>46105</v>
      </c>
      <c r="B2128" s="15" t="s">
        <v>491</v>
      </c>
      <c r="C2128" s="15" t="s">
        <v>545</v>
      </c>
      <c r="D2128" s="15" t="s">
        <v>546</v>
      </c>
      <c r="E2128" s="15" t="n">
        <v>2</v>
      </c>
      <c r="H2128" s="10"/>
      <c r="I2128" s="21"/>
      <c r="M2128" s="10"/>
      <c r="N2128" s="10"/>
      <c r="P2128" s="10"/>
      <c r="Q2128" s="22"/>
    </row>
    <row r="2129" customFormat="false" ht="15.75" hidden="false" customHeight="false" outlineLevel="0" collapsed="false">
      <c r="A2129" s="20" t="n">
        <v>46105</v>
      </c>
      <c r="B2129" s="15" t="s">
        <v>491</v>
      </c>
      <c r="C2129" s="15" t="s">
        <v>543</v>
      </c>
      <c r="D2129" s="15" t="s">
        <v>544</v>
      </c>
      <c r="E2129" s="15" t="n">
        <v>4</v>
      </c>
      <c r="H2129" s="10"/>
      <c r="I2129" s="21"/>
      <c r="M2129" s="10"/>
      <c r="N2129" s="10"/>
      <c r="P2129" s="10"/>
      <c r="Q2129" s="22"/>
    </row>
    <row r="2130" customFormat="false" ht="15.75" hidden="false" customHeight="false" outlineLevel="0" collapsed="false">
      <c r="A2130" s="20" t="n">
        <v>46105</v>
      </c>
      <c r="B2130" s="15" t="s">
        <v>491</v>
      </c>
      <c r="C2130" s="15" t="s">
        <v>541</v>
      </c>
      <c r="D2130" s="15" t="s">
        <v>542</v>
      </c>
      <c r="E2130" s="15" t="n">
        <v>2</v>
      </c>
      <c r="H2130" s="10"/>
      <c r="I2130" s="21"/>
      <c r="M2130" s="10"/>
      <c r="N2130" s="10"/>
      <c r="P2130" s="10"/>
      <c r="Q2130" s="22"/>
    </row>
    <row r="2131" customFormat="false" ht="15.75" hidden="false" customHeight="false" outlineLevel="0" collapsed="false">
      <c r="A2131" s="20" t="n">
        <v>46105</v>
      </c>
      <c r="B2131" s="15" t="s">
        <v>491</v>
      </c>
      <c r="C2131" s="15" t="s">
        <v>49</v>
      </c>
      <c r="D2131" s="15" t="s">
        <v>537</v>
      </c>
      <c r="E2131" s="15" t="n">
        <v>1</v>
      </c>
      <c r="H2131" s="10"/>
      <c r="I2131" s="21"/>
      <c r="M2131" s="10"/>
      <c r="N2131" s="10"/>
      <c r="P2131" s="10"/>
      <c r="Q2131" s="22"/>
    </row>
    <row r="2132" customFormat="false" ht="15.75" hidden="false" customHeight="false" outlineLevel="0" collapsed="false">
      <c r="A2132" s="20" t="n">
        <v>46105</v>
      </c>
      <c r="B2132" s="15" t="s">
        <v>491</v>
      </c>
      <c r="C2132" s="15" t="s">
        <v>33</v>
      </c>
      <c r="D2132" s="15" t="s">
        <v>536</v>
      </c>
      <c r="E2132" s="15" t="n">
        <v>5</v>
      </c>
      <c r="H2132" s="10"/>
      <c r="I2132" s="21"/>
      <c r="M2132" s="10"/>
      <c r="N2132" s="10"/>
      <c r="P2132" s="10"/>
      <c r="Q2132" s="22"/>
    </row>
    <row r="2133" customFormat="false" ht="15.75" hidden="false" customHeight="false" outlineLevel="0" collapsed="false">
      <c r="A2133" s="20" t="n">
        <v>46105</v>
      </c>
      <c r="B2133" s="15" t="s">
        <v>491</v>
      </c>
      <c r="C2133" s="15" t="s">
        <v>77</v>
      </c>
      <c r="D2133" s="15" t="s">
        <v>78</v>
      </c>
      <c r="E2133" s="15" t="n">
        <v>3</v>
      </c>
      <c r="H2133" s="10"/>
      <c r="I2133" s="21"/>
      <c r="M2133" s="10"/>
      <c r="N2133" s="10"/>
      <c r="P2133" s="10"/>
      <c r="Q2133" s="22"/>
    </row>
    <row r="2134" customFormat="false" ht="15.75" hidden="false" customHeight="false" outlineLevel="0" collapsed="false">
      <c r="A2134" s="20" t="n">
        <v>46105</v>
      </c>
      <c r="B2134" s="15" t="s">
        <v>491</v>
      </c>
      <c r="C2134" s="15" t="s">
        <v>47</v>
      </c>
      <c r="D2134" s="15" t="s">
        <v>549</v>
      </c>
      <c r="E2134" s="15" t="n">
        <v>1</v>
      </c>
      <c r="H2134" s="10"/>
      <c r="I2134" s="21"/>
      <c r="M2134" s="10"/>
      <c r="N2134" s="10"/>
      <c r="P2134" s="10"/>
      <c r="Q2134" s="22"/>
    </row>
    <row r="2135" customFormat="false" ht="15.75" hidden="false" customHeight="false" outlineLevel="0" collapsed="false">
      <c r="A2135" s="20" t="n">
        <v>46105</v>
      </c>
      <c r="B2135" s="15" t="s">
        <v>491</v>
      </c>
      <c r="C2135" s="15" t="s">
        <v>55</v>
      </c>
      <c r="D2135" s="15" t="s">
        <v>539</v>
      </c>
      <c r="E2135" s="15" t="n">
        <v>1</v>
      </c>
      <c r="H2135" s="10"/>
      <c r="I2135" s="21"/>
      <c r="M2135" s="10"/>
      <c r="N2135" s="10"/>
      <c r="P2135" s="10"/>
      <c r="Q2135" s="22"/>
    </row>
    <row r="2136" customFormat="false" ht="15.75" hidden="false" customHeight="false" outlineLevel="0" collapsed="false">
      <c r="A2136" s="20" t="n">
        <v>46105</v>
      </c>
      <c r="B2136" s="15" t="s">
        <v>491</v>
      </c>
      <c r="C2136" s="15" t="s">
        <v>59</v>
      </c>
      <c r="D2136" s="15" t="s">
        <v>562</v>
      </c>
      <c r="E2136" s="15" t="n">
        <v>1</v>
      </c>
      <c r="H2136" s="10"/>
      <c r="I2136" s="21"/>
      <c r="M2136" s="10"/>
      <c r="N2136" s="10"/>
      <c r="P2136" s="10"/>
      <c r="Q2136" s="22"/>
    </row>
    <row r="2137" customFormat="false" ht="15.75" hidden="false" customHeight="false" outlineLevel="0" collapsed="false">
      <c r="A2137" s="20" t="n">
        <v>46105</v>
      </c>
      <c r="B2137" s="15" t="s">
        <v>491</v>
      </c>
      <c r="C2137" s="15" t="s">
        <v>43</v>
      </c>
      <c r="D2137" s="15" t="s">
        <v>538</v>
      </c>
      <c r="E2137" s="15" t="n">
        <v>1</v>
      </c>
      <c r="H2137" s="10"/>
      <c r="I2137" s="21"/>
      <c r="M2137" s="10"/>
      <c r="N2137" s="10"/>
      <c r="P2137" s="10"/>
      <c r="Q2137" s="22"/>
    </row>
    <row r="2138" customFormat="false" ht="15.75" hidden="false" customHeight="false" outlineLevel="0" collapsed="false">
      <c r="A2138" s="20" t="n">
        <v>46105</v>
      </c>
      <c r="B2138" s="15" t="s">
        <v>491</v>
      </c>
      <c r="C2138" s="15" t="s">
        <v>87</v>
      </c>
      <c r="D2138" s="15" t="s">
        <v>563</v>
      </c>
      <c r="E2138" s="15" t="n">
        <v>1</v>
      </c>
      <c r="H2138" s="10"/>
      <c r="I2138" s="21"/>
      <c r="M2138" s="10"/>
      <c r="N2138" s="10"/>
      <c r="P2138" s="10"/>
      <c r="Q2138" s="22"/>
    </row>
    <row r="2139" customFormat="false" ht="15.75" hidden="false" customHeight="false" outlineLevel="0" collapsed="false">
      <c r="A2139" s="20" t="n">
        <v>46105</v>
      </c>
      <c r="B2139" s="15" t="s">
        <v>491</v>
      </c>
      <c r="C2139" s="15" t="s">
        <v>79</v>
      </c>
      <c r="D2139" s="15" t="s">
        <v>564</v>
      </c>
      <c r="E2139" s="15" t="n">
        <v>1</v>
      </c>
      <c r="H2139" s="10"/>
      <c r="I2139" s="21"/>
      <c r="M2139" s="10"/>
      <c r="N2139" s="10"/>
      <c r="P2139" s="10"/>
      <c r="Q2139" s="22"/>
    </row>
    <row r="2140" customFormat="false" ht="15.75" hidden="false" customHeight="false" outlineLevel="0" collapsed="false">
      <c r="A2140" s="20" t="n">
        <v>46105</v>
      </c>
      <c r="B2140" s="15" t="s">
        <v>499</v>
      </c>
      <c r="C2140" s="15" t="s">
        <v>543</v>
      </c>
      <c r="D2140" s="15" t="s">
        <v>544</v>
      </c>
      <c r="E2140" s="15" t="n">
        <v>1</v>
      </c>
      <c r="H2140" s="10"/>
      <c r="I2140" s="21"/>
      <c r="M2140" s="10"/>
      <c r="N2140" s="10"/>
      <c r="P2140" s="10"/>
      <c r="Q2140" s="22"/>
    </row>
    <row r="2141" customFormat="false" ht="15.75" hidden="false" customHeight="false" outlineLevel="0" collapsed="false">
      <c r="A2141" s="20" t="n">
        <v>46105</v>
      </c>
      <c r="B2141" s="15" t="s">
        <v>499</v>
      </c>
      <c r="C2141" s="15" t="s">
        <v>69</v>
      </c>
      <c r="D2141" s="15" t="s">
        <v>535</v>
      </c>
      <c r="E2141" s="15" t="n">
        <v>1</v>
      </c>
      <c r="H2141" s="10"/>
      <c r="I2141" s="21"/>
      <c r="M2141" s="10"/>
      <c r="N2141" s="10"/>
      <c r="P2141" s="10"/>
      <c r="Q2141" s="22"/>
    </row>
    <row r="2142" customFormat="false" ht="15.75" hidden="false" customHeight="false" outlineLevel="0" collapsed="false">
      <c r="A2142" s="20" t="n">
        <v>46105</v>
      </c>
      <c r="B2142" s="15" t="s">
        <v>499</v>
      </c>
      <c r="C2142" s="15" t="s">
        <v>33</v>
      </c>
      <c r="D2142" s="15" t="s">
        <v>536</v>
      </c>
      <c r="E2142" s="15" t="n">
        <v>2</v>
      </c>
      <c r="H2142" s="10"/>
      <c r="I2142" s="21"/>
      <c r="M2142" s="10"/>
      <c r="N2142" s="10"/>
      <c r="P2142" s="10"/>
      <c r="Q2142" s="22"/>
    </row>
    <row r="2143" customFormat="false" ht="15.75" hidden="false" customHeight="false" outlineLevel="0" collapsed="false">
      <c r="A2143" s="20" t="n">
        <v>46105</v>
      </c>
      <c r="B2143" s="15" t="s">
        <v>499</v>
      </c>
      <c r="C2143" s="15" t="s">
        <v>55</v>
      </c>
      <c r="D2143" s="15" t="s">
        <v>539</v>
      </c>
      <c r="E2143" s="15" t="n">
        <v>1</v>
      </c>
      <c r="H2143" s="10"/>
      <c r="I2143" s="21"/>
      <c r="M2143" s="10"/>
      <c r="N2143" s="10"/>
      <c r="P2143" s="10"/>
      <c r="Q2143" s="22"/>
    </row>
    <row r="2144" customFormat="false" ht="15.75" hidden="false" customHeight="false" outlineLevel="0" collapsed="false">
      <c r="A2144" s="20" t="n">
        <v>46105</v>
      </c>
      <c r="B2144" s="15" t="s">
        <v>499</v>
      </c>
      <c r="C2144" s="15" t="s">
        <v>59</v>
      </c>
      <c r="D2144" s="15" t="s">
        <v>562</v>
      </c>
      <c r="E2144" s="15" t="n">
        <v>1</v>
      </c>
      <c r="H2144" s="10"/>
      <c r="I2144" s="21"/>
      <c r="M2144" s="10"/>
      <c r="N2144" s="10"/>
      <c r="P2144" s="10"/>
      <c r="Q2144" s="22"/>
    </row>
    <row r="2145" customFormat="false" ht="15.75" hidden="false" customHeight="false" outlineLevel="0" collapsed="false">
      <c r="A2145" s="20" t="n">
        <v>46105</v>
      </c>
      <c r="B2145" s="15" t="s">
        <v>499</v>
      </c>
      <c r="C2145" s="15" t="s">
        <v>47</v>
      </c>
      <c r="D2145" s="15" t="s">
        <v>549</v>
      </c>
      <c r="E2145" s="15" t="n">
        <v>1</v>
      </c>
      <c r="H2145" s="10"/>
      <c r="I2145" s="21"/>
      <c r="M2145" s="10"/>
      <c r="N2145" s="10"/>
      <c r="P2145" s="10"/>
      <c r="Q2145" s="22"/>
    </row>
    <row r="2146" customFormat="false" ht="15.75" hidden="false" customHeight="false" outlineLevel="0" collapsed="false">
      <c r="A2146" s="20" t="n">
        <v>46105</v>
      </c>
      <c r="B2146" s="15" t="s">
        <v>499</v>
      </c>
      <c r="C2146" s="15" t="s">
        <v>75</v>
      </c>
      <c r="D2146" s="15" t="s">
        <v>560</v>
      </c>
      <c r="E2146" s="15" t="n">
        <v>1</v>
      </c>
      <c r="H2146" s="10"/>
      <c r="I2146" s="21"/>
      <c r="M2146" s="10"/>
      <c r="N2146" s="10"/>
      <c r="P2146" s="10"/>
      <c r="Q2146" s="22"/>
    </row>
    <row r="2147" customFormat="false" ht="15.75" hidden="false" customHeight="false" outlineLevel="0" collapsed="false">
      <c r="A2147" s="20" t="n">
        <v>46105</v>
      </c>
      <c r="B2147" s="15" t="s">
        <v>499</v>
      </c>
      <c r="C2147" s="15" t="s">
        <v>81</v>
      </c>
      <c r="D2147" s="15" t="s">
        <v>534</v>
      </c>
      <c r="E2147" s="15" t="n">
        <v>7</v>
      </c>
      <c r="H2147" s="10"/>
      <c r="I2147" s="21"/>
      <c r="M2147" s="10"/>
      <c r="N2147" s="10"/>
      <c r="P2147" s="10"/>
      <c r="Q2147" s="22"/>
    </row>
    <row r="2148" customFormat="false" ht="15.75" hidden="false" customHeight="false" outlineLevel="0" collapsed="false">
      <c r="A2148" s="20" t="n">
        <v>46105</v>
      </c>
      <c r="B2148" s="15" t="s">
        <v>499</v>
      </c>
      <c r="C2148" s="15" t="s">
        <v>77</v>
      </c>
      <c r="D2148" s="15" t="s">
        <v>78</v>
      </c>
      <c r="E2148" s="15" t="n">
        <v>2</v>
      </c>
      <c r="H2148" s="10"/>
      <c r="I2148" s="21"/>
      <c r="M2148" s="10"/>
      <c r="N2148" s="10"/>
      <c r="P2148" s="10"/>
      <c r="Q2148" s="22"/>
    </row>
    <row r="2149" customFormat="false" ht="15.75" hidden="false" customHeight="false" outlineLevel="0" collapsed="false">
      <c r="A2149" s="20" t="n">
        <v>46105</v>
      </c>
      <c r="B2149" s="15" t="s">
        <v>505</v>
      </c>
      <c r="C2149" s="15" t="s">
        <v>55</v>
      </c>
      <c r="D2149" s="15" t="s">
        <v>539</v>
      </c>
      <c r="E2149" s="15" t="n">
        <v>6</v>
      </c>
      <c r="H2149" s="10"/>
      <c r="I2149" s="21"/>
      <c r="M2149" s="10"/>
      <c r="N2149" s="10"/>
      <c r="P2149" s="10"/>
      <c r="Q2149" s="22"/>
    </row>
    <row r="2150" customFormat="false" ht="15.75" hidden="false" customHeight="false" outlineLevel="0" collapsed="false">
      <c r="A2150" s="20" t="n">
        <v>46105</v>
      </c>
      <c r="B2150" s="15" t="s">
        <v>505</v>
      </c>
      <c r="C2150" s="15" t="s">
        <v>39</v>
      </c>
      <c r="D2150" s="15" t="s">
        <v>550</v>
      </c>
      <c r="E2150" s="15" t="n">
        <v>1</v>
      </c>
      <c r="H2150" s="10"/>
      <c r="I2150" s="21"/>
      <c r="M2150" s="10"/>
      <c r="N2150" s="10"/>
      <c r="P2150" s="10"/>
      <c r="Q2150" s="22"/>
    </row>
    <row r="2151" customFormat="false" ht="15.75" hidden="false" customHeight="false" outlineLevel="0" collapsed="false">
      <c r="A2151" s="20" t="n">
        <v>46105</v>
      </c>
      <c r="B2151" s="15" t="s">
        <v>505</v>
      </c>
      <c r="C2151" s="15" t="s">
        <v>81</v>
      </c>
      <c r="D2151" s="15" t="s">
        <v>534</v>
      </c>
      <c r="E2151" s="15" t="n">
        <v>9</v>
      </c>
      <c r="H2151" s="10"/>
      <c r="I2151" s="21"/>
      <c r="M2151" s="10"/>
      <c r="N2151" s="10"/>
      <c r="P2151" s="10"/>
      <c r="Q2151" s="22"/>
    </row>
    <row r="2152" customFormat="false" ht="15.75" hidden="false" customHeight="false" outlineLevel="0" collapsed="false">
      <c r="A2152" s="20" t="n">
        <v>46105</v>
      </c>
      <c r="B2152" s="15" t="s">
        <v>505</v>
      </c>
      <c r="C2152" s="15" t="s">
        <v>47</v>
      </c>
      <c r="D2152" s="15" t="s">
        <v>549</v>
      </c>
      <c r="E2152" s="15" t="n">
        <v>3</v>
      </c>
      <c r="H2152" s="10"/>
      <c r="I2152" s="21"/>
      <c r="M2152" s="10"/>
      <c r="N2152" s="10"/>
      <c r="P2152" s="10"/>
      <c r="Q2152" s="22"/>
    </row>
    <row r="2153" customFormat="false" ht="15.75" hidden="false" customHeight="false" outlineLevel="0" collapsed="false">
      <c r="A2153" s="20" t="n">
        <v>46105</v>
      </c>
      <c r="B2153" s="15" t="s">
        <v>505</v>
      </c>
      <c r="C2153" s="15" t="s">
        <v>63</v>
      </c>
      <c r="D2153" s="15" t="s">
        <v>551</v>
      </c>
      <c r="E2153" s="15" t="n">
        <v>1</v>
      </c>
      <c r="H2153" s="10"/>
      <c r="I2153" s="21"/>
      <c r="M2153" s="10"/>
      <c r="N2153" s="10"/>
      <c r="P2153" s="10"/>
      <c r="Q2153" s="22"/>
    </row>
    <row r="2154" customFormat="false" ht="15.75" hidden="false" customHeight="false" outlineLevel="0" collapsed="false">
      <c r="A2154" s="20" t="n">
        <v>46105</v>
      </c>
      <c r="B2154" s="15" t="s">
        <v>505</v>
      </c>
      <c r="C2154" s="15" t="s">
        <v>17</v>
      </c>
      <c r="D2154" s="15" t="s">
        <v>554</v>
      </c>
      <c r="E2154" s="15" t="n">
        <v>1</v>
      </c>
      <c r="H2154" s="10"/>
      <c r="I2154" s="21"/>
      <c r="M2154" s="10"/>
      <c r="N2154" s="10"/>
      <c r="P2154" s="10"/>
      <c r="Q2154" s="22"/>
    </row>
    <row r="2155" customFormat="false" ht="15.75" hidden="false" customHeight="false" outlineLevel="0" collapsed="false">
      <c r="A2155" s="20" t="n">
        <v>46105</v>
      </c>
      <c r="B2155" s="15" t="s">
        <v>516</v>
      </c>
      <c r="C2155" s="15" t="s">
        <v>69</v>
      </c>
      <c r="D2155" s="15" t="s">
        <v>535</v>
      </c>
      <c r="E2155" s="15" t="n">
        <v>6</v>
      </c>
      <c r="H2155" s="10"/>
      <c r="I2155" s="21"/>
      <c r="M2155" s="10"/>
      <c r="N2155" s="10"/>
      <c r="P2155" s="10"/>
      <c r="Q2155" s="22"/>
    </row>
    <row r="2156" customFormat="false" ht="15.75" hidden="false" customHeight="false" outlineLevel="0" collapsed="false">
      <c r="A2156" s="20" t="n">
        <v>46105</v>
      </c>
      <c r="B2156" s="15" t="s">
        <v>516</v>
      </c>
      <c r="C2156" s="15" t="s">
        <v>33</v>
      </c>
      <c r="D2156" s="15" t="s">
        <v>536</v>
      </c>
      <c r="E2156" s="15" t="n">
        <v>6</v>
      </c>
      <c r="H2156" s="10"/>
      <c r="I2156" s="21"/>
      <c r="M2156" s="10"/>
      <c r="N2156" s="10"/>
      <c r="P2156" s="10"/>
      <c r="Q2156" s="22"/>
    </row>
    <row r="2157" customFormat="false" ht="15.75" hidden="false" customHeight="false" outlineLevel="0" collapsed="false">
      <c r="A2157" s="20" t="n">
        <v>46105</v>
      </c>
      <c r="B2157" s="15" t="s">
        <v>516</v>
      </c>
      <c r="C2157" s="15" t="s">
        <v>55</v>
      </c>
      <c r="D2157" s="15" t="s">
        <v>539</v>
      </c>
      <c r="E2157" s="15" t="n">
        <v>3</v>
      </c>
      <c r="H2157" s="10"/>
      <c r="I2157" s="21"/>
      <c r="M2157" s="10"/>
      <c r="N2157" s="10"/>
      <c r="P2157" s="10"/>
      <c r="Q2157" s="22"/>
    </row>
    <row r="2158" customFormat="false" ht="15.75" hidden="false" customHeight="false" outlineLevel="0" collapsed="false">
      <c r="A2158" s="20" t="n">
        <v>46105</v>
      </c>
      <c r="B2158" s="15" t="s">
        <v>516</v>
      </c>
      <c r="C2158" s="15" t="s">
        <v>47</v>
      </c>
      <c r="D2158" s="15" t="s">
        <v>549</v>
      </c>
      <c r="E2158" s="15" t="n">
        <v>2</v>
      </c>
      <c r="H2158" s="10"/>
      <c r="I2158" s="21"/>
      <c r="M2158" s="10"/>
      <c r="N2158" s="10"/>
      <c r="P2158" s="10"/>
      <c r="Q2158" s="22"/>
    </row>
    <row r="2159" customFormat="false" ht="15.75" hidden="false" customHeight="false" outlineLevel="0" collapsed="false">
      <c r="A2159" s="20" t="n">
        <v>46105</v>
      </c>
      <c r="B2159" s="15" t="s">
        <v>516</v>
      </c>
      <c r="C2159" s="15" t="s">
        <v>51</v>
      </c>
      <c r="D2159" s="15" t="s">
        <v>573</v>
      </c>
      <c r="E2159" s="15" t="n">
        <v>1</v>
      </c>
      <c r="H2159" s="10"/>
      <c r="I2159" s="21"/>
      <c r="M2159" s="10"/>
      <c r="N2159" s="10"/>
      <c r="P2159" s="10"/>
      <c r="Q2159" s="22"/>
    </row>
    <row r="2160" customFormat="false" ht="15.75" hidden="false" customHeight="false" outlineLevel="0" collapsed="false">
      <c r="A2160" s="20" t="n">
        <v>46105</v>
      </c>
      <c r="B2160" s="15" t="s">
        <v>516</v>
      </c>
      <c r="C2160" s="15" t="s">
        <v>37</v>
      </c>
      <c r="D2160" s="15" t="s">
        <v>561</v>
      </c>
      <c r="E2160" s="15" t="n">
        <v>1</v>
      </c>
      <c r="H2160" s="10"/>
      <c r="I2160" s="21"/>
      <c r="M2160" s="10"/>
      <c r="N2160" s="10"/>
      <c r="P2160" s="10"/>
      <c r="Q2160" s="22"/>
    </row>
    <row r="2161" customFormat="false" ht="15.75" hidden="false" customHeight="false" outlineLevel="0" collapsed="false">
      <c r="A2161" s="20" t="n">
        <v>46105</v>
      </c>
      <c r="B2161" s="15" t="s">
        <v>516</v>
      </c>
      <c r="C2161" s="15" t="s">
        <v>547</v>
      </c>
      <c r="D2161" s="15" t="s">
        <v>548</v>
      </c>
      <c r="E2161" s="15" t="n">
        <v>1</v>
      </c>
      <c r="H2161" s="10"/>
      <c r="I2161" s="21"/>
      <c r="M2161" s="10"/>
      <c r="N2161" s="10"/>
      <c r="P2161" s="10"/>
      <c r="Q2161" s="22"/>
    </row>
    <row r="2162" customFormat="false" ht="15.75" hidden="false" customHeight="false" outlineLevel="0" collapsed="false">
      <c r="A2162" s="20" t="n">
        <v>46105</v>
      </c>
      <c r="B2162" s="15" t="s">
        <v>516</v>
      </c>
      <c r="C2162" s="15" t="s">
        <v>81</v>
      </c>
      <c r="D2162" s="15" t="s">
        <v>534</v>
      </c>
      <c r="E2162" s="15" t="n">
        <v>1</v>
      </c>
      <c r="H2162" s="10"/>
      <c r="I2162" s="21"/>
      <c r="M2162" s="10"/>
      <c r="N2162" s="10"/>
      <c r="P2162" s="10"/>
      <c r="Q2162" s="22"/>
    </row>
    <row r="2163" customFormat="false" ht="15.75" hidden="false" customHeight="false" outlineLevel="0" collapsed="false">
      <c r="A2163" s="20" t="n">
        <v>46105</v>
      </c>
      <c r="B2163" s="15" t="s">
        <v>524</v>
      </c>
      <c r="C2163" s="15" t="s">
        <v>69</v>
      </c>
      <c r="D2163" s="15" t="s">
        <v>535</v>
      </c>
      <c r="E2163" s="15" t="n">
        <v>6</v>
      </c>
      <c r="H2163" s="10"/>
      <c r="I2163" s="21"/>
      <c r="M2163" s="10"/>
      <c r="N2163" s="10"/>
      <c r="P2163" s="10"/>
      <c r="Q2163" s="22"/>
    </row>
    <row r="2164" customFormat="false" ht="15.75" hidden="false" customHeight="false" outlineLevel="0" collapsed="false">
      <c r="A2164" s="20" t="n">
        <v>46105</v>
      </c>
      <c r="B2164" s="15" t="s">
        <v>524</v>
      </c>
      <c r="C2164" s="15" t="s">
        <v>33</v>
      </c>
      <c r="D2164" s="15" t="s">
        <v>536</v>
      </c>
      <c r="E2164" s="15" t="n">
        <v>6</v>
      </c>
      <c r="H2164" s="10"/>
      <c r="I2164" s="21"/>
      <c r="M2164" s="10"/>
      <c r="N2164" s="10"/>
      <c r="P2164" s="10"/>
      <c r="Q2164" s="22"/>
    </row>
    <row r="2165" customFormat="false" ht="15.75" hidden="false" customHeight="false" outlineLevel="0" collapsed="false">
      <c r="A2165" s="20" t="n">
        <v>46105</v>
      </c>
      <c r="B2165" s="15" t="s">
        <v>524</v>
      </c>
      <c r="C2165" s="15" t="s">
        <v>55</v>
      </c>
      <c r="D2165" s="15" t="s">
        <v>539</v>
      </c>
      <c r="E2165" s="15" t="n">
        <v>4</v>
      </c>
      <c r="H2165" s="10"/>
      <c r="I2165" s="21"/>
      <c r="M2165" s="10"/>
      <c r="N2165" s="10"/>
      <c r="P2165" s="10"/>
      <c r="Q2165" s="22"/>
    </row>
    <row r="2166" customFormat="false" ht="15.75" hidden="false" customHeight="false" outlineLevel="0" collapsed="false">
      <c r="A2166" s="20" t="n">
        <v>46105</v>
      </c>
      <c r="B2166" s="15" t="s">
        <v>524</v>
      </c>
      <c r="C2166" s="15" t="s">
        <v>81</v>
      </c>
      <c r="D2166" s="15" t="s">
        <v>534</v>
      </c>
      <c r="E2166" s="15" t="n">
        <v>3</v>
      </c>
      <c r="H2166" s="10"/>
      <c r="I2166" s="21"/>
      <c r="M2166" s="10"/>
      <c r="N2166" s="10"/>
      <c r="P2166" s="10"/>
      <c r="Q2166" s="22"/>
    </row>
    <row r="2167" customFormat="false" ht="15.75" hidden="false" customHeight="false" outlineLevel="0" collapsed="false">
      <c r="A2167" s="20" t="n">
        <v>46105</v>
      </c>
      <c r="B2167" s="15" t="s">
        <v>524</v>
      </c>
      <c r="C2167" s="15" t="s">
        <v>37</v>
      </c>
      <c r="D2167" s="15" t="s">
        <v>561</v>
      </c>
      <c r="E2167" s="15" t="n">
        <v>1</v>
      </c>
      <c r="H2167" s="10"/>
      <c r="I2167" s="21"/>
      <c r="M2167" s="10"/>
      <c r="N2167" s="10"/>
      <c r="P2167" s="10"/>
      <c r="Q2167" s="22"/>
    </row>
    <row r="2168" customFormat="false" ht="15.75" hidden="false" customHeight="false" outlineLevel="0" collapsed="false">
      <c r="A2168" s="20" t="n">
        <v>46105</v>
      </c>
      <c r="B2168" s="15" t="s">
        <v>524</v>
      </c>
      <c r="C2168" s="15" t="s">
        <v>547</v>
      </c>
      <c r="D2168" s="15" t="s">
        <v>548</v>
      </c>
      <c r="E2168" s="15" t="n">
        <v>1</v>
      </c>
      <c r="H2168" s="10"/>
      <c r="I2168" s="21"/>
      <c r="M2168" s="10"/>
      <c r="N2168" s="10"/>
      <c r="P2168" s="10"/>
      <c r="Q2168" s="22"/>
    </row>
    <row r="2169" customFormat="false" ht="15.75" hidden="false" customHeight="false" outlineLevel="0" collapsed="false">
      <c r="A2169" s="20" t="n">
        <v>46106</v>
      </c>
      <c r="B2169" s="15" t="s">
        <v>453</v>
      </c>
      <c r="C2169" s="15" t="s">
        <v>47</v>
      </c>
      <c r="D2169" s="15" t="s">
        <v>549</v>
      </c>
      <c r="E2169" s="15" t="n">
        <v>2</v>
      </c>
      <c r="H2169" s="10"/>
      <c r="I2169" s="21"/>
      <c r="M2169" s="10"/>
      <c r="N2169" s="10"/>
      <c r="P2169" s="10"/>
      <c r="Q2169" s="22"/>
    </row>
    <row r="2170" customFormat="false" ht="15.75" hidden="false" customHeight="false" outlineLevel="0" collapsed="false">
      <c r="A2170" s="20" t="n">
        <v>46106</v>
      </c>
      <c r="B2170" s="15" t="s">
        <v>453</v>
      </c>
      <c r="C2170" s="15" t="s">
        <v>55</v>
      </c>
      <c r="D2170" s="15" t="s">
        <v>539</v>
      </c>
      <c r="E2170" s="15" t="n">
        <v>4</v>
      </c>
      <c r="H2170" s="10"/>
      <c r="I2170" s="21"/>
      <c r="M2170" s="10"/>
      <c r="N2170" s="10"/>
      <c r="P2170" s="10"/>
      <c r="Q2170" s="22"/>
    </row>
    <row r="2171" customFormat="false" ht="15.75" hidden="false" customHeight="false" outlineLevel="0" collapsed="false">
      <c r="A2171" s="20" t="n">
        <v>46106</v>
      </c>
      <c r="B2171" s="15" t="s">
        <v>453</v>
      </c>
      <c r="C2171" s="15" t="s">
        <v>81</v>
      </c>
      <c r="D2171" s="15" t="s">
        <v>534</v>
      </c>
      <c r="E2171" s="15" t="n">
        <v>8</v>
      </c>
      <c r="H2171" s="10"/>
      <c r="I2171" s="21"/>
      <c r="M2171" s="10"/>
      <c r="N2171" s="10"/>
      <c r="P2171" s="10"/>
      <c r="Q2171" s="22"/>
    </row>
    <row r="2172" customFormat="false" ht="15.75" hidden="false" customHeight="false" outlineLevel="0" collapsed="false">
      <c r="A2172" s="20" t="n">
        <v>46106</v>
      </c>
      <c r="B2172" s="15" t="s">
        <v>453</v>
      </c>
      <c r="C2172" s="15" t="s">
        <v>39</v>
      </c>
      <c r="D2172" s="15" t="s">
        <v>550</v>
      </c>
      <c r="E2172" s="15" t="n">
        <v>2</v>
      </c>
      <c r="H2172" s="10"/>
      <c r="I2172" s="21"/>
      <c r="M2172" s="10"/>
      <c r="N2172" s="10"/>
      <c r="P2172" s="10"/>
      <c r="Q2172" s="22"/>
    </row>
    <row r="2173" customFormat="false" ht="15.75" hidden="false" customHeight="false" outlineLevel="0" collapsed="false">
      <c r="A2173" s="20" t="n">
        <v>46106</v>
      </c>
      <c r="B2173" s="15" t="s">
        <v>453</v>
      </c>
      <c r="C2173" s="15" t="s">
        <v>63</v>
      </c>
      <c r="D2173" s="15" t="s">
        <v>551</v>
      </c>
      <c r="E2173" s="15" t="n">
        <v>1</v>
      </c>
      <c r="H2173" s="10"/>
      <c r="I2173" s="21"/>
      <c r="M2173" s="10"/>
      <c r="N2173" s="10"/>
      <c r="P2173" s="10"/>
      <c r="Q2173" s="22"/>
    </row>
    <row r="2174" customFormat="false" ht="15.75" hidden="false" customHeight="false" outlineLevel="0" collapsed="false">
      <c r="A2174" s="20" t="n">
        <v>46106</v>
      </c>
      <c r="B2174" s="15" t="s">
        <v>453</v>
      </c>
      <c r="C2174" s="15" t="s">
        <v>35</v>
      </c>
      <c r="D2174" s="15" t="s">
        <v>552</v>
      </c>
      <c r="E2174" s="15" t="n">
        <v>2</v>
      </c>
      <c r="H2174" s="10"/>
      <c r="I2174" s="21"/>
      <c r="M2174" s="10"/>
      <c r="N2174" s="10"/>
      <c r="P2174" s="10"/>
      <c r="Q2174" s="22"/>
    </row>
    <row r="2175" customFormat="false" ht="15.75" hidden="false" customHeight="false" outlineLevel="0" collapsed="false">
      <c r="A2175" s="20" t="n">
        <v>46106</v>
      </c>
      <c r="B2175" s="15" t="s">
        <v>465</v>
      </c>
      <c r="C2175" s="15" t="s">
        <v>47</v>
      </c>
      <c r="D2175" s="15" t="s">
        <v>549</v>
      </c>
      <c r="E2175" s="15" t="n">
        <v>2</v>
      </c>
      <c r="H2175" s="10"/>
      <c r="I2175" s="21"/>
      <c r="M2175" s="10"/>
      <c r="N2175" s="10"/>
      <c r="P2175" s="10"/>
      <c r="Q2175" s="22"/>
    </row>
    <row r="2176" customFormat="false" ht="15.75" hidden="false" customHeight="false" outlineLevel="0" collapsed="false">
      <c r="A2176" s="20" t="n">
        <v>46106</v>
      </c>
      <c r="B2176" s="15" t="s">
        <v>465</v>
      </c>
      <c r="C2176" s="15" t="s">
        <v>81</v>
      </c>
      <c r="D2176" s="15" t="s">
        <v>534</v>
      </c>
      <c r="E2176" s="15" t="n">
        <v>13</v>
      </c>
      <c r="H2176" s="10"/>
      <c r="I2176" s="21"/>
      <c r="M2176" s="10"/>
      <c r="N2176" s="10"/>
      <c r="P2176" s="10"/>
      <c r="Q2176" s="22"/>
    </row>
    <row r="2177" customFormat="false" ht="15.75" hidden="false" customHeight="false" outlineLevel="0" collapsed="false">
      <c r="A2177" s="20" t="n">
        <v>46106</v>
      </c>
      <c r="B2177" s="15" t="s">
        <v>465</v>
      </c>
      <c r="C2177" s="15" t="s">
        <v>55</v>
      </c>
      <c r="D2177" s="15" t="s">
        <v>539</v>
      </c>
      <c r="E2177" s="15" t="n">
        <v>2</v>
      </c>
      <c r="H2177" s="10"/>
      <c r="I2177" s="21"/>
      <c r="M2177" s="10"/>
      <c r="N2177" s="10"/>
      <c r="P2177" s="10"/>
      <c r="Q2177" s="22"/>
    </row>
    <row r="2178" customFormat="false" ht="15.75" hidden="false" customHeight="false" outlineLevel="0" collapsed="false">
      <c r="A2178" s="20" t="n">
        <v>46106</v>
      </c>
      <c r="B2178" s="15" t="s">
        <v>465</v>
      </c>
      <c r="C2178" s="15" t="s">
        <v>69</v>
      </c>
      <c r="D2178" s="15" t="s">
        <v>535</v>
      </c>
      <c r="E2178" s="15" t="n">
        <v>5</v>
      </c>
      <c r="H2178" s="10"/>
      <c r="I2178" s="21"/>
      <c r="M2178" s="10"/>
      <c r="N2178" s="10"/>
      <c r="P2178" s="10"/>
      <c r="Q2178" s="22"/>
    </row>
    <row r="2179" customFormat="false" ht="15.75" hidden="false" customHeight="false" outlineLevel="0" collapsed="false">
      <c r="A2179" s="20" t="n">
        <v>46106</v>
      </c>
      <c r="B2179" s="15" t="s">
        <v>465</v>
      </c>
      <c r="C2179" s="15" t="s">
        <v>555</v>
      </c>
      <c r="D2179" s="15" t="s">
        <v>556</v>
      </c>
      <c r="E2179" s="15" t="n">
        <v>3</v>
      </c>
      <c r="H2179" s="10"/>
      <c r="I2179" s="21"/>
      <c r="M2179" s="10"/>
      <c r="N2179" s="10"/>
      <c r="P2179" s="10"/>
      <c r="Q2179" s="22"/>
    </row>
    <row r="2180" customFormat="false" ht="15.75" hidden="false" customHeight="false" outlineLevel="0" collapsed="false">
      <c r="A2180" s="20" t="n">
        <v>46106</v>
      </c>
      <c r="B2180" s="15" t="s">
        <v>465</v>
      </c>
      <c r="C2180" s="15" t="s">
        <v>565</v>
      </c>
      <c r="D2180" s="15" t="s">
        <v>566</v>
      </c>
      <c r="E2180" s="15" t="n">
        <v>3</v>
      </c>
      <c r="H2180" s="10"/>
      <c r="I2180" s="21"/>
      <c r="M2180" s="10"/>
      <c r="N2180" s="10"/>
      <c r="P2180" s="10"/>
      <c r="Q2180" s="22"/>
    </row>
    <row r="2181" customFormat="false" ht="15.75" hidden="false" customHeight="false" outlineLevel="0" collapsed="false">
      <c r="A2181" s="20" t="n">
        <v>46106</v>
      </c>
      <c r="B2181" s="15" t="s">
        <v>465</v>
      </c>
      <c r="C2181" s="15" t="s">
        <v>570</v>
      </c>
      <c r="D2181" s="15" t="s">
        <v>571</v>
      </c>
      <c r="E2181" s="15" t="n">
        <v>6</v>
      </c>
      <c r="H2181" s="10"/>
      <c r="I2181" s="21"/>
      <c r="M2181" s="10"/>
      <c r="N2181" s="10"/>
      <c r="P2181" s="10"/>
      <c r="Q2181" s="22"/>
    </row>
    <row r="2182" customFormat="false" ht="15.75" hidden="false" customHeight="false" outlineLevel="0" collapsed="false">
      <c r="A2182" s="20" t="n">
        <v>46106</v>
      </c>
      <c r="B2182" s="15" t="s">
        <v>465</v>
      </c>
      <c r="C2182" s="15" t="s">
        <v>45</v>
      </c>
      <c r="D2182" s="15" t="s">
        <v>540</v>
      </c>
      <c r="E2182" s="15" t="n">
        <v>2</v>
      </c>
      <c r="H2182" s="10"/>
      <c r="I2182" s="21"/>
      <c r="M2182" s="10"/>
      <c r="N2182" s="10"/>
      <c r="P2182" s="10"/>
      <c r="Q2182" s="22"/>
    </row>
    <row r="2183" customFormat="false" ht="15.75" hidden="false" customHeight="false" outlineLevel="0" collapsed="false">
      <c r="A2183" s="20" t="n">
        <v>46106</v>
      </c>
      <c r="B2183" s="15" t="s">
        <v>465</v>
      </c>
      <c r="C2183" s="15" t="s">
        <v>547</v>
      </c>
      <c r="D2183" s="15" t="s">
        <v>548</v>
      </c>
      <c r="E2183" s="15" t="n">
        <v>3</v>
      </c>
      <c r="H2183" s="10"/>
      <c r="I2183" s="21"/>
      <c r="M2183" s="10"/>
      <c r="N2183" s="10"/>
      <c r="P2183" s="10"/>
      <c r="Q2183" s="22"/>
    </row>
    <row r="2184" customFormat="false" ht="15.75" hidden="false" customHeight="false" outlineLevel="0" collapsed="false">
      <c r="A2184" s="20" t="n">
        <v>46106</v>
      </c>
      <c r="B2184" s="15" t="s">
        <v>465</v>
      </c>
      <c r="C2184" s="15" t="s">
        <v>567</v>
      </c>
      <c r="D2184" s="15" t="s">
        <v>568</v>
      </c>
      <c r="E2184" s="15" t="n">
        <v>2</v>
      </c>
      <c r="H2184" s="10"/>
      <c r="I2184" s="21"/>
      <c r="M2184" s="10"/>
      <c r="N2184" s="10"/>
      <c r="P2184" s="10"/>
      <c r="Q2184" s="22"/>
    </row>
    <row r="2185" customFormat="false" ht="15.75" hidden="false" customHeight="false" outlineLevel="0" collapsed="false">
      <c r="A2185" s="20" t="n">
        <v>46106</v>
      </c>
      <c r="B2185" s="15" t="s">
        <v>465</v>
      </c>
      <c r="C2185" s="15" t="s">
        <v>543</v>
      </c>
      <c r="D2185" s="15" t="s">
        <v>544</v>
      </c>
      <c r="E2185" s="15" t="n">
        <v>3</v>
      </c>
      <c r="H2185" s="10"/>
      <c r="I2185" s="21"/>
      <c r="M2185" s="10"/>
      <c r="N2185" s="10"/>
      <c r="P2185" s="10"/>
      <c r="Q2185" s="22"/>
    </row>
    <row r="2186" customFormat="false" ht="15.75" hidden="false" customHeight="false" outlineLevel="0" collapsed="false">
      <c r="A2186" s="20" t="n">
        <v>46106</v>
      </c>
      <c r="B2186" s="15" t="s">
        <v>465</v>
      </c>
      <c r="C2186" s="15" t="s">
        <v>25</v>
      </c>
      <c r="D2186" s="15" t="s">
        <v>26</v>
      </c>
      <c r="E2186" s="15" t="n">
        <v>1</v>
      </c>
      <c r="H2186" s="10"/>
      <c r="I2186" s="21"/>
      <c r="M2186" s="10"/>
      <c r="N2186" s="10"/>
      <c r="P2186" s="10"/>
      <c r="Q2186" s="22"/>
    </row>
    <row r="2187" customFormat="false" ht="15.75" hidden="false" customHeight="false" outlineLevel="0" collapsed="false">
      <c r="A2187" s="20" t="n">
        <v>46106</v>
      </c>
      <c r="B2187" s="15" t="s">
        <v>465</v>
      </c>
      <c r="C2187" s="15" t="s">
        <v>77</v>
      </c>
      <c r="D2187" s="15" t="s">
        <v>78</v>
      </c>
      <c r="E2187" s="15" t="n">
        <v>2</v>
      </c>
      <c r="H2187" s="10"/>
      <c r="I2187" s="21"/>
      <c r="M2187" s="10"/>
      <c r="N2187" s="10"/>
      <c r="P2187" s="10"/>
      <c r="Q2187" s="22"/>
    </row>
    <row r="2188" customFormat="false" ht="15.75" hidden="false" customHeight="false" outlineLevel="0" collapsed="false">
      <c r="A2188" s="20" t="n">
        <v>46106</v>
      </c>
      <c r="B2188" s="15" t="s">
        <v>465</v>
      </c>
      <c r="C2188" s="15" t="s">
        <v>59</v>
      </c>
      <c r="D2188" s="15" t="s">
        <v>562</v>
      </c>
      <c r="E2188" s="15" t="n">
        <v>2</v>
      </c>
      <c r="H2188" s="10"/>
      <c r="I2188" s="21"/>
      <c r="M2188" s="10"/>
      <c r="N2188" s="10"/>
      <c r="P2188" s="10"/>
      <c r="Q2188" s="22"/>
    </row>
    <row r="2189" customFormat="false" ht="15.75" hidden="false" customHeight="false" outlineLevel="0" collapsed="false">
      <c r="A2189" s="20" t="n">
        <v>46106</v>
      </c>
      <c r="B2189" s="15" t="s">
        <v>465</v>
      </c>
      <c r="C2189" s="15" t="s">
        <v>545</v>
      </c>
      <c r="D2189" s="15" t="s">
        <v>546</v>
      </c>
      <c r="E2189" s="15" t="n">
        <v>4</v>
      </c>
      <c r="H2189" s="10"/>
      <c r="I2189" s="21"/>
      <c r="M2189" s="10"/>
      <c r="N2189" s="10"/>
      <c r="P2189" s="10"/>
      <c r="Q2189" s="22"/>
    </row>
    <row r="2190" customFormat="false" ht="15.75" hidden="false" customHeight="false" outlineLevel="0" collapsed="false">
      <c r="A2190" s="20" t="n">
        <v>46106</v>
      </c>
      <c r="B2190" s="15" t="s">
        <v>465</v>
      </c>
      <c r="C2190" s="15" t="s">
        <v>79</v>
      </c>
      <c r="D2190" s="15" t="s">
        <v>564</v>
      </c>
      <c r="E2190" s="15" t="n">
        <v>1</v>
      </c>
      <c r="H2190" s="10"/>
      <c r="I2190" s="21"/>
      <c r="M2190" s="10"/>
      <c r="N2190" s="10"/>
      <c r="P2190" s="10"/>
      <c r="Q2190" s="22"/>
    </row>
    <row r="2191" customFormat="false" ht="15.75" hidden="false" customHeight="false" outlineLevel="0" collapsed="false">
      <c r="A2191" s="20" t="n">
        <v>46106</v>
      </c>
      <c r="B2191" s="15" t="s">
        <v>465</v>
      </c>
      <c r="C2191" s="15" t="s">
        <v>43</v>
      </c>
      <c r="D2191" s="15" t="s">
        <v>538</v>
      </c>
      <c r="E2191" s="15" t="n">
        <v>1</v>
      </c>
      <c r="H2191" s="10"/>
      <c r="I2191" s="21"/>
      <c r="M2191" s="10"/>
      <c r="N2191" s="10"/>
      <c r="P2191" s="10"/>
      <c r="Q2191" s="22"/>
    </row>
    <row r="2192" customFormat="false" ht="15.75" hidden="false" customHeight="false" outlineLevel="0" collapsed="false">
      <c r="A2192" s="20" t="n">
        <v>46106</v>
      </c>
      <c r="B2192" s="15" t="s">
        <v>465</v>
      </c>
      <c r="C2192" s="15" t="s">
        <v>33</v>
      </c>
      <c r="D2192" s="15" t="s">
        <v>536</v>
      </c>
      <c r="E2192" s="15" t="n">
        <v>2</v>
      </c>
      <c r="H2192" s="10"/>
      <c r="I2192" s="21"/>
      <c r="M2192" s="10"/>
      <c r="N2192" s="10"/>
      <c r="P2192" s="10"/>
      <c r="Q2192" s="22"/>
    </row>
    <row r="2193" customFormat="false" ht="15.75" hidden="false" customHeight="false" outlineLevel="0" collapsed="false">
      <c r="A2193" s="20" t="n">
        <v>46106</v>
      </c>
      <c r="B2193" s="15" t="s">
        <v>465</v>
      </c>
      <c r="C2193" s="15" t="s">
        <v>65</v>
      </c>
      <c r="D2193" s="15" t="s">
        <v>580</v>
      </c>
      <c r="E2193" s="15" t="n">
        <v>1</v>
      </c>
      <c r="H2193" s="10"/>
      <c r="I2193" s="21"/>
      <c r="M2193" s="10"/>
      <c r="N2193" s="10"/>
      <c r="P2193" s="10"/>
      <c r="Q2193" s="22"/>
    </row>
    <row r="2194" customFormat="false" ht="15.75" hidden="false" customHeight="false" outlineLevel="0" collapsed="false">
      <c r="A2194" s="20" t="n">
        <v>46106</v>
      </c>
      <c r="B2194" s="15" t="s">
        <v>465</v>
      </c>
      <c r="C2194" s="15" t="s">
        <v>11</v>
      </c>
      <c r="D2194" s="15" t="s">
        <v>572</v>
      </c>
      <c r="E2194" s="15" t="n">
        <v>6</v>
      </c>
      <c r="H2194" s="10"/>
      <c r="I2194" s="21"/>
      <c r="M2194" s="10"/>
      <c r="N2194" s="10"/>
      <c r="P2194" s="10"/>
      <c r="Q2194" s="22"/>
    </row>
    <row r="2195" customFormat="false" ht="15.75" hidden="false" customHeight="false" outlineLevel="0" collapsed="false">
      <c r="A2195" s="20" t="n">
        <v>46106</v>
      </c>
      <c r="B2195" s="15" t="s">
        <v>467</v>
      </c>
      <c r="C2195" s="15" t="s">
        <v>55</v>
      </c>
      <c r="D2195" s="15" t="s">
        <v>539</v>
      </c>
      <c r="E2195" s="15" t="n">
        <v>6</v>
      </c>
      <c r="H2195" s="10"/>
      <c r="I2195" s="21"/>
      <c r="M2195" s="10"/>
      <c r="N2195" s="10"/>
      <c r="P2195" s="10"/>
      <c r="Q2195" s="22"/>
    </row>
    <row r="2196" customFormat="false" ht="15.75" hidden="false" customHeight="false" outlineLevel="0" collapsed="false">
      <c r="A2196" s="20" t="n">
        <v>46106</v>
      </c>
      <c r="B2196" s="15" t="s">
        <v>467</v>
      </c>
      <c r="C2196" s="15" t="s">
        <v>57</v>
      </c>
      <c r="D2196" s="15" t="s">
        <v>553</v>
      </c>
      <c r="E2196" s="15" t="n">
        <v>2</v>
      </c>
      <c r="H2196" s="10"/>
      <c r="I2196" s="21"/>
      <c r="M2196" s="10"/>
      <c r="N2196" s="10"/>
      <c r="P2196" s="10"/>
      <c r="Q2196" s="22"/>
    </row>
    <row r="2197" customFormat="false" ht="15.75" hidden="false" customHeight="false" outlineLevel="0" collapsed="false">
      <c r="A2197" s="20" t="n">
        <v>46106</v>
      </c>
      <c r="B2197" s="15" t="s">
        <v>467</v>
      </c>
      <c r="C2197" s="15" t="s">
        <v>47</v>
      </c>
      <c r="D2197" s="15" t="s">
        <v>549</v>
      </c>
      <c r="E2197" s="15" t="n">
        <v>2</v>
      </c>
      <c r="H2197" s="10"/>
      <c r="I2197" s="21"/>
      <c r="M2197" s="10"/>
      <c r="N2197" s="10"/>
      <c r="P2197" s="10"/>
      <c r="Q2197" s="22"/>
    </row>
    <row r="2198" customFormat="false" ht="15.75" hidden="false" customHeight="false" outlineLevel="0" collapsed="false">
      <c r="A2198" s="20" t="n">
        <v>46106</v>
      </c>
      <c r="B2198" s="15" t="s">
        <v>467</v>
      </c>
      <c r="C2198" s="15" t="s">
        <v>81</v>
      </c>
      <c r="D2198" s="15" t="s">
        <v>534</v>
      </c>
      <c r="E2198" s="15" t="n">
        <v>7</v>
      </c>
      <c r="H2198" s="10"/>
      <c r="I2198" s="21"/>
      <c r="M2198" s="10"/>
      <c r="N2198" s="10"/>
      <c r="P2198" s="10"/>
      <c r="Q2198" s="22"/>
    </row>
    <row r="2199" customFormat="false" ht="15.75" hidden="false" customHeight="false" outlineLevel="0" collapsed="false">
      <c r="A2199" s="20" t="n">
        <v>46106</v>
      </c>
      <c r="B2199" s="15" t="s">
        <v>467</v>
      </c>
      <c r="C2199" s="15" t="s">
        <v>49</v>
      </c>
      <c r="D2199" s="15" t="s">
        <v>537</v>
      </c>
      <c r="E2199" s="15" t="n">
        <v>2</v>
      </c>
      <c r="H2199" s="10"/>
      <c r="I2199" s="21"/>
      <c r="M2199" s="10"/>
      <c r="N2199" s="10"/>
      <c r="P2199" s="10"/>
      <c r="Q2199" s="22"/>
    </row>
    <row r="2200" customFormat="false" ht="15.75" hidden="false" customHeight="false" outlineLevel="0" collapsed="false">
      <c r="A2200" s="20" t="n">
        <v>46106</v>
      </c>
      <c r="B2200" s="15" t="s">
        <v>467</v>
      </c>
      <c r="C2200" s="15" t="s">
        <v>63</v>
      </c>
      <c r="D2200" s="15" t="s">
        <v>551</v>
      </c>
      <c r="E2200" s="15" t="n">
        <v>1</v>
      </c>
      <c r="H2200" s="10"/>
      <c r="I2200" s="21"/>
      <c r="M2200" s="10"/>
      <c r="N2200" s="10"/>
      <c r="P2200" s="10"/>
      <c r="Q2200" s="22"/>
    </row>
    <row r="2201" customFormat="false" ht="15.75" hidden="false" customHeight="false" outlineLevel="0" collapsed="false">
      <c r="A2201" s="20" t="n">
        <v>46106</v>
      </c>
      <c r="B2201" s="15" t="s">
        <v>469</v>
      </c>
      <c r="C2201" s="15" t="s">
        <v>69</v>
      </c>
      <c r="D2201" s="15" t="s">
        <v>535</v>
      </c>
      <c r="E2201" s="15" t="n">
        <v>5</v>
      </c>
      <c r="H2201" s="10"/>
      <c r="I2201" s="21"/>
      <c r="M2201" s="10"/>
      <c r="N2201" s="10"/>
      <c r="P2201" s="10"/>
      <c r="Q2201" s="22"/>
    </row>
    <row r="2202" customFormat="false" ht="15.75" hidden="false" customHeight="false" outlineLevel="0" collapsed="false">
      <c r="A2202" s="20" t="n">
        <v>46106</v>
      </c>
      <c r="B2202" s="15" t="s">
        <v>469</v>
      </c>
      <c r="C2202" s="15" t="s">
        <v>55</v>
      </c>
      <c r="D2202" s="15" t="s">
        <v>539</v>
      </c>
      <c r="E2202" s="15" t="n">
        <v>2</v>
      </c>
      <c r="H2202" s="10"/>
      <c r="I2202" s="21"/>
      <c r="M2202" s="10"/>
      <c r="N2202" s="10"/>
      <c r="P2202" s="10"/>
      <c r="Q2202" s="22"/>
    </row>
    <row r="2203" customFormat="false" ht="15.75" hidden="false" customHeight="false" outlineLevel="0" collapsed="false">
      <c r="A2203" s="20" t="n">
        <v>46106</v>
      </c>
      <c r="B2203" s="15" t="s">
        <v>469</v>
      </c>
      <c r="C2203" s="15" t="s">
        <v>33</v>
      </c>
      <c r="D2203" s="15" t="s">
        <v>536</v>
      </c>
      <c r="E2203" s="15" t="n">
        <v>5</v>
      </c>
      <c r="H2203" s="10"/>
      <c r="I2203" s="21"/>
      <c r="M2203" s="10"/>
      <c r="N2203" s="10"/>
      <c r="P2203" s="10"/>
      <c r="Q2203" s="22"/>
    </row>
    <row r="2204" customFormat="false" ht="15.75" hidden="false" customHeight="false" outlineLevel="0" collapsed="false">
      <c r="A2204" s="20" t="n">
        <v>46106</v>
      </c>
      <c r="B2204" s="15" t="s">
        <v>469</v>
      </c>
      <c r="C2204" s="15" t="s">
        <v>547</v>
      </c>
      <c r="D2204" s="15" t="s">
        <v>548</v>
      </c>
      <c r="E2204" s="15" t="n">
        <v>1</v>
      </c>
      <c r="H2204" s="10"/>
      <c r="I2204" s="21"/>
      <c r="M2204" s="10"/>
      <c r="N2204" s="10"/>
      <c r="P2204" s="10"/>
      <c r="Q2204" s="22"/>
    </row>
    <row r="2205" customFormat="false" ht="15.75" hidden="false" customHeight="false" outlineLevel="0" collapsed="false">
      <c r="A2205" s="20" t="n">
        <v>46106</v>
      </c>
      <c r="B2205" s="15" t="s">
        <v>469</v>
      </c>
      <c r="C2205" s="15" t="s">
        <v>81</v>
      </c>
      <c r="D2205" s="15" t="s">
        <v>534</v>
      </c>
      <c r="E2205" s="15" t="n">
        <v>2</v>
      </c>
      <c r="H2205" s="10"/>
      <c r="I2205" s="21"/>
      <c r="M2205" s="10"/>
      <c r="N2205" s="10"/>
      <c r="P2205" s="10"/>
      <c r="Q2205" s="22"/>
    </row>
    <row r="2206" customFormat="false" ht="15.75" hidden="false" customHeight="false" outlineLevel="0" collapsed="false">
      <c r="A2206" s="20" t="n">
        <v>46106</v>
      </c>
      <c r="B2206" s="15" t="s">
        <v>477</v>
      </c>
      <c r="C2206" s="15" t="s">
        <v>69</v>
      </c>
      <c r="D2206" s="15" t="s">
        <v>535</v>
      </c>
      <c r="E2206" s="15" t="n">
        <v>3</v>
      </c>
      <c r="H2206" s="10"/>
      <c r="I2206" s="21"/>
      <c r="M2206" s="10"/>
      <c r="N2206" s="10"/>
      <c r="P2206" s="10"/>
      <c r="Q2206" s="22"/>
    </row>
    <row r="2207" customFormat="false" ht="15.75" hidden="false" customHeight="false" outlineLevel="0" collapsed="false">
      <c r="A2207" s="20" t="n">
        <v>46106</v>
      </c>
      <c r="B2207" s="15" t="s">
        <v>477</v>
      </c>
      <c r="C2207" s="15" t="s">
        <v>547</v>
      </c>
      <c r="D2207" s="15" t="s">
        <v>548</v>
      </c>
      <c r="E2207" s="15" t="n">
        <v>3</v>
      </c>
      <c r="H2207" s="10"/>
      <c r="I2207" s="21"/>
      <c r="M2207" s="10"/>
      <c r="N2207" s="10"/>
      <c r="P2207" s="10"/>
      <c r="Q2207" s="22"/>
    </row>
    <row r="2208" customFormat="false" ht="15.75" hidden="false" customHeight="false" outlineLevel="0" collapsed="false">
      <c r="A2208" s="20" t="n">
        <v>46106</v>
      </c>
      <c r="B2208" s="15" t="s">
        <v>477</v>
      </c>
      <c r="C2208" s="15" t="s">
        <v>25</v>
      </c>
      <c r="D2208" s="15" t="s">
        <v>26</v>
      </c>
      <c r="E2208" s="15" t="n">
        <v>3</v>
      </c>
      <c r="H2208" s="10"/>
      <c r="I2208" s="21"/>
      <c r="M2208" s="10"/>
      <c r="N2208" s="10"/>
      <c r="P2208" s="10"/>
      <c r="Q2208" s="22"/>
    </row>
    <row r="2209" customFormat="false" ht="15.75" hidden="false" customHeight="false" outlineLevel="0" collapsed="false">
      <c r="A2209" s="20" t="n">
        <v>46106</v>
      </c>
      <c r="B2209" s="15" t="s">
        <v>484</v>
      </c>
      <c r="C2209" s="15" t="s">
        <v>69</v>
      </c>
      <c r="D2209" s="15" t="s">
        <v>535</v>
      </c>
      <c r="E2209" s="15" t="n">
        <v>2</v>
      </c>
      <c r="H2209" s="10"/>
      <c r="I2209" s="21"/>
      <c r="M2209" s="10"/>
      <c r="N2209" s="10"/>
      <c r="P2209" s="10"/>
      <c r="Q2209" s="22"/>
    </row>
    <row r="2210" customFormat="false" ht="15.75" hidden="false" customHeight="false" outlineLevel="0" collapsed="false">
      <c r="A2210" s="20" t="n">
        <v>46106</v>
      </c>
      <c r="B2210" s="15" t="s">
        <v>484</v>
      </c>
      <c r="C2210" s="15" t="s">
        <v>81</v>
      </c>
      <c r="D2210" s="15" t="s">
        <v>534</v>
      </c>
      <c r="E2210" s="15" t="n">
        <v>5</v>
      </c>
      <c r="H2210" s="10"/>
      <c r="I2210" s="21"/>
      <c r="M2210" s="10"/>
      <c r="N2210" s="10"/>
      <c r="P2210" s="10"/>
      <c r="Q2210" s="22"/>
    </row>
    <row r="2211" customFormat="false" ht="15.75" hidden="false" customHeight="false" outlineLevel="0" collapsed="false">
      <c r="A2211" s="20" t="n">
        <v>46106</v>
      </c>
      <c r="B2211" s="15" t="s">
        <v>484</v>
      </c>
      <c r="C2211" s="15" t="s">
        <v>37</v>
      </c>
      <c r="D2211" s="15" t="s">
        <v>561</v>
      </c>
      <c r="E2211" s="15" t="n">
        <v>2</v>
      </c>
      <c r="H2211" s="10"/>
      <c r="I2211" s="21"/>
      <c r="M2211" s="10"/>
      <c r="N2211" s="10"/>
      <c r="P2211" s="10"/>
      <c r="Q2211" s="22"/>
    </row>
    <row r="2212" customFormat="false" ht="15.75" hidden="false" customHeight="false" outlineLevel="0" collapsed="false">
      <c r="A2212" s="20" t="n">
        <v>46106</v>
      </c>
      <c r="B2212" s="15" t="s">
        <v>484</v>
      </c>
      <c r="C2212" s="15" t="s">
        <v>547</v>
      </c>
      <c r="D2212" s="15" t="s">
        <v>548</v>
      </c>
      <c r="E2212" s="15" t="n">
        <v>1</v>
      </c>
      <c r="H2212" s="10"/>
      <c r="I2212" s="21"/>
      <c r="M2212" s="10"/>
      <c r="N2212" s="10"/>
      <c r="P2212" s="10"/>
      <c r="Q2212" s="22"/>
    </row>
    <row r="2213" customFormat="false" ht="15.75" hidden="false" customHeight="false" outlineLevel="0" collapsed="false">
      <c r="A2213" s="20" t="n">
        <v>46106</v>
      </c>
      <c r="B2213" s="15" t="s">
        <v>484</v>
      </c>
      <c r="C2213" s="15" t="s">
        <v>33</v>
      </c>
      <c r="D2213" s="15" t="s">
        <v>536</v>
      </c>
      <c r="E2213" s="15" t="n">
        <v>2</v>
      </c>
      <c r="H2213" s="10"/>
      <c r="I2213" s="21"/>
      <c r="M2213" s="10"/>
      <c r="N2213" s="10"/>
      <c r="P2213" s="10"/>
      <c r="Q2213" s="22"/>
    </row>
    <row r="2214" customFormat="false" ht="15.75" hidden="false" customHeight="false" outlineLevel="0" collapsed="false">
      <c r="A2214" s="20" t="n">
        <v>46106</v>
      </c>
      <c r="B2214" s="15" t="s">
        <v>484</v>
      </c>
      <c r="C2214" s="15" t="s">
        <v>77</v>
      </c>
      <c r="D2214" s="15" t="s">
        <v>78</v>
      </c>
      <c r="E2214" s="15" t="n">
        <v>2</v>
      </c>
      <c r="H2214" s="10"/>
      <c r="I2214" s="21"/>
      <c r="M2214" s="10"/>
      <c r="N2214" s="10"/>
      <c r="P2214" s="10"/>
      <c r="Q2214" s="22"/>
    </row>
    <row r="2215" customFormat="false" ht="15.75" hidden="false" customHeight="false" outlineLevel="0" collapsed="false">
      <c r="A2215" s="20" t="n">
        <v>46106</v>
      </c>
      <c r="B2215" s="15" t="s">
        <v>484</v>
      </c>
      <c r="C2215" s="15" t="s">
        <v>578</v>
      </c>
      <c r="D2215" s="15" t="s">
        <v>579</v>
      </c>
      <c r="E2215" s="15" t="n">
        <v>1</v>
      </c>
      <c r="H2215" s="10"/>
      <c r="I2215" s="21"/>
      <c r="M2215" s="10"/>
      <c r="N2215" s="10"/>
      <c r="P2215" s="10"/>
      <c r="Q2215" s="22"/>
    </row>
    <row r="2216" customFormat="false" ht="15.75" hidden="false" customHeight="false" outlineLevel="0" collapsed="false">
      <c r="A2216" s="20" t="n">
        <v>46106</v>
      </c>
      <c r="B2216" s="15" t="s">
        <v>484</v>
      </c>
      <c r="C2216" s="15" t="s">
        <v>11</v>
      </c>
      <c r="D2216" s="15" t="s">
        <v>572</v>
      </c>
      <c r="E2216" s="15" t="n">
        <v>1</v>
      </c>
      <c r="H2216" s="10"/>
      <c r="I2216" s="21"/>
      <c r="M2216" s="10"/>
      <c r="N2216" s="10"/>
      <c r="P2216" s="10"/>
      <c r="Q2216" s="22"/>
    </row>
    <row r="2217" customFormat="false" ht="15.75" hidden="false" customHeight="false" outlineLevel="0" collapsed="false">
      <c r="A2217" s="20" t="n">
        <v>46106</v>
      </c>
      <c r="B2217" s="15" t="s">
        <v>491</v>
      </c>
      <c r="C2217" s="15" t="s">
        <v>37</v>
      </c>
      <c r="D2217" s="15" t="s">
        <v>561</v>
      </c>
      <c r="E2217" s="15" t="n">
        <v>1</v>
      </c>
      <c r="H2217" s="10"/>
      <c r="I2217" s="21"/>
      <c r="M2217" s="10"/>
      <c r="N2217" s="10"/>
      <c r="P2217" s="10"/>
      <c r="Q2217" s="22"/>
    </row>
    <row r="2218" customFormat="false" ht="15.75" hidden="false" customHeight="false" outlineLevel="0" collapsed="false">
      <c r="A2218" s="20" t="n">
        <v>46106</v>
      </c>
      <c r="B2218" s="15" t="s">
        <v>491</v>
      </c>
      <c r="C2218" s="15" t="s">
        <v>81</v>
      </c>
      <c r="D2218" s="15" t="s">
        <v>534</v>
      </c>
      <c r="E2218" s="15" t="n">
        <v>8</v>
      </c>
      <c r="H2218" s="10"/>
      <c r="I2218" s="21"/>
      <c r="M2218" s="10"/>
      <c r="N2218" s="10"/>
      <c r="P2218" s="10"/>
      <c r="Q2218" s="22"/>
    </row>
    <row r="2219" customFormat="false" ht="15.75" hidden="false" customHeight="false" outlineLevel="0" collapsed="false">
      <c r="A2219" s="20" t="n">
        <v>46106</v>
      </c>
      <c r="B2219" s="15" t="s">
        <v>491</v>
      </c>
      <c r="C2219" s="15" t="s">
        <v>75</v>
      </c>
      <c r="D2219" s="15" t="s">
        <v>560</v>
      </c>
      <c r="E2219" s="15" t="n">
        <v>1</v>
      </c>
      <c r="H2219" s="10"/>
      <c r="I2219" s="21"/>
      <c r="M2219" s="10"/>
      <c r="N2219" s="10"/>
      <c r="P2219" s="10"/>
      <c r="Q2219" s="22"/>
    </row>
    <row r="2220" customFormat="false" ht="15.75" hidden="false" customHeight="false" outlineLevel="0" collapsed="false">
      <c r="A2220" s="20" t="n">
        <v>46106</v>
      </c>
      <c r="B2220" s="15" t="s">
        <v>491</v>
      </c>
      <c r="C2220" s="15" t="s">
        <v>69</v>
      </c>
      <c r="D2220" s="15" t="s">
        <v>535</v>
      </c>
      <c r="E2220" s="15" t="n">
        <v>6</v>
      </c>
      <c r="H2220" s="10"/>
      <c r="I2220" s="21"/>
      <c r="M2220" s="10"/>
      <c r="N2220" s="10"/>
      <c r="P2220" s="10"/>
      <c r="Q2220" s="22"/>
    </row>
    <row r="2221" customFormat="false" ht="15.75" hidden="false" customHeight="false" outlineLevel="0" collapsed="false">
      <c r="A2221" s="20" t="n">
        <v>46106</v>
      </c>
      <c r="B2221" s="15" t="s">
        <v>491</v>
      </c>
      <c r="C2221" s="15" t="s">
        <v>547</v>
      </c>
      <c r="D2221" s="15" t="s">
        <v>548</v>
      </c>
      <c r="E2221" s="15" t="n">
        <v>1</v>
      </c>
      <c r="H2221" s="10"/>
      <c r="I2221" s="21"/>
      <c r="M2221" s="10"/>
      <c r="N2221" s="10"/>
      <c r="P2221" s="10"/>
      <c r="Q2221" s="22"/>
    </row>
    <row r="2222" customFormat="false" ht="15.75" hidden="false" customHeight="false" outlineLevel="0" collapsed="false">
      <c r="A2222" s="20" t="n">
        <v>46106</v>
      </c>
      <c r="B2222" s="15" t="s">
        <v>491</v>
      </c>
      <c r="C2222" s="15" t="s">
        <v>31</v>
      </c>
      <c r="D2222" s="15" t="s">
        <v>559</v>
      </c>
      <c r="E2222" s="15" t="n">
        <v>2</v>
      </c>
      <c r="H2222" s="10"/>
      <c r="I2222" s="21"/>
      <c r="M2222" s="10"/>
      <c r="N2222" s="10"/>
      <c r="P2222" s="10"/>
      <c r="Q2222" s="22"/>
    </row>
    <row r="2223" customFormat="false" ht="15.75" hidden="false" customHeight="false" outlineLevel="0" collapsed="false">
      <c r="A2223" s="20" t="n">
        <v>46106</v>
      </c>
      <c r="B2223" s="15" t="s">
        <v>491</v>
      </c>
      <c r="C2223" s="15" t="s">
        <v>545</v>
      </c>
      <c r="D2223" s="15" t="s">
        <v>546</v>
      </c>
      <c r="E2223" s="15" t="n">
        <v>2</v>
      </c>
      <c r="H2223" s="10"/>
      <c r="I2223" s="21"/>
      <c r="M2223" s="10"/>
      <c r="N2223" s="10"/>
      <c r="P2223" s="10"/>
      <c r="Q2223" s="22"/>
    </row>
    <row r="2224" customFormat="false" ht="15.75" hidden="false" customHeight="false" outlineLevel="0" collapsed="false">
      <c r="A2224" s="20" t="n">
        <v>46106</v>
      </c>
      <c r="B2224" s="15" t="s">
        <v>491</v>
      </c>
      <c r="C2224" s="15" t="s">
        <v>543</v>
      </c>
      <c r="D2224" s="15" t="s">
        <v>544</v>
      </c>
      <c r="E2224" s="15" t="n">
        <v>4</v>
      </c>
      <c r="H2224" s="10"/>
      <c r="I2224" s="21"/>
      <c r="M2224" s="10"/>
      <c r="N2224" s="10"/>
      <c r="P2224" s="10"/>
      <c r="Q2224" s="22"/>
    </row>
    <row r="2225" customFormat="false" ht="15.75" hidden="false" customHeight="false" outlineLevel="0" collapsed="false">
      <c r="A2225" s="20" t="n">
        <v>46106</v>
      </c>
      <c r="B2225" s="15" t="s">
        <v>491</v>
      </c>
      <c r="C2225" s="15" t="s">
        <v>541</v>
      </c>
      <c r="D2225" s="15" t="s">
        <v>542</v>
      </c>
      <c r="E2225" s="15" t="n">
        <v>2</v>
      </c>
      <c r="H2225" s="10"/>
      <c r="I2225" s="21"/>
      <c r="M2225" s="10"/>
      <c r="N2225" s="10"/>
      <c r="P2225" s="10"/>
      <c r="Q2225" s="22"/>
    </row>
    <row r="2226" customFormat="false" ht="15.75" hidden="false" customHeight="false" outlineLevel="0" collapsed="false">
      <c r="A2226" s="20" t="n">
        <v>46106</v>
      </c>
      <c r="B2226" s="15" t="s">
        <v>491</v>
      </c>
      <c r="C2226" s="15" t="s">
        <v>49</v>
      </c>
      <c r="D2226" s="15" t="s">
        <v>537</v>
      </c>
      <c r="E2226" s="15" t="n">
        <v>1</v>
      </c>
      <c r="H2226" s="10"/>
      <c r="I2226" s="21"/>
      <c r="M2226" s="10"/>
      <c r="N2226" s="10"/>
      <c r="P2226" s="10"/>
      <c r="Q2226" s="22"/>
    </row>
    <row r="2227" customFormat="false" ht="15.75" hidden="false" customHeight="false" outlineLevel="0" collapsed="false">
      <c r="A2227" s="20" t="n">
        <v>46106</v>
      </c>
      <c r="B2227" s="15" t="s">
        <v>491</v>
      </c>
      <c r="C2227" s="15" t="s">
        <v>33</v>
      </c>
      <c r="D2227" s="15" t="s">
        <v>536</v>
      </c>
      <c r="E2227" s="15" t="n">
        <v>5</v>
      </c>
      <c r="H2227" s="10"/>
      <c r="I2227" s="21"/>
      <c r="M2227" s="10"/>
      <c r="N2227" s="10"/>
      <c r="P2227" s="10"/>
      <c r="Q2227" s="22"/>
    </row>
    <row r="2228" customFormat="false" ht="15.75" hidden="false" customHeight="false" outlineLevel="0" collapsed="false">
      <c r="A2228" s="20" t="n">
        <v>46106</v>
      </c>
      <c r="B2228" s="15" t="s">
        <v>491</v>
      </c>
      <c r="C2228" s="15" t="s">
        <v>77</v>
      </c>
      <c r="D2228" s="15" t="s">
        <v>78</v>
      </c>
      <c r="E2228" s="15" t="n">
        <v>3</v>
      </c>
      <c r="H2228" s="10"/>
      <c r="I2228" s="21"/>
      <c r="M2228" s="10"/>
      <c r="N2228" s="10"/>
      <c r="P2228" s="10"/>
      <c r="Q2228" s="22"/>
    </row>
    <row r="2229" customFormat="false" ht="15.75" hidden="false" customHeight="false" outlineLevel="0" collapsed="false">
      <c r="A2229" s="20" t="n">
        <v>46106</v>
      </c>
      <c r="B2229" s="15" t="s">
        <v>491</v>
      </c>
      <c r="C2229" s="15" t="s">
        <v>47</v>
      </c>
      <c r="D2229" s="15" t="s">
        <v>549</v>
      </c>
      <c r="E2229" s="15" t="n">
        <v>1</v>
      </c>
      <c r="H2229" s="10"/>
      <c r="I2229" s="21"/>
      <c r="M2229" s="10"/>
      <c r="N2229" s="10"/>
      <c r="P2229" s="10"/>
      <c r="Q2229" s="22"/>
    </row>
    <row r="2230" customFormat="false" ht="15.75" hidden="false" customHeight="false" outlineLevel="0" collapsed="false">
      <c r="A2230" s="20" t="n">
        <v>46106</v>
      </c>
      <c r="B2230" s="15" t="s">
        <v>491</v>
      </c>
      <c r="C2230" s="15" t="s">
        <v>55</v>
      </c>
      <c r="D2230" s="15" t="s">
        <v>539</v>
      </c>
      <c r="E2230" s="15" t="n">
        <v>1</v>
      </c>
      <c r="H2230" s="10"/>
      <c r="I2230" s="21"/>
      <c r="M2230" s="10"/>
      <c r="N2230" s="10"/>
      <c r="P2230" s="10"/>
      <c r="Q2230" s="22"/>
    </row>
    <row r="2231" customFormat="false" ht="15.75" hidden="false" customHeight="false" outlineLevel="0" collapsed="false">
      <c r="A2231" s="20" t="n">
        <v>46106</v>
      </c>
      <c r="B2231" s="15" t="s">
        <v>491</v>
      </c>
      <c r="C2231" s="15" t="s">
        <v>59</v>
      </c>
      <c r="D2231" s="15" t="s">
        <v>562</v>
      </c>
      <c r="E2231" s="15" t="n">
        <v>1</v>
      </c>
      <c r="H2231" s="10"/>
      <c r="I2231" s="21"/>
      <c r="M2231" s="10"/>
      <c r="N2231" s="10"/>
      <c r="P2231" s="10"/>
      <c r="Q2231" s="22"/>
    </row>
    <row r="2232" customFormat="false" ht="15.75" hidden="false" customHeight="false" outlineLevel="0" collapsed="false">
      <c r="A2232" s="20" t="n">
        <v>46106</v>
      </c>
      <c r="B2232" s="15" t="s">
        <v>491</v>
      </c>
      <c r="C2232" s="15" t="s">
        <v>43</v>
      </c>
      <c r="D2232" s="15" t="s">
        <v>538</v>
      </c>
      <c r="E2232" s="15" t="n">
        <v>1</v>
      </c>
      <c r="H2232" s="10"/>
      <c r="I2232" s="21"/>
      <c r="M2232" s="10"/>
      <c r="N2232" s="10"/>
      <c r="P2232" s="10"/>
      <c r="Q2232" s="22"/>
    </row>
    <row r="2233" customFormat="false" ht="15.75" hidden="false" customHeight="false" outlineLevel="0" collapsed="false">
      <c r="A2233" s="20" t="n">
        <v>46106</v>
      </c>
      <c r="B2233" s="15" t="s">
        <v>491</v>
      </c>
      <c r="C2233" s="15" t="s">
        <v>87</v>
      </c>
      <c r="D2233" s="15" t="s">
        <v>563</v>
      </c>
      <c r="E2233" s="15" t="n">
        <v>1</v>
      </c>
      <c r="H2233" s="10"/>
      <c r="I2233" s="21"/>
      <c r="M2233" s="10"/>
      <c r="N2233" s="10"/>
      <c r="P2233" s="10"/>
      <c r="Q2233" s="22"/>
    </row>
    <row r="2234" customFormat="false" ht="15.75" hidden="false" customHeight="false" outlineLevel="0" collapsed="false">
      <c r="A2234" s="20" t="n">
        <v>46106</v>
      </c>
      <c r="B2234" s="15" t="s">
        <v>491</v>
      </c>
      <c r="C2234" s="15" t="s">
        <v>79</v>
      </c>
      <c r="D2234" s="15" t="s">
        <v>564</v>
      </c>
      <c r="E2234" s="15" t="n">
        <v>1</v>
      </c>
      <c r="H2234" s="10"/>
      <c r="I2234" s="21"/>
      <c r="M2234" s="10"/>
      <c r="N2234" s="10"/>
      <c r="P2234" s="10"/>
      <c r="Q2234" s="22"/>
    </row>
    <row r="2235" customFormat="false" ht="15.75" hidden="false" customHeight="false" outlineLevel="0" collapsed="false">
      <c r="A2235" s="20" t="n">
        <v>46106</v>
      </c>
      <c r="B2235" s="15" t="s">
        <v>499</v>
      </c>
      <c r="C2235" s="15" t="s">
        <v>543</v>
      </c>
      <c r="D2235" s="15" t="s">
        <v>544</v>
      </c>
      <c r="E2235" s="15" t="n">
        <v>1</v>
      </c>
      <c r="H2235" s="10"/>
      <c r="I2235" s="21"/>
      <c r="M2235" s="10"/>
      <c r="N2235" s="10"/>
      <c r="P2235" s="10"/>
      <c r="Q2235" s="22"/>
    </row>
    <row r="2236" customFormat="false" ht="15.75" hidden="false" customHeight="false" outlineLevel="0" collapsed="false">
      <c r="A2236" s="20" t="n">
        <v>46106</v>
      </c>
      <c r="B2236" s="15" t="s">
        <v>499</v>
      </c>
      <c r="C2236" s="15" t="s">
        <v>69</v>
      </c>
      <c r="D2236" s="15" t="s">
        <v>535</v>
      </c>
      <c r="E2236" s="15" t="n">
        <v>1</v>
      </c>
      <c r="H2236" s="10"/>
      <c r="I2236" s="21"/>
      <c r="M2236" s="10"/>
      <c r="N2236" s="10"/>
      <c r="P2236" s="10"/>
      <c r="Q2236" s="22"/>
    </row>
    <row r="2237" customFormat="false" ht="15.75" hidden="false" customHeight="false" outlineLevel="0" collapsed="false">
      <c r="A2237" s="20" t="n">
        <v>46106</v>
      </c>
      <c r="B2237" s="15" t="s">
        <v>499</v>
      </c>
      <c r="C2237" s="15" t="s">
        <v>33</v>
      </c>
      <c r="D2237" s="15" t="s">
        <v>536</v>
      </c>
      <c r="E2237" s="15" t="n">
        <v>2</v>
      </c>
      <c r="H2237" s="10"/>
      <c r="I2237" s="21"/>
      <c r="M2237" s="10"/>
      <c r="N2237" s="10"/>
      <c r="P2237" s="10"/>
      <c r="Q2237" s="22"/>
    </row>
    <row r="2238" customFormat="false" ht="15.75" hidden="false" customHeight="false" outlineLevel="0" collapsed="false">
      <c r="A2238" s="20" t="n">
        <v>46106</v>
      </c>
      <c r="B2238" s="15" t="s">
        <v>499</v>
      </c>
      <c r="C2238" s="15" t="s">
        <v>55</v>
      </c>
      <c r="D2238" s="15" t="s">
        <v>539</v>
      </c>
      <c r="E2238" s="15" t="n">
        <v>1</v>
      </c>
      <c r="H2238" s="10"/>
      <c r="I2238" s="21"/>
      <c r="M2238" s="10"/>
      <c r="N2238" s="10"/>
      <c r="P2238" s="10"/>
      <c r="Q2238" s="22"/>
    </row>
    <row r="2239" customFormat="false" ht="15.75" hidden="false" customHeight="false" outlineLevel="0" collapsed="false">
      <c r="A2239" s="20" t="n">
        <v>46106</v>
      </c>
      <c r="B2239" s="15" t="s">
        <v>499</v>
      </c>
      <c r="C2239" s="15" t="s">
        <v>59</v>
      </c>
      <c r="D2239" s="15" t="s">
        <v>562</v>
      </c>
      <c r="E2239" s="15" t="n">
        <v>1</v>
      </c>
      <c r="H2239" s="10"/>
      <c r="I2239" s="21"/>
      <c r="M2239" s="10"/>
      <c r="N2239" s="10"/>
      <c r="P2239" s="10"/>
      <c r="Q2239" s="22"/>
    </row>
    <row r="2240" customFormat="false" ht="15.75" hidden="false" customHeight="false" outlineLevel="0" collapsed="false">
      <c r="A2240" s="20" t="n">
        <v>46106</v>
      </c>
      <c r="B2240" s="15" t="s">
        <v>499</v>
      </c>
      <c r="C2240" s="15" t="s">
        <v>47</v>
      </c>
      <c r="D2240" s="15" t="s">
        <v>549</v>
      </c>
      <c r="E2240" s="15" t="n">
        <v>1</v>
      </c>
      <c r="H2240" s="10"/>
      <c r="I2240" s="21"/>
      <c r="M2240" s="10"/>
      <c r="N2240" s="10"/>
      <c r="P2240" s="10"/>
      <c r="Q2240" s="22"/>
    </row>
    <row r="2241" customFormat="false" ht="15.75" hidden="false" customHeight="false" outlineLevel="0" collapsed="false">
      <c r="A2241" s="20" t="n">
        <v>46106</v>
      </c>
      <c r="B2241" s="15" t="s">
        <v>499</v>
      </c>
      <c r="C2241" s="15" t="s">
        <v>75</v>
      </c>
      <c r="D2241" s="15" t="s">
        <v>560</v>
      </c>
      <c r="E2241" s="15" t="n">
        <v>1</v>
      </c>
      <c r="H2241" s="10"/>
      <c r="I2241" s="21"/>
      <c r="M2241" s="10"/>
      <c r="N2241" s="10"/>
      <c r="P2241" s="10"/>
      <c r="Q2241" s="22"/>
    </row>
    <row r="2242" customFormat="false" ht="15.75" hidden="false" customHeight="false" outlineLevel="0" collapsed="false">
      <c r="A2242" s="20" t="n">
        <v>46106</v>
      </c>
      <c r="B2242" s="15" t="s">
        <v>499</v>
      </c>
      <c r="C2242" s="15" t="s">
        <v>81</v>
      </c>
      <c r="D2242" s="15" t="s">
        <v>534</v>
      </c>
      <c r="E2242" s="15" t="n">
        <v>7</v>
      </c>
      <c r="H2242" s="10"/>
      <c r="I2242" s="21"/>
      <c r="M2242" s="10"/>
      <c r="N2242" s="10"/>
      <c r="P2242" s="10"/>
      <c r="Q2242" s="22"/>
    </row>
    <row r="2243" customFormat="false" ht="15.75" hidden="false" customHeight="false" outlineLevel="0" collapsed="false">
      <c r="A2243" s="20" t="n">
        <v>46106</v>
      </c>
      <c r="B2243" s="15" t="s">
        <v>499</v>
      </c>
      <c r="C2243" s="15" t="s">
        <v>77</v>
      </c>
      <c r="D2243" s="15" t="s">
        <v>78</v>
      </c>
      <c r="E2243" s="15" t="n">
        <v>2</v>
      </c>
      <c r="H2243" s="10"/>
      <c r="I2243" s="21"/>
      <c r="M2243" s="10"/>
      <c r="N2243" s="10"/>
      <c r="P2243" s="10"/>
      <c r="Q2243" s="22"/>
    </row>
    <row r="2244" customFormat="false" ht="15.75" hidden="false" customHeight="false" outlineLevel="0" collapsed="false">
      <c r="A2244" s="20" t="n">
        <v>46106</v>
      </c>
      <c r="B2244" s="15" t="s">
        <v>504</v>
      </c>
      <c r="C2244" s="15" t="s">
        <v>47</v>
      </c>
      <c r="D2244" s="15" t="s">
        <v>549</v>
      </c>
      <c r="E2244" s="15" t="n">
        <v>3</v>
      </c>
      <c r="H2244" s="10"/>
      <c r="I2244" s="21"/>
      <c r="M2244" s="10"/>
      <c r="N2244" s="10"/>
      <c r="P2244" s="10"/>
      <c r="Q2244" s="22"/>
    </row>
    <row r="2245" customFormat="false" ht="15.75" hidden="false" customHeight="false" outlineLevel="0" collapsed="false">
      <c r="A2245" s="20" t="n">
        <v>46106</v>
      </c>
      <c r="B2245" s="15" t="s">
        <v>504</v>
      </c>
      <c r="C2245" s="15" t="s">
        <v>55</v>
      </c>
      <c r="D2245" s="15" t="s">
        <v>539</v>
      </c>
      <c r="E2245" s="15" t="n">
        <v>6</v>
      </c>
      <c r="H2245" s="10"/>
      <c r="I2245" s="21"/>
      <c r="M2245" s="10"/>
      <c r="N2245" s="10"/>
      <c r="P2245" s="10"/>
      <c r="Q2245" s="22"/>
    </row>
    <row r="2246" customFormat="false" ht="15.75" hidden="false" customHeight="false" outlineLevel="0" collapsed="false">
      <c r="A2246" s="20" t="n">
        <v>46106</v>
      </c>
      <c r="B2246" s="15" t="s">
        <v>504</v>
      </c>
      <c r="C2246" s="15" t="s">
        <v>81</v>
      </c>
      <c r="D2246" s="15" t="s">
        <v>534</v>
      </c>
      <c r="E2246" s="15" t="n">
        <v>9</v>
      </c>
      <c r="H2246" s="10"/>
      <c r="I2246" s="21"/>
      <c r="M2246" s="10"/>
      <c r="N2246" s="10"/>
      <c r="P2246" s="10"/>
      <c r="Q2246" s="22"/>
    </row>
    <row r="2247" customFormat="false" ht="15.75" hidden="false" customHeight="false" outlineLevel="0" collapsed="false">
      <c r="A2247" s="20" t="n">
        <v>46106</v>
      </c>
      <c r="B2247" s="15" t="s">
        <v>504</v>
      </c>
      <c r="C2247" s="15" t="s">
        <v>39</v>
      </c>
      <c r="D2247" s="15" t="s">
        <v>550</v>
      </c>
      <c r="E2247" s="15" t="n">
        <v>1</v>
      </c>
      <c r="H2247" s="10"/>
      <c r="I2247" s="21"/>
      <c r="M2247" s="10"/>
      <c r="N2247" s="10"/>
      <c r="P2247" s="10"/>
      <c r="Q2247" s="22"/>
    </row>
    <row r="2248" customFormat="false" ht="15.75" hidden="false" customHeight="false" outlineLevel="0" collapsed="false">
      <c r="A2248" s="20" t="n">
        <v>46106</v>
      </c>
      <c r="B2248" s="15" t="s">
        <v>504</v>
      </c>
      <c r="C2248" s="15" t="s">
        <v>63</v>
      </c>
      <c r="D2248" s="15" t="s">
        <v>551</v>
      </c>
      <c r="E2248" s="15" t="n">
        <v>1</v>
      </c>
      <c r="H2248" s="10"/>
      <c r="I2248" s="21"/>
      <c r="M2248" s="10"/>
      <c r="N2248" s="10"/>
      <c r="P2248" s="10"/>
      <c r="Q2248" s="22"/>
    </row>
    <row r="2249" customFormat="false" ht="15.75" hidden="false" customHeight="false" outlineLevel="0" collapsed="false">
      <c r="A2249" s="20" t="n">
        <v>46106</v>
      </c>
      <c r="B2249" s="15" t="s">
        <v>504</v>
      </c>
      <c r="C2249" s="15" t="s">
        <v>17</v>
      </c>
      <c r="D2249" s="15" t="s">
        <v>554</v>
      </c>
      <c r="E2249" s="15" t="n">
        <v>1</v>
      </c>
      <c r="H2249" s="10"/>
      <c r="I2249" s="21"/>
      <c r="M2249" s="10"/>
      <c r="N2249" s="10"/>
      <c r="P2249" s="10"/>
      <c r="Q2249" s="22"/>
    </row>
    <row r="2250" customFormat="false" ht="15.75" hidden="false" customHeight="false" outlineLevel="0" collapsed="false">
      <c r="A2250" s="20" t="n">
        <v>46106</v>
      </c>
      <c r="B2250" s="15" t="s">
        <v>505</v>
      </c>
      <c r="C2250" s="15" t="s">
        <v>55</v>
      </c>
      <c r="D2250" s="15" t="s">
        <v>539</v>
      </c>
      <c r="E2250" s="15" t="n">
        <v>6</v>
      </c>
      <c r="H2250" s="10"/>
      <c r="I2250" s="21"/>
      <c r="M2250" s="10"/>
      <c r="N2250" s="10"/>
      <c r="P2250" s="10"/>
      <c r="Q2250" s="22"/>
    </row>
    <row r="2251" customFormat="false" ht="15.75" hidden="false" customHeight="false" outlineLevel="0" collapsed="false">
      <c r="A2251" s="20" t="n">
        <v>46106</v>
      </c>
      <c r="B2251" s="15" t="s">
        <v>505</v>
      </c>
      <c r="C2251" s="15" t="s">
        <v>39</v>
      </c>
      <c r="D2251" s="15" t="s">
        <v>550</v>
      </c>
      <c r="E2251" s="15" t="n">
        <v>1</v>
      </c>
      <c r="H2251" s="10"/>
      <c r="I2251" s="21"/>
      <c r="M2251" s="10"/>
      <c r="N2251" s="10"/>
      <c r="P2251" s="10"/>
      <c r="Q2251" s="22"/>
    </row>
    <row r="2252" customFormat="false" ht="15.75" hidden="false" customHeight="false" outlineLevel="0" collapsed="false">
      <c r="A2252" s="20" t="n">
        <v>46106</v>
      </c>
      <c r="B2252" s="15" t="s">
        <v>505</v>
      </c>
      <c r="C2252" s="15" t="s">
        <v>81</v>
      </c>
      <c r="D2252" s="15" t="s">
        <v>534</v>
      </c>
      <c r="E2252" s="15" t="n">
        <v>9</v>
      </c>
      <c r="H2252" s="10"/>
      <c r="I2252" s="21"/>
      <c r="M2252" s="10"/>
      <c r="N2252" s="10"/>
      <c r="P2252" s="10"/>
      <c r="Q2252" s="22"/>
    </row>
    <row r="2253" customFormat="false" ht="15.75" hidden="false" customHeight="false" outlineLevel="0" collapsed="false">
      <c r="A2253" s="20" t="n">
        <v>46106</v>
      </c>
      <c r="B2253" s="15" t="s">
        <v>505</v>
      </c>
      <c r="C2253" s="15" t="s">
        <v>47</v>
      </c>
      <c r="D2253" s="15" t="s">
        <v>549</v>
      </c>
      <c r="E2253" s="15" t="n">
        <v>3</v>
      </c>
      <c r="H2253" s="10"/>
      <c r="I2253" s="21"/>
      <c r="M2253" s="10"/>
      <c r="N2253" s="10"/>
      <c r="P2253" s="10"/>
      <c r="Q2253" s="22"/>
    </row>
    <row r="2254" customFormat="false" ht="15.75" hidden="false" customHeight="false" outlineLevel="0" collapsed="false">
      <c r="A2254" s="20" t="n">
        <v>46106</v>
      </c>
      <c r="B2254" s="15" t="s">
        <v>505</v>
      </c>
      <c r="C2254" s="15" t="s">
        <v>63</v>
      </c>
      <c r="D2254" s="15" t="s">
        <v>551</v>
      </c>
      <c r="E2254" s="15" t="n">
        <v>1</v>
      </c>
      <c r="H2254" s="10"/>
      <c r="I2254" s="21"/>
      <c r="M2254" s="10"/>
      <c r="N2254" s="10"/>
      <c r="P2254" s="10"/>
      <c r="Q2254" s="22"/>
    </row>
    <row r="2255" customFormat="false" ht="15.75" hidden="false" customHeight="false" outlineLevel="0" collapsed="false">
      <c r="A2255" s="20" t="n">
        <v>46106</v>
      </c>
      <c r="B2255" s="15" t="s">
        <v>505</v>
      </c>
      <c r="C2255" s="15" t="s">
        <v>17</v>
      </c>
      <c r="D2255" s="15" t="s">
        <v>554</v>
      </c>
      <c r="E2255" s="15" t="n">
        <v>1</v>
      </c>
      <c r="H2255" s="10"/>
      <c r="I2255" s="21"/>
      <c r="M2255" s="10"/>
      <c r="N2255" s="10"/>
      <c r="P2255" s="10"/>
      <c r="Q2255" s="22"/>
    </row>
    <row r="2256" customFormat="false" ht="15.75" hidden="false" customHeight="false" outlineLevel="0" collapsed="false">
      <c r="A2256" s="20" t="n">
        <v>46106</v>
      </c>
      <c r="B2256" s="15" t="s">
        <v>524</v>
      </c>
      <c r="C2256" s="15" t="s">
        <v>69</v>
      </c>
      <c r="D2256" s="15" t="s">
        <v>535</v>
      </c>
      <c r="E2256" s="15" t="n">
        <v>6</v>
      </c>
      <c r="H2256" s="10"/>
      <c r="I2256" s="21"/>
      <c r="M2256" s="10"/>
      <c r="N2256" s="10"/>
      <c r="P2256" s="10"/>
      <c r="Q2256" s="22"/>
    </row>
    <row r="2257" customFormat="false" ht="15.75" hidden="false" customHeight="false" outlineLevel="0" collapsed="false">
      <c r="A2257" s="20" t="n">
        <v>46106</v>
      </c>
      <c r="B2257" s="15" t="s">
        <v>524</v>
      </c>
      <c r="C2257" s="15" t="s">
        <v>33</v>
      </c>
      <c r="D2257" s="15" t="s">
        <v>536</v>
      </c>
      <c r="E2257" s="15" t="n">
        <v>6</v>
      </c>
      <c r="H2257" s="10"/>
      <c r="I2257" s="21"/>
      <c r="M2257" s="10"/>
      <c r="N2257" s="10"/>
      <c r="P2257" s="10"/>
      <c r="Q2257" s="22"/>
    </row>
    <row r="2258" customFormat="false" ht="15.75" hidden="false" customHeight="false" outlineLevel="0" collapsed="false">
      <c r="A2258" s="20" t="n">
        <v>46106</v>
      </c>
      <c r="B2258" s="15" t="s">
        <v>524</v>
      </c>
      <c r="C2258" s="15" t="s">
        <v>55</v>
      </c>
      <c r="D2258" s="15" t="s">
        <v>539</v>
      </c>
      <c r="E2258" s="15" t="n">
        <v>4</v>
      </c>
      <c r="H2258" s="10"/>
      <c r="I2258" s="21"/>
      <c r="M2258" s="10"/>
      <c r="N2258" s="10"/>
      <c r="P2258" s="10"/>
      <c r="Q2258" s="22"/>
    </row>
    <row r="2259" customFormat="false" ht="15.75" hidden="false" customHeight="false" outlineLevel="0" collapsed="false">
      <c r="A2259" s="20" t="n">
        <v>46106</v>
      </c>
      <c r="B2259" s="15" t="s">
        <v>524</v>
      </c>
      <c r="C2259" s="15" t="s">
        <v>81</v>
      </c>
      <c r="D2259" s="15" t="s">
        <v>534</v>
      </c>
      <c r="E2259" s="15" t="n">
        <v>3</v>
      </c>
      <c r="H2259" s="10"/>
      <c r="I2259" s="21"/>
      <c r="M2259" s="10"/>
      <c r="N2259" s="10"/>
      <c r="P2259" s="10"/>
      <c r="Q2259" s="22"/>
    </row>
    <row r="2260" customFormat="false" ht="15.75" hidden="false" customHeight="false" outlineLevel="0" collapsed="false">
      <c r="A2260" s="20" t="n">
        <v>46106</v>
      </c>
      <c r="B2260" s="15" t="s">
        <v>524</v>
      </c>
      <c r="C2260" s="15" t="s">
        <v>37</v>
      </c>
      <c r="D2260" s="15" t="s">
        <v>561</v>
      </c>
      <c r="E2260" s="15" t="n">
        <v>1</v>
      </c>
      <c r="H2260" s="10"/>
      <c r="I2260" s="21"/>
      <c r="M2260" s="10"/>
      <c r="N2260" s="10"/>
      <c r="P2260" s="10"/>
      <c r="Q2260" s="22"/>
    </row>
    <row r="2261" customFormat="false" ht="15.75" hidden="false" customHeight="false" outlineLevel="0" collapsed="false">
      <c r="A2261" s="20" t="n">
        <v>46106</v>
      </c>
      <c r="B2261" s="15" t="s">
        <v>524</v>
      </c>
      <c r="C2261" s="15" t="s">
        <v>547</v>
      </c>
      <c r="D2261" s="15" t="s">
        <v>548</v>
      </c>
      <c r="E2261" s="15" t="n">
        <v>1</v>
      </c>
      <c r="H2261" s="10"/>
      <c r="I2261" s="21"/>
      <c r="M2261" s="10"/>
      <c r="N2261" s="10"/>
      <c r="P2261" s="10"/>
      <c r="Q2261" s="22"/>
    </row>
    <row r="2262" customFormat="false" ht="15.75" hidden="false" customHeight="false" outlineLevel="0" collapsed="false">
      <c r="A2262" s="20" t="n">
        <v>46107</v>
      </c>
      <c r="B2262" s="15" t="s">
        <v>453</v>
      </c>
      <c r="C2262" s="15" t="s">
        <v>47</v>
      </c>
      <c r="D2262" s="15" t="s">
        <v>549</v>
      </c>
      <c r="E2262" s="15" t="n">
        <v>2</v>
      </c>
      <c r="H2262" s="10"/>
      <c r="I2262" s="21"/>
      <c r="M2262" s="10"/>
      <c r="N2262" s="10"/>
      <c r="P2262" s="10"/>
      <c r="Q2262" s="22"/>
    </row>
    <row r="2263" customFormat="false" ht="15.75" hidden="false" customHeight="false" outlineLevel="0" collapsed="false">
      <c r="A2263" s="20" t="n">
        <v>46107</v>
      </c>
      <c r="B2263" s="15" t="s">
        <v>453</v>
      </c>
      <c r="C2263" s="15" t="s">
        <v>55</v>
      </c>
      <c r="D2263" s="15" t="s">
        <v>539</v>
      </c>
      <c r="E2263" s="15" t="n">
        <v>4</v>
      </c>
      <c r="H2263" s="10"/>
      <c r="I2263" s="21"/>
      <c r="M2263" s="10"/>
      <c r="N2263" s="10"/>
      <c r="P2263" s="10"/>
      <c r="Q2263" s="22"/>
    </row>
    <row r="2264" customFormat="false" ht="15.75" hidden="false" customHeight="false" outlineLevel="0" collapsed="false">
      <c r="A2264" s="20" t="n">
        <v>46107</v>
      </c>
      <c r="B2264" s="15" t="s">
        <v>453</v>
      </c>
      <c r="C2264" s="15" t="s">
        <v>81</v>
      </c>
      <c r="D2264" s="15" t="s">
        <v>534</v>
      </c>
      <c r="E2264" s="15" t="n">
        <v>8</v>
      </c>
      <c r="H2264" s="10"/>
      <c r="I2264" s="21"/>
      <c r="M2264" s="10"/>
      <c r="N2264" s="10"/>
      <c r="P2264" s="10"/>
      <c r="Q2264" s="22"/>
    </row>
    <row r="2265" customFormat="false" ht="15.75" hidden="false" customHeight="false" outlineLevel="0" collapsed="false">
      <c r="A2265" s="20" t="n">
        <v>46107</v>
      </c>
      <c r="B2265" s="15" t="s">
        <v>453</v>
      </c>
      <c r="C2265" s="15" t="s">
        <v>39</v>
      </c>
      <c r="D2265" s="15" t="s">
        <v>550</v>
      </c>
      <c r="E2265" s="15" t="n">
        <v>2</v>
      </c>
      <c r="H2265" s="10"/>
      <c r="I2265" s="21"/>
      <c r="M2265" s="10"/>
      <c r="N2265" s="10"/>
      <c r="P2265" s="10"/>
      <c r="Q2265" s="22"/>
    </row>
    <row r="2266" customFormat="false" ht="15.75" hidden="false" customHeight="false" outlineLevel="0" collapsed="false">
      <c r="A2266" s="20" t="n">
        <v>46107</v>
      </c>
      <c r="B2266" s="15" t="s">
        <v>453</v>
      </c>
      <c r="C2266" s="15" t="s">
        <v>63</v>
      </c>
      <c r="D2266" s="15" t="s">
        <v>551</v>
      </c>
      <c r="E2266" s="15" t="n">
        <v>1</v>
      </c>
      <c r="H2266" s="10"/>
      <c r="I2266" s="21"/>
      <c r="M2266" s="10"/>
      <c r="N2266" s="10"/>
      <c r="P2266" s="10"/>
      <c r="Q2266" s="22"/>
    </row>
    <row r="2267" customFormat="false" ht="15.75" hidden="false" customHeight="false" outlineLevel="0" collapsed="false">
      <c r="A2267" s="20" t="n">
        <v>46107</v>
      </c>
      <c r="B2267" s="15" t="s">
        <v>453</v>
      </c>
      <c r="C2267" s="15" t="s">
        <v>35</v>
      </c>
      <c r="D2267" s="15" t="s">
        <v>552</v>
      </c>
      <c r="E2267" s="15" t="n">
        <v>2</v>
      </c>
      <c r="H2267" s="10"/>
      <c r="I2267" s="21"/>
      <c r="M2267" s="10"/>
      <c r="N2267" s="10"/>
      <c r="P2267" s="10"/>
      <c r="Q2267" s="22"/>
    </row>
    <row r="2268" customFormat="false" ht="15.75" hidden="false" customHeight="false" outlineLevel="0" collapsed="false">
      <c r="A2268" s="20" t="n">
        <v>46107</v>
      </c>
      <c r="B2268" s="15" t="s">
        <v>465</v>
      </c>
      <c r="C2268" s="15" t="s">
        <v>47</v>
      </c>
      <c r="D2268" s="15" t="s">
        <v>549</v>
      </c>
      <c r="E2268" s="15" t="n">
        <v>2</v>
      </c>
      <c r="H2268" s="10"/>
      <c r="I2268" s="21"/>
      <c r="M2268" s="10"/>
      <c r="N2268" s="10"/>
      <c r="P2268" s="10"/>
      <c r="Q2268" s="22"/>
    </row>
    <row r="2269" customFormat="false" ht="15.75" hidden="false" customHeight="false" outlineLevel="0" collapsed="false">
      <c r="A2269" s="20" t="n">
        <v>46107</v>
      </c>
      <c r="B2269" s="15" t="s">
        <v>465</v>
      </c>
      <c r="C2269" s="15" t="s">
        <v>81</v>
      </c>
      <c r="D2269" s="15" t="s">
        <v>534</v>
      </c>
      <c r="E2269" s="15" t="n">
        <v>13</v>
      </c>
      <c r="H2269" s="10"/>
      <c r="I2269" s="21"/>
      <c r="M2269" s="10"/>
      <c r="N2269" s="10"/>
      <c r="P2269" s="10"/>
      <c r="Q2269" s="22"/>
    </row>
    <row r="2270" customFormat="false" ht="15.75" hidden="false" customHeight="false" outlineLevel="0" collapsed="false">
      <c r="A2270" s="20" t="n">
        <v>46107</v>
      </c>
      <c r="B2270" s="15" t="s">
        <v>465</v>
      </c>
      <c r="C2270" s="15" t="s">
        <v>55</v>
      </c>
      <c r="D2270" s="15" t="s">
        <v>539</v>
      </c>
      <c r="E2270" s="15" t="n">
        <v>2</v>
      </c>
      <c r="H2270" s="10"/>
      <c r="I2270" s="21"/>
      <c r="M2270" s="10"/>
      <c r="N2270" s="10"/>
      <c r="P2270" s="10"/>
      <c r="Q2270" s="22"/>
    </row>
    <row r="2271" customFormat="false" ht="15.75" hidden="false" customHeight="false" outlineLevel="0" collapsed="false">
      <c r="A2271" s="20" t="n">
        <v>46107</v>
      </c>
      <c r="B2271" s="15" t="s">
        <v>465</v>
      </c>
      <c r="C2271" s="15" t="s">
        <v>69</v>
      </c>
      <c r="D2271" s="15" t="s">
        <v>535</v>
      </c>
      <c r="E2271" s="15" t="n">
        <v>5</v>
      </c>
      <c r="H2271" s="10"/>
      <c r="I2271" s="21"/>
      <c r="M2271" s="10"/>
      <c r="N2271" s="10"/>
      <c r="P2271" s="10"/>
      <c r="Q2271" s="22"/>
    </row>
    <row r="2272" customFormat="false" ht="15.75" hidden="false" customHeight="false" outlineLevel="0" collapsed="false">
      <c r="A2272" s="20" t="n">
        <v>46107</v>
      </c>
      <c r="B2272" s="15" t="s">
        <v>465</v>
      </c>
      <c r="C2272" s="15" t="s">
        <v>555</v>
      </c>
      <c r="D2272" s="15" t="s">
        <v>556</v>
      </c>
      <c r="E2272" s="15" t="n">
        <v>3</v>
      </c>
      <c r="H2272" s="10"/>
      <c r="I2272" s="21"/>
      <c r="M2272" s="10"/>
      <c r="N2272" s="10"/>
      <c r="P2272" s="10"/>
      <c r="Q2272" s="22"/>
    </row>
    <row r="2273" customFormat="false" ht="15.75" hidden="false" customHeight="false" outlineLevel="0" collapsed="false">
      <c r="A2273" s="20" t="n">
        <v>46107</v>
      </c>
      <c r="B2273" s="15" t="s">
        <v>465</v>
      </c>
      <c r="C2273" s="15" t="s">
        <v>565</v>
      </c>
      <c r="D2273" s="15" t="s">
        <v>566</v>
      </c>
      <c r="E2273" s="15" t="n">
        <v>3</v>
      </c>
      <c r="H2273" s="10"/>
      <c r="I2273" s="21"/>
      <c r="M2273" s="10"/>
      <c r="N2273" s="10"/>
      <c r="P2273" s="10"/>
      <c r="Q2273" s="22"/>
    </row>
    <row r="2274" customFormat="false" ht="15.75" hidden="false" customHeight="false" outlineLevel="0" collapsed="false">
      <c r="A2274" s="20" t="n">
        <v>46107</v>
      </c>
      <c r="B2274" s="15" t="s">
        <v>465</v>
      </c>
      <c r="C2274" s="15" t="s">
        <v>570</v>
      </c>
      <c r="D2274" s="15" t="s">
        <v>571</v>
      </c>
      <c r="E2274" s="15" t="n">
        <v>6</v>
      </c>
      <c r="H2274" s="10"/>
      <c r="I2274" s="21"/>
      <c r="M2274" s="10"/>
      <c r="N2274" s="10"/>
      <c r="P2274" s="10"/>
      <c r="Q2274" s="22"/>
    </row>
    <row r="2275" customFormat="false" ht="15.75" hidden="false" customHeight="false" outlineLevel="0" collapsed="false">
      <c r="A2275" s="20" t="n">
        <v>46107</v>
      </c>
      <c r="B2275" s="15" t="s">
        <v>465</v>
      </c>
      <c r="C2275" s="15" t="s">
        <v>45</v>
      </c>
      <c r="D2275" s="15" t="s">
        <v>540</v>
      </c>
      <c r="E2275" s="15" t="n">
        <v>2</v>
      </c>
      <c r="H2275" s="10"/>
      <c r="I2275" s="21"/>
      <c r="M2275" s="10"/>
      <c r="N2275" s="10"/>
      <c r="P2275" s="10"/>
      <c r="Q2275" s="22"/>
    </row>
    <row r="2276" customFormat="false" ht="15.75" hidden="false" customHeight="false" outlineLevel="0" collapsed="false">
      <c r="A2276" s="20" t="n">
        <v>46107</v>
      </c>
      <c r="B2276" s="15" t="s">
        <v>465</v>
      </c>
      <c r="C2276" s="15" t="s">
        <v>547</v>
      </c>
      <c r="D2276" s="15" t="s">
        <v>548</v>
      </c>
      <c r="E2276" s="15" t="n">
        <v>3</v>
      </c>
      <c r="H2276" s="10"/>
      <c r="I2276" s="21"/>
      <c r="M2276" s="10"/>
      <c r="N2276" s="10"/>
      <c r="P2276" s="10"/>
      <c r="Q2276" s="22"/>
    </row>
    <row r="2277" customFormat="false" ht="15.75" hidden="false" customHeight="false" outlineLevel="0" collapsed="false">
      <c r="A2277" s="20" t="n">
        <v>46107</v>
      </c>
      <c r="B2277" s="15" t="s">
        <v>465</v>
      </c>
      <c r="C2277" s="15" t="s">
        <v>567</v>
      </c>
      <c r="D2277" s="15" t="s">
        <v>568</v>
      </c>
      <c r="E2277" s="15" t="n">
        <v>2</v>
      </c>
      <c r="H2277" s="10"/>
      <c r="I2277" s="21"/>
      <c r="M2277" s="10"/>
      <c r="N2277" s="10"/>
      <c r="P2277" s="10"/>
      <c r="Q2277" s="22"/>
    </row>
    <row r="2278" customFormat="false" ht="15.75" hidden="false" customHeight="false" outlineLevel="0" collapsed="false">
      <c r="A2278" s="20" t="n">
        <v>46107</v>
      </c>
      <c r="B2278" s="15" t="s">
        <v>465</v>
      </c>
      <c r="C2278" s="15" t="s">
        <v>543</v>
      </c>
      <c r="D2278" s="15" t="s">
        <v>544</v>
      </c>
      <c r="E2278" s="15" t="n">
        <v>3</v>
      </c>
      <c r="H2278" s="10"/>
      <c r="I2278" s="21"/>
      <c r="M2278" s="10"/>
      <c r="N2278" s="10"/>
      <c r="P2278" s="10"/>
      <c r="Q2278" s="22"/>
    </row>
    <row r="2279" customFormat="false" ht="15.75" hidden="false" customHeight="false" outlineLevel="0" collapsed="false">
      <c r="A2279" s="20" t="n">
        <v>46107</v>
      </c>
      <c r="B2279" s="15" t="s">
        <v>465</v>
      </c>
      <c r="C2279" s="15" t="s">
        <v>25</v>
      </c>
      <c r="D2279" s="15" t="s">
        <v>26</v>
      </c>
      <c r="E2279" s="15" t="n">
        <v>1</v>
      </c>
      <c r="H2279" s="10"/>
      <c r="I2279" s="21"/>
      <c r="M2279" s="10"/>
      <c r="N2279" s="10"/>
      <c r="P2279" s="10"/>
      <c r="Q2279" s="22"/>
    </row>
    <row r="2280" customFormat="false" ht="15.75" hidden="false" customHeight="false" outlineLevel="0" collapsed="false">
      <c r="A2280" s="20" t="n">
        <v>46107</v>
      </c>
      <c r="B2280" s="15" t="s">
        <v>465</v>
      </c>
      <c r="C2280" s="15" t="s">
        <v>77</v>
      </c>
      <c r="D2280" s="15" t="s">
        <v>78</v>
      </c>
      <c r="E2280" s="15" t="n">
        <v>2</v>
      </c>
      <c r="H2280" s="10"/>
      <c r="I2280" s="21"/>
      <c r="M2280" s="10"/>
      <c r="N2280" s="10"/>
      <c r="P2280" s="10"/>
      <c r="Q2280" s="22"/>
    </row>
    <row r="2281" customFormat="false" ht="15.75" hidden="false" customHeight="false" outlineLevel="0" collapsed="false">
      <c r="A2281" s="20" t="n">
        <v>46107</v>
      </c>
      <c r="B2281" s="15" t="s">
        <v>465</v>
      </c>
      <c r="C2281" s="15" t="s">
        <v>59</v>
      </c>
      <c r="D2281" s="15" t="s">
        <v>562</v>
      </c>
      <c r="E2281" s="15" t="n">
        <v>2</v>
      </c>
      <c r="H2281" s="10"/>
      <c r="I2281" s="21"/>
      <c r="M2281" s="10"/>
      <c r="N2281" s="10"/>
      <c r="P2281" s="10"/>
      <c r="Q2281" s="22"/>
    </row>
    <row r="2282" customFormat="false" ht="15.75" hidden="false" customHeight="false" outlineLevel="0" collapsed="false">
      <c r="A2282" s="20" t="n">
        <v>46107</v>
      </c>
      <c r="B2282" s="15" t="s">
        <v>465</v>
      </c>
      <c r="C2282" s="15" t="s">
        <v>545</v>
      </c>
      <c r="D2282" s="15" t="s">
        <v>546</v>
      </c>
      <c r="E2282" s="15" t="n">
        <v>4</v>
      </c>
      <c r="H2282" s="10"/>
      <c r="I2282" s="21"/>
      <c r="M2282" s="10"/>
      <c r="N2282" s="10"/>
      <c r="P2282" s="10"/>
      <c r="Q2282" s="22"/>
    </row>
    <row r="2283" customFormat="false" ht="15.75" hidden="false" customHeight="false" outlineLevel="0" collapsed="false">
      <c r="A2283" s="20" t="n">
        <v>46107</v>
      </c>
      <c r="B2283" s="15" t="s">
        <v>465</v>
      </c>
      <c r="C2283" s="15" t="s">
        <v>79</v>
      </c>
      <c r="D2283" s="15" t="s">
        <v>564</v>
      </c>
      <c r="E2283" s="15" t="n">
        <v>1</v>
      </c>
      <c r="H2283" s="10"/>
      <c r="I2283" s="21"/>
      <c r="M2283" s="10"/>
      <c r="N2283" s="10"/>
      <c r="P2283" s="10"/>
      <c r="Q2283" s="22"/>
    </row>
    <row r="2284" customFormat="false" ht="15.75" hidden="false" customHeight="false" outlineLevel="0" collapsed="false">
      <c r="A2284" s="20" t="n">
        <v>46107</v>
      </c>
      <c r="B2284" s="15" t="s">
        <v>465</v>
      </c>
      <c r="C2284" s="15" t="s">
        <v>43</v>
      </c>
      <c r="D2284" s="15" t="s">
        <v>538</v>
      </c>
      <c r="E2284" s="15" t="n">
        <v>1</v>
      </c>
      <c r="H2284" s="10"/>
      <c r="I2284" s="21"/>
      <c r="M2284" s="10"/>
      <c r="N2284" s="10"/>
      <c r="P2284" s="10"/>
      <c r="Q2284" s="22"/>
    </row>
    <row r="2285" customFormat="false" ht="15.75" hidden="false" customHeight="false" outlineLevel="0" collapsed="false">
      <c r="A2285" s="20" t="n">
        <v>46107</v>
      </c>
      <c r="B2285" s="15" t="s">
        <v>465</v>
      </c>
      <c r="C2285" s="15" t="s">
        <v>33</v>
      </c>
      <c r="D2285" s="15" t="s">
        <v>536</v>
      </c>
      <c r="E2285" s="15" t="n">
        <v>2</v>
      </c>
      <c r="H2285" s="10"/>
      <c r="I2285" s="21"/>
      <c r="M2285" s="10"/>
      <c r="N2285" s="10"/>
      <c r="P2285" s="10"/>
      <c r="Q2285" s="22"/>
    </row>
    <row r="2286" customFormat="false" ht="15.75" hidden="false" customHeight="false" outlineLevel="0" collapsed="false">
      <c r="A2286" s="20" t="n">
        <v>46107</v>
      </c>
      <c r="B2286" s="15" t="s">
        <v>465</v>
      </c>
      <c r="C2286" s="15" t="s">
        <v>65</v>
      </c>
      <c r="D2286" s="15" t="s">
        <v>580</v>
      </c>
      <c r="E2286" s="15" t="n">
        <v>1</v>
      </c>
      <c r="H2286" s="10"/>
      <c r="I2286" s="21"/>
      <c r="M2286" s="10"/>
      <c r="N2286" s="10"/>
      <c r="P2286" s="10"/>
      <c r="Q2286" s="22"/>
    </row>
    <row r="2287" customFormat="false" ht="15.75" hidden="false" customHeight="false" outlineLevel="0" collapsed="false">
      <c r="A2287" s="20" t="n">
        <v>46107</v>
      </c>
      <c r="B2287" s="15" t="s">
        <v>465</v>
      </c>
      <c r="C2287" s="15" t="s">
        <v>11</v>
      </c>
      <c r="D2287" s="15" t="s">
        <v>572</v>
      </c>
      <c r="E2287" s="15" t="n">
        <v>6</v>
      </c>
      <c r="H2287" s="10"/>
      <c r="I2287" s="21"/>
      <c r="M2287" s="10"/>
      <c r="N2287" s="10"/>
      <c r="P2287" s="10"/>
      <c r="Q2287" s="22"/>
    </row>
    <row r="2288" customFormat="false" ht="15.75" hidden="false" customHeight="false" outlineLevel="0" collapsed="false">
      <c r="A2288" s="20" t="n">
        <v>46107</v>
      </c>
      <c r="B2288" s="15" t="s">
        <v>467</v>
      </c>
      <c r="C2288" s="15" t="s">
        <v>55</v>
      </c>
      <c r="D2288" s="15" t="s">
        <v>539</v>
      </c>
      <c r="E2288" s="15" t="n">
        <v>6</v>
      </c>
      <c r="H2288" s="10"/>
      <c r="I2288" s="21"/>
      <c r="M2288" s="10"/>
      <c r="N2288" s="10"/>
      <c r="P2288" s="10"/>
      <c r="Q2288" s="22"/>
    </row>
    <row r="2289" customFormat="false" ht="15.75" hidden="false" customHeight="false" outlineLevel="0" collapsed="false">
      <c r="A2289" s="20" t="n">
        <v>46107</v>
      </c>
      <c r="B2289" s="15" t="s">
        <v>467</v>
      </c>
      <c r="C2289" s="15" t="s">
        <v>57</v>
      </c>
      <c r="D2289" s="15" t="s">
        <v>553</v>
      </c>
      <c r="E2289" s="15" t="n">
        <v>2</v>
      </c>
      <c r="H2289" s="10"/>
      <c r="I2289" s="21"/>
      <c r="M2289" s="10"/>
      <c r="N2289" s="10"/>
      <c r="P2289" s="10"/>
      <c r="Q2289" s="22"/>
    </row>
    <row r="2290" customFormat="false" ht="15.75" hidden="false" customHeight="false" outlineLevel="0" collapsed="false">
      <c r="A2290" s="20" t="n">
        <v>46107</v>
      </c>
      <c r="B2290" s="15" t="s">
        <v>467</v>
      </c>
      <c r="C2290" s="15" t="s">
        <v>47</v>
      </c>
      <c r="D2290" s="15" t="s">
        <v>549</v>
      </c>
      <c r="E2290" s="15" t="n">
        <v>2</v>
      </c>
      <c r="H2290" s="10"/>
      <c r="I2290" s="21"/>
      <c r="M2290" s="10"/>
      <c r="N2290" s="10"/>
      <c r="P2290" s="10"/>
      <c r="Q2290" s="22"/>
    </row>
    <row r="2291" customFormat="false" ht="15.75" hidden="false" customHeight="false" outlineLevel="0" collapsed="false">
      <c r="A2291" s="20" t="n">
        <v>46107</v>
      </c>
      <c r="B2291" s="15" t="s">
        <v>467</v>
      </c>
      <c r="C2291" s="15" t="s">
        <v>81</v>
      </c>
      <c r="D2291" s="15" t="s">
        <v>534</v>
      </c>
      <c r="E2291" s="15" t="n">
        <v>7</v>
      </c>
      <c r="H2291" s="10"/>
      <c r="I2291" s="21"/>
      <c r="M2291" s="10"/>
      <c r="N2291" s="10"/>
      <c r="P2291" s="10"/>
      <c r="Q2291" s="22"/>
    </row>
    <row r="2292" customFormat="false" ht="15.75" hidden="false" customHeight="false" outlineLevel="0" collapsed="false">
      <c r="A2292" s="20" t="n">
        <v>46107</v>
      </c>
      <c r="B2292" s="15" t="s">
        <v>467</v>
      </c>
      <c r="C2292" s="15" t="s">
        <v>49</v>
      </c>
      <c r="D2292" s="15" t="s">
        <v>537</v>
      </c>
      <c r="E2292" s="15" t="n">
        <v>2</v>
      </c>
      <c r="H2292" s="10"/>
      <c r="I2292" s="21"/>
      <c r="M2292" s="10"/>
      <c r="N2292" s="10"/>
      <c r="P2292" s="10"/>
      <c r="Q2292" s="22"/>
    </row>
    <row r="2293" customFormat="false" ht="15.75" hidden="false" customHeight="false" outlineLevel="0" collapsed="false">
      <c r="A2293" s="20" t="n">
        <v>46107</v>
      </c>
      <c r="B2293" s="15" t="s">
        <v>467</v>
      </c>
      <c r="C2293" s="15" t="s">
        <v>63</v>
      </c>
      <c r="D2293" s="15" t="s">
        <v>551</v>
      </c>
      <c r="E2293" s="15" t="n">
        <v>1</v>
      </c>
      <c r="H2293" s="10"/>
      <c r="I2293" s="21"/>
      <c r="M2293" s="10"/>
      <c r="N2293" s="10"/>
      <c r="P2293" s="10"/>
      <c r="Q2293" s="22"/>
    </row>
    <row r="2294" customFormat="false" ht="15.75" hidden="false" customHeight="false" outlineLevel="0" collapsed="false">
      <c r="A2294" s="20" t="n">
        <v>46107</v>
      </c>
      <c r="B2294" s="15" t="s">
        <v>469</v>
      </c>
      <c r="C2294" s="15" t="s">
        <v>69</v>
      </c>
      <c r="D2294" s="15" t="s">
        <v>535</v>
      </c>
      <c r="E2294" s="15" t="n">
        <v>5</v>
      </c>
      <c r="H2294" s="10"/>
      <c r="I2294" s="21"/>
      <c r="M2294" s="10"/>
      <c r="N2294" s="10"/>
      <c r="P2294" s="10"/>
      <c r="Q2294" s="22"/>
    </row>
    <row r="2295" customFormat="false" ht="15.75" hidden="false" customHeight="false" outlineLevel="0" collapsed="false">
      <c r="A2295" s="20" t="n">
        <v>46107</v>
      </c>
      <c r="B2295" s="15" t="s">
        <v>469</v>
      </c>
      <c r="C2295" s="15" t="s">
        <v>55</v>
      </c>
      <c r="D2295" s="15" t="s">
        <v>539</v>
      </c>
      <c r="E2295" s="15" t="n">
        <v>2</v>
      </c>
      <c r="H2295" s="10"/>
      <c r="I2295" s="21"/>
      <c r="M2295" s="10"/>
      <c r="N2295" s="10"/>
      <c r="P2295" s="10"/>
      <c r="Q2295" s="22"/>
    </row>
    <row r="2296" customFormat="false" ht="15.75" hidden="false" customHeight="false" outlineLevel="0" collapsed="false">
      <c r="A2296" s="20" t="n">
        <v>46107</v>
      </c>
      <c r="B2296" s="15" t="s">
        <v>469</v>
      </c>
      <c r="C2296" s="15" t="s">
        <v>33</v>
      </c>
      <c r="D2296" s="15" t="s">
        <v>536</v>
      </c>
      <c r="E2296" s="15" t="n">
        <v>5</v>
      </c>
      <c r="H2296" s="10"/>
      <c r="I2296" s="21"/>
      <c r="M2296" s="10"/>
      <c r="N2296" s="10"/>
      <c r="P2296" s="10"/>
      <c r="Q2296" s="22"/>
    </row>
    <row r="2297" customFormat="false" ht="15.75" hidden="false" customHeight="false" outlineLevel="0" collapsed="false">
      <c r="A2297" s="20" t="n">
        <v>46107</v>
      </c>
      <c r="B2297" s="15" t="s">
        <v>469</v>
      </c>
      <c r="C2297" s="15" t="s">
        <v>547</v>
      </c>
      <c r="D2297" s="15" t="s">
        <v>548</v>
      </c>
      <c r="E2297" s="15" t="n">
        <v>1</v>
      </c>
      <c r="H2297" s="10"/>
      <c r="I2297" s="21"/>
      <c r="M2297" s="10"/>
      <c r="N2297" s="10"/>
      <c r="P2297" s="10"/>
      <c r="Q2297" s="22"/>
    </row>
    <row r="2298" customFormat="false" ht="15.75" hidden="false" customHeight="false" outlineLevel="0" collapsed="false">
      <c r="A2298" s="20" t="n">
        <v>46107</v>
      </c>
      <c r="B2298" s="15" t="s">
        <v>469</v>
      </c>
      <c r="C2298" s="15" t="s">
        <v>81</v>
      </c>
      <c r="D2298" s="15" t="s">
        <v>534</v>
      </c>
      <c r="E2298" s="15" t="n">
        <v>2</v>
      </c>
      <c r="H2298" s="10"/>
      <c r="I2298" s="21"/>
      <c r="M2298" s="10"/>
      <c r="N2298" s="10"/>
      <c r="P2298" s="10"/>
      <c r="Q2298" s="22"/>
    </row>
    <row r="2299" customFormat="false" ht="15.75" hidden="false" customHeight="false" outlineLevel="0" collapsed="false">
      <c r="A2299" s="20" t="n">
        <v>46107</v>
      </c>
      <c r="B2299" s="15" t="s">
        <v>477</v>
      </c>
      <c r="C2299" s="15" t="s">
        <v>69</v>
      </c>
      <c r="D2299" s="15" t="s">
        <v>535</v>
      </c>
      <c r="E2299" s="15" t="n">
        <v>3</v>
      </c>
      <c r="H2299" s="10"/>
      <c r="I2299" s="21"/>
      <c r="M2299" s="10"/>
      <c r="N2299" s="10"/>
      <c r="P2299" s="10"/>
      <c r="Q2299" s="22"/>
    </row>
    <row r="2300" customFormat="false" ht="15.75" hidden="false" customHeight="false" outlineLevel="0" collapsed="false">
      <c r="A2300" s="20" t="n">
        <v>46107</v>
      </c>
      <c r="B2300" s="15" t="s">
        <v>477</v>
      </c>
      <c r="C2300" s="15" t="s">
        <v>547</v>
      </c>
      <c r="D2300" s="15" t="s">
        <v>548</v>
      </c>
      <c r="E2300" s="15" t="n">
        <v>3</v>
      </c>
      <c r="H2300" s="10"/>
      <c r="I2300" s="21"/>
      <c r="M2300" s="10"/>
      <c r="N2300" s="10"/>
      <c r="P2300" s="10"/>
      <c r="Q2300" s="22"/>
    </row>
    <row r="2301" customFormat="false" ht="15.75" hidden="false" customHeight="false" outlineLevel="0" collapsed="false">
      <c r="A2301" s="20" t="n">
        <v>46107</v>
      </c>
      <c r="B2301" s="15" t="s">
        <v>477</v>
      </c>
      <c r="C2301" s="15" t="s">
        <v>25</v>
      </c>
      <c r="D2301" s="15" t="s">
        <v>26</v>
      </c>
      <c r="E2301" s="15" t="n">
        <v>3</v>
      </c>
      <c r="H2301" s="10"/>
      <c r="I2301" s="21"/>
      <c r="M2301" s="10"/>
      <c r="N2301" s="10"/>
      <c r="P2301" s="10"/>
      <c r="Q2301" s="22"/>
    </row>
    <row r="2302" customFormat="false" ht="15.75" hidden="false" customHeight="false" outlineLevel="0" collapsed="false">
      <c r="A2302" s="20" t="n">
        <v>46107</v>
      </c>
      <c r="B2302" s="15" t="s">
        <v>484</v>
      </c>
      <c r="C2302" s="15" t="s">
        <v>69</v>
      </c>
      <c r="D2302" s="15" t="s">
        <v>535</v>
      </c>
      <c r="E2302" s="15" t="n">
        <v>2</v>
      </c>
      <c r="H2302" s="10"/>
      <c r="I2302" s="21"/>
      <c r="M2302" s="10"/>
      <c r="N2302" s="10"/>
      <c r="P2302" s="10"/>
      <c r="Q2302" s="22"/>
    </row>
    <row r="2303" customFormat="false" ht="15.75" hidden="false" customHeight="false" outlineLevel="0" collapsed="false">
      <c r="A2303" s="20" t="n">
        <v>46107</v>
      </c>
      <c r="B2303" s="15" t="s">
        <v>484</v>
      </c>
      <c r="C2303" s="15" t="s">
        <v>81</v>
      </c>
      <c r="D2303" s="15" t="s">
        <v>534</v>
      </c>
      <c r="E2303" s="15" t="n">
        <v>5</v>
      </c>
      <c r="H2303" s="10"/>
      <c r="I2303" s="21"/>
      <c r="M2303" s="10"/>
      <c r="N2303" s="10"/>
      <c r="P2303" s="10"/>
      <c r="Q2303" s="22"/>
    </row>
    <row r="2304" customFormat="false" ht="15.75" hidden="false" customHeight="false" outlineLevel="0" collapsed="false">
      <c r="A2304" s="20" t="n">
        <v>46107</v>
      </c>
      <c r="B2304" s="15" t="s">
        <v>484</v>
      </c>
      <c r="C2304" s="15" t="s">
        <v>37</v>
      </c>
      <c r="D2304" s="15" t="s">
        <v>561</v>
      </c>
      <c r="E2304" s="15" t="n">
        <v>2</v>
      </c>
      <c r="H2304" s="10"/>
      <c r="I2304" s="21"/>
      <c r="M2304" s="10"/>
      <c r="N2304" s="10"/>
      <c r="P2304" s="10"/>
      <c r="Q2304" s="22"/>
    </row>
    <row r="2305" customFormat="false" ht="15.75" hidden="false" customHeight="false" outlineLevel="0" collapsed="false">
      <c r="A2305" s="20" t="n">
        <v>46107</v>
      </c>
      <c r="B2305" s="15" t="s">
        <v>484</v>
      </c>
      <c r="C2305" s="15" t="s">
        <v>547</v>
      </c>
      <c r="D2305" s="15" t="s">
        <v>548</v>
      </c>
      <c r="E2305" s="15" t="n">
        <v>1</v>
      </c>
      <c r="H2305" s="10"/>
      <c r="I2305" s="21"/>
      <c r="M2305" s="10"/>
      <c r="N2305" s="10"/>
      <c r="P2305" s="10"/>
      <c r="Q2305" s="22"/>
    </row>
    <row r="2306" customFormat="false" ht="15.75" hidden="false" customHeight="false" outlineLevel="0" collapsed="false">
      <c r="A2306" s="20" t="n">
        <v>46107</v>
      </c>
      <c r="B2306" s="15" t="s">
        <v>484</v>
      </c>
      <c r="C2306" s="15" t="s">
        <v>33</v>
      </c>
      <c r="D2306" s="15" t="s">
        <v>536</v>
      </c>
      <c r="E2306" s="15" t="n">
        <v>2</v>
      </c>
      <c r="H2306" s="10"/>
      <c r="I2306" s="21"/>
      <c r="M2306" s="10"/>
      <c r="N2306" s="10"/>
      <c r="P2306" s="10"/>
      <c r="Q2306" s="22"/>
    </row>
    <row r="2307" customFormat="false" ht="15.75" hidden="false" customHeight="false" outlineLevel="0" collapsed="false">
      <c r="A2307" s="20" t="n">
        <v>46107</v>
      </c>
      <c r="B2307" s="15" t="s">
        <v>484</v>
      </c>
      <c r="C2307" s="15" t="s">
        <v>77</v>
      </c>
      <c r="D2307" s="15" t="s">
        <v>78</v>
      </c>
      <c r="E2307" s="15" t="n">
        <v>2</v>
      </c>
      <c r="H2307" s="10"/>
      <c r="I2307" s="21"/>
      <c r="M2307" s="10"/>
      <c r="N2307" s="10"/>
      <c r="P2307" s="10"/>
      <c r="Q2307" s="22"/>
    </row>
    <row r="2308" customFormat="false" ht="15.75" hidden="false" customHeight="false" outlineLevel="0" collapsed="false">
      <c r="A2308" s="20" t="n">
        <v>46107</v>
      </c>
      <c r="B2308" s="15" t="s">
        <v>484</v>
      </c>
      <c r="C2308" s="15" t="s">
        <v>578</v>
      </c>
      <c r="D2308" s="15" t="s">
        <v>579</v>
      </c>
      <c r="E2308" s="15" t="n">
        <v>1</v>
      </c>
      <c r="H2308" s="10"/>
      <c r="I2308" s="21"/>
      <c r="M2308" s="10"/>
      <c r="N2308" s="10"/>
      <c r="P2308" s="10"/>
      <c r="Q2308" s="22"/>
    </row>
    <row r="2309" customFormat="false" ht="15.75" hidden="false" customHeight="false" outlineLevel="0" collapsed="false">
      <c r="A2309" s="20" t="n">
        <v>46107</v>
      </c>
      <c r="B2309" s="15" t="s">
        <v>484</v>
      </c>
      <c r="C2309" s="15" t="s">
        <v>11</v>
      </c>
      <c r="D2309" s="15" t="s">
        <v>572</v>
      </c>
      <c r="E2309" s="15" t="n">
        <v>1</v>
      </c>
      <c r="H2309" s="10"/>
      <c r="I2309" s="21"/>
      <c r="M2309" s="10"/>
      <c r="N2309" s="10"/>
      <c r="P2309" s="10"/>
      <c r="Q2309" s="22"/>
    </row>
    <row r="2310" customFormat="false" ht="15.75" hidden="false" customHeight="false" outlineLevel="0" collapsed="false">
      <c r="A2310" s="20" t="n">
        <v>46107</v>
      </c>
      <c r="B2310" s="15" t="s">
        <v>491</v>
      </c>
      <c r="C2310" s="15" t="s">
        <v>37</v>
      </c>
      <c r="D2310" s="15" t="s">
        <v>561</v>
      </c>
      <c r="E2310" s="15" t="n">
        <v>1</v>
      </c>
      <c r="H2310" s="10"/>
      <c r="I2310" s="21"/>
      <c r="M2310" s="10"/>
      <c r="N2310" s="10"/>
      <c r="P2310" s="10"/>
      <c r="Q2310" s="22"/>
    </row>
    <row r="2311" customFormat="false" ht="15.75" hidden="false" customHeight="false" outlineLevel="0" collapsed="false">
      <c r="A2311" s="20" t="n">
        <v>46107</v>
      </c>
      <c r="B2311" s="15" t="s">
        <v>491</v>
      </c>
      <c r="C2311" s="15" t="s">
        <v>81</v>
      </c>
      <c r="D2311" s="15" t="s">
        <v>534</v>
      </c>
      <c r="E2311" s="15" t="n">
        <v>8</v>
      </c>
      <c r="H2311" s="10"/>
      <c r="I2311" s="21"/>
      <c r="M2311" s="10"/>
      <c r="N2311" s="10"/>
      <c r="P2311" s="10"/>
      <c r="Q2311" s="22"/>
    </row>
    <row r="2312" customFormat="false" ht="15.75" hidden="false" customHeight="false" outlineLevel="0" collapsed="false">
      <c r="A2312" s="20" t="n">
        <v>46107</v>
      </c>
      <c r="B2312" s="15" t="s">
        <v>491</v>
      </c>
      <c r="C2312" s="15" t="s">
        <v>75</v>
      </c>
      <c r="D2312" s="15" t="s">
        <v>560</v>
      </c>
      <c r="E2312" s="15" t="n">
        <v>1</v>
      </c>
      <c r="H2312" s="10"/>
      <c r="I2312" s="21"/>
      <c r="M2312" s="10"/>
      <c r="N2312" s="10"/>
      <c r="P2312" s="10"/>
      <c r="Q2312" s="22"/>
    </row>
    <row r="2313" customFormat="false" ht="15.75" hidden="false" customHeight="false" outlineLevel="0" collapsed="false">
      <c r="A2313" s="20" t="n">
        <v>46107</v>
      </c>
      <c r="B2313" s="15" t="s">
        <v>491</v>
      </c>
      <c r="C2313" s="15" t="s">
        <v>69</v>
      </c>
      <c r="D2313" s="15" t="s">
        <v>535</v>
      </c>
      <c r="E2313" s="15" t="n">
        <v>6</v>
      </c>
      <c r="H2313" s="10"/>
      <c r="I2313" s="21"/>
      <c r="M2313" s="10"/>
      <c r="N2313" s="10"/>
      <c r="P2313" s="10"/>
      <c r="Q2313" s="22"/>
    </row>
    <row r="2314" customFormat="false" ht="15.75" hidden="false" customHeight="false" outlineLevel="0" collapsed="false">
      <c r="A2314" s="20" t="n">
        <v>46107</v>
      </c>
      <c r="B2314" s="15" t="s">
        <v>491</v>
      </c>
      <c r="C2314" s="15" t="s">
        <v>547</v>
      </c>
      <c r="D2314" s="15" t="s">
        <v>548</v>
      </c>
      <c r="E2314" s="15" t="n">
        <v>1</v>
      </c>
      <c r="H2314" s="10"/>
      <c r="I2314" s="21"/>
      <c r="M2314" s="10"/>
      <c r="N2314" s="10"/>
      <c r="P2314" s="10"/>
      <c r="Q2314" s="22"/>
    </row>
    <row r="2315" customFormat="false" ht="15.75" hidden="false" customHeight="false" outlineLevel="0" collapsed="false">
      <c r="A2315" s="20" t="n">
        <v>46107</v>
      </c>
      <c r="B2315" s="15" t="s">
        <v>491</v>
      </c>
      <c r="C2315" s="15" t="s">
        <v>31</v>
      </c>
      <c r="D2315" s="15" t="s">
        <v>559</v>
      </c>
      <c r="E2315" s="15" t="n">
        <v>2</v>
      </c>
      <c r="H2315" s="10"/>
      <c r="I2315" s="21"/>
      <c r="M2315" s="10"/>
      <c r="N2315" s="10"/>
      <c r="P2315" s="10"/>
      <c r="Q2315" s="22"/>
    </row>
    <row r="2316" customFormat="false" ht="15.75" hidden="false" customHeight="false" outlineLevel="0" collapsed="false">
      <c r="A2316" s="20" t="n">
        <v>46107</v>
      </c>
      <c r="B2316" s="15" t="s">
        <v>491</v>
      </c>
      <c r="C2316" s="15" t="s">
        <v>545</v>
      </c>
      <c r="D2316" s="15" t="s">
        <v>546</v>
      </c>
      <c r="E2316" s="15" t="n">
        <v>2</v>
      </c>
      <c r="H2316" s="10"/>
      <c r="I2316" s="21"/>
      <c r="M2316" s="10"/>
      <c r="N2316" s="10"/>
      <c r="P2316" s="10"/>
      <c r="Q2316" s="22"/>
    </row>
    <row r="2317" customFormat="false" ht="15.75" hidden="false" customHeight="false" outlineLevel="0" collapsed="false">
      <c r="A2317" s="20" t="n">
        <v>46107</v>
      </c>
      <c r="B2317" s="15" t="s">
        <v>491</v>
      </c>
      <c r="C2317" s="15" t="s">
        <v>543</v>
      </c>
      <c r="D2317" s="15" t="s">
        <v>544</v>
      </c>
      <c r="E2317" s="15" t="n">
        <v>4</v>
      </c>
      <c r="H2317" s="10"/>
      <c r="I2317" s="21"/>
      <c r="M2317" s="10"/>
      <c r="N2317" s="10"/>
      <c r="P2317" s="10"/>
      <c r="Q2317" s="22"/>
    </row>
    <row r="2318" customFormat="false" ht="15.75" hidden="false" customHeight="false" outlineLevel="0" collapsed="false">
      <c r="A2318" s="20" t="n">
        <v>46107</v>
      </c>
      <c r="B2318" s="15" t="s">
        <v>491</v>
      </c>
      <c r="C2318" s="15" t="s">
        <v>541</v>
      </c>
      <c r="D2318" s="15" t="s">
        <v>542</v>
      </c>
      <c r="E2318" s="15" t="n">
        <v>2</v>
      </c>
      <c r="H2318" s="10"/>
      <c r="I2318" s="21"/>
      <c r="M2318" s="10"/>
      <c r="N2318" s="10"/>
      <c r="P2318" s="10"/>
      <c r="Q2318" s="22"/>
    </row>
    <row r="2319" customFormat="false" ht="15.75" hidden="false" customHeight="false" outlineLevel="0" collapsed="false">
      <c r="A2319" s="20" t="n">
        <v>46107</v>
      </c>
      <c r="B2319" s="15" t="s">
        <v>491</v>
      </c>
      <c r="C2319" s="15" t="s">
        <v>49</v>
      </c>
      <c r="D2319" s="15" t="s">
        <v>537</v>
      </c>
      <c r="E2319" s="15" t="n">
        <v>1</v>
      </c>
      <c r="H2319" s="10"/>
      <c r="I2319" s="21"/>
      <c r="M2319" s="10"/>
      <c r="N2319" s="10"/>
      <c r="P2319" s="10"/>
      <c r="Q2319" s="22"/>
    </row>
    <row r="2320" customFormat="false" ht="15.75" hidden="false" customHeight="false" outlineLevel="0" collapsed="false">
      <c r="A2320" s="20" t="n">
        <v>46107</v>
      </c>
      <c r="B2320" s="15" t="s">
        <v>491</v>
      </c>
      <c r="C2320" s="15" t="s">
        <v>33</v>
      </c>
      <c r="D2320" s="15" t="s">
        <v>536</v>
      </c>
      <c r="E2320" s="15" t="n">
        <v>5</v>
      </c>
      <c r="H2320" s="10"/>
      <c r="I2320" s="21"/>
      <c r="M2320" s="10"/>
      <c r="N2320" s="10"/>
      <c r="P2320" s="10"/>
      <c r="Q2320" s="22"/>
    </row>
    <row r="2321" customFormat="false" ht="15.75" hidden="false" customHeight="false" outlineLevel="0" collapsed="false">
      <c r="A2321" s="20" t="n">
        <v>46107</v>
      </c>
      <c r="B2321" s="15" t="s">
        <v>491</v>
      </c>
      <c r="C2321" s="15" t="s">
        <v>77</v>
      </c>
      <c r="D2321" s="15" t="s">
        <v>78</v>
      </c>
      <c r="E2321" s="15" t="n">
        <v>3</v>
      </c>
      <c r="H2321" s="10"/>
      <c r="I2321" s="21"/>
      <c r="M2321" s="10"/>
      <c r="N2321" s="10"/>
      <c r="P2321" s="10"/>
      <c r="Q2321" s="22"/>
    </row>
    <row r="2322" customFormat="false" ht="15.75" hidden="false" customHeight="false" outlineLevel="0" collapsed="false">
      <c r="A2322" s="20" t="n">
        <v>46107</v>
      </c>
      <c r="B2322" s="15" t="s">
        <v>491</v>
      </c>
      <c r="C2322" s="15" t="s">
        <v>47</v>
      </c>
      <c r="D2322" s="15" t="s">
        <v>549</v>
      </c>
      <c r="E2322" s="15" t="n">
        <v>1</v>
      </c>
      <c r="H2322" s="10"/>
      <c r="I2322" s="21"/>
      <c r="M2322" s="10"/>
      <c r="N2322" s="10"/>
      <c r="P2322" s="10"/>
      <c r="Q2322" s="22"/>
    </row>
    <row r="2323" customFormat="false" ht="15.75" hidden="false" customHeight="false" outlineLevel="0" collapsed="false">
      <c r="A2323" s="20" t="n">
        <v>46107</v>
      </c>
      <c r="B2323" s="15" t="s">
        <v>491</v>
      </c>
      <c r="C2323" s="15" t="s">
        <v>55</v>
      </c>
      <c r="D2323" s="15" t="s">
        <v>539</v>
      </c>
      <c r="E2323" s="15" t="n">
        <v>1</v>
      </c>
      <c r="H2323" s="10"/>
      <c r="I2323" s="21"/>
      <c r="M2323" s="10"/>
      <c r="N2323" s="10"/>
      <c r="P2323" s="10"/>
      <c r="Q2323" s="22"/>
    </row>
    <row r="2324" customFormat="false" ht="15.75" hidden="false" customHeight="false" outlineLevel="0" collapsed="false">
      <c r="A2324" s="20" t="n">
        <v>46107</v>
      </c>
      <c r="B2324" s="15" t="s">
        <v>491</v>
      </c>
      <c r="C2324" s="15" t="s">
        <v>59</v>
      </c>
      <c r="D2324" s="15" t="s">
        <v>562</v>
      </c>
      <c r="E2324" s="15" t="n">
        <v>1</v>
      </c>
      <c r="H2324" s="10"/>
      <c r="I2324" s="21"/>
      <c r="M2324" s="10"/>
      <c r="N2324" s="10"/>
      <c r="P2324" s="10"/>
      <c r="Q2324" s="22"/>
    </row>
    <row r="2325" customFormat="false" ht="15.75" hidden="false" customHeight="false" outlineLevel="0" collapsed="false">
      <c r="A2325" s="20" t="n">
        <v>46107</v>
      </c>
      <c r="B2325" s="15" t="s">
        <v>491</v>
      </c>
      <c r="C2325" s="15" t="s">
        <v>43</v>
      </c>
      <c r="D2325" s="15" t="s">
        <v>538</v>
      </c>
      <c r="E2325" s="15" t="n">
        <v>1</v>
      </c>
      <c r="H2325" s="10"/>
      <c r="I2325" s="21"/>
      <c r="M2325" s="10"/>
      <c r="N2325" s="10"/>
      <c r="P2325" s="10"/>
      <c r="Q2325" s="22"/>
    </row>
    <row r="2326" customFormat="false" ht="15.75" hidden="false" customHeight="false" outlineLevel="0" collapsed="false">
      <c r="A2326" s="20" t="n">
        <v>46107</v>
      </c>
      <c r="B2326" s="15" t="s">
        <v>491</v>
      </c>
      <c r="C2326" s="15" t="s">
        <v>87</v>
      </c>
      <c r="D2326" s="15" t="s">
        <v>563</v>
      </c>
      <c r="E2326" s="15" t="n">
        <v>1</v>
      </c>
      <c r="H2326" s="10"/>
      <c r="I2326" s="21"/>
      <c r="M2326" s="10"/>
      <c r="N2326" s="10"/>
      <c r="P2326" s="10"/>
      <c r="Q2326" s="22"/>
    </row>
    <row r="2327" customFormat="false" ht="15.75" hidden="false" customHeight="false" outlineLevel="0" collapsed="false">
      <c r="A2327" s="20" t="n">
        <v>46107</v>
      </c>
      <c r="B2327" s="15" t="s">
        <v>491</v>
      </c>
      <c r="C2327" s="15" t="s">
        <v>79</v>
      </c>
      <c r="D2327" s="15" t="s">
        <v>564</v>
      </c>
      <c r="E2327" s="15" t="n">
        <v>1</v>
      </c>
      <c r="H2327" s="10"/>
      <c r="I2327" s="21"/>
      <c r="M2327" s="10"/>
      <c r="N2327" s="10"/>
      <c r="P2327" s="10"/>
      <c r="Q2327" s="22"/>
    </row>
    <row r="2328" customFormat="false" ht="15.75" hidden="false" customHeight="false" outlineLevel="0" collapsed="false">
      <c r="A2328" s="20" t="n">
        <v>46107</v>
      </c>
      <c r="B2328" s="15" t="s">
        <v>499</v>
      </c>
      <c r="C2328" s="15" t="s">
        <v>543</v>
      </c>
      <c r="D2328" s="15" t="s">
        <v>544</v>
      </c>
      <c r="E2328" s="15" t="n">
        <v>1</v>
      </c>
      <c r="H2328" s="10"/>
      <c r="I2328" s="21"/>
      <c r="M2328" s="10"/>
      <c r="N2328" s="10"/>
      <c r="P2328" s="10"/>
      <c r="Q2328" s="22"/>
    </row>
    <row r="2329" customFormat="false" ht="15.75" hidden="false" customHeight="false" outlineLevel="0" collapsed="false">
      <c r="A2329" s="20" t="n">
        <v>46107</v>
      </c>
      <c r="B2329" s="15" t="s">
        <v>499</v>
      </c>
      <c r="C2329" s="15" t="s">
        <v>69</v>
      </c>
      <c r="D2329" s="15" t="s">
        <v>535</v>
      </c>
      <c r="E2329" s="15" t="n">
        <v>1</v>
      </c>
      <c r="H2329" s="10"/>
      <c r="I2329" s="21"/>
      <c r="M2329" s="10"/>
      <c r="N2329" s="10"/>
      <c r="P2329" s="10"/>
      <c r="Q2329" s="22"/>
    </row>
    <row r="2330" customFormat="false" ht="15.75" hidden="false" customHeight="false" outlineLevel="0" collapsed="false">
      <c r="A2330" s="20" t="n">
        <v>46107</v>
      </c>
      <c r="B2330" s="15" t="s">
        <v>499</v>
      </c>
      <c r="C2330" s="15" t="s">
        <v>33</v>
      </c>
      <c r="D2330" s="15" t="s">
        <v>536</v>
      </c>
      <c r="E2330" s="15" t="n">
        <v>2</v>
      </c>
      <c r="H2330" s="10"/>
      <c r="I2330" s="21"/>
      <c r="M2330" s="10"/>
      <c r="N2330" s="10"/>
      <c r="P2330" s="10"/>
      <c r="Q2330" s="22"/>
    </row>
    <row r="2331" customFormat="false" ht="15.75" hidden="false" customHeight="false" outlineLevel="0" collapsed="false">
      <c r="A2331" s="20" t="n">
        <v>46107</v>
      </c>
      <c r="B2331" s="15" t="s">
        <v>499</v>
      </c>
      <c r="C2331" s="15" t="s">
        <v>55</v>
      </c>
      <c r="D2331" s="15" t="s">
        <v>539</v>
      </c>
      <c r="E2331" s="15" t="n">
        <v>1</v>
      </c>
      <c r="H2331" s="10"/>
      <c r="I2331" s="21"/>
      <c r="M2331" s="10"/>
      <c r="N2331" s="10"/>
      <c r="P2331" s="10"/>
      <c r="Q2331" s="22"/>
    </row>
    <row r="2332" customFormat="false" ht="15.75" hidden="false" customHeight="false" outlineLevel="0" collapsed="false">
      <c r="A2332" s="20" t="n">
        <v>46107</v>
      </c>
      <c r="B2332" s="15" t="s">
        <v>499</v>
      </c>
      <c r="C2332" s="15" t="s">
        <v>59</v>
      </c>
      <c r="D2332" s="15" t="s">
        <v>562</v>
      </c>
      <c r="E2332" s="15" t="n">
        <v>1</v>
      </c>
      <c r="H2332" s="10"/>
      <c r="I2332" s="21"/>
      <c r="M2332" s="10"/>
      <c r="N2332" s="10"/>
      <c r="P2332" s="10"/>
      <c r="Q2332" s="22"/>
    </row>
    <row r="2333" customFormat="false" ht="15.75" hidden="false" customHeight="false" outlineLevel="0" collapsed="false">
      <c r="A2333" s="20" t="n">
        <v>46107</v>
      </c>
      <c r="B2333" s="15" t="s">
        <v>499</v>
      </c>
      <c r="C2333" s="15" t="s">
        <v>47</v>
      </c>
      <c r="D2333" s="15" t="s">
        <v>549</v>
      </c>
      <c r="E2333" s="15" t="n">
        <v>1</v>
      </c>
      <c r="H2333" s="10"/>
      <c r="I2333" s="21"/>
      <c r="M2333" s="10"/>
      <c r="N2333" s="10"/>
      <c r="P2333" s="10"/>
      <c r="Q2333" s="22"/>
    </row>
    <row r="2334" customFormat="false" ht="15.75" hidden="false" customHeight="false" outlineLevel="0" collapsed="false">
      <c r="A2334" s="20" t="n">
        <v>46107</v>
      </c>
      <c r="B2334" s="15" t="s">
        <v>499</v>
      </c>
      <c r="C2334" s="15" t="s">
        <v>75</v>
      </c>
      <c r="D2334" s="15" t="s">
        <v>560</v>
      </c>
      <c r="E2334" s="15" t="n">
        <v>1</v>
      </c>
      <c r="H2334" s="10"/>
      <c r="I2334" s="21"/>
      <c r="M2334" s="10"/>
      <c r="N2334" s="10"/>
      <c r="P2334" s="10"/>
      <c r="Q2334" s="22"/>
    </row>
    <row r="2335" customFormat="false" ht="15.75" hidden="false" customHeight="false" outlineLevel="0" collapsed="false">
      <c r="A2335" s="20" t="n">
        <v>46107</v>
      </c>
      <c r="B2335" s="15" t="s">
        <v>499</v>
      </c>
      <c r="C2335" s="15" t="s">
        <v>81</v>
      </c>
      <c r="D2335" s="15" t="s">
        <v>534</v>
      </c>
      <c r="E2335" s="15" t="n">
        <v>7</v>
      </c>
      <c r="H2335" s="10"/>
      <c r="I2335" s="21"/>
      <c r="M2335" s="10"/>
      <c r="N2335" s="10"/>
      <c r="P2335" s="10"/>
      <c r="Q2335" s="22"/>
    </row>
    <row r="2336" customFormat="false" ht="15.75" hidden="false" customHeight="false" outlineLevel="0" collapsed="false">
      <c r="A2336" s="20" t="n">
        <v>46107</v>
      </c>
      <c r="B2336" s="15" t="s">
        <v>499</v>
      </c>
      <c r="C2336" s="15" t="s">
        <v>77</v>
      </c>
      <c r="D2336" s="15" t="s">
        <v>78</v>
      </c>
      <c r="E2336" s="15" t="n">
        <v>2</v>
      </c>
      <c r="H2336" s="10"/>
      <c r="I2336" s="21"/>
      <c r="M2336" s="10"/>
      <c r="N2336" s="10"/>
      <c r="P2336" s="10"/>
      <c r="Q2336" s="22"/>
    </row>
    <row r="2337" customFormat="false" ht="15.75" hidden="false" customHeight="false" outlineLevel="0" collapsed="false">
      <c r="A2337" s="20" t="n">
        <v>46107</v>
      </c>
      <c r="B2337" s="15" t="s">
        <v>504</v>
      </c>
      <c r="C2337" s="15" t="s">
        <v>47</v>
      </c>
      <c r="D2337" s="15" t="s">
        <v>549</v>
      </c>
      <c r="E2337" s="15" t="n">
        <v>3</v>
      </c>
      <c r="H2337" s="10"/>
      <c r="I2337" s="21"/>
      <c r="M2337" s="10"/>
      <c r="N2337" s="10"/>
      <c r="P2337" s="10"/>
      <c r="Q2337" s="22"/>
    </row>
    <row r="2338" customFormat="false" ht="15.75" hidden="false" customHeight="false" outlineLevel="0" collapsed="false">
      <c r="A2338" s="20" t="n">
        <v>46107</v>
      </c>
      <c r="B2338" s="15" t="s">
        <v>504</v>
      </c>
      <c r="C2338" s="15" t="s">
        <v>55</v>
      </c>
      <c r="D2338" s="15" t="s">
        <v>539</v>
      </c>
      <c r="E2338" s="15" t="n">
        <v>6</v>
      </c>
      <c r="H2338" s="10"/>
      <c r="I2338" s="21"/>
      <c r="M2338" s="10"/>
      <c r="N2338" s="10"/>
      <c r="P2338" s="10"/>
      <c r="Q2338" s="22"/>
    </row>
    <row r="2339" customFormat="false" ht="15.75" hidden="false" customHeight="false" outlineLevel="0" collapsed="false">
      <c r="A2339" s="20" t="n">
        <v>46107</v>
      </c>
      <c r="B2339" s="15" t="s">
        <v>504</v>
      </c>
      <c r="C2339" s="15" t="s">
        <v>81</v>
      </c>
      <c r="D2339" s="15" t="s">
        <v>534</v>
      </c>
      <c r="E2339" s="15" t="n">
        <v>9</v>
      </c>
      <c r="H2339" s="10"/>
      <c r="I2339" s="21"/>
      <c r="M2339" s="10"/>
      <c r="N2339" s="10"/>
      <c r="P2339" s="10"/>
      <c r="Q2339" s="22"/>
    </row>
    <row r="2340" customFormat="false" ht="15.75" hidden="false" customHeight="false" outlineLevel="0" collapsed="false">
      <c r="A2340" s="20" t="n">
        <v>46107</v>
      </c>
      <c r="B2340" s="15" t="s">
        <v>504</v>
      </c>
      <c r="C2340" s="15" t="s">
        <v>39</v>
      </c>
      <c r="D2340" s="15" t="s">
        <v>550</v>
      </c>
      <c r="E2340" s="15" t="n">
        <v>1</v>
      </c>
      <c r="H2340" s="10"/>
      <c r="I2340" s="21"/>
      <c r="M2340" s="10"/>
      <c r="N2340" s="10"/>
      <c r="P2340" s="10"/>
      <c r="Q2340" s="22"/>
    </row>
    <row r="2341" customFormat="false" ht="15.75" hidden="false" customHeight="false" outlineLevel="0" collapsed="false">
      <c r="A2341" s="20" t="n">
        <v>46107</v>
      </c>
      <c r="B2341" s="15" t="s">
        <v>504</v>
      </c>
      <c r="C2341" s="15" t="s">
        <v>63</v>
      </c>
      <c r="D2341" s="15" t="s">
        <v>551</v>
      </c>
      <c r="E2341" s="15" t="n">
        <v>1</v>
      </c>
      <c r="H2341" s="10"/>
      <c r="I2341" s="21"/>
      <c r="M2341" s="10"/>
      <c r="N2341" s="10"/>
      <c r="P2341" s="10"/>
      <c r="Q2341" s="22"/>
    </row>
    <row r="2342" customFormat="false" ht="15.75" hidden="false" customHeight="false" outlineLevel="0" collapsed="false">
      <c r="A2342" s="20" t="n">
        <v>46107</v>
      </c>
      <c r="B2342" s="15" t="s">
        <v>504</v>
      </c>
      <c r="C2342" s="15" t="s">
        <v>17</v>
      </c>
      <c r="D2342" s="15" t="s">
        <v>554</v>
      </c>
      <c r="E2342" s="15" t="n">
        <v>1</v>
      </c>
      <c r="H2342" s="10"/>
      <c r="I2342" s="21"/>
      <c r="M2342" s="10"/>
      <c r="N2342" s="10"/>
      <c r="P2342" s="10"/>
      <c r="Q2342" s="22"/>
    </row>
    <row r="2343" customFormat="false" ht="15.75" hidden="false" customHeight="false" outlineLevel="0" collapsed="false">
      <c r="A2343" s="20" t="n">
        <v>46107</v>
      </c>
      <c r="B2343" s="15" t="s">
        <v>505</v>
      </c>
      <c r="C2343" s="15" t="s">
        <v>55</v>
      </c>
      <c r="D2343" s="15" t="s">
        <v>539</v>
      </c>
      <c r="E2343" s="15" t="n">
        <v>6</v>
      </c>
      <c r="H2343" s="10"/>
      <c r="I2343" s="21"/>
      <c r="M2343" s="10"/>
      <c r="N2343" s="10"/>
      <c r="P2343" s="10"/>
      <c r="Q2343" s="22"/>
    </row>
    <row r="2344" customFormat="false" ht="15.75" hidden="false" customHeight="false" outlineLevel="0" collapsed="false">
      <c r="A2344" s="20" t="n">
        <v>46107</v>
      </c>
      <c r="B2344" s="15" t="s">
        <v>505</v>
      </c>
      <c r="C2344" s="15" t="s">
        <v>39</v>
      </c>
      <c r="D2344" s="15" t="s">
        <v>550</v>
      </c>
      <c r="E2344" s="15" t="n">
        <v>1</v>
      </c>
      <c r="H2344" s="10"/>
      <c r="I2344" s="21"/>
      <c r="M2344" s="10"/>
      <c r="N2344" s="10"/>
      <c r="P2344" s="10"/>
      <c r="Q2344" s="22"/>
    </row>
    <row r="2345" customFormat="false" ht="15.75" hidden="false" customHeight="false" outlineLevel="0" collapsed="false">
      <c r="A2345" s="20" t="n">
        <v>46107</v>
      </c>
      <c r="B2345" s="15" t="s">
        <v>505</v>
      </c>
      <c r="C2345" s="15" t="s">
        <v>81</v>
      </c>
      <c r="D2345" s="15" t="s">
        <v>534</v>
      </c>
      <c r="E2345" s="15" t="n">
        <v>9</v>
      </c>
      <c r="H2345" s="10"/>
      <c r="I2345" s="21"/>
      <c r="M2345" s="10"/>
      <c r="N2345" s="10"/>
      <c r="P2345" s="10"/>
      <c r="Q2345" s="22"/>
    </row>
    <row r="2346" customFormat="false" ht="15.75" hidden="false" customHeight="false" outlineLevel="0" collapsed="false">
      <c r="A2346" s="20" t="n">
        <v>46107</v>
      </c>
      <c r="B2346" s="15" t="s">
        <v>505</v>
      </c>
      <c r="C2346" s="15" t="s">
        <v>47</v>
      </c>
      <c r="D2346" s="15" t="s">
        <v>549</v>
      </c>
      <c r="E2346" s="15" t="n">
        <v>3</v>
      </c>
      <c r="H2346" s="10"/>
      <c r="I2346" s="21"/>
      <c r="M2346" s="10"/>
      <c r="N2346" s="10"/>
      <c r="P2346" s="10"/>
      <c r="Q2346" s="22"/>
    </row>
    <row r="2347" customFormat="false" ht="15.75" hidden="false" customHeight="false" outlineLevel="0" collapsed="false">
      <c r="A2347" s="20" t="n">
        <v>46107</v>
      </c>
      <c r="B2347" s="15" t="s">
        <v>505</v>
      </c>
      <c r="C2347" s="15" t="s">
        <v>63</v>
      </c>
      <c r="D2347" s="15" t="s">
        <v>551</v>
      </c>
      <c r="E2347" s="15" t="n">
        <v>1</v>
      </c>
      <c r="H2347" s="10"/>
      <c r="I2347" s="21"/>
      <c r="M2347" s="10"/>
      <c r="N2347" s="10"/>
      <c r="P2347" s="10"/>
      <c r="Q2347" s="22"/>
    </row>
    <row r="2348" customFormat="false" ht="15.75" hidden="false" customHeight="false" outlineLevel="0" collapsed="false">
      <c r="A2348" s="20" t="n">
        <v>46107</v>
      </c>
      <c r="B2348" s="15" t="s">
        <v>505</v>
      </c>
      <c r="C2348" s="15" t="s">
        <v>17</v>
      </c>
      <c r="D2348" s="15" t="s">
        <v>554</v>
      </c>
      <c r="E2348" s="15" t="n">
        <v>1</v>
      </c>
      <c r="H2348" s="10"/>
      <c r="I2348" s="21"/>
      <c r="M2348" s="10"/>
      <c r="N2348" s="10"/>
      <c r="P2348" s="10"/>
      <c r="Q2348" s="22"/>
    </row>
    <row r="2349" customFormat="false" ht="15.75" hidden="false" customHeight="false" outlineLevel="0" collapsed="false">
      <c r="A2349" s="20" t="n">
        <v>46107</v>
      </c>
      <c r="B2349" s="15" t="s">
        <v>508</v>
      </c>
      <c r="C2349" s="15" t="s">
        <v>55</v>
      </c>
      <c r="D2349" s="15" t="s">
        <v>539</v>
      </c>
      <c r="E2349" s="15" t="n">
        <v>5</v>
      </c>
      <c r="H2349" s="10"/>
      <c r="I2349" s="21"/>
      <c r="M2349" s="10"/>
      <c r="N2349" s="10"/>
      <c r="P2349" s="10"/>
      <c r="Q2349" s="22"/>
    </row>
    <row r="2350" customFormat="false" ht="15.75" hidden="false" customHeight="false" outlineLevel="0" collapsed="false">
      <c r="A2350" s="20" t="n">
        <v>46107</v>
      </c>
      <c r="B2350" s="15" t="s">
        <v>508</v>
      </c>
      <c r="C2350" s="15" t="s">
        <v>81</v>
      </c>
      <c r="D2350" s="15" t="s">
        <v>534</v>
      </c>
      <c r="E2350" s="15" t="n">
        <v>9</v>
      </c>
      <c r="H2350" s="10"/>
      <c r="I2350" s="21"/>
      <c r="M2350" s="10"/>
      <c r="N2350" s="10"/>
      <c r="P2350" s="10"/>
      <c r="Q2350" s="22"/>
    </row>
    <row r="2351" customFormat="false" ht="15.75" hidden="false" customHeight="false" outlineLevel="0" collapsed="false">
      <c r="A2351" s="20" t="n">
        <v>46107</v>
      </c>
      <c r="B2351" s="15" t="s">
        <v>508</v>
      </c>
      <c r="C2351" s="15" t="s">
        <v>39</v>
      </c>
      <c r="D2351" s="15" t="s">
        <v>550</v>
      </c>
      <c r="E2351" s="15" t="n">
        <v>2</v>
      </c>
      <c r="H2351" s="10"/>
      <c r="I2351" s="21"/>
      <c r="M2351" s="10"/>
      <c r="N2351" s="10"/>
      <c r="P2351" s="10"/>
      <c r="Q2351" s="22"/>
    </row>
    <row r="2352" customFormat="false" ht="15.75" hidden="false" customHeight="false" outlineLevel="0" collapsed="false">
      <c r="A2352" s="20" t="n">
        <v>46107</v>
      </c>
      <c r="B2352" s="15" t="s">
        <v>508</v>
      </c>
      <c r="C2352" s="15" t="s">
        <v>47</v>
      </c>
      <c r="D2352" s="15" t="s">
        <v>549</v>
      </c>
      <c r="E2352" s="15" t="n">
        <v>2</v>
      </c>
      <c r="H2352" s="10"/>
      <c r="I2352" s="21"/>
      <c r="M2352" s="10"/>
      <c r="N2352" s="10"/>
      <c r="P2352" s="10"/>
      <c r="Q2352" s="22"/>
    </row>
    <row r="2353" customFormat="false" ht="15.75" hidden="false" customHeight="false" outlineLevel="0" collapsed="false">
      <c r="A2353" s="20" t="n">
        <v>46107</v>
      </c>
      <c r="B2353" s="15" t="s">
        <v>508</v>
      </c>
      <c r="C2353" s="15" t="s">
        <v>63</v>
      </c>
      <c r="D2353" s="15" t="s">
        <v>551</v>
      </c>
      <c r="E2353" s="15" t="n">
        <v>1</v>
      </c>
      <c r="H2353" s="10"/>
      <c r="I2353" s="21"/>
      <c r="M2353" s="10"/>
      <c r="N2353" s="10"/>
      <c r="P2353" s="10"/>
      <c r="Q2353" s="22"/>
    </row>
    <row r="2354" customFormat="false" ht="15.75" hidden="false" customHeight="false" outlineLevel="0" collapsed="false">
      <c r="A2354" s="20" t="n">
        <v>46107</v>
      </c>
      <c r="B2354" s="15" t="s">
        <v>524</v>
      </c>
      <c r="C2354" s="15" t="s">
        <v>69</v>
      </c>
      <c r="D2354" s="15" t="s">
        <v>535</v>
      </c>
      <c r="E2354" s="15" t="n">
        <v>6</v>
      </c>
      <c r="H2354" s="10"/>
      <c r="I2354" s="21"/>
      <c r="M2354" s="10"/>
      <c r="N2354" s="10"/>
      <c r="P2354" s="10"/>
      <c r="Q2354" s="22"/>
    </row>
    <row r="2355" customFormat="false" ht="15.75" hidden="false" customHeight="false" outlineLevel="0" collapsed="false">
      <c r="A2355" s="20" t="n">
        <v>46107</v>
      </c>
      <c r="B2355" s="15" t="s">
        <v>524</v>
      </c>
      <c r="C2355" s="15" t="s">
        <v>33</v>
      </c>
      <c r="D2355" s="15" t="s">
        <v>536</v>
      </c>
      <c r="E2355" s="15" t="n">
        <v>6</v>
      </c>
      <c r="H2355" s="10"/>
      <c r="I2355" s="21"/>
      <c r="M2355" s="10"/>
      <c r="N2355" s="10"/>
      <c r="P2355" s="10"/>
      <c r="Q2355" s="22"/>
    </row>
    <row r="2356" customFormat="false" ht="15.75" hidden="false" customHeight="false" outlineLevel="0" collapsed="false">
      <c r="A2356" s="20" t="n">
        <v>46107</v>
      </c>
      <c r="B2356" s="15" t="s">
        <v>524</v>
      </c>
      <c r="C2356" s="15" t="s">
        <v>55</v>
      </c>
      <c r="D2356" s="15" t="s">
        <v>539</v>
      </c>
      <c r="E2356" s="15" t="n">
        <v>4</v>
      </c>
      <c r="H2356" s="10"/>
      <c r="I2356" s="21"/>
      <c r="M2356" s="10"/>
      <c r="N2356" s="10"/>
      <c r="P2356" s="10"/>
      <c r="Q2356" s="22"/>
    </row>
    <row r="2357" customFormat="false" ht="15.75" hidden="false" customHeight="false" outlineLevel="0" collapsed="false">
      <c r="A2357" s="20" t="n">
        <v>46107</v>
      </c>
      <c r="B2357" s="15" t="s">
        <v>524</v>
      </c>
      <c r="C2357" s="15" t="s">
        <v>81</v>
      </c>
      <c r="D2357" s="15" t="s">
        <v>534</v>
      </c>
      <c r="E2357" s="15" t="n">
        <v>3</v>
      </c>
      <c r="H2357" s="10"/>
      <c r="I2357" s="21"/>
      <c r="M2357" s="10"/>
      <c r="N2357" s="10"/>
      <c r="P2357" s="10"/>
      <c r="Q2357" s="22"/>
    </row>
    <row r="2358" customFormat="false" ht="15.75" hidden="false" customHeight="false" outlineLevel="0" collapsed="false">
      <c r="A2358" s="20" t="n">
        <v>46107</v>
      </c>
      <c r="B2358" s="15" t="s">
        <v>524</v>
      </c>
      <c r="C2358" s="15" t="s">
        <v>37</v>
      </c>
      <c r="D2358" s="15" t="s">
        <v>561</v>
      </c>
      <c r="E2358" s="15" t="n">
        <v>1</v>
      </c>
      <c r="H2358" s="10"/>
      <c r="I2358" s="21"/>
      <c r="M2358" s="10"/>
      <c r="N2358" s="10"/>
      <c r="P2358" s="10"/>
      <c r="Q2358" s="22"/>
    </row>
    <row r="2359" customFormat="false" ht="15.75" hidden="false" customHeight="false" outlineLevel="0" collapsed="false">
      <c r="A2359" s="20" t="n">
        <v>46107</v>
      </c>
      <c r="B2359" s="15" t="s">
        <v>524</v>
      </c>
      <c r="C2359" s="15" t="s">
        <v>547</v>
      </c>
      <c r="D2359" s="15" t="s">
        <v>548</v>
      </c>
      <c r="E2359" s="15" t="n">
        <v>1</v>
      </c>
      <c r="H2359" s="10"/>
      <c r="I2359" s="21"/>
      <c r="M2359" s="10"/>
      <c r="N2359" s="10"/>
      <c r="P2359" s="10"/>
      <c r="Q2359" s="22"/>
    </row>
    <row r="2360" customFormat="false" ht="15.75" hidden="false" customHeight="false" outlineLevel="0" collapsed="false">
      <c r="A2360" s="20" t="n">
        <v>46108</v>
      </c>
      <c r="B2360" s="15" t="s">
        <v>453</v>
      </c>
      <c r="C2360" s="15" t="s">
        <v>47</v>
      </c>
      <c r="D2360" s="15" t="s">
        <v>549</v>
      </c>
      <c r="E2360" s="15" t="n">
        <v>2</v>
      </c>
      <c r="H2360" s="10"/>
      <c r="I2360" s="21"/>
      <c r="M2360" s="10"/>
      <c r="N2360" s="10"/>
      <c r="P2360" s="10"/>
      <c r="Q2360" s="22"/>
    </row>
    <row r="2361" customFormat="false" ht="15.75" hidden="false" customHeight="false" outlineLevel="0" collapsed="false">
      <c r="A2361" s="20" t="n">
        <v>46108</v>
      </c>
      <c r="B2361" s="15" t="s">
        <v>453</v>
      </c>
      <c r="C2361" s="15" t="s">
        <v>55</v>
      </c>
      <c r="D2361" s="15" t="s">
        <v>539</v>
      </c>
      <c r="E2361" s="15" t="n">
        <v>4</v>
      </c>
      <c r="H2361" s="10"/>
      <c r="I2361" s="21"/>
      <c r="M2361" s="10"/>
      <c r="N2361" s="10"/>
      <c r="P2361" s="10"/>
      <c r="Q2361" s="22"/>
    </row>
    <row r="2362" customFormat="false" ht="15.75" hidden="false" customHeight="false" outlineLevel="0" collapsed="false">
      <c r="A2362" s="20" t="n">
        <v>46108</v>
      </c>
      <c r="B2362" s="15" t="s">
        <v>453</v>
      </c>
      <c r="C2362" s="15" t="s">
        <v>81</v>
      </c>
      <c r="D2362" s="15" t="s">
        <v>534</v>
      </c>
      <c r="E2362" s="15" t="n">
        <v>8</v>
      </c>
      <c r="H2362" s="10"/>
      <c r="I2362" s="21"/>
      <c r="M2362" s="10"/>
      <c r="N2362" s="10"/>
      <c r="P2362" s="10"/>
      <c r="Q2362" s="22"/>
    </row>
    <row r="2363" customFormat="false" ht="15.75" hidden="false" customHeight="false" outlineLevel="0" collapsed="false">
      <c r="A2363" s="20" t="n">
        <v>46108</v>
      </c>
      <c r="B2363" s="15" t="s">
        <v>453</v>
      </c>
      <c r="C2363" s="15" t="s">
        <v>39</v>
      </c>
      <c r="D2363" s="15" t="s">
        <v>550</v>
      </c>
      <c r="E2363" s="15" t="n">
        <v>2</v>
      </c>
      <c r="H2363" s="10"/>
      <c r="I2363" s="21"/>
      <c r="M2363" s="10"/>
      <c r="N2363" s="10"/>
      <c r="P2363" s="10"/>
      <c r="Q2363" s="22"/>
    </row>
    <row r="2364" customFormat="false" ht="15.75" hidden="false" customHeight="false" outlineLevel="0" collapsed="false">
      <c r="A2364" s="20" t="n">
        <v>46108</v>
      </c>
      <c r="B2364" s="15" t="s">
        <v>453</v>
      </c>
      <c r="C2364" s="15" t="s">
        <v>63</v>
      </c>
      <c r="D2364" s="15" t="s">
        <v>551</v>
      </c>
      <c r="E2364" s="15" t="n">
        <v>1</v>
      </c>
      <c r="H2364" s="10"/>
      <c r="I2364" s="21"/>
      <c r="M2364" s="10"/>
      <c r="N2364" s="10"/>
      <c r="P2364" s="10"/>
      <c r="Q2364" s="22"/>
    </row>
    <row r="2365" customFormat="false" ht="15.75" hidden="false" customHeight="false" outlineLevel="0" collapsed="false">
      <c r="A2365" s="20" t="n">
        <v>46108</v>
      </c>
      <c r="B2365" s="15" t="s">
        <v>453</v>
      </c>
      <c r="C2365" s="15" t="s">
        <v>35</v>
      </c>
      <c r="D2365" s="15" t="s">
        <v>552</v>
      </c>
      <c r="E2365" s="15" t="n">
        <v>2</v>
      </c>
      <c r="H2365" s="10"/>
      <c r="I2365" s="21"/>
      <c r="M2365" s="10"/>
      <c r="N2365" s="10"/>
      <c r="P2365" s="10"/>
      <c r="Q2365" s="22"/>
    </row>
    <row r="2366" customFormat="false" ht="15.75" hidden="false" customHeight="false" outlineLevel="0" collapsed="false">
      <c r="A2366" s="20" t="n">
        <v>46108</v>
      </c>
      <c r="B2366" s="15" t="s">
        <v>467</v>
      </c>
      <c r="C2366" s="15" t="s">
        <v>55</v>
      </c>
      <c r="D2366" s="15" t="s">
        <v>539</v>
      </c>
      <c r="E2366" s="15" t="n">
        <v>6</v>
      </c>
      <c r="H2366" s="10"/>
      <c r="I2366" s="21"/>
      <c r="M2366" s="10"/>
      <c r="N2366" s="10"/>
      <c r="P2366" s="10"/>
      <c r="Q2366" s="22"/>
    </row>
    <row r="2367" customFormat="false" ht="15.75" hidden="false" customHeight="false" outlineLevel="0" collapsed="false">
      <c r="A2367" s="20" t="n">
        <v>46108</v>
      </c>
      <c r="B2367" s="15" t="s">
        <v>467</v>
      </c>
      <c r="C2367" s="15" t="s">
        <v>57</v>
      </c>
      <c r="D2367" s="15" t="s">
        <v>553</v>
      </c>
      <c r="E2367" s="15" t="n">
        <v>2</v>
      </c>
      <c r="H2367" s="10"/>
      <c r="I2367" s="21"/>
      <c r="M2367" s="10"/>
      <c r="N2367" s="10"/>
      <c r="P2367" s="10"/>
      <c r="Q2367" s="22"/>
    </row>
    <row r="2368" customFormat="false" ht="15.75" hidden="false" customHeight="false" outlineLevel="0" collapsed="false">
      <c r="A2368" s="20" t="n">
        <v>46108</v>
      </c>
      <c r="B2368" s="15" t="s">
        <v>467</v>
      </c>
      <c r="C2368" s="15" t="s">
        <v>47</v>
      </c>
      <c r="D2368" s="15" t="s">
        <v>549</v>
      </c>
      <c r="E2368" s="15" t="n">
        <v>2</v>
      </c>
      <c r="H2368" s="10"/>
      <c r="I2368" s="21"/>
      <c r="M2368" s="10"/>
      <c r="N2368" s="10"/>
      <c r="P2368" s="10"/>
      <c r="Q2368" s="22"/>
    </row>
    <row r="2369" customFormat="false" ht="15.75" hidden="false" customHeight="false" outlineLevel="0" collapsed="false">
      <c r="A2369" s="20" t="n">
        <v>46108</v>
      </c>
      <c r="B2369" s="15" t="s">
        <v>467</v>
      </c>
      <c r="C2369" s="15" t="s">
        <v>81</v>
      </c>
      <c r="D2369" s="15" t="s">
        <v>534</v>
      </c>
      <c r="E2369" s="15" t="n">
        <v>7</v>
      </c>
      <c r="H2369" s="10"/>
      <c r="I2369" s="21"/>
      <c r="M2369" s="10"/>
      <c r="N2369" s="10"/>
      <c r="P2369" s="10"/>
      <c r="Q2369" s="22"/>
    </row>
    <row r="2370" customFormat="false" ht="15.75" hidden="false" customHeight="false" outlineLevel="0" collapsed="false">
      <c r="A2370" s="20" t="n">
        <v>46108</v>
      </c>
      <c r="B2370" s="15" t="s">
        <v>467</v>
      </c>
      <c r="C2370" s="15" t="s">
        <v>49</v>
      </c>
      <c r="D2370" s="15" t="s">
        <v>537</v>
      </c>
      <c r="E2370" s="15" t="n">
        <v>2</v>
      </c>
      <c r="H2370" s="10"/>
      <c r="I2370" s="21"/>
      <c r="M2370" s="10"/>
      <c r="N2370" s="10"/>
      <c r="P2370" s="10"/>
      <c r="Q2370" s="22"/>
    </row>
    <row r="2371" customFormat="false" ht="15.75" hidden="false" customHeight="false" outlineLevel="0" collapsed="false">
      <c r="A2371" s="20" t="n">
        <v>46108</v>
      </c>
      <c r="B2371" s="15" t="s">
        <v>467</v>
      </c>
      <c r="C2371" s="15" t="s">
        <v>63</v>
      </c>
      <c r="D2371" s="15" t="s">
        <v>551</v>
      </c>
      <c r="E2371" s="15" t="n">
        <v>1</v>
      </c>
      <c r="H2371" s="10"/>
      <c r="I2371" s="21"/>
      <c r="M2371" s="10"/>
      <c r="N2371" s="10"/>
      <c r="P2371" s="10"/>
      <c r="Q2371" s="22"/>
    </row>
    <row r="2372" customFormat="false" ht="15.75" hidden="false" customHeight="false" outlineLevel="0" collapsed="false">
      <c r="A2372" s="20" t="n">
        <v>46108</v>
      </c>
      <c r="B2372" s="15" t="s">
        <v>469</v>
      </c>
      <c r="C2372" s="15" t="s">
        <v>69</v>
      </c>
      <c r="D2372" s="15" t="s">
        <v>535</v>
      </c>
      <c r="E2372" s="15" t="n">
        <v>5</v>
      </c>
      <c r="H2372" s="10"/>
      <c r="I2372" s="21"/>
      <c r="M2372" s="10"/>
      <c r="N2372" s="10"/>
      <c r="P2372" s="10"/>
      <c r="Q2372" s="22"/>
    </row>
    <row r="2373" customFormat="false" ht="15.75" hidden="false" customHeight="false" outlineLevel="0" collapsed="false">
      <c r="A2373" s="20" t="n">
        <v>46108</v>
      </c>
      <c r="B2373" s="15" t="s">
        <v>469</v>
      </c>
      <c r="C2373" s="15" t="s">
        <v>55</v>
      </c>
      <c r="D2373" s="15" t="s">
        <v>539</v>
      </c>
      <c r="E2373" s="15" t="n">
        <v>2</v>
      </c>
      <c r="H2373" s="10"/>
      <c r="I2373" s="21"/>
      <c r="M2373" s="10"/>
      <c r="N2373" s="10"/>
      <c r="P2373" s="10"/>
      <c r="Q2373" s="22"/>
    </row>
    <row r="2374" customFormat="false" ht="15.75" hidden="false" customHeight="false" outlineLevel="0" collapsed="false">
      <c r="A2374" s="20" t="n">
        <v>46108</v>
      </c>
      <c r="B2374" s="15" t="s">
        <v>469</v>
      </c>
      <c r="C2374" s="15" t="s">
        <v>33</v>
      </c>
      <c r="D2374" s="15" t="s">
        <v>536</v>
      </c>
      <c r="E2374" s="15" t="n">
        <v>5</v>
      </c>
      <c r="H2374" s="10"/>
      <c r="I2374" s="21"/>
      <c r="M2374" s="10"/>
      <c r="N2374" s="10"/>
      <c r="P2374" s="10"/>
      <c r="Q2374" s="22"/>
    </row>
    <row r="2375" customFormat="false" ht="15.75" hidden="false" customHeight="false" outlineLevel="0" collapsed="false">
      <c r="A2375" s="20" t="n">
        <v>46108</v>
      </c>
      <c r="B2375" s="15" t="s">
        <v>469</v>
      </c>
      <c r="C2375" s="15" t="s">
        <v>547</v>
      </c>
      <c r="D2375" s="15" t="s">
        <v>548</v>
      </c>
      <c r="E2375" s="15" t="n">
        <v>1</v>
      </c>
      <c r="H2375" s="10"/>
      <c r="I2375" s="21"/>
      <c r="M2375" s="10"/>
      <c r="N2375" s="10"/>
      <c r="P2375" s="10"/>
      <c r="Q2375" s="22"/>
    </row>
    <row r="2376" customFormat="false" ht="15.75" hidden="false" customHeight="false" outlineLevel="0" collapsed="false">
      <c r="A2376" s="20" t="n">
        <v>46108</v>
      </c>
      <c r="B2376" s="15" t="s">
        <v>469</v>
      </c>
      <c r="C2376" s="15" t="s">
        <v>81</v>
      </c>
      <c r="D2376" s="15" t="s">
        <v>534</v>
      </c>
      <c r="E2376" s="15" t="n">
        <v>2</v>
      </c>
      <c r="H2376" s="10"/>
      <c r="I2376" s="21"/>
      <c r="M2376" s="10"/>
      <c r="N2376" s="10"/>
      <c r="P2376" s="10"/>
      <c r="Q2376" s="22"/>
    </row>
    <row r="2377" customFormat="false" ht="15.75" hidden="false" customHeight="false" outlineLevel="0" collapsed="false">
      <c r="A2377" s="20" t="n">
        <v>46108</v>
      </c>
      <c r="B2377" s="15" t="s">
        <v>476</v>
      </c>
      <c r="C2377" s="15" t="s">
        <v>69</v>
      </c>
      <c r="D2377" s="15" t="s">
        <v>535</v>
      </c>
      <c r="E2377" s="15" t="n">
        <v>2</v>
      </c>
      <c r="H2377" s="10"/>
      <c r="I2377" s="21"/>
      <c r="M2377" s="10"/>
      <c r="N2377" s="10"/>
      <c r="P2377" s="10"/>
      <c r="Q2377" s="22"/>
    </row>
    <row r="2378" customFormat="false" ht="15.75" hidden="false" customHeight="false" outlineLevel="0" collapsed="false">
      <c r="A2378" s="20" t="n">
        <v>46108</v>
      </c>
      <c r="B2378" s="15" t="s">
        <v>476</v>
      </c>
      <c r="C2378" s="15" t="s">
        <v>33</v>
      </c>
      <c r="D2378" s="15" t="s">
        <v>536</v>
      </c>
      <c r="E2378" s="15" t="n">
        <v>2</v>
      </c>
      <c r="H2378" s="10"/>
      <c r="I2378" s="21"/>
      <c r="M2378" s="10"/>
      <c r="N2378" s="10"/>
      <c r="P2378" s="10"/>
      <c r="Q2378" s="22"/>
    </row>
    <row r="2379" customFormat="false" ht="15.75" hidden="false" customHeight="false" outlineLevel="0" collapsed="false">
      <c r="A2379" s="20" t="n">
        <v>46108</v>
      </c>
      <c r="B2379" s="15" t="s">
        <v>476</v>
      </c>
      <c r="C2379" s="15" t="s">
        <v>547</v>
      </c>
      <c r="D2379" s="15" t="s">
        <v>548</v>
      </c>
      <c r="E2379" s="15" t="n">
        <v>2</v>
      </c>
      <c r="H2379" s="10"/>
      <c r="I2379" s="21"/>
      <c r="M2379" s="10"/>
      <c r="N2379" s="10"/>
      <c r="P2379" s="10"/>
      <c r="Q2379" s="22"/>
    </row>
    <row r="2380" customFormat="false" ht="15.75" hidden="false" customHeight="false" outlineLevel="0" collapsed="false">
      <c r="A2380" s="20" t="n">
        <v>46108</v>
      </c>
      <c r="B2380" s="15" t="s">
        <v>476</v>
      </c>
      <c r="C2380" s="15" t="s">
        <v>25</v>
      </c>
      <c r="D2380" s="15" t="s">
        <v>26</v>
      </c>
      <c r="E2380" s="15" t="n">
        <v>2</v>
      </c>
      <c r="H2380" s="10"/>
      <c r="I2380" s="21"/>
      <c r="M2380" s="10"/>
      <c r="N2380" s="10"/>
      <c r="P2380" s="10"/>
      <c r="Q2380" s="22"/>
    </row>
    <row r="2381" customFormat="false" ht="15.75" hidden="false" customHeight="false" outlineLevel="0" collapsed="false">
      <c r="A2381" s="20" t="n">
        <v>46108</v>
      </c>
      <c r="B2381" s="15" t="s">
        <v>477</v>
      </c>
      <c r="C2381" s="15" t="s">
        <v>69</v>
      </c>
      <c r="D2381" s="15" t="s">
        <v>535</v>
      </c>
      <c r="E2381" s="15" t="n">
        <v>3</v>
      </c>
      <c r="H2381" s="10"/>
      <c r="I2381" s="21"/>
      <c r="M2381" s="10"/>
      <c r="N2381" s="10"/>
      <c r="P2381" s="10"/>
      <c r="Q2381" s="22"/>
    </row>
    <row r="2382" customFormat="false" ht="15.75" hidden="false" customHeight="false" outlineLevel="0" collapsed="false">
      <c r="A2382" s="20" t="n">
        <v>46108</v>
      </c>
      <c r="B2382" s="15" t="s">
        <v>477</v>
      </c>
      <c r="C2382" s="15" t="s">
        <v>547</v>
      </c>
      <c r="D2382" s="15" t="s">
        <v>548</v>
      </c>
      <c r="E2382" s="15" t="n">
        <v>3</v>
      </c>
      <c r="H2382" s="10"/>
      <c r="I2382" s="21"/>
      <c r="M2382" s="10"/>
      <c r="N2382" s="10"/>
      <c r="P2382" s="10"/>
      <c r="Q2382" s="22"/>
    </row>
    <row r="2383" customFormat="false" ht="15.75" hidden="false" customHeight="false" outlineLevel="0" collapsed="false">
      <c r="A2383" s="20" t="n">
        <v>46108</v>
      </c>
      <c r="B2383" s="15" t="s">
        <v>477</v>
      </c>
      <c r="C2383" s="15" t="s">
        <v>25</v>
      </c>
      <c r="D2383" s="15" t="s">
        <v>26</v>
      </c>
      <c r="E2383" s="15" t="n">
        <v>3</v>
      </c>
      <c r="H2383" s="10"/>
      <c r="I2383" s="21"/>
      <c r="M2383" s="10"/>
      <c r="N2383" s="10"/>
      <c r="P2383" s="10"/>
      <c r="Q2383" s="22"/>
    </row>
    <row r="2384" customFormat="false" ht="15.75" hidden="false" customHeight="false" outlineLevel="0" collapsed="false">
      <c r="A2384" s="20" t="n">
        <v>46108</v>
      </c>
      <c r="B2384" s="15" t="s">
        <v>490</v>
      </c>
      <c r="C2384" s="15" t="s">
        <v>81</v>
      </c>
      <c r="D2384" s="15" t="s">
        <v>534</v>
      </c>
      <c r="E2384" s="15" t="n">
        <v>23</v>
      </c>
      <c r="H2384" s="10"/>
      <c r="I2384" s="21"/>
      <c r="M2384" s="10"/>
      <c r="N2384" s="10"/>
      <c r="P2384" s="10"/>
      <c r="Q2384" s="22"/>
    </row>
    <row r="2385" customFormat="false" ht="15.75" hidden="false" customHeight="false" outlineLevel="0" collapsed="false">
      <c r="A2385" s="20" t="n">
        <v>46108</v>
      </c>
      <c r="B2385" s="15" t="s">
        <v>490</v>
      </c>
      <c r="C2385" s="15" t="s">
        <v>75</v>
      </c>
      <c r="D2385" s="15" t="s">
        <v>560</v>
      </c>
      <c r="E2385" s="15" t="n">
        <v>1</v>
      </c>
      <c r="H2385" s="10"/>
      <c r="I2385" s="21"/>
      <c r="M2385" s="10"/>
      <c r="N2385" s="10"/>
      <c r="P2385" s="10"/>
      <c r="Q2385" s="22"/>
    </row>
    <row r="2386" customFormat="false" ht="15.75" hidden="false" customHeight="false" outlineLevel="0" collapsed="false">
      <c r="A2386" s="20" t="n">
        <v>46108</v>
      </c>
      <c r="B2386" s="15" t="s">
        <v>490</v>
      </c>
      <c r="C2386" s="15" t="s">
        <v>37</v>
      </c>
      <c r="D2386" s="15" t="s">
        <v>561</v>
      </c>
      <c r="E2386" s="15" t="n">
        <v>1</v>
      </c>
      <c r="H2386" s="10"/>
      <c r="I2386" s="21"/>
      <c r="M2386" s="10"/>
      <c r="N2386" s="10"/>
      <c r="P2386" s="10"/>
      <c r="Q2386" s="22"/>
    </row>
    <row r="2387" customFormat="false" ht="15.75" hidden="false" customHeight="false" outlineLevel="0" collapsed="false">
      <c r="A2387" s="20" t="n">
        <v>46108</v>
      </c>
      <c r="B2387" s="15" t="s">
        <v>490</v>
      </c>
      <c r="C2387" s="15" t="s">
        <v>69</v>
      </c>
      <c r="D2387" s="15" t="s">
        <v>535</v>
      </c>
      <c r="E2387" s="15" t="n">
        <v>4</v>
      </c>
      <c r="H2387" s="10"/>
      <c r="I2387" s="21"/>
      <c r="M2387" s="10"/>
      <c r="N2387" s="10"/>
      <c r="P2387" s="10"/>
      <c r="Q2387" s="22"/>
    </row>
    <row r="2388" customFormat="false" ht="15.75" hidden="false" customHeight="false" outlineLevel="0" collapsed="false">
      <c r="A2388" s="20" t="n">
        <v>46108</v>
      </c>
      <c r="B2388" s="15" t="s">
        <v>490</v>
      </c>
      <c r="C2388" s="15" t="s">
        <v>25</v>
      </c>
      <c r="D2388" s="15" t="s">
        <v>26</v>
      </c>
      <c r="E2388" s="15" t="n">
        <v>1</v>
      </c>
      <c r="H2388" s="10"/>
      <c r="I2388" s="21"/>
      <c r="M2388" s="10"/>
      <c r="N2388" s="10"/>
      <c r="P2388" s="10"/>
      <c r="Q2388" s="22"/>
    </row>
    <row r="2389" customFormat="false" ht="15.75" hidden="false" customHeight="false" outlineLevel="0" collapsed="false">
      <c r="A2389" s="20" t="n">
        <v>46108</v>
      </c>
      <c r="B2389" s="15" t="s">
        <v>490</v>
      </c>
      <c r="C2389" s="15" t="s">
        <v>547</v>
      </c>
      <c r="D2389" s="15" t="s">
        <v>548</v>
      </c>
      <c r="E2389" s="15" t="n">
        <v>1</v>
      </c>
      <c r="H2389" s="10"/>
      <c r="I2389" s="21"/>
      <c r="M2389" s="10"/>
      <c r="N2389" s="10"/>
      <c r="P2389" s="10"/>
      <c r="Q2389" s="22"/>
    </row>
    <row r="2390" customFormat="false" ht="15.75" hidden="false" customHeight="false" outlineLevel="0" collapsed="false">
      <c r="A2390" s="20" t="n">
        <v>46108</v>
      </c>
      <c r="B2390" s="15" t="s">
        <v>490</v>
      </c>
      <c r="C2390" s="15" t="s">
        <v>545</v>
      </c>
      <c r="D2390" s="15" t="s">
        <v>546</v>
      </c>
      <c r="E2390" s="15" t="n">
        <v>2</v>
      </c>
      <c r="H2390" s="10"/>
      <c r="I2390" s="21"/>
      <c r="M2390" s="10"/>
      <c r="N2390" s="10"/>
      <c r="P2390" s="10"/>
      <c r="Q2390" s="22"/>
    </row>
    <row r="2391" customFormat="false" ht="15.75" hidden="false" customHeight="false" outlineLevel="0" collapsed="false">
      <c r="A2391" s="20" t="n">
        <v>46108</v>
      </c>
      <c r="B2391" s="15" t="s">
        <v>490</v>
      </c>
      <c r="C2391" s="15" t="s">
        <v>543</v>
      </c>
      <c r="D2391" s="15" t="s">
        <v>544</v>
      </c>
      <c r="E2391" s="15" t="n">
        <v>2</v>
      </c>
      <c r="H2391" s="10"/>
      <c r="I2391" s="21"/>
      <c r="M2391" s="10"/>
      <c r="N2391" s="10"/>
      <c r="P2391" s="10"/>
      <c r="Q2391" s="22"/>
    </row>
    <row r="2392" customFormat="false" ht="15.75" hidden="false" customHeight="false" outlineLevel="0" collapsed="false">
      <c r="A2392" s="20" t="n">
        <v>46108</v>
      </c>
      <c r="B2392" s="15" t="s">
        <v>490</v>
      </c>
      <c r="C2392" s="15" t="s">
        <v>77</v>
      </c>
      <c r="D2392" s="15" t="s">
        <v>78</v>
      </c>
      <c r="E2392" s="15" t="n">
        <v>3</v>
      </c>
      <c r="H2392" s="10"/>
      <c r="I2392" s="21"/>
      <c r="M2392" s="10"/>
      <c r="N2392" s="10"/>
      <c r="P2392" s="10"/>
      <c r="Q2392" s="22"/>
    </row>
    <row r="2393" customFormat="false" ht="15.75" hidden="false" customHeight="false" outlineLevel="0" collapsed="false">
      <c r="A2393" s="20" t="n">
        <v>46108</v>
      </c>
      <c r="B2393" s="15" t="s">
        <v>490</v>
      </c>
      <c r="C2393" s="15" t="s">
        <v>33</v>
      </c>
      <c r="D2393" s="15" t="s">
        <v>536</v>
      </c>
      <c r="E2393" s="15" t="n">
        <v>3</v>
      </c>
      <c r="H2393" s="10"/>
      <c r="I2393" s="21"/>
      <c r="M2393" s="10"/>
      <c r="N2393" s="10"/>
      <c r="P2393" s="10"/>
      <c r="Q2393" s="22"/>
    </row>
    <row r="2394" customFormat="false" ht="15.75" hidden="false" customHeight="false" outlineLevel="0" collapsed="false">
      <c r="A2394" s="20" t="n">
        <v>46108</v>
      </c>
      <c r="B2394" s="15" t="s">
        <v>490</v>
      </c>
      <c r="C2394" s="15" t="s">
        <v>79</v>
      </c>
      <c r="D2394" s="15" t="s">
        <v>564</v>
      </c>
      <c r="E2394" s="15" t="n">
        <v>1</v>
      </c>
      <c r="H2394" s="10"/>
      <c r="I2394" s="21"/>
      <c r="M2394" s="10"/>
      <c r="N2394" s="10"/>
      <c r="P2394" s="10"/>
      <c r="Q2394" s="22"/>
    </row>
    <row r="2395" customFormat="false" ht="15.75" hidden="false" customHeight="false" outlineLevel="0" collapsed="false">
      <c r="A2395" s="20" t="n">
        <v>46108</v>
      </c>
      <c r="B2395" s="15" t="s">
        <v>490</v>
      </c>
      <c r="C2395" s="15" t="s">
        <v>49</v>
      </c>
      <c r="D2395" s="15" t="s">
        <v>537</v>
      </c>
      <c r="E2395" s="15" t="n">
        <v>2</v>
      </c>
      <c r="H2395" s="10"/>
      <c r="I2395" s="21"/>
      <c r="M2395" s="10"/>
      <c r="N2395" s="10"/>
      <c r="P2395" s="10"/>
      <c r="Q2395" s="22"/>
    </row>
    <row r="2396" customFormat="false" ht="15.75" hidden="false" customHeight="false" outlineLevel="0" collapsed="false">
      <c r="A2396" s="20" t="n">
        <v>46108</v>
      </c>
      <c r="B2396" s="15" t="s">
        <v>491</v>
      </c>
      <c r="C2396" s="15" t="s">
        <v>37</v>
      </c>
      <c r="D2396" s="15" t="s">
        <v>561</v>
      </c>
      <c r="E2396" s="15" t="n">
        <v>1</v>
      </c>
      <c r="H2396" s="10"/>
      <c r="I2396" s="21"/>
      <c r="M2396" s="10"/>
      <c r="N2396" s="10"/>
      <c r="P2396" s="10"/>
      <c r="Q2396" s="22"/>
    </row>
    <row r="2397" customFormat="false" ht="15.75" hidden="false" customHeight="false" outlineLevel="0" collapsed="false">
      <c r="A2397" s="20" t="n">
        <v>46108</v>
      </c>
      <c r="B2397" s="15" t="s">
        <v>491</v>
      </c>
      <c r="C2397" s="15" t="s">
        <v>81</v>
      </c>
      <c r="D2397" s="15" t="s">
        <v>534</v>
      </c>
      <c r="E2397" s="15" t="n">
        <v>8</v>
      </c>
      <c r="H2397" s="10"/>
      <c r="I2397" s="21"/>
      <c r="M2397" s="10"/>
      <c r="N2397" s="10"/>
      <c r="P2397" s="10"/>
      <c r="Q2397" s="22"/>
    </row>
    <row r="2398" customFormat="false" ht="15.75" hidden="false" customHeight="false" outlineLevel="0" collapsed="false">
      <c r="A2398" s="20" t="n">
        <v>46108</v>
      </c>
      <c r="B2398" s="15" t="s">
        <v>491</v>
      </c>
      <c r="C2398" s="15" t="s">
        <v>75</v>
      </c>
      <c r="D2398" s="15" t="s">
        <v>560</v>
      </c>
      <c r="E2398" s="15" t="n">
        <v>1</v>
      </c>
      <c r="H2398" s="10"/>
      <c r="I2398" s="21"/>
      <c r="M2398" s="10"/>
      <c r="N2398" s="10"/>
      <c r="P2398" s="10"/>
      <c r="Q2398" s="22"/>
    </row>
    <row r="2399" customFormat="false" ht="15.75" hidden="false" customHeight="false" outlineLevel="0" collapsed="false">
      <c r="A2399" s="20" t="n">
        <v>46108</v>
      </c>
      <c r="B2399" s="15" t="s">
        <v>491</v>
      </c>
      <c r="C2399" s="15" t="s">
        <v>69</v>
      </c>
      <c r="D2399" s="15" t="s">
        <v>535</v>
      </c>
      <c r="E2399" s="15" t="n">
        <v>6</v>
      </c>
      <c r="H2399" s="10"/>
      <c r="I2399" s="21"/>
      <c r="M2399" s="10"/>
      <c r="N2399" s="10"/>
      <c r="P2399" s="10"/>
      <c r="Q2399" s="22"/>
    </row>
    <row r="2400" customFormat="false" ht="15.75" hidden="false" customHeight="false" outlineLevel="0" collapsed="false">
      <c r="A2400" s="20" t="n">
        <v>46108</v>
      </c>
      <c r="B2400" s="15" t="s">
        <v>491</v>
      </c>
      <c r="C2400" s="15" t="s">
        <v>547</v>
      </c>
      <c r="D2400" s="15" t="s">
        <v>548</v>
      </c>
      <c r="E2400" s="15" t="n">
        <v>1</v>
      </c>
      <c r="H2400" s="10"/>
      <c r="I2400" s="21"/>
      <c r="M2400" s="10"/>
      <c r="N2400" s="10"/>
      <c r="P2400" s="10"/>
      <c r="Q2400" s="22"/>
    </row>
    <row r="2401" customFormat="false" ht="15.75" hidden="false" customHeight="false" outlineLevel="0" collapsed="false">
      <c r="A2401" s="20" t="n">
        <v>46108</v>
      </c>
      <c r="B2401" s="15" t="s">
        <v>491</v>
      </c>
      <c r="C2401" s="15" t="s">
        <v>31</v>
      </c>
      <c r="D2401" s="15" t="s">
        <v>559</v>
      </c>
      <c r="E2401" s="15" t="n">
        <v>2</v>
      </c>
      <c r="H2401" s="10"/>
      <c r="I2401" s="21"/>
      <c r="M2401" s="10"/>
      <c r="N2401" s="10"/>
      <c r="P2401" s="10"/>
      <c r="Q2401" s="22"/>
    </row>
    <row r="2402" customFormat="false" ht="15.75" hidden="false" customHeight="false" outlineLevel="0" collapsed="false">
      <c r="A2402" s="20" t="n">
        <v>46108</v>
      </c>
      <c r="B2402" s="15" t="s">
        <v>491</v>
      </c>
      <c r="C2402" s="15" t="s">
        <v>545</v>
      </c>
      <c r="D2402" s="15" t="s">
        <v>546</v>
      </c>
      <c r="E2402" s="15" t="n">
        <v>2</v>
      </c>
      <c r="H2402" s="10"/>
      <c r="I2402" s="21"/>
      <c r="M2402" s="10"/>
      <c r="N2402" s="10"/>
      <c r="P2402" s="10"/>
      <c r="Q2402" s="22"/>
    </row>
    <row r="2403" customFormat="false" ht="15.75" hidden="false" customHeight="false" outlineLevel="0" collapsed="false">
      <c r="A2403" s="20" t="n">
        <v>46108</v>
      </c>
      <c r="B2403" s="15" t="s">
        <v>491</v>
      </c>
      <c r="C2403" s="15" t="s">
        <v>543</v>
      </c>
      <c r="D2403" s="15" t="s">
        <v>544</v>
      </c>
      <c r="E2403" s="15" t="n">
        <v>4</v>
      </c>
      <c r="H2403" s="10"/>
      <c r="I2403" s="21"/>
      <c r="M2403" s="10"/>
      <c r="N2403" s="10"/>
      <c r="P2403" s="10"/>
      <c r="Q2403" s="22"/>
    </row>
    <row r="2404" customFormat="false" ht="15.75" hidden="false" customHeight="false" outlineLevel="0" collapsed="false">
      <c r="A2404" s="20" t="n">
        <v>46108</v>
      </c>
      <c r="B2404" s="15" t="s">
        <v>491</v>
      </c>
      <c r="C2404" s="15" t="s">
        <v>541</v>
      </c>
      <c r="D2404" s="15" t="s">
        <v>542</v>
      </c>
      <c r="E2404" s="15" t="n">
        <v>2</v>
      </c>
      <c r="H2404" s="10"/>
      <c r="I2404" s="21"/>
      <c r="M2404" s="10"/>
      <c r="N2404" s="10"/>
      <c r="P2404" s="10"/>
      <c r="Q2404" s="22"/>
    </row>
    <row r="2405" customFormat="false" ht="15.75" hidden="false" customHeight="false" outlineLevel="0" collapsed="false">
      <c r="A2405" s="20" t="n">
        <v>46108</v>
      </c>
      <c r="B2405" s="15" t="s">
        <v>491</v>
      </c>
      <c r="C2405" s="15" t="s">
        <v>49</v>
      </c>
      <c r="D2405" s="15" t="s">
        <v>537</v>
      </c>
      <c r="E2405" s="15" t="n">
        <v>1</v>
      </c>
      <c r="H2405" s="10"/>
      <c r="I2405" s="21"/>
      <c r="M2405" s="10"/>
      <c r="N2405" s="10"/>
      <c r="P2405" s="10"/>
      <c r="Q2405" s="22"/>
    </row>
    <row r="2406" customFormat="false" ht="15.75" hidden="false" customHeight="false" outlineLevel="0" collapsed="false">
      <c r="A2406" s="20" t="n">
        <v>46108</v>
      </c>
      <c r="B2406" s="15" t="s">
        <v>491</v>
      </c>
      <c r="C2406" s="15" t="s">
        <v>33</v>
      </c>
      <c r="D2406" s="15" t="s">
        <v>536</v>
      </c>
      <c r="E2406" s="15" t="n">
        <v>5</v>
      </c>
      <c r="H2406" s="10"/>
      <c r="I2406" s="21"/>
      <c r="M2406" s="10"/>
      <c r="N2406" s="10"/>
      <c r="P2406" s="10"/>
      <c r="Q2406" s="22"/>
    </row>
    <row r="2407" customFormat="false" ht="15.75" hidden="false" customHeight="false" outlineLevel="0" collapsed="false">
      <c r="A2407" s="20" t="n">
        <v>46108</v>
      </c>
      <c r="B2407" s="15" t="s">
        <v>491</v>
      </c>
      <c r="C2407" s="15" t="s">
        <v>77</v>
      </c>
      <c r="D2407" s="15" t="s">
        <v>78</v>
      </c>
      <c r="E2407" s="15" t="n">
        <v>3</v>
      </c>
      <c r="H2407" s="10"/>
      <c r="I2407" s="21"/>
      <c r="M2407" s="10"/>
      <c r="N2407" s="10"/>
      <c r="P2407" s="10"/>
      <c r="Q2407" s="22"/>
    </row>
    <row r="2408" customFormat="false" ht="15.75" hidden="false" customHeight="false" outlineLevel="0" collapsed="false">
      <c r="A2408" s="20" t="n">
        <v>46108</v>
      </c>
      <c r="B2408" s="15" t="s">
        <v>491</v>
      </c>
      <c r="C2408" s="15" t="s">
        <v>47</v>
      </c>
      <c r="D2408" s="15" t="s">
        <v>549</v>
      </c>
      <c r="E2408" s="15" t="n">
        <v>1</v>
      </c>
      <c r="H2408" s="10"/>
      <c r="I2408" s="21"/>
      <c r="M2408" s="10"/>
      <c r="N2408" s="10"/>
      <c r="P2408" s="10"/>
      <c r="Q2408" s="22"/>
    </row>
    <row r="2409" customFormat="false" ht="15.75" hidden="false" customHeight="false" outlineLevel="0" collapsed="false">
      <c r="A2409" s="20" t="n">
        <v>46108</v>
      </c>
      <c r="B2409" s="15" t="s">
        <v>491</v>
      </c>
      <c r="C2409" s="15" t="s">
        <v>55</v>
      </c>
      <c r="D2409" s="15" t="s">
        <v>539</v>
      </c>
      <c r="E2409" s="15" t="n">
        <v>1</v>
      </c>
      <c r="H2409" s="10"/>
      <c r="I2409" s="21"/>
      <c r="M2409" s="10"/>
      <c r="N2409" s="10"/>
      <c r="P2409" s="10"/>
      <c r="Q2409" s="22"/>
    </row>
    <row r="2410" customFormat="false" ht="15.75" hidden="false" customHeight="false" outlineLevel="0" collapsed="false">
      <c r="A2410" s="20" t="n">
        <v>46108</v>
      </c>
      <c r="B2410" s="15" t="s">
        <v>491</v>
      </c>
      <c r="C2410" s="15" t="s">
        <v>59</v>
      </c>
      <c r="D2410" s="15" t="s">
        <v>562</v>
      </c>
      <c r="E2410" s="15" t="n">
        <v>1</v>
      </c>
      <c r="H2410" s="10"/>
      <c r="I2410" s="21"/>
      <c r="M2410" s="10"/>
      <c r="N2410" s="10"/>
      <c r="P2410" s="10"/>
      <c r="Q2410" s="22"/>
    </row>
    <row r="2411" customFormat="false" ht="15.75" hidden="false" customHeight="false" outlineLevel="0" collapsed="false">
      <c r="A2411" s="20" t="n">
        <v>46108</v>
      </c>
      <c r="B2411" s="15" t="s">
        <v>491</v>
      </c>
      <c r="C2411" s="15" t="s">
        <v>43</v>
      </c>
      <c r="D2411" s="15" t="s">
        <v>538</v>
      </c>
      <c r="E2411" s="15" t="n">
        <v>1</v>
      </c>
      <c r="H2411" s="10"/>
      <c r="I2411" s="21"/>
      <c r="M2411" s="10"/>
      <c r="N2411" s="10"/>
      <c r="P2411" s="10"/>
      <c r="Q2411" s="22"/>
    </row>
    <row r="2412" customFormat="false" ht="15.75" hidden="false" customHeight="false" outlineLevel="0" collapsed="false">
      <c r="A2412" s="20" t="n">
        <v>46108</v>
      </c>
      <c r="B2412" s="15" t="s">
        <v>491</v>
      </c>
      <c r="C2412" s="15" t="s">
        <v>87</v>
      </c>
      <c r="D2412" s="15" t="s">
        <v>563</v>
      </c>
      <c r="E2412" s="15" t="n">
        <v>1</v>
      </c>
      <c r="H2412" s="10"/>
      <c r="I2412" s="21"/>
      <c r="M2412" s="10"/>
      <c r="N2412" s="10"/>
      <c r="P2412" s="10"/>
      <c r="Q2412" s="22"/>
    </row>
    <row r="2413" customFormat="false" ht="15.75" hidden="false" customHeight="false" outlineLevel="0" collapsed="false">
      <c r="A2413" s="20" t="n">
        <v>46108</v>
      </c>
      <c r="B2413" s="15" t="s">
        <v>491</v>
      </c>
      <c r="C2413" s="15" t="s">
        <v>79</v>
      </c>
      <c r="D2413" s="15" t="s">
        <v>564</v>
      </c>
      <c r="E2413" s="15" t="n">
        <v>1</v>
      </c>
      <c r="H2413" s="10"/>
      <c r="I2413" s="21"/>
      <c r="M2413" s="10"/>
      <c r="N2413" s="10"/>
      <c r="P2413" s="10"/>
      <c r="Q2413" s="22"/>
    </row>
    <row r="2414" customFormat="false" ht="15.75" hidden="false" customHeight="false" outlineLevel="0" collapsed="false">
      <c r="A2414" s="20" t="n">
        <v>46108</v>
      </c>
      <c r="B2414" s="15" t="s">
        <v>494</v>
      </c>
      <c r="C2414" s="15" t="s">
        <v>25</v>
      </c>
      <c r="D2414" s="15" t="s">
        <v>26</v>
      </c>
      <c r="E2414" s="15" t="n">
        <v>3</v>
      </c>
      <c r="H2414" s="10"/>
      <c r="I2414" s="21"/>
      <c r="M2414" s="10"/>
      <c r="N2414" s="10"/>
      <c r="P2414" s="10"/>
      <c r="Q2414" s="22"/>
    </row>
    <row r="2415" customFormat="false" ht="15.75" hidden="false" customHeight="false" outlineLevel="0" collapsed="false">
      <c r="A2415" s="20" t="n">
        <v>46108</v>
      </c>
      <c r="B2415" s="15" t="s">
        <v>494</v>
      </c>
      <c r="C2415" s="15" t="s">
        <v>547</v>
      </c>
      <c r="D2415" s="15" t="s">
        <v>548</v>
      </c>
      <c r="E2415" s="15" t="n">
        <v>3</v>
      </c>
      <c r="H2415" s="10"/>
      <c r="I2415" s="21"/>
      <c r="M2415" s="10"/>
      <c r="N2415" s="10"/>
      <c r="P2415" s="10"/>
      <c r="Q2415" s="22"/>
    </row>
    <row r="2416" customFormat="false" ht="15.75" hidden="false" customHeight="false" outlineLevel="0" collapsed="false">
      <c r="A2416" s="20" t="n">
        <v>46108</v>
      </c>
      <c r="B2416" s="15" t="s">
        <v>494</v>
      </c>
      <c r="C2416" s="15" t="s">
        <v>543</v>
      </c>
      <c r="D2416" s="15" t="s">
        <v>544</v>
      </c>
      <c r="E2416" s="15" t="n">
        <v>4</v>
      </c>
      <c r="H2416" s="10"/>
      <c r="I2416" s="21"/>
      <c r="M2416" s="10"/>
      <c r="N2416" s="10"/>
      <c r="P2416" s="10"/>
      <c r="Q2416" s="22"/>
    </row>
    <row r="2417" customFormat="false" ht="15.75" hidden="false" customHeight="false" outlineLevel="0" collapsed="false">
      <c r="A2417" s="20" t="n">
        <v>46108</v>
      </c>
      <c r="B2417" s="15" t="s">
        <v>494</v>
      </c>
      <c r="C2417" s="15" t="s">
        <v>545</v>
      </c>
      <c r="D2417" s="15" t="s">
        <v>546</v>
      </c>
      <c r="E2417" s="15" t="n">
        <v>4</v>
      </c>
      <c r="H2417" s="10"/>
      <c r="I2417" s="21"/>
      <c r="M2417" s="10"/>
      <c r="N2417" s="10"/>
      <c r="P2417" s="10"/>
      <c r="Q2417" s="22"/>
    </row>
    <row r="2418" customFormat="false" ht="15.75" hidden="false" customHeight="false" outlineLevel="0" collapsed="false">
      <c r="A2418" s="20" t="n">
        <v>46108</v>
      </c>
      <c r="B2418" s="15" t="s">
        <v>494</v>
      </c>
      <c r="C2418" s="15" t="s">
        <v>555</v>
      </c>
      <c r="D2418" s="15" t="s">
        <v>556</v>
      </c>
      <c r="E2418" s="15" t="n">
        <v>3</v>
      </c>
      <c r="H2418" s="10"/>
      <c r="I2418" s="21"/>
      <c r="M2418" s="10"/>
      <c r="N2418" s="10"/>
      <c r="P2418" s="10"/>
      <c r="Q2418" s="22"/>
    </row>
    <row r="2419" customFormat="false" ht="15.75" hidden="false" customHeight="false" outlineLevel="0" collapsed="false">
      <c r="A2419" s="20" t="n">
        <v>46108</v>
      </c>
      <c r="B2419" s="15" t="s">
        <v>494</v>
      </c>
      <c r="C2419" s="15" t="s">
        <v>45</v>
      </c>
      <c r="D2419" s="15" t="s">
        <v>540</v>
      </c>
      <c r="E2419" s="15" t="n">
        <v>1</v>
      </c>
      <c r="H2419" s="10"/>
      <c r="I2419" s="21"/>
      <c r="M2419" s="10"/>
      <c r="N2419" s="10"/>
      <c r="P2419" s="10"/>
      <c r="Q2419" s="22"/>
    </row>
    <row r="2420" customFormat="false" ht="15.75" hidden="false" customHeight="false" outlineLevel="0" collapsed="false">
      <c r="A2420" s="20" t="n">
        <v>46108</v>
      </c>
      <c r="B2420" s="15" t="s">
        <v>494</v>
      </c>
      <c r="C2420" s="15" t="s">
        <v>59</v>
      </c>
      <c r="D2420" s="15" t="s">
        <v>562</v>
      </c>
      <c r="E2420" s="15" t="n">
        <v>1</v>
      </c>
      <c r="H2420" s="10"/>
      <c r="I2420" s="21"/>
      <c r="M2420" s="10"/>
      <c r="N2420" s="10"/>
      <c r="P2420" s="10"/>
      <c r="Q2420" s="22"/>
    </row>
    <row r="2421" customFormat="false" ht="15.75" hidden="false" customHeight="false" outlineLevel="0" collapsed="false">
      <c r="A2421" s="20" t="n">
        <v>46108</v>
      </c>
      <c r="B2421" s="15" t="s">
        <v>494</v>
      </c>
      <c r="C2421" s="15" t="s">
        <v>69</v>
      </c>
      <c r="D2421" s="15" t="s">
        <v>535</v>
      </c>
      <c r="E2421" s="15" t="n">
        <v>6</v>
      </c>
      <c r="H2421" s="10"/>
      <c r="I2421" s="21"/>
      <c r="M2421" s="10"/>
      <c r="N2421" s="10"/>
      <c r="P2421" s="10"/>
      <c r="Q2421" s="22"/>
    </row>
    <row r="2422" customFormat="false" ht="15.75" hidden="false" customHeight="false" outlineLevel="0" collapsed="false">
      <c r="A2422" s="20" t="n">
        <v>46108</v>
      </c>
      <c r="B2422" s="15" t="s">
        <v>494</v>
      </c>
      <c r="C2422" s="15" t="s">
        <v>81</v>
      </c>
      <c r="D2422" s="15" t="s">
        <v>534</v>
      </c>
      <c r="E2422" s="15" t="n">
        <v>10</v>
      </c>
      <c r="H2422" s="10"/>
      <c r="I2422" s="21"/>
      <c r="M2422" s="10"/>
      <c r="N2422" s="10"/>
      <c r="P2422" s="10"/>
      <c r="Q2422" s="22"/>
    </row>
    <row r="2423" customFormat="false" ht="15.75" hidden="false" customHeight="false" outlineLevel="0" collapsed="false">
      <c r="A2423" s="20" t="n">
        <v>46108</v>
      </c>
      <c r="B2423" s="15" t="s">
        <v>494</v>
      </c>
      <c r="C2423" s="15" t="s">
        <v>79</v>
      </c>
      <c r="D2423" s="15" t="s">
        <v>564</v>
      </c>
      <c r="E2423" s="15" t="n">
        <v>2</v>
      </c>
      <c r="H2423" s="10"/>
      <c r="I2423" s="21"/>
      <c r="M2423" s="10"/>
      <c r="N2423" s="10"/>
      <c r="P2423" s="10"/>
      <c r="Q2423" s="22"/>
    </row>
    <row r="2424" customFormat="false" ht="15.75" hidden="false" customHeight="false" outlineLevel="0" collapsed="false">
      <c r="A2424" s="20" t="n">
        <v>46108</v>
      </c>
      <c r="B2424" s="15" t="s">
        <v>494</v>
      </c>
      <c r="C2424" s="15" t="s">
        <v>33</v>
      </c>
      <c r="D2424" s="15" t="s">
        <v>536</v>
      </c>
      <c r="E2424" s="15" t="n">
        <v>2</v>
      </c>
      <c r="H2424" s="10"/>
      <c r="I2424" s="21"/>
      <c r="M2424" s="10"/>
      <c r="N2424" s="10"/>
      <c r="P2424" s="10"/>
      <c r="Q2424" s="22"/>
    </row>
    <row r="2425" customFormat="false" ht="15.75" hidden="false" customHeight="false" outlineLevel="0" collapsed="false">
      <c r="A2425" s="20" t="n">
        <v>46108</v>
      </c>
      <c r="B2425" s="15" t="s">
        <v>494</v>
      </c>
      <c r="C2425" s="15" t="s">
        <v>87</v>
      </c>
      <c r="D2425" s="15" t="s">
        <v>563</v>
      </c>
      <c r="E2425" s="15" t="n">
        <v>1</v>
      </c>
      <c r="H2425" s="10"/>
      <c r="I2425" s="21"/>
      <c r="M2425" s="10"/>
      <c r="N2425" s="10"/>
      <c r="P2425" s="10"/>
      <c r="Q2425" s="22"/>
    </row>
    <row r="2426" customFormat="false" ht="15.75" hidden="false" customHeight="false" outlineLevel="0" collapsed="false">
      <c r="A2426" s="20" t="n">
        <v>46108</v>
      </c>
      <c r="B2426" s="15" t="s">
        <v>494</v>
      </c>
      <c r="C2426" s="15" t="s">
        <v>77</v>
      </c>
      <c r="D2426" s="15" t="s">
        <v>78</v>
      </c>
      <c r="E2426" s="15" t="n">
        <v>2</v>
      </c>
      <c r="H2426" s="10"/>
      <c r="I2426" s="21"/>
      <c r="M2426" s="10"/>
      <c r="N2426" s="10"/>
      <c r="P2426" s="10"/>
      <c r="Q2426" s="22"/>
    </row>
    <row r="2427" customFormat="false" ht="15.75" hidden="false" customHeight="false" outlineLevel="0" collapsed="false">
      <c r="A2427" s="20" t="n">
        <v>46108</v>
      </c>
      <c r="B2427" s="15" t="s">
        <v>494</v>
      </c>
      <c r="C2427" s="15" t="s">
        <v>65</v>
      </c>
      <c r="D2427" s="15" t="s">
        <v>580</v>
      </c>
      <c r="E2427" s="15" t="n">
        <v>1</v>
      </c>
      <c r="H2427" s="10"/>
      <c r="I2427" s="21"/>
      <c r="M2427" s="10"/>
      <c r="N2427" s="10"/>
      <c r="P2427" s="10"/>
      <c r="Q2427" s="22"/>
    </row>
    <row r="2428" customFormat="false" ht="15.75" hidden="false" customHeight="false" outlineLevel="0" collapsed="false">
      <c r="A2428" s="20" t="n">
        <v>46108</v>
      </c>
      <c r="B2428" s="15" t="s">
        <v>494</v>
      </c>
      <c r="C2428" s="15" t="s">
        <v>55</v>
      </c>
      <c r="D2428" s="15" t="s">
        <v>539</v>
      </c>
      <c r="E2428" s="15" t="n">
        <v>1</v>
      </c>
      <c r="H2428" s="10"/>
      <c r="I2428" s="21"/>
      <c r="M2428" s="10"/>
      <c r="N2428" s="10"/>
      <c r="P2428" s="10"/>
      <c r="Q2428" s="22"/>
    </row>
    <row r="2429" customFormat="false" ht="15.75" hidden="false" customHeight="false" outlineLevel="0" collapsed="false">
      <c r="A2429" s="20" t="n">
        <v>46108</v>
      </c>
      <c r="B2429" s="15" t="s">
        <v>494</v>
      </c>
      <c r="C2429" s="15" t="s">
        <v>47</v>
      </c>
      <c r="D2429" s="15" t="s">
        <v>549</v>
      </c>
      <c r="E2429" s="15" t="n">
        <v>1</v>
      </c>
      <c r="H2429" s="10"/>
      <c r="I2429" s="21"/>
      <c r="M2429" s="10"/>
      <c r="N2429" s="10"/>
      <c r="P2429" s="10"/>
      <c r="Q2429" s="22"/>
    </row>
    <row r="2430" customFormat="false" ht="15.75" hidden="false" customHeight="false" outlineLevel="0" collapsed="false">
      <c r="A2430" s="20" t="n">
        <v>46108</v>
      </c>
      <c r="B2430" s="15" t="s">
        <v>494</v>
      </c>
      <c r="C2430" s="15" t="s">
        <v>565</v>
      </c>
      <c r="D2430" s="15" t="s">
        <v>566</v>
      </c>
      <c r="E2430" s="15" t="n">
        <v>2</v>
      </c>
      <c r="H2430" s="10"/>
      <c r="I2430" s="21"/>
      <c r="M2430" s="10"/>
      <c r="N2430" s="10"/>
      <c r="P2430" s="10"/>
      <c r="Q2430" s="22"/>
    </row>
    <row r="2431" customFormat="false" ht="15.75" hidden="false" customHeight="false" outlineLevel="0" collapsed="false">
      <c r="A2431" s="20" t="n">
        <v>46108</v>
      </c>
      <c r="B2431" s="15" t="s">
        <v>494</v>
      </c>
      <c r="C2431" s="15" t="s">
        <v>37</v>
      </c>
      <c r="D2431" s="15" t="s">
        <v>561</v>
      </c>
      <c r="E2431" s="15" t="n">
        <v>1</v>
      </c>
      <c r="H2431" s="10"/>
      <c r="I2431" s="21"/>
      <c r="M2431" s="10"/>
      <c r="N2431" s="10"/>
      <c r="P2431" s="10"/>
      <c r="Q2431" s="22"/>
    </row>
    <row r="2432" customFormat="false" ht="15.75" hidden="false" customHeight="false" outlineLevel="0" collapsed="false">
      <c r="A2432" s="20" t="n">
        <v>46108</v>
      </c>
      <c r="B2432" s="15" t="s">
        <v>499</v>
      </c>
      <c r="C2432" s="15" t="s">
        <v>543</v>
      </c>
      <c r="D2432" s="15" t="s">
        <v>544</v>
      </c>
      <c r="E2432" s="15" t="n">
        <v>1</v>
      </c>
      <c r="H2432" s="10"/>
      <c r="I2432" s="21"/>
      <c r="M2432" s="10"/>
      <c r="N2432" s="10"/>
      <c r="P2432" s="10"/>
      <c r="Q2432" s="22"/>
    </row>
    <row r="2433" customFormat="false" ht="15.75" hidden="false" customHeight="false" outlineLevel="0" collapsed="false">
      <c r="A2433" s="20" t="n">
        <v>46108</v>
      </c>
      <c r="B2433" s="15" t="s">
        <v>499</v>
      </c>
      <c r="C2433" s="15" t="s">
        <v>69</v>
      </c>
      <c r="D2433" s="15" t="s">
        <v>535</v>
      </c>
      <c r="E2433" s="15" t="n">
        <v>1</v>
      </c>
      <c r="H2433" s="10"/>
      <c r="I2433" s="21"/>
      <c r="M2433" s="10"/>
      <c r="N2433" s="10"/>
      <c r="P2433" s="10"/>
      <c r="Q2433" s="22"/>
    </row>
    <row r="2434" customFormat="false" ht="15.75" hidden="false" customHeight="false" outlineLevel="0" collapsed="false">
      <c r="A2434" s="20" t="n">
        <v>46108</v>
      </c>
      <c r="B2434" s="15" t="s">
        <v>499</v>
      </c>
      <c r="C2434" s="15" t="s">
        <v>33</v>
      </c>
      <c r="D2434" s="15" t="s">
        <v>536</v>
      </c>
      <c r="E2434" s="15" t="n">
        <v>2</v>
      </c>
      <c r="H2434" s="10"/>
      <c r="I2434" s="21"/>
      <c r="M2434" s="10"/>
      <c r="N2434" s="10"/>
      <c r="P2434" s="10"/>
      <c r="Q2434" s="22"/>
    </row>
    <row r="2435" customFormat="false" ht="15.75" hidden="false" customHeight="false" outlineLevel="0" collapsed="false">
      <c r="A2435" s="20" t="n">
        <v>46108</v>
      </c>
      <c r="B2435" s="15" t="s">
        <v>499</v>
      </c>
      <c r="C2435" s="15" t="s">
        <v>55</v>
      </c>
      <c r="D2435" s="15" t="s">
        <v>539</v>
      </c>
      <c r="E2435" s="15" t="n">
        <v>1</v>
      </c>
      <c r="H2435" s="10"/>
      <c r="I2435" s="21"/>
      <c r="M2435" s="10"/>
      <c r="N2435" s="10"/>
      <c r="P2435" s="10"/>
      <c r="Q2435" s="22"/>
    </row>
    <row r="2436" customFormat="false" ht="15.75" hidden="false" customHeight="false" outlineLevel="0" collapsed="false">
      <c r="A2436" s="20" t="n">
        <v>46108</v>
      </c>
      <c r="B2436" s="15" t="s">
        <v>499</v>
      </c>
      <c r="C2436" s="15" t="s">
        <v>59</v>
      </c>
      <c r="D2436" s="15" t="s">
        <v>562</v>
      </c>
      <c r="E2436" s="15" t="n">
        <v>1</v>
      </c>
      <c r="H2436" s="10"/>
      <c r="I2436" s="21"/>
      <c r="M2436" s="10"/>
      <c r="N2436" s="10"/>
      <c r="P2436" s="10"/>
      <c r="Q2436" s="22"/>
    </row>
    <row r="2437" customFormat="false" ht="15.75" hidden="false" customHeight="false" outlineLevel="0" collapsed="false">
      <c r="A2437" s="20" t="n">
        <v>46108</v>
      </c>
      <c r="B2437" s="15" t="s">
        <v>499</v>
      </c>
      <c r="C2437" s="15" t="s">
        <v>47</v>
      </c>
      <c r="D2437" s="15" t="s">
        <v>549</v>
      </c>
      <c r="E2437" s="15" t="n">
        <v>1</v>
      </c>
      <c r="H2437" s="10"/>
      <c r="I2437" s="21"/>
      <c r="M2437" s="10"/>
      <c r="N2437" s="10"/>
      <c r="P2437" s="10"/>
      <c r="Q2437" s="22"/>
    </row>
    <row r="2438" customFormat="false" ht="15.75" hidden="false" customHeight="false" outlineLevel="0" collapsed="false">
      <c r="A2438" s="20" t="n">
        <v>46108</v>
      </c>
      <c r="B2438" s="15" t="s">
        <v>499</v>
      </c>
      <c r="C2438" s="15" t="s">
        <v>75</v>
      </c>
      <c r="D2438" s="15" t="s">
        <v>560</v>
      </c>
      <c r="E2438" s="15" t="n">
        <v>1</v>
      </c>
      <c r="H2438" s="10"/>
      <c r="I2438" s="21"/>
      <c r="M2438" s="10"/>
      <c r="N2438" s="10"/>
      <c r="P2438" s="10"/>
      <c r="Q2438" s="22"/>
    </row>
    <row r="2439" customFormat="false" ht="15.75" hidden="false" customHeight="false" outlineLevel="0" collapsed="false">
      <c r="A2439" s="20" t="n">
        <v>46108</v>
      </c>
      <c r="B2439" s="15" t="s">
        <v>499</v>
      </c>
      <c r="C2439" s="15" t="s">
        <v>81</v>
      </c>
      <c r="D2439" s="15" t="s">
        <v>534</v>
      </c>
      <c r="E2439" s="15" t="n">
        <v>7</v>
      </c>
      <c r="H2439" s="10"/>
      <c r="I2439" s="21"/>
      <c r="M2439" s="10"/>
      <c r="N2439" s="10"/>
      <c r="P2439" s="10"/>
      <c r="Q2439" s="22"/>
    </row>
    <row r="2440" customFormat="false" ht="15.75" hidden="false" customHeight="false" outlineLevel="0" collapsed="false">
      <c r="A2440" s="20" t="n">
        <v>46108</v>
      </c>
      <c r="B2440" s="15" t="s">
        <v>499</v>
      </c>
      <c r="C2440" s="15" t="s">
        <v>77</v>
      </c>
      <c r="D2440" s="15" t="s">
        <v>78</v>
      </c>
      <c r="E2440" s="15" t="n">
        <v>2</v>
      </c>
      <c r="H2440" s="10"/>
      <c r="I2440" s="21"/>
      <c r="M2440" s="10"/>
      <c r="N2440" s="10"/>
      <c r="P2440" s="10"/>
      <c r="Q2440" s="22"/>
    </row>
    <row r="2441" customFormat="false" ht="15.75" hidden="false" customHeight="false" outlineLevel="0" collapsed="false">
      <c r="A2441" s="20" t="n">
        <v>46108</v>
      </c>
      <c r="B2441" s="15" t="s">
        <v>504</v>
      </c>
      <c r="C2441" s="15" t="s">
        <v>47</v>
      </c>
      <c r="D2441" s="15" t="s">
        <v>549</v>
      </c>
      <c r="E2441" s="15" t="n">
        <v>3</v>
      </c>
      <c r="H2441" s="10"/>
      <c r="I2441" s="21"/>
      <c r="M2441" s="10"/>
      <c r="N2441" s="10"/>
      <c r="P2441" s="10"/>
      <c r="Q2441" s="22"/>
    </row>
    <row r="2442" customFormat="false" ht="15.75" hidden="false" customHeight="false" outlineLevel="0" collapsed="false">
      <c r="A2442" s="20" t="n">
        <v>46108</v>
      </c>
      <c r="B2442" s="15" t="s">
        <v>504</v>
      </c>
      <c r="C2442" s="15" t="s">
        <v>55</v>
      </c>
      <c r="D2442" s="15" t="s">
        <v>539</v>
      </c>
      <c r="E2442" s="15" t="n">
        <v>6</v>
      </c>
      <c r="H2442" s="10"/>
      <c r="I2442" s="21"/>
      <c r="M2442" s="10"/>
      <c r="N2442" s="10"/>
      <c r="P2442" s="10"/>
      <c r="Q2442" s="22"/>
    </row>
    <row r="2443" customFormat="false" ht="15.75" hidden="false" customHeight="false" outlineLevel="0" collapsed="false">
      <c r="A2443" s="20" t="n">
        <v>46108</v>
      </c>
      <c r="B2443" s="15" t="s">
        <v>504</v>
      </c>
      <c r="C2443" s="15" t="s">
        <v>81</v>
      </c>
      <c r="D2443" s="15" t="s">
        <v>534</v>
      </c>
      <c r="E2443" s="15" t="n">
        <v>9</v>
      </c>
      <c r="H2443" s="10"/>
      <c r="I2443" s="21"/>
      <c r="M2443" s="10"/>
      <c r="N2443" s="10"/>
      <c r="P2443" s="10"/>
      <c r="Q2443" s="22"/>
    </row>
    <row r="2444" customFormat="false" ht="15.75" hidden="false" customHeight="false" outlineLevel="0" collapsed="false">
      <c r="A2444" s="20" t="n">
        <v>46108</v>
      </c>
      <c r="B2444" s="15" t="s">
        <v>504</v>
      </c>
      <c r="C2444" s="15" t="s">
        <v>39</v>
      </c>
      <c r="D2444" s="15" t="s">
        <v>550</v>
      </c>
      <c r="E2444" s="15" t="n">
        <v>1</v>
      </c>
      <c r="H2444" s="10"/>
      <c r="I2444" s="21"/>
      <c r="M2444" s="10"/>
      <c r="N2444" s="10"/>
      <c r="P2444" s="10"/>
      <c r="Q2444" s="22"/>
    </row>
    <row r="2445" customFormat="false" ht="15.75" hidden="false" customHeight="false" outlineLevel="0" collapsed="false">
      <c r="A2445" s="20" t="n">
        <v>46108</v>
      </c>
      <c r="B2445" s="15" t="s">
        <v>504</v>
      </c>
      <c r="C2445" s="15" t="s">
        <v>63</v>
      </c>
      <c r="D2445" s="15" t="s">
        <v>551</v>
      </c>
      <c r="E2445" s="15" t="n">
        <v>1</v>
      </c>
      <c r="H2445" s="10"/>
      <c r="I2445" s="21"/>
      <c r="M2445" s="10"/>
      <c r="N2445" s="10"/>
      <c r="P2445" s="10"/>
      <c r="Q2445" s="22"/>
    </row>
    <row r="2446" customFormat="false" ht="15.75" hidden="false" customHeight="false" outlineLevel="0" collapsed="false">
      <c r="A2446" s="20" t="n">
        <v>46108</v>
      </c>
      <c r="B2446" s="15" t="s">
        <v>504</v>
      </c>
      <c r="C2446" s="15" t="s">
        <v>17</v>
      </c>
      <c r="D2446" s="15" t="s">
        <v>554</v>
      </c>
      <c r="E2446" s="15" t="n">
        <v>1</v>
      </c>
      <c r="H2446" s="10"/>
      <c r="I2446" s="21"/>
      <c r="M2446" s="10"/>
      <c r="N2446" s="10"/>
      <c r="P2446" s="10"/>
      <c r="Q2446" s="22"/>
    </row>
    <row r="2447" customFormat="false" ht="15.75" hidden="false" customHeight="false" outlineLevel="0" collapsed="false">
      <c r="A2447" s="20" t="n">
        <v>46108</v>
      </c>
      <c r="B2447" s="15" t="s">
        <v>505</v>
      </c>
      <c r="C2447" s="15" t="s">
        <v>55</v>
      </c>
      <c r="D2447" s="15" t="s">
        <v>539</v>
      </c>
      <c r="E2447" s="15" t="n">
        <v>6</v>
      </c>
      <c r="H2447" s="10"/>
      <c r="I2447" s="21"/>
      <c r="M2447" s="10"/>
      <c r="N2447" s="10"/>
      <c r="P2447" s="10"/>
      <c r="Q2447" s="22"/>
    </row>
    <row r="2448" customFormat="false" ht="15.75" hidden="false" customHeight="false" outlineLevel="0" collapsed="false">
      <c r="A2448" s="20" t="n">
        <v>46108</v>
      </c>
      <c r="B2448" s="15" t="s">
        <v>505</v>
      </c>
      <c r="C2448" s="15" t="s">
        <v>39</v>
      </c>
      <c r="D2448" s="15" t="s">
        <v>550</v>
      </c>
      <c r="E2448" s="15" t="n">
        <v>1</v>
      </c>
      <c r="H2448" s="10"/>
      <c r="I2448" s="21"/>
      <c r="M2448" s="10"/>
      <c r="N2448" s="10"/>
      <c r="P2448" s="10"/>
      <c r="Q2448" s="22"/>
    </row>
    <row r="2449" customFormat="false" ht="15.75" hidden="false" customHeight="false" outlineLevel="0" collapsed="false">
      <c r="A2449" s="20" t="n">
        <v>46108</v>
      </c>
      <c r="B2449" s="15" t="s">
        <v>505</v>
      </c>
      <c r="C2449" s="15" t="s">
        <v>81</v>
      </c>
      <c r="D2449" s="15" t="s">
        <v>534</v>
      </c>
      <c r="E2449" s="15" t="n">
        <v>9</v>
      </c>
      <c r="H2449" s="10"/>
      <c r="I2449" s="21"/>
      <c r="M2449" s="10"/>
      <c r="N2449" s="10"/>
      <c r="P2449" s="10"/>
      <c r="Q2449" s="22"/>
    </row>
    <row r="2450" customFormat="false" ht="15.75" hidden="false" customHeight="false" outlineLevel="0" collapsed="false">
      <c r="A2450" s="20" t="n">
        <v>46108</v>
      </c>
      <c r="B2450" s="15" t="s">
        <v>505</v>
      </c>
      <c r="C2450" s="15" t="s">
        <v>47</v>
      </c>
      <c r="D2450" s="15" t="s">
        <v>549</v>
      </c>
      <c r="E2450" s="15" t="n">
        <v>3</v>
      </c>
      <c r="H2450" s="10"/>
      <c r="I2450" s="21"/>
      <c r="M2450" s="10"/>
      <c r="N2450" s="10"/>
      <c r="P2450" s="10"/>
      <c r="Q2450" s="22"/>
    </row>
    <row r="2451" customFormat="false" ht="15.75" hidden="false" customHeight="false" outlineLevel="0" collapsed="false">
      <c r="A2451" s="20" t="n">
        <v>46108</v>
      </c>
      <c r="B2451" s="15" t="s">
        <v>505</v>
      </c>
      <c r="C2451" s="15" t="s">
        <v>63</v>
      </c>
      <c r="D2451" s="15" t="s">
        <v>551</v>
      </c>
      <c r="E2451" s="15" t="n">
        <v>1</v>
      </c>
      <c r="H2451" s="10"/>
      <c r="I2451" s="21"/>
      <c r="M2451" s="10"/>
      <c r="N2451" s="10"/>
      <c r="P2451" s="10"/>
      <c r="Q2451" s="22"/>
    </row>
    <row r="2452" customFormat="false" ht="15.75" hidden="false" customHeight="false" outlineLevel="0" collapsed="false">
      <c r="A2452" s="20" t="n">
        <v>46108</v>
      </c>
      <c r="B2452" s="15" t="s">
        <v>505</v>
      </c>
      <c r="C2452" s="15" t="s">
        <v>17</v>
      </c>
      <c r="D2452" s="15" t="s">
        <v>554</v>
      </c>
      <c r="E2452" s="15" t="n">
        <v>1</v>
      </c>
      <c r="H2452" s="10"/>
      <c r="I2452" s="21"/>
      <c r="M2452" s="10"/>
      <c r="N2452" s="10"/>
      <c r="P2452" s="10"/>
      <c r="Q2452" s="22"/>
    </row>
    <row r="2453" customFormat="false" ht="15.75" hidden="false" customHeight="false" outlineLevel="0" collapsed="false">
      <c r="A2453" s="20" t="n">
        <v>46108</v>
      </c>
      <c r="B2453" s="15" t="s">
        <v>508</v>
      </c>
      <c r="C2453" s="15" t="s">
        <v>55</v>
      </c>
      <c r="D2453" s="15" t="s">
        <v>539</v>
      </c>
      <c r="E2453" s="15" t="n">
        <v>5</v>
      </c>
      <c r="H2453" s="10"/>
      <c r="I2453" s="21"/>
      <c r="M2453" s="10"/>
      <c r="N2453" s="10"/>
      <c r="P2453" s="10"/>
      <c r="Q2453" s="22"/>
    </row>
    <row r="2454" customFormat="false" ht="15.75" hidden="false" customHeight="false" outlineLevel="0" collapsed="false">
      <c r="A2454" s="20" t="n">
        <v>46108</v>
      </c>
      <c r="B2454" s="15" t="s">
        <v>508</v>
      </c>
      <c r="C2454" s="15" t="s">
        <v>81</v>
      </c>
      <c r="D2454" s="15" t="s">
        <v>534</v>
      </c>
      <c r="E2454" s="15" t="n">
        <v>9</v>
      </c>
      <c r="H2454" s="10"/>
      <c r="I2454" s="21"/>
      <c r="M2454" s="10"/>
      <c r="N2454" s="10"/>
      <c r="P2454" s="10"/>
      <c r="Q2454" s="22"/>
    </row>
    <row r="2455" customFormat="false" ht="15.75" hidden="false" customHeight="false" outlineLevel="0" collapsed="false">
      <c r="A2455" s="20" t="n">
        <v>46108</v>
      </c>
      <c r="B2455" s="15" t="s">
        <v>508</v>
      </c>
      <c r="C2455" s="15" t="s">
        <v>39</v>
      </c>
      <c r="D2455" s="15" t="s">
        <v>550</v>
      </c>
      <c r="E2455" s="15" t="n">
        <v>2</v>
      </c>
      <c r="H2455" s="10"/>
      <c r="I2455" s="21"/>
      <c r="M2455" s="10"/>
      <c r="N2455" s="10"/>
      <c r="P2455" s="10"/>
      <c r="Q2455" s="22"/>
    </row>
    <row r="2456" customFormat="false" ht="15.75" hidden="false" customHeight="false" outlineLevel="0" collapsed="false">
      <c r="A2456" s="20" t="n">
        <v>46108</v>
      </c>
      <c r="B2456" s="15" t="s">
        <v>508</v>
      </c>
      <c r="C2456" s="15" t="s">
        <v>47</v>
      </c>
      <c r="D2456" s="15" t="s">
        <v>549</v>
      </c>
      <c r="E2456" s="15" t="n">
        <v>2</v>
      </c>
      <c r="H2456" s="10"/>
      <c r="I2456" s="21"/>
      <c r="M2456" s="10"/>
      <c r="N2456" s="10"/>
      <c r="P2456" s="10"/>
      <c r="Q2456" s="22"/>
    </row>
    <row r="2457" customFormat="false" ht="15.75" hidden="false" customHeight="false" outlineLevel="0" collapsed="false">
      <c r="A2457" s="20" t="n">
        <v>46108</v>
      </c>
      <c r="B2457" s="15" t="s">
        <v>508</v>
      </c>
      <c r="C2457" s="15" t="s">
        <v>63</v>
      </c>
      <c r="D2457" s="15" t="s">
        <v>551</v>
      </c>
      <c r="E2457" s="15" t="n">
        <v>1</v>
      </c>
      <c r="H2457" s="10"/>
      <c r="I2457" s="21"/>
      <c r="M2457" s="10"/>
      <c r="N2457" s="10"/>
      <c r="P2457" s="10"/>
      <c r="Q2457" s="22"/>
    </row>
    <row r="2458" customFormat="false" ht="15.75" hidden="false" customHeight="false" outlineLevel="0" collapsed="false">
      <c r="A2458" s="20" t="n">
        <v>46108</v>
      </c>
      <c r="B2458" s="15" t="s">
        <v>524</v>
      </c>
      <c r="C2458" s="15" t="s">
        <v>69</v>
      </c>
      <c r="D2458" s="15" t="s">
        <v>535</v>
      </c>
      <c r="E2458" s="15" t="n">
        <v>6</v>
      </c>
      <c r="H2458" s="10"/>
      <c r="I2458" s="21"/>
      <c r="M2458" s="10"/>
      <c r="N2458" s="10"/>
      <c r="P2458" s="10"/>
      <c r="Q2458" s="22"/>
    </row>
    <row r="2459" customFormat="false" ht="15.75" hidden="false" customHeight="false" outlineLevel="0" collapsed="false">
      <c r="A2459" s="20" t="n">
        <v>46108</v>
      </c>
      <c r="B2459" s="15" t="s">
        <v>524</v>
      </c>
      <c r="C2459" s="15" t="s">
        <v>33</v>
      </c>
      <c r="D2459" s="15" t="s">
        <v>536</v>
      </c>
      <c r="E2459" s="15" t="n">
        <v>6</v>
      </c>
      <c r="H2459" s="10"/>
      <c r="I2459" s="21"/>
      <c r="M2459" s="10"/>
      <c r="N2459" s="10"/>
      <c r="P2459" s="10"/>
      <c r="Q2459" s="22"/>
    </row>
    <row r="2460" customFormat="false" ht="15.75" hidden="false" customHeight="false" outlineLevel="0" collapsed="false">
      <c r="A2460" s="20" t="n">
        <v>46108</v>
      </c>
      <c r="B2460" s="15" t="s">
        <v>524</v>
      </c>
      <c r="C2460" s="15" t="s">
        <v>55</v>
      </c>
      <c r="D2460" s="15" t="s">
        <v>539</v>
      </c>
      <c r="E2460" s="15" t="n">
        <v>4</v>
      </c>
      <c r="H2460" s="10"/>
      <c r="I2460" s="21"/>
      <c r="M2460" s="10"/>
      <c r="N2460" s="10"/>
      <c r="P2460" s="10"/>
      <c r="Q2460" s="22"/>
    </row>
    <row r="2461" customFormat="false" ht="15.75" hidden="false" customHeight="false" outlineLevel="0" collapsed="false">
      <c r="A2461" s="20" t="n">
        <v>46108</v>
      </c>
      <c r="B2461" s="15" t="s">
        <v>524</v>
      </c>
      <c r="C2461" s="15" t="s">
        <v>81</v>
      </c>
      <c r="D2461" s="15" t="s">
        <v>534</v>
      </c>
      <c r="E2461" s="15" t="n">
        <v>3</v>
      </c>
      <c r="H2461" s="10"/>
      <c r="I2461" s="21"/>
      <c r="M2461" s="10"/>
      <c r="N2461" s="10"/>
      <c r="P2461" s="10"/>
      <c r="Q2461" s="22"/>
    </row>
    <row r="2462" customFormat="false" ht="15.75" hidden="false" customHeight="false" outlineLevel="0" collapsed="false">
      <c r="A2462" s="20" t="n">
        <v>46108</v>
      </c>
      <c r="B2462" s="15" t="s">
        <v>524</v>
      </c>
      <c r="C2462" s="15" t="s">
        <v>37</v>
      </c>
      <c r="D2462" s="15" t="s">
        <v>561</v>
      </c>
      <c r="E2462" s="15" t="n">
        <v>1</v>
      </c>
      <c r="H2462" s="10"/>
      <c r="I2462" s="21"/>
      <c r="M2462" s="10"/>
      <c r="N2462" s="10"/>
      <c r="P2462" s="10"/>
      <c r="Q2462" s="22"/>
    </row>
    <row r="2463" customFormat="false" ht="15.75" hidden="false" customHeight="false" outlineLevel="0" collapsed="false">
      <c r="A2463" s="20" t="n">
        <v>46108</v>
      </c>
      <c r="B2463" s="15" t="s">
        <v>524</v>
      </c>
      <c r="C2463" s="15" t="s">
        <v>547</v>
      </c>
      <c r="D2463" s="15" t="s">
        <v>548</v>
      </c>
      <c r="E2463" s="15" t="n">
        <v>1</v>
      </c>
      <c r="H2463" s="10"/>
      <c r="I2463" s="21"/>
      <c r="M2463" s="10"/>
      <c r="N2463" s="10"/>
      <c r="P2463" s="10"/>
      <c r="Q2463" s="22"/>
    </row>
    <row r="2464" customFormat="false" ht="15.75" hidden="false" customHeight="false" outlineLevel="0" collapsed="false">
      <c r="A2464" s="20" t="n">
        <v>46111</v>
      </c>
      <c r="B2464" s="15" t="s">
        <v>453</v>
      </c>
      <c r="C2464" s="15" t="s">
        <v>47</v>
      </c>
      <c r="D2464" s="15" t="s">
        <v>549</v>
      </c>
      <c r="E2464" s="15" t="n">
        <v>2</v>
      </c>
      <c r="H2464" s="10"/>
      <c r="I2464" s="21"/>
      <c r="M2464" s="10"/>
      <c r="N2464" s="10"/>
      <c r="P2464" s="10"/>
      <c r="Q2464" s="22"/>
    </row>
    <row r="2465" customFormat="false" ht="15.75" hidden="false" customHeight="false" outlineLevel="0" collapsed="false">
      <c r="A2465" s="20" t="n">
        <v>46111</v>
      </c>
      <c r="B2465" s="15" t="s">
        <v>453</v>
      </c>
      <c r="C2465" s="15" t="s">
        <v>55</v>
      </c>
      <c r="D2465" s="15" t="s">
        <v>539</v>
      </c>
      <c r="E2465" s="15" t="n">
        <v>4</v>
      </c>
      <c r="H2465" s="10"/>
      <c r="I2465" s="21"/>
      <c r="M2465" s="10"/>
      <c r="N2465" s="10"/>
      <c r="P2465" s="10"/>
      <c r="Q2465" s="22"/>
    </row>
    <row r="2466" customFormat="false" ht="15.75" hidden="false" customHeight="false" outlineLevel="0" collapsed="false">
      <c r="A2466" s="20" t="n">
        <v>46111</v>
      </c>
      <c r="B2466" s="15" t="s">
        <v>453</v>
      </c>
      <c r="C2466" s="15" t="s">
        <v>81</v>
      </c>
      <c r="D2466" s="15" t="s">
        <v>534</v>
      </c>
      <c r="E2466" s="15" t="n">
        <v>8</v>
      </c>
      <c r="H2466" s="10"/>
      <c r="I2466" s="21"/>
      <c r="M2466" s="10"/>
      <c r="N2466" s="10"/>
      <c r="P2466" s="10"/>
      <c r="Q2466" s="22"/>
    </row>
    <row r="2467" customFormat="false" ht="15.75" hidden="false" customHeight="false" outlineLevel="0" collapsed="false">
      <c r="A2467" s="20" t="n">
        <v>46111</v>
      </c>
      <c r="B2467" s="15" t="s">
        <v>453</v>
      </c>
      <c r="C2467" s="15" t="s">
        <v>39</v>
      </c>
      <c r="D2467" s="15" t="s">
        <v>550</v>
      </c>
      <c r="E2467" s="15" t="n">
        <v>2</v>
      </c>
      <c r="H2467" s="10"/>
      <c r="I2467" s="21"/>
      <c r="M2467" s="10"/>
      <c r="N2467" s="10"/>
      <c r="P2467" s="10"/>
      <c r="Q2467" s="22"/>
    </row>
    <row r="2468" customFormat="false" ht="15.75" hidden="false" customHeight="false" outlineLevel="0" collapsed="false">
      <c r="A2468" s="20" t="n">
        <v>46111</v>
      </c>
      <c r="B2468" s="15" t="s">
        <v>453</v>
      </c>
      <c r="C2468" s="15" t="s">
        <v>63</v>
      </c>
      <c r="D2468" s="15" t="s">
        <v>551</v>
      </c>
      <c r="E2468" s="15" t="n">
        <v>1</v>
      </c>
      <c r="H2468" s="10"/>
      <c r="I2468" s="21"/>
      <c r="M2468" s="10"/>
      <c r="N2468" s="10"/>
      <c r="P2468" s="10"/>
      <c r="Q2468" s="22"/>
    </row>
    <row r="2469" customFormat="false" ht="15.75" hidden="false" customHeight="false" outlineLevel="0" collapsed="false">
      <c r="A2469" s="20" t="n">
        <v>46111</v>
      </c>
      <c r="B2469" s="15" t="s">
        <v>453</v>
      </c>
      <c r="C2469" s="15" t="s">
        <v>35</v>
      </c>
      <c r="D2469" s="15" t="s">
        <v>552</v>
      </c>
      <c r="E2469" s="15" t="n">
        <v>2</v>
      </c>
      <c r="H2469" s="10"/>
      <c r="I2469" s="21"/>
      <c r="M2469" s="10"/>
      <c r="N2469" s="10"/>
      <c r="P2469" s="10"/>
      <c r="Q2469" s="22"/>
    </row>
    <row r="2470" customFormat="false" ht="15.75" hidden="false" customHeight="false" outlineLevel="0" collapsed="false">
      <c r="A2470" s="20" t="n">
        <v>46111</v>
      </c>
      <c r="B2470" s="15" t="s">
        <v>467</v>
      </c>
      <c r="C2470" s="15" t="s">
        <v>55</v>
      </c>
      <c r="D2470" s="15" t="s">
        <v>539</v>
      </c>
      <c r="E2470" s="15" t="n">
        <v>6</v>
      </c>
      <c r="H2470" s="10"/>
      <c r="I2470" s="21"/>
      <c r="M2470" s="10"/>
      <c r="N2470" s="10"/>
      <c r="P2470" s="10"/>
      <c r="Q2470" s="22"/>
    </row>
    <row r="2471" customFormat="false" ht="15.75" hidden="false" customHeight="false" outlineLevel="0" collapsed="false">
      <c r="A2471" s="20" t="n">
        <v>46111</v>
      </c>
      <c r="B2471" s="15" t="s">
        <v>467</v>
      </c>
      <c r="C2471" s="15" t="s">
        <v>57</v>
      </c>
      <c r="D2471" s="15" t="s">
        <v>553</v>
      </c>
      <c r="E2471" s="15" t="n">
        <v>2</v>
      </c>
      <c r="H2471" s="10"/>
      <c r="I2471" s="21"/>
      <c r="M2471" s="10"/>
      <c r="N2471" s="10"/>
      <c r="P2471" s="10"/>
      <c r="Q2471" s="22"/>
    </row>
    <row r="2472" customFormat="false" ht="15.75" hidden="false" customHeight="false" outlineLevel="0" collapsed="false">
      <c r="A2472" s="20" t="n">
        <v>46111</v>
      </c>
      <c r="B2472" s="15" t="s">
        <v>467</v>
      </c>
      <c r="C2472" s="15" t="s">
        <v>47</v>
      </c>
      <c r="D2472" s="15" t="s">
        <v>549</v>
      </c>
      <c r="E2472" s="15" t="n">
        <v>2</v>
      </c>
      <c r="H2472" s="10"/>
      <c r="I2472" s="21"/>
      <c r="M2472" s="10"/>
      <c r="N2472" s="10"/>
      <c r="P2472" s="10"/>
      <c r="Q2472" s="22"/>
    </row>
    <row r="2473" customFormat="false" ht="15.75" hidden="false" customHeight="false" outlineLevel="0" collapsed="false">
      <c r="A2473" s="20" t="n">
        <v>46111</v>
      </c>
      <c r="B2473" s="15" t="s">
        <v>467</v>
      </c>
      <c r="C2473" s="15" t="s">
        <v>81</v>
      </c>
      <c r="D2473" s="15" t="s">
        <v>534</v>
      </c>
      <c r="E2473" s="15" t="n">
        <v>7</v>
      </c>
      <c r="H2473" s="10"/>
      <c r="I2473" s="21"/>
      <c r="M2473" s="10"/>
      <c r="N2473" s="10"/>
      <c r="P2473" s="10"/>
      <c r="Q2473" s="22"/>
    </row>
    <row r="2474" customFormat="false" ht="15.75" hidden="false" customHeight="false" outlineLevel="0" collapsed="false">
      <c r="A2474" s="20" t="n">
        <v>46111</v>
      </c>
      <c r="B2474" s="15" t="s">
        <v>467</v>
      </c>
      <c r="C2474" s="15" t="s">
        <v>49</v>
      </c>
      <c r="D2474" s="15" t="s">
        <v>537</v>
      </c>
      <c r="E2474" s="15" t="n">
        <v>2</v>
      </c>
      <c r="H2474" s="10"/>
      <c r="I2474" s="21"/>
      <c r="M2474" s="10"/>
      <c r="N2474" s="10"/>
      <c r="P2474" s="10"/>
      <c r="Q2474" s="22"/>
    </row>
    <row r="2475" customFormat="false" ht="15.75" hidden="false" customHeight="false" outlineLevel="0" collapsed="false">
      <c r="A2475" s="20" t="n">
        <v>46111</v>
      </c>
      <c r="B2475" s="15" t="s">
        <v>467</v>
      </c>
      <c r="C2475" s="15" t="s">
        <v>63</v>
      </c>
      <c r="D2475" s="15" t="s">
        <v>551</v>
      </c>
      <c r="E2475" s="15" t="n">
        <v>1</v>
      </c>
      <c r="H2475" s="10"/>
      <c r="I2475" s="21"/>
      <c r="M2475" s="10"/>
      <c r="N2475" s="10"/>
      <c r="P2475" s="10"/>
      <c r="Q2475" s="22"/>
    </row>
    <row r="2476" customFormat="false" ht="15.75" hidden="false" customHeight="false" outlineLevel="0" collapsed="false">
      <c r="A2476" s="20" t="n">
        <v>46111</v>
      </c>
      <c r="B2476" s="15" t="s">
        <v>469</v>
      </c>
      <c r="C2476" s="15" t="s">
        <v>69</v>
      </c>
      <c r="D2476" s="15" t="s">
        <v>535</v>
      </c>
      <c r="E2476" s="15" t="n">
        <v>5</v>
      </c>
      <c r="H2476" s="10"/>
      <c r="I2476" s="21"/>
      <c r="M2476" s="10"/>
      <c r="N2476" s="10"/>
      <c r="P2476" s="10"/>
      <c r="Q2476" s="22"/>
    </row>
    <row r="2477" customFormat="false" ht="15.75" hidden="false" customHeight="false" outlineLevel="0" collapsed="false">
      <c r="A2477" s="20" t="n">
        <v>46111</v>
      </c>
      <c r="B2477" s="15" t="s">
        <v>469</v>
      </c>
      <c r="C2477" s="15" t="s">
        <v>55</v>
      </c>
      <c r="D2477" s="15" t="s">
        <v>539</v>
      </c>
      <c r="E2477" s="15" t="n">
        <v>2</v>
      </c>
      <c r="H2477" s="10"/>
      <c r="I2477" s="21"/>
      <c r="M2477" s="10"/>
      <c r="N2477" s="10"/>
      <c r="P2477" s="10"/>
      <c r="Q2477" s="22"/>
    </row>
    <row r="2478" customFormat="false" ht="15.75" hidden="false" customHeight="false" outlineLevel="0" collapsed="false">
      <c r="A2478" s="20" t="n">
        <v>46111</v>
      </c>
      <c r="B2478" s="15" t="s">
        <v>469</v>
      </c>
      <c r="C2478" s="15" t="s">
        <v>33</v>
      </c>
      <c r="D2478" s="15" t="s">
        <v>536</v>
      </c>
      <c r="E2478" s="15" t="n">
        <v>5</v>
      </c>
      <c r="H2478" s="10"/>
      <c r="I2478" s="21"/>
      <c r="M2478" s="10"/>
      <c r="N2478" s="10"/>
      <c r="P2478" s="10"/>
      <c r="Q2478" s="22"/>
    </row>
    <row r="2479" customFormat="false" ht="15.75" hidden="false" customHeight="false" outlineLevel="0" collapsed="false">
      <c r="A2479" s="20" t="n">
        <v>46111</v>
      </c>
      <c r="B2479" s="15" t="s">
        <v>469</v>
      </c>
      <c r="C2479" s="15" t="s">
        <v>547</v>
      </c>
      <c r="D2479" s="15" t="s">
        <v>548</v>
      </c>
      <c r="E2479" s="15" t="n">
        <v>1</v>
      </c>
      <c r="H2479" s="10"/>
      <c r="I2479" s="21"/>
      <c r="M2479" s="10"/>
      <c r="N2479" s="10"/>
      <c r="P2479" s="10"/>
      <c r="Q2479" s="22"/>
    </row>
    <row r="2480" customFormat="false" ht="15.75" hidden="false" customHeight="false" outlineLevel="0" collapsed="false">
      <c r="A2480" s="20" t="n">
        <v>46111</v>
      </c>
      <c r="B2480" s="15" t="s">
        <v>469</v>
      </c>
      <c r="C2480" s="15" t="s">
        <v>81</v>
      </c>
      <c r="D2480" s="15" t="s">
        <v>534</v>
      </c>
      <c r="E2480" s="15" t="n">
        <v>2</v>
      </c>
      <c r="H2480" s="10"/>
      <c r="I2480" s="21"/>
      <c r="M2480" s="10"/>
      <c r="N2480" s="10"/>
      <c r="P2480" s="10"/>
      <c r="Q2480" s="22"/>
    </row>
    <row r="2481" customFormat="false" ht="15.75" hidden="false" customHeight="false" outlineLevel="0" collapsed="false">
      <c r="A2481" s="20" t="n">
        <v>46111</v>
      </c>
      <c r="B2481" s="15" t="s">
        <v>473</v>
      </c>
      <c r="C2481" s="15" t="s">
        <v>555</v>
      </c>
      <c r="D2481" s="15" t="s">
        <v>556</v>
      </c>
      <c r="E2481" s="15" t="n">
        <v>4</v>
      </c>
      <c r="H2481" s="10"/>
      <c r="I2481" s="21"/>
      <c r="M2481" s="10"/>
      <c r="N2481" s="10"/>
      <c r="P2481" s="10"/>
      <c r="Q2481" s="22"/>
    </row>
    <row r="2482" customFormat="false" ht="15.75" hidden="false" customHeight="false" outlineLevel="0" collapsed="false">
      <c r="A2482" s="20" t="n">
        <v>46111</v>
      </c>
      <c r="B2482" s="15" t="s">
        <v>473</v>
      </c>
      <c r="C2482" s="15" t="s">
        <v>11</v>
      </c>
      <c r="D2482" s="15" t="s">
        <v>572</v>
      </c>
      <c r="E2482" s="15" t="n">
        <v>4</v>
      </c>
      <c r="H2482" s="10"/>
      <c r="I2482" s="21"/>
      <c r="M2482" s="10"/>
      <c r="N2482" s="10"/>
      <c r="P2482" s="10"/>
      <c r="Q2482" s="22"/>
    </row>
    <row r="2483" customFormat="false" ht="15.75" hidden="false" customHeight="false" outlineLevel="0" collapsed="false">
      <c r="A2483" s="20" t="n">
        <v>46111</v>
      </c>
      <c r="B2483" s="15" t="s">
        <v>473</v>
      </c>
      <c r="C2483" s="15" t="s">
        <v>543</v>
      </c>
      <c r="D2483" s="15" t="s">
        <v>544</v>
      </c>
      <c r="E2483" s="15" t="n">
        <v>4</v>
      </c>
      <c r="H2483" s="10"/>
      <c r="I2483" s="21"/>
      <c r="M2483" s="10"/>
      <c r="N2483" s="10"/>
      <c r="P2483" s="10"/>
      <c r="Q2483" s="22"/>
    </row>
    <row r="2484" customFormat="false" ht="15.75" hidden="false" customHeight="false" outlineLevel="0" collapsed="false">
      <c r="A2484" s="20" t="n">
        <v>46111</v>
      </c>
      <c r="B2484" s="15" t="s">
        <v>473</v>
      </c>
      <c r="C2484" s="15" t="s">
        <v>91</v>
      </c>
      <c r="D2484" s="15" t="s">
        <v>91</v>
      </c>
      <c r="E2484" s="15" t="n">
        <v>4</v>
      </c>
      <c r="H2484" s="10"/>
      <c r="I2484" s="21"/>
      <c r="M2484" s="10"/>
      <c r="N2484" s="10"/>
      <c r="P2484" s="10"/>
      <c r="Q2484" s="22"/>
    </row>
    <row r="2485" customFormat="false" ht="15.75" hidden="false" customHeight="false" outlineLevel="0" collapsed="false">
      <c r="A2485" s="20" t="n">
        <v>46111</v>
      </c>
      <c r="B2485" s="15" t="s">
        <v>473</v>
      </c>
      <c r="C2485" s="15" t="s">
        <v>25</v>
      </c>
      <c r="D2485" s="15" t="s">
        <v>26</v>
      </c>
      <c r="E2485" s="15" t="n">
        <v>4</v>
      </c>
      <c r="H2485" s="10"/>
      <c r="I2485" s="21"/>
      <c r="M2485" s="10"/>
      <c r="N2485" s="10"/>
      <c r="P2485" s="10"/>
      <c r="Q2485" s="22"/>
    </row>
    <row r="2486" customFormat="false" ht="15.75" hidden="false" customHeight="false" outlineLevel="0" collapsed="false">
      <c r="A2486" s="20" t="n">
        <v>46111</v>
      </c>
      <c r="B2486" s="15" t="s">
        <v>477</v>
      </c>
      <c r="C2486" s="15" t="s">
        <v>69</v>
      </c>
      <c r="D2486" s="15" t="s">
        <v>535</v>
      </c>
      <c r="E2486" s="15" t="n">
        <v>3</v>
      </c>
      <c r="H2486" s="10"/>
      <c r="I2486" s="21"/>
      <c r="M2486" s="10"/>
      <c r="N2486" s="10"/>
      <c r="P2486" s="10"/>
      <c r="Q2486" s="22"/>
    </row>
    <row r="2487" customFormat="false" ht="15.75" hidden="false" customHeight="false" outlineLevel="0" collapsed="false">
      <c r="A2487" s="20" t="n">
        <v>46111</v>
      </c>
      <c r="B2487" s="15" t="s">
        <v>477</v>
      </c>
      <c r="C2487" s="15" t="s">
        <v>547</v>
      </c>
      <c r="D2487" s="15" t="s">
        <v>548</v>
      </c>
      <c r="E2487" s="15" t="n">
        <v>3</v>
      </c>
      <c r="H2487" s="10"/>
      <c r="I2487" s="21"/>
      <c r="M2487" s="10"/>
      <c r="N2487" s="10"/>
      <c r="P2487" s="10"/>
      <c r="Q2487" s="22"/>
    </row>
    <row r="2488" customFormat="false" ht="15.75" hidden="false" customHeight="false" outlineLevel="0" collapsed="false">
      <c r="A2488" s="20" t="n">
        <v>46111</v>
      </c>
      <c r="B2488" s="15" t="s">
        <v>477</v>
      </c>
      <c r="C2488" s="15" t="s">
        <v>25</v>
      </c>
      <c r="D2488" s="15" t="s">
        <v>26</v>
      </c>
      <c r="E2488" s="15" t="n">
        <v>3</v>
      </c>
      <c r="H2488" s="10"/>
      <c r="I2488" s="21"/>
      <c r="M2488" s="10"/>
      <c r="N2488" s="10"/>
      <c r="P2488" s="10"/>
      <c r="Q2488" s="22"/>
    </row>
    <row r="2489" customFormat="false" ht="15.75" hidden="false" customHeight="false" outlineLevel="0" collapsed="false">
      <c r="A2489" s="20" t="n">
        <v>46111</v>
      </c>
      <c r="B2489" s="15" t="s">
        <v>487</v>
      </c>
      <c r="C2489" s="15" t="s">
        <v>55</v>
      </c>
      <c r="D2489" s="15" t="s">
        <v>539</v>
      </c>
      <c r="E2489" s="15" t="n">
        <v>1</v>
      </c>
      <c r="H2489" s="10"/>
      <c r="I2489" s="21"/>
      <c r="M2489" s="10"/>
      <c r="N2489" s="10"/>
      <c r="P2489" s="10"/>
      <c r="Q2489" s="22"/>
    </row>
    <row r="2490" customFormat="false" ht="15.75" hidden="false" customHeight="false" outlineLevel="0" collapsed="false">
      <c r="A2490" s="20" t="n">
        <v>46111</v>
      </c>
      <c r="B2490" s="15" t="s">
        <v>487</v>
      </c>
      <c r="C2490" s="15" t="s">
        <v>81</v>
      </c>
      <c r="D2490" s="15" t="s">
        <v>534</v>
      </c>
      <c r="E2490" s="15" t="n">
        <v>9</v>
      </c>
      <c r="H2490" s="10"/>
      <c r="I2490" s="21"/>
      <c r="M2490" s="10"/>
      <c r="N2490" s="10"/>
      <c r="P2490" s="10"/>
      <c r="Q2490" s="22"/>
    </row>
    <row r="2491" customFormat="false" ht="15.75" hidden="false" customHeight="false" outlineLevel="0" collapsed="false">
      <c r="A2491" s="20" t="n">
        <v>46111</v>
      </c>
      <c r="B2491" s="15" t="s">
        <v>487</v>
      </c>
      <c r="C2491" s="15" t="s">
        <v>555</v>
      </c>
      <c r="D2491" s="15" t="s">
        <v>556</v>
      </c>
      <c r="E2491" s="15" t="n">
        <v>1</v>
      </c>
      <c r="H2491" s="10"/>
      <c r="I2491" s="21"/>
      <c r="M2491" s="10"/>
      <c r="N2491" s="10"/>
      <c r="P2491" s="10"/>
      <c r="Q2491" s="22"/>
    </row>
    <row r="2492" customFormat="false" ht="15.75" hidden="false" customHeight="false" outlineLevel="0" collapsed="false">
      <c r="A2492" s="20" t="n">
        <v>46111</v>
      </c>
      <c r="B2492" s="15" t="s">
        <v>487</v>
      </c>
      <c r="C2492" s="15" t="s">
        <v>570</v>
      </c>
      <c r="D2492" s="15" t="s">
        <v>571</v>
      </c>
      <c r="E2492" s="15" t="n">
        <v>1</v>
      </c>
      <c r="H2492" s="10"/>
      <c r="I2492" s="21"/>
      <c r="M2492" s="10"/>
      <c r="N2492" s="10"/>
      <c r="P2492" s="10"/>
      <c r="Q2492" s="22"/>
    </row>
    <row r="2493" customFormat="false" ht="15.75" hidden="false" customHeight="false" outlineLevel="0" collapsed="false">
      <c r="A2493" s="20" t="n">
        <v>46111</v>
      </c>
      <c r="B2493" s="15" t="s">
        <v>487</v>
      </c>
      <c r="C2493" s="15" t="s">
        <v>25</v>
      </c>
      <c r="D2493" s="15" t="s">
        <v>26</v>
      </c>
      <c r="E2493" s="15" t="n">
        <v>1</v>
      </c>
      <c r="H2493" s="10"/>
      <c r="I2493" s="21"/>
      <c r="M2493" s="10"/>
      <c r="N2493" s="10"/>
      <c r="P2493" s="10"/>
      <c r="Q2493" s="22"/>
    </row>
    <row r="2494" customFormat="false" ht="15.75" hidden="false" customHeight="false" outlineLevel="0" collapsed="false">
      <c r="A2494" s="20" t="n">
        <v>46111</v>
      </c>
      <c r="B2494" s="15" t="s">
        <v>487</v>
      </c>
      <c r="C2494" s="15" t="s">
        <v>91</v>
      </c>
      <c r="D2494" s="15" t="s">
        <v>91</v>
      </c>
      <c r="E2494" s="15" t="n">
        <v>2</v>
      </c>
      <c r="H2494" s="10"/>
      <c r="I2494" s="21"/>
      <c r="M2494" s="10"/>
      <c r="N2494" s="10"/>
      <c r="P2494" s="10"/>
      <c r="Q2494" s="22"/>
    </row>
    <row r="2495" customFormat="false" ht="15.75" hidden="false" customHeight="false" outlineLevel="0" collapsed="false">
      <c r="A2495" s="20" t="n">
        <v>46111</v>
      </c>
      <c r="B2495" s="15" t="s">
        <v>487</v>
      </c>
      <c r="C2495" s="15" t="s">
        <v>543</v>
      </c>
      <c r="D2495" s="15" t="s">
        <v>544</v>
      </c>
      <c r="E2495" s="15" t="n">
        <v>3</v>
      </c>
      <c r="H2495" s="10"/>
      <c r="I2495" s="21"/>
      <c r="M2495" s="10"/>
      <c r="N2495" s="10"/>
      <c r="P2495" s="10"/>
      <c r="Q2495" s="22"/>
    </row>
    <row r="2496" customFormat="false" ht="15.75" hidden="false" customHeight="false" outlineLevel="0" collapsed="false">
      <c r="A2496" s="20" t="n">
        <v>46111</v>
      </c>
      <c r="B2496" s="15" t="s">
        <v>487</v>
      </c>
      <c r="C2496" s="15" t="s">
        <v>545</v>
      </c>
      <c r="D2496" s="15" t="s">
        <v>546</v>
      </c>
      <c r="E2496" s="15" t="n">
        <v>1</v>
      </c>
      <c r="H2496" s="10"/>
      <c r="I2496" s="21"/>
      <c r="M2496" s="10"/>
      <c r="N2496" s="10"/>
      <c r="P2496" s="10"/>
      <c r="Q2496" s="22"/>
    </row>
    <row r="2497" customFormat="false" ht="15.75" hidden="false" customHeight="false" outlineLevel="0" collapsed="false">
      <c r="A2497" s="20" t="n">
        <v>46111</v>
      </c>
      <c r="B2497" s="15" t="s">
        <v>487</v>
      </c>
      <c r="C2497" s="15" t="s">
        <v>69</v>
      </c>
      <c r="D2497" s="15" t="s">
        <v>535</v>
      </c>
      <c r="E2497" s="15" t="n">
        <v>3</v>
      </c>
      <c r="H2497" s="10"/>
      <c r="I2497" s="21"/>
      <c r="M2497" s="10"/>
      <c r="N2497" s="10"/>
      <c r="P2497" s="10"/>
      <c r="Q2497" s="22"/>
    </row>
    <row r="2498" customFormat="false" ht="15.75" hidden="false" customHeight="false" outlineLevel="0" collapsed="false">
      <c r="A2498" s="20" t="n">
        <v>46111</v>
      </c>
      <c r="B2498" s="15" t="s">
        <v>487</v>
      </c>
      <c r="C2498" s="15" t="s">
        <v>77</v>
      </c>
      <c r="D2498" s="15" t="s">
        <v>78</v>
      </c>
      <c r="E2498" s="15" t="n">
        <v>3</v>
      </c>
      <c r="H2498" s="10"/>
      <c r="I2498" s="21"/>
      <c r="M2498" s="10"/>
      <c r="N2498" s="10"/>
      <c r="P2498" s="10"/>
      <c r="Q2498" s="22"/>
    </row>
    <row r="2499" customFormat="false" ht="15.75" hidden="false" customHeight="false" outlineLevel="0" collapsed="false">
      <c r="A2499" s="20" t="n">
        <v>46111</v>
      </c>
      <c r="B2499" s="15" t="s">
        <v>487</v>
      </c>
      <c r="C2499" s="15" t="s">
        <v>11</v>
      </c>
      <c r="D2499" s="15" t="s">
        <v>572</v>
      </c>
      <c r="E2499" s="15" t="n">
        <v>1</v>
      </c>
      <c r="H2499" s="10"/>
      <c r="I2499" s="21"/>
      <c r="M2499" s="10"/>
      <c r="N2499" s="10"/>
      <c r="P2499" s="10"/>
      <c r="Q2499" s="22"/>
    </row>
    <row r="2500" customFormat="false" ht="15.75" hidden="false" customHeight="false" outlineLevel="0" collapsed="false">
      <c r="A2500" s="20" t="n">
        <v>46111</v>
      </c>
      <c r="B2500" s="15" t="s">
        <v>487</v>
      </c>
      <c r="C2500" s="15" t="s">
        <v>33</v>
      </c>
      <c r="D2500" s="15" t="s">
        <v>536</v>
      </c>
      <c r="E2500" s="15" t="n">
        <v>3</v>
      </c>
      <c r="H2500" s="10"/>
      <c r="I2500" s="21"/>
      <c r="M2500" s="10"/>
      <c r="N2500" s="10"/>
      <c r="P2500" s="10"/>
      <c r="Q2500" s="22"/>
    </row>
    <row r="2501" customFormat="false" ht="15.75" hidden="false" customHeight="false" outlineLevel="0" collapsed="false">
      <c r="A2501" s="20" t="n">
        <v>46111</v>
      </c>
      <c r="B2501" s="15" t="s">
        <v>487</v>
      </c>
      <c r="C2501" s="15" t="s">
        <v>59</v>
      </c>
      <c r="D2501" s="15" t="s">
        <v>562</v>
      </c>
      <c r="E2501" s="15" t="n">
        <v>1</v>
      </c>
      <c r="H2501" s="10"/>
      <c r="I2501" s="21"/>
      <c r="M2501" s="10"/>
      <c r="N2501" s="10"/>
      <c r="P2501" s="10"/>
      <c r="Q2501" s="22"/>
    </row>
    <row r="2502" customFormat="false" ht="15.75" hidden="false" customHeight="false" outlineLevel="0" collapsed="false">
      <c r="A2502" s="20" t="n">
        <v>46111</v>
      </c>
      <c r="B2502" s="15" t="s">
        <v>487</v>
      </c>
      <c r="C2502" s="15" t="s">
        <v>75</v>
      </c>
      <c r="D2502" s="15" t="s">
        <v>560</v>
      </c>
      <c r="E2502" s="15" t="n">
        <v>1</v>
      </c>
      <c r="H2502" s="10"/>
      <c r="I2502" s="21"/>
      <c r="M2502" s="10"/>
      <c r="N2502" s="10"/>
      <c r="P2502" s="10"/>
      <c r="Q2502" s="22"/>
    </row>
    <row r="2503" customFormat="false" ht="15.75" hidden="false" customHeight="false" outlineLevel="0" collapsed="false">
      <c r="A2503" s="20" t="n">
        <v>46111</v>
      </c>
      <c r="B2503" s="15" t="s">
        <v>487</v>
      </c>
      <c r="C2503" s="15" t="s">
        <v>79</v>
      </c>
      <c r="D2503" s="15" t="s">
        <v>564</v>
      </c>
      <c r="E2503" s="15" t="n">
        <v>2</v>
      </c>
      <c r="H2503" s="10"/>
      <c r="I2503" s="21"/>
      <c r="M2503" s="10"/>
      <c r="N2503" s="10"/>
      <c r="P2503" s="10"/>
      <c r="Q2503" s="22"/>
    </row>
    <row r="2504" customFormat="false" ht="15.75" hidden="false" customHeight="false" outlineLevel="0" collapsed="false">
      <c r="A2504" s="20" t="n">
        <v>46111</v>
      </c>
      <c r="B2504" s="15" t="s">
        <v>491</v>
      </c>
      <c r="C2504" s="15" t="s">
        <v>37</v>
      </c>
      <c r="D2504" s="15" t="s">
        <v>561</v>
      </c>
      <c r="E2504" s="15" t="n">
        <v>1</v>
      </c>
      <c r="H2504" s="10"/>
      <c r="I2504" s="21"/>
      <c r="M2504" s="10"/>
      <c r="N2504" s="10"/>
      <c r="P2504" s="10"/>
      <c r="Q2504" s="22"/>
    </row>
    <row r="2505" customFormat="false" ht="15.75" hidden="false" customHeight="false" outlineLevel="0" collapsed="false">
      <c r="A2505" s="20" t="n">
        <v>46111</v>
      </c>
      <c r="B2505" s="15" t="s">
        <v>491</v>
      </c>
      <c r="C2505" s="15" t="s">
        <v>81</v>
      </c>
      <c r="D2505" s="15" t="s">
        <v>534</v>
      </c>
      <c r="E2505" s="15" t="n">
        <v>8</v>
      </c>
      <c r="H2505" s="10"/>
      <c r="I2505" s="21"/>
      <c r="M2505" s="10"/>
      <c r="N2505" s="10"/>
      <c r="P2505" s="10"/>
      <c r="Q2505" s="22"/>
    </row>
    <row r="2506" customFormat="false" ht="15.75" hidden="false" customHeight="false" outlineLevel="0" collapsed="false">
      <c r="A2506" s="20" t="n">
        <v>46111</v>
      </c>
      <c r="B2506" s="15" t="s">
        <v>491</v>
      </c>
      <c r="C2506" s="15" t="s">
        <v>75</v>
      </c>
      <c r="D2506" s="15" t="s">
        <v>560</v>
      </c>
      <c r="E2506" s="15" t="n">
        <v>1</v>
      </c>
      <c r="H2506" s="10"/>
      <c r="I2506" s="21"/>
      <c r="M2506" s="10"/>
      <c r="N2506" s="10"/>
      <c r="P2506" s="10"/>
      <c r="Q2506" s="22"/>
    </row>
    <row r="2507" customFormat="false" ht="15.75" hidden="false" customHeight="false" outlineLevel="0" collapsed="false">
      <c r="A2507" s="20" t="n">
        <v>46111</v>
      </c>
      <c r="B2507" s="15" t="s">
        <v>491</v>
      </c>
      <c r="C2507" s="15" t="s">
        <v>69</v>
      </c>
      <c r="D2507" s="15" t="s">
        <v>535</v>
      </c>
      <c r="E2507" s="15" t="n">
        <v>6</v>
      </c>
      <c r="H2507" s="10"/>
      <c r="I2507" s="21"/>
      <c r="M2507" s="10"/>
      <c r="N2507" s="10"/>
      <c r="P2507" s="10"/>
      <c r="Q2507" s="22"/>
    </row>
    <row r="2508" customFormat="false" ht="15.75" hidden="false" customHeight="false" outlineLevel="0" collapsed="false">
      <c r="A2508" s="20" t="n">
        <v>46111</v>
      </c>
      <c r="B2508" s="15" t="s">
        <v>491</v>
      </c>
      <c r="C2508" s="15" t="s">
        <v>547</v>
      </c>
      <c r="D2508" s="15" t="s">
        <v>548</v>
      </c>
      <c r="E2508" s="15" t="n">
        <v>1</v>
      </c>
      <c r="H2508" s="10"/>
      <c r="I2508" s="21"/>
      <c r="M2508" s="10"/>
      <c r="N2508" s="10"/>
      <c r="P2508" s="10"/>
      <c r="Q2508" s="22"/>
    </row>
    <row r="2509" customFormat="false" ht="15.75" hidden="false" customHeight="false" outlineLevel="0" collapsed="false">
      <c r="A2509" s="20" t="n">
        <v>46111</v>
      </c>
      <c r="B2509" s="15" t="s">
        <v>491</v>
      </c>
      <c r="C2509" s="15" t="s">
        <v>31</v>
      </c>
      <c r="D2509" s="15" t="s">
        <v>559</v>
      </c>
      <c r="E2509" s="15" t="n">
        <v>2</v>
      </c>
      <c r="H2509" s="10"/>
      <c r="I2509" s="21"/>
      <c r="M2509" s="10"/>
      <c r="N2509" s="10"/>
      <c r="P2509" s="10"/>
      <c r="Q2509" s="22"/>
    </row>
    <row r="2510" customFormat="false" ht="15.75" hidden="false" customHeight="false" outlineLevel="0" collapsed="false">
      <c r="A2510" s="20" t="n">
        <v>46111</v>
      </c>
      <c r="B2510" s="15" t="s">
        <v>491</v>
      </c>
      <c r="C2510" s="15" t="s">
        <v>545</v>
      </c>
      <c r="D2510" s="15" t="s">
        <v>546</v>
      </c>
      <c r="E2510" s="15" t="n">
        <v>2</v>
      </c>
      <c r="H2510" s="10"/>
      <c r="I2510" s="21"/>
      <c r="M2510" s="10"/>
      <c r="N2510" s="10"/>
      <c r="P2510" s="10"/>
      <c r="Q2510" s="22"/>
    </row>
    <row r="2511" customFormat="false" ht="15.75" hidden="false" customHeight="false" outlineLevel="0" collapsed="false">
      <c r="A2511" s="20" t="n">
        <v>46111</v>
      </c>
      <c r="B2511" s="15" t="s">
        <v>491</v>
      </c>
      <c r="C2511" s="15" t="s">
        <v>543</v>
      </c>
      <c r="D2511" s="15" t="s">
        <v>544</v>
      </c>
      <c r="E2511" s="15" t="n">
        <v>4</v>
      </c>
      <c r="H2511" s="10"/>
      <c r="I2511" s="21"/>
      <c r="M2511" s="10"/>
      <c r="N2511" s="10"/>
      <c r="P2511" s="10"/>
      <c r="Q2511" s="22"/>
    </row>
    <row r="2512" customFormat="false" ht="15.75" hidden="false" customHeight="false" outlineLevel="0" collapsed="false">
      <c r="A2512" s="20" t="n">
        <v>46111</v>
      </c>
      <c r="B2512" s="15" t="s">
        <v>491</v>
      </c>
      <c r="C2512" s="15" t="s">
        <v>541</v>
      </c>
      <c r="D2512" s="15" t="s">
        <v>542</v>
      </c>
      <c r="E2512" s="15" t="n">
        <v>2</v>
      </c>
      <c r="H2512" s="10"/>
      <c r="I2512" s="21"/>
      <c r="M2512" s="10"/>
      <c r="N2512" s="10"/>
      <c r="P2512" s="10"/>
      <c r="Q2512" s="22"/>
    </row>
    <row r="2513" customFormat="false" ht="15.75" hidden="false" customHeight="false" outlineLevel="0" collapsed="false">
      <c r="A2513" s="20" t="n">
        <v>46111</v>
      </c>
      <c r="B2513" s="15" t="s">
        <v>491</v>
      </c>
      <c r="C2513" s="15" t="s">
        <v>49</v>
      </c>
      <c r="D2513" s="15" t="s">
        <v>537</v>
      </c>
      <c r="E2513" s="15" t="n">
        <v>1</v>
      </c>
      <c r="H2513" s="10"/>
      <c r="I2513" s="21"/>
      <c r="M2513" s="10"/>
      <c r="N2513" s="10"/>
      <c r="P2513" s="10"/>
      <c r="Q2513" s="22"/>
    </row>
    <row r="2514" customFormat="false" ht="15.75" hidden="false" customHeight="false" outlineLevel="0" collapsed="false">
      <c r="A2514" s="20" t="n">
        <v>46111</v>
      </c>
      <c r="B2514" s="15" t="s">
        <v>491</v>
      </c>
      <c r="C2514" s="15" t="s">
        <v>33</v>
      </c>
      <c r="D2514" s="15" t="s">
        <v>536</v>
      </c>
      <c r="E2514" s="15" t="n">
        <v>5</v>
      </c>
      <c r="H2514" s="10"/>
      <c r="I2514" s="21"/>
      <c r="M2514" s="10"/>
      <c r="N2514" s="10"/>
      <c r="P2514" s="10"/>
      <c r="Q2514" s="22"/>
    </row>
    <row r="2515" customFormat="false" ht="15.75" hidden="false" customHeight="false" outlineLevel="0" collapsed="false">
      <c r="A2515" s="20" t="n">
        <v>46111</v>
      </c>
      <c r="B2515" s="15" t="s">
        <v>491</v>
      </c>
      <c r="C2515" s="15" t="s">
        <v>77</v>
      </c>
      <c r="D2515" s="15" t="s">
        <v>78</v>
      </c>
      <c r="E2515" s="15" t="n">
        <v>3</v>
      </c>
      <c r="H2515" s="10"/>
      <c r="I2515" s="21"/>
      <c r="M2515" s="10"/>
      <c r="N2515" s="10"/>
      <c r="P2515" s="10"/>
      <c r="Q2515" s="22"/>
    </row>
    <row r="2516" customFormat="false" ht="15.75" hidden="false" customHeight="false" outlineLevel="0" collapsed="false">
      <c r="A2516" s="20" t="n">
        <v>46111</v>
      </c>
      <c r="B2516" s="15" t="s">
        <v>491</v>
      </c>
      <c r="C2516" s="15" t="s">
        <v>47</v>
      </c>
      <c r="D2516" s="15" t="s">
        <v>549</v>
      </c>
      <c r="E2516" s="15" t="n">
        <v>1</v>
      </c>
      <c r="H2516" s="10"/>
      <c r="I2516" s="21"/>
      <c r="M2516" s="10"/>
      <c r="N2516" s="10"/>
      <c r="P2516" s="10"/>
      <c r="Q2516" s="22"/>
    </row>
    <row r="2517" customFormat="false" ht="15.75" hidden="false" customHeight="false" outlineLevel="0" collapsed="false">
      <c r="A2517" s="20" t="n">
        <v>46111</v>
      </c>
      <c r="B2517" s="15" t="s">
        <v>491</v>
      </c>
      <c r="C2517" s="15" t="s">
        <v>55</v>
      </c>
      <c r="D2517" s="15" t="s">
        <v>539</v>
      </c>
      <c r="E2517" s="15" t="n">
        <v>1</v>
      </c>
      <c r="H2517" s="10"/>
      <c r="I2517" s="21"/>
      <c r="M2517" s="10"/>
      <c r="N2517" s="10"/>
      <c r="P2517" s="10"/>
      <c r="Q2517" s="22"/>
    </row>
    <row r="2518" customFormat="false" ht="15.75" hidden="false" customHeight="false" outlineLevel="0" collapsed="false">
      <c r="A2518" s="20" t="n">
        <v>46111</v>
      </c>
      <c r="B2518" s="15" t="s">
        <v>491</v>
      </c>
      <c r="C2518" s="15" t="s">
        <v>59</v>
      </c>
      <c r="D2518" s="15" t="s">
        <v>562</v>
      </c>
      <c r="E2518" s="15" t="n">
        <v>1</v>
      </c>
      <c r="H2518" s="10"/>
      <c r="I2518" s="21"/>
      <c r="M2518" s="10"/>
      <c r="N2518" s="10"/>
      <c r="P2518" s="10"/>
      <c r="Q2518" s="22"/>
    </row>
    <row r="2519" customFormat="false" ht="15.75" hidden="false" customHeight="false" outlineLevel="0" collapsed="false">
      <c r="A2519" s="20" t="n">
        <v>46111</v>
      </c>
      <c r="B2519" s="15" t="s">
        <v>491</v>
      </c>
      <c r="C2519" s="15" t="s">
        <v>43</v>
      </c>
      <c r="D2519" s="15" t="s">
        <v>538</v>
      </c>
      <c r="E2519" s="15" t="n">
        <v>1</v>
      </c>
      <c r="H2519" s="10"/>
      <c r="I2519" s="21"/>
      <c r="M2519" s="10"/>
      <c r="N2519" s="10"/>
      <c r="P2519" s="10"/>
      <c r="Q2519" s="22"/>
    </row>
    <row r="2520" customFormat="false" ht="15.75" hidden="false" customHeight="false" outlineLevel="0" collapsed="false">
      <c r="A2520" s="20" t="n">
        <v>46111</v>
      </c>
      <c r="B2520" s="15" t="s">
        <v>491</v>
      </c>
      <c r="C2520" s="15" t="s">
        <v>87</v>
      </c>
      <c r="D2520" s="15" t="s">
        <v>563</v>
      </c>
      <c r="E2520" s="15" t="n">
        <v>1</v>
      </c>
      <c r="H2520" s="10"/>
      <c r="I2520" s="21"/>
      <c r="M2520" s="10"/>
      <c r="N2520" s="10"/>
      <c r="P2520" s="10"/>
      <c r="Q2520" s="22"/>
    </row>
    <row r="2521" customFormat="false" ht="15.75" hidden="false" customHeight="false" outlineLevel="0" collapsed="false">
      <c r="A2521" s="20" t="n">
        <v>46111</v>
      </c>
      <c r="B2521" s="15" t="s">
        <v>491</v>
      </c>
      <c r="C2521" s="15" t="s">
        <v>79</v>
      </c>
      <c r="D2521" s="15" t="s">
        <v>564</v>
      </c>
      <c r="E2521" s="15" t="n">
        <v>1</v>
      </c>
      <c r="H2521" s="10"/>
      <c r="I2521" s="21"/>
      <c r="M2521" s="10"/>
      <c r="N2521" s="10"/>
      <c r="P2521" s="10"/>
      <c r="Q2521" s="22"/>
    </row>
    <row r="2522" customFormat="false" ht="15.75" hidden="false" customHeight="false" outlineLevel="0" collapsed="false">
      <c r="A2522" s="20" t="n">
        <v>46111</v>
      </c>
      <c r="B2522" s="15" t="s">
        <v>494</v>
      </c>
      <c r="C2522" s="15" t="s">
        <v>25</v>
      </c>
      <c r="D2522" s="15" t="s">
        <v>26</v>
      </c>
      <c r="E2522" s="15" t="n">
        <v>3</v>
      </c>
      <c r="H2522" s="10"/>
      <c r="I2522" s="21"/>
      <c r="M2522" s="10"/>
      <c r="N2522" s="10"/>
      <c r="P2522" s="10"/>
      <c r="Q2522" s="22"/>
    </row>
    <row r="2523" customFormat="false" ht="15.75" hidden="false" customHeight="false" outlineLevel="0" collapsed="false">
      <c r="A2523" s="20" t="n">
        <v>46111</v>
      </c>
      <c r="B2523" s="15" t="s">
        <v>494</v>
      </c>
      <c r="C2523" s="15" t="s">
        <v>547</v>
      </c>
      <c r="D2523" s="15" t="s">
        <v>548</v>
      </c>
      <c r="E2523" s="15" t="n">
        <v>3</v>
      </c>
      <c r="H2523" s="10"/>
      <c r="I2523" s="21"/>
      <c r="M2523" s="10"/>
      <c r="N2523" s="10"/>
      <c r="P2523" s="10"/>
      <c r="Q2523" s="22"/>
    </row>
    <row r="2524" customFormat="false" ht="15.75" hidden="false" customHeight="false" outlineLevel="0" collapsed="false">
      <c r="A2524" s="20" t="n">
        <v>46111</v>
      </c>
      <c r="B2524" s="15" t="s">
        <v>494</v>
      </c>
      <c r="C2524" s="15" t="s">
        <v>543</v>
      </c>
      <c r="D2524" s="15" t="s">
        <v>544</v>
      </c>
      <c r="E2524" s="15" t="n">
        <v>4</v>
      </c>
      <c r="H2524" s="10"/>
      <c r="I2524" s="21"/>
      <c r="M2524" s="10"/>
      <c r="N2524" s="10"/>
      <c r="P2524" s="10"/>
      <c r="Q2524" s="22"/>
    </row>
    <row r="2525" customFormat="false" ht="15.75" hidden="false" customHeight="false" outlineLevel="0" collapsed="false">
      <c r="A2525" s="20" t="n">
        <v>46111</v>
      </c>
      <c r="B2525" s="15" t="s">
        <v>494</v>
      </c>
      <c r="C2525" s="15" t="s">
        <v>545</v>
      </c>
      <c r="D2525" s="15" t="s">
        <v>546</v>
      </c>
      <c r="E2525" s="15" t="n">
        <v>4</v>
      </c>
      <c r="H2525" s="10"/>
      <c r="I2525" s="21"/>
      <c r="M2525" s="10"/>
      <c r="N2525" s="10"/>
      <c r="P2525" s="10"/>
      <c r="Q2525" s="22"/>
    </row>
    <row r="2526" customFormat="false" ht="15.75" hidden="false" customHeight="false" outlineLevel="0" collapsed="false">
      <c r="A2526" s="20" t="n">
        <v>46111</v>
      </c>
      <c r="B2526" s="15" t="s">
        <v>494</v>
      </c>
      <c r="C2526" s="15" t="s">
        <v>555</v>
      </c>
      <c r="D2526" s="15" t="s">
        <v>556</v>
      </c>
      <c r="E2526" s="15" t="n">
        <v>3</v>
      </c>
      <c r="H2526" s="10"/>
      <c r="I2526" s="21"/>
      <c r="M2526" s="10"/>
      <c r="N2526" s="10"/>
      <c r="P2526" s="10"/>
      <c r="Q2526" s="22"/>
    </row>
    <row r="2527" customFormat="false" ht="15.75" hidden="false" customHeight="false" outlineLevel="0" collapsed="false">
      <c r="A2527" s="20" t="n">
        <v>46111</v>
      </c>
      <c r="B2527" s="15" t="s">
        <v>494</v>
      </c>
      <c r="C2527" s="15" t="s">
        <v>45</v>
      </c>
      <c r="D2527" s="15" t="s">
        <v>540</v>
      </c>
      <c r="E2527" s="15" t="n">
        <v>1</v>
      </c>
      <c r="H2527" s="10"/>
      <c r="I2527" s="21"/>
      <c r="M2527" s="10"/>
      <c r="N2527" s="10"/>
      <c r="P2527" s="10"/>
      <c r="Q2527" s="22"/>
    </row>
    <row r="2528" customFormat="false" ht="15.75" hidden="false" customHeight="false" outlineLevel="0" collapsed="false">
      <c r="A2528" s="20" t="n">
        <v>46111</v>
      </c>
      <c r="B2528" s="15" t="s">
        <v>494</v>
      </c>
      <c r="C2528" s="15" t="s">
        <v>59</v>
      </c>
      <c r="D2528" s="15" t="s">
        <v>562</v>
      </c>
      <c r="E2528" s="15" t="n">
        <v>1</v>
      </c>
      <c r="H2528" s="10"/>
      <c r="I2528" s="21"/>
      <c r="M2528" s="10"/>
      <c r="N2528" s="10"/>
      <c r="P2528" s="10"/>
      <c r="Q2528" s="22"/>
    </row>
    <row r="2529" customFormat="false" ht="15.75" hidden="false" customHeight="false" outlineLevel="0" collapsed="false">
      <c r="A2529" s="20" t="n">
        <v>46111</v>
      </c>
      <c r="B2529" s="15" t="s">
        <v>494</v>
      </c>
      <c r="C2529" s="15" t="s">
        <v>69</v>
      </c>
      <c r="D2529" s="15" t="s">
        <v>535</v>
      </c>
      <c r="E2529" s="15" t="n">
        <v>6</v>
      </c>
      <c r="H2529" s="10"/>
      <c r="I2529" s="21"/>
      <c r="M2529" s="10"/>
      <c r="N2529" s="10"/>
      <c r="P2529" s="10"/>
      <c r="Q2529" s="22"/>
    </row>
    <row r="2530" customFormat="false" ht="15.75" hidden="false" customHeight="false" outlineLevel="0" collapsed="false">
      <c r="A2530" s="20" t="n">
        <v>46111</v>
      </c>
      <c r="B2530" s="15" t="s">
        <v>494</v>
      </c>
      <c r="C2530" s="15" t="s">
        <v>81</v>
      </c>
      <c r="D2530" s="15" t="s">
        <v>534</v>
      </c>
      <c r="E2530" s="15" t="n">
        <v>10</v>
      </c>
      <c r="H2530" s="10"/>
      <c r="I2530" s="21"/>
      <c r="M2530" s="10"/>
      <c r="N2530" s="10"/>
      <c r="P2530" s="10"/>
      <c r="Q2530" s="22"/>
    </row>
    <row r="2531" customFormat="false" ht="15.75" hidden="false" customHeight="false" outlineLevel="0" collapsed="false">
      <c r="A2531" s="20" t="n">
        <v>46111</v>
      </c>
      <c r="B2531" s="15" t="s">
        <v>494</v>
      </c>
      <c r="C2531" s="15" t="s">
        <v>79</v>
      </c>
      <c r="D2531" s="15" t="s">
        <v>564</v>
      </c>
      <c r="E2531" s="15" t="n">
        <v>2</v>
      </c>
      <c r="H2531" s="10"/>
      <c r="I2531" s="21"/>
      <c r="M2531" s="10"/>
      <c r="N2531" s="10"/>
      <c r="P2531" s="10"/>
      <c r="Q2531" s="22"/>
    </row>
    <row r="2532" customFormat="false" ht="15.75" hidden="false" customHeight="false" outlineLevel="0" collapsed="false">
      <c r="A2532" s="20" t="n">
        <v>46111</v>
      </c>
      <c r="B2532" s="15" t="s">
        <v>494</v>
      </c>
      <c r="C2532" s="15" t="s">
        <v>33</v>
      </c>
      <c r="D2532" s="15" t="s">
        <v>536</v>
      </c>
      <c r="E2532" s="15" t="n">
        <v>2</v>
      </c>
      <c r="H2532" s="10"/>
      <c r="I2532" s="21"/>
      <c r="M2532" s="10"/>
      <c r="N2532" s="10"/>
      <c r="P2532" s="10"/>
      <c r="Q2532" s="22"/>
    </row>
    <row r="2533" customFormat="false" ht="15.75" hidden="false" customHeight="false" outlineLevel="0" collapsed="false">
      <c r="A2533" s="20" t="n">
        <v>46111</v>
      </c>
      <c r="B2533" s="15" t="s">
        <v>494</v>
      </c>
      <c r="C2533" s="15" t="s">
        <v>87</v>
      </c>
      <c r="D2533" s="15" t="s">
        <v>563</v>
      </c>
      <c r="E2533" s="15" t="n">
        <v>1</v>
      </c>
      <c r="H2533" s="10"/>
      <c r="I2533" s="21"/>
      <c r="M2533" s="10"/>
      <c r="N2533" s="10"/>
      <c r="P2533" s="10"/>
      <c r="Q2533" s="22"/>
    </row>
    <row r="2534" customFormat="false" ht="15.75" hidden="false" customHeight="false" outlineLevel="0" collapsed="false">
      <c r="A2534" s="20" t="n">
        <v>46111</v>
      </c>
      <c r="B2534" s="15" t="s">
        <v>494</v>
      </c>
      <c r="C2534" s="15" t="s">
        <v>77</v>
      </c>
      <c r="D2534" s="15" t="s">
        <v>78</v>
      </c>
      <c r="E2534" s="15" t="n">
        <v>2</v>
      </c>
      <c r="H2534" s="10"/>
      <c r="I2534" s="21"/>
      <c r="M2534" s="10"/>
      <c r="N2534" s="10"/>
      <c r="P2534" s="10"/>
      <c r="Q2534" s="22"/>
    </row>
    <row r="2535" customFormat="false" ht="15.75" hidden="false" customHeight="false" outlineLevel="0" collapsed="false">
      <c r="A2535" s="20" t="n">
        <v>46111</v>
      </c>
      <c r="B2535" s="15" t="s">
        <v>494</v>
      </c>
      <c r="C2535" s="15" t="s">
        <v>65</v>
      </c>
      <c r="D2535" s="15" t="s">
        <v>580</v>
      </c>
      <c r="E2535" s="15" t="n">
        <v>1</v>
      </c>
      <c r="H2535" s="10"/>
      <c r="I2535" s="21"/>
      <c r="M2535" s="10"/>
      <c r="N2535" s="10"/>
      <c r="P2535" s="10"/>
      <c r="Q2535" s="22"/>
    </row>
    <row r="2536" customFormat="false" ht="15.75" hidden="false" customHeight="false" outlineLevel="0" collapsed="false">
      <c r="A2536" s="20" t="n">
        <v>46111</v>
      </c>
      <c r="B2536" s="15" t="s">
        <v>494</v>
      </c>
      <c r="C2536" s="15" t="s">
        <v>55</v>
      </c>
      <c r="D2536" s="15" t="s">
        <v>539</v>
      </c>
      <c r="E2536" s="15" t="n">
        <v>1</v>
      </c>
      <c r="H2536" s="10"/>
      <c r="I2536" s="21"/>
      <c r="M2536" s="10"/>
      <c r="N2536" s="10"/>
      <c r="P2536" s="10"/>
      <c r="Q2536" s="22"/>
    </row>
    <row r="2537" customFormat="false" ht="15.75" hidden="false" customHeight="false" outlineLevel="0" collapsed="false">
      <c r="A2537" s="20" t="n">
        <v>46111</v>
      </c>
      <c r="B2537" s="15" t="s">
        <v>494</v>
      </c>
      <c r="C2537" s="15" t="s">
        <v>47</v>
      </c>
      <c r="D2537" s="15" t="s">
        <v>549</v>
      </c>
      <c r="E2537" s="15" t="n">
        <v>1</v>
      </c>
      <c r="H2537" s="10"/>
      <c r="I2537" s="21"/>
      <c r="M2537" s="10"/>
      <c r="N2537" s="10"/>
      <c r="P2537" s="10"/>
      <c r="Q2537" s="22"/>
    </row>
    <row r="2538" customFormat="false" ht="15.75" hidden="false" customHeight="false" outlineLevel="0" collapsed="false">
      <c r="A2538" s="20" t="n">
        <v>46111</v>
      </c>
      <c r="B2538" s="15" t="s">
        <v>494</v>
      </c>
      <c r="C2538" s="15" t="s">
        <v>565</v>
      </c>
      <c r="D2538" s="15" t="s">
        <v>566</v>
      </c>
      <c r="E2538" s="15" t="n">
        <v>2</v>
      </c>
      <c r="H2538" s="10"/>
      <c r="I2538" s="21"/>
      <c r="M2538" s="10"/>
      <c r="N2538" s="10"/>
      <c r="P2538" s="10"/>
      <c r="Q2538" s="22"/>
    </row>
    <row r="2539" customFormat="false" ht="15.75" hidden="false" customHeight="false" outlineLevel="0" collapsed="false">
      <c r="A2539" s="20" t="n">
        <v>46111</v>
      </c>
      <c r="B2539" s="15" t="s">
        <v>494</v>
      </c>
      <c r="C2539" s="15" t="s">
        <v>37</v>
      </c>
      <c r="D2539" s="15" t="s">
        <v>561</v>
      </c>
      <c r="E2539" s="15" t="n">
        <v>1</v>
      </c>
      <c r="H2539" s="10"/>
      <c r="I2539" s="21"/>
      <c r="M2539" s="10"/>
      <c r="N2539" s="10"/>
      <c r="P2539" s="10"/>
      <c r="Q2539" s="22"/>
    </row>
    <row r="2540" customFormat="false" ht="15.75" hidden="false" customHeight="false" outlineLevel="0" collapsed="false">
      <c r="A2540" s="20" t="n">
        <v>46111</v>
      </c>
      <c r="B2540" s="15" t="s">
        <v>499</v>
      </c>
      <c r="C2540" s="15" t="s">
        <v>543</v>
      </c>
      <c r="D2540" s="15" t="s">
        <v>544</v>
      </c>
      <c r="E2540" s="15" t="n">
        <v>1</v>
      </c>
      <c r="H2540" s="10"/>
      <c r="I2540" s="21"/>
      <c r="M2540" s="10"/>
      <c r="N2540" s="10"/>
      <c r="P2540" s="10"/>
      <c r="Q2540" s="22"/>
    </row>
    <row r="2541" customFormat="false" ht="15.75" hidden="false" customHeight="false" outlineLevel="0" collapsed="false">
      <c r="A2541" s="20" t="n">
        <v>46111</v>
      </c>
      <c r="B2541" s="15" t="s">
        <v>499</v>
      </c>
      <c r="C2541" s="15" t="s">
        <v>69</v>
      </c>
      <c r="D2541" s="15" t="s">
        <v>535</v>
      </c>
      <c r="E2541" s="15" t="n">
        <v>1</v>
      </c>
      <c r="H2541" s="10"/>
      <c r="I2541" s="21"/>
      <c r="M2541" s="10"/>
      <c r="N2541" s="10"/>
      <c r="P2541" s="10"/>
      <c r="Q2541" s="22"/>
    </row>
    <row r="2542" customFormat="false" ht="15.75" hidden="false" customHeight="false" outlineLevel="0" collapsed="false">
      <c r="A2542" s="20" t="n">
        <v>46111</v>
      </c>
      <c r="B2542" s="15" t="s">
        <v>499</v>
      </c>
      <c r="C2542" s="15" t="s">
        <v>33</v>
      </c>
      <c r="D2542" s="15" t="s">
        <v>536</v>
      </c>
      <c r="E2542" s="15" t="n">
        <v>2</v>
      </c>
      <c r="H2542" s="10"/>
      <c r="I2542" s="21"/>
      <c r="M2542" s="10"/>
      <c r="N2542" s="10"/>
      <c r="P2542" s="10"/>
      <c r="Q2542" s="22"/>
    </row>
    <row r="2543" customFormat="false" ht="15.75" hidden="false" customHeight="false" outlineLevel="0" collapsed="false">
      <c r="A2543" s="20" t="n">
        <v>46111</v>
      </c>
      <c r="B2543" s="15" t="s">
        <v>499</v>
      </c>
      <c r="C2543" s="15" t="s">
        <v>55</v>
      </c>
      <c r="D2543" s="15" t="s">
        <v>539</v>
      </c>
      <c r="E2543" s="15" t="n">
        <v>1</v>
      </c>
      <c r="H2543" s="10"/>
      <c r="I2543" s="21"/>
      <c r="M2543" s="10"/>
      <c r="N2543" s="10"/>
      <c r="P2543" s="10"/>
      <c r="Q2543" s="22"/>
    </row>
    <row r="2544" customFormat="false" ht="15.75" hidden="false" customHeight="false" outlineLevel="0" collapsed="false">
      <c r="A2544" s="20" t="n">
        <v>46111</v>
      </c>
      <c r="B2544" s="15" t="s">
        <v>499</v>
      </c>
      <c r="C2544" s="15" t="s">
        <v>59</v>
      </c>
      <c r="D2544" s="15" t="s">
        <v>562</v>
      </c>
      <c r="E2544" s="15" t="n">
        <v>1</v>
      </c>
      <c r="H2544" s="10"/>
      <c r="I2544" s="21"/>
      <c r="M2544" s="10"/>
      <c r="N2544" s="10"/>
      <c r="P2544" s="10"/>
      <c r="Q2544" s="22"/>
    </row>
    <row r="2545" customFormat="false" ht="15.75" hidden="false" customHeight="false" outlineLevel="0" collapsed="false">
      <c r="A2545" s="20" t="n">
        <v>46111</v>
      </c>
      <c r="B2545" s="15" t="s">
        <v>499</v>
      </c>
      <c r="C2545" s="15" t="s">
        <v>47</v>
      </c>
      <c r="D2545" s="15" t="s">
        <v>549</v>
      </c>
      <c r="E2545" s="15" t="n">
        <v>1</v>
      </c>
      <c r="H2545" s="10"/>
      <c r="I2545" s="21"/>
      <c r="M2545" s="10"/>
      <c r="N2545" s="10"/>
      <c r="P2545" s="10"/>
      <c r="Q2545" s="22"/>
    </row>
    <row r="2546" customFormat="false" ht="15.75" hidden="false" customHeight="false" outlineLevel="0" collapsed="false">
      <c r="A2546" s="20" t="n">
        <v>46111</v>
      </c>
      <c r="B2546" s="15" t="s">
        <v>499</v>
      </c>
      <c r="C2546" s="15" t="s">
        <v>75</v>
      </c>
      <c r="D2546" s="15" t="s">
        <v>560</v>
      </c>
      <c r="E2546" s="15" t="n">
        <v>1</v>
      </c>
      <c r="H2546" s="10"/>
      <c r="I2546" s="21"/>
      <c r="M2546" s="10"/>
      <c r="N2546" s="10"/>
      <c r="P2546" s="10"/>
      <c r="Q2546" s="22"/>
    </row>
    <row r="2547" customFormat="false" ht="15.75" hidden="false" customHeight="false" outlineLevel="0" collapsed="false">
      <c r="A2547" s="20" t="n">
        <v>46111</v>
      </c>
      <c r="B2547" s="15" t="s">
        <v>499</v>
      </c>
      <c r="C2547" s="15" t="s">
        <v>81</v>
      </c>
      <c r="D2547" s="15" t="s">
        <v>534</v>
      </c>
      <c r="E2547" s="15" t="n">
        <v>7</v>
      </c>
      <c r="H2547" s="10"/>
      <c r="I2547" s="21"/>
      <c r="M2547" s="10"/>
      <c r="N2547" s="10"/>
      <c r="P2547" s="10"/>
      <c r="Q2547" s="22"/>
    </row>
    <row r="2548" customFormat="false" ht="15.75" hidden="false" customHeight="false" outlineLevel="0" collapsed="false">
      <c r="A2548" s="20" t="n">
        <v>46111</v>
      </c>
      <c r="B2548" s="15" t="s">
        <v>499</v>
      </c>
      <c r="C2548" s="15" t="s">
        <v>77</v>
      </c>
      <c r="D2548" s="15" t="s">
        <v>78</v>
      </c>
      <c r="E2548" s="15" t="n">
        <v>2</v>
      </c>
      <c r="H2548" s="10"/>
      <c r="I2548" s="21"/>
      <c r="M2548" s="10"/>
      <c r="N2548" s="10"/>
      <c r="P2548" s="10"/>
      <c r="Q2548" s="22"/>
    </row>
    <row r="2549" customFormat="false" ht="15.75" hidden="false" customHeight="false" outlineLevel="0" collapsed="false">
      <c r="A2549" s="20" t="n">
        <v>46111</v>
      </c>
      <c r="B2549" s="15" t="s">
        <v>504</v>
      </c>
      <c r="C2549" s="15" t="s">
        <v>47</v>
      </c>
      <c r="D2549" s="15" t="s">
        <v>549</v>
      </c>
      <c r="E2549" s="15" t="n">
        <v>3</v>
      </c>
      <c r="H2549" s="10"/>
      <c r="I2549" s="21"/>
      <c r="M2549" s="10"/>
      <c r="N2549" s="10"/>
      <c r="P2549" s="10"/>
      <c r="Q2549" s="22"/>
    </row>
    <row r="2550" customFormat="false" ht="15.75" hidden="false" customHeight="false" outlineLevel="0" collapsed="false">
      <c r="A2550" s="20" t="n">
        <v>46111</v>
      </c>
      <c r="B2550" s="15" t="s">
        <v>504</v>
      </c>
      <c r="C2550" s="15" t="s">
        <v>55</v>
      </c>
      <c r="D2550" s="15" t="s">
        <v>539</v>
      </c>
      <c r="E2550" s="15" t="n">
        <v>6</v>
      </c>
      <c r="H2550" s="10"/>
      <c r="I2550" s="21"/>
      <c r="M2550" s="10"/>
      <c r="N2550" s="10"/>
      <c r="P2550" s="10"/>
      <c r="Q2550" s="22"/>
    </row>
    <row r="2551" customFormat="false" ht="15.75" hidden="false" customHeight="false" outlineLevel="0" collapsed="false">
      <c r="A2551" s="20" t="n">
        <v>46111</v>
      </c>
      <c r="B2551" s="15" t="s">
        <v>504</v>
      </c>
      <c r="C2551" s="15" t="s">
        <v>81</v>
      </c>
      <c r="D2551" s="15" t="s">
        <v>534</v>
      </c>
      <c r="E2551" s="15" t="n">
        <v>9</v>
      </c>
      <c r="H2551" s="10"/>
      <c r="I2551" s="21"/>
      <c r="M2551" s="10"/>
      <c r="N2551" s="10"/>
      <c r="P2551" s="10"/>
      <c r="Q2551" s="22"/>
    </row>
    <row r="2552" customFormat="false" ht="15.75" hidden="false" customHeight="false" outlineLevel="0" collapsed="false">
      <c r="A2552" s="20" t="n">
        <v>46111</v>
      </c>
      <c r="B2552" s="15" t="s">
        <v>504</v>
      </c>
      <c r="C2552" s="15" t="s">
        <v>39</v>
      </c>
      <c r="D2552" s="15" t="s">
        <v>550</v>
      </c>
      <c r="E2552" s="15" t="n">
        <v>1</v>
      </c>
      <c r="H2552" s="10"/>
      <c r="I2552" s="21"/>
      <c r="M2552" s="10"/>
      <c r="N2552" s="10"/>
      <c r="P2552" s="10"/>
      <c r="Q2552" s="22"/>
    </row>
    <row r="2553" customFormat="false" ht="15.75" hidden="false" customHeight="false" outlineLevel="0" collapsed="false">
      <c r="A2553" s="20" t="n">
        <v>46111</v>
      </c>
      <c r="B2553" s="15" t="s">
        <v>504</v>
      </c>
      <c r="C2553" s="15" t="s">
        <v>63</v>
      </c>
      <c r="D2553" s="15" t="s">
        <v>551</v>
      </c>
      <c r="E2553" s="15" t="n">
        <v>1</v>
      </c>
      <c r="H2553" s="10"/>
      <c r="I2553" s="21"/>
      <c r="M2553" s="10"/>
      <c r="N2553" s="10"/>
      <c r="P2553" s="10"/>
      <c r="Q2553" s="22"/>
    </row>
    <row r="2554" customFormat="false" ht="15.75" hidden="false" customHeight="false" outlineLevel="0" collapsed="false">
      <c r="A2554" s="20" t="n">
        <v>46111</v>
      </c>
      <c r="B2554" s="15" t="s">
        <v>504</v>
      </c>
      <c r="C2554" s="15" t="s">
        <v>17</v>
      </c>
      <c r="D2554" s="15" t="s">
        <v>554</v>
      </c>
      <c r="E2554" s="15" t="n">
        <v>1</v>
      </c>
      <c r="H2554" s="10"/>
      <c r="I2554" s="21"/>
      <c r="M2554" s="10"/>
      <c r="N2554" s="10"/>
      <c r="P2554" s="10"/>
      <c r="Q2554" s="22"/>
    </row>
    <row r="2555" customFormat="false" ht="15.75" hidden="false" customHeight="false" outlineLevel="0" collapsed="false">
      <c r="A2555" s="20" t="n">
        <v>46111</v>
      </c>
      <c r="B2555" s="15" t="s">
        <v>505</v>
      </c>
      <c r="C2555" s="15" t="s">
        <v>55</v>
      </c>
      <c r="D2555" s="15" t="s">
        <v>539</v>
      </c>
      <c r="E2555" s="15" t="n">
        <v>6</v>
      </c>
      <c r="H2555" s="10"/>
      <c r="I2555" s="21"/>
      <c r="M2555" s="10"/>
      <c r="N2555" s="10"/>
      <c r="P2555" s="10"/>
      <c r="Q2555" s="22"/>
    </row>
    <row r="2556" customFormat="false" ht="15.75" hidden="false" customHeight="false" outlineLevel="0" collapsed="false">
      <c r="A2556" s="20" t="n">
        <v>46111</v>
      </c>
      <c r="B2556" s="15" t="s">
        <v>505</v>
      </c>
      <c r="C2556" s="15" t="s">
        <v>39</v>
      </c>
      <c r="D2556" s="15" t="s">
        <v>550</v>
      </c>
      <c r="E2556" s="15" t="n">
        <v>1</v>
      </c>
      <c r="H2556" s="10"/>
      <c r="I2556" s="21"/>
      <c r="M2556" s="10"/>
      <c r="N2556" s="10"/>
      <c r="P2556" s="10"/>
      <c r="Q2556" s="22"/>
    </row>
    <row r="2557" customFormat="false" ht="15.75" hidden="false" customHeight="false" outlineLevel="0" collapsed="false">
      <c r="A2557" s="20" t="n">
        <v>46111</v>
      </c>
      <c r="B2557" s="15" t="s">
        <v>505</v>
      </c>
      <c r="C2557" s="15" t="s">
        <v>81</v>
      </c>
      <c r="D2557" s="15" t="s">
        <v>534</v>
      </c>
      <c r="E2557" s="15" t="n">
        <v>9</v>
      </c>
      <c r="H2557" s="10"/>
      <c r="I2557" s="21"/>
      <c r="M2557" s="10"/>
      <c r="N2557" s="10"/>
      <c r="P2557" s="10"/>
      <c r="Q2557" s="22"/>
    </row>
    <row r="2558" customFormat="false" ht="15.75" hidden="false" customHeight="false" outlineLevel="0" collapsed="false">
      <c r="A2558" s="20" t="n">
        <v>46111</v>
      </c>
      <c r="B2558" s="15" t="s">
        <v>505</v>
      </c>
      <c r="C2558" s="15" t="s">
        <v>47</v>
      </c>
      <c r="D2558" s="15" t="s">
        <v>549</v>
      </c>
      <c r="E2558" s="15" t="n">
        <v>3</v>
      </c>
      <c r="H2558" s="10"/>
      <c r="I2558" s="21"/>
      <c r="M2558" s="10"/>
      <c r="N2558" s="10"/>
      <c r="P2558" s="10"/>
      <c r="Q2558" s="22"/>
    </row>
    <row r="2559" customFormat="false" ht="15.75" hidden="false" customHeight="false" outlineLevel="0" collapsed="false">
      <c r="A2559" s="20" t="n">
        <v>46111</v>
      </c>
      <c r="B2559" s="15" t="s">
        <v>505</v>
      </c>
      <c r="C2559" s="15" t="s">
        <v>63</v>
      </c>
      <c r="D2559" s="15" t="s">
        <v>551</v>
      </c>
      <c r="E2559" s="15" t="n">
        <v>1</v>
      </c>
      <c r="H2559" s="10"/>
      <c r="I2559" s="21"/>
      <c r="M2559" s="10"/>
      <c r="N2559" s="10"/>
      <c r="P2559" s="10"/>
      <c r="Q2559" s="22"/>
    </row>
    <row r="2560" customFormat="false" ht="15.75" hidden="false" customHeight="false" outlineLevel="0" collapsed="false">
      <c r="A2560" s="20" t="n">
        <v>46111</v>
      </c>
      <c r="B2560" s="15" t="s">
        <v>505</v>
      </c>
      <c r="C2560" s="15" t="s">
        <v>17</v>
      </c>
      <c r="D2560" s="15" t="s">
        <v>554</v>
      </c>
      <c r="E2560" s="15" t="n">
        <v>1</v>
      </c>
      <c r="H2560" s="10"/>
      <c r="I2560" s="21"/>
      <c r="M2560" s="10"/>
      <c r="N2560" s="10"/>
      <c r="P2560" s="10"/>
      <c r="Q2560" s="22"/>
    </row>
    <row r="2561" customFormat="false" ht="15.75" hidden="false" customHeight="false" outlineLevel="0" collapsed="false">
      <c r="A2561" s="20" t="n">
        <v>46111</v>
      </c>
      <c r="B2561" s="15" t="s">
        <v>508</v>
      </c>
      <c r="C2561" s="15" t="s">
        <v>55</v>
      </c>
      <c r="D2561" s="15" t="s">
        <v>539</v>
      </c>
      <c r="E2561" s="15" t="n">
        <v>5</v>
      </c>
      <c r="H2561" s="10"/>
      <c r="I2561" s="21"/>
      <c r="M2561" s="10"/>
      <c r="N2561" s="10"/>
      <c r="P2561" s="10"/>
      <c r="Q2561" s="22"/>
    </row>
    <row r="2562" customFormat="false" ht="15.75" hidden="false" customHeight="false" outlineLevel="0" collapsed="false">
      <c r="A2562" s="20" t="n">
        <v>46111</v>
      </c>
      <c r="B2562" s="15" t="s">
        <v>508</v>
      </c>
      <c r="C2562" s="15" t="s">
        <v>81</v>
      </c>
      <c r="D2562" s="15" t="s">
        <v>534</v>
      </c>
      <c r="E2562" s="15" t="n">
        <v>9</v>
      </c>
      <c r="H2562" s="10"/>
      <c r="I2562" s="21"/>
      <c r="M2562" s="10"/>
      <c r="N2562" s="10"/>
      <c r="P2562" s="10"/>
      <c r="Q2562" s="22"/>
    </row>
    <row r="2563" customFormat="false" ht="15.75" hidden="false" customHeight="false" outlineLevel="0" collapsed="false">
      <c r="A2563" s="20" t="n">
        <v>46111</v>
      </c>
      <c r="B2563" s="15" t="s">
        <v>508</v>
      </c>
      <c r="C2563" s="15" t="s">
        <v>39</v>
      </c>
      <c r="D2563" s="15" t="s">
        <v>550</v>
      </c>
      <c r="E2563" s="15" t="n">
        <v>2</v>
      </c>
      <c r="H2563" s="10"/>
      <c r="I2563" s="21"/>
      <c r="M2563" s="10"/>
      <c r="N2563" s="10"/>
      <c r="P2563" s="10"/>
      <c r="Q2563" s="22"/>
    </row>
    <row r="2564" customFormat="false" ht="15.75" hidden="false" customHeight="false" outlineLevel="0" collapsed="false">
      <c r="A2564" s="20" t="n">
        <v>46111</v>
      </c>
      <c r="B2564" s="15" t="s">
        <v>508</v>
      </c>
      <c r="C2564" s="15" t="s">
        <v>47</v>
      </c>
      <c r="D2564" s="15" t="s">
        <v>549</v>
      </c>
      <c r="E2564" s="15" t="n">
        <v>2</v>
      </c>
      <c r="H2564" s="10"/>
      <c r="I2564" s="21"/>
      <c r="M2564" s="10"/>
      <c r="N2564" s="10"/>
      <c r="P2564" s="10"/>
      <c r="Q2564" s="22"/>
    </row>
    <row r="2565" customFormat="false" ht="15.75" hidden="false" customHeight="false" outlineLevel="0" collapsed="false">
      <c r="A2565" s="20" t="n">
        <v>46111</v>
      </c>
      <c r="B2565" s="15" t="s">
        <v>508</v>
      </c>
      <c r="C2565" s="15" t="s">
        <v>63</v>
      </c>
      <c r="D2565" s="15" t="s">
        <v>551</v>
      </c>
      <c r="E2565" s="15" t="n">
        <v>1</v>
      </c>
      <c r="H2565" s="10"/>
      <c r="I2565" s="21"/>
      <c r="M2565" s="10"/>
      <c r="N2565" s="10"/>
      <c r="P2565" s="10"/>
      <c r="Q2565" s="22"/>
    </row>
    <row r="2566" customFormat="false" ht="15.75" hidden="false" customHeight="false" outlineLevel="0" collapsed="false">
      <c r="A2566" s="20" t="n">
        <v>46111</v>
      </c>
      <c r="B2566" s="15" t="s">
        <v>524</v>
      </c>
      <c r="C2566" s="15" t="s">
        <v>69</v>
      </c>
      <c r="D2566" s="15" t="s">
        <v>535</v>
      </c>
      <c r="E2566" s="15" t="n">
        <v>6</v>
      </c>
      <c r="H2566" s="10"/>
      <c r="I2566" s="21"/>
      <c r="M2566" s="10"/>
      <c r="N2566" s="10"/>
      <c r="P2566" s="10"/>
      <c r="Q2566" s="22"/>
    </row>
    <row r="2567" customFormat="false" ht="15.75" hidden="false" customHeight="false" outlineLevel="0" collapsed="false">
      <c r="A2567" s="20" t="n">
        <v>46111</v>
      </c>
      <c r="B2567" s="15" t="s">
        <v>524</v>
      </c>
      <c r="C2567" s="15" t="s">
        <v>33</v>
      </c>
      <c r="D2567" s="15" t="s">
        <v>536</v>
      </c>
      <c r="E2567" s="15" t="n">
        <v>6</v>
      </c>
      <c r="H2567" s="10"/>
      <c r="I2567" s="21"/>
      <c r="M2567" s="10"/>
      <c r="N2567" s="10"/>
      <c r="P2567" s="10"/>
      <c r="Q2567" s="22"/>
    </row>
    <row r="2568" customFormat="false" ht="15.75" hidden="false" customHeight="false" outlineLevel="0" collapsed="false">
      <c r="A2568" s="20" t="n">
        <v>46111</v>
      </c>
      <c r="B2568" s="15" t="s">
        <v>524</v>
      </c>
      <c r="C2568" s="15" t="s">
        <v>55</v>
      </c>
      <c r="D2568" s="15" t="s">
        <v>539</v>
      </c>
      <c r="E2568" s="15" t="n">
        <v>4</v>
      </c>
      <c r="H2568" s="10"/>
      <c r="I2568" s="21"/>
      <c r="M2568" s="10"/>
      <c r="N2568" s="10"/>
      <c r="P2568" s="10"/>
      <c r="Q2568" s="22"/>
    </row>
    <row r="2569" customFormat="false" ht="15.75" hidden="false" customHeight="false" outlineLevel="0" collapsed="false">
      <c r="A2569" s="20" t="n">
        <v>46111</v>
      </c>
      <c r="B2569" s="15" t="s">
        <v>524</v>
      </c>
      <c r="C2569" s="15" t="s">
        <v>81</v>
      </c>
      <c r="D2569" s="15" t="s">
        <v>534</v>
      </c>
      <c r="E2569" s="15" t="n">
        <v>3</v>
      </c>
      <c r="H2569" s="10"/>
      <c r="I2569" s="21"/>
      <c r="M2569" s="10"/>
      <c r="N2569" s="10"/>
      <c r="P2569" s="10"/>
      <c r="Q2569" s="22"/>
    </row>
    <row r="2570" customFormat="false" ht="15.75" hidden="false" customHeight="false" outlineLevel="0" collapsed="false">
      <c r="A2570" s="20" t="n">
        <v>46111</v>
      </c>
      <c r="B2570" s="15" t="s">
        <v>524</v>
      </c>
      <c r="C2570" s="15" t="s">
        <v>37</v>
      </c>
      <c r="D2570" s="15" t="s">
        <v>561</v>
      </c>
      <c r="E2570" s="15" t="n">
        <v>1</v>
      </c>
      <c r="H2570" s="10"/>
      <c r="I2570" s="21"/>
      <c r="M2570" s="10"/>
      <c r="N2570" s="10"/>
      <c r="P2570" s="10"/>
      <c r="Q2570" s="22"/>
    </row>
    <row r="2571" customFormat="false" ht="15.75" hidden="false" customHeight="false" outlineLevel="0" collapsed="false">
      <c r="A2571" s="20" t="n">
        <v>46111</v>
      </c>
      <c r="B2571" s="15" t="s">
        <v>524</v>
      </c>
      <c r="C2571" s="15" t="s">
        <v>547</v>
      </c>
      <c r="D2571" s="15" t="s">
        <v>548</v>
      </c>
      <c r="E2571" s="15" t="n">
        <v>1</v>
      </c>
      <c r="H2571" s="10"/>
      <c r="I2571" s="21"/>
      <c r="M2571" s="10"/>
      <c r="N2571" s="10"/>
      <c r="P2571" s="10"/>
      <c r="Q2571" s="22"/>
    </row>
    <row r="2572" customFormat="false" ht="15.75" hidden="false" customHeight="false" outlineLevel="0" collapsed="false">
      <c r="A2572" s="20" t="n">
        <v>46112</v>
      </c>
      <c r="B2572" s="15" t="s">
        <v>453</v>
      </c>
      <c r="C2572" s="15" t="s">
        <v>47</v>
      </c>
      <c r="D2572" s="15" t="s">
        <v>549</v>
      </c>
      <c r="E2572" s="15" t="n">
        <v>2</v>
      </c>
      <c r="H2572" s="10"/>
      <c r="I2572" s="21"/>
      <c r="M2572" s="10"/>
      <c r="N2572" s="10"/>
      <c r="P2572" s="10"/>
      <c r="Q2572" s="22"/>
    </row>
    <row r="2573" customFormat="false" ht="15.75" hidden="false" customHeight="false" outlineLevel="0" collapsed="false">
      <c r="A2573" s="20" t="n">
        <v>46112</v>
      </c>
      <c r="B2573" s="15" t="s">
        <v>453</v>
      </c>
      <c r="C2573" s="15" t="s">
        <v>55</v>
      </c>
      <c r="D2573" s="15" t="s">
        <v>539</v>
      </c>
      <c r="E2573" s="15" t="n">
        <v>4</v>
      </c>
      <c r="H2573" s="10"/>
      <c r="I2573" s="21"/>
      <c r="M2573" s="10"/>
      <c r="N2573" s="10"/>
      <c r="P2573" s="10"/>
      <c r="Q2573" s="22"/>
    </row>
    <row r="2574" customFormat="false" ht="15.75" hidden="false" customHeight="false" outlineLevel="0" collapsed="false">
      <c r="A2574" s="20" t="n">
        <v>46112</v>
      </c>
      <c r="B2574" s="15" t="s">
        <v>453</v>
      </c>
      <c r="C2574" s="15" t="s">
        <v>81</v>
      </c>
      <c r="D2574" s="15" t="s">
        <v>534</v>
      </c>
      <c r="E2574" s="15" t="n">
        <v>8</v>
      </c>
      <c r="H2574" s="10"/>
      <c r="I2574" s="21"/>
      <c r="M2574" s="10"/>
      <c r="N2574" s="10"/>
      <c r="P2574" s="10"/>
      <c r="Q2574" s="22"/>
    </row>
    <row r="2575" customFormat="false" ht="15.75" hidden="false" customHeight="false" outlineLevel="0" collapsed="false">
      <c r="A2575" s="20" t="n">
        <v>46112</v>
      </c>
      <c r="B2575" s="15" t="s">
        <v>453</v>
      </c>
      <c r="C2575" s="15" t="s">
        <v>39</v>
      </c>
      <c r="D2575" s="15" t="s">
        <v>550</v>
      </c>
      <c r="E2575" s="15" t="n">
        <v>2</v>
      </c>
      <c r="H2575" s="10"/>
      <c r="I2575" s="21"/>
      <c r="M2575" s="10"/>
      <c r="N2575" s="10"/>
      <c r="P2575" s="10"/>
      <c r="Q2575" s="22"/>
    </row>
    <row r="2576" customFormat="false" ht="15.75" hidden="false" customHeight="false" outlineLevel="0" collapsed="false">
      <c r="A2576" s="20" t="n">
        <v>46112</v>
      </c>
      <c r="B2576" s="15" t="s">
        <v>453</v>
      </c>
      <c r="C2576" s="15" t="s">
        <v>63</v>
      </c>
      <c r="D2576" s="15" t="s">
        <v>551</v>
      </c>
      <c r="E2576" s="15" t="n">
        <v>1</v>
      </c>
      <c r="H2576" s="10"/>
      <c r="I2576" s="21"/>
      <c r="M2576" s="10"/>
      <c r="N2576" s="10"/>
      <c r="P2576" s="10"/>
      <c r="Q2576" s="22"/>
    </row>
    <row r="2577" customFormat="false" ht="15.75" hidden="false" customHeight="false" outlineLevel="0" collapsed="false">
      <c r="A2577" s="20" t="n">
        <v>46112</v>
      </c>
      <c r="B2577" s="15" t="s">
        <v>453</v>
      </c>
      <c r="C2577" s="15" t="s">
        <v>35</v>
      </c>
      <c r="D2577" s="15" t="s">
        <v>552</v>
      </c>
      <c r="E2577" s="15" t="n">
        <v>2</v>
      </c>
      <c r="H2577" s="10"/>
      <c r="I2577" s="21"/>
      <c r="M2577" s="10"/>
      <c r="N2577" s="10"/>
      <c r="P2577" s="10"/>
      <c r="Q2577" s="22"/>
    </row>
    <row r="2578" customFormat="false" ht="15.75" hidden="false" customHeight="false" outlineLevel="0" collapsed="false">
      <c r="A2578" s="20" t="n">
        <v>46112</v>
      </c>
      <c r="B2578" s="15" t="s">
        <v>467</v>
      </c>
      <c r="C2578" s="15" t="s">
        <v>55</v>
      </c>
      <c r="D2578" s="15" t="s">
        <v>539</v>
      </c>
      <c r="E2578" s="15" t="n">
        <v>6</v>
      </c>
      <c r="H2578" s="10"/>
      <c r="I2578" s="21"/>
      <c r="M2578" s="10"/>
      <c r="N2578" s="10"/>
      <c r="P2578" s="10"/>
      <c r="Q2578" s="22"/>
    </row>
    <row r="2579" customFormat="false" ht="15.75" hidden="false" customHeight="false" outlineLevel="0" collapsed="false">
      <c r="A2579" s="20" t="n">
        <v>46112</v>
      </c>
      <c r="B2579" s="15" t="s">
        <v>467</v>
      </c>
      <c r="C2579" s="15" t="s">
        <v>57</v>
      </c>
      <c r="D2579" s="15" t="s">
        <v>553</v>
      </c>
      <c r="E2579" s="15" t="n">
        <v>2</v>
      </c>
      <c r="H2579" s="10"/>
      <c r="I2579" s="21"/>
      <c r="M2579" s="10"/>
      <c r="N2579" s="10"/>
      <c r="P2579" s="10"/>
      <c r="Q2579" s="22"/>
    </row>
    <row r="2580" customFormat="false" ht="15.75" hidden="false" customHeight="false" outlineLevel="0" collapsed="false">
      <c r="A2580" s="20" t="n">
        <v>46112</v>
      </c>
      <c r="B2580" s="15" t="s">
        <v>467</v>
      </c>
      <c r="C2580" s="15" t="s">
        <v>47</v>
      </c>
      <c r="D2580" s="15" t="s">
        <v>549</v>
      </c>
      <c r="E2580" s="15" t="n">
        <v>2</v>
      </c>
      <c r="H2580" s="10"/>
      <c r="I2580" s="21"/>
      <c r="M2580" s="10"/>
      <c r="N2580" s="10"/>
      <c r="P2580" s="10"/>
      <c r="Q2580" s="22"/>
    </row>
    <row r="2581" customFormat="false" ht="15.75" hidden="false" customHeight="false" outlineLevel="0" collapsed="false">
      <c r="A2581" s="20" t="n">
        <v>46112</v>
      </c>
      <c r="B2581" s="15" t="s">
        <v>467</v>
      </c>
      <c r="C2581" s="15" t="s">
        <v>81</v>
      </c>
      <c r="D2581" s="15" t="s">
        <v>534</v>
      </c>
      <c r="E2581" s="15" t="n">
        <v>7</v>
      </c>
      <c r="H2581" s="10"/>
      <c r="I2581" s="21"/>
      <c r="M2581" s="10"/>
      <c r="N2581" s="10"/>
      <c r="P2581" s="10"/>
      <c r="Q2581" s="22"/>
    </row>
    <row r="2582" customFormat="false" ht="15.75" hidden="false" customHeight="false" outlineLevel="0" collapsed="false">
      <c r="A2582" s="20" t="n">
        <v>46112</v>
      </c>
      <c r="B2582" s="15" t="s">
        <v>467</v>
      </c>
      <c r="C2582" s="15" t="s">
        <v>49</v>
      </c>
      <c r="D2582" s="15" t="s">
        <v>537</v>
      </c>
      <c r="E2582" s="15" t="n">
        <v>2</v>
      </c>
      <c r="H2582" s="10"/>
      <c r="I2582" s="21"/>
      <c r="M2582" s="10"/>
      <c r="N2582" s="10"/>
      <c r="P2582" s="10"/>
      <c r="Q2582" s="22"/>
    </row>
    <row r="2583" customFormat="false" ht="15.75" hidden="false" customHeight="false" outlineLevel="0" collapsed="false">
      <c r="A2583" s="20" t="n">
        <v>46112</v>
      </c>
      <c r="B2583" s="15" t="s">
        <v>467</v>
      </c>
      <c r="C2583" s="15" t="s">
        <v>63</v>
      </c>
      <c r="D2583" s="15" t="s">
        <v>551</v>
      </c>
      <c r="E2583" s="15" t="n">
        <v>1</v>
      </c>
      <c r="H2583" s="10"/>
      <c r="I2583" s="21"/>
      <c r="M2583" s="10"/>
      <c r="N2583" s="10"/>
      <c r="P2583" s="10"/>
      <c r="Q2583" s="22"/>
    </row>
    <row r="2584" customFormat="false" ht="15.75" hidden="false" customHeight="false" outlineLevel="0" collapsed="false">
      <c r="A2584" s="20" t="n">
        <v>46112</v>
      </c>
      <c r="B2584" s="15" t="s">
        <v>469</v>
      </c>
      <c r="C2584" s="15" t="s">
        <v>69</v>
      </c>
      <c r="D2584" s="15" t="s">
        <v>535</v>
      </c>
      <c r="E2584" s="15" t="n">
        <v>5</v>
      </c>
      <c r="H2584" s="10"/>
      <c r="I2584" s="21"/>
      <c r="M2584" s="10"/>
      <c r="N2584" s="10"/>
      <c r="P2584" s="10"/>
      <c r="Q2584" s="22"/>
    </row>
    <row r="2585" customFormat="false" ht="15.75" hidden="false" customHeight="false" outlineLevel="0" collapsed="false">
      <c r="A2585" s="20" t="n">
        <v>46112</v>
      </c>
      <c r="B2585" s="15" t="s">
        <v>469</v>
      </c>
      <c r="C2585" s="15" t="s">
        <v>55</v>
      </c>
      <c r="D2585" s="15" t="s">
        <v>539</v>
      </c>
      <c r="E2585" s="15" t="n">
        <v>2</v>
      </c>
      <c r="H2585" s="10"/>
      <c r="I2585" s="21"/>
      <c r="M2585" s="10"/>
      <c r="N2585" s="10"/>
      <c r="P2585" s="10"/>
      <c r="Q2585" s="22"/>
    </row>
    <row r="2586" customFormat="false" ht="15.75" hidden="false" customHeight="false" outlineLevel="0" collapsed="false">
      <c r="A2586" s="20" t="n">
        <v>46112</v>
      </c>
      <c r="B2586" s="15" t="s">
        <v>469</v>
      </c>
      <c r="C2586" s="15" t="s">
        <v>33</v>
      </c>
      <c r="D2586" s="15" t="s">
        <v>536</v>
      </c>
      <c r="E2586" s="15" t="n">
        <v>5</v>
      </c>
      <c r="H2586" s="10"/>
      <c r="I2586" s="21"/>
      <c r="M2586" s="10"/>
      <c r="N2586" s="10"/>
      <c r="P2586" s="10"/>
      <c r="Q2586" s="22"/>
    </row>
    <row r="2587" customFormat="false" ht="15.75" hidden="false" customHeight="false" outlineLevel="0" collapsed="false">
      <c r="A2587" s="20" t="n">
        <v>46112</v>
      </c>
      <c r="B2587" s="15" t="s">
        <v>469</v>
      </c>
      <c r="C2587" s="15" t="s">
        <v>547</v>
      </c>
      <c r="D2587" s="15" t="s">
        <v>548</v>
      </c>
      <c r="E2587" s="15" t="n">
        <v>1</v>
      </c>
      <c r="H2587" s="10"/>
      <c r="I2587" s="21"/>
      <c r="M2587" s="10"/>
      <c r="N2587" s="10"/>
      <c r="P2587" s="10"/>
      <c r="Q2587" s="22"/>
    </row>
    <row r="2588" customFormat="false" ht="15.75" hidden="false" customHeight="false" outlineLevel="0" collapsed="false">
      <c r="A2588" s="20" t="n">
        <v>46112</v>
      </c>
      <c r="B2588" s="15" t="s">
        <v>469</v>
      </c>
      <c r="C2588" s="15" t="s">
        <v>81</v>
      </c>
      <c r="D2588" s="15" t="s">
        <v>534</v>
      </c>
      <c r="E2588" s="15" t="n">
        <v>2</v>
      </c>
      <c r="H2588" s="10"/>
      <c r="I2588" s="21"/>
      <c r="M2588" s="10"/>
      <c r="N2588" s="10"/>
      <c r="P2588" s="10"/>
      <c r="Q2588" s="22"/>
    </row>
    <row r="2589" customFormat="false" ht="15.75" hidden="false" customHeight="false" outlineLevel="0" collapsed="false">
      <c r="A2589" s="20" t="n">
        <v>46112</v>
      </c>
      <c r="B2589" s="15" t="s">
        <v>473</v>
      </c>
      <c r="C2589" s="15" t="s">
        <v>555</v>
      </c>
      <c r="D2589" s="15" t="s">
        <v>556</v>
      </c>
      <c r="E2589" s="15" t="n">
        <v>4</v>
      </c>
      <c r="H2589" s="10"/>
      <c r="I2589" s="21"/>
      <c r="M2589" s="10"/>
      <c r="N2589" s="10"/>
      <c r="P2589" s="10"/>
      <c r="Q2589" s="22"/>
    </row>
    <row r="2590" customFormat="false" ht="15.75" hidden="false" customHeight="false" outlineLevel="0" collapsed="false">
      <c r="A2590" s="20" t="n">
        <v>46112</v>
      </c>
      <c r="B2590" s="15" t="s">
        <v>473</v>
      </c>
      <c r="C2590" s="15" t="s">
        <v>11</v>
      </c>
      <c r="D2590" s="15" t="s">
        <v>572</v>
      </c>
      <c r="E2590" s="15" t="n">
        <v>4</v>
      </c>
      <c r="H2590" s="10"/>
      <c r="I2590" s="21"/>
      <c r="M2590" s="10"/>
      <c r="N2590" s="10"/>
      <c r="P2590" s="10"/>
      <c r="Q2590" s="22"/>
    </row>
    <row r="2591" customFormat="false" ht="15.75" hidden="false" customHeight="false" outlineLevel="0" collapsed="false">
      <c r="A2591" s="20" t="n">
        <v>46112</v>
      </c>
      <c r="B2591" s="15" t="s">
        <v>473</v>
      </c>
      <c r="C2591" s="15" t="s">
        <v>543</v>
      </c>
      <c r="D2591" s="15" t="s">
        <v>544</v>
      </c>
      <c r="E2591" s="15" t="n">
        <v>4</v>
      </c>
      <c r="H2591" s="10"/>
      <c r="I2591" s="21"/>
      <c r="M2591" s="10"/>
      <c r="N2591" s="10"/>
      <c r="P2591" s="10"/>
      <c r="Q2591" s="22"/>
    </row>
    <row r="2592" customFormat="false" ht="15.75" hidden="false" customHeight="false" outlineLevel="0" collapsed="false">
      <c r="A2592" s="20" t="n">
        <v>46112</v>
      </c>
      <c r="B2592" s="15" t="s">
        <v>473</v>
      </c>
      <c r="C2592" s="15" t="s">
        <v>91</v>
      </c>
      <c r="D2592" s="15" t="s">
        <v>91</v>
      </c>
      <c r="E2592" s="15" t="n">
        <v>4</v>
      </c>
      <c r="H2592" s="10"/>
      <c r="I2592" s="21"/>
      <c r="M2592" s="10"/>
      <c r="N2592" s="10"/>
      <c r="P2592" s="10"/>
      <c r="Q2592" s="22"/>
    </row>
    <row r="2593" customFormat="false" ht="15.75" hidden="false" customHeight="false" outlineLevel="0" collapsed="false">
      <c r="A2593" s="20" t="n">
        <v>46112</v>
      </c>
      <c r="B2593" s="15" t="s">
        <v>473</v>
      </c>
      <c r="C2593" s="15" t="s">
        <v>25</v>
      </c>
      <c r="D2593" s="15" t="s">
        <v>26</v>
      </c>
      <c r="E2593" s="15" t="n">
        <v>4</v>
      </c>
      <c r="H2593" s="10"/>
      <c r="I2593" s="21"/>
      <c r="M2593" s="10"/>
      <c r="N2593" s="10"/>
      <c r="P2593" s="10"/>
      <c r="Q2593" s="22"/>
    </row>
    <row r="2594" customFormat="false" ht="15.75" hidden="false" customHeight="false" outlineLevel="0" collapsed="false">
      <c r="A2594" s="20" t="n">
        <v>46112</v>
      </c>
      <c r="B2594" s="15" t="s">
        <v>477</v>
      </c>
      <c r="C2594" s="15" t="s">
        <v>69</v>
      </c>
      <c r="D2594" s="15" t="s">
        <v>535</v>
      </c>
      <c r="E2594" s="15" t="n">
        <v>3</v>
      </c>
      <c r="H2594" s="10"/>
      <c r="I2594" s="21"/>
      <c r="M2594" s="10"/>
      <c r="N2594" s="10"/>
      <c r="P2594" s="10"/>
      <c r="Q2594" s="22"/>
    </row>
    <row r="2595" customFormat="false" ht="15.75" hidden="false" customHeight="false" outlineLevel="0" collapsed="false">
      <c r="A2595" s="20" t="n">
        <v>46112</v>
      </c>
      <c r="B2595" s="15" t="s">
        <v>477</v>
      </c>
      <c r="C2595" s="15" t="s">
        <v>547</v>
      </c>
      <c r="D2595" s="15" t="s">
        <v>548</v>
      </c>
      <c r="E2595" s="15" t="n">
        <v>3</v>
      </c>
      <c r="H2595" s="10"/>
      <c r="I2595" s="21"/>
      <c r="M2595" s="10"/>
      <c r="N2595" s="10"/>
      <c r="P2595" s="10"/>
      <c r="Q2595" s="22"/>
    </row>
    <row r="2596" customFormat="false" ht="15.75" hidden="false" customHeight="false" outlineLevel="0" collapsed="false">
      <c r="A2596" s="20" t="n">
        <v>46112</v>
      </c>
      <c r="B2596" s="15" t="s">
        <v>477</v>
      </c>
      <c r="C2596" s="15" t="s">
        <v>25</v>
      </c>
      <c r="D2596" s="15" t="s">
        <v>26</v>
      </c>
      <c r="E2596" s="15" t="n">
        <v>3</v>
      </c>
      <c r="H2596" s="10"/>
      <c r="I2596" s="21"/>
      <c r="M2596" s="10"/>
      <c r="N2596" s="10"/>
      <c r="P2596" s="10"/>
      <c r="Q2596" s="22"/>
    </row>
    <row r="2597" customFormat="false" ht="15.75" hidden="false" customHeight="false" outlineLevel="0" collapsed="false">
      <c r="A2597" s="20" t="n">
        <v>46112</v>
      </c>
      <c r="B2597" s="15" t="s">
        <v>487</v>
      </c>
      <c r="C2597" s="15" t="s">
        <v>55</v>
      </c>
      <c r="D2597" s="15" t="s">
        <v>539</v>
      </c>
      <c r="E2597" s="15" t="n">
        <v>1</v>
      </c>
      <c r="H2597" s="10"/>
      <c r="I2597" s="21"/>
      <c r="M2597" s="10"/>
      <c r="N2597" s="10"/>
      <c r="P2597" s="10"/>
      <c r="Q2597" s="22"/>
    </row>
    <row r="2598" customFormat="false" ht="15.75" hidden="false" customHeight="false" outlineLevel="0" collapsed="false">
      <c r="A2598" s="20" t="n">
        <v>46112</v>
      </c>
      <c r="B2598" s="15" t="s">
        <v>487</v>
      </c>
      <c r="C2598" s="15" t="s">
        <v>81</v>
      </c>
      <c r="D2598" s="15" t="s">
        <v>534</v>
      </c>
      <c r="E2598" s="15" t="n">
        <v>9</v>
      </c>
      <c r="H2598" s="10"/>
      <c r="I2598" s="21"/>
      <c r="M2598" s="10"/>
      <c r="N2598" s="10"/>
      <c r="P2598" s="10"/>
      <c r="Q2598" s="22"/>
    </row>
    <row r="2599" customFormat="false" ht="15.75" hidden="false" customHeight="false" outlineLevel="0" collapsed="false">
      <c r="A2599" s="20" t="n">
        <v>46112</v>
      </c>
      <c r="B2599" s="15" t="s">
        <v>487</v>
      </c>
      <c r="C2599" s="15" t="s">
        <v>555</v>
      </c>
      <c r="D2599" s="15" t="s">
        <v>556</v>
      </c>
      <c r="E2599" s="15" t="n">
        <v>1</v>
      </c>
      <c r="H2599" s="10"/>
      <c r="I2599" s="21"/>
      <c r="M2599" s="10"/>
      <c r="N2599" s="10"/>
      <c r="P2599" s="10"/>
      <c r="Q2599" s="22"/>
    </row>
    <row r="2600" customFormat="false" ht="15.75" hidden="false" customHeight="false" outlineLevel="0" collapsed="false">
      <c r="A2600" s="20" t="n">
        <v>46112</v>
      </c>
      <c r="B2600" s="15" t="s">
        <v>487</v>
      </c>
      <c r="C2600" s="15" t="s">
        <v>570</v>
      </c>
      <c r="D2600" s="15" t="s">
        <v>571</v>
      </c>
      <c r="E2600" s="15" t="n">
        <v>1</v>
      </c>
      <c r="H2600" s="10"/>
      <c r="I2600" s="21"/>
      <c r="M2600" s="10"/>
      <c r="N2600" s="10"/>
      <c r="P2600" s="10"/>
      <c r="Q2600" s="22"/>
    </row>
    <row r="2601" customFormat="false" ht="15.75" hidden="false" customHeight="false" outlineLevel="0" collapsed="false">
      <c r="A2601" s="20" t="n">
        <v>46112</v>
      </c>
      <c r="B2601" s="15" t="s">
        <v>487</v>
      </c>
      <c r="C2601" s="15" t="s">
        <v>25</v>
      </c>
      <c r="D2601" s="15" t="s">
        <v>26</v>
      </c>
      <c r="E2601" s="15" t="n">
        <v>1</v>
      </c>
      <c r="H2601" s="10"/>
      <c r="I2601" s="21"/>
      <c r="M2601" s="10"/>
      <c r="N2601" s="10"/>
      <c r="P2601" s="10"/>
      <c r="Q2601" s="22"/>
    </row>
    <row r="2602" customFormat="false" ht="15.75" hidden="false" customHeight="false" outlineLevel="0" collapsed="false">
      <c r="A2602" s="20" t="n">
        <v>46112</v>
      </c>
      <c r="B2602" s="15" t="s">
        <v>487</v>
      </c>
      <c r="C2602" s="15" t="s">
        <v>91</v>
      </c>
      <c r="D2602" s="15" t="s">
        <v>91</v>
      </c>
      <c r="E2602" s="15" t="n">
        <v>2</v>
      </c>
      <c r="H2602" s="10"/>
      <c r="I2602" s="21"/>
      <c r="M2602" s="10"/>
      <c r="N2602" s="10"/>
      <c r="P2602" s="10"/>
      <c r="Q2602" s="22"/>
    </row>
    <row r="2603" customFormat="false" ht="15.75" hidden="false" customHeight="false" outlineLevel="0" collapsed="false">
      <c r="A2603" s="20" t="n">
        <v>46112</v>
      </c>
      <c r="B2603" s="15" t="s">
        <v>487</v>
      </c>
      <c r="C2603" s="15" t="s">
        <v>543</v>
      </c>
      <c r="D2603" s="15" t="s">
        <v>544</v>
      </c>
      <c r="E2603" s="15" t="n">
        <v>3</v>
      </c>
      <c r="H2603" s="10"/>
      <c r="I2603" s="21"/>
      <c r="M2603" s="10"/>
      <c r="N2603" s="10"/>
      <c r="P2603" s="10"/>
      <c r="Q2603" s="22"/>
    </row>
    <row r="2604" customFormat="false" ht="15.75" hidden="false" customHeight="false" outlineLevel="0" collapsed="false">
      <c r="A2604" s="20" t="n">
        <v>46112</v>
      </c>
      <c r="B2604" s="15" t="s">
        <v>487</v>
      </c>
      <c r="C2604" s="15" t="s">
        <v>545</v>
      </c>
      <c r="D2604" s="15" t="s">
        <v>546</v>
      </c>
      <c r="E2604" s="15" t="n">
        <v>1</v>
      </c>
      <c r="H2604" s="10"/>
      <c r="I2604" s="21"/>
      <c r="M2604" s="10"/>
      <c r="N2604" s="10"/>
      <c r="P2604" s="10"/>
      <c r="Q2604" s="22"/>
    </row>
    <row r="2605" customFormat="false" ht="15.75" hidden="false" customHeight="false" outlineLevel="0" collapsed="false">
      <c r="A2605" s="20" t="n">
        <v>46112</v>
      </c>
      <c r="B2605" s="15" t="s">
        <v>487</v>
      </c>
      <c r="C2605" s="15" t="s">
        <v>69</v>
      </c>
      <c r="D2605" s="15" t="s">
        <v>535</v>
      </c>
      <c r="E2605" s="15" t="n">
        <v>3</v>
      </c>
      <c r="H2605" s="10"/>
      <c r="I2605" s="21"/>
      <c r="M2605" s="10"/>
      <c r="N2605" s="10"/>
      <c r="P2605" s="10"/>
      <c r="Q2605" s="22"/>
    </row>
    <row r="2606" customFormat="false" ht="15.75" hidden="false" customHeight="false" outlineLevel="0" collapsed="false">
      <c r="A2606" s="20" t="n">
        <v>46112</v>
      </c>
      <c r="B2606" s="15" t="s">
        <v>487</v>
      </c>
      <c r="C2606" s="15" t="s">
        <v>77</v>
      </c>
      <c r="D2606" s="15" t="s">
        <v>78</v>
      </c>
      <c r="E2606" s="15" t="n">
        <v>3</v>
      </c>
      <c r="H2606" s="10"/>
      <c r="I2606" s="21"/>
      <c r="M2606" s="10"/>
      <c r="N2606" s="10"/>
      <c r="P2606" s="10"/>
      <c r="Q2606" s="22"/>
    </row>
    <row r="2607" customFormat="false" ht="15.75" hidden="false" customHeight="false" outlineLevel="0" collapsed="false">
      <c r="A2607" s="20" t="n">
        <v>46112</v>
      </c>
      <c r="B2607" s="15" t="s">
        <v>487</v>
      </c>
      <c r="C2607" s="15" t="s">
        <v>11</v>
      </c>
      <c r="D2607" s="15" t="s">
        <v>572</v>
      </c>
      <c r="E2607" s="15" t="n">
        <v>1</v>
      </c>
      <c r="H2607" s="10"/>
      <c r="I2607" s="21"/>
      <c r="M2607" s="10"/>
      <c r="N2607" s="10"/>
      <c r="P2607" s="10"/>
      <c r="Q2607" s="22"/>
    </row>
    <row r="2608" customFormat="false" ht="15.75" hidden="false" customHeight="false" outlineLevel="0" collapsed="false">
      <c r="A2608" s="20" t="n">
        <v>46112</v>
      </c>
      <c r="B2608" s="15" t="s">
        <v>487</v>
      </c>
      <c r="C2608" s="15" t="s">
        <v>33</v>
      </c>
      <c r="D2608" s="15" t="s">
        <v>536</v>
      </c>
      <c r="E2608" s="15" t="n">
        <v>3</v>
      </c>
      <c r="H2608" s="10"/>
      <c r="I2608" s="21"/>
      <c r="M2608" s="10"/>
      <c r="N2608" s="10"/>
      <c r="P2608" s="10"/>
      <c r="Q2608" s="22"/>
    </row>
    <row r="2609" customFormat="false" ht="15.75" hidden="false" customHeight="false" outlineLevel="0" collapsed="false">
      <c r="A2609" s="20" t="n">
        <v>46112</v>
      </c>
      <c r="B2609" s="15" t="s">
        <v>487</v>
      </c>
      <c r="C2609" s="15" t="s">
        <v>59</v>
      </c>
      <c r="D2609" s="15" t="s">
        <v>562</v>
      </c>
      <c r="E2609" s="15" t="n">
        <v>1</v>
      </c>
      <c r="H2609" s="10"/>
      <c r="I2609" s="21"/>
      <c r="M2609" s="10"/>
      <c r="N2609" s="10"/>
      <c r="P2609" s="10"/>
      <c r="Q2609" s="22"/>
    </row>
    <row r="2610" customFormat="false" ht="15.75" hidden="false" customHeight="false" outlineLevel="0" collapsed="false">
      <c r="A2610" s="20" t="n">
        <v>46112</v>
      </c>
      <c r="B2610" s="15" t="s">
        <v>487</v>
      </c>
      <c r="C2610" s="15" t="s">
        <v>75</v>
      </c>
      <c r="D2610" s="15" t="s">
        <v>560</v>
      </c>
      <c r="E2610" s="15" t="n">
        <v>1</v>
      </c>
      <c r="H2610" s="10"/>
      <c r="I2610" s="21"/>
      <c r="M2610" s="10"/>
      <c r="N2610" s="10"/>
      <c r="P2610" s="10"/>
      <c r="Q2610" s="22"/>
    </row>
    <row r="2611" customFormat="false" ht="15.75" hidden="false" customHeight="false" outlineLevel="0" collapsed="false">
      <c r="A2611" s="20" t="n">
        <v>46112</v>
      </c>
      <c r="B2611" s="15" t="s">
        <v>487</v>
      </c>
      <c r="C2611" s="15" t="s">
        <v>79</v>
      </c>
      <c r="D2611" s="15" t="s">
        <v>564</v>
      </c>
      <c r="E2611" s="15" t="n">
        <v>2</v>
      </c>
      <c r="H2611" s="10"/>
      <c r="I2611" s="21"/>
      <c r="M2611" s="10"/>
      <c r="N2611" s="10"/>
      <c r="P2611" s="10"/>
      <c r="Q2611" s="22"/>
    </row>
    <row r="2612" customFormat="false" ht="15.75" hidden="false" customHeight="false" outlineLevel="0" collapsed="false">
      <c r="A2612" s="20" t="n">
        <v>46112</v>
      </c>
      <c r="B2612" s="15" t="s">
        <v>491</v>
      </c>
      <c r="C2612" s="15" t="s">
        <v>37</v>
      </c>
      <c r="D2612" s="15" t="s">
        <v>561</v>
      </c>
      <c r="E2612" s="15" t="n">
        <v>1</v>
      </c>
      <c r="H2612" s="10"/>
      <c r="I2612" s="21"/>
      <c r="M2612" s="10"/>
      <c r="N2612" s="10"/>
      <c r="P2612" s="10"/>
      <c r="Q2612" s="22"/>
    </row>
    <row r="2613" customFormat="false" ht="15.75" hidden="false" customHeight="false" outlineLevel="0" collapsed="false">
      <c r="A2613" s="20" t="n">
        <v>46112</v>
      </c>
      <c r="B2613" s="15" t="s">
        <v>491</v>
      </c>
      <c r="C2613" s="15" t="s">
        <v>81</v>
      </c>
      <c r="D2613" s="15" t="s">
        <v>534</v>
      </c>
      <c r="E2613" s="15" t="n">
        <v>8</v>
      </c>
      <c r="H2613" s="10"/>
      <c r="I2613" s="21"/>
      <c r="M2613" s="10"/>
      <c r="N2613" s="10"/>
      <c r="P2613" s="10"/>
      <c r="Q2613" s="22"/>
    </row>
    <row r="2614" customFormat="false" ht="15.75" hidden="false" customHeight="false" outlineLevel="0" collapsed="false">
      <c r="A2614" s="20" t="n">
        <v>46112</v>
      </c>
      <c r="B2614" s="15" t="s">
        <v>491</v>
      </c>
      <c r="C2614" s="15" t="s">
        <v>75</v>
      </c>
      <c r="D2614" s="15" t="s">
        <v>560</v>
      </c>
      <c r="E2614" s="15" t="n">
        <v>1</v>
      </c>
      <c r="H2614" s="10"/>
      <c r="I2614" s="21"/>
      <c r="M2614" s="10"/>
      <c r="N2614" s="10"/>
      <c r="P2614" s="10"/>
      <c r="Q2614" s="22"/>
    </row>
    <row r="2615" customFormat="false" ht="15.75" hidden="false" customHeight="false" outlineLevel="0" collapsed="false">
      <c r="A2615" s="20" t="n">
        <v>46112</v>
      </c>
      <c r="B2615" s="15" t="s">
        <v>491</v>
      </c>
      <c r="C2615" s="15" t="s">
        <v>69</v>
      </c>
      <c r="D2615" s="15" t="s">
        <v>535</v>
      </c>
      <c r="E2615" s="15" t="n">
        <v>6</v>
      </c>
      <c r="H2615" s="10"/>
      <c r="I2615" s="21"/>
      <c r="M2615" s="10"/>
      <c r="N2615" s="10"/>
      <c r="P2615" s="10"/>
      <c r="Q2615" s="22"/>
    </row>
    <row r="2616" customFormat="false" ht="15.75" hidden="false" customHeight="false" outlineLevel="0" collapsed="false">
      <c r="A2616" s="20" t="n">
        <v>46112</v>
      </c>
      <c r="B2616" s="15" t="s">
        <v>491</v>
      </c>
      <c r="C2616" s="15" t="s">
        <v>547</v>
      </c>
      <c r="D2616" s="15" t="s">
        <v>548</v>
      </c>
      <c r="E2616" s="15" t="n">
        <v>1</v>
      </c>
      <c r="H2616" s="10"/>
      <c r="I2616" s="21"/>
      <c r="M2616" s="10"/>
      <c r="N2616" s="10"/>
      <c r="P2616" s="10"/>
      <c r="Q2616" s="22"/>
    </row>
    <row r="2617" customFormat="false" ht="15.75" hidden="false" customHeight="false" outlineLevel="0" collapsed="false">
      <c r="A2617" s="20" t="n">
        <v>46112</v>
      </c>
      <c r="B2617" s="15" t="s">
        <v>491</v>
      </c>
      <c r="C2617" s="15" t="s">
        <v>31</v>
      </c>
      <c r="D2617" s="15" t="s">
        <v>559</v>
      </c>
      <c r="E2617" s="15" t="n">
        <v>2</v>
      </c>
      <c r="H2617" s="10"/>
      <c r="I2617" s="21"/>
      <c r="M2617" s="10"/>
      <c r="N2617" s="10"/>
      <c r="P2617" s="10"/>
      <c r="Q2617" s="22"/>
    </row>
    <row r="2618" customFormat="false" ht="15.75" hidden="false" customHeight="false" outlineLevel="0" collapsed="false">
      <c r="A2618" s="20" t="n">
        <v>46112</v>
      </c>
      <c r="B2618" s="15" t="s">
        <v>491</v>
      </c>
      <c r="C2618" s="15" t="s">
        <v>545</v>
      </c>
      <c r="D2618" s="15" t="s">
        <v>546</v>
      </c>
      <c r="E2618" s="15" t="n">
        <v>2</v>
      </c>
      <c r="H2618" s="10"/>
      <c r="I2618" s="21"/>
      <c r="M2618" s="10"/>
      <c r="N2618" s="10"/>
      <c r="P2618" s="10"/>
      <c r="Q2618" s="22"/>
    </row>
    <row r="2619" customFormat="false" ht="15.75" hidden="false" customHeight="false" outlineLevel="0" collapsed="false">
      <c r="A2619" s="20" t="n">
        <v>46112</v>
      </c>
      <c r="B2619" s="15" t="s">
        <v>491</v>
      </c>
      <c r="C2619" s="15" t="s">
        <v>543</v>
      </c>
      <c r="D2619" s="15" t="s">
        <v>544</v>
      </c>
      <c r="E2619" s="15" t="n">
        <v>4</v>
      </c>
      <c r="H2619" s="10"/>
      <c r="I2619" s="21"/>
      <c r="M2619" s="10"/>
      <c r="N2619" s="10"/>
      <c r="P2619" s="10"/>
      <c r="Q2619" s="22"/>
    </row>
    <row r="2620" customFormat="false" ht="15.75" hidden="false" customHeight="false" outlineLevel="0" collapsed="false">
      <c r="A2620" s="20" t="n">
        <v>46112</v>
      </c>
      <c r="B2620" s="15" t="s">
        <v>491</v>
      </c>
      <c r="C2620" s="15" t="s">
        <v>541</v>
      </c>
      <c r="D2620" s="15" t="s">
        <v>542</v>
      </c>
      <c r="E2620" s="15" t="n">
        <v>2</v>
      </c>
      <c r="H2620" s="10"/>
      <c r="I2620" s="21"/>
      <c r="M2620" s="10"/>
      <c r="N2620" s="10"/>
      <c r="P2620" s="10"/>
      <c r="Q2620" s="22"/>
    </row>
    <row r="2621" customFormat="false" ht="15.75" hidden="false" customHeight="false" outlineLevel="0" collapsed="false">
      <c r="A2621" s="20" t="n">
        <v>46112</v>
      </c>
      <c r="B2621" s="15" t="s">
        <v>491</v>
      </c>
      <c r="C2621" s="15" t="s">
        <v>49</v>
      </c>
      <c r="D2621" s="15" t="s">
        <v>537</v>
      </c>
      <c r="E2621" s="15" t="n">
        <v>1</v>
      </c>
      <c r="H2621" s="10"/>
      <c r="I2621" s="21"/>
      <c r="M2621" s="10"/>
      <c r="N2621" s="10"/>
      <c r="P2621" s="10"/>
      <c r="Q2621" s="22"/>
    </row>
    <row r="2622" customFormat="false" ht="15.75" hidden="false" customHeight="false" outlineLevel="0" collapsed="false">
      <c r="A2622" s="20" t="n">
        <v>46112</v>
      </c>
      <c r="B2622" s="15" t="s">
        <v>491</v>
      </c>
      <c r="C2622" s="15" t="s">
        <v>33</v>
      </c>
      <c r="D2622" s="15" t="s">
        <v>536</v>
      </c>
      <c r="E2622" s="15" t="n">
        <v>5</v>
      </c>
      <c r="H2622" s="10"/>
      <c r="I2622" s="21"/>
      <c r="M2622" s="10"/>
      <c r="N2622" s="10"/>
      <c r="P2622" s="10"/>
      <c r="Q2622" s="22"/>
    </row>
    <row r="2623" customFormat="false" ht="15.75" hidden="false" customHeight="false" outlineLevel="0" collapsed="false">
      <c r="A2623" s="20" t="n">
        <v>46112</v>
      </c>
      <c r="B2623" s="15" t="s">
        <v>491</v>
      </c>
      <c r="C2623" s="15" t="s">
        <v>77</v>
      </c>
      <c r="D2623" s="15" t="s">
        <v>78</v>
      </c>
      <c r="E2623" s="15" t="n">
        <v>3</v>
      </c>
      <c r="H2623" s="10"/>
      <c r="I2623" s="21"/>
      <c r="M2623" s="10"/>
      <c r="N2623" s="10"/>
      <c r="P2623" s="10"/>
      <c r="Q2623" s="22"/>
    </row>
    <row r="2624" customFormat="false" ht="15.75" hidden="false" customHeight="false" outlineLevel="0" collapsed="false">
      <c r="A2624" s="20" t="n">
        <v>46112</v>
      </c>
      <c r="B2624" s="15" t="s">
        <v>491</v>
      </c>
      <c r="C2624" s="15" t="s">
        <v>47</v>
      </c>
      <c r="D2624" s="15" t="s">
        <v>549</v>
      </c>
      <c r="E2624" s="15" t="n">
        <v>1</v>
      </c>
      <c r="H2624" s="10"/>
      <c r="I2624" s="21"/>
      <c r="M2624" s="10"/>
      <c r="N2624" s="10"/>
      <c r="P2624" s="10"/>
      <c r="Q2624" s="22"/>
    </row>
    <row r="2625" customFormat="false" ht="15.75" hidden="false" customHeight="false" outlineLevel="0" collapsed="false">
      <c r="A2625" s="20" t="n">
        <v>46112</v>
      </c>
      <c r="B2625" s="15" t="s">
        <v>491</v>
      </c>
      <c r="C2625" s="15" t="s">
        <v>55</v>
      </c>
      <c r="D2625" s="15" t="s">
        <v>539</v>
      </c>
      <c r="E2625" s="15" t="n">
        <v>1</v>
      </c>
      <c r="H2625" s="10"/>
      <c r="I2625" s="21"/>
      <c r="M2625" s="10"/>
      <c r="N2625" s="10"/>
      <c r="P2625" s="10"/>
      <c r="Q2625" s="22"/>
    </row>
    <row r="2626" customFormat="false" ht="15.75" hidden="false" customHeight="false" outlineLevel="0" collapsed="false">
      <c r="A2626" s="20" t="n">
        <v>46112</v>
      </c>
      <c r="B2626" s="15" t="s">
        <v>491</v>
      </c>
      <c r="C2626" s="15" t="s">
        <v>59</v>
      </c>
      <c r="D2626" s="15" t="s">
        <v>562</v>
      </c>
      <c r="E2626" s="15" t="n">
        <v>1</v>
      </c>
      <c r="H2626" s="10"/>
      <c r="I2626" s="21"/>
      <c r="M2626" s="10"/>
      <c r="N2626" s="10"/>
      <c r="P2626" s="10"/>
      <c r="Q2626" s="22"/>
    </row>
    <row r="2627" customFormat="false" ht="15.75" hidden="false" customHeight="false" outlineLevel="0" collapsed="false">
      <c r="A2627" s="20" t="n">
        <v>46112</v>
      </c>
      <c r="B2627" s="15" t="s">
        <v>491</v>
      </c>
      <c r="C2627" s="15" t="s">
        <v>43</v>
      </c>
      <c r="D2627" s="15" t="s">
        <v>538</v>
      </c>
      <c r="E2627" s="15" t="n">
        <v>1</v>
      </c>
      <c r="H2627" s="10"/>
      <c r="I2627" s="21"/>
      <c r="M2627" s="10"/>
      <c r="N2627" s="10"/>
      <c r="P2627" s="10"/>
      <c r="Q2627" s="22"/>
    </row>
    <row r="2628" customFormat="false" ht="15.75" hidden="false" customHeight="false" outlineLevel="0" collapsed="false">
      <c r="A2628" s="20" t="n">
        <v>46112</v>
      </c>
      <c r="B2628" s="15" t="s">
        <v>491</v>
      </c>
      <c r="C2628" s="15" t="s">
        <v>87</v>
      </c>
      <c r="D2628" s="15" t="s">
        <v>563</v>
      </c>
      <c r="E2628" s="15" t="n">
        <v>1</v>
      </c>
      <c r="H2628" s="10"/>
      <c r="I2628" s="21"/>
      <c r="M2628" s="10"/>
      <c r="N2628" s="10"/>
      <c r="P2628" s="10"/>
      <c r="Q2628" s="22"/>
    </row>
    <row r="2629" customFormat="false" ht="15.75" hidden="false" customHeight="false" outlineLevel="0" collapsed="false">
      <c r="A2629" s="20" t="n">
        <v>46112</v>
      </c>
      <c r="B2629" s="15" t="s">
        <v>491</v>
      </c>
      <c r="C2629" s="15" t="s">
        <v>79</v>
      </c>
      <c r="D2629" s="15" t="s">
        <v>564</v>
      </c>
      <c r="E2629" s="15" t="n">
        <v>1</v>
      </c>
      <c r="H2629" s="10"/>
      <c r="I2629" s="21"/>
      <c r="M2629" s="10"/>
      <c r="N2629" s="10"/>
      <c r="P2629" s="10"/>
      <c r="Q2629" s="22"/>
    </row>
    <row r="2630" customFormat="false" ht="15.75" hidden="false" customHeight="false" outlineLevel="0" collapsed="false">
      <c r="A2630" s="20" t="n">
        <v>46112</v>
      </c>
      <c r="B2630" s="15" t="s">
        <v>492</v>
      </c>
      <c r="C2630" s="15" t="s">
        <v>69</v>
      </c>
      <c r="D2630" s="15" t="s">
        <v>535</v>
      </c>
      <c r="E2630" s="15" t="n">
        <v>6</v>
      </c>
      <c r="H2630" s="10"/>
      <c r="I2630" s="21"/>
      <c r="M2630" s="10"/>
      <c r="N2630" s="10"/>
      <c r="P2630" s="10"/>
      <c r="Q2630" s="22"/>
    </row>
    <row r="2631" customFormat="false" ht="15.75" hidden="false" customHeight="false" outlineLevel="0" collapsed="false">
      <c r="A2631" s="20" t="n">
        <v>46112</v>
      </c>
      <c r="B2631" s="15" t="s">
        <v>492</v>
      </c>
      <c r="C2631" s="15" t="s">
        <v>33</v>
      </c>
      <c r="D2631" s="15" t="s">
        <v>536</v>
      </c>
      <c r="E2631" s="15" t="n">
        <v>6</v>
      </c>
      <c r="H2631" s="10"/>
      <c r="I2631" s="21"/>
      <c r="M2631" s="10"/>
      <c r="N2631" s="10"/>
      <c r="P2631" s="10"/>
      <c r="Q2631" s="22"/>
    </row>
    <row r="2632" customFormat="false" ht="15.75" hidden="false" customHeight="false" outlineLevel="0" collapsed="false">
      <c r="A2632" s="20" t="n">
        <v>46112</v>
      </c>
      <c r="B2632" s="15" t="s">
        <v>492</v>
      </c>
      <c r="C2632" s="15" t="s">
        <v>37</v>
      </c>
      <c r="D2632" s="15" t="s">
        <v>561</v>
      </c>
      <c r="E2632" s="15" t="n">
        <v>1</v>
      </c>
      <c r="H2632" s="10"/>
      <c r="I2632" s="21"/>
      <c r="M2632" s="10"/>
      <c r="N2632" s="10"/>
      <c r="P2632" s="10"/>
      <c r="Q2632" s="22"/>
    </row>
    <row r="2633" customFormat="false" ht="15.75" hidden="false" customHeight="false" outlineLevel="0" collapsed="false">
      <c r="A2633" s="20" t="n">
        <v>46112</v>
      </c>
      <c r="B2633" s="15" t="s">
        <v>492</v>
      </c>
      <c r="C2633" s="15" t="s">
        <v>55</v>
      </c>
      <c r="D2633" s="15" t="s">
        <v>539</v>
      </c>
      <c r="E2633" s="15" t="n">
        <v>2</v>
      </c>
      <c r="H2633" s="10"/>
      <c r="I2633" s="21"/>
      <c r="M2633" s="10"/>
      <c r="N2633" s="10"/>
      <c r="P2633" s="10"/>
      <c r="Q2633" s="22"/>
    </row>
    <row r="2634" customFormat="false" ht="15.75" hidden="false" customHeight="false" outlineLevel="0" collapsed="false">
      <c r="A2634" s="20" t="n">
        <v>46112</v>
      </c>
      <c r="B2634" s="15" t="s">
        <v>492</v>
      </c>
      <c r="C2634" s="15" t="s">
        <v>547</v>
      </c>
      <c r="D2634" s="15" t="s">
        <v>548</v>
      </c>
      <c r="E2634" s="15" t="n">
        <v>1</v>
      </c>
      <c r="H2634" s="10"/>
      <c r="I2634" s="21"/>
      <c r="M2634" s="10"/>
      <c r="N2634" s="10"/>
      <c r="P2634" s="10"/>
      <c r="Q2634" s="22"/>
    </row>
    <row r="2635" customFormat="false" ht="15.75" hidden="false" customHeight="false" outlineLevel="0" collapsed="false">
      <c r="A2635" s="20" t="n">
        <v>46112</v>
      </c>
      <c r="B2635" s="15" t="s">
        <v>492</v>
      </c>
      <c r="C2635" s="15" t="s">
        <v>51</v>
      </c>
      <c r="D2635" s="15" t="s">
        <v>573</v>
      </c>
      <c r="E2635" s="15" t="n">
        <v>1</v>
      </c>
      <c r="H2635" s="10"/>
      <c r="I2635" s="21"/>
      <c r="M2635" s="10"/>
      <c r="N2635" s="10"/>
      <c r="P2635" s="10"/>
      <c r="Q2635" s="22"/>
    </row>
    <row r="2636" customFormat="false" ht="15.75" hidden="false" customHeight="false" outlineLevel="0" collapsed="false">
      <c r="A2636" s="20" t="n">
        <v>46112</v>
      </c>
      <c r="B2636" s="15" t="s">
        <v>492</v>
      </c>
      <c r="C2636" s="15" t="s">
        <v>81</v>
      </c>
      <c r="D2636" s="15" t="s">
        <v>534</v>
      </c>
      <c r="E2636" s="15" t="n">
        <v>1</v>
      </c>
      <c r="H2636" s="10"/>
      <c r="I2636" s="21"/>
      <c r="M2636" s="10"/>
      <c r="N2636" s="10"/>
      <c r="P2636" s="10"/>
      <c r="Q2636" s="22"/>
    </row>
    <row r="2637" customFormat="false" ht="15.75" hidden="false" customHeight="false" outlineLevel="0" collapsed="false">
      <c r="A2637" s="20" t="n">
        <v>46112</v>
      </c>
      <c r="B2637" s="15" t="s">
        <v>496</v>
      </c>
      <c r="C2637" s="15" t="s">
        <v>81</v>
      </c>
      <c r="D2637" s="15" t="s">
        <v>534</v>
      </c>
      <c r="E2637" s="15" t="n">
        <v>7</v>
      </c>
      <c r="H2637" s="10"/>
      <c r="I2637" s="21"/>
      <c r="M2637" s="10"/>
      <c r="N2637" s="10"/>
      <c r="P2637" s="10"/>
      <c r="Q2637" s="22"/>
    </row>
    <row r="2638" customFormat="false" ht="15.75" hidden="false" customHeight="false" outlineLevel="0" collapsed="false">
      <c r="A2638" s="20" t="n">
        <v>46112</v>
      </c>
      <c r="B2638" s="15" t="s">
        <v>496</v>
      </c>
      <c r="C2638" s="15" t="s">
        <v>47</v>
      </c>
      <c r="D2638" s="15" t="s">
        <v>549</v>
      </c>
      <c r="E2638" s="15" t="n">
        <v>4</v>
      </c>
      <c r="H2638" s="10"/>
      <c r="I2638" s="21"/>
      <c r="M2638" s="10"/>
      <c r="N2638" s="10"/>
      <c r="P2638" s="10"/>
      <c r="Q2638" s="22"/>
    </row>
    <row r="2639" customFormat="false" ht="15.75" hidden="false" customHeight="false" outlineLevel="0" collapsed="false">
      <c r="A2639" s="20" t="n">
        <v>46112</v>
      </c>
      <c r="B2639" s="15" t="s">
        <v>496</v>
      </c>
      <c r="C2639" s="15" t="s">
        <v>55</v>
      </c>
      <c r="D2639" s="15" t="s">
        <v>539</v>
      </c>
      <c r="E2639" s="15" t="n">
        <v>2</v>
      </c>
      <c r="H2639" s="10"/>
      <c r="I2639" s="21"/>
      <c r="M2639" s="10"/>
      <c r="N2639" s="10"/>
      <c r="P2639" s="10"/>
      <c r="Q2639" s="22"/>
    </row>
    <row r="2640" customFormat="false" ht="15.75" hidden="false" customHeight="false" outlineLevel="0" collapsed="false">
      <c r="A2640" s="20" t="n">
        <v>46112</v>
      </c>
      <c r="B2640" s="15" t="s">
        <v>496</v>
      </c>
      <c r="C2640" s="15" t="s">
        <v>567</v>
      </c>
      <c r="D2640" s="15" t="s">
        <v>568</v>
      </c>
      <c r="E2640" s="15" t="n">
        <v>3</v>
      </c>
      <c r="H2640" s="10"/>
      <c r="I2640" s="21"/>
      <c r="M2640" s="10"/>
      <c r="N2640" s="10"/>
      <c r="P2640" s="10"/>
      <c r="Q2640" s="22"/>
    </row>
    <row r="2641" customFormat="false" ht="15.75" hidden="false" customHeight="false" outlineLevel="0" collapsed="false">
      <c r="A2641" s="20" t="n">
        <v>46112</v>
      </c>
      <c r="B2641" s="15" t="s">
        <v>496</v>
      </c>
      <c r="C2641" s="15" t="s">
        <v>545</v>
      </c>
      <c r="D2641" s="15" t="s">
        <v>546</v>
      </c>
      <c r="E2641" s="15" t="n">
        <v>3</v>
      </c>
      <c r="H2641" s="10"/>
      <c r="I2641" s="21"/>
      <c r="M2641" s="10"/>
      <c r="N2641" s="10"/>
      <c r="P2641" s="10"/>
      <c r="Q2641" s="22"/>
    </row>
    <row r="2642" customFormat="false" ht="15.75" hidden="false" customHeight="false" outlineLevel="0" collapsed="false">
      <c r="A2642" s="20" t="n">
        <v>46112</v>
      </c>
      <c r="B2642" s="15" t="s">
        <v>496</v>
      </c>
      <c r="C2642" s="15" t="s">
        <v>547</v>
      </c>
      <c r="D2642" s="15" t="s">
        <v>548</v>
      </c>
      <c r="E2642" s="15" t="n">
        <v>1</v>
      </c>
      <c r="H2642" s="10"/>
      <c r="I2642" s="21"/>
      <c r="M2642" s="10"/>
      <c r="N2642" s="10"/>
      <c r="P2642" s="10"/>
      <c r="Q2642" s="22"/>
    </row>
    <row r="2643" customFormat="false" ht="15.75" hidden="false" customHeight="false" outlineLevel="0" collapsed="false">
      <c r="A2643" s="20" t="n">
        <v>46112</v>
      </c>
      <c r="B2643" s="15" t="s">
        <v>496</v>
      </c>
      <c r="C2643" s="15" t="s">
        <v>555</v>
      </c>
      <c r="D2643" s="15" t="s">
        <v>556</v>
      </c>
      <c r="E2643" s="15" t="n">
        <v>4</v>
      </c>
      <c r="H2643" s="10"/>
      <c r="I2643" s="21"/>
      <c r="M2643" s="10"/>
      <c r="N2643" s="10"/>
      <c r="P2643" s="10"/>
      <c r="Q2643" s="22"/>
    </row>
    <row r="2644" customFormat="false" ht="15.75" hidden="false" customHeight="false" outlineLevel="0" collapsed="false">
      <c r="A2644" s="20" t="n">
        <v>46112</v>
      </c>
      <c r="B2644" s="15" t="s">
        <v>496</v>
      </c>
      <c r="C2644" s="15" t="s">
        <v>541</v>
      </c>
      <c r="D2644" s="15" t="s">
        <v>542</v>
      </c>
      <c r="E2644" s="15" t="n">
        <v>4</v>
      </c>
      <c r="H2644" s="10"/>
      <c r="I2644" s="21"/>
      <c r="M2644" s="10"/>
      <c r="N2644" s="10"/>
      <c r="P2644" s="10"/>
      <c r="Q2644" s="22"/>
    </row>
    <row r="2645" customFormat="false" ht="15.75" hidden="false" customHeight="false" outlineLevel="0" collapsed="false">
      <c r="A2645" s="20" t="n">
        <v>46112</v>
      </c>
      <c r="B2645" s="15" t="s">
        <v>496</v>
      </c>
      <c r="C2645" s="15" t="s">
        <v>45</v>
      </c>
      <c r="D2645" s="15" t="s">
        <v>540</v>
      </c>
      <c r="E2645" s="15" t="n">
        <v>1</v>
      </c>
      <c r="H2645" s="10"/>
      <c r="I2645" s="21"/>
      <c r="M2645" s="10"/>
      <c r="N2645" s="10"/>
      <c r="P2645" s="10"/>
      <c r="Q2645" s="22"/>
    </row>
    <row r="2646" customFormat="false" ht="15.75" hidden="false" customHeight="false" outlineLevel="0" collapsed="false">
      <c r="A2646" s="20" t="n">
        <v>46112</v>
      </c>
      <c r="B2646" s="15" t="s">
        <v>496</v>
      </c>
      <c r="C2646" s="15" t="s">
        <v>37</v>
      </c>
      <c r="D2646" s="15" t="s">
        <v>561</v>
      </c>
      <c r="E2646" s="15" t="n">
        <v>1</v>
      </c>
      <c r="H2646" s="10"/>
      <c r="I2646" s="21"/>
      <c r="M2646" s="10"/>
      <c r="N2646" s="10"/>
      <c r="P2646" s="10"/>
      <c r="Q2646" s="22"/>
    </row>
    <row r="2647" customFormat="false" ht="15.75" hidden="false" customHeight="false" outlineLevel="0" collapsed="false">
      <c r="A2647" s="20" t="n">
        <v>46112</v>
      </c>
      <c r="B2647" s="15" t="s">
        <v>496</v>
      </c>
      <c r="C2647" s="15" t="s">
        <v>543</v>
      </c>
      <c r="D2647" s="15" t="s">
        <v>544</v>
      </c>
      <c r="E2647" s="15" t="n">
        <v>4</v>
      </c>
      <c r="H2647" s="10"/>
      <c r="I2647" s="21"/>
      <c r="M2647" s="10"/>
      <c r="N2647" s="10"/>
      <c r="P2647" s="10"/>
      <c r="Q2647" s="22"/>
    </row>
    <row r="2648" customFormat="false" ht="15.75" hidden="false" customHeight="false" outlineLevel="0" collapsed="false">
      <c r="A2648" s="20" t="n">
        <v>46112</v>
      </c>
      <c r="B2648" s="15" t="s">
        <v>496</v>
      </c>
      <c r="C2648" s="15" t="s">
        <v>69</v>
      </c>
      <c r="D2648" s="15" t="s">
        <v>535</v>
      </c>
      <c r="E2648" s="15" t="n">
        <v>2</v>
      </c>
      <c r="H2648" s="10"/>
      <c r="I2648" s="21"/>
      <c r="M2648" s="10"/>
      <c r="N2648" s="10"/>
      <c r="P2648" s="10"/>
      <c r="Q2648" s="22"/>
    </row>
    <row r="2649" customFormat="false" ht="15.75" hidden="false" customHeight="false" outlineLevel="0" collapsed="false">
      <c r="A2649" s="20" t="n">
        <v>46112</v>
      </c>
      <c r="B2649" s="15" t="s">
        <v>496</v>
      </c>
      <c r="C2649" s="15" t="s">
        <v>77</v>
      </c>
      <c r="D2649" s="15" t="s">
        <v>78</v>
      </c>
      <c r="E2649" s="15" t="n">
        <v>2</v>
      </c>
      <c r="H2649" s="10"/>
      <c r="I2649" s="21"/>
      <c r="M2649" s="10"/>
      <c r="N2649" s="10"/>
      <c r="P2649" s="10"/>
      <c r="Q2649" s="22"/>
    </row>
    <row r="2650" customFormat="false" ht="15.75" hidden="false" customHeight="false" outlineLevel="0" collapsed="false">
      <c r="A2650" s="20" t="n">
        <v>46112</v>
      </c>
      <c r="B2650" s="15" t="s">
        <v>496</v>
      </c>
      <c r="C2650" s="15" t="s">
        <v>59</v>
      </c>
      <c r="D2650" s="15" t="s">
        <v>562</v>
      </c>
      <c r="E2650" s="15" t="n">
        <v>2</v>
      </c>
      <c r="H2650" s="10"/>
      <c r="I2650" s="21"/>
      <c r="M2650" s="10"/>
      <c r="N2650" s="10"/>
      <c r="P2650" s="10"/>
      <c r="Q2650" s="22"/>
    </row>
    <row r="2651" customFormat="false" ht="15.75" hidden="false" customHeight="false" outlineLevel="0" collapsed="false">
      <c r="A2651" s="20" t="n">
        <v>46112</v>
      </c>
      <c r="B2651" s="15" t="s">
        <v>496</v>
      </c>
      <c r="C2651" s="15" t="s">
        <v>33</v>
      </c>
      <c r="D2651" s="15" t="s">
        <v>536</v>
      </c>
      <c r="E2651" s="15" t="n">
        <v>2</v>
      </c>
      <c r="H2651" s="10"/>
      <c r="I2651" s="21"/>
      <c r="M2651" s="10"/>
      <c r="N2651" s="10"/>
      <c r="P2651" s="10"/>
      <c r="Q2651" s="22"/>
    </row>
    <row r="2652" customFormat="false" ht="15.75" hidden="false" customHeight="false" outlineLevel="0" collapsed="false">
      <c r="A2652" s="20" t="n">
        <v>46112</v>
      </c>
      <c r="B2652" s="15" t="s">
        <v>496</v>
      </c>
      <c r="C2652" s="15" t="s">
        <v>79</v>
      </c>
      <c r="D2652" s="15" t="s">
        <v>564</v>
      </c>
      <c r="E2652" s="15" t="n">
        <v>1</v>
      </c>
      <c r="H2652" s="10"/>
      <c r="I2652" s="21"/>
      <c r="M2652" s="10"/>
      <c r="N2652" s="10"/>
      <c r="P2652" s="10"/>
      <c r="Q2652" s="22"/>
    </row>
    <row r="2653" customFormat="false" ht="15.75" hidden="false" customHeight="false" outlineLevel="0" collapsed="false">
      <c r="A2653" s="20" t="n">
        <v>46112</v>
      </c>
      <c r="B2653" s="15" t="s">
        <v>496</v>
      </c>
      <c r="C2653" s="15" t="s">
        <v>65</v>
      </c>
      <c r="D2653" s="15" t="s">
        <v>580</v>
      </c>
      <c r="E2653" s="15" t="n">
        <v>1</v>
      </c>
      <c r="H2653" s="10"/>
      <c r="I2653" s="21"/>
      <c r="M2653" s="10"/>
      <c r="N2653" s="10"/>
      <c r="P2653" s="10"/>
      <c r="Q2653" s="22"/>
    </row>
    <row r="2654" customFormat="false" ht="15.75" hidden="false" customHeight="false" outlineLevel="0" collapsed="false">
      <c r="A2654" s="20" t="n">
        <v>46112</v>
      </c>
      <c r="B2654" s="15" t="s">
        <v>500</v>
      </c>
      <c r="C2654" s="15" t="s">
        <v>81</v>
      </c>
      <c r="D2654" s="15" t="s">
        <v>534</v>
      </c>
      <c r="E2654" s="15" t="n">
        <v>7</v>
      </c>
      <c r="H2654" s="10"/>
      <c r="I2654" s="21"/>
      <c r="M2654" s="10"/>
      <c r="N2654" s="10"/>
      <c r="P2654" s="10"/>
      <c r="Q2654" s="22"/>
    </row>
    <row r="2655" customFormat="false" ht="15.75" hidden="false" customHeight="false" outlineLevel="0" collapsed="false">
      <c r="A2655" s="20" t="n">
        <v>46112</v>
      </c>
      <c r="B2655" s="15" t="s">
        <v>500</v>
      </c>
      <c r="C2655" s="15" t="s">
        <v>543</v>
      </c>
      <c r="D2655" s="15" t="s">
        <v>544</v>
      </c>
      <c r="E2655" s="15" t="n">
        <v>1</v>
      </c>
      <c r="H2655" s="10"/>
      <c r="I2655" s="21"/>
      <c r="M2655" s="10"/>
      <c r="N2655" s="10"/>
      <c r="P2655" s="10"/>
      <c r="Q2655" s="22"/>
    </row>
    <row r="2656" customFormat="false" ht="15.75" hidden="false" customHeight="false" outlineLevel="0" collapsed="false">
      <c r="A2656" s="20" t="n">
        <v>46112</v>
      </c>
      <c r="B2656" s="15" t="s">
        <v>500</v>
      </c>
      <c r="C2656" s="15" t="s">
        <v>55</v>
      </c>
      <c r="D2656" s="15" t="s">
        <v>539</v>
      </c>
      <c r="E2656" s="15" t="n">
        <v>1</v>
      </c>
      <c r="H2656" s="10"/>
      <c r="I2656" s="21"/>
      <c r="M2656" s="10"/>
      <c r="N2656" s="10"/>
      <c r="P2656" s="10"/>
      <c r="Q2656" s="22"/>
    </row>
    <row r="2657" customFormat="false" ht="15.75" hidden="false" customHeight="false" outlineLevel="0" collapsed="false">
      <c r="A2657" s="20" t="n">
        <v>46112</v>
      </c>
      <c r="B2657" s="15" t="s">
        <v>500</v>
      </c>
      <c r="C2657" s="15" t="s">
        <v>59</v>
      </c>
      <c r="D2657" s="15" t="s">
        <v>562</v>
      </c>
      <c r="E2657" s="15" t="n">
        <v>1</v>
      </c>
      <c r="H2657" s="10"/>
      <c r="I2657" s="21"/>
      <c r="M2657" s="10"/>
      <c r="N2657" s="10"/>
      <c r="P2657" s="10"/>
      <c r="Q2657" s="22"/>
    </row>
    <row r="2658" customFormat="false" ht="15.75" hidden="false" customHeight="false" outlineLevel="0" collapsed="false">
      <c r="A2658" s="20" t="n">
        <v>46112</v>
      </c>
      <c r="B2658" s="15" t="s">
        <v>500</v>
      </c>
      <c r="C2658" s="15" t="s">
        <v>47</v>
      </c>
      <c r="D2658" s="15" t="s">
        <v>549</v>
      </c>
      <c r="E2658" s="15" t="n">
        <v>1</v>
      </c>
      <c r="H2658" s="10"/>
      <c r="I2658" s="21"/>
      <c r="M2658" s="10"/>
      <c r="N2658" s="10"/>
      <c r="P2658" s="10"/>
      <c r="Q2658" s="22"/>
    </row>
    <row r="2659" customFormat="false" ht="15.75" hidden="false" customHeight="false" outlineLevel="0" collapsed="false">
      <c r="A2659" s="20" t="n">
        <v>46112</v>
      </c>
      <c r="B2659" s="15" t="s">
        <v>500</v>
      </c>
      <c r="C2659" s="15" t="s">
        <v>69</v>
      </c>
      <c r="D2659" s="15" t="s">
        <v>535</v>
      </c>
      <c r="E2659" s="15" t="n">
        <v>1</v>
      </c>
      <c r="H2659" s="10"/>
      <c r="I2659" s="21"/>
      <c r="M2659" s="10"/>
      <c r="N2659" s="10"/>
      <c r="P2659" s="10"/>
      <c r="Q2659" s="22"/>
    </row>
    <row r="2660" customFormat="false" ht="15.75" hidden="false" customHeight="false" outlineLevel="0" collapsed="false">
      <c r="A2660" s="20" t="n">
        <v>46112</v>
      </c>
      <c r="B2660" s="15" t="s">
        <v>500</v>
      </c>
      <c r="C2660" s="15" t="s">
        <v>33</v>
      </c>
      <c r="D2660" s="15" t="s">
        <v>536</v>
      </c>
      <c r="E2660" s="15" t="n">
        <v>2</v>
      </c>
      <c r="H2660" s="10"/>
      <c r="I2660" s="21"/>
      <c r="M2660" s="10"/>
      <c r="N2660" s="10"/>
      <c r="P2660" s="10"/>
      <c r="Q2660" s="22"/>
    </row>
    <row r="2661" customFormat="false" ht="15.75" hidden="false" customHeight="false" outlineLevel="0" collapsed="false">
      <c r="A2661" s="20" t="n">
        <v>46112</v>
      </c>
      <c r="B2661" s="15" t="s">
        <v>500</v>
      </c>
      <c r="C2661" s="15" t="s">
        <v>77</v>
      </c>
      <c r="D2661" s="15" t="s">
        <v>78</v>
      </c>
      <c r="E2661" s="15" t="n">
        <v>2</v>
      </c>
      <c r="H2661" s="10"/>
      <c r="I2661" s="21"/>
      <c r="M2661" s="10"/>
      <c r="N2661" s="10"/>
      <c r="P2661" s="10"/>
      <c r="Q2661" s="22"/>
    </row>
    <row r="2662" customFormat="false" ht="15.75" hidden="false" customHeight="false" outlineLevel="0" collapsed="false">
      <c r="A2662" s="20" t="n">
        <v>46112</v>
      </c>
      <c r="B2662" s="15" t="s">
        <v>500</v>
      </c>
      <c r="C2662" s="15" t="s">
        <v>75</v>
      </c>
      <c r="D2662" s="15" t="s">
        <v>560</v>
      </c>
      <c r="E2662" s="15" t="n">
        <v>1</v>
      </c>
      <c r="H2662" s="10"/>
      <c r="I2662" s="21"/>
      <c r="M2662" s="10"/>
      <c r="N2662" s="10"/>
      <c r="P2662" s="10"/>
      <c r="Q2662" s="22"/>
    </row>
    <row r="2663" customFormat="false" ht="15.75" hidden="false" customHeight="false" outlineLevel="0" collapsed="false">
      <c r="A2663" s="20" t="n">
        <v>46112</v>
      </c>
      <c r="B2663" s="15" t="s">
        <v>504</v>
      </c>
      <c r="C2663" s="15" t="s">
        <v>47</v>
      </c>
      <c r="D2663" s="15" t="s">
        <v>549</v>
      </c>
      <c r="E2663" s="15" t="n">
        <v>3</v>
      </c>
      <c r="H2663" s="10"/>
      <c r="I2663" s="21"/>
      <c r="M2663" s="10"/>
      <c r="N2663" s="10"/>
      <c r="P2663" s="10"/>
      <c r="Q2663" s="22"/>
    </row>
    <row r="2664" customFormat="false" ht="15.75" hidden="false" customHeight="false" outlineLevel="0" collapsed="false">
      <c r="A2664" s="20" t="n">
        <v>46112</v>
      </c>
      <c r="B2664" s="15" t="s">
        <v>504</v>
      </c>
      <c r="C2664" s="15" t="s">
        <v>55</v>
      </c>
      <c r="D2664" s="15" t="s">
        <v>539</v>
      </c>
      <c r="E2664" s="15" t="n">
        <v>6</v>
      </c>
      <c r="H2664" s="10"/>
      <c r="I2664" s="21"/>
      <c r="M2664" s="10"/>
      <c r="N2664" s="10"/>
      <c r="P2664" s="10"/>
      <c r="Q2664" s="22"/>
    </row>
    <row r="2665" customFormat="false" ht="15.75" hidden="false" customHeight="false" outlineLevel="0" collapsed="false">
      <c r="A2665" s="20" t="n">
        <v>46112</v>
      </c>
      <c r="B2665" s="15" t="s">
        <v>504</v>
      </c>
      <c r="C2665" s="15" t="s">
        <v>81</v>
      </c>
      <c r="D2665" s="15" t="s">
        <v>534</v>
      </c>
      <c r="E2665" s="15" t="n">
        <v>9</v>
      </c>
      <c r="H2665" s="10"/>
      <c r="I2665" s="21"/>
      <c r="M2665" s="10"/>
      <c r="N2665" s="10"/>
      <c r="P2665" s="10"/>
      <c r="Q2665" s="22"/>
    </row>
    <row r="2666" customFormat="false" ht="15.75" hidden="false" customHeight="false" outlineLevel="0" collapsed="false">
      <c r="A2666" s="20" t="n">
        <v>46112</v>
      </c>
      <c r="B2666" s="15" t="s">
        <v>504</v>
      </c>
      <c r="C2666" s="15" t="s">
        <v>39</v>
      </c>
      <c r="D2666" s="15" t="s">
        <v>550</v>
      </c>
      <c r="E2666" s="15" t="n">
        <v>1</v>
      </c>
      <c r="H2666" s="10"/>
      <c r="I2666" s="21"/>
      <c r="M2666" s="10"/>
      <c r="N2666" s="10"/>
      <c r="P2666" s="10"/>
      <c r="Q2666" s="22"/>
    </row>
    <row r="2667" customFormat="false" ht="15.75" hidden="false" customHeight="false" outlineLevel="0" collapsed="false">
      <c r="A2667" s="20" t="n">
        <v>46112</v>
      </c>
      <c r="B2667" s="15" t="s">
        <v>504</v>
      </c>
      <c r="C2667" s="15" t="s">
        <v>63</v>
      </c>
      <c r="D2667" s="15" t="s">
        <v>551</v>
      </c>
      <c r="E2667" s="15" t="n">
        <v>1</v>
      </c>
      <c r="H2667" s="10"/>
      <c r="I2667" s="21"/>
      <c r="M2667" s="10"/>
      <c r="N2667" s="10"/>
      <c r="P2667" s="10"/>
      <c r="Q2667" s="22"/>
    </row>
    <row r="2668" customFormat="false" ht="15.75" hidden="false" customHeight="false" outlineLevel="0" collapsed="false">
      <c r="A2668" s="20" t="n">
        <v>46112</v>
      </c>
      <c r="B2668" s="15" t="s">
        <v>504</v>
      </c>
      <c r="C2668" s="15" t="s">
        <v>17</v>
      </c>
      <c r="D2668" s="15" t="s">
        <v>554</v>
      </c>
      <c r="E2668" s="15" t="n">
        <v>1</v>
      </c>
      <c r="H2668" s="10"/>
      <c r="I2668" s="21"/>
      <c r="M2668" s="10"/>
      <c r="N2668" s="10"/>
      <c r="P2668" s="10"/>
      <c r="Q2668" s="22"/>
    </row>
    <row r="2669" customFormat="false" ht="15.75" hidden="false" customHeight="false" outlineLevel="0" collapsed="false">
      <c r="A2669" s="20" t="n">
        <v>46112</v>
      </c>
      <c r="B2669" s="15" t="s">
        <v>505</v>
      </c>
      <c r="C2669" s="15" t="s">
        <v>55</v>
      </c>
      <c r="D2669" s="15" t="s">
        <v>539</v>
      </c>
      <c r="E2669" s="15" t="n">
        <v>6</v>
      </c>
      <c r="H2669" s="10"/>
      <c r="I2669" s="21"/>
      <c r="M2669" s="10"/>
      <c r="N2669" s="10"/>
      <c r="P2669" s="10"/>
      <c r="Q2669" s="22"/>
    </row>
    <row r="2670" customFormat="false" ht="15.75" hidden="false" customHeight="false" outlineLevel="0" collapsed="false">
      <c r="A2670" s="20" t="n">
        <v>46112</v>
      </c>
      <c r="B2670" s="15" t="s">
        <v>505</v>
      </c>
      <c r="C2670" s="15" t="s">
        <v>39</v>
      </c>
      <c r="D2670" s="15" t="s">
        <v>550</v>
      </c>
      <c r="E2670" s="15" t="n">
        <v>1</v>
      </c>
      <c r="H2670" s="10"/>
      <c r="I2670" s="21"/>
      <c r="M2670" s="10"/>
      <c r="N2670" s="10"/>
      <c r="P2670" s="10"/>
      <c r="Q2670" s="22"/>
    </row>
    <row r="2671" customFormat="false" ht="15.75" hidden="false" customHeight="false" outlineLevel="0" collapsed="false">
      <c r="A2671" s="20" t="n">
        <v>46112</v>
      </c>
      <c r="B2671" s="15" t="s">
        <v>505</v>
      </c>
      <c r="C2671" s="15" t="s">
        <v>81</v>
      </c>
      <c r="D2671" s="15" t="s">
        <v>534</v>
      </c>
      <c r="E2671" s="15" t="n">
        <v>9</v>
      </c>
      <c r="H2671" s="10"/>
      <c r="I2671" s="21"/>
      <c r="M2671" s="10"/>
      <c r="N2671" s="10"/>
      <c r="P2671" s="10"/>
      <c r="Q2671" s="22"/>
    </row>
    <row r="2672" customFormat="false" ht="15.75" hidden="false" customHeight="false" outlineLevel="0" collapsed="false">
      <c r="A2672" s="20" t="n">
        <v>46112</v>
      </c>
      <c r="B2672" s="15" t="s">
        <v>505</v>
      </c>
      <c r="C2672" s="15" t="s">
        <v>47</v>
      </c>
      <c r="D2672" s="15" t="s">
        <v>549</v>
      </c>
      <c r="E2672" s="15" t="n">
        <v>3</v>
      </c>
      <c r="H2672" s="10"/>
      <c r="I2672" s="21"/>
      <c r="M2672" s="10"/>
      <c r="N2672" s="10"/>
      <c r="P2672" s="10"/>
      <c r="Q2672" s="22"/>
    </row>
    <row r="2673" customFormat="false" ht="15.75" hidden="false" customHeight="false" outlineLevel="0" collapsed="false">
      <c r="A2673" s="20" t="n">
        <v>46112</v>
      </c>
      <c r="B2673" s="15" t="s">
        <v>505</v>
      </c>
      <c r="C2673" s="15" t="s">
        <v>63</v>
      </c>
      <c r="D2673" s="15" t="s">
        <v>551</v>
      </c>
      <c r="E2673" s="15" t="n">
        <v>1</v>
      </c>
      <c r="H2673" s="10"/>
      <c r="I2673" s="21"/>
      <c r="M2673" s="10"/>
      <c r="N2673" s="10"/>
      <c r="P2673" s="10"/>
      <c r="Q2673" s="22"/>
    </row>
    <row r="2674" customFormat="false" ht="15.75" hidden="false" customHeight="false" outlineLevel="0" collapsed="false">
      <c r="A2674" s="20" t="n">
        <v>46112</v>
      </c>
      <c r="B2674" s="15" t="s">
        <v>505</v>
      </c>
      <c r="C2674" s="15" t="s">
        <v>17</v>
      </c>
      <c r="D2674" s="15" t="s">
        <v>554</v>
      </c>
      <c r="E2674" s="15" t="n">
        <v>1</v>
      </c>
      <c r="H2674" s="10"/>
      <c r="I2674" s="21"/>
      <c r="M2674" s="10"/>
      <c r="N2674" s="10"/>
      <c r="P2674" s="10"/>
      <c r="Q2674" s="22"/>
    </row>
    <row r="2675" customFormat="false" ht="15.75" hidden="false" customHeight="false" outlineLevel="0" collapsed="false">
      <c r="A2675" s="20" t="n">
        <v>46112</v>
      </c>
      <c r="B2675" s="15" t="s">
        <v>508</v>
      </c>
      <c r="C2675" s="15" t="s">
        <v>55</v>
      </c>
      <c r="D2675" s="15" t="s">
        <v>539</v>
      </c>
      <c r="E2675" s="15" t="n">
        <v>5</v>
      </c>
      <c r="H2675" s="10"/>
      <c r="I2675" s="21"/>
      <c r="M2675" s="10"/>
      <c r="N2675" s="10"/>
      <c r="P2675" s="10"/>
      <c r="Q2675" s="22"/>
    </row>
    <row r="2676" customFormat="false" ht="15.75" hidden="false" customHeight="false" outlineLevel="0" collapsed="false">
      <c r="A2676" s="20" t="n">
        <v>46112</v>
      </c>
      <c r="B2676" s="15" t="s">
        <v>508</v>
      </c>
      <c r="C2676" s="15" t="s">
        <v>81</v>
      </c>
      <c r="D2676" s="15" t="s">
        <v>534</v>
      </c>
      <c r="E2676" s="15" t="n">
        <v>9</v>
      </c>
      <c r="H2676" s="10"/>
      <c r="I2676" s="21"/>
      <c r="M2676" s="10"/>
      <c r="N2676" s="10"/>
      <c r="P2676" s="10"/>
      <c r="Q2676" s="22"/>
    </row>
    <row r="2677" customFormat="false" ht="15.75" hidden="false" customHeight="false" outlineLevel="0" collapsed="false">
      <c r="A2677" s="20" t="n">
        <v>46112</v>
      </c>
      <c r="B2677" s="15" t="s">
        <v>508</v>
      </c>
      <c r="C2677" s="15" t="s">
        <v>39</v>
      </c>
      <c r="D2677" s="15" t="s">
        <v>550</v>
      </c>
      <c r="E2677" s="15" t="n">
        <v>2</v>
      </c>
      <c r="H2677" s="10"/>
      <c r="I2677" s="21"/>
      <c r="M2677" s="10"/>
      <c r="N2677" s="10"/>
      <c r="P2677" s="10"/>
      <c r="Q2677" s="22"/>
    </row>
    <row r="2678" customFormat="false" ht="15.75" hidden="false" customHeight="false" outlineLevel="0" collapsed="false">
      <c r="A2678" s="20" t="n">
        <v>46112</v>
      </c>
      <c r="B2678" s="15" t="s">
        <v>508</v>
      </c>
      <c r="C2678" s="15" t="s">
        <v>47</v>
      </c>
      <c r="D2678" s="15" t="s">
        <v>549</v>
      </c>
      <c r="E2678" s="15" t="n">
        <v>2</v>
      </c>
      <c r="H2678" s="10"/>
      <c r="I2678" s="21"/>
      <c r="M2678" s="10"/>
      <c r="N2678" s="10"/>
      <c r="P2678" s="10"/>
      <c r="Q2678" s="22"/>
    </row>
    <row r="2679" customFormat="false" ht="15.75" hidden="false" customHeight="false" outlineLevel="0" collapsed="false">
      <c r="A2679" s="20" t="n">
        <v>46112</v>
      </c>
      <c r="B2679" s="15" t="s">
        <v>508</v>
      </c>
      <c r="C2679" s="15" t="s">
        <v>63</v>
      </c>
      <c r="D2679" s="15" t="s">
        <v>551</v>
      </c>
      <c r="E2679" s="15" t="n">
        <v>1</v>
      </c>
      <c r="H2679" s="10"/>
      <c r="I2679" s="21"/>
      <c r="M2679" s="10"/>
      <c r="N2679" s="10"/>
      <c r="P2679" s="10"/>
      <c r="Q2679" s="22"/>
    </row>
    <row r="2680" customFormat="false" ht="15.75" hidden="false" customHeight="false" outlineLevel="0" collapsed="false">
      <c r="A2680" s="20" t="n">
        <v>46114</v>
      </c>
      <c r="B2680" s="15" t="s">
        <v>453</v>
      </c>
      <c r="C2680" s="15" t="s">
        <v>47</v>
      </c>
      <c r="D2680" s="15" t="s">
        <v>549</v>
      </c>
      <c r="E2680" s="15" t="n">
        <v>2</v>
      </c>
      <c r="H2680" s="10"/>
      <c r="I2680" s="21"/>
      <c r="M2680" s="10"/>
      <c r="N2680" s="10"/>
      <c r="P2680" s="10"/>
      <c r="Q2680" s="22"/>
    </row>
    <row r="2681" customFormat="false" ht="15.75" hidden="false" customHeight="false" outlineLevel="0" collapsed="false">
      <c r="A2681" s="20" t="n">
        <v>46114</v>
      </c>
      <c r="B2681" s="15" t="s">
        <v>453</v>
      </c>
      <c r="C2681" s="15" t="s">
        <v>55</v>
      </c>
      <c r="D2681" s="15" t="s">
        <v>539</v>
      </c>
      <c r="E2681" s="15" t="n">
        <v>4</v>
      </c>
      <c r="H2681" s="10"/>
      <c r="I2681" s="21"/>
      <c r="M2681" s="10"/>
      <c r="N2681" s="10"/>
      <c r="P2681" s="10"/>
      <c r="Q2681" s="22"/>
    </row>
    <row r="2682" customFormat="false" ht="15.75" hidden="false" customHeight="false" outlineLevel="0" collapsed="false">
      <c r="A2682" s="20" t="n">
        <v>46114</v>
      </c>
      <c r="B2682" s="15" t="s">
        <v>453</v>
      </c>
      <c r="C2682" s="15" t="s">
        <v>81</v>
      </c>
      <c r="D2682" s="15" t="s">
        <v>534</v>
      </c>
      <c r="E2682" s="15" t="n">
        <v>8</v>
      </c>
      <c r="H2682" s="10"/>
      <c r="I2682" s="21"/>
      <c r="M2682" s="10"/>
      <c r="N2682" s="10"/>
      <c r="P2682" s="10"/>
      <c r="Q2682" s="22"/>
    </row>
    <row r="2683" customFormat="false" ht="15.75" hidden="false" customHeight="false" outlineLevel="0" collapsed="false">
      <c r="A2683" s="20" t="n">
        <v>46114</v>
      </c>
      <c r="B2683" s="15" t="s">
        <v>453</v>
      </c>
      <c r="C2683" s="15" t="s">
        <v>39</v>
      </c>
      <c r="D2683" s="15" t="s">
        <v>550</v>
      </c>
      <c r="E2683" s="15" t="n">
        <v>2</v>
      </c>
      <c r="H2683" s="10"/>
      <c r="I2683" s="21"/>
      <c r="M2683" s="10"/>
      <c r="N2683" s="10"/>
      <c r="P2683" s="10"/>
      <c r="Q2683" s="22"/>
    </row>
    <row r="2684" customFormat="false" ht="15.75" hidden="false" customHeight="false" outlineLevel="0" collapsed="false">
      <c r="A2684" s="20" t="n">
        <v>46114</v>
      </c>
      <c r="B2684" s="15" t="s">
        <v>453</v>
      </c>
      <c r="C2684" s="15" t="s">
        <v>63</v>
      </c>
      <c r="D2684" s="15" t="s">
        <v>551</v>
      </c>
      <c r="E2684" s="15" t="n">
        <v>1</v>
      </c>
      <c r="H2684" s="10"/>
      <c r="I2684" s="21"/>
      <c r="M2684" s="10"/>
      <c r="N2684" s="10"/>
      <c r="P2684" s="10"/>
      <c r="Q2684" s="22"/>
    </row>
    <row r="2685" customFormat="false" ht="15.75" hidden="false" customHeight="false" outlineLevel="0" collapsed="false">
      <c r="A2685" s="20" t="n">
        <v>46114</v>
      </c>
      <c r="B2685" s="15" t="s">
        <v>453</v>
      </c>
      <c r="C2685" s="15" t="s">
        <v>35</v>
      </c>
      <c r="D2685" s="15" t="s">
        <v>552</v>
      </c>
      <c r="E2685" s="15" t="n">
        <v>2</v>
      </c>
      <c r="H2685" s="10"/>
      <c r="I2685" s="21"/>
      <c r="M2685" s="10"/>
      <c r="N2685" s="10"/>
      <c r="P2685" s="10"/>
      <c r="Q2685" s="22"/>
    </row>
    <row r="2686" customFormat="false" ht="15.75" hidden="false" customHeight="false" outlineLevel="0" collapsed="false">
      <c r="A2686" s="20" t="n">
        <v>46114</v>
      </c>
      <c r="B2686" s="15" t="s">
        <v>467</v>
      </c>
      <c r="C2686" s="15" t="s">
        <v>55</v>
      </c>
      <c r="D2686" s="15" t="s">
        <v>539</v>
      </c>
      <c r="E2686" s="15" t="n">
        <v>6</v>
      </c>
      <c r="H2686" s="10"/>
      <c r="I2686" s="21"/>
      <c r="M2686" s="10"/>
      <c r="N2686" s="10"/>
      <c r="P2686" s="10"/>
      <c r="Q2686" s="22"/>
    </row>
    <row r="2687" customFormat="false" ht="15.75" hidden="false" customHeight="false" outlineLevel="0" collapsed="false">
      <c r="A2687" s="20" t="n">
        <v>46114</v>
      </c>
      <c r="B2687" s="15" t="s">
        <v>467</v>
      </c>
      <c r="C2687" s="15" t="s">
        <v>57</v>
      </c>
      <c r="D2687" s="15" t="s">
        <v>553</v>
      </c>
      <c r="E2687" s="15" t="n">
        <v>2</v>
      </c>
      <c r="H2687" s="10"/>
      <c r="I2687" s="21"/>
      <c r="M2687" s="10"/>
      <c r="N2687" s="10"/>
      <c r="P2687" s="10"/>
      <c r="Q2687" s="22"/>
    </row>
    <row r="2688" customFormat="false" ht="15.75" hidden="false" customHeight="false" outlineLevel="0" collapsed="false">
      <c r="A2688" s="20" t="n">
        <v>46114</v>
      </c>
      <c r="B2688" s="15" t="s">
        <v>467</v>
      </c>
      <c r="C2688" s="15" t="s">
        <v>47</v>
      </c>
      <c r="D2688" s="15" t="s">
        <v>549</v>
      </c>
      <c r="E2688" s="15" t="n">
        <v>2</v>
      </c>
      <c r="H2688" s="10"/>
      <c r="I2688" s="21"/>
      <c r="M2688" s="10"/>
      <c r="N2688" s="10"/>
      <c r="P2688" s="10"/>
      <c r="Q2688" s="22"/>
    </row>
    <row r="2689" customFormat="false" ht="15.75" hidden="false" customHeight="false" outlineLevel="0" collapsed="false">
      <c r="A2689" s="20" t="n">
        <v>46114</v>
      </c>
      <c r="B2689" s="15" t="s">
        <v>467</v>
      </c>
      <c r="C2689" s="15" t="s">
        <v>81</v>
      </c>
      <c r="D2689" s="15" t="s">
        <v>534</v>
      </c>
      <c r="E2689" s="15" t="n">
        <v>7</v>
      </c>
      <c r="H2689" s="10"/>
      <c r="I2689" s="21"/>
      <c r="M2689" s="10"/>
      <c r="N2689" s="10"/>
      <c r="P2689" s="10"/>
      <c r="Q2689" s="22"/>
    </row>
    <row r="2690" customFormat="false" ht="15.75" hidden="false" customHeight="false" outlineLevel="0" collapsed="false">
      <c r="A2690" s="20" t="n">
        <v>46114</v>
      </c>
      <c r="B2690" s="15" t="s">
        <v>467</v>
      </c>
      <c r="C2690" s="15" t="s">
        <v>49</v>
      </c>
      <c r="D2690" s="15" t="s">
        <v>537</v>
      </c>
      <c r="E2690" s="15" t="n">
        <v>2</v>
      </c>
      <c r="H2690" s="10"/>
      <c r="I2690" s="21"/>
      <c r="M2690" s="10"/>
      <c r="N2690" s="10"/>
      <c r="P2690" s="10"/>
      <c r="Q2690" s="22"/>
    </row>
    <row r="2691" customFormat="false" ht="15.75" hidden="false" customHeight="false" outlineLevel="0" collapsed="false">
      <c r="A2691" s="20" t="n">
        <v>46114</v>
      </c>
      <c r="B2691" s="15" t="s">
        <v>467</v>
      </c>
      <c r="C2691" s="15" t="s">
        <v>63</v>
      </c>
      <c r="D2691" s="15" t="s">
        <v>551</v>
      </c>
      <c r="E2691" s="15" t="n">
        <v>1</v>
      </c>
      <c r="H2691" s="10"/>
      <c r="I2691" s="21"/>
      <c r="M2691" s="10"/>
      <c r="N2691" s="10"/>
      <c r="P2691" s="10"/>
      <c r="Q2691" s="22"/>
    </row>
    <row r="2692" customFormat="false" ht="15.75" hidden="false" customHeight="false" outlineLevel="0" collapsed="false">
      <c r="A2692" s="20" t="n">
        <v>46114</v>
      </c>
      <c r="B2692" s="15" t="s">
        <v>469</v>
      </c>
      <c r="C2692" s="15" t="s">
        <v>69</v>
      </c>
      <c r="D2692" s="15" t="s">
        <v>535</v>
      </c>
      <c r="E2692" s="15" t="n">
        <v>5</v>
      </c>
      <c r="H2692" s="10"/>
      <c r="I2692" s="21"/>
      <c r="M2692" s="10"/>
      <c r="N2692" s="10"/>
      <c r="P2692" s="10"/>
      <c r="Q2692" s="22"/>
    </row>
    <row r="2693" customFormat="false" ht="15.75" hidden="false" customHeight="false" outlineLevel="0" collapsed="false">
      <c r="A2693" s="20" t="n">
        <v>46114</v>
      </c>
      <c r="B2693" s="15" t="s">
        <v>469</v>
      </c>
      <c r="C2693" s="15" t="s">
        <v>55</v>
      </c>
      <c r="D2693" s="15" t="s">
        <v>539</v>
      </c>
      <c r="E2693" s="15" t="n">
        <v>2</v>
      </c>
      <c r="H2693" s="10"/>
      <c r="I2693" s="21"/>
      <c r="M2693" s="10"/>
      <c r="N2693" s="10"/>
      <c r="P2693" s="10"/>
      <c r="Q2693" s="22"/>
    </row>
    <row r="2694" customFormat="false" ht="15.75" hidden="false" customHeight="false" outlineLevel="0" collapsed="false">
      <c r="A2694" s="20" t="n">
        <v>46114</v>
      </c>
      <c r="B2694" s="15" t="s">
        <v>469</v>
      </c>
      <c r="C2694" s="15" t="s">
        <v>33</v>
      </c>
      <c r="D2694" s="15" t="s">
        <v>536</v>
      </c>
      <c r="E2694" s="15" t="n">
        <v>5</v>
      </c>
      <c r="H2694" s="10"/>
      <c r="I2694" s="21"/>
      <c r="M2694" s="10"/>
      <c r="N2694" s="10"/>
      <c r="P2694" s="10"/>
      <c r="Q2694" s="22"/>
    </row>
    <row r="2695" customFormat="false" ht="15.75" hidden="false" customHeight="false" outlineLevel="0" collapsed="false">
      <c r="A2695" s="20" t="n">
        <v>46114</v>
      </c>
      <c r="B2695" s="15" t="s">
        <v>469</v>
      </c>
      <c r="C2695" s="15" t="s">
        <v>547</v>
      </c>
      <c r="D2695" s="15" t="s">
        <v>548</v>
      </c>
      <c r="E2695" s="15" t="n">
        <v>1</v>
      </c>
      <c r="H2695" s="10"/>
      <c r="I2695" s="21"/>
      <c r="M2695" s="10"/>
      <c r="N2695" s="10"/>
      <c r="P2695" s="10"/>
      <c r="Q2695" s="22"/>
    </row>
    <row r="2696" customFormat="false" ht="15.75" hidden="false" customHeight="false" outlineLevel="0" collapsed="false">
      <c r="A2696" s="20" t="n">
        <v>46114</v>
      </c>
      <c r="B2696" s="15" t="s">
        <v>469</v>
      </c>
      <c r="C2696" s="15" t="s">
        <v>81</v>
      </c>
      <c r="D2696" s="15" t="s">
        <v>534</v>
      </c>
      <c r="E2696" s="15" t="n">
        <v>2</v>
      </c>
      <c r="H2696" s="10"/>
      <c r="I2696" s="21"/>
      <c r="M2696" s="10"/>
      <c r="N2696" s="10"/>
      <c r="P2696" s="10"/>
      <c r="Q2696" s="22"/>
    </row>
    <row r="2697" customFormat="false" ht="15.75" hidden="false" customHeight="false" outlineLevel="0" collapsed="false">
      <c r="A2697" s="20" t="n">
        <v>46114</v>
      </c>
      <c r="B2697" s="15" t="s">
        <v>473</v>
      </c>
      <c r="C2697" s="15" t="s">
        <v>555</v>
      </c>
      <c r="D2697" s="15" t="s">
        <v>556</v>
      </c>
      <c r="E2697" s="15" t="n">
        <v>4</v>
      </c>
      <c r="H2697" s="10"/>
      <c r="I2697" s="21"/>
      <c r="M2697" s="10"/>
      <c r="N2697" s="10"/>
      <c r="P2697" s="10"/>
      <c r="Q2697" s="22"/>
    </row>
    <row r="2698" customFormat="false" ht="15.75" hidden="false" customHeight="false" outlineLevel="0" collapsed="false">
      <c r="A2698" s="20" t="n">
        <v>46114</v>
      </c>
      <c r="B2698" s="15" t="s">
        <v>473</v>
      </c>
      <c r="C2698" s="15" t="s">
        <v>11</v>
      </c>
      <c r="D2698" s="15" t="s">
        <v>572</v>
      </c>
      <c r="E2698" s="15" t="n">
        <v>4</v>
      </c>
      <c r="H2698" s="10"/>
      <c r="I2698" s="21"/>
      <c r="M2698" s="10"/>
      <c r="N2698" s="10"/>
      <c r="P2698" s="10"/>
      <c r="Q2698" s="22"/>
    </row>
    <row r="2699" customFormat="false" ht="15.75" hidden="false" customHeight="false" outlineLevel="0" collapsed="false">
      <c r="A2699" s="20" t="n">
        <v>46114</v>
      </c>
      <c r="B2699" s="15" t="s">
        <v>473</v>
      </c>
      <c r="C2699" s="15" t="s">
        <v>543</v>
      </c>
      <c r="D2699" s="15" t="s">
        <v>544</v>
      </c>
      <c r="E2699" s="15" t="n">
        <v>4</v>
      </c>
      <c r="H2699" s="10"/>
      <c r="I2699" s="21"/>
      <c r="M2699" s="10"/>
      <c r="N2699" s="10"/>
      <c r="P2699" s="10"/>
      <c r="Q2699" s="22"/>
    </row>
    <row r="2700" customFormat="false" ht="15.75" hidden="false" customHeight="false" outlineLevel="0" collapsed="false">
      <c r="A2700" s="20" t="n">
        <v>46114</v>
      </c>
      <c r="B2700" s="15" t="s">
        <v>473</v>
      </c>
      <c r="C2700" s="15" t="s">
        <v>91</v>
      </c>
      <c r="D2700" s="15" t="s">
        <v>91</v>
      </c>
      <c r="E2700" s="15" t="n">
        <v>4</v>
      </c>
      <c r="H2700" s="10"/>
      <c r="I2700" s="21"/>
      <c r="M2700" s="10"/>
      <c r="N2700" s="10"/>
      <c r="P2700" s="10"/>
      <c r="Q2700" s="22"/>
    </row>
    <row r="2701" customFormat="false" ht="15.75" hidden="false" customHeight="false" outlineLevel="0" collapsed="false">
      <c r="A2701" s="20" t="n">
        <v>46114</v>
      </c>
      <c r="B2701" s="15" t="s">
        <v>473</v>
      </c>
      <c r="C2701" s="15" t="s">
        <v>25</v>
      </c>
      <c r="D2701" s="15" t="s">
        <v>26</v>
      </c>
      <c r="E2701" s="15" t="n">
        <v>4</v>
      </c>
      <c r="H2701" s="10"/>
      <c r="I2701" s="21"/>
      <c r="M2701" s="10"/>
      <c r="N2701" s="10"/>
      <c r="P2701" s="10"/>
      <c r="Q2701" s="22"/>
    </row>
    <row r="2702" customFormat="false" ht="15.75" hidden="false" customHeight="false" outlineLevel="0" collapsed="false">
      <c r="A2702" s="20" t="n">
        <v>46114</v>
      </c>
      <c r="B2702" s="15" t="s">
        <v>477</v>
      </c>
      <c r="C2702" s="15" t="s">
        <v>69</v>
      </c>
      <c r="D2702" s="15" t="s">
        <v>535</v>
      </c>
      <c r="E2702" s="15" t="n">
        <v>3</v>
      </c>
      <c r="H2702" s="10"/>
      <c r="I2702" s="21"/>
      <c r="M2702" s="10"/>
      <c r="N2702" s="10"/>
      <c r="P2702" s="10"/>
      <c r="Q2702" s="22"/>
    </row>
    <row r="2703" customFormat="false" ht="15.75" hidden="false" customHeight="false" outlineLevel="0" collapsed="false">
      <c r="A2703" s="20" t="n">
        <v>46114</v>
      </c>
      <c r="B2703" s="15" t="s">
        <v>477</v>
      </c>
      <c r="C2703" s="15" t="s">
        <v>547</v>
      </c>
      <c r="D2703" s="15" t="s">
        <v>548</v>
      </c>
      <c r="E2703" s="15" t="n">
        <v>3</v>
      </c>
      <c r="H2703" s="10"/>
      <c r="I2703" s="21"/>
      <c r="M2703" s="10"/>
      <c r="N2703" s="10"/>
      <c r="P2703" s="10"/>
      <c r="Q2703" s="22"/>
    </row>
    <row r="2704" customFormat="false" ht="15.75" hidden="false" customHeight="false" outlineLevel="0" collapsed="false">
      <c r="A2704" s="20" t="n">
        <v>46114</v>
      </c>
      <c r="B2704" s="15" t="s">
        <v>477</v>
      </c>
      <c r="C2704" s="15" t="s">
        <v>25</v>
      </c>
      <c r="D2704" s="15" t="s">
        <v>26</v>
      </c>
      <c r="E2704" s="15" t="n">
        <v>3</v>
      </c>
      <c r="H2704" s="10"/>
      <c r="I2704" s="21"/>
      <c r="M2704" s="10"/>
      <c r="N2704" s="10"/>
      <c r="P2704" s="10"/>
      <c r="Q2704" s="22"/>
    </row>
    <row r="2705" customFormat="false" ht="15.75" hidden="false" customHeight="false" outlineLevel="0" collapsed="false">
      <c r="A2705" s="20" t="n">
        <v>46114</v>
      </c>
      <c r="B2705" s="15" t="s">
        <v>487</v>
      </c>
      <c r="C2705" s="15" t="s">
        <v>55</v>
      </c>
      <c r="D2705" s="15" t="s">
        <v>539</v>
      </c>
      <c r="E2705" s="15" t="n">
        <v>1</v>
      </c>
      <c r="H2705" s="10"/>
      <c r="I2705" s="21"/>
      <c r="M2705" s="10"/>
      <c r="N2705" s="10"/>
      <c r="P2705" s="10"/>
      <c r="Q2705" s="22"/>
    </row>
    <row r="2706" customFormat="false" ht="15.75" hidden="false" customHeight="false" outlineLevel="0" collapsed="false">
      <c r="A2706" s="20" t="n">
        <v>46114</v>
      </c>
      <c r="B2706" s="15" t="s">
        <v>487</v>
      </c>
      <c r="C2706" s="15" t="s">
        <v>81</v>
      </c>
      <c r="D2706" s="15" t="s">
        <v>534</v>
      </c>
      <c r="E2706" s="15" t="n">
        <v>9</v>
      </c>
      <c r="H2706" s="10"/>
      <c r="I2706" s="21"/>
      <c r="M2706" s="10"/>
      <c r="N2706" s="10"/>
      <c r="P2706" s="10"/>
      <c r="Q2706" s="22"/>
    </row>
    <row r="2707" customFormat="false" ht="15.75" hidden="false" customHeight="false" outlineLevel="0" collapsed="false">
      <c r="A2707" s="20" t="n">
        <v>46114</v>
      </c>
      <c r="B2707" s="15" t="s">
        <v>487</v>
      </c>
      <c r="C2707" s="15" t="s">
        <v>555</v>
      </c>
      <c r="D2707" s="15" t="s">
        <v>556</v>
      </c>
      <c r="E2707" s="15" t="n">
        <v>1</v>
      </c>
      <c r="H2707" s="10"/>
      <c r="I2707" s="21"/>
      <c r="M2707" s="10"/>
      <c r="N2707" s="10"/>
      <c r="P2707" s="10"/>
      <c r="Q2707" s="22"/>
    </row>
    <row r="2708" customFormat="false" ht="15.75" hidden="false" customHeight="false" outlineLevel="0" collapsed="false">
      <c r="A2708" s="20" t="n">
        <v>46114</v>
      </c>
      <c r="B2708" s="15" t="s">
        <v>487</v>
      </c>
      <c r="C2708" s="15" t="s">
        <v>570</v>
      </c>
      <c r="D2708" s="15" t="s">
        <v>571</v>
      </c>
      <c r="E2708" s="15" t="n">
        <v>1</v>
      </c>
      <c r="H2708" s="10"/>
      <c r="I2708" s="21"/>
      <c r="M2708" s="10"/>
      <c r="N2708" s="10"/>
      <c r="P2708" s="10"/>
      <c r="Q2708" s="22"/>
    </row>
    <row r="2709" customFormat="false" ht="15.75" hidden="false" customHeight="false" outlineLevel="0" collapsed="false">
      <c r="A2709" s="20" t="n">
        <v>46114</v>
      </c>
      <c r="B2709" s="15" t="s">
        <v>487</v>
      </c>
      <c r="C2709" s="15" t="s">
        <v>25</v>
      </c>
      <c r="D2709" s="15" t="s">
        <v>26</v>
      </c>
      <c r="E2709" s="15" t="n">
        <v>1</v>
      </c>
      <c r="H2709" s="10"/>
      <c r="I2709" s="21"/>
      <c r="M2709" s="10"/>
      <c r="N2709" s="10"/>
      <c r="P2709" s="10"/>
      <c r="Q2709" s="22"/>
    </row>
    <row r="2710" customFormat="false" ht="15.75" hidden="false" customHeight="false" outlineLevel="0" collapsed="false">
      <c r="A2710" s="20" t="n">
        <v>46114</v>
      </c>
      <c r="B2710" s="15" t="s">
        <v>487</v>
      </c>
      <c r="C2710" s="15" t="s">
        <v>91</v>
      </c>
      <c r="D2710" s="15" t="s">
        <v>91</v>
      </c>
      <c r="E2710" s="15" t="n">
        <v>2</v>
      </c>
      <c r="H2710" s="10"/>
      <c r="I2710" s="21"/>
      <c r="M2710" s="10"/>
      <c r="N2710" s="10"/>
      <c r="P2710" s="10"/>
      <c r="Q2710" s="22"/>
    </row>
    <row r="2711" customFormat="false" ht="15.75" hidden="false" customHeight="false" outlineLevel="0" collapsed="false">
      <c r="A2711" s="20" t="n">
        <v>46114</v>
      </c>
      <c r="B2711" s="15" t="s">
        <v>487</v>
      </c>
      <c r="C2711" s="15" t="s">
        <v>543</v>
      </c>
      <c r="D2711" s="15" t="s">
        <v>544</v>
      </c>
      <c r="E2711" s="15" t="n">
        <v>3</v>
      </c>
      <c r="H2711" s="10"/>
      <c r="I2711" s="21"/>
      <c r="M2711" s="10"/>
      <c r="N2711" s="10"/>
      <c r="P2711" s="10"/>
      <c r="Q2711" s="22"/>
    </row>
    <row r="2712" customFormat="false" ht="15.75" hidden="false" customHeight="false" outlineLevel="0" collapsed="false">
      <c r="A2712" s="20" t="n">
        <v>46114</v>
      </c>
      <c r="B2712" s="15" t="s">
        <v>487</v>
      </c>
      <c r="C2712" s="15" t="s">
        <v>545</v>
      </c>
      <c r="D2712" s="15" t="s">
        <v>546</v>
      </c>
      <c r="E2712" s="15" t="n">
        <v>1</v>
      </c>
      <c r="H2712" s="10"/>
      <c r="I2712" s="21"/>
      <c r="M2712" s="10"/>
      <c r="N2712" s="10"/>
      <c r="P2712" s="10"/>
      <c r="Q2712" s="22"/>
    </row>
    <row r="2713" customFormat="false" ht="15.75" hidden="false" customHeight="false" outlineLevel="0" collapsed="false">
      <c r="A2713" s="20" t="n">
        <v>46114</v>
      </c>
      <c r="B2713" s="15" t="s">
        <v>487</v>
      </c>
      <c r="C2713" s="15" t="s">
        <v>69</v>
      </c>
      <c r="D2713" s="15" t="s">
        <v>535</v>
      </c>
      <c r="E2713" s="15" t="n">
        <v>3</v>
      </c>
      <c r="H2713" s="10"/>
      <c r="I2713" s="21"/>
      <c r="M2713" s="10"/>
      <c r="N2713" s="10"/>
      <c r="P2713" s="10"/>
      <c r="Q2713" s="22"/>
    </row>
    <row r="2714" customFormat="false" ht="15.75" hidden="false" customHeight="false" outlineLevel="0" collapsed="false">
      <c r="A2714" s="20" t="n">
        <v>46114</v>
      </c>
      <c r="B2714" s="15" t="s">
        <v>487</v>
      </c>
      <c r="C2714" s="15" t="s">
        <v>77</v>
      </c>
      <c r="D2714" s="15" t="s">
        <v>78</v>
      </c>
      <c r="E2714" s="15" t="n">
        <v>3</v>
      </c>
      <c r="H2714" s="10"/>
      <c r="I2714" s="21"/>
      <c r="M2714" s="10"/>
      <c r="N2714" s="10"/>
      <c r="P2714" s="10"/>
      <c r="Q2714" s="22"/>
    </row>
    <row r="2715" customFormat="false" ht="15.75" hidden="false" customHeight="false" outlineLevel="0" collapsed="false">
      <c r="A2715" s="20" t="n">
        <v>46114</v>
      </c>
      <c r="B2715" s="15" t="s">
        <v>487</v>
      </c>
      <c r="C2715" s="15" t="s">
        <v>11</v>
      </c>
      <c r="D2715" s="15" t="s">
        <v>572</v>
      </c>
      <c r="E2715" s="15" t="n">
        <v>1</v>
      </c>
      <c r="H2715" s="10"/>
      <c r="I2715" s="21"/>
      <c r="M2715" s="10"/>
      <c r="N2715" s="10"/>
      <c r="P2715" s="10"/>
      <c r="Q2715" s="22"/>
    </row>
    <row r="2716" customFormat="false" ht="15.75" hidden="false" customHeight="false" outlineLevel="0" collapsed="false">
      <c r="A2716" s="20" t="n">
        <v>46114</v>
      </c>
      <c r="B2716" s="15" t="s">
        <v>487</v>
      </c>
      <c r="C2716" s="15" t="s">
        <v>33</v>
      </c>
      <c r="D2716" s="15" t="s">
        <v>536</v>
      </c>
      <c r="E2716" s="15" t="n">
        <v>3</v>
      </c>
      <c r="H2716" s="10"/>
      <c r="I2716" s="21"/>
      <c r="M2716" s="10"/>
      <c r="N2716" s="10"/>
      <c r="P2716" s="10"/>
      <c r="Q2716" s="22"/>
    </row>
    <row r="2717" customFormat="false" ht="15.75" hidden="false" customHeight="false" outlineLevel="0" collapsed="false">
      <c r="A2717" s="20" t="n">
        <v>46114</v>
      </c>
      <c r="B2717" s="15" t="s">
        <v>487</v>
      </c>
      <c r="C2717" s="15" t="s">
        <v>59</v>
      </c>
      <c r="D2717" s="15" t="s">
        <v>562</v>
      </c>
      <c r="E2717" s="15" t="n">
        <v>1</v>
      </c>
      <c r="H2717" s="10"/>
      <c r="I2717" s="21"/>
      <c r="M2717" s="10"/>
      <c r="N2717" s="10"/>
      <c r="P2717" s="10"/>
      <c r="Q2717" s="22"/>
    </row>
    <row r="2718" customFormat="false" ht="15.75" hidden="false" customHeight="false" outlineLevel="0" collapsed="false">
      <c r="A2718" s="20" t="n">
        <v>46114</v>
      </c>
      <c r="B2718" s="15" t="s">
        <v>487</v>
      </c>
      <c r="C2718" s="15" t="s">
        <v>75</v>
      </c>
      <c r="D2718" s="15" t="s">
        <v>560</v>
      </c>
      <c r="E2718" s="15" t="n">
        <v>1</v>
      </c>
      <c r="H2718" s="10"/>
      <c r="I2718" s="21"/>
      <c r="M2718" s="10"/>
      <c r="N2718" s="10"/>
      <c r="P2718" s="10"/>
      <c r="Q2718" s="22"/>
    </row>
    <row r="2719" customFormat="false" ht="15.75" hidden="false" customHeight="false" outlineLevel="0" collapsed="false">
      <c r="A2719" s="20" t="n">
        <v>46114</v>
      </c>
      <c r="B2719" s="15" t="s">
        <v>487</v>
      </c>
      <c r="C2719" s="15" t="s">
        <v>79</v>
      </c>
      <c r="D2719" s="15" t="s">
        <v>564</v>
      </c>
      <c r="E2719" s="15" t="n">
        <v>2</v>
      </c>
      <c r="H2719" s="10"/>
      <c r="I2719" s="21"/>
      <c r="M2719" s="10"/>
      <c r="N2719" s="10"/>
      <c r="P2719" s="10"/>
      <c r="Q2719" s="22"/>
    </row>
    <row r="2720" customFormat="false" ht="15.75" hidden="false" customHeight="false" outlineLevel="0" collapsed="false">
      <c r="A2720" s="20" t="n">
        <v>46114</v>
      </c>
      <c r="B2720" s="15" t="s">
        <v>491</v>
      </c>
      <c r="C2720" s="15" t="s">
        <v>37</v>
      </c>
      <c r="D2720" s="15" t="s">
        <v>561</v>
      </c>
      <c r="E2720" s="15" t="n">
        <v>1</v>
      </c>
      <c r="H2720" s="10"/>
      <c r="I2720" s="21"/>
      <c r="M2720" s="10"/>
      <c r="N2720" s="10"/>
      <c r="P2720" s="10"/>
      <c r="Q2720" s="22"/>
    </row>
    <row r="2721" customFormat="false" ht="15.75" hidden="false" customHeight="false" outlineLevel="0" collapsed="false">
      <c r="A2721" s="20" t="n">
        <v>46114</v>
      </c>
      <c r="B2721" s="15" t="s">
        <v>491</v>
      </c>
      <c r="C2721" s="15" t="s">
        <v>81</v>
      </c>
      <c r="D2721" s="15" t="s">
        <v>534</v>
      </c>
      <c r="E2721" s="15" t="n">
        <v>8</v>
      </c>
      <c r="H2721" s="10"/>
      <c r="I2721" s="21"/>
      <c r="M2721" s="10"/>
      <c r="N2721" s="10"/>
      <c r="P2721" s="10"/>
      <c r="Q2721" s="22"/>
    </row>
    <row r="2722" customFormat="false" ht="15.75" hidden="false" customHeight="false" outlineLevel="0" collapsed="false">
      <c r="A2722" s="20" t="n">
        <v>46114</v>
      </c>
      <c r="B2722" s="15" t="s">
        <v>491</v>
      </c>
      <c r="C2722" s="15" t="s">
        <v>75</v>
      </c>
      <c r="D2722" s="15" t="s">
        <v>560</v>
      </c>
      <c r="E2722" s="15" t="n">
        <v>1</v>
      </c>
      <c r="H2722" s="10"/>
      <c r="I2722" s="21"/>
      <c r="M2722" s="10"/>
      <c r="N2722" s="10"/>
      <c r="P2722" s="10"/>
      <c r="Q2722" s="22"/>
    </row>
    <row r="2723" customFormat="false" ht="15.75" hidden="false" customHeight="false" outlineLevel="0" collapsed="false">
      <c r="A2723" s="20" t="n">
        <v>46114</v>
      </c>
      <c r="B2723" s="15" t="s">
        <v>491</v>
      </c>
      <c r="C2723" s="15" t="s">
        <v>69</v>
      </c>
      <c r="D2723" s="15" t="s">
        <v>535</v>
      </c>
      <c r="E2723" s="15" t="n">
        <v>6</v>
      </c>
      <c r="H2723" s="10"/>
      <c r="I2723" s="21"/>
      <c r="M2723" s="10"/>
      <c r="N2723" s="10"/>
      <c r="P2723" s="10"/>
      <c r="Q2723" s="22"/>
    </row>
    <row r="2724" customFormat="false" ht="15.75" hidden="false" customHeight="false" outlineLevel="0" collapsed="false">
      <c r="A2724" s="20" t="n">
        <v>46114</v>
      </c>
      <c r="B2724" s="15" t="s">
        <v>491</v>
      </c>
      <c r="C2724" s="15" t="s">
        <v>547</v>
      </c>
      <c r="D2724" s="15" t="s">
        <v>548</v>
      </c>
      <c r="E2724" s="15" t="n">
        <v>1</v>
      </c>
      <c r="H2724" s="10"/>
      <c r="I2724" s="21"/>
      <c r="M2724" s="10"/>
      <c r="N2724" s="10"/>
      <c r="P2724" s="10"/>
      <c r="Q2724" s="22"/>
    </row>
    <row r="2725" customFormat="false" ht="15.75" hidden="false" customHeight="false" outlineLevel="0" collapsed="false">
      <c r="A2725" s="20" t="n">
        <v>46114</v>
      </c>
      <c r="B2725" s="15" t="s">
        <v>491</v>
      </c>
      <c r="C2725" s="15" t="s">
        <v>31</v>
      </c>
      <c r="D2725" s="15" t="s">
        <v>559</v>
      </c>
      <c r="E2725" s="15" t="n">
        <v>2</v>
      </c>
      <c r="H2725" s="10"/>
      <c r="I2725" s="21"/>
      <c r="M2725" s="10"/>
      <c r="N2725" s="10"/>
      <c r="P2725" s="10"/>
      <c r="Q2725" s="22"/>
    </row>
    <row r="2726" customFormat="false" ht="15.75" hidden="false" customHeight="false" outlineLevel="0" collapsed="false">
      <c r="A2726" s="20" t="n">
        <v>46114</v>
      </c>
      <c r="B2726" s="15" t="s">
        <v>491</v>
      </c>
      <c r="C2726" s="15" t="s">
        <v>545</v>
      </c>
      <c r="D2726" s="15" t="s">
        <v>546</v>
      </c>
      <c r="E2726" s="15" t="n">
        <v>2</v>
      </c>
      <c r="H2726" s="10"/>
      <c r="I2726" s="21"/>
      <c r="M2726" s="10"/>
      <c r="N2726" s="10"/>
      <c r="P2726" s="10"/>
      <c r="Q2726" s="22"/>
    </row>
    <row r="2727" customFormat="false" ht="15.75" hidden="false" customHeight="false" outlineLevel="0" collapsed="false">
      <c r="A2727" s="20" t="n">
        <v>46114</v>
      </c>
      <c r="B2727" s="15" t="s">
        <v>491</v>
      </c>
      <c r="C2727" s="15" t="s">
        <v>543</v>
      </c>
      <c r="D2727" s="15" t="s">
        <v>544</v>
      </c>
      <c r="E2727" s="15" t="n">
        <v>4</v>
      </c>
      <c r="H2727" s="10"/>
      <c r="I2727" s="21"/>
      <c r="M2727" s="10"/>
      <c r="N2727" s="10"/>
      <c r="P2727" s="10"/>
      <c r="Q2727" s="22"/>
    </row>
    <row r="2728" customFormat="false" ht="15.75" hidden="false" customHeight="false" outlineLevel="0" collapsed="false">
      <c r="A2728" s="20" t="n">
        <v>46114</v>
      </c>
      <c r="B2728" s="15" t="s">
        <v>491</v>
      </c>
      <c r="C2728" s="15" t="s">
        <v>541</v>
      </c>
      <c r="D2728" s="15" t="s">
        <v>542</v>
      </c>
      <c r="E2728" s="15" t="n">
        <v>2</v>
      </c>
      <c r="H2728" s="10"/>
      <c r="I2728" s="21"/>
      <c r="M2728" s="10"/>
      <c r="N2728" s="10"/>
      <c r="P2728" s="10"/>
      <c r="Q2728" s="22"/>
    </row>
    <row r="2729" customFormat="false" ht="15.75" hidden="false" customHeight="false" outlineLevel="0" collapsed="false">
      <c r="A2729" s="20" t="n">
        <v>46114</v>
      </c>
      <c r="B2729" s="15" t="s">
        <v>491</v>
      </c>
      <c r="C2729" s="15" t="s">
        <v>49</v>
      </c>
      <c r="D2729" s="15" t="s">
        <v>537</v>
      </c>
      <c r="E2729" s="15" t="n">
        <v>1</v>
      </c>
      <c r="H2729" s="10"/>
      <c r="I2729" s="21"/>
      <c r="M2729" s="10"/>
      <c r="N2729" s="10"/>
      <c r="P2729" s="10"/>
      <c r="Q2729" s="22"/>
    </row>
    <row r="2730" customFormat="false" ht="15.75" hidden="false" customHeight="false" outlineLevel="0" collapsed="false">
      <c r="A2730" s="20" t="n">
        <v>46114</v>
      </c>
      <c r="B2730" s="15" t="s">
        <v>491</v>
      </c>
      <c r="C2730" s="15" t="s">
        <v>33</v>
      </c>
      <c r="D2730" s="15" t="s">
        <v>536</v>
      </c>
      <c r="E2730" s="15" t="n">
        <v>5</v>
      </c>
      <c r="H2730" s="10"/>
      <c r="I2730" s="21"/>
      <c r="M2730" s="10"/>
      <c r="N2730" s="10"/>
      <c r="P2730" s="10"/>
      <c r="Q2730" s="22"/>
    </row>
    <row r="2731" customFormat="false" ht="15.75" hidden="false" customHeight="false" outlineLevel="0" collapsed="false">
      <c r="A2731" s="20" t="n">
        <v>46114</v>
      </c>
      <c r="B2731" s="15" t="s">
        <v>491</v>
      </c>
      <c r="C2731" s="15" t="s">
        <v>77</v>
      </c>
      <c r="D2731" s="15" t="s">
        <v>78</v>
      </c>
      <c r="E2731" s="15" t="n">
        <v>3</v>
      </c>
      <c r="H2731" s="10"/>
      <c r="I2731" s="21"/>
      <c r="M2731" s="10"/>
      <c r="N2731" s="10"/>
      <c r="P2731" s="10"/>
      <c r="Q2731" s="22"/>
    </row>
    <row r="2732" customFormat="false" ht="15.75" hidden="false" customHeight="false" outlineLevel="0" collapsed="false">
      <c r="A2732" s="20" t="n">
        <v>46114</v>
      </c>
      <c r="B2732" s="15" t="s">
        <v>491</v>
      </c>
      <c r="C2732" s="15" t="s">
        <v>47</v>
      </c>
      <c r="D2732" s="15" t="s">
        <v>549</v>
      </c>
      <c r="E2732" s="15" t="n">
        <v>1</v>
      </c>
      <c r="H2732" s="10"/>
      <c r="I2732" s="21"/>
      <c r="M2732" s="10"/>
      <c r="N2732" s="10"/>
      <c r="P2732" s="10"/>
      <c r="Q2732" s="22"/>
    </row>
    <row r="2733" customFormat="false" ht="15.75" hidden="false" customHeight="false" outlineLevel="0" collapsed="false">
      <c r="A2733" s="20" t="n">
        <v>46114</v>
      </c>
      <c r="B2733" s="15" t="s">
        <v>491</v>
      </c>
      <c r="C2733" s="15" t="s">
        <v>55</v>
      </c>
      <c r="D2733" s="15" t="s">
        <v>539</v>
      </c>
      <c r="E2733" s="15" t="n">
        <v>1</v>
      </c>
      <c r="H2733" s="10"/>
      <c r="I2733" s="21"/>
      <c r="M2733" s="10"/>
      <c r="N2733" s="10"/>
      <c r="P2733" s="10"/>
      <c r="Q2733" s="22"/>
    </row>
    <row r="2734" customFormat="false" ht="15.75" hidden="false" customHeight="false" outlineLevel="0" collapsed="false">
      <c r="A2734" s="20" t="n">
        <v>46114</v>
      </c>
      <c r="B2734" s="15" t="s">
        <v>491</v>
      </c>
      <c r="C2734" s="15" t="s">
        <v>59</v>
      </c>
      <c r="D2734" s="15" t="s">
        <v>562</v>
      </c>
      <c r="E2734" s="15" t="n">
        <v>1</v>
      </c>
      <c r="H2734" s="10"/>
      <c r="I2734" s="21"/>
      <c r="M2734" s="10"/>
      <c r="N2734" s="10"/>
      <c r="P2734" s="10"/>
      <c r="Q2734" s="22"/>
    </row>
    <row r="2735" customFormat="false" ht="15.75" hidden="false" customHeight="false" outlineLevel="0" collapsed="false">
      <c r="A2735" s="20" t="n">
        <v>46114</v>
      </c>
      <c r="B2735" s="15" t="s">
        <v>491</v>
      </c>
      <c r="C2735" s="15" t="s">
        <v>43</v>
      </c>
      <c r="D2735" s="15" t="s">
        <v>538</v>
      </c>
      <c r="E2735" s="15" t="n">
        <v>1</v>
      </c>
      <c r="H2735" s="10"/>
      <c r="I2735" s="21"/>
      <c r="M2735" s="10"/>
      <c r="N2735" s="10"/>
      <c r="P2735" s="10"/>
      <c r="Q2735" s="22"/>
    </row>
    <row r="2736" customFormat="false" ht="15.75" hidden="false" customHeight="false" outlineLevel="0" collapsed="false">
      <c r="A2736" s="20" t="n">
        <v>46114</v>
      </c>
      <c r="B2736" s="15" t="s">
        <v>491</v>
      </c>
      <c r="C2736" s="15" t="s">
        <v>87</v>
      </c>
      <c r="D2736" s="15" t="s">
        <v>563</v>
      </c>
      <c r="E2736" s="15" t="n">
        <v>1</v>
      </c>
      <c r="H2736" s="10"/>
      <c r="I2736" s="21"/>
      <c r="M2736" s="10"/>
      <c r="N2736" s="10"/>
      <c r="P2736" s="10"/>
      <c r="Q2736" s="22"/>
    </row>
    <row r="2737" customFormat="false" ht="15.75" hidden="false" customHeight="false" outlineLevel="0" collapsed="false">
      <c r="A2737" s="20" t="n">
        <v>46114</v>
      </c>
      <c r="B2737" s="15" t="s">
        <v>491</v>
      </c>
      <c r="C2737" s="15" t="s">
        <v>79</v>
      </c>
      <c r="D2737" s="15" t="s">
        <v>564</v>
      </c>
      <c r="E2737" s="15" t="n">
        <v>1</v>
      </c>
      <c r="H2737" s="10"/>
      <c r="I2737" s="21"/>
      <c r="M2737" s="10"/>
      <c r="N2737" s="10"/>
      <c r="P2737" s="10"/>
      <c r="Q2737" s="22"/>
    </row>
    <row r="2738" customFormat="false" ht="15.75" hidden="false" customHeight="false" outlineLevel="0" collapsed="false">
      <c r="A2738" s="20" t="n">
        <v>46114</v>
      </c>
      <c r="B2738" s="15" t="s">
        <v>496</v>
      </c>
      <c r="C2738" s="15" t="s">
        <v>81</v>
      </c>
      <c r="D2738" s="15" t="s">
        <v>534</v>
      </c>
      <c r="E2738" s="15" t="n">
        <v>7</v>
      </c>
      <c r="H2738" s="10"/>
      <c r="I2738" s="21"/>
      <c r="M2738" s="10"/>
      <c r="N2738" s="10"/>
      <c r="P2738" s="10"/>
      <c r="Q2738" s="22"/>
    </row>
    <row r="2739" customFormat="false" ht="15.75" hidden="false" customHeight="false" outlineLevel="0" collapsed="false">
      <c r="A2739" s="20" t="n">
        <v>46114</v>
      </c>
      <c r="B2739" s="15" t="s">
        <v>496</v>
      </c>
      <c r="C2739" s="15" t="s">
        <v>47</v>
      </c>
      <c r="D2739" s="15" t="s">
        <v>549</v>
      </c>
      <c r="E2739" s="15" t="n">
        <v>4</v>
      </c>
      <c r="H2739" s="10"/>
      <c r="I2739" s="21"/>
      <c r="M2739" s="10"/>
      <c r="N2739" s="10"/>
      <c r="P2739" s="10"/>
      <c r="Q2739" s="22"/>
    </row>
    <row r="2740" customFormat="false" ht="15.75" hidden="false" customHeight="false" outlineLevel="0" collapsed="false">
      <c r="A2740" s="20" t="n">
        <v>46114</v>
      </c>
      <c r="B2740" s="15" t="s">
        <v>496</v>
      </c>
      <c r="C2740" s="15" t="s">
        <v>55</v>
      </c>
      <c r="D2740" s="15" t="s">
        <v>539</v>
      </c>
      <c r="E2740" s="15" t="n">
        <v>2</v>
      </c>
      <c r="H2740" s="10"/>
      <c r="I2740" s="21"/>
      <c r="M2740" s="10"/>
      <c r="N2740" s="10"/>
      <c r="P2740" s="10"/>
      <c r="Q2740" s="22"/>
    </row>
    <row r="2741" customFormat="false" ht="15.75" hidden="false" customHeight="false" outlineLevel="0" collapsed="false">
      <c r="A2741" s="20" t="n">
        <v>46114</v>
      </c>
      <c r="B2741" s="15" t="s">
        <v>496</v>
      </c>
      <c r="C2741" s="15" t="s">
        <v>567</v>
      </c>
      <c r="D2741" s="15" t="s">
        <v>568</v>
      </c>
      <c r="E2741" s="15" t="n">
        <v>3</v>
      </c>
      <c r="H2741" s="10"/>
      <c r="I2741" s="21"/>
      <c r="M2741" s="10"/>
      <c r="N2741" s="10"/>
      <c r="P2741" s="10"/>
      <c r="Q2741" s="22"/>
    </row>
    <row r="2742" customFormat="false" ht="15.75" hidden="false" customHeight="false" outlineLevel="0" collapsed="false">
      <c r="A2742" s="20" t="n">
        <v>46114</v>
      </c>
      <c r="B2742" s="15" t="s">
        <v>496</v>
      </c>
      <c r="C2742" s="15" t="s">
        <v>545</v>
      </c>
      <c r="D2742" s="15" t="s">
        <v>546</v>
      </c>
      <c r="E2742" s="15" t="n">
        <v>3</v>
      </c>
      <c r="H2742" s="10"/>
      <c r="I2742" s="21"/>
      <c r="M2742" s="10"/>
      <c r="N2742" s="10"/>
      <c r="P2742" s="10"/>
      <c r="Q2742" s="22"/>
    </row>
    <row r="2743" customFormat="false" ht="15.75" hidden="false" customHeight="false" outlineLevel="0" collapsed="false">
      <c r="A2743" s="20" t="n">
        <v>46114</v>
      </c>
      <c r="B2743" s="15" t="s">
        <v>496</v>
      </c>
      <c r="C2743" s="15" t="s">
        <v>547</v>
      </c>
      <c r="D2743" s="15" t="s">
        <v>548</v>
      </c>
      <c r="E2743" s="15" t="n">
        <v>1</v>
      </c>
      <c r="H2743" s="10"/>
      <c r="I2743" s="21"/>
      <c r="M2743" s="10"/>
      <c r="N2743" s="10"/>
      <c r="P2743" s="10"/>
      <c r="Q2743" s="22"/>
    </row>
    <row r="2744" customFormat="false" ht="15.75" hidden="false" customHeight="false" outlineLevel="0" collapsed="false">
      <c r="A2744" s="20" t="n">
        <v>46114</v>
      </c>
      <c r="B2744" s="15" t="s">
        <v>496</v>
      </c>
      <c r="C2744" s="15" t="s">
        <v>555</v>
      </c>
      <c r="D2744" s="15" t="s">
        <v>556</v>
      </c>
      <c r="E2744" s="15" t="n">
        <v>4</v>
      </c>
      <c r="H2744" s="10"/>
      <c r="I2744" s="21"/>
      <c r="M2744" s="10"/>
      <c r="N2744" s="10"/>
      <c r="P2744" s="10"/>
      <c r="Q2744" s="22"/>
    </row>
    <row r="2745" customFormat="false" ht="15.75" hidden="false" customHeight="false" outlineLevel="0" collapsed="false">
      <c r="A2745" s="20" t="n">
        <v>46114</v>
      </c>
      <c r="B2745" s="15" t="s">
        <v>496</v>
      </c>
      <c r="C2745" s="15" t="s">
        <v>541</v>
      </c>
      <c r="D2745" s="15" t="s">
        <v>542</v>
      </c>
      <c r="E2745" s="15" t="n">
        <v>4</v>
      </c>
      <c r="H2745" s="10"/>
      <c r="I2745" s="21"/>
      <c r="M2745" s="10"/>
      <c r="N2745" s="10"/>
      <c r="P2745" s="10"/>
      <c r="Q2745" s="22"/>
    </row>
    <row r="2746" customFormat="false" ht="15.75" hidden="false" customHeight="false" outlineLevel="0" collapsed="false">
      <c r="A2746" s="20" t="n">
        <v>46114</v>
      </c>
      <c r="B2746" s="15" t="s">
        <v>496</v>
      </c>
      <c r="C2746" s="15" t="s">
        <v>45</v>
      </c>
      <c r="D2746" s="15" t="s">
        <v>540</v>
      </c>
      <c r="E2746" s="15" t="n">
        <v>1</v>
      </c>
      <c r="H2746" s="10"/>
      <c r="I2746" s="21"/>
      <c r="M2746" s="10"/>
      <c r="N2746" s="10"/>
      <c r="P2746" s="10"/>
      <c r="Q2746" s="22"/>
    </row>
    <row r="2747" customFormat="false" ht="15.75" hidden="false" customHeight="false" outlineLevel="0" collapsed="false">
      <c r="A2747" s="20" t="n">
        <v>46114</v>
      </c>
      <c r="B2747" s="15" t="s">
        <v>496</v>
      </c>
      <c r="C2747" s="15" t="s">
        <v>37</v>
      </c>
      <c r="D2747" s="15" t="s">
        <v>561</v>
      </c>
      <c r="E2747" s="15" t="n">
        <v>1</v>
      </c>
      <c r="H2747" s="10"/>
      <c r="I2747" s="21"/>
      <c r="M2747" s="10"/>
      <c r="N2747" s="10"/>
      <c r="P2747" s="10"/>
      <c r="Q2747" s="22"/>
    </row>
    <row r="2748" customFormat="false" ht="15.75" hidden="false" customHeight="false" outlineLevel="0" collapsed="false">
      <c r="A2748" s="20" t="n">
        <v>46114</v>
      </c>
      <c r="B2748" s="15" t="s">
        <v>496</v>
      </c>
      <c r="C2748" s="15" t="s">
        <v>543</v>
      </c>
      <c r="D2748" s="15" t="s">
        <v>544</v>
      </c>
      <c r="E2748" s="15" t="n">
        <v>4</v>
      </c>
      <c r="H2748" s="10"/>
      <c r="I2748" s="21"/>
      <c r="M2748" s="10"/>
      <c r="N2748" s="10"/>
      <c r="P2748" s="10"/>
      <c r="Q2748" s="22"/>
    </row>
    <row r="2749" customFormat="false" ht="15.75" hidden="false" customHeight="false" outlineLevel="0" collapsed="false">
      <c r="A2749" s="20" t="n">
        <v>46114</v>
      </c>
      <c r="B2749" s="15" t="s">
        <v>496</v>
      </c>
      <c r="C2749" s="15" t="s">
        <v>69</v>
      </c>
      <c r="D2749" s="15" t="s">
        <v>535</v>
      </c>
      <c r="E2749" s="15" t="n">
        <v>2</v>
      </c>
      <c r="H2749" s="10"/>
      <c r="I2749" s="21"/>
      <c r="M2749" s="10"/>
      <c r="N2749" s="10"/>
      <c r="P2749" s="10"/>
      <c r="Q2749" s="22"/>
    </row>
    <row r="2750" customFormat="false" ht="15.75" hidden="false" customHeight="false" outlineLevel="0" collapsed="false">
      <c r="A2750" s="20" t="n">
        <v>46114</v>
      </c>
      <c r="B2750" s="15" t="s">
        <v>496</v>
      </c>
      <c r="C2750" s="15" t="s">
        <v>77</v>
      </c>
      <c r="D2750" s="15" t="s">
        <v>78</v>
      </c>
      <c r="E2750" s="15" t="n">
        <v>2</v>
      </c>
      <c r="H2750" s="10"/>
      <c r="I2750" s="21"/>
      <c r="M2750" s="10"/>
      <c r="N2750" s="10"/>
      <c r="P2750" s="10"/>
      <c r="Q2750" s="22"/>
    </row>
    <row r="2751" customFormat="false" ht="15.75" hidden="false" customHeight="false" outlineLevel="0" collapsed="false">
      <c r="A2751" s="20" t="n">
        <v>46114</v>
      </c>
      <c r="B2751" s="15" t="s">
        <v>496</v>
      </c>
      <c r="C2751" s="15" t="s">
        <v>59</v>
      </c>
      <c r="D2751" s="15" t="s">
        <v>562</v>
      </c>
      <c r="E2751" s="15" t="n">
        <v>2</v>
      </c>
      <c r="H2751" s="10"/>
      <c r="I2751" s="21"/>
      <c r="M2751" s="10"/>
      <c r="N2751" s="10"/>
      <c r="P2751" s="10"/>
      <c r="Q2751" s="22"/>
    </row>
    <row r="2752" customFormat="false" ht="15.75" hidden="false" customHeight="false" outlineLevel="0" collapsed="false">
      <c r="A2752" s="20" t="n">
        <v>46114</v>
      </c>
      <c r="B2752" s="15" t="s">
        <v>496</v>
      </c>
      <c r="C2752" s="15" t="s">
        <v>33</v>
      </c>
      <c r="D2752" s="15" t="s">
        <v>536</v>
      </c>
      <c r="E2752" s="15" t="n">
        <v>2</v>
      </c>
      <c r="H2752" s="10"/>
      <c r="I2752" s="21"/>
      <c r="M2752" s="10"/>
      <c r="N2752" s="10"/>
      <c r="P2752" s="10"/>
      <c r="Q2752" s="22"/>
    </row>
    <row r="2753" customFormat="false" ht="15.75" hidden="false" customHeight="false" outlineLevel="0" collapsed="false">
      <c r="A2753" s="20" t="n">
        <v>46114</v>
      </c>
      <c r="B2753" s="15" t="s">
        <v>496</v>
      </c>
      <c r="C2753" s="15" t="s">
        <v>79</v>
      </c>
      <c r="D2753" s="15" t="s">
        <v>564</v>
      </c>
      <c r="E2753" s="15" t="n">
        <v>1</v>
      </c>
      <c r="H2753" s="10"/>
      <c r="I2753" s="21"/>
      <c r="M2753" s="10"/>
      <c r="N2753" s="10"/>
      <c r="P2753" s="10"/>
      <c r="Q2753" s="22"/>
    </row>
    <row r="2754" customFormat="false" ht="15.75" hidden="false" customHeight="false" outlineLevel="0" collapsed="false">
      <c r="A2754" s="20" t="n">
        <v>46114</v>
      </c>
      <c r="B2754" s="15" t="s">
        <v>496</v>
      </c>
      <c r="C2754" s="15" t="s">
        <v>65</v>
      </c>
      <c r="D2754" s="15" t="s">
        <v>580</v>
      </c>
      <c r="E2754" s="15" t="n">
        <v>1</v>
      </c>
      <c r="H2754" s="10"/>
      <c r="I2754" s="21"/>
      <c r="M2754" s="10"/>
      <c r="N2754" s="10"/>
      <c r="P2754" s="10"/>
      <c r="Q2754" s="22"/>
    </row>
    <row r="2755" customFormat="false" ht="15.75" hidden="false" customHeight="false" outlineLevel="0" collapsed="false">
      <c r="A2755" s="20" t="n">
        <v>46114</v>
      </c>
      <c r="B2755" s="15" t="s">
        <v>500</v>
      </c>
      <c r="C2755" s="15" t="s">
        <v>81</v>
      </c>
      <c r="D2755" s="15" t="s">
        <v>534</v>
      </c>
      <c r="E2755" s="15" t="n">
        <v>7</v>
      </c>
      <c r="H2755" s="10"/>
      <c r="I2755" s="21"/>
      <c r="M2755" s="10"/>
      <c r="N2755" s="10"/>
      <c r="P2755" s="10"/>
      <c r="Q2755" s="22"/>
    </row>
    <row r="2756" customFormat="false" ht="15.75" hidden="false" customHeight="false" outlineLevel="0" collapsed="false">
      <c r="A2756" s="20" t="n">
        <v>46114</v>
      </c>
      <c r="B2756" s="15" t="s">
        <v>500</v>
      </c>
      <c r="C2756" s="15" t="s">
        <v>543</v>
      </c>
      <c r="D2756" s="15" t="s">
        <v>544</v>
      </c>
      <c r="E2756" s="15" t="n">
        <v>1</v>
      </c>
      <c r="H2756" s="10"/>
      <c r="I2756" s="21"/>
      <c r="M2756" s="10"/>
      <c r="N2756" s="10"/>
      <c r="P2756" s="10"/>
      <c r="Q2756" s="22"/>
    </row>
    <row r="2757" customFormat="false" ht="15.75" hidden="false" customHeight="false" outlineLevel="0" collapsed="false">
      <c r="A2757" s="20" t="n">
        <v>46114</v>
      </c>
      <c r="B2757" s="15" t="s">
        <v>500</v>
      </c>
      <c r="C2757" s="15" t="s">
        <v>55</v>
      </c>
      <c r="D2757" s="15" t="s">
        <v>539</v>
      </c>
      <c r="E2757" s="15" t="n">
        <v>1</v>
      </c>
      <c r="H2757" s="10"/>
      <c r="I2757" s="21"/>
      <c r="M2757" s="10"/>
      <c r="N2757" s="10"/>
      <c r="P2757" s="10"/>
      <c r="Q2757" s="22"/>
    </row>
    <row r="2758" customFormat="false" ht="15.75" hidden="false" customHeight="false" outlineLevel="0" collapsed="false">
      <c r="A2758" s="20" t="n">
        <v>46114</v>
      </c>
      <c r="B2758" s="15" t="s">
        <v>500</v>
      </c>
      <c r="C2758" s="15" t="s">
        <v>59</v>
      </c>
      <c r="D2758" s="15" t="s">
        <v>562</v>
      </c>
      <c r="E2758" s="15" t="n">
        <v>1</v>
      </c>
      <c r="H2758" s="10"/>
      <c r="I2758" s="21"/>
      <c r="M2758" s="10"/>
      <c r="N2758" s="10"/>
      <c r="P2758" s="10"/>
      <c r="Q2758" s="22"/>
    </row>
    <row r="2759" customFormat="false" ht="15.75" hidden="false" customHeight="false" outlineLevel="0" collapsed="false">
      <c r="A2759" s="20" t="n">
        <v>46114</v>
      </c>
      <c r="B2759" s="15" t="s">
        <v>500</v>
      </c>
      <c r="C2759" s="15" t="s">
        <v>47</v>
      </c>
      <c r="D2759" s="15" t="s">
        <v>549</v>
      </c>
      <c r="E2759" s="15" t="n">
        <v>1</v>
      </c>
      <c r="H2759" s="10"/>
      <c r="I2759" s="21"/>
      <c r="M2759" s="10"/>
      <c r="N2759" s="10"/>
      <c r="P2759" s="10"/>
      <c r="Q2759" s="22"/>
    </row>
    <row r="2760" customFormat="false" ht="15.75" hidden="false" customHeight="false" outlineLevel="0" collapsed="false">
      <c r="A2760" s="20" t="n">
        <v>46114</v>
      </c>
      <c r="B2760" s="15" t="s">
        <v>500</v>
      </c>
      <c r="C2760" s="15" t="s">
        <v>69</v>
      </c>
      <c r="D2760" s="15" t="s">
        <v>535</v>
      </c>
      <c r="E2760" s="15" t="n">
        <v>1</v>
      </c>
      <c r="H2760" s="10"/>
      <c r="I2760" s="21"/>
      <c r="M2760" s="10"/>
      <c r="N2760" s="10"/>
      <c r="P2760" s="10"/>
      <c r="Q2760" s="22"/>
    </row>
    <row r="2761" customFormat="false" ht="15.75" hidden="false" customHeight="false" outlineLevel="0" collapsed="false">
      <c r="A2761" s="20" t="n">
        <v>46114</v>
      </c>
      <c r="B2761" s="15" t="s">
        <v>500</v>
      </c>
      <c r="C2761" s="15" t="s">
        <v>33</v>
      </c>
      <c r="D2761" s="15" t="s">
        <v>536</v>
      </c>
      <c r="E2761" s="15" t="n">
        <v>2</v>
      </c>
      <c r="H2761" s="10"/>
      <c r="I2761" s="21"/>
      <c r="M2761" s="10"/>
      <c r="N2761" s="10"/>
      <c r="P2761" s="10"/>
      <c r="Q2761" s="22"/>
    </row>
    <row r="2762" customFormat="false" ht="15.75" hidden="false" customHeight="false" outlineLevel="0" collapsed="false">
      <c r="A2762" s="20" t="n">
        <v>46114</v>
      </c>
      <c r="B2762" s="15" t="s">
        <v>500</v>
      </c>
      <c r="C2762" s="15" t="s">
        <v>77</v>
      </c>
      <c r="D2762" s="15" t="s">
        <v>78</v>
      </c>
      <c r="E2762" s="15" t="n">
        <v>2</v>
      </c>
      <c r="H2762" s="10"/>
      <c r="I2762" s="21"/>
      <c r="M2762" s="10"/>
      <c r="N2762" s="10"/>
      <c r="P2762" s="10"/>
      <c r="Q2762" s="22"/>
    </row>
    <row r="2763" customFormat="false" ht="15.75" hidden="false" customHeight="false" outlineLevel="0" collapsed="false">
      <c r="A2763" s="20" t="n">
        <v>46114</v>
      </c>
      <c r="B2763" s="15" t="s">
        <v>500</v>
      </c>
      <c r="C2763" s="15" t="s">
        <v>75</v>
      </c>
      <c r="D2763" s="15" t="s">
        <v>560</v>
      </c>
      <c r="E2763" s="15" t="n">
        <v>1</v>
      </c>
      <c r="H2763" s="10"/>
      <c r="I2763" s="21"/>
      <c r="M2763" s="10"/>
      <c r="N2763" s="10"/>
      <c r="P2763" s="10"/>
      <c r="Q2763" s="22"/>
    </row>
    <row r="2764" customFormat="false" ht="15.75" hidden="false" customHeight="false" outlineLevel="0" collapsed="false">
      <c r="A2764" s="20" t="n">
        <v>46114</v>
      </c>
      <c r="B2764" s="15" t="s">
        <v>504</v>
      </c>
      <c r="C2764" s="15" t="s">
        <v>47</v>
      </c>
      <c r="D2764" s="15" t="s">
        <v>549</v>
      </c>
      <c r="E2764" s="15" t="n">
        <v>3</v>
      </c>
      <c r="H2764" s="10"/>
      <c r="I2764" s="21"/>
      <c r="M2764" s="10"/>
      <c r="N2764" s="10"/>
      <c r="P2764" s="10"/>
      <c r="Q2764" s="22"/>
    </row>
    <row r="2765" customFormat="false" ht="15.75" hidden="false" customHeight="false" outlineLevel="0" collapsed="false">
      <c r="A2765" s="20" t="n">
        <v>46114</v>
      </c>
      <c r="B2765" s="15" t="s">
        <v>504</v>
      </c>
      <c r="C2765" s="15" t="s">
        <v>55</v>
      </c>
      <c r="D2765" s="15" t="s">
        <v>539</v>
      </c>
      <c r="E2765" s="15" t="n">
        <v>6</v>
      </c>
      <c r="H2765" s="10"/>
      <c r="I2765" s="21"/>
      <c r="M2765" s="10"/>
      <c r="N2765" s="10"/>
      <c r="P2765" s="10"/>
      <c r="Q2765" s="22"/>
    </row>
    <row r="2766" customFormat="false" ht="15.75" hidden="false" customHeight="false" outlineLevel="0" collapsed="false">
      <c r="A2766" s="20" t="n">
        <v>46114</v>
      </c>
      <c r="B2766" s="15" t="s">
        <v>504</v>
      </c>
      <c r="C2766" s="15" t="s">
        <v>81</v>
      </c>
      <c r="D2766" s="15" t="s">
        <v>534</v>
      </c>
      <c r="E2766" s="15" t="n">
        <v>9</v>
      </c>
      <c r="H2766" s="10"/>
      <c r="I2766" s="21"/>
      <c r="M2766" s="10"/>
      <c r="N2766" s="10"/>
      <c r="P2766" s="10"/>
      <c r="Q2766" s="22"/>
    </row>
    <row r="2767" customFormat="false" ht="15.75" hidden="false" customHeight="false" outlineLevel="0" collapsed="false">
      <c r="A2767" s="20" t="n">
        <v>46114</v>
      </c>
      <c r="B2767" s="15" t="s">
        <v>504</v>
      </c>
      <c r="C2767" s="15" t="s">
        <v>39</v>
      </c>
      <c r="D2767" s="15" t="s">
        <v>550</v>
      </c>
      <c r="E2767" s="15" t="n">
        <v>1</v>
      </c>
      <c r="H2767" s="10"/>
      <c r="I2767" s="21"/>
      <c r="M2767" s="10"/>
      <c r="N2767" s="10"/>
      <c r="P2767" s="10"/>
      <c r="Q2767" s="22"/>
    </row>
    <row r="2768" customFormat="false" ht="15.75" hidden="false" customHeight="false" outlineLevel="0" collapsed="false">
      <c r="A2768" s="20" t="n">
        <v>46114</v>
      </c>
      <c r="B2768" s="15" t="s">
        <v>504</v>
      </c>
      <c r="C2768" s="15" t="s">
        <v>63</v>
      </c>
      <c r="D2768" s="15" t="s">
        <v>551</v>
      </c>
      <c r="E2768" s="15" t="n">
        <v>1</v>
      </c>
      <c r="H2768" s="10"/>
      <c r="I2768" s="21"/>
      <c r="M2768" s="10"/>
      <c r="N2768" s="10"/>
      <c r="P2768" s="10"/>
      <c r="Q2768" s="22"/>
    </row>
    <row r="2769" customFormat="false" ht="15.75" hidden="false" customHeight="false" outlineLevel="0" collapsed="false">
      <c r="A2769" s="20" t="n">
        <v>46114</v>
      </c>
      <c r="B2769" s="15" t="s">
        <v>504</v>
      </c>
      <c r="C2769" s="15" t="s">
        <v>17</v>
      </c>
      <c r="D2769" s="15" t="s">
        <v>554</v>
      </c>
      <c r="E2769" s="15" t="n">
        <v>1</v>
      </c>
      <c r="H2769" s="10"/>
      <c r="I2769" s="21"/>
      <c r="M2769" s="10"/>
      <c r="N2769" s="10"/>
      <c r="P2769" s="10"/>
      <c r="Q2769" s="22"/>
    </row>
    <row r="2770" customFormat="false" ht="15.75" hidden="false" customHeight="false" outlineLevel="0" collapsed="false">
      <c r="A2770" s="20" t="n">
        <v>46114</v>
      </c>
      <c r="B2770" s="15" t="s">
        <v>505</v>
      </c>
      <c r="C2770" s="15" t="s">
        <v>55</v>
      </c>
      <c r="D2770" s="15" t="s">
        <v>539</v>
      </c>
      <c r="E2770" s="15" t="n">
        <v>6</v>
      </c>
      <c r="H2770" s="10"/>
      <c r="I2770" s="21"/>
      <c r="M2770" s="10"/>
      <c r="N2770" s="10"/>
      <c r="P2770" s="10"/>
      <c r="Q2770" s="22"/>
    </row>
    <row r="2771" customFormat="false" ht="15.75" hidden="false" customHeight="false" outlineLevel="0" collapsed="false">
      <c r="A2771" s="20" t="n">
        <v>46114</v>
      </c>
      <c r="B2771" s="15" t="s">
        <v>505</v>
      </c>
      <c r="C2771" s="15" t="s">
        <v>39</v>
      </c>
      <c r="D2771" s="15" t="s">
        <v>550</v>
      </c>
      <c r="E2771" s="15" t="n">
        <v>1</v>
      </c>
      <c r="H2771" s="10"/>
      <c r="I2771" s="21"/>
      <c r="M2771" s="10"/>
      <c r="N2771" s="10"/>
      <c r="P2771" s="10"/>
      <c r="Q2771" s="22"/>
    </row>
    <row r="2772" customFormat="false" ht="15.75" hidden="false" customHeight="false" outlineLevel="0" collapsed="false">
      <c r="A2772" s="20" t="n">
        <v>46114</v>
      </c>
      <c r="B2772" s="15" t="s">
        <v>505</v>
      </c>
      <c r="C2772" s="15" t="s">
        <v>81</v>
      </c>
      <c r="D2772" s="15" t="s">
        <v>534</v>
      </c>
      <c r="E2772" s="15" t="n">
        <v>9</v>
      </c>
      <c r="H2772" s="10"/>
      <c r="I2772" s="21"/>
      <c r="M2772" s="10"/>
      <c r="N2772" s="10"/>
      <c r="P2772" s="10"/>
      <c r="Q2772" s="22"/>
    </row>
    <row r="2773" customFormat="false" ht="15.75" hidden="false" customHeight="false" outlineLevel="0" collapsed="false">
      <c r="A2773" s="20" t="n">
        <v>46114</v>
      </c>
      <c r="B2773" s="15" t="s">
        <v>505</v>
      </c>
      <c r="C2773" s="15" t="s">
        <v>47</v>
      </c>
      <c r="D2773" s="15" t="s">
        <v>549</v>
      </c>
      <c r="E2773" s="15" t="n">
        <v>3</v>
      </c>
      <c r="H2773" s="10"/>
      <c r="I2773" s="21"/>
      <c r="M2773" s="10"/>
      <c r="N2773" s="10"/>
      <c r="P2773" s="10"/>
      <c r="Q2773" s="22"/>
    </row>
    <row r="2774" customFormat="false" ht="15.75" hidden="false" customHeight="false" outlineLevel="0" collapsed="false">
      <c r="A2774" s="20" t="n">
        <v>46114</v>
      </c>
      <c r="B2774" s="15" t="s">
        <v>505</v>
      </c>
      <c r="C2774" s="15" t="s">
        <v>63</v>
      </c>
      <c r="D2774" s="15" t="s">
        <v>551</v>
      </c>
      <c r="E2774" s="15" t="n">
        <v>1</v>
      </c>
      <c r="H2774" s="10"/>
      <c r="I2774" s="21"/>
      <c r="M2774" s="10"/>
      <c r="N2774" s="10"/>
      <c r="P2774" s="10"/>
      <c r="Q2774" s="22"/>
    </row>
    <row r="2775" customFormat="false" ht="15.75" hidden="false" customHeight="false" outlineLevel="0" collapsed="false">
      <c r="A2775" s="20" t="n">
        <v>46114</v>
      </c>
      <c r="B2775" s="15" t="s">
        <v>505</v>
      </c>
      <c r="C2775" s="15" t="s">
        <v>17</v>
      </c>
      <c r="D2775" s="15" t="s">
        <v>554</v>
      </c>
      <c r="E2775" s="15" t="n">
        <v>1</v>
      </c>
      <c r="H2775" s="10"/>
      <c r="I2775" s="21"/>
      <c r="M2775" s="10"/>
      <c r="N2775" s="10"/>
      <c r="P2775" s="10"/>
      <c r="Q2775" s="22"/>
    </row>
    <row r="2776" customFormat="false" ht="15.75" hidden="false" customHeight="false" outlineLevel="0" collapsed="false">
      <c r="A2776" s="20" t="n">
        <v>46114</v>
      </c>
      <c r="B2776" s="15" t="s">
        <v>508</v>
      </c>
      <c r="C2776" s="15" t="s">
        <v>55</v>
      </c>
      <c r="D2776" s="15" t="s">
        <v>539</v>
      </c>
      <c r="E2776" s="15" t="n">
        <v>5</v>
      </c>
      <c r="H2776" s="10"/>
      <c r="I2776" s="21"/>
      <c r="M2776" s="10"/>
      <c r="N2776" s="10"/>
      <c r="P2776" s="10"/>
      <c r="Q2776" s="22"/>
    </row>
    <row r="2777" customFormat="false" ht="15.75" hidden="false" customHeight="false" outlineLevel="0" collapsed="false">
      <c r="A2777" s="20" t="n">
        <v>46114</v>
      </c>
      <c r="B2777" s="15" t="s">
        <v>508</v>
      </c>
      <c r="C2777" s="15" t="s">
        <v>81</v>
      </c>
      <c r="D2777" s="15" t="s">
        <v>534</v>
      </c>
      <c r="E2777" s="15" t="n">
        <v>9</v>
      </c>
      <c r="H2777" s="10"/>
      <c r="I2777" s="21"/>
      <c r="M2777" s="10"/>
      <c r="N2777" s="10"/>
      <c r="P2777" s="10"/>
      <c r="Q2777" s="22"/>
    </row>
    <row r="2778" customFormat="false" ht="15.75" hidden="false" customHeight="false" outlineLevel="0" collapsed="false">
      <c r="A2778" s="20" t="n">
        <v>46114</v>
      </c>
      <c r="B2778" s="15" t="s">
        <v>508</v>
      </c>
      <c r="C2778" s="15" t="s">
        <v>39</v>
      </c>
      <c r="D2778" s="15" t="s">
        <v>550</v>
      </c>
      <c r="E2778" s="15" t="n">
        <v>2</v>
      </c>
      <c r="H2778" s="10"/>
      <c r="I2778" s="21"/>
      <c r="M2778" s="10"/>
      <c r="N2778" s="10"/>
      <c r="P2778" s="10"/>
      <c r="Q2778" s="22"/>
    </row>
    <row r="2779" customFormat="false" ht="15.75" hidden="false" customHeight="false" outlineLevel="0" collapsed="false">
      <c r="A2779" s="20" t="n">
        <v>46114</v>
      </c>
      <c r="B2779" s="15" t="s">
        <v>508</v>
      </c>
      <c r="C2779" s="15" t="s">
        <v>47</v>
      </c>
      <c r="D2779" s="15" t="s">
        <v>549</v>
      </c>
      <c r="E2779" s="15" t="n">
        <v>2</v>
      </c>
      <c r="H2779" s="10"/>
      <c r="I2779" s="21"/>
      <c r="M2779" s="10"/>
      <c r="N2779" s="10"/>
      <c r="P2779" s="10"/>
      <c r="Q2779" s="22"/>
    </row>
    <row r="2780" customFormat="false" ht="15.75" hidden="false" customHeight="false" outlineLevel="0" collapsed="false">
      <c r="A2780" s="20" t="n">
        <v>46114</v>
      </c>
      <c r="B2780" s="15" t="s">
        <v>508</v>
      </c>
      <c r="C2780" s="15" t="s">
        <v>63</v>
      </c>
      <c r="D2780" s="15" t="s">
        <v>551</v>
      </c>
      <c r="E2780" s="15" t="n">
        <v>1</v>
      </c>
      <c r="H2780" s="10"/>
      <c r="I2780" s="21"/>
      <c r="M2780" s="10"/>
      <c r="N2780" s="10"/>
      <c r="P2780" s="10"/>
      <c r="Q2780" s="22"/>
    </row>
    <row r="2781" customFormat="false" ht="15.75" hidden="false" customHeight="false" outlineLevel="0" collapsed="false">
      <c r="A2781" s="20" t="n">
        <v>46114</v>
      </c>
      <c r="B2781" s="15" t="s">
        <v>515</v>
      </c>
      <c r="C2781" s="15" t="s">
        <v>69</v>
      </c>
      <c r="D2781" s="15" t="s">
        <v>535</v>
      </c>
      <c r="E2781" s="15" t="n">
        <v>6</v>
      </c>
      <c r="H2781" s="10"/>
      <c r="I2781" s="21"/>
      <c r="M2781" s="10"/>
      <c r="N2781" s="10"/>
      <c r="P2781" s="10"/>
      <c r="Q2781" s="22"/>
    </row>
    <row r="2782" customFormat="false" ht="15.75" hidden="false" customHeight="false" outlineLevel="0" collapsed="false">
      <c r="A2782" s="20" t="n">
        <v>46114</v>
      </c>
      <c r="B2782" s="15" t="s">
        <v>515</v>
      </c>
      <c r="C2782" s="15" t="s">
        <v>33</v>
      </c>
      <c r="D2782" s="15" t="s">
        <v>536</v>
      </c>
      <c r="E2782" s="15" t="n">
        <v>6</v>
      </c>
      <c r="H2782" s="10"/>
      <c r="I2782" s="21"/>
      <c r="M2782" s="10"/>
      <c r="N2782" s="10"/>
      <c r="P2782" s="10"/>
      <c r="Q2782" s="22"/>
    </row>
    <row r="2783" customFormat="false" ht="15.75" hidden="false" customHeight="false" outlineLevel="0" collapsed="false">
      <c r="A2783" s="20" t="n">
        <v>46114</v>
      </c>
      <c r="B2783" s="15" t="s">
        <v>515</v>
      </c>
      <c r="C2783" s="15" t="s">
        <v>55</v>
      </c>
      <c r="D2783" s="15" t="s">
        <v>539</v>
      </c>
      <c r="E2783" s="15" t="n">
        <v>4</v>
      </c>
      <c r="H2783" s="10"/>
      <c r="I2783" s="21"/>
      <c r="M2783" s="10"/>
      <c r="N2783" s="10"/>
      <c r="P2783" s="10"/>
      <c r="Q2783" s="22"/>
    </row>
    <row r="2784" customFormat="false" ht="15.75" hidden="false" customHeight="false" outlineLevel="0" collapsed="false">
      <c r="A2784" s="20" t="n">
        <v>46114</v>
      </c>
      <c r="B2784" s="15" t="s">
        <v>515</v>
      </c>
      <c r="C2784" s="15" t="s">
        <v>27</v>
      </c>
      <c r="D2784" s="15" t="s">
        <v>577</v>
      </c>
      <c r="E2784" s="15" t="n">
        <v>1</v>
      </c>
      <c r="H2784" s="10"/>
      <c r="I2784" s="21"/>
      <c r="M2784" s="10"/>
      <c r="N2784" s="10"/>
      <c r="P2784" s="10"/>
      <c r="Q2784" s="22"/>
    </row>
    <row r="2785" customFormat="false" ht="15.75" hidden="false" customHeight="false" outlineLevel="0" collapsed="false">
      <c r="A2785" s="20" t="n">
        <v>46114</v>
      </c>
      <c r="B2785" s="15" t="s">
        <v>515</v>
      </c>
      <c r="C2785" s="15" t="s">
        <v>51</v>
      </c>
      <c r="D2785" s="15" t="s">
        <v>573</v>
      </c>
      <c r="E2785" s="15" t="n">
        <v>1</v>
      </c>
      <c r="H2785" s="10"/>
      <c r="I2785" s="21"/>
      <c r="M2785" s="10"/>
      <c r="N2785" s="10"/>
      <c r="P2785" s="10"/>
      <c r="Q2785" s="22"/>
    </row>
    <row r="2786" customFormat="false" ht="15.75" hidden="false" customHeight="false" outlineLevel="0" collapsed="false">
      <c r="A2786" s="20" t="n">
        <v>46114</v>
      </c>
      <c r="B2786" s="15" t="s">
        <v>515</v>
      </c>
      <c r="C2786" s="15" t="s">
        <v>37</v>
      </c>
      <c r="D2786" s="15" t="s">
        <v>561</v>
      </c>
      <c r="E2786" s="15" t="n">
        <v>1</v>
      </c>
      <c r="H2786" s="10"/>
      <c r="I2786" s="21"/>
      <c r="M2786" s="10"/>
      <c r="N2786" s="10"/>
      <c r="P2786" s="10"/>
      <c r="Q2786" s="22"/>
    </row>
    <row r="2787" customFormat="false" ht="15.75" hidden="false" customHeight="false" outlineLevel="0" collapsed="false">
      <c r="A2787" s="20" t="n">
        <v>46114</v>
      </c>
      <c r="B2787" s="15" t="s">
        <v>515</v>
      </c>
      <c r="C2787" s="15" t="s">
        <v>81</v>
      </c>
      <c r="D2787" s="15" t="s">
        <v>534</v>
      </c>
      <c r="E2787" s="15" t="n">
        <v>2</v>
      </c>
      <c r="H2787" s="10"/>
      <c r="I2787" s="21"/>
      <c r="M2787" s="10"/>
      <c r="N2787" s="10"/>
      <c r="P2787" s="10"/>
      <c r="Q2787" s="22"/>
    </row>
    <row r="2788" customFormat="false" ht="15.75" hidden="false" customHeight="false" outlineLevel="0" collapsed="false">
      <c r="A2788" s="20" t="n">
        <v>46114</v>
      </c>
      <c r="B2788" s="15" t="s">
        <v>515</v>
      </c>
      <c r="C2788" s="15" t="s">
        <v>77</v>
      </c>
      <c r="D2788" s="15" t="s">
        <v>78</v>
      </c>
      <c r="E2788" s="15" t="n">
        <v>4</v>
      </c>
      <c r="H2788" s="10"/>
      <c r="I2788" s="21"/>
      <c r="M2788" s="10"/>
      <c r="N2788" s="10"/>
      <c r="P2788" s="10"/>
      <c r="Q2788" s="22"/>
    </row>
    <row r="2789" customFormat="false" ht="15.75" hidden="false" customHeight="false" outlineLevel="0" collapsed="false">
      <c r="A2789" s="20" t="n">
        <v>46115</v>
      </c>
      <c r="B2789" s="15" t="s">
        <v>453</v>
      </c>
      <c r="C2789" s="15" t="s">
        <v>47</v>
      </c>
      <c r="D2789" s="15" t="s">
        <v>549</v>
      </c>
      <c r="E2789" s="15" t="n">
        <v>2</v>
      </c>
      <c r="H2789" s="10"/>
      <c r="I2789" s="21"/>
      <c r="M2789" s="10"/>
      <c r="N2789" s="10"/>
      <c r="P2789" s="10"/>
      <c r="Q2789" s="22"/>
    </row>
    <row r="2790" customFormat="false" ht="15.75" hidden="false" customHeight="false" outlineLevel="0" collapsed="false">
      <c r="A2790" s="20" t="n">
        <v>46115</v>
      </c>
      <c r="B2790" s="15" t="s">
        <v>453</v>
      </c>
      <c r="C2790" s="15" t="s">
        <v>55</v>
      </c>
      <c r="D2790" s="15" t="s">
        <v>539</v>
      </c>
      <c r="E2790" s="15" t="n">
        <v>4</v>
      </c>
      <c r="H2790" s="10"/>
      <c r="I2790" s="21"/>
      <c r="M2790" s="10"/>
      <c r="N2790" s="10"/>
      <c r="P2790" s="10"/>
      <c r="Q2790" s="22"/>
    </row>
    <row r="2791" customFormat="false" ht="15.75" hidden="false" customHeight="false" outlineLevel="0" collapsed="false">
      <c r="A2791" s="20" t="n">
        <v>46115</v>
      </c>
      <c r="B2791" s="15" t="s">
        <v>453</v>
      </c>
      <c r="C2791" s="15" t="s">
        <v>81</v>
      </c>
      <c r="D2791" s="15" t="s">
        <v>534</v>
      </c>
      <c r="E2791" s="15" t="n">
        <v>8</v>
      </c>
      <c r="H2791" s="10"/>
      <c r="I2791" s="21"/>
      <c r="M2791" s="10"/>
      <c r="N2791" s="10"/>
      <c r="P2791" s="10"/>
      <c r="Q2791" s="22"/>
    </row>
    <row r="2792" customFormat="false" ht="15.75" hidden="false" customHeight="false" outlineLevel="0" collapsed="false">
      <c r="A2792" s="20" t="n">
        <v>46115</v>
      </c>
      <c r="B2792" s="15" t="s">
        <v>453</v>
      </c>
      <c r="C2792" s="15" t="s">
        <v>39</v>
      </c>
      <c r="D2792" s="15" t="s">
        <v>550</v>
      </c>
      <c r="E2792" s="15" t="n">
        <v>2</v>
      </c>
      <c r="H2792" s="10"/>
      <c r="I2792" s="21"/>
      <c r="M2792" s="10"/>
      <c r="N2792" s="10"/>
      <c r="P2792" s="10"/>
      <c r="Q2792" s="22"/>
    </row>
    <row r="2793" customFormat="false" ht="15.75" hidden="false" customHeight="false" outlineLevel="0" collapsed="false">
      <c r="A2793" s="20" t="n">
        <v>46115</v>
      </c>
      <c r="B2793" s="15" t="s">
        <v>453</v>
      </c>
      <c r="C2793" s="15" t="s">
        <v>63</v>
      </c>
      <c r="D2793" s="15" t="s">
        <v>551</v>
      </c>
      <c r="E2793" s="15" t="n">
        <v>1</v>
      </c>
      <c r="H2793" s="10"/>
      <c r="I2793" s="21"/>
      <c r="M2793" s="10"/>
      <c r="N2793" s="10"/>
      <c r="P2793" s="10"/>
      <c r="Q2793" s="22"/>
    </row>
    <row r="2794" customFormat="false" ht="15.75" hidden="false" customHeight="false" outlineLevel="0" collapsed="false">
      <c r="A2794" s="20" t="n">
        <v>46115</v>
      </c>
      <c r="B2794" s="15" t="s">
        <v>453</v>
      </c>
      <c r="C2794" s="15" t="s">
        <v>35</v>
      </c>
      <c r="D2794" s="15" t="s">
        <v>552</v>
      </c>
      <c r="E2794" s="15" t="n">
        <v>2</v>
      </c>
      <c r="H2794" s="10"/>
      <c r="I2794" s="21"/>
      <c r="M2794" s="10"/>
      <c r="N2794" s="10"/>
      <c r="P2794" s="10"/>
      <c r="Q2794" s="22"/>
    </row>
    <row r="2795" customFormat="false" ht="15.75" hidden="false" customHeight="false" outlineLevel="0" collapsed="false">
      <c r="A2795" s="20" t="n">
        <v>46115</v>
      </c>
      <c r="B2795" s="15" t="s">
        <v>467</v>
      </c>
      <c r="C2795" s="15" t="s">
        <v>55</v>
      </c>
      <c r="D2795" s="15" t="s">
        <v>539</v>
      </c>
      <c r="E2795" s="15" t="n">
        <v>6</v>
      </c>
      <c r="H2795" s="10"/>
      <c r="I2795" s="21"/>
      <c r="M2795" s="10"/>
      <c r="N2795" s="10"/>
      <c r="P2795" s="10"/>
      <c r="Q2795" s="22"/>
    </row>
    <row r="2796" customFormat="false" ht="15.75" hidden="false" customHeight="false" outlineLevel="0" collapsed="false">
      <c r="A2796" s="20" t="n">
        <v>46115</v>
      </c>
      <c r="B2796" s="15" t="s">
        <v>467</v>
      </c>
      <c r="C2796" s="15" t="s">
        <v>57</v>
      </c>
      <c r="D2796" s="15" t="s">
        <v>553</v>
      </c>
      <c r="E2796" s="15" t="n">
        <v>2</v>
      </c>
      <c r="H2796" s="10"/>
      <c r="I2796" s="21"/>
      <c r="M2796" s="10"/>
      <c r="N2796" s="10"/>
      <c r="P2796" s="10"/>
      <c r="Q2796" s="22"/>
    </row>
    <row r="2797" customFormat="false" ht="15.75" hidden="false" customHeight="false" outlineLevel="0" collapsed="false">
      <c r="A2797" s="20" t="n">
        <v>46115</v>
      </c>
      <c r="B2797" s="15" t="s">
        <v>467</v>
      </c>
      <c r="C2797" s="15" t="s">
        <v>47</v>
      </c>
      <c r="D2797" s="15" t="s">
        <v>549</v>
      </c>
      <c r="E2797" s="15" t="n">
        <v>2</v>
      </c>
      <c r="H2797" s="10"/>
      <c r="I2797" s="21"/>
      <c r="M2797" s="10"/>
      <c r="N2797" s="10"/>
      <c r="P2797" s="10"/>
      <c r="Q2797" s="22"/>
    </row>
    <row r="2798" customFormat="false" ht="15.75" hidden="false" customHeight="false" outlineLevel="0" collapsed="false">
      <c r="A2798" s="20" t="n">
        <v>46115</v>
      </c>
      <c r="B2798" s="15" t="s">
        <v>467</v>
      </c>
      <c r="C2798" s="15" t="s">
        <v>81</v>
      </c>
      <c r="D2798" s="15" t="s">
        <v>534</v>
      </c>
      <c r="E2798" s="15" t="n">
        <v>7</v>
      </c>
      <c r="H2798" s="10"/>
      <c r="I2798" s="21"/>
      <c r="M2798" s="10"/>
      <c r="N2798" s="10"/>
      <c r="P2798" s="10"/>
      <c r="Q2798" s="22"/>
    </row>
    <row r="2799" customFormat="false" ht="15.75" hidden="false" customHeight="false" outlineLevel="0" collapsed="false">
      <c r="A2799" s="20" t="n">
        <v>46115</v>
      </c>
      <c r="B2799" s="15" t="s">
        <v>467</v>
      </c>
      <c r="C2799" s="15" t="s">
        <v>49</v>
      </c>
      <c r="D2799" s="15" t="s">
        <v>537</v>
      </c>
      <c r="E2799" s="15" t="n">
        <v>2</v>
      </c>
      <c r="H2799" s="10"/>
      <c r="I2799" s="21"/>
      <c r="M2799" s="10"/>
      <c r="N2799" s="10"/>
      <c r="P2799" s="10"/>
      <c r="Q2799" s="22"/>
    </row>
    <row r="2800" customFormat="false" ht="15.75" hidden="false" customHeight="false" outlineLevel="0" collapsed="false">
      <c r="A2800" s="20" t="n">
        <v>46115</v>
      </c>
      <c r="B2800" s="15" t="s">
        <v>467</v>
      </c>
      <c r="C2800" s="15" t="s">
        <v>63</v>
      </c>
      <c r="D2800" s="15" t="s">
        <v>551</v>
      </c>
      <c r="E2800" s="15" t="n">
        <v>1</v>
      </c>
      <c r="H2800" s="10"/>
      <c r="I2800" s="21"/>
      <c r="M2800" s="10"/>
      <c r="N2800" s="10"/>
      <c r="P2800" s="10"/>
      <c r="Q2800" s="22"/>
    </row>
    <row r="2801" customFormat="false" ht="15.75" hidden="false" customHeight="false" outlineLevel="0" collapsed="false">
      <c r="A2801" s="20" t="n">
        <v>46115</v>
      </c>
      <c r="B2801" s="15" t="s">
        <v>469</v>
      </c>
      <c r="C2801" s="15" t="s">
        <v>69</v>
      </c>
      <c r="D2801" s="15" t="s">
        <v>535</v>
      </c>
      <c r="E2801" s="15" t="n">
        <v>5</v>
      </c>
      <c r="H2801" s="10"/>
      <c r="I2801" s="21"/>
      <c r="M2801" s="10"/>
      <c r="N2801" s="10"/>
      <c r="P2801" s="10"/>
      <c r="Q2801" s="22"/>
    </row>
    <row r="2802" customFormat="false" ht="15.75" hidden="false" customHeight="false" outlineLevel="0" collapsed="false">
      <c r="A2802" s="20" t="n">
        <v>46115</v>
      </c>
      <c r="B2802" s="15" t="s">
        <v>469</v>
      </c>
      <c r="C2802" s="15" t="s">
        <v>55</v>
      </c>
      <c r="D2802" s="15" t="s">
        <v>539</v>
      </c>
      <c r="E2802" s="15" t="n">
        <v>2</v>
      </c>
      <c r="H2802" s="10"/>
      <c r="I2802" s="21"/>
      <c r="M2802" s="10"/>
      <c r="N2802" s="10"/>
      <c r="P2802" s="10"/>
      <c r="Q2802" s="22"/>
    </row>
    <row r="2803" customFormat="false" ht="15.75" hidden="false" customHeight="false" outlineLevel="0" collapsed="false">
      <c r="A2803" s="20" t="n">
        <v>46115</v>
      </c>
      <c r="B2803" s="15" t="s">
        <v>469</v>
      </c>
      <c r="C2803" s="15" t="s">
        <v>33</v>
      </c>
      <c r="D2803" s="15" t="s">
        <v>536</v>
      </c>
      <c r="E2803" s="15" t="n">
        <v>5</v>
      </c>
      <c r="H2803" s="10"/>
      <c r="I2803" s="21"/>
      <c r="M2803" s="10"/>
      <c r="N2803" s="10"/>
      <c r="P2803" s="10"/>
      <c r="Q2803" s="22"/>
    </row>
    <row r="2804" customFormat="false" ht="15.75" hidden="false" customHeight="false" outlineLevel="0" collapsed="false">
      <c r="A2804" s="20" t="n">
        <v>46115</v>
      </c>
      <c r="B2804" s="15" t="s">
        <v>469</v>
      </c>
      <c r="C2804" s="15" t="s">
        <v>547</v>
      </c>
      <c r="D2804" s="15" t="s">
        <v>548</v>
      </c>
      <c r="E2804" s="15" t="n">
        <v>1</v>
      </c>
      <c r="H2804" s="10"/>
      <c r="I2804" s="21"/>
      <c r="M2804" s="10"/>
      <c r="N2804" s="10"/>
      <c r="P2804" s="10"/>
      <c r="Q2804" s="22"/>
    </row>
    <row r="2805" customFormat="false" ht="15.75" hidden="false" customHeight="false" outlineLevel="0" collapsed="false">
      <c r="A2805" s="20" t="n">
        <v>46115</v>
      </c>
      <c r="B2805" s="15" t="s">
        <v>469</v>
      </c>
      <c r="C2805" s="15" t="s">
        <v>81</v>
      </c>
      <c r="D2805" s="15" t="s">
        <v>534</v>
      </c>
      <c r="E2805" s="15" t="n">
        <v>2</v>
      </c>
      <c r="H2805" s="10"/>
      <c r="I2805" s="21"/>
      <c r="M2805" s="10"/>
      <c r="N2805" s="10"/>
      <c r="P2805" s="10"/>
      <c r="Q2805" s="22"/>
    </row>
    <row r="2806" customFormat="false" ht="15.75" hidden="false" customHeight="false" outlineLevel="0" collapsed="false">
      <c r="A2806" s="20" t="n">
        <v>46115</v>
      </c>
      <c r="B2806" s="15" t="s">
        <v>473</v>
      </c>
      <c r="C2806" s="15" t="s">
        <v>555</v>
      </c>
      <c r="D2806" s="15" t="s">
        <v>556</v>
      </c>
      <c r="E2806" s="15" t="n">
        <v>4</v>
      </c>
      <c r="H2806" s="10"/>
      <c r="I2806" s="21"/>
      <c r="M2806" s="10"/>
      <c r="N2806" s="10"/>
      <c r="P2806" s="10"/>
      <c r="Q2806" s="22"/>
    </row>
    <row r="2807" customFormat="false" ht="15.75" hidden="false" customHeight="false" outlineLevel="0" collapsed="false">
      <c r="A2807" s="20" t="n">
        <v>46115</v>
      </c>
      <c r="B2807" s="15" t="s">
        <v>473</v>
      </c>
      <c r="C2807" s="15" t="s">
        <v>11</v>
      </c>
      <c r="D2807" s="15" t="s">
        <v>572</v>
      </c>
      <c r="E2807" s="15" t="n">
        <v>4</v>
      </c>
      <c r="H2807" s="10"/>
      <c r="I2807" s="21"/>
      <c r="M2807" s="10"/>
      <c r="N2807" s="10"/>
      <c r="P2807" s="10"/>
      <c r="Q2807" s="22"/>
    </row>
    <row r="2808" customFormat="false" ht="15.75" hidden="false" customHeight="false" outlineLevel="0" collapsed="false">
      <c r="A2808" s="20" t="n">
        <v>46115</v>
      </c>
      <c r="B2808" s="15" t="s">
        <v>473</v>
      </c>
      <c r="C2808" s="15" t="s">
        <v>543</v>
      </c>
      <c r="D2808" s="15" t="s">
        <v>544</v>
      </c>
      <c r="E2808" s="15" t="n">
        <v>4</v>
      </c>
      <c r="H2808" s="10"/>
      <c r="I2808" s="21"/>
      <c r="M2808" s="10"/>
      <c r="N2808" s="10"/>
      <c r="P2808" s="10"/>
      <c r="Q2808" s="22"/>
    </row>
    <row r="2809" customFormat="false" ht="15.75" hidden="false" customHeight="false" outlineLevel="0" collapsed="false">
      <c r="A2809" s="20" t="n">
        <v>46115</v>
      </c>
      <c r="B2809" s="15" t="s">
        <v>473</v>
      </c>
      <c r="C2809" s="15" t="s">
        <v>91</v>
      </c>
      <c r="D2809" s="15" t="s">
        <v>91</v>
      </c>
      <c r="E2809" s="15" t="n">
        <v>4</v>
      </c>
      <c r="H2809" s="10"/>
      <c r="I2809" s="21"/>
      <c r="M2809" s="10"/>
      <c r="N2809" s="10"/>
      <c r="P2809" s="10"/>
      <c r="Q2809" s="22"/>
    </row>
    <row r="2810" customFormat="false" ht="15.75" hidden="false" customHeight="false" outlineLevel="0" collapsed="false">
      <c r="A2810" s="20" t="n">
        <v>46115</v>
      </c>
      <c r="B2810" s="15" t="s">
        <v>473</v>
      </c>
      <c r="C2810" s="15" t="s">
        <v>25</v>
      </c>
      <c r="D2810" s="15" t="s">
        <v>26</v>
      </c>
      <c r="E2810" s="15" t="n">
        <v>4</v>
      </c>
      <c r="H2810" s="10"/>
      <c r="I2810" s="21"/>
      <c r="M2810" s="10"/>
      <c r="N2810" s="10"/>
      <c r="P2810" s="10"/>
      <c r="Q2810" s="22"/>
    </row>
    <row r="2811" customFormat="false" ht="15.75" hidden="false" customHeight="false" outlineLevel="0" collapsed="false">
      <c r="A2811" s="20" t="n">
        <v>46115</v>
      </c>
      <c r="B2811" s="15" t="s">
        <v>477</v>
      </c>
      <c r="C2811" s="15" t="s">
        <v>69</v>
      </c>
      <c r="D2811" s="15" t="s">
        <v>535</v>
      </c>
      <c r="E2811" s="15" t="n">
        <v>3</v>
      </c>
      <c r="H2811" s="10"/>
      <c r="I2811" s="21"/>
      <c r="M2811" s="10"/>
      <c r="N2811" s="10"/>
      <c r="P2811" s="10"/>
      <c r="Q2811" s="22"/>
    </row>
    <row r="2812" customFormat="false" ht="15.75" hidden="false" customHeight="false" outlineLevel="0" collapsed="false">
      <c r="A2812" s="20" t="n">
        <v>46115</v>
      </c>
      <c r="B2812" s="15" t="s">
        <v>477</v>
      </c>
      <c r="C2812" s="15" t="s">
        <v>547</v>
      </c>
      <c r="D2812" s="15" t="s">
        <v>548</v>
      </c>
      <c r="E2812" s="15" t="n">
        <v>3</v>
      </c>
      <c r="H2812" s="10"/>
      <c r="I2812" s="21"/>
      <c r="M2812" s="10"/>
      <c r="N2812" s="10"/>
      <c r="P2812" s="10"/>
      <c r="Q2812" s="22"/>
    </row>
    <row r="2813" customFormat="false" ht="15.75" hidden="false" customHeight="false" outlineLevel="0" collapsed="false">
      <c r="A2813" s="20" t="n">
        <v>46115</v>
      </c>
      <c r="B2813" s="15" t="s">
        <v>477</v>
      </c>
      <c r="C2813" s="15" t="s">
        <v>25</v>
      </c>
      <c r="D2813" s="15" t="s">
        <v>26</v>
      </c>
      <c r="E2813" s="15" t="n">
        <v>3</v>
      </c>
      <c r="H2813" s="10"/>
      <c r="I2813" s="21"/>
      <c r="M2813" s="10"/>
      <c r="N2813" s="10"/>
      <c r="P2813" s="10"/>
      <c r="Q2813" s="22"/>
    </row>
    <row r="2814" customFormat="false" ht="15.75" hidden="false" customHeight="false" outlineLevel="0" collapsed="false">
      <c r="A2814" s="20" t="n">
        <v>46115</v>
      </c>
      <c r="B2814" s="15" t="s">
        <v>487</v>
      </c>
      <c r="C2814" s="15" t="s">
        <v>55</v>
      </c>
      <c r="D2814" s="15" t="s">
        <v>539</v>
      </c>
      <c r="E2814" s="15" t="n">
        <v>1</v>
      </c>
      <c r="H2814" s="10"/>
      <c r="I2814" s="21"/>
      <c r="M2814" s="10"/>
      <c r="N2814" s="10"/>
      <c r="P2814" s="10"/>
      <c r="Q2814" s="22"/>
    </row>
    <row r="2815" customFormat="false" ht="15.75" hidden="false" customHeight="false" outlineLevel="0" collapsed="false">
      <c r="A2815" s="20" t="n">
        <v>46115</v>
      </c>
      <c r="B2815" s="15" t="s">
        <v>487</v>
      </c>
      <c r="C2815" s="15" t="s">
        <v>81</v>
      </c>
      <c r="D2815" s="15" t="s">
        <v>534</v>
      </c>
      <c r="E2815" s="15" t="n">
        <v>9</v>
      </c>
      <c r="H2815" s="10"/>
      <c r="I2815" s="21"/>
      <c r="M2815" s="10"/>
      <c r="N2815" s="10"/>
      <c r="P2815" s="10"/>
      <c r="Q2815" s="22"/>
    </row>
    <row r="2816" customFormat="false" ht="15.75" hidden="false" customHeight="false" outlineLevel="0" collapsed="false">
      <c r="A2816" s="20" t="n">
        <v>46115</v>
      </c>
      <c r="B2816" s="15" t="s">
        <v>487</v>
      </c>
      <c r="C2816" s="15" t="s">
        <v>555</v>
      </c>
      <c r="D2816" s="15" t="s">
        <v>556</v>
      </c>
      <c r="E2816" s="15" t="n">
        <v>1</v>
      </c>
      <c r="H2816" s="10"/>
      <c r="I2816" s="21"/>
      <c r="M2816" s="10"/>
      <c r="N2816" s="10"/>
      <c r="P2816" s="10"/>
      <c r="Q2816" s="22"/>
    </row>
    <row r="2817" customFormat="false" ht="15.75" hidden="false" customHeight="false" outlineLevel="0" collapsed="false">
      <c r="A2817" s="20" t="n">
        <v>46115</v>
      </c>
      <c r="B2817" s="15" t="s">
        <v>487</v>
      </c>
      <c r="C2817" s="15" t="s">
        <v>570</v>
      </c>
      <c r="D2817" s="15" t="s">
        <v>571</v>
      </c>
      <c r="E2817" s="15" t="n">
        <v>1</v>
      </c>
      <c r="H2817" s="10"/>
      <c r="I2817" s="21"/>
      <c r="M2817" s="10"/>
      <c r="N2817" s="10"/>
      <c r="P2817" s="10"/>
      <c r="Q2817" s="22"/>
    </row>
    <row r="2818" customFormat="false" ht="15.75" hidden="false" customHeight="false" outlineLevel="0" collapsed="false">
      <c r="A2818" s="20" t="n">
        <v>46115</v>
      </c>
      <c r="B2818" s="15" t="s">
        <v>487</v>
      </c>
      <c r="C2818" s="15" t="s">
        <v>25</v>
      </c>
      <c r="D2818" s="15" t="s">
        <v>26</v>
      </c>
      <c r="E2818" s="15" t="n">
        <v>1</v>
      </c>
      <c r="H2818" s="10"/>
      <c r="I2818" s="21"/>
      <c r="M2818" s="10"/>
      <c r="N2818" s="10"/>
      <c r="P2818" s="10"/>
      <c r="Q2818" s="22"/>
    </row>
    <row r="2819" customFormat="false" ht="15.75" hidden="false" customHeight="false" outlineLevel="0" collapsed="false">
      <c r="A2819" s="20" t="n">
        <v>46115</v>
      </c>
      <c r="B2819" s="15" t="s">
        <v>487</v>
      </c>
      <c r="C2819" s="15" t="s">
        <v>91</v>
      </c>
      <c r="D2819" s="15" t="s">
        <v>91</v>
      </c>
      <c r="E2819" s="15" t="n">
        <v>2</v>
      </c>
      <c r="H2819" s="10"/>
      <c r="I2819" s="21"/>
      <c r="M2819" s="10"/>
      <c r="N2819" s="10"/>
      <c r="P2819" s="10"/>
      <c r="Q2819" s="22"/>
    </row>
    <row r="2820" customFormat="false" ht="15.75" hidden="false" customHeight="false" outlineLevel="0" collapsed="false">
      <c r="A2820" s="20" t="n">
        <v>46115</v>
      </c>
      <c r="B2820" s="15" t="s">
        <v>487</v>
      </c>
      <c r="C2820" s="15" t="s">
        <v>543</v>
      </c>
      <c r="D2820" s="15" t="s">
        <v>544</v>
      </c>
      <c r="E2820" s="15" t="n">
        <v>3</v>
      </c>
      <c r="H2820" s="10"/>
      <c r="I2820" s="21"/>
      <c r="M2820" s="10"/>
      <c r="N2820" s="10"/>
      <c r="P2820" s="10"/>
      <c r="Q2820" s="22"/>
    </row>
    <row r="2821" customFormat="false" ht="15.75" hidden="false" customHeight="false" outlineLevel="0" collapsed="false">
      <c r="A2821" s="20" t="n">
        <v>46115</v>
      </c>
      <c r="B2821" s="15" t="s">
        <v>487</v>
      </c>
      <c r="C2821" s="15" t="s">
        <v>545</v>
      </c>
      <c r="D2821" s="15" t="s">
        <v>546</v>
      </c>
      <c r="E2821" s="15" t="n">
        <v>1</v>
      </c>
      <c r="H2821" s="10"/>
      <c r="I2821" s="21"/>
      <c r="M2821" s="10"/>
      <c r="N2821" s="10"/>
      <c r="P2821" s="10"/>
      <c r="Q2821" s="22"/>
    </row>
    <row r="2822" customFormat="false" ht="15.75" hidden="false" customHeight="false" outlineLevel="0" collapsed="false">
      <c r="A2822" s="20" t="n">
        <v>46115</v>
      </c>
      <c r="B2822" s="15" t="s">
        <v>487</v>
      </c>
      <c r="C2822" s="15" t="s">
        <v>69</v>
      </c>
      <c r="D2822" s="15" t="s">
        <v>535</v>
      </c>
      <c r="E2822" s="15" t="n">
        <v>3</v>
      </c>
      <c r="H2822" s="10"/>
      <c r="I2822" s="21"/>
      <c r="M2822" s="10"/>
      <c r="N2822" s="10"/>
      <c r="P2822" s="10"/>
      <c r="Q2822" s="22"/>
    </row>
    <row r="2823" customFormat="false" ht="15.75" hidden="false" customHeight="false" outlineLevel="0" collapsed="false">
      <c r="A2823" s="20" t="n">
        <v>46115</v>
      </c>
      <c r="B2823" s="15" t="s">
        <v>487</v>
      </c>
      <c r="C2823" s="15" t="s">
        <v>77</v>
      </c>
      <c r="D2823" s="15" t="s">
        <v>78</v>
      </c>
      <c r="E2823" s="15" t="n">
        <v>3</v>
      </c>
      <c r="H2823" s="10"/>
      <c r="I2823" s="21"/>
      <c r="M2823" s="10"/>
      <c r="N2823" s="10"/>
      <c r="P2823" s="10"/>
      <c r="Q2823" s="22"/>
    </row>
    <row r="2824" customFormat="false" ht="15.75" hidden="false" customHeight="false" outlineLevel="0" collapsed="false">
      <c r="A2824" s="20" t="n">
        <v>46115</v>
      </c>
      <c r="B2824" s="15" t="s">
        <v>487</v>
      </c>
      <c r="C2824" s="15" t="s">
        <v>11</v>
      </c>
      <c r="D2824" s="15" t="s">
        <v>572</v>
      </c>
      <c r="E2824" s="15" t="n">
        <v>1</v>
      </c>
      <c r="H2824" s="10"/>
      <c r="I2824" s="21"/>
      <c r="M2824" s="10"/>
      <c r="N2824" s="10"/>
      <c r="P2824" s="10"/>
      <c r="Q2824" s="22"/>
    </row>
    <row r="2825" customFormat="false" ht="15.75" hidden="false" customHeight="false" outlineLevel="0" collapsed="false">
      <c r="A2825" s="20" t="n">
        <v>46115</v>
      </c>
      <c r="B2825" s="15" t="s">
        <v>487</v>
      </c>
      <c r="C2825" s="15" t="s">
        <v>33</v>
      </c>
      <c r="D2825" s="15" t="s">
        <v>536</v>
      </c>
      <c r="E2825" s="15" t="n">
        <v>3</v>
      </c>
      <c r="H2825" s="10"/>
      <c r="I2825" s="21"/>
      <c r="M2825" s="10"/>
      <c r="N2825" s="10"/>
      <c r="P2825" s="10"/>
      <c r="Q2825" s="22"/>
    </row>
    <row r="2826" customFormat="false" ht="15.75" hidden="false" customHeight="false" outlineLevel="0" collapsed="false">
      <c r="A2826" s="20" t="n">
        <v>46115</v>
      </c>
      <c r="B2826" s="15" t="s">
        <v>487</v>
      </c>
      <c r="C2826" s="15" t="s">
        <v>59</v>
      </c>
      <c r="D2826" s="15" t="s">
        <v>562</v>
      </c>
      <c r="E2826" s="15" t="n">
        <v>1</v>
      </c>
      <c r="H2826" s="10"/>
      <c r="I2826" s="21"/>
      <c r="M2826" s="10"/>
      <c r="N2826" s="10"/>
      <c r="P2826" s="10"/>
      <c r="Q2826" s="22"/>
    </row>
    <row r="2827" customFormat="false" ht="15.75" hidden="false" customHeight="false" outlineLevel="0" collapsed="false">
      <c r="A2827" s="20" t="n">
        <v>46115</v>
      </c>
      <c r="B2827" s="15" t="s">
        <v>487</v>
      </c>
      <c r="C2827" s="15" t="s">
        <v>75</v>
      </c>
      <c r="D2827" s="15" t="s">
        <v>560</v>
      </c>
      <c r="E2827" s="15" t="n">
        <v>1</v>
      </c>
      <c r="H2827" s="10"/>
      <c r="I2827" s="21"/>
      <c r="M2827" s="10"/>
      <c r="N2827" s="10"/>
      <c r="P2827" s="10"/>
      <c r="Q2827" s="22"/>
    </row>
    <row r="2828" customFormat="false" ht="15.75" hidden="false" customHeight="false" outlineLevel="0" collapsed="false">
      <c r="A2828" s="20" t="n">
        <v>46115</v>
      </c>
      <c r="B2828" s="15" t="s">
        <v>487</v>
      </c>
      <c r="C2828" s="15" t="s">
        <v>79</v>
      </c>
      <c r="D2828" s="15" t="s">
        <v>564</v>
      </c>
      <c r="E2828" s="15" t="n">
        <v>2</v>
      </c>
      <c r="H2828" s="10"/>
      <c r="I2828" s="21"/>
      <c r="M2828" s="10"/>
      <c r="N2828" s="10"/>
      <c r="P2828" s="10"/>
      <c r="Q2828" s="22"/>
    </row>
    <row r="2829" customFormat="false" ht="15.75" hidden="false" customHeight="false" outlineLevel="0" collapsed="false">
      <c r="A2829" s="20" t="n">
        <v>46115</v>
      </c>
      <c r="B2829" s="15" t="s">
        <v>491</v>
      </c>
      <c r="C2829" s="15" t="s">
        <v>37</v>
      </c>
      <c r="D2829" s="15" t="s">
        <v>561</v>
      </c>
      <c r="E2829" s="15" t="n">
        <v>1</v>
      </c>
      <c r="H2829" s="10"/>
      <c r="I2829" s="21"/>
      <c r="M2829" s="10"/>
      <c r="N2829" s="10"/>
      <c r="P2829" s="10"/>
      <c r="Q2829" s="22"/>
    </row>
    <row r="2830" customFormat="false" ht="15.75" hidden="false" customHeight="false" outlineLevel="0" collapsed="false">
      <c r="A2830" s="20" t="n">
        <v>46115</v>
      </c>
      <c r="B2830" s="15" t="s">
        <v>491</v>
      </c>
      <c r="C2830" s="15" t="s">
        <v>81</v>
      </c>
      <c r="D2830" s="15" t="s">
        <v>534</v>
      </c>
      <c r="E2830" s="15" t="n">
        <v>8</v>
      </c>
      <c r="H2830" s="10"/>
      <c r="I2830" s="21"/>
      <c r="M2830" s="10"/>
      <c r="N2830" s="10"/>
      <c r="P2830" s="10"/>
      <c r="Q2830" s="22"/>
    </row>
    <row r="2831" customFormat="false" ht="15.75" hidden="false" customHeight="false" outlineLevel="0" collapsed="false">
      <c r="A2831" s="20" t="n">
        <v>46115</v>
      </c>
      <c r="B2831" s="15" t="s">
        <v>491</v>
      </c>
      <c r="C2831" s="15" t="s">
        <v>75</v>
      </c>
      <c r="D2831" s="15" t="s">
        <v>560</v>
      </c>
      <c r="E2831" s="15" t="n">
        <v>1</v>
      </c>
      <c r="H2831" s="10"/>
      <c r="I2831" s="21"/>
      <c r="M2831" s="10"/>
      <c r="N2831" s="10"/>
      <c r="P2831" s="10"/>
      <c r="Q2831" s="22"/>
    </row>
    <row r="2832" customFormat="false" ht="15.75" hidden="false" customHeight="false" outlineLevel="0" collapsed="false">
      <c r="A2832" s="20" t="n">
        <v>46115</v>
      </c>
      <c r="B2832" s="15" t="s">
        <v>491</v>
      </c>
      <c r="C2832" s="15" t="s">
        <v>69</v>
      </c>
      <c r="D2832" s="15" t="s">
        <v>535</v>
      </c>
      <c r="E2832" s="15" t="n">
        <v>6</v>
      </c>
      <c r="H2832" s="10"/>
      <c r="I2832" s="21"/>
      <c r="M2832" s="10"/>
      <c r="N2832" s="10"/>
      <c r="P2832" s="10"/>
      <c r="Q2832" s="22"/>
    </row>
    <row r="2833" customFormat="false" ht="15.75" hidden="false" customHeight="false" outlineLevel="0" collapsed="false">
      <c r="A2833" s="20" t="n">
        <v>46115</v>
      </c>
      <c r="B2833" s="15" t="s">
        <v>491</v>
      </c>
      <c r="C2833" s="15" t="s">
        <v>547</v>
      </c>
      <c r="D2833" s="15" t="s">
        <v>548</v>
      </c>
      <c r="E2833" s="15" t="n">
        <v>1</v>
      </c>
      <c r="H2833" s="10"/>
      <c r="I2833" s="21"/>
      <c r="M2833" s="10"/>
      <c r="N2833" s="10"/>
      <c r="P2833" s="10"/>
      <c r="Q2833" s="22"/>
    </row>
    <row r="2834" customFormat="false" ht="15.75" hidden="false" customHeight="false" outlineLevel="0" collapsed="false">
      <c r="A2834" s="20" t="n">
        <v>46115</v>
      </c>
      <c r="B2834" s="15" t="s">
        <v>491</v>
      </c>
      <c r="C2834" s="15" t="s">
        <v>31</v>
      </c>
      <c r="D2834" s="15" t="s">
        <v>559</v>
      </c>
      <c r="E2834" s="15" t="n">
        <v>2</v>
      </c>
      <c r="H2834" s="10"/>
      <c r="I2834" s="21"/>
      <c r="M2834" s="10"/>
      <c r="N2834" s="10"/>
      <c r="P2834" s="10"/>
      <c r="Q2834" s="22"/>
    </row>
    <row r="2835" customFormat="false" ht="15.75" hidden="false" customHeight="false" outlineLevel="0" collapsed="false">
      <c r="A2835" s="20" t="n">
        <v>46115</v>
      </c>
      <c r="B2835" s="15" t="s">
        <v>491</v>
      </c>
      <c r="C2835" s="15" t="s">
        <v>545</v>
      </c>
      <c r="D2835" s="15" t="s">
        <v>546</v>
      </c>
      <c r="E2835" s="15" t="n">
        <v>2</v>
      </c>
      <c r="H2835" s="10"/>
      <c r="I2835" s="21"/>
      <c r="M2835" s="10"/>
      <c r="N2835" s="10"/>
      <c r="P2835" s="10"/>
      <c r="Q2835" s="22"/>
    </row>
    <row r="2836" customFormat="false" ht="15.75" hidden="false" customHeight="false" outlineLevel="0" collapsed="false">
      <c r="A2836" s="20" t="n">
        <v>46115</v>
      </c>
      <c r="B2836" s="15" t="s">
        <v>491</v>
      </c>
      <c r="C2836" s="15" t="s">
        <v>543</v>
      </c>
      <c r="D2836" s="15" t="s">
        <v>544</v>
      </c>
      <c r="E2836" s="15" t="n">
        <v>4</v>
      </c>
      <c r="H2836" s="10"/>
      <c r="I2836" s="21"/>
      <c r="M2836" s="10"/>
      <c r="N2836" s="10"/>
      <c r="P2836" s="10"/>
      <c r="Q2836" s="22"/>
    </row>
    <row r="2837" customFormat="false" ht="15.75" hidden="false" customHeight="false" outlineLevel="0" collapsed="false">
      <c r="A2837" s="20" t="n">
        <v>46115</v>
      </c>
      <c r="B2837" s="15" t="s">
        <v>491</v>
      </c>
      <c r="C2837" s="15" t="s">
        <v>541</v>
      </c>
      <c r="D2837" s="15" t="s">
        <v>542</v>
      </c>
      <c r="E2837" s="15" t="n">
        <v>2</v>
      </c>
      <c r="H2837" s="10"/>
      <c r="I2837" s="21"/>
      <c r="M2837" s="10"/>
      <c r="N2837" s="10"/>
      <c r="P2837" s="10"/>
      <c r="Q2837" s="22"/>
    </row>
    <row r="2838" customFormat="false" ht="15.75" hidden="false" customHeight="false" outlineLevel="0" collapsed="false">
      <c r="A2838" s="20" t="n">
        <v>46115</v>
      </c>
      <c r="B2838" s="15" t="s">
        <v>491</v>
      </c>
      <c r="C2838" s="15" t="s">
        <v>49</v>
      </c>
      <c r="D2838" s="15" t="s">
        <v>537</v>
      </c>
      <c r="E2838" s="15" t="n">
        <v>1</v>
      </c>
      <c r="H2838" s="10"/>
      <c r="I2838" s="21"/>
      <c r="M2838" s="10"/>
      <c r="N2838" s="10"/>
      <c r="P2838" s="10"/>
      <c r="Q2838" s="22"/>
    </row>
    <row r="2839" customFormat="false" ht="15.75" hidden="false" customHeight="false" outlineLevel="0" collapsed="false">
      <c r="A2839" s="20" t="n">
        <v>46115</v>
      </c>
      <c r="B2839" s="15" t="s">
        <v>491</v>
      </c>
      <c r="C2839" s="15" t="s">
        <v>33</v>
      </c>
      <c r="D2839" s="15" t="s">
        <v>536</v>
      </c>
      <c r="E2839" s="15" t="n">
        <v>5</v>
      </c>
      <c r="H2839" s="10"/>
      <c r="I2839" s="21"/>
      <c r="M2839" s="10"/>
      <c r="N2839" s="10"/>
      <c r="P2839" s="10"/>
      <c r="Q2839" s="22"/>
    </row>
    <row r="2840" customFormat="false" ht="15.75" hidden="false" customHeight="false" outlineLevel="0" collapsed="false">
      <c r="A2840" s="20" t="n">
        <v>46115</v>
      </c>
      <c r="B2840" s="15" t="s">
        <v>491</v>
      </c>
      <c r="C2840" s="15" t="s">
        <v>77</v>
      </c>
      <c r="D2840" s="15" t="s">
        <v>78</v>
      </c>
      <c r="E2840" s="15" t="n">
        <v>3</v>
      </c>
      <c r="H2840" s="10"/>
      <c r="I2840" s="21"/>
      <c r="M2840" s="10"/>
      <c r="N2840" s="10"/>
      <c r="P2840" s="10"/>
      <c r="Q2840" s="22"/>
    </row>
    <row r="2841" customFormat="false" ht="15.75" hidden="false" customHeight="false" outlineLevel="0" collapsed="false">
      <c r="A2841" s="20" t="n">
        <v>46115</v>
      </c>
      <c r="B2841" s="15" t="s">
        <v>491</v>
      </c>
      <c r="C2841" s="15" t="s">
        <v>47</v>
      </c>
      <c r="D2841" s="15" t="s">
        <v>549</v>
      </c>
      <c r="E2841" s="15" t="n">
        <v>1</v>
      </c>
      <c r="H2841" s="10"/>
      <c r="I2841" s="21"/>
      <c r="M2841" s="10"/>
      <c r="N2841" s="10"/>
      <c r="P2841" s="10"/>
      <c r="Q2841" s="22"/>
    </row>
    <row r="2842" customFormat="false" ht="15.75" hidden="false" customHeight="false" outlineLevel="0" collapsed="false">
      <c r="A2842" s="20" t="n">
        <v>46115</v>
      </c>
      <c r="B2842" s="15" t="s">
        <v>491</v>
      </c>
      <c r="C2842" s="15" t="s">
        <v>55</v>
      </c>
      <c r="D2842" s="15" t="s">
        <v>539</v>
      </c>
      <c r="E2842" s="15" t="n">
        <v>1</v>
      </c>
      <c r="H2842" s="10"/>
      <c r="I2842" s="21"/>
      <c r="M2842" s="10"/>
      <c r="N2842" s="10"/>
      <c r="P2842" s="10"/>
      <c r="Q2842" s="22"/>
    </row>
    <row r="2843" customFormat="false" ht="15.75" hidden="false" customHeight="false" outlineLevel="0" collapsed="false">
      <c r="A2843" s="20" t="n">
        <v>46115</v>
      </c>
      <c r="B2843" s="15" t="s">
        <v>491</v>
      </c>
      <c r="C2843" s="15" t="s">
        <v>59</v>
      </c>
      <c r="D2843" s="15" t="s">
        <v>562</v>
      </c>
      <c r="E2843" s="15" t="n">
        <v>1</v>
      </c>
      <c r="H2843" s="10"/>
      <c r="I2843" s="21"/>
      <c r="M2843" s="10"/>
      <c r="N2843" s="10"/>
      <c r="P2843" s="10"/>
      <c r="Q2843" s="22"/>
    </row>
    <row r="2844" customFormat="false" ht="15.75" hidden="false" customHeight="false" outlineLevel="0" collapsed="false">
      <c r="A2844" s="20" t="n">
        <v>46115</v>
      </c>
      <c r="B2844" s="15" t="s">
        <v>491</v>
      </c>
      <c r="C2844" s="15" t="s">
        <v>43</v>
      </c>
      <c r="D2844" s="15" t="s">
        <v>538</v>
      </c>
      <c r="E2844" s="15" t="n">
        <v>1</v>
      </c>
      <c r="H2844" s="10"/>
      <c r="I2844" s="21"/>
      <c r="M2844" s="10"/>
      <c r="N2844" s="10"/>
      <c r="P2844" s="10"/>
      <c r="Q2844" s="22"/>
    </row>
    <row r="2845" customFormat="false" ht="15.75" hidden="false" customHeight="false" outlineLevel="0" collapsed="false">
      <c r="A2845" s="20" t="n">
        <v>46115</v>
      </c>
      <c r="B2845" s="15" t="s">
        <v>491</v>
      </c>
      <c r="C2845" s="15" t="s">
        <v>87</v>
      </c>
      <c r="D2845" s="15" t="s">
        <v>563</v>
      </c>
      <c r="E2845" s="15" t="n">
        <v>1</v>
      </c>
      <c r="H2845" s="10"/>
      <c r="I2845" s="21"/>
      <c r="M2845" s="10"/>
      <c r="N2845" s="10"/>
      <c r="P2845" s="10"/>
      <c r="Q2845" s="22"/>
    </row>
    <row r="2846" customFormat="false" ht="15.75" hidden="false" customHeight="false" outlineLevel="0" collapsed="false">
      <c r="A2846" s="20" t="n">
        <v>46115</v>
      </c>
      <c r="B2846" s="15" t="s">
        <v>491</v>
      </c>
      <c r="C2846" s="15" t="s">
        <v>79</v>
      </c>
      <c r="D2846" s="15" t="s">
        <v>564</v>
      </c>
      <c r="E2846" s="15" t="n">
        <v>1</v>
      </c>
      <c r="H2846" s="10"/>
      <c r="I2846" s="21"/>
      <c r="M2846" s="10"/>
      <c r="N2846" s="10"/>
      <c r="P2846" s="10"/>
      <c r="Q2846" s="22"/>
    </row>
    <row r="2847" customFormat="false" ht="15.75" hidden="false" customHeight="false" outlineLevel="0" collapsed="false">
      <c r="A2847" s="20" t="n">
        <v>46115</v>
      </c>
      <c r="B2847" s="15" t="s">
        <v>496</v>
      </c>
      <c r="C2847" s="15" t="s">
        <v>81</v>
      </c>
      <c r="D2847" s="15" t="s">
        <v>534</v>
      </c>
      <c r="E2847" s="15" t="n">
        <v>7</v>
      </c>
      <c r="H2847" s="10"/>
      <c r="I2847" s="21"/>
      <c r="M2847" s="10"/>
      <c r="N2847" s="10"/>
      <c r="P2847" s="10"/>
      <c r="Q2847" s="22"/>
    </row>
    <row r="2848" customFormat="false" ht="15.75" hidden="false" customHeight="false" outlineLevel="0" collapsed="false">
      <c r="A2848" s="20" t="n">
        <v>46115</v>
      </c>
      <c r="B2848" s="15" t="s">
        <v>496</v>
      </c>
      <c r="C2848" s="15" t="s">
        <v>47</v>
      </c>
      <c r="D2848" s="15" t="s">
        <v>549</v>
      </c>
      <c r="E2848" s="15" t="n">
        <v>4</v>
      </c>
      <c r="H2848" s="10"/>
      <c r="I2848" s="21"/>
      <c r="M2848" s="10"/>
      <c r="N2848" s="10"/>
      <c r="P2848" s="10"/>
      <c r="Q2848" s="22"/>
    </row>
    <row r="2849" customFormat="false" ht="15.75" hidden="false" customHeight="false" outlineLevel="0" collapsed="false">
      <c r="A2849" s="20" t="n">
        <v>46115</v>
      </c>
      <c r="B2849" s="15" t="s">
        <v>496</v>
      </c>
      <c r="C2849" s="15" t="s">
        <v>55</v>
      </c>
      <c r="D2849" s="15" t="s">
        <v>539</v>
      </c>
      <c r="E2849" s="15" t="n">
        <v>2</v>
      </c>
      <c r="H2849" s="10"/>
      <c r="I2849" s="21"/>
      <c r="M2849" s="10"/>
      <c r="N2849" s="10"/>
      <c r="P2849" s="10"/>
      <c r="Q2849" s="22"/>
    </row>
    <row r="2850" customFormat="false" ht="15.75" hidden="false" customHeight="false" outlineLevel="0" collapsed="false">
      <c r="A2850" s="20" t="n">
        <v>46115</v>
      </c>
      <c r="B2850" s="15" t="s">
        <v>496</v>
      </c>
      <c r="C2850" s="15" t="s">
        <v>567</v>
      </c>
      <c r="D2850" s="15" t="s">
        <v>568</v>
      </c>
      <c r="E2850" s="15" t="n">
        <v>3</v>
      </c>
      <c r="H2850" s="10"/>
      <c r="I2850" s="21"/>
      <c r="M2850" s="10"/>
      <c r="N2850" s="10"/>
      <c r="P2850" s="10"/>
      <c r="Q2850" s="22"/>
    </row>
    <row r="2851" customFormat="false" ht="15.75" hidden="false" customHeight="false" outlineLevel="0" collapsed="false">
      <c r="A2851" s="20" t="n">
        <v>46115</v>
      </c>
      <c r="B2851" s="15" t="s">
        <v>496</v>
      </c>
      <c r="C2851" s="15" t="s">
        <v>545</v>
      </c>
      <c r="D2851" s="15" t="s">
        <v>546</v>
      </c>
      <c r="E2851" s="15" t="n">
        <v>3</v>
      </c>
      <c r="H2851" s="10"/>
      <c r="I2851" s="21"/>
      <c r="M2851" s="10"/>
      <c r="N2851" s="10"/>
      <c r="P2851" s="10"/>
      <c r="Q2851" s="22"/>
    </row>
    <row r="2852" customFormat="false" ht="15.75" hidden="false" customHeight="false" outlineLevel="0" collapsed="false">
      <c r="A2852" s="20" t="n">
        <v>46115</v>
      </c>
      <c r="B2852" s="15" t="s">
        <v>496</v>
      </c>
      <c r="C2852" s="15" t="s">
        <v>547</v>
      </c>
      <c r="D2852" s="15" t="s">
        <v>548</v>
      </c>
      <c r="E2852" s="15" t="n">
        <v>1</v>
      </c>
      <c r="H2852" s="10"/>
      <c r="I2852" s="21"/>
      <c r="M2852" s="10"/>
      <c r="N2852" s="10"/>
      <c r="P2852" s="10"/>
      <c r="Q2852" s="22"/>
    </row>
    <row r="2853" customFormat="false" ht="15.75" hidden="false" customHeight="false" outlineLevel="0" collapsed="false">
      <c r="A2853" s="20" t="n">
        <v>46115</v>
      </c>
      <c r="B2853" s="15" t="s">
        <v>496</v>
      </c>
      <c r="C2853" s="15" t="s">
        <v>555</v>
      </c>
      <c r="D2853" s="15" t="s">
        <v>556</v>
      </c>
      <c r="E2853" s="15" t="n">
        <v>4</v>
      </c>
      <c r="H2853" s="10"/>
      <c r="I2853" s="21"/>
      <c r="M2853" s="10"/>
      <c r="N2853" s="10"/>
      <c r="P2853" s="10"/>
      <c r="Q2853" s="22"/>
    </row>
    <row r="2854" customFormat="false" ht="15.75" hidden="false" customHeight="false" outlineLevel="0" collapsed="false">
      <c r="A2854" s="20" t="n">
        <v>46115</v>
      </c>
      <c r="B2854" s="15" t="s">
        <v>496</v>
      </c>
      <c r="C2854" s="15" t="s">
        <v>541</v>
      </c>
      <c r="D2854" s="15" t="s">
        <v>542</v>
      </c>
      <c r="E2854" s="15" t="n">
        <v>4</v>
      </c>
      <c r="H2854" s="10"/>
      <c r="I2854" s="21"/>
      <c r="M2854" s="10"/>
      <c r="N2854" s="10"/>
      <c r="P2854" s="10"/>
      <c r="Q2854" s="22"/>
    </row>
    <row r="2855" customFormat="false" ht="15.75" hidden="false" customHeight="false" outlineLevel="0" collapsed="false">
      <c r="A2855" s="20" t="n">
        <v>46115</v>
      </c>
      <c r="B2855" s="15" t="s">
        <v>496</v>
      </c>
      <c r="C2855" s="15" t="s">
        <v>45</v>
      </c>
      <c r="D2855" s="15" t="s">
        <v>540</v>
      </c>
      <c r="E2855" s="15" t="n">
        <v>1</v>
      </c>
      <c r="H2855" s="10"/>
      <c r="I2855" s="21"/>
      <c r="M2855" s="10"/>
      <c r="N2855" s="10"/>
      <c r="P2855" s="10"/>
      <c r="Q2855" s="22"/>
    </row>
    <row r="2856" customFormat="false" ht="15.75" hidden="false" customHeight="false" outlineLevel="0" collapsed="false">
      <c r="A2856" s="20" t="n">
        <v>46115</v>
      </c>
      <c r="B2856" s="15" t="s">
        <v>496</v>
      </c>
      <c r="C2856" s="15" t="s">
        <v>37</v>
      </c>
      <c r="D2856" s="15" t="s">
        <v>561</v>
      </c>
      <c r="E2856" s="15" t="n">
        <v>1</v>
      </c>
      <c r="H2856" s="10"/>
      <c r="I2856" s="21"/>
      <c r="M2856" s="10"/>
      <c r="N2856" s="10"/>
      <c r="P2856" s="10"/>
      <c r="Q2856" s="22"/>
    </row>
    <row r="2857" customFormat="false" ht="15.75" hidden="false" customHeight="false" outlineLevel="0" collapsed="false">
      <c r="A2857" s="20" t="n">
        <v>46115</v>
      </c>
      <c r="B2857" s="15" t="s">
        <v>496</v>
      </c>
      <c r="C2857" s="15" t="s">
        <v>543</v>
      </c>
      <c r="D2857" s="15" t="s">
        <v>544</v>
      </c>
      <c r="E2857" s="15" t="n">
        <v>4</v>
      </c>
      <c r="H2857" s="10"/>
      <c r="I2857" s="21"/>
      <c r="M2857" s="10"/>
      <c r="N2857" s="10"/>
      <c r="P2857" s="10"/>
      <c r="Q2857" s="22"/>
    </row>
    <row r="2858" customFormat="false" ht="15.75" hidden="false" customHeight="false" outlineLevel="0" collapsed="false">
      <c r="A2858" s="20" t="n">
        <v>46115</v>
      </c>
      <c r="B2858" s="15" t="s">
        <v>496</v>
      </c>
      <c r="C2858" s="15" t="s">
        <v>69</v>
      </c>
      <c r="D2858" s="15" t="s">
        <v>535</v>
      </c>
      <c r="E2858" s="15" t="n">
        <v>2</v>
      </c>
      <c r="H2858" s="10"/>
      <c r="I2858" s="21"/>
      <c r="M2858" s="10"/>
      <c r="N2858" s="10"/>
      <c r="P2858" s="10"/>
      <c r="Q2858" s="22"/>
    </row>
    <row r="2859" customFormat="false" ht="15.75" hidden="false" customHeight="false" outlineLevel="0" collapsed="false">
      <c r="A2859" s="20" t="n">
        <v>46115</v>
      </c>
      <c r="B2859" s="15" t="s">
        <v>496</v>
      </c>
      <c r="C2859" s="15" t="s">
        <v>77</v>
      </c>
      <c r="D2859" s="15" t="s">
        <v>78</v>
      </c>
      <c r="E2859" s="15" t="n">
        <v>2</v>
      </c>
      <c r="H2859" s="10"/>
      <c r="I2859" s="21"/>
      <c r="M2859" s="10"/>
      <c r="N2859" s="10"/>
      <c r="P2859" s="10"/>
      <c r="Q2859" s="22"/>
    </row>
    <row r="2860" customFormat="false" ht="15.75" hidden="false" customHeight="false" outlineLevel="0" collapsed="false">
      <c r="A2860" s="20" t="n">
        <v>46115</v>
      </c>
      <c r="B2860" s="15" t="s">
        <v>496</v>
      </c>
      <c r="C2860" s="15" t="s">
        <v>59</v>
      </c>
      <c r="D2860" s="15" t="s">
        <v>562</v>
      </c>
      <c r="E2860" s="15" t="n">
        <v>2</v>
      </c>
      <c r="H2860" s="10"/>
      <c r="I2860" s="21"/>
      <c r="M2860" s="10"/>
      <c r="N2860" s="10"/>
      <c r="P2860" s="10"/>
      <c r="Q2860" s="22"/>
    </row>
    <row r="2861" customFormat="false" ht="15.75" hidden="false" customHeight="false" outlineLevel="0" collapsed="false">
      <c r="A2861" s="20" t="n">
        <v>46115</v>
      </c>
      <c r="B2861" s="15" t="s">
        <v>496</v>
      </c>
      <c r="C2861" s="15" t="s">
        <v>33</v>
      </c>
      <c r="D2861" s="15" t="s">
        <v>536</v>
      </c>
      <c r="E2861" s="15" t="n">
        <v>2</v>
      </c>
      <c r="H2861" s="10"/>
      <c r="I2861" s="21"/>
      <c r="M2861" s="10"/>
      <c r="N2861" s="10"/>
      <c r="P2861" s="10"/>
      <c r="Q2861" s="22"/>
    </row>
    <row r="2862" customFormat="false" ht="15.75" hidden="false" customHeight="false" outlineLevel="0" collapsed="false">
      <c r="A2862" s="20" t="n">
        <v>46115</v>
      </c>
      <c r="B2862" s="15" t="s">
        <v>496</v>
      </c>
      <c r="C2862" s="15" t="s">
        <v>79</v>
      </c>
      <c r="D2862" s="15" t="s">
        <v>564</v>
      </c>
      <c r="E2862" s="15" t="n">
        <v>1</v>
      </c>
      <c r="H2862" s="10"/>
      <c r="I2862" s="21"/>
      <c r="M2862" s="10"/>
      <c r="N2862" s="10"/>
      <c r="P2862" s="10"/>
      <c r="Q2862" s="22"/>
    </row>
    <row r="2863" customFormat="false" ht="15.75" hidden="false" customHeight="false" outlineLevel="0" collapsed="false">
      <c r="A2863" s="20" t="n">
        <v>46115</v>
      </c>
      <c r="B2863" s="15" t="s">
        <v>496</v>
      </c>
      <c r="C2863" s="15" t="s">
        <v>65</v>
      </c>
      <c r="D2863" s="15" t="s">
        <v>580</v>
      </c>
      <c r="E2863" s="15" t="n">
        <v>1</v>
      </c>
      <c r="H2863" s="10"/>
      <c r="I2863" s="21"/>
      <c r="M2863" s="10"/>
      <c r="N2863" s="10"/>
      <c r="P2863" s="10"/>
      <c r="Q2863" s="22"/>
    </row>
    <row r="2864" customFormat="false" ht="15.75" hidden="false" customHeight="false" outlineLevel="0" collapsed="false">
      <c r="A2864" s="20" t="n">
        <v>46115</v>
      </c>
      <c r="B2864" s="15" t="s">
        <v>500</v>
      </c>
      <c r="C2864" s="15" t="s">
        <v>81</v>
      </c>
      <c r="D2864" s="15" t="s">
        <v>534</v>
      </c>
      <c r="E2864" s="15" t="n">
        <v>7</v>
      </c>
      <c r="H2864" s="10"/>
      <c r="I2864" s="21"/>
      <c r="M2864" s="10"/>
      <c r="N2864" s="10"/>
      <c r="P2864" s="10"/>
      <c r="Q2864" s="22"/>
    </row>
    <row r="2865" customFormat="false" ht="15.75" hidden="false" customHeight="false" outlineLevel="0" collapsed="false">
      <c r="A2865" s="20" t="n">
        <v>46115</v>
      </c>
      <c r="B2865" s="15" t="s">
        <v>500</v>
      </c>
      <c r="C2865" s="15" t="s">
        <v>543</v>
      </c>
      <c r="D2865" s="15" t="s">
        <v>544</v>
      </c>
      <c r="E2865" s="15" t="n">
        <v>1</v>
      </c>
      <c r="H2865" s="10"/>
      <c r="I2865" s="21"/>
      <c r="M2865" s="10"/>
      <c r="N2865" s="10"/>
      <c r="P2865" s="10"/>
      <c r="Q2865" s="22"/>
    </row>
    <row r="2866" customFormat="false" ht="15.75" hidden="false" customHeight="false" outlineLevel="0" collapsed="false">
      <c r="A2866" s="20" t="n">
        <v>46115</v>
      </c>
      <c r="B2866" s="15" t="s">
        <v>500</v>
      </c>
      <c r="C2866" s="15" t="s">
        <v>55</v>
      </c>
      <c r="D2866" s="15" t="s">
        <v>539</v>
      </c>
      <c r="E2866" s="15" t="n">
        <v>1</v>
      </c>
      <c r="H2866" s="10"/>
      <c r="I2866" s="21"/>
      <c r="M2866" s="10"/>
      <c r="N2866" s="10"/>
      <c r="P2866" s="10"/>
      <c r="Q2866" s="22"/>
    </row>
    <row r="2867" customFormat="false" ht="15.75" hidden="false" customHeight="false" outlineLevel="0" collapsed="false">
      <c r="A2867" s="20" t="n">
        <v>46115</v>
      </c>
      <c r="B2867" s="15" t="s">
        <v>500</v>
      </c>
      <c r="C2867" s="15" t="s">
        <v>59</v>
      </c>
      <c r="D2867" s="15" t="s">
        <v>562</v>
      </c>
      <c r="E2867" s="15" t="n">
        <v>1</v>
      </c>
      <c r="H2867" s="10"/>
      <c r="I2867" s="21"/>
      <c r="M2867" s="10"/>
      <c r="N2867" s="10"/>
      <c r="P2867" s="10"/>
      <c r="Q2867" s="22"/>
    </row>
    <row r="2868" customFormat="false" ht="15.75" hidden="false" customHeight="false" outlineLevel="0" collapsed="false">
      <c r="A2868" s="20" t="n">
        <v>46115</v>
      </c>
      <c r="B2868" s="15" t="s">
        <v>500</v>
      </c>
      <c r="C2868" s="15" t="s">
        <v>47</v>
      </c>
      <c r="D2868" s="15" t="s">
        <v>549</v>
      </c>
      <c r="E2868" s="15" t="n">
        <v>1</v>
      </c>
      <c r="H2868" s="10"/>
      <c r="I2868" s="21"/>
      <c r="M2868" s="10"/>
      <c r="N2868" s="10"/>
      <c r="P2868" s="10"/>
      <c r="Q2868" s="22"/>
    </row>
    <row r="2869" customFormat="false" ht="15.75" hidden="false" customHeight="false" outlineLevel="0" collapsed="false">
      <c r="A2869" s="20" t="n">
        <v>46115</v>
      </c>
      <c r="B2869" s="15" t="s">
        <v>500</v>
      </c>
      <c r="C2869" s="15" t="s">
        <v>69</v>
      </c>
      <c r="D2869" s="15" t="s">
        <v>535</v>
      </c>
      <c r="E2869" s="15" t="n">
        <v>1</v>
      </c>
      <c r="H2869" s="10"/>
      <c r="I2869" s="21"/>
      <c r="M2869" s="10"/>
      <c r="N2869" s="10"/>
      <c r="P2869" s="10"/>
      <c r="Q2869" s="22"/>
    </row>
    <row r="2870" customFormat="false" ht="15.75" hidden="false" customHeight="false" outlineLevel="0" collapsed="false">
      <c r="A2870" s="20" t="n">
        <v>46115</v>
      </c>
      <c r="B2870" s="15" t="s">
        <v>500</v>
      </c>
      <c r="C2870" s="15" t="s">
        <v>33</v>
      </c>
      <c r="D2870" s="15" t="s">
        <v>536</v>
      </c>
      <c r="E2870" s="15" t="n">
        <v>2</v>
      </c>
      <c r="H2870" s="10"/>
      <c r="I2870" s="21"/>
      <c r="M2870" s="10"/>
      <c r="N2870" s="10"/>
      <c r="P2870" s="10"/>
      <c r="Q2870" s="22"/>
    </row>
    <row r="2871" customFormat="false" ht="15.75" hidden="false" customHeight="false" outlineLevel="0" collapsed="false">
      <c r="A2871" s="20" t="n">
        <v>46115</v>
      </c>
      <c r="B2871" s="15" t="s">
        <v>500</v>
      </c>
      <c r="C2871" s="15" t="s">
        <v>77</v>
      </c>
      <c r="D2871" s="15" t="s">
        <v>78</v>
      </c>
      <c r="E2871" s="15" t="n">
        <v>2</v>
      </c>
      <c r="H2871" s="10"/>
      <c r="I2871" s="21"/>
      <c r="M2871" s="10"/>
      <c r="N2871" s="10"/>
      <c r="P2871" s="10"/>
      <c r="Q2871" s="22"/>
    </row>
    <row r="2872" customFormat="false" ht="15.75" hidden="false" customHeight="false" outlineLevel="0" collapsed="false">
      <c r="A2872" s="20" t="n">
        <v>46115</v>
      </c>
      <c r="B2872" s="15" t="s">
        <v>500</v>
      </c>
      <c r="C2872" s="15" t="s">
        <v>75</v>
      </c>
      <c r="D2872" s="15" t="s">
        <v>560</v>
      </c>
      <c r="E2872" s="15" t="n">
        <v>1</v>
      </c>
      <c r="H2872" s="10"/>
      <c r="I2872" s="21"/>
      <c r="M2872" s="10"/>
      <c r="N2872" s="10"/>
      <c r="P2872" s="10"/>
      <c r="Q2872" s="22"/>
    </row>
    <row r="2873" customFormat="false" ht="15.75" hidden="false" customHeight="false" outlineLevel="0" collapsed="false">
      <c r="A2873" s="20" t="n">
        <v>46115</v>
      </c>
      <c r="B2873" s="15" t="s">
        <v>504</v>
      </c>
      <c r="C2873" s="15" t="s">
        <v>47</v>
      </c>
      <c r="D2873" s="15" t="s">
        <v>549</v>
      </c>
      <c r="E2873" s="15" t="n">
        <v>3</v>
      </c>
      <c r="H2873" s="10"/>
      <c r="I2873" s="21"/>
      <c r="M2873" s="10"/>
      <c r="N2873" s="10"/>
      <c r="P2873" s="10"/>
      <c r="Q2873" s="22"/>
    </row>
    <row r="2874" customFormat="false" ht="15.75" hidden="false" customHeight="false" outlineLevel="0" collapsed="false">
      <c r="A2874" s="20" t="n">
        <v>46115</v>
      </c>
      <c r="B2874" s="15" t="s">
        <v>504</v>
      </c>
      <c r="C2874" s="15" t="s">
        <v>55</v>
      </c>
      <c r="D2874" s="15" t="s">
        <v>539</v>
      </c>
      <c r="E2874" s="15" t="n">
        <v>6</v>
      </c>
      <c r="H2874" s="10"/>
      <c r="I2874" s="21"/>
      <c r="M2874" s="10"/>
      <c r="N2874" s="10"/>
      <c r="P2874" s="10"/>
      <c r="Q2874" s="22"/>
    </row>
    <row r="2875" customFormat="false" ht="15.75" hidden="false" customHeight="false" outlineLevel="0" collapsed="false">
      <c r="A2875" s="20" t="n">
        <v>46115</v>
      </c>
      <c r="B2875" s="15" t="s">
        <v>504</v>
      </c>
      <c r="C2875" s="15" t="s">
        <v>81</v>
      </c>
      <c r="D2875" s="15" t="s">
        <v>534</v>
      </c>
      <c r="E2875" s="15" t="n">
        <v>9</v>
      </c>
      <c r="H2875" s="10"/>
      <c r="I2875" s="21"/>
      <c r="M2875" s="10"/>
      <c r="N2875" s="10"/>
      <c r="P2875" s="10"/>
      <c r="Q2875" s="22"/>
    </row>
    <row r="2876" customFormat="false" ht="15.75" hidden="false" customHeight="false" outlineLevel="0" collapsed="false">
      <c r="A2876" s="20" t="n">
        <v>46115</v>
      </c>
      <c r="B2876" s="15" t="s">
        <v>504</v>
      </c>
      <c r="C2876" s="15" t="s">
        <v>39</v>
      </c>
      <c r="D2876" s="15" t="s">
        <v>550</v>
      </c>
      <c r="E2876" s="15" t="n">
        <v>1</v>
      </c>
      <c r="H2876" s="10"/>
      <c r="I2876" s="21"/>
      <c r="M2876" s="10"/>
      <c r="N2876" s="10"/>
      <c r="P2876" s="10"/>
      <c r="Q2876" s="22"/>
    </row>
    <row r="2877" customFormat="false" ht="15.75" hidden="false" customHeight="false" outlineLevel="0" collapsed="false">
      <c r="A2877" s="20" t="n">
        <v>46115</v>
      </c>
      <c r="B2877" s="15" t="s">
        <v>504</v>
      </c>
      <c r="C2877" s="15" t="s">
        <v>63</v>
      </c>
      <c r="D2877" s="15" t="s">
        <v>551</v>
      </c>
      <c r="E2877" s="15" t="n">
        <v>1</v>
      </c>
      <c r="H2877" s="10"/>
      <c r="I2877" s="21"/>
      <c r="M2877" s="10"/>
      <c r="N2877" s="10"/>
      <c r="P2877" s="10"/>
      <c r="Q2877" s="22"/>
    </row>
    <row r="2878" customFormat="false" ht="15.75" hidden="false" customHeight="false" outlineLevel="0" collapsed="false">
      <c r="A2878" s="20" t="n">
        <v>46115</v>
      </c>
      <c r="B2878" s="15" t="s">
        <v>504</v>
      </c>
      <c r="C2878" s="15" t="s">
        <v>17</v>
      </c>
      <c r="D2878" s="15" t="s">
        <v>554</v>
      </c>
      <c r="E2878" s="15" t="n">
        <v>1</v>
      </c>
      <c r="H2878" s="10"/>
      <c r="I2878" s="21"/>
      <c r="M2878" s="10"/>
      <c r="N2878" s="10"/>
      <c r="P2878" s="10"/>
      <c r="Q2878" s="22"/>
    </row>
    <row r="2879" customFormat="false" ht="15.75" hidden="false" customHeight="false" outlineLevel="0" collapsed="false">
      <c r="A2879" s="20" t="n">
        <v>46115</v>
      </c>
      <c r="B2879" s="15" t="s">
        <v>505</v>
      </c>
      <c r="C2879" s="15" t="s">
        <v>55</v>
      </c>
      <c r="D2879" s="15" t="s">
        <v>539</v>
      </c>
      <c r="E2879" s="15" t="n">
        <v>6</v>
      </c>
      <c r="H2879" s="10"/>
      <c r="I2879" s="21"/>
      <c r="M2879" s="10"/>
      <c r="N2879" s="10"/>
      <c r="P2879" s="10"/>
      <c r="Q2879" s="22"/>
    </row>
    <row r="2880" customFormat="false" ht="15.75" hidden="false" customHeight="false" outlineLevel="0" collapsed="false">
      <c r="A2880" s="20" t="n">
        <v>46115</v>
      </c>
      <c r="B2880" s="15" t="s">
        <v>505</v>
      </c>
      <c r="C2880" s="15" t="s">
        <v>39</v>
      </c>
      <c r="D2880" s="15" t="s">
        <v>550</v>
      </c>
      <c r="E2880" s="15" t="n">
        <v>1</v>
      </c>
      <c r="H2880" s="10"/>
      <c r="I2880" s="21"/>
      <c r="M2880" s="10"/>
      <c r="N2880" s="10"/>
      <c r="P2880" s="10"/>
      <c r="Q2880" s="22"/>
    </row>
    <row r="2881" customFormat="false" ht="15.75" hidden="false" customHeight="false" outlineLevel="0" collapsed="false">
      <c r="A2881" s="20" t="n">
        <v>46115</v>
      </c>
      <c r="B2881" s="15" t="s">
        <v>505</v>
      </c>
      <c r="C2881" s="15" t="s">
        <v>81</v>
      </c>
      <c r="D2881" s="15" t="s">
        <v>534</v>
      </c>
      <c r="E2881" s="15" t="n">
        <v>9</v>
      </c>
      <c r="H2881" s="10"/>
      <c r="I2881" s="21"/>
      <c r="M2881" s="10"/>
      <c r="N2881" s="10"/>
      <c r="P2881" s="10"/>
      <c r="Q2881" s="22"/>
    </row>
    <row r="2882" customFormat="false" ht="15.75" hidden="false" customHeight="false" outlineLevel="0" collapsed="false">
      <c r="A2882" s="20" t="n">
        <v>46115</v>
      </c>
      <c r="B2882" s="15" t="s">
        <v>505</v>
      </c>
      <c r="C2882" s="15" t="s">
        <v>47</v>
      </c>
      <c r="D2882" s="15" t="s">
        <v>549</v>
      </c>
      <c r="E2882" s="15" t="n">
        <v>3</v>
      </c>
      <c r="H2882" s="10"/>
      <c r="I2882" s="21"/>
      <c r="M2882" s="10"/>
      <c r="N2882" s="10"/>
      <c r="P2882" s="10"/>
      <c r="Q2882" s="22"/>
    </row>
    <row r="2883" customFormat="false" ht="15.75" hidden="false" customHeight="false" outlineLevel="0" collapsed="false">
      <c r="A2883" s="20" t="n">
        <v>46115</v>
      </c>
      <c r="B2883" s="15" t="s">
        <v>505</v>
      </c>
      <c r="C2883" s="15" t="s">
        <v>63</v>
      </c>
      <c r="D2883" s="15" t="s">
        <v>551</v>
      </c>
      <c r="E2883" s="15" t="n">
        <v>1</v>
      </c>
      <c r="H2883" s="10"/>
      <c r="I2883" s="21"/>
      <c r="M2883" s="10"/>
      <c r="N2883" s="10"/>
      <c r="P2883" s="10"/>
      <c r="Q2883" s="22"/>
    </row>
    <row r="2884" customFormat="false" ht="15.75" hidden="false" customHeight="false" outlineLevel="0" collapsed="false">
      <c r="A2884" s="20" t="n">
        <v>46115</v>
      </c>
      <c r="B2884" s="15" t="s">
        <v>505</v>
      </c>
      <c r="C2884" s="15" t="s">
        <v>17</v>
      </c>
      <c r="D2884" s="15" t="s">
        <v>554</v>
      </c>
      <c r="E2884" s="15" t="n">
        <v>1</v>
      </c>
      <c r="H2884" s="10"/>
      <c r="I2884" s="21"/>
      <c r="M2884" s="10"/>
      <c r="N2884" s="10"/>
      <c r="P2884" s="10"/>
      <c r="Q2884" s="22"/>
    </row>
    <row r="2885" customFormat="false" ht="15.75" hidden="false" customHeight="false" outlineLevel="0" collapsed="false">
      <c r="A2885" s="20" t="n">
        <v>46115</v>
      </c>
      <c r="B2885" s="15" t="s">
        <v>508</v>
      </c>
      <c r="C2885" s="15" t="s">
        <v>55</v>
      </c>
      <c r="D2885" s="15" t="s">
        <v>539</v>
      </c>
      <c r="E2885" s="15" t="n">
        <v>5</v>
      </c>
      <c r="H2885" s="10"/>
      <c r="I2885" s="21"/>
      <c r="M2885" s="10"/>
      <c r="N2885" s="10"/>
      <c r="P2885" s="10"/>
      <c r="Q2885" s="22"/>
    </row>
    <row r="2886" customFormat="false" ht="15.75" hidden="false" customHeight="false" outlineLevel="0" collapsed="false">
      <c r="A2886" s="20" t="n">
        <v>46115</v>
      </c>
      <c r="B2886" s="15" t="s">
        <v>508</v>
      </c>
      <c r="C2886" s="15" t="s">
        <v>81</v>
      </c>
      <c r="D2886" s="15" t="s">
        <v>534</v>
      </c>
      <c r="E2886" s="15" t="n">
        <v>9</v>
      </c>
      <c r="H2886" s="10"/>
      <c r="I2886" s="21"/>
      <c r="M2886" s="10"/>
      <c r="N2886" s="10"/>
      <c r="P2886" s="10"/>
      <c r="Q2886" s="22"/>
    </row>
    <row r="2887" customFormat="false" ht="15.75" hidden="false" customHeight="false" outlineLevel="0" collapsed="false">
      <c r="A2887" s="20" t="n">
        <v>46115</v>
      </c>
      <c r="B2887" s="15" t="s">
        <v>508</v>
      </c>
      <c r="C2887" s="15" t="s">
        <v>39</v>
      </c>
      <c r="D2887" s="15" t="s">
        <v>550</v>
      </c>
      <c r="E2887" s="15" t="n">
        <v>2</v>
      </c>
      <c r="H2887" s="10"/>
      <c r="I2887" s="21"/>
      <c r="M2887" s="10"/>
      <c r="N2887" s="10"/>
      <c r="P2887" s="10"/>
      <c r="Q2887" s="22"/>
    </row>
    <row r="2888" customFormat="false" ht="15.75" hidden="false" customHeight="false" outlineLevel="0" collapsed="false">
      <c r="A2888" s="20" t="n">
        <v>46115</v>
      </c>
      <c r="B2888" s="15" t="s">
        <v>508</v>
      </c>
      <c r="C2888" s="15" t="s">
        <v>47</v>
      </c>
      <c r="D2888" s="15" t="s">
        <v>549</v>
      </c>
      <c r="E2888" s="15" t="n">
        <v>2</v>
      </c>
      <c r="H2888" s="10"/>
      <c r="I2888" s="21"/>
      <c r="M2888" s="10"/>
      <c r="N2888" s="10"/>
      <c r="P2888" s="10"/>
      <c r="Q2888" s="22"/>
    </row>
    <row r="2889" customFormat="false" ht="15.75" hidden="false" customHeight="false" outlineLevel="0" collapsed="false">
      <c r="A2889" s="20" t="n">
        <v>46115</v>
      </c>
      <c r="B2889" s="15" t="s">
        <v>508</v>
      </c>
      <c r="C2889" s="15" t="s">
        <v>63</v>
      </c>
      <c r="D2889" s="15" t="s">
        <v>551</v>
      </c>
      <c r="E2889" s="15" t="n">
        <v>1</v>
      </c>
      <c r="H2889" s="10"/>
      <c r="I2889" s="21"/>
      <c r="M2889" s="10"/>
      <c r="N2889" s="10"/>
      <c r="P2889" s="10"/>
      <c r="Q2889" s="22"/>
    </row>
    <row r="2890" customFormat="false" ht="15.75" hidden="false" customHeight="false" outlineLevel="0" collapsed="false">
      <c r="A2890" s="20" t="n">
        <v>46115</v>
      </c>
      <c r="B2890" s="15" t="s">
        <v>515</v>
      </c>
      <c r="C2890" s="15" t="s">
        <v>69</v>
      </c>
      <c r="D2890" s="15" t="s">
        <v>535</v>
      </c>
      <c r="E2890" s="15" t="n">
        <v>6</v>
      </c>
      <c r="H2890" s="10"/>
      <c r="I2890" s="21"/>
      <c r="M2890" s="10"/>
      <c r="N2890" s="10"/>
      <c r="P2890" s="10"/>
      <c r="Q2890" s="22"/>
    </row>
    <row r="2891" customFormat="false" ht="15.75" hidden="false" customHeight="false" outlineLevel="0" collapsed="false">
      <c r="A2891" s="20" t="n">
        <v>46115</v>
      </c>
      <c r="B2891" s="15" t="s">
        <v>515</v>
      </c>
      <c r="C2891" s="15" t="s">
        <v>33</v>
      </c>
      <c r="D2891" s="15" t="s">
        <v>536</v>
      </c>
      <c r="E2891" s="15" t="n">
        <v>6</v>
      </c>
      <c r="H2891" s="10"/>
      <c r="I2891" s="21"/>
      <c r="M2891" s="10"/>
      <c r="N2891" s="10"/>
      <c r="P2891" s="10"/>
      <c r="Q2891" s="22"/>
    </row>
    <row r="2892" customFormat="false" ht="15.75" hidden="false" customHeight="false" outlineLevel="0" collapsed="false">
      <c r="A2892" s="20" t="n">
        <v>46115</v>
      </c>
      <c r="B2892" s="15" t="s">
        <v>515</v>
      </c>
      <c r="C2892" s="15" t="s">
        <v>55</v>
      </c>
      <c r="D2892" s="15" t="s">
        <v>539</v>
      </c>
      <c r="E2892" s="15" t="n">
        <v>4</v>
      </c>
      <c r="H2892" s="10"/>
      <c r="I2892" s="21"/>
      <c r="M2892" s="10"/>
      <c r="N2892" s="10"/>
      <c r="P2892" s="10"/>
      <c r="Q2892" s="22"/>
    </row>
    <row r="2893" customFormat="false" ht="15.75" hidden="false" customHeight="false" outlineLevel="0" collapsed="false">
      <c r="A2893" s="20" t="n">
        <v>46115</v>
      </c>
      <c r="B2893" s="15" t="s">
        <v>515</v>
      </c>
      <c r="C2893" s="15" t="s">
        <v>27</v>
      </c>
      <c r="D2893" s="15" t="s">
        <v>577</v>
      </c>
      <c r="E2893" s="15" t="n">
        <v>1</v>
      </c>
      <c r="H2893" s="10"/>
      <c r="I2893" s="21"/>
      <c r="M2893" s="10"/>
      <c r="N2893" s="10"/>
      <c r="P2893" s="10"/>
      <c r="Q2893" s="22"/>
    </row>
    <row r="2894" customFormat="false" ht="15.75" hidden="false" customHeight="false" outlineLevel="0" collapsed="false">
      <c r="A2894" s="20" t="n">
        <v>46115</v>
      </c>
      <c r="B2894" s="15" t="s">
        <v>515</v>
      </c>
      <c r="C2894" s="15" t="s">
        <v>51</v>
      </c>
      <c r="D2894" s="15" t="s">
        <v>573</v>
      </c>
      <c r="E2894" s="15" t="n">
        <v>1</v>
      </c>
      <c r="H2894" s="10"/>
      <c r="I2894" s="21"/>
      <c r="M2894" s="10"/>
      <c r="N2894" s="10"/>
      <c r="P2894" s="10"/>
      <c r="Q2894" s="22"/>
    </row>
    <row r="2895" customFormat="false" ht="15.75" hidden="false" customHeight="false" outlineLevel="0" collapsed="false">
      <c r="A2895" s="20" t="n">
        <v>46115</v>
      </c>
      <c r="B2895" s="15" t="s">
        <v>515</v>
      </c>
      <c r="C2895" s="15" t="s">
        <v>37</v>
      </c>
      <c r="D2895" s="15" t="s">
        <v>561</v>
      </c>
      <c r="E2895" s="15" t="n">
        <v>1</v>
      </c>
      <c r="H2895" s="10"/>
      <c r="I2895" s="21"/>
      <c r="M2895" s="10"/>
      <c r="N2895" s="10"/>
      <c r="P2895" s="10"/>
      <c r="Q2895" s="22"/>
    </row>
    <row r="2896" customFormat="false" ht="15.75" hidden="false" customHeight="false" outlineLevel="0" collapsed="false">
      <c r="A2896" s="20" t="n">
        <v>46115</v>
      </c>
      <c r="B2896" s="15" t="s">
        <v>515</v>
      </c>
      <c r="C2896" s="15" t="s">
        <v>81</v>
      </c>
      <c r="D2896" s="15" t="s">
        <v>534</v>
      </c>
      <c r="E2896" s="15" t="n">
        <v>2</v>
      </c>
      <c r="H2896" s="10"/>
      <c r="I2896" s="21"/>
      <c r="M2896" s="10"/>
      <c r="N2896" s="10"/>
      <c r="P2896" s="10"/>
      <c r="Q2896" s="22"/>
    </row>
    <row r="2897" customFormat="false" ht="15.75" hidden="false" customHeight="false" outlineLevel="0" collapsed="false">
      <c r="A2897" s="20" t="n">
        <v>46115</v>
      </c>
      <c r="B2897" s="15" t="s">
        <v>515</v>
      </c>
      <c r="C2897" s="15" t="s">
        <v>77</v>
      </c>
      <c r="D2897" s="15" t="s">
        <v>78</v>
      </c>
      <c r="E2897" s="15" t="n">
        <v>4</v>
      </c>
      <c r="H2897" s="10"/>
      <c r="I2897" s="21"/>
      <c r="M2897" s="10"/>
      <c r="N2897" s="10"/>
      <c r="P2897" s="10"/>
      <c r="Q2897" s="22"/>
    </row>
    <row r="2898" customFormat="false" ht="15.75" hidden="false" customHeight="false" outlineLevel="0" collapsed="false">
      <c r="A2898" s="20" t="n">
        <v>46116</v>
      </c>
      <c r="B2898" s="15" t="s">
        <v>453</v>
      </c>
      <c r="C2898" s="15" t="s">
        <v>47</v>
      </c>
      <c r="D2898" s="15" t="s">
        <v>549</v>
      </c>
      <c r="E2898" s="15" t="n">
        <v>2</v>
      </c>
      <c r="H2898" s="10"/>
      <c r="I2898" s="21"/>
      <c r="M2898" s="10"/>
      <c r="N2898" s="10"/>
      <c r="P2898" s="10"/>
      <c r="Q2898" s="22"/>
    </row>
    <row r="2899" customFormat="false" ht="15.75" hidden="false" customHeight="false" outlineLevel="0" collapsed="false">
      <c r="A2899" s="20" t="n">
        <v>46116</v>
      </c>
      <c r="B2899" s="15" t="s">
        <v>453</v>
      </c>
      <c r="C2899" s="15" t="s">
        <v>55</v>
      </c>
      <c r="D2899" s="15" t="s">
        <v>539</v>
      </c>
      <c r="E2899" s="15" t="n">
        <v>4</v>
      </c>
      <c r="H2899" s="10"/>
      <c r="I2899" s="21"/>
      <c r="M2899" s="10"/>
      <c r="N2899" s="10"/>
      <c r="P2899" s="10"/>
      <c r="Q2899" s="22"/>
    </row>
    <row r="2900" customFormat="false" ht="15.75" hidden="false" customHeight="false" outlineLevel="0" collapsed="false">
      <c r="A2900" s="20" t="n">
        <v>46116</v>
      </c>
      <c r="B2900" s="15" t="s">
        <v>453</v>
      </c>
      <c r="C2900" s="15" t="s">
        <v>81</v>
      </c>
      <c r="D2900" s="15" t="s">
        <v>534</v>
      </c>
      <c r="E2900" s="15" t="n">
        <v>8</v>
      </c>
      <c r="H2900" s="10"/>
      <c r="I2900" s="21"/>
      <c r="M2900" s="10"/>
      <c r="N2900" s="10"/>
      <c r="P2900" s="10"/>
      <c r="Q2900" s="22"/>
    </row>
    <row r="2901" customFormat="false" ht="15.75" hidden="false" customHeight="false" outlineLevel="0" collapsed="false">
      <c r="A2901" s="20" t="n">
        <v>46116</v>
      </c>
      <c r="B2901" s="15" t="s">
        <v>453</v>
      </c>
      <c r="C2901" s="15" t="s">
        <v>39</v>
      </c>
      <c r="D2901" s="15" t="s">
        <v>550</v>
      </c>
      <c r="E2901" s="15" t="n">
        <v>2</v>
      </c>
      <c r="H2901" s="10"/>
      <c r="I2901" s="21"/>
      <c r="M2901" s="10"/>
      <c r="N2901" s="10"/>
      <c r="P2901" s="10"/>
      <c r="Q2901" s="22"/>
    </row>
    <row r="2902" customFormat="false" ht="15.75" hidden="false" customHeight="false" outlineLevel="0" collapsed="false">
      <c r="A2902" s="20" t="n">
        <v>46116</v>
      </c>
      <c r="B2902" s="15" t="s">
        <v>453</v>
      </c>
      <c r="C2902" s="15" t="s">
        <v>63</v>
      </c>
      <c r="D2902" s="15" t="s">
        <v>551</v>
      </c>
      <c r="E2902" s="15" t="n">
        <v>1</v>
      </c>
      <c r="H2902" s="10"/>
      <c r="I2902" s="21"/>
      <c r="M2902" s="10"/>
      <c r="N2902" s="10"/>
      <c r="P2902" s="10"/>
      <c r="Q2902" s="22"/>
    </row>
    <row r="2903" customFormat="false" ht="15.75" hidden="false" customHeight="false" outlineLevel="0" collapsed="false">
      <c r="A2903" s="20" t="n">
        <v>46116</v>
      </c>
      <c r="B2903" s="15" t="s">
        <v>453</v>
      </c>
      <c r="C2903" s="15" t="s">
        <v>35</v>
      </c>
      <c r="D2903" s="15" t="s">
        <v>552</v>
      </c>
      <c r="E2903" s="15" t="n">
        <v>2</v>
      </c>
      <c r="H2903" s="10"/>
      <c r="I2903" s="21"/>
      <c r="M2903" s="10"/>
      <c r="N2903" s="10"/>
      <c r="P2903" s="10"/>
      <c r="Q2903" s="22"/>
    </row>
    <row r="2904" customFormat="false" ht="15.75" hidden="false" customHeight="false" outlineLevel="0" collapsed="false">
      <c r="A2904" s="20" t="n">
        <v>46116</v>
      </c>
      <c r="B2904" s="15" t="s">
        <v>467</v>
      </c>
      <c r="C2904" s="15" t="s">
        <v>55</v>
      </c>
      <c r="D2904" s="15" t="s">
        <v>539</v>
      </c>
      <c r="E2904" s="15" t="n">
        <v>6</v>
      </c>
      <c r="H2904" s="10"/>
      <c r="I2904" s="21"/>
      <c r="M2904" s="10"/>
      <c r="N2904" s="10"/>
      <c r="P2904" s="10"/>
      <c r="Q2904" s="22"/>
    </row>
    <row r="2905" customFormat="false" ht="15.75" hidden="false" customHeight="false" outlineLevel="0" collapsed="false">
      <c r="A2905" s="20" t="n">
        <v>46116</v>
      </c>
      <c r="B2905" s="15" t="s">
        <v>467</v>
      </c>
      <c r="C2905" s="15" t="s">
        <v>57</v>
      </c>
      <c r="D2905" s="15" t="s">
        <v>553</v>
      </c>
      <c r="E2905" s="15" t="n">
        <v>2</v>
      </c>
      <c r="H2905" s="10"/>
      <c r="I2905" s="21"/>
      <c r="M2905" s="10"/>
      <c r="N2905" s="10"/>
      <c r="P2905" s="10"/>
      <c r="Q2905" s="22"/>
    </row>
    <row r="2906" customFormat="false" ht="15.75" hidden="false" customHeight="false" outlineLevel="0" collapsed="false">
      <c r="A2906" s="20" t="n">
        <v>46116</v>
      </c>
      <c r="B2906" s="15" t="s">
        <v>467</v>
      </c>
      <c r="C2906" s="15" t="s">
        <v>47</v>
      </c>
      <c r="D2906" s="15" t="s">
        <v>549</v>
      </c>
      <c r="E2906" s="15" t="n">
        <v>2</v>
      </c>
      <c r="H2906" s="10"/>
      <c r="I2906" s="21"/>
      <c r="M2906" s="10"/>
      <c r="N2906" s="10"/>
      <c r="P2906" s="10"/>
      <c r="Q2906" s="22"/>
    </row>
    <row r="2907" customFormat="false" ht="15.75" hidden="false" customHeight="false" outlineLevel="0" collapsed="false">
      <c r="A2907" s="20" t="n">
        <v>46116</v>
      </c>
      <c r="B2907" s="15" t="s">
        <v>467</v>
      </c>
      <c r="C2907" s="15" t="s">
        <v>81</v>
      </c>
      <c r="D2907" s="15" t="s">
        <v>534</v>
      </c>
      <c r="E2907" s="15" t="n">
        <v>7</v>
      </c>
      <c r="H2907" s="10"/>
      <c r="I2907" s="21"/>
      <c r="M2907" s="10"/>
      <c r="N2907" s="10"/>
      <c r="P2907" s="10"/>
      <c r="Q2907" s="22"/>
    </row>
    <row r="2908" customFormat="false" ht="15.75" hidden="false" customHeight="false" outlineLevel="0" collapsed="false">
      <c r="A2908" s="20" t="n">
        <v>46116</v>
      </c>
      <c r="B2908" s="15" t="s">
        <v>467</v>
      </c>
      <c r="C2908" s="15" t="s">
        <v>49</v>
      </c>
      <c r="D2908" s="15" t="s">
        <v>537</v>
      </c>
      <c r="E2908" s="15" t="n">
        <v>2</v>
      </c>
      <c r="H2908" s="10"/>
      <c r="I2908" s="21"/>
      <c r="M2908" s="10"/>
      <c r="N2908" s="10"/>
      <c r="P2908" s="10"/>
      <c r="Q2908" s="22"/>
    </row>
    <row r="2909" customFormat="false" ht="15.75" hidden="false" customHeight="false" outlineLevel="0" collapsed="false">
      <c r="A2909" s="20" t="n">
        <v>46116</v>
      </c>
      <c r="B2909" s="15" t="s">
        <v>467</v>
      </c>
      <c r="C2909" s="15" t="s">
        <v>63</v>
      </c>
      <c r="D2909" s="15" t="s">
        <v>551</v>
      </c>
      <c r="E2909" s="15" t="n">
        <v>1</v>
      </c>
      <c r="H2909" s="10"/>
      <c r="I2909" s="21"/>
      <c r="M2909" s="10"/>
      <c r="N2909" s="10"/>
      <c r="P2909" s="10"/>
      <c r="Q2909" s="22"/>
    </row>
    <row r="2910" customFormat="false" ht="15.75" hidden="false" customHeight="false" outlineLevel="0" collapsed="false">
      <c r="A2910" s="20" t="n">
        <v>46116</v>
      </c>
      <c r="B2910" s="15" t="s">
        <v>498</v>
      </c>
      <c r="C2910" s="15" t="s">
        <v>81</v>
      </c>
      <c r="D2910" s="15" t="s">
        <v>534</v>
      </c>
      <c r="E2910" s="15" t="n">
        <v>9</v>
      </c>
      <c r="H2910" s="10"/>
      <c r="I2910" s="21"/>
      <c r="M2910" s="10"/>
      <c r="N2910" s="10"/>
      <c r="P2910" s="10"/>
      <c r="Q2910" s="22"/>
    </row>
    <row r="2911" customFormat="false" ht="15.75" hidden="false" customHeight="false" outlineLevel="0" collapsed="false">
      <c r="A2911" s="20" t="n">
        <v>46116</v>
      </c>
      <c r="B2911" s="15" t="s">
        <v>498</v>
      </c>
      <c r="C2911" s="15" t="s">
        <v>543</v>
      </c>
      <c r="D2911" s="15" t="s">
        <v>544</v>
      </c>
      <c r="E2911" s="15" t="n">
        <v>1</v>
      </c>
      <c r="H2911" s="10"/>
      <c r="I2911" s="21"/>
      <c r="M2911" s="10"/>
      <c r="N2911" s="10"/>
      <c r="P2911" s="10"/>
      <c r="Q2911" s="22"/>
    </row>
    <row r="2912" customFormat="false" ht="15.75" hidden="false" customHeight="false" outlineLevel="0" collapsed="false">
      <c r="A2912" s="20" t="n">
        <v>46116</v>
      </c>
      <c r="B2912" s="15" t="s">
        <v>498</v>
      </c>
      <c r="C2912" s="15" t="s">
        <v>69</v>
      </c>
      <c r="D2912" s="15" t="s">
        <v>535</v>
      </c>
      <c r="E2912" s="15" t="n">
        <v>2</v>
      </c>
      <c r="H2912" s="10"/>
      <c r="I2912" s="21"/>
      <c r="M2912" s="10"/>
      <c r="N2912" s="10"/>
      <c r="P2912" s="10"/>
      <c r="Q2912" s="22"/>
    </row>
    <row r="2913" customFormat="false" ht="15.75" hidden="false" customHeight="false" outlineLevel="0" collapsed="false">
      <c r="A2913" s="20" t="n">
        <v>46116</v>
      </c>
      <c r="B2913" s="15" t="s">
        <v>498</v>
      </c>
      <c r="C2913" s="15" t="s">
        <v>33</v>
      </c>
      <c r="D2913" s="15" t="s">
        <v>536</v>
      </c>
      <c r="E2913" s="15" t="n">
        <v>3</v>
      </c>
      <c r="H2913" s="10"/>
      <c r="I2913" s="21"/>
      <c r="M2913" s="10"/>
      <c r="N2913" s="10"/>
      <c r="P2913" s="10"/>
      <c r="Q2913" s="22"/>
    </row>
    <row r="2914" customFormat="false" ht="15.75" hidden="false" customHeight="false" outlineLevel="0" collapsed="false">
      <c r="A2914" s="20" t="n">
        <v>46116</v>
      </c>
      <c r="B2914" s="15" t="s">
        <v>498</v>
      </c>
      <c r="C2914" s="15" t="s">
        <v>55</v>
      </c>
      <c r="D2914" s="15" t="s">
        <v>539</v>
      </c>
      <c r="E2914" s="15" t="n">
        <v>1</v>
      </c>
      <c r="H2914" s="10"/>
      <c r="I2914" s="21"/>
      <c r="M2914" s="10"/>
      <c r="N2914" s="10"/>
      <c r="P2914" s="10"/>
      <c r="Q2914" s="22"/>
    </row>
    <row r="2915" customFormat="false" ht="15.75" hidden="false" customHeight="false" outlineLevel="0" collapsed="false">
      <c r="A2915" s="20" t="n">
        <v>46116</v>
      </c>
      <c r="B2915" s="15" t="s">
        <v>498</v>
      </c>
      <c r="C2915" s="15" t="s">
        <v>59</v>
      </c>
      <c r="D2915" s="15" t="s">
        <v>562</v>
      </c>
      <c r="E2915" s="15" t="n">
        <v>1</v>
      </c>
      <c r="H2915" s="10"/>
      <c r="I2915" s="21"/>
      <c r="M2915" s="10"/>
      <c r="N2915" s="10"/>
      <c r="P2915" s="10"/>
      <c r="Q2915" s="22"/>
    </row>
    <row r="2916" customFormat="false" ht="15.75" hidden="false" customHeight="false" outlineLevel="0" collapsed="false">
      <c r="A2916" s="20" t="n">
        <v>46116</v>
      </c>
      <c r="B2916" s="15" t="s">
        <v>498</v>
      </c>
      <c r="C2916" s="15" t="s">
        <v>47</v>
      </c>
      <c r="D2916" s="15" t="s">
        <v>549</v>
      </c>
      <c r="E2916" s="15" t="n">
        <v>1</v>
      </c>
      <c r="H2916" s="10"/>
      <c r="I2916" s="21"/>
      <c r="M2916" s="10"/>
      <c r="N2916" s="10"/>
      <c r="P2916" s="10"/>
      <c r="Q2916" s="22"/>
    </row>
    <row r="2917" customFormat="false" ht="15.75" hidden="false" customHeight="false" outlineLevel="0" collapsed="false">
      <c r="A2917" s="20" t="n">
        <v>46116</v>
      </c>
      <c r="B2917" s="15" t="s">
        <v>498</v>
      </c>
      <c r="C2917" s="15" t="s">
        <v>75</v>
      </c>
      <c r="D2917" s="15" t="s">
        <v>560</v>
      </c>
      <c r="E2917" s="15" t="n">
        <v>1</v>
      </c>
      <c r="H2917" s="10"/>
      <c r="I2917" s="21"/>
      <c r="M2917" s="10"/>
      <c r="N2917" s="10"/>
      <c r="P2917" s="10"/>
      <c r="Q2917" s="22"/>
    </row>
    <row r="2918" customFormat="false" ht="15.75" hidden="false" customHeight="false" outlineLevel="0" collapsed="false">
      <c r="A2918" s="20" t="n">
        <v>46116</v>
      </c>
      <c r="B2918" s="15" t="s">
        <v>498</v>
      </c>
      <c r="C2918" s="15" t="s">
        <v>77</v>
      </c>
      <c r="D2918" s="15" t="s">
        <v>78</v>
      </c>
      <c r="E2918" s="15" t="n">
        <v>1</v>
      </c>
      <c r="H2918" s="10"/>
      <c r="I2918" s="21"/>
      <c r="M2918" s="10"/>
      <c r="N2918" s="10"/>
      <c r="P2918" s="10"/>
      <c r="Q2918" s="22"/>
    </row>
    <row r="2919" customFormat="false" ht="15.75" hidden="false" customHeight="false" outlineLevel="0" collapsed="false">
      <c r="A2919" s="20" t="n">
        <v>46116</v>
      </c>
      <c r="B2919" s="15" t="s">
        <v>504</v>
      </c>
      <c r="C2919" s="15" t="s">
        <v>47</v>
      </c>
      <c r="D2919" s="15" t="s">
        <v>549</v>
      </c>
      <c r="E2919" s="15" t="n">
        <v>3</v>
      </c>
      <c r="H2919" s="10"/>
      <c r="I2919" s="21"/>
      <c r="M2919" s="10"/>
      <c r="N2919" s="10"/>
      <c r="P2919" s="10"/>
      <c r="Q2919" s="22"/>
    </row>
    <row r="2920" customFormat="false" ht="15.75" hidden="false" customHeight="false" outlineLevel="0" collapsed="false">
      <c r="A2920" s="20" t="n">
        <v>46116</v>
      </c>
      <c r="B2920" s="15" t="s">
        <v>504</v>
      </c>
      <c r="C2920" s="15" t="s">
        <v>55</v>
      </c>
      <c r="D2920" s="15" t="s">
        <v>539</v>
      </c>
      <c r="E2920" s="15" t="n">
        <v>6</v>
      </c>
      <c r="H2920" s="10"/>
      <c r="I2920" s="21"/>
      <c r="M2920" s="10"/>
      <c r="N2920" s="10"/>
      <c r="P2920" s="10"/>
      <c r="Q2920" s="22"/>
    </row>
    <row r="2921" customFormat="false" ht="15.75" hidden="false" customHeight="false" outlineLevel="0" collapsed="false">
      <c r="A2921" s="20" t="n">
        <v>46116</v>
      </c>
      <c r="B2921" s="15" t="s">
        <v>504</v>
      </c>
      <c r="C2921" s="15" t="s">
        <v>81</v>
      </c>
      <c r="D2921" s="15" t="s">
        <v>534</v>
      </c>
      <c r="E2921" s="15" t="n">
        <v>9</v>
      </c>
      <c r="H2921" s="10"/>
      <c r="I2921" s="21"/>
      <c r="M2921" s="10"/>
      <c r="N2921" s="10"/>
      <c r="P2921" s="10"/>
      <c r="Q2921" s="22"/>
    </row>
    <row r="2922" customFormat="false" ht="15.75" hidden="false" customHeight="false" outlineLevel="0" collapsed="false">
      <c r="A2922" s="20" t="n">
        <v>46116</v>
      </c>
      <c r="B2922" s="15" t="s">
        <v>504</v>
      </c>
      <c r="C2922" s="15" t="s">
        <v>39</v>
      </c>
      <c r="D2922" s="15" t="s">
        <v>550</v>
      </c>
      <c r="E2922" s="15" t="n">
        <v>1</v>
      </c>
      <c r="H2922" s="10"/>
      <c r="I2922" s="21"/>
      <c r="M2922" s="10"/>
      <c r="N2922" s="10"/>
      <c r="P2922" s="10"/>
      <c r="Q2922" s="22"/>
    </row>
    <row r="2923" customFormat="false" ht="15.75" hidden="false" customHeight="false" outlineLevel="0" collapsed="false">
      <c r="A2923" s="20" t="n">
        <v>46116</v>
      </c>
      <c r="B2923" s="15" t="s">
        <v>504</v>
      </c>
      <c r="C2923" s="15" t="s">
        <v>63</v>
      </c>
      <c r="D2923" s="15" t="s">
        <v>551</v>
      </c>
      <c r="E2923" s="15" t="n">
        <v>1</v>
      </c>
      <c r="H2923" s="10"/>
      <c r="I2923" s="21"/>
      <c r="M2923" s="10"/>
      <c r="N2923" s="10"/>
      <c r="P2923" s="10"/>
      <c r="Q2923" s="22"/>
    </row>
    <row r="2924" customFormat="false" ht="15.75" hidden="false" customHeight="false" outlineLevel="0" collapsed="false">
      <c r="A2924" s="20" t="n">
        <v>46116</v>
      </c>
      <c r="B2924" s="15" t="s">
        <v>504</v>
      </c>
      <c r="C2924" s="15" t="s">
        <v>17</v>
      </c>
      <c r="D2924" s="15" t="s">
        <v>554</v>
      </c>
      <c r="E2924" s="15" t="n">
        <v>1</v>
      </c>
      <c r="H2924" s="10"/>
      <c r="I2924" s="21"/>
      <c r="M2924" s="10"/>
      <c r="N2924" s="10"/>
      <c r="P2924" s="10"/>
      <c r="Q2924" s="22"/>
    </row>
    <row r="2925" customFormat="false" ht="15.75" hidden="false" customHeight="false" outlineLevel="0" collapsed="false">
      <c r="A2925" s="20" t="n">
        <v>46116</v>
      </c>
      <c r="B2925" s="15" t="s">
        <v>505</v>
      </c>
      <c r="C2925" s="15" t="s">
        <v>55</v>
      </c>
      <c r="D2925" s="15" t="s">
        <v>539</v>
      </c>
      <c r="E2925" s="15" t="n">
        <v>6</v>
      </c>
      <c r="H2925" s="10"/>
      <c r="I2925" s="21"/>
      <c r="M2925" s="10"/>
      <c r="N2925" s="10"/>
      <c r="P2925" s="10"/>
      <c r="Q2925" s="22"/>
    </row>
    <row r="2926" customFormat="false" ht="15.75" hidden="false" customHeight="false" outlineLevel="0" collapsed="false">
      <c r="A2926" s="20" t="n">
        <v>46116</v>
      </c>
      <c r="B2926" s="15" t="s">
        <v>505</v>
      </c>
      <c r="C2926" s="15" t="s">
        <v>39</v>
      </c>
      <c r="D2926" s="15" t="s">
        <v>550</v>
      </c>
      <c r="E2926" s="15" t="n">
        <v>1</v>
      </c>
      <c r="H2926" s="10"/>
      <c r="I2926" s="21"/>
      <c r="M2926" s="10"/>
      <c r="N2926" s="10"/>
      <c r="P2926" s="10"/>
      <c r="Q2926" s="22"/>
    </row>
    <row r="2927" customFormat="false" ht="15.75" hidden="false" customHeight="false" outlineLevel="0" collapsed="false">
      <c r="A2927" s="20" t="n">
        <v>46116</v>
      </c>
      <c r="B2927" s="15" t="s">
        <v>505</v>
      </c>
      <c r="C2927" s="15" t="s">
        <v>81</v>
      </c>
      <c r="D2927" s="15" t="s">
        <v>534</v>
      </c>
      <c r="E2927" s="15" t="n">
        <v>9</v>
      </c>
      <c r="H2927" s="10"/>
      <c r="I2927" s="21"/>
      <c r="M2927" s="10"/>
      <c r="N2927" s="10"/>
      <c r="P2927" s="10"/>
      <c r="Q2927" s="22"/>
    </row>
    <row r="2928" customFormat="false" ht="15.75" hidden="false" customHeight="false" outlineLevel="0" collapsed="false">
      <c r="A2928" s="20" t="n">
        <v>46116</v>
      </c>
      <c r="B2928" s="15" t="s">
        <v>505</v>
      </c>
      <c r="C2928" s="15" t="s">
        <v>47</v>
      </c>
      <c r="D2928" s="15" t="s">
        <v>549</v>
      </c>
      <c r="E2928" s="15" t="n">
        <v>3</v>
      </c>
      <c r="H2928" s="10"/>
      <c r="I2928" s="21"/>
      <c r="M2928" s="10"/>
      <c r="N2928" s="10"/>
      <c r="P2928" s="10"/>
      <c r="Q2928" s="22"/>
    </row>
    <row r="2929" customFormat="false" ht="15.75" hidden="false" customHeight="false" outlineLevel="0" collapsed="false">
      <c r="A2929" s="20" t="n">
        <v>46116</v>
      </c>
      <c r="B2929" s="15" t="s">
        <v>505</v>
      </c>
      <c r="C2929" s="15" t="s">
        <v>63</v>
      </c>
      <c r="D2929" s="15" t="s">
        <v>551</v>
      </c>
      <c r="E2929" s="15" t="n">
        <v>1</v>
      </c>
      <c r="H2929" s="10"/>
      <c r="I2929" s="21"/>
      <c r="M2929" s="10"/>
      <c r="N2929" s="10"/>
      <c r="P2929" s="10"/>
      <c r="Q2929" s="22"/>
    </row>
    <row r="2930" customFormat="false" ht="15.75" hidden="false" customHeight="false" outlineLevel="0" collapsed="false">
      <c r="A2930" s="20" t="n">
        <v>46116</v>
      </c>
      <c r="B2930" s="15" t="s">
        <v>505</v>
      </c>
      <c r="C2930" s="15" t="s">
        <v>17</v>
      </c>
      <c r="D2930" s="15" t="s">
        <v>554</v>
      </c>
      <c r="E2930" s="15" t="n">
        <v>1</v>
      </c>
      <c r="H2930" s="10"/>
      <c r="I2930" s="21"/>
      <c r="M2930" s="10"/>
      <c r="N2930" s="10"/>
      <c r="P2930" s="10"/>
      <c r="Q2930" s="22"/>
    </row>
    <row r="2931" customFormat="false" ht="15.75" hidden="false" customHeight="false" outlineLevel="0" collapsed="false">
      <c r="A2931" s="20" t="n">
        <v>46116</v>
      </c>
      <c r="B2931" s="15" t="s">
        <v>508</v>
      </c>
      <c r="C2931" s="15" t="s">
        <v>55</v>
      </c>
      <c r="D2931" s="15" t="s">
        <v>539</v>
      </c>
      <c r="E2931" s="15" t="n">
        <v>5</v>
      </c>
      <c r="H2931" s="10"/>
      <c r="I2931" s="21"/>
      <c r="M2931" s="10"/>
      <c r="N2931" s="10"/>
      <c r="P2931" s="10"/>
      <c r="Q2931" s="22"/>
    </row>
    <row r="2932" customFormat="false" ht="15.75" hidden="false" customHeight="false" outlineLevel="0" collapsed="false">
      <c r="A2932" s="20" t="n">
        <v>46116</v>
      </c>
      <c r="B2932" s="15" t="s">
        <v>508</v>
      </c>
      <c r="C2932" s="15" t="s">
        <v>81</v>
      </c>
      <c r="D2932" s="15" t="s">
        <v>534</v>
      </c>
      <c r="E2932" s="15" t="n">
        <v>9</v>
      </c>
      <c r="H2932" s="10"/>
      <c r="I2932" s="21"/>
      <c r="M2932" s="10"/>
      <c r="N2932" s="10"/>
      <c r="P2932" s="10"/>
      <c r="Q2932" s="22"/>
    </row>
    <row r="2933" customFormat="false" ht="15.75" hidden="false" customHeight="false" outlineLevel="0" collapsed="false">
      <c r="A2933" s="20" t="n">
        <v>46116</v>
      </c>
      <c r="B2933" s="15" t="s">
        <v>508</v>
      </c>
      <c r="C2933" s="15" t="s">
        <v>39</v>
      </c>
      <c r="D2933" s="15" t="s">
        <v>550</v>
      </c>
      <c r="E2933" s="15" t="n">
        <v>2</v>
      </c>
      <c r="H2933" s="10"/>
      <c r="I2933" s="21"/>
      <c r="M2933" s="10"/>
      <c r="N2933" s="10"/>
      <c r="P2933" s="10"/>
      <c r="Q2933" s="22"/>
    </row>
    <row r="2934" customFormat="false" ht="15.75" hidden="false" customHeight="false" outlineLevel="0" collapsed="false">
      <c r="A2934" s="20" t="n">
        <v>46116</v>
      </c>
      <c r="B2934" s="15" t="s">
        <v>508</v>
      </c>
      <c r="C2934" s="15" t="s">
        <v>47</v>
      </c>
      <c r="D2934" s="15" t="s">
        <v>549</v>
      </c>
      <c r="E2934" s="15" t="n">
        <v>2</v>
      </c>
      <c r="H2934" s="10"/>
      <c r="I2934" s="21"/>
      <c r="M2934" s="10"/>
      <c r="N2934" s="10"/>
      <c r="P2934" s="10"/>
      <c r="Q2934" s="22"/>
    </row>
    <row r="2935" customFormat="false" ht="15.75" hidden="false" customHeight="false" outlineLevel="0" collapsed="false">
      <c r="A2935" s="20" t="n">
        <v>46116</v>
      </c>
      <c r="B2935" s="15" t="s">
        <v>508</v>
      </c>
      <c r="C2935" s="15" t="s">
        <v>63</v>
      </c>
      <c r="D2935" s="15" t="s">
        <v>551</v>
      </c>
      <c r="E2935" s="15" t="n">
        <v>1</v>
      </c>
      <c r="H2935" s="10"/>
      <c r="I2935" s="21"/>
      <c r="M2935" s="10"/>
      <c r="N2935" s="10"/>
      <c r="P2935" s="10"/>
      <c r="Q2935" s="22"/>
    </row>
    <row r="2936" customFormat="false" ht="15.75" hidden="false" customHeight="false" outlineLevel="0" collapsed="false">
      <c r="A2936" s="20" t="n">
        <v>46118</v>
      </c>
      <c r="B2936" s="15" t="s">
        <v>451</v>
      </c>
      <c r="C2936" s="15" t="s">
        <v>81</v>
      </c>
      <c r="D2936" s="15" t="s">
        <v>534</v>
      </c>
      <c r="E2936" s="15" t="n">
        <v>2</v>
      </c>
      <c r="H2936" s="10"/>
      <c r="I2936" s="21"/>
      <c r="M2936" s="10"/>
      <c r="N2936" s="10"/>
      <c r="P2936" s="10"/>
      <c r="Q2936" s="22"/>
    </row>
    <row r="2937" customFormat="false" ht="15.75" hidden="false" customHeight="false" outlineLevel="0" collapsed="false">
      <c r="A2937" s="20" t="n">
        <v>46118</v>
      </c>
      <c r="B2937" s="15" t="s">
        <v>451</v>
      </c>
      <c r="C2937" s="15" t="s">
        <v>69</v>
      </c>
      <c r="D2937" s="15" t="s">
        <v>535</v>
      </c>
      <c r="E2937" s="15" t="n">
        <v>3</v>
      </c>
      <c r="H2937" s="10"/>
      <c r="I2937" s="21"/>
      <c r="M2937" s="10"/>
      <c r="N2937" s="10"/>
      <c r="P2937" s="10"/>
      <c r="Q2937" s="22"/>
    </row>
    <row r="2938" customFormat="false" ht="15.75" hidden="false" customHeight="false" outlineLevel="0" collapsed="false">
      <c r="A2938" s="20" t="n">
        <v>46118</v>
      </c>
      <c r="B2938" s="15" t="s">
        <v>451</v>
      </c>
      <c r="C2938" s="15" t="s">
        <v>33</v>
      </c>
      <c r="D2938" s="15" t="s">
        <v>536</v>
      </c>
      <c r="E2938" s="15" t="n">
        <v>2</v>
      </c>
      <c r="H2938" s="10"/>
      <c r="I2938" s="21"/>
      <c r="M2938" s="10"/>
      <c r="N2938" s="10"/>
      <c r="P2938" s="10"/>
      <c r="Q2938" s="22"/>
    </row>
    <row r="2939" customFormat="false" ht="15.75" hidden="false" customHeight="false" outlineLevel="0" collapsed="false">
      <c r="A2939" s="20" t="n">
        <v>46118</v>
      </c>
      <c r="B2939" s="15" t="s">
        <v>451</v>
      </c>
      <c r="C2939" s="15" t="s">
        <v>77</v>
      </c>
      <c r="D2939" s="15" t="s">
        <v>78</v>
      </c>
      <c r="E2939" s="15" t="n">
        <v>2</v>
      </c>
      <c r="H2939" s="10"/>
      <c r="I2939" s="21"/>
      <c r="M2939" s="10"/>
      <c r="N2939" s="10"/>
      <c r="P2939" s="10"/>
      <c r="Q2939" s="22"/>
    </row>
    <row r="2940" customFormat="false" ht="15.75" hidden="false" customHeight="false" outlineLevel="0" collapsed="false">
      <c r="A2940" s="20" t="n">
        <v>46118</v>
      </c>
      <c r="B2940" s="15" t="s">
        <v>451</v>
      </c>
      <c r="C2940" s="15" t="s">
        <v>49</v>
      </c>
      <c r="D2940" s="15" t="s">
        <v>537</v>
      </c>
      <c r="E2940" s="15" t="n">
        <v>1</v>
      </c>
      <c r="H2940" s="10"/>
      <c r="I2940" s="21"/>
      <c r="M2940" s="10"/>
      <c r="N2940" s="10"/>
      <c r="P2940" s="10"/>
      <c r="Q2940" s="22"/>
    </row>
    <row r="2941" customFormat="false" ht="15.75" hidden="false" customHeight="false" outlineLevel="0" collapsed="false">
      <c r="A2941" s="20" t="n">
        <v>46118</v>
      </c>
      <c r="B2941" s="15" t="s">
        <v>451</v>
      </c>
      <c r="C2941" s="15" t="s">
        <v>43</v>
      </c>
      <c r="D2941" s="15" t="s">
        <v>538</v>
      </c>
      <c r="E2941" s="15" t="n">
        <v>2</v>
      </c>
      <c r="H2941" s="10"/>
      <c r="I2941" s="21"/>
      <c r="M2941" s="10"/>
      <c r="N2941" s="10"/>
      <c r="P2941" s="10"/>
      <c r="Q2941" s="22"/>
    </row>
    <row r="2942" customFormat="false" ht="15.75" hidden="false" customHeight="false" outlineLevel="0" collapsed="false">
      <c r="A2942" s="20" t="n">
        <v>46118</v>
      </c>
      <c r="B2942" s="15" t="s">
        <v>451</v>
      </c>
      <c r="C2942" s="15" t="s">
        <v>55</v>
      </c>
      <c r="D2942" s="15" t="s">
        <v>539</v>
      </c>
      <c r="E2942" s="15" t="n">
        <v>1</v>
      </c>
      <c r="H2942" s="10"/>
      <c r="I2942" s="21"/>
      <c r="M2942" s="10"/>
      <c r="N2942" s="10"/>
      <c r="P2942" s="10"/>
      <c r="Q2942" s="22"/>
    </row>
    <row r="2943" customFormat="false" ht="15.75" hidden="false" customHeight="false" outlineLevel="0" collapsed="false">
      <c r="A2943" s="20" t="n">
        <v>46118</v>
      </c>
      <c r="B2943" s="15" t="s">
        <v>451</v>
      </c>
      <c r="C2943" s="15" t="s">
        <v>45</v>
      </c>
      <c r="D2943" s="15" t="s">
        <v>540</v>
      </c>
      <c r="E2943" s="15" t="n">
        <v>1</v>
      </c>
      <c r="H2943" s="10"/>
      <c r="I2943" s="21"/>
      <c r="M2943" s="10"/>
      <c r="N2943" s="10"/>
      <c r="P2943" s="10"/>
      <c r="Q2943" s="22"/>
    </row>
    <row r="2944" customFormat="false" ht="15.75" hidden="false" customHeight="false" outlineLevel="0" collapsed="false">
      <c r="A2944" s="20" t="n">
        <v>46118</v>
      </c>
      <c r="B2944" s="15" t="s">
        <v>451</v>
      </c>
      <c r="C2944" s="15" t="s">
        <v>541</v>
      </c>
      <c r="D2944" s="15" t="s">
        <v>542</v>
      </c>
      <c r="E2944" s="15" t="n">
        <v>1</v>
      </c>
      <c r="H2944" s="10"/>
      <c r="I2944" s="21"/>
      <c r="M2944" s="10"/>
      <c r="N2944" s="10"/>
      <c r="P2944" s="10"/>
      <c r="Q2944" s="22"/>
    </row>
    <row r="2945" customFormat="false" ht="15.75" hidden="false" customHeight="false" outlineLevel="0" collapsed="false">
      <c r="A2945" s="20" t="n">
        <v>46118</v>
      </c>
      <c r="B2945" s="15" t="s">
        <v>451</v>
      </c>
      <c r="C2945" s="15" t="s">
        <v>543</v>
      </c>
      <c r="D2945" s="15" t="s">
        <v>544</v>
      </c>
      <c r="E2945" s="15" t="n">
        <v>3</v>
      </c>
      <c r="H2945" s="10"/>
      <c r="I2945" s="21"/>
      <c r="M2945" s="10"/>
      <c r="N2945" s="10"/>
      <c r="P2945" s="10"/>
      <c r="Q2945" s="22"/>
    </row>
    <row r="2946" customFormat="false" ht="15.75" hidden="false" customHeight="false" outlineLevel="0" collapsed="false">
      <c r="A2946" s="20" t="n">
        <v>46118</v>
      </c>
      <c r="B2946" s="15" t="s">
        <v>451</v>
      </c>
      <c r="C2946" s="15" t="s">
        <v>545</v>
      </c>
      <c r="D2946" s="15" t="s">
        <v>546</v>
      </c>
      <c r="E2946" s="15" t="n">
        <v>1</v>
      </c>
      <c r="H2946" s="10"/>
      <c r="I2946" s="21"/>
      <c r="M2946" s="10"/>
      <c r="N2946" s="10"/>
      <c r="P2946" s="10"/>
      <c r="Q2946" s="22"/>
    </row>
    <row r="2947" customFormat="false" ht="15.75" hidden="false" customHeight="false" outlineLevel="0" collapsed="false">
      <c r="A2947" s="20" t="n">
        <v>46118</v>
      </c>
      <c r="B2947" s="15" t="s">
        <v>451</v>
      </c>
      <c r="C2947" s="15" t="s">
        <v>547</v>
      </c>
      <c r="D2947" s="15" t="s">
        <v>548</v>
      </c>
      <c r="E2947" s="15" t="n">
        <v>2</v>
      </c>
      <c r="H2947" s="10"/>
      <c r="I2947" s="21"/>
      <c r="M2947" s="10"/>
      <c r="N2947" s="10"/>
      <c r="P2947" s="10"/>
      <c r="Q2947" s="22"/>
    </row>
    <row r="2948" customFormat="false" ht="15.75" hidden="false" customHeight="false" outlineLevel="0" collapsed="false">
      <c r="A2948" s="20" t="n">
        <v>46118</v>
      </c>
      <c r="B2948" s="15" t="s">
        <v>453</v>
      </c>
      <c r="C2948" s="15" t="s">
        <v>47</v>
      </c>
      <c r="D2948" s="15" t="s">
        <v>549</v>
      </c>
      <c r="E2948" s="15" t="n">
        <v>2</v>
      </c>
      <c r="H2948" s="10"/>
      <c r="I2948" s="21"/>
      <c r="M2948" s="10"/>
      <c r="N2948" s="10"/>
      <c r="P2948" s="10"/>
      <c r="Q2948" s="22"/>
    </row>
    <row r="2949" customFormat="false" ht="15.75" hidden="false" customHeight="false" outlineLevel="0" collapsed="false">
      <c r="A2949" s="20" t="n">
        <v>46118</v>
      </c>
      <c r="B2949" s="15" t="s">
        <v>453</v>
      </c>
      <c r="C2949" s="15" t="s">
        <v>55</v>
      </c>
      <c r="D2949" s="15" t="s">
        <v>539</v>
      </c>
      <c r="E2949" s="15" t="n">
        <v>4</v>
      </c>
      <c r="H2949" s="10"/>
      <c r="I2949" s="21"/>
      <c r="M2949" s="10"/>
      <c r="N2949" s="10"/>
      <c r="P2949" s="10"/>
      <c r="Q2949" s="22"/>
    </row>
    <row r="2950" customFormat="false" ht="15.75" hidden="false" customHeight="false" outlineLevel="0" collapsed="false">
      <c r="A2950" s="20" t="n">
        <v>46118</v>
      </c>
      <c r="B2950" s="15" t="s">
        <v>453</v>
      </c>
      <c r="C2950" s="15" t="s">
        <v>81</v>
      </c>
      <c r="D2950" s="15" t="s">
        <v>534</v>
      </c>
      <c r="E2950" s="15" t="n">
        <v>8</v>
      </c>
      <c r="H2950" s="10"/>
      <c r="I2950" s="21"/>
      <c r="M2950" s="10"/>
      <c r="N2950" s="10"/>
      <c r="P2950" s="10"/>
      <c r="Q2950" s="22"/>
    </row>
    <row r="2951" customFormat="false" ht="15.75" hidden="false" customHeight="false" outlineLevel="0" collapsed="false">
      <c r="A2951" s="20" t="n">
        <v>46118</v>
      </c>
      <c r="B2951" s="15" t="s">
        <v>453</v>
      </c>
      <c r="C2951" s="15" t="s">
        <v>39</v>
      </c>
      <c r="D2951" s="15" t="s">
        <v>550</v>
      </c>
      <c r="E2951" s="15" t="n">
        <v>2</v>
      </c>
      <c r="H2951" s="10"/>
      <c r="I2951" s="21"/>
      <c r="M2951" s="10"/>
      <c r="N2951" s="10"/>
      <c r="P2951" s="10"/>
      <c r="Q2951" s="22"/>
    </row>
    <row r="2952" customFormat="false" ht="15.75" hidden="false" customHeight="false" outlineLevel="0" collapsed="false">
      <c r="A2952" s="20" t="n">
        <v>46118</v>
      </c>
      <c r="B2952" s="15" t="s">
        <v>453</v>
      </c>
      <c r="C2952" s="15" t="s">
        <v>63</v>
      </c>
      <c r="D2952" s="15" t="s">
        <v>551</v>
      </c>
      <c r="E2952" s="15" t="n">
        <v>1</v>
      </c>
      <c r="H2952" s="10"/>
      <c r="I2952" s="21"/>
      <c r="M2952" s="10"/>
      <c r="N2952" s="10"/>
      <c r="P2952" s="10"/>
      <c r="Q2952" s="22"/>
    </row>
    <row r="2953" customFormat="false" ht="15.75" hidden="false" customHeight="false" outlineLevel="0" collapsed="false">
      <c r="A2953" s="20" t="n">
        <v>46118</v>
      </c>
      <c r="B2953" s="15" t="s">
        <v>453</v>
      </c>
      <c r="C2953" s="15" t="s">
        <v>35</v>
      </c>
      <c r="D2953" s="15" t="s">
        <v>552</v>
      </c>
      <c r="E2953" s="15" t="n">
        <v>2</v>
      </c>
      <c r="H2953" s="10"/>
      <c r="I2953" s="21"/>
      <c r="M2953" s="10"/>
      <c r="N2953" s="10"/>
      <c r="P2953" s="10"/>
      <c r="Q2953" s="22"/>
    </row>
    <row r="2954" customFormat="false" ht="15.75" hidden="false" customHeight="false" outlineLevel="0" collapsed="false">
      <c r="A2954" s="20" t="n">
        <v>46118</v>
      </c>
      <c r="B2954" s="15" t="s">
        <v>467</v>
      </c>
      <c r="C2954" s="15" t="s">
        <v>55</v>
      </c>
      <c r="D2954" s="15" t="s">
        <v>539</v>
      </c>
      <c r="E2954" s="15" t="n">
        <v>6</v>
      </c>
      <c r="H2954" s="10"/>
      <c r="I2954" s="21"/>
      <c r="M2954" s="10"/>
      <c r="N2954" s="10"/>
      <c r="P2954" s="10"/>
      <c r="Q2954" s="22"/>
    </row>
    <row r="2955" customFormat="false" ht="15.75" hidden="false" customHeight="false" outlineLevel="0" collapsed="false">
      <c r="A2955" s="20" t="n">
        <v>46118</v>
      </c>
      <c r="B2955" s="15" t="s">
        <v>467</v>
      </c>
      <c r="C2955" s="15" t="s">
        <v>57</v>
      </c>
      <c r="D2955" s="15" t="s">
        <v>553</v>
      </c>
      <c r="E2955" s="15" t="n">
        <v>2</v>
      </c>
      <c r="H2955" s="10"/>
      <c r="I2955" s="21"/>
      <c r="M2955" s="10"/>
      <c r="N2955" s="10"/>
      <c r="P2955" s="10"/>
      <c r="Q2955" s="22"/>
    </row>
    <row r="2956" customFormat="false" ht="15.75" hidden="false" customHeight="false" outlineLevel="0" collapsed="false">
      <c r="A2956" s="20" t="n">
        <v>46118</v>
      </c>
      <c r="B2956" s="15" t="s">
        <v>467</v>
      </c>
      <c r="C2956" s="15" t="s">
        <v>47</v>
      </c>
      <c r="D2956" s="15" t="s">
        <v>549</v>
      </c>
      <c r="E2956" s="15" t="n">
        <v>2</v>
      </c>
      <c r="H2956" s="10"/>
      <c r="I2956" s="21"/>
      <c r="M2956" s="10"/>
      <c r="N2956" s="10"/>
      <c r="P2956" s="10"/>
      <c r="Q2956" s="22"/>
    </row>
    <row r="2957" customFormat="false" ht="15.75" hidden="false" customHeight="false" outlineLevel="0" collapsed="false">
      <c r="A2957" s="20" t="n">
        <v>46118</v>
      </c>
      <c r="B2957" s="15" t="s">
        <v>467</v>
      </c>
      <c r="C2957" s="15" t="s">
        <v>81</v>
      </c>
      <c r="D2957" s="15" t="s">
        <v>534</v>
      </c>
      <c r="E2957" s="15" t="n">
        <v>7</v>
      </c>
      <c r="H2957" s="10"/>
      <c r="I2957" s="21"/>
      <c r="M2957" s="10"/>
      <c r="N2957" s="10"/>
      <c r="P2957" s="10"/>
      <c r="Q2957" s="22"/>
    </row>
    <row r="2958" customFormat="false" ht="15.75" hidden="false" customHeight="false" outlineLevel="0" collapsed="false">
      <c r="A2958" s="20" t="n">
        <v>46118</v>
      </c>
      <c r="B2958" s="15" t="s">
        <v>467</v>
      </c>
      <c r="C2958" s="15" t="s">
        <v>49</v>
      </c>
      <c r="D2958" s="15" t="s">
        <v>537</v>
      </c>
      <c r="E2958" s="15" t="n">
        <v>2</v>
      </c>
      <c r="H2958" s="10"/>
      <c r="I2958" s="21"/>
      <c r="M2958" s="10"/>
      <c r="N2958" s="10"/>
      <c r="P2958" s="10"/>
      <c r="Q2958" s="22"/>
    </row>
    <row r="2959" customFormat="false" ht="15.75" hidden="false" customHeight="false" outlineLevel="0" collapsed="false">
      <c r="A2959" s="20" t="n">
        <v>46118</v>
      </c>
      <c r="B2959" s="15" t="s">
        <v>467</v>
      </c>
      <c r="C2959" s="15" t="s">
        <v>63</v>
      </c>
      <c r="D2959" s="15" t="s">
        <v>551</v>
      </c>
      <c r="E2959" s="15" t="n">
        <v>1</v>
      </c>
      <c r="H2959" s="10"/>
      <c r="I2959" s="21"/>
      <c r="M2959" s="10"/>
      <c r="N2959" s="10"/>
      <c r="P2959" s="10"/>
      <c r="Q2959" s="22"/>
    </row>
    <row r="2960" customFormat="false" ht="15.75" hidden="false" customHeight="false" outlineLevel="0" collapsed="false">
      <c r="A2960" s="20" t="n">
        <v>46118</v>
      </c>
      <c r="B2960" s="15" t="s">
        <v>469</v>
      </c>
      <c r="C2960" s="15" t="s">
        <v>69</v>
      </c>
      <c r="D2960" s="15" t="s">
        <v>535</v>
      </c>
      <c r="E2960" s="15" t="n">
        <v>5</v>
      </c>
      <c r="H2960" s="10"/>
      <c r="I2960" s="21"/>
      <c r="M2960" s="10"/>
      <c r="N2960" s="10"/>
      <c r="P2960" s="10"/>
      <c r="Q2960" s="22"/>
    </row>
    <row r="2961" customFormat="false" ht="15.75" hidden="false" customHeight="false" outlineLevel="0" collapsed="false">
      <c r="A2961" s="20" t="n">
        <v>46118</v>
      </c>
      <c r="B2961" s="15" t="s">
        <v>469</v>
      </c>
      <c r="C2961" s="15" t="s">
        <v>55</v>
      </c>
      <c r="D2961" s="15" t="s">
        <v>539</v>
      </c>
      <c r="E2961" s="15" t="n">
        <v>2</v>
      </c>
      <c r="H2961" s="10"/>
      <c r="I2961" s="21"/>
      <c r="M2961" s="10"/>
      <c r="N2961" s="10"/>
      <c r="P2961" s="10"/>
      <c r="Q2961" s="22"/>
    </row>
    <row r="2962" customFormat="false" ht="15.75" hidden="false" customHeight="false" outlineLevel="0" collapsed="false">
      <c r="A2962" s="20" t="n">
        <v>46118</v>
      </c>
      <c r="B2962" s="15" t="s">
        <v>469</v>
      </c>
      <c r="C2962" s="15" t="s">
        <v>33</v>
      </c>
      <c r="D2962" s="15" t="s">
        <v>536</v>
      </c>
      <c r="E2962" s="15" t="n">
        <v>5</v>
      </c>
      <c r="H2962" s="10"/>
      <c r="I2962" s="21"/>
      <c r="M2962" s="10"/>
      <c r="N2962" s="10"/>
      <c r="P2962" s="10"/>
      <c r="Q2962" s="22"/>
    </row>
    <row r="2963" customFormat="false" ht="15.75" hidden="false" customHeight="false" outlineLevel="0" collapsed="false">
      <c r="A2963" s="20" t="n">
        <v>46118</v>
      </c>
      <c r="B2963" s="15" t="s">
        <v>469</v>
      </c>
      <c r="C2963" s="15" t="s">
        <v>547</v>
      </c>
      <c r="D2963" s="15" t="s">
        <v>548</v>
      </c>
      <c r="E2963" s="15" t="n">
        <v>1</v>
      </c>
      <c r="H2963" s="10"/>
      <c r="I2963" s="21"/>
      <c r="M2963" s="10"/>
      <c r="N2963" s="10"/>
      <c r="P2963" s="10"/>
      <c r="Q2963" s="22"/>
    </row>
    <row r="2964" customFormat="false" ht="15.75" hidden="false" customHeight="false" outlineLevel="0" collapsed="false">
      <c r="A2964" s="20" t="n">
        <v>46118</v>
      </c>
      <c r="B2964" s="15" t="s">
        <v>469</v>
      </c>
      <c r="C2964" s="15" t="s">
        <v>81</v>
      </c>
      <c r="D2964" s="15" t="s">
        <v>534</v>
      </c>
      <c r="E2964" s="15" t="n">
        <v>2</v>
      </c>
      <c r="H2964" s="10"/>
      <c r="I2964" s="21"/>
      <c r="M2964" s="10"/>
      <c r="N2964" s="10"/>
      <c r="P2964" s="10"/>
      <c r="Q2964" s="22"/>
    </row>
    <row r="2965" customFormat="false" ht="15.75" hidden="false" customHeight="false" outlineLevel="0" collapsed="false">
      <c r="A2965" s="20" t="n">
        <v>46118</v>
      </c>
      <c r="B2965" s="15" t="s">
        <v>470</v>
      </c>
      <c r="C2965" s="15" t="s">
        <v>547</v>
      </c>
      <c r="D2965" s="15" t="s">
        <v>548</v>
      </c>
      <c r="E2965" s="15" t="n">
        <v>2</v>
      </c>
      <c r="H2965" s="10"/>
      <c r="I2965" s="21"/>
      <c r="M2965" s="10"/>
      <c r="N2965" s="10"/>
      <c r="P2965" s="10"/>
      <c r="Q2965" s="22"/>
    </row>
    <row r="2966" customFormat="false" ht="15.75" hidden="false" customHeight="false" outlineLevel="0" collapsed="false">
      <c r="A2966" s="20" t="n">
        <v>46118</v>
      </c>
      <c r="B2966" s="15" t="s">
        <v>470</v>
      </c>
      <c r="C2966" s="15" t="s">
        <v>69</v>
      </c>
      <c r="D2966" s="15" t="s">
        <v>535</v>
      </c>
      <c r="E2966" s="15" t="n">
        <v>2</v>
      </c>
      <c r="H2966" s="10"/>
      <c r="I2966" s="21"/>
      <c r="M2966" s="10"/>
      <c r="N2966" s="10"/>
      <c r="P2966" s="10"/>
      <c r="Q2966" s="22"/>
    </row>
    <row r="2967" customFormat="false" ht="15.75" hidden="false" customHeight="false" outlineLevel="0" collapsed="false">
      <c r="A2967" s="20" t="n">
        <v>46118</v>
      </c>
      <c r="B2967" s="15" t="s">
        <v>472</v>
      </c>
      <c r="C2967" s="15" t="s">
        <v>555</v>
      </c>
      <c r="D2967" s="15" t="s">
        <v>556</v>
      </c>
      <c r="E2967" s="15" t="n">
        <v>3</v>
      </c>
      <c r="H2967" s="10"/>
      <c r="I2967" s="21"/>
      <c r="M2967" s="10"/>
      <c r="N2967" s="10"/>
      <c r="P2967" s="10"/>
      <c r="Q2967" s="22"/>
    </row>
    <row r="2968" customFormat="false" ht="15.75" hidden="false" customHeight="false" outlineLevel="0" collapsed="false">
      <c r="A2968" s="20" t="n">
        <v>46118</v>
      </c>
      <c r="B2968" s="15" t="s">
        <v>472</v>
      </c>
      <c r="C2968" s="15" t="s">
        <v>11</v>
      </c>
      <c r="D2968" s="15" t="s">
        <v>572</v>
      </c>
      <c r="E2968" s="15" t="n">
        <v>3</v>
      </c>
      <c r="H2968" s="10"/>
      <c r="I2968" s="21"/>
      <c r="M2968" s="10"/>
      <c r="N2968" s="10"/>
      <c r="P2968" s="10"/>
      <c r="Q2968" s="22"/>
    </row>
    <row r="2969" customFormat="false" ht="15.75" hidden="false" customHeight="false" outlineLevel="0" collapsed="false">
      <c r="A2969" s="20" t="n">
        <v>46118</v>
      </c>
      <c r="B2969" s="15" t="s">
        <v>472</v>
      </c>
      <c r="C2969" s="15" t="s">
        <v>69</v>
      </c>
      <c r="D2969" s="15" t="s">
        <v>535</v>
      </c>
      <c r="E2969" s="15" t="n">
        <v>3</v>
      </c>
      <c r="H2969" s="10"/>
      <c r="I2969" s="21"/>
      <c r="M2969" s="10"/>
      <c r="N2969" s="10"/>
      <c r="P2969" s="10"/>
      <c r="Q2969" s="22"/>
    </row>
    <row r="2970" customFormat="false" ht="15.75" hidden="false" customHeight="false" outlineLevel="0" collapsed="false">
      <c r="A2970" s="20" t="n">
        <v>46118</v>
      </c>
      <c r="B2970" s="15" t="s">
        <v>472</v>
      </c>
      <c r="C2970" s="15" t="s">
        <v>25</v>
      </c>
      <c r="D2970" s="15" t="s">
        <v>26</v>
      </c>
      <c r="E2970" s="15" t="n">
        <v>3</v>
      </c>
      <c r="H2970" s="10"/>
      <c r="I2970" s="21"/>
      <c r="M2970" s="10"/>
      <c r="N2970" s="10"/>
      <c r="P2970" s="10"/>
      <c r="Q2970" s="22"/>
    </row>
    <row r="2971" customFormat="false" ht="15.75" hidden="false" customHeight="false" outlineLevel="0" collapsed="false">
      <c r="A2971" s="20" t="n">
        <v>46118</v>
      </c>
      <c r="B2971" s="15" t="s">
        <v>474</v>
      </c>
      <c r="C2971" s="15" t="s">
        <v>555</v>
      </c>
      <c r="D2971" s="15" t="s">
        <v>556</v>
      </c>
      <c r="E2971" s="15" t="n">
        <v>8</v>
      </c>
      <c r="H2971" s="10"/>
      <c r="I2971" s="21"/>
      <c r="M2971" s="10"/>
      <c r="N2971" s="10"/>
      <c r="P2971" s="10"/>
      <c r="Q2971" s="22"/>
    </row>
    <row r="2972" customFormat="false" ht="15.75" hidden="false" customHeight="false" outlineLevel="0" collapsed="false">
      <c r="A2972" s="20" t="n">
        <v>46118</v>
      </c>
      <c r="B2972" s="15" t="s">
        <v>474</v>
      </c>
      <c r="C2972" s="15" t="s">
        <v>565</v>
      </c>
      <c r="D2972" s="15" t="s">
        <v>566</v>
      </c>
      <c r="E2972" s="15" t="n">
        <v>4</v>
      </c>
      <c r="H2972" s="10"/>
      <c r="I2972" s="21"/>
      <c r="M2972" s="10"/>
      <c r="N2972" s="10"/>
      <c r="P2972" s="10"/>
      <c r="Q2972" s="22"/>
    </row>
    <row r="2973" customFormat="false" ht="15.75" hidden="false" customHeight="false" outlineLevel="0" collapsed="false">
      <c r="A2973" s="20" t="n">
        <v>46118</v>
      </c>
      <c r="B2973" s="15" t="s">
        <v>474</v>
      </c>
      <c r="C2973" s="15" t="s">
        <v>11</v>
      </c>
      <c r="D2973" s="15" t="s">
        <v>572</v>
      </c>
      <c r="E2973" s="15" t="n">
        <v>4</v>
      </c>
      <c r="H2973" s="10"/>
      <c r="I2973" s="21"/>
      <c r="M2973" s="10"/>
      <c r="N2973" s="10"/>
      <c r="P2973" s="10"/>
      <c r="Q2973" s="22"/>
    </row>
    <row r="2974" customFormat="false" ht="15.75" hidden="false" customHeight="false" outlineLevel="0" collapsed="false">
      <c r="A2974" s="20" t="n">
        <v>46118</v>
      </c>
      <c r="B2974" s="15" t="s">
        <v>474</v>
      </c>
      <c r="C2974" s="15" t="s">
        <v>543</v>
      </c>
      <c r="D2974" s="15" t="s">
        <v>544</v>
      </c>
      <c r="E2974" s="15" t="n">
        <v>4</v>
      </c>
      <c r="H2974" s="10"/>
      <c r="I2974" s="21"/>
      <c r="M2974" s="10"/>
      <c r="N2974" s="10"/>
      <c r="P2974" s="10"/>
      <c r="Q2974" s="22"/>
    </row>
    <row r="2975" customFormat="false" ht="15.75" hidden="false" customHeight="false" outlineLevel="0" collapsed="false">
      <c r="A2975" s="20" t="n">
        <v>46118</v>
      </c>
      <c r="B2975" s="15" t="s">
        <v>474</v>
      </c>
      <c r="C2975" s="15" t="s">
        <v>91</v>
      </c>
      <c r="D2975" s="15" t="s">
        <v>91</v>
      </c>
      <c r="E2975" s="15" t="n">
        <v>4</v>
      </c>
      <c r="H2975" s="10"/>
      <c r="I2975" s="21"/>
      <c r="M2975" s="10"/>
      <c r="N2975" s="10"/>
      <c r="P2975" s="10"/>
      <c r="Q2975" s="22"/>
    </row>
    <row r="2976" customFormat="false" ht="15.75" hidden="false" customHeight="false" outlineLevel="0" collapsed="false">
      <c r="A2976" s="20" t="n">
        <v>46118</v>
      </c>
      <c r="B2976" s="15" t="s">
        <v>474</v>
      </c>
      <c r="C2976" s="15" t="s">
        <v>25</v>
      </c>
      <c r="D2976" s="15" t="s">
        <v>26</v>
      </c>
      <c r="E2976" s="15" t="n">
        <v>4</v>
      </c>
      <c r="H2976" s="10"/>
      <c r="I2976" s="21"/>
      <c r="M2976" s="10"/>
      <c r="N2976" s="10"/>
      <c r="P2976" s="10"/>
      <c r="Q2976" s="22"/>
    </row>
    <row r="2977" customFormat="false" ht="15.75" hidden="false" customHeight="false" outlineLevel="0" collapsed="false">
      <c r="A2977" s="20" t="n">
        <v>46118</v>
      </c>
      <c r="B2977" s="15" t="s">
        <v>486</v>
      </c>
      <c r="C2977" s="15" t="s">
        <v>55</v>
      </c>
      <c r="D2977" s="15" t="s">
        <v>539</v>
      </c>
      <c r="E2977" s="15" t="n">
        <v>1</v>
      </c>
      <c r="H2977" s="10"/>
      <c r="I2977" s="21"/>
      <c r="M2977" s="10"/>
      <c r="N2977" s="10"/>
      <c r="P2977" s="10"/>
      <c r="Q2977" s="22"/>
    </row>
    <row r="2978" customFormat="false" ht="15.75" hidden="false" customHeight="false" outlineLevel="0" collapsed="false">
      <c r="A2978" s="20" t="n">
        <v>46118</v>
      </c>
      <c r="B2978" s="15" t="s">
        <v>486</v>
      </c>
      <c r="C2978" s="15" t="s">
        <v>81</v>
      </c>
      <c r="D2978" s="15" t="s">
        <v>534</v>
      </c>
      <c r="E2978" s="15" t="n">
        <v>4</v>
      </c>
      <c r="H2978" s="10"/>
      <c r="I2978" s="21"/>
      <c r="M2978" s="10"/>
      <c r="N2978" s="10"/>
      <c r="P2978" s="10"/>
      <c r="Q2978" s="22"/>
    </row>
    <row r="2979" customFormat="false" ht="15.75" hidden="false" customHeight="false" outlineLevel="0" collapsed="false">
      <c r="A2979" s="20" t="n">
        <v>46118</v>
      </c>
      <c r="B2979" s="15" t="s">
        <v>486</v>
      </c>
      <c r="C2979" s="15" t="s">
        <v>69</v>
      </c>
      <c r="D2979" s="15" t="s">
        <v>535</v>
      </c>
      <c r="E2979" s="15" t="n">
        <v>5</v>
      </c>
      <c r="H2979" s="10"/>
      <c r="I2979" s="21"/>
      <c r="M2979" s="10"/>
      <c r="N2979" s="10"/>
      <c r="P2979" s="10"/>
      <c r="Q2979" s="22"/>
    </row>
    <row r="2980" customFormat="false" ht="15.75" hidden="false" customHeight="false" outlineLevel="0" collapsed="false">
      <c r="A2980" s="20" t="n">
        <v>46118</v>
      </c>
      <c r="B2980" s="15" t="s">
        <v>486</v>
      </c>
      <c r="C2980" s="15" t="s">
        <v>25</v>
      </c>
      <c r="D2980" s="15" t="s">
        <v>26</v>
      </c>
      <c r="E2980" s="15" t="n">
        <v>1</v>
      </c>
      <c r="H2980" s="10"/>
      <c r="I2980" s="21"/>
      <c r="M2980" s="10"/>
      <c r="N2980" s="10"/>
      <c r="P2980" s="10"/>
      <c r="Q2980" s="22"/>
    </row>
    <row r="2981" customFormat="false" ht="15.75" hidden="false" customHeight="false" outlineLevel="0" collapsed="false">
      <c r="A2981" s="20" t="n">
        <v>46118</v>
      </c>
      <c r="B2981" s="15" t="s">
        <v>486</v>
      </c>
      <c r="C2981" s="15" t="s">
        <v>11</v>
      </c>
      <c r="D2981" s="15" t="s">
        <v>572</v>
      </c>
      <c r="E2981" s="15" t="n">
        <v>1</v>
      </c>
      <c r="H2981" s="10"/>
      <c r="I2981" s="21"/>
      <c r="M2981" s="10"/>
      <c r="N2981" s="10"/>
      <c r="P2981" s="10"/>
      <c r="Q2981" s="22"/>
    </row>
    <row r="2982" customFormat="false" ht="15.75" hidden="false" customHeight="false" outlineLevel="0" collapsed="false">
      <c r="A2982" s="20" t="n">
        <v>46118</v>
      </c>
      <c r="B2982" s="15" t="s">
        <v>486</v>
      </c>
      <c r="C2982" s="15" t="s">
        <v>555</v>
      </c>
      <c r="D2982" s="15" t="s">
        <v>556</v>
      </c>
      <c r="E2982" s="15" t="n">
        <v>1</v>
      </c>
      <c r="H2982" s="10"/>
      <c r="I2982" s="21"/>
      <c r="M2982" s="10"/>
      <c r="N2982" s="10"/>
      <c r="P2982" s="10"/>
      <c r="Q2982" s="22"/>
    </row>
    <row r="2983" customFormat="false" ht="15.75" hidden="false" customHeight="false" outlineLevel="0" collapsed="false">
      <c r="A2983" s="20" t="n">
        <v>46118</v>
      </c>
      <c r="B2983" s="15" t="s">
        <v>486</v>
      </c>
      <c r="C2983" s="15" t="s">
        <v>543</v>
      </c>
      <c r="D2983" s="15" t="s">
        <v>544</v>
      </c>
      <c r="E2983" s="15" t="n">
        <v>2</v>
      </c>
      <c r="H2983" s="10"/>
      <c r="I2983" s="21"/>
      <c r="M2983" s="10"/>
      <c r="N2983" s="10"/>
      <c r="P2983" s="10"/>
      <c r="Q2983" s="22"/>
    </row>
    <row r="2984" customFormat="false" ht="15.75" hidden="false" customHeight="false" outlineLevel="0" collapsed="false">
      <c r="A2984" s="20" t="n">
        <v>46118</v>
      </c>
      <c r="B2984" s="15" t="s">
        <v>486</v>
      </c>
      <c r="C2984" s="15" t="s">
        <v>545</v>
      </c>
      <c r="D2984" s="15" t="s">
        <v>546</v>
      </c>
      <c r="E2984" s="15" t="n">
        <v>1</v>
      </c>
      <c r="H2984" s="10"/>
      <c r="I2984" s="21"/>
      <c r="M2984" s="10"/>
      <c r="N2984" s="10"/>
      <c r="P2984" s="10"/>
      <c r="Q2984" s="22"/>
    </row>
    <row r="2985" customFormat="false" ht="15.75" hidden="false" customHeight="false" outlineLevel="0" collapsed="false">
      <c r="A2985" s="20" t="n">
        <v>46118</v>
      </c>
      <c r="B2985" s="15" t="s">
        <v>486</v>
      </c>
      <c r="C2985" s="15" t="s">
        <v>77</v>
      </c>
      <c r="D2985" s="15" t="s">
        <v>78</v>
      </c>
      <c r="E2985" s="15" t="n">
        <v>2</v>
      </c>
      <c r="H2985" s="10"/>
      <c r="I2985" s="21"/>
      <c r="M2985" s="10"/>
      <c r="N2985" s="10"/>
      <c r="P2985" s="10"/>
      <c r="Q2985" s="22"/>
    </row>
    <row r="2986" customFormat="false" ht="15.75" hidden="false" customHeight="false" outlineLevel="0" collapsed="false">
      <c r="A2986" s="20" t="n">
        <v>46118</v>
      </c>
      <c r="B2986" s="15" t="s">
        <v>486</v>
      </c>
      <c r="C2986" s="15" t="s">
        <v>33</v>
      </c>
      <c r="D2986" s="15" t="s">
        <v>536</v>
      </c>
      <c r="E2986" s="15" t="n">
        <v>4</v>
      </c>
      <c r="H2986" s="10"/>
      <c r="I2986" s="21"/>
      <c r="M2986" s="10"/>
      <c r="N2986" s="10"/>
      <c r="P2986" s="10"/>
      <c r="Q2986" s="22"/>
    </row>
    <row r="2987" customFormat="false" ht="15.75" hidden="false" customHeight="false" outlineLevel="0" collapsed="false">
      <c r="A2987" s="20" t="n">
        <v>46118</v>
      </c>
      <c r="B2987" s="15" t="s">
        <v>486</v>
      </c>
      <c r="C2987" s="15" t="s">
        <v>578</v>
      </c>
      <c r="D2987" s="15" t="s">
        <v>579</v>
      </c>
      <c r="E2987" s="15" t="n">
        <v>1</v>
      </c>
      <c r="H2987" s="10"/>
      <c r="I2987" s="21"/>
      <c r="M2987" s="10"/>
      <c r="N2987" s="10"/>
      <c r="P2987" s="10"/>
      <c r="Q2987" s="22"/>
    </row>
    <row r="2988" customFormat="false" ht="15.75" hidden="false" customHeight="false" outlineLevel="0" collapsed="false">
      <c r="A2988" s="20" t="n">
        <v>46118</v>
      </c>
      <c r="B2988" s="15" t="s">
        <v>486</v>
      </c>
      <c r="C2988" s="15" t="s">
        <v>59</v>
      </c>
      <c r="D2988" s="15" t="s">
        <v>562</v>
      </c>
      <c r="E2988" s="15" t="n">
        <v>1</v>
      </c>
      <c r="H2988" s="10"/>
      <c r="I2988" s="21"/>
      <c r="M2988" s="10"/>
      <c r="N2988" s="10"/>
      <c r="P2988" s="10"/>
      <c r="Q2988" s="22"/>
    </row>
    <row r="2989" customFormat="false" ht="15.75" hidden="false" customHeight="false" outlineLevel="0" collapsed="false">
      <c r="A2989" s="20" t="n">
        <v>46118</v>
      </c>
      <c r="B2989" s="15" t="s">
        <v>486</v>
      </c>
      <c r="C2989" s="15" t="s">
        <v>79</v>
      </c>
      <c r="D2989" s="15" t="s">
        <v>564</v>
      </c>
      <c r="E2989" s="15" t="n">
        <v>2</v>
      </c>
      <c r="H2989" s="10"/>
      <c r="I2989" s="21"/>
      <c r="M2989" s="10"/>
      <c r="N2989" s="10"/>
      <c r="P2989" s="10"/>
      <c r="Q2989" s="22"/>
    </row>
    <row r="2990" customFormat="false" ht="15.75" hidden="false" customHeight="false" outlineLevel="0" collapsed="false">
      <c r="A2990" s="20" t="n">
        <v>46118</v>
      </c>
      <c r="B2990" s="15" t="s">
        <v>488</v>
      </c>
      <c r="C2990" s="15" t="s">
        <v>69</v>
      </c>
      <c r="D2990" s="15" t="s">
        <v>535</v>
      </c>
      <c r="E2990" s="15" t="n">
        <v>3</v>
      </c>
      <c r="H2990" s="10"/>
      <c r="I2990" s="21"/>
      <c r="M2990" s="10"/>
      <c r="N2990" s="10"/>
      <c r="P2990" s="10"/>
      <c r="Q2990" s="22"/>
    </row>
    <row r="2991" customFormat="false" ht="15.75" hidden="false" customHeight="false" outlineLevel="0" collapsed="false">
      <c r="A2991" s="20" t="n">
        <v>46118</v>
      </c>
      <c r="B2991" s="15" t="s">
        <v>488</v>
      </c>
      <c r="C2991" s="15" t="s">
        <v>555</v>
      </c>
      <c r="D2991" s="15" t="s">
        <v>556</v>
      </c>
      <c r="E2991" s="15" t="n">
        <v>2</v>
      </c>
      <c r="H2991" s="10"/>
      <c r="I2991" s="21"/>
      <c r="M2991" s="10"/>
      <c r="N2991" s="10"/>
      <c r="P2991" s="10"/>
      <c r="Q2991" s="22"/>
    </row>
    <row r="2992" customFormat="false" ht="15.75" hidden="false" customHeight="false" outlineLevel="0" collapsed="false">
      <c r="A2992" s="20" t="n">
        <v>46118</v>
      </c>
      <c r="B2992" s="15" t="s">
        <v>488</v>
      </c>
      <c r="C2992" s="15" t="s">
        <v>565</v>
      </c>
      <c r="D2992" s="15" t="s">
        <v>566</v>
      </c>
      <c r="E2992" s="15" t="n">
        <v>1</v>
      </c>
      <c r="H2992" s="10"/>
      <c r="I2992" s="21"/>
      <c r="M2992" s="10"/>
      <c r="N2992" s="10"/>
      <c r="P2992" s="10"/>
      <c r="Q2992" s="22"/>
    </row>
    <row r="2993" customFormat="false" ht="15.75" hidden="false" customHeight="false" outlineLevel="0" collapsed="false">
      <c r="A2993" s="20" t="n">
        <v>46118</v>
      </c>
      <c r="B2993" s="15" t="s">
        <v>488</v>
      </c>
      <c r="C2993" s="15" t="s">
        <v>545</v>
      </c>
      <c r="D2993" s="15" t="s">
        <v>546</v>
      </c>
      <c r="E2993" s="15" t="n">
        <v>2</v>
      </c>
      <c r="H2993" s="10"/>
      <c r="I2993" s="21"/>
      <c r="M2993" s="10"/>
      <c r="N2993" s="10"/>
      <c r="P2993" s="10"/>
      <c r="Q2993" s="22"/>
    </row>
    <row r="2994" customFormat="false" ht="15.75" hidden="false" customHeight="false" outlineLevel="0" collapsed="false">
      <c r="A2994" s="20" t="n">
        <v>46118</v>
      </c>
      <c r="B2994" s="15" t="s">
        <v>488</v>
      </c>
      <c r="C2994" s="15" t="s">
        <v>578</v>
      </c>
      <c r="D2994" s="15" t="s">
        <v>579</v>
      </c>
      <c r="E2994" s="15" t="n">
        <v>1</v>
      </c>
      <c r="H2994" s="10"/>
      <c r="I2994" s="21"/>
      <c r="M2994" s="10"/>
      <c r="N2994" s="10"/>
      <c r="P2994" s="10"/>
      <c r="Q2994" s="22"/>
    </row>
    <row r="2995" customFormat="false" ht="15.75" hidden="false" customHeight="false" outlineLevel="0" collapsed="false">
      <c r="A2995" s="20" t="n">
        <v>46118</v>
      </c>
      <c r="B2995" s="15" t="s">
        <v>488</v>
      </c>
      <c r="C2995" s="15" t="s">
        <v>570</v>
      </c>
      <c r="D2995" s="15" t="s">
        <v>571</v>
      </c>
      <c r="E2995" s="15" t="n">
        <v>1</v>
      </c>
      <c r="H2995" s="10"/>
      <c r="I2995" s="21"/>
      <c r="M2995" s="10"/>
      <c r="N2995" s="10"/>
      <c r="P2995" s="10"/>
      <c r="Q2995" s="22"/>
    </row>
    <row r="2996" customFormat="false" ht="15.75" hidden="false" customHeight="false" outlineLevel="0" collapsed="false">
      <c r="A2996" s="20" t="n">
        <v>46118</v>
      </c>
      <c r="B2996" s="15" t="s">
        <v>488</v>
      </c>
      <c r="C2996" s="15" t="s">
        <v>11</v>
      </c>
      <c r="D2996" s="15" t="s">
        <v>572</v>
      </c>
      <c r="E2996" s="15" t="n">
        <v>1</v>
      </c>
      <c r="H2996" s="10"/>
      <c r="I2996" s="21"/>
      <c r="M2996" s="10"/>
      <c r="N2996" s="10"/>
      <c r="P2996" s="10"/>
      <c r="Q2996" s="22"/>
    </row>
    <row r="2997" customFormat="false" ht="15.75" hidden="false" customHeight="false" outlineLevel="0" collapsed="false">
      <c r="A2997" s="20" t="n">
        <v>46118</v>
      </c>
      <c r="B2997" s="15" t="s">
        <v>488</v>
      </c>
      <c r="C2997" s="15" t="s">
        <v>543</v>
      </c>
      <c r="D2997" s="15" t="s">
        <v>544</v>
      </c>
      <c r="E2997" s="15" t="n">
        <v>3</v>
      </c>
      <c r="H2997" s="10"/>
      <c r="I2997" s="21"/>
      <c r="M2997" s="10"/>
      <c r="N2997" s="10"/>
      <c r="P2997" s="10"/>
      <c r="Q2997" s="22"/>
    </row>
    <row r="2998" customFormat="false" ht="15.75" hidden="false" customHeight="false" outlineLevel="0" collapsed="false">
      <c r="A2998" s="20" t="n">
        <v>46118</v>
      </c>
      <c r="B2998" s="15" t="s">
        <v>488</v>
      </c>
      <c r="C2998" s="15" t="s">
        <v>65</v>
      </c>
      <c r="D2998" s="15" t="s">
        <v>580</v>
      </c>
      <c r="E2998" s="15" t="n">
        <v>1</v>
      </c>
      <c r="H2998" s="10"/>
      <c r="I2998" s="21"/>
      <c r="M2998" s="10"/>
      <c r="N2998" s="10"/>
      <c r="P2998" s="10"/>
      <c r="Q2998" s="22"/>
    </row>
    <row r="2999" customFormat="false" ht="15.75" hidden="false" customHeight="false" outlineLevel="0" collapsed="false">
      <c r="A2999" s="20" t="n">
        <v>46118</v>
      </c>
      <c r="B2999" s="15" t="s">
        <v>488</v>
      </c>
      <c r="C2999" s="15" t="s">
        <v>91</v>
      </c>
      <c r="D2999" s="15" t="s">
        <v>91</v>
      </c>
      <c r="E2999" s="15" t="n">
        <v>2</v>
      </c>
      <c r="H2999" s="10"/>
      <c r="I2999" s="21"/>
      <c r="M2999" s="10"/>
      <c r="N2999" s="10"/>
      <c r="P2999" s="10"/>
      <c r="Q2999" s="22"/>
    </row>
    <row r="3000" customFormat="false" ht="15.75" hidden="false" customHeight="false" outlineLevel="0" collapsed="false">
      <c r="A3000" s="20" t="n">
        <v>46118</v>
      </c>
      <c r="B3000" s="15" t="s">
        <v>488</v>
      </c>
      <c r="C3000" s="15" t="s">
        <v>33</v>
      </c>
      <c r="D3000" s="15" t="s">
        <v>536</v>
      </c>
      <c r="E3000" s="15" t="n">
        <v>3</v>
      </c>
      <c r="H3000" s="10"/>
      <c r="I3000" s="21"/>
      <c r="M3000" s="10"/>
      <c r="N3000" s="10"/>
      <c r="P3000" s="10"/>
      <c r="Q3000" s="22"/>
    </row>
    <row r="3001" customFormat="false" ht="15.75" hidden="false" customHeight="false" outlineLevel="0" collapsed="false">
      <c r="A3001" s="20" t="n">
        <v>46118</v>
      </c>
      <c r="B3001" s="15" t="s">
        <v>488</v>
      </c>
      <c r="C3001" s="15" t="s">
        <v>75</v>
      </c>
      <c r="D3001" s="15" t="s">
        <v>560</v>
      </c>
      <c r="E3001" s="15" t="n">
        <v>1</v>
      </c>
      <c r="H3001" s="10"/>
      <c r="I3001" s="21"/>
      <c r="M3001" s="10"/>
      <c r="N3001" s="10"/>
      <c r="P3001" s="10"/>
      <c r="Q3001" s="22"/>
    </row>
    <row r="3002" customFormat="false" ht="15.75" hidden="false" customHeight="false" outlineLevel="0" collapsed="false">
      <c r="A3002" s="20" t="n">
        <v>46118</v>
      </c>
      <c r="B3002" s="15" t="s">
        <v>488</v>
      </c>
      <c r="C3002" s="15" t="s">
        <v>79</v>
      </c>
      <c r="D3002" s="15" t="s">
        <v>564</v>
      </c>
      <c r="E3002" s="15" t="n">
        <v>2</v>
      </c>
      <c r="H3002" s="10"/>
      <c r="I3002" s="21"/>
      <c r="M3002" s="10"/>
      <c r="N3002" s="10"/>
      <c r="P3002" s="10"/>
      <c r="Q3002" s="22"/>
    </row>
    <row r="3003" customFormat="false" ht="15.75" hidden="false" customHeight="false" outlineLevel="0" collapsed="false">
      <c r="A3003" s="20" t="n">
        <v>46118</v>
      </c>
      <c r="B3003" s="15" t="s">
        <v>488</v>
      </c>
      <c r="C3003" s="15" t="s">
        <v>81</v>
      </c>
      <c r="D3003" s="15" t="s">
        <v>534</v>
      </c>
      <c r="E3003" s="15" t="n">
        <v>10</v>
      </c>
      <c r="H3003" s="10"/>
      <c r="I3003" s="21"/>
      <c r="M3003" s="10"/>
      <c r="N3003" s="10"/>
      <c r="P3003" s="10"/>
      <c r="Q3003" s="22"/>
    </row>
    <row r="3004" customFormat="false" ht="15.75" hidden="false" customHeight="false" outlineLevel="0" collapsed="false">
      <c r="A3004" s="20" t="n">
        <v>46118</v>
      </c>
      <c r="B3004" s="15" t="s">
        <v>488</v>
      </c>
      <c r="C3004" s="15" t="s">
        <v>77</v>
      </c>
      <c r="D3004" s="15" t="s">
        <v>78</v>
      </c>
      <c r="E3004" s="15" t="n">
        <v>3</v>
      </c>
      <c r="H3004" s="10"/>
      <c r="I3004" s="21"/>
      <c r="M3004" s="10"/>
      <c r="N3004" s="10"/>
      <c r="P3004" s="10"/>
      <c r="Q3004" s="22"/>
    </row>
    <row r="3005" customFormat="false" ht="15.75" hidden="false" customHeight="false" outlineLevel="0" collapsed="false">
      <c r="A3005" s="20" t="n">
        <v>46118</v>
      </c>
      <c r="B3005" s="15" t="s">
        <v>488</v>
      </c>
      <c r="C3005" s="15" t="s">
        <v>25</v>
      </c>
      <c r="D3005" s="15" t="s">
        <v>26</v>
      </c>
      <c r="E3005" s="15" t="n">
        <v>1</v>
      </c>
      <c r="H3005" s="10"/>
      <c r="I3005" s="21"/>
      <c r="M3005" s="10"/>
      <c r="N3005" s="10"/>
      <c r="P3005" s="10"/>
      <c r="Q3005" s="22"/>
    </row>
    <row r="3006" customFormat="false" ht="15.75" hidden="false" customHeight="false" outlineLevel="0" collapsed="false">
      <c r="A3006" s="20" t="n">
        <v>46118</v>
      </c>
      <c r="B3006" s="15" t="s">
        <v>496</v>
      </c>
      <c r="C3006" s="15" t="s">
        <v>81</v>
      </c>
      <c r="D3006" s="15" t="s">
        <v>534</v>
      </c>
      <c r="E3006" s="15" t="n">
        <v>7</v>
      </c>
      <c r="H3006" s="10"/>
      <c r="I3006" s="21"/>
      <c r="M3006" s="10"/>
      <c r="N3006" s="10"/>
      <c r="P3006" s="10"/>
      <c r="Q3006" s="22"/>
    </row>
    <row r="3007" customFormat="false" ht="15.75" hidden="false" customHeight="false" outlineLevel="0" collapsed="false">
      <c r="A3007" s="20" t="n">
        <v>46118</v>
      </c>
      <c r="B3007" s="15" t="s">
        <v>496</v>
      </c>
      <c r="C3007" s="15" t="s">
        <v>47</v>
      </c>
      <c r="D3007" s="15" t="s">
        <v>549</v>
      </c>
      <c r="E3007" s="15" t="n">
        <v>4</v>
      </c>
      <c r="H3007" s="10"/>
      <c r="I3007" s="21"/>
      <c r="M3007" s="10"/>
      <c r="N3007" s="10"/>
      <c r="P3007" s="10"/>
      <c r="Q3007" s="22"/>
    </row>
    <row r="3008" customFormat="false" ht="15.75" hidden="false" customHeight="false" outlineLevel="0" collapsed="false">
      <c r="A3008" s="20" t="n">
        <v>46118</v>
      </c>
      <c r="B3008" s="15" t="s">
        <v>496</v>
      </c>
      <c r="C3008" s="15" t="s">
        <v>55</v>
      </c>
      <c r="D3008" s="15" t="s">
        <v>539</v>
      </c>
      <c r="E3008" s="15" t="n">
        <v>2</v>
      </c>
      <c r="H3008" s="10"/>
      <c r="I3008" s="21"/>
      <c r="M3008" s="10"/>
      <c r="N3008" s="10"/>
      <c r="P3008" s="10"/>
      <c r="Q3008" s="22"/>
    </row>
    <row r="3009" customFormat="false" ht="15.75" hidden="false" customHeight="false" outlineLevel="0" collapsed="false">
      <c r="A3009" s="20" t="n">
        <v>46118</v>
      </c>
      <c r="B3009" s="15" t="s">
        <v>496</v>
      </c>
      <c r="C3009" s="15" t="s">
        <v>567</v>
      </c>
      <c r="D3009" s="15" t="s">
        <v>568</v>
      </c>
      <c r="E3009" s="15" t="n">
        <v>3</v>
      </c>
      <c r="H3009" s="10"/>
      <c r="I3009" s="21"/>
      <c r="M3009" s="10"/>
      <c r="N3009" s="10"/>
      <c r="P3009" s="10"/>
      <c r="Q3009" s="22"/>
    </row>
    <row r="3010" customFormat="false" ht="15.75" hidden="false" customHeight="false" outlineLevel="0" collapsed="false">
      <c r="A3010" s="20" t="n">
        <v>46118</v>
      </c>
      <c r="B3010" s="15" t="s">
        <v>496</v>
      </c>
      <c r="C3010" s="15" t="s">
        <v>545</v>
      </c>
      <c r="D3010" s="15" t="s">
        <v>546</v>
      </c>
      <c r="E3010" s="15" t="n">
        <v>3</v>
      </c>
      <c r="H3010" s="10"/>
      <c r="I3010" s="21"/>
      <c r="M3010" s="10"/>
      <c r="N3010" s="10"/>
      <c r="P3010" s="10"/>
      <c r="Q3010" s="22"/>
    </row>
    <row r="3011" customFormat="false" ht="15.75" hidden="false" customHeight="false" outlineLevel="0" collapsed="false">
      <c r="A3011" s="20" t="n">
        <v>46118</v>
      </c>
      <c r="B3011" s="15" t="s">
        <v>496</v>
      </c>
      <c r="C3011" s="15" t="s">
        <v>547</v>
      </c>
      <c r="D3011" s="15" t="s">
        <v>548</v>
      </c>
      <c r="E3011" s="15" t="n">
        <v>1</v>
      </c>
      <c r="H3011" s="10"/>
      <c r="I3011" s="21"/>
      <c r="M3011" s="10"/>
      <c r="N3011" s="10"/>
      <c r="P3011" s="10"/>
      <c r="Q3011" s="22"/>
    </row>
    <row r="3012" customFormat="false" ht="15.75" hidden="false" customHeight="false" outlineLevel="0" collapsed="false">
      <c r="A3012" s="20" t="n">
        <v>46118</v>
      </c>
      <c r="B3012" s="15" t="s">
        <v>496</v>
      </c>
      <c r="C3012" s="15" t="s">
        <v>555</v>
      </c>
      <c r="D3012" s="15" t="s">
        <v>556</v>
      </c>
      <c r="E3012" s="15" t="n">
        <v>4</v>
      </c>
      <c r="H3012" s="10"/>
      <c r="I3012" s="21"/>
      <c r="M3012" s="10"/>
      <c r="N3012" s="10"/>
      <c r="P3012" s="10"/>
      <c r="Q3012" s="22"/>
    </row>
    <row r="3013" customFormat="false" ht="15.75" hidden="false" customHeight="false" outlineLevel="0" collapsed="false">
      <c r="A3013" s="20" t="n">
        <v>46118</v>
      </c>
      <c r="B3013" s="15" t="s">
        <v>496</v>
      </c>
      <c r="C3013" s="15" t="s">
        <v>541</v>
      </c>
      <c r="D3013" s="15" t="s">
        <v>542</v>
      </c>
      <c r="E3013" s="15" t="n">
        <v>4</v>
      </c>
      <c r="H3013" s="10"/>
      <c r="I3013" s="21"/>
      <c r="M3013" s="10"/>
      <c r="N3013" s="10"/>
      <c r="P3013" s="10"/>
      <c r="Q3013" s="22"/>
    </row>
    <row r="3014" customFormat="false" ht="15.75" hidden="false" customHeight="false" outlineLevel="0" collapsed="false">
      <c r="A3014" s="20" t="n">
        <v>46118</v>
      </c>
      <c r="B3014" s="15" t="s">
        <v>496</v>
      </c>
      <c r="C3014" s="15" t="s">
        <v>45</v>
      </c>
      <c r="D3014" s="15" t="s">
        <v>540</v>
      </c>
      <c r="E3014" s="15" t="n">
        <v>1</v>
      </c>
      <c r="H3014" s="10"/>
      <c r="I3014" s="21"/>
      <c r="M3014" s="10"/>
      <c r="N3014" s="10"/>
      <c r="P3014" s="10"/>
      <c r="Q3014" s="22"/>
    </row>
    <row r="3015" customFormat="false" ht="15.75" hidden="false" customHeight="false" outlineLevel="0" collapsed="false">
      <c r="A3015" s="20" t="n">
        <v>46118</v>
      </c>
      <c r="B3015" s="15" t="s">
        <v>496</v>
      </c>
      <c r="C3015" s="15" t="s">
        <v>37</v>
      </c>
      <c r="D3015" s="15" t="s">
        <v>561</v>
      </c>
      <c r="E3015" s="15" t="n">
        <v>1</v>
      </c>
      <c r="H3015" s="10"/>
      <c r="I3015" s="21"/>
      <c r="M3015" s="10"/>
      <c r="N3015" s="10"/>
      <c r="P3015" s="10"/>
      <c r="Q3015" s="22"/>
    </row>
    <row r="3016" customFormat="false" ht="15.75" hidden="false" customHeight="false" outlineLevel="0" collapsed="false">
      <c r="A3016" s="20" t="n">
        <v>46118</v>
      </c>
      <c r="B3016" s="15" t="s">
        <v>496</v>
      </c>
      <c r="C3016" s="15" t="s">
        <v>543</v>
      </c>
      <c r="D3016" s="15" t="s">
        <v>544</v>
      </c>
      <c r="E3016" s="15" t="n">
        <v>4</v>
      </c>
      <c r="H3016" s="10"/>
      <c r="I3016" s="21"/>
      <c r="M3016" s="10"/>
      <c r="N3016" s="10"/>
      <c r="P3016" s="10"/>
      <c r="Q3016" s="22"/>
    </row>
    <row r="3017" customFormat="false" ht="15.75" hidden="false" customHeight="false" outlineLevel="0" collapsed="false">
      <c r="A3017" s="20" t="n">
        <v>46118</v>
      </c>
      <c r="B3017" s="15" t="s">
        <v>496</v>
      </c>
      <c r="C3017" s="15" t="s">
        <v>69</v>
      </c>
      <c r="D3017" s="15" t="s">
        <v>535</v>
      </c>
      <c r="E3017" s="15" t="n">
        <v>2</v>
      </c>
      <c r="H3017" s="10"/>
      <c r="I3017" s="21"/>
      <c r="M3017" s="10"/>
      <c r="N3017" s="10"/>
      <c r="P3017" s="10"/>
      <c r="Q3017" s="22"/>
    </row>
    <row r="3018" customFormat="false" ht="15.75" hidden="false" customHeight="false" outlineLevel="0" collapsed="false">
      <c r="A3018" s="20" t="n">
        <v>46118</v>
      </c>
      <c r="B3018" s="15" t="s">
        <v>496</v>
      </c>
      <c r="C3018" s="15" t="s">
        <v>77</v>
      </c>
      <c r="D3018" s="15" t="s">
        <v>78</v>
      </c>
      <c r="E3018" s="15" t="n">
        <v>2</v>
      </c>
      <c r="H3018" s="10"/>
      <c r="I3018" s="21"/>
      <c r="M3018" s="10"/>
      <c r="N3018" s="10"/>
      <c r="P3018" s="10"/>
      <c r="Q3018" s="22"/>
    </row>
    <row r="3019" customFormat="false" ht="15.75" hidden="false" customHeight="false" outlineLevel="0" collapsed="false">
      <c r="A3019" s="20" t="n">
        <v>46118</v>
      </c>
      <c r="B3019" s="15" t="s">
        <v>496</v>
      </c>
      <c r="C3019" s="15" t="s">
        <v>59</v>
      </c>
      <c r="D3019" s="15" t="s">
        <v>562</v>
      </c>
      <c r="E3019" s="15" t="n">
        <v>2</v>
      </c>
      <c r="H3019" s="10"/>
      <c r="I3019" s="21"/>
      <c r="M3019" s="10"/>
      <c r="N3019" s="10"/>
      <c r="P3019" s="10"/>
      <c r="Q3019" s="22"/>
    </row>
    <row r="3020" customFormat="false" ht="15.75" hidden="false" customHeight="false" outlineLevel="0" collapsed="false">
      <c r="A3020" s="20" t="n">
        <v>46118</v>
      </c>
      <c r="B3020" s="15" t="s">
        <v>496</v>
      </c>
      <c r="C3020" s="15" t="s">
        <v>33</v>
      </c>
      <c r="D3020" s="15" t="s">
        <v>536</v>
      </c>
      <c r="E3020" s="15" t="n">
        <v>2</v>
      </c>
      <c r="H3020" s="10"/>
      <c r="I3020" s="21"/>
      <c r="M3020" s="10"/>
      <c r="N3020" s="10"/>
      <c r="P3020" s="10"/>
      <c r="Q3020" s="22"/>
    </row>
    <row r="3021" customFormat="false" ht="15.75" hidden="false" customHeight="false" outlineLevel="0" collapsed="false">
      <c r="A3021" s="20" t="n">
        <v>46118</v>
      </c>
      <c r="B3021" s="15" t="s">
        <v>496</v>
      </c>
      <c r="C3021" s="15" t="s">
        <v>79</v>
      </c>
      <c r="D3021" s="15" t="s">
        <v>564</v>
      </c>
      <c r="E3021" s="15" t="n">
        <v>1</v>
      </c>
      <c r="H3021" s="10"/>
      <c r="I3021" s="21"/>
      <c r="M3021" s="10"/>
      <c r="N3021" s="10"/>
      <c r="P3021" s="10"/>
      <c r="Q3021" s="22"/>
    </row>
    <row r="3022" customFormat="false" ht="15.75" hidden="false" customHeight="false" outlineLevel="0" collapsed="false">
      <c r="A3022" s="20" t="n">
        <v>46118</v>
      </c>
      <c r="B3022" s="15" t="s">
        <v>496</v>
      </c>
      <c r="C3022" s="15" t="s">
        <v>65</v>
      </c>
      <c r="D3022" s="15" t="s">
        <v>580</v>
      </c>
      <c r="E3022" s="15" t="n">
        <v>1</v>
      </c>
      <c r="H3022" s="10"/>
      <c r="I3022" s="21"/>
      <c r="M3022" s="10"/>
      <c r="N3022" s="10"/>
      <c r="P3022" s="10"/>
      <c r="Q3022" s="22"/>
    </row>
    <row r="3023" customFormat="false" ht="15.75" hidden="false" customHeight="false" outlineLevel="0" collapsed="false">
      <c r="A3023" s="20" t="n">
        <v>46118</v>
      </c>
      <c r="B3023" s="15" t="s">
        <v>504</v>
      </c>
      <c r="C3023" s="15" t="s">
        <v>47</v>
      </c>
      <c r="D3023" s="15" t="s">
        <v>549</v>
      </c>
      <c r="E3023" s="15" t="n">
        <v>3</v>
      </c>
      <c r="H3023" s="10"/>
      <c r="I3023" s="21"/>
      <c r="M3023" s="10"/>
      <c r="N3023" s="10"/>
      <c r="P3023" s="10"/>
      <c r="Q3023" s="22"/>
    </row>
    <row r="3024" customFormat="false" ht="15.75" hidden="false" customHeight="false" outlineLevel="0" collapsed="false">
      <c r="A3024" s="20" t="n">
        <v>46118</v>
      </c>
      <c r="B3024" s="15" t="s">
        <v>504</v>
      </c>
      <c r="C3024" s="15" t="s">
        <v>55</v>
      </c>
      <c r="D3024" s="15" t="s">
        <v>539</v>
      </c>
      <c r="E3024" s="15" t="n">
        <v>6</v>
      </c>
      <c r="H3024" s="10"/>
      <c r="I3024" s="21"/>
      <c r="M3024" s="10"/>
      <c r="N3024" s="10"/>
      <c r="P3024" s="10"/>
      <c r="Q3024" s="22"/>
    </row>
    <row r="3025" customFormat="false" ht="15.75" hidden="false" customHeight="false" outlineLevel="0" collapsed="false">
      <c r="A3025" s="20" t="n">
        <v>46118</v>
      </c>
      <c r="B3025" s="15" t="s">
        <v>504</v>
      </c>
      <c r="C3025" s="15" t="s">
        <v>81</v>
      </c>
      <c r="D3025" s="15" t="s">
        <v>534</v>
      </c>
      <c r="E3025" s="15" t="n">
        <v>9</v>
      </c>
      <c r="H3025" s="10"/>
      <c r="I3025" s="21"/>
      <c r="M3025" s="10"/>
      <c r="N3025" s="10"/>
      <c r="P3025" s="10"/>
      <c r="Q3025" s="22"/>
    </row>
    <row r="3026" customFormat="false" ht="15.75" hidden="false" customHeight="false" outlineLevel="0" collapsed="false">
      <c r="A3026" s="20" t="n">
        <v>46118</v>
      </c>
      <c r="B3026" s="15" t="s">
        <v>504</v>
      </c>
      <c r="C3026" s="15" t="s">
        <v>39</v>
      </c>
      <c r="D3026" s="15" t="s">
        <v>550</v>
      </c>
      <c r="E3026" s="15" t="n">
        <v>1</v>
      </c>
      <c r="H3026" s="10"/>
      <c r="I3026" s="21"/>
      <c r="M3026" s="10"/>
      <c r="N3026" s="10"/>
      <c r="P3026" s="10"/>
      <c r="Q3026" s="22"/>
    </row>
    <row r="3027" customFormat="false" ht="15.75" hidden="false" customHeight="false" outlineLevel="0" collapsed="false">
      <c r="A3027" s="20" t="n">
        <v>46118</v>
      </c>
      <c r="B3027" s="15" t="s">
        <v>504</v>
      </c>
      <c r="C3027" s="15" t="s">
        <v>63</v>
      </c>
      <c r="D3027" s="15" t="s">
        <v>551</v>
      </c>
      <c r="E3027" s="15" t="n">
        <v>1</v>
      </c>
      <c r="H3027" s="10"/>
      <c r="I3027" s="21"/>
      <c r="M3027" s="10"/>
      <c r="N3027" s="10"/>
      <c r="P3027" s="10"/>
      <c r="Q3027" s="22"/>
    </row>
    <row r="3028" customFormat="false" ht="15.75" hidden="false" customHeight="false" outlineLevel="0" collapsed="false">
      <c r="A3028" s="20" t="n">
        <v>46118</v>
      </c>
      <c r="B3028" s="15" t="s">
        <v>504</v>
      </c>
      <c r="C3028" s="15" t="s">
        <v>17</v>
      </c>
      <c r="D3028" s="15" t="s">
        <v>554</v>
      </c>
      <c r="E3028" s="15" t="n">
        <v>1</v>
      </c>
      <c r="H3028" s="10"/>
      <c r="I3028" s="21"/>
      <c r="M3028" s="10"/>
      <c r="N3028" s="10"/>
      <c r="P3028" s="10"/>
      <c r="Q3028" s="22"/>
    </row>
    <row r="3029" customFormat="false" ht="15.75" hidden="false" customHeight="false" outlineLevel="0" collapsed="false">
      <c r="A3029" s="20" t="n">
        <v>46118</v>
      </c>
      <c r="B3029" s="15" t="s">
        <v>505</v>
      </c>
      <c r="C3029" s="15" t="s">
        <v>55</v>
      </c>
      <c r="D3029" s="15" t="s">
        <v>539</v>
      </c>
      <c r="E3029" s="15" t="n">
        <v>6</v>
      </c>
      <c r="H3029" s="10"/>
      <c r="I3029" s="21"/>
      <c r="M3029" s="10"/>
      <c r="N3029" s="10"/>
      <c r="P3029" s="10"/>
      <c r="Q3029" s="22"/>
    </row>
    <row r="3030" customFormat="false" ht="15.75" hidden="false" customHeight="false" outlineLevel="0" collapsed="false">
      <c r="A3030" s="20" t="n">
        <v>46118</v>
      </c>
      <c r="B3030" s="15" t="s">
        <v>505</v>
      </c>
      <c r="C3030" s="15" t="s">
        <v>39</v>
      </c>
      <c r="D3030" s="15" t="s">
        <v>550</v>
      </c>
      <c r="E3030" s="15" t="n">
        <v>1</v>
      </c>
      <c r="H3030" s="10"/>
      <c r="I3030" s="21"/>
      <c r="M3030" s="10"/>
      <c r="N3030" s="10"/>
      <c r="P3030" s="10"/>
      <c r="Q3030" s="22"/>
    </row>
    <row r="3031" customFormat="false" ht="15.75" hidden="false" customHeight="false" outlineLevel="0" collapsed="false">
      <c r="A3031" s="20" t="n">
        <v>46118</v>
      </c>
      <c r="B3031" s="15" t="s">
        <v>505</v>
      </c>
      <c r="C3031" s="15" t="s">
        <v>81</v>
      </c>
      <c r="D3031" s="15" t="s">
        <v>534</v>
      </c>
      <c r="E3031" s="15" t="n">
        <v>9</v>
      </c>
      <c r="H3031" s="10"/>
      <c r="I3031" s="21"/>
      <c r="M3031" s="10"/>
      <c r="N3031" s="10"/>
      <c r="P3031" s="10"/>
      <c r="Q3031" s="22"/>
    </row>
    <row r="3032" customFormat="false" ht="15.75" hidden="false" customHeight="false" outlineLevel="0" collapsed="false">
      <c r="A3032" s="20" t="n">
        <v>46118</v>
      </c>
      <c r="B3032" s="15" t="s">
        <v>505</v>
      </c>
      <c r="C3032" s="15" t="s">
        <v>47</v>
      </c>
      <c r="D3032" s="15" t="s">
        <v>549</v>
      </c>
      <c r="E3032" s="15" t="n">
        <v>3</v>
      </c>
      <c r="H3032" s="10"/>
      <c r="I3032" s="21"/>
      <c r="M3032" s="10"/>
      <c r="N3032" s="10"/>
      <c r="P3032" s="10"/>
      <c r="Q3032" s="22"/>
    </row>
    <row r="3033" customFormat="false" ht="15.75" hidden="false" customHeight="false" outlineLevel="0" collapsed="false">
      <c r="A3033" s="20" t="n">
        <v>46118</v>
      </c>
      <c r="B3033" s="15" t="s">
        <v>505</v>
      </c>
      <c r="C3033" s="15" t="s">
        <v>63</v>
      </c>
      <c r="D3033" s="15" t="s">
        <v>551</v>
      </c>
      <c r="E3033" s="15" t="n">
        <v>1</v>
      </c>
      <c r="H3033" s="10"/>
      <c r="I3033" s="21"/>
      <c r="M3033" s="10"/>
      <c r="N3033" s="10"/>
      <c r="P3033" s="10"/>
      <c r="Q3033" s="22"/>
    </row>
    <row r="3034" customFormat="false" ht="15.75" hidden="false" customHeight="false" outlineLevel="0" collapsed="false">
      <c r="A3034" s="20" t="n">
        <v>46118</v>
      </c>
      <c r="B3034" s="15" t="s">
        <v>505</v>
      </c>
      <c r="C3034" s="15" t="s">
        <v>17</v>
      </c>
      <c r="D3034" s="15" t="s">
        <v>554</v>
      </c>
      <c r="E3034" s="15" t="n">
        <v>1</v>
      </c>
      <c r="H3034" s="10"/>
      <c r="I3034" s="21"/>
      <c r="M3034" s="10"/>
      <c r="N3034" s="10"/>
      <c r="P3034" s="10"/>
      <c r="Q3034" s="22"/>
    </row>
    <row r="3035" customFormat="false" ht="15.75" hidden="false" customHeight="false" outlineLevel="0" collapsed="false">
      <c r="A3035" s="20" t="n">
        <v>46118</v>
      </c>
      <c r="B3035" s="15" t="s">
        <v>508</v>
      </c>
      <c r="C3035" s="15" t="s">
        <v>55</v>
      </c>
      <c r="D3035" s="15" t="s">
        <v>539</v>
      </c>
      <c r="E3035" s="15" t="n">
        <v>5</v>
      </c>
      <c r="H3035" s="10"/>
      <c r="I3035" s="21"/>
      <c r="M3035" s="10"/>
      <c r="N3035" s="10"/>
      <c r="P3035" s="10"/>
      <c r="Q3035" s="22"/>
    </row>
    <row r="3036" customFormat="false" ht="15.75" hidden="false" customHeight="false" outlineLevel="0" collapsed="false">
      <c r="A3036" s="20" t="n">
        <v>46118</v>
      </c>
      <c r="B3036" s="15" t="s">
        <v>508</v>
      </c>
      <c r="C3036" s="15" t="s">
        <v>81</v>
      </c>
      <c r="D3036" s="15" t="s">
        <v>534</v>
      </c>
      <c r="E3036" s="15" t="n">
        <v>9</v>
      </c>
      <c r="H3036" s="10"/>
      <c r="I3036" s="21"/>
      <c r="M3036" s="10"/>
      <c r="N3036" s="10"/>
      <c r="P3036" s="10"/>
      <c r="Q3036" s="22"/>
    </row>
    <row r="3037" customFormat="false" ht="15.75" hidden="false" customHeight="false" outlineLevel="0" collapsed="false">
      <c r="A3037" s="20" t="n">
        <v>46118</v>
      </c>
      <c r="B3037" s="15" t="s">
        <v>508</v>
      </c>
      <c r="C3037" s="15" t="s">
        <v>39</v>
      </c>
      <c r="D3037" s="15" t="s">
        <v>550</v>
      </c>
      <c r="E3037" s="15" t="n">
        <v>2</v>
      </c>
      <c r="H3037" s="10"/>
      <c r="I3037" s="21"/>
      <c r="M3037" s="10"/>
      <c r="N3037" s="10"/>
      <c r="P3037" s="10"/>
      <c r="Q3037" s="22"/>
    </row>
    <row r="3038" customFormat="false" ht="15.75" hidden="false" customHeight="false" outlineLevel="0" collapsed="false">
      <c r="A3038" s="20" t="n">
        <v>46118</v>
      </c>
      <c r="B3038" s="15" t="s">
        <v>508</v>
      </c>
      <c r="C3038" s="15" t="s">
        <v>47</v>
      </c>
      <c r="D3038" s="15" t="s">
        <v>549</v>
      </c>
      <c r="E3038" s="15" t="n">
        <v>2</v>
      </c>
      <c r="H3038" s="10"/>
      <c r="I3038" s="21"/>
      <c r="M3038" s="10"/>
      <c r="N3038" s="10"/>
      <c r="P3038" s="10"/>
      <c r="Q3038" s="22"/>
    </row>
    <row r="3039" customFormat="false" ht="15.75" hidden="false" customHeight="false" outlineLevel="0" collapsed="false">
      <c r="A3039" s="20" t="n">
        <v>46118</v>
      </c>
      <c r="B3039" s="15" t="s">
        <v>508</v>
      </c>
      <c r="C3039" s="15" t="s">
        <v>63</v>
      </c>
      <c r="D3039" s="15" t="s">
        <v>551</v>
      </c>
      <c r="E3039" s="15" t="n">
        <v>1</v>
      </c>
      <c r="H3039" s="10"/>
      <c r="I3039" s="21"/>
      <c r="M3039" s="10"/>
      <c r="N3039" s="10"/>
      <c r="P3039" s="10"/>
      <c r="Q3039" s="22"/>
    </row>
    <row r="3040" customFormat="false" ht="15.75" hidden="false" customHeight="false" outlineLevel="0" collapsed="false">
      <c r="A3040" s="20" t="n">
        <v>46118</v>
      </c>
      <c r="B3040" s="15" t="s">
        <v>515</v>
      </c>
      <c r="C3040" s="15" t="s">
        <v>69</v>
      </c>
      <c r="D3040" s="15" t="s">
        <v>535</v>
      </c>
      <c r="E3040" s="15" t="n">
        <v>6</v>
      </c>
      <c r="H3040" s="10"/>
      <c r="I3040" s="21"/>
      <c r="M3040" s="10"/>
      <c r="N3040" s="10"/>
      <c r="P3040" s="10"/>
      <c r="Q3040" s="22"/>
    </row>
    <row r="3041" customFormat="false" ht="15.75" hidden="false" customHeight="false" outlineLevel="0" collapsed="false">
      <c r="A3041" s="20" t="n">
        <v>46118</v>
      </c>
      <c r="B3041" s="15" t="s">
        <v>515</v>
      </c>
      <c r="C3041" s="15" t="s">
        <v>33</v>
      </c>
      <c r="D3041" s="15" t="s">
        <v>536</v>
      </c>
      <c r="E3041" s="15" t="n">
        <v>6</v>
      </c>
      <c r="H3041" s="10"/>
      <c r="I3041" s="21"/>
      <c r="M3041" s="10"/>
      <c r="N3041" s="10"/>
      <c r="P3041" s="10"/>
      <c r="Q3041" s="22"/>
    </row>
    <row r="3042" customFormat="false" ht="15.75" hidden="false" customHeight="false" outlineLevel="0" collapsed="false">
      <c r="A3042" s="20" t="n">
        <v>46118</v>
      </c>
      <c r="B3042" s="15" t="s">
        <v>515</v>
      </c>
      <c r="C3042" s="15" t="s">
        <v>55</v>
      </c>
      <c r="D3042" s="15" t="s">
        <v>539</v>
      </c>
      <c r="E3042" s="15" t="n">
        <v>4</v>
      </c>
      <c r="H3042" s="10"/>
      <c r="I3042" s="21"/>
      <c r="M3042" s="10"/>
      <c r="N3042" s="10"/>
      <c r="P3042" s="10"/>
      <c r="Q3042" s="22"/>
    </row>
    <row r="3043" customFormat="false" ht="15.75" hidden="false" customHeight="false" outlineLevel="0" collapsed="false">
      <c r="A3043" s="20" t="n">
        <v>46118</v>
      </c>
      <c r="B3043" s="15" t="s">
        <v>515</v>
      </c>
      <c r="C3043" s="15" t="s">
        <v>27</v>
      </c>
      <c r="D3043" s="15" t="s">
        <v>577</v>
      </c>
      <c r="E3043" s="15" t="n">
        <v>1</v>
      </c>
      <c r="H3043" s="10"/>
      <c r="I3043" s="21"/>
      <c r="M3043" s="10"/>
      <c r="N3043" s="10"/>
      <c r="P3043" s="10"/>
      <c r="Q3043" s="22"/>
    </row>
    <row r="3044" customFormat="false" ht="15.75" hidden="false" customHeight="false" outlineLevel="0" collapsed="false">
      <c r="A3044" s="20" t="n">
        <v>46118</v>
      </c>
      <c r="B3044" s="15" t="s">
        <v>515</v>
      </c>
      <c r="C3044" s="15" t="s">
        <v>51</v>
      </c>
      <c r="D3044" s="15" t="s">
        <v>573</v>
      </c>
      <c r="E3044" s="15" t="n">
        <v>1</v>
      </c>
      <c r="H3044" s="10"/>
      <c r="I3044" s="21"/>
      <c r="M3044" s="10"/>
      <c r="N3044" s="10"/>
      <c r="P3044" s="10"/>
      <c r="Q3044" s="22"/>
    </row>
    <row r="3045" customFormat="false" ht="15.75" hidden="false" customHeight="false" outlineLevel="0" collapsed="false">
      <c r="A3045" s="20" t="n">
        <v>46118</v>
      </c>
      <c r="B3045" s="15" t="s">
        <v>515</v>
      </c>
      <c r="C3045" s="15" t="s">
        <v>37</v>
      </c>
      <c r="D3045" s="15" t="s">
        <v>561</v>
      </c>
      <c r="E3045" s="15" t="n">
        <v>1</v>
      </c>
      <c r="H3045" s="10"/>
      <c r="I3045" s="21"/>
      <c r="M3045" s="10"/>
      <c r="N3045" s="10"/>
      <c r="P3045" s="10"/>
      <c r="Q3045" s="22"/>
    </row>
    <row r="3046" customFormat="false" ht="15.75" hidden="false" customHeight="false" outlineLevel="0" collapsed="false">
      <c r="A3046" s="20" t="n">
        <v>46118</v>
      </c>
      <c r="B3046" s="15" t="s">
        <v>515</v>
      </c>
      <c r="C3046" s="15" t="s">
        <v>81</v>
      </c>
      <c r="D3046" s="15" t="s">
        <v>534</v>
      </c>
      <c r="E3046" s="15" t="n">
        <v>2</v>
      </c>
      <c r="H3046" s="10"/>
      <c r="I3046" s="21"/>
      <c r="M3046" s="10"/>
      <c r="N3046" s="10"/>
      <c r="P3046" s="10"/>
      <c r="Q3046" s="22"/>
    </row>
    <row r="3047" customFormat="false" ht="15.75" hidden="false" customHeight="false" outlineLevel="0" collapsed="false">
      <c r="A3047" s="20" t="n">
        <v>46118</v>
      </c>
      <c r="B3047" s="15" t="s">
        <v>515</v>
      </c>
      <c r="C3047" s="15" t="s">
        <v>77</v>
      </c>
      <c r="D3047" s="15" t="s">
        <v>78</v>
      </c>
      <c r="E3047" s="15" t="n">
        <v>4</v>
      </c>
      <c r="H3047" s="10"/>
      <c r="I3047" s="21"/>
      <c r="M3047" s="10"/>
      <c r="N3047" s="10"/>
      <c r="P3047" s="10"/>
      <c r="Q3047" s="22"/>
    </row>
    <row r="3048" customFormat="false" ht="15.75" hidden="false" customHeight="false" outlineLevel="0" collapsed="false">
      <c r="A3048" s="20" t="n">
        <v>46119</v>
      </c>
      <c r="B3048" s="15" t="s">
        <v>453</v>
      </c>
      <c r="C3048" s="15" t="s">
        <v>47</v>
      </c>
      <c r="D3048" s="15" t="s">
        <v>549</v>
      </c>
      <c r="E3048" s="15" t="n">
        <v>2</v>
      </c>
      <c r="H3048" s="10"/>
      <c r="I3048" s="21"/>
      <c r="M3048" s="10"/>
      <c r="N3048" s="10"/>
      <c r="P3048" s="10"/>
      <c r="Q3048" s="22"/>
    </row>
    <row r="3049" customFormat="false" ht="15.75" hidden="false" customHeight="false" outlineLevel="0" collapsed="false">
      <c r="A3049" s="20" t="n">
        <v>46119</v>
      </c>
      <c r="B3049" s="15" t="s">
        <v>453</v>
      </c>
      <c r="C3049" s="15" t="s">
        <v>55</v>
      </c>
      <c r="D3049" s="15" t="s">
        <v>539</v>
      </c>
      <c r="E3049" s="15" t="n">
        <v>4</v>
      </c>
      <c r="H3049" s="10"/>
      <c r="I3049" s="21"/>
      <c r="M3049" s="10"/>
      <c r="N3049" s="10"/>
      <c r="P3049" s="10"/>
      <c r="Q3049" s="22"/>
    </row>
    <row r="3050" customFormat="false" ht="15.75" hidden="false" customHeight="false" outlineLevel="0" collapsed="false">
      <c r="A3050" s="20" t="n">
        <v>46119</v>
      </c>
      <c r="B3050" s="15" t="s">
        <v>453</v>
      </c>
      <c r="C3050" s="15" t="s">
        <v>81</v>
      </c>
      <c r="D3050" s="15" t="s">
        <v>534</v>
      </c>
      <c r="E3050" s="15" t="n">
        <v>8</v>
      </c>
      <c r="H3050" s="10"/>
      <c r="I3050" s="21"/>
      <c r="M3050" s="10"/>
      <c r="N3050" s="10"/>
      <c r="P3050" s="10"/>
      <c r="Q3050" s="22"/>
    </row>
    <row r="3051" customFormat="false" ht="15.75" hidden="false" customHeight="false" outlineLevel="0" collapsed="false">
      <c r="A3051" s="20" t="n">
        <v>46119</v>
      </c>
      <c r="B3051" s="15" t="s">
        <v>453</v>
      </c>
      <c r="C3051" s="15" t="s">
        <v>39</v>
      </c>
      <c r="D3051" s="15" t="s">
        <v>550</v>
      </c>
      <c r="E3051" s="15" t="n">
        <v>2</v>
      </c>
      <c r="H3051" s="10"/>
      <c r="I3051" s="21"/>
      <c r="M3051" s="10"/>
      <c r="N3051" s="10"/>
      <c r="P3051" s="10"/>
      <c r="Q3051" s="22"/>
    </row>
    <row r="3052" customFormat="false" ht="15.75" hidden="false" customHeight="false" outlineLevel="0" collapsed="false">
      <c r="A3052" s="20" t="n">
        <v>46119</v>
      </c>
      <c r="B3052" s="15" t="s">
        <v>453</v>
      </c>
      <c r="C3052" s="15" t="s">
        <v>63</v>
      </c>
      <c r="D3052" s="15" t="s">
        <v>551</v>
      </c>
      <c r="E3052" s="15" t="n">
        <v>1</v>
      </c>
      <c r="H3052" s="10"/>
      <c r="I3052" s="21"/>
      <c r="M3052" s="10"/>
      <c r="N3052" s="10"/>
      <c r="P3052" s="10"/>
      <c r="Q3052" s="22"/>
    </row>
    <row r="3053" customFormat="false" ht="15.75" hidden="false" customHeight="false" outlineLevel="0" collapsed="false">
      <c r="A3053" s="20" t="n">
        <v>46119</v>
      </c>
      <c r="B3053" s="15" t="s">
        <v>453</v>
      </c>
      <c r="C3053" s="15" t="s">
        <v>35</v>
      </c>
      <c r="D3053" s="15" t="s">
        <v>552</v>
      </c>
      <c r="E3053" s="15" t="n">
        <v>2</v>
      </c>
      <c r="H3053" s="10"/>
      <c r="I3053" s="21"/>
      <c r="M3053" s="10"/>
      <c r="N3053" s="10"/>
      <c r="P3053" s="10"/>
      <c r="Q3053" s="22"/>
    </row>
    <row r="3054" customFormat="false" ht="15.75" hidden="false" customHeight="false" outlineLevel="0" collapsed="false">
      <c r="A3054" s="20" t="n">
        <v>46119</v>
      </c>
      <c r="B3054" s="15" t="s">
        <v>467</v>
      </c>
      <c r="C3054" s="15" t="s">
        <v>55</v>
      </c>
      <c r="D3054" s="15" t="s">
        <v>539</v>
      </c>
      <c r="E3054" s="15" t="n">
        <v>6</v>
      </c>
      <c r="H3054" s="10"/>
      <c r="I3054" s="21"/>
      <c r="M3054" s="10"/>
      <c r="N3054" s="10"/>
      <c r="P3054" s="10"/>
      <c r="Q3054" s="22"/>
    </row>
    <row r="3055" customFormat="false" ht="15.75" hidden="false" customHeight="false" outlineLevel="0" collapsed="false">
      <c r="A3055" s="20" t="n">
        <v>46119</v>
      </c>
      <c r="B3055" s="15" t="s">
        <v>467</v>
      </c>
      <c r="C3055" s="15" t="s">
        <v>57</v>
      </c>
      <c r="D3055" s="15" t="s">
        <v>553</v>
      </c>
      <c r="E3055" s="15" t="n">
        <v>2</v>
      </c>
      <c r="H3055" s="10"/>
      <c r="I3055" s="21"/>
      <c r="M3055" s="10"/>
      <c r="N3055" s="10"/>
      <c r="P3055" s="10"/>
      <c r="Q3055" s="22"/>
    </row>
    <row r="3056" customFormat="false" ht="15.75" hidden="false" customHeight="false" outlineLevel="0" collapsed="false">
      <c r="A3056" s="20" t="n">
        <v>46119</v>
      </c>
      <c r="B3056" s="15" t="s">
        <v>467</v>
      </c>
      <c r="C3056" s="15" t="s">
        <v>47</v>
      </c>
      <c r="D3056" s="15" t="s">
        <v>549</v>
      </c>
      <c r="E3056" s="15" t="n">
        <v>2</v>
      </c>
      <c r="H3056" s="10"/>
      <c r="I3056" s="21"/>
      <c r="M3056" s="10"/>
      <c r="N3056" s="10"/>
      <c r="P3056" s="10"/>
      <c r="Q3056" s="22"/>
    </row>
    <row r="3057" customFormat="false" ht="15.75" hidden="false" customHeight="false" outlineLevel="0" collapsed="false">
      <c r="A3057" s="20" t="n">
        <v>46119</v>
      </c>
      <c r="B3057" s="15" t="s">
        <v>467</v>
      </c>
      <c r="C3057" s="15" t="s">
        <v>81</v>
      </c>
      <c r="D3057" s="15" t="s">
        <v>534</v>
      </c>
      <c r="E3057" s="15" t="n">
        <v>7</v>
      </c>
      <c r="H3057" s="10"/>
      <c r="I3057" s="21"/>
      <c r="M3057" s="10"/>
      <c r="N3057" s="10"/>
      <c r="P3057" s="10"/>
      <c r="Q3057" s="22"/>
    </row>
    <row r="3058" customFormat="false" ht="15.75" hidden="false" customHeight="false" outlineLevel="0" collapsed="false">
      <c r="A3058" s="20" t="n">
        <v>46119</v>
      </c>
      <c r="B3058" s="15" t="s">
        <v>467</v>
      </c>
      <c r="C3058" s="15" t="s">
        <v>49</v>
      </c>
      <c r="D3058" s="15" t="s">
        <v>537</v>
      </c>
      <c r="E3058" s="15" t="n">
        <v>2</v>
      </c>
      <c r="H3058" s="10"/>
      <c r="I3058" s="21"/>
      <c r="M3058" s="10"/>
      <c r="N3058" s="10"/>
      <c r="P3058" s="10"/>
      <c r="Q3058" s="22"/>
    </row>
    <row r="3059" customFormat="false" ht="15.75" hidden="false" customHeight="false" outlineLevel="0" collapsed="false">
      <c r="A3059" s="20" t="n">
        <v>46119</v>
      </c>
      <c r="B3059" s="15" t="s">
        <v>467</v>
      </c>
      <c r="C3059" s="15" t="s">
        <v>63</v>
      </c>
      <c r="D3059" s="15" t="s">
        <v>551</v>
      </c>
      <c r="E3059" s="15" t="n">
        <v>1</v>
      </c>
      <c r="H3059" s="10"/>
      <c r="I3059" s="21"/>
      <c r="M3059" s="10"/>
      <c r="N3059" s="10"/>
      <c r="P3059" s="10"/>
      <c r="Q3059" s="22"/>
    </row>
    <row r="3060" customFormat="false" ht="15.75" hidden="false" customHeight="false" outlineLevel="0" collapsed="false">
      <c r="A3060" s="20" t="n">
        <v>46119</v>
      </c>
      <c r="B3060" s="15" t="s">
        <v>469</v>
      </c>
      <c r="C3060" s="15" t="s">
        <v>69</v>
      </c>
      <c r="D3060" s="15" t="s">
        <v>535</v>
      </c>
      <c r="E3060" s="15" t="n">
        <v>5</v>
      </c>
      <c r="H3060" s="10"/>
      <c r="I3060" s="21"/>
      <c r="M3060" s="10"/>
      <c r="N3060" s="10"/>
      <c r="P3060" s="10"/>
      <c r="Q3060" s="22"/>
    </row>
    <row r="3061" customFormat="false" ht="15.75" hidden="false" customHeight="false" outlineLevel="0" collapsed="false">
      <c r="A3061" s="20" t="n">
        <v>46119</v>
      </c>
      <c r="B3061" s="15" t="s">
        <v>469</v>
      </c>
      <c r="C3061" s="15" t="s">
        <v>55</v>
      </c>
      <c r="D3061" s="15" t="s">
        <v>539</v>
      </c>
      <c r="E3061" s="15" t="n">
        <v>2</v>
      </c>
      <c r="H3061" s="10"/>
      <c r="I3061" s="21"/>
      <c r="M3061" s="10"/>
      <c r="N3061" s="10"/>
      <c r="P3061" s="10"/>
      <c r="Q3061" s="22"/>
    </row>
    <row r="3062" customFormat="false" ht="15.75" hidden="false" customHeight="false" outlineLevel="0" collapsed="false">
      <c r="A3062" s="20" t="n">
        <v>46119</v>
      </c>
      <c r="B3062" s="15" t="s">
        <v>469</v>
      </c>
      <c r="C3062" s="15" t="s">
        <v>33</v>
      </c>
      <c r="D3062" s="15" t="s">
        <v>536</v>
      </c>
      <c r="E3062" s="15" t="n">
        <v>5</v>
      </c>
      <c r="H3062" s="10"/>
      <c r="I3062" s="21"/>
      <c r="M3062" s="10"/>
      <c r="N3062" s="10"/>
      <c r="P3062" s="10"/>
      <c r="Q3062" s="22"/>
    </row>
    <row r="3063" customFormat="false" ht="15.75" hidden="false" customHeight="false" outlineLevel="0" collapsed="false">
      <c r="A3063" s="20" t="n">
        <v>46119</v>
      </c>
      <c r="B3063" s="15" t="s">
        <v>469</v>
      </c>
      <c r="C3063" s="15" t="s">
        <v>547</v>
      </c>
      <c r="D3063" s="15" t="s">
        <v>548</v>
      </c>
      <c r="E3063" s="15" t="n">
        <v>1</v>
      </c>
      <c r="H3063" s="10"/>
      <c r="I3063" s="21"/>
      <c r="M3063" s="10"/>
      <c r="N3063" s="10"/>
      <c r="P3063" s="10"/>
      <c r="Q3063" s="22"/>
    </row>
    <row r="3064" customFormat="false" ht="15.75" hidden="false" customHeight="false" outlineLevel="0" collapsed="false">
      <c r="A3064" s="20" t="n">
        <v>46119</v>
      </c>
      <c r="B3064" s="15" t="s">
        <v>469</v>
      </c>
      <c r="C3064" s="15" t="s">
        <v>81</v>
      </c>
      <c r="D3064" s="15" t="s">
        <v>534</v>
      </c>
      <c r="E3064" s="15" t="n">
        <v>2</v>
      </c>
      <c r="H3064" s="10"/>
      <c r="I3064" s="21"/>
      <c r="M3064" s="10"/>
      <c r="N3064" s="10"/>
      <c r="P3064" s="10"/>
      <c r="Q3064" s="22"/>
    </row>
    <row r="3065" customFormat="false" ht="15.75" hidden="false" customHeight="false" outlineLevel="0" collapsed="false">
      <c r="A3065" s="20" t="n">
        <v>46119</v>
      </c>
      <c r="B3065" s="15" t="s">
        <v>472</v>
      </c>
      <c r="C3065" s="15" t="s">
        <v>555</v>
      </c>
      <c r="D3065" s="15" t="s">
        <v>556</v>
      </c>
      <c r="E3065" s="15" t="n">
        <v>3</v>
      </c>
      <c r="H3065" s="10"/>
      <c r="I3065" s="21"/>
      <c r="M3065" s="10"/>
      <c r="N3065" s="10"/>
      <c r="P3065" s="10"/>
      <c r="Q3065" s="22"/>
    </row>
    <row r="3066" customFormat="false" ht="15.75" hidden="false" customHeight="false" outlineLevel="0" collapsed="false">
      <c r="A3066" s="20" t="n">
        <v>46119</v>
      </c>
      <c r="B3066" s="15" t="s">
        <v>472</v>
      </c>
      <c r="C3066" s="15" t="s">
        <v>11</v>
      </c>
      <c r="D3066" s="15" t="s">
        <v>572</v>
      </c>
      <c r="E3066" s="15" t="n">
        <v>3</v>
      </c>
      <c r="H3066" s="10"/>
      <c r="I3066" s="21"/>
      <c r="M3066" s="10"/>
      <c r="N3066" s="10"/>
      <c r="P3066" s="10"/>
      <c r="Q3066" s="22"/>
    </row>
    <row r="3067" customFormat="false" ht="15.75" hidden="false" customHeight="false" outlineLevel="0" collapsed="false">
      <c r="A3067" s="20" t="n">
        <v>46119</v>
      </c>
      <c r="B3067" s="15" t="s">
        <v>472</v>
      </c>
      <c r="C3067" s="15" t="s">
        <v>69</v>
      </c>
      <c r="D3067" s="15" t="s">
        <v>535</v>
      </c>
      <c r="E3067" s="15" t="n">
        <v>3</v>
      </c>
      <c r="H3067" s="10"/>
      <c r="I3067" s="21"/>
      <c r="M3067" s="10"/>
      <c r="N3067" s="10"/>
      <c r="P3067" s="10"/>
      <c r="Q3067" s="22"/>
    </row>
    <row r="3068" customFormat="false" ht="15.75" hidden="false" customHeight="false" outlineLevel="0" collapsed="false">
      <c r="A3068" s="20" t="n">
        <v>46119</v>
      </c>
      <c r="B3068" s="15" t="s">
        <v>472</v>
      </c>
      <c r="C3068" s="15" t="s">
        <v>25</v>
      </c>
      <c r="D3068" s="15" t="s">
        <v>26</v>
      </c>
      <c r="E3068" s="15" t="n">
        <v>3</v>
      </c>
      <c r="H3068" s="10"/>
      <c r="I3068" s="21"/>
      <c r="M3068" s="10"/>
      <c r="N3068" s="10"/>
      <c r="P3068" s="10"/>
      <c r="Q3068" s="22"/>
    </row>
    <row r="3069" customFormat="false" ht="15.75" hidden="false" customHeight="false" outlineLevel="0" collapsed="false">
      <c r="A3069" s="20" t="n">
        <v>46119</v>
      </c>
      <c r="B3069" s="15" t="s">
        <v>474</v>
      </c>
      <c r="C3069" s="15" t="s">
        <v>555</v>
      </c>
      <c r="D3069" s="15" t="s">
        <v>556</v>
      </c>
      <c r="E3069" s="15" t="n">
        <v>8</v>
      </c>
      <c r="H3069" s="10"/>
      <c r="I3069" s="21"/>
      <c r="M3069" s="10"/>
      <c r="N3069" s="10"/>
      <c r="P3069" s="10"/>
      <c r="Q3069" s="22"/>
    </row>
    <row r="3070" customFormat="false" ht="15.75" hidden="false" customHeight="false" outlineLevel="0" collapsed="false">
      <c r="A3070" s="20" t="n">
        <v>46119</v>
      </c>
      <c r="B3070" s="15" t="s">
        <v>474</v>
      </c>
      <c r="C3070" s="15" t="s">
        <v>565</v>
      </c>
      <c r="D3070" s="15" t="s">
        <v>566</v>
      </c>
      <c r="E3070" s="15" t="n">
        <v>4</v>
      </c>
      <c r="H3070" s="10"/>
      <c r="I3070" s="21"/>
      <c r="M3070" s="10"/>
      <c r="N3070" s="10"/>
      <c r="P3070" s="10"/>
      <c r="Q3070" s="22"/>
    </row>
    <row r="3071" customFormat="false" ht="15.75" hidden="false" customHeight="false" outlineLevel="0" collapsed="false">
      <c r="A3071" s="20" t="n">
        <v>46119</v>
      </c>
      <c r="B3071" s="15" t="s">
        <v>474</v>
      </c>
      <c r="C3071" s="15" t="s">
        <v>11</v>
      </c>
      <c r="D3071" s="15" t="s">
        <v>572</v>
      </c>
      <c r="E3071" s="15" t="n">
        <v>4</v>
      </c>
      <c r="H3071" s="10"/>
      <c r="I3071" s="21"/>
      <c r="M3071" s="10"/>
      <c r="N3071" s="10"/>
      <c r="P3071" s="10"/>
      <c r="Q3071" s="22"/>
    </row>
    <row r="3072" customFormat="false" ht="15.75" hidden="false" customHeight="false" outlineLevel="0" collapsed="false">
      <c r="A3072" s="20" t="n">
        <v>46119</v>
      </c>
      <c r="B3072" s="15" t="s">
        <v>474</v>
      </c>
      <c r="C3072" s="15" t="s">
        <v>543</v>
      </c>
      <c r="D3072" s="15" t="s">
        <v>544</v>
      </c>
      <c r="E3072" s="15" t="n">
        <v>4</v>
      </c>
      <c r="H3072" s="10"/>
      <c r="I3072" s="21"/>
      <c r="M3072" s="10"/>
      <c r="N3072" s="10"/>
      <c r="P3072" s="10"/>
      <c r="Q3072" s="22"/>
    </row>
    <row r="3073" customFormat="false" ht="15.75" hidden="false" customHeight="false" outlineLevel="0" collapsed="false">
      <c r="A3073" s="20" t="n">
        <v>46119</v>
      </c>
      <c r="B3073" s="15" t="s">
        <v>474</v>
      </c>
      <c r="C3073" s="15" t="s">
        <v>91</v>
      </c>
      <c r="D3073" s="15" t="s">
        <v>91</v>
      </c>
      <c r="E3073" s="15" t="n">
        <v>4</v>
      </c>
      <c r="H3073" s="10"/>
      <c r="I3073" s="21"/>
      <c r="M3073" s="10"/>
      <c r="N3073" s="10"/>
      <c r="P3073" s="10"/>
      <c r="Q3073" s="22"/>
    </row>
    <row r="3074" customFormat="false" ht="15.75" hidden="false" customHeight="false" outlineLevel="0" collapsed="false">
      <c r="A3074" s="20" t="n">
        <v>46119</v>
      </c>
      <c r="B3074" s="15" t="s">
        <v>474</v>
      </c>
      <c r="C3074" s="15" t="s">
        <v>25</v>
      </c>
      <c r="D3074" s="15" t="s">
        <v>26</v>
      </c>
      <c r="E3074" s="15" t="n">
        <v>4</v>
      </c>
      <c r="H3074" s="10"/>
      <c r="I3074" s="21"/>
      <c r="M3074" s="10"/>
      <c r="N3074" s="10"/>
      <c r="P3074" s="10"/>
      <c r="Q3074" s="22"/>
    </row>
    <row r="3075" customFormat="false" ht="15.75" hidden="false" customHeight="false" outlineLevel="0" collapsed="false">
      <c r="A3075" s="20" t="n">
        <v>46119</v>
      </c>
      <c r="B3075" s="15" t="s">
        <v>479</v>
      </c>
      <c r="C3075" s="15" t="s">
        <v>69</v>
      </c>
      <c r="D3075" s="15" t="s">
        <v>535</v>
      </c>
      <c r="E3075" s="15" t="n">
        <v>2</v>
      </c>
      <c r="H3075" s="10"/>
      <c r="I3075" s="21"/>
      <c r="M3075" s="10"/>
      <c r="N3075" s="10"/>
      <c r="P3075" s="10"/>
      <c r="Q3075" s="22"/>
    </row>
    <row r="3076" customFormat="false" ht="15.75" hidden="false" customHeight="false" outlineLevel="0" collapsed="false">
      <c r="A3076" s="20" t="n">
        <v>46119</v>
      </c>
      <c r="B3076" s="15" t="s">
        <v>479</v>
      </c>
      <c r="C3076" s="15" t="s">
        <v>547</v>
      </c>
      <c r="D3076" s="15" t="s">
        <v>548</v>
      </c>
      <c r="E3076" s="15" t="n">
        <v>2</v>
      </c>
      <c r="H3076" s="10"/>
      <c r="I3076" s="21"/>
      <c r="M3076" s="10"/>
      <c r="N3076" s="10"/>
      <c r="P3076" s="10"/>
      <c r="Q3076" s="22"/>
    </row>
    <row r="3077" customFormat="false" ht="15.75" hidden="false" customHeight="false" outlineLevel="0" collapsed="false">
      <c r="A3077" s="20" t="n">
        <v>46119</v>
      </c>
      <c r="B3077" s="15" t="s">
        <v>486</v>
      </c>
      <c r="C3077" s="15" t="s">
        <v>55</v>
      </c>
      <c r="D3077" s="15" t="s">
        <v>539</v>
      </c>
      <c r="E3077" s="15" t="n">
        <v>1</v>
      </c>
      <c r="H3077" s="10"/>
      <c r="I3077" s="21"/>
      <c r="M3077" s="10"/>
      <c r="N3077" s="10"/>
      <c r="P3077" s="10"/>
      <c r="Q3077" s="22"/>
    </row>
    <row r="3078" customFormat="false" ht="15.75" hidden="false" customHeight="false" outlineLevel="0" collapsed="false">
      <c r="A3078" s="20" t="n">
        <v>46119</v>
      </c>
      <c r="B3078" s="15" t="s">
        <v>486</v>
      </c>
      <c r="C3078" s="15" t="s">
        <v>81</v>
      </c>
      <c r="D3078" s="15" t="s">
        <v>534</v>
      </c>
      <c r="E3078" s="15" t="n">
        <v>4</v>
      </c>
      <c r="H3078" s="10"/>
      <c r="I3078" s="21"/>
      <c r="M3078" s="10"/>
      <c r="N3078" s="10"/>
      <c r="P3078" s="10"/>
      <c r="Q3078" s="22"/>
    </row>
    <row r="3079" customFormat="false" ht="15.75" hidden="false" customHeight="false" outlineLevel="0" collapsed="false">
      <c r="A3079" s="20" t="n">
        <v>46119</v>
      </c>
      <c r="B3079" s="15" t="s">
        <v>486</v>
      </c>
      <c r="C3079" s="15" t="s">
        <v>69</v>
      </c>
      <c r="D3079" s="15" t="s">
        <v>535</v>
      </c>
      <c r="E3079" s="15" t="n">
        <v>5</v>
      </c>
      <c r="H3079" s="10"/>
      <c r="I3079" s="21"/>
      <c r="M3079" s="10"/>
      <c r="N3079" s="10"/>
      <c r="P3079" s="10"/>
      <c r="Q3079" s="22"/>
    </row>
    <row r="3080" customFormat="false" ht="15.75" hidden="false" customHeight="false" outlineLevel="0" collapsed="false">
      <c r="A3080" s="20" t="n">
        <v>46119</v>
      </c>
      <c r="B3080" s="15" t="s">
        <v>486</v>
      </c>
      <c r="C3080" s="15" t="s">
        <v>25</v>
      </c>
      <c r="D3080" s="15" t="s">
        <v>26</v>
      </c>
      <c r="E3080" s="15" t="n">
        <v>1</v>
      </c>
      <c r="H3080" s="10"/>
      <c r="I3080" s="21"/>
      <c r="M3080" s="10"/>
      <c r="N3080" s="10"/>
      <c r="P3080" s="10"/>
      <c r="Q3080" s="22"/>
    </row>
    <row r="3081" customFormat="false" ht="15.75" hidden="false" customHeight="false" outlineLevel="0" collapsed="false">
      <c r="A3081" s="20" t="n">
        <v>46119</v>
      </c>
      <c r="B3081" s="15" t="s">
        <v>486</v>
      </c>
      <c r="C3081" s="15" t="s">
        <v>11</v>
      </c>
      <c r="D3081" s="15" t="s">
        <v>572</v>
      </c>
      <c r="E3081" s="15" t="n">
        <v>1</v>
      </c>
      <c r="H3081" s="10"/>
      <c r="I3081" s="21"/>
      <c r="M3081" s="10"/>
      <c r="N3081" s="10"/>
      <c r="P3081" s="10"/>
      <c r="Q3081" s="22"/>
    </row>
    <row r="3082" customFormat="false" ht="15.75" hidden="false" customHeight="false" outlineLevel="0" collapsed="false">
      <c r="A3082" s="20" t="n">
        <v>46119</v>
      </c>
      <c r="B3082" s="15" t="s">
        <v>486</v>
      </c>
      <c r="C3082" s="15" t="s">
        <v>555</v>
      </c>
      <c r="D3082" s="15" t="s">
        <v>556</v>
      </c>
      <c r="E3082" s="15" t="n">
        <v>1</v>
      </c>
      <c r="H3082" s="10"/>
      <c r="I3082" s="21"/>
      <c r="M3082" s="10"/>
      <c r="N3082" s="10"/>
      <c r="P3082" s="10"/>
      <c r="Q3082" s="22"/>
    </row>
    <row r="3083" customFormat="false" ht="15.75" hidden="false" customHeight="false" outlineLevel="0" collapsed="false">
      <c r="A3083" s="20" t="n">
        <v>46119</v>
      </c>
      <c r="B3083" s="15" t="s">
        <v>486</v>
      </c>
      <c r="C3083" s="15" t="s">
        <v>543</v>
      </c>
      <c r="D3083" s="15" t="s">
        <v>544</v>
      </c>
      <c r="E3083" s="15" t="n">
        <v>2</v>
      </c>
      <c r="H3083" s="10"/>
      <c r="I3083" s="21"/>
      <c r="M3083" s="10"/>
      <c r="N3083" s="10"/>
      <c r="P3083" s="10"/>
      <c r="Q3083" s="22"/>
    </row>
    <row r="3084" customFormat="false" ht="15.75" hidden="false" customHeight="false" outlineLevel="0" collapsed="false">
      <c r="A3084" s="20" t="n">
        <v>46119</v>
      </c>
      <c r="B3084" s="15" t="s">
        <v>486</v>
      </c>
      <c r="C3084" s="15" t="s">
        <v>545</v>
      </c>
      <c r="D3084" s="15" t="s">
        <v>546</v>
      </c>
      <c r="E3084" s="15" t="n">
        <v>1</v>
      </c>
      <c r="H3084" s="10"/>
      <c r="I3084" s="21"/>
      <c r="M3084" s="10"/>
      <c r="N3084" s="10"/>
      <c r="P3084" s="10"/>
      <c r="Q3084" s="22"/>
    </row>
    <row r="3085" customFormat="false" ht="15.75" hidden="false" customHeight="false" outlineLevel="0" collapsed="false">
      <c r="A3085" s="20" t="n">
        <v>46119</v>
      </c>
      <c r="B3085" s="15" t="s">
        <v>486</v>
      </c>
      <c r="C3085" s="15" t="s">
        <v>77</v>
      </c>
      <c r="D3085" s="15" t="s">
        <v>78</v>
      </c>
      <c r="E3085" s="15" t="n">
        <v>2</v>
      </c>
      <c r="H3085" s="10"/>
      <c r="I3085" s="21"/>
      <c r="M3085" s="10"/>
      <c r="N3085" s="10"/>
      <c r="P3085" s="10"/>
      <c r="Q3085" s="22"/>
    </row>
    <row r="3086" customFormat="false" ht="15.75" hidden="false" customHeight="false" outlineLevel="0" collapsed="false">
      <c r="A3086" s="20" t="n">
        <v>46119</v>
      </c>
      <c r="B3086" s="15" t="s">
        <v>486</v>
      </c>
      <c r="C3086" s="15" t="s">
        <v>33</v>
      </c>
      <c r="D3086" s="15" t="s">
        <v>536</v>
      </c>
      <c r="E3086" s="15" t="n">
        <v>4</v>
      </c>
      <c r="H3086" s="10"/>
      <c r="I3086" s="21"/>
      <c r="M3086" s="10"/>
      <c r="N3086" s="10"/>
      <c r="P3086" s="10"/>
      <c r="Q3086" s="22"/>
    </row>
    <row r="3087" customFormat="false" ht="15.75" hidden="false" customHeight="false" outlineLevel="0" collapsed="false">
      <c r="A3087" s="20" t="n">
        <v>46119</v>
      </c>
      <c r="B3087" s="15" t="s">
        <v>486</v>
      </c>
      <c r="C3087" s="15" t="s">
        <v>578</v>
      </c>
      <c r="D3087" s="15" t="s">
        <v>579</v>
      </c>
      <c r="E3087" s="15" t="n">
        <v>1</v>
      </c>
      <c r="H3087" s="10"/>
      <c r="I3087" s="21"/>
      <c r="M3087" s="10"/>
      <c r="N3087" s="10"/>
      <c r="P3087" s="10"/>
      <c r="Q3087" s="22"/>
    </row>
    <row r="3088" customFormat="false" ht="15.75" hidden="false" customHeight="false" outlineLevel="0" collapsed="false">
      <c r="A3088" s="20" t="n">
        <v>46119</v>
      </c>
      <c r="B3088" s="15" t="s">
        <v>486</v>
      </c>
      <c r="C3088" s="15" t="s">
        <v>59</v>
      </c>
      <c r="D3088" s="15" t="s">
        <v>562</v>
      </c>
      <c r="E3088" s="15" t="n">
        <v>1</v>
      </c>
      <c r="H3088" s="10"/>
      <c r="I3088" s="21"/>
      <c r="M3088" s="10"/>
      <c r="N3088" s="10"/>
      <c r="P3088" s="10"/>
      <c r="Q3088" s="22"/>
    </row>
    <row r="3089" customFormat="false" ht="15.75" hidden="false" customHeight="false" outlineLevel="0" collapsed="false">
      <c r="A3089" s="20" t="n">
        <v>46119</v>
      </c>
      <c r="B3089" s="15" t="s">
        <v>486</v>
      </c>
      <c r="C3089" s="15" t="s">
        <v>79</v>
      </c>
      <c r="D3089" s="15" t="s">
        <v>564</v>
      </c>
      <c r="E3089" s="15" t="n">
        <v>2</v>
      </c>
      <c r="H3089" s="10"/>
      <c r="I3089" s="21"/>
      <c r="M3089" s="10"/>
      <c r="N3089" s="10"/>
      <c r="P3089" s="10"/>
      <c r="Q3089" s="22"/>
    </row>
    <row r="3090" customFormat="false" ht="15.75" hidden="false" customHeight="false" outlineLevel="0" collapsed="false">
      <c r="A3090" s="20" t="n">
        <v>46119</v>
      </c>
      <c r="B3090" s="15" t="s">
        <v>488</v>
      </c>
      <c r="C3090" s="15" t="s">
        <v>69</v>
      </c>
      <c r="D3090" s="15" t="s">
        <v>535</v>
      </c>
      <c r="E3090" s="15" t="n">
        <v>3</v>
      </c>
      <c r="H3090" s="10"/>
      <c r="I3090" s="21"/>
      <c r="M3090" s="10"/>
      <c r="N3090" s="10"/>
      <c r="P3090" s="10"/>
      <c r="Q3090" s="22"/>
    </row>
    <row r="3091" customFormat="false" ht="15.75" hidden="false" customHeight="false" outlineLevel="0" collapsed="false">
      <c r="A3091" s="20" t="n">
        <v>46119</v>
      </c>
      <c r="B3091" s="15" t="s">
        <v>488</v>
      </c>
      <c r="C3091" s="15" t="s">
        <v>555</v>
      </c>
      <c r="D3091" s="15" t="s">
        <v>556</v>
      </c>
      <c r="E3091" s="15" t="n">
        <v>2</v>
      </c>
      <c r="H3091" s="10"/>
      <c r="I3091" s="21"/>
      <c r="M3091" s="10"/>
      <c r="N3091" s="10"/>
      <c r="P3091" s="10"/>
      <c r="Q3091" s="22"/>
    </row>
    <row r="3092" customFormat="false" ht="15.75" hidden="false" customHeight="false" outlineLevel="0" collapsed="false">
      <c r="A3092" s="20" t="n">
        <v>46119</v>
      </c>
      <c r="B3092" s="15" t="s">
        <v>488</v>
      </c>
      <c r="C3092" s="15" t="s">
        <v>565</v>
      </c>
      <c r="D3092" s="15" t="s">
        <v>566</v>
      </c>
      <c r="E3092" s="15" t="n">
        <v>1</v>
      </c>
      <c r="H3092" s="10"/>
      <c r="I3092" s="21"/>
      <c r="M3092" s="10"/>
      <c r="N3092" s="10"/>
      <c r="P3092" s="10"/>
      <c r="Q3092" s="22"/>
    </row>
    <row r="3093" customFormat="false" ht="15.75" hidden="false" customHeight="false" outlineLevel="0" collapsed="false">
      <c r="A3093" s="20" t="n">
        <v>46119</v>
      </c>
      <c r="B3093" s="15" t="s">
        <v>488</v>
      </c>
      <c r="C3093" s="15" t="s">
        <v>545</v>
      </c>
      <c r="D3093" s="15" t="s">
        <v>546</v>
      </c>
      <c r="E3093" s="15" t="n">
        <v>2</v>
      </c>
      <c r="H3093" s="10"/>
      <c r="I3093" s="21"/>
      <c r="M3093" s="10"/>
      <c r="N3093" s="10"/>
      <c r="P3093" s="10"/>
      <c r="Q3093" s="22"/>
    </row>
    <row r="3094" customFormat="false" ht="15.75" hidden="false" customHeight="false" outlineLevel="0" collapsed="false">
      <c r="A3094" s="20" t="n">
        <v>46119</v>
      </c>
      <c r="B3094" s="15" t="s">
        <v>488</v>
      </c>
      <c r="C3094" s="15" t="s">
        <v>578</v>
      </c>
      <c r="D3094" s="15" t="s">
        <v>579</v>
      </c>
      <c r="E3094" s="15" t="n">
        <v>1</v>
      </c>
      <c r="H3094" s="10"/>
      <c r="I3094" s="21"/>
      <c r="M3094" s="10"/>
      <c r="N3094" s="10"/>
      <c r="P3094" s="10"/>
      <c r="Q3094" s="22"/>
    </row>
    <row r="3095" customFormat="false" ht="15.75" hidden="false" customHeight="false" outlineLevel="0" collapsed="false">
      <c r="A3095" s="20" t="n">
        <v>46119</v>
      </c>
      <c r="B3095" s="15" t="s">
        <v>488</v>
      </c>
      <c r="C3095" s="15" t="s">
        <v>570</v>
      </c>
      <c r="D3095" s="15" t="s">
        <v>571</v>
      </c>
      <c r="E3095" s="15" t="n">
        <v>1</v>
      </c>
      <c r="H3095" s="10"/>
      <c r="I3095" s="21"/>
      <c r="M3095" s="10"/>
      <c r="N3095" s="10"/>
      <c r="P3095" s="10"/>
      <c r="Q3095" s="22"/>
    </row>
    <row r="3096" customFormat="false" ht="15.75" hidden="false" customHeight="false" outlineLevel="0" collapsed="false">
      <c r="A3096" s="20" t="n">
        <v>46119</v>
      </c>
      <c r="B3096" s="15" t="s">
        <v>488</v>
      </c>
      <c r="C3096" s="15" t="s">
        <v>11</v>
      </c>
      <c r="D3096" s="15" t="s">
        <v>572</v>
      </c>
      <c r="E3096" s="15" t="n">
        <v>1</v>
      </c>
      <c r="H3096" s="10"/>
      <c r="I3096" s="21"/>
      <c r="M3096" s="10"/>
      <c r="N3096" s="10"/>
      <c r="P3096" s="10"/>
      <c r="Q3096" s="22"/>
    </row>
    <row r="3097" customFormat="false" ht="15.75" hidden="false" customHeight="false" outlineLevel="0" collapsed="false">
      <c r="A3097" s="20" t="n">
        <v>46119</v>
      </c>
      <c r="B3097" s="15" t="s">
        <v>488</v>
      </c>
      <c r="C3097" s="15" t="s">
        <v>543</v>
      </c>
      <c r="D3097" s="15" t="s">
        <v>544</v>
      </c>
      <c r="E3097" s="15" t="n">
        <v>3</v>
      </c>
      <c r="H3097" s="10"/>
      <c r="I3097" s="21"/>
      <c r="M3097" s="10"/>
      <c r="N3097" s="10"/>
      <c r="P3097" s="10"/>
      <c r="Q3097" s="22"/>
    </row>
    <row r="3098" customFormat="false" ht="15.75" hidden="false" customHeight="false" outlineLevel="0" collapsed="false">
      <c r="A3098" s="20" t="n">
        <v>46119</v>
      </c>
      <c r="B3098" s="15" t="s">
        <v>488</v>
      </c>
      <c r="C3098" s="15" t="s">
        <v>65</v>
      </c>
      <c r="D3098" s="15" t="s">
        <v>580</v>
      </c>
      <c r="E3098" s="15" t="n">
        <v>1</v>
      </c>
      <c r="H3098" s="10"/>
      <c r="I3098" s="21"/>
      <c r="M3098" s="10"/>
      <c r="N3098" s="10"/>
      <c r="P3098" s="10"/>
      <c r="Q3098" s="22"/>
    </row>
    <row r="3099" customFormat="false" ht="15.75" hidden="false" customHeight="false" outlineLevel="0" collapsed="false">
      <c r="A3099" s="20" t="n">
        <v>46119</v>
      </c>
      <c r="B3099" s="15" t="s">
        <v>488</v>
      </c>
      <c r="C3099" s="15" t="s">
        <v>91</v>
      </c>
      <c r="D3099" s="15" t="s">
        <v>91</v>
      </c>
      <c r="E3099" s="15" t="n">
        <v>2</v>
      </c>
      <c r="H3099" s="10"/>
      <c r="I3099" s="21"/>
      <c r="M3099" s="10"/>
      <c r="N3099" s="10"/>
      <c r="P3099" s="10"/>
      <c r="Q3099" s="22"/>
    </row>
    <row r="3100" customFormat="false" ht="15.75" hidden="false" customHeight="false" outlineLevel="0" collapsed="false">
      <c r="A3100" s="20" t="n">
        <v>46119</v>
      </c>
      <c r="B3100" s="15" t="s">
        <v>488</v>
      </c>
      <c r="C3100" s="15" t="s">
        <v>33</v>
      </c>
      <c r="D3100" s="15" t="s">
        <v>536</v>
      </c>
      <c r="E3100" s="15" t="n">
        <v>3</v>
      </c>
      <c r="H3100" s="10"/>
      <c r="I3100" s="21"/>
      <c r="M3100" s="10"/>
      <c r="N3100" s="10"/>
      <c r="P3100" s="10"/>
      <c r="Q3100" s="22"/>
    </row>
    <row r="3101" customFormat="false" ht="15.75" hidden="false" customHeight="false" outlineLevel="0" collapsed="false">
      <c r="A3101" s="20" t="n">
        <v>46119</v>
      </c>
      <c r="B3101" s="15" t="s">
        <v>488</v>
      </c>
      <c r="C3101" s="15" t="s">
        <v>75</v>
      </c>
      <c r="D3101" s="15" t="s">
        <v>560</v>
      </c>
      <c r="E3101" s="15" t="n">
        <v>1</v>
      </c>
      <c r="H3101" s="10"/>
      <c r="I3101" s="21"/>
      <c r="M3101" s="10"/>
      <c r="N3101" s="10"/>
      <c r="P3101" s="10"/>
      <c r="Q3101" s="22"/>
    </row>
    <row r="3102" customFormat="false" ht="15.75" hidden="false" customHeight="false" outlineLevel="0" collapsed="false">
      <c r="A3102" s="20" t="n">
        <v>46119</v>
      </c>
      <c r="B3102" s="15" t="s">
        <v>488</v>
      </c>
      <c r="C3102" s="15" t="s">
        <v>79</v>
      </c>
      <c r="D3102" s="15" t="s">
        <v>564</v>
      </c>
      <c r="E3102" s="15" t="n">
        <v>2</v>
      </c>
      <c r="H3102" s="10"/>
      <c r="I3102" s="21"/>
      <c r="M3102" s="10"/>
      <c r="N3102" s="10"/>
      <c r="P3102" s="10"/>
      <c r="Q3102" s="22"/>
    </row>
    <row r="3103" customFormat="false" ht="15.75" hidden="false" customHeight="false" outlineLevel="0" collapsed="false">
      <c r="A3103" s="20" t="n">
        <v>46119</v>
      </c>
      <c r="B3103" s="15" t="s">
        <v>488</v>
      </c>
      <c r="C3103" s="15" t="s">
        <v>81</v>
      </c>
      <c r="D3103" s="15" t="s">
        <v>534</v>
      </c>
      <c r="E3103" s="15" t="n">
        <v>10</v>
      </c>
      <c r="H3103" s="10"/>
      <c r="I3103" s="21"/>
      <c r="M3103" s="10"/>
      <c r="N3103" s="10"/>
      <c r="P3103" s="10"/>
      <c r="Q3103" s="22"/>
    </row>
    <row r="3104" customFormat="false" ht="15.75" hidden="false" customHeight="false" outlineLevel="0" collapsed="false">
      <c r="A3104" s="20" t="n">
        <v>46119</v>
      </c>
      <c r="B3104" s="15" t="s">
        <v>488</v>
      </c>
      <c r="C3104" s="15" t="s">
        <v>77</v>
      </c>
      <c r="D3104" s="15" t="s">
        <v>78</v>
      </c>
      <c r="E3104" s="15" t="n">
        <v>3</v>
      </c>
      <c r="H3104" s="10"/>
      <c r="I3104" s="21"/>
      <c r="M3104" s="10"/>
      <c r="N3104" s="10"/>
      <c r="P3104" s="10"/>
      <c r="Q3104" s="22"/>
    </row>
    <row r="3105" customFormat="false" ht="15.75" hidden="false" customHeight="false" outlineLevel="0" collapsed="false">
      <c r="A3105" s="20" t="n">
        <v>46119</v>
      </c>
      <c r="B3105" s="15" t="s">
        <v>488</v>
      </c>
      <c r="C3105" s="15" t="s">
        <v>25</v>
      </c>
      <c r="D3105" s="15" t="s">
        <v>26</v>
      </c>
      <c r="E3105" s="15" t="n">
        <v>1</v>
      </c>
      <c r="H3105" s="10"/>
      <c r="I3105" s="21"/>
      <c r="M3105" s="10"/>
      <c r="N3105" s="10"/>
      <c r="P3105" s="10"/>
      <c r="Q3105" s="22"/>
    </row>
    <row r="3106" customFormat="false" ht="15.75" hidden="false" customHeight="false" outlineLevel="0" collapsed="false">
      <c r="A3106" s="20" t="n">
        <v>46119</v>
      </c>
      <c r="B3106" s="15" t="s">
        <v>496</v>
      </c>
      <c r="C3106" s="15" t="s">
        <v>81</v>
      </c>
      <c r="D3106" s="15" t="s">
        <v>534</v>
      </c>
      <c r="E3106" s="15" t="n">
        <v>7</v>
      </c>
      <c r="H3106" s="10"/>
      <c r="I3106" s="21"/>
      <c r="M3106" s="10"/>
      <c r="N3106" s="10"/>
      <c r="P3106" s="10"/>
      <c r="Q3106" s="22"/>
    </row>
    <row r="3107" customFormat="false" ht="15.75" hidden="false" customHeight="false" outlineLevel="0" collapsed="false">
      <c r="A3107" s="20" t="n">
        <v>46119</v>
      </c>
      <c r="B3107" s="15" t="s">
        <v>496</v>
      </c>
      <c r="C3107" s="15" t="s">
        <v>47</v>
      </c>
      <c r="D3107" s="15" t="s">
        <v>549</v>
      </c>
      <c r="E3107" s="15" t="n">
        <v>4</v>
      </c>
      <c r="H3107" s="10"/>
      <c r="I3107" s="21"/>
      <c r="M3107" s="10"/>
      <c r="N3107" s="10"/>
      <c r="P3107" s="10"/>
      <c r="Q3107" s="22"/>
    </row>
    <row r="3108" customFormat="false" ht="15.75" hidden="false" customHeight="false" outlineLevel="0" collapsed="false">
      <c r="A3108" s="20" t="n">
        <v>46119</v>
      </c>
      <c r="B3108" s="15" t="s">
        <v>496</v>
      </c>
      <c r="C3108" s="15" t="s">
        <v>55</v>
      </c>
      <c r="D3108" s="15" t="s">
        <v>539</v>
      </c>
      <c r="E3108" s="15" t="n">
        <v>2</v>
      </c>
      <c r="H3108" s="10"/>
      <c r="I3108" s="21"/>
      <c r="M3108" s="10"/>
      <c r="N3108" s="10"/>
      <c r="P3108" s="10"/>
      <c r="Q3108" s="22"/>
    </row>
    <row r="3109" customFormat="false" ht="15.75" hidden="false" customHeight="false" outlineLevel="0" collapsed="false">
      <c r="A3109" s="20" t="n">
        <v>46119</v>
      </c>
      <c r="B3109" s="15" t="s">
        <v>496</v>
      </c>
      <c r="C3109" s="15" t="s">
        <v>567</v>
      </c>
      <c r="D3109" s="15" t="s">
        <v>568</v>
      </c>
      <c r="E3109" s="15" t="n">
        <v>3</v>
      </c>
      <c r="H3109" s="10"/>
      <c r="I3109" s="21"/>
      <c r="M3109" s="10"/>
      <c r="N3109" s="10"/>
      <c r="P3109" s="10"/>
      <c r="Q3109" s="22"/>
    </row>
    <row r="3110" customFormat="false" ht="15.75" hidden="false" customHeight="false" outlineLevel="0" collapsed="false">
      <c r="A3110" s="20" t="n">
        <v>46119</v>
      </c>
      <c r="B3110" s="15" t="s">
        <v>496</v>
      </c>
      <c r="C3110" s="15" t="s">
        <v>545</v>
      </c>
      <c r="D3110" s="15" t="s">
        <v>546</v>
      </c>
      <c r="E3110" s="15" t="n">
        <v>3</v>
      </c>
      <c r="H3110" s="10"/>
      <c r="I3110" s="21"/>
      <c r="M3110" s="10"/>
      <c r="N3110" s="10"/>
      <c r="P3110" s="10"/>
      <c r="Q3110" s="22"/>
    </row>
    <row r="3111" customFormat="false" ht="15.75" hidden="false" customHeight="false" outlineLevel="0" collapsed="false">
      <c r="A3111" s="20" t="n">
        <v>46119</v>
      </c>
      <c r="B3111" s="15" t="s">
        <v>496</v>
      </c>
      <c r="C3111" s="15" t="s">
        <v>547</v>
      </c>
      <c r="D3111" s="15" t="s">
        <v>548</v>
      </c>
      <c r="E3111" s="15" t="n">
        <v>1</v>
      </c>
      <c r="H3111" s="10"/>
      <c r="I3111" s="21"/>
      <c r="M3111" s="10"/>
      <c r="N3111" s="10"/>
      <c r="P3111" s="10"/>
      <c r="Q3111" s="22"/>
    </row>
    <row r="3112" customFormat="false" ht="15.75" hidden="false" customHeight="false" outlineLevel="0" collapsed="false">
      <c r="A3112" s="20" t="n">
        <v>46119</v>
      </c>
      <c r="B3112" s="15" t="s">
        <v>496</v>
      </c>
      <c r="C3112" s="15" t="s">
        <v>555</v>
      </c>
      <c r="D3112" s="15" t="s">
        <v>556</v>
      </c>
      <c r="E3112" s="15" t="n">
        <v>4</v>
      </c>
      <c r="H3112" s="10"/>
      <c r="I3112" s="21"/>
      <c r="M3112" s="10"/>
      <c r="N3112" s="10"/>
      <c r="P3112" s="10"/>
      <c r="Q3112" s="22"/>
    </row>
    <row r="3113" customFormat="false" ht="15.75" hidden="false" customHeight="false" outlineLevel="0" collapsed="false">
      <c r="A3113" s="20" t="n">
        <v>46119</v>
      </c>
      <c r="B3113" s="15" t="s">
        <v>496</v>
      </c>
      <c r="C3113" s="15" t="s">
        <v>541</v>
      </c>
      <c r="D3113" s="15" t="s">
        <v>542</v>
      </c>
      <c r="E3113" s="15" t="n">
        <v>4</v>
      </c>
      <c r="H3113" s="10"/>
      <c r="I3113" s="21"/>
      <c r="M3113" s="10"/>
      <c r="N3113" s="10"/>
      <c r="P3113" s="10"/>
      <c r="Q3113" s="22"/>
    </row>
    <row r="3114" customFormat="false" ht="15.75" hidden="false" customHeight="false" outlineLevel="0" collapsed="false">
      <c r="A3114" s="20" t="n">
        <v>46119</v>
      </c>
      <c r="B3114" s="15" t="s">
        <v>496</v>
      </c>
      <c r="C3114" s="15" t="s">
        <v>45</v>
      </c>
      <c r="D3114" s="15" t="s">
        <v>540</v>
      </c>
      <c r="E3114" s="15" t="n">
        <v>1</v>
      </c>
      <c r="H3114" s="10"/>
      <c r="I3114" s="21"/>
      <c r="M3114" s="10"/>
      <c r="N3114" s="10"/>
      <c r="P3114" s="10"/>
      <c r="Q3114" s="22"/>
    </row>
    <row r="3115" customFormat="false" ht="15.75" hidden="false" customHeight="false" outlineLevel="0" collapsed="false">
      <c r="A3115" s="20" t="n">
        <v>46119</v>
      </c>
      <c r="B3115" s="15" t="s">
        <v>496</v>
      </c>
      <c r="C3115" s="15" t="s">
        <v>37</v>
      </c>
      <c r="D3115" s="15" t="s">
        <v>561</v>
      </c>
      <c r="E3115" s="15" t="n">
        <v>1</v>
      </c>
      <c r="H3115" s="10"/>
      <c r="I3115" s="21"/>
      <c r="M3115" s="10"/>
      <c r="N3115" s="10"/>
      <c r="P3115" s="10"/>
      <c r="Q3115" s="22"/>
    </row>
    <row r="3116" customFormat="false" ht="15.75" hidden="false" customHeight="false" outlineLevel="0" collapsed="false">
      <c r="A3116" s="20" t="n">
        <v>46119</v>
      </c>
      <c r="B3116" s="15" t="s">
        <v>496</v>
      </c>
      <c r="C3116" s="15" t="s">
        <v>543</v>
      </c>
      <c r="D3116" s="15" t="s">
        <v>544</v>
      </c>
      <c r="E3116" s="15" t="n">
        <v>4</v>
      </c>
      <c r="H3116" s="10"/>
      <c r="I3116" s="21"/>
      <c r="M3116" s="10"/>
      <c r="N3116" s="10"/>
      <c r="P3116" s="10"/>
      <c r="Q3116" s="22"/>
    </row>
    <row r="3117" customFormat="false" ht="15.75" hidden="false" customHeight="false" outlineLevel="0" collapsed="false">
      <c r="A3117" s="20" t="n">
        <v>46119</v>
      </c>
      <c r="B3117" s="15" t="s">
        <v>496</v>
      </c>
      <c r="C3117" s="15" t="s">
        <v>69</v>
      </c>
      <c r="D3117" s="15" t="s">
        <v>535</v>
      </c>
      <c r="E3117" s="15" t="n">
        <v>2</v>
      </c>
      <c r="H3117" s="10"/>
      <c r="I3117" s="21"/>
      <c r="M3117" s="10"/>
      <c r="N3117" s="10"/>
      <c r="P3117" s="10"/>
      <c r="Q3117" s="22"/>
    </row>
    <row r="3118" customFormat="false" ht="15.75" hidden="false" customHeight="false" outlineLevel="0" collapsed="false">
      <c r="A3118" s="20" t="n">
        <v>46119</v>
      </c>
      <c r="B3118" s="15" t="s">
        <v>496</v>
      </c>
      <c r="C3118" s="15" t="s">
        <v>77</v>
      </c>
      <c r="D3118" s="15" t="s">
        <v>78</v>
      </c>
      <c r="E3118" s="15" t="n">
        <v>2</v>
      </c>
      <c r="H3118" s="10"/>
      <c r="I3118" s="21"/>
      <c r="M3118" s="10"/>
      <c r="N3118" s="10"/>
      <c r="P3118" s="10"/>
      <c r="Q3118" s="22"/>
    </row>
    <row r="3119" customFormat="false" ht="15.75" hidden="false" customHeight="false" outlineLevel="0" collapsed="false">
      <c r="A3119" s="20" t="n">
        <v>46119</v>
      </c>
      <c r="B3119" s="15" t="s">
        <v>496</v>
      </c>
      <c r="C3119" s="15" t="s">
        <v>59</v>
      </c>
      <c r="D3119" s="15" t="s">
        <v>562</v>
      </c>
      <c r="E3119" s="15" t="n">
        <v>2</v>
      </c>
      <c r="H3119" s="10"/>
      <c r="I3119" s="21"/>
      <c r="M3119" s="10"/>
      <c r="N3119" s="10"/>
      <c r="P3119" s="10"/>
      <c r="Q3119" s="22"/>
    </row>
    <row r="3120" customFormat="false" ht="15.75" hidden="false" customHeight="false" outlineLevel="0" collapsed="false">
      <c r="A3120" s="20" t="n">
        <v>46119</v>
      </c>
      <c r="B3120" s="15" t="s">
        <v>496</v>
      </c>
      <c r="C3120" s="15" t="s">
        <v>33</v>
      </c>
      <c r="D3120" s="15" t="s">
        <v>536</v>
      </c>
      <c r="E3120" s="15" t="n">
        <v>2</v>
      </c>
      <c r="H3120" s="10"/>
      <c r="I3120" s="21"/>
      <c r="M3120" s="10"/>
      <c r="N3120" s="10"/>
      <c r="P3120" s="10"/>
      <c r="Q3120" s="22"/>
    </row>
    <row r="3121" customFormat="false" ht="15.75" hidden="false" customHeight="false" outlineLevel="0" collapsed="false">
      <c r="A3121" s="20" t="n">
        <v>46119</v>
      </c>
      <c r="B3121" s="15" t="s">
        <v>496</v>
      </c>
      <c r="C3121" s="15" t="s">
        <v>79</v>
      </c>
      <c r="D3121" s="15" t="s">
        <v>564</v>
      </c>
      <c r="E3121" s="15" t="n">
        <v>1</v>
      </c>
      <c r="H3121" s="10"/>
      <c r="I3121" s="21"/>
      <c r="M3121" s="10"/>
      <c r="N3121" s="10"/>
      <c r="P3121" s="10"/>
      <c r="Q3121" s="22"/>
    </row>
    <row r="3122" customFormat="false" ht="15.75" hidden="false" customHeight="false" outlineLevel="0" collapsed="false">
      <c r="A3122" s="20" t="n">
        <v>46119</v>
      </c>
      <c r="B3122" s="15" t="s">
        <v>496</v>
      </c>
      <c r="C3122" s="15" t="s">
        <v>65</v>
      </c>
      <c r="D3122" s="15" t="s">
        <v>580</v>
      </c>
      <c r="E3122" s="15" t="n">
        <v>1</v>
      </c>
      <c r="H3122" s="10"/>
      <c r="I3122" s="21"/>
      <c r="M3122" s="10"/>
      <c r="N3122" s="10"/>
      <c r="P3122" s="10"/>
      <c r="Q3122" s="22"/>
    </row>
    <row r="3123" customFormat="false" ht="15.75" hidden="false" customHeight="false" outlineLevel="0" collapsed="false">
      <c r="A3123" s="20" t="n">
        <v>46119</v>
      </c>
      <c r="B3123" s="15" t="s">
        <v>504</v>
      </c>
      <c r="C3123" s="15" t="s">
        <v>47</v>
      </c>
      <c r="D3123" s="15" t="s">
        <v>549</v>
      </c>
      <c r="E3123" s="15" t="n">
        <v>3</v>
      </c>
      <c r="H3123" s="10"/>
      <c r="I3123" s="21"/>
      <c r="M3123" s="10"/>
      <c r="N3123" s="10"/>
      <c r="P3123" s="10"/>
      <c r="Q3123" s="22"/>
    </row>
    <row r="3124" customFormat="false" ht="15.75" hidden="false" customHeight="false" outlineLevel="0" collapsed="false">
      <c r="A3124" s="20" t="n">
        <v>46119</v>
      </c>
      <c r="B3124" s="15" t="s">
        <v>504</v>
      </c>
      <c r="C3124" s="15" t="s">
        <v>55</v>
      </c>
      <c r="D3124" s="15" t="s">
        <v>539</v>
      </c>
      <c r="E3124" s="15" t="n">
        <v>6</v>
      </c>
      <c r="H3124" s="10"/>
      <c r="I3124" s="21"/>
      <c r="M3124" s="10"/>
      <c r="N3124" s="10"/>
      <c r="P3124" s="10"/>
      <c r="Q3124" s="22"/>
    </row>
    <row r="3125" customFormat="false" ht="15.75" hidden="false" customHeight="false" outlineLevel="0" collapsed="false">
      <c r="A3125" s="20" t="n">
        <v>46119</v>
      </c>
      <c r="B3125" s="15" t="s">
        <v>504</v>
      </c>
      <c r="C3125" s="15" t="s">
        <v>81</v>
      </c>
      <c r="D3125" s="15" t="s">
        <v>534</v>
      </c>
      <c r="E3125" s="15" t="n">
        <v>9</v>
      </c>
      <c r="H3125" s="10"/>
      <c r="I3125" s="21"/>
      <c r="M3125" s="10"/>
      <c r="N3125" s="10"/>
      <c r="P3125" s="10"/>
      <c r="Q3125" s="22"/>
    </row>
    <row r="3126" customFormat="false" ht="15.75" hidden="false" customHeight="false" outlineLevel="0" collapsed="false">
      <c r="A3126" s="20" t="n">
        <v>46119</v>
      </c>
      <c r="B3126" s="15" t="s">
        <v>504</v>
      </c>
      <c r="C3126" s="15" t="s">
        <v>39</v>
      </c>
      <c r="D3126" s="15" t="s">
        <v>550</v>
      </c>
      <c r="E3126" s="15" t="n">
        <v>1</v>
      </c>
      <c r="H3126" s="10"/>
      <c r="I3126" s="21"/>
      <c r="M3126" s="10"/>
      <c r="N3126" s="10"/>
      <c r="P3126" s="10"/>
      <c r="Q3126" s="22"/>
    </row>
    <row r="3127" customFormat="false" ht="15.75" hidden="false" customHeight="false" outlineLevel="0" collapsed="false">
      <c r="A3127" s="20" t="n">
        <v>46119</v>
      </c>
      <c r="B3127" s="15" t="s">
        <v>504</v>
      </c>
      <c r="C3127" s="15" t="s">
        <v>63</v>
      </c>
      <c r="D3127" s="15" t="s">
        <v>551</v>
      </c>
      <c r="E3127" s="15" t="n">
        <v>1</v>
      </c>
      <c r="H3127" s="10"/>
      <c r="I3127" s="21"/>
      <c r="M3127" s="10"/>
      <c r="N3127" s="10"/>
      <c r="P3127" s="10"/>
      <c r="Q3127" s="22"/>
    </row>
    <row r="3128" customFormat="false" ht="15.75" hidden="false" customHeight="false" outlineLevel="0" collapsed="false">
      <c r="A3128" s="20" t="n">
        <v>46119</v>
      </c>
      <c r="B3128" s="15" t="s">
        <v>504</v>
      </c>
      <c r="C3128" s="15" t="s">
        <v>17</v>
      </c>
      <c r="D3128" s="15" t="s">
        <v>554</v>
      </c>
      <c r="E3128" s="15" t="n">
        <v>1</v>
      </c>
      <c r="H3128" s="10"/>
      <c r="I3128" s="21"/>
      <c r="M3128" s="10"/>
      <c r="N3128" s="10"/>
      <c r="P3128" s="10"/>
      <c r="Q3128" s="22"/>
    </row>
    <row r="3129" customFormat="false" ht="15.75" hidden="false" customHeight="false" outlineLevel="0" collapsed="false">
      <c r="A3129" s="20" t="n">
        <v>46119</v>
      </c>
      <c r="B3129" s="15" t="s">
        <v>505</v>
      </c>
      <c r="C3129" s="15" t="s">
        <v>55</v>
      </c>
      <c r="D3129" s="15" t="s">
        <v>539</v>
      </c>
      <c r="E3129" s="15" t="n">
        <v>6</v>
      </c>
      <c r="H3129" s="10"/>
      <c r="I3129" s="21"/>
      <c r="M3129" s="10"/>
      <c r="N3129" s="10"/>
      <c r="P3129" s="10"/>
      <c r="Q3129" s="22"/>
    </row>
    <row r="3130" customFormat="false" ht="15.75" hidden="false" customHeight="false" outlineLevel="0" collapsed="false">
      <c r="A3130" s="20" t="n">
        <v>46119</v>
      </c>
      <c r="B3130" s="15" t="s">
        <v>505</v>
      </c>
      <c r="C3130" s="15" t="s">
        <v>39</v>
      </c>
      <c r="D3130" s="15" t="s">
        <v>550</v>
      </c>
      <c r="E3130" s="15" t="n">
        <v>1</v>
      </c>
      <c r="H3130" s="10"/>
      <c r="I3130" s="21"/>
      <c r="M3130" s="10"/>
      <c r="N3130" s="10"/>
      <c r="P3130" s="10"/>
      <c r="Q3130" s="22"/>
    </row>
    <row r="3131" customFormat="false" ht="15.75" hidden="false" customHeight="false" outlineLevel="0" collapsed="false">
      <c r="A3131" s="20" t="n">
        <v>46119</v>
      </c>
      <c r="B3131" s="15" t="s">
        <v>505</v>
      </c>
      <c r="C3131" s="15" t="s">
        <v>81</v>
      </c>
      <c r="D3131" s="15" t="s">
        <v>534</v>
      </c>
      <c r="E3131" s="15" t="n">
        <v>9</v>
      </c>
      <c r="H3131" s="10"/>
      <c r="I3131" s="21"/>
      <c r="M3131" s="10"/>
      <c r="N3131" s="10"/>
      <c r="P3131" s="10"/>
      <c r="Q3131" s="22"/>
    </row>
    <row r="3132" customFormat="false" ht="15.75" hidden="false" customHeight="false" outlineLevel="0" collapsed="false">
      <c r="A3132" s="20" t="n">
        <v>46119</v>
      </c>
      <c r="B3132" s="15" t="s">
        <v>505</v>
      </c>
      <c r="C3132" s="15" t="s">
        <v>47</v>
      </c>
      <c r="D3132" s="15" t="s">
        <v>549</v>
      </c>
      <c r="E3132" s="15" t="n">
        <v>3</v>
      </c>
      <c r="H3132" s="10"/>
      <c r="I3132" s="21"/>
      <c r="M3132" s="10"/>
      <c r="N3132" s="10"/>
      <c r="P3132" s="10"/>
      <c r="Q3132" s="22"/>
    </row>
    <row r="3133" customFormat="false" ht="15.75" hidden="false" customHeight="false" outlineLevel="0" collapsed="false">
      <c r="A3133" s="20" t="n">
        <v>46119</v>
      </c>
      <c r="B3133" s="15" t="s">
        <v>505</v>
      </c>
      <c r="C3133" s="15" t="s">
        <v>63</v>
      </c>
      <c r="D3133" s="15" t="s">
        <v>551</v>
      </c>
      <c r="E3133" s="15" t="n">
        <v>1</v>
      </c>
      <c r="H3133" s="10"/>
      <c r="I3133" s="21"/>
      <c r="M3133" s="10"/>
      <c r="N3133" s="10"/>
      <c r="P3133" s="10"/>
      <c r="Q3133" s="22"/>
    </row>
    <row r="3134" customFormat="false" ht="15.75" hidden="false" customHeight="false" outlineLevel="0" collapsed="false">
      <c r="A3134" s="20" t="n">
        <v>46119</v>
      </c>
      <c r="B3134" s="15" t="s">
        <v>505</v>
      </c>
      <c r="C3134" s="15" t="s">
        <v>17</v>
      </c>
      <c r="D3134" s="15" t="s">
        <v>554</v>
      </c>
      <c r="E3134" s="15" t="n">
        <v>1</v>
      </c>
      <c r="H3134" s="10"/>
      <c r="I3134" s="21"/>
      <c r="M3134" s="10"/>
      <c r="N3134" s="10"/>
      <c r="P3134" s="10"/>
      <c r="Q3134" s="22"/>
    </row>
    <row r="3135" customFormat="false" ht="15.75" hidden="false" customHeight="false" outlineLevel="0" collapsed="false">
      <c r="A3135" s="20" t="n">
        <v>46119</v>
      </c>
      <c r="B3135" s="15" t="s">
        <v>508</v>
      </c>
      <c r="C3135" s="15" t="s">
        <v>55</v>
      </c>
      <c r="D3135" s="15" t="s">
        <v>539</v>
      </c>
      <c r="E3135" s="15" t="n">
        <v>5</v>
      </c>
      <c r="H3135" s="10"/>
      <c r="I3135" s="21"/>
      <c r="M3135" s="10"/>
      <c r="N3135" s="10"/>
      <c r="P3135" s="10"/>
      <c r="Q3135" s="22"/>
    </row>
    <row r="3136" customFormat="false" ht="15.75" hidden="false" customHeight="false" outlineLevel="0" collapsed="false">
      <c r="A3136" s="20" t="n">
        <v>46119</v>
      </c>
      <c r="B3136" s="15" t="s">
        <v>508</v>
      </c>
      <c r="C3136" s="15" t="s">
        <v>81</v>
      </c>
      <c r="D3136" s="15" t="s">
        <v>534</v>
      </c>
      <c r="E3136" s="15" t="n">
        <v>9</v>
      </c>
      <c r="H3136" s="10"/>
      <c r="I3136" s="21"/>
      <c r="M3136" s="10"/>
      <c r="N3136" s="10"/>
      <c r="P3136" s="10"/>
      <c r="Q3136" s="22"/>
    </row>
    <row r="3137" customFormat="false" ht="15.75" hidden="false" customHeight="false" outlineLevel="0" collapsed="false">
      <c r="A3137" s="20" t="n">
        <v>46119</v>
      </c>
      <c r="B3137" s="15" t="s">
        <v>508</v>
      </c>
      <c r="C3137" s="15" t="s">
        <v>39</v>
      </c>
      <c r="D3137" s="15" t="s">
        <v>550</v>
      </c>
      <c r="E3137" s="15" t="n">
        <v>2</v>
      </c>
      <c r="H3137" s="10"/>
      <c r="I3137" s="21"/>
      <c r="M3137" s="10"/>
      <c r="N3137" s="10"/>
      <c r="P3137" s="10"/>
      <c r="Q3137" s="22"/>
    </row>
    <row r="3138" customFormat="false" ht="15.75" hidden="false" customHeight="false" outlineLevel="0" collapsed="false">
      <c r="A3138" s="20" t="n">
        <v>46119</v>
      </c>
      <c r="B3138" s="15" t="s">
        <v>508</v>
      </c>
      <c r="C3138" s="15" t="s">
        <v>47</v>
      </c>
      <c r="D3138" s="15" t="s">
        <v>549</v>
      </c>
      <c r="E3138" s="15" t="n">
        <v>2</v>
      </c>
      <c r="H3138" s="10"/>
      <c r="I3138" s="21"/>
      <c r="M3138" s="10"/>
      <c r="N3138" s="10"/>
      <c r="P3138" s="10"/>
      <c r="Q3138" s="22"/>
    </row>
    <row r="3139" customFormat="false" ht="15.75" hidden="false" customHeight="false" outlineLevel="0" collapsed="false">
      <c r="A3139" s="20" t="n">
        <v>46119</v>
      </c>
      <c r="B3139" s="15" t="s">
        <v>508</v>
      </c>
      <c r="C3139" s="15" t="s">
        <v>63</v>
      </c>
      <c r="D3139" s="15" t="s">
        <v>551</v>
      </c>
      <c r="E3139" s="15" t="n">
        <v>1</v>
      </c>
      <c r="H3139" s="10"/>
      <c r="I3139" s="21"/>
      <c r="M3139" s="10"/>
      <c r="N3139" s="10"/>
      <c r="P3139" s="10"/>
      <c r="Q3139" s="22"/>
    </row>
    <row r="3140" customFormat="false" ht="15.75" hidden="false" customHeight="false" outlineLevel="0" collapsed="false">
      <c r="A3140" s="20" t="n">
        <v>46119</v>
      </c>
      <c r="B3140" s="15" t="s">
        <v>515</v>
      </c>
      <c r="C3140" s="15" t="s">
        <v>69</v>
      </c>
      <c r="D3140" s="15" t="s">
        <v>535</v>
      </c>
      <c r="E3140" s="15" t="n">
        <v>6</v>
      </c>
      <c r="H3140" s="10"/>
      <c r="I3140" s="21"/>
      <c r="M3140" s="10"/>
      <c r="N3140" s="10"/>
      <c r="P3140" s="10"/>
      <c r="Q3140" s="22"/>
    </row>
    <row r="3141" customFormat="false" ht="15.75" hidden="false" customHeight="false" outlineLevel="0" collapsed="false">
      <c r="A3141" s="20" t="n">
        <v>46119</v>
      </c>
      <c r="B3141" s="15" t="s">
        <v>515</v>
      </c>
      <c r="C3141" s="15" t="s">
        <v>33</v>
      </c>
      <c r="D3141" s="15" t="s">
        <v>536</v>
      </c>
      <c r="E3141" s="15" t="n">
        <v>6</v>
      </c>
      <c r="H3141" s="10"/>
      <c r="I3141" s="21"/>
      <c r="M3141" s="10"/>
      <c r="N3141" s="10"/>
      <c r="P3141" s="10"/>
      <c r="Q3141" s="22"/>
    </row>
    <row r="3142" customFormat="false" ht="15.75" hidden="false" customHeight="false" outlineLevel="0" collapsed="false">
      <c r="A3142" s="20" t="n">
        <v>46119</v>
      </c>
      <c r="B3142" s="15" t="s">
        <v>515</v>
      </c>
      <c r="C3142" s="15" t="s">
        <v>55</v>
      </c>
      <c r="D3142" s="15" t="s">
        <v>539</v>
      </c>
      <c r="E3142" s="15" t="n">
        <v>4</v>
      </c>
      <c r="H3142" s="10"/>
      <c r="I3142" s="21"/>
      <c r="M3142" s="10"/>
      <c r="N3142" s="10"/>
      <c r="P3142" s="10"/>
      <c r="Q3142" s="22"/>
    </row>
    <row r="3143" customFormat="false" ht="15.75" hidden="false" customHeight="false" outlineLevel="0" collapsed="false">
      <c r="A3143" s="20" t="n">
        <v>46119</v>
      </c>
      <c r="B3143" s="15" t="s">
        <v>515</v>
      </c>
      <c r="C3143" s="15" t="s">
        <v>27</v>
      </c>
      <c r="D3143" s="15" t="s">
        <v>577</v>
      </c>
      <c r="E3143" s="15" t="n">
        <v>1</v>
      </c>
      <c r="H3143" s="10"/>
      <c r="I3143" s="21"/>
      <c r="M3143" s="10"/>
      <c r="N3143" s="10"/>
      <c r="P3143" s="10"/>
      <c r="Q3143" s="22"/>
    </row>
    <row r="3144" customFormat="false" ht="15.75" hidden="false" customHeight="false" outlineLevel="0" collapsed="false">
      <c r="A3144" s="20" t="n">
        <v>46119</v>
      </c>
      <c r="B3144" s="15" t="s">
        <v>515</v>
      </c>
      <c r="C3144" s="15" t="s">
        <v>51</v>
      </c>
      <c r="D3144" s="15" t="s">
        <v>573</v>
      </c>
      <c r="E3144" s="15" t="n">
        <v>1</v>
      </c>
      <c r="H3144" s="10"/>
      <c r="I3144" s="21"/>
      <c r="M3144" s="10"/>
      <c r="N3144" s="10"/>
      <c r="P3144" s="10"/>
      <c r="Q3144" s="22"/>
    </row>
    <row r="3145" customFormat="false" ht="15.75" hidden="false" customHeight="false" outlineLevel="0" collapsed="false">
      <c r="A3145" s="20" t="n">
        <v>46119</v>
      </c>
      <c r="B3145" s="15" t="s">
        <v>515</v>
      </c>
      <c r="C3145" s="15" t="s">
        <v>37</v>
      </c>
      <c r="D3145" s="15" t="s">
        <v>561</v>
      </c>
      <c r="E3145" s="15" t="n">
        <v>1</v>
      </c>
      <c r="H3145" s="10"/>
      <c r="I3145" s="21"/>
      <c r="M3145" s="10"/>
      <c r="N3145" s="10"/>
      <c r="P3145" s="10"/>
      <c r="Q3145" s="22"/>
    </row>
    <row r="3146" customFormat="false" ht="15.75" hidden="false" customHeight="false" outlineLevel="0" collapsed="false">
      <c r="A3146" s="20" t="n">
        <v>46119</v>
      </c>
      <c r="B3146" s="15" t="s">
        <v>515</v>
      </c>
      <c r="C3146" s="15" t="s">
        <v>81</v>
      </c>
      <c r="D3146" s="15" t="s">
        <v>534</v>
      </c>
      <c r="E3146" s="15" t="n">
        <v>2</v>
      </c>
      <c r="H3146" s="10"/>
      <c r="I3146" s="21"/>
      <c r="M3146" s="10"/>
      <c r="N3146" s="10"/>
      <c r="P3146" s="10"/>
      <c r="Q3146" s="22"/>
    </row>
    <row r="3147" customFormat="false" ht="15.75" hidden="false" customHeight="false" outlineLevel="0" collapsed="false">
      <c r="A3147" s="20" t="n">
        <v>46119</v>
      </c>
      <c r="B3147" s="15" t="s">
        <v>515</v>
      </c>
      <c r="C3147" s="15" t="s">
        <v>77</v>
      </c>
      <c r="D3147" s="15" t="s">
        <v>78</v>
      </c>
      <c r="E3147" s="15" t="n">
        <v>4</v>
      </c>
      <c r="H3147" s="10"/>
      <c r="I3147" s="21"/>
      <c r="M3147" s="10"/>
      <c r="N3147" s="10"/>
      <c r="P3147" s="10"/>
      <c r="Q3147" s="22"/>
    </row>
    <row r="3148" customFormat="false" ht="15.75" hidden="false" customHeight="false" outlineLevel="0" collapsed="false">
      <c r="A3148" s="20" t="n">
        <v>46119</v>
      </c>
      <c r="B3148" s="15" t="s">
        <v>528</v>
      </c>
      <c r="C3148" s="15" t="s">
        <v>81</v>
      </c>
      <c r="D3148" s="15" t="s">
        <v>534</v>
      </c>
      <c r="E3148" s="15" t="n">
        <v>6</v>
      </c>
      <c r="H3148" s="10"/>
      <c r="I3148" s="21"/>
      <c r="M3148" s="10"/>
      <c r="N3148" s="10"/>
      <c r="P3148" s="10"/>
      <c r="Q3148" s="22"/>
    </row>
    <row r="3149" customFormat="false" ht="15.75" hidden="false" customHeight="false" outlineLevel="0" collapsed="false">
      <c r="A3149" s="20" t="n">
        <v>46119</v>
      </c>
      <c r="B3149" s="15" t="s">
        <v>528</v>
      </c>
      <c r="C3149" s="15" t="s">
        <v>69</v>
      </c>
      <c r="D3149" s="15" t="s">
        <v>535</v>
      </c>
      <c r="E3149" s="15" t="n">
        <v>4</v>
      </c>
      <c r="H3149" s="10"/>
      <c r="I3149" s="21"/>
      <c r="M3149" s="10"/>
      <c r="N3149" s="10"/>
      <c r="P3149" s="10"/>
      <c r="Q3149" s="22"/>
    </row>
    <row r="3150" customFormat="false" ht="15.75" hidden="false" customHeight="false" outlineLevel="0" collapsed="false">
      <c r="A3150" s="20" t="n">
        <v>46119</v>
      </c>
      <c r="B3150" s="15" t="s">
        <v>528</v>
      </c>
      <c r="C3150" s="15" t="s">
        <v>33</v>
      </c>
      <c r="D3150" s="15" t="s">
        <v>536</v>
      </c>
      <c r="E3150" s="15" t="n">
        <v>2</v>
      </c>
      <c r="H3150" s="10"/>
      <c r="I3150" s="21"/>
      <c r="M3150" s="10"/>
      <c r="N3150" s="10"/>
      <c r="P3150" s="10"/>
      <c r="Q3150" s="22"/>
    </row>
    <row r="3151" customFormat="false" ht="15.75" hidden="false" customHeight="false" outlineLevel="0" collapsed="false">
      <c r="A3151" s="20" t="n">
        <v>46119</v>
      </c>
      <c r="B3151" s="15" t="s">
        <v>528</v>
      </c>
      <c r="C3151" s="15" t="s">
        <v>77</v>
      </c>
      <c r="D3151" s="15" t="s">
        <v>78</v>
      </c>
      <c r="E3151" s="15" t="n">
        <v>2</v>
      </c>
      <c r="H3151" s="10"/>
      <c r="I3151" s="21"/>
      <c r="M3151" s="10"/>
      <c r="N3151" s="10"/>
      <c r="P3151" s="10"/>
      <c r="Q3151" s="22"/>
    </row>
    <row r="3152" customFormat="false" ht="15.75" hidden="false" customHeight="false" outlineLevel="0" collapsed="false">
      <c r="A3152" s="20" t="n">
        <v>46119</v>
      </c>
      <c r="B3152" s="15" t="s">
        <v>528</v>
      </c>
      <c r="C3152" s="15" t="s">
        <v>547</v>
      </c>
      <c r="D3152" s="15" t="s">
        <v>548</v>
      </c>
      <c r="E3152" s="15" t="n">
        <v>2</v>
      </c>
      <c r="H3152" s="10"/>
      <c r="I3152" s="21"/>
      <c r="M3152" s="10"/>
      <c r="N3152" s="10"/>
      <c r="P3152" s="10"/>
      <c r="Q3152" s="22"/>
    </row>
    <row r="3153" customFormat="false" ht="15.75" hidden="false" customHeight="false" outlineLevel="0" collapsed="false">
      <c r="A3153" s="20" t="n">
        <v>46119</v>
      </c>
      <c r="B3153" s="15" t="s">
        <v>528</v>
      </c>
      <c r="C3153" s="15" t="s">
        <v>545</v>
      </c>
      <c r="D3153" s="15" t="s">
        <v>546</v>
      </c>
      <c r="E3153" s="15" t="n">
        <v>2</v>
      </c>
      <c r="H3153" s="10"/>
      <c r="I3153" s="21"/>
      <c r="M3153" s="10"/>
      <c r="N3153" s="10"/>
      <c r="P3153" s="10"/>
      <c r="Q3153" s="22"/>
    </row>
    <row r="3154" customFormat="false" ht="15.75" hidden="false" customHeight="false" outlineLevel="0" collapsed="false">
      <c r="A3154" s="20" t="n">
        <v>46119</v>
      </c>
      <c r="B3154" s="15" t="s">
        <v>528</v>
      </c>
      <c r="C3154" s="15" t="s">
        <v>543</v>
      </c>
      <c r="D3154" s="15" t="s">
        <v>544</v>
      </c>
      <c r="E3154" s="15" t="n">
        <v>4</v>
      </c>
      <c r="H3154" s="10"/>
      <c r="I3154" s="21"/>
      <c r="M3154" s="10"/>
      <c r="N3154" s="10"/>
      <c r="P3154" s="10"/>
      <c r="Q3154" s="22"/>
    </row>
    <row r="3155" customFormat="false" ht="15.75" hidden="false" customHeight="false" outlineLevel="0" collapsed="false">
      <c r="A3155" s="20" t="n">
        <v>46119</v>
      </c>
      <c r="B3155" s="15" t="s">
        <v>528</v>
      </c>
      <c r="C3155" s="15" t="s">
        <v>541</v>
      </c>
      <c r="D3155" s="15" t="s">
        <v>542</v>
      </c>
      <c r="E3155" s="15" t="n">
        <v>1</v>
      </c>
      <c r="H3155" s="10"/>
      <c r="I3155" s="21"/>
      <c r="M3155" s="10"/>
      <c r="N3155" s="10"/>
      <c r="P3155" s="10"/>
      <c r="Q3155" s="22"/>
    </row>
    <row r="3156" customFormat="false" ht="15.75" hidden="false" customHeight="false" outlineLevel="0" collapsed="false">
      <c r="A3156" s="20" t="n">
        <v>46119</v>
      </c>
      <c r="B3156" s="15" t="s">
        <v>528</v>
      </c>
      <c r="C3156" s="15" t="s">
        <v>45</v>
      </c>
      <c r="D3156" s="15" t="s">
        <v>540</v>
      </c>
      <c r="E3156" s="15" t="n">
        <v>1</v>
      </c>
      <c r="H3156" s="10"/>
      <c r="I3156" s="21"/>
      <c r="M3156" s="10"/>
      <c r="N3156" s="10"/>
      <c r="P3156" s="10"/>
      <c r="Q3156" s="22"/>
    </row>
    <row r="3157" customFormat="false" ht="15.75" hidden="false" customHeight="false" outlineLevel="0" collapsed="false">
      <c r="A3157" s="20" t="n">
        <v>46119</v>
      </c>
      <c r="B3157" s="15" t="s">
        <v>528</v>
      </c>
      <c r="C3157" s="15" t="s">
        <v>55</v>
      </c>
      <c r="D3157" s="15" t="s">
        <v>539</v>
      </c>
      <c r="E3157" s="15" t="n">
        <v>1</v>
      </c>
      <c r="H3157" s="10"/>
      <c r="I3157" s="21"/>
      <c r="M3157" s="10"/>
      <c r="N3157" s="10"/>
      <c r="P3157" s="10"/>
      <c r="Q3157" s="22"/>
    </row>
    <row r="3158" customFormat="false" ht="15.75" hidden="false" customHeight="false" outlineLevel="0" collapsed="false">
      <c r="A3158" s="20" t="n">
        <v>46119</v>
      </c>
      <c r="B3158" s="15" t="s">
        <v>528</v>
      </c>
      <c r="C3158" s="15" t="s">
        <v>59</v>
      </c>
      <c r="D3158" s="15" t="s">
        <v>562</v>
      </c>
      <c r="E3158" s="15" t="n">
        <v>1</v>
      </c>
      <c r="H3158" s="10"/>
      <c r="I3158" s="21"/>
      <c r="M3158" s="10"/>
      <c r="N3158" s="10"/>
      <c r="P3158" s="10"/>
      <c r="Q3158" s="22"/>
    </row>
    <row r="3159" customFormat="false" ht="15.75" hidden="false" customHeight="false" outlineLevel="0" collapsed="false">
      <c r="A3159" s="20" t="n">
        <v>46119</v>
      </c>
      <c r="B3159" s="15" t="s">
        <v>528</v>
      </c>
      <c r="C3159" s="15" t="s">
        <v>47</v>
      </c>
      <c r="D3159" s="15" t="s">
        <v>549</v>
      </c>
      <c r="E3159" s="15" t="n">
        <v>1</v>
      </c>
      <c r="H3159" s="10"/>
      <c r="I3159" s="21"/>
      <c r="M3159" s="10"/>
      <c r="N3159" s="10"/>
      <c r="P3159" s="10"/>
      <c r="Q3159" s="22"/>
    </row>
    <row r="3160" customFormat="false" ht="15.75" hidden="false" customHeight="false" outlineLevel="0" collapsed="false">
      <c r="A3160" s="20" t="n">
        <v>46119</v>
      </c>
      <c r="B3160" s="15" t="s">
        <v>528</v>
      </c>
      <c r="C3160" s="15" t="s">
        <v>43</v>
      </c>
      <c r="D3160" s="15" t="s">
        <v>538</v>
      </c>
      <c r="E3160" s="15" t="n">
        <v>1</v>
      </c>
      <c r="H3160" s="10"/>
      <c r="I3160" s="21"/>
      <c r="M3160" s="10"/>
      <c r="N3160" s="10"/>
      <c r="P3160" s="10"/>
      <c r="Q3160" s="22"/>
    </row>
    <row r="3161" customFormat="false" ht="15.75" hidden="false" customHeight="false" outlineLevel="0" collapsed="false">
      <c r="A3161" s="20" t="n">
        <v>46119</v>
      </c>
      <c r="B3161" s="15" t="s">
        <v>528</v>
      </c>
      <c r="C3161" s="15" t="s">
        <v>87</v>
      </c>
      <c r="D3161" s="15" t="s">
        <v>563</v>
      </c>
      <c r="E3161" s="15" t="n">
        <v>1</v>
      </c>
      <c r="H3161" s="10"/>
      <c r="I3161" s="21"/>
      <c r="M3161" s="10"/>
      <c r="N3161" s="10"/>
      <c r="P3161" s="10"/>
      <c r="Q3161" s="22"/>
    </row>
    <row r="3162" customFormat="false" ht="15.75" hidden="false" customHeight="false" outlineLevel="0" collapsed="false">
      <c r="A3162" s="20" t="n">
        <v>46120</v>
      </c>
      <c r="B3162" s="15" t="s">
        <v>453</v>
      </c>
      <c r="C3162" s="15" t="s">
        <v>47</v>
      </c>
      <c r="D3162" s="15" t="s">
        <v>549</v>
      </c>
      <c r="E3162" s="15" t="n">
        <v>2</v>
      </c>
      <c r="H3162" s="10"/>
      <c r="I3162" s="21"/>
      <c r="M3162" s="10"/>
      <c r="N3162" s="10"/>
      <c r="P3162" s="10"/>
      <c r="Q3162" s="22"/>
    </row>
    <row r="3163" customFormat="false" ht="15.75" hidden="false" customHeight="false" outlineLevel="0" collapsed="false">
      <c r="A3163" s="20" t="n">
        <v>46120</v>
      </c>
      <c r="B3163" s="15" t="s">
        <v>453</v>
      </c>
      <c r="C3163" s="15" t="s">
        <v>55</v>
      </c>
      <c r="D3163" s="15" t="s">
        <v>539</v>
      </c>
      <c r="E3163" s="15" t="n">
        <v>4</v>
      </c>
      <c r="H3163" s="10"/>
      <c r="I3163" s="21"/>
      <c r="M3163" s="10"/>
      <c r="N3163" s="10"/>
      <c r="P3163" s="10"/>
      <c r="Q3163" s="22"/>
    </row>
    <row r="3164" customFormat="false" ht="15.75" hidden="false" customHeight="false" outlineLevel="0" collapsed="false">
      <c r="A3164" s="20" t="n">
        <v>46120</v>
      </c>
      <c r="B3164" s="15" t="s">
        <v>453</v>
      </c>
      <c r="C3164" s="15" t="s">
        <v>81</v>
      </c>
      <c r="D3164" s="15" t="s">
        <v>534</v>
      </c>
      <c r="E3164" s="15" t="n">
        <v>8</v>
      </c>
      <c r="H3164" s="10"/>
      <c r="I3164" s="21"/>
      <c r="M3164" s="10"/>
      <c r="N3164" s="10"/>
      <c r="P3164" s="10"/>
      <c r="Q3164" s="22"/>
    </row>
    <row r="3165" customFormat="false" ht="15.75" hidden="false" customHeight="false" outlineLevel="0" collapsed="false">
      <c r="A3165" s="20" t="n">
        <v>46120</v>
      </c>
      <c r="B3165" s="15" t="s">
        <v>453</v>
      </c>
      <c r="C3165" s="15" t="s">
        <v>39</v>
      </c>
      <c r="D3165" s="15" t="s">
        <v>550</v>
      </c>
      <c r="E3165" s="15" t="n">
        <v>2</v>
      </c>
      <c r="H3165" s="10"/>
      <c r="I3165" s="21"/>
      <c r="M3165" s="10"/>
      <c r="N3165" s="10"/>
      <c r="P3165" s="10"/>
      <c r="Q3165" s="22"/>
    </row>
    <row r="3166" customFormat="false" ht="15.75" hidden="false" customHeight="false" outlineLevel="0" collapsed="false">
      <c r="A3166" s="20" t="n">
        <v>46120</v>
      </c>
      <c r="B3166" s="15" t="s">
        <v>453</v>
      </c>
      <c r="C3166" s="15" t="s">
        <v>63</v>
      </c>
      <c r="D3166" s="15" t="s">
        <v>551</v>
      </c>
      <c r="E3166" s="15" t="n">
        <v>1</v>
      </c>
      <c r="H3166" s="10"/>
      <c r="I3166" s="21"/>
      <c r="M3166" s="10"/>
      <c r="N3166" s="10"/>
      <c r="P3166" s="10"/>
      <c r="Q3166" s="22"/>
    </row>
    <row r="3167" customFormat="false" ht="15.75" hidden="false" customHeight="false" outlineLevel="0" collapsed="false">
      <c r="A3167" s="20" t="n">
        <v>46120</v>
      </c>
      <c r="B3167" s="15" t="s">
        <v>453</v>
      </c>
      <c r="C3167" s="15" t="s">
        <v>35</v>
      </c>
      <c r="D3167" s="15" t="s">
        <v>552</v>
      </c>
      <c r="E3167" s="15" t="n">
        <v>2</v>
      </c>
      <c r="H3167" s="10"/>
      <c r="I3167" s="21"/>
      <c r="M3167" s="10"/>
      <c r="N3167" s="10"/>
      <c r="P3167" s="10"/>
      <c r="Q3167" s="22"/>
    </row>
    <row r="3168" customFormat="false" ht="15.75" hidden="false" customHeight="false" outlineLevel="0" collapsed="false">
      <c r="A3168" s="20" t="n">
        <v>46120</v>
      </c>
      <c r="B3168" s="15" t="s">
        <v>467</v>
      </c>
      <c r="C3168" s="15" t="s">
        <v>55</v>
      </c>
      <c r="D3168" s="15" t="s">
        <v>539</v>
      </c>
      <c r="E3168" s="15" t="n">
        <v>6</v>
      </c>
      <c r="H3168" s="10"/>
      <c r="I3168" s="21"/>
      <c r="M3168" s="10"/>
      <c r="N3168" s="10"/>
      <c r="P3168" s="10"/>
      <c r="Q3168" s="22"/>
    </row>
    <row r="3169" customFormat="false" ht="15.75" hidden="false" customHeight="false" outlineLevel="0" collapsed="false">
      <c r="A3169" s="20" t="n">
        <v>46120</v>
      </c>
      <c r="B3169" s="15" t="s">
        <v>467</v>
      </c>
      <c r="C3169" s="15" t="s">
        <v>57</v>
      </c>
      <c r="D3169" s="15" t="s">
        <v>553</v>
      </c>
      <c r="E3169" s="15" t="n">
        <v>2</v>
      </c>
      <c r="H3169" s="10"/>
      <c r="I3169" s="21"/>
      <c r="M3169" s="10"/>
      <c r="N3169" s="10"/>
      <c r="P3169" s="10"/>
      <c r="Q3169" s="22"/>
    </row>
    <row r="3170" customFormat="false" ht="15.75" hidden="false" customHeight="false" outlineLevel="0" collapsed="false">
      <c r="A3170" s="20" t="n">
        <v>46120</v>
      </c>
      <c r="B3170" s="15" t="s">
        <v>467</v>
      </c>
      <c r="C3170" s="15" t="s">
        <v>47</v>
      </c>
      <c r="D3170" s="15" t="s">
        <v>549</v>
      </c>
      <c r="E3170" s="15" t="n">
        <v>2</v>
      </c>
      <c r="H3170" s="10"/>
      <c r="I3170" s="21"/>
      <c r="M3170" s="10"/>
      <c r="N3170" s="10"/>
      <c r="P3170" s="10"/>
      <c r="Q3170" s="22"/>
    </row>
    <row r="3171" customFormat="false" ht="15.75" hidden="false" customHeight="false" outlineLevel="0" collapsed="false">
      <c r="A3171" s="20" t="n">
        <v>46120</v>
      </c>
      <c r="B3171" s="15" t="s">
        <v>467</v>
      </c>
      <c r="C3171" s="15" t="s">
        <v>81</v>
      </c>
      <c r="D3171" s="15" t="s">
        <v>534</v>
      </c>
      <c r="E3171" s="15" t="n">
        <v>7</v>
      </c>
      <c r="H3171" s="10"/>
      <c r="I3171" s="21"/>
      <c r="M3171" s="10"/>
      <c r="N3171" s="10"/>
      <c r="P3171" s="10"/>
      <c r="Q3171" s="22"/>
    </row>
    <row r="3172" customFormat="false" ht="15.75" hidden="false" customHeight="false" outlineLevel="0" collapsed="false">
      <c r="A3172" s="20" t="n">
        <v>46120</v>
      </c>
      <c r="B3172" s="15" t="s">
        <v>467</v>
      </c>
      <c r="C3172" s="15" t="s">
        <v>49</v>
      </c>
      <c r="D3172" s="15" t="s">
        <v>537</v>
      </c>
      <c r="E3172" s="15" t="n">
        <v>2</v>
      </c>
      <c r="H3172" s="10"/>
      <c r="I3172" s="21"/>
      <c r="M3172" s="10"/>
      <c r="N3172" s="10"/>
      <c r="P3172" s="10"/>
      <c r="Q3172" s="22"/>
    </row>
    <row r="3173" customFormat="false" ht="15.75" hidden="false" customHeight="false" outlineLevel="0" collapsed="false">
      <c r="A3173" s="20" t="n">
        <v>46120</v>
      </c>
      <c r="B3173" s="15" t="s">
        <v>467</v>
      </c>
      <c r="C3173" s="15" t="s">
        <v>63</v>
      </c>
      <c r="D3173" s="15" t="s">
        <v>551</v>
      </c>
      <c r="E3173" s="15" t="n">
        <v>1</v>
      </c>
      <c r="H3173" s="10"/>
      <c r="I3173" s="21"/>
      <c r="M3173" s="10"/>
      <c r="N3173" s="10"/>
      <c r="P3173" s="10"/>
      <c r="Q3173" s="22"/>
    </row>
    <row r="3174" customFormat="false" ht="15.75" hidden="false" customHeight="false" outlineLevel="0" collapsed="false">
      <c r="A3174" s="20" t="n">
        <v>46120</v>
      </c>
      <c r="B3174" s="15" t="s">
        <v>469</v>
      </c>
      <c r="C3174" s="15" t="s">
        <v>69</v>
      </c>
      <c r="D3174" s="15" t="s">
        <v>535</v>
      </c>
      <c r="E3174" s="15" t="n">
        <v>5</v>
      </c>
      <c r="H3174" s="10"/>
      <c r="I3174" s="21"/>
      <c r="M3174" s="10"/>
      <c r="N3174" s="10"/>
      <c r="P3174" s="10"/>
      <c r="Q3174" s="22"/>
    </row>
    <row r="3175" customFormat="false" ht="15.75" hidden="false" customHeight="false" outlineLevel="0" collapsed="false">
      <c r="A3175" s="20" t="n">
        <v>46120</v>
      </c>
      <c r="B3175" s="15" t="s">
        <v>469</v>
      </c>
      <c r="C3175" s="15" t="s">
        <v>55</v>
      </c>
      <c r="D3175" s="15" t="s">
        <v>539</v>
      </c>
      <c r="E3175" s="15" t="n">
        <v>2</v>
      </c>
      <c r="H3175" s="10"/>
      <c r="I3175" s="21"/>
      <c r="M3175" s="10"/>
      <c r="N3175" s="10"/>
      <c r="P3175" s="10"/>
      <c r="Q3175" s="22"/>
    </row>
    <row r="3176" customFormat="false" ht="15.75" hidden="false" customHeight="false" outlineLevel="0" collapsed="false">
      <c r="A3176" s="20" t="n">
        <v>46120</v>
      </c>
      <c r="B3176" s="15" t="s">
        <v>469</v>
      </c>
      <c r="C3176" s="15" t="s">
        <v>33</v>
      </c>
      <c r="D3176" s="15" t="s">
        <v>536</v>
      </c>
      <c r="E3176" s="15" t="n">
        <v>5</v>
      </c>
      <c r="H3176" s="10"/>
      <c r="I3176" s="21"/>
      <c r="M3176" s="10"/>
      <c r="N3176" s="10"/>
      <c r="P3176" s="10"/>
      <c r="Q3176" s="22"/>
    </row>
    <row r="3177" customFormat="false" ht="15.75" hidden="false" customHeight="false" outlineLevel="0" collapsed="false">
      <c r="A3177" s="20" t="n">
        <v>46120</v>
      </c>
      <c r="B3177" s="15" t="s">
        <v>469</v>
      </c>
      <c r="C3177" s="15" t="s">
        <v>547</v>
      </c>
      <c r="D3177" s="15" t="s">
        <v>548</v>
      </c>
      <c r="E3177" s="15" t="n">
        <v>1</v>
      </c>
      <c r="H3177" s="10"/>
      <c r="I3177" s="21"/>
      <c r="M3177" s="10"/>
      <c r="N3177" s="10"/>
      <c r="P3177" s="10"/>
      <c r="Q3177" s="22"/>
    </row>
    <row r="3178" customFormat="false" ht="15.75" hidden="false" customHeight="false" outlineLevel="0" collapsed="false">
      <c r="A3178" s="20" t="n">
        <v>46120</v>
      </c>
      <c r="B3178" s="15" t="s">
        <v>469</v>
      </c>
      <c r="C3178" s="15" t="s">
        <v>81</v>
      </c>
      <c r="D3178" s="15" t="s">
        <v>534</v>
      </c>
      <c r="E3178" s="15" t="n">
        <v>2</v>
      </c>
      <c r="H3178" s="10"/>
      <c r="I3178" s="21"/>
      <c r="M3178" s="10"/>
      <c r="N3178" s="10"/>
      <c r="P3178" s="10"/>
      <c r="Q3178" s="22"/>
    </row>
    <row r="3179" customFormat="false" ht="15.75" hidden="false" customHeight="false" outlineLevel="0" collapsed="false">
      <c r="A3179" s="20" t="n">
        <v>46120</v>
      </c>
      <c r="B3179" s="15" t="s">
        <v>474</v>
      </c>
      <c r="C3179" s="15" t="s">
        <v>555</v>
      </c>
      <c r="D3179" s="15" t="s">
        <v>556</v>
      </c>
      <c r="E3179" s="15" t="n">
        <v>8</v>
      </c>
      <c r="H3179" s="10"/>
      <c r="I3179" s="21"/>
      <c r="M3179" s="10"/>
      <c r="N3179" s="10"/>
      <c r="P3179" s="10"/>
      <c r="Q3179" s="22"/>
    </row>
    <row r="3180" customFormat="false" ht="15.75" hidden="false" customHeight="false" outlineLevel="0" collapsed="false">
      <c r="A3180" s="20" t="n">
        <v>46120</v>
      </c>
      <c r="B3180" s="15" t="s">
        <v>474</v>
      </c>
      <c r="C3180" s="15" t="s">
        <v>565</v>
      </c>
      <c r="D3180" s="15" t="s">
        <v>566</v>
      </c>
      <c r="E3180" s="15" t="n">
        <v>4</v>
      </c>
      <c r="H3180" s="10"/>
      <c r="I3180" s="21"/>
      <c r="M3180" s="10"/>
      <c r="N3180" s="10"/>
      <c r="P3180" s="10"/>
      <c r="Q3180" s="22"/>
    </row>
    <row r="3181" customFormat="false" ht="15.75" hidden="false" customHeight="false" outlineLevel="0" collapsed="false">
      <c r="A3181" s="20" t="n">
        <v>46120</v>
      </c>
      <c r="B3181" s="15" t="s">
        <v>474</v>
      </c>
      <c r="C3181" s="15" t="s">
        <v>11</v>
      </c>
      <c r="D3181" s="15" t="s">
        <v>572</v>
      </c>
      <c r="E3181" s="15" t="n">
        <v>4</v>
      </c>
      <c r="H3181" s="10"/>
      <c r="I3181" s="21"/>
      <c r="M3181" s="10"/>
      <c r="N3181" s="10"/>
      <c r="P3181" s="10"/>
      <c r="Q3181" s="22"/>
    </row>
    <row r="3182" customFormat="false" ht="15.75" hidden="false" customHeight="false" outlineLevel="0" collapsed="false">
      <c r="A3182" s="20" t="n">
        <v>46120</v>
      </c>
      <c r="B3182" s="15" t="s">
        <v>474</v>
      </c>
      <c r="C3182" s="15" t="s">
        <v>543</v>
      </c>
      <c r="D3182" s="15" t="s">
        <v>544</v>
      </c>
      <c r="E3182" s="15" t="n">
        <v>4</v>
      </c>
      <c r="H3182" s="10"/>
      <c r="I3182" s="21"/>
      <c r="M3182" s="10"/>
      <c r="N3182" s="10"/>
      <c r="P3182" s="10"/>
      <c r="Q3182" s="22"/>
    </row>
    <row r="3183" customFormat="false" ht="15.75" hidden="false" customHeight="false" outlineLevel="0" collapsed="false">
      <c r="A3183" s="20" t="n">
        <v>46120</v>
      </c>
      <c r="B3183" s="15" t="s">
        <v>474</v>
      </c>
      <c r="C3183" s="15" t="s">
        <v>91</v>
      </c>
      <c r="D3183" s="15" t="s">
        <v>91</v>
      </c>
      <c r="E3183" s="15" t="n">
        <v>4</v>
      </c>
      <c r="H3183" s="10"/>
      <c r="I3183" s="21"/>
      <c r="M3183" s="10"/>
      <c r="N3183" s="10"/>
      <c r="P3183" s="10"/>
      <c r="Q3183" s="22"/>
    </row>
    <row r="3184" customFormat="false" ht="15.75" hidden="false" customHeight="false" outlineLevel="0" collapsed="false">
      <c r="A3184" s="20" t="n">
        <v>46120</v>
      </c>
      <c r="B3184" s="15" t="s">
        <v>474</v>
      </c>
      <c r="C3184" s="15" t="s">
        <v>25</v>
      </c>
      <c r="D3184" s="15" t="s">
        <v>26</v>
      </c>
      <c r="E3184" s="15" t="n">
        <v>4</v>
      </c>
      <c r="H3184" s="10"/>
      <c r="I3184" s="21"/>
      <c r="M3184" s="10"/>
      <c r="N3184" s="10"/>
      <c r="P3184" s="10"/>
      <c r="Q3184" s="22"/>
    </row>
    <row r="3185" customFormat="false" ht="15.75" hidden="false" customHeight="false" outlineLevel="0" collapsed="false">
      <c r="A3185" s="20" t="n">
        <v>46120</v>
      </c>
      <c r="B3185" s="15" t="s">
        <v>481</v>
      </c>
      <c r="C3185" s="15" t="s">
        <v>69</v>
      </c>
      <c r="D3185" s="15" t="s">
        <v>535</v>
      </c>
      <c r="E3185" s="15" t="n">
        <v>2</v>
      </c>
      <c r="H3185" s="10"/>
      <c r="I3185" s="21"/>
      <c r="M3185" s="10"/>
      <c r="N3185" s="10"/>
      <c r="P3185" s="10"/>
      <c r="Q3185" s="22"/>
    </row>
    <row r="3186" customFormat="false" ht="15.75" hidden="false" customHeight="false" outlineLevel="0" collapsed="false">
      <c r="A3186" s="20" t="n">
        <v>46120</v>
      </c>
      <c r="B3186" s="15" t="s">
        <v>481</v>
      </c>
      <c r="C3186" s="15" t="s">
        <v>547</v>
      </c>
      <c r="D3186" s="15" t="s">
        <v>548</v>
      </c>
      <c r="E3186" s="15" t="n">
        <v>2</v>
      </c>
      <c r="H3186" s="10"/>
      <c r="I3186" s="21"/>
      <c r="M3186" s="10"/>
      <c r="N3186" s="10"/>
      <c r="P3186" s="10"/>
      <c r="Q3186" s="22"/>
    </row>
    <row r="3187" customFormat="false" ht="15.75" hidden="false" customHeight="false" outlineLevel="0" collapsed="false">
      <c r="A3187" s="20" t="n">
        <v>46120</v>
      </c>
      <c r="B3187" s="15" t="s">
        <v>488</v>
      </c>
      <c r="C3187" s="15" t="s">
        <v>69</v>
      </c>
      <c r="D3187" s="15" t="s">
        <v>535</v>
      </c>
      <c r="E3187" s="15" t="n">
        <v>3</v>
      </c>
      <c r="H3187" s="10"/>
      <c r="I3187" s="21"/>
      <c r="M3187" s="10"/>
      <c r="N3187" s="10"/>
      <c r="P3187" s="10"/>
      <c r="Q3187" s="22"/>
    </row>
    <row r="3188" customFormat="false" ht="15.75" hidden="false" customHeight="false" outlineLevel="0" collapsed="false">
      <c r="A3188" s="20" t="n">
        <v>46120</v>
      </c>
      <c r="B3188" s="15" t="s">
        <v>488</v>
      </c>
      <c r="C3188" s="15" t="s">
        <v>555</v>
      </c>
      <c r="D3188" s="15" t="s">
        <v>556</v>
      </c>
      <c r="E3188" s="15" t="n">
        <v>2</v>
      </c>
      <c r="H3188" s="10"/>
      <c r="I3188" s="21"/>
      <c r="M3188" s="10"/>
      <c r="N3188" s="10"/>
      <c r="P3188" s="10"/>
      <c r="Q3188" s="22"/>
    </row>
    <row r="3189" customFormat="false" ht="15.75" hidden="false" customHeight="false" outlineLevel="0" collapsed="false">
      <c r="A3189" s="20" t="n">
        <v>46120</v>
      </c>
      <c r="B3189" s="15" t="s">
        <v>488</v>
      </c>
      <c r="C3189" s="15" t="s">
        <v>565</v>
      </c>
      <c r="D3189" s="15" t="s">
        <v>566</v>
      </c>
      <c r="E3189" s="15" t="n">
        <v>1</v>
      </c>
      <c r="H3189" s="10"/>
      <c r="I3189" s="21"/>
      <c r="M3189" s="10"/>
      <c r="N3189" s="10"/>
      <c r="P3189" s="10"/>
      <c r="Q3189" s="22"/>
    </row>
    <row r="3190" customFormat="false" ht="15.75" hidden="false" customHeight="false" outlineLevel="0" collapsed="false">
      <c r="A3190" s="20" t="n">
        <v>46120</v>
      </c>
      <c r="B3190" s="15" t="s">
        <v>488</v>
      </c>
      <c r="C3190" s="15" t="s">
        <v>545</v>
      </c>
      <c r="D3190" s="15" t="s">
        <v>546</v>
      </c>
      <c r="E3190" s="15" t="n">
        <v>2</v>
      </c>
      <c r="H3190" s="10"/>
      <c r="I3190" s="21"/>
      <c r="M3190" s="10"/>
      <c r="N3190" s="10"/>
      <c r="P3190" s="10"/>
      <c r="Q3190" s="22"/>
    </row>
    <row r="3191" customFormat="false" ht="15.75" hidden="false" customHeight="false" outlineLevel="0" collapsed="false">
      <c r="A3191" s="20" t="n">
        <v>46120</v>
      </c>
      <c r="B3191" s="15" t="s">
        <v>488</v>
      </c>
      <c r="C3191" s="15" t="s">
        <v>578</v>
      </c>
      <c r="D3191" s="15" t="s">
        <v>579</v>
      </c>
      <c r="E3191" s="15" t="n">
        <v>1</v>
      </c>
      <c r="H3191" s="10"/>
      <c r="I3191" s="21"/>
      <c r="M3191" s="10"/>
      <c r="N3191" s="10"/>
      <c r="P3191" s="10"/>
      <c r="Q3191" s="22"/>
    </row>
    <row r="3192" customFormat="false" ht="15.75" hidden="false" customHeight="false" outlineLevel="0" collapsed="false">
      <c r="A3192" s="20" t="n">
        <v>46120</v>
      </c>
      <c r="B3192" s="15" t="s">
        <v>488</v>
      </c>
      <c r="C3192" s="15" t="s">
        <v>570</v>
      </c>
      <c r="D3192" s="15" t="s">
        <v>571</v>
      </c>
      <c r="E3192" s="15" t="n">
        <v>1</v>
      </c>
      <c r="H3192" s="10"/>
      <c r="I3192" s="21"/>
      <c r="M3192" s="10"/>
      <c r="N3192" s="10"/>
      <c r="P3192" s="10"/>
      <c r="Q3192" s="22"/>
    </row>
    <row r="3193" customFormat="false" ht="15.75" hidden="false" customHeight="false" outlineLevel="0" collapsed="false">
      <c r="A3193" s="20" t="n">
        <v>46120</v>
      </c>
      <c r="B3193" s="15" t="s">
        <v>488</v>
      </c>
      <c r="C3193" s="15" t="s">
        <v>11</v>
      </c>
      <c r="D3193" s="15" t="s">
        <v>572</v>
      </c>
      <c r="E3193" s="15" t="n">
        <v>1</v>
      </c>
      <c r="H3193" s="10"/>
      <c r="I3193" s="21"/>
      <c r="M3193" s="10"/>
      <c r="N3193" s="10"/>
      <c r="P3193" s="10"/>
      <c r="Q3193" s="22"/>
    </row>
    <row r="3194" customFormat="false" ht="15.75" hidden="false" customHeight="false" outlineLevel="0" collapsed="false">
      <c r="A3194" s="20" t="n">
        <v>46120</v>
      </c>
      <c r="B3194" s="15" t="s">
        <v>488</v>
      </c>
      <c r="C3194" s="15" t="s">
        <v>543</v>
      </c>
      <c r="D3194" s="15" t="s">
        <v>544</v>
      </c>
      <c r="E3194" s="15" t="n">
        <v>3</v>
      </c>
      <c r="H3194" s="10"/>
      <c r="I3194" s="21"/>
      <c r="M3194" s="10"/>
      <c r="N3194" s="10"/>
      <c r="P3194" s="10"/>
      <c r="Q3194" s="22"/>
    </row>
    <row r="3195" customFormat="false" ht="15.75" hidden="false" customHeight="false" outlineLevel="0" collapsed="false">
      <c r="A3195" s="20" t="n">
        <v>46120</v>
      </c>
      <c r="B3195" s="15" t="s">
        <v>488</v>
      </c>
      <c r="C3195" s="15" t="s">
        <v>65</v>
      </c>
      <c r="D3195" s="15" t="s">
        <v>580</v>
      </c>
      <c r="E3195" s="15" t="n">
        <v>1</v>
      </c>
      <c r="H3195" s="10"/>
      <c r="I3195" s="21"/>
      <c r="M3195" s="10"/>
      <c r="N3195" s="10"/>
      <c r="P3195" s="10"/>
      <c r="Q3195" s="22"/>
    </row>
    <row r="3196" customFormat="false" ht="15.75" hidden="false" customHeight="false" outlineLevel="0" collapsed="false">
      <c r="A3196" s="20" t="n">
        <v>46120</v>
      </c>
      <c r="B3196" s="15" t="s">
        <v>488</v>
      </c>
      <c r="C3196" s="15" t="s">
        <v>91</v>
      </c>
      <c r="D3196" s="15" t="s">
        <v>91</v>
      </c>
      <c r="E3196" s="15" t="n">
        <v>2</v>
      </c>
      <c r="H3196" s="10"/>
      <c r="I3196" s="21"/>
      <c r="M3196" s="10"/>
      <c r="N3196" s="10"/>
      <c r="P3196" s="10"/>
      <c r="Q3196" s="22"/>
    </row>
    <row r="3197" customFormat="false" ht="15.75" hidden="false" customHeight="false" outlineLevel="0" collapsed="false">
      <c r="A3197" s="20" t="n">
        <v>46120</v>
      </c>
      <c r="B3197" s="15" t="s">
        <v>488</v>
      </c>
      <c r="C3197" s="15" t="s">
        <v>33</v>
      </c>
      <c r="D3197" s="15" t="s">
        <v>536</v>
      </c>
      <c r="E3197" s="15" t="n">
        <v>3</v>
      </c>
      <c r="H3197" s="10"/>
      <c r="I3197" s="21"/>
      <c r="M3197" s="10"/>
      <c r="N3197" s="10"/>
      <c r="P3197" s="10"/>
      <c r="Q3197" s="22"/>
    </row>
    <row r="3198" customFormat="false" ht="15.75" hidden="false" customHeight="false" outlineLevel="0" collapsed="false">
      <c r="A3198" s="20" t="n">
        <v>46120</v>
      </c>
      <c r="B3198" s="15" t="s">
        <v>488</v>
      </c>
      <c r="C3198" s="15" t="s">
        <v>75</v>
      </c>
      <c r="D3198" s="15" t="s">
        <v>560</v>
      </c>
      <c r="E3198" s="15" t="n">
        <v>1</v>
      </c>
      <c r="H3198" s="10"/>
      <c r="I3198" s="21"/>
      <c r="M3198" s="10"/>
      <c r="N3198" s="10"/>
      <c r="P3198" s="10"/>
      <c r="Q3198" s="22"/>
    </row>
    <row r="3199" customFormat="false" ht="15.75" hidden="false" customHeight="false" outlineLevel="0" collapsed="false">
      <c r="A3199" s="20" t="n">
        <v>46120</v>
      </c>
      <c r="B3199" s="15" t="s">
        <v>488</v>
      </c>
      <c r="C3199" s="15" t="s">
        <v>79</v>
      </c>
      <c r="D3199" s="15" t="s">
        <v>564</v>
      </c>
      <c r="E3199" s="15" t="n">
        <v>2</v>
      </c>
      <c r="H3199" s="10"/>
      <c r="I3199" s="21"/>
      <c r="M3199" s="10"/>
      <c r="N3199" s="10"/>
      <c r="P3199" s="10"/>
      <c r="Q3199" s="22"/>
    </row>
    <row r="3200" customFormat="false" ht="15.75" hidden="false" customHeight="false" outlineLevel="0" collapsed="false">
      <c r="A3200" s="20" t="n">
        <v>46120</v>
      </c>
      <c r="B3200" s="15" t="s">
        <v>488</v>
      </c>
      <c r="C3200" s="15" t="s">
        <v>81</v>
      </c>
      <c r="D3200" s="15" t="s">
        <v>534</v>
      </c>
      <c r="E3200" s="15" t="n">
        <v>10</v>
      </c>
      <c r="H3200" s="10"/>
      <c r="I3200" s="21"/>
      <c r="M3200" s="10"/>
      <c r="N3200" s="10"/>
      <c r="P3200" s="10"/>
      <c r="Q3200" s="22"/>
    </row>
    <row r="3201" customFormat="false" ht="15.75" hidden="false" customHeight="false" outlineLevel="0" collapsed="false">
      <c r="A3201" s="20" t="n">
        <v>46120</v>
      </c>
      <c r="B3201" s="15" t="s">
        <v>488</v>
      </c>
      <c r="C3201" s="15" t="s">
        <v>77</v>
      </c>
      <c r="D3201" s="15" t="s">
        <v>78</v>
      </c>
      <c r="E3201" s="15" t="n">
        <v>3</v>
      </c>
      <c r="H3201" s="10"/>
      <c r="I3201" s="21"/>
      <c r="M3201" s="10"/>
      <c r="N3201" s="10"/>
      <c r="P3201" s="10"/>
      <c r="Q3201" s="22"/>
    </row>
    <row r="3202" customFormat="false" ht="15.75" hidden="false" customHeight="false" outlineLevel="0" collapsed="false">
      <c r="A3202" s="20" t="n">
        <v>46120</v>
      </c>
      <c r="B3202" s="15" t="s">
        <v>488</v>
      </c>
      <c r="C3202" s="15" t="s">
        <v>25</v>
      </c>
      <c r="D3202" s="15" t="s">
        <v>26</v>
      </c>
      <c r="E3202" s="15" t="n">
        <v>1</v>
      </c>
      <c r="H3202" s="10"/>
      <c r="I3202" s="21"/>
      <c r="M3202" s="10"/>
      <c r="N3202" s="10"/>
      <c r="P3202" s="10"/>
      <c r="Q3202" s="22"/>
    </row>
    <row r="3203" customFormat="false" ht="15.75" hidden="false" customHeight="false" outlineLevel="0" collapsed="false">
      <c r="A3203" s="20" t="n">
        <v>46120</v>
      </c>
      <c r="B3203" s="15" t="s">
        <v>496</v>
      </c>
      <c r="C3203" s="15" t="s">
        <v>81</v>
      </c>
      <c r="D3203" s="15" t="s">
        <v>534</v>
      </c>
      <c r="E3203" s="15" t="n">
        <v>7</v>
      </c>
      <c r="H3203" s="10"/>
      <c r="I3203" s="21"/>
      <c r="M3203" s="10"/>
      <c r="N3203" s="10"/>
      <c r="P3203" s="10"/>
      <c r="Q3203" s="22"/>
    </row>
    <row r="3204" customFormat="false" ht="15.75" hidden="false" customHeight="false" outlineLevel="0" collapsed="false">
      <c r="A3204" s="20" t="n">
        <v>46120</v>
      </c>
      <c r="B3204" s="15" t="s">
        <v>496</v>
      </c>
      <c r="C3204" s="15" t="s">
        <v>47</v>
      </c>
      <c r="D3204" s="15" t="s">
        <v>549</v>
      </c>
      <c r="E3204" s="15" t="n">
        <v>4</v>
      </c>
      <c r="H3204" s="10"/>
      <c r="I3204" s="21"/>
      <c r="M3204" s="10"/>
      <c r="N3204" s="10"/>
      <c r="P3204" s="10"/>
      <c r="Q3204" s="22"/>
    </row>
    <row r="3205" customFormat="false" ht="15.75" hidden="false" customHeight="false" outlineLevel="0" collapsed="false">
      <c r="A3205" s="20" t="n">
        <v>46120</v>
      </c>
      <c r="B3205" s="15" t="s">
        <v>496</v>
      </c>
      <c r="C3205" s="15" t="s">
        <v>55</v>
      </c>
      <c r="D3205" s="15" t="s">
        <v>539</v>
      </c>
      <c r="E3205" s="15" t="n">
        <v>2</v>
      </c>
      <c r="H3205" s="10"/>
      <c r="I3205" s="21"/>
      <c r="M3205" s="10"/>
      <c r="N3205" s="10"/>
      <c r="P3205" s="10"/>
      <c r="Q3205" s="22"/>
    </row>
    <row r="3206" customFormat="false" ht="15.75" hidden="false" customHeight="false" outlineLevel="0" collapsed="false">
      <c r="A3206" s="20" t="n">
        <v>46120</v>
      </c>
      <c r="B3206" s="15" t="s">
        <v>496</v>
      </c>
      <c r="C3206" s="15" t="s">
        <v>567</v>
      </c>
      <c r="D3206" s="15" t="s">
        <v>568</v>
      </c>
      <c r="E3206" s="15" t="n">
        <v>3</v>
      </c>
      <c r="H3206" s="10"/>
      <c r="I3206" s="21"/>
      <c r="M3206" s="10"/>
      <c r="N3206" s="10"/>
      <c r="P3206" s="10"/>
      <c r="Q3206" s="22"/>
    </row>
    <row r="3207" customFormat="false" ht="15.75" hidden="false" customHeight="false" outlineLevel="0" collapsed="false">
      <c r="A3207" s="20" t="n">
        <v>46120</v>
      </c>
      <c r="B3207" s="15" t="s">
        <v>496</v>
      </c>
      <c r="C3207" s="15" t="s">
        <v>545</v>
      </c>
      <c r="D3207" s="15" t="s">
        <v>546</v>
      </c>
      <c r="E3207" s="15" t="n">
        <v>3</v>
      </c>
      <c r="H3207" s="10"/>
      <c r="I3207" s="21"/>
      <c r="M3207" s="10"/>
      <c r="N3207" s="10"/>
      <c r="P3207" s="10"/>
      <c r="Q3207" s="22"/>
    </row>
    <row r="3208" customFormat="false" ht="15.75" hidden="false" customHeight="false" outlineLevel="0" collapsed="false">
      <c r="A3208" s="20" t="n">
        <v>46120</v>
      </c>
      <c r="B3208" s="15" t="s">
        <v>496</v>
      </c>
      <c r="C3208" s="15" t="s">
        <v>547</v>
      </c>
      <c r="D3208" s="15" t="s">
        <v>548</v>
      </c>
      <c r="E3208" s="15" t="n">
        <v>1</v>
      </c>
      <c r="H3208" s="10"/>
      <c r="I3208" s="21"/>
      <c r="M3208" s="10"/>
      <c r="N3208" s="10"/>
      <c r="P3208" s="10"/>
      <c r="Q3208" s="22"/>
    </row>
    <row r="3209" customFormat="false" ht="15.75" hidden="false" customHeight="false" outlineLevel="0" collapsed="false">
      <c r="A3209" s="20" t="n">
        <v>46120</v>
      </c>
      <c r="B3209" s="15" t="s">
        <v>496</v>
      </c>
      <c r="C3209" s="15" t="s">
        <v>555</v>
      </c>
      <c r="D3209" s="15" t="s">
        <v>556</v>
      </c>
      <c r="E3209" s="15" t="n">
        <v>4</v>
      </c>
      <c r="H3209" s="10"/>
      <c r="I3209" s="21"/>
      <c r="M3209" s="10"/>
      <c r="N3209" s="10"/>
      <c r="P3209" s="10"/>
      <c r="Q3209" s="22"/>
    </row>
    <row r="3210" customFormat="false" ht="15.75" hidden="false" customHeight="false" outlineLevel="0" collapsed="false">
      <c r="A3210" s="20" t="n">
        <v>46120</v>
      </c>
      <c r="B3210" s="15" t="s">
        <v>496</v>
      </c>
      <c r="C3210" s="15" t="s">
        <v>541</v>
      </c>
      <c r="D3210" s="15" t="s">
        <v>542</v>
      </c>
      <c r="E3210" s="15" t="n">
        <v>4</v>
      </c>
      <c r="H3210" s="10"/>
      <c r="I3210" s="21"/>
      <c r="M3210" s="10"/>
      <c r="N3210" s="10"/>
      <c r="P3210" s="10"/>
      <c r="Q3210" s="22"/>
    </row>
    <row r="3211" customFormat="false" ht="15.75" hidden="false" customHeight="false" outlineLevel="0" collapsed="false">
      <c r="A3211" s="20" t="n">
        <v>46120</v>
      </c>
      <c r="B3211" s="15" t="s">
        <v>496</v>
      </c>
      <c r="C3211" s="15" t="s">
        <v>45</v>
      </c>
      <c r="D3211" s="15" t="s">
        <v>540</v>
      </c>
      <c r="E3211" s="15" t="n">
        <v>1</v>
      </c>
      <c r="H3211" s="10"/>
      <c r="I3211" s="21"/>
      <c r="M3211" s="10"/>
      <c r="N3211" s="10"/>
      <c r="P3211" s="10"/>
      <c r="Q3211" s="22"/>
    </row>
    <row r="3212" customFormat="false" ht="15.75" hidden="false" customHeight="false" outlineLevel="0" collapsed="false">
      <c r="A3212" s="20" t="n">
        <v>46120</v>
      </c>
      <c r="B3212" s="15" t="s">
        <v>496</v>
      </c>
      <c r="C3212" s="15" t="s">
        <v>37</v>
      </c>
      <c r="D3212" s="15" t="s">
        <v>561</v>
      </c>
      <c r="E3212" s="15" t="n">
        <v>1</v>
      </c>
      <c r="H3212" s="10"/>
      <c r="I3212" s="21"/>
      <c r="M3212" s="10"/>
      <c r="N3212" s="10"/>
      <c r="P3212" s="10"/>
      <c r="Q3212" s="22"/>
    </row>
    <row r="3213" customFormat="false" ht="15.75" hidden="false" customHeight="false" outlineLevel="0" collapsed="false">
      <c r="A3213" s="20" t="n">
        <v>46120</v>
      </c>
      <c r="B3213" s="15" t="s">
        <v>496</v>
      </c>
      <c r="C3213" s="15" t="s">
        <v>543</v>
      </c>
      <c r="D3213" s="15" t="s">
        <v>544</v>
      </c>
      <c r="E3213" s="15" t="n">
        <v>4</v>
      </c>
      <c r="H3213" s="10"/>
      <c r="I3213" s="21"/>
      <c r="M3213" s="10"/>
      <c r="N3213" s="10"/>
      <c r="P3213" s="10"/>
      <c r="Q3213" s="22"/>
    </row>
    <row r="3214" customFormat="false" ht="15.75" hidden="false" customHeight="false" outlineLevel="0" collapsed="false">
      <c r="A3214" s="20" t="n">
        <v>46120</v>
      </c>
      <c r="B3214" s="15" t="s">
        <v>496</v>
      </c>
      <c r="C3214" s="15" t="s">
        <v>69</v>
      </c>
      <c r="D3214" s="15" t="s">
        <v>535</v>
      </c>
      <c r="E3214" s="15" t="n">
        <v>2</v>
      </c>
      <c r="H3214" s="10"/>
      <c r="I3214" s="21"/>
      <c r="M3214" s="10"/>
      <c r="N3214" s="10"/>
      <c r="P3214" s="10"/>
      <c r="Q3214" s="22"/>
    </row>
    <row r="3215" customFormat="false" ht="15.75" hidden="false" customHeight="false" outlineLevel="0" collapsed="false">
      <c r="A3215" s="20" t="n">
        <v>46120</v>
      </c>
      <c r="B3215" s="15" t="s">
        <v>496</v>
      </c>
      <c r="C3215" s="15" t="s">
        <v>77</v>
      </c>
      <c r="D3215" s="15" t="s">
        <v>78</v>
      </c>
      <c r="E3215" s="15" t="n">
        <v>2</v>
      </c>
      <c r="H3215" s="10"/>
      <c r="I3215" s="21"/>
      <c r="M3215" s="10"/>
      <c r="N3215" s="10"/>
      <c r="P3215" s="10"/>
      <c r="Q3215" s="22"/>
    </row>
    <row r="3216" customFormat="false" ht="15.75" hidden="false" customHeight="false" outlineLevel="0" collapsed="false">
      <c r="A3216" s="20" t="n">
        <v>46120</v>
      </c>
      <c r="B3216" s="15" t="s">
        <v>496</v>
      </c>
      <c r="C3216" s="15" t="s">
        <v>59</v>
      </c>
      <c r="D3216" s="15" t="s">
        <v>562</v>
      </c>
      <c r="E3216" s="15" t="n">
        <v>2</v>
      </c>
      <c r="H3216" s="10"/>
      <c r="I3216" s="21"/>
      <c r="M3216" s="10"/>
      <c r="N3216" s="10"/>
      <c r="P3216" s="10"/>
      <c r="Q3216" s="22"/>
    </row>
    <row r="3217" customFormat="false" ht="15.75" hidden="false" customHeight="false" outlineLevel="0" collapsed="false">
      <c r="A3217" s="20" t="n">
        <v>46120</v>
      </c>
      <c r="B3217" s="15" t="s">
        <v>496</v>
      </c>
      <c r="C3217" s="15" t="s">
        <v>33</v>
      </c>
      <c r="D3217" s="15" t="s">
        <v>536</v>
      </c>
      <c r="E3217" s="15" t="n">
        <v>2</v>
      </c>
      <c r="H3217" s="10"/>
      <c r="I3217" s="21"/>
      <c r="M3217" s="10"/>
      <c r="N3217" s="10"/>
      <c r="P3217" s="10"/>
      <c r="Q3217" s="22"/>
    </row>
    <row r="3218" customFormat="false" ht="15.75" hidden="false" customHeight="false" outlineLevel="0" collapsed="false">
      <c r="A3218" s="20" t="n">
        <v>46120</v>
      </c>
      <c r="B3218" s="15" t="s">
        <v>496</v>
      </c>
      <c r="C3218" s="15" t="s">
        <v>79</v>
      </c>
      <c r="D3218" s="15" t="s">
        <v>564</v>
      </c>
      <c r="E3218" s="15" t="n">
        <v>1</v>
      </c>
      <c r="H3218" s="10"/>
      <c r="I3218" s="21"/>
      <c r="M3218" s="10"/>
      <c r="N3218" s="10"/>
      <c r="P3218" s="10"/>
      <c r="Q3218" s="22"/>
    </row>
    <row r="3219" customFormat="false" ht="15.75" hidden="false" customHeight="false" outlineLevel="0" collapsed="false">
      <c r="A3219" s="20" t="n">
        <v>46120</v>
      </c>
      <c r="B3219" s="15" t="s">
        <v>496</v>
      </c>
      <c r="C3219" s="15" t="s">
        <v>65</v>
      </c>
      <c r="D3219" s="15" t="s">
        <v>580</v>
      </c>
      <c r="E3219" s="15" t="n">
        <v>1</v>
      </c>
      <c r="H3219" s="10"/>
      <c r="I3219" s="21"/>
      <c r="M3219" s="10"/>
      <c r="N3219" s="10"/>
      <c r="P3219" s="10"/>
      <c r="Q3219" s="22"/>
    </row>
    <row r="3220" customFormat="false" ht="15.75" hidden="false" customHeight="false" outlineLevel="0" collapsed="false">
      <c r="A3220" s="20" t="n">
        <v>46120</v>
      </c>
      <c r="B3220" s="15" t="s">
        <v>498</v>
      </c>
      <c r="C3220" s="15" t="s">
        <v>81</v>
      </c>
      <c r="D3220" s="15" t="s">
        <v>534</v>
      </c>
      <c r="E3220" s="15" t="n">
        <v>9</v>
      </c>
      <c r="H3220" s="10"/>
      <c r="I3220" s="21"/>
      <c r="M3220" s="10"/>
      <c r="N3220" s="10"/>
      <c r="P3220" s="10"/>
      <c r="Q3220" s="22"/>
    </row>
    <row r="3221" customFormat="false" ht="15.75" hidden="false" customHeight="false" outlineLevel="0" collapsed="false">
      <c r="A3221" s="20" t="n">
        <v>46120</v>
      </c>
      <c r="B3221" s="15" t="s">
        <v>498</v>
      </c>
      <c r="C3221" s="15" t="s">
        <v>543</v>
      </c>
      <c r="D3221" s="15" t="s">
        <v>544</v>
      </c>
      <c r="E3221" s="15" t="n">
        <v>1</v>
      </c>
      <c r="H3221" s="10"/>
      <c r="I3221" s="21"/>
      <c r="M3221" s="10"/>
      <c r="N3221" s="10"/>
      <c r="P3221" s="10"/>
      <c r="Q3221" s="22"/>
    </row>
    <row r="3222" customFormat="false" ht="15.75" hidden="false" customHeight="false" outlineLevel="0" collapsed="false">
      <c r="A3222" s="20" t="n">
        <v>46120</v>
      </c>
      <c r="B3222" s="15" t="s">
        <v>498</v>
      </c>
      <c r="C3222" s="15" t="s">
        <v>69</v>
      </c>
      <c r="D3222" s="15" t="s">
        <v>535</v>
      </c>
      <c r="E3222" s="15" t="n">
        <v>2</v>
      </c>
      <c r="H3222" s="10"/>
      <c r="I3222" s="21"/>
      <c r="M3222" s="10"/>
      <c r="N3222" s="10"/>
      <c r="P3222" s="10"/>
      <c r="Q3222" s="22"/>
    </row>
    <row r="3223" customFormat="false" ht="15.75" hidden="false" customHeight="false" outlineLevel="0" collapsed="false">
      <c r="A3223" s="20" t="n">
        <v>46120</v>
      </c>
      <c r="B3223" s="15" t="s">
        <v>498</v>
      </c>
      <c r="C3223" s="15" t="s">
        <v>33</v>
      </c>
      <c r="D3223" s="15" t="s">
        <v>536</v>
      </c>
      <c r="E3223" s="15" t="n">
        <v>3</v>
      </c>
      <c r="H3223" s="10"/>
      <c r="I3223" s="21"/>
      <c r="M3223" s="10"/>
      <c r="N3223" s="10"/>
      <c r="P3223" s="10"/>
      <c r="Q3223" s="22"/>
    </row>
    <row r="3224" customFormat="false" ht="15.75" hidden="false" customHeight="false" outlineLevel="0" collapsed="false">
      <c r="A3224" s="20" t="n">
        <v>46120</v>
      </c>
      <c r="B3224" s="15" t="s">
        <v>498</v>
      </c>
      <c r="C3224" s="15" t="s">
        <v>55</v>
      </c>
      <c r="D3224" s="15" t="s">
        <v>539</v>
      </c>
      <c r="E3224" s="15" t="n">
        <v>1</v>
      </c>
      <c r="H3224" s="10"/>
      <c r="I3224" s="21"/>
      <c r="M3224" s="10"/>
      <c r="N3224" s="10"/>
      <c r="P3224" s="10"/>
      <c r="Q3224" s="22"/>
    </row>
    <row r="3225" customFormat="false" ht="15.75" hidden="false" customHeight="false" outlineLevel="0" collapsed="false">
      <c r="A3225" s="20" t="n">
        <v>46120</v>
      </c>
      <c r="B3225" s="15" t="s">
        <v>498</v>
      </c>
      <c r="C3225" s="15" t="s">
        <v>59</v>
      </c>
      <c r="D3225" s="15" t="s">
        <v>562</v>
      </c>
      <c r="E3225" s="15" t="n">
        <v>1</v>
      </c>
      <c r="H3225" s="10"/>
      <c r="I3225" s="21"/>
      <c r="M3225" s="10"/>
      <c r="N3225" s="10"/>
      <c r="P3225" s="10"/>
      <c r="Q3225" s="22"/>
    </row>
    <row r="3226" customFormat="false" ht="15.75" hidden="false" customHeight="false" outlineLevel="0" collapsed="false">
      <c r="A3226" s="20" t="n">
        <v>46120</v>
      </c>
      <c r="B3226" s="15" t="s">
        <v>498</v>
      </c>
      <c r="C3226" s="15" t="s">
        <v>47</v>
      </c>
      <c r="D3226" s="15" t="s">
        <v>549</v>
      </c>
      <c r="E3226" s="15" t="n">
        <v>1</v>
      </c>
      <c r="H3226" s="10"/>
      <c r="I3226" s="21"/>
      <c r="M3226" s="10"/>
      <c r="N3226" s="10"/>
      <c r="P3226" s="10"/>
      <c r="Q3226" s="22"/>
    </row>
    <row r="3227" customFormat="false" ht="15.75" hidden="false" customHeight="false" outlineLevel="0" collapsed="false">
      <c r="A3227" s="20" t="n">
        <v>46120</v>
      </c>
      <c r="B3227" s="15" t="s">
        <v>498</v>
      </c>
      <c r="C3227" s="15" t="s">
        <v>75</v>
      </c>
      <c r="D3227" s="15" t="s">
        <v>560</v>
      </c>
      <c r="E3227" s="15" t="n">
        <v>1</v>
      </c>
      <c r="H3227" s="10"/>
      <c r="I3227" s="21"/>
      <c r="M3227" s="10"/>
      <c r="N3227" s="10"/>
      <c r="P3227" s="10"/>
      <c r="Q3227" s="22"/>
    </row>
    <row r="3228" customFormat="false" ht="15.75" hidden="false" customHeight="false" outlineLevel="0" collapsed="false">
      <c r="A3228" s="20" t="n">
        <v>46120</v>
      </c>
      <c r="B3228" s="15" t="s">
        <v>498</v>
      </c>
      <c r="C3228" s="15" t="s">
        <v>77</v>
      </c>
      <c r="D3228" s="15" t="s">
        <v>78</v>
      </c>
      <c r="E3228" s="15" t="n">
        <v>1</v>
      </c>
      <c r="H3228" s="10"/>
      <c r="I3228" s="21"/>
      <c r="M3228" s="10"/>
      <c r="N3228" s="10"/>
      <c r="P3228" s="10"/>
      <c r="Q3228" s="22"/>
    </row>
    <row r="3229" customFormat="false" ht="15.75" hidden="false" customHeight="false" outlineLevel="0" collapsed="false">
      <c r="A3229" s="20" t="n">
        <v>46120</v>
      </c>
      <c r="B3229" s="15" t="s">
        <v>504</v>
      </c>
      <c r="C3229" s="15" t="s">
        <v>47</v>
      </c>
      <c r="D3229" s="15" t="s">
        <v>549</v>
      </c>
      <c r="E3229" s="15" t="n">
        <v>3</v>
      </c>
      <c r="H3229" s="10"/>
      <c r="I3229" s="21"/>
      <c r="M3229" s="10"/>
      <c r="N3229" s="10"/>
      <c r="P3229" s="10"/>
      <c r="Q3229" s="22"/>
    </row>
    <row r="3230" customFormat="false" ht="15.75" hidden="false" customHeight="false" outlineLevel="0" collapsed="false">
      <c r="A3230" s="20" t="n">
        <v>46120</v>
      </c>
      <c r="B3230" s="15" t="s">
        <v>504</v>
      </c>
      <c r="C3230" s="15" t="s">
        <v>55</v>
      </c>
      <c r="D3230" s="15" t="s">
        <v>539</v>
      </c>
      <c r="E3230" s="15" t="n">
        <v>6</v>
      </c>
      <c r="H3230" s="10"/>
      <c r="I3230" s="21"/>
      <c r="M3230" s="10"/>
      <c r="N3230" s="10"/>
      <c r="P3230" s="10"/>
      <c r="Q3230" s="22"/>
    </row>
    <row r="3231" customFormat="false" ht="15.75" hidden="false" customHeight="false" outlineLevel="0" collapsed="false">
      <c r="A3231" s="20" t="n">
        <v>46120</v>
      </c>
      <c r="B3231" s="15" t="s">
        <v>504</v>
      </c>
      <c r="C3231" s="15" t="s">
        <v>81</v>
      </c>
      <c r="D3231" s="15" t="s">
        <v>534</v>
      </c>
      <c r="E3231" s="15" t="n">
        <v>9</v>
      </c>
      <c r="H3231" s="10"/>
      <c r="I3231" s="21"/>
      <c r="M3231" s="10"/>
      <c r="N3231" s="10"/>
      <c r="P3231" s="10"/>
      <c r="Q3231" s="22"/>
    </row>
    <row r="3232" customFormat="false" ht="15.75" hidden="false" customHeight="false" outlineLevel="0" collapsed="false">
      <c r="A3232" s="20" t="n">
        <v>46120</v>
      </c>
      <c r="B3232" s="15" t="s">
        <v>504</v>
      </c>
      <c r="C3232" s="15" t="s">
        <v>39</v>
      </c>
      <c r="D3232" s="15" t="s">
        <v>550</v>
      </c>
      <c r="E3232" s="15" t="n">
        <v>1</v>
      </c>
      <c r="H3232" s="10"/>
      <c r="I3232" s="21"/>
      <c r="M3232" s="10"/>
      <c r="N3232" s="10"/>
      <c r="P3232" s="10"/>
      <c r="Q3232" s="22"/>
    </row>
    <row r="3233" customFormat="false" ht="15.75" hidden="false" customHeight="false" outlineLevel="0" collapsed="false">
      <c r="A3233" s="20" t="n">
        <v>46120</v>
      </c>
      <c r="B3233" s="15" t="s">
        <v>504</v>
      </c>
      <c r="C3233" s="15" t="s">
        <v>63</v>
      </c>
      <c r="D3233" s="15" t="s">
        <v>551</v>
      </c>
      <c r="E3233" s="15" t="n">
        <v>1</v>
      </c>
      <c r="H3233" s="10"/>
      <c r="I3233" s="21"/>
      <c r="M3233" s="10"/>
      <c r="N3233" s="10"/>
      <c r="P3233" s="10"/>
      <c r="Q3233" s="22"/>
    </row>
    <row r="3234" customFormat="false" ht="15.75" hidden="false" customHeight="false" outlineLevel="0" collapsed="false">
      <c r="A3234" s="20" t="n">
        <v>46120</v>
      </c>
      <c r="B3234" s="15" t="s">
        <v>504</v>
      </c>
      <c r="C3234" s="15" t="s">
        <v>17</v>
      </c>
      <c r="D3234" s="15" t="s">
        <v>554</v>
      </c>
      <c r="E3234" s="15" t="n">
        <v>1</v>
      </c>
      <c r="H3234" s="10"/>
      <c r="I3234" s="21"/>
      <c r="M3234" s="10"/>
      <c r="N3234" s="10"/>
      <c r="P3234" s="10"/>
      <c r="Q3234" s="22"/>
    </row>
    <row r="3235" customFormat="false" ht="15.75" hidden="false" customHeight="false" outlineLevel="0" collapsed="false">
      <c r="A3235" s="20" t="n">
        <v>46120</v>
      </c>
      <c r="B3235" s="15" t="s">
        <v>505</v>
      </c>
      <c r="C3235" s="15" t="s">
        <v>55</v>
      </c>
      <c r="D3235" s="15" t="s">
        <v>539</v>
      </c>
      <c r="E3235" s="15" t="n">
        <v>6</v>
      </c>
      <c r="H3235" s="10"/>
      <c r="I3235" s="21"/>
      <c r="M3235" s="10"/>
      <c r="N3235" s="10"/>
      <c r="P3235" s="10"/>
      <c r="Q3235" s="22"/>
    </row>
    <row r="3236" customFormat="false" ht="15.75" hidden="false" customHeight="false" outlineLevel="0" collapsed="false">
      <c r="A3236" s="20" t="n">
        <v>46120</v>
      </c>
      <c r="B3236" s="15" t="s">
        <v>505</v>
      </c>
      <c r="C3236" s="15" t="s">
        <v>39</v>
      </c>
      <c r="D3236" s="15" t="s">
        <v>550</v>
      </c>
      <c r="E3236" s="15" t="n">
        <v>1</v>
      </c>
      <c r="H3236" s="10"/>
      <c r="I3236" s="21"/>
      <c r="M3236" s="10"/>
      <c r="N3236" s="10"/>
      <c r="P3236" s="10"/>
      <c r="Q3236" s="22"/>
    </row>
    <row r="3237" customFormat="false" ht="15.75" hidden="false" customHeight="false" outlineLevel="0" collapsed="false">
      <c r="A3237" s="20" t="n">
        <v>46120</v>
      </c>
      <c r="B3237" s="15" t="s">
        <v>505</v>
      </c>
      <c r="C3237" s="15" t="s">
        <v>81</v>
      </c>
      <c r="D3237" s="15" t="s">
        <v>534</v>
      </c>
      <c r="E3237" s="15" t="n">
        <v>9</v>
      </c>
      <c r="H3237" s="10"/>
      <c r="I3237" s="21"/>
      <c r="M3237" s="10"/>
      <c r="N3237" s="10"/>
      <c r="P3237" s="10"/>
      <c r="Q3237" s="22"/>
    </row>
    <row r="3238" customFormat="false" ht="15.75" hidden="false" customHeight="false" outlineLevel="0" collapsed="false">
      <c r="A3238" s="20" t="n">
        <v>46120</v>
      </c>
      <c r="B3238" s="15" t="s">
        <v>505</v>
      </c>
      <c r="C3238" s="15" t="s">
        <v>47</v>
      </c>
      <c r="D3238" s="15" t="s">
        <v>549</v>
      </c>
      <c r="E3238" s="15" t="n">
        <v>3</v>
      </c>
      <c r="H3238" s="10"/>
      <c r="I3238" s="21"/>
      <c r="M3238" s="10"/>
      <c r="N3238" s="10"/>
      <c r="P3238" s="10"/>
      <c r="Q3238" s="22"/>
    </row>
    <row r="3239" customFormat="false" ht="15.75" hidden="false" customHeight="false" outlineLevel="0" collapsed="false">
      <c r="A3239" s="20" t="n">
        <v>46120</v>
      </c>
      <c r="B3239" s="15" t="s">
        <v>505</v>
      </c>
      <c r="C3239" s="15" t="s">
        <v>63</v>
      </c>
      <c r="D3239" s="15" t="s">
        <v>551</v>
      </c>
      <c r="E3239" s="15" t="n">
        <v>1</v>
      </c>
      <c r="H3239" s="10"/>
      <c r="I3239" s="21"/>
      <c r="M3239" s="10"/>
      <c r="N3239" s="10"/>
      <c r="P3239" s="10"/>
      <c r="Q3239" s="22"/>
    </row>
    <row r="3240" customFormat="false" ht="15.75" hidden="false" customHeight="false" outlineLevel="0" collapsed="false">
      <c r="A3240" s="20" t="n">
        <v>46120</v>
      </c>
      <c r="B3240" s="15" t="s">
        <v>505</v>
      </c>
      <c r="C3240" s="15" t="s">
        <v>17</v>
      </c>
      <c r="D3240" s="15" t="s">
        <v>554</v>
      </c>
      <c r="E3240" s="15" t="n">
        <v>1</v>
      </c>
      <c r="H3240" s="10"/>
      <c r="I3240" s="21"/>
      <c r="M3240" s="10"/>
      <c r="N3240" s="10"/>
      <c r="P3240" s="10"/>
      <c r="Q3240" s="22"/>
    </row>
    <row r="3241" customFormat="false" ht="15.75" hidden="false" customHeight="false" outlineLevel="0" collapsed="false">
      <c r="A3241" s="20" t="n">
        <v>46120</v>
      </c>
      <c r="B3241" s="15" t="s">
        <v>508</v>
      </c>
      <c r="C3241" s="15" t="s">
        <v>55</v>
      </c>
      <c r="D3241" s="15" t="s">
        <v>539</v>
      </c>
      <c r="E3241" s="15" t="n">
        <v>5</v>
      </c>
      <c r="H3241" s="10"/>
      <c r="I3241" s="21"/>
      <c r="M3241" s="10"/>
      <c r="N3241" s="10"/>
      <c r="P3241" s="10"/>
      <c r="Q3241" s="22"/>
    </row>
    <row r="3242" customFormat="false" ht="15.75" hidden="false" customHeight="false" outlineLevel="0" collapsed="false">
      <c r="A3242" s="20" t="n">
        <v>46120</v>
      </c>
      <c r="B3242" s="15" t="s">
        <v>508</v>
      </c>
      <c r="C3242" s="15" t="s">
        <v>81</v>
      </c>
      <c r="D3242" s="15" t="s">
        <v>534</v>
      </c>
      <c r="E3242" s="15" t="n">
        <v>9</v>
      </c>
      <c r="H3242" s="10"/>
      <c r="I3242" s="21"/>
      <c r="M3242" s="10"/>
      <c r="N3242" s="10"/>
      <c r="P3242" s="10"/>
      <c r="Q3242" s="22"/>
    </row>
    <row r="3243" customFormat="false" ht="15.75" hidden="false" customHeight="false" outlineLevel="0" collapsed="false">
      <c r="A3243" s="20" t="n">
        <v>46120</v>
      </c>
      <c r="B3243" s="15" t="s">
        <v>508</v>
      </c>
      <c r="C3243" s="15" t="s">
        <v>39</v>
      </c>
      <c r="D3243" s="15" t="s">
        <v>550</v>
      </c>
      <c r="E3243" s="15" t="n">
        <v>2</v>
      </c>
      <c r="H3243" s="10"/>
      <c r="I3243" s="21"/>
      <c r="M3243" s="10"/>
      <c r="N3243" s="10"/>
      <c r="P3243" s="10"/>
      <c r="Q3243" s="22"/>
    </row>
    <row r="3244" customFormat="false" ht="15.75" hidden="false" customHeight="false" outlineLevel="0" collapsed="false">
      <c r="A3244" s="20" t="n">
        <v>46120</v>
      </c>
      <c r="B3244" s="15" t="s">
        <v>508</v>
      </c>
      <c r="C3244" s="15" t="s">
        <v>47</v>
      </c>
      <c r="D3244" s="15" t="s">
        <v>549</v>
      </c>
      <c r="E3244" s="15" t="n">
        <v>2</v>
      </c>
      <c r="H3244" s="10"/>
      <c r="I3244" s="21"/>
      <c r="M3244" s="10"/>
      <c r="N3244" s="10"/>
      <c r="P3244" s="10"/>
      <c r="Q3244" s="22"/>
    </row>
    <row r="3245" customFormat="false" ht="15.75" hidden="false" customHeight="false" outlineLevel="0" collapsed="false">
      <c r="A3245" s="20" t="n">
        <v>46120</v>
      </c>
      <c r="B3245" s="15" t="s">
        <v>508</v>
      </c>
      <c r="C3245" s="15" t="s">
        <v>63</v>
      </c>
      <c r="D3245" s="15" t="s">
        <v>551</v>
      </c>
      <c r="E3245" s="15" t="n">
        <v>1</v>
      </c>
      <c r="H3245" s="10"/>
      <c r="I3245" s="21"/>
      <c r="M3245" s="10"/>
      <c r="N3245" s="10"/>
      <c r="P3245" s="10"/>
      <c r="Q3245" s="22"/>
    </row>
    <row r="3246" customFormat="false" ht="15.75" hidden="false" customHeight="false" outlineLevel="0" collapsed="false">
      <c r="A3246" s="20" t="n">
        <v>46120</v>
      </c>
      <c r="B3246" s="15" t="s">
        <v>530</v>
      </c>
      <c r="C3246" s="15" t="s">
        <v>81</v>
      </c>
      <c r="D3246" s="15" t="s">
        <v>534</v>
      </c>
      <c r="E3246" s="15" t="n">
        <v>1</v>
      </c>
      <c r="H3246" s="10"/>
      <c r="I3246" s="21"/>
      <c r="M3246" s="10"/>
      <c r="N3246" s="10"/>
      <c r="P3246" s="10"/>
      <c r="Q3246" s="22"/>
    </row>
    <row r="3247" customFormat="false" ht="15.75" hidden="false" customHeight="false" outlineLevel="0" collapsed="false">
      <c r="A3247" s="20" t="n">
        <v>46120</v>
      </c>
      <c r="B3247" s="15" t="s">
        <v>530</v>
      </c>
      <c r="C3247" s="15" t="s">
        <v>69</v>
      </c>
      <c r="D3247" s="15" t="s">
        <v>535</v>
      </c>
      <c r="E3247" s="15" t="n">
        <v>3</v>
      </c>
      <c r="H3247" s="10"/>
      <c r="I3247" s="21"/>
      <c r="M3247" s="10"/>
      <c r="N3247" s="10"/>
      <c r="P3247" s="10"/>
      <c r="Q3247" s="22"/>
    </row>
    <row r="3248" customFormat="false" ht="15.75" hidden="false" customHeight="false" outlineLevel="0" collapsed="false">
      <c r="A3248" s="20" t="n">
        <v>46120</v>
      </c>
      <c r="B3248" s="15" t="s">
        <v>530</v>
      </c>
      <c r="C3248" s="15" t="s">
        <v>33</v>
      </c>
      <c r="D3248" s="15" t="s">
        <v>536</v>
      </c>
      <c r="E3248" s="15" t="n">
        <v>3</v>
      </c>
      <c r="H3248" s="10"/>
      <c r="I3248" s="21"/>
      <c r="M3248" s="10"/>
      <c r="N3248" s="10"/>
      <c r="P3248" s="10"/>
      <c r="Q3248" s="22"/>
    </row>
    <row r="3249" customFormat="false" ht="15.75" hidden="false" customHeight="false" outlineLevel="0" collapsed="false">
      <c r="A3249" s="20" t="n">
        <v>46120</v>
      </c>
      <c r="B3249" s="15" t="s">
        <v>530</v>
      </c>
      <c r="C3249" s="15" t="s">
        <v>77</v>
      </c>
      <c r="D3249" s="15" t="s">
        <v>78</v>
      </c>
      <c r="E3249" s="15" t="n">
        <v>2</v>
      </c>
      <c r="H3249" s="10"/>
      <c r="I3249" s="21"/>
      <c r="M3249" s="10"/>
      <c r="N3249" s="10"/>
      <c r="P3249" s="10"/>
      <c r="Q3249" s="22"/>
    </row>
    <row r="3250" customFormat="false" ht="15.75" hidden="false" customHeight="false" outlineLevel="0" collapsed="false">
      <c r="A3250" s="20" t="n">
        <v>46121</v>
      </c>
      <c r="B3250" s="15" t="s">
        <v>453</v>
      </c>
      <c r="C3250" s="15" t="s">
        <v>47</v>
      </c>
      <c r="D3250" s="15" t="s">
        <v>549</v>
      </c>
      <c r="E3250" s="15" t="n">
        <v>2</v>
      </c>
      <c r="H3250" s="10"/>
      <c r="I3250" s="21"/>
      <c r="M3250" s="10"/>
      <c r="N3250" s="10"/>
      <c r="P3250" s="10"/>
      <c r="Q3250" s="22"/>
    </row>
    <row r="3251" customFormat="false" ht="15.75" hidden="false" customHeight="false" outlineLevel="0" collapsed="false">
      <c r="A3251" s="20" t="n">
        <v>46121</v>
      </c>
      <c r="B3251" s="15" t="s">
        <v>453</v>
      </c>
      <c r="C3251" s="15" t="s">
        <v>55</v>
      </c>
      <c r="D3251" s="15" t="s">
        <v>539</v>
      </c>
      <c r="E3251" s="15" t="n">
        <v>4</v>
      </c>
      <c r="H3251" s="10"/>
      <c r="I3251" s="21"/>
      <c r="M3251" s="10"/>
      <c r="N3251" s="10"/>
      <c r="P3251" s="10"/>
      <c r="Q3251" s="22"/>
    </row>
    <row r="3252" customFormat="false" ht="15.75" hidden="false" customHeight="false" outlineLevel="0" collapsed="false">
      <c r="A3252" s="20" t="n">
        <v>46121</v>
      </c>
      <c r="B3252" s="15" t="s">
        <v>453</v>
      </c>
      <c r="C3252" s="15" t="s">
        <v>81</v>
      </c>
      <c r="D3252" s="15" t="s">
        <v>534</v>
      </c>
      <c r="E3252" s="15" t="n">
        <v>8</v>
      </c>
      <c r="H3252" s="10"/>
      <c r="I3252" s="21"/>
      <c r="M3252" s="10"/>
      <c r="N3252" s="10"/>
      <c r="P3252" s="10"/>
      <c r="Q3252" s="22"/>
    </row>
    <row r="3253" customFormat="false" ht="15.75" hidden="false" customHeight="false" outlineLevel="0" collapsed="false">
      <c r="A3253" s="20" t="n">
        <v>46121</v>
      </c>
      <c r="B3253" s="15" t="s">
        <v>453</v>
      </c>
      <c r="C3253" s="15" t="s">
        <v>39</v>
      </c>
      <c r="D3253" s="15" t="s">
        <v>550</v>
      </c>
      <c r="E3253" s="15" t="n">
        <v>2</v>
      </c>
      <c r="H3253" s="10"/>
      <c r="I3253" s="21"/>
      <c r="M3253" s="10"/>
      <c r="N3253" s="10"/>
      <c r="P3253" s="10"/>
      <c r="Q3253" s="22"/>
    </row>
    <row r="3254" customFormat="false" ht="15.75" hidden="false" customHeight="false" outlineLevel="0" collapsed="false">
      <c r="A3254" s="20" t="n">
        <v>46121</v>
      </c>
      <c r="B3254" s="15" t="s">
        <v>453</v>
      </c>
      <c r="C3254" s="15" t="s">
        <v>63</v>
      </c>
      <c r="D3254" s="15" t="s">
        <v>551</v>
      </c>
      <c r="E3254" s="15" t="n">
        <v>1</v>
      </c>
      <c r="H3254" s="10"/>
      <c r="I3254" s="21"/>
      <c r="M3254" s="10"/>
      <c r="N3254" s="10"/>
      <c r="P3254" s="10"/>
      <c r="Q3254" s="22"/>
    </row>
    <row r="3255" customFormat="false" ht="15.75" hidden="false" customHeight="false" outlineLevel="0" collapsed="false">
      <c r="A3255" s="20" t="n">
        <v>46121</v>
      </c>
      <c r="B3255" s="15" t="s">
        <v>453</v>
      </c>
      <c r="C3255" s="15" t="s">
        <v>35</v>
      </c>
      <c r="D3255" s="15" t="s">
        <v>552</v>
      </c>
      <c r="E3255" s="15" t="n">
        <v>2</v>
      </c>
      <c r="H3255" s="10"/>
      <c r="I3255" s="21"/>
      <c r="M3255" s="10"/>
      <c r="N3255" s="10"/>
      <c r="P3255" s="10"/>
      <c r="Q3255" s="22"/>
    </row>
    <row r="3256" customFormat="false" ht="15.75" hidden="false" customHeight="false" outlineLevel="0" collapsed="false">
      <c r="A3256" s="20" t="n">
        <v>46121</v>
      </c>
      <c r="B3256" s="15" t="s">
        <v>467</v>
      </c>
      <c r="C3256" s="15" t="s">
        <v>55</v>
      </c>
      <c r="D3256" s="15" t="s">
        <v>539</v>
      </c>
      <c r="E3256" s="15" t="n">
        <v>6</v>
      </c>
      <c r="H3256" s="10"/>
      <c r="I3256" s="21"/>
      <c r="M3256" s="10"/>
      <c r="N3256" s="10"/>
      <c r="P3256" s="10"/>
      <c r="Q3256" s="22"/>
    </row>
    <row r="3257" customFormat="false" ht="15.75" hidden="false" customHeight="false" outlineLevel="0" collapsed="false">
      <c r="A3257" s="20" t="n">
        <v>46121</v>
      </c>
      <c r="B3257" s="15" t="s">
        <v>467</v>
      </c>
      <c r="C3257" s="15" t="s">
        <v>57</v>
      </c>
      <c r="D3257" s="15" t="s">
        <v>553</v>
      </c>
      <c r="E3257" s="15" t="n">
        <v>2</v>
      </c>
      <c r="H3257" s="10"/>
      <c r="I3257" s="21"/>
      <c r="M3257" s="10"/>
      <c r="N3257" s="10"/>
      <c r="P3257" s="10"/>
      <c r="Q3257" s="22"/>
    </row>
    <row r="3258" customFormat="false" ht="15.75" hidden="false" customHeight="false" outlineLevel="0" collapsed="false">
      <c r="A3258" s="20" t="n">
        <v>46121</v>
      </c>
      <c r="B3258" s="15" t="s">
        <v>467</v>
      </c>
      <c r="C3258" s="15" t="s">
        <v>47</v>
      </c>
      <c r="D3258" s="15" t="s">
        <v>549</v>
      </c>
      <c r="E3258" s="15" t="n">
        <v>2</v>
      </c>
      <c r="H3258" s="10"/>
      <c r="I3258" s="21"/>
      <c r="M3258" s="10"/>
      <c r="N3258" s="10"/>
      <c r="P3258" s="10"/>
      <c r="Q3258" s="22"/>
    </row>
    <row r="3259" customFormat="false" ht="15.75" hidden="false" customHeight="false" outlineLevel="0" collapsed="false">
      <c r="A3259" s="20" t="n">
        <v>46121</v>
      </c>
      <c r="B3259" s="15" t="s">
        <v>467</v>
      </c>
      <c r="C3259" s="15" t="s">
        <v>81</v>
      </c>
      <c r="D3259" s="15" t="s">
        <v>534</v>
      </c>
      <c r="E3259" s="15" t="n">
        <v>7</v>
      </c>
      <c r="H3259" s="10"/>
      <c r="I3259" s="21"/>
      <c r="M3259" s="10"/>
      <c r="N3259" s="10"/>
      <c r="P3259" s="10"/>
      <c r="Q3259" s="22"/>
    </row>
    <row r="3260" customFormat="false" ht="15.75" hidden="false" customHeight="false" outlineLevel="0" collapsed="false">
      <c r="A3260" s="20" t="n">
        <v>46121</v>
      </c>
      <c r="B3260" s="15" t="s">
        <v>467</v>
      </c>
      <c r="C3260" s="15" t="s">
        <v>49</v>
      </c>
      <c r="D3260" s="15" t="s">
        <v>537</v>
      </c>
      <c r="E3260" s="15" t="n">
        <v>2</v>
      </c>
      <c r="H3260" s="10"/>
      <c r="I3260" s="21"/>
      <c r="M3260" s="10"/>
      <c r="N3260" s="10"/>
      <c r="P3260" s="10"/>
      <c r="Q3260" s="22"/>
    </row>
    <row r="3261" customFormat="false" ht="15.75" hidden="false" customHeight="false" outlineLevel="0" collapsed="false">
      <c r="A3261" s="20" t="n">
        <v>46121</v>
      </c>
      <c r="B3261" s="15" t="s">
        <v>467</v>
      </c>
      <c r="C3261" s="15" t="s">
        <v>63</v>
      </c>
      <c r="D3261" s="15" t="s">
        <v>551</v>
      </c>
      <c r="E3261" s="15" t="n">
        <v>1</v>
      </c>
      <c r="H3261" s="10"/>
      <c r="I3261" s="21"/>
      <c r="M3261" s="10"/>
      <c r="N3261" s="10"/>
      <c r="P3261" s="10"/>
      <c r="Q3261" s="22"/>
    </row>
    <row r="3262" customFormat="false" ht="15.75" hidden="false" customHeight="false" outlineLevel="0" collapsed="false">
      <c r="A3262" s="20" t="n">
        <v>46121</v>
      </c>
      <c r="B3262" s="15" t="s">
        <v>474</v>
      </c>
      <c r="C3262" s="15" t="s">
        <v>555</v>
      </c>
      <c r="D3262" s="15" t="s">
        <v>556</v>
      </c>
      <c r="E3262" s="15" t="n">
        <v>8</v>
      </c>
      <c r="H3262" s="10"/>
      <c r="I3262" s="21"/>
      <c r="M3262" s="10"/>
      <c r="N3262" s="10"/>
      <c r="P3262" s="10"/>
      <c r="Q3262" s="22"/>
    </row>
    <row r="3263" customFormat="false" ht="15.75" hidden="false" customHeight="false" outlineLevel="0" collapsed="false">
      <c r="A3263" s="20" t="n">
        <v>46121</v>
      </c>
      <c r="B3263" s="15" t="s">
        <v>474</v>
      </c>
      <c r="C3263" s="15" t="s">
        <v>565</v>
      </c>
      <c r="D3263" s="15" t="s">
        <v>566</v>
      </c>
      <c r="E3263" s="15" t="n">
        <v>4</v>
      </c>
      <c r="H3263" s="10"/>
      <c r="I3263" s="21"/>
      <c r="M3263" s="10"/>
      <c r="N3263" s="10"/>
      <c r="P3263" s="10"/>
      <c r="Q3263" s="22"/>
    </row>
    <row r="3264" customFormat="false" ht="15.75" hidden="false" customHeight="false" outlineLevel="0" collapsed="false">
      <c r="A3264" s="20" t="n">
        <v>46121</v>
      </c>
      <c r="B3264" s="15" t="s">
        <v>474</v>
      </c>
      <c r="C3264" s="15" t="s">
        <v>11</v>
      </c>
      <c r="D3264" s="15" t="s">
        <v>572</v>
      </c>
      <c r="E3264" s="15" t="n">
        <v>4</v>
      </c>
      <c r="H3264" s="10"/>
      <c r="I3264" s="21"/>
      <c r="M3264" s="10"/>
      <c r="N3264" s="10"/>
      <c r="P3264" s="10"/>
      <c r="Q3264" s="22"/>
    </row>
    <row r="3265" customFormat="false" ht="15.75" hidden="false" customHeight="false" outlineLevel="0" collapsed="false">
      <c r="A3265" s="20" t="n">
        <v>46121</v>
      </c>
      <c r="B3265" s="15" t="s">
        <v>474</v>
      </c>
      <c r="C3265" s="15" t="s">
        <v>543</v>
      </c>
      <c r="D3265" s="15" t="s">
        <v>544</v>
      </c>
      <c r="E3265" s="15" t="n">
        <v>4</v>
      </c>
      <c r="H3265" s="10"/>
      <c r="I3265" s="21"/>
      <c r="M3265" s="10"/>
      <c r="N3265" s="10"/>
      <c r="P3265" s="10"/>
      <c r="Q3265" s="22"/>
    </row>
    <row r="3266" customFormat="false" ht="15.75" hidden="false" customHeight="false" outlineLevel="0" collapsed="false">
      <c r="A3266" s="20" t="n">
        <v>46121</v>
      </c>
      <c r="B3266" s="15" t="s">
        <v>474</v>
      </c>
      <c r="C3266" s="15" t="s">
        <v>91</v>
      </c>
      <c r="D3266" s="15" t="s">
        <v>91</v>
      </c>
      <c r="E3266" s="15" t="n">
        <v>4</v>
      </c>
      <c r="H3266" s="10"/>
      <c r="I3266" s="21"/>
      <c r="M3266" s="10"/>
      <c r="N3266" s="10"/>
      <c r="P3266" s="10"/>
      <c r="Q3266" s="22"/>
    </row>
    <row r="3267" customFormat="false" ht="15.75" hidden="false" customHeight="false" outlineLevel="0" collapsed="false">
      <c r="A3267" s="20" t="n">
        <v>46121</v>
      </c>
      <c r="B3267" s="15" t="s">
        <v>474</v>
      </c>
      <c r="C3267" s="15" t="s">
        <v>25</v>
      </c>
      <c r="D3267" s="15" t="s">
        <v>26</v>
      </c>
      <c r="E3267" s="15" t="n">
        <v>4</v>
      </c>
      <c r="H3267" s="10"/>
      <c r="I3267" s="21"/>
      <c r="M3267" s="10"/>
      <c r="N3267" s="10"/>
      <c r="P3267" s="10"/>
      <c r="Q3267" s="22"/>
    </row>
    <row r="3268" customFormat="false" ht="15.75" hidden="false" customHeight="false" outlineLevel="0" collapsed="false">
      <c r="A3268" s="20" t="n">
        <v>46121</v>
      </c>
      <c r="B3268" s="15" t="s">
        <v>479</v>
      </c>
      <c r="C3268" s="15" t="s">
        <v>69</v>
      </c>
      <c r="D3268" s="15" t="s">
        <v>535</v>
      </c>
      <c r="E3268" s="15" t="n">
        <v>2</v>
      </c>
      <c r="H3268" s="10"/>
      <c r="I3268" s="21"/>
      <c r="M3268" s="10"/>
      <c r="N3268" s="10"/>
      <c r="P3268" s="10"/>
      <c r="Q3268" s="22"/>
    </row>
    <row r="3269" customFormat="false" ht="15.75" hidden="false" customHeight="false" outlineLevel="0" collapsed="false">
      <c r="A3269" s="20" t="n">
        <v>46121</v>
      </c>
      <c r="B3269" s="15" t="s">
        <v>479</v>
      </c>
      <c r="C3269" s="15" t="s">
        <v>547</v>
      </c>
      <c r="D3269" s="15" t="s">
        <v>548</v>
      </c>
      <c r="E3269" s="15" t="n">
        <v>2</v>
      </c>
      <c r="H3269" s="10"/>
      <c r="I3269" s="21"/>
      <c r="M3269" s="10"/>
      <c r="N3269" s="10"/>
      <c r="P3269" s="10"/>
      <c r="Q3269" s="22"/>
    </row>
    <row r="3270" customFormat="false" ht="15.75" hidden="false" customHeight="false" outlineLevel="0" collapsed="false">
      <c r="A3270" s="20" t="n">
        <v>46121</v>
      </c>
      <c r="B3270" s="15" t="s">
        <v>488</v>
      </c>
      <c r="C3270" s="15" t="s">
        <v>69</v>
      </c>
      <c r="D3270" s="15" t="s">
        <v>535</v>
      </c>
      <c r="E3270" s="15" t="n">
        <v>3</v>
      </c>
      <c r="H3270" s="10"/>
      <c r="I3270" s="21"/>
      <c r="M3270" s="10"/>
      <c r="N3270" s="10"/>
      <c r="P3270" s="10"/>
      <c r="Q3270" s="22"/>
    </row>
    <row r="3271" customFormat="false" ht="15.75" hidden="false" customHeight="false" outlineLevel="0" collapsed="false">
      <c r="A3271" s="20" t="n">
        <v>46121</v>
      </c>
      <c r="B3271" s="15" t="s">
        <v>488</v>
      </c>
      <c r="C3271" s="15" t="s">
        <v>555</v>
      </c>
      <c r="D3271" s="15" t="s">
        <v>556</v>
      </c>
      <c r="E3271" s="15" t="n">
        <v>2</v>
      </c>
      <c r="H3271" s="10"/>
      <c r="I3271" s="21"/>
      <c r="M3271" s="10"/>
      <c r="N3271" s="10"/>
      <c r="P3271" s="10"/>
      <c r="Q3271" s="22"/>
    </row>
    <row r="3272" customFormat="false" ht="15.75" hidden="false" customHeight="false" outlineLevel="0" collapsed="false">
      <c r="A3272" s="20" t="n">
        <v>46121</v>
      </c>
      <c r="B3272" s="15" t="s">
        <v>488</v>
      </c>
      <c r="C3272" s="15" t="s">
        <v>565</v>
      </c>
      <c r="D3272" s="15" t="s">
        <v>566</v>
      </c>
      <c r="E3272" s="15" t="n">
        <v>1</v>
      </c>
      <c r="H3272" s="10"/>
      <c r="I3272" s="21"/>
      <c r="M3272" s="10"/>
      <c r="N3272" s="10"/>
      <c r="P3272" s="10"/>
      <c r="Q3272" s="22"/>
    </row>
    <row r="3273" customFormat="false" ht="15.75" hidden="false" customHeight="false" outlineLevel="0" collapsed="false">
      <c r="A3273" s="20" t="n">
        <v>46121</v>
      </c>
      <c r="B3273" s="15" t="s">
        <v>488</v>
      </c>
      <c r="C3273" s="15" t="s">
        <v>545</v>
      </c>
      <c r="D3273" s="15" t="s">
        <v>546</v>
      </c>
      <c r="E3273" s="15" t="n">
        <v>2</v>
      </c>
      <c r="H3273" s="10"/>
      <c r="I3273" s="21"/>
      <c r="M3273" s="10"/>
      <c r="N3273" s="10"/>
      <c r="P3273" s="10"/>
      <c r="Q3273" s="22"/>
    </row>
    <row r="3274" customFormat="false" ht="15.75" hidden="false" customHeight="false" outlineLevel="0" collapsed="false">
      <c r="A3274" s="20" t="n">
        <v>46121</v>
      </c>
      <c r="B3274" s="15" t="s">
        <v>488</v>
      </c>
      <c r="C3274" s="15" t="s">
        <v>578</v>
      </c>
      <c r="D3274" s="15" t="s">
        <v>579</v>
      </c>
      <c r="E3274" s="15" t="n">
        <v>1</v>
      </c>
      <c r="H3274" s="10"/>
      <c r="I3274" s="21"/>
      <c r="M3274" s="10"/>
      <c r="N3274" s="10"/>
      <c r="P3274" s="10"/>
      <c r="Q3274" s="22"/>
    </row>
    <row r="3275" customFormat="false" ht="15.75" hidden="false" customHeight="false" outlineLevel="0" collapsed="false">
      <c r="A3275" s="20" t="n">
        <v>46121</v>
      </c>
      <c r="B3275" s="15" t="s">
        <v>488</v>
      </c>
      <c r="C3275" s="15" t="s">
        <v>570</v>
      </c>
      <c r="D3275" s="15" t="s">
        <v>571</v>
      </c>
      <c r="E3275" s="15" t="n">
        <v>1</v>
      </c>
      <c r="H3275" s="10"/>
      <c r="I3275" s="21"/>
      <c r="M3275" s="10"/>
      <c r="N3275" s="10"/>
      <c r="P3275" s="10"/>
      <c r="Q3275" s="22"/>
    </row>
    <row r="3276" customFormat="false" ht="15.75" hidden="false" customHeight="false" outlineLevel="0" collapsed="false">
      <c r="A3276" s="20" t="n">
        <v>46121</v>
      </c>
      <c r="B3276" s="15" t="s">
        <v>488</v>
      </c>
      <c r="C3276" s="15" t="s">
        <v>11</v>
      </c>
      <c r="D3276" s="15" t="s">
        <v>572</v>
      </c>
      <c r="E3276" s="15" t="n">
        <v>1</v>
      </c>
      <c r="H3276" s="10"/>
      <c r="I3276" s="21"/>
      <c r="M3276" s="10"/>
      <c r="N3276" s="10"/>
      <c r="P3276" s="10"/>
      <c r="Q3276" s="22"/>
    </row>
    <row r="3277" customFormat="false" ht="15.75" hidden="false" customHeight="false" outlineLevel="0" collapsed="false">
      <c r="A3277" s="20" t="n">
        <v>46121</v>
      </c>
      <c r="B3277" s="15" t="s">
        <v>488</v>
      </c>
      <c r="C3277" s="15" t="s">
        <v>543</v>
      </c>
      <c r="D3277" s="15" t="s">
        <v>544</v>
      </c>
      <c r="E3277" s="15" t="n">
        <v>3</v>
      </c>
      <c r="H3277" s="10"/>
      <c r="I3277" s="21"/>
      <c r="M3277" s="10"/>
      <c r="N3277" s="10"/>
      <c r="P3277" s="10"/>
      <c r="Q3277" s="22"/>
    </row>
    <row r="3278" customFormat="false" ht="15.75" hidden="false" customHeight="false" outlineLevel="0" collapsed="false">
      <c r="A3278" s="20" t="n">
        <v>46121</v>
      </c>
      <c r="B3278" s="15" t="s">
        <v>488</v>
      </c>
      <c r="C3278" s="15" t="s">
        <v>65</v>
      </c>
      <c r="D3278" s="15" t="s">
        <v>580</v>
      </c>
      <c r="E3278" s="15" t="n">
        <v>1</v>
      </c>
      <c r="H3278" s="10"/>
      <c r="I3278" s="21"/>
      <c r="M3278" s="10"/>
      <c r="N3278" s="10"/>
      <c r="P3278" s="10"/>
      <c r="Q3278" s="22"/>
    </row>
    <row r="3279" customFormat="false" ht="15.75" hidden="false" customHeight="false" outlineLevel="0" collapsed="false">
      <c r="A3279" s="20" t="n">
        <v>46121</v>
      </c>
      <c r="B3279" s="15" t="s">
        <v>488</v>
      </c>
      <c r="C3279" s="15" t="s">
        <v>91</v>
      </c>
      <c r="D3279" s="15" t="s">
        <v>91</v>
      </c>
      <c r="E3279" s="15" t="n">
        <v>2</v>
      </c>
      <c r="H3279" s="10"/>
      <c r="I3279" s="21"/>
      <c r="M3279" s="10"/>
      <c r="N3279" s="10"/>
      <c r="P3279" s="10"/>
      <c r="Q3279" s="22"/>
    </row>
    <row r="3280" customFormat="false" ht="15.75" hidden="false" customHeight="false" outlineLevel="0" collapsed="false">
      <c r="A3280" s="20" t="n">
        <v>46121</v>
      </c>
      <c r="B3280" s="15" t="s">
        <v>488</v>
      </c>
      <c r="C3280" s="15" t="s">
        <v>33</v>
      </c>
      <c r="D3280" s="15" t="s">
        <v>536</v>
      </c>
      <c r="E3280" s="15" t="n">
        <v>3</v>
      </c>
      <c r="H3280" s="10"/>
      <c r="I3280" s="21"/>
      <c r="M3280" s="10"/>
      <c r="N3280" s="10"/>
      <c r="P3280" s="10"/>
      <c r="Q3280" s="22"/>
    </row>
    <row r="3281" customFormat="false" ht="15.75" hidden="false" customHeight="false" outlineLevel="0" collapsed="false">
      <c r="A3281" s="20" t="n">
        <v>46121</v>
      </c>
      <c r="B3281" s="15" t="s">
        <v>488</v>
      </c>
      <c r="C3281" s="15" t="s">
        <v>75</v>
      </c>
      <c r="D3281" s="15" t="s">
        <v>560</v>
      </c>
      <c r="E3281" s="15" t="n">
        <v>1</v>
      </c>
      <c r="H3281" s="10"/>
      <c r="I3281" s="21"/>
      <c r="M3281" s="10"/>
      <c r="N3281" s="10"/>
      <c r="P3281" s="10"/>
      <c r="Q3281" s="22"/>
    </row>
    <row r="3282" customFormat="false" ht="15.75" hidden="false" customHeight="false" outlineLevel="0" collapsed="false">
      <c r="A3282" s="20" t="n">
        <v>46121</v>
      </c>
      <c r="B3282" s="15" t="s">
        <v>488</v>
      </c>
      <c r="C3282" s="15" t="s">
        <v>79</v>
      </c>
      <c r="D3282" s="15" t="s">
        <v>564</v>
      </c>
      <c r="E3282" s="15" t="n">
        <v>2</v>
      </c>
      <c r="H3282" s="10"/>
      <c r="I3282" s="21"/>
      <c r="M3282" s="10"/>
      <c r="N3282" s="10"/>
      <c r="P3282" s="10"/>
      <c r="Q3282" s="22"/>
    </row>
    <row r="3283" customFormat="false" ht="15.75" hidden="false" customHeight="false" outlineLevel="0" collapsed="false">
      <c r="A3283" s="20" t="n">
        <v>46121</v>
      </c>
      <c r="B3283" s="15" t="s">
        <v>488</v>
      </c>
      <c r="C3283" s="15" t="s">
        <v>81</v>
      </c>
      <c r="D3283" s="15" t="s">
        <v>534</v>
      </c>
      <c r="E3283" s="15" t="n">
        <v>10</v>
      </c>
      <c r="H3283" s="10"/>
      <c r="I3283" s="21"/>
      <c r="M3283" s="10"/>
      <c r="N3283" s="10"/>
      <c r="P3283" s="10"/>
      <c r="Q3283" s="22"/>
    </row>
    <row r="3284" customFormat="false" ht="15.75" hidden="false" customHeight="false" outlineLevel="0" collapsed="false">
      <c r="A3284" s="20" t="n">
        <v>46121</v>
      </c>
      <c r="B3284" s="15" t="s">
        <v>488</v>
      </c>
      <c r="C3284" s="15" t="s">
        <v>77</v>
      </c>
      <c r="D3284" s="15" t="s">
        <v>78</v>
      </c>
      <c r="E3284" s="15" t="n">
        <v>3</v>
      </c>
      <c r="H3284" s="10"/>
      <c r="I3284" s="21"/>
      <c r="M3284" s="10"/>
      <c r="N3284" s="10"/>
      <c r="P3284" s="10"/>
      <c r="Q3284" s="22"/>
    </row>
    <row r="3285" customFormat="false" ht="15.75" hidden="false" customHeight="false" outlineLevel="0" collapsed="false">
      <c r="A3285" s="20" t="n">
        <v>46121</v>
      </c>
      <c r="B3285" s="15" t="s">
        <v>488</v>
      </c>
      <c r="C3285" s="15" t="s">
        <v>25</v>
      </c>
      <c r="D3285" s="15" t="s">
        <v>26</v>
      </c>
      <c r="E3285" s="15" t="n">
        <v>1</v>
      </c>
      <c r="H3285" s="10"/>
      <c r="I3285" s="21"/>
      <c r="M3285" s="10"/>
      <c r="N3285" s="10"/>
      <c r="P3285" s="10"/>
      <c r="Q3285" s="22"/>
    </row>
    <row r="3286" customFormat="false" ht="15.75" hidden="false" customHeight="false" outlineLevel="0" collapsed="false">
      <c r="A3286" s="20" t="n">
        <v>46121</v>
      </c>
      <c r="B3286" s="15" t="s">
        <v>496</v>
      </c>
      <c r="C3286" s="15" t="s">
        <v>81</v>
      </c>
      <c r="D3286" s="15" t="s">
        <v>534</v>
      </c>
      <c r="E3286" s="15" t="n">
        <v>7</v>
      </c>
      <c r="H3286" s="10"/>
      <c r="I3286" s="21"/>
      <c r="M3286" s="10"/>
      <c r="N3286" s="10"/>
      <c r="P3286" s="10"/>
      <c r="Q3286" s="22"/>
    </row>
    <row r="3287" customFormat="false" ht="15.75" hidden="false" customHeight="false" outlineLevel="0" collapsed="false">
      <c r="A3287" s="20" t="n">
        <v>46121</v>
      </c>
      <c r="B3287" s="15" t="s">
        <v>496</v>
      </c>
      <c r="C3287" s="15" t="s">
        <v>47</v>
      </c>
      <c r="D3287" s="15" t="s">
        <v>549</v>
      </c>
      <c r="E3287" s="15" t="n">
        <v>4</v>
      </c>
      <c r="H3287" s="10"/>
      <c r="I3287" s="21"/>
      <c r="M3287" s="10"/>
      <c r="N3287" s="10"/>
      <c r="P3287" s="10"/>
      <c r="Q3287" s="22"/>
    </row>
    <row r="3288" customFormat="false" ht="15.75" hidden="false" customHeight="false" outlineLevel="0" collapsed="false">
      <c r="A3288" s="20" t="n">
        <v>46121</v>
      </c>
      <c r="B3288" s="15" t="s">
        <v>496</v>
      </c>
      <c r="C3288" s="15" t="s">
        <v>55</v>
      </c>
      <c r="D3288" s="15" t="s">
        <v>539</v>
      </c>
      <c r="E3288" s="15" t="n">
        <v>2</v>
      </c>
      <c r="H3288" s="10"/>
      <c r="I3288" s="21"/>
      <c r="M3288" s="10"/>
      <c r="N3288" s="10"/>
      <c r="P3288" s="10"/>
      <c r="Q3288" s="22"/>
    </row>
    <row r="3289" customFormat="false" ht="15.75" hidden="false" customHeight="false" outlineLevel="0" collapsed="false">
      <c r="A3289" s="20" t="n">
        <v>46121</v>
      </c>
      <c r="B3289" s="15" t="s">
        <v>496</v>
      </c>
      <c r="C3289" s="15" t="s">
        <v>567</v>
      </c>
      <c r="D3289" s="15" t="s">
        <v>568</v>
      </c>
      <c r="E3289" s="15" t="n">
        <v>3</v>
      </c>
      <c r="H3289" s="10"/>
      <c r="I3289" s="21"/>
      <c r="M3289" s="10"/>
      <c r="N3289" s="10"/>
      <c r="P3289" s="10"/>
      <c r="Q3289" s="22"/>
    </row>
    <row r="3290" customFormat="false" ht="15.75" hidden="false" customHeight="false" outlineLevel="0" collapsed="false">
      <c r="A3290" s="20" t="n">
        <v>46121</v>
      </c>
      <c r="B3290" s="15" t="s">
        <v>496</v>
      </c>
      <c r="C3290" s="15" t="s">
        <v>545</v>
      </c>
      <c r="D3290" s="15" t="s">
        <v>546</v>
      </c>
      <c r="E3290" s="15" t="n">
        <v>3</v>
      </c>
      <c r="H3290" s="10"/>
      <c r="I3290" s="21"/>
      <c r="M3290" s="10"/>
      <c r="N3290" s="10"/>
      <c r="P3290" s="10"/>
      <c r="Q3290" s="22"/>
    </row>
    <row r="3291" customFormat="false" ht="15.75" hidden="false" customHeight="false" outlineLevel="0" collapsed="false">
      <c r="A3291" s="20" t="n">
        <v>46121</v>
      </c>
      <c r="B3291" s="15" t="s">
        <v>496</v>
      </c>
      <c r="C3291" s="15" t="s">
        <v>547</v>
      </c>
      <c r="D3291" s="15" t="s">
        <v>548</v>
      </c>
      <c r="E3291" s="15" t="n">
        <v>1</v>
      </c>
      <c r="H3291" s="10"/>
      <c r="I3291" s="21"/>
      <c r="M3291" s="10"/>
      <c r="N3291" s="10"/>
      <c r="P3291" s="10"/>
      <c r="Q3291" s="22"/>
    </row>
    <row r="3292" customFormat="false" ht="15.75" hidden="false" customHeight="false" outlineLevel="0" collapsed="false">
      <c r="A3292" s="20" t="n">
        <v>46121</v>
      </c>
      <c r="B3292" s="15" t="s">
        <v>496</v>
      </c>
      <c r="C3292" s="15" t="s">
        <v>555</v>
      </c>
      <c r="D3292" s="15" t="s">
        <v>556</v>
      </c>
      <c r="E3292" s="15" t="n">
        <v>4</v>
      </c>
      <c r="H3292" s="10"/>
      <c r="I3292" s="21"/>
      <c r="M3292" s="10"/>
      <c r="N3292" s="10"/>
      <c r="P3292" s="10"/>
      <c r="Q3292" s="22"/>
    </row>
    <row r="3293" customFormat="false" ht="15.75" hidden="false" customHeight="false" outlineLevel="0" collapsed="false">
      <c r="A3293" s="20" t="n">
        <v>46121</v>
      </c>
      <c r="B3293" s="15" t="s">
        <v>496</v>
      </c>
      <c r="C3293" s="15" t="s">
        <v>541</v>
      </c>
      <c r="D3293" s="15" t="s">
        <v>542</v>
      </c>
      <c r="E3293" s="15" t="n">
        <v>4</v>
      </c>
      <c r="H3293" s="10"/>
      <c r="I3293" s="21"/>
      <c r="M3293" s="10"/>
      <c r="N3293" s="10"/>
      <c r="P3293" s="10"/>
      <c r="Q3293" s="22"/>
    </row>
    <row r="3294" customFormat="false" ht="15.75" hidden="false" customHeight="false" outlineLevel="0" collapsed="false">
      <c r="A3294" s="20" t="n">
        <v>46121</v>
      </c>
      <c r="B3294" s="15" t="s">
        <v>496</v>
      </c>
      <c r="C3294" s="15" t="s">
        <v>45</v>
      </c>
      <c r="D3294" s="15" t="s">
        <v>540</v>
      </c>
      <c r="E3294" s="15" t="n">
        <v>1</v>
      </c>
      <c r="H3294" s="10"/>
      <c r="I3294" s="21"/>
      <c r="M3294" s="10"/>
      <c r="N3294" s="10"/>
      <c r="P3294" s="10"/>
      <c r="Q3294" s="22"/>
    </row>
    <row r="3295" customFormat="false" ht="15.75" hidden="false" customHeight="false" outlineLevel="0" collapsed="false">
      <c r="A3295" s="20" t="n">
        <v>46121</v>
      </c>
      <c r="B3295" s="15" t="s">
        <v>496</v>
      </c>
      <c r="C3295" s="15" t="s">
        <v>37</v>
      </c>
      <c r="D3295" s="15" t="s">
        <v>561</v>
      </c>
      <c r="E3295" s="15" t="n">
        <v>1</v>
      </c>
      <c r="H3295" s="10"/>
      <c r="I3295" s="21"/>
      <c r="M3295" s="10"/>
      <c r="N3295" s="10"/>
      <c r="P3295" s="10"/>
      <c r="Q3295" s="22"/>
    </row>
    <row r="3296" customFormat="false" ht="15.75" hidden="false" customHeight="false" outlineLevel="0" collapsed="false">
      <c r="A3296" s="20" t="n">
        <v>46121</v>
      </c>
      <c r="B3296" s="15" t="s">
        <v>496</v>
      </c>
      <c r="C3296" s="15" t="s">
        <v>543</v>
      </c>
      <c r="D3296" s="15" t="s">
        <v>544</v>
      </c>
      <c r="E3296" s="15" t="n">
        <v>4</v>
      </c>
      <c r="H3296" s="10"/>
      <c r="I3296" s="21"/>
      <c r="M3296" s="10"/>
      <c r="N3296" s="10"/>
      <c r="P3296" s="10"/>
      <c r="Q3296" s="22"/>
    </row>
    <row r="3297" customFormat="false" ht="15.75" hidden="false" customHeight="false" outlineLevel="0" collapsed="false">
      <c r="A3297" s="20" t="n">
        <v>46121</v>
      </c>
      <c r="B3297" s="15" t="s">
        <v>496</v>
      </c>
      <c r="C3297" s="15" t="s">
        <v>69</v>
      </c>
      <c r="D3297" s="15" t="s">
        <v>535</v>
      </c>
      <c r="E3297" s="15" t="n">
        <v>2</v>
      </c>
      <c r="H3297" s="10"/>
      <c r="I3297" s="21"/>
      <c r="M3297" s="10"/>
      <c r="N3297" s="10"/>
      <c r="P3297" s="10"/>
      <c r="Q3297" s="22"/>
    </row>
    <row r="3298" customFormat="false" ht="15.75" hidden="false" customHeight="false" outlineLevel="0" collapsed="false">
      <c r="A3298" s="20" t="n">
        <v>46121</v>
      </c>
      <c r="B3298" s="15" t="s">
        <v>496</v>
      </c>
      <c r="C3298" s="15" t="s">
        <v>77</v>
      </c>
      <c r="D3298" s="15" t="s">
        <v>78</v>
      </c>
      <c r="E3298" s="15" t="n">
        <v>2</v>
      </c>
      <c r="H3298" s="10"/>
      <c r="I3298" s="21"/>
      <c r="M3298" s="10"/>
      <c r="N3298" s="10"/>
      <c r="P3298" s="10"/>
      <c r="Q3298" s="22"/>
    </row>
    <row r="3299" customFormat="false" ht="15.75" hidden="false" customHeight="false" outlineLevel="0" collapsed="false">
      <c r="A3299" s="20" t="n">
        <v>46121</v>
      </c>
      <c r="B3299" s="15" t="s">
        <v>496</v>
      </c>
      <c r="C3299" s="15" t="s">
        <v>59</v>
      </c>
      <c r="D3299" s="15" t="s">
        <v>562</v>
      </c>
      <c r="E3299" s="15" t="n">
        <v>2</v>
      </c>
      <c r="H3299" s="10"/>
      <c r="I3299" s="21"/>
      <c r="M3299" s="10"/>
      <c r="N3299" s="10"/>
      <c r="P3299" s="10"/>
      <c r="Q3299" s="22"/>
    </row>
    <row r="3300" customFormat="false" ht="15.75" hidden="false" customHeight="false" outlineLevel="0" collapsed="false">
      <c r="A3300" s="20" t="n">
        <v>46121</v>
      </c>
      <c r="B3300" s="15" t="s">
        <v>496</v>
      </c>
      <c r="C3300" s="15" t="s">
        <v>33</v>
      </c>
      <c r="D3300" s="15" t="s">
        <v>536</v>
      </c>
      <c r="E3300" s="15" t="n">
        <v>2</v>
      </c>
      <c r="H3300" s="10"/>
      <c r="I3300" s="21"/>
      <c r="M3300" s="10"/>
      <c r="N3300" s="10"/>
      <c r="P3300" s="10"/>
      <c r="Q3300" s="22"/>
    </row>
    <row r="3301" customFormat="false" ht="15.75" hidden="false" customHeight="false" outlineLevel="0" collapsed="false">
      <c r="A3301" s="20" t="n">
        <v>46121</v>
      </c>
      <c r="B3301" s="15" t="s">
        <v>496</v>
      </c>
      <c r="C3301" s="15" t="s">
        <v>79</v>
      </c>
      <c r="D3301" s="15" t="s">
        <v>564</v>
      </c>
      <c r="E3301" s="15" t="n">
        <v>1</v>
      </c>
      <c r="H3301" s="10"/>
      <c r="I3301" s="21"/>
      <c r="M3301" s="10"/>
      <c r="N3301" s="10"/>
      <c r="P3301" s="10"/>
      <c r="Q3301" s="22"/>
    </row>
    <row r="3302" customFormat="false" ht="15.75" hidden="false" customHeight="false" outlineLevel="0" collapsed="false">
      <c r="A3302" s="20" t="n">
        <v>46121</v>
      </c>
      <c r="B3302" s="15" t="s">
        <v>496</v>
      </c>
      <c r="C3302" s="15" t="s">
        <v>65</v>
      </c>
      <c r="D3302" s="15" t="s">
        <v>580</v>
      </c>
      <c r="E3302" s="15" t="n">
        <v>1</v>
      </c>
      <c r="H3302" s="10"/>
      <c r="I3302" s="21"/>
      <c r="M3302" s="10"/>
      <c r="N3302" s="10"/>
      <c r="P3302" s="10"/>
      <c r="Q3302" s="22"/>
    </row>
    <row r="3303" customFormat="false" ht="15.75" hidden="false" customHeight="false" outlineLevel="0" collapsed="false">
      <c r="A3303" s="20" t="n">
        <v>46121</v>
      </c>
      <c r="B3303" s="15" t="s">
        <v>498</v>
      </c>
      <c r="C3303" s="15" t="s">
        <v>81</v>
      </c>
      <c r="D3303" s="15" t="s">
        <v>534</v>
      </c>
      <c r="E3303" s="15" t="n">
        <v>9</v>
      </c>
      <c r="H3303" s="10"/>
      <c r="I3303" s="21"/>
      <c r="M3303" s="10"/>
      <c r="N3303" s="10"/>
      <c r="P3303" s="10"/>
      <c r="Q3303" s="22"/>
    </row>
    <row r="3304" customFormat="false" ht="15.75" hidden="false" customHeight="false" outlineLevel="0" collapsed="false">
      <c r="A3304" s="20" t="n">
        <v>46121</v>
      </c>
      <c r="B3304" s="15" t="s">
        <v>498</v>
      </c>
      <c r="C3304" s="15" t="s">
        <v>543</v>
      </c>
      <c r="D3304" s="15" t="s">
        <v>544</v>
      </c>
      <c r="E3304" s="15" t="n">
        <v>1</v>
      </c>
      <c r="H3304" s="10"/>
      <c r="I3304" s="21"/>
      <c r="M3304" s="10"/>
      <c r="N3304" s="10"/>
      <c r="P3304" s="10"/>
      <c r="Q3304" s="22"/>
    </row>
    <row r="3305" customFormat="false" ht="15.75" hidden="false" customHeight="false" outlineLevel="0" collapsed="false">
      <c r="A3305" s="20" t="n">
        <v>46121</v>
      </c>
      <c r="B3305" s="15" t="s">
        <v>498</v>
      </c>
      <c r="C3305" s="15" t="s">
        <v>69</v>
      </c>
      <c r="D3305" s="15" t="s">
        <v>535</v>
      </c>
      <c r="E3305" s="15" t="n">
        <v>2</v>
      </c>
      <c r="H3305" s="10"/>
      <c r="I3305" s="21"/>
      <c r="M3305" s="10"/>
      <c r="N3305" s="10"/>
      <c r="P3305" s="10"/>
      <c r="Q3305" s="22"/>
    </row>
    <row r="3306" customFormat="false" ht="15.75" hidden="false" customHeight="false" outlineLevel="0" collapsed="false">
      <c r="A3306" s="20" t="n">
        <v>46121</v>
      </c>
      <c r="B3306" s="15" t="s">
        <v>498</v>
      </c>
      <c r="C3306" s="15" t="s">
        <v>33</v>
      </c>
      <c r="D3306" s="15" t="s">
        <v>536</v>
      </c>
      <c r="E3306" s="15" t="n">
        <v>3</v>
      </c>
      <c r="H3306" s="10"/>
      <c r="I3306" s="21"/>
      <c r="M3306" s="10"/>
      <c r="N3306" s="10"/>
      <c r="P3306" s="10"/>
      <c r="Q3306" s="22"/>
    </row>
    <row r="3307" customFormat="false" ht="15.75" hidden="false" customHeight="false" outlineLevel="0" collapsed="false">
      <c r="A3307" s="20" t="n">
        <v>46121</v>
      </c>
      <c r="B3307" s="15" t="s">
        <v>498</v>
      </c>
      <c r="C3307" s="15" t="s">
        <v>55</v>
      </c>
      <c r="D3307" s="15" t="s">
        <v>539</v>
      </c>
      <c r="E3307" s="15" t="n">
        <v>1</v>
      </c>
      <c r="H3307" s="10"/>
      <c r="I3307" s="21"/>
      <c r="M3307" s="10"/>
      <c r="N3307" s="10"/>
      <c r="P3307" s="10"/>
      <c r="Q3307" s="22"/>
    </row>
    <row r="3308" customFormat="false" ht="15.75" hidden="false" customHeight="false" outlineLevel="0" collapsed="false">
      <c r="A3308" s="20" t="n">
        <v>46121</v>
      </c>
      <c r="B3308" s="15" t="s">
        <v>498</v>
      </c>
      <c r="C3308" s="15" t="s">
        <v>59</v>
      </c>
      <c r="D3308" s="15" t="s">
        <v>562</v>
      </c>
      <c r="E3308" s="15" t="n">
        <v>1</v>
      </c>
      <c r="H3308" s="10"/>
      <c r="I3308" s="21"/>
      <c r="M3308" s="10"/>
      <c r="N3308" s="10"/>
      <c r="P3308" s="10"/>
      <c r="Q3308" s="22"/>
    </row>
    <row r="3309" customFormat="false" ht="15.75" hidden="false" customHeight="false" outlineLevel="0" collapsed="false">
      <c r="A3309" s="20" t="n">
        <v>46121</v>
      </c>
      <c r="B3309" s="15" t="s">
        <v>498</v>
      </c>
      <c r="C3309" s="15" t="s">
        <v>47</v>
      </c>
      <c r="D3309" s="15" t="s">
        <v>549</v>
      </c>
      <c r="E3309" s="15" t="n">
        <v>1</v>
      </c>
      <c r="H3309" s="10"/>
      <c r="I3309" s="21"/>
      <c r="M3309" s="10"/>
      <c r="N3309" s="10"/>
      <c r="P3309" s="10"/>
      <c r="Q3309" s="22"/>
    </row>
    <row r="3310" customFormat="false" ht="15.75" hidden="false" customHeight="false" outlineLevel="0" collapsed="false">
      <c r="A3310" s="20" t="n">
        <v>46121</v>
      </c>
      <c r="B3310" s="15" t="s">
        <v>498</v>
      </c>
      <c r="C3310" s="15" t="s">
        <v>75</v>
      </c>
      <c r="D3310" s="15" t="s">
        <v>560</v>
      </c>
      <c r="E3310" s="15" t="n">
        <v>1</v>
      </c>
      <c r="H3310" s="10"/>
      <c r="I3310" s="21"/>
      <c r="M3310" s="10"/>
      <c r="N3310" s="10"/>
      <c r="P3310" s="10"/>
      <c r="Q3310" s="22"/>
    </row>
    <row r="3311" customFormat="false" ht="15.75" hidden="false" customHeight="false" outlineLevel="0" collapsed="false">
      <c r="A3311" s="20" t="n">
        <v>46121</v>
      </c>
      <c r="B3311" s="15" t="s">
        <v>498</v>
      </c>
      <c r="C3311" s="15" t="s">
        <v>77</v>
      </c>
      <c r="D3311" s="15" t="s">
        <v>78</v>
      </c>
      <c r="E3311" s="15" t="n">
        <v>1</v>
      </c>
      <c r="H3311" s="10"/>
      <c r="I3311" s="21"/>
      <c r="M3311" s="10"/>
      <c r="N3311" s="10"/>
      <c r="P3311" s="10"/>
      <c r="Q3311" s="22"/>
    </row>
    <row r="3312" customFormat="false" ht="15.75" hidden="false" customHeight="false" outlineLevel="0" collapsed="false">
      <c r="A3312" s="20" t="n">
        <v>46121</v>
      </c>
      <c r="B3312" s="15" t="s">
        <v>504</v>
      </c>
      <c r="C3312" s="15" t="s">
        <v>47</v>
      </c>
      <c r="D3312" s="15" t="s">
        <v>549</v>
      </c>
      <c r="E3312" s="15" t="n">
        <v>3</v>
      </c>
      <c r="H3312" s="10"/>
      <c r="I3312" s="21"/>
      <c r="M3312" s="10"/>
      <c r="N3312" s="10"/>
      <c r="P3312" s="10"/>
      <c r="Q3312" s="22"/>
    </row>
    <row r="3313" customFormat="false" ht="15.75" hidden="false" customHeight="false" outlineLevel="0" collapsed="false">
      <c r="A3313" s="20" t="n">
        <v>46121</v>
      </c>
      <c r="B3313" s="15" t="s">
        <v>504</v>
      </c>
      <c r="C3313" s="15" t="s">
        <v>55</v>
      </c>
      <c r="D3313" s="15" t="s">
        <v>539</v>
      </c>
      <c r="E3313" s="15" t="n">
        <v>6</v>
      </c>
      <c r="H3313" s="10"/>
      <c r="I3313" s="21"/>
      <c r="M3313" s="10"/>
      <c r="N3313" s="10"/>
      <c r="P3313" s="10"/>
      <c r="Q3313" s="22"/>
    </row>
    <row r="3314" customFormat="false" ht="15.75" hidden="false" customHeight="false" outlineLevel="0" collapsed="false">
      <c r="A3314" s="20" t="n">
        <v>46121</v>
      </c>
      <c r="B3314" s="15" t="s">
        <v>504</v>
      </c>
      <c r="C3314" s="15" t="s">
        <v>81</v>
      </c>
      <c r="D3314" s="15" t="s">
        <v>534</v>
      </c>
      <c r="E3314" s="15" t="n">
        <v>9</v>
      </c>
      <c r="H3314" s="10"/>
      <c r="I3314" s="21"/>
      <c r="M3314" s="10"/>
      <c r="N3314" s="10"/>
      <c r="P3314" s="10"/>
      <c r="Q3314" s="22"/>
    </row>
    <row r="3315" customFormat="false" ht="15.75" hidden="false" customHeight="false" outlineLevel="0" collapsed="false">
      <c r="A3315" s="20" t="n">
        <v>46121</v>
      </c>
      <c r="B3315" s="15" t="s">
        <v>504</v>
      </c>
      <c r="C3315" s="15" t="s">
        <v>39</v>
      </c>
      <c r="D3315" s="15" t="s">
        <v>550</v>
      </c>
      <c r="E3315" s="15" t="n">
        <v>1</v>
      </c>
      <c r="H3315" s="10"/>
      <c r="I3315" s="21"/>
      <c r="M3315" s="10"/>
      <c r="N3315" s="10"/>
      <c r="P3315" s="10"/>
      <c r="Q3315" s="22"/>
    </row>
    <row r="3316" customFormat="false" ht="15.75" hidden="false" customHeight="false" outlineLevel="0" collapsed="false">
      <c r="A3316" s="20" t="n">
        <v>46121</v>
      </c>
      <c r="B3316" s="15" t="s">
        <v>504</v>
      </c>
      <c r="C3316" s="15" t="s">
        <v>63</v>
      </c>
      <c r="D3316" s="15" t="s">
        <v>551</v>
      </c>
      <c r="E3316" s="15" t="n">
        <v>1</v>
      </c>
      <c r="H3316" s="10"/>
      <c r="I3316" s="21"/>
      <c r="M3316" s="10"/>
      <c r="N3316" s="10"/>
      <c r="P3316" s="10"/>
      <c r="Q3316" s="22"/>
    </row>
    <row r="3317" customFormat="false" ht="15.75" hidden="false" customHeight="false" outlineLevel="0" collapsed="false">
      <c r="A3317" s="20" t="n">
        <v>46121</v>
      </c>
      <c r="B3317" s="15" t="s">
        <v>504</v>
      </c>
      <c r="C3317" s="15" t="s">
        <v>17</v>
      </c>
      <c r="D3317" s="15" t="s">
        <v>554</v>
      </c>
      <c r="E3317" s="15" t="n">
        <v>1</v>
      </c>
      <c r="H3317" s="10"/>
      <c r="I3317" s="21"/>
      <c r="M3317" s="10"/>
      <c r="N3317" s="10"/>
      <c r="P3317" s="10"/>
      <c r="Q3317" s="22"/>
    </row>
    <row r="3318" customFormat="false" ht="15.75" hidden="false" customHeight="false" outlineLevel="0" collapsed="false">
      <c r="A3318" s="20" t="n">
        <v>46121</v>
      </c>
      <c r="B3318" s="15" t="s">
        <v>505</v>
      </c>
      <c r="C3318" s="15" t="s">
        <v>55</v>
      </c>
      <c r="D3318" s="15" t="s">
        <v>539</v>
      </c>
      <c r="E3318" s="15" t="n">
        <v>6</v>
      </c>
      <c r="H3318" s="10"/>
      <c r="I3318" s="21"/>
      <c r="M3318" s="10"/>
      <c r="N3318" s="10"/>
      <c r="P3318" s="10"/>
      <c r="Q3318" s="22"/>
    </row>
    <row r="3319" customFormat="false" ht="15.75" hidden="false" customHeight="false" outlineLevel="0" collapsed="false">
      <c r="A3319" s="20" t="n">
        <v>46121</v>
      </c>
      <c r="B3319" s="15" t="s">
        <v>505</v>
      </c>
      <c r="C3319" s="15" t="s">
        <v>39</v>
      </c>
      <c r="D3319" s="15" t="s">
        <v>550</v>
      </c>
      <c r="E3319" s="15" t="n">
        <v>1</v>
      </c>
      <c r="H3319" s="10"/>
      <c r="I3319" s="21"/>
      <c r="M3319" s="10"/>
      <c r="N3319" s="10"/>
      <c r="P3319" s="10"/>
      <c r="Q3319" s="22"/>
    </row>
    <row r="3320" customFormat="false" ht="15.75" hidden="false" customHeight="false" outlineLevel="0" collapsed="false">
      <c r="A3320" s="20" t="n">
        <v>46121</v>
      </c>
      <c r="B3320" s="15" t="s">
        <v>505</v>
      </c>
      <c r="C3320" s="15" t="s">
        <v>81</v>
      </c>
      <c r="D3320" s="15" t="s">
        <v>534</v>
      </c>
      <c r="E3320" s="15" t="n">
        <v>9</v>
      </c>
      <c r="H3320" s="10"/>
      <c r="I3320" s="21"/>
      <c r="M3320" s="10"/>
      <c r="N3320" s="10"/>
      <c r="P3320" s="10"/>
      <c r="Q3320" s="22"/>
    </row>
    <row r="3321" customFormat="false" ht="15.75" hidden="false" customHeight="false" outlineLevel="0" collapsed="false">
      <c r="A3321" s="20" t="n">
        <v>46121</v>
      </c>
      <c r="B3321" s="15" t="s">
        <v>505</v>
      </c>
      <c r="C3321" s="15" t="s">
        <v>47</v>
      </c>
      <c r="D3321" s="15" t="s">
        <v>549</v>
      </c>
      <c r="E3321" s="15" t="n">
        <v>3</v>
      </c>
      <c r="H3321" s="10"/>
      <c r="I3321" s="21"/>
      <c r="M3321" s="10"/>
      <c r="N3321" s="10"/>
      <c r="P3321" s="10"/>
      <c r="Q3321" s="22"/>
    </row>
    <row r="3322" customFormat="false" ht="15.75" hidden="false" customHeight="false" outlineLevel="0" collapsed="false">
      <c r="A3322" s="20" t="n">
        <v>46121</v>
      </c>
      <c r="B3322" s="15" t="s">
        <v>505</v>
      </c>
      <c r="C3322" s="15" t="s">
        <v>63</v>
      </c>
      <c r="D3322" s="15" t="s">
        <v>551</v>
      </c>
      <c r="E3322" s="15" t="n">
        <v>1</v>
      </c>
      <c r="H3322" s="10"/>
      <c r="I3322" s="21"/>
      <c r="M3322" s="10"/>
      <c r="N3322" s="10"/>
      <c r="P3322" s="10"/>
      <c r="Q3322" s="22"/>
    </row>
    <row r="3323" customFormat="false" ht="15.75" hidden="false" customHeight="false" outlineLevel="0" collapsed="false">
      <c r="A3323" s="20" t="n">
        <v>46121</v>
      </c>
      <c r="B3323" s="15" t="s">
        <v>505</v>
      </c>
      <c r="C3323" s="15" t="s">
        <v>17</v>
      </c>
      <c r="D3323" s="15" t="s">
        <v>554</v>
      </c>
      <c r="E3323" s="15" t="n">
        <v>1</v>
      </c>
      <c r="H3323" s="10"/>
      <c r="I3323" s="21"/>
      <c r="M3323" s="10"/>
      <c r="N3323" s="10"/>
      <c r="P3323" s="10"/>
      <c r="Q3323" s="22"/>
    </row>
    <row r="3324" customFormat="false" ht="15.75" hidden="false" customHeight="false" outlineLevel="0" collapsed="false">
      <c r="A3324" s="20" t="n">
        <v>46121</v>
      </c>
      <c r="B3324" s="15" t="s">
        <v>508</v>
      </c>
      <c r="C3324" s="15" t="s">
        <v>55</v>
      </c>
      <c r="D3324" s="15" t="s">
        <v>539</v>
      </c>
      <c r="E3324" s="15" t="n">
        <v>5</v>
      </c>
      <c r="H3324" s="10"/>
      <c r="I3324" s="21"/>
      <c r="M3324" s="10"/>
      <c r="N3324" s="10"/>
      <c r="P3324" s="10"/>
      <c r="Q3324" s="22"/>
    </row>
    <row r="3325" customFormat="false" ht="15.75" hidden="false" customHeight="false" outlineLevel="0" collapsed="false">
      <c r="A3325" s="20" t="n">
        <v>46121</v>
      </c>
      <c r="B3325" s="15" t="s">
        <v>508</v>
      </c>
      <c r="C3325" s="15" t="s">
        <v>81</v>
      </c>
      <c r="D3325" s="15" t="s">
        <v>534</v>
      </c>
      <c r="E3325" s="15" t="n">
        <v>9</v>
      </c>
      <c r="H3325" s="10"/>
      <c r="I3325" s="21"/>
      <c r="M3325" s="10"/>
      <c r="N3325" s="10"/>
      <c r="P3325" s="10"/>
      <c r="Q3325" s="22"/>
    </row>
    <row r="3326" customFormat="false" ht="15.75" hidden="false" customHeight="false" outlineLevel="0" collapsed="false">
      <c r="A3326" s="20" t="n">
        <v>46121</v>
      </c>
      <c r="B3326" s="15" t="s">
        <v>508</v>
      </c>
      <c r="C3326" s="15" t="s">
        <v>39</v>
      </c>
      <c r="D3326" s="15" t="s">
        <v>550</v>
      </c>
      <c r="E3326" s="15" t="n">
        <v>2</v>
      </c>
      <c r="H3326" s="10"/>
      <c r="I3326" s="21"/>
      <c r="M3326" s="10"/>
      <c r="N3326" s="10"/>
      <c r="P3326" s="10"/>
      <c r="Q3326" s="22"/>
    </row>
    <row r="3327" customFormat="false" ht="15.75" hidden="false" customHeight="false" outlineLevel="0" collapsed="false">
      <c r="A3327" s="20" t="n">
        <v>46121</v>
      </c>
      <c r="B3327" s="15" t="s">
        <v>508</v>
      </c>
      <c r="C3327" s="15" t="s">
        <v>47</v>
      </c>
      <c r="D3327" s="15" t="s">
        <v>549</v>
      </c>
      <c r="E3327" s="15" t="n">
        <v>2</v>
      </c>
      <c r="H3327" s="10"/>
      <c r="I3327" s="21"/>
      <c r="M3327" s="10"/>
      <c r="N3327" s="10"/>
      <c r="P3327" s="10"/>
      <c r="Q3327" s="22"/>
    </row>
    <row r="3328" customFormat="false" ht="15.75" hidden="false" customHeight="false" outlineLevel="0" collapsed="false">
      <c r="A3328" s="20" t="n">
        <v>46121</v>
      </c>
      <c r="B3328" s="15" t="s">
        <v>508</v>
      </c>
      <c r="C3328" s="15" t="s">
        <v>63</v>
      </c>
      <c r="D3328" s="15" t="s">
        <v>551</v>
      </c>
      <c r="E3328" s="15" t="n">
        <v>1</v>
      </c>
      <c r="H3328" s="10"/>
      <c r="I3328" s="21"/>
      <c r="M3328" s="10"/>
      <c r="N3328" s="10"/>
      <c r="P3328" s="10"/>
      <c r="Q3328" s="22"/>
    </row>
    <row r="3329" customFormat="false" ht="15.75" hidden="false" customHeight="false" outlineLevel="0" collapsed="false">
      <c r="A3329" s="20" t="n">
        <v>46121</v>
      </c>
      <c r="B3329" s="15" t="s">
        <v>528</v>
      </c>
      <c r="C3329" s="15" t="s">
        <v>81</v>
      </c>
      <c r="D3329" s="15" t="s">
        <v>534</v>
      </c>
      <c r="E3329" s="15" t="n">
        <v>6</v>
      </c>
      <c r="H3329" s="10"/>
      <c r="I3329" s="21"/>
      <c r="M3329" s="10"/>
      <c r="N3329" s="10"/>
      <c r="P3329" s="10"/>
      <c r="Q3329" s="22"/>
    </row>
    <row r="3330" customFormat="false" ht="15.75" hidden="false" customHeight="false" outlineLevel="0" collapsed="false">
      <c r="A3330" s="20" t="n">
        <v>46121</v>
      </c>
      <c r="B3330" s="15" t="s">
        <v>528</v>
      </c>
      <c r="C3330" s="15" t="s">
        <v>69</v>
      </c>
      <c r="D3330" s="15" t="s">
        <v>535</v>
      </c>
      <c r="E3330" s="15" t="n">
        <v>4</v>
      </c>
      <c r="H3330" s="10"/>
      <c r="I3330" s="21"/>
      <c r="M3330" s="10"/>
      <c r="N3330" s="10"/>
      <c r="P3330" s="10"/>
      <c r="Q3330" s="22"/>
    </row>
    <row r="3331" customFormat="false" ht="15.75" hidden="false" customHeight="false" outlineLevel="0" collapsed="false">
      <c r="A3331" s="20" t="n">
        <v>46121</v>
      </c>
      <c r="B3331" s="15" t="s">
        <v>528</v>
      </c>
      <c r="C3331" s="15" t="s">
        <v>33</v>
      </c>
      <c r="D3331" s="15" t="s">
        <v>536</v>
      </c>
      <c r="E3331" s="15" t="n">
        <v>2</v>
      </c>
      <c r="H3331" s="10"/>
      <c r="I3331" s="21"/>
      <c r="M3331" s="10"/>
      <c r="N3331" s="10"/>
      <c r="P3331" s="10"/>
      <c r="Q3331" s="22"/>
    </row>
    <row r="3332" customFormat="false" ht="15.75" hidden="false" customHeight="false" outlineLevel="0" collapsed="false">
      <c r="A3332" s="20" t="n">
        <v>46121</v>
      </c>
      <c r="B3332" s="15" t="s">
        <v>528</v>
      </c>
      <c r="C3332" s="15" t="s">
        <v>77</v>
      </c>
      <c r="D3332" s="15" t="s">
        <v>78</v>
      </c>
      <c r="E3332" s="15" t="n">
        <v>2</v>
      </c>
      <c r="H3332" s="10"/>
      <c r="I3332" s="21"/>
      <c r="M3332" s="10"/>
      <c r="N3332" s="10"/>
      <c r="P3332" s="10"/>
      <c r="Q3332" s="22"/>
    </row>
    <row r="3333" customFormat="false" ht="15.75" hidden="false" customHeight="false" outlineLevel="0" collapsed="false">
      <c r="A3333" s="20" t="n">
        <v>46121</v>
      </c>
      <c r="B3333" s="15" t="s">
        <v>528</v>
      </c>
      <c r="C3333" s="15" t="s">
        <v>547</v>
      </c>
      <c r="D3333" s="15" t="s">
        <v>548</v>
      </c>
      <c r="E3333" s="15" t="n">
        <v>2</v>
      </c>
      <c r="H3333" s="10"/>
      <c r="I3333" s="21"/>
      <c r="M3333" s="10"/>
      <c r="N3333" s="10"/>
      <c r="P3333" s="10"/>
      <c r="Q3333" s="22"/>
    </row>
    <row r="3334" customFormat="false" ht="15.75" hidden="false" customHeight="false" outlineLevel="0" collapsed="false">
      <c r="A3334" s="20" t="n">
        <v>46121</v>
      </c>
      <c r="B3334" s="15" t="s">
        <v>528</v>
      </c>
      <c r="C3334" s="15" t="s">
        <v>545</v>
      </c>
      <c r="D3334" s="15" t="s">
        <v>546</v>
      </c>
      <c r="E3334" s="15" t="n">
        <v>2</v>
      </c>
      <c r="H3334" s="10"/>
      <c r="I3334" s="21"/>
      <c r="M3334" s="10"/>
      <c r="N3334" s="10"/>
      <c r="P3334" s="10"/>
      <c r="Q3334" s="22"/>
    </row>
    <row r="3335" customFormat="false" ht="15.75" hidden="false" customHeight="false" outlineLevel="0" collapsed="false">
      <c r="A3335" s="20" t="n">
        <v>46121</v>
      </c>
      <c r="B3335" s="15" t="s">
        <v>528</v>
      </c>
      <c r="C3335" s="15" t="s">
        <v>543</v>
      </c>
      <c r="D3335" s="15" t="s">
        <v>544</v>
      </c>
      <c r="E3335" s="15" t="n">
        <v>4</v>
      </c>
      <c r="H3335" s="10"/>
      <c r="I3335" s="21"/>
      <c r="M3335" s="10"/>
      <c r="N3335" s="10"/>
      <c r="P3335" s="10"/>
      <c r="Q3335" s="22"/>
    </row>
    <row r="3336" customFormat="false" ht="15.75" hidden="false" customHeight="false" outlineLevel="0" collapsed="false">
      <c r="A3336" s="20" t="n">
        <v>46121</v>
      </c>
      <c r="B3336" s="15" t="s">
        <v>528</v>
      </c>
      <c r="C3336" s="15" t="s">
        <v>541</v>
      </c>
      <c r="D3336" s="15" t="s">
        <v>542</v>
      </c>
      <c r="E3336" s="15" t="n">
        <v>1</v>
      </c>
      <c r="H3336" s="10"/>
      <c r="I3336" s="21"/>
      <c r="M3336" s="10"/>
      <c r="N3336" s="10"/>
      <c r="P3336" s="10"/>
      <c r="Q3336" s="22"/>
    </row>
    <row r="3337" customFormat="false" ht="15.75" hidden="false" customHeight="false" outlineLevel="0" collapsed="false">
      <c r="A3337" s="20" t="n">
        <v>46121</v>
      </c>
      <c r="B3337" s="15" t="s">
        <v>528</v>
      </c>
      <c r="C3337" s="15" t="s">
        <v>45</v>
      </c>
      <c r="D3337" s="15" t="s">
        <v>540</v>
      </c>
      <c r="E3337" s="15" t="n">
        <v>1</v>
      </c>
      <c r="H3337" s="10"/>
      <c r="I3337" s="21"/>
      <c r="M3337" s="10"/>
      <c r="N3337" s="10"/>
      <c r="P3337" s="10"/>
      <c r="Q3337" s="22"/>
    </row>
    <row r="3338" customFormat="false" ht="15.75" hidden="false" customHeight="false" outlineLevel="0" collapsed="false">
      <c r="A3338" s="20" t="n">
        <v>46121</v>
      </c>
      <c r="B3338" s="15" t="s">
        <v>528</v>
      </c>
      <c r="C3338" s="15" t="s">
        <v>55</v>
      </c>
      <c r="D3338" s="15" t="s">
        <v>539</v>
      </c>
      <c r="E3338" s="15" t="n">
        <v>1</v>
      </c>
      <c r="H3338" s="10"/>
      <c r="I3338" s="21"/>
      <c r="M3338" s="10"/>
      <c r="N3338" s="10"/>
      <c r="P3338" s="10"/>
      <c r="Q3338" s="22"/>
    </row>
    <row r="3339" customFormat="false" ht="15.75" hidden="false" customHeight="false" outlineLevel="0" collapsed="false">
      <c r="A3339" s="20" t="n">
        <v>46121</v>
      </c>
      <c r="B3339" s="15" t="s">
        <v>528</v>
      </c>
      <c r="C3339" s="15" t="s">
        <v>59</v>
      </c>
      <c r="D3339" s="15" t="s">
        <v>562</v>
      </c>
      <c r="E3339" s="15" t="n">
        <v>1</v>
      </c>
      <c r="H3339" s="10"/>
      <c r="I3339" s="21"/>
      <c r="M3339" s="10"/>
      <c r="N3339" s="10"/>
      <c r="P3339" s="10"/>
      <c r="Q3339" s="22"/>
    </row>
    <row r="3340" customFormat="false" ht="15.75" hidden="false" customHeight="false" outlineLevel="0" collapsed="false">
      <c r="A3340" s="20" t="n">
        <v>46121</v>
      </c>
      <c r="B3340" s="15" t="s">
        <v>528</v>
      </c>
      <c r="C3340" s="15" t="s">
        <v>47</v>
      </c>
      <c r="D3340" s="15" t="s">
        <v>549</v>
      </c>
      <c r="E3340" s="15" t="n">
        <v>1</v>
      </c>
      <c r="H3340" s="10"/>
      <c r="I3340" s="21"/>
      <c r="M3340" s="10"/>
      <c r="N3340" s="10"/>
      <c r="P3340" s="10"/>
      <c r="Q3340" s="22"/>
    </row>
    <row r="3341" customFormat="false" ht="15.75" hidden="false" customHeight="false" outlineLevel="0" collapsed="false">
      <c r="A3341" s="20" t="n">
        <v>46121</v>
      </c>
      <c r="B3341" s="15" t="s">
        <v>528</v>
      </c>
      <c r="C3341" s="15" t="s">
        <v>43</v>
      </c>
      <c r="D3341" s="15" t="s">
        <v>538</v>
      </c>
      <c r="E3341" s="15" t="n">
        <v>1</v>
      </c>
      <c r="H3341" s="10"/>
      <c r="I3341" s="21"/>
      <c r="M3341" s="10"/>
      <c r="N3341" s="10"/>
      <c r="P3341" s="10"/>
      <c r="Q3341" s="22"/>
    </row>
    <row r="3342" customFormat="false" ht="15.75" hidden="false" customHeight="false" outlineLevel="0" collapsed="false">
      <c r="A3342" s="20" t="n">
        <v>46121</v>
      </c>
      <c r="B3342" s="15" t="s">
        <v>528</v>
      </c>
      <c r="C3342" s="15" t="s">
        <v>87</v>
      </c>
      <c r="D3342" s="15" t="s">
        <v>563</v>
      </c>
      <c r="E3342" s="15" t="n">
        <v>1</v>
      </c>
      <c r="H3342" s="10"/>
      <c r="I3342" s="21"/>
      <c r="M3342" s="10"/>
      <c r="N3342" s="10"/>
      <c r="P3342" s="10"/>
      <c r="Q3342" s="22"/>
    </row>
    <row r="3343" customFormat="false" ht="15.75" hidden="false" customHeight="false" outlineLevel="0" collapsed="false">
      <c r="A3343" s="20" t="n">
        <v>46122</v>
      </c>
      <c r="B3343" s="15" t="s">
        <v>452</v>
      </c>
      <c r="C3343" s="15" t="s">
        <v>81</v>
      </c>
      <c r="D3343" s="15" t="s">
        <v>534</v>
      </c>
      <c r="E3343" s="15" t="n">
        <v>11</v>
      </c>
      <c r="H3343" s="10"/>
      <c r="I3343" s="21"/>
      <c r="M3343" s="10"/>
      <c r="N3343" s="10"/>
      <c r="P3343" s="10"/>
      <c r="Q3343" s="22"/>
    </row>
    <row r="3344" customFormat="false" ht="15.75" hidden="false" customHeight="false" outlineLevel="0" collapsed="false">
      <c r="A3344" s="20" t="n">
        <v>46122</v>
      </c>
      <c r="B3344" s="15" t="s">
        <v>452</v>
      </c>
      <c r="C3344" s="15" t="s">
        <v>555</v>
      </c>
      <c r="D3344" s="15" t="s">
        <v>556</v>
      </c>
      <c r="E3344" s="15" t="n">
        <v>2</v>
      </c>
      <c r="H3344" s="10"/>
      <c r="I3344" s="21"/>
      <c r="M3344" s="10"/>
      <c r="N3344" s="10"/>
      <c r="P3344" s="10"/>
      <c r="Q3344" s="22"/>
    </row>
    <row r="3345" customFormat="false" ht="15.75" hidden="false" customHeight="false" outlineLevel="0" collapsed="false">
      <c r="A3345" s="20" t="n">
        <v>46122</v>
      </c>
      <c r="B3345" s="15" t="s">
        <v>452</v>
      </c>
      <c r="C3345" s="15" t="s">
        <v>545</v>
      </c>
      <c r="D3345" s="15" t="s">
        <v>546</v>
      </c>
      <c r="E3345" s="15" t="n">
        <v>1</v>
      </c>
      <c r="H3345" s="10"/>
      <c r="I3345" s="21"/>
      <c r="M3345" s="10"/>
      <c r="N3345" s="10"/>
      <c r="P3345" s="10"/>
      <c r="Q3345" s="22"/>
    </row>
    <row r="3346" customFormat="false" ht="15.75" hidden="false" customHeight="false" outlineLevel="0" collapsed="false">
      <c r="A3346" s="20" t="n">
        <v>46122</v>
      </c>
      <c r="B3346" s="15" t="s">
        <v>452</v>
      </c>
      <c r="C3346" s="15" t="s">
        <v>543</v>
      </c>
      <c r="D3346" s="15" t="s">
        <v>544</v>
      </c>
      <c r="E3346" s="15" t="n">
        <v>1</v>
      </c>
      <c r="H3346" s="10"/>
      <c r="I3346" s="21"/>
      <c r="M3346" s="10"/>
      <c r="N3346" s="10"/>
      <c r="P3346" s="10"/>
      <c r="Q3346" s="22"/>
    </row>
    <row r="3347" customFormat="false" ht="15.75" hidden="false" customHeight="false" outlineLevel="0" collapsed="false">
      <c r="A3347" s="20" t="n">
        <v>46122</v>
      </c>
      <c r="B3347" s="15" t="s">
        <v>452</v>
      </c>
      <c r="C3347" s="15" t="s">
        <v>69</v>
      </c>
      <c r="D3347" s="15" t="s">
        <v>535</v>
      </c>
      <c r="E3347" s="15" t="n">
        <v>4</v>
      </c>
      <c r="H3347" s="10"/>
      <c r="I3347" s="21"/>
      <c r="M3347" s="10"/>
      <c r="N3347" s="10"/>
      <c r="P3347" s="10"/>
      <c r="Q3347" s="22"/>
    </row>
    <row r="3348" customFormat="false" ht="15.75" hidden="false" customHeight="false" outlineLevel="0" collapsed="false">
      <c r="A3348" s="20" t="n">
        <v>46122</v>
      </c>
      <c r="B3348" s="15" t="s">
        <v>452</v>
      </c>
      <c r="C3348" s="15" t="s">
        <v>33</v>
      </c>
      <c r="D3348" s="15" t="s">
        <v>536</v>
      </c>
      <c r="E3348" s="15" t="n">
        <v>4</v>
      </c>
      <c r="H3348" s="10"/>
      <c r="I3348" s="21"/>
      <c r="M3348" s="10"/>
      <c r="N3348" s="10"/>
      <c r="P3348" s="10"/>
      <c r="Q3348" s="22"/>
    </row>
    <row r="3349" customFormat="false" ht="15.75" hidden="false" customHeight="false" outlineLevel="0" collapsed="false">
      <c r="A3349" s="20" t="n">
        <v>46122</v>
      </c>
      <c r="B3349" s="15" t="s">
        <v>452</v>
      </c>
      <c r="C3349" s="15" t="s">
        <v>79</v>
      </c>
      <c r="D3349" s="15" t="s">
        <v>564</v>
      </c>
      <c r="E3349" s="15" t="n">
        <v>1</v>
      </c>
      <c r="H3349" s="10"/>
      <c r="I3349" s="21"/>
      <c r="M3349" s="10"/>
      <c r="N3349" s="10"/>
      <c r="P3349" s="10"/>
      <c r="Q3349" s="22"/>
    </row>
    <row r="3350" customFormat="false" ht="15.75" hidden="false" customHeight="false" outlineLevel="0" collapsed="false">
      <c r="A3350" s="20" t="n">
        <v>46122</v>
      </c>
      <c r="B3350" s="15" t="s">
        <v>452</v>
      </c>
      <c r="C3350" s="15" t="s">
        <v>77</v>
      </c>
      <c r="D3350" s="15" t="s">
        <v>78</v>
      </c>
      <c r="E3350" s="15" t="n">
        <v>2</v>
      </c>
      <c r="H3350" s="10"/>
      <c r="I3350" s="21"/>
      <c r="M3350" s="10"/>
      <c r="N3350" s="10"/>
      <c r="P3350" s="10"/>
      <c r="Q3350" s="22"/>
    </row>
    <row r="3351" customFormat="false" ht="15.75" hidden="false" customHeight="false" outlineLevel="0" collapsed="false">
      <c r="A3351" s="20" t="n">
        <v>46122</v>
      </c>
      <c r="B3351" s="15" t="s">
        <v>452</v>
      </c>
      <c r="C3351" s="15" t="s">
        <v>49</v>
      </c>
      <c r="D3351" s="15" t="s">
        <v>537</v>
      </c>
      <c r="E3351" s="15" t="n">
        <v>5</v>
      </c>
      <c r="H3351" s="10"/>
      <c r="I3351" s="21"/>
      <c r="M3351" s="10"/>
      <c r="N3351" s="10"/>
      <c r="P3351" s="10"/>
      <c r="Q3351" s="22"/>
    </row>
    <row r="3352" customFormat="false" ht="15.75" hidden="false" customHeight="false" outlineLevel="0" collapsed="false">
      <c r="A3352" s="20" t="n">
        <v>46122</v>
      </c>
      <c r="B3352" s="15" t="s">
        <v>452</v>
      </c>
      <c r="C3352" s="15" t="s">
        <v>61</v>
      </c>
      <c r="D3352" s="15" t="s">
        <v>576</v>
      </c>
      <c r="E3352" s="15" t="n">
        <v>1</v>
      </c>
      <c r="H3352" s="10"/>
      <c r="I3352" s="21"/>
      <c r="M3352" s="10"/>
      <c r="N3352" s="10"/>
      <c r="P3352" s="10"/>
      <c r="Q3352" s="22"/>
    </row>
    <row r="3353" customFormat="false" ht="15.75" hidden="false" customHeight="false" outlineLevel="0" collapsed="false">
      <c r="A3353" s="20" t="n">
        <v>46122</v>
      </c>
      <c r="B3353" s="15" t="s">
        <v>453</v>
      </c>
      <c r="C3353" s="15" t="s">
        <v>47</v>
      </c>
      <c r="D3353" s="15" t="s">
        <v>549</v>
      </c>
      <c r="E3353" s="15" t="n">
        <v>2</v>
      </c>
      <c r="H3353" s="10"/>
      <c r="I3353" s="21"/>
      <c r="M3353" s="10"/>
      <c r="N3353" s="10"/>
      <c r="P3353" s="10"/>
      <c r="Q3353" s="22"/>
    </row>
    <row r="3354" customFormat="false" ht="15.75" hidden="false" customHeight="false" outlineLevel="0" collapsed="false">
      <c r="A3354" s="20" t="n">
        <v>46122</v>
      </c>
      <c r="B3354" s="15" t="s">
        <v>453</v>
      </c>
      <c r="C3354" s="15" t="s">
        <v>55</v>
      </c>
      <c r="D3354" s="15" t="s">
        <v>539</v>
      </c>
      <c r="E3354" s="15" t="n">
        <v>4</v>
      </c>
      <c r="H3354" s="10"/>
      <c r="I3354" s="21"/>
      <c r="M3354" s="10"/>
      <c r="N3354" s="10"/>
      <c r="P3354" s="10"/>
      <c r="Q3354" s="22"/>
    </row>
    <row r="3355" customFormat="false" ht="15.75" hidden="false" customHeight="false" outlineLevel="0" collapsed="false">
      <c r="A3355" s="20" t="n">
        <v>46122</v>
      </c>
      <c r="B3355" s="15" t="s">
        <v>453</v>
      </c>
      <c r="C3355" s="15" t="s">
        <v>81</v>
      </c>
      <c r="D3355" s="15" t="s">
        <v>534</v>
      </c>
      <c r="E3355" s="15" t="n">
        <v>8</v>
      </c>
      <c r="H3355" s="10"/>
      <c r="I3355" s="21"/>
      <c r="M3355" s="10"/>
      <c r="N3355" s="10"/>
      <c r="P3355" s="10"/>
      <c r="Q3355" s="22"/>
    </row>
    <row r="3356" customFormat="false" ht="15.75" hidden="false" customHeight="false" outlineLevel="0" collapsed="false">
      <c r="A3356" s="20" t="n">
        <v>46122</v>
      </c>
      <c r="B3356" s="15" t="s">
        <v>453</v>
      </c>
      <c r="C3356" s="15" t="s">
        <v>39</v>
      </c>
      <c r="D3356" s="15" t="s">
        <v>550</v>
      </c>
      <c r="E3356" s="15" t="n">
        <v>2</v>
      </c>
      <c r="H3356" s="10"/>
      <c r="I3356" s="21"/>
      <c r="M3356" s="10"/>
      <c r="N3356" s="10"/>
      <c r="P3356" s="10"/>
      <c r="Q3356" s="22"/>
    </row>
    <row r="3357" customFormat="false" ht="15.75" hidden="false" customHeight="false" outlineLevel="0" collapsed="false">
      <c r="A3357" s="20" t="n">
        <v>46122</v>
      </c>
      <c r="B3357" s="15" t="s">
        <v>453</v>
      </c>
      <c r="C3357" s="15" t="s">
        <v>63</v>
      </c>
      <c r="D3357" s="15" t="s">
        <v>551</v>
      </c>
      <c r="E3357" s="15" t="n">
        <v>1</v>
      </c>
      <c r="H3357" s="10"/>
      <c r="I3357" s="21"/>
      <c r="M3357" s="10"/>
      <c r="N3357" s="10"/>
      <c r="P3357" s="10"/>
      <c r="Q3357" s="22"/>
    </row>
    <row r="3358" customFormat="false" ht="15.75" hidden="false" customHeight="false" outlineLevel="0" collapsed="false">
      <c r="A3358" s="20" t="n">
        <v>46122</v>
      </c>
      <c r="B3358" s="15" t="s">
        <v>453</v>
      </c>
      <c r="C3358" s="15" t="s">
        <v>35</v>
      </c>
      <c r="D3358" s="15" t="s">
        <v>552</v>
      </c>
      <c r="E3358" s="15" t="n">
        <v>2</v>
      </c>
      <c r="H3358" s="10"/>
      <c r="I3358" s="21"/>
      <c r="M3358" s="10"/>
      <c r="N3358" s="10"/>
      <c r="P3358" s="10"/>
      <c r="Q3358" s="22"/>
    </row>
    <row r="3359" customFormat="false" ht="15.75" hidden="false" customHeight="false" outlineLevel="0" collapsed="false">
      <c r="A3359" s="20" t="n">
        <v>46122</v>
      </c>
      <c r="B3359" s="15" t="s">
        <v>19</v>
      </c>
      <c r="C3359" s="15" t="s">
        <v>69</v>
      </c>
      <c r="D3359" s="15" t="s">
        <v>535</v>
      </c>
      <c r="E3359" s="15" t="n">
        <v>10</v>
      </c>
      <c r="H3359" s="10"/>
      <c r="I3359" s="21"/>
      <c r="M3359" s="10"/>
      <c r="N3359" s="10"/>
      <c r="P3359" s="10"/>
      <c r="Q3359" s="22"/>
    </row>
    <row r="3360" customFormat="false" ht="15.75" hidden="false" customHeight="false" outlineLevel="0" collapsed="false">
      <c r="A3360" s="20" t="n">
        <v>46122</v>
      </c>
      <c r="B3360" s="15" t="s">
        <v>19</v>
      </c>
      <c r="C3360" s="15" t="s">
        <v>55</v>
      </c>
      <c r="D3360" s="15" t="s">
        <v>539</v>
      </c>
      <c r="E3360" s="15" t="n">
        <v>10</v>
      </c>
      <c r="H3360" s="10"/>
      <c r="I3360" s="21"/>
      <c r="M3360" s="10"/>
      <c r="N3360" s="10"/>
      <c r="P3360" s="10"/>
      <c r="Q3360" s="22"/>
    </row>
    <row r="3361" customFormat="false" ht="15.75" hidden="false" customHeight="false" outlineLevel="0" collapsed="false">
      <c r="A3361" s="20" t="n">
        <v>46122</v>
      </c>
      <c r="B3361" s="15" t="s">
        <v>19</v>
      </c>
      <c r="C3361" s="15" t="s">
        <v>37</v>
      </c>
      <c r="D3361" s="15" t="s">
        <v>561</v>
      </c>
      <c r="E3361" s="15" t="n">
        <v>4</v>
      </c>
      <c r="H3361" s="10"/>
      <c r="I3361" s="21"/>
      <c r="M3361" s="10"/>
      <c r="N3361" s="10"/>
      <c r="P3361" s="10"/>
      <c r="Q3361" s="22"/>
    </row>
    <row r="3362" customFormat="false" ht="15.75" hidden="false" customHeight="false" outlineLevel="0" collapsed="false">
      <c r="A3362" s="20" t="n">
        <v>46122</v>
      </c>
      <c r="B3362" s="15" t="s">
        <v>19</v>
      </c>
      <c r="C3362" s="15" t="s">
        <v>555</v>
      </c>
      <c r="D3362" s="15" t="s">
        <v>556</v>
      </c>
      <c r="E3362" s="15" t="n">
        <v>4</v>
      </c>
      <c r="H3362" s="10"/>
      <c r="I3362" s="21"/>
      <c r="M3362" s="10"/>
      <c r="N3362" s="10"/>
      <c r="P3362" s="10"/>
      <c r="Q3362" s="22"/>
    </row>
    <row r="3363" customFormat="false" ht="15.75" hidden="false" customHeight="false" outlineLevel="0" collapsed="false">
      <c r="A3363" s="20" t="n">
        <v>46122</v>
      </c>
      <c r="B3363" s="15" t="s">
        <v>19</v>
      </c>
      <c r="C3363" s="15" t="s">
        <v>565</v>
      </c>
      <c r="D3363" s="15" t="s">
        <v>566</v>
      </c>
      <c r="E3363" s="15" t="n">
        <v>4</v>
      </c>
      <c r="H3363" s="10"/>
      <c r="I3363" s="21"/>
      <c r="M3363" s="10"/>
      <c r="N3363" s="10"/>
      <c r="P3363" s="10"/>
      <c r="Q3363" s="22"/>
    </row>
    <row r="3364" customFormat="false" ht="15.75" hidden="false" customHeight="false" outlineLevel="0" collapsed="false">
      <c r="A3364" s="20" t="n">
        <v>46122</v>
      </c>
      <c r="B3364" s="15" t="s">
        <v>19</v>
      </c>
      <c r="C3364" s="15" t="s">
        <v>567</v>
      </c>
      <c r="D3364" s="15" t="s">
        <v>568</v>
      </c>
      <c r="E3364" s="15" t="n">
        <v>4</v>
      </c>
      <c r="H3364" s="10"/>
      <c r="I3364" s="21"/>
      <c r="M3364" s="10"/>
      <c r="N3364" s="10"/>
      <c r="P3364" s="10"/>
      <c r="Q3364" s="22"/>
    </row>
    <row r="3365" customFormat="false" ht="15.75" hidden="false" customHeight="false" outlineLevel="0" collapsed="false">
      <c r="A3365" s="20" t="n">
        <v>46122</v>
      </c>
      <c r="B3365" s="15" t="s">
        <v>19</v>
      </c>
      <c r="C3365" s="15" t="s">
        <v>43</v>
      </c>
      <c r="D3365" s="15" t="s">
        <v>538</v>
      </c>
      <c r="E3365" s="15" t="n">
        <v>4</v>
      </c>
      <c r="H3365" s="10"/>
      <c r="I3365" s="21"/>
      <c r="M3365" s="10"/>
      <c r="N3365" s="10"/>
      <c r="P3365" s="10"/>
      <c r="Q3365" s="22"/>
    </row>
    <row r="3366" customFormat="false" ht="15.75" hidden="false" customHeight="false" outlineLevel="0" collapsed="false">
      <c r="A3366" s="20" t="n">
        <v>46122</v>
      </c>
      <c r="B3366" s="15" t="s">
        <v>19</v>
      </c>
      <c r="C3366" s="15" t="s">
        <v>81</v>
      </c>
      <c r="D3366" s="15" t="s">
        <v>534</v>
      </c>
      <c r="E3366" s="15" t="n">
        <v>9</v>
      </c>
      <c r="H3366" s="10"/>
      <c r="I3366" s="21"/>
      <c r="M3366" s="10"/>
      <c r="N3366" s="10"/>
      <c r="P3366" s="10"/>
      <c r="Q3366" s="22"/>
    </row>
    <row r="3367" customFormat="false" ht="15.75" hidden="false" customHeight="false" outlineLevel="0" collapsed="false">
      <c r="A3367" s="20" t="n">
        <v>46122</v>
      </c>
      <c r="B3367" s="15" t="s">
        <v>19</v>
      </c>
      <c r="C3367" s="15" t="s">
        <v>545</v>
      </c>
      <c r="D3367" s="15" t="s">
        <v>546</v>
      </c>
      <c r="E3367" s="15" t="n">
        <v>2</v>
      </c>
      <c r="H3367" s="10"/>
      <c r="I3367" s="21"/>
      <c r="M3367" s="10"/>
      <c r="N3367" s="10"/>
      <c r="P3367" s="10"/>
      <c r="Q3367" s="22"/>
    </row>
    <row r="3368" customFormat="false" ht="15.75" hidden="false" customHeight="false" outlineLevel="0" collapsed="false">
      <c r="A3368" s="20" t="n">
        <v>46122</v>
      </c>
      <c r="B3368" s="15" t="s">
        <v>19</v>
      </c>
      <c r="C3368" s="15" t="s">
        <v>67</v>
      </c>
      <c r="D3368" s="15" t="s">
        <v>569</v>
      </c>
      <c r="E3368" s="15" t="n">
        <v>2</v>
      </c>
      <c r="H3368" s="10"/>
      <c r="I3368" s="21"/>
      <c r="M3368" s="10"/>
      <c r="N3368" s="10"/>
      <c r="P3368" s="10"/>
      <c r="Q3368" s="22"/>
    </row>
    <row r="3369" customFormat="false" ht="15.75" hidden="false" customHeight="false" outlineLevel="0" collapsed="false">
      <c r="A3369" s="20" t="n">
        <v>46122</v>
      </c>
      <c r="B3369" s="15" t="s">
        <v>19</v>
      </c>
      <c r="C3369" s="15" t="s">
        <v>77</v>
      </c>
      <c r="D3369" s="15" t="s">
        <v>78</v>
      </c>
      <c r="E3369" s="15" t="n">
        <v>4</v>
      </c>
      <c r="H3369" s="10"/>
      <c r="I3369" s="21"/>
      <c r="M3369" s="10"/>
      <c r="N3369" s="10"/>
      <c r="P3369" s="10"/>
      <c r="Q3369" s="22"/>
    </row>
    <row r="3370" customFormat="false" ht="15.75" hidden="false" customHeight="false" outlineLevel="0" collapsed="false">
      <c r="A3370" s="20" t="n">
        <v>46122</v>
      </c>
      <c r="B3370" s="15" t="s">
        <v>19</v>
      </c>
      <c r="C3370" s="15" t="s">
        <v>33</v>
      </c>
      <c r="D3370" s="15" t="s">
        <v>536</v>
      </c>
      <c r="E3370" s="15" t="n">
        <v>10</v>
      </c>
      <c r="H3370" s="10"/>
      <c r="I3370" s="21"/>
      <c r="M3370" s="10"/>
      <c r="N3370" s="10"/>
      <c r="P3370" s="10"/>
      <c r="Q3370" s="22"/>
    </row>
    <row r="3371" customFormat="false" ht="15.75" hidden="false" customHeight="false" outlineLevel="0" collapsed="false">
      <c r="A3371" s="20" t="n">
        <v>46122</v>
      </c>
      <c r="B3371" s="15" t="s">
        <v>19</v>
      </c>
      <c r="C3371" s="15" t="s">
        <v>59</v>
      </c>
      <c r="D3371" s="15" t="s">
        <v>562</v>
      </c>
      <c r="E3371" s="15" t="n">
        <v>10</v>
      </c>
      <c r="H3371" s="10"/>
      <c r="I3371" s="21"/>
      <c r="M3371" s="10"/>
      <c r="N3371" s="10"/>
      <c r="P3371" s="10"/>
      <c r="Q3371" s="22"/>
    </row>
    <row r="3372" customFormat="false" ht="15.75" hidden="false" customHeight="false" outlineLevel="0" collapsed="false">
      <c r="A3372" s="20" t="n">
        <v>46122</v>
      </c>
      <c r="B3372" s="15" t="s">
        <v>19</v>
      </c>
      <c r="C3372" s="15" t="s">
        <v>19</v>
      </c>
      <c r="D3372" s="15" t="s">
        <v>19</v>
      </c>
      <c r="E3372" s="15" t="n">
        <v>2</v>
      </c>
      <c r="H3372" s="10"/>
      <c r="I3372" s="21"/>
      <c r="M3372" s="10"/>
      <c r="N3372" s="10"/>
      <c r="P3372" s="10"/>
      <c r="Q3372" s="22"/>
    </row>
    <row r="3373" customFormat="false" ht="15.75" hidden="false" customHeight="false" outlineLevel="0" collapsed="false">
      <c r="A3373" s="20" t="n">
        <v>46122</v>
      </c>
      <c r="B3373" s="15" t="s">
        <v>19</v>
      </c>
      <c r="C3373" s="15" t="s">
        <v>570</v>
      </c>
      <c r="D3373" s="15" t="s">
        <v>571</v>
      </c>
      <c r="E3373" s="15" t="n">
        <v>2</v>
      </c>
      <c r="H3373" s="10"/>
      <c r="I3373" s="21"/>
      <c r="M3373" s="10"/>
      <c r="N3373" s="10"/>
      <c r="P3373" s="10"/>
      <c r="Q3373" s="22"/>
    </row>
    <row r="3374" customFormat="false" ht="15.75" hidden="false" customHeight="false" outlineLevel="0" collapsed="false">
      <c r="A3374" s="20" t="n">
        <v>46122</v>
      </c>
      <c r="B3374" s="15" t="s">
        <v>19</v>
      </c>
      <c r="C3374" s="15" t="s">
        <v>11</v>
      </c>
      <c r="D3374" s="15" t="s">
        <v>572</v>
      </c>
      <c r="E3374" s="15" t="n">
        <v>2</v>
      </c>
      <c r="H3374" s="10"/>
      <c r="I3374" s="21"/>
      <c r="M3374" s="10"/>
      <c r="N3374" s="10"/>
      <c r="P3374" s="10"/>
      <c r="Q3374" s="22"/>
    </row>
    <row r="3375" customFormat="false" ht="15.75" hidden="false" customHeight="false" outlineLevel="0" collapsed="false">
      <c r="A3375" s="20" t="n">
        <v>46122</v>
      </c>
      <c r="B3375" s="15" t="s">
        <v>467</v>
      </c>
      <c r="C3375" s="15" t="s">
        <v>55</v>
      </c>
      <c r="D3375" s="15" t="s">
        <v>539</v>
      </c>
      <c r="E3375" s="15" t="n">
        <v>6</v>
      </c>
      <c r="H3375" s="10"/>
      <c r="I3375" s="21"/>
      <c r="M3375" s="10"/>
      <c r="N3375" s="10"/>
      <c r="P3375" s="10"/>
      <c r="Q3375" s="22"/>
    </row>
    <row r="3376" customFormat="false" ht="15.75" hidden="false" customHeight="false" outlineLevel="0" collapsed="false">
      <c r="A3376" s="20" t="n">
        <v>46122</v>
      </c>
      <c r="B3376" s="15" t="s">
        <v>467</v>
      </c>
      <c r="C3376" s="15" t="s">
        <v>57</v>
      </c>
      <c r="D3376" s="15" t="s">
        <v>553</v>
      </c>
      <c r="E3376" s="15" t="n">
        <v>2</v>
      </c>
      <c r="H3376" s="10"/>
      <c r="I3376" s="21"/>
      <c r="M3376" s="10"/>
      <c r="N3376" s="10"/>
      <c r="P3376" s="10"/>
      <c r="Q3376" s="22"/>
    </row>
    <row r="3377" customFormat="false" ht="15.75" hidden="false" customHeight="false" outlineLevel="0" collapsed="false">
      <c r="A3377" s="20" t="n">
        <v>46122</v>
      </c>
      <c r="B3377" s="15" t="s">
        <v>467</v>
      </c>
      <c r="C3377" s="15" t="s">
        <v>47</v>
      </c>
      <c r="D3377" s="15" t="s">
        <v>549</v>
      </c>
      <c r="E3377" s="15" t="n">
        <v>2</v>
      </c>
      <c r="H3377" s="10"/>
      <c r="I3377" s="21"/>
      <c r="M3377" s="10"/>
      <c r="N3377" s="10"/>
      <c r="P3377" s="10"/>
      <c r="Q3377" s="22"/>
    </row>
    <row r="3378" customFormat="false" ht="15.75" hidden="false" customHeight="false" outlineLevel="0" collapsed="false">
      <c r="A3378" s="20" t="n">
        <v>46122</v>
      </c>
      <c r="B3378" s="15" t="s">
        <v>467</v>
      </c>
      <c r="C3378" s="15" t="s">
        <v>81</v>
      </c>
      <c r="D3378" s="15" t="s">
        <v>534</v>
      </c>
      <c r="E3378" s="15" t="n">
        <v>7</v>
      </c>
      <c r="H3378" s="10"/>
      <c r="I3378" s="21"/>
      <c r="M3378" s="10"/>
      <c r="N3378" s="10"/>
      <c r="P3378" s="10"/>
      <c r="Q3378" s="22"/>
    </row>
    <row r="3379" customFormat="false" ht="15.75" hidden="false" customHeight="false" outlineLevel="0" collapsed="false">
      <c r="A3379" s="20" t="n">
        <v>46122</v>
      </c>
      <c r="B3379" s="15" t="s">
        <v>467</v>
      </c>
      <c r="C3379" s="15" t="s">
        <v>49</v>
      </c>
      <c r="D3379" s="15" t="s">
        <v>537</v>
      </c>
      <c r="E3379" s="15" t="n">
        <v>2</v>
      </c>
      <c r="H3379" s="10"/>
      <c r="I3379" s="21"/>
      <c r="M3379" s="10"/>
      <c r="N3379" s="10"/>
      <c r="P3379" s="10"/>
      <c r="Q3379" s="22"/>
    </row>
    <row r="3380" customFormat="false" ht="15.75" hidden="false" customHeight="false" outlineLevel="0" collapsed="false">
      <c r="A3380" s="20" t="n">
        <v>46122</v>
      </c>
      <c r="B3380" s="15" t="s">
        <v>467</v>
      </c>
      <c r="C3380" s="15" t="s">
        <v>63</v>
      </c>
      <c r="D3380" s="15" t="s">
        <v>551</v>
      </c>
      <c r="E3380" s="15" t="n">
        <v>1</v>
      </c>
      <c r="H3380" s="10"/>
      <c r="I3380" s="21"/>
      <c r="M3380" s="10"/>
      <c r="N3380" s="10"/>
      <c r="P3380" s="10"/>
      <c r="Q3380" s="22"/>
    </row>
    <row r="3381" customFormat="false" ht="15.75" hidden="false" customHeight="false" outlineLevel="0" collapsed="false">
      <c r="A3381" s="20" t="n">
        <v>46122</v>
      </c>
      <c r="B3381" s="15" t="s">
        <v>471</v>
      </c>
      <c r="C3381" s="15" t="s">
        <v>25</v>
      </c>
      <c r="D3381" s="15" t="s">
        <v>26</v>
      </c>
      <c r="E3381" s="15" t="n">
        <v>2</v>
      </c>
      <c r="H3381" s="10"/>
      <c r="I3381" s="21"/>
      <c r="M3381" s="10"/>
      <c r="N3381" s="10"/>
      <c r="P3381" s="10"/>
      <c r="Q3381" s="22"/>
    </row>
    <row r="3382" customFormat="false" ht="15.75" hidden="false" customHeight="false" outlineLevel="0" collapsed="false">
      <c r="A3382" s="20" t="n">
        <v>46122</v>
      </c>
      <c r="B3382" s="15" t="s">
        <v>471</v>
      </c>
      <c r="C3382" s="15" t="s">
        <v>69</v>
      </c>
      <c r="D3382" s="15" t="s">
        <v>535</v>
      </c>
      <c r="E3382" s="15" t="n">
        <v>2</v>
      </c>
      <c r="H3382" s="10"/>
      <c r="I3382" s="21"/>
      <c r="M3382" s="10"/>
      <c r="N3382" s="10"/>
      <c r="P3382" s="10"/>
      <c r="Q3382" s="22"/>
    </row>
    <row r="3383" customFormat="false" ht="15.75" hidden="false" customHeight="false" outlineLevel="0" collapsed="false">
      <c r="A3383" s="20" t="n">
        <v>46122</v>
      </c>
      <c r="B3383" s="15" t="s">
        <v>471</v>
      </c>
      <c r="C3383" s="15" t="s">
        <v>555</v>
      </c>
      <c r="D3383" s="15" t="s">
        <v>556</v>
      </c>
      <c r="E3383" s="15" t="n">
        <v>2</v>
      </c>
      <c r="H3383" s="10"/>
      <c r="I3383" s="21"/>
      <c r="M3383" s="10"/>
      <c r="N3383" s="10"/>
      <c r="P3383" s="10"/>
      <c r="Q3383" s="22"/>
    </row>
    <row r="3384" customFormat="false" ht="15.75" hidden="false" customHeight="false" outlineLevel="0" collapsed="false">
      <c r="A3384" s="20" t="n">
        <v>46122</v>
      </c>
      <c r="B3384" s="15" t="s">
        <v>498</v>
      </c>
      <c r="C3384" s="15" t="s">
        <v>81</v>
      </c>
      <c r="D3384" s="15" t="s">
        <v>534</v>
      </c>
      <c r="E3384" s="15" t="n">
        <v>18</v>
      </c>
      <c r="H3384" s="10"/>
      <c r="I3384" s="21"/>
      <c r="M3384" s="10"/>
      <c r="N3384" s="10"/>
      <c r="P3384" s="10"/>
      <c r="Q3384" s="22"/>
    </row>
    <row r="3385" customFormat="false" ht="15.75" hidden="false" customHeight="false" outlineLevel="0" collapsed="false">
      <c r="A3385" s="20" t="n">
        <v>46122</v>
      </c>
      <c r="B3385" s="15" t="s">
        <v>498</v>
      </c>
      <c r="C3385" s="15" t="s">
        <v>543</v>
      </c>
      <c r="D3385" s="15" t="s">
        <v>544</v>
      </c>
      <c r="E3385" s="15" t="n">
        <v>2</v>
      </c>
      <c r="H3385" s="10"/>
      <c r="I3385" s="21"/>
      <c r="M3385" s="10"/>
      <c r="N3385" s="10"/>
      <c r="P3385" s="10"/>
      <c r="Q3385" s="22"/>
    </row>
    <row r="3386" customFormat="false" ht="15.75" hidden="false" customHeight="false" outlineLevel="0" collapsed="false">
      <c r="A3386" s="20" t="n">
        <v>46122</v>
      </c>
      <c r="B3386" s="15" t="s">
        <v>498</v>
      </c>
      <c r="C3386" s="15" t="s">
        <v>69</v>
      </c>
      <c r="D3386" s="15" t="s">
        <v>535</v>
      </c>
      <c r="E3386" s="15" t="n">
        <v>4</v>
      </c>
      <c r="H3386" s="10"/>
      <c r="I3386" s="21"/>
      <c r="M3386" s="10"/>
      <c r="N3386" s="10"/>
      <c r="P3386" s="10"/>
      <c r="Q3386" s="22"/>
    </row>
    <row r="3387" customFormat="false" ht="15.75" hidden="false" customHeight="false" outlineLevel="0" collapsed="false">
      <c r="A3387" s="20" t="n">
        <v>46122</v>
      </c>
      <c r="B3387" s="15" t="s">
        <v>498</v>
      </c>
      <c r="C3387" s="15" t="s">
        <v>33</v>
      </c>
      <c r="D3387" s="15" t="s">
        <v>536</v>
      </c>
      <c r="E3387" s="15" t="n">
        <v>6</v>
      </c>
      <c r="H3387" s="10"/>
      <c r="I3387" s="21"/>
      <c r="M3387" s="10"/>
      <c r="N3387" s="10"/>
      <c r="P3387" s="10"/>
      <c r="Q3387" s="22"/>
    </row>
    <row r="3388" customFormat="false" ht="15.75" hidden="false" customHeight="false" outlineLevel="0" collapsed="false">
      <c r="A3388" s="20" t="n">
        <v>46122</v>
      </c>
      <c r="B3388" s="15" t="s">
        <v>498</v>
      </c>
      <c r="C3388" s="15" t="s">
        <v>55</v>
      </c>
      <c r="D3388" s="15" t="s">
        <v>539</v>
      </c>
      <c r="E3388" s="15" t="n">
        <v>2</v>
      </c>
      <c r="H3388" s="10"/>
      <c r="I3388" s="21"/>
      <c r="M3388" s="10"/>
      <c r="N3388" s="10"/>
      <c r="P3388" s="10"/>
      <c r="Q3388" s="22"/>
    </row>
    <row r="3389" customFormat="false" ht="15.75" hidden="false" customHeight="false" outlineLevel="0" collapsed="false">
      <c r="A3389" s="20" t="n">
        <v>46122</v>
      </c>
      <c r="B3389" s="15" t="s">
        <v>498</v>
      </c>
      <c r="C3389" s="15" t="s">
        <v>59</v>
      </c>
      <c r="D3389" s="15" t="s">
        <v>562</v>
      </c>
      <c r="E3389" s="15" t="n">
        <v>2</v>
      </c>
      <c r="H3389" s="10"/>
      <c r="I3389" s="21"/>
      <c r="M3389" s="10"/>
      <c r="N3389" s="10"/>
      <c r="P3389" s="10"/>
      <c r="Q3389" s="22"/>
    </row>
    <row r="3390" customFormat="false" ht="15.75" hidden="false" customHeight="false" outlineLevel="0" collapsed="false">
      <c r="A3390" s="20" t="n">
        <v>46122</v>
      </c>
      <c r="B3390" s="15" t="s">
        <v>498</v>
      </c>
      <c r="C3390" s="15" t="s">
        <v>47</v>
      </c>
      <c r="D3390" s="15" t="s">
        <v>549</v>
      </c>
      <c r="E3390" s="15" t="n">
        <v>2</v>
      </c>
      <c r="H3390" s="10"/>
      <c r="I3390" s="21"/>
      <c r="M3390" s="10"/>
      <c r="N3390" s="10"/>
      <c r="P3390" s="10"/>
      <c r="Q3390" s="22"/>
    </row>
    <row r="3391" customFormat="false" ht="15.75" hidden="false" customHeight="false" outlineLevel="0" collapsed="false">
      <c r="A3391" s="20" t="n">
        <v>46122</v>
      </c>
      <c r="B3391" s="15" t="s">
        <v>498</v>
      </c>
      <c r="C3391" s="15" t="s">
        <v>75</v>
      </c>
      <c r="D3391" s="15" t="s">
        <v>560</v>
      </c>
      <c r="E3391" s="15" t="n">
        <v>2</v>
      </c>
      <c r="H3391" s="10"/>
      <c r="I3391" s="21"/>
      <c r="M3391" s="10"/>
      <c r="N3391" s="10"/>
      <c r="P3391" s="10"/>
      <c r="Q3391" s="22"/>
    </row>
    <row r="3392" customFormat="false" ht="15.75" hidden="false" customHeight="false" outlineLevel="0" collapsed="false">
      <c r="A3392" s="20" t="n">
        <v>46122</v>
      </c>
      <c r="B3392" s="15" t="s">
        <v>498</v>
      </c>
      <c r="C3392" s="15" t="s">
        <v>77</v>
      </c>
      <c r="D3392" s="15" t="s">
        <v>78</v>
      </c>
      <c r="E3392" s="15" t="n">
        <v>2</v>
      </c>
      <c r="H3392" s="10"/>
      <c r="I3392" s="21"/>
      <c r="M3392" s="10"/>
      <c r="N3392" s="10"/>
      <c r="P3392" s="10"/>
      <c r="Q3392" s="22"/>
    </row>
    <row r="3393" customFormat="false" ht="15.75" hidden="false" customHeight="false" outlineLevel="0" collapsed="false">
      <c r="A3393" s="20" t="n">
        <v>46122</v>
      </c>
      <c r="B3393" s="15" t="s">
        <v>504</v>
      </c>
      <c r="C3393" s="15" t="s">
        <v>47</v>
      </c>
      <c r="D3393" s="15" t="s">
        <v>549</v>
      </c>
      <c r="E3393" s="15" t="n">
        <v>3</v>
      </c>
      <c r="H3393" s="10"/>
      <c r="I3393" s="21"/>
      <c r="M3393" s="10"/>
      <c r="N3393" s="10"/>
      <c r="P3393" s="10"/>
      <c r="Q3393" s="22"/>
    </row>
    <row r="3394" customFormat="false" ht="15.75" hidden="false" customHeight="false" outlineLevel="0" collapsed="false">
      <c r="A3394" s="20" t="n">
        <v>46122</v>
      </c>
      <c r="B3394" s="15" t="s">
        <v>504</v>
      </c>
      <c r="C3394" s="15" t="s">
        <v>55</v>
      </c>
      <c r="D3394" s="15" t="s">
        <v>539</v>
      </c>
      <c r="E3394" s="15" t="n">
        <v>6</v>
      </c>
      <c r="H3394" s="10"/>
      <c r="I3394" s="21"/>
      <c r="M3394" s="10"/>
      <c r="N3394" s="10"/>
      <c r="P3394" s="10"/>
      <c r="Q3394" s="22"/>
    </row>
    <row r="3395" customFormat="false" ht="15.75" hidden="false" customHeight="false" outlineLevel="0" collapsed="false">
      <c r="A3395" s="20" t="n">
        <v>46122</v>
      </c>
      <c r="B3395" s="15" t="s">
        <v>504</v>
      </c>
      <c r="C3395" s="15" t="s">
        <v>81</v>
      </c>
      <c r="D3395" s="15" t="s">
        <v>534</v>
      </c>
      <c r="E3395" s="15" t="n">
        <v>9</v>
      </c>
      <c r="H3395" s="10"/>
      <c r="I3395" s="21"/>
      <c r="M3395" s="10"/>
      <c r="N3395" s="10"/>
      <c r="P3395" s="10"/>
      <c r="Q3395" s="22"/>
    </row>
    <row r="3396" customFormat="false" ht="15.75" hidden="false" customHeight="false" outlineLevel="0" collapsed="false">
      <c r="A3396" s="20" t="n">
        <v>46122</v>
      </c>
      <c r="B3396" s="15" t="s">
        <v>504</v>
      </c>
      <c r="C3396" s="15" t="s">
        <v>39</v>
      </c>
      <c r="D3396" s="15" t="s">
        <v>550</v>
      </c>
      <c r="E3396" s="15" t="n">
        <v>1</v>
      </c>
      <c r="H3396" s="10"/>
      <c r="I3396" s="21"/>
      <c r="M3396" s="10"/>
      <c r="N3396" s="10"/>
      <c r="P3396" s="10"/>
      <c r="Q3396" s="22"/>
    </row>
    <row r="3397" customFormat="false" ht="15.75" hidden="false" customHeight="false" outlineLevel="0" collapsed="false">
      <c r="A3397" s="20" t="n">
        <v>46122</v>
      </c>
      <c r="B3397" s="15" t="s">
        <v>504</v>
      </c>
      <c r="C3397" s="15" t="s">
        <v>63</v>
      </c>
      <c r="D3397" s="15" t="s">
        <v>551</v>
      </c>
      <c r="E3397" s="15" t="n">
        <v>1</v>
      </c>
      <c r="H3397" s="10"/>
      <c r="I3397" s="21"/>
      <c r="M3397" s="10"/>
      <c r="N3397" s="10"/>
      <c r="P3397" s="10"/>
      <c r="Q3397" s="22"/>
    </row>
    <row r="3398" customFormat="false" ht="15.75" hidden="false" customHeight="false" outlineLevel="0" collapsed="false">
      <c r="A3398" s="20" t="n">
        <v>46122</v>
      </c>
      <c r="B3398" s="15" t="s">
        <v>504</v>
      </c>
      <c r="C3398" s="15" t="s">
        <v>17</v>
      </c>
      <c r="D3398" s="15" t="s">
        <v>554</v>
      </c>
      <c r="E3398" s="15" t="n">
        <v>1</v>
      </c>
      <c r="H3398" s="10"/>
      <c r="I3398" s="21"/>
      <c r="M3398" s="10"/>
      <c r="N3398" s="10"/>
      <c r="P3398" s="10"/>
      <c r="Q3398" s="22"/>
    </row>
    <row r="3399" customFormat="false" ht="15.75" hidden="false" customHeight="false" outlineLevel="0" collapsed="false">
      <c r="A3399" s="20" t="n">
        <v>46122</v>
      </c>
      <c r="B3399" s="15" t="s">
        <v>505</v>
      </c>
      <c r="C3399" s="15" t="s">
        <v>55</v>
      </c>
      <c r="D3399" s="15" t="s">
        <v>539</v>
      </c>
      <c r="E3399" s="15" t="n">
        <v>6</v>
      </c>
      <c r="H3399" s="10"/>
      <c r="I3399" s="21"/>
      <c r="M3399" s="10"/>
      <c r="N3399" s="10"/>
      <c r="P3399" s="10"/>
      <c r="Q3399" s="22"/>
    </row>
    <row r="3400" customFormat="false" ht="15.75" hidden="false" customHeight="false" outlineLevel="0" collapsed="false">
      <c r="A3400" s="20" t="n">
        <v>46122</v>
      </c>
      <c r="B3400" s="15" t="s">
        <v>505</v>
      </c>
      <c r="C3400" s="15" t="s">
        <v>39</v>
      </c>
      <c r="D3400" s="15" t="s">
        <v>550</v>
      </c>
      <c r="E3400" s="15" t="n">
        <v>1</v>
      </c>
      <c r="H3400" s="10"/>
      <c r="I3400" s="21"/>
      <c r="M3400" s="10"/>
      <c r="N3400" s="10"/>
      <c r="P3400" s="10"/>
      <c r="Q3400" s="22"/>
    </row>
    <row r="3401" customFormat="false" ht="15.75" hidden="false" customHeight="false" outlineLevel="0" collapsed="false">
      <c r="A3401" s="20" t="n">
        <v>46122</v>
      </c>
      <c r="B3401" s="15" t="s">
        <v>505</v>
      </c>
      <c r="C3401" s="15" t="s">
        <v>81</v>
      </c>
      <c r="D3401" s="15" t="s">
        <v>534</v>
      </c>
      <c r="E3401" s="15" t="n">
        <v>9</v>
      </c>
      <c r="H3401" s="10"/>
      <c r="I3401" s="21"/>
      <c r="M3401" s="10"/>
      <c r="N3401" s="10"/>
      <c r="P3401" s="10"/>
      <c r="Q3401" s="22"/>
    </row>
    <row r="3402" customFormat="false" ht="15.75" hidden="false" customHeight="false" outlineLevel="0" collapsed="false">
      <c r="A3402" s="20" t="n">
        <v>46122</v>
      </c>
      <c r="B3402" s="15" t="s">
        <v>505</v>
      </c>
      <c r="C3402" s="15" t="s">
        <v>47</v>
      </c>
      <c r="D3402" s="15" t="s">
        <v>549</v>
      </c>
      <c r="E3402" s="15" t="n">
        <v>3</v>
      </c>
      <c r="H3402" s="10"/>
      <c r="I3402" s="21"/>
      <c r="M3402" s="10"/>
      <c r="N3402" s="10"/>
      <c r="P3402" s="10"/>
      <c r="Q3402" s="22"/>
    </row>
    <row r="3403" customFormat="false" ht="15.75" hidden="false" customHeight="false" outlineLevel="0" collapsed="false">
      <c r="A3403" s="20" t="n">
        <v>46122</v>
      </c>
      <c r="B3403" s="15" t="s">
        <v>505</v>
      </c>
      <c r="C3403" s="15" t="s">
        <v>63</v>
      </c>
      <c r="D3403" s="15" t="s">
        <v>551</v>
      </c>
      <c r="E3403" s="15" t="n">
        <v>1</v>
      </c>
      <c r="H3403" s="10"/>
      <c r="I3403" s="21"/>
      <c r="M3403" s="10"/>
      <c r="N3403" s="10"/>
      <c r="P3403" s="10"/>
      <c r="Q3403" s="22"/>
    </row>
    <row r="3404" customFormat="false" ht="15.75" hidden="false" customHeight="false" outlineLevel="0" collapsed="false">
      <c r="A3404" s="20" t="n">
        <v>46122</v>
      </c>
      <c r="B3404" s="15" t="s">
        <v>505</v>
      </c>
      <c r="C3404" s="15" t="s">
        <v>17</v>
      </c>
      <c r="D3404" s="15" t="s">
        <v>554</v>
      </c>
      <c r="E3404" s="15" t="n">
        <v>1</v>
      </c>
      <c r="H3404" s="10"/>
      <c r="I3404" s="21"/>
      <c r="M3404" s="10"/>
      <c r="N3404" s="10"/>
      <c r="P3404" s="10"/>
      <c r="Q3404" s="22"/>
    </row>
    <row r="3405" customFormat="false" ht="15.75" hidden="false" customHeight="false" outlineLevel="0" collapsed="false">
      <c r="A3405" s="20" t="n">
        <v>46122</v>
      </c>
      <c r="B3405" s="15" t="s">
        <v>508</v>
      </c>
      <c r="C3405" s="15" t="s">
        <v>55</v>
      </c>
      <c r="D3405" s="15" t="s">
        <v>539</v>
      </c>
      <c r="E3405" s="15" t="n">
        <v>5</v>
      </c>
      <c r="H3405" s="10"/>
      <c r="I3405" s="21"/>
      <c r="M3405" s="10"/>
      <c r="N3405" s="10"/>
      <c r="P3405" s="10"/>
      <c r="Q3405" s="22"/>
    </row>
    <row r="3406" customFormat="false" ht="15.75" hidden="false" customHeight="false" outlineLevel="0" collapsed="false">
      <c r="A3406" s="20" t="n">
        <v>46122</v>
      </c>
      <c r="B3406" s="15" t="s">
        <v>508</v>
      </c>
      <c r="C3406" s="15" t="s">
        <v>81</v>
      </c>
      <c r="D3406" s="15" t="s">
        <v>534</v>
      </c>
      <c r="E3406" s="15" t="n">
        <v>9</v>
      </c>
      <c r="H3406" s="10"/>
      <c r="I3406" s="21"/>
      <c r="M3406" s="10"/>
      <c r="N3406" s="10"/>
      <c r="P3406" s="10"/>
      <c r="Q3406" s="22"/>
    </row>
    <row r="3407" customFormat="false" ht="15.75" hidden="false" customHeight="false" outlineLevel="0" collapsed="false">
      <c r="A3407" s="20" t="n">
        <v>46122</v>
      </c>
      <c r="B3407" s="15" t="s">
        <v>508</v>
      </c>
      <c r="C3407" s="15" t="s">
        <v>39</v>
      </c>
      <c r="D3407" s="15" t="s">
        <v>550</v>
      </c>
      <c r="E3407" s="15" t="n">
        <v>2</v>
      </c>
      <c r="H3407" s="10"/>
      <c r="I3407" s="21"/>
      <c r="M3407" s="10"/>
      <c r="N3407" s="10"/>
      <c r="P3407" s="10"/>
      <c r="Q3407" s="22"/>
    </row>
    <row r="3408" customFormat="false" ht="15.75" hidden="false" customHeight="false" outlineLevel="0" collapsed="false">
      <c r="A3408" s="20" t="n">
        <v>46122</v>
      </c>
      <c r="B3408" s="15" t="s">
        <v>508</v>
      </c>
      <c r="C3408" s="15" t="s">
        <v>47</v>
      </c>
      <c r="D3408" s="15" t="s">
        <v>549</v>
      </c>
      <c r="E3408" s="15" t="n">
        <v>2</v>
      </c>
      <c r="H3408" s="10"/>
      <c r="I3408" s="21"/>
      <c r="M3408" s="10"/>
      <c r="N3408" s="10"/>
      <c r="P3408" s="10"/>
      <c r="Q3408" s="22"/>
    </row>
    <row r="3409" customFormat="false" ht="15.75" hidden="false" customHeight="false" outlineLevel="0" collapsed="false">
      <c r="A3409" s="20" t="n">
        <v>46122</v>
      </c>
      <c r="B3409" s="15" t="s">
        <v>508</v>
      </c>
      <c r="C3409" s="15" t="s">
        <v>63</v>
      </c>
      <c r="D3409" s="15" t="s">
        <v>551</v>
      </c>
      <c r="E3409" s="15" t="n">
        <v>1</v>
      </c>
      <c r="H3409" s="10"/>
      <c r="I3409" s="21"/>
      <c r="M3409" s="10"/>
      <c r="N3409" s="10"/>
      <c r="P3409" s="10"/>
      <c r="Q3409" s="22"/>
    </row>
    <row r="3410" customFormat="false" ht="15.75" hidden="false" customHeight="false" outlineLevel="0" collapsed="false">
      <c r="A3410" s="20" t="n">
        <v>46125</v>
      </c>
      <c r="B3410" s="15" t="s">
        <v>452</v>
      </c>
      <c r="C3410" s="15" t="s">
        <v>81</v>
      </c>
      <c r="D3410" s="15" t="s">
        <v>534</v>
      </c>
      <c r="E3410" s="15" t="n">
        <v>11</v>
      </c>
      <c r="H3410" s="10"/>
      <c r="I3410" s="21"/>
      <c r="M3410" s="10"/>
      <c r="N3410" s="10"/>
      <c r="P3410" s="10"/>
      <c r="Q3410" s="22"/>
    </row>
    <row r="3411" customFormat="false" ht="15.75" hidden="false" customHeight="false" outlineLevel="0" collapsed="false">
      <c r="A3411" s="20" t="n">
        <v>46125</v>
      </c>
      <c r="B3411" s="15" t="s">
        <v>452</v>
      </c>
      <c r="C3411" s="15" t="s">
        <v>555</v>
      </c>
      <c r="D3411" s="15" t="s">
        <v>556</v>
      </c>
      <c r="E3411" s="15" t="n">
        <v>2</v>
      </c>
      <c r="H3411" s="10"/>
      <c r="I3411" s="21"/>
      <c r="M3411" s="10"/>
      <c r="N3411" s="10"/>
      <c r="P3411" s="10"/>
      <c r="Q3411" s="22"/>
    </row>
    <row r="3412" customFormat="false" ht="15.75" hidden="false" customHeight="false" outlineLevel="0" collapsed="false">
      <c r="A3412" s="20" t="n">
        <v>46125</v>
      </c>
      <c r="B3412" s="15" t="s">
        <v>452</v>
      </c>
      <c r="C3412" s="15" t="s">
        <v>545</v>
      </c>
      <c r="D3412" s="15" t="s">
        <v>546</v>
      </c>
      <c r="E3412" s="15" t="n">
        <v>1</v>
      </c>
      <c r="H3412" s="10"/>
      <c r="I3412" s="21"/>
      <c r="M3412" s="10"/>
      <c r="N3412" s="10"/>
      <c r="P3412" s="10"/>
      <c r="Q3412" s="22"/>
    </row>
    <row r="3413" customFormat="false" ht="15.75" hidden="false" customHeight="false" outlineLevel="0" collapsed="false">
      <c r="A3413" s="20" t="n">
        <v>46125</v>
      </c>
      <c r="B3413" s="15" t="s">
        <v>452</v>
      </c>
      <c r="C3413" s="15" t="s">
        <v>543</v>
      </c>
      <c r="D3413" s="15" t="s">
        <v>544</v>
      </c>
      <c r="E3413" s="15" t="n">
        <v>1</v>
      </c>
      <c r="H3413" s="10"/>
      <c r="I3413" s="21"/>
      <c r="M3413" s="10"/>
      <c r="N3413" s="10"/>
      <c r="P3413" s="10"/>
      <c r="Q3413" s="22"/>
    </row>
    <row r="3414" customFormat="false" ht="15.75" hidden="false" customHeight="false" outlineLevel="0" collapsed="false">
      <c r="A3414" s="20" t="n">
        <v>46125</v>
      </c>
      <c r="B3414" s="15" t="s">
        <v>452</v>
      </c>
      <c r="C3414" s="15" t="s">
        <v>69</v>
      </c>
      <c r="D3414" s="15" t="s">
        <v>535</v>
      </c>
      <c r="E3414" s="15" t="n">
        <v>4</v>
      </c>
      <c r="H3414" s="10"/>
      <c r="I3414" s="21"/>
      <c r="M3414" s="10"/>
      <c r="N3414" s="10"/>
      <c r="P3414" s="10"/>
      <c r="Q3414" s="22"/>
    </row>
    <row r="3415" customFormat="false" ht="15.75" hidden="false" customHeight="false" outlineLevel="0" collapsed="false">
      <c r="A3415" s="20" t="n">
        <v>46125</v>
      </c>
      <c r="B3415" s="15" t="s">
        <v>452</v>
      </c>
      <c r="C3415" s="15" t="s">
        <v>33</v>
      </c>
      <c r="D3415" s="15" t="s">
        <v>536</v>
      </c>
      <c r="E3415" s="15" t="n">
        <v>4</v>
      </c>
      <c r="H3415" s="10"/>
      <c r="I3415" s="21"/>
      <c r="M3415" s="10"/>
      <c r="N3415" s="10"/>
      <c r="P3415" s="10"/>
      <c r="Q3415" s="22"/>
    </row>
    <row r="3416" customFormat="false" ht="15.75" hidden="false" customHeight="false" outlineLevel="0" collapsed="false">
      <c r="A3416" s="20" t="n">
        <v>46125</v>
      </c>
      <c r="B3416" s="15" t="s">
        <v>452</v>
      </c>
      <c r="C3416" s="15" t="s">
        <v>79</v>
      </c>
      <c r="D3416" s="15" t="s">
        <v>564</v>
      </c>
      <c r="E3416" s="15" t="n">
        <v>1</v>
      </c>
      <c r="H3416" s="10"/>
      <c r="I3416" s="21"/>
      <c r="M3416" s="10"/>
      <c r="N3416" s="10"/>
      <c r="P3416" s="10"/>
      <c r="Q3416" s="22"/>
    </row>
    <row r="3417" customFormat="false" ht="15.75" hidden="false" customHeight="false" outlineLevel="0" collapsed="false">
      <c r="A3417" s="20" t="n">
        <v>46125</v>
      </c>
      <c r="B3417" s="15" t="s">
        <v>452</v>
      </c>
      <c r="C3417" s="15" t="s">
        <v>77</v>
      </c>
      <c r="D3417" s="15" t="s">
        <v>78</v>
      </c>
      <c r="E3417" s="15" t="n">
        <v>2</v>
      </c>
      <c r="H3417" s="10"/>
      <c r="I3417" s="21"/>
      <c r="M3417" s="10"/>
      <c r="N3417" s="10"/>
      <c r="P3417" s="10"/>
      <c r="Q3417" s="22"/>
    </row>
    <row r="3418" customFormat="false" ht="15.75" hidden="false" customHeight="false" outlineLevel="0" collapsed="false">
      <c r="A3418" s="20" t="n">
        <v>46125</v>
      </c>
      <c r="B3418" s="15" t="s">
        <v>452</v>
      </c>
      <c r="C3418" s="15" t="s">
        <v>49</v>
      </c>
      <c r="D3418" s="15" t="s">
        <v>537</v>
      </c>
      <c r="E3418" s="15" t="n">
        <v>5</v>
      </c>
      <c r="H3418" s="10"/>
      <c r="I3418" s="21"/>
      <c r="M3418" s="10"/>
      <c r="N3418" s="10"/>
      <c r="P3418" s="10"/>
      <c r="Q3418" s="22"/>
    </row>
    <row r="3419" customFormat="false" ht="15.75" hidden="false" customHeight="false" outlineLevel="0" collapsed="false">
      <c r="A3419" s="20" t="n">
        <v>46125</v>
      </c>
      <c r="B3419" s="15" t="s">
        <v>452</v>
      </c>
      <c r="C3419" s="15" t="s">
        <v>61</v>
      </c>
      <c r="D3419" s="15" t="s">
        <v>576</v>
      </c>
      <c r="E3419" s="15" t="n">
        <v>1</v>
      </c>
      <c r="H3419" s="10"/>
      <c r="I3419" s="21"/>
      <c r="M3419" s="10"/>
      <c r="N3419" s="10"/>
      <c r="P3419" s="10"/>
      <c r="Q3419" s="22"/>
    </row>
    <row r="3420" customFormat="false" ht="15.75" hidden="false" customHeight="false" outlineLevel="0" collapsed="false">
      <c r="A3420" s="20" t="n">
        <v>46125</v>
      </c>
      <c r="B3420" s="15" t="s">
        <v>453</v>
      </c>
      <c r="C3420" s="15" t="s">
        <v>47</v>
      </c>
      <c r="D3420" s="15" t="s">
        <v>549</v>
      </c>
      <c r="E3420" s="15" t="n">
        <v>2</v>
      </c>
      <c r="H3420" s="10"/>
      <c r="I3420" s="21"/>
      <c r="M3420" s="10"/>
      <c r="N3420" s="10"/>
      <c r="P3420" s="10"/>
      <c r="Q3420" s="22"/>
    </row>
    <row r="3421" customFormat="false" ht="15.75" hidden="false" customHeight="false" outlineLevel="0" collapsed="false">
      <c r="A3421" s="20" t="n">
        <v>46125</v>
      </c>
      <c r="B3421" s="15" t="s">
        <v>453</v>
      </c>
      <c r="C3421" s="15" t="s">
        <v>55</v>
      </c>
      <c r="D3421" s="15" t="s">
        <v>539</v>
      </c>
      <c r="E3421" s="15" t="n">
        <v>4</v>
      </c>
      <c r="H3421" s="10"/>
      <c r="I3421" s="21"/>
      <c r="M3421" s="10"/>
      <c r="N3421" s="10"/>
      <c r="P3421" s="10"/>
      <c r="Q3421" s="22"/>
    </row>
    <row r="3422" customFormat="false" ht="15.75" hidden="false" customHeight="false" outlineLevel="0" collapsed="false">
      <c r="A3422" s="20" t="n">
        <v>46125</v>
      </c>
      <c r="B3422" s="15" t="s">
        <v>453</v>
      </c>
      <c r="C3422" s="15" t="s">
        <v>81</v>
      </c>
      <c r="D3422" s="15" t="s">
        <v>534</v>
      </c>
      <c r="E3422" s="15" t="n">
        <v>8</v>
      </c>
      <c r="H3422" s="10"/>
      <c r="I3422" s="21"/>
      <c r="M3422" s="10"/>
      <c r="N3422" s="10"/>
      <c r="P3422" s="10"/>
      <c r="Q3422" s="22"/>
    </row>
    <row r="3423" customFormat="false" ht="15.75" hidden="false" customHeight="false" outlineLevel="0" collapsed="false">
      <c r="A3423" s="20" t="n">
        <v>46125</v>
      </c>
      <c r="B3423" s="15" t="s">
        <v>453</v>
      </c>
      <c r="C3423" s="15" t="s">
        <v>39</v>
      </c>
      <c r="D3423" s="15" t="s">
        <v>550</v>
      </c>
      <c r="E3423" s="15" t="n">
        <v>2</v>
      </c>
      <c r="H3423" s="10"/>
      <c r="I3423" s="21"/>
      <c r="M3423" s="10"/>
      <c r="N3423" s="10"/>
      <c r="P3423" s="10"/>
      <c r="Q3423" s="22"/>
    </row>
    <row r="3424" customFormat="false" ht="15.75" hidden="false" customHeight="false" outlineLevel="0" collapsed="false">
      <c r="A3424" s="20" t="n">
        <v>46125</v>
      </c>
      <c r="B3424" s="15" t="s">
        <v>453</v>
      </c>
      <c r="C3424" s="15" t="s">
        <v>63</v>
      </c>
      <c r="D3424" s="15" t="s">
        <v>551</v>
      </c>
      <c r="E3424" s="15" t="n">
        <v>1</v>
      </c>
      <c r="H3424" s="10"/>
      <c r="I3424" s="21"/>
      <c r="M3424" s="10"/>
      <c r="N3424" s="10"/>
      <c r="P3424" s="10"/>
      <c r="Q3424" s="22"/>
    </row>
    <row r="3425" customFormat="false" ht="15.75" hidden="false" customHeight="false" outlineLevel="0" collapsed="false">
      <c r="A3425" s="20" t="n">
        <v>46125</v>
      </c>
      <c r="B3425" s="15" t="s">
        <v>453</v>
      </c>
      <c r="C3425" s="15" t="s">
        <v>35</v>
      </c>
      <c r="D3425" s="15" t="s">
        <v>552</v>
      </c>
      <c r="E3425" s="15" t="n">
        <v>2</v>
      </c>
      <c r="H3425" s="10"/>
      <c r="I3425" s="21"/>
      <c r="M3425" s="10"/>
      <c r="N3425" s="10"/>
      <c r="P3425" s="10"/>
      <c r="Q3425" s="22"/>
    </row>
    <row r="3426" customFormat="false" ht="15.75" hidden="false" customHeight="false" outlineLevel="0" collapsed="false">
      <c r="A3426" s="20" t="n">
        <v>46125</v>
      </c>
      <c r="B3426" s="15" t="s">
        <v>19</v>
      </c>
      <c r="C3426" s="15" t="s">
        <v>69</v>
      </c>
      <c r="D3426" s="15" t="s">
        <v>535</v>
      </c>
      <c r="E3426" s="15" t="n">
        <v>10</v>
      </c>
      <c r="H3426" s="10"/>
      <c r="I3426" s="21"/>
      <c r="M3426" s="10"/>
      <c r="N3426" s="10"/>
      <c r="P3426" s="10"/>
      <c r="Q3426" s="22"/>
    </row>
    <row r="3427" customFormat="false" ht="15.75" hidden="false" customHeight="false" outlineLevel="0" collapsed="false">
      <c r="A3427" s="20" t="n">
        <v>46125</v>
      </c>
      <c r="B3427" s="15" t="s">
        <v>19</v>
      </c>
      <c r="C3427" s="15" t="s">
        <v>55</v>
      </c>
      <c r="D3427" s="15" t="s">
        <v>539</v>
      </c>
      <c r="E3427" s="15" t="n">
        <v>10</v>
      </c>
      <c r="H3427" s="10"/>
      <c r="I3427" s="21"/>
      <c r="M3427" s="10"/>
      <c r="N3427" s="10"/>
      <c r="P3427" s="10"/>
      <c r="Q3427" s="22"/>
    </row>
    <row r="3428" customFormat="false" ht="15.75" hidden="false" customHeight="false" outlineLevel="0" collapsed="false">
      <c r="A3428" s="20" t="n">
        <v>46125</v>
      </c>
      <c r="B3428" s="15" t="s">
        <v>19</v>
      </c>
      <c r="C3428" s="15" t="s">
        <v>37</v>
      </c>
      <c r="D3428" s="15" t="s">
        <v>561</v>
      </c>
      <c r="E3428" s="15" t="n">
        <v>4</v>
      </c>
      <c r="H3428" s="10"/>
      <c r="I3428" s="21"/>
      <c r="M3428" s="10"/>
      <c r="N3428" s="10"/>
      <c r="P3428" s="10"/>
      <c r="Q3428" s="22"/>
    </row>
    <row r="3429" customFormat="false" ht="15.75" hidden="false" customHeight="false" outlineLevel="0" collapsed="false">
      <c r="A3429" s="20" t="n">
        <v>46125</v>
      </c>
      <c r="B3429" s="15" t="s">
        <v>19</v>
      </c>
      <c r="C3429" s="15" t="s">
        <v>555</v>
      </c>
      <c r="D3429" s="15" t="s">
        <v>556</v>
      </c>
      <c r="E3429" s="15" t="n">
        <v>4</v>
      </c>
      <c r="H3429" s="10"/>
      <c r="I3429" s="21"/>
      <c r="M3429" s="10"/>
      <c r="N3429" s="10"/>
      <c r="P3429" s="10"/>
      <c r="Q3429" s="22"/>
    </row>
    <row r="3430" customFormat="false" ht="15.75" hidden="false" customHeight="false" outlineLevel="0" collapsed="false">
      <c r="A3430" s="20" t="n">
        <v>46125</v>
      </c>
      <c r="B3430" s="15" t="s">
        <v>19</v>
      </c>
      <c r="C3430" s="15" t="s">
        <v>565</v>
      </c>
      <c r="D3430" s="15" t="s">
        <v>566</v>
      </c>
      <c r="E3430" s="15" t="n">
        <v>4</v>
      </c>
      <c r="H3430" s="10"/>
      <c r="I3430" s="21"/>
      <c r="M3430" s="10"/>
      <c r="N3430" s="10"/>
      <c r="P3430" s="10"/>
      <c r="Q3430" s="22"/>
    </row>
    <row r="3431" customFormat="false" ht="15.75" hidden="false" customHeight="false" outlineLevel="0" collapsed="false">
      <c r="A3431" s="20" t="n">
        <v>46125</v>
      </c>
      <c r="B3431" s="15" t="s">
        <v>19</v>
      </c>
      <c r="C3431" s="15" t="s">
        <v>567</v>
      </c>
      <c r="D3431" s="15" t="s">
        <v>568</v>
      </c>
      <c r="E3431" s="15" t="n">
        <v>4</v>
      </c>
      <c r="H3431" s="10"/>
      <c r="I3431" s="21"/>
      <c r="M3431" s="10"/>
      <c r="N3431" s="10"/>
      <c r="P3431" s="10"/>
      <c r="Q3431" s="22"/>
    </row>
    <row r="3432" customFormat="false" ht="15.75" hidden="false" customHeight="false" outlineLevel="0" collapsed="false">
      <c r="A3432" s="20" t="n">
        <v>46125</v>
      </c>
      <c r="B3432" s="15" t="s">
        <v>19</v>
      </c>
      <c r="C3432" s="15" t="s">
        <v>43</v>
      </c>
      <c r="D3432" s="15" t="s">
        <v>538</v>
      </c>
      <c r="E3432" s="15" t="n">
        <v>4</v>
      </c>
      <c r="H3432" s="10"/>
      <c r="I3432" s="21"/>
      <c r="M3432" s="10"/>
      <c r="N3432" s="10"/>
      <c r="P3432" s="10"/>
      <c r="Q3432" s="22"/>
    </row>
    <row r="3433" customFormat="false" ht="15.75" hidden="false" customHeight="false" outlineLevel="0" collapsed="false">
      <c r="A3433" s="20" t="n">
        <v>46125</v>
      </c>
      <c r="B3433" s="15" t="s">
        <v>19</v>
      </c>
      <c r="C3433" s="15" t="s">
        <v>81</v>
      </c>
      <c r="D3433" s="15" t="s">
        <v>534</v>
      </c>
      <c r="E3433" s="15" t="n">
        <v>9</v>
      </c>
      <c r="H3433" s="10"/>
      <c r="I3433" s="21"/>
      <c r="M3433" s="10"/>
      <c r="N3433" s="10"/>
      <c r="P3433" s="10"/>
      <c r="Q3433" s="22"/>
    </row>
    <row r="3434" customFormat="false" ht="15.75" hidden="false" customHeight="false" outlineLevel="0" collapsed="false">
      <c r="A3434" s="20" t="n">
        <v>46125</v>
      </c>
      <c r="B3434" s="15" t="s">
        <v>19</v>
      </c>
      <c r="C3434" s="15" t="s">
        <v>545</v>
      </c>
      <c r="D3434" s="15" t="s">
        <v>546</v>
      </c>
      <c r="E3434" s="15" t="n">
        <v>2</v>
      </c>
      <c r="H3434" s="10"/>
      <c r="I3434" s="21"/>
      <c r="M3434" s="10"/>
      <c r="N3434" s="10"/>
      <c r="P3434" s="10"/>
      <c r="Q3434" s="22"/>
    </row>
    <row r="3435" customFormat="false" ht="15.75" hidden="false" customHeight="false" outlineLevel="0" collapsed="false">
      <c r="A3435" s="20" t="n">
        <v>46125</v>
      </c>
      <c r="B3435" s="15" t="s">
        <v>19</v>
      </c>
      <c r="C3435" s="15" t="s">
        <v>67</v>
      </c>
      <c r="D3435" s="15" t="s">
        <v>569</v>
      </c>
      <c r="E3435" s="15" t="n">
        <v>2</v>
      </c>
      <c r="H3435" s="10"/>
      <c r="I3435" s="21"/>
      <c r="M3435" s="10"/>
      <c r="N3435" s="10"/>
      <c r="P3435" s="10"/>
      <c r="Q3435" s="22"/>
    </row>
    <row r="3436" customFormat="false" ht="15.75" hidden="false" customHeight="false" outlineLevel="0" collapsed="false">
      <c r="A3436" s="20" t="n">
        <v>46125</v>
      </c>
      <c r="B3436" s="15" t="s">
        <v>19</v>
      </c>
      <c r="C3436" s="15" t="s">
        <v>77</v>
      </c>
      <c r="D3436" s="15" t="s">
        <v>78</v>
      </c>
      <c r="E3436" s="15" t="n">
        <v>4</v>
      </c>
      <c r="H3436" s="10"/>
      <c r="I3436" s="21"/>
      <c r="M3436" s="10"/>
      <c r="N3436" s="10"/>
      <c r="P3436" s="10"/>
      <c r="Q3436" s="22"/>
    </row>
    <row r="3437" customFormat="false" ht="15.75" hidden="false" customHeight="false" outlineLevel="0" collapsed="false">
      <c r="A3437" s="20" t="n">
        <v>46125</v>
      </c>
      <c r="B3437" s="15" t="s">
        <v>19</v>
      </c>
      <c r="C3437" s="15" t="s">
        <v>33</v>
      </c>
      <c r="D3437" s="15" t="s">
        <v>536</v>
      </c>
      <c r="E3437" s="15" t="n">
        <v>10</v>
      </c>
      <c r="H3437" s="10"/>
      <c r="I3437" s="21"/>
      <c r="M3437" s="10"/>
      <c r="N3437" s="10"/>
      <c r="P3437" s="10"/>
      <c r="Q3437" s="22"/>
    </row>
    <row r="3438" customFormat="false" ht="15.75" hidden="false" customHeight="false" outlineLevel="0" collapsed="false">
      <c r="A3438" s="20" t="n">
        <v>46125</v>
      </c>
      <c r="B3438" s="15" t="s">
        <v>19</v>
      </c>
      <c r="C3438" s="15" t="s">
        <v>59</v>
      </c>
      <c r="D3438" s="15" t="s">
        <v>562</v>
      </c>
      <c r="E3438" s="15" t="n">
        <v>10</v>
      </c>
      <c r="H3438" s="10"/>
      <c r="I3438" s="21"/>
      <c r="M3438" s="10"/>
      <c r="N3438" s="10"/>
      <c r="P3438" s="10"/>
      <c r="Q3438" s="22"/>
    </row>
    <row r="3439" customFormat="false" ht="15.75" hidden="false" customHeight="false" outlineLevel="0" collapsed="false">
      <c r="A3439" s="20" t="n">
        <v>46125</v>
      </c>
      <c r="B3439" s="15" t="s">
        <v>19</v>
      </c>
      <c r="C3439" s="15" t="s">
        <v>19</v>
      </c>
      <c r="D3439" s="15" t="s">
        <v>19</v>
      </c>
      <c r="E3439" s="15" t="n">
        <v>2</v>
      </c>
      <c r="H3439" s="10"/>
      <c r="I3439" s="21"/>
      <c r="M3439" s="10"/>
      <c r="N3439" s="10"/>
      <c r="P3439" s="10"/>
      <c r="Q3439" s="22"/>
    </row>
    <row r="3440" customFormat="false" ht="15.75" hidden="false" customHeight="false" outlineLevel="0" collapsed="false">
      <c r="A3440" s="20" t="n">
        <v>46125</v>
      </c>
      <c r="B3440" s="15" t="s">
        <v>19</v>
      </c>
      <c r="C3440" s="15" t="s">
        <v>570</v>
      </c>
      <c r="D3440" s="15" t="s">
        <v>571</v>
      </c>
      <c r="E3440" s="15" t="n">
        <v>2</v>
      </c>
      <c r="H3440" s="10"/>
      <c r="I3440" s="21"/>
      <c r="M3440" s="10"/>
      <c r="N3440" s="10"/>
      <c r="P3440" s="10"/>
      <c r="Q3440" s="22"/>
    </row>
    <row r="3441" customFormat="false" ht="15.75" hidden="false" customHeight="false" outlineLevel="0" collapsed="false">
      <c r="A3441" s="20" t="n">
        <v>46125</v>
      </c>
      <c r="B3441" s="15" t="s">
        <v>19</v>
      </c>
      <c r="C3441" s="15" t="s">
        <v>11</v>
      </c>
      <c r="D3441" s="15" t="s">
        <v>572</v>
      </c>
      <c r="E3441" s="15" t="n">
        <v>2</v>
      </c>
      <c r="H3441" s="10"/>
      <c r="I3441" s="21"/>
      <c r="M3441" s="10"/>
      <c r="N3441" s="10"/>
      <c r="P3441" s="10"/>
      <c r="Q3441" s="22"/>
    </row>
    <row r="3442" customFormat="false" ht="15.75" hidden="false" customHeight="false" outlineLevel="0" collapsed="false">
      <c r="A3442" s="20" t="n">
        <v>46125</v>
      </c>
      <c r="B3442" s="15" t="s">
        <v>467</v>
      </c>
      <c r="C3442" s="15" t="s">
        <v>55</v>
      </c>
      <c r="D3442" s="15" t="s">
        <v>539</v>
      </c>
      <c r="E3442" s="15" t="n">
        <v>6</v>
      </c>
      <c r="H3442" s="10"/>
      <c r="I3442" s="21"/>
      <c r="M3442" s="10"/>
      <c r="N3442" s="10"/>
      <c r="P3442" s="10"/>
      <c r="Q3442" s="22"/>
    </row>
    <row r="3443" customFormat="false" ht="15.75" hidden="false" customHeight="false" outlineLevel="0" collapsed="false">
      <c r="A3443" s="20" t="n">
        <v>46125</v>
      </c>
      <c r="B3443" s="15" t="s">
        <v>467</v>
      </c>
      <c r="C3443" s="15" t="s">
        <v>57</v>
      </c>
      <c r="D3443" s="15" t="s">
        <v>553</v>
      </c>
      <c r="E3443" s="15" t="n">
        <v>2</v>
      </c>
      <c r="H3443" s="10"/>
      <c r="I3443" s="21"/>
      <c r="M3443" s="10"/>
      <c r="N3443" s="10"/>
      <c r="P3443" s="10"/>
      <c r="Q3443" s="22"/>
    </row>
    <row r="3444" customFormat="false" ht="15.75" hidden="false" customHeight="false" outlineLevel="0" collapsed="false">
      <c r="A3444" s="20" t="n">
        <v>46125</v>
      </c>
      <c r="B3444" s="15" t="s">
        <v>467</v>
      </c>
      <c r="C3444" s="15" t="s">
        <v>47</v>
      </c>
      <c r="D3444" s="15" t="s">
        <v>549</v>
      </c>
      <c r="E3444" s="15" t="n">
        <v>2</v>
      </c>
      <c r="H3444" s="10"/>
      <c r="I3444" s="21"/>
      <c r="M3444" s="10"/>
      <c r="N3444" s="10"/>
      <c r="P3444" s="10"/>
      <c r="Q3444" s="22"/>
    </row>
    <row r="3445" customFormat="false" ht="15.75" hidden="false" customHeight="false" outlineLevel="0" collapsed="false">
      <c r="A3445" s="20" t="n">
        <v>46125</v>
      </c>
      <c r="B3445" s="15" t="s">
        <v>467</v>
      </c>
      <c r="C3445" s="15" t="s">
        <v>81</v>
      </c>
      <c r="D3445" s="15" t="s">
        <v>534</v>
      </c>
      <c r="E3445" s="15" t="n">
        <v>7</v>
      </c>
      <c r="H3445" s="10"/>
      <c r="I3445" s="21"/>
      <c r="M3445" s="10"/>
      <c r="N3445" s="10"/>
      <c r="P3445" s="10"/>
      <c r="Q3445" s="22"/>
    </row>
    <row r="3446" customFormat="false" ht="15.75" hidden="false" customHeight="false" outlineLevel="0" collapsed="false">
      <c r="A3446" s="20" t="n">
        <v>46125</v>
      </c>
      <c r="B3446" s="15" t="s">
        <v>467</v>
      </c>
      <c r="C3446" s="15" t="s">
        <v>49</v>
      </c>
      <c r="D3446" s="15" t="s">
        <v>537</v>
      </c>
      <c r="E3446" s="15" t="n">
        <v>2</v>
      </c>
      <c r="H3446" s="10"/>
      <c r="I3446" s="21"/>
      <c r="M3446" s="10"/>
      <c r="N3446" s="10"/>
      <c r="P3446" s="10"/>
      <c r="Q3446" s="22"/>
    </row>
    <row r="3447" customFormat="false" ht="15.75" hidden="false" customHeight="false" outlineLevel="0" collapsed="false">
      <c r="A3447" s="20" t="n">
        <v>46125</v>
      </c>
      <c r="B3447" s="15" t="s">
        <v>467</v>
      </c>
      <c r="C3447" s="15" t="s">
        <v>63</v>
      </c>
      <c r="D3447" s="15" t="s">
        <v>551</v>
      </c>
      <c r="E3447" s="15" t="n">
        <v>1</v>
      </c>
      <c r="H3447" s="10"/>
      <c r="I3447" s="21"/>
      <c r="M3447" s="10"/>
      <c r="N3447" s="10"/>
      <c r="P3447" s="10"/>
      <c r="Q3447" s="22"/>
    </row>
    <row r="3448" customFormat="false" ht="15.75" hidden="false" customHeight="false" outlineLevel="0" collapsed="false">
      <c r="A3448" s="20" t="n">
        <v>46125</v>
      </c>
      <c r="B3448" s="15" t="s">
        <v>471</v>
      </c>
      <c r="C3448" s="15" t="s">
        <v>25</v>
      </c>
      <c r="D3448" s="15" t="s">
        <v>26</v>
      </c>
      <c r="E3448" s="15" t="n">
        <v>2</v>
      </c>
      <c r="H3448" s="10"/>
      <c r="I3448" s="21"/>
      <c r="M3448" s="10"/>
      <c r="N3448" s="10"/>
      <c r="P3448" s="10"/>
      <c r="Q3448" s="22"/>
    </row>
    <row r="3449" customFormat="false" ht="15.75" hidden="false" customHeight="false" outlineLevel="0" collapsed="false">
      <c r="A3449" s="20" t="n">
        <v>46125</v>
      </c>
      <c r="B3449" s="15" t="s">
        <v>471</v>
      </c>
      <c r="C3449" s="15" t="s">
        <v>69</v>
      </c>
      <c r="D3449" s="15" t="s">
        <v>535</v>
      </c>
      <c r="E3449" s="15" t="n">
        <v>2</v>
      </c>
      <c r="H3449" s="10"/>
      <c r="I3449" s="21"/>
      <c r="M3449" s="10"/>
      <c r="N3449" s="10"/>
      <c r="P3449" s="10"/>
      <c r="Q3449" s="22"/>
    </row>
    <row r="3450" customFormat="false" ht="15.75" hidden="false" customHeight="false" outlineLevel="0" collapsed="false">
      <c r="A3450" s="20" t="n">
        <v>46125</v>
      </c>
      <c r="B3450" s="15" t="s">
        <v>471</v>
      </c>
      <c r="C3450" s="15" t="s">
        <v>555</v>
      </c>
      <c r="D3450" s="15" t="s">
        <v>556</v>
      </c>
      <c r="E3450" s="15" t="n">
        <v>2</v>
      </c>
      <c r="H3450" s="10"/>
      <c r="I3450" s="21"/>
      <c r="M3450" s="10"/>
      <c r="N3450" s="10"/>
      <c r="P3450" s="10"/>
      <c r="Q3450" s="22"/>
    </row>
    <row r="3451" customFormat="false" ht="15.75" hidden="false" customHeight="false" outlineLevel="0" collapsed="false">
      <c r="A3451" s="20" t="n">
        <v>46125</v>
      </c>
      <c r="B3451" s="15" t="s">
        <v>472</v>
      </c>
      <c r="C3451" s="15" t="s">
        <v>555</v>
      </c>
      <c r="D3451" s="15" t="s">
        <v>556</v>
      </c>
      <c r="E3451" s="15" t="n">
        <v>3</v>
      </c>
      <c r="H3451" s="10"/>
      <c r="I3451" s="21"/>
      <c r="M3451" s="10"/>
      <c r="N3451" s="10"/>
      <c r="P3451" s="10"/>
      <c r="Q3451" s="22"/>
    </row>
    <row r="3452" customFormat="false" ht="15.75" hidden="false" customHeight="false" outlineLevel="0" collapsed="false">
      <c r="A3452" s="20" t="n">
        <v>46125</v>
      </c>
      <c r="B3452" s="15" t="s">
        <v>472</v>
      </c>
      <c r="C3452" s="15" t="s">
        <v>11</v>
      </c>
      <c r="D3452" s="15" t="s">
        <v>572</v>
      </c>
      <c r="E3452" s="15" t="n">
        <v>3</v>
      </c>
      <c r="H3452" s="10"/>
      <c r="I3452" s="21"/>
      <c r="M3452" s="10"/>
      <c r="N3452" s="10"/>
      <c r="P3452" s="10"/>
      <c r="Q3452" s="22"/>
    </row>
    <row r="3453" customFormat="false" ht="15.75" hidden="false" customHeight="false" outlineLevel="0" collapsed="false">
      <c r="A3453" s="20" t="n">
        <v>46125</v>
      </c>
      <c r="B3453" s="15" t="s">
        <v>472</v>
      </c>
      <c r="C3453" s="15" t="s">
        <v>69</v>
      </c>
      <c r="D3453" s="15" t="s">
        <v>535</v>
      </c>
      <c r="E3453" s="15" t="n">
        <v>3</v>
      </c>
      <c r="H3453" s="10"/>
      <c r="I3453" s="21"/>
      <c r="M3453" s="10"/>
      <c r="N3453" s="10"/>
      <c r="P3453" s="10"/>
      <c r="Q3453" s="22"/>
    </row>
    <row r="3454" customFormat="false" ht="15.75" hidden="false" customHeight="false" outlineLevel="0" collapsed="false">
      <c r="A3454" s="20" t="n">
        <v>46125</v>
      </c>
      <c r="B3454" s="15" t="s">
        <v>472</v>
      </c>
      <c r="C3454" s="15" t="s">
        <v>25</v>
      </c>
      <c r="D3454" s="15" t="s">
        <v>26</v>
      </c>
      <c r="E3454" s="15" t="n">
        <v>3</v>
      </c>
      <c r="H3454" s="10"/>
      <c r="I3454" s="21"/>
      <c r="M3454" s="10"/>
      <c r="N3454" s="10"/>
      <c r="P3454" s="10"/>
      <c r="Q3454" s="22"/>
    </row>
    <row r="3455" customFormat="false" ht="15.75" hidden="false" customHeight="false" outlineLevel="0" collapsed="false">
      <c r="A3455" s="20" t="n">
        <v>46125</v>
      </c>
      <c r="B3455" s="15" t="s">
        <v>486</v>
      </c>
      <c r="C3455" s="15" t="s">
        <v>55</v>
      </c>
      <c r="D3455" s="15" t="s">
        <v>539</v>
      </c>
      <c r="E3455" s="15" t="n">
        <v>1</v>
      </c>
      <c r="H3455" s="10"/>
      <c r="I3455" s="21"/>
      <c r="M3455" s="10"/>
      <c r="N3455" s="10"/>
      <c r="P3455" s="10"/>
      <c r="Q3455" s="22"/>
    </row>
    <row r="3456" customFormat="false" ht="15.75" hidden="false" customHeight="false" outlineLevel="0" collapsed="false">
      <c r="A3456" s="20" t="n">
        <v>46125</v>
      </c>
      <c r="B3456" s="15" t="s">
        <v>486</v>
      </c>
      <c r="C3456" s="15" t="s">
        <v>81</v>
      </c>
      <c r="D3456" s="15" t="s">
        <v>534</v>
      </c>
      <c r="E3456" s="15" t="n">
        <v>4</v>
      </c>
      <c r="H3456" s="10"/>
      <c r="I3456" s="21"/>
      <c r="M3456" s="10"/>
      <c r="N3456" s="10"/>
      <c r="P3456" s="10"/>
      <c r="Q3456" s="22"/>
    </row>
    <row r="3457" customFormat="false" ht="15.75" hidden="false" customHeight="false" outlineLevel="0" collapsed="false">
      <c r="A3457" s="20" t="n">
        <v>46125</v>
      </c>
      <c r="B3457" s="15" t="s">
        <v>486</v>
      </c>
      <c r="C3457" s="15" t="s">
        <v>69</v>
      </c>
      <c r="D3457" s="15" t="s">
        <v>535</v>
      </c>
      <c r="E3457" s="15" t="n">
        <v>5</v>
      </c>
      <c r="H3457" s="10"/>
      <c r="I3457" s="21"/>
      <c r="M3457" s="10"/>
      <c r="N3457" s="10"/>
      <c r="P3457" s="10"/>
      <c r="Q3457" s="22"/>
    </row>
    <row r="3458" customFormat="false" ht="15.75" hidden="false" customHeight="false" outlineLevel="0" collapsed="false">
      <c r="A3458" s="20" t="n">
        <v>46125</v>
      </c>
      <c r="B3458" s="15" t="s">
        <v>486</v>
      </c>
      <c r="C3458" s="15" t="s">
        <v>25</v>
      </c>
      <c r="D3458" s="15" t="s">
        <v>26</v>
      </c>
      <c r="E3458" s="15" t="n">
        <v>1</v>
      </c>
      <c r="H3458" s="10"/>
      <c r="I3458" s="21"/>
      <c r="M3458" s="10"/>
      <c r="N3458" s="10"/>
      <c r="P3458" s="10"/>
      <c r="Q3458" s="22"/>
    </row>
    <row r="3459" customFormat="false" ht="15.75" hidden="false" customHeight="false" outlineLevel="0" collapsed="false">
      <c r="A3459" s="20" t="n">
        <v>46125</v>
      </c>
      <c r="B3459" s="15" t="s">
        <v>486</v>
      </c>
      <c r="C3459" s="15" t="s">
        <v>11</v>
      </c>
      <c r="D3459" s="15" t="s">
        <v>572</v>
      </c>
      <c r="E3459" s="15" t="n">
        <v>1</v>
      </c>
      <c r="H3459" s="10"/>
      <c r="I3459" s="21"/>
      <c r="M3459" s="10"/>
      <c r="N3459" s="10"/>
      <c r="P3459" s="10"/>
      <c r="Q3459" s="22"/>
    </row>
    <row r="3460" customFormat="false" ht="15.75" hidden="false" customHeight="false" outlineLevel="0" collapsed="false">
      <c r="A3460" s="20" t="n">
        <v>46125</v>
      </c>
      <c r="B3460" s="15" t="s">
        <v>486</v>
      </c>
      <c r="C3460" s="15" t="s">
        <v>555</v>
      </c>
      <c r="D3460" s="15" t="s">
        <v>556</v>
      </c>
      <c r="E3460" s="15" t="n">
        <v>1</v>
      </c>
      <c r="H3460" s="10"/>
      <c r="I3460" s="21"/>
      <c r="M3460" s="10"/>
      <c r="N3460" s="10"/>
      <c r="P3460" s="10"/>
      <c r="Q3460" s="22"/>
    </row>
    <row r="3461" customFormat="false" ht="15.75" hidden="false" customHeight="false" outlineLevel="0" collapsed="false">
      <c r="A3461" s="20" t="n">
        <v>46125</v>
      </c>
      <c r="B3461" s="15" t="s">
        <v>486</v>
      </c>
      <c r="C3461" s="15" t="s">
        <v>543</v>
      </c>
      <c r="D3461" s="15" t="s">
        <v>544</v>
      </c>
      <c r="E3461" s="15" t="n">
        <v>2</v>
      </c>
      <c r="H3461" s="10"/>
      <c r="I3461" s="21"/>
      <c r="M3461" s="10"/>
      <c r="N3461" s="10"/>
      <c r="P3461" s="10"/>
      <c r="Q3461" s="22"/>
    </row>
    <row r="3462" customFormat="false" ht="15.75" hidden="false" customHeight="false" outlineLevel="0" collapsed="false">
      <c r="A3462" s="20" t="n">
        <v>46125</v>
      </c>
      <c r="B3462" s="15" t="s">
        <v>486</v>
      </c>
      <c r="C3462" s="15" t="s">
        <v>545</v>
      </c>
      <c r="D3462" s="15" t="s">
        <v>546</v>
      </c>
      <c r="E3462" s="15" t="n">
        <v>1</v>
      </c>
      <c r="H3462" s="10"/>
      <c r="I3462" s="21"/>
      <c r="M3462" s="10"/>
      <c r="N3462" s="10"/>
      <c r="P3462" s="10"/>
      <c r="Q3462" s="22"/>
    </row>
    <row r="3463" customFormat="false" ht="15.75" hidden="false" customHeight="false" outlineLevel="0" collapsed="false">
      <c r="A3463" s="20" t="n">
        <v>46125</v>
      </c>
      <c r="B3463" s="15" t="s">
        <v>486</v>
      </c>
      <c r="C3463" s="15" t="s">
        <v>77</v>
      </c>
      <c r="D3463" s="15" t="s">
        <v>78</v>
      </c>
      <c r="E3463" s="15" t="n">
        <v>2</v>
      </c>
      <c r="H3463" s="10"/>
      <c r="I3463" s="21"/>
      <c r="M3463" s="10"/>
      <c r="N3463" s="10"/>
      <c r="P3463" s="10"/>
      <c r="Q3463" s="22"/>
    </row>
    <row r="3464" customFormat="false" ht="15.75" hidden="false" customHeight="false" outlineLevel="0" collapsed="false">
      <c r="A3464" s="20" t="n">
        <v>46125</v>
      </c>
      <c r="B3464" s="15" t="s">
        <v>486</v>
      </c>
      <c r="C3464" s="15" t="s">
        <v>33</v>
      </c>
      <c r="D3464" s="15" t="s">
        <v>536</v>
      </c>
      <c r="E3464" s="15" t="n">
        <v>4</v>
      </c>
      <c r="H3464" s="10"/>
      <c r="I3464" s="21"/>
      <c r="M3464" s="10"/>
      <c r="N3464" s="10"/>
      <c r="P3464" s="10"/>
      <c r="Q3464" s="22"/>
    </row>
    <row r="3465" customFormat="false" ht="15.75" hidden="false" customHeight="false" outlineLevel="0" collapsed="false">
      <c r="A3465" s="20" t="n">
        <v>46125</v>
      </c>
      <c r="B3465" s="15" t="s">
        <v>486</v>
      </c>
      <c r="C3465" s="15" t="s">
        <v>578</v>
      </c>
      <c r="D3465" s="15" t="s">
        <v>579</v>
      </c>
      <c r="E3465" s="15" t="n">
        <v>1</v>
      </c>
      <c r="H3465" s="10"/>
      <c r="I3465" s="21"/>
      <c r="M3465" s="10"/>
      <c r="N3465" s="10"/>
      <c r="P3465" s="10"/>
      <c r="Q3465" s="22"/>
    </row>
    <row r="3466" customFormat="false" ht="15.75" hidden="false" customHeight="false" outlineLevel="0" collapsed="false">
      <c r="A3466" s="20" t="n">
        <v>46125</v>
      </c>
      <c r="B3466" s="15" t="s">
        <v>486</v>
      </c>
      <c r="C3466" s="15" t="s">
        <v>59</v>
      </c>
      <c r="D3466" s="15" t="s">
        <v>562</v>
      </c>
      <c r="E3466" s="15" t="n">
        <v>1</v>
      </c>
      <c r="H3466" s="10"/>
      <c r="I3466" s="21"/>
      <c r="M3466" s="10"/>
      <c r="N3466" s="10"/>
      <c r="P3466" s="10"/>
      <c r="Q3466" s="22"/>
    </row>
    <row r="3467" customFormat="false" ht="15.75" hidden="false" customHeight="false" outlineLevel="0" collapsed="false">
      <c r="A3467" s="20" t="n">
        <v>46125</v>
      </c>
      <c r="B3467" s="15" t="s">
        <v>486</v>
      </c>
      <c r="C3467" s="15" t="s">
        <v>79</v>
      </c>
      <c r="D3467" s="15" t="s">
        <v>564</v>
      </c>
      <c r="E3467" s="15" t="n">
        <v>2</v>
      </c>
      <c r="H3467" s="10"/>
      <c r="I3467" s="21"/>
      <c r="M3467" s="10"/>
      <c r="N3467" s="10"/>
      <c r="P3467" s="10"/>
      <c r="Q3467" s="22"/>
    </row>
    <row r="3468" customFormat="false" ht="15.75" hidden="false" customHeight="false" outlineLevel="0" collapsed="false">
      <c r="A3468" s="20" t="n">
        <v>46125</v>
      </c>
      <c r="B3468" s="15" t="s">
        <v>498</v>
      </c>
      <c r="C3468" s="15" t="s">
        <v>81</v>
      </c>
      <c r="D3468" s="15" t="s">
        <v>534</v>
      </c>
      <c r="E3468" s="15" t="n">
        <v>9</v>
      </c>
      <c r="H3468" s="10"/>
      <c r="I3468" s="21"/>
      <c r="M3468" s="10"/>
      <c r="N3468" s="10"/>
      <c r="P3468" s="10"/>
      <c r="Q3468" s="22"/>
    </row>
    <row r="3469" customFormat="false" ht="15.75" hidden="false" customHeight="false" outlineLevel="0" collapsed="false">
      <c r="A3469" s="20" t="n">
        <v>46125</v>
      </c>
      <c r="B3469" s="15" t="s">
        <v>498</v>
      </c>
      <c r="C3469" s="15" t="s">
        <v>543</v>
      </c>
      <c r="D3469" s="15" t="s">
        <v>544</v>
      </c>
      <c r="E3469" s="15" t="n">
        <v>1</v>
      </c>
      <c r="H3469" s="10"/>
      <c r="I3469" s="21"/>
      <c r="M3469" s="10"/>
      <c r="N3469" s="10"/>
      <c r="P3469" s="10"/>
      <c r="Q3469" s="22"/>
    </row>
    <row r="3470" customFormat="false" ht="15.75" hidden="false" customHeight="false" outlineLevel="0" collapsed="false">
      <c r="A3470" s="20" t="n">
        <v>46125</v>
      </c>
      <c r="B3470" s="15" t="s">
        <v>498</v>
      </c>
      <c r="C3470" s="15" t="s">
        <v>69</v>
      </c>
      <c r="D3470" s="15" t="s">
        <v>535</v>
      </c>
      <c r="E3470" s="15" t="n">
        <v>2</v>
      </c>
      <c r="H3470" s="10"/>
      <c r="I3470" s="21"/>
      <c r="M3470" s="10"/>
      <c r="N3470" s="10"/>
      <c r="P3470" s="10"/>
      <c r="Q3470" s="22"/>
    </row>
    <row r="3471" customFormat="false" ht="15.75" hidden="false" customHeight="false" outlineLevel="0" collapsed="false">
      <c r="A3471" s="20" t="n">
        <v>46125</v>
      </c>
      <c r="B3471" s="15" t="s">
        <v>498</v>
      </c>
      <c r="C3471" s="15" t="s">
        <v>33</v>
      </c>
      <c r="D3471" s="15" t="s">
        <v>536</v>
      </c>
      <c r="E3471" s="15" t="n">
        <v>3</v>
      </c>
      <c r="H3471" s="10"/>
      <c r="I3471" s="21"/>
      <c r="M3471" s="10"/>
      <c r="N3471" s="10"/>
      <c r="P3471" s="10"/>
      <c r="Q3471" s="22"/>
    </row>
    <row r="3472" customFormat="false" ht="15.75" hidden="false" customHeight="false" outlineLevel="0" collapsed="false">
      <c r="A3472" s="20" t="n">
        <v>46125</v>
      </c>
      <c r="B3472" s="15" t="s">
        <v>498</v>
      </c>
      <c r="C3472" s="15" t="s">
        <v>55</v>
      </c>
      <c r="D3472" s="15" t="s">
        <v>539</v>
      </c>
      <c r="E3472" s="15" t="n">
        <v>1</v>
      </c>
      <c r="H3472" s="10"/>
      <c r="I3472" s="21"/>
      <c r="M3472" s="10"/>
      <c r="N3472" s="10"/>
      <c r="P3472" s="10"/>
      <c r="Q3472" s="22"/>
    </row>
    <row r="3473" customFormat="false" ht="15.75" hidden="false" customHeight="false" outlineLevel="0" collapsed="false">
      <c r="A3473" s="20" t="n">
        <v>46125</v>
      </c>
      <c r="B3473" s="15" t="s">
        <v>498</v>
      </c>
      <c r="C3473" s="15" t="s">
        <v>59</v>
      </c>
      <c r="D3473" s="15" t="s">
        <v>562</v>
      </c>
      <c r="E3473" s="15" t="n">
        <v>1</v>
      </c>
      <c r="H3473" s="10"/>
      <c r="I3473" s="21"/>
      <c r="M3473" s="10"/>
      <c r="N3473" s="10"/>
      <c r="P3473" s="10"/>
      <c r="Q3473" s="22"/>
    </row>
    <row r="3474" customFormat="false" ht="15.75" hidden="false" customHeight="false" outlineLevel="0" collapsed="false">
      <c r="A3474" s="20" t="n">
        <v>46125</v>
      </c>
      <c r="B3474" s="15" t="s">
        <v>498</v>
      </c>
      <c r="C3474" s="15" t="s">
        <v>47</v>
      </c>
      <c r="D3474" s="15" t="s">
        <v>549</v>
      </c>
      <c r="E3474" s="15" t="n">
        <v>1</v>
      </c>
      <c r="H3474" s="10"/>
      <c r="I3474" s="21"/>
      <c r="M3474" s="10"/>
      <c r="N3474" s="10"/>
      <c r="P3474" s="10"/>
      <c r="Q3474" s="22"/>
    </row>
    <row r="3475" customFormat="false" ht="15.75" hidden="false" customHeight="false" outlineLevel="0" collapsed="false">
      <c r="A3475" s="20" t="n">
        <v>46125</v>
      </c>
      <c r="B3475" s="15" t="s">
        <v>498</v>
      </c>
      <c r="C3475" s="15" t="s">
        <v>75</v>
      </c>
      <c r="D3475" s="15" t="s">
        <v>560</v>
      </c>
      <c r="E3475" s="15" t="n">
        <v>1</v>
      </c>
      <c r="H3475" s="10"/>
      <c r="I3475" s="21"/>
      <c r="M3475" s="10"/>
      <c r="N3475" s="10"/>
      <c r="P3475" s="10"/>
      <c r="Q3475" s="22"/>
    </row>
    <row r="3476" customFormat="false" ht="15.75" hidden="false" customHeight="false" outlineLevel="0" collapsed="false">
      <c r="A3476" s="20" t="n">
        <v>46125</v>
      </c>
      <c r="B3476" s="15" t="s">
        <v>498</v>
      </c>
      <c r="C3476" s="15" t="s">
        <v>77</v>
      </c>
      <c r="D3476" s="15" t="s">
        <v>78</v>
      </c>
      <c r="E3476" s="15" t="n">
        <v>1</v>
      </c>
      <c r="H3476" s="10"/>
      <c r="I3476" s="21"/>
      <c r="M3476" s="10"/>
      <c r="N3476" s="10"/>
      <c r="P3476" s="10"/>
      <c r="Q3476" s="22"/>
    </row>
    <row r="3477" customFormat="false" ht="15.75" hidden="false" customHeight="false" outlineLevel="0" collapsed="false">
      <c r="A3477" s="20" t="n">
        <v>46125</v>
      </c>
      <c r="B3477" s="15" t="s">
        <v>504</v>
      </c>
      <c r="C3477" s="15" t="s">
        <v>47</v>
      </c>
      <c r="D3477" s="15" t="s">
        <v>549</v>
      </c>
      <c r="E3477" s="15" t="n">
        <v>3</v>
      </c>
      <c r="H3477" s="10"/>
      <c r="I3477" s="21"/>
      <c r="M3477" s="10"/>
      <c r="N3477" s="10"/>
      <c r="P3477" s="10"/>
      <c r="Q3477" s="22"/>
    </row>
    <row r="3478" customFormat="false" ht="15.75" hidden="false" customHeight="false" outlineLevel="0" collapsed="false">
      <c r="A3478" s="20" t="n">
        <v>46125</v>
      </c>
      <c r="B3478" s="15" t="s">
        <v>504</v>
      </c>
      <c r="C3478" s="15" t="s">
        <v>55</v>
      </c>
      <c r="D3478" s="15" t="s">
        <v>539</v>
      </c>
      <c r="E3478" s="15" t="n">
        <v>6</v>
      </c>
      <c r="H3478" s="10"/>
      <c r="I3478" s="21"/>
      <c r="M3478" s="10"/>
      <c r="N3478" s="10"/>
      <c r="P3478" s="10"/>
      <c r="Q3478" s="22"/>
    </row>
    <row r="3479" customFormat="false" ht="15.75" hidden="false" customHeight="false" outlineLevel="0" collapsed="false">
      <c r="A3479" s="20" t="n">
        <v>46125</v>
      </c>
      <c r="B3479" s="15" t="s">
        <v>504</v>
      </c>
      <c r="C3479" s="15" t="s">
        <v>81</v>
      </c>
      <c r="D3479" s="15" t="s">
        <v>534</v>
      </c>
      <c r="E3479" s="15" t="n">
        <v>9</v>
      </c>
      <c r="H3479" s="10"/>
      <c r="I3479" s="21"/>
      <c r="M3479" s="10"/>
      <c r="N3479" s="10"/>
      <c r="P3479" s="10"/>
      <c r="Q3479" s="22"/>
    </row>
    <row r="3480" customFormat="false" ht="15.75" hidden="false" customHeight="false" outlineLevel="0" collapsed="false">
      <c r="A3480" s="20" t="n">
        <v>46125</v>
      </c>
      <c r="B3480" s="15" t="s">
        <v>504</v>
      </c>
      <c r="C3480" s="15" t="s">
        <v>39</v>
      </c>
      <c r="D3480" s="15" t="s">
        <v>550</v>
      </c>
      <c r="E3480" s="15" t="n">
        <v>1</v>
      </c>
      <c r="H3480" s="10"/>
      <c r="I3480" s="21"/>
      <c r="M3480" s="10"/>
      <c r="N3480" s="10"/>
      <c r="P3480" s="10"/>
      <c r="Q3480" s="22"/>
    </row>
    <row r="3481" customFormat="false" ht="15.75" hidden="false" customHeight="false" outlineLevel="0" collapsed="false">
      <c r="A3481" s="20" t="n">
        <v>46125</v>
      </c>
      <c r="B3481" s="15" t="s">
        <v>504</v>
      </c>
      <c r="C3481" s="15" t="s">
        <v>63</v>
      </c>
      <c r="D3481" s="15" t="s">
        <v>551</v>
      </c>
      <c r="E3481" s="15" t="n">
        <v>1</v>
      </c>
      <c r="H3481" s="10"/>
      <c r="I3481" s="21"/>
      <c r="M3481" s="10"/>
      <c r="N3481" s="10"/>
      <c r="P3481" s="10"/>
      <c r="Q3481" s="22"/>
    </row>
    <row r="3482" customFormat="false" ht="15.75" hidden="false" customHeight="false" outlineLevel="0" collapsed="false">
      <c r="A3482" s="20" t="n">
        <v>46125</v>
      </c>
      <c r="B3482" s="15" t="s">
        <v>504</v>
      </c>
      <c r="C3482" s="15" t="s">
        <v>17</v>
      </c>
      <c r="D3482" s="15" t="s">
        <v>554</v>
      </c>
      <c r="E3482" s="15" t="n">
        <v>1</v>
      </c>
      <c r="H3482" s="10"/>
      <c r="I3482" s="21"/>
      <c r="M3482" s="10"/>
      <c r="N3482" s="10"/>
      <c r="P3482" s="10"/>
      <c r="Q3482" s="22"/>
    </row>
    <row r="3483" customFormat="false" ht="15.75" hidden="false" customHeight="false" outlineLevel="0" collapsed="false">
      <c r="A3483" s="20" t="n">
        <v>46125</v>
      </c>
      <c r="B3483" s="15" t="s">
        <v>505</v>
      </c>
      <c r="C3483" s="15" t="s">
        <v>55</v>
      </c>
      <c r="D3483" s="15" t="s">
        <v>539</v>
      </c>
      <c r="E3483" s="15" t="n">
        <v>6</v>
      </c>
      <c r="H3483" s="10"/>
      <c r="I3483" s="21"/>
      <c r="M3483" s="10"/>
      <c r="N3483" s="10"/>
      <c r="P3483" s="10"/>
      <c r="Q3483" s="22"/>
    </row>
    <row r="3484" customFormat="false" ht="15.75" hidden="false" customHeight="false" outlineLevel="0" collapsed="false">
      <c r="A3484" s="20" t="n">
        <v>46125</v>
      </c>
      <c r="B3484" s="15" t="s">
        <v>505</v>
      </c>
      <c r="C3484" s="15" t="s">
        <v>39</v>
      </c>
      <c r="D3484" s="15" t="s">
        <v>550</v>
      </c>
      <c r="E3484" s="15" t="n">
        <v>1</v>
      </c>
      <c r="H3484" s="10"/>
      <c r="I3484" s="21"/>
      <c r="M3484" s="10"/>
      <c r="N3484" s="10"/>
      <c r="P3484" s="10"/>
      <c r="Q3484" s="22"/>
    </row>
    <row r="3485" customFormat="false" ht="15.75" hidden="false" customHeight="false" outlineLevel="0" collapsed="false">
      <c r="A3485" s="20" t="n">
        <v>46125</v>
      </c>
      <c r="B3485" s="15" t="s">
        <v>505</v>
      </c>
      <c r="C3485" s="15" t="s">
        <v>81</v>
      </c>
      <c r="D3485" s="15" t="s">
        <v>534</v>
      </c>
      <c r="E3485" s="15" t="n">
        <v>9</v>
      </c>
      <c r="H3485" s="10"/>
      <c r="I3485" s="21"/>
      <c r="M3485" s="10"/>
      <c r="N3485" s="10"/>
      <c r="P3485" s="10"/>
      <c r="Q3485" s="22"/>
    </row>
    <row r="3486" customFormat="false" ht="15.75" hidden="false" customHeight="false" outlineLevel="0" collapsed="false">
      <c r="A3486" s="20" t="n">
        <v>46125</v>
      </c>
      <c r="B3486" s="15" t="s">
        <v>505</v>
      </c>
      <c r="C3486" s="15" t="s">
        <v>47</v>
      </c>
      <c r="D3486" s="15" t="s">
        <v>549</v>
      </c>
      <c r="E3486" s="15" t="n">
        <v>3</v>
      </c>
      <c r="H3486" s="10"/>
      <c r="I3486" s="21"/>
      <c r="M3486" s="10"/>
      <c r="N3486" s="10"/>
      <c r="P3486" s="10"/>
      <c r="Q3486" s="22"/>
    </row>
    <row r="3487" customFormat="false" ht="15.75" hidden="false" customHeight="false" outlineLevel="0" collapsed="false">
      <c r="A3487" s="20" t="n">
        <v>46125</v>
      </c>
      <c r="B3487" s="15" t="s">
        <v>505</v>
      </c>
      <c r="C3487" s="15" t="s">
        <v>63</v>
      </c>
      <c r="D3487" s="15" t="s">
        <v>551</v>
      </c>
      <c r="E3487" s="15" t="n">
        <v>1</v>
      </c>
      <c r="H3487" s="10"/>
      <c r="I3487" s="21"/>
      <c r="M3487" s="10"/>
      <c r="N3487" s="10"/>
      <c r="P3487" s="10"/>
      <c r="Q3487" s="22"/>
    </row>
    <row r="3488" customFormat="false" ht="15.75" hidden="false" customHeight="false" outlineLevel="0" collapsed="false">
      <c r="A3488" s="20" t="n">
        <v>46125</v>
      </c>
      <c r="B3488" s="15" t="s">
        <v>505</v>
      </c>
      <c r="C3488" s="15" t="s">
        <v>17</v>
      </c>
      <c r="D3488" s="15" t="s">
        <v>554</v>
      </c>
      <c r="E3488" s="15" t="n">
        <v>1</v>
      </c>
      <c r="H3488" s="10"/>
      <c r="I3488" s="21"/>
      <c r="M3488" s="10"/>
      <c r="N3488" s="10"/>
      <c r="P3488" s="10"/>
      <c r="Q3488" s="22"/>
    </row>
    <row r="3489" customFormat="false" ht="15.75" hidden="false" customHeight="false" outlineLevel="0" collapsed="false">
      <c r="A3489" s="20" t="n">
        <v>46125</v>
      </c>
      <c r="B3489" s="15" t="s">
        <v>508</v>
      </c>
      <c r="C3489" s="15" t="s">
        <v>55</v>
      </c>
      <c r="D3489" s="15" t="s">
        <v>539</v>
      </c>
      <c r="E3489" s="15" t="n">
        <v>5</v>
      </c>
      <c r="H3489" s="10"/>
      <c r="I3489" s="21"/>
      <c r="M3489" s="10"/>
      <c r="N3489" s="10"/>
      <c r="P3489" s="10"/>
      <c r="Q3489" s="22"/>
    </row>
    <row r="3490" customFormat="false" ht="15.75" hidden="false" customHeight="false" outlineLevel="0" collapsed="false">
      <c r="A3490" s="20" t="n">
        <v>46125</v>
      </c>
      <c r="B3490" s="15" t="s">
        <v>508</v>
      </c>
      <c r="C3490" s="15" t="s">
        <v>81</v>
      </c>
      <c r="D3490" s="15" t="s">
        <v>534</v>
      </c>
      <c r="E3490" s="15" t="n">
        <v>9</v>
      </c>
      <c r="H3490" s="10"/>
      <c r="I3490" s="21"/>
      <c r="M3490" s="10"/>
      <c r="N3490" s="10"/>
      <c r="P3490" s="10"/>
      <c r="Q3490" s="22"/>
    </row>
    <row r="3491" customFormat="false" ht="15.75" hidden="false" customHeight="false" outlineLevel="0" collapsed="false">
      <c r="A3491" s="20" t="n">
        <v>46125</v>
      </c>
      <c r="B3491" s="15" t="s">
        <v>508</v>
      </c>
      <c r="C3491" s="15" t="s">
        <v>39</v>
      </c>
      <c r="D3491" s="15" t="s">
        <v>550</v>
      </c>
      <c r="E3491" s="15" t="n">
        <v>2</v>
      </c>
      <c r="H3491" s="10"/>
      <c r="I3491" s="21"/>
      <c r="M3491" s="10"/>
      <c r="N3491" s="10"/>
      <c r="P3491" s="10"/>
      <c r="Q3491" s="22"/>
    </row>
    <row r="3492" customFormat="false" ht="15.75" hidden="false" customHeight="false" outlineLevel="0" collapsed="false">
      <c r="A3492" s="20" t="n">
        <v>46125</v>
      </c>
      <c r="B3492" s="15" t="s">
        <v>508</v>
      </c>
      <c r="C3492" s="15" t="s">
        <v>47</v>
      </c>
      <c r="D3492" s="15" t="s">
        <v>549</v>
      </c>
      <c r="E3492" s="15" t="n">
        <v>2</v>
      </c>
      <c r="H3492" s="10"/>
      <c r="I3492" s="21"/>
      <c r="M3492" s="10"/>
      <c r="N3492" s="10"/>
      <c r="P3492" s="10"/>
      <c r="Q3492" s="22"/>
    </row>
    <row r="3493" customFormat="false" ht="15.75" hidden="false" customHeight="false" outlineLevel="0" collapsed="false">
      <c r="A3493" s="20" t="n">
        <v>46125</v>
      </c>
      <c r="B3493" s="15" t="s">
        <v>508</v>
      </c>
      <c r="C3493" s="15" t="s">
        <v>63</v>
      </c>
      <c r="D3493" s="15" t="s">
        <v>551</v>
      </c>
      <c r="E3493" s="15" t="n">
        <v>1</v>
      </c>
      <c r="H3493" s="10"/>
      <c r="I3493" s="21"/>
      <c r="M3493" s="10"/>
      <c r="N3493" s="10"/>
      <c r="P3493" s="10"/>
      <c r="Q3493" s="22"/>
    </row>
    <row r="3494" customFormat="false" ht="15.75" hidden="false" customHeight="false" outlineLevel="0" collapsed="false">
      <c r="A3494" s="20" t="n">
        <v>46126</v>
      </c>
      <c r="B3494" s="15" t="s">
        <v>452</v>
      </c>
      <c r="C3494" s="15" t="s">
        <v>81</v>
      </c>
      <c r="D3494" s="15" t="s">
        <v>534</v>
      </c>
      <c r="E3494" s="15" t="n">
        <v>11</v>
      </c>
      <c r="H3494" s="10"/>
      <c r="I3494" s="21"/>
      <c r="M3494" s="10"/>
      <c r="N3494" s="10"/>
      <c r="P3494" s="10"/>
      <c r="Q3494" s="22"/>
    </row>
    <row r="3495" customFormat="false" ht="15.75" hidden="false" customHeight="false" outlineLevel="0" collapsed="false">
      <c r="A3495" s="20" t="n">
        <v>46126</v>
      </c>
      <c r="B3495" s="15" t="s">
        <v>452</v>
      </c>
      <c r="C3495" s="15" t="s">
        <v>555</v>
      </c>
      <c r="D3495" s="15" t="s">
        <v>556</v>
      </c>
      <c r="E3495" s="15" t="n">
        <v>2</v>
      </c>
      <c r="H3495" s="10"/>
      <c r="I3495" s="21"/>
      <c r="M3495" s="10"/>
      <c r="N3495" s="10"/>
      <c r="P3495" s="10"/>
      <c r="Q3495" s="22"/>
    </row>
    <row r="3496" customFormat="false" ht="15.75" hidden="false" customHeight="false" outlineLevel="0" collapsed="false">
      <c r="A3496" s="20" t="n">
        <v>46126</v>
      </c>
      <c r="B3496" s="15" t="s">
        <v>452</v>
      </c>
      <c r="C3496" s="15" t="s">
        <v>545</v>
      </c>
      <c r="D3496" s="15" t="s">
        <v>546</v>
      </c>
      <c r="E3496" s="15" t="n">
        <v>1</v>
      </c>
      <c r="H3496" s="10"/>
      <c r="I3496" s="21"/>
      <c r="M3496" s="10"/>
      <c r="N3496" s="10"/>
      <c r="P3496" s="10"/>
      <c r="Q3496" s="22"/>
    </row>
    <row r="3497" customFormat="false" ht="15.75" hidden="false" customHeight="false" outlineLevel="0" collapsed="false">
      <c r="A3497" s="20" t="n">
        <v>46126</v>
      </c>
      <c r="B3497" s="15" t="s">
        <v>452</v>
      </c>
      <c r="C3497" s="15" t="s">
        <v>543</v>
      </c>
      <c r="D3497" s="15" t="s">
        <v>544</v>
      </c>
      <c r="E3497" s="15" t="n">
        <v>1</v>
      </c>
      <c r="H3497" s="10"/>
      <c r="I3497" s="21"/>
      <c r="M3497" s="10"/>
      <c r="N3497" s="10"/>
      <c r="P3497" s="10"/>
      <c r="Q3497" s="22"/>
    </row>
    <row r="3498" customFormat="false" ht="15.75" hidden="false" customHeight="false" outlineLevel="0" collapsed="false">
      <c r="A3498" s="20" t="n">
        <v>46126</v>
      </c>
      <c r="B3498" s="15" t="s">
        <v>452</v>
      </c>
      <c r="C3498" s="15" t="s">
        <v>69</v>
      </c>
      <c r="D3498" s="15" t="s">
        <v>535</v>
      </c>
      <c r="E3498" s="15" t="n">
        <v>4</v>
      </c>
      <c r="H3498" s="10"/>
      <c r="I3498" s="21"/>
      <c r="M3498" s="10"/>
      <c r="N3498" s="10"/>
      <c r="P3498" s="10"/>
      <c r="Q3498" s="22"/>
    </row>
    <row r="3499" customFormat="false" ht="15.75" hidden="false" customHeight="false" outlineLevel="0" collapsed="false">
      <c r="A3499" s="20" t="n">
        <v>46126</v>
      </c>
      <c r="B3499" s="15" t="s">
        <v>452</v>
      </c>
      <c r="C3499" s="15" t="s">
        <v>33</v>
      </c>
      <c r="D3499" s="15" t="s">
        <v>536</v>
      </c>
      <c r="E3499" s="15" t="n">
        <v>4</v>
      </c>
      <c r="H3499" s="10"/>
      <c r="I3499" s="21"/>
      <c r="M3499" s="10"/>
      <c r="N3499" s="10"/>
      <c r="P3499" s="10"/>
      <c r="Q3499" s="22"/>
    </row>
    <row r="3500" customFormat="false" ht="15.75" hidden="false" customHeight="false" outlineLevel="0" collapsed="false">
      <c r="A3500" s="20" t="n">
        <v>46126</v>
      </c>
      <c r="B3500" s="15" t="s">
        <v>452</v>
      </c>
      <c r="C3500" s="15" t="s">
        <v>79</v>
      </c>
      <c r="D3500" s="15" t="s">
        <v>564</v>
      </c>
      <c r="E3500" s="15" t="n">
        <v>1</v>
      </c>
      <c r="H3500" s="10"/>
      <c r="I3500" s="21"/>
      <c r="M3500" s="10"/>
      <c r="N3500" s="10"/>
      <c r="P3500" s="10"/>
      <c r="Q3500" s="22"/>
    </row>
    <row r="3501" customFormat="false" ht="15.75" hidden="false" customHeight="false" outlineLevel="0" collapsed="false">
      <c r="A3501" s="20" t="n">
        <v>46126</v>
      </c>
      <c r="B3501" s="15" t="s">
        <v>452</v>
      </c>
      <c r="C3501" s="15" t="s">
        <v>77</v>
      </c>
      <c r="D3501" s="15" t="s">
        <v>78</v>
      </c>
      <c r="E3501" s="15" t="n">
        <v>2</v>
      </c>
      <c r="H3501" s="10"/>
      <c r="I3501" s="21"/>
      <c r="M3501" s="10"/>
      <c r="N3501" s="10"/>
      <c r="P3501" s="10"/>
      <c r="Q3501" s="22"/>
    </row>
    <row r="3502" customFormat="false" ht="15.75" hidden="false" customHeight="false" outlineLevel="0" collapsed="false">
      <c r="A3502" s="20" t="n">
        <v>46126</v>
      </c>
      <c r="B3502" s="15" t="s">
        <v>452</v>
      </c>
      <c r="C3502" s="15" t="s">
        <v>49</v>
      </c>
      <c r="D3502" s="15" t="s">
        <v>537</v>
      </c>
      <c r="E3502" s="15" t="n">
        <v>5</v>
      </c>
      <c r="H3502" s="10"/>
      <c r="I3502" s="21"/>
      <c r="M3502" s="10"/>
      <c r="N3502" s="10"/>
      <c r="P3502" s="10"/>
      <c r="Q3502" s="22"/>
    </row>
    <row r="3503" customFormat="false" ht="15.75" hidden="false" customHeight="false" outlineLevel="0" collapsed="false">
      <c r="A3503" s="20" t="n">
        <v>46126</v>
      </c>
      <c r="B3503" s="15" t="s">
        <v>452</v>
      </c>
      <c r="C3503" s="15" t="s">
        <v>61</v>
      </c>
      <c r="D3503" s="15" t="s">
        <v>576</v>
      </c>
      <c r="E3503" s="15" t="n">
        <v>1</v>
      </c>
      <c r="H3503" s="10"/>
      <c r="I3503" s="21"/>
      <c r="M3503" s="10"/>
      <c r="N3503" s="10"/>
      <c r="P3503" s="10"/>
      <c r="Q3503" s="22"/>
    </row>
    <row r="3504" customFormat="false" ht="15.75" hidden="false" customHeight="false" outlineLevel="0" collapsed="false">
      <c r="A3504" s="20" t="n">
        <v>46126</v>
      </c>
      <c r="B3504" s="15" t="s">
        <v>453</v>
      </c>
      <c r="C3504" s="15" t="s">
        <v>47</v>
      </c>
      <c r="D3504" s="15" t="s">
        <v>549</v>
      </c>
      <c r="E3504" s="15" t="n">
        <v>2</v>
      </c>
      <c r="H3504" s="10"/>
      <c r="I3504" s="21"/>
      <c r="M3504" s="10"/>
      <c r="N3504" s="10"/>
      <c r="P3504" s="10"/>
      <c r="Q3504" s="22"/>
    </row>
    <row r="3505" customFormat="false" ht="15.75" hidden="false" customHeight="false" outlineLevel="0" collapsed="false">
      <c r="A3505" s="20" t="n">
        <v>46126</v>
      </c>
      <c r="B3505" s="15" t="s">
        <v>453</v>
      </c>
      <c r="C3505" s="15" t="s">
        <v>55</v>
      </c>
      <c r="D3505" s="15" t="s">
        <v>539</v>
      </c>
      <c r="E3505" s="15" t="n">
        <v>4</v>
      </c>
      <c r="H3505" s="10"/>
      <c r="I3505" s="21"/>
      <c r="M3505" s="10"/>
      <c r="N3505" s="10"/>
      <c r="P3505" s="10"/>
      <c r="Q3505" s="22"/>
    </row>
    <row r="3506" customFormat="false" ht="15.75" hidden="false" customHeight="false" outlineLevel="0" collapsed="false">
      <c r="A3506" s="20" t="n">
        <v>46126</v>
      </c>
      <c r="B3506" s="15" t="s">
        <v>453</v>
      </c>
      <c r="C3506" s="15" t="s">
        <v>81</v>
      </c>
      <c r="D3506" s="15" t="s">
        <v>534</v>
      </c>
      <c r="E3506" s="15" t="n">
        <v>8</v>
      </c>
      <c r="H3506" s="10"/>
      <c r="I3506" s="21"/>
      <c r="M3506" s="10"/>
      <c r="N3506" s="10"/>
      <c r="P3506" s="10"/>
      <c r="Q3506" s="22"/>
    </row>
    <row r="3507" customFormat="false" ht="15.75" hidden="false" customHeight="false" outlineLevel="0" collapsed="false">
      <c r="A3507" s="20" t="n">
        <v>46126</v>
      </c>
      <c r="B3507" s="15" t="s">
        <v>453</v>
      </c>
      <c r="C3507" s="15" t="s">
        <v>39</v>
      </c>
      <c r="D3507" s="15" t="s">
        <v>550</v>
      </c>
      <c r="E3507" s="15" t="n">
        <v>2</v>
      </c>
      <c r="H3507" s="10"/>
      <c r="I3507" s="21"/>
      <c r="M3507" s="10"/>
      <c r="N3507" s="10"/>
      <c r="P3507" s="10"/>
      <c r="Q3507" s="22"/>
    </row>
    <row r="3508" customFormat="false" ht="15.75" hidden="false" customHeight="false" outlineLevel="0" collapsed="false">
      <c r="A3508" s="20" t="n">
        <v>46126</v>
      </c>
      <c r="B3508" s="15" t="s">
        <v>453</v>
      </c>
      <c r="C3508" s="15" t="s">
        <v>63</v>
      </c>
      <c r="D3508" s="15" t="s">
        <v>551</v>
      </c>
      <c r="E3508" s="15" t="n">
        <v>1</v>
      </c>
      <c r="H3508" s="10"/>
      <c r="I3508" s="21"/>
      <c r="M3508" s="10"/>
      <c r="N3508" s="10"/>
      <c r="P3508" s="10"/>
      <c r="Q3508" s="22"/>
    </row>
    <row r="3509" customFormat="false" ht="15.75" hidden="false" customHeight="false" outlineLevel="0" collapsed="false">
      <c r="A3509" s="20" t="n">
        <v>46126</v>
      </c>
      <c r="B3509" s="15" t="s">
        <v>453</v>
      </c>
      <c r="C3509" s="15" t="s">
        <v>35</v>
      </c>
      <c r="D3509" s="15" t="s">
        <v>552</v>
      </c>
      <c r="E3509" s="15" t="n">
        <v>2</v>
      </c>
      <c r="H3509" s="10"/>
      <c r="I3509" s="21"/>
      <c r="M3509" s="10"/>
      <c r="N3509" s="10"/>
      <c r="P3509" s="10"/>
      <c r="Q3509" s="22"/>
    </row>
    <row r="3510" customFormat="false" ht="15.75" hidden="false" customHeight="false" outlineLevel="0" collapsed="false">
      <c r="A3510" s="20" t="n">
        <v>46126</v>
      </c>
      <c r="B3510" s="15" t="s">
        <v>467</v>
      </c>
      <c r="C3510" s="15" t="s">
        <v>55</v>
      </c>
      <c r="D3510" s="15" t="s">
        <v>539</v>
      </c>
      <c r="E3510" s="15" t="n">
        <v>6</v>
      </c>
      <c r="H3510" s="10"/>
      <c r="I3510" s="21"/>
      <c r="M3510" s="10"/>
      <c r="N3510" s="10"/>
      <c r="P3510" s="10"/>
      <c r="Q3510" s="22"/>
    </row>
    <row r="3511" customFormat="false" ht="15.75" hidden="false" customHeight="false" outlineLevel="0" collapsed="false">
      <c r="A3511" s="20" t="n">
        <v>46126</v>
      </c>
      <c r="B3511" s="15" t="s">
        <v>467</v>
      </c>
      <c r="C3511" s="15" t="s">
        <v>57</v>
      </c>
      <c r="D3511" s="15" t="s">
        <v>553</v>
      </c>
      <c r="E3511" s="15" t="n">
        <v>2</v>
      </c>
      <c r="H3511" s="10"/>
      <c r="I3511" s="21"/>
      <c r="M3511" s="10"/>
      <c r="N3511" s="10"/>
      <c r="P3511" s="10"/>
      <c r="Q3511" s="22"/>
    </row>
    <row r="3512" customFormat="false" ht="15.75" hidden="false" customHeight="false" outlineLevel="0" collapsed="false">
      <c r="A3512" s="20" t="n">
        <v>46126</v>
      </c>
      <c r="B3512" s="15" t="s">
        <v>467</v>
      </c>
      <c r="C3512" s="15" t="s">
        <v>47</v>
      </c>
      <c r="D3512" s="15" t="s">
        <v>549</v>
      </c>
      <c r="E3512" s="15" t="n">
        <v>2</v>
      </c>
      <c r="H3512" s="10"/>
      <c r="I3512" s="21"/>
      <c r="M3512" s="10"/>
      <c r="N3512" s="10"/>
      <c r="P3512" s="10"/>
      <c r="Q3512" s="22"/>
    </row>
    <row r="3513" customFormat="false" ht="15.75" hidden="false" customHeight="false" outlineLevel="0" collapsed="false">
      <c r="A3513" s="20" t="n">
        <v>46126</v>
      </c>
      <c r="B3513" s="15" t="s">
        <v>467</v>
      </c>
      <c r="C3513" s="15" t="s">
        <v>81</v>
      </c>
      <c r="D3513" s="15" t="s">
        <v>534</v>
      </c>
      <c r="E3513" s="15" t="n">
        <v>7</v>
      </c>
      <c r="H3513" s="10"/>
      <c r="I3513" s="21"/>
      <c r="M3513" s="10"/>
      <c r="N3513" s="10"/>
      <c r="P3513" s="10"/>
      <c r="Q3513" s="22"/>
    </row>
    <row r="3514" customFormat="false" ht="15.75" hidden="false" customHeight="false" outlineLevel="0" collapsed="false">
      <c r="A3514" s="20" t="n">
        <v>46126</v>
      </c>
      <c r="B3514" s="15" t="s">
        <v>467</v>
      </c>
      <c r="C3514" s="15" t="s">
        <v>49</v>
      </c>
      <c r="D3514" s="15" t="s">
        <v>537</v>
      </c>
      <c r="E3514" s="15" t="n">
        <v>2</v>
      </c>
      <c r="H3514" s="10"/>
      <c r="I3514" s="21"/>
      <c r="M3514" s="10"/>
      <c r="N3514" s="10"/>
      <c r="P3514" s="10"/>
      <c r="Q3514" s="22"/>
    </row>
    <row r="3515" customFormat="false" ht="15.75" hidden="false" customHeight="false" outlineLevel="0" collapsed="false">
      <c r="A3515" s="20" t="n">
        <v>46126</v>
      </c>
      <c r="B3515" s="15" t="s">
        <v>467</v>
      </c>
      <c r="C3515" s="15" t="s">
        <v>63</v>
      </c>
      <c r="D3515" s="15" t="s">
        <v>551</v>
      </c>
      <c r="E3515" s="15" t="n">
        <v>1</v>
      </c>
      <c r="H3515" s="10"/>
      <c r="I3515" s="21"/>
      <c r="M3515" s="10"/>
      <c r="N3515" s="10"/>
      <c r="P3515" s="10"/>
      <c r="Q3515" s="22"/>
    </row>
    <row r="3516" customFormat="false" ht="15.75" hidden="false" customHeight="false" outlineLevel="0" collapsed="false">
      <c r="A3516" s="20" t="n">
        <v>46126</v>
      </c>
      <c r="B3516" s="15" t="s">
        <v>469</v>
      </c>
      <c r="C3516" s="15" t="s">
        <v>69</v>
      </c>
      <c r="D3516" s="15" t="s">
        <v>535</v>
      </c>
      <c r="E3516" s="15" t="n">
        <v>5</v>
      </c>
      <c r="H3516" s="10"/>
      <c r="I3516" s="21"/>
      <c r="M3516" s="10"/>
      <c r="N3516" s="10"/>
      <c r="P3516" s="10"/>
      <c r="Q3516" s="22"/>
    </row>
    <row r="3517" customFormat="false" ht="15.75" hidden="false" customHeight="false" outlineLevel="0" collapsed="false">
      <c r="A3517" s="20" t="n">
        <v>46126</v>
      </c>
      <c r="B3517" s="15" t="s">
        <v>469</v>
      </c>
      <c r="C3517" s="15" t="s">
        <v>55</v>
      </c>
      <c r="D3517" s="15" t="s">
        <v>539</v>
      </c>
      <c r="E3517" s="15" t="n">
        <v>2</v>
      </c>
      <c r="H3517" s="10"/>
      <c r="I3517" s="21"/>
      <c r="M3517" s="10"/>
      <c r="N3517" s="10"/>
      <c r="P3517" s="10"/>
      <c r="Q3517" s="22"/>
    </row>
    <row r="3518" customFormat="false" ht="15.75" hidden="false" customHeight="false" outlineLevel="0" collapsed="false">
      <c r="A3518" s="20" t="n">
        <v>46126</v>
      </c>
      <c r="B3518" s="15" t="s">
        <v>469</v>
      </c>
      <c r="C3518" s="15" t="s">
        <v>33</v>
      </c>
      <c r="D3518" s="15" t="s">
        <v>536</v>
      </c>
      <c r="E3518" s="15" t="n">
        <v>5</v>
      </c>
      <c r="H3518" s="10"/>
      <c r="I3518" s="21"/>
      <c r="M3518" s="10"/>
      <c r="N3518" s="10"/>
      <c r="P3518" s="10"/>
      <c r="Q3518" s="22"/>
    </row>
    <row r="3519" customFormat="false" ht="15.75" hidden="false" customHeight="false" outlineLevel="0" collapsed="false">
      <c r="A3519" s="20" t="n">
        <v>46126</v>
      </c>
      <c r="B3519" s="15" t="s">
        <v>469</v>
      </c>
      <c r="C3519" s="15" t="s">
        <v>547</v>
      </c>
      <c r="D3519" s="15" t="s">
        <v>548</v>
      </c>
      <c r="E3519" s="15" t="n">
        <v>1</v>
      </c>
      <c r="H3519" s="10"/>
      <c r="I3519" s="21"/>
      <c r="M3519" s="10"/>
      <c r="N3519" s="10"/>
      <c r="P3519" s="10"/>
      <c r="Q3519" s="22"/>
    </row>
    <row r="3520" customFormat="false" ht="15.75" hidden="false" customHeight="false" outlineLevel="0" collapsed="false">
      <c r="A3520" s="20" t="n">
        <v>46126</v>
      </c>
      <c r="B3520" s="15" t="s">
        <v>469</v>
      </c>
      <c r="C3520" s="15" t="s">
        <v>81</v>
      </c>
      <c r="D3520" s="15" t="s">
        <v>534</v>
      </c>
      <c r="E3520" s="15" t="n">
        <v>2</v>
      </c>
      <c r="H3520" s="10"/>
      <c r="I3520" s="21"/>
      <c r="M3520" s="10"/>
      <c r="N3520" s="10"/>
      <c r="P3520" s="10"/>
      <c r="Q3520" s="22"/>
    </row>
    <row r="3521" customFormat="false" ht="15.75" hidden="false" customHeight="false" outlineLevel="0" collapsed="false">
      <c r="A3521" s="20" t="n">
        <v>46126</v>
      </c>
      <c r="B3521" s="15" t="s">
        <v>471</v>
      </c>
      <c r="C3521" s="15" t="s">
        <v>25</v>
      </c>
      <c r="D3521" s="15" t="s">
        <v>26</v>
      </c>
      <c r="E3521" s="15" t="n">
        <v>2</v>
      </c>
      <c r="H3521" s="10"/>
      <c r="I3521" s="21"/>
      <c r="M3521" s="10"/>
      <c r="N3521" s="10"/>
      <c r="P3521" s="10"/>
      <c r="Q3521" s="22"/>
    </row>
    <row r="3522" customFormat="false" ht="15.75" hidden="false" customHeight="false" outlineLevel="0" collapsed="false">
      <c r="A3522" s="20" t="n">
        <v>46126</v>
      </c>
      <c r="B3522" s="15" t="s">
        <v>471</v>
      </c>
      <c r="C3522" s="15" t="s">
        <v>69</v>
      </c>
      <c r="D3522" s="15" t="s">
        <v>535</v>
      </c>
      <c r="E3522" s="15" t="n">
        <v>2</v>
      </c>
      <c r="H3522" s="10"/>
      <c r="I3522" s="21"/>
      <c r="M3522" s="10"/>
      <c r="N3522" s="10"/>
      <c r="P3522" s="10"/>
      <c r="Q3522" s="22"/>
    </row>
    <row r="3523" customFormat="false" ht="15.75" hidden="false" customHeight="false" outlineLevel="0" collapsed="false">
      <c r="A3523" s="20" t="n">
        <v>46126</v>
      </c>
      <c r="B3523" s="15" t="s">
        <v>471</v>
      </c>
      <c r="C3523" s="15" t="s">
        <v>555</v>
      </c>
      <c r="D3523" s="15" t="s">
        <v>556</v>
      </c>
      <c r="E3523" s="15" t="n">
        <v>2</v>
      </c>
      <c r="H3523" s="10"/>
      <c r="I3523" s="21"/>
      <c r="M3523" s="10"/>
      <c r="N3523" s="10"/>
      <c r="P3523" s="10"/>
      <c r="Q3523" s="22"/>
    </row>
    <row r="3524" customFormat="false" ht="15.75" hidden="false" customHeight="false" outlineLevel="0" collapsed="false">
      <c r="A3524" s="20" t="n">
        <v>46126</v>
      </c>
      <c r="B3524" s="15" t="s">
        <v>472</v>
      </c>
      <c r="C3524" s="15" t="s">
        <v>555</v>
      </c>
      <c r="D3524" s="15" t="s">
        <v>556</v>
      </c>
      <c r="E3524" s="15" t="n">
        <v>3</v>
      </c>
      <c r="H3524" s="10"/>
      <c r="I3524" s="21"/>
      <c r="M3524" s="10"/>
      <c r="N3524" s="10"/>
      <c r="P3524" s="10"/>
      <c r="Q3524" s="22"/>
    </row>
    <row r="3525" customFormat="false" ht="15.75" hidden="false" customHeight="false" outlineLevel="0" collapsed="false">
      <c r="A3525" s="20" t="n">
        <v>46126</v>
      </c>
      <c r="B3525" s="15" t="s">
        <v>472</v>
      </c>
      <c r="C3525" s="15" t="s">
        <v>11</v>
      </c>
      <c r="D3525" s="15" t="s">
        <v>572</v>
      </c>
      <c r="E3525" s="15" t="n">
        <v>3</v>
      </c>
      <c r="H3525" s="10"/>
      <c r="I3525" s="21"/>
      <c r="M3525" s="10"/>
      <c r="N3525" s="10"/>
      <c r="P3525" s="10"/>
      <c r="Q3525" s="22"/>
    </row>
    <row r="3526" customFormat="false" ht="15.75" hidden="false" customHeight="false" outlineLevel="0" collapsed="false">
      <c r="A3526" s="20" t="n">
        <v>46126</v>
      </c>
      <c r="B3526" s="15" t="s">
        <v>472</v>
      </c>
      <c r="C3526" s="15" t="s">
        <v>69</v>
      </c>
      <c r="D3526" s="15" t="s">
        <v>535</v>
      </c>
      <c r="E3526" s="15" t="n">
        <v>3</v>
      </c>
      <c r="H3526" s="10"/>
      <c r="I3526" s="21"/>
      <c r="M3526" s="10"/>
      <c r="N3526" s="10"/>
      <c r="P3526" s="10"/>
      <c r="Q3526" s="22"/>
    </row>
    <row r="3527" customFormat="false" ht="15.75" hidden="false" customHeight="false" outlineLevel="0" collapsed="false">
      <c r="A3527" s="20" t="n">
        <v>46126</v>
      </c>
      <c r="B3527" s="15" t="s">
        <v>472</v>
      </c>
      <c r="C3527" s="15" t="s">
        <v>25</v>
      </c>
      <c r="D3527" s="15" t="s">
        <v>26</v>
      </c>
      <c r="E3527" s="15" t="n">
        <v>3</v>
      </c>
      <c r="H3527" s="10"/>
      <c r="I3527" s="21"/>
      <c r="M3527" s="10"/>
      <c r="N3527" s="10"/>
      <c r="P3527" s="10"/>
      <c r="Q3527" s="22"/>
    </row>
    <row r="3528" customFormat="false" ht="15.75" hidden="false" customHeight="false" outlineLevel="0" collapsed="false">
      <c r="A3528" s="20" t="n">
        <v>46126</v>
      </c>
      <c r="B3528" s="15" t="s">
        <v>475</v>
      </c>
      <c r="C3528" s="15" t="s">
        <v>69</v>
      </c>
      <c r="D3528" s="15" t="s">
        <v>535</v>
      </c>
      <c r="E3528" s="15" t="n">
        <v>2</v>
      </c>
      <c r="H3528" s="10"/>
      <c r="I3528" s="21"/>
      <c r="M3528" s="10"/>
      <c r="N3528" s="10"/>
      <c r="P3528" s="10"/>
      <c r="Q3528" s="22"/>
    </row>
    <row r="3529" customFormat="false" ht="15.75" hidden="false" customHeight="false" outlineLevel="0" collapsed="false">
      <c r="A3529" s="20" t="n">
        <v>46126</v>
      </c>
      <c r="B3529" s="15" t="s">
        <v>475</v>
      </c>
      <c r="C3529" s="15" t="s">
        <v>33</v>
      </c>
      <c r="D3529" s="15" t="s">
        <v>536</v>
      </c>
      <c r="E3529" s="15" t="n">
        <v>2</v>
      </c>
      <c r="H3529" s="10"/>
      <c r="I3529" s="21"/>
      <c r="M3529" s="10"/>
      <c r="N3529" s="10"/>
      <c r="P3529" s="10"/>
      <c r="Q3529" s="22"/>
    </row>
    <row r="3530" customFormat="false" ht="15.75" hidden="false" customHeight="false" outlineLevel="0" collapsed="false">
      <c r="A3530" s="20" t="n">
        <v>46126</v>
      </c>
      <c r="B3530" s="15" t="s">
        <v>475</v>
      </c>
      <c r="C3530" s="15" t="s">
        <v>555</v>
      </c>
      <c r="D3530" s="15" t="s">
        <v>556</v>
      </c>
      <c r="E3530" s="15" t="n">
        <v>2</v>
      </c>
      <c r="H3530" s="10"/>
      <c r="I3530" s="21"/>
      <c r="M3530" s="10"/>
      <c r="N3530" s="10"/>
      <c r="P3530" s="10"/>
      <c r="Q3530" s="22"/>
    </row>
    <row r="3531" customFormat="false" ht="15.75" hidden="false" customHeight="false" outlineLevel="0" collapsed="false">
      <c r="A3531" s="20" t="n">
        <v>46126</v>
      </c>
      <c r="B3531" s="15" t="s">
        <v>475</v>
      </c>
      <c r="C3531" s="15" t="s">
        <v>547</v>
      </c>
      <c r="D3531" s="15" t="s">
        <v>548</v>
      </c>
      <c r="E3531" s="15" t="n">
        <v>6</v>
      </c>
      <c r="H3531" s="10"/>
      <c r="I3531" s="21"/>
      <c r="M3531" s="10"/>
      <c r="N3531" s="10"/>
      <c r="P3531" s="10"/>
      <c r="Q3531" s="22"/>
    </row>
    <row r="3532" customFormat="false" ht="15.75" hidden="false" customHeight="false" outlineLevel="0" collapsed="false">
      <c r="A3532" s="20" t="n">
        <v>46126</v>
      </c>
      <c r="B3532" s="15" t="s">
        <v>475</v>
      </c>
      <c r="C3532" s="15" t="s">
        <v>557</v>
      </c>
      <c r="D3532" s="15" t="s">
        <v>558</v>
      </c>
      <c r="E3532" s="15" t="n">
        <v>2</v>
      </c>
      <c r="H3532" s="10"/>
      <c r="I3532" s="21"/>
      <c r="M3532" s="10"/>
      <c r="N3532" s="10"/>
      <c r="P3532" s="10"/>
      <c r="Q3532" s="22"/>
    </row>
    <row r="3533" customFormat="false" ht="15.75" hidden="false" customHeight="false" outlineLevel="0" collapsed="false">
      <c r="A3533" s="20" t="n">
        <v>46126</v>
      </c>
      <c r="B3533" s="15" t="s">
        <v>486</v>
      </c>
      <c r="C3533" s="15" t="s">
        <v>55</v>
      </c>
      <c r="D3533" s="15" t="s">
        <v>539</v>
      </c>
      <c r="E3533" s="15" t="n">
        <v>1</v>
      </c>
      <c r="H3533" s="10"/>
      <c r="I3533" s="21"/>
      <c r="M3533" s="10"/>
      <c r="N3533" s="10"/>
      <c r="P3533" s="10"/>
      <c r="Q3533" s="22"/>
    </row>
    <row r="3534" customFormat="false" ht="15.75" hidden="false" customHeight="false" outlineLevel="0" collapsed="false">
      <c r="A3534" s="20" t="n">
        <v>46126</v>
      </c>
      <c r="B3534" s="15" t="s">
        <v>486</v>
      </c>
      <c r="C3534" s="15" t="s">
        <v>81</v>
      </c>
      <c r="D3534" s="15" t="s">
        <v>534</v>
      </c>
      <c r="E3534" s="15" t="n">
        <v>4</v>
      </c>
      <c r="H3534" s="10"/>
      <c r="I3534" s="21"/>
      <c r="M3534" s="10"/>
      <c r="N3534" s="10"/>
      <c r="P3534" s="10"/>
      <c r="Q3534" s="22"/>
    </row>
    <row r="3535" customFormat="false" ht="15.75" hidden="false" customHeight="false" outlineLevel="0" collapsed="false">
      <c r="A3535" s="20" t="n">
        <v>46126</v>
      </c>
      <c r="B3535" s="15" t="s">
        <v>486</v>
      </c>
      <c r="C3535" s="15" t="s">
        <v>69</v>
      </c>
      <c r="D3535" s="15" t="s">
        <v>535</v>
      </c>
      <c r="E3535" s="15" t="n">
        <v>5</v>
      </c>
      <c r="H3535" s="10"/>
      <c r="I3535" s="21"/>
      <c r="M3535" s="10"/>
      <c r="N3535" s="10"/>
      <c r="P3535" s="10"/>
      <c r="Q3535" s="22"/>
    </row>
    <row r="3536" customFormat="false" ht="15.75" hidden="false" customHeight="false" outlineLevel="0" collapsed="false">
      <c r="A3536" s="20" t="n">
        <v>46126</v>
      </c>
      <c r="B3536" s="15" t="s">
        <v>486</v>
      </c>
      <c r="C3536" s="15" t="s">
        <v>25</v>
      </c>
      <c r="D3536" s="15" t="s">
        <v>26</v>
      </c>
      <c r="E3536" s="15" t="n">
        <v>1</v>
      </c>
      <c r="H3536" s="10"/>
      <c r="I3536" s="21"/>
      <c r="M3536" s="10"/>
      <c r="N3536" s="10"/>
      <c r="P3536" s="10"/>
      <c r="Q3536" s="22"/>
    </row>
    <row r="3537" customFormat="false" ht="15.75" hidden="false" customHeight="false" outlineLevel="0" collapsed="false">
      <c r="A3537" s="20" t="n">
        <v>46126</v>
      </c>
      <c r="B3537" s="15" t="s">
        <v>486</v>
      </c>
      <c r="C3537" s="15" t="s">
        <v>11</v>
      </c>
      <c r="D3537" s="15" t="s">
        <v>572</v>
      </c>
      <c r="E3537" s="15" t="n">
        <v>1</v>
      </c>
      <c r="H3537" s="10"/>
      <c r="I3537" s="21"/>
      <c r="M3537" s="10"/>
      <c r="N3537" s="10"/>
      <c r="P3537" s="10"/>
      <c r="Q3537" s="22"/>
    </row>
    <row r="3538" customFormat="false" ht="15.75" hidden="false" customHeight="false" outlineLevel="0" collapsed="false">
      <c r="A3538" s="20" t="n">
        <v>46126</v>
      </c>
      <c r="B3538" s="15" t="s">
        <v>486</v>
      </c>
      <c r="C3538" s="15" t="s">
        <v>555</v>
      </c>
      <c r="D3538" s="15" t="s">
        <v>556</v>
      </c>
      <c r="E3538" s="15" t="n">
        <v>1</v>
      </c>
      <c r="H3538" s="10"/>
      <c r="I3538" s="21"/>
      <c r="M3538" s="10"/>
      <c r="N3538" s="10"/>
      <c r="P3538" s="10"/>
      <c r="Q3538" s="22"/>
    </row>
    <row r="3539" customFormat="false" ht="15.75" hidden="false" customHeight="false" outlineLevel="0" collapsed="false">
      <c r="A3539" s="20" t="n">
        <v>46126</v>
      </c>
      <c r="B3539" s="15" t="s">
        <v>486</v>
      </c>
      <c r="C3539" s="15" t="s">
        <v>543</v>
      </c>
      <c r="D3539" s="15" t="s">
        <v>544</v>
      </c>
      <c r="E3539" s="15" t="n">
        <v>2</v>
      </c>
      <c r="H3539" s="10"/>
      <c r="I3539" s="21"/>
      <c r="M3539" s="10"/>
      <c r="N3539" s="10"/>
      <c r="P3539" s="10"/>
      <c r="Q3539" s="22"/>
    </row>
    <row r="3540" customFormat="false" ht="15.75" hidden="false" customHeight="false" outlineLevel="0" collapsed="false">
      <c r="A3540" s="20" t="n">
        <v>46126</v>
      </c>
      <c r="B3540" s="15" t="s">
        <v>486</v>
      </c>
      <c r="C3540" s="15" t="s">
        <v>545</v>
      </c>
      <c r="D3540" s="15" t="s">
        <v>546</v>
      </c>
      <c r="E3540" s="15" t="n">
        <v>1</v>
      </c>
      <c r="H3540" s="10"/>
      <c r="I3540" s="21"/>
      <c r="M3540" s="10"/>
      <c r="N3540" s="10"/>
      <c r="P3540" s="10"/>
      <c r="Q3540" s="22"/>
    </row>
    <row r="3541" customFormat="false" ht="15.75" hidden="false" customHeight="false" outlineLevel="0" collapsed="false">
      <c r="A3541" s="20" t="n">
        <v>46126</v>
      </c>
      <c r="B3541" s="15" t="s">
        <v>486</v>
      </c>
      <c r="C3541" s="15" t="s">
        <v>77</v>
      </c>
      <c r="D3541" s="15" t="s">
        <v>78</v>
      </c>
      <c r="E3541" s="15" t="n">
        <v>2</v>
      </c>
      <c r="H3541" s="10"/>
      <c r="I3541" s="21"/>
      <c r="M3541" s="10"/>
      <c r="N3541" s="10"/>
      <c r="P3541" s="10"/>
      <c r="Q3541" s="22"/>
    </row>
    <row r="3542" customFormat="false" ht="15.75" hidden="false" customHeight="false" outlineLevel="0" collapsed="false">
      <c r="A3542" s="20" t="n">
        <v>46126</v>
      </c>
      <c r="B3542" s="15" t="s">
        <v>486</v>
      </c>
      <c r="C3542" s="15" t="s">
        <v>33</v>
      </c>
      <c r="D3542" s="15" t="s">
        <v>536</v>
      </c>
      <c r="E3542" s="15" t="n">
        <v>4</v>
      </c>
      <c r="H3542" s="10"/>
      <c r="I3542" s="21"/>
      <c r="M3542" s="10"/>
      <c r="N3542" s="10"/>
      <c r="P3542" s="10"/>
      <c r="Q3542" s="22"/>
    </row>
    <row r="3543" customFormat="false" ht="15.75" hidden="false" customHeight="false" outlineLevel="0" collapsed="false">
      <c r="A3543" s="20" t="n">
        <v>46126</v>
      </c>
      <c r="B3543" s="15" t="s">
        <v>486</v>
      </c>
      <c r="C3543" s="15" t="s">
        <v>578</v>
      </c>
      <c r="D3543" s="15" t="s">
        <v>579</v>
      </c>
      <c r="E3543" s="15" t="n">
        <v>1</v>
      </c>
      <c r="H3543" s="10"/>
      <c r="I3543" s="21"/>
      <c r="M3543" s="10"/>
      <c r="N3543" s="10"/>
      <c r="P3543" s="10"/>
      <c r="Q3543" s="22"/>
    </row>
    <row r="3544" customFormat="false" ht="15.75" hidden="false" customHeight="false" outlineLevel="0" collapsed="false">
      <c r="A3544" s="20" t="n">
        <v>46126</v>
      </c>
      <c r="B3544" s="15" t="s">
        <v>486</v>
      </c>
      <c r="C3544" s="15" t="s">
        <v>59</v>
      </c>
      <c r="D3544" s="15" t="s">
        <v>562</v>
      </c>
      <c r="E3544" s="15" t="n">
        <v>1</v>
      </c>
      <c r="H3544" s="10"/>
      <c r="I3544" s="21"/>
      <c r="M3544" s="10"/>
      <c r="N3544" s="10"/>
      <c r="P3544" s="10"/>
      <c r="Q3544" s="22"/>
    </row>
    <row r="3545" customFormat="false" ht="15.75" hidden="false" customHeight="false" outlineLevel="0" collapsed="false">
      <c r="A3545" s="20" t="n">
        <v>46126</v>
      </c>
      <c r="B3545" s="15" t="s">
        <v>486</v>
      </c>
      <c r="C3545" s="15" t="s">
        <v>79</v>
      </c>
      <c r="D3545" s="15" t="s">
        <v>564</v>
      </c>
      <c r="E3545" s="15" t="n">
        <v>2</v>
      </c>
      <c r="H3545" s="10"/>
      <c r="I3545" s="21"/>
      <c r="M3545" s="10"/>
      <c r="N3545" s="10"/>
      <c r="P3545" s="10"/>
      <c r="Q3545" s="22"/>
    </row>
    <row r="3546" customFormat="false" ht="15.75" hidden="false" customHeight="false" outlineLevel="0" collapsed="false">
      <c r="A3546" s="20" t="n">
        <v>46126</v>
      </c>
      <c r="B3546" s="15" t="s">
        <v>489</v>
      </c>
      <c r="C3546" s="15" t="s">
        <v>31</v>
      </c>
      <c r="D3546" s="15" t="s">
        <v>559</v>
      </c>
      <c r="E3546" s="15" t="n">
        <v>2</v>
      </c>
      <c r="H3546" s="10"/>
      <c r="I3546" s="21"/>
      <c r="M3546" s="10"/>
      <c r="N3546" s="10"/>
      <c r="P3546" s="10"/>
      <c r="Q3546" s="22"/>
    </row>
    <row r="3547" customFormat="false" ht="15.75" hidden="false" customHeight="false" outlineLevel="0" collapsed="false">
      <c r="A3547" s="20" t="n">
        <v>46126</v>
      </c>
      <c r="B3547" s="15" t="s">
        <v>489</v>
      </c>
      <c r="C3547" s="15" t="s">
        <v>43</v>
      </c>
      <c r="D3547" s="15" t="s">
        <v>538</v>
      </c>
      <c r="E3547" s="15" t="n">
        <v>3</v>
      </c>
      <c r="H3547" s="10"/>
      <c r="I3547" s="21"/>
      <c r="M3547" s="10"/>
      <c r="N3547" s="10"/>
      <c r="P3547" s="10"/>
      <c r="Q3547" s="22"/>
    </row>
    <row r="3548" customFormat="false" ht="15.75" hidden="false" customHeight="false" outlineLevel="0" collapsed="false">
      <c r="A3548" s="20" t="n">
        <v>46126</v>
      </c>
      <c r="B3548" s="15" t="s">
        <v>489</v>
      </c>
      <c r="C3548" s="15" t="s">
        <v>81</v>
      </c>
      <c r="D3548" s="15" t="s">
        <v>534</v>
      </c>
      <c r="E3548" s="15" t="n">
        <v>5</v>
      </c>
      <c r="H3548" s="10"/>
      <c r="I3548" s="21"/>
      <c r="M3548" s="10"/>
      <c r="N3548" s="10"/>
      <c r="P3548" s="10"/>
      <c r="Q3548" s="22"/>
    </row>
    <row r="3549" customFormat="false" ht="15.75" hidden="false" customHeight="false" outlineLevel="0" collapsed="false">
      <c r="A3549" s="20" t="n">
        <v>46126</v>
      </c>
      <c r="B3549" s="15" t="s">
        <v>489</v>
      </c>
      <c r="C3549" s="15" t="s">
        <v>547</v>
      </c>
      <c r="D3549" s="15" t="s">
        <v>548</v>
      </c>
      <c r="E3549" s="15" t="n">
        <v>6</v>
      </c>
      <c r="H3549" s="10"/>
      <c r="I3549" s="21"/>
      <c r="M3549" s="10"/>
      <c r="N3549" s="10"/>
      <c r="P3549" s="10"/>
      <c r="Q3549" s="22"/>
    </row>
    <row r="3550" customFormat="false" ht="15.75" hidden="false" customHeight="false" outlineLevel="0" collapsed="false">
      <c r="A3550" s="20" t="n">
        <v>46126</v>
      </c>
      <c r="B3550" s="15" t="s">
        <v>489</v>
      </c>
      <c r="C3550" s="15" t="s">
        <v>69</v>
      </c>
      <c r="D3550" s="15" t="s">
        <v>535</v>
      </c>
      <c r="E3550" s="15" t="n">
        <v>4</v>
      </c>
      <c r="H3550" s="10"/>
      <c r="I3550" s="21"/>
      <c r="M3550" s="10"/>
      <c r="N3550" s="10"/>
      <c r="P3550" s="10"/>
      <c r="Q3550" s="22"/>
    </row>
    <row r="3551" customFormat="false" ht="15.75" hidden="false" customHeight="false" outlineLevel="0" collapsed="false">
      <c r="A3551" s="20" t="n">
        <v>46126</v>
      </c>
      <c r="B3551" s="15" t="s">
        <v>489</v>
      </c>
      <c r="C3551" s="15" t="s">
        <v>33</v>
      </c>
      <c r="D3551" s="15" t="s">
        <v>536</v>
      </c>
      <c r="E3551" s="15" t="n">
        <v>4</v>
      </c>
      <c r="H3551" s="10"/>
      <c r="I3551" s="21"/>
      <c r="M3551" s="10"/>
      <c r="N3551" s="10"/>
      <c r="P3551" s="10"/>
      <c r="Q3551" s="22"/>
    </row>
    <row r="3552" customFormat="false" ht="15.75" hidden="false" customHeight="false" outlineLevel="0" collapsed="false">
      <c r="A3552" s="20" t="n">
        <v>46126</v>
      </c>
      <c r="B3552" s="15" t="s">
        <v>489</v>
      </c>
      <c r="C3552" s="15" t="s">
        <v>545</v>
      </c>
      <c r="D3552" s="15" t="s">
        <v>546</v>
      </c>
      <c r="E3552" s="15" t="n">
        <v>2</v>
      </c>
      <c r="H3552" s="10"/>
      <c r="I3552" s="21"/>
      <c r="M3552" s="10"/>
      <c r="N3552" s="10"/>
      <c r="P3552" s="10"/>
      <c r="Q3552" s="22"/>
    </row>
    <row r="3553" customFormat="false" ht="15.75" hidden="false" customHeight="false" outlineLevel="0" collapsed="false">
      <c r="A3553" s="20" t="n">
        <v>46126</v>
      </c>
      <c r="B3553" s="15" t="s">
        <v>489</v>
      </c>
      <c r="C3553" s="15" t="s">
        <v>555</v>
      </c>
      <c r="D3553" s="15" t="s">
        <v>556</v>
      </c>
      <c r="E3553" s="15" t="n">
        <v>2</v>
      </c>
      <c r="H3553" s="10"/>
      <c r="I3553" s="21"/>
      <c r="M3553" s="10"/>
      <c r="N3553" s="10"/>
      <c r="P3553" s="10"/>
      <c r="Q3553" s="22"/>
    </row>
    <row r="3554" customFormat="false" ht="15.75" hidden="false" customHeight="false" outlineLevel="0" collapsed="false">
      <c r="A3554" s="20" t="n">
        <v>46126</v>
      </c>
      <c r="B3554" s="15" t="s">
        <v>489</v>
      </c>
      <c r="C3554" s="15" t="s">
        <v>75</v>
      </c>
      <c r="D3554" s="15" t="s">
        <v>560</v>
      </c>
      <c r="E3554" s="15" t="n">
        <v>1</v>
      </c>
      <c r="H3554" s="10"/>
      <c r="I3554" s="21"/>
      <c r="M3554" s="10"/>
      <c r="N3554" s="10"/>
      <c r="P3554" s="10"/>
      <c r="Q3554" s="22"/>
    </row>
    <row r="3555" customFormat="false" ht="15.75" hidden="false" customHeight="false" outlineLevel="0" collapsed="false">
      <c r="A3555" s="20" t="n">
        <v>46126</v>
      </c>
      <c r="B3555" s="15" t="s">
        <v>489</v>
      </c>
      <c r="C3555" s="15" t="s">
        <v>77</v>
      </c>
      <c r="D3555" s="15" t="s">
        <v>78</v>
      </c>
      <c r="E3555" s="15" t="n">
        <v>2</v>
      </c>
      <c r="H3555" s="10"/>
      <c r="I3555" s="21"/>
      <c r="M3555" s="10"/>
      <c r="N3555" s="10"/>
      <c r="P3555" s="10"/>
      <c r="Q3555" s="22"/>
    </row>
    <row r="3556" customFormat="false" ht="15.75" hidden="false" customHeight="false" outlineLevel="0" collapsed="false">
      <c r="A3556" s="20" t="n">
        <v>46126</v>
      </c>
      <c r="B3556" s="15" t="s">
        <v>498</v>
      </c>
      <c r="C3556" s="15" t="s">
        <v>81</v>
      </c>
      <c r="D3556" s="15" t="s">
        <v>534</v>
      </c>
      <c r="E3556" s="15" t="n">
        <v>9</v>
      </c>
      <c r="H3556" s="10"/>
      <c r="I3556" s="21"/>
      <c r="M3556" s="10"/>
      <c r="N3556" s="10"/>
      <c r="P3556" s="10"/>
      <c r="Q3556" s="22"/>
    </row>
    <row r="3557" customFormat="false" ht="15.75" hidden="false" customHeight="false" outlineLevel="0" collapsed="false">
      <c r="A3557" s="20" t="n">
        <v>46126</v>
      </c>
      <c r="B3557" s="15" t="s">
        <v>498</v>
      </c>
      <c r="C3557" s="15" t="s">
        <v>543</v>
      </c>
      <c r="D3557" s="15" t="s">
        <v>544</v>
      </c>
      <c r="E3557" s="15" t="n">
        <v>1</v>
      </c>
      <c r="H3557" s="10"/>
      <c r="I3557" s="21"/>
      <c r="M3557" s="10"/>
      <c r="N3557" s="10"/>
      <c r="P3557" s="10"/>
      <c r="Q3557" s="22"/>
    </row>
    <row r="3558" customFormat="false" ht="15.75" hidden="false" customHeight="false" outlineLevel="0" collapsed="false">
      <c r="A3558" s="20" t="n">
        <v>46126</v>
      </c>
      <c r="B3558" s="15" t="s">
        <v>498</v>
      </c>
      <c r="C3558" s="15" t="s">
        <v>69</v>
      </c>
      <c r="D3558" s="15" t="s">
        <v>535</v>
      </c>
      <c r="E3558" s="15" t="n">
        <v>2</v>
      </c>
      <c r="H3558" s="10"/>
      <c r="I3558" s="21"/>
      <c r="M3558" s="10"/>
      <c r="N3558" s="10"/>
      <c r="P3558" s="10"/>
      <c r="Q3558" s="22"/>
    </row>
    <row r="3559" customFormat="false" ht="15.75" hidden="false" customHeight="false" outlineLevel="0" collapsed="false">
      <c r="A3559" s="20" t="n">
        <v>46126</v>
      </c>
      <c r="B3559" s="15" t="s">
        <v>498</v>
      </c>
      <c r="C3559" s="15" t="s">
        <v>33</v>
      </c>
      <c r="D3559" s="15" t="s">
        <v>536</v>
      </c>
      <c r="E3559" s="15" t="n">
        <v>3</v>
      </c>
      <c r="H3559" s="10"/>
      <c r="I3559" s="21"/>
      <c r="M3559" s="10"/>
      <c r="N3559" s="10"/>
      <c r="P3559" s="10"/>
      <c r="Q3559" s="22"/>
    </row>
    <row r="3560" customFormat="false" ht="15.75" hidden="false" customHeight="false" outlineLevel="0" collapsed="false">
      <c r="A3560" s="20" t="n">
        <v>46126</v>
      </c>
      <c r="B3560" s="15" t="s">
        <v>498</v>
      </c>
      <c r="C3560" s="15" t="s">
        <v>55</v>
      </c>
      <c r="D3560" s="15" t="s">
        <v>539</v>
      </c>
      <c r="E3560" s="15" t="n">
        <v>1</v>
      </c>
      <c r="H3560" s="10"/>
      <c r="I3560" s="21"/>
      <c r="M3560" s="10"/>
      <c r="N3560" s="10"/>
      <c r="P3560" s="10"/>
      <c r="Q3560" s="22"/>
    </row>
    <row r="3561" customFormat="false" ht="15.75" hidden="false" customHeight="false" outlineLevel="0" collapsed="false">
      <c r="A3561" s="20" t="n">
        <v>46126</v>
      </c>
      <c r="B3561" s="15" t="s">
        <v>498</v>
      </c>
      <c r="C3561" s="15" t="s">
        <v>59</v>
      </c>
      <c r="D3561" s="15" t="s">
        <v>562</v>
      </c>
      <c r="E3561" s="15" t="n">
        <v>1</v>
      </c>
      <c r="H3561" s="10"/>
      <c r="I3561" s="21"/>
      <c r="M3561" s="10"/>
      <c r="N3561" s="10"/>
      <c r="P3561" s="10"/>
      <c r="Q3561" s="22"/>
    </row>
    <row r="3562" customFormat="false" ht="15.75" hidden="false" customHeight="false" outlineLevel="0" collapsed="false">
      <c r="A3562" s="20" t="n">
        <v>46126</v>
      </c>
      <c r="B3562" s="15" t="s">
        <v>498</v>
      </c>
      <c r="C3562" s="15" t="s">
        <v>47</v>
      </c>
      <c r="D3562" s="15" t="s">
        <v>549</v>
      </c>
      <c r="E3562" s="15" t="n">
        <v>1</v>
      </c>
      <c r="H3562" s="10"/>
      <c r="I3562" s="21"/>
      <c r="M3562" s="10"/>
      <c r="N3562" s="10"/>
      <c r="P3562" s="10"/>
      <c r="Q3562" s="22"/>
    </row>
    <row r="3563" customFormat="false" ht="15.75" hidden="false" customHeight="false" outlineLevel="0" collapsed="false">
      <c r="A3563" s="20" t="n">
        <v>46126</v>
      </c>
      <c r="B3563" s="15" t="s">
        <v>498</v>
      </c>
      <c r="C3563" s="15" t="s">
        <v>75</v>
      </c>
      <c r="D3563" s="15" t="s">
        <v>560</v>
      </c>
      <c r="E3563" s="15" t="n">
        <v>1</v>
      </c>
      <c r="H3563" s="10"/>
      <c r="I3563" s="21"/>
      <c r="M3563" s="10"/>
      <c r="N3563" s="10"/>
      <c r="P3563" s="10"/>
      <c r="Q3563" s="22"/>
    </row>
    <row r="3564" customFormat="false" ht="15.75" hidden="false" customHeight="false" outlineLevel="0" collapsed="false">
      <c r="A3564" s="20" t="n">
        <v>46126</v>
      </c>
      <c r="B3564" s="15" t="s">
        <v>498</v>
      </c>
      <c r="C3564" s="15" t="s">
        <v>77</v>
      </c>
      <c r="D3564" s="15" t="s">
        <v>78</v>
      </c>
      <c r="E3564" s="15" t="n">
        <v>1</v>
      </c>
      <c r="H3564" s="10"/>
      <c r="I3564" s="21"/>
      <c r="M3564" s="10"/>
      <c r="N3564" s="10"/>
      <c r="P3564" s="10"/>
      <c r="Q3564" s="22"/>
    </row>
    <row r="3565" customFormat="false" ht="15.75" hidden="false" customHeight="false" outlineLevel="0" collapsed="false">
      <c r="A3565" s="20" t="n">
        <v>46126</v>
      </c>
      <c r="B3565" s="15" t="s">
        <v>504</v>
      </c>
      <c r="C3565" s="15" t="s">
        <v>47</v>
      </c>
      <c r="D3565" s="15" t="s">
        <v>549</v>
      </c>
      <c r="E3565" s="15" t="n">
        <v>6</v>
      </c>
      <c r="H3565" s="10"/>
      <c r="I3565" s="21"/>
      <c r="M3565" s="10"/>
      <c r="N3565" s="10"/>
      <c r="P3565" s="10"/>
      <c r="Q3565" s="22"/>
    </row>
    <row r="3566" customFormat="false" ht="15.75" hidden="false" customHeight="false" outlineLevel="0" collapsed="false">
      <c r="A3566" s="20" t="n">
        <v>46126</v>
      </c>
      <c r="B3566" s="15" t="s">
        <v>504</v>
      </c>
      <c r="C3566" s="15" t="s">
        <v>55</v>
      </c>
      <c r="D3566" s="15" t="s">
        <v>539</v>
      </c>
      <c r="E3566" s="15" t="n">
        <v>12</v>
      </c>
      <c r="H3566" s="10"/>
      <c r="I3566" s="21"/>
      <c r="M3566" s="10"/>
      <c r="N3566" s="10"/>
      <c r="P3566" s="10"/>
      <c r="Q3566" s="22"/>
    </row>
    <row r="3567" customFormat="false" ht="15.75" hidden="false" customHeight="false" outlineLevel="0" collapsed="false">
      <c r="A3567" s="20" t="n">
        <v>46126</v>
      </c>
      <c r="B3567" s="15" t="s">
        <v>504</v>
      </c>
      <c r="C3567" s="15" t="s">
        <v>81</v>
      </c>
      <c r="D3567" s="15" t="s">
        <v>534</v>
      </c>
      <c r="E3567" s="15" t="n">
        <v>18</v>
      </c>
      <c r="H3567" s="10"/>
      <c r="I3567" s="21"/>
      <c r="M3567" s="10"/>
      <c r="N3567" s="10"/>
      <c r="P3567" s="10"/>
      <c r="Q3567" s="22"/>
    </row>
    <row r="3568" customFormat="false" ht="15.75" hidden="false" customHeight="false" outlineLevel="0" collapsed="false">
      <c r="A3568" s="20" t="n">
        <v>46126</v>
      </c>
      <c r="B3568" s="15" t="s">
        <v>504</v>
      </c>
      <c r="C3568" s="15" t="s">
        <v>39</v>
      </c>
      <c r="D3568" s="15" t="s">
        <v>550</v>
      </c>
      <c r="E3568" s="15" t="n">
        <v>2</v>
      </c>
      <c r="H3568" s="10"/>
      <c r="I3568" s="21"/>
      <c r="M3568" s="10"/>
      <c r="N3568" s="10"/>
      <c r="P3568" s="10"/>
      <c r="Q3568" s="22"/>
    </row>
    <row r="3569" customFormat="false" ht="15.75" hidden="false" customHeight="false" outlineLevel="0" collapsed="false">
      <c r="A3569" s="20" t="n">
        <v>46126</v>
      </c>
      <c r="B3569" s="15" t="s">
        <v>504</v>
      </c>
      <c r="C3569" s="15" t="s">
        <v>63</v>
      </c>
      <c r="D3569" s="15" t="s">
        <v>551</v>
      </c>
      <c r="E3569" s="15" t="n">
        <v>2</v>
      </c>
      <c r="H3569" s="10"/>
      <c r="I3569" s="21"/>
      <c r="M3569" s="10"/>
      <c r="N3569" s="10"/>
      <c r="P3569" s="10"/>
      <c r="Q3569" s="22"/>
    </row>
    <row r="3570" customFormat="false" ht="15.75" hidden="false" customHeight="false" outlineLevel="0" collapsed="false">
      <c r="A3570" s="20" t="n">
        <v>46126</v>
      </c>
      <c r="B3570" s="15" t="s">
        <v>504</v>
      </c>
      <c r="C3570" s="15" t="s">
        <v>17</v>
      </c>
      <c r="D3570" s="15" t="s">
        <v>554</v>
      </c>
      <c r="E3570" s="15" t="n">
        <v>2</v>
      </c>
      <c r="H3570" s="10"/>
      <c r="I3570" s="21"/>
      <c r="M3570" s="10"/>
      <c r="N3570" s="10"/>
      <c r="P3570" s="10"/>
      <c r="Q3570" s="22"/>
    </row>
    <row r="3571" customFormat="false" ht="15.75" hidden="false" customHeight="false" outlineLevel="0" collapsed="false">
      <c r="A3571" s="20" t="n">
        <v>46126</v>
      </c>
      <c r="B3571" s="15" t="s">
        <v>508</v>
      </c>
      <c r="C3571" s="15" t="s">
        <v>55</v>
      </c>
      <c r="D3571" s="15" t="s">
        <v>539</v>
      </c>
      <c r="E3571" s="15" t="n">
        <v>5</v>
      </c>
      <c r="H3571" s="10"/>
      <c r="I3571" s="21"/>
      <c r="M3571" s="10"/>
      <c r="N3571" s="10"/>
      <c r="P3571" s="10"/>
      <c r="Q3571" s="22"/>
    </row>
    <row r="3572" customFormat="false" ht="15.75" hidden="false" customHeight="false" outlineLevel="0" collapsed="false">
      <c r="A3572" s="20" t="n">
        <v>46126</v>
      </c>
      <c r="B3572" s="15" t="s">
        <v>508</v>
      </c>
      <c r="C3572" s="15" t="s">
        <v>81</v>
      </c>
      <c r="D3572" s="15" t="s">
        <v>534</v>
      </c>
      <c r="E3572" s="15" t="n">
        <v>9</v>
      </c>
      <c r="H3572" s="10"/>
      <c r="I3572" s="21"/>
      <c r="M3572" s="10"/>
      <c r="N3572" s="10"/>
      <c r="P3572" s="10"/>
      <c r="Q3572" s="22"/>
    </row>
    <row r="3573" customFormat="false" ht="15.75" hidden="false" customHeight="false" outlineLevel="0" collapsed="false">
      <c r="A3573" s="20" t="n">
        <v>46126</v>
      </c>
      <c r="B3573" s="15" t="s">
        <v>508</v>
      </c>
      <c r="C3573" s="15" t="s">
        <v>39</v>
      </c>
      <c r="D3573" s="15" t="s">
        <v>550</v>
      </c>
      <c r="E3573" s="15" t="n">
        <v>2</v>
      </c>
      <c r="H3573" s="10"/>
      <c r="I3573" s="21"/>
      <c r="M3573" s="10"/>
      <c r="N3573" s="10"/>
      <c r="P3573" s="10"/>
      <c r="Q3573" s="22"/>
    </row>
    <row r="3574" customFormat="false" ht="15.75" hidden="false" customHeight="false" outlineLevel="0" collapsed="false">
      <c r="A3574" s="20" t="n">
        <v>46126</v>
      </c>
      <c r="B3574" s="15" t="s">
        <v>508</v>
      </c>
      <c r="C3574" s="15" t="s">
        <v>47</v>
      </c>
      <c r="D3574" s="15" t="s">
        <v>549</v>
      </c>
      <c r="E3574" s="15" t="n">
        <v>2</v>
      </c>
      <c r="H3574" s="10"/>
      <c r="I3574" s="21"/>
      <c r="M3574" s="10"/>
      <c r="N3574" s="10"/>
      <c r="P3574" s="10"/>
      <c r="Q3574" s="22"/>
    </row>
    <row r="3575" customFormat="false" ht="15.75" hidden="false" customHeight="false" outlineLevel="0" collapsed="false">
      <c r="A3575" s="20" t="n">
        <v>46126</v>
      </c>
      <c r="B3575" s="15" t="s">
        <v>508</v>
      </c>
      <c r="C3575" s="15" t="s">
        <v>63</v>
      </c>
      <c r="D3575" s="15" t="s">
        <v>551</v>
      </c>
      <c r="E3575" s="15" t="n">
        <v>1</v>
      </c>
      <c r="H3575" s="10"/>
      <c r="I3575" s="21"/>
      <c r="M3575" s="10"/>
      <c r="N3575" s="10"/>
      <c r="P3575" s="10"/>
      <c r="Q3575" s="22"/>
    </row>
    <row r="3576" customFormat="false" ht="15.75" hidden="false" customHeight="false" outlineLevel="0" collapsed="false">
      <c r="A3576" s="20" t="n">
        <v>46127</v>
      </c>
      <c r="B3576" s="15" t="s">
        <v>453</v>
      </c>
      <c r="C3576" s="15" t="s">
        <v>47</v>
      </c>
      <c r="D3576" s="15" t="s">
        <v>549</v>
      </c>
      <c r="E3576" s="15" t="n">
        <v>2</v>
      </c>
      <c r="H3576" s="10"/>
      <c r="I3576" s="21"/>
      <c r="M3576" s="10"/>
      <c r="N3576" s="10"/>
      <c r="P3576" s="10"/>
      <c r="Q3576" s="22"/>
    </row>
    <row r="3577" customFormat="false" ht="15.75" hidden="false" customHeight="false" outlineLevel="0" collapsed="false">
      <c r="A3577" s="20" t="n">
        <v>46127</v>
      </c>
      <c r="B3577" s="15" t="s">
        <v>453</v>
      </c>
      <c r="C3577" s="15" t="s">
        <v>55</v>
      </c>
      <c r="D3577" s="15" t="s">
        <v>539</v>
      </c>
      <c r="E3577" s="15" t="n">
        <v>4</v>
      </c>
      <c r="H3577" s="10"/>
      <c r="I3577" s="21"/>
      <c r="M3577" s="10"/>
      <c r="N3577" s="10"/>
      <c r="P3577" s="10"/>
      <c r="Q3577" s="22"/>
    </row>
    <row r="3578" customFormat="false" ht="15.75" hidden="false" customHeight="false" outlineLevel="0" collapsed="false">
      <c r="A3578" s="20" t="n">
        <v>46127</v>
      </c>
      <c r="B3578" s="15" t="s">
        <v>453</v>
      </c>
      <c r="C3578" s="15" t="s">
        <v>81</v>
      </c>
      <c r="D3578" s="15" t="s">
        <v>534</v>
      </c>
      <c r="E3578" s="15" t="n">
        <v>8</v>
      </c>
      <c r="H3578" s="10"/>
      <c r="I3578" s="21"/>
      <c r="M3578" s="10"/>
      <c r="N3578" s="10"/>
      <c r="P3578" s="10"/>
      <c r="Q3578" s="22"/>
    </row>
    <row r="3579" customFormat="false" ht="15.75" hidden="false" customHeight="false" outlineLevel="0" collapsed="false">
      <c r="A3579" s="20" t="n">
        <v>46127</v>
      </c>
      <c r="B3579" s="15" t="s">
        <v>453</v>
      </c>
      <c r="C3579" s="15" t="s">
        <v>39</v>
      </c>
      <c r="D3579" s="15" t="s">
        <v>550</v>
      </c>
      <c r="E3579" s="15" t="n">
        <v>2</v>
      </c>
      <c r="H3579" s="10"/>
      <c r="I3579" s="21"/>
      <c r="M3579" s="10"/>
      <c r="N3579" s="10"/>
      <c r="P3579" s="10"/>
      <c r="Q3579" s="22"/>
    </row>
    <row r="3580" customFormat="false" ht="15.75" hidden="false" customHeight="false" outlineLevel="0" collapsed="false">
      <c r="A3580" s="20" t="n">
        <v>46127</v>
      </c>
      <c r="B3580" s="15" t="s">
        <v>453</v>
      </c>
      <c r="C3580" s="15" t="s">
        <v>63</v>
      </c>
      <c r="D3580" s="15" t="s">
        <v>551</v>
      </c>
      <c r="E3580" s="15" t="n">
        <v>1</v>
      </c>
      <c r="H3580" s="10"/>
      <c r="I3580" s="21"/>
      <c r="M3580" s="10"/>
      <c r="N3580" s="10"/>
      <c r="P3580" s="10"/>
      <c r="Q3580" s="22"/>
    </row>
    <row r="3581" customFormat="false" ht="15.75" hidden="false" customHeight="false" outlineLevel="0" collapsed="false">
      <c r="A3581" s="20" t="n">
        <v>46127</v>
      </c>
      <c r="B3581" s="15" t="s">
        <v>453</v>
      </c>
      <c r="C3581" s="15" t="s">
        <v>35</v>
      </c>
      <c r="D3581" s="15" t="s">
        <v>552</v>
      </c>
      <c r="E3581" s="15" t="n">
        <v>2</v>
      </c>
      <c r="H3581" s="10"/>
      <c r="I3581" s="21"/>
      <c r="M3581" s="10"/>
      <c r="N3581" s="10"/>
      <c r="P3581" s="10"/>
      <c r="Q3581" s="22"/>
    </row>
    <row r="3582" customFormat="false" ht="15.75" hidden="false" customHeight="false" outlineLevel="0" collapsed="false">
      <c r="A3582" s="20" t="n">
        <v>46127</v>
      </c>
      <c r="B3582" s="15" t="s">
        <v>467</v>
      </c>
      <c r="C3582" s="15" t="s">
        <v>55</v>
      </c>
      <c r="D3582" s="15" t="s">
        <v>539</v>
      </c>
      <c r="E3582" s="15" t="n">
        <v>6</v>
      </c>
      <c r="H3582" s="10"/>
      <c r="I3582" s="21"/>
      <c r="M3582" s="10"/>
      <c r="N3582" s="10"/>
      <c r="P3582" s="10"/>
      <c r="Q3582" s="22"/>
    </row>
    <row r="3583" customFormat="false" ht="15.75" hidden="false" customHeight="false" outlineLevel="0" collapsed="false">
      <c r="A3583" s="20" t="n">
        <v>46127</v>
      </c>
      <c r="B3583" s="15" t="s">
        <v>467</v>
      </c>
      <c r="C3583" s="15" t="s">
        <v>57</v>
      </c>
      <c r="D3583" s="15" t="s">
        <v>553</v>
      </c>
      <c r="E3583" s="15" t="n">
        <v>2</v>
      </c>
      <c r="H3583" s="10"/>
      <c r="I3583" s="21"/>
      <c r="M3583" s="10"/>
      <c r="N3583" s="10"/>
      <c r="P3583" s="10"/>
      <c r="Q3583" s="22"/>
    </row>
    <row r="3584" customFormat="false" ht="15.75" hidden="false" customHeight="false" outlineLevel="0" collapsed="false">
      <c r="A3584" s="20" t="n">
        <v>46127</v>
      </c>
      <c r="B3584" s="15" t="s">
        <v>467</v>
      </c>
      <c r="C3584" s="15" t="s">
        <v>47</v>
      </c>
      <c r="D3584" s="15" t="s">
        <v>549</v>
      </c>
      <c r="E3584" s="15" t="n">
        <v>2</v>
      </c>
      <c r="H3584" s="10"/>
      <c r="I3584" s="21"/>
      <c r="M3584" s="10"/>
      <c r="N3584" s="10"/>
      <c r="P3584" s="10"/>
      <c r="Q3584" s="22"/>
    </row>
    <row r="3585" customFormat="false" ht="15.75" hidden="false" customHeight="false" outlineLevel="0" collapsed="false">
      <c r="A3585" s="20" t="n">
        <v>46127</v>
      </c>
      <c r="B3585" s="15" t="s">
        <v>467</v>
      </c>
      <c r="C3585" s="15" t="s">
        <v>81</v>
      </c>
      <c r="D3585" s="15" t="s">
        <v>534</v>
      </c>
      <c r="E3585" s="15" t="n">
        <v>7</v>
      </c>
      <c r="H3585" s="10"/>
      <c r="I3585" s="21"/>
      <c r="M3585" s="10"/>
      <c r="N3585" s="10"/>
      <c r="P3585" s="10"/>
      <c r="Q3585" s="22"/>
    </row>
    <row r="3586" customFormat="false" ht="15.75" hidden="false" customHeight="false" outlineLevel="0" collapsed="false">
      <c r="A3586" s="20" t="n">
        <v>46127</v>
      </c>
      <c r="B3586" s="15" t="s">
        <v>467</v>
      </c>
      <c r="C3586" s="15" t="s">
        <v>49</v>
      </c>
      <c r="D3586" s="15" t="s">
        <v>537</v>
      </c>
      <c r="E3586" s="15" t="n">
        <v>2</v>
      </c>
      <c r="H3586" s="10"/>
      <c r="I3586" s="21"/>
      <c r="M3586" s="10"/>
      <c r="N3586" s="10"/>
      <c r="P3586" s="10"/>
      <c r="Q3586" s="22"/>
    </row>
    <row r="3587" customFormat="false" ht="15.75" hidden="false" customHeight="false" outlineLevel="0" collapsed="false">
      <c r="A3587" s="20" t="n">
        <v>46127</v>
      </c>
      <c r="B3587" s="15" t="s">
        <v>467</v>
      </c>
      <c r="C3587" s="15" t="s">
        <v>63</v>
      </c>
      <c r="D3587" s="15" t="s">
        <v>551</v>
      </c>
      <c r="E3587" s="15" t="n">
        <v>1</v>
      </c>
      <c r="H3587" s="10"/>
      <c r="I3587" s="21"/>
      <c r="M3587" s="10"/>
      <c r="N3587" s="10"/>
      <c r="P3587" s="10"/>
      <c r="Q3587" s="22"/>
    </row>
    <row r="3588" customFormat="false" ht="15.75" hidden="false" customHeight="false" outlineLevel="0" collapsed="false">
      <c r="A3588" s="20" t="n">
        <v>46127</v>
      </c>
      <c r="B3588" s="15" t="s">
        <v>469</v>
      </c>
      <c r="C3588" s="15" t="s">
        <v>69</v>
      </c>
      <c r="D3588" s="15" t="s">
        <v>535</v>
      </c>
      <c r="E3588" s="15" t="n">
        <v>5</v>
      </c>
      <c r="H3588" s="10"/>
      <c r="I3588" s="21"/>
      <c r="M3588" s="10"/>
      <c r="N3588" s="10"/>
      <c r="P3588" s="10"/>
      <c r="Q3588" s="22"/>
    </row>
    <row r="3589" customFormat="false" ht="15.75" hidden="false" customHeight="false" outlineLevel="0" collapsed="false">
      <c r="A3589" s="20" t="n">
        <v>46127</v>
      </c>
      <c r="B3589" s="15" t="s">
        <v>469</v>
      </c>
      <c r="C3589" s="15" t="s">
        <v>55</v>
      </c>
      <c r="D3589" s="15" t="s">
        <v>539</v>
      </c>
      <c r="E3589" s="15" t="n">
        <v>2</v>
      </c>
      <c r="H3589" s="10"/>
      <c r="I3589" s="21"/>
      <c r="M3589" s="10"/>
      <c r="N3589" s="10"/>
      <c r="P3589" s="10"/>
      <c r="Q3589" s="22"/>
    </row>
    <row r="3590" customFormat="false" ht="15.75" hidden="false" customHeight="false" outlineLevel="0" collapsed="false">
      <c r="A3590" s="20" t="n">
        <v>46127</v>
      </c>
      <c r="B3590" s="15" t="s">
        <v>469</v>
      </c>
      <c r="C3590" s="15" t="s">
        <v>33</v>
      </c>
      <c r="D3590" s="15" t="s">
        <v>536</v>
      </c>
      <c r="E3590" s="15" t="n">
        <v>5</v>
      </c>
      <c r="H3590" s="10"/>
      <c r="I3590" s="21"/>
      <c r="M3590" s="10"/>
      <c r="N3590" s="10"/>
      <c r="P3590" s="10"/>
      <c r="Q3590" s="22"/>
    </row>
    <row r="3591" customFormat="false" ht="15.75" hidden="false" customHeight="false" outlineLevel="0" collapsed="false">
      <c r="A3591" s="20" t="n">
        <v>46127</v>
      </c>
      <c r="B3591" s="15" t="s">
        <v>469</v>
      </c>
      <c r="C3591" s="15" t="s">
        <v>547</v>
      </c>
      <c r="D3591" s="15" t="s">
        <v>548</v>
      </c>
      <c r="E3591" s="15" t="n">
        <v>1</v>
      </c>
      <c r="H3591" s="10"/>
      <c r="I3591" s="21"/>
      <c r="M3591" s="10"/>
      <c r="N3591" s="10"/>
      <c r="P3591" s="10"/>
      <c r="Q3591" s="22"/>
    </row>
    <row r="3592" customFormat="false" ht="15.75" hidden="false" customHeight="false" outlineLevel="0" collapsed="false">
      <c r="A3592" s="20" t="n">
        <v>46127</v>
      </c>
      <c r="B3592" s="15" t="s">
        <v>469</v>
      </c>
      <c r="C3592" s="15" t="s">
        <v>81</v>
      </c>
      <c r="D3592" s="15" t="s">
        <v>534</v>
      </c>
      <c r="E3592" s="15" t="n">
        <v>2</v>
      </c>
      <c r="H3592" s="10"/>
      <c r="I3592" s="21"/>
      <c r="M3592" s="10"/>
      <c r="N3592" s="10"/>
      <c r="P3592" s="10"/>
      <c r="Q3592" s="22"/>
    </row>
    <row r="3593" customFormat="false" ht="15.75" hidden="false" customHeight="false" outlineLevel="0" collapsed="false">
      <c r="A3593" s="20" t="n">
        <v>46127</v>
      </c>
      <c r="B3593" s="15" t="s">
        <v>472</v>
      </c>
      <c r="C3593" s="15" t="s">
        <v>555</v>
      </c>
      <c r="D3593" s="15" t="s">
        <v>556</v>
      </c>
      <c r="E3593" s="15" t="n">
        <v>3</v>
      </c>
      <c r="H3593" s="10"/>
      <c r="I3593" s="21"/>
      <c r="M3593" s="10"/>
      <c r="N3593" s="10"/>
      <c r="P3593" s="10"/>
      <c r="Q3593" s="22"/>
    </row>
    <row r="3594" customFormat="false" ht="15.75" hidden="false" customHeight="false" outlineLevel="0" collapsed="false">
      <c r="A3594" s="20" t="n">
        <v>46127</v>
      </c>
      <c r="B3594" s="15" t="s">
        <v>472</v>
      </c>
      <c r="C3594" s="15" t="s">
        <v>11</v>
      </c>
      <c r="D3594" s="15" t="s">
        <v>572</v>
      </c>
      <c r="E3594" s="15" t="n">
        <v>3</v>
      </c>
      <c r="H3594" s="10"/>
      <c r="I3594" s="21"/>
      <c r="M3594" s="10"/>
      <c r="N3594" s="10"/>
      <c r="P3594" s="10"/>
      <c r="Q3594" s="22"/>
    </row>
    <row r="3595" customFormat="false" ht="15.75" hidden="false" customHeight="false" outlineLevel="0" collapsed="false">
      <c r="A3595" s="20" t="n">
        <v>46127</v>
      </c>
      <c r="B3595" s="15" t="s">
        <v>472</v>
      </c>
      <c r="C3595" s="15" t="s">
        <v>69</v>
      </c>
      <c r="D3595" s="15" t="s">
        <v>535</v>
      </c>
      <c r="E3595" s="15" t="n">
        <v>3</v>
      </c>
      <c r="H3595" s="10"/>
      <c r="I3595" s="21"/>
      <c r="M3595" s="10"/>
      <c r="N3595" s="10"/>
      <c r="P3595" s="10"/>
      <c r="Q3595" s="22"/>
    </row>
    <row r="3596" customFormat="false" ht="15.75" hidden="false" customHeight="false" outlineLevel="0" collapsed="false">
      <c r="A3596" s="20" t="n">
        <v>46127</v>
      </c>
      <c r="B3596" s="15" t="s">
        <v>472</v>
      </c>
      <c r="C3596" s="15" t="s">
        <v>25</v>
      </c>
      <c r="D3596" s="15" t="s">
        <v>26</v>
      </c>
      <c r="E3596" s="15" t="n">
        <v>3</v>
      </c>
      <c r="H3596" s="10"/>
      <c r="I3596" s="21"/>
      <c r="M3596" s="10"/>
      <c r="N3596" s="10"/>
      <c r="P3596" s="10"/>
      <c r="Q3596" s="22"/>
    </row>
    <row r="3597" customFormat="false" ht="15.75" hidden="false" customHeight="false" outlineLevel="0" collapsed="false">
      <c r="A3597" s="20" t="n">
        <v>46127</v>
      </c>
      <c r="B3597" s="15" t="s">
        <v>475</v>
      </c>
      <c r="C3597" s="15" t="s">
        <v>69</v>
      </c>
      <c r="D3597" s="15" t="s">
        <v>535</v>
      </c>
      <c r="E3597" s="15" t="n">
        <v>2</v>
      </c>
      <c r="H3597" s="10"/>
      <c r="I3597" s="21"/>
      <c r="M3597" s="10"/>
      <c r="N3597" s="10"/>
      <c r="P3597" s="10"/>
      <c r="Q3597" s="22"/>
    </row>
    <row r="3598" customFormat="false" ht="15.75" hidden="false" customHeight="false" outlineLevel="0" collapsed="false">
      <c r="A3598" s="20" t="n">
        <v>46127</v>
      </c>
      <c r="B3598" s="15" t="s">
        <v>475</v>
      </c>
      <c r="C3598" s="15" t="s">
        <v>33</v>
      </c>
      <c r="D3598" s="15" t="s">
        <v>536</v>
      </c>
      <c r="E3598" s="15" t="n">
        <v>2</v>
      </c>
      <c r="H3598" s="10"/>
      <c r="I3598" s="21"/>
      <c r="M3598" s="10"/>
      <c r="N3598" s="10"/>
      <c r="P3598" s="10"/>
      <c r="Q3598" s="22"/>
    </row>
    <row r="3599" customFormat="false" ht="15.75" hidden="false" customHeight="false" outlineLevel="0" collapsed="false">
      <c r="A3599" s="20" t="n">
        <v>46127</v>
      </c>
      <c r="B3599" s="15" t="s">
        <v>475</v>
      </c>
      <c r="C3599" s="15" t="s">
        <v>555</v>
      </c>
      <c r="D3599" s="15" t="s">
        <v>556</v>
      </c>
      <c r="E3599" s="15" t="n">
        <v>2</v>
      </c>
      <c r="H3599" s="10"/>
      <c r="I3599" s="21"/>
      <c r="M3599" s="10"/>
      <c r="N3599" s="10"/>
      <c r="P3599" s="10"/>
      <c r="Q3599" s="22"/>
    </row>
    <row r="3600" customFormat="false" ht="15.75" hidden="false" customHeight="false" outlineLevel="0" collapsed="false">
      <c r="A3600" s="20" t="n">
        <v>46127</v>
      </c>
      <c r="B3600" s="15" t="s">
        <v>475</v>
      </c>
      <c r="C3600" s="15" t="s">
        <v>547</v>
      </c>
      <c r="D3600" s="15" t="s">
        <v>548</v>
      </c>
      <c r="E3600" s="15" t="n">
        <v>6</v>
      </c>
      <c r="H3600" s="10"/>
      <c r="I3600" s="21"/>
      <c r="M3600" s="10"/>
      <c r="N3600" s="10"/>
      <c r="P3600" s="10"/>
      <c r="Q3600" s="22"/>
    </row>
    <row r="3601" customFormat="false" ht="15.75" hidden="false" customHeight="false" outlineLevel="0" collapsed="false">
      <c r="A3601" s="20" t="n">
        <v>46127</v>
      </c>
      <c r="B3601" s="15" t="s">
        <v>475</v>
      </c>
      <c r="C3601" s="15" t="s">
        <v>557</v>
      </c>
      <c r="D3601" s="15" t="s">
        <v>558</v>
      </c>
      <c r="E3601" s="15" t="n">
        <v>2</v>
      </c>
      <c r="H3601" s="10"/>
      <c r="I3601" s="21"/>
      <c r="M3601" s="10"/>
      <c r="N3601" s="10"/>
      <c r="P3601" s="10"/>
      <c r="Q3601" s="22"/>
    </row>
    <row r="3602" customFormat="false" ht="15.75" hidden="false" customHeight="false" outlineLevel="0" collapsed="false">
      <c r="A3602" s="20" t="n">
        <v>46127</v>
      </c>
      <c r="B3602" s="15" t="s">
        <v>486</v>
      </c>
      <c r="C3602" s="15" t="s">
        <v>55</v>
      </c>
      <c r="D3602" s="15" t="s">
        <v>539</v>
      </c>
      <c r="E3602" s="15" t="n">
        <v>1</v>
      </c>
      <c r="H3602" s="10"/>
      <c r="I3602" s="21"/>
      <c r="M3602" s="10"/>
      <c r="N3602" s="10"/>
      <c r="P3602" s="10"/>
      <c r="Q3602" s="22"/>
    </row>
    <row r="3603" customFormat="false" ht="15.75" hidden="false" customHeight="false" outlineLevel="0" collapsed="false">
      <c r="A3603" s="20" t="n">
        <v>46127</v>
      </c>
      <c r="B3603" s="15" t="s">
        <v>486</v>
      </c>
      <c r="C3603" s="15" t="s">
        <v>81</v>
      </c>
      <c r="D3603" s="15" t="s">
        <v>534</v>
      </c>
      <c r="E3603" s="15" t="n">
        <v>4</v>
      </c>
      <c r="H3603" s="10"/>
      <c r="I3603" s="21"/>
      <c r="M3603" s="10"/>
      <c r="N3603" s="10"/>
      <c r="P3603" s="10"/>
      <c r="Q3603" s="22"/>
    </row>
    <row r="3604" customFormat="false" ht="15.75" hidden="false" customHeight="false" outlineLevel="0" collapsed="false">
      <c r="A3604" s="20" t="n">
        <v>46127</v>
      </c>
      <c r="B3604" s="15" t="s">
        <v>486</v>
      </c>
      <c r="C3604" s="15" t="s">
        <v>69</v>
      </c>
      <c r="D3604" s="15" t="s">
        <v>535</v>
      </c>
      <c r="E3604" s="15" t="n">
        <v>5</v>
      </c>
      <c r="H3604" s="10"/>
      <c r="I3604" s="21"/>
      <c r="M3604" s="10"/>
      <c r="N3604" s="10"/>
      <c r="P3604" s="10"/>
      <c r="Q3604" s="22"/>
    </row>
    <row r="3605" customFormat="false" ht="15.75" hidden="false" customHeight="false" outlineLevel="0" collapsed="false">
      <c r="A3605" s="20" t="n">
        <v>46127</v>
      </c>
      <c r="B3605" s="15" t="s">
        <v>486</v>
      </c>
      <c r="C3605" s="15" t="s">
        <v>25</v>
      </c>
      <c r="D3605" s="15" t="s">
        <v>26</v>
      </c>
      <c r="E3605" s="15" t="n">
        <v>1</v>
      </c>
      <c r="H3605" s="10"/>
      <c r="I3605" s="21"/>
      <c r="M3605" s="10"/>
      <c r="N3605" s="10"/>
      <c r="P3605" s="10"/>
      <c r="Q3605" s="22"/>
    </row>
    <row r="3606" customFormat="false" ht="15.75" hidden="false" customHeight="false" outlineLevel="0" collapsed="false">
      <c r="A3606" s="20" t="n">
        <v>46127</v>
      </c>
      <c r="B3606" s="15" t="s">
        <v>486</v>
      </c>
      <c r="C3606" s="15" t="s">
        <v>11</v>
      </c>
      <c r="D3606" s="15" t="s">
        <v>572</v>
      </c>
      <c r="E3606" s="15" t="n">
        <v>1</v>
      </c>
      <c r="H3606" s="10"/>
      <c r="I3606" s="21"/>
      <c r="M3606" s="10"/>
      <c r="N3606" s="10"/>
      <c r="P3606" s="10"/>
      <c r="Q3606" s="22"/>
    </row>
    <row r="3607" customFormat="false" ht="15.75" hidden="false" customHeight="false" outlineLevel="0" collapsed="false">
      <c r="A3607" s="20" t="n">
        <v>46127</v>
      </c>
      <c r="B3607" s="15" t="s">
        <v>486</v>
      </c>
      <c r="C3607" s="15" t="s">
        <v>555</v>
      </c>
      <c r="D3607" s="15" t="s">
        <v>556</v>
      </c>
      <c r="E3607" s="15" t="n">
        <v>1</v>
      </c>
      <c r="H3607" s="10"/>
      <c r="I3607" s="21"/>
      <c r="M3607" s="10"/>
      <c r="N3607" s="10"/>
      <c r="P3607" s="10"/>
      <c r="Q3607" s="22"/>
    </row>
    <row r="3608" customFormat="false" ht="15.75" hidden="false" customHeight="false" outlineLevel="0" collapsed="false">
      <c r="A3608" s="20" t="n">
        <v>46127</v>
      </c>
      <c r="B3608" s="15" t="s">
        <v>486</v>
      </c>
      <c r="C3608" s="15" t="s">
        <v>543</v>
      </c>
      <c r="D3608" s="15" t="s">
        <v>544</v>
      </c>
      <c r="E3608" s="15" t="n">
        <v>2</v>
      </c>
      <c r="H3608" s="10"/>
      <c r="I3608" s="21"/>
      <c r="M3608" s="10"/>
      <c r="N3608" s="10"/>
      <c r="P3608" s="10"/>
      <c r="Q3608" s="22"/>
    </row>
    <row r="3609" customFormat="false" ht="15.75" hidden="false" customHeight="false" outlineLevel="0" collapsed="false">
      <c r="A3609" s="20" t="n">
        <v>46127</v>
      </c>
      <c r="B3609" s="15" t="s">
        <v>486</v>
      </c>
      <c r="C3609" s="15" t="s">
        <v>545</v>
      </c>
      <c r="D3609" s="15" t="s">
        <v>546</v>
      </c>
      <c r="E3609" s="15" t="n">
        <v>1</v>
      </c>
      <c r="H3609" s="10"/>
      <c r="I3609" s="21"/>
      <c r="M3609" s="10"/>
      <c r="N3609" s="10"/>
      <c r="P3609" s="10"/>
      <c r="Q3609" s="22"/>
    </row>
    <row r="3610" customFormat="false" ht="15.75" hidden="false" customHeight="false" outlineLevel="0" collapsed="false">
      <c r="A3610" s="20" t="n">
        <v>46127</v>
      </c>
      <c r="B3610" s="15" t="s">
        <v>486</v>
      </c>
      <c r="C3610" s="15" t="s">
        <v>77</v>
      </c>
      <c r="D3610" s="15" t="s">
        <v>78</v>
      </c>
      <c r="E3610" s="15" t="n">
        <v>2</v>
      </c>
      <c r="H3610" s="10"/>
      <c r="I3610" s="21"/>
      <c r="M3610" s="10"/>
      <c r="N3610" s="10"/>
      <c r="P3610" s="10"/>
      <c r="Q3610" s="22"/>
    </row>
    <row r="3611" customFormat="false" ht="15.75" hidden="false" customHeight="false" outlineLevel="0" collapsed="false">
      <c r="A3611" s="20" t="n">
        <v>46127</v>
      </c>
      <c r="B3611" s="15" t="s">
        <v>486</v>
      </c>
      <c r="C3611" s="15" t="s">
        <v>33</v>
      </c>
      <c r="D3611" s="15" t="s">
        <v>536</v>
      </c>
      <c r="E3611" s="15" t="n">
        <v>4</v>
      </c>
      <c r="H3611" s="10"/>
      <c r="I3611" s="21"/>
      <c r="M3611" s="10"/>
      <c r="N3611" s="10"/>
      <c r="P3611" s="10"/>
      <c r="Q3611" s="22"/>
    </row>
    <row r="3612" customFormat="false" ht="15.75" hidden="false" customHeight="false" outlineLevel="0" collapsed="false">
      <c r="A3612" s="20" t="n">
        <v>46127</v>
      </c>
      <c r="B3612" s="15" t="s">
        <v>486</v>
      </c>
      <c r="C3612" s="15" t="s">
        <v>578</v>
      </c>
      <c r="D3612" s="15" t="s">
        <v>579</v>
      </c>
      <c r="E3612" s="15" t="n">
        <v>1</v>
      </c>
      <c r="H3612" s="10"/>
      <c r="I3612" s="21"/>
      <c r="M3612" s="10"/>
      <c r="N3612" s="10"/>
      <c r="P3612" s="10"/>
      <c r="Q3612" s="22"/>
    </row>
    <row r="3613" customFormat="false" ht="15.75" hidden="false" customHeight="false" outlineLevel="0" collapsed="false">
      <c r="A3613" s="20" t="n">
        <v>46127</v>
      </c>
      <c r="B3613" s="15" t="s">
        <v>486</v>
      </c>
      <c r="C3613" s="15" t="s">
        <v>59</v>
      </c>
      <c r="D3613" s="15" t="s">
        <v>562</v>
      </c>
      <c r="E3613" s="15" t="n">
        <v>1</v>
      </c>
      <c r="H3613" s="10"/>
      <c r="I3613" s="21"/>
      <c r="M3613" s="10"/>
      <c r="N3613" s="10"/>
      <c r="P3613" s="10"/>
      <c r="Q3613" s="22"/>
    </row>
    <row r="3614" customFormat="false" ht="15.75" hidden="false" customHeight="false" outlineLevel="0" collapsed="false">
      <c r="A3614" s="20" t="n">
        <v>46127</v>
      </c>
      <c r="B3614" s="15" t="s">
        <v>486</v>
      </c>
      <c r="C3614" s="15" t="s">
        <v>79</v>
      </c>
      <c r="D3614" s="15" t="s">
        <v>564</v>
      </c>
      <c r="E3614" s="15" t="n">
        <v>2</v>
      </c>
      <c r="H3614" s="10"/>
      <c r="I3614" s="21"/>
      <c r="M3614" s="10"/>
      <c r="N3614" s="10"/>
      <c r="P3614" s="10"/>
      <c r="Q3614" s="22"/>
    </row>
    <row r="3615" customFormat="false" ht="15.75" hidden="false" customHeight="false" outlineLevel="0" collapsed="false">
      <c r="A3615" s="20" t="n">
        <v>46127</v>
      </c>
      <c r="B3615" s="15" t="s">
        <v>489</v>
      </c>
      <c r="C3615" s="15" t="s">
        <v>31</v>
      </c>
      <c r="D3615" s="15" t="s">
        <v>559</v>
      </c>
      <c r="E3615" s="15" t="n">
        <v>2</v>
      </c>
      <c r="H3615" s="10"/>
      <c r="I3615" s="21"/>
      <c r="M3615" s="10"/>
      <c r="N3615" s="10"/>
      <c r="P3615" s="10"/>
      <c r="Q3615" s="22"/>
    </row>
    <row r="3616" customFormat="false" ht="15.75" hidden="false" customHeight="false" outlineLevel="0" collapsed="false">
      <c r="A3616" s="20" t="n">
        <v>46127</v>
      </c>
      <c r="B3616" s="15" t="s">
        <v>489</v>
      </c>
      <c r="C3616" s="15" t="s">
        <v>43</v>
      </c>
      <c r="D3616" s="15" t="s">
        <v>538</v>
      </c>
      <c r="E3616" s="15" t="n">
        <v>3</v>
      </c>
      <c r="H3616" s="10"/>
      <c r="I3616" s="21"/>
      <c r="M3616" s="10"/>
      <c r="N3616" s="10"/>
      <c r="P3616" s="10"/>
      <c r="Q3616" s="22"/>
    </row>
    <row r="3617" customFormat="false" ht="15.75" hidden="false" customHeight="false" outlineLevel="0" collapsed="false">
      <c r="A3617" s="20" t="n">
        <v>46127</v>
      </c>
      <c r="B3617" s="15" t="s">
        <v>489</v>
      </c>
      <c r="C3617" s="15" t="s">
        <v>81</v>
      </c>
      <c r="D3617" s="15" t="s">
        <v>534</v>
      </c>
      <c r="E3617" s="15" t="n">
        <v>5</v>
      </c>
      <c r="H3617" s="10"/>
      <c r="I3617" s="21"/>
      <c r="M3617" s="10"/>
      <c r="N3617" s="10"/>
      <c r="P3617" s="10"/>
      <c r="Q3617" s="22"/>
    </row>
    <row r="3618" customFormat="false" ht="15.75" hidden="false" customHeight="false" outlineLevel="0" collapsed="false">
      <c r="A3618" s="20" t="n">
        <v>46127</v>
      </c>
      <c r="B3618" s="15" t="s">
        <v>489</v>
      </c>
      <c r="C3618" s="15" t="s">
        <v>547</v>
      </c>
      <c r="D3618" s="15" t="s">
        <v>548</v>
      </c>
      <c r="E3618" s="15" t="n">
        <v>6</v>
      </c>
      <c r="H3618" s="10"/>
      <c r="I3618" s="21"/>
      <c r="M3618" s="10"/>
      <c r="N3618" s="10"/>
      <c r="P3618" s="10"/>
      <c r="Q3618" s="22"/>
    </row>
    <row r="3619" customFormat="false" ht="15.75" hidden="false" customHeight="false" outlineLevel="0" collapsed="false">
      <c r="A3619" s="20" t="n">
        <v>46127</v>
      </c>
      <c r="B3619" s="15" t="s">
        <v>489</v>
      </c>
      <c r="C3619" s="15" t="s">
        <v>69</v>
      </c>
      <c r="D3619" s="15" t="s">
        <v>535</v>
      </c>
      <c r="E3619" s="15" t="n">
        <v>4</v>
      </c>
      <c r="H3619" s="10"/>
      <c r="I3619" s="21"/>
      <c r="M3619" s="10"/>
      <c r="N3619" s="10"/>
      <c r="P3619" s="10"/>
      <c r="Q3619" s="22"/>
    </row>
    <row r="3620" customFormat="false" ht="15.75" hidden="false" customHeight="false" outlineLevel="0" collapsed="false">
      <c r="A3620" s="20" t="n">
        <v>46127</v>
      </c>
      <c r="B3620" s="15" t="s">
        <v>489</v>
      </c>
      <c r="C3620" s="15" t="s">
        <v>33</v>
      </c>
      <c r="D3620" s="15" t="s">
        <v>536</v>
      </c>
      <c r="E3620" s="15" t="n">
        <v>4</v>
      </c>
      <c r="H3620" s="10"/>
      <c r="I3620" s="21"/>
      <c r="M3620" s="10"/>
      <c r="N3620" s="10"/>
      <c r="P3620" s="10"/>
      <c r="Q3620" s="22"/>
    </row>
    <row r="3621" customFormat="false" ht="15.75" hidden="false" customHeight="false" outlineLevel="0" collapsed="false">
      <c r="A3621" s="20" t="n">
        <v>46127</v>
      </c>
      <c r="B3621" s="15" t="s">
        <v>489</v>
      </c>
      <c r="C3621" s="15" t="s">
        <v>545</v>
      </c>
      <c r="D3621" s="15" t="s">
        <v>546</v>
      </c>
      <c r="E3621" s="15" t="n">
        <v>2</v>
      </c>
      <c r="H3621" s="10"/>
      <c r="I3621" s="21"/>
      <c r="M3621" s="10"/>
      <c r="N3621" s="10"/>
      <c r="P3621" s="10"/>
      <c r="Q3621" s="22"/>
    </row>
    <row r="3622" customFormat="false" ht="15.75" hidden="false" customHeight="false" outlineLevel="0" collapsed="false">
      <c r="A3622" s="20" t="n">
        <v>46127</v>
      </c>
      <c r="B3622" s="15" t="s">
        <v>489</v>
      </c>
      <c r="C3622" s="15" t="s">
        <v>555</v>
      </c>
      <c r="D3622" s="15" t="s">
        <v>556</v>
      </c>
      <c r="E3622" s="15" t="n">
        <v>2</v>
      </c>
      <c r="H3622" s="10"/>
      <c r="I3622" s="21"/>
      <c r="M3622" s="10"/>
      <c r="N3622" s="10"/>
      <c r="P3622" s="10"/>
      <c r="Q3622" s="22"/>
    </row>
    <row r="3623" customFormat="false" ht="15.75" hidden="false" customHeight="false" outlineLevel="0" collapsed="false">
      <c r="A3623" s="20" t="n">
        <v>46127</v>
      </c>
      <c r="B3623" s="15" t="s">
        <v>489</v>
      </c>
      <c r="C3623" s="15" t="s">
        <v>75</v>
      </c>
      <c r="D3623" s="15" t="s">
        <v>560</v>
      </c>
      <c r="E3623" s="15" t="n">
        <v>1</v>
      </c>
      <c r="H3623" s="10"/>
      <c r="I3623" s="21"/>
      <c r="M3623" s="10"/>
      <c r="N3623" s="10"/>
      <c r="P3623" s="10"/>
      <c r="Q3623" s="22"/>
    </row>
    <row r="3624" customFormat="false" ht="15.75" hidden="false" customHeight="false" outlineLevel="0" collapsed="false">
      <c r="A3624" s="20" t="n">
        <v>46127</v>
      </c>
      <c r="B3624" s="15" t="s">
        <v>489</v>
      </c>
      <c r="C3624" s="15" t="s">
        <v>77</v>
      </c>
      <c r="D3624" s="15" t="s">
        <v>78</v>
      </c>
      <c r="E3624" s="15" t="n">
        <v>2</v>
      </c>
      <c r="H3624" s="10"/>
      <c r="I3624" s="21"/>
      <c r="M3624" s="10"/>
      <c r="N3624" s="10"/>
      <c r="P3624" s="10"/>
      <c r="Q3624" s="22"/>
    </row>
    <row r="3625" customFormat="false" ht="15.75" hidden="false" customHeight="false" outlineLevel="0" collapsed="false">
      <c r="A3625" s="20" t="n">
        <v>46127</v>
      </c>
      <c r="B3625" s="15" t="s">
        <v>495</v>
      </c>
      <c r="C3625" s="15" t="s">
        <v>55</v>
      </c>
      <c r="D3625" s="15" t="s">
        <v>539</v>
      </c>
      <c r="E3625" s="15" t="n">
        <v>1</v>
      </c>
      <c r="H3625" s="10"/>
      <c r="I3625" s="21"/>
      <c r="M3625" s="10"/>
      <c r="N3625" s="10"/>
      <c r="P3625" s="10"/>
      <c r="Q3625" s="22"/>
    </row>
    <row r="3626" customFormat="false" ht="15.75" hidden="false" customHeight="false" outlineLevel="0" collapsed="false">
      <c r="A3626" s="20" t="n">
        <v>46127</v>
      </c>
      <c r="B3626" s="15" t="s">
        <v>495</v>
      </c>
      <c r="C3626" s="15" t="s">
        <v>81</v>
      </c>
      <c r="D3626" s="15" t="s">
        <v>534</v>
      </c>
      <c r="E3626" s="15" t="n">
        <v>3</v>
      </c>
      <c r="H3626" s="10"/>
      <c r="I3626" s="21"/>
      <c r="M3626" s="10"/>
      <c r="N3626" s="10"/>
      <c r="P3626" s="10"/>
      <c r="Q3626" s="22"/>
    </row>
    <row r="3627" customFormat="false" ht="15.75" hidden="false" customHeight="false" outlineLevel="0" collapsed="false">
      <c r="A3627" s="20" t="n">
        <v>46127</v>
      </c>
      <c r="B3627" s="15" t="s">
        <v>495</v>
      </c>
      <c r="C3627" s="15" t="s">
        <v>75</v>
      </c>
      <c r="D3627" s="15" t="s">
        <v>560</v>
      </c>
      <c r="E3627" s="15" t="n">
        <v>1</v>
      </c>
      <c r="H3627" s="10"/>
      <c r="I3627" s="21"/>
      <c r="M3627" s="10"/>
      <c r="N3627" s="10"/>
      <c r="P3627" s="10"/>
      <c r="Q3627" s="22"/>
    </row>
    <row r="3628" customFormat="false" ht="15.75" hidden="false" customHeight="false" outlineLevel="0" collapsed="false">
      <c r="A3628" s="20" t="n">
        <v>46127</v>
      </c>
      <c r="B3628" s="15" t="s">
        <v>495</v>
      </c>
      <c r="C3628" s="15" t="s">
        <v>43</v>
      </c>
      <c r="D3628" s="15" t="s">
        <v>538</v>
      </c>
      <c r="E3628" s="15" t="n">
        <v>1</v>
      </c>
      <c r="H3628" s="10"/>
      <c r="I3628" s="21"/>
      <c r="M3628" s="10"/>
      <c r="N3628" s="10"/>
      <c r="P3628" s="10"/>
      <c r="Q3628" s="22"/>
    </row>
    <row r="3629" customFormat="false" ht="15.75" hidden="false" customHeight="false" outlineLevel="0" collapsed="false">
      <c r="A3629" s="20" t="n">
        <v>46127</v>
      </c>
      <c r="B3629" s="15" t="s">
        <v>495</v>
      </c>
      <c r="C3629" s="15" t="s">
        <v>69</v>
      </c>
      <c r="D3629" s="15" t="s">
        <v>535</v>
      </c>
      <c r="E3629" s="15" t="n">
        <v>5</v>
      </c>
      <c r="H3629" s="10"/>
      <c r="I3629" s="21"/>
      <c r="M3629" s="10"/>
      <c r="N3629" s="10"/>
      <c r="P3629" s="10"/>
      <c r="Q3629" s="22"/>
    </row>
    <row r="3630" customFormat="false" ht="15.75" hidden="false" customHeight="false" outlineLevel="0" collapsed="false">
      <c r="A3630" s="20" t="n">
        <v>46127</v>
      </c>
      <c r="B3630" s="15" t="s">
        <v>495</v>
      </c>
      <c r="C3630" s="15" t="s">
        <v>547</v>
      </c>
      <c r="D3630" s="15" t="s">
        <v>548</v>
      </c>
      <c r="E3630" s="15" t="n">
        <v>3</v>
      </c>
      <c r="H3630" s="10"/>
      <c r="I3630" s="21"/>
      <c r="M3630" s="10"/>
      <c r="N3630" s="10"/>
      <c r="P3630" s="10"/>
      <c r="Q3630" s="22"/>
    </row>
    <row r="3631" customFormat="false" ht="15.75" hidden="false" customHeight="false" outlineLevel="0" collapsed="false">
      <c r="A3631" s="20" t="n">
        <v>46127</v>
      </c>
      <c r="B3631" s="15" t="s">
        <v>495</v>
      </c>
      <c r="C3631" s="15" t="s">
        <v>25</v>
      </c>
      <c r="D3631" s="15" t="s">
        <v>26</v>
      </c>
      <c r="E3631" s="15" t="n">
        <v>3</v>
      </c>
      <c r="H3631" s="10"/>
      <c r="I3631" s="21"/>
      <c r="M3631" s="10"/>
      <c r="N3631" s="10"/>
      <c r="P3631" s="10"/>
      <c r="Q3631" s="22"/>
    </row>
    <row r="3632" customFormat="false" ht="15.75" hidden="false" customHeight="false" outlineLevel="0" collapsed="false">
      <c r="A3632" s="20" t="n">
        <v>46127</v>
      </c>
      <c r="B3632" s="15" t="s">
        <v>495</v>
      </c>
      <c r="C3632" s="15" t="s">
        <v>543</v>
      </c>
      <c r="D3632" s="15" t="s">
        <v>544</v>
      </c>
      <c r="E3632" s="15" t="n">
        <v>6</v>
      </c>
      <c r="H3632" s="10"/>
      <c r="I3632" s="21"/>
      <c r="M3632" s="10"/>
      <c r="N3632" s="10"/>
      <c r="P3632" s="10"/>
      <c r="Q3632" s="22"/>
    </row>
    <row r="3633" customFormat="false" ht="15.75" hidden="false" customHeight="false" outlineLevel="0" collapsed="false">
      <c r="A3633" s="20" t="n">
        <v>46127</v>
      </c>
      <c r="B3633" s="15" t="s">
        <v>495</v>
      </c>
      <c r="C3633" s="15" t="s">
        <v>545</v>
      </c>
      <c r="D3633" s="15" t="s">
        <v>546</v>
      </c>
      <c r="E3633" s="15" t="n">
        <v>3</v>
      </c>
      <c r="H3633" s="10"/>
      <c r="I3633" s="21"/>
      <c r="M3633" s="10"/>
      <c r="N3633" s="10"/>
      <c r="P3633" s="10"/>
      <c r="Q3633" s="22"/>
    </row>
    <row r="3634" customFormat="false" ht="15.75" hidden="false" customHeight="false" outlineLevel="0" collapsed="false">
      <c r="A3634" s="20" t="n">
        <v>46127</v>
      </c>
      <c r="B3634" s="15" t="s">
        <v>495</v>
      </c>
      <c r="C3634" s="15" t="s">
        <v>63</v>
      </c>
      <c r="D3634" s="15" t="s">
        <v>551</v>
      </c>
      <c r="E3634" s="15" t="n">
        <v>1</v>
      </c>
      <c r="H3634" s="10"/>
      <c r="I3634" s="21"/>
      <c r="M3634" s="10"/>
      <c r="N3634" s="10"/>
      <c r="P3634" s="10"/>
      <c r="Q3634" s="22"/>
    </row>
    <row r="3635" customFormat="false" ht="15.75" hidden="false" customHeight="false" outlineLevel="0" collapsed="false">
      <c r="A3635" s="20" t="n">
        <v>46127</v>
      </c>
      <c r="B3635" s="15" t="s">
        <v>495</v>
      </c>
      <c r="C3635" s="15" t="s">
        <v>77</v>
      </c>
      <c r="D3635" s="15" t="s">
        <v>78</v>
      </c>
      <c r="E3635" s="15" t="n">
        <v>3</v>
      </c>
      <c r="H3635" s="10"/>
      <c r="I3635" s="21"/>
      <c r="M3635" s="10"/>
      <c r="N3635" s="10"/>
      <c r="P3635" s="10"/>
      <c r="Q3635" s="22"/>
    </row>
    <row r="3636" customFormat="false" ht="15.75" hidden="false" customHeight="false" outlineLevel="0" collapsed="false">
      <c r="A3636" s="20" t="n">
        <v>46127</v>
      </c>
      <c r="B3636" s="15" t="s">
        <v>495</v>
      </c>
      <c r="C3636" s="15" t="s">
        <v>61</v>
      </c>
      <c r="D3636" s="15" t="s">
        <v>576</v>
      </c>
      <c r="E3636" s="15" t="n">
        <v>1</v>
      </c>
      <c r="H3636" s="10"/>
      <c r="I3636" s="21"/>
      <c r="M3636" s="10"/>
      <c r="N3636" s="10"/>
      <c r="P3636" s="10"/>
      <c r="Q3636" s="22"/>
    </row>
    <row r="3637" customFormat="false" ht="15.75" hidden="false" customHeight="false" outlineLevel="0" collapsed="false">
      <c r="A3637" s="20" t="n">
        <v>46127</v>
      </c>
      <c r="B3637" s="15" t="s">
        <v>495</v>
      </c>
      <c r="C3637" s="15" t="s">
        <v>33</v>
      </c>
      <c r="D3637" s="15" t="s">
        <v>536</v>
      </c>
      <c r="E3637" s="15" t="n">
        <v>2</v>
      </c>
      <c r="H3637" s="10"/>
      <c r="I3637" s="21"/>
      <c r="M3637" s="10"/>
      <c r="N3637" s="10"/>
      <c r="P3637" s="10"/>
      <c r="Q3637" s="22"/>
    </row>
    <row r="3638" customFormat="false" ht="15.75" hidden="false" customHeight="false" outlineLevel="0" collapsed="false">
      <c r="A3638" s="20" t="n">
        <v>46127</v>
      </c>
      <c r="B3638" s="15" t="s">
        <v>495</v>
      </c>
      <c r="C3638" s="15" t="s">
        <v>59</v>
      </c>
      <c r="D3638" s="15" t="s">
        <v>562</v>
      </c>
      <c r="E3638" s="15" t="n">
        <v>2</v>
      </c>
      <c r="H3638" s="10"/>
      <c r="I3638" s="21"/>
      <c r="M3638" s="10"/>
      <c r="N3638" s="10"/>
      <c r="P3638" s="10"/>
      <c r="Q3638" s="22"/>
    </row>
    <row r="3639" customFormat="false" ht="15.75" hidden="false" customHeight="false" outlineLevel="0" collapsed="false">
      <c r="A3639" s="20" t="n">
        <v>46127</v>
      </c>
      <c r="B3639" s="15" t="s">
        <v>498</v>
      </c>
      <c r="C3639" s="15" t="s">
        <v>81</v>
      </c>
      <c r="D3639" s="15" t="s">
        <v>534</v>
      </c>
      <c r="E3639" s="15" t="n">
        <v>9</v>
      </c>
      <c r="H3639" s="10"/>
      <c r="I3639" s="21"/>
      <c r="M3639" s="10"/>
      <c r="N3639" s="10"/>
      <c r="P3639" s="10"/>
      <c r="Q3639" s="22"/>
    </row>
    <row r="3640" customFormat="false" ht="15.75" hidden="false" customHeight="false" outlineLevel="0" collapsed="false">
      <c r="A3640" s="20" t="n">
        <v>46127</v>
      </c>
      <c r="B3640" s="15" t="s">
        <v>498</v>
      </c>
      <c r="C3640" s="15" t="s">
        <v>543</v>
      </c>
      <c r="D3640" s="15" t="s">
        <v>544</v>
      </c>
      <c r="E3640" s="15" t="n">
        <v>1</v>
      </c>
      <c r="H3640" s="10"/>
      <c r="I3640" s="21"/>
      <c r="M3640" s="10"/>
      <c r="N3640" s="10"/>
      <c r="P3640" s="10"/>
      <c r="Q3640" s="22"/>
    </row>
    <row r="3641" customFormat="false" ht="15.75" hidden="false" customHeight="false" outlineLevel="0" collapsed="false">
      <c r="A3641" s="20" t="n">
        <v>46127</v>
      </c>
      <c r="B3641" s="15" t="s">
        <v>498</v>
      </c>
      <c r="C3641" s="15" t="s">
        <v>69</v>
      </c>
      <c r="D3641" s="15" t="s">
        <v>535</v>
      </c>
      <c r="E3641" s="15" t="n">
        <v>2</v>
      </c>
      <c r="H3641" s="10"/>
      <c r="I3641" s="21"/>
      <c r="M3641" s="10"/>
      <c r="N3641" s="10"/>
      <c r="P3641" s="10"/>
      <c r="Q3641" s="22"/>
    </row>
    <row r="3642" customFormat="false" ht="15.75" hidden="false" customHeight="false" outlineLevel="0" collapsed="false">
      <c r="A3642" s="20" t="n">
        <v>46127</v>
      </c>
      <c r="B3642" s="15" t="s">
        <v>498</v>
      </c>
      <c r="C3642" s="15" t="s">
        <v>33</v>
      </c>
      <c r="D3642" s="15" t="s">
        <v>536</v>
      </c>
      <c r="E3642" s="15" t="n">
        <v>3</v>
      </c>
      <c r="H3642" s="10"/>
      <c r="I3642" s="21"/>
      <c r="M3642" s="10"/>
      <c r="N3642" s="10"/>
      <c r="P3642" s="10"/>
      <c r="Q3642" s="22"/>
    </row>
    <row r="3643" customFormat="false" ht="15.75" hidden="false" customHeight="false" outlineLevel="0" collapsed="false">
      <c r="A3643" s="20" t="n">
        <v>46127</v>
      </c>
      <c r="B3643" s="15" t="s">
        <v>498</v>
      </c>
      <c r="C3643" s="15" t="s">
        <v>55</v>
      </c>
      <c r="D3643" s="15" t="s">
        <v>539</v>
      </c>
      <c r="E3643" s="15" t="n">
        <v>1</v>
      </c>
      <c r="H3643" s="10"/>
      <c r="I3643" s="21"/>
      <c r="M3643" s="10"/>
      <c r="N3643" s="10"/>
      <c r="P3643" s="10"/>
      <c r="Q3643" s="22"/>
    </row>
    <row r="3644" customFormat="false" ht="15.75" hidden="false" customHeight="false" outlineLevel="0" collapsed="false">
      <c r="A3644" s="20" t="n">
        <v>46127</v>
      </c>
      <c r="B3644" s="15" t="s">
        <v>498</v>
      </c>
      <c r="C3644" s="15" t="s">
        <v>59</v>
      </c>
      <c r="D3644" s="15" t="s">
        <v>562</v>
      </c>
      <c r="E3644" s="15" t="n">
        <v>1</v>
      </c>
      <c r="H3644" s="10"/>
      <c r="I3644" s="21"/>
      <c r="M3644" s="10"/>
      <c r="N3644" s="10"/>
      <c r="P3644" s="10"/>
      <c r="Q3644" s="22"/>
    </row>
    <row r="3645" customFormat="false" ht="15.75" hidden="false" customHeight="false" outlineLevel="0" collapsed="false">
      <c r="A3645" s="20" t="n">
        <v>46127</v>
      </c>
      <c r="B3645" s="15" t="s">
        <v>498</v>
      </c>
      <c r="C3645" s="15" t="s">
        <v>47</v>
      </c>
      <c r="D3645" s="15" t="s">
        <v>549</v>
      </c>
      <c r="E3645" s="15" t="n">
        <v>1</v>
      </c>
      <c r="H3645" s="10"/>
      <c r="I3645" s="21"/>
      <c r="M3645" s="10"/>
      <c r="N3645" s="10"/>
      <c r="P3645" s="10"/>
      <c r="Q3645" s="22"/>
    </row>
    <row r="3646" customFormat="false" ht="15.75" hidden="false" customHeight="false" outlineLevel="0" collapsed="false">
      <c r="A3646" s="20" t="n">
        <v>46127</v>
      </c>
      <c r="B3646" s="15" t="s">
        <v>498</v>
      </c>
      <c r="C3646" s="15" t="s">
        <v>75</v>
      </c>
      <c r="D3646" s="15" t="s">
        <v>560</v>
      </c>
      <c r="E3646" s="15" t="n">
        <v>1</v>
      </c>
      <c r="H3646" s="10"/>
      <c r="I3646" s="21"/>
      <c r="M3646" s="10"/>
      <c r="N3646" s="10"/>
      <c r="P3646" s="10"/>
      <c r="Q3646" s="22"/>
    </row>
    <row r="3647" customFormat="false" ht="15.75" hidden="false" customHeight="false" outlineLevel="0" collapsed="false">
      <c r="A3647" s="20" t="n">
        <v>46127</v>
      </c>
      <c r="B3647" s="15" t="s">
        <v>498</v>
      </c>
      <c r="C3647" s="15" t="s">
        <v>77</v>
      </c>
      <c r="D3647" s="15" t="s">
        <v>78</v>
      </c>
      <c r="E3647" s="15" t="n">
        <v>1</v>
      </c>
      <c r="H3647" s="10"/>
      <c r="I3647" s="21"/>
      <c r="M3647" s="10"/>
      <c r="N3647" s="10"/>
      <c r="P3647" s="10"/>
      <c r="Q3647" s="22"/>
    </row>
    <row r="3648" customFormat="false" ht="15.75" hidden="false" customHeight="false" outlineLevel="0" collapsed="false">
      <c r="A3648" s="20" t="n">
        <v>46127</v>
      </c>
      <c r="B3648" s="15" t="s">
        <v>504</v>
      </c>
      <c r="C3648" s="15" t="s">
        <v>47</v>
      </c>
      <c r="D3648" s="15" t="s">
        <v>549</v>
      </c>
      <c r="E3648" s="15" t="n">
        <v>6</v>
      </c>
      <c r="H3648" s="10"/>
      <c r="I3648" s="21"/>
      <c r="M3648" s="10"/>
      <c r="N3648" s="10"/>
      <c r="P3648" s="10"/>
      <c r="Q3648" s="22"/>
    </row>
    <row r="3649" customFormat="false" ht="15.75" hidden="false" customHeight="false" outlineLevel="0" collapsed="false">
      <c r="A3649" s="20" t="n">
        <v>46127</v>
      </c>
      <c r="B3649" s="15" t="s">
        <v>504</v>
      </c>
      <c r="C3649" s="15" t="s">
        <v>55</v>
      </c>
      <c r="D3649" s="15" t="s">
        <v>539</v>
      </c>
      <c r="E3649" s="15" t="n">
        <v>12</v>
      </c>
      <c r="H3649" s="10"/>
      <c r="I3649" s="21"/>
      <c r="M3649" s="10"/>
      <c r="N3649" s="10"/>
      <c r="P3649" s="10"/>
      <c r="Q3649" s="22"/>
    </row>
    <row r="3650" customFormat="false" ht="15.75" hidden="false" customHeight="false" outlineLevel="0" collapsed="false">
      <c r="A3650" s="20" t="n">
        <v>46127</v>
      </c>
      <c r="B3650" s="15" t="s">
        <v>504</v>
      </c>
      <c r="C3650" s="15" t="s">
        <v>81</v>
      </c>
      <c r="D3650" s="15" t="s">
        <v>534</v>
      </c>
      <c r="E3650" s="15" t="n">
        <v>18</v>
      </c>
      <c r="H3650" s="10"/>
      <c r="I3650" s="21"/>
      <c r="M3650" s="10"/>
      <c r="N3650" s="10"/>
      <c r="P3650" s="10"/>
      <c r="Q3650" s="22"/>
    </row>
    <row r="3651" customFormat="false" ht="15.75" hidden="false" customHeight="false" outlineLevel="0" collapsed="false">
      <c r="A3651" s="20" t="n">
        <v>46127</v>
      </c>
      <c r="B3651" s="15" t="s">
        <v>504</v>
      </c>
      <c r="C3651" s="15" t="s">
        <v>39</v>
      </c>
      <c r="D3651" s="15" t="s">
        <v>550</v>
      </c>
      <c r="E3651" s="15" t="n">
        <v>2</v>
      </c>
      <c r="H3651" s="10"/>
      <c r="I3651" s="21"/>
      <c r="M3651" s="10"/>
      <c r="N3651" s="10"/>
      <c r="P3651" s="10"/>
      <c r="Q3651" s="22"/>
    </row>
    <row r="3652" customFormat="false" ht="15.75" hidden="false" customHeight="false" outlineLevel="0" collapsed="false">
      <c r="A3652" s="20" t="n">
        <v>46127</v>
      </c>
      <c r="B3652" s="15" t="s">
        <v>504</v>
      </c>
      <c r="C3652" s="15" t="s">
        <v>63</v>
      </c>
      <c r="D3652" s="15" t="s">
        <v>551</v>
      </c>
      <c r="E3652" s="15" t="n">
        <v>2</v>
      </c>
      <c r="H3652" s="10"/>
      <c r="I3652" s="21"/>
      <c r="M3652" s="10"/>
      <c r="N3652" s="10"/>
      <c r="P3652" s="10"/>
      <c r="Q3652" s="22"/>
    </row>
    <row r="3653" customFormat="false" ht="15.75" hidden="false" customHeight="false" outlineLevel="0" collapsed="false">
      <c r="A3653" s="20" t="n">
        <v>46127</v>
      </c>
      <c r="B3653" s="15" t="s">
        <v>504</v>
      </c>
      <c r="C3653" s="15" t="s">
        <v>17</v>
      </c>
      <c r="D3653" s="15" t="s">
        <v>554</v>
      </c>
      <c r="E3653" s="15" t="n">
        <v>2</v>
      </c>
      <c r="H3653" s="10"/>
      <c r="I3653" s="21"/>
      <c r="M3653" s="10"/>
      <c r="N3653" s="10"/>
      <c r="P3653" s="10"/>
      <c r="Q3653" s="22"/>
    </row>
    <row r="3654" customFormat="false" ht="15.75" hidden="false" customHeight="false" outlineLevel="0" collapsed="false">
      <c r="A3654" s="20" t="n">
        <v>46127</v>
      </c>
      <c r="B3654" s="15" t="s">
        <v>508</v>
      </c>
      <c r="C3654" s="15" t="s">
        <v>55</v>
      </c>
      <c r="D3654" s="15" t="s">
        <v>539</v>
      </c>
      <c r="E3654" s="15" t="n">
        <v>5</v>
      </c>
      <c r="H3654" s="10"/>
      <c r="I3654" s="21"/>
      <c r="M3654" s="10"/>
      <c r="N3654" s="10"/>
      <c r="P3654" s="10"/>
      <c r="Q3654" s="22"/>
    </row>
    <row r="3655" customFormat="false" ht="15.75" hidden="false" customHeight="false" outlineLevel="0" collapsed="false">
      <c r="A3655" s="20" t="n">
        <v>46127</v>
      </c>
      <c r="B3655" s="15" t="s">
        <v>508</v>
      </c>
      <c r="C3655" s="15" t="s">
        <v>81</v>
      </c>
      <c r="D3655" s="15" t="s">
        <v>534</v>
      </c>
      <c r="E3655" s="15" t="n">
        <v>9</v>
      </c>
      <c r="H3655" s="10"/>
      <c r="I3655" s="21"/>
      <c r="M3655" s="10"/>
      <c r="N3655" s="10"/>
      <c r="P3655" s="10"/>
      <c r="Q3655" s="22"/>
    </row>
    <row r="3656" customFormat="false" ht="15.75" hidden="false" customHeight="false" outlineLevel="0" collapsed="false">
      <c r="A3656" s="20" t="n">
        <v>46127</v>
      </c>
      <c r="B3656" s="15" t="s">
        <v>508</v>
      </c>
      <c r="C3656" s="15" t="s">
        <v>39</v>
      </c>
      <c r="D3656" s="15" t="s">
        <v>550</v>
      </c>
      <c r="E3656" s="15" t="n">
        <v>2</v>
      </c>
      <c r="H3656" s="10"/>
      <c r="I3656" s="21"/>
      <c r="M3656" s="10"/>
      <c r="N3656" s="10"/>
      <c r="P3656" s="10"/>
      <c r="Q3656" s="22"/>
    </row>
    <row r="3657" customFormat="false" ht="15.75" hidden="false" customHeight="false" outlineLevel="0" collapsed="false">
      <c r="A3657" s="20" t="n">
        <v>46127</v>
      </c>
      <c r="B3657" s="15" t="s">
        <v>508</v>
      </c>
      <c r="C3657" s="15" t="s">
        <v>47</v>
      </c>
      <c r="D3657" s="15" t="s">
        <v>549</v>
      </c>
      <c r="E3657" s="15" t="n">
        <v>2</v>
      </c>
      <c r="H3657" s="10"/>
      <c r="I3657" s="21"/>
      <c r="M3657" s="10"/>
      <c r="N3657" s="10"/>
      <c r="P3657" s="10"/>
      <c r="Q3657" s="22"/>
    </row>
    <row r="3658" customFormat="false" ht="15.75" hidden="false" customHeight="false" outlineLevel="0" collapsed="false">
      <c r="A3658" s="20" t="n">
        <v>46127</v>
      </c>
      <c r="B3658" s="15" t="s">
        <v>508</v>
      </c>
      <c r="C3658" s="15" t="s">
        <v>63</v>
      </c>
      <c r="D3658" s="15" t="s">
        <v>551</v>
      </c>
      <c r="E3658" s="15" t="n">
        <v>1</v>
      </c>
      <c r="H3658" s="10"/>
      <c r="I3658" s="21"/>
      <c r="M3658" s="10"/>
      <c r="N3658" s="10"/>
      <c r="P3658" s="10"/>
      <c r="Q3658" s="22"/>
    </row>
    <row r="3659" customFormat="false" ht="15.75" hidden="false" customHeight="false" outlineLevel="0" collapsed="false">
      <c r="A3659" s="20" t="n">
        <v>46127</v>
      </c>
      <c r="B3659" s="15" t="s">
        <v>509</v>
      </c>
      <c r="C3659" s="15" t="s">
        <v>69</v>
      </c>
      <c r="D3659" s="15" t="s">
        <v>535</v>
      </c>
      <c r="E3659" s="15" t="n">
        <v>6</v>
      </c>
      <c r="H3659" s="10"/>
      <c r="I3659" s="21"/>
      <c r="M3659" s="10"/>
      <c r="N3659" s="10"/>
      <c r="P3659" s="10"/>
      <c r="Q3659" s="22"/>
    </row>
    <row r="3660" customFormat="false" ht="15.75" hidden="false" customHeight="false" outlineLevel="0" collapsed="false">
      <c r="A3660" s="20" t="n">
        <v>46127</v>
      </c>
      <c r="B3660" s="15" t="s">
        <v>509</v>
      </c>
      <c r="C3660" s="15" t="s">
        <v>33</v>
      </c>
      <c r="D3660" s="15" t="s">
        <v>536</v>
      </c>
      <c r="E3660" s="15" t="n">
        <v>6</v>
      </c>
      <c r="H3660" s="10"/>
      <c r="I3660" s="21"/>
      <c r="M3660" s="10"/>
      <c r="N3660" s="10"/>
      <c r="P3660" s="10"/>
      <c r="Q3660" s="22"/>
    </row>
    <row r="3661" customFormat="false" ht="15.75" hidden="false" customHeight="false" outlineLevel="0" collapsed="false">
      <c r="A3661" s="20" t="n">
        <v>46127</v>
      </c>
      <c r="B3661" s="15" t="s">
        <v>509</v>
      </c>
      <c r="C3661" s="15" t="s">
        <v>55</v>
      </c>
      <c r="D3661" s="15" t="s">
        <v>539</v>
      </c>
      <c r="E3661" s="15" t="n">
        <v>3</v>
      </c>
      <c r="H3661" s="10"/>
      <c r="I3661" s="21"/>
      <c r="M3661" s="10"/>
      <c r="N3661" s="10"/>
      <c r="P3661" s="10"/>
      <c r="Q3661" s="22"/>
    </row>
    <row r="3662" customFormat="false" ht="15.75" hidden="false" customHeight="false" outlineLevel="0" collapsed="false">
      <c r="A3662" s="20" t="n">
        <v>46127</v>
      </c>
      <c r="B3662" s="15" t="s">
        <v>509</v>
      </c>
      <c r="C3662" s="15" t="s">
        <v>547</v>
      </c>
      <c r="D3662" s="15" t="s">
        <v>548</v>
      </c>
      <c r="E3662" s="15" t="n">
        <v>1</v>
      </c>
      <c r="H3662" s="10"/>
      <c r="I3662" s="21"/>
      <c r="M3662" s="10"/>
      <c r="N3662" s="10"/>
      <c r="P3662" s="10"/>
      <c r="Q3662" s="22"/>
    </row>
    <row r="3663" customFormat="false" ht="15.75" hidden="false" customHeight="false" outlineLevel="0" collapsed="false">
      <c r="A3663" s="20" t="n">
        <v>46127</v>
      </c>
      <c r="B3663" s="15" t="s">
        <v>509</v>
      </c>
      <c r="C3663" s="15" t="s">
        <v>81</v>
      </c>
      <c r="D3663" s="15" t="s">
        <v>534</v>
      </c>
      <c r="E3663" s="15" t="n">
        <v>2</v>
      </c>
      <c r="H3663" s="10"/>
      <c r="I3663" s="21"/>
      <c r="M3663" s="10"/>
      <c r="N3663" s="10"/>
      <c r="P3663" s="10"/>
      <c r="Q3663" s="22"/>
    </row>
    <row r="3664" customFormat="false" ht="15.75" hidden="false" customHeight="false" outlineLevel="0" collapsed="false">
      <c r="A3664" s="20" t="n">
        <v>46127</v>
      </c>
      <c r="B3664" s="15" t="s">
        <v>509</v>
      </c>
      <c r="C3664" s="15" t="s">
        <v>37</v>
      </c>
      <c r="D3664" s="15" t="s">
        <v>561</v>
      </c>
      <c r="E3664" s="15" t="n">
        <v>1</v>
      </c>
      <c r="H3664" s="10"/>
      <c r="I3664" s="21"/>
      <c r="M3664" s="10"/>
      <c r="N3664" s="10"/>
      <c r="P3664" s="10"/>
      <c r="Q3664" s="22"/>
    </row>
    <row r="3665" customFormat="false" ht="15.75" hidden="false" customHeight="false" outlineLevel="0" collapsed="false">
      <c r="A3665" s="20" t="n">
        <v>46128</v>
      </c>
      <c r="B3665" s="15" t="s">
        <v>453</v>
      </c>
      <c r="C3665" s="15" t="s">
        <v>47</v>
      </c>
      <c r="D3665" s="15" t="s">
        <v>549</v>
      </c>
      <c r="E3665" s="15" t="n">
        <v>2</v>
      </c>
      <c r="H3665" s="10"/>
      <c r="I3665" s="21"/>
      <c r="M3665" s="10"/>
      <c r="N3665" s="10"/>
      <c r="P3665" s="10"/>
      <c r="Q3665" s="22"/>
    </row>
    <row r="3666" customFormat="false" ht="15.75" hidden="false" customHeight="false" outlineLevel="0" collapsed="false">
      <c r="A3666" s="20" t="n">
        <v>46128</v>
      </c>
      <c r="B3666" s="15" t="s">
        <v>453</v>
      </c>
      <c r="C3666" s="15" t="s">
        <v>55</v>
      </c>
      <c r="D3666" s="15" t="s">
        <v>539</v>
      </c>
      <c r="E3666" s="15" t="n">
        <v>4</v>
      </c>
      <c r="H3666" s="10"/>
      <c r="I3666" s="21"/>
      <c r="M3666" s="10"/>
      <c r="N3666" s="10"/>
      <c r="P3666" s="10"/>
      <c r="Q3666" s="22"/>
    </row>
    <row r="3667" customFormat="false" ht="15.75" hidden="false" customHeight="false" outlineLevel="0" collapsed="false">
      <c r="A3667" s="20" t="n">
        <v>46128</v>
      </c>
      <c r="B3667" s="15" t="s">
        <v>453</v>
      </c>
      <c r="C3667" s="15" t="s">
        <v>81</v>
      </c>
      <c r="D3667" s="15" t="s">
        <v>534</v>
      </c>
      <c r="E3667" s="15" t="n">
        <v>8</v>
      </c>
      <c r="H3667" s="10"/>
      <c r="I3667" s="21"/>
      <c r="M3667" s="10"/>
      <c r="N3667" s="10"/>
      <c r="P3667" s="10"/>
      <c r="Q3667" s="22"/>
    </row>
    <row r="3668" customFormat="false" ht="15.75" hidden="false" customHeight="false" outlineLevel="0" collapsed="false">
      <c r="A3668" s="20" t="n">
        <v>46128</v>
      </c>
      <c r="B3668" s="15" t="s">
        <v>453</v>
      </c>
      <c r="C3668" s="15" t="s">
        <v>39</v>
      </c>
      <c r="D3668" s="15" t="s">
        <v>550</v>
      </c>
      <c r="E3668" s="15" t="n">
        <v>2</v>
      </c>
      <c r="H3668" s="10"/>
      <c r="I3668" s="21"/>
      <c r="M3668" s="10"/>
      <c r="N3668" s="10"/>
      <c r="P3668" s="10"/>
      <c r="Q3668" s="22"/>
    </row>
    <row r="3669" customFormat="false" ht="15.75" hidden="false" customHeight="false" outlineLevel="0" collapsed="false">
      <c r="A3669" s="20" t="n">
        <v>46128</v>
      </c>
      <c r="B3669" s="15" t="s">
        <v>453</v>
      </c>
      <c r="C3669" s="15" t="s">
        <v>63</v>
      </c>
      <c r="D3669" s="15" t="s">
        <v>551</v>
      </c>
      <c r="E3669" s="15" t="n">
        <v>1</v>
      </c>
      <c r="H3669" s="10"/>
      <c r="I3669" s="21"/>
      <c r="M3669" s="10"/>
      <c r="N3669" s="10"/>
      <c r="P3669" s="10"/>
      <c r="Q3669" s="22"/>
    </row>
    <row r="3670" customFormat="false" ht="15.75" hidden="false" customHeight="false" outlineLevel="0" collapsed="false">
      <c r="A3670" s="20" t="n">
        <v>46128</v>
      </c>
      <c r="B3670" s="15" t="s">
        <v>453</v>
      </c>
      <c r="C3670" s="15" t="s">
        <v>35</v>
      </c>
      <c r="D3670" s="15" t="s">
        <v>552</v>
      </c>
      <c r="E3670" s="15" t="n">
        <v>2</v>
      </c>
      <c r="H3670" s="10"/>
      <c r="I3670" s="21"/>
      <c r="M3670" s="10"/>
      <c r="N3670" s="10"/>
      <c r="P3670" s="10"/>
      <c r="Q3670" s="22"/>
    </row>
    <row r="3671" customFormat="false" ht="15.75" hidden="false" customHeight="false" outlineLevel="0" collapsed="false">
      <c r="A3671" s="20" t="n">
        <v>46128</v>
      </c>
      <c r="B3671" s="15" t="s">
        <v>467</v>
      </c>
      <c r="C3671" s="15" t="s">
        <v>55</v>
      </c>
      <c r="D3671" s="15" t="s">
        <v>539</v>
      </c>
      <c r="E3671" s="15" t="n">
        <v>6</v>
      </c>
      <c r="H3671" s="10"/>
      <c r="I3671" s="21"/>
      <c r="M3671" s="10"/>
      <c r="N3671" s="10"/>
      <c r="P3671" s="10"/>
      <c r="Q3671" s="22"/>
    </row>
    <row r="3672" customFormat="false" ht="15.75" hidden="false" customHeight="false" outlineLevel="0" collapsed="false">
      <c r="A3672" s="20" t="n">
        <v>46128</v>
      </c>
      <c r="B3672" s="15" t="s">
        <v>467</v>
      </c>
      <c r="C3672" s="15" t="s">
        <v>57</v>
      </c>
      <c r="D3672" s="15" t="s">
        <v>553</v>
      </c>
      <c r="E3672" s="15" t="n">
        <v>2</v>
      </c>
      <c r="H3672" s="10"/>
      <c r="I3672" s="21"/>
      <c r="M3672" s="10"/>
      <c r="N3672" s="10"/>
      <c r="P3672" s="10"/>
      <c r="Q3672" s="22"/>
    </row>
    <row r="3673" customFormat="false" ht="15.75" hidden="false" customHeight="false" outlineLevel="0" collapsed="false">
      <c r="A3673" s="20" t="n">
        <v>46128</v>
      </c>
      <c r="B3673" s="15" t="s">
        <v>467</v>
      </c>
      <c r="C3673" s="15" t="s">
        <v>47</v>
      </c>
      <c r="D3673" s="15" t="s">
        <v>549</v>
      </c>
      <c r="E3673" s="15" t="n">
        <v>2</v>
      </c>
      <c r="H3673" s="10"/>
      <c r="I3673" s="21"/>
      <c r="M3673" s="10"/>
      <c r="N3673" s="10"/>
      <c r="P3673" s="10"/>
      <c r="Q3673" s="22"/>
    </row>
    <row r="3674" customFormat="false" ht="15.75" hidden="false" customHeight="false" outlineLevel="0" collapsed="false">
      <c r="A3674" s="20" t="n">
        <v>46128</v>
      </c>
      <c r="B3674" s="15" t="s">
        <v>467</v>
      </c>
      <c r="C3674" s="15" t="s">
        <v>81</v>
      </c>
      <c r="D3674" s="15" t="s">
        <v>534</v>
      </c>
      <c r="E3674" s="15" t="n">
        <v>7</v>
      </c>
      <c r="H3674" s="10"/>
      <c r="I3674" s="21"/>
      <c r="M3674" s="10"/>
      <c r="N3674" s="10"/>
      <c r="P3674" s="10"/>
      <c r="Q3674" s="22"/>
    </row>
    <row r="3675" customFormat="false" ht="15.75" hidden="false" customHeight="false" outlineLevel="0" collapsed="false">
      <c r="A3675" s="20" t="n">
        <v>46128</v>
      </c>
      <c r="B3675" s="15" t="s">
        <v>467</v>
      </c>
      <c r="C3675" s="15" t="s">
        <v>49</v>
      </c>
      <c r="D3675" s="15" t="s">
        <v>537</v>
      </c>
      <c r="E3675" s="15" t="n">
        <v>2</v>
      </c>
      <c r="H3675" s="10"/>
      <c r="I3675" s="21"/>
      <c r="M3675" s="10"/>
      <c r="N3675" s="10"/>
      <c r="P3675" s="10"/>
      <c r="Q3675" s="22"/>
    </row>
    <row r="3676" customFormat="false" ht="15.75" hidden="false" customHeight="false" outlineLevel="0" collapsed="false">
      <c r="A3676" s="20" t="n">
        <v>46128</v>
      </c>
      <c r="B3676" s="15" t="s">
        <v>467</v>
      </c>
      <c r="C3676" s="15" t="s">
        <v>63</v>
      </c>
      <c r="D3676" s="15" t="s">
        <v>551</v>
      </c>
      <c r="E3676" s="15" t="n">
        <v>1</v>
      </c>
      <c r="H3676" s="10"/>
      <c r="I3676" s="21"/>
      <c r="M3676" s="10"/>
      <c r="N3676" s="10"/>
      <c r="P3676" s="10"/>
      <c r="Q3676" s="22"/>
    </row>
    <row r="3677" customFormat="false" ht="15.75" hidden="false" customHeight="false" outlineLevel="0" collapsed="false">
      <c r="A3677" s="20" t="n">
        <v>46128</v>
      </c>
      <c r="B3677" s="15" t="s">
        <v>469</v>
      </c>
      <c r="C3677" s="15" t="s">
        <v>69</v>
      </c>
      <c r="D3677" s="15" t="s">
        <v>535</v>
      </c>
      <c r="E3677" s="15" t="n">
        <v>5</v>
      </c>
      <c r="H3677" s="10"/>
      <c r="I3677" s="21"/>
      <c r="M3677" s="10"/>
      <c r="N3677" s="10"/>
      <c r="P3677" s="10"/>
      <c r="Q3677" s="22"/>
    </row>
    <row r="3678" customFormat="false" ht="15.75" hidden="false" customHeight="false" outlineLevel="0" collapsed="false">
      <c r="A3678" s="20" t="n">
        <v>46128</v>
      </c>
      <c r="B3678" s="15" t="s">
        <v>469</v>
      </c>
      <c r="C3678" s="15" t="s">
        <v>55</v>
      </c>
      <c r="D3678" s="15" t="s">
        <v>539</v>
      </c>
      <c r="E3678" s="15" t="n">
        <v>2</v>
      </c>
      <c r="H3678" s="10"/>
      <c r="I3678" s="21"/>
      <c r="M3678" s="10"/>
      <c r="N3678" s="10"/>
      <c r="P3678" s="10"/>
      <c r="Q3678" s="22"/>
    </row>
    <row r="3679" customFormat="false" ht="15.75" hidden="false" customHeight="false" outlineLevel="0" collapsed="false">
      <c r="A3679" s="20" t="n">
        <v>46128</v>
      </c>
      <c r="B3679" s="15" t="s">
        <v>469</v>
      </c>
      <c r="C3679" s="15" t="s">
        <v>33</v>
      </c>
      <c r="D3679" s="15" t="s">
        <v>536</v>
      </c>
      <c r="E3679" s="15" t="n">
        <v>5</v>
      </c>
      <c r="H3679" s="10"/>
      <c r="I3679" s="21"/>
      <c r="M3679" s="10"/>
      <c r="N3679" s="10"/>
      <c r="P3679" s="10"/>
      <c r="Q3679" s="22"/>
    </row>
    <row r="3680" customFormat="false" ht="15.75" hidden="false" customHeight="false" outlineLevel="0" collapsed="false">
      <c r="A3680" s="20" t="n">
        <v>46128</v>
      </c>
      <c r="B3680" s="15" t="s">
        <v>469</v>
      </c>
      <c r="C3680" s="15" t="s">
        <v>547</v>
      </c>
      <c r="D3680" s="15" t="s">
        <v>548</v>
      </c>
      <c r="E3680" s="15" t="n">
        <v>1</v>
      </c>
      <c r="H3680" s="10"/>
      <c r="I3680" s="21"/>
      <c r="M3680" s="10"/>
      <c r="N3680" s="10"/>
      <c r="P3680" s="10"/>
      <c r="Q3680" s="22"/>
    </row>
    <row r="3681" customFormat="false" ht="15.75" hidden="false" customHeight="false" outlineLevel="0" collapsed="false">
      <c r="A3681" s="20" t="n">
        <v>46128</v>
      </c>
      <c r="B3681" s="15" t="s">
        <v>469</v>
      </c>
      <c r="C3681" s="15" t="s">
        <v>81</v>
      </c>
      <c r="D3681" s="15" t="s">
        <v>534</v>
      </c>
      <c r="E3681" s="15" t="n">
        <v>2</v>
      </c>
      <c r="H3681" s="10"/>
      <c r="I3681" s="21"/>
      <c r="M3681" s="10"/>
      <c r="N3681" s="10"/>
      <c r="P3681" s="10"/>
      <c r="Q3681" s="22"/>
    </row>
    <row r="3682" customFormat="false" ht="15.75" hidden="false" customHeight="false" outlineLevel="0" collapsed="false">
      <c r="A3682" s="20" t="n">
        <v>46128</v>
      </c>
      <c r="B3682" s="15" t="s">
        <v>472</v>
      </c>
      <c r="C3682" s="15" t="s">
        <v>555</v>
      </c>
      <c r="D3682" s="15" t="s">
        <v>556</v>
      </c>
      <c r="E3682" s="15" t="n">
        <v>3</v>
      </c>
      <c r="H3682" s="10"/>
      <c r="I3682" s="21"/>
      <c r="M3682" s="10"/>
      <c r="N3682" s="10"/>
      <c r="P3682" s="10"/>
      <c r="Q3682" s="22"/>
    </row>
    <row r="3683" customFormat="false" ht="15.75" hidden="false" customHeight="false" outlineLevel="0" collapsed="false">
      <c r="A3683" s="20" t="n">
        <v>46128</v>
      </c>
      <c r="B3683" s="15" t="s">
        <v>472</v>
      </c>
      <c r="C3683" s="15" t="s">
        <v>11</v>
      </c>
      <c r="D3683" s="15" t="s">
        <v>572</v>
      </c>
      <c r="E3683" s="15" t="n">
        <v>3</v>
      </c>
      <c r="H3683" s="10"/>
      <c r="I3683" s="21"/>
      <c r="M3683" s="10"/>
      <c r="N3683" s="10"/>
      <c r="P3683" s="10"/>
      <c r="Q3683" s="22"/>
    </row>
    <row r="3684" customFormat="false" ht="15.75" hidden="false" customHeight="false" outlineLevel="0" collapsed="false">
      <c r="A3684" s="20" t="n">
        <v>46128</v>
      </c>
      <c r="B3684" s="15" t="s">
        <v>472</v>
      </c>
      <c r="C3684" s="15" t="s">
        <v>69</v>
      </c>
      <c r="D3684" s="15" t="s">
        <v>535</v>
      </c>
      <c r="E3684" s="15" t="n">
        <v>3</v>
      </c>
      <c r="H3684" s="10"/>
      <c r="I3684" s="21"/>
      <c r="M3684" s="10"/>
      <c r="N3684" s="10"/>
      <c r="P3684" s="10"/>
      <c r="Q3684" s="22"/>
    </row>
    <row r="3685" customFormat="false" ht="15.75" hidden="false" customHeight="false" outlineLevel="0" collapsed="false">
      <c r="A3685" s="20" t="n">
        <v>46128</v>
      </c>
      <c r="B3685" s="15" t="s">
        <v>472</v>
      </c>
      <c r="C3685" s="15" t="s">
        <v>25</v>
      </c>
      <c r="D3685" s="15" t="s">
        <v>26</v>
      </c>
      <c r="E3685" s="15" t="n">
        <v>3</v>
      </c>
      <c r="H3685" s="10"/>
      <c r="I3685" s="21"/>
      <c r="M3685" s="10"/>
      <c r="N3685" s="10"/>
      <c r="P3685" s="10"/>
      <c r="Q3685" s="22"/>
    </row>
    <row r="3686" customFormat="false" ht="15.75" hidden="false" customHeight="false" outlineLevel="0" collapsed="false">
      <c r="A3686" s="20" t="n">
        <v>46128</v>
      </c>
      <c r="B3686" s="15" t="s">
        <v>475</v>
      </c>
      <c r="C3686" s="15" t="s">
        <v>69</v>
      </c>
      <c r="D3686" s="15" t="s">
        <v>535</v>
      </c>
      <c r="E3686" s="15" t="n">
        <v>2</v>
      </c>
      <c r="H3686" s="10"/>
      <c r="I3686" s="21"/>
      <c r="M3686" s="10"/>
      <c r="N3686" s="10"/>
      <c r="P3686" s="10"/>
      <c r="Q3686" s="22"/>
    </row>
    <row r="3687" customFormat="false" ht="15.75" hidden="false" customHeight="false" outlineLevel="0" collapsed="false">
      <c r="A3687" s="20" t="n">
        <v>46128</v>
      </c>
      <c r="B3687" s="15" t="s">
        <v>475</v>
      </c>
      <c r="C3687" s="15" t="s">
        <v>33</v>
      </c>
      <c r="D3687" s="15" t="s">
        <v>536</v>
      </c>
      <c r="E3687" s="15" t="n">
        <v>2</v>
      </c>
      <c r="H3687" s="10"/>
      <c r="I3687" s="21"/>
      <c r="M3687" s="10"/>
      <c r="N3687" s="10"/>
      <c r="P3687" s="10"/>
      <c r="Q3687" s="22"/>
    </row>
    <row r="3688" customFormat="false" ht="15.75" hidden="false" customHeight="false" outlineLevel="0" collapsed="false">
      <c r="A3688" s="20" t="n">
        <v>46128</v>
      </c>
      <c r="B3688" s="15" t="s">
        <v>475</v>
      </c>
      <c r="C3688" s="15" t="s">
        <v>555</v>
      </c>
      <c r="D3688" s="15" t="s">
        <v>556</v>
      </c>
      <c r="E3688" s="15" t="n">
        <v>2</v>
      </c>
      <c r="H3688" s="10"/>
      <c r="I3688" s="21"/>
      <c r="M3688" s="10"/>
      <c r="N3688" s="10"/>
      <c r="P3688" s="10"/>
      <c r="Q3688" s="22"/>
    </row>
    <row r="3689" customFormat="false" ht="15.75" hidden="false" customHeight="false" outlineLevel="0" collapsed="false">
      <c r="A3689" s="20" t="n">
        <v>46128</v>
      </c>
      <c r="B3689" s="15" t="s">
        <v>475</v>
      </c>
      <c r="C3689" s="15" t="s">
        <v>547</v>
      </c>
      <c r="D3689" s="15" t="s">
        <v>548</v>
      </c>
      <c r="E3689" s="15" t="n">
        <v>6</v>
      </c>
      <c r="H3689" s="10"/>
      <c r="I3689" s="21"/>
      <c r="M3689" s="10"/>
      <c r="N3689" s="10"/>
      <c r="P3689" s="10"/>
      <c r="Q3689" s="22"/>
    </row>
    <row r="3690" customFormat="false" ht="15.75" hidden="false" customHeight="false" outlineLevel="0" collapsed="false">
      <c r="A3690" s="20" t="n">
        <v>46128</v>
      </c>
      <c r="B3690" s="15" t="s">
        <v>475</v>
      </c>
      <c r="C3690" s="15" t="s">
        <v>557</v>
      </c>
      <c r="D3690" s="15" t="s">
        <v>558</v>
      </c>
      <c r="E3690" s="15" t="n">
        <v>2</v>
      </c>
      <c r="H3690" s="10"/>
      <c r="I3690" s="21"/>
      <c r="M3690" s="10"/>
      <c r="N3690" s="10"/>
      <c r="P3690" s="10"/>
      <c r="Q3690" s="22"/>
    </row>
    <row r="3691" customFormat="false" ht="15.75" hidden="false" customHeight="false" outlineLevel="0" collapsed="false">
      <c r="A3691" s="20" t="n">
        <v>46128</v>
      </c>
      <c r="B3691" s="15" t="s">
        <v>486</v>
      </c>
      <c r="C3691" s="15" t="s">
        <v>55</v>
      </c>
      <c r="D3691" s="15" t="s">
        <v>539</v>
      </c>
      <c r="E3691" s="15" t="n">
        <v>1</v>
      </c>
      <c r="H3691" s="10"/>
      <c r="I3691" s="21"/>
      <c r="M3691" s="10"/>
      <c r="N3691" s="10"/>
      <c r="P3691" s="10"/>
      <c r="Q3691" s="22"/>
    </row>
    <row r="3692" customFormat="false" ht="15.75" hidden="false" customHeight="false" outlineLevel="0" collapsed="false">
      <c r="A3692" s="20" t="n">
        <v>46128</v>
      </c>
      <c r="B3692" s="15" t="s">
        <v>486</v>
      </c>
      <c r="C3692" s="15" t="s">
        <v>81</v>
      </c>
      <c r="D3692" s="15" t="s">
        <v>534</v>
      </c>
      <c r="E3692" s="15" t="n">
        <v>4</v>
      </c>
      <c r="H3692" s="10"/>
      <c r="I3692" s="21"/>
      <c r="M3692" s="10"/>
      <c r="N3692" s="10"/>
      <c r="P3692" s="10"/>
      <c r="Q3692" s="22"/>
    </row>
    <row r="3693" customFormat="false" ht="15.75" hidden="false" customHeight="false" outlineLevel="0" collapsed="false">
      <c r="A3693" s="20" t="n">
        <v>46128</v>
      </c>
      <c r="B3693" s="15" t="s">
        <v>486</v>
      </c>
      <c r="C3693" s="15" t="s">
        <v>69</v>
      </c>
      <c r="D3693" s="15" t="s">
        <v>535</v>
      </c>
      <c r="E3693" s="15" t="n">
        <v>5</v>
      </c>
      <c r="H3693" s="10"/>
      <c r="I3693" s="21"/>
      <c r="M3693" s="10"/>
      <c r="N3693" s="10"/>
      <c r="P3693" s="10"/>
      <c r="Q3693" s="22"/>
    </row>
    <row r="3694" customFormat="false" ht="15.75" hidden="false" customHeight="false" outlineLevel="0" collapsed="false">
      <c r="A3694" s="20" t="n">
        <v>46128</v>
      </c>
      <c r="B3694" s="15" t="s">
        <v>486</v>
      </c>
      <c r="C3694" s="15" t="s">
        <v>25</v>
      </c>
      <c r="D3694" s="15" t="s">
        <v>26</v>
      </c>
      <c r="E3694" s="15" t="n">
        <v>1</v>
      </c>
      <c r="H3694" s="10"/>
      <c r="I3694" s="21"/>
      <c r="M3694" s="10"/>
      <c r="N3694" s="10"/>
      <c r="P3694" s="10"/>
      <c r="Q3694" s="22"/>
    </row>
    <row r="3695" customFormat="false" ht="15.75" hidden="false" customHeight="false" outlineLevel="0" collapsed="false">
      <c r="A3695" s="20" t="n">
        <v>46128</v>
      </c>
      <c r="B3695" s="15" t="s">
        <v>486</v>
      </c>
      <c r="C3695" s="15" t="s">
        <v>11</v>
      </c>
      <c r="D3695" s="15" t="s">
        <v>572</v>
      </c>
      <c r="E3695" s="15" t="n">
        <v>1</v>
      </c>
      <c r="H3695" s="10"/>
      <c r="I3695" s="21"/>
      <c r="M3695" s="10"/>
      <c r="N3695" s="10"/>
      <c r="P3695" s="10"/>
      <c r="Q3695" s="22"/>
    </row>
    <row r="3696" customFormat="false" ht="15.75" hidden="false" customHeight="false" outlineLevel="0" collapsed="false">
      <c r="A3696" s="20" t="n">
        <v>46128</v>
      </c>
      <c r="B3696" s="15" t="s">
        <v>486</v>
      </c>
      <c r="C3696" s="15" t="s">
        <v>555</v>
      </c>
      <c r="D3696" s="15" t="s">
        <v>556</v>
      </c>
      <c r="E3696" s="15" t="n">
        <v>1</v>
      </c>
      <c r="H3696" s="10"/>
      <c r="I3696" s="21"/>
      <c r="M3696" s="10"/>
      <c r="N3696" s="10"/>
      <c r="P3696" s="10"/>
      <c r="Q3696" s="22"/>
    </row>
    <row r="3697" customFormat="false" ht="15.75" hidden="false" customHeight="false" outlineLevel="0" collapsed="false">
      <c r="A3697" s="20" t="n">
        <v>46128</v>
      </c>
      <c r="B3697" s="15" t="s">
        <v>486</v>
      </c>
      <c r="C3697" s="15" t="s">
        <v>543</v>
      </c>
      <c r="D3697" s="15" t="s">
        <v>544</v>
      </c>
      <c r="E3697" s="15" t="n">
        <v>2</v>
      </c>
      <c r="H3697" s="10"/>
      <c r="I3697" s="21"/>
      <c r="M3697" s="10"/>
      <c r="N3697" s="10"/>
      <c r="P3697" s="10"/>
      <c r="Q3697" s="22"/>
    </row>
    <row r="3698" customFormat="false" ht="15.75" hidden="false" customHeight="false" outlineLevel="0" collapsed="false">
      <c r="A3698" s="20" t="n">
        <v>46128</v>
      </c>
      <c r="B3698" s="15" t="s">
        <v>486</v>
      </c>
      <c r="C3698" s="15" t="s">
        <v>545</v>
      </c>
      <c r="D3698" s="15" t="s">
        <v>546</v>
      </c>
      <c r="E3698" s="15" t="n">
        <v>1</v>
      </c>
      <c r="H3698" s="10"/>
      <c r="I3698" s="21"/>
      <c r="M3698" s="10"/>
      <c r="N3698" s="10"/>
      <c r="P3698" s="10"/>
      <c r="Q3698" s="22"/>
    </row>
    <row r="3699" customFormat="false" ht="15.75" hidden="false" customHeight="false" outlineLevel="0" collapsed="false">
      <c r="A3699" s="20" t="n">
        <v>46128</v>
      </c>
      <c r="B3699" s="15" t="s">
        <v>486</v>
      </c>
      <c r="C3699" s="15" t="s">
        <v>77</v>
      </c>
      <c r="D3699" s="15" t="s">
        <v>78</v>
      </c>
      <c r="E3699" s="15" t="n">
        <v>2</v>
      </c>
      <c r="H3699" s="10"/>
      <c r="I3699" s="21"/>
      <c r="M3699" s="10"/>
      <c r="N3699" s="10"/>
      <c r="P3699" s="10"/>
      <c r="Q3699" s="22"/>
    </row>
    <row r="3700" customFormat="false" ht="15.75" hidden="false" customHeight="false" outlineLevel="0" collapsed="false">
      <c r="A3700" s="20" t="n">
        <v>46128</v>
      </c>
      <c r="B3700" s="15" t="s">
        <v>486</v>
      </c>
      <c r="C3700" s="15" t="s">
        <v>33</v>
      </c>
      <c r="D3700" s="15" t="s">
        <v>536</v>
      </c>
      <c r="E3700" s="15" t="n">
        <v>4</v>
      </c>
      <c r="H3700" s="10"/>
      <c r="I3700" s="21"/>
      <c r="M3700" s="10"/>
      <c r="N3700" s="10"/>
      <c r="P3700" s="10"/>
      <c r="Q3700" s="22"/>
    </row>
    <row r="3701" customFormat="false" ht="15.75" hidden="false" customHeight="false" outlineLevel="0" collapsed="false">
      <c r="A3701" s="20" t="n">
        <v>46128</v>
      </c>
      <c r="B3701" s="15" t="s">
        <v>486</v>
      </c>
      <c r="C3701" s="15" t="s">
        <v>578</v>
      </c>
      <c r="D3701" s="15" t="s">
        <v>579</v>
      </c>
      <c r="E3701" s="15" t="n">
        <v>1</v>
      </c>
      <c r="H3701" s="10"/>
      <c r="I3701" s="21"/>
      <c r="M3701" s="10"/>
      <c r="N3701" s="10"/>
      <c r="P3701" s="10"/>
      <c r="Q3701" s="22"/>
    </row>
    <row r="3702" customFormat="false" ht="15.75" hidden="false" customHeight="false" outlineLevel="0" collapsed="false">
      <c r="A3702" s="20" t="n">
        <v>46128</v>
      </c>
      <c r="B3702" s="15" t="s">
        <v>486</v>
      </c>
      <c r="C3702" s="15" t="s">
        <v>59</v>
      </c>
      <c r="D3702" s="15" t="s">
        <v>562</v>
      </c>
      <c r="E3702" s="15" t="n">
        <v>1</v>
      </c>
      <c r="H3702" s="10"/>
      <c r="I3702" s="21"/>
      <c r="M3702" s="10"/>
      <c r="N3702" s="10"/>
      <c r="P3702" s="10"/>
      <c r="Q3702" s="22"/>
    </row>
    <row r="3703" customFormat="false" ht="15.75" hidden="false" customHeight="false" outlineLevel="0" collapsed="false">
      <c r="A3703" s="20" t="n">
        <v>46128</v>
      </c>
      <c r="B3703" s="15" t="s">
        <v>486</v>
      </c>
      <c r="C3703" s="15" t="s">
        <v>79</v>
      </c>
      <c r="D3703" s="15" t="s">
        <v>564</v>
      </c>
      <c r="E3703" s="15" t="n">
        <v>2</v>
      </c>
      <c r="H3703" s="10"/>
      <c r="I3703" s="21"/>
      <c r="M3703" s="10"/>
      <c r="N3703" s="10"/>
      <c r="P3703" s="10"/>
      <c r="Q3703" s="22"/>
    </row>
    <row r="3704" customFormat="false" ht="15.75" hidden="false" customHeight="false" outlineLevel="0" collapsed="false">
      <c r="A3704" s="20" t="n">
        <v>46128</v>
      </c>
      <c r="B3704" s="15" t="s">
        <v>489</v>
      </c>
      <c r="C3704" s="15" t="s">
        <v>31</v>
      </c>
      <c r="D3704" s="15" t="s">
        <v>559</v>
      </c>
      <c r="E3704" s="15" t="n">
        <v>2</v>
      </c>
      <c r="H3704" s="10"/>
      <c r="I3704" s="21"/>
      <c r="M3704" s="10"/>
      <c r="N3704" s="10"/>
      <c r="P3704" s="10"/>
      <c r="Q3704" s="22"/>
    </row>
    <row r="3705" customFormat="false" ht="15.75" hidden="false" customHeight="false" outlineLevel="0" collapsed="false">
      <c r="A3705" s="20" t="n">
        <v>46128</v>
      </c>
      <c r="B3705" s="15" t="s">
        <v>489</v>
      </c>
      <c r="C3705" s="15" t="s">
        <v>43</v>
      </c>
      <c r="D3705" s="15" t="s">
        <v>538</v>
      </c>
      <c r="E3705" s="15" t="n">
        <v>3</v>
      </c>
      <c r="H3705" s="10"/>
      <c r="I3705" s="21"/>
      <c r="M3705" s="10"/>
      <c r="N3705" s="10"/>
      <c r="P3705" s="10"/>
      <c r="Q3705" s="22"/>
    </row>
    <row r="3706" customFormat="false" ht="15.75" hidden="false" customHeight="false" outlineLevel="0" collapsed="false">
      <c r="A3706" s="20" t="n">
        <v>46128</v>
      </c>
      <c r="B3706" s="15" t="s">
        <v>489</v>
      </c>
      <c r="C3706" s="15" t="s">
        <v>81</v>
      </c>
      <c r="D3706" s="15" t="s">
        <v>534</v>
      </c>
      <c r="E3706" s="15" t="n">
        <v>5</v>
      </c>
      <c r="H3706" s="10"/>
      <c r="I3706" s="21"/>
      <c r="M3706" s="10"/>
      <c r="N3706" s="10"/>
      <c r="P3706" s="10"/>
      <c r="Q3706" s="22"/>
    </row>
    <row r="3707" customFormat="false" ht="15.75" hidden="false" customHeight="false" outlineLevel="0" collapsed="false">
      <c r="A3707" s="20" t="n">
        <v>46128</v>
      </c>
      <c r="B3707" s="15" t="s">
        <v>489</v>
      </c>
      <c r="C3707" s="15" t="s">
        <v>547</v>
      </c>
      <c r="D3707" s="15" t="s">
        <v>548</v>
      </c>
      <c r="E3707" s="15" t="n">
        <v>6</v>
      </c>
      <c r="H3707" s="10"/>
      <c r="I3707" s="21"/>
      <c r="M3707" s="10"/>
      <c r="N3707" s="10"/>
      <c r="P3707" s="10"/>
      <c r="Q3707" s="22"/>
    </row>
    <row r="3708" customFormat="false" ht="15.75" hidden="false" customHeight="false" outlineLevel="0" collapsed="false">
      <c r="A3708" s="20" t="n">
        <v>46128</v>
      </c>
      <c r="B3708" s="15" t="s">
        <v>489</v>
      </c>
      <c r="C3708" s="15" t="s">
        <v>69</v>
      </c>
      <c r="D3708" s="15" t="s">
        <v>535</v>
      </c>
      <c r="E3708" s="15" t="n">
        <v>4</v>
      </c>
      <c r="H3708" s="10"/>
      <c r="I3708" s="21"/>
      <c r="M3708" s="10"/>
      <c r="N3708" s="10"/>
      <c r="P3708" s="10"/>
      <c r="Q3708" s="22"/>
    </row>
    <row r="3709" customFormat="false" ht="15.75" hidden="false" customHeight="false" outlineLevel="0" collapsed="false">
      <c r="A3709" s="20" t="n">
        <v>46128</v>
      </c>
      <c r="B3709" s="15" t="s">
        <v>489</v>
      </c>
      <c r="C3709" s="15" t="s">
        <v>33</v>
      </c>
      <c r="D3709" s="15" t="s">
        <v>536</v>
      </c>
      <c r="E3709" s="15" t="n">
        <v>4</v>
      </c>
      <c r="H3709" s="10"/>
      <c r="I3709" s="21"/>
      <c r="M3709" s="10"/>
      <c r="N3709" s="10"/>
      <c r="P3709" s="10"/>
      <c r="Q3709" s="22"/>
    </row>
    <row r="3710" customFormat="false" ht="15.75" hidden="false" customHeight="false" outlineLevel="0" collapsed="false">
      <c r="A3710" s="20" t="n">
        <v>46128</v>
      </c>
      <c r="B3710" s="15" t="s">
        <v>489</v>
      </c>
      <c r="C3710" s="15" t="s">
        <v>545</v>
      </c>
      <c r="D3710" s="15" t="s">
        <v>546</v>
      </c>
      <c r="E3710" s="15" t="n">
        <v>2</v>
      </c>
      <c r="H3710" s="10"/>
      <c r="I3710" s="21"/>
      <c r="M3710" s="10"/>
      <c r="N3710" s="10"/>
      <c r="P3710" s="10"/>
      <c r="Q3710" s="22"/>
    </row>
    <row r="3711" customFormat="false" ht="15.75" hidden="false" customHeight="false" outlineLevel="0" collapsed="false">
      <c r="A3711" s="20" t="n">
        <v>46128</v>
      </c>
      <c r="B3711" s="15" t="s">
        <v>489</v>
      </c>
      <c r="C3711" s="15" t="s">
        <v>555</v>
      </c>
      <c r="D3711" s="15" t="s">
        <v>556</v>
      </c>
      <c r="E3711" s="15" t="n">
        <v>2</v>
      </c>
      <c r="H3711" s="10"/>
      <c r="I3711" s="21"/>
      <c r="M3711" s="10"/>
      <c r="N3711" s="10"/>
      <c r="P3711" s="10"/>
      <c r="Q3711" s="22"/>
    </row>
    <row r="3712" customFormat="false" ht="15.75" hidden="false" customHeight="false" outlineLevel="0" collapsed="false">
      <c r="A3712" s="20" t="n">
        <v>46128</v>
      </c>
      <c r="B3712" s="15" t="s">
        <v>489</v>
      </c>
      <c r="C3712" s="15" t="s">
        <v>75</v>
      </c>
      <c r="D3712" s="15" t="s">
        <v>560</v>
      </c>
      <c r="E3712" s="15" t="n">
        <v>1</v>
      </c>
      <c r="H3712" s="10"/>
      <c r="I3712" s="21"/>
      <c r="M3712" s="10"/>
      <c r="N3712" s="10"/>
      <c r="P3712" s="10"/>
      <c r="Q3712" s="22"/>
    </row>
    <row r="3713" customFormat="false" ht="15.75" hidden="false" customHeight="false" outlineLevel="0" collapsed="false">
      <c r="A3713" s="20" t="n">
        <v>46128</v>
      </c>
      <c r="B3713" s="15" t="s">
        <v>489</v>
      </c>
      <c r="C3713" s="15" t="s">
        <v>77</v>
      </c>
      <c r="D3713" s="15" t="s">
        <v>78</v>
      </c>
      <c r="E3713" s="15" t="n">
        <v>2</v>
      </c>
      <c r="H3713" s="10"/>
      <c r="I3713" s="21"/>
      <c r="M3713" s="10"/>
      <c r="N3713" s="10"/>
      <c r="P3713" s="10"/>
      <c r="Q3713" s="22"/>
    </row>
    <row r="3714" customFormat="false" ht="15.75" hidden="false" customHeight="false" outlineLevel="0" collapsed="false">
      <c r="A3714" s="20" t="n">
        <v>46128</v>
      </c>
      <c r="B3714" s="15" t="s">
        <v>495</v>
      </c>
      <c r="C3714" s="15" t="s">
        <v>55</v>
      </c>
      <c r="D3714" s="15" t="s">
        <v>539</v>
      </c>
      <c r="E3714" s="15" t="n">
        <v>1</v>
      </c>
      <c r="H3714" s="10"/>
      <c r="I3714" s="21"/>
      <c r="M3714" s="10"/>
      <c r="N3714" s="10"/>
      <c r="P3714" s="10"/>
      <c r="Q3714" s="22"/>
    </row>
    <row r="3715" customFormat="false" ht="15.75" hidden="false" customHeight="false" outlineLevel="0" collapsed="false">
      <c r="A3715" s="20" t="n">
        <v>46128</v>
      </c>
      <c r="B3715" s="15" t="s">
        <v>495</v>
      </c>
      <c r="C3715" s="15" t="s">
        <v>81</v>
      </c>
      <c r="D3715" s="15" t="s">
        <v>534</v>
      </c>
      <c r="E3715" s="15" t="n">
        <v>3</v>
      </c>
      <c r="H3715" s="10"/>
      <c r="I3715" s="21"/>
      <c r="M3715" s="10"/>
      <c r="N3715" s="10"/>
      <c r="P3715" s="10"/>
      <c r="Q3715" s="22"/>
    </row>
    <row r="3716" customFormat="false" ht="15.75" hidden="false" customHeight="false" outlineLevel="0" collapsed="false">
      <c r="A3716" s="20" t="n">
        <v>46128</v>
      </c>
      <c r="B3716" s="15" t="s">
        <v>495</v>
      </c>
      <c r="C3716" s="15" t="s">
        <v>75</v>
      </c>
      <c r="D3716" s="15" t="s">
        <v>560</v>
      </c>
      <c r="E3716" s="15" t="n">
        <v>1</v>
      </c>
      <c r="H3716" s="10"/>
      <c r="I3716" s="21"/>
      <c r="M3716" s="10"/>
      <c r="N3716" s="10"/>
      <c r="P3716" s="10"/>
      <c r="Q3716" s="22"/>
    </row>
    <row r="3717" customFormat="false" ht="15.75" hidden="false" customHeight="false" outlineLevel="0" collapsed="false">
      <c r="A3717" s="20" t="n">
        <v>46128</v>
      </c>
      <c r="B3717" s="15" t="s">
        <v>495</v>
      </c>
      <c r="C3717" s="15" t="s">
        <v>43</v>
      </c>
      <c r="D3717" s="15" t="s">
        <v>538</v>
      </c>
      <c r="E3717" s="15" t="n">
        <v>1</v>
      </c>
      <c r="H3717" s="10"/>
      <c r="I3717" s="21"/>
      <c r="M3717" s="10"/>
      <c r="N3717" s="10"/>
      <c r="P3717" s="10"/>
      <c r="Q3717" s="22"/>
    </row>
    <row r="3718" customFormat="false" ht="15.75" hidden="false" customHeight="false" outlineLevel="0" collapsed="false">
      <c r="A3718" s="20" t="n">
        <v>46128</v>
      </c>
      <c r="B3718" s="15" t="s">
        <v>495</v>
      </c>
      <c r="C3718" s="15" t="s">
        <v>69</v>
      </c>
      <c r="D3718" s="15" t="s">
        <v>535</v>
      </c>
      <c r="E3718" s="15" t="n">
        <v>5</v>
      </c>
      <c r="H3718" s="10"/>
      <c r="I3718" s="21"/>
      <c r="M3718" s="10"/>
      <c r="N3718" s="10"/>
      <c r="P3718" s="10"/>
      <c r="Q3718" s="22"/>
    </row>
    <row r="3719" customFormat="false" ht="15.75" hidden="false" customHeight="false" outlineLevel="0" collapsed="false">
      <c r="A3719" s="20" t="n">
        <v>46128</v>
      </c>
      <c r="B3719" s="15" t="s">
        <v>495</v>
      </c>
      <c r="C3719" s="15" t="s">
        <v>547</v>
      </c>
      <c r="D3719" s="15" t="s">
        <v>548</v>
      </c>
      <c r="E3719" s="15" t="n">
        <v>3</v>
      </c>
      <c r="H3719" s="10"/>
      <c r="I3719" s="21"/>
      <c r="M3719" s="10"/>
      <c r="N3719" s="10"/>
      <c r="P3719" s="10"/>
      <c r="Q3719" s="22"/>
    </row>
    <row r="3720" customFormat="false" ht="15.75" hidden="false" customHeight="false" outlineLevel="0" collapsed="false">
      <c r="A3720" s="20" t="n">
        <v>46128</v>
      </c>
      <c r="B3720" s="15" t="s">
        <v>495</v>
      </c>
      <c r="C3720" s="15" t="s">
        <v>25</v>
      </c>
      <c r="D3720" s="15" t="s">
        <v>26</v>
      </c>
      <c r="E3720" s="15" t="n">
        <v>3</v>
      </c>
      <c r="H3720" s="10"/>
      <c r="I3720" s="21"/>
      <c r="M3720" s="10"/>
      <c r="N3720" s="10"/>
      <c r="P3720" s="10"/>
      <c r="Q3720" s="22"/>
    </row>
    <row r="3721" customFormat="false" ht="15.75" hidden="false" customHeight="false" outlineLevel="0" collapsed="false">
      <c r="A3721" s="20" t="n">
        <v>46128</v>
      </c>
      <c r="B3721" s="15" t="s">
        <v>495</v>
      </c>
      <c r="C3721" s="15" t="s">
        <v>543</v>
      </c>
      <c r="D3721" s="15" t="s">
        <v>544</v>
      </c>
      <c r="E3721" s="15" t="n">
        <v>6</v>
      </c>
      <c r="H3721" s="10"/>
      <c r="I3721" s="21"/>
      <c r="M3721" s="10"/>
      <c r="N3721" s="10"/>
      <c r="P3721" s="10"/>
      <c r="Q3721" s="22"/>
    </row>
    <row r="3722" customFormat="false" ht="15.75" hidden="false" customHeight="false" outlineLevel="0" collapsed="false">
      <c r="A3722" s="20" t="n">
        <v>46128</v>
      </c>
      <c r="B3722" s="15" t="s">
        <v>495</v>
      </c>
      <c r="C3722" s="15" t="s">
        <v>545</v>
      </c>
      <c r="D3722" s="15" t="s">
        <v>546</v>
      </c>
      <c r="E3722" s="15" t="n">
        <v>3</v>
      </c>
      <c r="H3722" s="10"/>
      <c r="I3722" s="21"/>
      <c r="M3722" s="10"/>
      <c r="N3722" s="10"/>
      <c r="P3722" s="10"/>
      <c r="Q3722" s="22"/>
    </row>
    <row r="3723" customFormat="false" ht="15.75" hidden="false" customHeight="false" outlineLevel="0" collapsed="false">
      <c r="A3723" s="20" t="n">
        <v>46128</v>
      </c>
      <c r="B3723" s="15" t="s">
        <v>495</v>
      </c>
      <c r="C3723" s="15" t="s">
        <v>63</v>
      </c>
      <c r="D3723" s="15" t="s">
        <v>551</v>
      </c>
      <c r="E3723" s="15" t="n">
        <v>1</v>
      </c>
      <c r="H3723" s="10"/>
      <c r="I3723" s="21"/>
      <c r="M3723" s="10"/>
      <c r="N3723" s="10"/>
      <c r="P3723" s="10"/>
      <c r="Q3723" s="22"/>
    </row>
    <row r="3724" customFormat="false" ht="15.75" hidden="false" customHeight="false" outlineLevel="0" collapsed="false">
      <c r="A3724" s="20" t="n">
        <v>46128</v>
      </c>
      <c r="B3724" s="15" t="s">
        <v>495</v>
      </c>
      <c r="C3724" s="15" t="s">
        <v>77</v>
      </c>
      <c r="D3724" s="15" t="s">
        <v>78</v>
      </c>
      <c r="E3724" s="15" t="n">
        <v>3</v>
      </c>
      <c r="H3724" s="10"/>
      <c r="I3724" s="21"/>
      <c r="M3724" s="10"/>
      <c r="N3724" s="10"/>
      <c r="P3724" s="10"/>
      <c r="Q3724" s="22"/>
    </row>
    <row r="3725" customFormat="false" ht="15.75" hidden="false" customHeight="false" outlineLevel="0" collapsed="false">
      <c r="A3725" s="20" t="n">
        <v>46128</v>
      </c>
      <c r="B3725" s="15" t="s">
        <v>495</v>
      </c>
      <c r="C3725" s="15" t="s">
        <v>61</v>
      </c>
      <c r="D3725" s="15" t="s">
        <v>576</v>
      </c>
      <c r="E3725" s="15" t="n">
        <v>1</v>
      </c>
      <c r="H3725" s="10"/>
      <c r="I3725" s="21"/>
      <c r="M3725" s="10"/>
      <c r="N3725" s="10"/>
      <c r="P3725" s="10"/>
      <c r="Q3725" s="22"/>
    </row>
    <row r="3726" customFormat="false" ht="15.75" hidden="false" customHeight="false" outlineLevel="0" collapsed="false">
      <c r="A3726" s="20" t="n">
        <v>46128</v>
      </c>
      <c r="B3726" s="15" t="s">
        <v>495</v>
      </c>
      <c r="C3726" s="15" t="s">
        <v>33</v>
      </c>
      <c r="D3726" s="15" t="s">
        <v>536</v>
      </c>
      <c r="E3726" s="15" t="n">
        <v>2</v>
      </c>
      <c r="H3726" s="10"/>
      <c r="I3726" s="21"/>
      <c r="M3726" s="10"/>
      <c r="N3726" s="10"/>
      <c r="P3726" s="10"/>
      <c r="Q3726" s="22"/>
    </row>
    <row r="3727" customFormat="false" ht="15.75" hidden="false" customHeight="false" outlineLevel="0" collapsed="false">
      <c r="A3727" s="20" t="n">
        <v>46128</v>
      </c>
      <c r="B3727" s="15" t="s">
        <v>495</v>
      </c>
      <c r="C3727" s="15" t="s">
        <v>59</v>
      </c>
      <c r="D3727" s="15" t="s">
        <v>562</v>
      </c>
      <c r="E3727" s="15" t="n">
        <v>2</v>
      </c>
      <c r="H3727" s="10"/>
      <c r="I3727" s="21"/>
      <c r="M3727" s="10"/>
      <c r="N3727" s="10"/>
      <c r="P3727" s="10"/>
      <c r="Q3727" s="22"/>
    </row>
    <row r="3728" customFormat="false" ht="15.75" hidden="false" customHeight="false" outlineLevel="0" collapsed="false">
      <c r="A3728" s="20" t="n">
        <v>46128</v>
      </c>
      <c r="B3728" s="15" t="s">
        <v>498</v>
      </c>
      <c r="C3728" s="15" t="s">
        <v>81</v>
      </c>
      <c r="D3728" s="15" t="s">
        <v>534</v>
      </c>
      <c r="E3728" s="15" t="n">
        <v>9</v>
      </c>
      <c r="H3728" s="10"/>
      <c r="I3728" s="21"/>
      <c r="M3728" s="10"/>
      <c r="N3728" s="10"/>
      <c r="P3728" s="10"/>
      <c r="Q3728" s="22"/>
    </row>
    <row r="3729" customFormat="false" ht="15.75" hidden="false" customHeight="false" outlineLevel="0" collapsed="false">
      <c r="A3729" s="20" t="n">
        <v>46128</v>
      </c>
      <c r="B3729" s="15" t="s">
        <v>498</v>
      </c>
      <c r="C3729" s="15" t="s">
        <v>543</v>
      </c>
      <c r="D3729" s="15" t="s">
        <v>544</v>
      </c>
      <c r="E3729" s="15" t="n">
        <v>1</v>
      </c>
      <c r="H3729" s="10"/>
      <c r="I3729" s="21"/>
      <c r="M3729" s="10"/>
      <c r="N3729" s="10"/>
      <c r="P3729" s="10"/>
      <c r="Q3729" s="22"/>
    </row>
    <row r="3730" customFormat="false" ht="15.75" hidden="false" customHeight="false" outlineLevel="0" collapsed="false">
      <c r="A3730" s="20" t="n">
        <v>46128</v>
      </c>
      <c r="B3730" s="15" t="s">
        <v>498</v>
      </c>
      <c r="C3730" s="15" t="s">
        <v>69</v>
      </c>
      <c r="D3730" s="15" t="s">
        <v>535</v>
      </c>
      <c r="E3730" s="15" t="n">
        <v>2</v>
      </c>
      <c r="H3730" s="10"/>
      <c r="I3730" s="21"/>
      <c r="M3730" s="10"/>
      <c r="N3730" s="10"/>
      <c r="P3730" s="10"/>
      <c r="Q3730" s="22"/>
    </row>
    <row r="3731" customFormat="false" ht="15.75" hidden="false" customHeight="false" outlineLevel="0" collapsed="false">
      <c r="A3731" s="20" t="n">
        <v>46128</v>
      </c>
      <c r="B3731" s="15" t="s">
        <v>498</v>
      </c>
      <c r="C3731" s="15" t="s">
        <v>33</v>
      </c>
      <c r="D3731" s="15" t="s">
        <v>536</v>
      </c>
      <c r="E3731" s="15" t="n">
        <v>3</v>
      </c>
      <c r="H3731" s="10"/>
      <c r="I3731" s="21"/>
      <c r="M3731" s="10"/>
      <c r="N3731" s="10"/>
      <c r="P3731" s="10"/>
      <c r="Q3731" s="22"/>
    </row>
    <row r="3732" customFormat="false" ht="15.75" hidden="false" customHeight="false" outlineLevel="0" collapsed="false">
      <c r="A3732" s="20" t="n">
        <v>46128</v>
      </c>
      <c r="B3732" s="15" t="s">
        <v>498</v>
      </c>
      <c r="C3732" s="15" t="s">
        <v>55</v>
      </c>
      <c r="D3732" s="15" t="s">
        <v>539</v>
      </c>
      <c r="E3732" s="15" t="n">
        <v>1</v>
      </c>
      <c r="H3732" s="10"/>
      <c r="I3732" s="21"/>
      <c r="M3732" s="10"/>
      <c r="N3732" s="10"/>
      <c r="P3732" s="10"/>
      <c r="Q3732" s="22"/>
    </row>
    <row r="3733" customFormat="false" ht="15.75" hidden="false" customHeight="false" outlineLevel="0" collapsed="false">
      <c r="A3733" s="20" t="n">
        <v>46128</v>
      </c>
      <c r="B3733" s="15" t="s">
        <v>498</v>
      </c>
      <c r="C3733" s="15" t="s">
        <v>59</v>
      </c>
      <c r="D3733" s="15" t="s">
        <v>562</v>
      </c>
      <c r="E3733" s="15" t="n">
        <v>1</v>
      </c>
      <c r="H3733" s="10"/>
      <c r="I3733" s="21"/>
      <c r="M3733" s="10"/>
      <c r="N3733" s="10"/>
      <c r="P3733" s="10"/>
      <c r="Q3733" s="22"/>
    </row>
    <row r="3734" customFormat="false" ht="15.75" hidden="false" customHeight="false" outlineLevel="0" collapsed="false">
      <c r="A3734" s="20" t="n">
        <v>46128</v>
      </c>
      <c r="B3734" s="15" t="s">
        <v>498</v>
      </c>
      <c r="C3734" s="15" t="s">
        <v>47</v>
      </c>
      <c r="D3734" s="15" t="s">
        <v>549</v>
      </c>
      <c r="E3734" s="15" t="n">
        <v>1</v>
      </c>
      <c r="H3734" s="10"/>
      <c r="I3734" s="21"/>
      <c r="M3734" s="10"/>
      <c r="N3734" s="10"/>
      <c r="P3734" s="10"/>
      <c r="Q3734" s="22"/>
    </row>
    <row r="3735" customFormat="false" ht="15.75" hidden="false" customHeight="false" outlineLevel="0" collapsed="false">
      <c r="A3735" s="20" t="n">
        <v>46128</v>
      </c>
      <c r="B3735" s="15" t="s">
        <v>498</v>
      </c>
      <c r="C3735" s="15" t="s">
        <v>75</v>
      </c>
      <c r="D3735" s="15" t="s">
        <v>560</v>
      </c>
      <c r="E3735" s="15" t="n">
        <v>1</v>
      </c>
      <c r="H3735" s="10"/>
      <c r="I3735" s="21"/>
      <c r="M3735" s="10"/>
      <c r="N3735" s="10"/>
      <c r="P3735" s="10"/>
      <c r="Q3735" s="22"/>
    </row>
    <row r="3736" customFormat="false" ht="15.75" hidden="false" customHeight="false" outlineLevel="0" collapsed="false">
      <c r="A3736" s="20" t="n">
        <v>46128</v>
      </c>
      <c r="B3736" s="15" t="s">
        <v>498</v>
      </c>
      <c r="C3736" s="15" t="s">
        <v>77</v>
      </c>
      <c r="D3736" s="15" t="s">
        <v>78</v>
      </c>
      <c r="E3736" s="15" t="n">
        <v>1</v>
      </c>
      <c r="H3736" s="10"/>
      <c r="I3736" s="21"/>
      <c r="M3736" s="10"/>
      <c r="N3736" s="10"/>
      <c r="P3736" s="10"/>
      <c r="Q3736" s="22"/>
    </row>
    <row r="3737" customFormat="false" ht="15.75" hidden="false" customHeight="false" outlineLevel="0" collapsed="false">
      <c r="A3737" s="20" t="n">
        <v>46128</v>
      </c>
      <c r="B3737" s="15" t="s">
        <v>504</v>
      </c>
      <c r="C3737" s="15" t="s">
        <v>47</v>
      </c>
      <c r="D3737" s="15" t="s">
        <v>549</v>
      </c>
      <c r="E3737" s="15" t="n">
        <v>6</v>
      </c>
      <c r="H3737" s="10"/>
      <c r="I3737" s="21"/>
      <c r="M3737" s="10"/>
      <c r="N3737" s="10"/>
      <c r="P3737" s="10"/>
      <c r="Q3737" s="22"/>
    </row>
    <row r="3738" customFormat="false" ht="15.75" hidden="false" customHeight="false" outlineLevel="0" collapsed="false">
      <c r="A3738" s="20" t="n">
        <v>46128</v>
      </c>
      <c r="B3738" s="15" t="s">
        <v>504</v>
      </c>
      <c r="C3738" s="15" t="s">
        <v>55</v>
      </c>
      <c r="D3738" s="15" t="s">
        <v>539</v>
      </c>
      <c r="E3738" s="15" t="n">
        <v>12</v>
      </c>
      <c r="H3738" s="10"/>
      <c r="I3738" s="21"/>
      <c r="M3738" s="10"/>
      <c r="N3738" s="10"/>
      <c r="P3738" s="10"/>
      <c r="Q3738" s="22"/>
    </row>
    <row r="3739" customFormat="false" ht="15.75" hidden="false" customHeight="false" outlineLevel="0" collapsed="false">
      <c r="A3739" s="20" t="n">
        <v>46128</v>
      </c>
      <c r="B3739" s="15" t="s">
        <v>504</v>
      </c>
      <c r="C3739" s="15" t="s">
        <v>81</v>
      </c>
      <c r="D3739" s="15" t="s">
        <v>534</v>
      </c>
      <c r="E3739" s="15" t="n">
        <v>18</v>
      </c>
      <c r="H3739" s="10"/>
      <c r="I3739" s="21"/>
      <c r="M3739" s="10"/>
      <c r="N3739" s="10"/>
      <c r="P3739" s="10"/>
      <c r="Q3739" s="22"/>
    </row>
    <row r="3740" customFormat="false" ht="15.75" hidden="false" customHeight="false" outlineLevel="0" collapsed="false">
      <c r="A3740" s="20" t="n">
        <v>46128</v>
      </c>
      <c r="B3740" s="15" t="s">
        <v>504</v>
      </c>
      <c r="C3740" s="15" t="s">
        <v>39</v>
      </c>
      <c r="D3740" s="15" t="s">
        <v>550</v>
      </c>
      <c r="E3740" s="15" t="n">
        <v>2</v>
      </c>
      <c r="H3740" s="10"/>
      <c r="I3740" s="21"/>
      <c r="M3740" s="10"/>
      <c r="N3740" s="10"/>
      <c r="P3740" s="10"/>
      <c r="Q3740" s="22"/>
    </row>
    <row r="3741" customFormat="false" ht="15.75" hidden="false" customHeight="false" outlineLevel="0" collapsed="false">
      <c r="A3741" s="20" t="n">
        <v>46128</v>
      </c>
      <c r="B3741" s="15" t="s">
        <v>504</v>
      </c>
      <c r="C3741" s="15" t="s">
        <v>63</v>
      </c>
      <c r="D3741" s="15" t="s">
        <v>551</v>
      </c>
      <c r="E3741" s="15" t="n">
        <v>2</v>
      </c>
      <c r="H3741" s="10"/>
      <c r="I3741" s="21"/>
      <c r="M3741" s="10"/>
      <c r="N3741" s="10"/>
      <c r="P3741" s="10"/>
      <c r="Q3741" s="22"/>
    </row>
    <row r="3742" customFormat="false" ht="15.75" hidden="false" customHeight="false" outlineLevel="0" collapsed="false">
      <c r="A3742" s="20" t="n">
        <v>46128</v>
      </c>
      <c r="B3742" s="15" t="s">
        <v>504</v>
      </c>
      <c r="C3742" s="15" t="s">
        <v>17</v>
      </c>
      <c r="D3742" s="15" t="s">
        <v>554</v>
      </c>
      <c r="E3742" s="15" t="n">
        <v>2</v>
      </c>
      <c r="H3742" s="10"/>
      <c r="I3742" s="21"/>
      <c r="M3742" s="10"/>
      <c r="N3742" s="10"/>
      <c r="P3742" s="10"/>
      <c r="Q3742" s="22"/>
    </row>
    <row r="3743" customFormat="false" ht="15.75" hidden="false" customHeight="false" outlineLevel="0" collapsed="false">
      <c r="A3743" s="20" t="n">
        <v>46128</v>
      </c>
      <c r="B3743" s="15" t="s">
        <v>508</v>
      </c>
      <c r="C3743" s="15" t="s">
        <v>55</v>
      </c>
      <c r="D3743" s="15" t="s">
        <v>539</v>
      </c>
      <c r="E3743" s="15" t="n">
        <v>5</v>
      </c>
      <c r="H3743" s="10"/>
      <c r="I3743" s="21"/>
      <c r="M3743" s="10"/>
      <c r="N3743" s="10"/>
      <c r="P3743" s="10"/>
      <c r="Q3743" s="22"/>
    </row>
    <row r="3744" customFormat="false" ht="15.75" hidden="false" customHeight="false" outlineLevel="0" collapsed="false">
      <c r="A3744" s="20" t="n">
        <v>46128</v>
      </c>
      <c r="B3744" s="15" t="s">
        <v>508</v>
      </c>
      <c r="C3744" s="15" t="s">
        <v>81</v>
      </c>
      <c r="D3744" s="15" t="s">
        <v>534</v>
      </c>
      <c r="E3744" s="15" t="n">
        <v>9</v>
      </c>
      <c r="H3744" s="10"/>
      <c r="I3744" s="21"/>
      <c r="M3744" s="10"/>
      <c r="N3744" s="10"/>
      <c r="P3744" s="10"/>
      <c r="Q3744" s="22"/>
    </row>
    <row r="3745" customFormat="false" ht="15.75" hidden="false" customHeight="false" outlineLevel="0" collapsed="false">
      <c r="A3745" s="20" t="n">
        <v>46128</v>
      </c>
      <c r="B3745" s="15" t="s">
        <v>508</v>
      </c>
      <c r="C3745" s="15" t="s">
        <v>39</v>
      </c>
      <c r="D3745" s="15" t="s">
        <v>550</v>
      </c>
      <c r="E3745" s="15" t="n">
        <v>2</v>
      </c>
      <c r="H3745" s="10"/>
      <c r="I3745" s="21"/>
      <c r="M3745" s="10"/>
      <c r="N3745" s="10"/>
      <c r="P3745" s="10"/>
      <c r="Q3745" s="22"/>
    </row>
    <row r="3746" customFormat="false" ht="15.75" hidden="false" customHeight="false" outlineLevel="0" collapsed="false">
      <c r="A3746" s="20" t="n">
        <v>46128</v>
      </c>
      <c r="B3746" s="15" t="s">
        <v>508</v>
      </c>
      <c r="C3746" s="15" t="s">
        <v>47</v>
      </c>
      <c r="D3746" s="15" t="s">
        <v>549</v>
      </c>
      <c r="E3746" s="15" t="n">
        <v>2</v>
      </c>
      <c r="H3746" s="10"/>
      <c r="I3746" s="21"/>
      <c r="M3746" s="10"/>
      <c r="N3746" s="10"/>
      <c r="P3746" s="10"/>
      <c r="Q3746" s="22"/>
    </row>
    <row r="3747" customFormat="false" ht="15.75" hidden="false" customHeight="false" outlineLevel="0" collapsed="false">
      <c r="A3747" s="20" t="n">
        <v>46128</v>
      </c>
      <c r="B3747" s="15" t="s">
        <v>508</v>
      </c>
      <c r="C3747" s="15" t="s">
        <v>63</v>
      </c>
      <c r="D3747" s="15" t="s">
        <v>551</v>
      </c>
      <c r="E3747" s="15" t="n">
        <v>1</v>
      </c>
      <c r="H3747" s="10"/>
      <c r="I3747" s="21"/>
      <c r="M3747" s="10"/>
      <c r="N3747" s="10"/>
      <c r="P3747" s="10"/>
      <c r="Q3747" s="22"/>
    </row>
    <row r="3748" customFormat="false" ht="15.75" hidden="false" customHeight="false" outlineLevel="0" collapsed="false">
      <c r="A3748" s="20" t="n">
        <v>46128</v>
      </c>
      <c r="B3748" s="15" t="s">
        <v>509</v>
      </c>
      <c r="C3748" s="15" t="s">
        <v>69</v>
      </c>
      <c r="D3748" s="15" t="s">
        <v>535</v>
      </c>
      <c r="E3748" s="15" t="n">
        <v>6</v>
      </c>
      <c r="H3748" s="10"/>
      <c r="I3748" s="21"/>
      <c r="M3748" s="10"/>
      <c r="N3748" s="10"/>
      <c r="P3748" s="10"/>
      <c r="Q3748" s="22"/>
    </row>
    <row r="3749" customFormat="false" ht="15.75" hidden="false" customHeight="false" outlineLevel="0" collapsed="false">
      <c r="A3749" s="20" t="n">
        <v>46128</v>
      </c>
      <c r="B3749" s="15" t="s">
        <v>509</v>
      </c>
      <c r="C3749" s="15" t="s">
        <v>33</v>
      </c>
      <c r="D3749" s="15" t="s">
        <v>536</v>
      </c>
      <c r="E3749" s="15" t="n">
        <v>6</v>
      </c>
      <c r="H3749" s="10"/>
      <c r="I3749" s="21"/>
      <c r="M3749" s="10"/>
      <c r="N3749" s="10"/>
      <c r="P3749" s="10"/>
      <c r="Q3749" s="22"/>
    </row>
    <row r="3750" customFormat="false" ht="15.75" hidden="false" customHeight="false" outlineLevel="0" collapsed="false">
      <c r="A3750" s="20" t="n">
        <v>46128</v>
      </c>
      <c r="B3750" s="15" t="s">
        <v>509</v>
      </c>
      <c r="C3750" s="15" t="s">
        <v>55</v>
      </c>
      <c r="D3750" s="15" t="s">
        <v>539</v>
      </c>
      <c r="E3750" s="15" t="n">
        <v>3</v>
      </c>
      <c r="H3750" s="10"/>
      <c r="I3750" s="21"/>
      <c r="M3750" s="10"/>
      <c r="N3750" s="10"/>
      <c r="P3750" s="10"/>
      <c r="Q3750" s="22"/>
    </row>
    <row r="3751" customFormat="false" ht="15.75" hidden="false" customHeight="false" outlineLevel="0" collapsed="false">
      <c r="A3751" s="20" t="n">
        <v>46128</v>
      </c>
      <c r="B3751" s="15" t="s">
        <v>509</v>
      </c>
      <c r="C3751" s="15" t="s">
        <v>547</v>
      </c>
      <c r="D3751" s="15" t="s">
        <v>548</v>
      </c>
      <c r="E3751" s="15" t="n">
        <v>1</v>
      </c>
      <c r="H3751" s="10"/>
      <c r="I3751" s="21"/>
      <c r="M3751" s="10"/>
      <c r="N3751" s="10"/>
      <c r="P3751" s="10"/>
      <c r="Q3751" s="22"/>
    </row>
    <row r="3752" customFormat="false" ht="15.75" hidden="false" customHeight="false" outlineLevel="0" collapsed="false">
      <c r="A3752" s="20" t="n">
        <v>46128</v>
      </c>
      <c r="B3752" s="15" t="s">
        <v>509</v>
      </c>
      <c r="C3752" s="15" t="s">
        <v>81</v>
      </c>
      <c r="D3752" s="15" t="s">
        <v>534</v>
      </c>
      <c r="E3752" s="15" t="n">
        <v>2</v>
      </c>
      <c r="H3752" s="10"/>
      <c r="I3752" s="21"/>
      <c r="M3752" s="10"/>
      <c r="N3752" s="10"/>
      <c r="P3752" s="10"/>
      <c r="Q3752" s="22"/>
    </row>
    <row r="3753" customFormat="false" ht="15.75" hidden="false" customHeight="false" outlineLevel="0" collapsed="false">
      <c r="A3753" s="20" t="n">
        <v>46128</v>
      </c>
      <c r="B3753" s="15" t="s">
        <v>509</v>
      </c>
      <c r="C3753" s="15" t="s">
        <v>37</v>
      </c>
      <c r="D3753" s="15" t="s">
        <v>561</v>
      </c>
      <c r="E3753" s="15" t="n">
        <v>1</v>
      </c>
      <c r="H3753" s="10"/>
      <c r="I3753" s="21"/>
      <c r="M3753" s="10"/>
      <c r="N3753" s="10"/>
      <c r="P3753" s="10"/>
      <c r="Q3753" s="22"/>
    </row>
    <row r="3754" customFormat="false" ht="15.75" hidden="false" customHeight="false" outlineLevel="0" collapsed="false">
      <c r="A3754" s="20" t="n">
        <v>46129</v>
      </c>
      <c r="B3754" s="15" t="s">
        <v>453</v>
      </c>
      <c r="C3754" s="15" t="s">
        <v>47</v>
      </c>
      <c r="D3754" s="15" t="s">
        <v>549</v>
      </c>
      <c r="E3754" s="15" t="n">
        <v>2</v>
      </c>
      <c r="H3754" s="10"/>
      <c r="I3754" s="21"/>
      <c r="M3754" s="10"/>
      <c r="N3754" s="10"/>
      <c r="P3754" s="10"/>
      <c r="Q3754" s="22"/>
    </row>
    <row r="3755" customFormat="false" ht="15.75" hidden="false" customHeight="false" outlineLevel="0" collapsed="false">
      <c r="A3755" s="20" t="n">
        <v>46129</v>
      </c>
      <c r="B3755" s="15" t="s">
        <v>453</v>
      </c>
      <c r="C3755" s="15" t="s">
        <v>55</v>
      </c>
      <c r="D3755" s="15" t="s">
        <v>539</v>
      </c>
      <c r="E3755" s="15" t="n">
        <v>4</v>
      </c>
      <c r="H3755" s="10"/>
      <c r="I3755" s="21"/>
      <c r="M3755" s="10"/>
      <c r="N3755" s="10"/>
      <c r="P3755" s="10"/>
      <c r="Q3755" s="22"/>
    </row>
    <row r="3756" customFormat="false" ht="15.75" hidden="false" customHeight="false" outlineLevel="0" collapsed="false">
      <c r="A3756" s="20" t="n">
        <v>46129</v>
      </c>
      <c r="B3756" s="15" t="s">
        <v>453</v>
      </c>
      <c r="C3756" s="15" t="s">
        <v>81</v>
      </c>
      <c r="D3756" s="15" t="s">
        <v>534</v>
      </c>
      <c r="E3756" s="15" t="n">
        <v>8</v>
      </c>
      <c r="H3756" s="10"/>
      <c r="I3756" s="21"/>
      <c r="M3756" s="10"/>
      <c r="N3756" s="10"/>
      <c r="P3756" s="10"/>
      <c r="Q3756" s="22"/>
    </row>
    <row r="3757" customFormat="false" ht="15.75" hidden="false" customHeight="false" outlineLevel="0" collapsed="false">
      <c r="A3757" s="20" t="n">
        <v>46129</v>
      </c>
      <c r="B3757" s="15" t="s">
        <v>453</v>
      </c>
      <c r="C3757" s="15" t="s">
        <v>39</v>
      </c>
      <c r="D3757" s="15" t="s">
        <v>550</v>
      </c>
      <c r="E3757" s="15" t="n">
        <v>2</v>
      </c>
      <c r="H3757" s="10"/>
      <c r="I3757" s="21"/>
      <c r="M3757" s="10"/>
      <c r="N3757" s="10"/>
      <c r="P3757" s="10"/>
      <c r="Q3757" s="22"/>
    </row>
    <row r="3758" customFormat="false" ht="15.75" hidden="false" customHeight="false" outlineLevel="0" collapsed="false">
      <c r="A3758" s="20" t="n">
        <v>46129</v>
      </c>
      <c r="B3758" s="15" t="s">
        <v>453</v>
      </c>
      <c r="C3758" s="15" t="s">
        <v>63</v>
      </c>
      <c r="D3758" s="15" t="s">
        <v>551</v>
      </c>
      <c r="E3758" s="15" t="n">
        <v>1</v>
      </c>
      <c r="H3758" s="10"/>
      <c r="I3758" s="21"/>
      <c r="M3758" s="10"/>
      <c r="N3758" s="10"/>
      <c r="P3758" s="10"/>
      <c r="Q3758" s="22"/>
    </row>
    <row r="3759" customFormat="false" ht="15.75" hidden="false" customHeight="false" outlineLevel="0" collapsed="false">
      <c r="A3759" s="20" t="n">
        <v>46129</v>
      </c>
      <c r="B3759" s="15" t="s">
        <v>453</v>
      </c>
      <c r="C3759" s="15" t="s">
        <v>35</v>
      </c>
      <c r="D3759" s="15" t="s">
        <v>552</v>
      </c>
      <c r="E3759" s="15" t="n">
        <v>2</v>
      </c>
      <c r="H3759" s="10"/>
      <c r="I3759" s="21"/>
      <c r="M3759" s="10"/>
      <c r="N3759" s="10"/>
      <c r="P3759" s="10"/>
      <c r="Q3759" s="22"/>
    </row>
    <row r="3760" customFormat="false" ht="15.75" hidden="false" customHeight="false" outlineLevel="0" collapsed="false">
      <c r="A3760" s="20" t="n">
        <v>46129</v>
      </c>
      <c r="B3760" s="15" t="s">
        <v>467</v>
      </c>
      <c r="C3760" s="15" t="s">
        <v>55</v>
      </c>
      <c r="D3760" s="15" t="s">
        <v>539</v>
      </c>
      <c r="E3760" s="15" t="n">
        <v>6</v>
      </c>
      <c r="H3760" s="10"/>
      <c r="I3760" s="21"/>
      <c r="M3760" s="10"/>
      <c r="N3760" s="10"/>
      <c r="P3760" s="10"/>
      <c r="Q3760" s="22"/>
    </row>
    <row r="3761" customFormat="false" ht="15.75" hidden="false" customHeight="false" outlineLevel="0" collapsed="false">
      <c r="A3761" s="20" t="n">
        <v>46129</v>
      </c>
      <c r="B3761" s="15" t="s">
        <v>467</v>
      </c>
      <c r="C3761" s="15" t="s">
        <v>57</v>
      </c>
      <c r="D3761" s="15" t="s">
        <v>553</v>
      </c>
      <c r="E3761" s="15" t="n">
        <v>2</v>
      </c>
      <c r="H3761" s="10"/>
      <c r="I3761" s="21"/>
      <c r="M3761" s="10"/>
      <c r="N3761" s="10"/>
      <c r="P3761" s="10"/>
      <c r="Q3761" s="22"/>
    </row>
    <row r="3762" customFormat="false" ht="15.75" hidden="false" customHeight="false" outlineLevel="0" collapsed="false">
      <c r="A3762" s="20" t="n">
        <v>46129</v>
      </c>
      <c r="B3762" s="15" t="s">
        <v>467</v>
      </c>
      <c r="C3762" s="15" t="s">
        <v>47</v>
      </c>
      <c r="D3762" s="15" t="s">
        <v>549</v>
      </c>
      <c r="E3762" s="15" t="n">
        <v>2</v>
      </c>
      <c r="H3762" s="10"/>
      <c r="I3762" s="21"/>
      <c r="M3762" s="10"/>
      <c r="N3762" s="10"/>
      <c r="P3762" s="10"/>
      <c r="Q3762" s="22"/>
    </row>
    <row r="3763" customFormat="false" ht="15.75" hidden="false" customHeight="false" outlineLevel="0" collapsed="false">
      <c r="A3763" s="20" t="n">
        <v>46129</v>
      </c>
      <c r="B3763" s="15" t="s">
        <v>467</v>
      </c>
      <c r="C3763" s="15" t="s">
        <v>81</v>
      </c>
      <c r="D3763" s="15" t="s">
        <v>534</v>
      </c>
      <c r="E3763" s="15" t="n">
        <v>7</v>
      </c>
      <c r="H3763" s="10"/>
      <c r="I3763" s="21"/>
      <c r="M3763" s="10"/>
      <c r="N3763" s="10"/>
      <c r="P3763" s="10"/>
      <c r="Q3763" s="22"/>
    </row>
    <row r="3764" customFormat="false" ht="15.75" hidden="false" customHeight="false" outlineLevel="0" collapsed="false">
      <c r="A3764" s="20" t="n">
        <v>46129</v>
      </c>
      <c r="B3764" s="15" t="s">
        <v>467</v>
      </c>
      <c r="C3764" s="15" t="s">
        <v>49</v>
      </c>
      <c r="D3764" s="15" t="s">
        <v>537</v>
      </c>
      <c r="E3764" s="15" t="n">
        <v>2</v>
      </c>
      <c r="H3764" s="10"/>
      <c r="I3764" s="21"/>
      <c r="M3764" s="10"/>
      <c r="N3764" s="10"/>
      <c r="P3764" s="10"/>
      <c r="Q3764" s="22"/>
    </row>
    <row r="3765" customFormat="false" ht="15.75" hidden="false" customHeight="false" outlineLevel="0" collapsed="false">
      <c r="A3765" s="20" t="n">
        <v>46129</v>
      </c>
      <c r="B3765" s="15" t="s">
        <v>467</v>
      </c>
      <c r="C3765" s="15" t="s">
        <v>63</v>
      </c>
      <c r="D3765" s="15" t="s">
        <v>551</v>
      </c>
      <c r="E3765" s="15" t="n">
        <v>1</v>
      </c>
      <c r="H3765" s="10"/>
      <c r="I3765" s="21"/>
      <c r="M3765" s="10"/>
      <c r="N3765" s="10"/>
      <c r="P3765" s="10"/>
      <c r="Q3765" s="22"/>
    </row>
    <row r="3766" customFormat="false" ht="15.75" hidden="false" customHeight="false" outlineLevel="0" collapsed="false">
      <c r="A3766" s="20" t="n">
        <v>46129</v>
      </c>
      <c r="B3766" s="15" t="s">
        <v>469</v>
      </c>
      <c r="C3766" s="15" t="s">
        <v>69</v>
      </c>
      <c r="D3766" s="15" t="s">
        <v>535</v>
      </c>
      <c r="E3766" s="15" t="n">
        <v>5</v>
      </c>
      <c r="H3766" s="10"/>
      <c r="I3766" s="21"/>
      <c r="M3766" s="10"/>
      <c r="N3766" s="10"/>
      <c r="P3766" s="10"/>
      <c r="Q3766" s="22"/>
    </row>
    <row r="3767" customFormat="false" ht="15.75" hidden="false" customHeight="false" outlineLevel="0" collapsed="false">
      <c r="A3767" s="20" t="n">
        <v>46129</v>
      </c>
      <c r="B3767" s="15" t="s">
        <v>469</v>
      </c>
      <c r="C3767" s="15" t="s">
        <v>55</v>
      </c>
      <c r="D3767" s="15" t="s">
        <v>539</v>
      </c>
      <c r="E3767" s="15" t="n">
        <v>2</v>
      </c>
      <c r="H3767" s="10"/>
      <c r="I3767" s="21"/>
      <c r="M3767" s="10"/>
      <c r="N3767" s="10"/>
      <c r="P3767" s="10"/>
      <c r="Q3767" s="22"/>
    </row>
    <row r="3768" customFormat="false" ht="15.75" hidden="false" customHeight="false" outlineLevel="0" collapsed="false">
      <c r="A3768" s="20" t="n">
        <v>46129</v>
      </c>
      <c r="B3768" s="15" t="s">
        <v>469</v>
      </c>
      <c r="C3768" s="15" t="s">
        <v>33</v>
      </c>
      <c r="D3768" s="15" t="s">
        <v>536</v>
      </c>
      <c r="E3768" s="15" t="n">
        <v>5</v>
      </c>
      <c r="H3768" s="10"/>
      <c r="I3768" s="21"/>
      <c r="M3768" s="10"/>
      <c r="N3768" s="10"/>
      <c r="P3768" s="10"/>
      <c r="Q3768" s="22"/>
    </row>
    <row r="3769" customFormat="false" ht="15.75" hidden="false" customHeight="false" outlineLevel="0" collapsed="false">
      <c r="A3769" s="20" t="n">
        <v>46129</v>
      </c>
      <c r="B3769" s="15" t="s">
        <v>469</v>
      </c>
      <c r="C3769" s="15" t="s">
        <v>547</v>
      </c>
      <c r="D3769" s="15" t="s">
        <v>548</v>
      </c>
      <c r="E3769" s="15" t="n">
        <v>1</v>
      </c>
      <c r="H3769" s="10"/>
      <c r="I3769" s="21"/>
      <c r="M3769" s="10"/>
      <c r="N3769" s="10"/>
      <c r="P3769" s="10"/>
      <c r="Q3769" s="22"/>
    </row>
    <row r="3770" customFormat="false" ht="15.75" hidden="false" customHeight="false" outlineLevel="0" collapsed="false">
      <c r="A3770" s="20" t="n">
        <v>46129</v>
      </c>
      <c r="B3770" s="15" t="s">
        <v>469</v>
      </c>
      <c r="C3770" s="15" t="s">
        <v>81</v>
      </c>
      <c r="D3770" s="15" t="s">
        <v>534</v>
      </c>
      <c r="E3770" s="15" t="n">
        <v>2</v>
      </c>
      <c r="H3770" s="10"/>
      <c r="I3770" s="21"/>
      <c r="M3770" s="10"/>
      <c r="N3770" s="10"/>
      <c r="P3770" s="10"/>
      <c r="Q3770" s="22"/>
    </row>
    <row r="3771" customFormat="false" ht="15.75" hidden="false" customHeight="false" outlineLevel="0" collapsed="false">
      <c r="A3771" s="20" t="n">
        <v>46129</v>
      </c>
      <c r="B3771" s="15" t="s">
        <v>472</v>
      </c>
      <c r="C3771" s="15" t="s">
        <v>555</v>
      </c>
      <c r="D3771" s="15" t="s">
        <v>556</v>
      </c>
      <c r="E3771" s="15" t="n">
        <v>3</v>
      </c>
      <c r="H3771" s="10"/>
      <c r="I3771" s="21"/>
      <c r="M3771" s="10"/>
      <c r="N3771" s="10"/>
      <c r="P3771" s="10"/>
      <c r="Q3771" s="22"/>
    </row>
    <row r="3772" customFormat="false" ht="15.75" hidden="false" customHeight="false" outlineLevel="0" collapsed="false">
      <c r="A3772" s="20" t="n">
        <v>46129</v>
      </c>
      <c r="B3772" s="15" t="s">
        <v>472</v>
      </c>
      <c r="C3772" s="15" t="s">
        <v>11</v>
      </c>
      <c r="D3772" s="15" t="s">
        <v>572</v>
      </c>
      <c r="E3772" s="15" t="n">
        <v>3</v>
      </c>
      <c r="H3772" s="10"/>
      <c r="I3772" s="21"/>
      <c r="M3772" s="10"/>
      <c r="N3772" s="10"/>
      <c r="P3772" s="10"/>
      <c r="Q3772" s="22"/>
    </row>
    <row r="3773" customFormat="false" ht="15.75" hidden="false" customHeight="false" outlineLevel="0" collapsed="false">
      <c r="A3773" s="20" t="n">
        <v>46129</v>
      </c>
      <c r="B3773" s="15" t="s">
        <v>472</v>
      </c>
      <c r="C3773" s="15" t="s">
        <v>69</v>
      </c>
      <c r="D3773" s="15" t="s">
        <v>535</v>
      </c>
      <c r="E3773" s="15" t="n">
        <v>3</v>
      </c>
      <c r="H3773" s="10"/>
      <c r="I3773" s="21"/>
      <c r="M3773" s="10"/>
      <c r="N3773" s="10"/>
      <c r="P3773" s="10"/>
      <c r="Q3773" s="22"/>
    </row>
    <row r="3774" customFormat="false" ht="15.75" hidden="false" customHeight="false" outlineLevel="0" collapsed="false">
      <c r="A3774" s="20" t="n">
        <v>46129</v>
      </c>
      <c r="B3774" s="15" t="s">
        <v>472</v>
      </c>
      <c r="C3774" s="15" t="s">
        <v>25</v>
      </c>
      <c r="D3774" s="15" t="s">
        <v>26</v>
      </c>
      <c r="E3774" s="15" t="n">
        <v>3</v>
      </c>
      <c r="H3774" s="10"/>
      <c r="I3774" s="21"/>
      <c r="M3774" s="10"/>
      <c r="N3774" s="10"/>
      <c r="P3774" s="10"/>
      <c r="Q3774" s="22"/>
    </row>
    <row r="3775" customFormat="false" ht="15.75" hidden="false" customHeight="false" outlineLevel="0" collapsed="false">
      <c r="A3775" s="20" t="n">
        <v>46129</v>
      </c>
      <c r="B3775" s="15" t="s">
        <v>475</v>
      </c>
      <c r="C3775" s="15" t="s">
        <v>69</v>
      </c>
      <c r="D3775" s="15" t="s">
        <v>535</v>
      </c>
      <c r="E3775" s="15" t="n">
        <v>2</v>
      </c>
      <c r="H3775" s="10"/>
      <c r="I3775" s="21"/>
      <c r="M3775" s="10"/>
      <c r="N3775" s="10"/>
      <c r="P3775" s="10"/>
      <c r="Q3775" s="22"/>
    </row>
    <row r="3776" customFormat="false" ht="15.75" hidden="false" customHeight="false" outlineLevel="0" collapsed="false">
      <c r="A3776" s="20" t="n">
        <v>46129</v>
      </c>
      <c r="B3776" s="15" t="s">
        <v>475</v>
      </c>
      <c r="C3776" s="15" t="s">
        <v>33</v>
      </c>
      <c r="D3776" s="15" t="s">
        <v>536</v>
      </c>
      <c r="E3776" s="15" t="n">
        <v>2</v>
      </c>
      <c r="H3776" s="10"/>
      <c r="I3776" s="21"/>
      <c r="M3776" s="10"/>
      <c r="N3776" s="10"/>
      <c r="P3776" s="10"/>
      <c r="Q3776" s="22"/>
    </row>
    <row r="3777" customFormat="false" ht="15.75" hidden="false" customHeight="false" outlineLevel="0" collapsed="false">
      <c r="A3777" s="20" t="n">
        <v>46129</v>
      </c>
      <c r="B3777" s="15" t="s">
        <v>475</v>
      </c>
      <c r="C3777" s="15" t="s">
        <v>555</v>
      </c>
      <c r="D3777" s="15" t="s">
        <v>556</v>
      </c>
      <c r="E3777" s="15" t="n">
        <v>2</v>
      </c>
      <c r="H3777" s="10"/>
      <c r="I3777" s="21"/>
      <c r="M3777" s="10"/>
      <c r="N3777" s="10"/>
      <c r="P3777" s="10"/>
      <c r="Q3777" s="22"/>
    </row>
    <row r="3778" customFormat="false" ht="15.75" hidden="false" customHeight="false" outlineLevel="0" collapsed="false">
      <c r="A3778" s="20" t="n">
        <v>46129</v>
      </c>
      <c r="B3778" s="15" t="s">
        <v>475</v>
      </c>
      <c r="C3778" s="15" t="s">
        <v>547</v>
      </c>
      <c r="D3778" s="15" t="s">
        <v>548</v>
      </c>
      <c r="E3778" s="15" t="n">
        <v>6</v>
      </c>
      <c r="H3778" s="10"/>
      <c r="I3778" s="21"/>
      <c r="M3778" s="10"/>
      <c r="N3778" s="10"/>
      <c r="P3778" s="10"/>
      <c r="Q3778" s="22"/>
    </row>
    <row r="3779" customFormat="false" ht="15.75" hidden="false" customHeight="false" outlineLevel="0" collapsed="false">
      <c r="A3779" s="20" t="n">
        <v>46129</v>
      </c>
      <c r="B3779" s="15" t="s">
        <v>475</v>
      </c>
      <c r="C3779" s="15" t="s">
        <v>557</v>
      </c>
      <c r="D3779" s="15" t="s">
        <v>558</v>
      </c>
      <c r="E3779" s="15" t="n">
        <v>2</v>
      </c>
      <c r="H3779" s="10"/>
      <c r="I3779" s="21"/>
      <c r="M3779" s="10"/>
      <c r="N3779" s="10"/>
      <c r="P3779" s="10"/>
      <c r="Q3779" s="22"/>
    </row>
    <row r="3780" customFormat="false" ht="15.75" hidden="false" customHeight="false" outlineLevel="0" collapsed="false">
      <c r="A3780" s="20" t="n">
        <v>46129</v>
      </c>
      <c r="B3780" s="15" t="s">
        <v>486</v>
      </c>
      <c r="C3780" s="15" t="s">
        <v>55</v>
      </c>
      <c r="D3780" s="15" t="s">
        <v>539</v>
      </c>
      <c r="E3780" s="15" t="n">
        <v>1</v>
      </c>
      <c r="H3780" s="10"/>
      <c r="I3780" s="21"/>
      <c r="M3780" s="10"/>
      <c r="N3780" s="10"/>
      <c r="P3780" s="10"/>
      <c r="Q3780" s="22"/>
    </row>
    <row r="3781" customFormat="false" ht="15.75" hidden="false" customHeight="false" outlineLevel="0" collapsed="false">
      <c r="A3781" s="20" t="n">
        <v>46129</v>
      </c>
      <c r="B3781" s="15" t="s">
        <v>486</v>
      </c>
      <c r="C3781" s="15" t="s">
        <v>81</v>
      </c>
      <c r="D3781" s="15" t="s">
        <v>534</v>
      </c>
      <c r="E3781" s="15" t="n">
        <v>4</v>
      </c>
      <c r="H3781" s="10"/>
      <c r="I3781" s="21"/>
      <c r="M3781" s="10"/>
      <c r="N3781" s="10"/>
      <c r="P3781" s="10"/>
      <c r="Q3781" s="22"/>
    </row>
    <row r="3782" customFormat="false" ht="15.75" hidden="false" customHeight="false" outlineLevel="0" collapsed="false">
      <c r="A3782" s="20" t="n">
        <v>46129</v>
      </c>
      <c r="B3782" s="15" t="s">
        <v>486</v>
      </c>
      <c r="C3782" s="15" t="s">
        <v>69</v>
      </c>
      <c r="D3782" s="15" t="s">
        <v>535</v>
      </c>
      <c r="E3782" s="15" t="n">
        <v>5</v>
      </c>
      <c r="H3782" s="10"/>
      <c r="I3782" s="21"/>
      <c r="M3782" s="10"/>
      <c r="N3782" s="10"/>
      <c r="P3782" s="10"/>
      <c r="Q3782" s="22"/>
    </row>
    <row r="3783" customFormat="false" ht="15.75" hidden="false" customHeight="false" outlineLevel="0" collapsed="false">
      <c r="A3783" s="20" t="n">
        <v>46129</v>
      </c>
      <c r="B3783" s="15" t="s">
        <v>486</v>
      </c>
      <c r="C3783" s="15" t="s">
        <v>25</v>
      </c>
      <c r="D3783" s="15" t="s">
        <v>26</v>
      </c>
      <c r="E3783" s="15" t="n">
        <v>1</v>
      </c>
      <c r="H3783" s="10"/>
      <c r="I3783" s="21"/>
      <c r="M3783" s="10"/>
      <c r="N3783" s="10"/>
      <c r="P3783" s="10"/>
      <c r="Q3783" s="22"/>
    </row>
    <row r="3784" customFormat="false" ht="15.75" hidden="false" customHeight="false" outlineLevel="0" collapsed="false">
      <c r="A3784" s="20" t="n">
        <v>46129</v>
      </c>
      <c r="B3784" s="15" t="s">
        <v>486</v>
      </c>
      <c r="C3784" s="15" t="s">
        <v>11</v>
      </c>
      <c r="D3784" s="15" t="s">
        <v>572</v>
      </c>
      <c r="E3784" s="15" t="n">
        <v>1</v>
      </c>
      <c r="H3784" s="10"/>
      <c r="I3784" s="21"/>
      <c r="M3784" s="10"/>
      <c r="N3784" s="10"/>
      <c r="P3784" s="10"/>
      <c r="Q3784" s="22"/>
    </row>
    <row r="3785" customFormat="false" ht="15.75" hidden="false" customHeight="false" outlineLevel="0" collapsed="false">
      <c r="A3785" s="20" t="n">
        <v>46129</v>
      </c>
      <c r="B3785" s="15" t="s">
        <v>486</v>
      </c>
      <c r="C3785" s="15" t="s">
        <v>555</v>
      </c>
      <c r="D3785" s="15" t="s">
        <v>556</v>
      </c>
      <c r="E3785" s="15" t="n">
        <v>1</v>
      </c>
      <c r="H3785" s="10"/>
      <c r="I3785" s="21"/>
      <c r="M3785" s="10"/>
      <c r="N3785" s="10"/>
      <c r="P3785" s="10"/>
      <c r="Q3785" s="22"/>
    </row>
    <row r="3786" customFormat="false" ht="15.75" hidden="false" customHeight="false" outlineLevel="0" collapsed="false">
      <c r="A3786" s="20" t="n">
        <v>46129</v>
      </c>
      <c r="B3786" s="15" t="s">
        <v>486</v>
      </c>
      <c r="C3786" s="15" t="s">
        <v>543</v>
      </c>
      <c r="D3786" s="15" t="s">
        <v>544</v>
      </c>
      <c r="E3786" s="15" t="n">
        <v>2</v>
      </c>
      <c r="H3786" s="10"/>
      <c r="I3786" s="21"/>
      <c r="M3786" s="10"/>
      <c r="N3786" s="10"/>
      <c r="P3786" s="10"/>
      <c r="Q3786" s="22"/>
    </row>
    <row r="3787" customFormat="false" ht="15.75" hidden="false" customHeight="false" outlineLevel="0" collapsed="false">
      <c r="A3787" s="20" t="n">
        <v>46129</v>
      </c>
      <c r="B3787" s="15" t="s">
        <v>486</v>
      </c>
      <c r="C3787" s="15" t="s">
        <v>545</v>
      </c>
      <c r="D3787" s="15" t="s">
        <v>546</v>
      </c>
      <c r="E3787" s="15" t="n">
        <v>1</v>
      </c>
      <c r="H3787" s="10"/>
      <c r="I3787" s="21"/>
      <c r="M3787" s="10"/>
      <c r="N3787" s="10"/>
      <c r="P3787" s="10"/>
      <c r="Q3787" s="22"/>
    </row>
    <row r="3788" customFormat="false" ht="15.75" hidden="false" customHeight="false" outlineLevel="0" collapsed="false">
      <c r="A3788" s="20" t="n">
        <v>46129</v>
      </c>
      <c r="B3788" s="15" t="s">
        <v>486</v>
      </c>
      <c r="C3788" s="15" t="s">
        <v>77</v>
      </c>
      <c r="D3788" s="15" t="s">
        <v>78</v>
      </c>
      <c r="E3788" s="15" t="n">
        <v>2</v>
      </c>
      <c r="H3788" s="10"/>
      <c r="I3788" s="21"/>
      <c r="M3788" s="10"/>
      <c r="N3788" s="10"/>
      <c r="P3788" s="10"/>
      <c r="Q3788" s="22"/>
    </row>
    <row r="3789" customFormat="false" ht="15.75" hidden="false" customHeight="false" outlineLevel="0" collapsed="false">
      <c r="A3789" s="20" t="n">
        <v>46129</v>
      </c>
      <c r="B3789" s="15" t="s">
        <v>486</v>
      </c>
      <c r="C3789" s="15" t="s">
        <v>33</v>
      </c>
      <c r="D3789" s="15" t="s">
        <v>536</v>
      </c>
      <c r="E3789" s="15" t="n">
        <v>4</v>
      </c>
      <c r="H3789" s="10"/>
      <c r="I3789" s="21"/>
      <c r="M3789" s="10"/>
      <c r="N3789" s="10"/>
      <c r="P3789" s="10"/>
      <c r="Q3789" s="22"/>
    </row>
    <row r="3790" customFormat="false" ht="15.75" hidden="false" customHeight="false" outlineLevel="0" collapsed="false">
      <c r="A3790" s="20" t="n">
        <v>46129</v>
      </c>
      <c r="B3790" s="15" t="s">
        <v>486</v>
      </c>
      <c r="C3790" s="15" t="s">
        <v>578</v>
      </c>
      <c r="D3790" s="15" t="s">
        <v>579</v>
      </c>
      <c r="E3790" s="15" t="n">
        <v>1</v>
      </c>
      <c r="H3790" s="10"/>
      <c r="I3790" s="21"/>
      <c r="M3790" s="10"/>
      <c r="N3790" s="10"/>
      <c r="P3790" s="10"/>
      <c r="Q3790" s="22"/>
    </row>
    <row r="3791" customFormat="false" ht="15.75" hidden="false" customHeight="false" outlineLevel="0" collapsed="false">
      <c r="A3791" s="20" t="n">
        <v>46129</v>
      </c>
      <c r="B3791" s="15" t="s">
        <v>486</v>
      </c>
      <c r="C3791" s="15" t="s">
        <v>59</v>
      </c>
      <c r="D3791" s="15" t="s">
        <v>562</v>
      </c>
      <c r="E3791" s="15" t="n">
        <v>1</v>
      </c>
      <c r="H3791" s="10"/>
      <c r="I3791" s="21"/>
      <c r="M3791" s="10"/>
      <c r="N3791" s="10"/>
      <c r="P3791" s="10"/>
      <c r="Q3791" s="22"/>
    </row>
    <row r="3792" customFormat="false" ht="15.75" hidden="false" customHeight="false" outlineLevel="0" collapsed="false">
      <c r="A3792" s="20" t="n">
        <v>46129</v>
      </c>
      <c r="B3792" s="15" t="s">
        <v>486</v>
      </c>
      <c r="C3792" s="15" t="s">
        <v>79</v>
      </c>
      <c r="D3792" s="15" t="s">
        <v>564</v>
      </c>
      <c r="E3792" s="15" t="n">
        <v>2</v>
      </c>
      <c r="H3792" s="10"/>
      <c r="I3792" s="21"/>
      <c r="M3792" s="10"/>
      <c r="N3792" s="10"/>
      <c r="P3792" s="10"/>
      <c r="Q3792" s="22"/>
    </row>
    <row r="3793" customFormat="false" ht="15.75" hidden="false" customHeight="false" outlineLevel="0" collapsed="false">
      <c r="A3793" s="20" t="n">
        <v>46129</v>
      </c>
      <c r="B3793" s="15" t="s">
        <v>489</v>
      </c>
      <c r="C3793" s="15" t="s">
        <v>31</v>
      </c>
      <c r="D3793" s="15" t="s">
        <v>559</v>
      </c>
      <c r="E3793" s="15" t="n">
        <v>2</v>
      </c>
      <c r="H3793" s="10"/>
      <c r="I3793" s="21"/>
      <c r="M3793" s="10"/>
      <c r="N3793" s="10"/>
      <c r="P3793" s="10"/>
      <c r="Q3793" s="22"/>
    </row>
    <row r="3794" customFormat="false" ht="15.75" hidden="false" customHeight="false" outlineLevel="0" collapsed="false">
      <c r="A3794" s="20" t="n">
        <v>46129</v>
      </c>
      <c r="B3794" s="15" t="s">
        <v>489</v>
      </c>
      <c r="C3794" s="15" t="s">
        <v>43</v>
      </c>
      <c r="D3794" s="15" t="s">
        <v>538</v>
      </c>
      <c r="E3794" s="15" t="n">
        <v>3</v>
      </c>
      <c r="H3794" s="10"/>
      <c r="I3794" s="21"/>
      <c r="M3794" s="10"/>
      <c r="N3794" s="10"/>
      <c r="P3794" s="10"/>
      <c r="Q3794" s="22"/>
    </row>
    <row r="3795" customFormat="false" ht="15.75" hidden="false" customHeight="false" outlineLevel="0" collapsed="false">
      <c r="A3795" s="20" t="n">
        <v>46129</v>
      </c>
      <c r="B3795" s="15" t="s">
        <v>489</v>
      </c>
      <c r="C3795" s="15" t="s">
        <v>81</v>
      </c>
      <c r="D3795" s="15" t="s">
        <v>534</v>
      </c>
      <c r="E3795" s="15" t="n">
        <v>5</v>
      </c>
      <c r="H3795" s="10"/>
      <c r="I3795" s="21"/>
      <c r="M3795" s="10"/>
      <c r="N3795" s="10"/>
      <c r="P3795" s="10"/>
      <c r="Q3795" s="22"/>
    </row>
    <row r="3796" customFormat="false" ht="15.75" hidden="false" customHeight="false" outlineLevel="0" collapsed="false">
      <c r="A3796" s="20" t="n">
        <v>46129</v>
      </c>
      <c r="B3796" s="15" t="s">
        <v>489</v>
      </c>
      <c r="C3796" s="15" t="s">
        <v>547</v>
      </c>
      <c r="D3796" s="15" t="s">
        <v>548</v>
      </c>
      <c r="E3796" s="15" t="n">
        <v>6</v>
      </c>
      <c r="H3796" s="10"/>
      <c r="I3796" s="21"/>
      <c r="M3796" s="10"/>
      <c r="N3796" s="10"/>
      <c r="P3796" s="10"/>
      <c r="Q3796" s="22"/>
    </row>
    <row r="3797" customFormat="false" ht="15.75" hidden="false" customHeight="false" outlineLevel="0" collapsed="false">
      <c r="A3797" s="20" t="n">
        <v>46129</v>
      </c>
      <c r="B3797" s="15" t="s">
        <v>489</v>
      </c>
      <c r="C3797" s="15" t="s">
        <v>69</v>
      </c>
      <c r="D3797" s="15" t="s">
        <v>535</v>
      </c>
      <c r="E3797" s="15" t="n">
        <v>4</v>
      </c>
      <c r="H3797" s="10"/>
      <c r="I3797" s="21"/>
      <c r="M3797" s="10"/>
      <c r="N3797" s="10"/>
      <c r="P3797" s="10"/>
      <c r="Q3797" s="22"/>
    </row>
    <row r="3798" customFormat="false" ht="15.75" hidden="false" customHeight="false" outlineLevel="0" collapsed="false">
      <c r="A3798" s="20" t="n">
        <v>46129</v>
      </c>
      <c r="B3798" s="15" t="s">
        <v>489</v>
      </c>
      <c r="C3798" s="15" t="s">
        <v>33</v>
      </c>
      <c r="D3798" s="15" t="s">
        <v>536</v>
      </c>
      <c r="E3798" s="15" t="n">
        <v>4</v>
      </c>
      <c r="H3798" s="10"/>
      <c r="I3798" s="21"/>
      <c r="M3798" s="10"/>
      <c r="N3798" s="10"/>
      <c r="P3798" s="10"/>
      <c r="Q3798" s="22"/>
    </row>
    <row r="3799" customFormat="false" ht="15.75" hidden="false" customHeight="false" outlineLevel="0" collapsed="false">
      <c r="A3799" s="20" t="n">
        <v>46129</v>
      </c>
      <c r="B3799" s="15" t="s">
        <v>489</v>
      </c>
      <c r="C3799" s="15" t="s">
        <v>545</v>
      </c>
      <c r="D3799" s="15" t="s">
        <v>546</v>
      </c>
      <c r="E3799" s="15" t="n">
        <v>2</v>
      </c>
      <c r="H3799" s="10"/>
      <c r="I3799" s="21"/>
      <c r="M3799" s="10"/>
      <c r="N3799" s="10"/>
      <c r="P3799" s="10"/>
      <c r="Q3799" s="22"/>
    </row>
    <row r="3800" customFormat="false" ht="15.75" hidden="false" customHeight="false" outlineLevel="0" collapsed="false">
      <c r="A3800" s="20" t="n">
        <v>46129</v>
      </c>
      <c r="B3800" s="15" t="s">
        <v>489</v>
      </c>
      <c r="C3800" s="15" t="s">
        <v>555</v>
      </c>
      <c r="D3800" s="15" t="s">
        <v>556</v>
      </c>
      <c r="E3800" s="15" t="n">
        <v>2</v>
      </c>
      <c r="H3800" s="10"/>
      <c r="I3800" s="21"/>
      <c r="M3800" s="10"/>
      <c r="N3800" s="10"/>
      <c r="P3800" s="10"/>
      <c r="Q3800" s="22"/>
    </row>
    <row r="3801" customFormat="false" ht="15.75" hidden="false" customHeight="false" outlineLevel="0" collapsed="false">
      <c r="A3801" s="20" t="n">
        <v>46129</v>
      </c>
      <c r="B3801" s="15" t="s">
        <v>489</v>
      </c>
      <c r="C3801" s="15" t="s">
        <v>75</v>
      </c>
      <c r="D3801" s="15" t="s">
        <v>560</v>
      </c>
      <c r="E3801" s="15" t="n">
        <v>1</v>
      </c>
      <c r="H3801" s="10"/>
      <c r="I3801" s="21"/>
      <c r="M3801" s="10"/>
      <c r="N3801" s="10"/>
      <c r="P3801" s="10"/>
      <c r="Q3801" s="22"/>
    </row>
    <row r="3802" customFormat="false" ht="15.75" hidden="false" customHeight="false" outlineLevel="0" collapsed="false">
      <c r="A3802" s="20" t="n">
        <v>46129</v>
      </c>
      <c r="B3802" s="15" t="s">
        <v>489</v>
      </c>
      <c r="C3802" s="15" t="s">
        <v>77</v>
      </c>
      <c r="D3802" s="15" t="s">
        <v>78</v>
      </c>
      <c r="E3802" s="15" t="n">
        <v>2</v>
      </c>
      <c r="H3802" s="10"/>
      <c r="I3802" s="21"/>
      <c r="M3802" s="10"/>
      <c r="N3802" s="10"/>
      <c r="P3802" s="10"/>
      <c r="Q3802" s="22"/>
    </row>
    <row r="3803" customFormat="false" ht="15.75" hidden="false" customHeight="false" outlineLevel="0" collapsed="false">
      <c r="A3803" s="20" t="n">
        <v>46129</v>
      </c>
      <c r="B3803" s="15" t="s">
        <v>495</v>
      </c>
      <c r="C3803" s="15" t="s">
        <v>55</v>
      </c>
      <c r="D3803" s="15" t="s">
        <v>539</v>
      </c>
      <c r="E3803" s="15" t="n">
        <v>1</v>
      </c>
      <c r="H3803" s="10"/>
      <c r="I3803" s="21"/>
      <c r="M3803" s="10"/>
      <c r="N3803" s="10"/>
      <c r="P3803" s="10"/>
      <c r="Q3803" s="22"/>
    </row>
    <row r="3804" customFormat="false" ht="15.75" hidden="false" customHeight="false" outlineLevel="0" collapsed="false">
      <c r="A3804" s="20" t="n">
        <v>46129</v>
      </c>
      <c r="B3804" s="15" t="s">
        <v>495</v>
      </c>
      <c r="C3804" s="15" t="s">
        <v>81</v>
      </c>
      <c r="D3804" s="15" t="s">
        <v>534</v>
      </c>
      <c r="E3804" s="15" t="n">
        <v>3</v>
      </c>
      <c r="H3804" s="10"/>
      <c r="I3804" s="21"/>
      <c r="M3804" s="10"/>
      <c r="N3804" s="10"/>
      <c r="P3804" s="10"/>
      <c r="Q3804" s="22"/>
    </row>
    <row r="3805" customFormat="false" ht="15.75" hidden="false" customHeight="false" outlineLevel="0" collapsed="false">
      <c r="A3805" s="20" t="n">
        <v>46129</v>
      </c>
      <c r="B3805" s="15" t="s">
        <v>495</v>
      </c>
      <c r="C3805" s="15" t="s">
        <v>75</v>
      </c>
      <c r="D3805" s="15" t="s">
        <v>560</v>
      </c>
      <c r="E3805" s="15" t="n">
        <v>1</v>
      </c>
      <c r="H3805" s="10"/>
      <c r="I3805" s="21"/>
      <c r="M3805" s="10"/>
      <c r="N3805" s="10"/>
      <c r="P3805" s="10"/>
      <c r="Q3805" s="22"/>
    </row>
    <row r="3806" customFormat="false" ht="15.75" hidden="false" customHeight="false" outlineLevel="0" collapsed="false">
      <c r="A3806" s="20" t="n">
        <v>46129</v>
      </c>
      <c r="B3806" s="15" t="s">
        <v>495</v>
      </c>
      <c r="C3806" s="15" t="s">
        <v>43</v>
      </c>
      <c r="D3806" s="15" t="s">
        <v>538</v>
      </c>
      <c r="E3806" s="15" t="n">
        <v>1</v>
      </c>
      <c r="H3806" s="10"/>
      <c r="I3806" s="21"/>
      <c r="M3806" s="10"/>
      <c r="N3806" s="10"/>
      <c r="P3806" s="10"/>
      <c r="Q3806" s="22"/>
    </row>
    <row r="3807" customFormat="false" ht="15.75" hidden="false" customHeight="false" outlineLevel="0" collapsed="false">
      <c r="A3807" s="20" t="n">
        <v>46129</v>
      </c>
      <c r="B3807" s="15" t="s">
        <v>495</v>
      </c>
      <c r="C3807" s="15" t="s">
        <v>69</v>
      </c>
      <c r="D3807" s="15" t="s">
        <v>535</v>
      </c>
      <c r="E3807" s="15" t="n">
        <v>5</v>
      </c>
      <c r="H3807" s="10"/>
      <c r="I3807" s="21"/>
      <c r="M3807" s="10"/>
      <c r="N3807" s="10"/>
      <c r="P3807" s="10"/>
      <c r="Q3807" s="22"/>
    </row>
    <row r="3808" customFormat="false" ht="15.75" hidden="false" customHeight="false" outlineLevel="0" collapsed="false">
      <c r="A3808" s="20" t="n">
        <v>46129</v>
      </c>
      <c r="B3808" s="15" t="s">
        <v>495</v>
      </c>
      <c r="C3808" s="15" t="s">
        <v>547</v>
      </c>
      <c r="D3808" s="15" t="s">
        <v>548</v>
      </c>
      <c r="E3808" s="15" t="n">
        <v>3</v>
      </c>
      <c r="H3808" s="10"/>
      <c r="I3808" s="21"/>
      <c r="M3808" s="10"/>
      <c r="N3808" s="10"/>
      <c r="P3808" s="10"/>
      <c r="Q3808" s="22"/>
    </row>
    <row r="3809" customFormat="false" ht="15.75" hidden="false" customHeight="false" outlineLevel="0" collapsed="false">
      <c r="A3809" s="20" t="n">
        <v>46129</v>
      </c>
      <c r="B3809" s="15" t="s">
        <v>495</v>
      </c>
      <c r="C3809" s="15" t="s">
        <v>25</v>
      </c>
      <c r="D3809" s="15" t="s">
        <v>26</v>
      </c>
      <c r="E3809" s="15" t="n">
        <v>3</v>
      </c>
      <c r="H3809" s="10"/>
      <c r="I3809" s="21"/>
      <c r="M3809" s="10"/>
      <c r="N3809" s="10"/>
      <c r="P3809" s="10"/>
      <c r="Q3809" s="22"/>
    </row>
    <row r="3810" customFormat="false" ht="15.75" hidden="false" customHeight="false" outlineLevel="0" collapsed="false">
      <c r="A3810" s="20" t="n">
        <v>46129</v>
      </c>
      <c r="B3810" s="15" t="s">
        <v>495</v>
      </c>
      <c r="C3810" s="15" t="s">
        <v>543</v>
      </c>
      <c r="D3810" s="15" t="s">
        <v>544</v>
      </c>
      <c r="E3810" s="15" t="n">
        <v>6</v>
      </c>
      <c r="H3810" s="10"/>
      <c r="I3810" s="21"/>
      <c r="M3810" s="10"/>
      <c r="N3810" s="10"/>
      <c r="P3810" s="10"/>
      <c r="Q3810" s="22"/>
    </row>
    <row r="3811" customFormat="false" ht="15.75" hidden="false" customHeight="false" outlineLevel="0" collapsed="false">
      <c r="A3811" s="20" t="n">
        <v>46129</v>
      </c>
      <c r="B3811" s="15" t="s">
        <v>495</v>
      </c>
      <c r="C3811" s="15" t="s">
        <v>545</v>
      </c>
      <c r="D3811" s="15" t="s">
        <v>546</v>
      </c>
      <c r="E3811" s="15" t="n">
        <v>3</v>
      </c>
      <c r="H3811" s="10"/>
      <c r="I3811" s="21"/>
      <c r="M3811" s="10"/>
      <c r="N3811" s="10"/>
      <c r="P3811" s="10"/>
      <c r="Q3811" s="22"/>
    </row>
    <row r="3812" customFormat="false" ht="15.75" hidden="false" customHeight="false" outlineLevel="0" collapsed="false">
      <c r="A3812" s="20" t="n">
        <v>46129</v>
      </c>
      <c r="B3812" s="15" t="s">
        <v>495</v>
      </c>
      <c r="C3812" s="15" t="s">
        <v>63</v>
      </c>
      <c r="D3812" s="15" t="s">
        <v>551</v>
      </c>
      <c r="E3812" s="15" t="n">
        <v>1</v>
      </c>
      <c r="H3812" s="10"/>
      <c r="I3812" s="21"/>
      <c r="M3812" s="10"/>
      <c r="N3812" s="10"/>
      <c r="P3812" s="10"/>
      <c r="Q3812" s="22"/>
    </row>
    <row r="3813" customFormat="false" ht="15.75" hidden="false" customHeight="false" outlineLevel="0" collapsed="false">
      <c r="A3813" s="20" t="n">
        <v>46129</v>
      </c>
      <c r="B3813" s="15" t="s">
        <v>495</v>
      </c>
      <c r="C3813" s="15" t="s">
        <v>77</v>
      </c>
      <c r="D3813" s="15" t="s">
        <v>78</v>
      </c>
      <c r="E3813" s="15" t="n">
        <v>3</v>
      </c>
      <c r="H3813" s="10"/>
      <c r="I3813" s="21"/>
      <c r="M3813" s="10"/>
      <c r="N3813" s="10"/>
      <c r="P3813" s="10"/>
      <c r="Q3813" s="22"/>
    </row>
    <row r="3814" customFormat="false" ht="15.75" hidden="false" customHeight="false" outlineLevel="0" collapsed="false">
      <c r="A3814" s="20" t="n">
        <v>46129</v>
      </c>
      <c r="B3814" s="15" t="s">
        <v>495</v>
      </c>
      <c r="C3814" s="15" t="s">
        <v>61</v>
      </c>
      <c r="D3814" s="15" t="s">
        <v>576</v>
      </c>
      <c r="E3814" s="15" t="n">
        <v>1</v>
      </c>
      <c r="H3814" s="10"/>
      <c r="I3814" s="21"/>
      <c r="M3814" s="10"/>
      <c r="N3814" s="10"/>
      <c r="P3814" s="10"/>
      <c r="Q3814" s="22"/>
    </row>
    <row r="3815" customFormat="false" ht="15.75" hidden="false" customHeight="false" outlineLevel="0" collapsed="false">
      <c r="A3815" s="20" t="n">
        <v>46129</v>
      </c>
      <c r="B3815" s="15" t="s">
        <v>495</v>
      </c>
      <c r="C3815" s="15" t="s">
        <v>33</v>
      </c>
      <c r="D3815" s="15" t="s">
        <v>536</v>
      </c>
      <c r="E3815" s="15" t="n">
        <v>2</v>
      </c>
      <c r="H3815" s="10"/>
      <c r="I3815" s="21"/>
      <c r="M3815" s="10"/>
      <c r="N3815" s="10"/>
      <c r="P3815" s="10"/>
      <c r="Q3815" s="22"/>
    </row>
    <row r="3816" customFormat="false" ht="15.75" hidden="false" customHeight="false" outlineLevel="0" collapsed="false">
      <c r="A3816" s="20" t="n">
        <v>46129</v>
      </c>
      <c r="B3816" s="15" t="s">
        <v>495</v>
      </c>
      <c r="C3816" s="15" t="s">
        <v>59</v>
      </c>
      <c r="D3816" s="15" t="s">
        <v>562</v>
      </c>
      <c r="E3816" s="15" t="n">
        <v>2</v>
      </c>
      <c r="H3816" s="10"/>
      <c r="I3816" s="21"/>
      <c r="M3816" s="10"/>
      <c r="N3816" s="10"/>
      <c r="P3816" s="10"/>
      <c r="Q3816" s="22"/>
    </row>
    <row r="3817" customFormat="false" ht="15.75" hidden="false" customHeight="false" outlineLevel="0" collapsed="false">
      <c r="A3817" s="20" t="n">
        <v>46129</v>
      </c>
      <c r="B3817" s="15" t="s">
        <v>498</v>
      </c>
      <c r="C3817" s="15" t="s">
        <v>81</v>
      </c>
      <c r="D3817" s="15" t="s">
        <v>534</v>
      </c>
      <c r="E3817" s="15" t="n">
        <v>9</v>
      </c>
      <c r="H3817" s="10"/>
      <c r="I3817" s="21"/>
      <c r="M3817" s="10"/>
      <c r="N3817" s="10"/>
      <c r="P3817" s="10"/>
      <c r="Q3817" s="22"/>
    </row>
    <row r="3818" customFormat="false" ht="15.75" hidden="false" customHeight="false" outlineLevel="0" collapsed="false">
      <c r="A3818" s="20" t="n">
        <v>46129</v>
      </c>
      <c r="B3818" s="15" t="s">
        <v>498</v>
      </c>
      <c r="C3818" s="15" t="s">
        <v>543</v>
      </c>
      <c r="D3818" s="15" t="s">
        <v>544</v>
      </c>
      <c r="E3818" s="15" t="n">
        <v>1</v>
      </c>
      <c r="H3818" s="10"/>
      <c r="I3818" s="21"/>
      <c r="M3818" s="10"/>
      <c r="N3818" s="10"/>
      <c r="P3818" s="10"/>
      <c r="Q3818" s="22"/>
    </row>
    <row r="3819" customFormat="false" ht="15.75" hidden="false" customHeight="false" outlineLevel="0" collapsed="false">
      <c r="A3819" s="20" t="n">
        <v>46129</v>
      </c>
      <c r="B3819" s="15" t="s">
        <v>498</v>
      </c>
      <c r="C3819" s="15" t="s">
        <v>69</v>
      </c>
      <c r="D3819" s="15" t="s">
        <v>535</v>
      </c>
      <c r="E3819" s="15" t="n">
        <v>2</v>
      </c>
      <c r="H3819" s="10"/>
      <c r="I3819" s="21"/>
      <c r="M3819" s="10"/>
      <c r="N3819" s="10"/>
      <c r="P3819" s="10"/>
      <c r="Q3819" s="22"/>
    </row>
    <row r="3820" customFormat="false" ht="15.75" hidden="false" customHeight="false" outlineLevel="0" collapsed="false">
      <c r="A3820" s="20" t="n">
        <v>46129</v>
      </c>
      <c r="B3820" s="15" t="s">
        <v>498</v>
      </c>
      <c r="C3820" s="15" t="s">
        <v>33</v>
      </c>
      <c r="D3820" s="15" t="s">
        <v>536</v>
      </c>
      <c r="E3820" s="15" t="n">
        <v>3</v>
      </c>
      <c r="H3820" s="10"/>
      <c r="I3820" s="21"/>
      <c r="M3820" s="10"/>
      <c r="N3820" s="10"/>
      <c r="P3820" s="10"/>
      <c r="Q3820" s="22"/>
    </row>
    <row r="3821" customFormat="false" ht="15.75" hidden="false" customHeight="false" outlineLevel="0" collapsed="false">
      <c r="A3821" s="20" t="n">
        <v>46129</v>
      </c>
      <c r="B3821" s="15" t="s">
        <v>498</v>
      </c>
      <c r="C3821" s="15" t="s">
        <v>55</v>
      </c>
      <c r="D3821" s="15" t="s">
        <v>539</v>
      </c>
      <c r="E3821" s="15" t="n">
        <v>1</v>
      </c>
      <c r="H3821" s="10"/>
      <c r="I3821" s="21"/>
      <c r="M3821" s="10"/>
      <c r="N3821" s="10"/>
      <c r="P3821" s="10"/>
      <c r="Q3821" s="22"/>
    </row>
    <row r="3822" customFormat="false" ht="15.75" hidden="false" customHeight="false" outlineLevel="0" collapsed="false">
      <c r="A3822" s="20" t="n">
        <v>46129</v>
      </c>
      <c r="B3822" s="15" t="s">
        <v>498</v>
      </c>
      <c r="C3822" s="15" t="s">
        <v>59</v>
      </c>
      <c r="D3822" s="15" t="s">
        <v>562</v>
      </c>
      <c r="E3822" s="15" t="n">
        <v>1</v>
      </c>
      <c r="H3822" s="10"/>
      <c r="I3822" s="21"/>
      <c r="M3822" s="10"/>
      <c r="N3822" s="10"/>
      <c r="P3822" s="10"/>
      <c r="Q3822" s="22"/>
    </row>
    <row r="3823" customFormat="false" ht="15.75" hidden="false" customHeight="false" outlineLevel="0" collapsed="false">
      <c r="A3823" s="20" t="n">
        <v>46129</v>
      </c>
      <c r="B3823" s="15" t="s">
        <v>498</v>
      </c>
      <c r="C3823" s="15" t="s">
        <v>47</v>
      </c>
      <c r="D3823" s="15" t="s">
        <v>549</v>
      </c>
      <c r="E3823" s="15" t="n">
        <v>1</v>
      </c>
      <c r="H3823" s="10"/>
      <c r="I3823" s="21"/>
      <c r="M3823" s="10"/>
      <c r="N3823" s="10"/>
      <c r="P3823" s="10"/>
      <c r="Q3823" s="22"/>
    </row>
    <row r="3824" customFormat="false" ht="15.75" hidden="false" customHeight="false" outlineLevel="0" collapsed="false">
      <c r="A3824" s="20" t="n">
        <v>46129</v>
      </c>
      <c r="B3824" s="15" t="s">
        <v>498</v>
      </c>
      <c r="C3824" s="15" t="s">
        <v>75</v>
      </c>
      <c r="D3824" s="15" t="s">
        <v>560</v>
      </c>
      <c r="E3824" s="15" t="n">
        <v>1</v>
      </c>
      <c r="H3824" s="10"/>
      <c r="I3824" s="21"/>
      <c r="M3824" s="10"/>
      <c r="N3824" s="10"/>
      <c r="P3824" s="10"/>
      <c r="Q3824" s="22"/>
    </row>
    <row r="3825" customFormat="false" ht="15.75" hidden="false" customHeight="false" outlineLevel="0" collapsed="false">
      <c r="A3825" s="20" t="n">
        <v>46129</v>
      </c>
      <c r="B3825" s="15" t="s">
        <v>498</v>
      </c>
      <c r="C3825" s="15" t="s">
        <v>77</v>
      </c>
      <c r="D3825" s="15" t="s">
        <v>78</v>
      </c>
      <c r="E3825" s="15" t="n">
        <v>1</v>
      </c>
      <c r="H3825" s="10"/>
      <c r="I3825" s="21"/>
      <c r="M3825" s="10"/>
      <c r="N3825" s="10"/>
      <c r="P3825" s="10"/>
      <c r="Q3825" s="22"/>
    </row>
    <row r="3826" customFormat="false" ht="15.75" hidden="false" customHeight="false" outlineLevel="0" collapsed="false">
      <c r="A3826" s="20" t="n">
        <v>46129</v>
      </c>
      <c r="B3826" s="15" t="s">
        <v>504</v>
      </c>
      <c r="C3826" s="15" t="s">
        <v>47</v>
      </c>
      <c r="D3826" s="15" t="s">
        <v>549</v>
      </c>
      <c r="E3826" s="15" t="n">
        <v>6</v>
      </c>
      <c r="H3826" s="10"/>
      <c r="I3826" s="21"/>
      <c r="M3826" s="10"/>
      <c r="N3826" s="10"/>
      <c r="P3826" s="10"/>
      <c r="Q3826" s="22"/>
    </row>
    <row r="3827" customFormat="false" ht="15.75" hidden="false" customHeight="false" outlineLevel="0" collapsed="false">
      <c r="A3827" s="20" t="n">
        <v>46129</v>
      </c>
      <c r="B3827" s="15" t="s">
        <v>504</v>
      </c>
      <c r="C3827" s="15" t="s">
        <v>55</v>
      </c>
      <c r="D3827" s="15" t="s">
        <v>539</v>
      </c>
      <c r="E3827" s="15" t="n">
        <v>12</v>
      </c>
      <c r="H3827" s="10"/>
      <c r="I3827" s="21"/>
      <c r="M3827" s="10"/>
      <c r="N3827" s="10"/>
      <c r="P3827" s="10"/>
      <c r="Q3827" s="22"/>
    </row>
    <row r="3828" customFormat="false" ht="15.75" hidden="false" customHeight="false" outlineLevel="0" collapsed="false">
      <c r="A3828" s="20" t="n">
        <v>46129</v>
      </c>
      <c r="B3828" s="15" t="s">
        <v>504</v>
      </c>
      <c r="C3828" s="15" t="s">
        <v>81</v>
      </c>
      <c r="D3828" s="15" t="s">
        <v>534</v>
      </c>
      <c r="E3828" s="15" t="n">
        <v>18</v>
      </c>
      <c r="H3828" s="10"/>
      <c r="I3828" s="21"/>
      <c r="M3828" s="10"/>
      <c r="N3828" s="10"/>
      <c r="P3828" s="10"/>
      <c r="Q3828" s="22"/>
    </row>
    <row r="3829" customFormat="false" ht="15.75" hidden="false" customHeight="false" outlineLevel="0" collapsed="false">
      <c r="A3829" s="20" t="n">
        <v>46129</v>
      </c>
      <c r="B3829" s="15" t="s">
        <v>504</v>
      </c>
      <c r="C3829" s="15" t="s">
        <v>39</v>
      </c>
      <c r="D3829" s="15" t="s">
        <v>550</v>
      </c>
      <c r="E3829" s="15" t="n">
        <v>2</v>
      </c>
      <c r="H3829" s="10"/>
      <c r="I3829" s="21"/>
      <c r="M3829" s="10"/>
      <c r="N3829" s="10"/>
      <c r="P3829" s="10"/>
      <c r="Q3829" s="22"/>
    </row>
    <row r="3830" customFormat="false" ht="15.75" hidden="false" customHeight="false" outlineLevel="0" collapsed="false">
      <c r="A3830" s="20" t="n">
        <v>46129</v>
      </c>
      <c r="B3830" s="15" t="s">
        <v>504</v>
      </c>
      <c r="C3830" s="15" t="s">
        <v>63</v>
      </c>
      <c r="D3830" s="15" t="s">
        <v>551</v>
      </c>
      <c r="E3830" s="15" t="n">
        <v>2</v>
      </c>
      <c r="H3830" s="10"/>
      <c r="I3830" s="21"/>
      <c r="M3830" s="10"/>
      <c r="N3830" s="10"/>
      <c r="P3830" s="10"/>
      <c r="Q3830" s="22"/>
    </row>
    <row r="3831" customFormat="false" ht="15.75" hidden="false" customHeight="false" outlineLevel="0" collapsed="false">
      <c r="A3831" s="20" t="n">
        <v>46129</v>
      </c>
      <c r="B3831" s="15" t="s">
        <v>504</v>
      </c>
      <c r="C3831" s="15" t="s">
        <v>17</v>
      </c>
      <c r="D3831" s="15" t="s">
        <v>554</v>
      </c>
      <c r="E3831" s="15" t="n">
        <v>2</v>
      </c>
      <c r="H3831" s="10"/>
      <c r="I3831" s="21"/>
      <c r="M3831" s="10"/>
      <c r="N3831" s="10"/>
      <c r="P3831" s="10"/>
      <c r="Q3831" s="22"/>
    </row>
    <row r="3832" customFormat="false" ht="15.75" hidden="false" customHeight="false" outlineLevel="0" collapsed="false">
      <c r="A3832" s="20" t="n">
        <v>46129</v>
      </c>
      <c r="B3832" s="15" t="s">
        <v>508</v>
      </c>
      <c r="C3832" s="15" t="s">
        <v>55</v>
      </c>
      <c r="D3832" s="15" t="s">
        <v>539</v>
      </c>
      <c r="E3832" s="15" t="n">
        <v>5</v>
      </c>
      <c r="H3832" s="10"/>
      <c r="I3832" s="21"/>
      <c r="M3832" s="10"/>
      <c r="N3832" s="10"/>
      <c r="P3832" s="10"/>
      <c r="Q3832" s="22"/>
    </row>
    <row r="3833" customFormat="false" ht="15.75" hidden="false" customHeight="false" outlineLevel="0" collapsed="false">
      <c r="A3833" s="20" t="n">
        <v>46129</v>
      </c>
      <c r="B3833" s="15" t="s">
        <v>508</v>
      </c>
      <c r="C3833" s="15" t="s">
        <v>81</v>
      </c>
      <c r="D3833" s="15" t="s">
        <v>534</v>
      </c>
      <c r="E3833" s="15" t="n">
        <v>9</v>
      </c>
      <c r="H3833" s="10"/>
      <c r="I3833" s="21"/>
      <c r="M3833" s="10"/>
      <c r="N3833" s="10"/>
      <c r="P3833" s="10"/>
      <c r="Q3833" s="22"/>
    </row>
    <row r="3834" customFormat="false" ht="15.75" hidden="false" customHeight="false" outlineLevel="0" collapsed="false">
      <c r="A3834" s="20" t="n">
        <v>46129</v>
      </c>
      <c r="B3834" s="15" t="s">
        <v>508</v>
      </c>
      <c r="C3834" s="15" t="s">
        <v>39</v>
      </c>
      <c r="D3834" s="15" t="s">
        <v>550</v>
      </c>
      <c r="E3834" s="15" t="n">
        <v>2</v>
      </c>
      <c r="H3834" s="10"/>
      <c r="I3834" s="21"/>
      <c r="M3834" s="10"/>
      <c r="N3834" s="10"/>
      <c r="P3834" s="10"/>
      <c r="Q3834" s="22"/>
    </row>
    <row r="3835" customFormat="false" ht="15.75" hidden="false" customHeight="false" outlineLevel="0" collapsed="false">
      <c r="A3835" s="20" t="n">
        <v>46129</v>
      </c>
      <c r="B3835" s="15" t="s">
        <v>508</v>
      </c>
      <c r="C3835" s="15" t="s">
        <v>47</v>
      </c>
      <c r="D3835" s="15" t="s">
        <v>549</v>
      </c>
      <c r="E3835" s="15" t="n">
        <v>2</v>
      </c>
      <c r="H3835" s="10"/>
      <c r="I3835" s="21"/>
      <c r="M3835" s="10"/>
      <c r="N3835" s="10"/>
      <c r="P3835" s="10"/>
      <c r="Q3835" s="22"/>
    </row>
    <row r="3836" customFormat="false" ht="15.75" hidden="false" customHeight="false" outlineLevel="0" collapsed="false">
      <c r="A3836" s="20" t="n">
        <v>46129</v>
      </c>
      <c r="B3836" s="15" t="s">
        <v>508</v>
      </c>
      <c r="C3836" s="15" t="s">
        <v>63</v>
      </c>
      <c r="D3836" s="15" t="s">
        <v>551</v>
      </c>
      <c r="E3836" s="15" t="n">
        <v>1</v>
      </c>
      <c r="H3836" s="10"/>
      <c r="I3836" s="21"/>
      <c r="M3836" s="10"/>
      <c r="N3836" s="10"/>
      <c r="P3836" s="10"/>
      <c r="Q3836" s="22"/>
    </row>
    <row r="3837" customFormat="false" ht="15.75" hidden="false" customHeight="false" outlineLevel="0" collapsed="false">
      <c r="A3837" s="20" t="n">
        <v>46129</v>
      </c>
      <c r="B3837" s="15" t="s">
        <v>509</v>
      </c>
      <c r="C3837" s="15" t="s">
        <v>69</v>
      </c>
      <c r="D3837" s="15" t="s">
        <v>535</v>
      </c>
      <c r="E3837" s="15" t="n">
        <v>6</v>
      </c>
      <c r="H3837" s="10"/>
      <c r="I3837" s="21"/>
      <c r="M3837" s="10"/>
      <c r="N3837" s="10"/>
      <c r="P3837" s="10"/>
      <c r="Q3837" s="22"/>
    </row>
    <row r="3838" customFormat="false" ht="15.75" hidden="false" customHeight="false" outlineLevel="0" collapsed="false">
      <c r="A3838" s="20" t="n">
        <v>46129</v>
      </c>
      <c r="B3838" s="15" t="s">
        <v>509</v>
      </c>
      <c r="C3838" s="15" t="s">
        <v>33</v>
      </c>
      <c r="D3838" s="15" t="s">
        <v>536</v>
      </c>
      <c r="E3838" s="15" t="n">
        <v>6</v>
      </c>
      <c r="H3838" s="10"/>
      <c r="I3838" s="21"/>
      <c r="M3838" s="10"/>
      <c r="N3838" s="10"/>
      <c r="P3838" s="10"/>
      <c r="Q3838" s="22"/>
    </row>
    <row r="3839" customFormat="false" ht="15.75" hidden="false" customHeight="false" outlineLevel="0" collapsed="false">
      <c r="A3839" s="20" t="n">
        <v>46129</v>
      </c>
      <c r="B3839" s="15" t="s">
        <v>509</v>
      </c>
      <c r="C3839" s="15" t="s">
        <v>55</v>
      </c>
      <c r="D3839" s="15" t="s">
        <v>539</v>
      </c>
      <c r="E3839" s="15" t="n">
        <v>3</v>
      </c>
      <c r="H3839" s="10"/>
      <c r="I3839" s="21"/>
      <c r="M3839" s="10"/>
      <c r="N3839" s="10"/>
      <c r="P3839" s="10"/>
      <c r="Q3839" s="22"/>
    </row>
    <row r="3840" customFormat="false" ht="15.75" hidden="false" customHeight="false" outlineLevel="0" collapsed="false">
      <c r="A3840" s="20" t="n">
        <v>46129</v>
      </c>
      <c r="B3840" s="15" t="s">
        <v>509</v>
      </c>
      <c r="C3840" s="15" t="s">
        <v>547</v>
      </c>
      <c r="D3840" s="15" t="s">
        <v>548</v>
      </c>
      <c r="E3840" s="15" t="n">
        <v>1</v>
      </c>
      <c r="H3840" s="10"/>
      <c r="I3840" s="21"/>
      <c r="M3840" s="10"/>
      <c r="N3840" s="10"/>
      <c r="P3840" s="10"/>
      <c r="Q3840" s="22"/>
    </row>
    <row r="3841" customFormat="false" ht="15.75" hidden="false" customHeight="false" outlineLevel="0" collapsed="false">
      <c r="A3841" s="20" t="n">
        <v>46129</v>
      </c>
      <c r="B3841" s="15" t="s">
        <v>509</v>
      </c>
      <c r="C3841" s="15" t="s">
        <v>81</v>
      </c>
      <c r="D3841" s="15" t="s">
        <v>534</v>
      </c>
      <c r="E3841" s="15" t="n">
        <v>2</v>
      </c>
      <c r="H3841" s="10"/>
      <c r="I3841" s="21"/>
      <c r="M3841" s="10"/>
      <c r="N3841" s="10"/>
      <c r="P3841" s="10"/>
      <c r="Q3841" s="22"/>
    </row>
    <row r="3842" customFormat="false" ht="15.75" hidden="false" customHeight="false" outlineLevel="0" collapsed="false">
      <c r="A3842" s="20" t="n">
        <v>46129</v>
      </c>
      <c r="B3842" s="15" t="s">
        <v>509</v>
      </c>
      <c r="C3842" s="15" t="s">
        <v>37</v>
      </c>
      <c r="D3842" s="15" t="s">
        <v>561</v>
      </c>
      <c r="E3842" s="15" t="n">
        <v>1</v>
      </c>
      <c r="H3842" s="10"/>
      <c r="I3842" s="21"/>
      <c r="M3842" s="10"/>
      <c r="N3842" s="10"/>
      <c r="P3842" s="10"/>
      <c r="Q3842" s="22"/>
    </row>
    <row r="3843" customFormat="false" ht="15.75" hidden="false" customHeight="false" outlineLevel="0" collapsed="false">
      <c r="A3843" s="20" t="n">
        <v>46130</v>
      </c>
      <c r="B3843" s="15" t="s">
        <v>453</v>
      </c>
      <c r="C3843" s="15" t="s">
        <v>47</v>
      </c>
      <c r="D3843" s="15" t="s">
        <v>549</v>
      </c>
      <c r="E3843" s="15" t="n">
        <v>2</v>
      </c>
      <c r="H3843" s="10"/>
      <c r="I3843" s="21"/>
      <c r="M3843" s="10"/>
      <c r="N3843" s="10"/>
      <c r="P3843" s="10"/>
      <c r="Q3843" s="22"/>
    </row>
    <row r="3844" customFormat="false" ht="15.75" hidden="false" customHeight="false" outlineLevel="0" collapsed="false">
      <c r="A3844" s="20" t="n">
        <v>46130</v>
      </c>
      <c r="B3844" s="15" t="s">
        <v>453</v>
      </c>
      <c r="C3844" s="15" t="s">
        <v>55</v>
      </c>
      <c r="D3844" s="15" t="s">
        <v>539</v>
      </c>
      <c r="E3844" s="15" t="n">
        <v>4</v>
      </c>
      <c r="H3844" s="10"/>
      <c r="I3844" s="21"/>
      <c r="M3844" s="10"/>
      <c r="N3844" s="10"/>
      <c r="P3844" s="10"/>
      <c r="Q3844" s="22"/>
    </row>
    <row r="3845" customFormat="false" ht="15.75" hidden="false" customHeight="false" outlineLevel="0" collapsed="false">
      <c r="A3845" s="20" t="n">
        <v>46130</v>
      </c>
      <c r="B3845" s="15" t="s">
        <v>453</v>
      </c>
      <c r="C3845" s="15" t="s">
        <v>81</v>
      </c>
      <c r="D3845" s="15" t="s">
        <v>534</v>
      </c>
      <c r="E3845" s="15" t="n">
        <v>8</v>
      </c>
      <c r="H3845" s="10"/>
      <c r="I3845" s="21"/>
      <c r="M3845" s="10"/>
      <c r="N3845" s="10"/>
      <c r="P3845" s="10"/>
      <c r="Q3845" s="22"/>
    </row>
    <row r="3846" customFormat="false" ht="15.75" hidden="false" customHeight="false" outlineLevel="0" collapsed="false">
      <c r="A3846" s="20" t="n">
        <v>46130</v>
      </c>
      <c r="B3846" s="15" t="s">
        <v>453</v>
      </c>
      <c r="C3846" s="15" t="s">
        <v>39</v>
      </c>
      <c r="D3846" s="15" t="s">
        <v>550</v>
      </c>
      <c r="E3846" s="15" t="n">
        <v>2</v>
      </c>
      <c r="H3846" s="10"/>
      <c r="I3846" s="21"/>
      <c r="M3846" s="10"/>
      <c r="N3846" s="10"/>
      <c r="P3846" s="10"/>
      <c r="Q3846" s="22"/>
    </row>
    <row r="3847" customFormat="false" ht="15.75" hidden="false" customHeight="false" outlineLevel="0" collapsed="false">
      <c r="A3847" s="20" t="n">
        <v>46130</v>
      </c>
      <c r="B3847" s="15" t="s">
        <v>453</v>
      </c>
      <c r="C3847" s="15" t="s">
        <v>63</v>
      </c>
      <c r="D3847" s="15" t="s">
        <v>551</v>
      </c>
      <c r="E3847" s="15" t="n">
        <v>1</v>
      </c>
      <c r="H3847" s="10"/>
      <c r="I3847" s="21"/>
      <c r="M3847" s="10"/>
      <c r="N3847" s="10"/>
      <c r="P3847" s="10"/>
      <c r="Q3847" s="22"/>
    </row>
    <row r="3848" customFormat="false" ht="15.75" hidden="false" customHeight="false" outlineLevel="0" collapsed="false">
      <c r="A3848" s="20" t="n">
        <v>46130</v>
      </c>
      <c r="B3848" s="15" t="s">
        <v>453</v>
      </c>
      <c r="C3848" s="15" t="s">
        <v>35</v>
      </c>
      <c r="D3848" s="15" t="s">
        <v>552</v>
      </c>
      <c r="E3848" s="15" t="n">
        <v>2</v>
      </c>
      <c r="H3848" s="10"/>
      <c r="I3848" s="21"/>
      <c r="M3848" s="10"/>
      <c r="N3848" s="10"/>
      <c r="P3848" s="10"/>
      <c r="Q3848" s="22"/>
    </row>
    <row r="3849" customFormat="false" ht="15.75" hidden="false" customHeight="false" outlineLevel="0" collapsed="false">
      <c r="A3849" s="20" t="n">
        <v>46130</v>
      </c>
      <c r="B3849" s="15" t="s">
        <v>467</v>
      </c>
      <c r="C3849" s="15" t="s">
        <v>55</v>
      </c>
      <c r="D3849" s="15" t="s">
        <v>539</v>
      </c>
      <c r="E3849" s="15" t="n">
        <v>6</v>
      </c>
      <c r="H3849" s="10"/>
      <c r="I3849" s="21"/>
      <c r="M3849" s="10"/>
      <c r="N3849" s="10"/>
      <c r="P3849" s="10"/>
      <c r="Q3849" s="22"/>
    </row>
    <row r="3850" customFormat="false" ht="15.75" hidden="false" customHeight="false" outlineLevel="0" collapsed="false">
      <c r="A3850" s="20" t="n">
        <v>46130</v>
      </c>
      <c r="B3850" s="15" t="s">
        <v>467</v>
      </c>
      <c r="C3850" s="15" t="s">
        <v>57</v>
      </c>
      <c r="D3850" s="15" t="s">
        <v>553</v>
      </c>
      <c r="E3850" s="15" t="n">
        <v>2</v>
      </c>
      <c r="H3850" s="10"/>
      <c r="I3850" s="21"/>
      <c r="M3850" s="10"/>
      <c r="N3850" s="10"/>
      <c r="P3850" s="10"/>
      <c r="Q3850" s="22"/>
    </row>
    <row r="3851" customFormat="false" ht="15.75" hidden="false" customHeight="false" outlineLevel="0" collapsed="false">
      <c r="A3851" s="20" t="n">
        <v>46130</v>
      </c>
      <c r="B3851" s="15" t="s">
        <v>467</v>
      </c>
      <c r="C3851" s="15" t="s">
        <v>47</v>
      </c>
      <c r="D3851" s="15" t="s">
        <v>549</v>
      </c>
      <c r="E3851" s="15" t="n">
        <v>2</v>
      </c>
      <c r="H3851" s="10"/>
      <c r="I3851" s="21"/>
      <c r="M3851" s="10"/>
      <c r="N3851" s="10"/>
      <c r="P3851" s="10"/>
      <c r="Q3851" s="22"/>
    </row>
    <row r="3852" customFormat="false" ht="15.75" hidden="false" customHeight="false" outlineLevel="0" collapsed="false">
      <c r="A3852" s="20" t="n">
        <v>46130</v>
      </c>
      <c r="B3852" s="15" t="s">
        <v>467</v>
      </c>
      <c r="C3852" s="15" t="s">
        <v>81</v>
      </c>
      <c r="D3852" s="15" t="s">
        <v>534</v>
      </c>
      <c r="E3852" s="15" t="n">
        <v>7</v>
      </c>
      <c r="H3852" s="10"/>
      <c r="I3852" s="21"/>
      <c r="M3852" s="10"/>
      <c r="N3852" s="10"/>
      <c r="P3852" s="10"/>
      <c r="Q3852" s="22"/>
    </row>
    <row r="3853" customFormat="false" ht="15.75" hidden="false" customHeight="false" outlineLevel="0" collapsed="false">
      <c r="A3853" s="20" t="n">
        <v>46130</v>
      </c>
      <c r="B3853" s="15" t="s">
        <v>467</v>
      </c>
      <c r="C3853" s="15" t="s">
        <v>49</v>
      </c>
      <c r="D3853" s="15" t="s">
        <v>537</v>
      </c>
      <c r="E3853" s="15" t="n">
        <v>2</v>
      </c>
      <c r="H3853" s="10"/>
      <c r="I3853" s="21"/>
      <c r="M3853" s="10"/>
      <c r="N3853" s="10"/>
      <c r="P3853" s="10"/>
      <c r="Q3853" s="22"/>
    </row>
    <row r="3854" customFormat="false" ht="15.75" hidden="false" customHeight="false" outlineLevel="0" collapsed="false">
      <c r="A3854" s="20" t="n">
        <v>46130</v>
      </c>
      <c r="B3854" s="15" t="s">
        <v>467</v>
      </c>
      <c r="C3854" s="15" t="s">
        <v>63</v>
      </c>
      <c r="D3854" s="15" t="s">
        <v>551</v>
      </c>
      <c r="E3854" s="15" t="n">
        <v>1</v>
      </c>
      <c r="H3854" s="10"/>
      <c r="I3854" s="21"/>
      <c r="M3854" s="10"/>
      <c r="N3854" s="10"/>
      <c r="P3854" s="10"/>
      <c r="Q3854" s="22"/>
    </row>
    <row r="3855" customFormat="false" ht="15.75" hidden="false" customHeight="false" outlineLevel="0" collapsed="false">
      <c r="A3855" s="20" t="n">
        <v>46130</v>
      </c>
      <c r="B3855" s="15" t="s">
        <v>472</v>
      </c>
      <c r="C3855" s="15" t="s">
        <v>555</v>
      </c>
      <c r="D3855" s="15" t="s">
        <v>556</v>
      </c>
      <c r="E3855" s="15" t="n">
        <v>3</v>
      </c>
      <c r="H3855" s="10"/>
      <c r="I3855" s="21"/>
      <c r="M3855" s="10"/>
      <c r="N3855" s="10"/>
      <c r="P3855" s="10"/>
      <c r="Q3855" s="22"/>
    </row>
    <row r="3856" customFormat="false" ht="15.75" hidden="false" customHeight="false" outlineLevel="0" collapsed="false">
      <c r="A3856" s="20" t="n">
        <v>46130</v>
      </c>
      <c r="B3856" s="15" t="s">
        <v>472</v>
      </c>
      <c r="C3856" s="15" t="s">
        <v>11</v>
      </c>
      <c r="D3856" s="15" t="s">
        <v>572</v>
      </c>
      <c r="E3856" s="15" t="n">
        <v>3</v>
      </c>
      <c r="H3856" s="10"/>
      <c r="I3856" s="21"/>
      <c r="M3856" s="10"/>
      <c r="N3856" s="10"/>
      <c r="P3856" s="10"/>
      <c r="Q3856" s="22"/>
    </row>
    <row r="3857" customFormat="false" ht="15.75" hidden="false" customHeight="false" outlineLevel="0" collapsed="false">
      <c r="A3857" s="20" t="n">
        <v>46130</v>
      </c>
      <c r="B3857" s="15" t="s">
        <v>472</v>
      </c>
      <c r="C3857" s="15" t="s">
        <v>69</v>
      </c>
      <c r="D3857" s="15" t="s">
        <v>535</v>
      </c>
      <c r="E3857" s="15" t="n">
        <v>3</v>
      </c>
      <c r="H3857" s="10"/>
      <c r="I3857" s="21"/>
      <c r="M3857" s="10"/>
      <c r="N3857" s="10"/>
      <c r="P3857" s="10"/>
      <c r="Q3857" s="22"/>
    </row>
    <row r="3858" customFormat="false" ht="15.75" hidden="false" customHeight="false" outlineLevel="0" collapsed="false">
      <c r="A3858" s="20" t="n">
        <v>46130</v>
      </c>
      <c r="B3858" s="15" t="s">
        <v>472</v>
      </c>
      <c r="C3858" s="15" t="s">
        <v>25</v>
      </c>
      <c r="D3858" s="15" t="s">
        <v>26</v>
      </c>
      <c r="E3858" s="15" t="n">
        <v>3</v>
      </c>
      <c r="H3858" s="10"/>
      <c r="I3858" s="21"/>
      <c r="M3858" s="10"/>
      <c r="N3858" s="10"/>
      <c r="P3858" s="10"/>
      <c r="Q3858" s="22"/>
    </row>
    <row r="3859" customFormat="false" ht="15.75" hidden="false" customHeight="false" outlineLevel="0" collapsed="false">
      <c r="A3859" s="20" t="n">
        <v>46130</v>
      </c>
      <c r="B3859" s="15" t="s">
        <v>486</v>
      </c>
      <c r="C3859" s="15" t="s">
        <v>55</v>
      </c>
      <c r="D3859" s="15" t="s">
        <v>539</v>
      </c>
      <c r="E3859" s="15" t="n">
        <v>1</v>
      </c>
      <c r="H3859" s="10"/>
      <c r="I3859" s="21"/>
      <c r="M3859" s="10"/>
      <c r="N3859" s="10"/>
      <c r="P3859" s="10"/>
      <c r="Q3859" s="22"/>
    </row>
    <row r="3860" customFormat="false" ht="15.75" hidden="false" customHeight="false" outlineLevel="0" collapsed="false">
      <c r="A3860" s="20" t="n">
        <v>46130</v>
      </c>
      <c r="B3860" s="15" t="s">
        <v>486</v>
      </c>
      <c r="C3860" s="15" t="s">
        <v>81</v>
      </c>
      <c r="D3860" s="15" t="s">
        <v>534</v>
      </c>
      <c r="E3860" s="15" t="n">
        <v>4</v>
      </c>
      <c r="H3860" s="10"/>
      <c r="I3860" s="21"/>
      <c r="M3860" s="10"/>
      <c r="N3860" s="10"/>
      <c r="P3860" s="10"/>
      <c r="Q3860" s="22"/>
    </row>
    <row r="3861" customFormat="false" ht="15.75" hidden="false" customHeight="false" outlineLevel="0" collapsed="false">
      <c r="A3861" s="20" t="n">
        <v>46130</v>
      </c>
      <c r="B3861" s="15" t="s">
        <v>486</v>
      </c>
      <c r="C3861" s="15" t="s">
        <v>69</v>
      </c>
      <c r="D3861" s="15" t="s">
        <v>535</v>
      </c>
      <c r="E3861" s="15" t="n">
        <v>5</v>
      </c>
      <c r="H3861" s="10"/>
      <c r="I3861" s="21"/>
      <c r="M3861" s="10"/>
      <c r="N3861" s="10"/>
      <c r="P3861" s="10"/>
      <c r="Q3861" s="22"/>
    </row>
    <row r="3862" customFormat="false" ht="15.75" hidden="false" customHeight="false" outlineLevel="0" collapsed="false">
      <c r="A3862" s="20" t="n">
        <v>46130</v>
      </c>
      <c r="B3862" s="15" t="s">
        <v>486</v>
      </c>
      <c r="C3862" s="15" t="s">
        <v>25</v>
      </c>
      <c r="D3862" s="15" t="s">
        <v>26</v>
      </c>
      <c r="E3862" s="15" t="n">
        <v>1</v>
      </c>
      <c r="H3862" s="10"/>
      <c r="I3862" s="21"/>
      <c r="M3862" s="10"/>
      <c r="N3862" s="10"/>
      <c r="P3862" s="10"/>
      <c r="Q3862" s="22"/>
    </row>
    <row r="3863" customFormat="false" ht="15.75" hidden="false" customHeight="false" outlineLevel="0" collapsed="false">
      <c r="A3863" s="20" t="n">
        <v>46130</v>
      </c>
      <c r="B3863" s="15" t="s">
        <v>486</v>
      </c>
      <c r="C3863" s="15" t="s">
        <v>11</v>
      </c>
      <c r="D3863" s="15" t="s">
        <v>572</v>
      </c>
      <c r="E3863" s="15" t="n">
        <v>1</v>
      </c>
      <c r="H3863" s="10"/>
      <c r="I3863" s="21"/>
      <c r="M3863" s="10"/>
      <c r="N3863" s="10"/>
      <c r="P3863" s="10"/>
      <c r="Q3863" s="22"/>
    </row>
    <row r="3864" customFormat="false" ht="15.75" hidden="false" customHeight="false" outlineLevel="0" collapsed="false">
      <c r="A3864" s="20" t="n">
        <v>46130</v>
      </c>
      <c r="B3864" s="15" t="s">
        <v>486</v>
      </c>
      <c r="C3864" s="15" t="s">
        <v>555</v>
      </c>
      <c r="D3864" s="15" t="s">
        <v>556</v>
      </c>
      <c r="E3864" s="15" t="n">
        <v>1</v>
      </c>
      <c r="H3864" s="10"/>
      <c r="I3864" s="21"/>
      <c r="M3864" s="10"/>
      <c r="N3864" s="10"/>
      <c r="P3864" s="10"/>
      <c r="Q3864" s="22"/>
    </row>
    <row r="3865" customFormat="false" ht="15.75" hidden="false" customHeight="false" outlineLevel="0" collapsed="false">
      <c r="A3865" s="20" t="n">
        <v>46130</v>
      </c>
      <c r="B3865" s="15" t="s">
        <v>486</v>
      </c>
      <c r="C3865" s="15" t="s">
        <v>543</v>
      </c>
      <c r="D3865" s="15" t="s">
        <v>544</v>
      </c>
      <c r="E3865" s="15" t="n">
        <v>2</v>
      </c>
      <c r="H3865" s="10"/>
      <c r="I3865" s="21"/>
      <c r="M3865" s="10"/>
      <c r="N3865" s="10"/>
      <c r="P3865" s="10"/>
      <c r="Q3865" s="22"/>
    </row>
    <row r="3866" customFormat="false" ht="15.75" hidden="false" customHeight="false" outlineLevel="0" collapsed="false">
      <c r="A3866" s="20" t="n">
        <v>46130</v>
      </c>
      <c r="B3866" s="15" t="s">
        <v>486</v>
      </c>
      <c r="C3866" s="15" t="s">
        <v>545</v>
      </c>
      <c r="D3866" s="15" t="s">
        <v>546</v>
      </c>
      <c r="E3866" s="15" t="n">
        <v>1</v>
      </c>
      <c r="H3866" s="10"/>
      <c r="I3866" s="21"/>
      <c r="M3866" s="10"/>
      <c r="N3866" s="10"/>
      <c r="P3866" s="10"/>
      <c r="Q3866" s="22"/>
    </row>
    <row r="3867" customFormat="false" ht="15.75" hidden="false" customHeight="false" outlineLevel="0" collapsed="false">
      <c r="A3867" s="20" t="n">
        <v>46130</v>
      </c>
      <c r="B3867" s="15" t="s">
        <v>486</v>
      </c>
      <c r="C3867" s="15" t="s">
        <v>77</v>
      </c>
      <c r="D3867" s="15" t="s">
        <v>78</v>
      </c>
      <c r="E3867" s="15" t="n">
        <v>2</v>
      </c>
      <c r="H3867" s="10"/>
      <c r="I3867" s="21"/>
      <c r="M3867" s="10"/>
      <c r="N3867" s="10"/>
      <c r="P3867" s="10"/>
      <c r="Q3867" s="22"/>
    </row>
    <row r="3868" customFormat="false" ht="15.75" hidden="false" customHeight="false" outlineLevel="0" collapsed="false">
      <c r="A3868" s="20" t="n">
        <v>46130</v>
      </c>
      <c r="B3868" s="15" t="s">
        <v>486</v>
      </c>
      <c r="C3868" s="15" t="s">
        <v>33</v>
      </c>
      <c r="D3868" s="15" t="s">
        <v>536</v>
      </c>
      <c r="E3868" s="15" t="n">
        <v>4</v>
      </c>
      <c r="H3868" s="10"/>
      <c r="I3868" s="21"/>
      <c r="M3868" s="10"/>
      <c r="N3868" s="10"/>
      <c r="P3868" s="10"/>
      <c r="Q3868" s="22"/>
    </row>
    <row r="3869" customFormat="false" ht="15.75" hidden="false" customHeight="false" outlineLevel="0" collapsed="false">
      <c r="A3869" s="20" t="n">
        <v>46130</v>
      </c>
      <c r="B3869" s="15" t="s">
        <v>486</v>
      </c>
      <c r="C3869" s="15" t="s">
        <v>578</v>
      </c>
      <c r="D3869" s="15" t="s">
        <v>579</v>
      </c>
      <c r="E3869" s="15" t="n">
        <v>1</v>
      </c>
      <c r="H3869" s="10"/>
      <c r="I3869" s="21"/>
      <c r="M3869" s="10"/>
      <c r="N3869" s="10"/>
      <c r="P3869" s="10"/>
      <c r="Q3869" s="22"/>
    </row>
    <row r="3870" customFormat="false" ht="15.75" hidden="false" customHeight="false" outlineLevel="0" collapsed="false">
      <c r="A3870" s="20" t="n">
        <v>46130</v>
      </c>
      <c r="B3870" s="15" t="s">
        <v>486</v>
      </c>
      <c r="C3870" s="15" t="s">
        <v>59</v>
      </c>
      <c r="D3870" s="15" t="s">
        <v>562</v>
      </c>
      <c r="E3870" s="15" t="n">
        <v>1</v>
      </c>
      <c r="H3870" s="10"/>
      <c r="I3870" s="21"/>
      <c r="M3870" s="10"/>
      <c r="N3870" s="10"/>
      <c r="P3870" s="10"/>
      <c r="Q3870" s="22"/>
    </row>
    <row r="3871" customFormat="false" ht="15.75" hidden="false" customHeight="false" outlineLevel="0" collapsed="false">
      <c r="A3871" s="20" t="n">
        <v>46130</v>
      </c>
      <c r="B3871" s="15" t="s">
        <v>486</v>
      </c>
      <c r="C3871" s="15" t="s">
        <v>79</v>
      </c>
      <c r="D3871" s="15" t="s">
        <v>564</v>
      </c>
      <c r="E3871" s="15" t="n">
        <v>2</v>
      </c>
      <c r="H3871" s="10"/>
      <c r="I3871" s="21"/>
      <c r="M3871" s="10"/>
      <c r="N3871" s="10"/>
      <c r="P3871" s="10"/>
      <c r="Q3871" s="22"/>
    </row>
    <row r="3872" customFormat="false" ht="15.75" hidden="false" customHeight="false" outlineLevel="0" collapsed="false">
      <c r="A3872" s="20" t="n">
        <v>46130</v>
      </c>
      <c r="B3872" s="15" t="s">
        <v>504</v>
      </c>
      <c r="C3872" s="15" t="s">
        <v>47</v>
      </c>
      <c r="D3872" s="15" t="s">
        <v>549</v>
      </c>
      <c r="E3872" s="15" t="n">
        <v>6</v>
      </c>
      <c r="H3872" s="10"/>
      <c r="I3872" s="21"/>
      <c r="M3872" s="10"/>
      <c r="N3872" s="10"/>
      <c r="P3872" s="10"/>
      <c r="Q3872" s="22"/>
    </row>
    <row r="3873" customFormat="false" ht="15.75" hidden="false" customHeight="false" outlineLevel="0" collapsed="false">
      <c r="A3873" s="20" t="n">
        <v>46130</v>
      </c>
      <c r="B3873" s="15" t="s">
        <v>504</v>
      </c>
      <c r="C3873" s="15" t="s">
        <v>55</v>
      </c>
      <c r="D3873" s="15" t="s">
        <v>539</v>
      </c>
      <c r="E3873" s="15" t="n">
        <v>12</v>
      </c>
      <c r="H3873" s="10"/>
      <c r="I3873" s="21"/>
      <c r="M3873" s="10"/>
      <c r="N3873" s="10"/>
      <c r="P3873" s="10"/>
      <c r="Q3873" s="22"/>
    </row>
    <row r="3874" customFormat="false" ht="15.75" hidden="false" customHeight="false" outlineLevel="0" collapsed="false">
      <c r="A3874" s="20" t="n">
        <v>46130</v>
      </c>
      <c r="B3874" s="15" t="s">
        <v>504</v>
      </c>
      <c r="C3874" s="15" t="s">
        <v>81</v>
      </c>
      <c r="D3874" s="15" t="s">
        <v>534</v>
      </c>
      <c r="E3874" s="15" t="n">
        <v>18</v>
      </c>
      <c r="H3874" s="10"/>
      <c r="I3874" s="21"/>
      <c r="M3874" s="10"/>
      <c r="N3874" s="10"/>
      <c r="P3874" s="10"/>
      <c r="Q3874" s="22"/>
    </row>
    <row r="3875" customFormat="false" ht="15.75" hidden="false" customHeight="false" outlineLevel="0" collapsed="false">
      <c r="A3875" s="20" t="n">
        <v>46130</v>
      </c>
      <c r="B3875" s="15" t="s">
        <v>504</v>
      </c>
      <c r="C3875" s="15" t="s">
        <v>39</v>
      </c>
      <c r="D3875" s="15" t="s">
        <v>550</v>
      </c>
      <c r="E3875" s="15" t="n">
        <v>2</v>
      </c>
      <c r="H3875" s="10"/>
      <c r="I3875" s="21"/>
      <c r="M3875" s="10"/>
      <c r="N3875" s="10"/>
      <c r="P3875" s="10"/>
      <c r="Q3875" s="22"/>
    </row>
    <row r="3876" customFormat="false" ht="15.75" hidden="false" customHeight="false" outlineLevel="0" collapsed="false">
      <c r="A3876" s="20" t="n">
        <v>46130</v>
      </c>
      <c r="B3876" s="15" t="s">
        <v>504</v>
      </c>
      <c r="C3876" s="15" t="s">
        <v>63</v>
      </c>
      <c r="D3876" s="15" t="s">
        <v>551</v>
      </c>
      <c r="E3876" s="15" t="n">
        <v>2</v>
      </c>
      <c r="H3876" s="10"/>
      <c r="I3876" s="21"/>
      <c r="M3876" s="10"/>
      <c r="N3876" s="10"/>
      <c r="P3876" s="10"/>
      <c r="Q3876" s="22"/>
    </row>
    <row r="3877" customFormat="false" ht="15.75" hidden="false" customHeight="false" outlineLevel="0" collapsed="false">
      <c r="A3877" s="20" t="n">
        <v>46130</v>
      </c>
      <c r="B3877" s="15" t="s">
        <v>504</v>
      </c>
      <c r="C3877" s="15" t="s">
        <v>17</v>
      </c>
      <c r="D3877" s="15" t="s">
        <v>554</v>
      </c>
      <c r="E3877" s="15" t="n">
        <v>2</v>
      </c>
      <c r="H3877" s="10"/>
      <c r="I3877" s="21"/>
      <c r="M3877" s="10"/>
      <c r="N3877" s="10"/>
      <c r="P3877" s="10"/>
      <c r="Q3877" s="22"/>
    </row>
    <row r="3878" customFormat="false" ht="15.75" hidden="false" customHeight="false" outlineLevel="0" collapsed="false">
      <c r="A3878" s="20" t="n">
        <v>46130</v>
      </c>
      <c r="B3878" s="15" t="s">
        <v>508</v>
      </c>
      <c r="C3878" s="15" t="s">
        <v>55</v>
      </c>
      <c r="D3878" s="15" t="s">
        <v>539</v>
      </c>
      <c r="E3878" s="15" t="n">
        <v>5</v>
      </c>
      <c r="H3878" s="10"/>
      <c r="I3878" s="21"/>
      <c r="M3878" s="10"/>
      <c r="N3878" s="10"/>
      <c r="P3878" s="10"/>
      <c r="Q3878" s="22"/>
    </row>
    <row r="3879" customFormat="false" ht="15.75" hidden="false" customHeight="false" outlineLevel="0" collapsed="false">
      <c r="A3879" s="20" t="n">
        <v>46130</v>
      </c>
      <c r="B3879" s="15" t="s">
        <v>508</v>
      </c>
      <c r="C3879" s="15" t="s">
        <v>81</v>
      </c>
      <c r="D3879" s="15" t="s">
        <v>534</v>
      </c>
      <c r="E3879" s="15" t="n">
        <v>9</v>
      </c>
      <c r="H3879" s="10"/>
      <c r="I3879" s="21"/>
      <c r="M3879" s="10"/>
      <c r="N3879" s="10"/>
      <c r="P3879" s="10"/>
      <c r="Q3879" s="22"/>
    </row>
    <row r="3880" customFormat="false" ht="15.75" hidden="false" customHeight="false" outlineLevel="0" collapsed="false">
      <c r="A3880" s="20" t="n">
        <v>46130</v>
      </c>
      <c r="B3880" s="15" t="s">
        <v>508</v>
      </c>
      <c r="C3880" s="15" t="s">
        <v>39</v>
      </c>
      <c r="D3880" s="15" t="s">
        <v>550</v>
      </c>
      <c r="E3880" s="15" t="n">
        <v>2</v>
      </c>
      <c r="H3880" s="10"/>
      <c r="I3880" s="21"/>
      <c r="M3880" s="10"/>
      <c r="N3880" s="10"/>
      <c r="P3880" s="10"/>
      <c r="Q3880" s="22"/>
    </row>
    <row r="3881" customFormat="false" ht="15.75" hidden="false" customHeight="false" outlineLevel="0" collapsed="false">
      <c r="A3881" s="20" t="n">
        <v>46130</v>
      </c>
      <c r="B3881" s="15" t="s">
        <v>508</v>
      </c>
      <c r="C3881" s="15" t="s">
        <v>47</v>
      </c>
      <c r="D3881" s="15" t="s">
        <v>549</v>
      </c>
      <c r="E3881" s="15" t="n">
        <v>2</v>
      </c>
      <c r="H3881" s="10"/>
      <c r="I3881" s="21"/>
      <c r="M3881" s="10"/>
      <c r="N3881" s="10"/>
      <c r="P3881" s="10"/>
      <c r="Q3881" s="22"/>
    </row>
    <row r="3882" customFormat="false" ht="15.75" hidden="false" customHeight="false" outlineLevel="0" collapsed="false">
      <c r="A3882" s="20" t="n">
        <v>46130</v>
      </c>
      <c r="B3882" s="15" t="s">
        <v>508</v>
      </c>
      <c r="C3882" s="15" t="s">
        <v>63</v>
      </c>
      <c r="D3882" s="15" t="s">
        <v>551</v>
      </c>
      <c r="E3882" s="15" t="n">
        <v>1</v>
      </c>
      <c r="H3882" s="10"/>
      <c r="I3882" s="21"/>
      <c r="M3882" s="10"/>
      <c r="N3882" s="10"/>
      <c r="P3882" s="10"/>
      <c r="Q3882" s="22"/>
    </row>
    <row r="3883" customFormat="false" ht="15.75" hidden="false" customHeight="false" outlineLevel="0" collapsed="false">
      <c r="A3883" s="20" t="n">
        <v>46132</v>
      </c>
      <c r="B3883" s="15" t="s">
        <v>453</v>
      </c>
      <c r="C3883" s="15" t="s">
        <v>47</v>
      </c>
      <c r="D3883" s="15" t="s">
        <v>549</v>
      </c>
      <c r="E3883" s="15" t="n">
        <v>2</v>
      </c>
      <c r="H3883" s="10"/>
      <c r="I3883" s="21"/>
      <c r="M3883" s="10"/>
      <c r="N3883" s="10"/>
      <c r="P3883" s="10"/>
      <c r="Q3883" s="22"/>
    </row>
    <row r="3884" customFormat="false" ht="15.75" hidden="false" customHeight="false" outlineLevel="0" collapsed="false">
      <c r="A3884" s="20" t="n">
        <v>46132</v>
      </c>
      <c r="B3884" s="15" t="s">
        <v>453</v>
      </c>
      <c r="C3884" s="15" t="s">
        <v>55</v>
      </c>
      <c r="D3884" s="15" t="s">
        <v>539</v>
      </c>
      <c r="E3884" s="15" t="n">
        <v>4</v>
      </c>
      <c r="H3884" s="10"/>
      <c r="I3884" s="21"/>
      <c r="M3884" s="10"/>
      <c r="N3884" s="10"/>
      <c r="P3884" s="10"/>
      <c r="Q3884" s="22"/>
    </row>
    <row r="3885" customFormat="false" ht="15.75" hidden="false" customHeight="false" outlineLevel="0" collapsed="false">
      <c r="A3885" s="20" t="n">
        <v>46132</v>
      </c>
      <c r="B3885" s="15" t="s">
        <v>453</v>
      </c>
      <c r="C3885" s="15" t="s">
        <v>81</v>
      </c>
      <c r="D3885" s="15" t="s">
        <v>534</v>
      </c>
      <c r="E3885" s="15" t="n">
        <v>8</v>
      </c>
      <c r="H3885" s="10"/>
      <c r="I3885" s="21"/>
      <c r="M3885" s="10"/>
      <c r="N3885" s="10"/>
      <c r="P3885" s="10"/>
      <c r="Q3885" s="22"/>
    </row>
    <row r="3886" customFormat="false" ht="15.75" hidden="false" customHeight="false" outlineLevel="0" collapsed="false">
      <c r="A3886" s="20" t="n">
        <v>46132</v>
      </c>
      <c r="B3886" s="15" t="s">
        <v>453</v>
      </c>
      <c r="C3886" s="15" t="s">
        <v>39</v>
      </c>
      <c r="D3886" s="15" t="s">
        <v>550</v>
      </c>
      <c r="E3886" s="15" t="n">
        <v>2</v>
      </c>
      <c r="H3886" s="10"/>
      <c r="I3886" s="21"/>
      <c r="M3886" s="10"/>
      <c r="N3886" s="10"/>
      <c r="P3886" s="10"/>
      <c r="Q3886" s="22"/>
    </row>
    <row r="3887" customFormat="false" ht="15.75" hidden="false" customHeight="false" outlineLevel="0" collapsed="false">
      <c r="A3887" s="20" t="n">
        <v>46132</v>
      </c>
      <c r="B3887" s="15" t="s">
        <v>453</v>
      </c>
      <c r="C3887" s="15" t="s">
        <v>63</v>
      </c>
      <c r="D3887" s="15" t="s">
        <v>551</v>
      </c>
      <c r="E3887" s="15" t="n">
        <v>1</v>
      </c>
      <c r="H3887" s="10"/>
      <c r="I3887" s="21"/>
      <c r="M3887" s="10"/>
      <c r="N3887" s="10"/>
      <c r="P3887" s="10"/>
      <c r="Q3887" s="22"/>
    </row>
    <row r="3888" customFormat="false" ht="15.75" hidden="false" customHeight="false" outlineLevel="0" collapsed="false">
      <c r="A3888" s="20" t="n">
        <v>46132</v>
      </c>
      <c r="B3888" s="15" t="s">
        <v>453</v>
      </c>
      <c r="C3888" s="15" t="s">
        <v>35</v>
      </c>
      <c r="D3888" s="15" t="s">
        <v>552</v>
      </c>
      <c r="E3888" s="15" t="n">
        <v>2</v>
      </c>
      <c r="H3888" s="10"/>
      <c r="I3888" s="21"/>
      <c r="M3888" s="10"/>
      <c r="N3888" s="10"/>
      <c r="P3888" s="10"/>
      <c r="Q3888" s="22"/>
    </row>
    <row r="3889" customFormat="false" ht="15.75" hidden="false" customHeight="false" outlineLevel="0" collapsed="false">
      <c r="A3889" s="20" t="n">
        <v>46132</v>
      </c>
      <c r="B3889" s="15" t="s">
        <v>467</v>
      </c>
      <c r="C3889" s="15" t="s">
        <v>55</v>
      </c>
      <c r="D3889" s="15" t="s">
        <v>539</v>
      </c>
      <c r="E3889" s="15" t="n">
        <v>6</v>
      </c>
      <c r="H3889" s="10"/>
      <c r="I3889" s="21"/>
      <c r="M3889" s="10"/>
      <c r="N3889" s="10"/>
      <c r="P3889" s="10"/>
      <c r="Q3889" s="22"/>
    </row>
    <row r="3890" customFormat="false" ht="15.75" hidden="false" customHeight="false" outlineLevel="0" collapsed="false">
      <c r="A3890" s="20" t="n">
        <v>46132</v>
      </c>
      <c r="B3890" s="15" t="s">
        <v>467</v>
      </c>
      <c r="C3890" s="15" t="s">
        <v>57</v>
      </c>
      <c r="D3890" s="15" t="s">
        <v>553</v>
      </c>
      <c r="E3890" s="15" t="n">
        <v>2</v>
      </c>
      <c r="H3890" s="10"/>
      <c r="I3890" s="21"/>
      <c r="M3890" s="10"/>
      <c r="N3890" s="10"/>
      <c r="P3890" s="10"/>
      <c r="Q3890" s="22"/>
    </row>
    <row r="3891" customFormat="false" ht="15.75" hidden="false" customHeight="false" outlineLevel="0" collapsed="false">
      <c r="A3891" s="20" t="n">
        <v>46132</v>
      </c>
      <c r="B3891" s="15" t="s">
        <v>467</v>
      </c>
      <c r="C3891" s="15" t="s">
        <v>47</v>
      </c>
      <c r="D3891" s="15" t="s">
        <v>549</v>
      </c>
      <c r="E3891" s="15" t="n">
        <v>2</v>
      </c>
      <c r="H3891" s="10"/>
      <c r="I3891" s="21"/>
      <c r="M3891" s="10"/>
      <c r="N3891" s="10"/>
      <c r="P3891" s="10"/>
      <c r="Q3891" s="22"/>
    </row>
    <row r="3892" customFormat="false" ht="15.75" hidden="false" customHeight="false" outlineLevel="0" collapsed="false">
      <c r="A3892" s="20" t="n">
        <v>46132</v>
      </c>
      <c r="B3892" s="15" t="s">
        <v>467</v>
      </c>
      <c r="C3892" s="15" t="s">
        <v>81</v>
      </c>
      <c r="D3892" s="15" t="s">
        <v>534</v>
      </c>
      <c r="E3892" s="15" t="n">
        <v>7</v>
      </c>
      <c r="H3892" s="10"/>
      <c r="I3892" s="21"/>
      <c r="M3892" s="10"/>
      <c r="N3892" s="10"/>
      <c r="P3892" s="10"/>
      <c r="Q3892" s="22"/>
    </row>
    <row r="3893" customFormat="false" ht="15.75" hidden="false" customHeight="false" outlineLevel="0" collapsed="false">
      <c r="A3893" s="20" t="n">
        <v>46132</v>
      </c>
      <c r="B3893" s="15" t="s">
        <v>467</v>
      </c>
      <c r="C3893" s="15" t="s">
        <v>49</v>
      </c>
      <c r="D3893" s="15" t="s">
        <v>537</v>
      </c>
      <c r="E3893" s="15" t="n">
        <v>2</v>
      </c>
      <c r="H3893" s="10"/>
      <c r="I3893" s="21"/>
      <c r="M3893" s="10"/>
      <c r="N3893" s="10"/>
      <c r="P3893" s="10"/>
      <c r="Q3893" s="22"/>
    </row>
    <row r="3894" customFormat="false" ht="15.75" hidden="false" customHeight="false" outlineLevel="0" collapsed="false">
      <c r="A3894" s="20" t="n">
        <v>46132</v>
      </c>
      <c r="B3894" s="15" t="s">
        <v>467</v>
      </c>
      <c r="C3894" s="15" t="s">
        <v>63</v>
      </c>
      <c r="D3894" s="15" t="s">
        <v>551</v>
      </c>
      <c r="E3894" s="15" t="n">
        <v>1</v>
      </c>
      <c r="H3894" s="10"/>
      <c r="I3894" s="21"/>
      <c r="M3894" s="10"/>
      <c r="N3894" s="10"/>
      <c r="P3894" s="10"/>
      <c r="Q3894" s="22"/>
    </row>
    <row r="3895" customFormat="false" ht="15.75" hidden="false" customHeight="false" outlineLevel="0" collapsed="false">
      <c r="A3895" s="20" t="n">
        <v>46132</v>
      </c>
      <c r="B3895" s="15" t="s">
        <v>469</v>
      </c>
      <c r="C3895" s="15" t="s">
        <v>69</v>
      </c>
      <c r="D3895" s="15" t="s">
        <v>535</v>
      </c>
      <c r="E3895" s="15" t="n">
        <v>5</v>
      </c>
      <c r="H3895" s="10"/>
      <c r="I3895" s="21"/>
      <c r="M3895" s="10"/>
      <c r="N3895" s="10"/>
      <c r="P3895" s="10"/>
      <c r="Q3895" s="22"/>
    </row>
    <row r="3896" customFormat="false" ht="15.75" hidden="false" customHeight="false" outlineLevel="0" collapsed="false">
      <c r="A3896" s="20" t="n">
        <v>46132</v>
      </c>
      <c r="B3896" s="15" t="s">
        <v>469</v>
      </c>
      <c r="C3896" s="15" t="s">
        <v>55</v>
      </c>
      <c r="D3896" s="15" t="s">
        <v>539</v>
      </c>
      <c r="E3896" s="15" t="n">
        <v>2</v>
      </c>
      <c r="H3896" s="10"/>
      <c r="I3896" s="21"/>
      <c r="M3896" s="10"/>
      <c r="N3896" s="10"/>
      <c r="P3896" s="10"/>
      <c r="Q3896" s="22"/>
    </row>
    <row r="3897" customFormat="false" ht="15.75" hidden="false" customHeight="false" outlineLevel="0" collapsed="false">
      <c r="A3897" s="20" t="n">
        <v>46132</v>
      </c>
      <c r="B3897" s="15" t="s">
        <v>469</v>
      </c>
      <c r="C3897" s="15" t="s">
        <v>33</v>
      </c>
      <c r="D3897" s="15" t="s">
        <v>536</v>
      </c>
      <c r="E3897" s="15" t="n">
        <v>5</v>
      </c>
      <c r="H3897" s="10"/>
      <c r="I3897" s="21"/>
      <c r="M3897" s="10"/>
      <c r="N3897" s="10"/>
      <c r="P3897" s="10"/>
      <c r="Q3897" s="22"/>
    </row>
    <row r="3898" customFormat="false" ht="15.75" hidden="false" customHeight="false" outlineLevel="0" collapsed="false">
      <c r="A3898" s="20" t="n">
        <v>46132</v>
      </c>
      <c r="B3898" s="15" t="s">
        <v>469</v>
      </c>
      <c r="C3898" s="15" t="s">
        <v>547</v>
      </c>
      <c r="D3898" s="15" t="s">
        <v>548</v>
      </c>
      <c r="E3898" s="15" t="n">
        <v>1</v>
      </c>
      <c r="H3898" s="10"/>
      <c r="I3898" s="21"/>
      <c r="M3898" s="10"/>
      <c r="N3898" s="10"/>
      <c r="P3898" s="10"/>
      <c r="Q3898" s="22"/>
    </row>
    <row r="3899" customFormat="false" ht="15.75" hidden="false" customHeight="false" outlineLevel="0" collapsed="false">
      <c r="A3899" s="20" t="n">
        <v>46132</v>
      </c>
      <c r="B3899" s="15" t="s">
        <v>469</v>
      </c>
      <c r="C3899" s="15" t="s">
        <v>81</v>
      </c>
      <c r="D3899" s="15" t="s">
        <v>534</v>
      </c>
      <c r="E3899" s="15" t="n">
        <v>2</v>
      </c>
      <c r="H3899" s="10"/>
      <c r="I3899" s="21"/>
      <c r="M3899" s="10"/>
      <c r="N3899" s="10"/>
      <c r="P3899" s="10"/>
      <c r="Q3899" s="22"/>
    </row>
    <row r="3900" customFormat="false" ht="15.75" hidden="false" customHeight="false" outlineLevel="0" collapsed="false">
      <c r="A3900" s="20" t="n">
        <v>46132</v>
      </c>
      <c r="B3900" s="15" t="s">
        <v>472</v>
      </c>
      <c r="C3900" s="15" t="s">
        <v>555</v>
      </c>
      <c r="D3900" s="15" t="s">
        <v>556</v>
      </c>
      <c r="E3900" s="15" t="n">
        <v>3</v>
      </c>
      <c r="H3900" s="10"/>
      <c r="I3900" s="21"/>
      <c r="M3900" s="10"/>
      <c r="N3900" s="10"/>
      <c r="P3900" s="10"/>
      <c r="Q3900" s="22"/>
    </row>
    <row r="3901" customFormat="false" ht="15.75" hidden="false" customHeight="false" outlineLevel="0" collapsed="false">
      <c r="A3901" s="20" t="n">
        <v>46132</v>
      </c>
      <c r="B3901" s="15" t="s">
        <v>472</v>
      </c>
      <c r="C3901" s="15" t="s">
        <v>11</v>
      </c>
      <c r="D3901" s="15" t="s">
        <v>572</v>
      </c>
      <c r="E3901" s="15" t="n">
        <v>3</v>
      </c>
      <c r="H3901" s="10"/>
      <c r="I3901" s="21"/>
      <c r="M3901" s="10"/>
      <c r="N3901" s="10"/>
      <c r="P3901" s="10"/>
      <c r="Q3901" s="22"/>
    </row>
    <row r="3902" customFormat="false" ht="15.75" hidden="false" customHeight="false" outlineLevel="0" collapsed="false">
      <c r="A3902" s="20" t="n">
        <v>46132</v>
      </c>
      <c r="B3902" s="15" t="s">
        <v>472</v>
      </c>
      <c r="C3902" s="15" t="s">
        <v>69</v>
      </c>
      <c r="D3902" s="15" t="s">
        <v>535</v>
      </c>
      <c r="E3902" s="15" t="n">
        <v>3</v>
      </c>
      <c r="H3902" s="10"/>
      <c r="I3902" s="21"/>
      <c r="M3902" s="10"/>
      <c r="N3902" s="10"/>
      <c r="P3902" s="10"/>
      <c r="Q3902" s="22"/>
    </row>
    <row r="3903" customFormat="false" ht="15.75" hidden="false" customHeight="false" outlineLevel="0" collapsed="false">
      <c r="A3903" s="20" t="n">
        <v>46132</v>
      </c>
      <c r="B3903" s="15" t="s">
        <v>472</v>
      </c>
      <c r="C3903" s="15" t="s">
        <v>25</v>
      </c>
      <c r="D3903" s="15" t="s">
        <v>26</v>
      </c>
      <c r="E3903" s="15" t="n">
        <v>3</v>
      </c>
      <c r="H3903" s="10"/>
      <c r="I3903" s="21"/>
      <c r="M3903" s="10"/>
      <c r="N3903" s="10"/>
      <c r="P3903" s="10"/>
      <c r="Q3903" s="22"/>
    </row>
    <row r="3904" customFormat="false" ht="15.75" hidden="false" customHeight="false" outlineLevel="0" collapsed="false">
      <c r="A3904" s="20" t="n">
        <v>46132</v>
      </c>
      <c r="B3904" s="15" t="s">
        <v>475</v>
      </c>
      <c r="C3904" s="15" t="s">
        <v>69</v>
      </c>
      <c r="D3904" s="15" t="s">
        <v>535</v>
      </c>
      <c r="E3904" s="15" t="n">
        <v>2</v>
      </c>
      <c r="H3904" s="10"/>
      <c r="I3904" s="21"/>
      <c r="M3904" s="10"/>
      <c r="N3904" s="10"/>
      <c r="P3904" s="10"/>
      <c r="Q3904" s="22"/>
    </row>
    <row r="3905" customFormat="false" ht="15.75" hidden="false" customHeight="false" outlineLevel="0" collapsed="false">
      <c r="A3905" s="20" t="n">
        <v>46132</v>
      </c>
      <c r="B3905" s="15" t="s">
        <v>475</v>
      </c>
      <c r="C3905" s="15" t="s">
        <v>33</v>
      </c>
      <c r="D3905" s="15" t="s">
        <v>536</v>
      </c>
      <c r="E3905" s="15" t="n">
        <v>2</v>
      </c>
      <c r="H3905" s="10"/>
      <c r="I3905" s="21"/>
      <c r="M3905" s="10"/>
      <c r="N3905" s="10"/>
      <c r="P3905" s="10"/>
      <c r="Q3905" s="22"/>
    </row>
    <row r="3906" customFormat="false" ht="15.75" hidden="false" customHeight="false" outlineLevel="0" collapsed="false">
      <c r="A3906" s="20" t="n">
        <v>46132</v>
      </c>
      <c r="B3906" s="15" t="s">
        <v>475</v>
      </c>
      <c r="C3906" s="15" t="s">
        <v>555</v>
      </c>
      <c r="D3906" s="15" t="s">
        <v>556</v>
      </c>
      <c r="E3906" s="15" t="n">
        <v>2</v>
      </c>
      <c r="H3906" s="10"/>
      <c r="I3906" s="21"/>
      <c r="M3906" s="10"/>
      <c r="N3906" s="10"/>
      <c r="P3906" s="10"/>
      <c r="Q3906" s="22"/>
    </row>
    <row r="3907" customFormat="false" ht="15.75" hidden="false" customHeight="false" outlineLevel="0" collapsed="false">
      <c r="A3907" s="20" t="n">
        <v>46132</v>
      </c>
      <c r="B3907" s="15" t="s">
        <v>475</v>
      </c>
      <c r="C3907" s="15" t="s">
        <v>547</v>
      </c>
      <c r="D3907" s="15" t="s">
        <v>548</v>
      </c>
      <c r="E3907" s="15" t="n">
        <v>6</v>
      </c>
      <c r="H3907" s="10"/>
      <c r="I3907" s="21"/>
      <c r="M3907" s="10"/>
      <c r="N3907" s="10"/>
      <c r="P3907" s="10"/>
      <c r="Q3907" s="22"/>
    </row>
    <row r="3908" customFormat="false" ht="15.75" hidden="false" customHeight="false" outlineLevel="0" collapsed="false">
      <c r="A3908" s="20" t="n">
        <v>46132</v>
      </c>
      <c r="B3908" s="15" t="s">
        <v>475</v>
      </c>
      <c r="C3908" s="15" t="s">
        <v>557</v>
      </c>
      <c r="D3908" s="15" t="s">
        <v>558</v>
      </c>
      <c r="E3908" s="15" t="n">
        <v>2</v>
      </c>
      <c r="H3908" s="10"/>
      <c r="I3908" s="21"/>
      <c r="M3908" s="10"/>
      <c r="N3908" s="10"/>
      <c r="P3908" s="10"/>
      <c r="Q3908" s="22"/>
    </row>
    <row r="3909" customFormat="false" ht="15.75" hidden="false" customHeight="false" outlineLevel="0" collapsed="false">
      <c r="A3909" s="20" t="n">
        <v>46132</v>
      </c>
      <c r="B3909" s="15" t="s">
        <v>486</v>
      </c>
      <c r="C3909" s="15" t="s">
        <v>55</v>
      </c>
      <c r="D3909" s="15" t="s">
        <v>539</v>
      </c>
      <c r="E3909" s="15" t="n">
        <v>1</v>
      </c>
      <c r="H3909" s="10"/>
      <c r="I3909" s="21"/>
      <c r="M3909" s="10"/>
      <c r="N3909" s="10"/>
      <c r="P3909" s="10"/>
      <c r="Q3909" s="22"/>
    </row>
    <row r="3910" customFormat="false" ht="15.75" hidden="false" customHeight="false" outlineLevel="0" collapsed="false">
      <c r="A3910" s="20" t="n">
        <v>46132</v>
      </c>
      <c r="B3910" s="15" t="s">
        <v>486</v>
      </c>
      <c r="C3910" s="15" t="s">
        <v>81</v>
      </c>
      <c r="D3910" s="15" t="s">
        <v>534</v>
      </c>
      <c r="E3910" s="15" t="n">
        <v>4</v>
      </c>
      <c r="H3910" s="10"/>
      <c r="I3910" s="21"/>
      <c r="M3910" s="10"/>
      <c r="N3910" s="10"/>
      <c r="P3910" s="10"/>
      <c r="Q3910" s="22"/>
    </row>
    <row r="3911" customFormat="false" ht="15.75" hidden="false" customHeight="false" outlineLevel="0" collapsed="false">
      <c r="A3911" s="20" t="n">
        <v>46132</v>
      </c>
      <c r="B3911" s="15" t="s">
        <v>486</v>
      </c>
      <c r="C3911" s="15" t="s">
        <v>69</v>
      </c>
      <c r="D3911" s="15" t="s">
        <v>535</v>
      </c>
      <c r="E3911" s="15" t="n">
        <v>5</v>
      </c>
      <c r="H3911" s="10"/>
      <c r="I3911" s="21"/>
      <c r="M3911" s="10"/>
      <c r="N3911" s="10"/>
      <c r="P3911" s="10"/>
      <c r="Q3911" s="22"/>
    </row>
    <row r="3912" customFormat="false" ht="15.75" hidden="false" customHeight="false" outlineLevel="0" collapsed="false">
      <c r="A3912" s="20" t="n">
        <v>46132</v>
      </c>
      <c r="B3912" s="15" t="s">
        <v>486</v>
      </c>
      <c r="C3912" s="15" t="s">
        <v>25</v>
      </c>
      <c r="D3912" s="15" t="s">
        <v>26</v>
      </c>
      <c r="E3912" s="15" t="n">
        <v>1</v>
      </c>
      <c r="H3912" s="10"/>
      <c r="I3912" s="21"/>
      <c r="M3912" s="10"/>
      <c r="N3912" s="10"/>
      <c r="P3912" s="10"/>
      <c r="Q3912" s="22"/>
    </row>
    <row r="3913" customFormat="false" ht="15.75" hidden="false" customHeight="false" outlineLevel="0" collapsed="false">
      <c r="A3913" s="20" t="n">
        <v>46132</v>
      </c>
      <c r="B3913" s="15" t="s">
        <v>486</v>
      </c>
      <c r="C3913" s="15" t="s">
        <v>11</v>
      </c>
      <c r="D3913" s="15" t="s">
        <v>572</v>
      </c>
      <c r="E3913" s="15" t="n">
        <v>1</v>
      </c>
      <c r="H3913" s="10"/>
      <c r="I3913" s="21"/>
      <c r="M3913" s="10"/>
      <c r="N3913" s="10"/>
      <c r="P3913" s="10"/>
      <c r="Q3913" s="22"/>
    </row>
    <row r="3914" customFormat="false" ht="15.75" hidden="false" customHeight="false" outlineLevel="0" collapsed="false">
      <c r="A3914" s="20" t="n">
        <v>46132</v>
      </c>
      <c r="B3914" s="15" t="s">
        <v>486</v>
      </c>
      <c r="C3914" s="15" t="s">
        <v>555</v>
      </c>
      <c r="D3914" s="15" t="s">
        <v>556</v>
      </c>
      <c r="E3914" s="15" t="n">
        <v>1</v>
      </c>
      <c r="H3914" s="10"/>
      <c r="I3914" s="21"/>
      <c r="M3914" s="10"/>
      <c r="N3914" s="10"/>
      <c r="P3914" s="10"/>
      <c r="Q3914" s="22"/>
    </row>
    <row r="3915" customFormat="false" ht="15.75" hidden="false" customHeight="false" outlineLevel="0" collapsed="false">
      <c r="A3915" s="20" t="n">
        <v>46132</v>
      </c>
      <c r="B3915" s="15" t="s">
        <v>486</v>
      </c>
      <c r="C3915" s="15" t="s">
        <v>543</v>
      </c>
      <c r="D3915" s="15" t="s">
        <v>544</v>
      </c>
      <c r="E3915" s="15" t="n">
        <v>2</v>
      </c>
      <c r="H3915" s="10"/>
      <c r="I3915" s="21"/>
      <c r="M3915" s="10"/>
      <c r="N3915" s="10"/>
      <c r="P3915" s="10"/>
      <c r="Q3915" s="22"/>
    </row>
    <row r="3916" customFormat="false" ht="15.75" hidden="false" customHeight="false" outlineLevel="0" collapsed="false">
      <c r="A3916" s="20" t="n">
        <v>46132</v>
      </c>
      <c r="B3916" s="15" t="s">
        <v>486</v>
      </c>
      <c r="C3916" s="15" t="s">
        <v>545</v>
      </c>
      <c r="D3916" s="15" t="s">
        <v>546</v>
      </c>
      <c r="E3916" s="15" t="n">
        <v>1</v>
      </c>
      <c r="H3916" s="10"/>
      <c r="I3916" s="21"/>
      <c r="M3916" s="10"/>
      <c r="N3916" s="10"/>
      <c r="P3916" s="10"/>
      <c r="Q3916" s="22"/>
    </row>
    <row r="3917" customFormat="false" ht="15.75" hidden="false" customHeight="false" outlineLevel="0" collapsed="false">
      <c r="A3917" s="20" t="n">
        <v>46132</v>
      </c>
      <c r="B3917" s="15" t="s">
        <v>486</v>
      </c>
      <c r="C3917" s="15" t="s">
        <v>77</v>
      </c>
      <c r="D3917" s="15" t="s">
        <v>78</v>
      </c>
      <c r="E3917" s="15" t="n">
        <v>2</v>
      </c>
      <c r="H3917" s="10"/>
      <c r="I3917" s="21"/>
      <c r="M3917" s="10"/>
      <c r="N3917" s="10"/>
      <c r="P3917" s="10"/>
      <c r="Q3917" s="22"/>
    </row>
    <row r="3918" customFormat="false" ht="15.75" hidden="false" customHeight="false" outlineLevel="0" collapsed="false">
      <c r="A3918" s="20" t="n">
        <v>46132</v>
      </c>
      <c r="B3918" s="15" t="s">
        <v>486</v>
      </c>
      <c r="C3918" s="15" t="s">
        <v>33</v>
      </c>
      <c r="D3918" s="15" t="s">
        <v>536</v>
      </c>
      <c r="E3918" s="15" t="n">
        <v>4</v>
      </c>
      <c r="H3918" s="10"/>
      <c r="I3918" s="21"/>
      <c r="M3918" s="10"/>
      <c r="N3918" s="10"/>
      <c r="P3918" s="10"/>
      <c r="Q3918" s="22"/>
    </row>
    <row r="3919" customFormat="false" ht="15.75" hidden="false" customHeight="false" outlineLevel="0" collapsed="false">
      <c r="A3919" s="20" t="n">
        <v>46132</v>
      </c>
      <c r="B3919" s="15" t="s">
        <v>486</v>
      </c>
      <c r="C3919" s="15" t="s">
        <v>578</v>
      </c>
      <c r="D3919" s="15" t="s">
        <v>579</v>
      </c>
      <c r="E3919" s="15" t="n">
        <v>1</v>
      </c>
      <c r="H3919" s="10"/>
      <c r="I3919" s="21"/>
      <c r="M3919" s="10"/>
      <c r="N3919" s="10"/>
      <c r="P3919" s="10"/>
      <c r="Q3919" s="22"/>
    </row>
    <row r="3920" customFormat="false" ht="15.75" hidden="false" customHeight="false" outlineLevel="0" collapsed="false">
      <c r="A3920" s="20" t="n">
        <v>46132</v>
      </c>
      <c r="B3920" s="15" t="s">
        <v>486</v>
      </c>
      <c r="C3920" s="15" t="s">
        <v>59</v>
      </c>
      <c r="D3920" s="15" t="s">
        <v>562</v>
      </c>
      <c r="E3920" s="15" t="n">
        <v>1</v>
      </c>
      <c r="H3920" s="10"/>
      <c r="I3920" s="21"/>
      <c r="M3920" s="10"/>
      <c r="N3920" s="10"/>
      <c r="P3920" s="10"/>
      <c r="Q3920" s="22"/>
    </row>
    <row r="3921" customFormat="false" ht="15.75" hidden="false" customHeight="false" outlineLevel="0" collapsed="false">
      <c r="A3921" s="20" t="n">
        <v>46132</v>
      </c>
      <c r="B3921" s="15" t="s">
        <v>486</v>
      </c>
      <c r="C3921" s="15" t="s">
        <v>79</v>
      </c>
      <c r="D3921" s="15" t="s">
        <v>564</v>
      </c>
      <c r="E3921" s="15" t="n">
        <v>2</v>
      </c>
      <c r="H3921" s="10"/>
      <c r="I3921" s="21"/>
      <c r="M3921" s="10"/>
      <c r="N3921" s="10"/>
      <c r="P3921" s="10"/>
      <c r="Q3921" s="22"/>
    </row>
    <row r="3922" customFormat="false" ht="15.75" hidden="false" customHeight="false" outlineLevel="0" collapsed="false">
      <c r="A3922" s="20" t="n">
        <v>46132</v>
      </c>
      <c r="B3922" s="15" t="s">
        <v>489</v>
      </c>
      <c r="C3922" s="15" t="s">
        <v>31</v>
      </c>
      <c r="D3922" s="15" t="s">
        <v>559</v>
      </c>
      <c r="E3922" s="15" t="n">
        <v>2</v>
      </c>
      <c r="H3922" s="10"/>
      <c r="I3922" s="21"/>
      <c r="M3922" s="10"/>
      <c r="N3922" s="10"/>
      <c r="P3922" s="10"/>
      <c r="Q3922" s="22"/>
    </row>
    <row r="3923" customFormat="false" ht="15.75" hidden="false" customHeight="false" outlineLevel="0" collapsed="false">
      <c r="A3923" s="20" t="n">
        <v>46132</v>
      </c>
      <c r="B3923" s="15" t="s">
        <v>489</v>
      </c>
      <c r="C3923" s="15" t="s">
        <v>43</v>
      </c>
      <c r="D3923" s="15" t="s">
        <v>538</v>
      </c>
      <c r="E3923" s="15" t="n">
        <v>3</v>
      </c>
      <c r="H3923" s="10"/>
      <c r="I3923" s="21"/>
      <c r="M3923" s="10"/>
      <c r="N3923" s="10"/>
      <c r="P3923" s="10"/>
      <c r="Q3923" s="22"/>
    </row>
    <row r="3924" customFormat="false" ht="15.75" hidden="false" customHeight="false" outlineLevel="0" collapsed="false">
      <c r="A3924" s="20" t="n">
        <v>46132</v>
      </c>
      <c r="B3924" s="15" t="s">
        <v>489</v>
      </c>
      <c r="C3924" s="15" t="s">
        <v>81</v>
      </c>
      <c r="D3924" s="15" t="s">
        <v>534</v>
      </c>
      <c r="E3924" s="15" t="n">
        <v>5</v>
      </c>
      <c r="H3924" s="10"/>
      <c r="I3924" s="21"/>
      <c r="M3924" s="10"/>
      <c r="N3924" s="10"/>
      <c r="P3924" s="10"/>
      <c r="Q3924" s="22"/>
    </row>
    <row r="3925" customFormat="false" ht="15.75" hidden="false" customHeight="false" outlineLevel="0" collapsed="false">
      <c r="A3925" s="20" t="n">
        <v>46132</v>
      </c>
      <c r="B3925" s="15" t="s">
        <v>489</v>
      </c>
      <c r="C3925" s="15" t="s">
        <v>547</v>
      </c>
      <c r="D3925" s="15" t="s">
        <v>548</v>
      </c>
      <c r="E3925" s="15" t="n">
        <v>6</v>
      </c>
      <c r="H3925" s="10"/>
      <c r="I3925" s="21"/>
      <c r="M3925" s="10"/>
      <c r="N3925" s="10"/>
      <c r="P3925" s="10"/>
      <c r="Q3925" s="22"/>
    </row>
    <row r="3926" customFormat="false" ht="15.75" hidden="false" customHeight="false" outlineLevel="0" collapsed="false">
      <c r="A3926" s="20" t="n">
        <v>46132</v>
      </c>
      <c r="B3926" s="15" t="s">
        <v>489</v>
      </c>
      <c r="C3926" s="15" t="s">
        <v>69</v>
      </c>
      <c r="D3926" s="15" t="s">
        <v>535</v>
      </c>
      <c r="E3926" s="15" t="n">
        <v>4</v>
      </c>
      <c r="H3926" s="10"/>
      <c r="I3926" s="21"/>
      <c r="M3926" s="10"/>
      <c r="N3926" s="10"/>
      <c r="P3926" s="10"/>
      <c r="Q3926" s="22"/>
    </row>
    <row r="3927" customFormat="false" ht="15.75" hidden="false" customHeight="false" outlineLevel="0" collapsed="false">
      <c r="A3927" s="20" t="n">
        <v>46132</v>
      </c>
      <c r="B3927" s="15" t="s">
        <v>489</v>
      </c>
      <c r="C3927" s="15" t="s">
        <v>33</v>
      </c>
      <c r="D3927" s="15" t="s">
        <v>536</v>
      </c>
      <c r="E3927" s="15" t="n">
        <v>4</v>
      </c>
      <c r="H3927" s="10"/>
      <c r="I3927" s="21"/>
      <c r="M3927" s="10"/>
      <c r="N3927" s="10"/>
      <c r="P3927" s="10"/>
      <c r="Q3927" s="22"/>
    </row>
    <row r="3928" customFormat="false" ht="15.75" hidden="false" customHeight="false" outlineLevel="0" collapsed="false">
      <c r="A3928" s="20" t="n">
        <v>46132</v>
      </c>
      <c r="B3928" s="15" t="s">
        <v>489</v>
      </c>
      <c r="C3928" s="15" t="s">
        <v>545</v>
      </c>
      <c r="D3928" s="15" t="s">
        <v>546</v>
      </c>
      <c r="E3928" s="15" t="n">
        <v>2</v>
      </c>
      <c r="H3928" s="10"/>
      <c r="I3928" s="21"/>
      <c r="M3928" s="10"/>
      <c r="N3928" s="10"/>
      <c r="P3928" s="10"/>
      <c r="Q3928" s="22"/>
    </row>
    <row r="3929" customFormat="false" ht="15.75" hidden="false" customHeight="false" outlineLevel="0" collapsed="false">
      <c r="A3929" s="20" t="n">
        <v>46132</v>
      </c>
      <c r="B3929" s="15" t="s">
        <v>489</v>
      </c>
      <c r="C3929" s="15" t="s">
        <v>555</v>
      </c>
      <c r="D3929" s="15" t="s">
        <v>556</v>
      </c>
      <c r="E3929" s="15" t="n">
        <v>2</v>
      </c>
      <c r="H3929" s="10"/>
      <c r="I3929" s="21"/>
      <c r="M3929" s="10"/>
      <c r="N3929" s="10"/>
      <c r="P3929" s="10"/>
      <c r="Q3929" s="22"/>
    </row>
    <row r="3930" customFormat="false" ht="15.75" hidden="false" customHeight="false" outlineLevel="0" collapsed="false">
      <c r="A3930" s="20" t="n">
        <v>46132</v>
      </c>
      <c r="B3930" s="15" t="s">
        <v>489</v>
      </c>
      <c r="C3930" s="15" t="s">
        <v>75</v>
      </c>
      <c r="D3930" s="15" t="s">
        <v>560</v>
      </c>
      <c r="E3930" s="15" t="n">
        <v>1</v>
      </c>
      <c r="H3930" s="10"/>
      <c r="I3930" s="21"/>
      <c r="M3930" s="10"/>
      <c r="N3930" s="10"/>
      <c r="P3930" s="10"/>
      <c r="Q3930" s="22"/>
    </row>
    <row r="3931" customFormat="false" ht="15.75" hidden="false" customHeight="false" outlineLevel="0" collapsed="false">
      <c r="A3931" s="20" t="n">
        <v>46132</v>
      </c>
      <c r="B3931" s="15" t="s">
        <v>489</v>
      </c>
      <c r="C3931" s="15" t="s">
        <v>77</v>
      </c>
      <c r="D3931" s="15" t="s">
        <v>78</v>
      </c>
      <c r="E3931" s="15" t="n">
        <v>2</v>
      </c>
      <c r="H3931" s="10"/>
      <c r="I3931" s="21"/>
      <c r="M3931" s="10"/>
      <c r="N3931" s="10"/>
      <c r="P3931" s="10"/>
      <c r="Q3931" s="22"/>
    </row>
    <row r="3932" customFormat="false" ht="15.75" hidden="false" customHeight="false" outlineLevel="0" collapsed="false">
      <c r="A3932" s="20" t="n">
        <v>46132</v>
      </c>
      <c r="B3932" s="15" t="s">
        <v>495</v>
      </c>
      <c r="C3932" s="15" t="s">
        <v>55</v>
      </c>
      <c r="D3932" s="15" t="s">
        <v>539</v>
      </c>
      <c r="E3932" s="15" t="n">
        <v>1</v>
      </c>
      <c r="H3932" s="10"/>
      <c r="I3932" s="21"/>
      <c r="M3932" s="10"/>
      <c r="N3932" s="10"/>
      <c r="P3932" s="10"/>
      <c r="Q3932" s="22"/>
    </row>
    <row r="3933" customFormat="false" ht="15.75" hidden="false" customHeight="false" outlineLevel="0" collapsed="false">
      <c r="A3933" s="20" t="n">
        <v>46132</v>
      </c>
      <c r="B3933" s="15" t="s">
        <v>495</v>
      </c>
      <c r="C3933" s="15" t="s">
        <v>81</v>
      </c>
      <c r="D3933" s="15" t="s">
        <v>534</v>
      </c>
      <c r="E3933" s="15" t="n">
        <v>3</v>
      </c>
      <c r="H3933" s="10"/>
      <c r="I3933" s="21"/>
      <c r="M3933" s="10"/>
      <c r="N3933" s="10"/>
      <c r="P3933" s="10"/>
      <c r="Q3933" s="22"/>
    </row>
    <row r="3934" customFormat="false" ht="15.75" hidden="false" customHeight="false" outlineLevel="0" collapsed="false">
      <c r="A3934" s="20" t="n">
        <v>46132</v>
      </c>
      <c r="B3934" s="15" t="s">
        <v>495</v>
      </c>
      <c r="C3934" s="15" t="s">
        <v>75</v>
      </c>
      <c r="D3934" s="15" t="s">
        <v>560</v>
      </c>
      <c r="E3934" s="15" t="n">
        <v>1</v>
      </c>
      <c r="H3934" s="10"/>
      <c r="I3934" s="21"/>
      <c r="M3934" s="10"/>
      <c r="N3934" s="10"/>
      <c r="P3934" s="10"/>
      <c r="Q3934" s="22"/>
    </row>
    <row r="3935" customFormat="false" ht="15.75" hidden="false" customHeight="false" outlineLevel="0" collapsed="false">
      <c r="A3935" s="20" t="n">
        <v>46132</v>
      </c>
      <c r="B3935" s="15" t="s">
        <v>495</v>
      </c>
      <c r="C3935" s="15" t="s">
        <v>43</v>
      </c>
      <c r="D3935" s="15" t="s">
        <v>538</v>
      </c>
      <c r="E3935" s="15" t="n">
        <v>1</v>
      </c>
      <c r="H3935" s="10"/>
      <c r="I3935" s="21"/>
      <c r="M3935" s="10"/>
      <c r="N3935" s="10"/>
      <c r="P3935" s="10"/>
      <c r="Q3935" s="22"/>
    </row>
    <row r="3936" customFormat="false" ht="15.75" hidden="false" customHeight="false" outlineLevel="0" collapsed="false">
      <c r="A3936" s="20" t="n">
        <v>46132</v>
      </c>
      <c r="B3936" s="15" t="s">
        <v>495</v>
      </c>
      <c r="C3936" s="15" t="s">
        <v>69</v>
      </c>
      <c r="D3936" s="15" t="s">
        <v>535</v>
      </c>
      <c r="E3936" s="15" t="n">
        <v>5</v>
      </c>
      <c r="H3936" s="10"/>
      <c r="I3936" s="21"/>
      <c r="M3936" s="10"/>
      <c r="N3936" s="10"/>
      <c r="P3936" s="10"/>
      <c r="Q3936" s="22"/>
    </row>
    <row r="3937" customFormat="false" ht="15.75" hidden="false" customHeight="false" outlineLevel="0" collapsed="false">
      <c r="A3937" s="20" t="n">
        <v>46132</v>
      </c>
      <c r="B3937" s="15" t="s">
        <v>495</v>
      </c>
      <c r="C3937" s="15" t="s">
        <v>547</v>
      </c>
      <c r="D3937" s="15" t="s">
        <v>548</v>
      </c>
      <c r="E3937" s="15" t="n">
        <v>3</v>
      </c>
      <c r="H3937" s="10"/>
      <c r="I3937" s="21"/>
      <c r="M3937" s="10"/>
      <c r="N3937" s="10"/>
      <c r="P3937" s="10"/>
      <c r="Q3937" s="22"/>
    </row>
    <row r="3938" customFormat="false" ht="15.75" hidden="false" customHeight="false" outlineLevel="0" collapsed="false">
      <c r="A3938" s="20" t="n">
        <v>46132</v>
      </c>
      <c r="B3938" s="15" t="s">
        <v>495</v>
      </c>
      <c r="C3938" s="15" t="s">
        <v>25</v>
      </c>
      <c r="D3938" s="15" t="s">
        <v>26</v>
      </c>
      <c r="E3938" s="15" t="n">
        <v>3</v>
      </c>
      <c r="H3938" s="10"/>
      <c r="I3938" s="21"/>
      <c r="M3938" s="10"/>
      <c r="N3938" s="10"/>
      <c r="P3938" s="10"/>
      <c r="Q3938" s="22"/>
    </row>
    <row r="3939" customFormat="false" ht="15.75" hidden="false" customHeight="false" outlineLevel="0" collapsed="false">
      <c r="A3939" s="20" t="n">
        <v>46132</v>
      </c>
      <c r="B3939" s="15" t="s">
        <v>495</v>
      </c>
      <c r="C3939" s="15" t="s">
        <v>543</v>
      </c>
      <c r="D3939" s="15" t="s">
        <v>544</v>
      </c>
      <c r="E3939" s="15" t="n">
        <v>6</v>
      </c>
      <c r="H3939" s="10"/>
      <c r="I3939" s="21"/>
      <c r="M3939" s="10"/>
      <c r="N3939" s="10"/>
      <c r="P3939" s="10"/>
      <c r="Q3939" s="22"/>
    </row>
    <row r="3940" customFormat="false" ht="15.75" hidden="false" customHeight="false" outlineLevel="0" collapsed="false">
      <c r="A3940" s="20" t="n">
        <v>46132</v>
      </c>
      <c r="B3940" s="15" t="s">
        <v>495</v>
      </c>
      <c r="C3940" s="15" t="s">
        <v>545</v>
      </c>
      <c r="D3940" s="15" t="s">
        <v>546</v>
      </c>
      <c r="E3940" s="15" t="n">
        <v>3</v>
      </c>
      <c r="H3940" s="10"/>
      <c r="I3940" s="21"/>
      <c r="M3940" s="10"/>
      <c r="N3940" s="10"/>
      <c r="P3940" s="10"/>
      <c r="Q3940" s="22"/>
    </row>
    <row r="3941" customFormat="false" ht="15.75" hidden="false" customHeight="false" outlineLevel="0" collapsed="false">
      <c r="A3941" s="20" t="n">
        <v>46132</v>
      </c>
      <c r="B3941" s="15" t="s">
        <v>495</v>
      </c>
      <c r="C3941" s="15" t="s">
        <v>63</v>
      </c>
      <c r="D3941" s="15" t="s">
        <v>551</v>
      </c>
      <c r="E3941" s="15" t="n">
        <v>1</v>
      </c>
      <c r="H3941" s="10"/>
      <c r="I3941" s="21"/>
      <c r="M3941" s="10"/>
      <c r="N3941" s="10"/>
      <c r="P3941" s="10"/>
      <c r="Q3941" s="22"/>
    </row>
    <row r="3942" customFormat="false" ht="15.75" hidden="false" customHeight="false" outlineLevel="0" collapsed="false">
      <c r="A3942" s="20" t="n">
        <v>46132</v>
      </c>
      <c r="B3942" s="15" t="s">
        <v>495</v>
      </c>
      <c r="C3942" s="15" t="s">
        <v>77</v>
      </c>
      <c r="D3942" s="15" t="s">
        <v>78</v>
      </c>
      <c r="E3942" s="15" t="n">
        <v>3</v>
      </c>
      <c r="H3942" s="10"/>
      <c r="I3942" s="21"/>
      <c r="M3942" s="10"/>
      <c r="N3942" s="10"/>
      <c r="P3942" s="10"/>
      <c r="Q3942" s="22"/>
    </row>
    <row r="3943" customFormat="false" ht="15.75" hidden="false" customHeight="false" outlineLevel="0" collapsed="false">
      <c r="A3943" s="20" t="n">
        <v>46132</v>
      </c>
      <c r="B3943" s="15" t="s">
        <v>495</v>
      </c>
      <c r="C3943" s="15" t="s">
        <v>61</v>
      </c>
      <c r="D3943" s="15" t="s">
        <v>576</v>
      </c>
      <c r="E3943" s="15" t="n">
        <v>1</v>
      </c>
      <c r="H3943" s="10"/>
      <c r="I3943" s="21"/>
      <c r="M3943" s="10"/>
      <c r="N3943" s="10"/>
      <c r="P3943" s="10"/>
      <c r="Q3943" s="22"/>
    </row>
    <row r="3944" customFormat="false" ht="15.75" hidden="false" customHeight="false" outlineLevel="0" collapsed="false">
      <c r="A3944" s="20" t="n">
        <v>46132</v>
      </c>
      <c r="B3944" s="15" t="s">
        <v>495</v>
      </c>
      <c r="C3944" s="15" t="s">
        <v>33</v>
      </c>
      <c r="D3944" s="15" t="s">
        <v>536</v>
      </c>
      <c r="E3944" s="15" t="n">
        <v>2</v>
      </c>
      <c r="H3944" s="10"/>
      <c r="I3944" s="21"/>
      <c r="M3944" s="10"/>
      <c r="N3944" s="10"/>
      <c r="P3944" s="10"/>
      <c r="Q3944" s="22"/>
    </row>
    <row r="3945" customFormat="false" ht="15.75" hidden="false" customHeight="false" outlineLevel="0" collapsed="false">
      <c r="A3945" s="20" t="n">
        <v>46132</v>
      </c>
      <c r="B3945" s="15" t="s">
        <v>495</v>
      </c>
      <c r="C3945" s="15" t="s">
        <v>59</v>
      </c>
      <c r="D3945" s="15" t="s">
        <v>562</v>
      </c>
      <c r="E3945" s="15" t="n">
        <v>2</v>
      </c>
      <c r="H3945" s="10"/>
      <c r="I3945" s="21"/>
      <c r="M3945" s="10"/>
      <c r="N3945" s="10"/>
      <c r="P3945" s="10"/>
      <c r="Q3945" s="22"/>
    </row>
    <row r="3946" customFormat="false" ht="15.75" hidden="false" customHeight="false" outlineLevel="0" collapsed="false">
      <c r="A3946" s="20" t="n">
        <v>46132</v>
      </c>
      <c r="B3946" s="15" t="s">
        <v>498</v>
      </c>
      <c r="C3946" s="15" t="s">
        <v>81</v>
      </c>
      <c r="D3946" s="15" t="s">
        <v>534</v>
      </c>
      <c r="E3946" s="15" t="n">
        <v>9</v>
      </c>
      <c r="H3946" s="10"/>
      <c r="I3946" s="21"/>
      <c r="M3946" s="10"/>
      <c r="N3946" s="10"/>
      <c r="P3946" s="10"/>
      <c r="Q3946" s="22"/>
    </row>
    <row r="3947" customFormat="false" ht="15.75" hidden="false" customHeight="false" outlineLevel="0" collapsed="false">
      <c r="A3947" s="20" t="n">
        <v>46132</v>
      </c>
      <c r="B3947" s="15" t="s">
        <v>498</v>
      </c>
      <c r="C3947" s="15" t="s">
        <v>543</v>
      </c>
      <c r="D3947" s="15" t="s">
        <v>544</v>
      </c>
      <c r="E3947" s="15" t="n">
        <v>1</v>
      </c>
      <c r="H3947" s="10"/>
      <c r="I3947" s="21"/>
      <c r="M3947" s="10"/>
      <c r="N3947" s="10"/>
      <c r="P3947" s="10"/>
      <c r="Q3947" s="22"/>
    </row>
    <row r="3948" customFormat="false" ht="15.75" hidden="false" customHeight="false" outlineLevel="0" collapsed="false">
      <c r="A3948" s="20" t="n">
        <v>46132</v>
      </c>
      <c r="B3948" s="15" t="s">
        <v>498</v>
      </c>
      <c r="C3948" s="15" t="s">
        <v>69</v>
      </c>
      <c r="D3948" s="15" t="s">
        <v>535</v>
      </c>
      <c r="E3948" s="15" t="n">
        <v>2</v>
      </c>
      <c r="H3948" s="10"/>
      <c r="I3948" s="21"/>
      <c r="M3948" s="10"/>
      <c r="N3948" s="10"/>
      <c r="P3948" s="10"/>
      <c r="Q3948" s="22"/>
    </row>
    <row r="3949" customFormat="false" ht="15.75" hidden="false" customHeight="false" outlineLevel="0" collapsed="false">
      <c r="A3949" s="20" t="n">
        <v>46132</v>
      </c>
      <c r="B3949" s="15" t="s">
        <v>498</v>
      </c>
      <c r="C3949" s="15" t="s">
        <v>33</v>
      </c>
      <c r="D3949" s="15" t="s">
        <v>536</v>
      </c>
      <c r="E3949" s="15" t="n">
        <v>3</v>
      </c>
      <c r="H3949" s="10"/>
      <c r="I3949" s="21"/>
      <c r="M3949" s="10"/>
      <c r="N3949" s="10"/>
      <c r="P3949" s="10"/>
      <c r="Q3949" s="22"/>
    </row>
    <row r="3950" customFormat="false" ht="15.75" hidden="false" customHeight="false" outlineLevel="0" collapsed="false">
      <c r="A3950" s="20" t="n">
        <v>46132</v>
      </c>
      <c r="B3950" s="15" t="s">
        <v>498</v>
      </c>
      <c r="C3950" s="15" t="s">
        <v>55</v>
      </c>
      <c r="D3950" s="15" t="s">
        <v>539</v>
      </c>
      <c r="E3950" s="15" t="n">
        <v>1</v>
      </c>
      <c r="H3950" s="10"/>
      <c r="I3950" s="21"/>
      <c r="M3950" s="10"/>
      <c r="N3950" s="10"/>
      <c r="P3950" s="10"/>
      <c r="Q3950" s="22"/>
    </row>
    <row r="3951" customFormat="false" ht="15.75" hidden="false" customHeight="false" outlineLevel="0" collapsed="false">
      <c r="A3951" s="20" t="n">
        <v>46132</v>
      </c>
      <c r="B3951" s="15" t="s">
        <v>498</v>
      </c>
      <c r="C3951" s="15" t="s">
        <v>59</v>
      </c>
      <c r="D3951" s="15" t="s">
        <v>562</v>
      </c>
      <c r="E3951" s="15" t="n">
        <v>1</v>
      </c>
      <c r="H3951" s="10"/>
      <c r="I3951" s="21"/>
      <c r="M3951" s="10"/>
      <c r="N3951" s="10"/>
      <c r="P3951" s="10"/>
      <c r="Q3951" s="22"/>
    </row>
    <row r="3952" customFormat="false" ht="15.75" hidden="false" customHeight="false" outlineLevel="0" collapsed="false">
      <c r="A3952" s="20" t="n">
        <v>46132</v>
      </c>
      <c r="B3952" s="15" t="s">
        <v>498</v>
      </c>
      <c r="C3952" s="15" t="s">
        <v>47</v>
      </c>
      <c r="D3952" s="15" t="s">
        <v>549</v>
      </c>
      <c r="E3952" s="15" t="n">
        <v>1</v>
      </c>
      <c r="H3952" s="10"/>
      <c r="I3952" s="21"/>
      <c r="M3952" s="10"/>
      <c r="N3952" s="10"/>
      <c r="P3952" s="10"/>
      <c r="Q3952" s="22"/>
    </row>
    <row r="3953" customFormat="false" ht="15.75" hidden="false" customHeight="false" outlineLevel="0" collapsed="false">
      <c r="A3953" s="20" t="n">
        <v>46132</v>
      </c>
      <c r="B3953" s="15" t="s">
        <v>498</v>
      </c>
      <c r="C3953" s="15" t="s">
        <v>75</v>
      </c>
      <c r="D3953" s="15" t="s">
        <v>560</v>
      </c>
      <c r="E3953" s="15" t="n">
        <v>1</v>
      </c>
      <c r="H3953" s="10"/>
      <c r="I3953" s="21"/>
      <c r="M3953" s="10"/>
      <c r="N3953" s="10"/>
      <c r="P3953" s="10"/>
      <c r="Q3953" s="22"/>
    </row>
    <row r="3954" customFormat="false" ht="15.75" hidden="false" customHeight="false" outlineLevel="0" collapsed="false">
      <c r="A3954" s="20" t="n">
        <v>46132</v>
      </c>
      <c r="B3954" s="15" t="s">
        <v>498</v>
      </c>
      <c r="C3954" s="15" t="s">
        <v>77</v>
      </c>
      <c r="D3954" s="15" t="s">
        <v>78</v>
      </c>
      <c r="E3954" s="15" t="n">
        <v>1</v>
      </c>
      <c r="H3954" s="10"/>
      <c r="I3954" s="21"/>
      <c r="M3954" s="10"/>
      <c r="N3954" s="10"/>
      <c r="P3954" s="10"/>
      <c r="Q3954" s="22"/>
    </row>
    <row r="3955" customFormat="false" ht="15.75" hidden="false" customHeight="false" outlineLevel="0" collapsed="false">
      <c r="A3955" s="20" t="n">
        <v>46132</v>
      </c>
      <c r="B3955" s="15" t="s">
        <v>504</v>
      </c>
      <c r="C3955" s="15" t="s">
        <v>47</v>
      </c>
      <c r="D3955" s="15" t="s">
        <v>549</v>
      </c>
      <c r="E3955" s="15" t="n">
        <v>6</v>
      </c>
      <c r="H3955" s="10"/>
      <c r="I3955" s="21"/>
      <c r="M3955" s="10"/>
      <c r="N3955" s="10"/>
      <c r="P3955" s="10"/>
      <c r="Q3955" s="22"/>
    </row>
    <row r="3956" customFormat="false" ht="15.75" hidden="false" customHeight="false" outlineLevel="0" collapsed="false">
      <c r="A3956" s="20" t="n">
        <v>46132</v>
      </c>
      <c r="B3956" s="15" t="s">
        <v>504</v>
      </c>
      <c r="C3956" s="15" t="s">
        <v>55</v>
      </c>
      <c r="D3956" s="15" t="s">
        <v>539</v>
      </c>
      <c r="E3956" s="15" t="n">
        <v>12</v>
      </c>
      <c r="H3956" s="10"/>
      <c r="I3956" s="21"/>
      <c r="M3956" s="10"/>
      <c r="N3956" s="10"/>
      <c r="P3956" s="10"/>
      <c r="Q3956" s="22"/>
    </row>
    <row r="3957" customFormat="false" ht="15.75" hidden="false" customHeight="false" outlineLevel="0" collapsed="false">
      <c r="A3957" s="20" t="n">
        <v>46132</v>
      </c>
      <c r="B3957" s="15" t="s">
        <v>504</v>
      </c>
      <c r="C3957" s="15" t="s">
        <v>81</v>
      </c>
      <c r="D3957" s="15" t="s">
        <v>534</v>
      </c>
      <c r="E3957" s="15" t="n">
        <v>18</v>
      </c>
      <c r="H3957" s="10"/>
      <c r="I3957" s="21"/>
      <c r="M3957" s="10"/>
      <c r="N3957" s="10"/>
      <c r="P3957" s="10"/>
      <c r="Q3957" s="22"/>
    </row>
    <row r="3958" customFormat="false" ht="15.75" hidden="false" customHeight="false" outlineLevel="0" collapsed="false">
      <c r="A3958" s="20" t="n">
        <v>46132</v>
      </c>
      <c r="B3958" s="15" t="s">
        <v>504</v>
      </c>
      <c r="C3958" s="15" t="s">
        <v>39</v>
      </c>
      <c r="D3958" s="15" t="s">
        <v>550</v>
      </c>
      <c r="E3958" s="15" t="n">
        <v>2</v>
      </c>
      <c r="H3958" s="10"/>
      <c r="I3958" s="21"/>
      <c r="M3958" s="10"/>
      <c r="N3958" s="10"/>
      <c r="P3958" s="10"/>
      <c r="Q3958" s="22"/>
    </row>
    <row r="3959" customFormat="false" ht="15.75" hidden="false" customHeight="false" outlineLevel="0" collapsed="false">
      <c r="A3959" s="20" t="n">
        <v>46132</v>
      </c>
      <c r="B3959" s="15" t="s">
        <v>504</v>
      </c>
      <c r="C3959" s="15" t="s">
        <v>63</v>
      </c>
      <c r="D3959" s="15" t="s">
        <v>551</v>
      </c>
      <c r="E3959" s="15" t="n">
        <v>2</v>
      </c>
      <c r="H3959" s="10"/>
      <c r="I3959" s="21"/>
      <c r="M3959" s="10"/>
      <c r="N3959" s="10"/>
      <c r="P3959" s="10"/>
      <c r="Q3959" s="22"/>
    </row>
    <row r="3960" customFormat="false" ht="15.75" hidden="false" customHeight="false" outlineLevel="0" collapsed="false">
      <c r="A3960" s="20" t="n">
        <v>46132</v>
      </c>
      <c r="B3960" s="15" t="s">
        <v>504</v>
      </c>
      <c r="C3960" s="15" t="s">
        <v>17</v>
      </c>
      <c r="D3960" s="15" t="s">
        <v>554</v>
      </c>
      <c r="E3960" s="15" t="n">
        <v>2</v>
      </c>
      <c r="H3960" s="10"/>
      <c r="I3960" s="21"/>
      <c r="M3960" s="10"/>
      <c r="N3960" s="10"/>
      <c r="P3960" s="10"/>
      <c r="Q3960" s="22"/>
    </row>
    <row r="3961" customFormat="false" ht="15.75" hidden="false" customHeight="false" outlineLevel="0" collapsed="false">
      <c r="A3961" s="20" t="n">
        <v>46132</v>
      </c>
      <c r="B3961" s="15" t="s">
        <v>508</v>
      </c>
      <c r="C3961" s="15" t="s">
        <v>55</v>
      </c>
      <c r="D3961" s="15" t="s">
        <v>539</v>
      </c>
      <c r="E3961" s="15" t="n">
        <v>5</v>
      </c>
      <c r="H3961" s="10"/>
      <c r="I3961" s="21"/>
      <c r="M3961" s="10"/>
      <c r="N3961" s="10"/>
      <c r="P3961" s="10"/>
      <c r="Q3961" s="22"/>
    </row>
    <row r="3962" customFormat="false" ht="15.75" hidden="false" customHeight="false" outlineLevel="0" collapsed="false">
      <c r="A3962" s="20" t="n">
        <v>46132</v>
      </c>
      <c r="B3962" s="15" t="s">
        <v>508</v>
      </c>
      <c r="C3962" s="15" t="s">
        <v>81</v>
      </c>
      <c r="D3962" s="15" t="s">
        <v>534</v>
      </c>
      <c r="E3962" s="15" t="n">
        <v>9</v>
      </c>
      <c r="H3962" s="10"/>
      <c r="I3962" s="21"/>
      <c r="M3962" s="10"/>
      <c r="N3962" s="10"/>
      <c r="P3962" s="10"/>
      <c r="Q3962" s="22"/>
    </row>
    <row r="3963" customFormat="false" ht="15.75" hidden="false" customHeight="false" outlineLevel="0" collapsed="false">
      <c r="A3963" s="20" t="n">
        <v>46132</v>
      </c>
      <c r="B3963" s="15" t="s">
        <v>508</v>
      </c>
      <c r="C3963" s="15" t="s">
        <v>39</v>
      </c>
      <c r="D3963" s="15" t="s">
        <v>550</v>
      </c>
      <c r="E3963" s="15" t="n">
        <v>2</v>
      </c>
      <c r="H3963" s="10"/>
      <c r="I3963" s="21"/>
      <c r="M3963" s="10"/>
      <c r="N3963" s="10"/>
      <c r="P3963" s="10"/>
      <c r="Q3963" s="22"/>
    </row>
    <row r="3964" customFormat="false" ht="15.75" hidden="false" customHeight="false" outlineLevel="0" collapsed="false">
      <c r="A3964" s="20" t="n">
        <v>46132</v>
      </c>
      <c r="B3964" s="15" t="s">
        <v>508</v>
      </c>
      <c r="C3964" s="15" t="s">
        <v>47</v>
      </c>
      <c r="D3964" s="15" t="s">
        <v>549</v>
      </c>
      <c r="E3964" s="15" t="n">
        <v>2</v>
      </c>
      <c r="H3964" s="10"/>
      <c r="I3964" s="21"/>
      <c r="M3964" s="10"/>
      <c r="N3964" s="10"/>
      <c r="P3964" s="10"/>
      <c r="Q3964" s="22"/>
    </row>
    <row r="3965" customFormat="false" ht="15.75" hidden="false" customHeight="false" outlineLevel="0" collapsed="false">
      <c r="A3965" s="20" t="n">
        <v>46132</v>
      </c>
      <c r="B3965" s="15" t="s">
        <v>508</v>
      </c>
      <c r="C3965" s="15" t="s">
        <v>63</v>
      </c>
      <c r="D3965" s="15" t="s">
        <v>551</v>
      </c>
      <c r="E3965" s="15" t="n">
        <v>1</v>
      </c>
      <c r="H3965" s="10"/>
      <c r="I3965" s="21"/>
      <c r="M3965" s="10"/>
      <c r="N3965" s="10"/>
      <c r="P3965" s="10"/>
      <c r="Q3965" s="22"/>
    </row>
    <row r="3966" customFormat="false" ht="15.75" hidden="false" customHeight="false" outlineLevel="0" collapsed="false">
      <c r="A3966" s="20" t="n">
        <v>46132</v>
      </c>
      <c r="B3966" s="15" t="s">
        <v>509</v>
      </c>
      <c r="C3966" s="15" t="s">
        <v>69</v>
      </c>
      <c r="D3966" s="15" t="s">
        <v>535</v>
      </c>
      <c r="E3966" s="15" t="n">
        <v>6</v>
      </c>
      <c r="H3966" s="10"/>
      <c r="I3966" s="21"/>
      <c r="M3966" s="10"/>
      <c r="N3966" s="10"/>
      <c r="P3966" s="10"/>
      <c r="Q3966" s="22"/>
    </row>
    <row r="3967" customFormat="false" ht="15.75" hidden="false" customHeight="false" outlineLevel="0" collapsed="false">
      <c r="A3967" s="20" t="n">
        <v>46132</v>
      </c>
      <c r="B3967" s="15" t="s">
        <v>509</v>
      </c>
      <c r="C3967" s="15" t="s">
        <v>33</v>
      </c>
      <c r="D3967" s="15" t="s">
        <v>536</v>
      </c>
      <c r="E3967" s="15" t="n">
        <v>6</v>
      </c>
      <c r="H3967" s="10"/>
      <c r="I3967" s="21"/>
      <c r="M3967" s="10"/>
      <c r="N3967" s="10"/>
      <c r="P3967" s="10"/>
      <c r="Q3967" s="22"/>
    </row>
    <row r="3968" customFormat="false" ht="15.75" hidden="false" customHeight="false" outlineLevel="0" collapsed="false">
      <c r="A3968" s="20" t="n">
        <v>46132</v>
      </c>
      <c r="B3968" s="15" t="s">
        <v>509</v>
      </c>
      <c r="C3968" s="15" t="s">
        <v>55</v>
      </c>
      <c r="D3968" s="15" t="s">
        <v>539</v>
      </c>
      <c r="E3968" s="15" t="n">
        <v>3</v>
      </c>
      <c r="H3968" s="10"/>
      <c r="I3968" s="21"/>
      <c r="M3968" s="10"/>
      <c r="N3968" s="10"/>
      <c r="P3968" s="10"/>
      <c r="Q3968" s="22"/>
    </row>
    <row r="3969" customFormat="false" ht="15.75" hidden="false" customHeight="false" outlineLevel="0" collapsed="false">
      <c r="A3969" s="20" t="n">
        <v>46132</v>
      </c>
      <c r="B3969" s="15" t="s">
        <v>509</v>
      </c>
      <c r="C3969" s="15" t="s">
        <v>547</v>
      </c>
      <c r="D3969" s="15" t="s">
        <v>548</v>
      </c>
      <c r="E3969" s="15" t="n">
        <v>1</v>
      </c>
      <c r="H3969" s="10"/>
      <c r="I3969" s="21"/>
      <c r="M3969" s="10"/>
      <c r="N3969" s="10"/>
      <c r="P3969" s="10"/>
      <c r="Q3969" s="22"/>
    </row>
    <row r="3970" customFormat="false" ht="15.75" hidden="false" customHeight="false" outlineLevel="0" collapsed="false">
      <c r="A3970" s="20" t="n">
        <v>46132</v>
      </c>
      <c r="B3970" s="15" t="s">
        <v>509</v>
      </c>
      <c r="C3970" s="15" t="s">
        <v>81</v>
      </c>
      <c r="D3970" s="15" t="s">
        <v>534</v>
      </c>
      <c r="E3970" s="15" t="n">
        <v>2</v>
      </c>
      <c r="H3970" s="10"/>
      <c r="I3970" s="21"/>
      <c r="M3970" s="10"/>
      <c r="N3970" s="10"/>
      <c r="P3970" s="10"/>
      <c r="Q3970" s="22"/>
    </row>
    <row r="3971" customFormat="false" ht="15.75" hidden="false" customHeight="false" outlineLevel="0" collapsed="false">
      <c r="A3971" s="20" t="n">
        <v>46132</v>
      </c>
      <c r="B3971" s="15" t="s">
        <v>509</v>
      </c>
      <c r="C3971" s="15" t="s">
        <v>37</v>
      </c>
      <c r="D3971" s="15" t="s">
        <v>561</v>
      </c>
      <c r="E3971" s="15" t="n">
        <v>1</v>
      </c>
      <c r="H3971" s="10"/>
      <c r="I3971" s="21"/>
      <c r="M3971" s="10"/>
      <c r="N3971" s="10"/>
      <c r="P3971" s="10"/>
      <c r="Q3971" s="22"/>
    </row>
    <row r="3972" customFormat="false" ht="15.75" hidden="false" customHeight="false" outlineLevel="0" collapsed="false">
      <c r="A3972" s="20" t="n">
        <v>46132</v>
      </c>
      <c r="B3972" s="15" t="s">
        <v>518</v>
      </c>
      <c r="C3972" s="15" t="s">
        <v>69</v>
      </c>
      <c r="D3972" s="15" t="s">
        <v>535</v>
      </c>
      <c r="E3972" s="15" t="n">
        <v>6</v>
      </c>
      <c r="H3972" s="10"/>
      <c r="I3972" s="21"/>
      <c r="M3972" s="10"/>
      <c r="N3972" s="10"/>
      <c r="P3972" s="10"/>
      <c r="Q3972" s="22"/>
    </row>
    <row r="3973" customFormat="false" ht="15.75" hidden="false" customHeight="false" outlineLevel="0" collapsed="false">
      <c r="A3973" s="20" t="n">
        <v>46132</v>
      </c>
      <c r="B3973" s="15" t="s">
        <v>518</v>
      </c>
      <c r="C3973" s="15" t="s">
        <v>33</v>
      </c>
      <c r="D3973" s="15" t="s">
        <v>536</v>
      </c>
      <c r="E3973" s="15" t="n">
        <v>6</v>
      </c>
      <c r="H3973" s="10"/>
      <c r="I3973" s="21"/>
      <c r="M3973" s="10"/>
      <c r="N3973" s="10"/>
      <c r="P3973" s="10"/>
      <c r="Q3973" s="22"/>
    </row>
    <row r="3974" customFormat="false" ht="15.75" hidden="false" customHeight="false" outlineLevel="0" collapsed="false">
      <c r="A3974" s="20" t="n">
        <v>46132</v>
      </c>
      <c r="B3974" s="15" t="s">
        <v>518</v>
      </c>
      <c r="C3974" s="15" t="s">
        <v>47</v>
      </c>
      <c r="D3974" s="15" t="s">
        <v>549</v>
      </c>
      <c r="E3974" s="15" t="n">
        <v>2</v>
      </c>
      <c r="H3974" s="10"/>
      <c r="I3974" s="21"/>
      <c r="M3974" s="10"/>
      <c r="N3974" s="10"/>
      <c r="P3974" s="10"/>
      <c r="Q3974" s="22"/>
    </row>
    <row r="3975" customFormat="false" ht="15.75" hidden="false" customHeight="false" outlineLevel="0" collapsed="false">
      <c r="A3975" s="20" t="n">
        <v>46132</v>
      </c>
      <c r="B3975" s="15" t="s">
        <v>518</v>
      </c>
      <c r="C3975" s="15" t="s">
        <v>51</v>
      </c>
      <c r="D3975" s="15" t="s">
        <v>573</v>
      </c>
      <c r="E3975" s="15" t="n">
        <v>1</v>
      </c>
      <c r="H3975" s="10"/>
      <c r="I3975" s="21"/>
      <c r="M3975" s="10"/>
      <c r="N3975" s="10"/>
      <c r="P3975" s="10"/>
      <c r="Q3975" s="22"/>
    </row>
    <row r="3976" customFormat="false" ht="15.75" hidden="false" customHeight="false" outlineLevel="0" collapsed="false">
      <c r="A3976" s="20" t="n">
        <v>46132</v>
      </c>
      <c r="B3976" s="15" t="s">
        <v>518</v>
      </c>
      <c r="C3976" s="15" t="s">
        <v>55</v>
      </c>
      <c r="D3976" s="15" t="s">
        <v>539</v>
      </c>
      <c r="E3976" s="15" t="n">
        <v>2</v>
      </c>
      <c r="H3976" s="10"/>
      <c r="I3976" s="21"/>
      <c r="M3976" s="10"/>
      <c r="N3976" s="10"/>
      <c r="P3976" s="10"/>
      <c r="Q3976" s="22"/>
    </row>
    <row r="3977" customFormat="false" ht="15.75" hidden="false" customHeight="false" outlineLevel="0" collapsed="false">
      <c r="A3977" s="20" t="n">
        <v>46132</v>
      </c>
      <c r="B3977" s="15" t="s">
        <v>518</v>
      </c>
      <c r="C3977" s="15" t="s">
        <v>37</v>
      </c>
      <c r="D3977" s="15" t="s">
        <v>561</v>
      </c>
      <c r="E3977" s="15" t="n">
        <v>2</v>
      </c>
      <c r="H3977" s="10"/>
      <c r="I3977" s="21"/>
      <c r="M3977" s="10"/>
      <c r="N3977" s="10"/>
      <c r="P3977" s="10"/>
      <c r="Q3977" s="22"/>
    </row>
    <row r="3978" customFormat="false" ht="15.75" hidden="false" customHeight="false" outlineLevel="0" collapsed="false">
      <c r="A3978" s="20" t="n">
        <v>46132</v>
      </c>
      <c r="B3978" s="15" t="s">
        <v>518</v>
      </c>
      <c r="C3978" s="15" t="s">
        <v>547</v>
      </c>
      <c r="D3978" s="15" t="s">
        <v>548</v>
      </c>
      <c r="E3978" s="15" t="n">
        <v>1</v>
      </c>
      <c r="H3978" s="10"/>
      <c r="I3978" s="21"/>
      <c r="M3978" s="10"/>
      <c r="N3978" s="10"/>
      <c r="P3978" s="10"/>
      <c r="Q3978" s="22"/>
    </row>
    <row r="3979" customFormat="false" ht="15.75" hidden="false" customHeight="false" outlineLevel="0" collapsed="false">
      <c r="A3979" s="20" t="n">
        <v>46132</v>
      </c>
      <c r="B3979" s="15" t="s">
        <v>518</v>
      </c>
      <c r="C3979" s="15" t="s">
        <v>81</v>
      </c>
      <c r="D3979" s="15" t="s">
        <v>534</v>
      </c>
      <c r="E3979" s="15" t="n">
        <v>1</v>
      </c>
      <c r="H3979" s="10"/>
      <c r="I3979" s="21"/>
      <c r="M3979" s="10"/>
      <c r="N3979" s="10"/>
      <c r="P3979" s="10"/>
      <c r="Q3979" s="22"/>
    </row>
    <row r="3980" customFormat="false" ht="15.75" hidden="false" customHeight="false" outlineLevel="0" collapsed="false">
      <c r="A3980" s="20" t="n">
        <v>46133</v>
      </c>
      <c r="B3980" s="15" t="s">
        <v>453</v>
      </c>
      <c r="C3980" s="15" t="s">
        <v>47</v>
      </c>
      <c r="D3980" s="15" t="s">
        <v>549</v>
      </c>
      <c r="E3980" s="15" t="n">
        <v>2</v>
      </c>
      <c r="H3980" s="10"/>
      <c r="I3980" s="21"/>
      <c r="M3980" s="10"/>
      <c r="N3980" s="10"/>
      <c r="P3980" s="10"/>
      <c r="Q3980" s="22"/>
    </row>
    <row r="3981" customFormat="false" ht="15.75" hidden="false" customHeight="false" outlineLevel="0" collapsed="false">
      <c r="A3981" s="20" t="n">
        <v>46133</v>
      </c>
      <c r="B3981" s="15" t="s">
        <v>453</v>
      </c>
      <c r="C3981" s="15" t="s">
        <v>55</v>
      </c>
      <c r="D3981" s="15" t="s">
        <v>539</v>
      </c>
      <c r="E3981" s="15" t="n">
        <v>4</v>
      </c>
      <c r="H3981" s="10"/>
      <c r="I3981" s="21"/>
      <c r="M3981" s="10"/>
      <c r="N3981" s="10"/>
      <c r="P3981" s="10"/>
      <c r="Q3981" s="22"/>
    </row>
    <row r="3982" customFormat="false" ht="15.75" hidden="false" customHeight="false" outlineLevel="0" collapsed="false">
      <c r="A3982" s="20" t="n">
        <v>46133</v>
      </c>
      <c r="B3982" s="15" t="s">
        <v>453</v>
      </c>
      <c r="C3982" s="15" t="s">
        <v>81</v>
      </c>
      <c r="D3982" s="15" t="s">
        <v>534</v>
      </c>
      <c r="E3982" s="15" t="n">
        <v>8</v>
      </c>
      <c r="H3982" s="10"/>
      <c r="I3982" s="21"/>
      <c r="M3982" s="10"/>
      <c r="N3982" s="10"/>
      <c r="P3982" s="10"/>
      <c r="Q3982" s="22"/>
    </row>
    <row r="3983" customFormat="false" ht="15.75" hidden="false" customHeight="false" outlineLevel="0" collapsed="false">
      <c r="A3983" s="20" t="n">
        <v>46133</v>
      </c>
      <c r="B3983" s="15" t="s">
        <v>453</v>
      </c>
      <c r="C3983" s="15" t="s">
        <v>39</v>
      </c>
      <c r="D3983" s="15" t="s">
        <v>550</v>
      </c>
      <c r="E3983" s="15" t="n">
        <v>2</v>
      </c>
      <c r="H3983" s="10"/>
      <c r="I3983" s="21"/>
      <c r="M3983" s="10"/>
      <c r="N3983" s="10"/>
      <c r="P3983" s="10"/>
      <c r="Q3983" s="22"/>
    </row>
    <row r="3984" customFormat="false" ht="15.75" hidden="false" customHeight="false" outlineLevel="0" collapsed="false">
      <c r="A3984" s="20" t="n">
        <v>46133</v>
      </c>
      <c r="B3984" s="15" t="s">
        <v>453</v>
      </c>
      <c r="C3984" s="15" t="s">
        <v>63</v>
      </c>
      <c r="D3984" s="15" t="s">
        <v>551</v>
      </c>
      <c r="E3984" s="15" t="n">
        <v>1</v>
      </c>
      <c r="H3984" s="10"/>
      <c r="I3984" s="21"/>
      <c r="M3984" s="10"/>
      <c r="N3984" s="10"/>
      <c r="P3984" s="10"/>
      <c r="Q3984" s="22"/>
    </row>
    <row r="3985" customFormat="false" ht="15.75" hidden="false" customHeight="false" outlineLevel="0" collapsed="false">
      <c r="A3985" s="20" t="n">
        <v>46133</v>
      </c>
      <c r="B3985" s="15" t="s">
        <v>453</v>
      </c>
      <c r="C3985" s="15" t="s">
        <v>35</v>
      </c>
      <c r="D3985" s="15" t="s">
        <v>552</v>
      </c>
      <c r="E3985" s="15" t="n">
        <v>2</v>
      </c>
      <c r="H3985" s="10"/>
      <c r="I3985" s="21"/>
      <c r="M3985" s="10"/>
      <c r="N3985" s="10"/>
      <c r="P3985" s="10"/>
      <c r="Q3985" s="22"/>
    </row>
    <row r="3986" customFormat="false" ht="15.75" hidden="false" customHeight="false" outlineLevel="0" collapsed="false">
      <c r="A3986" s="20" t="n">
        <v>46133</v>
      </c>
      <c r="B3986" s="15" t="s">
        <v>467</v>
      </c>
      <c r="C3986" s="15" t="s">
        <v>55</v>
      </c>
      <c r="D3986" s="15" t="s">
        <v>539</v>
      </c>
      <c r="E3986" s="15" t="n">
        <v>6</v>
      </c>
      <c r="H3986" s="10"/>
      <c r="I3986" s="21"/>
      <c r="M3986" s="10"/>
      <c r="N3986" s="10"/>
      <c r="P3986" s="10"/>
      <c r="Q3986" s="22"/>
    </row>
    <row r="3987" customFormat="false" ht="15.75" hidden="false" customHeight="false" outlineLevel="0" collapsed="false">
      <c r="A3987" s="20" t="n">
        <v>46133</v>
      </c>
      <c r="B3987" s="15" t="s">
        <v>467</v>
      </c>
      <c r="C3987" s="15" t="s">
        <v>57</v>
      </c>
      <c r="D3987" s="15" t="s">
        <v>553</v>
      </c>
      <c r="E3987" s="15" t="n">
        <v>2</v>
      </c>
      <c r="H3987" s="10"/>
      <c r="I3987" s="21"/>
      <c r="M3987" s="10"/>
      <c r="N3987" s="10"/>
      <c r="P3987" s="10"/>
      <c r="Q3987" s="22"/>
    </row>
    <row r="3988" customFormat="false" ht="15.75" hidden="false" customHeight="false" outlineLevel="0" collapsed="false">
      <c r="A3988" s="20" t="n">
        <v>46133</v>
      </c>
      <c r="B3988" s="15" t="s">
        <v>467</v>
      </c>
      <c r="C3988" s="15" t="s">
        <v>47</v>
      </c>
      <c r="D3988" s="15" t="s">
        <v>549</v>
      </c>
      <c r="E3988" s="15" t="n">
        <v>2</v>
      </c>
      <c r="H3988" s="10"/>
      <c r="I3988" s="21"/>
      <c r="M3988" s="10"/>
      <c r="N3988" s="10"/>
      <c r="P3988" s="10"/>
      <c r="Q3988" s="22"/>
    </row>
    <row r="3989" customFormat="false" ht="15.75" hidden="false" customHeight="false" outlineLevel="0" collapsed="false">
      <c r="A3989" s="20" t="n">
        <v>46133</v>
      </c>
      <c r="B3989" s="15" t="s">
        <v>467</v>
      </c>
      <c r="C3989" s="15" t="s">
        <v>81</v>
      </c>
      <c r="D3989" s="15" t="s">
        <v>534</v>
      </c>
      <c r="E3989" s="15" t="n">
        <v>7</v>
      </c>
      <c r="H3989" s="10"/>
      <c r="I3989" s="21"/>
      <c r="M3989" s="10"/>
      <c r="N3989" s="10"/>
      <c r="P3989" s="10"/>
      <c r="Q3989" s="22"/>
    </row>
    <row r="3990" customFormat="false" ht="15.75" hidden="false" customHeight="false" outlineLevel="0" collapsed="false">
      <c r="A3990" s="20" t="n">
        <v>46133</v>
      </c>
      <c r="B3990" s="15" t="s">
        <v>467</v>
      </c>
      <c r="C3990" s="15" t="s">
        <v>49</v>
      </c>
      <c r="D3990" s="15" t="s">
        <v>537</v>
      </c>
      <c r="E3990" s="15" t="n">
        <v>2</v>
      </c>
      <c r="H3990" s="10"/>
      <c r="I3990" s="21"/>
      <c r="M3990" s="10"/>
      <c r="N3990" s="10"/>
      <c r="P3990" s="10"/>
      <c r="Q3990" s="22"/>
    </row>
    <row r="3991" customFormat="false" ht="15.75" hidden="false" customHeight="false" outlineLevel="0" collapsed="false">
      <c r="A3991" s="20" t="n">
        <v>46133</v>
      </c>
      <c r="B3991" s="15" t="s">
        <v>467</v>
      </c>
      <c r="C3991" s="15" t="s">
        <v>63</v>
      </c>
      <c r="D3991" s="15" t="s">
        <v>551</v>
      </c>
      <c r="E3991" s="15" t="n">
        <v>1</v>
      </c>
      <c r="H3991" s="10"/>
      <c r="I3991" s="21"/>
      <c r="M3991" s="10"/>
      <c r="N3991" s="10"/>
      <c r="P3991" s="10"/>
      <c r="Q3991" s="22"/>
    </row>
    <row r="3992" customFormat="false" ht="15.75" hidden="false" customHeight="false" outlineLevel="0" collapsed="false">
      <c r="A3992" s="20" t="n">
        <v>46133</v>
      </c>
      <c r="B3992" s="15" t="s">
        <v>469</v>
      </c>
      <c r="C3992" s="15" t="s">
        <v>69</v>
      </c>
      <c r="D3992" s="15" t="s">
        <v>535</v>
      </c>
      <c r="E3992" s="15" t="n">
        <v>5</v>
      </c>
      <c r="H3992" s="10"/>
      <c r="I3992" s="21"/>
      <c r="M3992" s="10"/>
      <c r="N3992" s="10"/>
      <c r="P3992" s="10"/>
      <c r="Q3992" s="22"/>
    </row>
    <row r="3993" customFormat="false" ht="15.75" hidden="false" customHeight="false" outlineLevel="0" collapsed="false">
      <c r="A3993" s="20" t="n">
        <v>46133</v>
      </c>
      <c r="B3993" s="15" t="s">
        <v>469</v>
      </c>
      <c r="C3993" s="15" t="s">
        <v>55</v>
      </c>
      <c r="D3993" s="15" t="s">
        <v>539</v>
      </c>
      <c r="E3993" s="15" t="n">
        <v>2</v>
      </c>
      <c r="H3993" s="10"/>
      <c r="I3993" s="21"/>
      <c r="M3993" s="10"/>
      <c r="N3993" s="10"/>
      <c r="P3993" s="10"/>
      <c r="Q3993" s="22"/>
    </row>
    <row r="3994" customFormat="false" ht="15.75" hidden="false" customHeight="false" outlineLevel="0" collapsed="false">
      <c r="A3994" s="20" t="n">
        <v>46133</v>
      </c>
      <c r="B3994" s="15" t="s">
        <v>469</v>
      </c>
      <c r="C3994" s="15" t="s">
        <v>33</v>
      </c>
      <c r="D3994" s="15" t="s">
        <v>536</v>
      </c>
      <c r="E3994" s="15" t="n">
        <v>5</v>
      </c>
      <c r="H3994" s="10"/>
      <c r="I3994" s="21"/>
      <c r="M3994" s="10"/>
      <c r="N3994" s="10"/>
      <c r="P3994" s="10"/>
      <c r="Q3994" s="22"/>
    </row>
    <row r="3995" customFormat="false" ht="15.75" hidden="false" customHeight="false" outlineLevel="0" collapsed="false">
      <c r="A3995" s="20" t="n">
        <v>46133</v>
      </c>
      <c r="B3995" s="15" t="s">
        <v>469</v>
      </c>
      <c r="C3995" s="15" t="s">
        <v>547</v>
      </c>
      <c r="D3995" s="15" t="s">
        <v>548</v>
      </c>
      <c r="E3995" s="15" t="n">
        <v>1</v>
      </c>
      <c r="H3995" s="10"/>
      <c r="I3995" s="21"/>
      <c r="M3995" s="10"/>
      <c r="N3995" s="10"/>
      <c r="P3995" s="10"/>
      <c r="Q3995" s="22"/>
    </row>
    <row r="3996" customFormat="false" ht="15.75" hidden="false" customHeight="false" outlineLevel="0" collapsed="false">
      <c r="A3996" s="20" t="n">
        <v>46133</v>
      </c>
      <c r="B3996" s="15" t="s">
        <v>469</v>
      </c>
      <c r="C3996" s="15" t="s">
        <v>81</v>
      </c>
      <c r="D3996" s="15" t="s">
        <v>534</v>
      </c>
      <c r="E3996" s="15" t="n">
        <v>2</v>
      </c>
      <c r="H3996" s="10"/>
      <c r="I3996" s="21"/>
      <c r="M3996" s="10"/>
      <c r="N3996" s="10"/>
      <c r="P3996" s="10"/>
      <c r="Q3996" s="22"/>
    </row>
    <row r="3997" customFormat="false" ht="15.75" hidden="false" customHeight="false" outlineLevel="0" collapsed="false">
      <c r="A3997" s="20" t="n">
        <v>46133</v>
      </c>
      <c r="B3997" s="15" t="s">
        <v>472</v>
      </c>
      <c r="C3997" s="15" t="s">
        <v>555</v>
      </c>
      <c r="D3997" s="15" t="s">
        <v>556</v>
      </c>
      <c r="E3997" s="15" t="n">
        <v>3</v>
      </c>
      <c r="H3997" s="10"/>
      <c r="I3997" s="21"/>
      <c r="M3997" s="10"/>
      <c r="N3997" s="10"/>
      <c r="P3997" s="10"/>
      <c r="Q3997" s="22"/>
    </row>
    <row r="3998" customFormat="false" ht="15.75" hidden="false" customHeight="false" outlineLevel="0" collapsed="false">
      <c r="A3998" s="20" t="n">
        <v>46133</v>
      </c>
      <c r="B3998" s="15" t="s">
        <v>472</v>
      </c>
      <c r="C3998" s="15" t="s">
        <v>11</v>
      </c>
      <c r="D3998" s="15" t="s">
        <v>572</v>
      </c>
      <c r="E3998" s="15" t="n">
        <v>3</v>
      </c>
      <c r="H3998" s="10"/>
      <c r="I3998" s="21"/>
      <c r="M3998" s="10"/>
      <c r="N3998" s="10"/>
      <c r="P3998" s="10"/>
      <c r="Q3998" s="22"/>
    </row>
    <row r="3999" customFormat="false" ht="15.75" hidden="false" customHeight="false" outlineLevel="0" collapsed="false">
      <c r="A3999" s="20" t="n">
        <v>46133</v>
      </c>
      <c r="B3999" s="15" t="s">
        <v>472</v>
      </c>
      <c r="C3999" s="15" t="s">
        <v>69</v>
      </c>
      <c r="D3999" s="15" t="s">
        <v>535</v>
      </c>
      <c r="E3999" s="15" t="n">
        <v>3</v>
      </c>
      <c r="H3999" s="10"/>
      <c r="I3999" s="21"/>
      <c r="M3999" s="10"/>
      <c r="N3999" s="10"/>
      <c r="P3999" s="10"/>
      <c r="Q3999" s="22"/>
    </row>
    <row r="4000" customFormat="false" ht="15.75" hidden="false" customHeight="false" outlineLevel="0" collapsed="false">
      <c r="A4000" s="20" t="n">
        <v>46133</v>
      </c>
      <c r="B4000" s="15" t="s">
        <v>472</v>
      </c>
      <c r="C4000" s="15" t="s">
        <v>25</v>
      </c>
      <c r="D4000" s="15" t="s">
        <v>26</v>
      </c>
      <c r="E4000" s="15" t="n">
        <v>3</v>
      </c>
      <c r="H4000" s="10"/>
      <c r="I4000" s="21"/>
      <c r="M4000" s="10"/>
      <c r="N4000" s="10"/>
      <c r="P4000" s="10"/>
      <c r="Q4000" s="22"/>
    </row>
    <row r="4001" customFormat="false" ht="15.75" hidden="false" customHeight="false" outlineLevel="0" collapsed="false">
      <c r="A4001" s="20" t="n">
        <v>46133</v>
      </c>
      <c r="B4001" s="15" t="s">
        <v>481</v>
      </c>
      <c r="C4001" s="15" t="s">
        <v>69</v>
      </c>
      <c r="D4001" s="15" t="s">
        <v>535</v>
      </c>
      <c r="E4001" s="15" t="n">
        <v>2</v>
      </c>
      <c r="H4001" s="10"/>
      <c r="I4001" s="21"/>
      <c r="M4001" s="10"/>
      <c r="N4001" s="10"/>
      <c r="P4001" s="10"/>
      <c r="Q4001" s="22"/>
    </row>
    <row r="4002" customFormat="false" ht="15.75" hidden="false" customHeight="false" outlineLevel="0" collapsed="false">
      <c r="A4002" s="20" t="n">
        <v>46133</v>
      </c>
      <c r="B4002" s="15" t="s">
        <v>481</v>
      </c>
      <c r="C4002" s="15" t="s">
        <v>547</v>
      </c>
      <c r="D4002" s="15" t="s">
        <v>548</v>
      </c>
      <c r="E4002" s="15" t="n">
        <v>2</v>
      </c>
      <c r="H4002" s="10"/>
      <c r="I4002" s="21"/>
      <c r="M4002" s="10"/>
      <c r="N4002" s="10"/>
      <c r="P4002" s="10"/>
      <c r="Q4002" s="22"/>
    </row>
    <row r="4003" customFormat="false" ht="15.75" hidden="false" customHeight="false" outlineLevel="0" collapsed="false">
      <c r="A4003" s="20" t="n">
        <v>46133</v>
      </c>
      <c r="B4003" s="15" t="s">
        <v>486</v>
      </c>
      <c r="C4003" s="15" t="s">
        <v>55</v>
      </c>
      <c r="D4003" s="15" t="s">
        <v>539</v>
      </c>
      <c r="E4003" s="15" t="n">
        <v>1</v>
      </c>
      <c r="H4003" s="10"/>
      <c r="I4003" s="21"/>
      <c r="M4003" s="10"/>
      <c r="N4003" s="10"/>
      <c r="P4003" s="10"/>
      <c r="Q4003" s="22"/>
    </row>
    <row r="4004" customFormat="false" ht="15.75" hidden="false" customHeight="false" outlineLevel="0" collapsed="false">
      <c r="A4004" s="20" t="n">
        <v>46133</v>
      </c>
      <c r="B4004" s="15" t="s">
        <v>486</v>
      </c>
      <c r="C4004" s="15" t="s">
        <v>81</v>
      </c>
      <c r="D4004" s="15" t="s">
        <v>534</v>
      </c>
      <c r="E4004" s="15" t="n">
        <v>4</v>
      </c>
      <c r="H4004" s="10"/>
      <c r="I4004" s="21"/>
      <c r="M4004" s="10"/>
      <c r="N4004" s="10"/>
      <c r="P4004" s="10"/>
      <c r="Q4004" s="22"/>
    </row>
    <row r="4005" customFormat="false" ht="15.75" hidden="false" customHeight="false" outlineLevel="0" collapsed="false">
      <c r="A4005" s="20" t="n">
        <v>46133</v>
      </c>
      <c r="B4005" s="15" t="s">
        <v>486</v>
      </c>
      <c r="C4005" s="15" t="s">
        <v>69</v>
      </c>
      <c r="D4005" s="15" t="s">
        <v>535</v>
      </c>
      <c r="E4005" s="15" t="n">
        <v>5</v>
      </c>
      <c r="H4005" s="10"/>
      <c r="I4005" s="21"/>
      <c r="M4005" s="10"/>
      <c r="N4005" s="10"/>
      <c r="P4005" s="10"/>
      <c r="Q4005" s="22"/>
    </row>
    <row r="4006" customFormat="false" ht="15.75" hidden="false" customHeight="false" outlineLevel="0" collapsed="false">
      <c r="A4006" s="20" t="n">
        <v>46133</v>
      </c>
      <c r="B4006" s="15" t="s">
        <v>486</v>
      </c>
      <c r="C4006" s="15" t="s">
        <v>25</v>
      </c>
      <c r="D4006" s="15" t="s">
        <v>26</v>
      </c>
      <c r="E4006" s="15" t="n">
        <v>1</v>
      </c>
      <c r="H4006" s="10"/>
      <c r="I4006" s="21"/>
      <c r="M4006" s="10"/>
      <c r="N4006" s="10"/>
      <c r="P4006" s="10"/>
      <c r="Q4006" s="22"/>
    </row>
    <row r="4007" customFormat="false" ht="15.75" hidden="false" customHeight="false" outlineLevel="0" collapsed="false">
      <c r="A4007" s="20" t="n">
        <v>46133</v>
      </c>
      <c r="B4007" s="15" t="s">
        <v>486</v>
      </c>
      <c r="C4007" s="15" t="s">
        <v>11</v>
      </c>
      <c r="D4007" s="15" t="s">
        <v>572</v>
      </c>
      <c r="E4007" s="15" t="n">
        <v>1</v>
      </c>
      <c r="H4007" s="10"/>
      <c r="I4007" s="21"/>
      <c r="M4007" s="10"/>
      <c r="N4007" s="10"/>
      <c r="P4007" s="10"/>
      <c r="Q4007" s="22"/>
    </row>
    <row r="4008" customFormat="false" ht="15.75" hidden="false" customHeight="false" outlineLevel="0" collapsed="false">
      <c r="A4008" s="20" t="n">
        <v>46133</v>
      </c>
      <c r="B4008" s="15" t="s">
        <v>486</v>
      </c>
      <c r="C4008" s="15" t="s">
        <v>555</v>
      </c>
      <c r="D4008" s="15" t="s">
        <v>556</v>
      </c>
      <c r="E4008" s="15" t="n">
        <v>1</v>
      </c>
      <c r="H4008" s="10"/>
      <c r="I4008" s="21"/>
      <c r="M4008" s="10"/>
      <c r="N4008" s="10"/>
      <c r="P4008" s="10"/>
      <c r="Q4008" s="22"/>
    </row>
    <row r="4009" customFormat="false" ht="15.75" hidden="false" customHeight="false" outlineLevel="0" collapsed="false">
      <c r="A4009" s="20" t="n">
        <v>46133</v>
      </c>
      <c r="B4009" s="15" t="s">
        <v>486</v>
      </c>
      <c r="C4009" s="15" t="s">
        <v>543</v>
      </c>
      <c r="D4009" s="15" t="s">
        <v>544</v>
      </c>
      <c r="E4009" s="15" t="n">
        <v>2</v>
      </c>
      <c r="H4009" s="10"/>
      <c r="I4009" s="21"/>
      <c r="M4009" s="10"/>
      <c r="N4009" s="10"/>
      <c r="P4009" s="10"/>
      <c r="Q4009" s="22"/>
    </row>
    <row r="4010" customFormat="false" ht="15.75" hidden="false" customHeight="false" outlineLevel="0" collapsed="false">
      <c r="A4010" s="20" t="n">
        <v>46133</v>
      </c>
      <c r="B4010" s="15" t="s">
        <v>486</v>
      </c>
      <c r="C4010" s="15" t="s">
        <v>545</v>
      </c>
      <c r="D4010" s="15" t="s">
        <v>546</v>
      </c>
      <c r="E4010" s="15" t="n">
        <v>1</v>
      </c>
      <c r="H4010" s="10"/>
      <c r="I4010" s="21"/>
      <c r="M4010" s="10"/>
      <c r="N4010" s="10"/>
      <c r="P4010" s="10"/>
      <c r="Q4010" s="22"/>
    </row>
    <row r="4011" customFormat="false" ht="15.75" hidden="false" customHeight="false" outlineLevel="0" collapsed="false">
      <c r="A4011" s="20" t="n">
        <v>46133</v>
      </c>
      <c r="B4011" s="15" t="s">
        <v>486</v>
      </c>
      <c r="C4011" s="15" t="s">
        <v>77</v>
      </c>
      <c r="D4011" s="15" t="s">
        <v>78</v>
      </c>
      <c r="E4011" s="15" t="n">
        <v>2</v>
      </c>
      <c r="H4011" s="10"/>
      <c r="I4011" s="21"/>
      <c r="M4011" s="10"/>
      <c r="N4011" s="10"/>
      <c r="P4011" s="10"/>
      <c r="Q4011" s="22"/>
    </row>
    <row r="4012" customFormat="false" ht="15.75" hidden="false" customHeight="false" outlineLevel="0" collapsed="false">
      <c r="A4012" s="20" t="n">
        <v>46133</v>
      </c>
      <c r="B4012" s="15" t="s">
        <v>486</v>
      </c>
      <c r="C4012" s="15" t="s">
        <v>33</v>
      </c>
      <c r="D4012" s="15" t="s">
        <v>536</v>
      </c>
      <c r="E4012" s="15" t="n">
        <v>4</v>
      </c>
      <c r="H4012" s="10"/>
      <c r="I4012" s="21"/>
      <c r="M4012" s="10"/>
      <c r="N4012" s="10"/>
      <c r="P4012" s="10"/>
      <c r="Q4012" s="22"/>
    </row>
    <row r="4013" customFormat="false" ht="15.75" hidden="false" customHeight="false" outlineLevel="0" collapsed="false">
      <c r="A4013" s="20" t="n">
        <v>46133</v>
      </c>
      <c r="B4013" s="15" t="s">
        <v>486</v>
      </c>
      <c r="C4013" s="15" t="s">
        <v>578</v>
      </c>
      <c r="D4013" s="15" t="s">
        <v>579</v>
      </c>
      <c r="E4013" s="15" t="n">
        <v>1</v>
      </c>
      <c r="H4013" s="10"/>
      <c r="I4013" s="21"/>
      <c r="M4013" s="10"/>
      <c r="N4013" s="10"/>
      <c r="P4013" s="10"/>
      <c r="Q4013" s="22"/>
    </row>
    <row r="4014" customFormat="false" ht="15.75" hidden="false" customHeight="false" outlineLevel="0" collapsed="false">
      <c r="A4014" s="20" t="n">
        <v>46133</v>
      </c>
      <c r="B4014" s="15" t="s">
        <v>486</v>
      </c>
      <c r="C4014" s="15" t="s">
        <v>59</v>
      </c>
      <c r="D4014" s="15" t="s">
        <v>562</v>
      </c>
      <c r="E4014" s="15" t="n">
        <v>1</v>
      </c>
      <c r="H4014" s="10"/>
      <c r="I4014" s="21"/>
      <c r="M4014" s="10"/>
      <c r="N4014" s="10"/>
      <c r="P4014" s="10"/>
      <c r="Q4014" s="22"/>
    </row>
    <row r="4015" customFormat="false" ht="15.75" hidden="false" customHeight="false" outlineLevel="0" collapsed="false">
      <c r="A4015" s="20" t="n">
        <v>46133</v>
      </c>
      <c r="B4015" s="15" t="s">
        <v>486</v>
      </c>
      <c r="C4015" s="15" t="s">
        <v>79</v>
      </c>
      <c r="D4015" s="15" t="s">
        <v>564</v>
      </c>
      <c r="E4015" s="15" t="n">
        <v>2</v>
      </c>
      <c r="H4015" s="10"/>
      <c r="I4015" s="21"/>
      <c r="M4015" s="10"/>
      <c r="N4015" s="10"/>
      <c r="P4015" s="10"/>
      <c r="Q4015" s="22"/>
    </row>
    <row r="4016" customFormat="false" ht="15.75" hidden="false" customHeight="false" outlineLevel="0" collapsed="false">
      <c r="A4016" s="20" t="n">
        <v>46133</v>
      </c>
      <c r="B4016" s="15" t="s">
        <v>495</v>
      </c>
      <c r="C4016" s="15" t="s">
        <v>55</v>
      </c>
      <c r="D4016" s="15" t="s">
        <v>539</v>
      </c>
      <c r="E4016" s="15" t="n">
        <v>1</v>
      </c>
      <c r="H4016" s="10"/>
      <c r="I4016" s="21"/>
      <c r="M4016" s="10"/>
      <c r="N4016" s="10"/>
      <c r="P4016" s="10"/>
      <c r="Q4016" s="22"/>
    </row>
    <row r="4017" customFormat="false" ht="15.75" hidden="false" customHeight="false" outlineLevel="0" collapsed="false">
      <c r="A4017" s="20" t="n">
        <v>46133</v>
      </c>
      <c r="B4017" s="15" t="s">
        <v>495</v>
      </c>
      <c r="C4017" s="15" t="s">
        <v>81</v>
      </c>
      <c r="D4017" s="15" t="s">
        <v>534</v>
      </c>
      <c r="E4017" s="15" t="n">
        <v>3</v>
      </c>
      <c r="H4017" s="10"/>
      <c r="I4017" s="21"/>
      <c r="M4017" s="10"/>
      <c r="N4017" s="10"/>
      <c r="P4017" s="10"/>
      <c r="Q4017" s="22"/>
    </row>
    <row r="4018" customFormat="false" ht="15.75" hidden="false" customHeight="false" outlineLevel="0" collapsed="false">
      <c r="A4018" s="20" t="n">
        <v>46133</v>
      </c>
      <c r="B4018" s="15" t="s">
        <v>495</v>
      </c>
      <c r="C4018" s="15" t="s">
        <v>75</v>
      </c>
      <c r="D4018" s="15" t="s">
        <v>560</v>
      </c>
      <c r="E4018" s="15" t="n">
        <v>1</v>
      </c>
      <c r="H4018" s="10"/>
      <c r="I4018" s="21"/>
      <c r="M4018" s="10"/>
      <c r="N4018" s="10"/>
      <c r="P4018" s="10"/>
      <c r="Q4018" s="22"/>
    </row>
    <row r="4019" customFormat="false" ht="15.75" hidden="false" customHeight="false" outlineLevel="0" collapsed="false">
      <c r="A4019" s="20" t="n">
        <v>46133</v>
      </c>
      <c r="B4019" s="15" t="s">
        <v>495</v>
      </c>
      <c r="C4019" s="15" t="s">
        <v>43</v>
      </c>
      <c r="D4019" s="15" t="s">
        <v>538</v>
      </c>
      <c r="E4019" s="15" t="n">
        <v>1</v>
      </c>
      <c r="H4019" s="10"/>
      <c r="I4019" s="21"/>
      <c r="M4019" s="10"/>
      <c r="N4019" s="10"/>
      <c r="P4019" s="10"/>
      <c r="Q4019" s="22"/>
    </row>
    <row r="4020" customFormat="false" ht="15.75" hidden="false" customHeight="false" outlineLevel="0" collapsed="false">
      <c r="A4020" s="20" t="n">
        <v>46133</v>
      </c>
      <c r="B4020" s="15" t="s">
        <v>495</v>
      </c>
      <c r="C4020" s="15" t="s">
        <v>69</v>
      </c>
      <c r="D4020" s="15" t="s">
        <v>535</v>
      </c>
      <c r="E4020" s="15" t="n">
        <v>5</v>
      </c>
      <c r="H4020" s="10"/>
      <c r="I4020" s="21"/>
      <c r="M4020" s="10"/>
      <c r="N4020" s="10"/>
      <c r="P4020" s="10"/>
      <c r="Q4020" s="22"/>
    </row>
    <row r="4021" customFormat="false" ht="15.75" hidden="false" customHeight="false" outlineLevel="0" collapsed="false">
      <c r="A4021" s="20" t="n">
        <v>46133</v>
      </c>
      <c r="B4021" s="15" t="s">
        <v>495</v>
      </c>
      <c r="C4021" s="15" t="s">
        <v>547</v>
      </c>
      <c r="D4021" s="15" t="s">
        <v>548</v>
      </c>
      <c r="E4021" s="15" t="n">
        <v>3</v>
      </c>
      <c r="H4021" s="10"/>
      <c r="I4021" s="21"/>
      <c r="M4021" s="10"/>
      <c r="N4021" s="10"/>
      <c r="P4021" s="10"/>
      <c r="Q4021" s="22"/>
    </row>
    <row r="4022" customFormat="false" ht="15.75" hidden="false" customHeight="false" outlineLevel="0" collapsed="false">
      <c r="A4022" s="20" t="n">
        <v>46133</v>
      </c>
      <c r="B4022" s="15" t="s">
        <v>495</v>
      </c>
      <c r="C4022" s="15" t="s">
        <v>25</v>
      </c>
      <c r="D4022" s="15" t="s">
        <v>26</v>
      </c>
      <c r="E4022" s="15" t="n">
        <v>3</v>
      </c>
      <c r="H4022" s="10"/>
      <c r="I4022" s="21"/>
      <c r="M4022" s="10"/>
      <c r="N4022" s="10"/>
      <c r="P4022" s="10"/>
      <c r="Q4022" s="22"/>
    </row>
    <row r="4023" customFormat="false" ht="15.75" hidden="false" customHeight="false" outlineLevel="0" collapsed="false">
      <c r="A4023" s="20" t="n">
        <v>46133</v>
      </c>
      <c r="B4023" s="15" t="s">
        <v>495</v>
      </c>
      <c r="C4023" s="15" t="s">
        <v>543</v>
      </c>
      <c r="D4023" s="15" t="s">
        <v>544</v>
      </c>
      <c r="E4023" s="15" t="n">
        <v>6</v>
      </c>
      <c r="H4023" s="10"/>
      <c r="I4023" s="21"/>
      <c r="M4023" s="10"/>
      <c r="N4023" s="10"/>
      <c r="P4023" s="10"/>
      <c r="Q4023" s="22"/>
    </row>
    <row r="4024" customFormat="false" ht="15.75" hidden="false" customHeight="false" outlineLevel="0" collapsed="false">
      <c r="A4024" s="20" t="n">
        <v>46133</v>
      </c>
      <c r="B4024" s="15" t="s">
        <v>495</v>
      </c>
      <c r="C4024" s="15" t="s">
        <v>545</v>
      </c>
      <c r="D4024" s="15" t="s">
        <v>546</v>
      </c>
      <c r="E4024" s="15" t="n">
        <v>3</v>
      </c>
      <c r="H4024" s="10"/>
      <c r="I4024" s="21"/>
      <c r="M4024" s="10"/>
      <c r="N4024" s="10"/>
      <c r="P4024" s="10"/>
      <c r="Q4024" s="22"/>
    </row>
    <row r="4025" customFormat="false" ht="15.75" hidden="false" customHeight="false" outlineLevel="0" collapsed="false">
      <c r="A4025" s="20" t="n">
        <v>46133</v>
      </c>
      <c r="B4025" s="15" t="s">
        <v>495</v>
      </c>
      <c r="C4025" s="15" t="s">
        <v>63</v>
      </c>
      <c r="D4025" s="15" t="s">
        <v>551</v>
      </c>
      <c r="E4025" s="15" t="n">
        <v>1</v>
      </c>
      <c r="H4025" s="10"/>
      <c r="I4025" s="21"/>
      <c r="M4025" s="10"/>
      <c r="N4025" s="10"/>
      <c r="P4025" s="10"/>
      <c r="Q4025" s="22"/>
    </row>
    <row r="4026" customFormat="false" ht="15.75" hidden="false" customHeight="false" outlineLevel="0" collapsed="false">
      <c r="A4026" s="20" t="n">
        <v>46133</v>
      </c>
      <c r="B4026" s="15" t="s">
        <v>495</v>
      </c>
      <c r="C4026" s="15" t="s">
        <v>77</v>
      </c>
      <c r="D4026" s="15" t="s">
        <v>78</v>
      </c>
      <c r="E4026" s="15" t="n">
        <v>3</v>
      </c>
      <c r="H4026" s="10"/>
      <c r="I4026" s="21"/>
      <c r="M4026" s="10"/>
      <c r="N4026" s="10"/>
      <c r="P4026" s="10"/>
      <c r="Q4026" s="22"/>
    </row>
    <row r="4027" customFormat="false" ht="15.75" hidden="false" customHeight="false" outlineLevel="0" collapsed="false">
      <c r="A4027" s="20" t="n">
        <v>46133</v>
      </c>
      <c r="B4027" s="15" t="s">
        <v>495</v>
      </c>
      <c r="C4027" s="15" t="s">
        <v>61</v>
      </c>
      <c r="D4027" s="15" t="s">
        <v>576</v>
      </c>
      <c r="E4027" s="15" t="n">
        <v>1</v>
      </c>
      <c r="H4027" s="10"/>
      <c r="I4027" s="21"/>
      <c r="M4027" s="10"/>
      <c r="N4027" s="10"/>
      <c r="P4027" s="10"/>
      <c r="Q4027" s="22"/>
    </row>
    <row r="4028" customFormat="false" ht="15.75" hidden="false" customHeight="false" outlineLevel="0" collapsed="false">
      <c r="A4028" s="20" t="n">
        <v>46133</v>
      </c>
      <c r="B4028" s="15" t="s">
        <v>495</v>
      </c>
      <c r="C4028" s="15" t="s">
        <v>33</v>
      </c>
      <c r="D4028" s="15" t="s">
        <v>536</v>
      </c>
      <c r="E4028" s="15" t="n">
        <v>2</v>
      </c>
      <c r="H4028" s="10"/>
      <c r="I4028" s="21"/>
      <c r="M4028" s="10"/>
      <c r="N4028" s="10"/>
      <c r="P4028" s="10"/>
      <c r="Q4028" s="22"/>
    </row>
    <row r="4029" customFormat="false" ht="15.75" hidden="false" customHeight="false" outlineLevel="0" collapsed="false">
      <c r="A4029" s="20" t="n">
        <v>46133</v>
      </c>
      <c r="B4029" s="15" t="s">
        <v>495</v>
      </c>
      <c r="C4029" s="15" t="s">
        <v>59</v>
      </c>
      <c r="D4029" s="15" t="s">
        <v>562</v>
      </c>
      <c r="E4029" s="15" t="n">
        <v>2</v>
      </c>
      <c r="H4029" s="10"/>
      <c r="I4029" s="21"/>
      <c r="M4029" s="10"/>
      <c r="N4029" s="10"/>
      <c r="P4029" s="10"/>
      <c r="Q4029" s="22"/>
    </row>
    <row r="4030" customFormat="false" ht="15.75" hidden="false" customHeight="false" outlineLevel="0" collapsed="false">
      <c r="A4030" s="20" t="n">
        <v>46133</v>
      </c>
      <c r="B4030" s="15" t="s">
        <v>500</v>
      </c>
      <c r="C4030" s="15" t="s">
        <v>81</v>
      </c>
      <c r="D4030" s="15" t="s">
        <v>534</v>
      </c>
      <c r="E4030" s="15" t="n">
        <v>7</v>
      </c>
      <c r="H4030" s="10"/>
      <c r="I4030" s="21"/>
      <c r="M4030" s="10"/>
      <c r="N4030" s="10"/>
      <c r="P4030" s="10"/>
      <c r="Q4030" s="22"/>
    </row>
    <row r="4031" customFormat="false" ht="15.75" hidden="false" customHeight="false" outlineLevel="0" collapsed="false">
      <c r="A4031" s="20" t="n">
        <v>46133</v>
      </c>
      <c r="B4031" s="15" t="s">
        <v>500</v>
      </c>
      <c r="C4031" s="15" t="s">
        <v>543</v>
      </c>
      <c r="D4031" s="15" t="s">
        <v>544</v>
      </c>
      <c r="E4031" s="15" t="n">
        <v>1</v>
      </c>
      <c r="H4031" s="10"/>
      <c r="I4031" s="21"/>
      <c r="M4031" s="10"/>
      <c r="N4031" s="10"/>
      <c r="P4031" s="10"/>
      <c r="Q4031" s="22"/>
    </row>
    <row r="4032" customFormat="false" ht="15.75" hidden="false" customHeight="false" outlineLevel="0" collapsed="false">
      <c r="A4032" s="20" t="n">
        <v>46133</v>
      </c>
      <c r="B4032" s="15" t="s">
        <v>500</v>
      </c>
      <c r="C4032" s="15" t="s">
        <v>55</v>
      </c>
      <c r="D4032" s="15" t="s">
        <v>539</v>
      </c>
      <c r="E4032" s="15" t="n">
        <v>1</v>
      </c>
      <c r="H4032" s="10"/>
      <c r="I4032" s="21"/>
      <c r="M4032" s="10"/>
      <c r="N4032" s="10"/>
      <c r="P4032" s="10"/>
      <c r="Q4032" s="22"/>
    </row>
    <row r="4033" customFormat="false" ht="15.75" hidden="false" customHeight="false" outlineLevel="0" collapsed="false">
      <c r="A4033" s="20" t="n">
        <v>46133</v>
      </c>
      <c r="B4033" s="15" t="s">
        <v>500</v>
      </c>
      <c r="C4033" s="15" t="s">
        <v>59</v>
      </c>
      <c r="D4033" s="15" t="s">
        <v>562</v>
      </c>
      <c r="E4033" s="15" t="n">
        <v>1</v>
      </c>
      <c r="H4033" s="10"/>
      <c r="I4033" s="21"/>
      <c r="M4033" s="10"/>
      <c r="N4033" s="10"/>
      <c r="P4033" s="10"/>
      <c r="Q4033" s="22"/>
    </row>
    <row r="4034" customFormat="false" ht="15.75" hidden="false" customHeight="false" outlineLevel="0" collapsed="false">
      <c r="A4034" s="20" t="n">
        <v>46133</v>
      </c>
      <c r="B4034" s="15" t="s">
        <v>500</v>
      </c>
      <c r="C4034" s="15" t="s">
        <v>47</v>
      </c>
      <c r="D4034" s="15" t="s">
        <v>549</v>
      </c>
      <c r="E4034" s="15" t="n">
        <v>1</v>
      </c>
      <c r="H4034" s="10"/>
      <c r="I4034" s="21"/>
      <c r="M4034" s="10"/>
      <c r="N4034" s="10"/>
      <c r="P4034" s="10"/>
      <c r="Q4034" s="22"/>
    </row>
    <row r="4035" customFormat="false" ht="15.75" hidden="false" customHeight="false" outlineLevel="0" collapsed="false">
      <c r="A4035" s="20" t="n">
        <v>46133</v>
      </c>
      <c r="B4035" s="15" t="s">
        <v>500</v>
      </c>
      <c r="C4035" s="15" t="s">
        <v>69</v>
      </c>
      <c r="D4035" s="15" t="s">
        <v>535</v>
      </c>
      <c r="E4035" s="15" t="n">
        <v>1</v>
      </c>
      <c r="H4035" s="10"/>
      <c r="I4035" s="21"/>
      <c r="M4035" s="10"/>
      <c r="N4035" s="10"/>
      <c r="P4035" s="10"/>
      <c r="Q4035" s="22"/>
    </row>
    <row r="4036" customFormat="false" ht="15.75" hidden="false" customHeight="false" outlineLevel="0" collapsed="false">
      <c r="A4036" s="20" t="n">
        <v>46133</v>
      </c>
      <c r="B4036" s="15" t="s">
        <v>500</v>
      </c>
      <c r="C4036" s="15" t="s">
        <v>33</v>
      </c>
      <c r="D4036" s="15" t="s">
        <v>536</v>
      </c>
      <c r="E4036" s="15" t="n">
        <v>2</v>
      </c>
      <c r="H4036" s="10"/>
      <c r="I4036" s="21"/>
      <c r="M4036" s="10"/>
      <c r="N4036" s="10"/>
      <c r="P4036" s="10"/>
      <c r="Q4036" s="22"/>
    </row>
    <row r="4037" customFormat="false" ht="15.75" hidden="false" customHeight="false" outlineLevel="0" collapsed="false">
      <c r="A4037" s="20" t="n">
        <v>46133</v>
      </c>
      <c r="B4037" s="15" t="s">
        <v>500</v>
      </c>
      <c r="C4037" s="15" t="s">
        <v>77</v>
      </c>
      <c r="D4037" s="15" t="s">
        <v>78</v>
      </c>
      <c r="E4037" s="15" t="n">
        <v>2</v>
      </c>
      <c r="H4037" s="10"/>
      <c r="I4037" s="21"/>
      <c r="M4037" s="10"/>
      <c r="N4037" s="10"/>
      <c r="P4037" s="10"/>
      <c r="Q4037" s="22"/>
    </row>
    <row r="4038" customFormat="false" ht="15.75" hidden="false" customHeight="false" outlineLevel="0" collapsed="false">
      <c r="A4038" s="20" t="n">
        <v>46133</v>
      </c>
      <c r="B4038" s="15" t="s">
        <v>500</v>
      </c>
      <c r="C4038" s="15" t="s">
        <v>75</v>
      </c>
      <c r="D4038" s="15" t="s">
        <v>560</v>
      </c>
      <c r="E4038" s="15" t="n">
        <v>1</v>
      </c>
      <c r="H4038" s="10"/>
      <c r="I4038" s="21"/>
      <c r="M4038" s="10"/>
      <c r="N4038" s="10"/>
      <c r="P4038" s="10"/>
      <c r="Q4038" s="22"/>
    </row>
    <row r="4039" customFormat="false" ht="15.75" hidden="false" customHeight="false" outlineLevel="0" collapsed="false">
      <c r="A4039" s="20" t="n">
        <v>46133</v>
      </c>
      <c r="B4039" s="15" t="s">
        <v>504</v>
      </c>
      <c r="C4039" s="15" t="s">
        <v>47</v>
      </c>
      <c r="D4039" s="15" t="s">
        <v>549</v>
      </c>
      <c r="E4039" s="15" t="n">
        <v>6</v>
      </c>
      <c r="H4039" s="10"/>
      <c r="I4039" s="21"/>
      <c r="M4039" s="10"/>
      <c r="N4039" s="10"/>
      <c r="P4039" s="10"/>
      <c r="Q4039" s="22"/>
    </row>
    <row r="4040" customFormat="false" ht="15.75" hidden="false" customHeight="false" outlineLevel="0" collapsed="false">
      <c r="A4040" s="20" t="n">
        <v>46133</v>
      </c>
      <c r="B4040" s="15" t="s">
        <v>504</v>
      </c>
      <c r="C4040" s="15" t="s">
        <v>55</v>
      </c>
      <c r="D4040" s="15" t="s">
        <v>539</v>
      </c>
      <c r="E4040" s="15" t="n">
        <v>12</v>
      </c>
      <c r="H4040" s="10"/>
      <c r="I4040" s="21"/>
      <c r="M4040" s="10"/>
      <c r="N4040" s="10"/>
      <c r="P4040" s="10"/>
      <c r="Q4040" s="22"/>
    </row>
    <row r="4041" customFormat="false" ht="15.75" hidden="false" customHeight="false" outlineLevel="0" collapsed="false">
      <c r="A4041" s="20" t="n">
        <v>46133</v>
      </c>
      <c r="B4041" s="15" t="s">
        <v>504</v>
      </c>
      <c r="C4041" s="15" t="s">
        <v>81</v>
      </c>
      <c r="D4041" s="15" t="s">
        <v>534</v>
      </c>
      <c r="E4041" s="15" t="n">
        <v>18</v>
      </c>
      <c r="H4041" s="10"/>
      <c r="I4041" s="21"/>
      <c r="M4041" s="10"/>
      <c r="N4041" s="10"/>
      <c r="P4041" s="10"/>
      <c r="Q4041" s="22"/>
    </row>
    <row r="4042" customFormat="false" ht="15.75" hidden="false" customHeight="false" outlineLevel="0" collapsed="false">
      <c r="A4042" s="20" t="n">
        <v>46133</v>
      </c>
      <c r="B4042" s="15" t="s">
        <v>504</v>
      </c>
      <c r="C4042" s="15" t="s">
        <v>39</v>
      </c>
      <c r="D4042" s="15" t="s">
        <v>550</v>
      </c>
      <c r="E4042" s="15" t="n">
        <v>2</v>
      </c>
      <c r="H4042" s="10"/>
      <c r="I4042" s="21"/>
      <c r="M4042" s="10"/>
      <c r="N4042" s="10"/>
      <c r="P4042" s="10"/>
      <c r="Q4042" s="22"/>
    </row>
    <row r="4043" customFormat="false" ht="15.75" hidden="false" customHeight="false" outlineLevel="0" collapsed="false">
      <c r="A4043" s="20" t="n">
        <v>46133</v>
      </c>
      <c r="B4043" s="15" t="s">
        <v>504</v>
      </c>
      <c r="C4043" s="15" t="s">
        <v>63</v>
      </c>
      <c r="D4043" s="15" t="s">
        <v>551</v>
      </c>
      <c r="E4043" s="15" t="n">
        <v>2</v>
      </c>
      <c r="H4043" s="10"/>
      <c r="I4043" s="21"/>
      <c r="M4043" s="10"/>
      <c r="N4043" s="10"/>
      <c r="P4043" s="10"/>
      <c r="Q4043" s="22"/>
    </row>
    <row r="4044" customFormat="false" ht="15.75" hidden="false" customHeight="false" outlineLevel="0" collapsed="false">
      <c r="A4044" s="20" t="n">
        <v>46133</v>
      </c>
      <c r="B4044" s="15" t="s">
        <v>504</v>
      </c>
      <c r="C4044" s="15" t="s">
        <v>17</v>
      </c>
      <c r="D4044" s="15" t="s">
        <v>554</v>
      </c>
      <c r="E4044" s="15" t="n">
        <v>2</v>
      </c>
      <c r="H4044" s="10"/>
      <c r="I4044" s="21"/>
      <c r="M4044" s="10"/>
      <c r="N4044" s="10"/>
      <c r="P4044" s="10"/>
      <c r="Q4044" s="22"/>
    </row>
    <row r="4045" customFormat="false" ht="15.75" hidden="false" customHeight="false" outlineLevel="0" collapsed="false">
      <c r="A4045" s="20" t="n">
        <v>46133</v>
      </c>
      <c r="B4045" s="15" t="s">
        <v>508</v>
      </c>
      <c r="C4045" s="15" t="s">
        <v>55</v>
      </c>
      <c r="D4045" s="15" t="s">
        <v>539</v>
      </c>
      <c r="E4045" s="15" t="n">
        <v>5</v>
      </c>
      <c r="H4045" s="10"/>
      <c r="I4045" s="21"/>
      <c r="M4045" s="10"/>
      <c r="N4045" s="10"/>
      <c r="P4045" s="10"/>
      <c r="Q4045" s="22"/>
    </row>
    <row r="4046" customFormat="false" ht="15.75" hidden="false" customHeight="false" outlineLevel="0" collapsed="false">
      <c r="A4046" s="20" t="n">
        <v>46133</v>
      </c>
      <c r="B4046" s="15" t="s">
        <v>508</v>
      </c>
      <c r="C4046" s="15" t="s">
        <v>81</v>
      </c>
      <c r="D4046" s="15" t="s">
        <v>534</v>
      </c>
      <c r="E4046" s="15" t="n">
        <v>9</v>
      </c>
      <c r="H4046" s="10"/>
      <c r="I4046" s="21"/>
      <c r="M4046" s="10"/>
      <c r="N4046" s="10"/>
      <c r="P4046" s="10"/>
      <c r="Q4046" s="22"/>
    </row>
    <row r="4047" customFormat="false" ht="15.75" hidden="false" customHeight="false" outlineLevel="0" collapsed="false">
      <c r="A4047" s="20" t="n">
        <v>46133</v>
      </c>
      <c r="B4047" s="15" t="s">
        <v>508</v>
      </c>
      <c r="C4047" s="15" t="s">
        <v>39</v>
      </c>
      <c r="D4047" s="15" t="s">
        <v>550</v>
      </c>
      <c r="E4047" s="15" t="n">
        <v>2</v>
      </c>
      <c r="H4047" s="10"/>
      <c r="I4047" s="21"/>
      <c r="M4047" s="10"/>
      <c r="N4047" s="10"/>
      <c r="P4047" s="10"/>
      <c r="Q4047" s="22"/>
    </row>
    <row r="4048" customFormat="false" ht="15.75" hidden="false" customHeight="false" outlineLevel="0" collapsed="false">
      <c r="A4048" s="20" t="n">
        <v>46133</v>
      </c>
      <c r="B4048" s="15" t="s">
        <v>508</v>
      </c>
      <c r="C4048" s="15" t="s">
        <v>47</v>
      </c>
      <c r="D4048" s="15" t="s">
        <v>549</v>
      </c>
      <c r="E4048" s="15" t="n">
        <v>2</v>
      </c>
      <c r="H4048" s="10"/>
      <c r="I4048" s="21"/>
      <c r="M4048" s="10"/>
      <c r="N4048" s="10"/>
      <c r="P4048" s="10"/>
      <c r="Q4048" s="22"/>
    </row>
    <row r="4049" customFormat="false" ht="15.75" hidden="false" customHeight="false" outlineLevel="0" collapsed="false">
      <c r="A4049" s="20" t="n">
        <v>46133</v>
      </c>
      <c r="B4049" s="15" t="s">
        <v>508</v>
      </c>
      <c r="C4049" s="15" t="s">
        <v>63</v>
      </c>
      <c r="D4049" s="15" t="s">
        <v>551</v>
      </c>
      <c r="E4049" s="15" t="n">
        <v>1</v>
      </c>
      <c r="H4049" s="10"/>
      <c r="I4049" s="21"/>
      <c r="M4049" s="10"/>
      <c r="N4049" s="10"/>
      <c r="P4049" s="10"/>
      <c r="Q4049" s="22"/>
    </row>
    <row r="4050" customFormat="false" ht="15.75" hidden="false" customHeight="false" outlineLevel="0" collapsed="false">
      <c r="A4050" s="20" t="n">
        <v>46133</v>
      </c>
      <c r="B4050" s="15" t="s">
        <v>517</v>
      </c>
      <c r="C4050" s="15" t="s">
        <v>69</v>
      </c>
      <c r="D4050" s="15" t="s">
        <v>535</v>
      </c>
      <c r="E4050" s="15" t="n">
        <v>6</v>
      </c>
      <c r="H4050" s="10"/>
      <c r="I4050" s="21"/>
      <c r="M4050" s="10"/>
      <c r="N4050" s="10"/>
      <c r="P4050" s="10"/>
      <c r="Q4050" s="22"/>
    </row>
    <row r="4051" customFormat="false" ht="15.75" hidden="false" customHeight="false" outlineLevel="0" collapsed="false">
      <c r="A4051" s="20" t="n">
        <v>46133</v>
      </c>
      <c r="B4051" s="15" t="s">
        <v>517</v>
      </c>
      <c r="C4051" s="15" t="s">
        <v>33</v>
      </c>
      <c r="D4051" s="15" t="s">
        <v>536</v>
      </c>
      <c r="E4051" s="15" t="n">
        <v>6</v>
      </c>
      <c r="H4051" s="10"/>
      <c r="I4051" s="21"/>
      <c r="M4051" s="10"/>
      <c r="N4051" s="10"/>
      <c r="P4051" s="10"/>
      <c r="Q4051" s="22"/>
    </row>
    <row r="4052" customFormat="false" ht="15.75" hidden="false" customHeight="false" outlineLevel="0" collapsed="false">
      <c r="A4052" s="20" t="n">
        <v>46133</v>
      </c>
      <c r="B4052" s="15" t="s">
        <v>518</v>
      </c>
      <c r="C4052" s="15" t="s">
        <v>69</v>
      </c>
      <c r="D4052" s="15" t="s">
        <v>535</v>
      </c>
      <c r="E4052" s="15" t="n">
        <v>6</v>
      </c>
      <c r="H4052" s="10"/>
      <c r="I4052" s="21"/>
      <c r="M4052" s="10"/>
      <c r="N4052" s="10"/>
      <c r="P4052" s="10"/>
      <c r="Q4052" s="22"/>
    </row>
    <row r="4053" customFormat="false" ht="15.75" hidden="false" customHeight="false" outlineLevel="0" collapsed="false">
      <c r="A4053" s="20" t="n">
        <v>46133</v>
      </c>
      <c r="B4053" s="15" t="s">
        <v>518</v>
      </c>
      <c r="C4053" s="15" t="s">
        <v>33</v>
      </c>
      <c r="D4053" s="15" t="s">
        <v>536</v>
      </c>
      <c r="E4053" s="15" t="n">
        <v>6</v>
      </c>
      <c r="H4053" s="10"/>
      <c r="I4053" s="21"/>
      <c r="M4053" s="10"/>
      <c r="N4053" s="10"/>
      <c r="P4053" s="10"/>
      <c r="Q4053" s="22"/>
    </row>
    <row r="4054" customFormat="false" ht="15.75" hidden="false" customHeight="false" outlineLevel="0" collapsed="false">
      <c r="A4054" s="20" t="n">
        <v>46133</v>
      </c>
      <c r="B4054" s="15" t="s">
        <v>518</v>
      </c>
      <c r="C4054" s="15" t="s">
        <v>47</v>
      </c>
      <c r="D4054" s="15" t="s">
        <v>549</v>
      </c>
      <c r="E4054" s="15" t="n">
        <v>2</v>
      </c>
      <c r="H4054" s="10"/>
      <c r="I4054" s="21"/>
      <c r="M4054" s="10"/>
      <c r="N4054" s="10"/>
      <c r="P4054" s="10"/>
      <c r="Q4054" s="22"/>
    </row>
    <row r="4055" customFormat="false" ht="15.75" hidden="false" customHeight="false" outlineLevel="0" collapsed="false">
      <c r="A4055" s="20" t="n">
        <v>46133</v>
      </c>
      <c r="B4055" s="15" t="s">
        <v>518</v>
      </c>
      <c r="C4055" s="15" t="s">
        <v>51</v>
      </c>
      <c r="D4055" s="15" t="s">
        <v>573</v>
      </c>
      <c r="E4055" s="15" t="n">
        <v>1</v>
      </c>
      <c r="H4055" s="10"/>
      <c r="I4055" s="21"/>
      <c r="M4055" s="10"/>
      <c r="N4055" s="10"/>
      <c r="P4055" s="10"/>
      <c r="Q4055" s="22"/>
    </row>
    <row r="4056" customFormat="false" ht="15.75" hidden="false" customHeight="false" outlineLevel="0" collapsed="false">
      <c r="A4056" s="20" t="n">
        <v>46133</v>
      </c>
      <c r="B4056" s="15" t="s">
        <v>518</v>
      </c>
      <c r="C4056" s="15" t="s">
        <v>55</v>
      </c>
      <c r="D4056" s="15" t="s">
        <v>539</v>
      </c>
      <c r="E4056" s="15" t="n">
        <v>2</v>
      </c>
      <c r="H4056" s="10"/>
      <c r="I4056" s="21"/>
      <c r="M4056" s="10"/>
      <c r="N4056" s="10"/>
      <c r="P4056" s="10"/>
      <c r="Q4056" s="22"/>
    </row>
    <row r="4057" customFormat="false" ht="15.75" hidden="false" customHeight="false" outlineLevel="0" collapsed="false">
      <c r="A4057" s="20" t="n">
        <v>46133</v>
      </c>
      <c r="B4057" s="15" t="s">
        <v>518</v>
      </c>
      <c r="C4057" s="15" t="s">
        <v>37</v>
      </c>
      <c r="D4057" s="15" t="s">
        <v>561</v>
      </c>
      <c r="E4057" s="15" t="n">
        <v>2</v>
      </c>
      <c r="H4057" s="10"/>
      <c r="I4057" s="21"/>
      <c r="M4057" s="10"/>
      <c r="N4057" s="10"/>
      <c r="P4057" s="10"/>
      <c r="Q4057" s="22"/>
    </row>
    <row r="4058" customFormat="false" ht="15.75" hidden="false" customHeight="false" outlineLevel="0" collapsed="false">
      <c r="A4058" s="20" t="n">
        <v>46133</v>
      </c>
      <c r="B4058" s="15" t="s">
        <v>518</v>
      </c>
      <c r="C4058" s="15" t="s">
        <v>547</v>
      </c>
      <c r="D4058" s="15" t="s">
        <v>548</v>
      </c>
      <c r="E4058" s="15" t="n">
        <v>1</v>
      </c>
      <c r="H4058" s="10"/>
      <c r="I4058" s="21"/>
      <c r="M4058" s="10"/>
      <c r="N4058" s="10"/>
      <c r="P4058" s="10"/>
      <c r="Q4058" s="22"/>
    </row>
    <row r="4059" customFormat="false" ht="15.75" hidden="false" customHeight="false" outlineLevel="0" collapsed="false">
      <c r="A4059" s="20" t="n">
        <v>46133</v>
      </c>
      <c r="B4059" s="15" t="s">
        <v>518</v>
      </c>
      <c r="C4059" s="15" t="s">
        <v>81</v>
      </c>
      <c r="D4059" s="15" t="s">
        <v>534</v>
      </c>
      <c r="E4059" s="15" t="n">
        <v>1</v>
      </c>
      <c r="H4059" s="10"/>
      <c r="I4059" s="21"/>
      <c r="M4059" s="10"/>
      <c r="N4059" s="10"/>
      <c r="P4059" s="10"/>
      <c r="Q4059" s="22"/>
    </row>
    <row r="4060" customFormat="false" ht="15.75" hidden="false" customHeight="false" outlineLevel="0" collapsed="false">
      <c r="A4060" s="20" t="n">
        <v>46133</v>
      </c>
      <c r="B4060" s="15" t="s">
        <v>530</v>
      </c>
      <c r="C4060" s="15" t="s">
        <v>81</v>
      </c>
      <c r="D4060" s="15" t="s">
        <v>534</v>
      </c>
      <c r="E4060" s="15" t="n">
        <v>1</v>
      </c>
      <c r="H4060" s="10"/>
      <c r="I4060" s="21"/>
      <c r="M4060" s="10"/>
      <c r="N4060" s="10"/>
      <c r="P4060" s="10"/>
      <c r="Q4060" s="22"/>
    </row>
    <row r="4061" customFormat="false" ht="15.75" hidden="false" customHeight="false" outlineLevel="0" collapsed="false">
      <c r="A4061" s="20" t="n">
        <v>46133</v>
      </c>
      <c r="B4061" s="15" t="s">
        <v>530</v>
      </c>
      <c r="C4061" s="15" t="s">
        <v>69</v>
      </c>
      <c r="D4061" s="15" t="s">
        <v>535</v>
      </c>
      <c r="E4061" s="15" t="n">
        <v>3</v>
      </c>
      <c r="H4061" s="10"/>
      <c r="I4061" s="21"/>
      <c r="M4061" s="10"/>
      <c r="N4061" s="10"/>
      <c r="P4061" s="10"/>
      <c r="Q4061" s="22"/>
    </row>
    <row r="4062" customFormat="false" ht="15.75" hidden="false" customHeight="false" outlineLevel="0" collapsed="false">
      <c r="A4062" s="20" t="n">
        <v>46133</v>
      </c>
      <c r="B4062" s="15" t="s">
        <v>530</v>
      </c>
      <c r="C4062" s="15" t="s">
        <v>33</v>
      </c>
      <c r="D4062" s="15" t="s">
        <v>536</v>
      </c>
      <c r="E4062" s="15" t="n">
        <v>3</v>
      </c>
      <c r="H4062" s="10"/>
      <c r="I4062" s="21"/>
      <c r="M4062" s="10"/>
      <c r="N4062" s="10"/>
      <c r="P4062" s="10"/>
      <c r="Q4062" s="22"/>
    </row>
    <row r="4063" customFormat="false" ht="15.75" hidden="false" customHeight="false" outlineLevel="0" collapsed="false">
      <c r="A4063" s="20" t="n">
        <v>46133</v>
      </c>
      <c r="B4063" s="15" t="s">
        <v>530</v>
      </c>
      <c r="C4063" s="15" t="s">
        <v>77</v>
      </c>
      <c r="D4063" s="15" t="s">
        <v>78</v>
      </c>
      <c r="E4063" s="15" t="n">
        <v>2</v>
      </c>
      <c r="H4063" s="10"/>
      <c r="I4063" s="21"/>
      <c r="M4063" s="10"/>
      <c r="N4063" s="10"/>
      <c r="P4063" s="10"/>
      <c r="Q4063" s="22"/>
    </row>
    <row r="4064" customFormat="false" ht="15.75" hidden="false" customHeight="false" outlineLevel="0" collapsed="false">
      <c r="A4064" s="20" t="n">
        <v>46134</v>
      </c>
      <c r="B4064" s="15" t="s">
        <v>453</v>
      </c>
      <c r="C4064" s="15" t="s">
        <v>47</v>
      </c>
      <c r="D4064" s="15" t="s">
        <v>549</v>
      </c>
      <c r="E4064" s="15" t="n">
        <v>2</v>
      </c>
      <c r="H4064" s="10"/>
      <c r="I4064" s="21"/>
      <c r="M4064" s="10"/>
      <c r="N4064" s="10"/>
      <c r="P4064" s="10"/>
      <c r="Q4064" s="22"/>
    </row>
    <row r="4065" customFormat="false" ht="15.75" hidden="false" customHeight="false" outlineLevel="0" collapsed="false">
      <c r="A4065" s="20" t="n">
        <v>46134</v>
      </c>
      <c r="B4065" s="15" t="s">
        <v>453</v>
      </c>
      <c r="C4065" s="15" t="s">
        <v>55</v>
      </c>
      <c r="D4065" s="15" t="s">
        <v>539</v>
      </c>
      <c r="E4065" s="15" t="n">
        <v>4</v>
      </c>
      <c r="H4065" s="10"/>
      <c r="I4065" s="21"/>
      <c r="M4065" s="10"/>
      <c r="N4065" s="10"/>
      <c r="P4065" s="10"/>
      <c r="Q4065" s="22"/>
    </row>
    <row r="4066" customFormat="false" ht="15.75" hidden="false" customHeight="false" outlineLevel="0" collapsed="false">
      <c r="A4066" s="20" t="n">
        <v>46134</v>
      </c>
      <c r="B4066" s="15" t="s">
        <v>453</v>
      </c>
      <c r="C4066" s="15" t="s">
        <v>81</v>
      </c>
      <c r="D4066" s="15" t="s">
        <v>534</v>
      </c>
      <c r="E4066" s="15" t="n">
        <v>8</v>
      </c>
      <c r="H4066" s="10"/>
      <c r="I4066" s="21"/>
      <c r="M4066" s="10"/>
      <c r="N4066" s="10"/>
      <c r="P4066" s="10"/>
      <c r="Q4066" s="22"/>
    </row>
    <row r="4067" customFormat="false" ht="15.75" hidden="false" customHeight="false" outlineLevel="0" collapsed="false">
      <c r="A4067" s="20" t="n">
        <v>46134</v>
      </c>
      <c r="B4067" s="15" t="s">
        <v>453</v>
      </c>
      <c r="C4067" s="15" t="s">
        <v>39</v>
      </c>
      <c r="D4067" s="15" t="s">
        <v>550</v>
      </c>
      <c r="E4067" s="15" t="n">
        <v>2</v>
      </c>
      <c r="H4067" s="10"/>
      <c r="I4067" s="21"/>
      <c r="M4067" s="10"/>
      <c r="N4067" s="10"/>
      <c r="P4067" s="10"/>
      <c r="Q4067" s="22"/>
    </row>
    <row r="4068" customFormat="false" ht="15.75" hidden="false" customHeight="false" outlineLevel="0" collapsed="false">
      <c r="A4068" s="20" t="n">
        <v>46134</v>
      </c>
      <c r="B4068" s="15" t="s">
        <v>453</v>
      </c>
      <c r="C4068" s="15" t="s">
        <v>63</v>
      </c>
      <c r="D4068" s="15" t="s">
        <v>551</v>
      </c>
      <c r="E4068" s="15" t="n">
        <v>1</v>
      </c>
      <c r="H4068" s="10"/>
      <c r="I4068" s="21"/>
      <c r="M4068" s="10"/>
      <c r="N4068" s="10"/>
      <c r="P4068" s="10"/>
      <c r="Q4068" s="22"/>
    </row>
    <row r="4069" customFormat="false" ht="15.75" hidden="false" customHeight="false" outlineLevel="0" collapsed="false">
      <c r="A4069" s="20" t="n">
        <v>46134</v>
      </c>
      <c r="B4069" s="15" t="s">
        <v>453</v>
      </c>
      <c r="C4069" s="15" t="s">
        <v>35</v>
      </c>
      <c r="D4069" s="15" t="s">
        <v>552</v>
      </c>
      <c r="E4069" s="15" t="n">
        <v>2</v>
      </c>
      <c r="H4069" s="10"/>
      <c r="I4069" s="21"/>
      <c r="M4069" s="10"/>
      <c r="N4069" s="10"/>
      <c r="P4069" s="10"/>
      <c r="Q4069" s="22"/>
    </row>
    <row r="4070" customFormat="false" ht="15.75" hidden="false" customHeight="false" outlineLevel="0" collapsed="false">
      <c r="A4070" s="20" t="n">
        <v>46134</v>
      </c>
      <c r="B4070" s="15" t="s">
        <v>456</v>
      </c>
      <c r="C4070" s="15" t="s">
        <v>55</v>
      </c>
      <c r="D4070" s="15" t="s">
        <v>539</v>
      </c>
      <c r="E4070" s="15" t="n">
        <v>5</v>
      </c>
      <c r="H4070" s="10"/>
      <c r="I4070" s="21"/>
      <c r="M4070" s="10"/>
      <c r="N4070" s="10"/>
      <c r="P4070" s="10"/>
      <c r="Q4070" s="22"/>
    </row>
    <row r="4071" customFormat="false" ht="15.75" hidden="false" customHeight="false" outlineLevel="0" collapsed="false">
      <c r="A4071" s="20" t="n">
        <v>46134</v>
      </c>
      <c r="B4071" s="15" t="s">
        <v>456</v>
      </c>
      <c r="C4071" s="15" t="s">
        <v>47</v>
      </c>
      <c r="D4071" s="15" t="s">
        <v>549</v>
      </c>
      <c r="E4071" s="15" t="n">
        <v>1</v>
      </c>
      <c r="H4071" s="10"/>
      <c r="I4071" s="21"/>
      <c r="M4071" s="10"/>
      <c r="N4071" s="10"/>
      <c r="P4071" s="10"/>
      <c r="Q4071" s="22"/>
    </row>
    <row r="4072" customFormat="false" ht="15.75" hidden="false" customHeight="false" outlineLevel="0" collapsed="false">
      <c r="A4072" s="20" t="n">
        <v>46134</v>
      </c>
      <c r="B4072" s="15" t="s">
        <v>456</v>
      </c>
      <c r="C4072" s="15" t="s">
        <v>81</v>
      </c>
      <c r="D4072" s="15" t="s">
        <v>534</v>
      </c>
      <c r="E4072" s="15" t="n">
        <v>10</v>
      </c>
      <c r="H4072" s="10"/>
      <c r="I4072" s="21"/>
      <c r="M4072" s="10"/>
      <c r="N4072" s="10"/>
      <c r="P4072" s="10"/>
      <c r="Q4072" s="22"/>
    </row>
    <row r="4073" customFormat="false" ht="15.75" hidden="false" customHeight="false" outlineLevel="0" collapsed="false">
      <c r="A4073" s="20" t="n">
        <v>46134</v>
      </c>
      <c r="B4073" s="15" t="s">
        <v>456</v>
      </c>
      <c r="C4073" s="15" t="s">
        <v>49</v>
      </c>
      <c r="D4073" s="15" t="s">
        <v>537</v>
      </c>
      <c r="E4073" s="15" t="n">
        <v>1</v>
      </c>
      <c r="H4073" s="10"/>
      <c r="I4073" s="21"/>
      <c r="M4073" s="10"/>
      <c r="N4073" s="10"/>
      <c r="P4073" s="10"/>
      <c r="Q4073" s="22"/>
    </row>
    <row r="4074" customFormat="false" ht="15.75" hidden="false" customHeight="false" outlineLevel="0" collapsed="false">
      <c r="A4074" s="20" t="n">
        <v>46134</v>
      </c>
      <c r="B4074" s="15" t="s">
        <v>456</v>
      </c>
      <c r="C4074" s="15" t="s">
        <v>63</v>
      </c>
      <c r="D4074" s="15" t="s">
        <v>551</v>
      </c>
      <c r="E4074" s="15" t="n">
        <v>1</v>
      </c>
      <c r="H4074" s="10"/>
      <c r="I4074" s="21"/>
      <c r="M4074" s="10"/>
      <c r="N4074" s="10"/>
      <c r="P4074" s="10"/>
      <c r="Q4074" s="22"/>
    </row>
    <row r="4075" customFormat="false" ht="15.75" hidden="false" customHeight="false" outlineLevel="0" collapsed="false">
      <c r="A4075" s="20" t="n">
        <v>46134</v>
      </c>
      <c r="B4075" s="15" t="s">
        <v>456</v>
      </c>
      <c r="C4075" s="15" t="s">
        <v>39</v>
      </c>
      <c r="D4075" s="15" t="s">
        <v>550</v>
      </c>
      <c r="E4075" s="15" t="n">
        <v>1</v>
      </c>
      <c r="H4075" s="10"/>
      <c r="I4075" s="21"/>
      <c r="M4075" s="10"/>
      <c r="N4075" s="10"/>
      <c r="P4075" s="10"/>
      <c r="Q4075" s="22"/>
    </row>
    <row r="4076" customFormat="false" ht="15.75" hidden="false" customHeight="false" outlineLevel="0" collapsed="false">
      <c r="A4076" s="20" t="n">
        <v>46134</v>
      </c>
      <c r="B4076" s="15" t="s">
        <v>467</v>
      </c>
      <c r="C4076" s="15" t="s">
        <v>55</v>
      </c>
      <c r="D4076" s="15" t="s">
        <v>539</v>
      </c>
      <c r="E4076" s="15" t="n">
        <v>6</v>
      </c>
      <c r="H4076" s="10"/>
      <c r="I4076" s="21"/>
      <c r="M4076" s="10"/>
      <c r="N4076" s="10"/>
      <c r="P4076" s="10"/>
      <c r="Q4076" s="22"/>
    </row>
    <row r="4077" customFormat="false" ht="15.75" hidden="false" customHeight="false" outlineLevel="0" collapsed="false">
      <c r="A4077" s="20" t="n">
        <v>46134</v>
      </c>
      <c r="B4077" s="15" t="s">
        <v>467</v>
      </c>
      <c r="C4077" s="15" t="s">
        <v>57</v>
      </c>
      <c r="D4077" s="15" t="s">
        <v>553</v>
      </c>
      <c r="E4077" s="15" t="n">
        <v>2</v>
      </c>
      <c r="H4077" s="10"/>
      <c r="I4077" s="21"/>
      <c r="M4077" s="10"/>
      <c r="N4077" s="10"/>
      <c r="P4077" s="10"/>
      <c r="Q4077" s="22"/>
    </row>
    <row r="4078" customFormat="false" ht="15.75" hidden="false" customHeight="false" outlineLevel="0" collapsed="false">
      <c r="A4078" s="20" t="n">
        <v>46134</v>
      </c>
      <c r="B4078" s="15" t="s">
        <v>467</v>
      </c>
      <c r="C4078" s="15" t="s">
        <v>47</v>
      </c>
      <c r="D4078" s="15" t="s">
        <v>549</v>
      </c>
      <c r="E4078" s="15" t="n">
        <v>2</v>
      </c>
      <c r="H4078" s="10"/>
      <c r="I4078" s="21"/>
      <c r="M4078" s="10"/>
      <c r="N4078" s="10"/>
      <c r="P4078" s="10"/>
      <c r="Q4078" s="22"/>
    </row>
    <row r="4079" customFormat="false" ht="15.75" hidden="false" customHeight="false" outlineLevel="0" collapsed="false">
      <c r="A4079" s="20" t="n">
        <v>46134</v>
      </c>
      <c r="B4079" s="15" t="s">
        <v>467</v>
      </c>
      <c r="C4079" s="15" t="s">
        <v>81</v>
      </c>
      <c r="D4079" s="15" t="s">
        <v>534</v>
      </c>
      <c r="E4079" s="15" t="n">
        <v>7</v>
      </c>
      <c r="H4079" s="10"/>
      <c r="I4079" s="21"/>
      <c r="M4079" s="10"/>
      <c r="N4079" s="10"/>
      <c r="P4079" s="10"/>
      <c r="Q4079" s="22"/>
    </row>
    <row r="4080" customFormat="false" ht="15.75" hidden="false" customHeight="false" outlineLevel="0" collapsed="false">
      <c r="A4080" s="20" t="n">
        <v>46134</v>
      </c>
      <c r="B4080" s="15" t="s">
        <v>467</v>
      </c>
      <c r="C4080" s="15" t="s">
        <v>49</v>
      </c>
      <c r="D4080" s="15" t="s">
        <v>537</v>
      </c>
      <c r="E4080" s="15" t="n">
        <v>2</v>
      </c>
      <c r="H4080" s="10"/>
      <c r="I4080" s="21"/>
      <c r="M4080" s="10"/>
      <c r="N4080" s="10"/>
      <c r="P4080" s="10"/>
      <c r="Q4080" s="22"/>
    </row>
    <row r="4081" customFormat="false" ht="15.75" hidden="false" customHeight="false" outlineLevel="0" collapsed="false">
      <c r="A4081" s="20" t="n">
        <v>46134</v>
      </c>
      <c r="B4081" s="15" t="s">
        <v>467</v>
      </c>
      <c r="C4081" s="15" t="s">
        <v>63</v>
      </c>
      <c r="D4081" s="15" t="s">
        <v>551</v>
      </c>
      <c r="E4081" s="15" t="n">
        <v>1</v>
      </c>
      <c r="H4081" s="10"/>
      <c r="I4081" s="21"/>
      <c r="M4081" s="10"/>
      <c r="N4081" s="10"/>
      <c r="P4081" s="10"/>
      <c r="Q4081" s="22"/>
    </row>
    <row r="4082" customFormat="false" ht="15.75" hidden="false" customHeight="false" outlineLevel="0" collapsed="false">
      <c r="A4082" s="20" t="n">
        <v>46134</v>
      </c>
      <c r="B4082" s="15" t="s">
        <v>469</v>
      </c>
      <c r="C4082" s="15" t="s">
        <v>69</v>
      </c>
      <c r="D4082" s="15" t="s">
        <v>535</v>
      </c>
      <c r="E4082" s="15" t="n">
        <v>5</v>
      </c>
      <c r="H4082" s="10"/>
      <c r="I4082" s="21"/>
      <c r="M4082" s="10"/>
      <c r="N4082" s="10"/>
      <c r="P4082" s="10"/>
      <c r="Q4082" s="22"/>
    </row>
    <row r="4083" customFormat="false" ht="15.75" hidden="false" customHeight="false" outlineLevel="0" collapsed="false">
      <c r="A4083" s="20" t="n">
        <v>46134</v>
      </c>
      <c r="B4083" s="15" t="s">
        <v>469</v>
      </c>
      <c r="C4083" s="15" t="s">
        <v>55</v>
      </c>
      <c r="D4083" s="15" t="s">
        <v>539</v>
      </c>
      <c r="E4083" s="15" t="n">
        <v>2</v>
      </c>
      <c r="H4083" s="10"/>
      <c r="I4083" s="21"/>
      <c r="M4083" s="10"/>
      <c r="N4083" s="10"/>
      <c r="P4083" s="10"/>
      <c r="Q4083" s="22"/>
    </row>
    <row r="4084" customFormat="false" ht="15.75" hidden="false" customHeight="false" outlineLevel="0" collapsed="false">
      <c r="A4084" s="20" t="n">
        <v>46134</v>
      </c>
      <c r="B4084" s="15" t="s">
        <v>469</v>
      </c>
      <c r="C4084" s="15" t="s">
        <v>33</v>
      </c>
      <c r="D4084" s="15" t="s">
        <v>536</v>
      </c>
      <c r="E4084" s="15" t="n">
        <v>5</v>
      </c>
      <c r="H4084" s="10"/>
      <c r="I4084" s="21"/>
      <c r="M4084" s="10"/>
      <c r="N4084" s="10"/>
      <c r="P4084" s="10"/>
      <c r="Q4084" s="22"/>
    </row>
    <row r="4085" customFormat="false" ht="15.75" hidden="false" customHeight="false" outlineLevel="0" collapsed="false">
      <c r="A4085" s="20" t="n">
        <v>46134</v>
      </c>
      <c r="B4085" s="15" t="s">
        <v>469</v>
      </c>
      <c r="C4085" s="15" t="s">
        <v>547</v>
      </c>
      <c r="D4085" s="15" t="s">
        <v>548</v>
      </c>
      <c r="E4085" s="15" t="n">
        <v>1</v>
      </c>
      <c r="H4085" s="10"/>
      <c r="I4085" s="21"/>
      <c r="M4085" s="10"/>
      <c r="N4085" s="10"/>
      <c r="P4085" s="10"/>
      <c r="Q4085" s="22"/>
    </row>
    <row r="4086" customFormat="false" ht="15.75" hidden="false" customHeight="false" outlineLevel="0" collapsed="false">
      <c r="A4086" s="20" t="n">
        <v>46134</v>
      </c>
      <c r="B4086" s="15" t="s">
        <v>469</v>
      </c>
      <c r="C4086" s="15" t="s">
        <v>81</v>
      </c>
      <c r="D4086" s="15" t="s">
        <v>534</v>
      </c>
      <c r="E4086" s="15" t="n">
        <v>2</v>
      </c>
      <c r="H4086" s="10"/>
      <c r="I4086" s="21"/>
      <c r="M4086" s="10"/>
      <c r="N4086" s="10"/>
      <c r="P4086" s="10"/>
      <c r="Q4086" s="22"/>
    </row>
    <row r="4087" customFormat="false" ht="15.75" hidden="false" customHeight="false" outlineLevel="0" collapsed="false">
      <c r="A4087" s="20" t="n">
        <v>46134</v>
      </c>
      <c r="B4087" s="15" t="s">
        <v>472</v>
      </c>
      <c r="C4087" s="15" t="s">
        <v>555</v>
      </c>
      <c r="D4087" s="15" t="s">
        <v>556</v>
      </c>
      <c r="E4087" s="15" t="n">
        <v>3</v>
      </c>
      <c r="H4087" s="10"/>
      <c r="I4087" s="21"/>
      <c r="M4087" s="10"/>
      <c r="N4087" s="10"/>
      <c r="P4087" s="10"/>
      <c r="Q4087" s="22"/>
    </row>
    <row r="4088" customFormat="false" ht="15.75" hidden="false" customHeight="false" outlineLevel="0" collapsed="false">
      <c r="A4088" s="20" t="n">
        <v>46134</v>
      </c>
      <c r="B4088" s="15" t="s">
        <v>472</v>
      </c>
      <c r="C4088" s="15" t="s">
        <v>11</v>
      </c>
      <c r="D4088" s="15" t="s">
        <v>572</v>
      </c>
      <c r="E4088" s="15" t="n">
        <v>3</v>
      </c>
      <c r="H4088" s="10"/>
      <c r="I4088" s="21"/>
      <c r="M4088" s="10"/>
      <c r="N4088" s="10"/>
      <c r="P4088" s="10"/>
      <c r="Q4088" s="22"/>
    </row>
    <row r="4089" customFormat="false" ht="15.75" hidden="false" customHeight="false" outlineLevel="0" collapsed="false">
      <c r="A4089" s="20" t="n">
        <v>46134</v>
      </c>
      <c r="B4089" s="15" t="s">
        <v>472</v>
      </c>
      <c r="C4089" s="15" t="s">
        <v>69</v>
      </c>
      <c r="D4089" s="15" t="s">
        <v>535</v>
      </c>
      <c r="E4089" s="15" t="n">
        <v>3</v>
      </c>
      <c r="H4089" s="10"/>
      <c r="I4089" s="21"/>
      <c r="M4089" s="10"/>
      <c r="N4089" s="10"/>
      <c r="P4089" s="10"/>
      <c r="Q4089" s="22"/>
    </row>
    <row r="4090" customFormat="false" ht="15.75" hidden="false" customHeight="false" outlineLevel="0" collapsed="false">
      <c r="A4090" s="20" t="n">
        <v>46134</v>
      </c>
      <c r="B4090" s="15" t="s">
        <v>472</v>
      </c>
      <c r="C4090" s="15" t="s">
        <v>25</v>
      </c>
      <c r="D4090" s="15" t="s">
        <v>26</v>
      </c>
      <c r="E4090" s="15" t="n">
        <v>3</v>
      </c>
      <c r="H4090" s="10"/>
      <c r="I4090" s="21"/>
      <c r="M4090" s="10"/>
      <c r="N4090" s="10"/>
      <c r="P4090" s="10"/>
      <c r="Q4090" s="22"/>
    </row>
    <row r="4091" customFormat="false" ht="15.75" hidden="false" customHeight="false" outlineLevel="0" collapsed="false">
      <c r="A4091" s="20" t="n">
        <v>46134</v>
      </c>
      <c r="B4091" s="15" t="s">
        <v>478</v>
      </c>
      <c r="C4091" s="15" t="s">
        <v>547</v>
      </c>
      <c r="D4091" s="15" t="s">
        <v>548</v>
      </c>
      <c r="E4091" s="15" t="n">
        <v>2</v>
      </c>
      <c r="H4091" s="10"/>
      <c r="I4091" s="21"/>
      <c r="M4091" s="10"/>
      <c r="N4091" s="10"/>
      <c r="P4091" s="10"/>
      <c r="Q4091" s="22"/>
    </row>
    <row r="4092" customFormat="false" ht="15.75" hidden="false" customHeight="false" outlineLevel="0" collapsed="false">
      <c r="A4092" s="20" t="n">
        <v>46134</v>
      </c>
      <c r="B4092" s="15" t="s">
        <v>478</v>
      </c>
      <c r="C4092" s="15" t="s">
        <v>69</v>
      </c>
      <c r="D4092" s="15" t="s">
        <v>535</v>
      </c>
      <c r="E4092" s="15" t="n">
        <v>2</v>
      </c>
      <c r="H4092" s="10"/>
      <c r="I4092" s="21"/>
      <c r="M4092" s="10"/>
      <c r="N4092" s="10"/>
      <c r="P4092" s="10"/>
      <c r="Q4092" s="22"/>
    </row>
    <row r="4093" customFormat="false" ht="15.75" hidden="false" customHeight="false" outlineLevel="0" collapsed="false">
      <c r="A4093" s="20" t="n">
        <v>46134</v>
      </c>
      <c r="B4093" s="15" t="s">
        <v>486</v>
      </c>
      <c r="C4093" s="15" t="s">
        <v>55</v>
      </c>
      <c r="D4093" s="15" t="s">
        <v>539</v>
      </c>
      <c r="E4093" s="15" t="n">
        <v>1</v>
      </c>
      <c r="H4093" s="10"/>
      <c r="I4093" s="21"/>
      <c r="M4093" s="10"/>
      <c r="N4093" s="10"/>
      <c r="P4093" s="10"/>
      <c r="Q4093" s="22"/>
    </row>
    <row r="4094" customFormat="false" ht="15.75" hidden="false" customHeight="false" outlineLevel="0" collapsed="false">
      <c r="A4094" s="20" t="n">
        <v>46134</v>
      </c>
      <c r="B4094" s="15" t="s">
        <v>486</v>
      </c>
      <c r="C4094" s="15" t="s">
        <v>81</v>
      </c>
      <c r="D4094" s="15" t="s">
        <v>534</v>
      </c>
      <c r="E4094" s="15" t="n">
        <v>4</v>
      </c>
      <c r="H4094" s="10"/>
      <c r="I4094" s="21"/>
      <c r="M4094" s="10"/>
      <c r="N4094" s="10"/>
      <c r="P4094" s="10"/>
      <c r="Q4094" s="22"/>
    </row>
    <row r="4095" customFormat="false" ht="15.75" hidden="false" customHeight="false" outlineLevel="0" collapsed="false">
      <c r="A4095" s="20" t="n">
        <v>46134</v>
      </c>
      <c r="B4095" s="15" t="s">
        <v>486</v>
      </c>
      <c r="C4095" s="15" t="s">
        <v>69</v>
      </c>
      <c r="D4095" s="15" t="s">
        <v>535</v>
      </c>
      <c r="E4095" s="15" t="n">
        <v>5</v>
      </c>
      <c r="H4095" s="10"/>
      <c r="I4095" s="21"/>
      <c r="M4095" s="10"/>
      <c r="N4095" s="10"/>
      <c r="P4095" s="10"/>
      <c r="Q4095" s="22"/>
    </row>
    <row r="4096" customFormat="false" ht="15.75" hidden="false" customHeight="false" outlineLevel="0" collapsed="false">
      <c r="A4096" s="20" t="n">
        <v>46134</v>
      </c>
      <c r="B4096" s="15" t="s">
        <v>486</v>
      </c>
      <c r="C4096" s="15" t="s">
        <v>25</v>
      </c>
      <c r="D4096" s="15" t="s">
        <v>26</v>
      </c>
      <c r="E4096" s="15" t="n">
        <v>1</v>
      </c>
      <c r="H4096" s="10"/>
      <c r="I4096" s="21"/>
      <c r="M4096" s="10"/>
      <c r="N4096" s="10"/>
      <c r="P4096" s="10"/>
      <c r="Q4096" s="22"/>
    </row>
    <row r="4097" customFormat="false" ht="15.75" hidden="false" customHeight="false" outlineLevel="0" collapsed="false">
      <c r="A4097" s="20" t="n">
        <v>46134</v>
      </c>
      <c r="B4097" s="15" t="s">
        <v>486</v>
      </c>
      <c r="C4097" s="15" t="s">
        <v>11</v>
      </c>
      <c r="D4097" s="15" t="s">
        <v>572</v>
      </c>
      <c r="E4097" s="15" t="n">
        <v>1</v>
      </c>
      <c r="H4097" s="10"/>
      <c r="I4097" s="21"/>
      <c r="M4097" s="10"/>
      <c r="N4097" s="10"/>
      <c r="P4097" s="10"/>
      <c r="Q4097" s="22"/>
    </row>
    <row r="4098" customFormat="false" ht="15.75" hidden="false" customHeight="false" outlineLevel="0" collapsed="false">
      <c r="A4098" s="20" t="n">
        <v>46134</v>
      </c>
      <c r="B4098" s="15" t="s">
        <v>486</v>
      </c>
      <c r="C4098" s="15" t="s">
        <v>555</v>
      </c>
      <c r="D4098" s="15" t="s">
        <v>556</v>
      </c>
      <c r="E4098" s="15" t="n">
        <v>1</v>
      </c>
      <c r="H4098" s="10"/>
      <c r="I4098" s="21"/>
      <c r="M4098" s="10"/>
      <c r="N4098" s="10"/>
      <c r="P4098" s="10"/>
      <c r="Q4098" s="22"/>
    </row>
    <row r="4099" customFormat="false" ht="15.75" hidden="false" customHeight="false" outlineLevel="0" collapsed="false">
      <c r="A4099" s="20" t="n">
        <v>46134</v>
      </c>
      <c r="B4099" s="15" t="s">
        <v>486</v>
      </c>
      <c r="C4099" s="15" t="s">
        <v>543</v>
      </c>
      <c r="D4099" s="15" t="s">
        <v>544</v>
      </c>
      <c r="E4099" s="15" t="n">
        <v>2</v>
      </c>
      <c r="H4099" s="10"/>
      <c r="I4099" s="21"/>
      <c r="M4099" s="10"/>
      <c r="N4099" s="10"/>
      <c r="P4099" s="10"/>
      <c r="Q4099" s="22"/>
    </row>
    <row r="4100" customFormat="false" ht="15.75" hidden="false" customHeight="false" outlineLevel="0" collapsed="false">
      <c r="A4100" s="20" t="n">
        <v>46134</v>
      </c>
      <c r="B4100" s="15" t="s">
        <v>486</v>
      </c>
      <c r="C4100" s="15" t="s">
        <v>545</v>
      </c>
      <c r="D4100" s="15" t="s">
        <v>546</v>
      </c>
      <c r="E4100" s="15" t="n">
        <v>1</v>
      </c>
      <c r="H4100" s="10"/>
      <c r="I4100" s="21"/>
      <c r="M4100" s="10"/>
      <c r="N4100" s="10"/>
      <c r="P4100" s="10"/>
      <c r="Q4100" s="22"/>
    </row>
    <row r="4101" customFormat="false" ht="15.75" hidden="false" customHeight="false" outlineLevel="0" collapsed="false">
      <c r="A4101" s="20" t="n">
        <v>46134</v>
      </c>
      <c r="B4101" s="15" t="s">
        <v>486</v>
      </c>
      <c r="C4101" s="15" t="s">
        <v>77</v>
      </c>
      <c r="D4101" s="15" t="s">
        <v>78</v>
      </c>
      <c r="E4101" s="15" t="n">
        <v>2</v>
      </c>
      <c r="H4101" s="10"/>
      <c r="I4101" s="21"/>
      <c r="M4101" s="10"/>
      <c r="N4101" s="10"/>
      <c r="P4101" s="10"/>
      <c r="Q4101" s="22"/>
    </row>
    <row r="4102" customFormat="false" ht="15.75" hidden="false" customHeight="false" outlineLevel="0" collapsed="false">
      <c r="A4102" s="20" t="n">
        <v>46134</v>
      </c>
      <c r="B4102" s="15" t="s">
        <v>486</v>
      </c>
      <c r="C4102" s="15" t="s">
        <v>33</v>
      </c>
      <c r="D4102" s="15" t="s">
        <v>536</v>
      </c>
      <c r="E4102" s="15" t="n">
        <v>4</v>
      </c>
      <c r="H4102" s="10"/>
      <c r="I4102" s="21"/>
      <c r="M4102" s="10"/>
      <c r="N4102" s="10"/>
      <c r="P4102" s="10"/>
      <c r="Q4102" s="22"/>
    </row>
    <row r="4103" customFormat="false" ht="15.75" hidden="false" customHeight="false" outlineLevel="0" collapsed="false">
      <c r="A4103" s="20" t="n">
        <v>46134</v>
      </c>
      <c r="B4103" s="15" t="s">
        <v>486</v>
      </c>
      <c r="C4103" s="15" t="s">
        <v>578</v>
      </c>
      <c r="D4103" s="15" t="s">
        <v>579</v>
      </c>
      <c r="E4103" s="15" t="n">
        <v>1</v>
      </c>
      <c r="H4103" s="10"/>
      <c r="I4103" s="21"/>
      <c r="M4103" s="10"/>
      <c r="N4103" s="10"/>
      <c r="P4103" s="10"/>
      <c r="Q4103" s="22"/>
    </row>
    <row r="4104" customFormat="false" ht="15.75" hidden="false" customHeight="false" outlineLevel="0" collapsed="false">
      <c r="A4104" s="20" t="n">
        <v>46134</v>
      </c>
      <c r="B4104" s="15" t="s">
        <v>486</v>
      </c>
      <c r="C4104" s="15" t="s">
        <v>59</v>
      </c>
      <c r="D4104" s="15" t="s">
        <v>562</v>
      </c>
      <c r="E4104" s="15" t="n">
        <v>1</v>
      </c>
      <c r="H4104" s="10"/>
      <c r="I4104" s="21"/>
      <c r="M4104" s="10"/>
      <c r="N4104" s="10"/>
      <c r="P4104" s="10"/>
      <c r="Q4104" s="22"/>
    </row>
    <row r="4105" customFormat="false" ht="15.75" hidden="false" customHeight="false" outlineLevel="0" collapsed="false">
      <c r="A4105" s="20" t="n">
        <v>46134</v>
      </c>
      <c r="B4105" s="15" t="s">
        <v>486</v>
      </c>
      <c r="C4105" s="15" t="s">
        <v>79</v>
      </c>
      <c r="D4105" s="15" t="s">
        <v>564</v>
      </c>
      <c r="E4105" s="15" t="n">
        <v>2</v>
      </c>
      <c r="H4105" s="10"/>
      <c r="I4105" s="21"/>
      <c r="M4105" s="10"/>
      <c r="N4105" s="10"/>
      <c r="P4105" s="10"/>
      <c r="Q4105" s="22"/>
    </row>
    <row r="4106" customFormat="false" ht="15.75" hidden="false" customHeight="false" outlineLevel="0" collapsed="false">
      <c r="A4106" s="20" t="n">
        <v>46134</v>
      </c>
      <c r="B4106" s="15" t="s">
        <v>495</v>
      </c>
      <c r="C4106" s="15" t="s">
        <v>55</v>
      </c>
      <c r="D4106" s="15" t="s">
        <v>539</v>
      </c>
      <c r="E4106" s="15" t="n">
        <v>1</v>
      </c>
      <c r="H4106" s="10"/>
      <c r="I4106" s="21"/>
      <c r="M4106" s="10"/>
      <c r="N4106" s="10"/>
      <c r="P4106" s="10"/>
      <c r="Q4106" s="22"/>
    </row>
    <row r="4107" customFormat="false" ht="15.75" hidden="false" customHeight="false" outlineLevel="0" collapsed="false">
      <c r="A4107" s="20" t="n">
        <v>46134</v>
      </c>
      <c r="B4107" s="15" t="s">
        <v>495</v>
      </c>
      <c r="C4107" s="15" t="s">
        <v>81</v>
      </c>
      <c r="D4107" s="15" t="s">
        <v>534</v>
      </c>
      <c r="E4107" s="15" t="n">
        <v>3</v>
      </c>
      <c r="H4107" s="10"/>
      <c r="I4107" s="21"/>
      <c r="M4107" s="10"/>
      <c r="N4107" s="10"/>
      <c r="P4107" s="10"/>
      <c r="Q4107" s="22"/>
    </row>
    <row r="4108" customFormat="false" ht="15.75" hidden="false" customHeight="false" outlineLevel="0" collapsed="false">
      <c r="A4108" s="20" t="n">
        <v>46134</v>
      </c>
      <c r="B4108" s="15" t="s">
        <v>495</v>
      </c>
      <c r="C4108" s="15" t="s">
        <v>75</v>
      </c>
      <c r="D4108" s="15" t="s">
        <v>560</v>
      </c>
      <c r="E4108" s="15" t="n">
        <v>1</v>
      </c>
      <c r="H4108" s="10"/>
      <c r="I4108" s="21"/>
      <c r="M4108" s="10"/>
      <c r="N4108" s="10"/>
      <c r="P4108" s="10"/>
      <c r="Q4108" s="22"/>
    </row>
    <row r="4109" customFormat="false" ht="15.75" hidden="false" customHeight="false" outlineLevel="0" collapsed="false">
      <c r="A4109" s="20" t="n">
        <v>46134</v>
      </c>
      <c r="B4109" s="15" t="s">
        <v>495</v>
      </c>
      <c r="C4109" s="15" t="s">
        <v>43</v>
      </c>
      <c r="D4109" s="15" t="s">
        <v>538</v>
      </c>
      <c r="E4109" s="15" t="n">
        <v>1</v>
      </c>
      <c r="H4109" s="10"/>
      <c r="I4109" s="21"/>
      <c r="M4109" s="10"/>
      <c r="N4109" s="10"/>
      <c r="P4109" s="10"/>
      <c r="Q4109" s="22"/>
    </row>
    <row r="4110" customFormat="false" ht="15.75" hidden="false" customHeight="false" outlineLevel="0" collapsed="false">
      <c r="A4110" s="20" t="n">
        <v>46134</v>
      </c>
      <c r="B4110" s="15" t="s">
        <v>495</v>
      </c>
      <c r="C4110" s="15" t="s">
        <v>69</v>
      </c>
      <c r="D4110" s="15" t="s">
        <v>535</v>
      </c>
      <c r="E4110" s="15" t="n">
        <v>5</v>
      </c>
      <c r="H4110" s="10"/>
      <c r="I4110" s="21"/>
      <c r="M4110" s="10"/>
      <c r="N4110" s="10"/>
      <c r="P4110" s="10"/>
      <c r="Q4110" s="22"/>
    </row>
    <row r="4111" customFormat="false" ht="15.75" hidden="false" customHeight="false" outlineLevel="0" collapsed="false">
      <c r="A4111" s="20" t="n">
        <v>46134</v>
      </c>
      <c r="B4111" s="15" t="s">
        <v>495</v>
      </c>
      <c r="C4111" s="15" t="s">
        <v>547</v>
      </c>
      <c r="D4111" s="15" t="s">
        <v>548</v>
      </c>
      <c r="E4111" s="15" t="n">
        <v>3</v>
      </c>
      <c r="H4111" s="10"/>
      <c r="I4111" s="21"/>
      <c r="M4111" s="10"/>
      <c r="N4111" s="10"/>
      <c r="P4111" s="10"/>
      <c r="Q4111" s="22"/>
    </row>
    <row r="4112" customFormat="false" ht="15.75" hidden="false" customHeight="false" outlineLevel="0" collapsed="false">
      <c r="A4112" s="20" t="n">
        <v>46134</v>
      </c>
      <c r="B4112" s="15" t="s">
        <v>495</v>
      </c>
      <c r="C4112" s="15" t="s">
        <v>25</v>
      </c>
      <c r="D4112" s="15" t="s">
        <v>26</v>
      </c>
      <c r="E4112" s="15" t="n">
        <v>3</v>
      </c>
      <c r="H4112" s="10"/>
      <c r="I4112" s="21"/>
      <c r="M4112" s="10"/>
      <c r="N4112" s="10"/>
      <c r="P4112" s="10"/>
      <c r="Q4112" s="22"/>
    </row>
    <row r="4113" customFormat="false" ht="15.75" hidden="false" customHeight="false" outlineLevel="0" collapsed="false">
      <c r="A4113" s="20" t="n">
        <v>46134</v>
      </c>
      <c r="B4113" s="15" t="s">
        <v>495</v>
      </c>
      <c r="C4113" s="15" t="s">
        <v>543</v>
      </c>
      <c r="D4113" s="15" t="s">
        <v>544</v>
      </c>
      <c r="E4113" s="15" t="n">
        <v>6</v>
      </c>
      <c r="H4113" s="10"/>
      <c r="I4113" s="21"/>
      <c r="M4113" s="10"/>
      <c r="N4113" s="10"/>
      <c r="P4113" s="10"/>
      <c r="Q4113" s="22"/>
    </row>
    <row r="4114" customFormat="false" ht="15.75" hidden="false" customHeight="false" outlineLevel="0" collapsed="false">
      <c r="A4114" s="20" t="n">
        <v>46134</v>
      </c>
      <c r="B4114" s="15" t="s">
        <v>495</v>
      </c>
      <c r="C4114" s="15" t="s">
        <v>545</v>
      </c>
      <c r="D4114" s="15" t="s">
        <v>546</v>
      </c>
      <c r="E4114" s="15" t="n">
        <v>3</v>
      </c>
      <c r="H4114" s="10"/>
      <c r="I4114" s="21"/>
      <c r="M4114" s="10"/>
      <c r="N4114" s="10"/>
      <c r="P4114" s="10"/>
      <c r="Q4114" s="22"/>
    </row>
    <row r="4115" customFormat="false" ht="15.75" hidden="false" customHeight="false" outlineLevel="0" collapsed="false">
      <c r="A4115" s="20" t="n">
        <v>46134</v>
      </c>
      <c r="B4115" s="15" t="s">
        <v>495</v>
      </c>
      <c r="C4115" s="15" t="s">
        <v>63</v>
      </c>
      <c r="D4115" s="15" t="s">
        <v>551</v>
      </c>
      <c r="E4115" s="15" t="n">
        <v>1</v>
      </c>
      <c r="H4115" s="10"/>
      <c r="I4115" s="21"/>
      <c r="M4115" s="10"/>
      <c r="N4115" s="10"/>
      <c r="P4115" s="10"/>
      <c r="Q4115" s="22"/>
    </row>
    <row r="4116" customFormat="false" ht="15.75" hidden="false" customHeight="false" outlineLevel="0" collapsed="false">
      <c r="A4116" s="20" t="n">
        <v>46134</v>
      </c>
      <c r="B4116" s="15" t="s">
        <v>495</v>
      </c>
      <c r="C4116" s="15" t="s">
        <v>77</v>
      </c>
      <c r="D4116" s="15" t="s">
        <v>78</v>
      </c>
      <c r="E4116" s="15" t="n">
        <v>3</v>
      </c>
      <c r="H4116" s="10"/>
      <c r="I4116" s="21"/>
      <c r="M4116" s="10"/>
      <c r="N4116" s="10"/>
      <c r="P4116" s="10"/>
      <c r="Q4116" s="22"/>
    </row>
    <row r="4117" customFormat="false" ht="15.75" hidden="false" customHeight="false" outlineLevel="0" collapsed="false">
      <c r="A4117" s="20" t="n">
        <v>46134</v>
      </c>
      <c r="B4117" s="15" t="s">
        <v>495</v>
      </c>
      <c r="C4117" s="15" t="s">
        <v>61</v>
      </c>
      <c r="D4117" s="15" t="s">
        <v>576</v>
      </c>
      <c r="E4117" s="15" t="n">
        <v>1</v>
      </c>
      <c r="H4117" s="10"/>
      <c r="I4117" s="21"/>
      <c r="M4117" s="10"/>
      <c r="N4117" s="10"/>
      <c r="P4117" s="10"/>
      <c r="Q4117" s="22"/>
    </row>
    <row r="4118" customFormat="false" ht="15.75" hidden="false" customHeight="false" outlineLevel="0" collapsed="false">
      <c r="A4118" s="20" t="n">
        <v>46134</v>
      </c>
      <c r="B4118" s="15" t="s">
        <v>495</v>
      </c>
      <c r="C4118" s="15" t="s">
        <v>33</v>
      </c>
      <c r="D4118" s="15" t="s">
        <v>536</v>
      </c>
      <c r="E4118" s="15" t="n">
        <v>2</v>
      </c>
      <c r="H4118" s="10"/>
      <c r="I4118" s="21"/>
      <c r="M4118" s="10"/>
      <c r="N4118" s="10"/>
      <c r="P4118" s="10"/>
      <c r="Q4118" s="22"/>
    </row>
    <row r="4119" customFormat="false" ht="15.75" hidden="false" customHeight="false" outlineLevel="0" collapsed="false">
      <c r="A4119" s="20" t="n">
        <v>46134</v>
      </c>
      <c r="B4119" s="15" t="s">
        <v>495</v>
      </c>
      <c r="C4119" s="15" t="s">
        <v>59</v>
      </c>
      <c r="D4119" s="15" t="s">
        <v>562</v>
      </c>
      <c r="E4119" s="15" t="n">
        <v>2</v>
      </c>
      <c r="H4119" s="10"/>
      <c r="I4119" s="21"/>
      <c r="M4119" s="10"/>
      <c r="N4119" s="10"/>
      <c r="P4119" s="10"/>
      <c r="Q4119" s="22"/>
    </row>
    <row r="4120" customFormat="false" ht="15.75" hidden="false" customHeight="false" outlineLevel="0" collapsed="false">
      <c r="A4120" s="20" t="n">
        <v>46134</v>
      </c>
      <c r="B4120" s="15" t="s">
        <v>500</v>
      </c>
      <c r="C4120" s="15" t="s">
        <v>81</v>
      </c>
      <c r="D4120" s="15" t="s">
        <v>534</v>
      </c>
      <c r="E4120" s="15" t="n">
        <v>7</v>
      </c>
      <c r="H4120" s="10"/>
      <c r="I4120" s="21"/>
      <c r="M4120" s="10"/>
      <c r="N4120" s="10"/>
      <c r="P4120" s="10"/>
      <c r="Q4120" s="22"/>
    </row>
    <row r="4121" customFormat="false" ht="15.75" hidden="false" customHeight="false" outlineLevel="0" collapsed="false">
      <c r="A4121" s="20" t="n">
        <v>46134</v>
      </c>
      <c r="B4121" s="15" t="s">
        <v>500</v>
      </c>
      <c r="C4121" s="15" t="s">
        <v>543</v>
      </c>
      <c r="D4121" s="15" t="s">
        <v>544</v>
      </c>
      <c r="E4121" s="15" t="n">
        <v>1</v>
      </c>
      <c r="H4121" s="10"/>
      <c r="I4121" s="21"/>
      <c r="M4121" s="10"/>
      <c r="N4121" s="10"/>
      <c r="P4121" s="10"/>
      <c r="Q4121" s="22"/>
    </row>
    <row r="4122" customFormat="false" ht="15.75" hidden="false" customHeight="false" outlineLevel="0" collapsed="false">
      <c r="A4122" s="20" t="n">
        <v>46134</v>
      </c>
      <c r="B4122" s="15" t="s">
        <v>500</v>
      </c>
      <c r="C4122" s="15" t="s">
        <v>55</v>
      </c>
      <c r="D4122" s="15" t="s">
        <v>539</v>
      </c>
      <c r="E4122" s="15" t="n">
        <v>1</v>
      </c>
      <c r="H4122" s="10"/>
      <c r="I4122" s="21"/>
      <c r="M4122" s="10"/>
      <c r="N4122" s="10"/>
      <c r="P4122" s="10"/>
      <c r="Q4122" s="22"/>
    </row>
    <row r="4123" customFormat="false" ht="15.75" hidden="false" customHeight="false" outlineLevel="0" collapsed="false">
      <c r="A4123" s="20" t="n">
        <v>46134</v>
      </c>
      <c r="B4123" s="15" t="s">
        <v>500</v>
      </c>
      <c r="C4123" s="15" t="s">
        <v>59</v>
      </c>
      <c r="D4123" s="15" t="s">
        <v>562</v>
      </c>
      <c r="E4123" s="15" t="n">
        <v>1</v>
      </c>
      <c r="H4123" s="10"/>
      <c r="I4123" s="21"/>
      <c r="M4123" s="10"/>
      <c r="N4123" s="10"/>
      <c r="P4123" s="10"/>
      <c r="Q4123" s="22"/>
    </row>
    <row r="4124" customFormat="false" ht="15.75" hidden="false" customHeight="false" outlineLevel="0" collapsed="false">
      <c r="A4124" s="20" t="n">
        <v>46134</v>
      </c>
      <c r="B4124" s="15" t="s">
        <v>500</v>
      </c>
      <c r="C4124" s="15" t="s">
        <v>47</v>
      </c>
      <c r="D4124" s="15" t="s">
        <v>549</v>
      </c>
      <c r="E4124" s="15" t="n">
        <v>1</v>
      </c>
      <c r="H4124" s="10"/>
      <c r="I4124" s="21"/>
      <c r="M4124" s="10"/>
      <c r="N4124" s="10"/>
      <c r="P4124" s="10"/>
      <c r="Q4124" s="22"/>
    </row>
    <row r="4125" customFormat="false" ht="15.75" hidden="false" customHeight="false" outlineLevel="0" collapsed="false">
      <c r="A4125" s="20" t="n">
        <v>46134</v>
      </c>
      <c r="B4125" s="15" t="s">
        <v>500</v>
      </c>
      <c r="C4125" s="15" t="s">
        <v>69</v>
      </c>
      <c r="D4125" s="15" t="s">
        <v>535</v>
      </c>
      <c r="E4125" s="15" t="n">
        <v>1</v>
      </c>
      <c r="H4125" s="10"/>
      <c r="I4125" s="21"/>
      <c r="M4125" s="10"/>
      <c r="N4125" s="10"/>
      <c r="P4125" s="10"/>
      <c r="Q4125" s="22"/>
    </row>
    <row r="4126" customFormat="false" ht="15.75" hidden="false" customHeight="false" outlineLevel="0" collapsed="false">
      <c r="A4126" s="20" t="n">
        <v>46134</v>
      </c>
      <c r="B4126" s="15" t="s">
        <v>500</v>
      </c>
      <c r="C4126" s="15" t="s">
        <v>33</v>
      </c>
      <c r="D4126" s="15" t="s">
        <v>536</v>
      </c>
      <c r="E4126" s="15" t="n">
        <v>2</v>
      </c>
      <c r="H4126" s="10"/>
      <c r="I4126" s="21"/>
      <c r="M4126" s="10"/>
      <c r="N4126" s="10"/>
      <c r="P4126" s="10"/>
      <c r="Q4126" s="22"/>
    </row>
    <row r="4127" customFormat="false" ht="15.75" hidden="false" customHeight="false" outlineLevel="0" collapsed="false">
      <c r="A4127" s="20" t="n">
        <v>46134</v>
      </c>
      <c r="B4127" s="15" t="s">
        <v>500</v>
      </c>
      <c r="C4127" s="15" t="s">
        <v>77</v>
      </c>
      <c r="D4127" s="15" t="s">
        <v>78</v>
      </c>
      <c r="E4127" s="15" t="n">
        <v>2</v>
      </c>
      <c r="H4127" s="10"/>
      <c r="I4127" s="21"/>
      <c r="M4127" s="10"/>
      <c r="N4127" s="10"/>
      <c r="P4127" s="10"/>
      <c r="Q4127" s="22"/>
    </row>
    <row r="4128" customFormat="false" ht="15.75" hidden="false" customHeight="false" outlineLevel="0" collapsed="false">
      <c r="A4128" s="20" t="n">
        <v>46134</v>
      </c>
      <c r="B4128" s="15" t="s">
        <v>500</v>
      </c>
      <c r="C4128" s="15" t="s">
        <v>75</v>
      </c>
      <c r="D4128" s="15" t="s">
        <v>560</v>
      </c>
      <c r="E4128" s="15" t="n">
        <v>1</v>
      </c>
      <c r="H4128" s="10"/>
      <c r="I4128" s="21"/>
      <c r="M4128" s="10"/>
      <c r="N4128" s="10"/>
      <c r="P4128" s="10"/>
      <c r="Q4128" s="22"/>
    </row>
    <row r="4129" customFormat="false" ht="15.75" hidden="false" customHeight="false" outlineLevel="0" collapsed="false">
      <c r="A4129" s="20" t="n">
        <v>46134</v>
      </c>
      <c r="B4129" s="15" t="s">
        <v>504</v>
      </c>
      <c r="C4129" s="15" t="s">
        <v>47</v>
      </c>
      <c r="D4129" s="15" t="s">
        <v>549</v>
      </c>
      <c r="E4129" s="15" t="n">
        <v>6</v>
      </c>
      <c r="H4129" s="10"/>
      <c r="I4129" s="21"/>
      <c r="M4129" s="10"/>
      <c r="N4129" s="10"/>
      <c r="P4129" s="10"/>
      <c r="Q4129" s="22"/>
    </row>
    <row r="4130" customFormat="false" ht="15.75" hidden="false" customHeight="false" outlineLevel="0" collapsed="false">
      <c r="A4130" s="20" t="n">
        <v>46134</v>
      </c>
      <c r="B4130" s="15" t="s">
        <v>504</v>
      </c>
      <c r="C4130" s="15" t="s">
        <v>55</v>
      </c>
      <c r="D4130" s="15" t="s">
        <v>539</v>
      </c>
      <c r="E4130" s="15" t="n">
        <v>12</v>
      </c>
      <c r="H4130" s="10"/>
      <c r="I4130" s="21"/>
      <c r="M4130" s="10"/>
      <c r="N4130" s="10"/>
      <c r="P4130" s="10"/>
      <c r="Q4130" s="22"/>
    </row>
    <row r="4131" customFormat="false" ht="15.75" hidden="false" customHeight="false" outlineLevel="0" collapsed="false">
      <c r="A4131" s="20" t="n">
        <v>46134</v>
      </c>
      <c r="B4131" s="15" t="s">
        <v>504</v>
      </c>
      <c r="C4131" s="15" t="s">
        <v>81</v>
      </c>
      <c r="D4131" s="15" t="s">
        <v>534</v>
      </c>
      <c r="E4131" s="15" t="n">
        <v>18</v>
      </c>
      <c r="H4131" s="10"/>
      <c r="I4131" s="21"/>
      <c r="M4131" s="10"/>
      <c r="N4131" s="10"/>
      <c r="P4131" s="10"/>
      <c r="Q4131" s="22"/>
    </row>
    <row r="4132" customFormat="false" ht="15.75" hidden="false" customHeight="false" outlineLevel="0" collapsed="false">
      <c r="A4132" s="20" t="n">
        <v>46134</v>
      </c>
      <c r="B4132" s="15" t="s">
        <v>504</v>
      </c>
      <c r="C4132" s="15" t="s">
        <v>39</v>
      </c>
      <c r="D4132" s="15" t="s">
        <v>550</v>
      </c>
      <c r="E4132" s="15" t="n">
        <v>2</v>
      </c>
      <c r="H4132" s="10"/>
      <c r="I4132" s="21"/>
      <c r="M4132" s="10"/>
      <c r="N4132" s="10"/>
      <c r="P4132" s="10"/>
      <c r="Q4132" s="22"/>
    </row>
    <row r="4133" customFormat="false" ht="15.75" hidden="false" customHeight="false" outlineLevel="0" collapsed="false">
      <c r="A4133" s="20" t="n">
        <v>46134</v>
      </c>
      <c r="B4133" s="15" t="s">
        <v>504</v>
      </c>
      <c r="C4133" s="15" t="s">
        <v>63</v>
      </c>
      <c r="D4133" s="15" t="s">
        <v>551</v>
      </c>
      <c r="E4133" s="15" t="n">
        <v>2</v>
      </c>
      <c r="H4133" s="10"/>
      <c r="I4133" s="21"/>
      <c r="M4133" s="10"/>
      <c r="N4133" s="10"/>
      <c r="P4133" s="10"/>
      <c r="Q4133" s="22"/>
    </row>
    <row r="4134" customFormat="false" ht="15.75" hidden="false" customHeight="false" outlineLevel="0" collapsed="false">
      <c r="A4134" s="20" t="n">
        <v>46134</v>
      </c>
      <c r="B4134" s="15" t="s">
        <v>504</v>
      </c>
      <c r="C4134" s="15" t="s">
        <v>17</v>
      </c>
      <c r="D4134" s="15" t="s">
        <v>554</v>
      </c>
      <c r="E4134" s="15" t="n">
        <v>2</v>
      </c>
      <c r="H4134" s="10"/>
      <c r="I4134" s="21"/>
      <c r="M4134" s="10"/>
      <c r="N4134" s="10"/>
      <c r="P4134" s="10"/>
      <c r="Q4134" s="22"/>
    </row>
    <row r="4135" customFormat="false" ht="15.75" hidden="false" customHeight="false" outlineLevel="0" collapsed="false">
      <c r="A4135" s="20" t="n">
        <v>46134</v>
      </c>
      <c r="B4135" s="15" t="s">
        <v>508</v>
      </c>
      <c r="C4135" s="15" t="s">
        <v>55</v>
      </c>
      <c r="D4135" s="15" t="s">
        <v>539</v>
      </c>
      <c r="E4135" s="15" t="n">
        <v>5</v>
      </c>
      <c r="H4135" s="10"/>
      <c r="I4135" s="21"/>
      <c r="M4135" s="10"/>
      <c r="N4135" s="10"/>
      <c r="P4135" s="10"/>
      <c r="Q4135" s="22"/>
    </row>
    <row r="4136" customFormat="false" ht="15.75" hidden="false" customHeight="false" outlineLevel="0" collapsed="false">
      <c r="A4136" s="20" t="n">
        <v>46134</v>
      </c>
      <c r="B4136" s="15" t="s">
        <v>508</v>
      </c>
      <c r="C4136" s="15" t="s">
        <v>81</v>
      </c>
      <c r="D4136" s="15" t="s">
        <v>534</v>
      </c>
      <c r="E4136" s="15" t="n">
        <v>9</v>
      </c>
      <c r="H4136" s="10"/>
      <c r="I4136" s="21"/>
      <c r="M4136" s="10"/>
      <c r="N4136" s="10"/>
      <c r="P4136" s="10"/>
      <c r="Q4136" s="22"/>
    </row>
    <row r="4137" customFormat="false" ht="15.75" hidden="false" customHeight="false" outlineLevel="0" collapsed="false">
      <c r="A4137" s="20" t="n">
        <v>46134</v>
      </c>
      <c r="B4137" s="15" t="s">
        <v>508</v>
      </c>
      <c r="C4137" s="15" t="s">
        <v>39</v>
      </c>
      <c r="D4137" s="15" t="s">
        <v>550</v>
      </c>
      <c r="E4137" s="15" t="n">
        <v>2</v>
      </c>
      <c r="H4137" s="10"/>
      <c r="I4137" s="21"/>
      <c r="M4137" s="10"/>
      <c r="N4137" s="10"/>
      <c r="P4137" s="10"/>
      <c r="Q4137" s="22"/>
    </row>
    <row r="4138" customFormat="false" ht="15.75" hidden="false" customHeight="false" outlineLevel="0" collapsed="false">
      <c r="A4138" s="20" t="n">
        <v>46134</v>
      </c>
      <c r="B4138" s="15" t="s">
        <v>508</v>
      </c>
      <c r="C4138" s="15" t="s">
        <v>47</v>
      </c>
      <c r="D4138" s="15" t="s">
        <v>549</v>
      </c>
      <c r="E4138" s="15" t="n">
        <v>2</v>
      </c>
      <c r="H4138" s="10"/>
      <c r="I4138" s="21"/>
      <c r="M4138" s="10"/>
      <c r="N4138" s="10"/>
      <c r="P4138" s="10"/>
      <c r="Q4138" s="22"/>
    </row>
    <row r="4139" customFormat="false" ht="15.75" hidden="false" customHeight="false" outlineLevel="0" collapsed="false">
      <c r="A4139" s="20" t="n">
        <v>46134</v>
      </c>
      <c r="B4139" s="15" t="s">
        <v>508</v>
      </c>
      <c r="C4139" s="15" t="s">
        <v>63</v>
      </c>
      <c r="D4139" s="15" t="s">
        <v>551</v>
      </c>
      <c r="E4139" s="15" t="n">
        <v>1</v>
      </c>
      <c r="H4139" s="10"/>
      <c r="I4139" s="21"/>
      <c r="M4139" s="10"/>
      <c r="N4139" s="10"/>
      <c r="P4139" s="10"/>
      <c r="Q4139" s="22"/>
    </row>
    <row r="4140" customFormat="false" ht="15.75" hidden="false" customHeight="false" outlineLevel="0" collapsed="false">
      <c r="A4140" s="20" t="n">
        <v>46134</v>
      </c>
      <c r="B4140" s="15" t="s">
        <v>517</v>
      </c>
      <c r="C4140" s="15" t="s">
        <v>69</v>
      </c>
      <c r="D4140" s="15" t="s">
        <v>535</v>
      </c>
      <c r="E4140" s="15" t="n">
        <v>6</v>
      </c>
      <c r="H4140" s="10"/>
      <c r="I4140" s="21"/>
      <c r="M4140" s="10"/>
      <c r="N4140" s="10"/>
      <c r="P4140" s="10"/>
      <c r="Q4140" s="22"/>
    </row>
    <row r="4141" customFormat="false" ht="15.75" hidden="false" customHeight="false" outlineLevel="0" collapsed="false">
      <c r="A4141" s="20" t="n">
        <v>46134</v>
      </c>
      <c r="B4141" s="15" t="s">
        <v>517</v>
      </c>
      <c r="C4141" s="15" t="s">
        <v>33</v>
      </c>
      <c r="D4141" s="15" t="s">
        <v>536</v>
      </c>
      <c r="E4141" s="15" t="n">
        <v>6</v>
      </c>
      <c r="H4141" s="10"/>
      <c r="I4141" s="21"/>
      <c r="M4141" s="10"/>
      <c r="N4141" s="10"/>
      <c r="P4141" s="10"/>
      <c r="Q4141" s="22"/>
    </row>
    <row r="4142" customFormat="false" ht="15.75" hidden="false" customHeight="false" outlineLevel="0" collapsed="false">
      <c r="A4142" s="20" t="n">
        <v>46134</v>
      </c>
      <c r="B4142" s="15" t="s">
        <v>518</v>
      </c>
      <c r="C4142" s="15" t="s">
        <v>69</v>
      </c>
      <c r="D4142" s="15" t="s">
        <v>535</v>
      </c>
      <c r="E4142" s="15" t="n">
        <v>6</v>
      </c>
      <c r="H4142" s="10"/>
      <c r="I4142" s="21"/>
      <c r="M4142" s="10"/>
      <c r="N4142" s="10"/>
      <c r="P4142" s="10"/>
      <c r="Q4142" s="22"/>
    </row>
    <row r="4143" customFormat="false" ht="15.75" hidden="false" customHeight="false" outlineLevel="0" collapsed="false">
      <c r="A4143" s="20" t="n">
        <v>46134</v>
      </c>
      <c r="B4143" s="15" t="s">
        <v>518</v>
      </c>
      <c r="C4143" s="15" t="s">
        <v>33</v>
      </c>
      <c r="D4143" s="15" t="s">
        <v>536</v>
      </c>
      <c r="E4143" s="15" t="n">
        <v>6</v>
      </c>
      <c r="H4143" s="10"/>
      <c r="I4143" s="21"/>
      <c r="M4143" s="10"/>
      <c r="N4143" s="10"/>
      <c r="P4143" s="10"/>
      <c r="Q4143" s="22"/>
    </row>
    <row r="4144" customFormat="false" ht="15.75" hidden="false" customHeight="false" outlineLevel="0" collapsed="false">
      <c r="A4144" s="20" t="n">
        <v>46134</v>
      </c>
      <c r="B4144" s="15" t="s">
        <v>518</v>
      </c>
      <c r="C4144" s="15" t="s">
        <v>47</v>
      </c>
      <c r="D4144" s="15" t="s">
        <v>549</v>
      </c>
      <c r="E4144" s="15" t="n">
        <v>2</v>
      </c>
      <c r="H4144" s="10"/>
      <c r="I4144" s="21"/>
      <c r="M4144" s="10"/>
      <c r="N4144" s="10"/>
      <c r="P4144" s="10"/>
      <c r="Q4144" s="22"/>
    </row>
    <row r="4145" customFormat="false" ht="15.75" hidden="false" customHeight="false" outlineLevel="0" collapsed="false">
      <c r="A4145" s="20" t="n">
        <v>46134</v>
      </c>
      <c r="B4145" s="15" t="s">
        <v>518</v>
      </c>
      <c r="C4145" s="15" t="s">
        <v>51</v>
      </c>
      <c r="D4145" s="15" t="s">
        <v>573</v>
      </c>
      <c r="E4145" s="15" t="n">
        <v>1</v>
      </c>
      <c r="H4145" s="10"/>
      <c r="I4145" s="21"/>
      <c r="M4145" s="10"/>
      <c r="N4145" s="10"/>
      <c r="P4145" s="10"/>
      <c r="Q4145" s="22"/>
    </row>
    <row r="4146" customFormat="false" ht="15.75" hidden="false" customHeight="false" outlineLevel="0" collapsed="false">
      <c r="A4146" s="20" t="n">
        <v>46134</v>
      </c>
      <c r="B4146" s="15" t="s">
        <v>518</v>
      </c>
      <c r="C4146" s="15" t="s">
        <v>55</v>
      </c>
      <c r="D4146" s="15" t="s">
        <v>539</v>
      </c>
      <c r="E4146" s="15" t="n">
        <v>2</v>
      </c>
      <c r="H4146" s="10"/>
      <c r="I4146" s="21"/>
      <c r="M4146" s="10"/>
      <c r="N4146" s="10"/>
      <c r="P4146" s="10"/>
      <c r="Q4146" s="22"/>
    </row>
    <row r="4147" customFormat="false" ht="15.75" hidden="false" customHeight="false" outlineLevel="0" collapsed="false">
      <c r="A4147" s="20" t="n">
        <v>46134</v>
      </c>
      <c r="B4147" s="15" t="s">
        <v>518</v>
      </c>
      <c r="C4147" s="15" t="s">
        <v>37</v>
      </c>
      <c r="D4147" s="15" t="s">
        <v>561</v>
      </c>
      <c r="E4147" s="15" t="n">
        <v>2</v>
      </c>
      <c r="H4147" s="10"/>
      <c r="I4147" s="21"/>
      <c r="M4147" s="10"/>
      <c r="N4147" s="10"/>
      <c r="P4147" s="10"/>
      <c r="Q4147" s="22"/>
    </row>
    <row r="4148" customFormat="false" ht="15.75" hidden="false" customHeight="false" outlineLevel="0" collapsed="false">
      <c r="A4148" s="20" t="n">
        <v>46134</v>
      </c>
      <c r="B4148" s="15" t="s">
        <v>518</v>
      </c>
      <c r="C4148" s="15" t="s">
        <v>547</v>
      </c>
      <c r="D4148" s="15" t="s">
        <v>548</v>
      </c>
      <c r="E4148" s="15" t="n">
        <v>1</v>
      </c>
      <c r="H4148" s="10"/>
      <c r="I4148" s="21"/>
      <c r="M4148" s="10"/>
      <c r="N4148" s="10"/>
      <c r="P4148" s="10"/>
      <c r="Q4148" s="22"/>
    </row>
    <row r="4149" customFormat="false" ht="15.75" hidden="false" customHeight="false" outlineLevel="0" collapsed="false">
      <c r="A4149" s="20" t="n">
        <v>46134</v>
      </c>
      <c r="B4149" s="15" t="s">
        <v>518</v>
      </c>
      <c r="C4149" s="15" t="s">
        <v>81</v>
      </c>
      <c r="D4149" s="15" t="s">
        <v>534</v>
      </c>
      <c r="E4149" s="15" t="n">
        <v>1</v>
      </c>
      <c r="H4149" s="10"/>
      <c r="I4149" s="21"/>
      <c r="M4149" s="10"/>
      <c r="N4149" s="10"/>
      <c r="P4149" s="10"/>
      <c r="Q4149" s="22"/>
    </row>
    <row r="4150" customFormat="false" ht="15.75" hidden="false" customHeight="false" outlineLevel="0" collapsed="false">
      <c r="A4150" s="20" t="n">
        <v>46134</v>
      </c>
      <c r="B4150" s="15" t="s">
        <v>527</v>
      </c>
      <c r="C4150" s="15" t="s">
        <v>81</v>
      </c>
      <c r="D4150" s="15" t="s">
        <v>534</v>
      </c>
      <c r="E4150" s="15" t="n">
        <v>1</v>
      </c>
      <c r="H4150" s="10"/>
      <c r="I4150" s="21"/>
      <c r="M4150" s="10"/>
      <c r="N4150" s="10"/>
      <c r="P4150" s="10"/>
      <c r="Q4150" s="22"/>
    </row>
    <row r="4151" customFormat="false" ht="15.75" hidden="false" customHeight="false" outlineLevel="0" collapsed="false">
      <c r="A4151" s="20" t="n">
        <v>46134</v>
      </c>
      <c r="B4151" s="15" t="s">
        <v>527</v>
      </c>
      <c r="C4151" s="15" t="s">
        <v>69</v>
      </c>
      <c r="D4151" s="15" t="s">
        <v>535</v>
      </c>
      <c r="E4151" s="15" t="n">
        <v>3</v>
      </c>
      <c r="H4151" s="10"/>
      <c r="I4151" s="21"/>
      <c r="M4151" s="10"/>
      <c r="N4151" s="10"/>
      <c r="P4151" s="10"/>
      <c r="Q4151" s="22"/>
    </row>
    <row r="4152" customFormat="false" ht="15.75" hidden="false" customHeight="false" outlineLevel="0" collapsed="false">
      <c r="A4152" s="20" t="n">
        <v>46134</v>
      </c>
      <c r="B4152" s="15" t="s">
        <v>527</v>
      </c>
      <c r="C4152" s="15" t="s">
        <v>33</v>
      </c>
      <c r="D4152" s="15" t="s">
        <v>536</v>
      </c>
      <c r="E4152" s="15" t="n">
        <v>2</v>
      </c>
      <c r="H4152" s="10"/>
      <c r="I4152" s="21"/>
      <c r="M4152" s="10"/>
      <c r="N4152" s="10"/>
      <c r="P4152" s="10"/>
      <c r="Q4152" s="22"/>
    </row>
    <row r="4153" customFormat="false" ht="15.75" hidden="false" customHeight="false" outlineLevel="0" collapsed="false">
      <c r="A4153" s="20" t="n">
        <v>46134</v>
      </c>
      <c r="B4153" s="15" t="s">
        <v>527</v>
      </c>
      <c r="C4153" s="15" t="s">
        <v>77</v>
      </c>
      <c r="D4153" s="15" t="s">
        <v>78</v>
      </c>
      <c r="E4153" s="15" t="n">
        <v>2</v>
      </c>
      <c r="H4153" s="10"/>
      <c r="I4153" s="21"/>
      <c r="M4153" s="10"/>
      <c r="N4153" s="10"/>
      <c r="P4153" s="10"/>
      <c r="Q4153" s="22"/>
    </row>
    <row r="4154" customFormat="false" ht="15.75" hidden="false" customHeight="false" outlineLevel="0" collapsed="false">
      <c r="A4154" s="20" t="n">
        <v>46134</v>
      </c>
      <c r="B4154" s="15" t="s">
        <v>527</v>
      </c>
      <c r="C4154" s="15" t="s">
        <v>547</v>
      </c>
      <c r="D4154" s="15" t="s">
        <v>548</v>
      </c>
      <c r="E4154" s="15" t="n">
        <v>1</v>
      </c>
      <c r="H4154" s="10"/>
      <c r="I4154" s="21"/>
      <c r="M4154" s="10"/>
      <c r="N4154" s="10"/>
      <c r="P4154" s="10"/>
      <c r="Q4154" s="22"/>
    </row>
    <row r="4155" customFormat="false" ht="15.75" hidden="false" customHeight="false" outlineLevel="0" collapsed="false">
      <c r="A4155" s="20" t="n">
        <v>46134</v>
      </c>
      <c r="B4155" s="15" t="s">
        <v>527</v>
      </c>
      <c r="C4155" s="15" t="s">
        <v>545</v>
      </c>
      <c r="D4155" s="15" t="s">
        <v>546</v>
      </c>
      <c r="E4155" s="15" t="n">
        <v>1</v>
      </c>
      <c r="H4155" s="10"/>
      <c r="I4155" s="21"/>
      <c r="M4155" s="10"/>
      <c r="N4155" s="10"/>
      <c r="P4155" s="10"/>
      <c r="Q4155" s="22"/>
    </row>
    <row r="4156" customFormat="false" ht="15.75" hidden="false" customHeight="false" outlineLevel="0" collapsed="false">
      <c r="A4156" s="20" t="n">
        <v>46134</v>
      </c>
      <c r="B4156" s="15" t="s">
        <v>527</v>
      </c>
      <c r="C4156" s="15" t="s">
        <v>543</v>
      </c>
      <c r="D4156" s="15" t="s">
        <v>544</v>
      </c>
      <c r="E4156" s="15" t="n">
        <v>2</v>
      </c>
      <c r="H4156" s="10"/>
      <c r="I4156" s="21"/>
      <c r="M4156" s="10"/>
      <c r="N4156" s="10"/>
      <c r="P4156" s="10"/>
      <c r="Q4156" s="22"/>
    </row>
    <row r="4157" customFormat="false" ht="15.75" hidden="false" customHeight="false" outlineLevel="0" collapsed="false">
      <c r="A4157" s="20" t="n">
        <v>46134</v>
      </c>
      <c r="B4157" s="15" t="s">
        <v>527</v>
      </c>
      <c r="C4157" s="15" t="s">
        <v>541</v>
      </c>
      <c r="D4157" s="15" t="s">
        <v>542</v>
      </c>
      <c r="E4157" s="15" t="n">
        <v>1</v>
      </c>
      <c r="H4157" s="10"/>
      <c r="I4157" s="21"/>
      <c r="M4157" s="10"/>
      <c r="N4157" s="10"/>
      <c r="P4157" s="10"/>
      <c r="Q4157" s="22"/>
    </row>
    <row r="4158" customFormat="false" ht="15.75" hidden="false" customHeight="false" outlineLevel="0" collapsed="false">
      <c r="A4158" s="20" t="n">
        <v>46134</v>
      </c>
      <c r="B4158" s="15" t="s">
        <v>527</v>
      </c>
      <c r="C4158" s="15" t="s">
        <v>45</v>
      </c>
      <c r="D4158" s="15" t="s">
        <v>540</v>
      </c>
      <c r="E4158" s="15" t="n">
        <v>1</v>
      </c>
      <c r="H4158" s="10"/>
      <c r="I4158" s="21"/>
      <c r="M4158" s="10"/>
      <c r="N4158" s="10"/>
      <c r="P4158" s="10"/>
      <c r="Q4158" s="22"/>
    </row>
    <row r="4159" customFormat="false" ht="15.75" hidden="false" customHeight="false" outlineLevel="0" collapsed="false">
      <c r="A4159" s="20" t="n">
        <v>46134</v>
      </c>
      <c r="B4159" s="15" t="s">
        <v>527</v>
      </c>
      <c r="C4159" s="15" t="s">
        <v>55</v>
      </c>
      <c r="D4159" s="15" t="s">
        <v>539</v>
      </c>
      <c r="E4159" s="15" t="n">
        <v>1</v>
      </c>
      <c r="H4159" s="10"/>
      <c r="I4159" s="21"/>
      <c r="M4159" s="10"/>
      <c r="N4159" s="10"/>
      <c r="P4159" s="10"/>
      <c r="Q4159" s="22"/>
    </row>
    <row r="4160" customFormat="false" ht="15.75" hidden="false" customHeight="false" outlineLevel="0" collapsed="false">
      <c r="A4160" s="20" t="n">
        <v>46134</v>
      </c>
      <c r="B4160" s="15" t="s">
        <v>527</v>
      </c>
      <c r="C4160" s="15" t="s">
        <v>59</v>
      </c>
      <c r="D4160" s="15" t="s">
        <v>562</v>
      </c>
      <c r="E4160" s="15" t="n">
        <v>1</v>
      </c>
      <c r="H4160" s="10"/>
      <c r="I4160" s="21"/>
      <c r="M4160" s="10"/>
      <c r="N4160" s="10"/>
      <c r="P4160" s="10"/>
      <c r="Q4160" s="22"/>
    </row>
    <row r="4161" customFormat="false" ht="15.75" hidden="false" customHeight="false" outlineLevel="0" collapsed="false">
      <c r="A4161" s="20" t="n">
        <v>46134</v>
      </c>
      <c r="B4161" s="15" t="s">
        <v>527</v>
      </c>
      <c r="C4161" s="15" t="s">
        <v>47</v>
      </c>
      <c r="D4161" s="15" t="s">
        <v>549</v>
      </c>
      <c r="E4161" s="15" t="n">
        <v>1</v>
      </c>
      <c r="H4161" s="10"/>
      <c r="I4161" s="21"/>
      <c r="M4161" s="10"/>
      <c r="N4161" s="10"/>
      <c r="P4161" s="10"/>
      <c r="Q4161" s="22"/>
    </row>
    <row r="4162" customFormat="false" ht="15.75" hidden="false" customHeight="false" outlineLevel="0" collapsed="false">
      <c r="A4162" s="20" t="n">
        <v>46134</v>
      </c>
      <c r="B4162" s="15" t="s">
        <v>527</v>
      </c>
      <c r="C4162" s="15" t="s">
        <v>43</v>
      </c>
      <c r="D4162" s="15" t="s">
        <v>538</v>
      </c>
      <c r="E4162" s="15" t="n">
        <v>1</v>
      </c>
      <c r="H4162" s="10"/>
      <c r="I4162" s="21"/>
      <c r="M4162" s="10"/>
      <c r="N4162" s="10"/>
      <c r="P4162" s="10"/>
      <c r="Q4162" s="22"/>
    </row>
    <row r="4163" customFormat="false" ht="15.75" hidden="false" customHeight="false" outlineLevel="0" collapsed="false">
      <c r="A4163" s="20" t="n">
        <v>46135</v>
      </c>
      <c r="B4163" s="15" t="s">
        <v>453</v>
      </c>
      <c r="C4163" s="15" t="s">
        <v>47</v>
      </c>
      <c r="D4163" s="15" t="s">
        <v>549</v>
      </c>
      <c r="E4163" s="15" t="n">
        <v>2</v>
      </c>
      <c r="H4163" s="10"/>
      <c r="I4163" s="21"/>
      <c r="M4163" s="10"/>
      <c r="N4163" s="10"/>
      <c r="P4163" s="10"/>
      <c r="Q4163" s="22"/>
    </row>
    <row r="4164" customFormat="false" ht="15.75" hidden="false" customHeight="false" outlineLevel="0" collapsed="false">
      <c r="A4164" s="20" t="n">
        <v>46135</v>
      </c>
      <c r="B4164" s="15" t="s">
        <v>453</v>
      </c>
      <c r="C4164" s="15" t="s">
        <v>55</v>
      </c>
      <c r="D4164" s="15" t="s">
        <v>539</v>
      </c>
      <c r="E4164" s="15" t="n">
        <v>4</v>
      </c>
      <c r="H4164" s="10"/>
      <c r="I4164" s="21"/>
      <c r="M4164" s="10"/>
      <c r="N4164" s="10"/>
      <c r="P4164" s="10"/>
      <c r="Q4164" s="22"/>
    </row>
    <row r="4165" customFormat="false" ht="15.75" hidden="false" customHeight="false" outlineLevel="0" collapsed="false">
      <c r="A4165" s="20" t="n">
        <v>46135</v>
      </c>
      <c r="B4165" s="15" t="s">
        <v>453</v>
      </c>
      <c r="C4165" s="15" t="s">
        <v>81</v>
      </c>
      <c r="D4165" s="15" t="s">
        <v>534</v>
      </c>
      <c r="E4165" s="15" t="n">
        <v>8</v>
      </c>
      <c r="H4165" s="10"/>
      <c r="I4165" s="21"/>
      <c r="M4165" s="10"/>
      <c r="N4165" s="10"/>
      <c r="P4165" s="10"/>
      <c r="Q4165" s="22"/>
    </row>
    <row r="4166" customFormat="false" ht="15.75" hidden="false" customHeight="false" outlineLevel="0" collapsed="false">
      <c r="A4166" s="20" t="n">
        <v>46135</v>
      </c>
      <c r="B4166" s="15" t="s">
        <v>453</v>
      </c>
      <c r="C4166" s="15" t="s">
        <v>39</v>
      </c>
      <c r="D4166" s="15" t="s">
        <v>550</v>
      </c>
      <c r="E4166" s="15" t="n">
        <v>2</v>
      </c>
      <c r="H4166" s="10"/>
      <c r="I4166" s="21"/>
      <c r="M4166" s="10"/>
      <c r="N4166" s="10"/>
      <c r="P4166" s="10"/>
      <c r="Q4166" s="22"/>
    </row>
    <row r="4167" customFormat="false" ht="15.75" hidden="false" customHeight="false" outlineLevel="0" collapsed="false">
      <c r="A4167" s="20" t="n">
        <v>46135</v>
      </c>
      <c r="B4167" s="15" t="s">
        <v>453</v>
      </c>
      <c r="C4167" s="15" t="s">
        <v>63</v>
      </c>
      <c r="D4167" s="15" t="s">
        <v>551</v>
      </c>
      <c r="E4167" s="15" t="n">
        <v>1</v>
      </c>
      <c r="H4167" s="10"/>
      <c r="I4167" s="21"/>
      <c r="M4167" s="10"/>
      <c r="N4167" s="10"/>
      <c r="P4167" s="10"/>
      <c r="Q4167" s="22"/>
    </row>
    <row r="4168" customFormat="false" ht="15.75" hidden="false" customHeight="false" outlineLevel="0" collapsed="false">
      <c r="A4168" s="20" t="n">
        <v>46135</v>
      </c>
      <c r="B4168" s="15" t="s">
        <v>453</v>
      </c>
      <c r="C4168" s="15" t="s">
        <v>35</v>
      </c>
      <c r="D4168" s="15" t="s">
        <v>552</v>
      </c>
      <c r="E4168" s="15" t="n">
        <v>2</v>
      </c>
      <c r="H4168" s="10"/>
      <c r="I4168" s="21"/>
      <c r="M4168" s="10"/>
      <c r="N4168" s="10"/>
      <c r="P4168" s="10"/>
      <c r="Q4168" s="22"/>
    </row>
    <row r="4169" customFormat="false" ht="15.75" hidden="false" customHeight="false" outlineLevel="0" collapsed="false">
      <c r="A4169" s="20" t="n">
        <v>46135</v>
      </c>
      <c r="B4169" s="15" t="s">
        <v>456</v>
      </c>
      <c r="C4169" s="15" t="s">
        <v>55</v>
      </c>
      <c r="D4169" s="15" t="s">
        <v>539</v>
      </c>
      <c r="E4169" s="15" t="n">
        <v>5</v>
      </c>
      <c r="H4169" s="10"/>
      <c r="I4169" s="21"/>
      <c r="M4169" s="10"/>
      <c r="N4169" s="10"/>
      <c r="P4169" s="10"/>
      <c r="Q4169" s="22"/>
    </row>
    <row r="4170" customFormat="false" ht="15.75" hidden="false" customHeight="false" outlineLevel="0" collapsed="false">
      <c r="A4170" s="20" t="n">
        <v>46135</v>
      </c>
      <c r="B4170" s="15" t="s">
        <v>456</v>
      </c>
      <c r="C4170" s="15" t="s">
        <v>47</v>
      </c>
      <c r="D4170" s="15" t="s">
        <v>549</v>
      </c>
      <c r="E4170" s="15" t="n">
        <v>1</v>
      </c>
      <c r="H4170" s="10"/>
      <c r="I4170" s="21"/>
      <c r="M4170" s="10"/>
      <c r="N4170" s="10"/>
      <c r="P4170" s="10"/>
      <c r="Q4170" s="22"/>
    </row>
    <row r="4171" customFormat="false" ht="15.75" hidden="false" customHeight="false" outlineLevel="0" collapsed="false">
      <c r="A4171" s="20" t="n">
        <v>46135</v>
      </c>
      <c r="B4171" s="15" t="s">
        <v>456</v>
      </c>
      <c r="C4171" s="15" t="s">
        <v>81</v>
      </c>
      <c r="D4171" s="15" t="s">
        <v>534</v>
      </c>
      <c r="E4171" s="15" t="n">
        <v>10</v>
      </c>
      <c r="H4171" s="10"/>
      <c r="I4171" s="21"/>
      <c r="M4171" s="10"/>
      <c r="N4171" s="10"/>
      <c r="P4171" s="10"/>
      <c r="Q4171" s="22"/>
    </row>
    <row r="4172" customFormat="false" ht="15.75" hidden="false" customHeight="false" outlineLevel="0" collapsed="false">
      <c r="A4172" s="20" t="n">
        <v>46135</v>
      </c>
      <c r="B4172" s="15" t="s">
        <v>456</v>
      </c>
      <c r="C4172" s="15" t="s">
        <v>49</v>
      </c>
      <c r="D4172" s="15" t="s">
        <v>537</v>
      </c>
      <c r="E4172" s="15" t="n">
        <v>1</v>
      </c>
      <c r="H4172" s="10"/>
      <c r="I4172" s="21"/>
      <c r="M4172" s="10"/>
      <c r="N4172" s="10"/>
      <c r="P4172" s="10"/>
      <c r="Q4172" s="22"/>
    </row>
    <row r="4173" customFormat="false" ht="15.75" hidden="false" customHeight="false" outlineLevel="0" collapsed="false">
      <c r="A4173" s="20" t="n">
        <v>46135</v>
      </c>
      <c r="B4173" s="15" t="s">
        <v>456</v>
      </c>
      <c r="C4173" s="15" t="s">
        <v>63</v>
      </c>
      <c r="D4173" s="15" t="s">
        <v>551</v>
      </c>
      <c r="E4173" s="15" t="n">
        <v>1</v>
      </c>
      <c r="H4173" s="10"/>
      <c r="I4173" s="21"/>
      <c r="M4173" s="10"/>
      <c r="N4173" s="10"/>
      <c r="P4173" s="10"/>
      <c r="Q4173" s="22"/>
    </row>
    <row r="4174" customFormat="false" ht="15.75" hidden="false" customHeight="false" outlineLevel="0" collapsed="false">
      <c r="A4174" s="20" t="n">
        <v>46135</v>
      </c>
      <c r="B4174" s="15" t="s">
        <v>456</v>
      </c>
      <c r="C4174" s="15" t="s">
        <v>39</v>
      </c>
      <c r="D4174" s="15" t="s">
        <v>550</v>
      </c>
      <c r="E4174" s="15" t="n">
        <v>1</v>
      </c>
      <c r="H4174" s="10"/>
      <c r="I4174" s="21"/>
      <c r="M4174" s="10"/>
      <c r="N4174" s="10"/>
      <c r="P4174" s="10"/>
      <c r="Q4174" s="22"/>
    </row>
    <row r="4175" customFormat="false" ht="15.75" hidden="false" customHeight="false" outlineLevel="0" collapsed="false">
      <c r="A4175" s="20" t="n">
        <v>46135</v>
      </c>
      <c r="B4175" s="15" t="s">
        <v>19</v>
      </c>
      <c r="C4175" s="15" t="s">
        <v>69</v>
      </c>
      <c r="D4175" s="15" t="s">
        <v>535</v>
      </c>
      <c r="E4175" s="15" t="n">
        <v>10</v>
      </c>
      <c r="H4175" s="10"/>
      <c r="I4175" s="21"/>
      <c r="M4175" s="10"/>
      <c r="N4175" s="10"/>
      <c r="P4175" s="10"/>
      <c r="Q4175" s="22"/>
    </row>
    <row r="4176" customFormat="false" ht="15.75" hidden="false" customHeight="false" outlineLevel="0" collapsed="false">
      <c r="A4176" s="20" t="n">
        <v>46135</v>
      </c>
      <c r="B4176" s="15" t="s">
        <v>19</v>
      </c>
      <c r="C4176" s="15" t="s">
        <v>55</v>
      </c>
      <c r="D4176" s="15" t="s">
        <v>539</v>
      </c>
      <c r="E4176" s="15" t="n">
        <v>10</v>
      </c>
      <c r="H4176" s="10"/>
      <c r="I4176" s="21"/>
      <c r="M4176" s="10"/>
      <c r="N4176" s="10"/>
      <c r="P4176" s="10"/>
      <c r="Q4176" s="22"/>
    </row>
    <row r="4177" customFormat="false" ht="15.75" hidden="false" customHeight="false" outlineLevel="0" collapsed="false">
      <c r="A4177" s="20" t="n">
        <v>46135</v>
      </c>
      <c r="B4177" s="15" t="s">
        <v>19</v>
      </c>
      <c r="C4177" s="15" t="s">
        <v>37</v>
      </c>
      <c r="D4177" s="15" t="s">
        <v>561</v>
      </c>
      <c r="E4177" s="15" t="n">
        <v>4</v>
      </c>
      <c r="H4177" s="10"/>
      <c r="I4177" s="21"/>
      <c r="M4177" s="10"/>
      <c r="N4177" s="10"/>
      <c r="P4177" s="10"/>
      <c r="Q4177" s="22"/>
    </row>
    <row r="4178" customFormat="false" ht="15.75" hidden="false" customHeight="false" outlineLevel="0" collapsed="false">
      <c r="A4178" s="20" t="n">
        <v>46135</v>
      </c>
      <c r="B4178" s="15" t="s">
        <v>19</v>
      </c>
      <c r="C4178" s="15" t="s">
        <v>555</v>
      </c>
      <c r="D4178" s="15" t="s">
        <v>556</v>
      </c>
      <c r="E4178" s="15" t="n">
        <v>4</v>
      </c>
      <c r="H4178" s="10"/>
      <c r="I4178" s="21"/>
      <c r="M4178" s="10"/>
      <c r="N4178" s="10"/>
      <c r="P4178" s="10"/>
      <c r="Q4178" s="22"/>
    </row>
    <row r="4179" customFormat="false" ht="15.75" hidden="false" customHeight="false" outlineLevel="0" collapsed="false">
      <c r="A4179" s="20" t="n">
        <v>46135</v>
      </c>
      <c r="B4179" s="15" t="s">
        <v>19</v>
      </c>
      <c r="C4179" s="15" t="s">
        <v>565</v>
      </c>
      <c r="D4179" s="15" t="s">
        <v>566</v>
      </c>
      <c r="E4179" s="15" t="n">
        <v>4</v>
      </c>
      <c r="H4179" s="10"/>
      <c r="I4179" s="21"/>
      <c r="M4179" s="10"/>
      <c r="N4179" s="10"/>
      <c r="P4179" s="10"/>
      <c r="Q4179" s="22"/>
    </row>
    <row r="4180" customFormat="false" ht="15.75" hidden="false" customHeight="false" outlineLevel="0" collapsed="false">
      <c r="A4180" s="20" t="n">
        <v>46135</v>
      </c>
      <c r="B4180" s="15" t="s">
        <v>19</v>
      </c>
      <c r="C4180" s="15" t="s">
        <v>567</v>
      </c>
      <c r="D4180" s="15" t="s">
        <v>568</v>
      </c>
      <c r="E4180" s="15" t="n">
        <v>4</v>
      </c>
      <c r="H4180" s="10"/>
      <c r="I4180" s="21"/>
      <c r="M4180" s="10"/>
      <c r="N4180" s="10"/>
      <c r="P4180" s="10"/>
      <c r="Q4180" s="22"/>
    </row>
    <row r="4181" customFormat="false" ht="15.75" hidden="false" customHeight="false" outlineLevel="0" collapsed="false">
      <c r="A4181" s="20" t="n">
        <v>46135</v>
      </c>
      <c r="B4181" s="15" t="s">
        <v>19</v>
      </c>
      <c r="C4181" s="15" t="s">
        <v>43</v>
      </c>
      <c r="D4181" s="15" t="s">
        <v>538</v>
      </c>
      <c r="E4181" s="15" t="n">
        <v>4</v>
      </c>
      <c r="H4181" s="10"/>
      <c r="I4181" s="21"/>
      <c r="M4181" s="10"/>
      <c r="N4181" s="10"/>
      <c r="P4181" s="10"/>
      <c r="Q4181" s="22"/>
    </row>
    <row r="4182" customFormat="false" ht="15.75" hidden="false" customHeight="false" outlineLevel="0" collapsed="false">
      <c r="A4182" s="20" t="n">
        <v>46135</v>
      </c>
      <c r="B4182" s="15" t="s">
        <v>19</v>
      </c>
      <c r="C4182" s="15" t="s">
        <v>81</v>
      </c>
      <c r="D4182" s="15" t="s">
        <v>534</v>
      </c>
      <c r="E4182" s="15" t="n">
        <v>9</v>
      </c>
      <c r="H4182" s="10"/>
      <c r="I4182" s="21"/>
      <c r="M4182" s="10"/>
      <c r="N4182" s="10"/>
      <c r="P4182" s="10"/>
      <c r="Q4182" s="22"/>
    </row>
    <row r="4183" customFormat="false" ht="15.75" hidden="false" customHeight="false" outlineLevel="0" collapsed="false">
      <c r="A4183" s="20" t="n">
        <v>46135</v>
      </c>
      <c r="B4183" s="15" t="s">
        <v>19</v>
      </c>
      <c r="C4183" s="15" t="s">
        <v>545</v>
      </c>
      <c r="D4183" s="15" t="s">
        <v>546</v>
      </c>
      <c r="E4183" s="15" t="n">
        <v>2</v>
      </c>
      <c r="H4183" s="10"/>
      <c r="I4183" s="21"/>
      <c r="M4183" s="10"/>
      <c r="N4183" s="10"/>
      <c r="P4183" s="10"/>
      <c r="Q4183" s="22"/>
    </row>
    <row r="4184" customFormat="false" ht="15.75" hidden="false" customHeight="false" outlineLevel="0" collapsed="false">
      <c r="A4184" s="20" t="n">
        <v>46135</v>
      </c>
      <c r="B4184" s="15" t="s">
        <v>19</v>
      </c>
      <c r="C4184" s="15" t="s">
        <v>67</v>
      </c>
      <c r="D4184" s="15" t="s">
        <v>569</v>
      </c>
      <c r="E4184" s="15" t="n">
        <v>2</v>
      </c>
      <c r="H4184" s="10"/>
      <c r="I4184" s="21"/>
      <c r="M4184" s="10"/>
      <c r="N4184" s="10"/>
      <c r="P4184" s="10"/>
      <c r="Q4184" s="22"/>
    </row>
    <row r="4185" customFormat="false" ht="15.75" hidden="false" customHeight="false" outlineLevel="0" collapsed="false">
      <c r="A4185" s="20" t="n">
        <v>46135</v>
      </c>
      <c r="B4185" s="15" t="s">
        <v>19</v>
      </c>
      <c r="C4185" s="15" t="s">
        <v>77</v>
      </c>
      <c r="D4185" s="15" t="s">
        <v>78</v>
      </c>
      <c r="E4185" s="15" t="n">
        <v>4</v>
      </c>
      <c r="H4185" s="10"/>
      <c r="I4185" s="21"/>
      <c r="M4185" s="10"/>
      <c r="N4185" s="10"/>
      <c r="P4185" s="10"/>
      <c r="Q4185" s="22"/>
    </row>
    <row r="4186" customFormat="false" ht="15.75" hidden="false" customHeight="false" outlineLevel="0" collapsed="false">
      <c r="A4186" s="20" t="n">
        <v>46135</v>
      </c>
      <c r="B4186" s="15" t="s">
        <v>19</v>
      </c>
      <c r="C4186" s="15" t="s">
        <v>33</v>
      </c>
      <c r="D4186" s="15" t="s">
        <v>536</v>
      </c>
      <c r="E4186" s="15" t="n">
        <v>10</v>
      </c>
      <c r="H4186" s="10"/>
      <c r="I4186" s="21"/>
      <c r="M4186" s="10"/>
      <c r="N4186" s="10"/>
      <c r="P4186" s="10"/>
      <c r="Q4186" s="22"/>
    </row>
    <row r="4187" customFormat="false" ht="15.75" hidden="false" customHeight="false" outlineLevel="0" collapsed="false">
      <c r="A4187" s="20" t="n">
        <v>46135</v>
      </c>
      <c r="B4187" s="15" t="s">
        <v>19</v>
      </c>
      <c r="C4187" s="15" t="s">
        <v>59</v>
      </c>
      <c r="D4187" s="15" t="s">
        <v>562</v>
      </c>
      <c r="E4187" s="15" t="n">
        <v>10</v>
      </c>
      <c r="H4187" s="10"/>
      <c r="I4187" s="21"/>
      <c r="M4187" s="10"/>
      <c r="N4187" s="10"/>
      <c r="P4187" s="10"/>
      <c r="Q4187" s="22"/>
    </row>
    <row r="4188" customFormat="false" ht="15.75" hidden="false" customHeight="false" outlineLevel="0" collapsed="false">
      <c r="A4188" s="20" t="n">
        <v>46135</v>
      </c>
      <c r="B4188" s="15" t="s">
        <v>19</v>
      </c>
      <c r="C4188" s="15" t="s">
        <v>19</v>
      </c>
      <c r="D4188" s="15" t="s">
        <v>19</v>
      </c>
      <c r="E4188" s="15" t="n">
        <v>2</v>
      </c>
      <c r="H4188" s="10"/>
      <c r="I4188" s="21"/>
      <c r="M4188" s="10"/>
      <c r="N4188" s="10"/>
      <c r="P4188" s="10"/>
      <c r="Q4188" s="22"/>
    </row>
    <row r="4189" customFormat="false" ht="15.75" hidden="false" customHeight="false" outlineLevel="0" collapsed="false">
      <c r="A4189" s="20" t="n">
        <v>46135</v>
      </c>
      <c r="B4189" s="15" t="s">
        <v>19</v>
      </c>
      <c r="C4189" s="15" t="s">
        <v>570</v>
      </c>
      <c r="D4189" s="15" t="s">
        <v>571</v>
      </c>
      <c r="E4189" s="15" t="n">
        <v>2</v>
      </c>
      <c r="H4189" s="10"/>
      <c r="I4189" s="21"/>
      <c r="M4189" s="10"/>
      <c r="N4189" s="10"/>
      <c r="P4189" s="10"/>
      <c r="Q4189" s="22"/>
    </row>
    <row r="4190" customFormat="false" ht="15.75" hidden="false" customHeight="false" outlineLevel="0" collapsed="false">
      <c r="A4190" s="20" t="n">
        <v>46135</v>
      </c>
      <c r="B4190" s="15" t="s">
        <v>19</v>
      </c>
      <c r="C4190" s="15" t="s">
        <v>11</v>
      </c>
      <c r="D4190" s="15" t="s">
        <v>572</v>
      </c>
      <c r="E4190" s="15" t="n">
        <v>2</v>
      </c>
      <c r="H4190" s="10"/>
      <c r="I4190" s="21"/>
      <c r="M4190" s="10"/>
      <c r="N4190" s="10"/>
      <c r="P4190" s="10"/>
      <c r="Q4190" s="22"/>
    </row>
    <row r="4191" customFormat="false" ht="15.75" hidden="false" customHeight="false" outlineLevel="0" collapsed="false">
      <c r="A4191" s="20" t="n">
        <v>46135</v>
      </c>
      <c r="B4191" s="15" t="s">
        <v>467</v>
      </c>
      <c r="C4191" s="15" t="s">
        <v>55</v>
      </c>
      <c r="D4191" s="15" t="s">
        <v>539</v>
      </c>
      <c r="E4191" s="15" t="n">
        <v>6</v>
      </c>
      <c r="H4191" s="10"/>
      <c r="I4191" s="21"/>
      <c r="M4191" s="10"/>
      <c r="N4191" s="10"/>
      <c r="P4191" s="10"/>
      <c r="Q4191" s="22"/>
    </row>
    <row r="4192" customFormat="false" ht="15.75" hidden="false" customHeight="false" outlineLevel="0" collapsed="false">
      <c r="A4192" s="20" t="n">
        <v>46135</v>
      </c>
      <c r="B4192" s="15" t="s">
        <v>467</v>
      </c>
      <c r="C4192" s="15" t="s">
        <v>57</v>
      </c>
      <c r="D4192" s="15" t="s">
        <v>553</v>
      </c>
      <c r="E4192" s="15" t="n">
        <v>2</v>
      </c>
      <c r="H4192" s="10"/>
      <c r="I4192" s="21"/>
      <c r="M4192" s="10"/>
      <c r="N4192" s="10"/>
      <c r="P4192" s="10"/>
      <c r="Q4192" s="22"/>
    </row>
    <row r="4193" customFormat="false" ht="15.75" hidden="false" customHeight="false" outlineLevel="0" collapsed="false">
      <c r="A4193" s="20" t="n">
        <v>46135</v>
      </c>
      <c r="B4193" s="15" t="s">
        <v>467</v>
      </c>
      <c r="C4193" s="15" t="s">
        <v>47</v>
      </c>
      <c r="D4193" s="15" t="s">
        <v>549</v>
      </c>
      <c r="E4193" s="15" t="n">
        <v>2</v>
      </c>
      <c r="H4193" s="10"/>
      <c r="I4193" s="21"/>
      <c r="M4193" s="10"/>
      <c r="N4193" s="10"/>
      <c r="P4193" s="10"/>
      <c r="Q4193" s="22"/>
    </row>
    <row r="4194" customFormat="false" ht="15.75" hidden="false" customHeight="false" outlineLevel="0" collapsed="false">
      <c r="A4194" s="20" t="n">
        <v>46135</v>
      </c>
      <c r="B4194" s="15" t="s">
        <v>467</v>
      </c>
      <c r="C4194" s="15" t="s">
        <v>81</v>
      </c>
      <c r="D4194" s="15" t="s">
        <v>534</v>
      </c>
      <c r="E4194" s="15" t="n">
        <v>7</v>
      </c>
      <c r="H4194" s="10"/>
      <c r="I4194" s="21"/>
      <c r="M4194" s="10"/>
      <c r="N4194" s="10"/>
      <c r="P4194" s="10"/>
      <c r="Q4194" s="22"/>
    </row>
    <row r="4195" customFormat="false" ht="15.75" hidden="false" customHeight="false" outlineLevel="0" collapsed="false">
      <c r="A4195" s="20" t="n">
        <v>46135</v>
      </c>
      <c r="B4195" s="15" t="s">
        <v>467</v>
      </c>
      <c r="C4195" s="15" t="s">
        <v>49</v>
      </c>
      <c r="D4195" s="15" t="s">
        <v>537</v>
      </c>
      <c r="E4195" s="15" t="n">
        <v>2</v>
      </c>
      <c r="H4195" s="10"/>
      <c r="I4195" s="21"/>
      <c r="M4195" s="10"/>
      <c r="N4195" s="10"/>
      <c r="P4195" s="10"/>
      <c r="Q4195" s="22"/>
    </row>
    <row r="4196" customFormat="false" ht="15.75" hidden="false" customHeight="false" outlineLevel="0" collapsed="false">
      <c r="A4196" s="20" t="n">
        <v>46135</v>
      </c>
      <c r="B4196" s="15" t="s">
        <v>467</v>
      </c>
      <c r="C4196" s="15" t="s">
        <v>63</v>
      </c>
      <c r="D4196" s="15" t="s">
        <v>551</v>
      </c>
      <c r="E4196" s="15" t="n">
        <v>1</v>
      </c>
      <c r="H4196" s="10"/>
      <c r="I4196" s="21"/>
      <c r="M4196" s="10"/>
      <c r="N4196" s="10"/>
      <c r="P4196" s="10"/>
      <c r="Q4196" s="22"/>
    </row>
    <row r="4197" customFormat="false" ht="15.75" hidden="false" customHeight="false" outlineLevel="0" collapsed="false">
      <c r="A4197" s="20" t="n">
        <v>46135</v>
      </c>
      <c r="B4197" s="15" t="s">
        <v>469</v>
      </c>
      <c r="C4197" s="15" t="s">
        <v>69</v>
      </c>
      <c r="D4197" s="15" t="s">
        <v>535</v>
      </c>
      <c r="E4197" s="15" t="n">
        <v>5</v>
      </c>
      <c r="H4197" s="10"/>
      <c r="I4197" s="21"/>
      <c r="M4197" s="10"/>
      <c r="N4197" s="10"/>
      <c r="P4197" s="10"/>
      <c r="Q4197" s="22"/>
    </row>
    <row r="4198" customFormat="false" ht="15.75" hidden="false" customHeight="false" outlineLevel="0" collapsed="false">
      <c r="A4198" s="20" t="n">
        <v>46135</v>
      </c>
      <c r="B4198" s="15" t="s">
        <v>469</v>
      </c>
      <c r="C4198" s="15" t="s">
        <v>55</v>
      </c>
      <c r="D4198" s="15" t="s">
        <v>539</v>
      </c>
      <c r="E4198" s="15" t="n">
        <v>2</v>
      </c>
      <c r="H4198" s="10"/>
      <c r="I4198" s="21"/>
      <c r="M4198" s="10"/>
      <c r="N4198" s="10"/>
      <c r="P4198" s="10"/>
      <c r="Q4198" s="22"/>
    </row>
    <row r="4199" customFormat="false" ht="15.75" hidden="false" customHeight="false" outlineLevel="0" collapsed="false">
      <c r="A4199" s="20" t="n">
        <v>46135</v>
      </c>
      <c r="B4199" s="15" t="s">
        <v>469</v>
      </c>
      <c r="C4199" s="15" t="s">
        <v>33</v>
      </c>
      <c r="D4199" s="15" t="s">
        <v>536</v>
      </c>
      <c r="E4199" s="15" t="n">
        <v>5</v>
      </c>
      <c r="H4199" s="10"/>
      <c r="I4199" s="21"/>
      <c r="M4199" s="10"/>
      <c r="N4199" s="10"/>
      <c r="P4199" s="10"/>
      <c r="Q4199" s="22"/>
    </row>
    <row r="4200" customFormat="false" ht="15.75" hidden="false" customHeight="false" outlineLevel="0" collapsed="false">
      <c r="A4200" s="20" t="n">
        <v>46135</v>
      </c>
      <c r="B4200" s="15" t="s">
        <v>469</v>
      </c>
      <c r="C4200" s="15" t="s">
        <v>547</v>
      </c>
      <c r="D4200" s="15" t="s">
        <v>548</v>
      </c>
      <c r="E4200" s="15" t="n">
        <v>1</v>
      </c>
      <c r="H4200" s="10"/>
      <c r="I4200" s="21"/>
      <c r="M4200" s="10"/>
      <c r="N4200" s="10"/>
      <c r="P4200" s="10"/>
      <c r="Q4200" s="22"/>
    </row>
    <row r="4201" customFormat="false" ht="15.75" hidden="false" customHeight="false" outlineLevel="0" collapsed="false">
      <c r="A4201" s="20" t="n">
        <v>46135</v>
      </c>
      <c r="B4201" s="15" t="s">
        <v>469</v>
      </c>
      <c r="C4201" s="15" t="s">
        <v>81</v>
      </c>
      <c r="D4201" s="15" t="s">
        <v>534</v>
      </c>
      <c r="E4201" s="15" t="n">
        <v>2</v>
      </c>
      <c r="H4201" s="10"/>
      <c r="I4201" s="21"/>
      <c r="M4201" s="10"/>
      <c r="N4201" s="10"/>
      <c r="P4201" s="10"/>
      <c r="Q4201" s="22"/>
    </row>
    <row r="4202" customFormat="false" ht="15.75" hidden="false" customHeight="false" outlineLevel="0" collapsed="false">
      <c r="A4202" s="20" t="n">
        <v>46135</v>
      </c>
      <c r="B4202" s="15" t="s">
        <v>472</v>
      </c>
      <c r="C4202" s="15" t="s">
        <v>555</v>
      </c>
      <c r="D4202" s="15" t="s">
        <v>556</v>
      </c>
      <c r="E4202" s="15" t="n">
        <v>3</v>
      </c>
      <c r="H4202" s="10"/>
      <c r="I4202" s="21"/>
      <c r="M4202" s="10"/>
      <c r="N4202" s="10"/>
      <c r="P4202" s="10"/>
      <c r="Q4202" s="22"/>
    </row>
    <row r="4203" customFormat="false" ht="15.75" hidden="false" customHeight="false" outlineLevel="0" collapsed="false">
      <c r="A4203" s="20" t="n">
        <v>46135</v>
      </c>
      <c r="B4203" s="15" t="s">
        <v>472</v>
      </c>
      <c r="C4203" s="15" t="s">
        <v>11</v>
      </c>
      <c r="D4203" s="15" t="s">
        <v>572</v>
      </c>
      <c r="E4203" s="15" t="n">
        <v>3</v>
      </c>
      <c r="H4203" s="10"/>
      <c r="I4203" s="21"/>
      <c r="M4203" s="10"/>
      <c r="N4203" s="10"/>
      <c r="P4203" s="10"/>
      <c r="Q4203" s="22"/>
    </row>
    <row r="4204" customFormat="false" ht="15.75" hidden="false" customHeight="false" outlineLevel="0" collapsed="false">
      <c r="A4204" s="20" t="n">
        <v>46135</v>
      </c>
      <c r="B4204" s="15" t="s">
        <v>472</v>
      </c>
      <c r="C4204" s="15" t="s">
        <v>69</v>
      </c>
      <c r="D4204" s="15" t="s">
        <v>535</v>
      </c>
      <c r="E4204" s="15" t="n">
        <v>3</v>
      </c>
      <c r="H4204" s="10"/>
      <c r="I4204" s="21"/>
      <c r="M4204" s="10"/>
      <c r="N4204" s="10"/>
      <c r="P4204" s="10"/>
      <c r="Q4204" s="22"/>
    </row>
    <row r="4205" customFormat="false" ht="15.75" hidden="false" customHeight="false" outlineLevel="0" collapsed="false">
      <c r="A4205" s="20" t="n">
        <v>46135</v>
      </c>
      <c r="B4205" s="15" t="s">
        <v>472</v>
      </c>
      <c r="C4205" s="15" t="s">
        <v>25</v>
      </c>
      <c r="D4205" s="15" t="s">
        <v>26</v>
      </c>
      <c r="E4205" s="15" t="n">
        <v>3</v>
      </c>
      <c r="H4205" s="10"/>
      <c r="I4205" s="21"/>
      <c r="M4205" s="10"/>
      <c r="N4205" s="10"/>
      <c r="P4205" s="10"/>
      <c r="Q4205" s="22"/>
    </row>
    <row r="4206" customFormat="false" ht="15.75" hidden="false" customHeight="false" outlineLevel="0" collapsed="false">
      <c r="A4206" s="20" t="n">
        <v>46135</v>
      </c>
      <c r="B4206" s="15" t="s">
        <v>479</v>
      </c>
      <c r="C4206" s="15" t="s">
        <v>69</v>
      </c>
      <c r="D4206" s="15" t="s">
        <v>535</v>
      </c>
      <c r="E4206" s="15" t="n">
        <v>2</v>
      </c>
      <c r="H4206" s="10"/>
      <c r="I4206" s="21"/>
      <c r="M4206" s="10"/>
      <c r="N4206" s="10"/>
      <c r="P4206" s="10"/>
      <c r="Q4206" s="22"/>
    </row>
    <row r="4207" customFormat="false" ht="15.75" hidden="false" customHeight="false" outlineLevel="0" collapsed="false">
      <c r="A4207" s="20" t="n">
        <v>46135</v>
      </c>
      <c r="B4207" s="15" t="s">
        <v>479</v>
      </c>
      <c r="C4207" s="15" t="s">
        <v>547</v>
      </c>
      <c r="D4207" s="15" t="s">
        <v>548</v>
      </c>
      <c r="E4207" s="15" t="n">
        <v>2</v>
      </c>
      <c r="H4207" s="10"/>
      <c r="I4207" s="21"/>
      <c r="M4207" s="10"/>
      <c r="N4207" s="10"/>
      <c r="P4207" s="10"/>
      <c r="Q4207" s="22"/>
    </row>
    <row r="4208" customFormat="false" ht="15.75" hidden="false" customHeight="false" outlineLevel="0" collapsed="false">
      <c r="A4208" s="20" t="n">
        <v>46135</v>
      </c>
      <c r="B4208" s="15" t="s">
        <v>486</v>
      </c>
      <c r="C4208" s="15" t="s">
        <v>55</v>
      </c>
      <c r="D4208" s="15" t="s">
        <v>539</v>
      </c>
      <c r="E4208" s="15" t="n">
        <v>1</v>
      </c>
      <c r="H4208" s="10"/>
      <c r="I4208" s="21"/>
      <c r="M4208" s="10"/>
      <c r="N4208" s="10"/>
      <c r="P4208" s="10"/>
      <c r="Q4208" s="22"/>
    </row>
    <row r="4209" customFormat="false" ht="15.75" hidden="false" customHeight="false" outlineLevel="0" collapsed="false">
      <c r="A4209" s="20" t="n">
        <v>46135</v>
      </c>
      <c r="B4209" s="15" t="s">
        <v>486</v>
      </c>
      <c r="C4209" s="15" t="s">
        <v>81</v>
      </c>
      <c r="D4209" s="15" t="s">
        <v>534</v>
      </c>
      <c r="E4209" s="15" t="n">
        <v>4</v>
      </c>
      <c r="H4209" s="10"/>
      <c r="I4209" s="21"/>
      <c r="M4209" s="10"/>
      <c r="N4209" s="10"/>
      <c r="P4209" s="10"/>
      <c r="Q4209" s="22"/>
    </row>
    <row r="4210" customFormat="false" ht="15.75" hidden="false" customHeight="false" outlineLevel="0" collapsed="false">
      <c r="A4210" s="20" t="n">
        <v>46135</v>
      </c>
      <c r="B4210" s="15" t="s">
        <v>486</v>
      </c>
      <c r="C4210" s="15" t="s">
        <v>69</v>
      </c>
      <c r="D4210" s="15" t="s">
        <v>535</v>
      </c>
      <c r="E4210" s="15" t="n">
        <v>5</v>
      </c>
      <c r="H4210" s="10"/>
      <c r="I4210" s="21"/>
      <c r="M4210" s="10"/>
      <c r="N4210" s="10"/>
      <c r="P4210" s="10"/>
      <c r="Q4210" s="22"/>
    </row>
    <row r="4211" customFormat="false" ht="15.75" hidden="false" customHeight="false" outlineLevel="0" collapsed="false">
      <c r="A4211" s="20" t="n">
        <v>46135</v>
      </c>
      <c r="B4211" s="15" t="s">
        <v>486</v>
      </c>
      <c r="C4211" s="15" t="s">
        <v>25</v>
      </c>
      <c r="D4211" s="15" t="s">
        <v>26</v>
      </c>
      <c r="E4211" s="15" t="n">
        <v>1</v>
      </c>
      <c r="H4211" s="10"/>
      <c r="I4211" s="21"/>
      <c r="M4211" s="10"/>
      <c r="N4211" s="10"/>
      <c r="P4211" s="10"/>
      <c r="Q4211" s="22"/>
    </row>
    <row r="4212" customFormat="false" ht="15.75" hidden="false" customHeight="false" outlineLevel="0" collapsed="false">
      <c r="A4212" s="20" t="n">
        <v>46135</v>
      </c>
      <c r="B4212" s="15" t="s">
        <v>486</v>
      </c>
      <c r="C4212" s="15" t="s">
        <v>11</v>
      </c>
      <c r="D4212" s="15" t="s">
        <v>572</v>
      </c>
      <c r="E4212" s="15" t="n">
        <v>1</v>
      </c>
      <c r="H4212" s="10"/>
      <c r="I4212" s="21"/>
      <c r="M4212" s="10"/>
      <c r="N4212" s="10"/>
      <c r="P4212" s="10"/>
      <c r="Q4212" s="22"/>
    </row>
    <row r="4213" customFormat="false" ht="15.75" hidden="false" customHeight="false" outlineLevel="0" collapsed="false">
      <c r="A4213" s="20" t="n">
        <v>46135</v>
      </c>
      <c r="B4213" s="15" t="s">
        <v>486</v>
      </c>
      <c r="C4213" s="15" t="s">
        <v>555</v>
      </c>
      <c r="D4213" s="15" t="s">
        <v>556</v>
      </c>
      <c r="E4213" s="15" t="n">
        <v>1</v>
      </c>
      <c r="H4213" s="10"/>
      <c r="I4213" s="21"/>
      <c r="M4213" s="10"/>
      <c r="N4213" s="10"/>
      <c r="P4213" s="10"/>
      <c r="Q4213" s="22"/>
    </row>
    <row r="4214" customFormat="false" ht="15.75" hidden="false" customHeight="false" outlineLevel="0" collapsed="false">
      <c r="A4214" s="20" t="n">
        <v>46135</v>
      </c>
      <c r="B4214" s="15" t="s">
        <v>486</v>
      </c>
      <c r="C4214" s="15" t="s">
        <v>543</v>
      </c>
      <c r="D4214" s="15" t="s">
        <v>544</v>
      </c>
      <c r="E4214" s="15" t="n">
        <v>2</v>
      </c>
      <c r="H4214" s="10"/>
      <c r="I4214" s="21"/>
      <c r="M4214" s="10"/>
      <c r="N4214" s="10"/>
      <c r="P4214" s="10"/>
      <c r="Q4214" s="22"/>
    </row>
    <row r="4215" customFormat="false" ht="15.75" hidden="false" customHeight="false" outlineLevel="0" collapsed="false">
      <c r="A4215" s="20" t="n">
        <v>46135</v>
      </c>
      <c r="B4215" s="15" t="s">
        <v>486</v>
      </c>
      <c r="C4215" s="15" t="s">
        <v>545</v>
      </c>
      <c r="D4215" s="15" t="s">
        <v>546</v>
      </c>
      <c r="E4215" s="15" t="n">
        <v>1</v>
      </c>
      <c r="H4215" s="10"/>
      <c r="I4215" s="21"/>
      <c r="M4215" s="10"/>
      <c r="N4215" s="10"/>
      <c r="P4215" s="10"/>
      <c r="Q4215" s="22"/>
    </row>
    <row r="4216" customFormat="false" ht="15.75" hidden="false" customHeight="false" outlineLevel="0" collapsed="false">
      <c r="A4216" s="20" t="n">
        <v>46135</v>
      </c>
      <c r="B4216" s="15" t="s">
        <v>486</v>
      </c>
      <c r="C4216" s="15" t="s">
        <v>77</v>
      </c>
      <c r="D4216" s="15" t="s">
        <v>78</v>
      </c>
      <c r="E4216" s="15" t="n">
        <v>2</v>
      </c>
      <c r="H4216" s="10"/>
      <c r="I4216" s="21"/>
      <c r="M4216" s="10"/>
      <c r="N4216" s="10"/>
      <c r="P4216" s="10"/>
      <c r="Q4216" s="22"/>
    </row>
    <row r="4217" customFormat="false" ht="15.75" hidden="false" customHeight="false" outlineLevel="0" collapsed="false">
      <c r="A4217" s="20" t="n">
        <v>46135</v>
      </c>
      <c r="B4217" s="15" t="s">
        <v>486</v>
      </c>
      <c r="C4217" s="15" t="s">
        <v>33</v>
      </c>
      <c r="D4217" s="15" t="s">
        <v>536</v>
      </c>
      <c r="E4217" s="15" t="n">
        <v>4</v>
      </c>
      <c r="H4217" s="10"/>
      <c r="I4217" s="21"/>
      <c r="M4217" s="10"/>
      <c r="N4217" s="10"/>
      <c r="P4217" s="10"/>
      <c r="Q4217" s="22"/>
    </row>
    <row r="4218" customFormat="false" ht="15.75" hidden="false" customHeight="false" outlineLevel="0" collapsed="false">
      <c r="A4218" s="20" t="n">
        <v>46135</v>
      </c>
      <c r="B4218" s="15" t="s">
        <v>486</v>
      </c>
      <c r="C4218" s="15" t="s">
        <v>578</v>
      </c>
      <c r="D4218" s="15" t="s">
        <v>579</v>
      </c>
      <c r="E4218" s="15" t="n">
        <v>1</v>
      </c>
      <c r="H4218" s="10"/>
      <c r="I4218" s="21"/>
      <c r="M4218" s="10"/>
      <c r="N4218" s="10"/>
      <c r="P4218" s="10"/>
      <c r="Q4218" s="22"/>
    </row>
    <row r="4219" customFormat="false" ht="15.75" hidden="false" customHeight="false" outlineLevel="0" collapsed="false">
      <c r="A4219" s="20" t="n">
        <v>46135</v>
      </c>
      <c r="B4219" s="15" t="s">
        <v>486</v>
      </c>
      <c r="C4219" s="15" t="s">
        <v>59</v>
      </c>
      <c r="D4219" s="15" t="s">
        <v>562</v>
      </c>
      <c r="E4219" s="15" t="n">
        <v>1</v>
      </c>
      <c r="H4219" s="10"/>
      <c r="I4219" s="21"/>
      <c r="M4219" s="10"/>
      <c r="N4219" s="10"/>
      <c r="P4219" s="10"/>
      <c r="Q4219" s="22"/>
    </row>
    <row r="4220" customFormat="false" ht="15.75" hidden="false" customHeight="false" outlineLevel="0" collapsed="false">
      <c r="A4220" s="20" t="n">
        <v>46135</v>
      </c>
      <c r="B4220" s="15" t="s">
        <v>486</v>
      </c>
      <c r="C4220" s="15" t="s">
        <v>79</v>
      </c>
      <c r="D4220" s="15" t="s">
        <v>564</v>
      </c>
      <c r="E4220" s="15" t="n">
        <v>2</v>
      </c>
      <c r="H4220" s="10"/>
      <c r="I4220" s="21"/>
      <c r="M4220" s="10"/>
      <c r="N4220" s="10"/>
      <c r="P4220" s="10"/>
      <c r="Q4220" s="22"/>
    </row>
    <row r="4221" customFormat="false" ht="15.75" hidden="false" customHeight="false" outlineLevel="0" collapsed="false">
      <c r="A4221" s="20" t="n">
        <v>46135</v>
      </c>
      <c r="B4221" s="15" t="s">
        <v>500</v>
      </c>
      <c r="C4221" s="15" t="s">
        <v>81</v>
      </c>
      <c r="D4221" s="15" t="s">
        <v>534</v>
      </c>
      <c r="E4221" s="15" t="n">
        <v>7</v>
      </c>
      <c r="H4221" s="10"/>
      <c r="I4221" s="21"/>
      <c r="M4221" s="10"/>
      <c r="N4221" s="10"/>
      <c r="P4221" s="10"/>
      <c r="Q4221" s="22"/>
    </row>
    <row r="4222" customFormat="false" ht="15.75" hidden="false" customHeight="false" outlineLevel="0" collapsed="false">
      <c r="A4222" s="20" t="n">
        <v>46135</v>
      </c>
      <c r="B4222" s="15" t="s">
        <v>500</v>
      </c>
      <c r="C4222" s="15" t="s">
        <v>543</v>
      </c>
      <c r="D4222" s="15" t="s">
        <v>544</v>
      </c>
      <c r="E4222" s="15" t="n">
        <v>1</v>
      </c>
      <c r="H4222" s="10"/>
      <c r="I4222" s="21"/>
      <c r="M4222" s="10"/>
      <c r="N4222" s="10"/>
      <c r="P4222" s="10"/>
      <c r="Q4222" s="22"/>
    </row>
    <row r="4223" customFormat="false" ht="15.75" hidden="false" customHeight="false" outlineLevel="0" collapsed="false">
      <c r="A4223" s="20" t="n">
        <v>46135</v>
      </c>
      <c r="B4223" s="15" t="s">
        <v>500</v>
      </c>
      <c r="C4223" s="15" t="s">
        <v>55</v>
      </c>
      <c r="D4223" s="15" t="s">
        <v>539</v>
      </c>
      <c r="E4223" s="15" t="n">
        <v>1</v>
      </c>
      <c r="H4223" s="10"/>
      <c r="I4223" s="21"/>
      <c r="M4223" s="10"/>
      <c r="N4223" s="10"/>
      <c r="P4223" s="10"/>
      <c r="Q4223" s="22"/>
    </row>
    <row r="4224" customFormat="false" ht="15.75" hidden="false" customHeight="false" outlineLevel="0" collapsed="false">
      <c r="A4224" s="20" t="n">
        <v>46135</v>
      </c>
      <c r="B4224" s="15" t="s">
        <v>500</v>
      </c>
      <c r="C4224" s="15" t="s">
        <v>59</v>
      </c>
      <c r="D4224" s="15" t="s">
        <v>562</v>
      </c>
      <c r="E4224" s="15" t="n">
        <v>1</v>
      </c>
      <c r="H4224" s="10"/>
      <c r="I4224" s="21"/>
      <c r="M4224" s="10"/>
      <c r="N4224" s="10"/>
      <c r="P4224" s="10"/>
      <c r="Q4224" s="22"/>
    </row>
    <row r="4225" customFormat="false" ht="15.75" hidden="false" customHeight="false" outlineLevel="0" collapsed="false">
      <c r="A4225" s="20" t="n">
        <v>46135</v>
      </c>
      <c r="B4225" s="15" t="s">
        <v>500</v>
      </c>
      <c r="C4225" s="15" t="s">
        <v>47</v>
      </c>
      <c r="D4225" s="15" t="s">
        <v>549</v>
      </c>
      <c r="E4225" s="15" t="n">
        <v>1</v>
      </c>
      <c r="H4225" s="10"/>
      <c r="I4225" s="21"/>
      <c r="M4225" s="10"/>
      <c r="N4225" s="10"/>
      <c r="P4225" s="10"/>
      <c r="Q4225" s="22"/>
    </row>
    <row r="4226" customFormat="false" ht="15.75" hidden="false" customHeight="false" outlineLevel="0" collapsed="false">
      <c r="A4226" s="20" t="n">
        <v>46135</v>
      </c>
      <c r="B4226" s="15" t="s">
        <v>500</v>
      </c>
      <c r="C4226" s="15" t="s">
        <v>69</v>
      </c>
      <c r="D4226" s="15" t="s">
        <v>535</v>
      </c>
      <c r="E4226" s="15" t="n">
        <v>1</v>
      </c>
      <c r="H4226" s="10"/>
      <c r="I4226" s="21"/>
      <c r="M4226" s="10"/>
      <c r="N4226" s="10"/>
      <c r="P4226" s="10"/>
      <c r="Q4226" s="22"/>
    </row>
    <row r="4227" customFormat="false" ht="15.75" hidden="false" customHeight="false" outlineLevel="0" collapsed="false">
      <c r="A4227" s="20" t="n">
        <v>46135</v>
      </c>
      <c r="B4227" s="15" t="s">
        <v>500</v>
      </c>
      <c r="C4227" s="15" t="s">
        <v>33</v>
      </c>
      <c r="D4227" s="15" t="s">
        <v>536</v>
      </c>
      <c r="E4227" s="15" t="n">
        <v>2</v>
      </c>
      <c r="H4227" s="10"/>
      <c r="I4227" s="21"/>
      <c r="M4227" s="10"/>
      <c r="N4227" s="10"/>
      <c r="P4227" s="10"/>
      <c r="Q4227" s="22"/>
    </row>
    <row r="4228" customFormat="false" ht="15.75" hidden="false" customHeight="false" outlineLevel="0" collapsed="false">
      <c r="A4228" s="20" t="n">
        <v>46135</v>
      </c>
      <c r="B4228" s="15" t="s">
        <v>500</v>
      </c>
      <c r="C4228" s="15" t="s">
        <v>77</v>
      </c>
      <c r="D4228" s="15" t="s">
        <v>78</v>
      </c>
      <c r="E4228" s="15" t="n">
        <v>2</v>
      </c>
      <c r="H4228" s="10"/>
      <c r="I4228" s="21"/>
      <c r="M4228" s="10"/>
      <c r="N4228" s="10"/>
      <c r="P4228" s="10"/>
      <c r="Q4228" s="22"/>
    </row>
    <row r="4229" customFormat="false" ht="15.75" hidden="false" customHeight="false" outlineLevel="0" collapsed="false">
      <c r="A4229" s="20" t="n">
        <v>46135</v>
      </c>
      <c r="B4229" s="15" t="s">
        <v>500</v>
      </c>
      <c r="C4229" s="15" t="s">
        <v>75</v>
      </c>
      <c r="D4229" s="15" t="s">
        <v>560</v>
      </c>
      <c r="E4229" s="15" t="n">
        <v>1</v>
      </c>
      <c r="H4229" s="10"/>
      <c r="I4229" s="21"/>
      <c r="M4229" s="10"/>
      <c r="N4229" s="10"/>
      <c r="P4229" s="10"/>
      <c r="Q4229" s="22"/>
    </row>
    <row r="4230" customFormat="false" ht="15.75" hidden="false" customHeight="false" outlineLevel="0" collapsed="false">
      <c r="A4230" s="20" t="n">
        <v>46135</v>
      </c>
      <c r="B4230" s="15" t="s">
        <v>504</v>
      </c>
      <c r="C4230" s="15" t="s">
        <v>47</v>
      </c>
      <c r="D4230" s="15" t="s">
        <v>549</v>
      </c>
      <c r="E4230" s="15" t="n">
        <v>6</v>
      </c>
      <c r="H4230" s="10"/>
      <c r="I4230" s="21"/>
      <c r="M4230" s="10"/>
      <c r="N4230" s="10"/>
      <c r="P4230" s="10"/>
      <c r="Q4230" s="22"/>
    </row>
    <row r="4231" customFormat="false" ht="15.75" hidden="false" customHeight="false" outlineLevel="0" collapsed="false">
      <c r="A4231" s="20" t="n">
        <v>46135</v>
      </c>
      <c r="B4231" s="15" t="s">
        <v>504</v>
      </c>
      <c r="C4231" s="15" t="s">
        <v>55</v>
      </c>
      <c r="D4231" s="15" t="s">
        <v>539</v>
      </c>
      <c r="E4231" s="15" t="n">
        <v>12</v>
      </c>
      <c r="H4231" s="10"/>
      <c r="I4231" s="21"/>
      <c r="M4231" s="10"/>
      <c r="N4231" s="10"/>
      <c r="P4231" s="10"/>
      <c r="Q4231" s="22"/>
    </row>
    <row r="4232" customFormat="false" ht="15.75" hidden="false" customHeight="false" outlineLevel="0" collapsed="false">
      <c r="A4232" s="20" t="n">
        <v>46135</v>
      </c>
      <c r="B4232" s="15" t="s">
        <v>504</v>
      </c>
      <c r="C4232" s="15" t="s">
        <v>81</v>
      </c>
      <c r="D4232" s="15" t="s">
        <v>534</v>
      </c>
      <c r="E4232" s="15" t="n">
        <v>18</v>
      </c>
      <c r="H4232" s="10"/>
      <c r="I4232" s="21"/>
      <c r="M4232" s="10"/>
      <c r="N4232" s="10"/>
      <c r="P4232" s="10"/>
      <c r="Q4232" s="22"/>
    </row>
    <row r="4233" customFormat="false" ht="15.75" hidden="false" customHeight="false" outlineLevel="0" collapsed="false">
      <c r="A4233" s="20" t="n">
        <v>46135</v>
      </c>
      <c r="B4233" s="15" t="s">
        <v>504</v>
      </c>
      <c r="C4233" s="15" t="s">
        <v>39</v>
      </c>
      <c r="D4233" s="15" t="s">
        <v>550</v>
      </c>
      <c r="E4233" s="15" t="n">
        <v>2</v>
      </c>
      <c r="H4233" s="10"/>
      <c r="I4233" s="21"/>
      <c r="M4233" s="10"/>
      <c r="N4233" s="10"/>
      <c r="P4233" s="10"/>
      <c r="Q4233" s="22"/>
    </row>
    <row r="4234" customFormat="false" ht="15.75" hidden="false" customHeight="false" outlineLevel="0" collapsed="false">
      <c r="A4234" s="20" t="n">
        <v>46135</v>
      </c>
      <c r="B4234" s="15" t="s">
        <v>504</v>
      </c>
      <c r="C4234" s="15" t="s">
        <v>63</v>
      </c>
      <c r="D4234" s="15" t="s">
        <v>551</v>
      </c>
      <c r="E4234" s="15" t="n">
        <v>2</v>
      </c>
      <c r="H4234" s="10"/>
      <c r="I4234" s="21"/>
      <c r="M4234" s="10"/>
      <c r="N4234" s="10"/>
      <c r="P4234" s="10"/>
      <c r="Q4234" s="22"/>
    </row>
    <row r="4235" customFormat="false" ht="15.75" hidden="false" customHeight="false" outlineLevel="0" collapsed="false">
      <c r="A4235" s="20" t="n">
        <v>46135</v>
      </c>
      <c r="B4235" s="15" t="s">
        <v>504</v>
      </c>
      <c r="C4235" s="15" t="s">
        <v>17</v>
      </c>
      <c r="D4235" s="15" t="s">
        <v>554</v>
      </c>
      <c r="E4235" s="15" t="n">
        <v>2</v>
      </c>
      <c r="H4235" s="10"/>
      <c r="I4235" s="21"/>
      <c r="M4235" s="10"/>
      <c r="N4235" s="10"/>
      <c r="P4235" s="10"/>
      <c r="Q4235" s="22"/>
    </row>
    <row r="4236" customFormat="false" ht="15.75" hidden="false" customHeight="false" outlineLevel="0" collapsed="false">
      <c r="A4236" s="20" t="n">
        <v>46135</v>
      </c>
      <c r="B4236" s="15" t="s">
        <v>508</v>
      </c>
      <c r="C4236" s="15" t="s">
        <v>55</v>
      </c>
      <c r="D4236" s="15" t="s">
        <v>539</v>
      </c>
      <c r="E4236" s="15" t="n">
        <v>5</v>
      </c>
      <c r="H4236" s="10"/>
      <c r="I4236" s="21"/>
      <c r="M4236" s="10"/>
      <c r="N4236" s="10"/>
      <c r="P4236" s="10"/>
      <c r="Q4236" s="22"/>
    </row>
    <row r="4237" customFormat="false" ht="15.75" hidden="false" customHeight="false" outlineLevel="0" collapsed="false">
      <c r="A4237" s="20" t="n">
        <v>46135</v>
      </c>
      <c r="B4237" s="15" t="s">
        <v>508</v>
      </c>
      <c r="C4237" s="15" t="s">
        <v>81</v>
      </c>
      <c r="D4237" s="15" t="s">
        <v>534</v>
      </c>
      <c r="E4237" s="15" t="n">
        <v>9</v>
      </c>
      <c r="H4237" s="10"/>
      <c r="I4237" s="21"/>
      <c r="M4237" s="10"/>
      <c r="N4237" s="10"/>
      <c r="P4237" s="10"/>
      <c r="Q4237" s="22"/>
    </row>
    <row r="4238" customFormat="false" ht="15.75" hidden="false" customHeight="false" outlineLevel="0" collapsed="false">
      <c r="A4238" s="20" t="n">
        <v>46135</v>
      </c>
      <c r="B4238" s="15" t="s">
        <v>508</v>
      </c>
      <c r="C4238" s="15" t="s">
        <v>39</v>
      </c>
      <c r="D4238" s="15" t="s">
        <v>550</v>
      </c>
      <c r="E4238" s="15" t="n">
        <v>2</v>
      </c>
      <c r="H4238" s="10"/>
      <c r="I4238" s="21"/>
      <c r="M4238" s="10"/>
      <c r="N4238" s="10"/>
      <c r="P4238" s="10"/>
      <c r="Q4238" s="22"/>
    </row>
    <row r="4239" customFormat="false" ht="15.75" hidden="false" customHeight="false" outlineLevel="0" collapsed="false">
      <c r="A4239" s="20" t="n">
        <v>46135</v>
      </c>
      <c r="B4239" s="15" t="s">
        <v>508</v>
      </c>
      <c r="C4239" s="15" t="s">
        <v>47</v>
      </c>
      <c r="D4239" s="15" t="s">
        <v>549</v>
      </c>
      <c r="E4239" s="15" t="n">
        <v>2</v>
      </c>
      <c r="H4239" s="10"/>
      <c r="I4239" s="21"/>
      <c r="M4239" s="10"/>
      <c r="N4239" s="10"/>
      <c r="P4239" s="10"/>
      <c r="Q4239" s="22"/>
    </row>
    <row r="4240" customFormat="false" ht="15.75" hidden="false" customHeight="false" outlineLevel="0" collapsed="false">
      <c r="A4240" s="20" t="n">
        <v>46135</v>
      </c>
      <c r="B4240" s="15" t="s">
        <v>508</v>
      </c>
      <c r="C4240" s="15" t="s">
        <v>63</v>
      </c>
      <c r="D4240" s="15" t="s">
        <v>551</v>
      </c>
      <c r="E4240" s="15" t="n">
        <v>1</v>
      </c>
      <c r="H4240" s="10"/>
      <c r="I4240" s="21"/>
      <c r="M4240" s="10"/>
      <c r="N4240" s="10"/>
      <c r="P4240" s="10"/>
      <c r="Q4240" s="22"/>
    </row>
    <row r="4241" customFormat="false" ht="15.75" hidden="false" customHeight="false" outlineLevel="0" collapsed="false">
      <c r="A4241" s="20" t="n">
        <v>46135</v>
      </c>
      <c r="B4241" s="15" t="s">
        <v>514</v>
      </c>
      <c r="C4241" s="15" t="s">
        <v>55</v>
      </c>
      <c r="D4241" s="15" t="s">
        <v>539</v>
      </c>
      <c r="E4241" s="15" t="n">
        <v>5</v>
      </c>
      <c r="H4241" s="10"/>
      <c r="I4241" s="21"/>
      <c r="M4241" s="10"/>
      <c r="N4241" s="10"/>
      <c r="P4241" s="10"/>
      <c r="Q4241" s="22"/>
    </row>
    <row r="4242" customFormat="false" ht="15.75" hidden="false" customHeight="false" outlineLevel="0" collapsed="false">
      <c r="A4242" s="20" t="n">
        <v>46135</v>
      </c>
      <c r="B4242" s="15" t="s">
        <v>514</v>
      </c>
      <c r="C4242" s="15" t="s">
        <v>57</v>
      </c>
      <c r="D4242" s="15" t="s">
        <v>553</v>
      </c>
      <c r="E4242" s="15" t="n">
        <v>1</v>
      </c>
      <c r="H4242" s="10"/>
      <c r="I4242" s="21"/>
      <c r="M4242" s="10"/>
      <c r="N4242" s="10"/>
      <c r="P4242" s="10"/>
      <c r="Q4242" s="22"/>
    </row>
    <row r="4243" customFormat="false" ht="15.75" hidden="false" customHeight="false" outlineLevel="0" collapsed="false">
      <c r="A4243" s="20" t="n">
        <v>46135</v>
      </c>
      <c r="B4243" s="15" t="s">
        <v>514</v>
      </c>
      <c r="C4243" s="15" t="s">
        <v>49</v>
      </c>
      <c r="D4243" s="15" t="s">
        <v>537</v>
      </c>
      <c r="E4243" s="15" t="n">
        <v>1</v>
      </c>
      <c r="H4243" s="10"/>
      <c r="I4243" s="21"/>
      <c r="M4243" s="10"/>
      <c r="N4243" s="10"/>
      <c r="P4243" s="10"/>
      <c r="Q4243" s="22"/>
    </row>
    <row r="4244" customFormat="false" ht="15.75" hidden="false" customHeight="false" outlineLevel="0" collapsed="false">
      <c r="A4244" s="20" t="n">
        <v>46135</v>
      </c>
      <c r="B4244" s="15" t="s">
        <v>514</v>
      </c>
      <c r="C4244" s="15" t="s">
        <v>47</v>
      </c>
      <c r="D4244" s="15" t="s">
        <v>549</v>
      </c>
      <c r="E4244" s="15" t="n">
        <v>4</v>
      </c>
      <c r="H4244" s="10"/>
      <c r="I4244" s="21"/>
      <c r="M4244" s="10"/>
      <c r="N4244" s="10"/>
      <c r="P4244" s="10"/>
      <c r="Q4244" s="22"/>
    </row>
    <row r="4245" customFormat="false" ht="15.75" hidden="false" customHeight="false" outlineLevel="0" collapsed="false">
      <c r="A4245" s="20" t="n">
        <v>46135</v>
      </c>
      <c r="B4245" s="15" t="s">
        <v>514</v>
      </c>
      <c r="C4245" s="15" t="s">
        <v>81</v>
      </c>
      <c r="D4245" s="15" t="s">
        <v>534</v>
      </c>
      <c r="E4245" s="15" t="n">
        <v>7</v>
      </c>
      <c r="H4245" s="10"/>
      <c r="I4245" s="21"/>
      <c r="M4245" s="10"/>
      <c r="N4245" s="10"/>
      <c r="P4245" s="10"/>
      <c r="Q4245" s="22"/>
    </row>
    <row r="4246" customFormat="false" ht="15.75" hidden="false" customHeight="false" outlineLevel="0" collapsed="false">
      <c r="A4246" s="20" t="n">
        <v>46135</v>
      </c>
      <c r="B4246" s="15" t="s">
        <v>514</v>
      </c>
      <c r="C4246" s="15" t="s">
        <v>63</v>
      </c>
      <c r="D4246" s="15" t="s">
        <v>551</v>
      </c>
      <c r="E4246" s="15" t="n">
        <v>1</v>
      </c>
      <c r="H4246" s="10"/>
      <c r="I4246" s="21"/>
      <c r="M4246" s="10"/>
      <c r="N4246" s="10"/>
      <c r="P4246" s="10"/>
      <c r="Q4246" s="22"/>
    </row>
    <row r="4247" customFormat="false" ht="15.75" hidden="false" customHeight="false" outlineLevel="0" collapsed="false">
      <c r="A4247" s="20" t="n">
        <v>46135</v>
      </c>
      <c r="B4247" s="15" t="s">
        <v>514</v>
      </c>
      <c r="C4247" s="15" t="s">
        <v>17</v>
      </c>
      <c r="D4247" s="15" t="s">
        <v>554</v>
      </c>
      <c r="E4247" s="15" t="n">
        <v>1</v>
      </c>
      <c r="H4247" s="10"/>
      <c r="I4247" s="21"/>
      <c r="M4247" s="10"/>
      <c r="N4247" s="10"/>
      <c r="P4247" s="10"/>
      <c r="Q4247" s="22"/>
    </row>
    <row r="4248" customFormat="false" ht="15.75" hidden="false" customHeight="false" outlineLevel="0" collapsed="false">
      <c r="A4248" s="20" t="n">
        <v>46135</v>
      </c>
      <c r="B4248" s="15" t="s">
        <v>517</v>
      </c>
      <c r="C4248" s="15" t="s">
        <v>69</v>
      </c>
      <c r="D4248" s="15" t="s">
        <v>535</v>
      </c>
      <c r="E4248" s="15" t="n">
        <v>6</v>
      </c>
      <c r="H4248" s="10"/>
      <c r="I4248" s="21"/>
      <c r="M4248" s="10"/>
      <c r="N4248" s="10"/>
      <c r="P4248" s="10"/>
      <c r="Q4248" s="22"/>
    </row>
    <row r="4249" customFormat="false" ht="15.75" hidden="false" customHeight="false" outlineLevel="0" collapsed="false">
      <c r="A4249" s="20" t="n">
        <v>46135</v>
      </c>
      <c r="B4249" s="15" t="s">
        <v>517</v>
      </c>
      <c r="C4249" s="15" t="s">
        <v>33</v>
      </c>
      <c r="D4249" s="15" t="s">
        <v>536</v>
      </c>
      <c r="E4249" s="15" t="n">
        <v>6</v>
      </c>
      <c r="H4249" s="10"/>
      <c r="I4249" s="21"/>
      <c r="M4249" s="10"/>
      <c r="N4249" s="10"/>
      <c r="P4249" s="10"/>
      <c r="Q4249" s="22"/>
    </row>
    <row r="4250" customFormat="false" ht="15.75" hidden="false" customHeight="false" outlineLevel="0" collapsed="false">
      <c r="A4250" s="20" t="n">
        <v>46135</v>
      </c>
      <c r="B4250" s="15" t="s">
        <v>518</v>
      </c>
      <c r="C4250" s="15" t="s">
        <v>69</v>
      </c>
      <c r="D4250" s="15" t="s">
        <v>535</v>
      </c>
      <c r="E4250" s="15" t="n">
        <v>6</v>
      </c>
      <c r="H4250" s="10"/>
      <c r="I4250" s="21"/>
      <c r="M4250" s="10"/>
      <c r="N4250" s="10"/>
      <c r="P4250" s="10"/>
      <c r="Q4250" s="22"/>
    </row>
    <row r="4251" customFormat="false" ht="15.75" hidden="false" customHeight="false" outlineLevel="0" collapsed="false">
      <c r="A4251" s="20" t="n">
        <v>46135</v>
      </c>
      <c r="B4251" s="15" t="s">
        <v>518</v>
      </c>
      <c r="C4251" s="15" t="s">
        <v>33</v>
      </c>
      <c r="D4251" s="15" t="s">
        <v>536</v>
      </c>
      <c r="E4251" s="15" t="n">
        <v>6</v>
      </c>
      <c r="H4251" s="10"/>
      <c r="I4251" s="21"/>
      <c r="M4251" s="10"/>
      <c r="N4251" s="10"/>
      <c r="P4251" s="10"/>
      <c r="Q4251" s="22"/>
    </row>
    <row r="4252" customFormat="false" ht="15.75" hidden="false" customHeight="false" outlineLevel="0" collapsed="false">
      <c r="A4252" s="20" t="n">
        <v>46135</v>
      </c>
      <c r="B4252" s="15" t="s">
        <v>518</v>
      </c>
      <c r="C4252" s="15" t="s">
        <v>47</v>
      </c>
      <c r="D4252" s="15" t="s">
        <v>549</v>
      </c>
      <c r="E4252" s="15" t="n">
        <v>2</v>
      </c>
      <c r="H4252" s="10"/>
      <c r="I4252" s="21"/>
      <c r="M4252" s="10"/>
      <c r="N4252" s="10"/>
      <c r="P4252" s="10"/>
      <c r="Q4252" s="22"/>
    </row>
    <row r="4253" customFormat="false" ht="15.75" hidden="false" customHeight="false" outlineLevel="0" collapsed="false">
      <c r="A4253" s="20" t="n">
        <v>46135</v>
      </c>
      <c r="B4253" s="15" t="s">
        <v>518</v>
      </c>
      <c r="C4253" s="15" t="s">
        <v>51</v>
      </c>
      <c r="D4253" s="15" t="s">
        <v>573</v>
      </c>
      <c r="E4253" s="15" t="n">
        <v>1</v>
      </c>
      <c r="H4253" s="10"/>
      <c r="I4253" s="21"/>
      <c r="M4253" s="10"/>
      <c r="N4253" s="10"/>
      <c r="P4253" s="10"/>
      <c r="Q4253" s="22"/>
    </row>
    <row r="4254" customFormat="false" ht="15.75" hidden="false" customHeight="false" outlineLevel="0" collapsed="false">
      <c r="A4254" s="20" t="n">
        <v>46135</v>
      </c>
      <c r="B4254" s="15" t="s">
        <v>518</v>
      </c>
      <c r="C4254" s="15" t="s">
        <v>55</v>
      </c>
      <c r="D4254" s="15" t="s">
        <v>539</v>
      </c>
      <c r="E4254" s="15" t="n">
        <v>2</v>
      </c>
      <c r="H4254" s="10"/>
      <c r="I4254" s="21"/>
      <c r="M4254" s="10"/>
      <c r="N4254" s="10"/>
      <c r="P4254" s="10"/>
      <c r="Q4254" s="22"/>
    </row>
    <row r="4255" customFormat="false" ht="15.75" hidden="false" customHeight="false" outlineLevel="0" collapsed="false">
      <c r="A4255" s="20" t="n">
        <v>46135</v>
      </c>
      <c r="B4255" s="15" t="s">
        <v>518</v>
      </c>
      <c r="C4255" s="15" t="s">
        <v>37</v>
      </c>
      <c r="D4255" s="15" t="s">
        <v>561</v>
      </c>
      <c r="E4255" s="15" t="n">
        <v>2</v>
      </c>
      <c r="H4255" s="10"/>
      <c r="I4255" s="21"/>
      <c r="M4255" s="10"/>
      <c r="N4255" s="10"/>
      <c r="P4255" s="10"/>
      <c r="Q4255" s="22"/>
    </row>
    <row r="4256" customFormat="false" ht="15.75" hidden="false" customHeight="false" outlineLevel="0" collapsed="false">
      <c r="A4256" s="20" t="n">
        <v>46135</v>
      </c>
      <c r="B4256" s="15" t="s">
        <v>518</v>
      </c>
      <c r="C4256" s="15" t="s">
        <v>547</v>
      </c>
      <c r="D4256" s="15" t="s">
        <v>548</v>
      </c>
      <c r="E4256" s="15" t="n">
        <v>1</v>
      </c>
      <c r="H4256" s="10"/>
      <c r="I4256" s="21"/>
      <c r="M4256" s="10"/>
      <c r="N4256" s="10"/>
      <c r="P4256" s="10"/>
      <c r="Q4256" s="22"/>
    </row>
    <row r="4257" customFormat="false" ht="15.75" hidden="false" customHeight="false" outlineLevel="0" collapsed="false">
      <c r="A4257" s="20" t="n">
        <v>46135</v>
      </c>
      <c r="B4257" s="15" t="s">
        <v>518</v>
      </c>
      <c r="C4257" s="15" t="s">
        <v>81</v>
      </c>
      <c r="D4257" s="15" t="s">
        <v>534</v>
      </c>
      <c r="E4257" s="15" t="n">
        <v>1</v>
      </c>
      <c r="H4257" s="10"/>
      <c r="I4257" s="21"/>
      <c r="M4257" s="10"/>
      <c r="N4257" s="10"/>
      <c r="P4257" s="10"/>
      <c r="Q4257" s="22"/>
    </row>
    <row r="4258" customFormat="false" ht="15.75" hidden="false" customHeight="false" outlineLevel="0" collapsed="false">
      <c r="A4258" s="20" t="n">
        <v>46135</v>
      </c>
      <c r="B4258" s="15" t="s">
        <v>528</v>
      </c>
      <c r="C4258" s="15" t="s">
        <v>81</v>
      </c>
      <c r="D4258" s="15" t="s">
        <v>534</v>
      </c>
      <c r="E4258" s="15" t="n">
        <v>6</v>
      </c>
      <c r="H4258" s="10"/>
      <c r="I4258" s="21"/>
      <c r="M4258" s="10"/>
      <c r="N4258" s="10"/>
      <c r="P4258" s="10"/>
      <c r="Q4258" s="22"/>
    </row>
    <row r="4259" customFormat="false" ht="15.75" hidden="false" customHeight="false" outlineLevel="0" collapsed="false">
      <c r="A4259" s="20" t="n">
        <v>46135</v>
      </c>
      <c r="B4259" s="15" t="s">
        <v>528</v>
      </c>
      <c r="C4259" s="15" t="s">
        <v>69</v>
      </c>
      <c r="D4259" s="15" t="s">
        <v>535</v>
      </c>
      <c r="E4259" s="15" t="n">
        <v>4</v>
      </c>
      <c r="H4259" s="10"/>
      <c r="I4259" s="21"/>
      <c r="M4259" s="10"/>
      <c r="N4259" s="10"/>
      <c r="P4259" s="10"/>
      <c r="Q4259" s="22"/>
    </row>
    <row r="4260" customFormat="false" ht="15.75" hidden="false" customHeight="false" outlineLevel="0" collapsed="false">
      <c r="A4260" s="20" t="n">
        <v>46135</v>
      </c>
      <c r="B4260" s="15" t="s">
        <v>528</v>
      </c>
      <c r="C4260" s="15" t="s">
        <v>33</v>
      </c>
      <c r="D4260" s="15" t="s">
        <v>536</v>
      </c>
      <c r="E4260" s="15" t="n">
        <v>2</v>
      </c>
      <c r="H4260" s="10"/>
      <c r="I4260" s="21"/>
      <c r="M4260" s="10"/>
      <c r="N4260" s="10"/>
      <c r="P4260" s="10"/>
      <c r="Q4260" s="22"/>
    </row>
    <row r="4261" customFormat="false" ht="15.75" hidden="false" customHeight="false" outlineLevel="0" collapsed="false">
      <c r="A4261" s="20" t="n">
        <v>46135</v>
      </c>
      <c r="B4261" s="15" t="s">
        <v>528</v>
      </c>
      <c r="C4261" s="15" t="s">
        <v>77</v>
      </c>
      <c r="D4261" s="15" t="s">
        <v>78</v>
      </c>
      <c r="E4261" s="15" t="n">
        <v>2</v>
      </c>
      <c r="H4261" s="10"/>
      <c r="I4261" s="21"/>
      <c r="M4261" s="10"/>
      <c r="N4261" s="10"/>
      <c r="P4261" s="10"/>
      <c r="Q4261" s="22"/>
    </row>
    <row r="4262" customFormat="false" ht="15.75" hidden="false" customHeight="false" outlineLevel="0" collapsed="false">
      <c r="A4262" s="20" t="n">
        <v>46135</v>
      </c>
      <c r="B4262" s="15" t="s">
        <v>528</v>
      </c>
      <c r="C4262" s="15" t="s">
        <v>547</v>
      </c>
      <c r="D4262" s="15" t="s">
        <v>548</v>
      </c>
      <c r="E4262" s="15" t="n">
        <v>2</v>
      </c>
      <c r="H4262" s="10"/>
      <c r="I4262" s="21"/>
      <c r="M4262" s="10"/>
      <c r="N4262" s="10"/>
      <c r="P4262" s="10"/>
      <c r="Q4262" s="22"/>
    </row>
    <row r="4263" customFormat="false" ht="15.75" hidden="false" customHeight="false" outlineLevel="0" collapsed="false">
      <c r="A4263" s="20" t="n">
        <v>46135</v>
      </c>
      <c r="B4263" s="15" t="s">
        <v>528</v>
      </c>
      <c r="C4263" s="15" t="s">
        <v>545</v>
      </c>
      <c r="D4263" s="15" t="s">
        <v>546</v>
      </c>
      <c r="E4263" s="15" t="n">
        <v>2</v>
      </c>
      <c r="H4263" s="10"/>
      <c r="I4263" s="21"/>
      <c r="M4263" s="10"/>
      <c r="N4263" s="10"/>
      <c r="P4263" s="10"/>
      <c r="Q4263" s="22"/>
    </row>
    <row r="4264" customFormat="false" ht="15.75" hidden="false" customHeight="false" outlineLevel="0" collapsed="false">
      <c r="A4264" s="20" t="n">
        <v>46135</v>
      </c>
      <c r="B4264" s="15" t="s">
        <v>528</v>
      </c>
      <c r="C4264" s="15" t="s">
        <v>543</v>
      </c>
      <c r="D4264" s="15" t="s">
        <v>544</v>
      </c>
      <c r="E4264" s="15" t="n">
        <v>4</v>
      </c>
      <c r="H4264" s="10"/>
      <c r="I4264" s="21"/>
      <c r="M4264" s="10"/>
      <c r="N4264" s="10"/>
      <c r="P4264" s="10"/>
      <c r="Q4264" s="22"/>
    </row>
    <row r="4265" customFormat="false" ht="15.75" hidden="false" customHeight="false" outlineLevel="0" collapsed="false">
      <c r="A4265" s="20" t="n">
        <v>46135</v>
      </c>
      <c r="B4265" s="15" t="s">
        <v>528</v>
      </c>
      <c r="C4265" s="15" t="s">
        <v>541</v>
      </c>
      <c r="D4265" s="15" t="s">
        <v>542</v>
      </c>
      <c r="E4265" s="15" t="n">
        <v>1</v>
      </c>
      <c r="H4265" s="10"/>
      <c r="I4265" s="21"/>
      <c r="M4265" s="10"/>
      <c r="N4265" s="10"/>
      <c r="P4265" s="10"/>
      <c r="Q4265" s="22"/>
    </row>
    <row r="4266" customFormat="false" ht="15.75" hidden="false" customHeight="false" outlineLevel="0" collapsed="false">
      <c r="A4266" s="20" t="n">
        <v>46135</v>
      </c>
      <c r="B4266" s="15" t="s">
        <v>528</v>
      </c>
      <c r="C4266" s="15" t="s">
        <v>45</v>
      </c>
      <c r="D4266" s="15" t="s">
        <v>540</v>
      </c>
      <c r="E4266" s="15" t="n">
        <v>1</v>
      </c>
      <c r="H4266" s="10"/>
      <c r="I4266" s="21"/>
      <c r="M4266" s="10"/>
      <c r="N4266" s="10"/>
      <c r="P4266" s="10"/>
      <c r="Q4266" s="22"/>
    </row>
    <row r="4267" customFormat="false" ht="15.75" hidden="false" customHeight="false" outlineLevel="0" collapsed="false">
      <c r="A4267" s="20" t="n">
        <v>46135</v>
      </c>
      <c r="B4267" s="15" t="s">
        <v>528</v>
      </c>
      <c r="C4267" s="15" t="s">
        <v>55</v>
      </c>
      <c r="D4267" s="15" t="s">
        <v>539</v>
      </c>
      <c r="E4267" s="15" t="n">
        <v>1</v>
      </c>
      <c r="H4267" s="10"/>
      <c r="I4267" s="21"/>
      <c r="M4267" s="10"/>
      <c r="N4267" s="10"/>
      <c r="P4267" s="10"/>
      <c r="Q4267" s="22"/>
    </row>
    <row r="4268" customFormat="false" ht="15.75" hidden="false" customHeight="false" outlineLevel="0" collapsed="false">
      <c r="A4268" s="20" t="n">
        <v>46135</v>
      </c>
      <c r="B4268" s="15" t="s">
        <v>528</v>
      </c>
      <c r="C4268" s="15" t="s">
        <v>59</v>
      </c>
      <c r="D4268" s="15" t="s">
        <v>562</v>
      </c>
      <c r="E4268" s="15" t="n">
        <v>1</v>
      </c>
      <c r="H4268" s="10"/>
      <c r="I4268" s="21"/>
      <c r="M4268" s="10"/>
      <c r="N4268" s="10"/>
      <c r="P4268" s="10"/>
      <c r="Q4268" s="22"/>
    </row>
    <row r="4269" customFormat="false" ht="15.75" hidden="false" customHeight="false" outlineLevel="0" collapsed="false">
      <c r="A4269" s="20" t="n">
        <v>46135</v>
      </c>
      <c r="B4269" s="15" t="s">
        <v>528</v>
      </c>
      <c r="C4269" s="15" t="s">
        <v>47</v>
      </c>
      <c r="D4269" s="15" t="s">
        <v>549</v>
      </c>
      <c r="E4269" s="15" t="n">
        <v>1</v>
      </c>
      <c r="H4269" s="10"/>
      <c r="I4269" s="21"/>
      <c r="M4269" s="10"/>
      <c r="N4269" s="10"/>
      <c r="P4269" s="10"/>
      <c r="Q4269" s="22"/>
    </row>
    <row r="4270" customFormat="false" ht="15.75" hidden="false" customHeight="false" outlineLevel="0" collapsed="false">
      <c r="A4270" s="20" t="n">
        <v>46135</v>
      </c>
      <c r="B4270" s="15" t="s">
        <v>528</v>
      </c>
      <c r="C4270" s="15" t="s">
        <v>43</v>
      </c>
      <c r="D4270" s="15" t="s">
        <v>538</v>
      </c>
      <c r="E4270" s="15" t="n">
        <v>1</v>
      </c>
      <c r="H4270" s="10"/>
      <c r="I4270" s="21"/>
      <c r="M4270" s="10"/>
      <c r="N4270" s="10"/>
      <c r="P4270" s="10"/>
      <c r="Q4270" s="22"/>
    </row>
    <row r="4271" customFormat="false" ht="15.75" hidden="false" customHeight="false" outlineLevel="0" collapsed="false">
      <c r="A4271" s="20" t="n">
        <v>46135</v>
      </c>
      <c r="B4271" s="15" t="s">
        <v>528</v>
      </c>
      <c r="C4271" s="15" t="s">
        <v>87</v>
      </c>
      <c r="D4271" s="15" t="s">
        <v>563</v>
      </c>
      <c r="E4271" s="15" t="n">
        <v>1</v>
      </c>
      <c r="H4271" s="10"/>
      <c r="I4271" s="21"/>
      <c r="M4271" s="10"/>
      <c r="N4271" s="10"/>
      <c r="P4271" s="10"/>
      <c r="Q4271" s="22"/>
    </row>
    <row r="4272" customFormat="false" ht="15.75" hidden="false" customHeight="false" outlineLevel="0" collapsed="false">
      <c r="A4272" s="20" t="n">
        <v>46136</v>
      </c>
      <c r="B4272" s="15" t="s">
        <v>453</v>
      </c>
      <c r="C4272" s="15" t="s">
        <v>47</v>
      </c>
      <c r="D4272" s="15" t="s">
        <v>549</v>
      </c>
      <c r="E4272" s="15" t="n">
        <v>2</v>
      </c>
      <c r="H4272" s="10"/>
      <c r="I4272" s="21"/>
      <c r="M4272" s="10"/>
      <c r="N4272" s="10"/>
      <c r="P4272" s="10"/>
      <c r="Q4272" s="22"/>
    </row>
    <row r="4273" customFormat="false" ht="15.75" hidden="false" customHeight="false" outlineLevel="0" collapsed="false">
      <c r="A4273" s="20" t="n">
        <v>46136</v>
      </c>
      <c r="B4273" s="15" t="s">
        <v>453</v>
      </c>
      <c r="C4273" s="15" t="s">
        <v>55</v>
      </c>
      <c r="D4273" s="15" t="s">
        <v>539</v>
      </c>
      <c r="E4273" s="15" t="n">
        <v>4</v>
      </c>
      <c r="H4273" s="10"/>
      <c r="I4273" s="21"/>
      <c r="M4273" s="10"/>
      <c r="N4273" s="10"/>
      <c r="P4273" s="10"/>
      <c r="Q4273" s="22"/>
    </row>
    <row r="4274" customFormat="false" ht="15.75" hidden="false" customHeight="false" outlineLevel="0" collapsed="false">
      <c r="A4274" s="20" t="n">
        <v>46136</v>
      </c>
      <c r="B4274" s="15" t="s">
        <v>453</v>
      </c>
      <c r="C4274" s="15" t="s">
        <v>81</v>
      </c>
      <c r="D4274" s="15" t="s">
        <v>534</v>
      </c>
      <c r="E4274" s="15" t="n">
        <v>8</v>
      </c>
      <c r="H4274" s="10"/>
      <c r="I4274" s="21"/>
      <c r="M4274" s="10"/>
      <c r="N4274" s="10"/>
      <c r="P4274" s="10"/>
      <c r="Q4274" s="22"/>
    </row>
    <row r="4275" customFormat="false" ht="15.75" hidden="false" customHeight="false" outlineLevel="0" collapsed="false">
      <c r="A4275" s="20" t="n">
        <v>46136</v>
      </c>
      <c r="B4275" s="15" t="s">
        <v>453</v>
      </c>
      <c r="C4275" s="15" t="s">
        <v>39</v>
      </c>
      <c r="D4275" s="15" t="s">
        <v>550</v>
      </c>
      <c r="E4275" s="15" t="n">
        <v>2</v>
      </c>
      <c r="H4275" s="10"/>
      <c r="I4275" s="21"/>
      <c r="M4275" s="10"/>
      <c r="N4275" s="10"/>
      <c r="P4275" s="10"/>
      <c r="Q4275" s="22"/>
    </row>
    <row r="4276" customFormat="false" ht="15.75" hidden="false" customHeight="false" outlineLevel="0" collapsed="false">
      <c r="A4276" s="20" t="n">
        <v>46136</v>
      </c>
      <c r="B4276" s="15" t="s">
        <v>453</v>
      </c>
      <c r="C4276" s="15" t="s">
        <v>63</v>
      </c>
      <c r="D4276" s="15" t="s">
        <v>551</v>
      </c>
      <c r="E4276" s="15" t="n">
        <v>1</v>
      </c>
      <c r="H4276" s="10"/>
      <c r="I4276" s="21"/>
      <c r="M4276" s="10"/>
      <c r="N4276" s="10"/>
      <c r="P4276" s="10"/>
      <c r="Q4276" s="22"/>
    </row>
    <row r="4277" customFormat="false" ht="15.75" hidden="false" customHeight="false" outlineLevel="0" collapsed="false">
      <c r="A4277" s="20" t="n">
        <v>46136</v>
      </c>
      <c r="B4277" s="15" t="s">
        <v>453</v>
      </c>
      <c r="C4277" s="15" t="s">
        <v>35</v>
      </c>
      <c r="D4277" s="15" t="s">
        <v>552</v>
      </c>
      <c r="E4277" s="15" t="n">
        <v>2</v>
      </c>
      <c r="H4277" s="10"/>
      <c r="I4277" s="21"/>
      <c r="M4277" s="10"/>
      <c r="N4277" s="10"/>
      <c r="P4277" s="10"/>
      <c r="Q4277" s="22"/>
    </row>
    <row r="4278" customFormat="false" ht="15.75" hidden="false" customHeight="false" outlineLevel="0" collapsed="false">
      <c r="A4278" s="20" t="n">
        <v>46136</v>
      </c>
      <c r="B4278" s="15" t="s">
        <v>456</v>
      </c>
      <c r="C4278" s="15" t="s">
        <v>55</v>
      </c>
      <c r="D4278" s="15" t="s">
        <v>539</v>
      </c>
      <c r="E4278" s="15" t="n">
        <v>5</v>
      </c>
      <c r="H4278" s="10"/>
      <c r="I4278" s="21"/>
      <c r="M4278" s="10"/>
      <c r="N4278" s="10"/>
      <c r="P4278" s="10"/>
      <c r="Q4278" s="22"/>
    </row>
    <row r="4279" customFormat="false" ht="15.75" hidden="false" customHeight="false" outlineLevel="0" collapsed="false">
      <c r="A4279" s="20" t="n">
        <v>46136</v>
      </c>
      <c r="B4279" s="15" t="s">
        <v>456</v>
      </c>
      <c r="C4279" s="15" t="s">
        <v>47</v>
      </c>
      <c r="D4279" s="15" t="s">
        <v>549</v>
      </c>
      <c r="E4279" s="15" t="n">
        <v>1</v>
      </c>
      <c r="H4279" s="10"/>
      <c r="I4279" s="21"/>
      <c r="M4279" s="10"/>
      <c r="N4279" s="10"/>
      <c r="P4279" s="10"/>
      <c r="Q4279" s="22"/>
    </row>
    <row r="4280" customFormat="false" ht="15.75" hidden="false" customHeight="false" outlineLevel="0" collapsed="false">
      <c r="A4280" s="20" t="n">
        <v>46136</v>
      </c>
      <c r="B4280" s="15" t="s">
        <v>456</v>
      </c>
      <c r="C4280" s="15" t="s">
        <v>81</v>
      </c>
      <c r="D4280" s="15" t="s">
        <v>534</v>
      </c>
      <c r="E4280" s="15" t="n">
        <v>10</v>
      </c>
      <c r="H4280" s="10"/>
      <c r="I4280" s="21"/>
      <c r="M4280" s="10"/>
      <c r="N4280" s="10"/>
      <c r="P4280" s="10"/>
      <c r="Q4280" s="22"/>
    </row>
    <row r="4281" customFormat="false" ht="15.75" hidden="false" customHeight="false" outlineLevel="0" collapsed="false">
      <c r="A4281" s="20" t="n">
        <v>46136</v>
      </c>
      <c r="B4281" s="15" t="s">
        <v>456</v>
      </c>
      <c r="C4281" s="15" t="s">
        <v>49</v>
      </c>
      <c r="D4281" s="15" t="s">
        <v>537</v>
      </c>
      <c r="E4281" s="15" t="n">
        <v>1</v>
      </c>
      <c r="H4281" s="10"/>
      <c r="I4281" s="21"/>
      <c r="M4281" s="10"/>
      <c r="N4281" s="10"/>
      <c r="P4281" s="10"/>
      <c r="Q4281" s="22"/>
    </row>
    <row r="4282" customFormat="false" ht="15.75" hidden="false" customHeight="false" outlineLevel="0" collapsed="false">
      <c r="A4282" s="20" t="n">
        <v>46136</v>
      </c>
      <c r="B4282" s="15" t="s">
        <v>456</v>
      </c>
      <c r="C4282" s="15" t="s">
        <v>63</v>
      </c>
      <c r="D4282" s="15" t="s">
        <v>551</v>
      </c>
      <c r="E4282" s="15" t="n">
        <v>1</v>
      </c>
      <c r="H4282" s="10"/>
      <c r="I4282" s="21"/>
      <c r="M4282" s="10"/>
      <c r="N4282" s="10"/>
      <c r="P4282" s="10"/>
      <c r="Q4282" s="22"/>
    </row>
    <row r="4283" customFormat="false" ht="15.75" hidden="false" customHeight="false" outlineLevel="0" collapsed="false">
      <c r="A4283" s="20" t="n">
        <v>46136</v>
      </c>
      <c r="B4283" s="15" t="s">
        <v>456</v>
      </c>
      <c r="C4283" s="15" t="s">
        <v>39</v>
      </c>
      <c r="D4283" s="15" t="s">
        <v>550</v>
      </c>
      <c r="E4283" s="15" t="n">
        <v>1</v>
      </c>
      <c r="H4283" s="10"/>
      <c r="I4283" s="21"/>
      <c r="M4283" s="10"/>
      <c r="N4283" s="10"/>
      <c r="P4283" s="10"/>
      <c r="Q4283" s="22"/>
    </row>
    <row r="4284" customFormat="false" ht="15.75" hidden="false" customHeight="false" outlineLevel="0" collapsed="false">
      <c r="A4284" s="20" t="n">
        <v>46136</v>
      </c>
      <c r="B4284" s="15" t="s">
        <v>19</v>
      </c>
      <c r="C4284" s="15" t="s">
        <v>69</v>
      </c>
      <c r="D4284" s="15" t="s">
        <v>535</v>
      </c>
      <c r="E4284" s="15" t="n">
        <v>10</v>
      </c>
      <c r="H4284" s="10"/>
      <c r="I4284" s="21"/>
      <c r="M4284" s="10"/>
      <c r="N4284" s="10"/>
      <c r="P4284" s="10"/>
      <c r="Q4284" s="22"/>
    </row>
    <row r="4285" customFormat="false" ht="15.75" hidden="false" customHeight="false" outlineLevel="0" collapsed="false">
      <c r="A4285" s="20" t="n">
        <v>46136</v>
      </c>
      <c r="B4285" s="15" t="s">
        <v>19</v>
      </c>
      <c r="C4285" s="15" t="s">
        <v>55</v>
      </c>
      <c r="D4285" s="15" t="s">
        <v>539</v>
      </c>
      <c r="E4285" s="15" t="n">
        <v>10</v>
      </c>
      <c r="H4285" s="10"/>
      <c r="I4285" s="21"/>
      <c r="M4285" s="10"/>
      <c r="N4285" s="10"/>
      <c r="P4285" s="10"/>
      <c r="Q4285" s="22"/>
    </row>
    <row r="4286" customFormat="false" ht="15.75" hidden="false" customHeight="false" outlineLevel="0" collapsed="false">
      <c r="A4286" s="20" t="n">
        <v>46136</v>
      </c>
      <c r="B4286" s="15" t="s">
        <v>19</v>
      </c>
      <c r="C4286" s="15" t="s">
        <v>37</v>
      </c>
      <c r="D4286" s="15" t="s">
        <v>561</v>
      </c>
      <c r="E4286" s="15" t="n">
        <v>4</v>
      </c>
      <c r="H4286" s="10"/>
      <c r="I4286" s="21"/>
      <c r="M4286" s="10"/>
      <c r="N4286" s="10"/>
      <c r="P4286" s="10"/>
      <c r="Q4286" s="22"/>
    </row>
    <row r="4287" customFormat="false" ht="15.75" hidden="false" customHeight="false" outlineLevel="0" collapsed="false">
      <c r="A4287" s="20" t="n">
        <v>46136</v>
      </c>
      <c r="B4287" s="15" t="s">
        <v>19</v>
      </c>
      <c r="C4287" s="15" t="s">
        <v>555</v>
      </c>
      <c r="D4287" s="15" t="s">
        <v>556</v>
      </c>
      <c r="E4287" s="15" t="n">
        <v>4</v>
      </c>
      <c r="H4287" s="10"/>
      <c r="I4287" s="21"/>
      <c r="M4287" s="10"/>
      <c r="N4287" s="10"/>
      <c r="P4287" s="10"/>
      <c r="Q4287" s="22"/>
    </row>
    <row r="4288" customFormat="false" ht="15.75" hidden="false" customHeight="false" outlineLevel="0" collapsed="false">
      <c r="A4288" s="20" t="n">
        <v>46136</v>
      </c>
      <c r="B4288" s="15" t="s">
        <v>19</v>
      </c>
      <c r="C4288" s="15" t="s">
        <v>565</v>
      </c>
      <c r="D4288" s="15" t="s">
        <v>566</v>
      </c>
      <c r="E4288" s="15" t="n">
        <v>4</v>
      </c>
      <c r="H4288" s="10"/>
      <c r="I4288" s="21"/>
      <c r="M4288" s="10"/>
      <c r="N4288" s="10"/>
      <c r="P4288" s="10"/>
      <c r="Q4288" s="22"/>
    </row>
    <row r="4289" customFormat="false" ht="15.75" hidden="false" customHeight="false" outlineLevel="0" collapsed="false">
      <c r="A4289" s="20" t="n">
        <v>46136</v>
      </c>
      <c r="B4289" s="15" t="s">
        <v>19</v>
      </c>
      <c r="C4289" s="15" t="s">
        <v>567</v>
      </c>
      <c r="D4289" s="15" t="s">
        <v>568</v>
      </c>
      <c r="E4289" s="15" t="n">
        <v>4</v>
      </c>
      <c r="H4289" s="10"/>
      <c r="I4289" s="21"/>
      <c r="M4289" s="10"/>
      <c r="N4289" s="10"/>
      <c r="P4289" s="10"/>
      <c r="Q4289" s="22"/>
    </row>
    <row r="4290" customFormat="false" ht="15.75" hidden="false" customHeight="false" outlineLevel="0" collapsed="false">
      <c r="A4290" s="20" t="n">
        <v>46136</v>
      </c>
      <c r="B4290" s="15" t="s">
        <v>19</v>
      </c>
      <c r="C4290" s="15" t="s">
        <v>43</v>
      </c>
      <c r="D4290" s="15" t="s">
        <v>538</v>
      </c>
      <c r="E4290" s="15" t="n">
        <v>4</v>
      </c>
      <c r="H4290" s="10"/>
      <c r="I4290" s="21"/>
      <c r="M4290" s="10"/>
      <c r="N4290" s="10"/>
      <c r="P4290" s="10"/>
      <c r="Q4290" s="22"/>
    </row>
    <row r="4291" customFormat="false" ht="15.75" hidden="false" customHeight="false" outlineLevel="0" collapsed="false">
      <c r="A4291" s="20" t="n">
        <v>46136</v>
      </c>
      <c r="B4291" s="15" t="s">
        <v>19</v>
      </c>
      <c r="C4291" s="15" t="s">
        <v>81</v>
      </c>
      <c r="D4291" s="15" t="s">
        <v>534</v>
      </c>
      <c r="E4291" s="15" t="n">
        <v>9</v>
      </c>
      <c r="H4291" s="10"/>
      <c r="I4291" s="21"/>
      <c r="M4291" s="10"/>
      <c r="N4291" s="10"/>
      <c r="P4291" s="10"/>
      <c r="Q4291" s="22"/>
    </row>
    <row r="4292" customFormat="false" ht="15.75" hidden="false" customHeight="false" outlineLevel="0" collapsed="false">
      <c r="A4292" s="20" t="n">
        <v>46136</v>
      </c>
      <c r="B4292" s="15" t="s">
        <v>19</v>
      </c>
      <c r="C4292" s="15" t="s">
        <v>545</v>
      </c>
      <c r="D4292" s="15" t="s">
        <v>546</v>
      </c>
      <c r="E4292" s="15" t="n">
        <v>2</v>
      </c>
      <c r="H4292" s="10"/>
      <c r="I4292" s="21"/>
      <c r="M4292" s="10"/>
      <c r="N4292" s="10"/>
      <c r="P4292" s="10"/>
      <c r="Q4292" s="22"/>
    </row>
    <row r="4293" customFormat="false" ht="15.75" hidden="false" customHeight="false" outlineLevel="0" collapsed="false">
      <c r="A4293" s="20" t="n">
        <v>46136</v>
      </c>
      <c r="B4293" s="15" t="s">
        <v>19</v>
      </c>
      <c r="C4293" s="15" t="s">
        <v>67</v>
      </c>
      <c r="D4293" s="15" t="s">
        <v>569</v>
      </c>
      <c r="E4293" s="15" t="n">
        <v>2</v>
      </c>
      <c r="H4293" s="10"/>
      <c r="I4293" s="21"/>
      <c r="M4293" s="10"/>
      <c r="N4293" s="10"/>
      <c r="P4293" s="10"/>
      <c r="Q4293" s="22"/>
    </row>
    <row r="4294" customFormat="false" ht="15.75" hidden="false" customHeight="false" outlineLevel="0" collapsed="false">
      <c r="A4294" s="20" t="n">
        <v>46136</v>
      </c>
      <c r="B4294" s="15" t="s">
        <v>19</v>
      </c>
      <c r="C4294" s="15" t="s">
        <v>77</v>
      </c>
      <c r="D4294" s="15" t="s">
        <v>78</v>
      </c>
      <c r="E4294" s="15" t="n">
        <v>4</v>
      </c>
      <c r="H4294" s="10"/>
      <c r="I4294" s="21"/>
      <c r="M4294" s="10"/>
      <c r="N4294" s="10"/>
      <c r="P4294" s="10"/>
      <c r="Q4294" s="22"/>
    </row>
    <row r="4295" customFormat="false" ht="15.75" hidden="false" customHeight="false" outlineLevel="0" collapsed="false">
      <c r="A4295" s="20" t="n">
        <v>46136</v>
      </c>
      <c r="B4295" s="15" t="s">
        <v>19</v>
      </c>
      <c r="C4295" s="15" t="s">
        <v>33</v>
      </c>
      <c r="D4295" s="15" t="s">
        <v>536</v>
      </c>
      <c r="E4295" s="15" t="n">
        <v>10</v>
      </c>
      <c r="H4295" s="10"/>
      <c r="I4295" s="21"/>
      <c r="M4295" s="10"/>
      <c r="N4295" s="10"/>
      <c r="P4295" s="10"/>
      <c r="Q4295" s="22"/>
    </row>
    <row r="4296" customFormat="false" ht="15.75" hidden="false" customHeight="false" outlineLevel="0" collapsed="false">
      <c r="A4296" s="20" t="n">
        <v>46136</v>
      </c>
      <c r="B4296" s="15" t="s">
        <v>19</v>
      </c>
      <c r="C4296" s="15" t="s">
        <v>59</v>
      </c>
      <c r="D4296" s="15" t="s">
        <v>562</v>
      </c>
      <c r="E4296" s="15" t="n">
        <v>10</v>
      </c>
      <c r="H4296" s="10"/>
      <c r="I4296" s="21"/>
      <c r="M4296" s="10"/>
      <c r="N4296" s="10"/>
      <c r="P4296" s="10"/>
      <c r="Q4296" s="22"/>
    </row>
    <row r="4297" customFormat="false" ht="15.75" hidden="false" customHeight="false" outlineLevel="0" collapsed="false">
      <c r="A4297" s="20" t="n">
        <v>46136</v>
      </c>
      <c r="B4297" s="15" t="s">
        <v>19</v>
      </c>
      <c r="C4297" s="15" t="s">
        <v>19</v>
      </c>
      <c r="D4297" s="15" t="s">
        <v>19</v>
      </c>
      <c r="E4297" s="15" t="n">
        <v>2</v>
      </c>
      <c r="H4297" s="10"/>
      <c r="I4297" s="21"/>
      <c r="M4297" s="10"/>
      <c r="N4297" s="10"/>
      <c r="P4297" s="10"/>
      <c r="Q4297" s="22"/>
    </row>
    <row r="4298" customFormat="false" ht="15.75" hidden="false" customHeight="false" outlineLevel="0" collapsed="false">
      <c r="A4298" s="20" t="n">
        <v>46136</v>
      </c>
      <c r="B4298" s="15" t="s">
        <v>19</v>
      </c>
      <c r="C4298" s="15" t="s">
        <v>570</v>
      </c>
      <c r="D4298" s="15" t="s">
        <v>571</v>
      </c>
      <c r="E4298" s="15" t="n">
        <v>2</v>
      </c>
      <c r="H4298" s="10"/>
      <c r="I4298" s="21"/>
      <c r="M4298" s="10"/>
      <c r="N4298" s="10"/>
      <c r="P4298" s="10"/>
      <c r="Q4298" s="22"/>
    </row>
    <row r="4299" customFormat="false" ht="15.75" hidden="false" customHeight="false" outlineLevel="0" collapsed="false">
      <c r="A4299" s="20" t="n">
        <v>46136</v>
      </c>
      <c r="B4299" s="15" t="s">
        <v>19</v>
      </c>
      <c r="C4299" s="15" t="s">
        <v>11</v>
      </c>
      <c r="D4299" s="15" t="s">
        <v>572</v>
      </c>
      <c r="E4299" s="15" t="n">
        <v>2</v>
      </c>
      <c r="H4299" s="10"/>
      <c r="I4299" s="21"/>
      <c r="M4299" s="10"/>
      <c r="N4299" s="10"/>
      <c r="P4299" s="10"/>
      <c r="Q4299" s="22"/>
    </row>
    <row r="4300" customFormat="false" ht="15.75" hidden="false" customHeight="false" outlineLevel="0" collapsed="false">
      <c r="A4300" s="20" t="n">
        <v>46136</v>
      </c>
      <c r="B4300" s="15" t="s">
        <v>467</v>
      </c>
      <c r="C4300" s="15" t="s">
        <v>55</v>
      </c>
      <c r="D4300" s="15" t="s">
        <v>539</v>
      </c>
      <c r="E4300" s="15" t="n">
        <v>6</v>
      </c>
      <c r="H4300" s="10"/>
      <c r="I4300" s="21"/>
      <c r="M4300" s="10"/>
      <c r="N4300" s="10"/>
      <c r="P4300" s="10"/>
      <c r="Q4300" s="22"/>
    </row>
    <row r="4301" customFormat="false" ht="15.75" hidden="false" customHeight="false" outlineLevel="0" collapsed="false">
      <c r="A4301" s="20" t="n">
        <v>46136</v>
      </c>
      <c r="B4301" s="15" t="s">
        <v>467</v>
      </c>
      <c r="C4301" s="15" t="s">
        <v>57</v>
      </c>
      <c r="D4301" s="15" t="s">
        <v>553</v>
      </c>
      <c r="E4301" s="15" t="n">
        <v>2</v>
      </c>
      <c r="H4301" s="10"/>
      <c r="I4301" s="21"/>
      <c r="M4301" s="10"/>
      <c r="N4301" s="10"/>
      <c r="P4301" s="10"/>
      <c r="Q4301" s="22"/>
    </row>
    <row r="4302" customFormat="false" ht="15.75" hidden="false" customHeight="false" outlineLevel="0" collapsed="false">
      <c r="A4302" s="20" t="n">
        <v>46136</v>
      </c>
      <c r="B4302" s="15" t="s">
        <v>467</v>
      </c>
      <c r="C4302" s="15" t="s">
        <v>47</v>
      </c>
      <c r="D4302" s="15" t="s">
        <v>549</v>
      </c>
      <c r="E4302" s="15" t="n">
        <v>2</v>
      </c>
      <c r="H4302" s="10"/>
      <c r="I4302" s="21"/>
      <c r="M4302" s="10"/>
      <c r="N4302" s="10"/>
      <c r="P4302" s="10"/>
      <c r="Q4302" s="22"/>
    </row>
    <row r="4303" customFormat="false" ht="15.75" hidden="false" customHeight="false" outlineLevel="0" collapsed="false">
      <c r="A4303" s="20" t="n">
        <v>46136</v>
      </c>
      <c r="B4303" s="15" t="s">
        <v>467</v>
      </c>
      <c r="C4303" s="15" t="s">
        <v>81</v>
      </c>
      <c r="D4303" s="15" t="s">
        <v>534</v>
      </c>
      <c r="E4303" s="15" t="n">
        <v>7</v>
      </c>
      <c r="H4303" s="10"/>
      <c r="I4303" s="21"/>
      <c r="M4303" s="10"/>
      <c r="N4303" s="10"/>
      <c r="P4303" s="10"/>
      <c r="Q4303" s="22"/>
    </row>
    <row r="4304" customFormat="false" ht="15.75" hidden="false" customHeight="false" outlineLevel="0" collapsed="false">
      <c r="A4304" s="20" t="n">
        <v>46136</v>
      </c>
      <c r="B4304" s="15" t="s">
        <v>467</v>
      </c>
      <c r="C4304" s="15" t="s">
        <v>49</v>
      </c>
      <c r="D4304" s="15" t="s">
        <v>537</v>
      </c>
      <c r="E4304" s="15" t="n">
        <v>2</v>
      </c>
      <c r="H4304" s="10"/>
      <c r="I4304" s="21"/>
      <c r="M4304" s="10"/>
      <c r="N4304" s="10"/>
      <c r="P4304" s="10"/>
      <c r="Q4304" s="22"/>
    </row>
    <row r="4305" customFormat="false" ht="15.75" hidden="false" customHeight="false" outlineLevel="0" collapsed="false">
      <c r="A4305" s="20" t="n">
        <v>46136</v>
      </c>
      <c r="B4305" s="15" t="s">
        <v>467</v>
      </c>
      <c r="C4305" s="15" t="s">
        <v>63</v>
      </c>
      <c r="D4305" s="15" t="s">
        <v>551</v>
      </c>
      <c r="E4305" s="15" t="n">
        <v>1</v>
      </c>
      <c r="H4305" s="10"/>
      <c r="I4305" s="21"/>
      <c r="M4305" s="10"/>
      <c r="N4305" s="10"/>
      <c r="P4305" s="10"/>
      <c r="Q4305" s="22"/>
    </row>
    <row r="4306" customFormat="false" ht="15.75" hidden="false" customHeight="false" outlineLevel="0" collapsed="false">
      <c r="A4306" s="20" t="n">
        <v>46136</v>
      </c>
      <c r="B4306" s="15" t="s">
        <v>469</v>
      </c>
      <c r="C4306" s="15" t="s">
        <v>69</v>
      </c>
      <c r="D4306" s="15" t="s">
        <v>535</v>
      </c>
      <c r="E4306" s="15" t="n">
        <v>5</v>
      </c>
      <c r="H4306" s="10"/>
      <c r="I4306" s="21"/>
      <c r="M4306" s="10"/>
      <c r="N4306" s="10"/>
      <c r="P4306" s="10"/>
      <c r="Q4306" s="22"/>
    </row>
    <row r="4307" customFormat="false" ht="15.75" hidden="false" customHeight="false" outlineLevel="0" collapsed="false">
      <c r="A4307" s="20" t="n">
        <v>46136</v>
      </c>
      <c r="B4307" s="15" t="s">
        <v>469</v>
      </c>
      <c r="C4307" s="15" t="s">
        <v>55</v>
      </c>
      <c r="D4307" s="15" t="s">
        <v>539</v>
      </c>
      <c r="E4307" s="15" t="n">
        <v>2</v>
      </c>
      <c r="H4307" s="10"/>
      <c r="I4307" s="21"/>
      <c r="M4307" s="10"/>
      <c r="N4307" s="10"/>
      <c r="P4307" s="10"/>
      <c r="Q4307" s="22"/>
    </row>
    <row r="4308" customFormat="false" ht="15.75" hidden="false" customHeight="false" outlineLevel="0" collapsed="false">
      <c r="A4308" s="20" t="n">
        <v>46136</v>
      </c>
      <c r="B4308" s="15" t="s">
        <v>469</v>
      </c>
      <c r="C4308" s="15" t="s">
        <v>33</v>
      </c>
      <c r="D4308" s="15" t="s">
        <v>536</v>
      </c>
      <c r="E4308" s="15" t="n">
        <v>5</v>
      </c>
      <c r="H4308" s="10"/>
      <c r="I4308" s="21"/>
      <c r="M4308" s="10"/>
      <c r="N4308" s="10"/>
      <c r="P4308" s="10"/>
      <c r="Q4308" s="22"/>
    </row>
    <row r="4309" customFormat="false" ht="15.75" hidden="false" customHeight="false" outlineLevel="0" collapsed="false">
      <c r="A4309" s="20" t="n">
        <v>46136</v>
      </c>
      <c r="B4309" s="15" t="s">
        <v>469</v>
      </c>
      <c r="C4309" s="15" t="s">
        <v>547</v>
      </c>
      <c r="D4309" s="15" t="s">
        <v>548</v>
      </c>
      <c r="E4309" s="15" t="n">
        <v>1</v>
      </c>
      <c r="H4309" s="10"/>
      <c r="I4309" s="21"/>
      <c r="M4309" s="10"/>
      <c r="N4309" s="10"/>
      <c r="P4309" s="10"/>
      <c r="Q4309" s="22"/>
    </row>
    <row r="4310" customFormat="false" ht="15.75" hidden="false" customHeight="false" outlineLevel="0" collapsed="false">
      <c r="A4310" s="20" t="n">
        <v>46136</v>
      </c>
      <c r="B4310" s="15" t="s">
        <v>469</v>
      </c>
      <c r="C4310" s="15" t="s">
        <v>81</v>
      </c>
      <c r="D4310" s="15" t="s">
        <v>534</v>
      </c>
      <c r="E4310" s="15" t="n">
        <v>2</v>
      </c>
      <c r="H4310" s="10"/>
      <c r="I4310" s="21"/>
      <c r="M4310" s="10"/>
      <c r="N4310" s="10"/>
      <c r="P4310" s="10"/>
      <c r="Q4310" s="22"/>
    </row>
    <row r="4311" customFormat="false" ht="15.75" hidden="false" customHeight="false" outlineLevel="0" collapsed="false">
      <c r="A4311" s="20" t="n">
        <v>46136</v>
      </c>
      <c r="B4311" s="15" t="s">
        <v>472</v>
      </c>
      <c r="C4311" s="15" t="s">
        <v>555</v>
      </c>
      <c r="D4311" s="15" t="s">
        <v>556</v>
      </c>
      <c r="E4311" s="15" t="n">
        <v>3</v>
      </c>
      <c r="H4311" s="10"/>
      <c r="I4311" s="21"/>
      <c r="M4311" s="10"/>
      <c r="N4311" s="10"/>
      <c r="P4311" s="10"/>
      <c r="Q4311" s="22"/>
    </row>
    <row r="4312" customFormat="false" ht="15.75" hidden="false" customHeight="false" outlineLevel="0" collapsed="false">
      <c r="A4312" s="20" t="n">
        <v>46136</v>
      </c>
      <c r="B4312" s="15" t="s">
        <v>472</v>
      </c>
      <c r="C4312" s="15" t="s">
        <v>11</v>
      </c>
      <c r="D4312" s="15" t="s">
        <v>572</v>
      </c>
      <c r="E4312" s="15" t="n">
        <v>3</v>
      </c>
      <c r="H4312" s="10"/>
      <c r="I4312" s="21"/>
      <c r="M4312" s="10"/>
      <c r="N4312" s="10"/>
      <c r="P4312" s="10"/>
      <c r="Q4312" s="22"/>
    </row>
    <row r="4313" customFormat="false" ht="15.75" hidden="false" customHeight="false" outlineLevel="0" collapsed="false">
      <c r="A4313" s="20" t="n">
        <v>46136</v>
      </c>
      <c r="B4313" s="15" t="s">
        <v>472</v>
      </c>
      <c r="C4313" s="15" t="s">
        <v>69</v>
      </c>
      <c r="D4313" s="15" t="s">
        <v>535</v>
      </c>
      <c r="E4313" s="15" t="n">
        <v>3</v>
      </c>
      <c r="H4313" s="10"/>
      <c r="I4313" s="21"/>
      <c r="M4313" s="10"/>
      <c r="N4313" s="10"/>
      <c r="P4313" s="10"/>
      <c r="Q4313" s="22"/>
    </row>
    <row r="4314" customFormat="false" ht="15.75" hidden="false" customHeight="false" outlineLevel="0" collapsed="false">
      <c r="A4314" s="20" t="n">
        <v>46136</v>
      </c>
      <c r="B4314" s="15" t="s">
        <v>472</v>
      </c>
      <c r="C4314" s="15" t="s">
        <v>25</v>
      </c>
      <c r="D4314" s="15" t="s">
        <v>26</v>
      </c>
      <c r="E4314" s="15" t="n">
        <v>3</v>
      </c>
      <c r="H4314" s="10"/>
      <c r="I4314" s="21"/>
      <c r="M4314" s="10"/>
      <c r="N4314" s="10"/>
      <c r="P4314" s="10"/>
      <c r="Q4314" s="22"/>
    </row>
    <row r="4315" customFormat="false" ht="15.75" hidden="false" customHeight="false" outlineLevel="0" collapsed="false">
      <c r="A4315" s="20" t="n">
        <v>46136</v>
      </c>
      <c r="B4315" s="15" t="s">
        <v>474</v>
      </c>
      <c r="C4315" s="15" t="s">
        <v>555</v>
      </c>
      <c r="D4315" s="15" t="s">
        <v>556</v>
      </c>
      <c r="E4315" s="15" t="n">
        <v>8</v>
      </c>
      <c r="H4315" s="10"/>
      <c r="I4315" s="21"/>
      <c r="M4315" s="10"/>
      <c r="N4315" s="10"/>
      <c r="P4315" s="10"/>
      <c r="Q4315" s="22"/>
    </row>
    <row r="4316" customFormat="false" ht="15.75" hidden="false" customHeight="false" outlineLevel="0" collapsed="false">
      <c r="A4316" s="20" t="n">
        <v>46136</v>
      </c>
      <c r="B4316" s="15" t="s">
        <v>474</v>
      </c>
      <c r="C4316" s="15" t="s">
        <v>565</v>
      </c>
      <c r="D4316" s="15" t="s">
        <v>566</v>
      </c>
      <c r="E4316" s="15" t="n">
        <v>4</v>
      </c>
      <c r="H4316" s="10"/>
      <c r="I4316" s="21"/>
      <c r="M4316" s="10"/>
      <c r="N4316" s="10"/>
      <c r="P4316" s="10"/>
      <c r="Q4316" s="22"/>
    </row>
    <row r="4317" customFormat="false" ht="15.75" hidden="false" customHeight="false" outlineLevel="0" collapsed="false">
      <c r="A4317" s="20" t="n">
        <v>46136</v>
      </c>
      <c r="B4317" s="15" t="s">
        <v>474</v>
      </c>
      <c r="C4317" s="15" t="s">
        <v>11</v>
      </c>
      <c r="D4317" s="15" t="s">
        <v>572</v>
      </c>
      <c r="E4317" s="15" t="n">
        <v>4</v>
      </c>
      <c r="H4317" s="10"/>
      <c r="I4317" s="21"/>
      <c r="M4317" s="10"/>
      <c r="N4317" s="10"/>
      <c r="P4317" s="10"/>
      <c r="Q4317" s="22"/>
    </row>
    <row r="4318" customFormat="false" ht="15.75" hidden="false" customHeight="false" outlineLevel="0" collapsed="false">
      <c r="A4318" s="20" t="n">
        <v>46136</v>
      </c>
      <c r="B4318" s="15" t="s">
        <v>474</v>
      </c>
      <c r="C4318" s="15" t="s">
        <v>543</v>
      </c>
      <c r="D4318" s="15" t="s">
        <v>544</v>
      </c>
      <c r="E4318" s="15" t="n">
        <v>4</v>
      </c>
      <c r="H4318" s="10"/>
      <c r="I4318" s="21"/>
      <c r="M4318" s="10"/>
      <c r="N4318" s="10"/>
      <c r="P4318" s="10"/>
      <c r="Q4318" s="22"/>
    </row>
    <row r="4319" customFormat="false" ht="15.75" hidden="false" customHeight="false" outlineLevel="0" collapsed="false">
      <c r="A4319" s="20" t="n">
        <v>46136</v>
      </c>
      <c r="B4319" s="15" t="s">
        <v>474</v>
      </c>
      <c r="C4319" s="15" t="s">
        <v>91</v>
      </c>
      <c r="D4319" s="15" t="s">
        <v>91</v>
      </c>
      <c r="E4319" s="15" t="n">
        <v>4</v>
      </c>
      <c r="H4319" s="10"/>
      <c r="I4319" s="21"/>
      <c r="M4319" s="10"/>
      <c r="N4319" s="10"/>
      <c r="P4319" s="10"/>
      <c r="Q4319" s="22"/>
    </row>
    <row r="4320" customFormat="false" ht="15.75" hidden="false" customHeight="false" outlineLevel="0" collapsed="false">
      <c r="A4320" s="20" t="n">
        <v>46136</v>
      </c>
      <c r="B4320" s="15" t="s">
        <v>474</v>
      </c>
      <c r="C4320" s="15" t="s">
        <v>25</v>
      </c>
      <c r="D4320" s="15" t="s">
        <v>26</v>
      </c>
      <c r="E4320" s="15" t="n">
        <v>4</v>
      </c>
      <c r="H4320" s="10"/>
      <c r="I4320" s="21"/>
      <c r="M4320" s="10"/>
      <c r="N4320" s="10"/>
      <c r="P4320" s="10"/>
      <c r="Q4320" s="22"/>
    </row>
    <row r="4321" customFormat="false" ht="15.75" hidden="false" customHeight="false" outlineLevel="0" collapsed="false">
      <c r="A4321" s="20" t="n">
        <v>46136</v>
      </c>
      <c r="B4321" s="15" t="s">
        <v>479</v>
      </c>
      <c r="C4321" s="15" t="s">
        <v>69</v>
      </c>
      <c r="D4321" s="15" t="s">
        <v>535</v>
      </c>
      <c r="E4321" s="15" t="n">
        <v>2</v>
      </c>
      <c r="H4321" s="10"/>
      <c r="I4321" s="21"/>
      <c r="M4321" s="10"/>
      <c r="N4321" s="10"/>
      <c r="P4321" s="10"/>
      <c r="Q4321" s="22"/>
    </row>
    <row r="4322" customFormat="false" ht="15.75" hidden="false" customHeight="false" outlineLevel="0" collapsed="false">
      <c r="A4322" s="20" t="n">
        <v>46136</v>
      </c>
      <c r="B4322" s="15" t="s">
        <v>479</v>
      </c>
      <c r="C4322" s="15" t="s">
        <v>547</v>
      </c>
      <c r="D4322" s="15" t="s">
        <v>548</v>
      </c>
      <c r="E4322" s="15" t="n">
        <v>2</v>
      </c>
      <c r="H4322" s="10"/>
      <c r="I4322" s="21"/>
      <c r="M4322" s="10"/>
      <c r="N4322" s="10"/>
      <c r="P4322" s="10"/>
      <c r="Q4322" s="22"/>
    </row>
    <row r="4323" customFormat="false" ht="15.75" hidden="false" customHeight="false" outlineLevel="0" collapsed="false">
      <c r="A4323" s="20" t="n">
        <v>46136</v>
      </c>
      <c r="B4323" s="15" t="s">
        <v>486</v>
      </c>
      <c r="C4323" s="15" t="s">
        <v>55</v>
      </c>
      <c r="D4323" s="15" t="s">
        <v>539</v>
      </c>
      <c r="E4323" s="15" t="n">
        <v>1</v>
      </c>
      <c r="H4323" s="10"/>
      <c r="I4323" s="21"/>
      <c r="M4323" s="10"/>
      <c r="N4323" s="10"/>
      <c r="P4323" s="10"/>
      <c r="Q4323" s="22"/>
    </row>
    <row r="4324" customFormat="false" ht="15.75" hidden="false" customHeight="false" outlineLevel="0" collapsed="false">
      <c r="A4324" s="20" t="n">
        <v>46136</v>
      </c>
      <c r="B4324" s="15" t="s">
        <v>486</v>
      </c>
      <c r="C4324" s="15" t="s">
        <v>81</v>
      </c>
      <c r="D4324" s="15" t="s">
        <v>534</v>
      </c>
      <c r="E4324" s="15" t="n">
        <v>4</v>
      </c>
      <c r="H4324" s="10"/>
      <c r="I4324" s="21"/>
      <c r="M4324" s="10"/>
      <c r="N4324" s="10"/>
      <c r="P4324" s="10"/>
      <c r="Q4324" s="22"/>
    </row>
    <row r="4325" customFormat="false" ht="15.75" hidden="false" customHeight="false" outlineLevel="0" collapsed="false">
      <c r="A4325" s="20" t="n">
        <v>46136</v>
      </c>
      <c r="B4325" s="15" t="s">
        <v>486</v>
      </c>
      <c r="C4325" s="15" t="s">
        <v>69</v>
      </c>
      <c r="D4325" s="15" t="s">
        <v>535</v>
      </c>
      <c r="E4325" s="15" t="n">
        <v>5</v>
      </c>
      <c r="H4325" s="10"/>
      <c r="I4325" s="21"/>
      <c r="M4325" s="10"/>
      <c r="N4325" s="10"/>
      <c r="P4325" s="10"/>
      <c r="Q4325" s="22"/>
    </row>
    <row r="4326" customFormat="false" ht="15.75" hidden="false" customHeight="false" outlineLevel="0" collapsed="false">
      <c r="A4326" s="20" t="n">
        <v>46136</v>
      </c>
      <c r="B4326" s="15" t="s">
        <v>486</v>
      </c>
      <c r="C4326" s="15" t="s">
        <v>25</v>
      </c>
      <c r="D4326" s="15" t="s">
        <v>26</v>
      </c>
      <c r="E4326" s="15" t="n">
        <v>1</v>
      </c>
      <c r="H4326" s="10"/>
      <c r="I4326" s="21"/>
      <c r="M4326" s="10"/>
      <c r="N4326" s="10"/>
      <c r="P4326" s="10"/>
      <c r="Q4326" s="22"/>
    </row>
    <row r="4327" customFormat="false" ht="15.75" hidden="false" customHeight="false" outlineLevel="0" collapsed="false">
      <c r="A4327" s="20" t="n">
        <v>46136</v>
      </c>
      <c r="B4327" s="15" t="s">
        <v>486</v>
      </c>
      <c r="C4327" s="15" t="s">
        <v>11</v>
      </c>
      <c r="D4327" s="15" t="s">
        <v>572</v>
      </c>
      <c r="E4327" s="15" t="n">
        <v>1</v>
      </c>
      <c r="H4327" s="10"/>
      <c r="I4327" s="21"/>
      <c r="M4327" s="10"/>
      <c r="N4327" s="10"/>
      <c r="P4327" s="10"/>
      <c r="Q4327" s="22"/>
    </row>
    <row r="4328" customFormat="false" ht="15.75" hidden="false" customHeight="false" outlineLevel="0" collapsed="false">
      <c r="A4328" s="20" t="n">
        <v>46136</v>
      </c>
      <c r="B4328" s="15" t="s">
        <v>486</v>
      </c>
      <c r="C4328" s="15" t="s">
        <v>555</v>
      </c>
      <c r="D4328" s="15" t="s">
        <v>556</v>
      </c>
      <c r="E4328" s="15" t="n">
        <v>1</v>
      </c>
      <c r="H4328" s="10"/>
      <c r="I4328" s="21"/>
      <c r="M4328" s="10"/>
      <c r="N4328" s="10"/>
      <c r="P4328" s="10"/>
      <c r="Q4328" s="22"/>
    </row>
    <row r="4329" customFormat="false" ht="15.75" hidden="false" customHeight="false" outlineLevel="0" collapsed="false">
      <c r="A4329" s="20" t="n">
        <v>46136</v>
      </c>
      <c r="B4329" s="15" t="s">
        <v>486</v>
      </c>
      <c r="C4329" s="15" t="s">
        <v>543</v>
      </c>
      <c r="D4329" s="15" t="s">
        <v>544</v>
      </c>
      <c r="E4329" s="15" t="n">
        <v>2</v>
      </c>
      <c r="H4329" s="10"/>
      <c r="I4329" s="21"/>
      <c r="M4329" s="10"/>
      <c r="N4329" s="10"/>
      <c r="P4329" s="10"/>
      <c r="Q4329" s="22"/>
    </row>
    <row r="4330" customFormat="false" ht="15.75" hidden="false" customHeight="false" outlineLevel="0" collapsed="false">
      <c r="A4330" s="20" t="n">
        <v>46136</v>
      </c>
      <c r="B4330" s="15" t="s">
        <v>486</v>
      </c>
      <c r="C4330" s="15" t="s">
        <v>545</v>
      </c>
      <c r="D4330" s="15" t="s">
        <v>546</v>
      </c>
      <c r="E4330" s="15" t="n">
        <v>1</v>
      </c>
      <c r="H4330" s="10"/>
      <c r="I4330" s="21"/>
      <c r="M4330" s="10"/>
      <c r="N4330" s="10"/>
      <c r="P4330" s="10"/>
      <c r="Q4330" s="22"/>
    </row>
    <row r="4331" customFormat="false" ht="15.75" hidden="false" customHeight="false" outlineLevel="0" collapsed="false">
      <c r="A4331" s="20" t="n">
        <v>46136</v>
      </c>
      <c r="B4331" s="15" t="s">
        <v>486</v>
      </c>
      <c r="C4331" s="15" t="s">
        <v>77</v>
      </c>
      <c r="D4331" s="15" t="s">
        <v>78</v>
      </c>
      <c r="E4331" s="15" t="n">
        <v>2</v>
      </c>
      <c r="H4331" s="10"/>
      <c r="I4331" s="21"/>
      <c r="M4331" s="10"/>
      <c r="N4331" s="10"/>
      <c r="P4331" s="10"/>
      <c r="Q4331" s="22"/>
    </row>
    <row r="4332" customFormat="false" ht="15.75" hidden="false" customHeight="false" outlineLevel="0" collapsed="false">
      <c r="A4332" s="20" t="n">
        <v>46136</v>
      </c>
      <c r="B4332" s="15" t="s">
        <v>486</v>
      </c>
      <c r="C4332" s="15" t="s">
        <v>33</v>
      </c>
      <c r="D4332" s="15" t="s">
        <v>536</v>
      </c>
      <c r="E4332" s="15" t="n">
        <v>4</v>
      </c>
      <c r="H4332" s="10"/>
      <c r="I4332" s="21"/>
      <c r="M4332" s="10"/>
      <c r="N4332" s="10"/>
      <c r="P4332" s="10"/>
      <c r="Q4332" s="22"/>
    </row>
    <row r="4333" customFormat="false" ht="15.75" hidden="false" customHeight="false" outlineLevel="0" collapsed="false">
      <c r="A4333" s="20" t="n">
        <v>46136</v>
      </c>
      <c r="B4333" s="15" t="s">
        <v>486</v>
      </c>
      <c r="C4333" s="15" t="s">
        <v>578</v>
      </c>
      <c r="D4333" s="15" t="s">
        <v>579</v>
      </c>
      <c r="E4333" s="15" t="n">
        <v>1</v>
      </c>
      <c r="H4333" s="10"/>
      <c r="I4333" s="21"/>
      <c r="M4333" s="10"/>
      <c r="N4333" s="10"/>
      <c r="P4333" s="10"/>
      <c r="Q4333" s="22"/>
    </row>
    <row r="4334" customFormat="false" ht="15.75" hidden="false" customHeight="false" outlineLevel="0" collapsed="false">
      <c r="A4334" s="20" t="n">
        <v>46136</v>
      </c>
      <c r="B4334" s="15" t="s">
        <v>486</v>
      </c>
      <c r="C4334" s="15" t="s">
        <v>59</v>
      </c>
      <c r="D4334" s="15" t="s">
        <v>562</v>
      </c>
      <c r="E4334" s="15" t="n">
        <v>1</v>
      </c>
      <c r="H4334" s="10"/>
      <c r="I4334" s="21"/>
      <c r="M4334" s="10"/>
      <c r="N4334" s="10"/>
      <c r="P4334" s="10"/>
      <c r="Q4334" s="22"/>
    </row>
    <row r="4335" customFormat="false" ht="15.75" hidden="false" customHeight="false" outlineLevel="0" collapsed="false">
      <c r="A4335" s="20" t="n">
        <v>46136</v>
      </c>
      <c r="B4335" s="15" t="s">
        <v>486</v>
      </c>
      <c r="C4335" s="15" t="s">
        <v>79</v>
      </c>
      <c r="D4335" s="15" t="s">
        <v>564</v>
      </c>
      <c r="E4335" s="15" t="n">
        <v>2</v>
      </c>
      <c r="H4335" s="10"/>
      <c r="I4335" s="21"/>
      <c r="M4335" s="10"/>
      <c r="N4335" s="10"/>
      <c r="P4335" s="10"/>
      <c r="Q4335" s="22"/>
    </row>
    <row r="4336" customFormat="false" ht="15.75" hidden="false" customHeight="false" outlineLevel="0" collapsed="false">
      <c r="A4336" s="20" t="n">
        <v>46136</v>
      </c>
      <c r="B4336" s="15" t="s">
        <v>488</v>
      </c>
      <c r="C4336" s="15" t="s">
        <v>69</v>
      </c>
      <c r="D4336" s="15" t="s">
        <v>535</v>
      </c>
      <c r="E4336" s="15" t="n">
        <v>3</v>
      </c>
      <c r="H4336" s="10"/>
      <c r="I4336" s="21"/>
      <c r="M4336" s="10"/>
      <c r="N4336" s="10"/>
      <c r="P4336" s="10"/>
      <c r="Q4336" s="22"/>
    </row>
    <row r="4337" customFormat="false" ht="15.75" hidden="false" customHeight="false" outlineLevel="0" collapsed="false">
      <c r="A4337" s="20" t="n">
        <v>46136</v>
      </c>
      <c r="B4337" s="15" t="s">
        <v>488</v>
      </c>
      <c r="C4337" s="15" t="s">
        <v>555</v>
      </c>
      <c r="D4337" s="15" t="s">
        <v>556</v>
      </c>
      <c r="E4337" s="15" t="n">
        <v>2</v>
      </c>
      <c r="H4337" s="10"/>
      <c r="I4337" s="21"/>
      <c r="M4337" s="10"/>
      <c r="N4337" s="10"/>
      <c r="P4337" s="10"/>
      <c r="Q4337" s="22"/>
    </row>
    <row r="4338" customFormat="false" ht="15.75" hidden="false" customHeight="false" outlineLevel="0" collapsed="false">
      <c r="A4338" s="20" t="n">
        <v>46136</v>
      </c>
      <c r="B4338" s="15" t="s">
        <v>488</v>
      </c>
      <c r="C4338" s="15" t="s">
        <v>565</v>
      </c>
      <c r="D4338" s="15" t="s">
        <v>566</v>
      </c>
      <c r="E4338" s="15" t="n">
        <v>1</v>
      </c>
      <c r="H4338" s="10"/>
      <c r="I4338" s="21"/>
      <c r="M4338" s="10"/>
      <c r="N4338" s="10"/>
      <c r="P4338" s="10"/>
      <c r="Q4338" s="22"/>
    </row>
    <row r="4339" customFormat="false" ht="15.75" hidden="false" customHeight="false" outlineLevel="0" collapsed="false">
      <c r="A4339" s="20" t="n">
        <v>46136</v>
      </c>
      <c r="B4339" s="15" t="s">
        <v>488</v>
      </c>
      <c r="C4339" s="15" t="s">
        <v>545</v>
      </c>
      <c r="D4339" s="15" t="s">
        <v>546</v>
      </c>
      <c r="E4339" s="15" t="n">
        <v>2</v>
      </c>
      <c r="H4339" s="10"/>
      <c r="I4339" s="21"/>
      <c r="M4339" s="10"/>
      <c r="N4339" s="10"/>
      <c r="P4339" s="10"/>
      <c r="Q4339" s="22"/>
    </row>
    <row r="4340" customFormat="false" ht="15.75" hidden="false" customHeight="false" outlineLevel="0" collapsed="false">
      <c r="A4340" s="20" t="n">
        <v>46136</v>
      </c>
      <c r="B4340" s="15" t="s">
        <v>488</v>
      </c>
      <c r="C4340" s="15" t="s">
        <v>578</v>
      </c>
      <c r="D4340" s="15" t="s">
        <v>579</v>
      </c>
      <c r="E4340" s="15" t="n">
        <v>1</v>
      </c>
      <c r="H4340" s="10"/>
      <c r="I4340" s="21"/>
      <c r="M4340" s="10"/>
      <c r="N4340" s="10"/>
      <c r="P4340" s="10"/>
      <c r="Q4340" s="22"/>
    </row>
    <row r="4341" customFormat="false" ht="15.75" hidden="false" customHeight="false" outlineLevel="0" collapsed="false">
      <c r="A4341" s="20" t="n">
        <v>46136</v>
      </c>
      <c r="B4341" s="15" t="s">
        <v>488</v>
      </c>
      <c r="C4341" s="15" t="s">
        <v>570</v>
      </c>
      <c r="D4341" s="15" t="s">
        <v>571</v>
      </c>
      <c r="E4341" s="15" t="n">
        <v>1</v>
      </c>
      <c r="H4341" s="10"/>
      <c r="I4341" s="21"/>
      <c r="M4341" s="10"/>
      <c r="N4341" s="10"/>
      <c r="P4341" s="10"/>
      <c r="Q4341" s="22"/>
    </row>
    <row r="4342" customFormat="false" ht="15.75" hidden="false" customHeight="false" outlineLevel="0" collapsed="false">
      <c r="A4342" s="20" t="n">
        <v>46136</v>
      </c>
      <c r="B4342" s="15" t="s">
        <v>488</v>
      </c>
      <c r="C4342" s="15" t="s">
        <v>11</v>
      </c>
      <c r="D4342" s="15" t="s">
        <v>572</v>
      </c>
      <c r="E4342" s="15" t="n">
        <v>1</v>
      </c>
      <c r="H4342" s="10"/>
      <c r="I4342" s="21"/>
      <c r="M4342" s="10"/>
      <c r="N4342" s="10"/>
      <c r="P4342" s="10"/>
      <c r="Q4342" s="22"/>
    </row>
    <row r="4343" customFormat="false" ht="15.75" hidden="false" customHeight="false" outlineLevel="0" collapsed="false">
      <c r="A4343" s="20" t="n">
        <v>46136</v>
      </c>
      <c r="B4343" s="15" t="s">
        <v>488</v>
      </c>
      <c r="C4343" s="15" t="s">
        <v>543</v>
      </c>
      <c r="D4343" s="15" t="s">
        <v>544</v>
      </c>
      <c r="E4343" s="15" t="n">
        <v>3</v>
      </c>
      <c r="H4343" s="10"/>
      <c r="I4343" s="21"/>
      <c r="M4343" s="10"/>
      <c r="N4343" s="10"/>
      <c r="P4343" s="10"/>
      <c r="Q4343" s="22"/>
    </row>
    <row r="4344" customFormat="false" ht="15.75" hidden="false" customHeight="false" outlineLevel="0" collapsed="false">
      <c r="A4344" s="20" t="n">
        <v>46136</v>
      </c>
      <c r="B4344" s="15" t="s">
        <v>488</v>
      </c>
      <c r="C4344" s="15" t="s">
        <v>65</v>
      </c>
      <c r="D4344" s="15" t="s">
        <v>580</v>
      </c>
      <c r="E4344" s="15" t="n">
        <v>1</v>
      </c>
      <c r="H4344" s="10"/>
      <c r="I4344" s="21"/>
      <c r="M4344" s="10"/>
      <c r="N4344" s="10"/>
      <c r="P4344" s="10"/>
      <c r="Q4344" s="22"/>
    </row>
    <row r="4345" customFormat="false" ht="15.75" hidden="false" customHeight="false" outlineLevel="0" collapsed="false">
      <c r="A4345" s="20" t="n">
        <v>46136</v>
      </c>
      <c r="B4345" s="15" t="s">
        <v>488</v>
      </c>
      <c r="C4345" s="15" t="s">
        <v>91</v>
      </c>
      <c r="D4345" s="15" t="s">
        <v>91</v>
      </c>
      <c r="E4345" s="15" t="n">
        <v>2</v>
      </c>
      <c r="H4345" s="10"/>
      <c r="I4345" s="21"/>
      <c r="M4345" s="10"/>
      <c r="N4345" s="10"/>
      <c r="P4345" s="10"/>
      <c r="Q4345" s="22"/>
    </row>
    <row r="4346" customFormat="false" ht="15.75" hidden="false" customHeight="false" outlineLevel="0" collapsed="false">
      <c r="A4346" s="20" t="n">
        <v>46136</v>
      </c>
      <c r="B4346" s="15" t="s">
        <v>488</v>
      </c>
      <c r="C4346" s="15" t="s">
        <v>33</v>
      </c>
      <c r="D4346" s="15" t="s">
        <v>536</v>
      </c>
      <c r="E4346" s="15" t="n">
        <v>3</v>
      </c>
      <c r="H4346" s="10"/>
      <c r="I4346" s="21"/>
      <c r="M4346" s="10"/>
      <c r="N4346" s="10"/>
      <c r="P4346" s="10"/>
      <c r="Q4346" s="22"/>
    </row>
    <row r="4347" customFormat="false" ht="15.75" hidden="false" customHeight="false" outlineLevel="0" collapsed="false">
      <c r="A4347" s="20" t="n">
        <v>46136</v>
      </c>
      <c r="B4347" s="15" t="s">
        <v>488</v>
      </c>
      <c r="C4347" s="15" t="s">
        <v>75</v>
      </c>
      <c r="D4347" s="15" t="s">
        <v>560</v>
      </c>
      <c r="E4347" s="15" t="n">
        <v>1</v>
      </c>
      <c r="H4347" s="10"/>
      <c r="I4347" s="21"/>
      <c r="M4347" s="10"/>
      <c r="N4347" s="10"/>
      <c r="P4347" s="10"/>
      <c r="Q4347" s="22"/>
    </row>
    <row r="4348" customFormat="false" ht="15.75" hidden="false" customHeight="false" outlineLevel="0" collapsed="false">
      <c r="A4348" s="20" t="n">
        <v>46136</v>
      </c>
      <c r="B4348" s="15" t="s">
        <v>488</v>
      </c>
      <c r="C4348" s="15" t="s">
        <v>79</v>
      </c>
      <c r="D4348" s="15" t="s">
        <v>564</v>
      </c>
      <c r="E4348" s="15" t="n">
        <v>2</v>
      </c>
      <c r="H4348" s="10"/>
      <c r="I4348" s="21"/>
      <c r="M4348" s="10"/>
      <c r="N4348" s="10"/>
      <c r="P4348" s="10"/>
      <c r="Q4348" s="22"/>
    </row>
    <row r="4349" customFormat="false" ht="15.75" hidden="false" customHeight="false" outlineLevel="0" collapsed="false">
      <c r="A4349" s="20" t="n">
        <v>46136</v>
      </c>
      <c r="B4349" s="15" t="s">
        <v>488</v>
      </c>
      <c r="C4349" s="15" t="s">
        <v>81</v>
      </c>
      <c r="D4349" s="15" t="s">
        <v>534</v>
      </c>
      <c r="E4349" s="15" t="n">
        <v>10</v>
      </c>
      <c r="H4349" s="10"/>
      <c r="I4349" s="21"/>
      <c r="M4349" s="10"/>
      <c r="N4349" s="10"/>
      <c r="P4349" s="10"/>
      <c r="Q4349" s="22"/>
    </row>
    <row r="4350" customFormat="false" ht="15.75" hidden="false" customHeight="false" outlineLevel="0" collapsed="false">
      <c r="A4350" s="20" t="n">
        <v>46136</v>
      </c>
      <c r="B4350" s="15" t="s">
        <v>488</v>
      </c>
      <c r="C4350" s="15" t="s">
        <v>77</v>
      </c>
      <c r="D4350" s="15" t="s">
        <v>78</v>
      </c>
      <c r="E4350" s="15" t="n">
        <v>3</v>
      </c>
      <c r="H4350" s="10"/>
      <c r="I4350" s="21"/>
      <c r="M4350" s="10"/>
      <c r="N4350" s="10"/>
      <c r="P4350" s="10"/>
      <c r="Q4350" s="22"/>
    </row>
    <row r="4351" customFormat="false" ht="15.75" hidden="false" customHeight="false" outlineLevel="0" collapsed="false">
      <c r="A4351" s="20" t="n">
        <v>46136</v>
      </c>
      <c r="B4351" s="15" t="s">
        <v>488</v>
      </c>
      <c r="C4351" s="15" t="s">
        <v>25</v>
      </c>
      <c r="D4351" s="15" t="s">
        <v>26</v>
      </c>
      <c r="E4351" s="15" t="n">
        <v>1</v>
      </c>
      <c r="H4351" s="10"/>
      <c r="I4351" s="21"/>
      <c r="M4351" s="10"/>
      <c r="N4351" s="10"/>
      <c r="P4351" s="10"/>
      <c r="Q4351" s="22"/>
    </row>
    <row r="4352" customFormat="false" ht="15.75" hidden="false" customHeight="false" outlineLevel="0" collapsed="false">
      <c r="A4352" s="20" t="n">
        <v>46136</v>
      </c>
      <c r="B4352" s="15" t="s">
        <v>504</v>
      </c>
      <c r="C4352" s="15" t="s">
        <v>47</v>
      </c>
      <c r="D4352" s="15" t="s">
        <v>549</v>
      </c>
      <c r="E4352" s="15" t="n">
        <v>6</v>
      </c>
      <c r="H4352" s="10"/>
      <c r="I4352" s="21"/>
      <c r="M4352" s="10"/>
      <c r="N4352" s="10"/>
      <c r="P4352" s="10"/>
      <c r="Q4352" s="22"/>
    </row>
    <row r="4353" customFormat="false" ht="15.75" hidden="false" customHeight="false" outlineLevel="0" collapsed="false">
      <c r="A4353" s="20" t="n">
        <v>46136</v>
      </c>
      <c r="B4353" s="15" t="s">
        <v>504</v>
      </c>
      <c r="C4353" s="15" t="s">
        <v>55</v>
      </c>
      <c r="D4353" s="15" t="s">
        <v>539</v>
      </c>
      <c r="E4353" s="15" t="n">
        <v>12</v>
      </c>
      <c r="H4353" s="10"/>
      <c r="I4353" s="21"/>
      <c r="M4353" s="10"/>
      <c r="N4353" s="10"/>
      <c r="P4353" s="10"/>
      <c r="Q4353" s="22"/>
    </row>
    <row r="4354" customFormat="false" ht="15.75" hidden="false" customHeight="false" outlineLevel="0" collapsed="false">
      <c r="A4354" s="20" t="n">
        <v>46136</v>
      </c>
      <c r="B4354" s="15" t="s">
        <v>504</v>
      </c>
      <c r="C4354" s="15" t="s">
        <v>81</v>
      </c>
      <c r="D4354" s="15" t="s">
        <v>534</v>
      </c>
      <c r="E4354" s="15" t="n">
        <v>18</v>
      </c>
      <c r="H4354" s="10"/>
      <c r="I4354" s="21"/>
      <c r="M4354" s="10"/>
      <c r="N4354" s="10"/>
      <c r="P4354" s="10"/>
      <c r="Q4354" s="22"/>
    </row>
    <row r="4355" customFormat="false" ht="15.75" hidden="false" customHeight="false" outlineLevel="0" collapsed="false">
      <c r="A4355" s="20" t="n">
        <v>46136</v>
      </c>
      <c r="B4355" s="15" t="s">
        <v>504</v>
      </c>
      <c r="C4355" s="15" t="s">
        <v>39</v>
      </c>
      <c r="D4355" s="15" t="s">
        <v>550</v>
      </c>
      <c r="E4355" s="15" t="n">
        <v>2</v>
      </c>
      <c r="H4355" s="10"/>
      <c r="I4355" s="21"/>
      <c r="M4355" s="10"/>
      <c r="N4355" s="10"/>
      <c r="P4355" s="10"/>
      <c r="Q4355" s="22"/>
    </row>
    <row r="4356" customFormat="false" ht="15.75" hidden="false" customHeight="false" outlineLevel="0" collapsed="false">
      <c r="A4356" s="20" t="n">
        <v>46136</v>
      </c>
      <c r="B4356" s="15" t="s">
        <v>504</v>
      </c>
      <c r="C4356" s="15" t="s">
        <v>63</v>
      </c>
      <c r="D4356" s="15" t="s">
        <v>551</v>
      </c>
      <c r="E4356" s="15" t="n">
        <v>2</v>
      </c>
      <c r="H4356" s="10"/>
      <c r="I4356" s="21"/>
      <c r="M4356" s="10"/>
      <c r="N4356" s="10"/>
      <c r="P4356" s="10"/>
      <c r="Q4356" s="22"/>
    </row>
    <row r="4357" customFormat="false" ht="15.75" hidden="false" customHeight="false" outlineLevel="0" collapsed="false">
      <c r="A4357" s="20" t="n">
        <v>46136</v>
      </c>
      <c r="B4357" s="15" t="s">
        <v>504</v>
      </c>
      <c r="C4357" s="15" t="s">
        <v>17</v>
      </c>
      <c r="D4357" s="15" t="s">
        <v>554</v>
      </c>
      <c r="E4357" s="15" t="n">
        <v>2</v>
      </c>
      <c r="H4357" s="10"/>
      <c r="I4357" s="21"/>
      <c r="M4357" s="10"/>
      <c r="N4357" s="10"/>
      <c r="P4357" s="10"/>
      <c r="Q4357" s="22"/>
    </row>
    <row r="4358" customFormat="false" ht="15.75" hidden="false" customHeight="false" outlineLevel="0" collapsed="false">
      <c r="A4358" s="20" t="n">
        <v>46136</v>
      </c>
      <c r="B4358" s="15" t="s">
        <v>508</v>
      </c>
      <c r="C4358" s="15" t="s">
        <v>55</v>
      </c>
      <c r="D4358" s="15" t="s">
        <v>539</v>
      </c>
      <c r="E4358" s="15" t="n">
        <v>5</v>
      </c>
      <c r="H4358" s="10"/>
      <c r="I4358" s="21"/>
      <c r="M4358" s="10"/>
      <c r="N4358" s="10"/>
      <c r="P4358" s="10"/>
      <c r="Q4358" s="22"/>
    </row>
    <row r="4359" customFormat="false" ht="15.75" hidden="false" customHeight="false" outlineLevel="0" collapsed="false">
      <c r="A4359" s="20" t="n">
        <v>46136</v>
      </c>
      <c r="B4359" s="15" t="s">
        <v>508</v>
      </c>
      <c r="C4359" s="15" t="s">
        <v>81</v>
      </c>
      <c r="D4359" s="15" t="s">
        <v>534</v>
      </c>
      <c r="E4359" s="15" t="n">
        <v>9</v>
      </c>
      <c r="H4359" s="10"/>
      <c r="I4359" s="21"/>
      <c r="M4359" s="10"/>
      <c r="N4359" s="10"/>
      <c r="P4359" s="10"/>
      <c r="Q4359" s="22"/>
    </row>
    <row r="4360" customFormat="false" ht="15.75" hidden="false" customHeight="false" outlineLevel="0" collapsed="false">
      <c r="A4360" s="20" t="n">
        <v>46136</v>
      </c>
      <c r="B4360" s="15" t="s">
        <v>508</v>
      </c>
      <c r="C4360" s="15" t="s">
        <v>39</v>
      </c>
      <c r="D4360" s="15" t="s">
        <v>550</v>
      </c>
      <c r="E4360" s="15" t="n">
        <v>2</v>
      </c>
      <c r="H4360" s="10"/>
      <c r="I4360" s="21"/>
      <c r="M4360" s="10"/>
      <c r="N4360" s="10"/>
      <c r="P4360" s="10"/>
      <c r="Q4360" s="22"/>
    </row>
    <row r="4361" customFormat="false" ht="15.75" hidden="false" customHeight="false" outlineLevel="0" collapsed="false">
      <c r="A4361" s="20" t="n">
        <v>46136</v>
      </c>
      <c r="B4361" s="15" t="s">
        <v>508</v>
      </c>
      <c r="C4361" s="15" t="s">
        <v>47</v>
      </c>
      <c r="D4361" s="15" t="s">
        <v>549</v>
      </c>
      <c r="E4361" s="15" t="n">
        <v>2</v>
      </c>
      <c r="H4361" s="10"/>
      <c r="I4361" s="21"/>
      <c r="M4361" s="10"/>
      <c r="N4361" s="10"/>
      <c r="P4361" s="10"/>
      <c r="Q4361" s="22"/>
    </row>
    <row r="4362" customFormat="false" ht="15.75" hidden="false" customHeight="false" outlineLevel="0" collapsed="false">
      <c r="A4362" s="20" t="n">
        <v>46136</v>
      </c>
      <c r="B4362" s="15" t="s">
        <v>508</v>
      </c>
      <c r="C4362" s="15" t="s">
        <v>63</v>
      </c>
      <c r="D4362" s="15" t="s">
        <v>551</v>
      </c>
      <c r="E4362" s="15" t="n">
        <v>1</v>
      </c>
      <c r="H4362" s="10"/>
      <c r="I4362" s="21"/>
      <c r="M4362" s="10"/>
      <c r="N4362" s="10"/>
      <c r="P4362" s="10"/>
      <c r="Q4362" s="22"/>
    </row>
    <row r="4363" customFormat="false" ht="15.75" hidden="false" customHeight="false" outlineLevel="0" collapsed="false">
      <c r="A4363" s="20" t="n">
        <v>46136</v>
      </c>
      <c r="B4363" s="15" t="s">
        <v>514</v>
      </c>
      <c r="C4363" s="15" t="s">
        <v>55</v>
      </c>
      <c r="D4363" s="15" t="s">
        <v>539</v>
      </c>
      <c r="E4363" s="15" t="n">
        <v>5</v>
      </c>
      <c r="H4363" s="10"/>
      <c r="I4363" s="21"/>
      <c r="M4363" s="10"/>
      <c r="N4363" s="10"/>
      <c r="P4363" s="10"/>
      <c r="Q4363" s="22"/>
    </row>
    <row r="4364" customFormat="false" ht="15.75" hidden="false" customHeight="false" outlineLevel="0" collapsed="false">
      <c r="A4364" s="20" t="n">
        <v>46136</v>
      </c>
      <c r="B4364" s="15" t="s">
        <v>514</v>
      </c>
      <c r="C4364" s="15" t="s">
        <v>57</v>
      </c>
      <c r="D4364" s="15" t="s">
        <v>553</v>
      </c>
      <c r="E4364" s="15" t="n">
        <v>1</v>
      </c>
      <c r="H4364" s="10"/>
      <c r="I4364" s="21"/>
      <c r="M4364" s="10"/>
      <c r="N4364" s="10"/>
      <c r="P4364" s="10"/>
      <c r="Q4364" s="22"/>
    </row>
    <row r="4365" customFormat="false" ht="15.75" hidden="false" customHeight="false" outlineLevel="0" collapsed="false">
      <c r="A4365" s="20" t="n">
        <v>46136</v>
      </c>
      <c r="B4365" s="15" t="s">
        <v>514</v>
      </c>
      <c r="C4365" s="15" t="s">
        <v>49</v>
      </c>
      <c r="D4365" s="15" t="s">
        <v>537</v>
      </c>
      <c r="E4365" s="15" t="n">
        <v>1</v>
      </c>
      <c r="H4365" s="10"/>
      <c r="I4365" s="21"/>
      <c r="M4365" s="10"/>
      <c r="N4365" s="10"/>
      <c r="P4365" s="10"/>
      <c r="Q4365" s="22"/>
    </row>
    <row r="4366" customFormat="false" ht="15.75" hidden="false" customHeight="false" outlineLevel="0" collapsed="false">
      <c r="A4366" s="20" t="n">
        <v>46136</v>
      </c>
      <c r="B4366" s="15" t="s">
        <v>514</v>
      </c>
      <c r="C4366" s="15" t="s">
        <v>47</v>
      </c>
      <c r="D4366" s="15" t="s">
        <v>549</v>
      </c>
      <c r="E4366" s="15" t="n">
        <v>4</v>
      </c>
      <c r="H4366" s="10"/>
      <c r="I4366" s="21"/>
      <c r="M4366" s="10"/>
      <c r="N4366" s="10"/>
      <c r="P4366" s="10"/>
      <c r="Q4366" s="22"/>
    </row>
    <row r="4367" customFormat="false" ht="15.75" hidden="false" customHeight="false" outlineLevel="0" collapsed="false">
      <c r="A4367" s="20" t="n">
        <v>46136</v>
      </c>
      <c r="B4367" s="15" t="s">
        <v>514</v>
      </c>
      <c r="C4367" s="15" t="s">
        <v>81</v>
      </c>
      <c r="D4367" s="15" t="s">
        <v>534</v>
      </c>
      <c r="E4367" s="15" t="n">
        <v>7</v>
      </c>
      <c r="H4367" s="10"/>
      <c r="I4367" s="21"/>
      <c r="M4367" s="10"/>
      <c r="N4367" s="10"/>
      <c r="P4367" s="10"/>
      <c r="Q4367" s="22"/>
    </row>
    <row r="4368" customFormat="false" ht="15.75" hidden="false" customHeight="false" outlineLevel="0" collapsed="false">
      <c r="A4368" s="20" t="n">
        <v>46136</v>
      </c>
      <c r="B4368" s="15" t="s">
        <v>514</v>
      </c>
      <c r="C4368" s="15" t="s">
        <v>63</v>
      </c>
      <c r="D4368" s="15" t="s">
        <v>551</v>
      </c>
      <c r="E4368" s="15" t="n">
        <v>1</v>
      </c>
      <c r="H4368" s="10"/>
      <c r="I4368" s="21"/>
      <c r="M4368" s="10"/>
      <c r="N4368" s="10"/>
      <c r="P4368" s="10"/>
      <c r="Q4368" s="22"/>
    </row>
    <row r="4369" customFormat="false" ht="15.75" hidden="false" customHeight="false" outlineLevel="0" collapsed="false">
      <c r="A4369" s="20" t="n">
        <v>46136</v>
      </c>
      <c r="B4369" s="15" t="s">
        <v>514</v>
      </c>
      <c r="C4369" s="15" t="s">
        <v>17</v>
      </c>
      <c r="D4369" s="15" t="s">
        <v>554</v>
      </c>
      <c r="E4369" s="15" t="n">
        <v>1</v>
      </c>
      <c r="H4369" s="10"/>
      <c r="I4369" s="21"/>
      <c r="M4369" s="10"/>
      <c r="N4369" s="10"/>
      <c r="P4369" s="10"/>
      <c r="Q4369" s="22"/>
    </row>
    <row r="4370" customFormat="false" ht="15.75" hidden="false" customHeight="false" outlineLevel="0" collapsed="false">
      <c r="A4370" s="20" t="n">
        <v>46136</v>
      </c>
      <c r="B4370" s="15" t="s">
        <v>517</v>
      </c>
      <c r="C4370" s="15" t="s">
        <v>69</v>
      </c>
      <c r="D4370" s="15" t="s">
        <v>535</v>
      </c>
      <c r="E4370" s="15" t="n">
        <v>6</v>
      </c>
      <c r="H4370" s="10"/>
      <c r="I4370" s="21"/>
      <c r="M4370" s="10"/>
      <c r="N4370" s="10"/>
      <c r="P4370" s="10"/>
      <c r="Q4370" s="22"/>
    </row>
    <row r="4371" customFormat="false" ht="15.75" hidden="false" customHeight="false" outlineLevel="0" collapsed="false">
      <c r="A4371" s="20" t="n">
        <v>46136</v>
      </c>
      <c r="B4371" s="15" t="s">
        <v>517</v>
      </c>
      <c r="C4371" s="15" t="s">
        <v>33</v>
      </c>
      <c r="D4371" s="15" t="s">
        <v>536</v>
      </c>
      <c r="E4371" s="15" t="n">
        <v>6</v>
      </c>
      <c r="H4371" s="10"/>
      <c r="I4371" s="21"/>
      <c r="M4371" s="10"/>
      <c r="N4371" s="10"/>
      <c r="P4371" s="10"/>
      <c r="Q4371" s="22"/>
    </row>
    <row r="4372" customFormat="false" ht="15.75" hidden="false" customHeight="false" outlineLevel="0" collapsed="false">
      <c r="A4372" s="20" t="n">
        <v>46136</v>
      </c>
      <c r="B4372" s="15" t="s">
        <v>518</v>
      </c>
      <c r="C4372" s="15" t="s">
        <v>69</v>
      </c>
      <c r="D4372" s="15" t="s">
        <v>535</v>
      </c>
      <c r="E4372" s="15" t="n">
        <v>6</v>
      </c>
      <c r="H4372" s="10"/>
      <c r="I4372" s="21"/>
      <c r="M4372" s="10"/>
      <c r="N4372" s="10"/>
      <c r="P4372" s="10"/>
      <c r="Q4372" s="22"/>
    </row>
    <row r="4373" customFormat="false" ht="15.75" hidden="false" customHeight="false" outlineLevel="0" collapsed="false">
      <c r="A4373" s="20" t="n">
        <v>46136</v>
      </c>
      <c r="B4373" s="15" t="s">
        <v>518</v>
      </c>
      <c r="C4373" s="15" t="s">
        <v>33</v>
      </c>
      <c r="D4373" s="15" t="s">
        <v>536</v>
      </c>
      <c r="E4373" s="15" t="n">
        <v>6</v>
      </c>
      <c r="H4373" s="10"/>
      <c r="I4373" s="21"/>
      <c r="M4373" s="10"/>
      <c r="N4373" s="10"/>
      <c r="P4373" s="10"/>
      <c r="Q4373" s="22"/>
    </row>
    <row r="4374" customFormat="false" ht="15.75" hidden="false" customHeight="false" outlineLevel="0" collapsed="false">
      <c r="A4374" s="20" t="n">
        <v>46136</v>
      </c>
      <c r="B4374" s="15" t="s">
        <v>518</v>
      </c>
      <c r="C4374" s="15" t="s">
        <v>47</v>
      </c>
      <c r="D4374" s="15" t="s">
        <v>549</v>
      </c>
      <c r="E4374" s="15" t="n">
        <v>2</v>
      </c>
      <c r="H4374" s="10"/>
      <c r="I4374" s="21"/>
      <c r="M4374" s="10"/>
      <c r="N4374" s="10"/>
      <c r="P4374" s="10"/>
      <c r="Q4374" s="22"/>
    </row>
    <row r="4375" customFormat="false" ht="15.75" hidden="false" customHeight="false" outlineLevel="0" collapsed="false">
      <c r="A4375" s="20" t="n">
        <v>46136</v>
      </c>
      <c r="B4375" s="15" t="s">
        <v>518</v>
      </c>
      <c r="C4375" s="15" t="s">
        <v>51</v>
      </c>
      <c r="D4375" s="15" t="s">
        <v>573</v>
      </c>
      <c r="E4375" s="15" t="n">
        <v>1</v>
      </c>
      <c r="H4375" s="10"/>
      <c r="I4375" s="21"/>
      <c r="M4375" s="10"/>
      <c r="N4375" s="10"/>
      <c r="P4375" s="10"/>
      <c r="Q4375" s="22"/>
    </row>
    <row r="4376" customFormat="false" ht="15.75" hidden="false" customHeight="false" outlineLevel="0" collapsed="false">
      <c r="A4376" s="20" t="n">
        <v>46136</v>
      </c>
      <c r="B4376" s="15" t="s">
        <v>518</v>
      </c>
      <c r="C4376" s="15" t="s">
        <v>55</v>
      </c>
      <c r="D4376" s="15" t="s">
        <v>539</v>
      </c>
      <c r="E4376" s="15" t="n">
        <v>2</v>
      </c>
      <c r="H4376" s="10"/>
      <c r="I4376" s="21"/>
      <c r="M4376" s="10"/>
      <c r="N4376" s="10"/>
      <c r="P4376" s="10"/>
      <c r="Q4376" s="22"/>
    </row>
    <row r="4377" customFormat="false" ht="15.75" hidden="false" customHeight="false" outlineLevel="0" collapsed="false">
      <c r="A4377" s="20" t="n">
        <v>46136</v>
      </c>
      <c r="B4377" s="15" t="s">
        <v>518</v>
      </c>
      <c r="C4377" s="15" t="s">
        <v>37</v>
      </c>
      <c r="D4377" s="15" t="s">
        <v>561</v>
      </c>
      <c r="E4377" s="15" t="n">
        <v>2</v>
      </c>
      <c r="H4377" s="10"/>
      <c r="I4377" s="21"/>
      <c r="M4377" s="10"/>
      <c r="N4377" s="10"/>
      <c r="P4377" s="10"/>
      <c r="Q4377" s="22"/>
    </row>
    <row r="4378" customFormat="false" ht="15.75" hidden="false" customHeight="false" outlineLevel="0" collapsed="false">
      <c r="A4378" s="20" t="n">
        <v>46136</v>
      </c>
      <c r="B4378" s="15" t="s">
        <v>518</v>
      </c>
      <c r="C4378" s="15" t="s">
        <v>547</v>
      </c>
      <c r="D4378" s="15" t="s">
        <v>548</v>
      </c>
      <c r="E4378" s="15" t="n">
        <v>1</v>
      </c>
      <c r="H4378" s="10"/>
      <c r="I4378" s="21"/>
      <c r="M4378" s="10"/>
      <c r="N4378" s="10"/>
      <c r="P4378" s="10"/>
      <c r="Q4378" s="22"/>
    </row>
    <row r="4379" customFormat="false" ht="15.75" hidden="false" customHeight="false" outlineLevel="0" collapsed="false">
      <c r="A4379" s="20" t="n">
        <v>46136</v>
      </c>
      <c r="B4379" s="15" t="s">
        <v>518</v>
      </c>
      <c r="C4379" s="15" t="s">
        <v>81</v>
      </c>
      <c r="D4379" s="15" t="s">
        <v>534</v>
      </c>
      <c r="E4379" s="15" t="n">
        <v>1</v>
      </c>
      <c r="H4379" s="10"/>
      <c r="I4379" s="21"/>
      <c r="M4379" s="10"/>
      <c r="N4379" s="10"/>
      <c r="P4379" s="10"/>
      <c r="Q4379" s="22"/>
    </row>
    <row r="4380" customFormat="false" ht="15.75" hidden="false" customHeight="false" outlineLevel="0" collapsed="false">
      <c r="A4380" s="20" t="n">
        <v>46136</v>
      </c>
      <c r="B4380" s="15" t="s">
        <v>528</v>
      </c>
      <c r="C4380" s="15" t="s">
        <v>81</v>
      </c>
      <c r="D4380" s="15" t="s">
        <v>534</v>
      </c>
      <c r="E4380" s="15" t="n">
        <v>6</v>
      </c>
      <c r="H4380" s="10"/>
      <c r="I4380" s="21"/>
      <c r="M4380" s="10"/>
      <c r="N4380" s="10"/>
      <c r="P4380" s="10"/>
      <c r="Q4380" s="22"/>
    </row>
    <row r="4381" customFormat="false" ht="15.75" hidden="false" customHeight="false" outlineLevel="0" collapsed="false">
      <c r="A4381" s="20" t="n">
        <v>46136</v>
      </c>
      <c r="B4381" s="15" t="s">
        <v>528</v>
      </c>
      <c r="C4381" s="15" t="s">
        <v>69</v>
      </c>
      <c r="D4381" s="15" t="s">
        <v>535</v>
      </c>
      <c r="E4381" s="15" t="n">
        <v>4</v>
      </c>
      <c r="H4381" s="10"/>
      <c r="I4381" s="21"/>
      <c r="M4381" s="10"/>
      <c r="N4381" s="10"/>
      <c r="P4381" s="10"/>
      <c r="Q4381" s="22"/>
    </row>
    <row r="4382" customFormat="false" ht="15.75" hidden="false" customHeight="false" outlineLevel="0" collapsed="false">
      <c r="A4382" s="20" t="n">
        <v>46136</v>
      </c>
      <c r="B4382" s="15" t="s">
        <v>528</v>
      </c>
      <c r="C4382" s="15" t="s">
        <v>33</v>
      </c>
      <c r="D4382" s="15" t="s">
        <v>536</v>
      </c>
      <c r="E4382" s="15" t="n">
        <v>2</v>
      </c>
      <c r="H4382" s="10"/>
      <c r="I4382" s="21"/>
      <c r="M4382" s="10"/>
      <c r="N4382" s="10"/>
      <c r="P4382" s="10"/>
      <c r="Q4382" s="22"/>
    </row>
    <row r="4383" customFormat="false" ht="15.75" hidden="false" customHeight="false" outlineLevel="0" collapsed="false">
      <c r="A4383" s="20" t="n">
        <v>46136</v>
      </c>
      <c r="B4383" s="15" t="s">
        <v>528</v>
      </c>
      <c r="C4383" s="15" t="s">
        <v>77</v>
      </c>
      <c r="D4383" s="15" t="s">
        <v>78</v>
      </c>
      <c r="E4383" s="15" t="n">
        <v>2</v>
      </c>
      <c r="H4383" s="10"/>
      <c r="I4383" s="21"/>
      <c r="M4383" s="10"/>
      <c r="N4383" s="10"/>
      <c r="P4383" s="10"/>
      <c r="Q4383" s="22"/>
    </row>
    <row r="4384" customFormat="false" ht="15.75" hidden="false" customHeight="false" outlineLevel="0" collapsed="false">
      <c r="A4384" s="20" t="n">
        <v>46136</v>
      </c>
      <c r="B4384" s="15" t="s">
        <v>528</v>
      </c>
      <c r="C4384" s="15" t="s">
        <v>547</v>
      </c>
      <c r="D4384" s="15" t="s">
        <v>548</v>
      </c>
      <c r="E4384" s="15" t="n">
        <v>2</v>
      </c>
      <c r="H4384" s="10"/>
      <c r="I4384" s="21"/>
      <c r="M4384" s="10"/>
      <c r="N4384" s="10"/>
      <c r="P4384" s="10"/>
      <c r="Q4384" s="22"/>
    </row>
    <row r="4385" customFormat="false" ht="15.75" hidden="false" customHeight="false" outlineLevel="0" collapsed="false">
      <c r="A4385" s="20" t="n">
        <v>46136</v>
      </c>
      <c r="B4385" s="15" t="s">
        <v>528</v>
      </c>
      <c r="C4385" s="15" t="s">
        <v>545</v>
      </c>
      <c r="D4385" s="15" t="s">
        <v>546</v>
      </c>
      <c r="E4385" s="15" t="n">
        <v>2</v>
      </c>
      <c r="H4385" s="10"/>
      <c r="I4385" s="21"/>
      <c r="M4385" s="10"/>
      <c r="N4385" s="10"/>
      <c r="P4385" s="10"/>
      <c r="Q4385" s="22"/>
    </row>
    <row r="4386" customFormat="false" ht="15.75" hidden="false" customHeight="false" outlineLevel="0" collapsed="false">
      <c r="A4386" s="20" t="n">
        <v>46136</v>
      </c>
      <c r="B4386" s="15" t="s">
        <v>528</v>
      </c>
      <c r="C4386" s="15" t="s">
        <v>543</v>
      </c>
      <c r="D4386" s="15" t="s">
        <v>544</v>
      </c>
      <c r="E4386" s="15" t="n">
        <v>4</v>
      </c>
      <c r="H4386" s="10"/>
      <c r="I4386" s="21"/>
      <c r="M4386" s="10"/>
      <c r="N4386" s="10"/>
      <c r="P4386" s="10"/>
      <c r="Q4386" s="22"/>
    </row>
    <row r="4387" customFormat="false" ht="15.75" hidden="false" customHeight="false" outlineLevel="0" collapsed="false">
      <c r="A4387" s="20" t="n">
        <v>46136</v>
      </c>
      <c r="B4387" s="15" t="s">
        <v>528</v>
      </c>
      <c r="C4387" s="15" t="s">
        <v>541</v>
      </c>
      <c r="D4387" s="15" t="s">
        <v>542</v>
      </c>
      <c r="E4387" s="15" t="n">
        <v>1</v>
      </c>
      <c r="H4387" s="10"/>
      <c r="I4387" s="21"/>
      <c r="M4387" s="10"/>
      <c r="N4387" s="10"/>
      <c r="P4387" s="10"/>
      <c r="Q4387" s="22"/>
    </row>
    <row r="4388" customFormat="false" ht="15.75" hidden="false" customHeight="false" outlineLevel="0" collapsed="false">
      <c r="A4388" s="20" t="n">
        <v>46136</v>
      </c>
      <c r="B4388" s="15" t="s">
        <v>528</v>
      </c>
      <c r="C4388" s="15" t="s">
        <v>45</v>
      </c>
      <c r="D4388" s="15" t="s">
        <v>540</v>
      </c>
      <c r="E4388" s="15" t="n">
        <v>1</v>
      </c>
      <c r="H4388" s="10"/>
      <c r="I4388" s="21"/>
      <c r="M4388" s="10"/>
      <c r="N4388" s="10"/>
      <c r="P4388" s="10"/>
      <c r="Q4388" s="22"/>
    </row>
    <row r="4389" customFormat="false" ht="15.75" hidden="false" customHeight="false" outlineLevel="0" collapsed="false">
      <c r="A4389" s="20" t="n">
        <v>46136</v>
      </c>
      <c r="B4389" s="15" t="s">
        <v>528</v>
      </c>
      <c r="C4389" s="15" t="s">
        <v>55</v>
      </c>
      <c r="D4389" s="15" t="s">
        <v>539</v>
      </c>
      <c r="E4389" s="15" t="n">
        <v>1</v>
      </c>
      <c r="H4389" s="10"/>
      <c r="I4389" s="21"/>
      <c r="M4389" s="10"/>
      <c r="N4389" s="10"/>
      <c r="P4389" s="10"/>
      <c r="Q4389" s="22"/>
    </row>
    <row r="4390" customFormat="false" ht="15.75" hidden="false" customHeight="false" outlineLevel="0" collapsed="false">
      <c r="A4390" s="20" t="n">
        <v>46136</v>
      </c>
      <c r="B4390" s="15" t="s">
        <v>528</v>
      </c>
      <c r="C4390" s="15" t="s">
        <v>59</v>
      </c>
      <c r="D4390" s="15" t="s">
        <v>562</v>
      </c>
      <c r="E4390" s="15" t="n">
        <v>1</v>
      </c>
      <c r="H4390" s="10"/>
      <c r="I4390" s="21"/>
      <c r="M4390" s="10"/>
      <c r="N4390" s="10"/>
      <c r="P4390" s="10"/>
      <c r="Q4390" s="22"/>
    </row>
    <row r="4391" customFormat="false" ht="15.75" hidden="false" customHeight="false" outlineLevel="0" collapsed="false">
      <c r="A4391" s="20" t="n">
        <v>46136</v>
      </c>
      <c r="B4391" s="15" t="s">
        <v>528</v>
      </c>
      <c r="C4391" s="15" t="s">
        <v>47</v>
      </c>
      <c r="D4391" s="15" t="s">
        <v>549</v>
      </c>
      <c r="E4391" s="15" t="n">
        <v>1</v>
      </c>
      <c r="H4391" s="10"/>
      <c r="I4391" s="21"/>
      <c r="M4391" s="10"/>
      <c r="N4391" s="10"/>
      <c r="P4391" s="10"/>
      <c r="Q4391" s="22"/>
    </row>
    <row r="4392" customFormat="false" ht="15.75" hidden="false" customHeight="false" outlineLevel="0" collapsed="false">
      <c r="A4392" s="20" t="n">
        <v>46136</v>
      </c>
      <c r="B4392" s="15" t="s">
        <v>528</v>
      </c>
      <c r="C4392" s="15" t="s">
        <v>43</v>
      </c>
      <c r="D4392" s="15" t="s">
        <v>538</v>
      </c>
      <c r="E4392" s="15" t="n">
        <v>1</v>
      </c>
      <c r="H4392" s="10"/>
      <c r="I4392" s="21"/>
      <c r="M4392" s="10"/>
      <c r="N4392" s="10"/>
      <c r="P4392" s="10"/>
      <c r="Q4392" s="22"/>
    </row>
    <row r="4393" customFormat="false" ht="15.75" hidden="false" customHeight="false" outlineLevel="0" collapsed="false">
      <c r="A4393" s="20" t="n">
        <v>46136</v>
      </c>
      <c r="B4393" s="15" t="s">
        <v>528</v>
      </c>
      <c r="C4393" s="15" t="s">
        <v>87</v>
      </c>
      <c r="D4393" s="15" t="s">
        <v>563</v>
      </c>
      <c r="E4393" s="15" t="n">
        <v>1</v>
      </c>
      <c r="H4393" s="10"/>
      <c r="I4393" s="21"/>
      <c r="M4393" s="10"/>
      <c r="N4393" s="10"/>
      <c r="P4393" s="10"/>
      <c r="Q4393" s="22"/>
    </row>
    <row r="4394" customFormat="false" ht="15.75" hidden="false" customHeight="false" outlineLevel="0" collapsed="false">
      <c r="A4394" s="20" t="n">
        <v>46139</v>
      </c>
      <c r="B4394" s="15" t="s">
        <v>473</v>
      </c>
      <c r="C4394" s="15" t="s">
        <v>555</v>
      </c>
      <c r="D4394" s="15" t="s">
        <v>556</v>
      </c>
      <c r="E4394" s="15" t="n">
        <v>4</v>
      </c>
      <c r="H4394" s="10"/>
      <c r="I4394" s="21"/>
      <c r="M4394" s="10"/>
      <c r="N4394" s="10"/>
      <c r="P4394" s="10"/>
      <c r="Q4394" s="22"/>
    </row>
    <row r="4395" customFormat="false" ht="15.75" hidden="false" customHeight="false" outlineLevel="0" collapsed="false">
      <c r="A4395" s="20" t="n">
        <v>46139</v>
      </c>
      <c r="B4395" s="15" t="s">
        <v>473</v>
      </c>
      <c r="C4395" s="15" t="s">
        <v>11</v>
      </c>
      <c r="D4395" s="15" t="s">
        <v>572</v>
      </c>
      <c r="E4395" s="15" t="n">
        <v>4</v>
      </c>
      <c r="H4395" s="10"/>
      <c r="I4395" s="21"/>
      <c r="M4395" s="10"/>
      <c r="N4395" s="10"/>
      <c r="P4395" s="10"/>
      <c r="Q4395" s="22"/>
    </row>
    <row r="4396" customFormat="false" ht="15.75" hidden="false" customHeight="false" outlineLevel="0" collapsed="false">
      <c r="A4396" s="20" t="n">
        <v>46139</v>
      </c>
      <c r="B4396" s="15" t="s">
        <v>473</v>
      </c>
      <c r="C4396" s="15" t="s">
        <v>543</v>
      </c>
      <c r="D4396" s="15" t="s">
        <v>544</v>
      </c>
      <c r="E4396" s="15" t="n">
        <v>4</v>
      </c>
      <c r="H4396" s="10"/>
      <c r="I4396" s="21"/>
      <c r="M4396" s="10"/>
      <c r="N4396" s="10"/>
      <c r="P4396" s="10"/>
      <c r="Q4396" s="22"/>
    </row>
    <row r="4397" customFormat="false" ht="15.75" hidden="false" customHeight="false" outlineLevel="0" collapsed="false">
      <c r="A4397" s="20" t="n">
        <v>46139</v>
      </c>
      <c r="B4397" s="15" t="s">
        <v>473</v>
      </c>
      <c r="C4397" s="15" t="s">
        <v>91</v>
      </c>
      <c r="D4397" s="15" t="s">
        <v>91</v>
      </c>
      <c r="E4397" s="15" t="n">
        <v>4</v>
      </c>
      <c r="H4397" s="10"/>
      <c r="I4397" s="21"/>
      <c r="M4397" s="10"/>
      <c r="N4397" s="10"/>
      <c r="P4397" s="10"/>
      <c r="Q4397" s="22"/>
    </row>
    <row r="4398" customFormat="false" ht="15.75" hidden="false" customHeight="false" outlineLevel="0" collapsed="false">
      <c r="A4398" s="20" t="n">
        <v>46139</v>
      </c>
      <c r="B4398" s="15" t="s">
        <v>473</v>
      </c>
      <c r="C4398" s="15" t="s">
        <v>25</v>
      </c>
      <c r="D4398" s="15" t="s">
        <v>26</v>
      </c>
      <c r="E4398" s="15" t="n">
        <v>4</v>
      </c>
      <c r="H4398" s="10"/>
      <c r="I4398" s="21"/>
      <c r="M4398" s="10"/>
      <c r="N4398" s="10"/>
      <c r="P4398" s="10"/>
      <c r="Q4398" s="22"/>
    </row>
    <row r="4399" customFormat="false" ht="15.75" hidden="false" customHeight="false" outlineLevel="0" collapsed="false">
      <c r="A4399" s="20" t="n">
        <v>46139</v>
      </c>
      <c r="B4399" s="15" t="s">
        <v>487</v>
      </c>
      <c r="C4399" s="15" t="s">
        <v>55</v>
      </c>
      <c r="D4399" s="15" t="s">
        <v>539</v>
      </c>
      <c r="E4399" s="15" t="n">
        <v>1</v>
      </c>
      <c r="H4399" s="10"/>
      <c r="I4399" s="21"/>
      <c r="M4399" s="10"/>
      <c r="N4399" s="10"/>
      <c r="P4399" s="10"/>
      <c r="Q4399" s="22"/>
    </row>
    <row r="4400" customFormat="false" ht="15.75" hidden="false" customHeight="false" outlineLevel="0" collapsed="false">
      <c r="A4400" s="20" t="n">
        <v>46139</v>
      </c>
      <c r="B4400" s="15" t="s">
        <v>487</v>
      </c>
      <c r="C4400" s="15" t="s">
        <v>81</v>
      </c>
      <c r="D4400" s="15" t="s">
        <v>534</v>
      </c>
      <c r="E4400" s="15" t="n">
        <v>9</v>
      </c>
      <c r="H4400" s="10"/>
      <c r="I4400" s="21"/>
      <c r="M4400" s="10"/>
      <c r="N4400" s="10"/>
      <c r="P4400" s="10"/>
      <c r="Q4400" s="22"/>
    </row>
    <row r="4401" customFormat="false" ht="15.75" hidden="false" customHeight="false" outlineLevel="0" collapsed="false">
      <c r="A4401" s="20" t="n">
        <v>46139</v>
      </c>
      <c r="B4401" s="15" t="s">
        <v>487</v>
      </c>
      <c r="C4401" s="15" t="s">
        <v>555</v>
      </c>
      <c r="D4401" s="15" t="s">
        <v>556</v>
      </c>
      <c r="E4401" s="15" t="n">
        <v>1</v>
      </c>
      <c r="H4401" s="10"/>
      <c r="I4401" s="21"/>
      <c r="M4401" s="10"/>
      <c r="N4401" s="10"/>
      <c r="P4401" s="10"/>
      <c r="Q4401" s="22"/>
    </row>
    <row r="4402" customFormat="false" ht="15.75" hidden="false" customHeight="false" outlineLevel="0" collapsed="false">
      <c r="A4402" s="20" t="n">
        <v>46139</v>
      </c>
      <c r="B4402" s="15" t="s">
        <v>487</v>
      </c>
      <c r="C4402" s="15" t="s">
        <v>570</v>
      </c>
      <c r="D4402" s="15" t="s">
        <v>571</v>
      </c>
      <c r="E4402" s="15" t="n">
        <v>1</v>
      </c>
      <c r="H4402" s="10"/>
      <c r="I4402" s="21"/>
      <c r="M4402" s="10"/>
      <c r="N4402" s="10"/>
      <c r="P4402" s="10"/>
      <c r="Q4402" s="22"/>
    </row>
    <row r="4403" customFormat="false" ht="15.75" hidden="false" customHeight="false" outlineLevel="0" collapsed="false">
      <c r="A4403" s="20" t="n">
        <v>46139</v>
      </c>
      <c r="B4403" s="15" t="s">
        <v>487</v>
      </c>
      <c r="C4403" s="15" t="s">
        <v>25</v>
      </c>
      <c r="D4403" s="15" t="s">
        <v>26</v>
      </c>
      <c r="E4403" s="15" t="n">
        <v>1</v>
      </c>
      <c r="H4403" s="10"/>
      <c r="I4403" s="21"/>
      <c r="M4403" s="10"/>
      <c r="N4403" s="10"/>
      <c r="P4403" s="10"/>
      <c r="Q4403" s="22"/>
    </row>
    <row r="4404" customFormat="false" ht="15.75" hidden="false" customHeight="false" outlineLevel="0" collapsed="false">
      <c r="A4404" s="20" t="n">
        <v>46139</v>
      </c>
      <c r="B4404" s="15" t="s">
        <v>487</v>
      </c>
      <c r="C4404" s="15" t="s">
        <v>91</v>
      </c>
      <c r="D4404" s="15" t="s">
        <v>91</v>
      </c>
      <c r="E4404" s="15" t="n">
        <v>2</v>
      </c>
      <c r="H4404" s="10"/>
      <c r="I4404" s="21"/>
      <c r="M4404" s="10"/>
      <c r="N4404" s="10"/>
      <c r="P4404" s="10"/>
      <c r="Q4404" s="22"/>
    </row>
    <row r="4405" customFormat="false" ht="15.75" hidden="false" customHeight="false" outlineLevel="0" collapsed="false">
      <c r="A4405" s="20" t="n">
        <v>46139</v>
      </c>
      <c r="B4405" s="15" t="s">
        <v>487</v>
      </c>
      <c r="C4405" s="15" t="s">
        <v>543</v>
      </c>
      <c r="D4405" s="15" t="s">
        <v>544</v>
      </c>
      <c r="E4405" s="15" t="n">
        <v>3</v>
      </c>
      <c r="H4405" s="10"/>
      <c r="I4405" s="21"/>
      <c r="M4405" s="10"/>
      <c r="N4405" s="10"/>
      <c r="P4405" s="10"/>
      <c r="Q4405" s="22"/>
    </row>
    <row r="4406" customFormat="false" ht="15.75" hidden="false" customHeight="false" outlineLevel="0" collapsed="false">
      <c r="A4406" s="20" t="n">
        <v>46139</v>
      </c>
      <c r="B4406" s="15" t="s">
        <v>487</v>
      </c>
      <c r="C4406" s="15" t="s">
        <v>545</v>
      </c>
      <c r="D4406" s="15" t="s">
        <v>546</v>
      </c>
      <c r="E4406" s="15" t="n">
        <v>1</v>
      </c>
      <c r="H4406" s="10"/>
      <c r="I4406" s="21"/>
      <c r="M4406" s="10"/>
      <c r="N4406" s="10"/>
      <c r="P4406" s="10"/>
      <c r="Q4406" s="22"/>
    </row>
    <row r="4407" customFormat="false" ht="15.75" hidden="false" customHeight="false" outlineLevel="0" collapsed="false">
      <c r="A4407" s="20" t="n">
        <v>46139</v>
      </c>
      <c r="B4407" s="15" t="s">
        <v>487</v>
      </c>
      <c r="C4407" s="15" t="s">
        <v>69</v>
      </c>
      <c r="D4407" s="15" t="s">
        <v>535</v>
      </c>
      <c r="E4407" s="15" t="n">
        <v>3</v>
      </c>
      <c r="H4407" s="10"/>
      <c r="I4407" s="21"/>
      <c r="M4407" s="10"/>
      <c r="N4407" s="10"/>
      <c r="P4407" s="10"/>
      <c r="Q4407" s="22"/>
    </row>
    <row r="4408" customFormat="false" ht="15.75" hidden="false" customHeight="false" outlineLevel="0" collapsed="false">
      <c r="A4408" s="20" t="n">
        <v>46139</v>
      </c>
      <c r="B4408" s="15" t="s">
        <v>487</v>
      </c>
      <c r="C4408" s="15" t="s">
        <v>77</v>
      </c>
      <c r="D4408" s="15" t="s">
        <v>78</v>
      </c>
      <c r="E4408" s="15" t="n">
        <v>3</v>
      </c>
      <c r="H4408" s="10"/>
      <c r="I4408" s="21"/>
      <c r="M4408" s="10"/>
      <c r="N4408" s="10"/>
      <c r="P4408" s="10"/>
      <c r="Q4408" s="22"/>
    </row>
    <row r="4409" customFormat="false" ht="15.75" hidden="false" customHeight="false" outlineLevel="0" collapsed="false">
      <c r="A4409" s="20" t="n">
        <v>46139</v>
      </c>
      <c r="B4409" s="15" t="s">
        <v>487</v>
      </c>
      <c r="C4409" s="15" t="s">
        <v>11</v>
      </c>
      <c r="D4409" s="15" t="s">
        <v>572</v>
      </c>
      <c r="E4409" s="15" t="n">
        <v>1</v>
      </c>
      <c r="H4409" s="10"/>
      <c r="I4409" s="21"/>
      <c r="M4409" s="10"/>
      <c r="N4409" s="10"/>
      <c r="P4409" s="10"/>
      <c r="Q4409" s="22"/>
    </row>
    <row r="4410" customFormat="false" ht="15.75" hidden="false" customHeight="false" outlineLevel="0" collapsed="false">
      <c r="A4410" s="20" t="n">
        <v>46139</v>
      </c>
      <c r="B4410" s="15" t="s">
        <v>487</v>
      </c>
      <c r="C4410" s="15" t="s">
        <v>33</v>
      </c>
      <c r="D4410" s="15" t="s">
        <v>536</v>
      </c>
      <c r="E4410" s="15" t="n">
        <v>3</v>
      </c>
      <c r="H4410" s="10"/>
      <c r="I4410" s="21"/>
      <c r="M4410" s="10"/>
      <c r="N4410" s="10"/>
      <c r="P4410" s="10"/>
      <c r="Q4410" s="22"/>
    </row>
    <row r="4411" customFormat="false" ht="15.75" hidden="false" customHeight="false" outlineLevel="0" collapsed="false">
      <c r="A4411" s="20" t="n">
        <v>46139</v>
      </c>
      <c r="B4411" s="15" t="s">
        <v>487</v>
      </c>
      <c r="C4411" s="15" t="s">
        <v>59</v>
      </c>
      <c r="D4411" s="15" t="s">
        <v>562</v>
      </c>
      <c r="E4411" s="15" t="n">
        <v>1</v>
      </c>
      <c r="H4411" s="10"/>
      <c r="I4411" s="21"/>
      <c r="M4411" s="10"/>
      <c r="N4411" s="10"/>
      <c r="P4411" s="10"/>
      <c r="Q4411" s="22"/>
    </row>
    <row r="4412" customFormat="false" ht="15.75" hidden="false" customHeight="false" outlineLevel="0" collapsed="false">
      <c r="A4412" s="20" t="n">
        <v>46139</v>
      </c>
      <c r="B4412" s="15" t="s">
        <v>487</v>
      </c>
      <c r="C4412" s="15" t="s">
        <v>75</v>
      </c>
      <c r="D4412" s="15" t="s">
        <v>560</v>
      </c>
      <c r="E4412" s="15" t="n">
        <v>1</v>
      </c>
      <c r="H4412" s="10"/>
      <c r="I4412" s="21"/>
      <c r="M4412" s="10"/>
      <c r="N4412" s="10"/>
      <c r="P4412" s="10"/>
      <c r="Q4412" s="22"/>
    </row>
    <row r="4413" customFormat="false" ht="15.75" hidden="false" customHeight="false" outlineLevel="0" collapsed="false">
      <c r="A4413" s="20" t="n">
        <v>46139</v>
      </c>
      <c r="B4413" s="15" t="s">
        <v>487</v>
      </c>
      <c r="C4413" s="15" t="s">
        <v>79</v>
      </c>
      <c r="D4413" s="15" t="s">
        <v>564</v>
      </c>
      <c r="E4413" s="15" t="n">
        <v>2</v>
      </c>
      <c r="H4413" s="10"/>
      <c r="I4413" s="21"/>
      <c r="M4413" s="10"/>
      <c r="N4413" s="10"/>
      <c r="P4413" s="10"/>
      <c r="Q4413" s="22"/>
    </row>
    <row r="4414" customFormat="false" ht="15.75" hidden="false" customHeight="false" outlineLevel="0" collapsed="false">
      <c r="A4414" s="20" t="n">
        <v>46139</v>
      </c>
      <c r="B4414" s="15" t="s">
        <v>504</v>
      </c>
      <c r="C4414" s="15" t="s">
        <v>47</v>
      </c>
      <c r="D4414" s="15" t="s">
        <v>549</v>
      </c>
      <c r="E4414" s="15" t="n">
        <v>3</v>
      </c>
      <c r="H4414" s="10"/>
      <c r="I4414" s="21"/>
      <c r="M4414" s="10"/>
      <c r="N4414" s="10"/>
      <c r="P4414" s="10"/>
      <c r="Q4414" s="22"/>
    </row>
    <row r="4415" customFormat="false" ht="15.75" hidden="false" customHeight="false" outlineLevel="0" collapsed="false">
      <c r="A4415" s="20" t="n">
        <v>46139</v>
      </c>
      <c r="B4415" s="15" t="s">
        <v>504</v>
      </c>
      <c r="C4415" s="15" t="s">
        <v>55</v>
      </c>
      <c r="D4415" s="15" t="s">
        <v>539</v>
      </c>
      <c r="E4415" s="15" t="n">
        <v>6</v>
      </c>
      <c r="H4415" s="10"/>
      <c r="I4415" s="21"/>
      <c r="M4415" s="10"/>
      <c r="N4415" s="10"/>
      <c r="P4415" s="10"/>
      <c r="Q4415" s="22"/>
    </row>
    <row r="4416" customFormat="false" ht="15.75" hidden="false" customHeight="false" outlineLevel="0" collapsed="false">
      <c r="A4416" s="20" t="n">
        <v>46139</v>
      </c>
      <c r="B4416" s="15" t="s">
        <v>504</v>
      </c>
      <c r="C4416" s="15" t="s">
        <v>81</v>
      </c>
      <c r="D4416" s="15" t="s">
        <v>534</v>
      </c>
      <c r="E4416" s="15" t="n">
        <v>9</v>
      </c>
      <c r="H4416" s="10"/>
      <c r="I4416" s="21"/>
      <c r="M4416" s="10"/>
      <c r="N4416" s="10"/>
      <c r="P4416" s="10"/>
      <c r="Q4416" s="22"/>
    </row>
    <row r="4417" customFormat="false" ht="15.75" hidden="false" customHeight="false" outlineLevel="0" collapsed="false">
      <c r="A4417" s="20" t="n">
        <v>46139</v>
      </c>
      <c r="B4417" s="15" t="s">
        <v>504</v>
      </c>
      <c r="C4417" s="15" t="s">
        <v>39</v>
      </c>
      <c r="D4417" s="15" t="s">
        <v>550</v>
      </c>
      <c r="E4417" s="15" t="n">
        <v>1</v>
      </c>
      <c r="H4417" s="10"/>
      <c r="I4417" s="21"/>
      <c r="M4417" s="10"/>
      <c r="N4417" s="10"/>
      <c r="P4417" s="10"/>
      <c r="Q4417" s="22"/>
    </row>
    <row r="4418" customFormat="false" ht="15.75" hidden="false" customHeight="false" outlineLevel="0" collapsed="false">
      <c r="A4418" s="20" t="n">
        <v>46139</v>
      </c>
      <c r="B4418" s="15" t="s">
        <v>504</v>
      </c>
      <c r="C4418" s="15" t="s">
        <v>63</v>
      </c>
      <c r="D4418" s="15" t="s">
        <v>551</v>
      </c>
      <c r="E4418" s="15" t="n">
        <v>1</v>
      </c>
      <c r="H4418" s="10"/>
      <c r="I4418" s="21"/>
      <c r="M4418" s="10"/>
      <c r="N4418" s="10"/>
      <c r="P4418" s="10"/>
      <c r="Q4418" s="22"/>
    </row>
    <row r="4419" customFormat="false" ht="15.75" hidden="false" customHeight="false" outlineLevel="0" collapsed="false">
      <c r="A4419" s="20" t="n">
        <v>46139</v>
      </c>
      <c r="B4419" s="15" t="s">
        <v>504</v>
      </c>
      <c r="C4419" s="15" t="s">
        <v>17</v>
      </c>
      <c r="D4419" s="15" t="s">
        <v>554</v>
      </c>
      <c r="E4419" s="15" t="n">
        <v>1</v>
      </c>
      <c r="H4419" s="10"/>
      <c r="I4419" s="21"/>
      <c r="M4419" s="10"/>
      <c r="N4419" s="10"/>
      <c r="P4419" s="10"/>
      <c r="Q4419" s="22"/>
    </row>
    <row r="4420" customFormat="false" ht="15.75" hidden="false" customHeight="false" outlineLevel="0" collapsed="false">
      <c r="A4420" s="20" t="n">
        <v>46139</v>
      </c>
      <c r="B4420" s="15" t="s">
        <v>508</v>
      </c>
      <c r="C4420" s="15" t="s">
        <v>55</v>
      </c>
      <c r="D4420" s="15" t="s">
        <v>539</v>
      </c>
      <c r="E4420" s="15" t="n">
        <v>5</v>
      </c>
      <c r="H4420" s="10"/>
      <c r="I4420" s="21"/>
      <c r="M4420" s="10"/>
      <c r="N4420" s="10"/>
      <c r="P4420" s="10"/>
      <c r="Q4420" s="22"/>
    </row>
    <row r="4421" customFormat="false" ht="15.75" hidden="false" customHeight="false" outlineLevel="0" collapsed="false">
      <c r="A4421" s="20" t="n">
        <v>46139</v>
      </c>
      <c r="B4421" s="15" t="s">
        <v>508</v>
      </c>
      <c r="C4421" s="15" t="s">
        <v>81</v>
      </c>
      <c r="D4421" s="15" t="s">
        <v>534</v>
      </c>
      <c r="E4421" s="15" t="n">
        <v>9</v>
      </c>
      <c r="H4421" s="10"/>
      <c r="I4421" s="21"/>
      <c r="M4421" s="10"/>
      <c r="N4421" s="10"/>
      <c r="P4421" s="10"/>
      <c r="Q4421" s="22"/>
    </row>
    <row r="4422" customFormat="false" ht="15.75" hidden="false" customHeight="false" outlineLevel="0" collapsed="false">
      <c r="A4422" s="20" t="n">
        <v>46139</v>
      </c>
      <c r="B4422" s="15" t="s">
        <v>508</v>
      </c>
      <c r="C4422" s="15" t="s">
        <v>39</v>
      </c>
      <c r="D4422" s="15" t="s">
        <v>550</v>
      </c>
      <c r="E4422" s="15" t="n">
        <v>2</v>
      </c>
      <c r="H4422" s="10"/>
      <c r="I4422" s="21"/>
      <c r="M4422" s="10"/>
      <c r="N4422" s="10"/>
      <c r="P4422" s="10"/>
      <c r="Q4422" s="22"/>
    </row>
    <row r="4423" customFormat="false" ht="15.75" hidden="false" customHeight="false" outlineLevel="0" collapsed="false">
      <c r="A4423" s="20" t="n">
        <v>46139</v>
      </c>
      <c r="B4423" s="15" t="s">
        <v>508</v>
      </c>
      <c r="C4423" s="15" t="s">
        <v>47</v>
      </c>
      <c r="D4423" s="15" t="s">
        <v>549</v>
      </c>
      <c r="E4423" s="15" t="n">
        <v>2</v>
      </c>
      <c r="H4423" s="10"/>
      <c r="I4423" s="21"/>
      <c r="M4423" s="10"/>
      <c r="N4423" s="10"/>
      <c r="P4423" s="10"/>
      <c r="Q4423" s="22"/>
    </row>
    <row r="4424" customFormat="false" ht="15.75" hidden="false" customHeight="false" outlineLevel="0" collapsed="false">
      <c r="A4424" s="20" t="n">
        <v>46139</v>
      </c>
      <c r="B4424" s="15" t="s">
        <v>508</v>
      </c>
      <c r="C4424" s="15" t="s">
        <v>63</v>
      </c>
      <c r="D4424" s="15" t="s">
        <v>551</v>
      </c>
      <c r="E4424" s="15" t="n">
        <v>1</v>
      </c>
      <c r="H4424" s="10"/>
      <c r="I4424" s="21"/>
      <c r="M4424" s="10"/>
      <c r="N4424" s="10"/>
      <c r="P4424" s="10"/>
      <c r="Q4424" s="22"/>
    </row>
    <row r="4425" customFormat="false" ht="15.75" hidden="false" customHeight="false" outlineLevel="0" collapsed="false">
      <c r="A4425" s="20" t="n">
        <v>46140</v>
      </c>
      <c r="B4425" s="15" t="s">
        <v>453</v>
      </c>
      <c r="C4425" s="15" t="s">
        <v>47</v>
      </c>
      <c r="D4425" s="15" t="s">
        <v>549</v>
      </c>
      <c r="E4425" s="15" t="n">
        <v>2</v>
      </c>
      <c r="H4425" s="10"/>
      <c r="I4425" s="21"/>
      <c r="M4425" s="10"/>
      <c r="N4425" s="10"/>
      <c r="P4425" s="10"/>
      <c r="Q4425" s="22"/>
    </row>
    <row r="4426" customFormat="false" ht="15.75" hidden="false" customHeight="false" outlineLevel="0" collapsed="false">
      <c r="A4426" s="20" t="n">
        <v>46140</v>
      </c>
      <c r="B4426" s="15" t="s">
        <v>453</v>
      </c>
      <c r="C4426" s="15" t="s">
        <v>55</v>
      </c>
      <c r="D4426" s="15" t="s">
        <v>539</v>
      </c>
      <c r="E4426" s="15" t="n">
        <v>4</v>
      </c>
      <c r="H4426" s="10"/>
      <c r="I4426" s="21"/>
      <c r="M4426" s="10"/>
      <c r="N4426" s="10"/>
      <c r="P4426" s="10"/>
      <c r="Q4426" s="22"/>
    </row>
    <row r="4427" customFormat="false" ht="15.75" hidden="false" customHeight="false" outlineLevel="0" collapsed="false">
      <c r="A4427" s="20" t="n">
        <v>46140</v>
      </c>
      <c r="B4427" s="15" t="s">
        <v>453</v>
      </c>
      <c r="C4427" s="15" t="s">
        <v>81</v>
      </c>
      <c r="D4427" s="15" t="s">
        <v>534</v>
      </c>
      <c r="E4427" s="15" t="n">
        <v>8</v>
      </c>
      <c r="H4427" s="10"/>
      <c r="I4427" s="21"/>
      <c r="M4427" s="10"/>
      <c r="N4427" s="10"/>
      <c r="P4427" s="10"/>
      <c r="Q4427" s="22"/>
    </row>
    <row r="4428" customFormat="false" ht="15.75" hidden="false" customHeight="false" outlineLevel="0" collapsed="false">
      <c r="A4428" s="20" t="n">
        <v>46140</v>
      </c>
      <c r="B4428" s="15" t="s">
        <v>453</v>
      </c>
      <c r="C4428" s="15" t="s">
        <v>39</v>
      </c>
      <c r="D4428" s="15" t="s">
        <v>550</v>
      </c>
      <c r="E4428" s="15" t="n">
        <v>2</v>
      </c>
      <c r="H4428" s="10"/>
      <c r="I4428" s="21"/>
      <c r="M4428" s="10"/>
      <c r="N4428" s="10"/>
      <c r="P4428" s="10"/>
      <c r="Q4428" s="22"/>
    </row>
    <row r="4429" customFormat="false" ht="15.75" hidden="false" customHeight="false" outlineLevel="0" collapsed="false">
      <c r="A4429" s="20" t="n">
        <v>46140</v>
      </c>
      <c r="B4429" s="15" t="s">
        <v>453</v>
      </c>
      <c r="C4429" s="15" t="s">
        <v>63</v>
      </c>
      <c r="D4429" s="15" t="s">
        <v>551</v>
      </c>
      <c r="E4429" s="15" t="n">
        <v>1</v>
      </c>
      <c r="H4429" s="10"/>
      <c r="I4429" s="21"/>
      <c r="M4429" s="10"/>
      <c r="N4429" s="10"/>
      <c r="P4429" s="10"/>
      <c r="Q4429" s="22"/>
    </row>
    <row r="4430" customFormat="false" ht="15.75" hidden="false" customHeight="false" outlineLevel="0" collapsed="false">
      <c r="A4430" s="20" t="n">
        <v>46140</v>
      </c>
      <c r="B4430" s="15" t="s">
        <v>453</v>
      </c>
      <c r="C4430" s="15" t="s">
        <v>35</v>
      </c>
      <c r="D4430" s="15" t="s">
        <v>552</v>
      </c>
      <c r="E4430" s="15" t="n">
        <v>2</v>
      </c>
      <c r="H4430" s="10"/>
      <c r="I4430" s="21"/>
      <c r="M4430" s="10"/>
      <c r="N4430" s="10"/>
      <c r="P4430" s="10"/>
      <c r="Q4430" s="22"/>
    </row>
    <row r="4431" customFormat="false" ht="15.75" hidden="false" customHeight="false" outlineLevel="0" collapsed="false">
      <c r="A4431" s="20" t="n">
        <v>46140</v>
      </c>
      <c r="B4431" s="15" t="s">
        <v>456</v>
      </c>
      <c r="C4431" s="15" t="s">
        <v>55</v>
      </c>
      <c r="D4431" s="15" t="s">
        <v>539</v>
      </c>
      <c r="E4431" s="15" t="n">
        <v>5</v>
      </c>
      <c r="H4431" s="10"/>
      <c r="I4431" s="21"/>
      <c r="M4431" s="10"/>
      <c r="N4431" s="10"/>
      <c r="P4431" s="10"/>
      <c r="Q4431" s="22"/>
    </row>
    <row r="4432" customFormat="false" ht="15.75" hidden="false" customHeight="false" outlineLevel="0" collapsed="false">
      <c r="A4432" s="20" t="n">
        <v>46140</v>
      </c>
      <c r="B4432" s="15" t="s">
        <v>456</v>
      </c>
      <c r="C4432" s="15" t="s">
        <v>47</v>
      </c>
      <c r="D4432" s="15" t="s">
        <v>549</v>
      </c>
      <c r="E4432" s="15" t="n">
        <v>1</v>
      </c>
      <c r="H4432" s="10"/>
      <c r="I4432" s="21"/>
      <c r="M4432" s="10"/>
      <c r="N4432" s="10"/>
      <c r="P4432" s="10"/>
      <c r="Q4432" s="22"/>
    </row>
    <row r="4433" customFormat="false" ht="15.75" hidden="false" customHeight="false" outlineLevel="0" collapsed="false">
      <c r="A4433" s="20" t="n">
        <v>46140</v>
      </c>
      <c r="B4433" s="15" t="s">
        <v>456</v>
      </c>
      <c r="C4433" s="15" t="s">
        <v>81</v>
      </c>
      <c r="D4433" s="15" t="s">
        <v>534</v>
      </c>
      <c r="E4433" s="15" t="n">
        <v>10</v>
      </c>
      <c r="H4433" s="10"/>
      <c r="I4433" s="21"/>
      <c r="M4433" s="10"/>
      <c r="N4433" s="10"/>
      <c r="P4433" s="10"/>
      <c r="Q4433" s="22"/>
    </row>
    <row r="4434" customFormat="false" ht="15.75" hidden="false" customHeight="false" outlineLevel="0" collapsed="false">
      <c r="A4434" s="20" t="n">
        <v>46140</v>
      </c>
      <c r="B4434" s="15" t="s">
        <v>456</v>
      </c>
      <c r="C4434" s="15" t="s">
        <v>49</v>
      </c>
      <c r="D4434" s="15" t="s">
        <v>537</v>
      </c>
      <c r="E4434" s="15" t="n">
        <v>1</v>
      </c>
      <c r="H4434" s="10"/>
      <c r="I4434" s="21"/>
      <c r="M4434" s="10"/>
      <c r="N4434" s="10"/>
      <c r="P4434" s="10"/>
      <c r="Q4434" s="22"/>
    </row>
    <row r="4435" customFormat="false" ht="15.75" hidden="false" customHeight="false" outlineLevel="0" collapsed="false">
      <c r="A4435" s="20" t="n">
        <v>46140</v>
      </c>
      <c r="B4435" s="15" t="s">
        <v>456</v>
      </c>
      <c r="C4435" s="15" t="s">
        <v>63</v>
      </c>
      <c r="D4435" s="15" t="s">
        <v>551</v>
      </c>
      <c r="E4435" s="15" t="n">
        <v>1</v>
      </c>
      <c r="H4435" s="10"/>
      <c r="I4435" s="21"/>
      <c r="M4435" s="10"/>
      <c r="N4435" s="10"/>
      <c r="P4435" s="10"/>
      <c r="Q4435" s="22"/>
    </row>
    <row r="4436" customFormat="false" ht="15.75" hidden="false" customHeight="false" outlineLevel="0" collapsed="false">
      <c r="A4436" s="20" t="n">
        <v>46140</v>
      </c>
      <c r="B4436" s="15" t="s">
        <v>456</v>
      </c>
      <c r="C4436" s="15" t="s">
        <v>39</v>
      </c>
      <c r="D4436" s="15" t="s">
        <v>550</v>
      </c>
      <c r="E4436" s="15" t="n">
        <v>1</v>
      </c>
      <c r="H4436" s="10"/>
      <c r="I4436" s="21"/>
      <c r="M4436" s="10"/>
      <c r="N4436" s="10"/>
      <c r="P4436" s="10"/>
      <c r="Q4436" s="22"/>
    </row>
    <row r="4437" customFormat="false" ht="15.75" hidden="false" customHeight="false" outlineLevel="0" collapsed="false">
      <c r="A4437" s="20" t="n">
        <v>46140</v>
      </c>
      <c r="B4437" s="15" t="s">
        <v>19</v>
      </c>
      <c r="C4437" s="15" t="s">
        <v>69</v>
      </c>
      <c r="D4437" s="15" t="s">
        <v>535</v>
      </c>
      <c r="E4437" s="15" t="n">
        <v>10</v>
      </c>
      <c r="H4437" s="10"/>
      <c r="I4437" s="21"/>
      <c r="M4437" s="10"/>
      <c r="N4437" s="10"/>
      <c r="P4437" s="10"/>
      <c r="Q4437" s="22"/>
    </row>
    <row r="4438" customFormat="false" ht="15.75" hidden="false" customHeight="false" outlineLevel="0" collapsed="false">
      <c r="A4438" s="20" t="n">
        <v>46140</v>
      </c>
      <c r="B4438" s="15" t="s">
        <v>19</v>
      </c>
      <c r="C4438" s="15" t="s">
        <v>55</v>
      </c>
      <c r="D4438" s="15" t="s">
        <v>539</v>
      </c>
      <c r="E4438" s="15" t="n">
        <v>10</v>
      </c>
      <c r="H4438" s="10"/>
      <c r="I4438" s="21"/>
      <c r="M4438" s="10"/>
      <c r="N4438" s="10"/>
      <c r="P4438" s="10"/>
      <c r="Q4438" s="22"/>
    </row>
    <row r="4439" customFormat="false" ht="15.75" hidden="false" customHeight="false" outlineLevel="0" collapsed="false">
      <c r="A4439" s="20" t="n">
        <v>46140</v>
      </c>
      <c r="B4439" s="15" t="s">
        <v>19</v>
      </c>
      <c r="C4439" s="15" t="s">
        <v>37</v>
      </c>
      <c r="D4439" s="15" t="s">
        <v>561</v>
      </c>
      <c r="E4439" s="15" t="n">
        <v>4</v>
      </c>
      <c r="H4439" s="10"/>
      <c r="I4439" s="21"/>
      <c r="M4439" s="10"/>
      <c r="N4439" s="10"/>
      <c r="P4439" s="10"/>
      <c r="Q4439" s="22"/>
    </row>
    <row r="4440" customFormat="false" ht="15.75" hidden="false" customHeight="false" outlineLevel="0" collapsed="false">
      <c r="A4440" s="20" t="n">
        <v>46140</v>
      </c>
      <c r="B4440" s="15" t="s">
        <v>19</v>
      </c>
      <c r="C4440" s="15" t="s">
        <v>555</v>
      </c>
      <c r="D4440" s="15" t="s">
        <v>556</v>
      </c>
      <c r="E4440" s="15" t="n">
        <v>4</v>
      </c>
      <c r="H4440" s="10"/>
      <c r="I4440" s="21"/>
      <c r="M4440" s="10"/>
      <c r="N4440" s="10"/>
      <c r="P4440" s="10"/>
      <c r="Q4440" s="22"/>
    </row>
    <row r="4441" customFormat="false" ht="15.75" hidden="false" customHeight="false" outlineLevel="0" collapsed="false">
      <c r="A4441" s="20" t="n">
        <v>46140</v>
      </c>
      <c r="B4441" s="15" t="s">
        <v>19</v>
      </c>
      <c r="C4441" s="15" t="s">
        <v>565</v>
      </c>
      <c r="D4441" s="15" t="s">
        <v>566</v>
      </c>
      <c r="E4441" s="15" t="n">
        <v>4</v>
      </c>
      <c r="H4441" s="10"/>
      <c r="I4441" s="21"/>
      <c r="M4441" s="10"/>
      <c r="N4441" s="10"/>
      <c r="P4441" s="10"/>
      <c r="Q4441" s="22"/>
    </row>
    <row r="4442" customFormat="false" ht="15.75" hidden="false" customHeight="false" outlineLevel="0" collapsed="false">
      <c r="A4442" s="20" t="n">
        <v>46140</v>
      </c>
      <c r="B4442" s="15" t="s">
        <v>19</v>
      </c>
      <c r="C4442" s="15" t="s">
        <v>567</v>
      </c>
      <c r="D4442" s="15" t="s">
        <v>568</v>
      </c>
      <c r="E4442" s="15" t="n">
        <v>4</v>
      </c>
      <c r="H4442" s="10"/>
      <c r="I4442" s="21"/>
      <c r="M4442" s="10"/>
      <c r="N4442" s="10"/>
      <c r="P4442" s="10"/>
      <c r="Q4442" s="22"/>
    </row>
    <row r="4443" customFormat="false" ht="15.75" hidden="false" customHeight="false" outlineLevel="0" collapsed="false">
      <c r="A4443" s="20" t="n">
        <v>46140</v>
      </c>
      <c r="B4443" s="15" t="s">
        <v>19</v>
      </c>
      <c r="C4443" s="15" t="s">
        <v>43</v>
      </c>
      <c r="D4443" s="15" t="s">
        <v>538</v>
      </c>
      <c r="E4443" s="15" t="n">
        <v>4</v>
      </c>
      <c r="H4443" s="10"/>
      <c r="I4443" s="21"/>
      <c r="M4443" s="10"/>
      <c r="N4443" s="10"/>
      <c r="P4443" s="10"/>
      <c r="Q4443" s="22"/>
    </row>
    <row r="4444" customFormat="false" ht="15.75" hidden="false" customHeight="false" outlineLevel="0" collapsed="false">
      <c r="A4444" s="20" t="n">
        <v>46140</v>
      </c>
      <c r="B4444" s="15" t="s">
        <v>19</v>
      </c>
      <c r="C4444" s="15" t="s">
        <v>81</v>
      </c>
      <c r="D4444" s="15" t="s">
        <v>534</v>
      </c>
      <c r="E4444" s="15" t="n">
        <v>9</v>
      </c>
      <c r="H4444" s="10"/>
      <c r="I4444" s="21"/>
      <c r="M4444" s="10"/>
      <c r="N4444" s="10"/>
      <c r="P4444" s="10"/>
      <c r="Q4444" s="22"/>
    </row>
    <row r="4445" customFormat="false" ht="15.75" hidden="false" customHeight="false" outlineLevel="0" collapsed="false">
      <c r="A4445" s="20" t="n">
        <v>46140</v>
      </c>
      <c r="B4445" s="15" t="s">
        <v>19</v>
      </c>
      <c r="C4445" s="15" t="s">
        <v>545</v>
      </c>
      <c r="D4445" s="15" t="s">
        <v>546</v>
      </c>
      <c r="E4445" s="15" t="n">
        <v>2</v>
      </c>
      <c r="H4445" s="10"/>
      <c r="I4445" s="21"/>
      <c r="M4445" s="10"/>
      <c r="N4445" s="10"/>
      <c r="P4445" s="10"/>
      <c r="Q4445" s="22"/>
    </row>
    <row r="4446" customFormat="false" ht="15.75" hidden="false" customHeight="false" outlineLevel="0" collapsed="false">
      <c r="A4446" s="20" t="n">
        <v>46140</v>
      </c>
      <c r="B4446" s="15" t="s">
        <v>19</v>
      </c>
      <c r="C4446" s="15" t="s">
        <v>67</v>
      </c>
      <c r="D4446" s="15" t="s">
        <v>569</v>
      </c>
      <c r="E4446" s="15" t="n">
        <v>2</v>
      </c>
      <c r="H4446" s="10"/>
      <c r="I4446" s="21"/>
      <c r="M4446" s="10"/>
      <c r="N4446" s="10"/>
      <c r="P4446" s="10"/>
      <c r="Q4446" s="22"/>
    </row>
    <row r="4447" customFormat="false" ht="15.75" hidden="false" customHeight="false" outlineLevel="0" collapsed="false">
      <c r="A4447" s="20" t="n">
        <v>46140</v>
      </c>
      <c r="B4447" s="15" t="s">
        <v>19</v>
      </c>
      <c r="C4447" s="15" t="s">
        <v>77</v>
      </c>
      <c r="D4447" s="15" t="s">
        <v>78</v>
      </c>
      <c r="E4447" s="15" t="n">
        <v>4</v>
      </c>
      <c r="H4447" s="10"/>
      <c r="I4447" s="21"/>
      <c r="M4447" s="10"/>
      <c r="N4447" s="10"/>
      <c r="P4447" s="10"/>
      <c r="Q4447" s="22"/>
    </row>
    <row r="4448" customFormat="false" ht="15.75" hidden="false" customHeight="false" outlineLevel="0" collapsed="false">
      <c r="A4448" s="20" t="n">
        <v>46140</v>
      </c>
      <c r="B4448" s="15" t="s">
        <v>19</v>
      </c>
      <c r="C4448" s="15" t="s">
        <v>33</v>
      </c>
      <c r="D4448" s="15" t="s">
        <v>536</v>
      </c>
      <c r="E4448" s="15" t="n">
        <v>10</v>
      </c>
      <c r="H4448" s="10"/>
      <c r="I4448" s="21"/>
      <c r="M4448" s="10"/>
      <c r="N4448" s="10"/>
      <c r="P4448" s="10"/>
      <c r="Q4448" s="22"/>
    </row>
    <row r="4449" customFormat="false" ht="15.75" hidden="false" customHeight="false" outlineLevel="0" collapsed="false">
      <c r="A4449" s="20" t="n">
        <v>46140</v>
      </c>
      <c r="B4449" s="15" t="s">
        <v>19</v>
      </c>
      <c r="C4449" s="15" t="s">
        <v>59</v>
      </c>
      <c r="D4449" s="15" t="s">
        <v>562</v>
      </c>
      <c r="E4449" s="15" t="n">
        <v>10</v>
      </c>
      <c r="H4449" s="10"/>
      <c r="I4449" s="21"/>
      <c r="M4449" s="10"/>
      <c r="N4449" s="10"/>
      <c r="P4449" s="10"/>
      <c r="Q4449" s="22"/>
    </row>
    <row r="4450" customFormat="false" ht="15.75" hidden="false" customHeight="false" outlineLevel="0" collapsed="false">
      <c r="A4450" s="20" t="n">
        <v>46140</v>
      </c>
      <c r="B4450" s="15" t="s">
        <v>19</v>
      </c>
      <c r="C4450" s="15" t="s">
        <v>19</v>
      </c>
      <c r="D4450" s="15" t="s">
        <v>19</v>
      </c>
      <c r="E4450" s="15" t="n">
        <v>2</v>
      </c>
      <c r="H4450" s="10"/>
      <c r="I4450" s="21"/>
      <c r="M4450" s="10"/>
      <c r="N4450" s="10"/>
      <c r="P4450" s="10"/>
      <c r="Q4450" s="22"/>
    </row>
    <row r="4451" customFormat="false" ht="15.75" hidden="false" customHeight="false" outlineLevel="0" collapsed="false">
      <c r="A4451" s="20" t="n">
        <v>46140</v>
      </c>
      <c r="B4451" s="15" t="s">
        <v>19</v>
      </c>
      <c r="C4451" s="15" t="s">
        <v>570</v>
      </c>
      <c r="D4451" s="15" t="s">
        <v>571</v>
      </c>
      <c r="E4451" s="15" t="n">
        <v>2</v>
      </c>
      <c r="H4451" s="10"/>
      <c r="I4451" s="21"/>
      <c r="M4451" s="10"/>
      <c r="N4451" s="10"/>
      <c r="P4451" s="10"/>
      <c r="Q4451" s="22"/>
    </row>
    <row r="4452" customFormat="false" ht="15.75" hidden="false" customHeight="false" outlineLevel="0" collapsed="false">
      <c r="A4452" s="20" t="n">
        <v>46140</v>
      </c>
      <c r="B4452" s="15" t="s">
        <v>19</v>
      </c>
      <c r="C4452" s="15" t="s">
        <v>11</v>
      </c>
      <c r="D4452" s="15" t="s">
        <v>572</v>
      </c>
      <c r="E4452" s="15" t="n">
        <v>2</v>
      </c>
      <c r="H4452" s="10"/>
      <c r="I4452" s="21"/>
      <c r="M4452" s="10"/>
      <c r="N4452" s="10"/>
      <c r="P4452" s="10"/>
      <c r="Q4452" s="22"/>
    </row>
    <row r="4453" customFormat="false" ht="15.75" hidden="false" customHeight="false" outlineLevel="0" collapsed="false">
      <c r="A4453" s="20" t="n">
        <v>46140</v>
      </c>
      <c r="B4453" s="15" t="s">
        <v>467</v>
      </c>
      <c r="C4453" s="15" t="s">
        <v>55</v>
      </c>
      <c r="D4453" s="15" t="s">
        <v>539</v>
      </c>
      <c r="E4453" s="15" t="n">
        <v>6</v>
      </c>
      <c r="H4453" s="10"/>
      <c r="I4453" s="21"/>
      <c r="M4453" s="10"/>
      <c r="N4453" s="10"/>
      <c r="P4453" s="10"/>
      <c r="Q4453" s="22"/>
    </row>
    <row r="4454" customFormat="false" ht="15.75" hidden="false" customHeight="false" outlineLevel="0" collapsed="false">
      <c r="A4454" s="20" t="n">
        <v>46140</v>
      </c>
      <c r="B4454" s="15" t="s">
        <v>467</v>
      </c>
      <c r="C4454" s="15" t="s">
        <v>57</v>
      </c>
      <c r="D4454" s="15" t="s">
        <v>553</v>
      </c>
      <c r="E4454" s="15" t="n">
        <v>2</v>
      </c>
      <c r="H4454" s="10"/>
      <c r="I4454" s="21"/>
      <c r="M4454" s="10"/>
      <c r="N4454" s="10"/>
      <c r="P4454" s="10"/>
      <c r="Q4454" s="22"/>
    </row>
    <row r="4455" customFormat="false" ht="15.75" hidden="false" customHeight="false" outlineLevel="0" collapsed="false">
      <c r="A4455" s="20" t="n">
        <v>46140</v>
      </c>
      <c r="B4455" s="15" t="s">
        <v>467</v>
      </c>
      <c r="C4455" s="15" t="s">
        <v>47</v>
      </c>
      <c r="D4455" s="15" t="s">
        <v>549</v>
      </c>
      <c r="E4455" s="15" t="n">
        <v>2</v>
      </c>
      <c r="H4455" s="10"/>
      <c r="I4455" s="21"/>
      <c r="M4455" s="10"/>
      <c r="N4455" s="10"/>
      <c r="P4455" s="10"/>
      <c r="Q4455" s="22"/>
    </row>
    <row r="4456" customFormat="false" ht="15.75" hidden="false" customHeight="false" outlineLevel="0" collapsed="false">
      <c r="A4456" s="20" t="n">
        <v>46140</v>
      </c>
      <c r="B4456" s="15" t="s">
        <v>467</v>
      </c>
      <c r="C4456" s="15" t="s">
        <v>81</v>
      </c>
      <c r="D4456" s="15" t="s">
        <v>534</v>
      </c>
      <c r="E4456" s="15" t="n">
        <v>7</v>
      </c>
      <c r="H4456" s="10"/>
      <c r="I4456" s="21"/>
      <c r="M4456" s="10"/>
      <c r="N4456" s="10"/>
      <c r="P4456" s="10"/>
      <c r="Q4456" s="22"/>
    </row>
    <row r="4457" customFormat="false" ht="15.75" hidden="false" customHeight="false" outlineLevel="0" collapsed="false">
      <c r="A4457" s="20" t="n">
        <v>46140</v>
      </c>
      <c r="B4457" s="15" t="s">
        <v>467</v>
      </c>
      <c r="C4457" s="15" t="s">
        <v>49</v>
      </c>
      <c r="D4457" s="15" t="s">
        <v>537</v>
      </c>
      <c r="E4457" s="15" t="n">
        <v>2</v>
      </c>
      <c r="H4457" s="10"/>
      <c r="I4457" s="21"/>
      <c r="M4457" s="10"/>
      <c r="N4457" s="10"/>
      <c r="P4457" s="10"/>
      <c r="Q4457" s="22"/>
    </row>
    <row r="4458" customFormat="false" ht="15.75" hidden="false" customHeight="false" outlineLevel="0" collapsed="false">
      <c r="A4458" s="20" t="n">
        <v>46140</v>
      </c>
      <c r="B4458" s="15" t="s">
        <v>467</v>
      </c>
      <c r="C4458" s="15" t="s">
        <v>63</v>
      </c>
      <c r="D4458" s="15" t="s">
        <v>551</v>
      </c>
      <c r="E4458" s="15" t="n">
        <v>1</v>
      </c>
      <c r="H4458" s="10"/>
      <c r="I4458" s="21"/>
      <c r="M4458" s="10"/>
      <c r="N4458" s="10"/>
      <c r="P4458" s="10"/>
      <c r="Q4458" s="22"/>
    </row>
    <row r="4459" customFormat="false" ht="15.75" hidden="false" customHeight="false" outlineLevel="0" collapsed="false">
      <c r="A4459" s="20" t="n">
        <v>46140</v>
      </c>
      <c r="B4459" s="15" t="s">
        <v>469</v>
      </c>
      <c r="C4459" s="15" t="s">
        <v>69</v>
      </c>
      <c r="D4459" s="15" t="s">
        <v>535</v>
      </c>
      <c r="E4459" s="15" t="n">
        <v>5</v>
      </c>
      <c r="H4459" s="10"/>
      <c r="I4459" s="21"/>
      <c r="M4459" s="10"/>
      <c r="N4459" s="10"/>
      <c r="P4459" s="10"/>
      <c r="Q4459" s="22"/>
    </row>
    <row r="4460" customFormat="false" ht="15.75" hidden="false" customHeight="false" outlineLevel="0" collapsed="false">
      <c r="A4460" s="20" t="n">
        <v>46140</v>
      </c>
      <c r="B4460" s="15" t="s">
        <v>469</v>
      </c>
      <c r="C4460" s="15" t="s">
        <v>55</v>
      </c>
      <c r="D4460" s="15" t="s">
        <v>539</v>
      </c>
      <c r="E4460" s="15" t="n">
        <v>2</v>
      </c>
      <c r="H4460" s="10"/>
      <c r="I4460" s="21"/>
      <c r="M4460" s="10"/>
      <c r="N4460" s="10"/>
      <c r="P4460" s="10"/>
      <c r="Q4460" s="22"/>
    </row>
    <row r="4461" customFormat="false" ht="15.75" hidden="false" customHeight="false" outlineLevel="0" collapsed="false">
      <c r="A4461" s="20" t="n">
        <v>46140</v>
      </c>
      <c r="B4461" s="15" t="s">
        <v>469</v>
      </c>
      <c r="C4461" s="15" t="s">
        <v>33</v>
      </c>
      <c r="D4461" s="15" t="s">
        <v>536</v>
      </c>
      <c r="E4461" s="15" t="n">
        <v>5</v>
      </c>
      <c r="H4461" s="10"/>
      <c r="I4461" s="21"/>
      <c r="M4461" s="10"/>
      <c r="N4461" s="10"/>
      <c r="P4461" s="10"/>
      <c r="Q4461" s="22"/>
    </row>
    <row r="4462" customFormat="false" ht="15.75" hidden="false" customHeight="false" outlineLevel="0" collapsed="false">
      <c r="A4462" s="20" t="n">
        <v>46140</v>
      </c>
      <c r="B4462" s="15" t="s">
        <v>469</v>
      </c>
      <c r="C4462" s="15" t="s">
        <v>547</v>
      </c>
      <c r="D4462" s="15" t="s">
        <v>548</v>
      </c>
      <c r="E4462" s="15" t="n">
        <v>1</v>
      </c>
      <c r="H4462" s="10"/>
      <c r="I4462" s="21"/>
      <c r="M4462" s="10"/>
      <c r="N4462" s="10"/>
      <c r="P4462" s="10"/>
      <c r="Q4462" s="22"/>
    </row>
    <row r="4463" customFormat="false" ht="15.75" hidden="false" customHeight="false" outlineLevel="0" collapsed="false">
      <c r="A4463" s="20" t="n">
        <v>46140</v>
      </c>
      <c r="B4463" s="15" t="s">
        <v>469</v>
      </c>
      <c r="C4463" s="15" t="s">
        <v>81</v>
      </c>
      <c r="D4463" s="15" t="s">
        <v>534</v>
      </c>
      <c r="E4463" s="15" t="n">
        <v>2</v>
      </c>
      <c r="H4463" s="10"/>
      <c r="I4463" s="21"/>
      <c r="M4463" s="10"/>
      <c r="N4463" s="10"/>
      <c r="P4463" s="10"/>
      <c r="Q4463" s="22"/>
    </row>
    <row r="4464" customFormat="false" ht="15.75" hidden="false" customHeight="false" outlineLevel="0" collapsed="false">
      <c r="A4464" s="20" t="n">
        <v>46140</v>
      </c>
      <c r="B4464" s="15" t="s">
        <v>474</v>
      </c>
      <c r="C4464" s="15" t="s">
        <v>555</v>
      </c>
      <c r="D4464" s="15" t="s">
        <v>556</v>
      </c>
      <c r="E4464" s="15" t="n">
        <v>8</v>
      </c>
      <c r="H4464" s="10"/>
      <c r="I4464" s="21"/>
      <c r="M4464" s="10"/>
      <c r="N4464" s="10"/>
      <c r="P4464" s="10"/>
      <c r="Q4464" s="22"/>
    </row>
    <row r="4465" customFormat="false" ht="15.75" hidden="false" customHeight="false" outlineLevel="0" collapsed="false">
      <c r="A4465" s="20" t="n">
        <v>46140</v>
      </c>
      <c r="B4465" s="15" t="s">
        <v>474</v>
      </c>
      <c r="C4465" s="15" t="s">
        <v>565</v>
      </c>
      <c r="D4465" s="15" t="s">
        <v>566</v>
      </c>
      <c r="E4465" s="15" t="n">
        <v>4</v>
      </c>
      <c r="H4465" s="10"/>
      <c r="I4465" s="21"/>
      <c r="M4465" s="10"/>
      <c r="N4465" s="10"/>
      <c r="P4465" s="10"/>
      <c r="Q4465" s="22"/>
    </row>
    <row r="4466" customFormat="false" ht="15.75" hidden="false" customHeight="false" outlineLevel="0" collapsed="false">
      <c r="A4466" s="20" t="n">
        <v>46140</v>
      </c>
      <c r="B4466" s="15" t="s">
        <v>474</v>
      </c>
      <c r="C4466" s="15" t="s">
        <v>11</v>
      </c>
      <c r="D4466" s="15" t="s">
        <v>572</v>
      </c>
      <c r="E4466" s="15" t="n">
        <v>4</v>
      </c>
      <c r="H4466" s="10"/>
      <c r="I4466" s="21"/>
      <c r="M4466" s="10"/>
      <c r="N4466" s="10"/>
      <c r="P4466" s="10"/>
      <c r="Q4466" s="22"/>
    </row>
    <row r="4467" customFormat="false" ht="15.75" hidden="false" customHeight="false" outlineLevel="0" collapsed="false">
      <c r="A4467" s="20" t="n">
        <v>46140</v>
      </c>
      <c r="B4467" s="15" t="s">
        <v>474</v>
      </c>
      <c r="C4467" s="15" t="s">
        <v>543</v>
      </c>
      <c r="D4467" s="15" t="s">
        <v>544</v>
      </c>
      <c r="E4467" s="15" t="n">
        <v>4</v>
      </c>
      <c r="H4467" s="10"/>
      <c r="I4467" s="21"/>
      <c r="M4467" s="10"/>
      <c r="N4467" s="10"/>
      <c r="P4467" s="10"/>
      <c r="Q4467" s="22"/>
    </row>
    <row r="4468" customFormat="false" ht="15.75" hidden="false" customHeight="false" outlineLevel="0" collapsed="false">
      <c r="A4468" s="20" t="n">
        <v>46140</v>
      </c>
      <c r="B4468" s="15" t="s">
        <v>474</v>
      </c>
      <c r="C4468" s="15" t="s">
        <v>91</v>
      </c>
      <c r="D4468" s="15" t="s">
        <v>91</v>
      </c>
      <c r="E4468" s="15" t="n">
        <v>4</v>
      </c>
      <c r="H4468" s="10"/>
      <c r="I4468" s="21"/>
      <c r="M4468" s="10"/>
      <c r="N4468" s="10"/>
      <c r="P4468" s="10"/>
      <c r="Q4468" s="22"/>
    </row>
    <row r="4469" customFormat="false" ht="15.75" hidden="false" customHeight="false" outlineLevel="0" collapsed="false">
      <c r="A4469" s="20" t="n">
        <v>46140</v>
      </c>
      <c r="B4469" s="15" t="s">
        <v>474</v>
      </c>
      <c r="C4469" s="15" t="s">
        <v>25</v>
      </c>
      <c r="D4469" s="15" t="s">
        <v>26</v>
      </c>
      <c r="E4469" s="15" t="n">
        <v>4</v>
      </c>
      <c r="H4469" s="10"/>
      <c r="I4469" s="21"/>
      <c r="M4469" s="10"/>
      <c r="N4469" s="10"/>
      <c r="P4469" s="10"/>
      <c r="Q4469" s="22"/>
    </row>
    <row r="4470" customFormat="false" ht="15.75" hidden="false" customHeight="false" outlineLevel="0" collapsed="false">
      <c r="A4470" s="20" t="n">
        <v>46140</v>
      </c>
      <c r="B4470" s="15" t="s">
        <v>477</v>
      </c>
      <c r="C4470" s="15" t="s">
        <v>69</v>
      </c>
      <c r="D4470" s="15" t="s">
        <v>535</v>
      </c>
      <c r="E4470" s="15" t="n">
        <v>3</v>
      </c>
      <c r="H4470" s="10"/>
      <c r="I4470" s="21"/>
      <c r="M4470" s="10"/>
      <c r="N4470" s="10"/>
      <c r="P4470" s="10"/>
      <c r="Q4470" s="22"/>
    </row>
    <row r="4471" customFormat="false" ht="15.75" hidden="false" customHeight="false" outlineLevel="0" collapsed="false">
      <c r="A4471" s="20" t="n">
        <v>46140</v>
      </c>
      <c r="B4471" s="15" t="s">
        <v>477</v>
      </c>
      <c r="C4471" s="15" t="s">
        <v>547</v>
      </c>
      <c r="D4471" s="15" t="s">
        <v>548</v>
      </c>
      <c r="E4471" s="15" t="n">
        <v>3</v>
      </c>
      <c r="H4471" s="10"/>
      <c r="I4471" s="21"/>
      <c r="M4471" s="10"/>
      <c r="N4471" s="10"/>
      <c r="P4471" s="10"/>
      <c r="Q4471" s="22"/>
    </row>
    <row r="4472" customFormat="false" ht="15.75" hidden="false" customHeight="false" outlineLevel="0" collapsed="false">
      <c r="A4472" s="20" t="n">
        <v>46140</v>
      </c>
      <c r="B4472" s="15" t="s">
        <v>477</v>
      </c>
      <c r="C4472" s="15" t="s">
        <v>25</v>
      </c>
      <c r="D4472" s="15" t="s">
        <v>26</v>
      </c>
      <c r="E4472" s="15" t="n">
        <v>3</v>
      </c>
      <c r="H4472" s="10"/>
      <c r="I4472" s="21"/>
      <c r="M4472" s="10"/>
      <c r="N4472" s="10"/>
      <c r="P4472" s="10"/>
      <c r="Q4472" s="22"/>
    </row>
    <row r="4473" customFormat="false" ht="15.75" hidden="false" customHeight="false" outlineLevel="0" collapsed="false">
      <c r="A4473" s="20" t="n">
        <v>46140</v>
      </c>
      <c r="B4473" s="15" t="s">
        <v>479</v>
      </c>
      <c r="C4473" s="15" t="s">
        <v>69</v>
      </c>
      <c r="D4473" s="15" t="s">
        <v>535</v>
      </c>
      <c r="E4473" s="15" t="n">
        <v>2</v>
      </c>
      <c r="H4473" s="10"/>
      <c r="I4473" s="21"/>
      <c r="M4473" s="10"/>
      <c r="N4473" s="10"/>
      <c r="P4473" s="10"/>
      <c r="Q4473" s="22"/>
    </row>
    <row r="4474" customFormat="false" ht="15.75" hidden="false" customHeight="false" outlineLevel="0" collapsed="false">
      <c r="A4474" s="20" t="n">
        <v>46140</v>
      </c>
      <c r="B4474" s="15" t="s">
        <v>479</v>
      </c>
      <c r="C4474" s="15" t="s">
        <v>547</v>
      </c>
      <c r="D4474" s="15" t="s">
        <v>548</v>
      </c>
      <c r="E4474" s="15" t="n">
        <v>2</v>
      </c>
      <c r="H4474" s="10"/>
      <c r="I4474" s="21"/>
      <c r="M4474" s="10"/>
      <c r="N4474" s="10"/>
      <c r="P4474" s="10"/>
      <c r="Q4474" s="22"/>
    </row>
    <row r="4475" customFormat="false" ht="15.75" hidden="false" customHeight="false" outlineLevel="0" collapsed="false">
      <c r="A4475" s="20" t="n">
        <v>46140</v>
      </c>
      <c r="B4475" s="15" t="s">
        <v>488</v>
      </c>
      <c r="C4475" s="15" t="s">
        <v>69</v>
      </c>
      <c r="D4475" s="15" t="s">
        <v>535</v>
      </c>
      <c r="E4475" s="15" t="n">
        <v>3</v>
      </c>
      <c r="H4475" s="10"/>
      <c r="I4475" s="21"/>
      <c r="M4475" s="10"/>
      <c r="N4475" s="10"/>
      <c r="P4475" s="10"/>
      <c r="Q4475" s="22"/>
    </row>
    <row r="4476" customFormat="false" ht="15.75" hidden="false" customHeight="false" outlineLevel="0" collapsed="false">
      <c r="A4476" s="20" t="n">
        <v>46140</v>
      </c>
      <c r="B4476" s="15" t="s">
        <v>488</v>
      </c>
      <c r="C4476" s="15" t="s">
        <v>555</v>
      </c>
      <c r="D4476" s="15" t="s">
        <v>556</v>
      </c>
      <c r="E4476" s="15" t="n">
        <v>2</v>
      </c>
      <c r="H4476" s="10"/>
      <c r="I4476" s="21"/>
      <c r="M4476" s="10"/>
      <c r="N4476" s="10"/>
      <c r="P4476" s="10"/>
      <c r="Q4476" s="22"/>
    </row>
    <row r="4477" customFormat="false" ht="15.75" hidden="false" customHeight="false" outlineLevel="0" collapsed="false">
      <c r="A4477" s="20" t="n">
        <v>46140</v>
      </c>
      <c r="B4477" s="15" t="s">
        <v>488</v>
      </c>
      <c r="C4477" s="15" t="s">
        <v>565</v>
      </c>
      <c r="D4477" s="15" t="s">
        <v>566</v>
      </c>
      <c r="E4477" s="15" t="n">
        <v>1</v>
      </c>
      <c r="H4477" s="10"/>
      <c r="I4477" s="21"/>
      <c r="M4477" s="10"/>
      <c r="N4477" s="10"/>
      <c r="P4477" s="10"/>
      <c r="Q4477" s="22"/>
    </row>
    <row r="4478" customFormat="false" ht="15.75" hidden="false" customHeight="false" outlineLevel="0" collapsed="false">
      <c r="A4478" s="20" t="n">
        <v>46140</v>
      </c>
      <c r="B4478" s="15" t="s">
        <v>488</v>
      </c>
      <c r="C4478" s="15" t="s">
        <v>545</v>
      </c>
      <c r="D4478" s="15" t="s">
        <v>546</v>
      </c>
      <c r="E4478" s="15" t="n">
        <v>2</v>
      </c>
      <c r="H4478" s="10"/>
      <c r="I4478" s="21"/>
      <c r="M4478" s="10"/>
      <c r="N4478" s="10"/>
      <c r="P4478" s="10"/>
      <c r="Q4478" s="22"/>
    </row>
    <row r="4479" customFormat="false" ht="15.75" hidden="false" customHeight="false" outlineLevel="0" collapsed="false">
      <c r="A4479" s="20" t="n">
        <v>46140</v>
      </c>
      <c r="B4479" s="15" t="s">
        <v>488</v>
      </c>
      <c r="C4479" s="15" t="s">
        <v>578</v>
      </c>
      <c r="D4479" s="15" t="s">
        <v>579</v>
      </c>
      <c r="E4479" s="15" t="n">
        <v>1</v>
      </c>
      <c r="H4479" s="10"/>
      <c r="I4479" s="21"/>
      <c r="M4479" s="10"/>
      <c r="N4479" s="10"/>
      <c r="P4479" s="10"/>
      <c r="Q4479" s="22"/>
    </row>
    <row r="4480" customFormat="false" ht="15.75" hidden="false" customHeight="false" outlineLevel="0" collapsed="false">
      <c r="A4480" s="20" t="n">
        <v>46140</v>
      </c>
      <c r="B4480" s="15" t="s">
        <v>488</v>
      </c>
      <c r="C4480" s="15" t="s">
        <v>570</v>
      </c>
      <c r="D4480" s="15" t="s">
        <v>571</v>
      </c>
      <c r="E4480" s="15" t="n">
        <v>1</v>
      </c>
      <c r="H4480" s="10"/>
      <c r="I4480" s="21"/>
      <c r="M4480" s="10"/>
      <c r="N4480" s="10"/>
      <c r="P4480" s="10"/>
      <c r="Q4480" s="22"/>
    </row>
    <row r="4481" customFormat="false" ht="15.75" hidden="false" customHeight="false" outlineLevel="0" collapsed="false">
      <c r="A4481" s="20" t="n">
        <v>46140</v>
      </c>
      <c r="B4481" s="15" t="s">
        <v>488</v>
      </c>
      <c r="C4481" s="15" t="s">
        <v>11</v>
      </c>
      <c r="D4481" s="15" t="s">
        <v>572</v>
      </c>
      <c r="E4481" s="15" t="n">
        <v>1</v>
      </c>
      <c r="H4481" s="10"/>
      <c r="I4481" s="21"/>
      <c r="M4481" s="10"/>
      <c r="N4481" s="10"/>
      <c r="P4481" s="10"/>
      <c r="Q4481" s="22"/>
    </row>
    <row r="4482" customFormat="false" ht="15.75" hidden="false" customHeight="false" outlineLevel="0" collapsed="false">
      <c r="A4482" s="20" t="n">
        <v>46140</v>
      </c>
      <c r="B4482" s="15" t="s">
        <v>488</v>
      </c>
      <c r="C4482" s="15" t="s">
        <v>543</v>
      </c>
      <c r="D4482" s="15" t="s">
        <v>544</v>
      </c>
      <c r="E4482" s="15" t="n">
        <v>3</v>
      </c>
      <c r="H4482" s="10"/>
      <c r="I4482" s="21"/>
      <c r="M4482" s="10"/>
      <c r="N4482" s="10"/>
      <c r="P4482" s="10"/>
      <c r="Q4482" s="22"/>
    </row>
    <row r="4483" customFormat="false" ht="15.75" hidden="false" customHeight="false" outlineLevel="0" collapsed="false">
      <c r="A4483" s="20" t="n">
        <v>46140</v>
      </c>
      <c r="B4483" s="15" t="s">
        <v>488</v>
      </c>
      <c r="C4483" s="15" t="s">
        <v>65</v>
      </c>
      <c r="D4483" s="15" t="s">
        <v>580</v>
      </c>
      <c r="E4483" s="15" t="n">
        <v>1</v>
      </c>
      <c r="H4483" s="10"/>
      <c r="I4483" s="21"/>
      <c r="M4483" s="10"/>
      <c r="N4483" s="10"/>
      <c r="P4483" s="10"/>
      <c r="Q4483" s="22"/>
    </row>
    <row r="4484" customFormat="false" ht="15.75" hidden="false" customHeight="false" outlineLevel="0" collapsed="false">
      <c r="A4484" s="20" t="n">
        <v>46140</v>
      </c>
      <c r="B4484" s="15" t="s">
        <v>488</v>
      </c>
      <c r="C4484" s="15" t="s">
        <v>91</v>
      </c>
      <c r="D4484" s="15" t="s">
        <v>91</v>
      </c>
      <c r="E4484" s="15" t="n">
        <v>2</v>
      </c>
      <c r="H4484" s="10"/>
      <c r="I4484" s="21"/>
      <c r="M4484" s="10"/>
      <c r="N4484" s="10"/>
      <c r="P4484" s="10"/>
      <c r="Q4484" s="22"/>
    </row>
    <row r="4485" customFormat="false" ht="15.75" hidden="false" customHeight="false" outlineLevel="0" collapsed="false">
      <c r="A4485" s="20" t="n">
        <v>46140</v>
      </c>
      <c r="B4485" s="15" t="s">
        <v>488</v>
      </c>
      <c r="C4485" s="15" t="s">
        <v>33</v>
      </c>
      <c r="D4485" s="15" t="s">
        <v>536</v>
      </c>
      <c r="E4485" s="15" t="n">
        <v>3</v>
      </c>
      <c r="H4485" s="10"/>
      <c r="I4485" s="21"/>
      <c r="M4485" s="10"/>
      <c r="N4485" s="10"/>
      <c r="P4485" s="10"/>
      <c r="Q4485" s="22"/>
    </row>
    <row r="4486" customFormat="false" ht="15.75" hidden="false" customHeight="false" outlineLevel="0" collapsed="false">
      <c r="A4486" s="20" t="n">
        <v>46140</v>
      </c>
      <c r="B4486" s="15" t="s">
        <v>488</v>
      </c>
      <c r="C4486" s="15" t="s">
        <v>75</v>
      </c>
      <c r="D4486" s="15" t="s">
        <v>560</v>
      </c>
      <c r="E4486" s="15" t="n">
        <v>1</v>
      </c>
      <c r="H4486" s="10"/>
      <c r="I4486" s="21"/>
      <c r="M4486" s="10"/>
      <c r="N4486" s="10"/>
      <c r="P4486" s="10"/>
      <c r="Q4486" s="22"/>
    </row>
    <row r="4487" customFormat="false" ht="15.75" hidden="false" customHeight="false" outlineLevel="0" collapsed="false">
      <c r="A4487" s="20" t="n">
        <v>46140</v>
      </c>
      <c r="B4487" s="15" t="s">
        <v>488</v>
      </c>
      <c r="C4487" s="15" t="s">
        <v>79</v>
      </c>
      <c r="D4487" s="15" t="s">
        <v>564</v>
      </c>
      <c r="E4487" s="15" t="n">
        <v>2</v>
      </c>
      <c r="H4487" s="10"/>
      <c r="I4487" s="21"/>
      <c r="M4487" s="10"/>
      <c r="N4487" s="10"/>
      <c r="P4487" s="10"/>
      <c r="Q4487" s="22"/>
    </row>
    <row r="4488" customFormat="false" ht="15.75" hidden="false" customHeight="false" outlineLevel="0" collapsed="false">
      <c r="A4488" s="20" t="n">
        <v>46140</v>
      </c>
      <c r="B4488" s="15" t="s">
        <v>488</v>
      </c>
      <c r="C4488" s="15" t="s">
        <v>81</v>
      </c>
      <c r="D4488" s="15" t="s">
        <v>534</v>
      </c>
      <c r="E4488" s="15" t="n">
        <v>10</v>
      </c>
      <c r="H4488" s="10"/>
      <c r="I4488" s="21"/>
      <c r="M4488" s="10"/>
      <c r="N4488" s="10"/>
      <c r="P4488" s="10"/>
      <c r="Q4488" s="22"/>
    </row>
    <row r="4489" customFormat="false" ht="15.75" hidden="false" customHeight="false" outlineLevel="0" collapsed="false">
      <c r="A4489" s="20" t="n">
        <v>46140</v>
      </c>
      <c r="B4489" s="15" t="s">
        <v>488</v>
      </c>
      <c r="C4489" s="15" t="s">
        <v>77</v>
      </c>
      <c r="D4489" s="15" t="s">
        <v>78</v>
      </c>
      <c r="E4489" s="15" t="n">
        <v>3</v>
      </c>
      <c r="H4489" s="10"/>
      <c r="I4489" s="21"/>
      <c r="M4489" s="10"/>
      <c r="N4489" s="10"/>
      <c r="P4489" s="10"/>
      <c r="Q4489" s="22"/>
    </row>
    <row r="4490" customFormat="false" ht="15.75" hidden="false" customHeight="false" outlineLevel="0" collapsed="false">
      <c r="A4490" s="20" t="n">
        <v>46140</v>
      </c>
      <c r="B4490" s="15" t="s">
        <v>488</v>
      </c>
      <c r="C4490" s="15" t="s">
        <v>25</v>
      </c>
      <c r="D4490" s="15" t="s">
        <v>26</v>
      </c>
      <c r="E4490" s="15" t="n">
        <v>1</v>
      </c>
      <c r="H4490" s="10"/>
      <c r="I4490" s="21"/>
      <c r="M4490" s="10"/>
      <c r="N4490" s="10"/>
      <c r="P4490" s="10"/>
      <c r="Q4490" s="22"/>
    </row>
    <row r="4491" customFormat="false" ht="15.75" hidden="false" customHeight="false" outlineLevel="0" collapsed="false">
      <c r="A4491" s="20" t="n">
        <v>46140</v>
      </c>
      <c r="B4491" s="15" t="s">
        <v>491</v>
      </c>
      <c r="C4491" s="15" t="s">
        <v>37</v>
      </c>
      <c r="D4491" s="15" t="s">
        <v>561</v>
      </c>
      <c r="E4491" s="15" t="n">
        <v>1</v>
      </c>
      <c r="H4491" s="10"/>
      <c r="I4491" s="21"/>
      <c r="M4491" s="10"/>
      <c r="N4491" s="10"/>
      <c r="P4491" s="10"/>
      <c r="Q4491" s="22"/>
    </row>
    <row r="4492" customFormat="false" ht="15.75" hidden="false" customHeight="false" outlineLevel="0" collapsed="false">
      <c r="A4492" s="20" t="n">
        <v>46140</v>
      </c>
      <c r="B4492" s="15" t="s">
        <v>491</v>
      </c>
      <c r="C4492" s="15" t="s">
        <v>81</v>
      </c>
      <c r="D4492" s="15" t="s">
        <v>534</v>
      </c>
      <c r="E4492" s="15" t="n">
        <v>8</v>
      </c>
      <c r="H4492" s="10"/>
      <c r="I4492" s="21"/>
      <c r="M4492" s="10"/>
      <c r="N4492" s="10"/>
      <c r="P4492" s="10"/>
      <c r="Q4492" s="22"/>
    </row>
    <row r="4493" customFormat="false" ht="15.75" hidden="false" customHeight="false" outlineLevel="0" collapsed="false">
      <c r="A4493" s="20" t="n">
        <v>46140</v>
      </c>
      <c r="B4493" s="15" t="s">
        <v>491</v>
      </c>
      <c r="C4493" s="15" t="s">
        <v>75</v>
      </c>
      <c r="D4493" s="15" t="s">
        <v>560</v>
      </c>
      <c r="E4493" s="15" t="n">
        <v>1</v>
      </c>
      <c r="H4493" s="10"/>
      <c r="I4493" s="21"/>
      <c r="M4493" s="10"/>
      <c r="N4493" s="10"/>
      <c r="P4493" s="10"/>
      <c r="Q4493" s="22"/>
    </row>
    <row r="4494" customFormat="false" ht="15.75" hidden="false" customHeight="false" outlineLevel="0" collapsed="false">
      <c r="A4494" s="20" t="n">
        <v>46140</v>
      </c>
      <c r="B4494" s="15" t="s">
        <v>491</v>
      </c>
      <c r="C4494" s="15" t="s">
        <v>69</v>
      </c>
      <c r="D4494" s="15" t="s">
        <v>535</v>
      </c>
      <c r="E4494" s="15" t="n">
        <v>6</v>
      </c>
      <c r="H4494" s="10"/>
      <c r="I4494" s="21"/>
      <c r="M4494" s="10"/>
      <c r="N4494" s="10"/>
      <c r="P4494" s="10"/>
      <c r="Q4494" s="22"/>
    </row>
    <row r="4495" customFormat="false" ht="15.75" hidden="false" customHeight="false" outlineLevel="0" collapsed="false">
      <c r="A4495" s="20" t="n">
        <v>46140</v>
      </c>
      <c r="B4495" s="15" t="s">
        <v>491</v>
      </c>
      <c r="C4495" s="15" t="s">
        <v>547</v>
      </c>
      <c r="D4495" s="15" t="s">
        <v>548</v>
      </c>
      <c r="E4495" s="15" t="n">
        <v>1</v>
      </c>
      <c r="H4495" s="10"/>
      <c r="I4495" s="21"/>
      <c r="M4495" s="10"/>
      <c r="N4495" s="10"/>
      <c r="P4495" s="10"/>
      <c r="Q4495" s="22"/>
    </row>
    <row r="4496" customFormat="false" ht="15.75" hidden="false" customHeight="false" outlineLevel="0" collapsed="false">
      <c r="A4496" s="20" t="n">
        <v>46140</v>
      </c>
      <c r="B4496" s="15" t="s">
        <v>491</v>
      </c>
      <c r="C4496" s="15" t="s">
        <v>31</v>
      </c>
      <c r="D4496" s="15" t="s">
        <v>559</v>
      </c>
      <c r="E4496" s="15" t="n">
        <v>2</v>
      </c>
      <c r="H4496" s="10"/>
      <c r="I4496" s="21"/>
      <c r="M4496" s="10"/>
      <c r="N4496" s="10"/>
      <c r="P4496" s="10"/>
      <c r="Q4496" s="22"/>
    </row>
    <row r="4497" customFormat="false" ht="15.75" hidden="false" customHeight="false" outlineLevel="0" collapsed="false">
      <c r="A4497" s="20" t="n">
        <v>46140</v>
      </c>
      <c r="B4497" s="15" t="s">
        <v>491</v>
      </c>
      <c r="C4497" s="15" t="s">
        <v>545</v>
      </c>
      <c r="D4497" s="15" t="s">
        <v>546</v>
      </c>
      <c r="E4497" s="15" t="n">
        <v>2</v>
      </c>
      <c r="H4497" s="10"/>
      <c r="I4497" s="21"/>
      <c r="M4497" s="10"/>
      <c r="N4497" s="10"/>
      <c r="P4497" s="10"/>
      <c r="Q4497" s="22"/>
    </row>
    <row r="4498" customFormat="false" ht="15.75" hidden="false" customHeight="false" outlineLevel="0" collapsed="false">
      <c r="A4498" s="20" t="n">
        <v>46140</v>
      </c>
      <c r="B4498" s="15" t="s">
        <v>491</v>
      </c>
      <c r="C4498" s="15" t="s">
        <v>543</v>
      </c>
      <c r="D4498" s="15" t="s">
        <v>544</v>
      </c>
      <c r="E4498" s="15" t="n">
        <v>4</v>
      </c>
      <c r="H4498" s="10"/>
      <c r="I4498" s="21"/>
      <c r="M4498" s="10"/>
      <c r="N4498" s="10"/>
      <c r="P4498" s="10"/>
      <c r="Q4498" s="22"/>
    </row>
    <row r="4499" customFormat="false" ht="15.75" hidden="false" customHeight="false" outlineLevel="0" collapsed="false">
      <c r="A4499" s="20" t="n">
        <v>46140</v>
      </c>
      <c r="B4499" s="15" t="s">
        <v>491</v>
      </c>
      <c r="C4499" s="15" t="s">
        <v>541</v>
      </c>
      <c r="D4499" s="15" t="s">
        <v>542</v>
      </c>
      <c r="E4499" s="15" t="n">
        <v>2</v>
      </c>
      <c r="H4499" s="10"/>
      <c r="I4499" s="21"/>
      <c r="M4499" s="10"/>
      <c r="N4499" s="10"/>
      <c r="P4499" s="10"/>
      <c r="Q4499" s="22"/>
    </row>
    <row r="4500" customFormat="false" ht="15.75" hidden="false" customHeight="false" outlineLevel="0" collapsed="false">
      <c r="A4500" s="20" t="n">
        <v>46140</v>
      </c>
      <c r="B4500" s="15" t="s">
        <v>491</v>
      </c>
      <c r="C4500" s="15" t="s">
        <v>49</v>
      </c>
      <c r="D4500" s="15" t="s">
        <v>537</v>
      </c>
      <c r="E4500" s="15" t="n">
        <v>1</v>
      </c>
      <c r="H4500" s="10"/>
      <c r="I4500" s="21"/>
      <c r="M4500" s="10"/>
      <c r="N4500" s="10"/>
      <c r="P4500" s="10"/>
      <c r="Q4500" s="22"/>
    </row>
    <row r="4501" customFormat="false" ht="15.75" hidden="false" customHeight="false" outlineLevel="0" collapsed="false">
      <c r="A4501" s="20" t="n">
        <v>46140</v>
      </c>
      <c r="B4501" s="15" t="s">
        <v>491</v>
      </c>
      <c r="C4501" s="15" t="s">
        <v>33</v>
      </c>
      <c r="D4501" s="15" t="s">
        <v>536</v>
      </c>
      <c r="E4501" s="15" t="n">
        <v>5</v>
      </c>
      <c r="H4501" s="10"/>
      <c r="I4501" s="21"/>
      <c r="M4501" s="10"/>
      <c r="N4501" s="10"/>
      <c r="P4501" s="10"/>
      <c r="Q4501" s="22"/>
    </row>
    <row r="4502" customFormat="false" ht="15.75" hidden="false" customHeight="false" outlineLevel="0" collapsed="false">
      <c r="A4502" s="20" t="n">
        <v>46140</v>
      </c>
      <c r="B4502" s="15" t="s">
        <v>491</v>
      </c>
      <c r="C4502" s="15" t="s">
        <v>77</v>
      </c>
      <c r="D4502" s="15" t="s">
        <v>78</v>
      </c>
      <c r="E4502" s="15" t="n">
        <v>3</v>
      </c>
      <c r="H4502" s="10"/>
      <c r="I4502" s="21"/>
      <c r="M4502" s="10"/>
      <c r="N4502" s="10"/>
      <c r="P4502" s="10"/>
      <c r="Q4502" s="22"/>
    </row>
    <row r="4503" customFormat="false" ht="15.75" hidden="false" customHeight="false" outlineLevel="0" collapsed="false">
      <c r="A4503" s="20" t="n">
        <v>46140</v>
      </c>
      <c r="B4503" s="15" t="s">
        <v>491</v>
      </c>
      <c r="C4503" s="15" t="s">
        <v>47</v>
      </c>
      <c r="D4503" s="15" t="s">
        <v>549</v>
      </c>
      <c r="E4503" s="15" t="n">
        <v>1</v>
      </c>
      <c r="H4503" s="10"/>
      <c r="I4503" s="21"/>
      <c r="M4503" s="10"/>
      <c r="N4503" s="10"/>
      <c r="P4503" s="10"/>
      <c r="Q4503" s="22"/>
    </row>
    <row r="4504" customFormat="false" ht="15.75" hidden="false" customHeight="false" outlineLevel="0" collapsed="false">
      <c r="A4504" s="20" t="n">
        <v>46140</v>
      </c>
      <c r="B4504" s="15" t="s">
        <v>491</v>
      </c>
      <c r="C4504" s="15" t="s">
        <v>55</v>
      </c>
      <c r="D4504" s="15" t="s">
        <v>539</v>
      </c>
      <c r="E4504" s="15" t="n">
        <v>1</v>
      </c>
      <c r="H4504" s="10"/>
      <c r="I4504" s="21"/>
      <c r="M4504" s="10"/>
      <c r="N4504" s="10"/>
      <c r="P4504" s="10"/>
      <c r="Q4504" s="22"/>
    </row>
    <row r="4505" customFormat="false" ht="15.75" hidden="false" customHeight="false" outlineLevel="0" collapsed="false">
      <c r="A4505" s="20" t="n">
        <v>46140</v>
      </c>
      <c r="B4505" s="15" t="s">
        <v>491</v>
      </c>
      <c r="C4505" s="15" t="s">
        <v>59</v>
      </c>
      <c r="D4505" s="15" t="s">
        <v>562</v>
      </c>
      <c r="E4505" s="15" t="n">
        <v>1</v>
      </c>
      <c r="H4505" s="10"/>
      <c r="I4505" s="21"/>
      <c r="M4505" s="10"/>
      <c r="N4505" s="10"/>
      <c r="P4505" s="10"/>
      <c r="Q4505" s="22"/>
    </row>
    <row r="4506" customFormat="false" ht="15.75" hidden="false" customHeight="false" outlineLevel="0" collapsed="false">
      <c r="A4506" s="20" t="n">
        <v>46140</v>
      </c>
      <c r="B4506" s="15" t="s">
        <v>491</v>
      </c>
      <c r="C4506" s="15" t="s">
        <v>43</v>
      </c>
      <c r="D4506" s="15" t="s">
        <v>538</v>
      </c>
      <c r="E4506" s="15" t="n">
        <v>1</v>
      </c>
      <c r="H4506" s="10"/>
      <c r="I4506" s="21"/>
      <c r="M4506" s="10"/>
      <c r="N4506" s="10"/>
      <c r="P4506" s="10"/>
      <c r="Q4506" s="22"/>
    </row>
    <row r="4507" customFormat="false" ht="15.75" hidden="false" customHeight="false" outlineLevel="0" collapsed="false">
      <c r="A4507" s="20" t="n">
        <v>46140</v>
      </c>
      <c r="B4507" s="15" t="s">
        <v>491</v>
      </c>
      <c r="C4507" s="15" t="s">
        <v>87</v>
      </c>
      <c r="D4507" s="15" t="s">
        <v>563</v>
      </c>
      <c r="E4507" s="15" t="n">
        <v>1</v>
      </c>
      <c r="H4507" s="10"/>
      <c r="I4507" s="21"/>
      <c r="M4507" s="10"/>
      <c r="N4507" s="10"/>
      <c r="P4507" s="10"/>
      <c r="Q4507" s="22"/>
    </row>
    <row r="4508" customFormat="false" ht="15.75" hidden="false" customHeight="false" outlineLevel="0" collapsed="false">
      <c r="A4508" s="20" t="n">
        <v>46140</v>
      </c>
      <c r="B4508" s="15" t="s">
        <v>491</v>
      </c>
      <c r="C4508" s="15" t="s">
        <v>79</v>
      </c>
      <c r="D4508" s="15" t="s">
        <v>564</v>
      </c>
      <c r="E4508" s="15" t="n">
        <v>1</v>
      </c>
      <c r="H4508" s="10"/>
      <c r="I4508" s="21"/>
      <c r="M4508" s="10"/>
      <c r="N4508" s="10"/>
      <c r="P4508" s="10"/>
      <c r="Q4508" s="22"/>
    </row>
    <row r="4509" customFormat="false" ht="15.75" hidden="false" customHeight="false" outlineLevel="0" collapsed="false">
      <c r="A4509" s="20" t="n">
        <v>46140</v>
      </c>
      <c r="B4509" s="15" t="s">
        <v>504</v>
      </c>
      <c r="C4509" s="15" t="s">
        <v>47</v>
      </c>
      <c r="D4509" s="15" t="s">
        <v>549</v>
      </c>
      <c r="E4509" s="15" t="n">
        <v>6</v>
      </c>
      <c r="H4509" s="10"/>
      <c r="I4509" s="21"/>
      <c r="M4509" s="10"/>
      <c r="N4509" s="10"/>
      <c r="P4509" s="10"/>
      <c r="Q4509" s="22"/>
    </row>
    <row r="4510" customFormat="false" ht="15.75" hidden="false" customHeight="false" outlineLevel="0" collapsed="false">
      <c r="A4510" s="20" t="n">
        <v>46140</v>
      </c>
      <c r="B4510" s="15" t="s">
        <v>504</v>
      </c>
      <c r="C4510" s="15" t="s">
        <v>55</v>
      </c>
      <c r="D4510" s="15" t="s">
        <v>539</v>
      </c>
      <c r="E4510" s="15" t="n">
        <v>12</v>
      </c>
      <c r="H4510" s="10"/>
      <c r="I4510" s="21"/>
      <c r="M4510" s="10"/>
      <c r="N4510" s="10"/>
      <c r="P4510" s="10"/>
      <c r="Q4510" s="22"/>
    </row>
    <row r="4511" customFormat="false" ht="15.75" hidden="false" customHeight="false" outlineLevel="0" collapsed="false">
      <c r="A4511" s="20" t="n">
        <v>46140</v>
      </c>
      <c r="B4511" s="15" t="s">
        <v>504</v>
      </c>
      <c r="C4511" s="15" t="s">
        <v>81</v>
      </c>
      <c r="D4511" s="15" t="s">
        <v>534</v>
      </c>
      <c r="E4511" s="15" t="n">
        <v>18</v>
      </c>
      <c r="H4511" s="10"/>
      <c r="I4511" s="21"/>
      <c r="M4511" s="10"/>
      <c r="N4511" s="10"/>
      <c r="P4511" s="10"/>
      <c r="Q4511" s="22"/>
    </row>
    <row r="4512" customFormat="false" ht="15.75" hidden="false" customHeight="false" outlineLevel="0" collapsed="false">
      <c r="A4512" s="20" t="n">
        <v>46140</v>
      </c>
      <c r="B4512" s="15" t="s">
        <v>504</v>
      </c>
      <c r="C4512" s="15" t="s">
        <v>39</v>
      </c>
      <c r="D4512" s="15" t="s">
        <v>550</v>
      </c>
      <c r="E4512" s="15" t="n">
        <v>2</v>
      </c>
      <c r="H4512" s="10"/>
      <c r="I4512" s="21"/>
      <c r="M4512" s="10"/>
      <c r="N4512" s="10"/>
      <c r="P4512" s="10"/>
      <c r="Q4512" s="22"/>
    </row>
    <row r="4513" customFormat="false" ht="15.75" hidden="false" customHeight="false" outlineLevel="0" collapsed="false">
      <c r="A4513" s="20" t="n">
        <v>46140</v>
      </c>
      <c r="B4513" s="15" t="s">
        <v>504</v>
      </c>
      <c r="C4513" s="15" t="s">
        <v>63</v>
      </c>
      <c r="D4513" s="15" t="s">
        <v>551</v>
      </c>
      <c r="E4513" s="15" t="n">
        <v>2</v>
      </c>
      <c r="H4513" s="10"/>
      <c r="I4513" s="21"/>
      <c r="M4513" s="10"/>
      <c r="N4513" s="10"/>
      <c r="P4513" s="10"/>
      <c r="Q4513" s="22"/>
    </row>
    <row r="4514" customFormat="false" ht="15.75" hidden="false" customHeight="false" outlineLevel="0" collapsed="false">
      <c r="A4514" s="20" t="n">
        <v>46140</v>
      </c>
      <c r="B4514" s="15" t="s">
        <v>504</v>
      </c>
      <c r="C4514" s="15" t="s">
        <v>17</v>
      </c>
      <c r="D4514" s="15" t="s">
        <v>554</v>
      </c>
      <c r="E4514" s="15" t="n">
        <v>2</v>
      </c>
      <c r="H4514" s="10"/>
      <c r="I4514" s="21"/>
      <c r="M4514" s="10"/>
      <c r="N4514" s="10"/>
      <c r="P4514" s="10"/>
      <c r="Q4514" s="22"/>
    </row>
    <row r="4515" customFormat="false" ht="15.75" hidden="false" customHeight="false" outlineLevel="0" collapsed="false">
      <c r="A4515" s="20" t="n">
        <v>46140</v>
      </c>
      <c r="B4515" s="15" t="s">
        <v>508</v>
      </c>
      <c r="C4515" s="15" t="s">
        <v>55</v>
      </c>
      <c r="D4515" s="15" t="s">
        <v>539</v>
      </c>
      <c r="E4515" s="15" t="n">
        <v>5</v>
      </c>
      <c r="H4515" s="10"/>
      <c r="I4515" s="21"/>
      <c r="M4515" s="10"/>
      <c r="N4515" s="10"/>
      <c r="P4515" s="10"/>
      <c r="Q4515" s="22"/>
    </row>
    <row r="4516" customFormat="false" ht="15.75" hidden="false" customHeight="false" outlineLevel="0" collapsed="false">
      <c r="A4516" s="20" t="n">
        <v>46140</v>
      </c>
      <c r="B4516" s="15" t="s">
        <v>508</v>
      </c>
      <c r="C4516" s="15" t="s">
        <v>81</v>
      </c>
      <c r="D4516" s="15" t="s">
        <v>534</v>
      </c>
      <c r="E4516" s="15" t="n">
        <v>9</v>
      </c>
      <c r="H4516" s="10"/>
      <c r="I4516" s="21"/>
      <c r="M4516" s="10"/>
      <c r="N4516" s="10"/>
      <c r="P4516" s="10"/>
      <c r="Q4516" s="22"/>
    </row>
    <row r="4517" customFormat="false" ht="15.75" hidden="false" customHeight="false" outlineLevel="0" collapsed="false">
      <c r="A4517" s="20" t="n">
        <v>46140</v>
      </c>
      <c r="B4517" s="15" t="s">
        <v>508</v>
      </c>
      <c r="C4517" s="15" t="s">
        <v>39</v>
      </c>
      <c r="D4517" s="15" t="s">
        <v>550</v>
      </c>
      <c r="E4517" s="15" t="n">
        <v>2</v>
      </c>
      <c r="H4517" s="10"/>
      <c r="I4517" s="21"/>
      <c r="M4517" s="10"/>
      <c r="N4517" s="10"/>
      <c r="P4517" s="10"/>
      <c r="Q4517" s="22"/>
    </row>
    <row r="4518" customFormat="false" ht="15.75" hidden="false" customHeight="false" outlineLevel="0" collapsed="false">
      <c r="A4518" s="20" t="n">
        <v>46140</v>
      </c>
      <c r="B4518" s="15" t="s">
        <v>508</v>
      </c>
      <c r="C4518" s="15" t="s">
        <v>47</v>
      </c>
      <c r="D4518" s="15" t="s">
        <v>549</v>
      </c>
      <c r="E4518" s="15" t="n">
        <v>2</v>
      </c>
      <c r="H4518" s="10"/>
      <c r="I4518" s="21"/>
      <c r="M4518" s="10"/>
      <c r="N4518" s="10"/>
      <c r="P4518" s="10"/>
      <c r="Q4518" s="22"/>
    </row>
    <row r="4519" customFormat="false" ht="15.75" hidden="false" customHeight="false" outlineLevel="0" collapsed="false">
      <c r="A4519" s="20" t="n">
        <v>46140</v>
      </c>
      <c r="B4519" s="15" t="s">
        <v>508</v>
      </c>
      <c r="C4519" s="15" t="s">
        <v>63</v>
      </c>
      <c r="D4519" s="15" t="s">
        <v>551</v>
      </c>
      <c r="E4519" s="15" t="n">
        <v>1</v>
      </c>
      <c r="H4519" s="10"/>
      <c r="I4519" s="21"/>
      <c r="M4519" s="10"/>
      <c r="N4519" s="10"/>
      <c r="P4519" s="10"/>
      <c r="Q4519" s="22"/>
    </row>
    <row r="4520" customFormat="false" ht="15.75" hidden="false" customHeight="false" outlineLevel="0" collapsed="false">
      <c r="A4520" s="20" t="n">
        <v>46140</v>
      </c>
      <c r="B4520" s="15" t="s">
        <v>514</v>
      </c>
      <c r="C4520" s="15" t="s">
        <v>55</v>
      </c>
      <c r="D4520" s="15" t="s">
        <v>539</v>
      </c>
      <c r="E4520" s="15" t="n">
        <v>5</v>
      </c>
      <c r="H4520" s="10"/>
      <c r="I4520" s="21"/>
      <c r="M4520" s="10"/>
      <c r="N4520" s="10"/>
      <c r="P4520" s="10"/>
      <c r="Q4520" s="22"/>
    </row>
    <row r="4521" customFormat="false" ht="15.75" hidden="false" customHeight="false" outlineLevel="0" collapsed="false">
      <c r="A4521" s="20" t="n">
        <v>46140</v>
      </c>
      <c r="B4521" s="15" t="s">
        <v>514</v>
      </c>
      <c r="C4521" s="15" t="s">
        <v>57</v>
      </c>
      <c r="D4521" s="15" t="s">
        <v>553</v>
      </c>
      <c r="E4521" s="15" t="n">
        <v>1</v>
      </c>
      <c r="H4521" s="10"/>
      <c r="I4521" s="21"/>
      <c r="M4521" s="10"/>
      <c r="N4521" s="10"/>
      <c r="P4521" s="10"/>
      <c r="Q4521" s="22"/>
    </row>
    <row r="4522" customFormat="false" ht="15.75" hidden="false" customHeight="false" outlineLevel="0" collapsed="false">
      <c r="A4522" s="20" t="n">
        <v>46140</v>
      </c>
      <c r="B4522" s="15" t="s">
        <v>514</v>
      </c>
      <c r="C4522" s="15" t="s">
        <v>49</v>
      </c>
      <c r="D4522" s="15" t="s">
        <v>537</v>
      </c>
      <c r="E4522" s="15" t="n">
        <v>1</v>
      </c>
      <c r="H4522" s="10"/>
      <c r="I4522" s="21"/>
      <c r="M4522" s="10"/>
      <c r="N4522" s="10"/>
      <c r="P4522" s="10"/>
      <c r="Q4522" s="22"/>
    </row>
    <row r="4523" customFormat="false" ht="15.75" hidden="false" customHeight="false" outlineLevel="0" collapsed="false">
      <c r="A4523" s="20" t="n">
        <v>46140</v>
      </c>
      <c r="B4523" s="15" t="s">
        <v>514</v>
      </c>
      <c r="C4523" s="15" t="s">
        <v>47</v>
      </c>
      <c r="D4523" s="15" t="s">
        <v>549</v>
      </c>
      <c r="E4523" s="15" t="n">
        <v>4</v>
      </c>
      <c r="H4523" s="10"/>
      <c r="I4523" s="21"/>
      <c r="M4523" s="10"/>
      <c r="N4523" s="10"/>
      <c r="P4523" s="10"/>
      <c r="Q4523" s="22"/>
    </row>
    <row r="4524" customFormat="false" ht="15.75" hidden="false" customHeight="false" outlineLevel="0" collapsed="false">
      <c r="A4524" s="20" t="n">
        <v>46140</v>
      </c>
      <c r="B4524" s="15" t="s">
        <v>514</v>
      </c>
      <c r="C4524" s="15" t="s">
        <v>81</v>
      </c>
      <c r="D4524" s="15" t="s">
        <v>534</v>
      </c>
      <c r="E4524" s="15" t="n">
        <v>7</v>
      </c>
      <c r="H4524" s="10"/>
      <c r="I4524" s="21"/>
      <c r="M4524" s="10"/>
      <c r="N4524" s="10"/>
      <c r="P4524" s="10"/>
      <c r="Q4524" s="22"/>
    </row>
    <row r="4525" customFormat="false" ht="15.75" hidden="false" customHeight="false" outlineLevel="0" collapsed="false">
      <c r="A4525" s="20" t="n">
        <v>46140</v>
      </c>
      <c r="B4525" s="15" t="s">
        <v>514</v>
      </c>
      <c r="C4525" s="15" t="s">
        <v>63</v>
      </c>
      <c r="D4525" s="15" t="s">
        <v>551</v>
      </c>
      <c r="E4525" s="15" t="n">
        <v>1</v>
      </c>
      <c r="H4525" s="10"/>
      <c r="I4525" s="21"/>
      <c r="M4525" s="10"/>
      <c r="N4525" s="10"/>
      <c r="P4525" s="10"/>
      <c r="Q4525" s="22"/>
    </row>
    <row r="4526" customFormat="false" ht="15.75" hidden="false" customHeight="false" outlineLevel="0" collapsed="false">
      <c r="A4526" s="20" t="n">
        <v>46140</v>
      </c>
      <c r="B4526" s="15" t="s">
        <v>514</v>
      </c>
      <c r="C4526" s="15" t="s">
        <v>17</v>
      </c>
      <c r="D4526" s="15" t="s">
        <v>554</v>
      </c>
      <c r="E4526" s="15" t="n">
        <v>1</v>
      </c>
      <c r="H4526" s="10"/>
      <c r="I4526" s="21"/>
      <c r="M4526" s="10"/>
      <c r="N4526" s="10"/>
      <c r="P4526" s="10"/>
      <c r="Q4526" s="22"/>
    </row>
    <row r="4527" customFormat="false" ht="15.75" hidden="false" customHeight="false" outlineLevel="0" collapsed="false">
      <c r="A4527" s="20" t="n">
        <v>46140</v>
      </c>
      <c r="B4527" s="15" t="s">
        <v>518</v>
      </c>
      <c r="C4527" s="15" t="s">
        <v>69</v>
      </c>
      <c r="D4527" s="15" t="s">
        <v>535</v>
      </c>
      <c r="E4527" s="15" t="n">
        <v>6</v>
      </c>
      <c r="H4527" s="10"/>
      <c r="I4527" s="21"/>
      <c r="M4527" s="10"/>
      <c r="N4527" s="10"/>
      <c r="P4527" s="10"/>
      <c r="Q4527" s="22"/>
    </row>
    <row r="4528" customFormat="false" ht="15.75" hidden="false" customHeight="false" outlineLevel="0" collapsed="false">
      <c r="A4528" s="20" t="n">
        <v>46140</v>
      </c>
      <c r="B4528" s="15" t="s">
        <v>518</v>
      </c>
      <c r="C4528" s="15" t="s">
        <v>33</v>
      </c>
      <c r="D4528" s="15" t="s">
        <v>536</v>
      </c>
      <c r="E4528" s="15" t="n">
        <v>6</v>
      </c>
      <c r="H4528" s="10"/>
      <c r="I4528" s="21"/>
      <c r="M4528" s="10"/>
      <c r="N4528" s="10"/>
      <c r="P4528" s="10"/>
      <c r="Q4528" s="22"/>
    </row>
    <row r="4529" customFormat="false" ht="15.75" hidden="false" customHeight="false" outlineLevel="0" collapsed="false">
      <c r="A4529" s="20" t="n">
        <v>46140</v>
      </c>
      <c r="B4529" s="15" t="s">
        <v>518</v>
      </c>
      <c r="C4529" s="15" t="s">
        <v>47</v>
      </c>
      <c r="D4529" s="15" t="s">
        <v>549</v>
      </c>
      <c r="E4529" s="15" t="n">
        <v>2</v>
      </c>
      <c r="H4529" s="10"/>
      <c r="I4529" s="21"/>
      <c r="M4529" s="10"/>
      <c r="N4529" s="10"/>
      <c r="P4529" s="10"/>
      <c r="Q4529" s="22"/>
    </row>
    <row r="4530" customFormat="false" ht="15.75" hidden="false" customHeight="false" outlineLevel="0" collapsed="false">
      <c r="A4530" s="20" t="n">
        <v>46140</v>
      </c>
      <c r="B4530" s="15" t="s">
        <v>518</v>
      </c>
      <c r="C4530" s="15" t="s">
        <v>51</v>
      </c>
      <c r="D4530" s="15" t="s">
        <v>573</v>
      </c>
      <c r="E4530" s="15" t="n">
        <v>1</v>
      </c>
      <c r="H4530" s="10"/>
      <c r="I4530" s="21"/>
      <c r="M4530" s="10"/>
      <c r="N4530" s="10"/>
      <c r="P4530" s="10"/>
      <c r="Q4530" s="22"/>
    </row>
    <row r="4531" customFormat="false" ht="15.75" hidden="false" customHeight="false" outlineLevel="0" collapsed="false">
      <c r="A4531" s="20" t="n">
        <v>46140</v>
      </c>
      <c r="B4531" s="15" t="s">
        <v>518</v>
      </c>
      <c r="C4531" s="15" t="s">
        <v>55</v>
      </c>
      <c r="D4531" s="15" t="s">
        <v>539</v>
      </c>
      <c r="E4531" s="15" t="n">
        <v>2</v>
      </c>
      <c r="H4531" s="10"/>
      <c r="I4531" s="21"/>
      <c r="M4531" s="10"/>
      <c r="N4531" s="10"/>
      <c r="P4531" s="10"/>
      <c r="Q4531" s="22"/>
    </row>
    <row r="4532" customFormat="false" ht="15.75" hidden="false" customHeight="false" outlineLevel="0" collapsed="false">
      <c r="A4532" s="20" t="n">
        <v>46140</v>
      </c>
      <c r="B4532" s="15" t="s">
        <v>518</v>
      </c>
      <c r="C4532" s="15" t="s">
        <v>37</v>
      </c>
      <c r="D4532" s="15" t="s">
        <v>561</v>
      </c>
      <c r="E4532" s="15" t="n">
        <v>2</v>
      </c>
      <c r="H4532" s="10"/>
      <c r="I4532" s="21"/>
      <c r="M4532" s="10"/>
      <c r="N4532" s="10"/>
      <c r="P4532" s="10"/>
      <c r="Q4532" s="22"/>
    </row>
    <row r="4533" customFormat="false" ht="15.75" hidden="false" customHeight="false" outlineLevel="0" collapsed="false">
      <c r="A4533" s="20" t="n">
        <v>46140</v>
      </c>
      <c r="B4533" s="15" t="s">
        <v>518</v>
      </c>
      <c r="C4533" s="15" t="s">
        <v>547</v>
      </c>
      <c r="D4533" s="15" t="s">
        <v>548</v>
      </c>
      <c r="E4533" s="15" t="n">
        <v>1</v>
      </c>
      <c r="H4533" s="10"/>
      <c r="I4533" s="21"/>
      <c r="M4533" s="10"/>
      <c r="N4533" s="10"/>
      <c r="P4533" s="10"/>
      <c r="Q4533" s="22"/>
    </row>
    <row r="4534" customFormat="false" ht="15.75" hidden="false" customHeight="false" outlineLevel="0" collapsed="false">
      <c r="A4534" s="20" t="n">
        <v>46140</v>
      </c>
      <c r="B4534" s="15" t="s">
        <v>518</v>
      </c>
      <c r="C4534" s="15" t="s">
        <v>81</v>
      </c>
      <c r="D4534" s="15" t="s">
        <v>534</v>
      </c>
      <c r="E4534" s="15" t="n">
        <v>1</v>
      </c>
      <c r="H4534" s="10"/>
      <c r="I4534" s="21"/>
      <c r="M4534" s="10"/>
      <c r="N4534" s="10"/>
      <c r="P4534" s="10"/>
      <c r="Q4534" s="22"/>
    </row>
    <row r="4535" customFormat="false" ht="15.75" hidden="false" customHeight="false" outlineLevel="0" collapsed="false">
      <c r="A4535" s="20" t="n">
        <v>46140</v>
      </c>
      <c r="B4535" s="15" t="s">
        <v>528</v>
      </c>
      <c r="C4535" s="15" t="s">
        <v>81</v>
      </c>
      <c r="D4535" s="15" t="s">
        <v>534</v>
      </c>
      <c r="E4535" s="15" t="n">
        <v>6</v>
      </c>
      <c r="H4535" s="10"/>
      <c r="I4535" s="21"/>
      <c r="M4535" s="10"/>
      <c r="N4535" s="10"/>
      <c r="P4535" s="10"/>
      <c r="Q4535" s="22"/>
    </row>
    <row r="4536" customFormat="false" ht="15.75" hidden="false" customHeight="false" outlineLevel="0" collapsed="false">
      <c r="A4536" s="20" t="n">
        <v>46140</v>
      </c>
      <c r="B4536" s="15" t="s">
        <v>528</v>
      </c>
      <c r="C4536" s="15" t="s">
        <v>69</v>
      </c>
      <c r="D4536" s="15" t="s">
        <v>535</v>
      </c>
      <c r="E4536" s="15" t="n">
        <v>4</v>
      </c>
      <c r="H4536" s="10"/>
      <c r="I4536" s="21"/>
      <c r="M4536" s="10"/>
      <c r="N4536" s="10"/>
      <c r="P4536" s="10"/>
      <c r="Q4536" s="22"/>
    </row>
    <row r="4537" customFormat="false" ht="15.75" hidden="false" customHeight="false" outlineLevel="0" collapsed="false">
      <c r="A4537" s="20" t="n">
        <v>46140</v>
      </c>
      <c r="B4537" s="15" t="s">
        <v>528</v>
      </c>
      <c r="C4537" s="15" t="s">
        <v>33</v>
      </c>
      <c r="D4537" s="15" t="s">
        <v>536</v>
      </c>
      <c r="E4537" s="15" t="n">
        <v>2</v>
      </c>
      <c r="H4537" s="10"/>
      <c r="I4537" s="21"/>
      <c r="M4537" s="10"/>
      <c r="N4537" s="10"/>
      <c r="P4537" s="10"/>
      <c r="Q4537" s="22"/>
    </row>
    <row r="4538" customFormat="false" ht="15.75" hidden="false" customHeight="false" outlineLevel="0" collapsed="false">
      <c r="A4538" s="20" t="n">
        <v>46140</v>
      </c>
      <c r="B4538" s="15" t="s">
        <v>528</v>
      </c>
      <c r="C4538" s="15" t="s">
        <v>77</v>
      </c>
      <c r="D4538" s="15" t="s">
        <v>78</v>
      </c>
      <c r="E4538" s="15" t="n">
        <v>2</v>
      </c>
      <c r="H4538" s="10"/>
      <c r="I4538" s="21"/>
      <c r="M4538" s="10"/>
      <c r="N4538" s="10"/>
      <c r="P4538" s="10"/>
      <c r="Q4538" s="22"/>
    </row>
    <row r="4539" customFormat="false" ht="15.75" hidden="false" customHeight="false" outlineLevel="0" collapsed="false">
      <c r="A4539" s="20" t="n">
        <v>46140</v>
      </c>
      <c r="B4539" s="15" t="s">
        <v>528</v>
      </c>
      <c r="C4539" s="15" t="s">
        <v>547</v>
      </c>
      <c r="D4539" s="15" t="s">
        <v>548</v>
      </c>
      <c r="E4539" s="15" t="n">
        <v>2</v>
      </c>
      <c r="H4539" s="10"/>
      <c r="I4539" s="21"/>
      <c r="M4539" s="10"/>
      <c r="N4539" s="10"/>
      <c r="P4539" s="10"/>
      <c r="Q4539" s="22"/>
    </row>
    <row r="4540" customFormat="false" ht="15.75" hidden="false" customHeight="false" outlineLevel="0" collapsed="false">
      <c r="A4540" s="20" t="n">
        <v>46140</v>
      </c>
      <c r="B4540" s="15" t="s">
        <v>528</v>
      </c>
      <c r="C4540" s="15" t="s">
        <v>545</v>
      </c>
      <c r="D4540" s="15" t="s">
        <v>546</v>
      </c>
      <c r="E4540" s="15" t="n">
        <v>2</v>
      </c>
      <c r="H4540" s="10"/>
      <c r="I4540" s="21"/>
      <c r="M4540" s="10"/>
      <c r="N4540" s="10"/>
      <c r="P4540" s="10"/>
      <c r="Q4540" s="22"/>
    </row>
    <row r="4541" customFormat="false" ht="15.75" hidden="false" customHeight="false" outlineLevel="0" collapsed="false">
      <c r="A4541" s="20" t="n">
        <v>46140</v>
      </c>
      <c r="B4541" s="15" t="s">
        <v>528</v>
      </c>
      <c r="C4541" s="15" t="s">
        <v>543</v>
      </c>
      <c r="D4541" s="15" t="s">
        <v>544</v>
      </c>
      <c r="E4541" s="15" t="n">
        <v>4</v>
      </c>
      <c r="H4541" s="10"/>
      <c r="I4541" s="21"/>
      <c r="M4541" s="10"/>
      <c r="N4541" s="10"/>
      <c r="P4541" s="10"/>
      <c r="Q4541" s="22"/>
    </row>
    <row r="4542" customFormat="false" ht="15.75" hidden="false" customHeight="false" outlineLevel="0" collapsed="false">
      <c r="A4542" s="20" t="n">
        <v>46140</v>
      </c>
      <c r="B4542" s="15" t="s">
        <v>528</v>
      </c>
      <c r="C4542" s="15" t="s">
        <v>541</v>
      </c>
      <c r="D4542" s="15" t="s">
        <v>542</v>
      </c>
      <c r="E4542" s="15" t="n">
        <v>1</v>
      </c>
      <c r="H4542" s="10"/>
      <c r="I4542" s="21"/>
      <c r="M4542" s="10"/>
      <c r="N4542" s="10"/>
      <c r="P4542" s="10"/>
      <c r="Q4542" s="22"/>
    </row>
    <row r="4543" customFormat="false" ht="15.75" hidden="false" customHeight="false" outlineLevel="0" collapsed="false">
      <c r="A4543" s="20" t="n">
        <v>46140</v>
      </c>
      <c r="B4543" s="15" t="s">
        <v>528</v>
      </c>
      <c r="C4543" s="15" t="s">
        <v>45</v>
      </c>
      <c r="D4543" s="15" t="s">
        <v>540</v>
      </c>
      <c r="E4543" s="15" t="n">
        <v>1</v>
      </c>
      <c r="H4543" s="10"/>
      <c r="I4543" s="21"/>
      <c r="M4543" s="10"/>
      <c r="N4543" s="10"/>
      <c r="P4543" s="10"/>
      <c r="Q4543" s="22"/>
    </row>
    <row r="4544" customFormat="false" ht="15.75" hidden="false" customHeight="false" outlineLevel="0" collapsed="false">
      <c r="A4544" s="20" t="n">
        <v>46140</v>
      </c>
      <c r="B4544" s="15" t="s">
        <v>528</v>
      </c>
      <c r="C4544" s="15" t="s">
        <v>55</v>
      </c>
      <c r="D4544" s="15" t="s">
        <v>539</v>
      </c>
      <c r="E4544" s="15" t="n">
        <v>1</v>
      </c>
      <c r="H4544" s="10"/>
      <c r="I4544" s="21"/>
      <c r="M4544" s="10"/>
      <c r="N4544" s="10"/>
      <c r="P4544" s="10"/>
      <c r="Q4544" s="22"/>
    </row>
    <row r="4545" customFormat="false" ht="15.75" hidden="false" customHeight="false" outlineLevel="0" collapsed="false">
      <c r="A4545" s="20" t="n">
        <v>46140</v>
      </c>
      <c r="B4545" s="15" t="s">
        <v>528</v>
      </c>
      <c r="C4545" s="15" t="s">
        <v>59</v>
      </c>
      <c r="D4545" s="15" t="s">
        <v>562</v>
      </c>
      <c r="E4545" s="15" t="n">
        <v>1</v>
      </c>
      <c r="H4545" s="10"/>
      <c r="I4545" s="21"/>
      <c r="M4545" s="10"/>
      <c r="N4545" s="10"/>
      <c r="P4545" s="10"/>
      <c r="Q4545" s="22"/>
    </row>
    <row r="4546" customFormat="false" ht="15.75" hidden="false" customHeight="false" outlineLevel="0" collapsed="false">
      <c r="A4546" s="20" t="n">
        <v>46140</v>
      </c>
      <c r="B4546" s="15" t="s">
        <v>528</v>
      </c>
      <c r="C4546" s="15" t="s">
        <v>47</v>
      </c>
      <c r="D4546" s="15" t="s">
        <v>549</v>
      </c>
      <c r="E4546" s="15" t="n">
        <v>1</v>
      </c>
      <c r="H4546" s="10"/>
      <c r="I4546" s="21"/>
      <c r="M4546" s="10"/>
      <c r="N4546" s="10"/>
      <c r="P4546" s="10"/>
      <c r="Q4546" s="22"/>
    </row>
    <row r="4547" customFormat="false" ht="15.75" hidden="false" customHeight="false" outlineLevel="0" collapsed="false">
      <c r="A4547" s="20" t="n">
        <v>46140</v>
      </c>
      <c r="B4547" s="15" t="s">
        <v>528</v>
      </c>
      <c r="C4547" s="15" t="s">
        <v>43</v>
      </c>
      <c r="D4547" s="15" t="s">
        <v>538</v>
      </c>
      <c r="E4547" s="15" t="n">
        <v>1</v>
      </c>
      <c r="H4547" s="10"/>
      <c r="I4547" s="21"/>
      <c r="M4547" s="10"/>
      <c r="N4547" s="10"/>
      <c r="P4547" s="10"/>
      <c r="Q4547" s="22"/>
    </row>
    <row r="4548" customFormat="false" ht="15.75" hidden="false" customHeight="false" outlineLevel="0" collapsed="false">
      <c r="A4548" s="20" t="n">
        <v>46140</v>
      </c>
      <c r="B4548" s="15" t="s">
        <v>528</v>
      </c>
      <c r="C4548" s="15" t="s">
        <v>87</v>
      </c>
      <c r="D4548" s="15" t="s">
        <v>563</v>
      </c>
      <c r="E4548" s="15" t="n">
        <v>1</v>
      </c>
      <c r="H4548" s="10"/>
      <c r="I4548" s="21"/>
      <c r="M4548" s="10"/>
      <c r="N4548" s="10"/>
      <c r="P4548" s="10"/>
      <c r="Q4548" s="22"/>
    </row>
    <row r="4549" customFormat="false" ht="15.75" hidden="false" customHeight="false" outlineLevel="0" collapsed="false">
      <c r="A4549" s="20" t="n">
        <v>46141</v>
      </c>
      <c r="B4549" s="15" t="s">
        <v>453</v>
      </c>
      <c r="C4549" s="15" t="s">
        <v>47</v>
      </c>
      <c r="D4549" s="15" t="s">
        <v>549</v>
      </c>
      <c r="E4549" s="15" t="n">
        <v>2</v>
      </c>
      <c r="H4549" s="10"/>
      <c r="I4549" s="21"/>
      <c r="M4549" s="10"/>
      <c r="N4549" s="10"/>
      <c r="P4549" s="10"/>
      <c r="Q4549" s="22"/>
    </row>
    <row r="4550" customFormat="false" ht="15.75" hidden="false" customHeight="false" outlineLevel="0" collapsed="false">
      <c r="A4550" s="20" t="n">
        <v>46141</v>
      </c>
      <c r="B4550" s="15" t="s">
        <v>453</v>
      </c>
      <c r="C4550" s="15" t="s">
        <v>55</v>
      </c>
      <c r="D4550" s="15" t="s">
        <v>539</v>
      </c>
      <c r="E4550" s="15" t="n">
        <v>4</v>
      </c>
      <c r="H4550" s="10"/>
      <c r="I4550" s="21"/>
      <c r="M4550" s="10"/>
      <c r="N4550" s="10"/>
      <c r="P4550" s="10"/>
      <c r="Q4550" s="22"/>
    </row>
    <row r="4551" customFormat="false" ht="15.75" hidden="false" customHeight="false" outlineLevel="0" collapsed="false">
      <c r="A4551" s="20" t="n">
        <v>46141</v>
      </c>
      <c r="B4551" s="15" t="s">
        <v>453</v>
      </c>
      <c r="C4551" s="15" t="s">
        <v>81</v>
      </c>
      <c r="D4551" s="15" t="s">
        <v>534</v>
      </c>
      <c r="E4551" s="15" t="n">
        <v>8</v>
      </c>
      <c r="H4551" s="10"/>
      <c r="I4551" s="21"/>
      <c r="M4551" s="10"/>
      <c r="N4551" s="10"/>
      <c r="P4551" s="10"/>
      <c r="Q4551" s="22"/>
    </row>
    <row r="4552" customFormat="false" ht="15.75" hidden="false" customHeight="false" outlineLevel="0" collapsed="false">
      <c r="A4552" s="20" t="n">
        <v>46141</v>
      </c>
      <c r="B4552" s="15" t="s">
        <v>453</v>
      </c>
      <c r="C4552" s="15" t="s">
        <v>39</v>
      </c>
      <c r="D4552" s="15" t="s">
        <v>550</v>
      </c>
      <c r="E4552" s="15" t="n">
        <v>2</v>
      </c>
      <c r="H4552" s="10"/>
      <c r="I4552" s="21"/>
      <c r="M4552" s="10"/>
      <c r="N4552" s="10"/>
      <c r="P4552" s="10"/>
      <c r="Q4552" s="22"/>
    </row>
    <row r="4553" customFormat="false" ht="15.75" hidden="false" customHeight="false" outlineLevel="0" collapsed="false">
      <c r="A4553" s="20" t="n">
        <v>46141</v>
      </c>
      <c r="B4553" s="15" t="s">
        <v>453</v>
      </c>
      <c r="C4553" s="15" t="s">
        <v>63</v>
      </c>
      <c r="D4553" s="15" t="s">
        <v>551</v>
      </c>
      <c r="E4553" s="15" t="n">
        <v>1</v>
      </c>
      <c r="H4553" s="10"/>
      <c r="I4553" s="21"/>
      <c r="M4553" s="10"/>
      <c r="N4553" s="10"/>
      <c r="P4553" s="10"/>
      <c r="Q4553" s="22"/>
    </row>
    <row r="4554" customFormat="false" ht="15.75" hidden="false" customHeight="false" outlineLevel="0" collapsed="false">
      <c r="A4554" s="20" t="n">
        <v>46141</v>
      </c>
      <c r="B4554" s="15" t="s">
        <v>453</v>
      </c>
      <c r="C4554" s="15" t="s">
        <v>35</v>
      </c>
      <c r="D4554" s="15" t="s">
        <v>552</v>
      </c>
      <c r="E4554" s="15" t="n">
        <v>2</v>
      </c>
      <c r="H4554" s="10"/>
      <c r="I4554" s="21"/>
      <c r="M4554" s="10"/>
      <c r="N4554" s="10"/>
      <c r="P4554" s="10"/>
      <c r="Q4554" s="22"/>
    </row>
    <row r="4555" customFormat="false" ht="15.75" hidden="false" customHeight="false" outlineLevel="0" collapsed="false">
      <c r="A4555" s="20" t="n">
        <v>46141</v>
      </c>
      <c r="B4555" s="15" t="s">
        <v>19</v>
      </c>
      <c r="C4555" s="15" t="s">
        <v>69</v>
      </c>
      <c r="D4555" s="15" t="s">
        <v>535</v>
      </c>
      <c r="E4555" s="15" t="n">
        <v>10</v>
      </c>
      <c r="H4555" s="10"/>
      <c r="I4555" s="21"/>
      <c r="M4555" s="10"/>
      <c r="N4555" s="10"/>
      <c r="P4555" s="10"/>
      <c r="Q4555" s="22"/>
    </row>
    <row r="4556" customFormat="false" ht="15.75" hidden="false" customHeight="false" outlineLevel="0" collapsed="false">
      <c r="A4556" s="20" t="n">
        <v>46141</v>
      </c>
      <c r="B4556" s="15" t="s">
        <v>19</v>
      </c>
      <c r="C4556" s="15" t="s">
        <v>55</v>
      </c>
      <c r="D4556" s="15" t="s">
        <v>539</v>
      </c>
      <c r="E4556" s="15" t="n">
        <v>10</v>
      </c>
      <c r="H4556" s="10"/>
      <c r="I4556" s="21"/>
      <c r="M4556" s="10"/>
      <c r="N4556" s="10"/>
      <c r="P4556" s="10"/>
      <c r="Q4556" s="22"/>
    </row>
    <row r="4557" customFormat="false" ht="15.75" hidden="false" customHeight="false" outlineLevel="0" collapsed="false">
      <c r="A4557" s="20" t="n">
        <v>46141</v>
      </c>
      <c r="B4557" s="15" t="s">
        <v>19</v>
      </c>
      <c r="C4557" s="15" t="s">
        <v>37</v>
      </c>
      <c r="D4557" s="15" t="s">
        <v>561</v>
      </c>
      <c r="E4557" s="15" t="n">
        <v>4</v>
      </c>
      <c r="H4557" s="10"/>
      <c r="I4557" s="21"/>
      <c r="M4557" s="10"/>
      <c r="N4557" s="10"/>
      <c r="P4557" s="10"/>
      <c r="Q4557" s="22"/>
    </row>
    <row r="4558" customFormat="false" ht="15.75" hidden="false" customHeight="false" outlineLevel="0" collapsed="false">
      <c r="A4558" s="20" t="n">
        <v>46141</v>
      </c>
      <c r="B4558" s="15" t="s">
        <v>19</v>
      </c>
      <c r="C4558" s="15" t="s">
        <v>555</v>
      </c>
      <c r="D4558" s="15" t="s">
        <v>556</v>
      </c>
      <c r="E4558" s="15" t="n">
        <v>4</v>
      </c>
      <c r="H4558" s="10"/>
      <c r="I4558" s="21"/>
      <c r="M4558" s="10"/>
      <c r="N4558" s="10"/>
      <c r="P4558" s="10"/>
      <c r="Q4558" s="22"/>
    </row>
    <row r="4559" customFormat="false" ht="15.75" hidden="false" customHeight="false" outlineLevel="0" collapsed="false">
      <c r="A4559" s="20" t="n">
        <v>46141</v>
      </c>
      <c r="B4559" s="15" t="s">
        <v>19</v>
      </c>
      <c r="C4559" s="15" t="s">
        <v>565</v>
      </c>
      <c r="D4559" s="15" t="s">
        <v>566</v>
      </c>
      <c r="E4559" s="15" t="n">
        <v>4</v>
      </c>
      <c r="H4559" s="10"/>
      <c r="I4559" s="21"/>
      <c r="M4559" s="10"/>
      <c r="N4559" s="10"/>
      <c r="P4559" s="10"/>
      <c r="Q4559" s="22"/>
    </row>
    <row r="4560" customFormat="false" ht="15.75" hidden="false" customHeight="false" outlineLevel="0" collapsed="false">
      <c r="A4560" s="20" t="n">
        <v>46141</v>
      </c>
      <c r="B4560" s="15" t="s">
        <v>19</v>
      </c>
      <c r="C4560" s="15" t="s">
        <v>567</v>
      </c>
      <c r="D4560" s="15" t="s">
        <v>568</v>
      </c>
      <c r="E4560" s="15" t="n">
        <v>4</v>
      </c>
      <c r="H4560" s="10"/>
      <c r="I4560" s="21"/>
      <c r="M4560" s="10"/>
      <c r="N4560" s="10"/>
      <c r="P4560" s="10"/>
      <c r="Q4560" s="22"/>
    </row>
    <row r="4561" customFormat="false" ht="15.75" hidden="false" customHeight="false" outlineLevel="0" collapsed="false">
      <c r="A4561" s="20" t="n">
        <v>46141</v>
      </c>
      <c r="B4561" s="15" t="s">
        <v>19</v>
      </c>
      <c r="C4561" s="15" t="s">
        <v>43</v>
      </c>
      <c r="D4561" s="15" t="s">
        <v>538</v>
      </c>
      <c r="E4561" s="15" t="n">
        <v>4</v>
      </c>
      <c r="H4561" s="10"/>
      <c r="I4561" s="21"/>
      <c r="M4561" s="10"/>
      <c r="N4561" s="10"/>
      <c r="P4561" s="10"/>
      <c r="Q4561" s="22"/>
    </row>
    <row r="4562" customFormat="false" ht="15.75" hidden="false" customHeight="false" outlineLevel="0" collapsed="false">
      <c r="A4562" s="20" t="n">
        <v>46141</v>
      </c>
      <c r="B4562" s="15" t="s">
        <v>19</v>
      </c>
      <c r="C4562" s="15" t="s">
        <v>81</v>
      </c>
      <c r="D4562" s="15" t="s">
        <v>534</v>
      </c>
      <c r="E4562" s="15" t="n">
        <v>9</v>
      </c>
      <c r="H4562" s="10"/>
      <c r="I4562" s="21"/>
      <c r="M4562" s="10"/>
      <c r="N4562" s="10"/>
      <c r="P4562" s="10"/>
      <c r="Q4562" s="22"/>
    </row>
    <row r="4563" customFormat="false" ht="15.75" hidden="false" customHeight="false" outlineLevel="0" collapsed="false">
      <c r="A4563" s="20" t="n">
        <v>46141</v>
      </c>
      <c r="B4563" s="15" t="s">
        <v>19</v>
      </c>
      <c r="C4563" s="15" t="s">
        <v>545</v>
      </c>
      <c r="D4563" s="15" t="s">
        <v>546</v>
      </c>
      <c r="E4563" s="15" t="n">
        <v>2</v>
      </c>
      <c r="H4563" s="10"/>
      <c r="I4563" s="21"/>
      <c r="M4563" s="10"/>
      <c r="N4563" s="10"/>
      <c r="P4563" s="10"/>
      <c r="Q4563" s="22"/>
    </row>
    <row r="4564" customFormat="false" ht="15.75" hidden="false" customHeight="false" outlineLevel="0" collapsed="false">
      <c r="A4564" s="20" t="n">
        <v>46141</v>
      </c>
      <c r="B4564" s="15" t="s">
        <v>19</v>
      </c>
      <c r="C4564" s="15" t="s">
        <v>67</v>
      </c>
      <c r="D4564" s="15" t="s">
        <v>569</v>
      </c>
      <c r="E4564" s="15" t="n">
        <v>2</v>
      </c>
      <c r="H4564" s="10"/>
      <c r="I4564" s="21"/>
      <c r="M4564" s="10"/>
      <c r="N4564" s="10"/>
      <c r="P4564" s="10"/>
      <c r="Q4564" s="22"/>
    </row>
    <row r="4565" customFormat="false" ht="15.75" hidden="false" customHeight="false" outlineLevel="0" collapsed="false">
      <c r="A4565" s="20" t="n">
        <v>46141</v>
      </c>
      <c r="B4565" s="15" t="s">
        <v>19</v>
      </c>
      <c r="C4565" s="15" t="s">
        <v>77</v>
      </c>
      <c r="D4565" s="15" t="s">
        <v>78</v>
      </c>
      <c r="E4565" s="15" t="n">
        <v>4</v>
      </c>
      <c r="H4565" s="10"/>
      <c r="I4565" s="21"/>
      <c r="M4565" s="10"/>
      <c r="N4565" s="10"/>
      <c r="P4565" s="10"/>
      <c r="Q4565" s="22"/>
    </row>
    <row r="4566" customFormat="false" ht="15.75" hidden="false" customHeight="false" outlineLevel="0" collapsed="false">
      <c r="A4566" s="20" t="n">
        <v>46141</v>
      </c>
      <c r="B4566" s="15" t="s">
        <v>19</v>
      </c>
      <c r="C4566" s="15" t="s">
        <v>33</v>
      </c>
      <c r="D4566" s="15" t="s">
        <v>536</v>
      </c>
      <c r="E4566" s="15" t="n">
        <v>10</v>
      </c>
      <c r="H4566" s="10"/>
      <c r="I4566" s="21"/>
      <c r="M4566" s="10"/>
      <c r="N4566" s="10"/>
      <c r="P4566" s="10"/>
      <c r="Q4566" s="22"/>
    </row>
    <row r="4567" customFormat="false" ht="15.75" hidden="false" customHeight="false" outlineLevel="0" collapsed="false">
      <c r="A4567" s="20" t="n">
        <v>46141</v>
      </c>
      <c r="B4567" s="15" t="s">
        <v>19</v>
      </c>
      <c r="C4567" s="15" t="s">
        <v>59</v>
      </c>
      <c r="D4567" s="15" t="s">
        <v>562</v>
      </c>
      <c r="E4567" s="15" t="n">
        <v>10</v>
      </c>
      <c r="H4567" s="10"/>
      <c r="I4567" s="21"/>
      <c r="M4567" s="10"/>
      <c r="N4567" s="10"/>
      <c r="P4567" s="10"/>
      <c r="Q4567" s="22"/>
    </row>
    <row r="4568" customFormat="false" ht="15.75" hidden="false" customHeight="false" outlineLevel="0" collapsed="false">
      <c r="A4568" s="20" t="n">
        <v>46141</v>
      </c>
      <c r="B4568" s="15" t="s">
        <v>19</v>
      </c>
      <c r="C4568" s="15" t="s">
        <v>19</v>
      </c>
      <c r="D4568" s="15" t="s">
        <v>19</v>
      </c>
      <c r="E4568" s="15" t="n">
        <v>2</v>
      </c>
      <c r="H4568" s="10"/>
      <c r="I4568" s="21"/>
      <c r="M4568" s="10"/>
      <c r="N4568" s="10"/>
      <c r="P4568" s="10"/>
      <c r="Q4568" s="22"/>
    </row>
    <row r="4569" customFormat="false" ht="15.75" hidden="false" customHeight="false" outlineLevel="0" collapsed="false">
      <c r="A4569" s="20" t="n">
        <v>46141</v>
      </c>
      <c r="B4569" s="15" t="s">
        <v>19</v>
      </c>
      <c r="C4569" s="15" t="s">
        <v>570</v>
      </c>
      <c r="D4569" s="15" t="s">
        <v>571</v>
      </c>
      <c r="E4569" s="15" t="n">
        <v>2</v>
      </c>
      <c r="H4569" s="10"/>
      <c r="I4569" s="21"/>
      <c r="M4569" s="10"/>
      <c r="N4569" s="10"/>
      <c r="P4569" s="10"/>
      <c r="Q4569" s="22"/>
    </row>
    <row r="4570" customFormat="false" ht="15.75" hidden="false" customHeight="false" outlineLevel="0" collapsed="false">
      <c r="A4570" s="20" t="n">
        <v>46141</v>
      </c>
      <c r="B4570" s="15" t="s">
        <v>19</v>
      </c>
      <c r="C4570" s="15" t="s">
        <v>11</v>
      </c>
      <c r="D4570" s="15" t="s">
        <v>572</v>
      </c>
      <c r="E4570" s="15" t="n">
        <v>2</v>
      </c>
      <c r="H4570" s="10"/>
      <c r="I4570" s="21"/>
      <c r="M4570" s="10"/>
      <c r="N4570" s="10"/>
      <c r="P4570" s="10"/>
      <c r="Q4570" s="22"/>
    </row>
    <row r="4571" customFormat="false" ht="15.75" hidden="false" customHeight="false" outlineLevel="0" collapsed="false">
      <c r="A4571" s="20" t="n">
        <v>46141</v>
      </c>
      <c r="B4571" s="15" t="s">
        <v>467</v>
      </c>
      <c r="C4571" s="15" t="s">
        <v>55</v>
      </c>
      <c r="D4571" s="15" t="s">
        <v>539</v>
      </c>
      <c r="E4571" s="15" t="n">
        <v>6</v>
      </c>
      <c r="H4571" s="10"/>
      <c r="I4571" s="21"/>
      <c r="M4571" s="10"/>
      <c r="N4571" s="10"/>
      <c r="P4571" s="10"/>
      <c r="Q4571" s="22"/>
    </row>
    <row r="4572" customFormat="false" ht="15.75" hidden="false" customHeight="false" outlineLevel="0" collapsed="false">
      <c r="A4572" s="20" t="n">
        <v>46141</v>
      </c>
      <c r="B4572" s="15" t="s">
        <v>467</v>
      </c>
      <c r="C4572" s="15" t="s">
        <v>57</v>
      </c>
      <c r="D4572" s="15" t="s">
        <v>553</v>
      </c>
      <c r="E4572" s="15" t="n">
        <v>2</v>
      </c>
      <c r="H4572" s="10"/>
      <c r="I4572" s="21"/>
      <c r="M4572" s="10"/>
      <c r="N4572" s="10"/>
      <c r="P4572" s="10"/>
      <c r="Q4572" s="22"/>
    </row>
    <row r="4573" customFormat="false" ht="15.75" hidden="false" customHeight="false" outlineLevel="0" collapsed="false">
      <c r="A4573" s="20" t="n">
        <v>46141</v>
      </c>
      <c r="B4573" s="15" t="s">
        <v>467</v>
      </c>
      <c r="C4573" s="15" t="s">
        <v>47</v>
      </c>
      <c r="D4573" s="15" t="s">
        <v>549</v>
      </c>
      <c r="E4573" s="15" t="n">
        <v>2</v>
      </c>
      <c r="H4573" s="10"/>
      <c r="I4573" s="21"/>
      <c r="M4573" s="10"/>
      <c r="N4573" s="10"/>
      <c r="P4573" s="10"/>
      <c r="Q4573" s="22"/>
    </row>
    <row r="4574" customFormat="false" ht="15.75" hidden="false" customHeight="false" outlineLevel="0" collapsed="false">
      <c r="A4574" s="20" t="n">
        <v>46141</v>
      </c>
      <c r="B4574" s="15" t="s">
        <v>467</v>
      </c>
      <c r="C4574" s="15" t="s">
        <v>81</v>
      </c>
      <c r="D4574" s="15" t="s">
        <v>534</v>
      </c>
      <c r="E4574" s="15" t="n">
        <v>7</v>
      </c>
      <c r="H4574" s="10"/>
      <c r="I4574" s="21"/>
      <c r="M4574" s="10"/>
      <c r="N4574" s="10"/>
      <c r="P4574" s="10"/>
      <c r="Q4574" s="22"/>
    </row>
    <row r="4575" customFormat="false" ht="15.75" hidden="false" customHeight="false" outlineLevel="0" collapsed="false">
      <c r="A4575" s="20" t="n">
        <v>46141</v>
      </c>
      <c r="B4575" s="15" t="s">
        <v>467</v>
      </c>
      <c r="C4575" s="15" t="s">
        <v>49</v>
      </c>
      <c r="D4575" s="15" t="s">
        <v>537</v>
      </c>
      <c r="E4575" s="15" t="n">
        <v>2</v>
      </c>
      <c r="H4575" s="10"/>
      <c r="I4575" s="21"/>
      <c r="M4575" s="10"/>
      <c r="N4575" s="10"/>
      <c r="P4575" s="10"/>
      <c r="Q4575" s="22"/>
    </row>
    <row r="4576" customFormat="false" ht="15.75" hidden="false" customHeight="false" outlineLevel="0" collapsed="false">
      <c r="A4576" s="20" t="n">
        <v>46141</v>
      </c>
      <c r="B4576" s="15" t="s">
        <v>467</v>
      </c>
      <c r="C4576" s="15" t="s">
        <v>63</v>
      </c>
      <c r="D4576" s="15" t="s">
        <v>551</v>
      </c>
      <c r="E4576" s="15" t="n">
        <v>1</v>
      </c>
      <c r="H4576" s="10"/>
      <c r="I4576" s="21"/>
      <c r="M4576" s="10"/>
      <c r="N4576" s="10"/>
      <c r="P4576" s="10"/>
      <c r="Q4576" s="22"/>
    </row>
    <row r="4577" customFormat="false" ht="15.75" hidden="false" customHeight="false" outlineLevel="0" collapsed="false">
      <c r="A4577" s="20" t="n">
        <v>46141</v>
      </c>
      <c r="B4577" s="15" t="s">
        <v>469</v>
      </c>
      <c r="C4577" s="15" t="s">
        <v>69</v>
      </c>
      <c r="D4577" s="15" t="s">
        <v>535</v>
      </c>
      <c r="E4577" s="15" t="n">
        <v>5</v>
      </c>
      <c r="H4577" s="10"/>
      <c r="I4577" s="21"/>
      <c r="M4577" s="10"/>
      <c r="N4577" s="10"/>
      <c r="P4577" s="10"/>
      <c r="Q4577" s="22"/>
    </row>
    <row r="4578" customFormat="false" ht="15.75" hidden="false" customHeight="false" outlineLevel="0" collapsed="false">
      <c r="A4578" s="20" t="n">
        <v>46141</v>
      </c>
      <c r="B4578" s="15" t="s">
        <v>469</v>
      </c>
      <c r="C4578" s="15" t="s">
        <v>55</v>
      </c>
      <c r="D4578" s="15" t="s">
        <v>539</v>
      </c>
      <c r="E4578" s="15" t="n">
        <v>2</v>
      </c>
      <c r="H4578" s="10"/>
      <c r="I4578" s="21"/>
      <c r="M4578" s="10"/>
      <c r="N4578" s="10"/>
      <c r="P4578" s="10"/>
      <c r="Q4578" s="22"/>
    </row>
    <row r="4579" customFormat="false" ht="15.75" hidden="false" customHeight="false" outlineLevel="0" collapsed="false">
      <c r="A4579" s="20" t="n">
        <v>46141</v>
      </c>
      <c r="B4579" s="15" t="s">
        <v>469</v>
      </c>
      <c r="C4579" s="15" t="s">
        <v>33</v>
      </c>
      <c r="D4579" s="15" t="s">
        <v>536</v>
      </c>
      <c r="E4579" s="15" t="n">
        <v>5</v>
      </c>
      <c r="H4579" s="10"/>
      <c r="I4579" s="21"/>
      <c r="M4579" s="10"/>
      <c r="N4579" s="10"/>
      <c r="P4579" s="10"/>
      <c r="Q4579" s="22"/>
    </row>
    <row r="4580" customFormat="false" ht="15.75" hidden="false" customHeight="false" outlineLevel="0" collapsed="false">
      <c r="A4580" s="20" t="n">
        <v>46141</v>
      </c>
      <c r="B4580" s="15" t="s">
        <v>469</v>
      </c>
      <c r="C4580" s="15" t="s">
        <v>547</v>
      </c>
      <c r="D4580" s="15" t="s">
        <v>548</v>
      </c>
      <c r="E4580" s="15" t="n">
        <v>1</v>
      </c>
      <c r="H4580" s="10"/>
      <c r="I4580" s="21"/>
      <c r="M4580" s="10"/>
      <c r="N4580" s="10"/>
      <c r="P4580" s="10"/>
      <c r="Q4580" s="22"/>
    </row>
    <row r="4581" customFormat="false" ht="15.75" hidden="false" customHeight="false" outlineLevel="0" collapsed="false">
      <c r="A4581" s="20" t="n">
        <v>46141</v>
      </c>
      <c r="B4581" s="15" t="s">
        <v>469</v>
      </c>
      <c r="C4581" s="15" t="s">
        <v>81</v>
      </c>
      <c r="D4581" s="15" t="s">
        <v>534</v>
      </c>
      <c r="E4581" s="15" t="n">
        <v>2</v>
      </c>
      <c r="H4581" s="10"/>
      <c r="I4581" s="21"/>
      <c r="M4581" s="10"/>
      <c r="N4581" s="10"/>
      <c r="P4581" s="10"/>
      <c r="Q4581" s="22"/>
    </row>
    <row r="4582" customFormat="false" ht="15.75" hidden="false" customHeight="false" outlineLevel="0" collapsed="false">
      <c r="A4582" s="20" t="n">
        <v>46141</v>
      </c>
      <c r="B4582" s="15" t="s">
        <v>474</v>
      </c>
      <c r="C4582" s="15" t="s">
        <v>555</v>
      </c>
      <c r="D4582" s="15" t="s">
        <v>556</v>
      </c>
      <c r="E4582" s="15" t="n">
        <v>8</v>
      </c>
      <c r="H4582" s="10"/>
      <c r="I4582" s="21"/>
      <c r="M4582" s="10"/>
      <c r="N4582" s="10"/>
      <c r="P4582" s="10"/>
      <c r="Q4582" s="22"/>
    </row>
    <row r="4583" customFormat="false" ht="15.75" hidden="false" customHeight="false" outlineLevel="0" collapsed="false">
      <c r="A4583" s="20" t="n">
        <v>46141</v>
      </c>
      <c r="B4583" s="15" t="s">
        <v>474</v>
      </c>
      <c r="C4583" s="15" t="s">
        <v>565</v>
      </c>
      <c r="D4583" s="15" t="s">
        <v>566</v>
      </c>
      <c r="E4583" s="15" t="n">
        <v>4</v>
      </c>
      <c r="H4583" s="10"/>
      <c r="I4583" s="21"/>
      <c r="M4583" s="10"/>
      <c r="N4583" s="10"/>
      <c r="P4583" s="10"/>
      <c r="Q4583" s="22"/>
    </row>
    <row r="4584" customFormat="false" ht="15.75" hidden="false" customHeight="false" outlineLevel="0" collapsed="false">
      <c r="A4584" s="20" t="n">
        <v>46141</v>
      </c>
      <c r="B4584" s="15" t="s">
        <v>474</v>
      </c>
      <c r="C4584" s="15" t="s">
        <v>11</v>
      </c>
      <c r="D4584" s="15" t="s">
        <v>572</v>
      </c>
      <c r="E4584" s="15" t="n">
        <v>4</v>
      </c>
      <c r="H4584" s="10"/>
      <c r="I4584" s="21"/>
      <c r="M4584" s="10"/>
      <c r="N4584" s="10"/>
      <c r="P4584" s="10"/>
      <c r="Q4584" s="22"/>
    </row>
    <row r="4585" customFormat="false" ht="15.75" hidden="false" customHeight="false" outlineLevel="0" collapsed="false">
      <c r="A4585" s="20" t="n">
        <v>46141</v>
      </c>
      <c r="B4585" s="15" t="s">
        <v>474</v>
      </c>
      <c r="C4585" s="15" t="s">
        <v>543</v>
      </c>
      <c r="D4585" s="15" t="s">
        <v>544</v>
      </c>
      <c r="E4585" s="15" t="n">
        <v>4</v>
      </c>
      <c r="H4585" s="10"/>
      <c r="I4585" s="21"/>
      <c r="M4585" s="10"/>
      <c r="N4585" s="10"/>
      <c r="P4585" s="10"/>
      <c r="Q4585" s="22"/>
    </row>
    <row r="4586" customFormat="false" ht="15.75" hidden="false" customHeight="false" outlineLevel="0" collapsed="false">
      <c r="A4586" s="20" t="n">
        <v>46141</v>
      </c>
      <c r="B4586" s="15" t="s">
        <v>474</v>
      </c>
      <c r="C4586" s="15" t="s">
        <v>91</v>
      </c>
      <c r="D4586" s="15" t="s">
        <v>91</v>
      </c>
      <c r="E4586" s="15" t="n">
        <v>4</v>
      </c>
      <c r="H4586" s="10"/>
      <c r="I4586" s="21"/>
      <c r="M4586" s="10"/>
      <c r="N4586" s="10"/>
      <c r="P4586" s="10"/>
      <c r="Q4586" s="22"/>
    </row>
    <row r="4587" customFormat="false" ht="15.75" hidden="false" customHeight="false" outlineLevel="0" collapsed="false">
      <c r="A4587" s="20" t="n">
        <v>46141</v>
      </c>
      <c r="B4587" s="15" t="s">
        <v>474</v>
      </c>
      <c r="C4587" s="15" t="s">
        <v>25</v>
      </c>
      <c r="D4587" s="15" t="s">
        <v>26</v>
      </c>
      <c r="E4587" s="15" t="n">
        <v>4</v>
      </c>
      <c r="H4587" s="10"/>
      <c r="I4587" s="21"/>
      <c r="M4587" s="10"/>
      <c r="N4587" s="10"/>
      <c r="P4587" s="10"/>
      <c r="Q4587" s="22"/>
    </row>
    <row r="4588" customFormat="false" ht="15.75" hidden="false" customHeight="false" outlineLevel="0" collapsed="false">
      <c r="A4588" s="20" t="n">
        <v>46141</v>
      </c>
      <c r="B4588" s="15" t="s">
        <v>477</v>
      </c>
      <c r="C4588" s="15" t="s">
        <v>69</v>
      </c>
      <c r="D4588" s="15" t="s">
        <v>535</v>
      </c>
      <c r="E4588" s="15" t="n">
        <v>3</v>
      </c>
      <c r="H4588" s="10"/>
      <c r="I4588" s="21"/>
      <c r="M4588" s="10"/>
      <c r="N4588" s="10"/>
      <c r="P4588" s="10"/>
      <c r="Q4588" s="22"/>
    </row>
    <row r="4589" customFormat="false" ht="15.75" hidden="false" customHeight="false" outlineLevel="0" collapsed="false">
      <c r="A4589" s="20" t="n">
        <v>46141</v>
      </c>
      <c r="B4589" s="15" t="s">
        <v>477</v>
      </c>
      <c r="C4589" s="15" t="s">
        <v>547</v>
      </c>
      <c r="D4589" s="15" t="s">
        <v>548</v>
      </c>
      <c r="E4589" s="15" t="n">
        <v>3</v>
      </c>
      <c r="H4589" s="10"/>
      <c r="I4589" s="21"/>
      <c r="M4589" s="10"/>
      <c r="N4589" s="10"/>
      <c r="P4589" s="10"/>
      <c r="Q4589" s="22"/>
    </row>
    <row r="4590" customFormat="false" ht="15.75" hidden="false" customHeight="false" outlineLevel="0" collapsed="false">
      <c r="A4590" s="20" t="n">
        <v>46141</v>
      </c>
      <c r="B4590" s="15" t="s">
        <v>477</v>
      </c>
      <c r="C4590" s="15" t="s">
        <v>25</v>
      </c>
      <c r="D4590" s="15" t="s">
        <v>26</v>
      </c>
      <c r="E4590" s="15" t="n">
        <v>3</v>
      </c>
      <c r="H4590" s="10"/>
      <c r="I4590" s="21"/>
      <c r="M4590" s="10"/>
      <c r="N4590" s="10"/>
      <c r="P4590" s="10"/>
      <c r="Q4590" s="22"/>
    </row>
    <row r="4591" customFormat="false" ht="15.75" hidden="false" customHeight="false" outlineLevel="0" collapsed="false">
      <c r="A4591" s="20" t="n">
        <v>46141</v>
      </c>
      <c r="B4591" s="15" t="s">
        <v>479</v>
      </c>
      <c r="C4591" s="15" t="s">
        <v>69</v>
      </c>
      <c r="D4591" s="15" t="s">
        <v>535</v>
      </c>
      <c r="E4591" s="15" t="n">
        <v>2</v>
      </c>
      <c r="H4591" s="10"/>
      <c r="I4591" s="21"/>
      <c r="M4591" s="10"/>
      <c r="N4591" s="10"/>
      <c r="P4591" s="10"/>
      <c r="Q4591" s="22"/>
    </row>
    <row r="4592" customFormat="false" ht="15.75" hidden="false" customHeight="false" outlineLevel="0" collapsed="false">
      <c r="A4592" s="20" t="n">
        <v>46141</v>
      </c>
      <c r="B4592" s="15" t="s">
        <v>479</v>
      </c>
      <c r="C4592" s="15" t="s">
        <v>547</v>
      </c>
      <c r="D4592" s="15" t="s">
        <v>548</v>
      </c>
      <c r="E4592" s="15" t="n">
        <v>2</v>
      </c>
      <c r="H4592" s="10"/>
      <c r="I4592" s="21"/>
      <c r="M4592" s="10"/>
      <c r="N4592" s="10"/>
      <c r="P4592" s="10"/>
      <c r="Q4592" s="22"/>
    </row>
    <row r="4593" customFormat="false" ht="15.75" hidden="false" customHeight="false" outlineLevel="0" collapsed="false">
      <c r="A4593" s="20" t="n">
        <v>46141</v>
      </c>
      <c r="B4593" s="15" t="s">
        <v>488</v>
      </c>
      <c r="C4593" s="15" t="s">
        <v>69</v>
      </c>
      <c r="D4593" s="15" t="s">
        <v>535</v>
      </c>
      <c r="E4593" s="15" t="n">
        <v>3</v>
      </c>
      <c r="H4593" s="10"/>
      <c r="I4593" s="21"/>
      <c r="M4593" s="10"/>
      <c r="N4593" s="10"/>
      <c r="P4593" s="10"/>
      <c r="Q4593" s="22"/>
    </row>
    <row r="4594" customFormat="false" ht="15.75" hidden="false" customHeight="false" outlineLevel="0" collapsed="false">
      <c r="A4594" s="20" t="n">
        <v>46141</v>
      </c>
      <c r="B4594" s="15" t="s">
        <v>488</v>
      </c>
      <c r="C4594" s="15" t="s">
        <v>555</v>
      </c>
      <c r="D4594" s="15" t="s">
        <v>556</v>
      </c>
      <c r="E4594" s="15" t="n">
        <v>2</v>
      </c>
      <c r="H4594" s="10"/>
      <c r="I4594" s="21"/>
      <c r="M4594" s="10"/>
      <c r="N4594" s="10"/>
      <c r="P4594" s="10"/>
      <c r="Q4594" s="22"/>
    </row>
    <row r="4595" customFormat="false" ht="15.75" hidden="false" customHeight="false" outlineLevel="0" collapsed="false">
      <c r="A4595" s="20" t="n">
        <v>46141</v>
      </c>
      <c r="B4595" s="15" t="s">
        <v>488</v>
      </c>
      <c r="C4595" s="15" t="s">
        <v>565</v>
      </c>
      <c r="D4595" s="15" t="s">
        <v>566</v>
      </c>
      <c r="E4595" s="15" t="n">
        <v>1</v>
      </c>
      <c r="H4595" s="10"/>
      <c r="I4595" s="21"/>
      <c r="M4595" s="10"/>
      <c r="N4595" s="10"/>
      <c r="P4595" s="10"/>
      <c r="Q4595" s="22"/>
    </row>
    <row r="4596" customFormat="false" ht="15.75" hidden="false" customHeight="false" outlineLevel="0" collapsed="false">
      <c r="A4596" s="20" t="n">
        <v>46141</v>
      </c>
      <c r="B4596" s="15" t="s">
        <v>488</v>
      </c>
      <c r="C4596" s="15" t="s">
        <v>545</v>
      </c>
      <c r="D4596" s="15" t="s">
        <v>546</v>
      </c>
      <c r="E4596" s="15" t="n">
        <v>2</v>
      </c>
      <c r="H4596" s="10"/>
      <c r="I4596" s="21"/>
      <c r="M4596" s="10"/>
      <c r="N4596" s="10"/>
      <c r="P4596" s="10"/>
      <c r="Q4596" s="22"/>
    </row>
    <row r="4597" customFormat="false" ht="15.75" hidden="false" customHeight="false" outlineLevel="0" collapsed="false">
      <c r="A4597" s="20" t="n">
        <v>46141</v>
      </c>
      <c r="B4597" s="15" t="s">
        <v>488</v>
      </c>
      <c r="C4597" s="15" t="s">
        <v>578</v>
      </c>
      <c r="D4597" s="15" t="s">
        <v>579</v>
      </c>
      <c r="E4597" s="15" t="n">
        <v>1</v>
      </c>
      <c r="H4597" s="10"/>
      <c r="I4597" s="21"/>
      <c r="M4597" s="10"/>
      <c r="N4597" s="10"/>
      <c r="P4597" s="10"/>
      <c r="Q4597" s="22"/>
    </row>
    <row r="4598" customFormat="false" ht="15.75" hidden="false" customHeight="false" outlineLevel="0" collapsed="false">
      <c r="A4598" s="20" t="n">
        <v>46141</v>
      </c>
      <c r="B4598" s="15" t="s">
        <v>488</v>
      </c>
      <c r="C4598" s="15" t="s">
        <v>570</v>
      </c>
      <c r="D4598" s="15" t="s">
        <v>571</v>
      </c>
      <c r="E4598" s="15" t="n">
        <v>1</v>
      </c>
      <c r="H4598" s="10"/>
      <c r="I4598" s="21"/>
      <c r="M4598" s="10"/>
      <c r="N4598" s="10"/>
      <c r="P4598" s="10"/>
      <c r="Q4598" s="22"/>
    </row>
    <row r="4599" customFormat="false" ht="15.75" hidden="false" customHeight="false" outlineLevel="0" collapsed="false">
      <c r="A4599" s="20" t="n">
        <v>46141</v>
      </c>
      <c r="B4599" s="15" t="s">
        <v>488</v>
      </c>
      <c r="C4599" s="15" t="s">
        <v>11</v>
      </c>
      <c r="D4599" s="15" t="s">
        <v>572</v>
      </c>
      <c r="E4599" s="15" t="n">
        <v>1</v>
      </c>
      <c r="H4599" s="10"/>
      <c r="I4599" s="21"/>
      <c r="M4599" s="10"/>
      <c r="N4599" s="10"/>
      <c r="P4599" s="10"/>
      <c r="Q4599" s="22"/>
    </row>
    <row r="4600" customFormat="false" ht="15.75" hidden="false" customHeight="false" outlineLevel="0" collapsed="false">
      <c r="A4600" s="20" t="n">
        <v>46141</v>
      </c>
      <c r="B4600" s="15" t="s">
        <v>488</v>
      </c>
      <c r="C4600" s="15" t="s">
        <v>543</v>
      </c>
      <c r="D4600" s="15" t="s">
        <v>544</v>
      </c>
      <c r="E4600" s="15" t="n">
        <v>3</v>
      </c>
      <c r="H4600" s="10"/>
      <c r="I4600" s="21"/>
      <c r="M4600" s="10"/>
      <c r="N4600" s="10"/>
      <c r="P4600" s="10"/>
      <c r="Q4600" s="22"/>
    </row>
    <row r="4601" customFormat="false" ht="15.75" hidden="false" customHeight="false" outlineLevel="0" collapsed="false">
      <c r="A4601" s="20" t="n">
        <v>46141</v>
      </c>
      <c r="B4601" s="15" t="s">
        <v>488</v>
      </c>
      <c r="C4601" s="15" t="s">
        <v>65</v>
      </c>
      <c r="D4601" s="15" t="s">
        <v>580</v>
      </c>
      <c r="E4601" s="15" t="n">
        <v>1</v>
      </c>
      <c r="H4601" s="10"/>
      <c r="I4601" s="21"/>
      <c r="M4601" s="10"/>
      <c r="N4601" s="10"/>
      <c r="P4601" s="10"/>
      <c r="Q4601" s="22"/>
    </row>
    <row r="4602" customFormat="false" ht="15.75" hidden="false" customHeight="false" outlineLevel="0" collapsed="false">
      <c r="A4602" s="20" t="n">
        <v>46141</v>
      </c>
      <c r="B4602" s="15" t="s">
        <v>488</v>
      </c>
      <c r="C4602" s="15" t="s">
        <v>91</v>
      </c>
      <c r="D4602" s="15" t="s">
        <v>91</v>
      </c>
      <c r="E4602" s="15" t="n">
        <v>2</v>
      </c>
      <c r="H4602" s="10"/>
      <c r="I4602" s="21"/>
      <c r="M4602" s="10"/>
      <c r="N4602" s="10"/>
      <c r="P4602" s="10"/>
      <c r="Q4602" s="22"/>
    </row>
    <row r="4603" customFormat="false" ht="15.75" hidden="false" customHeight="false" outlineLevel="0" collapsed="false">
      <c r="A4603" s="20" t="n">
        <v>46141</v>
      </c>
      <c r="B4603" s="15" t="s">
        <v>488</v>
      </c>
      <c r="C4603" s="15" t="s">
        <v>33</v>
      </c>
      <c r="D4603" s="15" t="s">
        <v>536</v>
      </c>
      <c r="E4603" s="15" t="n">
        <v>3</v>
      </c>
      <c r="H4603" s="10"/>
      <c r="I4603" s="21"/>
      <c r="M4603" s="10"/>
      <c r="N4603" s="10"/>
      <c r="P4603" s="10"/>
      <c r="Q4603" s="22"/>
    </row>
    <row r="4604" customFormat="false" ht="15.75" hidden="false" customHeight="false" outlineLevel="0" collapsed="false">
      <c r="A4604" s="20" t="n">
        <v>46141</v>
      </c>
      <c r="B4604" s="15" t="s">
        <v>488</v>
      </c>
      <c r="C4604" s="15" t="s">
        <v>75</v>
      </c>
      <c r="D4604" s="15" t="s">
        <v>560</v>
      </c>
      <c r="E4604" s="15" t="n">
        <v>1</v>
      </c>
      <c r="H4604" s="10"/>
      <c r="I4604" s="21"/>
      <c r="M4604" s="10"/>
      <c r="N4604" s="10"/>
      <c r="P4604" s="10"/>
      <c r="Q4604" s="22"/>
    </row>
    <row r="4605" customFormat="false" ht="15.75" hidden="false" customHeight="false" outlineLevel="0" collapsed="false">
      <c r="A4605" s="20" t="n">
        <v>46141</v>
      </c>
      <c r="B4605" s="15" t="s">
        <v>488</v>
      </c>
      <c r="C4605" s="15" t="s">
        <v>79</v>
      </c>
      <c r="D4605" s="15" t="s">
        <v>564</v>
      </c>
      <c r="E4605" s="15" t="n">
        <v>2</v>
      </c>
      <c r="H4605" s="10"/>
      <c r="I4605" s="21"/>
      <c r="M4605" s="10"/>
      <c r="N4605" s="10"/>
      <c r="P4605" s="10"/>
      <c r="Q4605" s="22"/>
    </row>
    <row r="4606" customFormat="false" ht="15.75" hidden="false" customHeight="false" outlineLevel="0" collapsed="false">
      <c r="A4606" s="20" t="n">
        <v>46141</v>
      </c>
      <c r="B4606" s="15" t="s">
        <v>488</v>
      </c>
      <c r="C4606" s="15" t="s">
        <v>81</v>
      </c>
      <c r="D4606" s="15" t="s">
        <v>534</v>
      </c>
      <c r="E4606" s="15" t="n">
        <v>10</v>
      </c>
      <c r="H4606" s="10"/>
      <c r="I4606" s="21"/>
      <c r="M4606" s="10"/>
      <c r="N4606" s="10"/>
      <c r="P4606" s="10"/>
      <c r="Q4606" s="22"/>
    </row>
    <row r="4607" customFormat="false" ht="15.75" hidden="false" customHeight="false" outlineLevel="0" collapsed="false">
      <c r="A4607" s="20" t="n">
        <v>46141</v>
      </c>
      <c r="B4607" s="15" t="s">
        <v>488</v>
      </c>
      <c r="C4607" s="15" t="s">
        <v>77</v>
      </c>
      <c r="D4607" s="15" t="s">
        <v>78</v>
      </c>
      <c r="E4607" s="15" t="n">
        <v>3</v>
      </c>
      <c r="H4607" s="10"/>
      <c r="I4607" s="21"/>
      <c r="M4607" s="10"/>
      <c r="N4607" s="10"/>
      <c r="P4607" s="10"/>
      <c r="Q4607" s="22"/>
    </row>
    <row r="4608" customFormat="false" ht="15.75" hidden="false" customHeight="false" outlineLevel="0" collapsed="false">
      <c r="A4608" s="20" t="n">
        <v>46141</v>
      </c>
      <c r="B4608" s="15" t="s">
        <v>488</v>
      </c>
      <c r="C4608" s="15" t="s">
        <v>25</v>
      </c>
      <c r="D4608" s="15" t="s">
        <v>26</v>
      </c>
      <c r="E4608" s="15" t="n">
        <v>1</v>
      </c>
      <c r="H4608" s="10"/>
      <c r="I4608" s="21"/>
      <c r="M4608" s="10"/>
      <c r="N4608" s="10"/>
      <c r="P4608" s="10"/>
      <c r="Q4608" s="22"/>
    </row>
    <row r="4609" customFormat="false" ht="15.75" hidden="false" customHeight="false" outlineLevel="0" collapsed="false">
      <c r="A4609" s="20" t="n">
        <v>46141</v>
      </c>
      <c r="B4609" s="15" t="s">
        <v>491</v>
      </c>
      <c r="C4609" s="15" t="s">
        <v>37</v>
      </c>
      <c r="D4609" s="15" t="s">
        <v>561</v>
      </c>
      <c r="E4609" s="15" t="n">
        <v>1</v>
      </c>
      <c r="H4609" s="10"/>
      <c r="I4609" s="21"/>
      <c r="M4609" s="10"/>
      <c r="N4609" s="10"/>
      <c r="P4609" s="10"/>
      <c r="Q4609" s="22"/>
    </row>
    <row r="4610" customFormat="false" ht="15.75" hidden="false" customHeight="false" outlineLevel="0" collapsed="false">
      <c r="A4610" s="20" t="n">
        <v>46141</v>
      </c>
      <c r="B4610" s="15" t="s">
        <v>491</v>
      </c>
      <c r="C4610" s="15" t="s">
        <v>81</v>
      </c>
      <c r="D4610" s="15" t="s">
        <v>534</v>
      </c>
      <c r="E4610" s="15" t="n">
        <v>8</v>
      </c>
      <c r="H4610" s="10"/>
      <c r="I4610" s="21"/>
      <c r="M4610" s="10"/>
      <c r="N4610" s="10"/>
      <c r="P4610" s="10"/>
      <c r="Q4610" s="22"/>
    </row>
    <row r="4611" customFormat="false" ht="15.75" hidden="false" customHeight="false" outlineLevel="0" collapsed="false">
      <c r="A4611" s="20" t="n">
        <v>46141</v>
      </c>
      <c r="B4611" s="15" t="s">
        <v>491</v>
      </c>
      <c r="C4611" s="15" t="s">
        <v>75</v>
      </c>
      <c r="D4611" s="15" t="s">
        <v>560</v>
      </c>
      <c r="E4611" s="15" t="n">
        <v>1</v>
      </c>
      <c r="H4611" s="10"/>
      <c r="I4611" s="21"/>
      <c r="M4611" s="10"/>
      <c r="N4611" s="10"/>
      <c r="P4611" s="10"/>
      <c r="Q4611" s="22"/>
    </row>
    <row r="4612" customFormat="false" ht="15.75" hidden="false" customHeight="false" outlineLevel="0" collapsed="false">
      <c r="A4612" s="20" t="n">
        <v>46141</v>
      </c>
      <c r="B4612" s="15" t="s">
        <v>491</v>
      </c>
      <c r="C4612" s="15" t="s">
        <v>69</v>
      </c>
      <c r="D4612" s="15" t="s">
        <v>535</v>
      </c>
      <c r="E4612" s="15" t="n">
        <v>6</v>
      </c>
      <c r="H4612" s="10"/>
      <c r="I4612" s="21"/>
      <c r="M4612" s="10"/>
      <c r="N4612" s="10"/>
      <c r="P4612" s="10"/>
      <c r="Q4612" s="22"/>
    </row>
    <row r="4613" customFormat="false" ht="15.75" hidden="false" customHeight="false" outlineLevel="0" collapsed="false">
      <c r="A4613" s="20" t="n">
        <v>46141</v>
      </c>
      <c r="B4613" s="15" t="s">
        <v>491</v>
      </c>
      <c r="C4613" s="15" t="s">
        <v>547</v>
      </c>
      <c r="D4613" s="15" t="s">
        <v>548</v>
      </c>
      <c r="E4613" s="15" t="n">
        <v>1</v>
      </c>
      <c r="H4613" s="10"/>
      <c r="I4613" s="21"/>
      <c r="M4613" s="10"/>
      <c r="N4613" s="10"/>
      <c r="P4613" s="10"/>
      <c r="Q4613" s="22"/>
    </row>
    <row r="4614" customFormat="false" ht="15.75" hidden="false" customHeight="false" outlineLevel="0" collapsed="false">
      <c r="A4614" s="20" t="n">
        <v>46141</v>
      </c>
      <c r="B4614" s="15" t="s">
        <v>491</v>
      </c>
      <c r="C4614" s="15" t="s">
        <v>31</v>
      </c>
      <c r="D4614" s="15" t="s">
        <v>559</v>
      </c>
      <c r="E4614" s="15" t="n">
        <v>2</v>
      </c>
      <c r="H4614" s="10"/>
      <c r="I4614" s="21"/>
      <c r="M4614" s="10"/>
      <c r="N4614" s="10"/>
      <c r="P4614" s="10"/>
      <c r="Q4614" s="22"/>
    </row>
    <row r="4615" customFormat="false" ht="15.75" hidden="false" customHeight="false" outlineLevel="0" collapsed="false">
      <c r="A4615" s="20" t="n">
        <v>46141</v>
      </c>
      <c r="B4615" s="15" t="s">
        <v>491</v>
      </c>
      <c r="C4615" s="15" t="s">
        <v>545</v>
      </c>
      <c r="D4615" s="15" t="s">
        <v>546</v>
      </c>
      <c r="E4615" s="15" t="n">
        <v>2</v>
      </c>
      <c r="H4615" s="10"/>
      <c r="I4615" s="21"/>
      <c r="M4615" s="10"/>
      <c r="N4615" s="10"/>
      <c r="P4615" s="10"/>
      <c r="Q4615" s="22"/>
    </row>
    <row r="4616" customFormat="false" ht="15.75" hidden="false" customHeight="false" outlineLevel="0" collapsed="false">
      <c r="A4616" s="20" t="n">
        <v>46141</v>
      </c>
      <c r="B4616" s="15" t="s">
        <v>491</v>
      </c>
      <c r="C4616" s="15" t="s">
        <v>543</v>
      </c>
      <c r="D4616" s="15" t="s">
        <v>544</v>
      </c>
      <c r="E4616" s="15" t="n">
        <v>4</v>
      </c>
      <c r="H4616" s="10"/>
      <c r="I4616" s="21"/>
      <c r="M4616" s="10"/>
      <c r="N4616" s="10"/>
      <c r="P4616" s="10"/>
      <c r="Q4616" s="22"/>
    </row>
    <row r="4617" customFormat="false" ht="15.75" hidden="false" customHeight="false" outlineLevel="0" collapsed="false">
      <c r="A4617" s="20" t="n">
        <v>46141</v>
      </c>
      <c r="B4617" s="15" t="s">
        <v>491</v>
      </c>
      <c r="C4617" s="15" t="s">
        <v>541</v>
      </c>
      <c r="D4617" s="15" t="s">
        <v>542</v>
      </c>
      <c r="E4617" s="15" t="n">
        <v>2</v>
      </c>
      <c r="H4617" s="10"/>
      <c r="I4617" s="21"/>
      <c r="M4617" s="10"/>
      <c r="N4617" s="10"/>
      <c r="P4617" s="10"/>
      <c r="Q4617" s="22"/>
    </row>
    <row r="4618" customFormat="false" ht="15.75" hidden="false" customHeight="false" outlineLevel="0" collapsed="false">
      <c r="A4618" s="20" t="n">
        <v>46141</v>
      </c>
      <c r="B4618" s="15" t="s">
        <v>491</v>
      </c>
      <c r="C4618" s="15" t="s">
        <v>49</v>
      </c>
      <c r="D4618" s="15" t="s">
        <v>537</v>
      </c>
      <c r="E4618" s="15" t="n">
        <v>1</v>
      </c>
      <c r="H4618" s="10"/>
      <c r="I4618" s="21"/>
      <c r="M4618" s="10"/>
      <c r="N4618" s="10"/>
      <c r="P4618" s="10"/>
      <c r="Q4618" s="22"/>
    </row>
    <row r="4619" customFormat="false" ht="15.75" hidden="false" customHeight="false" outlineLevel="0" collapsed="false">
      <c r="A4619" s="20" t="n">
        <v>46141</v>
      </c>
      <c r="B4619" s="15" t="s">
        <v>491</v>
      </c>
      <c r="C4619" s="15" t="s">
        <v>33</v>
      </c>
      <c r="D4619" s="15" t="s">
        <v>536</v>
      </c>
      <c r="E4619" s="15" t="n">
        <v>5</v>
      </c>
      <c r="H4619" s="10"/>
      <c r="I4619" s="21"/>
      <c r="M4619" s="10"/>
      <c r="N4619" s="10"/>
      <c r="P4619" s="10"/>
      <c r="Q4619" s="22"/>
    </row>
    <row r="4620" customFormat="false" ht="15.75" hidden="false" customHeight="false" outlineLevel="0" collapsed="false">
      <c r="A4620" s="20" t="n">
        <v>46141</v>
      </c>
      <c r="B4620" s="15" t="s">
        <v>491</v>
      </c>
      <c r="C4620" s="15" t="s">
        <v>77</v>
      </c>
      <c r="D4620" s="15" t="s">
        <v>78</v>
      </c>
      <c r="E4620" s="15" t="n">
        <v>3</v>
      </c>
      <c r="H4620" s="10"/>
      <c r="I4620" s="21"/>
      <c r="M4620" s="10"/>
      <c r="N4620" s="10"/>
      <c r="P4620" s="10"/>
      <c r="Q4620" s="22"/>
    </row>
    <row r="4621" customFormat="false" ht="15.75" hidden="false" customHeight="false" outlineLevel="0" collapsed="false">
      <c r="A4621" s="20" t="n">
        <v>46141</v>
      </c>
      <c r="B4621" s="15" t="s">
        <v>491</v>
      </c>
      <c r="C4621" s="15" t="s">
        <v>47</v>
      </c>
      <c r="D4621" s="15" t="s">
        <v>549</v>
      </c>
      <c r="E4621" s="15" t="n">
        <v>1</v>
      </c>
      <c r="H4621" s="10"/>
      <c r="I4621" s="21"/>
      <c r="M4621" s="10"/>
      <c r="N4621" s="10"/>
      <c r="P4621" s="10"/>
      <c r="Q4621" s="22"/>
    </row>
    <row r="4622" customFormat="false" ht="15.75" hidden="false" customHeight="false" outlineLevel="0" collapsed="false">
      <c r="A4622" s="20" t="n">
        <v>46141</v>
      </c>
      <c r="B4622" s="15" t="s">
        <v>491</v>
      </c>
      <c r="C4622" s="15" t="s">
        <v>55</v>
      </c>
      <c r="D4622" s="15" t="s">
        <v>539</v>
      </c>
      <c r="E4622" s="15" t="n">
        <v>1</v>
      </c>
      <c r="H4622" s="10"/>
      <c r="I4622" s="21"/>
      <c r="M4622" s="10"/>
      <c r="N4622" s="10"/>
      <c r="P4622" s="10"/>
      <c r="Q4622" s="22"/>
    </row>
    <row r="4623" customFormat="false" ht="15.75" hidden="false" customHeight="false" outlineLevel="0" collapsed="false">
      <c r="A4623" s="20" t="n">
        <v>46141</v>
      </c>
      <c r="B4623" s="15" t="s">
        <v>491</v>
      </c>
      <c r="C4623" s="15" t="s">
        <v>59</v>
      </c>
      <c r="D4623" s="15" t="s">
        <v>562</v>
      </c>
      <c r="E4623" s="15" t="n">
        <v>1</v>
      </c>
      <c r="H4623" s="10"/>
      <c r="I4623" s="21"/>
      <c r="M4623" s="10"/>
      <c r="N4623" s="10"/>
      <c r="P4623" s="10"/>
      <c r="Q4623" s="22"/>
    </row>
    <row r="4624" customFormat="false" ht="15.75" hidden="false" customHeight="false" outlineLevel="0" collapsed="false">
      <c r="A4624" s="20" t="n">
        <v>46141</v>
      </c>
      <c r="B4624" s="15" t="s">
        <v>491</v>
      </c>
      <c r="C4624" s="15" t="s">
        <v>43</v>
      </c>
      <c r="D4624" s="15" t="s">
        <v>538</v>
      </c>
      <c r="E4624" s="15" t="n">
        <v>1</v>
      </c>
      <c r="H4624" s="10"/>
      <c r="I4624" s="21"/>
      <c r="M4624" s="10"/>
      <c r="N4624" s="10"/>
      <c r="P4624" s="10"/>
      <c r="Q4624" s="22"/>
    </row>
    <row r="4625" customFormat="false" ht="15.75" hidden="false" customHeight="false" outlineLevel="0" collapsed="false">
      <c r="A4625" s="20" t="n">
        <v>46141</v>
      </c>
      <c r="B4625" s="15" t="s">
        <v>491</v>
      </c>
      <c r="C4625" s="15" t="s">
        <v>87</v>
      </c>
      <c r="D4625" s="15" t="s">
        <v>563</v>
      </c>
      <c r="E4625" s="15" t="n">
        <v>1</v>
      </c>
      <c r="H4625" s="10"/>
      <c r="I4625" s="21"/>
      <c r="M4625" s="10"/>
      <c r="N4625" s="10"/>
      <c r="P4625" s="10"/>
      <c r="Q4625" s="22"/>
    </row>
    <row r="4626" customFormat="false" ht="15.75" hidden="false" customHeight="false" outlineLevel="0" collapsed="false">
      <c r="A4626" s="20" t="n">
        <v>46141</v>
      </c>
      <c r="B4626" s="15" t="s">
        <v>491</v>
      </c>
      <c r="C4626" s="15" t="s">
        <v>79</v>
      </c>
      <c r="D4626" s="15" t="s">
        <v>564</v>
      </c>
      <c r="E4626" s="15" t="n">
        <v>1</v>
      </c>
      <c r="H4626" s="10"/>
      <c r="I4626" s="21"/>
      <c r="M4626" s="10"/>
      <c r="N4626" s="10"/>
      <c r="P4626" s="10"/>
      <c r="Q4626" s="22"/>
    </row>
    <row r="4627" customFormat="false" ht="15.75" hidden="false" customHeight="false" outlineLevel="0" collapsed="false">
      <c r="A4627" s="20" t="n">
        <v>46141</v>
      </c>
      <c r="B4627" s="15" t="s">
        <v>504</v>
      </c>
      <c r="C4627" s="15" t="s">
        <v>47</v>
      </c>
      <c r="D4627" s="15" t="s">
        <v>549</v>
      </c>
      <c r="E4627" s="15" t="n">
        <v>6</v>
      </c>
      <c r="H4627" s="10"/>
      <c r="I4627" s="21"/>
      <c r="M4627" s="10"/>
      <c r="N4627" s="10"/>
      <c r="P4627" s="10"/>
      <c r="Q4627" s="22"/>
    </row>
    <row r="4628" customFormat="false" ht="15.75" hidden="false" customHeight="false" outlineLevel="0" collapsed="false">
      <c r="A4628" s="20" t="n">
        <v>46141</v>
      </c>
      <c r="B4628" s="15" t="s">
        <v>504</v>
      </c>
      <c r="C4628" s="15" t="s">
        <v>55</v>
      </c>
      <c r="D4628" s="15" t="s">
        <v>539</v>
      </c>
      <c r="E4628" s="15" t="n">
        <v>12</v>
      </c>
      <c r="H4628" s="10"/>
      <c r="I4628" s="21"/>
      <c r="M4628" s="10"/>
      <c r="N4628" s="10"/>
      <c r="P4628" s="10"/>
      <c r="Q4628" s="22"/>
    </row>
    <row r="4629" customFormat="false" ht="15.75" hidden="false" customHeight="false" outlineLevel="0" collapsed="false">
      <c r="A4629" s="20" t="n">
        <v>46141</v>
      </c>
      <c r="B4629" s="15" t="s">
        <v>504</v>
      </c>
      <c r="C4629" s="15" t="s">
        <v>81</v>
      </c>
      <c r="D4629" s="15" t="s">
        <v>534</v>
      </c>
      <c r="E4629" s="15" t="n">
        <v>18</v>
      </c>
      <c r="H4629" s="10"/>
      <c r="I4629" s="21"/>
      <c r="M4629" s="10"/>
      <c r="N4629" s="10"/>
      <c r="P4629" s="10"/>
      <c r="Q4629" s="22"/>
    </row>
    <row r="4630" customFormat="false" ht="15.75" hidden="false" customHeight="false" outlineLevel="0" collapsed="false">
      <c r="A4630" s="20" t="n">
        <v>46141</v>
      </c>
      <c r="B4630" s="15" t="s">
        <v>504</v>
      </c>
      <c r="C4630" s="15" t="s">
        <v>39</v>
      </c>
      <c r="D4630" s="15" t="s">
        <v>550</v>
      </c>
      <c r="E4630" s="15" t="n">
        <v>2</v>
      </c>
      <c r="H4630" s="10"/>
      <c r="I4630" s="21"/>
      <c r="M4630" s="10"/>
      <c r="N4630" s="10"/>
      <c r="P4630" s="10"/>
      <c r="Q4630" s="22"/>
    </row>
    <row r="4631" customFormat="false" ht="15.75" hidden="false" customHeight="false" outlineLevel="0" collapsed="false">
      <c r="A4631" s="20" t="n">
        <v>46141</v>
      </c>
      <c r="B4631" s="15" t="s">
        <v>504</v>
      </c>
      <c r="C4631" s="15" t="s">
        <v>63</v>
      </c>
      <c r="D4631" s="15" t="s">
        <v>551</v>
      </c>
      <c r="E4631" s="15" t="n">
        <v>2</v>
      </c>
      <c r="H4631" s="10"/>
      <c r="I4631" s="21"/>
      <c r="M4631" s="10"/>
      <c r="N4631" s="10"/>
      <c r="P4631" s="10"/>
      <c r="Q4631" s="22"/>
    </row>
    <row r="4632" customFormat="false" ht="15.75" hidden="false" customHeight="false" outlineLevel="0" collapsed="false">
      <c r="A4632" s="20" t="n">
        <v>46141</v>
      </c>
      <c r="B4632" s="15" t="s">
        <v>504</v>
      </c>
      <c r="C4632" s="15" t="s">
        <v>17</v>
      </c>
      <c r="D4632" s="15" t="s">
        <v>554</v>
      </c>
      <c r="E4632" s="15" t="n">
        <v>2</v>
      </c>
      <c r="H4632" s="10"/>
      <c r="I4632" s="21"/>
      <c r="M4632" s="10"/>
      <c r="N4632" s="10"/>
      <c r="P4632" s="10"/>
      <c r="Q4632" s="22"/>
    </row>
    <row r="4633" customFormat="false" ht="15.75" hidden="false" customHeight="false" outlineLevel="0" collapsed="false">
      <c r="A4633" s="20" t="n">
        <v>46141</v>
      </c>
      <c r="B4633" s="15" t="s">
        <v>508</v>
      </c>
      <c r="C4633" s="15" t="s">
        <v>55</v>
      </c>
      <c r="D4633" s="15" t="s">
        <v>539</v>
      </c>
      <c r="E4633" s="15" t="n">
        <v>5</v>
      </c>
      <c r="H4633" s="10"/>
      <c r="I4633" s="21"/>
      <c r="M4633" s="10"/>
      <c r="N4633" s="10"/>
      <c r="P4633" s="10"/>
      <c r="Q4633" s="22"/>
    </row>
    <row r="4634" customFormat="false" ht="15.75" hidden="false" customHeight="false" outlineLevel="0" collapsed="false">
      <c r="A4634" s="20" t="n">
        <v>46141</v>
      </c>
      <c r="B4634" s="15" t="s">
        <v>508</v>
      </c>
      <c r="C4634" s="15" t="s">
        <v>81</v>
      </c>
      <c r="D4634" s="15" t="s">
        <v>534</v>
      </c>
      <c r="E4634" s="15" t="n">
        <v>9</v>
      </c>
      <c r="H4634" s="10"/>
      <c r="I4634" s="21"/>
      <c r="M4634" s="10"/>
      <c r="N4634" s="10"/>
      <c r="P4634" s="10"/>
      <c r="Q4634" s="22"/>
    </row>
    <row r="4635" customFormat="false" ht="15.75" hidden="false" customHeight="false" outlineLevel="0" collapsed="false">
      <c r="A4635" s="20" t="n">
        <v>46141</v>
      </c>
      <c r="B4635" s="15" t="s">
        <v>508</v>
      </c>
      <c r="C4635" s="15" t="s">
        <v>39</v>
      </c>
      <c r="D4635" s="15" t="s">
        <v>550</v>
      </c>
      <c r="E4635" s="15" t="n">
        <v>2</v>
      </c>
      <c r="H4635" s="10"/>
      <c r="I4635" s="21"/>
      <c r="M4635" s="10"/>
      <c r="N4635" s="10"/>
      <c r="P4635" s="10"/>
      <c r="Q4635" s="22"/>
    </row>
    <row r="4636" customFormat="false" ht="15.75" hidden="false" customHeight="false" outlineLevel="0" collapsed="false">
      <c r="A4636" s="20" t="n">
        <v>46141</v>
      </c>
      <c r="B4636" s="15" t="s">
        <v>508</v>
      </c>
      <c r="C4636" s="15" t="s">
        <v>47</v>
      </c>
      <c r="D4636" s="15" t="s">
        <v>549</v>
      </c>
      <c r="E4636" s="15" t="n">
        <v>2</v>
      </c>
      <c r="H4636" s="10"/>
      <c r="I4636" s="21"/>
      <c r="M4636" s="10"/>
      <c r="N4636" s="10"/>
      <c r="P4636" s="10"/>
      <c r="Q4636" s="22"/>
    </row>
    <row r="4637" customFormat="false" ht="15.75" hidden="false" customHeight="false" outlineLevel="0" collapsed="false">
      <c r="A4637" s="20" t="n">
        <v>46141</v>
      </c>
      <c r="B4637" s="15" t="s">
        <v>508</v>
      </c>
      <c r="C4637" s="15" t="s">
        <v>63</v>
      </c>
      <c r="D4637" s="15" t="s">
        <v>551</v>
      </c>
      <c r="E4637" s="15" t="n">
        <v>1</v>
      </c>
      <c r="H4637" s="10"/>
      <c r="I4637" s="21"/>
      <c r="M4637" s="10"/>
      <c r="N4637" s="10"/>
      <c r="P4637" s="10"/>
      <c r="Q4637" s="22"/>
    </row>
    <row r="4638" customFormat="false" ht="15.75" hidden="false" customHeight="false" outlineLevel="0" collapsed="false">
      <c r="A4638" s="20" t="n">
        <v>46141</v>
      </c>
      <c r="B4638" s="15" t="s">
        <v>514</v>
      </c>
      <c r="C4638" s="15" t="s">
        <v>55</v>
      </c>
      <c r="D4638" s="15" t="s">
        <v>539</v>
      </c>
      <c r="E4638" s="15" t="n">
        <v>5</v>
      </c>
      <c r="H4638" s="10"/>
      <c r="I4638" s="21"/>
      <c r="M4638" s="10"/>
      <c r="N4638" s="10"/>
      <c r="P4638" s="10"/>
      <c r="Q4638" s="22"/>
    </row>
    <row r="4639" customFormat="false" ht="15.75" hidden="false" customHeight="false" outlineLevel="0" collapsed="false">
      <c r="A4639" s="20" t="n">
        <v>46141</v>
      </c>
      <c r="B4639" s="15" t="s">
        <v>514</v>
      </c>
      <c r="C4639" s="15" t="s">
        <v>57</v>
      </c>
      <c r="D4639" s="15" t="s">
        <v>553</v>
      </c>
      <c r="E4639" s="15" t="n">
        <v>1</v>
      </c>
      <c r="H4639" s="10"/>
      <c r="I4639" s="21"/>
      <c r="M4639" s="10"/>
      <c r="N4639" s="10"/>
      <c r="P4639" s="10"/>
      <c r="Q4639" s="22"/>
    </row>
    <row r="4640" customFormat="false" ht="15.75" hidden="false" customHeight="false" outlineLevel="0" collapsed="false">
      <c r="A4640" s="20" t="n">
        <v>46141</v>
      </c>
      <c r="B4640" s="15" t="s">
        <v>514</v>
      </c>
      <c r="C4640" s="15" t="s">
        <v>49</v>
      </c>
      <c r="D4640" s="15" t="s">
        <v>537</v>
      </c>
      <c r="E4640" s="15" t="n">
        <v>1</v>
      </c>
      <c r="H4640" s="10"/>
      <c r="I4640" s="21"/>
      <c r="M4640" s="10"/>
      <c r="N4640" s="10"/>
      <c r="P4640" s="10"/>
      <c r="Q4640" s="22"/>
    </row>
    <row r="4641" customFormat="false" ht="15.75" hidden="false" customHeight="false" outlineLevel="0" collapsed="false">
      <c r="A4641" s="20" t="n">
        <v>46141</v>
      </c>
      <c r="B4641" s="15" t="s">
        <v>514</v>
      </c>
      <c r="C4641" s="15" t="s">
        <v>47</v>
      </c>
      <c r="D4641" s="15" t="s">
        <v>549</v>
      </c>
      <c r="E4641" s="15" t="n">
        <v>4</v>
      </c>
      <c r="H4641" s="10"/>
      <c r="I4641" s="21"/>
      <c r="M4641" s="10"/>
      <c r="N4641" s="10"/>
      <c r="P4641" s="10"/>
      <c r="Q4641" s="22"/>
    </row>
    <row r="4642" customFormat="false" ht="15.75" hidden="false" customHeight="false" outlineLevel="0" collapsed="false">
      <c r="A4642" s="20" t="n">
        <v>46141</v>
      </c>
      <c r="B4642" s="15" t="s">
        <v>514</v>
      </c>
      <c r="C4642" s="15" t="s">
        <v>81</v>
      </c>
      <c r="D4642" s="15" t="s">
        <v>534</v>
      </c>
      <c r="E4642" s="15" t="n">
        <v>7</v>
      </c>
      <c r="H4642" s="10"/>
      <c r="I4642" s="21"/>
      <c r="M4642" s="10"/>
      <c r="N4642" s="10"/>
      <c r="P4642" s="10"/>
      <c r="Q4642" s="22"/>
    </row>
    <row r="4643" customFormat="false" ht="15.75" hidden="false" customHeight="false" outlineLevel="0" collapsed="false">
      <c r="A4643" s="20" t="n">
        <v>46141</v>
      </c>
      <c r="B4643" s="15" t="s">
        <v>514</v>
      </c>
      <c r="C4643" s="15" t="s">
        <v>63</v>
      </c>
      <c r="D4643" s="15" t="s">
        <v>551</v>
      </c>
      <c r="E4643" s="15" t="n">
        <v>1</v>
      </c>
      <c r="H4643" s="10"/>
      <c r="I4643" s="21"/>
      <c r="M4643" s="10"/>
      <c r="N4643" s="10"/>
      <c r="P4643" s="10"/>
      <c r="Q4643" s="22"/>
    </row>
    <row r="4644" customFormat="false" ht="15.75" hidden="false" customHeight="false" outlineLevel="0" collapsed="false">
      <c r="A4644" s="20" t="n">
        <v>46141</v>
      </c>
      <c r="B4644" s="15" t="s">
        <v>514</v>
      </c>
      <c r="C4644" s="15" t="s">
        <v>17</v>
      </c>
      <c r="D4644" s="15" t="s">
        <v>554</v>
      </c>
      <c r="E4644" s="15" t="n">
        <v>1</v>
      </c>
      <c r="H4644" s="10"/>
      <c r="I4644" s="21"/>
      <c r="M4644" s="10"/>
      <c r="N4644" s="10"/>
      <c r="P4644" s="10"/>
      <c r="Q4644" s="22"/>
    </row>
    <row r="4645" customFormat="false" ht="15.75" hidden="false" customHeight="false" outlineLevel="0" collapsed="false">
      <c r="A4645" s="20" t="n">
        <v>46141</v>
      </c>
      <c r="B4645" s="15" t="s">
        <v>518</v>
      </c>
      <c r="C4645" s="15" t="s">
        <v>69</v>
      </c>
      <c r="D4645" s="15" t="s">
        <v>535</v>
      </c>
      <c r="E4645" s="15" t="n">
        <v>6</v>
      </c>
      <c r="H4645" s="10"/>
      <c r="I4645" s="21"/>
      <c r="M4645" s="10"/>
      <c r="N4645" s="10"/>
      <c r="P4645" s="10"/>
      <c r="Q4645" s="22"/>
    </row>
    <row r="4646" customFormat="false" ht="15.75" hidden="false" customHeight="false" outlineLevel="0" collapsed="false">
      <c r="A4646" s="20" t="n">
        <v>46141</v>
      </c>
      <c r="B4646" s="15" t="s">
        <v>518</v>
      </c>
      <c r="C4646" s="15" t="s">
        <v>33</v>
      </c>
      <c r="D4646" s="15" t="s">
        <v>536</v>
      </c>
      <c r="E4646" s="15" t="n">
        <v>6</v>
      </c>
      <c r="H4646" s="10"/>
      <c r="I4646" s="21"/>
      <c r="M4646" s="10"/>
      <c r="N4646" s="10"/>
      <c r="P4646" s="10"/>
      <c r="Q4646" s="22"/>
    </row>
    <row r="4647" customFormat="false" ht="15.75" hidden="false" customHeight="false" outlineLevel="0" collapsed="false">
      <c r="A4647" s="20" t="n">
        <v>46141</v>
      </c>
      <c r="B4647" s="15" t="s">
        <v>518</v>
      </c>
      <c r="C4647" s="15" t="s">
        <v>47</v>
      </c>
      <c r="D4647" s="15" t="s">
        <v>549</v>
      </c>
      <c r="E4647" s="15" t="n">
        <v>2</v>
      </c>
      <c r="H4647" s="10"/>
      <c r="I4647" s="21"/>
      <c r="M4647" s="10"/>
      <c r="N4647" s="10"/>
      <c r="P4647" s="10"/>
      <c r="Q4647" s="22"/>
    </row>
    <row r="4648" customFormat="false" ht="15.75" hidden="false" customHeight="false" outlineLevel="0" collapsed="false">
      <c r="A4648" s="20" t="n">
        <v>46141</v>
      </c>
      <c r="B4648" s="15" t="s">
        <v>518</v>
      </c>
      <c r="C4648" s="15" t="s">
        <v>51</v>
      </c>
      <c r="D4648" s="15" t="s">
        <v>573</v>
      </c>
      <c r="E4648" s="15" t="n">
        <v>1</v>
      </c>
      <c r="H4648" s="10"/>
      <c r="I4648" s="21"/>
      <c r="M4648" s="10"/>
      <c r="N4648" s="10"/>
      <c r="P4648" s="10"/>
      <c r="Q4648" s="22"/>
    </row>
    <row r="4649" customFormat="false" ht="15.75" hidden="false" customHeight="false" outlineLevel="0" collapsed="false">
      <c r="A4649" s="20" t="n">
        <v>46141</v>
      </c>
      <c r="B4649" s="15" t="s">
        <v>518</v>
      </c>
      <c r="C4649" s="15" t="s">
        <v>55</v>
      </c>
      <c r="D4649" s="15" t="s">
        <v>539</v>
      </c>
      <c r="E4649" s="15" t="n">
        <v>2</v>
      </c>
      <c r="H4649" s="10"/>
      <c r="I4649" s="21"/>
      <c r="M4649" s="10"/>
      <c r="N4649" s="10"/>
      <c r="P4649" s="10"/>
      <c r="Q4649" s="22"/>
    </row>
    <row r="4650" customFormat="false" ht="15.75" hidden="false" customHeight="false" outlineLevel="0" collapsed="false">
      <c r="A4650" s="20" t="n">
        <v>46141</v>
      </c>
      <c r="B4650" s="15" t="s">
        <v>518</v>
      </c>
      <c r="C4650" s="15" t="s">
        <v>37</v>
      </c>
      <c r="D4650" s="15" t="s">
        <v>561</v>
      </c>
      <c r="E4650" s="15" t="n">
        <v>2</v>
      </c>
      <c r="H4650" s="10"/>
      <c r="I4650" s="21"/>
      <c r="M4650" s="10"/>
      <c r="N4650" s="10"/>
      <c r="P4650" s="10"/>
      <c r="Q4650" s="22"/>
    </row>
    <row r="4651" customFormat="false" ht="15.75" hidden="false" customHeight="false" outlineLevel="0" collapsed="false">
      <c r="A4651" s="20" t="n">
        <v>46141</v>
      </c>
      <c r="B4651" s="15" t="s">
        <v>518</v>
      </c>
      <c r="C4651" s="15" t="s">
        <v>547</v>
      </c>
      <c r="D4651" s="15" t="s">
        <v>548</v>
      </c>
      <c r="E4651" s="15" t="n">
        <v>1</v>
      </c>
      <c r="H4651" s="10"/>
      <c r="I4651" s="21"/>
      <c r="M4651" s="10"/>
      <c r="N4651" s="10"/>
      <c r="P4651" s="10"/>
      <c r="Q4651" s="22"/>
    </row>
    <row r="4652" customFormat="false" ht="15.75" hidden="false" customHeight="false" outlineLevel="0" collapsed="false">
      <c r="A4652" s="20" t="n">
        <v>46141</v>
      </c>
      <c r="B4652" s="15" t="s">
        <v>518</v>
      </c>
      <c r="C4652" s="15" t="s">
        <v>81</v>
      </c>
      <c r="D4652" s="15" t="s">
        <v>534</v>
      </c>
      <c r="E4652" s="15" t="n">
        <v>1</v>
      </c>
      <c r="H4652" s="10"/>
      <c r="I4652" s="21"/>
      <c r="M4652" s="10"/>
      <c r="N4652" s="10"/>
      <c r="P4652" s="10"/>
      <c r="Q4652" s="22"/>
    </row>
    <row r="4653" customFormat="false" ht="15.75" hidden="false" customHeight="false" outlineLevel="0" collapsed="false">
      <c r="A4653" s="20" t="n">
        <v>46141</v>
      </c>
      <c r="B4653" s="15" t="s">
        <v>528</v>
      </c>
      <c r="C4653" s="15" t="s">
        <v>81</v>
      </c>
      <c r="D4653" s="15" t="s">
        <v>534</v>
      </c>
      <c r="E4653" s="15" t="n">
        <v>6</v>
      </c>
      <c r="H4653" s="10"/>
      <c r="I4653" s="21"/>
      <c r="M4653" s="10"/>
      <c r="N4653" s="10"/>
      <c r="P4653" s="10"/>
      <c r="Q4653" s="22"/>
    </row>
    <row r="4654" customFormat="false" ht="15.75" hidden="false" customHeight="false" outlineLevel="0" collapsed="false">
      <c r="A4654" s="20" t="n">
        <v>46141</v>
      </c>
      <c r="B4654" s="15" t="s">
        <v>528</v>
      </c>
      <c r="C4654" s="15" t="s">
        <v>69</v>
      </c>
      <c r="D4654" s="15" t="s">
        <v>535</v>
      </c>
      <c r="E4654" s="15" t="n">
        <v>4</v>
      </c>
      <c r="H4654" s="10"/>
      <c r="I4654" s="21"/>
      <c r="M4654" s="10"/>
      <c r="N4654" s="10"/>
      <c r="P4654" s="10"/>
      <c r="Q4654" s="22"/>
    </row>
    <row r="4655" customFormat="false" ht="15.75" hidden="false" customHeight="false" outlineLevel="0" collapsed="false">
      <c r="A4655" s="20" t="n">
        <v>46141</v>
      </c>
      <c r="B4655" s="15" t="s">
        <v>528</v>
      </c>
      <c r="C4655" s="15" t="s">
        <v>33</v>
      </c>
      <c r="D4655" s="15" t="s">
        <v>536</v>
      </c>
      <c r="E4655" s="15" t="n">
        <v>2</v>
      </c>
      <c r="H4655" s="10"/>
      <c r="I4655" s="21"/>
      <c r="M4655" s="10"/>
      <c r="N4655" s="10"/>
      <c r="P4655" s="10"/>
      <c r="Q4655" s="22"/>
    </row>
    <row r="4656" customFormat="false" ht="15.75" hidden="false" customHeight="false" outlineLevel="0" collapsed="false">
      <c r="A4656" s="20" t="n">
        <v>46141</v>
      </c>
      <c r="B4656" s="15" t="s">
        <v>528</v>
      </c>
      <c r="C4656" s="15" t="s">
        <v>77</v>
      </c>
      <c r="D4656" s="15" t="s">
        <v>78</v>
      </c>
      <c r="E4656" s="15" t="n">
        <v>2</v>
      </c>
      <c r="H4656" s="10"/>
      <c r="I4656" s="21"/>
      <c r="M4656" s="10"/>
      <c r="N4656" s="10"/>
      <c r="P4656" s="10"/>
      <c r="Q4656" s="22"/>
    </row>
    <row r="4657" customFormat="false" ht="15.75" hidden="false" customHeight="false" outlineLevel="0" collapsed="false">
      <c r="A4657" s="20" t="n">
        <v>46141</v>
      </c>
      <c r="B4657" s="15" t="s">
        <v>528</v>
      </c>
      <c r="C4657" s="15" t="s">
        <v>547</v>
      </c>
      <c r="D4657" s="15" t="s">
        <v>548</v>
      </c>
      <c r="E4657" s="15" t="n">
        <v>2</v>
      </c>
      <c r="H4657" s="10"/>
      <c r="I4657" s="21"/>
      <c r="M4657" s="10"/>
      <c r="N4657" s="10"/>
      <c r="P4657" s="10"/>
      <c r="Q4657" s="22"/>
    </row>
    <row r="4658" customFormat="false" ht="15.75" hidden="false" customHeight="false" outlineLevel="0" collapsed="false">
      <c r="A4658" s="20" t="n">
        <v>46141</v>
      </c>
      <c r="B4658" s="15" t="s">
        <v>528</v>
      </c>
      <c r="C4658" s="15" t="s">
        <v>545</v>
      </c>
      <c r="D4658" s="15" t="s">
        <v>546</v>
      </c>
      <c r="E4658" s="15" t="n">
        <v>2</v>
      </c>
      <c r="H4658" s="10"/>
      <c r="I4658" s="21"/>
      <c r="M4658" s="10"/>
      <c r="N4658" s="10"/>
      <c r="P4658" s="10"/>
      <c r="Q4658" s="22"/>
    </row>
    <row r="4659" customFormat="false" ht="15.75" hidden="false" customHeight="false" outlineLevel="0" collapsed="false">
      <c r="A4659" s="20" t="n">
        <v>46141</v>
      </c>
      <c r="B4659" s="15" t="s">
        <v>528</v>
      </c>
      <c r="C4659" s="15" t="s">
        <v>543</v>
      </c>
      <c r="D4659" s="15" t="s">
        <v>544</v>
      </c>
      <c r="E4659" s="15" t="n">
        <v>4</v>
      </c>
      <c r="H4659" s="10"/>
      <c r="I4659" s="21"/>
      <c r="M4659" s="10"/>
      <c r="N4659" s="10"/>
      <c r="P4659" s="10"/>
      <c r="Q4659" s="22"/>
    </row>
    <row r="4660" customFormat="false" ht="15.75" hidden="false" customHeight="false" outlineLevel="0" collapsed="false">
      <c r="A4660" s="20" t="n">
        <v>46141</v>
      </c>
      <c r="B4660" s="15" t="s">
        <v>528</v>
      </c>
      <c r="C4660" s="15" t="s">
        <v>541</v>
      </c>
      <c r="D4660" s="15" t="s">
        <v>542</v>
      </c>
      <c r="E4660" s="15" t="n">
        <v>1</v>
      </c>
      <c r="H4660" s="10"/>
      <c r="I4660" s="21"/>
      <c r="M4660" s="10"/>
      <c r="N4660" s="10"/>
      <c r="P4660" s="10"/>
      <c r="Q4660" s="22"/>
    </row>
    <row r="4661" customFormat="false" ht="15.75" hidden="false" customHeight="false" outlineLevel="0" collapsed="false">
      <c r="A4661" s="20" t="n">
        <v>46141</v>
      </c>
      <c r="B4661" s="15" t="s">
        <v>528</v>
      </c>
      <c r="C4661" s="15" t="s">
        <v>45</v>
      </c>
      <c r="D4661" s="15" t="s">
        <v>540</v>
      </c>
      <c r="E4661" s="15" t="n">
        <v>1</v>
      </c>
      <c r="H4661" s="10"/>
      <c r="I4661" s="21"/>
      <c r="M4661" s="10"/>
      <c r="N4661" s="10"/>
      <c r="P4661" s="10"/>
      <c r="Q4661" s="22"/>
    </row>
    <row r="4662" customFormat="false" ht="15.75" hidden="false" customHeight="false" outlineLevel="0" collapsed="false">
      <c r="A4662" s="20" t="n">
        <v>46141</v>
      </c>
      <c r="B4662" s="15" t="s">
        <v>528</v>
      </c>
      <c r="C4662" s="15" t="s">
        <v>55</v>
      </c>
      <c r="D4662" s="15" t="s">
        <v>539</v>
      </c>
      <c r="E4662" s="15" t="n">
        <v>1</v>
      </c>
      <c r="H4662" s="10"/>
      <c r="I4662" s="21"/>
      <c r="M4662" s="10"/>
      <c r="N4662" s="10"/>
      <c r="P4662" s="10"/>
      <c r="Q4662" s="22"/>
    </row>
    <row r="4663" customFormat="false" ht="15.75" hidden="false" customHeight="false" outlineLevel="0" collapsed="false">
      <c r="A4663" s="20" t="n">
        <v>46141</v>
      </c>
      <c r="B4663" s="15" t="s">
        <v>528</v>
      </c>
      <c r="C4663" s="15" t="s">
        <v>59</v>
      </c>
      <c r="D4663" s="15" t="s">
        <v>562</v>
      </c>
      <c r="E4663" s="15" t="n">
        <v>1</v>
      </c>
      <c r="H4663" s="10"/>
      <c r="I4663" s="21"/>
      <c r="M4663" s="10"/>
      <c r="N4663" s="10"/>
      <c r="P4663" s="10"/>
      <c r="Q4663" s="22"/>
    </row>
    <row r="4664" customFormat="false" ht="15.75" hidden="false" customHeight="false" outlineLevel="0" collapsed="false">
      <c r="A4664" s="20" t="n">
        <v>46141</v>
      </c>
      <c r="B4664" s="15" t="s">
        <v>528</v>
      </c>
      <c r="C4664" s="15" t="s">
        <v>47</v>
      </c>
      <c r="D4664" s="15" t="s">
        <v>549</v>
      </c>
      <c r="E4664" s="15" t="n">
        <v>1</v>
      </c>
      <c r="H4664" s="10"/>
      <c r="I4664" s="21"/>
      <c r="M4664" s="10"/>
      <c r="N4664" s="10"/>
      <c r="P4664" s="10"/>
      <c r="Q4664" s="22"/>
    </row>
    <row r="4665" customFormat="false" ht="15.75" hidden="false" customHeight="false" outlineLevel="0" collapsed="false">
      <c r="A4665" s="20" t="n">
        <v>46141</v>
      </c>
      <c r="B4665" s="15" t="s">
        <v>528</v>
      </c>
      <c r="C4665" s="15" t="s">
        <v>43</v>
      </c>
      <c r="D4665" s="15" t="s">
        <v>538</v>
      </c>
      <c r="E4665" s="15" t="n">
        <v>1</v>
      </c>
      <c r="H4665" s="10"/>
      <c r="I4665" s="21"/>
      <c r="M4665" s="10"/>
      <c r="N4665" s="10"/>
      <c r="P4665" s="10"/>
      <c r="Q4665" s="22"/>
    </row>
    <row r="4666" customFormat="false" ht="15.75" hidden="false" customHeight="false" outlineLevel="0" collapsed="false">
      <c r="A4666" s="20" t="n">
        <v>46141</v>
      </c>
      <c r="B4666" s="15" t="s">
        <v>528</v>
      </c>
      <c r="C4666" s="15" t="s">
        <v>87</v>
      </c>
      <c r="D4666" s="15" t="s">
        <v>563</v>
      </c>
      <c r="E4666" s="15" t="n">
        <v>1</v>
      </c>
      <c r="H4666" s="10"/>
      <c r="I4666" s="21"/>
      <c r="M4666" s="10"/>
      <c r="N4666" s="10"/>
      <c r="P4666" s="10"/>
      <c r="Q4666" s="22"/>
    </row>
    <row r="4667" customFormat="false" ht="15.75" hidden="false" customHeight="false" outlineLevel="0" collapsed="false">
      <c r="A4667" s="20" t="n">
        <v>46146</v>
      </c>
      <c r="B4667" s="15" t="s">
        <v>451</v>
      </c>
      <c r="C4667" s="15" t="s">
        <v>81</v>
      </c>
      <c r="D4667" s="15" t="s">
        <v>534</v>
      </c>
      <c r="E4667" s="15" t="n">
        <v>2</v>
      </c>
      <c r="H4667" s="10"/>
      <c r="I4667" s="21"/>
      <c r="M4667" s="10"/>
      <c r="N4667" s="10"/>
      <c r="P4667" s="10"/>
      <c r="Q4667" s="22"/>
    </row>
    <row r="4668" customFormat="false" ht="15.75" hidden="false" customHeight="false" outlineLevel="0" collapsed="false">
      <c r="A4668" s="20" t="n">
        <v>46146</v>
      </c>
      <c r="B4668" s="15" t="s">
        <v>451</v>
      </c>
      <c r="C4668" s="15" t="s">
        <v>69</v>
      </c>
      <c r="D4668" s="15" t="s">
        <v>535</v>
      </c>
      <c r="E4668" s="15" t="n">
        <v>3</v>
      </c>
      <c r="H4668" s="10"/>
      <c r="I4668" s="21"/>
      <c r="M4668" s="10"/>
      <c r="N4668" s="10"/>
      <c r="P4668" s="10"/>
      <c r="Q4668" s="22"/>
    </row>
    <row r="4669" customFormat="false" ht="15.75" hidden="false" customHeight="false" outlineLevel="0" collapsed="false">
      <c r="A4669" s="20" t="n">
        <v>46146</v>
      </c>
      <c r="B4669" s="15" t="s">
        <v>451</v>
      </c>
      <c r="C4669" s="15" t="s">
        <v>33</v>
      </c>
      <c r="D4669" s="15" t="s">
        <v>536</v>
      </c>
      <c r="E4669" s="15" t="n">
        <v>2</v>
      </c>
      <c r="H4669" s="10"/>
      <c r="I4669" s="21"/>
      <c r="M4669" s="10"/>
      <c r="N4669" s="10"/>
      <c r="P4669" s="10"/>
      <c r="Q4669" s="22"/>
    </row>
    <row r="4670" customFormat="false" ht="15.75" hidden="false" customHeight="false" outlineLevel="0" collapsed="false">
      <c r="A4670" s="20" t="n">
        <v>46146</v>
      </c>
      <c r="B4670" s="15" t="s">
        <v>451</v>
      </c>
      <c r="C4670" s="15" t="s">
        <v>77</v>
      </c>
      <c r="D4670" s="15" t="s">
        <v>78</v>
      </c>
      <c r="E4670" s="15" t="n">
        <v>2</v>
      </c>
      <c r="H4670" s="10"/>
      <c r="I4670" s="21"/>
      <c r="M4670" s="10"/>
      <c r="N4670" s="10"/>
      <c r="P4670" s="10"/>
      <c r="Q4670" s="22"/>
    </row>
    <row r="4671" customFormat="false" ht="15.75" hidden="false" customHeight="false" outlineLevel="0" collapsed="false">
      <c r="A4671" s="20" t="n">
        <v>46146</v>
      </c>
      <c r="B4671" s="15" t="s">
        <v>451</v>
      </c>
      <c r="C4671" s="15" t="s">
        <v>49</v>
      </c>
      <c r="D4671" s="15" t="s">
        <v>537</v>
      </c>
      <c r="E4671" s="15" t="n">
        <v>1</v>
      </c>
      <c r="H4671" s="10"/>
      <c r="I4671" s="21"/>
      <c r="M4671" s="10"/>
      <c r="N4671" s="10"/>
      <c r="P4671" s="10"/>
      <c r="Q4671" s="22"/>
    </row>
    <row r="4672" customFormat="false" ht="15.75" hidden="false" customHeight="false" outlineLevel="0" collapsed="false">
      <c r="A4672" s="20" t="n">
        <v>46146</v>
      </c>
      <c r="B4672" s="15" t="s">
        <v>451</v>
      </c>
      <c r="C4672" s="15" t="s">
        <v>43</v>
      </c>
      <c r="D4672" s="15" t="s">
        <v>538</v>
      </c>
      <c r="E4672" s="15" t="n">
        <v>2</v>
      </c>
      <c r="H4672" s="10"/>
      <c r="I4672" s="21"/>
      <c r="M4672" s="10"/>
      <c r="N4672" s="10"/>
      <c r="P4672" s="10"/>
      <c r="Q4672" s="22"/>
    </row>
    <row r="4673" customFormat="false" ht="15.75" hidden="false" customHeight="false" outlineLevel="0" collapsed="false">
      <c r="A4673" s="20" t="n">
        <v>46146</v>
      </c>
      <c r="B4673" s="15" t="s">
        <v>451</v>
      </c>
      <c r="C4673" s="15" t="s">
        <v>55</v>
      </c>
      <c r="D4673" s="15" t="s">
        <v>539</v>
      </c>
      <c r="E4673" s="15" t="n">
        <v>1</v>
      </c>
      <c r="H4673" s="10"/>
      <c r="I4673" s="21"/>
      <c r="M4673" s="10"/>
      <c r="N4673" s="10"/>
      <c r="P4673" s="10"/>
      <c r="Q4673" s="22"/>
    </row>
    <row r="4674" customFormat="false" ht="15.75" hidden="false" customHeight="false" outlineLevel="0" collapsed="false">
      <c r="A4674" s="20" t="n">
        <v>46146</v>
      </c>
      <c r="B4674" s="15" t="s">
        <v>451</v>
      </c>
      <c r="C4674" s="15" t="s">
        <v>45</v>
      </c>
      <c r="D4674" s="15" t="s">
        <v>540</v>
      </c>
      <c r="E4674" s="15" t="n">
        <v>1</v>
      </c>
      <c r="H4674" s="10"/>
      <c r="I4674" s="21"/>
      <c r="M4674" s="10"/>
      <c r="N4674" s="10"/>
      <c r="P4674" s="10"/>
      <c r="Q4674" s="22"/>
    </row>
    <row r="4675" customFormat="false" ht="15.75" hidden="false" customHeight="false" outlineLevel="0" collapsed="false">
      <c r="A4675" s="20" t="n">
        <v>46146</v>
      </c>
      <c r="B4675" s="15" t="s">
        <v>451</v>
      </c>
      <c r="C4675" s="15" t="s">
        <v>541</v>
      </c>
      <c r="D4675" s="15" t="s">
        <v>542</v>
      </c>
      <c r="E4675" s="15" t="n">
        <v>1</v>
      </c>
      <c r="H4675" s="10"/>
      <c r="I4675" s="21"/>
      <c r="M4675" s="10"/>
      <c r="N4675" s="10"/>
      <c r="P4675" s="10"/>
      <c r="Q4675" s="22"/>
    </row>
    <row r="4676" customFormat="false" ht="15.75" hidden="false" customHeight="false" outlineLevel="0" collapsed="false">
      <c r="A4676" s="20" t="n">
        <v>46146</v>
      </c>
      <c r="B4676" s="15" t="s">
        <v>451</v>
      </c>
      <c r="C4676" s="15" t="s">
        <v>543</v>
      </c>
      <c r="D4676" s="15" t="s">
        <v>544</v>
      </c>
      <c r="E4676" s="15" t="n">
        <v>3</v>
      </c>
      <c r="H4676" s="10"/>
      <c r="I4676" s="21"/>
      <c r="M4676" s="10"/>
      <c r="N4676" s="10"/>
      <c r="P4676" s="10"/>
      <c r="Q4676" s="22"/>
    </row>
    <row r="4677" customFormat="false" ht="15.75" hidden="false" customHeight="false" outlineLevel="0" collapsed="false">
      <c r="A4677" s="20" t="n">
        <v>46146</v>
      </c>
      <c r="B4677" s="15" t="s">
        <v>451</v>
      </c>
      <c r="C4677" s="15" t="s">
        <v>545</v>
      </c>
      <c r="D4677" s="15" t="s">
        <v>546</v>
      </c>
      <c r="E4677" s="15" t="n">
        <v>1</v>
      </c>
      <c r="H4677" s="10"/>
      <c r="I4677" s="21"/>
      <c r="M4677" s="10"/>
      <c r="N4677" s="10"/>
      <c r="P4677" s="10"/>
      <c r="Q4677" s="22"/>
    </row>
    <row r="4678" customFormat="false" ht="15.75" hidden="false" customHeight="false" outlineLevel="0" collapsed="false">
      <c r="A4678" s="20" t="n">
        <v>46146</v>
      </c>
      <c r="B4678" s="15" t="s">
        <v>451</v>
      </c>
      <c r="C4678" s="15" t="s">
        <v>547</v>
      </c>
      <c r="D4678" s="15" t="s">
        <v>548</v>
      </c>
      <c r="E4678" s="15" t="n">
        <v>2</v>
      </c>
      <c r="H4678" s="10"/>
      <c r="I4678" s="21"/>
      <c r="M4678" s="10"/>
      <c r="N4678" s="10"/>
      <c r="P4678" s="10"/>
      <c r="Q4678" s="22"/>
    </row>
    <row r="4679" customFormat="false" ht="15.75" hidden="false" customHeight="false" outlineLevel="0" collapsed="false">
      <c r="A4679" s="20" t="n">
        <v>46146</v>
      </c>
      <c r="B4679" s="15" t="s">
        <v>453</v>
      </c>
      <c r="C4679" s="15" t="s">
        <v>47</v>
      </c>
      <c r="D4679" s="15" t="s">
        <v>549</v>
      </c>
      <c r="E4679" s="15" t="n">
        <v>2</v>
      </c>
      <c r="H4679" s="10"/>
      <c r="I4679" s="21"/>
      <c r="M4679" s="10"/>
      <c r="N4679" s="10"/>
      <c r="P4679" s="10"/>
      <c r="Q4679" s="22"/>
    </row>
    <row r="4680" customFormat="false" ht="15.75" hidden="false" customHeight="false" outlineLevel="0" collapsed="false">
      <c r="A4680" s="20" t="n">
        <v>46146</v>
      </c>
      <c r="B4680" s="15" t="s">
        <v>453</v>
      </c>
      <c r="C4680" s="15" t="s">
        <v>55</v>
      </c>
      <c r="D4680" s="15" t="s">
        <v>539</v>
      </c>
      <c r="E4680" s="15" t="n">
        <v>4</v>
      </c>
      <c r="H4680" s="10"/>
      <c r="I4680" s="21"/>
      <c r="M4680" s="10"/>
      <c r="N4680" s="10"/>
      <c r="P4680" s="10"/>
      <c r="Q4680" s="22"/>
    </row>
    <row r="4681" customFormat="false" ht="15.75" hidden="false" customHeight="false" outlineLevel="0" collapsed="false">
      <c r="A4681" s="20" t="n">
        <v>46146</v>
      </c>
      <c r="B4681" s="15" t="s">
        <v>453</v>
      </c>
      <c r="C4681" s="15" t="s">
        <v>81</v>
      </c>
      <c r="D4681" s="15" t="s">
        <v>534</v>
      </c>
      <c r="E4681" s="15" t="n">
        <v>8</v>
      </c>
      <c r="H4681" s="10"/>
      <c r="I4681" s="21"/>
      <c r="M4681" s="10"/>
      <c r="N4681" s="10"/>
      <c r="P4681" s="10"/>
      <c r="Q4681" s="22"/>
    </row>
    <row r="4682" customFormat="false" ht="15.75" hidden="false" customHeight="false" outlineLevel="0" collapsed="false">
      <c r="A4682" s="20" t="n">
        <v>46146</v>
      </c>
      <c r="B4682" s="15" t="s">
        <v>453</v>
      </c>
      <c r="C4682" s="15" t="s">
        <v>39</v>
      </c>
      <c r="D4682" s="15" t="s">
        <v>550</v>
      </c>
      <c r="E4682" s="15" t="n">
        <v>2</v>
      </c>
      <c r="H4682" s="10"/>
      <c r="I4682" s="21"/>
      <c r="M4682" s="10"/>
      <c r="N4682" s="10"/>
      <c r="P4682" s="10"/>
      <c r="Q4682" s="22"/>
    </row>
    <row r="4683" customFormat="false" ht="15.75" hidden="false" customHeight="false" outlineLevel="0" collapsed="false">
      <c r="A4683" s="20" t="n">
        <v>46146</v>
      </c>
      <c r="B4683" s="15" t="s">
        <v>453</v>
      </c>
      <c r="C4683" s="15" t="s">
        <v>63</v>
      </c>
      <c r="D4683" s="15" t="s">
        <v>551</v>
      </c>
      <c r="E4683" s="15" t="n">
        <v>1</v>
      </c>
      <c r="H4683" s="10"/>
      <c r="I4683" s="21"/>
      <c r="M4683" s="10"/>
      <c r="N4683" s="10"/>
      <c r="P4683" s="10"/>
      <c r="Q4683" s="22"/>
    </row>
    <row r="4684" customFormat="false" ht="15.75" hidden="false" customHeight="false" outlineLevel="0" collapsed="false">
      <c r="A4684" s="20" t="n">
        <v>46146</v>
      </c>
      <c r="B4684" s="15" t="s">
        <v>453</v>
      </c>
      <c r="C4684" s="15" t="s">
        <v>35</v>
      </c>
      <c r="D4684" s="15" t="s">
        <v>552</v>
      </c>
      <c r="E4684" s="15" t="n">
        <v>2</v>
      </c>
      <c r="H4684" s="10"/>
      <c r="I4684" s="21"/>
      <c r="M4684" s="10"/>
      <c r="N4684" s="10"/>
      <c r="P4684" s="10"/>
      <c r="Q4684" s="22"/>
    </row>
    <row r="4685" customFormat="false" ht="15.75" hidden="false" customHeight="false" outlineLevel="0" collapsed="false">
      <c r="A4685" s="20" t="n">
        <v>46146</v>
      </c>
      <c r="B4685" s="15" t="s">
        <v>467</v>
      </c>
      <c r="C4685" s="15" t="s">
        <v>55</v>
      </c>
      <c r="D4685" s="15" t="s">
        <v>539</v>
      </c>
      <c r="E4685" s="15" t="n">
        <v>6</v>
      </c>
      <c r="H4685" s="10"/>
      <c r="I4685" s="21"/>
      <c r="M4685" s="10"/>
      <c r="N4685" s="10"/>
      <c r="P4685" s="10"/>
      <c r="Q4685" s="22"/>
    </row>
    <row r="4686" customFormat="false" ht="15.75" hidden="false" customHeight="false" outlineLevel="0" collapsed="false">
      <c r="A4686" s="20" t="n">
        <v>46146</v>
      </c>
      <c r="B4686" s="15" t="s">
        <v>467</v>
      </c>
      <c r="C4686" s="15" t="s">
        <v>57</v>
      </c>
      <c r="D4686" s="15" t="s">
        <v>553</v>
      </c>
      <c r="E4686" s="15" t="n">
        <v>2</v>
      </c>
      <c r="H4686" s="10"/>
      <c r="I4686" s="21"/>
      <c r="M4686" s="10"/>
      <c r="N4686" s="10"/>
      <c r="P4686" s="10"/>
      <c r="Q4686" s="22"/>
    </row>
    <row r="4687" customFormat="false" ht="15.75" hidden="false" customHeight="false" outlineLevel="0" collapsed="false">
      <c r="A4687" s="20" t="n">
        <v>46146</v>
      </c>
      <c r="B4687" s="15" t="s">
        <v>467</v>
      </c>
      <c r="C4687" s="15" t="s">
        <v>47</v>
      </c>
      <c r="D4687" s="15" t="s">
        <v>549</v>
      </c>
      <c r="E4687" s="15" t="n">
        <v>2</v>
      </c>
      <c r="H4687" s="10"/>
      <c r="I4687" s="21"/>
      <c r="M4687" s="10"/>
      <c r="N4687" s="10"/>
      <c r="P4687" s="10"/>
      <c r="Q4687" s="22"/>
    </row>
    <row r="4688" customFormat="false" ht="15.75" hidden="false" customHeight="false" outlineLevel="0" collapsed="false">
      <c r="A4688" s="20" t="n">
        <v>46146</v>
      </c>
      <c r="B4688" s="15" t="s">
        <v>467</v>
      </c>
      <c r="C4688" s="15" t="s">
        <v>81</v>
      </c>
      <c r="D4688" s="15" t="s">
        <v>534</v>
      </c>
      <c r="E4688" s="15" t="n">
        <v>7</v>
      </c>
      <c r="H4688" s="10"/>
      <c r="I4688" s="21"/>
      <c r="M4688" s="10"/>
      <c r="N4688" s="10"/>
      <c r="P4688" s="10"/>
      <c r="Q4688" s="22"/>
    </row>
    <row r="4689" customFormat="false" ht="15.75" hidden="false" customHeight="false" outlineLevel="0" collapsed="false">
      <c r="A4689" s="20" t="n">
        <v>46146</v>
      </c>
      <c r="B4689" s="15" t="s">
        <v>467</v>
      </c>
      <c r="C4689" s="15" t="s">
        <v>49</v>
      </c>
      <c r="D4689" s="15" t="s">
        <v>537</v>
      </c>
      <c r="E4689" s="15" t="n">
        <v>2</v>
      </c>
      <c r="H4689" s="10"/>
      <c r="I4689" s="21"/>
      <c r="M4689" s="10"/>
      <c r="N4689" s="10"/>
      <c r="P4689" s="10"/>
      <c r="Q4689" s="22"/>
    </row>
    <row r="4690" customFormat="false" ht="15.75" hidden="false" customHeight="false" outlineLevel="0" collapsed="false">
      <c r="A4690" s="20" t="n">
        <v>46146</v>
      </c>
      <c r="B4690" s="15" t="s">
        <v>467</v>
      </c>
      <c r="C4690" s="15" t="s">
        <v>63</v>
      </c>
      <c r="D4690" s="15" t="s">
        <v>551</v>
      </c>
      <c r="E4690" s="15" t="n">
        <v>1</v>
      </c>
      <c r="H4690" s="10"/>
      <c r="I4690" s="21"/>
      <c r="M4690" s="10"/>
      <c r="N4690" s="10"/>
      <c r="P4690" s="10"/>
      <c r="Q4690" s="22"/>
    </row>
    <row r="4691" customFormat="false" ht="15.75" hidden="false" customHeight="false" outlineLevel="0" collapsed="false">
      <c r="A4691" s="20" t="n">
        <v>46146</v>
      </c>
      <c r="B4691" s="15" t="s">
        <v>469</v>
      </c>
      <c r="C4691" s="15" t="s">
        <v>69</v>
      </c>
      <c r="D4691" s="15" t="s">
        <v>535</v>
      </c>
      <c r="E4691" s="15" t="n">
        <v>5</v>
      </c>
      <c r="H4691" s="10"/>
      <c r="I4691" s="21"/>
      <c r="M4691" s="10"/>
      <c r="N4691" s="10"/>
      <c r="P4691" s="10"/>
      <c r="Q4691" s="22"/>
    </row>
    <row r="4692" customFormat="false" ht="15.75" hidden="false" customHeight="false" outlineLevel="0" collapsed="false">
      <c r="A4692" s="20" t="n">
        <v>46146</v>
      </c>
      <c r="B4692" s="15" t="s">
        <v>469</v>
      </c>
      <c r="C4692" s="15" t="s">
        <v>55</v>
      </c>
      <c r="D4692" s="15" t="s">
        <v>539</v>
      </c>
      <c r="E4692" s="15" t="n">
        <v>2</v>
      </c>
      <c r="H4692" s="10"/>
      <c r="I4692" s="21"/>
      <c r="M4692" s="10"/>
      <c r="N4692" s="10"/>
      <c r="P4692" s="10"/>
      <c r="Q4692" s="22"/>
    </row>
    <row r="4693" customFormat="false" ht="15.75" hidden="false" customHeight="false" outlineLevel="0" collapsed="false">
      <c r="A4693" s="20" t="n">
        <v>46146</v>
      </c>
      <c r="B4693" s="15" t="s">
        <v>469</v>
      </c>
      <c r="C4693" s="15" t="s">
        <v>33</v>
      </c>
      <c r="D4693" s="15" t="s">
        <v>536</v>
      </c>
      <c r="E4693" s="15" t="n">
        <v>5</v>
      </c>
      <c r="H4693" s="10"/>
      <c r="I4693" s="21"/>
      <c r="M4693" s="10"/>
      <c r="N4693" s="10"/>
      <c r="P4693" s="10"/>
      <c r="Q4693" s="22"/>
    </row>
    <row r="4694" customFormat="false" ht="15.75" hidden="false" customHeight="false" outlineLevel="0" collapsed="false">
      <c r="A4694" s="20" t="n">
        <v>46146</v>
      </c>
      <c r="B4694" s="15" t="s">
        <v>469</v>
      </c>
      <c r="C4694" s="15" t="s">
        <v>547</v>
      </c>
      <c r="D4694" s="15" t="s">
        <v>548</v>
      </c>
      <c r="E4694" s="15" t="n">
        <v>1</v>
      </c>
      <c r="H4694" s="10"/>
      <c r="I4694" s="21"/>
      <c r="M4694" s="10"/>
      <c r="N4694" s="10"/>
      <c r="P4694" s="10"/>
      <c r="Q4694" s="22"/>
    </row>
    <row r="4695" customFormat="false" ht="15.75" hidden="false" customHeight="false" outlineLevel="0" collapsed="false">
      <c r="A4695" s="20" t="n">
        <v>46146</v>
      </c>
      <c r="B4695" s="15" t="s">
        <v>469</v>
      </c>
      <c r="C4695" s="15" t="s">
        <v>81</v>
      </c>
      <c r="D4695" s="15" t="s">
        <v>534</v>
      </c>
      <c r="E4695" s="15" t="n">
        <v>2</v>
      </c>
      <c r="H4695" s="10"/>
      <c r="I4695" s="21"/>
      <c r="M4695" s="10"/>
      <c r="N4695" s="10"/>
      <c r="P4695" s="10"/>
      <c r="Q4695" s="22"/>
    </row>
    <row r="4696" customFormat="false" ht="15.75" hidden="false" customHeight="false" outlineLevel="0" collapsed="false">
      <c r="A4696" s="20" t="n">
        <v>46146</v>
      </c>
      <c r="B4696" s="15" t="s">
        <v>470</v>
      </c>
      <c r="C4696" s="15" t="s">
        <v>547</v>
      </c>
      <c r="D4696" s="15" t="s">
        <v>548</v>
      </c>
      <c r="E4696" s="15" t="n">
        <v>2</v>
      </c>
      <c r="H4696" s="10"/>
      <c r="I4696" s="21"/>
      <c r="M4696" s="10"/>
      <c r="N4696" s="10"/>
      <c r="P4696" s="10"/>
      <c r="Q4696" s="22"/>
    </row>
    <row r="4697" customFormat="false" ht="15.75" hidden="false" customHeight="false" outlineLevel="0" collapsed="false">
      <c r="A4697" s="20" t="n">
        <v>46146</v>
      </c>
      <c r="B4697" s="15" t="s">
        <v>470</v>
      </c>
      <c r="C4697" s="15" t="s">
        <v>69</v>
      </c>
      <c r="D4697" s="15" t="s">
        <v>535</v>
      </c>
      <c r="E4697" s="15" t="n">
        <v>2</v>
      </c>
      <c r="H4697" s="10"/>
      <c r="I4697" s="21"/>
      <c r="M4697" s="10"/>
      <c r="N4697" s="10"/>
      <c r="P4697" s="10"/>
      <c r="Q4697" s="22"/>
    </row>
    <row r="4698" customFormat="false" ht="15.75" hidden="false" customHeight="false" outlineLevel="0" collapsed="false">
      <c r="A4698" s="20" t="n">
        <v>46146</v>
      </c>
      <c r="B4698" s="15" t="s">
        <v>477</v>
      </c>
      <c r="C4698" s="15" t="s">
        <v>69</v>
      </c>
      <c r="D4698" s="15" t="s">
        <v>535</v>
      </c>
      <c r="E4698" s="15" t="n">
        <v>3</v>
      </c>
      <c r="H4698" s="10"/>
      <c r="I4698" s="21"/>
      <c r="M4698" s="10"/>
      <c r="N4698" s="10"/>
      <c r="P4698" s="10"/>
      <c r="Q4698" s="22"/>
    </row>
    <row r="4699" customFormat="false" ht="15.75" hidden="false" customHeight="false" outlineLevel="0" collapsed="false">
      <c r="A4699" s="20" t="n">
        <v>46146</v>
      </c>
      <c r="B4699" s="15" t="s">
        <v>477</v>
      </c>
      <c r="C4699" s="15" t="s">
        <v>547</v>
      </c>
      <c r="D4699" s="15" t="s">
        <v>548</v>
      </c>
      <c r="E4699" s="15" t="n">
        <v>3</v>
      </c>
      <c r="H4699" s="10"/>
      <c r="I4699" s="21"/>
      <c r="M4699" s="10"/>
      <c r="N4699" s="10"/>
      <c r="P4699" s="10"/>
      <c r="Q4699" s="22"/>
    </row>
    <row r="4700" customFormat="false" ht="15.75" hidden="false" customHeight="false" outlineLevel="0" collapsed="false">
      <c r="A4700" s="20" t="n">
        <v>46146</v>
      </c>
      <c r="B4700" s="15" t="s">
        <v>477</v>
      </c>
      <c r="C4700" s="15" t="s">
        <v>25</v>
      </c>
      <c r="D4700" s="15" t="s">
        <v>26</v>
      </c>
      <c r="E4700" s="15" t="n">
        <v>3</v>
      </c>
      <c r="H4700" s="10"/>
      <c r="I4700" s="21"/>
      <c r="M4700" s="10"/>
      <c r="N4700" s="10"/>
      <c r="P4700" s="10"/>
      <c r="Q4700" s="22"/>
    </row>
    <row r="4701" customFormat="false" ht="15.75" hidden="false" customHeight="false" outlineLevel="0" collapsed="false">
      <c r="A4701" s="20" t="n">
        <v>46146</v>
      </c>
      <c r="B4701" s="15" t="s">
        <v>491</v>
      </c>
      <c r="C4701" s="15" t="s">
        <v>37</v>
      </c>
      <c r="D4701" s="15" t="s">
        <v>561</v>
      </c>
      <c r="E4701" s="15" t="n">
        <v>1</v>
      </c>
      <c r="H4701" s="10"/>
      <c r="I4701" s="21"/>
      <c r="M4701" s="10"/>
      <c r="N4701" s="10"/>
      <c r="P4701" s="10"/>
      <c r="Q4701" s="22"/>
    </row>
    <row r="4702" customFormat="false" ht="15.75" hidden="false" customHeight="false" outlineLevel="0" collapsed="false">
      <c r="A4702" s="20" t="n">
        <v>46146</v>
      </c>
      <c r="B4702" s="15" t="s">
        <v>491</v>
      </c>
      <c r="C4702" s="15" t="s">
        <v>81</v>
      </c>
      <c r="D4702" s="15" t="s">
        <v>534</v>
      </c>
      <c r="E4702" s="15" t="n">
        <v>8</v>
      </c>
      <c r="H4702" s="10"/>
      <c r="I4702" s="21"/>
      <c r="M4702" s="10"/>
      <c r="N4702" s="10"/>
      <c r="P4702" s="10"/>
      <c r="Q4702" s="22"/>
    </row>
    <row r="4703" customFormat="false" ht="15.75" hidden="false" customHeight="false" outlineLevel="0" collapsed="false">
      <c r="A4703" s="20" t="n">
        <v>46146</v>
      </c>
      <c r="B4703" s="15" t="s">
        <v>491</v>
      </c>
      <c r="C4703" s="15" t="s">
        <v>75</v>
      </c>
      <c r="D4703" s="15" t="s">
        <v>560</v>
      </c>
      <c r="E4703" s="15" t="n">
        <v>1</v>
      </c>
      <c r="H4703" s="10"/>
      <c r="I4703" s="21"/>
      <c r="M4703" s="10"/>
      <c r="N4703" s="10"/>
      <c r="P4703" s="10"/>
      <c r="Q4703" s="22"/>
    </row>
    <row r="4704" customFormat="false" ht="15.75" hidden="false" customHeight="false" outlineLevel="0" collapsed="false">
      <c r="A4704" s="20" t="n">
        <v>46146</v>
      </c>
      <c r="B4704" s="15" t="s">
        <v>491</v>
      </c>
      <c r="C4704" s="15" t="s">
        <v>69</v>
      </c>
      <c r="D4704" s="15" t="s">
        <v>535</v>
      </c>
      <c r="E4704" s="15" t="n">
        <v>6</v>
      </c>
      <c r="H4704" s="10"/>
      <c r="I4704" s="21"/>
      <c r="M4704" s="10"/>
      <c r="N4704" s="10"/>
      <c r="P4704" s="10"/>
      <c r="Q4704" s="22"/>
    </row>
    <row r="4705" customFormat="false" ht="15.75" hidden="false" customHeight="false" outlineLevel="0" collapsed="false">
      <c r="A4705" s="20" t="n">
        <v>46146</v>
      </c>
      <c r="B4705" s="15" t="s">
        <v>491</v>
      </c>
      <c r="C4705" s="15" t="s">
        <v>547</v>
      </c>
      <c r="D4705" s="15" t="s">
        <v>548</v>
      </c>
      <c r="E4705" s="15" t="n">
        <v>1</v>
      </c>
      <c r="H4705" s="10"/>
      <c r="I4705" s="21"/>
      <c r="M4705" s="10"/>
      <c r="N4705" s="10"/>
      <c r="P4705" s="10"/>
      <c r="Q4705" s="22"/>
    </row>
    <row r="4706" customFormat="false" ht="15.75" hidden="false" customHeight="false" outlineLevel="0" collapsed="false">
      <c r="A4706" s="20" t="n">
        <v>46146</v>
      </c>
      <c r="B4706" s="15" t="s">
        <v>491</v>
      </c>
      <c r="C4706" s="15" t="s">
        <v>31</v>
      </c>
      <c r="D4706" s="15" t="s">
        <v>559</v>
      </c>
      <c r="E4706" s="15" t="n">
        <v>2</v>
      </c>
      <c r="H4706" s="10"/>
      <c r="I4706" s="21"/>
      <c r="M4706" s="10"/>
      <c r="N4706" s="10"/>
      <c r="P4706" s="10"/>
      <c r="Q4706" s="22"/>
    </row>
    <row r="4707" customFormat="false" ht="15.75" hidden="false" customHeight="false" outlineLevel="0" collapsed="false">
      <c r="A4707" s="20" t="n">
        <v>46146</v>
      </c>
      <c r="B4707" s="15" t="s">
        <v>491</v>
      </c>
      <c r="C4707" s="15" t="s">
        <v>545</v>
      </c>
      <c r="D4707" s="15" t="s">
        <v>546</v>
      </c>
      <c r="E4707" s="15" t="n">
        <v>2</v>
      </c>
      <c r="H4707" s="10"/>
      <c r="I4707" s="21"/>
      <c r="M4707" s="10"/>
      <c r="N4707" s="10"/>
      <c r="P4707" s="10"/>
      <c r="Q4707" s="22"/>
    </row>
    <row r="4708" customFormat="false" ht="15.75" hidden="false" customHeight="false" outlineLevel="0" collapsed="false">
      <c r="A4708" s="20" t="n">
        <v>46146</v>
      </c>
      <c r="B4708" s="15" t="s">
        <v>491</v>
      </c>
      <c r="C4708" s="15" t="s">
        <v>543</v>
      </c>
      <c r="D4708" s="15" t="s">
        <v>544</v>
      </c>
      <c r="E4708" s="15" t="n">
        <v>4</v>
      </c>
      <c r="H4708" s="10"/>
      <c r="I4708" s="21"/>
      <c r="M4708" s="10"/>
      <c r="N4708" s="10"/>
      <c r="P4708" s="10"/>
      <c r="Q4708" s="22"/>
    </row>
    <row r="4709" customFormat="false" ht="15.75" hidden="false" customHeight="false" outlineLevel="0" collapsed="false">
      <c r="A4709" s="20" t="n">
        <v>46146</v>
      </c>
      <c r="B4709" s="15" t="s">
        <v>491</v>
      </c>
      <c r="C4709" s="15" t="s">
        <v>541</v>
      </c>
      <c r="D4709" s="15" t="s">
        <v>542</v>
      </c>
      <c r="E4709" s="15" t="n">
        <v>2</v>
      </c>
      <c r="H4709" s="10"/>
      <c r="I4709" s="21"/>
      <c r="M4709" s="10"/>
      <c r="N4709" s="10"/>
      <c r="P4709" s="10"/>
      <c r="Q4709" s="22"/>
    </row>
    <row r="4710" customFormat="false" ht="15.75" hidden="false" customHeight="false" outlineLevel="0" collapsed="false">
      <c r="A4710" s="20" t="n">
        <v>46146</v>
      </c>
      <c r="B4710" s="15" t="s">
        <v>491</v>
      </c>
      <c r="C4710" s="15" t="s">
        <v>49</v>
      </c>
      <c r="D4710" s="15" t="s">
        <v>537</v>
      </c>
      <c r="E4710" s="15" t="n">
        <v>1</v>
      </c>
      <c r="H4710" s="10"/>
      <c r="I4710" s="21"/>
      <c r="M4710" s="10"/>
      <c r="N4710" s="10"/>
      <c r="P4710" s="10"/>
      <c r="Q4710" s="22"/>
    </row>
    <row r="4711" customFormat="false" ht="15.75" hidden="false" customHeight="false" outlineLevel="0" collapsed="false">
      <c r="A4711" s="20" t="n">
        <v>46146</v>
      </c>
      <c r="B4711" s="15" t="s">
        <v>491</v>
      </c>
      <c r="C4711" s="15" t="s">
        <v>33</v>
      </c>
      <c r="D4711" s="15" t="s">
        <v>536</v>
      </c>
      <c r="E4711" s="15" t="n">
        <v>5</v>
      </c>
      <c r="H4711" s="10"/>
      <c r="I4711" s="21"/>
      <c r="M4711" s="10"/>
      <c r="N4711" s="10"/>
      <c r="P4711" s="10"/>
      <c r="Q4711" s="22"/>
    </row>
    <row r="4712" customFormat="false" ht="15.75" hidden="false" customHeight="false" outlineLevel="0" collapsed="false">
      <c r="A4712" s="20" t="n">
        <v>46146</v>
      </c>
      <c r="B4712" s="15" t="s">
        <v>491</v>
      </c>
      <c r="C4712" s="15" t="s">
        <v>77</v>
      </c>
      <c r="D4712" s="15" t="s">
        <v>78</v>
      </c>
      <c r="E4712" s="15" t="n">
        <v>3</v>
      </c>
      <c r="H4712" s="10"/>
      <c r="I4712" s="21"/>
      <c r="M4712" s="10"/>
      <c r="N4712" s="10"/>
      <c r="P4712" s="10"/>
      <c r="Q4712" s="22"/>
    </row>
    <row r="4713" customFormat="false" ht="15.75" hidden="false" customHeight="false" outlineLevel="0" collapsed="false">
      <c r="A4713" s="20" t="n">
        <v>46146</v>
      </c>
      <c r="B4713" s="15" t="s">
        <v>491</v>
      </c>
      <c r="C4713" s="15" t="s">
        <v>47</v>
      </c>
      <c r="D4713" s="15" t="s">
        <v>549</v>
      </c>
      <c r="E4713" s="15" t="n">
        <v>1</v>
      </c>
      <c r="H4713" s="10"/>
      <c r="I4713" s="21"/>
      <c r="M4713" s="10"/>
      <c r="N4713" s="10"/>
      <c r="P4713" s="10"/>
      <c r="Q4713" s="22"/>
    </row>
    <row r="4714" customFormat="false" ht="15.75" hidden="false" customHeight="false" outlineLevel="0" collapsed="false">
      <c r="A4714" s="20" t="n">
        <v>46146</v>
      </c>
      <c r="B4714" s="15" t="s">
        <v>491</v>
      </c>
      <c r="C4714" s="15" t="s">
        <v>55</v>
      </c>
      <c r="D4714" s="15" t="s">
        <v>539</v>
      </c>
      <c r="E4714" s="15" t="n">
        <v>1</v>
      </c>
      <c r="H4714" s="10"/>
      <c r="I4714" s="21"/>
      <c r="M4714" s="10"/>
      <c r="N4714" s="10"/>
      <c r="P4714" s="10"/>
      <c r="Q4714" s="22"/>
    </row>
    <row r="4715" customFormat="false" ht="15.75" hidden="false" customHeight="false" outlineLevel="0" collapsed="false">
      <c r="A4715" s="20" t="n">
        <v>46146</v>
      </c>
      <c r="B4715" s="15" t="s">
        <v>491</v>
      </c>
      <c r="C4715" s="15" t="s">
        <v>59</v>
      </c>
      <c r="D4715" s="15" t="s">
        <v>562</v>
      </c>
      <c r="E4715" s="15" t="n">
        <v>1</v>
      </c>
      <c r="H4715" s="10"/>
      <c r="I4715" s="21"/>
      <c r="M4715" s="10"/>
      <c r="N4715" s="10"/>
      <c r="P4715" s="10"/>
      <c r="Q4715" s="22"/>
    </row>
    <row r="4716" customFormat="false" ht="15.75" hidden="false" customHeight="false" outlineLevel="0" collapsed="false">
      <c r="A4716" s="20" t="n">
        <v>46146</v>
      </c>
      <c r="B4716" s="15" t="s">
        <v>491</v>
      </c>
      <c r="C4716" s="15" t="s">
        <v>43</v>
      </c>
      <c r="D4716" s="15" t="s">
        <v>538</v>
      </c>
      <c r="E4716" s="15" t="n">
        <v>1</v>
      </c>
      <c r="H4716" s="10"/>
      <c r="I4716" s="21"/>
      <c r="M4716" s="10"/>
      <c r="N4716" s="10"/>
      <c r="P4716" s="10"/>
      <c r="Q4716" s="22"/>
    </row>
    <row r="4717" customFormat="false" ht="15.75" hidden="false" customHeight="false" outlineLevel="0" collapsed="false">
      <c r="A4717" s="20" t="n">
        <v>46146</v>
      </c>
      <c r="B4717" s="15" t="s">
        <v>491</v>
      </c>
      <c r="C4717" s="15" t="s">
        <v>87</v>
      </c>
      <c r="D4717" s="15" t="s">
        <v>563</v>
      </c>
      <c r="E4717" s="15" t="n">
        <v>1</v>
      </c>
      <c r="H4717" s="10"/>
      <c r="I4717" s="21"/>
      <c r="M4717" s="10"/>
      <c r="N4717" s="10"/>
      <c r="P4717" s="10"/>
      <c r="Q4717" s="22"/>
    </row>
    <row r="4718" customFormat="false" ht="15.75" hidden="false" customHeight="false" outlineLevel="0" collapsed="false">
      <c r="A4718" s="20" t="n">
        <v>46146</v>
      </c>
      <c r="B4718" s="15" t="s">
        <v>491</v>
      </c>
      <c r="C4718" s="15" t="s">
        <v>79</v>
      </c>
      <c r="D4718" s="15" t="s">
        <v>564</v>
      </c>
      <c r="E4718" s="15" t="n">
        <v>1</v>
      </c>
      <c r="H4718" s="10"/>
      <c r="I4718" s="21"/>
      <c r="M4718" s="10"/>
      <c r="N4718" s="10"/>
      <c r="P4718" s="10"/>
      <c r="Q4718" s="22"/>
    </row>
    <row r="4719" customFormat="false" ht="15.75" hidden="false" customHeight="false" outlineLevel="0" collapsed="false">
      <c r="A4719" s="20" t="n">
        <v>46146</v>
      </c>
      <c r="B4719" s="15" t="s">
        <v>499</v>
      </c>
      <c r="C4719" s="15" t="s">
        <v>543</v>
      </c>
      <c r="D4719" s="15" t="s">
        <v>544</v>
      </c>
      <c r="E4719" s="15" t="n">
        <v>1</v>
      </c>
      <c r="H4719" s="10"/>
      <c r="I4719" s="21"/>
      <c r="M4719" s="10"/>
      <c r="N4719" s="10"/>
      <c r="P4719" s="10"/>
      <c r="Q4719" s="22"/>
    </row>
    <row r="4720" customFormat="false" ht="15.75" hidden="false" customHeight="false" outlineLevel="0" collapsed="false">
      <c r="A4720" s="20" t="n">
        <v>46146</v>
      </c>
      <c r="B4720" s="15" t="s">
        <v>499</v>
      </c>
      <c r="C4720" s="15" t="s">
        <v>69</v>
      </c>
      <c r="D4720" s="15" t="s">
        <v>535</v>
      </c>
      <c r="E4720" s="15" t="n">
        <v>1</v>
      </c>
      <c r="H4720" s="10"/>
      <c r="I4720" s="21"/>
      <c r="M4720" s="10"/>
      <c r="N4720" s="10"/>
      <c r="P4720" s="10"/>
      <c r="Q4720" s="22"/>
    </row>
    <row r="4721" customFormat="false" ht="15.75" hidden="false" customHeight="false" outlineLevel="0" collapsed="false">
      <c r="A4721" s="20" t="n">
        <v>46146</v>
      </c>
      <c r="B4721" s="15" t="s">
        <v>499</v>
      </c>
      <c r="C4721" s="15" t="s">
        <v>33</v>
      </c>
      <c r="D4721" s="15" t="s">
        <v>536</v>
      </c>
      <c r="E4721" s="15" t="n">
        <v>2</v>
      </c>
      <c r="H4721" s="10"/>
      <c r="I4721" s="21"/>
      <c r="M4721" s="10"/>
      <c r="N4721" s="10"/>
      <c r="P4721" s="10"/>
      <c r="Q4721" s="22"/>
    </row>
    <row r="4722" customFormat="false" ht="15.75" hidden="false" customHeight="false" outlineLevel="0" collapsed="false">
      <c r="A4722" s="20" t="n">
        <v>46146</v>
      </c>
      <c r="B4722" s="15" t="s">
        <v>499</v>
      </c>
      <c r="C4722" s="15" t="s">
        <v>55</v>
      </c>
      <c r="D4722" s="15" t="s">
        <v>539</v>
      </c>
      <c r="E4722" s="15" t="n">
        <v>1</v>
      </c>
      <c r="H4722" s="10"/>
      <c r="I4722" s="21"/>
      <c r="M4722" s="10"/>
      <c r="N4722" s="10"/>
      <c r="P4722" s="10"/>
      <c r="Q4722" s="22"/>
    </row>
    <row r="4723" customFormat="false" ht="15.75" hidden="false" customHeight="false" outlineLevel="0" collapsed="false">
      <c r="A4723" s="20" t="n">
        <v>46146</v>
      </c>
      <c r="B4723" s="15" t="s">
        <v>499</v>
      </c>
      <c r="C4723" s="15" t="s">
        <v>59</v>
      </c>
      <c r="D4723" s="15" t="s">
        <v>562</v>
      </c>
      <c r="E4723" s="15" t="n">
        <v>1</v>
      </c>
      <c r="H4723" s="10"/>
      <c r="I4723" s="21"/>
      <c r="M4723" s="10"/>
      <c r="N4723" s="10"/>
      <c r="P4723" s="10"/>
      <c r="Q4723" s="22"/>
    </row>
    <row r="4724" customFormat="false" ht="15.75" hidden="false" customHeight="false" outlineLevel="0" collapsed="false">
      <c r="A4724" s="20" t="n">
        <v>46146</v>
      </c>
      <c r="B4724" s="15" t="s">
        <v>499</v>
      </c>
      <c r="C4724" s="15" t="s">
        <v>47</v>
      </c>
      <c r="D4724" s="15" t="s">
        <v>549</v>
      </c>
      <c r="E4724" s="15" t="n">
        <v>1</v>
      </c>
      <c r="H4724" s="10"/>
      <c r="I4724" s="21"/>
      <c r="M4724" s="10"/>
      <c r="N4724" s="10"/>
      <c r="P4724" s="10"/>
      <c r="Q4724" s="22"/>
    </row>
    <row r="4725" customFormat="false" ht="15.75" hidden="false" customHeight="false" outlineLevel="0" collapsed="false">
      <c r="A4725" s="20" t="n">
        <v>46146</v>
      </c>
      <c r="B4725" s="15" t="s">
        <v>499</v>
      </c>
      <c r="C4725" s="15" t="s">
        <v>75</v>
      </c>
      <c r="D4725" s="15" t="s">
        <v>560</v>
      </c>
      <c r="E4725" s="15" t="n">
        <v>1</v>
      </c>
      <c r="H4725" s="10"/>
      <c r="I4725" s="21"/>
      <c r="M4725" s="10"/>
      <c r="N4725" s="10"/>
      <c r="P4725" s="10"/>
      <c r="Q4725" s="22"/>
    </row>
    <row r="4726" customFormat="false" ht="15.75" hidden="false" customHeight="false" outlineLevel="0" collapsed="false">
      <c r="A4726" s="20" t="n">
        <v>46146</v>
      </c>
      <c r="B4726" s="15" t="s">
        <v>499</v>
      </c>
      <c r="C4726" s="15" t="s">
        <v>81</v>
      </c>
      <c r="D4726" s="15" t="s">
        <v>534</v>
      </c>
      <c r="E4726" s="15" t="n">
        <v>7</v>
      </c>
      <c r="H4726" s="10"/>
      <c r="I4726" s="21"/>
      <c r="M4726" s="10"/>
      <c r="N4726" s="10"/>
      <c r="P4726" s="10"/>
      <c r="Q4726" s="22"/>
    </row>
    <row r="4727" customFormat="false" ht="15.75" hidden="false" customHeight="false" outlineLevel="0" collapsed="false">
      <c r="A4727" s="20" t="n">
        <v>46146</v>
      </c>
      <c r="B4727" s="15" t="s">
        <v>499</v>
      </c>
      <c r="C4727" s="15" t="s">
        <v>77</v>
      </c>
      <c r="D4727" s="15" t="s">
        <v>78</v>
      </c>
      <c r="E4727" s="15" t="n">
        <v>2</v>
      </c>
      <c r="H4727" s="10"/>
      <c r="I4727" s="21"/>
      <c r="M4727" s="10"/>
      <c r="N4727" s="10"/>
      <c r="P4727" s="10"/>
      <c r="Q4727" s="22"/>
    </row>
    <row r="4728" customFormat="false" ht="15.75" hidden="false" customHeight="false" outlineLevel="0" collapsed="false">
      <c r="A4728" s="20" t="n">
        <v>46146</v>
      </c>
      <c r="B4728" s="15" t="s">
        <v>504</v>
      </c>
      <c r="C4728" s="15" t="s">
        <v>47</v>
      </c>
      <c r="D4728" s="15" t="s">
        <v>549</v>
      </c>
      <c r="E4728" s="15" t="n">
        <v>6</v>
      </c>
      <c r="H4728" s="10"/>
      <c r="I4728" s="21"/>
      <c r="M4728" s="10"/>
      <c r="N4728" s="10"/>
      <c r="P4728" s="10"/>
      <c r="Q4728" s="22"/>
    </row>
    <row r="4729" customFormat="false" ht="15.75" hidden="false" customHeight="false" outlineLevel="0" collapsed="false">
      <c r="A4729" s="20" t="n">
        <v>46146</v>
      </c>
      <c r="B4729" s="15" t="s">
        <v>504</v>
      </c>
      <c r="C4729" s="15" t="s">
        <v>55</v>
      </c>
      <c r="D4729" s="15" t="s">
        <v>539</v>
      </c>
      <c r="E4729" s="15" t="n">
        <v>12</v>
      </c>
      <c r="H4729" s="10"/>
      <c r="I4729" s="21"/>
      <c r="M4729" s="10"/>
      <c r="N4729" s="10"/>
      <c r="P4729" s="10"/>
      <c r="Q4729" s="22"/>
    </row>
    <row r="4730" customFormat="false" ht="15.75" hidden="false" customHeight="false" outlineLevel="0" collapsed="false">
      <c r="A4730" s="20" t="n">
        <v>46146</v>
      </c>
      <c r="B4730" s="15" t="s">
        <v>504</v>
      </c>
      <c r="C4730" s="15" t="s">
        <v>81</v>
      </c>
      <c r="D4730" s="15" t="s">
        <v>534</v>
      </c>
      <c r="E4730" s="15" t="n">
        <v>18</v>
      </c>
      <c r="H4730" s="10"/>
      <c r="I4730" s="21"/>
      <c r="M4730" s="10"/>
      <c r="N4730" s="10"/>
      <c r="P4730" s="10"/>
      <c r="Q4730" s="22"/>
    </row>
    <row r="4731" customFormat="false" ht="15.75" hidden="false" customHeight="false" outlineLevel="0" collapsed="false">
      <c r="A4731" s="20" t="n">
        <v>46146</v>
      </c>
      <c r="B4731" s="15" t="s">
        <v>504</v>
      </c>
      <c r="C4731" s="15" t="s">
        <v>39</v>
      </c>
      <c r="D4731" s="15" t="s">
        <v>550</v>
      </c>
      <c r="E4731" s="15" t="n">
        <v>2</v>
      </c>
      <c r="H4731" s="10"/>
      <c r="I4731" s="21"/>
      <c r="M4731" s="10"/>
      <c r="N4731" s="10"/>
      <c r="P4731" s="10"/>
      <c r="Q4731" s="22"/>
    </row>
    <row r="4732" customFormat="false" ht="15.75" hidden="false" customHeight="false" outlineLevel="0" collapsed="false">
      <c r="A4732" s="20" t="n">
        <v>46146</v>
      </c>
      <c r="B4732" s="15" t="s">
        <v>504</v>
      </c>
      <c r="C4732" s="15" t="s">
        <v>63</v>
      </c>
      <c r="D4732" s="15" t="s">
        <v>551</v>
      </c>
      <c r="E4732" s="15" t="n">
        <v>2</v>
      </c>
      <c r="H4732" s="10"/>
      <c r="I4732" s="21"/>
      <c r="M4732" s="10"/>
      <c r="N4732" s="10"/>
      <c r="P4732" s="10"/>
      <c r="Q4732" s="22"/>
    </row>
    <row r="4733" customFormat="false" ht="15.75" hidden="false" customHeight="false" outlineLevel="0" collapsed="false">
      <c r="A4733" s="20" t="n">
        <v>46146</v>
      </c>
      <c r="B4733" s="15" t="s">
        <v>504</v>
      </c>
      <c r="C4733" s="15" t="s">
        <v>17</v>
      </c>
      <c r="D4733" s="15" t="s">
        <v>554</v>
      </c>
      <c r="E4733" s="15" t="n">
        <v>2</v>
      </c>
      <c r="H4733" s="10"/>
      <c r="I4733" s="21"/>
      <c r="M4733" s="10"/>
      <c r="N4733" s="10"/>
      <c r="P4733" s="10"/>
      <c r="Q4733" s="22"/>
    </row>
    <row r="4734" customFormat="false" ht="15.75" hidden="false" customHeight="false" outlineLevel="0" collapsed="false">
      <c r="A4734" s="20" t="n">
        <v>46146</v>
      </c>
      <c r="B4734" s="15" t="s">
        <v>508</v>
      </c>
      <c r="C4734" s="15" t="s">
        <v>55</v>
      </c>
      <c r="D4734" s="15" t="s">
        <v>539</v>
      </c>
      <c r="E4734" s="15" t="n">
        <v>5</v>
      </c>
      <c r="H4734" s="10"/>
      <c r="I4734" s="21"/>
      <c r="M4734" s="10"/>
      <c r="N4734" s="10"/>
      <c r="P4734" s="10"/>
      <c r="Q4734" s="22"/>
    </row>
    <row r="4735" customFormat="false" ht="15.75" hidden="false" customHeight="false" outlineLevel="0" collapsed="false">
      <c r="A4735" s="20" t="n">
        <v>46146</v>
      </c>
      <c r="B4735" s="15" t="s">
        <v>508</v>
      </c>
      <c r="C4735" s="15" t="s">
        <v>81</v>
      </c>
      <c r="D4735" s="15" t="s">
        <v>534</v>
      </c>
      <c r="E4735" s="15" t="n">
        <v>9</v>
      </c>
      <c r="H4735" s="10"/>
      <c r="I4735" s="21"/>
      <c r="M4735" s="10"/>
      <c r="N4735" s="10"/>
      <c r="P4735" s="10"/>
      <c r="Q4735" s="22"/>
    </row>
    <row r="4736" customFormat="false" ht="15.75" hidden="false" customHeight="false" outlineLevel="0" collapsed="false">
      <c r="A4736" s="20" t="n">
        <v>46146</v>
      </c>
      <c r="B4736" s="15" t="s">
        <v>508</v>
      </c>
      <c r="C4736" s="15" t="s">
        <v>39</v>
      </c>
      <c r="D4736" s="15" t="s">
        <v>550</v>
      </c>
      <c r="E4736" s="15" t="n">
        <v>2</v>
      </c>
      <c r="H4736" s="10"/>
      <c r="I4736" s="21"/>
      <c r="M4736" s="10"/>
      <c r="N4736" s="10"/>
      <c r="P4736" s="10"/>
      <c r="Q4736" s="22"/>
    </row>
    <row r="4737" customFormat="false" ht="15.75" hidden="false" customHeight="false" outlineLevel="0" collapsed="false">
      <c r="A4737" s="20" t="n">
        <v>46146</v>
      </c>
      <c r="B4737" s="15" t="s">
        <v>508</v>
      </c>
      <c r="C4737" s="15" t="s">
        <v>47</v>
      </c>
      <c r="D4737" s="15" t="s">
        <v>549</v>
      </c>
      <c r="E4737" s="15" t="n">
        <v>2</v>
      </c>
      <c r="H4737" s="10"/>
      <c r="I4737" s="21"/>
      <c r="M4737" s="10"/>
      <c r="N4737" s="10"/>
      <c r="P4737" s="10"/>
      <c r="Q4737" s="22"/>
    </row>
    <row r="4738" customFormat="false" ht="15.75" hidden="false" customHeight="false" outlineLevel="0" collapsed="false">
      <c r="A4738" s="20" t="n">
        <v>46146</v>
      </c>
      <c r="B4738" s="15" t="s">
        <v>508</v>
      </c>
      <c r="C4738" s="15" t="s">
        <v>63</v>
      </c>
      <c r="D4738" s="15" t="s">
        <v>551</v>
      </c>
      <c r="E4738" s="15" t="n">
        <v>1</v>
      </c>
      <c r="H4738" s="10"/>
      <c r="I4738" s="21"/>
      <c r="M4738" s="10"/>
      <c r="N4738" s="10"/>
      <c r="P4738" s="10"/>
      <c r="Q4738" s="22"/>
    </row>
    <row r="4739" customFormat="false" ht="15.75" hidden="false" customHeight="false" outlineLevel="0" collapsed="false">
      <c r="A4739" s="20" t="n">
        <v>46146</v>
      </c>
      <c r="B4739" s="15" t="s">
        <v>514</v>
      </c>
      <c r="C4739" s="15" t="s">
        <v>55</v>
      </c>
      <c r="D4739" s="15" t="s">
        <v>539</v>
      </c>
      <c r="E4739" s="15" t="n">
        <v>5</v>
      </c>
      <c r="H4739" s="10"/>
      <c r="I4739" s="21"/>
      <c r="M4739" s="10"/>
      <c r="N4739" s="10"/>
      <c r="P4739" s="10"/>
      <c r="Q4739" s="22"/>
    </row>
    <row r="4740" customFormat="false" ht="15.75" hidden="false" customHeight="false" outlineLevel="0" collapsed="false">
      <c r="A4740" s="20" t="n">
        <v>46146</v>
      </c>
      <c r="B4740" s="15" t="s">
        <v>514</v>
      </c>
      <c r="C4740" s="15" t="s">
        <v>57</v>
      </c>
      <c r="D4740" s="15" t="s">
        <v>553</v>
      </c>
      <c r="E4740" s="15" t="n">
        <v>1</v>
      </c>
      <c r="H4740" s="10"/>
      <c r="I4740" s="21"/>
      <c r="M4740" s="10"/>
      <c r="N4740" s="10"/>
      <c r="P4740" s="10"/>
      <c r="Q4740" s="22"/>
    </row>
    <row r="4741" customFormat="false" ht="15.75" hidden="false" customHeight="false" outlineLevel="0" collapsed="false">
      <c r="A4741" s="20" t="n">
        <v>46146</v>
      </c>
      <c r="B4741" s="15" t="s">
        <v>514</v>
      </c>
      <c r="C4741" s="15" t="s">
        <v>49</v>
      </c>
      <c r="D4741" s="15" t="s">
        <v>537</v>
      </c>
      <c r="E4741" s="15" t="n">
        <v>1</v>
      </c>
      <c r="H4741" s="10"/>
      <c r="I4741" s="21"/>
      <c r="M4741" s="10"/>
      <c r="N4741" s="10"/>
      <c r="P4741" s="10"/>
      <c r="Q4741" s="22"/>
    </row>
    <row r="4742" customFormat="false" ht="15.75" hidden="false" customHeight="false" outlineLevel="0" collapsed="false">
      <c r="A4742" s="20" t="n">
        <v>46146</v>
      </c>
      <c r="B4742" s="15" t="s">
        <v>514</v>
      </c>
      <c r="C4742" s="15" t="s">
        <v>47</v>
      </c>
      <c r="D4742" s="15" t="s">
        <v>549</v>
      </c>
      <c r="E4742" s="15" t="n">
        <v>4</v>
      </c>
      <c r="H4742" s="10"/>
      <c r="I4742" s="21"/>
      <c r="M4742" s="10"/>
      <c r="N4742" s="10"/>
      <c r="P4742" s="10"/>
      <c r="Q4742" s="22"/>
    </row>
    <row r="4743" customFormat="false" ht="15.75" hidden="false" customHeight="false" outlineLevel="0" collapsed="false">
      <c r="A4743" s="20" t="n">
        <v>46146</v>
      </c>
      <c r="B4743" s="15" t="s">
        <v>514</v>
      </c>
      <c r="C4743" s="15" t="s">
        <v>81</v>
      </c>
      <c r="D4743" s="15" t="s">
        <v>534</v>
      </c>
      <c r="E4743" s="15" t="n">
        <v>7</v>
      </c>
      <c r="H4743" s="10"/>
      <c r="I4743" s="21"/>
      <c r="M4743" s="10"/>
      <c r="N4743" s="10"/>
      <c r="P4743" s="10"/>
      <c r="Q4743" s="22"/>
    </row>
    <row r="4744" customFormat="false" ht="15.75" hidden="false" customHeight="false" outlineLevel="0" collapsed="false">
      <c r="A4744" s="20" t="n">
        <v>46146</v>
      </c>
      <c r="B4744" s="15" t="s">
        <v>514</v>
      </c>
      <c r="C4744" s="15" t="s">
        <v>63</v>
      </c>
      <c r="D4744" s="15" t="s">
        <v>551</v>
      </c>
      <c r="E4744" s="15" t="n">
        <v>1</v>
      </c>
      <c r="H4744" s="10"/>
      <c r="I4744" s="21"/>
      <c r="M4744" s="10"/>
      <c r="N4744" s="10"/>
      <c r="P4744" s="10"/>
      <c r="Q4744" s="22"/>
    </row>
    <row r="4745" customFormat="false" ht="15.75" hidden="false" customHeight="false" outlineLevel="0" collapsed="false">
      <c r="A4745" s="20" t="n">
        <v>46146</v>
      </c>
      <c r="B4745" s="15" t="s">
        <v>514</v>
      </c>
      <c r="C4745" s="15" t="s">
        <v>17</v>
      </c>
      <c r="D4745" s="15" t="s">
        <v>554</v>
      </c>
      <c r="E4745" s="15" t="n">
        <v>1</v>
      </c>
      <c r="H4745" s="10"/>
      <c r="I4745" s="21"/>
      <c r="M4745" s="10"/>
      <c r="N4745" s="10"/>
      <c r="P4745" s="10"/>
      <c r="Q4745" s="22"/>
    </row>
    <row r="4746" customFormat="false" ht="15.75" hidden="false" customHeight="false" outlineLevel="0" collapsed="false">
      <c r="A4746" s="20" t="n">
        <v>46146</v>
      </c>
      <c r="B4746" s="15" t="s">
        <v>518</v>
      </c>
      <c r="C4746" s="15" t="s">
        <v>69</v>
      </c>
      <c r="D4746" s="15" t="s">
        <v>535</v>
      </c>
      <c r="E4746" s="15" t="n">
        <v>6</v>
      </c>
      <c r="H4746" s="10"/>
      <c r="I4746" s="21"/>
      <c r="M4746" s="10"/>
      <c r="N4746" s="10"/>
      <c r="P4746" s="10"/>
      <c r="Q4746" s="22"/>
    </row>
    <row r="4747" customFormat="false" ht="15.75" hidden="false" customHeight="false" outlineLevel="0" collapsed="false">
      <c r="A4747" s="20" t="n">
        <v>46146</v>
      </c>
      <c r="B4747" s="15" t="s">
        <v>518</v>
      </c>
      <c r="C4747" s="15" t="s">
        <v>33</v>
      </c>
      <c r="D4747" s="15" t="s">
        <v>536</v>
      </c>
      <c r="E4747" s="15" t="n">
        <v>6</v>
      </c>
      <c r="H4747" s="10"/>
      <c r="I4747" s="21"/>
      <c r="M4747" s="10"/>
      <c r="N4747" s="10"/>
      <c r="P4747" s="10"/>
      <c r="Q4747" s="22"/>
    </row>
    <row r="4748" customFormat="false" ht="15.75" hidden="false" customHeight="false" outlineLevel="0" collapsed="false">
      <c r="A4748" s="20" t="n">
        <v>46146</v>
      </c>
      <c r="B4748" s="15" t="s">
        <v>518</v>
      </c>
      <c r="C4748" s="15" t="s">
        <v>47</v>
      </c>
      <c r="D4748" s="15" t="s">
        <v>549</v>
      </c>
      <c r="E4748" s="15" t="n">
        <v>2</v>
      </c>
      <c r="H4748" s="10"/>
      <c r="I4748" s="21"/>
      <c r="M4748" s="10"/>
      <c r="N4748" s="10"/>
      <c r="P4748" s="10"/>
      <c r="Q4748" s="22"/>
    </row>
    <row r="4749" customFormat="false" ht="15.75" hidden="false" customHeight="false" outlineLevel="0" collapsed="false">
      <c r="A4749" s="20" t="n">
        <v>46146</v>
      </c>
      <c r="B4749" s="15" t="s">
        <v>518</v>
      </c>
      <c r="C4749" s="15" t="s">
        <v>51</v>
      </c>
      <c r="D4749" s="15" t="s">
        <v>573</v>
      </c>
      <c r="E4749" s="15" t="n">
        <v>1</v>
      </c>
      <c r="H4749" s="10"/>
      <c r="I4749" s="21"/>
      <c r="M4749" s="10"/>
      <c r="N4749" s="10"/>
      <c r="P4749" s="10"/>
      <c r="Q4749" s="22"/>
    </row>
    <row r="4750" customFormat="false" ht="15.75" hidden="false" customHeight="false" outlineLevel="0" collapsed="false">
      <c r="A4750" s="20" t="n">
        <v>46146</v>
      </c>
      <c r="B4750" s="15" t="s">
        <v>518</v>
      </c>
      <c r="C4750" s="15" t="s">
        <v>55</v>
      </c>
      <c r="D4750" s="15" t="s">
        <v>539</v>
      </c>
      <c r="E4750" s="15" t="n">
        <v>2</v>
      </c>
      <c r="H4750" s="10"/>
      <c r="I4750" s="21"/>
      <c r="M4750" s="10"/>
      <c r="N4750" s="10"/>
      <c r="P4750" s="10"/>
      <c r="Q4750" s="22"/>
    </row>
    <row r="4751" customFormat="false" ht="15.75" hidden="false" customHeight="false" outlineLevel="0" collapsed="false">
      <c r="A4751" s="20" t="n">
        <v>46146</v>
      </c>
      <c r="B4751" s="15" t="s">
        <v>518</v>
      </c>
      <c r="C4751" s="15" t="s">
        <v>37</v>
      </c>
      <c r="D4751" s="15" t="s">
        <v>561</v>
      </c>
      <c r="E4751" s="15" t="n">
        <v>2</v>
      </c>
      <c r="H4751" s="10"/>
      <c r="I4751" s="21"/>
      <c r="M4751" s="10"/>
      <c r="N4751" s="10"/>
      <c r="P4751" s="10"/>
      <c r="Q4751" s="22"/>
    </row>
    <row r="4752" customFormat="false" ht="15.75" hidden="false" customHeight="false" outlineLevel="0" collapsed="false">
      <c r="A4752" s="20" t="n">
        <v>46146</v>
      </c>
      <c r="B4752" s="15" t="s">
        <v>518</v>
      </c>
      <c r="C4752" s="15" t="s">
        <v>547</v>
      </c>
      <c r="D4752" s="15" t="s">
        <v>548</v>
      </c>
      <c r="E4752" s="15" t="n">
        <v>1</v>
      </c>
      <c r="H4752" s="10"/>
      <c r="I4752" s="21"/>
      <c r="M4752" s="10"/>
      <c r="N4752" s="10"/>
      <c r="P4752" s="10"/>
      <c r="Q4752" s="22"/>
    </row>
    <row r="4753" customFormat="false" ht="15.75" hidden="false" customHeight="false" outlineLevel="0" collapsed="false">
      <c r="A4753" s="20" t="n">
        <v>46146</v>
      </c>
      <c r="B4753" s="15" t="s">
        <v>518</v>
      </c>
      <c r="C4753" s="15" t="s">
        <v>81</v>
      </c>
      <c r="D4753" s="15" t="s">
        <v>534</v>
      </c>
      <c r="E4753" s="15" t="n">
        <v>1</v>
      </c>
      <c r="H4753" s="10"/>
      <c r="I4753" s="21"/>
      <c r="M4753" s="10"/>
      <c r="N4753" s="10"/>
      <c r="P4753" s="10"/>
      <c r="Q4753" s="22"/>
    </row>
    <row r="4754" customFormat="false" ht="15.75" hidden="false" customHeight="false" outlineLevel="0" collapsed="false">
      <c r="A4754" s="20" t="n">
        <v>46147</v>
      </c>
      <c r="B4754" s="15" t="s">
        <v>451</v>
      </c>
      <c r="C4754" s="15" t="s">
        <v>81</v>
      </c>
      <c r="D4754" s="15" t="s">
        <v>534</v>
      </c>
      <c r="E4754" s="15" t="n">
        <v>2</v>
      </c>
      <c r="H4754" s="10"/>
      <c r="I4754" s="21"/>
      <c r="M4754" s="10"/>
      <c r="N4754" s="10"/>
      <c r="P4754" s="10"/>
      <c r="Q4754" s="22"/>
    </row>
    <row r="4755" customFormat="false" ht="15.75" hidden="false" customHeight="false" outlineLevel="0" collapsed="false">
      <c r="A4755" s="20" t="n">
        <v>46147</v>
      </c>
      <c r="B4755" s="15" t="s">
        <v>451</v>
      </c>
      <c r="C4755" s="15" t="s">
        <v>69</v>
      </c>
      <c r="D4755" s="15" t="s">
        <v>535</v>
      </c>
      <c r="E4755" s="15" t="n">
        <v>3</v>
      </c>
      <c r="H4755" s="10"/>
      <c r="I4755" s="21"/>
      <c r="M4755" s="10"/>
      <c r="N4755" s="10"/>
      <c r="P4755" s="10"/>
      <c r="Q4755" s="22"/>
    </row>
    <row r="4756" customFormat="false" ht="15.75" hidden="false" customHeight="false" outlineLevel="0" collapsed="false">
      <c r="A4756" s="20" t="n">
        <v>46147</v>
      </c>
      <c r="B4756" s="15" t="s">
        <v>451</v>
      </c>
      <c r="C4756" s="15" t="s">
        <v>33</v>
      </c>
      <c r="D4756" s="15" t="s">
        <v>536</v>
      </c>
      <c r="E4756" s="15" t="n">
        <v>2</v>
      </c>
      <c r="H4756" s="10"/>
      <c r="I4756" s="21"/>
      <c r="M4756" s="10"/>
      <c r="N4756" s="10"/>
      <c r="P4756" s="10"/>
      <c r="Q4756" s="22"/>
    </row>
    <row r="4757" customFormat="false" ht="15.75" hidden="false" customHeight="false" outlineLevel="0" collapsed="false">
      <c r="A4757" s="20" t="n">
        <v>46147</v>
      </c>
      <c r="B4757" s="15" t="s">
        <v>451</v>
      </c>
      <c r="C4757" s="15" t="s">
        <v>77</v>
      </c>
      <c r="D4757" s="15" t="s">
        <v>78</v>
      </c>
      <c r="E4757" s="15" t="n">
        <v>2</v>
      </c>
      <c r="H4757" s="10"/>
      <c r="I4757" s="21"/>
      <c r="M4757" s="10"/>
      <c r="N4757" s="10"/>
      <c r="P4757" s="10"/>
      <c r="Q4757" s="22"/>
    </row>
    <row r="4758" customFormat="false" ht="15.75" hidden="false" customHeight="false" outlineLevel="0" collapsed="false">
      <c r="A4758" s="20" t="n">
        <v>46147</v>
      </c>
      <c r="B4758" s="15" t="s">
        <v>451</v>
      </c>
      <c r="C4758" s="15" t="s">
        <v>49</v>
      </c>
      <c r="D4758" s="15" t="s">
        <v>537</v>
      </c>
      <c r="E4758" s="15" t="n">
        <v>1</v>
      </c>
      <c r="H4758" s="10"/>
      <c r="I4758" s="21"/>
      <c r="M4758" s="10"/>
      <c r="N4758" s="10"/>
      <c r="P4758" s="10"/>
      <c r="Q4758" s="22"/>
    </row>
    <row r="4759" customFormat="false" ht="15.75" hidden="false" customHeight="false" outlineLevel="0" collapsed="false">
      <c r="A4759" s="20" t="n">
        <v>46147</v>
      </c>
      <c r="B4759" s="15" t="s">
        <v>451</v>
      </c>
      <c r="C4759" s="15" t="s">
        <v>43</v>
      </c>
      <c r="D4759" s="15" t="s">
        <v>538</v>
      </c>
      <c r="E4759" s="15" t="n">
        <v>2</v>
      </c>
      <c r="H4759" s="10"/>
      <c r="I4759" s="21"/>
      <c r="M4759" s="10"/>
      <c r="N4759" s="10"/>
      <c r="P4759" s="10"/>
      <c r="Q4759" s="22"/>
    </row>
    <row r="4760" customFormat="false" ht="15.75" hidden="false" customHeight="false" outlineLevel="0" collapsed="false">
      <c r="A4760" s="20" t="n">
        <v>46147</v>
      </c>
      <c r="B4760" s="15" t="s">
        <v>451</v>
      </c>
      <c r="C4760" s="15" t="s">
        <v>55</v>
      </c>
      <c r="D4760" s="15" t="s">
        <v>539</v>
      </c>
      <c r="E4760" s="15" t="n">
        <v>1</v>
      </c>
      <c r="H4760" s="10"/>
      <c r="I4760" s="21"/>
      <c r="M4760" s="10"/>
      <c r="N4760" s="10"/>
      <c r="P4760" s="10"/>
      <c r="Q4760" s="22"/>
    </row>
    <row r="4761" customFormat="false" ht="15.75" hidden="false" customHeight="false" outlineLevel="0" collapsed="false">
      <c r="A4761" s="20" t="n">
        <v>46147</v>
      </c>
      <c r="B4761" s="15" t="s">
        <v>451</v>
      </c>
      <c r="C4761" s="15" t="s">
        <v>45</v>
      </c>
      <c r="D4761" s="15" t="s">
        <v>540</v>
      </c>
      <c r="E4761" s="15" t="n">
        <v>1</v>
      </c>
      <c r="H4761" s="10"/>
      <c r="I4761" s="21"/>
      <c r="M4761" s="10"/>
      <c r="N4761" s="10"/>
      <c r="P4761" s="10"/>
      <c r="Q4761" s="22"/>
    </row>
    <row r="4762" customFormat="false" ht="15.75" hidden="false" customHeight="false" outlineLevel="0" collapsed="false">
      <c r="A4762" s="20" t="n">
        <v>46147</v>
      </c>
      <c r="B4762" s="15" t="s">
        <v>451</v>
      </c>
      <c r="C4762" s="15" t="s">
        <v>541</v>
      </c>
      <c r="D4762" s="15" t="s">
        <v>542</v>
      </c>
      <c r="E4762" s="15" t="n">
        <v>1</v>
      </c>
      <c r="H4762" s="10"/>
      <c r="I4762" s="21"/>
      <c r="M4762" s="10"/>
      <c r="N4762" s="10"/>
      <c r="P4762" s="10"/>
      <c r="Q4762" s="22"/>
    </row>
    <row r="4763" customFormat="false" ht="15.75" hidden="false" customHeight="false" outlineLevel="0" collapsed="false">
      <c r="A4763" s="20" t="n">
        <v>46147</v>
      </c>
      <c r="B4763" s="15" t="s">
        <v>451</v>
      </c>
      <c r="C4763" s="15" t="s">
        <v>543</v>
      </c>
      <c r="D4763" s="15" t="s">
        <v>544</v>
      </c>
      <c r="E4763" s="15" t="n">
        <v>3</v>
      </c>
      <c r="H4763" s="10"/>
      <c r="I4763" s="21"/>
      <c r="M4763" s="10"/>
      <c r="N4763" s="10"/>
      <c r="P4763" s="10"/>
      <c r="Q4763" s="22"/>
    </row>
    <row r="4764" customFormat="false" ht="15.75" hidden="false" customHeight="false" outlineLevel="0" collapsed="false">
      <c r="A4764" s="20" t="n">
        <v>46147</v>
      </c>
      <c r="B4764" s="15" t="s">
        <v>451</v>
      </c>
      <c r="C4764" s="15" t="s">
        <v>545</v>
      </c>
      <c r="D4764" s="15" t="s">
        <v>546</v>
      </c>
      <c r="E4764" s="15" t="n">
        <v>1</v>
      </c>
      <c r="H4764" s="10"/>
      <c r="I4764" s="21"/>
      <c r="M4764" s="10"/>
      <c r="N4764" s="10"/>
      <c r="P4764" s="10"/>
      <c r="Q4764" s="22"/>
    </row>
    <row r="4765" customFormat="false" ht="15.75" hidden="false" customHeight="false" outlineLevel="0" collapsed="false">
      <c r="A4765" s="20" t="n">
        <v>46147</v>
      </c>
      <c r="B4765" s="15" t="s">
        <v>451</v>
      </c>
      <c r="C4765" s="15" t="s">
        <v>547</v>
      </c>
      <c r="D4765" s="15" t="s">
        <v>548</v>
      </c>
      <c r="E4765" s="15" t="n">
        <v>2</v>
      </c>
      <c r="H4765" s="10"/>
      <c r="I4765" s="21"/>
      <c r="M4765" s="10"/>
      <c r="N4765" s="10"/>
      <c r="P4765" s="10"/>
      <c r="Q4765" s="22"/>
    </row>
    <row r="4766" customFormat="false" ht="15.75" hidden="false" customHeight="false" outlineLevel="0" collapsed="false">
      <c r="A4766" s="20" t="n">
        <v>46147</v>
      </c>
      <c r="B4766" s="15" t="s">
        <v>453</v>
      </c>
      <c r="C4766" s="15" t="s">
        <v>47</v>
      </c>
      <c r="D4766" s="15" t="s">
        <v>549</v>
      </c>
      <c r="E4766" s="15" t="n">
        <v>2</v>
      </c>
      <c r="H4766" s="10"/>
      <c r="I4766" s="21"/>
      <c r="M4766" s="10"/>
      <c r="N4766" s="10"/>
      <c r="P4766" s="10"/>
      <c r="Q4766" s="22"/>
    </row>
    <row r="4767" customFormat="false" ht="15.75" hidden="false" customHeight="false" outlineLevel="0" collapsed="false">
      <c r="A4767" s="20" t="n">
        <v>46147</v>
      </c>
      <c r="B4767" s="15" t="s">
        <v>453</v>
      </c>
      <c r="C4767" s="15" t="s">
        <v>55</v>
      </c>
      <c r="D4767" s="15" t="s">
        <v>539</v>
      </c>
      <c r="E4767" s="15" t="n">
        <v>4</v>
      </c>
      <c r="H4767" s="10"/>
      <c r="I4767" s="21"/>
      <c r="M4767" s="10"/>
      <c r="N4767" s="10"/>
      <c r="P4767" s="10"/>
      <c r="Q4767" s="22"/>
    </row>
    <row r="4768" customFormat="false" ht="15.75" hidden="false" customHeight="false" outlineLevel="0" collapsed="false">
      <c r="A4768" s="20" t="n">
        <v>46147</v>
      </c>
      <c r="B4768" s="15" t="s">
        <v>453</v>
      </c>
      <c r="C4768" s="15" t="s">
        <v>81</v>
      </c>
      <c r="D4768" s="15" t="s">
        <v>534</v>
      </c>
      <c r="E4768" s="15" t="n">
        <v>8</v>
      </c>
      <c r="H4768" s="10"/>
      <c r="I4768" s="21"/>
      <c r="M4768" s="10"/>
      <c r="N4768" s="10"/>
      <c r="P4768" s="10"/>
      <c r="Q4768" s="22"/>
    </row>
    <row r="4769" customFormat="false" ht="15.75" hidden="false" customHeight="false" outlineLevel="0" collapsed="false">
      <c r="A4769" s="20" t="n">
        <v>46147</v>
      </c>
      <c r="B4769" s="15" t="s">
        <v>453</v>
      </c>
      <c r="C4769" s="15" t="s">
        <v>39</v>
      </c>
      <c r="D4769" s="15" t="s">
        <v>550</v>
      </c>
      <c r="E4769" s="15" t="n">
        <v>2</v>
      </c>
      <c r="H4769" s="10"/>
      <c r="I4769" s="21"/>
      <c r="M4769" s="10"/>
      <c r="N4769" s="10"/>
      <c r="P4769" s="10"/>
      <c r="Q4769" s="22"/>
    </row>
    <row r="4770" customFormat="false" ht="15.75" hidden="false" customHeight="false" outlineLevel="0" collapsed="false">
      <c r="A4770" s="20" t="n">
        <v>46147</v>
      </c>
      <c r="B4770" s="15" t="s">
        <v>453</v>
      </c>
      <c r="C4770" s="15" t="s">
        <v>63</v>
      </c>
      <c r="D4770" s="15" t="s">
        <v>551</v>
      </c>
      <c r="E4770" s="15" t="n">
        <v>1</v>
      </c>
      <c r="H4770" s="10"/>
      <c r="I4770" s="21"/>
      <c r="M4770" s="10"/>
      <c r="N4770" s="10"/>
      <c r="P4770" s="10"/>
      <c r="Q4770" s="22"/>
    </row>
    <row r="4771" customFormat="false" ht="15.75" hidden="false" customHeight="false" outlineLevel="0" collapsed="false">
      <c r="A4771" s="20" t="n">
        <v>46147</v>
      </c>
      <c r="B4771" s="15" t="s">
        <v>453</v>
      </c>
      <c r="C4771" s="15" t="s">
        <v>35</v>
      </c>
      <c r="D4771" s="15" t="s">
        <v>552</v>
      </c>
      <c r="E4771" s="15" t="n">
        <v>2</v>
      </c>
      <c r="H4771" s="10"/>
      <c r="I4771" s="21"/>
      <c r="M4771" s="10"/>
      <c r="N4771" s="10"/>
      <c r="P4771" s="10"/>
      <c r="Q4771" s="22"/>
    </row>
    <row r="4772" customFormat="false" ht="15.75" hidden="false" customHeight="false" outlineLevel="0" collapsed="false">
      <c r="A4772" s="20" t="n">
        <v>46147</v>
      </c>
      <c r="B4772" s="15" t="s">
        <v>467</v>
      </c>
      <c r="C4772" s="15" t="s">
        <v>55</v>
      </c>
      <c r="D4772" s="15" t="s">
        <v>539</v>
      </c>
      <c r="E4772" s="15" t="n">
        <v>6</v>
      </c>
      <c r="H4772" s="10"/>
      <c r="I4772" s="21"/>
      <c r="M4772" s="10"/>
      <c r="N4772" s="10"/>
      <c r="P4772" s="10"/>
      <c r="Q4772" s="22"/>
    </row>
    <row r="4773" customFormat="false" ht="15.75" hidden="false" customHeight="false" outlineLevel="0" collapsed="false">
      <c r="A4773" s="20" t="n">
        <v>46147</v>
      </c>
      <c r="B4773" s="15" t="s">
        <v>467</v>
      </c>
      <c r="C4773" s="15" t="s">
        <v>57</v>
      </c>
      <c r="D4773" s="15" t="s">
        <v>553</v>
      </c>
      <c r="E4773" s="15" t="n">
        <v>2</v>
      </c>
      <c r="H4773" s="10"/>
      <c r="I4773" s="21"/>
      <c r="M4773" s="10"/>
      <c r="N4773" s="10"/>
      <c r="P4773" s="10"/>
      <c r="Q4773" s="22"/>
    </row>
    <row r="4774" customFormat="false" ht="15.75" hidden="false" customHeight="false" outlineLevel="0" collapsed="false">
      <c r="A4774" s="20" t="n">
        <v>46147</v>
      </c>
      <c r="B4774" s="15" t="s">
        <v>467</v>
      </c>
      <c r="C4774" s="15" t="s">
        <v>47</v>
      </c>
      <c r="D4774" s="15" t="s">
        <v>549</v>
      </c>
      <c r="E4774" s="15" t="n">
        <v>2</v>
      </c>
      <c r="H4774" s="10"/>
      <c r="I4774" s="21"/>
      <c r="M4774" s="10"/>
      <c r="N4774" s="10"/>
      <c r="P4774" s="10"/>
      <c r="Q4774" s="22"/>
    </row>
    <row r="4775" customFormat="false" ht="15.75" hidden="false" customHeight="false" outlineLevel="0" collapsed="false">
      <c r="A4775" s="20" t="n">
        <v>46147</v>
      </c>
      <c r="B4775" s="15" t="s">
        <v>467</v>
      </c>
      <c r="C4775" s="15" t="s">
        <v>81</v>
      </c>
      <c r="D4775" s="15" t="s">
        <v>534</v>
      </c>
      <c r="E4775" s="15" t="n">
        <v>7</v>
      </c>
      <c r="H4775" s="10"/>
      <c r="I4775" s="21"/>
      <c r="M4775" s="10"/>
      <c r="N4775" s="10"/>
      <c r="P4775" s="10"/>
      <c r="Q4775" s="22"/>
    </row>
    <row r="4776" customFormat="false" ht="15.75" hidden="false" customHeight="false" outlineLevel="0" collapsed="false">
      <c r="A4776" s="20" t="n">
        <v>46147</v>
      </c>
      <c r="B4776" s="15" t="s">
        <v>467</v>
      </c>
      <c r="C4776" s="15" t="s">
        <v>49</v>
      </c>
      <c r="D4776" s="15" t="s">
        <v>537</v>
      </c>
      <c r="E4776" s="15" t="n">
        <v>2</v>
      </c>
      <c r="H4776" s="10"/>
      <c r="I4776" s="21"/>
      <c r="M4776" s="10"/>
      <c r="N4776" s="10"/>
      <c r="P4776" s="10"/>
      <c r="Q4776" s="22"/>
    </row>
    <row r="4777" customFormat="false" ht="15.75" hidden="false" customHeight="false" outlineLevel="0" collapsed="false">
      <c r="A4777" s="20" t="n">
        <v>46147</v>
      </c>
      <c r="B4777" s="15" t="s">
        <v>467</v>
      </c>
      <c r="C4777" s="15" t="s">
        <v>63</v>
      </c>
      <c r="D4777" s="15" t="s">
        <v>551</v>
      </c>
      <c r="E4777" s="15" t="n">
        <v>1</v>
      </c>
      <c r="H4777" s="10"/>
      <c r="I4777" s="21"/>
      <c r="M4777" s="10"/>
      <c r="N4777" s="10"/>
      <c r="P4777" s="10"/>
      <c r="Q4777" s="22"/>
    </row>
    <row r="4778" customFormat="false" ht="15.75" hidden="false" customHeight="false" outlineLevel="0" collapsed="false">
      <c r="A4778" s="20" t="n">
        <v>46147</v>
      </c>
      <c r="B4778" s="15" t="s">
        <v>470</v>
      </c>
      <c r="C4778" s="15" t="s">
        <v>547</v>
      </c>
      <c r="D4778" s="15" t="s">
        <v>548</v>
      </c>
      <c r="E4778" s="15" t="n">
        <v>2</v>
      </c>
      <c r="H4778" s="10"/>
      <c r="I4778" s="21"/>
      <c r="M4778" s="10"/>
      <c r="N4778" s="10"/>
      <c r="P4778" s="10"/>
      <c r="Q4778" s="22"/>
    </row>
    <row r="4779" customFormat="false" ht="15.75" hidden="false" customHeight="false" outlineLevel="0" collapsed="false">
      <c r="A4779" s="20" t="n">
        <v>46147</v>
      </c>
      <c r="B4779" s="15" t="s">
        <v>470</v>
      </c>
      <c r="C4779" s="15" t="s">
        <v>69</v>
      </c>
      <c r="D4779" s="15" t="s">
        <v>535</v>
      </c>
      <c r="E4779" s="15" t="n">
        <v>2</v>
      </c>
      <c r="H4779" s="10"/>
      <c r="I4779" s="21"/>
      <c r="M4779" s="10"/>
      <c r="N4779" s="10"/>
      <c r="P4779" s="10"/>
      <c r="Q4779" s="22"/>
    </row>
    <row r="4780" customFormat="false" ht="15.75" hidden="false" customHeight="false" outlineLevel="0" collapsed="false">
      <c r="A4780" s="20" t="n">
        <v>46147</v>
      </c>
      <c r="B4780" s="15" t="s">
        <v>477</v>
      </c>
      <c r="C4780" s="15" t="s">
        <v>69</v>
      </c>
      <c r="D4780" s="15" t="s">
        <v>535</v>
      </c>
      <c r="E4780" s="15" t="n">
        <v>3</v>
      </c>
      <c r="H4780" s="10"/>
      <c r="I4780" s="21"/>
      <c r="M4780" s="10"/>
      <c r="N4780" s="10"/>
      <c r="P4780" s="10"/>
      <c r="Q4780" s="22"/>
    </row>
    <row r="4781" customFormat="false" ht="15.75" hidden="false" customHeight="false" outlineLevel="0" collapsed="false">
      <c r="A4781" s="20" t="n">
        <v>46147</v>
      </c>
      <c r="B4781" s="15" t="s">
        <v>477</v>
      </c>
      <c r="C4781" s="15" t="s">
        <v>547</v>
      </c>
      <c r="D4781" s="15" t="s">
        <v>548</v>
      </c>
      <c r="E4781" s="15" t="n">
        <v>3</v>
      </c>
      <c r="H4781" s="10"/>
      <c r="I4781" s="21"/>
      <c r="M4781" s="10"/>
      <c r="N4781" s="10"/>
      <c r="P4781" s="10"/>
      <c r="Q4781" s="22"/>
    </row>
    <row r="4782" customFormat="false" ht="15.75" hidden="false" customHeight="false" outlineLevel="0" collapsed="false">
      <c r="A4782" s="20" t="n">
        <v>46147</v>
      </c>
      <c r="B4782" s="15" t="s">
        <v>477</v>
      </c>
      <c r="C4782" s="15" t="s">
        <v>25</v>
      </c>
      <c r="D4782" s="15" t="s">
        <v>26</v>
      </c>
      <c r="E4782" s="15" t="n">
        <v>3</v>
      </c>
      <c r="H4782" s="10"/>
      <c r="I4782" s="21"/>
      <c r="M4782" s="10"/>
      <c r="N4782" s="10"/>
      <c r="P4782" s="10"/>
      <c r="Q4782" s="22"/>
    </row>
    <row r="4783" customFormat="false" ht="15.75" hidden="false" customHeight="false" outlineLevel="0" collapsed="false">
      <c r="A4783" s="20" t="n">
        <v>46147</v>
      </c>
      <c r="B4783" s="15" t="s">
        <v>491</v>
      </c>
      <c r="C4783" s="15" t="s">
        <v>37</v>
      </c>
      <c r="D4783" s="15" t="s">
        <v>561</v>
      </c>
      <c r="E4783" s="15" t="n">
        <v>1</v>
      </c>
      <c r="H4783" s="10"/>
      <c r="I4783" s="21"/>
      <c r="M4783" s="10"/>
      <c r="N4783" s="10"/>
      <c r="P4783" s="10"/>
      <c r="Q4783" s="22"/>
    </row>
    <row r="4784" customFormat="false" ht="15.75" hidden="false" customHeight="false" outlineLevel="0" collapsed="false">
      <c r="A4784" s="20" t="n">
        <v>46147</v>
      </c>
      <c r="B4784" s="15" t="s">
        <v>491</v>
      </c>
      <c r="C4784" s="15" t="s">
        <v>81</v>
      </c>
      <c r="D4784" s="15" t="s">
        <v>534</v>
      </c>
      <c r="E4784" s="15" t="n">
        <v>8</v>
      </c>
      <c r="H4784" s="10"/>
      <c r="I4784" s="21"/>
      <c r="M4784" s="10"/>
      <c r="N4784" s="10"/>
      <c r="P4784" s="10"/>
      <c r="Q4784" s="22"/>
    </row>
    <row r="4785" customFormat="false" ht="15.75" hidden="false" customHeight="false" outlineLevel="0" collapsed="false">
      <c r="A4785" s="20" t="n">
        <v>46147</v>
      </c>
      <c r="B4785" s="15" t="s">
        <v>491</v>
      </c>
      <c r="C4785" s="15" t="s">
        <v>75</v>
      </c>
      <c r="D4785" s="15" t="s">
        <v>560</v>
      </c>
      <c r="E4785" s="15" t="n">
        <v>1</v>
      </c>
      <c r="H4785" s="10"/>
      <c r="I4785" s="21"/>
      <c r="M4785" s="10"/>
      <c r="N4785" s="10"/>
      <c r="P4785" s="10"/>
      <c r="Q4785" s="22"/>
    </row>
    <row r="4786" customFormat="false" ht="15.75" hidden="false" customHeight="false" outlineLevel="0" collapsed="false">
      <c r="A4786" s="20" t="n">
        <v>46147</v>
      </c>
      <c r="B4786" s="15" t="s">
        <v>491</v>
      </c>
      <c r="C4786" s="15" t="s">
        <v>69</v>
      </c>
      <c r="D4786" s="15" t="s">
        <v>535</v>
      </c>
      <c r="E4786" s="15" t="n">
        <v>6</v>
      </c>
      <c r="H4786" s="10"/>
      <c r="I4786" s="21"/>
      <c r="M4786" s="10"/>
      <c r="N4786" s="10"/>
      <c r="P4786" s="10"/>
      <c r="Q4786" s="22"/>
    </row>
    <row r="4787" customFormat="false" ht="15.75" hidden="false" customHeight="false" outlineLevel="0" collapsed="false">
      <c r="A4787" s="20" t="n">
        <v>46147</v>
      </c>
      <c r="B4787" s="15" t="s">
        <v>491</v>
      </c>
      <c r="C4787" s="15" t="s">
        <v>547</v>
      </c>
      <c r="D4787" s="15" t="s">
        <v>548</v>
      </c>
      <c r="E4787" s="15" t="n">
        <v>1</v>
      </c>
      <c r="H4787" s="10"/>
      <c r="I4787" s="21"/>
      <c r="M4787" s="10"/>
      <c r="N4787" s="10"/>
      <c r="P4787" s="10"/>
      <c r="Q4787" s="22"/>
    </row>
    <row r="4788" customFormat="false" ht="15.75" hidden="false" customHeight="false" outlineLevel="0" collapsed="false">
      <c r="A4788" s="20" t="n">
        <v>46147</v>
      </c>
      <c r="B4788" s="15" t="s">
        <v>491</v>
      </c>
      <c r="C4788" s="15" t="s">
        <v>31</v>
      </c>
      <c r="D4788" s="15" t="s">
        <v>559</v>
      </c>
      <c r="E4788" s="15" t="n">
        <v>2</v>
      </c>
      <c r="H4788" s="10"/>
      <c r="I4788" s="21"/>
      <c r="M4788" s="10"/>
      <c r="N4788" s="10"/>
      <c r="P4788" s="10"/>
      <c r="Q4788" s="22"/>
    </row>
    <row r="4789" customFormat="false" ht="15.75" hidden="false" customHeight="false" outlineLevel="0" collapsed="false">
      <c r="A4789" s="20" t="n">
        <v>46147</v>
      </c>
      <c r="B4789" s="15" t="s">
        <v>491</v>
      </c>
      <c r="C4789" s="15" t="s">
        <v>545</v>
      </c>
      <c r="D4789" s="15" t="s">
        <v>546</v>
      </c>
      <c r="E4789" s="15" t="n">
        <v>2</v>
      </c>
      <c r="H4789" s="10"/>
      <c r="I4789" s="21"/>
      <c r="M4789" s="10"/>
      <c r="N4789" s="10"/>
      <c r="P4789" s="10"/>
      <c r="Q4789" s="22"/>
    </row>
    <row r="4790" customFormat="false" ht="15.75" hidden="false" customHeight="false" outlineLevel="0" collapsed="false">
      <c r="A4790" s="20" t="n">
        <v>46147</v>
      </c>
      <c r="B4790" s="15" t="s">
        <v>491</v>
      </c>
      <c r="C4790" s="15" t="s">
        <v>543</v>
      </c>
      <c r="D4790" s="15" t="s">
        <v>544</v>
      </c>
      <c r="E4790" s="15" t="n">
        <v>4</v>
      </c>
      <c r="H4790" s="10"/>
      <c r="I4790" s="21"/>
      <c r="M4790" s="10"/>
      <c r="N4790" s="10"/>
      <c r="P4790" s="10"/>
      <c r="Q4790" s="22"/>
    </row>
    <row r="4791" customFormat="false" ht="15.75" hidden="false" customHeight="false" outlineLevel="0" collapsed="false">
      <c r="A4791" s="20" t="n">
        <v>46147</v>
      </c>
      <c r="B4791" s="15" t="s">
        <v>491</v>
      </c>
      <c r="C4791" s="15" t="s">
        <v>541</v>
      </c>
      <c r="D4791" s="15" t="s">
        <v>542</v>
      </c>
      <c r="E4791" s="15" t="n">
        <v>2</v>
      </c>
      <c r="H4791" s="10"/>
      <c r="I4791" s="21"/>
      <c r="M4791" s="10"/>
      <c r="N4791" s="10"/>
      <c r="P4791" s="10"/>
      <c r="Q4791" s="22"/>
    </row>
    <row r="4792" customFormat="false" ht="15.75" hidden="false" customHeight="false" outlineLevel="0" collapsed="false">
      <c r="A4792" s="20" t="n">
        <v>46147</v>
      </c>
      <c r="B4792" s="15" t="s">
        <v>491</v>
      </c>
      <c r="C4792" s="15" t="s">
        <v>49</v>
      </c>
      <c r="D4792" s="15" t="s">
        <v>537</v>
      </c>
      <c r="E4792" s="15" t="n">
        <v>1</v>
      </c>
      <c r="H4792" s="10"/>
      <c r="I4792" s="21"/>
      <c r="M4792" s="10"/>
      <c r="N4792" s="10"/>
      <c r="P4792" s="10"/>
      <c r="Q4792" s="22"/>
    </row>
    <row r="4793" customFormat="false" ht="15.75" hidden="false" customHeight="false" outlineLevel="0" collapsed="false">
      <c r="A4793" s="20" t="n">
        <v>46147</v>
      </c>
      <c r="B4793" s="15" t="s">
        <v>491</v>
      </c>
      <c r="C4793" s="15" t="s">
        <v>33</v>
      </c>
      <c r="D4793" s="15" t="s">
        <v>536</v>
      </c>
      <c r="E4793" s="15" t="n">
        <v>5</v>
      </c>
      <c r="H4793" s="10"/>
      <c r="I4793" s="21"/>
      <c r="M4793" s="10"/>
      <c r="N4793" s="10"/>
      <c r="P4793" s="10"/>
      <c r="Q4793" s="22"/>
    </row>
    <row r="4794" customFormat="false" ht="15.75" hidden="false" customHeight="false" outlineLevel="0" collapsed="false">
      <c r="A4794" s="20" t="n">
        <v>46147</v>
      </c>
      <c r="B4794" s="15" t="s">
        <v>491</v>
      </c>
      <c r="C4794" s="15" t="s">
        <v>77</v>
      </c>
      <c r="D4794" s="15" t="s">
        <v>78</v>
      </c>
      <c r="E4794" s="15" t="n">
        <v>3</v>
      </c>
      <c r="H4794" s="10"/>
      <c r="I4794" s="21"/>
      <c r="M4794" s="10"/>
      <c r="N4794" s="10"/>
      <c r="P4794" s="10"/>
      <c r="Q4794" s="22"/>
    </row>
    <row r="4795" customFormat="false" ht="15.75" hidden="false" customHeight="false" outlineLevel="0" collapsed="false">
      <c r="A4795" s="20" t="n">
        <v>46147</v>
      </c>
      <c r="B4795" s="15" t="s">
        <v>491</v>
      </c>
      <c r="C4795" s="15" t="s">
        <v>47</v>
      </c>
      <c r="D4795" s="15" t="s">
        <v>549</v>
      </c>
      <c r="E4795" s="15" t="n">
        <v>1</v>
      </c>
      <c r="H4795" s="10"/>
      <c r="I4795" s="21"/>
      <c r="M4795" s="10"/>
      <c r="N4795" s="10"/>
      <c r="P4795" s="10"/>
      <c r="Q4795" s="22"/>
    </row>
    <row r="4796" customFormat="false" ht="15.75" hidden="false" customHeight="false" outlineLevel="0" collapsed="false">
      <c r="A4796" s="20" t="n">
        <v>46147</v>
      </c>
      <c r="B4796" s="15" t="s">
        <v>491</v>
      </c>
      <c r="C4796" s="15" t="s">
        <v>55</v>
      </c>
      <c r="D4796" s="15" t="s">
        <v>539</v>
      </c>
      <c r="E4796" s="15" t="n">
        <v>1</v>
      </c>
      <c r="H4796" s="10"/>
      <c r="I4796" s="21"/>
      <c r="M4796" s="10"/>
      <c r="N4796" s="10"/>
      <c r="P4796" s="10"/>
      <c r="Q4796" s="22"/>
    </row>
    <row r="4797" customFormat="false" ht="15.75" hidden="false" customHeight="false" outlineLevel="0" collapsed="false">
      <c r="A4797" s="20" t="n">
        <v>46147</v>
      </c>
      <c r="B4797" s="15" t="s">
        <v>491</v>
      </c>
      <c r="C4797" s="15" t="s">
        <v>59</v>
      </c>
      <c r="D4797" s="15" t="s">
        <v>562</v>
      </c>
      <c r="E4797" s="15" t="n">
        <v>1</v>
      </c>
      <c r="H4797" s="10"/>
      <c r="I4797" s="21"/>
      <c r="M4797" s="10"/>
      <c r="N4797" s="10"/>
      <c r="P4797" s="10"/>
      <c r="Q4797" s="22"/>
    </row>
    <row r="4798" customFormat="false" ht="15.75" hidden="false" customHeight="false" outlineLevel="0" collapsed="false">
      <c r="A4798" s="20" t="n">
        <v>46147</v>
      </c>
      <c r="B4798" s="15" t="s">
        <v>491</v>
      </c>
      <c r="C4798" s="15" t="s">
        <v>43</v>
      </c>
      <c r="D4798" s="15" t="s">
        <v>538</v>
      </c>
      <c r="E4798" s="15" t="n">
        <v>1</v>
      </c>
      <c r="H4798" s="10"/>
      <c r="I4798" s="21"/>
      <c r="M4798" s="10"/>
      <c r="N4798" s="10"/>
      <c r="P4798" s="10"/>
      <c r="Q4798" s="22"/>
    </row>
    <row r="4799" customFormat="false" ht="15.75" hidden="false" customHeight="false" outlineLevel="0" collapsed="false">
      <c r="A4799" s="20" t="n">
        <v>46147</v>
      </c>
      <c r="B4799" s="15" t="s">
        <v>491</v>
      </c>
      <c r="C4799" s="15" t="s">
        <v>87</v>
      </c>
      <c r="D4799" s="15" t="s">
        <v>563</v>
      </c>
      <c r="E4799" s="15" t="n">
        <v>1</v>
      </c>
      <c r="H4799" s="10"/>
      <c r="I4799" s="21"/>
      <c r="M4799" s="10"/>
      <c r="N4799" s="10"/>
      <c r="P4799" s="10"/>
      <c r="Q4799" s="22"/>
    </row>
    <row r="4800" customFormat="false" ht="15.75" hidden="false" customHeight="false" outlineLevel="0" collapsed="false">
      <c r="A4800" s="20" t="n">
        <v>46147</v>
      </c>
      <c r="B4800" s="15" t="s">
        <v>491</v>
      </c>
      <c r="C4800" s="15" t="s">
        <v>79</v>
      </c>
      <c r="D4800" s="15" t="s">
        <v>564</v>
      </c>
      <c r="E4800" s="15" t="n">
        <v>1</v>
      </c>
      <c r="H4800" s="10"/>
      <c r="I4800" s="21"/>
      <c r="M4800" s="10"/>
      <c r="N4800" s="10"/>
      <c r="P4800" s="10"/>
      <c r="Q4800" s="22"/>
    </row>
    <row r="4801" customFormat="false" ht="15.75" hidden="false" customHeight="false" outlineLevel="0" collapsed="false">
      <c r="A4801" s="20" t="n">
        <v>46147</v>
      </c>
      <c r="B4801" s="15" t="s">
        <v>205</v>
      </c>
      <c r="C4801" s="15" t="s">
        <v>55</v>
      </c>
      <c r="D4801" s="15" t="s">
        <v>539</v>
      </c>
      <c r="E4801" s="15" t="n">
        <v>3</v>
      </c>
      <c r="H4801" s="10"/>
      <c r="I4801" s="21"/>
      <c r="M4801" s="10"/>
      <c r="N4801" s="10"/>
      <c r="P4801" s="10"/>
      <c r="Q4801" s="22"/>
    </row>
    <row r="4802" customFormat="false" ht="15.75" hidden="false" customHeight="false" outlineLevel="0" collapsed="false">
      <c r="A4802" s="20" t="n">
        <v>46147</v>
      </c>
      <c r="B4802" s="15" t="s">
        <v>205</v>
      </c>
      <c r="C4802" s="15" t="s">
        <v>81</v>
      </c>
      <c r="D4802" s="15" t="s">
        <v>534</v>
      </c>
      <c r="E4802" s="15" t="n">
        <v>1</v>
      </c>
      <c r="H4802" s="10"/>
      <c r="I4802" s="21"/>
      <c r="M4802" s="10"/>
      <c r="N4802" s="10"/>
      <c r="P4802" s="10"/>
      <c r="Q4802" s="22"/>
    </row>
    <row r="4803" customFormat="false" ht="15.75" hidden="false" customHeight="false" outlineLevel="0" collapsed="false">
      <c r="A4803" s="20" t="n">
        <v>46147</v>
      </c>
      <c r="B4803" s="15" t="s">
        <v>205</v>
      </c>
      <c r="C4803" s="15" t="s">
        <v>69</v>
      </c>
      <c r="D4803" s="15" t="s">
        <v>535</v>
      </c>
      <c r="E4803" s="15" t="n">
        <v>6</v>
      </c>
      <c r="H4803" s="10"/>
      <c r="I4803" s="21"/>
      <c r="M4803" s="10"/>
      <c r="N4803" s="10"/>
      <c r="P4803" s="10"/>
      <c r="Q4803" s="22"/>
    </row>
    <row r="4804" customFormat="false" ht="15.75" hidden="false" customHeight="false" outlineLevel="0" collapsed="false">
      <c r="A4804" s="20" t="n">
        <v>46147</v>
      </c>
      <c r="B4804" s="15" t="s">
        <v>205</v>
      </c>
      <c r="C4804" s="15" t="s">
        <v>33</v>
      </c>
      <c r="D4804" s="15" t="s">
        <v>536</v>
      </c>
      <c r="E4804" s="15" t="n">
        <v>6</v>
      </c>
      <c r="H4804" s="10"/>
      <c r="I4804" s="21"/>
      <c r="M4804" s="10"/>
      <c r="N4804" s="10"/>
      <c r="P4804" s="10"/>
      <c r="Q4804" s="22"/>
    </row>
    <row r="4805" customFormat="false" ht="15.75" hidden="false" customHeight="false" outlineLevel="0" collapsed="false">
      <c r="A4805" s="20" t="n">
        <v>46147</v>
      </c>
      <c r="B4805" s="15" t="s">
        <v>499</v>
      </c>
      <c r="C4805" s="15" t="s">
        <v>543</v>
      </c>
      <c r="D4805" s="15" t="s">
        <v>544</v>
      </c>
      <c r="E4805" s="15" t="n">
        <v>1</v>
      </c>
      <c r="H4805" s="10"/>
      <c r="I4805" s="21"/>
      <c r="M4805" s="10"/>
      <c r="N4805" s="10"/>
      <c r="P4805" s="10"/>
      <c r="Q4805" s="22"/>
    </row>
    <row r="4806" customFormat="false" ht="15.75" hidden="false" customHeight="false" outlineLevel="0" collapsed="false">
      <c r="A4806" s="20" t="n">
        <v>46147</v>
      </c>
      <c r="B4806" s="15" t="s">
        <v>499</v>
      </c>
      <c r="C4806" s="15" t="s">
        <v>69</v>
      </c>
      <c r="D4806" s="15" t="s">
        <v>535</v>
      </c>
      <c r="E4806" s="15" t="n">
        <v>1</v>
      </c>
      <c r="H4806" s="10"/>
      <c r="I4806" s="21"/>
      <c r="M4806" s="10"/>
      <c r="N4806" s="10"/>
      <c r="P4806" s="10"/>
      <c r="Q4806" s="22"/>
    </row>
    <row r="4807" customFormat="false" ht="15.75" hidden="false" customHeight="false" outlineLevel="0" collapsed="false">
      <c r="A4807" s="20" t="n">
        <v>46147</v>
      </c>
      <c r="B4807" s="15" t="s">
        <v>499</v>
      </c>
      <c r="C4807" s="15" t="s">
        <v>33</v>
      </c>
      <c r="D4807" s="15" t="s">
        <v>536</v>
      </c>
      <c r="E4807" s="15" t="n">
        <v>2</v>
      </c>
      <c r="H4807" s="10"/>
      <c r="I4807" s="21"/>
      <c r="M4807" s="10"/>
      <c r="N4807" s="10"/>
      <c r="P4807" s="10"/>
      <c r="Q4807" s="22"/>
    </row>
    <row r="4808" customFormat="false" ht="15.75" hidden="false" customHeight="false" outlineLevel="0" collapsed="false">
      <c r="A4808" s="20" t="n">
        <v>46147</v>
      </c>
      <c r="B4808" s="15" t="s">
        <v>499</v>
      </c>
      <c r="C4808" s="15" t="s">
        <v>55</v>
      </c>
      <c r="D4808" s="15" t="s">
        <v>539</v>
      </c>
      <c r="E4808" s="15" t="n">
        <v>1</v>
      </c>
      <c r="H4808" s="10"/>
      <c r="I4808" s="21"/>
      <c r="M4808" s="10"/>
      <c r="N4808" s="10"/>
      <c r="P4808" s="10"/>
      <c r="Q4808" s="22"/>
    </row>
    <row r="4809" customFormat="false" ht="15.75" hidden="false" customHeight="false" outlineLevel="0" collapsed="false">
      <c r="A4809" s="20" t="n">
        <v>46147</v>
      </c>
      <c r="B4809" s="15" t="s">
        <v>499</v>
      </c>
      <c r="C4809" s="15" t="s">
        <v>59</v>
      </c>
      <c r="D4809" s="15" t="s">
        <v>562</v>
      </c>
      <c r="E4809" s="15" t="n">
        <v>1</v>
      </c>
      <c r="H4809" s="10"/>
      <c r="I4809" s="21"/>
      <c r="M4809" s="10"/>
      <c r="N4809" s="10"/>
      <c r="P4809" s="10"/>
      <c r="Q4809" s="22"/>
    </row>
    <row r="4810" customFormat="false" ht="15.75" hidden="false" customHeight="false" outlineLevel="0" collapsed="false">
      <c r="A4810" s="20" t="n">
        <v>46147</v>
      </c>
      <c r="B4810" s="15" t="s">
        <v>499</v>
      </c>
      <c r="C4810" s="15" t="s">
        <v>47</v>
      </c>
      <c r="D4810" s="15" t="s">
        <v>549</v>
      </c>
      <c r="E4810" s="15" t="n">
        <v>1</v>
      </c>
      <c r="H4810" s="10"/>
      <c r="I4810" s="21"/>
      <c r="M4810" s="10"/>
      <c r="N4810" s="10"/>
      <c r="P4810" s="10"/>
      <c r="Q4810" s="22"/>
    </row>
    <row r="4811" customFormat="false" ht="15.75" hidden="false" customHeight="false" outlineLevel="0" collapsed="false">
      <c r="A4811" s="20" t="n">
        <v>46147</v>
      </c>
      <c r="B4811" s="15" t="s">
        <v>499</v>
      </c>
      <c r="C4811" s="15" t="s">
        <v>75</v>
      </c>
      <c r="D4811" s="15" t="s">
        <v>560</v>
      </c>
      <c r="E4811" s="15" t="n">
        <v>1</v>
      </c>
      <c r="H4811" s="10"/>
      <c r="I4811" s="21"/>
      <c r="M4811" s="10"/>
      <c r="N4811" s="10"/>
      <c r="P4811" s="10"/>
      <c r="Q4811" s="22"/>
    </row>
    <row r="4812" customFormat="false" ht="15.75" hidden="false" customHeight="false" outlineLevel="0" collapsed="false">
      <c r="A4812" s="20" t="n">
        <v>46147</v>
      </c>
      <c r="B4812" s="15" t="s">
        <v>499</v>
      </c>
      <c r="C4812" s="15" t="s">
        <v>81</v>
      </c>
      <c r="D4812" s="15" t="s">
        <v>534</v>
      </c>
      <c r="E4812" s="15" t="n">
        <v>7</v>
      </c>
      <c r="H4812" s="10"/>
      <c r="I4812" s="21"/>
      <c r="M4812" s="10"/>
      <c r="N4812" s="10"/>
      <c r="P4812" s="10"/>
      <c r="Q4812" s="22"/>
    </row>
    <row r="4813" customFormat="false" ht="15.75" hidden="false" customHeight="false" outlineLevel="0" collapsed="false">
      <c r="A4813" s="20" t="n">
        <v>46147</v>
      </c>
      <c r="B4813" s="15" t="s">
        <v>499</v>
      </c>
      <c r="C4813" s="15" t="s">
        <v>77</v>
      </c>
      <c r="D4813" s="15" t="s">
        <v>78</v>
      </c>
      <c r="E4813" s="15" t="n">
        <v>2</v>
      </c>
      <c r="H4813" s="10"/>
      <c r="I4813" s="21"/>
      <c r="M4813" s="10"/>
      <c r="N4813" s="10"/>
      <c r="P4813" s="10"/>
      <c r="Q4813" s="22"/>
    </row>
    <row r="4814" customFormat="false" ht="15.75" hidden="false" customHeight="false" outlineLevel="0" collapsed="false">
      <c r="A4814" s="20" t="n">
        <v>46147</v>
      </c>
      <c r="B4814" s="15" t="s">
        <v>504</v>
      </c>
      <c r="C4814" s="15" t="s">
        <v>47</v>
      </c>
      <c r="D4814" s="15" t="s">
        <v>549</v>
      </c>
      <c r="E4814" s="15" t="n">
        <v>6</v>
      </c>
      <c r="H4814" s="10"/>
      <c r="I4814" s="21"/>
      <c r="M4814" s="10"/>
      <c r="N4814" s="10"/>
      <c r="P4814" s="10"/>
      <c r="Q4814" s="22"/>
    </row>
    <row r="4815" customFormat="false" ht="15.75" hidden="false" customHeight="false" outlineLevel="0" collapsed="false">
      <c r="A4815" s="20" t="n">
        <v>46147</v>
      </c>
      <c r="B4815" s="15" t="s">
        <v>504</v>
      </c>
      <c r="C4815" s="15" t="s">
        <v>55</v>
      </c>
      <c r="D4815" s="15" t="s">
        <v>539</v>
      </c>
      <c r="E4815" s="15" t="n">
        <v>12</v>
      </c>
      <c r="H4815" s="10"/>
      <c r="I4815" s="21"/>
      <c r="M4815" s="10"/>
      <c r="N4815" s="10"/>
      <c r="P4815" s="10"/>
      <c r="Q4815" s="22"/>
    </row>
    <row r="4816" customFormat="false" ht="15.75" hidden="false" customHeight="false" outlineLevel="0" collapsed="false">
      <c r="A4816" s="20" t="n">
        <v>46147</v>
      </c>
      <c r="B4816" s="15" t="s">
        <v>504</v>
      </c>
      <c r="C4816" s="15" t="s">
        <v>81</v>
      </c>
      <c r="D4816" s="15" t="s">
        <v>534</v>
      </c>
      <c r="E4816" s="15" t="n">
        <v>18</v>
      </c>
      <c r="H4816" s="10"/>
      <c r="I4816" s="21"/>
      <c r="M4816" s="10"/>
      <c r="N4816" s="10"/>
      <c r="P4816" s="10"/>
      <c r="Q4816" s="22"/>
    </row>
    <row r="4817" customFormat="false" ht="15.75" hidden="false" customHeight="false" outlineLevel="0" collapsed="false">
      <c r="A4817" s="20" t="n">
        <v>46147</v>
      </c>
      <c r="B4817" s="15" t="s">
        <v>504</v>
      </c>
      <c r="C4817" s="15" t="s">
        <v>39</v>
      </c>
      <c r="D4817" s="15" t="s">
        <v>550</v>
      </c>
      <c r="E4817" s="15" t="n">
        <v>2</v>
      </c>
      <c r="H4817" s="10"/>
      <c r="I4817" s="21"/>
      <c r="M4817" s="10"/>
      <c r="N4817" s="10"/>
      <c r="P4817" s="10"/>
      <c r="Q4817" s="22"/>
    </row>
    <row r="4818" customFormat="false" ht="15.75" hidden="false" customHeight="false" outlineLevel="0" collapsed="false">
      <c r="A4818" s="20" t="n">
        <v>46147</v>
      </c>
      <c r="B4818" s="15" t="s">
        <v>504</v>
      </c>
      <c r="C4818" s="15" t="s">
        <v>63</v>
      </c>
      <c r="D4818" s="15" t="s">
        <v>551</v>
      </c>
      <c r="E4818" s="15" t="n">
        <v>2</v>
      </c>
      <c r="H4818" s="10"/>
      <c r="I4818" s="21"/>
      <c r="M4818" s="10"/>
      <c r="N4818" s="10"/>
      <c r="P4818" s="10"/>
      <c r="Q4818" s="22"/>
    </row>
    <row r="4819" customFormat="false" ht="15.75" hidden="false" customHeight="false" outlineLevel="0" collapsed="false">
      <c r="A4819" s="20" t="n">
        <v>46147</v>
      </c>
      <c r="B4819" s="15" t="s">
        <v>504</v>
      </c>
      <c r="C4819" s="15" t="s">
        <v>17</v>
      </c>
      <c r="D4819" s="15" t="s">
        <v>554</v>
      </c>
      <c r="E4819" s="15" t="n">
        <v>2</v>
      </c>
      <c r="H4819" s="10"/>
      <c r="I4819" s="21"/>
      <c r="M4819" s="10"/>
      <c r="N4819" s="10"/>
      <c r="P4819" s="10"/>
      <c r="Q4819" s="22"/>
    </row>
    <row r="4820" customFormat="false" ht="15.75" hidden="false" customHeight="false" outlineLevel="0" collapsed="false">
      <c r="A4820" s="20" t="n">
        <v>46147</v>
      </c>
      <c r="B4820" s="15" t="s">
        <v>505</v>
      </c>
      <c r="C4820" s="15" t="s">
        <v>55</v>
      </c>
      <c r="D4820" s="15" t="s">
        <v>539</v>
      </c>
      <c r="E4820" s="15" t="n">
        <v>6</v>
      </c>
      <c r="H4820" s="10"/>
      <c r="I4820" s="21"/>
      <c r="M4820" s="10"/>
      <c r="N4820" s="10"/>
      <c r="P4820" s="10"/>
      <c r="Q4820" s="22"/>
    </row>
    <row r="4821" customFormat="false" ht="15.75" hidden="false" customHeight="false" outlineLevel="0" collapsed="false">
      <c r="A4821" s="20" t="n">
        <v>46147</v>
      </c>
      <c r="B4821" s="15" t="s">
        <v>505</v>
      </c>
      <c r="C4821" s="15" t="s">
        <v>39</v>
      </c>
      <c r="D4821" s="15" t="s">
        <v>550</v>
      </c>
      <c r="E4821" s="15" t="n">
        <v>1</v>
      </c>
      <c r="H4821" s="10"/>
      <c r="I4821" s="21"/>
      <c r="M4821" s="10"/>
      <c r="N4821" s="10"/>
      <c r="P4821" s="10"/>
      <c r="Q4821" s="22"/>
    </row>
    <row r="4822" customFormat="false" ht="15.75" hidden="false" customHeight="false" outlineLevel="0" collapsed="false">
      <c r="A4822" s="20" t="n">
        <v>46147</v>
      </c>
      <c r="B4822" s="15" t="s">
        <v>505</v>
      </c>
      <c r="C4822" s="15" t="s">
        <v>81</v>
      </c>
      <c r="D4822" s="15" t="s">
        <v>534</v>
      </c>
      <c r="E4822" s="15" t="n">
        <v>9</v>
      </c>
      <c r="H4822" s="10"/>
      <c r="I4822" s="21"/>
      <c r="M4822" s="10"/>
      <c r="N4822" s="10"/>
      <c r="P4822" s="10"/>
      <c r="Q4822" s="22"/>
    </row>
    <row r="4823" customFormat="false" ht="15.75" hidden="false" customHeight="false" outlineLevel="0" collapsed="false">
      <c r="A4823" s="20" t="n">
        <v>46147</v>
      </c>
      <c r="B4823" s="15" t="s">
        <v>505</v>
      </c>
      <c r="C4823" s="15" t="s">
        <v>47</v>
      </c>
      <c r="D4823" s="15" t="s">
        <v>549</v>
      </c>
      <c r="E4823" s="15" t="n">
        <v>3</v>
      </c>
      <c r="H4823" s="10"/>
      <c r="I4823" s="21"/>
      <c r="M4823" s="10"/>
      <c r="N4823" s="10"/>
      <c r="P4823" s="10"/>
      <c r="Q4823" s="22"/>
    </row>
    <row r="4824" customFormat="false" ht="15.75" hidden="false" customHeight="false" outlineLevel="0" collapsed="false">
      <c r="A4824" s="20" t="n">
        <v>46147</v>
      </c>
      <c r="B4824" s="15" t="s">
        <v>505</v>
      </c>
      <c r="C4824" s="15" t="s">
        <v>63</v>
      </c>
      <c r="D4824" s="15" t="s">
        <v>551</v>
      </c>
      <c r="E4824" s="15" t="n">
        <v>1</v>
      </c>
      <c r="H4824" s="10"/>
      <c r="I4824" s="21"/>
      <c r="M4824" s="10"/>
      <c r="N4824" s="10"/>
      <c r="P4824" s="10"/>
      <c r="Q4824" s="22"/>
    </row>
    <row r="4825" customFormat="false" ht="15.75" hidden="false" customHeight="false" outlineLevel="0" collapsed="false">
      <c r="A4825" s="20" t="n">
        <v>46147</v>
      </c>
      <c r="B4825" s="15" t="s">
        <v>505</v>
      </c>
      <c r="C4825" s="15" t="s">
        <v>17</v>
      </c>
      <c r="D4825" s="15" t="s">
        <v>554</v>
      </c>
      <c r="E4825" s="15" t="n">
        <v>1</v>
      </c>
      <c r="H4825" s="10"/>
      <c r="I4825" s="21"/>
      <c r="M4825" s="10"/>
      <c r="N4825" s="10"/>
      <c r="P4825" s="10"/>
      <c r="Q4825" s="22"/>
    </row>
    <row r="4826" customFormat="false" ht="15.75" hidden="false" customHeight="false" outlineLevel="0" collapsed="false">
      <c r="A4826" s="20" t="n">
        <v>46147</v>
      </c>
      <c r="B4826" s="15" t="s">
        <v>508</v>
      </c>
      <c r="C4826" s="15" t="s">
        <v>55</v>
      </c>
      <c r="D4826" s="15" t="s">
        <v>539</v>
      </c>
      <c r="E4826" s="15" t="n">
        <v>5</v>
      </c>
      <c r="H4826" s="10"/>
      <c r="I4826" s="21"/>
      <c r="M4826" s="10"/>
      <c r="N4826" s="10"/>
      <c r="P4826" s="10"/>
      <c r="Q4826" s="22"/>
    </row>
    <row r="4827" customFormat="false" ht="15.75" hidden="false" customHeight="false" outlineLevel="0" collapsed="false">
      <c r="A4827" s="20" t="n">
        <v>46147</v>
      </c>
      <c r="B4827" s="15" t="s">
        <v>508</v>
      </c>
      <c r="C4827" s="15" t="s">
        <v>81</v>
      </c>
      <c r="D4827" s="15" t="s">
        <v>534</v>
      </c>
      <c r="E4827" s="15" t="n">
        <v>9</v>
      </c>
      <c r="H4827" s="10"/>
      <c r="I4827" s="21"/>
      <c r="M4827" s="10"/>
      <c r="N4827" s="10"/>
      <c r="P4827" s="10"/>
      <c r="Q4827" s="22"/>
    </row>
    <row r="4828" customFormat="false" ht="15.75" hidden="false" customHeight="false" outlineLevel="0" collapsed="false">
      <c r="A4828" s="20" t="n">
        <v>46147</v>
      </c>
      <c r="B4828" s="15" t="s">
        <v>508</v>
      </c>
      <c r="C4828" s="15" t="s">
        <v>39</v>
      </c>
      <c r="D4828" s="15" t="s">
        <v>550</v>
      </c>
      <c r="E4828" s="15" t="n">
        <v>2</v>
      </c>
      <c r="H4828" s="10"/>
      <c r="I4828" s="21"/>
      <c r="M4828" s="10"/>
      <c r="N4828" s="10"/>
      <c r="P4828" s="10"/>
      <c r="Q4828" s="22"/>
    </row>
    <row r="4829" customFormat="false" ht="15.75" hidden="false" customHeight="false" outlineLevel="0" collapsed="false">
      <c r="A4829" s="20" t="n">
        <v>46147</v>
      </c>
      <c r="B4829" s="15" t="s">
        <v>508</v>
      </c>
      <c r="C4829" s="15" t="s">
        <v>47</v>
      </c>
      <c r="D4829" s="15" t="s">
        <v>549</v>
      </c>
      <c r="E4829" s="15" t="n">
        <v>2</v>
      </c>
      <c r="H4829" s="10"/>
      <c r="I4829" s="21"/>
      <c r="M4829" s="10"/>
      <c r="N4829" s="10"/>
      <c r="P4829" s="10"/>
      <c r="Q4829" s="22"/>
    </row>
    <row r="4830" customFormat="false" ht="15.75" hidden="false" customHeight="false" outlineLevel="0" collapsed="false">
      <c r="A4830" s="20" t="n">
        <v>46147</v>
      </c>
      <c r="B4830" s="15" t="s">
        <v>508</v>
      </c>
      <c r="C4830" s="15" t="s">
        <v>63</v>
      </c>
      <c r="D4830" s="15" t="s">
        <v>551</v>
      </c>
      <c r="E4830" s="15" t="n">
        <v>1</v>
      </c>
      <c r="H4830" s="10"/>
      <c r="I4830" s="21"/>
      <c r="M4830" s="10"/>
      <c r="N4830" s="10"/>
      <c r="P4830" s="10"/>
      <c r="Q4830" s="22"/>
    </row>
    <row r="4831" customFormat="false" ht="15.75" hidden="false" customHeight="false" outlineLevel="0" collapsed="false">
      <c r="A4831" s="20" t="n">
        <v>46147</v>
      </c>
      <c r="B4831" s="15" t="s">
        <v>514</v>
      </c>
      <c r="C4831" s="15" t="s">
        <v>55</v>
      </c>
      <c r="D4831" s="15" t="s">
        <v>539</v>
      </c>
      <c r="E4831" s="15" t="n">
        <v>5</v>
      </c>
      <c r="H4831" s="10"/>
      <c r="I4831" s="21"/>
      <c r="M4831" s="10"/>
      <c r="N4831" s="10"/>
      <c r="P4831" s="10"/>
      <c r="Q4831" s="22"/>
    </row>
    <row r="4832" customFormat="false" ht="15.75" hidden="false" customHeight="false" outlineLevel="0" collapsed="false">
      <c r="A4832" s="20" t="n">
        <v>46147</v>
      </c>
      <c r="B4832" s="15" t="s">
        <v>514</v>
      </c>
      <c r="C4832" s="15" t="s">
        <v>57</v>
      </c>
      <c r="D4832" s="15" t="s">
        <v>553</v>
      </c>
      <c r="E4832" s="15" t="n">
        <v>1</v>
      </c>
      <c r="H4832" s="10"/>
      <c r="I4832" s="21"/>
      <c r="M4832" s="10"/>
      <c r="N4832" s="10"/>
      <c r="P4832" s="10"/>
      <c r="Q4832" s="22"/>
    </row>
    <row r="4833" customFormat="false" ht="15.75" hidden="false" customHeight="false" outlineLevel="0" collapsed="false">
      <c r="A4833" s="20" t="n">
        <v>46147</v>
      </c>
      <c r="B4833" s="15" t="s">
        <v>514</v>
      </c>
      <c r="C4833" s="15" t="s">
        <v>49</v>
      </c>
      <c r="D4833" s="15" t="s">
        <v>537</v>
      </c>
      <c r="E4833" s="15" t="n">
        <v>1</v>
      </c>
      <c r="H4833" s="10"/>
      <c r="I4833" s="21"/>
      <c r="M4833" s="10"/>
      <c r="N4833" s="10"/>
      <c r="P4833" s="10"/>
      <c r="Q4833" s="22"/>
    </row>
    <row r="4834" customFormat="false" ht="15.75" hidden="false" customHeight="false" outlineLevel="0" collapsed="false">
      <c r="A4834" s="20" t="n">
        <v>46147</v>
      </c>
      <c r="B4834" s="15" t="s">
        <v>514</v>
      </c>
      <c r="C4834" s="15" t="s">
        <v>47</v>
      </c>
      <c r="D4834" s="15" t="s">
        <v>549</v>
      </c>
      <c r="E4834" s="15" t="n">
        <v>4</v>
      </c>
      <c r="H4834" s="10"/>
      <c r="I4834" s="21"/>
      <c r="M4834" s="10"/>
      <c r="N4834" s="10"/>
      <c r="P4834" s="10"/>
      <c r="Q4834" s="22"/>
    </row>
    <row r="4835" customFormat="false" ht="15.75" hidden="false" customHeight="false" outlineLevel="0" collapsed="false">
      <c r="A4835" s="20" t="n">
        <v>46147</v>
      </c>
      <c r="B4835" s="15" t="s">
        <v>514</v>
      </c>
      <c r="C4835" s="15" t="s">
        <v>81</v>
      </c>
      <c r="D4835" s="15" t="s">
        <v>534</v>
      </c>
      <c r="E4835" s="15" t="n">
        <v>7</v>
      </c>
      <c r="H4835" s="10"/>
      <c r="I4835" s="21"/>
      <c r="M4835" s="10"/>
      <c r="N4835" s="10"/>
      <c r="P4835" s="10"/>
      <c r="Q4835" s="22"/>
    </row>
    <row r="4836" customFormat="false" ht="15.75" hidden="false" customHeight="false" outlineLevel="0" collapsed="false">
      <c r="A4836" s="20" t="n">
        <v>46147</v>
      </c>
      <c r="B4836" s="15" t="s">
        <v>514</v>
      </c>
      <c r="C4836" s="15" t="s">
        <v>63</v>
      </c>
      <c r="D4836" s="15" t="s">
        <v>551</v>
      </c>
      <c r="E4836" s="15" t="n">
        <v>1</v>
      </c>
      <c r="H4836" s="10"/>
      <c r="I4836" s="21"/>
      <c r="M4836" s="10"/>
      <c r="N4836" s="10"/>
      <c r="P4836" s="10"/>
      <c r="Q4836" s="22"/>
    </row>
    <row r="4837" customFormat="false" ht="15.75" hidden="false" customHeight="false" outlineLevel="0" collapsed="false">
      <c r="A4837" s="20" t="n">
        <v>46147</v>
      </c>
      <c r="B4837" s="15" t="s">
        <v>514</v>
      </c>
      <c r="C4837" s="15" t="s">
        <v>17</v>
      </c>
      <c r="D4837" s="15" t="s">
        <v>554</v>
      </c>
      <c r="E4837" s="15" t="n">
        <v>1</v>
      </c>
      <c r="H4837" s="10"/>
      <c r="I4837" s="21"/>
      <c r="M4837" s="10"/>
      <c r="N4837" s="10"/>
      <c r="P4837" s="10"/>
      <c r="Q4837" s="22"/>
    </row>
    <row r="4838" customFormat="false" ht="15.75" hidden="false" customHeight="false" outlineLevel="0" collapsed="false">
      <c r="A4838" s="20" t="n">
        <v>46147</v>
      </c>
      <c r="B4838" s="15" t="s">
        <v>518</v>
      </c>
      <c r="C4838" s="15" t="s">
        <v>69</v>
      </c>
      <c r="D4838" s="15" t="s">
        <v>535</v>
      </c>
      <c r="E4838" s="15" t="n">
        <v>6</v>
      </c>
      <c r="H4838" s="10"/>
      <c r="I4838" s="21"/>
      <c r="M4838" s="10"/>
      <c r="N4838" s="10"/>
      <c r="P4838" s="10"/>
      <c r="Q4838" s="22"/>
    </row>
    <row r="4839" customFormat="false" ht="15.75" hidden="false" customHeight="false" outlineLevel="0" collapsed="false">
      <c r="A4839" s="20" t="n">
        <v>46147</v>
      </c>
      <c r="B4839" s="15" t="s">
        <v>518</v>
      </c>
      <c r="C4839" s="15" t="s">
        <v>33</v>
      </c>
      <c r="D4839" s="15" t="s">
        <v>536</v>
      </c>
      <c r="E4839" s="15" t="n">
        <v>6</v>
      </c>
      <c r="H4839" s="10"/>
      <c r="I4839" s="21"/>
      <c r="M4839" s="10"/>
      <c r="N4839" s="10"/>
      <c r="P4839" s="10"/>
      <c r="Q4839" s="22"/>
    </row>
    <row r="4840" customFormat="false" ht="15.75" hidden="false" customHeight="false" outlineLevel="0" collapsed="false">
      <c r="A4840" s="20" t="n">
        <v>46147</v>
      </c>
      <c r="B4840" s="15" t="s">
        <v>518</v>
      </c>
      <c r="C4840" s="15" t="s">
        <v>47</v>
      </c>
      <c r="D4840" s="15" t="s">
        <v>549</v>
      </c>
      <c r="E4840" s="15" t="n">
        <v>2</v>
      </c>
      <c r="H4840" s="10"/>
      <c r="I4840" s="21"/>
      <c r="M4840" s="10"/>
      <c r="N4840" s="10"/>
      <c r="P4840" s="10"/>
      <c r="Q4840" s="22"/>
    </row>
    <row r="4841" customFormat="false" ht="15.75" hidden="false" customHeight="false" outlineLevel="0" collapsed="false">
      <c r="A4841" s="20" t="n">
        <v>46147</v>
      </c>
      <c r="B4841" s="15" t="s">
        <v>518</v>
      </c>
      <c r="C4841" s="15" t="s">
        <v>51</v>
      </c>
      <c r="D4841" s="15" t="s">
        <v>573</v>
      </c>
      <c r="E4841" s="15" t="n">
        <v>1</v>
      </c>
      <c r="H4841" s="10"/>
      <c r="I4841" s="21"/>
      <c r="M4841" s="10"/>
      <c r="N4841" s="10"/>
      <c r="P4841" s="10"/>
      <c r="Q4841" s="22"/>
    </row>
    <row r="4842" customFormat="false" ht="15.75" hidden="false" customHeight="false" outlineLevel="0" collapsed="false">
      <c r="A4842" s="20" t="n">
        <v>46147</v>
      </c>
      <c r="B4842" s="15" t="s">
        <v>518</v>
      </c>
      <c r="C4842" s="15" t="s">
        <v>55</v>
      </c>
      <c r="D4842" s="15" t="s">
        <v>539</v>
      </c>
      <c r="E4842" s="15" t="n">
        <v>2</v>
      </c>
      <c r="H4842" s="10"/>
      <c r="I4842" s="21"/>
      <c r="M4842" s="10"/>
      <c r="N4842" s="10"/>
      <c r="P4842" s="10"/>
      <c r="Q4842" s="22"/>
    </row>
    <row r="4843" customFormat="false" ht="15.75" hidden="false" customHeight="false" outlineLevel="0" collapsed="false">
      <c r="A4843" s="20" t="n">
        <v>46147</v>
      </c>
      <c r="B4843" s="15" t="s">
        <v>518</v>
      </c>
      <c r="C4843" s="15" t="s">
        <v>37</v>
      </c>
      <c r="D4843" s="15" t="s">
        <v>561</v>
      </c>
      <c r="E4843" s="15" t="n">
        <v>2</v>
      </c>
      <c r="H4843" s="10"/>
      <c r="I4843" s="21"/>
      <c r="M4843" s="10"/>
      <c r="N4843" s="10"/>
      <c r="P4843" s="10"/>
      <c r="Q4843" s="22"/>
    </row>
    <row r="4844" customFormat="false" ht="15.75" hidden="false" customHeight="false" outlineLevel="0" collapsed="false">
      <c r="A4844" s="20" t="n">
        <v>46147</v>
      </c>
      <c r="B4844" s="15" t="s">
        <v>518</v>
      </c>
      <c r="C4844" s="15" t="s">
        <v>547</v>
      </c>
      <c r="D4844" s="15" t="s">
        <v>548</v>
      </c>
      <c r="E4844" s="15" t="n">
        <v>1</v>
      </c>
      <c r="H4844" s="10"/>
      <c r="I4844" s="21"/>
      <c r="M4844" s="10"/>
      <c r="N4844" s="10"/>
      <c r="P4844" s="10"/>
      <c r="Q4844" s="22"/>
    </row>
    <row r="4845" customFormat="false" ht="15.75" hidden="false" customHeight="false" outlineLevel="0" collapsed="false">
      <c r="A4845" s="20" t="n">
        <v>46147</v>
      </c>
      <c r="B4845" s="15" t="s">
        <v>518</v>
      </c>
      <c r="C4845" s="15" t="s">
        <v>81</v>
      </c>
      <c r="D4845" s="15" t="s">
        <v>534</v>
      </c>
      <c r="E4845" s="15" t="n">
        <v>1</v>
      </c>
      <c r="H4845" s="10"/>
      <c r="I4845" s="21"/>
      <c r="M4845" s="10"/>
      <c r="N4845" s="10"/>
      <c r="P4845" s="10"/>
      <c r="Q4845" s="22"/>
    </row>
    <row r="4846" customFormat="false" ht="15.75" hidden="false" customHeight="false" outlineLevel="0" collapsed="false">
      <c r="A4846" s="20" t="n">
        <v>46148</v>
      </c>
      <c r="B4846" s="15" t="s">
        <v>453</v>
      </c>
      <c r="C4846" s="15" t="s">
        <v>47</v>
      </c>
      <c r="D4846" s="15" t="s">
        <v>549</v>
      </c>
      <c r="E4846" s="15" t="n">
        <v>2</v>
      </c>
      <c r="H4846" s="10"/>
      <c r="I4846" s="21"/>
      <c r="M4846" s="10"/>
      <c r="N4846" s="10"/>
      <c r="P4846" s="10"/>
      <c r="Q4846" s="22"/>
    </row>
    <row r="4847" customFormat="false" ht="15.75" hidden="false" customHeight="false" outlineLevel="0" collapsed="false">
      <c r="A4847" s="20" t="n">
        <v>46148</v>
      </c>
      <c r="B4847" s="15" t="s">
        <v>453</v>
      </c>
      <c r="C4847" s="15" t="s">
        <v>55</v>
      </c>
      <c r="D4847" s="15" t="s">
        <v>539</v>
      </c>
      <c r="E4847" s="15" t="n">
        <v>4</v>
      </c>
      <c r="H4847" s="10"/>
      <c r="I4847" s="21"/>
      <c r="M4847" s="10"/>
      <c r="N4847" s="10"/>
      <c r="P4847" s="10"/>
      <c r="Q4847" s="22"/>
    </row>
    <row r="4848" customFormat="false" ht="15.75" hidden="false" customHeight="false" outlineLevel="0" collapsed="false">
      <c r="A4848" s="20" t="n">
        <v>46148</v>
      </c>
      <c r="B4848" s="15" t="s">
        <v>453</v>
      </c>
      <c r="C4848" s="15" t="s">
        <v>81</v>
      </c>
      <c r="D4848" s="15" t="s">
        <v>534</v>
      </c>
      <c r="E4848" s="15" t="n">
        <v>8</v>
      </c>
      <c r="H4848" s="10"/>
      <c r="I4848" s="21"/>
      <c r="M4848" s="10"/>
      <c r="N4848" s="10"/>
      <c r="P4848" s="10"/>
      <c r="Q4848" s="22"/>
    </row>
    <row r="4849" customFormat="false" ht="15.75" hidden="false" customHeight="false" outlineLevel="0" collapsed="false">
      <c r="A4849" s="20" t="n">
        <v>46148</v>
      </c>
      <c r="B4849" s="15" t="s">
        <v>453</v>
      </c>
      <c r="C4849" s="15" t="s">
        <v>39</v>
      </c>
      <c r="D4849" s="15" t="s">
        <v>550</v>
      </c>
      <c r="E4849" s="15" t="n">
        <v>2</v>
      </c>
      <c r="H4849" s="10"/>
      <c r="I4849" s="21"/>
      <c r="M4849" s="10"/>
      <c r="N4849" s="10"/>
      <c r="P4849" s="10"/>
      <c r="Q4849" s="22"/>
    </row>
    <row r="4850" customFormat="false" ht="15.75" hidden="false" customHeight="false" outlineLevel="0" collapsed="false">
      <c r="A4850" s="20" t="n">
        <v>46148</v>
      </c>
      <c r="B4850" s="15" t="s">
        <v>453</v>
      </c>
      <c r="C4850" s="15" t="s">
        <v>63</v>
      </c>
      <c r="D4850" s="15" t="s">
        <v>551</v>
      </c>
      <c r="E4850" s="15" t="n">
        <v>1</v>
      </c>
      <c r="H4850" s="10"/>
      <c r="I4850" s="21"/>
      <c r="M4850" s="10"/>
      <c r="N4850" s="10"/>
      <c r="P4850" s="10"/>
      <c r="Q4850" s="22"/>
    </row>
    <row r="4851" customFormat="false" ht="15.75" hidden="false" customHeight="false" outlineLevel="0" collapsed="false">
      <c r="A4851" s="20" t="n">
        <v>46148</v>
      </c>
      <c r="B4851" s="15" t="s">
        <v>453</v>
      </c>
      <c r="C4851" s="15" t="s">
        <v>35</v>
      </c>
      <c r="D4851" s="15" t="s">
        <v>552</v>
      </c>
      <c r="E4851" s="15" t="n">
        <v>2</v>
      </c>
      <c r="H4851" s="10"/>
      <c r="I4851" s="21"/>
      <c r="M4851" s="10"/>
      <c r="N4851" s="10"/>
      <c r="P4851" s="10"/>
      <c r="Q4851" s="22"/>
    </row>
    <row r="4852" customFormat="false" ht="15.75" hidden="false" customHeight="false" outlineLevel="0" collapsed="false">
      <c r="A4852" s="20" t="n">
        <v>46148</v>
      </c>
      <c r="B4852" s="15" t="s">
        <v>467</v>
      </c>
      <c r="C4852" s="15" t="s">
        <v>55</v>
      </c>
      <c r="D4852" s="15" t="s">
        <v>539</v>
      </c>
      <c r="E4852" s="15" t="n">
        <v>6</v>
      </c>
      <c r="H4852" s="10"/>
      <c r="I4852" s="21"/>
      <c r="M4852" s="10"/>
      <c r="N4852" s="10"/>
      <c r="P4852" s="10"/>
      <c r="Q4852" s="22"/>
    </row>
    <row r="4853" customFormat="false" ht="15.75" hidden="false" customHeight="false" outlineLevel="0" collapsed="false">
      <c r="A4853" s="20" t="n">
        <v>46148</v>
      </c>
      <c r="B4853" s="15" t="s">
        <v>467</v>
      </c>
      <c r="C4853" s="15" t="s">
        <v>57</v>
      </c>
      <c r="D4853" s="15" t="s">
        <v>553</v>
      </c>
      <c r="E4853" s="15" t="n">
        <v>2</v>
      </c>
      <c r="H4853" s="10"/>
      <c r="I4853" s="21"/>
      <c r="M4853" s="10"/>
      <c r="N4853" s="10"/>
      <c r="P4853" s="10"/>
      <c r="Q4853" s="22"/>
    </row>
    <row r="4854" customFormat="false" ht="15.75" hidden="false" customHeight="false" outlineLevel="0" collapsed="false">
      <c r="A4854" s="20" t="n">
        <v>46148</v>
      </c>
      <c r="B4854" s="15" t="s">
        <v>467</v>
      </c>
      <c r="C4854" s="15" t="s">
        <v>47</v>
      </c>
      <c r="D4854" s="15" t="s">
        <v>549</v>
      </c>
      <c r="E4854" s="15" t="n">
        <v>2</v>
      </c>
      <c r="H4854" s="10"/>
      <c r="I4854" s="21"/>
      <c r="M4854" s="10"/>
      <c r="N4854" s="10"/>
      <c r="P4854" s="10"/>
      <c r="Q4854" s="22"/>
    </row>
    <row r="4855" customFormat="false" ht="15.75" hidden="false" customHeight="false" outlineLevel="0" collapsed="false">
      <c r="A4855" s="20" t="n">
        <v>46148</v>
      </c>
      <c r="B4855" s="15" t="s">
        <v>467</v>
      </c>
      <c r="C4855" s="15" t="s">
        <v>81</v>
      </c>
      <c r="D4855" s="15" t="s">
        <v>534</v>
      </c>
      <c r="E4855" s="15" t="n">
        <v>7</v>
      </c>
      <c r="H4855" s="10"/>
      <c r="I4855" s="21"/>
      <c r="M4855" s="10"/>
      <c r="N4855" s="10"/>
      <c r="P4855" s="10"/>
      <c r="Q4855" s="22"/>
    </row>
    <row r="4856" customFormat="false" ht="15.75" hidden="false" customHeight="false" outlineLevel="0" collapsed="false">
      <c r="A4856" s="20" t="n">
        <v>46148</v>
      </c>
      <c r="B4856" s="15" t="s">
        <v>467</v>
      </c>
      <c r="C4856" s="15" t="s">
        <v>49</v>
      </c>
      <c r="D4856" s="15" t="s">
        <v>537</v>
      </c>
      <c r="E4856" s="15" t="n">
        <v>2</v>
      </c>
      <c r="H4856" s="10"/>
      <c r="I4856" s="21"/>
      <c r="M4856" s="10"/>
      <c r="N4856" s="10"/>
      <c r="P4856" s="10"/>
      <c r="Q4856" s="22"/>
    </row>
    <row r="4857" customFormat="false" ht="15.75" hidden="false" customHeight="false" outlineLevel="0" collapsed="false">
      <c r="A4857" s="20" t="n">
        <v>46148</v>
      </c>
      <c r="B4857" s="15" t="s">
        <v>467</v>
      </c>
      <c r="C4857" s="15" t="s">
        <v>63</v>
      </c>
      <c r="D4857" s="15" t="s">
        <v>551</v>
      </c>
      <c r="E4857" s="15" t="n">
        <v>1</v>
      </c>
      <c r="H4857" s="10"/>
      <c r="I4857" s="21"/>
      <c r="M4857" s="10"/>
      <c r="N4857" s="10"/>
      <c r="P4857" s="10"/>
      <c r="Q4857" s="22"/>
    </row>
    <row r="4858" customFormat="false" ht="15.75" hidden="false" customHeight="false" outlineLevel="0" collapsed="false">
      <c r="A4858" s="20" t="n">
        <v>46148</v>
      </c>
      <c r="B4858" s="15" t="s">
        <v>477</v>
      </c>
      <c r="C4858" s="15" t="s">
        <v>69</v>
      </c>
      <c r="D4858" s="15" t="s">
        <v>535</v>
      </c>
      <c r="E4858" s="15" t="n">
        <v>3</v>
      </c>
      <c r="H4858" s="10"/>
      <c r="I4858" s="21"/>
      <c r="M4858" s="10"/>
      <c r="N4858" s="10"/>
      <c r="P4858" s="10"/>
      <c r="Q4858" s="22"/>
    </row>
    <row r="4859" customFormat="false" ht="15.75" hidden="false" customHeight="false" outlineLevel="0" collapsed="false">
      <c r="A4859" s="20" t="n">
        <v>46148</v>
      </c>
      <c r="B4859" s="15" t="s">
        <v>477</v>
      </c>
      <c r="C4859" s="15" t="s">
        <v>547</v>
      </c>
      <c r="D4859" s="15" t="s">
        <v>548</v>
      </c>
      <c r="E4859" s="15" t="n">
        <v>3</v>
      </c>
      <c r="H4859" s="10"/>
      <c r="I4859" s="21"/>
      <c r="M4859" s="10"/>
      <c r="N4859" s="10"/>
      <c r="P4859" s="10"/>
      <c r="Q4859" s="22"/>
    </row>
    <row r="4860" customFormat="false" ht="15.75" hidden="false" customHeight="false" outlineLevel="0" collapsed="false">
      <c r="A4860" s="20" t="n">
        <v>46148</v>
      </c>
      <c r="B4860" s="15" t="s">
        <v>477</v>
      </c>
      <c r="C4860" s="15" t="s">
        <v>25</v>
      </c>
      <c r="D4860" s="15" t="s">
        <v>26</v>
      </c>
      <c r="E4860" s="15" t="n">
        <v>3</v>
      </c>
      <c r="H4860" s="10"/>
      <c r="I4860" s="21"/>
      <c r="M4860" s="10"/>
      <c r="N4860" s="10"/>
      <c r="P4860" s="10"/>
      <c r="Q4860" s="22"/>
    </row>
    <row r="4861" customFormat="false" ht="15.75" hidden="false" customHeight="false" outlineLevel="0" collapsed="false">
      <c r="A4861" s="20" t="n">
        <v>46148</v>
      </c>
      <c r="B4861" s="15" t="s">
        <v>491</v>
      </c>
      <c r="C4861" s="15" t="s">
        <v>37</v>
      </c>
      <c r="D4861" s="15" t="s">
        <v>561</v>
      </c>
      <c r="E4861" s="15" t="n">
        <v>1</v>
      </c>
      <c r="H4861" s="10"/>
      <c r="I4861" s="21"/>
      <c r="M4861" s="10"/>
      <c r="N4861" s="10"/>
      <c r="P4861" s="10"/>
      <c r="Q4861" s="22"/>
    </row>
    <row r="4862" customFormat="false" ht="15.75" hidden="false" customHeight="false" outlineLevel="0" collapsed="false">
      <c r="A4862" s="20" t="n">
        <v>46148</v>
      </c>
      <c r="B4862" s="15" t="s">
        <v>491</v>
      </c>
      <c r="C4862" s="15" t="s">
        <v>81</v>
      </c>
      <c r="D4862" s="15" t="s">
        <v>534</v>
      </c>
      <c r="E4862" s="15" t="n">
        <v>8</v>
      </c>
      <c r="H4862" s="10"/>
      <c r="I4862" s="21"/>
      <c r="M4862" s="10"/>
      <c r="N4862" s="10"/>
      <c r="P4862" s="10"/>
      <c r="Q4862" s="22"/>
    </row>
    <row r="4863" customFormat="false" ht="15.75" hidden="false" customHeight="false" outlineLevel="0" collapsed="false">
      <c r="A4863" s="20" t="n">
        <v>46148</v>
      </c>
      <c r="B4863" s="15" t="s">
        <v>491</v>
      </c>
      <c r="C4863" s="15" t="s">
        <v>75</v>
      </c>
      <c r="D4863" s="15" t="s">
        <v>560</v>
      </c>
      <c r="E4863" s="15" t="n">
        <v>1</v>
      </c>
      <c r="H4863" s="10"/>
      <c r="I4863" s="21"/>
      <c r="M4863" s="10"/>
      <c r="N4863" s="10"/>
      <c r="P4863" s="10"/>
      <c r="Q4863" s="22"/>
    </row>
    <row r="4864" customFormat="false" ht="15.75" hidden="false" customHeight="false" outlineLevel="0" collapsed="false">
      <c r="A4864" s="20" t="n">
        <v>46148</v>
      </c>
      <c r="B4864" s="15" t="s">
        <v>491</v>
      </c>
      <c r="C4864" s="15" t="s">
        <v>69</v>
      </c>
      <c r="D4864" s="15" t="s">
        <v>535</v>
      </c>
      <c r="E4864" s="15" t="n">
        <v>6</v>
      </c>
      <c r="H4864" s="10"/>
      <c r="I4864" s="21"/>
      <c r="M4864" s="10"/>
      <c r="N4864" s="10"/>
      <c r="P4864" s="10"/>
      <c r="Q4864" s="22"/>
    </row>
    <row r="4865" customFormat="false" ht="15.75" hidden="false" customHeight="false" outlineLevel="0" collapsed="false">
      <c r="A4865" s="20" t="n">
        <v>46148</v>
      </c>
      <c r="B4865" s="15" t="s">
        <v>491</v>
      </c>
      <c r="C4865" s="15" t="s">
        <v>547</v>
      </c>
      <c r="D4865" s="15" t="s">
        <v>548</v>
      </c>
      <c r="E4865" s="15" t="n">
        <v>1</v>
      </c>
      <c r="H4865" s="10"/>
      <c r="I4865" s="21"/>
      <c r="M4865" s="10"/>
      <c r="N4865" s="10"/>
      <c r="P4865" s="10"/>
      <c r="Q4865" s="22"/>
    </row>
    <row r="4866" customFormat="false" ht="15.75" hidden="false" customHeight="false" outlineLevel="0" collapsed="false">
      <c r="A4866" s="20" t="n">
        <v>46148</v>
      </c>
      <c r="B4866" s="15" t="s">
        <v>491</v>
      </c>
      <c r="C4866" s="15" t="s">
        <v>31</v>
      </c>
      <c r="D4866" s="15" t="s">
        <v>559</v>
      </c>
      <c r="E4866" s="15" t="n">
        <v>2</v>
      </c>
      <c r="H4866" s="10"/>
      <c r="I4866" s="21"/>
      <c r="M4866" s="10"/>
      <c r="N4866" s="10"/>
      <c r="P4866" s="10"/>
      <c r="Q4866" s="22"/>
    </row>
    <row r="4867" customFormat="false" ht="15.75" hidden="false" customHeight="false" outlineLevel="0" collapsed="false">
      <c r="A4867" s="20" t="n">
        <v>46148</v>
      </c>
      <c r="B4867" s="15" t="s">
        <v>491</v>
      </c>
      <c r="C4867" s="15" t="s">
        <v>545</v>
      </c>
      <c r="D4867" s="15" t="s">
        <v>546</v>
      </c>
      <c r="E4867" s="15" t="n">
        <v>2</v>
      </c>
      <c r="H4867" s="10"/>
      <c r="I4867" s="21"/>
      <c r="M4867" s="10"/>
      <c r="N4867" s="10"/>
      <c r="P4867" s="10"/>
      <c r="Q4867" s="22"/>
    </row>
    <row r="4868" customFormat="false" ht="15.75" hidden="false" customHeight="false" outlineLevel="0" collapsed="false">
      <c r="A4868" s="20" t="n">
        <v>46148</v>
      </c>
      <c r="B4868" s="15" t="s">
        <v>491</v>
      </c>
      <c r="C4868" s="15" t="s">
        <v>543</v>
      </c>
      <c r="D4868" s="15" t="s">
        <v>544</v>
      </c>
      <c r="E4868" s="15" t="n">
        <v>4</v>
      </c>
      <c r="H4868" s="10"/>
      <c r="I4868" s="21"/>
      <c r="M4868" s="10"/>
      <c r="N4868" s="10"/>
      <c r="P4868" s="10"/>
      <c r="Q4868" s="22"/>
    </row>
    <row r="4869" customFormat="false" ht="15.75" hidden="false" customHeight="false" outlineLevel="0" collapsed="false">
      <c r="A4869" s="20" t="n">
        <v>46148</v>
      </c>
      <c r="B4869" s="15" t="s">
        <v>491</v>
      </c>
      <c r="C4869" s="15" t="s">
        <v>541</v>
      </c>
      <c r="D4869" s="15" t="s">
        <v>542</v>
      </c>
      <c r="E4869" s="15" t="n">
        <v>2</v>
      </c>
      <c r="H4869" s="10"/>
      <c r="I4869" s="21"/>
      <c r="M4869" s="10"/>
      <c r="N4869" s="10"/>
      <c r="P4869" s="10"/>
      <c r="Q4869" s="22"/>
    </row>
    <row r="4870" customFormat="false" ht="15.75" hidden="false" customHeight="false" outlineLevel="0" collapsed="false">
      <c r="A4870" s="20" t="n">
        <v>46148</v>
      </c>
      <c r="B4870" s="15" t="s">
        <v>491</v>
      </c>
      <c r="C4870" s="15" t="s">
        <v>49</v>
      </c>
      <c r="D4870" s="15" t="s">
        <v>537</v>
      </c>
      <c r="E4870" s="15" t="n">
        <v>1</v>
      </c>
      <c r="H4870" s="10"/>
      <c r="I4870" s="21"/>
      <c r="M4870" s="10"/>
      <c r="N4870" s="10"/>
      <c r="P4870" s="10"/>
      <c r="Q4870" s="22"/>
    </row>
    <row r="4871" customFormat="false" ht="15.75" hidden="false" customHeight="false" outlineLevel="0" collapsed="false">
      <c r="A4871" s="20" t="n">
        <v>46148</v>
      </c>
      <c r="B4871" s="15" t="s">
        <v>491</v>
      </c>
      <c r="C4871" s="15" t="s">
        <v>33</v>
      </c>
      <c r="D4871" s="15" t="s">
        <v>536</v>
      </c>
      <c r="E4871" s="15" t="n">
        <v>5</v>
      </c>
      <c r="H4871" s="10"/>
      <c r="I4871" s="21"/>
      <c r="M4871" s="10"/>
      <c r="N4871" s="10"/>
      <c r="P4871" s="10"/>
      <c r="Q4871" s="22"/>
    </row>
    <row r="4872" customFormat="false" ht="15.75" hidden="false" customHeight="false" outlineLevel="0" collapsed="false">
      <c r="A4872" s="20" t="n">
        <v>46148</v>
      </c>
      <c r="B4872" s="15" t="s">
        <v>491</v>
      </c>
      <c r="C4872" s="15" t="s">
        <v>77</v>
      </c>
      <c r="D4872" s="15" t="s">
        <v>78</v>
      </c>
      <c r="E4872" s="15" t="n">
        <v>3</v>
      </c>
      <c r="H4872" s="10"/>
      <c r="I4872" s="21"/>
      <c r="M4872" s="10"/>
      <c r="N4872" s="10"/>
      <c r="P4872" s="10"/>
      <c r="Q4872" s="22"/>
    </row>
    <row r="4873" customFormat="false" ht="15.75" hidden="false" customHeight="false" outlineLevel="0" collapsed="false">
      <c r="A4873" s="20" t="n">
        <v>46148</v>
      </c>
      <c r="B4873" s="15" t="s">
        <v>491</v>
      </c>
      <c r="C4873" s="15" t="s">
        <v>47</v>
      </c>
      <c r="D4873" s="15" t="s">
        <v>549</v>
      </c>
      <c r="E4873" s="15" t="n">
        <v>1</v>
      </c>
      <c r="H4873" s="10"/>
      <c r="I4873" s="21"/>
      <c r="M4873" s="10"/>
      <c r="N4873" s="10"/>
      <c r="P4873" s="10"/>
      <c r="Q4873" s="22"/>
    </row>
    <row r="4874" customFormat="false" ht="15.75" hidden="false" customHeight="false" outlineLevel="0" collapsed="false">
      <c r="A4874" s="20" t="n">
        <v>46148</v>
      </c>
      <c r="B4874" s="15" t="s">
        <v>491</v>
      </c>
      <c r="C4874" s="15" t="s">
        <v>55</v>
      </c>
      <c r="D4874" s="15" t="s">
        <v>539</v>
      </c>
      <c r="E4874" s="15" t="n">
        <v>1</v>
      </c>
      <c r="H4874" s="10"/>
      <c r="I4874" s="21"/>
      <c r="M4874" s="10"/>
      <c r="N4874" s="10"/>
      <c r="P4874" s="10"/>
      <c r="Q4874" s="22"/>
    </row>
    <row r="4875" customFormat="false" ht="15.75" hidden="false" customHeight="false" outlineLevel="0" collapsed="false">
      <c r="A4875" s="20" t="n">
        <v>46148</v>
      </c>
      <c r="B4875" s="15" t="s">
        <v>491</v>
      </c>
      <c r="C4875" s="15" t="s">
        <v>59</v>
      </c>
      <c r="D4875" s="15" t="s">
        <v>562</v>
      </c>
      <c r="E4875" s="15" t="n">
        <v>1</v>
      </c>
      <c r="H4875" s="10"/>
      <c r="I4875" s="21"/>
      <c r="M4875" s="10"/>
      <c r="N4875" s="10"/>
      <c r="P4875" s="10"/>
      <c r="Q4875" s="22"/>
    </row>
    <row r="4876" customFormat="false" ht="15.75" hidden="false" customHeight="false" outlineLevel="0" collapsed="false">
      <c r="A4876" s="20" t="n">
        <v>46148</v>
      </c>
      <c r="B4876" s="15" t="s">
        <v>491</v>
      </c>
      <c r="C4876" s="15" t="s">
        <v>43</v>
      </c>
      <c r="D4876" s="15" t="s">
        <v>538</v>
      </c>
      <c r="E4876" s="15" t="n">
        <v>1</v>
      </c>
      <c r="H4876" s="10"/>
      <c r="I4876" s="21"/>
      <c r="M4876" s="10"/>
      <c r="N4876" s="10"/>
      <c r="P4876" s="10"/>
      <c r="Q4876" s="22"/>
    </row>
    <row r="4877" customFormat="false" ht="15.75" hidden="false" customHeight="false" outlineLevel="0" collapsed="false">
      <c r="A4877" s="20" t="n">
        <v>46148</v>
      </c>
      <c r="B4877" s="15" t="s">
        <v>491</v>
      </c>
      <c r="C4877" s="15" t="s">
        <v>87</v>
      </c>
      <c r="D4877" s="15" t="s">
        <v>563</v>
      </c>
      <c r="E4877" s="15" t="n">
        <v>1</v>
      </c>
      <c r="H4877" s="10"/>
      <c r="I4877" s="21"/>
      <c r="M4877" s="10"/>
      <c r="N4877" s="10"/>
      <c r="P4877" s="10"/>
      <c r="Q4877" s="22"/>
    </row>
    <row r="4878" customFormat="false" ht="15.75" hidden="false" customHeight="false" outlineLevel="0" collapsed="false">
      <c r="A4878" s="20" t="n">
        <v>46148</v>
      </c>
      <c r="B4878" s="15" t="s">
        <v>491</v>
      </c>
      <c r="C4878" s="15" t="s">
        <v>79</v>
      </c>
      <c r="D4878" s="15" t="s">
        <v>564</v>
      </c>
      <c r="E4878" s="15" t="n">
        <v>1</v>
      </c>
      <c r="H4878" s="10"/>
      <c r="I4878" s="21"/>
      <c r="M4878" s="10"/>
      <c r="N4878" s="10"/>
      <c r="P4878" s="10"/>
      <c r="Q4878" s="22"/>
    </row>
    <row r="4879" customFormat="false" ht="15.75" hidden="false" customHeight="false" outlineLevel="0" collapsed="false">
      <c r="A4879" s="20" t="n">
        <v>46148</v>
      </c>
      <c r="B4879" s="15" t="s">
        <v>496</v>
      </c>
      <c r="C4879" s="15" t="s">
        <v>81</v>
      </c>
      <c r="D4879" s="15" t="s">
        <v>534</v>
      </c>
      <c r="E4879" s="15" t="n">
        <v>7</v>
      </c>
      <c r="H4879" s="10"/>
      <c r="I4879" s="21"/>
      <c r="M4879" s="10"/>
      <c r="N4879" s="10"/>
      <c r="P4879" s="10"/>
      <c r="Q4879" s="22"/>
    </row>
    <row r="4880" customFormat="false" ht="15.75" hidden="false" customHeight="false" outlineLevel="0" collapsed="false">
      <c r="A4880" s="20" t="n">
        <v>46148</v>
      </c>
      <c r="B4880" s="15" t="s">
        <v>496</v>
      </c>
      <c r="C4880" s="15" t="s">
        <v>47</v>
      </c>
      <c r="D4880" s="15" t="s">
        <v>549</v>
      </c>
      <c r="E4880" s="15" t="n">
        <v>4</v>
      </c>
      <c r="H4880" s="10"/>
      <c r="I4880" s="21"/>
      <c r="M4880" s="10"/>
      <c r="N4880" s="10"/>
      <c r="P4880" s="10"/>
      <c r="Q4880" s="22"/>
    </row>
    <row r="4881" customFormat="false" ht="15.75" hidden="false" customHeight="false" outlineLevel="0" collapsed="false">
      <c r="A4881" s="20" t="n">
        <v>46148</v>
      </c>
      <c r="B4881" s="15" t="s">
        <v>496</v>
      </c>
      <c r="C4881" s="15" t="s">
        <v>55</v>
      </c>
      <c r="D4881" s="15" t="s">
        <v>539</v>
      </c>
      <c r="E4881" s="15" t="n">
        <v>2</v>
      </c>
      <c r="H4881" s="10"/>
      <c r="I4881" s="21"/>
      <c r="M4881" s="10"/>
      <c r="N4881" s="10"/>
      <c r="P4881" s="10"/>
      <c r="Q4881" s="22"/>
    </row>
    <row r="4882" customFormat="false" ht="15.75" hidden="false" customHeight="false" outlineLevel="0" collapsed="false">
      <c r="A4882" s="20" t="n">
        <v>46148</v>
      </c>
      <c r="B4882" s="15" t="s">
        <v>496</v>
      </c>
      <c r="C4882" s="15" t="s">
        <v>567</v>
      </c>
      <c r="D4882" s="15" t="s">
        <v>568</v>
      </c>
      <c r="E4882" s="15" t="n">
        <v>3</v>
      </c>
      <c r="H4882" s="10"/>
      <c r="I4882" s="21"/>
      <c r="M4882" s="10"/>
      <c r="N4882" s="10"/>
      <c r="P4882" s="10"/>
      <c r="Q4882" s="22"/>
    </row>
    <row r="4883" customFormat="false" ht="15.75" hidden="false" customHeight="false" outlineLevel="0" collapsed="false">
      <c r="A4883" s="20" t="n">
        <v>46148</v>
      </c>
      <c r="B4883" s="15" t="s">
        <v>496</v>
      </c>
      <c r="C4883" s="15" t="s">
        <v>545</v>
      </c>
      <c r="D4883" s="15" t="s">
        <v>546</v>
      </c>
      <c r="E4883" s="15" t="n">
        <v>3</v>
      </c>
      <c r="H4883" s="10"/>
      <c r="I4883" s="21"/>
      <c r="M4883" s="10"/>
      <c r="N4883" s="10"/>
      <c r="P4883" s="10"/>
      <c r="Q4883" s="22"/>
    </row>
    <row r="4884" customFormat="false" ht="15.75" hidden="false" customHeight="false" outlineLevel="0" collapsed="false">
      <c r="A4884" s="20" t="n">
        <v>46148</v>
      </c>
      <c r="B4884" s="15" t="s">
        <v>496</v>
      </c>
      <c r="C4884" s="15" t="s">
        <v>547</v>
      </c>
      <c r="D4884" s="15" t="s">
        <v>548</v>
      </c>
      <c r="E4884" s="15" t="n">
        <v>1</v>
      </c>
      <c r="H4884" s="10"/>
      <c r="I4884" s="21"/>
      <c r="M4884" s="10"/>
      <c r="N4884" s="10"/>
      <c r="P4884" s="10"/>
      <c r="Q4884" s="22"/>
    </row>
    <row r="4885" customFormat="false" ht="15.75" hidden="false" customHeight="false" outlineLevel="0" collapsed="false">
      <c r="A4885" s="20" t="n">
        <v>46148</v>
      </c>
      <c r="B4885" s="15" t="s">
        <v>496</v>
      </c>
      <c r="C4885" s="15" t="s">
        <v>555</v>
      </c>
      <c r="D4885" s="15" t="s">
        <v>556</v>
      </c>
      <c r="E4885" s="15" t="n">
        <v>4</v>
      </c>
      <c r="H4885" s="10"/>
      <c r="I4885" s="21"/>
      <c r="M4885" s="10"/>
      <c r="N4885" s="10"/>
      <c r="P4885" s="10"/>
      <c r="Q4885" s="22"/>
    </row>
    <row r="4886" customFormat="false" ht="15.75" hidden="false" customHeight="false" outlineLevel="0" collapsed="false">
      <c r="A4886" s="20" t="n">
        <v>46148</v>
      </c>
      <c r="B4886" s="15" t="s">
        <v>496</v>
      </c>
      <c r="C4886" s="15" t="s">
        <v>541</v>
      </c>
      <c r="D4886" s="15" t="s">
        <v>542</v>
      </c>
      <c r="E4886" s="15" t="n">
        <v>4</v>
      </c>
      <c r="H4886" s="10"/>
      <c r="I4886" s="21"/>
      <c r="M4886" s="10"/>
      <c r="N4886" s="10"/>
      <c r="P4886" s="10"/>
      <c r="Q4886" s="22"/>
    </row>
    <row r="4887" customFormat="false" ht="15.75" hidden="false" customHeight="false" outlineLevel="0" collapsed="false">
      <c r="A4887" s="20" t="n">
        <v>46148</v>
      </c>
      <c r="B4887" s="15" t="s">
        <v>496</v>
      </c>
      <c r="C4887" s="15" t="s">
        <v>45</v>
      </c>
      <c r="D4887" s="15" t="s">
        <v>540</v>
      </c>
      <c r="E4887" s="15" t="n">
        <v>1</v>
      </c>
      <c r="H4887" s="10"/>
      <c r="I4887" s="21"/>
      <c r="M4887" s="10"/>
      <c r="N4887" s="10"/>
      <c r="P4887" s="10"/>
      <c r="Q4887" s="22"/>
    </row>
    <row r="4888" customFormat="false" ht="15.75" hidden="false" customHeight="false" outlineLevel="0" collapsed="false">
      <c r="A4888" s="20" t="n">
        <v>46148</v>
      </c>
      <c r="B4888" s="15" t="s">
        <v>496</v>
      </c>
      <c r="C4888" s="15" t="s">
        <v>37</v>
      </c>
      <c r="D4888" s="15" t="s">
        <v>561</v>
      </c>
      <c r="E4888" s="15" t="n">
        <v>1</v>
      </c>
      <c r="H4888" s="10"/>
      <c r="I4888" s="21"/>
      <c r="M4888" s="10"/>
      <c r="N4888" s="10"/>
      <c r="P4888" s="10"/>
      <c r="Q4888" s="22"/>
    </row>
    <row r="4889" customFormat="false" ht="15.75" hidden="false" customHeight="false" outlineLevel="0" collapsed="false">
      <c r="A4889" s="20" t="n">
        <v>46148</v>
      </c>
      <c r="B4889" s="15" t="s">
        <v>496</v>
      </c>
      <c r="C4889" s="15" t="s">
        <v>543</v>
      </c>
      <c r="D4889" s="15" t="s">
        <v>544</v>
      </c>
      <c r="E4889" s="15" t="n">
        <v>4</v>
      </c>
      <c r="H4889" s="10"/>
      <c r="I4889" s="21"/>
      <c r="M4889" s="10"/>
      <c r="N4889" s="10"/>
      <c r="P4889" s="10"/>
      <c r="Q4889" s="22"/>
    </row>
    <row r="4890" customFormat="false" ht="15.75" hidden="false" customHeight="false" outlineLevel="0" collapsed="false">
      <c r="A4890" s="20" t="n">
        <v>46148</v>
      </c>
      <c r="B4890" s="15" t="s">
        <v>496</v>
      </c>
      <c r="C4890" s="15" t="s">
        <v>69</v>
      </c>
      <c r="D4890" s="15" t="s">
        <v>535</v>
      </c>
      <c r="E4890" s="15" t="n">
        <v>2</v>
      </c>
      <c r="H4890" s="10"/>
      <c r="I4890" s="21"/>
      <c r="M4890" s="10"/>
      <c r="N4890" s="10"/>
      <c r="P4890" s="10"/>
      <c r="Q4890" s="22"/>
    </row>
    <row r="4891" customFormat="false" ht="15.75" hidden="false" customHeight="false" outlineLevel="0" collapsed="false">
      <c r="A4891" s="20" t="n">
        <v>46148</v>
      </c>
      <c r="B4891" s="15" t="s">
        <v>496</v>
      </c>
      <c r="C4891" s="15" t="s">
        <v>77</v>
      </c>
      <c r="D4891" s="15" t="s">
        <v>78</v>
      </c>
      <c r="E4891" s="15" t="n">
        <v>2</v>
      </c>
      <c r="H4891" s="10"/>
      <c r="I4891" s="21"/>
      <c r="M4891" s="10"/>
      <c r="N4891" s="10"/>
      <c r="P4891" s="10"/>
      <c r="Q4891" s="22"/>
    </row>
    <row r="4892" customFormat="false" ht="15.75" hidden="false" customHeight="false" outlineLevel="0" collapsed="false">
      <c r="A4892" s="20" t="n">
        <v>46148</v>
      </c>
      <c r="B4892" s="15" t="s">
        <v>496</v>
      </c>
      <c r="C4892" s="15" t="s">
        <v>59</v>
      </c>
      <c r="D4892" s="15" t="s">
        <v>562</v>
      </c>
      <c r="E4892" s="15" t="n">
        <v>2</v>
      </c>
      <c r="H4892" s="10"/>
      <c r="I4892" s="21"/>
      <c r="M4892" s="10"/>
      <c r="N4892" s="10"/>
      <c r="P4892" s="10"/>
      <c r="Q4892" s="22"/>
    </row>
    <row r="4893" customFormat="false" ht="15.75" hidden="false" customHeight="false" outlineLevel="0" collapsed="false">
      <c r="A4893" s="20" t="n">
        <v>46148</v>
      </c>
      <c r="B4893" s="15" t="s">
        <v>496</v>
      </c>
      <c r="C4893" s="15" t="s">
        <v>33</v>
      </c>
      <c r="D4893" s="15" t="s">
        <v>536</v>
      </c>
      <c r="E4893" s="15" t="n">
        <v>2</v>
      </c>
      <c r="H4893" s="10"/>
      <c r="I4893" s="21"/>
      <c r="M4893" s="10"/>
      <c r="N4893" s="10"/>
      <c r="P4893" s="10"/>
      <c r="Q4893" s="22"/>
    </row>
    <row r="4894" customFormat="false" ht="15.75" hidden="false" customHeight="false" outlineLevel="0" collapsed="false">
      <c r="A4894" s="20" t="n">
        <v>46148</v>
      </c>
      <c r="B4894" s="15" t="s">
        <v>496</v>
      </c>
      <c r="C4894" s="15" t="s">
        <v>79</v>
      </c>
      <c r="D4894" s="15" t="s">
        <v>564</v>
      </c>
      <c r="E4894" s="15" t="n">
        <v>1</v>
      </c>
      <c r="H4894" s="10"/>
      <c r="I4894" s="21"/>
      <c r="M4894" s="10"/>
      <c r="N4894" s="10"/>
      <c r="P4894" s="10"/>
      <c r="Q4894" s="22"/>
    </row>
    <row r="4895" customFormat="false" ht="15.75" hidden="false" customHeight="false" outlineLevel="0" collapsed="false">
      <c r="A4895" s="20" t="n">
        <v>46148</v>
      </c>
      <c r="B4895" s="15" t="s">
        <v>496</v>
      </c>
      <c r="C4895" s="15" t="s">
        <v>65</v>
      </c>
      <c r="D4895" s="15" t="s">
        <v>580</v>
      </c>
      <c r="E4895" s="15" t="n">
        <v>1</v>
      </c>
      <c r="H4895" s="10"/>
      <c r="I4895" s="21"/>
      <c r="M4895" s="10"/>
      <c r="N4895" s="10"/>
      <c r="P4895" s="10"/>
      <c r="Q4895" s="22"/>
    </row>
    <row r="4896" customFormat="false" ht="15.75" hidden="false" customHeight="false" outlineLevel="0" collapsed="false">
      <c r="A4896" s="20" t="n">
        <v>46148</v>
      </c>
      <c r="B4896" s="15" t="s">
        <v>205</v>
      </c>
      <c r="C4896" s="15" t="s">
        <v>55</v>
      </c>
      <c r="D4896" s="15" t="s">
        <v>539</v>
      </c>
      <c r="E4896" s="15" t="n">
        <v>3</v>
      </c>
      <c r="H4896" s="10"/>
      <c r="I4896" s="21"/>
      <c r="M4896" s="10"/>
      <c r="N4896" s="10"/>
      <c r="P4896" s="10"/>
      <c r="Q4896" s="22"/>
    </row>
    <row r="4897" customFormat="false" ht="15.75" hidden="false" customHeight="false" outlineLevel="0" collapsed="false">
      <c r="A4897" s="20" t="n">
        <v>46148</v>
      </c>
      <c r="B4897" s="15" t="s">
        <v>205</v>
      </c>
      <c r="C4897" s="15" t="s">
        <v>81</v>
      </c>
      <c r="D4897" s="15" t="s">
        <v>534</v>
      </c>
      <c r="E4897" s="15" t="n">
        <v>1</v>
      </c>
      <c r="H4897" s="10"/>
      <c r="I4897" s="21"/>
      <c r="M4897" s="10"/>
      <c r="N4897" s="10"/>
      <c r="P4897" s="10"/>
      <c r="Q4897" s="22"/>
    </row>
    <row r="4898" customFormat="false" ht="15.75" hidden="false" customHeight="false" outlineLevel="0" collapsed="false">
      <c r="A4898" s="20" t="n">
        <v>46148</v>
      </c>
      <c r="B4898" s="15" t="s">
        <v>205</v>
      </c>
      <c r="C4898" s="15" t="s">
        <v>69</v>
      </c>
      <c r="D4898" s="15" t="s">
        <v>535</v>
      </c>
      <c r="E4898" s="15" t="n">
        <v>6</v>
      </c>
      <c r="H4898" s="10"/>
      <c r="I4898" s="21"/>
      <c r="M4898" s="10"/>
      <c r="N4898" s="10"/>
      <c r="P4898" s="10"/>
      <c r="Q4898" s="22"/>
    </row>
    <row r="4899" customFormat="false" ht="15.75" hidden="false" customHeight="false" outlineLevel="0" collapsed="false">
      <c r="A4899" s="20" t="n">
        <v>46148</v>
      </c>
      <c r="B4899" s="15" t="s">
        <v>205</v>
      </c>
      <c r="C4899" s="15" t="s">
        <v>33</v>
      </c>
      <c r="D4899" s="15" t="s">
        <v>536</v>
      </c>
      <c r="E4899" s="15" t="n">
        <v>6</v>
      </c>
      <c r="H4899" s="10"/>
      <c r="I4899" s="21"/>
      <c r="M4899" s="10"/>
      <c r="N4899" s="10"/>
      <c r="P4899" s="10"/>
      <c r="Q4899" s="22"/>
    </row>
    <row r="4900" customFormat="false" ht="15.75" hidden="false" customHeight="false" outlineLevel="0" collapsed="false">
      <c r="A4900" s="20" t="n">
        <v>46148</v>
      </c>
      <c r="B4900" s="15" t="s">
        <v>499</v>
      </c>
      <c r="C4900" s="15" t="s">
        <v>543</v>
      </c>
      <c r="D4900" s="15" t="s">
        <v>544</v>
      </c>
      <c r="E4900" s="15" t="n">
        <v>1</v>
      </c>
      <c r="H4900" s="10"/>
      <c r="I4900" s="21"/>
      <c r="M4900" s="10"/>
      <c r="N4900" s="10"/>
      <c r="P4900" s="10"/>
      <c r="Q4900" s="22"/>
    </row>
    <row r="4901" customFormat="false" ht="15.75" hidden="false" customHeight="false" outlineLevel="0" collapsed="false">
      <c r="A4901" s="20" t="n">
        <v>46148</v>
      </c>
      <c r="B4901" s="15" t="s">
        <v>499</v>
      </c>
      <c r="C4901" s="15" t="s">
        <v>69</v>
      </c>
      <c r="D4901" s="15" t="s">
        <v>535</v>
      </c>
      <c r="E4901" s="15" t="n">
        <v>1</v>
      </c>
      <c r="H4901" s="10"/>
      <c r="I4901" s="21"/>
      <c r="M4901" s="10"/>
      <c r="N4901" s="10"/>
      <c r="P4901" s="10"/>
      <c r="Q4901" s="22"/>
    </row>
    <row r="4902" customFormat="false" ht="15.75" hidden="false" customHeight="false" outlineLevel="0" collapsed="false">
      <c r="A4902" s="20" t="n">
        <v>46148</v>
      </c>
      <c r="B4902" s="15" t="s">
        <v>499</v>
      </c>
      <c r="C4902" s="15" t="s">
        <v>33</v>
      </c>
      <c r="D4902" s="15" t="s">
        <v>536</v>
      </c>
      <c r="E4902" s="15" t="n">
        <v>2</v>
      </c>
      <c r="H4902" s="10"/>
      <c r="I4902" s="21"/>
      <c r="M4902" s="10"/>
      <c r="N4902" s="10"/>
      <c r="P4902" s="10"/>
      <c r="Q4902" s="22"/>
    </row>
    <row r="4903" customFormat="false" ht="15.75" hidden="false" customHeight="false" outlineLevel="0" collapsed="false">
      <c r="A4903" s="20" t="n">
        <v>46148</v>
      </c>
      <c r="B4903" s="15" t="s">
        <v>499</v>
      </c>
      <c r="C4903" s="15" t="s">
        <v>55</v>
      </c>
      <c r="D4903" s="15" t="s">
        <v>539</v>
      </c>
      <c r="E4903" s="15" t="n">
        <v>1</v>
      </c>
      <c r="H4903" s="10"/>
      <c r="I4903" s="21"/>
      <c r="M4903" s="10"/>
      <c r="N4903" s="10"/>
      <c r="P4903" s="10"/>
      <c r="Q4903" s="22"/>
    </row>
    <row r="4904" customFormat="false" ht="15.75" hidden="false" customHeight="false" outlineLevel="0" collapsed="false">
      <c r="A4904" s="20" t="n">
        <v>46148</v>
      </c>
      <c r="B4904" s="15" t="s">
        <v>499</v>
      </c>
      <c r="C4904" s="15" t="s">
        <v>59</v>
      </c>
      <c r="D4904" s="15" t="s">
        <v>562</v>
      </c>
      <c r="E4904" s="15" t="n">
        <v>1</v>
      </c>
      <c r="H4904" s="10"/>
      <c r="I4904" s="21"/>
      <c r="M4904" s="10"/>
      <c r="N4904" s="10"/>
      <c r="P4904" s="10"/>
      <c r="Q4904" s="22"/>
    </row>
    <row r="4905" customFormat="false" ht="15.75" hidden="false" customHeight="false" outlineLevel="0" collapsed="false">
      <c r="A4905" s="20" t="n">
        <v>46148</v>
      </c>
      <c r="B4905" s="15" t="s">
        <v>499</v>
      </c>
      <c r="C4905" s="15" t="s">
        <v>47</v>
      </c>
      <c r="D4905" s="15" t="s">
        <v>549</v>
      </c>
      <c r="E4905" s="15" t="n">
        <v>1</v>
      </c>
      <c r="H4905" s="10"/>
      <c r="I4905" s="21"/>
      <c r="M4905" s="10"/>
      <c r="N4905" s="10"/>
      <c r="P4905" s="10"/>
      <c r="Q4905" s="22"/>
    </row>
    <row r="4906" customFormat="false" ht="15.75" hidden="false" customHeight="false" outlineLevel="0" collapsed="false">
      <c r="A4906" s="20" t="n">
        <v>46148</v>
      </c>
      <c r="B4906" s="15" t="s">
        <v>499</v>
      </c>
      <c r="C4906" s="15" t="s">
        <v>75</v>
      </c>
      <c r="D4906" s="15" t="s">
        <v>560</v>
      </c>
      <c r="E4906" s="15" t="n">
        <v>1</v>
      </c>
      <c r="H4906" s="10"/>
      <c r="I4906" s="21"/>
      <c r="M4906" s="10"/>
      <c r="N4906" s="10"/>
      <c r="P4906" s="10"/>
      <c r="Q4906" s="22"/>
    </row>
    <row r="4907" customFormat="false" ht="15.75" hidden="false" customHeight="false" outlineLevel="0" collapsed="false">
      <c r="A4907" s="20" t="n">
        <v>46148</v>
      </c>
      <c r="B4907" s="15" t="s">
        <v>499</v>
      </c>
      <c r="C4907" s="15" t="s">
        <v>81</v>
      </c>
      <c r="D4907" s="15" t="s">
        <v>534</v>
      </c>
      <c r="E4907" s="15" t="n">
        <v>7</v>
      </c>
      <c r="H4907" s="10"/>
      <c r="I4907" s="21"/>
      <c r="M4907" s="10"/>
      <c r="N4907" s="10"/>
      <c r="P4907" s="10"/>
      <c r="Q4907" s="22"/>
    </row>
    <row r="4908" customFormat="false" ht="15.75" hidden="false" customHeight="false" outlineLevel="0" collapsed="false">
      <c r="A4908" s="20" t="n">
        <v>46148</v>
      </c>
      <c r="B4908" s="15" t="s">
        <v>499</v>
      </c>
      <c r="C4908" s="15" t="s">
        <v>77</v>
      </c>
      <c r="D4908" s="15" t="s">
        <v>78</v>
      </c>
      <c r="E4908" s="15" t="n">
        <v>2</v>
      </c>
      <c r="H4908" s="10"/>
      <c r="I4908" s="21"/>
      <c r="M4908" s="10"/>
      <c r="N4908" s="10"/>
      <c r="P4908" s="10"/>
      <c r="Q4908" s="22"/>
    </row>
    <row r="4909" customFormat="false" ht="15.75" hidden="false" customHeight="false" outlineLevel="0" collapsed="false">
      <c r="A4909" s="20" t="n">
        <v>46148</v>
      </c>
      <c r="B4909" s="15" t="s">
        <v>504</v>
      </c>
      <c r="C4909" s="15" t="s">
        <v>47</v>
      </c>
      <c r="D4909" s="15" t="s">
        <v>549</v>
      </c>
      <c r="E4909" s="15" t="n">
        <v>6</v>
      </c>
      <c r="H4909" s="10"/>
      <c r="I4909" s="21"/>
      <c r="M4909" s="10"/>
      <c r="N4909" s="10"/>
      <c r="P4909" s="10"/>
      <c r="Q4909" s="22"/>
    </row>
    <row r="4910" customFormat="false" ht="15.75" hidden="false" customHeight="false" outlineLevel="0" collapsed="false">
      <c r="A4910" s="20" t="n">
        <v>46148</v>
      </c>
      <c r="B4910" s="15" t="s">
        <v>504</v>
      </c>
      <c r="C4910" s="15" t="s">
        <v>55</v>
      </c>
      <c r="D4910" s="15" t="s">
        <v>539</v>
      </c>
      <c r="E4910" s="15" t="n">
        <v>12</v>
      </c>
      <c r="H4910" s="10"/>
      <c r="I4910" s="21"/>
      <c r="M4910" s="10"/>
      <c r="N4910" s="10"/>
      <c r="P4910" s="10"/>
      <c r="Q4910" s="22"/>
    </row>
    <row r="4911" customFormat="false" ht="15.75" hidden="false" customHeight="false" outlineLevel="0" collapsed="false">
      <c r="A4911" s="20" t="n">
        <v>46148</v>
      </c>
      <c r="B4911" s="15" t="s">
        <v>504</v>
      </c>
      <c r="C4911" s="15" t="s">
        <v>81</v>
      </c>
      <c r="D4911" s="15" t="s">
        <v>534</v>
      </c>
      <c r="E4911" s="15" t="n">
        <v>18</v>
      </c>
      <c r="H4911" s="10"/>
      <c r="I4911" s="21"/>
      <c r="M4911" s="10"/>
      <c r="N4911" s="10"/>
      <c r="P4911" s="10"/>
      <c r="Q4911" s="22"/>
    </row>
    <row r="4912" customFormat="false" ht="15.75" hidden="false" customHeight="false" outlineLevel="0" collapsed="false">
      <c r="A4912" s="20" t="n">
        <v>46148</v>
      </c>
      <c r="B4912" s="15" t="s">
        <v>504</v>
      </c>
      <c r="C4912" s="15" t="s">
        <v>39</v>
      </c>
      <c r="D4912" s="15" t="s">
        <v>550</v>
      </c>
      <c r="E4912" s="15" t="n">
        <v>2</v>
      </c>
      <c r="H4912" s="10"/>
      <c r="I4912" s="21"/>
      <c r="M4912" s="10"/>
      <c r="N4912" s="10"/>
      <c r="P4912" s="10"/>
      <c r="Q4912" s="22"/>
    </row>
    <row r="4913" customFormat="false" ht="15.75" hidden="false" customHeight="false" outlineLevel="0" collapsed="false">
      <c r="A4913" s="20" t="n">
        <v>46148</v>
      </c>
      <c r="B4913" s="15" t="s">
        <v>504</v>
      </c>
      <c r="C4913" s="15" t="s">
        <v>63</v>
      </c>
      <c r="D4913" s="15" t="s">
        <v>551</v>
      </c>
      <c r="E4913" s="15" t="n">
        <v>2</v>
      </c>
      <c r="H4913" s="10"/>
      <c r="I4913" s="21"/>
      <c r="M4913" s="10"/>
      <c r="N4913" s="10"/>
      <c r="P4913" s="10"/>
      <c r="Q4913" s="22"/>
    </row>
    <row r="4914" customFormat="false" ht="15.75" hidden="false" customHeight="false" outlineLevel="0" collapsed="false">
      <c r="A4914" s="20" t="n">
        <v>46148</v>
      </c>
      <c r="B4914" s="15" t="s">
        <v>504</v>
      </c>
      <c r="C4914" s="15" t="s">
        <v>17</v>
      </c>
      <c r="D4914" s="15" t="s">
        <v>554</v>
      </c>
      <c r="E4914" s="15" t="n">
        <v>2</v>
      </c>
      <c r="H4914" s="10"/>
      <c r="I4914" s="21"/>
      <c r="M4914" s="10"/>
      <c r="N4914" s="10"/>
      <c r="P4914" s="10"/>
      <c r="Q4914" s="22"/>
    </row>
    <row r="4915" customFormat="false" ht="15.75" hidden="false" customHeight="false" outlineLevel="0" collapsed="false">
      <c r="A4915" s="20" t="n">
        <v>46148</v>
      </c>
      <c r="B4915" s="15" t="s">
        <v>505</v>
      </c>
      <c r="C4915" s="15" t="s">
        <v>55</v>
      </c>
      <c r="D4915" s="15" t="s">
        <v>539</v>
      </c>
      <c r="E4915" s="15" t="n">
        <v>6</v>
      </c>
      <c r="H4915" s="10"/>
      <c r="I4915" s="21"/>
      <c r="M4915" s="10"/>
      <c r="N4915" s="10"/>
      <c r="P4915" s="10"/>
      <c r="Q4915" s="22"/>
    </row>
    <row r="4916" customFormat="false" ht="15.75" hidden="false" customHeight="false" outlineLevel="0" collapsed="false">
      <c r="A4916" s="20" t="n">
        <v>46148</v>
      </c>
      <c r="B4916" s="15" t="s">
        <v>505</v>
      </c>
      <c r="C4916" s="15" t="s">
        <v>39</v>
      </c>
      <c r="D4916" s="15" t="s">
        <v>550</v>
      </c>
      <c r="E4916" s="15" t="n">
        <v>1</v>
      </c>
      <c r="H4916" s="10"/>
      <c r="I4916" s="21"/>
      <c r="M4916" s="10"/>
      <c r="N4916" s="10"/>
      <c r="P4916" s="10"/>
      <c r="Q4916" s="22"/>
    </row>
    <row r="4917" customFormat="false" ht="15.75" hidden="false" customHeight="false" outlineLevel="0" collapsed="false">
      <c r="A4917" s="20" t="n">
        <v>46148</v>
      </c>
      <c r="B4917" s="15" t="s">
        <v>505</v>
      </c>
      <c r="C4917" s="15" t="s">
        <v>81</v>
      </c>
      <c r="D4917" s="15" t="s">
        <v>534</v>
      </c>
      <c r="E4917" s="15" t="n">
        <v>9</v>
      </c>
      <c r="H4917" s="10"/>
      <c r="I4917" s="21"/>
      <c r="M4917" s="10"/>
      <c r="N4917" s="10"/>
      <c r="P4917" s="10"/>
      <c r="Q4917" s="22"/>
    </row>
    <row r="4918" customFormat="false" ht="15.75" hidden="false" customHeight="false" outlineLevel="0" collapsed="false">
      <c r="A4918" s="20" t="n">
        <v>46148</v>
      </c>
      <c r="B4918" s="15" t="s">
        <v>505</v>
      </c>
      <c r="C4918" s="15" t="s">
        <v>47</v>
      </c>
      <c r="D4918" s="15" t="s">
        <v>549</v>
      </c>
      <c r="E4918" s="15" t="n">
        <v>3</v>
      </c>
      <c r="H4918" s="10"/>
      <c r="I4918" s="21"/>
      <c r="M4918" s="10"/>
      <c r="N4918" s="10"/>
      <c r="P4918" s="10"/>
      <c r="Q4918" s="22"/>
    </row>
    <row r="4919" customFormat="false" ht="15.75" hidden="false" customHeight="false" outlineLevel="0" collapsed="false">
      <c r="A4919" s="20" t="n">
        <v>46148</v>
      </c>
      <c r="B4919" s="15" t="s">
        <v>505</v>
      </c>
      <c r="C4919" s="15" t="s">
        <v>63</v>
      </c>
      <c r="D4919" s="15" t="s">
        <v>551</v>
      </c>
      <c r="E4919" s="15" t="n">
        <v>1</v>
      </c>
      <c r="H4919" s="10"/>
      <c r="I4919" s="21"/>
      <c r="M4919" s="10"/>
      <c r="N4919" s="10"/>
      <c r="P4919" s="10"/>
      <c r="Q4919" s="22"/>
    </row>
    <row r="4920" customFormat="false" ht="15.75" hidden="false" customHeight="false" outlineLevel="0" collapsed="false">
      <c r="A4920" s="20" t="n">
        <v>46148</v>
      </c>
      <c r="B4920" s="15" t="s">
        <v>505</v>
      </c>
      <c r="C4920" s="15" t="s">
        <v>17</v>
      </c>
      <c r="D4920" s="15" t="s">
        <v>554</v>
      </c>
      <c r="E4920" s="15" t="n">
        <v>1</v>
      </c>
      <c r="H4920" s="10"/>
      <c r="I4920" s="21"/>
      <c r="M4920" s="10"/>
      <c r="N4920" s="10"/>
      <c r="P4920" s="10"/>
      <c r="Q4920" s="22"/>
    </row>
    <row r="4921" customFormat="false" ht="15.75" hidden="false" customHeight="false" outlineLevel="0" collapsed="false">
      <c r="A4921" s="20" t="n">
        <v>46148</v>
      </c>
      <c r="B4921" s="15" t="s">
        <v>508</v>
      </c>
      <c r="C4921" s="15" t="s">
        <v>55</v>
      </c>
      <c r="D4921" s="15" t="s">
        <v>539</v>
      </c>
      <c r="E4921" s="15" t="n">
        <v>5</v>
      </c>
      <c r="H4921" s="10"/>
      <c r="I4921" s="21"/>
      <c r="M4921" s="10"/>
      <c r="N4921" s="10"/>
      <c r="P4921" s="10"/>
      <c r="Q4921" s="22"/>
    </row>
    <row r="4922" customFormat="false" ht="15.75" hidden="false" customHeight="false" outlineLevel="0" collapsed="false">
      <c r="A4922" s="20" t="n">
        <v>46148</v>
      </c>
      <c r="B4922" s="15" t="s">
        <v>508</v>
      </c>
      <c r="C4922" s="15" t="s">
        <v>81</v>
      </c>
      <c r="D4922" s="15" t="s">
        <v>534</v>
      </c>
      <c r="E4922" s="15" t="n">
        <v>9</v>
      </c>
      <c r="H4922" s="10"/>
      <c r="I4922" s="21"/>
      <c r="M4922" s="10"/>
      <c r="N4922" s="10"/>
      <c r="P4922" s="10"/>
      <c r="Q4922" s="22"/>
    </row>
    <row r="4923" customFormat="false" ht="15.75" hidden="false" customHeight="false" outlineLevel="0" collapsed="false">
      <c r="A4923" s="20" t="n">
        <v>46148</v>
      </c>
      <c r="B4923" s="15" t="s">
        <v>508</v>
      </c>
      <c r="C4923" s="15" t="s">
        <v>39</v>
      </c>
      <c r="D4923" s="15" t="s">
        <v>550</v>
      </c>
      <c r="E4923" s="15" t="n">
        <v>2</v>
      </c>
      <c r="H4923" s="10"/>
      <c r="I4923" s="21"/>
      <c r="M4923" s="10"/>
      <c r="N4923" s="10"/>
      <c r="P4923" s="10"/>
      <c r="Q4923" s="22"/>
    </row>
    <row r="4924" customFormat="false" ht="15.75" hidden="false" customHeight="false" outlineLevel="0" collapsed="false">
      <c r="A4924" s="20" t="n">
        <v>46148</v>
      </c>
      <c r="B4924" s="15" t="s">
        <v>508</v>
      </c>
      <c r="C4924" s="15" t="s">
        <v>47</v>
      </c>
      <c r="D4924" s="15" t="s">
        <v>549</v>
      </c>
      <c r="E4924" s="15" t="n">
        <v>2</v>
      </c>
      <c r="H4924" s="10"/>
      <c r="I4924" s="21"/>
      <c r="M4924" s="10"/>
      <c r="N4924" s="10"/>
      <c r="P4924" s="10"/>
      <c r="Q4924" s="22"/>
    </row>
    <row r="4925" customFormat="false" ht="15.75" hidden="false" customHeight="false" outlineLevel="0" collapsed="false">
      <c r="A4925" s="20" t="n">
        <v>46148</v>
      </c>
      <c r="B4925" s="15" t="s">
        <v>508</v>
      </c>
      <c r="C4925" s="15" t="s">
        <v>63</v>
      </c>
      <c r="D4925" s="15" t="s">
        <v>551</v>
      </c>
      <c r="E4925" s="15" t="n">
        <v>1</v>
      </c>
      <c r="H4925" s="10"/>
      <c r="I4925" s="21"/>
      <c r="M4925" s="10"/>
      <c r="N4925" s="10"/>
      <c r="P4925" s="10"/>
      <c r="Q4925" s="22"/>
    </row>
    <row r="4926" customFormat="false" ht="15.75" hidden="false" customHeight="false" outlineLevel="0" collapsed="false">
      <c r="A4926" s="20" t="n">
        <v>46148</v>
      </c>
      <c r="B4926" s="15" t="s">
        <v>514</v>
      </c>
      <c r="C4926" s="15" t="s">
        <v>55</v>
      </c>
      <c r="D4926" s="15" t="s">
        <v>539</v>
      </c>
      <c r="E4926" s="15" t="n">
        <v>5</v>
      </c>
      <c r="H4926" s="10"/>
      <c r="I4926" s="21"/>
      <c r="M4926" s="10"/>
      <c r="N4926" s="10"/>
      <c r="P4926" s="10"/>
      <c r="Q4926" s="22"/>
    </row>
    <row r="4927" customFormat="false" ht="15.75" hidden="false" customHeight="false" outlineLevel="0" collapsed="false">
      <c r="A4927" s="20" t="n">
        <v>46148</v>
      </c>
      <c r="B4927" s="15" t="s">
        <v>514</v>
      </c>
      <c r="C4927" s="15" t="s">
        <v>57</v>
      </c>
      <c r="D4927" s="15" t="s">
        <v>553</v>
      </c>
      <c r="E4927" s="15" t="n">
        <v>1</v>
      </c>
      <c r="H4927" s="10"/>
      <c r="I4927" s="21"/>
      <c r="M4927" s="10"/>
      <c r="N4927" s="10"/>
      <c r="P4927" s="10"/>
      <c r="Q4927" s="22"/>
    </row>
    <row r="4928" customFormat="false" ht="15.75" hidden="false" customHeight="false" outlineLevel="0" collapsed="false">
      <c r="A4928" s="20" t="n">
        <v>46148</v>
      </c>
      <c r="B4928" s="15" t="s">
        <v>514</v>
      </c>
      <c r="C4928" s="15" t="s">
        <v>49</v>
      </c>
      <c r="D4928" s="15" t="s">
        <v>537</v>
      </c>
      <c r="E4928" s="15" t="n">
        <v>1</v>
      </c>
      <c r="H4928" s="10"/>
      <c r="I4928" s="21"/>
      <c r="M4928" s="10"/>
      <c r="N4928" s="10"/>
      <c r="P4928" s="10"/>
      <c r="Q4928" s="22"/>
    </row>
    <row r="4929" customFormat="false" ht="15.75" hidden="false" customHeight="false" outlineLevel="0" collapsed="false">
      <c r="A4929" s="20" t="n">
        <v>46148</v>
      </c>
      <c r="B4929" s="15" t="s">
        <v>514</v>
      </c>
      <c r="C4929" s="15" t="s">
        <v>47</v>
      </c>
      <c r="D4929" s="15" t="s">
        <v>549</v>
      </c>
      <c r="E4929" s="15" t="n">
        <v>4</v>
      </c>
      <c r="H4929" s="10"/>
      <c r="I4929" s="21"/>
      <c r="M4929" s="10"/>
      <c r="N4929" s="10"/>
      <c r="P4929" s="10"/>
      <c r="Q4929" s="22"/>
    </row>
    <row r="4930" customFormat="false" ht="15.75" hidden="false" customHeight="false" outlineLevel="0" collapsed="false">
      <c r="A4930" s="20" t="n">
        <v>46148</v>
      </c>
      <c r="B4930" s="15" t="s">
        <v>514</v>
      </c>
      <c r="C4930" s="15" t="s">
        <v>81</v>
      </c>
      <c r="D4930" s="15" t="s">
        <v>534</v>
      </c>
      <c r="E4930" s="15" t="n">
        <v>7</v>
      </c>
      <c r="H4930" s="10"/>
      <c r="I4930" s="21"/>
      <c r="M4930" s="10"/>
      <c r="N4930" s="10"/>
      <c r="P4930" s="10"/>
      <c r="Q4930" s="22"/>
    </row>
    <row r="4931" customFormat="false" ht="15.75" hidden="false" customHeight="false" outlineLevel="0" collapsed="false">
      <c r="A4931" s="20" t="n">
        <v>46148</v>
      </c>
      <c r="B4931" s="15" t="s">
        <v>514</v>
      </c>
      <c r="C4931" s="15" t="s">
        <v>63</v>
      </c>
      <c r="D4931" s="15" t="s">
        <v>551</v>
      </c>
      <c r="E4931" s="15" t="n">
        <v>1</v>
      </c>
      <c r="H4931" s="10"/>
      <c r="I4931" s="21"/>
      <c r="M4931" s="10"/>
      <c r="N4931" s="10"/>
      <c r="P4931" s="10"/>
      <c r="Q4931" s="22"/>
    </row>
    <row r="4932" customFormat="false" ht="15.75" hidden="false" customHeight="false" outlineLevel="0" collapsed="false">
      <c r="A4932" s="20" t="n">
        <v>46148</v>
      </c>
      <c r="B4932" s="15" t="s">
        <v>514</v>
      </c>
      <c r="C4932" s="15" t="s">
        <v>17</v>
      </c>
      <c r="D4932" s="15" t="s">
        <v>554</v>
      </c>
      <c r="E4932" s="15" t="n">
        <v>1</v>
      </c>
      <c r="H4932" s="10"/>
      <c r="I4932" s="21"/>
      <c r="M4932" s="10"/>
      <c r="N4932" s="10"/>
      <c r="P4932" s="10"/>
      <c r="Q4932" s="22"/>
    </row>
    <row r="4933" customFormat="false" ht="15.75" hidden="false" customHeight="false" outlineLevel="0" collapsed="false">
      <c r="A4933" s="20" t="n">
        <v>46148</v>
      </c>
      <c r="B4933" s="15" t="s">
        <v>518</v>
      </c>
      <c r="C4933" s="15" t="s">
        <v>69</v>
      </c>
      <c r="D4933" s="15" t="s">
        <v>535</v>
      </c>
      <c r="E4933" s="15" t="n">
        <v>6</v>
      </c>
      <c r="H4933" s="10"/>
      <c r="I4933" s="21"/>
      <c r="M4933" s="10"/>
      <c r="N4933" s="10"/>
      <c r="P4933" s="10"/>
      <c r="Q4933" s="22"/>
    </row>
    <row r="4934" customFormat="false" ht="15.75" hidden="false" customHeight="false" outlineLevel="0" collapsed="false">
      <c r="A4934" s="20" t="n">
        <v>46148</v>
      </c>
      <c r="B4934" s="15" t="s">
        <v>518</v>
      </c>
      <c r="C4934" s="15" t="s">
        <v>33</v>
      </c>
      <c r="D4934" s="15" t="s">
        <v>536</v>
      </c>
      <c r="E4934" s="15" t="n">
        <v>6</v>
      </c>
      <c r="H4934" s="10"/>
      <c r="I4934" s="21"/>
      <c r="M4934" s="10"/>
      <c r="N4934" s="10"/>
      <c r="P4934" s="10"/>
      <c r="Q4934" s="22"/>
    </row>
    <row r="4935" customFormat="false" ht="15.75" hidden="false" customHeight="false" outlineLevel="0" collapsed="false">
      <c r="A4935" s="20" t="n">
        <v>46148</v>
      </c>
      <c r="B4935" s="15" t="s">
        <v>518</v>
      </c>
      <c r="C4935" s="15" t="s">
        <v>47</v>
      </c>
      <c r="D4935" s="15" t="s">
        <v>549</v>
      </c>
      <c r="E4935" s="15" t="n">
        <v>2</v>
      </c>
      <c r="H4935" s="10"/>
      <c r="I4935" s="21"/>
      <c r="M4935" s="10"/>
      <c r="N4935" s="10"/>
      <c r="P4935" s="10"/>
      <c r="Q4935" s="22"/>
    </row>
    <row r="4936" customFormat="false" ht="15.75" hidden="false" customHeight="false" outlineLevel="0" collapsed="false">
      <c r="A4936" s="20" t="n">
        <v>46148</v>
      </c>
      <c r="B4936" s="15" t="s">
        <v>518</v>
      </c>
      <c r="C4936" s="15" t="s">
        <v>51</v>
      </c>
      <c r="D4936" s="15" t="s">
        <v>573</v>
      </c>
      <c r="E4936" s="15" t="n">
        <v>1</v>
      </c>
      <c r="H4936" s="10"/>
      <c r="I4936" s="21"/>
      <c r="M4936" s="10"/>
      <c r="N4936" s="10"/>
      <c r="P4936" s="10"/>
      <c r="Q4936" s="22"/>
    </row>
    <row r="4937" customFormat="false" ht="15.75" hidden="false" customHeight="false" outlineLevel="0" collapsed="false">
      <c r="A4937" s="20" t="n">
        <v>46148</v>
      </c>
      <c r="B4937" s="15" t="s">
        <v>518</v>
      </c>
      <c r="C4937" s="15" t="s">
        <v>55</v>
      </c>
      <c r="D4937" s="15" t="s">
        <v>539</v>
      </c>
      <c r="E4937" s="15" t="n">
        <v>2</v>
      </c>
      <c r="H4937" s="10"/>
      <c r="I4937" s="21"/>
      <c r="M4937" s="10"/>
      <c r="N4937" s="10"/>
      <c r="P4937" s="10"/>
      <c r="Q4937" s="22"/>
    </row>
    <row r="4938" customFormat="false" ht="15.75" hidden="false" customHeight="false" outlineLevel="0" collapsed="false">
      <c r="A4938" s="20" t="n">
        <v>46148</v>
      </c>
      <c r="B4938" s="15" t="s">
        <v>518</v>
      </c>
      <c r="C4938" s="15" t="s">
        <v>37</v>
      </c>
      <c r="D4938" s="15" t="s">
        <v>561</v>
      </c>
      <c r="E4938" s="15" t="n">
        <v>2</v>
      </c>
      <c r="H4938" s="10"/>
      <c r="I4938" s="21"/>
      <c r="M4938" s="10"/>
      <c r="N4938" s="10"/>
      <c r="P4938" s="10"/>
      <c r="Q4938" s="22"/>
    </row>
    <row r="4939" customFormat="false" ht="15.75" hidden="false" customHeight="false" outlineLevel="0" collapsed="false">
      <c r="A4939" s="20" t="n">
        <v>46148</v>
      </c>
      <c r="B4939" s="15" t="s">
        <v>518</v>
      </c>
      <c r="C4939" s="15" t="s">
        <v>547</v>
      </c>
      <c r="D4939" s="15" t="s">
        <v>548</v>
      </c>
      <c r="E4939" s="15" t="n">
        <v>1</v>
      </c>
      <c r="H4939" s="10"/>
      <c r="I4939" s="21"/>
      <c r="M4939" s="10"/>
      <c r="N4939" s="10"/>
      <c r="P4939" s="10"/>
      <c r="Q4939" s="22"/>
    </row>
    <row r="4940" customFormat="false" ht="15.75" hidden="false" customHeight="false" outlineLevel="0" collapsed="false">
      <c r="A4940" s="20" t="n">
        <v>46148</v>
      </c>
      <c r="B4940" s="15" t="s">
        <v>518</v>
      </c>
      <c r="C4940" s="15" t="s">
        <v>81</v>
      </c>
      <c r="D4940" s="15" t="s">
        <v>534</v>
      </c>
      <c r="E4940" s="15" t="n">
        <v>1</v>
      </c>
      <c r="H4940" s="10"/>
      <c r="I4940" s="21"/>
      <c r="M4940" s="10"/>
      <c r="N4940" s="10"/>
      <c r="P4940" s="10"/>
      <c r="Q4940" s="22"/>
    </row>
    <row r="4941" customFormat="false" ht="15.75" hidden="false" customHeight="false" outlineLevel="0" collapsed="false">
      <c r="A4941" s="20" t="n">
        <v>46149</v>
      </c>
      <c r="B4941" s="15" t="s">
        <v>453</v>
      </c>
      <c r="C4941" s="15" t="s">
        <v>47</v>
      </c>
      <c r="D4941" s="15" t="s">
        <v>549</v>
      </c>
      <c r="E4941" s="15" t="n">
        <v>2</v>
      </c>
      <c r="H4941" s="10"/>
      <c r="I4941" s="21"/>
      <c r="M4941" s="10"/>
      <c r="N4941" s="10"/>
      <c r="P4941" s="10"/>
      <c r="Q4941" s="22"/>
    </row>
    <row r="4942" customFormat="false" ht="15.75" hidden="false" customHeight="false" outlineLevel="0" collapsed="false">
      <c r="A4942" s="20" t="n">
        <v>46149</v>
      </c>
      <c r="B4942" s="15" t="s">
        <v>453</v>
      </c>
      <c r="C4942" s="15" t="s">
        <v>55</v>
      </c>
      <c r="D4942" s="15" t="s">
        <v>539</v>
      </c>
      <c r="E4942" s="15" t="n">
        <v>4</v>
      </c>
      <c r="H4942" s="10"/>
      <c r="I4942" s="21"/>
      <c r="M4942" s="10"/>
      <c r="N4942" s="10"/>
      <c r="P4942" s="10"/>
      <c r="Q4942" s="22"/>
    </row>
    <row r="4943" customFormat="false" ht="15.75" hidden="false" customHeight="false" outlineLevel="0" collapsed="false">
      <c r="A4943" s="20" t="n">
        <v>46149</v>
      </c>
      <c r="B4943" s="15" t="s">
        <v>453</v>
      </c>
      <c r="C4943" s="15" t="s">
        <v>81</v>
      </c>
      <c r="D4943" s="15" t="s">
        <v>534</v>
      </c>
      <c r="E4943" s="15" t="n">
        <v>8</v>
      </c>
      <c r="H4943" s="10"/>
      <c r="I4943" s="21"/>
      <c r="M4943" s="10"/>
      <c r="N4943" s="10"/>
      <c r="P4943" s="10"/>
      <c r="Q4943" s="22"/>
    </row>
    <row r="4944" customFormat="false" ht="15.75" hidden="false" customHeight="false" outlineLevel="0" collapsed="false">
      <c r="A4944" s="20" t="n">
        <v>46149</v>
      </c>
      <c r="B4944" s="15" t="s">
        <v>453</v>
      </c>
      <c r="C4944" s="15" t="s">
        <v>39</v>
      </c>
      <c r="D4944" s="15" t="s">
        <v>550</v>
      </c>
      <c r="E4944" s="15" t="n">
        <v>2</v>
      </c>
      <c r="H4944" s="10"/>
      <c r="I4944" s="21"/>
      <c r="M4944" s="10"/>
      <c r="N4944" s="10"/>
      <c r="P4944" s="10"/>
      <c r="Q4944" s="22"/>
    </row>
    <row r="4945" customFormat="false" ht="15.75" hidden="false" customHeight="false" outlineLevel="0" collapsed="false">
      <c r="A4945" s="20" t="n">
        <v>46149</v>
      </c>
      <c r="B4945" s="15" t="s">
        <v>453</v>
      </c>
      <c r="C4945" s="15" t="s">
        <v>63</v>
      </c>
      <c r="D4945" s="15" t="s">
        <v>551</v>
      </c>
      <c r="E4945" s="15" t="n">
        <v>1</v>
      </c>
      <c r="H4945" s="10"/>
      <c r="I4945" s="21"/>
      <c r="M4945" s="10"/>
      <c r="N4945" s="10"/>
      <c r="P4945" s="10"/>
      <c r="Q4945" s="22"/>
    </row>
    <row r="4946" customFormat="false" ht="15.75" hidden="false" customHeight="false" outlineLevel="0" collapsed="false">
      <c r="A4946" s="20" t="n">
        <v>46149</v>
      </c>
      <c r="B4946" s="15" t="s">
        <v>453</v>
      </c>
      <c r="C4946" s="15" t="s">
        <v>35</v>
      </c>
      <c r="D4946" s="15" t="s">
        <v>552</v>
      </c>
      <c r="E4946" s="15" t="n">
        <v>2</v>
      </c>
      <c r="H4946" s="10"/>
      <c r="I4946" s="21"/>
      <c r="M4946" s="10"/>
      <c r="N4946" s="10"/>
      <c r="P4946" s="10"/>
      <c r="Q4946" s="22"/>
    </row>
    <row r="4947" customFormat="false" ht="15.75" hidden="false" customHeight="false" outlineLevel="0" collapsed="false">
      <c r="A4947" s="20" t="n">
        <v>46149</v>
      </c>
      <c r="B4947" s="15" t="s">
        <v>467</v>
      </c>
      <c r="C4947" s="15" t="s">
        <v>55</v>
      </c>
      <c r="D4947" s="15" t="s">
        <v>539</v>
      </c>
      <c r="E4947" s="15" t="n">
        <v>6</v>
      </c>
      <c r="H4947" s="10"/>
      <c r="I4947" s="21"/>
      <c r="M4947" s="10"/>
      <c r="N4947" s="10"/>
      <c r="P4947" s="10"/>
      <c r="Q4947" s="22"/>
    </row>
    <row r="4948" customFormat="false" ht="15.75" hidden="false" customHeight="false" outlineLevel="0" collapsed="false">
      <c r="A4948" s="20" t="n">
        <v>46149</v>
      </c>
      <c r="B4948" s="15" t="s">
        <v>467</v>
      </c>
      <c r="C4948" s="15" t="s">
        <v>57</v>
      </c>
      <c r="D4948" s="15" t="s">
        <v>553</v>
      </c>
      <c r="E4948" s="15" t="n">
        <v>2</v>
      </c>
      <c r="H4948" s="10"/>
      <c r="I4948" s="21"/>
      <c r="M4948" s="10"/>
      <c r="N4948" s="10"/>
      <c r="P4948" s="10"/>
      <c r="Q4948" s="22"/>
    </row>
    <row r="4949" customFormat="false" ht="15.75" hidden="false" customHeight="false" outlineLevel="0" collapsed="false">
      <c r="A4949" s="20" t="n">
        <v>46149</v>
      </c>
      <c r="B4949" s="15" t="s">
        <v>467</v>
      </c>
      <c r="C4949" s="15" t="s">
        <v>47</v>
      </c>
      <c r="D4949" s="15" t="s">
        <v>549</v>
      </c>
      <c r="E4949" s="15" t="n">
        <v>2</v>
      </c>
      <c r="H4949" s="10"/>
      <c r="I4949" s="21"/>
      <c r="M4949" s="10"/>
      <c r="N4949" s="10"/>
      <c r="P4949" s="10"/>
      <c r="Q4949" s="22"/>
    </row>
    <row r="4950" customFormat="false" ht="15.75" hidden="false" customHeight="false" outlineLevel="0" collapsed="false">
      <c r="A4950" s="20" t="n">
        <v>46149</v>
      </c>
      <c r="B4950" s="15" t="s">
        <v>467</v>
      </c>
      <c r="C4950" s="15" t="s">
        <v>81</v>
      </c>
      <c r="D4950" s="15" t="s">
        <v>534</v>
      </c>
      <c r="E4950" s="15" t="n">
        <v>7</v>
      </c>
      <c r="H4950" s="10"/>
      <c r="I4950" s="21"/>
      <c r="M4950" s="10"/>
      <c r="N4950" s="10"/>
      <c r="P4950" s="10"/>
      <c r="Q4950" s="22"/>
    </row>
    <row r="4951" customFormat="false" ht="15.75" hidden="false" customHeight="false" outlineLevel="0" collapsed="false">
      <c r="A4951" s="20" t="n">
        <v>46149</v>
      </c>
      <c r="B4951" s="15" t="s">
        <v>467</v>
      </c>
      <c r="C4951" s="15" t="s">
        <v>49</v>
      </c>
      <c r="D4951" s="15" t="s">
        <v>537</v>
      </c>
      <c r="E4951" s="15" t="n">
        <v>2</v>
      </c>
      <c r="H4951" s="10"/>
      <c r="I4951" s="21"/>
      <c r="M4951" s="10"/>
      <c r="N4951" s="10"/>
      <c r="P4951" s="10"/>
      <c r="Q4951" s="22"/>
    </row>
    <row r="4952" customFormat="false" ht="15.75" hidden="false" customHeight="false" outlineLevel="0" collapsed="false">
      <c r="A4952" s="20" t="n">
        <v>46149</v>
      </c>
      <c r="B4952" s="15" t="s">
        <v>467</v>
      </c>
      <c r="C4952" s="15" t="s">
        <v>63</v>
      </c>
      <c r="D4952" s="15" t="s">
        <v>551</v>
      </c>
      <c r="E4952" s="15" t="n">
        <v>1</v>
      </c>
      <c r="H4952" s="10"/>
      <c r="I4952" s="21"/>
      <c r="M4952" s="10"/>
      <c r="N4952" s="10"/>
      <c r="P4952" s="10"/>
      <c r="Q4952" s="22"/>
    </row>
    <row r="4953" customFormat="false" ht="15.75" hidden="false" customHeight="false" outlineLevel="0" collapsed="false">
      <c r="A4953" s="20" t="n">
        <v>46149</v>
      </c>
      <c r="B4953" s="15" t="s">
        <v>477</v>
      </c>
      <c r="C4953" s="15" t="s">
        <v>69</v>
      </c>
      <c r="D4953" s="15" t="s">
        <v>535</v>
      </c>
      <c r="E4953" s="15" t="n">
        <v>3</v>
      </c>
      <c r="H4953" s="10"/>
      <c r="I4953" s="21"/>
      <c r="M4953" s="10"/>
      <c r="N4953" s="10"/>
      <c r="P4953" s="10"/>
      <c r="Q4953" s="22"/>
    </row>
    <row r="4954" customFormat="false" ht="15.75" hidden="false" customHeight="false" outlineLevel="0" collapsed="false">
      <c r="A4954" s="20" t="n">
        <v>46149</v>
      </c>
      <c r="B4954" s="15" t="s">
        <v>477</v>
      </c>
      <c r="C4954" s="15" t="s">
        <v>547</v>
      </c>
      <c r="D4954" s="15" t="s">
        <v>548</v>
      </c>
      <c r="E4954" s="15" t="n">
        <v>3</v>
      </c>
      <c r="H4954" s="10"/>
      <c r="I4954" s="21"/>
      <c r="M4954" s="10"/>
      <c r="N4954" s="10"/>
      <c r="P4954" s="10"/>
      <c r="Q4954" s="22"/>
    </row>
    <row r="4955" customFormat="false" ht="15.75" hidden="false" customHeight="false" outlineLevel="0" collapsed="false">
      <c r="A4955" s="20" t="n">
        <v>46149</v>
      </c>
      <c r="B4955" s="15" t="s">
        <v>477</v>
      </c>
      <c r="C4955" s="15" t="s">
        <v>25</v>
      </c>
      <c r="D4955" s="15" t="s">
        <v>26</v>
      </c>
      <c r="E4955" s="15" t="n">
        <v>3</v>
      </c>
      <c r="H4955" s="10"/>
      <c r="I4955" s="21"/>
      <c r="M4955" s="10"/>
      <c r="N4955" s="10"/>
      <c r="P4955" s="10"/>
      <c r="Q4955" s="22"/>
    </row>
    <row r="4956" customFormat="false" ht="15.75" hidden="false" customHeight="false" outlineLevel="0" collapsed="false">
      <c r="A4956" s="20" t="n">
        <v>46149</v>
      </c>
      <c r="B4956" s="15" t="s">
        <v>491</v>
      </c>
      <c r="C4956" s="15" t="s">
        <v>37</v>
      </c>
      <c r="D4956" s="15" t="s">
        <v>561</v>
      </c>
      <c r="E4956" s="15" t="n">
        <v>1</v>
      </c>
      <c r="H4956" s="10"/>
      <c r="I4956" s="21"/>
      <c r="M4956" s="10"/>
      <c r="N4956" s="10"/>
      <c r="P4956" s="10"/>
      <c r="Q4956" s="22"/>
    </row>
    <row r="4957" customFormat="false" ht="15.75" hidden="false" customHeight="false" outlineLevel="0" collapsed="false">
      <c r="A4957" s="20" t="n">
        <v>46149</v>
      </c>
      <c r="B4957" s="15" t="s">
        <v>491</v>
      </c>
      <c r="C4957" s="15" t="s">
        <v>81</v>
      </c>
      <c r="D4957" s="15" t="s">
        <v>534</v>
      </c>
      <c r="E4957" s="15" t="n">
        <v>8</v>
      </c>
      <c r="H4957" s="10"/>
      <c r="I4957" s="21"/>
      <c r="M4957" s="10"/>
      <c r="N4957" s="10"/>
      <c r="P4957" s="10"/>
      <c r="Q4957" s="22"/>
    </row>
    <row r="4958" customFormat="false" ht="15.75" hidden="false" customHeight="false" outlineLevel="0" collapsed="false">
      <c r="A4958" s="20" t="n">
        <v>46149</v>
      </c>
      <c r="B4958" s="15" t="s">
        <v>491</v>
      </c>
      <c r="C4958" s="15" t="s">
        <v>75</v>
      </c>
      <c r="D4958" s="15" t="s">
        <v>560</v>
      </c>
      <c r="E4958" s="15" t="n">
        <v>1</v>
      </c>
      <c r="H4958" s="10"/>
      <c r="I4958" s="21"/>
      <c r="M4958" s="10"/>
      <c r="N4958" s="10"/>
      <c r="P4958" s="10"/>
      <c r="Q4958" s="22"/>
    </row>
    <row r="4959" customFormat="false" ht="15.75" hidden="false" customHeight="false" outlineLevel="0" collapsed="false">
      <c r="A4959" s="20" t="n">
        <v>46149</v>
      </c>
      <c r="B4959" s="15" t="s">
        <v>491</v>
      </c>
      <c r="C4959" s="15" t="s">
        <v>69</v>
      </c>
      <c r="D4959" s="15" t="s">
        <v>535</v>
      </c>
      <c r="E4959" s="15" t="n">
        <v>6</v>
      </c>
      <c r="H4959" s="10"/>
      <c r="I4959" s="21"/>
      <c r="M4959" s="10"/>
      <c r="N4959" s="10"/>
      <c r="P4959" s="10"/>
      <c r="Q4959" s="22"/>
    </row>
    <row r="4960" customFormat="false" ht="15.75" hidden="false" customHeight="false" outlineLevel="0" collapsed="false">
      <c r="A4960" s="20" t="n">
        <v>46149</v>
      </c>
      <c r="B4960" s="15" t="s">
        <v>491</v>
      </c>
      <c r="C4960" s="15" t="s">
        <v>547</v>
      </c>
      <c r="D4960" s="15" t="s">
        <v>548</v>
      </c>
      <c r="E4960" s="15" t="n">
        <v>1</v>
      </c>
      <c r="H4960" s="10"/>
      <c r="I4960" s="21"/>
      <c r="M4960" s="10"/>
      <c r="N4960" s="10"/>
      <c r="P4960" s="10"/>
      <c r="Q4960" s="22"/>
    </row>
    <row r="4961" customFormat="false" ht="15.75" hidden="false" customHeight="false" outlineLevel="0" collapsed="false">
      <c r="A4961" s="20" t="n">
        <v>46149</v>
      </c>
      <c r="B4961" s="15" t="s">
        <v>491</v>
      </c>
      <c r="C4961" s="15" t="s">
        <v>31</v>
      </c>
      <c r="D4961" s="15" t="s">
        <v>559</v>
      </c>
      <c r="E4961" s="15" t="n">
        <v>2</v>
      </c>
      <c r="H4961" s="10"/>
      <c r="I4961" s="21"/>
      <c r="M4961" s="10"/>
      <c r="N4961" s="10"/>
      <c r="P4961" s="10"/>
      <c r="Q4961" s="22"/>
    </row>
    <row r="4962" customFormat="false" ht="15.75" hidden="false" customHeight="false" outlineLevel="0" collapsed="false">
      <c r="A4962" s="20" t="n">
        <v>46149</v>
      </c>
      <c r="B4962" s="15" t="s">
        <v>491</v>
      </c>
      <c r="C4962" s="15" t="s">
        <v>545</v>
      </c>
      <c r="D4962" s="15" t="s">
        <v>546</v>
      </c>
      <c r="E4962" s="15" t="n">
        <v>2</v>
      </c>
      <c r="H4962" s="10"/>
      <c r="I4962" s="21"/>
      <c r="M4962" s="10"/>
      <c r="N4962" s="10"/>
      <c r="P4962" s="10"/>
      <c r="Q4962" s="22"/>
    </row>
    <row r="4963" customFormat="false" ht="15.75" hidden="false" customHeight="false" outlineLevel="0" collapsed="false">
      <c r="A4963" s="20" t="n">
        <v>46149</v>
      </c>
      <c r="B4963" s="15" t="s">
        <v>491</v>
      </c>
      <c r="C4963" s="15" t="s">
        <v>543</v>
      </c>
      <c r="D4963" s="15" t="s">
        <v>544</v>
      </c>
      <c r="E4963" s="15" t="n">
        <v>4</v>
      </c>
      <c r="H4963" s="10"/>
      <c r="I4963" s="21"/>
      <c r="M4963" s="10"/>
      <c r="N4963" s="10"/>
      <c r="P4963" s="10"/>
      <c r="Q4963" s="22"/>
    </row>
    <row r="4964" customFormat="false" ht="15.75" hidden="false" customHeight="false" outlineLevel="0" collapsed="false">
      <c r="A4964" s="20" t="n">
        <v>46149</v>
      </c>
      <c r="B4964" s="15" t="s">
        <v>491</v>
      </c>
      <c r="C4964" s="15" t="s">
        <v>541</v>
      </c>
      <c r="D4964" s="15" t="s">
        <v>542</v>
      </c>
      <c r="E4964" s="15" t="n">
        <v>2</v>
      </c>
      <c r="H4964" s="10"/>
      <c r="I4964" s="21"/>
      <c r="M4964" s="10"/>
      <c r="N4964" s="10"/>
      <c r="P4964" s="10"/>
      <c r="Q4964" s="22"/>
    </row>
    <row r="4965" customFormat="false" ht="15.75" hidden="false" customHeight="false" outlineLevel="0" collapsed="false">
      <c r="A4965" s="20" t="n">
        <v>46149</v>
      </c>
      <c r="B4965" s="15" t="s">
        <v>491</v>
      </c>
      <c r="C4965" s="15" t="s">
        <v>49</v>
      </c>
      <c r="D4965" s="15" t="s">
        <v>537</v>
      </c>
      <c r="E4965" s="15" t="n">
        <v>1</v>
      </c>
      <c r="H4965" s="10"/>
      <c r="I4965" s="21"/>
      <c r="M4965" s="10"/>
      <c r="N4965" s="10"/>
      <c r="P4965" s="10"/>
      <c r="Q4965" s="22"/>
    </row>
    <row r="4966" customFormat="false" ht="15.75" hidden="false" customHeight="false" outlineLevel="0" collapsed="false">
      <c r="A4966" s="20" t="n">
        <v>46149</v>
      </c>
      <c r="B4966" s="15" t="s">
        <v>491</v>
      </c>
      <c r="C4966" s="15" t="s">
        <v>33</v>
      </c>
      <c r="D4966" s="15" t="s">
        <v>536</v>
      </c>
      <c r="E4966" s="15" t="n">
        <v>5</v>
      </c>
      <c r="H4966" s="10"/>
      <c r="I4966" s="21"/>
      <c r="M4966" s="10"/>
      <c r="N4966" s="10"/>
      <c r="P4966" s="10"/>
      <c r="Q4966" s="22"/>
    </row>
    <row r="4967" customFormat="false" ht="15.75" hidden="false" customHeight="false" outlineLevel="0" collapsed="false">
      <c r="A4967" s="20" t="n">
        <v>46149</v>
      </c>
      <c r="B4967" s="15" t="s">
        <v>491</v>
      </c>
      <c r="C4967" s="15" t="s">
        <v>77</v>
      </c>
      <c r="D4967" s="15" t="s">
        <v>78</v>
      </c>
      <c r="E4967" s="15" t="n">
        <v>3</v>
      </c>
      <c r="H4967" s="10"/>
      <c r="I4967" s="21"/>
      <c r="M4967" s="10"/>
      <c r="N4967" s="10"/>
      <c r="P4967" s="10"/>
      <c r="Q4967" s="22"/>
    </row>
    <row r="4968" customFormat="false" ht="15.75" hidden="false" customHeight="false" outlineLevel="0" collapsed="false">
      <c r="A4968" s="20" t="n">
        <v>46149</v>
      </c>
      <c r="B4968" s="15" t="s">
        <v>491</v>
      </c>
      <c r="C4968" s="15" t="s">
        <v>47</v>
      </c>
      <c r="D4968" s="15" t="s">
        <v>549</v>
      </c>
      <c r="E4968" s="15" t="n">
        <v>1</v>
      </c>
      <c r="H4968" s="10"/>
      <c r="I4968" s="21"/>
      <c r="M4968" s="10"/>
      <c r="N4968" s="10"/>
      <c r="P4968" s="10"/>
      <c r="Q4968" s="22"/>
    </row>
    <row r="4969" customFormat="false" ht="15.75" hidden="false" customHeight="false" outlineLevel="0" collapsed="false">
      <c r="A4969" s="20" t="n">
        <v>46149</v>
      </c>
      <c r="B4969" s="15" t="s">
        <v>491</v>
      </c>
      <c r="C4969" s="15" t="s">
        <v>55</v>
      </c>
      <c r="D4969" s="15" t="s">
        <v>539</v>
      </c>
      <c r="E4969" s="15" t="n">
        <v>1</v>
      </c>
      <c r="H4969" s="10"/>
      <c r="I4969" s="21"/>
      <c r="M4969" s="10"/>
      <c r="N4969" s="10"/>
      <c r="P4969" s="10"/>
      <c r="Q4969" s="22"/>
    </row>
    <row r="4970" customFormat="false" ht="15.75" hidden="false" customHeight="false" outlineLevel="0" collapsed="false">
      <c r="A4970" s="20" t="n">
        <v>46149</v>
      </c>
      <c r="B4970" s="15" t="s">
        <v>491</v>
      </c>
      <c r="C4970" s="15" t="s">
        <v>59</v>
      </c>
      <c r="D4970" s="15" t="s">
        <v>562</v>
      </c>
      <c r="E4970" s="15" t="n">
        <v>1</v>
      </c>
      <c r="H4970" s="10"/>
      <c r="I4970" s="21"/>
      <c r="M4970" s="10"/>
      <c r="N4970" s="10"/>
      <c r="P4970" s="10"/>
      <c r="Q4970" s="22"/>
    </row>
    <row r="4971" customFormat="false" ht="15.75" hidden="false" customHeight="false" outlineLevel="0" collapsed="false">
      <c r="A4971" s="20" t="n">
        <v>46149</v>
      </c>
      <c r="B4971" s="15" t="s">
        <v>491</v>
      </c>
      <c r="C4971" s="15" t="s">
        <v>43</v>
      </c>
      <c r="D4971" s="15" t="s">
        <v>538</v>
      </c>
      <c r="E4971" s="15" t="n">
        <v>1</v>
      </c>
      <c r="H4971" s="10"/>
      <c r="I4971" s="21"/>
      <c r="M4971" s="10"/>
      <c r="N4971" s="10"/>
      <c r="P4971" s="10"/>
      <c r="Q4971" s="22"/>
    </row>
    <row r="4972" customFormat="false" ht="15.75" hidden="false" customHeight="false" outlineLevel="0" collapsed="false">
      <c r="A4972" s="20" t="n">
        <v>46149</v>
      </c>
      <c r="B4972" s="15" t="s">
        <v>491</v>
      </c>
      <c r="C4972" s="15" t="s">
        <v>87</v>
      </c>
      <c r="D4972" s="15" t="s">
        <v>563</v>
      </c>
      <c r="E4972" s="15" t="n">
        <v>1</v>
      </c>
      <c r="H4972" s="10"/>
      <c r="I4972" s="21"/>
      <c r="M4972" s="10"/>
      <c r="N4972" s="10"/>
      <c r="P4972" s="10"/>
      <c r="Q4972" s="22"/>
    </row>
    <row r="4973" customFormat="false" ht="15.75" hidden="false" customHeight="false" outlineLevel="0" collapsed="false">
      <c r="A4973" s="20" t="n">
        <v>46149</v>
      </c>
      <c r="B4973" s="15" t="s">
        <v>491</v>
      </c>
      <c r="C4973" s="15" t="s">
        <v>79</v>
      </c>
      <c r="D4973" s="15" t="s">
        <v>564</v>
      </c>
      <c r="E4973" s="15" t="n">
        <v>1</v>
      </c>
      <c r="H4973" s="10"/>
      <c r="I4973" s="21"/>
      <c r="M4973" s="10"/>
      <c r="N4973" s="10"/>
      <c r="P4973" s="10"/>
      <c r="Q4973" s="22"/>
    </row>
    <row r="4974" customFormat="false" ht="15.75" hidden="false" customHeight="false" outlineLevel="0" collapsed="false">
      <c r="A4974" s="20" t="n">
        <v>46149</v>
      </c>
      <c r="B4974" s="15" t="s">
        <v>496</v>
      </c>
      <c r="C4974" s="15" t="s">
        <v>81</v>
      </c>
      <c r="D4974" s="15" t="s">
        <v>534</v>
      </c>
      <c r="E4974" s="15" t="n">
        <v>7</v>
      </c>
      <c r="H4974" s="10"/>
      <c r="I4974" s="21"/>
      <c r="M4974" s="10"/>
      <c r="N4974" s="10"/>
      <c r="P4974" s="10"/>
      <c r="Q4974" s="22"/>
    </row>
    <row r="4975" customFormat="false" ht="15.75" hidden="false" customHeight="false" outlineLevel="0" collapsed="false">
      <c r="A4975" s="20" t="n">
        <v>46149</v>
      </c>
      <c r="B4975" s="15" t="s">
        <v>496</v>
      </c>
      <c r="C4975" s="15" t="s">
        <v>47</v>
      </c>
      <c r="D4975" s="15" t="s">
        <v>549</v>
      </c>
      <c r="E4975" s="15" t="n">
        <v>4</v>
      </c>
      <c r="H4975" s="10"/>
      <c r="I4975" s="21"/>
      <c r="M4975" s="10"/>
      <c r="N4975" s="10"/>
      <c r="P4975" s="10"/>
      <c r="Q4975" s="22"/>
    </row>
    <row r="4976" customFormat="false" ht="15.75" hidden="false" customHeight="false" outlineLevel="0" collapsed="false">
      <c r="A4976" s="20" t="n">
        <v>46149</v>
      </c>
      <c r="B4976" s="15" t="s">
        <v>496</v>
      </c>
      <c r="C4976" s="15" t="s">
        <v>55</v>
      </c>
      <c r="D4976" s="15" t="s">
        <v>539</v>
      </c>
      <c r="E4976" s="15" t="n">
        <v>2</v>
      </c>
      <c r="H4976" s="10"/>
      <c r="I4976" s="21"/>
      <c r="M4976" s="10"/>
      <c r="N4976" s="10"/>
      <c r="P4976" s="10"/>
      <c r="Q4976" s="22"/>
    </row>
    <row r="4977" customFormat="false" ht="15.75" hidden="false" customHeight="false" outlineLevel="0" collapsed="false">
      <c r="A4977" s="20" t="n">
        <v>46149</v>
      </c>
      <c r="B4977" s="15" t="s">
        <v>496</v>
      </c>
      <c r="C4977" s="15" t="s">
        <v>567</v>
      </c>
      <c r="D4977" s="15" t="s">
        <v>568</v>
      </c>
      <c r="E4977" s="15" t="n">
        <v>3</v>
      </c>
      <c r="H4977" s="10"/>
      <c r="I4977" s="21"/>
      <c r="M4977" s="10"/>
      <c r="N4977" s="10"/>
      <c r="P4977" s="10"/>
      <c r="Q4977" s="22"/>
    </row>
    <row r="4978" customFormat="false" ht="15.75" hidden="false" customHeight="false" outlineLevel="0" collapsed="false">
      <c r="A4978" s="20" t="n">
        <v>46149</v>
      </c>
      <c r="B4978" s="15" t="s">
        <v>496</v>
      </c>
      <c r="C4978" s="15" t="s">
        <v>545</v>
      </c>
      <c r="D4978" s="15" t="s">
        <v>546</v>
      </c>
      <c r="E4978" s="15" t="n">
        <v>3</v>
      </c>
      <c r="H4978" s="10"/>
      <c r="I4978" s="21"/>
      <c r="M4978" s="10"/>
      <c r="N4978" s="10"/>
      <c r="P4978" s="10"/>
      <c r="Q4978" s="22"/>
    </row>
    <row r="4979" customFormat="false" ht="15.75" hidden="false" customHeight="false" outlineLevel="0" collapsed="false">
      <c r="A4979" s="20" t="n">
        <v>46149</v>
      </c>
      <c r="B4979" s="15" t="s">
        <v>496</v>
      </c>
      <c r="C4979" s="15" t="s">
        <v>547</v>
      </c>
      <c r="D4979" s="15" t="s">
        <v>548</v>
      </c>
      <c r="E4979" s="15" t="n">
        <v>1</v>
      </c>
      <c r="H4979" s="10"/>
      <c r="I4979" s="21"/>
      <c r="M4979" s="10"/>
      <c r="N4979" s="10"/>
      <c r="P4979" s="10"/>
      <c r="Q4979" s="22"/>
    </row>
    <row r="4980" customFormat="false" ht="15.75" hidden="false" customHeight="false" outlineLevel="0" collapsed="false">
      <c r="A4980" s="20" t="n">
        <v>46149</v>
      </c>
      <c r="B4980" s="15" t="s">
        <v>496</v>
      </c>
      <c r="C4980" s="15" t="s">
        <v>555</v>
      </c>
      <c r="D4980" s="15" t="s">
        <v>556</v>
      </c>
      <c r="E4980" s="15" t="n">
        <v>4</v>
      </c>
      <c r="H4980" s="10"/>
      <c r="I4980" s="21"/>
      <c r="M4980" s="10"/>
      <c r="N4980" s="10"/>
      <c r="P4980" s="10"/>
      <c r="Q4980" s="22"/>
    </row>
    <row r="4981" customFormat="false" ht="15.75" hidden="false" customHeight="false" outlineLevel="0" collapsed="false">
      <c r="A4981" s="20" t="n">
        <v>46149</v>
      </c>
      <c r="B4981" s="15" t="s">
        <v>496</v>
      </c>
      <c r="C4981" s="15" t="s">
        <v>541</v>
      </c>
      <c r="D4981" s="15" t="s">
        <v>542</v>
      </c>
      <c r="E4981" s="15" t="n">
        <v>4</v>
      </c>
      <c r="H4981" s="10"/>
      <c r="I4981" s="21"/>
      <c r="M4981" s="10"/>
      <c r="N4981" s="10"/>
      <c r="P4981" s="10"/>
      <c r="Q4981" s="22"/>
    </row>
    <row r="4982" customFormat="false" ht="15.75" hidden="false" customHeight="false" outlineLevel="0" collapsed="false">
      <c r="A4982" s="20" t="n">
        <v>46149</v>
      </c>
      <c r="B4982" s="15" t="s">
        <v>496</v>
      </c>
      <c r="C4982" s="15" t="s">
        <v>45</v>
      </c>
      <c r="D4982" s="15" t="s">
        <v>540</v>
      </c>
      <c r="E4982" s="15" t="n">
        <v>1</v>
      </c>
      <c r="H4982" s="10"/>
      <c r="I4982" s="21"/>
      <c r="M4982" s="10"/>
      <c r="N4982" s="10"/>
      <c r="P4982" s="10"/>
      <c r="Q4982" s="22"/>
    </row>
    <row r="4983" customFormat="false" ht="15.75" hidden="false" customHeight="false" outlineLevel="0" collapsed="false">
      <c r="A4983" s="20" t="n">
        <v>46149</v>
      </c>
      <c r="B4983" s="15" t="s">
        <v>496</v>
      </c>
      <c r="C4983" s="15" t="s">
        <v>37</v>
      </c>
      <c r="D4983" s="15" t="s">
        <v>561</v>
      </c>
      <c r="E4983" s="15" t="n">
        <v>1</v>
      </c>
      <c r="H4983" s="10"/>
      <c r="I4983" s="21"/>
      <c r="M4983" s="10"/>
      <c r="N4983" s="10"/>
      <c r="P4983" s="10"/>
      <c r="Q4983" s="22"/>
    </row>
    <row r="4984" customFormat="false" ht="15.75" hidden="false" customHeight="false" outlineLevel="0" collapsed="false">
      <c r="A4984" s="20" t="n">
        <v>46149</v>
      </c>
      <c r="B4984" s="15" t="s">
        <v>496</v>
      </c>
      <c r="C4984" s="15" t="s">
        <v>543</v>
      </c>
      <c r="D4984" s="15" t="s">
        <v>544</v>
      </c>
      <c r="E4984" s="15" t="n">
        <v>4</v>
      </c>
      <c r="H4984" s="10"/>
      <c r="I4984" s="21"/>
      <c r="M4984" s="10"/>
      <c r="N4984" s="10"/>
      <c r="P4984" s="10"/>
      <c r="Q4984" s="22"/>
    </row>
    <row r="4985" customFormat="false" ht="15.75" hidden="false" customHeight="false" outlineLevel="0" collapsed="false">
      <c r="A4985" s="20" t="n">
        <v>46149</v>
      </c>
      <c r="B4985" s="15" t="s">
        <v>496</v>
      </c>
      <c r="C4985" s="15" t="s">
        <v>69</v>
      </c>
      <c r="D4985" s="15" t="s">
        <v>535</v>
      </c>
      <c r="E4985" s="15" t="n">
        <v>2</v>
      </c>
      <c r="H4985" s="10"/>
      <c r="I4985" s="21"/>
      <c r="M4985" s="10"/>
      <c r="N4985" s="10"/>
      <c r="P4985" s="10"/>
      <c r="Q4985" s="22"/>
    </row>
    <row r="4986" customFormat="false" ht="15.75" hidden="false" customHeight="false" outlineLevel="0" collapsed="false">
      <c r="A4986" s="20" t="n">
        <v>46149</v>
      </c>
      <c r="B4986" s="15" t="s">
        <v>496</v>
      </c>
      <c r="C4986" s="15" t="s">
        <v>77</v>
      </c>
      <c r="D4986" s="15" t="s">
        <v>78</v>
      </c>
      <c r="E4986" s="15" t="n">
        <v>2</v>
      </c>
      <c r="H4986" s="10"/>
      <c r="I4986" s="21"/>
      <c r="M4986" s="10"/>
      <c r="N4986" s="10"/>
      <c r="P4986" s="10"/>
      <c r="Q4986" s="22"/>
    </row>
    <row r="4987" customFormat="false" ht="15.75" hidden="false" customHeight="false" outlineLevel="0" collapsed="false">
      <c r="A4987" s="20" t="n">
        <v>46149</v>
      </c>
      <c r="B4987" s="15" t="s">
        <v>496</v>
      </c>
      <c r="C4987" s="15" t="s">
        <v>59</v>
      </c>
      <c r="D4987" s="15" t="s">
        <v>562</v>
      </c>
      <c r="E4987" s="15" t="n">
        <v>2</v>
      </c>
      <c r="H4987" s="10"/>
      <c r="I4987" s="21"/>
      <c r="M4987" s="10"/>
      <c r="N4987" s="10"/>
      <c r="P4987" s="10"/>
      <c r="Q4987" s="22"/>
    </row>
    <row r="4988" customFormat="false" ht="15.75" hidden="false" customHeight="false" outlineLevel="0" collapsed="false">
      <c r="A4988" s="20" t="n">
        <v>46149</v>
      </c>
      <c r="B4988" s="15" t="s">
        <v>496</v>
      </c>
      <c r="C4988" s="15" t="s">
        <v>33</v>
      </c>
      <c r="D4988" s="15" t="s">
        <v>536</v>
      </c>
      <c r="E4988" s="15" t="n">
        <v>2</v>
      </c>
      <c r="H4988" s="10"/>
      <c r="I4988" s="21"/>
      <c r="M4988" s="10"/>
      <c r="N4988" s="10"/>
      <c r="P4988" s="10"/>
      <c r="Q4988" s="22"/>
    </row>
    <row r="4989" customFormat="false" ht="15.75" hidden="false" customHeight="false" outlineLevel="0" collapsed="false">
      <c r="A4989" s="20" t="n">
        <v>46149</v>
      </c>
      <c r="B4989" s="15" t="s">
        <v>496</v>
      </c>
      <c r="C4989" s="15" t="s">
        <v>79</v>
      </c>
      <c r="D4989" s="15" t="s">
        <v>564</v>
      </c>
      <c r="E4989" s="15" t="n">
        <v>1</v>
      </c>
      <c r="H4989" s="10"/>
      <c r="I4989" s="21"/>
      <c r="M4989" s="10"/>
      <c r="N4989" s="10"/>
      <c r="P4989" s="10"/>
      <c r="Q4989" s="22"/>
    </row>
    <row r="4990" customFormat="false" ht="15.75" hidden="false" customHeight="false" outlineLevel="0" collapsed="false">
      <c r="A4990" s="20" t="n">
        <v>46149</v>
      </c>
      <c r="B4990" s="15" t="s">
        <v>496</v>
      </c>
      <c r="C4990" s="15" t="s">
        <v>65</v>
      </c>
      <c r="D4990" s="15" t="s">
        <v>580</v>
      </c>
      <c r="E4990" s="15" t="n">
        <v>1</v>
      </c>
      <c r="H4990" s="10"/>
      <c r="I4990" s="21"/>
      <c r="M4990" s="10"/>
      <c r="N4990" s="10"/>
      <c r="P4990" s="10"/>
      <c r="Q4990" s="22"/>
    </row>
    <row r="4991" customFormat="false" ht="15.75" hidden="false" customHeight="false" outlineLevel="0" collapsed="false">
      <c r="A4991" s="20" t="n">
        <v>46149</v>
      </c>
      <c r="B4991" s="15" t="s">
        <v>205</v>
      </c>
      <c r="C4991" s="15" t="s">
        <v>55</v>
      </c>
      <c r="D4991" s="15" t="s">
        <v>539</v>
      </c>
      <c r="E4991" s="15" t="n">
        <v>3</v>
      </c>
      <c r="H4991" s="10"/>
      <c r="I4991" s="21"/>
      <c r="M4991" s="10"/>
      <c r="N4991" s="10"/>
      <c r="P4991" s="10"/>
      <c r="Q4991" s="22"/>
    </row>
    <row r="4992" customFormat="false" ht="15.75" hidden="false" customHeight="false" outlineLevel="0" collapsed="false">
      <c r="A4992" s="20" t="n">
        <v>46149</v>
      </c>
      <c r="B4992" s="15" t="s">
        <v>205</v>
      </c>
      <c r="C4992" s="15" t="s">
        <v>81</v>
      </c>
      <c r="D4992" s="15" t="s">
        <v>534</v>
      </c>
      <c r="E4992" s="15" t="n">
        <v>1</v>
      </c>
      <c r="H4992" s="10"/>
      <c r="I4992" s="21"/>
      <c r="M4992" s="10"/>
      <c r="N4992" s="10"/>
      <c r="P4992" s="10"/>
      <c r="Q4992" s="22"/>
    </row>
    <row r="4993" customFormat="false" ht="15.75" hidden="false" customHeight="false" outlineLevel="0" collapsed="false">
      <c r="A4993" s="20" t="n">
        <v>46149</v>
      </c>
      <c r="B4993" s="15" t="s">
        <v>205</v>
      </c>
      <c r="C4993" s="15" t="s">
        <v>69</v>
      </c>
      <c r="D4993" s="15" t="s">
        <v>535</v>
      </c>
      <c r="E4993" s="15" t="n">
        <v>6</v>
      </c>
      <c r="H4993" s="10"/>
      <c r="I4993" s="21"/>
      <c r="M4993" s="10"/>
      <c r="N4993" s="10"/>
      <c r="P4993" s="10"/>
      <c r="Q4993" s="22"/>
    </row>
    <row r="4994" customFormat="false" ht="15.75" hidden="false" customHeight="false" outlineLevel="0" collapsed="false">
      <c r="A4994" s="20" t="n">
        <v>46149</v>
      </c>
      <c r="B4994" s="15" t="s">
        <v>205</v>
      </c>
      <c r="C4994" s="15" t="s">
        <v>33</v>
      </c>
      <c r="D4994" s="15" t="s">
        <v>536</v>
      </c>
      <c r="E4994" s="15" t="n">
        <v>6</v>
      </c>
      <c r="H4994" s="10"/>
      <c r="I4994" s="21"/>
      <c r="M4994" s="10"/>
      <c r="N4994" s="10"/>
      <c r="P4994" s="10"/>
      <c r="Q4994" s="22"/>
    </row>
    <row r="4995" customFormat="false" ht="15.75" hidden="false" customHeight="false" outlineLevel="0" collapsed="false">
      <c r="A4995" s="20" t="n">
        <v>46149</v>
      </c>
      <c r="B4995" s="15" t="s">
        <v>499</v>
      </c>
      <c r="C4995" s="15" t="s">
        <v>543</v>
      </c>
      <c r="D4995" s="15" t="s">
        <v>544</v>
      </c>
      <c r="E4995" s="15" t="n">
        <v>1</v>
      </c>
      <c r="H4995" s="10"/>
      <c r="I4995" s="21"/>
      <c r="M4995" s="10"/>
      <c r="N4995" s="10"/>
      <c r="P4995" s="10"/>
      <c r="Q4995" s="22"/>
    </row>
    <row r="4996" customFormat="false" ht="15.75" hidden="false" customHeight="false" outlineLevel="0" collapsed="false">
      <c r="A4996" s="20" t="n">
        <v>46149</v>
      </c>
      <c r="B4996" s="15" t="s">
        <v>499</v>
      </c>
      <c r="C4996" s="15" t="s">
        <v>69</v>
      </c>
      <c r="D4996" s="15" t="s">
        <v>535</v>
      </c>
      <c r="E4996" s="15" t="n">
        <v>1</v>
      </c>
      <c r="H4996" s="10"/>
      <c r="I4996" s="21"/>
      <c r="M4996" s="10"/>
      <c r="N4996" s="10"/>
      <c r="P4996" s="10"/>
      <c r="Q4996" s="22"/>
    </row>
    <row r="4997" customFormat="false" ht="15.75" hidden="false" customHeight="false" outlineLevel="0" collapsed="false">
      <c r="A4997" s="20" t="n">
        <v>46149</v>
      </c>
      <c r="B4997" s="15" t="s">
        <v>499</v>
      </c>
      <c r="C4997" s="15" t="s">
        <v>33</v>
      </c>
      <c r="D4997" s="15" t="s">
        <v>536</v>
      </c>
      <c r="E4997" s="15" t="n">
        <v>2</v>
      </c>
      <c r="H4997" s="10"/>
      <c r="I4997" s="21"/>
      <c r="M4997" s="10"/>
      <c r="N4997" s="10"/>
      <c r="P4997" s="10"/>
      <c r="Q4997" s="22"/>
    </row>
    <row r="4998" customFormat="false" ht="15.75" hidden="false" customHeight="false" outlineLevel="0" collapsed="false">
      <c r="A4998" s="20" t="n">
        <v>46149</v>
      </c>
      <c r="B4998" s="15" t="s">
        <v>499</v>
      </c>
      <c r="C4998" s="15" t="s">
        <v>55</v>
      </c>
      <c r="D4998" s="15" t="s">
        <v>539</v>
      </c>
      <c r="E4998" s="15" t="n">
        <v>1</v>
      </c>
      <c r="H4998" s="10"/>
      <c r="I4998" s="21"/>
      <c r="M4998" s="10"/>
      <c r="N4998" s="10"/>
      <c r="P4998" s="10"/>
      <c r="Q4998" s="22"/>
    </row>
    <row r="4999" customFormat="false" ht="15.75" hidden="false" customHeight="false" outlineLevel="0" collapsed="false">
      <c r="A4999" s="20" t="n">
        <v>46149</v>
      </c>
      <c r="B4999" s="15" t="s">
        <v>499</v>
      </c>
      <c r="C4999" s="15" t="s">
        <v>59</v>
      </c>
      <c r="D4999" s="15" t="s">
        <v>562</v>
      </c>
      <c r="E4999" s="15" t="n">
        <v>1</v>
      </c>
      <c r="H4999" s="10"/>
      <c r="I4999" s="21"/>
      <c r="M4999" s="10"/>
      <c r="N4999" s="10"/>
      <c r="P4999" s="10"/>
      <c r="Q4999" s="22"/>
    </row>
    <row r="5000" customFormat="false" ht="15.75" hidden="false" customHeight="false" outlineLevel="0" collapsed="false">
      <c r="A5000" s="20" t="n">
        <v>46149</v>
      </c>
      <c r="B5000" s="15" t="s">
        <v>499</v>
      </c>
      <c r="C5000" s="15" t="s">
        <v>47</v>
      </c>
      <c r="D5000" s="15" t="s">
        <v>549</v>
      </c>
      <c r="E5000" s="15" t="n">
        <v>1</v>
      </c>
      <c r="H5000" s="10"/>
      <c r="I5000" s="21"/>
      <c r="M5000" s="10"/>
      <c r="N5000" s="10"/>
      <c r="P5000" s="10"/>
      <c r="Q5000" s="22"/>
    </row>
    <row r="5001" customFormat="false" ht="15.75" hidden="false" customHeight="false" outlineLevel="0" collapsed="false">
      <c r="A5001" s="20" t="n">
        <v>46149</v>
      </c>
      <c r="B5001" s="15" t="s">
        <v>499</v>
      </c>
      <c r="C5001" s="15" t="s">
        <v>75</v>
      </c>
      <c r="D5001" s="15" t="s">
        <v>560</v>
      </c>
      <c r="E5001" s="15" t="n">
        <v>1</v>
      </c>
      <c r="H5001" s="10"/>
      <c r="I5001" s="21"/>
      <c r="M5001" s="10"/>
      <c r="N5001" s="10"/>
      <c r="P5001" s="10"/>
      <c r="Q5001" s="22"/>
    </row>
    <row r="5002" customFormat="false" ht="15.75" hidden="false" customHeight="false" outlineLevel="0" collapsed="false">
      <c r="A5002" s="20" t="n">
        <v>46149</v>
      </c>
      <c r="B5002" s="15" t="s">
        <v>499</v>
      </c>
      <c r="C5002" s="15" t="s">
        <v>81</v>
      </c>
      <c r="D5002" s="15" t="s">
        <v>534</v>
      </c>
      <c r="E5002" s="15" t="n">
        <v>7</v>
      </c>
      <c r="H5002" s="10"/>
      <c r="I5002" s="21"/>
      <c r="M5002" s="10"/>
      <c r="N5002" s="10"/>
      <c r="P5002" s="10"/>
      <c r="Q5002" s="22"/>
    </row>
    <row r="5003" customFormat="false" ht="15.75" hidden="false" customHeight="false" outlineLevel="0" collapsed="false">
      <c r="A5003" s="20" t="n">
        <v>46149</v>
      </c>
      <c r="B5003" s="15" t="s">
        <v>499</v>
      </c>
      <c r="C5003" s="15" t="s">
        <v>77</v>
      </c>
      <c r="D5003" s="15" t="s">
        <v>78</v>
      </c>
      <c r="E5003" s="15" t="n">
        <v>2</v>
      </c>
      <c r="H5003" s="10"/>
      <c r="I5003" s="21"/>
      <c r="M5003" s="10"/>
      <c r="N5003" s="10"/>
      <c r="P5003" s="10"/>
      <c r="Q5003" s="22"/>
    </row>
    <row r="5004" customFormat="false" ht="15.75" hidden="false" customHeight="false" outlineLevel="0" collapsed="false">
      <c r="A5004" s="20" t="n">
        <v>46149</v>
      </c>
      <c r="B5004" s="15" t="s">
        <v>504</v>
      </c>
      <c r="C5004" s="15" t="s">
        <v>47</v>
      </c>
      <c r="D5004" s="15" t="s">
        <v>549</v>
      </c>
      <c r="E5004" s="15" t="n">
        <v>6</v>
      </c>
      <c r="H5004" s="10"/>
      <c r="I5004" s="21"/>
      <c r="M5004" s="10"/>
      <c r="N5004" s="10"/>
      <c r="P5004" s="10"/>
      <c r="Q5004" s="22"/>
    </row>
    <row r="5005" customFormat="false" ht="15.75" hidden="false" customHeight="false" outlineLevel="0" collapsed="false">
      <c r="A5005" s="20" t="n">
        <v>46149</v>
      </c>
      <c r="B5005" s="15" t="s">
        <v>504</v>
      </c>
      <c r="C5005" s="15" t="s">
        <v>55</v>
      </c>
      <c r="D5005" s="15" t="s">
        <v>539</v>
      </c>
      <c r="E5005" s="15" t="n">
        <v>12</v>
      </c>
      <c r="H5005" s="10"/>
      <c r="I5005" s="21"/>
      <c r="M5005" s="10"/>
      <c r="N5005" s="10"/>
      <c r="P5005" s="10"/>
      <c r="Q5005" s="22"/>
    </row>
    <row r="5006" customFormat="false" ht="15.75" hidden="false" customHeight="false" outlineLevel="0" collapsed="false">
      <c r="A5006" s="20" t="n">
        <v>46149</v>
      </c>
      <c r="B5006" s="15" t="s">
        <v>504</v>
      </c>
      <c r="C5006" s="15" t="s">
        <v>81</v>
      </c>
      <c r="D5006" s="15" t="s">
        <v>534</v>
      </c>
      <c r="E5006" s="15" t="n">
        <v>18</v>
      </c>
      <c r="H5006" s="10"/>
      <c r="I5006" s="21"/>
      <c r="M5006" s="10"/>
      <c r="N5006" s="10"/>
      <c r="P5006" s="10"/>
      <c r="Q5006" s="22"/>
    </row>
    <row r="5007" customFormat="false" ht="15.75" hidden="false" customHeight="false" outlineLevel="0" collapsed="false">
      <c r="A5007" s="20" t="n">
        <v>46149</v>
      </c>
      <c r="B5007" s="15" t="s">
        <v>504</v>
      </c>
      <c r="C5007" s="15" t="s">
        <v>39</v>
      </c>
      <c r="D5007" s="15" t="s">
        <v>550</v>
      </c>
      <c r="E5007" s="15" t="n">
        <v>2</v>
      </c>
      <c r="H5007" s="10"/>
      <c r="I5007" s="21"/>
      <c r="M5007" s="10"/>
      <c r="N5007" s="10"/>
      <c r="P5007" s="10"/>
      <c r="Q5007" s="22"/>
    </row>
    <row r="5008" customFormat="false" ht="15.75" hidden="false" customHeight="false" outlineLevel="0" collapsed="false">
      <c r="A5008" s="20" t="n">
        <v>46149</v>
      </c>
      <c r="B5008" s="15" t="s">
        <v>504</v>
      </c>
      <c r="C5008" s="15" t="s">
        <v>63</v>
      </c>
      <c r="D5008" s="15" t="s">
        <v>551</v>
      </c>
      <c r="E5008" s="15" t="n">
        <v>2</v>
      </c>
      <c r="H5008" s="10"/>
      <c r="I5008" s="21"/>
      <c r="M5008" s="10"/>
      <c r="N5008" s="10"/>
      <c r="P5008" s="10"/>
      <c r="Q5008" s="22"/>
    </row>
    <row r="5009" customFormat="false" ht="15.75" hidden="false" customHeight="false" outlineLevel="0" collapsed="false">
      <c r="A5009" s="20" t="n">
        <v>46149</v>
      </c>
      <c r="B5009" s="15" t="s">
        <v>504</v>
      </c>
      <c r="C5009" s="15" t="s">
        <v>17</v>
      </c>
      <c r="D5009" s="15" t="s">
        <v>554</v>
      </c>
      <c r="E5009" s="15" t="n">
        <v>2</v>
      </c>
      <c r="H5009" s="10"/>
      <c r="I5009" s="21"/>
      <c r="M5009" s="10"/>
      <c r="N5009" s="10"/>
      <c r="P5009" s="10"/>
      <c r="Q5009" s="22"/>
    </row>
    <row r="5010" customFormat="false" ht="15.75" hidden="false" customHeight="false" outlineLevel="0" collapsed="false">
      <c r="A5010" s="20" t="n">
        <v>46149</v>
      </c>
      <c r="B5010" s="15" t="s">
        <v>505</v>
      </c>
      <c r="C5010" s="15" t="s">
        <v>55</v>
      </c>
      <c r="D5010" s="15" t="s">
        <v>539</v>
      </c>
      <c r="E5010" s="15" t="n">
        <v>6</v>
      </c>
      <c r="H5010" s="10"/>
      <c r="I5010" s="21"/>
      <c r="M5010" s="10"/>
      <c r="N5010" s="10"/>
      <c r="P5010" s="10"/>
      <c r="Q5010" s="22"/>
    </row>
    <row r="5011" customFormat="false" ht="15.75" hidden="false" customHeight="false" outlineLevel="0" collapsed="false">
      <c r="A5011" s="20" t="n">
        <v>46149</v>
      </c>
      <c r="B5011" s="15" t="s">
        <v>505</v>
      </c>
      <c r="C5011" s="15" t="s">
        <v>39</v>
      </c>
      <c r="D5011" s="15" t="s">
        <v>550</v>
      </c>
      <c r="E5011" s="15" t="n">
        <v>1</v>
      </c>
      <c r="H5011" s="10"/>
      <c r="I5011" s="21"/>
      <c r="M5011" s="10"/>
      <c r="N5011" s="10"/>
      <c r="P5011" s="10"/>
      <c r="Q5011" s="22"/>
    </row>
    <row r="5012" customFormat="false" ht="15.75" hidden="false" customHeight="false" outlineLevel="0" collapsed="false">
      <c r="A5012" s="20" t="n">
        <v>46149</v>
      </c>
      <c r="B5012" s="15" t="s">
        <v>505</v>
      </c>
      <c r="C5012" s="15" t="s">
        <v>81</v>
      </c>
      <c r="D5012" s="15" t="s">
        <v>534</v>
      </c>
      <c r="E5012" s="15" t="n">
        <v>9</v>
      </c>
      <c r="H5012" s="10"/>
      <c r="I5012" s="21"/>
      <c r="M5012" s="10"/>
      <c r="N5012" s="10"/>
      <c r="P5012" s="10"/>
      <c r="Q5012" s="22"/>
    </row>
    <row r="5013" customFormat="false" ht="15.75" hidden="false" customHeight="false" outlineLevel="0" collapsed="false">
      <c r="A5013" s="20" t="n">
        <v>46149</v>
      </c>
      <c r="B5013" s="15" t="s">
        <v>505</v>
      </c>
      <c r="C5013" s="15" t="s">
        <v>47</v>
      </c>
      <c r="D5013" s="15" t="s">
        <v>549</v>
      </c>
      <c r="E5013" s="15" t="n">
        <v>3</v>
      </c>
      <c r="H5013" s="10"/>
      <c r="I5013" s="21"/>
      <c r="M5013" s="10"/>
      <c r="N5013" s="10"/>
      <c r="P5013" s="10"/>
      <c r="Q5013" s="22"/>
    </row>
    <row r="5014" customFormat="false" ht="15.75" hidden="false" customHeight="false" outlineLevel="0" collapsed="false">
      <c r="A5014" s="20" t="n">
        <v>46149</v>
      </c>
      <c r="B5014" s="15" t="s">
        <v>505</v>
      </c>
      <c r="C5014" s="15" t="s">
        <v>63</v>
      </c>
      <c r="D5014" s="15" t="s">
        <v>551</v>
      </c>
      <c r="E5014" s="15" t="n">
        <v>1</v>
      </c>
      <c r="H5014" s="10"/>
      <c r="I5014" s="21"/>
      <c r="M5014" s="10"/>
      <c r="N5014" s="10"/>
      <c r="P5014" s="10"/>
      <c r="Q5014" s="22"/>
    </row>
    <row r="5015" customFormat="false" ht="15.75" hidden="false" customHeight="false" outlineLevel="0" collapsed="false">
      <c r="A5015" s="20" t="n">
        <v>46149</v>
      </c>
      <c r="B5015" s="15" t="s">
        <v>505</v>
      </c>
      <c r="C5015" s="15" t="s">
        <v>17</v>
      </c>
      <c r="D5015" s="15" t="s">
        <v>554</v>
      </c>
      <c r="E5015" s="15" t="n">
        <v>1</v>
      </c>
      <c r="H5015" s="10"/>
      <c r="I5015" s="21"/>
      <c r="M5015" s="10"/>
      <c r="N5015" s="10"/>
      <c r="P5015" s="10"/>
      <c r="Q5015" s="22"/>
    </row>
    <row r="5016" customFormat="false" ht="15.75" hidden="false" customHeight="false" outlineLevel="0" collapsed="false">
      <c r="A5016" s="20" t="n">
        <v>46149</v>
      </c>
      <c r="B5016" s="15" t="s">
        <v>508</v>
      </c>
      <c r="C5016" s="15" t="s">
        <v>55</v>
      </c>
      <c r="D5016" s="15" t="s">
        <v>539</v>
      </c>
      <c r="E5016" s="15" t="n">
        <v>5</v>
      </c>
      <c r="H5016" s="10"/>
      <c r="I5016" s="21"/>
      <c r="M5016" s="10"/>
      <c r="N5016" s="10"/>
      <c r="P5016" s="10"/>
      <c r="Q5016" s="22"/>
    </row>
    <row r="5017" customFormat="false" ht="15.75" hidden="false" customHeight="false" outlineLevel="0" collapsed="false">
      <c r="A5017" s="20" t="n">
        <v>46149</v>
      </c>
      <c r="B5017" s="15" t="s">
        <v>508</v>
      </c>
      <c r="C5017" s="15" t="s">
        <v>81</v>
      </c>
      <c r="D5017" s="15" t="s">
        <v>534</v>
      </c>
      <c r="E5017" s="15" t="n">
        <v>9</v>
      </c>
      <c r="H5017" s="10"/>
      <c r="I5017" s="21"/>
      <c r="M5017" s="10"/>
      <c r="N5017" s="10"/>
      <c r="P5017" s="10"/>
      <c r="Q5017" s="22"/>
    </row>
    <row r="5018" customFormat="false" ht="15.75" hidden="false" customHeight="false" outlineLevel="0" collapsed="false">
      <c r="A5018" s="20" t="n">
        <v>46149</v>
      </c>
      <c r="B5018" s="15" t="s">
        <v>508</v>
      </c>
      <c r="C5018" s="15" t="s">
        <v>39</v>
      </c>
      <c r="D5018" s="15" t="s">
        <v>550</v>
      </c>
      <c r="E5018" s="15" t="n">
        <v>2</v>
      </c>
      <c r="H5018" s="10"/>
      <c r="I5018" s="21"/>
      <c r="M5018" s="10"/>
      <c r="N5018" s="10"/>
      <c r="P5018" s="10"/>
      <c r="Q5018" s="22"/>
    </row>
    <row r="5019" customFormat="false" ht="15.75" hidden="false" customHeight="false" outlineLevel="0" collapsed="false">
      <c r="A5019" s="20" t="n">
        <v>46149</v>
      </c>
      <c r="B5019" s="15" t="s">
        <v>508</v>
      </c>
      <c r="C5019" s="15" t="s">
        <v>47</v>
      </c>
      <c r="D5019" s="15" t="s">
        <v>549</v>
      </c>
      <c r="E5019" s="15" t="n">
        <v>2</v>
      </c>
      <c r="H5019" s="10"/>
      <c r="I5019" s="21"/>
      <c r="M5019" s="10"/>
      <c r="N5019" s="10"/>
      <c r="P5019" s="10"/>
      <c r="Q5019" s="22"/>
    </row>
    <row r="5020" customFormat="false" ht="15.75" hidden="false" customHeight="false" outlineLevel="0" collapsed="false">
      <c r="A5020" s="20" t="n">
        <v>46149</v>
      </c>
      <c r="B5020" s="15" t="s">
        <v>508</v>
      </c>
      <c r="C5020" s="15" t="s">
        <v>63</v>
      </c>
      <c r="D5020" s="15" t="s">
        <v>551</v>
      </c>
      <c r="E5020" s="15" t="n">
        <v>1</v>
      </c>
      <c r="H5020" s="10"/>
      <c r="I5020" s="21"/>
      <c r="M5020" s="10"/>
      <c r="N5020" s="10"/>
      <c r="P5020" s="10"/>
      <c r="Q5020" s="22"/>
    </row>
    <row r="5021" customFormat="false" ht="15.75" hidden="false" customHeight="false" outlineLevel="0" collapsed="false">
      <c r="A5021" s="20" t="n">
        <v>46149</v>
      </c>
      <c r="B5021" s="15" t="s">
        <v>514</v>
      </c>
      <c r="C5021" s="15" t="s">
        <v>55</v>
      </c>
      <c r="D5021" s="15" t="s">
        <v>539</v>
      </c>
      <c r="E5021" s="15" t="n">
        <v>5</v>
      </c>
      <c r="H5021" s="10"/>
      <c r="I5021" s="21"/>
      <c r="M5021" s="10"/>
      <c r="N5021" s="10"/>
      <c r="P5021" s="10"/>
      <c r="Q5021" s="22"/>
    </row>
    <row r="5022" customFormat="false" ht="15.75" hidden="false" customHeight="false" outlineLevel="0" collapsed="false">
      <c r="A5022" s="20" t="n">
        <v>46149</v>
      </c>
      <c r="B5022" s="15" t="s">
        <v>514</v>
      </c>
      <c r="C5022" s="15" t="s">
        <v>57</v>
      </c>
      <c r="D5022" s="15" t="s">
        <v>553</v>
      </c>
      <c r="E5022" s="15" t="n">
        <v>1</v>
      </c>
      <c r="H5022" s="10"/>
      <c r="I5022" s="21"/>
      <c r="M5022" s="10"/>
      <c r="N5022" s="10"/>
      <c r="P5022" s="10"/>
      <c r="Q5022" s="22"/>
    </row>
    <row r="5023" customFormat="false" ht="15.75" hidden="false" customHeight="false" outlineLevel="0" collapsed="false">
      <c r="A5023" s="20" t="n">
        <v>46149</v>
      </c>
      <c r="B5023" s="15" t="s">
        <v>514</v>
      </c>
      <c r="C5023" s="15" t="s">
        <v>49</v>
      </c>
      <c r="D5023" s="15" t="s">
        <v>537</v>
      </c>
      <c r="E5023" s="15" t="n">
        <v>1</v>
      </c>
      <c r="H5023" s="10"/>
      <c r="I5023" s="21"/>
      <c r="M5023" s="10"/>
      <c r="N5023" s="10"/>
      <c r="P5023" s="10"/>
      <c r="Q5023" s="22"/>
    </row>
    <row r="5024" customFormat="false" ht="15.75" hidden="false" customHeight="false" outlineLevel="0" collapsed="false">
      <c r="A5024" s="20" t="n">
        <v>46149</v>
      </c>
      <c r="B5024" s="15" t="s">
        <v>514</v>
      </c>
      <c r="C5024" s="15" t="s">
        <v>47</v>
      </c>
      <c r="D5024" s="15" t="s">
        <v>549</v>
      </c>
      <c r="E5024" s="15" t="n">
        <v>4</v>
      </c>
      <c r="H5024" s="10"/>
      <c r="I5024" s="21"/>
      <c r="M5024" s="10"/>
      <c r="N5024" s="10"/>
      <c r="P5024" s="10"/>
      <c r="Q5024" s="22"/>
    </row>
    <row r="5025" customFormat="false" ht="15.75" hidden="false" customHeight="false" outlineLevel="0" collapsed="false">
      <c r="A5025" s="20" t="n">
        <v>46149</v>
      </c>
      <c r="B5025" s="15" t="s">
        <v>514</v>
      </c>
      <c r="C5025" s="15" t="s">
        <v>81</v>
      </c>
      <c r="D5025" s="15" t="s">
        <v>534</v>
      </c>
      <c r="E5025" s="15" t="n">
        <v>7</v>
      </c>
      <c r="H5025" s="10"/>
      <c r="I5025" s="21"/>
      <c r="M5025" s="10"/>
      <c r="N5025" s="10"/>
      <c r="P5025" s="10"/>
      <c r="Q5025" s="22"/>
    </row>
    <row r="5026" customFormat="false" ht="15.75" hidden="false" customHeight="false" outlineLevel="0" collapsed="false">
      <c r="A5026" s="20" t="n">
        <v>46149</v>
      </c>
      <c r="B5026" s="15" t="s">
        <v>514</v>
      </c>
      <c r="C5026" s="15" t="s">
        <v>63</v>
      </c>
      <c r="D5026" s="15" t="s">
        <v>551</v>
      </c>
      <c r="E5026" s="15" t="n">
        <v>1</v>
      </c>
      <c r="H5026" s="10"/>
      <c r="I5026" s="21"/>
      <c r="M5026" s="10"/>
      <c r="N5026" s="10"/>
      <c r="P5026" s="10"/>
      <c r="Q5026" s="22"/>
    </row>
    <row r="5027" customFormat="false" ht="15.75" hidden="false" customHeight="false" outlineLevel="0" collapsed="false">
      <c r="A5027" s="20" t="n">
        <v>46149</v>
      </c>
      <c r="B5027" s="15" t="s">
        <v>514</v>
      </c>
      <c r="C5027" s="15" t="s">
        <v>17</v>
      </c>
      <c r="D5027" s="15" t="s">
        <v>554</v>
      </c>
      <c r="E5027" s="15" t="n">
        <v>1</v>
      </c>
      <c r="H5027" s="10"/>
      <c r="I5027" s="21"/>
      <c r="M5027" s="10"/>
      <c r="N5027" s="10"/>
      <c r="P5027" s="10"/>
      <c r="Q5027" s="22"/>
    </row>
    <row r="5028" customFormat="false" ht="15.75" hidden="false" customHeight="false" outlineLevel="0" collapsed="false">
      <c r="A5028" s="20" t="n">
        <v>46149</v>
      </c>
      <c r="B5028" s="15" t="s">
        <v>518</v>
      </c>
      <c r="C5028" s="15" t="s">
        <v>69</v>
      </c>
      <c r="D5028" s="15" t="s">
        <v>535</v>
      </c>
      <c r="E5028" s="15" t="n">
        <v>6</v>
      </c>
      <c r="H5028" s="10"/>
      <c r="I5028" s="21"/>
      <c r="M5028" s="10"/>
      <c r="N5028" s="10"/>
      <c r="P5028" s="10"/>
      <c r="Q5028" s="22"/>
    </row>
    <row r="5029" customFormat="false" ht="15.75" hidden="false" customHeight="false" outlineLevel="0" collapsed="false">
      <c r="A5029" s="20" t="n">
        <v>46149</v>
      </c>
      <c r="B5029" s="15" t="s">
        <v>518</v>
      </c>
      <c r="C5029" s="15" t="s">
        <v>33</v>
      </c>
      <c r="D5029" s="15" t="s">
        <v>536</v>
      </c>
      <c r="E5029" s="15" t="n">
        <v>6</v>
      </c>
      <c r="H5029" s="10"/>
      <c r="I5029" s="21"/>
      <c r="M5029" s="10"/>
      <c r="N5029" s="10"/>
      <c r="P5029" s="10"/>
      <c r="Q5029" s="22"/>
    </row>
    <row r="5030" customFormat="false" ht="15.75" hidden="false" customHeight="false" outlineLevel="0" collapsed="false">
      <c r="A5030" s="20" t="n">
        <v>46149</v>
      </c>
      <c r="B5030" s="15" t="s">
        <v>518</v>
      </c>
      <c r="C5030" s="15" t="s">
        <v>47</v>
      </c>
      <c r="D5030" s="15" t="s">
        <v>549</v>
      </c>
      <c r="E5030" s="15" t="n">
        <v>2</v>
      </c>
      <c r="H5030" s="10"/>
      <c r="I5030" s="21"/>
      <c r="M5030" s="10"/>
      <c r="N5030" s="10"/>
      <c r="P5030" s="10"/>
      <c r="Q5030" s="22"/>
    </row>
    <row r="5031" customFormat="false" ht="15.75" hidden="false" customHeight="false" outlineLevel="0" collapsed="false">
      <c r="A5031" s="20" t="n">
        <v>46149</v>
      </c>
      <c r="B5031" s="15" t="s">
        <v>518</v>
      </c>
      <c r="C5031" s="15" t="s">
        <v>51</v>
      </c>
      <c r="D5031" s="15" t="s">
        <v>573</v>
      </c>
      <c r="E5031" s="15" t="n">
        <v>1</v>
      </c>
      <c r="H5031" s="10"/>
      <c r="I5031" s="21"/>
      <c r="M5031" s="10"/>
      <c r="N5031" s="10"/>
      <c r="P5031" s="10"/>
      <c r="Q5031" s="22"/>
    </row>
    <row r="5032" customFormat="false" ht="15.75" hidden="false" customHeight="false" outlineLevel="0" collapsed="false">
      <c r="A5032" s="20" t="n">
        <v>46149</v>
      </c>
      <c r="B5032" s="15" t="s">
        <v>518</v>
      </c>
      <c r="C5032" s="15" t="s">
        <v>55</v>
      </c>
      <c r="D5032" s="15" t="s">
        <v>539</v>
      </c>
      <c r="E5032" s="15" t="n">
        <v>2</v>
      </c>
      <c r="H5032" s="10"/>
      <c r="I5032" s="21"/>
      <c r="M5032" s="10"/>
      <c r="N5032" s="10"/>
      <c r="P5032" s="10"/>
      <c r="Q5032" s="22"/>
    </row>
    <row r="5033" customFormat="false" ht="15.75" hidden="false" customHeight="false" outlineLevel="0" collapsed="false">
      <c r="A5033" s="20" t="n">
        <v>46149</v>
      </c>
      <c r="B5033" s="15" t="s">
        <v>518</v>
      </c>
      <c r="C5033" s="15" t="s">
        <v>37</v>
      </c>
      <c r="D5033" s="15" t="s">
        <v>561</v>
      </c>
      <c r="E5033" s="15" t="n">
        <v>2</v>
      </c>
      <c r="H5033" s="10"/>
      <c r="I5033" s="21"/>
      <c r="M5033" s="10"/>
      <c r="N5033" s="10"/>
      <c r="P5033" s="10"/>
      <c r="Q5033" s="22"/>
    </row>
    <row r="5034" customFormat="false" ht="15.75" hidden="false" customHeight="false" outlineLevel="0" collapsed="false">
      <c r="A5034" s="20" t="n">
        <v>46149</v>
      </c>
      <c r="B5034" s="15" t="s">
        <v>518</v>
      </c>
      <c r="C5034" s="15" t="s">
        <v>547</v>
      </c>
      <c r="D5034" s="15" t="s">
        <v>548</v>
      </c>
      <c r="E5034" s="15" t="n">
        <v>1</v>
      </c>
      <c r="H5034" s="10"/>
      <c r="I5034" s="21"/>
      <c r="M5034" s="10"/>
      <c r="N5034" s="10"/>
      <c r="P5034" s="10"/>
      <c r="Q5034" s="22"/>
    </row>
    <row r="5035" customFormat="false" ht="15.75" hidden="false" customHeight="false" outlineLevel="0" collapsed="false">
      <c r="A5035" s="20" t="n">
        <v>46149</v>
      </c>
      <c r="B5035" s="15" t="s">
        <v>518</v>
      </c>
      <c r="C5035" s="15" t="s">
        <v>81</v>
      </c>
      <c r="D5035" s="15" t="s">
        <v>534</v>
      </c>
      <c r="E5035" s="15" t="n">
        <v>1</v>
      </c>
      <c r="H5035" s="10"/>
      <c r="I5035" s="21"/>
      <c r="M5035" s="10"/>
      <c r="N5035" s="10"/>
      <c r="P5035" s="10"/>
      <c r="Q5035" s="22"/>
    </row>
    <row r="5036" customFormat="false" ht="15.75" hidden="false" customHeight="false" outlineLevel="0" collapsed="false">
      <c r="A5036" s="20" t="n">
        <v>46149</v>
      </c>
      <c r="B5036" s="15" t="s">
        <v>523</v>
      </c>
      <c r="C5036" s="15" t="s">
        <v>69</v>
      </c>
      <c r="D5036" s="15" t="s">
        <v>535</v>
      </c>
      <c r="E5036" s="15" t="n">
        <v>6</v>
      </c>
      <c r="H5036" s="10"/>
      <c r="I5036" s="21"/>
      <c r="M5036" s="10"/>
      <c r="N5036" s="10"/>
      <c r="P5036" s="10"/>
      <c r="Q5036" s="22"/>
    </row>
    <row r="5037" customFormat="false" ht="15.75" hidden="false" customHeight="false" outlineLevel="0" collapsed="false">
      <c r="A5037" s="20" t="n">
        <v>46149</v>
      </c>
      <c r="B5037" s="15" t="s">
        <v>523</v>
      </c>
      <c r="C5037" s="15" t="s">
        <v>33</v>
      </c>
      <c r="D5037" s="15" t="s">
        <v>536</v>
      </c>
      <c r="E5037" s="15" t="n">
        <v>6</v>
      </c>
      <c r="H5037" s="10"/>
      <c r="I5037" s="21"/>
      <c r="M5037" s="10"/>
      <c r="N5037" s="10"/>
      <c r="P5037" s="10"/>
      <c r="Q5037" s="22"/>
    </row>
    <row r="5038" customFormat="false" ht="15.75" hidden="false" customHeight="false" outlineLevel="0" collapsed="false">
      <c r="A5038" s="20" t="n">
        <v>46149</v>
      </c>
      <c r="B5038" s="15" t="s">
        <v>523</v>
      </c>
      <c r="C5038" s="15" t="s">
        <v>55</v>
      </c>
      <c r="D5038" s="15" t="s">
        <v>539</v>
      </c>
      <c r="E5038" s="15" t="n">
        <v>4</v>
      </c>
      <c r="H5038" s="10"/>
      <c r="I5038" s="21"/>
      <c r="M5038" s="10"/>
      <c r="N5038" s="10"/>
      <c r="P5038" s="10"/>
      <c r="Q5038" s="22"/>
    </row>
    <row r="5039" customFormat="false" ht="15.75" hidden="false" customHeight="false" outlineLevel="0" collapsed="false">
      <c r="A5039" s="20" t="n">
        <v>46149</v>
      </c>
      <c r="B5039" s="15" t="s">
        <v>523</v>
      </c>
      <c r="C5039" s="15" t="s">
        <v>547</v>
      </c>
      <c r="D5039" s="15" t="s">
        <v>548</v>
      </c>
      <c r="E5039" s="15" t="n">
        <v>1</v>
      </c>
      <c r="H5039" s="10"/>
      <c r="I5039" s="21"/>
      <c r="M5039" s="10"/>
      <c r="N5039" s="10"/>
      <c r="P5039" s="10"/>
      <c r="Q5039" s="22"/>
    </row>
    <row r="5040" customFormat="false" ht="15.75" hidden="false" customHeight="false" outlineLevel="0" collapsed="false">
      <c r="A5040" s="20" t="n">
        <v>46149</v>
      </c>
      <c r="B5040" s="15" t="s">
        <v>523</v>
      </c>
      <c r="C5040" s="15" t="s">
        <v>37</v>
      </c>
      <c r="D5040" s="15" t="s">
        <v>561</v>
      </c>
      <c r="E5040" s="15" t="n">
        <v>1</v>
      </c>
      <c r="H5040" s="10"/>
      <c r="I5040" s="21"/>
      <c r="M5040" s="10"/>
      <c r="N5040" s="10"/>
      <c r="P5040" s="10"/>
      <c r="Q5040" s="22"/>
    </row>
    <row r="5041" customFormat="false" ht="15.75" hidden="false" customHeight="false" outlineLevel="0" collapsed="false">
      <c r="A5041" s="20" t="n">
        <v>46149</v>
      </c>
      <c r="B5041" s="15" t="s">
        <v>523</v>
      </c>
      <c r="C5041" s="15" t="s">
        <v>47</v>
      </c>
      <c r="D5041" s="15" t="s">
        <v>549</v>
      </c>
      <c r="E5041" s="15" t="n">
        <v>1</v>
      </c>
      <c r="H5041" s="10"/>
      <c r="I5041" s="21"/>
      <c r="M5041" s="10"/>
      <c r="N5041" s="10"/>
      <c r="P5041" s="10"/>
      <c r="Q5041" s="22"/>
    </row>
    <row r="5042" customFormat="false" ht="15.75" hidden="false" customHeight="false" outlineLevel="0" collapsed="false">
      <c r="A5042" s="20" t="n">
        <v>46149</v>
      </c>
      <c r="B5042" s="15" t="s">
        <v>523</v>
      </c>
      <c r="C5042" s="15" t="s">
        <v>81</v>
      </c>
      <c r="D5042" s="15" t="s">
        <v>534</v>
      </c>
      <c r="E5042" s="15" t="n">
        <v>1</v>
      </c>
      <c r="H5042" s="10"/>
      <c r="I5042" s="21"/>
      <c r="M5042" s="10"/>
      <c r="N5042" s="10"/>
      <c r="P5042" s="10"/>
      <c r="Q5042" s="22"/>
    </row>
    <row r="5043" customFormat="false" ht="15.75" hidden="false" customHeight="false" outlineLevel="0" collapsed="false">
      <c r="A5043" s="20" t="n">
        <v>46150</v>
      </c>
      <c r="B5043" s="15" t="s">
        <v>453</v>
      </c>
      <c r="C5043" s="15" t="s">
        <v>47</v>
      </c>
      <c r="D5043" s="15" t="s">
        <v>549</v>
      </c>
      <c r="E5043" s="15" t="n">
        <v>2</v>
      </c>
      <c r="H5043" s="10"/>
      <c r="I5043" s="21"/>
      <c r="M5043" s="10"/>
      <c r="N5043" s="10"/>
      <c r="P5043" s="10"/>
      <c r="Q5043" s="22"/>
    </row>
    <row r="5044" customFormat="false" ht="15.75" hidden="false" customHeight="false" outlineLevel="0" collapsed="false">
      <c r="A5044" s="20" t="n">
        <v>46150</v>
      </c>
      <c r="B5044" s="15" t="s">
        <v>453</v>
      </c>
      <c r="C5044" s="15" t="s">
        <v>55</v>
      </c>
      <c r="D5044" s="15" t="s">
        <v>539</v>
      </c>
      <c r="E5044" s="15" t="n">
        <v>4</v>
      </c>
      <c r="H5044" s="10"/>
      <c r="I5044" s="21"/>
      <c r="M5044" s="10"/>
      <c r="N5044" s="10"/>
      <c r="P5044" s="10"/>
      <c r="Q5044" s="22"/>
    </row>
    <row r="5045" customFormat="false" ht="15.75" hidden="false" customHeight="false" outlineLevel="0" collapsed="false">
      <c r="A5045" s="20" t="n">
        <v>46150</v>
      </c>
      <c r="B5045" s="15" t="s">
        <v>453</v>
      </c>
      <c r="C5045" s="15" t="s">
        <v>81</v>
      </c>
      <c r="D5045" s="15" t="s">
        <v>534</v>
      </c>
      <c r="E5045" s="15" t="n">
        <v>8</v>
      </c>
      <c r="H5045" s="10"/>
      <c r="I5045" s="21"/>
      <c r="M5045" s="10"/>
      <c r="N5045" s="10"/>
      <c r="P5045" s="10"/>
      <c r="Q5045" s="22"/>
    </row>
    <row r="5046" customFormat="false" ht="15.75" hidden="false" customHeight="false" outlineLevel="0" collapsed="false">
      <c r="A5046" s="20" t="n">
        <v>46150</v>
      </c>
      <c r="B5046" s="15" t="s">
        <v>453</v>
      </c>
      <c r="C5046" s="15" t="s">
        <v>39</v>
      </c>
      <c r="D5046" s="15" t="s">
        <v>550</v>
      </c>
      <c r="E5046" s="15" t="n">
        <v>2</v>
      </c>
      <c r="H5046" s="10"/>
      <c r="I5046" s="21"/>
      <c r="M5046" s="10"/>
      <c r="N5046" s="10"/>
      <c r="P5046" s="10"/>
      <c r="Q5046" s="22"/>
    </row>
    <row r="5047" customFormat="false" ht="15.75" hidden="false" customHeight="false" outlineLevel="0" collapsed="false">
      <c r="A5047" s="20" t="n">
        <v>46150</v>
      </c>
      <c r="B5047" s="15" t="s">
        <v>453</v>
      </c>
      <c r="C5047" s="15" t="s">
        <v>63</v>
      </c>
      <c r="D5047" s="15" t="s">
        <v>551</v>
      </c>
      <c r="E5047" s="15" t="n">
        <v>1</v>
      </c>
      <c r="H5047" s="10"/>
      <c r="I5047" s="21"/>
      <c r="M5047" s="10"/>
      <c r="N5047" s="10"/>
      <c r="P5047" s="10"/>
      <c r="Q5047" s="22"/>
    </row>
    <row r="5048" customFormat="false" ht="15.75" hidden="false" customHeight="false" outlineLevel="0" collapsed="false">
      <c r="A5048" s="20" t="n">
        <v>46150</v>
      </c>
      <c r="B5048" s="15" t="s">
        <v>453</v>
      </c>
      <c r="C5048" s="15" t="s">
        <v>35</v>
      </c>
      <c r="D5048" s="15" t="s">
        <v>552</v>
      </c>
      <c r="E5048" s="15" t="n">
        <v>2</v>
      </c>
      <c r="H5048" s="10"/>
      <c r="I5048" s="21"/>
      <c r="M5048" s="10"/>
      <c r="N5048" s="10"/>
      <c r="P5048" s="10"/>
      <c r="Q5048" s="22"/>
    </row>
    <row r="5049" customFormat="false" ht="15.75" hidden="false" customHeight="false" outlineLevel="0" collapsed="false">
      <c r="A5049" s="20" t="n">
        <v>46150</v>
      </c>
      <c r="B5049" s="15" t="s">
        <v>467</v>
      </c>
      <c r="C5049" s="15" t="s">
        <v>55</v>
      </c>
      <c r="D5049" s="15" t="s">
        <v>539</v>
      </c>
      <c r="E5049" s="15" t="n">
        <v>6</v>
      </c>
      <c r="H5049" s="10"/>
      <c r="I5049" s="21"/>
      <c r="M5049" s="10"/>
      <c r="N5049" s="10"/>
      <c r="P5049" s="10"/>
      <c r="Q5049" s="22"/>
    </row>
    <row r="5050" customFormat="false" ht="15.75" hidden="false" customHeight="false" outlineLevel="0" collapsed="false">
      <c r="A5050" s="20" t="n">
        <v>46150</v>
      </c>
      <c r="B5050" s="15" t="s">
        <v>467</v>
      </c>
      <c r="C5050" s="15" t="s">
        <v>57</v>
      </c>
      <c r="D5050" s="15" t="s">
        <v>553</v>
      </c>
      <c r="E5050" s="15" t="n">
        <v>2</v>
      </c>
      <c r="H5050" s="10"/>
      <c r="I5050" s="21"/>
      <c r="M5050" s="10"/>
      <c r="N5050" s="10"/>
      <c r="P5050" s="10"/>
      <c r="Q5050" s="22"/>
    </row>
    <row r="5051" customFormat="false" ht="15.75" hidden="false" customHeight="false" outlineLevel="0" collapsed="false">
      <c r="A5051" s="20" t="n">
        <v>46150</v>
      </c>
      <c r="B5051" s="15" t="s">
        <v>467</v>
      </c>
      <c r="C5051" s="15" t="s">
        <v>47</v>
      </c>
      <c r="D5051" s="15" t="s">
        <v>549</v>
      </c>
      <c r="E5051" s="15" t="n">
        <v>2</v>
      </c>
      <c r="H5051" s="10"/>
      <c r="I5051" s="21"/>
      <c r="M5051" s="10"/>
      <c r="N5051" s="10"/>
      <c r="P5051" s="10"/>
      <c r="Q5051" s="22"/>
    </row>
    <row r="5052" customFormat="false" ht="15.75" hidden="false" customHeight="false" outlineLevel="0" collapsed="false">
      <c r="A5052" s="20" t="n">
        <v>46150</v>
      </c>
      <c r="B5052" s="15" t="s">
        <v>467</v>
      </c>
      <c r="C5052" s="15" t="s">
        <v>81</v>
      </c>
      <c r="D5052" s="15" t="s">
        <v>534</v>
      </c>
      <c r="E5052" s="15" t="n">
        <v>7</v>
      </c>
      <c r="H5052" s="10"/>
      <c r="I5052" s="21"/>
      <c r="M5052" s="10"/>
      <c r="N5052" s="10"/>
      <c r="P5052" s="10"/>
      <c r="Q5052" s="22"/>
    </row>
    <row r="5053" customFormat="false" ht="15.75" hidden="false" customHeight="false" outlineLevel="0" collapsed="false">
      <c r="A5053" s="20" t="n">
        <v>46150</v>
      </c>
      <c r="B5053" s="15" t="s">
        <v>467</v>
      </c>
      <c r="C5053" s="15" t="s">
        <v>49</v>
      </c>
      <c r="D5053" s="15" t="s">
        <v>537</v>
      </c>
      <c r="E5053" s="15" t="n">
        <v>2</v>
      </c>
      <c r="H5053" s="10"/>
      <c r="I5053" s="21"/>
      <c r="M5053" s="10"/>
      <c r="N5053" s="10"/>
      <c r="P5053" s="10"/>
      <c r="Q5053" s="22"/>
    </row>
    <row r="5054" customFormat="false" ht="15.75" hidden="false" customHeight="false" outlineLevel="0" collapsed="false">
      <c r="A5054" s="20" t="n">
        <v>46150</v>
      </c>
      <c r="B5054" s="15" t="s">
        <v>467</v>
      </c>
      <c r="C5054" s="15" t="s">
        <v>63</v>
      </c>
      <c r="D5054" s="15" t="s">
        <v>551</v>
      </c>
      <c r="E5054" s="15" t="n">
        <v>1</v>
      </c>
      <c r="H5054" s="10"/>
      <c r="I5054" s="21"/>
      <c r="M5054" s="10"/>
      <c r="N5054" s="10"/>
      <c r="P5054" s="10"/>
      <c r="Q5054" s="22"/>
    </row>
    <row r="5055" customFormat="false" ht="15.75" hidden="false" customHeight="false" outlineLevel="0" collapsed="false">
      <c r="A5055" s="20" t="n">
        <v>46150</v>
      </c>
      <c r="B5055" s="15" t="s">
        <v>477</v>
      </c>
      <c r="C5055" s="15" t="s">
        <v>69</v>
      </c>
      <c r="D5055" s="15" t="s">
        <v>535</v>
      </c>
      <c r="E5055" s="15" t="n">
        <v>3</v>
      </c>
      <c r="H5055" s="10"/>
      <c r="I5055" s="21"/>
      <c r="M5055" s="10"/>
      <c r="N5055" s="10"/>
      <c r="P5055" s="10"/>
      <c r="Q5055" s="22"/>
    </row>
    <row r="5056" customFormat="false" ht="15.75" hidden="false" customHeight="false" outlineLevel="0" collapsed="false">
      <c r="A5056" s="20" t="n">
        <v>46150</v>
      </c>
      <c r="B5056" s="15" t="s">
        <v>477</v>
      </c>
      <c r="C5056" s="15" t="s">
        <v>547</v>
      </c>
      <c r="D5056" s="15" t="s">
        <v>548</v>
      </c>
      <c r="E5056" s="15" t="n">
        <v>3</v>
      </c>
      <c r="H5056" s="10"/>
      <c r="I5056" s="21"/>
      <c r="M5056" s="10"/>
      <c r="N5056" s="10"/>
      <c r="P5056" s="10"/>
      <c r="Q5056" s="22"/>
    </row>
    <row r="5057" customFormat="false" ht="15.75" hidden="false" customHeight="false" outlineLevel="0" collapsed="false">
      <c r="A5057" s="20" t="n">
        <v>46150</v>
      </c>
      <c r="B5057" s="15" t="s">
        <v>477</v>
      </c>
      <c r="C5057" s="15" t="s">
        <v>25</v>
      </c>
      <c r="D5057" s="15" t="s">
        <v>26</v>
      </c>
      <c r="E5057" s="15" t="n">
        <v>3</v>
      </c>
      <c r="H5057" s="10"/>
      <c r="I5057" s="21"/>
      <c r="M5057" s="10"/>
      <c r="N5057" s="10"/>
      <c r="P5057" s="10"/>
      <c r="Q5057" s="22"/>
    </row>
    <row r="5058" customFormat="false" ht="15.75" hidden="false" customHeight="false" outlineLevel="0" collapsed="false">
      <c r="A5058" s="20" t="n">
        <v>46150</v>
      </c>
      <c r="B5058" s="15" t="s">
        <v>491</v>
      </c>
      <c r="C5058" s="15" t="s">
        <v>37</v>
      </c>
      <c r="D5058" s="15" t="s">
        <v>561</v>
      </c>
      <c r="E5058" s="15" t="n">
        <v>1</v>
      </c>
      <c r="H5058" s="10"/>
      <c r="I5058" s="21"/>
      <c r="M5058" s="10"/>
      <c r="N5058" s="10"/>
      <c r="P5058" s="10"/>
      <c r="Q5058" s="22"/>
    </row>
    <row r="5059" customFormat="false" ht="15.75" hidden="false" customHeight="false" outlineLevel="0" collapsed="false">
      <c r="A5059" s="20" t="n">
        <v>46150</v>
      </c>
      <c r="B5059" s="15" t="s">
        <v>491</v>
      </c>
      <c r="C5059" s="15" t="s">
        <v>81</v>
      </c>
      <c r="D5059" s="15" t="s">
        <v>534</v>
      </c>
      <c r="E5059" s="15" t="n">
        <v>8</v>
      </c>
      <c r="H5059" s="10"/>
      <c r="I5059" s="21"/>
      <c r="M5059" s="10"/>
      <c r="N5059" s="10"/>
      <c r="P5059" s="10"/>
      <c r="Q5059" s="22"/>
    </row>
    <row r="5060" customFormat="false" ht="15.75" hidden="false" customHeight="false" outlineLevel="0" collapsed="false">
      <c r="A5060" s="20" t="n">
        <v>46150</v>
      </c>
      <c r="B5060" s="15" t="s">
        <v>491</v>
      </c>
      <c r="C5060" s="15" t="s">
        <v>75</v>
      </c>
      <c r="D5060" s="15" t="s">
        <v>560</v>
      </c>
      <c r="E5060" s="15" t="n">
        <v>1</v>
      </c>
      <c r="H5060" s="10"/>
      <c r="I5060" s="21"/>
      <c r="M5060" s="10"/>
      <c r="N5060" s="10"/>
      <c r="P5060" s="10"/>
      <c r="Q5060" s="22"/>
    </row>
    <row r="5061" customFormat="false" ht="15.75" hidden="false" customHeight="false" outlineLevel="0" collapsed="false">
      <c r="A5061" s="20" t="n">
        <v>46150</v>
      </c>
      <c r="B5061" s="15" t="s">
        <v>491</v>
      </c>
      <c r="C5061" s="15" t="s">
        <v>69</v>
      </c>
      <c r="D5061" s="15" t="s">
        <v>535</v>
      </c>
      <c r="E5061" s="15" t="n">
        <v>6</v>
      </c>
      <c r="H5061" s="10"/>
      <c r="I5061" s="21"/>
      <c r="M5061" s="10"/>
      <c r="N5061" s="10"/>
      <c r="P5061" s="10"/>
      <c r="Q5061" s="22"/>
    </row>
    <row r="5062" customFormat="false" ht="15.75" hidden="false" customHeight="false" outlineLevel="0" collapsed="false">
      <c r="A5062" s="20" t="n">
        <v>46150</v>
      </c>
      <c r="B5062" s="15" t="s">
        <v>491</v>
      </c>
      <c r="C5062" s="15" t="s">
        <v>547</v>
      </c>
      <c r="D5062" s="15" t="s">
        <v>548</v>
      </c>
      <c r="E5062" s="15" t="n">
        <v>1</v>
      </c>
      <c r="H5062" s="10"/>
      <c r="I5062" s="21"/>
      <c r="M5062" s="10"/>
      <c r="N5062" s="10"/>
      <c r="P5062" s="10"/>
      <c r="Q5062" s="22"/>
    </row>
    <row r="5063" customFormat="false" ht="15.75" hidden="false" customHeight="false" outlineLevel="0" collapsed="false">
      <c r="A5063" s="20" t="n">
        <v>46150</v>
      </c>
      <c r="B5063" s="15" t="s">
        <v>491</v>
      </c>
      <c r="C5063" s="15" t="s">
        <v>31</v>
      </c>
      <c r="D5063" s="15" t="s">
        <v>559</v>
      </c>
      <c r="E5063" s="15" t="n">
        <v>2</v>
      </c>
      <c r="H5063" s="10"/>
      <c r="I5063" s="21"/>
      <c r="M5063" s="10"/>
      <c r="N5063" s="10"/>
      <c r="P5063" s="10"/>
      <c r="Q5063" s="22"/>
    </row>
    <row r="5064" customFormat="false" ht="15.75" hidden="false" customHeight="false" outlineLevel="0" collapsed="false">
      <c r="A5064" s="20" t="n">
        <v>46150</v>
      </c>
      <c r="B5064" s="15" t="s">
        <v>491</v>
      </c>
      <c r="C5064" s="15" t="s">
        <v>545</v>
      </c>
      <c r="D5064" s="15" t="s">
        <v>546</v>
      </c>
      <c r="E5064" s="15" t="n">
        <v>2</v>
      </c>
      <c r="H5064" s="10"/>
      <c r="I5064" s="21"/>
      <c r="M5064" s="10"/>
      <c r="N5064" s="10"/>
      <c r="P5064" s="10"/>
      <c r="Q5064" s="22"/>
    </row>
    <row r="5065" customFormat="false" ht="15.75" hidden="false" customHeight="false" outlineLevel="0" collapsed="false">
      <c r="A5065" s="20" t="n">
        <v>46150</v>
      </c>
      <c r="B5065" s="15" t="s">
        <v>491</v>
      </c>
      <c r="C5065" s="15" t="s">
        <v>543</v>
      </c>
      <c r="D5065" s="15" t="s">
        <v>544</v>
      </c>
      <c r="E5065" s="15" t="n">
        <v>4</v>
      </c>
      <c r="H5065" s="10"/>
      <c r="I5065" s="21"/>
      <c r="M5065" s="10"/>
      <c r="N5065" s="10"/>
      <c r="P5065" s="10"/>
      <c r="Q5065" s="22"/>
    </row>
    <row r="5066" customFormat="false" ht="15.75" hidden="false" customHeight="false" outlineLevel="0" collapsed="false">
      <c r="A5066" s="20" t="n">
        <v>46150</v>
      </c>
      <c r="B5066" s="15" t="s">
        <v>491</v>
      </c>
      <c r="C5066" s="15" t="s">
        <v>541</v>
      </c>
      <c r="D5066" s="15" t="s">
        <v>542</v>
      </c>
      <c r="E5066" s="15" t="n">
        <v>2</v>
      </c>
      <c r="H5066" s="10"/>
      <c r="I5066" s="21"/>
      <c r="M5066" s="10"/>
      <c r="N5066" s="10"/>
      <c r="P5066" s="10"/>
      <c r="Q5066" s="22"/>
    </row>
    <row r="5067" customFormat="false" ht="15.75" hidden="false" customHeight="false" outlineLevel="0" collapsed="false">
      <c r="A5067" s="20" t="n">
        <v>46150</v>
      </c>
      <c r="B5067" s="15" t="s">
        <v>491</v>
      </c>
      <c r="C5067" s="15" t="s">
        <v>49</v>
      </c>
      <c r="D5067" s="15" t="s">
        <v>537</v>
      </c>
      <c r="E5067" s="15" t="n">
        <v>1</v>
      </c>
      <c r="H5067" s="10"/>
      <c r="I5067" s="21"/>
      <c r="M5067" s="10"/>
      <c r="N5067" s="10"/>
      <c r="P5067" s="10"/>
      <c r="Q5067" s="22"/>
    </row>
    <row r="5068" customFormat="false" ht="15.75" hidden="false" customHeight="false" outlineLevel="0" collapsed="false">
      <c r="A5068" s="20" t="n">
        <v>46150</v>
      </c>
      <c r="B5068" s="15" t="s">
        <v>491</v>
      </c>
      <c r="C5068" s="15" t="s">
        <v>33</v>
      </c>
      <c r="D5068" s="15" t="s">
        <v>536</v>
      </c>
      <c r="E5068" s="15" t="n">
        <v>5</v>
      </c>
      <c r="H5068" s="10"/>
      <c r="I5068" s="21"/>
      <c r="M5068" s="10"/>
      <c r="N5068" s="10"/>
      <c r="P5068" s="10"/>
      <c r="Q5068" s="22"/>
    </row>
    <row r="5069" customFormat="false" ht="15.75" hidden="false" customHeight="false" outlineLevel="0" collapsed="false">
      <c r="A5069" s="20" t="n">
        <v>46150</v>
      </c>
      <c r="B5069" s="15" t="s">
        <v>491</v>
      </c>
      <c r="C5069" s="15" t="s">
        <v>77</v>
      </c>
      <c r="D5069" s="15" t="s">
        <v>78</v>
      </c>
      <c r="E5069" s="15" t="n">
        <v>3</v>
      </c>
      <c r="H5069" s="10"/>
      <c r="I5069" s="21"/>
      <c r="M5069" s="10"/>
      <c r="N5069" s="10"/>
      <c r="P5069" s="10"/>
      <c r="Q5069" s="22"/>
    </row>
    <row r="5070" customFormat="false" ht="15.75" hidden="false" customHeight="false" outlineLevel="0" collapsed="false">
      <c r="A5070" s="20" t="n">
        <v>46150</v>
      </c>
      <c r="B5070" s="15" t="s">
        <v>491</v>
      </c>
      <c r="C5070" s="15" t="s">
        <v>47</v>
      </c>
      <c r="D5070" s="15" t="s">
        <v>549</v>
      </c>
      <c r="E5070" s="15" t="n">
        <v>1</v>
      </c>
      <c r="H5070" s="10"/>
      <c r="I5070" s="21"/>
      <c r="M5070" s="10"/>
      <c r="N5070" s="10"/>
      <c r="P5070" s="10"/>
      <c r="Q5070" s="22"/>
    </row>
    <row r="5071" customFormat="false" ht="15.75" hidden="false" customHeight="false" outlineLevel="0" collapsed="false">
      <c r="A5071" s="20" t="n">
        <v>46150</v>
      </c>
      <c r="B5071" s="15" t="s">
        <v>491</v>
      </c>
      <c r="C5071" s="15" t="s">
        <v>55</v>
      </c>
      <c r="D5071" s="15" t="s">
        <v>539</v>
      </c>
      <c r="E5071" s="15" t="n">
        <v>1</v>
      </c>
      <c r="H5071" s="10"/>
      <c r="I5071" s="21"/>
      <c r="M5071" s="10"/>
      <c r="N5071" s="10"/>
      <c r="P5071" s="10"/>
      <c r="Q5071" s="22"/>
    </row>
    <row r="5072" customFormat="false" ht="15.75" hidden="false" customHeight="false" outlineLevel="0" collapsed="false">
      <c r="A5072" s="20" t="n">
        <v>46150</v>
      </c>
      <c r="B5072" s="15" t="s">
        <v>491</v>
      </c>
      <c r="C5072" s="15" t="s">
        <v>59</v>
      </c>
      <c r="D5072" s="15" t="s">
        <v>562</v>
      </c>
      <c r="E5072" s="15" t="n">
        <v>1</v>
      </c>
      <c r="H5072" s="10"/>
      <c r="I5072" s="21"/>
      <c r="M5072" s="10"/>
      <c r="N5072" s="10"/>
      <c r="P5072" s="10"/>
      <c r="Q5072" s="22"/>
    </row>
    <row r="5073" customFormat="false" ht="15.75" hidden="false" customHeight="false" outlineLevel="0" collapsed="false">
      <c r="A5073" s="20" t="n">
        <v>46150</v>
      </c>
      <c r="B5073" s="15" t="s">
        <v>491</v>
      </c>
      <c r="C5073" s="15" t="s">
        <v>43</v>
      </c>
      <c r="D5073" s="15" t="s">
        <v>538</v>
      </c>
      <c r="E5073" s="15" t="n">
        <v>1</v>
      </c>
      <c r="H5073" s="10"/>
      <c r="I5073" s="21"/>
      <c r="M5073" s="10"/>
      <c r="N5073" s="10"/>
      <c r="P5073" s="10"/>
      <c r="Q5073" s="22"/>
    </row>
    <row r="5074" customFormat="false" ht="15.75" hidden="false" customHeight="false" outlineLevel="0" collapsed="false">
      <c r="A5074" s="20" t="n">
        <v>46150</v>
      </c>
      <c r="B5074" s="15" t="s">
        <v>491</v>
      </c>
      <c r="C5074" s="15" t="s">
        <v>87</v>
      </c>
      <c r="D5074" s="15" t="s">
        <v>563</v>
      </c>
      <c r="E5074" s="15" t="n">
        <v>1</v>
      </c>
      <c r="H5074" s="10"/>
      <c r="I5074" s="21"/>
      <c r="M5074" s="10"/>
      <c r="N5074" s="10"/>
      <c r="P5074" s="10"/>
      <c r="Q5074" s="22"/>
    </row>
    <row r="5075" customFormat="false" ht="15.75" hidden="false" customHeight="false" outlineLevel="0" collapsed="false">
      <c r="A5075" s="20" t="n">
        <v>46150</v>
      </c>
      <c r="B5075" s="15" t="s">
        <v>491</v>
      </c>
      <c r="C5075" s="15" t="s">
        <v>79</v>
      </c>
      <c r="D5075" s="15" t="s">
        <v>564</v>
      </c>
      <c r="E5075" s="15" t="n">
        <v>1</v>
      </c>
      <c r="H5075" s="10"/>
      <c r="I5075" s="21"/>
      <c r="M5075" s="10"/>
      <c r="N5075" s="10"/>
      <c r="P5075" s="10"/>
      <c r="Q5075" s="22"/>
    </row>
    <row r="5076" customFormat="false" ht="15.75" hidden="false" customHeight="false" outlineLevel="0" collapsed="false">
      <c r="A5076" s="20" t="n">
        <v>46150</v>
      </c>
      <c r="B5076" s="15" t="s">
        <v>496</v>
      </c>
      <c r="C5076" s="15" t="s">
        <v>81</v>
      </c>
      <c r="D5076" s="15" t="s">
        <v>534</v>
      </c>
      <c r="E5076" s="15" t="n">
        <v>7</v>
      </c>
      <c r="H5076" s="10"/>
      <c r="I5076" s="21"/>
      <c r="M5076" s="10"/>
      <c r="N5076" s="10"/>
      <c r="P5076" s="10"/>
      <c r="Q5076" s="22"/>
    </row>
    <row r="5077" customFormat="false" ht="15.75" hidden="false" customHeight="false" outlineLevel="0" collapsed="false">
      <c r="A5077" s="20" t="n">
        <v>46150</v>
      </c>
      <c r="B5077" s="15" t="s">
        <v>496</v>
      </c>
      <c r="C5077" s="15" t="s">
        <v>47</v>
      </c>
      <c r="D5077" s="15" t="s">
        <v>549</v>
      </c>
      <c r="E5077" s="15" t="n">
        <v>4</v>
      </c>
      <c r="H5077" s="10"/>
      <c r="I5077" s="21"/>
      <c r="M5077" s="10"/>
      <c r="N5077" s="10"/>
      <c r="P5077" s="10"/>
      <c r="Q5077" s="22"/>
    </row>
    <row r="5078" customFormat="false" ht="15.75" hidden="false" customHeight="false" outlineLevel="0" collapsed="false">
      <c r="A5078" s="20" t="n">
        <v>46150</v>
      </c>
      <c r="B5078" s="15" t="s">
        <v>496</v>
      </c>
      <c r="C5078" s="15" t="s">
        <v>55</v>
      </c>
      <c r="D5078" s="15" t="s">
        <v>539</v>
      </c>
      <c r="E5078" s="15" t="n">
        <v>2</v>
      </c>
      <c r="H5078" s="10"/>
      <c r="I5078" s="21"/>
      <c r="M5078" s="10"/>
      <c r="N5078" s="10"/>
      <c r="P5078" s="10"/>
      <c r="Q5078" s="22"/>
    </row>
    <row r="5079" customFormat="false" ht="15.75" hidden="false" customHeight="false" outlineLevel="0" collapsed="false">
      <c r="A5079" s="20" t="n">
        <v>46150</v>
      </c>
      <c r="B5079" s="15" t="s">
        <v>496</v>
      </c>
      <c r="C5079" s="15" t="s">
        <v>567</v>
      </c>
      <c r="D5079" s="15" t="s">
        <v>568</v>
      </c>
      <c r="E5079" s="15" t="n">
        <v>3</v>
      </c>
      <c r="H5079" s="10"/>
      <c r="I5079" s="21"/>
      <c r="M5079" s="10"/>
      <c r="N5079" s="10"/>
      <c r="P5079" s="10"/>
      <c r="Q5079" s="22"/>
    </row>
    <row r="5080" customFormat="false" ht="15.75" hidden="false" customHeight="false" outlineLevel="0" collapsed="false">
      <c r="A5080" s="20" t="n">
        <v>46150</v>
      </c>
      <c r="B5080" s="15" t="s">
        <v>496</v>
      </c>
      <c r="C5080" s="15" t="s">
        <v>545</v>
      </c>
      <c r="D5080" s="15" t="s">
        <v>546</v>
      </c>
      <c r="E5080" s="15" t="n">
        <v>3</v>
      </c>
      <c r="H5080" s="10"/>
      <c r="I5080" s="21"/>
      <c r="M5080" s="10"/>
      <c r="N5080" s="10"/>
      <c r="P5080" s="10"/>
      <c r="Q5080" s="22"/>
    </row>
    <row r="5081" customFormat="false" ht="15.75" hidden="false" customHeight="false" outlineLevel="0" collapsed="false">
      <c r="A5081" s="20" t="n">
        <v>46150</v>
      </c>
      <c r="B5081" s="15" t="s">
        <v>496</v>
      </c>
      <c r="C5081" s="15" t="s">
        <v>547</v>
      </c>
      <c r="D5081" s="15" t="s">
        <v>548</v>
      </c>
      <c r="E5081" s="15" t="n">
        <v>1</v>
      </c>
      <c r="H5081" s="10"/>
      <c r="I5081" s="21"/>
      <c r="M5081" s="10"/>
      <c r="N5081" s="10"/>
      <c r="P5081" s="10"/>
      <c r="Q5081" s="22"/>
    </row>
    <row r="5082" customFormat="false" ht="15.75" hidden="false" customHeight="false" outlineLevel="0" collapsed="false">
      <c r="A5082" s="20" t="n">
        <v>46150</v>
      </c>
      <c r="B5082" s="15" t="s">
        <v>496</v>
      </c>
      <c r="C5082" s="15" t="s">
        <v>555</v>
      </c>
      <c r="D5082" s="15" t="s">
        <v>556</v>
      </c>
      <c r="E5082" s="15" t="n">
        <v>4</v>
      </c>
      <c r="H5082" s="10"/>
      <c r="I5082" s="21"/>
      <c r="M5082" s="10"/>
      <c r="N5082" s="10"/>
      <c r="P5082" s="10"/>
      <c r="Q5082" s="22"/>
    </row>
    <row r="5083" customFormat="false" ht="15.75" hidden="false" customHeight="false" outlineLevel="0" collapsed="false">
      <c r="A5083" s="20" t="n">
        <v>46150</v>
      </c>
      <c r="B5083" s="15" t="s">
        <v>496</v>
      </c>
      <c r="C5083" s="15" t="s">
        <v>541</v>
      </c>
      <c r="D5083" s="15" t="s">
        <v>542</v>
      </c>
      <c r="E5083" s="15" t="n">
        <v>4</v>
      </c>
      <c r="H5083" s="10"/>
      <c r="I5083" s="21"/>
      <c r="M5083" s="10"/>
      <c r="N5083" s="10"/>
      <c r="P5083" s="10"/>
      <c r="Q5083" s="22"/>
    </row>
    <row r="5084" customFormat="false" ht="15.75" hidden="false" customHeight="false" outlineLevel="0" collapsed="false">
      <c r="A5084" s="20" t="n">
        <v>46150</v>
      </c>
      <c r="B5084" s="15" t="s">
        <v>496</v>
      </c>
      <c r="C5084" s="15" t="s">
        <v>45</v>
      </c>
      <c r="D5084" s="15" t="s">
        <v>540</v>
      </c>
      <c r="E5084" s="15" t="n">
        <v>1</v>
      </c>
      <c r="H5084" s="10"/>
      <c r="I5084" s="21"/>
      <c r="M5084" s="10"/>
      <c r="N5084" s="10"/>
      <c r="P5084" s="10"/>
      <c r="Q5084" s="22"/>
    </row>
    <row r="5085" customFormat="false" ht="15.75" hidden="false" customHeight="false" outlineLevel="0" collapsed="false">
      <c r="A5085" s="20" t="n">
        <v>46150</v>
      </c>
      <c r="B5085" s="15" t="s">
        <v>496</v>
      </c>
      <c r="C5085" s="15" t="s">
        <v>37</v>
      </c>
      <c r="D5085" s="15" t="s">
        <v>561</v>
      </c>
      <c r="E5085" s="15" t="n">
        <v>1</v>
      </c>
      <c r="H5085" s="10"/>
      <c r="I5085" s="21"/>
      <c r="M5085" s="10"/>
      <c r="N5085" s="10"/>
      <c r="P5085" s="10"/>
      <c r="Q5085" s="22"/>
    </row>
    <row r="5086" customFormat="false" ht="15.75" hidden="false" customHeight="false" outlineLevel="0" collapsed="false">
      <c r="A5086" s="20" t="n">
        <v>46150</v>
      </c>
      <c r="B5086" s="15" t="s">
        <v>496</v>
      </c>
      <c r="C5086" s="15" t="s">
        <v>543</v>
      </c>
      <c r="D5086" s="15" t="s">
        <v>544</v>
      </c>
      <c r="E5086" s="15" t="n">
        <v>4</v>
      </c>
      <c r="H5086" s="10"/>
      <c r="I5086" s="21"/>
      <c r="M5086" s="10"/>
      <c r="N5086" s="10"/>
      <c r="P5086" s="10"/>
      <c r="Q5086" s="22"/>
    </row>
    <row r="5087" customFormat="false" ht="15.75" hidden="false" customHeight="false" outlineLevel="0" collapsed="false">
      <c r="A5087" s="20" t="n">
        <v>46150</v>
      </c>
      <c r="B5087" s="15" t="s">
        <v>496</v>
      </c>
      <c r="C5087" s="15" t="s">
        <v>69</v>
      </c>
      <c r="D5087" s="15" t="s">
        <v>535</v>
      </c>
      <c r="E5087" s="15" t="n">
        <v>2</v>
      </c>
      <c r="H5087" s="10"/>
      <c r="I5087" s="21"/>
      <c r="M5087" s="10"/>
      <c r="N5087" s="10"/>
      <c r="P5087" s="10"/>
      <c r="Q5087" s="22"/>
    </row>
    <row r="5088" customFormat="false" ht="15.75" hidden="false" customHeight="false" outlineLevel="0" collapsed="false">
      <c r="A5088" s="20" t="n">
        <v>46150</v>
      </c>
      <c r="B5088" s="15" t="s">
        <v>496</v>
      </c>
      <c r="C5088" s="15" t="s">
        <v>77</v>
      </c>
      <c r="D5088" s="15" t="s">
        <v>78</v>
      </c>
      <c r="E5088" s="15" t="n">
        <v>2</v>
      </c>
      <c r="H5088" s="10"/>
      <c r="I5088" s="21"/>
      <c r="M5088" s="10"/>
      <c r="N5088" s="10"/>
      <c r="P5088" s="10"/>
      <c r="Q5088" s="22"/>
    </row>
    <row r="5089" customFormat="false" ht="15.75" hidden="false" customHeight="false" outlineLevel="0" collapsed="false">
      <c r="A5089" s="20" t="n">
        <v>46150</v>
      </c>
      <c r="B5089" s="15" t="s">
        <v>496</v>
      </c>
      <c r="C5089" s="15" t="s">
        <v>59</v>
      </c>
      <c r="D5089" s="15" t="s">
        <v>562</v>
      </c>
      <c r="E5089" s="15" t="n">
        <v>2</v>
      </c>
      <c r="H5089" s="10"/>
      <c r="I5089" s="21"/>
      <c r="M5089" s="10"/>
      <c r="N5089" s="10"/>
      <c r="P5089" s="10"/>
      <c r="Q5089" s="22"/>
    </row>
    <row r="5090" customFormat="false" ht="15.75" hidden="false" customHeight="false" outlineLevel="0" collapsed="false">
      <c r="A5090" s="20" t="n">
        <v>46150</v>
      </c>
      <c r="B5090" s="15" t="s">
        <v>496</v>
      </c>
      <c r="C5090" s="15" t="s">
        <v>33</v>
      </c>
      <c r="D5090" s="15" t="s">
        <v>536</v>
      </c>
      <c r="E5090" s="15" t="n">
        <v>2</v>
      </c>
      <c r="H5090" s="10"/>
      <c r="I5090" s="21"/>
      <c r="M5090" s="10"/>
      <c r="N5090" s="10"/>
      <c r="P5090" s="10"/>
      <c r="Q5090" s="22"/>
    </row>
    <row r="5091" customFormat="false" ht="15.75" hidden="false" customHeight="false" outlineLevel="0" collapsed="false">
      <c r="A5091" s="20" t="n">
        <v>46150</v>
      </c>
      <c r="B5091" s="15" t="s">
        <v>496</v>
      </c>
      <c r="C5091" s="15" t="s">
        <v>79</v>
      </c>
      <c r="D5091" s="15" t="s">
        <v>564</v>
      </c>
      <c r="E5091" s="15" t="n">
        <v>1</v>
      </c>
      <c r="H5091" s="10"/>
      <c r="I5091" s="21"/>
      <c r="M5091" s="10"/>
      <c r="N5091" s="10"/>
      <c r="P5091" s="10"/>
      <c r="Q5091" s="22"/>
    </row>
    <row r="5092" customFormat="false" ht="15.75" hidden="false" customHeight="false" outlineLevel="0" collapsed="false">
      <c r="A5092" s="20" t="n">
        <v>46150</v>
      </c>
      <c r="B5092" s="15" t="s">
        <v>496</v>
      </c>
      <c r="C5092" s="15" t="s">
        <v>65</v>
      </c>
      <c r="D5092" s="15" t="s">
        <v>580</v>
      </c>
      <c r="E5092" s="15" t="n">
        <v>1</v>
      </c>
      <c r="H5092" s="10"/>
      <c r="I5092" s="21"/>
      <c r="M5092" s="10"/>
      <c r="N5092" s="10"/>
      <c r="P5092" s="10"/>
      <c r="Q5092" s="22"/>
    </row>
    <row r="5093" customFormat="false" ht="15.75" hidden="false" customHeight="false" outlineLevel="0" collapsed="false">
      <c r="A5093" s="20" t="n">
        <v>46150</v>
      </c>
      <c r="B5093" s="15" t="s">
        <v>205</v>
      </c>
      <c r="C5093" s="15" t="s">
        <v>55</v>
      </c>
      <c r="D5093" s="15" t="s">
        <v>539</v>
      </c>
      <c r="E5093" s="15" t="n">
        <v>3</v>
      </c>
      <c r="H5093" s="10"/>
      <c r="I5093" s="21"/>
      <c r="M5093" s="10"/>
      <c r="N5093" s="10"/>
      <c r="P5093" s="10"/>
      <c r="Q5093" s="22"/>
    </row>
    <row r="5094" customFormat="false" ht="15.75" hidden="false" customHeight="false" outlineLevel="0" collapsed="false">
      <c r="A5094" s="20" t="n">
        <v>46150</v>
      </c>
      <c r="B5094" s="15" t="s">
        <v>205</v>
      </c>
      <c r="C5094" s="15" t="s">
        <v>81</v>
      </c>
      <c r="D5094" s="15" t="s">
        <v>534</v>
      </c>
      <c r="E5094" s="15" t="n">
        <v>1</v>
      </c>
      <c r="H5094" s="10"/>
      <c r="I5094" s="21"/>
      <c r="M5094" s="10"/>
      <c r="N5094" s="10"/>
      <c r="P5094" s="10"/>
      <c r="Q5094" s="22"/>
    </row>
    <row r="5095" customFormat="false" ht="15.75" hidden="false" customHeight="false" outlineLevel="0" collapsed="false">
      <c r="A5095" s="20" t="n">
        <v>46150</v>
      </c>
      <c r="B5095" s="15" t="s">
        <v>205</v>
      </c>
      <c r="C5095" s="15" t="s">
        <v>69</v>
      </c>
      <c r="D5095" s="15" t="s">
        <v>535</v>
      </c>
      <c r="E5095" s="15" t="n">
        <v>6</v>
      </c>
      <c r="H5095" s="10"/>
      <c r="I5095" s="21"/>
      <c r="M5095" s="10"/>
      <c r="N5095" s="10"/>
      <c r="P5095" s="10"/>
      <c r="Q5095" s="22"/>
    </row>
    <row r="5096" customFormat="false" ht="15.75" hidden="false" customHeight="false" outlineLevel="0" collapsed="false">
      <c r="A5096" s="20" t="n">
        <v>46150</v>
      </c>
      <c r="B5096" s="15" t="s">
        <v>205</v>
      </c>
      <c r="C5096" s="15" t="s">
        <v>33</v>
      </c>
      <c r="D5096" s="15" t="s">
        <v>536</v>
      </c>
      <c r="E5096" s="15" t="n">
        <v>6</v>
      </c>
      <c r="H5096" s="10"/>
      <c r="I5096" s="21"/>
      <c r="M5096" s="10"/>
      <c r="N5096" s="10"/>
      <c r="P5096" s="10"/>
      <c r="Q5096" s="22"/>
    </row>
    <row r="5097" customFormat="false" ht="15.75" hidden="false" customHeight="false" outlineLevel="0" collapsed="false">
      <c r="A5097" s="20" t="n">
        <v>46150</v>
      </c>
      <c r="B5097" s="15" t="s">
        <v>499</v>
      </c>
      <c r="C5097" s="15" t="s">
        <v>543</v>
      </c>
      <c r="D5097" s="15" t="s">
        <v>544</v>
      </c>
      <c r="E5097" s="15" t="n">
        <v>1</v>
      </c>
      <c r="H5097" s="10"/>
      <c r="I5097" s="21"/>
      <c r="M5097" s="10"/>
      <c r="N5097" s="10"/>
      <c r="P5097" s="10"/>
      <c r="Q5097" s="22"/>
    </row>
    <row r="5098" customFormat="false" ht="15.75" hidden="false" customHeight="false" outlineLevel="0" collapsed="false">
      <c r="A5098" s="20" t="n">
        <v>46150</v>
      </c>
      <c r="B5098" s="15" t="s">
        <v>499</v>
      </c>
      <c r="C5098" s="15" t="s">
        <v>69</v>
      </c>
      <c r="D5098" s="15" t="s">
        <v>535</v>
      </c>
      <c r="E5098" s="15" t="n">
        <v>1</v>
      </c>
      <c r="H5098" s="10"/>
      <c r="I5098" s="21"/>
      <c r="M5098" s="10"/>
      <c r="N5098" s="10"/>
      <c r="P5098" s="10"/>
      <c r="Q5098" s="22"/>
    </row>
    <row r="5099" customFormat="false" ht="15.75" hidden="false" customHeight="false" outlineLevel="0" collapsed="false">
      <c r="A5099" s="20" t="n">
        <v>46150</v>
      </c>
      <c r="B5099" s="15" t="s">
        <v>499</v>
      </c>
      <c r="C5099" s="15" t="s">
        <v>33</v>
      </c>
      <c r="D5099" s="15" t="s">
        <v>536</v>
      </c>
      <c r="E5099" s="15" t="n">
        <v>2</v>
      </c>
      <c r="H5099" s="10"/>
      <c r="I5099" s="21"/>
      <c r="M5099" s="10"/>
      <c r="N5099" s="10"/>
      <c r="P5099" s="10"/>
      <c r="Q5099" s="22"/>
    </row>
    <row r="5100" customFormat="false" ht="15.75" hidden="false" customHeight="false" outlineLevel="0" collapsed="false">
      <c r="A5100" s="20" t="n">
        <v>46150</v>
      </c>
      <c r="B5100" s="15" t="s">
        <v>499</v>
      </c>
      <c r="C5100" s="15" t="s">
        <v>55</v>
      </c>
      <c r="D5100" s="15" t="s">
        <v>539</v>
      </c>
      <c r="E5100" s="15" t="n">
        <v>1</v>
      </c>
      <c r="H5100" s="10"/>
      <c r="I5100" s="21"/>
      <c r="M5100" s="10"/>
      <c r="N5100" s="10"/>
      <c r="P5100" s="10"/>
      <c r="Q5100" s="22"/>
    </row>
    <row r="5101" customFormat="false" ht="15.75" hidden="false" customHeight="false" outlineLevel="0" collapsed="false">
      <c r="A5101" s="20" t="n">
        <v>46150</v>
      </c>
      <c r="B5101" s="15" t="s">
        <v>499</v>
      </c>
      <c r="C5101" s="15" t="s">
        <v>59</v>
      </c>
      <c r="D5101" s="15" t="s">
        <v>562</v>
      </c>
      <c r="E5101" s="15" t="n">
        <v>1</v>
      </c>
      <c r="H5101" s="10"/>
      <c r="I5101" s="21"/>
      <c r="M5101" s="10"/>
      <c r="N5101" s="10"/>
      <c r="P5101" s="10"/>
      <c r="Q5101" s="22"/>
    </row>
    <row r="5102" customFormat="false" ht="15.75" hidden="false" customHeight="false" outlineLevel="0" collapsed="false">
      <c r="A5102" s="20" t="n">
        <v>46150</v>
      </c>
      <c r="B5102" s="15" t="s">
        <v>499</v>
      </c>
      <c r="C5102" s="15" t="s">
        <v>47</v>
      </c>
      <c r="D5102" s="15" t="s">
        <v>549</v>
      </c>
      <c r="E5102" s="15" t="n">
        <v>1</v>
      </c>
      <c r="H5102" s="10"/>
      <c r="I5102" s="21"/>
      <c r="M5102" s="10"/>
      <c r="N5102" s="10"/>
      <c r="P5102" s="10"/>
      <c r="Q5102" s="22"/>
    </row>
    <row r="5103" customFormat="false" ht="15.75" hidden="false" customHeight="false" outlineLevel="0" collapsed="false">
      <c r="A5103" s="20" t="n">
        <v>46150</v>
      </c>
      <c r="B5103" s="15" t="s">
        <v>499</v>
      </c>
      <c r="C5103" s="15" t="s">
        <v>75</v>
      </c>
      <c r="D5103" s="15" t="s">
        <v>560</v>
      </c>
      <c r="E5103" s="15" t="n">
        <v>1</v>
      </c>
      <c r="H5103" s="10"/>
      <c r="I5103" s="21"/>
      <c r="M5103" s="10"/>
      <c r="N5103" s="10"/>
      <c r="P5103" s="10"/>
      <c r="Q5103" s="22"/>
    </row>
    <row r="5104" customFormat="false" ht="15.75" hidden="false" customHeight="false" outlineLevel="0" collapsed="false">
      <c r="A5104" s="20" t="n">
        <v>46150</v>
      </c>
      <c r="B5104" s="15" t="s">
        <v>499</v>
      </c>
      <c r="C5104" s="15" t="s">
        <v>81</v>
      </c>
      <c r="D5104" s="15" t="s">
        <v>534</v>
      </c>
      <c r="E5104" s="15" t="n">
        <v>7</v>
      </c>
      <c r="H5104" s="10"/>
      <c r="I5104" s="21"/>
      <c r="M5104" s="10"/>
      <c r="N5104" s="10"/>
      <c r="P5104" s="10"/>
      <c r="Q5104" s="22"/>
    </row>
    <row r="5105" customFormat="false" ht="15.75" hidden="false" customHeight="false" outlineLevel="0" collapsed="false">
      <c r="A5105" s="20" t="n">
        <v>46150</v>
      </c>
      <c r="B5105" s="15" t="s">
        <v>499</v>
      </c>
      <c r="C5105" s="15" t="s">
        <v>77</v>
      </c>
      <c r="D5105" s="15" t="s">
        <v>78</v>
      </c>
      <c r="E5105" s="15" t="n">
        <v>2</v>
      </c>
      <c r="H5105" s="10"/>
      <c r="I5105" s="21"/>
      <c r="M5105" s="10"/>
      <c r="N5105" s="10"/>
      <c r="P5105" s="10"/>
      <c r="Q5105" s="22"/>
    </row>
    <row r="5106" customFormat="false" ht="15.75" hidden="false" customHeight="false" outlineLevel="0" collapsed="false">
      <c r="A5106" s="20" t="n">
        <v>46150</v>
      </c>
      <c r="B5106" s="15" t="s">
        <v>504</v>
      </c>
      <c r="C5106" s="15" t="s">
        <v>47</v>
      </c>
      <c r="D5106" s="15" t="s">
        <v>549</v>
      </c>
      <c r="E5106" s="15" t="n">
        <v>6</v>
      </c>
      <c r="H5106" s="10"/>
      <c r="I5106" s="21"/>
      <c r="M5106" s="10"/>
      <c r="N5106" s="10"/>
      <c r="P5106" s="10"/>
      <c r="Q5106" s="22"/>
    </row>
    <row r="5107" customFormat="false" ht="15.75" hidden="false" customHeight="false" outlineLevel="0" collapsed="false">
      <c r="A5107" s="20" t="n">
        <v>46150</v>
      </c>
      <c r="B5107" s="15" t="s">
        <v>504</v>
      </c>
      <c r="C5107" s="15" t="s">
        <v>55</v>
      </c>
      <c r="D5107" s="15" t="s">
        <v>539</v>
      </c>
      <c r="E5107" s="15" t="n">
        <v>12</v>
      </c>
      <c r="H5107" s="10"/>
      <c r="I5107" s="21"/>
      <c r="M5107" s="10"/>
      <c r="N5107" s="10"/>
      <c r="P5107" s="10"/>
      <c r="Q5107" s="22"/>
    </row>
    <row r="5108" customFormat="false" ht="15.75" hidden="false" customHeight="false" outlineLevel="0" collapsed="false">
      <c r="A5108" s="20" t="n">
        <v>46150</v>
      </c>
      <c r="B5108" s="15" t="s">
        <v>504</v>
      </c>
      <c r="C5108" s="15" t="s">
        <v>81</v>
      </c>
      <c r="D5108" s="15" t="s">
        <v>534</v>
      </c>
      <c r="E5108" s="15" t="n">
        <v>18</v>
      </c>
      <c r="H5108" s="10"/>
      <c r="I5108" s="21"/>
      <c r="M5108" s="10"/>
      <c r="N5108" s="10"/>
      <c r="P5108" s="10"/>
      <c r="Q5108" s="22"/>
    </row>
    <row r="5109" customFormat="false" ht="15.75" hidden="false" customHeight="false" outlineLevel="0" collapsed="false">
      <c r="A5109" s="20" t="n">
        <v>46150</v>
      </c>
      <c r="B5109" s="15" t="s">
        <v>504</v>
      </c>
      <c r="C5109" s="15" t="s">
        <v>39</v>
      </c>
      <c r="D5109" s="15" t="s">
        <v>550</v>
      </c>
      <c r="E5109" s="15" t="n">
        <v>2</v>
      </c>
      <c r="H5109" s="10"/>
      <c r="I5109" s="21"/>
      <c r="M5109" s="10"/>
      <c r="N5109" s="10"/>
      <c r="P5109" s="10"/>
      <c r="Q5109" s="22"/>
    </row>
    <row r="5110" customFormat="false" ht="15.75" hidden="false" customHeight="false" outlineLevel="0" collapsed="false">
      <c r="A5110" s="20" t="n">
        <v>46150</v>
      </c>
      <c r="B5110" s="15" t="s">
        <v>504</v>
      </c>
      <c r="C5110" s="15" t="s">
        <v>63</v>
      </c>
      <c r="D5110" s="15" t="s">
        <v>551</v>
      </c>
      <c r="E5110" s="15" t="n">
        <v>2</v>
      </c>
      <c r="H5110" s="10"/>
      <c r="I5110" s="21"/>
      <c r="M5110" s="10"/>
      <c r="N5110" s="10"/>
      <c r="P5110" s="10"/>
      <c r="Q5110" s="22"/>
    </row>
    <row r="5111" customFormat="false" ht="15.75" hidden="false" customHeight="false" outlineLevel="0" collapsed="false">
      <c r="A5111" s="20" t="n">
        <v>46150</v>
      </c>
      <c r="B5111" s="15" t="s">
        <v>504</v>
      </c>
      <c r="C5111" s="15" t="s">
        <v>17</v>
      </c>
      <c r="D5111" s="15" t="s">
        <v>554</v>
      </c>
      <c r="E5111" s="15" t="n">
        <v>2</v>
      </c>
      <c r="H5111" s="10"/>
      <c r="I5111" s="21"/>
      <c r="M5111" s="10"/>
      <c r="N5111" s="10"/>
      <c r="P5111" s="10"/>
      <c r="Q5111" s="22"/>
    </row>
    <row r="5112" customFormat="false" ht="15.75" hidden="false" customHeight="false" outlineLevel="0" collapsed="false">
      <c r="A5112" s="20" t="n">
        <v>46150</v>
      </c>
      <c r="B5112" s="15" t="s">
        <v>505</v>
      </c>
      <c r="C5112" s="15" t="s">
        <v>55</v>
      </c>
      <c r="D5112" s="15" t="s">
        <v>539</v>
      </c>
      <c r="E5112" s="15" t="n">
        <v>6</v>
      </c>
      <c r="H5112" s="10"/>
      <c r="I5112" s="21"/>
      <c r="M5112" s="10"/>
      <c r="N5112" s="10"/>
      <c r="P5112" s="10"/>
      <c r="Q5112" s="22"/>
    </row>
    <row r="5113" customFormat="false" ht="15.75" hidden="false" customHeight="false" outlineLevel="0" collapsed="false">
      <c r="A5113" s="20" t="n">
        <v>46150</v>
      </c>
      <c r="B5113" s="15" t="s">
        <v>505</v>
      </c>
      <c r="C5113" s="15" t="s">
        <v>39</v>
      </c>
      <c r="D5113" s="15" t="s">
        <v>550</v>
      </c>
      <c r="E5113" s="15" t="n">
        <v>1</v>
      </c>
      <c r="H5113" s="10"/>
      <c r="I5113" s="21"/>
      <c r="M5113" s="10"/>
      <c r="N5113" s="10"/>
      <c r="P5113" s="10"/>
      <c r="Q5113" s="22"/>
    </row>
    <row r="5114" customFormat="false" ht="15.75" hidden="false" customHeight="false" outlineLevel="0" collapsed="false">
      <c r="A5114" s="20" t="n">
        <v>46150</v>
      </c>
      <c r="B5114" s="15" t="s">
        <v>505</v>
      </c>
      <c r="C5114" s="15" t="s">
        <v>81</v>
      </c>
      <c r="D5114" s="15" t="s">
        <v>534</v>
      </c>
      <c r="E5114" s="15" t="n">
        <v>9</v>
      </c>
      <c r="H5114" s="10"/>
      <c r="I5114" s="21"/>
      <c r="M5114" s="10"/>
      <c r="N5114" s="10"/>
      <c r="P5114" s="10"/>
      <c r="Q5114" s="22"/>
    </row>
    <row r="5115" customFormat="false" ht="15.75" hidden="false" customHeight="false" outlineLevel="0" collapsed="false">
      <c r="A5115" s="20" t="n">
        <v>46150</v>
      </c>
      <c r="B5115" s="15" t="s">
        <v>505</v>
      </c>
      <c r="C5115" s="15" t="s">
        <v>47</v>
      </c>
      <c r="D5115" s="15" t="s">
        <v>549</v>
      </c>
      <c r="E5115" s="15" t="n">
        <v>3</v>
      </c>
      <c r="H5115" s="10"/>
      <c r="I5115" s="21"/>
      <c r="M5115" s="10"/>
      <c r="N5115" s="10"/>
      <c r="P5115" s="10"/>
      <c r="Q5115" s="22"/>
    </row>
    <row r="5116" customFormat="false" ht="15.75" hidden="false" customHeight="false" outlineLevel="0" collapsed="false">
      <c r="A5116" s="20" t="n">
        <v>46150</v>
      </c>
      <c r="B5116" s="15" t="s">
        <v>505</v>
      </c>
      <c r="C5116" s="15" t="s">
        <v>63</v>
      </c>
      <c r="D5116" s="15" t="s">
        <v>551</v>
      </c>
      <c r="E5116" s="15" t="n">
        <v>1</v>
      </c>
      <c r="H5116" s="10"/>
      <c r="I5116" s="21"/>
      <c r="M5116" s="10"/>
      <c r="N5116" s="10"/>
      <c r="P5116" s="10"/>
      <c r="Q5116" s="22"/>
    </row>
    <row r="5117" customFormat="false" ht="15.75" hidden="false" customHeight="false" outlineLevel="0" collapsed="false">
      <c r="A5117" s="20" t="n">
        <v>46150</v>
      </c>
      <c r="B5117" s="15" t="s">
        <v>505</v>
      </c>
      <c r="C5117" s="15" t="s">
        <v>17</v>
      </c>
      <c r="D5117" s="15" t="s">
        <v>554</v>
      </c>
      <c r="E5117" s="15" t="n">
        <v>1</v>
      </c>
      <c r="H5117" s="10"/>
      <c r="I5117" s="21"/>
      <c r="M5117" s="10"/>
      <c r="N5117" s="10"/>
      <c r="P5117" s="10"/>
      <c r="Q5117" s="22"/>
    </row>
    <row r="5118" customFormat="false" ht="15.75" hidden="false" customHeight="false" outlineLevel="0" collapsed="false">
      <c r="A5118" s="20" t="n">
        <v>46150</v>
      </c>
      <c r="B5118" s="15" t="s">
        <v>508</v>
      </c>
      <c r="C5118" s="15" t="s">
        <v>55</v>
      </c>
      <c r="D5118" s="15" t="s">
        <v>539</v>
      </c>
      <c r="E5118" s="15" t="n">
        <v>5</v>
      </c>
      <c r="H5118" s="10"/>
      <c r="I5118" s="21"/>
      <c r="M5118" s="10"/>
      <c r="N5118" s="10"/>
      <c r="P5118" s="10"/>
      <c r="Q5118" s="22"/>
    </row>
    <row r="5119" customFormat="false" ht="15.75" hidden="false" customHeight="false" outlineLevel="0" collapsed="false">
      <c r="A5119" s="20" t="n">
        <v>46150</v>
      </c>
      <c r="B5119" s="15" t="s">
        <v>508</v>
      </c>
      <c r="C5119" s="15" t="s">
        <v>81</v>
      </c>
      <c r="D5119" s="15" t="s">
        <v>534</v>
      </c>
      <c r="E5119" s="15" t="n">
        <v>9</v>
      </c>
      <c r="H5119" s="10"/>
      <c r="I5119" s="21"/>
      <c r="M5119" s="10"/>
      <c r="N5119" s="10"/>
      <c r="P5119" s="10"/>
      <c r="Q5119" s="22"/>
    </row>
    <row r="5120" customFormat="false" ht="15.75" hidden="false" customHeight="false" outlineLevel="0" collapsed="false">
      <c r="A5120" s="20" t="n">
        <v>46150</v>
      </c>
      <c r="B5120" s="15" t="s">
        <v>508</v>
      </c>
      <c r="C5120" s="15" t="s">
        <v>39</v>
      </c>
      <c r="D5120" s="15" t="s">
        <v>550</v>
      </c>
      <c r="E5120" s="15" t="n">
        <v>2</v>
      </c>
      <c r="H5120" s="10"/>
      <c r="I5120" s="21"/>
      <c r="M5120" s="10"/>
      <c r="N5120" s="10"/>
      <c r="P5120" s="10"/>
      <c r="Q5120" s="22"/>
    </row>
    <row r="5121" customFormat="false" ht="15.75" hidden="false" customHeight="false" outlineLevel="0" collapsed="false">
      <c r="A5121" s="20" t="n">
        <v>46150</v>
      </c>
      <c r="B5121" s="15" t="s">
        <v>508</v>
      </c>
      <c r="C5121" s="15" t="s">
        <v>47</v>
      </c>
      <c r="D5121" s="15" t="s">
        <v>549</v>
      </c>
      <c r="E5121" s="15" t="n">
        <v>2</v>
      </c>
      <c r="H5121" s="10"/>
      <c r="I5121" s="21"/>
      <c r="M5121" s="10"/>
      <c r="N5121" s="10"/>
      <c r="P5121" s="10"/>
      <c r="Q5121" s="22"/>
    </row>
    <row r="5122" customFormat="false" ht="15.75" hidden="false" customHeight="false" outlineLevel="0" collapsed="false">
      <c r="A5122" s="20" t="n">
        <v>46150</v>
      </c>
      <c r="B5122" s="15" t="s">
        <v>508</v>
      </c>
      <c r="C5122" s="15" t="s">
        <v>63</v>
      </c>
      <c r="D5122" s="15" t="s">
        <v>551</v>
      </c>
      <c r="E5122" s="15" t="n">
        <v>1</v>
      </c>
      <c r="H5122" s="10"/>
      <c r="I5122" s="21"/>
      <c r="M5122" s="10"/>
      <c r="N5122" s="10"/>
      <c r="P5122" s="10"/>
      <c r="Q5122" s="22"/>
    </row>
    <row r="5123" customFormat="false" ht="15.75" hidden="false" customHeight="false" outlineLevel="0" collapsed="false">
      <c r="A5123" s="20" t="n">
        <v>46150</v>
      </c>
      <c r="B5123" s="15" t="s">
        <v>514</v>
      </c>
      <c r="C5123" s="15" t="s">
        <v>55</v>
      </c>
      <c r="D5123" s="15" t="s">
        <v>539</v>
      </c>
      <c r="E5123" s="15" t="n">
        <v>5</v>
      </c>
      <c r="H5123" s="10"/>
      <c r="I5123" s="21"/>
      <c r="M5123" s="10"/>
      <c r="N5123" s="10"/>
      <c r="P5123" s="10"/>
      <c r="Q5123" s="22"/>
    </row>
    <row r="5124" customFormat="false" ht="15.75" hidden="false" customHeight="false" outlineLevel="0" collapsed="false">
      <c r="A5124" s="20" t="n">
        <v>46150</v>
      </c>
      <c r="B5124" s="15" t="s">
        <v>514</v>
      </c>
      <c r="C5124" s="15" t="s">
        <v>57</v>
      </c>
      <c r="D5124" s="15" t="s">
        <v>553</v>
      </c>
      <c r="E5124" s="15" t="n">
        <v>1</v>
      </c>
      <c r="H5124" s="10"/>
      <c r="I5124" s="21"/>
      <c r="M5124" s="10"/>
      <c r="N5124" s="10"/>
      <c r="P5124" s="10"/>
      <c r="Q5124" s="22"/>
    </row>
    <row r="5125" customFormat="false" ht="15.75" hidden="false" customHeight="false" outlineLevel="0" collapsed="false">
      <c r="A5125" s="20" t="n">
        <v>46150</v>
      </c>
      <c r="B5125" s="15" t="s">
        <v>514</v>
      </c>
      <c r="C5125" s="15" t="s">
        <v>49</v>
      </c>
      <c r="D5125" s="15" t="s">
        <v>537</v>
      </c>
      <c r="E5125" s="15" t="n">
        <v>1</v>
      </c>
      <c r="H5125" s="10"/>
      <c r="I5125" s="21"/>
      <c r="M5125" s="10"/>
      <c r="N5125" s="10"/>
      <c r="P5125" s="10"/>
      <c r="Q5125" s="22"/>
    </row>
    <row r="5126" customFormat="false" ht="15.75" hidden="false" customHeight="false" outlineLevel="0" collapsed="false">
      <c r="A5126" s="20" t="n">
        <v>46150</v>
      </c>
      <c r="B5126" s="15" t="s">
        <v>514</v>
      </c>
      <c r="C5126" s="15" t="s">
        <v>47</v>
      </c>
      <c r="D5126" s="15" t="s">
        <v>549</v>
      </c>
      <c r="E5126" s="15" t="n">
        <v>4</v>
      </c>
      <c r="H5126" s="10"/>
      <c r="I5126" s="21"/>
      <c r="M5126" s="10"/>
      <c r="N5126" s="10"/>
      <c r="P5126" s="10"/>
      <c r="Q5126" s="22"/>
    </row>
    <row r="5127" customFormat="false" ht="15.75" hidden="false" customHeight="false" outlineLevel="0" collapsed="false">
      <c r="A5127" s="20" t="n">
        <v>46150</v>
      </c>
      <c r="B5127" s="15" t="s">
        <v>514</v>
      </c>
      <c r="C5127" s="15" t="s">
        <v>81</v>
      </c>
      <c r="D5127" s="15" t="s">
        <v>534</v>
      </c>
      <c r="E5127" s="15" t="n">
        <v>7</v>
      </c>
      <c r="H5127" s="10"/>
      <c r="I5127" s="21"/>
      <c r="M5127" s="10"/>
      <c r="N5127" s="10"/>
      <c r="P5127" s="10"/>
      <c r="Q5127" s="22"/>
    </row>
    <row r="5128" customFormat="false" ht="15.75" hidden="false" customHeight="false" outlineLevel="0" collapsed="false">
      <c r="A5128" s="20" t="n">
        <v>46150</v>
      </c>
      <c r="B5128" s="15" t="s">
        <v>514</v>
      </c>
      <c r="C5128" s="15" t="s">
        <v>63</v>
      </c>
      <c r="D5128" s="15" t="s">
        <v>551</v>
      </c>
      <c r="E5128" s="15" t="n">
        <v>1</v>
      </c>
      <c r="H5128" s="10"/>
      <c r="I5128" s="21"/>
      <c r="M5128" s="10"/>
      <c r="N5128" s="10"/>
      <c r="P5128" s="10"/>
      <c r="Q5128" s="22"/>
    </row>
    <row r="5129" customFormat="false" ht="15.75" hidden="false" customHeight="false" outlineLevel="0" collapsed="false">
      <c r="A5129" s="20" t="n">
        <v>46150</v>
      </c>
      <c r="B5129" s="15" t="s">
        <v>514</v>
      </c>
      <c r="C5129" s="15" t="s">
        <v>17</v>
      </c>
      <c r="D5129" s="15" t="s">
        <v>554</v>
      </c>
      <c r="E5129" s="15" t="n">
        <v>1</v>
      </c>
      <c r="H5129" s="10"/>
      <c r="I5129" s="21"/>
      <c r="M5129" s="10"/>
      <c r="N5129" s="10"/>
      <c r="P5129" s="10"/>
      <c r="Q5129" s="22"/>
    </row>
    <row r="5130" customFormat="false" ht="15.75" hidden="false" customHeight="false" outlineLevel="0" collapsed="false">
      <c r="A5130" s="20" t="n">
        <v>46150</v>
      </c>
      <c r="B5130" s="15" t="s">
        <v>518</v>
      </c>
      <c r="C5130" s="15" t="s">
        <v>69</v>
      </c>
      <c r="D5130" s="15" t="s">
        <v>535</v>
      </c>
      <c r="E5130" s="15" t="n">
        <v>6</v>
      </c>
      <c r="H5130" s="10"/>
      <c r="I5130" s="21"/>
      <c r="M5130" s="10"/>
      <c r="N5130" s="10"/>
      <c r="P5130" s="10"/>
      <c r="Q5130" s="22"/>
    </row>
    <row r="5131" customFormat="false" ht="15.75" hidden="false" customHeight="false" outlineLevel="0" collapsed="false">
      <c r="A5131" s="20" t="n">
        <v>46150</v>
      </c>
      <c r="B5131" s="15" t="s">
        <v>518</v>
      </c>
      <c r="C5131" s="15" t="s">
        <v>33</v>
      </c>
      <c r="D5131" s="15" t="s">
        <v>536</v>
      </c>
      <c r="E5131" s="15" t="n">
        <v>6</v>
      </c>
      <c r="H5131" s="10"/>
      <c r="I5131" s="21"/>
      <c r="M5131" s="10"/>
      <c r="N5131" s="10"/>
      <c r="P5131" s="10"/>
      <c r="Q5131" s="22"/>
    </row>
    <row r="5132" customFormat="false" ht="15.75" hidden="false" customHeight="false" outlineLevel="0" collapsed="false">
      <c r="A5132" s="20" t="n">
        <v>46150</v>
      </c>
      <c r="B5132" s="15" t="s">
        <v>518</v>
      </c>
      <c r="C5132" s="15" t="s">
        <v>47</v>
      </c>
      <c r="D5132" s="15" t="s">
        <v>549</v>
      </c>
      <c r="E5132" s="15" t="n">
        <v>2</v>
      </c>
      <c r="H5132" s="10"/>
      <c r="I5132" s="21"/>
      <c r="M5132" s="10"/>
      <c r="N5132" s="10"/>
      <c r="P5132" s="10"/>
      <c r="Q5132" s="22"/>
    </row>
    <row r="5133" customFormat="false" ht="15.75" hidden="false" customHeight="false" outlineLevel="0" collapsed="false">
      <c r="A5133" s="20" t="n">
        <v>46150</v>
      </c>
      <c r="B5133" s="15" t="s">
        <v>518</v>
      </c>
      <c r="C5133" s="15" t="s">
        <v>51</v>
      </c>
      <c r="D5133" s="15" t="s">
        <v>573</v>
      </c>
      <c r="E5133" s="15" t="n">
        <v>1</v>
      </c>
      <c r="H5133" s="10"/>
      <c r="I5133" s="21"/>
      <c r="M5133" s="10"/>
      <c r="N5133" s="10"/>
      <c r="P5133" s="10"/>
      <c r="Q5133" s="22"/>
    </row>
    <row r="5134" customFormat="false" ht="15.75" hidden="false" customHeight="false" outlineLevel="0" collapsed="false">
      <c r="A5134" s="20" t="n">
        <v>46150</v>
      </c>
      <c r="B5134" s="15" t="s">
        <v>518</v>
      </c>
      <c r="C5134" s="15" t="s">
        <v>55</v>
      </c>
      <c r="D5134" s="15" t="s">
        <v>539</v>
      </c>
      <c r="E5134" s="15" t="n">
        <v>2</v>
      </c>
      <c r="H5134" s="10"/>
      <c r="I5134" s="21"/>
      <c r="M5134" s="10"/>
      <c r="N5134" s="10"/>
      <c r="P5134" s="10"/>
      <c r="Q5134" s="22"/>
    </row>
    <row r="5135" customFormat="false" ht="15.75" hidden="false" customHeight="false" outlineLevel="0" collapsed="false">
      <c r="A5135" s="20" t="n">
        <v>46150</v>
      </c>
      <c r="B5135" s="15" t="s">
        <v>518</v>
      </c>
      <c r="C5135" s="15" t="s">
        <v>37</v>
      </c>
      <c r="D5135" s="15" t="s">
        <v>561</v>
      </c>
      <c r="E5135" s="15" t="n">
        <v>2</v>
      </c>
      <c r="H5135" s="10"/>
      <c r="I5135" s="21"/>
      <c r="M5135" s="10"/>
      <c r="N5135" s="10"/>
      <c r="P5135" s="10"/>
      <c r="Q5135" s="22"/>
    </row>
    <row r="5136" customFormat="false" ht="15.75" hidden="false" customHeight="false" outlineLevel="0" collapsed="false">
      <c r="A5136" s="20" t="n">
        <v>46150</v>
      </c>
      <c r="B5136" s="15" t="s">
        <v>518</v>
      </c>
      <c r="C5136" s="15" t="s">
        <v>547</v>
      </c>
      <c r="D5136" s="15" t="s">
        <v>548</v>
      </c>
      <c r="E5136" s="15" t="n">
        <v>1</v>
      </c>
      <c r="H5136" s="10"/>
      <c r="I5136" s="21"/>
      <c r="M5136" s="10"/>
      <c r="N5136" s="10"/>
      <c r="P5136" s="10"/>
      <c r="Q5136" s="22"/>
    </row>
    <row r="5137" customFormat="false" ht="15.75" hidden="false" customHeight="false" outlineLevel="0" collapsed="false">
      <c r="A5137" s="20" t="n">
        <v>46150</v>
      </c>
      <c r="B5137" s="15" t="s">
        <v>518</v>
      </c>
      <c r="C5137" s="15" t="s">
        <v>81</v>
      </c>
      <c r="D5137" s="15" t="s">
        <v>534</v>
      </c>
      <c r="E5137" s="15" t="n">
        <v>1</v>
      </c>
      <c r="H5137" s="10"/>
      <c r="I5137" s="21"/>
      <c r="M5137" s="10"/>
      <c r="N5137" s="10"/>
      <c r="P5137" s="10"/>
      <c r="Q5137" s="22"/>
    </row>
    <row r="5138" customFormat="false" ht="15.75" hidden="false" customHeight="false" outlineLevel="0" collapsed="false">
      <c r="A5138" s="20" t="n">
        <v>46151</v>
      </c>
      <c r="B5138" s="15" t="s">
        <v>453</v>
      </c>
      <c r="C5138" s="15" t="s">
        <v>47</v>
      </c>
      <c r="D5138" s="15" t="s">
        <v>549</v>
      </c>
      <c r="E5138" s="15" t="n">
        <v>2</v>
      </c>
      <c r="H5138" s="10"/>
      <c r="I5138" s="21"/>
      <c r="M5138" s="10"/>
      <c r="N5138" s="10"/>
      <c r="P5138" s="10"/>
      <c r="Q5138" s="22"/>
    </row>
    <row r="5139" customFormat="false" ht="15.75" hidden="false" customHeight="false" outlineLevel="0" collapsed="false">
      <c r="A5139" s="20" t="n">
        <v>46151</v>
      </c>
      <c r="B5139" s="15" t="s">
        <v>453</v>
      </c>
      <c r="C5139" s="15" t="s">
        <v>55</v>
      </c>
      <c r="D5139" s="15" t="s">
        <v>539</v>
      </c>
      <c r="E5139" s="15" t="n">
        <v>4</v>
      </c>
      <c r="H5139" s="10"/>
      <c r="I5139" s="21"/>
      <c r="M5139" s="10"/>
      <c r="N5139" s="10"/>
      <c r="P5139" s="10"/>
      <c r="Q5139" s="22"/>
    </row>
    <row r="5140" customFormat="false" ht="15.75" hidden="false" customHeight="false" outlineLevel="0" collapsed="false">
      <c r="A5140" s="20" t="n">
        <v>46151</v>
      </c>
      <c r="B5140" s="15" t="s">
        <v>453</v>
      </c>
      <c r="C5140" s="15" t="s">
        <v>81</v>
      </c>
      <c r="D5140" s="15" t="s">
        <v>534</v>
      </c>
      <c r="E5140" s="15" t="n">
        <v>8</v>
      </c>
      <c r="H5140" s="10"/>
      <c r="I5140" s="21"/>
      <c r="M5140" s="10"/>
      <c r="N5140" s="10"/>
      <c r="P5140" s="10"/>
      <c r="Q5140" s="22"/>
    </row>
    <row r="5141" customFormat="false" ht="15.75" hidden="false" customHeight="false" outlineLevel="0" collapsed="false">
      <c r="A5141" s="20" t="n">
        <v>46151</v>
      </c>
      <c r="B5141" s="15" t="s">
        <v>453</v>
      </c>
      <c r="C5141" s="15" t="s">
        <v>39</v>
      </c>
      <c r="D5141" s="15" t="s">
        <v>550</v>
      </c>
      <c r="E5141" s="15" t="n">
        <v>2</v>
      </c>
      <c r="H5141" s="10"/>
      <c r="I5141" s="21"/>
      <c r="M5141" s="10"/>
      <c r="N5141" s="10"/>
      <c r="P5141" s="10"/>
      <c r="Q5141" s="22"/>
    </row>
    <row r="5142" customFormat="false" ht="15.75" hidden="false" customHeight="false" outlineLevel="0" collapsed="false">
      <c r="A5142" s="20" t="n">
        <v>46151</v>
      </c>
      <c r="B5142" s="15" t="s">
        <v>453</v>
      </c>
      <c r="C5142" s="15" t="s">
        <v>63</v>
      </c>
      <c r="D5142" s="15" t="s">
        <v>551</v>
      </c>
      <c r="E5142" s="15" t="n">
        <v>1</v>
      </c>
      <c r="H5142" s="10"/>
      <c r="I5142" s="21"/>
      <c r="M5142" s="10"/>
      <c r="N5142" s="10"/>
      <c r="P5142" s="10"/>
      <c r="Q5142" s="22"/>
    </row>
    <row r="5143" customFormat="false" ht="15.75" hidden="false" customHeight="false" outlineLevel="0" collapsed="false">
      <c r="A5143" s="20" t="n">
        <v>46151</v>
      </c>
      <c r="B5143" s="15" t="s">
        <v>453</v>
      </c>
      <c r="C5143" s="15" t="s">
        <v>35</v>
      </c>
      <c r="D5143" s="15" t="s">
        <v>552</v>
      </c>
      <c r="E5143" s="15" t="n">
        <v>2</v>
      </c>
      <c r="H5143" s="10"/>
      <c r="I5143" s="21"/>
      <c r="M5143" s="10"/>
      <c r="N5143" s="10"/>
      <c r="P5143" s="10"/>
      <c r="Q5143" s="22"/>
    </row>
    <row r="5144" customFormat="false" ht="15.75" hidden="false" customHeight="false" outlineLevel="0" collapsed="false">
      <c r="A5144" s="20" t="n">
        <v>46151</v>
      </c>
      <c r="B5144" s="15" t="s">
        <v>467</v>
      </c>
      <c r="C5144" s="15" t="s">
        <v>55</v>
      </c>
      <c r="D5144" s="15" t="s">
        <v>539</v>
      </c>
      <c r="E5144" s="15" t="n">
        <v>6</v>
      </c>
      <c r="H5144" s="10"/>
      <c r="I5144" s="21"/>
      <c r="M5144" s="10"/>
      <c r="N5144" s="10"/>
      <c r="P5144" s="10"/>
      <c r="Q5144" s="22"/>
    </row>
    <row r="5145" customFormat="false" ht="15.75" hidden="false" customHeight="false" outlineLevel="0" collapsed="false">
      <c r="A5145" s="20" t="n">
        <v>46151</v>
      </c>
      <c r="B5145" s="15" t="s">
        <v>467</v>
      </c>
      <c r="C5145" s="15" t="s">
        <v>57</v>
      </c>
      <c r="D5145" s="15" t="s">
        <v>553</v>
      </c>
      <c r="E5145" s="15" t="n">
        <v>2</v>
      </c>
      <c r="H5145" s="10"/>
      <c r="I5145" s="21"/>
      <c r="M5145" s="10"/>
      <c r="N5145" s="10"/>
      <c r="P5145" s="10"/>
      <c r="Q5145" s="22"/>
    </row>
    <row r="5146" customFormat="false" ht="15.75" hidden="false" customHeight="false" outlineLevel="0" collapsed="false">
      <c r="A5146" s="20" t="n">
        <v>46151</v>
      </c>
      <c r="B5146" s="15" t="s">
        <v>467</v>
      </c>
      <c r="C5146" s="15" t="s">
        <v>47</v>
      </c>
      <c r="D5146" s="15" t="s">
        <v>549</v>
      </c>
      <c r="E5146" s="15" t="n">
        <v>2</v>
      </c>
      <c r="H5146" s="10"/>
      <c r="I5146" s="21"/>
      <c r="M5146" s="10"/>
      <c r="N5146" s="10"/>
      <c r="P5146" s="10"/>
      <c r="Q5146" s="22"/>
    </row>
    <row r="5147" customFormat="false" ht="15.75" hidden="false" customHeight="false" outlineLevel="0" collapsed="false">
      <c r="A5147" s="20" t="n">
        <v>46151</v>
      </c>
      <c r="B5147" s="15" t="s">
        <v>467</v>
      </c>
      <c r="C5147" s="15" t="s">
        <v>81</v>
      </c>
      <c r="D5147" s="15" t="s">
        <v>534</v>
      </c>
      <c r="E5147" s="15" t="n">
        <v>7</v>
      </c>
      <c r="H5147" s="10"/>
      <c r="I5147" s="21"/>
      <c r="M5147" s="10"/>
      <c r="N5147" s="10"/>
      <c r="P5147" s="10"/>
      <c r="Q5147" s="22"/>
    </row>
    <row r="5148" customFormat="false" ht="15.75" hidden="false" customHeight="false" outlineLevel="0" collapsed="false">
      <c r="A5148" s="20" t="n">
        <v>46151</v>
      </c>
      <c r="B5148" s="15" t="s">
        <v>467</v>
      </c>
      <c r="C5148" s="15" t="s">
        <v>49</v>
      </c>
      <c r="D5148" s="15" t="s">
        <v>537</v>
      </c>
      <c r="E5148" s="15" t="n">
        <v>2</v>
      </c>
      <c r="H5148" s="10"/>
      <c r="I5148" s="21"/>
      <c r="M5148" s="10"/>
      <c r="N5148" s="10"/>
      <c r="P5148" s="10"/>
      <c r="Q5148" s="22"/>
    </row>
    <row r="5149" customFormat="false" ht="15.75" hidden="false" customHeight="false" outlineLevel="0" collapsed="false">
      <c r="A5149" s="20" t="n">
        <v>46151</v>
      </c>
      <c r="B5149" s="15" t="s">
        <v>467</v>
      </c>
      <c r="C5149" s="15" t="s">
        <v>63</v>
      </c>
      <c r="D5149" s="15" t="s">
        <v>551</v>
      </c>
      <c r="E5149" s="15" t="n">
        <v>1</v>
      </c>
      <c r="H5149" s="10"/>
      <c r="I5149" s="21"/>
      <c r="M5149" s="10"/>
      <c r="N5149" s="10"/>
      <c r="P5149" s="10"/>
      <c r="Q5149" s="22"/>
    </row>
    <row r="5150" customFormat="false" ht="15.75" hidden="false" customHeight="false" outlineLevel="0" collapsed="false">
      <c r="A5150" s="20" t="n">
        <v>46151</v>
      </c>
      <c r="B5150" s="15" t="s">
        <v>504</v>
      </c>
      <c r="C5150" s="15" t="s">
        <v>47</v>
      </c>
      <c r="D5150" s="15" t="s">
        <v>549</v>
      </c>
      <c r="E5150" s="15" t="n">
        <v>6</v>
      </c>
      <c r="H5150" s="10"/>
      <c r="I5150" s="21"/>
      <c r="M5150" s="10"/>
      <c r="N5150" s="10"/>
      <c r="P5150" s="10"/>
      <c r="Q5150" s="22"/>
    </row>
    <row r="5151" customFormat="false" ht="15.75" hidden="false" customHeight="false" outlineLevel="0" collapsed="false">
      <c r="A5151" s="20" t="n">
        <v>46151</v>
      </c>
      <c r="B5151" s="15" t="s">
        <v>504</v>
      </c>
      <c r="C5151" s="15" t="s">
        <v>55</v>
      </c>
      <c r="D5151" s="15" t="s">
        <v>539</v>
      </c>
      <c r="E5151" s="15" t="n">
        <v>12</v>
      </c>
      <c r="H5151" s="10"/>
      <c r="I5151" s="21"/>
      <c r="M5151" s="10"/>
      <c r="N5151" s="10"/>
      <c r="P5151" s="10"/>
      <c r="Q5151" s="22"/>
    </row>
    <row r="5152" customFormat="false" ht="15.75" hidden="false" customHeight="false" outlineLevel="0" collapsed="false">
      <c r="A5152" s="20" t="n">
        <v>46151</v>
      </c>
      <c r="B5152" s="15" t="s">
        <v>504</v>
      </c>
      <c r="C5152" s="15" t="s">
        <v>81</v>
      </c>
      <c r="D5152" s="15" t="s">
        <v>534</v>
      </c>
      <c r="E5152" s="15" t="n">
        <v>18</v>
      </c>
      <c r="H5152" s="10"/>
      <c r="I5152" s="21"/>
      <c r="M5152" s="10"/>
      <c r="N5152" s="10"/>
      <c r="P5152" s="10"/>
      <c r="Q5152" s="22"/>
    </row>
    <row r="5153" customFormat="false" ht="15.75" hidden="false" customHeight="false" outlineLevel="0" collapsed="false">
      <c r="A5153" s="20" t="n">
        <v>46151</v>
      </c>
      <c r="B5153" s="15" t="s">
        <v>504</v>
      </c>
      <c r="C5153" s="15" t="s">
        <v>39</v>
      </c>
      <c r="D5153" s="15" t="s">
        <v>550</v>
      </c>
      <c r="E5153" s="15" t="n">
        <v>2</v>
      </c>
      <c r="H5153" s="10"/>
      <c r="I5153" s="21"/>
      <c r="M5153" s="10"/>
      <c r="N5153" s="10"/>
      <c r="P5153" s="10"/>
      <c r="Q5153" s="22"/>
    </row>
    <row r="5154" customFormat="false" ht="15.75" hidden="false" customHeight="false" outlineLevel="0" collapsed="false">
      <c r="A5154" s="20" t="n">
        <v>46151</v>
      </c>
      <c r="B5154" s="15" t="s">
        <v>504</v>
      </c>
      <c r="C5154" s="15" t="s">
        <v>63</v>
      </c>
      <c r="D5154" s="15" t="s">
        <v>551</v>
      </c>
      <c r="E5154" s="15" t="n">
        <v>2</v>
      </c>
      <c r="H5154" s="10"/>
      <c r="I5154" s="21"/>
      <c r="M5154" s="10"/>
      <c r="N5154" s="10"/>
      <c r="P5154" s="10"/>
      <c r="Q5154" s="22"/>
    </row>
    <row r="5155" customFormat="false" ht="15.75" hidden="false" customHeight="false" outlineLevel="0" collapsed="false">
      <c r="A5155" s="20" t="n">
        <v>46151</v>
      </c>
      <c r="B5155" s="15" t="s">
        <v>504</v>
      </c>
      <c r="C5155" s="15" t="s">
        <v>17</v>
      </c>
      <c r="D5155" s="15" t="s">
        <v>554</v>
      </c>
      <c r="E5155" s="15" t="n">
        <v>2</v>
      </c>
      <c r="H5155" s="10"/>
      <c r="I5155" s="21"/>
      <c r="M5155" s="10"/>
      <c r="N5155" s="10"/>
      <c r="P5155" s="10"/>
      <c r="Q5155" s="22"/>
    </row>
    <row r="5156" customFormat="false" ht="15.75" hidden="false" customHeight="false" outlineLevel="0" collapsed="false">
      <c r="A5156" s="20" t="n">
        <v>46151</v>
      </c>
      <c r="B5156" s="15" t="s">
        <v>508</v>
      </c>
      <c r="C5156" s="15" t="s">
        <v>55</v>
      </c>
      <c r="D5156" s="15" t="s">
        <v>539</v>
      </c>
      <c r="E5156" s="15" t="n">
        <v>5</v>
      </c>
      <c r="H5156" s="10"/>
      <c r="I5156" s="21"/>
      <c r="M5156" s="10"/>
      <c r="N5156" s="10"/>
      <c r="P5156" s="10"/>
      <c r="Q5156" s="22"/>
    </row>
    <row r="5157" customFormat="false" ht="15.75" hidden="false" customHeight="false" outlineLevel="0" collapsed="false">
      <c r="A5157" s="20" t="n">
        <v>46151</v>
      </c>
      <c r="B5157" s="15" t="s">
        <v>508</v>
      </c>
      <c r="C5157" s="15" t="s">
        <v>81</v>
      </c>
      <c r="D5157" s="15" t="s">
        <v>534</v>
      </c>
      <c r="E5157" s="15" t="n">
        <v>9</v>
      </c>
      <c r="H5157" s="10"/>
      <c r="I5157" s="21"/>
      <c r="M5157" s="10"/>
      <c r="N5157" s="10"/>
      <c r="P5157" s="10"/>
      <c r="Q5157" s="22"/>
    </row>
    <row r="5158" customFormat="false" ht="15.75" hidden="false" customHeight="false" outlineLevel="0" collapsed="false">
      <c r="A5158" s="20" t="n">
        <v>46151</v>
      </c>
      <c r="B5158" s="15" t="s">
        <v>508</v>
      </c>
      <c r="C5158" s="15" t="s">
        <v>39</v>
      </c>
      <c r="D5158" s="15" t="s">
        <v>550</v>
      </c>
      <c r="E5158" s="15" t="n">
        <v>2</v>
      </c>
      <c r="H5158" s="10"/>
      <c r="I5158" s="21"/>
      <c r="M5158" s="10"/>
      <c r="N5158" s="10"/>
      <c r="P5158" s="10"/>
      <c r="Q5158" s="22"/>
    </row>
    <row r="5159" customFormat="false" ht="15.75" hidden="false" customHeight="false" outlineLevel="0" collapsed="false">
      <c r="A5159" s="20" t="n">
        <v>46151</v>
      </c>
      <c r="B5159" s="15" t="s">
        <v>508</v>
      </c>
      <c r="C5159" s="15" t="s">
        <v>47</v>
      </c>
      <c r="D5159" s="15" t="s">
        <v>549</v>
      </c>
      <c r="E5159" s="15" t="n">
        <v>2</v>
      </c>
      <c r="H5159" s="10"/>
      <c r="I5159" s="21"/>
      <c r="M5159" s="10"/>
      <c r="N5159" s="10"/>
      <c r="P5159" s="10"/>
      <c r="Q5159" s="22"/>
    </row>
    <row r="5160" customFormat="false" ht="15.75" hidden="false" customHeight="false" outlineLevel="0" collapsed="false">
      <c r="A5160" s="20" t="n">
        <v>46151</v>
      </c>
      <c r="B5160" s="15" t="s">
        <v>508</v>
      </c>
      <c r="C5160" s="15" t="s">
        <v>63</v>
      </c>
      <c r="D5160" s="15" t="s">
        <v>551</v>
      </c>
      <c r="E5160" s="15" t="n">
        <v>1</v>
      </c>
      <c r="H5160" s="10"/>
      <c r="I5160" s="21"/>
      <c r="M5160" s="10"/>
      <c r="N5160" s="10"/>
      <c r="P5160" s="10"/>
      <c r="Q5160" s="22"/>
    </row>
    <row r="5161" customFormat="false" ht="15.75" hidden="false" customHeight="false" outlineLevel="0" collapsed="false">
      <c r="A5161" s="20" t="n">
        <v>46153</v>
      </c>
      <c r="B5161" s="15" t="s">
        <v>453</v>
      </c>
      <c r="C5161" s="15" t="s">
        <v>47</v>
      </c>
      <c r="D5161" s="15" t="s">
        <v>549</v>
      </c>
      <c r="E5161" s="15" t="n">
        <v>2</v>
      </c>
      <c r="H5161" s="10"/>
      <c r="I5161" s="21"/>
      <c r="M5161" s="10"/>
      <c r="N5161" s="10"/>
      <c r="P5161" s="10"/>
      <c r="Q5161" s="22"/>
    </row>
    <row r="5162" customFormat="false" ht="15.75" hidden="false" customHeight="false" outlineLevel="0" collapsed="false">
      <c r="A5162" s="20" t="n">
        <v>46153</v>
      </c>
      <c r="B5162" s="15" t="s">
        <v>453</v>
      </c>
      <c r="C5162" s="15" t="s">
        <v>55</v>
      </c>
      <c r="D5162" s="15" t="s">
        <v>539</v>
      </c>
      <c r="E5162" s="15" t="n">
        <v>4</v>
      </c>
      <c r="H5162" s="10"/>
      <c r="I5162" s="21"/>
      <c r="M5162" s="10"/>
      <c r="N5162" s="10"/>
      <c r="P5162" s="10"/>
      <c r="Q5162" s="22"/>
    </row>
    <row r="5163" customFormat="false" ht="15.75" hidden="false" customHeight="false" outlineLevel="0" collapsed="false">
      <c r="A5163" s="20" t="n">
        <v>46153</v>
      </c>
      <c r="B5163" s="15" t="s">
        <v>453</v>
      </c>
      <c r="C5163" s="15" t="s">
        <v>81</v>
      </c>
      <c r="D5163" s="15" t="s">
        <v>534</v>
      </c>
      <c r="E5163" s="15" t="n">
        <v>8</v>
      </c>
      <c r="H5163" s="10"/>
      <c r="I5163" s="21"/>
      <c r="M5163" s="10"/>
      <c r="N5163" s="10"/>
      <c r="P5163" s="10"/>
      <c r="Q5163" s="22"/>
    </row>
    <row r="5164" customFormat="false" ht="15.75" hidden="false" customHeight="false" outlineLevel="0" collapsed="false">
      <c r="A5164" s="20" t="n">
        <v>46153</v>
      </c>
      <c r="B5164" s="15" t="s">
        <v>453</v>
      </c>
      <c r="C5164" s="15" t="s">
        <v>39</v>
      </c>
      <c r="D5164" s="15" t="s">
        <v>550</v>
      </c>
      <c r="E5164" s="15" t="n">
        <v>2</v>
      </c>
      <c r="H5164" s="10"/>
      <c r="I5164" s="21"/>
      <c r="M5164" s="10"/>
      <c r="N5164" s="10"/>
      <c r="P5164" s="10"/>
      <c r="Q5164" s="22"/>
    </row>
    <row r="5165" customFormat="false" ht="15.75" hidden="false" customHeight="false" outlineLevel="0" collapsed="false">
      <c r="A5165" s="20" t="n">
        <v>46153</v>
      </c>
      <c r="B5165" s="15" t="s">
        <v>453</v>
      </c>
      <c r="C5165" s="15" t="s">
        <v>63</v>
      </c>
      <c r="D5165" s="15" t="s">
        <v>551</v>
      </c>
      <c r="E5165" s="15" t="n">
        <v>1</v>
      </c>
      <c r="H5165" s="10"/>
      <c r="I5165" s="21"/>
      <c r="M5165" s="10"/>
      <c r="N5165" s="10"/>
      <c r="P5165" s="10"/>
      <c r="Q5165" s="22"/>
    </row>
    <row r="5166" customFormat="false" ht="15.75" hidden="false" customHeight="false" outlineLevel="0" collapsed="false">
      <c r="A5166" s="20" t="n">
        <v>46153</v>
      </c>
      <c r="B5166" s="15" t="s">
        <v>453</v>
      </c>
      <c r="C5166" s="15" t="s">
        <v>35</v>
      </c>
      <c r="D5166" s="15" t="s">
        <v>552</v>
      </c>
      <c r="E5166" s="15" t="n">
        <v>2</v>
      </c>
      <c r="H5166" s="10"/>
      <c r="I5166" s="21"/>
      <c r="M5166" s="10"/>
      <c r="N5166" s="10"/>
      <c r="P5166" s="10"/>
      <c r="Q5166" s="22"/>
    </row>
    <row r="5167" customFormat="false" ht="15.75" hidden="false" customHeight="false" outlineLevel="0" collapsed="false">
      <c r="A5167" s="20" t="n">
        <v>46153</v>
      </c>
      <c r="B5167" s="15" t="s">
        <v>467</v>
      </c>
      <c r="C5167" s="15" t="s">
        <v>55</v>
      </c>
      <c r="D5167" s="15" t="s">
        <v>539</v>
      </c>
      <c r="E5167" s="15" t="n">
        <v>6</v>
      </c>
      <c r="H5167" s="10"/>
      <c r="I5167" s="21"/>
      <c r="M5167" s="10"/>
      <c r="N5167" s="10"/>
      <c r="P5167" s="10"/>
      <c r="Q5167" s="22"/>
    </row>
    <row r="5168" customFormat="false" ht="15.75" hidden="false" customHeight="false" outlineLevel="0" collapsed="false">
      <c r="A5168" s="20" t="n">
        <v>46153</v>
      </c>
      <c r="B5168" s="15" t="s">
        <v>467</v>
      </c>
      <c r="C5168" s="15" t="s">
        <v>57</v>
      </c>
      <c r="D5168" s="15" t="s">
        <v>553</v>
      </c>
      <c r="E5168" s="15" t="n">
        <v>2</v>
      </c>
      <c r="H5168" s="10"/>
      <c r="I5168" s="21"/>
      <c r="M5168" s="10"/>
      <c r="N5168" s="10"/>
      <c r="P5168" s="10"/>
      <c r="Q5168" s="22"/>
    </row>
    <row r="5169" customFormat="false" ht="15.75" hidden="false" customHeight="false" outlineLevel="0" collapsed="false">
      <c r="A5169" s="20" t="n">
        <v>46153</v>
      </c>
      <c r="B5169" s="15" t="s">
        <v>467</v>
      </c>
      <c r="C5169" s="15" t="s">
        <v>47</v>
      </c>
      <c r="D5169" s="15" t="s">
        <v>549</v>
      </c>
      <c r="E5169" s="15" t="n">
        <v>2</v>
      </c>
      <c r="H5169" s="10"/>
      <c r="I5169" s="21"/>
      <c r="M5169" s="10"/>
      <c r="N5169" s="10"/>
      <c r="P5169" s="10"/>
      <c r="Q5169" s="22"/>
    </row>
    <row r="5170" customFormat="false" ht="15.75" hidden="false" customHeight="false" outlineLevel="0" collapsed="false">
      <c r="A5170" s="20" t="n">
        <v>46153</v>
      </c>
      <c r="B5170" s="15" t="s">
        <v>467</v>
      </c>
      <c r="C5170" s="15" t="s">
        <v>81</v>
      </c>
      <c r="D5170" s="15" t="s">
        <v>534</v>
      </c>
      <c r="E5170" s="15" t="n">
        <v>7</v>
      </c>
      <c r="H5170" s="10"/>
      <c r="I5170" s="21"/>
      <c r="M5170" s="10"/>
      <c r="N5170" s="10"/>
      <c r="P5170" s="10"/>
      <c r="Q5170" s="22"/>
    </row>
    <row r="5171" customFormat="false" ht="15.75" hidden="false" customHeight="false" outlineLevel="0" collapsed="false">
      <c r="A5171" s="20" t="n">
        <v>46153</v>
      </c>
      <c r="B5171" s="15" t="s">
        <v>467</v>
      </c>
      <c r="C5171" s="15" t="s">
        <v>49</v>
      </c>
      <c r="D5171" s="15" t="s">
        <v>537</v>
      </c>
      <c r="E5171" s="15" t="n">
        <v>2</v>
      </c>
      <c r="H5171" s="10"/>
      <c r="I5171" s="21"/>
      <c r="M5171" s="10"/>
      <c r="N5171" s="10"/>
      <c r="P5171" s="10"/>
      <c r="Q5171" s="22"/>
    </row>
    <row r="5172" customFormat="false" ht="15.75" hidden="false" customHeight="false" outlineLevel="0" collapsed="false">
      <c r="A5172" s="20" t="n">
        <v>46153</v>
      </c>
      <c r="B5172" s="15" t="s">
        <v>467</v>
      </c>
      <c r="C5172" s="15" t="s">
        <v>63</v>
      </c>
      <c r="D5172" s="15" t="s">
        <v>551</v>
      </c>
      <c r="E5172" s="15" t="n">
        <v>1</v>
      </c>
      <c r="H5172" s="10"/>
      <c r="I5172" s="21"/>
      <c r="M5172" s="10"/>
      <c r="N5172" s="10"/>
      <c r="P5172" s="10"/>
      <c r="Q5172" s="22"/>
    </row>
    <row r="5173" customFormat="false" ht="15.75" hidden="false" customHeight="false" outlineLevel="0" collapsed="false">
      <c r="A5173" s="20" t="n">
        <v>46153</v>
      </c>
      <c r="B5173" s="15" t="s">
        <v>473</v>
      </c>
      <c r="C5173" s="15" t="s">
        <v>555</v>
      </c>
      <c r="D5173" s="15" t="s">
        <v>556</v>
      </c>
      <c r="E5173" s="15" t="n">
        <v>4</v>
      </c>
      <c r="H5173" s="10"/>
      <c r="I5173" s="21"/>
      <c r="M5173" s="10"/>
      <c r="N5173" s="10"/>
      <c r="P5173" s="10"/>
      <c r="Q5173" s="22"/>
    </row>
    <row r="5174" customFormat="false" ht="15.75" hidden="false" customHeight="false" outlineLevel="0" collapsed="false">
      <c r="A5174" s="20" t="n">
        <v>46153</v>
      </c>
      <c r="B5174" s="15" t="s">
        <v>473</v>
      </c>
      <c r="C5174" s="15" t="s">
        <v>11</v>
      </c>
      <c r="D5174" s="15" t="s">
        <v>572</v>
      </c>
      <c r="E5174" s="15" t="n">
        <v>4</v>
      </c>
      <c r="H5174" s="10"/>
      <c r="I5174" s="21"/>
      <c r="M5174" s="10"/>
      <c r="N5174" s="10"/>
      <c r="P5174" s="10"/>
      <c r="Q5174" s="22"/>
    </row>
    <row r="5175" customFormat="false" ht="15.75" hidden="false" customHeight="false" outlineLevel="0" collapsed="false">
      <c r="A5175" s="20" t="n">
        <v>46153</v>
      </c>
      <c r="B5175" s="15" t="s">
        <v>473</v>
      </c>
      <c r="C5175" s="15" t="s">
        <v>543</v>
      </c>
      <c r="D5175" s="15" t="s">
        <v>544</v>
      </c>
      <c r="E5175" s="15" t="n">
        <v>4</v>
      </c>
      <c r="H5175" s="10"/>
      <c r="I5175" s="21"/>
      <c r="M5175" s="10"/>
      <c r="N5175" s="10"/>
      <c r="P5175" s="10"/>
      <c r="Q5175" s="22"/>
    </row>
    <row r="5176" customFormat="false" ht="15.75" hidden="false" customHeight="false" outlineLevel="0" collapsed="false">
      <c r="A5176" s="20" t="n">
        <v>46153</v>
      </c>
      <c r="B5176" s="15" t="s">
        <v>473</v>
      </c>
      <c r="C5176" s="15" t="s">
        <v>91</v>
      </c>
      <c r="D5176" s="15" t="s">
        <v>91</v>
      </c>
      <c r="E5176" s="15" t="n">
        <v>4</v>
      </c>
      <c r="H5176" s="10"/>
      <c r="I5176" s="21"/>
      <c r="M5176" s="10"/>
      <c r="N5176" s="10"/>
      <c r="P5176" s="10"/>
      <c r="Q5176" s="22"/>
    </row>
    <row r="5177" customFormat="false" ht="15.75" hidden="false" customHeight="false" outlineLevel="0" collapsed="false">
      <c r="A5177" s="20" t="n">
        <v>46153</v>
      </c>
      <c r="B5177" s="15" t="s">
        <v>473</v>
      </c>
      <c r="C5177" s="15" t="s">
        <v>25</v>
      </c>
      <c r="D5177" s="15" t="s">
        <v>26</v>
      </c>
      <c r="E5177" s="15" t="n">
        <v>4</v>
      </c>
      <c r="H5177" s="10"/>
      <c r="I5177" s="21"/>
      <c r="M5177" s="10"/>
      <c r="N5177" s="10"/>
      <c r="P5177" s="10"/>
      <c r="Q5177" s="22"/>
    </row>
    <row r="5178" customFormat="false" ht="15.75" hidden="false" customHeight="false" outlineLevel="0" collapsed="false">
      <c r="A5178" s="20" t="n">
        <v>46153</v>
      </c>
      <c r="B5178" s="15" t="s">
        <v>477</v>
      </c>
      <c r="C5178" s="15" t="s">
        <v>69</v>
      </c>
      <c r="D5178" s="15" t="s">
        <v>535</v>
      </c>
      <c r="E5178" s="15" t="n">
        <v>3</v>
      </c>
      <c r="H5178" s="10"/>
      <c r="I5178" s="21"/>
      <c r="M5178" s="10"/>
      <c r="N5178" s="10"/>
      <c r="P5178" s="10"/>
      <c r="Q5178" s="22"/>
    </row>
    <row r="5179" customFormat="false" ht="15.75" hidden="false" customHeight="false" outlineLevel="0" collapsed="false">
      <c r="A5179" s="20" t="n">
        <v>46153</v>
      </c>
      <c r="B5179" s="15" t="s">
        <v>477</v>
      </c>
      <c r="C5179" s="15" t="s">
        <v>547</v>
      </c>
      <c r="D5179" s="15" t="s">
        <v>548</v>
      </c>
      <c r="E5179" s="15" t="n">
        <v>3</v>
      </c>
      <c r="H5179" s="10"/>
      <c r="I5179" s="21"/>
      <c r="M5179" s="10"/>
      <c r="N5179" s="10"/>
      <c r="P5179" s="10"/>
      <c r="Q5179" s="22"/>
    </row>
    <row r="5180" customFormat="false" ht="15.75" hidden="false" customHeight="false" outlineLevel="0" collapsed="false">
      <c r="A5180" s="20" t="n">
        <v>46153</v>
      </c>
      <c r="B5180" s="15" t="s">
        <v>477</v>
      </c>
      <c r="C5180" s="15" t="s">
        <v>25</v>
      </c>
      <c r="D5180" s="15" t="s">
        <v>26</v>
      </c>
      <c r="E5180" s="15" t="n">
        <v>3</v>
      </c>
      <c r="H5180" s="10"/>
      <c r="I5180" s="21"/>
      <c r="M5180" s="10"/>
      <c r="N5180" s="10"/>
      <c r="P5180" s="10"/>
      <c r="Q5180" s="22"/>
    </row>
    <row r="5181" customFormat="false" ht="15.75" hidden="false" customHeight="false" outlineLevel="0" collapsed="false">
      <c r="A5181" s="20" t="n">
        <v>46153</v>
      </c>
      <c r="B5181" s="15" t="s">
        <v>487</v>
      </c>
      <c r="C5181" s="15" t="s">
        <v>55</v>
      </c>
      <c r="D5181" s="15" t="s">
        <v>539</v>
      </c>
      <c r="E5181" s="15" t="n">
        <v>1</v>
      </c>
      <c r="H5181" s="10"/>
      <c r="I5181" s="21"/>
      <c r="M5181" s="10"/>
      <c r="N5181" s="10"/>
      <c r="P5181" s="10"/>
      <c r="Q5181" s="22"/>
    </row>
    <row r="5182" customFormat="false" ht="15.75" hidden="false" customHeight="false" outlineLevel="0" collapsed="false">
      <c r="A5182" s="20" t="n">
        <v>46153</v>
      </c>
      <c r="B5182" s="15" t="s">
        <v>487</v>
      </c>
      <c r="C5182" s="15" t="s">
        <v>81</v>
      </c>
      <c r="D5182" s="15" t="s">
        <v>534</v>
      </c>
      <c r="E5182" s="15" t="n">
        <v>9</v>
      </c>
      <c r="H5182" s="10"/>
      <c r="I5182" s="21"/>
      <c r="M5182" s="10"/>
      <c r="N5182" s="10"/>
      <c r="P5182" s="10"/>
      <c r="Q5182" s="22"/>
    </row>
    <row r="5183" customFormat="false" ht="15.75" hidden="false" customHeight="false" outlineLevel="0" collapsed="false">
      <c r="A5183" s="20" t="n">
        <v>46153</v>
      </c>
      <c r="B5183" s="15" t="s">
        <v>487</v>
      </c>
      <c r="C5183" s="15" t="s">
        <v>555</v>
      </c>
      <c r="D5183" s="15" t="s">
        <v>556</v>
      </c>
      <c r="E5183" s="15" t="n">
        <v>1</v>
      </c>
      <c r="H5183" s="10"/>
      <c r="I5183" s="21"/>
      <c r="M5183" s="10"/>
      <c r="N5183" s="10"/>
      <c r="P5183" s="10"/>
      <c r="Q5183" s="22"/>
    </row>
    <row r="5184" customFormat="false" ht="15.75" hidden="false" customHeight="false" outlineLevel="0" collapsed="false">
      <c r="A5184" s="20" t="n">
        <v>46153</v>
      </c>
      <c r="B5184" s="15" t="s">
        <v>487</v>
      </c>
      <c r="C5184" s="15" t="s">
        <v>570</v>
      </c>
      <c r="D5184" s="15" t="s">
        <v>571</v>
      </c>
      <c r="E5184" s="15" t="n">
        <v>1</v>
      </c>
      <c r="H5184" s="10"/>
      <c r="I5184" s="21"/>
      <c r="M5184" s="10"/>
      <c r="N5184" s="10"/>
      <c r="P5184" s="10"/>
      <c r="Q5184" s="22"/>
    </row>
    <row r="5185" customFormat="false" ht="15.75" hidden="false" customHeight="false" outlineLevel="0" collapsed="false">
      <c r="A5185" s="20" t="n">
        <v>46153</v>
      </c>
      <c r="B5185" s="15" t="s">
        <v>487</v>
      </c>
      <c r="C5185" s="15" t="s">
        <v>25</v>
      </c>
      <c r="D5185" s="15" t="s">
        <v>26</v>
      </c>
      <c r="E5185" s="15" t="n">
        <v>1</v>
      </c>
      <c r="H5185" s="10"/>
      <c r="I5185" s="21"/>
      <c r="M5185" s="10"/>
      <c r="N5185" s="10"/>
      <c r="P5185" s="10"/>
      <c r="Q5185" s="22"/>
    </row>
    <row r="5186" customFormat="false" ht="15.75" hidden="false" customHeight="false" outlineLevel="0" collapsed="false">
      <c r="A5186" s="20" t="n">
        <v>46153</v>
      </c>
      <c r="B5186" s="15" t="s">
        <v>487</v>
      </c>
      <c r="C5186" s="15" t="s">
        <v>91</v>
      </c>
      <c r="D5186" s="15" t="s">
        <v>91</v>
      </c>
      <c r="E5186" s="15" t="n">
        <v>2</v>
      </c>
      <c r="H5186" s="10"/>
      <c r="I5186" s="21"/>
      <c r="M5186" s="10"/>
      <c r="N5186" s="10"/>
      <c r="P5186" s="10"/>
      <c r="Q5186" s="22"/>
    </row>
    <row r="5187" customFormat="false" ht="15.75" hidden="false" customHeight="false" outlineLevel="0" collapsed="false">
      <c r="A5187" s="20" t="n">
        <v>46153</v>
      </c>
      <c r="B5187" s="15" t="s">
        <v>487</v>
      </c>
      <c r="C5187" s="15" t="s">
        <v>543</v>
      </c>
      <c r="D5187" s="15" t="s">
        <v>544</v>
      </c>
      <c r="E5187" s="15" t="n">
        <v>3</v>
      </c>
      <c r="H5187" s="10"/>
      <c r="I5187" s="21"/>
      <c r="M5187" s="10"/>
      <c r="N5187" s="10"/>
      <c r="P5187" s="10"/>
      <c r="Q5187" s="22"/>
    </row>
    <row r="5188" customFormat="false" ht="15.75" hidden="false" customHeight="false" outlineLevel="0" collapsed="false">
      <c r="A5188" s="20" t="n">
        <v>46153</v>
      </c>
      <c r="B5188" s="15" t="s">
        <v>487</v>
      </c>
      <c r="C5188" s="15" t="s">
        <v>545</v>
      </c>
      <c r="D5188" s="15" t="s">
        <v>546</v>
      </c>
      <c r="E5188" s="15" t="n">
        <v>1</v>
      </c>
      <c r="H5188" s="10"/>
      <c r="I5188" s="21"/>
      <c r="M5188" s="10"/>
      <c r="N5188" s="10"/>
      <c r="P5188" s="10"/>
      <c r="Q5188" s="22"/>
    </row>
    <row r="5189" customFormat="false" ht="15.75" hidden="false" customHeight="false" outlineLevel="0" collapsed="false">
      <c r="A5189" s="20" t="n">
        <v>46153</v>
      </c>
      <c r="B5189" s="15" t="s">
        <v>487</v>
      </c>
      <c r="C5189" s="15" t="s">
        <v>69</v>
      </c>
      <c r="D5189" s="15" t="s">
        <v>535</v>
      </c>
      <c r="E5189" s="15" t="n">
        <v>3</v>
      </c>
      <c r="H5189" s="10"/>
      <c r="I5189" s="21"/>
      <c r="M5189" s="10"/>
      <c r="N5189" s="10"/>
      <c r="P5189" s="10"/>
      <c r="Q5189" s="22"/>
    </row>
    <row r="5190" customFormat="false" ht="15.75" hidden="false" customHeight="false" outlineLevel="0" collapsed="false">
      <c r="A5190" s="20" t="n">
        <v>46153</v>
      </c>
      <c r="B5190" s="15" t="s">
        <v>487</v>
      </c>
      <c r="C5190" s="15" t="s">
        <v>77</v>
      </c>
      <c r="D5190" s="15" t="s">
        <v>78</v>
      </c>
      <c r="E5190" s="15" t="n">
        <v>3</v>
      </c>
      <c r="H5190" s="10"/>
      <c r="I5190" s="21"/>
      <c r="M5190" s="10"/>
      <c r="N5190" s="10"/>
      <c r="P5190" s="10"/>
      <c r="Q5190" s="22"/>
    </row>
    <row r="5191" customFormat="false" ht="15.75" hidden="false" customHeight="false" outlineLevel="0" collapsed="false">
      <c r="A5191" s="20" t="n">
        <v>46153</v>
      </c>
      <c r="B5191" s="15" t="s">
        <v>487</v>
      </c>
      <c r="C5191" s="15" t="s">
        <v>11</v>
      </c>
      <c r="D5191" s="15" t="s">
        <v>572</v>
      </c>
      <c r="E5191" s="15" t="n">
        <v>1</v>
      </c>
      <c r="H5191" s="10"/>
      <c r="I5191" s="21"/>
      <c r="M5191" s="10"/>
      <c r="N5191" s="10"/>
      <c r="P5191" s="10"/>
      <c r="Q5191" s="22"/>
    </row>
    <row r="5192" customFormat="false" ht="15.75" hidden="false" customHeight="false" outlineLevel="0" collapsed="false">
      <c r="A5192" s="20" t="n">
        <v>46153</v>
      </c>
      <c r="B5192" s="15" t="s">
        <v>487</v>
      </c>
      <c r="C5192" s="15" t="s">
        <v>33</v>
      </c>
      <c r="D5192" s="15" t="s">
        <v>536</v>
      </c>
      <c r="E5192" s="15" t="n">
        <v>3</v>
      </c>
      <c r="H5192" s="10"/>
      <c r="I5192" s="21"/>
      <c r="M5192" s="10"/>
      <c r="N5192" s="10"/>
      <c r="P5192" s="10"/>
      <c r="Q5192" s="22"/>
    </row>
    <row r="5193" customFormat="false" ht="15.75" hidden="false" customHeight="false" outlineLevel="0" collapsed="false">
      <c r="A5193" s="20" t="n">
        <v>46153</v>
      </c>
      <c r="B5193" s="15" t="s">
        <v>487</v>
      </c>
      <c r="C5193" s="15" t="s">
        <v>59</v>
      </c>
      <c r="D5193" s="15" t="s">
        <v>562</v>
      </c>
      <c r="E5193" s="15" t="n">
        <v>1</v>
      </c>
      <c r="H5193" s="10"/>
      <c r="I5193" s="21"/>
      <c r="M5193" s="10"/>
      <c r="N5193" s="10"/>
      <c r="P5193" s="10"/>
      <c r="Q5193" s="22"/>
    </row>
    <row r="5194" customFormat="false" ht="15.75" hidden="false" customHeight="false" outlineLevel="0" collapsed="false">
      <c r="A5194" s="20" t="n">
        <v>46153</v>
      </c>
      <c r="B5194" s="15" t="s">
        <v>487</v>
      </c>
      <c r="C5194" s="15" t="s">
        <v>75</v>
      </c>
      <c r="D5194" s="15" t="s">
        <v>560</v>
      </c>
      <c r="E5194" s="15" t="n">
        <v>1</v>
      </c>
      <c r="H5194" s="10"/>
      <c r="I5194" s="21"/>
      <c r="M5194" s="10"/>
      <c r="N5194" s="10"/>
      <c r="P5194" s="10"/>
      <c r="Q5194" s="22"/>
    </row>
    <row r="5195" customFormat="false" ht="15.75" hidden="false" customHeight="false" outlineLevel="0" collapsed="false">
      <c r="A5195" s="20" t="n">
        <v>46153</v>
      </c>
      <c r="B5195" s="15" t="s">
        <v>487</v>
      </c>
      <c r="C5195" s="15" t="s">
        <v>79</v>
      </c>
      <c r="D5195" s="15" t="s">
        <v>564</v>
      </c>
      <c r="E5195" s="15" t="n">
        <v>2</v>
      </c>
      <c r="H5195" s="10"/>
      <c r="I5195" s="21"/>
      <c r="M5195" s="10"/>
      <c r="N5195" s="10"/>
      <c r="P5195" s="10"/>
      <c r="Q5195" s="22"/>
    </row>
    <row r="5196" customFormat="false" ht="15.75" hidden="false" customHeight="false" outlineLevel="0" collapsed="false">
      <c r="A5196" s="20" t="n">
        <v>46153</v>
      </c>
      <c r="B5196" s="15" t="s">
        <v>491</v>
      </c>
      <c r="C5196" s="15" t="s">
        <v>37</v>
      </c>
      <c r="D5196" s="15" t="s">
        <v>561</v>
      </c>
      <c r="E5196" s="15" t="n">
        <v>1</v>
      </c>
      <c r="H5196" s="10"/>
      <c r="I5196" s="21"/>
      <c r="M5196" s="10"/>
      <c r="N5196" s="10"/>
      <c r="P5196" s="10"/>
      <c r="Q5196" s="22"/>
    </row>
    <row r="5197" customFormat="false" ht="15.75" hidden="false" customHeight="false" outlineLevel="0" collapsed="false">
      <c r="A5197" s="20" t="n">
        <v>46153</v>
      </c>
      <c r="B5197" s="15" t="s">
        <v>491</v>
      </c>
      <c r="C5197" s="15" t="s">
        <v>81</v>
      </c>
      <c r="D5197" s="15" t="s">
        <v>534</v>
      </c>
      <c r="E5197" s="15" t="n">
        <v>8</v>
      </c>
      <c r="H5197" s="10"/>
      <c r="I5197" s="21"/>
      <c r="M5197" s="10"/>
      <c r="N5197" s="10"/>
      <c r="P5197" s="10"/>
      <c r="Q5197" s="22"/>
    </row>
    <row r="5198" customFormat="false" ht="15.75" hidden="false" customHeight="false" outlineLevel="0" collapsed="false">
      <c r="A5198" s="20" t="n">
        <v>46153</v>
      </c>
      <c r="B5198" s="15" t="s">
        <v>491</v>
      </c>
      <c r="C5198" s="15" t="s">
        <v>75</v>
      </c>
      <c r="D5198" s="15" t="s">
        <v>560</v>
      </c>
      <c r="E5198" s="15" t="n">
        <v>1</v>
      </c>
      <c r="H5198" s="10"/>
      <c r="I5198" s="21"/>
      <c r="M5198" s="10"/>
      <c r="N5198" s="10"/>
      <c r="P5198" s="10"/>
      <c r="Q5198" s="22"/>
    </row>
    <row r="5199" customFormat="false" ht="15.75" hidden="false" customHeight="false" outlineLevel="0" collapsed="false">
      <c r="A5199" s="20" t="n">
        <v>46153</v>
      </c>
      <c r="B5199" s="15" t="s">
        <v>491</v>
      </c>
      <c r="C5199" s="15" t="s">
        <v>69</v>
      </c>
      <c r="D5199" s="15" t="s">
        <v>535</v>
      </c>
      <c r="E5199" s="15" t="n">
        <v>6</v>
      </c>
      <c r="H5199" s="10"/>
      <c r="I5199" s="21"/>
      <c r="M5199" s="10"/>
      <c r="N5199" s="10"/>
      <c r="P5199" s="10"/>
      <c r="Q5199" s="22"/>
    </row>
    <row r="5200" customFormat="false" ht="15.75" hidden="false" customHeight="false" outlineLevel="0" collapsed="false">
      <c r="A5200" s="20" t="n">
        <v>46153</v>
      </c>
      <c r="B5200" s="15" t="s">
        <v>491</v>
      </c>
      <c r="C5200" s="15" t="s">
        <v>547</v>
      </c>
      <c r="D5200" s="15" t="s">
        <v>548</v>
      </c>
      <c r="E5200" s="15" t="n">
        <v>1</v>
      </c>
      <c r="H5200" s="10"/>
      <c r="I5200" s="21"/>
      <c r="M5200" s="10"/>
      <c r="N5200" s="10"/>
      <c r="P5200" s="10"/>
      <c r="Q5200" s="22"/>
    </row>
    <row r="5201" customFormat="false" ht="15.75" hidden="false" customHeight="false" outlineLevel="0" collapsed="false">
      <c r="A5201" s="20" t="n">
        <v>46153</v>
      </c>
      <c r="B5201" s="15" t="s">
        <v>491</v>
      </c>
      <c r="C5201" s="15" t="s">
        <v>31</v>
      </c>
      <c r="D5201" s="15" t="s">
        <v>559</v>
      </c>
      <c r="E5201" s="15" t="n">
        <v>2</v>
      </c>
      <c r="H5201" s="10"/>
      <c r="I5201" s="21"/>
      <c r="M5201" s="10"/>
      <c r="N5201" s="10"/>
      <c r="P5201" s="10"/>
      <c r="Q5201" s="22"/>
    </row>
    <row r="5202" customFormat="false" ht="15.75" hidden="false" customHeight="false" outlineLevel="0" collapsed="false">
      <c r="A5202" s="20" t="n">
        <v>46153</v>
      </c>
      <c r="B5202" s="15" t="s">
        <v>491</v>
      </c>
      <c r="C5202" s="15" t="s">
        <v>545</v>
      </c>
      <c r="D5202" s="15" t="s">
        <v>546</v>
      </c>
      <c r="E5202" s="15" t="n">
        <v>2</v>
      </c>
      <c r="H5202" s="10"/>
      <c r="I5202" s="21"/>
      <c r="M5202" s="10"/>
      <c r="N5202" s="10"/>
      <c r="P5202" s="10"/>
      <c r="Q5202" s="22"/>
    </row>
    <row r="5203" customFormat="false" ht="15.75" hidden="false" customHeight="false" outlineLevel="0" collapsed="false">
      <c r="A5203" s="20" t="n">
        <v>46153</v>
      </c>
      <c r="B5203" s="15" t="s">
        <v>491</v>
      </c>
      <c r="C5203" s="15" t="s">
        <v>543</v>
      </c>
      <c r="D5203" s="15" t="s">
        <v>544</v>
      </c>
      <c r="E5203" s="15" t="n">
        <v>4</v>
      </c>
      <c r="H5203" s="10"/>
      <c r="I5203" s="21"/>
      <c r="M5203" s="10"/>
      <c r="N5203" s="10"/>
      <c r="P5203" s="10"/>
      <c r="Q5203" s="22"/>
    </row>
    <row r="5204" customFormat="false" ht="15.75" hidden="false" customHeight="false" outlineLevel="0" collapsed="false">
      <c r="A5204" s="20" t="n">
        <v>46153</v>
      </c>
      <c r="B5204" s="15" t="s">
        <v>491</v>
      </c>
      <c r="C5204" s="15" t="s">
        <v>541</v>
      </c>
      <c r="D5204" s="15" t="s">
        <v>542</v>
      </c>
      <c r="E5204" s="15" t="n">
        <v>2</v>
      </c>
      <c r="H5204" s="10"/>
      <c r="I5204" s="21"/>
      <c r="M5204" s="10"/>
      <c r="N5204" s="10"/>
      <c r="P5204" s="10"/>
      <c r="Q5204" s="22"/>
    </row>
    <row r="5205" customFormat="false" ht="15.75" hidden="false" customHeight="false" outlineLevel="0" collapsed="false">
      <c r="A5205" s="20" t="n">
        <v>46153</v>
      </c>
      <c r="B5205" s="15" t="s">
        <v>491</v>
      </c>
      <c r="C5205" s="15" t="s">
        <v>49</v>
      </c>
      <c r="D5205" s="15" t="s">
        <v>537</v>
      </c>
      <c r="E5205" s="15" t="n">
        <v>1</v>
      </c>
      <c r="H5205" s="10"/>
      <c r="I5205" s="21"/>
      <c r="M5205" s="10"/>
      <c r="N5205" s="10"/>
      <c r="P5205" s="10"/>
      <c r="Q5205" s="22"/>
    </row>
    <row r="5206" customFormat="false" ht="15.75" hidden="false" customHeight="false" outlineLevel="0" collapsed="false">
      <c r="A5206" s="20" t="n">
        <v>46153</v>
      </c>
      <c r="B5206" s="15" t="s">
        <v>491</v>
      </c>
      <c r="C5206" s="15" t="s">
        <v>33</v>
      </c>
      <c r="D5206" s="15" t="s">
        <v>536</v>
      </c>
      <c r="E5206" s="15" t="n">
        <v>5</v>
      </c>
      <c r="H5206" s="10"/>
      <c r="I5206" s="21"/>
      <c r="M5206" s="10"/>
      <c r="N5206" s="10"/>
      <c r="P5206" s="10"/>
      <c r="Q5206" s="22"/>
    </row>
    <row r="5207" customFormat="false" ht="15.75" hidden="false" customHeight="false" outlineLevel="0" collapsed="false">
      <c r="A5207" s="20" t="n">
        <v>46153</v>
      </c>
      <c r="B5207" s="15" t="s">
        <v>491</v>
      </c>
      <c r="C5207" s="15" t="s">
        <v>77</v>
      </c>
      <c r="D5207" s="15" t="s">
        <v>78</v>
      </c>
      <c r="E5207" s="15" t="n">
        <v>3</v>
      </c>
      <c r="H5207" s="10"/>
      <c r="I5207" s="21"/>
      <c r="M5207" s="10"/>
      <c r="N5207" s="10"/>
      <c r="P5207" s="10"/>
      <c r="Q5207" s="22"/>
    </row>
    <row r="5208" customFormat="false" ht="15.75" hidden="false" customHeight="false" outlineLevel="0" collapsed="false">
      <c r="A5208" s="20" t="n">
        <v>46153</v>
      </c>
      <c r="B5208" s="15" t="s">
        <v>491</v>
      </c>
      <c r="C5208" s="15" t="s">
        <v>47</v>
      </c>
      <c r="D5208" s="15" t="s">
        <v>549</v>
      </c>
      <c r="E5208" s="15" t="n">
        <v>1</v>
      </c>
      <c r="H5208" s="10"/>
      <c r="I5208" s="21"/>
      <c r="M5208" s="10"/>
      <c r="N5208" s="10"/>
      <c r="P5208" s="10"/>
      <c r="Q5208" s="22"/>
    </row>
    <row r="5209" customFormat="false" ht="15.75" hidden="false" customHeight="false" outlineLevel="0" collapsed="false">
      <c r="A5209" s="20" t="n">
        <v>46153</v>
      </c>
      <c r="B5209" s="15" t="s">
        <v>491</v>
      </c>
      <c r="C5209" s="15" t="s">
        <v>55</v>
      </c>
      <c r="D5209" s="15" t="s">
        <v>539</v>
      </c>
      <c r="E5209" s="15" t="n">
        <v>1</v>
      </c>
      <c r="H5209" s="10"/>
      <c r="I5209" s="21"/>
      <c r="M5209" s="10"/>
      <c r="N5209" s="10"/>
      <c r="P5209" s="10"/>
      <c r="Q5209" s="22"/>
    </row>
    <row r="5210" customFormat="false" ht="15.75" hidden="false" customHeight="false" outlineLevel="0" collapsed="false">
      <c r="A5210" s="20" t="n">
        <v>46153</v>
      </c>
      <c r="B5210" s="15" t="s">
        <v>491</v>
      </c>
      <c r="C5210" s="15" t="s">
        <v>59</v>
      </c>
      <c r="D5210" s="15" t="s">
        <v>562</v>
      </c>
      <c r="E5210" s="15" t="n">
        <v>1</v>
      </c>
      <c r="H5210" s="10"/>
      <c r="I5210" s="21"/>
      <c r="M5210" s="10"/>
      <c r="N5210" s="10"/>
      <c r="P5210" s="10"/>
      <c r="Q5210" s="22"/>
    </row>
    <row r="5211" customFormat="false" ht="15.75" hidden="false" customHeight="false" outlineLevel="0" collapsed="false">
      <c r="A5211" s="20" t="n">
        <v>46153</v>
      </c>
      <c r="B5211" s="15" t="s">
        <v>491</v>
      </c>
      <c r="C5211" s="15" t="s">
        <v>43</v>
      </c>
      <c r="D5211" s="15" t="s">
        <v>538</v>
      </c>
      <c r="E5211" s="15" t="n">
        <v>1</v>
      </c>
      <c r="H5211" s="10"/>
      <c r="I5211" s="21"/>
      <c r="M5211" s="10"/>
      <c r="N5211" s="10"/>
      <c r="P5211" s="10"/>
      <c r="Q5211" s="22"/>
    </row>
    <row r="5212" customFormat="false" ht="15.75" hidden="false" customHeight="false" outlineLevel="0" collapsed="false">
      <c r="A5212" s="20" t="n">
        <v>46153</v>
      </c>
      <c r="B5212" s="15" t="s">
        <v>491</v>
      </c>
      <c r="C5212" s="15" t="s">
        <v>87</v>
      </c>
      <c r="D5212" s="15" t="s">
        <v>563</v>
      </c>
      <c r="E5212" s="15" t="n">
        <v>1</v>
      </c>
      <c r="H5212" s="10"/>
      <c r="I5212" s="21"/>
      <c r="M5212" s="10"/>
      <c r="N5212" s="10"/>
      <c r="P5212" s="10"/>
      <c r="Q5212" s="22"/>
    </row>
    <row r="5213" customFormat="false" ht="15.75" hidden="false" customHeight="false" outlineLevel="0" collapsed="false">
      <c r="A5213" s="20" t="n">
        <v>46153</v>
      </c>
      <c r="B5213" s="15" t="s">
        <v>491</v>
      </c>
      <c r="C5213" s="15" t="s">
        <v>79</v>
      </c>
      <c r="D5213" s="15" t="s">
        <v>564</v>
      </c>
      <c r="E5213" s="15" t="n">
        <v>1</v>
      </c>
      <c r="H5213" s="10"/>
      <c r="I5213" s="21"/>
      <c r="M5213" s="10"/>
      <c r="N5213" s="10"/>
      <c r="P5213" s="10"/>
      <c r="Q5213" s="22"/>
    </row>
    <row r="5214" customFormat="false" ht="15.75" hidden="false" customHeight="false" outlineLevel="0" collapsed="false">
      <c r="A5214" s="20" t="n">
        <v>46153</v>
      </c>
      <c r="B5214" s="15" t="s">
        <v>496</v>
      </c>
      <c r="C5214" s="15" t="s">
        <v>81</v>
      </c>
      <c r="D5214" s="15" t="s">
        <v>534</v>
      </c>
      <c r="E5214" s="15" t="n">
        <v>7</v>
      </c>
      <c r="H5214" s="10"/>
      <c r="I5214" s="21"/>
      <c r="M5214" s="10"/>
      <c r="N5214" s="10"/>
      <c r="P5214" s="10"/>
      <c r="Q5214" s="22"/>
    </row>
    <row r="5215" customFormat="false" ht="15.75" hidden="false" customHeight="false" outlineLevel="0" collapsed="false">
      <c r="A5215" s="20" t="n">
        <v>46153</v>
      </c>
      <c r="B5215" s="15" t="s">
        <v>496</v>
      </c>
      <c r="C5215" s="15" t="s">
        <v>47</v>
      </c>
      <c r="D5215" s="15" t="s">
        <v>549</v>
      </c>
      <c r="E5215" s="15" t="n">
        <v>4</v>
      </c>
      <c r="H5215" s="10"/>
      <c r="I5215" s="21"/>
      <c r="M5215" s="10"/>
      <c r="N5215" s="10"/>
      <c r="P5215" s="10"/>
      <c r="Q5215" s="22"/>
    </row>
    <row r="5216" customFormat="false" ht="15.75" hidden="false" customHeight="false" outlineLevel="0" collapsed="false">
      <c r="A5216" s="20" t="n">
        <v>46153</v>
      </c>
      <c r="B5216" s="15" t="s">
        <v>496</v>
      </c>
      <c r="C5216" s="15" t="s">
        <v>55</v>
      </c>
      <c r="D5216" s="15" t="s">
        <v>539</v>
      </c>
      <c r="E5216" s="15" t="n">
        <v>2</v>
      </c>
      <c r="H5216" s="10"/>
      <c r="I5216" s="21"/>
      <c r="M5216" s="10"/>
      <c r="N5216" s="10"/>
      <c r="P5216" s="10"/>
      <c r="Q5216" s="22"/>
    </row>
    <row r="5217" customFormat="false" ht="15.75" hidden="false" customHeight="false" outlineLevel="0" collapsed="false">
      <c r="A5217" s="20" t="n">
        <v>46153</v>
      </c>
      <c r="B5217" s="15" t="s">
        <v>496</v>
      </c>
      <c r="C5217" s="15" t="s">
        <v>567</v>
      </c>
      <c r="D5217" s="15" t="s">
        <v>568</v>
      </c>
      <c r="E5217" s="15" t="n">
        <v>3</v>
      </c>
      <c r="H5217" s="10"/>
      <c r="I5217" s="21"/>
      <c r="M5217" s="10"/>
      <c r="N5217" s="10"/>
      <c r="P5217" s="10"/>
      <c r="Q5217" s="22"/>
    </row>
    <row r="5218" customFormat="false" ht="15.75" hidden="false" customHeight="false" outlineLevel="0" collapsed="false">
      <c r="A5218" s="20" t="n">
        <v>46153</v>
      </c>
      <c r="B5218" s="15" t="s">
        <v>496</v>
      </c>
      <c r="C5218" s="15" t="s">
        <v>545</v>
      </c>
      <c r="D5218" s="15" t="s">
        <v>546</v>
      </c>
      <c r="E5218" s="15" t="n">
        <v>3</v>
      </c>
      <c r="H5218" s="10"/>
      <c r="I5218" s="21"/>
      <c r="M5218" s="10"/>
      <c r="N5218" s="10"/>
      <c r="P5218" s="10"/>
      <c r="Q5218" s="22"/>
    </row>
    <row r="5219" customFormat="false" ht="15.75" hidden="false" customHeight="false" outlineLevel="0" collapsed="false">
      <c r="A5219" s="20" t="n">
        <v>46153</v>
      </c>
      <c r="B5219" s="15" t="s">
        <v>496</v>
      </c>
      <c r="C5219" s="15" t="s">
        <v>547</v>
      </c>
      <c r="D5219" s="15" t="s">
        <v>548</v>
      </c>
      <c r="E5219" s="15" t="n">
        <v>1</v>
      </c>
      <c r="H5219" s="10"/>
      <c r="I5219" s="21"/>
      <c r="M5219" s="10"/>
      <c r="N5219" s="10"/>
      <c r="P5219" s="10"/>
      <c r="Q5219" s="22"/>
    </row>
    <row r="5220" customFormat="false" ht="15.75" hidden="false" customHeight="false" outlineLevel="0" collapsed="false">
      <c r="A5220" s="20" t="n">
        <v>46153</v>
      </c>
      <c r="B5220" s="15" t="s">
        <v>496</v>
      </c>
      <c r="C5220" s="15" t="s">
        <v>555</v>
      </c>
      <c r="D5220" s="15" t="s">
        <v>556</v>
      </c>
      <c r="E5220" s="15" t="n">
        <v>4</v>
      </c>
      <c r="H5220" s="10"/>
      <c r="I5220" s="21"/>
      <c r="M5220" s="10"/>
      <c r="N5220" s="10"/>
      <c r="P5220" s="10"/>
      <c r="Q5220" s="22"/>
    </row>
    <row r="5221" customFormat="false" ht="15.75" hidden="false" customHeight="false" outlineLevel="0" collapsed="false">
      <c r="A5221" s="20" t="n">
        <v>46153</v>
      </c>
      <c r="B5221" s="15" t="s">
        <v>496</v>
      </c>
      <c r="C5221" s="15" t="s">
        <v>541</v>
      </c>
      <c r="D5221" s="15" t="s">
        <v>542</v>
      </c>
      <c r="E5221" s="15" t="n">
        <v>4</v>
      </c>
      <c r="H5221" s="10"/>
      <c r="I5221" s="21"/>
      <c r="M5221" s="10"/>
      <c r="N5221" s="10"/>
      <c r="P5221" s="10"/>
      <c r="Q5221" s="22"/>
    </row>
    <row r="5222" customFormat="false" ht="15.75" hidden="false" customHeight="false" outlineLevel="0" collapsed="false">
      <c r="A5222" s="20" t="n">
        <v>46153</v>
      </c>
      <c r="B5222" s="15" t="s">
        <v>496</v>
      </c>
      <c r="C5222" s="15" t="s">
        <v>45</v>
      </c>
      <c r="D5222" s="15" t="s">
        <v>540</v>
      </c>
      <c r="E5222" s="15" t="n">
        <v>1</v>
      </c>
      <c r="H5222" s="10"/>
      <c r="I5222" s="21"/>
      <c r="M5222" s="10"/>
      <c r="N5222" s="10"/>
      <c r="P5222" s="10"/>
      <c r="Q5222" s="22"/>
    </row>
    <row r="5223" customFormat="false" ht="15.75" hidden="false" customHeight="false" outlineLevel="0" collapsed="false">
      <c r="A5223" s="20" t="n">
        <v>46153</v>
      </c>
      <c r="B5223" s="15" t="s">
        <v>496</v>
      </c>
      <c r="C5223" s="15" t="s">
        <v>37</v>
      </c>
      <c r="D5223" s="15" t="s">
        <v>561</v>
      </c>
      <c r="E5223" s="15" t="n">
        <v>1</v>
      </c>
      <c r="H5223" s="10"/>
      <c r="I5223" s="21"/>
      <c r="M5223" s="10"/>
      <c r="N5223" s="10"/>
      <c r="P5223" s="10"/>
      <c r="Q5223" s="22"/>
    </row>
    <row r="5224" customFormat="false" ht="15.75" hidden="false" customHeight="false" outlineLevel="0" collapsed="false">
      <c r="A5224" s="20" t="n">
        <v>46153</v>
      </c>
      <c r="B5224" s="15" t="s">
        <v>496</v>
      </c>
      <c r="C5224" s="15" t="s">
        <v>543</v>
      </c>
      <c r="D5224" s="15" t="s">
        <v>544</v>
      </c>
      <c r="E5224" s="15" t="n">
        <v>4</v>
      </c>
      <c r="H5224" s="10"/>
      <c r="I5224" s="21"/>
      <c r="M5224" s="10"/>
      <c r="N5224" s="10"/>
      <c r="P5224" s="10"/>
      <c r="Q5224" s="22"/>
    </row>
    <row r="5225" customFormat="false" ht="15.75" hidden="false" customHeight="false" outlineLevel="0" collapsed="false">
      <c r="A5225" s="20" t="n">
        <v>46153</v>
      </c>
      <c r="B5225" s="15" t="s">
        <v>496</v>
      </c>
      <c r="C5225" s="15" t="s">
        <v>69</v>
      </c>
      <c r="D5225" s="15" t="s">
        <v>535</v>
      </c>
      <c r="E5225" s="15" t="n">
        <v>2</v>
      </c>
      <c r="H5225" s="10"/>
      <c r="I5225" s="21"/>
      <c r="M5225" s="10"/>
      <c r="N5225" s="10"/>
      <c r="P5225" s="10"/>
      <c r="Q5225" s="22"/>
    </row>
    <row r="5226" customFormat="false" ht="15.75" hidden="false" customHeight="false" outlineLevel="0" collapsed="false">
      <c r="A5226" s="20" t="n">
        <v>46153</v>
      </c>
      <c r="B5226" s="15" t="s">
        <v>496</v>
      </c>
      <c r="C5226" s="15" t="s">
        <v>77</v>
      </c>
      <c r="D5226" s="15" t="s">
        <v>78</v>
      </c>
      <c r="E5226" s="15" t="n">
        <v>2</v>
      </c>
      <c r="H5226" s="10"/>
      <c r="I5226" s="21"/>
      <c r="M5226" s="10"/>
      <c r="N5226" s="10"/>
      <c r="P5226" s="10"/>
      <c r="Q5226" s="22"/>
    </row>
    <row r="5227" customFormat="false" ht="15.75" hidden="false" customHeight="false" outlineLevel="0" collapsed="false">
      <c r="A5227" s="20" t="n">
        <v>46153</v>
      </c>
      <c r="B5227" s="15" t="s">
        <v>496</v>
      </c>
      <c r="C5227" s="15" t="s">
        <v>59</v>
      </c>
      <c r="D5227" s="15" t="s">
        <v>562</v>
      </c>
      <c r="E5227" s="15" t="n">
        <v>2</v>
      </c>
      <c r="H5227" s="10"/>
      <c r="I5227" s="21"/>
      <c r="M5227" s="10"/>
      <c r="N5227" s="10"/>
      <c r="P5227" s="10"/>
      <c r="Q5227" s="22"/>
    </row>
    <row r="5228" customFormat="false" ht="15.75" hidden="false" customHeight="false" outlineLevel="0" collapsed="false">
      <c r="A5228" s="20" t="n">
        <v>46153</v>
      </c>
      <c r="B5228" s="15" t="s">
        <v>496</v>
      </c>
      <c r="C5228" s="15" t="s">
        <v>33</v>
      </c>
      <c r="D5228" s="15" t="s">
        <v>536</v>
      </c>
      <c r="E5228" s="15" t="n">
        <v>2</v>
      </c>
      <c r="H5228" s="10"/>
      <c r="I5228" s="21"/>
      <c r="M5228" s="10"/>
      <c r="N5228" s="10"/>
      <c r="P5228" s="10"/>
      <c r="Q5228" s="22"/>
    </row>
    <row r="5229" customFormat="false" ht="15.75" hidden="false" customHeight="false" outlineLevel="0" collapsed="false">
      <c r="A5229" s="20" t="n">
        <v>46153</v>
      </c>
      <c r="B5229" s="15" t="s">
        <v>496</v>
      </c>
      <c r="C5229" s="15" t="s">
        <v>79</v>
      </c>
      <c r="D5229" s="15" t="s">
        <v>564</v>
      </c>
      <c r="E5229" s="15" t="n">
        <v>1</v>
      </c>
      <c r="H5229" s="10"/>
      <c r="I5229" s="21"/>
      <c r="M5229" s="10"/>
      <c r="N5229" s="10"/>
      <c r="P5229" s="10"/>
      <c r="Q5229" s="22"/>
    </row>
    <row r="5230" customFormat="false" ht="15.75" hidden="false" customHeight="false" outlineLevel="0" collapsed="false">
      <c r="A5230" s="20" t="n">
        <v>46153</v>
      </c>
      <c r="B5230" s="15" t="s">
        <v>496</v>
      </c>
      <c r="C5230" s="15" t="s">
        <v>65</v>
      </c>
      <c r="D5230" s="15" t="s">
        <v>580</v>
      </c>
      <c r="E5230" s="15" t="n">
        <v>1</v>
      </c>
      <c r="H5230" s="10"/>
      <c r="I5230" s="21"/>
      <c r="M5230" s="10"/>
      <c r="N5230" s="10"/>
      <c r="P5230" s="10"/>
      <c r="Q5230" s="22"/>
    </row>
    <row r="5231" customFormat="false" ht="15.75" hidden="false" customHeight="false" outlineLevel="0" collapsed="false">
      <c r="A5231" s="20" t="n">
        <v>46153</v>
      </c>
      <c r="B5231" s="15" t="s">
        <v>205</v>
      </c>
      <c r="C5231" s="15" t="s">
        <v>55</v>
      </c>
      <c r="D5231" s="15" t="s">
        <v>539</v>
      </c>
      <c r="E5231" s="15" t="n">
        <v>3</v>
      </c>
      <c r="H5231" s="10"/>
      <c r="I5231" s="21"/>
      <c r="M5231" s="10"/>
      <c r="N5231" s="10"/>
      <c r="P5231" s="10"/>
      <c r="Q5231" s="22"/>
    </row>
    <row r="5232" customFormat="false" ht="15.75" hidden="false" customHeight="false" outlineLevel="0" collapsed="false">
      <c r="A5232" s="20" t="n">
        <v>46153</v>
      </c>
      <c r="B5232" s="15" t="s">
        <v>205</v>
      </c>
      <c r="C5232" s="15" t="s">
        <v>81</v>
      </c>
      <c r="D5232" s="15" t="s">
        <v>534</v>
      </c>
      <c r="E5232" s="15" t="n">
        <v>1</v>
      </c>
      <c r="H5232" s="10"/>
      <c r="I5232" s="21"/>
      <c r="M5232" s="10"/>
      <c r="N5232" s="10"/>
      <c r="P5232" s="10"/>
      <c r="Q5232" s="22"/>
    </row>
    <row r="5233" customFormat="false" ht="15.75" hidden="false" customHeight="false" outlineLevel="0" collapsed="false">
      <c r="A5233" s="20" t="n">
        <v>46153</v>
      </c>
      <c r="B5233" s="15" t="s">
        <v>205</v>
      </c>
      <c r="C5233" s="15" t="s">
        <v>69</v>
      </c>
      <c r="D5233" s="15" t="s">
        <v>535</v>
      </c>
      <c r="E5233" s="15" t="n">
        <v>6</v>
      </c>
      <c r="H5233" s="10"/>
      <c r="I5233" s="21"/>
      <c r="M5233" s="10"/>
      <c r="N5233" s="10"/>
      <c r="P5233" s="10"/>
      <c r="Q5233" s="22"/>
    </row>
    <row r="5234" customFormat="false" ht="15.75" hidden="false" customHeight="false" outlineLevel="0" collapsed="false">
      <c r="A5234" s="20" t="n">
        <v>46153</v>
      </c>
      <c r="B5234" s="15" t="s">
        <v>205</v>
      </c>
      <c r="C5234" s="15" t="s">
        <v>33</v>
      </c>
      <c r="D5234" s="15" t="s">
        <v>536</v>
      </c>
      <c r="E5234" s="15" t="n">
        <v>6</v>
      </c>
      <c r="H5234" s="10"/>
      <c r="I5234" s="21"/>
      <c r="M5234" s="10"/>
      <c r="N5234" s="10"/>
      <c r="P5234" s="10"/>
      <c r="Q5234" s="22"/>
    </row>
    <row r="5235" customFormat="false" ht="15.75" hidden="false" customHeight="false" outlineLevel="0" collapsed="false">
      <c r="A5235" s="20" t="n">
        <v>46153</v>
      </c>
      <c r="B5235" s="15" t="s">
        <v>504</v>
      </c>
      <c r="C5235" s="15" t="s">
        <v>47</v>
      </c>
      <c r="D5235" s="15" t="s">
        <v>549</v>
      </c>
      <c r="E5235" s="15" t="n">
        <v>6</v>
      </c>
      <c r="H5235" s="10"/>
      <c r="I5235" s="21"/>
      <c r="M5235" s="10"/>
      <c r="N5235" s="10"/>
      <c r="P5235" s="10"/>
      <c r="Q5235" s="22"/>
    </row>
    <row r="5236" customFormat="false" ht="15.75" hidden="false" customHeight="false" outlineLevel="0" collapsed="false">
      <c r="A5236" s="20" t="n">
        <v>46153</v>
      </c>
      <c r="B5236" s="15" t="s">
        <v>504</v>
      </c>
      <c r="C5236" s="15" t="s">
        <v>55</v>
      </c>
      <c r="D5236" s="15" t="s">
        <v>539</v>
      </c>
      <c r="E5236" s="15" t="n">
        <v>12</v>
      </c>
      <c r="H5236" s="10"/>
      <c r="I5236" s="21"/>
      <c r="M5236" s="10"/>
      <c r="N5236" s="10"/>
      <c r="P5236" s="10"/>
      <c r="Q5236" s="22"/>
    </row>
    <row r="5237" customFormat="false" ht="15.75" hidden="false" customHeight="false" outlineLevel="0" collapsed="false">
      <c r="A5237" s="20" t="n">
        <v>46153</v>
      </c>
      <c r="B5237" s="15" t="s">
        <v>504</v>
      </c>
      <c r="C5237" s="15" t="s">
        <v>81</v>
      </c>
      <c r="D5237" s="15" t="s">
        <v>534</v>
      </c>
      <c r="E5237" s="15" t="n">
        <v>18</v>
      </c>
      <c r="H5237" s="10"/>
      <c r="I5237" s="21"/>
      <c r="M5237" s="10"/>
      <c r="N5237" s="10"/>
      <c r="P5237" s="10"/>
      <c r="Q5237" s="22"/>
    </row>
    <row r="5238" customFormat="false" ht="15.75" hidden="false" customHeight="false" outlineLevel="0" collapsed="false">
      <c r="A5238" s="20" t="n">
        <v>46153</v>
      </c>
      <c r="B5238" s="15" t="s">
        <v>504</v>
      </c>
      <c r="C5238" s="15" t="s">
        <v>39</v>
      </c>
      <c r="D5238" s="15" t="s">
        <v>550</v>
      </c>
      <c r="E5238" s="15" t="n">
        <v>2</v>
      </c>
      <c r="H5238" s="10"/>
      <c r="I5238" s="21"/>
      <c r="M5238" s="10"/>
      <c r="N5238" s="10"/>
      <c r="P5238" s="10"/>
      <c r="Q5238" s="22"/>
    </row>
    <row r="5239" customFormat="false" ht="15.75" hidden="false" customHeight="false" outlineLevel="0" collapsed="false">
      <c r="A5239" s="20" t="n">
        <v>46153</v>
      </c>
      <c r="B5239" s="15" t="s">
        <v>504</v>
      </c>
      <c r="C5239" s="15" t="s">
        <v>63</v>
      </c>
      <c r="D5239" s="15" t="s">
        <v>551</v>
      </c>
      <c r="E5239" s="15" t="n">
        <v>2</v>
      </c>
      <c r="H5239" s="10"/>
      <c r="I5239" s="21"/>
      <c r="M5239" s="10"/>
      <c r="N5239" s="10"/>
      <c r="P5239" s="10"/>
      <c r="Q5239" s="22"/>
    </row>
    <row r="5240" customFormat="false" ht="15.75" hidden="false" customHeight="false" outlineLevel="0" collapsed="false">
      <c r="A5240" s="20" t="n">
        <v>46153</v>
      </c>
      <c r="B5240" s="15" t="s">
        <v>504</v>
      </c>
      <c r="C5240" s="15" t="s">
        <v>17</v>
      </c>
      <c r="D5240" s="15" t="s">
        <v>554</v>
      </c>
      <c r="E5240" s="15" t="n">
        <v>2</v>
      </c>
      <c r="H5240" s="10"/>
      <c r="I5240" s="21"/>
      <c r="M5240" s="10"/>
      <c r="N5240" s="10"/>
      <c r="P5240" s="10"/>
      <c r="Q5240" s="22"/>
    </row>
    <row r="5241" customFormat="false" ht="15.75" hidden="false" customHeight="false" outlineLevel="0" collapsed="false">
      <c r="A5241" s="20" t="n">
        <v>46153</v>
      </c>
      <c r="B5241" s="15" t="s">
        <v>505</v>
      </c>
      <c r="C5241" s="15" t="s">
        <v>55</v>
      </c>
      <c r="D5241" s="15" t="s">
        <v>539</v>
      </c>
      <c r="E5241" s="15" t="n">
        <v>6</v>
      </c>
      <c r="H5241" s="10"/>
      <c r="I5241" s="21"/>
      <c r="M5241" s="10"/>
      <c r="N5241" s="10"/>
      <c r="P5241" s="10"/>
      <c r="Q5241" s="22"/>
    </row>
    <row r="5242" customFormat="false" ht="15.75" hidden="false" customHeight="false" outlineLevel="0" collapsed="false">
      <c r="A5242" s="20" t="n">
        <v>46153</v>
      </c>
      <c r="B5242" s="15" t="s">
        <v>505</v>
      </c>
      <c r="C5242" s="15" t="s">
        <v>39</v>
      </c>
      <c r="D5242" s="15" t="s">
        <v>550</v>
      </c>
      <c r="E5242" s="15" t="n">
        <v>1</v>
      </c>
      <c r="H5242" s="10"/>
      <c r="I5242" s="21"/>
      <c r="M5242" s="10"/>
      <c r="N5242" s="10"/>
      <c r="P5242" s="10"/>
      <c r="Q5242" s="22"/>
    </row>
    <row r="5243" customFormat="false" ht="15.75" hidden="false" customHeight="false" outlineLevel="0" collapsed="false">
      <c r="A5243" s="20" t="n">
        <v>46153</v>
      </c>
      <c r="B5243" s="15" t="s">
        <v>505</v>
      </c>
      <c r="C5243" s="15" t="s">
        <v>81</v>
      </c>
      <c r="D5243" s="15" t="s">
        <v>534</v>
      </c>
      <c r="E5243" s="15" t="n">
        <v>9</v>
      </c>
      <c r="H5243" s="10"/>
      <c r="I5243" s="21"/>
      <c r="M5243" s="10"/>
      <c r="N5243" s="10"/>
      <c r="P5243" s="10"/>
      <c r="Q5243" s="22"/>
    </row>
    <row r="5244" customFormat="false" ht="15.75" hidden="false" customHeight="false" outlineLevel="0" collapsed="false">
      <c r="A5244" s="20" t="n">
        <v>46153</v>
      </c>
      <c r="B5244" s="15" t="s">
        <v>505</v>
      </c>
      <c r="C5244" s="15" t="s">
        <v>47</v>
      </c>
      <c r="D5244" s="15" t="s">
        <v>549</v>
      </c>
      <c r="E5244" s="15" t="n">
        <v>3</v>
      </c>
      <c r="H5244" s="10"/>
      <c r="I5244" s="21"/>
      <c r="M5244" s="10"/>
      <c r="N5244" s="10"/>
      <c r="P5244" s="10"/>
      <c r="Q5244" s="22"/>
    </row>
    <row r="5245" customFormat="false" ht="15.75" hidden="false" customHeight="false" outlineLevel="0" collapsed="false">
      <c r="A5245" s="20" t="n">
        <v>46153</v>
      </c>
      <c r="B5245" s="15" t="s">
        <v>505</v>
      </c>
      <c r="C5245" s="15" t="s">
        <v>63</v>
      </c>
      <c r="D5245" s="15" t="s">
        <v>551</v>
      </c>
      <c r="E5245" s="15" t="n">
        <v>1</v>
      </c>
      <c r="H5245" s="10"/>
      <c r="I5245" s="21"/>
      <c r="M5245" s="10"/>
      <c r="N5245" s="10"/>
      <c r="P5245" s="10"/>
      <c r="Q5245" s="22"/>
    </row>
    <row r="5246" customFormat="false" ht="15.75" hidden="false" customHeight="false" outlineLevel="0" collapsed="false">
      <c r="A5246" s="20" t="n">
        <v>46153</v>
      </c>
      <c r="B5246" s="15" t="s">
        <v>505</v>
      </c>
      <c r="C5246" s="15" t="s">
        <v>17</v>
      </c>
      <c r="D5246" s="15" t="s">
        <v>554</v>
      </c>
      <c r="E5246" s="15" t="n">
        <v>1</v>
      </c>
      <c r="H5246" s="10"/>
      <c r="I5246" s="21"/>
      <c r="M5246" s="10"/>
      <c r="N5246" s="10"/>
      <c r="P5246" s="10"/>
      <c r="Q5246" s="22"/>
    </row>
    <row r="5247" customFormat="false" ht="15.75" hidden="false" customHeight="false" outlineLevel="0" collapsed="false">
      <c r="A5247" s="20" t="n">
        <v>46153</v>
      </c>
      <c r="B5247" s="15" t="s">
        <v>508</v>
      </c>
      <c r="C5247" s="15" t="s">
        <v>55</v>
      </c>
      <c r="D5247" s="15" t="s">
        <v>539</v>
      </c>
      <c r="E5247" s="15" t="n">
        <v>5</v>
      </c>
      <c r="H5247" s="10"/>
      <c r="I5247" s="21"/>
      <c r="M5247" s="10"/>
      <c r="N5247" s="10"/>
      <c r="P5247" s="10"/>
      <c r="Q5247" s="22"/>
    </row>
    <row r="5248" customFormat="false" ht="15.75" hidden="false" customHeight="false" outlineLevel="0" collapsed="false">
      <c r="A5248" s="20" t="n">
        <v>46153</v>
      </c>
      <c r="B5248" s="15" t="s">
        <v>508</v>
      </c>
      <c r="C5248" s="15" t="s">
        <v>81</v>
      </c>
      <c r="D5248" s="15" t="s">
        <v>534</v>
      </c>
      <c r="E5248" s="15" t="n">
        <v>9</v>
      </c>
      <c r="H5248" s="10"/>
      <c r="I5248" s="21"/>
      <c r="M5248" s="10"/>
      <c r="N5248" s="10"/>
      <c r="P5248" s="10"/>
      <c r="Q5248" s="22"/>
    </row>
    <row r="5249" customFormat="false" ht="15.75" hidden="false" customHeight="false" outlineLevel="0" collapsed="false">
      <c r="A5249" s="20" t="n">
        <v>46153</v>
      </c>
      <c r="B5249" s="15" t="s">
        <v>508</v>
      </c>
      <c r="C5249" s="15" t="s">
        <v>39</v>
      </c>
      <c r="D5249" s="15" t="s">
        <v>550</v>
      </c>
      <c r="E5249" s="15" t="n">
        <v>2</v>
      </c>
      <c r="H5249" s="10"/>
      <c r="I5249" s="21"/>
      <c r="M5249" s="10"/>
      <c r="N5249" s="10"/>
      <c r="P5249" s="10"/>
      <c r="Q5249" s="22"/>
    </row>
    <row r="5250" customFormat="false" ht="15.75" hidden="false" customHeight="false" outlineLevel="0" collapsed="false">
      <c r="A5250" s="20" t="n">
        <v>46153</v>
      </c>
      <c r="B5250" s="15" t="s">
        <v>508</v>
      </c>
      <c r="C5250" s="15" t="s">
        <v>47</v>
      </c>
      <c r="D5250" s="15" t="s">
        <v>549</v>
      </c>
      <c r="E5250" s="15" t="n">
        <v>2</v>
      </c>
      <c r="H5250" s="10"/>
      <c r="I5250" s="21"/>
      <c r="M5250" s="10"/>
      <c r="N5250" s="10"/>
      <c r="P5250" s="10"/>
      <c r="Q5250" s="22"/>
    </row>
    <row r="5251" customFormat="false" ht="15.75" hidden="false" customHeight="false" outlineLevel="0" collapsed="false">
      <c r="A5251" s="20" t="n">
        <v>46153</v>
      </c>
      <c r="B5251" s="15" t="s">
        <v>508</v>
      </c>
      <c r="C5251" s="15" t="s">
        <v>63</v>
      </c>
      <c r="D5251" s="15" t="s">
        <v>551</v>
      </c>
      <c r="E5251" s="15" t="n">
        <v>1</v>
      </c>
      <c r="H5251" s="10"/>
      <c r="I5251" s="21"/>
      <c r="M5251" s="10"/>
      <c r="N5251" s="10"/>
      <c r="P5251" s="10"/>
      <c r="Q5251" s="22"/>
    </row>
    <row r="5252" customFormat="false" ht="15.75" hidden="false" customHeight="false" outlineLevel="0" collapsed="false">
      <c r="A5252" s="20" t="n">
        <v>46153</v>
      </c>
      <c r="B5252" s="15" t="s">
        <v>518</v>
      </c>
      <c r="C5252" s="15" t="s">
        <v>69</v>
      </c>
      <c r="D5252" s="15" t="s">
        <v>535</v>
      </c>
      <c r="E5252" s="15" t="n">
        <v>6</v>
      </c>
      <c r="H5252" s="10"/>
      <c r="I5252" s="21"/>
      <c r="M5252" s="10"/>
      <c r="N5252" s="10"/>
      <c r="P5252" s="10"/>
      <c r="Q5252" s="22"/>
    </row>
    <row r="5253" customFormat="false" ht="15.75" hidden="false" customHeight="false" outlineLevel="0" collapsed="false">
      <c r="A5253" s="20" t="n">
        <v>46153</v>
      </c>
      <c r="B5253" s="15" t="s">
        <v>518</v>
      </c>
      <c r="C5253" s="15" t="s">
        <v>33</v>
      </c>
      <c r="D5253" s="15" t="s">
        <v>536</v>
      </c>
      <c r="E5253" s="15" t="n">
        <v>6</v>
      </c>
      <c r="H5253" s="10"/>
      <c r="I5253" s="21"/>
      <c r="M5253" s="10"/>
      <c r="N5253" s="10"/>
      <c r="P5253" s="10"/>
      <c r="Q5253" s="22"/>
    </row>
    <row r="5254" customFormat="false" ht="15.75" hidden="false" customHeight="false" outlineLevel="0" collapsed="false">
      <c r="A5254" s="20" t="n">
        <v>46153</v>
      </c>
      <c r="B5254" s="15" t="s">
        <v>518</v>
      </c>
      <c r="C5254" s="15" t="s">
        <v>47</v>
      </c>
      <c r="D5254" s="15" t="s">
        <v>549</v>
      </c>
      <c r="E5254" s="15" t="n">
        <v>2</v>
      </c>
      <c r="H5254" s="10"/>
      <c r="I5254" s="21"/>
      <c r="M5254" s="10"/>
      <c r="N5254" s="10"/>
      <c r="P5254" s="10"/>
      <c r="Q5254" s="22"/>
    </row>
    <row r="5255" customFormat="false" ht="15.75" hidden="false" customHeight="false" outlineLevel="0" collapsed="false">
      <c r="A5255" s="20" t="n">
        <v>46153</v>
      </c>
      <c r="B5255" s="15" t="s">
        <v>518</v>
      </c>
      <c r="C5255" s="15" t="s">
        <v>51</v>
      </c>
      <c r="D5255" s="15" t="s">
        <v>573</v>
      </c>
      <c r="E5255" s="15" t="n">
        <v>1</v>
      </c>
      <c r="H5255" s="10"/>
      <c r="I5255" s="21"/>
      <c r="M5255" s="10"/>
      <c r="N5255" s="10"/>
      <c r="P5255" s="10"/>
      <c r="Q5255" s="22"/>
    </row>
    <row r="5256" customFormat="false" ht="15.75" hidden="false" customHeight="false" outlineLevel="0" collapsed="false">
      <c r="A5256" s="20" t="n">
        <v>46153</v>
      </c>
      <c r="B5256" s="15" t="s">
        <v>518</v>
      </c>
      <c r="C5256" s="15" t="s">
        <v>55</v>
      </c>
      <c r="D5256" s="15" t="s">
        <v>539</v>
      </c>
      <c r="E5256" s="15" t="n">
        <v>2</v>
      </c>
      <c r="H5256" s="10"/>
      <c r="I5256" s="21"/>
      <c r="M5256" s="10"/>
      <c r="N5256" s="10"/>
      <c r="P5256" s="10"/>
      <c r="Q5256" s="22"/>
    </row>
    <row r="5257" customFormat="false" ht="15.75" hidden="false" customHeight="false" outlineLevel="0" collapsed="false">
      <c r="A5257" s="20" t="n">
        <v>46153</v>
      </c>
      <c r="B5257" s="15" t="s">
        <v>518</v>
      </c>
      <c r="C5257" s="15" t="s">
        <v>37</v>
      </c>
      <c r="D5257" s="15" t="s">
        <v>561</v>
      </c>
      <c r="E5257" s="15" t="n">
        <v>2</v>
      </c>
      <c r="H5257" s="10"/>
      <c r="I5257" s="21"/>
      <c r="M5257" s="10"/>
      <c r="N5257" s="10"/>
      <c r="P5257" s="10"/>
      <c r="Q5257" s="22"/>
    </row>
    <row r="5258" customFormat="false" ht="15.75" hidden="false" customHeight="false" outlineLevel="0" collapsed="false">
      <c r="A5258" s="20" t="n">
        <v>46153</v>
      </c>
      <c r="B5258" s="15" t="s">
        <v>518</v>
      </c>
      <c r="C5258" s="15" t="s">
        <v>547</v>
      </c>
      <c r="D5258" s="15" t="s">
        <v>548</v>
      </c>
      <c r="E5258" s="15" t="n">
        <v>1</v>
      </c>
      <c r="H5258" s="10"/>
      <c r="I5258" s="21"/>
      <c r="M5258" s="10"/>
      <c r="N5258" s="10"/>
      <c r="P5258" s="10"/>
      <c r="Q5258" s="22"/>
    </row>
    <row r="5259" customFormat="false" ht="15.75" hidden="false" customHeight="false" outlineLevel="0" collapsed="false">
      <c r="A5259" s="20" t="n">
        <v>46153</v>
      </c>
      <c r="B5259" s="15" t="s">
        <v>518</v>
      </c>
      <c r="C5259" s="15" t="s">
        <v>81</v>
      </c>
      <c r="D5259" s="15" t="s">
        <v>534</v>
      </c>
      <c r="E5259" s="15" t="n">
        <v>1</v>
      </c>
      <c r="H5259" s="10"/>
      <c r="I5259" s="21"/>
      <c r="M5259" s="10"/>
      <c r="N5259" s="10"/>
      <c r="P5259" s="10"/>
      <c r="Q5259" s="22"/>
    </row>
    <row r="5260" customFormat="false" ht="15.75" hidden="false" customHeight="false" outlineLevel="0" collapsed="false">
      <c r="A5260" s="20" t="n">
        <v>46154</v>
      </c>
      <c r="B5260" s="15" t="s">
        <v>453</v>
      </c>
      <c r="C5260" s="15" t="s">
        <v>47</v>
      </c>
      <c r="D5260" s="15" t="s">
        <v>549</v>
      </c>
      <c r="E5260" s="15" t="n">
        <v>4</v>
      </c>
      <c r="H5260" s="10"/>
      <c r="I5260" s="21"/>
      <c r="M5260" s="10"/>
      <c r="N5260" s="10"/>
      <c r="P5260" s="10"/>
      <c r="Q5260" s="22"/>
    </row>
    <row r="5261" customFormat="false" ht="15.75" hidden="false" customHeight="false" outlineLevel="0" collapsed="false">
      <c r="A5261" s="20" t="n">
        <v>46154</v>
      </c>
      <c r="B5261" s="15" t="s">
        <v>453</v>
      </c>
      <c r="C5261" s="15" t="s">
        <v>55</v>
      </c>
      <c r="D5261" s="15" t="s">
        <v>539</v>
      </c>
      <c r="E5261" s="15" t="n">
        <v>8</v>
      </c>
      <c r="H5261" s="10"/>
      <c r="I5261" s="21"/>
      <c r="M5261" s="10"/>
      <c r="N5261" s="10"/>
      <c r="P5261" s="10"/>
      <c r="Q5261" s="22"/>
    </row>
    <row r="5262" customFormat="false" ht="15.75" hidden="false" customHeight="false" outlineLevel="0" collapsed="false">
      <c r="A5262" s="20" t="n">
        <v>46154</v>
      </c>
      <c r="B5262" s="15" t="s">
        <v>453</v>
      </c>
      <c r="C5262" s="15" t="s">
        <v>81</v>
      </c>
      <c r="D5262" s="15" t="s">
        <v>534</v>
      </c>
      <c r="E5262" s="15" t="n">
        <v>16</v>
      </c>
      <c r="H5262" s="10"/>
      <c r="I5262" s="21"/>
      <c r="M5262" s="10"/>
      <c r="N5262" s="10"/>
      <c r="P5262" s="10"/>
      <c r="Q5262" s="22"/>
    </row>
    <row r="5263" customFormat="false" ht="15.75" hidden="false" customHeight="false" outlineLevel="0" collapsed="false">
      <c r="A5263" s="20" t="n">
        <v>46154</v>
      </c>
      <c r="B5263" s="15" t="s">
        <v>453</v>
      </c>
      <c r="C5263" s="15" t="s">
        <v>39</v>
      </c>
      <c r="D5263" s="15" t="s">
        <v>550</v>
      </c>
      <c r="E5263" s="15" t="n">
        <v>4</v>
      </c>
      <c r="H5263" s="10"/>
      <c r="I5263" s="21"/>
      <c r="M5263" s="10"/>
      <c r="N5263" s="10"/>
      <c r="P5263" s="10"/>
      <c r="Q5263" s="22"/>
    </row>
    <row r="5264" customFormat="false" ht="15.75" hidden="false" customHeight="false" outlineLevel="0" collapsed="false">
      <c r="A5264" s="20" t="n">
        <v>46154</v>
      </c>
      <c r="B5264" s="15" t="s">
        <v>453</v>
      </c>
      <c r="C5264" s="15" t="s">
        <v>63</v>
      </c>
      <c r="D5264" s="15" t="s">
        <v>551</v>
      </c>
      <c r="E5264" s="15" t="n">
        <v>2</v>
      </c>
      <c r="H5264" s="10"/>
      <c r="I5264" s="21"/>
      <c r="M5264" s="10"/>
      <c r="N5264" s="10"/>
      <c r="P5264" s="10"/>
      <c r="Q5264" s="22"/>
    </row>
    <row r="5265" customFormat="false" ht="15.75" hidden="false" customHeight="false" outlineLevel="0" collapsed="false">
      <c r="A5265" s="20" t="n">
        <v>46154</v>
      </c>
      <c r="B5265" s="15" t="s">
        <v>453</v>
      </c>
      <c r="C5265" s="15" t="s">
        <v>35</v>
      </c>
      <c r="D5265" s="15" t="s">
        <v>552</v>
      </c>
      <c r="E5265" s="15" t="n">
        <v>4</v>
      </c>
      <c r="H5265" s="10"/>
      <c r="I5265" s="21"/>
      <c r="M5265" s="10"/>
      <c r="N5265" s="10"/>
      <c r="P5265" s="10"/>
      <c r="Q5265" s="22"/>
    </row>
    <row r="5266" customFormat="false" ht="15.75" hidden="false" customHeight="false" outlineLevel="0" collapsed="false">
      <c r="A5266" s="20" t="n">
        <v>46154</v>
      </c>
      <c r="B5266" s="15" t="s">
        <v>473</v>
      </c>
      <c r="C5266" s="15" t="s">
        <v>555</v>
      </c>
      <c r="D5266" s="15" t="s">
        <v>556</v>
      </c>
      <c r="E5266" s="15" t="n">
        <v>4</v>
      </c>
      <c r="H5266" s="10"/>
      <c r="I5266" s="21"/>
      <c r="M5266" s="10"/>
      <c r="N5266" s="10"/>
      <c r="P5266" s="10"/>
      <c r="Q5266" s="22"/>
    </row>
    <row r="5267" customFormat="false" ht="15.75" hidden="false" customHeight="false" outlineLevel="0" collapsed="false">
      <c r="A5267" s="20" t="n">
        <v>46154</v>
      </c>
      <c r="B5267" s="15" t="s">
        <v>473</v>
      </c>
      <c r="C5267" s="15" t="s">
        <v>11</v>
      </c>
      <c r="D5267" s="15" t="s">
        <v>572</v>
      </c>
      <c r="E5267" s="15" t="n">
        <v>4</v>
      </c>
      <c r="H5267" s="10"/>
      <c r="I5267" s="21"/>
      <c r="M5267" s="10"/>
      <c r="N5267" s="10"/>
      <c r="P5267" s="10"/>
      <c r="Q5267" s="22"/>
    </row>
    <row r="5268" customFormat="false" ht="15.75" hidden="false" customHeight="false" outlineLevel="0" collapsed="false">
      <c r="A5268" s="20" t="n">
        <v>46154</v>
      </c>
      <c r="B5268" s="15" t="s">
        <v>473</v>
      </c>
      <c r="C5268" s="15" t="s">
        <v>543</v>
      </c>
      <c r="D5268" s="15" t="s">
        <v>544</v>
      </c>
      <c r="E5268" s="15" t="n">
        <v>4</v>
      </c>
      <c r="H5268" s="10"/>
      <c r="I5268" s="21"/>
      <c r="M5268" s="10"/>
      <c r="N5268" s="10"/>
      <c r="P5268" s="10"/>
      <c r="Q5268" s="22"/>
    </row>
    <row r="5269" customFormat="false" ht="15.75" hidden="false" customHeight="false" outlineLevel="0" collapsed="false">
      <c r="A5269" s="20" t="n">
        <v>46154</v>
      </c>
      <c r="B5269" s="15" t="s">
        <v>473</v>
      </c>
      <c r="C5269" s="15" t="s">
        <v>91</v>
      </c>
      <c r="D5269" s="15" t="s">
        <v>91</v>
      </c>
      <c r="E5269" s="15" t="n">
        <v>4</v>
      </c>
      <c r="H5269" s="10"/>
      <c r="I5269" s="21"/>
      <c r="M5269" s="10"/>
      <c r="N5269" s="10"/>
      <c r="P5269" s="10"/>
      <c r="Q5269" s="22"/>
    </row>
    <row r="5270" customFormat="false" ht="15.75" hidden="false" customHeight="false" outlineLevel="0" collapsed="false">
      <c r="A5270" s="20" t="n">
        <v>46154</v>
      </c>
      <c r="B5270" s="15" t="s">
        <v>473</v>
      </c>
      <c r="C5270" s="15" t="s">
        <v>25</v>
      </c>
      <c r="D5270" s="15" t="s">
        <v>26</v>
      </c>
      <c r="E5270" s="15" t="n">
        <v>4</v>
      </c>
      <c r="H5270" s="10"/>
      <c r="I5270" s="21"/>
      <c r="M5270" s="10"/>
      <c r="N5270" s="10"/>
      <c r="P5270" s="10"/>
      <c r="Q5270" s="22"/>
    </row>
    <row r="5271" customFormat="false" ht="15.75" hidden="false" customHeight="false" outlineLevel="0" collapsed="false">
      <c r="A5271" s="20" t="n">
        <v>46154</v>
      </c>
      <c r="B5271" s="15" t="s">
        <v>477</v>
      </c>
      <c r="C5271" s="15" t="s">
        <v>69</v>
      </c>
      <c r="D5271" s="15" t="s">
        <v>535</v>
      </c>
      <c r="E5271" s="15" t="n">
        <v>3</v>
      </c>
      <c r="H5271" s="10"/>
      <c r="I5271" s="21"/>
      <c r="M5271" s="10"/>
      <c r="N5271" s="10"/>
      <c r="P5271" s="10"/>
      <c r="Q5271" s="22"/>
    </row>
    <row r="5272" customFormat="false" ht="15.75" hidden="false" customHeight="false" outlineLevel="0" collapsed="false">
      <c r="A5272" s="20" t="n">
        <v>46154</v>
      </c>
      <c r="B5272" s="15" t="s">
        <v>477</v>
      </c>
      <c r="C5272" s="15" t="s">
        <v>547</v>
      </c>
      <c r="D5272" s="15" t="s">
        <v>548</v>
      </c>
      <c r="E5272" s="15" t="n">
        <v>3</v>
      </c>
      <c r="H5272" s="10"/>
      <c r="I5272" s="21"/>
      <c r="M5272" s="10"/>
      <c r="N5272" s="10"/>
      <c r="P5272" s="10"/>
      <c r="Q5272" s="22"/>
    </row>
    <row r="5273" customFormat="false" ht="15.75" hidden="false" customHeight="false" outlineLevel="0" collapsed="false">
      <c r="A5273" s="20" t="n">
        <v>46154</v>
      </c>
      <c r="B5273" s="15" t="s">
        <v>477</v>
      </c>
      <c r="C5273" s="15" t="s">
        <v>25</v>
      </c>
      <c r="D5273" s="15" t="s">
        <v>26</v>
      </c>
      <c r="E5273" s="15" t="n">
        <v>3</v>
      </c>
      <c r="H5273" s="10"/>
      <c r="I5273" s="21"/>
      <c r="M5273" s="10"/>
      <c r="N5273" s="10"/>
      <c r="P5273" s="10"/>
      <c r="Q5273" s="22"/>
    </row>
    <row r="5274" customFormat="false" ht="15.75" hidden="false" customHeight="false" outlineLevel="0" collapsed="false">
      <c r="A5274" s="20" t="n">
        <v>46154</v>
      </c>
      <c r="B5274" s="15" t="s">
        <v>487</v>
      </c>
      <c r="C5274" s="15" t="s">
        <v>55</v>
      </c>
      <c r="D5274" s="15" t="s">
        <v>539</v>
      </c>
      <c r="E5274" s="15" t="n">
        <v>1</v>
      </c>
      <c r="H5274" s="10"/>
      <c r="I5274" s="21"/>
      <c r="M5274" s="10"/>
      <c r="N5274" s="10"/>
      <c r="P5274" s="10"/>
      <c r="Q5274" s="22"/>
    </row>
    <row r="5275" customFormat="false" ht="15.75" hidden="false" customHeight="false" outlineLevel="0" collapsed="false">
      <c r="A5275" s="20" t="n">
        <v>46154</v>
      </c>
      <c r="B5275" s="15" t="s">
        <v>487</v>
      </c>
      <c r="C5275" s="15" t="s">
        <v>81</v>
      </c>
      <c r="D5275" s="15" t="s">
        <v>534</v>
      </c>
      <c r="E5275" s="15" t="n">
        <v>9</v>
      </c>
      <c r="H5275" s="10"/>
      <c r="I5275" s="21"/>
      <c r="M5275" s="10"/>
      <c r="N5275" s="10"/>
      <c r="P5275" s="10"/>
      <c r="Q5275" s="22"/>
    </row>
    <row r="5276" customFormat="false" ht="15.75" hidden="false" customHeight="false" outlineLevel="0" collapsed="false">
      <c r="A5276" s="20" t="n">
        <v>46154</v>
      </c>
      <c r="B5276" s="15" t="s">
        <v>487</v>
      </c>
      <c r="C5276" s="15" t="s">
        <v>555</v>
      </c>
      <c r="D5276" s="15" t="s">
        <v>556</v>
      </c>
      <c r="E5276" s="15" t="n">
        <v>1</v>
      </c>
      <c r="H5276" s="10"/>
      <c r="I5276" s="21"/>
      <c r="M5276" s="10"/>
      <c r="N5276" s="10"/>
      <c r="P5276" s="10"/>
      <c r="Q5276" s="22"/>
    </row>
    <row r="5277" customFormat="false" ht="15.75" hidden="false" customHeight="false" outlineLevel="0" collapsed="false">
      <c r="A5277" s="20" t="n">
        <v>46154</v>
      </c>
      <c r="B5277" s="15" t="s">
        <v>487</v>
      </c>
      <c r="C5277" s="15" t="s">
        <v>570</v>
      </c>
      <c r="D5277" s="15" t="s">
        <v>571</v>
      </c>
      <c r="E5277" s="15" t="n">
        <v>1</v>
      </c>
      <c r="H5277" s="10"/>
      <c r="I5277" s="21"/>
      <c r="M5277" s="10"/>
      <c r="N5277" s="10"/>
      <c r="P5277" s="10"/>
      <c r="Q5277" s="22"/>
    </row>
    <row r="5278" customFormat="false" ht="15.75" hidden="false" customHeight="false" outlineLevel="0" collapsed="false">
      <c r="A5278" s="20" t="n">
        <v>46154</v>
      </c>
      <c r="B5278" s="15" t="s">
        <v>487</v>
      </c>
      <c r="C5278" s="15" t="s">
        <v>25</v>
      </c>
      <c r="D5278" s="15" t="s">
        <v>26</v>
      </c>
      <c r="E5278" s="15" t="n">
        <v>1</v>
      </c>
      <c r="H5278" s="10"/>
      <c r="I5278" s="21"/>
      <c r="M5278" s="10"/>
      <c r="N5278" s="10"/>
      <c r="P5278" s="10"/>
      <c r="Q5278" s="22"/>
    </row>
    <row r="5279" customFormat="false" ht="15.75" hidden="false" customHeight="false" outlineLevel="0" collapsed="false">
      <c r="A5279" s="20" t="n">
        <v>46154</v>
      </c>
      <c r="B5279" s="15" t="s">
        <v>487</v>
      </c>
      <c r="C5279" s="15" t="s">
        <v>91</v>
      </c>
      <c r="D5279" s="15" t="s">
        <v>91</v>
      </c>
      <c r="E5279" s="15" t="n">
        <v>2</v>
      </c>
      <c r="H5279" s="10"/>
      <c r="I5279" s="21"/>
      <c r="M5279" s="10"/>
      <c r="N5279" s="10"/>
      <c r="P5279" s="10"/>
      <c r="Q5279" s="22"/>
    </row>
    <row r="5280" customFormat="false" ht="15.75" hidden="false" customHeight="false" outlineLevel="0" collapsed="false">
      <c r="A5280" s="20" t="n">
        <v>46154</v>
      </c>
      <c r="B5280" s="15" t="s">
        <v>487</v>
      </c>
      <c r="C5280" s="15" t="s">
        <v>543</v>
      </c>
      <c r="D5280" s="15" t="s">
        <v>544</v>
      </c>
      <c r="E5280" s="15" t="n">
        <v>3</v>
      </c>
      <c r="H5280" s="10"/>
      <c r="I5280" s="21"/>
      <c r="M5280" s="10"/>
      <c r="N5280" s="10"/>
      <c r="P5280" s="10"/>
      <c r="Q5280" s="22"/>
    </row>
    <row r="5281" customFormat="false" ht="15.75" hidden="false" customHeight="false" outlineLevel="0" collapsed="false">
      <c r="A5281" s="20" t="n">
        <v>46154</v>
      </c>
      <c r="B5281" s="15" t="s">
        <v>487</v>
      </c>
      <c r="C5281" s="15" t="s">
        <v>545</v>
      </c>
      <c r="D5281" s="15" t="s">
        <v>546</v>
      </c>
      <c r="E5281" s="15" t="n">
        <v>1</v>
      </c>
      <c r="H5281" s="10"/>
      <c r="I5281" s="21"/>
      <c r="M5281" s="10"/>
      <c r="N5281" s="10"/>
      <c r="P5281" s="10"/>
      <c r="Q5281" s="22"/>
    </row>
    <row r="5282" customFormat="false" ht="15.75" hidden="false" customHeight="false" outlineLevel="0" collapsed="false">
      <c r="A5282" s="20" t="n">
        <v>46154</v>
      </c>
      <c r="B5282" s="15" t="s">
        <v>487</v>
      </c>
      <c r="C5282" s="15" t="s">
        <v>69</v>
      </c>
      <c r="D5282" s="15" t="s">
        <v>535</v>
      </c>
      <c r="E5282" s="15" t="n">
        <v>3</v>
      </c>
      <c r="H5282" s="10"/>
      <c r="I5282" s="21"/>
      <c r="M5282" s="10"/>
      <c r="N5282" s="10"/>
      <c r="P5282" s="10"/>
      <c r="Q5282" s="22"/>
    </row>
    <row r="5283" customFormat="false" ht="15.75" hidden="false" customHeight="false" outlineLevel="0" collapsed="false">
      <c r="A5283" s="20" t="n">
        <v>46154</v>
      </c>
      <c r="B5283" s="15" t="s">
        <v>487</v>
      </c>
      <c r="C5283" s="15" t="s">
        <v>77</v>
      </c>
      <c r="D5283" s="15" t="s">
        <v>78</v>
      </c>
      <c r="E5283" s="15" t="n">
        <v>3</v>
      </c>
      <c r="H5283" s="10"/>
      <c r="I5283" s="21"/>
      <c r="M5283" s="10"/>
      <c r="N5283" s="10"/>
      <c r="P5283" s="10"/>
      <c r="Q5283" s="22"/>
    </row>
    <row r="5284" customFormat="false" ht="15.75" hidden="false" customHeight="false" outlineLevel="0" collapsed="false">
      <c r="A5284" s="20" t="n">
        <v>46154</v>
      </c>
      <c r="B5284" s="15" t="s">
        <v>487</v>
      </c>
      <c r="C5284" s="15" t="s">
        <v>11</v>
      </c>
      <c r="D5284" s="15" t="s">
        <v>572</v>
      </c>
      <c r="E5284" s="15" t="n">
        <v>1</v>
      </c>
      <c r="H5284" s="10"/>
      <c r="I5284" s="21"/>
      <c r="M5284" s="10"/>
      <c r="N5284" s="10"/>
      <c r="P5284" s="10"/>
      <c r="Q5284" s="22"/>
    </row>
    <row r="5285" customFormat="false" ht="15.75" hidden="false" customHeight="false" outlineLevel="0" collapsed="false">
      <c r="A5285" s="20" t="n">
        <v>46154</v>
      </c>
      <c r="B5285" s="15" t="s">
        <v>487</v>
      </c>
      <c r="C5285" s="15" t="s">
        <v>33</v>
      </c>
      <c r="D5285" s="15" t="s">
        <v>536</v>
      </c>
      <c r="E5285" s="15" t="n">
        <v>3</v>
      </c>
      <c r="H5285" s="10"/>
      <c r="I5285" s="21"/>
      <c r="M5285" s="10"/>
      <c r="N5285" s="10"/>
      <c r="P5285" s="10"/>
      <c r="Q5285" s="22"/>
    </row>
    <row r="5286" customFormat="false" ht="15.75" hidden="false" customHeight="false" outlineLevel="0" collapsed="false">
      <c r="A5286" s="20" t="n">
        <v>46154</v>
      </c>
      <c r="B5286" s="15" t="s">
        <v>487</v>
      </c>
      <c r="C5286" s="15" t="s">
        <v>59</v>
      </c>
      <c r="D5286" s="15" t="s">
        <v>562</v>
      </c>
      <c r="E5286" s="15" t="n">
        <v>1</v>
      </c>
      <c r="H5286" s="10"/>
      <c r="I5286" s="21"/>
      <c r="M5286" s="10"/>
      <c r="N5286" s="10"/>
      <c r="P5286" s="10"/>
      <c r="Q5286" s="22"/>
    </row>
    <row r="5287" customFormat="false" ht="15.75" hidden="false" customHeight="false" outlineLevel="0" collapsed="false">
      <c r="A5287" s="20" t="n">
        <v>46154</v>
      </c>
      <c r="B5287" s="15" t="s">
        <v>487</v>
      </c>
      <c r="C5287" s="15" t="s">
        <v>75</v>
      </c>
      <c r="D5287" s="15" t="s">
        <v>560</v>
      </c>
      <c r="E5287" s="15" t="n">
        <v>1</v>
      </c>
      <c r="H5287" s="10"/>
      <c r="I5287" s="21"/>
      <c r="M5287" s="10"/>
      <c r="N5287" s="10"/>
      <c r="P5287" s="10"/>
      <c r="Q5287" s="22"/>
    </row>
    <row r="5288" customFormat="false" ht="15.75" hidden="false" customHeight="false" outlineLevel="0" collapsed="false">
      <c r="A5288" s="20" t="n">
        <v>46154</v>
      </c>
      <c r="B5288" s="15" t="s">
        <v>487</v>
      </c>
      <c r="C5288" s="15" t="s">
        <v>79</v>
      </c>
      <c r="D5288" s="15" t="s">
        <v>564</v>
      </c>
      <c r="E5288" s="15" t="n">
        <v>2</v>
      </c>
      <c r="H5288" s="10"/>
      <c r="I5288" s="21"/>
      <c r="M5288" s="10"/>
      <c r="N5288" s="10"/>
      <c r="P5288" s="10"/>
      <c r="Q5288" s="22"/>
    </row>
    <row r="5289" customFormat="false" ht="15.75" hidden="false" customHeight="false" outlineLevel="0" collapsed="false">
      <c r="A5289" s="20" t="n">
        <v>46154</v>
      </c>
      <c r="B5289" s="15" t="s">
        <v>491</v>
      </c>
      <c r="C5289" s="15" t="s">
        <v>37</v>
      </c>
      <c r="D5289" s="15" t="s">
        <v>561</v>
      </c>
      <c r="E5289" s="15" t="n">
        <v>1</v>
      </c>
      <c r="H5289" s="10"/>
      <c r="I5289" s="21"/>
      <c r="M5289" s="10"/>
      <c r="N5289" s="10"/>
      <c r="P5289" s="10"/>
      <c r="Q5289" s="22"/>
    </row>
    <row r="5290" customFormat="false" ht="15.75" hidden="false" customHeight="false" outlineLevel="0" collapsed="false">
      <c r="A5290" s="20" t="n">
        <v>46154</v>
      </c>
      <c r="B5290" s="15" t="s">
        <v>491</v>
      </c>
      <c r="C5290" s="15" t="s">
        <v>81</v>
      </c>
      <c r="D5290" s="15" t="s">
        <v>534</v>
      </c>
      <c r="E5290" s="15" t="n">
        <v>8</v>
      </c>
      <c r="H5290" s="10"/>
      <c r="I5290" s="21"/>
      <c r="M5290" s="10"/>
      <c r="N5290" s="10"/>
      <c r="P5290" s="10"/>
      <c r="Q5290" s="22"/>
    </row>
    <row r="5291" customFormat="false" ht="15.75" hidden="false" customHeight="false" outlineLevel="0" collapsed="false">
      <c r="A5291" s="20" t="n">
        <v>46154</v>
      </c>
      <c r="B5291" s="15" t="s">
        <v>491</v>
      </c>
      <c r="C5291" s="15" t="s">
        <v>75</v>
      </c>
      <c r="D5291" s="15" t="s">
        <v>560</v>
      </c>
      <c r="E5291" s="15" t="n">
        <v>1</v>
      </c>
      <c r="H5291" s="10"/>
      <c r="I5291" s="21"/>
      <c r="M5291" s="10"/>
      <c r="N5291" s="10"/>
      <c r="P5291" s="10"/>
      <c r="Q5291" s="22"/>
    </row>
    <row r="5292" customFormat="false" ht="15.75" hidden="false" customHeight="false" outlineLevel="0" collapsed="false">
      <c r="A5292" s="20" t="n">
        <v>46154</v>
      </c>
      <c r="B5292" s="15" t="s">
        <v>491</v>
      </c>
      <c r="C5292" s="15" t="s">
        <v>69</v>
      </c>
      <c r="D5292" s="15" t="s">
        <v>535</v>
      </c>
      <c r="E5292" s="15" t="n">
        <v>6</v>
      </c>
      <c r="H5292" s="10"/>
      <c r="I5292" s="21"/>
      <c r="M5292" s="10"/>
      <c r="N5292" s="10"/>
      <c r="P5292" s="10"/>
      <c r="Q5292" s="22"/>
    </row>
    <row r="5293" customFormat="false" ht="15.75" hidden="false" customHeight="false" outlineLevel="0" collapsed="false">
      <c r="A5293" s="20" t="n">
        <v>46154</v>
      </c>
      <c r="B5293" s="15" t="s">
        <v>491</v>
      </c>
      <c r="C5293" s="15" t="s">
        <v>547</v>
      </c>
      <c r="D5293" s="15" t="s">
        <v>548</v>
      </c>
      <c r="E5293" s="15" t="n">
        <v>1</v>
      </c>
      <c r="H5293" s="10"/>
      <c r="I5293" s="21"/>
      <c r="M5293" s="10"/>
      <c r="N5293" s="10"/>
      <c r="P5293" s="10"/>
      <c r="Q5293" s="22"/>
    </row>
    <row r="5294" customFormat="false" ht="15.75" hidden="false" customHeight="false" outlineLevel="0" collapsed="false">
      <c r="A5294" s="20" t="n">
        <v>46154</v>
      </c>
      <c r="B5294" s="15" t="s">
        <v>491</v>
      </c>
      <c r="C5294" s="15" t="s">
        <v>31</v>
      </c>
      <c r="D5294" s="15" t="s">
        <v>559</v>
      </c>
      <c r="E5294" s="15" t="n">
        <v>2</v>
      </c>
      <c r="H5294" s="10"/>
      <c r="I5294" s="21"/>
      <c r="M5294" s="10"/>
      <c r="N5294" s="10"/>
      <c r="P5294" s="10"/>
      <c r="Q5294" s="22"/>
    </row>
    <row r="5295" customFormat="false" ht="15.75" hidden="false" customHeight="false" outlineLevel="0" collapsed="false">
      <c r="A5295" s="20" t="n">
        <v>46154</v>
      </c>
      <c r="B5295" s="15" t="s">
        <v>491</v>
      </c>
      <c r="C5295" s="15" t="s">
        <v>545</v>
      </c>
      <c r="D5295" s="15" t="s">
        <v>546</v>
      </c>
      <c r="E5295" s="15" t="n">
        <v>2</v>
      </c>
      <c r="H5295" s="10"/>
      <c r="I5295" s="21"/>
      <c r="M5295" s="10"/>
      <c r="N5295" s="10"/>
      <c r="P5295" s="10"/>
      <c r="Q5295" s="22"/>
    </row>
    <row r="5296" customFormat="false" ht="15.75" hidden="false" customHeight="false" outlineLevel="0" collapsed="false">
      <c r="A5296" s="20" t="n">
        <v>46154</v>
      </c>
      <c r="B5296" s="15" t="s">
        <v>491</v>
      </c>
      <c r="C5296" s="15" t="s">
        <v>543</v>
      </c>
      <c r="D5296" s="15" t="s">
        <v>544</v>
      </c>
      <c r="E5296" s="15" t="n">
        <v>4</v>
      </c>
      <c r="H5296" s="10"/>
      <c r="I5296" s="21"/>
      <c r="M5296" s="10"/>
      <c r="N5296" s="10"/>
      <c r="P5296" s="10"/>
      <c r="Q5296" s="22"/>
    </row>
    <row r="5297" customFormat="false" ht="15.75" hidden="false" customHeight="false" outlineLevel="0" collapsed="false">
      <c r="A5297" s="20" t="n">
        <v>46154</v>
      </c>
      <c r="B5297" s="15" t="s">
        <v>491</v>
      </c>
      <c r="C5297" s="15" t="s">
        <v>541</v>
      </c>
      <c r="D5297" s="15" t="s">
        <v>542</v>
      </c>
      <c r="E5297" s="15" t="n">
        <v>2</v>
      </c>
      <c r="H5297" s="10"/>
      <c r="I5297" s="21"/>
      <c r="M5297" s="10"/>
      <c r="N5297" s="10"/>
      <c r="P5297" s="10"/>
      <c r="Q5297" s="22"/>
    </row>
    <row r="5298" customFormat="false" ht="15.75" hidden="false" customHeight="false" outlineLevel="0" collapsed="false">
      <c r="A5298" s="20" t="n">
        <v>46154</v>
      </c>
      <c r="B5298" s="15" t="s">
        <v>491</v>
      </c>
      <c r="C5298" s="15" t="s">
        <v>49</v>
      </c>
      <c r="D5298" s="15" t="s">
        <v>537</v>
      </c>
      <c r="E5298" s="15" t="n">
        <v>1</v>
      </c>
      <c r="H5298" s="10"/>
      <c r="I5298" s="21"/>
      <c r="M5298" s="10"/>
      <c r="N5298" s="10"/>
      <c r="P5298" s="10"/>
      <c r="Q5298" s="22"/>
    </row>
    <row r="5299" customFormat="false" ht="15.75" hidden="false" customHeight="false" outlineLevel="0" collapsed="false">
      <c r="A5299" s="20" t="n">
        <v>46154</v>
      </c>
      <c r="B5299" s="15" t="s">
        <v>491</v>
      </c>
      <c r="C5299" s="15" t="s">
        <v>33</v>
      </c>
      <c r="D5299" s="15" t="s">
        <v>536</v>
      </c>
      <c r="E5299" s="15" t="n">
        <v>5</v>
      </c>
      <c r="H5299" s="10"/>
      <c r="I5299" s="21"/>
      <c r="M5299" s="10"/>
      <c r="N5299" s="10"/>
      <c r="P5299" s="10"/>
      <c r="Q5299" s="22"/>
    </row>
    <row r="5300" customFormat="false" ht="15.75" hidden="false" customHeight="false" outlineLevel="0" collapsed="false">
      <c r="A5300" s="20" t="n">
        <v>46154</v>
      </c>
      <c r="B5300" s="15" t="s">
        <v>491</v>
      </c>
      <c r="C5300" s="15" t="s">
        <v>77</v>
      </c>
      <c r="D5300" s="15" t="s">
        <v>78</v>
      </c>
      <c r="E5300" s="15" t="n">
        <v>3</v>
      </c>
      <c r="H5300" s="10"/>
      <c r="I5300" s="21"/>
      <c r="M5300" s="10"/>
      <c r="N5300" s="10"/>
      <c r="P5300" s="10"/>
      <c r="Q5300" s="22"/>
    </row>
    <row r="5301" customFormat="false" ht="15.75" hidden="false" customHeight="false" outlineLevel="0" collapsed="false">
      <c r="A5301" s="20" t="n">
        <v>46154</v>
      </c>
      <c r="B5301" s="15" t="s">
        <v>491</v>
      </c>
      <c r="C5301" s="15" t="s">
        <v>47</v>
      </c>
      <c r="D5301" s="15" t="s">
        <v>549</v>
      </c>
      <c r="E5301" s="15" t="n">
        <v>1</v>
      </c>
      <c r="H5301" s="10"/>
      <c r="I5301" s="21"/>
      <c r="M5301" s="10"/>
      <c r="N5301" s="10"/>
      <c r="P5301" s="10"/>
      <c r="Q5301" s="22"/>
    </row>
    <row r="5302" customFormat="false" ht="15.75" hidden="false" customHeight="false" outlineLevel="0" collapsed="false">
      <c r="A5302" s="20" t="n">
        <v>46154</v>
      </c>
      <c r="B5302" s="15" t="s">
        <v>491</v>
      </c>
      <c r="C5302" s="15" t="s">
        <v>55</v>
      </c>
      <c r="D5302" s="15" t="s">
        <v>539</v>
      </c>
      <c r="E5302" s="15" t="n">
        <v>1</v>
      </c>
      <c r="H5302" s="10"/>
      <c r="I5302" s="21"/>
      <c r="M5302" s="10"/>
      <c r="N5302" s="10"/>
      <c r="P5302" s="10"/>
      <c r="Q5302" s="22"/>
    </row>
    <row r="5303" customFormat="false" ht="15.75" hidden="false" customHeight="false" outlineLevel="0" collapsed="false">
      <c r="A5303" s="20" t="n">
        <v>46154</v>
      </c>
      <c r="B5303" s="15" t="s">
        <v>491</v>
      </c>
      <c r="C5303" s="15" t="s">
        <v>59</v>
      </c>
      <c r="D5303" s="15" t="s">
        <v>562</v>
      </c>
      <c r="E5303" s="15" t="n">
        <v>1</v>
      </c>
      <c r="H5303" s="10"/>
      <c r="I5303" s="21"/>
      <c r="M5303" s="10"/>
      <c r="N5303" s="10"/>
      <c r="P5303" s="10"/>
      <c r="Q5303" s="22"/>
    </row>
    <row r="5304" customFormat="false" ht="15.75" hidden="false" customHeight="false" outlineLevel="0" collapsed="false">
      <c r="A5304" s="20" t="n">
        <v>46154</v>
      </c>
      <c r="B5304" s="15" t="s">
        <v>491</v>
      </c>
      <c r="C5304" s="15" t="s">
        <v>43</v>
      </c>
      <c r="D5304" s="15" t="s">
        <v>538</v>
      </c>
      <c r="E5304" s="15" t="n">
        <v>1</v>
      </c>
      <c r="H5304" s="10"/>
      <c r="I5304" s="21"/>
      <c r="M5304" s="10"/>
      <c r="N5304" s="10"/>
      <c r="P5304" s="10"/>
      <c r="Q5304" s="22"/>
    </row>
    <row r="5305" customFormat="false" ht="15.75" hidden="false" customHeight="false" outlineLevel="0" collapsed="false">
      <c r="A5305" s="20" t="n">
        <v>46154</v>
      </c>
      <c r="B5305" s="15" t="s">
        <v>491</v>
      </c>
      <c r="C5305" s="15" t="s">
        <v>87</v>
      </c>
      <c r="D5305" s="15" t="s">
        <v>563</v>
      </c>
      <c r="E5305" s="15" t="n">
        <v>1</v>
      </c>
      <c r="H5305" s="10"/>
      <c r="I5305" s="21"/>
      <c r="M5305" s="10"/>
      <c r="N5305" s="10"/>
      <c r="P5305" s="10"/>
      <c r="Q5305" s="22"/>
    </row>
    <row r="5306" customFormat="false" ht="15.75" hidden="false" customHeight="false" outlineLevel="0" collapsed="false">
      <c r="A5306" s="20" t="n">
        <v>46154</v>
      </c>
      <c r="B5306" s="15" t="s">
        <v>491</v>
      </c>
      <c r="C5306" s="15" t="s">
        <v>79</v>
      </c>
      <c r="D5306" s="15" t="s">
        <v>564</v>
      </c>
      <c r="E5306" s="15" t="n">
        <v>1</v>
      </c>
      <c r="H5306" s="10"/>
      <c r="I5306" s="21"/>
      <c r="M5306" s="10"/>
      <c r="N5306" s="10"/>
      <c r="P5306" s="10"/>
      <c r="Q5306" s="22"/>
    </row>
    <row r="5307" customFormat="false" ht="15.75" hidden="false" customHeight="false" outlineLevel="0" collapsed="false">
      <c r="A5307" s="20" t="n">
        <v>46154</v>
      </c>
      <c r="B5307" s="15" t="s">
        <v>496</v>
      </c>
      <c r="C5307" s="15" t="s">
        <v>81</v>
      </c>
      <c r="D5307" s="15" t="s">
        <v>534</v>
      </c>
      <c r="E5307" s="15" t="n">
        <v>7</v>
      </c>
      <c r="H5307" s="10"/>
      <c r="I5307" s="21"/>
      <c r="M5307" s="10"/>
      <c r="N5307" s="10"/>
      <c r="P5307" s="10"/>
      <c r="Q5307" s="22"/>
    </row>
    <row r="5308" customFormat="false" ht="15.75" hidden="false" customHeight="false" outlineLevel="0" collapsed="false">
      <c r="A5308" s="20" t="n">
        <v>46154</v>
      </c>
      <c r="B5308" s="15" t="s">
        <v>496</v>
      </c>
      <c r="C5308" s="15" t="s">
        <v>47</v>
      </c>
      <c r="D5308" s="15" t="s">
        <v>549</v>
      </c>
      <c r="E5308" s="15" t="n">
        <v>4</v>
      </c>
      <c r="H5308" s="10"/>
      <c r="I5308" s="21"/>
      <c r="M5308" s="10"/>
      <c r="N5308" s="10"/>
      <c r="P5308" s="10"/>
      <c r="Q5308" s="22"/>
    </row>
    <row r="5309" customFormat="false" ht="15.75" hidden="false" customHeight="false" outlineLevel="0" collapsed="false">
      <c r="A5309" s="20" t="n">
        <v>46154</v>
      </c>
      <c r="B5309" s="15" t="s">
        <v>496</v>
      </c>
      <c r="C5309" s="15" t="s">
        <v>55</v>
      </c>
      <c r="D5309" s="15" t="s">
        <v>539</v>
      </c>
      <c r="E5309" s="15" t="n">
        <v>2</v>
      </c>
      <c r="H5309" s="10"/>
      <c r="I5309" s="21"/>
      <c r="M5309" s="10"/>
      <c r="N5309" s="10"/>
      <c r="P5309" s="10"/>
      <c r="Q5309" s="22"/>
    </row>
    <row r="5310" customFormat="false" ht="15.75" hidden="false" customHeight="false" outlineLevel="0" collapsed="false">
      <c r="A5310" s="20" t="n">
        <v>46154</v>
      </c>
      <c r="B5310" s="15" t="s">
        <v>496</v>
      </c>
      <c r="C5310" s="15" t="s">
        <v>567</v>
      </c>
      <c r="D5310" s="15" t="s">
        <v>568</v>
      </c>
      <c r="E5310" s="15" t="n">
        <v>3</v>
      </c>
      <c r="H5310" s="10"/>
      <c r="I5310" s="21"/>
      <c r="M5310" s="10"/>
      <c r="N5310" s="10"/>
      <c r="P5310" s="10"/>
      <c r="Q5310" s="22"/>
    </row>
    <row r="5311" customFormat="false" ht="15.75" hidden="false" customHeight="false" outlineLevel="0" collapsed="false">
      <c r="A5311" s="20" t="n">
        <v>46154</v>
      </c>
      <c r="B5311" s="15" t="s">
        <v>496</v>
      </c>
      <c r="C5311" s="15" t="s">
        <v>545</v>
      </c>
      <c r="D5311" s="15" t="s">
        <v>546</v>
      </c>
      <c r="E5311" s="15" t="n">
        <v>3</v>
      </c>
      <c r="H5311" s="10"/>
      <c r="I5311" s="21"/>
      <c r="M5311" s="10"/>
      <c r="N5311" s="10"/>
      <c r="P5311" s="10"/>
      <c r="Q5311" s="22"/>
    </row>
    <row r="5312" customFormat="false" ht="15.75" hidden="false" customHeight="false" outlineLevel="0" collapsed="false">
      <c r="A5312" s="20" t="n">
        <v>46154</v>
      </c>
      <c r="B5312" s="15" t="s">
        <v>496</v>
      </c>
      <c r="C5312" s="15" t="s">
        <v>547</v>
      </c>
      <c r="D5312" s="15" t="s">
        <v>548</v>
      </c>
      <c r="E5312" s="15" t="n">
        <v>1</v>
      </c>
      <c r="H5312" s="10"/>
      <c r="I5312" s="21"/>
      <c r="M5312" s="10"/>
      <c r="N5312" s="10"/>
      <c r="P5312" s="10"/>
      <c r="Q5312" s="22"/>
    </row>
    <row r="5313" customFormat="false" ht="15.75" hidden="false" customHeight="false" outlineLevel="0" collapsed="false">
      <c r="A5313" s="20" t="n">
        <v>46154</v>
      </c>
      <c r="B5313" s="15" t="s">
        <v>496</v>
      </c>
      <c r="C5313" s="15" t="s">
        <v>555</v>
      </c>
      <c r="D5313" s="15" t="s">
        <v>556</v>
      </c>
      <c r="E5313" s="15" t="n">
        <v>4</v>
      </c>
      <c r="H5313" s="10"/>
      <c r="I5313" s="21"/>
      <c r="M5313" s="10"/>
      <c r="N5313" s="10"/>
      <c r="P5313" s="10"/>
      <c r="Q5313" s="22"/>
    </row>
    <row r="5314" customFormat="false" ht="15.75" hidden="false" customHeight="false" outlineLevel="0" collapsed="false">
      <c r="A5314" s="20" t="n">
        <v>46154</v>
      </c>
      <c r="B5314" s="15" t="s">
        <v>496</v>
      </c>
      <c r="C5314" s="15" t="s">
        <v>541</v>
      </c>
      <c r="D5314" s="15" t="s">
        <v>542</v>
      </c>
      <c r="E5314" s="15" t="n">
        <v>4</v>
      </c>
      <c r="H5314" s="10"/>
      <c r="I5314" s="21"/>
      <c r="M5314" s="10"/>
      <c r="N5314" s="10"/>
      <c r="P5314" s="10"/>
      <c r="Q5314" s="22"/>
    </row>
    <row r="5315" customFormat="false" ht="15.75" hidden="false" customHeight="false" outlineLevel="0" collapsed="false">
      <c r="A5315" s="20" t="n">
        <v>46154</v>
      </c>
      <c r="B5315" s="15" t="s">
        <v>496</v>
      </c>
      <c r="C5315" s="15" t="s">
        <v>45</v>
      </c>
      <c r="D5315" s="15" t="s">
        <v>540</v>
      </c>
      <c r="E5315" s="15" t="n">
        <v>1</v>
      </c>
      <c r="H5315" s="10"/>
      <c r="I5315" s="21"/>
      <c r="M5315" s="10"/>
      <c r="N5315" s="10"/>
      <c r="P5315" s="10"/>
      <c r="Q5315" s="22"/>
    </row>
    <row r="5316" customFormat="false" ht="15.75" hidden="false" customHeight="false" outlineLevel="0" collapsed="false">
      <c r="A5316" s="20" t="n">
        <v>46154</v>
      </c>
      <c r="B5316" s="15" t="s">
        <v>496</v>
      </c>
      <c r="C5316" s="15" t="s">
        <v>37</v>
      </c>
      <c r="D5316" s="15" t="s">
        <v>561</v>
      </c>
      <c r="E5316" s="15" t="n">
        <v>1</v>
      </c>
      <c r="H5316" s="10"/>
      <c r="I5316" s="21"/>
      <c r="M5316" s="10"/>
      <c r="N5316" s="10"/>
      <c r="P5316" s="10"/>
      <c r="Q5316" s="22"/>
    </row>
    <row r="5317" customFormat="false" ht="15.75" hidden="false" customHeight="false" outlineLevel="0" collapsed="false">
      <c r="A5317" s="20" t="n">
        <v>46154</v>
      </c>
      <c r="B5317" s="15" t="s">
        <v>496</v>
      </c>
      <c r="C5317" s="15" t="s">
        <v>543</v>
      </c>
      <c r="D5317" s="15" t="s">
        <v>544</v>
      </c>
      <c r="E5317" s="15" t="n">
        <v>4</v>
      </c>
      <c r="H5317" s="10"/>
      <c r="I5317" s="21"/>
      <c r="M5317" s="10"/>
      <c r="N5317" s="10"/>
      <c r="P5317" s="10"/>
      <c r="Q5317" s="22"/>
    </row>
    <row r="5318" customFormat="false" ht="15.75" hidden="false" customHeight="false" outlineLevel="0" collapsed="false">
      <c r="A5318" s="20" t="n">
        <v>46154</v>
      </c>
      <c r="B5318" s="15" t="s">
        <v>496</v>
      </c>
      <c r="C5318" s="15" t="s">
        <v>69</v>
      </c>
      <c r="D5318" s="15" t="s">
        <v>535</v>
      </c>
      <c r="E5318" s="15" t="n">
        <v>2</v>
      </c>
      <c r="H5318" s="10"/>
      <c r="I5318" s="21"/>
      <c r="M5318" s="10"/>
      <c r="N5318" s="10"/>
      <c r="P5318" s="10"/>
      <c r="Q5318" s="22"/>
    </row>
    <row r="5319" customFormat="false" ht="15.75" hidden="false" customHeight="false" outlineLevel="0" collapsed="false">
      <c r="A5319" s="20" t="n">
        <v>46154</v>
      </c>
      <c r="B5319" s="15" t="s">
        <v>496</v>
      </c>
      <c r="C5319" s="15" t="s">
        <v>77</v>
      </c>
      <c r="D5319" s="15" t="s">
        <v>78</v>
      </c>
      <c r="E5319" s="15" t="n">
        <v>2</v>
      </c>
      <c r="H5319" s="10"/>
      <c r="I5319" s="21"/>
      <c r="M5319" s="10"/>
      <c r="N5319" s="10"/>
      <c r="P5319" s="10"/>
      <c r="Q5319" s="22"/>
    </row>
    <row r="5320" customFormat="false" ht="15.75" hidden="false" customHeight="false" outlineLevel="0" collapsed="false">
      <c r="A5320" s="20" t="n">
        <v>46154</v>
      </c>
      <c r="B5320" s="15" t="s">
        <v>496</v>
      </c>
      <c r="C5320" s="15" t="s">
        <v>59</v>
      </c>
      <c r="D5320" s="15" t="s">
        <v>562</v>
      </c>
      <c r="E5320" s="15" t="n">
        <v>2</v>
      </c>
      <c r="H5320" s="10"/>
      <c r="I5320" s="21"/>
      <c r="M5320" s="10"/>
      <c r="N5320" s="10"/>
      <c r="P5320" s="10"/>
      <c r="Q5320" s="22"/>
    </row>
    <row r="5321" customFormat="false" ht="15.75" hidden="false" customHeight="false" outlineLevel="0" collapsed="false">
      <c r="A5321" s="20" t="n">
        <v>46154</v>
      </c>
      <c r="B5321" s="15" t="s">
        <v>496</v>
      </c>
      <c r="C5321" s="15" t="s">
        <v>33</v>
      </c>
      <c r="D5321" s="15" t="s">
        <v>536</v>
      </c>
      <c r="E5321" s="15" t="n">
        <v>2</v>
      </c>
      <c r="H5321" s="10"/>
      <c r="I5321" s="21"/>
      <c r="M5321" s="10"/>
      <c r="N5321" s="10"/>
      <c r="P5321" s="10"/>
      <c r="Q5321" s="22"/>
    </row>
    <row r="5322" customFormat="false" ht="15.75" hidden="false" customHeight="false" outlineLevel="0" collapsed="false">
      <c r="A5322" s="20" t="n">
        <v>46154</v>
      </c>
      <c r="B5322" s="15" t="s">
        <v>496</v>
      </c>
      <c r="C5322" s="15" t="s">
        <v>79</v>
      </c>
      <c r="D5322" s="15" t="s">
        <v>564</v>
      </c>
      <c r="E5322" s="15" t="n">
        <v>1</v>
      </c>
      <c r="H5322" s="10"/>
      <c r="I5322" s="21"/>
      <c r="M5322" s="10"/>
      <c r="N5322" s="10"/>
      <c r="P5322" s="10"/>
      <c r="Q5322" s="22"/>
    </row>
    <row r="5323" customFormat="false" ht="15.75" hidden="false" customHeight="false" outlineLevel="0" collapsed="false">
      <c r="A5323" s="20" t="n">
        <v>46154</v>
      </c>
      <c r="B5323" s="15" t="s">
        <v>496</v>
      </c>
      <c r="C5323" s="15" t="s">
        <v>65</v>
      </c>
      <c r="D5323" s="15" t="s">
        <v>580</v>
      </c>
      <c r="E5323" s="15" t="n">
        <v>1</v>
      </c>
      <c r="H5323" s="10"/>
      <c r="I5323" s="21"/>
      <c r="M5323" s="10"/>
      <c r="N5323" s="10"/>
      <c r="P5323" s="10"/>
      <c r="Q5323" s="22"/>
    </row>
    <row r="5324" customFormat="false" ht="15.75" hidden="false" customHeight="false" outlineLevel="0" collapsed="false">
      <c r="A5324" s="20" t="n">
        <v>46154</v>
      </c>
      <c r="B5324" s="15" t="s">
        <v>205</v>
      </c>
      <c r="C5324" s="15" t="s">
        <v>55</v>
      </c>
      <c r="D5324" s="15" t="s">
        <v>539</v>
      </c>
      <c r="E5324" s="15" t="n">
        <v>3</v>
      </c>
      <c r="H5324" s="10"/>
      <c r="I5324" s="21"/>
      <c r="M5324" s="10"/>
      <c r="N5324" s="10"/>
      <c r="P5324" s="10"/>
      <c r="Q5324" s="22"/>
    </row>
    <row r="5325" customFormat="false" ht="15.75" hidden="false" customHeight="false" outlineLevel="0" collapsed="false">
      <c r="A5325" s="20" t="n">
        <v>46154</v>
      </c>
      <c r="B5325" s="15" t="s">
        <v>205</v>
      </c>
      <c r="C5325" s="15" t="s">
        <v>81</v>
      </c>
      <c r="D5325" s="15" t="s">
        <v>534</v>
      </c>
      <c r="E5325" s="15" t="n">
        <v>1</v>
      </c>
      <c r="H5325" s="10"/>
      <c r="I5325" s="21"/>
      <c r="M5325" s="10"/>
      <c r="N5325" s="10"/>
      <c r="P5325" s="10"/>
      <c r="Q5325" s="22"/>
    </row>
    <row r="5326" customFormat="false" ht="15.75" hidden="false" customHeight="false" outlineLevel="0" collapsed="false">
      <c r="A5326" s="20" t="n">
        <v>46154</v>
      </c>
      <c r="B5326" s="15" t="s">
        <v>205</v>
      </c>
      <c r="C5326" s="15" t="s">
        <v>69</v>
      </c>
      <c r="D5326" s="15" t="s">
        <v>535</v>
      </c>
      <c r="E5326" s="15" t="n">
        <v>6</v>
      </c>
      <c r="H5326" s="10"/>
      <c r="I5326" s="21"/>
      <c r="M5326" s="10"/>
      <c r="N5326" s="10"/>
      <c r="P5326" s="10"/>
      <c r="Q5326" s="22"/>
    </row>
    <row r="5327" customFormat="false" ht="15.75" hidden="false" customHeight="false" outlineLevel="0" collapsed="false">
      <c r="A5327" s="20" t="n">
        <v>46154</v>
      </c>
      <c r="B5327" s="15" t="s">
        <v>205</v>
      </c>
      <c r="C5327" s="15" t="s">
        <v>33</v>
      </c>
      <c r="D5327" s="15" t="s">
        <v>536</v>
      </c>
      <c r="E5327" s="15" t="n">
        <v>6</v>
      </c>
      <c r="H5327" s="10"/>
      <c r="I5327" s="21"/>
      <c r="M5327" s="10"/>
      <c r="N5327" s="10"/>
      <c r="P5327" s="10"/>
      <c r="Q5327" s="22"/>
    </row>
    <row r="5328" customFormat="false" ht="15.75" hidden="false" customHeight="false" outlineLevel="0" collapsed="false">
      <c r="A5328" s="20" t="n">
        <v>46154</v>
      </c>
      <c r="B5328" s="15" t="s">
        <v>504</v>
      </c>
      <c r="C5328" s="15" t="s">
        <v>47</v>
      </c>
      <c r="D5328" s="15" t="s">
        <v>549</v>
      </c>
      <c r="E5328" s="15" t="n">
        <v>6</v>
      </c>
      <c r="H5328" s="10"/>
      <c r="I5328" s="21"/>
      <c r="M5328" s="10"/>
      <c r="N5328" s="10"/>
      <c r="P5328" s="10"/>
      <c r="Q5328" s="22"/>
    </row>
    <row r="5329" customFormat="false" ht="15.75" hidden="false" customHeight="false" outlineLevel="0" collapsed="false">
      <c r="A5329" s="20" t="n">
        <v>46154</v>
      </c>
      <c r="B5329" s="15" t="s">
        <v>504</v>
      </c>
      <c r="C5329" s="15" t="s">
        <v>55</v>
      </c>
      <c r="D5329" s="15" t="s">
        <v>539</v>
      </c>
      <c r="E5329" s="15" t="n">
        <v>12</v>
      </c>
      <c r="H5329" s="10"/>
      <c r="I5329" s="21"/>
      <c r="M5329" s="10"/>
      <c r="N5329" s="10"/>
      <c r="P5329" s="10"/>
      <c r="Q5329" s="22"/>
    </row>
    <row r="5330" customFormat="false" ht="15.75" hidden="false" customHeight="false" outlineLevel="0" collapsed="false">
      <c r="A5330" s="20" t="n">
        <v>46154</v>
      </c>
      <c r="B5330" s="15" t="s">
        <v>504</v>
      </c>
      <c r="C5330" s="15" t="s">
        <v>81</v>
      </c>
      <c r="D5330" s="15" t="s">
        <v>534</v>
      </c>
      <c r="E5330" s="15" t="n">
        <v>18</v>
      </c>
      <c r="H5330" s="10"/>
      <c r="I5330" s="21"/>
      <c r="M5330" s="10"/>
      <c r="N5330" s="10"/>
      <c r="P5330" s="10"/>
      <c r="Q5330" s="22"/>
    </row>
    <row r="5331" customFormat="false" ht="15.75" hidden="false" customHeight="false" outlineLevel="0" collapsed="false">
      <c r="A5331" s="20" t="n">
        <v>46154</v>
      </c>
      <c r="B5331" s="15" t="s">
        <v>504</v>
      </c>
      <c r="C5331" s="15" t="s">
        <v>39</v>
      </c>
      <c r="D5331" s="15" t="s">
        <v>550</v>
      </c>
      <c r="E5331" s="15" t="n">
        <v>2</v>
      </c>
      <c r="H5331" s="10"/>
      <c r="I5331" s="21"/>
      <c r="M5331" s="10"/>
      <c r="N5331" s="10"/>
      <c r="P5331" s="10"/>
      <c r="Q5331" s="22"/>
    </row>
    <row r="5332" customFormat="false" ht="15.75" hidden="false" customHeight="false" outlineLevel="0" collapsed="false">
      <c r="A5332" s="20" t="n">
        <v>46154</v>
      </c>
      <c r="B5332" s="15" t="s">
        <v>504</v>
      </c>
      <c r="C5332" s="15" t="s">
        <v>63</v>
      </c>
      <c r="D5332" s="15" t="s">
        <v>551</v>
      </c>
      <c r="E5332" s="15" t="n">
        <v>2</v>
      </c>
      <c r="H5332" s="10"/>
      <c r="I5332" s="21"/>
      <c r="M5332" s="10"/>
      <c r="N5332" s="10"/>
      <c r="P5332" s="10"/>
      <c r="Q5332" s="22"/>
    </row>
    <row r="5333" customFormat="false" ht="15.75" hidden="false" customHeight="false" outlineLevel="0" collapsed="false">
      <c r="A5333" s="20" t="n">
        <v>46154</v>
      </c>
      <c r="B5333" s="15" t="s">
        <v>504</v>
      </c>
      <c r="C5333" s="15" t="s">
        <v>17</v>
      </c>
      <c r="D5333" s="15" t="s">
        <v>554</v>
      </c>
      <c r="E5333" s="15" t="n">
        <v>2</v>
      </c>
      <c r="H5333" s="10"/>
      <c r="I5333" s="21"/>
      <c r="M5333" s="10"/>
      <c r="N5333" s="10"/>
      <c r="P5333" s="10"/>
      <c r="Q5333" s="22"/>
    </row>
    <row r="5334" customFormat="false" ht="15.75" hidden="false" customHeight="false" outlineLevel="0" collapsed="false">
      <c r="A5334" s="20" t="n">
        <v>46154</v>
      </c>
      <c r="B5334" s="15" t="s">
        <v>505</v>
      </c>
      <c r="C5334" s="15" t="s">
        <v>55</v>
      </c>
      <c r="D5334" s="15" t="s">
        <v>539</v>
      </c>
      <c r="E5334" s="15" t="n">
        <v>6</v>
      </c>
      <c r="H5334" s="10"/>
      <c r="I5334" s="21"/>
      <c r="M5334" s="10"/>
      <c r="N5334" s="10"/>
      <c r="P5334" s="10"/>
      <c r="Q5334" s="22"/>
    </row>
    <row r="5335" customFormat="false" ht="15.75" hidden="false" customHeight="false" outlineLevel="0" collapsed="false">
      <c r="A5335" s="20" t="n">
        <v>46154</v>
      </c>
      <c r="B5335" s="15" t="s">
        <v>505</v>
      </c>
      <c r="C5335" s="15" t="s">
        <v>39</v>
      </c>
      <c r="D5335" s="15" t="s">
        <v>550</v>
      </c>
      <c r="E5335" s="15" t="n">
        <v>1</v>
      </c>
      <c r="H5335" s="10"/>
      <c r="I5335" s="21"/>
      <c r="M5335" s="10"/>
      <c r="N5335" s="10"/>
      <c r="P5335" s="10"/>
      <c r="Q5335" s="22"/>
    </row>
    <row r="5336" customFormat="false" ht="15.75" hidden="false" customHeight="false" outlineLevel="0" collapsed="false">
      <c r="A5336" s="20" t="n">
        <v>46154</v>
      </c>
      <c r="B5336" s="15" t="s">
        <v>505</v>
      </c>
      <c r="C5336" s="15" t="s">
        <v>81</v>
      </c>
      <c r="D5336" s="15" t="s">
        <v>534</v>
      </c>
      <c r="E5336" s="15" t="n">
        <v>9</v>
      </c>
      <c r="H5336" s="10"/>
      <c r="I5336" s="21"/>
      <c r="M5336" s="10"/>
      <c r="N5336" s="10"/>
      <c r="P5336" s="10"/>
      <c r="Q5336" s="22"/>
    </row>
    <row r="5337" customFormat="false" ht="15.75" hidden="false" customHeight="false" outlineLevel="0" collapsed="false">
      <c r="A5337" s="20" t="n">
        <v>46154</v>
      </c>
      <c r="B5337" s="15" t="s">
        <v>505</v>
      </c>
      <c r="C5337" s="15" t="s">
        <v>47</v>
      </c>
      <c r="D5337" s="15" t="s">
        <v>549</v>
      </c>
      <c r="E5337" s="15" t="n">
        <v>3</v>
      </c>
      <c r="H5337" s="10"/>
      <c r="I5337" s="21"/>
      <c r="M5337" s="10"/>
      <c r="N5337" s="10"/>
      <c r="P5337" s="10"/>
      <c r="Q5337" s="22"/>
    </row>
    <row r="5338" customFormat="false" ht="15.75" hidden="false" customHeight="false" outlineLevel="0" collapsed="false">
      <c r="A5338" s="20" t="n">
        <v>46154</v>
      </c>
      <c r="B5338" s="15" t="s">
        <v>505</v>
      </c>
      <c r="C5338" s="15" t="s">
        <v>63</v>
      </c>
      <c r="D5338" s="15" t="s">
        <v>551</v>
      </c>
      <c r="E5338" s="15" t="n">
        <v>1</v>
      </c>
      <c r="H5338" s="10"/>
      <c r="I5338" s="21"/>
      <c r="M5338" s="10"/>
      <c r="N5338" s="10"/>
      <c r="P5338" s="10"/>
      <c r="Q5338" s="22"/>
    </row>
    <row r="5339" customFormat="false" ht="15.75" hidden="false" customHeight="false" outlineLevel="0" collapsed="false">
      <c r="A5339" s="20" t="n">
        <v>46154</v>
      </c>
      <c r="B5339" s="15" t="s">
        <v>505</v>
      </c>
      <c r="C5339" s="15" t="s">
        <v>17</v>
      </c>
      <c r="D5339" s="15" t="s">
        <v>554</v>
      </c>
      <c r="E5339" s="15" t="n">
        <v>1</v>
      </c>
      <c r="H5339" s="10"/>
      <c r="I5339" s="21"/>
      <c r="M5339" s="10"/>
      <c r="N5339" s="10"/>
      <c r="P5339" s="10"/>
      <c r="Q5339" s="22"/>
    </row>
    <row r="5340" customFormat="false" ht="15.75" hidden="false" customHeight="false" outlineLevel="0" collapsed="false">
      <c r="A5340" s="20" t="n">
        <v>46154</v>
      </c>
      <c r="B5340" s="15" t="s">
        <v>508</v>
      </c>
      <c r="C5340" s="15" t="s">
        <v>55</v>
      </c>
      <c r="D5340" s="15" t="s">
        <v>539</v>
      </c>
      <c r="E5340" s="15" t="n">
        <v>5</v>
      </c>
      <c r="H5340" s="10"/>
      <c r="I5340" s="21"/>
      <c r="M5340" s="10"/>
      <c r="N5340" s="10"/>
      <c r="P5340" s="10"/>
      <c r="Q5340" s="22"/>
    </row>
    <row r="5341" customFormat="false" ht="15.75" hidden="false" customHeight="false" outlineLevel="0" collapsed="false">
      <c r="A5341" s="20" t="n">
        <v>46154</v>
      </c>
      <c r="B5341" s="15" t="s">
        <v>508</v>
      </c>
      <c r="C5341" s="15" t="s">
        <v>81</v>
      </c>
      <c r="D5341" s="15" t="s">
        <v>534</v>
      </c>
      <c r="E5341" s="15" t="n">
        <v>9</v>
      </c>
      <c r="H5341" s="10"/>
      <c r="I5341" s="21"/>
      <c r="M5341" s="10"/>
      <c r="N5341" s="10"/>
      <c r="P5341" s="10"/>
      <c r="Q5341" s="22"/>
    </row>
    <row r="5342" customFormat="false" ht="15.75" hidden="false" customHeight="false" outlineLevel="0" collapsed="false">
      <c r="A5342" s="20" t="n">
        <v>46154</v>
      </c>
      <c r="B5342" s="15" t="s">
        <v>508</v>
      </c>
      <c r="C5342" s="15" t="s">
        <v>39</v>
      </c>
      <c r="D5342" s="15" t="s">
        <v>550</v>
      </c>
      <c r="E5342" s="15" t="n">
        <v>2</v>
      </c>
      <c r="H5342" s="10"/>
      <c r="I5342" s="21"/>
      <c r="M5342" s="10"/>
      <c r="N5342" s="10"/>
      <c r="P5342" s="10"/>
      <c r="Q5342" s="22"/>
    </row>
    <row r="5343" customFormat="false" ht="15.75" hidden="false" customHeight="false" outlineLevel="0" collapsed="false">
      <c r="A5343" s="20" t="n">
        <v>46154</v>
      </c>
      <c r="B5343" s="15" t="s">
        <v>508</v>
      </c>
      <c r="C5343" s="15" t="s">
        <v>47</v>
      </c>
      <c r="D5343" s="15" t="s">
        <v>549</v>
      </c>
      <c r="E5343" s="15" t="n">
        <v>2</v>
      </c>
      <c r="H5343" s="10"/>
      <c r="I5343" s="21"/>
      <c r="M5343" s="10"/>
      <c r="N5343" s="10"/>
      <c r="P5343" s="10"/>
      <c r="Q5343" s="22"/>
    </row>
    <row r="5344" customFormat="false" ht="15.75" hidden="false" customHeight="false" outlineLevel="0" collapsed="false">
      <c r="A5344" s="20" t="n">
        <v>46154</v>
      </c>
      <c r="B5344" s="15" t="s">
        <v>508</v>
      </c>
      <c r="C5344" s="15" t="s">
        <v>63</v>
      </c>
      <c r="D5344" s="15" t="s">
        <v>551</v>
      </c>
      <c r="E5344" s="15" t="n">
        <v>1</v>
      </c>
      <c r="H5344" s="10"/>
      <c r="I5344" s="21"/>
      <c r="M5344" s="10"/>
      <c r="N5344" s="10"/>
      <c r="P5344" s="10"/>
      <c r="Q5344" s="22"/>
    </row>
    <row r="5345" customFormat="false" ht="15.75" hidden="false" customHeight="false" outlineLevel="0" collapsed="false">
      <c r="A5345" s="20" t="n">
        <v>46154</v>
      </c>
      <c r="B5345" s="15" t="s">
        <v>518</v>
      </c>
      <c r="C5345" s="15" t="s">
        <v>69</v>
      </c>
      <c r="D5345" s="15" t="s">
        <v>535</v>
      </c>
      <c r="E5345" s="15" t="n">
        <v>6</v>
      </c>
      <c r="H5345" s="10"/>
      <c r="I5345" s="21"/>
      <c r="M5345" s="10"/>
      <c r="N5345" s="10"/>
      <c r="P5345" s="10"/>
      <c r="Q5345" s="22"/>
    </row>
    <row r="5346" customFormat="false" ht="15.75" hidden="false" customHeight="false" outlineLevel="0" collapsed="false">
      <c r="A5346" s="20" t="n">
        <v>46154</v>
      </c>
      <c r="B5346" s="15" t="s">
        <v>518</v>
      </c>
      <c r="C5346" s="15" t="s">
        <v>33</v>
      </c>
      <c r="D5346" s="15" t="s">
        <v>536</v>
      </c>
      <c r="E5346" s="15" t="n">
        <v>6</v>
      </c>
      <c r="H5346" s="10"/>
      <c r="I5346" s="21"/>
      <c r="M5346" s="10"/>
      <c r="N5346" s="10"/>
      <c r="P5346" s="10"/>
      <c r="Q5346" s="22"/>
    </row>
    <row r="5347" customFormat="false" ht="15.75" hidden="false" customHeight="false" outlineLevel="0" collapsed="false">
      <c r="A5347" s="20" t="n">
        <v>46154</v>
      </c>
      <c r="B5347" s="15" t="s">
        <v>518</v>
      </c>
      <c r="C5347" s="15" t="s">
        <v>47</v>
      </c>
      <c r="D5347" s="15" t="s">
        <v>549</v>
      </c>
      <c r="E5347" s="15" t="n">
        <v>2</v>
      </c>
      <c r="H5347" s="10"/>
      <c r="I5347" s="21"/>
      <c r="M5347" s="10"/>
      <c r="N5347" s="10"/>
      <c r="P5347" s="10"/>
      <c r="Q5347" s="22"/>
    </row>
    <row r="5348" customFormat="false" ht="15.75" hidden="false" customHeight="false" outlineLevel="0" collapsed="false">
      <c r="A5348" s="20" t="n">
        <v>46154</v>
      </c>
      <c r="B5348" s="15" t="s">
        <v>518</v>
      </c>
      <c r="C5348" s="15" t="s">
        <v>51</v>
      </c>
      <c r="D5348" s="15" t="s">
        <v>573</v>
      </c>
      <c r="E5348" s="15" t="n">
        <v>1</v>
      </c>
      <c r="H5348" s="10"/>
      <c r="I5348" s="21"/>
      <c r="M5348" s="10"/>
      <c r="N5348" s="10"/>
      <c r="P5348" s="10"/>
      <c r="Q5348" s="22"/>
    </row>
    <row r="5349" customFormat="false" ht="15.75" hidden="false" customHeight="false" outlineLevel="0" collapsed="false">
      <c r="A5349" s="20" t="n">
        <v>46154</v>
      </c>
      <c r="B5349" s="15" t="s">
        <v>518</v>
      </c>
      <c r="C5349" s="15" t="s">
        <v>55</v>
      </c>
      <c r="D5349" s="15" t="s">
        <v>539</v>
      </c>
      <c r="E5349" s="15" t="n">
        <v>2</v>
      </c>
      <c r="H5349" s="10"/>
      <c r="I5349" s="21"/>
      <c r="M5349" s="10"/>
      <c r="N5349" s="10"/>
      <c r="P5349" s="10"/>
      <c r="Q5349" s="22"/>
    </row>
    <row r="5350" customFormat="false" ht="15.75" hidden="false" customHeight="false" outlineLevel="0" collapsed="false">
      <c r="A5350" s="20" t="n">
        <v>46154</v>
      </c>
      <c r="B5350" s="15" t="s">
        <v>518</v>
      </c>
      <c r="C5350" s="15" t="s">
        <v>37</v>
      </c>
      <c r="D5350" s="15" t="s">
        <v>561</v>
      </c>
      <c r="E5350" s="15" t="n">
        <v>2</v>
      </c>
      <c r="H5350" s="10"/>
      <c r="I5350" s="21"/>
      <c r="M5350" s="10"/>
      <c r="N5350" s="10"/>
      <c r="P5350" s="10"/>
      <c r="Q5350" s="22"/>
    </row>
    <row r="5351" customFormat="false" ht="15.75" hidden="false" customHeight="false" outlineLevel="0" collapsed="false">
      <c r="A5351" s="20" t="n">
        <v>46154</v>
      </c>
      <c r="B5351" s="15" t="s">
        <v>518</v>
      </c>
      <c r="C5351" s="15" t="s">
        <v>547</v>
      </c>
      <c r="D5351" s="15" t="s">
        <v>548</v>
      </c>
      <c r="E5351" s="15" t="n">
        <v>1</v>
      </c>
      <c r="H5351" s="10"/>
      <c r="I5351" s="21"/>
      <c r="M5351" s="10"/>
      <c r="N5351" s="10"/>
      <c r="P5351" s="10"/>
      <c r="Q5351" s="22"/>
    </row>
    <row r="5352" customFormat="false" ht="15.75" hidden="false" customHeight="false" outlineLevel="0" collapsed="false">
      <c r="A5352" s="20" t="n">
        <v>46154</v>
      </c>
      <c r="B5352" s="15" t="s">
        <v>518</v>
      </c>
      <c r="C5352" s="15" t="s">
        <v>81</v>
      </c>
      <c r="D5352" s="15" t="s">
        <v>534</v>
      </c>
      <c r="E5352" s="15" t="n">
        <v>1</v>
      </c>
      <c r="H5352" s="10"/>
      <c r="I5352" s="21"/>
      <c r="M5352" s="10"/>
      <c r="N5352" s="10"/>
      <c r="P5352" s="10"/>
      <c r="Q5352" s="22"/>
    </row>
    <row r="5353" customFormat="false" ht="15.75" hidden="false" customHeight="false" outlineLevel="0" collapsed="false">
      <c r="A5353" s="20" t="n">
        <v>46155</v>
      </c>
      <c r="B5353" s="15" t="s">
        <v>453</v>
      </c>
      <c r="C5353" s="15" t="s">
        <v>47</v>
      </c>
      <c r="D5353" s="15" t="s">
        <v>549</v>
      </c>
      <c r="E5353" s="15" t="n">
        <v>4</v>
      </c>
      <c r="H5353" s="10"/>
      <c r="I5353" s="21"/>
      <c r="M5353" s="10"/>
      <c r="N5353" s="10"/>
      <c r="P5353" s="10"/>
      <c r="Q5353" s="22"/>
    </row>
    <row r="5354" customFormat="false" ht="15.75" hidden="false" customHeight="false" outlineLevel="0" collapsed="false">
      <c r="A5354" s="20" t="n">
        <v>46155</v>
      </c>
      <c r="B5354" s="15" t="s">
        <v>453</v>
      </c>
      <c r="C5354" s="15" t="s">
        <v>55</v>
      </c>
      <c r="D5354" s="15" t="s">
        <v>539</v>
      </c>
      <c r="E5354" s="15" t="n">
        <v>8</v>
      </c>
      <c r="H5354" s="10"/>
      <c r="I5354" s="21"/>
      <c r="M5354" s="10"/>
      <c r="N5354" s="10"/>
      <c r="P5354" s="10"/>
      <c r="Q5354" s="22"/>
    </row>
    <row r="5355" customFormat="false" ht="15.75" hidden="false" customHeight="false" outlineLevel="0" collapsed="false">
      <c r="A5355" s="20" t="n">
        <v>46155</v>
      </c>
      <c r="B5355" s="15" t="s">
        <v>453</v>
      </c>
      <c r="C5355" s="15" t="s">
        <v>81</v>
      </c>
      <c r="D5355" s="15" t="s">
        <v>534</v>
      </c>
      <c r="E5355" s="15" t="n">
        <v>16</v>
      </c>
      <c r="H5355" s="10"/>
      <c r="I5355" s="21"/>
      <c r="M5355" s="10"/>
      <c r="N5355" s="10"/>
      <c r="P5355" s="10"/>
      <c r="Q5355" s="22"/>
    </row>
    <row r="5356" customFormat="false" ht="15.75" hidden="false" customHeight="false" outlineLevel="0" collapsed="false">
      <c r="A5356" s="20" t="n">
        <v>46155</v>
      </c>
      <c r="B5356" s="15" t="s">
        <v>453</v>
      </c>
      <c r="C5356" s="15" t="s">
        <v>39</v>
      </c>
      <c r="D5356" s="15" t="s">
        <v>550</v>
      </c>
      <c r="E5356" s="15" t="n">
        <v>4</v>
      </c>
      <c r="H5356" s="10"/>
      <c r="I5356" s="21"/>
      <c r="M5356" s="10"/>
      <c r="N5356" s="10"/>
      <c r="P5356" s="10"/>
      <c r="Q5356" s="22"/>
    </row>
    <row r="5357" customFormat="false" ht="15.75" hidden="false" customHeight="false" outlineLevel="0" collapsed="false">
      <c r="A5357" s="20" t="n">
        <v>46155</v>
      </c>
      <c r="B5357" s="15" t="s">
        <v>453</v>
      </c>
      <c r="C5357" s="15" t="s">
        <v>63</v>
      </c>
      <c r="D5357" s="15" t="s">
        <v>551</v>
      </c>
      <c r="E5357" s="15" t="n">
        <v>2</v>
      </c>
      <c r="H5357" s="10"/>
      <c r="I5357" s="21"/>
      <c r="M5357" s="10"/>
      <c r="N5357" s="10"/>
      <c r="P5357" s="10"/>
      <c r="Q5357" s="22"/>
    </row>
    <row r="5358" customFormat="false" ht="15.75" hidden="false" customHeight="false" outlineLevel="0" collapsed="false">
      <c r="A5358" s="20" t="n">
        <v>46155</v>
      </c>
      <c r="B5358" s="15" t="s">
        <v>453</v>
      </c>
      <c r="C5358" s="15" t="s">
        <v>35</v>
      </c>
      <c r="D5358" s="15" t="s">
        <v>552</v>
      </c>
      <c r="E5358" s="15" t="n">
        <v>4</v>
      </c>
      <c r="H5358" s="10"/>
      <c r="I5358" s="21"/>
      <c r="M5358" s="10"/>
      <c r="N5358" s="10"/>
      <c r="P5358" s="10"/>
      <c r="Q5358" s="22"/>
    </row>
    <row r="5359" customFormat="false" ht="15.75" hidden="false" customHeight="false" outlineLevel="0" collapsed="false">
      <c r="A5359" s="20" t="n">
        <v>46155</v>
      </c>
      <c r="B5359" s="15" t="s">
        <v>473</v>
      </c>
      <c r="C5359" s="15" t="s">
        <v>555</v>
      </c>
      <c r="D5359" s="15" t="s">
        <v>556</v>
      </c>
      <c r="E5359" s="15" t="n">
        <v>4</v>
      </c>
      <c r="H5359" s="10"/>
      <c r="I5359" s="21"/>
      <c r="M5359" s="10"/>
      <c r="N5359" s="10"/>
      <c r="P5359" s="10"/>
      <c r="Q5359" s="22"/>
    </row>
    <row r="5360" customFormat="false" ht="15.75" hidden="false" customHeight="false" outlineLevel="0" collapsed="false">
      <c r="A5360" s="20" t="n">
        <v>46155</v>
      </c>
      <c r="B5360" s="15" t="s">
        <v>473</v>
      </c>
      <c r="C5360" s="15" t="s">
        <v>11</v>
      </c>
      <c r="D5360" s="15" t="s">
        <v>572</v>
      </c>
      <c r="E5360" s="15" t="n">
        <v>4</v>
      </c>
      <c r="H5360" s="10"/>
      <c r="I5360" s="21"/>
      <c r="M5360" s="10"/>
      <c r="N5360" s="10"/>
      <c r="P5360" s="10"/>
      <c r="Q5360" s="22"/>
    </row>
    <row r="5361" customFormat="false" ht="15.75" hidden="false" customHeight="false" outlineLevel="0" collapsed="false">
      <c r="A5361" s="20" t="n">
        <v>46155</v>
      </c>
      <c r="B5361" s="15" t="s">
        <v>473</v>
      </c>
      <c r="C5361" s="15" t="s">
        <v>543</v>
      </c>
      <c r="D5361" s="15" t="s">
        <v>544</v>
      </c>
      <c r="E5361" s="15" t="n">
        <v>4</v>
      </c>
      <c r="H5361" s="10"/>
      <c r="I5361" s="21"/>
      <c r="M5361" s="10"/>
      <c r="N5361" s="10"/>
      <c r="P5361" s="10"/>
      <c r="Q5361" s="22"/>
    </row>
    <row r="5362" customFormat="false" ht="15.75" hidden="false" customHeight="false" outlineLevel="0" collapsed="false">
      <c r="A5362" s="20" t="n">
        <v>46155</v>
      </c>
      <c r="B5362" s="15" t="s">
        <v>473</v>
      </c>
      <c r="C5362" s="15" t="s">
        <v>91</v>
      </c>
      <c r="D5362" s="15" t="s">
        <v>91</v>
      </c>
      <c r="E5362" s="15" t="n">
        <v>4</v>
      </c>
      <c r="H5362" s="10"/>
      <c r="I5362" s="21"/>
      <c r="M5362" s="10"/>
      <c r="N5362" s="10"/>
      <c r="P5362" s="10"/>
      <c r="Q5362" s="22"/>
    </row>
    <row r="5363" customFormat="false" ht="15.75" hidden="false" customHeight="false" outlineLevel="0" collapsed="false">
      <c r="A5363" s="20" t="n">
        <v>46155</v>
      </c>
      <c r="B5363" s="15" t="s">
        <v>473</v>
      </c>
      <c r="C5363" s="15" t="s">
        <v>25</v>
      </c>
      <c r="D5363" s="15" t="s">
        <v>26</v>
      </c>
      <c r="E5363" s="15" t="n">
        <v>4</v>
      </c>
      <c r="H5363" s="10"/>
      <c r="I5363" s="21"/>
      <c r="M5363" s="10"/>
      <c r="N5363" s="10"/>
      <c r="P5363" s="10"/>
      <c r="Q5363" s="22"/>
    </row>
    <row r="5364" customFormat="false" ht="15.75" hidden="false" customHeight="false" outlineLevel="0" collapsed="false">
      <c r="A5364" s="20" t="n">
        <v>46155</v>
      </c>
      <c r="B5364" s="15" t="s">
        <v>487</v>
      </c>
      <c r="C5364" s="15" t="s">
        <v>55</v>
      </c>
      <c r="D5364" s="15" t="s">
        <v>539</v>
      </c>
      <c r="E5364" s="15" t="n">
        <v>1</v>
      </c>
      <c r="H5364" s="10"/>
      <c r="I5364" s="21"/>
      <c r="M5364" s="10"/>
      <c r="N5364" s="10"/>
      <c r="P5364" s="10"/>
      <c r="Q5364" s="22"/>
    </row>
    <row r="5365" customFormat="false" ht="15.75" hidden="false" customHeight="false" outlineLevel="0" collapsed="false">
      <c r="A5365" s="20" t="n">
        <v>46155</v>
      </c>
      <c r="B5365" s="15" t="s">
        <v>487</v>
      </c>
      <c r="C5365" s="15" t="s">
        <v>81</v>
      </c>
      <c r="D5365" s="15" t="s">
        <v>534</v>
      </c>
      <c r="E5365" s="15" t="n">
        <v>9</v>
      </c>
      <c r="H5365" s="10"/>
      <c r="I5365" s="21"/>
      <c r="M5365" s="10"/>
      <c r="N5365" s="10"/>
      <c r="P5365" s="10"/>
      <c r="Q5365" s="22"/>
    </row>
    <row r="5366" customFormat="false" ht="15.75" hidden="false" customHeight="false" outlineLevel="0" collapsed="false">
      <c r="A5366" s="20" t="n">
        <v>46155</v>
      </c>
      <c r="B5366" s="15" t="s">
        <v>487</v>
      </c>
      <c r="C5366" s="15" t="s">
        <v>555</v>
      </c>
      <c r="D5366" s="15" t="s">
        <v>556</v>
      </c>
      <c r="E5366" s="15" t="n">
        <v>1</v>
      </c>
      <c r="H5366" s="10"/>
      <c r="I5366" s="21"/>
      <c r="M5366" s="10"/>
      <c r="N5366" s="10"/>
      <c r="P5366" s="10"/>
      <c r="Q5366" s="22"/>
    </row>
    <row r="5367" customFormat="false" ht="15.75" hidden="false" customHeight="false" outlineLevel="0" collapsed="false">
      <c r="A5367" s="20" t="n">
        <v>46155</v>
      </c>
      <c r="B5367" s="15" t="s">
        <v>487</v>
      </c>
      <c r="C5367" s="15" t="s">
        <v>570</v>
      </c>
      <c r="D5367" s="15" t="s">
        <v>571</v>
      </c>
      <c r="E5367" s="15" t="n">
        <v>1</v>
      </c>
      <c r="H5367" s="10"/>
      <c r="I5367" s="21"/>
      <c r="M5367" s="10"/>
      <c r="N5367" s="10"/>
      <c r="P5367" s="10"/>
      <c r="Q5367" s="22"/>
    </row>
    <row r="5368" customFormat="false" ht="15.75" hidden="false" customHeight="false" outlineLevel="0" collapsed="false">
      <c r="A5368" s="20" t="n">
        <v>46155</v>
      </c>
      <c r="B5368" s="15" t="s">
        <v>487</v>
      </c>
      <c r="C5368" s="15" t="s">
        <v>25</v>
      </c>
      <c r="D5368" s="15" t="s">
        <v>26</v>
      </c>
      <c r="E5368" s="15" t="n">
        <v>1</v>
      </c>
      <c r="H5368" s="10"/>
      <c r="I5368" s="21"/>
      <c r="M5368" s="10"/>
      <c r="N5368" s="10"/>
      <c r="P5368" s="10"/>
      <c r="Q5368" s="22"/>
    </row>
    <row r="5369" customFormat="false" ht="15.75" hidden="false" customHeight="false" outlineLevel="0" collapsed="false">
      <c r="A5369" s="20" t="n">
        <v>46155</v>
      </c>
      <c r="B5369" s="15" t="s">
        <v>487</v>
      </c>
      <c r="C5369" s="15" t="s">
        <v>91</v>
      </c>
      <c r="D5369" s="15" t="s">
        <v>91</v>
      </c>
      <c r="E5369" s="15" t="n">
        <v>2</v>
      </c>
      <c r="H5369" s="10"/>
      <c r="I5369" s="21"/>
      <c r="M5369" s="10"/>
      <c r="N5369" s="10"/>
      <c r="P5369" s="10"/>
      <c r="Q5369" s="22"/>
    </row>
    <row r="5370" customFormat="false" ht="15.75" hidden="false" customHeight="false" outlineLevel="0" collapsed="false">
      <c r="A5370" s="20" t="n">
        <v>46155</v>
      </c>
      <c r="B5370" s="15" t="s">
        <v>487</v>
      </c>
      <c r="C5370" s="15" t="s">
        <v>543</v>
      </c>
      <c r="D5370" s="15" t="s">
        <v>544</v>
      </c>
      <c r="E5370" s="15" t="n">
        <v>3</v>
      </c>
      <c r="H5370" s="10"/>
      <c r="I5370" s="21"/>
      <c r="M5370" s="10"/>
      <c r="N5370" s="10"/>
      <c r="P5370" s="10"/>
      <c r="Q5370" s="22"/>
    </row>
    <row r="5371" customFormat="false" ht="15.75" hidden="false" customHeight="false" outlineLevel="0" collapsed="false">
      <c r="A5371" s="20" t="n">
        <v>46155</v>
      </c>
      <c r="B5371" s="15" t="s">
        <v>487</v>
      </c>
      <c r="C5371" s="15" t="s">
        <v>545</v>
      </c>
      <c r="D5371" s="15" t="s">
        <v>546</v>
      </c>
      <c r="E5371" s="15" t="n">
        <v>1</v>
      </c>
      <c r="H5371" s="10"/>
      <c r="I5371" s="21"/>
      <c r="M5371" s="10"/>
      <c r="N5371" s="10"/>
      <c r="P5371" s="10"/>
      <c r="Q5371" s="22"/>
    </row>
    <row r="5372" customFormat="false" ht="15.75" hidden="false" customHeight="false" outlineLevel="0" collapsed="false">
      <c r="A5372" s="20" t="n">
        <v>46155</v>
      </c>
      <c r="B5372" s="15" t="s">
        <v>487</v>
      </c>
      <c r="C5372" s="15" t="s">
        <v>69</v>
      </c>
      <c r="D5372" s="15" t="s">
        <v>535</v>
      </c>
      <c r="E5372" s="15" t="n">
        <v>3</v>
      </c>
      <c r="H5372" s="10"/>
      <c r="I5372" s="21"/>
      <c r="M5372" s="10"/>
      <c r="N5372" s="10"/>
      <c r="P5372" s="10"/>
      <c r="Q5372" s="22"/>
    </row>
    <row r="5373" customFormat="false" ht="15.75" hidden="false" customHeight="false" outlineLevel="0" collapsed="false">
      <c r="A5373" s="20" t="n">
        <v>46155</v>
      </c>
      <c r="B5373" s="15" t="s">
        <v>487</v>
      </c>
      <c r="C5373" s="15" t="s">
        <v>77</v>
      </c>
      <c r="D5373" s="15" t="s">
        <v>78</v>
      </c>
      <c r="E5373" s="15" t="n">
        <v>3</v>
      </c>
      <c r="H5373" s="10"/>
      <c r="I5373" s="21"/>
      <c r="M5373" s="10"/>
      <c r="N5373" s="10"/>
      <c r="P5373" s="10"/>
      <c r="Q5373" s="22"/>
    </row>
    <row r="5374" customFormat="false" ht="15.75" hidden="false" customHeight="false" outlineLevel="0" collapsed="false">
      <c r="A5374" s="20" t="n">
        <v>46155</v>
      </c>
      <c r="B5374" s="15" t="s">
        <v>487</v>
      </c>
      <c r="C5374" s="15" t="s">
        <v>11</v>
      </c>
      <c r="D5374" s="15" t="s">
        <v>572</v>
      </c>
      <c r="E5374" s="15" t="n">
        <v>1</v>
      </c>
      <c r="H5374" s="10"/>
      <c r="I5374" s="21"/>
      <c r="M5374" s="10"/>
      <c r="N5374" s="10"/>
      <c r="P5374" s="10"/>
      <c r="Q5374" s="22"/>
    </row>
    <row r="5375" customFormat="false" ht="15.75" hidden="false" customHeight="false" outlineLevel="0" collapsed="false">
      <c r="A5375" s="20" t="n">
        <v>46155</v>
      </c>
      <c r="B5375" s="15" t="s">
        <v>487</v>
      </c>
      <c r="C5375" s="15" t="s">
        <v>33</v>
      </c>
      <c r="D5375" s="15" t="s">
        <v>536</v>
      </c>
      <c r="E5375" s="15" t="n">
        <v>3</v>
      </c>
      <c r="H5375" s="10"/>
      <c r="I5375" s="21"/>
      <c r="M5375" s="10"/>
      <c r="N5375" s="10"/>
      <c r="P5375" s="10"/>
      <c r="Q5375" s="22"/>
    </row>
    <row r="5376" customFormat="false" ht="15.75" hidden="false" customHeight="false" outlineLevel="0" collapsed="false">
      <c r="A5376" s="20" t="n">
        <v>46155</v>
      </c>
      <c r="B5376" s="15" t="s">
        <v>487</v>
      </c>
      <c r="C5376" s="15" t="s">
        <v>59</v>
      </c>
      <c r="D5376" s="15" t="s">
        <v>562</v>
      </c>
      <c r="E5376" s="15" t="n">
        <v>1</v>
      </c>
      <c r="H5376" s="10"/>
      <c r="I5376" s="21"/>
      <c r="M5376" s="10"/>
      <c r="N5376" s="10"/>
      <c r="P5376" s="10"/>
      <c r="Q5376" s="22"/>
    </row>
    <row r="5377" customFormat="false" ht="15.75" hidden="false" customHeight="false" outlineLevel="0" collapsed="false">
      <c r="A5377" s="20" t="n">
        <v>46155</v>
      </c>
      <c r="B5377" s="15" t="s">
        <v>487</v>
      </c>
      <c r="C5377" s="15" t="s">
        <v>75</v>
      </c>
      <c r="D5377" s="15" t="s">
        <v>560</v>
      </c>
      <c r="E5377" s="15" t="n">
        <v>1</v>
      </c>
      <c r="H5377" s="10"/>
      <c r="I5377" s="21"/>
      <c r="M5377" s="10"/>
      <c r="N5377" s="10"/>
      <c r="P5377" s="10"/>
      <c r="Q5377" s="22"/>
    </row>
    <row r="5378" customFormat="false" ht="15.75" hidden="false" customHeight="false" outlineLevel="0" collapsed="false">
      <c r="A5378" s="20" t="n">
        <v>46155</v>
      </c>
      <c r="B5378" s="15" t="s">
        <v>487</v>
      </c>
      <c r="C5378" s="15" t="s">
        <v>79</v>
      </c>
      <c r="D5378" s="15" t="s">
        <v>564</v>
      </c>
      <c r="E5378" s="15" t="n">
        <v>2</v>
      </c>
      <c r="H5378" s="10"/>
      <c r="I5378" s="21"/>
      <c r="M5378" s="10"/>
      <c r="N5378" s="10"/>
      <c r="P5378" s="10"/>
      <c r="Q5378" s="22"/>
    </row>
    <row r="5379" customFormat="false" ht="15.75" hidden="false" customHeight="false" outlineLevel="0" collapsed="false">
      <c r="A5379" s="20" t="n">
        <v>46155</v>
      </c>
      <c r="B5379" s="15" t="s">
        <v>496</v>
      </c>
      <c r="C5379" s="15" t="s">
        <v>81</v>
      </c>
      <c r="D5379" s="15" t="s">
        <v>534</v>
      </c>
      <c r="E5379" s="15" t="n">
        <v>7</v>
      </c>
      <c r="H5379" s="10"/>
      <c r="I5379" s="21"/>
      <c r="M5379" s="10"/>
      <c r="N5379" s="10"/>
      <c r="P5379" s="10"/>
      <c r="Q5379" s="22"/>
    </row>
    <row r="5380" customFormat="false" ht="15.75" hidden="false" customHeight="false" outlineLevel="0" collapsed="false">
      <c r="A5380" s="20" t="n">
        <v>46155</v>
      </c>
      <c r="B5380" s="15" t="s">
        <v>496</v>
      </c>
      <c r="C5380" s="15" t="s">
        <v>47</v>
      </c>
      <c r="D5380" s="15" t="s">
        <v>549</v>
      </c>
      <c r="E5380" s="15" t="n">
        <v>4</v>
      </c>
      <c r="H5380" s="10"/>
      <c r="I5380" s="21"/>
      <c r="M5380" s="10"/>
      <c r="N5380" s="10"/>
      <c r="P5380" s="10"/>
      <c r="Q5380" s="22"/>
    </row>
    <row r="5381" customFormat="false" ht="15.75" hidden="false" customHeight="false" outlineLevel="0" collapsed="false">
      <c r="A5381" s="20" t="n">
        <v>46155</v>
      </c>
      <c r="B5381" s="15" t="s">
        <v>496</v>
      </c>
      <c r="C5381" s="15" t="s">
        <v>55</v>
      </c>
      <c r="D5381" s="15" t="s">
        <v>539</v>
      </c>
      <c r="E5381" s="15" t="n">
        <v>2</v>
      </c>
      <c r="H5381" s="10"/>
      <c r="I5381" s="21"/>
      <c r="M5381" s="10"/>
      <c r="N5381" s="10"/>
      <c r="P5381" s="10"/>
      <c r="Q5381" s="22"/>
    </row>
    <row r="5382" customFormat="false" ht="15.75" hidden="false" customHeight="false" outlineLevel="0" collapsed="false">
      <c r="A5382" s="20" t="n">
        <v>46155</v>
      </c>
      <c r="B5382" s="15" t="s">
        <v>496</v>
      </c>
      <c r="C5382" s="15" t="s">
        <v>567</v>
      </c>
      <c r="D5382" s="15" t="s">
        <v>568</v>
      </c>
      <c r="E5382" s="15" t="n">
        <v>3</v>
      </c>
      <c r="H5382" s="10"/>
      <c r="I5382" s="21"/>
      <c r="M5382" s="10"/>
      <c r="N5382" s="10"/>
      <c r="P5382" s="10"/>
      <c r="Q5382" s="22"/>
    </row>
    <row r="5383" customFormat="false" ht="15.75" hidden="false" customHeight="false" outlineLevel="0" collapsed="false">
      <c r="A5383" s="20" t="n">
        <v>46155</v>
      </c>
      <c r="B5383" s="15" t="s">
        <v>496</v>
      </c>
      <c r="C5383" s="15" t="s">
        <v>545</v>
      </c>
      <c r="D5383" s="15" t="s">
        <v>546</v>
      </c>
      <c r="E5383" s="15" t="n">
        <v>3</v>
      </c>
      <c r="H5383" s="10"/>
      <c r="I5383" s="21"/>
      <c r="M5383" s="10"/>
      <c r="N5383" s="10"/>
      <c r="P5383" s="10"/>
      <c r="Q5383" s="22"/>
    </row>
    <row r="5384" customFormat="false" ht="15.75" hidden="false" customHeight="false" outlineLevel="0" collapsed="false">
      <c r="A5384" s="20" t="n">
        <v>46155</v>
      </c>
      <c r="B5384" s="15" t="s">
        <v>496</v>
      </c>
      <c r="C5384" s="15" t="s">
        <v>547</v>
      </c>
      <c r="D5384" s="15" t="s">
        <v>548</v>
      </c>
      <c r="E5384" s="15" t="n">
        <v>1</v>
      </c>
      <c r="H5384" s="10"/>
      <c r="I5384" s="21"/>
      <c r="M5384" s="10"/>
      <c r="N5384" s="10"/>
      <c r="P5384" s="10"/>
      <c r="Q5384" s="22"/>
    </row>
    <row r="5385" customFormat="false" ht="15.75" hidden="false" customHeight="false" outlineLevel="0" collapsed="false">
      <c r="A5385" s="20" t="n">
        <v>46155</v>
      </c>
      <c r="B5385" s="15" t="s">
        <v>496</v>
      </c>
      <c r="C5385" s="15" t="s">
        <v>555</v>
      </c>
      <c r="D5385" s="15" t="s">
        <v>556</v>
      </c>
      <c r="E5385" s="15" t="n">
        <v>4</v>
      </c>
      <c r="H5385" s="10"/>
      <c r="I5385" s="21"/>
      <c r="M5385" s="10"/>
      <c r="N5385" s="10"/>
      <c r="P5385" s="10"/>
      <c r="Q5385" s="22"/>
    </row>
    <row r="5386" customFormat="false" ht="15.75" hidden="false" customHeight="false" outlineLevel="0" collapsed="false">
      <c r="A5386" s="20" t="n">
        <v>46155</v>
      </c>
      <c r="B5386" s="15" t="s">
        <v>496</v>
      </c>
      <c r="C5386" s="15" t="s">
        <v>541</v>
      </c>
      <c r="D5386" s="15" t="s">
        <v>542</v>
      </c>
      <c r="E5386" s="15" t="n">
        <v>4</v>
      </c>
      <c r="H5386" s="10"/>
      <c r="I5386" s="21"/>
      <c r="M5386" s="10"/>
      <c r="N5386" s="10"/>
      <c r="P5386" s="10"/>
      <c r="Q5386" s="22"/>
    </row>
    <row r="5387" customFormat="false" ht="15.75" hidden="false" customHeight="false" outlineLevel="0" collapsed="false">
      <c r="A5387" s="20" t="n">
        <v>46155</v>
      </c>
      <c r="B5387" s="15" t="s">
        <v>496</v>
      </c>
      <c r="C5387" s="15" t="s">
        <v>45</v>
      </c>
      <c r="D5387" s="15" t="s">
        <v>540</v>
      </c>
      <c r="E5387" s="15" t="n">
        <v>1</v>
      </c>
      <c r="H5387" s="10"/>
      <c r="I5387" s="21"/>
      <c r="M5387" s="10"/>
      <c r="N5387" s="10"/>
      <c r="P5387" s="10"/>
      <c r="Q5387" s="22"/>
    </row>
    <row r="5388" customFormat="false" ht="15.75" hidden="false" customHeight="false" outlineLevel="0" collapsed="false">
      <c r="A5388" s="20" t="n">
        <v>46155</v>
      </c>
      <c r="B5388" s="15" t="s">
        <v>496</v>
      </c>
      <c r="C5388" s="15" t="s">
        <v>37</v>
      </c>
      <c r="D5388" s="15" t="s">
        <v>561</v>
      </c>
      <c r="E5388" s="15" t="n">
        <v>1</v>
      </c>
      <c r="H5388" s="10"/>
      <c r="I5388" s="21"/>
      <c r="M5388" s="10"/>
      <c r="N5388" s="10"/>
      <c r="P5388" s="10"/>
      <c r="Q5388" s="22"/>
    </row>
    <row r="5389" customFormat="false" ht="15.75" hidden="false" customHeight="false" outlineLevel="0" collapsed="false">
      <c r="A5389" s="20" t="n">
        <v>46155</v>
      </c>
      <c r="B5389" s="15" t="s">
        <v>496</v>
      </c>
      <c r="C5389" s="15" t="s">
        <v>543</v>
      </c>
      <c r="D5389" s="15" t="s">
        <v>544</v>
      </c>
      <c r="E5389" s="15" t="n">
        <v>4</v>
      </c>
      <c r="H5389" s="10"/>
      <c r="I5389" s="21"/>
      <c r="M5389" s="10"/>
      <c r="N5389" s="10"/>
      <c r="P5389" s="10"/>
      <c r="Q5389" s="22"/>
    </row>
    <row r="5390" customFormat="false" ht="15.75" hidden="false" customHeight="false" outlineLevel="0" collapsed="false">
      <c r="A5390" s="20" t="n">
        <v>46155</v>
      </c>
      <c r="B5390" s="15" t="s">
        <v>496</v>
      </c>
      <c r="C5390" s="15" t="s">
        <v>69</v>
      </c>
      <c r="D5390" s="15" t="s">
        <v>535</v>
      </c>
      <c r="E5390" s="15" t="n">
        <v>2</v>
      </c>
      <c r="H5390" s="10"/>
      <c r="I5390" s="21"/>
      <c r="M5390" s="10"/>
      <c r="N5390" s="10"/>
      <c r="P5390" s="10"/>
      <c r="Q5390" s="22"/>
    </row>
    <row r="5391" customFormat="false" ht="15.75" hidden="false" customHeight="false" outlineLevel="0" collapsed="false">
      <c r="A5391" s="20" t="n">
        <v>46155</v>
      </c>
      <c r="B5391" s="15" t="s">
        <v>496</v>
      </c>
      <c r="C5391" s="15" t="s">
        <v>77</v>
      </c>
      <c r="D5391" s="15" t="s">
        <v>78</v>
      </c>
      <c r="E5391" s="15" t="n">
        <v>2</v>
      </c>
      <c r="H5391" s="10"/>
      <c r="I5391" s="21"/>
      <c r="M5391" s="10"/>
      <c r="N5391" s="10"/>
      <c r="P5391" s="10"/>
      <c r="Q5391" s="22"/>
    </row>
    <row r="5392" customFormat="false" ht="15.75" hidden="false" customHeight="false" outlineLevel="0" collapsed="false">
      <c r="A5392" s="20" t="n">
        <v>46155</v>
      </c>
      <c r="B5392" s="15" t="s">
        <v>496</v>
      </c>
      <c r="C5392" s="15" t="s">
        <v>59</v>
      </c>
      <c r="D5392" s="15" t="s">
        <v>562</v>
      </c>
      <c r="E5392" s="15" t="n">
        <v>2</v>
      </c>
      <c r="H5392" s="10"/>
      <c r="I5392" s="21"/>
      <c r="M5392" s="10"/>
      <c r="N5392" s="10"/>
      <c r="P5392" s="10"/>
      <c r="Q5392" s="22"/>
    </row>
    <row r="5393" customFormat="false" ht="15.75" hidden="false" customHeight="false" outlineLevel="0" collapsed="false">
      <c r="A5393" s="20" t="n">
        <v>46155</v>
      </c>
      <c r="B5393" s="15" t="s">
        <v>496</v>
      </c>
      <c r="C5393" s="15" t="s">
        <v>33</v>
      </c>
      <c r="D5393" s="15" t="s">
        <v>536</v>
      </c>
      <c r="E5393" s="15" t="n">
        <v>2</v>
      </c>
      <c r="H5393" s="10"/>
      <c r="I5393" s="21"/>
      <c r="M5393" s="10"/>
      <c r="N5393" s="10"/>
      <c r="P5393" s="10"/>
      <c r="Q5393" s="22"/>
    </row>
    <row r="5394" customFormat="false" ht="15.75" hidden="false" customHeight="false" outlineLevel="0" collapsed="false">
      <c r="A5394" s="20" t="n">
        <v>46155</v>
      </c>
      <c r="B5394" s="15" t="s">
        <v>496</v>
      </c>
      <c r="C5394" s="15" t="s">
        <v>79</v>
      </c>
      <c r="D5394" s="15" t="s">
        <v>564</v>
      </c>
      <c r="E5394" s="15" t="n">
        <v>1</v>
      </c>
      <c r="H5394" s="10"/>
      <c r="I5394" s="21"/>
      <c r="M5394" s="10"/>
      <c r="N5394" s="10"/>
      <c r="P5394" s="10"/>
      <c r="Q5394" s="22"/>
    </row>
    <row r="5395" customFormat="false" ht="15.75" hidden="false" customHeight="false" outlineLevel="0" collapsed="false">
      <c r="A5395" s="20" t="n">
        <v>46155</v>
      </c>
      <c r="B5395" s="15" t="s">
        <v>496</v>
      </c>
      <c r="C5395" s="15" t="s">
        <v>65</v>
      </c>
      <c r="D5395" s="15" t="s">
        <v>580</v>
      </c>
      <c r="E5395" s="15" t="n">
        <v>1</v>
      </c>
      <c r="H5395" s="10"/>
      <c r="I5395" s="21"/>
      <c r="M5395" s="10"/>
      <c r="N5395" s="10"/>
      <c r="P5395" s="10"/>
      <c r="Q5395" s="22"/>
    </row>
    <row r="5396" customFormat="false" ht="15.75" hidden="false" customHeight="false" outlineLevel="0" collapsed="false">
      <c r="A5396" s="20" t="n">
        <v>46155</v>
      </c>
      <c r="B5396" s="15" t="s">
        <v>205</v>
      </c>
      <c r="C5396" s="15" t="s">
        <v>55</v>
      </c>
      <c r="D5396" s="15" t="s">
        <v>539</v>
      </c>
      <c r="E5396" s="15" t="n">
        <v>3</v>
      </c>
      <c r="H5396" s="10"/>
      <c r="I5396" s="21"/>
      <c r="M5396" s="10"/>
      <c r="N5396" s="10"/>
      <c r="P5396" s="10"/>
      <c r="Q5396" s="22"/>
    </row>
    <row r="5397" customFormat="false" ht="15.75" hidden="false" customHeight="false" outlineLevel="0" collapsed="false">
      <c r="A5397" s="20" t="n">
        <v>46155</v>
      </c>
      <c r="B5397" s="15" t="s">
        <v>205</v>
      </c>
      <c r="C5397" s="15" t="s">
        <v>81</v>
      </c>
      <c r="D5397" s="15" t="s">
        <v>534</v>
      </c>
      <c r="E5397" s="15" t="n">
        <v>1</v>
      </c>
      <c r="H5397" s="10"/>
      <c r="I5397" s="21"/>
      <c r="M5397" s="10"/>
      <c r="N5397" s="10"/>
      <c r="P5397" s="10"/>
      <c r="Q5397" s="22"/>
    </row>
    <row r="5398" customFormat="false" ht="15.75" hidden="false" customHeight="false" outlineLevel="0" collapsed="false">
      <c r="A5398" s="20" t="n">
        <v>46155</v>
      </c>
      <c r="B5398" s="15" t="s">
        <v>205</v>
      </c>
      <c r="C5398" s="15" t="s">
        <v>69</v>
      </c>
      <c r="D5398" s="15" t="s">
        <v>535</v>
      </c>
      <c r="E5398" s="15" t="n">
        <v>6</v>
      </c>
      <c r="H5398" s="10"/>
      <c r="I5398" s="21"/>
      <c r="M5398" s="10"/>
      <c r="N5398" s="10"/>
      <c r="P5398" s="10"/>
      <c r="Q5398" s="22"/>
    </row>
    <row r="5399" customFormat="false" ht="15.75" hidden="false" customHeight="false" outlineLevel="0" collapsed="false">
      <c r="A5399" s="20" t="n">
        <v>46155</v>
      </c>
      <c r="B5399" s="15" t="s">
        <v>205</v>
      </c>
      <c r="C5399" s="15" t="s">
        <v>33</v>
      </c>
      <c r="D5399" s="15" t="s">
        <v>536</v>
      </c>
      <c r="E5399" s="15" t="n">
        <v>6</v>
      </c>
      <c r="H5399" s="10"/>
      <c r="I5399" s="21"/>
      <c r="M5399" s="10"/>
      <c r="N5399" s="10"/>
      <c r="P5399" s="10"/>
      <c r="Q5399" s="22"/>
    </row>
    <row r="5400" customFormat="false" ht="15.75" hidden="false" customHeight="false" outlineLevel="0" collapsed="false">
      <c r="A5400" s="20" t="n">
        <v>46155</v>
      </c>
      <c r="B5400" s="15" t="s">
        <v>504</v>
      </c>
      <c r="C5400" s="15" t="s">
        <v>47</v>
      </c>
      <c r="D5400" s="15" t="s">
        <v>549</v>
      </c>
      <c r="E5400" s="15" t="n">
        <v>6</v>
      </c>
      <c r="H5400" s="10"/>
      <c r="I5400" s="21"/>
      <c r="M5400" s="10"/>
      <c r="N5400" s="10"/>
      <c r="P5400" s="10"/>
      <c r="Q5400" s="22"/>
    </row>
    <row r="5401" customFormat="false" ht="15.75" hidden="false" customHeight="false" outlineLevel="0" collapsed="false">
      <c r="A5401" s="20" t="n">
        <v>46155</v>
      </c>
      <c r="B5401" s="15" t="s">
        <v>504</v>
      </c>
      <c r="C5401" s="15" t="s">
        <v>55</v>
      </c>
      <c r="D5401" s="15" t="s">
        <v>539</v>
      </c>
      <c r="E5401" s="15" t="n">
        <v>12</v>
      </c>
      <c r="H5401" s="10"/>
      <c r="I5401" s="21"/>
      <c r="M5401" s="10"/>
      <c r="N5401" s="10"/>
      <c r="P5401" s="10"/>
      <c r="Q5401" s="22"/>
    </row>
    <row r="5402" customFormat="false" ht="15.75" hidden="false" customHeight="false" outlineLevel="0" collapsed="false">
      <c r="A5402" s="20" t="n">
        <v>46155</v>
      </c>
      <c r="B5402" s="15" t="s">
        <v>504</v>
      </c>
      <c r="C5402" s="15" t="s">
        <v>81</v>
      </c>
      <c r="D5402" s="15" t="s">
        <v>534</v>
      </c>
      <c r="E5402" s="15" t="n">
        <v>18</v>
      </c>
      <c r="H5402" s="10"/>
      <c r="I5402" s="21"/>
      <c r="M5402" s="10"/>
      <c r="N5402" s="10"/>
      <c r="P5402" s="10"/>
      <c r="Q5402" s="22"/>
    </row>
    <row r="5403" customFormat="false" ht="15.75" hidden="false" customHeight="false" outlineLevel="0" collapsed="false">
      <c r="A5403" s="20" t="n">
        <v>46155</v>
      </c>
      <c r="B5403" s="15" t="s">
        <v>504</v>
      </c>
      <c r="C5403" s="15" t="s">
        <v>39</v>
      </c>
      <c r="D5403" s="15" t="s">
        <v>550</v>
      </c>
      <c r="E5403" s="15" t="n">
        <v>2</v>
      </c>
      <c r="H5403" s="10"/>
      <c r="I5403" s="21"/>
      <c r="M5403" s="10"/>
      <c r="N5403" s="10"/>
      <c r="P5403" s="10"/>
      <c r="Q5403" s="22"/>
    </row>
    <row r="5404" customFormat="false" ht="15.75" hidden="false" customHeight="false" outlineLevel="0" collapsed="false">
      <c r="A5404" s="20" t="n">
        <v>46155</v>
      </c>
      <c r="B5404" s="15" t="s">
        <v>504</v>
      </c>
      <c r="C5404" s="15" t="s">
        <v>63</v>
      </c>
      <c r="D5404" s="15" t="s">
        <v>551</v>
      </c>
      <c r="E5404" s="15" t="n">
        <v>2</v>
      </c>
      <c r="H5404" s="10"/>
      <c r="I5404" s="21"/>
      <c r="M5404" s="10"/>
      <c r="N5404" s="10"/>
      <c r="P5404" s="10"/>
      <c r="Q5404" s="22"/>
    </row>
    <row r="5405" customFormat="false" ht="15.75" hidden="false" customHeight="false" outlineLevel="0" collapsed="false">
      <c r="A5405" s="20" t="n">
        <v>46155</v>
      </c>
      <c r="B5405" s="15" t="s">
        <v>504</v>
      </c>
      <c r="C5405" s="15" t="s">
        <v>17</v>
      </c>
      <c r="D5405" s="15" t="s">
        <v>554</v>
      </c>
      <c r="E5405" s="15" t="n">
        <v>2</v>
      </c>
      <c r="H5405" s="10"/>
      <c r="I5405" s="21"/>
      <c r="M5405" s="10"/>
      <c r="N5405" s="10"/>
      <c r="P5405" s="10"/>
      <c r="Q5405" s="22"/>
    </row>
    <row r="5406" customFormat="false" ht="15.75" hidden="false" customHeight="false" outlineLevel="0" collapsed="false">
      <c r="A5406" s="20" t="n">
        <v>46155</v>
      </c>
      <c r="B5406" s="15" t="s">
        <v>505</v>
      </c>
      <c r="C5406" s="15" t="s">
        <v>55</v>
      </c>
      <c r="D5406" s="15" t="s">
        <v>539</v>
      </c>
      <c r="E5406" s="15" t="n">
        <v>6</v>
      </c>
      <c r="H5406" s="10"/>
      <c r="I5406" s="21"/>
      <c r="M5406" s="10"/>
      <c r="N5406" s="10"/>
      <c r="P5406" s="10"/>
      <c r="Q5406" s="22"/>
    </row>
    <row r="5407" customFormat="false" ht="15.75" hidden="false" customHeight="false" outlineLevel="0" collapsed="false">
      <c r="A5407" s="20" t="n">
        <v>46155</v>
      </c>
      <c r="B5407" s="15" t="s">
        <v>505</v>
      </c>
      <c r="C5407" s="15" t="s">
        <v>39</v>
      </c>
      <c r="D5407" s="15" t="s">
        <v>550</v>
      </c>
      <c r="E5407" s="15" t="n">
        <v>1</v>
      </c>
      <c r="H5407" s="10"/>
      <c r="I5407" s="21"/>
      <c r="M5407" s="10"/>
      <c r="N5407" s="10"/>
      <c r="P5407" s="10"/>
      <c r="Q5407" s="22"/>
    </row>
    <row r="5408" customFormat="false" ht="15.75" hidden="false" customHeight="false" outlineLevel="0" collapsed="false">
      <c r="A5408" s="20" t="n">
        <v>46155</v>
      </c>
      <c r="B5408" s="15" t="s">
        <v>505</v>
      </c>
      <c r="C5408" s="15" t="s">
        <v>81</v>
      </c>
      <c r="D5408" s="15" t="s">
        <v>534</v>
      </c>
      <c r="E5408" s="15" t="n">
        <v>9</v>
      </c>
      <c r="H5408" s="10"/>
      <c r="I5408" s="21"/>
      <c r="M5408" s="10"/>
      <c r="N5408" s="10"/>
      <c r="P5408" s="10"/>
      <c r="Q5408" s="22"/>
    </row>
    <row r="5409" customFormat="false" ht="15.75" hidden="false" customHeight="false" outlineLevel="0" collapsed="false">
      <c r="A5409" s="20" t="n">
        <v>46155</v>
      </c>
      <c r="B5409" s="15" t="s">
        <v>505</v>
      </c>
      <c r="C5409" s="15" t="s">
        <v>47</v>
      </c>
      <c r="D5409" s="15" t="s">
        <v>549</v>
      </c>
      <c r="E5409" s="15" t="n">
        <v>3</v>
      </c>
      <c r="H5409" s="10"/>
      <c r="I5409" s="21"/>
      <c r="M5409" s="10"/>
      <c r="N5409" s="10"/>
      <c r="P5409" s="10"/>
      <c r="Q5409" s="22"/>
    </row>
    <row r="5410" customFormat="false" ht="15.75" hidden="false" customHeight="false" outlineLevel="0" collapsed="false">
      <c r="A5410" s="20" t="n">
        <v>46155</v>
      </c>
      <c r="B5410" s="15" t="s">
        <v>505</v>
      </c>
      <c r="C5410" s="15" t="s">
        <v>63</v>
      </c>
      <c r="D5410" s="15" t="s">
        <v>551</v>
      </c>
      <c r="E5410" s="15" t="n">
        <v>1</v>
      </c>
      <c r="H5410" s="10"/>
      <c r="I5410" s="21"/>
      <c r="M5410" s="10"/>
      <c r="N5410" s="10"/>
      <c r="P5410" s="10"/>
      <c r="Q5410" s="22"/>
    </row>
    <row r="5411" customFormat="false" ht="15.75" hidden="false" customHeight="false" outlineLevel="0" collapsed="false">
      <c r="A5411" s="20" t="n">
        <v>46155</v>
      </c>
      <c r="B5411" s="15" t="s">
        <v>505</v>
      </c>
      <c r="C5411" s="15" t="s">
        <v>17</v>
      </c>
      <c r="D5411" s="15" t="s">
        <v>554</v>
      </c>
      <c r="E5411" s="15" t="n">
        <v>1</v>
      </c>
      <c r="H5411" s="10"/>
      <c r="I5411" s="21"/>
      <c r="M5411" s="10"/>
      <c r="N5411" s="10"/>
      <c r="P5411" s="10"/>
      <c r="Q5411" s="22"/>
    </row>
    <row r="5412" customFormat="false" ht="15.75" hidden="false" customHeight="false" outlineLevel="0" collapsed="false">
      <c r="A5412" s="20" t="n">
        <v>46155</v>
      </c>
      <c r="B5412" s="15" t="s">
        <v>518</v>
      </c>
      <c r="C5412" s="15" t="s">
        <v>69</v>
      </c>
      <c r="D5412" s="15" t="s">
        <v>535</v>
      </c>
      <c r="E5412" s="15" t="n">
        <v>6</v>
      </c>
      <c r="H5412" s="10"/>
      <c r="I5412" s="21"/>
      <c r="M5412" s="10"/>
      <c r="N5412" s="10"/>
      <c r="P5412" s="10"/>
      <c r="Q5412" s="22"/>
    </row>
    <row r="5413" customFormat="false" ht="15.75" hidden="false" customHeight="false" outlineLevel="0" collapsed="false">
      <c r="A5413" s="20" t="n">
        <v>46155</v>
      </c>
      <c r="B5413" s="15" t="s">
        <v>518</v>
      </c>
      <c r="C5413" s="15" t="s">
        <v>33</v>
      </c>
      <c r="D5413" s="15" t="s">
        <v>536</v>
      </c>
      <c r="E5413" s="15" t="n">
        <v>6</v>
      </c>
      <c r="H5413" s="10"/>
      <c r="I5413" s="21"/>
      <c r="M5413" s="10"/>
      <c r="N5413" s="10"/>
      <c r="P5413" s="10"/>
      <c r="Q5413" s="22"/>
    </row>
    <row r="5414" customFormat="false" ht="15.75" hidden="false" customHeight="false" outlineLevel="0" collapsed="false">
      <c r="A5414" s="20" t="n">
        <v>46155</v>
      </c>
      <c r="B5414" s="15" t="s">
        <v>518</v>
      </c>
      <c r="C5414" s="15" t="s">
        <v>47</v>
      </c>
      <c r="D5414" s="15" t="s">
        <v>549</v>
      </c>
      <c r="E5414" s="15" t="n">
        <v>2</v>
      </c>
      <c r="H5414" s="10"/>
      <c r="I5414" s="21"/>
      <c r="M5414" s="10"/>
      <c r="N5414" s="10"/>
      <c r="P5414" s="10"/>
      <c r="Q5414" s="22"/>
    </row>
    <row r="5415" customFormat="false" ht="15.75" hidden="false" customHeight="false" outlineLevel="0" collapsed="false">
      <c r="A5415" s="20" t="n">
        <v>46155</v>
      </c>
      <c r="B5415" s="15" t="s">
        <v>518</v>
      </c>
      <c r="C5415" s="15" t="s">
        <v>51</v>
      </c>
      <c r="D5415" s="15" t="s">
        <v>573</v>
      </c>
      <c r="E5415" s="15" t="n">
        <v>1</v>
      </c>
      <c r="H5415" s="10"/>
      <c r="I5415" s="21"/>
      <c r="M5415" s="10"/>
      <c r="N5415" s="10"/>
      <c r="P5415" s="10"/>
      <c r="Q5415" s="22"/>
    </row>
    <row r="5416" customFormat="false" ht="15.75" hidden="false" customHeight="false" outlineLevel="0" collapsed="false">
      <c r="A5416" s="20" t="n">
        <v>46155</v>
      </c>
      <c r="B5416" s="15" t="s">
        <v>518</v>
      </c>
      <c r="C5416" s="15" t="s">
        <v>55</v>
      </c>
      <c r="D5416" s="15" t="s">
        <v>539</v>
      </c>
      <c r="E5416" s="15" t="n">
        <v>2</v>
      </c>
      <c r="H5416" s="10"/>
      <c r="I5416" s="21"/>
      <c r="M5416" s="10"/>
      <c r="N5416" s="10"/>
      <c r="P5416" s="10"/>
      <c r="Q5416" s="22"/>
    </row>
    <row r="5417" customFormat="false" ht="15.75" hidden="false" customHeight="false" outlineLevel="0" collapsed="false">
      <c r="A5417" s="20" t="n">
        <v>46155</v>
      </c>
      <c r="B5417" s="15" t="s">
        <v>518</v>
      </c>
      <c r="C5417" s="15" t="s">
        <v>37</v>
      </c>
      <c r="D5417" s="15" t="s">
        <v>561</v>
      </c>
      <c r="E5417" s="15" t="n">
        <v>2</v>
      </c>
      <c r="H5417" s="10"/>
      <c r="I5417" s="21"/>
      <c r="M5417" s="10"/>
      <c r="N5417" s="10"/>
      <c r="P5417" s="10"/>
      <c r="Q5417" s="22"/>
    </row>
    <row r="5418" customFormat="false" ht="15.75" hidden="false" customHeight="false" outlineLevel="0" collapsed="false">
      <c r="A5418" s="20" t="n">
        <v>46155</v>
      </c>
      <c r="B5418" s="15" t="s">
        <v>518</v>
      </c>
      <c r="C5418" s="15" t="s">
        <v>547</v>
      </c>
      <c r="D5418" s="15" t="s">
        <v>548</v>
      </c>
      <c r="E5418" s="15" t="n">
        <v>1</v>
      </c>
      <c r="H5418" s="10"/>
      <c r="I5418" s="21"/>
      <c r="M5418" s="10"/>
      <c r="N5418" s="10"/>
      <c r="P5418" s="10"/>
      <c r="Q5418" s="22"/>
    </row>
    <row r="5419" customFormat="false" ht="15.75" hidden="false" customHeight="false" outlineLevel="0" collapsed="false">
      <c r="A5419" s="20" t="n">
        <v>46155</v>
      </c>
      <c r="B5419" s="15" t="s">
        <v>518</v>
      </c>
      <c r="C5419" s="15" t="s">
        <v>81</v>
      </c>
      <c r="D5419" s="15" t="s">
        <v>534</v>
      </c>
      <c r="E5419" s="15" t="n">
        <v>1</v>
      </c>
      <c r="H5419" s="10"/>
      <c r="I5419" s="21"/>
      <c r="M5419" s="10"/>
      <c r="N5419" s="10"/>
      <c r="P5419" s="10"/>
      <c r="Q5419" s="22"/>
    </row>
    <row r="5420" customFormat="false" ht="15.75" hidden="false" customHeight="false" outlineLevel="0" collapsed="false">
      <c r="A5420" s="20" t="n">
        <v>46155</v>
      </c>
      <c r="B5420" s="15" t="s">
        <v>520</v>
      </c>
      <c r="C5420" s="15" t="s">
        <v>55</v>
      </c>
      <c r="D5420" s="15" t="s">
        <v>539</v>
      </c>
      <c r="E5420" s="15" t="n">
        <v>3</v>
      </c>
      <c r="H5420" s="10"/>
      <c r="I5420" s="21"/>
      <c r="M5420" s="10"/>
      <c r="N5420" s="10"/>
      <c r="P5420" s="10"/>
      <c r="Q5420" s="22"/>
    </row>
    <row r="5421" customFormat="false" ht="15.75" hidden="false" customHeight="false" outlineLevel="0" collapsed="false">
      <c r="A5421" s="20" t="n">
        <v>46155</v>
      </c>
      <c r="B5421" s="15" t="s">
        <v>520</v>
      </c>
      <c r="C5421" s="15" t="s">
        <v>69</v>
      </c>
      <c r="D5421" s="15" t="s">
        <v>535</v>
      </c>
      <c r="E5421" s="15" t="n">
        <v>4</v>
      </c>
      <c r="H5421" s="10"/>
      <c r="I5421" s="21"/>
      <c r="M5421" s="10"/>
      <c r="N5421" s="10"/>
      <c r="P5421" s="10"/>
      <c r="Q5421" s="22"/>
    </row>
    <row r="5422" customFormat="false" ht="15.75" hidden="false" customHeight="false" outlineLevel="0" collapsed="false">
      <c r="A5422" s="20" t="n">
        <v>46155</v>
      </c>
      <c r="B5422" s="15" t="s">
        <v>520</v>
      </c>
      <c r="C5422" s="15" t="s">
        <v>81</v>
      </c>
      <c r="D5422" s="15" t="s">
        <v>534</v>
      </c>
      <c r="E5422" s="15" t="n">
        <v>1</v>
      </c>
      <c r="H5422" s="10"/>
      <c r="I5422" s="21"/>
      <c r="M5422" s="10"/>
      <c r="N5422" s="10"/>
      <c r="P5422" s="10"/>
      <c r="Q5422" s="22"/>
    </row>
    <row r="5423" customFormat="false" ht="15.75" hidden="false" customHeight="false" outlineLevel="0" collapsed="false">
      <c r="A5423" s="20" t="n">
        <v>46155</v>
      </c>
      <c r="B5423" s="15" t="s">
        <v>520</v>
      </c>
      <c r="C5423" s="15" t="s">
        <v>77</v>
      </c>
      <c r="D5423" s="15" t="s">
        <v>78</v>
      </c>
      <c r="E5423" s="15" t="n">
        <v>2</v>
      </c>
      <c r="H5423" s="10"/>
      <c r="I5423" s="21"/>
      <c r="M5423" s="10"/>
      <c r="N5423" s="10"/>
      <c r="P5423" s="10"/>
      <c r="Q5423" s="22"/>
    </row>
    <row r="5424" customFormat="false" ht="15.75" hidden="false" customHeight="false" outlineLevel="0" collapsed="false">
      <c r="A5424" s="20" t="n">
        <v>46155</v>
      </c>
      <c r="B5424" s="15" t="s">
        <v>520</v>
      </c>
      <c r="C5424" s="15" t="s">
        <v>33</v>
      </c>
      <c r="D5424" s="15" t="s">
        <v>536</v>
      </c>
      <c r="E5424" s="15" t="n">
        <v>4</v>
      </c>
      <c r="H5424" s="10"/>
      <c r="I5424" s="21"/>
      <c r="M5424" s="10"/>
      <c r="N5424" s="10"/>
      <c r="P5424" s="10"/>
      <c r="Q5424" s="22"/>
    </row>
    <row r="5425" customFormat="false" ht="15.75" hidden="false" customHeight="false" outlineLevel="0" collapsed="false">
      <c r="A5425" s="20" t="n">
        <v>46155</v>
      </c>
      <c r="B5425" s="15" t="s">
        <v>520</v>
      </c>
      <c r="C5425" s="15" t="s">
        <v>45</v>
      </c>
      <c r="D5425" s="15" t="s">
        <v>540</v>
      </c>
      <c r="E5425" s="15" t="n">
        <v>1</v>
      </c>
      <c r="H5425" s="10"/>
      <c r="I5425" s="21"/>
      <c r="M5425" s="10"/>
      <c r="N5425" s="10"/>
      <c r="P5425" s="10"/>
      <c r="Q5425" s="22"/>
    </row>
    <row r="5426" customFormat="false" ht="15.75" hidden="false" customHeight="false" outlineLevel="0" collapsed="false">
      <c r="A5426" s="20" t="n">
        <v>46155</v>
      </c>
      <c r="B5426" s="15" t="s">
        <v>520</v>
      </c>
      <c r="C5426" s="15" t="s">
        <v>59</v>
      </c>
      <c r="D5426" s="15" t="s">
        <v>562</v>
      </c>
      <c r="E5426" s="15" t="n">
        <v>3</v>
      </c>
      <c r="H5426" s="10"/>
      <c r="I5426" s="21"/>
      <c r="M5426" s="10"/>
      <c r="N5426" s="10"/>
      <c r="P5426" s="10"/>
      <c r="Q5426" s="22"/>
    </row>
    <row r="5427" customFormat="false" ht="15.75" hidden="false" customHeight="false" outlineLevel="0" collapsed="false">
      <c r="A5427" s="20" t="n">
        <v>46155</v>
      </c>
      <c r="B5427" s="15" t="s">
        <v>520</v>
      </c>
      <c r="C5427" s="15" t="s">
        <v>43</v>
      </c>
      <c r="D5427" s="15" t="s">
        <v>538</v>
      </c>
      <c r="E5427" s="15" t="n">
        <v>1</v>
      </c>
      <c r="H5427" s="10"/>
      <c r="I5427" s="21"/>
      <c r="M5427" s="10"/>
      <c r="N5427" s="10"/>
      <c r="P5427" s="10"/>
      <c r="Q5427" s="22"/>
    </row>
    <row r="5428" customFormat="false" ht="15.75" hidden="false" customHeight="false" outlineLevel="0" collapsed="false">
      <c r="A5428" s="20" t="n">
        <v>46156</v>
      </c>
      <c r="B5428" s="15" t="s">
        <v>453</v>
      </c>
      <c r="C5428" s="15" t="s">
        <v>47</v>
      </c>
      <c r="D5428" s="15" t="s">
        <v>549</v>
      </c>
      <c r="E5428" s="15" t="n">
        <v>4</v>
      </c>
      <c r="H5428" s="10"/>
      <c r="I5428" s="21"/>
      <c r="M5428" s="10"/>
      <c r="N5428" s="10"/>
      <c r="P5428" s="10"/>
      <c r="Q5428" s="22"/>
    </row>
    <row r="5429" customFormat="false" ht="15.75" hidden="false" customHeight="false" outlineLevel="0" collapsed="false">
      <c r="A5429" s="20" t="n">
        <v>46156</v>
      </c>
      <c r="B5429" s="15" t="s">
        <v>453</v>
      </c>
      <c r="C5429" s="15" t="s">
        <v>55</v>
      </c>
      <c r="D5429" s="15" t="s">
        <v>539</v>
      </c>
      <c r="E5429" s="15" t="n">
        <v>8</v>
      </c>
      <c r="H5429" s="10"/>
      <c r="I5429" s="21"/>
      <c r="M5429" s="10"/>
      <c r="N5429" s="10"/>
      <c r="P5429" s="10"/>
      <c r="Q5429" s="22"/>
    </row>
    <row r="5430" customFormat="false" ht="15.75" hidden="false" customHeight="false" outlineLevel="0" collapsed="false">
      <c r="A5430" s="20" t="n">
        <v>46156</v>
      </c>
      <c r="B5430" s="15" t="s">
        <v>453</v>
      </c>
      <c r="C5430" s="15" t="s">
        <v>81</v>
      </c>
      <c r="D5430" s="15" t="s">
        <v>534</v>
      </c>
      <c r="E5430" s="15" t="n">
        <v>16</v>
      </c>
      <c r="H5430" s="10"/>
      <c r="I5430" s="21"/>
      <c r="M5430" s="10"/>
      <c r="N5430" s="10"/>
      <c r="P5430" s="10"/>
      <c r="Q5430" s="22"/>
    </row>
    <row r="5431" customFormat="false" ht="15.75" hidden="false" customHeight="false" outlineLevel="0" collapsed="false">
      <c r="A5431" s="20" t="n">
        <v>46156</v>
      </c>
      <c r="B5431" s="15" t="s">
        <v>453</v>
      </c>
      <c r="C5431" s="15" t="s">
        <v>39</v>
      </c>
      <c r="D5431" s="15" t="s">
        <v>550</v>
      </c>
      <c r="E5431" s="15" t="n">
        <v>4</v>
      </c>
      <c r="H5431" s="10"/>
      <c r="I5431" s="21"/>
      <c r="M5431" s="10"/>
      <c r="N5431" s="10"/>
      <c r="P5431" s="10"/>
      <c r="Q5431" s="22"/>
    </row>
    <row r="5432" customFormat="false" ht="15.75" hidden="false" customHeight="false" outlineLevel="0" collapsed="false">
      <c r="A5432" s="20" t="n">
        <v>46156</v>
      </c>
      <c r="B5432" s="15" t="s">
        <v>453</v>
      </c>
      <c r="C5432" s="15" t="s">
        <v>63</v>
      </c>
      <c r="D5432" s="15" t="s">
        <v>551</v>
      </c>
      <c r="E5432" s="15" t="n">
        <v>2</v>
      </c>
      <c r="H5432" s="10"/>
      <c r="I5432" s="21"/>
      <c r="M5432" s="10"/>
      <c r="N5432" s="10"/>
      <c r="P5432" s="10"/>
      <c r="Q5432" s="22"/>
    </row>
    <row r="5433" customFormat="false" ht="15.75" hidden="false" customHeight="false" outlineLevel="0" collapsed="false">
      <c r="A5433" s="20" t="n">
        <v>46156</v>
      </c>
      <c r="B5433" s="15" t="s">
        <v>453</v>
      </c>
      <c r="C5433" s="15" t="s">
        <v>35</v>
      </c>
      <c r="D5433" s="15" t="s">
        <v>552</v>
      </c>
      <c r="E5433" s="15" t="n">
        <v>4</v>
      </c>
      <c r="H5433" s="10"/>
      <c r="I5433" s="21"/>
      <c r="M5433" s="10"/>
      <c r="N5433" s="10"/>
      <c r="P5433" s="10"/>
      <c r="Q5433" s="22"/>
    </row>
    <row r="5434" customFormat="false" ht="15.75" hidden="false" customHeight="false" outlineLevel="0" collapsed="false">
      <c r="A5434" s="20" t="n">
        <v>46156</v>
      </c>
      <c r="B5434" s="15" t="s">
        <v>473</v>
      </c>
      <c r="C5434" s="15" t="s">
        <v>555</v>
      </c>
      <c r="D5434" s="15" t="s">
        <v>556</v>
      </c>
      <c r="E5434" s="15" t="n">
        <v>4</v>
      </c>
      <c r="H5434" s="10"/>
      <c r="I5434" s="21"/>
      <c r="M5434" s="10"/>
      <c r="N5434" s="10"/>
      <c r="P5434" s="10"/>
      <c r="Q5434" s="22"/>
    </row>
    <row r="5435" customFormat="false" ht="15.75" hidden="false" customHeight="false" outlineLevel="0" collapsed="false">
      <c r="A5435" s="20" t="n">
        <v>46156</v>
      </c>
      <c r="B5435" s="15" t="s">
        <v>473</v>
      </c>
      <c r="C5435" s="15" t="s">
        <v>11</v>
      </c>
      <c r="D5435" s="15" t="s">
        <v>572</v>
      </c>
      <c r="E5435" s="15" t="n">
        <v>4</v>
      </c>
      <c r="H5435" s="10"/>
      <c r="I5435" s="21"/>
      <c r="M5435" s="10"/>
      <c r="N5435" s="10"/>
      <c r="P5435" s="10"/>
      <c r="Q5435" s="22"/>
    </row>
    <row r="5436" customFormat="false" ht="15.75" hidden="false" customHeight="false" outlineLevel="0" collapsed="false">
      <c r="A5436" s="20" t="n">
        <v>46156</v>
      </c>
      <c r="B5436" s="15" t="s">
        <v>473</v>
      </c>
      <c r="C5436" s="15" t="s">
        <v>543</v>
      </c>
      <c r="D5436" s="15" t="s">
        <v>544</v>
      </c>
      <c r="E5436" s="15" t="n">
        <v>4</v>
      </c>
      <c r="H5436" s="10"/>
      <c r="I5436" s="21"/>
      <c r="M5436" s="10"/>
      <c r="N5436" s="10"/>
      <c r="P5436" s="10"/>
      <c r="Q5436" s="22"/>
    </row>
    <row r="5437" customFormat="false" ht="15.75" hidden="false" customHeight="false" outlineLevel="0" collapsed="false">
      <c r="A5437" s="20" t="n">
        <v>46156</v>
      </c>
      <c r="B5437" s="15" t="s">
        <v>473</v>
      </c>
      <c r="C5437" s="15" t="s">
        <v>91</v>
      </c>
      <c r="D5437" s="15" t="s">
        <v>91</v>
      </c>
      <c r="E5437" s="15" t="n">
        <v>4</v>
      </c>
      <c r="H5437" s="10"/>
      <c r="I5437" s="21"/>
      <c r="M5437" s="10"/>
      <c r="N5437" s="10"/>
      <c r="P5437" s="10"/>
      <c r="Q5437" s="22"/>
    </row>
    <row r="5438" customFormat="false" ht="15.75" hidden="false" customHeight="false" outlineLevel="0" collapsed="false">
      <c r="A5438" s="20" t="n">
        <v>46156</v>
      </c>
      <c r="B5438" s="15" t="s">
        <v>473</v>
      </c>
      <c r="C5438" s="15" t="s">
        <v>25</v>
      </c>
      <c r="D5438" s="15" t="s">
        <v>26</v>
      </c>
      <c r="E5438" s="15" t="n">
        <v>4</v>
      </c>
      <c r="H5438" s="10"/>
      <c r="I5438" s="21"/>
      <c r="M5438" s="10"/>
      <c r="N5438" s="10"/>
      <c r="P5438" s="10"/>
      <c r="Q5438" s="22"/>
    </row>
    <row r="5439" customFormat="false" ht="15.75" hidden="false" customHeight="false" outlineLevel="0" collapsed="false">
      <c r="A5439" s="20" t="n">
        <v>46156</v>
      </c>
      <c r="B5439" s="15" t="s">
        <v>487</v>
      </c>
      <c r="C5439" s="15" t="s">
        <v>55</v>
      </c>
      <c r="D5439" s="15" t="s">
        <v>539</v>
      </c>
      <c r="E5439" s="15" t="n">
        <v>1</v>
      </c>
      <c r="H5439" s="10"/>
      <c r="I5439" s="21"/>
      <c r="M5439" s="10"/>
      <c r="N5439" s="10"/>
      <c r="P5439" s="10"/>
      <c r="Q5439" s="22"/>
    </row>
    <row r="5440" customFormat="false" ht="15.75" hidden="false" customHeight="false" outlineLevel="0" collapsed="false">
      <c r="A5440" s="20" t="n">
        <v>46156</v>
      </c>
      <c r="B5440" s="15" t="s">
        <v>487</v>
      </c>
      <c r="C5440" s="15" t="s">
        <v>81</v>
      </c>
      <c r="D5440" s="15" t="s">
        <v>534</v>
      </c>
      <c r="E5440" s="15" t="n">
        <v>9</v>
      </c>
      <c r="H5440" s="10"/>
      <c r="I5440" s="21"/>
      <c r="M5440" s="10"/>
      <c r="N5440" s="10"/>
      <c r="P5440" s="10"/>
      <c r="Q5440" s="22"/>
    </row>
    <row r="5441" customFormat="false" ht="15.75" hidden="false" customHeight="false" outlineLevel="0" collapsed="false">
      <c r="A5441" s="20" t="n">
        <v>46156</v>
      </c>
      <c r="B5441" s="15" t="s">
        <v>487</v>
      </c>
      <c r="C5441" s="15" t="s">
        <v>555</v>
      </c>
      <c r="D5441" s="15" t="s">
        <v>556</v>
      </c>
      <c r="E5441" s="15" t="n">
        <v>1</v>
      </c>
      <c r="H5441" s="10"/>
      <c r="I5441" s="21"/>
      <c r="M5441" s="10"/>
      <c r="N5441" s="10"/>
      <c r="P5441" s="10"/>
      <c r="Q5441" s="22"/>
    </row>
    <row r="5442" customFormat="false" ht="15.75" hidden="false" customHeight="false" outlineLevel="0" collapsed="false">
      <c r="A5442" s="20" t="n">
        <v>46156</v>
      </c>
      <c r="B5442" s="15" t="s">
        <v>487</v>
      </c>
      <c r="C5442" s="15" t="s">
        <v>570</v>
      </c>
      <c r="D5442" s="15" t="s">
        <v>571</v>
      </c>
      <c r="E5442" s="15" t="n">
        <v>1</v>
      </c>
      <c r="H5442" s="10"/>
      <c r="I5442" s="21"/>
      <c r="M5442" s="10"/>
      <c r="N5442" s="10"/>
      <c r="P5442" s="10"/>
      <c r="Q5442" s="22"/>
    </row>
    <row r="5443" customFormat="false" ht="15.75" hidden="false" customHeight="false" outlineLevel="0" collapsed="false">
      <c r="A5443" s="20" t="n">
        <v>46156</v>
      </c>
      <c r="B5443" s="15" t="s">
        <v>487</v>
      </c>
      <c r="C5443" s="15" t="s">
        <v>25</v>
      </c>
      <c r="D5443" s="15" t="s">
        <v>26</v>
      </c>
      <c r="E5443" s="15" t="n">
        <v>1</v>
      </c>
      <c r="H5443" s="10"/>
      <c r="I5443" s="21"/>
      <c r="M5443" s="10"/>
      <c r="N5443" s="10"/>
      <c r="P5443" s="10"/>
      <c r="Q5443" s="22"/>
    </row>
    <row r="5444" customFormat="false" ht="15.75" hidden="false" customHeight="false" outlineLevel="0" collapsed="false">
      <c r="A5444" s="20" t="n">
        <v>46156</v>
      </c>
      <c r="B5444" s="15" t="s">
        <v>487</v>
      </c>
      <c r="C5444" s="15" t="s">
        <v>91</v>
      </c>
      <c r="D5444" s="15" t="s">
        <v>91</v>
      </c>
      <c r="E5444" s="15" t="n">
        <v>2</v>
      </c>
      <c r="H5444" s="10"/>
      <c r="I5444" s="21"/>
      <c r="M5444" s="10"/>
      <c r="N5444" s="10"/>
      <c r="P5444" s="10"/>
      <c r="Q5444" s="22"/>
    </row>
    <row r="5445" customFormat="false" ht="15.75" hidden="false" customHeight="false" outlineLevel="0" collapsed="false">
      <c r="A5445" s="20" t="n">
        <v>46156</v>
      </c>
      <c r="B5445" s="15" t="s">
        <v>487</v>
      </c>
      <c r="C5445" s="15" t="s">
        <v>543</v>
      </c>
      <c r="D5445" s="15" t="s">
        <v>544</v>
      </c>
      <c r="E5445" s="15" t="n">
        <v>3</v>
      </c>
      <c r="H5445" s="10"/>
      <c r="I5445" s="21"/>
      <c r="M5445" s="10"/>
      <c r="N5445" s="10"/>
      <c r="P5445" s="10"/>
      <c r="Q5445" s="22"/>
    </row>
    <row r="5446" customFormat="false" ht="15.75" hidden="false" customHeight="false" outlineLevel="0" collapsed="false">
      <c r="A5446" s="20" t="n">
        <v>46156</v>
      </c>
      <c r="B5446" s="15" t="s">
        <v>487</v>
      </c>
      <c r="C5446" s="15" t="s">
        <v>545</v>
      </c>
      <c r="D5446" s="15" t="s">
        <v>546</v>
      </c>
      <c r="E5446" s="15" t="n">
        <v>1</v>
      </c>
      <c r="H5446" s="10"/>
      <c r="I5446" s="21"/>
      <c r="M5446" s="10"/>
      <c r="N5446" s="10"/>
      <c r="P5446" s="10"/>
      <c r="Q5446" s="22"/>
    </row>
    <row r="5447" customFormat="false" ht="15.75" hidden="false" customHeight="false" outlineLevel="0" collapsed="false">
      <c r="A5447" s="20" t="n">
        <v>46156</v>
      </c>
      <c r="B5447" s="15" t="s">
        <v>487</v>
      </c>
      <c r="C5447" s="15" t="s">
        <v>69</v>
      </c>
      <c r="D5447" s="15" t="s">
        <v>535</v>
      </c>
      <c r="E5447" s="15" t="n">
        <v>3</v>
      </c>
      <c r="H5447" s="10"/>
      <c r="I5447" s="21"/>
      <c r="M5447" s="10"/>
      <c r="N5447" s="10"/>
      <c r="P5447" s="10"/>
      <c r="Q5447" s="22"/>
    </row>
    <row r="5448" customFormat="false" ht="15.75" hidden="false" customHeight="false" outlineLevel="0" collapsed="false">
      <c r="A5448" s="20" t="n">
        <v>46156</v>
      </c>
      <c r="B5448" s="15" t="s">
        <v>487</v>
      </c>
      <c r="C5448" s="15" t="s">
        <v>77</v>
      </c>
      <c r="D5448" s="15" t="s">
        <v>78</v>
      </c>
      <c r="E5448" s="15" t="n">
        <v>3</v>
      </c>
      <c r="H5448" s="10"/>
      <c r="I5448" s="21"/>
      <c r="M5448" s="10"/>
      <c r="N5448" s="10"/>
      <c r="P5448" s="10"/>
      <c r="Q5448" s="22"/>
    </row>
    <row r="5449" customFormat="false" ht="15.75" hidden="false" customHeight="false" outlineLevel="0" collapsed="false">
      <c r="A5449" s="20" t="n">
        <v>46156</v>
      </c>
      <c r="B5449" s="15" t="s">
        <v>487</v>
      </c>
      <c r="C5449" s="15" t="s">
        <v>11</v>
      </c>
      <c r="D5449" s="15" t="s">
        <v>572</v>
      </c>
      <c r="E5449" s="15" t="n">
        <v>1</v>
      </c>
      <c r="H5449" s="10"/>
      <c r="I5449" s="21"/>
      <c r="M5449" s="10"/>
      <c r="N5449" s="10"/>
      <c r="P5449" s="10"/>
      <c r="Q5449" s="22"/>
    </row>
    <row r="5450" customFormat="false" ht="15.75" hidden="false" customHeight="false" outlineLevel="0" collapsed="false">
      <c r="A5450" s="20" t="n">
        <v>46156</v>
      </c>
      <c r="B5450" s="15" t="s">
        <v>487</v>
      </c>
      <c r="C5450" s="15" t="s">
        <v>33</v>
      </c>
      <c r="D5450" s="15" t="s">
        <v>536</v>
      </c>
      <c r="E5450" s="15" t="n">
        <v>3</v>
      </c>
      <c r="H5450" s="10"/>
      <c r="I5450" s="21"/>
      <c r="M5450" s="10"/>
      <c r="N5450" s="10"/>
      <c r="P5450" s="10"/>
      <c r="Q5450" s="22"/>
    </row>
    <row r="5451" customFormat="false" ht="15.75" hidden="false" customHeight="false" outlineLevel="0" collapsed="false">
      <c r="A5451" s="20" t="n">
        <v>46156</v>
      </c>
      <c r="B5451" s="15" t="s">
        <v>487</v>
      </c>
      <c r="C5451" s="15" t="s">
        <v>59</v>
      </c>
      <c r="D5451" s="15" t="s">
        <v>562</v>
      </c>
      <c r="E5451" s="15" t="n">
        <v>1</v>
      </c>
      <c r="H5451" s="10"/>
      <c r="I5451" s="21"/>
      <c r="M5451" s="10"/>
      <c r="N5451" s="10"/>
      <c r="P5451" s="10"/>
      <c r="Q5451" s="22"/>
    </row>
    <row r="5452" customFormat="false" ht="15.75" hidden="false" customHeight="false" outlineLevel="0" collapsed="false">
      <c r="A5452" s="20" t="n">
        <v>46156</v>
      </c>
      <c r="B5452" s="15" t="s">
        <v>487</v>
      </c>
      <c r="C5452" s="15" t="s">
        <v>75</v>
      </c>
      <c r="D5452" s="15" t="s">
        <v>560</v>
      </c>
      <c r="E5452" s="15" t="n">
        <v>1</v>
      </c>
      <c r="H5452" s="10"/>
      <c r="I5452" s="21"/>
      <c r="M5452" s="10"/>
      <c r="N5452" s="10"/>
      <c r="P5452" s="10"/>
      <c r="Q5452" s="22"/>
    </row>
    <row r="5453" customFormat="false" ht="15.75" hidden="false" customHeight="false" outlineLevel="0" collapsed="false">
      <c r="A5453" s="20" t="n">
        <v>46156</v>
      </c>
      <c r="B5453" s="15" t="s">
        <v>487</v>
      </c>
      <c r="C5453" s="15" t="s">
        <v>79</v>
      </c>
      <c r="D5453" s="15" t="s">
        <v>564</v>
      </c>
      <c r="E5453" s="15" t="n">
        <v>2</v>
      </c>
      <c r="H5453" s="10"/>
      <c r="I5453" s="21"/>
      <c r="M5453" s="10"/>
      <c r="N5453" s="10"/>
      <c r="P5453" s="10"/>
      <c r="Q5453" s="22"/>
    </row>
    <row r="5454" customFormat="false" ht="15.75" hidden="false" customHeight="false" outlineLevel="0" collapsed="false">
      <c r="A5454" s="20" t="n">
        <v>46156</v>
      </c>
      <c r="B5454" s="15" t="s">
        <v>496</v>
      </c>
      <c r="C5454" s="15" t="s">
        <v>81</v>
      </c>
      <c r="D5454" s="15" t="s">
        <v>534</v>
      </c>
      <c r="E5454" s="15" t="n">
        <v>7</v>
      </c>
      <c r="H5454" s="10"/>
      <c r="I5454" s="21"/>
      <c r="M5454" s="10"/>
      <c r="N5454" s="10"/>
      <c r="P5454" s="10"/>
      <c r="Q5454" s="22"/>
    </row>
    <row r="5455" customFormat="false" ht="15.75" hidden="false" customHeight="false" outlineLevel="0" collapsed="false">
      <c r="A5455" s="20" t="n">
        <v>46156</v>
      </c>
      <c r="B5455" s="15" t="s">
        <v>496</v>
      </c>
      <c r="C5455" s="15" t="s">
        <v>47</v>
      </c>
      <c r="D5455" s="15" t="s">
        <v>549</v>
      </c>
      <c r="E5455" s="15" t="n">
        <v>4</v>
      </c>
      <c r="H5455" s="10"/>
      <c r="I5455" s="21"/>
      <c r="M5455" s="10"/>
      <c r="N5455" s="10"/>
      <c r="P5455" s="10"/>
      <c r="Q5455" s="22"/>
    </row>
    <row r="5456" customFormat="false" ht="15.75" hidden="false" customHeight="false" outlineLevel="0" collapsed="false">
      <c r="A5456" s="20" t="n">
        <v>46156</v>
      </c>
      <c r="B5456" s="15" t="s">
        <v>496</v>
      </c>
      <c r="C5456" s="15" t="s">
        <v>55</v>
      </c>
      <c r="D5456" s="15" t="s">
        <v>539</v>
      </c>
      <c r="E5456" s="15" t="n">
        <v>2</v>
      </c>
      <c r="H5456" s="10"/>
      <c r="I5456" s="21"/>
      <c r="M5456" s="10"/>
      <c r="N5456" s="10"/>
      <c r="P5456" s="10"/>
      <c r="Q5456" s="22"/>
    </row>
    <row r="5457" customFormat="false" ht="15.75" hidden="false" customHeight="false" outlineLevel="0" collapsed="false">
      <c r="A5457" s="20" t="n">
        <v>46156</v>
      </c>
      <c r="B5457" s="15" t="s">
        <v>496</v>
      </c>
      <c r="C5457" s="15" t="s">
        <v>567</v>
      </c>
      <c r="D5457" s="15" t="s">
        <v>568</v>
      </c>
      <c r="E5457" s="15" t="n">
        <v>3</v>
      </c>
      <c r="H5457" s="10"/>
      <c r="I5457" s="21"/>
      <c r="M5457" s="10"/>
      <c r="N5457" s="10"/>
      <c r="P5457" s="10"/>
      <c r="Q5457" s="22"/>
    </row>
    <row r="5458" customFormat="false" ht="15.75" hidden="false" customHeight="false" outlineLevel="0" collapsed="false">
      <c r="A5458" s="20" t="n">
        <v>46156</v>
      </c>
      <c r="B5458" s="15" t="s">
        <v>496</v>
      </c>
      <c r="C5458" s="15" t="s">
        <v>545</v>
      </c>
      <c r="D5458" s="15" t="s">
        <v>546</v>
      </c>
      <c r="E5458" s="15" t="n">
        <v>3</v>
      </c>
      <c r="H5458" s="10"/>
      <c r="I5458" s="21"/>
      <c r="M5458" s="10"/>
      <c r="N5458" s="10"/>
      <c r="P5458" s="10"/>
      <c r="Q5458" s="22"/>
    </row>
    <row r="5459" customFormat="false" ht="15.75" hidden="false" customHeight="false" outlineLevel="0" collapsed="false">
      <c r="A5459" s="20" t="n">
        <v>46156</v>
      </c>
      <c r="B5459" s="15" t="s">
        <v>496</v>
      </c>
      <c r="C5459" s="15" t="s">
        <v>547</v>
      </c>
      <c r="D5459" s="15" t="s">
        <v>548</v>
      </c>
      <c r="E5459" s="15" t="n">
        <v>1</v>
      </c>
      <c r="H5459" s="10"/>
      <c r="I5459" s="21"/>
      <c r="M5459" s="10"/>
      <c r="N5459" s="10"/>
      <c r="P5459" s="10"/>
      <c r="Q5459" s="22"/>
    </row>
    <row r="5460" customFormat="false" ht="15.75" hidden="false" customHeight="false" outlineLevel="0" collapsed="false">
      <c r="A5460" s="20" t="n">
        <v>46156</v>
      </c>
      <c r="B5460" s="15" t="s">
        <v>496</v>
      </c>
      <c r="C5460" s="15" t="s">
        <v>555</v>
      </c>
      <c r="D5460" s="15" t="s">
        <v>556</v>
      </c>
      <c r="E5460" s="15" t="n">
        <v>4</v>
      </c>
      <c r="H5460" s="10"/>
      <c r="I5460" s="21"/>
      <c r="M5460" s="10"/>
      <c r="N5460" s="10"/>
      <c r="P5460" s="10"/>
      <c r="Q5460" s="22"/>
    </row>
    <row r="5461" customFormat="false" ht="15.75" hidden="false" customHeight="false" outlineLevel="0" collapsed="false">
      <c r="A5461" s="20" t="n">
        <v>46156</v>
      </c>
      <c r="B5461" s="15" t="s">
        <v>496</v>
      </c>
      <c r="C5461" s="15" t="s">
        <v>541</v>
      </c>
      <c r="D5461" s="15" t="s">
        <v>542</v>
      </c>
      <c r="E5461" s="15" t="n">
        <v>4</v>
      </c>
      <c r="H5461" s="10"/>
      <c r="I5461" s="21"/>
      <c r="M5461" s="10"/>
      <c r="N5461" s="10"/>
      <c r="P5461" s="10"/>
      <c r="Q5461" s="22"/>
    </row>
    <row r="5462" customFormat="false" ht="15.75" hidden="false" customHeight="false" outlineLevel="0" collapsed="false">
      <c r="A5462" s="20" t="n">
        <v>46156</v>
      </c>
      <c r="B5462" s="15" t="s">
        <v>496</v>
      </c>
      <c r="C5462" s="15" t="s">
        <v>45</v>
      </c>
      <c r="D5462" s="15" t="s">
        <v>540</v>
      </c>
      <c r="E5462" s="15" t="n">
        <v>1</v>
      </c>
      <c r="H5462" s="10"/>
      <c r="I5462" s="21"/>
      <c r="M5462" s="10"/>
      <c r="N5462" s="10"/>
      <c r="P5462" s="10"/>
      <c r="Q5462" s="22"/>
    </row>
    <row r="5463" customFormat="false" ht="15.75" hidden="false" customHeight="false" outlineLevel="0" collapsed="false">
      <c r="A5463" s="20" t="n">
        <v>46156</v>
      </c>
      <c r="B5463" s="15" t="s">
        <v>496</v>
      </c>
      <c r="C5463" s="15" t="s">
        <v>37</v>
      </c>
      <c r="D5463" s="15" t="s">
        <v>561</v>
      </c>
      <c r="E5463" s="15" t="n">
        <v>1</v>
      </c>
      <c r="H5463" s="10"/>
      <c r="I5463" s="21"/>
      <c r="M5463" s="10"/>
      <c r="N5463" s="10"/>
      <c r="P5463" s="10"/>
      <c r="Q5463" s="22"/>
    </row>
    <row r="5464" customFormat="false" ht="15.75" hidden="false" customHeight="false" outlineLevel="0" collapsed="false">
      <c r="A5464" s="20" t="n">
        <v>46156</v>
      </c>
      <c r="B5464" s="15" t="s">
        <v>496</v>
      </c>
      <c r="C5464" s="15" t="s">
        <v>543</v>
      </c>
      <c r="D5464" s="15" t="s">
        <v>544</v>
      </c>
      <c r="E5464" s="15" t="n">
        <v>4</v>
      </c>
      <c r="H5464" s="10"/>
      <c r="I5464" s="21"/>
      <c r="M5464" s="10"/>
      <c r="N5464" s="10"/>
      <c r="P5464" s="10"/>
      <c r="Q5464" s="22"/>
    </row>
    <row r="5465" customFormat="false" ht="15.75" hidden="false" customHeight="false" outlineLevel="0" collapsed="false">
      <c r="A5465" s="20" t="n">
        <v>46156</v>
      </c>
      <c r="B5465" s="15" t="s">
        <v>496</v>
      </c>
      <c r="C5465" s="15" t="s">
        <v>69</v>
      </c>
      <c r="D5465" s="15" t="s">
        <v>535</v>
      </c>
      <c r="E5465" s="15" t="n">
        <v>2</v>
      </c>
      <c r="H5465" s="10"/>
      <c r="I5465" s="21"/>
      <c r="M5465" s="10"/>
      <c r="N5465" s="10"/>
      <c r="P5465" s="10"/>
      <c r="Q5465" s="22"/>
    </row>
    <row r="5466" customFormat="false" ht="15.75" hidden="false" customHeight="false" outlineLevel="0" collapsed="false">
      <c r="A5466" s="20" t="n">
        <v>46156</v>
      </c>
      <c r="B5466" s="15" t="s">
        <v>496</v>
      </c>
      <c r="C5466" s="15" t="s">
        <v>77</v>
      </c>
      <c r="D5466" s="15" t="s">
        <v>78</v>
      </c>
      <c r="E5466" s="15" t="n">
        <v>2</v>
      </c>
      <c r="H5466" s="10"/>
      <c r="I5466" s="21"/>
      <c r="M5466" s="10"/>
      <c r="N5466" s="10"/>
      <c r="P5466" s="10"/>
      <c r="Q5466" s="22"/>
    </row>
    <row r="5467" customFormat="false" ht="15.75" hidden="false" customHeight="false" outlineLevel="0" collapsed="false">
      <c r="A5467" s="20" t="n">
        <v>46156</v>
      </c>
      <c r="B5467" s="15" t="s">
        <v>496</v>
      </c>
      <c r="C5467" s="15" t="s">
        <v>59</v>
      </c>
      <c r="D5467" s="15" t="s">
        <v>562</v>
      </c>
      <c r="E5467" s="15" t="n">
        <v>2</v>
      </c>
      <c r="H5467" s="10"/>
      <c r="I5467" s="21"/>
      <c r="M5467" s="10"/>
      <c r="N5467" s="10"/>
      <c r="P5467" s="10"/>
      <c r="Q5467" s="22"/>
    </row>
    <row r="5468" customFormat="false" ht="15.75" hidden="false" customHeight="false" outlineLevel="0" collapsed="false">
      <c r="A5468" s="20" t="n">
        <v>46156</v>
      </c>
      <c r="B5468" s="15" t="s">
        <v>496</v>
      </c>
      <c r="C5468" s="15" t="s">
        <v>33</v>
      </c>
      <c r="D5468" s="15" t="s">
        <v>536</v>
      </c>
      <c r="E5468" s="15" t="n">
        <v>2</v>
      </c>
      <c r="H5468" s="10"/>
      <c r="I5468" s="21"/>
      <c r="M5468" s="10"/>
      <c r="N5468" s="10"/>
      <c r="P5468" s="10"/>
      <c r="Q5468" s="22"/>
    </row>
    <row r="5469" customFormat="false" ht="15.75" hidden="false" customHeight="false" outlineLevel="0" collapsed="false">
      <c r="A5469" s="20" t="n">
        <v>46156</v>
      </c>
      <c r="B5469" s="15" t="s">
        <v>496</v>
      </c>
      <c r="C5469" s="15" t="s">
        <v>79</v>
      </c>
      <c r="D5469" s="15" t="s">
        <v>564</v>
      </c>
      <c r="E5469" s="15" t="n">
        <v>1</v>
      </c>
      <c r="H5469" s="10"/>
      <c r="I5469" s="21"/>
      <c r="M5469" s="10"/>
      <c r="N5469" s="10"/>
      <c r="P5469" s="10"/>
      <c r="Q5469" s="22"/>
    </row>
    <row r="5470" customFormat="false" ht="15.75" hidden="false" customHeight="false" outlineLevel="0" collapsed="false">
      <c r="A5470" s="20" t="n">
        <v>46156</v>
      </c>
      <c r="B5470" s="15" t="s">
        <v>496</v>
      </c>
      <c r="C5470" s="15" t="s">
        <v>65</v>
      </c>
      <c r="D5470" s="15" t="s">
        <v>580</v>
      </c>
      <c r="E5470" s="15" t="n">
        <v>1</v>
      </c>
      <c r="H5470" s="10"/>
      <c r="I5470" s="21"/>
      <c r="M5470" s="10"/>
      <c r="N5470" s="10"/>
      <c r="P5470" s="10"/>
      <c r="Q5470" s="22"/>
    </row>
    <row r="5471" customFormat="false" ht="15.75" hidden="false" customHeight="false" outlineLevel="0" collapsed="false">
      <c r="A5471" s="20" t="n">
        <v>46156</v>
      </c>
      <c r="B5471" s="15" t="s">
        <v>205</v>
      </c>
      <c r="C5471" s="15" t="s">
        <v>55</v>
      </c>
      <c r="D5471" s="15" t="s">
        <v>539</v>
      </c>
      <c r="E5471" s="15" t="n">
        <v>3</v>
      </c>
      <c r="H5471" s="10"/>
      <c r="I5471" s="21"/>
      <c r="M5471" s="10"/>
      <c r="N5471" s="10"/>
      <c r="P5471" s="10"/>
      <c r="Q5471" s="22"/>
    </row>
    <row r="5472" customFormat="false" ht="15.75" hidden="false" customHeight="false" outlineLevel="0" collapsed="false">
      <c r="A5472" s="20" t="n">
        <v>46156</v>
      </c>
      <c r="B5472" s="15" t="s">
        <v>205</v>
      </c>
      <c r="C5472" s="15" t="s">
        <v>81</v>
      </c>
      <c r="D5472" s="15" t="s">
        <v>534</v>
      </c>
      <c r="E5472" s="15" t="n">
        <v>1</v>
      </c>
      <c r="H5472" s="10"/>
      <c r="I5472" s="21"/>
      <c r="M5472" s="10"/>
      <c r="N5472" s="10"/>
      <c r="P5472" s="10"/>
      <c r="Q5472" s="22"/>
    </row>
    <row r="5473" customFormat="false" ht="15.75" hidden="false" customHeight="false" outlineLevel="0" collapsed="false">
      <c r="A5473" s="20" t="n">
        <v>46156</v>
      </c>
      <c r="B5473" s="15" t="s">
        <v>205</v>
      </c>
      <c r="C5473" s="15" t="s">
        <v>69</v>
      </c>
      <c r="D5473" s="15" t="s">
        <v>535</v>
      </c>
      <c r="E5473" s="15" t="n">
        <v>6</v>
      </c>
      <c r="H5473" s="10"/>
      <c r="I5473" s="21"/>
      <c r="M5473" s="10"/>
      <c r="N5473" s="10"/>
      <c r="P5473" s="10"/>
      <c r="Q5473" s="22"/>
    </row>
    <row r="5474" customFormat="false" ht="15.75" hidden="false" customHeight="false" outlineLevel="0" collapsed="false">
      <c r="A5474" s="20" t="n">
        <v>46156</v>
      </c>
      <c r="B5474" s="15" t="s">
        <v>205</v>
      </c>
      <c r="C5474" s="15" t="s">
        <v>33</v>
      </c>
      <c r="D5474" s="15" t="s">
        <v>536</v>
      </c>
      <c r="E5474" s="15" t="n">
        <v>6</v>
      </c>
      <c r="H5474" s="10"/>
      <c r="I5474" s="21"/>
      <c r="M5474" s="10"/>
      <c r="N5474" s="10"/>
      <c r="P5474" s="10"/>
      <c r="Q5474" s="22"/>
    </row>
    <row r="5475" customFormat="false" ht="15.75" hidden="false" customHeight="false" outlineLevel="0" collapsed="false">
      <c r="A5475" s="20" t="n">
        <v>46156</v>
      </c>
      <c r="B5475" s="15" t="s">
        <v>504</v>
      </c>
      <c r="C5475" s="15" t="s">
        <v>47</v>
      </c>
      <c r="D5475" s="15" t="s">
        <v>549</v>
      </c>
      <c r="E5475" s="15" t="n">
        <v>6</v>
      </c>
      <c r="H5475" s="10"/>
      <c r="I5475" s="21"/>
      <c r="M5475" s="10"/>
      <c r="N5475" s="10"/>
      <c r="P5475" s="10"/>
      <c r="Q5475" s="22"/>
    </row>
    <row r="5476" customFormat="false" ht="15.75" hidden="false" customHeight="false" outlineLevel="0" collapsed="false">
      <c r="A5476" s="20" t="n">
        <v>46156</v>
      </c>
      <c r="B5476" s="15" t="s">
        <v>504</v>
      </c>
      <c r="C5476" s="15" t="s">
        <v>55</v>
      </c>
      <c r="D5476" s="15" t="s">
        <v>539</v>
      </c>
      <c r="E5476" s="15" t="n">
        <v>12</v>
      </c>
      <c r="H5476" s="10"/>
      <c r="I5476" s="21"/>
      <c r="M5476" s="10"/>
      <c r="N5476" s="10"/>
      <c r="P5476" s="10"/>
      <c r="Q5476" s="22"/>
    </row>
    <row r="5477" customFormat="false" ht="15.75" hidden="false" customHeight="false" outlineLevel="0" collapsed="false">
      <c r="A5477" s="20" t="n">
        <v>46156</v>
      </c>
      <c r="B5477" s="15" t="s">
        <v>504</v>
      </c>
      <c r="C5477" s="15" t="s">
        <v>81</v>
      </c>
      <c r="D5477" s="15" t="s">
        <v>534</v>
      </c>
      <c r="E5477" s="15" t="n">
        <v>18</v>
      </c>
      <c r="H5477" s="10"/>
      <c r="I5477" s="21"/>
      <c r="M5477" s="10"/>
      <c r="N5477" s="10"/>
      <c r="P5477" s="10"/>
      <c r="Q5477" s="22"/>
    </row>
    <row r="5478" customFormat="false" ht="15.75" hidden="false" customHeight="false" outlineLevel="0" collapsed="false">
      <c r="A5478" s="20" t="n">
        <v>46156</v>
      </c>
      <c r="B5478" s="15" t="s">
        <v>504</v>
      </c>
      <c r="C5478" s="15" t="s">
        <v>39</v>
      </c>
      <c r="D5478" s="15" t="s">
        <v>550</v>
      </c>
      <c r="E5478" s="15" t="n">
        <v>2</v>
      </c>
      <c r="H5478" s="10"/>
      <c r="I5478" s="21"/>
      <c r="M5478" s="10"/>
      <c r="N5478" s="10"/>
      <c r="P5478" s="10"/>
      <c r="Q5478" s="22"/>
    </row>
    <row r="5479" customFormat="false" ht="15.75" hidden="false" customHeight="false" outlineLevel="0" collapsed="false">
      <c r="A5479" s="20" t="n">
        <v>46156</v>
      </c>
      <c r="B5479" s="15" t="s">
        <v>504</v>
      </c>
      <c r="C5479" s="15" t="s">
        <v>63</v>
      </c>
      <c r="D5479" s="15" t="s">
        <v>551</v>
      </c>
      <c r="E5479" s="15" t="n">
        <v>2</v>
      </c>
      <c r="H5479" s="10"/>
      <c r="I5479" s="21"/>
      <c r="M5479" s="10"/>
      <c r="N5479" s="10"/>
      <c r="P5479" s="10"/>
      <c r="Q5479" s="22"/>
    </row>
    <row r="5480" customFormat="false" ht="15.75" hidden="false" customHeight="false" outlineLevel="0" collapsed="false">
      <c r="A5480" s="20" t="n">
        <v>46156</v>
      </c>
      <c r="B5480" s="15" t="s">
        <v>504</v>
      </c>
      <c r="C5480" s="15" t="s">
        <v>17</v>
      </c>
      <c r="D5480" s="15" t="s">
        <v>554</v>
      </c>
      <c r="E5480" s="15" t="n">
        <v>2</v>
      </c>
      <c r="H5480" s="10"/>
      <c r="I5480" s="21"/>
      <c r="M5480" s="10"/>
      <c r="N5480" s="10"/>
      <c r="P5480" s="10"/>
      <c r="Q5480" s="22"/>
    </row>
    <row r="5481" customFormat="false" ht="15.75" hidden="false" customHeight="false" outlineLevel="0" collapsed="false">
      <c r="A5481" s="20" t="n">
        <v>46156</v>
      </c>
      <c r="B5481" s="15" t="s">
        <v>505</v>
      </c>
      <c r="C5481" s="15" t="s">
        <v>55</v>
      </c>
      <c r="D5481" s="15" t="s">
        <v>539</v>
      </c>
      <c r="E5481" s="15" t="n">
        <v>6</v>
      </c>
      <c r="H5481" s="10"/>
      <c r="I5481" s="21"/>
      <c r="M5481" s="10"/>
      <c r="N5481" s="10"/>
      <c r="P5481" s="10"/>
      <c r="Q5481" s="22"/>
    </row>
    <row r="5482" customFormat="false" ht="15.75" hidden="false" customHeight="false" outlineLevel="0" collapsed="false">
      <c r="A5482" s="20" t="n">
        <v>46156</v>
      </c>
      <c r="B5482" s="15" t="s">
        <v>505</v>
      </c>
      <c r="C5482" s="15" t="s">
        <v>39</v>
      </c>
      <c r="D5482" s="15" t="s">
        <v>550</v>
      </c>
      <c r="E5482" s="15" t="n">
        <v>1</v>
      </c>
      <c r="H5482" s="10"/>
      <c r="I5482" s="21"/>
      <c r="M5482" s="10"/>
      <c r="N5482" s="10"/>
      <c r="P5482" s="10"/>
      <c r="Q5482" s="22"/>
    </row>
    <row r="5483" customFormat="false" ht="15.75" hidden="false" customHeight="false" outlineLevel="0" collapsed="false">
      <c r="A5483" s="20" t="n">
        <v>46156</v>
      </c>
      <c r="B5483" s="15" t="s">
        <v>505</v>
      </c>
      <c r="C5483" s="15" t="s">
        <v>81</v>
      </c>
      <c r="D5483" s="15" t="s">
        <v>534</v>
      </c>
      <c r="E5483" s="15" t="n">
        <v>9</v>
      </c>
      <c r="H5483" s="10"/>
      <c r="I5483" s="21"/>
      <c r="M5483" s="10"/>
      <c r="N5483" s="10"/>
      <c r="P5483" s="10"/>
      <c r="Q5483" s="22"/>
    </row>
    <row r="5484" customFormat="false" ht="15.75" hidden="false" customHeight="false" outlineLevel="0" collapsed="false">
      <c r="A5484" s="20" t="n">
        <v>46156</v>
      </c>
      <c r="B5484" s="15" t="s">
        <v>505</v>
      </c>
      <c r="C5484" s="15" t="s">
        <v>47</v>
      </c>
      <c r="D5484" s="15" t="s">
        <v>549</v>
      </c>
      <c r="E5484" s="15" t="n">
        <v>3</v>
      </c>
      <c r="H5484" s="10"/>
      <c r="I5484" s="21"/>
      <c r="M5484" s="10"/>
      <c r="N5484" s="10"/>
      <c r="P5484" s="10"/>
      <c r="Q5484" s="22"/>
    </row>
    <row r="5485" customFormat="false" ht="15.75" hidden="false" customHeight="false" outlineLevel="0" collapsed="false">
      <c r="A5485" s="20" t="n">
        <v>46156</v>
      </c>
      <c r="B5485" s="15" t="s">
        <v>505</v>
      </c>
      <c r="C5485" s="15" t="s">
        <v>63</v>
      </c>
      <c r="D5485" s="15" t="s">
        <v>551</v>
      </c>
      <c r="E5485" s="15" t="n">
        <v>1</v>
      </c>
      <c r="H5485" s="10"/>
      <c r="I5485" s="21"/>
      <c r="M5485" s="10"/>
      <c r="N5485" s="10"/>
      <c r="P5485" s="10"/>
      <c r="Q5485" s="22"/>
    </row>
    <row r="5486" customFormat="false" ht="15.75" hidden="false" customHeight="false" outlineLevel="0" collapsed="false">
      <c r="A5486" s="20" t="n">
        <v>46156</v>
      </c>
      <c r="B5486" s="15" t="s">
        <v>505</v>
      </c>
      <c r="C5486" s="15" t="s">
        <v>17</v>
      </c>
      <c r="D5486" s="15" t="s">
        <v>554</v>
      </c>
      <c r="E5486" s="15" t="n">
        <v>1</v>
      </c>
      <c r="H5486" s="10"/>
      <c r="I5486" s="21"/>
      <c r="M5486" s="10"/>
      <c r="N5486" s="10"/>
      <c r="P5486" s="10"/>
      <c r="Q5486" s="22"/>
    </row>
    <row r="5487" customFormat="false" ht="15.75" hidden="false" customHeight="false" outlineLevel="0" collapsed="false">
      <c r="A5487" s="20" t="n">
        <v>46156</v>
      </c>
      <c r="B5487" s="15" t="s">
        <v>520</v>
      </c>
      <c r="C5487" s="15" t="s">
        <v>55</v>
      </c>
      <c r="D5487" s="15" t="s">
        <v>539</v>
      </c>
      <c r="E5487" s="15" t="n">
        <v>3</v>
      </c>
      <c r="H5487" s="10"/>
      <c r="I5487" s="21"/>
      <c r="M5487" s="10"/>
      <c r="N5487" s="10"/>
      <c r="P5487" s="10"/>
      <c r="Q5487" s="22"/>
    </row>
    <row r="5488" customFormat="false" ht="15.75" hidden="false" customHeight="false" outlineLevel="0" collapsed="false">
      <c r="A5488" s="20" t="n">
        <v>46156</v>
      </c>
      <c r="B5488" s="15" t="s">
        <v>520</v>
      </c>
      <c r="C5488" s="15" t="s">
        <v>69</v>
      </c>
      <c r="D5488" s="15" t="s">
        <v>535</v>
      </c>
      <c r="E5488" s="15" t="n">
        <v>4</v>
      </c>
      <c r="H5488" s="10"/>
      <c r="I5488" s="21"/>
      <c r="M5488" s="10"/>
      <c r="N5488" s="10"/>
      <c r="P5488" s="10"/>
      <c r="Q5488" s="22"/>
    </row>
    <row r="5489" customFormat="false" ht="15.75" hidden="false" customHeight="false" outlineLevel="0" collapsed="false">
      <c r="A5489" s="20" t="n">
        <v>46156</v>
      </c>
      <c r="B5489" s="15" t="s">
        <v>520</v>
      </c>
      <c r="C5489" s="15" t="s">
        <v>81</v>
      </c>
      <c r="D5489" s="15" t="s">
        <v>534</v>
      </c>
      <c r="E5489" s="15" t="n">
        <v>1</v>
      </c>
      <c r="H5489" s="10"/>
      <c r="I5489" s="21"/>
      <c r="M5489" s="10"/>
      <c r="N5489" s="10"/>
      <c r="P5489" s="10"/>
      <c r="Q5489" s="22"/>
    </row>
    <row r="5490" customFormat="false" ht="15.75" hidden="false" customHeight="false" outlineLevel="0" collapsed="false">
      <c r="A5490" s="20" t="n">
        <v>46156</v>
      </c>
      <c r="B5490" s="15" t="s">
        <v>520</v>
      </c>
      <c r="C5490" s="15" t="s">
        <v>77</v>
      </c>
      <c r="D5490" s="15" t="s">
        <v>78</v>
      </c>
      <c r="E5490" s="15" t="n">
        <v>2</v>
      </c>
      <c r="H5490" s="10"/>
      <c r="I5490" s="21"/>
      <c r="M5490" s="10"/>
      <c r="N5490" s="10"/>
      <c r="P5490" s="10"/>
      <c r="Q5490" s="22"/>
    </row>
    <row r="5491" customFormat="false" ht="15.75" hidden="false" customHeight="false" outlineLevel="0" collapsed="false">
      <c r="A5491" s="20" t="n">
        <v>46156</v>
      </c>
      <c r="B5491" s="15" t="s">
        <v>520</v>
      </c>
      <c r="C5491" s="15" t="s">
        <v>33</v>
      </c>
      <c r="D5491" s="15" t="s">
        <v>536</v>
      </c>
      <c r="E5491" s="15" t="n">
        <v>4</v>
      </c>
      <c r="H5491" s="10"/>
      <c r="I5491" s="21"/>
      <c r="M5491" s="10"/>
      <c r="N5491" s="10"/>
      <c r="P5491" s="10"/>
      <c r="Q5491" s="22"/>
    </row>
    <row r="5492" customFormat="false" ht="15.75" hidden="false" customHeight="false" outlineLevel="0" collapsed="false">
      <c r="A5492" s="20" t="n">
        <v>46156</v>
      </c>
      <c r="B5492" s="15" t="s">
        <v>520</v>
      </c>
      <c r="C5492" s="15" t="s">
        <v>45</v>
      </c>
      <c r="D5492" s="15" t="s">
        <v>540</v>
      </c>
      <c r="E5492" s="15" t="n">
        <v>1</v>
      </c>
      <c r="H5492" s="10"/>
      <c r="I5492" s="21"/>
      <c r="M5492" s="10"/>
      <c r="N5492" s="10"/>
      <c r="P5492" s="10"/>
      <c r="Q5492" s="22"/>
    </row>
    <row r="5493" customFormat="false" ht="15.75" hidden="false" customHeight="false" outlineLevel="0" collapsed="false">
      <c r="A5493" s="20" t="n">
        <v>46156</v>
      </c>
      <c r="B5493" s="15" t="s">
        <v>520</v>
      </c>
      <c r="C5493" s="15" t="s">
        <v>59</v>
      </c>
      <c r="D5493" s="15" t="s">
        <v>562</v>
      </c>
      <c r="E5493" s="15" t="n">
        <v>3</v>
      </c>
      <c r="H5493" s="10"/>
      <c r="I5493" s="21"/>
      <c r="M5493" s="10"/>
      <c r="N5493" s="10"/>
      <c r="P5493" s="10"/>
      <c r="Q5493" s="22"/>
    </row>
    <row r="5494" customFormat="false" ht="15.75" hidden="false" customHeight="false" outlineLevel="0" collapsed="false">
      <c r="A5494" s="20" t="n">
        <v>46156</v>
      </c>
      <c r="B5494" s="15" t="s">
        <v>520</v>
      </c>
      <c r="C5494" s="15" t="s">
        <v>43</v>
      </c>
      <c r="D5494" s="15" t="s">
        <v>538</v>
      </c>
      <c r="E5494" s="15" t="n">
        <v>1</v>
      </c>
      <c r="H5494" s="10"/>
      <c r="I5494" s="21"/>
      <c r="M5494" s="10"/>
      <c r="N5494" s="10"/>
      <c r="P5494" s="10"/>
      <c r="Q5494" s="22"/>
    </row>
    <row r="5495" customFormat="false" ht="15.75" hidden="false" customHeight="false" outlineLevel="0" collapsed="false">
      <c r="A5495" s="20" t="n">
        <v>46157</v>
      </c>
      <c r="B5495" s="15" t="s">
        <v>452</v>
      </c>
      <c r="C5495" s="15" t="s">
        <v>81</v>
      </c>
      <c r="D5495" s="15" t="s">
        <v>534</v>
      </c>
      <c r="E5495" s="15" t="n">
        <v>11</v>
      </c>
      <c r="H5495" s="10"/>
      <c r="I5495" s="21"/>
      <c r="M5495" s="10"/>
      <c r="N5495" s="10"/>
      <c r="P5495" s="10"/>
      <c r="Q5495" s="22"/>
    </row>
    <row r="5496" customFormat="false" ht="15.75" hidden="false" customHeight="false" outlineLevel="0" collapsed="false">
      <c r="A5496" s="20" t="n">
        <v>46157</v>
      </c>
      <c r="B5496" s="15" t="s">
        <v>452</v>
      </c>
      <c r="C5496" s="15" t="s">
        <v>555</v>
      </c>
      <c r="D5496" s="15" t="s">
        <v>556</v>
      </c>
      <c r="E5496" s="15" t="n">
        <v>2</v>
      </c>
      <c r="H5496" s="10"/>
      <c r="I5496" s="21"/>
      <c r="M5496" s="10"/>
      <c r="N5496" s="10"/>
      <c r="P5496" s="10"/>
      <c r="Q5496" s="22"/>
    </row>
    <row r="5497" customFormat="false" ht="15.75" hidden="false" customHeight="false" outlineLevel="0" collapsed="false">
      <c r="A5497" s="20" t="n">
        <v>46157</v>
      </c>
      <c r="B5497" s="15" t="s">
        <v>452</v>
      </c>
      <c r="C5497" s="15" t="s">
        <v>545</v>
      </c>
      <c r="D5497" s="15" t="s">
        <v>546</v>
      </c>
      <c r="E5497" s="15" t="n">
        <v>1</v>
      </c>
      <c r="H5497" s="10"/>
      <c r="I5497" s="21"/>
      <c r="M5497" s="10"/>
      <c r="N5497" s="10"/>
      <c r="P5497" s="10"/>
      <c r="Q5497" s="22"/>
    </row>
    <row r="5498" customFormat="false" ht="15.75" hidden="false" customHeight="false" outlineLevel="0" collapsed="false">
      <c r="A5498" s="20" t="n">
        <v>46157</v>
      </c>
      <c r="B5498" s="15" t="s">
        <v>452</v>
      </c>
      <c r="C5498" s="15" t="s">
        <v>543</v>
      </c>
      <c r="D5498" s="15" t="s">
        <v>544</v>
      </c>
      <c r="E5498" s="15" t="n">
        <v>1</v>
      </c>
      <c r="H5498" s="10"/>
      <c r="I5498" s="21"/>
      <c r="M5498" s="10"/>
      <c r="N5498" s="10"/>
      <c r="P5498" s="10"/>
      <c r="Q5498" s="22"/>
    </row>
    <row r="5499" customFormat="false" ht="15.75" hidden="false" customHeight="false" outlineLevel="0" collapsed="false">
      <c r="A5499" s="20" t="n">
        <v>46157</v>
      </c>
      <c r="B5499" s="15" t="s">
        <v>452</v>
      </c>
      <c r="C5499" s="15" t="s">
        <v>69</v>
      </c>
      <c r="D5499" s="15" t="s">
        <v>535</v>
      </c>
      <c r="E5499" s="15" t="n">
        <v>4</v>
      </c>
      <c r="H5499" s="10"/>
      <c r="I5499" s="21"/>
      <c r="M5499" s="10"/>
      <c r="N5499" s="10"/>
      <c r="P5499" s="10"/>
      <c r="Q5499" s="22"/>
    </row>
    <row r="5500" customFormat="false" ht="15.75" hidden="false" customHeight="false" outlineLevel="0" collapsed="false">
      <c r="A5500" s="20" t="n">
        <v>46157</v>
      </c>
      <c r="B5500" s="15" t="s">
        <v>452</v>
      </c>
      <c r="C5500" s="15" t="s">
        <v>33</v>
      </c>
      <c r="D5500" s="15" t="s">
        <v>536</v>
      </c>
      <c r="E5500" s="15" t="n">
        <v>4</v>
      </c>
      <c r="H5500" s="10"/>
      <c r="I5500" s="21"/>
      <c r="M5500" s="10"/>
      <c r="N5500" s="10"/>
      <c r="P5500" s="10"/>
      <c r="Q5500" s="22"/>
    </row>
    <row r="5501" customFormat="false" ht="15.75" hidden="false" customHeight="false" outlineLevel="0" collapsed="false">
      <c r="A5501" s="20" t="n">
        <v>46157</v>
      </c>
      <c r="B5501" s="15" t="s">
        <v>452</v>
      </c>
      <c r="C5501" s="15" t="s">
        <v>79</v>
      </c>
      <c r="D5501" s="15" t="s">
        <v>564</v>
      </c>
      <c r="E5501" s="15" t="n">
        <v>1</v>
      </c>
      <c r="H5501" s="10"/>
      <c r="I5501" s="21"/>
      <c r="M5501" s="10"/>
      <c r="N5501" s="10"/>
      <c r="P5501" s="10"/>
      <c r="Q5501" s="22"/>
    </row>
    <row r="5502" customFormat="false" ht="15.75" hidden="false" customHeight="false" outlineLevel="0" collapsed="false">
      <c r="A5502" s="20" t="n">
        <v>46157</v>
      </c>
      <c r="B5502" s="15" t="s">
        <v>452</v>
      </c>
      <c r="C5502" s="15" t="s">
        <v>77</v>
      </c>
      <c r="D5502" s="15" t="s">
        <v>78</v>
      </c>
      <c r="E5502" s="15" t="n">
        <v>2</v>
      </c>
      <c r="H5502" s="10"/>
      <c r="I5502" s="21"/>
      <c r="M5502" s="10"/>
      <c r="N5502" s="10"/>
      <c r="P5502" s="10"/>
      <c r="Q5502" s="22"/>
    </row>
    <row r="5503" customFormat="false" ht="15.75" hidden="false" customHeight="false" outlineLevel="0" collapsed="false">
      <c r="A5503" s="20" t="n">
        <v>46157</v>
      </c>
      <c r="B5503" s="15" t="s">
        <v>452</v>
      </c>
      <c r="C5503" s="15" t="s">
        <v>49</v>
      </c>
      <c r="D5503" s="15" t="s">
        <v>537</v>
      </c>
      <c r="E5503" s="15" t="n">
        <v>5</v>
      </c>
      <c r="H5503" s="10"/>
      <c r="I5503" s="21"/>
      <c r="M5503" s="10"/>
      <c r="N5503" s="10"/>
      <c r="P5503" s="10"/>
      <c r="Q5503" s="22"/>
    </row>
    <row r="5504" customFormat="false" ht="15.75" hidden="false" customHeight="false" outlineLevel="0" collapsed="false">
      <c r="A5504" s="20" t="n">
        <v>46157</v>
      </c>
      <c r="B5504" s="15" t="s">
        <v>452</v>
      </c>
      <c r="C5504" s="15" t="s">
        <v>61</v>
      </c>
      <c r="D5504" s="15" t="s">
        <v>576</v>
      </c>
      <c r="E5504" s="15" t="n">
        <v>1</v>
      </c>
      <c r="H5504" s="10"/>
      <c r="I5504" s="21"/>
      <c r="M5504" s="10"/>
      <c r="N5504" s="10"/>
      <c r="P5504" s="10"/>
      <c r="Q5504" s="22"/>
    </row>
    <row r="5505" customFormat="false" ht="15.75" hidden="false" customHeight="false" outlineLevel="0" collapsed="false">
      <c r="A5505" s="20" t="n">
        <v>46157</v>
      </c>
      <c r="B5505" s="15" t="s">
        <v>453</v>
      </c>
      <c r="C5505" s="15" t="s">
        <v>47</v>
      </c>
      <c r="D5505" s="15" t="s">
        <v>549</v>
      </c>
      <c r="E5505" s="15" t="n">
        <v>4</v>
      </c>
      <c r="H5505" s="10"/>
      <c r="I5505" s="21"/>
      <c r="M5505" s="10"/>
      <c r="N5505" s="10"/>
      <c r="P5505" s="10"/>
      <c r="Q5505" s="22"/>
    </row>
    <row r="5506" customFormat="false" ht="15.75" hidden="false" customHeight="false" outlineLevel="0" collapsed="false">
      <c r="A5506" s="20" t="n">
        <v>46157</v>
      </c>
      <c r="B5506" s="15" t="s">
        <v>453</v>
      </c>
      <c r="C5506" s="15" t="s">
        <v>55</v>
      </c>
      <c r="D5506" s="15" t="s">
        <v>539</v>
      </c>
      <c r="E5506" s="15" t="n">
        <v>8</v>
      </c>
      <c r="H5506" s="10"/>
      <c r="I5506" s="21"/>
      <c r="M5506" s="10"/>
      <c r="N5506" s="10"/>
      <c r="P5506" s="10"/>
      <c r="Q5506" s="22"/>
    </row>
    <row r="5507" customFormat="false" ht="15.75" hidden="false" customHeight="false" outlineLevel="0" collapsed="false">
      <c r="A5507" s="20" t="n">
        <v>46157</v>
      </c>
      <c r="B5507" s="15" t="s">
        <v>453</v>
      </c>
      <c r="C5507" s="15" t="s">
        <v>81</v>
      </c>
      <c r="D5507" s="15" t="s">
        <v>534</v>
      </c>
      <c r="E5507" s="15" t="n">
        <v>16</v>
      </c>
      <c r="H5507" s="10"/>
      <c r="I5507" s="21"/>
      <c r="M5507" s="10"/>
      <c r="N5507" s="10"/>
      <c r="P5507" s="10"/>
      <c r="Q5507" s="22"/>
    </row>
    <row r="5508" customFormat="false" ht="15.75" hidden="false" customHeight="false" outlineLevel="0" collapsed="false">
      <c r="A5508" s="20" t="n">
        <v>46157</v>
      </c>
      <c r="B5508" s="15" t="s">
        <v>453</v>
      </c>
      <c r="C5508" s="15" t="s">
        <v>39</v>
      </c>
      <c r="D5508" s="15" t="s">
        <v>550</v>
      </c>
      <c r="E5508" s="15" t="n">
        <v>4</v>
      </c>
      <c r="H5508" s="10"/>
      <c r="I5508" s="21"/>
      <c r="M5508" s="10"/>
      <c r="N5508" s="10"/>
      <c r="P5508" s="10"/>
      <c r="Q5508" s="22"/>
    </row>
    <row r="5509" customFormat="false" ht="15.75" hidden="false" customHeight="false" outlineLevel="0" collapsed="false">
      <c r="A5509" s="20" t="n">
        <v>46157</v>
      </c>
      <c r="B5509" s="15" t="s">
        <v>453</v>
      </c>
      <c r="C5509" s="15" t="s">
        <v>63</v>
      </c>
      <c r="D5509" s="15" t="s">
        <v>551</v>
      </c>
      <c r="E5509" s="15" t="n">
        <v>2</v>
      </c>
      <c r="H5509" s="10"/>
      <c r="I5509" s="21"/>
      <c r="M5509" s="10"/>
      <c r="N5509" s="10"/>
      <c r="P5509" s="10"/>
      <c r="Q5509" s="22"/>
    </row>
    <row r="5510" customFormat="false" ht="15.75" hidden="false" customHeight="false" outlineLevel="0" collapsed="false">
      <c r="A5510" s="20" t="n">
        <v>46157</v>
      </c>
      <c r="B5510" s="15" t="s">
        <v>453</v>
      </c>
      <c r="C5510" s="15" t="s">
        <v>35</v>
      </c>
      <c r="D5510" s="15" t="s">
        <v>552</v>
      </c>
      <c r="E5510" s="15" t="n">
        <v>4</v>
      </c>
      <c r="H5510" s="10"/>
      <c r="I5510" s="21"/>
      <c r="M5510" s="10"/>
      <c r="N5510" s="10"/>
      <c r="P5510" s="10"/>
      <c r="Q5510" s="22"/>
    </row>
    <row r="5511" customFormat="false" ht="15.75" hidden="false" customHeight="false" outlineLevel="0" collapsed="false">
      <c r="A5511" s="20" t="n">
        <v>46157</v>
      </c>
      <c r="B5511" s="15" t="s">
        <v>471</v>
      </c>
      <c r="C5511" s="15" t="s">
        <v>25</v>
      </c>
      <c r="D5511" s="15" t="s">
        <v>26</v>
      </c>
      <c r="E5511" s="15" t="n">
        <v>2</v>
      </c>
      <c r="H5511" s="10"/>
      <c r="I5511" s="21"/>
      <c r="M5511" s="10"/>
      <c r="N5511" s="10"/>
      <c r="P5511" s="10"/>
      <c r="Q5511" s="22"/>
    </row>
    <row r="5512" customFormat="false" ht="15.75" hidden="false" customHeight="false" outlineLevel="0" collapsed="false">
      <c r="A5512" s="20" t="n">
        <v>46157</v>
      </c>
      <c r="B5512" s="15" t="s">
        <v>471</v>
      </c>
      <c r="C5512" s="15" t="s">
        <v>69</v>
      </c>
      <c r="D5512" s="15" t="s">
        <v>535</v>
      </c>
      <c r="E5512" s="15" t="n">
        <v>2</v>
      </c>
      <c r="H5512" s="10"/>
      <c r="I5512" s="21"/>
      <c r="M5512" s="10"/>
      <c r="N5512" s="10"/>
      <c r="P5512" s="10"/>
      <c r="Q5512" s="22"/>
    </row>
    <row r="5513" customFormat="false" ht="15.75" hidden="false" customHeight="false" outlineLevel="0" collapsed="false">
      <c r="A5513" s="20" t="n">
        <v>46157</v>
      </c>
      <c r="B5513" s="15" t="s">
        <v>471</v>
      </c>
      <c r="C5513" s="15" t="s">
        <v>555</v>
      </c>
      <c r="D5513" s="15" t="s">
        <v>556</v>
      </c>
      <c r="E5513" s="15" t="n">
        <v>2</v>
      </c>
      <c r="H5513" s="10"/>
      <c r="I5513" s="21"/>
      <c r="M5513" s="10"/>
      <c r="N5513" s="10"/>
      <c r="P5513" s="10"/>
      <c r="Q5513" s="22"/>
    </row>
    <row r="5514" customFormat="false" ht="15.75" hidden="false" customHeight="false" outlineLevel="0" collapsed="false">
      <c r="A5514" s="20" t="n">
        <v>46157</v>
      </c>
      <c r="B5514" s="15" t="s">
        <v>473</v>
      </c>
      <c r="C5514" s="15" t="s">
        <v>555</v>
      </c>
      <c r="D5514" s="15" t="s">
        <v>556</v>
      </c>
      <c r="E5514" s="15" t="n">
        <v>4</v>
      </c>
      <c r="H5514" s="10"/>
      <c r="I5514" s="21"/>
      <c r="M5514" s="10"/>
      <c r="N5514" s="10"/>
      <c r="P5514" s="10"/>
      <c r="Q5514" s="22"/>
    </row>
    <row r="5515" customFormat="false" ht="15.75" hidden="false" customHeight="false" outlineLevel="0" collapsed="false">
      <c r="A5515" s="20" t="n">
        <v>46157</v>
      </c>
      <c r="B5515" s="15" t="s">
        <v>473</v>
      </c>
      <c r="C5515" s="15" t="s">
        <v>11</v>
      </c>
      <c r="D5515" s="15" t="s">
        <v>572</v>
      </c>
      <c r="E5515" s="15" t="n">
        <v>4</v>
      </c>
      <c r="H5515" s="10"/>
      <c r="I5515" s="21"/>
      <c r="M5515" s="10"/>
      <c r="N5515" s="10"/>
      <c r="P5515" s="10"/>
      <c r="Q5515" s="22"/>
    </row>
    <row r="5516" customFormat="false" ht="15.75" hidden="false" customHeight="false" outlineLevel="0" collapsed="false">
      <c r="A5516" s="20" t="n">
        <v>46157</v>
      </c>
      <c r="B5516" s="15" t="s">
        <v>473</v>
      </c>
      <c r="C5516" s="15" t="s">
        <v>543</v>
      </c>
      <c r="D5516" s="15" t="s">
        <v>544</v>
      </c>
      <c r="E5516" s="15" t="n">
        <v>4</v>
      </c>
      <c r="H5516" s="10"/>
      <c r="I5516" s="21"/>
      <c r="M5516" s="10"/>
      <c r="N5516" s="10"/>
      <c r="P5516" s="10"/>
      <c r="Q5516" s="22"/>
    </row>
    <row r="5517" customFormat="false" ht="15.75" hidden="false" customHeight="false" outlineLevel="0" collapsed="false">
      <c r="A5517" s="20" t="n">
        <v>46157</v>
      </c>
      <c r="B5517" s="15" t="s">
        <v>473</v>
      </c>
      <c r="C5517" s="15" t="s">
        <v>91</v>
      </c>
      <c r="D5517" s="15" t="s">
        <v>91</v>
      </c>
      <c r="E5517" s="15" t="n">
        <v>4</v>
      </c>
      <c r="H5517" s="10"/>
      <c r="I5517" s="21"/>
      <c r="M5517" s="10"/>
      <c r="N5517" s="10"/>
      <c r="P5517" s="10"/>
      <c r="Q5517" s="22"/>
    </row>
    <row r="5518" customFormat="false" ht="15.75" hidden="false" customHeight="false" outlineLevel="0" collapsed="false">
      <c r="A5518" s="20" t="n">
        <v>46157</v>
      </c>
      <c r="B5518" s="15" t="s">
        <v>473</v>
      </c>
      <c r="C5518" s="15" t="s">
        <v>25</v>
      </c>
      <c r="D5518" s="15" t="s">
        <v>26</v>
      </c>
      <c r="E5518" s="15" t="n">
        <v>4</v>
      </c>
      <c r="H5518" s="10"/>
      <c r="I5518" s="21"/>
      <c r="M5518" s="10"/>
      <c r="N5518" s="10"/>
      <c r="P5518" s="10"/>
      <c r="Q5518" s="22"/>
    </row>
    <row r="5519" customFormat="false" ht="15.75" hidden="false" customHeight="false" outlineLevel="0" collapsed="false">
      <c r="A5519" s="20" t="n">
        <v>46157</v>
      </c>
      <c r="B5519" s="15" t="s">
        <v>480</v>
      </c>
      <c r="C5519" s="15" t="s">
        <v>547</v>
      </c>
      <c r="D5519" s="15" t="s">
        <v>548</v>
      </c>
      <c r="E5519" s="15" t="n">
        <v>1</v>
      </c>
      <c r="H5519" s="10"/>
      <c r="I5519" s="21"/>
      <c r="M5519" s="10"/>
      <c r="N5519" s="10"/>
      <c r="P5519" s="10"/>
      <c r="Q5519" s="22"/>
    </row>
    <row r="5520" customFormat="false" ht="15.75" hidden="false" customHeight="false" outlineLevel="0" collapsed="false">
      <c r="A5520" s="20" t="n">
        <v>46157</v>
      </c>
      <c r="B5520" s="15" t="s">
        <v>480</v>
      </c>
      <c r="C5520" s="15" t="s">
        <v>69</v>
      </c>
      <c r="D5520" s="15" t="s">
        <v>535</v>
      </c>
      <c r="E5520" s="15" t="n">
        <v>1</v>
      </c>
      <c r="H5520" s="10"/>
      <c r="I5520" s="21"/>
      <c r="M5520" s="10"/>
      <c r="N5520" s="10"/>
      <c r="P5520" s="10"/>
      <c r="Q5520" s="22"/>
    </row>
    <row r="5521" customFormat="false" ht="15.75" hidden="false" customHeight="false" outlineLevel="0" collapsed="false">
      <c r="A5521" s="20" t="n">
        <v>46157</v>
      </c>
      <c r="B5521" s="15" t="s">
        <v>487</v>
      </c>
      <c r="C5521" s="15" t="s">
        <v>55</v>
      </c>
      <c r="D5521" s="15" t="s">
        <v>539</v>
      </c>
      <c r="E5521" s="15" t="n">
        <v>1</v>
      </c>
      <c r="H5521" s="10"/>
      <c r="I5521" s="21"/>
      <c r="M5521" s="10"/>
      <c r="N5521" s="10"/>
      <c r="P5521" s="10"/>
      <c r="Q5521" s="22"/>
    </row>
    <row r="5522" customFormat="false" ht="15.75" hidden="false" customHeight="false" outlineLevel="0" collapsed="false">
      <c r="A5522" s="20" t="n">
        <v>46157</v>
      </c>
      <c r="B5522" s="15" t="s">
        <v>487</v>
      </c>
      <c r="C5522" s="15" t="s">
        <v>81</v>
      </c>
      <c r="D5522" s="15" t="s">
        <v>534</v>
      </c>
      <c r="E5522" s="15" t="n">
        <v>9</v>
      </c>
      <c r="H5522" s="10"/>
      <c r="I5522" s="21"/>
      <c r="M5522" s="10"/>
      <c r="N5522" s="10"/>
      <c r="P5522" s="10"/>
      <c r="Q5522" s="22"/>
    </row>
    <row r="5523" customFormat="false" ht="15.75" hidden="false" customHeight="false" outlineLevel="0" collapsed="false">
      <c r="A5523" s="20" t="n">
        <v>46157</v>
      </c>
      <c r="B5523" s="15" t="s">
        <v>487</v>
      </c>
      <c r="C5523" s="15" t="s">
        <v>555</v>
      </c>
      <c r="D5523" s="15" t="s">
        <v>556</v>
      </c>
      <c r="E5523" s="15" t="n">
        <v>1</v>
      </c>
      <c r="H5523" s="10"/>
      <c r="I5523" s="21"/>
      <c r="M5523" s="10"/>
      <c r="N5523" s="10"/>
      <c r="P5523" s="10"/>
      <c r="Q5523" s="22"/>
    </row>
    <row r="5524" customFormat="false" ht="15.75" hidden="false" customHeight="false" outlineLevel="0" collapsed="false">
      <c r="A5524" s="20" t="n">
        <v>46157</v>
      </c>
      <c r="B5524" s="15" t="s">
        <v>487</v>
      </c>
      <c r="C5524" s="15" t="s">
        <v>570</v>
      </c>
      <c r="D5524" s="15" t="s">
        <v>571</v>
      </c>
      <c r="E5524" s="15" t="n">
        <v>1</v>
      </c>
      <c r="H5524" s="10"/>
      <c r="I5524" s="21"/>
      <c r="M5524" s="10"/>
      <c r="N5524" s="10"/>
      <c r="P5524" s="10"/>
      <c r="Q5524" s="22"/>
    </row>
    <row r="5525" customFormat="false" ht="15.75" hidden="false" customHeight="false" outlineLevel="0" collapsed="false">
      <c r="A5525" s="20" t="n">
        <v>46157</v>
      </c>
      <c r="B5525" s="15" t="s">
        <v>487</v>
      </c>
      <c r="C5525" s="15" t="s">
        <v>25</v>
      </c>
      <c r="D5525" s="15" t="s">
        <v>26</v>
      </c>
      <c r="E5525" s="15" t="n">
        <v>1</v>
      </c>
      <c r="H5525" s="10"/>
      <c r="I5525" s="21"/>
      <c r="M5525" s="10"/>
      <c r="N5525" s="10"/>
      <c r="P5525" s="10"/>
      <c r="Q5525" s="22"/>
    </row>
    <row r="5526" customFormat="false" ht="15.75" hidden="false" customHeight="false" outlineLevel="0" collapsed="false">
      <c r="A5526" s="20" t="n">
        <v>46157</v>
      </c>
      <c r="B5526" s="15" t="s">
        <v>487</v>
      </c>
      <c r="C5526" s="15" t="s">
        <v>91</v>
      </c>
      <c r="D5526" s="15" t="s">
        <v>91</v>
      </c>
      <c r="E5526" s="15" t="n">
        <v>2</v>
      </c>
      <c r="H5526" s="10"/>
      <c r="I5526" s="21"/>
      <c r="M5526" s="10"/>
      <c r="N5526" s="10"/>
      <c r="P5526" s="10"/>
      <c r="Q5526" s="22"/>
    </row>
    <row r="5527" customFormat="false" ht="15.75" hidden="false" customHeight="false" outlineLevel="0" collapsed="false">
      <c r="A5527" s="20" t="n">
        <v>46157</v>
      </c>
      <c r="B5527" s="15" t="s">
        <v>487</v>
      </c>
      <c r="C5527" s="15" t="s">
        <v>543</v>
      </c>
      <c r="D5527" s="15" t="s">
        <v>544</v>
      </c>
      <c r="E5527" s="15" t="n">
        <v>3</v>
      </c>
      <c r="H5527" s="10"/>
      <c r="I5527" s="21"/>
      <c r="M5527" s="10"/>
      <c r="N5527" s="10"/>
      <c r="P5527" s="10"/>
      <c r="Q5527" s="22"/>
    </row>
    <row r="5528" customFormat="false" ht="15.75" hidden="false" customHeight="false" outlineLevel="0" collapsed="false">
      <c r="A5528" s="20" t="n">
        <v>46157</v>
      </c>
      <c r="B5528" s="15" t="s">
        <v>487</v>
      </c>
      <c r="C5528" s="15" t="s">
        <v>545</v>
      </c>
      <c r="D5528" s="15" t="s">
        <v>546</v>
      </c>
      <c r="E5528" s="15" t="n">
        <v>1</v>
      </c>
      <c r="H5528" s="10"/>
      <c r="I5528" s="21"/>
      <c r="M5528" s="10"/>
      <c r="N5528" s="10"/>
      <c r="P5528" s="10"/>
      <c r="Q5528" s="22"/>
    </row>
    <row r="5529" customFormat="false" ht="15.75" hidden="false" customHeight="false" outlineLevel="0" collapsed="false">
      <c r="A5529" s="20" t="n">
        <v>46157</v>
      </c>
      <c r="B5529" s="15" t="s">
        <v>487</v>
      </c>
      <c r="C5529" s="15" t="s">
        <v>69</v>
      </c>
      <c r="D5529" s="15" t="s">
        <v>535</v>
      </c>
      <c r="E5529" s="15" t="n">
        <v>3</v>
      </c>
      <c r="H5529" s="10"/>
      <c r="I5529" s="21"/>
      <c r="M5529" s="10"/>
      <c r="N5529" s="10"/>
      <c r="P5529" s="10"/>
      <c r="Q5529" s="22"/>
    </row>
    <row r="5530" customFormat="false" ht="15.75" hidden="false" customHeight="false" outlineLevel="0" collapsed="false">
      <c r="A5530" s="20" t="n">
        <v>46157</v>
      </c>
      <c r="B5530" s="15" t="s">
        <v>487</v>
      </c>
      <c r="C5530" s="15" t="s">
        <v>77</v>
      </c>
      <c r="D5530" s="15" t="s">
        <v>78</v>
      </c>
      <c r="E5530" s="15" t="n">
        <v>3</v>
      </c>
      <c r="H5530" s="10"/>
      <c r="I5530" s="21"/>
      <c r="M5530" s="10"/>
      <c r="N5530" s="10"/>
      <c r="P5530" s="10"/>
      <c r="Q5530" s="22"/>
    </row>
    <row r="5531" customFormat="false" ht="15.75" hidden="false" customHeight="false" outlineLevel="0" collapsed="false">
      <c r="A5531" s="20" t="n">
        <v>46157</v>
      </c>
      <c r="B5531" s="15" t="s">
        <v>487</v>
      </c>
      <c r="C5531" s="15" t="s">
        <v>11</v>
      </c>
      <c r="D5531" s="15" t="s">
        <v>572</v>
      </c>
      <c r="E5531" s="15" t="n">
        <v>1</v>
      </c>
      <c r="H5531" s="10"/>
      <c r="I5531" s="21"/>
      <c r="M5531" s="10"/>
      <c r="N5531" s="10"/>
      <c r="P5531" s="10"/>
      <c r="Q5531" s="22"/>
    </row>
    <row r="5532" customFormat="false" ht="15.75" hidden="false" customHeight="false" outlineLevel="0" collapsed="false">
      <c r="A5532" s="20" t="n">
        <v>46157</v>
      </c>
      <c r="B5532" s="15" t="s">
        <v>487</v>
      </c>
      <c r="C5532" s="15" t="s">
        <v>33</v>
      </c>
      <c r="D5532" s="15" t="s">
        <v>536</v>
      </c>
      <c r="E5532" s="15" t="n">
        <v>3</v>
      </c>
      <c r="H5532" s="10"/>
      <c r="I5532" s="21"/>
      <c r="M5532" s="10"/>
      <c r="N5532" s="10"/>
      <c r="P5532" s="10"/>
      <c r="Q5532" s="22"/>
    </row>
    <row r="5533" customFormat="false" ht="15.75" hidden="false" customHeight="false" outlineLevel="0" collapsed="false">
      <c r="A5533" s="20" t="n">
        <v>46157</v>
      </c>
      <c r="B5533" s="15" t="s">
        <v>487</v>
      </c>
      <c r="C5533" s="15" t="s">
        <v>59</v>
      </c>
      <c r="D5533" s="15" t="s">
        <v>562</v>
      </c>
      <c r="E5533" s="15" t="n">
        <v>1</v>
      </c>
      <c r="H5533" s="10"/>
      <c r="I5533" s="21"/>
      <c r="M5533" s="10"/>
      <c r="N5533" s="10"/>
      <c r="P5533" s="10"/>
      <c r="Q5533" s="22"/>
    </row>
    <row r="5534" customFormat="false" ht="15.75" hidden="false" customHeight="false" outlineLevel="0" collapsed="false">
      <c r="A5534" s="20" t="n">
        <v>46157</v>
      </c>
      <c r="B5534" s="15" t="s">
        <v>487</v>
      </c>
      <c r="C5534" s="15" t="s">
        <v>75</v>
      </c>
      <c r="D5534" s="15" t="s">
        <v>560</v>
      </c>
      <c r="E5534" s="15" t="n">
        <v>1</v>
      </c>
      <c r="H5534" s="10"/>
      <c r="I5534" s="21"/>
      <c r="M5534" s="10"/>
      <c r="N5534" s="10"/>
      <c r="P5534" s="10"/>
      <c r="Q5534" s="22"/>
    </row>
    <row r="5535" customFormat="false" ht="15.75" hidden="false" customHeight="false" outlineLevel="0" collapsed="false">
      <c r="A5535" s="20" t="n">
        <v>46157</v>
      </c>
      <c r="B5535" s="15" t="s">
        <v>487</v>
      </c>
      <c r="C5535" s="15" t="s">
        <v>79</v>
      </c>
      <c r="D5535" s="15" t="s">
        <v>564</v>
      </c>
      <c r="E5535" s="15" t="n">
        <v>2</v>
      </c>
      <c r="H5535" s="10"/>
      <c r="I5535" s="21"/>
      <c r="M5535" s="10"/>
      <c r="N5535" s="10"/>
      <c r="P5535" s="10"/>
      <c r="Q5535" s="22"/>
    </row>
    <row r="5536" customFormat="false" ht="15.75" hidden="false" customHeight="false" outlineLevel="0" collapsed="false">
      <c r="A5536" s="20" t="n">
        <v>46157</v>
      </c>
      <c r="B5536" s="15" t="s">
        <v>504</v>
      </c>
      <c r="C5536" s="15" t="s">
        <v>47</v>
      </c>
      <c r="D5536" s="15" t="s">
        <v>549</v>
      </c>
      <c r="E5536" s="15" t="n">
        <v>6</v>
      </c>
      <c r="H5536" s="10"/>
      <c r="I5536" s="21"/>
      <c r="M5536" s="10"/>
      <c r="N5536" s="10"/>
      <c r="P5536" s="10"/>
      <c r="Q5536" s="22"/>
    </row>
    <row r="5537" customFormat="false" ht="15.75" hidden="false" customHeight="false" outlineLevel="0" collapsed="false">
      <c r="A5537" s="20" t="n">
        <v>46157</v>
      </c>
      <c r="B5537" s="15" t="s">
        <v>504</v>
      </c>
      <c r="C5537" s="15" t="s">
        <v>55</v>
      </c>
      <c r="D5537" s="15" t="s">
        <v>539</v>
      </c>
      <c r="E5537" s="15" t="n">
        <v>12</v>
      </c>
      <c r="H5537" s="10"/>
      <c r="I5537" s="21"/>
      <c r="M5537" s="10"/>
      <c r="N5537" s="10"/>
      <c r="P5537" s="10"/>
      <c r="Q5537" s="22"/>
    </row>
    <row r="5538" customFormat="false" ht="15.75" hidden="false" customHeight="false" outlineLevel="0" collapsed="false">
      <c r="A5538" s="20" t="n">
        <v>46157</v>
      </c>
      <c r="B5538" s="15" t="s">
        <v>504</v>
      </c>
      <c r="C5538" s="15" t="s">
        <v>81</v>
      </c>
      <c r="D5538" s="15" t="s">
        <v>534</v>
      </c>
      <c r="E5538" s="15" t="n">
        <v>18</v>
      </c>
      <c r="H5538" s="10"/>
      <c r="I5538" s="21"/>
      <c r="M5538" s="10"/>
      <c r="N5538" s="10"/>
      <c r="P5538" s="10"/>
      <c r="Q5538" s="22"/>
    </row>
    <row r="5539" customFormat="false" ht="15.75" hidden="false" customHeight="false" outlineLevel="0" collapsed="false">
      <c r="A5539" s="20" t="n">
        <v>46157</v>
      </c>
      <c r="B5539" s="15" t="s">
        <v>504</v>
      </c>
      <c r="C5539" s="15" t="s">
        <v>39</v>
      </c>
      <c r="D5539" s="15" t="s">
        <v>550</v>
      </c>
      <c r="E5539" s="15" t="n">
        <v>2</v>
      </c>
      <c r="H5539" s="10"/>
      <c r="I5539" s="21"/>
      <c r="M5539" s="10"/>
      <c r="N5539" s="10"/>
      <c r="P5539" s="10"/>
      <c r="Q5539" s="22"/>
    </row>
    <row r="5540" customFormat="false" ht="15.75" hidden="false" customHeight="false" outlineLevel="0" collapsed="false">
      <c r="A5540" s="20" t="n">
        <v>46157</v>
      </c>
      <c r="B5540" s="15" t="s">
        <v>504</v>
      </c>
      <c r="C5540" s="15" t="s">
        <v>63</v>
      </c>
      <c r="D5540" s="15" t="s">
        <v>551</v>
      </c>
      <c r="E5540" s="15" t="n">
        <v>2</v>
      </c>
      <c r="H5540" s="10"/>
      <c r="I5540" s="21"/>
      <c r="M5540" s="10"/>
      <c r="N5540" s="10"/>
      <c r="P5540" s="10"/>
      <c r="Q5540" s="22"/>
    </row>
    <row r="5541" customFormat="false" ht="15.75" hidden="false" customHeight="false" outlineLevel="0" collapsed="false">
      <c r="A5541" s="20" t="n">
        <v>46157</v>
      </c>
      <c r="B5541" s="15" t="s">
        <v>504</v>
      </c>
      <c r="C5541" s="15" t="s">
        <v>17</v>
      </c>
      <c r="D5541" s="15" t="s">
        <v>554</v>
      </c>
      <c r="E5541" s="15" t="n">
        <v>2</v>
      </c>
      <c r="H5541" s="10"/>
      <c r="I5541" s="21"/>
      <c r="M5541" s="10"/>
      <c r="N5541" s="10"/>
      <c r="P5541" s="10"/>
      <c r="Q5541" s="22"/>
    </row>
    <row r="5542" customFormat="false" ht="15.75" hidden="false" customHeight="false" outlineLevel="0" collapsed="false">
      <c r="A5542" s="20" t="n">
        <v>46157</v>
      </c>
      <c r="B5542" s="15" t="s">
        <v>505</v>
      </c>
      <c r="C5542" s="15" t="s">
        <v>55</v>
      </c>
      <c r="D5542" s="15" t="s">
        <v>539</v>
      </c>
      <c r="E5542" s="15" t="n">
        <v>6</v>
      </c>
      <c r="H5542" s="10"/>
      <c r="I5542" s="21"/>
      <c r="M5542" s="10"/>
      <c r="N5542" s="10"/>
      <c r="P5542" s="10"/>
      <c r="Q5542" s="22"/>
    </row>
    <row r="5543" customFormat="false" ht="15.75" hidden="false" customHeight="false" outlineLevel="0" collapsed="false">
      <c r="A5543" s="20" t="n">
        <v>46157</v>
      </c>
      <c r="B5543" s="15" t="s">
        <v>505</v>
      </c>
      <c r="C5543" s="15" t="s">
        <v>39</v>
      </c>
      <c r="D5543" s="15" t="s">
        <v>550</v>
      </c>
      <c r="E5543" s="15" t="n">
        <v>1</v>
      </c>
      <c r="H5543" s="10"/>
      <c r="I5543" s="21"/>
      <c r="M5543" s="10"/>
      <c r="N5543" s="10"/>
      <c r="P5543" s="10"/>
      <c r="Q5543" s="22"/>
    </row>
    <row r="5544" customFormat="false" ht="15.75" hidden="false" customHeight="false" outlineLevel="0" collapsed="false">
      <c r="A5544" s="20" t="n">
        <v>46157</v>
      </c>
      <c r="B5544" s="15" t="s">
        <v>505</v>
      </c>
      <c r="C5544" s="15" t="s">
        <v>81</v>
      </c>
      <c r="D5544" s="15" t="s">
        <v>534</v>
      </c>
      <c r="E5544" s="15" t="n">
        <v>9</v>
      </c>
      <c r="H5544" s="10"/>
      <c r="I5544" s="21"/>
      <c r="M5544" s="10"/>
      <c r="N5544" s="10"/>
      <c r="P5544" s="10"/>
      <c r="Q5544" s="22"/>
    </row>
    <row r="5545" customFormat="false" ht="15.75" hidden="false" customHeight="false" outlineLevel="0" collapsed="false">
      <c r="A5545" s="20" t="n">
        <v>46157</v>
      </c>
      <c r="B5545" s="15" t="s">
        <v>505</v>
      </c>
      <c r="C5545" s="15" t="s">
        <v>47</v>
      </c>
      <c r="D5545" s="15" t="s">
        <v>549</v>
      </c>
      <c r="E5545" s="15" t="n">
        <v>3</v>
      </c>
      <c r="H5545" s="10"/>
      <c r="I5545" s="21"/>
      <c r="M5545" s="10"/>
      <c r="N5545" s="10"/>
      <c r="P5545" s="10"/>
      <c r="Q5545" s="22"/>
    </row>
    <row r="5546" customFormat="false" ht="15.75" hidden="false" customHeight="false" outlineLevel="0" collapsed="false">
      <c r="A5546" s="20" t="n">
        <v>46157</v>
      </c>
      <c r="B5546" s="15" t="s">
        <v>505</v>
      </c>
      <c r="C5546" s="15" t="s">
        <v>63</v>
      </c>
      <c r="D5546" s="15" t="s">
        <v>551</v>
      </c>
      <c r="E5546" s="15" t="n">
        <v>1</v>
      </c>
      <c r="H5546" s="10"/>
      <c r="I5546" s="21"/>
      <c r="M5546" s="10"/>
      <c r="N5546" s="10"/>
      <c r="P5546" s="10"/>
      <c r="Q5546" s="22"/>
    </row>
    <row r="5547" customFormat="false" ht="15.75" hidden="false" customHeight="false" outlineLevel="0" collapsed="false">
      <c r="A5547" s="20" t="n">
        <v>46157</v>
      </c>
      <c r="B5547" s="15" t="s">
        <v>505</v>
      </c>
      <c r="C5547" s="15" t="s">
        <v>17</v>
      </c>
      <c r="D5547" s="15" t="s">
        <v>554</v>
      </c>
      <c r="E5547" s="15" t="n">
        <v>1</v>
      </c>
      <c r="H5547" s="10"/>
      <c r="I5547" s="21"/>
      <c r="M5547" s="10"/>
      <c r="N5547" s="10"/>
      <c r="P5547" s="10"/>
      <c r="Q5547" s="22"/>
    </row>
    <row r="5548" customFormat="false" ht="15.75" hidden="false" customHeight="false" outlineLevel="0" collapsed="false">
      <c r="A5548" s="20" t="n">
        <v>46157</v>
      </c>
      <c r="B5548" s="15" t="s">
        <v>529</v>
      </c>
      <c r="C5548" s="15" t="s">
        <v>81</v>
      </c>
      <c r="D5548" s="15" t="s">
        <v>534</v>
      </c>
      <c r="E5548" s="15" t="n">
        <v>8</v>
      </c>
      <c r="H5548" s="10"/>
      <c r="I5548" s="21"/>
      <c r="M5548" s="10"/>
      <c r="N5548" s="10"/>
      <c r="P5548" s="10"/>
      <c r="Q5548" s="22"/>
    </row>
    <row r="5549" customFormat="false" ht="15.75" hidden="false" customHeight="false" outlineLevel="0" collapsed="false">
      <c r="A5549" s="20" t="n">
        <v>46157</v>
      </c>
      <c r="B5549" s="15" t="s">
        <v>529</v>
      </c>
      <c r="C5549" s="15" t="s">
        <v>543</v>
      </c>
      <c r="D5549" s="15" t="s">
        <v>544</v>
      </c>
      <c r="E5549" s="15" t="n">
        <v>2</v>
      </c>
      <c r="H5549" s="10"/>
      <c r="I5549" s="21"/>
      <c r="M5549" s="10"/>
      <c r="N5549" s="10"/>
      <c r="P5549" s="10"/>
      <c r="Q5549" s="22"/>
    </row>
    <row r="5550" customFormat="false" ht="15.75" hidden="false" customHeight="false" outlineLevel="0" collapsed="false">
      <c r="A5550" s="20" t="n">
        <v>46157</v>
      </c>
      <c r="B5550" s="15" t="s">
        <v>529</v>
      </c>
      <c r="C5550" s="15" t="s">
        <v>545</v>
      </c>
      <c r="D5550" s="15" t="s">
        <v>546</v>
      </c>
      <c r="E5550" s="15" t="n">
        <v>1</v>
      </c>
      <c r="H5550" s="10"/>
      <c r="I5550" s="21"/>
      <c r="M5550" s="10"/>
      <c r="N5550" s="10"/>
      <c r="P5550" s="10"/>
      <c r="Q5550" s="22"/>
    </row>
    <row r="5551" customFormat="false" ht="15.75" hidden="false" customHeight="false" outlineLevel="0" collapsed="false">
      <c r="A5551" s="20" t="n">
        <v>46157</v>
      </c>
      <c r="B5551" s="15" t="s">
        <v>529</v>
      </c>
      <c r="C5551" s="15" t="s">
        <v>69</v>
      </c>
      <c r="D5551" s="15" t="s">
        <v>535</v>
      </c>
      <c r="E5551" s="15" t="n">
        <v>3</v>
      </c>
      <c r="H5551" s="10"/>
      <c r="I5551" s="21"/>
      <c r="M5551" s="10"/>
      <c r="N5551" s="10"/>
      <c r="P5551" s="10"/>
      <c r="Q5551" s="22"/>
    </row>
    <row r="5552" customFormat="false" ht="15.75" hidden="false" customHeight="false" outlineLevel="0" collapsed="false">
      <c r="A5552" s="20" t="n">
        <v>46157</v>
      </c>
      <c r="B5552" s="15" t="s">
        <v>529</v>
      </c>
      <c r="C5552" s="15" t="s">
        <v>77</v>
      </c>
      <c r="D5552" s="15" t="s">
        <v>78</v>
      </c>
      <c r="E5552" s="15" t="n">
        <v>2</v>
      </c>
      <c r="H5552" s="10"/>
      <c r="I5552" s="21"/>
      <c r="M5552" s="10"/>
      <c r="N5552" s="10"/>
      <c r="P5552" s="10"/>
      <c r="Q5552" s="22"/>
    </row>
    <row r="5553" customFormat="false" ht="15.75" hidden="false" customHeight="false" outlineLevel="0" collapsed="false">
      <c r="A5553" s="20" t="n">
        <v>46157</v>
      </c>
      <c r="B5553" s="15" t="s">
        <v>529</v>
      </c>
      <c r="C5553" s="15" t="s">
        <v>547</v>
      </c>
      <c r="D5553" s="15" t="s">
        <v>548</v>
      </c>
      <c r="E5553" s="15" t="n">
        <v>1</v>
      </c>
      <c r="H5553" s="10"/>
      <c r="I5553" s="21"/>
      <c r="M5553" s="10"/>
      <c r="N5553" s="10"/>
      <c r="P5553" s="10"/>
      <c r="Q5553" s="22"/>
    </row>
    <row r="5554" customFormat="false" ht="15.75" hidden="false" customHeight="false" outlineLevel="0" collapsed="false">
      <c r="A5554" s="20" t="n">
        <v>46157</v>
      </c>
      <c r="B5554" s="15" t="s">
        <v>529</v>
      </c>
      <c r="C5554" s="15" t="s">
        <v>49</v>
      </c>
      <c r="D5554" s="15" t="s">
        <v>537</v>
      </c>
      <c r="E5554" s="15" t="n">
        <v>1</v>
      </c>
      <c r="H5554" s="10"/>
      <c r="I5554" s="21"/>
      <c r="M5554" s="10"/>
      <c r="N5554" s="10"/>
      <c r="P5554" s="10"/>
      <c r="Q5554" s="22"/>
    </row>
    <row r="5555" customFormat="false" ht="15.75" hidden="false" customHeight="false" outlineLevel="0" collapsed="false">
      <c r="A5555" s="20" t="n">
        <v>46157</v>
      </c>
      <c r="B5555" s="15" t="s">
        <v>529</v>
      </c>
      <c r="C5555" s="15" t="s">
        <v>33</v>
      </c>
      <c r="D5555" s="15" t="s">
        <v>536</v>
      </c>
      <c r="E5555" s="15" t="n">
        <v>2</v>
      </c>
      <c r="H5555" s="10"/>
      <c r="I5555" s="21"/>
      <c r="M5555" s="10"/>
      <c r="N5555" s="10"/>
      <c r="P5555" s="10"/>
      <c r="Q5555" s="22"/>
    </row>
    <row r="5556" customFormat="false" ht="15.75" hidden="false" customHeight="false" outlineLevel="0" collapsed="false">
      <c r="A5556" s="20" t="n">
        <v>46160</v>
      </c>
      <c r="B5556" s="15" t="s">
        <v>450</v>
      </c>
      <c r="C5556" s="15" t="s">
        <v>37</v>
      </c>
      <c r="D5556" s="15" t="s">
        <v>561</v>
      </c>
      <c r="E5556" s="15" t="n">
        <v>1</v>
      </c>
      <c r="H5556" s="10"/>
      <c r="I5556" s="21"/>
      <c r="M5556" s="10"/>
      <c r="N5556" s="10"/>
      <c r="P5556" s="10"/>
      <c r="Q5556" s="22"/>
    </row>
    <row r="5557" customFormat="false" ht="15.75" hidden="false" customHeight="false" outlineLevel="0" collapsed="false">
      <c r="A5557" s="20" t="n">
        <v>46160</v>
      </c>
      <c r="B5557" s="15" t="s">
        <v>450</v>
      </c>
      <c r="C5557" s="15" t="s">
        <v>47</v>
      </c>
      <c r="D5557" s="15" t="s">
        <v>549</v>
      </c>
      <c r="E5557" s="15" t="n">
        <v>3</v>
      </c>
      <c r="H5557" s="10"/>
      <c r="I5557" s="21"/>
      <c r="M5557" s="10"/>
      <c r="N5557" s="10"/>
      <c r="P5557" s="10"/>
      <c r="Q5557" s="22"/>
    </row>
    <row r="5558" customFormat="false" ht="15.75" hidden="false" customHeight="false" outlineLevel="0" collapsed="false">
      <c r="A5558" s="20" t="n">
        <v>46160</v>
      </c>
      <c r="B5558" s="15" t="s">
        <v>450</v>
      </c>
      <c r="C5558" s="15" t="s">
        <v>81</v>
      </c>
      <c r="D5558" s="15" t="s">
        <v>534</v>
      </c>
      <c r="E5558" s="15" t="n">
        <v>12</v>
      </c>
      <c r="H5558" s="10"/>
      <c r="I5558" s="21"/>
      <c r="M5558" s="10"/>
      <c r="N5558" s="10"/>
      <c r="P5558" s="10"/>
      <c r="Q5558" s="22"/>
    </row>
    <row r="5559" customFormat="false" ht="15.75" hidden="false" customHeight="false" outlineLevel="0" collapsed="false">
      <c r="A5559" s="20" t="n">
        <v>46160</v>
      </c>
      <c r="B5559" s="15" t="s">
        <v>450</v>
      </c>
      <c r="C5559" s="15" t="s">
        <v>55</v>
      </c>
      <c r="D5559" s="15" t="s">
        <v>539</v>
      </c>
      <c r="E5559" s="15" t="n">
        <v>2</v>
      </c>
      <c r="H5559" s="10"/>
      <c r="I5559" s="21"/>
      <c r="M5559" s="10"/>
      <c r="N5559" s="10"/>
      <c r="P5559" s="10"/>
      <c r="Q5559" s="22"/>
    </row>
    <row r="5560" customFormat="false" ht="15.75" hidden="false" customHeight="false" outlineLevel="0" collapsed="false">
      <c r="A5560" s="20" t="n">
        <v>46160</v>
      </c>
      <c r="B5560" s="15" t="s">
        <v>450</v>
      </c>
      <c r="C5560" s="15" t="s">
        <v>565</v>
      </c>
      <c r="D5560" s="15" t="s">
        <v>566</v>
      </c>
      <c r="E5560" s="15" t="n">
        <v>4</v>
      </c>
      <c r="H5560" s="10"/>
      <c r="I5560" s="21"/>
      <c r="M5560" s="10"/>
      <c r="N5560" s="10"/>
      <c r="P5560" s="10"/>
      <c r="Q5560" s="22"/>
    </row>
    <row r="5561" customFormat="false" ht="15.75" hidden="false" customHeight="false" outlineLevel="0" collapsed="false">
      <c r="A5561" s="20" t="n">
        <v>46160</v>
      </c>
      <c r="B5561" s="15" t="s">
        <v>450</v>
      </c>
      <c r="C5561" s="15" t="s">
        <v>555</v>
      </c>
      <c r="D5561" s="15" t="s">
        <v>556</v>
      </c>
      <c r="E5561" s="15" t="n">
        <v>3</v>
      </c>
      <c r="H5561" s="10"/>
      <c r="I5561" s="21"/>
      <c r="M5561" s="10"/>
      <c r="N5561" s="10"/>
      <c r="P5561" s="10"/>
      <c r="Q5561" s="22"/>
    </row>
    <row r="5562" customFormat="false" ht="15.75" hidden="false" customHeight="false" outlineLevel="0" collapsed="false">
      <c r="A5562" s="20" t="n">
        <v>46160</v>
      </c>
      <c r="B5562" s="15" t="s">
        <v>450</v>
      </c>
      <c r="C5562" s="15" t="s">
        <v>545</v>
      </c>
      <c r="D5562" s="15" t="s">
        <v>546</v>
      </c>
      <c r="E5562" s="15" t="n">
        <v>4</v>
      </c>
      <c r="H5562" s="10"/>
      <c r="I5562" s="21"/>
      <c r="M5562" s="10"/>
      <c r="N5562" s="10"/>
      <c r="P5562" s="10"/>
      <c r="Q5562" s="22"/>
    </row>
    <row r="5563" customFormat="false" ht="15.75" hidden="false" customHeight="false" outlineLevel="0" collapsed="false">
      <c r="A5563" s="20" t="n">
        <v>46160</v>
      </c>
      <c r="B5563" s="15" t="s">
        <v>450</v>
      </c>
      <c r="C5563" s="15" t="s">
        <v>547</v>
      </c>
      <c r="D5563" s="15" t="s">
        <v>548</v>
      </c>
      <c r="E5563" s="15" t="n">
        <v>9</v>
      </c>
      <c r="H5563" s="10"/>
      <c r="I5563" s="21"/>
      <c r="M5563" s="10"/>
      <c r="N5563" s="10"/>
      <c r="P5563" s="10"/>
      <c r="Q5563" s="22"/>
    </row>
    <row r="5564" customFormat="false" ht="15.75" hidden="false" customHeight="false" outlineLevel="0" collapsed="false">
      <c r="A5564" s="20" t="n">
        <v>46160</v>
      </c>
      <c r="B5564" s="15" t="s">
        <v>450</v>
      </c>
      <c r="C5564" s="15" t="s">
        <v>570</v>
      </c>
      <c r="D5564" s="15" t="s">
        <v>571</v>
      </c>
      <c r="E5564" s="15" t="n">
        <v>6</v>
      </c>
      <c r="H5564" s="10"/>
      <c r="I5564" s="21"/>
      <c r="M5564" s="10"/>
      <c r="N5564" s="10"/>
      <c r="P5564" s="10"/>
      <c r="Q5564" s="22"/>
    </row>
    <row r="5565" customFormat="false" ht="15.75" hidden="false" customHeight="false" outlineLevel="0" collapsed="false">
      <c r="A5565" s="20" t="n">
        <v>46160</v>
      </c>
      <c r="B5565" s="15" t="s">
        <v>450</v>
      </c>
      <c r="C5565" s="15" t="s">
        <v>567</v>
      </c>
      <c r="D5565" s="15" t="s">
        <v>568</v>
      </c>
      <c r="E5565" s="15" t="n">
        <v>4</v>
      </c>
      <c r="H5565" s="10"/>
      <c r="I5565" s="21"/>
      <c r="M5565" s="10"/>
      <c r="N5565" s="10"/>
      <c r="P5565" s="10"/>
      <c r="Q5565" s="22"/>
    </row>
    <row r="5566" customFormat="false" ht="15.75" hidden="false" customHeight="false" outlineLevel="0" collapsed="false">
      <c r="A5566" s="20" t="n">
        <v>46160</v>
      </c>
      <c r="B5566" s="15" t="s">
        <v>450</v>
      </c>
      <c r="C5566" s="15" t="s">
        <v>69</v>
      </c>
      <c r="D5566" s="15" t="s">
        <v>535</v>
      </c>
      <c r="E5566" s="15" t="n">
        <v>5</v>
      </c>
      <c r="H5566" s="10"/>
      <c r="I5566" s="21"/>
      <c r="M5566" s="10"/>
      <c r="N5566" s="10"/>
      <c r="P5566" s="10"/>
      <c r="Q5566" s="22"/>
    </row>
    <row r="5567" customFormat="false" ht="15.75" hidden="false" customHeight="false" outlineLevel="0" collapsed="false">
      <c r="A5567" s="20" t="n">
        <v>46160</v>
      </c>
      <c r="B5567" s="15" t="s">
        <v>450</v>
      </c>
      <c r="C5567" s="15" t="s">
        <v>543</v>
      </c>
      <c r="D5567" s="15" t="s">
        <v>544</v>
      </c>
      <c r="E5567" s="15" t="n">
        <v>4</v>
      </c>
      <c r="H5567" s="10"/>
      <c r="I5567" s="21"/>
      <c r="M5567" s="10"/>
      <c r="N5567" s="10"/>
      <c r="P5567" s="10"/>
      <c r="Q5567" s="22"/>
    </row>
    <row r="5568" customFormat="false" ht="15.75" hidden="false" customHeight="false" outlineLevel="0" collapsed="false">
      <c r="A5568" s="20" t="n">
        <v>46160</v>
      </c>
      <c r="B5568" s="15" t="s">
        <v>450</v>
      </c>
      <c r="C5568" s="15" t="s">
        <v>11</v>
      </c>
      <c r="D5568" s="15" t="s">
        <v>572</v>
      </c>
      <c r="E5568" s="15" t="n">
        <v>6</v>
      </c>
      <c r="H5568" s="10"/>
      <c r="I5568" s="21"/>
      <c r="M5568" s="10"/>
      <c r="N5568" s="10"/>
      <c r="P5568" s="10"/>
      <c r="Q5568" s="22"/>
    </row>
    <row r="5569" customFormat="false" ht="15.75" hidden="false" customHeight="false" outlineLevel="0" collapsed="false">
      <c r="A5569" s="20" t="n">
        <v>46160</v>
      </c>
      <c r="B5569" s="15" t="s">
        <v>450</v>
      </c>
      <c r="C5569" s="15" t="s">
        <v>65</v>
      </c>
      <c r="D5569" s="15" t="s">
        <v>580</v>
      </c>
      <c r="E5569" s="15" t="n">
        <v>1</v>
      </c>
      <c r="H5569" s="10"/>
      <c r="I5569" s="21"/>
      <c r="M5569" s="10"/>
      <c r="N5569" s="10"/>
      <c r="P5569" s="10"/>
      <c r="Q5569" s="22"/>
    </row>
    <row r="5570" customFormat="false" ht="15.75" hidden="false" customHeight="false" outlineLevel="0" collapsed="false">
      <c r="A5570" s="20" t="n">
        <v>46160</v>
      </c>
      <c r="B5570" s="15" t="s">
        <v>450</v>
      </c>
      <c r="C5570" s="15" t="s">
        <v>33</v>
      </c>
      <c r="D5570" s="15" t="s">
        <v>536</v>
      </c>
      <c r="E5570" s="15" t="n">
        <v>5</v>
      </c>
      <c r="H5570" s="10"/>
      <c r="I5570" s="21"/>
      <c r="M5570" s="10"/>
      <c r="N5570" s="10"/>
      <c r="P5570" s="10"/>
      <c r="Q5570" s="22"/>
    </row>
    <row r="5571" customFormat="false" ht="15.75" hidden="false" customHeight="false" outlineLevel="0" collapsed="false">
      <c r="A5571" s="20" t="n">
        <v>46160</v>
      </c>
      <c r="B5571" s="15" t="s">
        <v>450</v>
      </c>
      <c r="C5571" s="15" t="s">
        <v>45</v>
      </c>
      <c r="D5571" s="15" t="s">
        <v>540</v>
      </c>
      <c r="E5571" s="15" t="n">
        <v>1</v>
      </c>
      <c r="H5571" s="10"/>
      <c r="I5571" s="21"/>
      <c r="M5571" s="10"/>
      <c r="N5571" s="10"/>
      <c r="P5571" s="10"/>
      <c r="Q5571" s="22"/>
    </row>
    <row r="5572" customFormat="false" ht="15.75" hidden="false" customHeight="false" outlineLevel="0" collapsed="false">
      <c r="A5572" s="20" t="n">
        <v>46160</v>
      </c>
      <c r="B5572" s="15" t="s">
        <v>450</v>
      </c>
      <c r="C5572" s="15" t="s">
        <v>59</v>
      </c>
      <c r="D5572" s="15" t="s">
        <v>562</v>
      </c>
      <c r="E5572" s="15" t="n">
        <v>2</v>
      </c>
      <c r="H5572" s="10"/>
      <c r="I5572" s="21"/>
      <c r="M5572" s="10"/>
      <c r="N5572" s="10"/>
      <c r="P5572" s="10"/>
      <c r="Q5572" s="22"/>
    </row>
    <row r="5573" customFormat="false" ht="15.75" hidden="false" customHeight="false" outlineLevel="0" collapsed="false">
      <c r="A5573" s="20" t="n">
        <v>46160</v>
      </c>
      <c r="B5573" s="15" t="s">
        <v>450</v>
      </c>
      <c r="C5573" s="15" t="s">
        <v>79</v>
      </c>
      <c r="D5573" s="15" t="s">
        <v>564</v>
      </c>
      <c r="E5573" s="15" t="n">
        <v>1</v>
      </c>
      <c r="H5573" s="10"/>
      <c r="I5573" s="21"/>
      <c r="M5573" s="10"/>
      <c r="N5573" s="10"/>
      <c r="P5573" s="10"/>
      <c r="Q5573" s="22"/>
    </row>
    <row r="5574" customFormat="false" ht="15.75" hidden="false" customHeight="false" outlineLevel="0" collapsed="false">
      <c r="A5574" s="20" t="n">
        <v>46160</v>
      </c>
      <c r="B5574" s="15" t="s">
        <v>450</v>
      </c>
      <c r="C5574" s="15" t="s">
        <v>77</v>
      </c>
      <c r="D5574" s="15" t="s">
        <v>78</v>
      </c>
      <c r="E5574" s="15" t="n">
        <v>2</v>
      </c>
      <c r="H5574" s="10"/>
      <c r="I5574" s="21"/>
      <c r="M5574" s="10"/>
      <c r="N5574" s="10"/>
      <c r="P5574" s="10"/>
      <c r="Q5574" s="22"/>
    </row>
    <row r="5575" customFormat="false" ht="15.75" hidden="false" customHeight="false" outlineLevel="0" collapsed="false">
      <c r="A5575" s="20" t="n">
        <v>46160</v>
      </c>
      <c r="B5575" s="15" t="s">
        <v>453</v>
      </c>
      <c r="C5575" s="15" t="s">
        <v>47</v>
      </c>
      <c r="D5575" s="15" t="s">
        <v>549</v>
      </c>
      <c r="E5575" s="15" t="n">
        <v>4</v>
      </c>
      <c r="H5575" s="10"/>
      <c r="I5575" s="21"/>
      <c r="M5575" s="10"/>
      <c r="N5575" s="10"/>
      <c r="P5575" s="10"/>
      <c r="Q5575" s="22"/>
    </row>
    <row r="5576" customFormat="false" ht="15.75" hidden="false" customHeight="false" outlineLevel="0" collapsed="false">
      <c r="A5576" s="20" t="n">
        <v>46160</v>
      </c>
      <c r="B5576" s="15" t="s">
        <v>453</v>
      </c>
      <c r="C5576" s="15" t="s">
        <v>55</v>
      </c>
      <c r="D5576" s="15" t="s">
        <v>539</v>
      </c>
      <c r="E5576" s="15" t="n">
        <v>8</v>
      </c>
      <c r="H5576" s="10"/>
      <c r="I5576" s="21"/>
      <c r="M5576" s="10"/>
      <c r="N5576" s="10"/>
      <c r="P5576" s="10"/>
      <c r="Q5576" s="22"/>
    </row>
    <row r="5577" customFormat="false" ht="15.75" hidden="false" customHeight="false" outlineLevel="0" collapsed="false">
      <c r="A5577" s="20" t="n">
        <v>46160</v>
      </c>
      <c r="B5577" s="15" t="s">
        <v>453</v>
      </c>
      <c r="C5577" s="15" t="s">
        <v>81</v>
      </c>
      <c r="D5577" s="15" t="s">
        <v>534</v>
      </c>
      <c r="E5577" s="15" t="n">
        <v>16</v>
      </c>
      <c r="H5577" s="10"/>
      <c r="I5577" s="21"/>
      <c r="M5577" s="10"/>
      <c r="N5577" s="10"/>
      <c r="P5577" s="10"/>
      <c r="Q5577" s="22"/>
    </row>
    <row r="5578" customFormat="false" ht="15.75" hidden="false" customHeight="false" outlineLevel="0" collapsed="false">
      <c r="A5578" s="20" t="n">
        <v>46160</v>
      </c>
      <c r="B5578" s="15" t="s">
        <v>453</v>
      </c>
      <c r="C5578" s="15" t="s">
        <v>39</v>
      </c>
      <c r="D5578" s="15" t="s">
        <v>550</v>
      </c>
      <c r="E5578" s="15" t="n">
        <v>4</v>
      </c>
      <c r="H5578" s="10"/>
      <c r="I5578" s="21"/>
      <c r="M5578" s="10"/>
      <c r="N5578" s="10"/>
      <c r="P5578" s="10"/>
      <c r="Q5578" s="22"/>
    </row>
    <row r="5579" customFormat="false" ht="15.75" hidden="false" customHeight="false" outlineLevel="0" collapsed="false">
      <c r="A5579" s="20" t="n">
        <v>46160</v>
      </c>
      <c r="B5579" s="15" t="s">
        <v>453</v>
      </c>
      <c r="C5579" s="15" t="s">
        <v>63</v>
      </c>
      <c r="D5579" s="15" t="s">
        <v>551</v>
      </c>
      <c r="E5579" s="15" t="n">
        <v>2</v>
      </c>
      <c r="H5579" s="10"/>
      <c r="I5579" s="21"/>
      <c r="M5579" s="10"/>
      <c r="N5579" s="10"/>
      <c r="P5579" s="10"/>
      <c r="Q5579" s="22"/>
    </row>
    <row r="5580" customFormat="false" ht="15.75" hidden="false" customHeight="false" outlineLevel="0" collapsed="false">
      <c r="A5580" s="20" t="n">
        <v>46160</v>
      </c>
      <c r="B5580" s="15" t="s">
        <v>453</v>
      </c>
      <c r="C5580" s="15" t="s">
        <v>35</v>
      </c>
      <c r="D5580" s="15" t="s">
        <v>552</v>
      </c>
      <c r="E5580" s="15" t="n">
        <v>4</v>
      </c>
      <c r="H5580" s="10"/>
      <c r="I5580" s="21"/>
      <c r="M5580" s="10"/>
      <c r="N5580" s="10"/>
      <c r="P5580" s="10"/>
      <c r="Q5580" s="22"/>
    </row>
    <row r="5581" customFormat="false" ht="15.75" hidden="false" customHeight="false" outlineLevel="0" collapsed="false">
      <c r="A5581" s="20" t="n">
        <v>46160</v>
      </c>
      <c r="B5581" s="15" t="s">
        <v>465</v>
      </c>
      <c r="C5581" s="15" t="s">
        <v>47</v>
      </c>
      <c r="D5581" s="15" t="s">
        <v>549</v>
      </c>
      <c r="E5581" s="15" t="n">
        <v>2</v>
      </c>
      <c r="H5581" s="10"/>
      <c r="I5581" s="21"/>
      <c r="M5581" s="10"/>
      <c r="N5581" s="10"/>
      <c r="P5581" s="10"/>
      <c r="Q5581" s="22"/>
    </row>
    <row r="5582" customFormat="false" ht="15.75" hidden="false" customHeight="false" outlineLevel="0" collapsed="false">
      <c r="A5582" s="20" t="n">
        <v>46160</v>
      </c>
      <c r="B5582" s="15" t="s">
        <v>465</v>
      </c>
      <c r="C5582" s="15" t="s">
        <v>81</v>
      </c>
      <c r="D5582" s="15" t="s">
        <v>534</v>
      </c>
      <c r="E5582" s="15" t="n">
        <v>13</v>
      </c>
      <c r="H5582" s="10"/>
      <c r="I5582" s="21"/>
      <c r="M5582" s="10"/>
      <c r="N5582" s="10"/>
      <c r="P5582" s="10"/>
      <c r="Q5582" s="22"/>
    </row>
    <row r="5583" customFormat="false" ht="15.75" hidden="false" customHeight="false" outlineLevel="0" collapsed="false">
      <c r="A5583" s="20" t="n">
        <v>46160</v>
      </c>
      <c r="B5583" s="15" t="s">
        <v>465</v>
      </c>
      <c r="C5583" s="15" t="s">
        <v>55</v>
      </c>
      <c r="D5583" s="15" t="s">
        <v>539</v>
      </c>
      <c r="E5583" s="15" t="n">
        <v>2</v>
      </c>
      <c r="H5583" s="10"/>
      <c r="I5583" s="21"/>
      <c r="M5583" s="10"/>
      <c r="N5583" s="10"/>
      <c r="P5583" s="10"/>
      <c r="Q5583" s="22"/>
    </row>
    <row r="5584" customFormat="false" ht="15.75" hidden="false" customHeight="false" outlineLevel="0" collapsed="false">
      <c r="A5584" s="20" t="n">
        <v>46160</v>
      </c>
      <c r="B5584" s="15" t="s">
        <v>465</v>
      </c>
      <c r="C5584" s="15" t="s">
        <v>69</v>
      </c>
      <c r="D5584" s="15" t="s">
        <v>535</v>
      </c>
      <c r="E5584" s="15" t="n">
        <v>5</v>
      </c>
      <c r="H5584" s="10"/>
      <c r="I5584" s="21"/>
      <c r="M5584" s="10"/>
      <c r="N5584" s="10"/>
      <c r="P5584" s="10"/>
      <c r="Q5584" s="22"/>
    </row>
    <row r="5585" customFormat="false" ht="15.75" hidden="false" customHeight="false" outlineLevel="0" collapsed="false">
      <c r="A5585" s="20" t="n">
        <v>46160</v>
      </c>
      <c r="B5585" s="15" t="s">
        <v>465</v>
      </c>
      <c r="C5585" s="15" t="s">
        <v>555</v>
      </c>
      <c r="D5585" s="15" t="s">
        <v>556</v>
      </c>
      <c r="E5585" s="15" t="n">
        <v>3</v>
      </c>
      <c r="H5585" s="10"/>
      <c r="I5585" s="21"/>
      <c r="M5585" s="10"/>
      <c r="N5585" s="10"/>
      <c r="P5585" s="10"/>
      <c r="Q5585" s="22"/>
    </row>
    <row r="5586" customFormat="false" ht="15.75" hidden="false" customHeight="false" outlineLevel="0" collapsed="false">
      <c r="A5586" s="20" t="n">
        <v>46160</v>
      </c>
      <c r="B5586" s="15" t="s">
        <v>465</v>
      </c>
      <c r="C5586" s="15" t="s">
        <v>565</v>
      </c>
      <c r="D5586" s="15" t="s">
        <v>566</v>
      </c>
      <c r="E5586" s="15" t="n">
        <v>3</v>
      </c>
      <c r="H5586" s="10"/>
      <c r="I5586" s="21"/>
      <c r="M5586" s="10"/>
      <c r="N5586" s="10"/>
      <c r="P5586" s="10"/>
      <c r="Q5586" s="22"/>
    </row>
    <row r="5587" customFormat="false" ht="15.75" hidden="false" customHeight="false" outlineLevel="0" collapsed="false">
      <c r="A5587" s="20" t="n">
        <v>46160</v>
      </c>
      <c r="B5587" s="15" t="s">
        <v>465</v>
      </c>
      <c r="C5587" s="15" t="s">
        <v>570</v>
      </c>
      <c r="D5587" s="15" t="s">
        <v>571</v>
      </c>
      <c r="E5587" s="15" t="n">
        <v>6</v>
      </c>
      <c r="H5587" s="10"/>
      <c r="I5587" s="21"/>
      <c r="M5587" s="10"/>
      <c r="N5587" s="10"/>
      <c r="P5587" s="10"/>
      <c r="Q5587" s="22"/>
    </row>
    <row r="5588" customFormat="false" ht="15.75" hidden="false" customHeight="false" outlineLevel="0" collapsed="false">
      <c r="A5588" s="20" t="n">
        <v>46160</v>
      </c>
      <c r="B5588" s="15" t="s">
        <v>465</v>
      </c>
      <c r="C5588" s="15" t="s">
        <v>45</v>
      </c>
      <c r="D5588" s="15" t="s">
        <v>540</v>
      </c>
      <c r="E5588" s="15" t="n">
        <v>2</v>
      </c>
      <c r="H5588" s="10"/>
      <c r="I5588" s="21"/>
      <c r="M5588" s="10"/>
      <c r="N5588" s="10"/>
      <c r="P5588" s="10"/>
      <c r="Q5588" s="22"/>
    </row>
    <row r="5589" customFormat="false" ht="15.75" hidden="false" customHeight="false" outlineLevel="0" collapsed="false">
      <c r="A5589" s="20" t="n">
        <v>46160</v>
      </c>
      <c r="B5589" s="15" t="s">
        <v>465</v>
      </c>
      <c r="C5589" s="15" t="s">
        <v>547</v>
      </c>
      <c r="D5589" s="15" t="s">
        <v>548</v>
      </c>
      <c r="E5589" s="15" t="n">
        <v>3</v>
      </c>
      <c r="H5589" s="10"/>
      <c r="I5589" s="21"/>
      <c r="M5589" s="10"/>
      <c r="N5589" s="10"/>
      <c r="P5589" s="10"/>
      <c r="Q5589" s="22"/>
    </row>
    <row r="5590" customFormat="false" ht="15.75" hidden="false" customHeight="false" outlineLevel="0" collapsed="false">
      <c r="A5590" s="20" t="n">
        <v>46160</v>
      </c>
      <c r="B5590" s="15" t="s">
        <v>465</v>
      </c>
      <c r="C5590" s="15" t="s">
        <v>567</v>
      </c>
      <c r="D5590" s="15" t="s">
        <v>568</v>
      </c>
      <c r="E5590" s="15" t="n">
        <v>2</v>
      </c>
      <c r="H5590" s="10"/>
      <c r="I5590" s="21"/>
      <c r="M5590" s="10"/>
      <c r="N5590" s="10"/>
      <c r="P5590" s="10"/>
      <c r="Q5590" s="22"/>
    </row>
    <row r="5591" customFormat="false" ht="15.75" hidden="false" customHeight="false" outlineLevel="0" collapsed="false">
      <c r="A5591" s="20" t="n">
        <v>46160</v>
      </c>
      <c r="B5591" s="15" t="s">
        <v>465</v>
      </c>
      <c r="C5591" s="15" t="s">
        <v>543</v>
      </c>
      <c r="D5591" s="15" t="s">
        <v>544</v>
      </c>
      <c r="E5591" s="15" t="n">
        <v>3</v>
      </c>
      <c r="H5591" s="10"/>
      <c r="I5591" s="21"/>
      <c r="M5591" s="10"/>
      <c r="N5591" s="10"/>
      <c r="P5591" s="10"/>
      <c r="Q5591" s="22"/>
    </row>
    <row r="5592" customFormat="false" ht="15.75" hidden="false" customHeight="false" outlineLevel="0" collapsed="false">
      <c r="A5592" s="20" t="n">
        <v>46160</v>
      </c>
      <c r="B5592" s="15" t="s">
        <v>465</v>
      </c>
      <c r="C5592" s="15" t="s">
        <v>25</v>
      </c>
      <c r="D5592" s="15" t="s">
        <v>26</v>
      </c>
      <c r="E5592" s="15" t="n">
        <v>1</v>
      </c>
      <c r="H5592" s="10"/>
      <c r="I5592" s="21"/>
      <c r="M5592" s="10"/>
      <c r="N5592" s="10"/>
      <c r="P5592" s="10"/>
      <c r="Q5592" s="22"/>
    </row>
    <row r="5593" customFormat="false" ht="15.75" hidden="false" customHeight="false" outlineLevel="0" collapsed="false">
      <c r="A5593" s="20" t="n">
        <v>46160</v>
      </c>
      <c r="B5593" s="15" t="s">
        <v>465</v>
      </c>
      <c r="C5593" s="15" t="s">
        <v>77</v>
      </c>
      <c r="D5593" s="15" t="s">
        <v>78</v>
      </c>
      <c r="E5593" s="15" t="n">
        <v>2</v>
      </c>
      <c r="H5593" s="10"/>
      <c r="I5593" s="21"/>
      <c r="M5593" s="10"/>
      <c r="N5593" s="10"/>
      <c r="P5593" s="10"/>
      <c r="Q5593" s="22"/>
    </row>
    <row r="5594" customFormat="false" ht="15.75" hidden="false" customHeight="false" outlineLevel="0" collapsed="false">
      <c r="A5594" s="20" t="n">
        <v>46160</v>
      </c>
      <c r="B5594" s="15" t="s">
        <v>465</v>
      </c>
      <c r="C5594" s="15" t="s">
        <v>59</v>
      </c>
      <c r="D5594" s="15" t="s">
        <v>562</v>
      </c>
      <c r="E5594" s="15" t="n">
        <v>2</v>
      </c>
      <c r="H5594" s="10"/>
      <c r="I5594" s="21"/>
      <c r="M5594" s="10"/>
      <c r="N5594" s="10"/>
      <c r="P5594" s="10"/>
      <c r="Q5594" s="22"/>
    </row>
    <row r="5595" customFormat="false" ht="15.75" hidden="false" customHeight="false" outlineLevel="0" collapsed="false">
      <c r="A5595" s="20" t="n">
        <v>46160</v>
      </c>
      <c r="B5595" s="15" t="s">
        <v>465</v>
      </c>
      <c r="C5595" s="15" t="s">
        <v>545</v>
      </c>
      <c r="D5595" s="15" t="s">
        <v>546</v>
      </c>
      <c r="E5595" s="15" t="n">
        <v>4</v>
      </c>
      <c r="H5595" s="10"/>
      <c r="I5595" s="21"/>
      <c r="M5595" s="10"/>
      <c r="N5595" s="10"/>
      <c r="P5595" s="10"/>
      <c r="Q5595" s="22"/>
    </row>
    <row r="5596" customFormat="false" ht="15.75" hidden="false" customHeight="false" outlineLevel="0" collapsed="false">
      <c r="A5596" s="20" t="n">
        <v>46160</v>
      </c>
      <c r="B5596" s="15" t="s">
        <v>465</v>
      </c>
      <c r="C5596" s="15" t="s">
        <v>79</v>
      </c>
      <c r="D5596" s="15" t="s">
        <v>564</v>
      </c>
      <c r="E5596" s="15" t="n">
        <v>1</v>
      </c>
      <c r="H5596" s="10"/>
      <c r="I5596" s="21"/>
      <c r="M5596" s="10"/>
      <c r="N5596" s="10"/>
      <c r="P5596" s="10"/>
      <c r="Q5596" s="22"/>
    </row>
    <row r="5597" customFormat="false" ht="15.75" hidden="false" customHeight="false" outlineLevel="0" collapsed="false">
      <c r="A5597" s="20" t="n">
        <v>46160</v>
      </c>
      <c r="B5597" s="15" t="s">
        <v>465</v>
      </c>
      <c r="C5597" s="15" t="s">
        <v>43</v>
      </c>
      <c r="D5597" s="15" t="s">
        <v>538</v>
      </c>
      <c r="E5597" s="15" t="n">
        <v>1</v>
      </c>
      <c r="H5597" s="10"/>
      <c r="I5597" s="21"/>
      <c r="M5597" s="10"/>
      <c r="N5597" s="10"/>
      <c r="P5597" s="10"/>
      <c r="Q5597" s="22"/>
    </row>
    <row r="5598" customFormat="false" ht="15.75" hidden="false" customHeight="false" outlineLevel="0" collapsed="false">
      <c r="A5598" s="20" t="n">
        <v>46160</v>
      </c>
      <c r="B5598" s="15" t="s">
        <v>465</v>
      </c>
      <c r="C5598" s="15" t="s">
        <v>33</v>
      </c>
      <c r="D5598" s="15" t="s">
        <v>536</v>
      </c>
      <c r="E5598" s="15" t="n">
        <v>2</v>
      </c>
      <c r="H5598" s="10"/>
      <c r="I5598" s="21"/>
      <c r="M5598" s="10"/>
      <c r="N5598" s="10"/>
      <c r="P5598" s="10"/>
      <c r="Q5598" s="22"/>
    </row>
    <row r="5599" customFormat="false" ht="15.75" hidden="false" customHeight="false" outlineLevel="0" collapsed="false">
      <c r="A5599" s="20" t="n">
        <v>46160</v>
      </c>
      <c r="B5599" s="15" t="s">
        <v>465</v>
      </c>
      <c r="C5599" s="15" t="s">
        <v>65</v>
      </c>
      <c r="D5599" s="15" t="s">
        <v>580</v>
      </c>
      <c r="E5599" s="15" t="n">
        <v>1</v>
      </c>
      <c r="H5599" s="10"/>
      <c r="I5599" s="21"/>
      <c r="M5599" s="10"/>
      <c r="N5599" s="10"/>
      <c r="P5599" s="10"/>
      <c r="Q5599" s="22"/>
    </row>
    <row r="5600" customFormat="false" ht="15.75" hidden="false" customHeight="false" outlineLevel="0" collapsed="false">
      <c r="A5600" s="20" t="n">
        <v>46160</v>
      </c>
      <c r="B5600" s="15" t="s">
        <v>465</v>
      </c>
      <c r="C5600" s="15" t="s">
        <v>11</v>
      </c>
      <c r="D5600" s="15" t="s">
        <v>572</v>
      </c>
      <c r="E5600" s="15" t="n">
        <v>6</v>
      </c>
      <c r="H5600" s="10"/>
      <c r="I5600" s="21"/>
      <c r="M5600" s="10"/>
      <c r="N5600" s="10"/>
      <c r="P5600" s="10"/>
      <c r="Q5600" s="22"/>
    </row>
    <row r="5601" customFormat="false" ht="15.75" hidden="false" customHeight="false" outlineLevel="0" collapsed="false">
      <c r="A5601" s="20" t="n">
        <v>46160</v>
      </c>
      <c r="B5601" s="15" t="s">
        <v>494</v>
      </c>
      <c r="C5601" s="15" t="s">
        <v>25</v>
      </c>
      <c r="D5601" s="15" t="s">
        <v>26</v>
      </c>
      <c r="E5601" s="15" t="n">
        <v>3</v>
      </c>
      <c r="H5601" s="10"/>
      <c r="I5601" s="21"/>
      <c r="M5601" s="10"/>
      <c r="N5601" s="10"/>
      <c r="P5601" s="10"/>
      <c r="Q5601" s="22"/>
    </row>
    <row r="5602" customFormat="false" ht="15.75" hidden="false" customHeight="false" outlineLevel="0" collapsed="false">
      <c r="A5602" s="20" t="n">
        <v>46160</v>
      </c>
      <c r="B5602" s="15" t="s">
        <v>494</v>
      </c>
      <c r="C5602" s="15" t="s">
        <v>547</v>
      </c>
      <c r="D5602" s="15" t="s">
        <v>548</v>
      </c>
      <c r="E5602" s="15" t="n">
        <v>3</v>
      </c>
      <c r="H5602" s="10"/>
      <c r="I5602" s="21"/>
      <c r="M5602" s="10"/>
      <c r="N5602" s="10"/>
      <c r="P5602" s="10"/>
      <c r="Q5602" s="22"/>
    </row>
    <row r="5603" customFormat="false" ht="15.75" hidden="false" customHeight="false" outlineLevel="0" collapsed="false">
      <c r="A5603" s="20" t="n">
        <v>46160</v>
      </c>
      <c r="B5603" s="15" t="s">
        <v>494</v>
      </c>
      <c r="C5603" s="15" t="s">
        <v>543</v>
      </c>
      <c r="D5603" s="15" t="s">
        <v>544</v>
      </c>
      <c r="E5603" s="15" t="n">
        <v>4</v>
      </c>
      <c r="H5603" s="10"/>
      <c r="I5603" s="21"/>
      <c r="M5603" s="10"/>
      <c r="N5603" s="10"/>
      <c r="P5603" s="10"/>
      <c r="Q5603" s="22"/>
    </row>
    <row r="5604" customFormat="false" ht="15.75" hidden="false" customHeight="false" outlineLevel="0" collapsed="false">
      <c r="A5604" s="20" t="n">
        <v>46160</v>
      </c>
      <c r="B5604" s="15" t="s">
        <v>494</v>
      </c>
      <c r="C5604" s="15" t="s">
        <v>545</v>
      </c>
      <c r="D5604" s="15" t="s">
        <v>546</v>
      </c>
      <c r="E5604" s="15" t="n">
        <v>4</v>
      </c>
      <c r="H5604" s="10"/>
      <c r="I5604" s="21"/>
      <c r="M5604" s="10"/>
      <c r="N5604" s="10"/>
      <c r="P5604" s="10"/>
      <c r="Q5604" s="22"/>
    </row>
    <row r="5605" customFormat="false" ht="15.75" hidden="false" customHeight="false" outlineLevel="0" collapsed="false">
      <c r="A5605" s="20" t="n">
        <v>46160</v>
      </c>
      <c r="B5605" s="15" t="s">
        <v>494</v>
      </c>
      <c r="C5605" s="15" t="s">
        <v>555</v>
      </c>
      <c r="D5605" s="15" t="s">
        <v>556</v>
      </c>
      <c r="E5605" s="15" t="n">
        <v>3</v>
      </c>
      <c r="H5605" s="10"/>
      <c r="I5605" s="21"/>
      <c r="M5605" s="10"/>
      <c r="N5605" s="10"/>
      <c r="P5605" s="10"/>
      <c r="Q5605" s="22"/>
    </row>
    <row r="5606" customFormat="false" ht="15.75" hidden="false" customHeight="false" outlineLevel="0" collapsed="false">
      <c r="A5606" s="20" t="n">
        <v>46160</v>
      </c>
      <c r="B5606" s="15" t="s">
        <v>494</v>
      </c>
      <c r="C5606" s="15" t="s">
        <v>45</v>
      </c>
      <c r="D5606" s="15" t="s">
        <v>540</v>
      </c>
      <c r="E5606" s="15" t="n">
        <v>1</v>
      </c>
      <c r="H5606" s="10"/>
      <c r="I5606" s="21"/>
      <c r="M5606" s="10"/>
      <c r="N5606" s="10"/>
      <c r="P5606" s="10"/>
      <c r="Q5606" s="22"/>
    </row>
    <row r="5607" customFormat="false" ht="15.75" hidden="false" customHeight="false" outlineLevel="0" collapsed="false">
      <c r="A5607" s="20" t="n">
        <v>46160</v>
      </c>
      <c r="B5607" s="15" t="s">
        <v>494</v>
      </c>
      <c r="C5607" s="15" t="s">
        <v>59</v>
      </c>
      <c r="D5607" s="15" t="s">
        <v>562</v>
      </c>
      <c r="E5607" s="15" t="n">
        <v>1</v>
      </c>
      <c r="H5607" s="10"/>
      <c r="I5607" s="21"/>
      <c r="M5607" s="10"/>
      <c r="N5607" s="10"/>
      <c r="P5607" s="10"/>
      <c r="Q5607" s="22"/>
    </row>
    <row r="5608" customFormat="false" ht="15.75" hidden="false" customHeight="false" outlineLevel="0" collapsed="false">
      <c r="A5608" s="20" t="n">
        <v>46160</v>
      </c>
      <c r="B5608" s="15" t="s">
        <v>494</v>
      </c>
      <c r="C5608" s="15" t="s">
        <v>69</v>
      </c>
      <c r="D5608" s="15" t="s">
        <v>535</v>
      </c>
      <c r="E5608" s="15" t="n">
        <v>6</v>
      </c>
      <c r="H5608" s="10"/>
      <c r="I5608" s="21"/>
      <c r="M5608" s="10"/>
      <c r="N5608" s="10"/>
      <c r="P5608" s="10"/>
      <c r="Q5608" s="22"/>
    </row>
    <row r="5609" customFormat="false" ht="15.75" hidden="false" customHeight="false" outlineLevel="0" collapsed="false">
      <c r="A5609" s="20" t="n">
        <v>46160</v>
      </c>
      <c r="B5609" s="15" t="s">
        <v>494</v>
      </c>
      <c r="C5609" s="15" t="s">
        <v>81</v>
      </c>
      <c r="D5609" s="15" t="s">
        <v>534</v>
      </c>
      <c r="E5609" s="15" t="n">
        <v>10</v>
      </c>
      <c r="H5609" s="10"/>
      <c r="I5609" s="21"/>
      <c r="M5609" s="10"/>
      <c r="N5609" s="10"/>
      <c r="P5609" s="10"/>
      <c r="Q5609" s="22"/>
    </row>
    <row r="5610" customFormat="false" ht="15.75" hidden="false" customHeight="false" outlineLevel="0" collapsed="false">
      <c r="A5610" s="20" t="n">
        <v>46160</v>
      </c>
      <c r="B5610" s="15" t="s">
        <v>494</v>
      </c>
      <c r="C5610" s="15" t="s">
        <v>79</v>
      </c>
      <c r="D5610" s="15" t="s">
        <v>564</v>
      </c>
      <c r="E5610" s="15" t="n">
        <v>2</v>
      </c>
      <c r="H5610" s="10"/>
      <c r="I5610" s="21"/>
      <c r="M5610" s="10"/>
      <c r="N5610" s="10"/>
      <c r="P5610" s="10"/>
      <c r="Q5610" s="22"/>
    </row>
    <row r="5611" customFormat="false" ht="15.75" hidden="false" customHeight="false" outlineLevel="0" collapsed="false">
      <c r="A5611" s="20" t="n">
        <v>46160</v>
      </c>
      <c r="B5611" s="15" t="s">
        <v>494</v>
      </c>
      <c r="C5611" s="15" t="s">
        <v>33</v>
      </c>
      <c r="D5611" s="15" t="s">
        <v>536</v>
      </c>
      <c r="E5611" s="15" t="n">
        <v>2</v>
      </c>
      <c r="H5611" s="10"/>
      <c r="I5611" s="21"/>
      <c r="M5611" s="10"/>
      <c r="N5611" s="10"/>
      <c r="P5611" s="10"/>
      <c r="Q5611" s="22"/>
    </row>
    <row r="5612" customFormat="false" ht="15.75" hidden="false" customHeight="false" outlineLevel="0" collapsed="false">
      <c r="A5612" s="20" t="n">
        <v>46160</v>
      </c>
      <c r="B5612" s="15" t="s">
        <v>494</v>
      </c>
      <c r="C5612" s="15" t="s">
        <v>87</v>
      </c>
      <c r="D5612" s="15" t="s">
        <v>563</v>
      </c>
      <c r="E5612" s="15" t="n">
        <v>1</v>
      </c>
      <c r="H5612" s="10"/>
      <c r="I5612" s="21"/>
      <c r="M5612" s="10"/>
      <c r="N5612" s="10"/>
      <c r="P5612" s="10"/>
      <c r="Q5612" s="22"/>
    </row>
    <row r="5613" customFormat="false" ht="15.75" hidden="false" customHeight="false" outlineLevel="0" collapsed="false">
      <c r="A5613" s="20" t="n">
        <v>46160</v>
      </c>
      <c r="B5613" s="15" t="s">
        <v>494</v>
      </c>
      <c r="C5613" s="15" t="s">
        <v>77</v>
      </c>
      <c r="D5613" s="15" t="s">
        <v>78</v>
      </c>
      <c r="E5613" s="15" t="n">
        <v>2</v>
      </c>
      <c r="H5613" s="10"/>
      <c r="I5613" s="21"/>
      <c r="M5613" s="10"/>
      <c r="N5613" s="10"/>
      <c r="P5613" s="10"/>
      <c r="Q5613" s="22"/>
    </row>
    <row r="5614" customFormat="false" ht="15.75" hidden="false" customHeight="false" outlineLevel="0" collapsed="false">
      <c r="A5614" s="20" t="n">
        <v>46160</v>
      </c>
      <c r="B5614" s="15" t="s">
        <v>494</v>
      </c>
      <c r="C5614" s="15" t="s">
        <v>65</v>
      </c>
      <c r="D5614" s="15" t="s">
        <v>580</v>
      </c>
      <c r="E5614" s="15" t="n">
        <v>1</v>
      </c>
      <c r="H5614" s="10"/>
      <c r="I5614" s="21"/>
      <c r="M5614" s="10"/>
      <c r="N5614" s="10"/>
      <c r="P5614" s="10"/>
      <c r="Q5614" s="22"/>
    </row>
    <row r="5615" customFormat="false" ht="15.75" hidden="false" customHeight="false" outlineLevel="0" collapsed="false">
      <c r="A5615" s="20" t="n">
        <v>46160</v>
      </c>
      <c r="B5615" s="15" t="s">
        <v>494</v>
      </c>
      <c r="C5615" s="15" t="s">
        <v>55</v>
      </c>
      <c r="D5615" s="15" t="s">
        <v>539</v>
      </c>
      <c r="E5615" s="15" t="n">
        <v>1</v>
      </c>
      <c r="H5615" s="10"/>
      <c r="I5615" s="21"/>
      <c r="M5615" s="10"/>
      <c r="N5615" s="10"/>
      <c r="P5615" s="10"/>
      <c r="Q5615" s="22"/>
    </row>
    <row r="5616" customFormat="false" ht="15.75" hidden="false" customHeight="false" outlineLevel="0" collapsed="false">
      <c r="A5616" s="20" t="n">
        <v>46160</v>
      </c>
      <c r="B5616" s="15" t="s">
        <v>494</v>
      </c>
      <c r="C5616" s="15" t="s">
        <v>47</v>
      </c>
      <c r="D5616" s="15" t="s">
        <v>549</v>
      </c>
      <c r="E5616" s="15" t="n">
        <v>1</v>
      </c>
      <c r="H5616" s="10"/>
      <c r="I5616" s="21"/>
      <c r="M5616" s="10"/>
      <c r="N5616" s="10"/>
      <c r="P5616" s="10"/>
      <c r="Q5616" s="22"/>
    </row>
    <row r="5617" customFormat="false" ht="15.75" hidden="false" customHeight="false" outlineLevel="0" collapsed="false">
      <c r="A5617" s="20" t="n">
        <v>46160</v>
      </c>
      <c r="B5617" s="15" t="s">
        <v>494</v>
      </c>
      <c r="C5617" s="15" t="s">
        <v>565</v>
      </c>
      <c r="D5617" s="15" t="s">
        <v>566</v>
      </c>
      <c r="E5617" s="15" t="n">
        <v>2</v>
      </c>
      <c r="H5617" s="10"/>
      <c r="I5617" s="21"/>
      <c r="M5617" s="10"/>
      <c r="N5617" s="10"/>
      <c r="P5617" s="10"/>
      <c r="Q5617" s="22"/>
    </row>
    <row r="5618" customFormat="false" ht="15.75" hidden="false" customHeight="false" outlineLevel="0" collapsed="false">
      <c r="A5618" s="20" t="n">
        <v>46160</v>
      </c>
      <c r="B5618" s="15" t="s">
        <v>494</v>
      </c>
      <c r="C5618" s="15" t="s">
        <v>37</v>
      </c>
      <c r="D5618" s="15" t="s">
        <v>561</v>
      </c>
      <c r="E5618" s="15" t="n">
        <v>1</v>
      </c>
      <c r="H5618" s="10"/>
      <c r="I5618" s="21"/>
      <c r="M5618" s="10"/>
      <c r="N5618" s="10"/>
      <c r="P5618" s="10"/>
      <c r="Q5618" s="22"/>
    </row>
    <row r="5619" customFormat="false" ht="15.75" hidden="false" customHeight="false" outlineLevel="0" collapsed="false">
      <c r="A5619" s="20" t="n">
        <v>46160</v>
      </c>
      <c r="B5619" s="15" t="s">
        <v>504</v>
      </c>
      <c r="C5619" s="15" t="s">
        <v>47</v>
      </c>
      <c r="D5619" s="15" t="s">
        <v>549</v>
      </c>
      <c r="E5619" s="15" t="n">
        <v>6</v>
      </c>
      <c r="H5619" s="10"/>
      <c r="I5619" s="21"/>
      <c r="M5619" s="10"/>
      <c r="N5619" s="10"/>
      <c r="P5619" s="10"/>
      <c r="Q5619" s="22"/>
    </row>
    <row r="5620" customFormat="false" ht="15.75" hidden="false" customHeight="false" outlineLevel="0" collapsed="false">
      <c r="A5620" s="20" t="n">
        <v>46160</v>
      </c>
      <c r="B5620" s="15" t="s">
        <v>504</v>
      </c>
      <c r="C5620" s="15" t="s">
        <v>55</v>
      </c>
      <c r="D5620" s="15" t="s">
        <v>539</v>
      </c>
      <c r="E5620" s="15" t="n">
        <v>12</v>
      </c>
      <c r="H5620" s="10"/>
      <c r="I5620" s="21"/>
      <c r="M5620" s="10"/>
      <c r="N5620" s="10"/>
      <c r="P5620" s="10"/>
      <c r="Q5620" s="22"/>
    </row>
    <row r="5621" customFormat="false" ht="15.75" hidden="false" customHeight="false" outlineLevel="0" collapsed="false">
      <c r="A5621" s="20" t="n">
        <v>46160</v>
      </c>
      <c r="B5621" s="15" t="s">
        <v>504</v>
      </c>
      <c r="C5621" s="15" t="s">
        <v>81</v>
      </c>
      <c r="D5621" s="15" t="s">
        <v>534</v>
      </c>
      <c r="E5621" s="15" t="n">
        <v>18</v>
      </c>
      <c r="H5621" s="10"/>
      <c r="I5621" s="21"/>
      <c r="M5621" s="10"/>
      <c r="N5621" s="10"/>
      <c r="P5621" s="10"/>
      <c r="Q5621" s="22"/>
    </row>
    <row r="5622" customFormat="false" ht="15.75" hidden="false" customHeight="false" outlineLevel="0" collapsed="false">
      <c r="A5622" s="20" t="n">
        <v>46160</v>
      </c>
      <c r="B5622" s="15" t="s">
        <v>504</v>
      </c>
      <c r="C5622" s="15" t="s">
        <v>39</v>
      </c>
      <c r="D5622" s="15" t="s">
        <v>550</v>
      </c>
      <c r="E5622" s="15" t="n">
        <v>2</v>
      </c>
      <c r="H5622" s="10"/>
      <c r="I5622" s="21"/>
      <c r="M5622" s="10"/>
      <c r="N5622" s="10"/>
      <c r="P5622" s="10"/>
      <c r="Q5622" s="22"/>
    </row>
    <row r="5623" customFormat="false" ht="15.75" hidden="false" customHeight="false" outlineLevel="0" collapsed="false">
      <c r="A5623" s="20" t="n">
        <v>46160</v>
      </c>
      <c r="B5623" s="15" t="s">
        <v>504</v>
      </c>
      <c r="C5623" s="15" t="s">
        <v>63</v>
      </c>
      <c r="D5623" s="15" t="s">
        <v>551</v>
      </c>
      <c r="E5623" s="15" t="n">
        <v>2</v>
      </c>
      <c r="H5623" s="10"/>
      <c r="I5623" s="21"/>
      <c r="M5623" s="10"/>
      <c r="N5623" s="10"/>
      <c r="P5623" s="10"/>
      <c r="Q5623" s="22"/>
    </row>
    <row r="5624" customFormat="false" ht="15.75" hidden="false" customHeight="false" outlineLevel="0" collapsed="false">
      <c r="A5624" s="20" t="n">
        <v>46160</v>
      </c>
      <c r="B5624" s="15" t="s">
        <v>504</v>
      </c>
      <c r="C5624" s="15" t="s">
        <v>17</v>
      </c>
      <c r="D5624" s="15" t="s">
        <v>554</v>
      </c>
      <c r="E5624" s="15" t="n">
        <v>2</v>
      </c>
      <c r="H5624" s="10"/>
      <c r="I5624" s="21"/>
      <c r="M5624" s="10"/>
      <c r="N5624" s="10"/>
      <c r="P5624" s="10"/>
      <c r="Q5624" s="22"/>
    </row>
    <row r="5625" customFormat="false" ht="15.75" hidden="false" customHeight="false" outlineLevel="0" collapsed="false">
      <c r="A5625" s="20" t="n">
        <v>46160</v>
      </c>
      <c r="B5625" s="15" t="s">
        <v>505</v>
      </c>
      <c r="C5625" s="15" t="s">
        <v>55</v>
      </c>
      <c r="D5625" s="15" t="s">
        <v>539</v>
      </c>
      <c r="E5625" s="15" t="n">
        <v>6</v>
      </c>
      <c r="H5625" s="10"/>
      <c r="I5625" s="21"/>
      <c r="M5625" s="10"/>
      <c r="N5625" s="10"/>
      <c r="P5625" s="10"/>
      <c r="Q5625" s="22"/>
    </row>
    <row r="5626" customFormat="false" ht="15.75" hidden="false" customHeight="false" outlineLevel="0" collapsed="false">
      <c r="A5626" s="20" t="n">
        <v>46160</v>
      </c>
      <c r="B5626" s="15" t="s">
        <v>505</v>
      </c>
      <c r="C5626" s="15" t="s">
        <v>39</v>
      </c>
      <c r="D5626" s="15" t="s">
        <v>550</v>
      </c>
      <c r="E5626" s="15" t="n">
        <v>1</v>
      </c>
      <c r="H5626" s="10"/>
      <c r="I5626" s="21"/>
      <c r="M5626" s="10"/>
      <c r="N5626" s="10"/>
      <c r="P5626" s="10"/>
      <c r="Q5626" s="22"/>
    </row>
    <row r="5627" customFormat="false" ht="15.75" hidden="false" customHeight="false" outlineLevel="0" collapsed="false">
      <c r="A5627" s="20" t="n">
        <v>46160</v>
      </c>
      <c r="B5627" s="15" t="s">
        <v>505</v>
      </c>
      <c r="C5627" s="15" t="s">
        <v>81</v>
      </c>
      <c r="D5627" s="15" t="s">
        <v>534</v>
      </c>
      <c r="E5627" s="15" t="n">
        <v>9</v>
      </c>
      <c r="H5627" s="10"/>
      <c r="I5627" s="21"/>
      <c r="M5627" s="10"/>
      <c r="N5627" s="10"/>
      <c r="P5627" s="10"/>
      <c r="Q5627" s="22"/>
    </row>
    <row r="5628" customFormat="false" ht="15.75" hidden="false" customHeight="false" outlineLevel="0" collapsed="false">
      <c r="A5628" s="20" t="n">
        <v>46160</v>
      </c>
      <c r="B5628" s="15" t="s">
        <v>505</v>
      </c>
      <c r="C5628" s="15" t="s">
        <v>47</v>
      </c>
      <c r="D5628" s="15" t="s">
        <v>549</v>
      </c>
      <c r="E5628" s="15" t="n">
        <v>3</v>
      </c>
      <c r="H5628" s="10"/>
      <c r="I5628" s="21"/>
      <c r="M5628" s="10"/>
      <c r="N5628" s="10"/>
      <c r="P5628" s="10"/>
      <c r="Q5628" s="22"/>
    </row>
    <row r="5629" customFormat="false" ht="15.75" hidden="false" customHeight="false" outlineLevel="0" collapsed="false">
      <c r="A5629" s="20" t="n">
        <v>46160</v>
      </c>
      <c r="B5629" s="15" t="s">
        <v>505</v>
      </c>
      <c r="C5629" s="15" t="s">
        <v>63</v>
      </c>
      <c r="D5629" s="15" t="s">
        <v>551</v>
      </c>
      <c r="E5629" s="15" t="n">
        <v>1</v>
      </c>
      <c r="H5629" s="10"/>
      <c r="I5629" s="21"/>
      <c r="M5629" s="10"/>
      <c r="N5629" s="10"/>
      <c r="P5629" s="10"/>
      <c r="Q5629" s="22"/>
    </row>
    <row r="5630" customFormat="false" ht="15.75" hidden="false" customHeight="false" outlineLevel="0" collapsed="false">
      <c r="A5630" s="20" t="n">
        <v>46160</v>
      </c>
      <c r="B5630" s="15" t="s">
        <v>505</v>
      </c>
      <c r="C5630" s="15" t="s">
        <v>17</v>
      </c>
      <c r="D5630" s="15" t="s">
        <v>554</v>
      </c>
      <c r="E5630" s="15" t="n">
        <v>1</v>
      </c>
      <c r="H5630" s="10"/>
      <c r="I5630" s="21"/>
      <c r="M5630" s="10"/>
      <c r="N5630" s="10"/>
      <c r="P5630" s="10"/>
      <c r="Q5630" s="22"/>
    </row>
    <row r="5631" customFormat="false" ht="15.75" hidden="false" customHeight="false" outlineLevel="0" collapsed="false">
      <c r="A5631" s="20" t="n">
        <v>46160</v>
      </c>
      <c r="B5631" s="15" t="s">
        <v>514</v>
      </c>
      <c r="C5631" s="15" t="s">
        <v>55</v>
      </c>
      <c r="D5631" s="15" t="s">
        <v>539</v>
      </c>
      <c r="E5631" s="15" t="n">
        <v>5</v>
      </c>
      <c r="H5631" s="10"/>
      <c r="I5631" s="21"/>
      <c r="M5631" s="10"/>
      <c r="N5631" s="10"/>
      <c r="P5631" s="10"/>
      <c r="Q5631" s="22"/>
    </row>
    <row r="5632" customFormat="false" ht="15.75" hidden="false" customHeight="false" outlineLevel="0" collapsed="false">
      <c r="A5632" s="20" t="n">
        <v>46160</v>
      </c>
      <c r="B5632" s="15" t="s">
        <v>514</v>
      </c>
      <c r="C5632" s="15" t="s">
        <v>57</v>
      </c>
      <c r="D5632" s="15" t="s">
        <v>553</v>
      </c>
      <c r="E5632" s="15" t="n">
        <v>1</v>
      </c>
      <c r="H5632" s="10"/>
      <c r="I5632" s="21"/>
      <c r="M5632" s="10"/>
      <c r="N5632" s="10"/>
      <c r="P5632" s="10"/>
      <c r="Q5632" s="22"/>
    </row>
    <row r="5633" customFormat="false" ht="15.75" hidden="false" customHeight="false" outlineLevel="0" collapsed="false">
      <c r="A5633" s="20" t="n">
        <v>46160</v>
      </c>
      <c r="B5633" s="15" t="s">
        <v>514</v>
      </c>
      <c r="C5633" s="15" t="s">
        <v>49</v>
      </c>
      <c r="D5633" s="15" t="s">
        <v>537</v>
      </c>
      <c r="E5633" s="15" t="n">
        <v>1</v>
      </c>
      <c r="H5633" s="10"/>
      <c r="I5633" s="21"/>
      <c r="M5633" s="10"/>
      <c r="N5633" s="10"/>
      <c r="P5633" s="10"/>
      <c r="Q5633" s="22"/>
    </row>
    <row r="5634" customFormat="false" ht="15.75" hidden="false" customHeight="false" outlineLevel="0" collapsed="false">
      <c r="A5634" s="20" t="n">
        <v>46160</v>
      </c>
      <c r="B5634" s="15" t="s">
        <v>514</v>
      </c>
      <c r="C5634" s="15" t="s">
        <v>47</v>
      </c>
      <c r="D5634" s="15" t="s">
        <v>549</v>
      </c>
      <c r="E5634" s="15" t="n">
        <v>4</v>
      </c>
      <c r="H5634" s="10"/>
      <c r="I5634" s="21"/>
      <c r="M5634" s="10"/>
      <c r="N5634" s="10"/>
      <c r="P5634" s="10"/>
      <c r="Q5634" s="22"/>
    </row>
    <row r="5635" customFormat="false" ht="15.75" hidden="false" customHeight="false" outlineLevel="0" collapsed="false">
      <c r="A5635" s="20" t="n">
        <v>46160</v>
      </c>
      <c r="B5635" s="15" t="s">
        <v>514</v>
      </c>
      <c r="C5635" s="15" t="s">
        <v>81</v>
      </c>
      <c r="D5635" s="15" t="s">
        <v>534</v>
      </c>
      <c r="E5635" s="15" t="n">
        <v>7</v>
      </c>
      <c r="H5635" s="10"/>
      <c r="I5635" s="21"/>
      <c r="M5635" s="10"/>
      <c r="N5635" s="10"/>
      <c r="P5635" s="10"/>
      <c r="Q5635" s="22"/>
    </row>
    <row r="5636" customFormat="false" ht="15.75" hidden="false" customHeight="false" outlineLevel="0" collapsed="false">
      <c r="A5636" s="20" t="n">
        <v>46160</v>
      </c>
      <c r="B5636" s="15" t="s">
        <v>514</v>
      </c>
      <c r="C5636" s="15" t="s">
        <v>63</v>
      </c>
      <c r="D5636" s="15" t="s">
        <v>551</v>
      </c>
      <c r="E5636" s="15" t="n">
        <v>1</v>
      </c>
      <c r="H5636" s="10"/>
      <c r="I5636" s="21"/>
      <c r="M5636" s="10"/>
      <c r="N5636" s="10"/>
      <c r="P5636" s="10"/>
      <c r="Q5636" s="22"/>
    </row>
    <row r="5637" customFormat="false" ht="15.75" hidden="false" customHeight="false" outlineLevel="0" collapsed="false">
      <c r="A5637" s="20" t="n">
        <v>46160</v>
      </c>
      <c r="B5637" s="15" t="s">
        <v>514</v>
      </c>
      <c r="C5637" s="15" t="s">
        <v>17</v>
      </c>
      <c r="D5637" s="15" t="s">
        <v>554</v>
      </c>
      <c r="E5637" s="15" t="n">
        <v>1</v>
      </c>
      <c r="H5637" s="10"/>
      <c r="I5637" s="21"/>
      <c r="M5637" s="10"/>
      <c r="N5637" s="10"/>
      <c r="P5637" s="10"/>
      <c r="Q5637" s="22"/>
    </row>
    <row r="5638" customFormat="false" ht="15.75" hidden="false" customHeight="false" outlineLevel="0" collapsed="false">
      <c r="A5638" s="20" t="n">
        <v>46161</v>
      </c>
      <c r="B5638" s="15" t="s">
        <v>453</v>
      </c>
      <c r="C5638" s="15" t="s">
        <v>47</v>
      </c>
      <c r="D5638" s="15" t="s">
        <v>549</v>
      </c>
      <c r="E5638" s="15" t="n">
        <v>4</v>
      </c>
      <c r="H5638" s="10"/>
      <c r="I5638" s="21"/>
      <c r="M5638" s="10"/>
      <c r="N5638" s="10"/>
      <c r="P5638" s="10"/>
      <c r="Q5638" s="22"/>
    </row>
    <row r="5639" customFormat="false" ht="15.75" hidden="false" customHeight="false" outlineLevel="0" collapsed="false">
      <c r="A5639" s="20" t="n">
        <v>46161</v>
      </c>
      <c r="B5639" s="15" t="s">
        <v>453</v>
      </c>
      <c r="C5639" s="15" t="s">
        <v>55</v>
      </c>
      <c r="D5639" s="15" t="s">
        <v>539</v>
      </c>
      <c r="E5639" s="15" t="n">
        <v>8</v>
      </c>
      <c r="H5639" s="10"/>
      <c r="I5639" s="21"/>
      <c r="M5639" s="10"/>
      <c r="N5639" s="10"/>
      <c r="P5639" s="10"/>
      <c r="Q5639" s="22"/>
    </row>
    <row r="5640" customFormat="false" ht="15.75" hidden="false" customHeight="false" outlineLevel="0" collapsed="false">
      <c r="A5640" s="20" t="n">
        <v>46161</v>
      </c>
      <c r="B5640" s="15" t="s">
        <v>453</v>
      </c>
      <c r="C5640" s="15" t="s">
        <v>81</v>
      </c>
      <c r="D5640" s="15" t="s">
        <v>534</v>
      </c>
      <c r="E5640" s="15" t="n">
        <v>16</v>
      </c>
      <c r="H5640" s="10"/>
      <c r="I5640" s="21"/>
      <c r="M5640" s="10"/>
      <c r="N5640" s="10"/>
      <c r="P5640" s="10"/>
      <c r="Q5640" s="22"/>
    </row>
    <row r="5641" customFormat="false" ht="15.75" hidden="false" customHeight="false" outlineLevel="0" collapsed="false">
      <c r="A5641" s="20" t="n">
        <v>46161</v>
      </c>
      <c r="B5641" s="15" t="s">
        <v>453</v>
      </c>
      <c r="C5641" s="15" t="s">
        <v>39</v>
      </c>
      <c r="D5641" s="15" t="s">
        <v>550</v>
      </c>
      <c r="E5641" s="15" t="n">
        <v>4</v>
      </c>
      <c r="H5641" s="10"/>
      <c r="I5641" s="21"/>
      <c r="M5641" s="10"/>
      <c r="N5641" s="10"/>
      <c r="P5641" s="10"/>
      <c r="Q5641" s="22"/>
    </row>
    <row r="5642" customFormat="false" ht="15.75" hidden="false" customHeight="false" outlineLevel="0" collapsed="false">
      <c r="A5642" s="20" t="n">
        <v>46161</v>
      </c>
      <c r="B5642" s="15" t="s">
        <v>453</v>
      </c>
      <c r="C5642" s="15" t="s">
        <v>63</v>
      </c>
      <c r="D5642" s="15" t="s">
        <v>551</v>
      </c>
      <c r="E5642" s="15" t="n">
        <v>2</v>
      </c>
      <c r="H5642" s="10"/>
      <c r="I5642" s="21"/>
      <c r="M5642" s="10"/>
      <c r="N5642" s="10"/>
      <c r="P5642" s="10"/>
      <c r="Q5642" s="22"/>
    </row>
    <row r="5643" customFormat="false" ht="15.75" hidden="false" customHeight="false" outlineLevel="0" collapsed="false">
      <c r="A5643" s="20" t="n">
        <v>46161</v>
      </c>
      <c r="B5643" s="15" t="s">
        <v>453</v>
      </c>
      <c r="C5643" s="15" t="s">
        <v>35</v>
      </c>
      <c r="D5643" s="15" t="s">
        <v>552</v>
      </c>
      <c r="E5643" s="15" t="n">
        <v>4</v>
      </c>
      <c r="H5643" s="10"/>
      <c r="I5643" s="21"/>
      <c r="M5643" s="10"/>
      <c r="N5643" s="10"/>
      <c r="P5643" s="10"/>
      <c r="Q5643" s="22"/>
    </row>
    <row r="5644" customFormat="false" ht="15.75" hidden="false" customHeight="false" outlineLevel="0" collapsed="false">
      <c r="A5644" s="20" t="n">
        <v>46161</v>
      </c>
      <c r="B5644" s="15" t="s">
        <v>465</v>
      </c>
      <c r="C5644" s="15" t="s">
        <v>47</v>
      </c>
      <c r="D5644" s="15" t="s">
        <v>549</v>
      </c>
      <c r="E5644" s="15" t="n">
        <v>2</v>
      </c>
      <c r="H5644" s="10"/>
      <c r="I5644" s="21"/>
      <c r="M5644" s="10"/>
      <c r="N5644" s="10"/>
      <c r="P5644" s="10"/>
      <c r="Q5644" s="22"/>
    </row>
    <row r="5645" customFormat="false" ht="15.75" hidden="false" customHeight="false" outlineLevel="0" collapsed="false">
      <c r="A5645" s="20" t="n">
        <v>46161</v>
      </c>
      <c r="B5645" s="15" t="s">
        <v>465</v>
      </c>
      <c r="C5645" s="15" t="s">
        <v>81</v>
      </c>
      <c r="D5645" s="15" t="s">
        <v>534</v>
      </c>
      <c r="E5645" s="15" t="n">
        <v>13</v>
      </c>
      <c r="H5645" s="10"/>
      <c r="I5645" s="21"/>
      <c r="M5645" s="10"/>
      <c r="N5645" s="10"/>
      <c r="P5645" s="10"/>
      <c r="Q5645" s="22"/>
    </row>
    <row r="5646" customFormat="false" ht="15.75" hidden="false" customHeight="false" outlineLevel="0" collapsed="false">
      <c r="A5646" s="20" t="n">
        <v>46161</v>
      </c>
      <c r="B5646" s="15" t="s">
        <v>465</v>
      </c>
      <c r="C5646" s="15" t="s">
        <v>55</v>
      </c>
      <c r="D5646" s="15" t="s">
        <v>539</v>
      </c>
      <c r="E5646" s="15" t="n">
        <v>2</v>
      </c>
      <c r="H5646" s="10"/>
      <c r="I5646" s="21"/>
      <c r="M5646" s="10"/>
      <c r="N5646" s="10"/>
      <c r="P5646" s="10"/>
      <c r="Q5646" s="22"/>
    </row>
    <row r="5647" customFormat="false" ht="15.75" hidden="false" customHeight="false" outlineLevel="0" collapsed="false">
      <c r="A5647" s="20" t="n">
        <v>46161</v>
      </c>
      <c r="B5647" s="15" t="s">
        <v>465</v>
      </c>
      <c r="C5647" s="15" t="s">
        <v>69</v>
      </c>
      <c r="D5647" s="15" t="s">
        <v>535</v>
      </c>
      <c r="E5647" s="15" t="n">
        <v>5</v>
      </c>
      <c r="H5647" s="10"/>
      <c r="I5647" s="21"/>
      <c r="M5647" s="10"/>
      <c r="N5647" s="10"/>
      <c r="P5647" s="10"/>
      <c r="Q5647" s="22"/>
    </row>
    <row r="5648" customFormat="false" ht="15.75" hidden="false" customHeight="false" outlineLevel="0" collapsed="false">
      <c r="A5648" s="20" t="n">
        <v>46161</v>
      </c>
      <c r="B5648" s="15" t="s">
        <v>465</v>
      </c>
      <c r="C5648" s="15" t="s">
        <v>555</v>
      </c>
      <c r="D5648" s="15" t="s">
        <v>556</v>
      </c>
      <c r="E5648" s="15" t="n">
        <v>3</v>
      </c>
      <c r="H5648" s="10"/>
      <c r="I5648" s="21"/>
      <c r="M5648" s="10"/>
      <c r="N5648" s="10"/>
      <c r="P5648" s="10"/>
      <c r="Q5648" s="22"/>
    </row>
    <row r="5649" customFormat="false" ht="15.75" hidden="false" customHeight="false" outlineLevel="0" collapsed="false">
      <c r="A5649" s="20" t="n">
        <v>46161</v>
      </c>
      <c r="B5649" s="15" t="s">
        <v>465</v>
      </c>
      <c r="C5649" s="15" t="s">
        <v>565</v>
      </c>
      <c r="D5649" s="15" t="s">
        <v>566</v>
      </c>
      <c r="E5649" s="15" t="n">
        <v>3</v>
      </c>
      <c r="H5649" s="10"/>
      <c r="I5649" s="21"/>
      <c r="M5649" s="10"/>
      <c r="N5649" s="10"/>
      <c r="P5649" s="10"/>
      <c r="Q5649" s="22"/>
    </row>
    <row r="5650" customFormat="false" ht="15.75" hidden="false" customHeight="false" outlineLevel="0" collapsed="false">
      <c r="A5650" s="20" t="n">
        <v>46161</v>
      </c>
      <c r="B5650" s="15" t="s">
        <v>465</v>
      </c>
      <c r="C5650" s="15" t="s">
        <v>570</v>
      </c>
      <c r="D5650" s="15" t="s">
        <v>571</v>
      </c>
      <c r="E5650" s="15" t="n">
        <v>6</v>
      </c>
      <c r="H5650" s="10"/>
      <c r="I5650" s="21"/>
      <c r="M5650" s="10"/>
      <c r="N5650" s="10"/>
      <c r="P5650" s="10"/>
      <c r="Q5650" s="22"/>
    </row>
    <row r="5651" customFormat="false" ht="15.75" hidden="false" customHeight="false" outlineLevel="0" collapsed="false">
      <c r="A5651" s="20" t="n">
        <v>46161</v>
      </c>
      <c r="B5651" s="15" t="s">
        <v>465</v>
      </c>
      <c r="C5651" s="15" t="s">
        <v>45</v>
      </c>
      <c r="D5651" s="15" t="s">
        <v>540</v>
      </c>
      <c r="E5651" s="15" t="n">
        <v>2</v>
      </c>
      <c r="H5651" s="10"/>
      <c r="I5651" s="21"/>
      <c r="M5651" s="10"/>
      <c r="N5651" s="10"/>
      <c r="P5651" s="10"/>
      <c r="Q5651" s="22"/>
    </row>
    <row r="5652" customFormat="false" ht="15.75" hidden="false" customHeight="false" outlineLevel="0" collapsed="false">
      <c r="A5652" s="20" t="n">
        <v>46161</v>
      </c>
      <c r="B5652" s="15" t="s">
        <v>465</v>
      </c>
      <c r="C5652" s="15" t="s">
        <v>547</v>
      </c>
      <c r="D5652" s="15" t="s">
        <v>548</v>
      </c>
      <c r="E5652" s="15" t="n">
        <v>3</v>
      </c>
      <c r="H5652" s="10"/>
      <c r="I5652" s="21"/>
      <c r="M5652" s="10"/>
      <c r="N5652" s="10"/>
      <c r="P5652" s="10"/>
      <c r="Q5652" s="22"/>
    </row>
    <row r="5653" customFormat="false" ht="15.75" hidden="false" customHeight="false" outlineLevel="0" collapsed="false">
      <c r="A5653" s="20" t="n">
        <v>46161</v>
      </c>
      <c r="B5653" s="15" t="s">
        <v>465</v>
      </c>
      <c r="C5653" s="15" t="s">
        <v>567</v>
      </c>
      <c r="D5653" s="15" t="s">
        <v>568</v>
      </c>
      <c r="E5653" s="15" t="n">
        <v>2</v>
      </c>
      <c r="H5653" s="10"/>
      <c r="I5653" s="21"/>
      <c r="M5653" s="10"/>
      <c r="N5653" s="10"/>
      <c r="P5653" s="10"/>
      <c r="Q5653" s="22"/>
    </row>
    <row r="5654" customFormat="false" ht="15.75" hidden="false" customHeight="false" outlineLevel="0" collapsed="false">
      <c r="A5654" s="20" t="n">
        <v>46161</v>
      </c>
      <c r="B5654" s="15" t="s">
        <v>465</v>
      </c>
      <c r="C5654" s="15" t="s">
        <v>543</v>
      </c>
      <c r="D5654" s="15" t="s">
        <v>544</v>
      </c>
      <c r="E5654" s="15" t="n">
        <v>3</v>
      </c>
      <c r="H5654" s="10"/>
      <c r="I5654" s="21"/>
      <c r="M5654" s="10"/>
      <c r="N5654" s="10"/>
      <c r="P5654" s="10"/>
      <c r="Q5654" s="22"/>
    </row>
    <row r="5655" customFormat="false" ht="15.75" hidden="false" customHeight="false" outlineLevel="0" collapsed="false">
      <c r="A5655" s="20" t="n">
        <v>46161</v>
      </c>
      <c r="B5655" s="15" t="s">
        <v>465</v>
      </c>
      <c r="C5655" s="15" t="s">
        <v>25</v>
      </c>
      <c r="D5655" s="15" t="s">
        <v>26</v>
      </c>
      <c r="E5655" s="15" t="n">
        <v>1</v>
      </c>
      <c r="H5655" s="10"/>
      <c r="I5655" s="21"/>
      <c r="M5655" s="10"/>
      <c r="N5655" s="10"/>
      <c r="P5655" s="10"/>
      <c r="Q5655" s="22"/>
    </row>
    <row r="5656" customFormat="false" ht="15.75" hidden="false" customHeight="false" outlineLevel="0" collapsed="false">
      <c r="A5656" s="20" t="n">
        <v>46161</v>
      </c>
      <c r="B5656" s="15" t="s">
        <v>465</v>
      </c>
      <c r="C5656" s="15" t="s">
        <v>77</v>
      </c>
      <c r="D5656" s="15" t="s">
        <v>78</v>
      </c>
      <c r="E5656" s="15" t="n">
        <v>2</v>
      </c>
      <c r="H5656" s="10"/>
      <c r="I5656" s="21"/>
      <c r="M5656" s="10"/>
      <c r="N5656" s="10"/>
      <c r="P5656" s="10"/>
      <c r="Q5656" s="22"/>
    </row>
    <row r="5657" customFormat="false" ht="15.75" hidden="false" customHeight="false" outlineLevel="0" collapsed="false">
      <c r="A5657" s="20" t="n">
        <v>46161</v>
      </c>
      <c r="B5657" s="15" t="s">
        <v>465</v>
      </c>
      <c r="C5657" s="15" t="s">
        <v>59</v>
      </c>
      <c r="D5657" s="15" t="s">
        <v>562</v>
      </c>
      <c r="E5657" s="15" t="n">
        <v>2</v>
      </c>
      <c r="H5657" s="10"/>
      <c r="I5657" s="21"/>
      <c r="M5657" s="10"/>
      <c r="N5657" s="10"/>
      <c r="P5657" s="10"/>
      <c r="Q5657" s="22"/>
    </row>
    <row r="5658" customFormat="false" ht="15.75" hidden="false" customHeight="false" outlineLevel="0" collapsed="false">
      <c r="A5658" s="20" t="n">
        <v>46161</v>
      </c>
      <c r="B5658" s="15" t="s">
        <v>465</v>
      </c>
      <c r="C5658" s="15" t="s">
        <v>545</v>
      </c>
      <c r="D5658" s="15" t="s">
        <v>546</v>
      </c>
      <c r="E5658" s="15" t="n">
        <v>4</v>
      </c>
      <c r="H5658" s="10"/>
      <c r="I5658" s="21"/>
      <c r="M5658" s="10"/>
      <c r="N5658" s="10"/>
      <c r="P5658" s="10"/>
      <c r="Q5658" s="22"/>
    </row>
    <row r="5659" customFormat="false" ht="15.75" hidden="false" customHeight="false" outlineLevel="0" collapsed="false">
      <c r="A5659" s="20" t="n">
        <v>46161</v>
      </c>
      <c r="B5659" s="15" t="s">
        <v>465</v>
      </c>
      <c r="C5659" s="15" t="s">
        <v>79</v>
      </c>
      <c r="D5659" s="15" t="s">
        <v>564</v>
      </c>
      <c r="E5659" s="15" t="n">
        <v>1</v>
      </c>
      <c r="H5659" s="10"/>
      <c r="I5659" s="21"/>
      <c r="M5659" s="10"/>
      <c r="N5659" s="10"/>
      <c r="P5659" s="10"/>
      <c r="Q5659" s="22"/>
    </row>
    <row r="5660" customFormat="false" ht="15.75" hidden="false" customHeight="false" outlineLevel="0" collapsed="false">
      <c r="A5660" s="20" t="n">
        <v>46161</v>
      </c>
      <c r="B5660" s="15" t="s">
        <v>465</v>
      </c>
      <c r="C5660" s="15" t="s">
        <v>43</v>
      </c>
      <c r="D5660" s="15" t="s">
        <v>538</v>
      </c>
      <c r="E5660" s="15" t="n">
        <v>1</v>
      </c>
      <c r="H5660" s="10"/>
      <c r="I5660" s="21"/>
      <c r="M5660" s="10"/>
      <c r="N5660" s="10"/>
      <c r="P5660" s="10"/>
      <c r="Q5660" s="22"/>
    </row>
    <row r="5661" customFormat="false" ht="15.75" hidden="false" customHeight="false" outlineLevel="0" collapsed="false">
      <c r="A5661" s="20" t="n">
        <v>46161</v>
      </c>
      <c r="B5661" s="15" t="s">
        <v>465</v>
      </c>
      <c r="C5661" s="15" t="s">
        <v>33</v>
      </c>
      <c r="D5661" s="15" t="s">
        <v>536</v>
      </c>
      <c r="E5661" s="15" t="n">
        <v>2</v>
      </c>
      <c r="H5661" s="10"/>
      <c r="I5661" s="21"/>
      <c r="M5661" s="10"/>
      <c r="N5661" s="10"/>
      <c r="P5661" s="10"/>
      <c r="Q5661" s="22"/>
    </row>
    <row r="5662" customFormat="false" ht="15.75" hidden="false" customHeight="false" outlineLevel="0" collapsed="false">
      <c r="A5662" s="20" t="n">
        <v>46161</v>
      </c>
      <c r="B5662" s="15" t="s">
        <v>465</v>
      </c>
      <c r="C5662" s="15" t="s">
        <v>65</v>
      </c>
      <c r="D5662" s="15" t="s">
        <v>580</v>
      </c>
      <c r="E5662" s="15" t="n">
        <v>1</v>
      </c>
      <c r="H5662" s="10"/>
      <c r="I5662" s="21"/>
      <c r="M5662" s="10"/>
      <c r="N5662" s="10"/>
      <c r="P5662" s="10"/>
      <c r="Q5662" s="22"/>
    </row>
    <row r="5663" customFormat="false" ht="15.75" hidden="false" customHeight="false" outlineLevel="0" collapsed="false">
      <c r="A5663" s="20" t="n">
        <v>46161</v>
      </c>
      <c r="B5663" s="15" t="s">
        <v>465</v>
      </c>
      <c r="C5663" s="15" t="s">
        <v>11</v>
      </c>
      <c r="D5663" s="15" t="s">
        <v>572</v>
      </c>
      <c r="E5663" s="15" t="n">
        <v>6</v>
      </c>
      <c r="H5663" s="10"/>
      <c r="I5663" s="21"/>
      <c r="M5663" s="10"/>
      <c r="N5663" s="10"/>
      <c r="P5663" s="10"/>
      <c r="Q5663" s="22"/>
    </row>
    <row r="5664" customFormat="false" ht="15.75" hidden="false" customHeight="false" outlineLevel="0" collapsed="false">
      <c r="A5664" s="20" t="n">
        <v>46161</v>
      </c>
      <c r="B5664" s="15" t="s">
        <v>484</v>
      </c>
      <c r="C5664" s="15" t="s">
        <v>69</v>
      </c>
      <c r="D5664" s="15" t="s">
        <v>535</v>
      </c>
      <c r="E5664" s="15" t="n">
        <v>2</v>
      </c>
      <c r="H5664" s="10"/>
      <c r="I5664" s="21"/>
      <c r="M5664" s="10"/>
      <c r="N5664" s="10"/>
      <c r="P5664" s="10"/>
      <c r="Q5664" s="22"/>
    </row>
    <row r="5665" customFormat="false" ht="15.75" hidden="false" customHeight="false" outlineLevel="0" collapsed="false">
      <c r="A5665" s="20" t="n">
        <v>46161</v>
      </c>
      <c r="B5665" s="15" t="s">
        <v>484</v>
      </c>
      <c r="C5665" s="15" t="s">
        <v>81</v>
      </c>
      <c r="D5665" s="15" t="s">
        <v>534</v>
      </c>
      <c r="E5665" s="15" t="n">
        <v>5</v>
      </c>
      <c r="H5665" s="10"/>
      <c r="I5665" s="21"/>
      <c r="M5665" s="10"/>
      <c r="N5665" s="10"/>
      <c r="P5665" s="10"/>
      <c r="Q5665" s="22"/>
    </row>
    <row r="5666" customFormat="false" ht="15.75" hidden="false" customHeight="false" outlineLevel="0" collapsed="false">
      <c r="A5666" s="20" t="n">
        <v>46161</v>
      </c>
      <c r="B5666" s="15" t="s">
        <v>484</v>
      </c>
      <c r="C5666" s="15" t="s">
        <v>37</v>
      </c>
      <c r="D5666" s="15" t="s">
        <v>561</v>
      </c>
      <c r="E5666" s="15" t="n">
        <v>2</v>
      </c>
      <c r="H5666" s="10"/>
      <c r="I5666" s="21"/>
      <c r="M5666" s="10"/>
      <c r="N5666" s="10"/>
      <c r="P5666" s="10"/>
      <c r="Q5666" s="22"/>
    </row>
    <row r="5667" customFormat="false" ht="15.75" hidden="false" customHeight="false" outlineLevel="0" collapsed="false">
      <c r="A5667" s="20" t="n">
        <v>46161</v>
      </c>
      <c r="B5667" s="15" t="s">
        <v>484</v>
      </c>
      <c r="C5667" s="15" t="s">
        <v>547</v>
      </c>
      <c r="D5667" s="15" t="s">
        <v>548</v>
      </c>
      <c r="E5667" s="15" t="n">
        <v>1</v>
      </c>
      <c r="H5667" s="10"/>
      <c r="I5667" s="21"/>
      <c r="M5667" s="10"/>
      <c r="N5667" s="10"/>
      <c r="P5667" s="10"/>
      <c r="Q5667" s="22"/>
    </row>
    <row r="5668" customFormat="false" ht="15.75" hidden="false" customHeight="false" outlineLevel="0" collapsed="false">
      <c r="A5668" s="20" t="n">
        <v>46161</v>
      </c>
      <c r="B5668" s="15" t="s">
        <v>484</v>
      </c>
      <c r="C5668" s="15" t="s">
        <v>33</v>
      </c>
      <c r="D5668" s="15" t="s">
        <v>536</v>
      </c>
      <c r="E5668" s="15" t="n">
        <v>2</v>
      </c>
      <c r="H5668" s="10"/>
      <c r="I5668" s="21"/>
      <c r="M5668" s="10"/>
      <c r="N5668" s="10"/>
      <c r="P5668" s="10"/>
      <c r="Q5668" s="22"/>
    </row>
    <row r="5669" customFormat="false" ht="15.75" hidden="false" customHeight="false" outlineLevel="0" collapsed="false">
      <c r="A5669" s="20" t="n">
        <v>46161</v>
      </c>
      <c r="B5669" s="15" t="s">
        <v>484</v>
      </c>
      <c r="C5669" s="15" t="s">
        <v>77</v>
      </c>
      <c r="D5669" s="15" t="s">
        <v>78</v>
      </c>
      <c r="E5669" s="15" t="n">
        <v>2</v>
      </c>
      <c r="H5669" s="10"/>
      <c r="I5669" s="21"/>
      <c r="M5669" s="10"/>
      <c r="N5669" s="10"/>
      <c r="P5669" s="10"/>
      <c r="Q5669" s="22"/>
    </row>
    <row r="5670" customFormat="false" ht="15.75" hidden="false" customHeight="false" outlineLevel="0" collapsed="false">
      <c r="A5670" s="20" t="n">
        <v>46161</v>
      </c>
      <c r="B5670" s="15" t="s">
        <v>484</v>
      </c>
      <c r="C5670" s="15" t="s">
        <v>578</v>
      </c>
      <c r="D5670" s="15" t="s">
        <v>579</v>
      </c>
      <c r="E5670" s="15" t="n">
        <v>1</v>
      </c>
      <c r="H5670" s="10"/>
      <c r="I5670" s="21"/>
      <c r="M5670" s="10"/>
      <c r="N5670" s="10"/>
      <c r="P5670" s="10"/>
      <c r="Q5670" s="22"/>
    </row>
    <row r="5671" customFormat="false" ht="15.75" hidden="false" customHeight="false" outlineLevel="0" collapsed="false">
      <c r="A5671" s="20" t="n">
        <v>46161</v>
      </c>
      <c r="B5671" s="15" t="s">
        <v>484</v>
      </c>
      <c r="C5671" s="15" t="s">
        <v>11</v>
      </c>
      <c r="D5671" s="15" t="s">
        <v>572</v>
      </c>
      <c r="E5671" s="15" t="n">
        <v>1</v>
      </c>
      <c r="H5671" s="10"/>
      <c r="I5671" s="21"/>
      <c r="M5671" s="10"/>
      <c r="N5671" s="10"/>
      <c r="P5671" s="10"/>
      <c r="Q5671" s="22"/>
    </row>
    <row r="5672" customFormat="false" ht="15.75" hidden="false" customHeight="false" outlineLevel="0" collapsed="false">
      <c r="A5672" s="20" t="n">
        <v>46161</v>
      </c>
      <c r="B5672" s="15" t="s">
        <v>494</v>
      </c>
      <c r="C5672" s="15" t="s">
        <v>25</v>
      </c>
      <c r="D5672" s="15" t="s">
        <v>26</v>
      </c>
      <c r="E5672" s="15" t="n">
        <v>3</v>
      </c>
      <c r="H5672" s="10"/>
      <c r="I5672" s="21"/>
      <c r="M5672" s="10"/>
      <c r="N5672" s="10"/>
      <c r="P5672" s="10"/>
      <c r="Q5672" s="22"/>
    </row>
    <row r="5673" customFormat="false" ht="15.75" hidden="false" customHeight="false" outlineLevel="0" collapsed="false">
      <c r="A5673" s="20" t="n">
        <v>46161</v>
      </c>
      <c r="B5673" s="15" t="s">
        <v>494</v>
      </c>
      <c r="C5673" s="15" t="s">
        <v>547</v>
      </c>
      <c r="D5673" s="15" t="s">
        <v>548</v>
      </c>
      <c r="E5673" s="15" t="n">
        <v>3</v>
      </c>
      <c r="H5673" s="10"/>
      <c r="I5673" s="21"/>
      <c r="M5673" s="10"/>
      <c r="N5673" s="10"/>
      <c r="P5673" s="10"/>
      <c r="Q5673" s="22"/>
    </row>
    <row r="5674" customFormat="false" ht="15.75" hidden="false" customHeight="false" outlineLevel="0" collapsed="false">
      <c r="A5674" s="20" t="n">
        <v>46161</v>
      </c>
      <c r="B5674" s="15" t="s">
        <v>494</v>
      </c>
      <c r="C5674" s="15" t="s">
        <v>543</v>
      </c>
      <c r="D5674" s="15" t="s">
        <v>544</v>
      </c>
      <c r="E5674" s="15" t="n">
        <v>4</v>
      </c>
      <c r="H5674" s="10"/>
      <c r="I5674" s="21"/>
      <c r="M5674" s="10"/>
      <c r="N5674" s="10"/>
      <c r="P5674" s="10"/>
      <c r="Q5674" s="22"/>
    </row>
    <row r="5675" customFormat="false" ht="15.75" hidden="false" customHeight="false" outlineLevel="0" collapsed="false">
      <c r="A5675" s="20" t="n">
        <v>46161</v>
      </c>
      <c r="B5675" s="15" t="s">
        <v>494</v>
      </c>
      <c r="C5675" s="15" t="s">
        <v>545</v>
      </c>
      <c r="D5675" s="15" t="s">
        <v>546</v>
      </c>
      <c r="E5675" s="15" t="n">
        <v>4</v>
      </c>
      <c r="H5675" s="10"/>
      <c r="I5675" s="21"/>
      <c r="M5675" s="10"/>
      <c r="N5675" s="10"/>
      <c r="P5675" s="10"/>
      <c r="Q5675" s="22"/>
    </row>
    <row r="5676" customFormat="false" ht="15.75" hidden="false" customHeight="false" outlineLevel="0" collapsed="false">
      <c r="A5676" s="20" t="n">
        <v>46161</v>
      </c>
      <c r="B5676" s="15" t="s">
        <v>494</v>
      </c>
      <c r="C5676" s="15" t="s">
        <v>555</v>
      </c>
      <c r="D5676" s="15" t="s">
        <v>556</v>
      </c>
      <c r="E5676" s="15" t="n">
        <v>3</v>
      </c>
      <c r="H5676" s="10"/>
      <c r="I5676" s="21"/>
      <c r="M5676" s="10"/>
      <c r="N5676" s="10"/>
      <c r="P5676" s="10"/>
      <c r="Q5676" s="22"/>
    </row>
    <row r="5677" customFormat="false" ht="15.75" hidden="false" customHeight="false" outlineLevel="0" collapsed="false">
      <c r="A5677" s="20" t="n">
        <v>46161</v>
      </c>
      <c r="B5677" s="15" t="s">
        <v>494</v>
      </c>
      <c r="C5677" s="15" t="s">
        <v>45</v>
      </c>
      <c r="D5677" s="15" t="s">
        <v>540</v>
      </c>
      <c r="E5677" s="15" t="n">
        <v>1</v>
      </c>
      <c r="H5677" s="10"/>
      <c r="I5677" s="21"/>
      <c r="M5677" s="10"/>
      <c r="N5677" s="10"/>
      <c r="P5677" s="10"/>
      <c r="Q5677" s="22"/>
    </row>
    <row r="5678" customFormat="false" ht="15.75" hidden="false" customHeight="false" outlineLevel="0" collapsed="false">
      <c r="A5678" s="20" t="n">
        <v>46161</v>
      </c>
      <c r="B5678" s="15" t="s">
        <v>494</v>
      </c>
      <c r="C5678" s="15" t="s">
        <v>59</v>
      </c>
      <c r="D5678" s="15" t="s">
        <v>562</v>
      </c>
      <c r="E5678" s="15" t="n">
        <v>1</v>
      </c>
      <c r="H5678" s="10"/>
      <c r="I5678" s="21"/>
      <c r="M5678" s="10"/>
      <c r="N5678" s="10"/>
      <c r="P5678" s="10"/>
      <c r="Q5678" s="22"/>
    </row>
    <row r="5679" customFormat="false" ht="15.75" hidden="false" customHeight="false" outlineLevel="0" collapsed="false">
      <c r="A5679" s="20" t="n">
        <v>46161</v>
      </c>
      <c r="B5679" s="15" t="s">
        <v>494</v>
      </c>
      <c r="C5679" s="15" t="s">
        <v>69</v>
      </c>
      <c r="D5679" s="15" t="s">
        <v>535</v>
      </c>
      <c r="E5679" s="15" t="n">
        <v>6</v>
      </c>
      <c r="H5679" s="10"/>
      <c r="I5679" s="21"/>
      <c r="M5679" s="10"/>
      <c r="N5679" s="10"/>
      <c r="P5679" s="10"/>
      <c r="Q5679" s="22"/>
    </row>
    <row r="5680" customFormat="false" ht="15.75" hidden="false" customHeight="false" outlineLevel="0" collapsed="false">
      <c r="A5680" s="20" t="n">
        <v>46161</v>
      </c>
      <c r="B5680" s="15" t="s">
        <v>494</v>
      </c>
      <c r="C5680" s="15" t="s">
        <v>81</v>
      </c>
      <c r="D5680" s="15" t="s">
        <v>534</v>
      </c>
      <c r="E5680" s="15" t="n">
        <v>10</v>
      </c>
      <c r="H5680" s="10"/>
      <c r="I5680" s="21"/>
      <c r="M5680" s="10"/>
      <c r="N5680" s="10"/>
      <c r="P5680" s="10"/>
      <c r="Q5680" s="22"/>
    </row>
    <row r="5681" customFormat="false" ht="15.75" hidden="false" customHeight="false" outlineLevel="0" collapsed="false">
      <c r="A5681" s="20" t="n">
        <v>46161</v>
      </c>
      <c r="B5681" s="15" t="s">
        <v>494</v>
      </c>
      <c r="C5681" s="15" t="s">
        <v>79</v>
      </c>
      <c r="D5681" s="15" t="s">
        <v>564</v>
      </c>
      <c r="E5681" s="15" t="n">
        <v>2</v>
      </c>
      <c r="H5681" s="10"/>
      <c r="I5681" s="21"/>
      <c r="M5681" s="10"/>
      <c r="N5681" s="10"/>
      <c r="P5681" s="10"/>
      <c r="Q5681" s="22"/>
    </row>
    <row r="5682" customFormat="false" ht="15.75" hidden="false" customHeight="false" outlineLevel="0" collapsed="false">
      <c r="A5682" s="20" t="n">
        <v>46161</v>
      </c>
      <c r="B5682" s="15" t="s">
        <v>494</v>
      </c>
      <c r="C5682" s="15" t="s">
        <v>33</v>
      </c>
      <c r="D5682" s="15" t="s">
        <v>536</v>
      </c>
      <c r="E5682" s="15" t="n">
        <v>2</v>
      </c>
      <c r="H5682" s="10"/>
      <c r="I5682" s="21"/>
      <c r="M5682" s="10"/>
      <c r="N5682" s="10"/>
      <c r="P5682" s="10"/>
      <c r="Q5682" s="22"/>
    </row>
    <row r="5683" customFormat="false" ht="15.75" hidden="false" customHeight="false" outlineLevel="0" collapsed="false">
      <c r="A5683" s="20" t="n">
        <v>46161</v>
      </c>
      <c r="B5683" s="15" t="s">
        <v>494</v>
      </c>
      <c r="C5683" s="15" t="s">
        <v>87</v>
      </c>
      <c r="D5683" s="15" t="s">
        <v>563</v>
      </c>
      <c r="E5683" s="15" t="n">
        <v>1</v>
      </c>
      <c r="H5683" s="10"/>
      <c r="I5683" s="21"/>
      <c r="M5683" s="10"/>
      <c r="N5683" s="10"/>
      <c r="P5683" s="10"/>
      <c r="Q5683" s="22"/>
    </row>
    <row r="5684" customFormat="false" ht="15.75" hidden="false" customHeight="false" outlineLevel="0" collapsed="false">
      <c r="A5684" s="20" t="n">
        <v>46161</v>
      </c>
      <c r="B5684" s="15" t="s">
        <v>494</v>
      </c>
      <c r="C5684" s="15" t="s">
        <v>77</v>
      </c>
      <c r="D5684" s="15" t="s">
        <v>78</v>
      </c>
      <c r="E5684" s="15" t="n">
        <v>2</v>
      </c>
      <c r="H5684" s="10"/>
      <c r="I5684" s="21"/>
      <c r="M5684" s="10"/>
      <c r="N5684" s="10"/>
      <c r="P5684" s="10"/>
      <c r="Q5684" s="22"/>
    </row>
    <row r="5685" customFormat="false" ht="15.75" hidden="false" customHeight="false" outlineLevel="0" collapsed="false">
      <c r="A5685" s="20" t="n">
        <v>46161</v>
      </c>
      <c r="B5685" s="15" t="s">
        <v>494</v>
      </c>
      <c r="C5685" s="15" t="s">
        <v>65</v>
      </c>
      <c r="D5685" s="15" t="s">
        <v>580</v>
      </c>
      <c r="E5685" s="15" t="n">
        <v>1</v>
      </c>
      <c r="H5685" s="10"/>
      <c r="I5685" s="21"/>
      <c r="M5685" s="10"/>
      <c r="N5685" s="10"/>
      <c r="P5685" s="10"/>
      <c r="Q5685" s="22"/>
    </row>
    <row r="5686" customFormat="false" ht="15.75" hidden="false" customHeight="false" outlineLevel="0" collapsed="false">
      <c r="A5686" s="20" t="n">
        <v>46161</v>
      </c>
      <c r="B5686" s="15" t="s">
        <v>494</v>
      </c>
      <c r="C5686" s="15" t="s">
        <v>55</v>
      </c>
      <c r="D5686" s="15" t="s">
        <v>539</v>
      </c>
      <c r="E5686" s="15" t="n">
        <v>1</v>
      </c>
      <c r="H5686" s="10"/>
      <c r="I5686" s="21"/>
      <c r="M5686" s="10"/>
      <c r="N5686" s="10"/>
      <c r="P5686" s="10"/>
      <c r="Q5686" s="22"/>
    </row>
    <row r="5687" customFormat="false" ht="15.75" hidden="false" customHeight="false" outlineLevel="0" collapsed="false">
      <c r="A5687" s="20" t="n">
        <v>46161</v>
      </c>
      <c r="B5687" s="15" t="s">
        <v>494</v>
      </c>
      <c r="C5687" s="15" t="s">
        <v>47</v>
      </c>
      <c r="D5687" s="15" t="s">
        <v>549</v>
      </c>
      <c r="E5687" s="15" t="n">
        <v>1</v>
      </c>
      <c r="H5687" s="10"/>
      <c r="I5687" s="21"/>
      <c r="M5687" s="10"/>
      <c r="N5687" s="10"/>
      <c r="P5687" s="10"/>
      <c r="Q5687" s="22"/>
    </row>
    <row r="5688" customFormat="false" ht="15.75" hidden="false" customHeight="false" outlineLevel="0" collapsed="false">
      <c r="A5688" s="20" t="n">
        <v>46161</v>
      </c>
      <c r="B5688" s="15" t="s">
        <v>494</v>
      </c>
      <c r="C5688" s="15" t="s">
        <v>565</v>
      </c>
      <c r="D5688" s="15" t="s">
        <v>566</v>
      </c>
      <c r="E5688" s="15" t="n">
        <v>2</v>
      </c>
      <c r="H5688" s="10"/>
      <c r="I5688" s="21"/>
      <c r="M5688" s="10"/>
      <c r="N5688" s="10"/>
      <c r="P5688" s="10"/>
      <c r="Q5688" s="22"/>
    </row>
    <row r="5689" customFormat="false" ht="15.75" hidden="false" customHeight="false" outlineLevel="0" collapsed="false">
      <c r="A5689" s="20" t="n">
        <v>46161</v>
      </c>
      <c r="B5689" s="15" t="s">
        <v>494</v>
      </c>
      <c r="C5689" s="15" t="s">
        <v>37</v>
      </c>
      <c r="D5689" s="15" t="s">
        <v>561</v>
      </c>
      <c r="E5689" s="15" t="n">
        <v>1</v>
      </c>
      <c r="H5689" s="10"/>
      <c r="I5689" s="21"/>
      <c r="M5689" s="10"/>
      <c r="N5689" s="10"/>
      <c r="P5689" s="10"/>
      <c r="Q5689" s="22"/>
    </row>
    <row r="5690" customFormat="false" ht="15.75" hidden="false" customHeight="false" outlineLevel="0" collapsed="false">
      <c r="A5690" s="20" t="n">
        <v>46161</v>
      </c>
      <c r="B5690" s="15" t="s">
        <v>504</v>
      </c>
      <c r="C5690" s="15" t="s">
        <v>47</v>
      </c>
      <c r="D5690" s="15" t="s">
        <v>549</v>
      </c>
      <c r="E5690" s="15" t="n">
        <v>6</v>
      </c>
      <c r="H5690" s="10"/>
      <c r="I5690" s="21"/>
      <c r="M5690" s="10"/>
      <c r="N5690" s="10"/>
      <c r="P5690" s="10"/>
      <c r="Q5690" s="22"/>
    </row>
    <row r="5691" customFormat="false" ht="15.75" hidden="false" customHeight="false" outlineLevel="0" collapsed="false">
      <c r="A5691" s="20" t="n">
        <v>46161</v>
      </c>
      <c r="B5691" s="15" t="s">
        <v>504</v>
      </c>
      <c r="C5691" s="15" t="s">
        <v>55</v>
      </c>
      <c r="D5691" s="15" t="s">
        <v>539</v>
      </c>
      <c r="E5691" s="15" t="n">
        <v>12</v>
      </c>
      <c r="H5691" s="10"/>
      <c r="I5691" s="21"/>
      <c r="M5691" s="10"/>
      <c r="N5691" s="10"/>
      <c r="P5691" s="10"/>
      <c r="Q5691" s="22"/>
    </row>
    <row r="5692" customFormat="false" ht="15.75" hidden="false" customHeight="false" outlineLevel="0" collapsed="false">
      <c r="A5692" s="20" t="n">
        <v>46161</v>
      </c>
      <c r="B5692" s="15" t="s">
        <v>504</v>
      </c>
      <c r="C5692" s="15" t="s">
        <v>81</v>
      </c>
      <c r="D5692" s="15" t="s">
        <v>534</v>
      </c>
      <c r="E5692" s="15" t="n">
        <v>18</v>
      </c>
      <c r="H5692" s="10"/>
      <c r="I5692" s="21"/>
      <c r="M5692" s="10"/>
      <c r="N5692" s="10"/>
      <c r="P5692" s="10"/>
      <c r="Q5692" s="22"/>
    </row>
    <row r="5693" customFormat="false" ht="15.75" hidden="false" customHeight="false" outlineLevel="0" collapsed="false">
      <c r="A5693" s="20" t="n">
        <v>46161</v>
      </c>
      <c r="B5693" s="15" t="s">
        <v>504</v>
      </c>
      <c r="C5693" s="15" t="s">
        <v>39</v>
      </c>
      <c r="D5693" s="15" t="s">
        <v>550</v>
      </c>
      <c r="E5693" s="15" t="n">
        <v>2</v>
      </c>
      <c r="H5693" s="10"/>
      <c r="I5693" s="21"/>
      <c r="M5693" s="10"/>
      <c r="N5693" s="10"/>
      <c r="P5693" s="10"/>
      <c r="Q5693" s="22"/>
    </row>
    <row r="5694" customFormat="false" ht="15.75" hidden="false" customHeight="false" outlineLevel="0" collapsed="false">
      <c r="A5694" s="20" t="n">
        <v>46161</v>
      </c>
      <c r="B5694" s="15" t="s">
        <v>504</v>
      </c>
      <c r="C5694" s="15" t="s">
        <v>63</v>
      </c>
      <c r="D5694" s="15" t="s">
        <v>551</v>
      </c>
      <c r="E5694" s="15" t="n">
        <v>2</v>
      </c>
      <c r="H5694" s="10"/>
      <c r="I5694" s="21"/>
      <c r="M5694" s="10"/>
      <c r="N5694" s="10"/>
      <c r="P5694" s="10"/>
      <c r="Q5694" s="22"/>
    </row>
    <row r="5695" customFormat="false" ht="15.75" hidden="false" customHeight="false" outlineLevel="0" collapsed="false">
      <c r="A5695" s="20" t="n">
        <v>46161</v>
      </c>
      <c r="B5695" s="15" t="s">
        <v>504</v>
      </c>
      <c r="C5695" s="15" t="s">
        <v>17</v>
      </c>
      <c r="D5695" s="15" t="s">
        <v>554</v>
      </c>
      <c r="E5695" s="15" t="n">
        <v>2</v>
      </c>
      <c r="H5695" s="10"/>
      <c r="I5695" s="21"/>
      <c r="M5695" s="10"/>
      <c r="N5695" s="10"/>
      <c r="P5695" s="10"/>
      <c r="Q5695" s="22"/>
    </row>
    <row r="5696" customFormat="false" ht="15.75" hidden="false" customHeight="false" outlineLevel="0" collapsed="false">
      <c r="A5696" s="20" t="n">
        <v>46161</v>
      </c>
      <c r="B5696" s="15" t="s">
        <v>514</v>
      </c>
      <c r="C5696" s="15" t="s">
        <v>55</v>
      </c>
      <c r="D5696" s="15" t="s">
        <v>539</v>
      </c>
      <c r="E5696" s="15" t="n">
        <v>5</v>
      </c>
      <c r="H5696" s="10"/>
      <c r="I5696" s="21"/>
      <c r="M5696" s="10"/>
      <c r="N5696" s="10"/>
      <c r="P5696" s="10"/>
      <c r="Q5696" s="22"/>
    </row>
    <row r="5697" customFormat="false" ht="15.75" hidden="false" customHeight="false" outlineLevel="0" collapsed="false">
      <c r="A5697" s="20" t="n">
        <v>46161</v>
      </c>
      <c r="B5697" s="15" t="s">
        <v>514</v>
      </c>
      <c r="C5697" s="15" t="s">
        <v>57</v>
      </c>
      <c r="D5697" s="15" t="s">
        <v>553</v>
      </c>
      <c r="E5697" s="15" t="n">
        <v>1</v>
      </c>
      <c r="H5697" s="10"/>
      <c r="I5697" s="21"/>
      <c r="M5697" s="10"/>
      <c r="N5697" s="10"/>
      <c r="P5697" s="10"/>
      <c r="Q5697" s="22"/>
    </row>
    <row r="5698" customFormat="false" ht="15.75" hidden="false" customHeight="false" outlineLevel="0" collapsed="false">
      <c r="A5698" s="20" t="n">
        <v>46161</v>
      </c>
      <c r="B5698" s="15" t="s">
        <v>514</v>
      </c>
      <c r="C5698" s="15" t="s">
        <v>49</v>
      </c>
      <c r="D5698" s="15" t="s">
        <v>537</v>
      </c>
      <c r="E5698" s="15" t="n">
        <v>1</v>
      </c>
      <c r="H5698" s="10"/>
      <c r="I5698" s="21"/>
      <c r="M5698" s="10"/>
      <c r="N5698" s="10"/>
      <c r="P5698" s="10"/>
      <c r="Q5698" s="22"/>
    </row>
    <row r="5699" customFormat="false" ht="15.75" hidden="false" customHeight="false" outlineLevel="0" collapsed="false">
      <c r="A5699" s="20" t="n">
        <v>46161</v>
      </c>
      <c r="B5699" s="15" t="s">
        <v>514</v>
      </c>
      <c r="C5699" s="15" t="s">
        <v>47</v>
      </c>
      <c r="D5699" s="15" t="s">
        <v>549</v>
      </c>
      <c r="E5699" s="15" t="n">
        <v>4</v>
      </c>
      <c r="H5699" s="10"/>
      <c r="I5699" s="21"/>
      <c r="M5699" s="10"/>
      <c r="N5699" s="10"/>
      <c r="P5699" s="10"/>
      <c r="Q5699" s="22"/>
    </row>
    <row r="5700" customFormat="false" ht="15.75" hidden="false" customHeight="false" outlineLevel="0" collapsed="false">
      <c r="A5700" s="20" t="n">
        <v>46161</v>
      </c>
      <c r="B5700" s="15" t="s">
        <v>514</v>
      </c>
      <c r="C5700" s="15" t="s">
        <v>81</v>
      </c>
      <c r="D5700" s="15" t="s">
        <v>534</v>
      </c>
      <c r="E5700" s="15" t="n">
        <v>7</v>
      </c>
      <c r="H5700" s="10"/>
      <c r="I5700" s="21"/>
      <c r="M5700" s="10"/>
      <c r="N5700" s="10"/>
      <c r="P5700" s="10"/>
      <c r="Q5700" s="22"/>
    </row>
    <row r="5701" customFormat="false" ht="15.75" hidden="false" customHeight="false" outlineLevel="0" collapsed="false">
      <c r="A5701" s="20" t="n">
        <v>46161</v>
      </c>
      <c r="B5701" s="15" t="s">
        <v>514</v>
      </c>
      <c r="C5701" s="15" t="s">
        <v>63</v>
      </c>
      <c r="D5701" s="15" t="s">
        <v>551</v>
      </c>
      <c r="E5701" s="15" t="n">
        <v>1</v>
      </c>
      <c r="H5701" s="10"/>
      <c r="I5701" s="21"/>
      <c r="M5701" s="10"/>
      <c r="N5701" s="10"/>
      <c r="P5701" s="10"/>
      <c r="Q5701" s="22"/>
    </row>
    <row r="5702" customFormat="false" ht="15.75" hidden="false" customHeight="false" outlineLevel="0" collapsed="false">
      <c r="A5702" s="20" t="n">
        <v>46161</v>
      </c>
      <c r="B5702" s="15" t="s">
        <v>514</v>
      </c>
      <c r="C5702" s="15" t="s">
        <v>17</v>
      </c>
      <c r="D5702" s="15" t="s">
        <v>554</v>
      </c>
      <c r="E5702" s="15" t="n">
        <v>1</v>
      </c>
      <c r="H5702" s="10"/>
      <c r="I5702" s="21"/>
      <c r="M5702" s="10"/>
      <c r="N5702" s="10"/>
      <c r="P5702" s="10"/>
      <c r="Q5702" s="22"/>
    </row>
    <row r="5703" customFormat="false" ht="15.75" hidden="false" customHeight="false" outlineLevel="0" collapsed="false">
      <c r="A5703" s="20" t="n">
        <v>46162</v>
      </c>
      <c r="B5703" s="15" t="s">
        <v>453</v>
      </c>
      <c r="C5703" s="15" t="s">
        <v>47</v>
      </c>
      <c r="D5703" s="15" t="s">
        <v>549</v>
      </c>
      <c r="E5703" s="15" t="n">
        <v>4</v>
      </c>
      <c r="H5703" s="10"/>
      <c r="I5703" s="21"/>
      <c r="M5703" s="10"/>
      <c r="N5703" s="10"/>
      <c r="P5703" s="10"/>
      <c r="Q5703" s="22"/>
    </row>
    <row r="5704" customFormat="false" ht="15.75" hidden="false" customHeight="false" outlineLevel="0" collapsed="false">
      <c r="A5704" s="20" t="n">
        <v>46162</v>
      </c>
      <c r="B5704" s="15" t="s">
        <v>453</v>
      </c>
      <c r="C5704" s="15" t="s">
        <v>55</v>
      </c>
      <c r="D5704" s="15" t="s">
        <v>539</v>
      </c>
      <c r="E5704" s="15" t="n">
        <v>8</v>
      </c>
      <c r="H5704" s="10"/>
      <c r="I5704" s="21"/>
      <c r="M5704" s="10"/>
      <c r="N5704" s="10"/>
      <c r="P5704" s="10"/>
      <c r="Q5704" s="22"/>
    </row>
    <row r="5705" customFormat="false" ht="15.75" hidden="false" customHeight="false" outlineLevel="0" collapsed="false">
      <c r="A5705" s="20" t="n">
        <v>46162</v>
      </c>
      <c r="B5705" s="15" t="s">
        <v>453</v>
      </c>
      <c r="C5705" s="15" t="s">
        <v>81</v>
      </c>
      <c r="D5705" s="15" t="s">
        <v>534</v>
      </c>
      <c r="E5705" s="15" t="n">
        <v>16</v>
      </c>
      <c r="H5705" s="10"/>
      <c r="I5705" s="21"/>
      <c r="M5705" s="10"/>
      <c r="N5705" s="10"/>
      <c r="P5705" s="10"/>
      <c r="Q5705" s="22"/>
    </row>
    <row r="5706" customFormat="false" ht="15.75" hidden="false" customHeight="false" outlineLevel="0" collapsed="false">
      <c r="A5706" s="20" t="n">
        <v>46162</v>
      </c>
      <c r="B5706" s="15" t="s">
        <v>453</v>
      </c>
      <c r="C5706" s="15" t="s">
        <v>39</v>
      </c>
      <c r="D5706" s="15" t="s">
        <v>550</v>
      </c>
      <c r="E5706" s="15" t="n">
        <v>4</v>
      </c>
      <c r="H5706" s="10"/>
      <c r="I5706" s="21"/>
      <c r="M5706" s="10"/>
      <c r="N5706" s="10"/>
      <c r="P5706" s="10"/>
      <c r="Q5706" s="22"/>
    </row>
    <row r="5707" customFormat="false" ht="15.75" hidden="false" customHeight="false" outlineLevel="0" collapsed="false">
      <c r="A5707" s="20" t="n">
        <v>46162</v>
      </c>
      <c r="B5707" s="15" t="s">
        <v>453</v>
      </c>
      <c r="C5707" s="15" t="s">
        <v>63</v>
      </c>
      <c r="D5707" s="15" t="s">
        <v>551</v>
      </c>
      <c r="E5707" s="15" t="n">
        <v>2</v>
      </c>
      <c r="H5707" s="10"/>
      <c r="I5707" s="21"/>
      <c r="M5707" s="10"/>
      <c r="N5707" s="10"/>
      <c r="P5707" s="10"/>
      <c r="Q5707" s="22"/>
    </row>
    <row r="5708" customFormat="false" ht="15.75" hidden="false" customHeight="false" outlineLevel="0" collapsed="false">
      <c r="A5708" s="20" t="n">
        <v>46162</v>
      </c>
      <c r="B5708" s="15" t="s">
        <v>453</v>
      </c>
      <c r="C5708" s="15" t="s">
        <v>35</v>
      </c>
      <c r="D5708" s="15" t="s">
        <v>552</v>
      </c>
      <c r="E5708" s="15" t="n">
        <v>4</v>
      </c>
      <c r="H5708" s="10"/>
      <c r="I5708" s="21"/>
      <c r="M5708" s="10"/>
      <c r="N5708" s="10"/>
      <c r="P5708" s="10"/>
      <c r="Q5708" s="22"/>
    </row>
    <row r="5709" customFormat="false" ht="15.75" hidden="false" customHeight="false" outlineLevel="0" collapsed="false">
      <c r="A5709" s="20" t="n">
        <v>46162</v>
      </c>
      <c r="B5709" s="15" t="s">
        <v>465</v>
      </c>
      <c r="C5709" s="15" t="s">
        <v>47</v>
      </c>
      <c r="D5709" s="15" t="s">
        <v>549</v>
      </c>
      <c r="E5709" s="15" t="n">
        <v>2</v>
      </c>
      <c r="H5709" s="10"/>
      <c r="I5709" s="21"/>
      <c r="M5709" s="10"/>
      <c r="N5709" s="10"/>
      <c r="P5709" s="10"/>
      <c r="Q5709" s="22"/>
    </row>
    <row r="5710" customFormat="false" ht="15.75" hidden="false" customHeight="false" outlineLevel="0" collapsed="false">
      <c r="A5710" s="20" t="n">
        <v>46162</v>
      </c>
      <c r="B5710" s="15" t="s">
        <v>465</v>
      </c>
      <c r="C5710" s="15" t="s">
        <v>81</v>
      </c>
      <c r="D5710" s="15" t="s">
        <v>534</v>
      </c>
      <c r="E5710" s="15" t="n">
        <v>13</v>
      </c>
      <c r="H5710" s="10"/>
      <c r="I5710" s="21"/>
      <c r="M5710" s="10"/>
      <c r="N5710" s="10"/>
      <c r="P5710" s="10"/>
      <c r="Q5710" s="22"/>
    </row>
    <row r="5711" customFormat="false" ht="15.75" hidden="false" customHeight="false" outlineLevel="0" collapsed="false">
      <c r="A5711" s="20" t="n">
        <v>46162</v>
      </c>
      <c r="B5711" s="15" t="s">
        <v>465</v>
      </c>
      <c r="C5711" s="15" t="s">
        <v>55</v>
      </c>
      <c r="D5711" s="15" t="s">
        <v>539</v>
      </c>
      <c r="E5711" s="15" t="n">
        <v>2</v>
      </c>
      <c r="H5711" s="10"/>
      <c r="I5711" s="21"/>
      <c r="M5711" s="10"/>
      <c r="N5711" s="10"/>
      <c r="P5711" s="10"/>
      <c r="Q5711" s="22"/>
    </row>
    <row r="5712" customFormat="false" ht="15.75" hidden="false" customHeight="false" outlineLevel="0" collapsed="false">
      <c r="A5712" s="20" t="n">
        <v>46162</v>
      </c>
      <c r="B5712" s="15" t="s">
        <v>465</v>
      </c>
      <c r="C5712" s="15" t="s">
        <v>69</v>
      </c>
      <c r="D5712" s="15" t="s">
        <v>535</v>
      </c>
      <c r="E5712" s="15" t="n">
        <v>5</v>
      </c>
      <c r="H5712" s="10"/>
      <c r="I5712" s="21"/>
      <c r="M5712" s="10"/>
      <c r="N5712" s="10"/>
      <c r="P5712" s="10"/>
      <c r="Q5712" s="22"/>
    </row>
    <row r="5713" customFormat="false" ht="15.75" hidden="false" customHeight="false" outlineLevel="0" collapsed="false">
      <c r="A5713" s="20" t="n">
        <v>46162</v>
      </c>
      <c r="B5713" s="15" t="s">
        <v>465</v>
      </c>
      <c r="C5713" s="15" t="s">
        <v>555</v>
      </c>
      <c r="D5713" s="15" t="s">
        <v>556</v>
      </c>
      <c r="E5713" s="15" t="n">
        <v>3</v>
      </c>
      <c r="H5713" s="10"/>
      <c r="I5713" s="21"/>
      <c r="M5713" s="10"/>
      <c r="N5713" s="10"/>
      <c r="P5713" s="10"/>
      <c r="Q5713" s="22"/>
    </row>
    <row r="5714" customFormat="false" ht="15.75" hidden="false" customHeight="false" outlineLevel="0" collapsed="false">
      <c r="A5714" s="20" t="n">
        <v>46162</v>
      </c>
      <c r="B5714" s="15" t="s">
        <v>465</v>
      </c>
      <c r="C5714" s="15" t="s">
        <v>565</v>
      </c>
      <c r="D5714" s="15" t="s">
        <v>566</v>
      </c>
      <c r="E5714" s="15" t="n">
        <v>3</v>
      </c>
      <c r="H5714" s="10"/>
      <c r="I5714" s="21"/>
      <c r="M5714" s="10"/>
      <c r="N5714" s="10"/>
      <c r="P5714" s="10"/>
      <c r="Q5714" s="22"/>
    </row>
    <row r="5715" customFormat="false" ht="15.75" hidden="false" customHeight="false" outlineLevel="0" collapsed="false">
      <c r="A5715" s="20" t="n">
        <v>46162</v>
      </c>
      <c r="B5715" s="15" t="s">
        <v>465</v>
      </c>
      <c r="C5715" s="15" t="s">
        <v>570</v>
      </c>
      <c r="D5715" s="15" t="s">
        <v>571</v>
      </c>
      <c r="E5715" s="15" t="n">
        <v>6</v>
      </c>
      <c r="H5715" s="10"/>
      <c r="I5715" s="21"/>
      <c r="M5715" s="10"/>
      <c r="N5715" s="10"/>
      <c r="P5715" s="10"/>
      <c r="Q5715" s="22"/>
    </row>
    <row r="5716" customFormat="false" ht="15.75" hidden="false" customHeight="false" outlineLevel="0" collapsed="false">
      <c r="A5716" s="20" t="n">
        <v>46162</v>
      </c>
      <c r="B5716" s="15" t="s">
        <v>465</v>
      </c>
      <c r="C5716" s="15" t="s">
        <v>45</v>
      </c>
      <c r="D5716" s="15" t="s">
        <v>540</v>
      </c>
      <c r="E5716" s="15" t="n">
        <v>2</v>
      </c>
      <c r="H5716" s="10"/>
      <c r="I5716" s="21"/>
      <c r="M5716" s="10"/>
      <c r="N5716" s="10"/>
      <c r="P5716" s="10"/>
      <c r="Q5716" s="22"/>
    </row>
    <row r="5717" customFormat="false" ht="15.75" hidden="false" customHeight="false" outlineLevel="0" collapsed="false">
      <c r="A5717" s="20" t="n">
        <v>46162</v>
      </c>
      <c r="B5717" s="15" t="s">
        <v>465</v>
      </c>
      <c r="C5717" s="15" t="s">
        <v>547</v>
      </c>
      <c r="D5717" s="15" t="s">
        <v>548</v>
      </c>
      <c r="E5717" s="15" t="n">
        <v>3</v>
      </c>
      <c r="H5717" s="10"/>
      <c r="I5717" s="21"/>
      <c r="M5717" s="10"/>
      <c r="N5717" s="10"/>
      <c r="P5717" s="10"/>
      <c r="Q5717" s="22"/>
    </row>
    <row r="5718" customFormat="false" ht="15.75" hidden="false" customHeight="false" outlineLevel="0" collapsed="false">
      <c r="A5718" s="20" t="n">
        <v>46162</v>
      </c>
      <c r="B5718" s="15" t="s">
        <v>465</v>
      </c>
      <c r="C5718" s="15" t="s">
        <v>567</v>
      </c>
      <c r="D5718" s="15" t="s">
        <v>568</v>
      </c>
      <c r="E5718" s="15" t="n">
        <v>2</v>
      </c>
      <c r="H5718" s="10"/>
      <c r="I5718" s="21"/>
      <c r="M5718" s="10"/>
      <c r="N5718" s="10"/>
      <c r="P5718" s="10"/>
      <c r="Q5718" s="22"/>
    </row>
    <row r="5719" customFormat="false" ht="15.75" hidden="false" customHeight="false" outlineLevel="0" collapsed="false">
      <c r="A5719" s="20" t="n">
        <v>46162</v>
      </c>
      <c r="B5719" s="15" t="s">
        <v>465</v>
      </c>
      <c r="C5719" s="15" t="s">
        <v>543</v>
      </c>
      <c r="D5719" s="15" t="s">
        <v>544</v>
      </c>
      <c r="E5719" s="15" t="n">
        <v>3</v>
      </c>
      <c r="H5719" s="10"/>
      <c r="I5719" s="21"/>
      <c r="M5719" s="10"/>
      <c r="N5719" s="10"/>
      <c r="P5719" s="10"/>
      <c r="Q5719" s="22"/>
    </row>
    <row r="5720" customFormat="false" ht="15.75" hidden="false" customHeight="false" outlineLevel="0" collapsed="false">
      <c r="A5720" s="20" t="n">
        <v>46162</v>
      </c>
      <c r="B5720" s="15" t="s">
        <v>465</v>
      </c>
      <c r="C5720" s="15" t="s">
        <v>25</v>
      </c>
      <c r="D5720" s="15" t="s">
        <v>26</v>
      </c>
      <c r="E5720" s="15" t="n">
        <v>1</v>
      </c>
      <c r="H5720" s="10"/>
      <c r="I5720" s="21"/>
      <c r="M5720" s="10"/>
      <c r="N5720" s="10"/>
      <c r="P5720" s="10"/>
      <c r="Q5720" s="22"/>
    </row>
    <row r="5721" customFormat="false" ht="15.75" hidden="false" customHeight="false" outlineLevel="0" collapsed="false">
      <c r="A5721" s="20" t="n">
        <v>46162</v>
      </c>
      <c r="B5721" s="15" t="s">
        <v>465</v>
      </c>
      <c r="C5721" s="15" t="s">
        <v>77</v>
      </c>
      <c r="D5721" s="15" t="s">
        <v>78</v>
      </c>
      <c r="E5721" s="15" t="n">
        <v>2</v>
      </c>
      <c r="H5721" s="10"/>
      <c r="I5721" s="21"/>
      <c r="M5721" s="10"/>
      <c r="N5721" s="10"/>
      <c r="P5721" s="10"/>
      <c r="Q5721" s="22"/>
    </row>
    <row r="5722" customFormat="false" ht="15.75" hidden="false" customHeight="false" outlineLevel="0" collapsed="false">
      <c r="A5722" s="20" t="n">
        <v>46162</v>
      </c>
      <c r="B5722" s="15" t="s">
        <v>465</v>
      </c>
      <c r="C5722" s="15" t="s">
        <v>59</v>
      </c>
      <c r="D5722" s="15" t="s">
        <v>562</v>
      </c>
      <c r="E5722" s="15" t="n">
        <v>2</v>
      </c>
      <c r="H5722" s="10"/>
      <c r="I5722" s="21"/>
      <c r="M5722" s="10"/>
      <c r="N5722" s="10"/>
      <c r="P5722" s="10"/>
      <c r="Q5722" s="22"/>
    </row>
    <row r="5723" customFormat="false" ht="15.75" hidden="false" customHeight="false" outlineLevel="0" collapsed="false">
      <c r="A5723" s="20" t="n">
        <v>46162</v>
      </c>
      <c r="B5723" s="15" t="s">
        <v>465</v>
      </c>
      <c r="C5723" s="15" t="s">
        <v>545</v>
      </c>
      <c r="D5723" s="15" t="s">
        <v>546</v>
      </c>
      <c r="E5723" s="15" t="n">
        <v>4</v>
      </c>
      <c r="H5723" s="10"/>
      <c r="I5723" s="21"/>
      <c r="M5723" s="10"/>
      <c r="N5723" s="10"/>
      <c r="P5723" s="10"/>
      <c r="Q5723" s="22"/>
    </row>
    <row r="5724" customFormat="false" ht="15.75" hidden="false" customHeight="false" outlineLevel="0" collapsed="false">
      <c r="A5724" s="20" t="n">
        <v>46162</v>
      </c>
      <c r="B5724" s="15" t="s">
        <v>465</v>
      </c>
      <c r="C5724" s="15" t="s">
        <v>79</v>
      </c>
      <c r="D5724" s="15" t="s">
        <v>564</v>
      </c>
      <c r="E5724" s="15" t="n">
        <v>1</v>
      </c>
      <c r="H5724" s="10"/>
      <c r="I5724" s="21"/>
      <c r="M5724" s="10"/>
      <c r="N5724" s="10"/>
      <c r="P5724" s="10"/>
      <c r="Q5724" s="22"/>
    </row>
    <row r="5725" customFormat="false" ht="15.75" hidden="false" customHeight="false" outlineLevel="0" collapsed="false">
      <c r="A5725" s="20" t="n">
        <v>46162</v>
      </c>
      <c r="B5725" s="15" t="s">
        <v>465</v>
      </c>
      <c r="C5725" s="15" t="s">
        <v>43</v>
      </c>
      <c r="D5725" s="15" t="s">
        <v>538</v>
      </c>
      <c r="E5725" s="15" t="n">
        <v>1</v>
      </c>
      <c r="H5725" s="10"/>
      <c r="I5725" s="21"/>
      <c r="M5725" s="10"/>
      <c r="N5725" s="10"/>
      <c r="P5725" s="10"/>
      <c r="Q5725" s="22"/>
    </row>
    <row r="5726" customFormat="false" ht="15.75" hidden="false" customHeight="false" outlineLevel="0" collapsed="false">
      <c r="A5726" s="20" t="n">
        <v>46162</v>
      </c>
      <c r="B5726" s="15" t="s">
        <v>465</v>
      </c>
      <c r="C5726" s="15" t="s">
        <v>33</v>
      </c>
      <c r="D5726" s="15" t="s">
        <v>536</v>
      </c>
      <c r="E5726" s="15" t="n">
        <v>2</v>
      </c>
      <c r="H5726" s="10"/>
      <c r="I5726" s="21"/>
      <c r="M5726" s="10"/>
      <c r="N5726" s="10"/>
      <c r="P5726" s="10"/>
      <c r="Q5726" s="22"/>
    </row>
    <row r="5727" customFormat="false" ht="15.75" hidden="false" customHeight="false" outlineLevel="0" collapsed="false">
      <c r="A5727" s="20" t="n">
        <v>46162</v>
      </c>
      <c r="B5727" s="15" t="s">
        <v>465</v>
      </c>
      <c r="C5727" s="15" t="s">
        <v>65</v>
      </c>
      <c r="D5727" s="15" t="s">
        <v>580</v>
      </c>
      <c r="E5727" s="15" t="n">
        <v>1</v>
      </c>
      <c r="H5727" s="10"/>
      <c r="I5727" s="21"/>
      <c r="M5727" s="10"/>
      <c r="N5727" s="10"/>
      <c r="P5727" s="10"/>
      <c r="Q5727" s="22"/>
    </row>
    <row r="5728" customFormat="false" ht="15.75" hidden="false" customHeight="false" outlineLevel="0" collapsed="false">
      <c r="A5728" s="20" t="n">
        <v>46162</v>
      </c>
      <c r="B5728" s="15" t="s">
        <v>465</v>
      </c>
      <c r="C5728" s="15" t="s">
        <v>11</v>
      </c>
      <c r="D5728" s="15" t="s">
        <v>572</v>
      </c>
      <c r="E5728" s="15" t="n">
        <v>6</v>
      </c>
      <c r="H5728" s="10"/>
      <c r="I5728" s="21"/>
      <c r="M5728" s="10"/>
      <c r="N5728" s="10"/>
      <c r="P5728" s="10"/>
      <c r="Q5728" s="22"/>
    </row>
    <row r="5729" customFormat="false" ht="15.75" hidden="false" customHeight="false" outlineLevel="0" collapsed="false">
      <c r="A5729" s="20" t="n">
        <v>46162</v>
      </c>
      <c r="B5729" s="15" t="s">
        <v>484</v>
      </c>
      <c r="C5729" s="15" t="s">
        <v>69</v>
      </c>
      <c r="D5729" s="15" t="s">
        <v>535</v>
      </c>
      <c r="E5729" s="15" t="n">
        <v>2</v>
      </c>
      <c r="H5729" s="10"/>
      <c r="I5729" s="21"/>
      <c r="M5729" s="10"/>
      <c r="N5729" s="10"/>
      <c r="P5729" s="10"/>
      <c r="Q5729" s="22"/>
    </row>
    <row r="5730" customFormat="false" ht="15.75" hidden="false" customHeight="false" outlineLevel="0" collapsed="false">
      <c r="A5730" s="20" t="n">
        <v>46162</v>
      </c>
      <c r="B5730" s="15" t="s">
        <v>484</v>
      </c>
      <c r="C5730" s="15" t="s">
        <v>81</v>
      </c>
      <c r="D5730" s="15" t="s">
        <v>534</v>
      </c>
      <c r="E5730" s="15" t="n">
        <v>5</v>
      </c>
      <c r="H5730" s="10"/>
      <c r="I5730" s="21"/>
      <c r="M5730" s="10"/>
      <c r="N5730" s="10"/>
      <c r="P5730" s="10"/>
      <c r="Q5730" s="22"/>
    </row>
    <row r="5731" customFormat="false" ht="15.75" hidden="false" customHeight="false" outlineLevel="0" collapsed="false">
      <c r="A5731" s="20" t="n">
        <v>46162</v>
      </c>
      <c r="B5731" s="15" t="s">
        <v>484</v>
      </c>
      <c r="C5731" s="15" t="s">
        <v>37</v>
      </c>
      <c r="D5731" s="15" t="s">
        <v>561</v>
      </c>
      <c r="E5731" s="15" t="n">
        <v>2</v>
      </c>
      <c r="H5731" s="10"/>
      <c r="I5731" s="21"/>
      <c r="M5731" s="10"/>
      <c r="N5731" s="10"/>
      <c r="P5731" s="10"/>
      <c r="Q5731" s="22"/>
    </row>
    <row r="5732" customFormat="false" ht="15.75" hidden="false" customHeight="false" outlineLevel="0" collapsed="false">
      <c r="A5732" s="20" t="n">
        <v>46162</v>
      </c>
      <c r="B5732" s="15" t="s">
        <v>484</v>
      </c>
      <c r="C5732" s="15" t="s">
        <v>547</v>
      </c>
      <c r="D5732" s="15" t="s">
        <v>548</v>
      </c>
      <c r="E5732" s="15" t="n">
        <v>1</v>
      </c>
      <c r="H5732" s="10"/>
      <c r="I5732" s="21"/>
      <c r="M5732" s="10"/>
      <c r="N5732" s="10"/>
      <c r="P5732" s="10"/>
      <c r="Q5732" s="22"/>
    </row>
    <row r="5733" customFormat="false" ht="15.75" hidden="false" customHeight="false" outlineLevel="0" collapsed="false">
      <c r="A5733" s="20" t="n">
        <v>46162</v>
      </c>
      <c r="B5733" s="15" t="s">
        <v>484</v>
      </c>
      <c r="C5733" s="15" t="s">
        <v>33</v>
      </c>
      <c r="D5733" s="15" t="s">
        <v>536</v>
      </c>
      <c r="E5733" s="15" t="n">
        <v>2</v>
      </c>
      <c r="H5733" s="10"/>
      <c r="I5733" s="21"/>
      <c r="M5733" s="10"/>
      <c r="N5733" s="10"/>
      <c r="P5733" s="10"/>
      <c r="Q5733" s="22"/>
    </row>
    <row r="5734" customFormat="false" ht="15.75" hidden="false" customHeight="false" outlineLevel="0" collapsed="false">
      <c r="A5734" s="20" t="n">
        <v>46162</v>
      </c>
      <c r="B5734" s="15" t="s">
        <v>484</v>
      </c>
      <c r="C5734" s="15" t="s">
        <v>77</v>
      </c>
      <c r="D5734" s="15" t="s">
        <v>78</v>
      </c>
      <c r="E5734" s="15" t="n">
        <v>2</v>
      </c>
      <c r="H5734" s="10"/>
      <c r="I5734" s="21"/>
      <c r="M5734" s="10"/>
      <c r="N5734" s="10"/>
      <c r="P5734" s="10"/>
      <c r="Q5734" s="22"/>
    </row>
    <row r="5735" customFormat="false" ht="15.75" hidden="false" customHeight="false" outlineLevel="0" collapsed="false">
      <c r="A5735" s="20" t="n">
        <v>46162</v>
      </c>
      <c r="B5735" s="15" t="s">
        <v>484</v>
      </c>
      <c r="C5735" s="15" t="s">
        <v>578</v>
      </c>
      <c r="D5735" s="15" t="s">
        <v>579</v>
      </c>
      <c r="E5735" s="15" t="n">
        <v>1</v>
      </c>
      <c r="H5735" s="10"/>
      <c r="I5735" s="21"/>
      <c r="M5735" s="10"/>
      <c r="N5735" s="10"/>
      <c r="P5735" s="10"/>
      <c r="Q5735" s="22"/>
    </row>
    <row r="5736" customFormat="false" ht="15.75" hidden="false" customHeight="false" outlineLevel="0" collapsed="false">
      <c r="A5736" s="20" t="n">
        <v>46162</v>
      </c>
      <c r="B5736" s="15" t="s">
        <v>484</v>
      </c>
      <c r="C5736" s="15" t="s">
        <v>11</v>
      </c>
      <c r="D5736" s="15" t="s">
        <v>572</v>
      </c>
      <c r="E5736" s="15" t="n">
        <v>1</v>
      </c>
      <c r="H5736" s="10"/>
      <c r="I5736" s="21"/>
      <c r="M5736" s="10"/>
      <c r="N5736" s="10"/>
      <c r="P5736" s="10"/>
      <c r="Q5736" s="22"/>
    </row>
    <row r="5737" customFormat="false" ht="15.75" hidden="false" customHeight="false" outlineLevel="0" collapsed="false">
      <c r="A5737" s="20" t="n">
        <v>46162</v>
      </c>
      <c r="B5737" s="15" t="s">
        <v>494</v>
      </c>
      <c r="C5737" s="15" t="s">
        <v>25</v>
      </c>
      <c r="D5737" s="15" t="s">
        <v>26</v>
      </c>
      <c r="E5737" s="15" t="n">
        <v>3</v>
      </c>
      <c r="H5737" s="10"/>
      <c r="I5737" s="21"/>
      <c r="M5737" s="10"/>
      <c r="N5737" s="10"/>
      <c r="P5737" s="10"/>
      <c r="Q5737" s="22"/>
    </row>
    <row r="5738" customFormat="false" ht="15.75" hidden="false" customHeight="false" outlineLevel="0" collapsed="false">
      <c r="A5738" s="20" t="n">
        <v>46162</v>
      </c>
      <c r="B5738" s="15" t="s">
        <v>494</v>
      </c>
      <c r="C5738" s="15" t="s">
        <v>547</v>
      </c>
      <c r="D5738" s="15" t="s">
        <v>548</v>
      </c>
      <c r="E5738" s="15" t="n">
        <v>3</v>
      </c>
      <c r="H5738" s="10"/>
      <c r="I5738" s="21"/>
      <c r="M5738" s="10"/>
      <c r="N5738" s="10"/>
      <c r="P5738" s="10"/>
      <c r="Q5738" s="22"/>
    </row>
    <row r="5739" customFormat="false" ht="15.75" hidden="false" customHeight="false" outlineLevel="0" collapsed="false">
      <c r="A5739" s="20" t="n">
        <v>46162</v>
      </c>
      <c r="B5739" s="15" t="s">
        <v>494</v>
      </c>
      <c r="C5739" s="15" t="s">
        <v>543</v>
      </c>
      <c r="D5739" s="15" t="s">
        <v>544</v>
      </c>
      <c r="E5739" s="15" t="n">
        <v>4</v>
      </c>
      <c r="H5739" s="10"/>
      <c r="I5739" s="21"/>
      <c r="M5739" s="10"/>
      <c r="N5739" s="10"/>
      <c r="P5739" s="10"/>
      <c r="Q5739" s="22"/>
    </row>
    <row r="5740" customFormat="false" ht="15.75" hidden="false" customHeight="false" outlineLevel="0" collapsed="false">
      <c r="A5740" s="20" t="n">
        <v>46162</v>
      </c>
      <c r="B5740" s="15" t="s">
        <v>494</v>
      </c>
      <c r="C5740" s="15" t="s">
        <v>545</v>
      </c>
      <c r="D5740" s="15" t="s">
        <v>546</v>
      </c>
      <c r="E5740" s="15" t="n">
        <v>4</v>
      </c>
      <c r="H5740" s="10"/>
      <c r="I5740" s="21"/>
      <c r="M5740" s="10"/>
      <c r="N5740" s="10"/>
      <c r="P5740" s="10"/>
      <c r="Q5740" s="22"/>
    </row>
    <row r="5741" customFormat="false" ht="15.75" hidden="false" customHeight="false" outlineLevel="0" collapsed="false">
      <c r="A5741" s="20" t="n">
        <v>46162</v>
      </c>
      <c r="B5741" s="15" t="s">
        <v>494</v>
      </c>
      <c r="C5741" s="15" t="s">
        <v>555</v>
      </c>
      <c r="D5741" s="15" t="s">
        <v>556</v>
      </c>
      <c r="E5741" s="15" t="n">
        <v>3</v>
      </c>
      <c r="H5741" s="10"/>
      <c r="I5741" s="21"/>
      <c r="M5741" s="10"/>
      <c r="N5741" s="10"/>
      <c r="P5741" s="10"/>
      <c r="Q5741" s="22"/>
    </row>
    <row r="5742" customFormat="false" ht="15.75" hidden="false" customHeight="false" outlineLevel="0" collapsed="false">
      <c r="A5742" s="20" t="n">
        <v>46162</v>
      </c>
      <c r="B5742" s="15" t="s">
        <v>494</v>
      </c>
      <c r="C5742" s="15" t="s">
        <v>45</v>
      </c>
      <c r="D5742" s="15" t="s">
        <v>540</v>
      </c>
      <c r="E5742" s="15" t="n">
        <v>1</v>
      </c>
      <c r="H5742" s="10"/>
      <c r="I5742" s="21"/>
      <c r="M5742" s="10"/>
      <c r="N5742" s="10"/>
      <c r="P5742" s="10"/>
      <c r="Q5742" s="22"/>
    </row>
    <row r="5743" customFormat="false" ht="15.75" hidden="false" customHeight="false" outlineLevel="0" collapsed="false">
      <c r="A5743" s="20" t="n">
        <v>46162</v>
      </c>
      <c r="B5743" s="15" t="s">
        <v>494</v>
      </c>
      <c r="C5743" s="15" t="s">
        <v>59</v>
      </c>
      <c r="D5743" s="15" t="s">
        <v>562</v>
      </c>
      <c r="E5743" s="15" t="n">
        <v>1</v>
      </c>
      <c r="H5743" s="10"/>
      <c r="I5743" s="21"/>
      <c r="M5743" s="10"/>
      <c r="N5743" s="10"/>
      <c r="P5743" s="10"/>
      <c r="Q5743" s="22"/>
    </row>
    <row r="5744" customFormat="false" ht="15.75" hidden="false" customHeight="false" outlineLevel="0" collapsed="false">
      <c r="A5744" s="20" t="n">
        <v>46162</v>
      </c>
      <c r="B5744" s="15" t="s">
        <v>494</v>
      </c>
      <c r="C5744" s="15" t="s">
        <v>69</v>
      </c>
      <c r="D5744" s="15" t="s">
        <v>535</v>
      </c>
      <c r="E5744" s="15" t="n">
        <v>6</v>
      </c>
      <c r="H5744" s="10"/>
      <c r="I5744" s="21"/>
      <c r="M5744" s="10"/>
      <c r="N5744" s="10"/>
      <c r="P5744" s="10"/>
      <c r="Q5744" s="22"/>
    </row>
    <row r="5745" customFormat="false" ht="15.75" hidden="false" customHeight="false" outlineLevel="0" collapsed="false">
      <c r="A5745" s="20" t="n">
        <v>46162</v>
      </c>
      <c r="B5745" s="15" t="s">
        <v>494</v>
      </c>
      <c r="C5745" s="15" t="s">
        <v>81</v>
      </c>
      <c r="D5745" s="15" t="s">
        <v>534</v>
      </c>
      <c r="E5745" s="15" t="n">
        <v>10</v>
      </c>
      <c r="H5745" s="10"/>
      <c r="I5745" s="21"/>
      <c r="M5745" s="10"/>
      <c r="N5745" s="10"/>
      <c r="P5745" s="10"/>
      <c r="Q5745" s="22"/>
    </row>
    <row r="5746" customFormat="false" ht="15.75" hidden="false" customHeight="false" outlineLevel="0" collapsed="false">
      <c r="A5746" s="20" t="n">
        <v>46162</v>
      </c>
      <c r="B5746" s="15" t="s">
        <v>494</v>
      </c>
      <c r="C5746" s="15" t="s">
        <v>79</v>
      </c>
      <c r="D5746" s="15" t="s">
        <v>564</v>
      </c>
      <c r="E5746" s="15" t="n">
        <v>2</v>
      </c>
      <c r="H5746" s="10"/>
      <c r="I5746" s="21"/>
      <c r="M5746" s="10"/>
      <c r="N5746" s="10"/>
      <c r="P5746" s="10"/>
      <c r="Q5746" s="22"/>
    </row>
    <row r="5747" customFormat="false" ht="15.75" hidden="false" customHeight="false" outlineLevel="0" collapsed="false">
      <c r="A5747" s="20" t="n">
        <v>46162</v>
      </c>
      <c r="B5747" s="15" t="s">
        <v>494</v>
      </c>
      <c r="C5747" s="15" t="s">
        <v>33</v>
      </c>
      <c r="D5747" s="15" t="s">
        <v>536</v>
      </c>
      <c r="E5747" s="15" t="n">
        <v>2</v>
      </c>
      <c r="H5747" s="10"/>
      <c r="I5747" s="21"/>
      <c r="M5747" s="10"/>
      <c r="N5747" s="10"/>
      <c r="P5747" s="10"/>
      <c r="Q5747" s="22"/>
    </row>
    <row r="5748" customFormat="false" ht="15.75" hidden="false" customHeight="false" outlineLevel="0" collapsed="false">
      <c r="A5748" s="20" t="n">
        <v>46162</v>
      </c>
      <c r="B5748" s="15" t="s">
        <v>494</v>
      </c>
      <c r="C5748" s="15" t="s">
        <v>87</v>
      </c>
      <c r="D5748" s="15" t="s">
        <v>563</v>
      </c>
      <c r="E5748" s="15" t="n">
        <v>1</v>
      </c>
      <c r="H5748" s="10"/>
      <c r="I5748" s="21"/>
      <c r="M5748" s="10"/>
      <c r="N5748" s="10"/>
      <c r="P5748" s="10"/>
      <c r="Q5748" s="22"/>
    </row>
    <row r="5749" customFormat="false" ht="15.75" hidden="false" customHeight="false" outlineLevel="0" collapsed="false">
      <c r="A5749" s="20" t="n">
        <v>46162</v>
      </c>
      <c r="B5749" s="15" t="s">
        <v>494</v>
      </c>
      <c r="C5749" s="15" t="s">
        <v>77</v>
      </c>
      <c r="D5749" s="15" t="s">
        <v>78</v>
      </c>
      <c r="E5749" s="15" t="n">
        <v>2</v>
      </c>
      <c r="H5749" s="10"/>
      <c r="I5749" s="21"/>
      <c r="M5749" s="10"/>
      <c r="N5749" s="10"/>
      <c r="P5749" s="10"/>
      <c r="Q5749" s="22"/>
    </row>
    <row r="5750" customFormat="false" ht="15.75" hidden="false" customHeight="false" outlineLevel="0" collapsed="false">
      <c r="A5750" s="20" t="n">
        <v>46162</v>
      </c>
      <c r="B5750" s="15" t="s">
        <v>494</v>
      </c>
      <c r="C5750" s="15" t="s">
        <v>65</v>
      </c>
      <c r="D5750" s="15" t="s">
        <v>580</v>
      </c>
      <c r="E5750" s="15" t="n">
        <v>1</v>
      </c>
      <c r="H5750" s="10"/>
      <c r="I5750" s="21"/>
      <c r="M5750" s="10"/>
      <c r="N5750" s="10"/>
      <c r="P5750" s="10"/>
      <c r="Q5750" s="22"/>
    </row>
    <row r="5751" customFormat="false" ht="15.75" hidden="false" customHeight="false" outlineLevel="0" collapsed="false">
      <c r="A5751" s="20" t="n">
        <v>46162</v>
      </c>
      <c r="B5751" s="15" t="s">
        <v>494</v>
      </c>
      <c r="C5751" s="15" t="s">
        <v>55</v>
      </c>
      <c r="D5751" s="15" t="s">
        <v>539</v>
      </c>
      <c r="E5751" s="15" t="n">
        <v>1</v>
      </c>
      <c r="H5751" s="10"/>
      <c r="I5751" s="21"/>
      <c r="M5751" s="10"/>
      <c r="N5751" s="10"/>
      <c r="P5751" s="10"/>
      <c r="Q5751" s="22"/>
    </row>
    <row r="5752" customFormat="false" ht="15.75" hidden="false" customHeight="false" outlineLevel="0" collapsed="false">
      <c r="A5752" s="20" t="n">
        <v>46162</v>
      </c>
      <c r="B5752" s="15" t="s">
        <v>494</v>
      </c>
      <c r="C5752" s="15" t="s">
        <v>47</v>
      </c>
      <c r="D5752" s="15" t="s">
        <v>549</v>
      </c>
      <c r="E5752" s="15" t="n">
        <v>1</v>
      </c>
      <c r="H5752" s="10"/>
      <c r="I5752" s="21"/>
      <c r="M5752" s="10"/>
      <c r="N5752" s="10"/>
      <c r="P5752" s="10"/>
      <c r="Q5752" s="22"/>
    </row>
    <row r="5753" customFormat="false" ht="15.75" hidden="false" customHeight="false" outlineLevel="0" collapsed="false">
      <c r="A5753" s="20" t="n">
        <v>46162</v>
      </c>
      <c r="B5753" s="15" t="s">
        <v>494</v>
      </c>
      <c r="C5753" s="15" t="s">
        <v>565</v>
      </c>
      <c r="D5753" s="15" t="s">
        <v>566</v>
      </c>
      <c r="E5753" s="15" t="n">
        <v>2</v>
      </c>
      <c r="H5753" s="10"/>
      <c r="I5753" s="21"/>
      <c r="M5753" s="10"/>
      <c r="N5753" s="10"/>
      <c r="P5753" s="10"/>
      <c r="Q5753" s="22"/>
    </row>
    <row r="5754" customFormat="false" ht="15.75" hidden="false" customHeight="false" outlineLevel="0" collapsed="false">
      <c r="A5754" s="20" t="n">
        <v>46162</v>
      </c>
      <c r="B5754" s="15" t="s">
        <v>494</v>
      </c>
      <c r="C5754" s="15" t="s">
        <v>37</v>
      </c>
      <c r="D5754" s="15" t="s">
        <v>561</v>
      </c>
      <c r="E5754" s="15" t="n">
        <v>1</v>
      </c>
      <c r="H5754" s="10"/>
      <c r="I5754" s="21"/>
      <c r="M5754" s="10"/>
      <c r="N5754" s="10"/>
      <c r="P5754" s="10"/>
      <c r="Q5754" s="22"/>
    </row>
    <row r="5755" customFormat="false" ht="15.75" hidden="false" customHeight="false" outlineLevel="0" collapsed="false">
      <c r="A5755" s="20" t="n">
        <v>46162</v>
      </c>
      <c r="B5755" s="15" t="s">
        <v>504</v>
      </c>
      <c r="C5755" s="15" t="s">
        <v>47</v>
      </c>
      <c r="D5755" s="15" t="s">
        <v>549</v>
      </c>
      <c r="E5755" s="15" t="n">
        <v>6</v>
      </c>
      <c r="H5755" s="10"/>
      <c r="I5755" s="21"/>
      <c r="M5755" s="10"/>
      <c r="N5755" s="10"/>
      <c r="P5755" s="10"/>
      <c r="Q5755" s="22"/>
    </row>
    <row r="5756" customFormat="false" ht="15.75" hidden="false" customHeight="false" outlineLevel="0" collapsed="false">
      <c r="A5756" s="20" t="n">
        <v>46162</v>
      </c>
      <c r="B5756" s="15" t="s">
        <v>504</v>
      </c>
      <c r="C5756" s="15" t="s">
        <v>55</v>
      </c>
      <c r="D5756" s="15" t="s">
        <v>539</v>
      </c>
      <c r="E5756" s="15" t="n">
        <v>12</v>
      </c>
      <c r="H5756" s="10"/>
      <c r="I5756" s="21"/>
      <c r="M5756" s="10"/>
      <c r="N5756" s="10"/>
      <c r="P5756" s="10"/>
      <c r="Q5756" s="22"/>
    </row>
    <row r="5757" customFormat="false" ht="15.75" hidden="false" customHeight="false" outlineLevel="0" collapsed="false">
      <c r="A5757" s="20" t="n">
        <v>46162</v>
      </c>
      <c r="B5757" s="15" t="s">
        <v>504</v>
      </c>
      <c r="C5757" s="15" t="s">
        <v>81</v>
      </c>
      <c r="D5757" s="15" t="s">
        <v>534</v>
      </c>
      <c r="E5757" s="15" t="n">
        <v>18</v>
      </c>
      <c r="H5757" s="10"/>
      <c r="I5757" s="21"/>
      <c r="M5757" s="10"/>
      <c r="N5757" s="10"/>
      <c r="P5757" s="10"/>
      <c r="Q5757" s="22"/>
    </row>
    <row r="5758" customFormat="false" ht="15.75" hidden="false" customHeight="false" outlineLevel="0" collapsed="false">
      <c r="A5758" s="20" t="n">
        <v>46162</v>
      </c>
      <c r="B5758" s="15" t="s">
        <v>504</v>
      </c>
      <c r="C5758" s="15" t="s">
        <v>39</v>
      </c>
      <c r="D5758" s="15" t="s">
        <v>550</v>
      </c>
      <c r="E5758" s="15" t="n">
        <v>2</v>
      </c>
      <c r="H5758" s="10"/>
      <c r="I5758" s="21"/>
      <c r="M5758" s="10"/>
      <c r="N5758" s="10"/>
      <c r="P5758" s="10"/>
      <c r="Q5758" s="22"/>
    </row>
    <row r="5759" customFormat="false" ht="15.75" hidden="false" customHeight="false" outlineLevel="0" collapsed="false">
      <c r="A5759" s="20" t="n">
        <v>46162</v>
      </c>
      <c r="B5759" s="15" t="s">
        <v>504</v>
      </c>
      <c r="C5759" s="15" t="s">
        <v>63</v>
      </c>
      <c r="D5759" s="15" t="s">
        <v>551</v>
      </c>
      <c r="E5759" s="15" t="n">
        <v>2</v>
      </c>
      <c r="H5759" s="10"/>
      <c r="I5759" s="21"/>
      <c r="M5759" s="10"/>
      <c r="N5759" s="10"/>
      <c r="P5759" s="10"/>
      <c r="Q5759" s="22"/>
    </row>
    <row r="5760" customFormat="false" ht="15.75" hidden="false" customHeight="false" outlineLevel="0" collapsed="false">
      <c r="A5760" s="20" t="n">
        <v>46162</v>
      </c>
      <c r="B5760" s="15" t="s">
        <v>504</v>
      </c>
      <c r="C5760" s="15" t="s">
        <v>17</v>
      </c>
      <c r="D5760" s="15" t="s">
        <v>554</v>
      </c>
      <c r="E5760" s="15" t="n">
        <v>2</v>
      </c>
      <c r="H5760" s="10"/>
      <c r="I5760" s="21"/>
      <c r="M5760" s="10"/>
      <c r="N5760" s="10"/>
      <c r="P5760" s="10"/>
      <c r="Q5760" s="22"/>
    </row>
    <row r="5761" customFormat="false" ht="15.75" hidden="false" customHeight="false" outlineLevel="0" collapsed="false">
      <c r="A5761" s="20" t="n">
        <v>46162</v>
      </c>
      <c r="B5761" s="15" t="s">
        <v>514</v>
      </c>
      <c r="C5761" s="15" t="s">
        <v>55</v>
      </c>
      <c r="D5761" s="15" t="s">
        <v>539</v>
      </c>
      <c r="E5761" s="15" t="n">
        <v>5</v>
      </c>
      <c r="H5761" s="10"/>
      <c r="I5761" s="21"/>
      <c r="M5761" s="10"/>
      <c r="N5761" s="10"/>
      <c r="P5761" s="10"/>
      <c r="Q5761" s="22"/>
    </row>
    <row r="5762" customFormat="false" ht="15.75" hidden="false" customHeight="false" outlineLevel="0" collapsed="false">
      <c r="A5762" s="20" t="n">
        <v>46162</v>
      </c>
      <c r="B5762" s="15" t="s">
        <v>514</v>
      </c>
      <c r="C5762" s="15" t="s">
        <v>57</v>
      </c>
      <c r="D5762" s="15" t="s">
        <v>553</v>
      </c>
      <c r="E5762" s="15" t="n">
        <v>1</v>
      </c>
      <c r="H5762" s="10"/>
      <c r="I5762" s="21"/>
      <c r="M5762" s="10"/>
      <c r="N5762" s="10"/>
      <c r="P5762" s="10"/>
      <c r="Q5762" s="22"/>
    </row>
    <row r="5763" customFormat="false" ht="15.75" hidden="false" customHeight="false" outlineLevel="0" collapsed="false">
      <c r="A5763" s="20" t="n">
        <v>46162</v>
      </c>
      <c r="B5763" s="15" t="s">
        <v>514</v>
      </c>
      <c r="C5763" s="15" t="s">
        <v>49</v>
      </c>
      <c r="D5763" s="15" t="s">
        <v>537</v>
      </c>
      <c r="E5763" s="15" t="n">
        <v>1</v>
      </c>
      <c r="H5763" s="10"/>
      <c r="I5763" s="21"/>
      <c r="M5763" s="10"/>
      <c r="N5763" s="10"/>
      <c r="P5763" s="10"/>
      <c r="Q5763" s="22"/>
    </row>
    <row r="5764" customFormat="false" ht="15.75" hidden="false" customHeight="false" outlineLevel="0" collapsed="false">
      <c r="A5764" s="20" t="n">
        <v>46162</v>
      </c>
      <c r="B5764" s="15" t="s">
        <v>514</v>
      </c>
      <c r="C5764" s="15" t="s">
        <v>47</v>
      </c>
      <c r="D5764" s="15" t="s">
        <v>549</v>
      </c>
      <c r="E5764" s="15" t="n">
        <v>4</v>
      </c>
      <c r="H5764" s="10"/>
      <c r="I5764" s="21"/>
      <c r="M5764" s="10"/>
      <c r="N5764" s="10"/>
      <c r="P5764" s="10"/>
      <c r="Q5764" s="22"/>
    </row>
    <row r="5765" customFormat="false" ht="15.75" hidden="false" customHeight="false" outlineLevel="0" collapsed="false">
      <c r="A5765" s="20" t="n">
        <v>46162</v>
      </c>
      <c r="B5765" s="15" t="s">
        <v>514</v>
      </c>
      <c r="C5765" s="15" t="s">
        <v>81</v>
      </c>
      <c r="D5765" s="15" t="s">
        <v>534</v>
      </c>
      <c r="E5765" s="15" t="n">
        <v>7</v>
      </c>
      <c r="H5765" s="10"/>
      <c r="I5765" s="21"/>
      <c r="M5765" s="10"/>
      <c r="N5765" s="10"/>
      <c r="P5765" s="10"/>
      <c r="Q5765" s="22"/>
    </row>
    <row r="5766" customFormat="false" ht="15.75" hidden="false" customHeight="false" outlineLevel="0" collapsed="false">
      <c r="A5766" s="20" t="n">
        <v>46162</v>
      </c>
      <c r="B5766" s="15" t="s">
        <v>514</v>
      </c>
      <c r="C5766" s="15" t="s">
        <v>63</v>
      </c>
      <c r="D5766" s="15" t="s">
        <v>551</v>
      </c>
      <c r="E5766" s="15" t="n">
        <v>1</v>
      </c>
      <c r="H5766" s="10"/>
      <c r="I5766" s="21"/>
      <c r="M5766" s="10"/>
      <c r="N5766" s="10"/>
      <c r="P5766" s="10"/>
      <c r="Q5766" s="22"/>
    </row>
    <row r="5767" customFormat="false" ht="15.75" hidden="false" customHeight="false" outlineLevel="0" collapsed="false">
      <c r="A5767" s="20" t="n">
        <v>46162</v>
      </c>
      <c r="B5767" s="15" t="s">
        <v>514</v>
      </c>
      <c r="C5767" s="15" t="s">
        <v>17</v>
      </c>
      <c r="D5767" s="15" t="s">
        <v>554</v>
      </c>
      <c r="E5767" s="15" t="n">
        <v>1</v>
      </c>
      <c r="H5767" s="10"/>
      <c r="I5767" s="21"/>
      <c r="M5767" s="10"/>
      <c r="N5767" s="10"/>
      <c r="P5767" s="10"/>
      <c r="Q5767" s="22"/>
    </row>
    <row r="5768" customFormat="false" ht="15.75" hidden="false" customHeight="false" outlineLevel="0" collapsed="false">
      <c r="A5768" s="20" t="n">
        <v>46163</v>
      </c>
      <c r="B5768" s="15" t="s">
        <v>453</v>
      </c>
      <c r="C5768" s="15" t="s">
        <v>47</v>
      </c>
      <c r="D5768" s="15" t="s">
        <v>549</v>
      </c>
      <c r="E5768" s="15" t="n">
        <v>4</v>
      </c>
      <c r="H5768" s="10"/>
      <c r="I5768" s="21"/>
      <c r="M5768" s="10"/>
      <c r="N5768" s="10"/>
      <c r="P5768" s="10"/>
      <c r="Q5768" s="22"/>
    </row>
    <row r="5769" customFormat="false" ht="15.75" hidden="false" customHeight="false" outlineLevel="0" collapsed="false">
      <c r="A5769" s="20" t="n">
        <v>46163</v>
      </c>
      <c r="B5769" s="15" t="s">
        <v>453</v>
      </c>
      <c r="C5769" s="15" t="s">
        <v>55</v>
      </c>
      <c r="D5769" s="15" t="s">
        <v>539</v>
      </c>
      <c r="E5769" s="15" t="n">
        <v>8</v>
      </c>
      <c r="H5769" s="10"/>
      <c r="I5769" s="21"/>
      <c r="M5769" s="10"/>
      <c r="N5769" s="10"/>
      <c r="P5769" s="10"/>
      <c r="Q5769" s="22"/>
    </row>
    <row r="5770" customFormat="false" ht="15.75" hidden="false" customHeight="false" outlineLevel="0" collapsed="false">
      <c r="A5770" s="20" t="n">
        <v>46163</v>
      </c>
      <c r="B5770" s="15" t="s">
        <v>453</v>
      </c>
      <c r="C5770" s="15" t="s">
        <v>81</v>
      </c>
      <c r="D5770" s="15" t="s">
        <v>534</v>
      </c>
      <c r="E5770" s="15" t="n">
        <v>16</v>
      </c>
      <c r="H5770" s="10"/>
      <c r="I5770" s="21"/>
      <c r="M5770" s="10"/>
      <c r="N5770" s="10"/>
      <c r="P5770" s="10"/>
      <c r="Q5770" s="22"/>
    </row>
    <row r="5771" customFormat="false" ht="15.75" hidden="false" customHeight="false" outlineLevel="0" collapsed="false">
      <c r="A5771" s="20" t="n">
        <v>46163</v>
      </c>
      <c r="B5771" s="15" t="s">
        <v>453</v>
      </c>
      <c r="C5771" s="15" t="s">
        <v>39</v>
      </c>
      <c r="D5771" s="15" t="s">
        <v>550</v>
      </c>
      <c r="E5771" s="15" t="n">
        <v>4</v>
      </c>
      <c r="H5771" s="10"/>
      <c r="I5771" s="21"/>
      <c r="M5771" s="10"/>
      <c r="N5771" s="10"/>
      <c r="P5771" s="10"/>
      <c r="Q5771" s="22"/>
    </row>
    <row r="5772" customFormat="false" ht="15.75" hidden="false" customHeight="false" outlineLevel="0" collapsed="false">
      <c r="A5772" s="20" t="n">
        <v>46163</v>
      </c>
      <c r="B5772" s="15" t="s">
        <v>453</v>
      </c>
      <c r="C5772" s="15" t="s">
        <v>63</v>
      </c>
      <c r="D5772" s="15" t="s">
        <v>551</v>
      </c>
      <c r="E5772" s="15" t="n">
        <v>2</v>
      </c>
      <c r="H5772" s="10"/>
      <c r="I5772" s="21"/>
      <c r="M5772" s="10"/>
      <c r="N5772" s="10"/>
      <c r="P5772" s="10"/>
      <c r="Q5772" s="22"/>
    </row>
    <row r="5773" customFormat="false" ht="15.75" hidden="false" customHeight="false" outlineLevel="0" collapsed="false">
      <c r="A5773" s="20" t="n">
        <v>46163</v>
      </c>
      <c r="B5773" s="15" t="s">
        <v>453</v>
      </c>
      <c r="C5773" s="15" t="s">
        <v>35</v>
      </c>
      <c r="D5773" s="15" t="s">
        <v>552</v>
      </c>
      <c r="E5773" s="15" t="n">
        <v>4</v>
      </c>
      <c r="H5773" s="10"/>
      <c r="I5773" s="21"/>
      <c r="M5773" s="10"/>
      <c r="N5773" s="10"/>
      <c r="P5773" s="10"/>
      <c r="Q5773" s="22"/>
    </row>
    <row r="5774" customFormat="false" ht="15.75" hidden="false" customHeight="false" outlineLevel="0" collapsed="false">
      <c r="A5774" s="20" t="n">
        <v>46163</v>
      </c>
      <c r="B5774" s="15" t="s">
        <v>466</v>
      </c>
      <c r="C5774" s="15" t="s">
        <v>570</v>
      </c>
      <c r="D5774" s="15" t="s">
        <v>571</v>
      </c>
      <c r="E5774" s="15" t="n">
        <v>6</v>
      </c>
      <c r="H5774" s="10"/>
      <c r="I5774" s="21"/>
      <c r="M5774" s="10"/>
      <c r="N5774" s="10"/>
      <c r="P5774" s="10"/>
      <c r="Q5774" s="22"/>
    </row>
    <row r="5775" customFormat="false" ht="15.75" hidden="false" customHeight="false" outlineLevel="0" collapsed="false">
      <c r="A5775" s="20" t="n">
        <v>46163</v>
      </c>
      <c r="B5775" s="15" t="s">
        <v>466</v>
      </c>
      <c r="C5775" s="15" t="s">
        <v>565</v>
      </c>
      <c r="D5775" s="15" t="s">
        <v>566</v>
      </c>
      <c r="E5775" s="15" t="n">
        <v>4</v>
      </c>
      <c r="H5775" s="10"/>
      <c r="I5775" s="21"/>
      <c r="M5775" s="10"/>
      <c r="N5775" s="10"/>
      <c r="P5775" s="10"/>
      <c r="Q5775" s="22"/>
    </row>
    <row r="5776" customFormat="false" ht="15.75" hidden="false" customHeight="false" outlineLevel="0" collapsed="false">
      <c r="A5776" s="20" t="n">
        <v>46163</v>
      </c>
      <c r="B5776" s="15" t="s">
        <v>466</v>
      </c>
      <c r="C5776" s="15" t="s">
        <v>69</v>
      </c>
      <c r="D5776" s="15" t="s">
        <v>535</v>
      </c>
      <c r="E5776" s="15" t="n">
        <v>5</v>
      </c>
      <c r="H5776" s="10"/>
      <c r="I5776" s="21"/>
      <c r="M5776" s="10"/>
      <c r="N5776" s="10"/>
      <c r="P5776" s="10"/>
      <c r="Q5776" s="22"/>
    </row>
    <row r="5777" customFormat="false" ht="15.75" hidden="false" customHeight="false" outlineLevel="0" collapsed="false">
      <c r="A5777" s="20" t="n">
        <v>46163</v>
      </c>
      <c r="B5777" s="15" t="s">
        <v>466</v>
      </c>
      <c r="C5777" s="15" t="s">
        <v>547</v>
      </c>
      <c r="D5777" s="15" t="s">
        <v>548</v>
      </c>
      <c r="E5777" s="15" t="n">
        <v>6</v>
      </c>
      <c r="H5777" s="10"/>
      <c r="I5777" s="21"/>
      <c r="M5777" s="10"/>
      <c r="N5777" s="10"/>
      <c r="P5777" s="10"/>
      <c r="Q5777" s="22"/>
    </row>
    <row r="5778" customFormat="false" ht="15.75" hidden="false" customHeight="false" outlineLevel="0" collapsed="false">
      <c r="A5778" s="20" t="n">
        <v>46163</v>
      </c>
      <c r="B5778" s="15" t="s">
        <v>466</v>
      </c>
      <c r="C5778" s="15" t="s">
        <v>37</v>
      </c>
      <c r="D5778" s="15" t="s">
        <v>561</v>
      </c>
      <c r="E5778" s="15" t="n">
        <v>3</v>
      </c>
      <c r="H5778" s="10"/>
      <c r="I5778" s="21"/>
      <c r="M5778" s="10"/>
      <c r="N5778" s="10"/>
      <c r="P5778" s="10"/>
      <c r="Q5778" s="22"/>
    </row>
    <row r="5779" customFormat="false" ht="15.75" hidden="false" customHeight="false" outlineLevel="0" collapsed="false">
      <c r="A5779" s="20" t="n">
        <v>46163</v>
      </c>
      <c r="B5779" s="15" t="s">
        <v>466</v>
      </c>
      <c r="C5779" s="15" t="s">
        <v>47</v>
      </c>
      <c r="D5779" s="15" t="s">
        <v>549</v>
      </c>
      <c r="E5779" s="15" t="n">
        <v>2</v>
      </c>
      <c r="H5779" s="10"/>
      <c r="I5779" s="21"/>
      <c r="M5779" s="10"/>
      <c r="N5779" s="10"/>
      <c r="P5779" s="10"/>
      <c r="Q5779" s="22"/>
    </row>
    <row r="5780" customFormat="false" ht="15.75" hidden="false" customHeight="false" outlineLevel="0" collapsed="false">
      <c r="A5780" s="20" t="n">
        <v>46163</v>
      </c>
      <c r="B5780" s="15" t="s">
        <v>466</v>
      </c>
      <c r="C5780" s="15" t="s">
        <v>81</v>
      </c>
      <c r="D5780" s="15" t="s">
        <v>534</v>
      </c>
      <c r="E5780" s="15" t="n">
        <v>13</v>
      </c>
      <c r="H5780" s="10"/>
      <c r="I5780" s="21"/>
      <c r="M5780" s="10"/>
      <c r="N5780" s="10"/>
      <c r="P5780" s="10"/>
      <c r="Q5780" s="22"/>
    </row>
    <row r="5781" customFormat="false" ht="15.75" hidden="false" customHeight="false" outlineLevel="0" collapsed="false">
      <c r="A5781" s="20" t="n">
        <v>46163</v>
      </c>
      <c r="B5781" s="15" t="s">
        <v>466</v>
      </c>
      <c r="C5781" s="15" t="s">
        <v>55</v>
      </c>
      <c r="D5781" s="15" t="s">
        <v>539</v>
      </c>
      <c r="E5781" s="15" t="n">
        <v>2</v>
      </c>
      <c r="H5781" s="10"/>
      <c r="I5781" s="21"/>
      <c r="M5781" s="10"/>
      <c r="N5781" s="10"/>
      <c r="P5781" s="10"/>
      <c r="Q5781" s="22"/>
    </row>
    <row r="5782" customFormat="false" ht="15.75" hidden="false" customHeight="false" outlineLevel="0" collapsed="false">
      <c r="A5782" s="20" t="n">
        <v>46163</v>
      </c>
      <c r="B5782" s="15" t="s">
        <v>466</v>
      </c>
      <c r="C5782" s="15" t="s">
        <v>567</v>
      </c>
      <c r="D5782" s="15" t="s">
        <v>568</v>
      </c>
      <c r="E5782" s="15" t="n">
        <v>4</v>
      </c>
      <c r="H5782" s="10"/>
      <c r="I5782" s="21"/>
      <c r="M5782" s="10"/>
      <c r="N5782" s="10"/>
      <c r="P5782" s="10"/>
      <c r="Q5782" s="22"/>
    </row>
    <row r="5783" customFormat="false" ht="15.75" hidden="false" customHeight="false" outlineLevel="0" collapsed="false">
      <c r="A5783" s="20" t="n">
        <v>46163</v>
      </c>
      <c r="B5783" s="15" t="s">
        <v>466</v>
      </c>
      <c r="C5783" s="15" t="s">
        <v>545</v>
      </c>
      <c r="D5783" s="15" t="s">
        <v>546</v>
      </c>
      <c r="E5783" s="15" t="n">
        <v>4</v>
      </c>
      <c r="H5783" s="10"/>
      <c r="I5783" s="21"/>
      <c r="M5783" s="10"/>
      <c r="N5783" s="10"/>
      <c r="P5783" s="10"/>
      <c r="Q5783" s="22"/>
    </row>
    <row r="5784" customFormat="false" ht="15.75" hidden="false" customHeight="false" outlineLevel="0" collapsed="false">
      <c r="A5784" s="20" t="n">
        <v>46163</v>
      </c>
      <c r="B5784" s="15" t="s">
        <v>466</v>
      </c>
      <c r="C5784" s="15" t="s">
        <v>543</v>
      </c>
      <c r="D5784" s="15" t="s">
        <v>544</v>
      </c>
      <c r="E5784" s="15" t="n">
        <v>2</v>
      </c>
      <c r="H5784" s="10"/>
      <c r="I5784" s="21"/>
      <c r="M5784" s="10"/>
      <c r="N5784" s="10"/>
      <c r="P5784" s="10"/>
      <c r="Q5784" s="22"/>
    </row>
    <row r="5785" customFormat="false" ht="15.75" hidden="false" customHeight="false" outlineLevel="0" collapsed="false">
      <c r="A5785" s="20" t="n">
        <v>46163</v>
      </c>
      <c r="B5785" s="15" t="s">
        <v>466</v>
      </c>
      <c r="C5785" s="15" t="s">
        <v>83</v>
      </c>
      <c r="D5785" s="15" t="s">
        <v>581</v>
      </c>
      <c r="E5785" s="15" t="n">
        <v>1</v>
      </c>
      <c r="H5785" s="10"/>
      <c r="I5785" s="21"/>
      <c r="M5785" s="10"/>
      <c r="N5785" s="10"/>
      <c r="P5785" s="10"/>
      <c r="Q5785" s="22"/>
    </row>
    <row r="5786" customFormat="false" ht="15.75" hidden="false" customHeight="false" outlineLevel="0" collapsed="false">
      <c r="A5786" s="20" t="n">
        <v>46163</v>
      </c>
      <c r="B5786" s="15" t="s">
        <v>466</v>
      </c>
      <c r="C5786" s="15" t="s">
        <v>85</v>
      </c>
      <c r="D5786" s="15" t="s">
        <v>582</v>
      </c>
      <c r="E5786" s="15" t="n">
        <v>1</v>
      </c>
      <c r="H5786" s="10"/>
      <c r="I5786" s="21"/>
      <c r="M5786" s="10"/>
      <c r="N5786" s="10"/>
      <c r="P5786" s="10"/>
      <c r="Q5786" s="22"/>
    </row>
    <row r="5787" customFormat="false" ht="15.75" hidden="false" customHeight="false" outlineLevel="0" collapsed="false">
      <c r="A5787" s="20" t="n">
        <v>46163</v>
      </c>
      <c r="B5787" s="15" t="s">
        <v>466</v>
      </c>
      <c r="C5787" s="15" t="s">
        <v>555</v>
      </c>
      <c r="D5787" s="15" t="s">
        <v>556</v>
      </c>
      <c r="E5787" s="15" t="n">
        <v>3</v>
      </c>
      <c r="H5787" s="10"/>
      <c r="I5787" s="21"/>
      <c r="M5787" s="10"/>
      <c r="N5787" s="10"/>
      <c r="P5787" s="10"/>
      <c r="Q5787" s="22"/>
    </row>
    <row r="5788" customFormat="false" ht="15.75" hidden="false" customHeight="false" outlineLevel="0" collapsed="false">
      <c r="A5788" s="20" t="n">
        <v>46163</v>
      </c>
      <c r="B5788" s="15" t="s">
        <v>466</v>
      </c>
      <c r="C5788" s="15" t="s">
        <v>25</v>
      </c>
      <c r="D5788" s="15" t="s">
        <v>26</v>
      </c>
      <c r="E5788" s="15" t="n">
        <v>1</v>
      </c>
      <c r="H5788" s="10"/>
      <c r="I5788" s="21"/>
      <c r="M5788" s="10"/>
      <c r="N5788" s="10"/>
      <c r="P5788" s="10"/>
      <c r="Q5788" s="22"/>
    </row>
    <row r="5789" customFormat="false" ht="15.75" hidden="false" customHeight="false" outlineLevel="0" collapsed="false">
      <c r="A5789" s="20" t="n">
        <v>46163</v>
      </c>
      <c r="B5789" s="15" t="s">
        <v>466</v>
      </c>
      <c r="C5789" s="15" t="s">
        <v>77</v>
      </c>
      <c r="D5789" s="15" t="s">
        <v>78</v>
      </c>
      <c r="E5789" s="15" t="n">
        <v>2</v>
      </c>
      <c r="H5789" s="10"/>
      <c r="I5789" s="21"/>
      <c r="M5789" s="10"/>
      <c r="N5789" s="10"/>
      <c r="P5789" s="10"/>
      <c r="Q5789" s="22"/>
    </row>
    <row r="5790" customFormat="false" ht="15.75" hidden="false" customHeight="false" outlineLevel="0" collapsed="false">
      <c r="A5790" s="20" t="n">
        <v>46163</v>
      </c>
      <c r="B5790" s="15" t="s">
        <v>466</v>
      </c>
      <c r="C5790" s="15" t="s">
        <v>11</v>
      </c>
      <c r="D5790" s="15" t="s">
        <v>572</v>
      </c>
      <c r="E5790" s="15" t="n">
        <v>6</v>
      </c>
      <c r="H5790" s="10"/>
      <c r="I5790" s="21"/>
      <c r="M5790" s="10"/>
      <c r="N5790" s="10"/>
      <c r="P5790" s="10"/>
      <c r="Q5790" s="22"/>
    </row>
    <row r="5791" customFormat="false" ht="15.75" hidden="false" customHeight="false" outlineLevel="0" collapsed="false">
      <c r="A5791" s="20" t="n">
        <v>46163</v>
      </c>
      <c r="B5791" s="15" t="s">
        <v>466</v>
      </c>
      <c r="C5791" s="15" t="s">
        <v>65</v>
      </c>
      <c r="D5791" s="15" t="s">
        <v>580</v>
      </c>
      <c r="E5791" s="15" t="n">
        <v>1</v>
      </c>
      <c r="H5791" s="10"/>
      <c r="I5791" s="21"/>
      <c r="M5791" s="10"/>
      <c r="N5791" s="10"/>
      <c r="P5791" s="10"/>
      <c r="Q5791" s="22"/>
    </row>
    <row r="5792" customFormat="false" ht="15.75" hidden="false" customHeight="false" outlineLevel="0" collapsed="false">
      <c r="A5792" s="20" t="n">
        <v>46163</v>
      </c>
      <c r="B5792" s="15" t="s">
        <v>466</v>
      </c>
      <c r="C5792" s="15" t="s">
        <v>33</v>
      </c>
      <c r="D5792" s="15" t="s">
        <v>536</v>
      </c>
      <c r="E5792" s="15" t="n">
        <v>2</v>
      </c>
      <c r="H5792" s="10"/>
      <c r="I5792" s="21"/>
      <c r="M5792" s="10"/>
      <c r="N5792" s="10"/>
      <c r="P5792" s="10"/>
      <c r="Q5792" s="22"/>
    </row>
    <row r="5793" customFormat="false" ht="15.75" hidden="false" customHeight="false" outlineLevel="0" collapsed="false">
      <c r="A5793" s="20" t="n">
        <v>46163</v>
      </c>
      <c r="B5793" s="15" t="s">
        <v>466</v>
      </c>
      <c r="C5793" s="15" t="s">
        <v>21</v>
      </c>
      <c r="D5793" s="15" t="s">
        <v>583</v>
      </c>
      <c r="E5793" s="15" t="n">
        <v>1</v>
      </c>
      <c r="H5793" s="10"/>
      <c r="I5793" s="21"/>
      <c r="M5793" s="10"/>
      <c r="N5793" s="10"/>
      <c r="P5793" s="10"/>
      <c r="Q5793" s="22"/>
    </row>
    <row r="5794" customFormat="false" ht="15.75" hidden="false" customHeight="false" outlineLevel="0" collapsed="false">
      <c r="A5794" s="20" t="n">
        <v>46163</v>
      </c>
      <c r="B5794" s="15" t="s">
        <v>466</v>
      </c>
      <c r="C5794" s="15" t="s">
        <v>45</v>
      </c>
      <c r="D5794" s="15" t="s">
        <v>540</v>
      </c>
      <c r="E5794" s="15" t="n">
        <v>1</v>
      </c>
      <c r="H5794" s="10"/>
      <c r="I5794" s="21"/>
      <c r="M5794" s="10"/>
      <c r="N5794" s="10"/>
      <c r="P5794" s="10"/>
      <c r="Q5794" s="22"/>
    </row>
    <row r="5795" customFormat="false" ht="15.75" hidden="false" customHeight="false" outlineLevel="0" collapsed="false">
      <c r="A5795" s="20" t="n">
        <v>46163</v>
      </c>
      <c r="B5795" s="15" t="s">
        <v>466</v>
      </c>
      <c r="C5795" s="15" t="s">
        <v>59</v>
      </c>
      <c r="D5795" s="15" t="s">
        <v>562</v>
      </c>
      <c r="E5795" s="15" t="n">
        <v>2</v>
      </c>
      <c r="H5795" s="10"/>
      <c r="I5795" s="21"/>
      <c r="M5795" s="10"/>
      <c r="N5795" s="10"/>
      <c r="P5795" s="10"/>
      <c r="Q5795" s="22"/>
    </row>
    <row r="5796" customFormat="false" ht="15.75" hidden="false" customHeight="false" outlineLevel="0" collapsed="false">
      <c r="A5796" s="20" t="n">
        <v>46163</v>
      </c>
      <c r="B5796" s="15" t="s">
        <v>466</v>
      </c>
      <c r="C5796" s="15" t="s">
        <v>79</v>
      </c>
      <c r="D5796" s="15" t="s">
        <v>564</v>
      </c>
      <c r="E5796" s="15" t="n">
        <v>1</v>
      </c>
      <c r="H5796" s="10"/>
      <c r="I5796" s="21"/>
      <c r="M5796" s="10"/>
      <c r="N5796" s="10"/>
      <c r="P5796" s="10"/>
      <c r="Q5796" s="22"/>
    </row>
    <row r="5797" customFormat="false" ht="15.75" hidden="false" customHeight="false" outlineLevel="0" collapsed="false">
      <c r="A5797" s="20" t="n">
        <v>46163</v>
      </c>
      <c r="B5797" s="15" t="s">
        <v>484</v>
      </c>
      <c r="C5797" s="15" t="s">
        <v>69</v>
      </c>
      <c r="D5797" s="15" t="s">
        <v>535</v>
      </c>
      <c r="E5797" s="15" t="n">
        <v>2</v>
      </c>
      <c r="H5797" s="10"/>
      <c r="I5797" s="21"/>
      <c r="M5797" s="10"/>
      <c r="N5797" s="10"/>
      <c r="P5797" s="10"/>
      <c r="Q5797" s="22"/>
    </row>
    <row r="5798" customFormat="false" ht="15.75" hidden="false" customHeight="false" outlineLevel="0" collapsed="false">
      <c r="A5798" s="20" t="n">
        <v>46163</v>
      </c>
      <c r="B5798" s="15" t="s">
        <v>484</v>
      </c>
      <c r="C5798" s="15" t="s">
        <v>81</v>
      </c>
      <c r="D5798" s="15" t="s">
        <v>534</v>
      </c>
      <c r="E5798" s="15" t="n">
        <v>5</v>
      </c>
      <c r="H5798" s="10"/>
      <c r="I5798" s="21"/>
      <c r="M5798" s="10"/>
      <c r="N5798" s="10"/>
      <c r="P5798" s="10"/>
      <c r="Q5798" s="22"/>
    </row>
    <row r="5799" customFormat="false" ht="15.75" hidden="false" customHeight="false" outlineLevel="0" collapsed="false">
      <c r="A5799" s="20" t="n">
        <v>46163</v>
      </c>
      <c r="B5799" s="15" t="s">
        <v>484</v>
      </c>
      <c r="C5799" s="15" t="s">
        <v>37</v>
      </c>
      <c r="D5799" s="15" t="s">
        <v>561</v>
      </c>
      <c r="E5799" s="15" t="n">
        <v>2</v>
      </c>
      <c r="H5799" s="10"/>
      <c r="I5799" s="21"/>
      <c r="M5799" s="10"/>
      <c r="N5799" s="10"/>
      <c r="P5799" s="10"/>
      <c r="Q5799" s="22"/>
    </row>
    <row r="5800" customFormat="false" ht="15.75" hidden="false" customHeight="false" outlineLevel="0" collapsed="false">
      <c r="A5800" s="20" t="n">
        <v>46163</v>
      </c>
      <c r="B5800" s="15" t="s">
        <v>484</v>
      </c>
      <c r="C5800" s="15" t="s">
        <v>547</v>
      </c>
      <c r="D5800" s="15" t="s">
        <v>548</v>
      </c>
      <c r="E5800" s="15" t="n">
        <v>1</v>
      </c>
      <c r="H5800" s="10"/>
      <c r="I5800" s="21"/>
      <c r="M5800" s="10"/>
      <c r="N5800" s="10"/>
      <c r="P5800" s="10"/>
      <c r="Q5800" s="22"/>
    </row>
    <row r="5801" customFormat="false" ht="15.75" hidden="false" customHeight="false" outlineLevel="0" collapsed="false">
      <c r="A5801" s="20" t="n">
        <v>46163</v>
      </c>
      <c r="B5801" s="15" t="s">
        <v>484</v>
      </c>
      <c r="C5801" s="15" t="s">
        <v>33</v>
      </c>
      <c r="D5801" s="15" t="s">
        <v>536</v>
      </c>
      <c r="E5801" s="15" t="n">
        <v>2</v>
      </c>
      <c r="H5801" s="10"/>
      <c r="I5801" s="21"/>
      <c r="M5801" s="10"/>
      <c r="N5801" s="10"/>
      <c r="P5801" s="10"/>
      <c r="Q5801" s="22"/>
    </row>
    <row r="5802" customFormat="false" ht="15.75" hidden="false" customHeight="false" outlineLevel="0" collapsed="false">
      <c r="A5802" s="20" t="n">
        <v>46163</v>
      </c>
      <c r="B5802" s="15" t="s">
        <v>484</v>
      </c>
      <c r="C5802" s="15" t="s">
        <v>77</v>
      </c>
      <c r="D5802" s="15" t="s">
        <v>78</v>
      </c>
      <c r="E5802" s="15" t="n">
        <v>2</v>
      </c>
      <c r="H5802" s="10"/>
      <c r="I5802" s="21"/>
      <c r="M5802" s="10"/>
      <c r="N5802" s="10"/>
      <c r="P5802" s="10"/>
      <c r="Q5802" s="22"/>
    </row>
    <row r="5803" customFormat="false" ht="15.75" hidden="false" customHeight="false" outlineLevel="0" collapsed="false">
      <c r="A5803" s="20" t="n">
        <v>46163</v>
      </c>
      <c r="B5803" s="15" t="s">
        <v>484</v>
      </c>
      <c r="C5803" s="15" t="s">
        <v>578</v>
      </c>
      <c r="D5803" s="15" t="s">
        <v>579</v>
      </c>
      <c r="E5803" s="15" t="n">
        <v>1</v>
      </c>
      <c r="H5803" s="10"/>
      <c r="I5803" s="21"/>
      <c r="M5803" s="10"/>
      <c r="N5803" s="10"/>
      <c r="P5803" s="10"/>
      <c r="Q5803" s="22"/>
    </row>
    <row r="5804" customFormat="false" ht="15.75" hidden="false" customHeight="false" outlineLevel="0" collapsed="false">
      <c r="A5804" s="20" t="n">
        <v>46163</v>
      </c>
      <c r="B5804" s="15" t="s">
        <v>484</v>
      </c>
      <c r="C5804" s="15" t="s">
        <v>11</v>
      </c>
      <c r="D5804" s="15" t="s">
        <v>572</v>
      </c>
      <c r="E5804" s="15" t="n">
        <v>1</v>
      </c>
      <c r="H5804" s="10"/>
      <c r="I5804" s="21"/>
      <c r="M5804" s="10"/>
      <c r="N5804" s="10"/>
      <c r="P5804" s="10"/>
      <c r="Q5804" s="22"/>
    </row>
    <row r="5805" customFormat="false" ht="15.75" hidden="false" customHeight="false" outlineLevel="0" collapsed="false">
      <c r="A5805" s="20" t="n">
        <v>46163</v>
      </c>
      <c r="B5805" s="15" t="s">
        <v>504</v>
      </c>
      <c r="C5805" s="15" t="s">
        <v>47</v>
      </c>
      <c r="D5805" s="15" t="s">
        <v>549</v>
      </c>
      <c r="E5805" s="15" t="n">
        <v>6</v>
      </c>
      <c r="H5805" s="10"/>
      <c r="I5805" s="21"/>
      <c r="M5805" s="10"/>
      <c r="N5805" s="10"/>
      <c r="P5805" s="10"/>
      <c r="Q5805" s="22"/>
    </row>
    <row r="5806" customFormat="false" ht="15.75" hidden="false" customHeight="false" outlineLevel="0" collapsed="false">
      <c r="A5806" s="20" t="n">
        <v>46163</v>
      </c>
      <c r="B5806" s="15" t="s">
        <v>504</v>
      </c>
      <c r="C5806" s="15" t="s">
        <v>55</v>
      </c>
      <c r="D5806" s="15" t="s">
        <v>539</v>
      </c>
      <c r="E5806" s="15" t="n">
        <v>12</v>
      </c>
      <c r="H5806" s="10"/>
      <c r="I5806" s="21"/>
      <c r="M5806" s="10"/>
      <c r="N5806" s="10"/>
      <c r="P5806" s="10"/>
      <c r="Q5806" s="22"/>
    </row>
    <row r="5807" customFormat="false" ht="15.75" hidden="false" customHeight="false" outlineLevel="0" collapsed="false">
      <c r="A5807" s="20" t="n">
        <v>46163</v>
      </c>
      <c r="B5807" s="15" t="s">
        <v>504</v>
      </c>
      <c r="C5807" s="15" t="s">
        <v>81</v>
      </c>
      <c r="D5807" s="15" t="s">
        <v>534</v>
      </c>
      <c r="E5807" s="15" t="n">
        <v>18</v>
      </c>
      <c r="H5807" s="10"/>
      <c r="I5807" s="21"/>
      <c r="M5807" s="10"/>
      <c r="N5807" s="10"/>
      <c r="P5807" s="10"/>
      <c r="Q5807" s="22"/>
    </row>
    <row r="5808" customFormat="false" ht="15.75" hidden="false" customHeight="false" outlineLevel="0" collapsed="false">
      <c r="A5808" s="20" t="n">
        <v>46163</v>
      </c>
      <c r="B5808" s="15" t="s">
        <v>504</v>
      </c>
      <c r="C5808" s="15" t="s">
        <v>39</v>
      </c>
      <c r="D5808" s="15" t="s">
        <v>550</v>
      </c>
      <c r="E5808" s="15" t="n">
        <v>2</v>
      </c>
      <c r="H5808" s="10"/>
      <c r="I5808" s="21"/>
      <c r="M5808" s="10"/>
      <c r="N5808" s="10"/>
      <c r="P5808" s="10"/>
      <c r="Q5808" s="22"/>
    </row>
    <row r="5809" customFormat="false" ht="15.75" hidden="false" customHeight="false" outlineLevel="0" collapsed="false">
      <c r="A5809" s="20" t="n">
        <v>46163</v>
      </c>
      <c r="B5809" s="15" t="s">
        <v>504</v>
      </c>
      <c r="C5809" s="15" t="s">
        <v>63</v>
      </c>
      <c r="D5809" s="15" t="s">
        <v>551</v>
      </c>
      <c r="E5809" s="15" t="n">
        <v>2</v>
      </c>
      <c r="H5809" s="10"/>
      <c r="I5809" s="21"/>
      <c r="M5809" s="10"/>
      <c r="N5809" s="10"/>
      <c r="P5809" s="10"/>
      <c r="Q5809" s="22"/>
    </row>
    <row r="5810" customFormat="false" ht="15.75" hidden="false" customHeight="false" outlineLevel="0" collapsed="false">
      <c r="A5810" s="20" t="n">
        <v>46163</v>
      </c>
      <c r="B5810" s="15" t="s">
        <v>504</v>
      </c>
      <c r="C5810" s="15" t="s">
        <v>17</v>
      </c>
      <c r="D5810" s="15" t="s">
        <v>554</v>
      </c>
      <c r="E5810" s="15" t="n">
        <v>2</v>
      </c>
      <c r="H5810" s="10"/>
      <c r="I5810" s="21"/>
      <c r="M5810" s="10"/>
      <c r="N5810" s="10"/>
      <c r="P5810" s="10"/>
      <c r="Q5810" s="22"/>
    </row>
    <row r="5811" customFormat="false" ht="15.75" hidden="false" customHeight="false" outlineLevel="0" collapsed="false">
      <c r="A5811" s="20" t="n">
        <v>46163</v>
      </c>
      <c r="B5811" s="15" t="s">
        <v>514</v>
      </c>
      <c r="C5811" s="15" t="s">
        <v>55</v>
      </c>
      <c r="D5811" s="15" t="s">
        <v>539</v>
      </c>
      <c r="E5811" s="15" t="n">
        <v>5</v>
      </c>
      <c r="H5811" s="10"/>
      <c r="I5811" s="21"/>
      <c r="M5811" s="10"/>
      <c r="N5811" s="10"/>
      <c r="P5811" s="10"/>
      <c r="Q5811" s="22"/>
    </row>
    <row r="5812" customFormat="false" ht="15.75" hidden="false" customHeight="false" outlineLevel="0" collapsed="false">
      <c r="A5812" s="20" t="n">
        <v>46163</v>
      </c>
      <c r="B5812" s="15" t="s">
        <v>514</v>
      </c>
      <c r="C5812" s="15" t="s">
        <v>57</v>
      </c>
      <c r="D5812" s="15" t="s">
        <v>553</v>
      </c>
      <c r="E5812" s="15" t="n">
        <v>1</v>
      </c>
      <c r="H5812" s="10"/>
      <c r="I5812" s="21"/>
      <c r="M5812" s="10"/>
      <c r="N5812" s="10"/>
      <c r="P5812" s="10"/>
      <c r="Q5812" s="22"/>
    </row>
    <row r="5813" customFormat="false" ht="15.75" hidden="false" customHeight="false" outlineLevel="0" collapsed="false">
      <c r="A5813" s="20" t="n">
        <v>46163</v>
      </c>
      <c r="B5813" s="15" t="s">
        <v>514</v>
      </c>
      <c r="C5813" s="15" t="s">
        <v>49</v>
      </c>
      <c r="D5813" s="15" t="s">
        <v>537</v>
      </c>
      <c r="E5813" s="15" t="n">
        <v>1</v>
      </c>
      <c r="H5813" s="10"/>
      <c r="I5813" s="21"/>
      <c r="M5813" s="10"/>
      <c r="N5813" s="10"/>
      <c r="P5813" s="10"/>
      <c r="Q5813" s="22"/>
    </row>
    <row r="5814" customFormat="false" ht="15.75" hidden="false" customHeight="false" outlineLevel="0" collapsed="false">
      <c r="A5814" s="20" t="n">
        <v>46163</v>
      </c>
      <c r="B5814" s="15" t="s">
        <v>514</v>
      </c>
      <c r="C5814" s="15" t="s">
        <v>47</v>
      </c>
      <c r="D5814" s="15" t="s">
        <v>549</v>
      </c>
      <c r="E5814" s="15" t="n">
        <v>4</v>
      </c>
      <c r="H5814" s="10"/>
      <c r="I5814" s="21"/>
      <c r="M5814" s="10"/>
      <c r="N5814" s="10"/>
      <c r="P5814" s="10"/>
      <c r="Q5814" s="22"/>
    </row>
    <row r="5815" customFormat="false" ht="15.75" hidden="false" customHeight="false" outlineLevel="0" collapsed="false">
      <c r="A5815" s="20" t="n">
        <v>46163</v>
      </c>
      <c r="B5815" s="15" t="s">
        <v>514</v>
      </c>
      <c r="C5815" s="15" t="s">
        <v>81</v>
      </c>
      <c r="D5815" s="15" t="s">
        <v>534</v>
      </c>
      <c r="E5815" s="15" t="n">
        <v>7</v>
      </c>
      <c r="H5815" s="10"/>
      <c r="I5815" s="21"/>
      <c r="M5815" s="10"/>
      <c r="N5815" s="10"/>
      <c r="P5815" s="10"/>
      <c r="Q5815" s="22"/>
    </row>
    <row r="5816" customFormat="false" ht="15.75" hidden="false" customHeight="false" outlineLevel="0" collapsed="false">
      <c r="A5816" s="20" t="n">
        <v>46163</v>
      </c>
      <c r="B5816" s="15" t="s">
        <v>514</v>
      </c>
      <c r="C5816" s="15" t="s">
        <v>63</v>
      </c>
      <c r="D5816" s="15" t="s">
        <v>551</v>
      </c>
      <c r="E5816" s="15" t="n">
        <v>1</v>
      </c>
      <c r="H5816" s="10"/>
      <c r="I5816" s="21"/>
      <c r="M5816" s="10"/>
      <c r="N5816" s="10"/>
      <c r="P5816" s="10"/>
      <c r="Q5816" s="22"/>
    </row>
    <row r="5817" customFormat="false" ht="15.75" hidden="false" customHeight="false" outlineLevel="0" collapsed="false">
      <c r="A5817" s="20" t="n">
        <v>46163</v>
      </c>
      <c r="B5817" s="15" t="s">
        <v>514</v>
      </c>
      <c r="C5817" s="15" t="s">
        <v>17</v>
      </c>
      <c r="D5817" s="15" t="s">
        <v>554</v>
      </c>
      <c r="E5817" s="15" t="n">
        <v>1</v>
      </c>
      <c r="H5817" s="10"/>
      <c r="I5817" s="21"/>
      <c r="M5817" s="10"/>
      <c r="N5817" s="10"/>
      <c r="P5817" s="10"/>
      <c r="Q5817" s="22"/>
    </row>
    <row r="5818" customFormat="false" ht="15.75" hidden="false" customHeight="false" outlineLevel="0" collapsed="false">
      <c r="A5818" s="20" t="n">
        <v>46164</v>
      </c>
      <c r="B5818" s="15" t="s">
        <v>453</v>
      </c>
      <c r="C5818" s="15" t="s">
        <v>47</v>
      </c>
      <c r="D5818" s="15" t="s">
        <v>549</v>
      </c>
      <c r="E5818" s="15" t="n">
        <v>4</v>
      </c>
      <c r="H5818" s="10"/>
      <c r="I5818" s="21"/>
      <c r="M5818" s="10"/>
      <c r="N5818" s="10"/>
      <c r="P5818" s="10"/>
      <c r="Q5818" s="22"/>
    </row>
    <row r="5819" customFormat="false" ht="15.75" hidden="false" customHeight="false" outlineLevel="0" collapsed="false">
      <c r="A5819" s="20" t="n">
        <v>46164</v>
      </c>
      <c r="B5819" s="15" t="s">
        <v>453</v>
      </c>
      <c r="C5819" s="15" t="s">
        <v>55</v>
      </c>
      <c r="D5819" s="15" t="s">
        <v>539</v>
      </c>
      <c r="E5819" s="15" t="n">
        <v>8</v>
      </c>
      <c r="H5819" s="10"/>
      <c r="I5819" s="21"/>
      <c r="M5819" s="10"/>
      <c r="N5819" s="10"/>
      <c r="P5819" s="10"/>
      <c r="Q5819" s="22"/>
    </row>
    <row r="5820" customFormat="false" ht="15.75" hidden="false" customHeight="false" outlineLevel="0" collapsed="false">
      <c r="A5820" s="20" t="n">
        <v>46164</v>
      </c>
      <c r="B5820" s="15" t="s">
        <v>453</v>
      </c>
      <c r="C5820" s="15" t="s">
        <v>81</v>
      </c>
      <c r="D5820" s="15" t="s">
        <v>534</v>
      </c>
      <c r="E5820" s="15" t="n">
        <v>16</v>
      </c>
      <c r="H5820" s="10"/>
      <c r="I5820" s="21"/>
      <c r="M5820" s="10"/>
      <c r="N5820" s="10"/>
      <c r="P5820" s="10"/>
      <c r="Q5820" s="22"/>
    </row>
    <row r="5821" customFormat="false" ht="15.75" hidden="false" customHeight="false" outlineLevel="0" collapsed="false">
      <c r="A5821" s="20" t="n">
        <v>46164</v>
      </c>
      <c r="B5821" s="15" t="s">
        <v>453</v>
      </c>
      <c r="C5821" s="15" t="s">
        <v>39</v>
      </c>
      <c r="D5821" s="15" t="s">
        <v>550</v>
      </c>
      <c r="E5821" s="15" t="n">
        <v>4</v>
      </c>
      <c r="H5821" s="10"/>
      <c r="I5821" s="21"/>
      <c r="M5821" s="10"/>
      <c r="N5821" s="10"/>
      <c r="P5821" s="10"/>
      <c r="Q5821" s="22"/>
    </row>
    <row r="5822" customFormat="false" ht="15.75" hidden="false" customHeight="false" outlineLevel="0" collapsed="false">
      <c r="A5822" s="20" t="n">
        <v>46164</v>
      </c>
      <c r="B5822" s="15" t="s">
        <v>453</v>
      </c>
      <c r="C5822" s="15" t="s">
        <v>63</v>
      </c>
      <c r="D5822" s="15" t="s">
        <v>551</v>
      </c>
      <c r="E5822" s="15" t="n">
        <v>2</v>
      </c>
      <c r="H5822" s="10"/>
      <c r="I5822" s="21"/>
      <c r="M5822" s="10"/>
      <c r="N5822" s="10"/>
      <c r="P5822" s="10"/>
      <c r="Q5822" s="22"/>
    </row>
    <row r="5823" customFormat="false" ht="15.75" hidden="false" customHeight="false" outlineLevel="0" collapsed="false">
      <c r="A5823" s="20" t="n">
        <v>46164</v>
      </c>
      <c r="B5823" s="15" t="s">
        <v>453</v>
      </c>
      <c r="C5823" s="15" t="s">
        <v>35</v>
      </c>
      <c r="D5823" s="15" t="s">
        <v>552</v>
      </c>
      <c r="E5823" s="15" t="n">
        <v>4</v>
      </c>
      <c r="H5823" s="10"/>
      <c r="I5823" s="21"/>
      <c r="M5823" s="10"/>
      <c r="N5823" s="10"/>
      <c r="P5823" s="10"/>
      <c r="Q5823" s="22"/>
    </row>
    <row r="5824" customFormat="false" ht="15.75" hidden="false" customHeight="false" outlineLevel="0" collapsed="false">
      <c r="A5824" s="20" t="n">
        <v>46164</v>
      </c>
      <c r="B5824" s="15" t="s">
        <v>466</v>
      </c>
      <c r="C5824" s="15" t="s">
        <v>570</v>
      </c>
      <c r="D5824" s="15" t="s">
        <v>571</v>
      </c>
      <c r="E5824" s="15" t="n">
        <v>6</v>
      </c>
      <c r="H5824" s="10"/>
      <c r="I5824" s="21"/>
      <c r="M5824" s="10"/>
      <c r="N5824" s="10"/>
      <c r="P5824" s="10"/>
      <c r="Q5824" s="22"/>
    </row>
    <row r="5825" customFormat="false" ht="15.75" hidden="false" customHeight="false" outlineLevel="0" collapsed="false">
      <c r="A5825" s="20" t="n">
        <v>46164</v>
      </c>
      <c r="B5825" s="15" t="s">
        <v>466</v>
      </c>
      <c r="C5825" s="15" t="s">
        <v>565</v>
      </c>
      <c r="D5825" s="15" t="s">
        <v>566</v>
      </c>
      <c r="E5825" s="15" t="n">
        <v>4</v>
      </c>
      <c r="H5825" s="10"/>
      <c r="I5825" s="21"/>
      <c r="M5825" s="10"/>
      <c r="N5825" s="10"/>
      <c r="P5825" s="10"/>
      <c r="Q5825" s="22"/>
    </row>
    <row r="5826" customFormat="false" ht="15.75" hidden="false" customHeight="false" outlineLevel="0" collapsed="false">
      <c r="A5826" s="20" t="n">
        <v>46164</v>
      </c>
      <c r="B5826" s="15" t="s">
        <v>466</v>
      </c>
      <c r="C5826" s="15" t="s">
        <v>69</v>
      </c>
      <c r="D5826" s="15" t="s">
        <v>535</v>
      </c>
      <c r="E5826" s="15" t="n">
        <v>5</v>
      </c>
      <c r="H5826" s="10"/>
      <c r="I5826" s="21"/>
      <c r="M5826" s="10"/>
      <c r="N5826" s="10"/>
      <c r="P5826" s="10"/>
      <c r="Q5826" s="22"/>
    </row>
    <row r="5827" customFormat="false" ht="15.75" hidden="false" customHeight="false" outlineLevel="0" collapsed="false">
      <c r="A5827" s="20" t="n">
        <v>46164</v>
      </c>
      <c r="B5827" s="15" t="s">
        <v>466</v>
      </c>
      <c r="C5827" s="15" t="s">
        <v>547</v>
      </c>
      <c r="D5827" s="15" t="s">
        <v>548</v>
      </c>
      <c r="E5827" s="15" t="n">
        <v>6</v>
      </c>
      <c r="H5827" s="10"/>
      <c r="I5827" s="21"/>
      <c r="M5827" s="10"/>
      <c r="N5827" s="10"/>
      <c r="P5827" s="10"/>
      <c r="Q5827" s="22"/>
    </row>
    <row r="5828" customFormat="false" ht="15.75" hidden="false" customHeight="false" outlineLevel="0" collapsed="false">
      <c r="A5828" s="20" t="n">
        <v>46164</v>
      </c>
      <c r="B5828" s="15" t="s">
        <v>466</v>
      </c>
      <c r="C5828" s="15" t="s">
        <v>37</v>
      </c>
      <c r="D5828" s="15" t="s">
        <v>561</v>
      </c>
      <c r="E5828" s="15" t="n">
        <v>3</v>
      </c>
      <c r="H5828" s="10"/>
      <c r="I5828" s="21"/>
      <c r="M5828" s="10"/>
      <c r="N5828" s="10"/>
      <c r="P5828" s="10"/>
      <c r="Q5828" s="22"/>
    </row>
    <row r="5829" customFormat="false" ht="15.75" hidden="false" customHeight="false" outlineLevel="0" collapsed="false">
      <c r="A5829" s="20" t="n">
        <v>46164</v>
      </c>
      <c r="B5829" s="15" t="s">
        <v>466</v>
      </c>
      <c r="C5829" s="15" t="s">
        <v>47</v>
      </c>
      <c r="D5829" s="15" t="s">
        <v>549</v>
      </c>
      <c r="E5829" s="15" t="n">
        <v>2</v>
      </c>
      <c r="H5829" s="10"/>
      <c r="I5829" s="21"/>
      <c r="M5829" s="10"/>
      <c r="N5829" s="10"/>
      <c r="P5829" s="10"/>
      <c r="Q5829" s="22"/>
    </row>
    <row r="5830" customFormat="false" ht="15.75" hidden="false" customHeight="false" outlineLevel="0" collapsed="false">
      <c r="A5830" s="20" t="n">
        <v>46164</v>
      </c>
      <c r="B5830" s="15" t="s">
        <v>466</v>
      </c>
      <c r="C5830" s="15" t="s">
        <v>81</v>
      </c>
      <c r="D5830" s="15" t="s">
        <v>534</v>
      </c>
      <c r="E5830" s="15" t="n">
        <v>13</v>
      </c>
      <c r="H5830" s="10"/>
      <c r="I5830" s="21"/>
      <c r="M5830" s="10"/>
      <c r="N5830" s="10"/>
      <c r="P5830" s="10"/>
      <c r="Q5830" s="22"/>
    </row>
    <row r="5831" customFormat="false" ht="15.75" hidden="false" customHeight="false" outlineLevel="0" collapsed="false">
      <c r="A5831" s="20" t="n">
        <v>46164</v>
      </c>
      <c r="B5831" s="15" t="s">
        <v>466</v>
      </c>
      <c r="C5831" s="15" t="s">
        <v>55</v>
      </c>
      <c r="D5831" s="15" t="s">
        <v>539</v>
      </c>
      <c r="E5831" s="15" t="n">
        <v>2</v>
      </c>
      <c r="H5831" s="10"/>
      <c r="I5831" s="21"/>
      <c r="M5831" s="10"/>
      <c r="N5831" s="10"/>
      <c r="P5831" s="10"/>
      <c r="Q5831" s="22"/>
    </row>
    <row r="5832" customFormat="false" ht="15.75" hidden="false" customHeight="false" outlineLevel="0" collapsed="false">
      <c r="A5832" s="20" t="n">
        <v>46164</v>
      </c>
      <c r="B5832" s="15" t="s">
        <v>466</v>
      </c>
      <c r="C5832" s="15" t="s">
        <v>567</v>
      </c>
      <c r="D5832" s="15" t="s">
        <v>568</v>
      </c>
      <c r="E5832" s="15" t="n">
        <v>4</v>
      </c>
      <c r="H5832" s="10"/>
      <c r="I5832" s="21"/>
      <c r="M5832" s="10"/>
      <c r="N5832" s="10"/>
      <c r="P5832" s="10"/>
      <c r="Q5832" s="22"/>
    </row>
    <row r="5833" customFormat="false" ht="15.75" hidden="false" customHeight="false" outlineLevel="0" collapsed="false">
      <c r="A5833" s="20" t="n">
        <v>46164</v>
      </c>
      <c r="B5833" s="15" t="s">
        <v>466</v>
      </c>
      <c r="C5833" s="15" t="s">
        <v>545</v>
      </c>
      <c r="D5833" s="15" t="s">
        <v>546</v>
      </c>
      <c r="E5833" s="15" t="n">
        <v>4</v>
      </c>
      <c r="H5833" s="10"/>
      <c r="I5833" s="21"/>
      <c r="M5833" s="10"/>
      <c r="N5833" s="10"/>
      <c r="P5833" s="10"/>
      <c r="Q5833" s="22"/>
    </row>
    <row r="5834" customFormat="false" ht="15.75" hidden="false" customHeight="false" outlineLevel="0" collapsed="false">
      <c r="A5834" s="20" t="n">
        <v>46164</v>
      </c>
      <c r="B5834" s="15" t="s">
        <v>466</v>
      </c>
      <c r="C5834" s="15" t="s">
        <v>543</v>
      </c>
      <c r="D5834" s="15" t="s">
        <v>544</v>
      </c>
      <c r="E5834" s="15" t="n">
        <v>2</v>
      </c>
      <c r="H5834" s="10"/>
      <c r="I5834" s="21"/>
      <c r="M5834" s="10"/>
      <c r="N5834" s="10"/>
      <c r="P5834" s="10"/>
      <c r="Q5834" s="22"/>
    </row>
    <row r="5835" customFormat="false" ht="15.75" hidden="false" customHeight="false" outlineLevel="0" collapsed="false">
      <c r="A5835" s="20" t="n">
        <v>46164</v>
      </c>
      <c r="B5835" s="15" t="s">
        <v>466</v>
      </c>
      <c r="C5835" s="15" t="s">
        <v>83</v>
      </c>
      <c r="D5835" s="15" t="s">
        <v>581</v>
      </c>
      <c r="E5835" s="15" t="n">
        <v>1</v>
      </c>
      <c r="H5835" s="10"/>
      <c r="I5835" s="21"/>
      <c r="M5835" s="10"/>
      <c r="N5835" s="10"/>
      <c r="P5835" s="10"/>
      <c r="Q5835" s="22"/>
    </row>
    <row r="5836" customFormat="false" ht="15.75" hidden="false" customHeight="false" outlineLevel="0" collapsed="false">
      <c r="A5836" s="20" t="n">
        <v>46164</v>
      </c>
      <c r="B5836" s="15" t="s">
        <v>466</v>
      </c>
      <c r="C5836" s="15" t="s">
        <v>85</v>
      </c>
      <c r="D5836" s="15" t="s">
        <v>582</v>
      </c>
      <c r="E5836" s="15" t="n">
        <v>1</v>
      </c>
      <c r="H5836" s="10"/>
      <c r="I5836" s="21"/>
      <c r="M5836" s="10"/>
      <c r="N5836" s="10"/>
      <c r="P5836" s="10"/>
      <c r="Q5836" s="22"/>
    </row>
    <row r="5837" customFormat="false" ht="15.75" hidden="false" customHeight="false" outlineLevel="0" collapsed="false">
      <c r="A5837" s="20" t="n">
        <v>46164</v>
      </c>
      <c r="B5837" s="15" t="s">
        <v>466</v>
      </c>
      <c r="C5837" s="15" t="s">
        <v>555</v>
      </c>
      <c r="D5837" s="15" t="s">
        <v>556</v>
      </c>
      <c r="E5837" s="15" t="n">
        <v>3</v>
      </c>
      <c r="H5837" s="10"/>
      <c r="I5837" s="21"/>
      <c r="M5837" s="10"/>
      <c r="N5837" s="10"/>
      <c r="P5837" s="10"/>
      <c r="Q5837" s="22"/>
    </row>
    <row r="5838" customFormat="false" ht="15.75" hidden="false" customHeight="false" outlineLevel="0" collapsed="false">
      <c r="A5838" s="20" t="n">
        <v>46164</v>
      </c>
      <c r="B5838" s="15" t="s">
        <v>466</v>
      </c>
      <c r="C5838" s="15" t="s">
        <v>25</v>
      </c>
      <c r="D5838" s="15" t="s">
        <v>26</v>
      </c>
      <c r="E5838" s="15" t="n">
        <v>1</v>
      </c>
      <c r="H5838" s="10"/>
      <c r="I5838" s="21"/>
      <c r="M5838" s="10"/>
      <c r="N5838" s="10"/>
      <c r="P5838" s="10"/>
      <c r="Q5838" s="22"/>
    </row>
    <row r="5839" customFormat="false" ht="15.75" hidden="false" customHeight="false" outlineLevel="0" collapsed="false">
      <c r="A5839" s="20" t="n">
        <v>46164</v>
      </c>
      <c r="B5839" s="15" t="s">
        <v>466</v>
      </c>
      <c r="C5839" s="15" t="s">
        <v>77</v>
      </c>
      <c r="D5839" s="15" t="s">
        <v>78</v>
      </c>
      <c r="E5839" s="15" t="n">
        <v>2</v>
      </c>
      <c r="H5839" s="10"/>
      <c r="I5839" s="21"/>
      <c r="M5839" s="10"/>
      <c r="N5839" s="10"/>
      <c r="P5839" s="10"/>
      <c r="Q5839" s="22"/>
    </row>
    <row r="5840" customFormat="false" ht="15.75" hidden="false" customHeight="false" outlineLevel="0" collapsed="false">
      <c r="A5840" s="20" t="n">
        <v>46164</v>
      </c>
      <c r="B5840" s="15" t="s">
        <v>466</v>
      </c>
      <c r="C5840" s="15" t="s">
        <v>11</v>
      </c>
      <c r="D5840" s="15" t="s">
        <v>572</v>
      </c>
      <c r="E5840" s="15" t="n">
        <v>6</v>
      </c>
      <c r="H5840" s="10"/>
      <c r="I5840" s="21"/>
      <c r="M5840" s="10"/>
      <c r="N5840" s="10"/>
      <c r="P5840" s="10"/>
      <c r="Q5840" s="22"/>
    </row>
    <row r="5841" customFormat="false" ht="15.75" hidden="false" customHeight="false" outlineLevel="0" collapsed="false">
      <c r="A5841" s="20" t="n">
        <v>46164</v>
      </c>
      <c r="B5841" s="15" t="s">
        <v>466</v>
      </c>
      <c r="C5841" s="15" t="s">
        <v>65</v>
      </c>
      <c r="D5841" s="15" t="s">
        <v>580</v>
      </c>
      <c r="E5841" s="15" t="n">
        <v>1</v>
      </c>
      <c r="H5841" s="10"/>
      <c r="I5841" s="21"/>
      <c r="M5841" s="10"/>
      <c r="N5841" s="10"/>
      <c r="P5841" s="10"/>
      <c r="Q5841" s="22"/>
    </row>
    <row r="5842" customFormat="false" ht="15.75" hidden="false" customHeight="false" outlineLevel="0" collapsed="false">
      <c r="A5842" s="20" t="n">
        <v>46164</v>
      </c>
      <c r="B5842" s="15" t="s">
        <v>466</v>
      </c>
      <c r="C5842" s="15" t="s">
        <v>33</v>
      </c>
      <c r="D5842" s="15" t="s">
        <v>536</v>
      </c>
      <c r="E5842" s="15" t="n">
        <v>2</v>
      </c>
      <c r="H5842" s="10"/>
      <c r="I5842" s="21"/>
      <c r="M5842" s="10"/>
      <c r="N5842" s="10"/>
      <c r="P5842" s="10"/>
      <c r="Q5842" s="22"/>
    </row>
    <row r="5843" customFormat="false" ht="15.75" hidden="false" customHeight="false" outlineLevel="0" collapsed="false">
      <c r="A5843" s="20" t="n">
        <v>46164</v>
      </c>
      <c r="B5843" s="15" t="s">
        <v>466</v>
      </c>
      <c r="C5843" s="15" t="s">
        <v>21</v>
      </c>
      <c r="D5843" s="15" t="s">
        <v>583</v>
      </c>
      <c r="E5843" s="15" t="n">
        <v>1</v>
      </c>
      <c r="H5843" s="10"/>
      <c r="I5843" s="21"/>
      <c r="M5843" s="10"/>
      <c r="N5843" s="10"/>
      <c r="P5843" s="10"/>
      <c r="Q5843" s="22"/>
    </row>
    <row r="5844" customFormat="false" ht="15.75" hidden="false" customHeight="false" outlineLevel="0" collapsed="false">
      <c r="A5844" s="20" t="n">
        <v>46164</v>
      </c>
      <c r="B5844" s="15" t="s">
        <v>466</v>
      </c>
      <c r="C5844" s="15" t="s">
        <v>45</v>
      </c>
      <c r="D5844" s="15" t="s">
        <v>540</v>
      </c>
      <c r="E5844" s="15" t="n">
        <v>1</v>
      </c>
      <c r="H5844" s="10"/>
      <c r="I5844" s="21"/>
      <c r="M5844" s="10"/>
      <c r="N5844" s="10"/>
      <c r="P5844" s="10"/>
      <c r="Q5844" s="22"/>
    </row>
    <row r="5845" customFormat="false" ht="15.75" hidden="false" customHeight="false" outlineLevel="0" collapsed="false">
      <c r="A5845" s="20" t="n">
        <v>46164</v>
      </c>
      <c r="B5845" s="15" t="s">
        <v>466</v>
      </c>
      <c r="C5845" s="15" t="s">
        <v>59</v>
      </c>
      <c r="D5845" s="15" t="s">
        <v>562</v>
      </c>
      <c r="E5845" s="15" t="n">
        <v>2</v>
      </c>
      <c r="H5845" s="10"/>
      <c r="I5845" s="21"/>
      <c r="M5845" s="10"/>
      <c r="N5845" s="10"/>
      <c r="P5845" s="10"/>
      <c r="Q5845" s="22"/>
    </row>
    <row r="5846" customFormat="false" ht="15.75" hidden="false" customHeight="false" outlineLevel="0" collapsed="false">
      <c r="A5846" s="20" t="n">
        <v>46164</v>
      </c>
      <c r="B5846" s="15" t="s">
        <v>466</v>
      </c>
      <c r="C5846" s="15" t="s">
        <v>79</v>
      </c>
      <c r="D5846" s="15" t="s">
        <v>564</v>
      </c>
      <c r="E5846" s="15" t="n">
        <v>1</v>
      </c>
      <c r="H5846" s="10"/>
      <c r="I5846" s="21"/>
      <c r="M5846" s="10"/>
      <c r="N5846" s="10"/>
      <c r="P5846" s="10"/>
      <c r="Q5846" s="22"/>
    </row>
    <row r="5847" customFormat="false" ht="15.75" hidden="false" customHeight="false" outlineLevel="0" collapsed="false">
      <c r="A5847" s="20" t="n">
        <v>46164</v>
      </c>
      <c r="B5847" s="15" t="s">
        <v>484</v>
      </c>
      <c r="C5847" s="15" t="s">
        <v>69</v>
      </c>
      <c r="D5847" s="15" t="s">
        <v>535</v>
      </c>
      <c r="E5847" s="15" t="n">
        <v>2</v>
      </c>
      <c r="H5847" s="10"/>
      <c r="I5847" s="21"/>
      <c r="M5847" s="10"/>
      <c r="N5847" s="10"/>
      <c r="P5847" s="10"/>
      <c r="Q5847" s="22"/>
    </row>
    <row r="5848" customFormat="false" ht="15.75" hidden="false" customHeight="false" outlineLevel="0" collapsed="false">
      <c r="A5848" s="20" t="n">
        <v>46164</v>
      </c>
      <c r="B5848" s="15" t="s">
        <v>484</v>
      </c>
      <c r="C5848" s="15" t="s">
        <v>81</v>
      </c>
      <c r="D5848" s="15" t="s">
        <v>534</v>
      </c>
      <c r="E5848" s="15" t="n">
        <v>5</v>
      </c>
      <c r="H5848" s="10"/>
      <c r="I5848" s="21"/>
      <c r="M5848" s="10"/>
      <c r="N5848" s="10"/>
      <c r="P5848" s="10"/>
      <c r="Q5848" s="22"/>
    </row>
    <row r="5849" customFormat="false" ht="15.75" hidden="false" customHeight="false" outlineLevel="0" collapsed="false">
      <c r="A5849" s="20" t="n">
        <v>46164</v>
      </c>
      <c r="B5849" s="15" t="s">
        <v>484</v>
      </c>
      <c r="C5849" s="15" t="s">
        <v>37</v>
      </c>
      <c r="D5849" s="15" t="s">
        <v>561</v>
      </c>
      <c r="E5849" s="15" t="n">
        <v>2</v>
      </c>
      <c r="H5849" s="10"/>
      <c r="I5849" s="21"/>
      <c r="M5849" s="10"/>
      <c r="N5849" s="10"/>
      <c r="P5849" s="10"/>
      <c r="Q5849" s="22"/>
    </row>
    <row r="5850" customFormat="false" ht="15.75" hidden="false" customHeight="false" outlineLevel="0" collapsed="false">
      <c r="A5850" s="20" t="n">
        <v>46164</v>
      </c>
      <c r="B5850" s="15" t="s">
        <v>484</v>
      </c>
      <c r="C5850" s="15" t="s">
        <v>547</v>
      </c>
      <c r="D5850" s="15" t="s">
        <v>548</v>
      </c>
      <c r="E5850" s="15" t="n">
        <v>1</v>
      </c>
      <c r="H5850" s="10"/>
      <c r="I5850" s="21"/>
      <c r="M5850" s="10"/>
      <c r="N5850" s="10"/>
      <c r="P5850" s="10"/>
      <c r="Q5850" s="22"/>
    </row>
    <row r="5851" customFormat="false" ht="15.75" hidden="false" customHeight="false" outlineLevel="0" collapsed="false">
      <c r="A5851" s="20" t="n">
        <v>46164</v>
      </c>
      <c r="B5851" s="15" t="s">
        <v>484</v>
      </c>
      <c r="C5851" s="15" t="s">
        <v>33</v>
      </c>
      <c r="D5851" s="15" t="s">
        <v>536</v>
      </c>
      <c r="E5851" s="15" t="n">
        <v>2</v>
      </c>
      <c r="H5851" s="10"/>
      <c r="I5851" s="21"/>
      <c r="M5851" s="10"/>
      <c r="N5851" s="10"/>
      <c r="P5851" s="10"/>
      <c r="Q5851" s="22"/>
    </row>
    <row r="5852" customFormat="false" ht="15.75" hidden="false" customHeight="false" outlineLevel="0" collapsed="false">
      <c r="A5852" s="20" t="n">
        <v>46164</v>
      </c>
      <c r="B5852" s="15" t="s">
        <v>484</v>
      </c>
      <c r="C5852" s="15" t="s">
        <v>77</v>
      </c>
      <c r="D5852" s="15" t="s">
        <v>78</v>
      </c>
      <c r="E5852" s="15" t="n">
        <v>2</v>
      </c>
      <c r="H5852" s="10"/>
      <c r="I5852" s="21"/>
      <c r="M5852" s="10"/>
      <c r="N5852" s="10"/>
      <c r="P5852" s="10"/>
      <c r="Q5852" s="22"/>
    </row>
    <row r="5853" customFormat="false" ht="15.75" hidden="false" customHeight="false" outlineLevel="0" collapsed="false">
      <c r="A5853" s="20" t="n">
        <v>46164</v>
      </c>
      <c r="B5853" s="15" t="s">
        <v>484</v>
      </c>
      <c r="C5853" s="15" t="s">
        <v>578</v>
      </c>
      <c r="D5853" s="15" t="s">
        <v>579</v>
      </c>
      <c r="E5853" s="15" t="n">
        <v>1</v>
      </c>
      <c r="H5853" s="10"/>
      <c r="I5853" s="21"/>
      <c r="M5853" s="10"/>
      <c r="N5853" s="10"/>
      <c r="P5853" s="10"/>
      <c r="Q5853" s="22"/>
    </row>
    <row r="5854" customFormat="false" ht="15.75" hidden="false" customHeight="false" outlineLevel="0" collapsed="false">
      <c r="A5854" s="20" t="n">
        <v>46164</v>
      </c>
      <c r="B5854" s="15" t="s">
        <v>484</v>
      </c>
      <c r="C5854" s="15" t="s">
        <v>11</v>
      </c>
      <c r="D5854" s="15" t="s">
        <v>572</v>
      </c>
      <c r="E5854" s="15" t="n">
        <v>1</v>
      </c>
      <c r="H5854" s="10"/>
      <c r="I5854" s="21"/>
      <c r="M5854" s="10"/>
      <c r="N5854" s="10"/>
      <c r="P5854" s="10"/>
      <c r="Q5854" s="22"/>
    </row>
    <row r="5855" customFormat="false" ht="15.75" hidden="false" customHeight="false" outlineLevel="0" collapsed="false">
      <c r="A5855" s="20" t="n">
        <v>46164</v>
      </c>
      <c r="B5855" s="15" t="s">
        <v>504</v>
      </c>
      <c r="C5855" s="15" t="s">
        <v>47</v>
      </c>
      <c r="D5855" s="15" t="s">
        <v>549</v>
      </c>
      <c r="E5855" s="15" t="n">
        <v>6</v>
      </c>
      <c r="H5855" s="10"/>
      <c r="I5855" s="21"/>
      <c r="M5855" s="10"/>
      <c r="N5855" s="10"/>
      <c r="P5855" s="10"/>
      <c r="Q5855" s="22"/>
    </row>
    <row r="5856" customFormat="false" ht="15.75" hidden="false" customHeight="false" outlineLevel="0" collapsed="false">
      <c r="A5856" s="20" t="n">
        <v>46164</v>
      </c>
      <c r="B5856" s="15" t="s">
        <v>504</v>
      </c>
      <c r="C5856" s="15" t="s">
        <v>55</v>
      </c>
      <c r="D5856" s="15" t="s">
        <v>539</v>
      </c>
      <c r="E5856" s="15" t="n">
        <v>12</v>
      </c>
      <c r="H5856" s="10"/>
      <c r="I5856" s="21"/>
      <c r="M5856" s="10"/>
      <c r="N5856" s="10"/>
      <c r="P5856" s="10"/>
      <c r="Q5856" s="22"/>
    </row>
    <row r="5857" customFormat="false" ht="15.75" hidden="false" customHeight="false" outlineLevel="0" collapsed="false">
      <c r="A5857" s="20" t="n">
        <v>46164</v>
      </c>
      <c r="B5857" s="15" t="s">
        <v>504</v>
      </c>
      <c r="C5857" s="15" t="s">
        <v>81</v>
      </c>
      <c r="D5857" s="15" t="s">
        <v>534</v>
      </c>
      <c r="E5857" s="15" t="n">
        <v>18</v>
      </c>
      <c r="H5857" s="10"/>
      <c r="I5857" s="21"/>
      <c r="M5857" s="10"/>
      <c r="N5857" s="10"/>
      <c r="P5857" s="10"/>
      <c r="Q5857" s="22"/>
    </row>
    <row r="5858" customFormat="false" ht="15.75" hidden="false" customHeight="false" outlineLevel="0" collapsed="false">
      <c r="A5858" s="20" t="n">
        <v>46164</v>
      </c>
      <c r="B5858" s="15" t="s">
        <v>504</v>
      </c>
      <c r="C5858" s="15" t="s">
        <v>39</v>
      </c>
      <c r="D5858" s="15" t="s">
        <v>550</v>
      </c>
      <c r="E5858" s="15" t="n">
        <v>2</v>
      </c>
      <c r="H5858" s="10"/>
      <c r="I5858" s="21"/>
      <c r="M5858" s="10"/>
      <c r="N5858" s="10"/>
      <c r="P5858" s="10"/>
      <c r="Q5858" s="22"/>
    </row>
    <row r="5859" customFormat="false" ht="15.75" hidden="false" customHeight="false" outlineLevel="0" collapsed="false">
      <c r="A5859" s="20" t="n">
        <v>46164</v>
      </c>
      <c r="B5859" s="15" t="s">
        <v>504</v>
      </c>
      <c r="C5859" s="15" t="s">
        <v>63</v>
      </c>
      <c r="D5859" s="15" t="s">
        <v>551</v>
      </c>
      <c r="E5859" s="15" t="n">
        <v>2</v>
      </c>
      <c r="H5859" s="10"/>
      <c r="I5859" s="21"/>
      <c r="M5859" s="10"/>
      <c r="N5859" s="10"/>
      <c r="P5859" s="10"/>
      <c r="Q5859" s="22"/>
    </row>
    <row r="5860" customFormat="false" ht="15.75" hidden="false" customHeight="false" outlineLevel="0" collapsed="false">
      <c r="A5860" s="20" t="n">
        <v>46164</v>
      </c>
      <c r="B5860" s="15" t="s">
        <v>504</v>
      </c>
      <c r="C5860" s="15" t="s">
        <v>17</v>
      </c>
      <c r="D5860" s="15" t="s">
        <v>554</v>
      </c>
      <c r="E5860" s="15" t="n">
        <v>2</v>
      </c>
      <c r="H5860" s="10"/>
      <c r="I5860" s="21"/>
      <c r="M5860" s="10"/>
      <c r="N5860" s="10"/>
      <c r="P5860" s="10"/>
      <c r="Q5860" s="22"/>
    </row>
    <row r="5861" customFormat="false" ht="15.75" hidden="false" customHeight="false" outlineLevel="0" collapsed="false">
      <c r="A5861" s="20" t="n">
        <v>46164</v>
      </c>
      <c r="B5861" s="15" t="s">
        <v>514</v>
      </c>
      <c r="C5861" s="15" t="s">
        <v>55</v>
      </c>
      <c r="D5861" s="15" t="s">
        <v>539</v>
      </c>
      <c r="E5861" s="15" t="n">
        <v>5</v>
      </c>
      <c r="H5861" s="10"/>
      <c r="I5861" s="21"/>
      <c r="M5861" s="10"/>
      <c r="N5861" s="10"/>
      <c r="P5861" s="10"/>
      <c r="Q5861" s="22"/>
    </row>
    <row r="5862" customFormat="false" ht="15.75" hidden="false" customHeight="false" outlineLevel="0" collapsed="false">
      <c r="A5862" s="20" t="n">
        <v>46164</v>
      </c>
      <c r="B5862" s="15" t="s">
        <v>514</v>
      </c>
      <c r="C5862" s="15" t="s">
        <v>57</v>
      </c>
      <c r="D5862" s="15" t="s">
        <v>553</v>
      </c>
      <c r="E5862" s="15" t="n">
        <v>1</v>
      </c>
      <c r="H5862" s="10"/>
      <c r="I5862" s="21"/>
      <c r="M5862" s="10"/>
      <c r="N5862" s="10"/>
      <c r="P5862" s="10"/>
      <c r="Q5862" s="22"/>
    </row>
    <row r="5863" customFormat="false" ht="15.75" hidden="false" customHeight="false" outlineLevel="0" collapsed="false">
      <c r="A5863" s="20" t="n">
        <v>46164</v>
      </c>
      <c r="B5863" s="15" t="s">
        <v>514</v>
      </c>
      <c r="C5863" s="15" t="s">
        <v>49</v>
      </c>
      <c r="D5863" s="15" t="s">
        <v>537</v>
      </c>
      <c r="E5863" s="15" t="n">
        <v>1</v>
      </c>
      <c r="H5863" s="10"/>
      <c r="I5863" s="21"/>
      <c r="M5863" s="10"/>
      <c r="N5863" s="10"/>
      <c r="P5863" s="10"/>
      <c r="Q5863" s="22"/>
    </row>
    <row r="5864" customFormat="false" ht="15.75" hidden="false" customHeight="false" outlineLevel="0" collapsed="false">
      <c r="A5864" s="20" t="n">
        <v>46164</v>
      </c>
      <c r="B5864" s="15" t="s">
        <v>514</v>
      </c>
      <c r="C5864" s="15" t="s">
        <v>47</v>
      </c>
      <c r="D5864" s="15" t="s">
        <v>549</v>
      </c>
      <c r="E5864" s="15" t="n">
        <v>4</v>
      </c>
      <c r="H5864" s="10"/>
      <c r="I5864" s="21"/>
      <c r="M5864" s="10"/>
      <c r="N5864" s="10"/>
      <c r="P5864" s="10"/>
      <c r="Q5864" s="22"/>
    </row>
    <row r="5865" customFormat="false" ht="15.75" hidden="false" customHeight="false" outlineLevel="0" collapsed="false">
      <c r="A5865" s="20" t="n">
        <v>46164</v>
      </c>
      <c r="B5865" s="15" t="s">
        <v>514</v>
      </c>
      <c r="C5865" s="15" t="s">
        <v>81</v>
      </c>
      <c r="D5865" s="15" t="s">
        <v>534</v>
      </c>
      <c r="E5865" s="15" t="n">
        <v>7</v>
      </c>
      <c r="H5865" s="10"/>
      <c r="I5865" s="21"/>
      <c r="M5865" s="10"/>
      <c r="N5865" s="10"/>
      <c r="P5865" s="10"/>
      <c r="Q5865" s="22"/>
    </row>
    <row r="5866" customFormat="false" ht="15.75" hidden="false" customHeight="false" outlineLevel="0" collapsed="false">
      <c r="A5866" s="20" t="n">
        <v>46164</v>
      </c>
      <c r="B5866" s="15" t="s">
        <v>514</v>
      </c>
      <c r="C5866" s="15" t="s">
        <v>63</v>
      </c>
      <c r="D5866" s="15" t="s">
        <v>551</v>
      </c>
      <c r="E5866" s="15" t="n">
        <v>1</v>
      </c>
      <c r="H5866" s="10"/>
      <c r="I5866" s="21"/>
      <c r="M5866" s="10"/>
      <c r="N5866" s="10"/>
      <c r="P5866" s="10"/>
      <c r="Q5866" s="22"/>
    </row>
    <row r="5867" customFormat="false" ht="15.75" hidden="false" customHeight="false" outlineLevel="0" collapsed="false">
      <c r="A5867" s="20" t="n">
        <v>46164</v>
      </c>
      <c r="B5867" s="15" t="s">
        <v>514</v>
      </c>
      <c r="C5867" s="15" t="s">
        <v>17</v>
      </c>
      <c r="D5867" s="15" t="s">
        <v>554</v>
      </c>
      <c r="E5867" s="15" t="n">
        <v>1</v>
      </c>
      <c r="H5867" s="10"/>
      <c r="I5867" s="21"/>
      <c r="M5867" s="10"/>
      <c r="N5867" s="10"/>
      <c r="P5867" s="10"/>
      <c r="Q5867" s="22"/>
    </row>
    <row r="5868" customFormat="false" ht="15.75" hidden="false" customHeight="false" outlineLevel="0" collapsed="false">
      <c r="A5868" s="20" t="n">
        <v>46165</v>
      </c>
      <c r="B5868" s="15" t="s">
        <v>453</v>
      </c>
      <c r="C5868" s="15" t="s">
        <v>47</v>
      </c>
      <c r="D5868" s="15" t="s">
        <v>549</v>
      </c>
      <c r="E5868" s="15" t="n">
        <v>4</v>
      </c>
      <c r="H5868" s="10"/>
      <c r="I5868" s="21"/>
      <c r="M5868" s="10"/>
      <c r="N5868" s="10"/>
      <c r="P5868" s="10"/>
      <c r="Q5868" s="22"/>
    </row>
    <row r="5869" customFormat="false" ht="15.75" hidden="false" customHeight="false" outlineLevel="0" collapsed="false">
      <c r="A5869" s="20" t="n">
        <v>46165</v>
      </c>
      <c r="B5869" s="15" t="s">
        <v>453</v>
      </c>
      <c r="C5869" s="15" t="s">
        <v>55</v>
      </c>
      <c r="D5869" s="15" t="s">
        <v>539</v>
      </c>
      <c r="E5869" s="15" t="n">
        <v>8</v>
      </c>
      <c r="H5869" s="10"/>
      <c r="I5869" s="21"/>
      <c r="M5869" s="10"/>
      <c r="N5869" s="10"/>
      <c r="P5869" s="10"/>
      <c r="Q5869" s="22"/>
    </row>
    <row r="5870" customFormat="false" ht="15.75" hidden="false" customHeight="false" outlineLevel="0" collapsed="false">
      <c r="A5870" s="20" t="n">
        <v>46165</v>
      </c>
      <c r="B5870" s="15" t="s">
        <v>453</v>
      </c>
      <c r="C5870" s="15" t="s">
        <v>81</v>
      </c>
      <c r="D5870" s="15" t="s">
        <v>534</v>
      </c>
      <c r="E5870" s="15" t="n">
        <v>16</v>
      </c>
      <c r="H5870" s="10"/>
      <c r="I5870" s="21"/>
      <c r="M5870" s="10"/>
      <c r="N5870" s="10"/>
      <c r="P5870" s="10"/>
      <c r="Q5870" s="22"/>
    </row>
    <row r="5871" customFormat="false" ht="15.75" hidden="false" customHeight="false" outlineLevel="0" collapsed="false">
      <c r="A5871" s="20" t="n">
        <v>46165</v>
      </c>
      <c r="B5871" s="15" t="s">
        <v>453</v>
      </c>
      <c r="C5871" s="15" t="s">
        <v>39</v>
      </c>
      <c r="D5871" s="15" t="s">
        <v>550</v>
      </c>
      <c r="E5871" s="15" t="n">
        <v>4</v>
      </c>
      <c r="H5871" s="10"/>
      <c r="I5871" s="21"/>
      <c r="M5871" s="10"/>
      <c r="N5871" s="10"/>
      <c r="P5871" s="10"/>
      <c r="Q5871" s="22"/>
    </row>
    <row r="5872" customFormat="false" ht="15.75" hidden="false" customHeight="false" outlineLevel="0" collapsed="false">
      <c r="A5872" s="20" t="n">
        <v>46165</v>
      </c>
      <c r="B5872" s="15" t="s">
        <v>453</v>
      </c>
      <c r="C5872" s="15" t="s">
        <v>63</v>
      </c>
      <c r="D5872" s="15" t="s">
        <v>551</v>
      </c>
      <c r="E5872" s="15" t="n">
        <v>2</v>
      </c>
      <c r="H5872" s="10"/>
      <c r="I5872" s="21"/>
      <c r="M5872" s="10"/>
      <c r="N5872" s="10"/>
      <c r="P5872" s="10"/>
      <c r="Q5872" s="22"/>
    </row>
    <row r="5873" customFormat="false" ht="15.75" hidden="false" customHeight="false" outlineLevel="0" collapsed="false">
      <c r="A5873" s="20" t="n">
        <v>46165</v>
      </c>
      <c r="B5873" s="15" t="s">
        <v>453</v>
      </c>
      <c r="C5873" s="15" t="s">
        <v>35</v>
      </c>
      <c r="D5873" s="15" t="s">
        <v>552</v>
      </c>
      <c r="E5873" s="15" t="n">
        <v>4</v>
      </c>
      <c r="H5873" s="10"/>
      <c r="I5873" s="21"/>
      <c r="M5873" s="10"/>
      <c r="N5873" s="10"/>
      <c r="P5873" s="10"/>
      <c r="Q5873" s="22"/>
    </row>
    <row r="5874" customFormat="false" ht="15.75" hidden="false" customHeight="false" outlineLevel="0" collapsed="false">
      <c r="A5874" s="20" t="n">
        <v>46165</v>
      </c>
      <c r="B5874" s="15" t="s">
        <v>504</v>
      </c>
      <c r="C5874" s="15" t="s">
        <v>47</v>
      </c>
      <c r="D5874" s="15" t="s">
        <v>549</v>
      </c>
      <c r="E5874" s="15" t="n">
        <v>6</v>
      </c>
      <c r="H5874" s="10"/>
      <c r="I5874" s="21"/>
      <c r="M5874" s="10"/>
      <c r="N5874" s="10"/>
      <c r="P5874" s="10"/>
      <c r="Q5874" s="22"/>
    </row>
    <row r="5875" customFormat="false" ht="15.75" hidden="false" customHeight="false" outlineLevel="0" collapsed="false">
      <c r="A5875" s="20" t="n">
        <v>46165</v>
      </c>
      <c r="B5875" s="15" t="s">
        <v>504</v>
      </c>
      <c r="C5875" s="15" t="s">
        <v>55</v>
      </c>
      <c r="D5875" s="15" t="s">
        <v>539</v>
      </c>
      <c r="E5875" s="15" t="n">
        <v>12</v>
      </c>
      <c r="H5875" s="10"/>
      <c r="I5875" s="21"/>
      <c r="M5875" s="10"/>
      <c r="N5875" s="10"/>
      <c r="P5875" s="10"/>
      <c r="Q5875" s="22"/>
    </row>
    <row r="5876" customFormat="false" ht="15.75" hidden="false" customHeight="false" outlineLevel="0" collapsed="false">
      <c r="A5876" s="20" t="n">
        <v>46165</v>
      </c>
      <c r="B5876" s="15" t="s">
        <v>504</v>
      </c>
      <c r="C5876" s="15" t="s">
        <v>81</v>
      </c>
      <c r="D5876" s="15" t="s">
        <v>534</v>
      </c>
      <c r="E5876" s="15" t="n">
        <v>18</v>
      </c>
      <c r="H5876" s="10"/>
      <c r="I5876" s="21"/>
      <c r="M5876" s="10"/>
      <c r="N5876" s="10"/>
      <c r="P5876" s="10"/>
      <c r="Q5876" s="22"/>
    </row>
    <row r="5877" customFormat="false" ht="15.75" hidden="false" customHeight="false" outlineLevel="0" collapsed="false">
      <c r="A5877" s="20" t="n">
        <v>46165</v>
      </c>
      <c r="B5877" s="15" t="s">
        <v>504</v>
      </c>
      <c r="C5877" s="15" t="s">
        <v>39</v>
      </c>
      <c r="D5877" s="15" t="s">
        <v>550</v>
      </c>
      <c r="E5877" s="15" t="n">
        <v>2</v>
      </c>
      <c r="H5877" s="10"/>
      <c r="I5877" s="21"/>
      <c r="M5877" s="10"/>
      <c r="N5877" s="10"/>
      <c r="P5877" s="10"/>
      <c r="Q5877" s="22"/>
    </row>
    <row r="5878" customFormat="false" ht="15.75" hidden="false" customHeight="false" outlineLevel="0" collapsed="false">
      <c r="A5878" s="20" t="n">
        <v>46165</v>
      </c>
      <c r="B5878" s="15" t="s">
        <v>504</v>
      </c>
      <c r="C5878" s="15" t="s">
        <v>63</v>
      </c>
      <c r="D5878" s="15" t="s">
        <v>551</v>
      </c>
      <c r="E5878" s="15" t="n">
        <v>2</v>
      </c>
      <c r="H5878" s="10"/>
      <c r="I5878" s="21"/>
      <c r="M5878" s="10"/>
      <c r="N5878" s="10"/>
      <c r="P5878" s="10"/>
      <c r="Q5878" s="22"/>
    </row>
    <row r="5879" customFormat="false" ht="15.75" hidden="false" customHeight="false" outlineLevel="0" collapsed="false">
      <c r="A5879" s="20" t="n">
        <v>46165</v>
      </c>
      <c r="B5879" s="15" t="s">
        <v>504</v>
      </c>
      <c r="C5879" s="15" t="s">
        <v>17</v>
      </c>
      <c r="D5879" s="15" t="s">
        <v>554</v>
      </c>
      <c r="E5879" s="15" t="n">
        <v>2</v>
      </c>
      <c r="H5879" s="10"/>
      <c r="I5879" s="21"/>
      <c r="M5879" s="10"/>
      <c r="N5879" s="10"/>
      <c r="P5879" s="10"/>
      <c r="Q5879" s="22"/>
    </row>
    <row r="5880" customFormat="false" ht="15.75" hidden="false" customHeight="false" outlineLevel="0" collapsed="false">
      <c r="A5880" s="20" t="n">
        <v>46167</v>
      </c>
      <c r="B5880" s="15" t="s">
        <v>453</v>
      </c>
      <c r="C5880" s="15" t="s">
        <v>47</v>
      </c>
      <c r="D5880" s="15" t="s">
        <v>549</v>
      </c>
      <c r="E5880" s="15" t="n">
        <v>4</v>
      </c>
      <c r="H5880" s="10"/>
      <c r="I5880" s="21"/>
      <c r="M5880" s="10"/>
      <c r="N5880" s="10"/>
      <c r="P5880" s="10"/>
      <c r="Q5880" s="22"/>
    </row>
    <row r="5881" customFormat="false" ht="15.75" hidden="false" customHeight="false" outlineLevel="0" collapsed="false">
      <c r="A5881" s="20" t="n">
        <v>46167</v>
      </c>
      <c r="B5881" s="15" t="s">
        <v>453</v>
      </c>
      <c r="C5881" s="15" t="s">
        <v>55</v>
      </c>
      <c r="D5881" s="15" t="s">
        <v>539</v>
      </c>
      <c r="E5881" s="15" t="n">
        <v>8</v>
      </c>
      <c r="H5881" s="10"/>
      <c r="I5881" s="21"/>
      <c r="M5881" s="10"/>
      <c r="N5881" s="10"/>
      <c r="P5881" s="10"/>
      <c r="Q5881" s="22"/>
    </row>
    <row r="5882" customFormat="false" ht="15.75" hidden="false" customHeight="false" outlineLevel="0" collapsed="false">
      <c r="A5882" s="20" t="n">
        <v>46167</v>
      </c>
      <c r="B5882" s="15" t="s">
        <v>453</v>
      </c>
      <c r="C5882" s="15" t="s">
        <v>81</v>
      </c>
      <c r="D5882" s="15" t="s">
        <v>534</v>
      </c>
      <c r="E5882" s="15" t="n">
        <v>16</v>
      </c>
      <c r="H5882" s="10"/>
      <c r="I5882" s="21"/>
      <c r="M5882" s="10"/>
      <c r="N5882" s="10"/>
      <c r="P5882" s="10"/>
      <c r="Q5882" s="22"/>
    </row>
    <row r="5883" customFormat="false" ht="15.75" hidden="false" customHeight="false" outlineLevel="0" collapsed="false">
      <c r="A5883" s="20" t="n">
        <v>46167</v>
      </c>
      <c r="B5883" s="15" t="s">
        <v>453</v>
      </c>
      <c r="C5883" s="15" t="s">
        <v>39</v>
      </c>
      <c r="D5883" s="15" t="s">
        <v>550</v>
      </c>
      <c r="E5883" s="15" t="n">
        <v>4</v>
      </c>
      <c r="H5883" s="10"/>
      <c r="I5883" s="21"/>
      <c r="M5883" s="10"/>
      <c r="N5883" s="10"/>
      <c r="P5883" s="10"/>
      <c r="Q5883" s="22"/>
    </row>
    <row r="5884" customFormat="false" ht="15.75" hidden="false" customHeight="false" outlineLevel="0" collapsed="false">
      <c r="A5884" s="20" t="n">
        <v>46167</v>
      </c>
      <c r="B5884" s="15" t="s">
        <v>453</v>
      </c>
      <c r="C5884" s="15" t="s">
        <v>63</v>
      </c>
      <c r="D5884" s="15" t="s">
        <v>551</v>
      </c>
      <c r="E5884" s="15" t="n">
        <v>2</v>
      </c>
      <c r="H5884" s="10"/>
      <c r="I5884" s="21"/>
      <c r="M5884" s="10"/>
      <c r="N5884" s="10"/>
      <c r="P5884" s="10"/>
      <c r="Q5884" s="22"/>
    </row>
    <row r="5885" customFormat="false" ht="15.75" hidden="false" customHeight="false" outlineLevel="0" collapsed="false">
      <c r="A5885" s="20" t="n">
        <v>46167</v>
      </c>
      <c r="B5885" s="15" t="s">
        <v>453</v>
      </c>
      <c r="C5885" s="15" t="s">
        <v>35</v>
      </c>
      <c r="D5885" s="15" t="s">
        <v>552</v>
      </c>
      <c r="E5885" s="15" t="n">
        <v>4</v>
      </c>
      <c r="H5885" s="10"/>
      <c r="I5885" s="21"/>
      <c r="M5885" s="10"/>
      <c r="N5885" s="10"/>
      <c r="P5885" s="10"/>
      <c r="Q5885" s="22"/>
    </row>
    <row r="5886" customFormat="false" ht="15.75" hidden="false" customHeight="false" outlineLevel="0" collapsed="false">
      <c r="A5886" s="20" t="n">
        <v>46167</v>
      </c>
      <c r="B5886" s="15" t="s">
        <v>504</v>
      </c>
      <c r="C5886" s="15" t="s">
        <v>47</v>
      </c>
      <c r="D5886" s="15" t="s">
        <v>549</v>
      </c>
      <c r="E5886" s="15" t="n">
        <v>6</v>
      </c>
      <c r="H5886" s="10"/>
      <c r="I5886" s="21"/>
      <c r="M5886" s="10"/>
      <c r="N5886" s="10"/>
      <c r="P5886" s="10"/>
      <c r="Q5886" s="22"/>
    </row>
    <row r="5887" customFormat="false" ht="15.75" hidden="false" customHeight="false" outlineLevel="0" collapsed="false">
      <c r="A5887" s="20" t="n">
        <v>46167</v>
      </c>
      <c r="B5887" s="15" t="s">
        <v>504</v>
      </c>
      <c r="C5887" s="15" t="s">
        <v>55</v>
      </c>
      <c r="D5887" s="15" t="s">
        <v>539</v>
      </c>
      <c r="E5887" s="15" t="n">
        <v>12</v>
      </c>
      <c r="H5887" s="10"/>
      <c r="I5887" s="21"/>
      <c r="M5887" s="10"/>
      <c r="N5887" s="10"/>
      <c r="P5887" s="10"/>
      <c r="Q5887" s="22"/>
    </row>
    <row r="5888" customFormat="false" ht="15.75" hidden="false" customHeight="false" outlineLevel="0" collapsed="false">
      <c r="A5888" s="20" t="n">
        <v>46167</v>
      </c>
      <c r="B5888" s="15" t="s">
        <v>504</v>
      </c>
      <c r="C5888" s="15" t="s">
        <v>81</v>
      </c>
      <c r="D5888" s="15" t="s">
        <v>534</v>
      </c>
      <c r="E5888" s="15" t="n">
        <v>18</v>
      </c>
      <c r="H5888" s="10"/>
      <c r="I5888" s="21"/>
      <c r="M5888" s="10"/>
      <c r="N5888" s="10"/>
      <c r="P5888" s="10"/>
      <c r="Q5888" s="22"/>
    </row>
    <row r="5889" customFormat="false" ht="15.75" hidden="false" customHeight="false" outlineLevel="0" collapsed="false">
      <c r="A5889" s="20" t="n">
        <v>46167</v>
      </c>
      <c r="B5889" s="15" t="s">
        <v>504</v>
      </c>
      <c r="C5889" s="15" t="s">
        <v>39</v>
      </c>
      <c r="D5889" s="15" t="s">
        <v>550</v>
      </c>
      <c r="E5889" s="15" t="n">
        <v>2</v>
      </c>
      <c r="H5889" s="10"/>
      <c r="I5889" s="21"/>
      <c r="M5889" s="10"/>
      <c r="N5889" s="10"/>
      <c r="P5889" s="10"/>
      <c r="Q5889" s="22"/>
    </row>
    <row r="5890" customFormat="false" ht="15.75" hidden="false" customHeight="false" outlineLevel="0" collapsed="false">
      <c r="A5890" s="20" t="n">
        <v>46167</v>
      </c>
      <c r="B5890" s="15" t="s">
        <v>504</v>
      </c>
      <c r="C5890" s="15" t="s">
        <v>63</v>
      </c>
      <c r="D5890" s="15" t="s">
        <v>551</v>
      </c>
      <c r="E5890" s="15" t="n">
        <v>2</v>
      </c>
      <c r="H5890" s="10"/>
      <c r="I5890" s="21"/>
      <c r="M5890" s="10"/>
      <c r="N5890" s="10"/>
      <c r="P5890" s="10"/>
      <c r="Q5890" s="22"/>
    </row>
    <row r="5891" customFormat="false" ht="15.75" hidden="false" customHeight="false" outlineLevel="0" collapsed="false">
      <c r="A5891" s="20" t="n">
        <v>46167</v>
      </c>
      <c r="B5891" s="15" t="s">
        <v>504</v>
      </c>
      <c r="C5891" s="15" t="s">
        <v>17</v>
      </c>
      <c r="D5891" s="15" t="s">
        <v>554</v>
      </c>
      <c r="E5891" s="15" t="n">
        <v>2</v>
      </c>
      <c r="H5891" s="10"/>
      <c r="I5891" s="21"/>
      <c r="M5891" s="10"/>
      <c r="N5891" s="10"/>
      <c r="P5891" s="10"/>
      <c r="Q5891" s="22"/>
    </row>
    <row r="5892" customFormat="false" ht="15.75" hidden="false" customHeight="false" outlineLevel="0" collapsed="false">
      <c r="A5892" s="20" t="n">
        <v>46168</v>
      </c>
      <c r="B5892" s="15" t="s">
        <v>453</v>
      </c>
      <c r="C5892" s="15" t="s">
        <v>47</v>
      </c>
      <c r="D5892" s="15" t="s">
        <v>549</v>
      </c>
      <c r="E5892" s="15" t="n">
        <v>4</v>
      </c>
      <c r="H5892" s="10"/>
      <c r="I5892" s="21"/>
      <c r="M5892" s="10"/>
      <c r="N5892" s="10"/>
      <c r="P5892" s="10"/>
      <c r="Q5892" s="22"/>
    </row>
    <row r="5893" customFormat="false" ht="15.75" hidden="false" customHeight="false" outlineLevel="0" collapsed="false">
      <c r="A5893" s="20" t="n">
        <v>46168</v>
      </c>
      <c r="B5893" s="15" t="s">
        <v>453</v>
      </c>
      <c r="C5893" s="15" t="s">
        <v>55</v>
      </c>
      <c r="D5893" s="15" t="s">
        <v>539</v>
      </c>
      <c r="E5893" s="15" t="n">
        <v>8</v>
      </c>
      <c r="H5893" s="10"/>
      <c r="I5893" s="21"/>
      <c r="M5893" s="10"/>
      <c r="N5893" s="10"/>
      <c r="P5893" s="10"/>
      <c r="Q5893" s="22"/>
    </row>
    <row r="5894" customFormat="false" ht="15.75" hidden="false" customHeight="false" outlineLevel="0" collapsed="false">
      <c r="A5894" s="20" t="n">
        <v>46168</v>
      </c>
      <c r="B5894" s="15" t="s">
        <v>453</v>
      </c>
      <c r="C5894" s="15" t="s">
        <v>81</v>
      </c>
      <c r="D5894" s="15" t="s">
        <v>534</v>
      </c>
      <c r="E5894" s="15" t="n">
        <v>16</v>
      </c>
      <c r="H5894" s="10"/>
      <c r="I5894" s="21"/>
      <c r="M5894" s="10"/>
      <c r="N5894" s="10"/>
      <c r="P5894" s="10"/>
      <c r="Q5894" s="22"/>
    </row>
    <row r="5895" customFormat="false" ht="15.75" hidden="false" customHeight="false" outlineLevel="0" collapsed="false">
      <c r="A5895" s="20" t="n">
        <v>46168</v>
      </c>
      <c r="B5895" s="15" t="s">
        <v>453</v>
      </c>
      <c r="C5895" s="15" t="s">
        <v>39</v>
      </c>
      <c r="D5895" s="15" t="s">
        <v>550</v>
      </c>
      <c r="E5895" s="15" t="n">
        <v>4</v>
      </c>
      <c r="H5895" s="10"/>
      <c r="I5895" s="21"/>
      <c r="M5895" s="10"/>
      <c r="N5895" s="10"/>
      <c r="P5895" s="10"/>
      <c r="Q5895" s="22"/>
    </row>
    <row r="5896" customFormat="false" ht="15.75" hidden="false" customHeight="false" outlineLevel="0" collapsed="false">
      <c r="A5896" s="20" t="n">
        <v>46168</v>
      </c>
      <c r="B5896" s="15" t="s">
        <v>453</v>
      </c>
      <c r="C5896" s="15" t="s">
        <v>63</v>
      </c>
      <c r="D5896" s="15" t="s">
        <v>551</v>
      </c>
      <c r="E5896" s="15" t="n">
        <v>2</v>
      </c>
      <c r="H5896" s="10"/>
      <c r="I5896" s="21"/>
      <c r="M5896" s="10"/>
      <c r="N5896" s="10"/>
      <c r="P5896" s="10"/>
      <c r="Q5896" s="22"/>
    </row>
    <row r="5897" customFormat="false" ht="15.75" hidden="false" customHeight="false" outlineLevel="0" collapsed="false">
      <c r="A5897" s="20" t="n">
        <v>46168</v>
      </c>
      <c r="B5897" s="15" t="s">
        <v>453</v>
      </c>
      <c r="C5897" s="15" t="s">
        <v>35</v>
      </c>
      <c r="D5897" s="15" t="s">
        <v>552</v>
      </c>
      <c r="E5897" s="15" t="n">
        <v>4</v>
      </c>
      <c r="H5897" s="10"/>
      <c r="I5897" s="21"/>
      <c r="M5897" s="10"/>
      <c r="N5897" s="10"/>
      <c r="P5897" s="10"/>
      <c r="Q5897" s="22"/>
    </row>
    <row r="5898" customFormat="false" ht="15.75" hidden="false" customHeight="false" outlineLevel="0" collapsed="false">
      <c r="A5898" s="20" t="n">
        <v>46168</v>
      </c>
      <c r="B5898" s="15" t="s">
        <v>504</v>
      </c>
      <c r="C5898" s="15" t="s">
        <v>47</v>
      </c>
      <c r="D5898" s="15" t="s">
        <v>549</v>
      </c>
      <c r="E5898" s="15" t="n">
        <v>6</v>
      </c>
      <c r="H5898" s="10"/>
      <c r="I5898" s="21"/>
      <c r="M5898" s="10"/>
      <c r="N5898" s="10"/>
      <c r="P5898" s="10"/>
      <c r="Q5898" s="22"/>
    </row>
    <row r="5899" customFormat="false" ht="15.75" hidden="false" customHeight="false" outlineLevel="0" collapsed="false">
      <c r="A5899" s="20" t="n">
        <v>46168</v>
      </c>
      <c r="B5899" s="15" t="s">
        <v>504</v>
      </c>
      <c r="C5899" s="15" t="s">
        <v>55</v>
      </c>
      <c r="D5899" s="15" t="s">
        <v>539</v>
      </c>
      <c r="E5899" s="15" t="n">
        <v>12</v>
      </c>
      <c r="H5899" s="10"/>
      <c r="I5899" s="21"/>
      <c r="M5899" s="10"/>
      <c r="N5899" s="10"/>
      <c r="P5899" s="10"/>
      <c r="Q5899" s="22"/>
    </row>
    <row r="5900" customFormat="false" ht="15.75" hidden="false" customHeight="false" outlineLevel="0" collapsed="false">
      <c r="A5900" s="20" t="n">
        <v>46168</v>
      </c>
      <c r="B5900" s="15" t="s">
        <v>504</v>
      </c>
      <c r="C5900" s="15" t="s">
        <v>81</v>
      </c>
      <c r="D5900" s="15" t="s">
        <v>534</v>
      </c>
      <c r="E5900" s="15" t="n">
        <v>18</v>
      </c>
      <c r="H5900" s="10"/>
      <c r="I5900" s="21"/>
      <c r="M5900" s="10"/>
      <c r="N5900" s="10"/>
      <c r="P5900" s="10"/>
      <c r="Q5900" s="22"/>
    </row>
    <row r="5901" customFormat="false" ht="15.75" hidden="false" customHeight="false" outlineLevel="0" collapsed="false">
      <c r="A5901" s="20" t="n">
        <v>46168</v>
      </c>
      <c r="B5901" s="15" t="s">
        <v>504</v>
      </c>
      <c r="C5901" s="15" t="s">
        <v>39</v>
      </c>
      <c r="D5901" s="15" t="s">
        <v>550</v>
      </c>
      <c r="E5901" s="15" t="n">
        <v>2</v>
      </c>
      <c r="H5901" s="10"/>
      <c r="I5901" s="21"/>
      <c r="M5901" s="10"/>
      <c r="N5901" s="10"/>
      <c r="P5901" s="10"/>
      <c r="Q5901" s="22"/>
    </row>
    <row r="5902" customFormat="false" ht="15.75" hidden="false" customHeight="false" outlineLevel="0" collapsed="false">
      <c r="A5902" s="20" t="n">
        <v>46168</v>
      </c>
      <c r="B5902" s="15" t="s">
        <v>504</v>
      </c>
      <c r="C5902" s="15" t="s">
        <v>63</v>
      </c>
      <c r="D5902" s="15" t="s">
        <v>551</v>
      </c>
      <c r="E5902" s="15" t="n">
        <v>2</v>
      </c>
      <c r="H5902" s="10"/>
      <c r="I5902" s="21"/>
      <c r="M5902" s="10"/>
      <c r="N5902" s="10"/>
      <c r="P5902" s="10"/>
      <c r="Q5902" s="22"/>
    </row>
    <row r="5903" customFormat="false" ht="15.75" hidden="false" customHeight="false" outlineLevel="0" collapsed="false">
      <c r="A5903" s="20" t="n">
        <v>46168</v>
      </c>
      <c r="B5903" s="15" t="s">
        <v>504</v>
      </c>
      <c r="C5903" s="15" t="s">
        <v>17</v>
      </c>
      <c r="D5903" s="15" t="s">
        <v>554</v>
      </c>
      <c r="E5903" s="15" t="n">
        <v>2</v>
      </c>
      <c r="H5903" s="10"/>
      <c r="I5903" s="21"/>
      <c r="M5903" s="10"/>
      <c r="N5903" s="10"/>
      <c r="P5903" s="10"/>
      <c r="Q5903" s="22"/>
    </row>
    <row r="5904" customFormat="false" ht="15.75" hidden="false" customHeight="false" outlineLevel="0" collapsed="false">
      <c r="A5904" s="20" t="n">
        <v>46168</v>
      </c>
      <c r="B5904" s="15" t="s">
        <v>508</v>
      </c>
      <c r="C5904" s="15" t="s">
        <v>55</v>
      </c>
      <c r="D5904" s="15" t="s">
        <v>539</v>
      </c>
      <c r="E5904" s="15" t="n">
        <v>5</v>
      </c>
      <c r="H5904" s="10"/>
      <c r="I5904" s="21"/>
      <c r="M5904" s="10"/>
      <c r="N5904" s="10"/>
      <c r="P5904" s="10"/>
      <c r="Q5904" s="22"/>
    </row>
    <row r="5905" customFormat="false" ht="15.75" hidden="false" customHeight="false" outlineLevel="0" collapsed="false">
      <c r="A5905" s="20" t="n">
        <v>46168</v>
      </c>
      <c r="B5905" s="15" t="s">
        <v>508</v>
      </c>
      <c r="C5905" s="15" t="s">
        <v>81</v>
      </c>
      <c r="D5905" s="15" t="s">
        <v>534</v>
      </c>
      <c r="E5905" s="15" t="n">
        <v>9</v>
      </c>
      <c r="H5905" s="10"/>
      <c r="I5905" s="21"/>
      <c r="M5905" s="10"/>
      <c r="N5905" s="10"/>
      <c r="P5905" s="10"/>
      <c r="Q5905" s="22"/>
    </row>
    <row r="5906" customFormat="false" ht="15.75" hidden="false" customHeight="false" outlineLevel="0" collapsed="false">
      <c r="A5906" s="20" t="n">
        <v>46168</v>
      </c>
      <c r="B5906" s="15" t="s">
        <v>508</v>
      </c>
      <c r="C5906" s="15" t="s">
        <v>39</v>
      </c>
      <c r="D5906" s="15" t="s">
        <v>550</v>
      </c>
      <c r="E5906" s="15" t="n">
        <v>2</v>
      </c>
      <c r="H5906" s="10"/>
      <c r="I5906" s="21"/>
      <c r="M5906" s="10"/>
      <c r="N5906" s="10"/>
      <c r="P5906" s="10"/>
      <c r="Q5906" s="22"/>
    </row>
    <row r="5907" customFormat="false" ht="15.75" hidden="false" customHeight="false" outlineLevel="0" collapsed="false">
      <c r="A5907" s="20" t="n">
        <v>46168</v>
      </c>
      <c r="B5907" s="15" t="s">
        <v>508</v>
      </c>
      <c r="C5907" s="15" t="s">
        <v>47</v>
      </c>
      <c r="D5907" s="15" t="s">
        <v>549</v>
      </c>
      <c r="E5907" s="15" t="n">
        <v>2</v>
      </c>
      <c r="H5907" s="10"/>
      <c r="I5907" s="21"/>
      <c r="M5907" s="10"/>
      <c r="N5907" s="10"/>
      <c r="P5907" s="10"/>
      <c r="Q5907" s="22"/>
    </row>
    <row r="5908" customFormat="false" ht="15.75" hidden="false" customHeight="false" outlineLevel="0" collapsed="false">
      <c r="A5908" s="20" t="n">
        <v>46168</v>
      </c>
      <c r="B5908" s="15" t="s">
        <v>508</v>
      </c>
      <c r="C5908" s="15" t="s">
        <v>63</v>
      </c>
      <c r="D5908" s="15" t="s">
        <v>551</v>
      </c>
      <c r="E5908" s="15" t="n">
        <v>1</v>
      </c>
      <c r="H5908" s="10"/>
      <c r="I5908" s="21"/>
      <c r="M5908" s="10"/>
      <c r="N5908" s="10"/>
      <c r="P5908" s="10"/>
      <c r="Q5908" s="22"/>
    </row>
    <row r="5909" customFormat="false" ht="15.75" hidden="false" customHeight="false" outlineLevel="0" collapsed="false">
      <c r="A5909" s="20" t="n">
        <v>46169</v>
      </c>
      <c r="B5909" s="15" t="s">
        <v>453</v>
      </c>
      <c r="C5909" s="15" t="s">
        <v>47</v>
      </c>
      <c r="D5909" s="15" t="s">
        <v>549</v>
      </c>
      <c r="E5909" s="15" t="n">
        <v>4</v>
      </c>
      <c r="H5909" s="10"/>
      <c r="I5909" s="21"/>
      <c r="M5909" s="10"/>
      <c r="N5909" s="10"/>
      <c r="P5909" s="10"/>
      <c r="Q5909" s="22"/>
    </row>
    <row r="5910" customFormat="false" ht="15.75" hidden="false" customHeight="false" outlineLevel="0" collapsed="false">
      <c r="A5910" s="20" t="n">
        <v>46169</v>
      </c>
      <c r="B5910" s="15" t="s">
        <v>453</v>
      </c>
      <c r="C5910" s="15" t="s">
        <v>55</v>
      </c>
      <c r="D5910" s="15" t="s">
        <v>539</v>
      </c>
      <c r="E5910" s="15" t="n">
        <v>8</v>
      </c>
      <c r="H5910" s="10"/>
      <c r="I5910" s="21"/>
      <c r="M5910" s="10"/>
      <c r="N5910" s="10"/>
      <c r="P5910" s="10"/>
      <c r="Q5910" s="22"/>
    </row>
    <row r="5911" customFormat="false" ht="15.75" hidden="false" customHeight="false" outlineLevel="0" collapsed="false">
      <c r="A5911" s="20" t="n">
        <v>46169</v>
      </c>
      <c r="B5911" s="15" t="s">
        <v>453</v>
      </c>
      <c r="C5911" s="15" t="s">
        <v>81</v>
      </c>
      <c r="D5911" s="15" t="s">
        <v>534</v>
      </c>
      <c r="E5911" s="15" t="n">
        <v>16</v>
      </c>
      <c r="H5911" s="10"/>
      <c r="I5911" s="21"/>
      <c r="M5911" s="10"/>
      <c r="N5911" s="10"/>
      <c r="P5911" s="10"/>
      <c r="Q5911" s="22"/>
    </row>
    <row r="5912" customFormat="false" ht="15.75" hidden="false" customHeight="false" outlineLevel="0" collapsed="false">
      <c r="A5912" s="20" t="n">
        <v>46169</v>
      </c>
      <c r="B5912" s="15" t="s">
        <v>453</v>
      </c>
      <c r="C5912" s="15" t="s">
        <v>39</v>
      </c>
      <c r="D5912" s="15" t="s">
        <v>550</v>
      </c>
      <c r="E5912" s="15" t="n">
        <v>4</v>
      </c>
      <c r="H5912" s="10"/>
      <c r="I5912" s="21"/>
      <c r="M5912" s="10"/>
      <c r="N5912" s="10"/>
      <c r="P5912" s="10"/>
      <c r="Q5912" s="22"/>
    </row>
    <row r="5913" customFormat="false" ht="15.75" hidden="false" customHeight="false" outlineLevel="0" collapsed="false">
      <c r="A5913" s="20" t="n">
        <v>46169</v>
      </c>
      <c r="B5913" s="15" t="s">
        <v>453</v>
      </c>
      <c r="C5913" s="15" t="s">
        <v>63</v>
      </c>
      <c r="D5913" s="15" t="s">
        <v>551</v>
      </c>
      <c r="E5913" s="15" t="n">
        <v>2</v>
      </c>
      <c r="H5913" s="10"/>
      <c r="I5913" s="21"/>
      <c r="M5913" s="10"/>
      <c r="N5913" s="10"/>
      <c r="P5913" s="10"/>
      <c r="Q5913" s="22"/>
    </row>
    <row r="5914" customFormat="false" ht="15.75" hidden="false" customHeight="false" outlineLevel="0" collapsed="false">
      <c r="A5914" s="20" t="n">
        <v>46169</v>
      </c>
      <c r="B5914" s="15" t="s">
        <v>453</v>
      </c>
      <c r="C5914" s="15" t="s">
        <v>35</v>
      </c>
      <c r="D5914" s="15" t="s">
        <v>552</v>
      </c>
      <c r="E5914" s="15" t="n">
        <v>4</v>
      </c>
      <c r="H5914" s="10"/>
      <c r="I5914" s="21"/>
      <c r="M5914" s="10"/>
      <c r="N5914" s="10"/>
      <c r="P5914" s="10"/>
      <c r="Q5914" s="22"/>
    </row>
    <row r="5915" customFormat="false" ht="15.75" hidden="false" customHeight="false" outlineLevel="0" collapsed="false">
      <c r="A5915" s="20" t="n">
        <v>46169</v>
      </c>
      <c r="B5915" s="15" t="s">
        <v>504</v>
      </c>
      <c r="C5915" s="15" t="s">
        <v>47</v>
      </c>
      <c r="D5915" s="15" t="s">
        <v>549</v>
      </c>
      <c r="E5915" s="15" t="n">
        <v>6</v>
      </c>
      <c r="H5915" s="10"/>
      <c r="I5915" s="21"/>
      <c r="M5915" s="10"/>
      <c r="N5915" s="10"/>
      <c r="P5915" s="10"/>
      <c r="Q5915" s="22"/>
    </row>
    <row r="5916" customFormat="false" ht="15.75" hidden="false" customHeight="false" outlineLevel="0" collapsed="false">
      <c r="A5916" s="20" t="n">
        <v>46169</v>
      </c>
      <c r="B5916" s="15" t="s">
        <v>504</v>
      </c>
      <c r="C5916" s="15" t="s">
        <v>55</v>
      </c>
      <c r="D5916" s="15" t="s">
        <v>539</v>
      </c>
      <c r="E5916" s="15" t="n">
        <v>12</v>
      </c>
      <c r="H5916" s="10"/>
      <c r="I5916" s="21"/>
      <c r="M5916" s="10"/>
      <c r="N5916" s="10"/>
      <c r="P5916" s="10"/>
      <c r="Q5916" s="22"/>
    </row>
    <row r="5917" customFormat="false" ht="15.75" hidden="false" customHeight="false" outlineLevel="0" collapsed="false">
      <c r="A5917" s="20" t="n">
        <v>46169</v>
      </c>
      <c r="B5917" s="15" t="s">
        <v>504</v>
      </c>
      <c r="C5917" s="15" t="s">
        <v>81</v>
      </c>
      <c r="D5917" s="15" t="s">
        <v>534</v>
      </c>
      <c r="E5917" s="15" t="n">
        <v>18</v>
      </c>
      <c r="H5917" s="10"/>
      <c r="I5917" s="21"/>
      <c r="M5917" s="10"/>
      <c r="N5917" s="10"/>
      <c r="P5917" s="10"/>
      <c r="Q5917" s="22"/>
    </row>
    <row r="5918" customFormat="false" ht="15.75" hidden="false" customHeight="false" outlineLevel="0" collapsed="false">
      <c r="A5918" s="20" t="n">
        <v>46169</v>
      </c>
      <c r="B5918" s="15" t="s">
        <v>504</v>
      </c>
      <c r="C5918" s="15" t="s">
        <v>39</v>
      </c>
      <c r="D5918" s="15" t="s">
        <v>550</v>
      </c>
      <c r="E5918" s="15" t="n">
        <v>2</v>
      </c>
      <c r="H5918" s="10"/>
      <c r="I5918" s="21"/>
      <c r="M5918" s="10"/>
      <c r="N5918" s="10"/>
      <c r="P5918" s="10"/>
      <c r="Q5918" s="22"/>
    </row>
    <row r="5919" customFormat="false" ht="15.75" hidden="false" customHeight="false" outlineLevel="0" collapsed="false">
      <c r="A5919" s="20" t="n">
        <v>46169</v>
      </c>
      <c r="B5919" s="15" t="s">
        <v>504</v>
      </c>
      <c r="C5919" s="15" t="s">
        <v>63</v>
      </c>
      <c r="D5919" s="15" t="s">
        <v>551</v>
      </c>
      <c r="E5919" s="15" t="n">
        <v>2</v>
      </c>
      <c r="H5919" s="10"/>
      <c r="I5919" s="21"/>
      <c r="M5919" s="10"/>
      <c r="N5919" s="10"/>
      <c r="P5919" s="10"/>
      <c r="Q5919" s="22"/>
    </row>
    <row r="5920" customFormat="false" ht="15.75" hidden="false" customHeight="false" outlineLevel="0" collapsed="false">
      <c r="A5920" s="20" t="n">
        <v>46169</v>
      </c>
      <c r="B5920" s="15" t="s">
        <v>504</v>
      </c>
      <c r="C5920" s="15" t="s">
        <v>17</v>
      </c>
      <c r="D5920" s="15" t="s">
        <v>554</v>
      </c>
      <c r="E5920" s="15" t="n">
        <v>2</v>
      </c>
      <c r="H5920" s="10"/>
      <c r="I5920" s="21"/>
      <c r="M5920" s="10"/>
      <c r="N5920" s="10"/>
      <c r="P5920" s="10"/>
      <c r="Q5920" s="22"/>
    </row>
    <row r="5921" customFormat="false" ht="15.75" hidden="false" customHeight="false" outlineLevel="0" collapsed="false">
      <c r="A5921" s="20" t="n">
        <v>46169</v>
      </c>
      <c r="B5921" s="15" t="s">
        <v>508</v>
      </c>
      <c r="C5921" s="15" t="s">
        <v>55</v>
      </c>
      <c r="D5921" s="15" t="s">
        <v>539</v>
      </c>
      <c r="E5921" s="15" t="n">
        <v>5</v>
      </c>
      <c r="H5921" s="10"/>
      <c r="I5921" s="21"/>
      <c r="M5921" s="10"/>
      <c r="N5921" s="10"/>
      <c r="P5921" s="10"/>
      <c r="Q5921" s="22"/>
    </row>
    <row r="5922" customFormat="false" ht="15.75" hidden="false" customHeight="false" outlineLevel="0" collapsed="false">
      <c r="A5922" s="20" t="n">
        <v>46169</v>
      </c>
      <c r="B5922" s="15" t="s">
        <v>508</v>
      </c>
      <c r="C5922" s="15" t="s">
        <v>81</v>
      </c>
      <c r="D5922" s="15" t="s">
        <v>534</v>
      </c>
      <c r="E5922" s="15" t="n">
        <v>9</v>
      </c>
      <c r="H5922" s="10"/>
      <c r="I5922" s="21"/>
      <c r="M5922" s="10"/>
      <c r="N5922" s="10"/>
      <c r="P5922" s="10"/>
      <c r="Q5922" s="22"/>
    </row>
    <row r="5923" customFormat="false" ht="15.75" hidden="false" customHeight="false" outlineLevel="0" collapsed="false">
      <c r="A5923" s="20" t="n">
        <v>46169</v>
      </c>
      <c r="B5923" s="15" t="s">
        <v>508</v>
      </c>
      <c r="C5923" s="15" t="s">
        <v>39</v>
      </c>
      <c r="D5923" s="15" t="s">
        <v>550</v>
      </c>
      <c r="E5923" s="15" t="n">
        <v>2</v>
      </c>
      <c r="H5923" s="10"/>
      <c r="I5923" s="21"/>
      <c r="M5923" s="10"/>
      <c r="N5923" s="10"/>
      <c r="P5923" s="10"/>
      <c r="Q5923" s="22"/>
    </row>
    <row r="5924" customFormat="false" ht="15.75" hidden="false" customHeight="false" outlineLevel="0" collapsed="false">
      <c r="A5924" s="20" t="n">
        <v>46169</v>
      </c>
      <c r="B5924" s="15" t="s">
        <v>508</v>
      </c>
      <c r="C5924" s="15" t="s">
        <v>47</v>
      </c>
      <c r="D5924" s="15" t="s">
        <v>549</v>
      </c>
      <c r="E5924" s="15" t="n">
        <v>2</v>
      </c>
      <c r="H5924" s="10"/>
      <c r="I5924" s="21"/>
      <c r="M5924" s="10"/>
      <c r="N5924" s="10"/>
      <c r="P5924" s="10"/>
      <c r="Q5924" s="22"/>
    </row>
    <row r="5925" customFormat="false" ht="15.75" hidden="false" customHeight="false" outlineLevel="0" collapsed="false">
      <c r="A5925" s="20" t="n">
        <v>46169</v>
      </c>
      <c r="B5925" s="15" t="s">
        <v>508</v>
      </c>
      <c r="C5925" s="15" t="s">
        <v>63</v>
      </c>
      <c r="D5925" s="15" t="s">
        <v>551</v>
      </c>
      <c r="E5925" s="15" t="n">
        <v>1</v>
      </c>
      <c r="H5925" s="10"/>
      <c r="I5925" s="21"/>
      <c r="M5925" s="10"/>
      <c r="N5925" s="10"/>
      <c r="P5925" s="10"/>
      <c r="Q5925" s="22"/>
    </row>
    <row r="5926" customFormat="false" ht="15.75" hidden="false" customHeight="false" outlineLevel="0" collapsed="false">
      <c r="A5926" s="20" t="n">
        <v>46170</v>
      </c>
      <c r="B5926" s="15" t="s">
        <v>453</v>
      </c>
      <c r="C5926" s="15" t="s">
        <v>47</v>
      </c>
      <c r="D5926" s="15" t="s">
        <v>549</v>
      </c>
      <c r="E5926" s="15" t="n">
        <v>4</v>
      </c>
      <c r="H5926" s="10"/>
      <c r="I5926" s="21"/>
      <c r="M5926" s="10"/>
      <c r="N5926" s="10"/>
      <c r="P5926" s="10"/>
      <c r="Q5926" s="22"/>
    </row>
    <row r="5927" customFormat="false" ht="15.75" hidden="false" customHeight="false" outlineLevel="0" collapsed="false">
      <c r="A5927" s="20" t="n">
        <v>46170</v>
      </c>
      <c r="B5927" s="15" t="s">
        <v>453</v>
      </c>
      <c r="C5927" s="15" t="s">
        <v>55</v>
      </c>
      <c r="D5927" s="15" t="s">
        <v>539</v>
      </c>
      <c r="E5927" s="15" t="n">
        <v>8</v>
      </c>
      <c r="H5927" s="10"/>
      <c r="I5927" s="21"/>
      <c r="M5927" s="10"/>
      <c r="N5927" s="10"/>
      <c r="P5927" s="10"/>
      <c r="Q5927" s="22"/>
    </row>
    <row r="5928" customFormat="false" ht="15.75" hidden="false" customHeight="false" outlineLevel="0" collapsed="false">
      <c r="A5928" s="20" t="n">
        <v>46170</v>
      </c>
      <c r="B5928" s="15" t="s">
        <v>453</v>
      </c>
      <c r="C5928" s="15" t="s">
        <v>81</v>
      </c>
      <c r="D5928" s="15" t="s">
        <v>534</v>
      </c>
      <c r="E5928" s="15" t="n">
        <v>16</v>
      </c>
      <c r="H5928" s="10"/>
      <c r="I5928" s="21"/>
      <c r="M5928" s="10"/>
      <c r="N5928" s="10"/>
      <c r="P5928" s="10"/>
      <c r="Q5928" s="22"/>
    </row>
    <row r="5929" customFormat="false" ht="15.75" hidden="false" customHeight="false" outlineLevel="0" collapsed="false">
      <c r="A5929" s="20" t="n">
        <v>46170</v>
      </c>
      <c r="B5929" s="15" t="s">
        <v>453</v>
      </c>
      <c r="C5929" s="15" t="s">
        <v>39</v>
      </c>
      <c r="D5929" s="15" t="s">
        <v>550</v>
      </c>
      <c r="E5929" s="15" t="n">
        <v>4</v>
      </c>
      <c r="H5929" s="10"/>
      <c r="I5929" s="21"/>
      <c r="M5929" s="10"/>
      <c r="N5929" s="10"/>
      <c r="P5929" s="10"/>
      <c r="Q5929" s="22"/>
    </row>
    <row r="5930" customFormat="false" ht="15.75" hidden="false" customHeight="false" outlineLevel="0" collapsed="false">
      <c r="A5930" s="20" t="n">
        <v>46170</v>
      </c>
      <c r="B5930" s="15" t="s">
        <v>453</v>
      </c>
      <c r="C5930" s="15" t="s">
        <v>63</v>
      </c>
      <c r="D5930" s="15" t="s">
        <v>551</v>
      </c>
      <c r="E5930" s="15" t="n">
        <v>2</v>
      </c>
      <c r="H5930" s="10"/>
      <c r="I5930" s="21"/>
      <c r="M5930" s="10"/>
      <c r="N5930" s="10"/>
      <c r="P5930" s="10"/>
      <c r="Q5930" s="22"/>
    </row>
    <row r="5931" customFormat="false" ht="15.75" hidden="false" customHeight="false" outlineLevel="0" collapsed="false">
      <c r="A5931" s="20" t="n">
        <v>46170</v>
      </c>
      <c r="B5931" s="15" t="s">
        <v>453</v>
      </c>
      <c r="C5931" s="15" t="s">
        <v>35</v>
      </c>
      <c r="D5931" s="15" t="s">
        <v>552</v>
      </c>
      <c r="E5931" s="15" t="n">
        <v>4</v>
      </c>
      <c r="H5931" s="10"/>
      <c r="I5931" s="21"/>
      <c r="M5931" s="10"/>
      <c r="N5931" s="10"/>
      <c r="P5931" s="10"/>
      <c r="Q5931" s="22"/>
    </row>
    <row r="5932" customFormat="false" ht="15.75" hidden="false" customHeight="false" outlineLevel="0" collapsed="false">
      <c r="A5932" s="20" t="n">
        <v>46170</v>
      </c>
      <c r="B5932" s="15" t="s">
        <v>504</v>
      </c>
      <c r="C5932" s="15" t="s">
        <v>47</v>
      </c>
      <c r="D5932" s="15" t="s">
        <v>549</v>
      </c>
      <c r="E5932" s="15" t="n">
        <v>6</v>
      </c>
      <c r="H5932" s="10"/>
      <c r="I5932" s="21"/>
      <c r="M5932" s="10"/>
      <c r="N5932" s="10"/>
      <c r="P5932" s="10"/>
      <c r="Q5932" s="22"/>
    </row>
    <row r="5933" customFormat="false" ht="15.75" hidden="false" customHeight="false" outlineLevel="0" collapsed="false">
      <c r="A5933" s="20" t="n">
        <v>46170</v>
      </c>
      <c r="B5933" s="15" t="s">
        <v>504</v>
      </c>
      <c r="C5933" s="15" t="s">
        <v>55</v>
      </c>
      <c r="D5933" s="15" t="s">
        <v>539</v>
      </c>
      <c r="E5933" s="15" t="n">
        <v>12</v>
      </c>
      <c r="H5933" s="10"/>
      <c r="I5933" s="21"/>
      <c r="M5933" s="10"/>
      <c r="N5933" s="10"/>
      <c r="P5933" s="10"/>
      <c r="Q5933" s="22"/>
    </row>
    <row r="5934" customFormat="false" ht="15.75" hidden="false" customHeight="false" outlineLevel="0" collapsed="false">
      <c r="A5934" s="20" t="n">
        <v>46170</v>
      </c>
      <c r="B5934" s="15" t="s">
        <v>504</v>
      </c>
      <c r="C5934" s="15" t="s">
        <v>81</v>
      </c>
      <c r="D5934" s="15" t="s">
        <v>534</v>
      </c>
      <c r="E5934" s="15" t="n">
        <v>18</v>
      </c>
      <c r="H5934" s="10"/>
      <c r="I5934" s="21"/>
      <c r="M5934" s="10"/>
      <c r="N5934" s="10"/>
      <c r="P5934" s="10"/>
      <c r="Q5934" s="22"/>
    </row>
    <row r="5935" customFormat="false" ht="15.75" hidden="false" customHeight="false" outlineLevel="0" collapsed="false">
      <c r="A5935" s="20" t="n">
        <v>46170</v>
      </c>
      <c r="B5935" s="15" t="s">
        <v>504</v>
      </c>
      <c r="C5935" s="15" t="s">
        <v>39</v>
      </c>
      <c r="D5935" s="15" t="s">
        <v>550</v>
      </c>
      <c r="E5935" s="15" t="n">
        <v>2</v>
      </c>
      <c r="H5935" s="10"/>
      <c r="I5935" s="21"/>
      <c r="M5935" s="10"/>
      <c r="N5935" s="10"/>
      <c r="P5935" s="10"/>
      <c r="Q5935" s="22"/>
    </row>
    <row r="5936" customFormat="false" ht="15.75" hidden="false" customHeight="false" outlineLevel="0" collapsed="false">
      <c r="A5936" s="20" t="n">
        <v>46170</v>
      </c>
      <c r="B5936" s="15" t="s">
        <v>504</v>
      </c>
      <c r="C5936" s="15" t="s">
        <v>63</v>
      </c>
      <c r="D5936" s="15" t="s">
        <v>551</v>
      </c>
      <c r="E5936" s="15" t="n">
        <v>2</v>
      </c>
      <c r="H5936" s="10"/>
      <c r="I5936" s="21"/>
      <c r="M5936" s="10"/>
      <c r="N5936" s="10"/>
      <c r="P5936" s="10"/>
      <c r="Q5936" s="22"/>
    </row>
    <row r="5937" customFormat="false" ht="15.75" hidden="false" customHeight="false" outlineLevel="0" collapsed="false">
      <c r="A5937" s="20" t="n">
        <v>46170</v>
      </c>
      <c r="B5937" s="15" t="s">
        <v>504</v>
      </c>
      <c r="C5937" s="15" t="s">
        <v>17</v>
      </c>
      <c r="D5937" s="15" t="s">
        <v>554</v>
      </c>
      <c r="E5937" s="15" t="n">
        <v>2</v>
      </c>
      <c r="H5937" s="10"/>
      <c r="I5937" s="21"/>
      <c r="M5937" s="10"/>
      <c r="N5937" s="10"/>
      <c r="P5937" s="10"/>
      <c r="Q5937" s="22"/>
    </row>
    <row r="5938" customFormat="false" ht="15.75" hidden="false" customHeight="false" outlineLevel="0" collapsed="false">
      <c r="A5938" s="20" t="n">
        <v>46170</v>
      </c>
      <c r="B5938" s="15" t="s">
        <v>508</v>
      </c>
      <c r="C5938" s="15" t="s">
        <v>55</v>
      </c>
      <c r="D5938" s="15" t="s">
        <v>539</v>
      </c>
      <c r="E5938" s="15" t="n">
        <v>5</v>
      </c>
      <c r="H5938" s="10"/>
      <c r="I5938" s="21"/>
      <c r="M5938" s="10"/>
      <c r="N5938" s="10"/>
      <c r="P5938" s="10"/>
      <c r="Q5938" s="22"/>
    </row>
    <row r="5939" customFormat="false" ht="15.75" hidden="false" customHeight="false" outlineLevel="0" collapsed="false">
      <c r="A5939" s="20" t="n">
        <v>46170</v>
      </c>
      <c r="B5939" s="15" t="s">
        <v>508</v>
      </c>
      <c r="C5939" s="15" t="s">
        <v>81</v>
      </c>
      <c r="D5939" s="15" t="s">
        <v>534</v>
      </c>
      <c r="E5939" s="15" t="n">
        <v>9</v>
      </c>
      <c r="H5939" s="10"/>
      <c r="I5939" s="21"/>
      <c r="M5939" s="10"/>
      <c r="N5939" s="10"/>
      <c r="P5939" s="10"/>
      <c r="Q5939" s="22"/>
    </row>
    <row r="5940" customFormat="false" ht="15.75" hidden="false" customHeight="false" outlineLevel="0" collapsed="false">
      <c r="A5940" s="20" t="n">
        <v>46170</v>
      </c>
      <c r="B5940" s="15" t="s">
        <v>508</v>
      </c>
      <c r="C5940" s="15" t="s">
        <v>39</v>
      </c>
      <c r="D5940" s="15" t="s">
        <v>550</v>
      </c>
      <c r="E5940" s="15" t="n">
        <v>2</v>
      </c>
      <c r="H5940" s="10"/>
      <c r="I5940" s="21"/>
      <c r="M5940" s="10"/>
      <c r="N5940" s="10"/>
      <c r="P5940" s="10"/>
      <c r="Q5940" s="22"/>
    </row>
    <row r="5941" customFormat="false" ht="15.75" hidden="false" customHeight="false" outlineLevel="0" collapsed="false">
      <c r="A5941" s="20" t="n">
        <v>46170</v>
      </c>
      <c r="B5941" s="15" t="s">
        <v>508</v>
      </c>
      <c r="C5941" s="15" t="s">
        <v>47</v>
      </c>
      <c r="D5941" s="15" t="s">
        <v>549</v>
      </c>
      <c r="E5941" s="15" t="n">
        <v>2</v>
      </c>
      <c r="H5941" s="10"/>
      <c r="I5941" s="21"/>
      <c r="M5941" s="10"/>
      <c r="N5941" s="10"/>
      <c r="P5941" s="10"/>
      <c r="Q5941" s="22"/>
    </row>
    <row r="5942" customFormat="false" ht="15.75" hidden="false" customHeight="false" outlineLevel="0" collapsed="false">
      <c r="A5942" s="20" t="n">
        <v>46170</v>
      </c>
      <c r="B5942" s="15" t="s">
        <v>508</v>
      </c>
      <c r="C5942" s="15" t="s">
        <v>63</v>
      </c>
      <c r="D5942" s="15" t="s">
        <v>551</v>
      </c>
      <c r="E5942" s="15" t="n">
        <v>1</v>
      </c>
      <c r="H5942" s="10"/>
      <c r="I5942" s="21"/>
      <c r="M5942" s="10"/>
      <c r="N5942" s="10"/>
      <c r="P5942" s="10"/>
      <c r="Q5942" s="22"/>
    </row>
    <row r="5943" customFormat="false" ht="15.75" hidden="false" customHeight="false" outlineLevel="0" collapsed="false">
      <c r="A5943" s="20" t="n">
        <v>46171</v>
      </c>
      <c r="B5943" s="15" t="s">
        <v>453</v>
      </c>
      <c r="C5943" s="15" t="s">
        <v>47</v>
      </c>
      <c r="D5943" s="15" t="s">
        <v>549</v>
      </c>
      <c r="E5943" s="15" t="n">
        <v>4</v>
      </c>
      <c r="H5943" s="10"/>
      <c r="I5943" s="21"/>
      <c r="M5943" s="10"/>
      <c r="N5943" s="10"/>
      <c r="P5943" s="10"/>
      <c r="Q5943" s="22"/>
    </row>
    <row r="5944" customFormat="false" ht="15.75" hidden="false" customHeight="false" outlineLevel="0" collapsed="false">
      <c r="A5944" s="20" t="n">
        <v>46171</v>
      </c>
      <c r="B5944" s="15" t="s">
        <v>453</v>
      </c>
      <c r="C5944" s="15" t="s">
        <v>55</v>
      </c>
      <c r="D5944" s="15" t="s">
        <v>539</v>
      </c>
      <c r="E5944" s="15" t="n">
        <v>8</v>
      </c>
      <c r="H5944" s="10"/>
      <c r="I5944" s="21"/>
      <c r="M5944" s="10"/>
      <c r="N5944" s="10"/>
      <c r="P5944" s="10"/>
      <c r="Q5944" s="22"/>
    </row>
    <row r="5945" customFormat="false" ht="15.75" hidden="false" customHeight="false" outlineLevel="0" collapsed="false">
      <c r="A5945" s="20" t="n">
        <v>46171</v>
      </c>
      <c r="B5945" s="15" t="s">
        <v>453</v>
      </c>
      <c r="C5945" s="15" t="s">
        <v>81</v>
      </c>
      <c r="D5945" s="15" t="s">
        <v>534</v>
      </c>
      <c r="E5945" s="15" t="n">
        <v>16</v>
      </c>
      <c r="H5945" s="10"/>
      <c r="I5945" s="21"/>
      <c r="M5945" s="10"/>
      <c r="N5945" s="10"/>
      <c r="P5945" s="10"/>
      <c r="Q5945" s="22"/>
    </row>
    <row r="5946" customFormat="false" ht="15.75" hidden="false" customHeight="false" outlineLevel="0" collapsed="false">
      <c r="A5946" s="20" t="n">
        <v>46171</v>
      </c>
      <c r="B5946" s="15" t="s">
        <v>453</v>
      </c>
      <c r="C5946" s="15" t="s">
        <v>39</v>
      </c>
      <c r="D5946" s="15" t="s">
        <v>550</v>
      </c>
      <c r="E5946" s="15" t="n">
        <v>4</v>
      </c>
      <c r="H5946" s="10"/>
      <c r="I5946" s="21"/>
      <c r="M5946" s="10"/>
      <c r="N5946" s="10"/>
      <c r="P5946" s="10"/>
      <c r="Q5946" s="22"/>
    </row>
    <row r="5947" customFormat="false" ht="15.75" hidden="false" customHeight="false" outlineLevel="0" collapsed="false">
      <c r="A5947" s="20" t="n">
        <v>46171</v>
      </c>
      <c r="B5947" s="15" t="s">
        <v>453</v>
      </c>
      <c r="C5947" s="15" t="s">
        <v>63</v>
      </c>
      <c r="D5947" s="15" t="s">
        <v>551</v>
      </c>
      <c r="E5947" s="15" t="n">
        <v>2</v>
      </c>
      <c r="H5947" s="10"/>
      <c r="I5947" s="21"/>
      <c r="M5947" s="10"/>
      <c r="N5947" s="10"/>
      <c r="P5947" s="10"/>
      <c r="Q5947" s="22"/>
    </row>
    <row r="5948" customFormat="false" ht="15.75" hidden="false" customHeight="false" outlineLevel="0" collapsed="false">
      <c r="A5948" s="20" t="n">
        <v>46171</v>
      </c>
      <c r="B5948" s="15" t="s">
        <v>453</v>
      </c>
      <c r="C5948" s="15" t="s">
        <v>35</v>
      </c>
      <c r="D5948" s="15" t="s">
        <v>552</v>
      </c>
      <c r="E5948" s="15" t="n">
        <v>4</v>
      </c>
      <c r="H5948" s="10"/>
      <c r="I5948" s="21"/>
      <c r="M5948" s="10"/>
      <c r="N5948" s="10"/>
      <c r="P5948" s="10"/>
      <c r="Q5948" s="22"/>
    </row>
    <row r="5949" customFormat="false" ht="15.75" hidden="false" customHeight="false" outlineLevel="0" collapsed="false">
      <c r="A5949" s="20" t="n">
        <v>46171</v>
      </c>
      <c r="B5949" s="15" t="s">
        <v>504</v>
      </c>
      <c r="C5949" s="15" t="s">
        <v>47</v>
      </c>
      <c r="D5949" s="15" t="s">
        <v>549</v>
      </c>
      <c r="E5949" s="15" t="n">
        <v>6</v>
      </c>
      <c r="H5949" s="10"/>
      <c r="I5949" s="21"/>
      <c r="M5949" s="10"/>
      <c r="N5949" s="10"/>
      <c r="P5949" s="10"/>
      <c r="Q5949" s="22"/>
    </row>
    <row r="5950" customFormat="false" ht="15.75" hidden="false" customHeight="false" outlineLevel="0" collapsed="false">
      <c r="A5950" s="20" t="n">
        <v>46171</v>
      </c>
      <c r="B5950" s="15" t="s">
        <v>504</v>
      </c>
      <c r="C5950" s="15" t="s">
        <v>55</v>
      </c>
      <c r="D5950" s="15" t="s">
        <v>539</v>
      </c>
      <c r="E5950" s="15" t="n">
        <v>12</v>
      </c>
      <c r="H5950" s="10"/>
      <c r="I5950" s="21"/>
      <c r="M5950" s="10"/>
      <c r="N5950" s="10"/>
      <c r="P5950" s="10"/>
      <c r="Q5950" s="22"/>
    </row>
    <row r="5951" customFormat="false" ht="15.75" hidden="false" customHeight="false" outlineLevel="0" collapsed="false">
      <c r="A5951" s="20" t="n">
        <v>46171</v>
      </c>
      <c r="B5951" s="15" t="s">
        <v>504</v>
      </c>
      <c r="C5951" s="15" t="s">
        <v>81</v>
      </c>
      <c r="D5951" s="15" t="s">
        <v>534</v>
      </c>
      <c r="E5951" s="15" t="n">
        <v>18</v>
      </c>
      <c r="H5951" s="10"/>
      <c r="I5951" s="21"/>
      <c r="M5951" s="10"/>
      <c r="N5951" s="10"/>
      <c r="P5951" s="10"/>
      <c r="Q5951" s="22"/>
    </row>
    <row r="5952" customFormat="false" ht="15.75" hidden="false" customHeight="false" outlineLevel="0" collapsed="false">
      <c r="A5952" s="20" t="n">
        <v>46171</v>
      </c>
      <c r="B5952" s="15" t="s">
        <v>504</v>
      </c>
      <c r="C5952" s="15" t="s">
        <v>39</v>
      </c>
      <c r="D5952" s="15" t="s">
        <v>550</v>
      </c>
      <c r="E5952" s="15" t="n">
        <v>2</v>
      </c>
      <c r="H5952" s="10"/>
      <c r="I5952" s="21"/>
      <c r="M5952" s="10"/>
      <c r="N5952" s="10"/>
      <c r="P5952" s="10"/>
      <c r="Q5952" s="22"/>
    </row>
    <row r="5953" customFormat="false" ht="15.75" hidden="false" customHeight="false" outlineLevel="0" collapsed="false">
      <c r="A5953" s="20" t="n">
        <v>46171</v>
      </c>
      <c r="B5953" s="15" t="s">
        <v>504</v>
      </c>
      <c r="C5953" s="15" t="s">
        <v>63</v>
      </c>
      <c r="D5953" s="15" t="s">
        <v>551</v>
      </c>
      <c r="E5953" s="15" t="n">
        <v>2</v>
      </c>
      <c r="H5953" s="10"/>
      <c r="I5953" s="21"/>
      <c r="M5953" s="10"/>
      <c r="N5953" s="10"/>
      <c r="P5953" s="10"/>
      <c r="Q5953" s="22"/>
    </row>
    <row r="5954" customFormat="false" ht="15.75" hidden="false" customHeight="false" outlineLevel="0" collapsed="false">
      <c r="A5954" s="20" t="n">
        <v>46171</v>
      </c>
      <c r="B5954" s="15" t="s">
        <v>504</v>
      </c>
      <c r="C5954" s="15" t="s">
        <v>17</v>
      </c>
      <c r="D5954" s="15" t="s">
        <v>554</v>
      </c>
      <c r="E5954" s="15" t="n">
        <v>2</v>
      </c>
      <c r="H5954" s="10"/>
      <c r="I5954" s="21"/>
      <c r="M5954" s="10"/>
      <c r="N5954" s="10"/>
      <c r="P5954" s="10"/>
      <c r="Q5954" s="22"/>
    </row>
    <row r="5955" customFormat="false" ht="15.75" hidden="false" customHeight="false" outlineLevel="0" collapsed="false">
      <c r="A5955" s="20" t="n">
        <v>46171</v>
      </c>
      <c r="B5955" s="15" t="s">
        <v>508</v>
      </c>
      <c r="C5955" s="15" t="s">
        <v>55</v>
      </c>
      <c r="D5955" s="15" t="s">
        <v>539</v>
      </c>
      <c r="E5955" s="15" t="n">
        <v>5</v>
      </c>
      <c r="H5955" s="10"/>
      <c r="I5955" s="21"/>
      <c r="M5955" s="10"/>
      <c r="N5955" s="10"/>
      <c r="P5955" s="10"/>
      <c r="Q5955" s="22"/>
    </row>
    <row r="5956" customFormat="false" ht="15.75" hidden="false" customHeight="false" outlineLevel="0" collapsed="false">
      <c r="A5956" s="20" t="n">
        <v>46171</v>
      </c>
      <c r="B5956" s="15" t="s">
        <v>508</v>
      </c>
      <c r="C5956" s="15" t="s">
        <v>81</v>
      </c>
      <c r="D5956" s="15" t="s">
        <v>534</v>
      </c>
      <c r="E5956" s="15" t="n">
        <v>9</v>
      </c>
      <c r="H5956" s="10"/>
      <c r="I5956" s="21"/>
      <c r="M5956" s="10"/>
      <c r="N5956" s="10"/>
      <c r="P5956" s="10"/>
      <c r="Q5956" s="22"/>
    </row>
    <row r="5957" customFormat="false" ht="15.75" hidden="false" customHeight="false" outlineLevel="0" collapsed="false">
      <c r="A5957" s="20" t="n">
        <v>46171</v>
      </c>
      <c r="B5957" s="15" t="s">
        <v>508</v>
      </c>
      <c r="C5957" s="15" t="s">
        <v>39</v>
      </c>
      <c r="D5957" s="15" t="s">
        <v>550</v>
      </c>
      <c r="E5957" s="15" t="n">
        <v>2</v>
      </c>
      <c r="H5957" s="10"/>
      <c r="I5957" s="21"/>
      <c r="M5957" s="10"/>
      <c r="N5957" s="10"/>
      <c r="P5957" s="10"/>
      <c r="Q5957" s="22"/>
    </row>
    <row r="5958" customFormat="false" ht="15.75" hidden="false" customHeight="false" outlineLevel="0" collapsed="false">
      <c r="A5958" s="20" t="n">
        <v>46171</v>
      </c>
      <c r="B5958" s="15" t="s">
        <v>508</v>
      </c>
      <c r="C5958" s="15" t="s">
        <v>47</v>
      </c>
      <c r="D5958" s="15" t="s">
        <v>549</v>
      </c>
      <c r="E5958" s="15" t="n">
        <v>2</v>
      </c>
      <c r="H5958" s="10"/>
      <c r="I5958" s="21"/>
      <c r="M5958" s="10"/>
      <c r="N5958" s="10"/>
      <c r="P5958" s="10"/>
      <c r="Q5958" s="22"/>
    </row>
    <row r="5959" customFormat="false" ht="15.75" hidden="false" customHeight="false" outlineLevel="0" collapsed="false">
      <c r="A5959" s="20" t="n">
        <v>46171</v>
      </c>
      <c r="B5959" s="15" t="s">
        <v>508</v>
      </c>
      <c r="C5959" s="15" t="s">
        <v>63</v>
      </c>
      <c r="D5959" s="15" t="s">
        <v>551</v>
      </c>
      <c r="E5959" s="15" t="n">
        <v>1</v>
      </c>
      <c r="H5959" s="10"/>
      <c r="I5959" s="21"/>
      <c r="M5959" s="10"/>
      <c r="N5959" s="10"/>
      <c r="P5959" s="10"/>
      <c r="Q5959" s="22"/>
    </row>
    <row r="5960" customFormat="false" ht="15.75" hidden="false" customHeight="false" outlineLevel="0" collapsed="false">
      <c r="A5960" s="20" t="n">
        <v>46175</v>
      </c>
      <c r="B5960" s="15" t="s">
        <v>453</v>
      </c>
      <c r="C5960" s="15" t="s">
        <v>47</v>
      </c>
      <c r="D5960" s="15" t="s">
        <v>549</v>
      </c>
      <c r="E5960" s="15" t="n">
        <v>4</v>
      </c>
      <c r="H5960" s="10"/>
      <c r="I5960" s="21"/>
      <c r="M5960" s="10"/>
      <c r="N5960" s="10"/>
      <c r="P5960" s="10"/>
      <c r="Q5960" s="22"/>
    </row>
    <row r="5961" customFormat="false" ht="15.75" hidden="false" customHeight="false" outlineLevel="0" collapsed="false">
      <c r="A5961" s="20" t="n">
        <v>46175</v>
      </c>
      <c r="B5961" s="15" t="s">
        <v>453</v>
      </c>
      <c r="C5961" s="15" t="s">
        <v>55</v>
      </c>
      <c r="D5961" s="15" t="s">
        <v>539</v>
      </c>
      <c r="E5961" s="15" t="n">
        <v>8</v>
      </c>
      <c r="H5961" s="10"/>
      <c r="I5961" s="21"/>
      <c r="M5961" s="10"/>
      <c r="N5961" s="10"/>
      <c r="P5961" s="10"/>
      <c r="Q5961" s="22"/>
    </row>
    <row r="5962" customFormat="false" ht="15.75" hidden="false" customHeight="false" outlineLevel="0" collapsed="false">
      <c r="A5962" s="20" t="n">
        <v>46175</v>
      </c>
      <c r="B5962" s="15" t="s">
        <v>453</v>
      </c>
      <c r="C5962" s="15" t="s">
        <v>81</v>
      </c>
      <c r="D5962" s="15" t="s">
        <v>534</v>
      </c>
      <c r="E5962" s="15" t="n">
        <v>16</v>
      </c>
      <c r="H5962" s="10"/>
      <c r="I5962" s="21"/>
      <c r="M5962" s="10"/>
      <c r="N5962" s="10"/>
      <c r="P5962" s="10"/>
      <c r="Q5962" s="22"/>
    </row>
    <row r="5963" customFormat="false" ht="15.75" hidden="false" customHeight="false" outlineLevel="0" collapsed="false">
      <c r="A5963" s="20" t="n">
        <v>46175</v>
      </c>
      <c r="B5963" s="15" t="s">
        <v>453</v>
      </c>
      <c r="C5963" s="15" t="s">
        <v>39</v>
      </c>
      <c r="D5963" s="15" t="s">
        <v>550</v>
      </c>
      <c r="E5963" s="15" t="n">
        <v>4</v>
      </c>
      <c r="H5963" s="10"/>
      <c r="I5963" s="21"/>
      <c r="M5963" s="10"/>
      <c r="N5963" s="10"/>
      <c r="P5963" s="10"/>
      <c r="Q5963" s="22"/>
    </row>
    <row r="5964" customFormat="false" ht="15.75" hidden="false" customHeight="false" outlineLevel="0" collapsed="false">
      <c r="A5964" s="20" t="n">
        <v>46175</v>
      </c>
      <c r="B5964" s="15" t="s">
        <v>453</v>
      </c>
      <c r="C5964" s="15" t="s">
        <v>63</v>
      </c>
      <c r="D5964" s="15" t="s">
        <v>551</v>
      </c>
      <c r="E5964" s="15" t="n">
        <v>2</v>
      </c>
      <c r="H5964" s="10"/>
      <c r="I5964" s="21"/>
      <c r="M5964" s="10"/>
      <c r="N5964" s="10"/>
      <c r="P5964" s="10"/>
      <c r="Q5964" s="22"/>
    </row>
    <row r="5965" customFormat="false" ht="15.75" hidden="false" customHeight="false" outlineLevel="0" collapsed="false">
      <c r="A5965" s="20" t="n">
        <v>46175</v>
      </c>
      <c r="B5965" s="15" t="s">
        <v>453</v>
      </c>
      <c r="C5965" s="15" t="s">
        <v>35</v>
      </c>
      <c r="D5965" s="15" t="s">
        <v>552</v>
      </c>
      <c r="E5965" s="15" t="n">
        <v>4</v>
      </c>
      <c r="H5965" s="10"/>
      <c r="I5965" s="21"/>
      <c r="M5965" s="10"/>
      <c r="N5965" s="10"/>
      <c r="P5965" s="10"/>
      <c r="Q5965" s="22"/>
    </row>
    <row r="5966" customFormat="false" ht="15.75" hidden="false" customHeight="false" outlineLevel="0" collapsed="false">
      <c r="A5966" s="20" t="n">
        <v>46175</v>
      </c>
      <c r="B5966" s="15" t="s">
        <v>504</v>
      </c>
      <c r="C5966" s="15" t="s">
        <v>47</v>
      </c>
      <c r="D5966" s="15" t="s">
        <v>549</v>
      </c>
      <c r="E5966" s="15" t="n">
        <v>6</v>
      </c>
      <c r="H5966" s="10"/>
      <c r="I5966" s="21"/>
      <c r="M5966" s="10"/>
      <c r="N5966" s="10"/>
      <c r="P5966" s="10"/>
      <c r="Q5966" s="22"/>
    </row>
    <row r="5967" customFormat="false" ht="15.75" hidden="false" customHeight="false" outlineLevel="0" collapsed="false">
      <c r="A5967" s="20" t="n">
        <v>46175</v>
      </c>
      <c r="B5967" s="15" t="s">
        <v>504</v>
      </c>
      <c r="C5967" s="15" t="s">
        <v>55</v>
      </c>
      <c r="D5967" s="15" t="s">
        <v>539</v>
      </c>
      <c r="E5967" s="15" t="n">
        <v>12</v>
      </c>
      <c r="H5967" s="10"/>
      <c r="I5967" s="21"/>
      <c r="M5967" s="10"/>
      <c r="N5967" s="10"/>
      <c r="P5967" s="10"/>
      <c r="Q5967" s="22"/>
    </row>
    <row r="5968" customFormat="false" ht="15.75" hidden="false" customHeight="false" outlineLevel="0" collapsed="false">
      <c r="A5968" s="20" t="n">
        <v>46175</v>
      </c>
      <c r="B5968" s="15" t="s">
        <v>504</v>
      </c>
      <c r="C5968" s="15" t="s">
        <v>81</v>
      </c>
      <c r="D5968" s="15" t="s">
        <v>534</v>
      </c>
      <c r="E5968" s="15" t="n">
        <v>18</v>
      </c>
      <c r="H5968" s="10"/>
      <c r="I5968" s="21"/>
      <c r="M5968" s="10"/>
      <c r="N5968" s="10"/>
      <c r="P5968" s="10"/>
      <c r="Q5968" s="22"/>
    </row>
    <row r="5969" customFormat="false" ht="15.75" hidden="false" customHeight="false" outlineLevel="0" collapsed="false">
      <c r="A5969" s="20" t="n">
        <v>46175</v>
      </c>
      <c r="B5969" s="15" t="s">
        <v>504</v>
      </c>
      <c r="C5969" s="15" t="s">
        <v>39</v>
      </c>
      <c r="D5969" s="15" t="s">
        <v>550</v>
      </c>
      <c r="E5969" s="15" t="n">
        <v>2</v>
      </c>
      <c r="H5969" s="10"/>
      <c r="I5969" s="21"/>
      <c r="M5969" s="10"/>
      <c r="N5969" s="10"/>
      <c r="P5969" s="10"/>
      <c r="Q5969" s="22"/>
    </row>
    <row r="5970" customFormat="false" ht="15.75" hidden="false" customHeight="false" outlineLevel="0" collapsed="false">
      <c r="A5970" s="20" t="n">
        <v>46175</v>
      </c>
      <c r="B5970" s="15" t="s">
        <v>504</v>
      </c>
      <c r="C5970" s="15" t="s">
        <v>63</v>
      </c>
      <c r="D5970" s="15" t="s">
        <v>551</v>
      </c>
      <c r="E5970" s="15" t="n">
        <v>2</v>
      </c>
      <c r="H5970" s="10"/>
      <c r="I5970" s="21"/>
      <c r="M5970" s="10"/>
      <c r="N5970" s="10"/>
      <c r="P5970" s="10"/>
      <c r="Q5970" s="22"/>
    </row>
    <row r="5971" customFormat="false" ht="15.75" hidden="false" customHeight="false" outlineLevel="0" collapsed="false">
      <c r="A5971" s="20" t="n">
        <v>46175</v>
      </c>
      <c r="B5971" s="15" t="s">
        <v>504</v>
      </c>
      <c r="C5971" s="15" t="s">
        <v>17</v>
      </c>
      <c r="D5971" s="15" t="s">
        <v>554</v>
      </c>
      <c r="E5971" s="15" t="n">
        <v>2</v>
      </c>
      <c r="H5971" s="10"/>
      <c r="I5971" s="21"/>
      <c r="M5971" s="10"/>
      <c r="N5971" s="10"/>
      <c r="P5971" s="10"/>
      <c r="Q5971" s="22"/>
    </row>
    <row r="5972" customFormat="false" ht="15.75" hidden="false" customHeight="false" outlineLevel="0" collapsed="false">
      <c r="A5972" s="20" t="n">
        <v>46175</v>
      </c>
      <c r="B5972" s="15" t="s">
        <v>508</v>
      </c>
      <c r="C5972" s="15" t="s">
        <v>55</v>
      </c>
      <c r="D5972" s="15" t="s">
        <v>539</v>
      </c>
      <c r="E5972" s="15" t="n">
        <v>5</v>
      </c>
      <c r="H5972" s="10"/>
      <c r="I5972" s="21"/>
      <c r="M5972" s="10"/>
      <c r="N5972" s="10"/>
      <c r="P5972" s="10"/>
      <c r="Q5972" s="22"/>
    </row>
    <row r="5973" customFormat="false" ht="15.75" hidden="false" customHeight="false" outlineLevel="0" collapsed="false">
      <c r="A5973" s="20" t="n">
        <v>46175</v>
      </c>
      <c r="B5973" s="15" t="s">
        <v>508</v>
      </c>
      <c r="C5973" s="15" t="s">
        <v>81</v>
      </c>
      <c r="D5973" s="15" t="s">
        <v>534</v>
      </c>
      <c r="E5973" s="15" t="n">
        <v>9</v>
      </c>
      <c r="H5973" s="10"/>
      <c r="I5973" s="21"/>
      <c r="M5973" s="10"/>
      <c r="N5973" s="10"/>
      <c r="P5973" s="10"/>
      <c r="Q5973" s="22"/>
    </row>
    <row r="5974" customFormat="false" ht="15.75" hidden="false" customHeight="false" outlineLevel="0" collapsed="false">
      <c r="A5974" s="20" t="n">
        <v>46175</v>
      </c>
      <c r="B5974" s="15" t="s">
        <v>508</v>
      </c>
      <c r="C5974" s="15" t="s">
        <v>39</v>
      </c>
      <c r="D5974" s="15" t="s">
        <v>550</v>
      </c>
      <c r="E5974" s="15" t="n">
        <v>2</v>
      </c>
      <c r="H5974" s="10"/>
      <c r="I5974" s="21"/>
      <c r="M5974" s="10"/>
      <c r="N5974" s="10"/>
      <c r="P5974" s="10"/>
      <c r="Q5974" s="22"/>
    </row>
    <row r="5975" customFormat="false" ht="15.75" hidden="false" customHeight="false" outlineLevel="0" collapsed="false">
      <c r="A5975" s="20" t="n">
        <v>46175</v>
      </c>
      <c r="B5975" s="15" t="s">
        <v>508</v>
      </c>
      <c r="C5975" s="15" t="s">
        <v>47</v>
      </c>
      <c r="D5975" s="15" t="s">
        <v>549</v>
      </c>
      <c r="E5975" s="15" t="n">
        <v>2</v>
      </c>
      <c r="H5975" s="10"/>
      <c r="I5975" s="21"/>
      <c r="M5975" s="10"/>
      <c r="N5975" s="10"/>
      <c r="P5975" s="10"/>
      <c r="Q5975" s="22"/>
    </row>
    <row r="5976" customFormat="false" ht="15.75" hidden="false" customHeight="false" outlineLevel="0" collapsed="false">
      <c r="A5976" s="20" t="n">
        <v>46175</v>
      </c>
      <c r="B5976" s="15" t="s">
        <v>508</v>
      </c>
      <c r="C5976" s="15" t="s">
        <v>63</v>
      </c>
      <c r="D5976" s="15" t="s">
        <v>551</v>
      </c>
      <c r="E5976" s="15" t="n">
        <v>1</v>
      </c>
      <c r="H5976" s="10"/>
      <c r="I5976" s="21"/>
      <c r="M5976" s="10"/>
      <c r="N5976" s="10"/>
      <c r="P5976" s="10"/>
      <c r="Q5976" s="22"/>
    </row>
    <row r="5977" customFormat="false" ht="15.75" hidden="false" customHeight="false" outlineLevel="0" collapsed="false">
      <c r="A5977" s="20" t="n">
        <v>46176</v>
      </c>
      <c r="B5977" s="15" t="s">
        <v>453</v>
      </c>
      <c r="C5977" s="15" t="s">
        <v>47</v>
      </c>
      <c r="D5977" s="15" t="s">
        <v>549</v>
      </c>
      <c r="E5977" s="15" t="n">
        <v>4</v>
      </c>
      <c r="H5977" s="10"/>
      <c r="I5977" s="21"/>
      <c r="M5977" s="10"/>
      <c r="N5977" s="10"/>
      <c r="P5977" s="10"/>
      <c r="Q5977" s="22"/>
    </row>
    <row r="5978" customFormat="false" ht="15.75" hidden="false" customHeight="false" outlineLevel="0" collapsed="false">
      <c r="A5978" s="20" t="n">
        <v>46176</v>
      </c>
      <c r="B5978" s="15" t="s">
        <v>453</v>
      </c>
      <c r="C5978" s="15" t="s">
        <v>55</v>
      </c>
      <c r="D5978" s="15" t="s">
        <v>539</v>
      </c>
      <c r="E5978" s="15" t="n">
        <v>8</v>
      </c>
      <c r="H5978" s="10"/>
      <c r="I5978" s="21"/>
      <c r="M5978" s="10"/>
      <c r="N5978" s="10"/>
      <c r="P5978" s="10"/>
      <c r="Q5978" s="22"/>
    </row>
    <row r="5979" customFormat="false" ht="15.75" hidden="false" customHeight="false" outlineLevel="0" collapsed="false">
      <c r="A5979" s="20" t="n">
        <v>46176</v>
      </c>
      <c r="B5979" s="15" t="s">
        <v>453</v>
      </c>
      <c r="C5979" s="15" t="s">
        <v>81</v>
      </c>
      <c r="D5979" s="15" t="s">
        <v>534</v>
      </c>
      <c r="E5979" s="15" t="n">
        <v>16</v>
      </c>
      <c r="H5979" s="10"/>
      <c r="I5979" s="21"/>
      <c r="M5979" s="10"/>
      <c r="N5979" s="10"/>
      <c r="P5979" s="10"/>
      <c r="Q5979" s="22"/>
    </row>
    <row r="5980" customFormat="false" ht="15.75" hidden="false" customHeight="false" outlineLevel="0" collapsed="false">
      <c r="A5980" s="20" t="n">
        <v>46176</v>
      </c>
      <c r="B5980" s="15" t="s">
        <v>453</v>
      </c>
      <c r="C5980" s="15" t="s">
        <v>39</v>
      </c>
      <c r="D5980" s="15" t="s">
        <v>550</v>
      </c>
      <c r="E5980" s="15" t="n">
        <v>4</v>
      </c>
      <c r="H5980" s="10"/>
      <c r="I5980" s="21"/>
      <c r="M5980" s="10"/>
      <c r="N5980" s="10"/>
      <c r="P5980" s="10"/>
      <c r="Q5980" s="22"/>
    </row>
    <row r="5981" customFormat="false" ht="15.75" hidden="false" customHeight="false" outlineLevel="0" collapsed="false">
      <c r="A5981" s="20" t="n">
        <v>46176</v>
      </c>
      <c r="B5981" s="15" t="s">
        <v>453</v>
      </c>
      <c r="C5981" s="15" t="s">
        <v>63</v>
      </c>
      <c r="D5981" s="15" t="s">
        <v>551</v>
      </c>
      <c r="E5981" s="15" t="n">
        <v>2</v>
      </c>
      <c r="H5981" s="10"/>
      <c r="I5981" s="21"/>
      <c r="M5981" s="10"/>
      <c r="N5981" s="10"/>
      <c r="P5981" s="10"/>
      <c r="Q5981" s="22"/>
    </row>
    <row r="5982" customFormat="false" ht="15.75" hidden="false" customHeight="false" outlineLevel="0" collapsed="false">
      <c r="A5982" s="20" t="n">
        <v>46176</v>
      </c>
      <c r="B5982" s="15" t="s">
        <v>453</v>
      </c>
      <c r="C5982" s="15" t="s">
        <v>35</v>
      </c>
      <c r="D5982" s="15" t="s">
        <v>552</v>
      </c>
      <c r="E5982" s="15" t="n">
        <v>4</v>
      </c>
      <c r="H5982" s="10"/>
      <c r="I5982" s="21"/>
      <c r="M5982" s="10"/>
      <c r="N5982" s="10"/>
      <c r="P5982" s="10"/>
      <c r="Q5982" s="22"/>
    </row>
    <row r="5983" customFormat="false" ht="15.75" hidden="false" customHeight="false" outlineLevel="0" collapsed="false">
      <c r="A5983" s="20" t="n">
        <v>46176</v>
      </c>
      <c r="B5983" s="15" t="s">
        <v>504</v>
      </c>
      <c r="C5983" s="15" t="s">
        <v>47</v>
      </c>
      <c r="D5983" s="15" t="s">
        <v>549</v>
      </c>
      <c r="E5983" s="15" t="n">
        <v>6</v>
      </c>
      <c r="H5983" s="10"/>
      <c r="I5983" s="21"/>
      <c r="M5983" s="10"/>
      <c r="N5983" s="10"/>
      <c r="P5983" s="10"/>
      <c r="Q5983" s="22"/>
    </row>
    <row r="5984" customFormat="false" ht="15.75" hidden="false" customHeight="false" outlineLevel="0" collapsed="false">
      <c r="A5984" s="20" t="n">
        <v>46176</v>
      </c>
      <c r="B5984" s="15" t="s">
        <v>504</v>
      </c>
      <c r="C5984" s="15" t="s">
        <v>55</v>
      </c>
      <c r="D5984" s="15" t="s">
        <v>539</v>
      </c>
      <c r="E5984" s="15" t="n">
        <v>12</v>
      </c>
      <c r="H5984" s="10"/>
      <c r="I5984" s="21"/>
      <c r="M5984" s="10"/>
      <c r="N5984" s="10"/>
      <c r="P5984" s="10"/>
      <c r="Q5984" s="22"/>
    </row>
    <row r="5985" customFormat="false" ht="15.75" hidden="false" customHeight="false" outlineLevel="0" collapsed="false">
      <c r="A5985" s="20" t="n">
        <v>46176</v>
      </c>
      <c r="B5985" s="15" t="s">
        <v>504</v>
      </c>
      <c r="C5985" s="15" t="s">
        <v>81</v>
      </c>
      <c r="D5985" s="15" t="s">
        <v>534</v>
      </c>
      <c r="E5985" s="15" t="n">
        <v>18</v>
      </c>
      <c r="H5985" s="10"/>
      <c r="I5985" s="21"/>
      <c r="M5985" s="10"/>
      <c r="N5985" s="10"/>
      <c r="P5985" s="10"/>
      <c r="Q5985" s="22"/>
    </row>
    <row r="5986" customFormat="false" ht="15.75" hidden="false" customHeight="false" outlineLevel="0" collapsed="false">
      <c r="A5986" s="20" t="n">
        <v>46176</v>
      </c>
      <c r="B5986" s="15" t="s">
        <v>504</v>
      </c>
      <c r="C5986" s="15" t="s">
        <v>39</v>
      </c>
      <c r="D5986" s="15" t="s">
        <v>550</v>
      </c>
      <c r="E5986" s="15" t="n">
        <v>2</v>
      </c>
      <c r="H5986" s="10"/>
      <c r="I5986" s="21"/>
      <c r="M5986" s="10"/>
      <c r="N5986" s="10"/>
      <c r="P5986" s="10"/>
      <c r="Q5986" s="22"/>
    </row>
    <row r="5987" customFormat="false" ht="15.75" hidden="false" customHeight="false" outlineLevel="0" collapsed="false">
      <c r="A5987" s="20" t="n">
        <v>46176</v>
      </c>
      <c r="B5987" s="15" t="s">
        <v>504</v>
      </c>
      <c r="C5987" s="15" t="s">
        <v>63</v>
      </c>
      <c r="D5987" s="15" t="s">
        <v>551</v>
      </c>
      <c r="E5987" s="15" t="n">
        <v>2</v>
      </c>
      <c r="H5987" s="10"/>
      <c r="I5987" s="21"/>
      <c r="M5987" s="10"/>
      <c r="N5987" s="10"/>
      <c r="P5987" s="10"/>
      <c r="Q5987" s="22"/>
    </row>
    <row r="5988" customFormat="false" ht="15.75" hidden="false" customHeight="false" outlineLevel="0" collapsed="false">
      <c r="A5988" s="20" t="n">
        <v>46176</v>
      </c>
      <c r="B5988" s="15" t="s">
        <v>504</v>
      </c>
      <c r="C5988" s="15" t="s">
        <v>17</v>
      </c>
      <c r="D5988" s="15" t="s">
        <v>554</v>
      </c>
      <c r="E5988" s="15" t="n">
        <v>2</v>
      </c>
      <c r="H5988" s="10"/>
      <c r="I5988" s="21"/>
      <c r="M5988" s="10"/>
      <c r="N5988" s="10"/>
      <c r="P5988" s="10"/>
      <c r="Q5988" s="22"/>
    </row>
    <row r="5989" customFormat="false" ht="15.75" hidden="false" customHeight="false" outlineLevel="0" collapsed="false">
      <c r="A5989" s="20" t="n">
        <v>46176</v>
      </c>
      <c r="B5989" s="15" t="s">
        <v>508</v>
      </c>
      <c r="C5989" s="15" t="s">
        <v>55</v>
      </c>
      <c r="D5989" s="15" t="s">
        <v>539</v>
      </c>
      <c r="E5989" s="15" t="n">
        <v>5</v>
      </c>
      <c r="H5989" s="10"/>
      <c r="I5989" s="21"/>
      <c r="M5989" s="10"/>
      <c r="N5989" s="10"/>
      <c r="P5989" s="10"/>
      <c r="Q5989" s="22"/>
    </row>
    <row r="5990" customFormat="false" ht="15.75" hidden="false" customHeight="false" outlineLevel="0" collapsed="false">
      <c r="A5990" s="20" t="n">
        <v>46176</v>
      </c>
      <c r="B5990" s="15" t="s">
        <v>508</v>
      </c>
      <c r="C5990" s="15" t="s">
        <v>81</v>
      </c>
      <c r="D5990" s="15" t="s">
        <v>534</v>
      </c>
      <c r="E5990" s="15" t="n">
        <v>9</v>
      </c>
      <c r="H5990" s="10"/>
      <c r="I5990" s="21"/>
      <c r="M5990" s="10"/>
      <c r="N5990" s="10"/>
      <c r="P5990" s="10"/>
      <c r="Q5990" s="22"/>
    </row>
    <row r="5991" customFormat="false" ht="15.75" hidden="false" customHeight="false" outlineLevel="0" collapsed="false">
      <c r="A5991" s="20" t="n">
        <v>46176</v>
      </c>
      <c r="B5991" s="15" t="s">
        <v>508</v>
      </c>
      <c r="C5991" s="15" t="s">
        <v>39</v>
      </c>
      <c r="D5991" s="15" t="s">
        <v>550</v>
      </c>
      <c r="E5991" s="15" t="n">
        <v>2</v>
      </c>
      <c r="H5991" s="10"/>
      <c r="I5991" s="21"/>
      <c r="M5991" s="10"/>
      <c r="N5991" s="10"/>
      <c r="P5991" s="10"/>
      <c r="Q5991" s="22"/>
    </row>
    <row r="5992" customFormat="false" ht="15.75" hidden="false" customHeight="false" outlineLevel="0" collapsed="false">
      <c r="A5992" s="20" t="n">
        <v>46176</v>
      </c>
      <c r="B5992" s="15" t="s">
        <v>508</v>
      </c>
      <c r="C5992" s="15" t="s">
        <v>47</v>
      </c>
      <c r="D5992" s="15" t="s">
        <v>549</v>
      </c>
      <c r="E5992" s="15" t="n">
        <v>2</v>
      </c>
      <c r="H5992" s="10"/>
      <c r="I5992" s="21"/>
      <c r="M5992" s="10"/>
      <c r="N5992" s="10"/>
      <c r="P5992" s="10"/>
      <c r="Q5992" s="22"/>
    </row>
    <row r="5993" customFormat="false" ht="15.75" hidden="false" customHeight="false" outlineLevel="0" collapsed="false">
      <c r="A5993" s="20" t="n">
        <v>46176</v>
      </c>
      <c r="B5993" s="15" t="s">
        <v>508</v>
      </c>
      <c r="C5993" s="15" t="s">
        <v>63</v>
      </c>
      <c r="D5993" s="15" t="s">
        <v>551</v>
      </c>
      <c r="E5993" s="15" t="n">
        <v>1</v>
      </c>
      <c r="H5993" s="10"/>
      <c r="I5993" s="21"/>
      <c r="M5993" s="10"/>
      <c r="N5993" s="10"/>
      <c r="P5993" s="10"/>
      <c r="Q5993" s="22"/>
    </row>
    <row r="5994" customFormat="false" ht="15.75" hidden="false" customHeight="false" outlineLevel="0" collapsed="false">
      <c r="A5994" s="20" t="n">
        <v>46177</v>
      </c>
      <c r="B5994" s="15" t="s">
        <v>453</v>
      </c>
      <c r="C5994" s="15" t="s">
        <v>47</v>
      </c>
      <c r="D5994" s="15" t="s">
        <v>549</v>
      </c>
      <c r="E5994" s="15" t="n">
        <v>4</v>
      </c>
      <c r="H5994" s="10"/>
      <c r="I5994" s="21"/>
      <c r="M5994" s="10"/>
      <c r="N5994" s="10"/>
      <c r="P5994" s="10"/>
      <c r="Q5994" s="22"/>
    </row>
    <row r="5995" customFormat="false" ht="15.75" hidden="false" customHeight="false" outlineLevel="0" collapsed="false">
      <c r="A5995" s="20" t="n">
        <v>46177</v>
      </c>
      <c r="B5995" s="15" t="s">
        <v>453</v>
      </c>
      <c r="C5995" s="15" t="s">
        <v>55</v>
      </c>
      <c r="D5995" s="15" t="s">
        <v>539</v>
      </c>
      <c r="E5995" s="15" t="n">
        <v>8</v>
      </c>
      <c r="H5995" s="10"/>
      <c r="I5995" s="21"/>
      <c r="M5995" s="10"/>
      <c r="N5995" s="10"/>
      <c r="P5995" s="10"/>
      <c r="Q5995" s="22"/>
    </row>
    <row r="5996" customFormat="false" ht="15.75" hidden="false" customHeight="false" outlineLevel="0" collapsed="false">
      <c r="A5996" s="20" t="n">
        <v>46177</v>
      </c>
      <c r="B5996" s="15" t="s">
        <v>453</v>
      </c>
      <c r="C5996" s="15" t="s">
        <v>81</v>
      </c>
      <c r="D5996" s="15" t="s">
        <v>534</v>
      </c>
      <c r="E5996" s="15" t="n">
        <v>16</v>
      </c>
      <c r="H5996" s="10"/>
      <c r="I5996" s="21"/>
      <c r="M5996" s="10"/>
      <c r="N5996" s="10"/>
      <c r="P5996" s="10"/>
      <c r="Q5996" s="22"/>
    </row>
    <row r="5997" customFormat="false" ht="15.75" hidden="false" customHeight="false" outlineLevel="0" collapsed="false">
      <c r="A5997" s="20" t="n">
        <v>46177</v>
      </c>
      <c r="B5997" s="15" t="s">
        <v>453</v>
      </c>
      <c r="C5997" s="15" t="s">
        <v>39</v>
      </c>
      <c r="D5997" s="15" t="s">
        <v>550</v>
      </c>
      <c r="E5997" s="15" t="n">
        <v>4</v>
      </c>
      <c r="H5997" s="10"/>
      <c r="I5997" s="21"/>
      <c r="M5997" s="10"/>
      <c r="N5997" s="10"/>
      <c r="P5997" s="10"/>
      <c r="Q5997" s="22"/>
    </row>
    <row r="5998" customFormat="false" ht="15.75" hidden="false" customHeight="false" outlineLevel="0" collapsed="false">
      <c r="A5998" s="20" t="n">
        <v>46177</v>
      </c>
      <c r="B5998" s="15" t="s">
        <v>453</v>
      </c>
      <c r="C5998" s="15" t="s">
        <v>63</v>
      </c>
      <c r="D5998" s="15" t="s">
        <v>551</v>
      </c>
      <c r="E5998" s="15" t="n">
        <v>2</v>
      </c>
      <c r="H5998" s="10"/>
      <c r="I5998" s="21"/>
      <c r="M5998" s="10"/>
      <c r="N5998" s="10"/>
      <c r="P5998" s="10"/>
      <c r="Q5998" s="22"/>
    </row>
    <row r="5999" customFormat="false" ht="15.75" hidden="false" customHeight="false" outlineLevel="0" collapsed="false">
      <c r="A5999" s="20" t="n">
        <v>46177</v>
      </c>
      <c r="B5999" s="15" t="s">
        <v>453</v>
      </c>
      <c r="C5999" s="15" t="s">
        <v>35</v>
      </c>
      <c r="D5999" s="15" t="s">
        <v>552</v>
      </c>
      <c r="E5999" s="15" t="n">
        <v>4</v>
      </c>
      <c r="H5999" s="10"/>
      <c r="I5999" s="21"/>
      <c r="M5999" s="10"/>
      <c r="N5999" s="10"/>
      <c r="P5999" s="10"/>
      <c r="Q5999" s="22"/>
    </row>
    <row r="6000" customFormat="false" ht="15.75" hidden="false" customHeight="false" outlineLevel="0" collapsed="false">
      <c r="A6000" s="20" t="n">
        <v>46177</v>
      </c>
      <c r="B6000" s="15" t="s">
        <v>504</v>
      </c>
      <c r="C6000" s="15" t="s">
        <v>47</v>
      </c>
      <c r="D6000" s="15" t="s">
        <v>549</v>
      </c>
      <c r="E6000" s="15" t="n">
        <v>6</v>
      </c>
      <c r="H6000" s="10"/>
      <c r="I6000" s="21"/>
      <c r="M6000" s="10"/>
      <c r="N6000" s="10"/>
      <c r="P6000" s="10"/>
      <c r="Q6000" s="22"/>
    </row>
    <row r="6001" customFormat="false" ht="15.75" hidden="false" customHeight="false" outlineLevel="0" collapsed="false">
      <c r="A6001" s="20" t="n">
        <v>46177</v>
      </c>
      <c r="B6001" s="15" t="s">
        <v>504</v>
      </c>
      <c r="C6001" s="15" t="s">
        <v>55</v>
      </c>
      <c r="D6001" s="15" t="s">
        <v>539</v>
      </c>
      <c r="E6001" s="15" t="n">
        <v>12</v>
      </c>
      <c r="H6001" s="10"/>
      <c r="I6001" s="21"/>
      <c r="M6001" s="10"/>
      <c r="N6001" s="10"/>
      <c r="P6001" s="10"/>
      <c r="Q6001" s="22"/>
    </row>
    <row r="6002" customFormat="false" ht="15.75" hidden="false" customHeight="false" outlineLevel="0" collapsed="false">
      <c r="A6002" s="20" t="n">
        <v>46177</v>
      </c>
      <c r="B6002" s="15" t="s">
        <v>504</v>
      </c>
      <c r="C6002" s="15" t="s">
        <v>81</v>
      </c>
      <c r="D6002" s="15" t="s">
        <v>534</v>
      </c>
      <c r="E6002" s="15" t="n">
        <v>18</v>
      </c>
      <c r="H6002" s="10"/>
      <c r="I6002" s="21"/>
      <c r="M6002" s="10"/>
      <c r="N6002" s="10"/>
      <c r="P6002" s="10"/>
      <c r="Q6002" s="22"/>
    </row>
    <row r="6003" customFormat="false" ht="15.75" hidden="false" customHeight="false" outlineLevel="0" collapsed="false">
      <c r="A6003" s="20" t="n">
        <v>46177</v>
      </c>
      <c r="B6003" s="15" t="s">
        <v>504</v>
      </c>
      <c r="C6003" s="15" t="s">
        <v>39</v>
      </c>
      <c r="D6003" s="15" t="s">
        <v>550</v>
      </c>
      <c r="E6003" s="15" t="n">
        <v>2</v>
      </c>
      <c r="H6003" s="10"/>
      <c r="I6003" s="21"/>
      <c r="M6003" s="10"/>
      <c r="N6003" s="10"/>
      <c r="P6003" s="10"/>
      <c r="Q6003" s="22"/>
    </row>
    <row r="6004" customFormat="false" ht="15.75" hidden="false" customHeight="false" outlineLevel="0" collapsed="false">
      <c r="A6004" s="20" t="n">
        <v>46177</v>
      </c>
      <c r="B6004" s="15" t="s">
        <v>504</v>
      </c>
      <c r="C6004" s="15" t="s">
        <v>63</v>
      </c>
      <c r="D6004" s="15" t="s">
        <v>551</v>
      </c>
      <c r="E6004" s="15" t="n">
        <v>2</v>
      </c>
      <c r="H6004" s="10"/>
      <c r="I6004" s="21"/>
      <c r="M6004" s="10"/>
      <c r="N6004" s="10"/>
      <c r="P6004" s="10"/>
      <c r="Q6004" s="22"/>
    </row>
    <row r="6005" customFormat="false" ht="15.75" hidden="false" customHeight="false" outlineLevel="0" collapsed="false">
      <c r="A6005" s="20" t="n">
        <v>46177</v>
      </c>
      <c r="B6005" s="15" t="s">
        <v>504</v>
      </c>
      <c r="C6005" s="15" t="s">
        <v>17</v>
      </c>
      <c r="D6005" s="15" t="s">
        <v>554</v>
      </c>
      <c r="E6005" s="15" t="n">
        <v>2</v>
      </c>
      <c r="H6005" s="10"/>
      <c r="I6005" s="21"/>
      <c r="M6005" s="10"/>
      <c r="N6005" s="10"/>
      <c r="P6005" s="10"/>
      <c r="Q6005" s="22"/>
    </row>
    <row r="6006" customFormat="false" ht="15.75" hidden="false" customHeight="false" outlineLevel="0" collapsed="false">
      <c r="A6006" s="20" t="n">
        <v>46177</v>
      </c>
      <c r="B6006" s="15" t="s">
        <v>508</v>
      </c>
      <c r="C6006" s="15" t="s">
        <v>55</v>
      </c>
      <c r="D6006" s="15" t="s">
        <v>539</v>
      </c>
      <c r="E6006" s="15" t="n">
        <v>5</v>
      </c>
      <c r="H6006" s="10"/>
      <c r="I6006" s="21"/>
      <c r="M6006" s="10"/>
      <c r="N6006" s="10"/>
      <c r="P6006" s="10"/>
      <c r="Q6006" s="22"/>
    </row>
    <row r="6007" customFormat="false" ht="15.75" hidden="false" customHeight="false" outlineLevel="0" collapsed="false">
      <c r="A6007" s="20" t="n">
        <v>46177</v>
      </c>
      <c r="B6007" s="15" t="s">
        <v>508</v>
      </c>
      <c r="C6007" s="15" t="s">
        <v>81</v>
      </c>
      <c r="D6007" s="15" t="s">
        <v>534</v>
      </c>
      <c r="E6007" s="15" t="n">
        <v>9</v>
      </c>
      <c r="H6007" s="10"/>
      <c r="I6007" s="21"/>
      <c r="M6007" s="10"/>
      <c r="N6007" s="10"/>
      <c r="P6007" s="10"/>
      <c r="Q6007" s="22"/>
    </row>
    <row r="6008" customFormat="false" ht="15.75" hidden="false" customHeight="false" outlineLevel="0" collapsed="false">
      <c r="A6008" s="20" t="n">
        <v>46177</v>
      </c>
      <c r="B6008" s="15" t="s">
        <v>508</v>
      </c>
      <c r="C6008" s="15" t="s">
        <v>39</v>
      </c>
      <c r="D6008" s="15" t="s">
        <v>550</v>
      </c>
      <c r="E6008" s="15" t="n">
        <v>2</v>
      </c>
      <c r="H6008" s="10"/>
      <c r="I6008" s="21"/>
      <c r="M6008" s="10"/>
      <c r="N6008" s="10"/>
      <c r="P6008" s="10"/>
      <c r="Q6008" s="22"/>
    </row>
    <row r="6009" customFormat="false" ht="15.75" hidden="false" customHeight="false" outlineLevel="0" collapsed="false">
      <c r="A6009" s="20" t="n">
        <v>46177</v>
      </c>
      <c r="B6009" s="15" t="s">
        <v>508</v>
      </c>
      <c r="C6009" s="15" t="s">
        <v>47</v>
      </c>
      <c r="D6009" s="15" t="s">
        <v>549</v>
      </c>
      <c r="E6009" s="15" t="n">
        <v>2</v>
      </c>
      <c r="H6009" s="10"/>
      <c r="I6009" s="21"/>
      <c r="M6009" s="10"/>
      <c r="N6009" s="10"/>
      <c r="P6009" s="10"/>
      <c r="Q6009" s="22"/>
    </row>
    <row r="6010" customFormat="false" ht="15.75" hidden="false" customHeight="false" outlineLevel="0" collapsed="false">
      <c r="A6010" s="20" t="n">
        <v>46177</v>
      </c>
      <c r="B6010" s="15" t="s">
        <v>508</v>
      </c>
      <c r="C6010" s="15" t="s">
        <v>63</v>
      </c>
      <c r="D6010" s="15" t="s">
        <v>551</v>
      </c>
      <c r="E6010" s="15" t="n">
        <v>1</v>
      </c>
      <c r="H6010" s="10"/>
      <c r="I6010" s="21"/>
      <c r="M6010" s="10"/>
      <c r="N6010" s="10"/>
      <c r="P6010" s="10"/>
      <c r="Q6010" s="22"/>
    </row>
    <row r="6011" customFormat="false" ht="15.75" hidden="false" customHeight="false" outlineLevel="0" collapsed="false">
      <c r="A6011" s="20" t="n">
        <v>46178</v>
      </c>
      <c r="B6011" s="15" t="s">
        <v>453</v>
      </c>
      <c r="C6011" s="15" t="s">
        <v>47</v>
      </c>
      <c r="D6011" s="15" t="s">
        <v>549</v>
      </c>
      <c r="E6011" s="15" t="n">
        <v>4</v>
      </c>
      <c r="H6011" s="10"/>
      <c r="I6011" s="21"/>
      <c r="M6011" s="10"/>
      <c r="N6011" s="10"/>
      <c r="P6011" s="10"/>
      <c r="Q6011" s="22"/>
    </row>
    <row r="6012" customFormat="false" ht="15.75" hidden="false" customHeight="false" outlineLevel="0" collapsed="false">
      <c r="A6012" s="20" t="n">
        <v>46178</v>
      </c>
      <c r="B6012" s="15" t="s">
        <v>453</v>
      </c>
      <c r="C6012" s="15" t="s">
        <v>55</v>
      </c>
      <c r="D6012" s="15" t="s">
        <v>539</v>
      </c>
      <c r="E6012" s="15" t="n">
        <v>8</v>
      </c>
      <c r="H6012" s="10"/>
      <c r="I6012" s="21"/>
      <c r="M6012" s="10"/>
      <c r="N6012" s="10"/>
      <c r="P6012" s="10"/>
      <c r="Q6012" s="22"/>
    </row>
    <row r="6013" customFormat="false" ht="15.75" hidden="false" customHeight="false" outlineLevel="0" collapsed="false">
      <c r="A6013" s="20" t="n">
        <v>46178</v>
      </c>
      <c r="B6013" s="15" t="s">
        <v>453</v>
      </c>
      <c r="C6013" s="15" t="s">
        <v>81</v>
      </c>
      <c r="D6013" s="15" t="s">
        <v>534</v>
      </c>
      <c r="E6013" s="15" t="n">
        <v>16</v>
      </c>
      <c r="H6013" s="10"/>
      <c r="I6013" s="21"/>
      <c r="M6013" s="10"/>
      <c r="N6013" s="10"/>
      <c r="P6013" s="10"/>
      <c r="Q6013" s="22"/>
    </row>
    <row r="6014" customFormat="false" ht="15.75" hidden="false" customHeight="false" outlineLevel="0" collapsed="false">
      <c r="A6014" s="20" t="n">
        <v>46178</v>
      </c>
      <c r="B6014" s="15" t="s">
        <v>453</v>
      </c>
      <c r="C6014" s="15" t="s">
        <v>39</v>
      </c>
      <c r="D6014" s="15" t="s">
        <v>550</v>
      </c>
      <c r="E6014" s="15" t="n">
        <v>4</v>
      </c>
      <c r="H6014" s="10"/>
      <c r="I6014" s="21"/>
      <c r="M6014" s="10"/>
      <c r="N6014" s="10"/>
      <c r="P6014" s="10"/>
      <c r="Q6014" s="22"/>
    </row>
    <row r="6015" customFormat="false" ht="15.75" hidden="false" customHeight="false" outlineLevel="0" collapsed="false">
      <c r="A6015" s="20" t="n">
        <v>46178</v>
      </c>
      <c r="B6015" s="15" t="s">
        <v>453</v>
      </c>
      <c r="C6015" s="15" t="s">
        <v>63</v>
      </c>
      <c r="D6015" s="15" t="s">
        <v>551</v>
      </c>
      <c r="E6015" s="15" t="n">
        <v>2</v>
      </c>
      <c r="H6015" s="10"/>
      <c r="I6015" s="21"/>
      <c r="M6015" s="10"/>
      <c r="N6015" s="10"/>
      <c r="P6015" s="10"/>
      <c r="Q6015" s="22"/>
    </row>
    <row r="6016" customFormat="false" ht="15.75" hidden="false" customHeight="false" outlineLevel="0" collapsed="false">
      <c r="A6016" s="20" t="n">
        <v>46178</v>
      </c>
      <c r="B6016" s="15" t="s">
        <v>453</v>
      </c>
      <c r="C6016" s="15" t="s">
        <v>35</v>
      </c>
      <c r="D6016" s="15" t="s">
        <v>552</v>
      </c>
      <c r="E6016" s="15" t="n">
        <v>4</v>
      </c>
      <c r="H6016" s="10"/>
      <c r="I6016" s="21"/>
      <c r="M6016" s="10"/>
      <c r="N6016" s="10"/>
      <c r="P6016" s="10"/>
      <c r="Q6016" s="22"/>
    </row>
    <row r="6017" customFormat="false" ht="15.75" hidden="false" customHeight="false" outlineLevel="0" collapsed="false">
      <c r="A6017" s="20" t="n">
        <v>46178</v>
      </c>
      <c r="B6017" s="15" t="s">
        <v>504</v>
      </c>
      <c r="C6017" s="15" t="s">
        <v>47</v>
      </c>
      <c r="D6017" s="15" t="s">
        <v>549</v>
      </c>
      <c r="E6017" s="15" t="n">
        <v>6</v>
      </c>
      <c r="H6017" s="10"/>
      <c r="I6017" s="21"/>
      <c r="M6017" s="10"/>
      <c r="N6017" s="10"/>
      <c r="P6017" s="10"/>
      <c r="Q6017" s="22"/>
    </row>
    <row r="6018" customFormat="false" ht="15.75" hidden="false" customHeight="false" outlineLevel="0" collapsed="false">
      <c r="A6018" s="20" t="n">
        <v>46178</v>
      </c>
      <c r="B6018" s="15" t="s">
        <v>504</v>
      </c>
      <c r="C6018" s="15" t="s">
        <v>55</v>
      </c>
      <c r="D6018" s="15" t="s">
        <v>539</v>
      </c>
      <c r="E6018" s="15" t="n">
        <v>12</v>
      </c>
      <c r="H6018" s="10"/>
      <c r="I6018" s="21"/>
      <c r="M6018" s="10"/>
      <c r="N6018" s="10"/>
      <c r="P6018" s="10"/>
      <c r="Q6018" s="22"/>
    </row>
    <row r="6019" customFormat="false" ht="15.75" hidden="false" customHeight="false" outlineLevel="0" collapsed="false">
      <c r="A6019" s="20" t="n">
        <v>46178</v>
      </c>
      <c r="B6019" s="15" t="s">
        <v>504</v>
      </c>
      <c r="C6019" s="15" t="s">
        <v>81</v>
      </c>
      <c r="D6019" s="15" t="s">
        <v>534</v>
      </c>
      <c r="E6019" s="15" t="n">
        <v>18</v>
      </c>
      <c r="H6019" s="10"/>
      <c r="I6019" s="21"/>
      <c r="M6019" s="10"/>
      <c r="N6019" s="10"/>
      <c r="P6019" s="10"/>
      <c r="Q6019" s="22"/>
    </row>
    <row r="6020" customFormat="false" ht="15.75" hidden="false" customHeight="false" outlineLevel="0" collapsed="false">
      <c r="A6020" s="20" t="n">
        <v>46178</v>
      </c>
      <c r="B6020" s="15" t="s">
        <v>504</v>
      </c>
      <c r="C6020" s="15" t="s">
        <v>39</v>
      </c>
      <c r="D6020" s="15" t="s">
        <v>550</v>
      </c>
      <c r="E6020" s="15" t="n">
        <v>2</v>
      </c>
      <c r="H6020" s="10"/>
      <c r="I6020" s="21"/>
      <c r="M6020" s="10"/>
      <c r="N6020" s="10"/>
      <c r="P6020" s="10"/>
      <c r="Q6020" s="22"/>
    </row>
    <row r="6021" customFormat="false" ht="15.75" hidden="false" customHeight="false" outlineLevel="0" collapsed="false">
      <c r="A6021" s="20" t="n">
        <v>46178</v>
      </c>
      <c r="B6021" s="15" t="s">
        <v>504</v>
      </c>
      <c r="C6021" s="15" t="s">
        <v>63</v>
      </c>
      <c r="D6021" s="15" t="s">
        <v>551</v>
      </c>
      <c r="E6021" s="15" t="n">
        <v>2</v>
      </c>
      <c r="H6021" s="10"/>
      <c r="I6021" s="21"/>
      <c r="M6021" s="10"/>
      <c r="N6021" s="10"/>
      <c r="P6021" s="10"/>
      <c r="Q6021" s="22"/>
    </row>
    <row r="6022" customFormat="false" ht="15.75" hidden="false" customHeight="false" outlineLevel="0" collapsed="false">
      <c r="A6022" s="20" t="n">
        <v>46178</v>
      </c>
      <c r="B6022" s="15" t="s">
        <v>504</v>
      </c>
      <c r="C6022" s="15" t="s">
        <v>17</v>
      </c>
      <c r="D6022" s="15" t="s">
        <v>554</v>
      </c>
      <c r="E6022" s="15" t="n">
        <v>2</v>
      </c>
      <c r="H6022" s="10"/>
      <c r="I6022" s="21"/>
      <c r="M6022" s="10"/>
      <c r="N6022" s="10"/>
      <c r="P6022" s="10"/>
      <c r="Q6022" s="22"/>
    </row>
    <row r="6023" customFormat="false" ht="15.75" hidden="false" customHeight="false" outlineLevel="0" collapsed="false">
      <c r="A6023" s="20" t="n">
        <v>46178</v>
      </c>
      <c r="B6023" s="15" t="s">
        <v>508</v>
      </c>
      <c r="C6023" s="15" t="s">
        <v>55</v>
      </c>
      <c r="D6023" s="15" t="s">
        <v>539</v>
      </c>
      <c r="E6023" s="15" t="n">
        <v>5</v>
      </c>
      <c r="H6023" s="10"/>
      <c r="I6023" s="21"/>
      <c r="M6023" s="10"/>
      <c r="N6023" s="10"/>
      <c r="P6023" s="10"/>
      <c r="Q6023" s="22"/>
    </row>
    <row r="6024" customFormat="false" ht="15.75" hidden="false" customHeight="false" outlineLevel="0" collapsed="false">
      <c r="A6024" s="20" t="n">
        <v>46178</v>
      </c>
      <c r="B6024" s="15" t="s">
        <v>508</v>
      </c>
      <c r="C6024" s="15" t="s">
        <v>81</v>
      </c>
      <c r="D6024" s="15" t="s">
        <v>534</v>
      </c>
      <c r="E6024" s="15" t="n">
        <v>9</v>
      </c>
      <c r="H6024" s="10"/>
      <c r="I6024" s="21"/>
      <c r="M6024" s="10"/>
      <c r="N6024" s="10"/>
      <c r="P6024" s="10"/>
      <c r="Q6024" s="22"/>
    </row>
    <row r="6025" customFormat="false" ht="15.75" hidden="false" customHeight="false" outlineLevel="0" collapsed="false">
      <c r="A6025" s="20" t="n">
        <v>46178</v>
      </c>
      <c r="B6025" s="15" t="s">
        <v>508</v>
      </c>
      <c r="C6025" s="15" t="s">
        <v>39</v>
      </c>
      <c r="D6025" s="15" t="s">
        <v>550</v>
      </c>
      <c r="E6025" s="15" t="n">
        <v>2</v>
      </c>
      <c r="H6025" s="10"/>
      <c r="I6025" s="21"/>
      <c r="M6025" s="10"/>
      <c r="N6025" s="10"/>
      <c r="P6025" s="10"/>
      <c r="Q6025" s="22"/>
    </row>
    <row r="6026" customFormat="false" ht="15.75" hidden="false" customHeight="false" outlineLevel="0" collapsed="false">
      <c r="A6026" s="20" t="n">
        <v>46178</v>
      </c>
      <c r="B6026" s="15" t="s">
        <v>508</v>
      </c>
      <c r="C6026" s="15" t="s">
        <v>47</v>
      </c>
      <c r="D6026" s="15" t="s">
        <v>549</v>
      </c>
      <c r="E6026" s="15" t="n">
        <v>2</v>
      </c>
      <c r="H6026" s="10"/>
      <c r="I6026" s="21"/>
      <c r="M6026" s="10"/>
      <c r="N6026" s="10"/>
      <c r="P6026" s="10"/>
      <c r="Q6026" s="22"/>
    </row>
    <row r="6027" customFormat="false" ht="15.75" hidden="false" customHeight="false" outlineLevel="0" collapsed="false">
      <c r="A6027" s="20" t="n">
        <v>46178</v>
      </c>
      <c r="B6027" s="15" t="s">
        <v>508</v>
      </c>
      <c r="C6027" s="15" t="s">
        <v>63</v>
      </c>
      <c r="D6027" s="15" t="s">
        <v>551</v>
      </c>
      <c r="E6027" s="15" t="n">
        <v>1</v>
      </c>
      <c r="H6027" s="10"/>
      <c r="I6027" s="21"/>
      <c r="M6027" s="10"/>
      <c r="N6027" s="10"/>
      <c r="P6027" s="10"/>
      <c r="Q6027" s="22"/>
    </row>
    <row r="6028" customFormat="false" ht="15.75" hidden="false" customHeight="false" outlineLevel="0" collapsed="false">
      <c r="A6028" s="20" t="n">
        <v>46179</v>
      </c>
      <c r="B6028" s="15" t="s">
        <v>453</v>
      </c>
      <c r="C6028" s="15" t="s">
        <v>47</v>
      </c>
      <c r="D6028" s="15" t="s">
        <v>549</v>
      </c>
      <c r="E6028" s="15" t="n">
        <v>4</v>
      </c>
      <c r="H6028" s="10"/>
      <c r="I6028" s="21"/>
      <c r="M6028" s="10"/>
      <c r="N6028" s="10"/>
      <c r="P6028" s="10"/>
      <c r="Q6028" s="22"/>
    </row>
    <row r="6029" customFormat="false" ht="15.75" hidden="false" customHeight="false" outlineLevel="0" collapsed="false">
      <c r="A6029" s="20" t="n">
        <v>46179</v>
      </c>
      <c r="B6029" s="15" t="s">
        <v>453</v>
      </c>
      <c r="C6029" s="15" t="s">
        <v>55</v>
      </c>
      <c r="D6029" s="15" t="s">
        <v>539</v>
      </c>
      <c r="E6029" s="15" t="n">
        <v>8</v>
      </c>
      <c r="H6029" s="10"/>
      <c r="I6029" s="21"/>
      <c r="M6029" s="10"/>
      <c r="N6029" s="10"/>
      <c r="P6029" s="10"/>
      <c r="Q6029" s="22"/>
    </row>
    <row r="6030" customFormat="false" ht="15.75" hidden="false" customHeight="false" outlineLevel="0" collapsed="false">
      <c r="A6030" s="20" t="n">
        <v>46179</v>
      </c>
      <c r="B6030" s="15" t="s">
        <v>453</v>
      </c>
      <c r="C6030" s="15" t="s">
        <v>81</v>
      </c>
      <c r="D6030" s="15" t="s">
        <v>534</v>
      </c>
      <c r="E6030" s="15" t="n">
        <v>16</v>
      </c>
      <c r="H6030" s="10"/>
      <c r="I6030" s="21"/>
      <c r="M6030" s="10"/>
      <c r="N6030" s="10"/>
      <c r="P6030" s="10"/>
      <c r="Q6030" s="22"/>
    </row>
    <row r="6031" customFormat="false" ht="15.75" hidden="false" customHeight="false" outlineLevel="0" collapsed="false">
      <c r="A6031" s="20" t="n">
        <v>46179</v>
      </c>
      <c r="B6031" s="15" t="s">
        <v>453</v>
      </c>
      <c r="C6031" s="15" t="s">
        <v>39</v>
      </c>
      <c r="D6031" s="15" t="s">
        <v>550</v>
      </c>
      <c r="E6031" s="15" t="n">
        <v>4</v>
      </c>
      <c r="H6031" s="10"/>
      <c r="I6031" s="21"/>
      <c r="M6031" s="10"/>
      <c r="N6031" s="10"/>
      <c r="P6031" s="10"/>
      <c r="Q6031" s="22"/>
    </row>
    <row r="6032" customFormat="false" ht="15.75" hidden="false" customHeight="false" outlineLevel="0" collapsed="false">
      <c r="A6032" s="20" t="n">
        <v>46179</v>
      </c>
      <c r="B6032" s="15" t="s">
        <v>453</v>
      </c>
      <c r="C6032" s="15" t="s">
        <v>63</v>
      </c>
      <c r="D6032" s="15" t="s">
        <v>551</v>
      </c>
      <c r="E6032" s="15" t="n">
        <v>2</v>
      </c>
      <c r="H6032" s="10"/>
      <c r="I6032" s="21"/>
      <c r="M6032" s="10"/>
      <c r="N6032" s="10"/>
      <c r="P6032" s="10"/>
      <c r="Q6032" s="22"/>
    </row>
    <row r="6033" customFormat="false" ht="15.75" hidden="false" customHeight="false" outlineLevel="0" collapsed="false">
      <c r="A6033" s="20" t="n">
        <v>46179</v>
      </c>
      <c r="B6033" s="15" t="s">
        <v>453</v>
      </c>
      <c r="C6033" s="15" t="s">
        <v>35</v>
      </c>
      <c r="D6033" s="15" t="s">
        <v>552</v>
      </c>
      <c r="E6033" s="15" t="n">
        <v>4</v>
      </c>
      <c r="H6033" s="10"/>
      <c r="I6033" s="21"/>
      <c r="M6033" s="10"/>
      <c r="N6033" s="10"/>
      <c r="P6033" s="10"/>
      <c r="Q6033" s="22"/>
    </row>
    <row r="6034" customFormat="false" ht="15.75" hidden="false" customHeight="false" outlineLevel="0" collapsed="false">
      <c r="A6034" s="20" t="n">
        <v>46179</v>
      </c>
      <c r="B6034" s="15" t="s">
        <v>508</v>
      </c>
      <c r="C6034" s="15" t="s">
        <v>55</v>
      </c>
      <c r="D6034" s="15" t="s">
        <v>539</v>
      </c>
      <c r="E6034" s="15" t="n">
        <v>5</v>
      </c>
      <c r="H6034" s="10"/>
      <c r="I6034" s="21"/>
      <c r="M6034" s="10"/>
      <c r="N6034" s="10"/>
      <c r="P6034" s="10"/>
      <c r="Q6034" s="22"/>
    </row>
    <row r="6035" customFormat="false" ht="15.75" hidden="false" customHeight="false" outlineLevel="0" collapsed="false">
      <c r="A6035" s="20" t="n">
        <v>46179</v>
      </c>
      <c r="B6035" s="15" t="s">
        <v>508</v>
      </c>
      <c r="C6035" s="15" t="s">
        <v>81</v>
      </c>
      <c r="D6035" s="15" t="s">
        <v>534</v>
      </c>
      <c r="E6035" s="15" t="n">
        <v>9</v>
      </c>
      <c r="H6035" s="10"/>
      <c r="I6035" s="21"/>
      <c r="M6035" s="10"/>
      <c r="N6035" s="10"/>
      <c r="P6035" s="10"/>
      <c r="Q6035" s="22"/>
    </row>
    <row r="6036" customFormat="false" ht="15.75" hidden="false" customHeight="false" outlineLevel="0" collapsed="false">
      <c r="A6036" s="20" t="n">
        <v>46179</v>
      </c>
      <c r="B6036" s="15" t="s">
        <v>508</v>
      </c>
      <c r="C6036" s="15" t="s">
        <v>39</v>
      </c>
      <c r="D6036" s="15" t="s">
        <v>550</v>
      </c>
      <c r="E6036" s="15" t="n">
        <v>2</v>
      </c>
      <c r="H6036" s="10"/>
      <c r="I6036" s="21"/>
      <c r="M6036" s="10"/>
      <c r="N6036" s="10"/>
      <c r="P6036" s="10"/>
      <c r="Q6036" s="22"/>
    </row>
    <row r="6037" customFormat="false" ht="15.75" hidden="false" customHeight="false" outlineLevel="0" collapsed="false">
      <c r="A6037" s="20" t="n">
        <v>46179</v>
      </c>
      <c r="B6037" s="15" t="s">
        <v>508</v>
      </c>
      <c r="C6037" s="15" t="s">
        <v>47</v>
      </c>
      <c r="D6037" s="15" t="s">
        <v>549</v>
      </c>
      <c r="E6037" s="15" t="n">
        <v>2</v>
      </c>
      <c r="H6037" s="10"/>
      <c r="I6037" s="21"/>
      <c r="M6037" s="10"/>
      <c r="N6037" s="10"/>
      <c r="P6037" s="10"/>
      <c r="Q6037" s="22"/>
    </row>
    <row r="6038" customFormat="false" ht="15.75" hidden="false" customHeight="false" outlineLevel="0" collapsed="false">
      <c r="A6038" s="20" t="n">
        <v>46179</v>
      </c>
      <c r="B6038" s="15" t="s">
        <v>508</v>
      </c>
      <c r="C6038" s="15" t="s">
        <v>63</v>
      </c>
      <c r="D6038" s="15" t="s">
        <v>551</v>
      </c>
      <c r="E6038" s="15" t="n">
        <v>1</v>
      </c>
      <c r="H6038" s="10"/>
      <c r="I6038" s="21"/>
      <c r="M6038" s="10"/>
      <c r="N6038" s="10"/>
      <c r="P6038" s="10"/>
      <c r="Q6038" s="22"/>
    </row>
    <row r="6039" customFormat="false" ht="15.75" hidden="false" customHeight="false" outlineLevel="0" collapsed="false">
      <c r="A6039" s="20" t="n">
        <v>46181</v>
      </c>
      <c r="B6039" s="15" t="s">
        <v>453</v>
      </c>
      <c r="C6039" s="15" t="s">
        <v>47</v>
      </c>
      <c r="D6039" s="15" t="s">
        <v>549</v>
      </c>
      <c r="E6039" s="15" t="n">
        <v>4</v>
      </c>
      <c r="H6039" s="10"/>
      <c r="I6039" s="21"/>
      <c r="M6039" s="10"/>
      <c r="N6039" s="10"/>
      <c r="P6039" s="10"/>
      <c r="Q6039" s="22"/>
    </row>
    <row r="6040" customFormat="false" ht="15.75" hidden="false" customHeight="false" outlineLevel="0" collapsed="false">
      <c r="A6040" s="20" t="n">
        <v>46181</v>
      </c>
      <c r="B6040" s="15" t="s">
        <v>453</v>
      </c>
      <c r="C6040" s="15" t="s">
        <v>55</v>
      </c>
      <c r="D6040" s="15" t="s">
        <v>539</v>
      </c>
      <c r="E6040" s="15" t="n">
        <v>8</v>
      </c>
      <c r="H6040" s="10"/>
      <c r="I6040" s="21"/>
      <c r="M6040" s="10"/>
      <c r="N6040" s="10"/>
      <c r="P6040" s="10"/>
      <c r="Q6040" s="22"/>
    </row>
    <row r="6041" customFormat="false" ht="15.75" hidden="false" customHeight="false" outlineLevel="0" collapsed="false">
      <c r="A6041" s="20" t="n">
        <v>46181</v>
      </c>
      <c r="B6041" s="15" t="s">
        <v>453</v>
      </c>
      <c r="C6041" s="15" t="s">
        <v>81</v>
      </c>
      <c r="D6041" s="15" t="s">
        <v>534</v>
      </c>
      <c r="E6041" s="15" t="n">
        <v>16</v>
      </c>
      <c r="H6041" s="10"/>
      <c r="I6041" s="21"/>
      <c r="M6041" s="10"/>
      <c r="N6041" s="10"/>
      <c r="P6041" s="10"/>
      <c r="Q6041" s="22"/>
    </row>
    <row r="6042" customFormat="false" ht="15.75" hidden="false" customHeight="false" outlineLevel="0" collapsed="false">
      <c r="A6042" s="20" t="n">
        <v>46181</v>
      </c>
      <c r="B6042" s="15" t="s">
        <v>453</v>
      </c>
      <c r="C6042" s="15" t="s">
        <v>39</v>
      </c>
      <c r="D6042" s="15" t="s">
        <v>550</v>
      </c>
      <c r="E6042" s="15" t="n">
        <v>4</v>
      </c>
      <c r="H6042" s="10"/>
      <c r="I6042" s="21"/>
      <c r="M6042" s="10"/>
      <c r="N6042" s="10"/>
      <c r="P6042" s="10"/>
      <c r="Q6042" s="22"/>
    </row>
    <row r="6043" customFormat="false" ht="15.75" hidden="false" customHeight="false" outlineLevel="0" collapsed="false">
      <c r="A6043" s="20" t="n">
        <v>46181</v>
      </c>
      <c r="B6043" s="15" t="s">
        <v>453</v>
      </c>
      <c r="C6043" s="15" t="s">
        <v>63</v>
      </c>
      <c r="D6043" s="15" t="s">
        <v>551</v>
      </c>
      <c r="E6043" s="15" t="n">
        <v>2</v>
      </c>
      <c r="H6043" s="10"/>
      <c r="I6043" s="21"/>
      <c r="M6043" s="10"/>
      <c r="N6043" s="10"/>
      <c r="P6043" s="10"/>
      <c r="Q6043" s="22"/>
    </row>
    <row r="6044" customFormat="false" ht="15.75" hidden="false" customHeight="false" outlineLevel="0" collapsed="false">
      <c r="A6044" s="20" t="n">
        <v>46181</v>
      </c>
      <c r="B6044" s="15" t="s">
        <v>453</v>
      </c>
      <c r="C6044" s="15" t="s">
        <v>35</v>
      </c>
      <c r="D6044" s="15" t="s">
        <v>552</v>
      </c>
      <c r="E6044" s="15" t="n">
        <v>4</v>
      </c>
      <c r="H6044" s="10"/>
      <c r="I6044" s="21"/>
      <c r="M6044" s="10"/>
      <c r="N6044" s="10"/>
      <c r="P6044" s="10"/>
      <c r="Q6044" s="22"/>
    </row>
    <row r="6045" customFormat="false" ht="15.75" hidden="false" customHeight="false" outlineLevel="0" collapsed="false">
      <c r="A6045" s="20" t="n">
        <v>46181</v>
      </c>
      <c r="B6045" s="15" t="s">
        <v>504</v>
      </c>
      <c r="C6045" s="15" t="s">
        <v>47</v>
      </c>
      <c r="D6045" s="15" t="s">
        <v>549</v>
      </c>
      <c r="E6045" s="15" t="n">
        <v>6</v>
      </c>
      <c r="H6045" s="10"/>
      <c r="I6045" s="21"/>
      <c r="M6045" s="10"/>
      <c r="N6045" s="10"/>
      <c r="P6045" s="10"/>
      <c r="Q6045" s="22"/>
    </row>
    <row r="6046" customFormat="false" ht="15.75" hidden="false" customHeight="false" outlineLevel="0" collapsed="false">
      <c r="A6046" s="20" t="n">
        <v>46181</v>
      </c>
      <c r="B6046" s="15" t="s">
        <v>504</v>
      </c>
      <c r="C6046" s="15" t="s">
        <v>55</v>
      </c>
      <c r="D6046" s="15" t="s">
        <v>539</v>
      </c>
      <c r="E6046" s="15" t="n">
        <v>12</v>
      </c>
      <c r="H6046" s="10"/>
      <c r="I6046" s="21"/>
      <c r="M6046" s="10"/>
      <c r="N6046" s="10"/>
      <c r="P6046" s="10"/>
      <c r="Q6046" s="22"/>
    </row>
    <row r="6047" customFormat="false" ht="15.75" hidden="false" customHeight="false" outlineLevel="0" collapsed="false">
      <c r="A6047" s="20" t="n">
        <v>46181</v>
      </c>
      <c r="B6047" s="15" t="s">
        <v>504</v>
      </c>
      <c r="C6047" s="15" t="s">
        <v>81</v>
      </c>
      <c r="D6047" s="15" t="s">
        <v>534</v>
      </c>
      <c r="E6047" s="15" t="n">
        <v>18</v>
      </c>
      <c r="H6047" s="10"/>
      <c r="I6047" s="21"/>
      <c r="M6047" s="10"/>
      <c r="N6047" s="10"/>
      <c r="P6047" s="10"/>
      <c r="Q6047" s="22"/>
    </row>
    <row r="6048" customFormat="false" ht="15.75" hidden="false" customHeight="false" outlineLevel="0" collapsed="false">
      <c r="A6048" s="20" t="n">
        <v>46181</v>
      </c>
      <c r="B6048" s="15" t="s">
        <v>504</v>
      </c>
      <c r="C6048" s="15" t="s">
        <v>39</v>
      </c>
      <c r="D6048" s="15" t="s">
        <v>550</v>
      </c>
      <c r="E6048" s="15" t="n">
        <v>2</v>
      </c>
      <c r="H6048" s="10"/>
      <c r="I6048" s="21"/>
      <c r="M6048" s="10"/>
      <c r="N6048" s="10"/>
      <c r="P6048" s="10"/>
      <c r="Q6048" s="22"/>
    </row>
    <row r="6049" customFormat="false" ht="15.75" hidden="false" customHeight="false" outlineLevel="0" collapsed="false">
      <c r="A6049" s="20" t="n">
        <v>46181</v>
      </c>
      <c r="B6049" s="15" t="s">
        <v>504</v>
      </c>
      <c r="C6049" s="15" t="s">
        <v>63</v>
      </c>
      <c r="D6049" s="15" t="s">
        <v>551</v>
      </c>
      <c r="E6049" s="15" t="n">
        <v>2</v>
      </c>
      <c r="H6049" s="10"/>
      <c r="I6049" s="21"/>
      <c r="M6049" s="10"/>
      <c r="N6049" s="10"/>
      <c r="P6049" s="10"/>
      <c r="Q6049" s="22"/>
    </row>
    <row r="6050" customFormat="false" ht="15.75" hidden="false" customHeight="false" outlineLevel="0" collapsed="false">
      <c r="A6050" s="20" t="n">
        <v>46181</v>
      </c>
      <c r="B6050" s="15" t="s">
        <v>504</v>
      </c>
      <c r="C6050" s="15" t="s">
        <v>17</v>
      </c>
      <c r="D6050" s="15" t="s">
        <v>554</v>
      </c>
      <c r="E6050" s="15" t="n">
        <v>2</v>
      </c>
      <c r="H6050" s="10"/>
      <c r="I6050" s="21"/>
      <c r="M6050" s="10"/>
      <c r="N6050" s="10"/>
      <c r="P6050" s="10"/>
      <c r="Q6050" s="22"/>
    </row>
    <row r="6051" customFormat="false" ht="15.75" hidden="false" customHeight="false" outlineLevel="0" collapsed="false">
      <c r="A6051" s="20" t="n">
        <v>46181</v>
      </c>
      <c r="B6051" s="15" t="s">
        <v>508</v>
      </c>
      <c r="C6051" s="15" t="s">
        <v>55</v>
      </c>
      <c r="D6051" s="15" t="s">
        <v>539</v>
      </c>
      <c r="E6051" s="15" t="n">
        <v>5</v>
      </c>
      <c r="H6051" s="10"/>
      <c r="I6051" s="21"/>
      <c r="M6051" s="10"/>
      <c r="N6051" s="10"/>
      <c r="P6051" s="10"/>
      <c r="Q6051" s="22"/>
    </row>
    <row r="6052" customFormat="false" ht="15.75" hidden="false" customHeight="false" outlineLevel="0" collapsed="false">
      <c r="A6052" s="20" t="n">
        <v>46181</v>
      </c>
      <c r="B6052" s="15" t="s">
        <v>508</v>
      </c>
      <c r="C6052" s="15" t="s">
        <v>81</v>
      </c>
      <c r="D6052" s="15" t="s">
        <v>534</v>
      </c>
      <c r="E6052" s="15" t="n">
        <v>9</v>
      </c>
      <c r="H6052" s="10"/>
      <c r="I6052" s="21"/>
      <c r="M6052" s="10"/>
      <c r="N6052" s="10"/>
      <c r="P6052" s="10"/>
      <c r="Q6052" s="22"/>
    </row>
    <row r="6053" customFormat="false" ht="15.75" hidden="false" customHeight="false" outlineLevel="0" collapsed="false">
      <c r="A6053" s="20" t="n">
        <v>46181</v>
      </c>
      <c r="B6053" s="15" t="s">
        <v>508</v>
      </c>
      <c r="C6053" s="15" t="s">
        <v>39</v>
      </c>
      <c r="D6053" s="15" t="s">
        <v>550</v>
      </c>
      <c r="E6053" s="15" t="n">
        <v>2</v>
      </c>
      <c r="H6053" s="10"/>
      <c r="I6053" s="21"/>
      <c r="M6053" s="10"/>
      <c r="N6053" s="10"/>
      <c r="P6053" s="10"/>
      <c r="Q6053" s="22"/>
    </row>
    <row r="6054" customFormat="false" ht="15.75" hidden="false" customHeight="false" outlineLevel="0" collapsed="false">
      <c r="A6054" s="20" t="n">
        <v>46181</v>
      </c>
      <c r="B6054" s="15" t="s">
        <v>508</v>
      </c>
      <c r="C6054" s="15" t="s">
        <v>47</v>
      </c>
      <c r="D6054" s="15" t="s">
        <v>549</v>
      </c>
      <c r="E6054" s="15" t="n">
        <v>2</v>
      </c>
      <c r="H6054" s="10"/>
      <c r="I6054" s="21"/>
      <c r="M6054" s="10"/>
      <c r="N6054" s="10"/>
      <c r="P6054" s="10"/>
      <c r="Q6054" s="22"/>
    </row>
    <row r="6055" customFormat="false" ht="15.75" hidden="false" customHeight="false" outlineLevel="0" collapsed="false">
      <c r="A6055" s="20" t="n">
        <v>46181</v>
      </c>
      <c r="B6055" s="15" t="s">
        <v>508</v>
      </c>
      <c r="C6055" s="15" t="s">
        <v>63</v>
      </c>
      <c r="D6055" s="15" t="s">
        <v>551</v>
      </c>
      <c r="E6055" s="15" t="n">
        <v>1</v>
      </c>
      <c r="H6055" s="10"/>
      <c r="I6055" s="21"/>
      <c r="M6055" s="10"/>
      <c r="N6055" s="10"/>
      <c r="P6055" s="10"/>
      <c r="Q6055" s="22"/>
    </row>
    <row r="6056" customFormat="false" ht="15.75" hidden="false" customHeight="false" outlineLevel="0" collapsed="false">
      <c r="A6056" s="20" t="n">
        <v>46182</v>
      </c>
      <c r="B6056" s="15" t="s">
        <v>453</v>
      </c>
      <c r="C6056" s="15" t="s">
        <v>47</v>
      </c>
      <c r="D6056" s="15" t="s">
        <v>549</v>
      </c>
      <c r="E6056" s="15" t="n">
        <v>4</v>
      </c>
      <c r="H6056" s="10"/>
      <c r="I6056" s="21"/>
      <c r="M6056" s="10"/>
      <c r="N6056" s="10"/>
      <c r="P6056" s="10"/>
      <c r="Q6056" s="22"/>
    </row>
    <row r="6057" customFormat="false" ht="15.75" hidden="false" customHeight="false" outlineLevel="0" collapsed="false">
      <c r="A6057" s="20" t="n">
        <v>46182</v>
      </c>
      <c r="B6057" s="15" t="s">
        <v>453</v>
      </c>
      <c r="C6057" s="15" t="s">
        <v>55</v>
      </c>
      <c r="D6057" s="15" t="s">
        <v>539</v>
      </c>
      <c r="E6057" s="15" t="n">
        <v>8</v>
      </c>
      <c r="H6057" s="10"/>
      <c r="I6057" s="21"/>
      <c r="M6057" s="10"/>
      <c r="N6057" s="10"/>
      <c r="P6057" s="10"/>
      <c r="Q6057" s="22"/>
    </row>
    <row r="6058" customFormat="false" ht="15.75" hidden="false" customHeight="false" outlineLevel="0" collapsed="false">
      <c r="A6058" s="20" t="n">
        <v>46182</v>
      </c>
      <c r="B6058" s="15" t="s">
        <v>453</v>
      </c>
      <c r="C6058" s="15" t="s">
        <v>81</v>
      </c>
      <c r="D6058" s="15" t="s">
        <v>534</v>
      </c>
      <c r="E6058" s="15" t="n">
        <v>16</v>
      </c>
      <c r="H6058" s="10"/>
      <c r="I6058" s="21"/>
      <c r="M6058" s="10"/>
      <c r="N6058" s="10"/>
      <c r="P6058" s="10"/>
      <c r="Q6058" s="22"/>
    </row>
    <row r="6059" customFormat="false" ht="15.75" hidden="false" customHeight="false" outlineLevel="0" collapsed="false">
      <c r="A6059" s="20" t="n">
        <v>46182</v>
      </c>
      <c r="B6059" s="15" t="s">
        <v>453</v>
      </c>
      <c r="C6059" s="15" t="s">
        <v>39</v>
      </c>
      <c r="D6059" s="15" t="s">
        <v>550</v>
      </c>
      <c r="E6059" s="15" t="n">
        <v>4</v>
      </c>
      <c r="H6059" s="10"/>
      <c r="I6059" s="21"/>
      <c r="M6059" s="10"/>
      <c r="N6059" s="10"/>
      <c r="P6059" s="10"/>
      <c r="Q6059" s="22"/>
    </row>
    <row r="6060" customFormat="false" ht="15.75" hidden="false" customHeight="false" outlineLevel="0" collapsed="false">
      <c r="A6060" s="20" t="n">
        <v>46182</v>
      </c>
      <c r="B6060" s="15" t="s">
        <v>453</v>
      </c>
      <c r="C6060" s="15" t="s">
        <v>63</v>
      </c>
      <c r="D6060" s="15" t="s">
        <v>551</v>
      </c>
      <c r="E6060" s="15" t="n">
        <v>2</v>
      </c>
      <c r="H6060" s="10"/>
      <c r="I6060" s="21"/>
      <c r="M6060" s="10"/>
      <c r="N6060" s="10"/>
      <c r="P6060" s="10"/>
      <c r="Q6060" s="22"/>
    </row>
    <row r="6061" customFormat="false" ht="15.75" hidden="false" customHeight="false" outlineLevel="0" collapsed="false">
      <c r="A6061" s="20" t="n">
        <v>46182</v>
      </c>
      <c r="B6061" s="15" t="s">
        <v>453</v>
      </c>
      <c r="C6061" s="15" t="s">
        <v>35</v>
      </c>
      <c r="D6061" s="15" t="s">
        <v>552</v>
      </c>
      <c r="E6061" s="15" t="n">
        <v>4</v>
      </c>
      <c r="H6061" s="10"/>
      <c r="I6061" s="21"/>
      <c r="M6061" s="10"/>
      <c r="N6061" s="10"/>
      <c r="P6061" s="10"/>
      <c r="Q6061" s="22"/>
    </row>
    <row r="6062" customFormat="false" ht="15.75" hidden="false" customHeight="false" outlineLevel="0" collapsed="false">
      <c r="A6062" s="20" t="n">
        <v>46182</v>
      </c>
      <c r="B6062" s="15" t="s">
        <v>504</v>
      </c>
      <c r="C6062" s="15" t="s">
        <v>47</v>
      </c>
      <c r="D6062" s="15" t="s">
        <v>549</v>
      </c>
      <c r="E6062" s="15" t="n">
        <v>6</v>
      </c>
      <c r="H6062" s="10"/>
      <c r="I6062" s="21"/>
      <c r="M6062" s="10"/>
      <c r="N6062" s="10"/>
      <c r="P6062" s="10"/>
      <c r="Q6062" s="22"/>
    </row>
    <row r="6063" customFormat="false" ht="15.75" hidden="false" customHeight="false" outlineLevel="0" collapsed="false">
      <c r="A6063" s="20" t="n">
        <v>46182</v>
      </c>
      <c r="B6063" s="15" t="s">
        <v>504</v>
      </c>
      <c r="C6063" s="15" t="s">
        <v>55</v>
      </c>
      <c r="D6063" s="15" t="s">
        <v>539</v>
      </c>
      <c r="E6063" s="15" t="n">
        <v>12</v>
      </c>
      <c r="H6063" s="10"/>
      <c r="I6063" s="21"/>
      <c r="M6063" s="10"/>
      <c r="N6063" s="10"/>
      <c r="P6063" s="10"/>
      <c r="Q6063" s="22"/>
    </row>
    <row r="6064" customFormat="false" ht="15.75" hidden="false" customHeight="false" outlineLevel="0" collapsed="false">
      <c r="A6064" s="20" t="n">
        <v>46182</v>
      </c>
      <c r="B6064" s="15" t="s">
        <v>504</v>
      </c>
      <c r="C6064" s="15" t="s">
        <v>81</v>
      </c>
      <c r="D6064" s="15" t="s">
        <v>534</v>
      </c>
      <c r="E6064" s="15" t="n">
        <v>18</v>
      </c>
      <c r="H6064" s="10"/>
      <c r="I6064" s="21"/>
      <c r="M6064" s="10"/>
      <c r="N6064" s="10"/>
      <c r="P6064" s="10"/>
      <c r="Q6064" s="22"/>
    </row>
    <row r="6065" customFormat="false" ht="15.75" hidden="false" customHeight="false" outlineLevel="0" collapsed="false">
      <c r="A6065" s="20" t="n">
        <v>46182</v>
      </c>
      <c r="B6065" s="15" t="s">
        <v>504</v>
      </c>
      <c r="C6065" s="15" t="s">
        <v>39</v>
      </c>
      <c r="D6065" s="15" t="s">
        <v>550</v>
      </c>
      <c r="E6065" s="15" t="n">
        <v>2</v>
      </c>
      <c r="H6065" s="10"/>
      <c r="I6065" s="21"/>
      <c r="M6065" s="10"/>
      <c r="N6065" s="10"/>
      <c r="P6065" s="10"/>
      <c r="Q6065" s="22"/>
    </row>
    <row r="6066" customFormat="false" ht="15.75" hidden="false" customHeight="false" outlineLevel="0" collapsed="false">
      <c r="A6066" s="20" t="n">
        <v>46182</v>
      </c>
      <c r="B6066" s="15" t="s">
        <v>504</v>
      </c>
      <c r="C6066" s="15" t="s">
        <v>63</v>
      </c>
      <c r="D6066" s="15" t="s">
        <v>551</v>
      </c>
      <c r="E6066" s="15" t="n">
        <v>2</v>
      </c>
      <c r="H6066" s="10"/>
      <c r="I6066" s="21"/>
      <c r="M6066" s="10"/>
      <c r="N6066" s="10"/>
      <c r="P6066" s="10"/>
      <c r="Q6066" s="22"/>
    </row>
    <row r="6067" customFormat="false" ht="15.75" hidden="false" customHeight="false" outlineLevel="0" collapsed="false">
      <c r="A6067" s="20" t="n">
        <v>46182</v>
      </c>
      <c r="B6067" s="15" t="s">
        <v>504</v>
      </c>
      <c r="C6067" s="15" t="s">
        <v>17</v>
      </c>
      <c r="D6067" s="15" t="s">
        <v>554</v>
      </c>
      <c r="E6067" s="15" t="n">
        <v>2</v>
      </c>
      <c r="H6067" s="10"/>
      <c r="I6067" s="21"/>
      <c r="M6067" s="10"/>
      <c r="N6067" s="10"/>
      <c r="P6067" s="10"/>
      <c r="Q6067" s="22"/>
    </row>
    <row r="6068" customFormat="false" ht="15.75" hidden="false" customHeight="false" outlineLevel="0" collapsed="false">
      <c r="A6068" s="20" t="n">
        <v>46183</v>
      </c>
      <c r="B6068" s="15" t="s">
        <v>453</v>
      </c>
      <c r="C6068" s="15" t="s">
        <v>47</v>
      </c>
      <c r="D6068" s="15" t="s">
        <v>549</v>
      </c>
      <c r="E6068" s="15" t="n">
        <v>4</v>
      </c>
      <c r="H6068" s="10"/>
      <c r="I6068" s="21"/>
      <c r="M6068" s="10"/>
      <c r="N6068" s="10"/>
      <c r="P6068" s="10"/>
      <c r="Q6068" s="22"/>
    </row>
    <row r="6069" customFormat="false" ht="15.75" hidden="false" customHeight="false" outlineLevel="0" collapsed="false">
      <c r="A6069" s="20" t="n">
        <v>46183</v>
      </c>
      <c r="B6069" s="15" t="s">
        <v>453</v>
      </c>
      <c r="C6069" s="15" t="s">
        <v>55</v>
      </c>
      <c r="D6069" s="15" t="s">
        <v>539</v>
      </c>
      <c r="E6069" s="15" t="n">
        <v>8</v>
      </c>
      <c r="H6069" s="10"/>
      <c r="I6069" s="21"/>
      <c r="M6069" s="10"/>
      <c r="N6069" s="10"/>
      <c r="P6069" s="10"/>
      <c r="Q6069" s="22"/>
    </row>
    <row r="6070" customFormat="false" ht="15.75" hidden="false" customHeight="false" outlineLevel="0" collapsed="false">
      <c r="A6070" s="20" t="n">
        <v>46183</v>
      </c>
      <c r="B6070" s="15" t="s">
        <v>453</v>
      </c>
      <c r="C6070" s="15" t="s">
        <v>81</v>
      </c>
      <c r="D6070" s="15" t="s">
        <v>534</v>
      </c>
      <c r="E6070" s="15" t="n">
        <v>16</v>
      </c>
      <c r="H6070" s="10"/>
      <c r="I6070" s="21"/>
      <c r="M6070" s="10"/>
      <c r="N6070" s="10"/>
      <c r="P6070" s="10"/>
      <c r="Q6070" s="22"/>
    </row>
    <row r="6071" customFormat="false" ht="15.75" hidden="false" customHeight="false" outlineLevel="0" collapsed="false">
      <c r="A6071" s="20" t="n">
        <v>46183</v>
      </c>
      <c r="B6071" s="15" t="s">
        <v>453</v>
      </c>
      <c r="C6071" s="15" t="s">
        <v>39</v>
      </c>
      <c r="D6071" s="15" t="s">
        <v>550</v>
      </c>
      <c r="E6071" s="15" t="n">
        <v>4</v>
      </c>
      <c r="H6071" s="10"/>
      <c r="I6071" s="21"/>
      <c r="M6071" s="10"/>
      <c r="N6071" s="10"/>
      <c r="P6071" s="10"/>
      <c r="Q6071" s="22"/>
    </row>
    <row r="6072" customFormat="false" ht="15.75" hidden="false" customHeight="false" outlineLevel="0" collapsed="false">
      <c r="A6072" s="20" t="n">
        <v>46183</v>
      </c>
      <c r="B6072" s="15" t="s">
        <v>453</v>
      </c>
      <c r="C6072" s="15" t="s">
        <v>63</v>
      </c>
      <c r="D6072" s="15" t="s">
        <v>551</v>
      </c>
      <c r="E6072" s="15" t="n">
        <v>2</v>
      </c>
      <c r="H6072" s="10"/>
      <c r="I6072" s="21"/>
      <c r="M6072" s="10"/>
      <c r="N6072" s="10"/>
      <c r="P6072" s="10"/>
      <c r="Q6072" s="22"/>
    </row>
    <row r="6073" customFormat="false" ht="15.75" hidden="false" customHeight="false" outlineLevel="0" collapsed="false">
      <c r="A6073" s="20" t="n">
        <v>46183</v>
      </c>
      <c r="B6073" s="15" t="s">
        <v>453</v>
      </c>
      <c r="C6073" s="15" t="s">
        <v>35</v>
      </c>
      <c r="D6073" s="15" t="s">
        <v>552</v>
      </c>
      <c r="E6073" s="15" t="n">
        <v>4</v>
      </c>
      <c r="H6073" s="10"/>
      <c r="I6073" s="21"/>
      <c r="M6073" s="10"/>
      <c r="N6073" s="10"/>
      <c r="P6073" s="10"/>
      <c r="Q6073" s="22"/>
    </row>
    <row r="6074" customFormat="false" ht="15.75" hidden="false" customHeight="false" outlineLevel="0" collapsed="false">
      <c r="A6074" s="20" t="n">
        <v>46183</v>
      </c>
      <c r="B6074" s="15" t="s">
        <v>504</v>
      </c>
      <c r="C6074" s="15" t="s">
        <v>47</v>
      </c>
      <c r="D6074" s="15" t="s">
        <v>549</v>
      </c>
      <c r="E6074" s="15" t="n">
        <v>3</v>
      </c>
      <c r="H6074" s="10"/>
      <c r="I6074" s="21"/>
      <c r="M6074" s="10"/>
      <c r="N6074" s="10"/>
      <c r="P6074" s="10"/>
      <c r="Q6074" s="22"/>
    </row>
    <row r="6075" customFormat="false" ht="15.75" hidden="false" customHeight="false" outlineLevel="0" collapsed="false">
      <c r="A6075" s="20" t="n">
        <v>46183</v>
      </c>
      <c r="B6075" s="15" t="s">
        <v>504</v>
      </c>
      <c r="C6075" s="15" t="s">
        <v>55</v>
      </c>
      <c r="D6075" s="15" t="s">
        <v>539</v>
      </c>
      <c r="E6075" s="15" t="n">
        <v>6</v>
      </c>
      <c r="H6075" s="10"/>
      <c r="I6075" s="21"/>
      <c r="M6075" s="10"/>
      <c r="N6075" s="10"/>
      <c r="P6075" s="10"/>
      <c r="Q6075" s="22"/>
    </row>
    <row r="6076" customFormat="false" ht="15.75" hidden="false" customHeight="false" outlineLevel="0" collapsed="false">
      <c r="A6076" s="20" t="n">
        <v>46183</v>
      </c>
      <c r="B6076" s="15" t="s">
        <v>504</v>
      </c>
      <c r="C6076" s="15" t="s">
        <v>81</v>
      </c>
      <c r="D6076" s="15" t="s">
        <v>534</v>
      </c>
      <c r="E6076" s="15" t="n">
        <v>9</v>
      </c>
      <c r="H6076" s="10"/>
      <c r="I6076" s="21"/>
      <c r="M6076" s="10"/>
      <c r="N6076" s="10"/>
      <c r="P6076" s="10"/>
      <c r="Q6076" s="22"/>
    </row>
    <row r="6077" customFormat="false" ht="15.75" hidden="false" customHeight="false" outlineLevel="0" collapsed="false">
      <c r="A6077" s="20" t="n">
        <v>46183</v>
      </c>
      <c r="B6077" s="15" t="s">
        <v>504</v>
      </c>
      <c r="C6077" s="15" t="s">
        <v>39</v>
      </c>
      <c r="D6077" s="15" t="s">
        <v>550</v>
      </c>
      <c r="E6077" s="15" t="n">
        <v>1</v>
      </c>
      <c r="H6077" s="10"/>
      <c r="I6077" s="21"/>
      <c r="M6077" s="10"/>
      <c r="N6077" s="10"/>
      <c r="P6077" s="10"/>
      <c r="Q6077" s="22"/>
    </row>
    <row r="6078" customFormat="false" ht="15.75" hidden="false" customHeight="false" outlineLevel="0" collapsed="false">
      <c r="A6078" s="20" t="n">
        <v>46183</v>
      </c>
      <c r="B6078" s="15" t="s">
        <v>504</v>
      </c>
      <c r="C6078" s="15" t="s">
        <v>63</v>
      </c>
      <c r="D6078" s="15" t="s">
        <v>551</v>
      </c>
      <c r="E6078" s="15" t="n">
        <v>1</v>
      </c>
      <c r="H6078" s="10"/>
      <c r="I6078" s="21"/>
      <c r="M6078" s="10"/>
      <c r="N6078" s="10"/>
      <c r="P6078" s="10"/>
      <c r="Q6078" s="22"/>
    </row>
    <row r="6079" customFormat="false" ht="15.75" hidden="false" customHeight="false" outlineLevel="0" collapsed="false">
      <c r="A6079" s="20" t="n">
        <v>46183</v>
      </c>
      <c r="B6079" s="15" t="s">
        <v>504</v>
      </c>
      <c r="C6079" s="15" t="s">
        <v>17</v>
      </c>
      <c r="D6079" s="15" t="s">
        <v>554</v>
      </c>
      <c r="E6079" s="15" t="n">
        <v>1</v>
      </c>
      <c r="H6079" s="10"/>
      <c r="I6079" s="21"/>
      <c r="M6079" s="10"/>
      <c r="N6079" s="10"/>
      <c r="P6079" s="10"/>
      <c r="Q6079" s="22"/>
    </row>
    <row r="6080" customFormat="false" ht="15.75" hidden="false" customHeight="false" outlineLevel="0" collapsed="false">
      <c r="A6080" s="20" t="n">
        <v>46184</v>
      </c>
      <c r="B6080" s="15" t="s">
        <v>453</v>
      </c>
      <c r="C6080" s="15" t="s">
        <v>47</v>
      </c>
      <c r="D6080" s="15" t="s">
        <v>549</v>
      </c>
      <c r="E6080" s="15" t="n">
        <v>4</v>
      </c>
      <c r="H6080" s="10"/>
      <c r="I6080" s="21"/>
      <c r="M6080" s="10"/>
      <c r="N6080" s="10"/>
      <c r="P6080" s="10"/>
      <c r="Q6080" s="22"/>
    </row>
    <row r="6081" customFormat="false" ht="15.75" hidden="false" customHeight="false" outlineLevel="0" collapsed="false">
      <c r="A6081" s="20" t="n">
        <v>46184</v>
      </c>
      <c r="B6081" s="15" t="s">
        <v>453</v>
      </c>
      <c r="C6081" s="15" t="s">
        <v>55</v>
      </c>
      <c r="D6081" s="15" t="s">
        <v>539</v>
      </c>
      <c r="E6081" s="15" t="n">
        <v>8</v>
      </c>
      <c r="H6081" s="10"/>
      <c r="I6081" s="21"/>
      <c r="M6081" s="10"/>
      <c r="N6081" s="10"/>
      <c r="P6081" s="10"/>
      <c r="Q6081" s="22"/>
    </row>
    <row r="6082" customFormat="false" ht="15.75" hidden="false" customHeight="false" outlineLevel="0" collapsed="false">
      <c r="A6082" s="20" t="n">
        <v>46184</v>
      </c>
      <c r="B6082" s="15" t="s">
        <v>453</v>
      </c>
      <c r="C6082" s="15" t="s">
        <v>81</v>
      </c>
      <c r="D6082" s="15" t="s">
        <v>534</v>
      </c>
      <c r="E6082" s="15" t="n">
        <v>16</v>
      </c>
      <c r="H6082" s="10"/>
      <c r="I6082" s="21"/>
      <c r="M6082" s="10"/>
      <c r="N6082" s="10"/>
      <c r="P6082" s="10"/>
      <c r="Q6082" s="22"/>
    </row>
    <row r="6083" customFormat="false" ht="15.75" hidden="false" customHeight="false" outlineLevel="0" collapsed="false">
      <c r="A6083" s="20" t="n">
        <v>46184</v>
      </c>
      <c r="B6083" s="15" t="s">
        <v>453</v>
      </c>
      <c r="C6083" s="15" t="s">
        <v>39</v>
      </c>
      <c r="D6083" s="15" t="s">
        <v>550</v>
      </c>
      <c r="E6083" s="15" t="n">
        <v>4</v>
      </c>
      <c r="H6083" s="10"/>
      <c r="I6083" s="21"/>
      <c r="M6083" s="10"/>
      <c r="N6083" s="10"/>
      <c r="P6083" s="10"/>
      <c r="Q6083" s="22"/>
    </row>
    <row r="6084" customFormat="false" ht="15.75" hidden="false" customHeight="false" outlineLevel="0" collapsed="false">
      <c r="A6084" s="20" t="n">
        <v>46184</v>
      </c>
      <c r="B6084" s="15" t="s">
        <v>453</v>
      </c>
      <c r="C6084" s="15" t="s">
        <v>63</v>
      </c>
      <c r="D6084" s="15" t="s">
        <v>551</v>
      </c>
      <c r="E6084" s="15" t="n">
        <v>2</v>
      </c>
      <c r="H6084" s="10"/>
      <c r="I6084" s="21"/>
      <c r="M6084" s="10"/>
      <c r="N6084" s="10"/>
      <c r="P6084" s="10"/>
      <c r="Q6084" s="22"/>
    </row>
    <row r="6085" customFormat="false" ht="15.75" hidden="false" customHeight="false" outlineLevel="0" collapsed="false">
      <c r="A6085" s="20" t="n">
        <v>46184</v>
      </c>
      <c r="B6085" s="15" t="s">
        <v>453</v>
      </c>
      <c r="C6085" s="15" t="s">
        <v>35</v>
      </c>
      <c r="D6085" s="15" t="s">
        <v>552</v>
      </c>
      <c r="E6085" s="15" t="n">
        <v>4</v>
      </c>
      <c r="H6085" s="10"/>
      <c r="I6085" s="21"/>
      <c r="M6085" s="10"/>
      <c r="N6085" s="10"/>
      <c r="P6085" s="10"/>
      <c r="Q6085" s="22"/>
    </row>
    <row r="6086" customFormat="false" ht="15.75" hidden="false" customHeight="false" outlineLevel="0" collapsed="false">
      <c r="A6086" s="20" t="n">
        <v>46185</v>
      </c>
      <c r="B6086" s="15" t="s">
        <v>453</v>
      </c>
      <c r="C6086" s="15" t="s">
        <v>47</v>
      </c>
      <c r="D6086" s="15" t="s">
        <v>549</v>
      </c>
      <c r="E6086" s="15" t="n">
        <v>4</v>
      </c>
      <c r="H6086" s="10"/>
      <c r="I6086" s="21"/>
      <c r="M6086" s="10"/>
      <c r="N6086" s="10"/>
      <c r="P6086" s="10"/>
      <c r="Q6086" s="22"/>
    </row>
    <row r="6087" customFormat="false" ht="15.75" hidden="false" customHeight="false" outlineLevel="0" collapsed="false">
      <c r="A6087" s="20" t="n">
        <v>46185</v>
      </c>
      <c r="B6087" s="15" t="s">
        <v>453</v>
      </c>
      <c r="C6087" s="15" t="s">
        <v>55</v>
      </c>
      <c r="D6087" s="15" t="s">
        <v>539</v>
      </c>
      <c r="E6087" s="15" t="n">
        <v>8</v>
      </c>
      <c r="H6087" s="10"/>
      <c r="I6087" s="21"/>
      <c r="M6087" s="10"/>
      <c r="N6087" s="10"/>
      <c r="P6087" s="10"/>
      <c r="Q6087" s="22"/>
    </row>
    <row r="6088" customFormat="false" ht="15.75" hidden="false" customHeight="false" outlineLevel="0" collapsed="false">
      <c r="A6088" s="20" t="n">
        <v>46185</v>
      </c>
      <c r="B6088" s="15" t="s">
        <v>453</v>
      </c>
      <c r="C6088" s="15" t="s">
        <v>81</v>
      </c>
      <c r="D6088" s="15" t="s">
        <v>534</v>
      </c>
      <c r="E6088" s="15" t="n">
        <v>16</v>
      </c>
      <c r="H6088" s="10"/>
      <c r="I6088" s="21"/>
      <c r="M6088" s="10"/>
      <c r="N6088" s="10"/>
      <c r="P6088" s="10"/>
      <c r="Q6088" s="22"/>
    </row>
    <row r="6089" customFormat="false" ht="15.75" hidden="false" customHeight="false" outlineLevel="0" collapsed="false">
      <c r="A6089" s="20" t="n">
        <v>46185</v>
      </c>
      <c r="B6089" s="15" t="s">
        <v>453</v>
      </c>
      <c r="C6089" s="15" t="s">
        <v>39</v>
      </c>
      <c r="D6089" s="15" t="s">
        <v>550</v>
      </c>
      <c r="E6089" s="15" t="n">
        <v>4</v>
      </c>
      <c r="H6089" s="10"/>
      <c r="I6089" s="21"/>
      <c r="M6089" s="10"/>
      <c r="N6089" s="10"/>
      <c r="P6089" s="10"/>
      <c r="Q6089" s="22"/>
    </row>
    <row r="6090" customFormat="false" ht="15.75" hidden="false" customHeight="false" outlineLevel="0" collapsed="false">
      <c r="A6090" s="20" t="n">
        <v>46185</v>
      </c>
      <c r="B6090" s="15" t="s">
        <v>453</v>
      </c>
      <c r="C6090" s="15" t="s">
        <v>63</v>
      </c>
      <c r="D6090" s="15" t="s">
        <v>551</v>
      </c>
      <c r="E6090" s="15" t="n">
        <v>2</v>
      </c>
      <c r="H6090" s="10"/>
      <c r="I6090" s="21"/>
      <c r="M6090" s="10"/>
      <c r="N6090" s="10"/>
      <c r="P6090" s="10"/>
      <c r="Q6090" s="22"/>
    </row>
    <row r="6091" customFormat="false" ht="15.75" hidden="false" customHeight="false" outlineLevel="0" collapsed="false">
      <c r="A6091" s="20" t="n">
        <v>46185</v>
      </c>
      <c r="B6091" s="15" t="s">
        <v>453</v>
      </c>
      <c r="C6091" s="15" t="s">
        <v>35</v>
      </c>
      <c r="D6091" s="15" t="s">
        <v>552</v>
      </c>
      <c r="E6091" s="15" t="n">
        <v>4</v>
      </c>
      <c r="H6091" s="10"/>
      <c r="I6091" s="21"/>
      <c r="M6091" s="10"/>
      <c r="N6091" s="10"/>
      <c r="P6091" s="10"/>
      <c r="Q6091" s="22"/>
    </row>
    <row r="6092" customFormat="false" ht="15.75" hidden="false" customHeight="false" outlineLevel="0" collapsed="false">
      <c r="A6092" s="20" t="n">
        <v>46188</v>
      </c>
      <c r="B6092" s="15" t="s">
        <v>453</v>
      </c>
      <c r="C6092" s="15" t="s">
        <v>47</v>
      </c>
      <c r="D6092" s="15" t="s">
        <v>549</v>
      </c>
      <c r="E6092" s="15" t="n">
        <v>2</v>
      </c>
      <c r="H6092" s="10"/>
      <c r="I6092" s="21"/>
      <c r="M6092" s="10"/>
      <c r="N6092" s="10"/>
      <c r="P6092" s="10"/>
      <c r="Q6092" s="22"/>
    </row>
    <row r="6093" customFormat="false" ht="15.75" hidden="false" customHeight="false" outlineLevel="0" collapsed="false">
      <c r="A6093" s="20" t="n">
        <v>46188</v>
      </c>
      <c r="B6093" s="15" t="s">
        <v>453</v>
      </c>
      <c r="C6093" s="15" t="s">
        <v>55</v>
      </c>
      <c r="D6093" s="15" t="s">
        <v>539</v>
      </c>
      <c r="E6093" s="15" t="n">
        <v>4</v>
      </c>
      <c r="H6093" s="10"/>
      <c r="I6093" s="21"/>
      <c r="M6093" s="10"/>
      <c r="N6093" s="10"/>
      <c r="P6093" s="10"/>
      <c r="Q6093" s="22"/>
    </row>
    <row r="6094" customFormat="false" ht="15.75" hidden="false" customHeight="false" outlineLevel="0" collapsed="false">
      <c r="A6094" s="20" t="n">
        <v>46188</v>
      </c>
      <c r="B6094" s="15" t="s">
        <v>453</v>
      </c>
      <c r="C6094" s="15" t="s">
        <v>81</v>
      </c>
      <c r="D6094" s="15" t="s">
        <v>534</v>
      </c>
      <c r="E6094" s="15" t="n">
        <v>8</v>
      </c>
      <c r="H6094" s="10"/>
      <c r="I6094" s="21"/>
      <c r="M6094" s="10"/>
      <c r="N6094" s="10"/>
      <c r="P6094" s="10"/>
      <c r="Q6094" s="22"/>
    </row>
    <row r="6095" customFormat="false" ht="15.75" hidden="false" customHeight="false" outlineLevel="0" collapsed="false">
      <c r="A6095" s="20" t="n">
        <v>46188</v>
      </c>
      <c r="B6095" s="15" t="s">
        <v>453</v>
      </c>
      <c r="C6095" s="15" t="s">
        <v>39</v>
      </c>
      <c r="D6095" s="15" t="s">
        <v>550</v>
      </c>
      <c r="E6095" s="15" t="n">
        <v>2</v>
      </c>
      <c r="H6095" s="10"/>
      <c r="I6095" s="21"/>
      <c r="M6095" s="10"/>
      <c r="N6095" s="10"/>
      <c r="P6095" s="10"/>
      <c r="Q6095" s="22"/>
    </row>
    <row r="6096" customFormat="false" ht="15.75" hidden="false" customHeight="false" outlineLevel="0" collapsed="false">
      <c r="A6096" s="20" t="n">
        <v>46188</v>
      </c>
      <c r="B6096" s="15" t="s">
        <v>453</v>
      </c>
      <c r="C6096" s="15" t="s">
        <v>63</v>
      </c>
      <c r="D6096" s="15" t="s">
        <v>551</v>
      </c>
      <c r="E6096" s="15" t="n">
        <v>1</v>
      </c>
      <c r="H6096" s="10"/>
      <c r="I6096" s="21"/>
      <c r="M6096" s="10"/>
      <c r="N6096" s="10"/>
      <c r="P6096" s="10"/>
      <c r="Q6096" s="22"/>
    </row>
    <row r="6097" customFormat="false" ht="15.75" hidden="false" customHeight="false" outlineLevel="0" collapsed="false">
      <c r="A6097" s="20" t="n">
        <v>46188</v>
      </c>
      <c r="B6097" s="15" t="s">
        <v>453</v>
      </c>
      <c r="C6097" s="15" t="s">
        <v>35</v>
      </c>
      <c r="D6097" s="15" t="s">
        <v>552</v>
      </c>
      <c r="E6097" s="15" t="n">
        <v>2</v>
      </c>
      <c r="H6097" s="10"/>
      <c r="I6097" s="21"/>
      <c r="M6097" s="10"/>
      <c r="N6097" s="10"/>
      <c r="P6097" s="10"/>
      <c r="Q6097" s="22"/>
    </row>
    <row r="6098" customFormat="false" ht="15.75" hidden="false" customHeight="false" outlineLevel="0" collapsed="false">
      <c r="A6098" s="20"/>
      <c r="H6098" s="10"/>
      <c r="I6098" s="21"/>
      <c r="M6098" s="10"/>
      <c r="N6098" s="10"/>
      <c r="P6098" s="10"/>
      <c r="Q6098" s="22"/>
    </row>
    <row r="6099" customFormat="false" ht="15.75" hidden="false" customHeight="false" outlineLevel="0" collapsed="false">
      <c r="A6099" s="20"/>
      <c r="H6099" s="10"/>
      <c r="I6099" s="21"/>
      <c r="M6099" s="10"/>
      <c r="N6099" s="10"/>
      <c r="P6099" s="10"/>
      <c r="Q6099" s="22"/>
    </row>
    <row r="6100" customFormat="false" ht="15.75" hidden="false" customHeight="false" outlineLevel="0" collapsed="false">
      <c r="A6100" s="20"/>
      <c r="H6100" s="10"/>
      <c r="I6100" s="21"/>
      <c r="M6100" s="10"/>
      <c r="N6100" s="10"/>
      <c r="P6100" s="10"/>
      <c r="Q6100" s="22"/>
    </row>
    <row r="6101" customFormat="false" ht="15.75" hidden="false" customHeight="false" outlineLevel="0" collapsed="false">
      <c r="A6101" s="20"/>
      <c r="H6101" s="10"/>
      <c r="I6101" s="21"/>
      <c r="M6101" s="10"/>
      <c r="N6101" s="10"/>
      <c r="P6101" s="10"/>
      <c r="Q6101" s="22"/>
    </row>
    <row r="6102" customFormat="false" ht="15.75" hidden="false" customHeight="false" outlineLevel="0" collapsed="false">
      <c r="A6102" s="20"/>
      <c r="H6102" s="10"/>
      <c r="I6102" s="21"/>
      <c r="M6102" s="10"/>
      <c r="N6102" s="10"/>
      <c r="P6102" s="10"/>
      <c r="Q6102" s="22"/>
    </row>
    <row r="6103" customFormat="false" ht="15.75" hidden="false" customHeight="false" outlineLevel="0" collapsed="false">
      <c r="A6103" s="20"/>
      <c r="H6103" s="10"/>
      <c r="I6103" s="21"/>
      <c r="M6103" s="10"/>
      <c r="N6103" s="10"/>
      <c r="P6103" s="10"/>
      <c r="Q6103" s="22"/>
    </row>
    <row r="6104" customFormat="false" ht="15.75" hidden="false" customHeight="false" outlineLevel="0" collapsed="false">
      <c r="A6104" s="20"/>
      <c r="H6104" s="10"/>
      <c r="I6104" s="21"/>
      <c r="M6104" s="10"/>
      <c r="N6104" s="10"/>
      <c r="P6104" s="10"/>
      <c r="Q6104" s="22"/>
    </row>
    <row r="6105" customFormat="false" ht="15.75" hidden="false" customHeight="false" outlineLevel="0" collapsed="false">
      <c r="A6105" s="20"/>
      <c r="H6105" s="10"/>
      <c r="I6105" s="21"/>
      <c r="M6105" s="10"/>
      <c r="N6105" s="10"/>
      <c r="P6105" s="10"/>
      <c r="Q6105" s="22"/>
    </row>
    <row r="6106" customFormat="false" ht="15.75" hidden="false" customHeight="false" outlineLevel="0" collapsed="false">
      <c r="A6106" s="20"/>
      <c r="H6106" s="10"/>
      <c r="I6106" s="21"/>
      <c r="M6106" s="10"/>
      <c r="N6106" s="10"/>
      <c r="P6106" s="10"/>
      <c r="Q6106" s="22"/>
    </row>
    <row r="6107" customFormat="false" ht="15.75" hidden="false" customHeight="false" outlineLevel="0" collapsed="false">
      <c r="A6107" s="20"/>
      <c r="H6107" s="10"/>
      <c r="I6107" s="21"/>
      <c r="M6107" s="10"/>
      <c r="N6107" s="10"/>
      <c r="P6107" s="10"/>
      <c r="Q6107" s="22"/>
    </row>
    <row r="6108" customFormat="false" ht="15.75" hidden="false" customHeight="false" outlineLevel="0" collapsed="false">
      <c r="A6108" s="20"/>
      <c r="H6108" s="10"/>
      <c r="I6108" s="21"/>
      <c r="M6108" s="10"/>
      <c r="N6108" s="10"/>
      <c r="P6108" s="10"/>
      <c r="Q6108" s="22"/>
    </row>
    <row r="6109" customFormat="false" ht="15.75" hidden="false" customHeight="false" outlineLevel="0" collapsed="false">
      <c r="A6109" s="20"/>
      <c r="H6109" s="10"/>
      <c r="I6109" s="21"/>
      <c r="M6109" s="10"/>
      <c r="N6109" s="10"/>
      <c r="P6109" s="10"/>
      <c r="Q6109" s="22"/>
    </row>
    <row r="6110" customFormat="false" ht="15.75" hidden="false" customHeight="false" outlineLevel="0" collapsed="false">
      <c r="A6110" s="20"/>
      <c r="H6110" s="10"/>
      <c r="I6110" s="21"/>
      <c r="M6110" s="10"/>
      <c r="N6110" s="10"/>
      <c r="P6110" s="10"/>
      <c r="Q6110" s="22"/>
    </row>
    <row r="6111" customFormat="false" ht="15.75" hidden="false" customHeight="false" outlineLevel="0" collapsed="false">
      <c r="A6111" s="20"/>
      <c r="H6111" s="10"/>
      <c r="I6111" s="21"/>
      <c r="M6111" s="10"/>
      <c r="N6111" s="10"/>
      <c r="P6111" s="10"/>
      <c r="Q6111" s="22"/>
    </row>
    <row r="6112" customFormat="false" ht="15.75" hidden="false" customHeight="false" outlineLevel="0" collapsed="false">
      <c r="A6112" s="20"/>
      <c r="H6112" s="10"/>
      <c r="I6112" s="21"/>
      <c r="M6112" s="10"/>
      <c r="N6112" s="10"/>
      <c r="P6112" s="10"/>
      <c r="Q6112" s="22"/>
    </row>
    <row r="6113" customFormat="false" ht="15.75" hidden="false" customHeight="false" outlineLevel="0" collapsed="false">
      <c r="A6113" s="20"/>
      <c r="H6113" s="10"/>
      <c r="I6113" s="21"/>
      <c r="M6113" s="10"/>
      <c r="N6113" s="10"/>
      <c r="P6113" s="10"/>
      <c r="Q6113" s="22"/>
    </row>
    <row r="6114" customFormat="false" ht="15.75" hidden="false" customHeight="false" outlineLevel="0" collapsed="false">
      <c r="A6114" s="20"/>
      <c r="H6114" s="10"/>
      <c r="I6114" s="21"/>
      <c r="M6114" s="10"/>
      <c r="N6114" s="10"/>
      <c r="P6114" s="10"/>
      <c r="Q6114" s="22"/>
    </row>
    <row r="6115" customFormat="false" ht="15.75" hidden="false" customHeight="false" outlineLevel="0" collapsed="false">
      <c r="A6115" s="20"/>
      <c r="H6115" s="10"/>
      <c r="I6115" s="21"/>
      <c r="M6115" s="10"/>
      <c r="N6115" s="10"/>
      <c r="P6115" s="10"/>
      <c r="Q6115" s="22"/>
    </row>
  </sheetData>
  <autoFilter ref="A1:GS6085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50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17" ySplit="1" topLeftCell="R2" activePane="bottomRight" state="frozen"/>
      <selection pane="topLeft" activeCell="A1" activeCellId="0" sqref="A1"/>
      <selection pane="topRight" activeCell="R1" activeCellId="0" sqref="R1"/>
      <selection pane="bottomLeft" activeCell="A2" activeCellId="0" sqref="A2"/>
      <selection pane="bottomRight" activeCell="U1" activeCellId="0" sqref="U1"/>
    </sheetView>
  </sheetViews>
  <sheetFormatPr defaultColWidth="12.5703125" defaultRowHeight="15.75" zeroHeight="false" outlineLevelRow="0" outlineLevelCol="0"/>
  <cols>
    <col collapsed="false" customWidth="true" hidden="false" outlineLevel="0" max="1" min="1" style="0" width="9.71"/>
    <col collapsed="false" customWidth="true" hidden="false" outlineLevel="0" max="2" min="2" style="0" width="7.57"/>
    <col collapsed="false" customWidth="true" hidden="false" outlineLevel="0" max="3" min="3" style="0" width="22.42"/>
    <col collapsed="false" customWidth="true" hidden="true" outlineLevel="0" max="4" min="4" style="0" width="34.42"/>
    <col collapsed="false" customWidth="true" hidden="true" outlineLevel="0" max="5" min="5" style="0" width="36"/>
    <col collapsed="false" customWidth="true" hidden="true" outlineLevel="0" max="6" min="6" style="0" width="11.43"/>
    <col collapsed="false" customWidth="true" hidden="true" outlineLevel="0" max="7" min="7" style="0" width="12.15"/>
    <col collapsed="false" customWidth="true" hidden="true" outlineLevel="0" max="8" min="8" style="0" width="16.43"/>
    <col collapsed="false" customWidth="true" hidden="true" outlineLevel="0" max="9" min="9" style="0" width="20.71"/>
    <col collapsed="false" customWidth="true" hidden="true" outlineLevel="0" max="10" min="10" style="0" width="19.42"/>
    <col collapsed="false" customWidth="true" hidden="true" outlineLevel="0" max="11" min="11" style="0" width="12.42"/>
    <col collapsed="false" customWidth="false" hidden="true" outlineLevel="0" max="13" min="12" style="0" width="12.57"/>
    <col collapsed="false" customWidth="true" hidden="true" outlineLevel="0" max="17" min="14" style="0" width="11.53"/>
    <col collapsed="false" customWidth="true" hidden="false" outlineLevel="0" max="18" min="18" style="0" width="44.85"/>
    <col collapsed="false" customWidth="true" hidden="false" outlineLevel="0" max="19" min="19" style="0" width="48.29"/>
    <col collapsed="false" customWidth="false" hidden="false" outlineLevel="0" max="21" min="21" style="24" width="12.57"/>
  </cols>
  <sheetData>
    <row r="1" s="17" customFormat="true" ht="28.5" hidden="false" customHeight="true" outlineLevel="0" collapsed="false">
      <c r="A1" s="16" t="s">
        <v>584</v>
      </c>
      <c r="B1" s="16" t="s">
        <v>585</v>
      </c>
      <c r="C1" s="16" t="s">
        <v>449</v>
      </c>
      <c r="D1" s="16" t="s">
        <v>586</v>
      </c>
      <c r="E1" s="16" t="s">
        <v>0</v>
      </c>
      <c r="F1" s="16" t="s">
        <v>587</v>
      </c>
      <c r="G1" s="16" t="s">
        <v>533</v>
      </c>
      <c r="H1" s="18" t="s">
        <v>588</v>
      </c>
      <c r="I1" s="16" t="s">
        <v>589</v>
      </c>
      <c r="J1" s="16" t="s">
        <v>590</v>
      </c>
      <c r="K1" s="16" t="s">
        <v>591</v>
      </c>
      <c r="L1" s="16" t="s">
        <v>592</v>
      </c>
      <c r="M1" s="16" t="s">
        <v>593</v>
      </c>
      <c r="N1" s="16" t="s">
        <v>594</v>
      </c>
      <c r="O1" s="16" t="s">
        <v>595</v>
      </c>
      <c r="P1" s="19" t="s">
        <v>596</v>
      </c>
      <c r="Q1" s="19"/>
      <c r="R1" s="17" t="s">
        <v>597</v>
      </c>
      <c r="S1" s="17" t="s">
        <v>598</v>
      </c>
      <c r="U1" s="17" t="s">
        <v>599</v>
      </c>
    </row>
    <row r="2" customFormat="false" ht="12.75" hidden="false" customHeight="false" outlineLevel="0" collapsed="false">
      <c r="A2" s="15" t="n">
        <v>1</v>
      </c>
      <c r="B2" s="15" t="s">
        <v>600</v>
      </c>
      <c r="C2" s="15" t="s">
        <v>520</v>
      </c>
      <c r="D2" s="15" t="s">
        <v>601</v>
      </c>
      <c r="E2" s="15" t="s">
        <v>55</v>
      </c>
      <c r="F2" s="15"/>
      <c r="G2" s="10" t="n">
        <v>1</v>
      </c>
      <c r="H2" s="21" t="n">
        <v>45995.5803703704</v>
      </c>
      <c r="I2" s="15" t="s">
        <v>602</v>
      </c>
      <c r="J2" s="15" t="s">
        <v>602</v>
      </c>
      <c r="K2" s="15"/>
      <c r="L2" s="10" t="n">
        <f aca="false">COUNTIF($E$2:E2,E2)</f>
        <v>1</v>
      </c>
      <c r="M2" s="10" t="e">
        <f aca="false">ifs(L2=1, L2&amp;"-"&amp; COUNTIFS($L$2:L2,1))</f>
        <v>#NAME?</v>
      </c>
      <c r="N2" s="15" t="s">
        <v>603</v>
      </c>
      <c r="O2" s="10"/>
      <c r="P2" s="22" t="n">
        <f aca="false">COUNTIFS(C:C,C2,N:N,"Đã xác nhận")/COUNTIFS(C:C,C2)</f>
        <v>1</v>
      </c>
      <c r="Q2" s="22"/>
      <c r="R2" s="0" t="s">
        <v>604</v>
      </c>
      <c r="S2" s="0" t="s">
        <v>539</v>
      </c>
      <c r="U2" s="24" t="n">
        <v>1</v>
      </c>
    </row>
    <row r="3" customFormat="false" ht="12.75" hidden="false" customHeight="false" outlineLevel="0" collapsed="false">
      <c r="A3" s="15" t="n">
        <v>2</v>
      </c>
      <c r="B3" s="15" t="s">
        <v>600</v>
      </c>
      <c r="C3" s="15" t="s">
        <v>520</v>
      </c>
      <c r="D3" s="15" t="s">
        <v>605</v>
      </c>
      <c r="E3" s="15" t="s">
        <v>55</v>
      </c>
      <c r="F3" s="15"/>
      <c r="G3" s="10" t="n">
        <v>1</v>
      </c>
      <c r="H3" s="21" t="n">
        <v>46024.6532523148</v>
      </c>
      <c r="I3" s="15" t="s">
        <v>606</v>
      </c>
      <c r="J3" s="15" t="s">
        <v>606</v>
      </c>
      <c r="K3" s="15"/>
      <c r="L3" s="10" t="n">
        <f aca="false">COUNTIF($E$2:E3,E3)</f>
        <v>2</v>
      </c>
      <c r="M3" s="10" t="e">
        <f aca="false">ifs(L3=1, L3&amp;"-"&amp; COUNTIFS($L$2:L3,1))</f>
        <v>#NAME?</v>
      </c>
      <c r="N3" s="15" t="s">
        <v>603</v>
      </c>
      <c r="O3" s="10"/>
      <c r="P3" s="22" t="n">
        <f aca="false">COUNTIFS(C:C,C3,N:N,"Đã xác nhận")/COUNTIFS(C:C,C3)</f>
        <v>1</v>
      </c>
      <c r="Q3" s="22"/>
      <c r="R3" s="0" t="s">
        <v>607</v>
      </c>
      <c r="S3" s="0" t="s">
        <v>539</v>
      </c>
      <c r="U3" s="24" t="n">
        <v>1</v>
      </c>
    </row>
    <row r="4" customFormat="false" ht="12.75" hidden="false" customHeight="false" outlineLevel="0" collapsed="false">
      <c r="A4" s="15" t="n">
        <v>3</v>
      </c>
      <c r="B4" s="15" t="s">
        <v>600</v>
      </c>
      <c r="C4" s="15" t="s">
        <v>520</v>
      </c>
      <c r="D4" s="15" t="s">
        <v>608</v>
      </c>
      <c r="E4" s="15" t="s">
        <v>55</v>
      </c>
      <c r="F4" s="15"/>
      <c r="G4" s="10" t="n">
        <v>1</v>
      </c>
      <c r="H4" s="21" t="n">
        <v>46024.6532407407</v>
      </c>
      <c r="I4" s="15" t="s">
        <v>609</v>
      </c>
      <c r="J4" s="15" t="s">
        <v>609</v>
      </c>
      <c r="K4" s="15"/>
      <c r="L4" s="10" t="n">
        <f aca="false">COUNTIF($E$2:E4,E4)</f>
        <v>3</v>
      </c>
      <c r="M4" s="10" t="e">
        <f aca="false">ifs(L4=1, L4&amp;"-"&amp; COUNTIFS($L$2:L4,1))</f>
        <v>#NAME?</v>
      </c>
      <c r="N4" s="15" t="s">
        <v>603</v>
      </c>
      <c r="O4" s="10"/>
      <c r="P4" s="22" t="n">
        <f aca="false">COUNTIFS(C:C,C4,N:N,"Đã xác nhận")/COUNTIFS(C:C,C4)</f>
        <v>1</v>
      </c>
      <c r="Q4" s="22"/>
      <c r="R4" s="0" t="s">
        <v>610</v>
      </c>
      <c r="S4" s="0" t="s">
        <v>539</v>
      </c>
      <c r="U4" s="24" t="n">
        <v>1</v>
      </c>
    </row>
    <row r="5" customFormat="false" ht="12.75" hidden="false" customHeight="false" outlineLevel="0" collapsed="false">
      <c r="A5" s="15" t="n">
        <v>4</v>
      </c>
      <c r="B5" s="15" t="s">
        <v>600</v>
      </c>
      <c r="C5" s="15" t="s">
        <v>520</v>
      </c>
      <c r="D5" s="15" t="s">
        <v>611</v>
      </c>
      <c r="E5" s="15" t="s">
        <v>69</v>
      </c>
      <c r="F5" s="15"/>
      <c r="G5" s="10" t="n">
        <v>1</v>
      </c>
      <c r="H5" s="21" t="n">
        <v>46024.653275463</v>
      </c>
      <c r="I5" s="15" t="s">
        <v>612</v>
      </c>
      <c r="J5" s="15" t="s">
        <v>612</v>
      </c>
      <c r="K5" s="15"/>
      <c r="L5" s="10" t="n">
        <f aca="false">COUNTIF($E$2:E5,E5)</f>
        <v>1</v>
      </c>
      <c r="M5" s="10" t="e">
        <f aca="false">ifs(L5=1, L5&amp;"-"&amp; COUNTIFS($L$2:L5,1))</f>
        <v>#NAME?</v>
      </c>
      <c r="N5" s="15" t="s">
        <v>603</v>
      </c>
      <c r="O5" s="10"/>
      <c r="P5" s="22" t="n">
        <f aca="false">COUNTIFS(C:C,C5,N:N,"Đã xác nhận")/COUNTIFS(C:C,C5)</f>
        <v>1</v>
      </c>
      <c r="Q5" s="22"/>
      <c r="R5" s="0" t="s">
        <v>613</v>
      </c>
      <c r="S5" s="0" t="s">
        <v>535</v>
      </c>
      <c r="U5" s="24" t="n">
        <v>1</v>
      </c>
    </row>
    <row r="6" customFormat="false" ht="12.75" hidden="false" customHeight="false" outlineLevel="0" collapsed="false">
      <c r="A6" s="15" t="n">
        <v>5</v>
      </c>
      <c r="B6" s="15" t="s">
        <v>600</v>
      </c>
      <c r="C6" s="15" t="s">
        <v>520</v>
      </c>
      <c r="D6" s="15" t="s">
        <v>614</v>
      </c>
      <c r="E6" s="15" t="s">
        <v>81</v>
      </c>
      <c r="F6" s="15"/>
      <c r="G6" s="10" t="n">
        <v>1</v>
      </c>
      <c r="H6" s="21" t="n">
        <v>46024.6532291667</v>
      </c>
      <c r="I6" s="15" t="s">
        <v>615</v>
      </c>
      <c r="J6" s="15" t="s">
        <v>615</v>
      </c>
      <c r="K6" s="15"/>
      <c r="L6" s="10" t="n">
        <f aca="false">COUNTIF($E$2:E6,E6)</f>
        <v>1</v>
      </c>
      <c r="M6" s="10" t="e">
        <f aca="false">ifs(L6=1, L6&amp;"-"&amp; COUNTIFS($L$2:L6,1))</f>
        <v>#NAME?</v>
      </c>
      <c r="N6" s="15" t="s">
        <v>603</v>
      </c>
      <c r="O6" s="10"/>
      <c r="P6" s="22" t="n">
        <f aca="false">COUNTIFS(C:C,C6,N:N,"Đã xác nhận")/COUNTIFS(C:C,C6)</f>
        <v>1</v>
      </c>
      <c r="Q6" s="22"/>
      <c r="R6" s="0" t="s">
        <v>616</v>
      </c>
      <c r="S6" s="0" t="s">
        <v>534</v>
      </c>
      <c r="U6" s="24" t="n">
        <v>1</v>
      </c>
    </row>
    <row r="7" customFormat="false" ht="12.75" hidden="false" customHeight="false" outlineLevel="0" collapsed="false">
      <c r="A7" s="15" t="n">
        <v>6</v>
      </c>
      <c r="B7" s="15" t="s">
        <v>600</v>
      </c>
      <c r="C7" s="15" t="s">
        <v>520</v>
      </c>
      <c r="D7" s="15" t="s">
        <v>617</v>
      </c>
      <c r="E7" s="15" t="s">
        <v>69</v>
      </c>
      <c r="F7" s="15"/>
      <c r="G7" s="10" t="n">
        <v>1</v>
      </c>
      <c r="H7" s="21" t="n">
        <v>46024.6532638889</v>
      </c>
      <c r="I7" s="15" t="s">
        <v>618</v>
      </c>
      <c r="J7" s="15" t="s">
        <v>618</v>
      </c>
      <c r="K7" s="15"/>
      <c r="L7" s="10" t="n">
        <f aca="false">COUNTIF($E$2:E7,E7)</f>
        <v>2</v>
      </c>
      <c r="M7" s="10" t="e">
        <f aca="false">ifs(L7=1, L7&amp;"-"&amp; COUNTIFS($L$2:L7,1))</f>
        <v>#NAME?</v>
      </c>
      <c r="N7" s="15" t="s">
        <v>603</v>
      </c>
      <c r="O7" s="10"/>
      <c r="P7" s="22" t="n">
        <f aca="false">COUNTIFS(C:C,C7,N:N,"Đã xác nhận")/COUNTIFS(C:C,C7)</f>
        <v>1</v>
      </c>
      <c r="Q7" s="22"/>
      <c r="R7" s="0" t="s">
        <v>619</v>
      </c>
      <c r="S7" s="0" t="s">
        <v>535</v>
      </c>
      <c r="U7" s="24" t="n">
        <v>1</v>
      </c>
    </row>
    <row r="8" customFormat="false" ht="12.75" hidden="false" customHeight="false" outlineLevel="0" collapsed="false">
      <c r="A8" s="15" t="n">
        <v>7</v>
      </c>
      <c r="B8" s="15" t="s">
        <v>600</v>
      </c>
      <c r="C8" s="15" t="s">
        <v>520</v>
      </c>
      <c r="D8" s="15" t="s">
        <v>620</v>
      </c>
      <c r="E8" s="15" t="s">
        <v>69</v>
      </c>
      <c r="F8" s="15"/>
      <c r="G8" s="10" t="n">
        <v>2</v>
      </c>
      <c r="H8" s="21" t="n">
        <v>46024.6532175926</v>
      </c>
      <c r="I8" s="15" t="s">
        <v>621</v>
      </c>
      <c r="J8" s="15" t="s">
        <v>621</v>
      </c>
      <c r="K8" s="15"/>
      <c r="L8" s="10" t="n">
        <f aca="false">COUNTIF($E$2:E8,E8)</f>
        <v>3</v>
      </c>
      <c r="M8" s="10" t="e">
        <f aca="false">ifs(L8=1, L8&amp;"-"&amp; COUNTIFS($L$2:L8,1))</f>
        <v>#NAME?</v>
      </c>
      <c r="N8" s="15" t="s">
        <v>603</v>
      </c>
      <c r="O8" s="10"/>
      <c r="P8" s="22" t="n">
        <f aca="false">COUNTIFS(C:C,C8,N:N,"Đã xác nhận")/COUNTIFS(C:C,C8)</f>
        <v>1</v>
      </c>
      <c r="Q8" s="22"/>
      <c r="R8" s="0" t="s">
        <v>622</v>
      </c>
      <c r="S8" s="0" t="s">
        <v>535</v>
      </c>
      <c r="U8" s="24" t="n">
        <v>2</v>
      </c>
    </row>
    <row r="9" customFormat="false" ht="12.75" hidden="false" customHeight="false" outlineLevel="0" collapsed="false">
      <c r="A9" s="15" t="n">
        <v>8</v>
      </c>
      <c r="B9" s="15" t="s">
        <v>600</v>
      </c>
      <c r="C9" s="15" t="s">
        <v>520</v>
      </c>
      <c r="D9" s="15" t="s">
        <v>620</v>
      </c>
      <c r="E9" s="15" t="s">
        <v>77</v>
      </c>
      <c r="F9" s="15"/>
      <c r="G9" s="10" t="n">
        <v>2</v>
      </c>
      <c r="H9" s="21" t="n">
        <v>46024.6532291667</v>
      </c>
      <c r="I9" s="15" t="s">
        <v>623</v>
      </c>
      <c r="J9" s="15" t="s">
        <v>623</v>
      </c>
      <c r="K9" s="15"/>
      <c r="L9" s="10" t="n">
        <f aca="false">COUNTIF($E$2:E9,E9)</f>
        <v>1</v>
      </c>
      <c r="M9" s="10" t="e">
        <f aca="false">ifs(L9=1, L9&amp;"-"&amp; COUNTIFS($L$2:L9,1))</f>
        <v>#NAME?</v>
      </c>
      <c r="N9" s="15" t="s">
        <v>603</v>
      </c>
      <c r="O9" s="10"/>
      <c r="P9" s="22" t="n">
        <f aca="false">COUNTIFS(C:C,C9,N:N,"Đã xác nhận")/COUNTIFS(C:C,C9)</f>
        <v>1</v>
      </c>
      <c r="Q9" s="22"/>
      <c r="R9" s="0" t="s">
        <v>622</v>
      </c>
      <c r="S9" s="0" t="s">
        <v>78</v>
      </c>
      <c r="U9" s="24" t="n">
        <v>2</v>
      </c>
    </row>
    <row r="10" customFormat="false" ht="12.75" hidden="false" customHeight="false" outlineLevel="0" collapsed="false">
      <c r="A10" s="15" t="n">
        <v>10</v>
      </c>
      <c r="B10" s="15" t="s">
        <v>600</v>
      </c>
      <c r="C10" s="15" t="s">
        <v>496</v>
      </c>
      <c r="D10" s="15" t="s">
        <v>624</v>
      </c>
      <c r="E10" s="15" t="s">
        <v>81</v>
      </c>
      <c r="F10" s="15"/>
      <c r="G10" s="10" t="n">
        <v>1</v>
      </c>
      <c r="H10" s="21" t="n">
        <v>46035.6958101852</v>
      </c>
      <c r="I10" s="15" t="s">
        <v>625</v>
      </c>
      <c r="J10" s="15" t="s">
        <v>625</v>
      </c>
      <c r="K10" s="15"/>
      <c r="L10" s="10" t="n">
        <f aca="false">COUNTIF($E$2:E10,E10)</f>
        <v>2</v>
      </c>
      <c r="M10" s="10" t="e">
        <f aca="false">ifs(L10=1, L10&amp;"-"&amp; COUNTIFS($L$2:L10,1))</f>
        <v>#NAME?</v>
      </c>
      <c r="N10" s="15" t="s">
        <v>603</v>
      </c>
      <c r="O10" s="10"/>
      <c r="P10" s="22" t="n">
        <f aca="false">COUNTIFS(C:C,C10,N:N,"Đã xác nhận")/COUNTIFS(C:C,C10)</f>
        <v>1</v>
      </c>
      <c r="Q10" s="22"/>
      <c r="R10" s="0" t="s">
        <v>626</v>
      </c>
      <c r="S10" s="0" t="s">
        <v>534</v>
      </c>
      <c r="U10" s="24" t="n">
        <v>1</v>
      </c>
    </row>
    <row r="11" customFormat="false" ht="12.75" hidden="false" customHeight="false" outlineLevel="0" collapsed="false">
      <c r="A11" s="15" t="n">
        <v>11</v>
      </c>
      <c r="B11" s="15" t="s">
        <v>600</v>
      </c>
      <c r="C11" s="15" t="s">
        <v>496</v>
      </c>
      <c r="D11" s="15" t="s">
        <v>624</v>
      </c>
      <c r="E11" s="15" t="s">
        <v>47</v>
      </c>
      <c r="F11" s="15"/>
      <c r="G11" s="10" t="n">
        <v>1</v>
      </c>
      <c r="H11" s="21" t="n">
        <v>46035.69625</v>
      </c>
      <c r="I11" s="15" t="s">
        <v>627</v>
      </c>
      <c r="J11" s="15" t="s">
        <v>627</v>
      </c>
      <c r="L11" s="10" t="n">
        <f aca="false">COUNTIF($E$2:E11,E11)</f>
        <v>1</v>
      </c>
      <c r="M11" s="10" t="e">
        <f aca="false">ifs(L11=1, L11&amp;"-"&amp; COUNTIFS($L$2:L11,1))</f>
        <v>#NAME?</v>
      </c>
      <c r="N11" s="15" t="s">
        <v>603</v>
      </c>
      <c r="O11" s="10"/>
      <c r="P11" s="22" t="n">
        <f aca="false">COUNTIFS(C:C,C11,N:N,"Đã xác nhận")/COUNTIFS(C:C,C11)</f>
        <v>1</v>
      </c>
      <c r="Q11" s="22"/>
      <c r="R11" s="0" t="s">
        <v>626</v>
      </c>
      <c r="S11" s="0" t="s">
        <v>549</v>
      </c>
      <c r="U11" s="24" t="n">
        <v>1</v>
      </c>
    </row>
    <row r="12" customFormat="false" ht="12.75" hidden="false" customHeight="false" outlineLevel="0" collapsed="false">
      <c r="A12" s="15" t="n">
        <v>12</v>
      </c>
      <c r="B12" s="15" t="s">
        <v>600</v>
      </c>
      <c r="C12" s="15" t="s">
        <v>496</v>
      </c>
      <c r="D12" s="15" t="s">
        <v>628</v>
      </c>
      <c r="E12" s="15" t="s">
        <v>55</v>
      </c>
      <c r="F12" s="15"/>
      <c r="G12" s="10" t="n">
        <v>1</v>
      </c>
      <c r="H12" s="21" t="n">
        <v>46035.6953240741</v>
      </c>
      <c r="I12" s="15" t="s">
        <v>629</v>
      </c>
      <c r="J12" s="15" t="s">
        <v>629</v>
      </c>
      <c r="L12" s="10" t="n">
        <f aca="false">COUNTIF($E$2:E12,E12)</f>
        <v>4</v>
      </c>
      <c r="M12" s="10" t="e">
        <f aca="false">ifs(L12=1, L12&amp;"-"&amp; COUNTIFS($L$2:L12,1))</f>
        <v>#NAME?</v>
      </c>
      <c r="N12" s="15" t="s">
        <v>603</v>
      </c>
      <c r="O12" s="10"/>
      <c r="P12" s="22" t="n">
        <f aca="false">COUNTIFS(C:C,C12,N:N,"Đã xác nhận")/COUNTIFS(C:C,C12)</f>
        <v>1</v>
      </c>
      <c r="Q12" s="22"/>
      <c r="R12" s="0" t="s">
        <v>630</v>
      </c>
      <c r="S12" s="0" t="s">
        <v>539</v>
      </c>
      <c r="U12" s="24" t="n">
        <v>1</v>
      </c>
    </row>
    <row r="13" customFormat="false" ht="12.75" hidden="false" customHeight="false" outlineLevel="0" collapsed="false">
      <c r="A13" s="15" t="n">
        <v>13</v>
      </c>
      <c r="B13" s="15" t="s">
        <v>600</v>
      </c>
      <c r="C13" s="15" t="s">
        <v>496</v>
      </c>
      <c r="D13" s="15" t="s">
        <v>631</v>
      </c>
      <c r="E13" s="15" t="s">
        <v>81</v>
      </c>
      <c r="F13" s="15"/>
      <c r="G13" s="10" t="n">
        <v>2</v>
      </c>
      <c r="H13" s="21" t="n">
        <v>46035.6958333333</v>
      </c>
      <c r="I13" s="15" t="s">
        <v>632</v>
      </c>
      <c r="J13" s="15" t="s">
        <v>632</v>
      </c>
      <c r="K13" s="15"/>
      <c r="L13" s="10" t="n">
        <f aca="false">COUNTIF($E$2:E13,E13)</f>
        <v>3</v>
      </c>
      <c r="M13" s="10" t="e">
        <f aca="false">ifs(L13=1, L13&amp;"-"&amp; COUNTIFS($L$2:L13,1))</f>
        <v>#NAME?</v>
      </c>
      <c r="N13" s="15" t="s">
        <v>603</v>
      </c>
      <c r="O13" s="10"/>
      <c r="P13" s="22" t="n">
        <f aca="false">COUNTIFS(C:C,C13,N:N,"Đã xác nhận")/COUNTIFS(C:C,C13)</f>
        <v>1</v>
      </c>
      <c r="Q13" s="22"/>
      <c r="R13" s="0" t="s">
        <v>633</v>
      </c>
      <c r="S13" s="0" t="s">
        <v>534</v>
      </c>
      <c r="U13" s="24" t="n">
        <v>2</v>
      </c>
    </row>
    <row r="14" customFormat="false" ht="12.75" hidden="false" customHeight="false" outlineLevel="0" collapsed="false">
      <c r="A14" s="15" t="n">
        <v>15</v>
      </c>
      <c r="B14" s="15" t="s">
        <v>600</v>
      </c>
      <c r="C14" s="15" t="s">
        <v>496</v>
      </c>
      <c r="D14" s="15" t="s">
        <v>634</v>
      </c>
      <c r="E14" s="15" t="s">
        <v>81</v>
      </c>
      <c r="F14" s="15"/>
      <c r="G14" s="10" t="n">
        <v>2</v>
      </c>
      <c r="H14" s="21" t="n">
        <v>46035.6958796296</v>
      </c>
      <c r="I14" s="15" t="s">
        <v>635</v>
      </c>
      <c r="J14" s="15" t="s">
        <v>636</v>
      </c>
      <c r="K14" s="15" t="s">
        <v>637</v>
      </c>
      <c r="L14" s="10" t="n">
        <f aca="false">COUNTIF($E$2:E14,E14)</f>
        <v>4</v>
      </c>
      <c r="M14" s="10" t="e">
        <f aca="false">ifs(L14=1, L14&amp;"-"&amp; COUNTIFS($L$2:L14,1))</f>
        <v>#NAME?</v>
      </c>
      <c r="N14" s="15" t="s">
        <v>603</v>
      </c>
      <c r="O14" s="10"/>
      <c r="P14" s="22" t="n">
        <f aca="false">COUNTIFS(C:C,C14,N:N,"Đã xác nhận")/COUNTIFS(C:C,C14)</f>
        <v>1</v>
      </c>
      <c r="Q14" s="22"/>
      <c r="R14" s="0" t="s">
        <v>638</v>
      </c>
      <c r="S14" s="0" t="s">
        <v>534</v>
      </c>
      <c r="U14" s="24" t="n">
        <v>2</v>
      </c>
    </row>
    <row r="15" customFormat="false" ht="12.75" hidden="false" customHeight="false" outlineLevel="0" collapsed="false">
      <c r="A15" s="15" t="n">
        <v>17</v>
      </c>
      <c r="B15" s="15" t="s">
        <v>600</v>
      </c>
      <c r="C15" s="15" t="s">
        <v>496</v>
      </c>
      <c r="D15" s="15" t="s">
        <v>639</v>
      </c>
      <c r="E15" s="15" t="s">
        <v>567</v>
      </c>
      <c r="F15" s="15"/>
      <c r="G15" s="10" t="n">
        <v>1</v>
      </c>
      <c r="H15" s="21" t="n">
        <v>46035.6940393519</v>
      </c>
      <c r="I15" s="15" t="s">
        <v>640</v>
      </c>
      <c r="J15" s="15" t="s">
        <v>640</v>
      </c>
      <c r="L15" s="10" t="n">
        <f aca="false">COUNTIF($E$2:E15,E15)</f>
        <v>1</v>
      </c>
      <c r="M15" s="10" t="e">
        <f aca="false">ifs(L15=1, L15&amp;"-"&amp; COUNTIFS($L$2:L15,1))</f>
        <v>#NAME?</v>
      </c>
      <c r="N15" s="15" t="s">
        <v>603</v>
      </c>
      <c r="O15" s="10"/>
      <c r="P15" s="22" t="n">
        <f aca="false">COUNTIFS(C:C,C15,N:N,"Đã xác nhận")/COUNTIFS(C:C,C15)</f>
        <v>1</v>
      </c>
      <c r="Q15" s="22"/>
      <c r="R15" s="0" t="s">
        <v>639</v>
      </c>
      <c r="S15" s="0" t="s">
        <v>568</v>
      </c>
      <c r="U15" s="24" t="n">
        <v>1</v>
      </c>
    </row>
    <row r="16" customFormat="false" ht="12.75" hidden="false" customHeight="false" outlineLevel="0" collapsed="false">
      <c r="A16" s="15" t="n">
        <v>18</v>
      </c>
      <c r="B16" s="15" t="s">
        <v>600</v>
      </c>
      <c r="C16" s="15" t="s">
        <v>496</v>
      </c>
      <c r="D16" s="15" t="s">
        <v>639</v>
      </c>
      <c r="E16" s="15" t="s">
        <v>545</v>
      </c>
      <c r="F16" s="15"/>
      <c r="G16" s="10" t="n">
        <v>2</v>
      </c>
      <c r="H16" s="21" t="n">
        <v>46035.6944097222</v>
      </c>
      <c r="I16" s="15" t="s">
        <v>641</v>
      </c>
      <c r="J16" s="15" t="s">
        <v>641</v>
      </c>
      <c r="L16" s="10" t="n">
        <f aca="false">COUNTIF($E$2:E16,E16)</f>
        <v>1</v>
      </c>
      <c r="M16" s="10" t="e">
        <f aca="false">ifs(L16=1, L16&amp;"-"&amp; COUNTIFS($L$2:L16,1))</f>
        <v>#NAME?</v>
      </c>
      <c r="N16" s="15" t="s">
        <v>603</v>
      </c>
      <c r="O16" s="10"/>
      <c r="P16" s="22" t="n">
        <f aca="false">COUNTIFS(C:C,C16,N:N,"Đã xác nhận")/COUNTIFS(C:C,C16)</f>
        <v>1</v>
      </c>
      <c r="Q16" s="22"/>
      <c r="R16" s="0" t="s">
        <v>639</v>
      </c>
      <c r="S16" s="0" t="s">
        <v>546</v>
      </c>
      <c r="U16" s="24" t="n">
        <v>2</v>
      </c>
    </row>
    <row r="17" customFormat="false" ht="12.75" hidden="false" customHeight="false" outlineLevel="0" collapsed="false">
      <c r="A17" s="15" t="n">
        <v>19</v>
      </c>
      <c r="B17" s="15" t="s">
        <v>600</v>
      </c>
      <c r="C17" s="15" t="s">
        <v>496</v>
      </c>
      <c r="D17" s="15" t="s">
        <v>639</v>
      </c>
      <c r="E17" s="15" t="s">
        <v>547</v>
      </c>
      <c r="F17" s="15"/>
      <c r="G17" s="10" t="n">
        <v>1</v>
      </c>
      <c r="H17" s="21" t="n">
        <v>46038.4844328704</v>
      </c>
      <c r="I17" s="15" t="s">
        <v>642</v>
      </c>
      <c r="J17" s="15" t="s">
        <v>643</v>
      </c>
      <c r="K17" s="15" t="s">
        <v>644</v>
      </c>
      <c r="L17" s="10" t="n">
        <f aca="false">COUNTIF($E$2:E17,E17)</f>
        <v>1</v>
      </c>
      <c r="M17" s="10" t="e">
        <f aca="false">ifs(L17=1, L17&amp;"-"&amp; COUNTIFS($L$2:L17,1))</f>
        <v>#NAME?</v>
      </c>
      <c r="N17" s="15" t="s">
        <v>603</v>
      </c>
      <c r="O17" s="10"/>
      <c r="P17" s="22" t="n">
        <f aca="false">COUNTIFS(C:C,C17,N:N,"Đã xác nhận")/COUNTIFS(C:C,C17)</f>
        <v>1</v>
      </c>
      <c r="Q17" s="22"/>
      <c r="R17" s="0" t="s">
        <v>639</v>
      </c>
      <c r="S17" s="0" t="s">
        <v>548</v>
      </c>
      <c r="U17" s="24" t="n">
        <v>1</v>
      </c>
    </row>
    <row r="18" customFormat="false" ht="12.75" hidden="false" customHeight="false" outlineLevel="0" collapsed="false">
      <c r="A18" s="15" t="n">
        <v>20</v>
      </c>
      <c r="B18" s="15" t="s">
        <v>600</v>
      </c>
      <c r="C18" s="15" t="s">
        <v>496</v>
      </c>
      <c r="D18" s="15" t="s">
        <v>639</v>
      </c>
      <c r="E18" s="15" t="s">
        <v>555</v>
      </c>
      <c r="F18" s="15"/>
      <c r="G18" s="10" t="n">
        <v>2</v>
      </c>
      <c r="H18" s="21" t="n">
        <v>46035.6943287037</v>
      </c>
      <c r="I18" s="15" t="s">
        <v>645</v>
      </c>
      <c r="J18" s="15" t="s">
        <v>645</v>
      </c>
      <c r="L18" s="10" t="n">
        <f aca="false">COUNTIF($E$2:E18,E18)</f>
        <v>1</v>
      </c>
      <c r="M18" s="10" t="e">
        <f aca="false">ifs(L18=1, L18&amp;"-"&amp; COUNTIFS($L$2:L18,1))</f>
        <v>#NAME?</v>
      </c>
      <c r="N18" s="15" t="s">
        <v>603</v>
      </c>
      <c r="O18" s="10"/>
      <c r="P18" s="22" t="n">
        <f aca="false">COUNTIFS(C:C,C18,N:N,"Đã xác nhận")/COUNTIFS(C:C,C18)</f>
        <v>1</v>
      </c>
      <c r="Q18" s="22"/>
      <c r="R18" s="0" t="s">
        <v>639</v>
      </c>
      <c r="S18" s="0" t="s">
        <v>556</v>
      </c>
      <c r="U18" s="24" t="n">
        <v>2</v>
      </c>
    </row>
    <row r="19" customFormat="false" ht="12.75" hidden="false" customHeight="false" outlineLevel="0" collapsed="false">
      <c r="A19" s="15" t="n">
        <v>22</v>
      </c>
      <c r="B19" s="15" t="s">
        <v>600</v>
      </c>
      <c r="C19" s="15" t="s">
        <v>496</v>
      </c>
      <c r="D19" s="15" t="s">
        <v>639</v>
      </c>
      <c r="E19" s="15" t="s">
        <v>541</v>
      </c>
      <c r="F19" s="15"/>
      <c r="G19" s="10" t="n">
        <v>2</v>
      </c>
      <c r="H19" s="21" t="n">
        <v>46035.6951851852</v>
      </c>
      <c r="I19" s="15" t="s">
        <v>646</v>
      </c>
      <c r="J19" s="15" t="s">
        <v>646</v>
      </c>
      <c r="L19" s="10" t="n">
        <f aca="false">COUNTIF($E$2:E19,E19)</f>
        <v>1</v>
      </c>
      <c r="M19" s="10" t="e">
        <f aca="false">ifs(L19=1, L19&amp;"-"&amp; COUNTIFS($L$2:L19,1))</f>
        <v>#NAME?</v>
      </c>
      <c r="N19" s="15" t="s">
        <v>603</v>
      </c>
      <c r="O19" s="10"/>
      <c r="P19" s="22" t="n">
        <f aca="false">COUNTIFS(C:C,C19,N:N,"Đã xác nhận")/COUNTIFS(C:C,C19)</f>
        <v>1</v>
      </c>
      <c r="Q19" s="22"/>
      <c r="R19" s="0" t="s">
        <v>639</v>
      </c>
      <c r="S19" s="0" t="s">
        <v>542</v>
      </c>
      <c r="U19" s="24" t="n">
        <v>2</v>
      </c>
    </row>
    <row r="20" customFormat="false" ht="12.75" hidden="false" customHeight="false" outlineLevel="0" collapsed="false">
      <c r="A20" s="15" t="n">
        <v>23</v>
      </c>
      <c r="B20" s="15" t="s">
        <v>600</v>
      </c>
      <c r="C20" s="15" t="s">
        <v>496</v>
      </c>
      <c r="D20" s="15" t="s">
        <v>647</v>
      </c>
      <c r="E20" s="15" t="s">
        <v>567</v>
      </c>
      <c r="F20" s="15"/>
      <c r="G20" s="10" t="n">
        <v>1</v>
      </c>
      <c r="H20" s="21" t="n">
        <v>46035.6940509259</v>
      </c>
      <c r="I20" s="15" t="s">
        <v>648</v>
      </c>
      <c r="J20" s="15" t="s">
        <v>648</v>
      </c>
      <c r="L20" s="10" t="n">
        <f aca="false">COUNTIF($E$2:E20,E20)</f>
        <v>2</v>
      </c>
      <c r="M20" s="10" t="e">
        <f aca="false">ifs(L20=1, L20&amp;"-"&amp; COUNTIFS($L$2:L20,1))</f>
        <v>#NAME?</v>
      </c>
      <c r="N20" s="15" t="s">
        <v>603</v>
      </c>
      <c r="O20" s="10"/>
      <c r="P20" s="22" t="n">
        <f aca="false">COUNTIFS(C:C,C20,N:N,"Đã xác nhận")/COUNTIFS(C:C,C20)</f>
        <v>1</v>
      </c>
      <c r="Q20" s="22"/>
      <c r="R20" s="0" t="s">
        <v>647</v>
      </c>
      <c r="S20" s="0" t="s">
        <v>568</v>
      </c>
      <c r="U20" s="24" t="n">
        <v>1</v>
      </c>
    </row>
    <row r="21" customFormat="false" ht="12.75" hidden="false" customHeight="false" outlineLevel="0" collapsed="false">
      <c r="A21" s="15" t="n">
        <v>24</v>
      </c>
      <c r="B21" s="15" t="s">
        <v>600</v>
      </c>
      <c r="C21" s="15" t="s">
        <v>496</v>
      </c>
      <c r="D21" s="15" t="s">
        <v>647</v>
      </c>
      <c r="E21" s="15" t="s">
        <v>545</v>
      </c>
      <c r="F21" s="15"/>
      <c r="G21" s="10" t="n">
        <v>1</v>
      </c>
      <c r="H21" s="21" t="n">
        <v>46035.6944212963</v>
      </c>
      <c r="I21" s="15" t="s">
        <v>649</v>
      </c>
      <c r="J21" s="15" t="s">
        <v>649</v>
      </c>
      <c r="K21" s="15"/>
      <c r="L21" s="10" t="n">
        <f aca="false">COUNTIF($E$2:E21,E21)</f>
        <v>2</v>
      </c>
      <c r="M21" s="10" t="e">
        <f aca="false">ifs(L21=1, L21&amp;"-"&amp; COUNTIFS($L$2:L21,1))</f>
        <v>#NAME?</v>
      </c>
      <c r="N21" s="15" t="s">
        <v>603</v>
      </c>
      <c r="O21" s="10"/>
      <c r="P21" s="22" t="n">
        <f aca="false">COUNTIFS(C:C,C21,N:N,"Đã xác nhận")/COUNTIFS(C:C,C21)</f>
        <v>1</v>
      </c>
      <c r="Q21" s="22"/>
      <c r="R21" s="0" t="s">
        <v>647</v>
      </c>
      <c r="S21" s="0" t="s">
        <v>546</v>
      </c>
      <c r="U21" s="24" t="n">
        <v>1</v>
      </c>
    </row>
    <row r="22" customFormat="false" ht="12.75" hidden="false" customHeight="false" outlineLevel="0" collapsed="false">
      <c r="A22" s="15" t="n">
        <v>25</v>
      </c>
      <c r="B22" s="15" t="s">
        <v>600</v>
      </c>
      <c r="C22" s="15" t="s">
        <v>496</v>
      </c>
      <c r="D22" s="15" t="s">
        <v>647</v>
      </c>
      <c r="E22" s="15" t="s">
        <v>541</v>
      </c>
      <c r="F22" s="15"/>
      <c r="G22" s="10" t="n">
        <v>2</v>
      </c>
      <c r="H22" s="21" t="n">
        <v>46035.6951967593</v>
      </c>
      <c r="I22" s="15" t="s">
        <v>650</v>
      </c>
      <c r="J22" s="15" t="s">
        <v>650</v>
      </c>
      <c r="L22" s="10" t="n">
        <f aca="false">COUNTIF($E$2:E22,E22)</f>
        <v>2</v>
      </c>
      <c r="M22" s="10" t="e">
        <f aca="false">ifs(L22=1, L22&amp;"-"&amp; COUNTIFS($L$2:L22,1))</f>
        <v>#NAME?</v>
      </c>
      <c r="N22" s="15" t="s">
        <v>603</v>
      </c>
      <c r="O22" s="10"/>
      <c r="P22" s="22" t="n">
        <f aca="false">COUNTIFS(C:C,C22,N:N,"Đã xác nhận")/COUNTIFS(C:C,C22)</f>
        <v>1</v>
      </c>
      <c r="Q22" s="22"/>
      <c r="R22" s="0" t="s">
        <v>647</v>
      </c>
      <c r="S22" s="0" t="s">
        <v>542</v>
      </c>
      <c r="U22" s="24" t="n">
        <v>2</v>
      </c>
    </row>
    <row r="23" customFormat="false" ht="12.75" hidden="false" customHeight="false" outlineLevel="0" collapsed="false">
      <c r="A23" s="15" t="n">
        <v>26</v>
      </c>
      <c r="B23" s="15" t="s">
        <v>600</v>
      </c>
      <c r="C23" s="15" t="s">
        <v>496</v>
      </c>
      <c r="D23" s="15" t="s">
        <v>647</v>
      </c>
      <c r="E23" s="15" t="s">
        <v>555</v>
      </c>
      <c r="F23" s="15"/>
      <c r="G23" s="10" t="n">
        <v>2</v>
      </c>
      <c r="H23" s="21" t="n">
        <v>46035.6943402778</v>
      </c>
      <c r="I23" s="15" t="s">
        <v>651</v>
      </c>
      <c r="J23" s="15" t="s">
        <v>651</v>
      </c>
      <c r="L23" s="10" t="n">
        <f aca="false">COUNTIF($E$2:E23,E23)</f>
        <v>2</v>
      </c>
      <c r="M23" s="10" t="e">
        <f aca="false">ifs(L23=1, L23&amp;"-"&amp; COUNTIFS($L$2:L23,1))</f>
        <v>#NAME?</v>
      </c>
      <c r="N23" s="15" t="s">
        <v>603</v>
      </c>
      <c r="O23" s="10"/>
      <c r="P23" s="22" t="n">
        <f aca="false">COUNTIFS(C:C,C23,N:N,"Đã xác nhận")/COUNTIFS(C:C,C23)</f>
        <v>1</v>
      </c>
      <c r="Q23" s="22"/>
      <c r="R23" s="0" t="s">
        <v>647</v>
      </c>
      <c r="S23" s="0" t="s">
        <v>556</v>
      </c>
      <c r="U23" s="24" t="n">
        <v>2</v>
      </c>
    </row>
    <row r="24" customFormat="false" ht="12.75" hidden="false" customHeight="false" outlineLevel="0" collapsed="false">
      <c r="A24" s="15" t="n">
        <v>29</v>
      </c>
      <c r="B24" s="15" t="s">
        <v>600</v>
      </c>
      <c r="C24" s="15" t="s">
        <v>496</v>
      </c>
      <c r="D24" s="15" t="s">
        <v>652</v>
      </c>
      <c r="E24" s="15" t="s">
        <v>45</v>
      </c>
      <c r="F24" s="15"/>
      <c r="G24" s="10" t="n">
        <v>1</v>
      </c>
      <c r="H24" s="21" t="n">
        <v>46035.6952546296</v>
      </c>
      <c r="I24" s="15" t="s">
        <v>653</v>
      </c>
      <c r="J24" s="15" t="s">
        <v>653</v>
      </c>
      <c r="L24" s="10" t="n">
        <f aca="false">COUNTIF($E$2:E24,E24)</f>
        <v>1</v>
      </c>
      <c r="M24" s="10" t="e">
        <f aca="false">ifs(L24=1, L24&amp;"-"&amp; COUNTIFS($L$2:L24,1))</f>
        <v>#NAME?</v>
      </c>
      <c r="N24" s="15" t="s">
        <v>603</v>
      </c>
      <c r="O24" s="10"/>
      <c r="P24" s="22" t="n">
        <f aca="false">COUNTIFS(C:C,C24,N:N,"Đã xác nhận")/COUNTIFS(C:C,C24)</f>
        <v>1</v>
      </c>
      <c r="Q24" s="22"/>
      <c r="R24" s="0" t="s">
        <v>652</v>
      </c>
      <c r="S24" s="0" t="s">
        <v>540</v>
      </c>
      <c r="U24" s="24" t="n">
        <v>1</v>
      </c>
    </row>
    <row r="25" customFormat="false" ht="12.75" hidden="false" customHeight="false" outlineLevel="0" collapsed="false">
      <c r="A25" s="15" t="n">
        <v>30</v>
      </c>
      <c r="B25" s="15" t="s">
        <v>600</v>
      </c>
      <c r="C25" s="15" t="s">
        <v>496</v>
      </c>
      <c r="D25" s="15" t="s">
        <v>654</v>
      </c>
      <c r="E25" s="15" t="s">
        <v>47</v>
      </c>
      <c r="F25" s="15"/>
      <c r="G25" s="10" t="n">
        <v>2</v>
      </c>
      <c r="H25" s="21" t="n">
        <v>46035.6962384259</v>
      </c>
      <c r="I25" s="15" t="s">
        <v>655</v>
      </c>
      <c r="J25" s="15" t="s">
        <v>655</v>
      </c>
      <c r="L25" s="10" t="n">
        <f aca="false">COUNTIF($E$2:E25,E25)</f>
        <v>2</v>
      </c>
      <c r="M25" s="10" t="e">
        <f aca="false">ifs(L25=1, L25&amp;"-"&amp; COUNTIFS($L$2:L25,1))</f>
        <v>#NAME?</v>
      </c>
      <c r="N25" s="15" t="s">
        <v>603</v>
      </c>
      <c r="O25" s="10"/>
      <c r="P25" s="22" t="n">
        <f aca="false">COUNTIFS(C:C,C25,N:N,"Đã xác nhận")/COUNTIFS(C:C,C25)</f>
        <v>1</v>
      </c>
      <c r="Q25" s="22"/>
      <c r="R25" s="0" t="s">
        <v>656</v>
      </c>
      <c r="S25" s="0" t="s">
        <v>549</v>
      </c>
      <c r="U25" s="24" t="n">
        <v>2</v>
      </c>
    </row>
    <row r="26" customFormat="false" ht="12.75" hidden="false" customHeight="false" outlineLevel="0" collapsed="false">
      <c r="A26" s="15" t="n">
        <v>31</v>
      </c>
      <c r="B26" s="15" t="s">
        <v>600</v>
      </c>
      <c r="C26" s="15" t="s">
        <v>496</v>
      </c>
      <c r="D26" s="15" t="s">
        <v>657</v>
      </c>
      <c r="E26" s="15" t="s">
        <v>47</v>
      </c>
      <c r="F26" s="15"/>
      <c r="G26" s="10" t="n">
        <v>1</v>
      </c>
      <c r="H26" s="21" t="n">
        <v>46035.69625</v>
      </c>
      <c r="I26" s="15" t="s">
        <v>658</v>
      </c>
      <c r="J26" s="15" t="s">
        <v>658</v>
      </c>
      <c r="L26" s="10" t="n">
        <f aca="false">COUNTIF($E$2:E26,E26)</f>
        <v>3</v>
      </c>
      <c r="M26" s="10" t="e">
        <f aca="false">ifs(L26=1, L26&amp;"-"&amp; COUNTIFS($L$2:L26,1))</f>
        <v>#NAME?</v>
      </c>
      <c r="N26" s="15" t="s">
        <v>603</v>
      </c>
      <c r="O26" s="10"/>
      <c r="P26" s="22" t="n">
        <f aca="false">COUNTIFS(C:C,C26,N:N,"Đã xác nhận")/COUNTIFS(C:C,C26)</f>
        <v>1</v>
      </c>
      <c r="Q26" s="22"/>
      <c r="R26" s="0" t="s">
        <v>659</v>
      </c>
      <c r="S26" s="0" t="s">
        <v>549</v>
      </c>
      <c r="U26" s="24" t="n">
        <v>1</v>
      </c>
    </row>
    <row r="27" customFormat="false" ht="12.75" hidden="false" customHeight="false" outlineLevel="0" collapsed="false">
      <c r="A27" s="15" t="n">
        <v>32</v>
      </c>
      <c r="B27" s="15" t="s">
        <v>600</v>
      </c>
      <c r="C27" s="15" t="s">
        <v>496</v>
      </c>
      <c r="D27" s="15" t="s">
        <v>660</v>
      </c>
      <c r="E27" s="15" t="s">
        <v>37</v>
      </c>
      <c r="F27" s="15"/>
      <c r="G27" s="10" t="n">
        <v>1</v>
      </c>
      <c r="H27" s="21" t="n">
        <v>46035.696087963</v>
      </c>
      <c r="I27" s="15" t="s">
        <v>661</v>
      </c>
      <c r="J27" s="15" t="s">
        <v>661</v>
      </c>
      <c r="L27" s="10" t="n">
        <f aca="false">COUNTIF($E$2:E27,E27)</f>
        <v>1</v>
      </c>
      <c r="M27" s="10" t="e">
        <f aca="false">ifs(L27=1, L27&amp;"-"&amp; COUNTIFS($L$2:L27,1))</f>
        <v>#NAME?</v>
      </c>
      <c r="N27" s="15" t="s">
        <v>603</v>
      </c>
      <c r="O27" s="10"/>
      <c r="P27" s="22" t="n">
        <f aca="false">COUNTIFS(C:C,C27,N:N,"Đã xác nhận")/COUNTIFS(C:C,C27)</f>
        <v>1</v>
      </c>
      <c r="Q27" s="22"/>
      <c r="R27" s="0" t="s">
        <v>662</v>
      </c>
      <c r="S27" s="0" t="s">
        <v>561</v>
      </c>
      <c r="U27" s="24" t="n">
        <v>1</v>
      </c>
    </row>
    <row r="28" customFormat="false" ht="12.75" hidden="false" customHeight="false" outlineLevel="0" collapsed="false">
      <c r="A28" s="15" t="n">
        <v>33</v>
      </c>
      <c r="B28" s="15" t="s">
        <v>600</v>
      </c>
      <c r="C28" s="15" t="s">
        <v>496</v>
      </c>
      <c r="D28" s="15" t="s">
        <v>660</v>
      </c>
      <c r="E28" s="15" t="s">
        <v>81</v>
      </c>
      <c r="F28" s="15"/>
      <c r="G28" s="10" t="n">
        <v>1</v>
      </c>
      <c r="H28" s="21" t="n">
        <v>46035.6955787037</v>
      </c>
      <c r="I28" s="15" t="s">
        <v>663</v>
      </c>
      <c r="J28" s="15" t="s">
        <v>663</v>
      </c>
      <c r="K28" s="15"/>
      <c r="L28" s="10" t="n">
        <f aca="false">COUNTIF($E$2:E28,E28)</f>
        <v>5</v>
      </c>
      <c r="M28" s="10" t="e">
        <f aca="false">ifs(L28=1, L28&amp;"-"&amp; COUNTIFS($L$2:L28,1))</f>
        <v>#NAME?</v>
      </c>
      <c r="N28" s="15" t="s">
        <v>603</v>
      </c>
      <c r="O28" s="10"/>
      <c r="P28" s="22" t="n">
        <f aca="false">COUNTIFS(C:C,C28,N:N,"Đã xác nhận")/COUNTIFS(C:C,C28)</f>
        <v>1</v>
      </c>
      <c r="Q28" s="22"/>
      <c r="R28" s="0" t="s">
        <v>662</v>
      </c>
      <c r="S28" s="0" t="s">
        <v>534</v>
      </c>
      <c r="U28" s="24" t="n">
        <v>1</v>
      </c>
    </row>
    <row r="29" customFormat="false" ht="12.75" hidden="false" customHeight="false" outlineLevel="0" collapsed="false">
      <c r="A29" s="15" t="n">
        <v>34</v>
      </c>
      <c r="B29" s="15" t="s">
        <v>600</v>
      </c>
      <c r="C29" s="15" t="s">
        <v>496</v>
      </c>
      <c r="D29" s="15" t="s">
        <v>660</v>
      </c>
      <c r="E29" s="15" t="s">
        <v>55</v>
      </c>
      <c r="F29" s="15"/>
      <c r="G29" s="10" t="n">
        <v>1</v>
      </c>
      <c r="H29" s="21" t="n">
        <v>46035.6953356481</v>
      </c>
      <c r="I29" s="15" t="s">
        <v>664</v>
      </c>
      <c r="J29" s="15" t="s">
        <v>664</v>
      </c>
      <c r="L29" s="10" t="n">
        <f aca="false">COUNTIF($E$2:E29,E29)</f>
        <v>5</v>
      </c>
      <c r="M29" s="10" t="e">
        <f aca="false">ifs(L29=1, L29&amp;"-"&amp; COUNTIFS($L$2:L29,1))</f>
        <v>#NAME?</v>
      </c>
      <c r="N29" s="15" t="s">
        <v>603</v>
      </c>
      <c r="O29" s="10"/>
      <c r="P29" s="22" t="n">
        <f aca="false">COUNTIFS(C:C,C29,N:N,"Đã xác nhận")/COUNTIFS(C:C,C29)</f>
        <v>1</v>
      </c>
      <c r="Q29" s="22"/>
      <c r="R29" s="0" t="s">
        <v>662</v>
      </c>
      <c r="S29" s="0" t="s">
        <v>539</v>
      </c>
      <c r="U29" s="24" t="n">
        <v>1</v>
      </c>
    </row>
    <row r="30" customFormat="false" ht="12.75" hidden="false" customHeight="false" outlineLevel="0" collapsed="false">
      <c r="A30" s="15" t="n">
        <v>35</v>
      </c>
      <c r="B30" s="15" t="s">
        <v>600</v>
      </c>
      <c r="C30" s="15" t="s">
        <v>496</v>
      </c>
      <c r="D30" s="15" t="s">
        <v>665</v>
      </c>
      <c r="E30" s="15" t="s">
        <v>81</v>
      </c>
      <c r="F30" s="15"/>
      <c r="G30" s="10" t="n">
        <v>1</v>
      </c>
      <c r="H30" s="21" t="n">
        <v>46035.6958217593</v>
      </c>
      <c r="I30" s="15" t="s">
        <v>666</v>
      </c>
      <c r="J30" s="15" t="s">
        <v>666</v>
      </c>
      <c r="K30" s="15"/>
      <c r="L30" s="10" t="n">
        <f aca="false">COUNTIF($E$2:E30,E30)</f>
        <v>6</v>
      </c>
      <c r="M30" s="10" t="e">
        <f aca="false">ifs(L30=1, L30&amp;"-"&amp; COUNTIFS($L$2:L30,1))</f>
        <v>#NAME?</v>
      </c>
      <c r="N30" s="15" t="s">
        <v>603</v>
      </c>
      <c r="O30" s="10"/>
      <c r="P30" s="22" t="n">
        <f aca="false">COUNTIFS(C:C,C30,N:N,"Đã xác nhận")/COUNTIFS(C:C,C30)</f>
        <v>1</v>
      </c>
      <c r="Q30" s="22"/>
      <c r="R30" s="0" t="s">
        <v>667</v>
      </c>
      <c r="S30" s="0" t="s">
        <v>534</v>
      </c>
      <c r="U30" s="24" t="n">
        <v>1</v>
      </c>
    </row>
    <row r="31" customFormat="false" ht="12.75" hidden="false" customHeight="false" outlineLevel="0" collapsed="false">
      <c r="A31" s="15" t="n">
        <v>36</v>
      </c>
      <c r="B31" s="15" t="s">
        <v>600</v>
      </c>
      <c r="C31" s="15" t="s">
        <v>496</v>
      </c>
      <c r="D31" s="15" t="s">
        <v>668</v>
      </c>
      <c r="E31" s="15" t="s">
        <v>567</v>
      </c>
      <c r="F31" s="15"/>
      <c r="G31" s="10" t="n">
        <v>1</v>
      </c>
      <c r="H31" s="21" t="n">
        <v>46035.6940509259</v>
      </c>
      <c r="I31" s="15" t="s">
        <v>669</v>
      </c>
      <c r="J31" s="15" t="s">
        <v>669</v>
      </c>
      <c r="L31" s="10" t="n">
        <f aca="false">COUNTIF($E$2:E31,E31)</f>
        <v>3</v>
      </c>
      <c r="M31" s="10" t="e">
        <f aca="false">ifs(L31=1, L31&amp;"-"&amp; COUNTIFS($L$2:L31,1))</f>
        <v>#NAME?</v>
      </c>
      <c r="N31" s="15" t="s">
        <v>603</v>
      </c>
      <c r="O31" s="10"/>
      <c r="P31" s="22" t="n">
        <f aca="false">COUNTIFS(C:C,C31,N:N,"Đã xác nhận")/COUNTIFS(C:C,C31)</f>
        <v>1</v>
      </c>
      <c r="Q31" s="22"/>
      <c r="R31" s="0" t="s">
        <v>668</v>
      </c>
      <c r="S31" s="0" t="s">
        <v>568</v>
      </c>
      <c r="U31" s="24" t="n">
        <v>1</v>
      </c>
    </row>
    <row r="32" customFormat="false" ht="12.75" hidden="false" customHeight="false" outlineLevel="0" collapsed="false">
      <c r="A32" s="15" t="n">
        <v>37</v>
      </c>
      <c r="B32" s="15" t="s">
        <v>600</v>
      </c>
      <c r="C32" s="15" t="s">
        <v>496</v>
      </c>
      <c r="D32" s="15" t="s">
        <v>668</v>
      </c>
      <c r="E32" s="15" t="s">
        <v>543</v>
      </c>
      <c r="F32" s="15"/>
      <c r="G32" s="10" t="n">
        <v>2</v>
      </c>
      <c r="H32" s="21" t="n">
        <v>46035.6944791667</v>
      </c>
      <c r="I32" s="15" t="s">
        <v>670</v>
      </c>
      <c r="J32" s="15" t="s">
        <v>670</v>
      </c>
      <c r="L32" s="10" t="n">
        <f aca="false">COUNTIF($E$2:E32,E32)</f>
        <v>1</v>
      </c>
      <c r="M32" s="10" t="e">
        <f aca="false">ifs(L32=1, L32&amp;"-"&amp; COUNTIFS($L$2:L32,1))</f>
        <v>#NAME?</v>
      </c>
      <c r="N32" s="15" t="s">
        <v>603</v>
      </c>
      <c r="O32" s="10"/>
      <c r="P32" s="22" t="n">
        <f aca="false">COUNTIFS(C:C,C32,N:N,"Đã xác nhận")/COUNTIFS(C:C,C32)</f>
        <v>1</v>
      </c>
      <c r="Q32" s="22"/>
      <c r="R32" s="0" t="s">
        <v>668</v>
      </c>
      <c r="S32" s="0" t="s">
        <v>544</v>
      </c>
      <c r="U32" s="24" t="n">
        <v>2</v>
      </c>
    </row>
    <row r="33" customFormat="false" ht="12.75" hidden="false" customHeight="false" outlineLevel="0" collapsed="false">
      <c r="A33" s="15" t="n">
        <v>38</v>
      </c>
      <c r="B33" s="15" t="s">
        <v>600</v>
      </c>
      <c r="C33" s="15" t="s">
        <v>496</v>
      </c>
      <c r="D33" s="15" t="s">
        <v>671</v>
      </c>
      <c r="E33" s="15" t="s">
        <v>543</v>
      </c>
      <c r="F33" s="15"/>
      <c r="G33" s="10" t="n">
        <v>2</v>
      </c>
      <c r="H33" s="21" t="n">
        <v>46035.6945023148</v>
      </c>
      <c r="I33" s="15" t="s">
        <v>672</v>
      </c>
      <c r="J33" s="15" t="s">
        <v>672</v>
      </c>
      <c r="L33" s="10" t="n">
        <f aca="false">COUNTIF($E$2:E33,E33)</f>
        <v>2</v>
      </c>
      <c r="M33" s="10" t="e">
        <f aca="false">ifs(L33=1, L33&amp;"-"&amp; COUNTIFS($L$2:L33,1))</f>
        <v>#NAME?</v>
      </c>
      <c r="N33" s="15" t="s">
        <v>603</v>
      </c>
      <c r="O33" s="10"/>
      <c r="P33" s="22" t="n">
        <f aca="false">COUNTIFS(C:C,C33,N:N,"Đã xác nhận")/COUNTIFS(C:C,C33)</f>
        <v>1</v>
      </c>
      <c r="Q33" s="22"/>
      <c r="R33" s="0" t="s">
        <v>671</v>
      </c>
      <c r="S33" s="0" t="s">
        <v>544</v>
      </c>
      <c r="U33" s="24" t="n">
        <v>2</v>
      </c>
    </row>
    <row r="34" customFormat="false" ht="12.75" hidden="false" customHeight="false" outlineLevel="0" collapsed="false">
      <c r="A34" s="15" t="n">
        <v>41</v>
      </c>
      <c r="B34" s="15" t="s">
        <v>600</v>
      </c>
      <c r="C34" s="15" t="s">
        <v>496</v>
      </c>
      <c r="D34" s="15" t="s">
        <v>673</v>
      </c>
      <c r="E34" s="15" t="s">
        <v>69</v>
      </c>
      <c r="F34" s="15"/>
      <c r="G34" s="10" t="n">
        <v>2</v>
      </c>
      <c r="H34" s="21" t="n">
        <v>46035.6950347222</v>
      </c>
      <c r="I34" s="15" t="s">
        <v>674</v>
      </c>
      <c r="J34" s="15" t="s">
        <v>674</v>
      </c>
      <c r="L34" s="10" t="n">
        <f aca="false">COUNTIF($E$2:E34,E34)</f>
        <v>4</v>
      </c>
      <c r="M34" s="10" t="e">
        <f aca="false">ifs(L34=1, L34&amp;"-"&amp; COUNTIFS($L$2:L34,1))</f>
        <v>#NAME?</v>
      </c>
      <c r="N34" s="15" t="s">
        <v>603</v>
      </c>
      <c r="O34" s="10"/>
      <c r="P34" s="22" t="n">
        <f aca="false">COUNTIFS(C:C,C34,N:N,"Đã xác nhận")/COUNTIFS(C:C,C34)</f>
        <v>1</v>
      </c>
      <c r="Q34" s="22"/>
      <c r="R34" s="0" t="s">
        <v>675</v>
      </c>
      <c r="S34" s="0" t="s">
        <v>535</v>
      </c>
      <c r="U34" s="24" t="n">
        <v>2</v>
      </c>
    </row>
    <row r="35" customFormat="false" ht="12.75" hidden="false" customHeight="false" outlineLevel="0" collapsed="false">
      <c r="A35" s="15" t="n">
        <v>42</v>
      </c>
      <c r="B35" s="15" t="s">
        <v>600</v>
      </c>
      <c r="C35" s="15" t="s">
        <v>496</v>
      </c>
      <c r="D35" s="15" t="s">
        <v>673</v>
      </c>
      <c r="E35" s="15" t="s">
        <v>77</v>
      </c>
      <c r="F35" s="15"/>
      <c r="G35" s="10" t="n">
        <v>2</v>
      </c>
      <c r="H35" s="21" t="n">
        <v>46035.6961574074</v>
      </c>
      <c r="I35" s="15" t="s">
        <v>676</v>
      </c>
      <c r="J35" s="15" t="s">
        <v>676</v>
      </c>
      <c r="L35" s="10" t="n">
        <f aca="false">COUNTIF($E$2:E35,E35)</f>
        <v>2</v>
      </c>
      <c r="M35" s="10" t="e">
        <f aca="false">ifs(L35=1, L35&amp;"-"&amp; COUNTIFS($L$2:L35,1))</f>
        <v>#NAME?</v>
      </c>
      <c r="N35" s="15" t="s">
        <v>603</v>
      </c>
      <c r="O35" s="10"/>
      <c r="P35" s="22" t="n">
        <f aca="false">COUNTIFS(C:C,C35,N:N,"Đã xác nhận")/COUNTIFS(C:C,C35)</f>
        <v>1</v>
      </c>
      <c r="Q35" s="22"/>
      <c r="R35" s="0" t="s">
        <v>675</v>
      </c>
      <c r="S35" s="0" t="s">
        <v>78</v>
      </c>
      <c r="U35" s="24" t="n">
        <v>2</v>
      </c>
    </row>
    <row r="36" customFormat="false" ht="12.75" hidden="false" customHeight="false" outlineLevel="0" collapsed="false">
      <c r="A36" s="15" t="n">
        <v>43</v>
      </c>
      <c r="B36" s="15" t="s">
        <v>600</v>
      </c>
      <c r="C36" s="15" t="s">
        <v>495</v>
      </c>
      <c r="D36" s="15" t="s">
        <v>677</v>
      </c>
      <c r="E36" s="15" t="s">
        <v>55</v>
      </c>
      <c r="F36" s="15"/>
      <c r="G36" s="10" t="n">
        <v>1</v>
      </c>
      <c r="H36" s="21" t="n">
        <v>46035.7011689815</v>
      </c>
      <c r="I36" s="15" t="s">
        <v>678</v>
      </c>
      <c r="J36" s="15" t="s">
        <v>679</v>
      </c>
      <c r="K36" s="15" t="s">
        <v>680</v>
      </c>
      <c r="L36" s="10" t="n">
        <f aca="false">COUNTIF($E$2:E36,E36)</f>
        <v>6</v>
      </c>
      <c r="M36" s="10" t="e">
        <f aca="false">ifs(L36=1, L36&amp;"-"&amp; COUNTIFS($L$2:L36,1))</f>
        <v>#NAME?</v>
      </c>
      <c r="N36" s="15" t="s">
        <v>603</v>
      </c>
      <c r="O36" s="10"/>
      <c r="P36" s="22" t="n">
        <f aca="false">COUNTIFS(C:C,C36,N:N,"Đã xác nhận")/COUNTIFS(C:C,C36)</f>
        <v>1</v>
      </c>
      <c r="Q36" s="22"/>
      <c r="R36" s="0" t="s">
        <v>681</v>
      </c>
      <c r="S36" s="0" t="s">
        <v>539</v>
      </c>
      <c r="U36" s="24" t="n">
        <v>1</v>
      </c>
    </row>
    <row r="37" customFormat="false" ht="12.75" hidden="false" customHeight="false" outlineLevel="0" collapsed="false">
      <c r="A37" s="15" t="n">
        <v>44</v>
      </c>
      <c r="B37" s="15" t="s">
        <v>600</v>
      </c>
      <c r="C37" s="15" t="s">
        <v>495</v>
      </c>
      <c r="D37" s="15" t="s">
        <v>682</v>
      </c>
      <c r="E37" s="15" t="s">
        <v>81</v>
      </c>
      <c r="F37" s="15"/>
      <c r="G37" s="10" t="n">
        <v>1</v>
      </c>
      <c r="H37" s="21" t="n">
        <v>46035.6981134259</v>
      </c>
      <c r="I37" s="15" t="s">
        <v>683</v>
      </c>
      <c r="J37" s="15" t="s">
        <v>683</v>
      </c>
      <c r="K37" s="15"/>
      <c r="L37" s="10" t="n">
        <f aca="false">COUNTIF($E$2:E37,E37)</f>
        <v>7</v>
      </c>
      <c r="M37" s="10" t="e">
        <f aca="false">ifs(L37=1, L37&amp;"-"&amp; COUNTIFS($L$2:L37,1))</f>
        <v>#NAME?</v>
      </c>
      <c r="N37" s="15" t="s">
        <v>603</v>
      </c>
      <c r="O37" s="10"/>
      <c r="P37" s="22" t="n">
        <f aca="false">COUNTIFS(C:C,C37,N:N,"Đã xác nhận")/COUNTIFS(C:C,C37)</f>
        <v>1</v>
      </c>
      <c r="Q37" s="22"/>
      <c r="R37" s="0" t="s">
        <v>684</v>
      </c>
      <c r="S37" s="0" t="s">
        <v>534</v>
      </c>
      <c r="U37" s="24" t="n">
        <v>1</v>
      </c>
    </row>
    <row r="38" customFormat="false" ht="12.75" hidden="false" customHeight="false" outlineLevel="0" collapsed="false">
      <c r="A38" s="15" t="n">
        <v>45</v>
      </c>
      <c r="B38" s="15" t="s">
        <v>600</v>
      </c>
      <c r="C38" s="15" t="s">
        <v>495</v>
      </c>
      <c r="D38" s="15" t="s">
        <v>685</v>
      </c>
      <c r="E38" s="15" t="s">
        <v>81</v>
      </c>
      <c r="F38" s="15"/>
      <c r="G38" s="10" t="n">
        <v>1</v>
      </c>
      <c r="H38" s="21" t="n">
        <v>46035.698125</v>
      </c>
      <c r="I38" s="15" t="s">
        <v>686</v>
      </c>
      <c r="J38" s="15" t="s">
        <v>686</v>
      </c>
      <c r="K38" s="15"/>
      <c r="L38" s="10" t="n">
        <f aca="false">COUNTIF($E$2:E38,E38)</f>
        <v>8</v>
      </c>
      <c r="M38" s="10" t="e">
        <f aca="false">ifs(L38=1, L38&amp;"-"&amp; COUNTIFS($L$2:L38,1))</f>
        <v>#NAME?</v>
      </c>
      <c r="N38" s="15" t="s">
        <v>603</v>
      </c>
      <c r="O38" s="10"/>
      <c r="P38" s="22" t="n">
        <f aca="false">COUNTIFS(C:C,C38,N:N,"Đã xác nhận")/COUNTIFS(C:C,C38)</f>
        <v>1</v>
      </c>
      <c r="Q38" s="22"/>
      <c r="R38" s="0" t="s">
        <v>687</v>
      </c>
      <c r="S38" s="0" t="s">
        <v>534</v>
      </c>
      <c r="U38" s="24" t="n">
        <v>1</v>
      </c>
    </row>
    <row r="39" customFormat="false" ht="12.75" hidden="false" customHeight="false" outlineLevel="0" collapsed="false">
      <c r="A39" s="15" t="n">
        <v>46</v>
      </c>
      <c r="B39" s="15" t="s">
        <v>600</v>
      </c>
      <c r="C39" s="15" t="s">
        <v>495</v>
      </c>
      <c r="D39" s="15" t="s">
        <v>688</v>
      </c>
      <c r="E39" s="15" t="s">
        <v>81</v>
      </c>
      <c r="F39" s="15"/>
      <c r="G39" s="10" t="n">
        <v>1</v>
      </c>
      <c r="H39" s="21" t="n">
        <v>46035.698125</v>
      </c>
      <c r="I39" s="15" t="s">
        <v>689</v>
      </c>
      <c r="J39" s="15" t="s">
        <v>689</v>
      </c>
      <c r="K39" s="15"/>
      <c r="L39" s="10" t="n">
        <f aca="false">COUNTIF($E$2:E39,E39)</f>
        <v>9</v>
      </c>
      <c r="M39" s="10" t="e">
        <f aca="false">ifs(L39=1, L39&amp;"-"&amp; COUNTIFS($L$2:L39,1))</f>
        <v>#NAME?</v>
      </c>
      <c r="N39" s="15" t="s">
        <v>603</v>
      </c>
      <c r="O39" s="10"/>
      <c r="P39" s="22" t="n">
        <f aca="false">COUNTIFS(C:C,C39,N:N,"Đã xác nhận")/COUNTIFS(C:C,C39)</f>
        <v>1</v>
      </c>
      <c r="Q39" s="22"/>
      <c r="R39" s="0" t="s">
        <v>690</v>
      </c>
      <c r="S39" s="0" t="s">
        <v>534</v>
      </c>
      <c r="U39" s="24" t="n">
        <v>1</v>
      </c>
    </row>
    <row r="40" customFormat="false" ht="12.75" hidden="false" customHeight="false" outlineLevel="0" collapsed="false">
      <c r="A40" s="15" t="n">
        <v>47</v>
      </c>
      <c r="B40" s="15" t="s">
        <v>600</v>
      </c>
      <c r="C40" s="15" t="s">
        <v>495</v>
      </c>
      <c r="D40" s="15" t="s">
        <v>691</v>
      </c>
      <c r="E40" s="15" t="s">
        <v>75</v>
      </c>
      <c r="F40" s="15"/>
      <c r="G40" s="10" t="n">
        <v>1</v>
      </c>
      <c r="H40" s="21" t="n">
        <v>46035.6979282407</v>
      </c>
      <c r="I40" s="15" t="s">
        <v>692</v>
      </c>
      <c r="J40" s="15" t="s">
        <v>692</v>
      </c>
      <c r="L40" s="10" t="n">
        <f aca="false">COUNTIF($E$2:E40,E40)</f>
        <v>1</v>
      </c>
      <c r="M40" s="10" t="e">
        <f aca="false">ifs(L40=1, L40&amp;"-"&amp; COUNTIFS($L$2:L40,1))</f>
        <v>#NAME?</v>
      </c>
      <c r="N40" s="15" t="s">
        <v>603</v>
      </c>
      <c r="O40" s="10"/>
      <c r="P40" s="22" t="n">
        <f aca="false">COUNTIFS(C:C,C40,N:N,"Đã xác nhận")/COUNTIFS(C:C,C40)</f>
        <v>1</v>
      </c>
      <c r="Q40" s="22"/>
      <c r="R40" s="0" t="s">
        <v>693</v>
      </c>
      <c r="S40" s="0" t="s">
        <v>560</v>
      </c>
      <c r="U40" s="24" t="n">
        <v>1</v>
      </c>
    </row>
    <row r="41" customFormat="false" ht="12.75" hidden="false" customHeight="false" outlineLevel="0" collapsed="false">
      <c r="A41" s="15" t="n">
        <v>48</v>
      </c>
      <c r="B41" s="15"/>
      <c r="C41" s="15"/>
      <c r="D41" s="15"/>
      <c r="E41" s="15"/>
      <c r="F41" s="15"/>
      <c r="G41" s="10" t="n">
        <v>0</v>
      </c>
      <c r="H41" s="21" t="n">
        <v>46035.7020138889</v>
      </c>
      <c r="I41" s="15" t="s">
        <v>694</v>
      </c>
      <c r="J41" s="15" t="s">
        <v>695</v>
      </c>
      <c r="K41" s="15" t="s">
        <v>696</v>
      </c>
      <c r="L41" s="10" t="n">
        <f aca="false">COUNTIF($E$2:E41,E41)</f>
        <v>0</v>
      </c>
      <c r="M41" s="10" t="e">
        <f aca="false">ifs(L41=1, L41&amp;"-"&amp; COUNTIFS($L$2:L41,1))</f>
        <v>#NAME?</v>
      </c>
      <c r="O41" s="10"/>
      <c r="P41" s="22" t="e">
        <f aca="false">COUNTIFS(C:C,C41,N:N,"Đã xác nhận")/COUNTIFS(C:C,C41)</f>
        <v>#DIV/0!</v>
      </c>
      <c r="Q41" s="22"/>
      <c r="R41" s="0" t="e">
        <f aca="false">#VALUE!</f>
        <v>#VALUE!</v>
      </c>
      <c r="S41" s="0" t="e">
        <f aca="false">#VALUE!</f>
        <v>#VALUE!</v>
      </c>
      <c r="U41" s="24" t="n">
        <v>0</v>
      </c>
    </row>
    <row r="42" customFormat="false" ht="12.75" hidden="false" customHeight="false" outlineLevel="0" collapsed="false">
      <c r="A42" s="15" t="n">
        <v>49</v>
      </c>
      <c r="B42" s="15" t="s">
        <v>600</v>
      </c>
      <c r="C42" s="15" t="s">
        <v>495</v>
      </c>
      <c r="D42" s="15" t="s">
        <v>697</v>
      </c>
      <c r="E42" s="15" t="s">
        <v>43</v>
      </c>
      <c r="F42" s="15"/>
      <c r="G42" s="10" t="n">
        <v>1</v>
      </c>
      <c r="H42" s="21" t="n">
        <v>46035.6982060185</v>
      </c>
      <c r="I42" s="15" t="s">
        <v>698</v>
      </c>
      <c r="J42" s="15" t="s">
        <v>698</v>
      </c>
      <c r="L42" s="10" t="n">
        <f aca="false">COUNTIF($E$2:E42,E42)</f>
        <v>1</v>
      </c>
      <c r="M42" s="10" t="e">
        <f aca="false">ifs(L42=1, L42&amp;"-"&amp; COUNTIFS($L$2:L42,1))</f>
        <v>#NAME?</v>
      </c>
      <c r="N42" s="15" t="s">
        <v>603</v>
      </c>
      <c r="O42" s="10"/>
      <c r="P42" s="22" t="n">
        <f aca="false">COUNTIFS(C:C,C42,N:N,"Đã xác nhận")/COUNTIFS(C:C,C42)</f>
        <v>1</v>
      </c>
      <c r="Q42" s="22"/>
      <c r="R42" s="0" t="s">
        <v>699</v>
      </c>
      <c r="S42" s="0" t="s">
        <v>538</v>
      </c>
      <c r="U42" s="24" t="n">
        <v>1</v>
      </c>
    </row>
    <row r="43" customFormat="false" ht="12.75" hidden="false" customHeight="false" outlineLevel="0" collapsed="false">
      <c r="A43" s="15" t="n">
        <v>50</v>
      </c>
      <c r="B43" s="15" t="s">
        <v>600</v>
      </c>
      <c r="C43" s="15" t="s">
        <v>495</v>
      </c>
      <c r="D43" s="15" t="s">
        <v>700</v>
      </c>
      <c r="E43" s="15" t="s">
        <v>69</v>
      </c>
      <c r="F43" s="15"/>
      <c r="G43" s="10" t="n">
        <v>3</v>
      </c>
      <c r="H43" s="21" t="n">
        <v>46035.6975347222</v>
      </c>
      <c r="I43" s="15" t="s">
        <v>701</v>
      </c>
      <c r="J43" s="15" t="s">
        <v>701</v>
      </c>
      <c r="K43" s="15"/>
      <c r="L43" s="10" t="n">
        <f aca="false">COUNTIF($E$2:E43,E43)</f>
        <v>5</v>
      </c>
      <c r="M43" s="10" t="e">
        <f aca="false">ifs(L43=1, L43&amp;"-"&amp; COUNTIFS($L$2:L43,1))</f>
        <v>#NAME?</v>
      </c>
      <c r="N43" s="15" t="s">
        <v>603</v>
      </c>
      <c r="O43" s="10"/>
      <c r="P43" s="22" t="n">
        <f aca="false">COUNTIFS(C:C,C43,N:N,"Đã xác nhận")/COUNTIFS(C:C,C43)</f>
        <v>1</v>
      </c>
      <c r="Q43" s="22"/>
      <c r="R43" s="0" t="s">
        <v>702</v>
      </c>
      <c r="S43" s="0" t="s">
        <v>535</v>
      </c>
      <c r="U43" s="24" t="n">
        <v>3</v>
      </c>
    </row>
    <row r="44" customFormat="false" ht="12.75" hidden="false" customHeight="false" outlineLevel="0" collapsed="false">
      <c r="A44" s="15" t="n">
        <v>51</v>
      </c>
      <c r="B44" s="15" t="s">
        <v>600</v>
      </c>
      <c r="C44" s="15" t="s">
        <v>495</v>
      </c>
      <c r="D44" s="15" t="s">
        <v>700</v>
      </c>
      <c r="E44" s="15" t="s">
        <v>547</v>
      </c>
      <c r="F44" s="15"/>
      <c r="G44" s="10" t="n">
        <v>3</v>
      </c>
      <c r="H44" s="21" t="n">
        <v>46038.484375</v>
      </c>
      <c r="I44" s="15" t="s">
        <v>703</v>
      </c>
      <c r="J44" s="15" t="s">
        <v>704</v>
      </c>
      <c r="K44" s="15" t="s">
        <v>705</v>
      </c>
      <c r="L44" s="10" t="n">
        <f aca="false">COUNTIF($E$2:E44,E44)</f>
        <v>2</v>
      </c>
      <c r="M44" s="10" t="e">
        <f aca="false">ifs(L44=1, L44&amp;"-"&amp; COUNTIFS($L$2:L44,1))</f>
        <v>#NAME?</v>
      </c>
      <c r="N44" s="15" t="s">
        <v>603</v>
      </c>
      <c r="O44" s="10"/>
      <c r="P44" s="22" t="n">
        <f aca="false">COUNTIFS(C:C,C44,N:N,"Đã xác nhận")/COUNTIFS(C:C,C44)</f>
        <v>1</v>
      </c>
      <c r="Q44" s="22"/>
      <c r="R44" s="0" t="s">
        <v>702</v>
      </c>
      <c r="S44" s="0" t="s">
        <v>548</v>
      </c>
      <c r="U44" s="24" t="n">
        <v>3</v>
      </c>
    </row>
    <row r="45" customFormat="false" ht="12.75" hidden="false" customHeight="false" outlineLevel="0" collapsed="false">
      <c r="A45" s="15" t="n">
        <v>52</v>
      </c>
      <c r="B45" s="15" t="s">
        <v>600</v>
      </c>
      <c r="C45" s="15" t="s">
        <v>495</v>
      </c>
      <c r="D45" s="15" t="s">
        <v>700</v>
      </c>
      <c r="E45" s="15" t="s">
        <v>25</v>
      </c>
      <c r="F45" s="15"/>
      <c r="G45" s="10" t="n">
        <v>3</v>
      </c>
      <c r="H45" s="21" t="n">
        <v>46056.690462963</v>
      </c>
      <c r="I45" s="15" t="s">
        <v>706</v>
      </c>
      <c r="J45" s="15" t="s">
        <v>706</v>
      </c>
      <c r="L45" s="10" t="n">
        <f aca="false">COUNTIF($E$2:E45,E45)</f>
        <v>1</v>
      </c>
      <c r="M45" s="10" t="e">
        <f aca="false">ifs(L45=1, L45&amp;"-"&amp; COUNTIFS($L$2:L45,1))</f>
        <v>#NAME?</v>
      </c>
      <c r="N45" s="15" t="s">
        <v>603</v>
      </c>
      <c r="O45" s="10"/>
      <c r="P45" s="22" t="n">
        <f aca="false">COUNTIFS(C:C,C45,N:N,"Đã xác nhận")/COUNTIFS(C:C,C45)</f>
        <v>1</v>
      </c>
      <c r="Q45" s="22"/>
      <c r="R45" s="0" t="s">
        <v>702</v>
      </c>
      <c r="S45" s="0" t="s">
        <v>26</v>
      </c>
      <c r="U45" s="24" t="n">
        <v>3</v>
      </c>
    </row>
    <row r="46" customFormat="false" ht="12.75" hidden="false" customHeight="false" outlineLevel="0" collapsed="false">
      <c r="A46" s="15" t="n">
        <v>53</v>
      </c>
      <c r="B46" s="15" t="s">
        <v>600</v>
      </c>
      <c r="C46" s="15" t="s">
        <v>495</v>
      </c>
      <c r="D46" s="15" t="s">
        <v>707</v>
      </c>
      <c r="E46" s="15" t="s">
        <v>543</v>
      </c>
      <c r="F46" s="15"/>
      <c r="G46" s="10" t="n">
        <v>2</v>
      </c>
      <c r="H46" s="21" t="n">
        <v>46035.6968518519</v>
      </c>
      <c r="I46" s="15" t="s">
        <v>708</v>
      </c>
      <c r="J46" s="15" t="s">
        <v>708</v>
      </c>
      <c r="L46" s="10" t="n">
        <f aca="false">COUNTIF($E$2:E46,E46)</f>
        <v>3</v>
      </c>
      <c r="M46" s="10" t="e">
        <f aca="false">ifs(L46=1, L46&amp;"-"&amp; COUNTIFS($L$2:L46,1))</f>
        <v>#NAME?</v>
      </c>
      <c r="N46" s="15" t="s">
        <v>603</v>
      </c>
      <c r="O46" s="10"/>
      <c r="P46" s="22" t="n">
        <f aca="false">COUNTIFS(C:C,C46,N:N,"Đã xác nhận")/COUNTIFS(C:C,C46)</f>
        <v>1</v>
      </c>
      <c r="Q46" s="22"/>
      <c r="R46" s="0" t="s">
        <v>709</v>
      </c>
      <c r="S46" s="0" t="s">
        <v>544</v>
      </c>
      <c r="U46" s="24" t="n">
        <v>2</v>
      </c>
    </row>
    <row r="47" customFormat="false" ht="12.75" hidden="false" customHeight="false" outlineLevel="0" collapsed="false">
      <c r="A47" s="15" t="n">
        <v>54</v>
      </c>
      <c r="B47" s="15" t="s">
        <v>600</v>
      </c>
      <c r="C47" s="15" t="s">
        <v>495</v>
      </c>
      <c r="D47" s="15" t="s">
        <v>707</v>
      </c>
      <c r="E47" s="15" t="s">
        <v>545</v>
      </c>
      <c r="F47" s="15"/>
      <c r="G47" s="10" t="n">
        <v>1</v>
      </c>
      <c r="H47" s="21" t="n">
        <v>46035.6967939815</v>
      </c>
      <c r="I47" s="15" t="s">
        <v>710</v>
      </c>
      <c r="J47" s="15" t="s">
        <v>710</v>
      </c>
      <c r="L47" s="10" t="n">
        <f aca="false">COUNTIF($E$2:E47,E47)</f>
        <v>3</v>
      </c>
      <c r="M47" s="10" t="e">
        <f aca="false">ifs(L47=1, L47&amp;"-"&amp; COUNTIFS($L$2:L47,1))</f>
        <v>#NAME?</v>
      </c>
      <c r="N47" s="15" t="s">
        <v>603</v>
      </c>
      <c r="O47" s="10"/>
      <c r="P47" s="22" t="n">
        <f aca="false">COUNTIFS(C:C,C47,N:N,"Đã xác nhận")/COUNTIFS(C:C,C47)</f>
        <v>1</v>
      </c>
      <c r="Q47" s="22"/>
      <c r="R47" s="0" t="s">
        <v>709</v>
      </c>
      <c r="S47" s="0" t="s">
        <v>546</v>
      </c>
      <c r="U47" s="24" t="n">
        <v>1</v>
      </c>
    </row>
    <row r="48" customFormat="false" ht="12.75" hidden="false" customHeight="false" outlineLevel="0" collapsed="false">
      <c r="A48" s="15" t="n">
        <v>55</v>
      </c>
      <c r="B48" s="15" t="s">
        <v>600</v>
      </c>
      <c r="C48" s="15" t="s">
        <v>495</v>
      </c>
      <c r="D48" s="15" t="s">
        <v>711</v>
      </c>
      <c r="E48" s="15" t="s">
        <v>63</v>
      </c>
      <c r="F48" s="15"/>
      <c r="G48" s="10" t="n">
        <v>1</v>
      </c>
      <c r="H48" s="21" t="n">
        <v>46035.6977083333</v>
      </c>
      <c r="I48" s="15" t="s">
        <v>712</v>
      </c>
      <c r="J48" s="15" t="s">
        <v>712</v>
      </c>
      <c r="L48" s="10" t="n">
        <f aca="false">COUNTIF($E$2:E48,E48)</f>
        <v>1</v>
      </c>
      <c r="M48" s="10" t="e">
        <f aca="false">ifs(L48=1, L48&amp;"-"&amp; COUNTIFS($L$2:L48,1))</f>
        <v>#NAME?</v>
      </c>
      <c r="N48" s="15" t="s">
        <v>603</v>
      </c>
      <c r="O48" s="10"/>
      <c r="P48" s="22" t="n">
        <f aca="false">COUNTIFS(C:C,C48,N:N,"Đã xác nhận")/COUNTIFS(C:C,C48)</f>
        <v>1</v>
      </c>
      <c r="Q48" s="22"/>
      <c r="R48" s="0" t="s">
        <v>713</v>
      </c>
      <c r="S48" s="0" t="s">
        <v>551</v>
      </c>
      <c r="U48" s="24" t="n">
        <v>1</v>
      </c>
    </row>
    <row r="49" customFormat="false" ht="12.75" hidden="false" customHeight="false" outlineLevel="0" collapsed="false">
      <c r="A49" s="15" t="n">
        <v>56</v>
      </c>
      <c r="B49" s="15" t="s">
        <v>600</v>
      </c>
      <c r="C49" s="15" t="s">
        <v>495</v>
      </c>
      <c r="D49" s="15" t="s">
        <v>711</v>
      </c>
      <c r="E49" s="15" t="s">
        <v>77</v>
      </c>
      <c r="F49" s="15"/>
      <c r="G49" s="10" t="n">
        <v>1</v>
      </c>
      <c r="H49" s="21" t="n">
        <v>46035.6988541667</v>
      </c>
      <c r="I49" s="15" t="s">
        <v>714</v>
      </c>
      <c r="J49" s="15" t="s">
        <v>714</v>
      </c>
      <c r="L49" s="10" t="n">
        <f aca="false">COUNTIF($E$2:E49,E49)</f>
        <v>3</v>
      </c>
      <c r="M49" s="10" t="e">
        <f aca="false">ifs(L49=1, L49&amp;"-"&amp; COUNTIFS($L$2:L49,1))</f>
        <v>#NAME?</v>
      </c>
      <c r="N49" s="15" t="s">
        <v>603</v>
      </c>
      <c r="O49" s="10"/>
      <c r="P49" s="22" t="n">
        <f aca="false">COUNTIFS(C:C,C49,N:N,"Đã xác nhận")/COUNTIFS(C:C,C49)</f>
        <v>1</v>
      </c>
      <c r="Q49" s="22"/>
      <c r="R49" s="0" t="s">
        <v>713</v>
      </c>
      <c r="S49" s="0" t="s">
        <v>78</v>
      </c>
      <c r="U49" s="24" t="n">
        <v>1</v>
      </c>
    </row>
    <row r="50" customFormat="false" ht="12.75" hidden="false" customHeight="false" outlineLevel="0" collapsed="false">
      <c r="A50" s="15" t="n">
        <v>57</v>
      </c>
      <c r="B50" s="15" t="s">
        <v>600</v>
      </c>
      <c r="C50" s="15" t="s">
        <v>495</v>
      </c>
      <c r="D50" s="15" t="s">
        <v>673</v>
      </c>
      <c r="E50" s="15" t="s">
        <v>69</v>
      </c>
      <c r="F50" s="15"/>
      <c r="G50" s="10" t="n">
        <v>2</v>
      </c>
      <c r="H50" s="21" t="n">
        <v>46035.6975462963</v>
      </c>
      <c r="I50" s="15" t="s">
        <v>715</v>
      </c>
      <c r="J50" s="15" t="s">
        <v>715</v>
      </c>
      <c r="L50" s="10" t="n">
        <f aca="false">COUNTIF($E$2:E50,E50)</f>
        <v>6</v>
      </c>
      <c r="M50" s="10" t="e">
        <f aca="false">ifs(L50=1, L50&amp;"-"&amp; COUNTIFS($L$2:L50,1))</f>
        <v>#NAME?</v>
      </c>
      <c r="N50" s="15" t="s">
        <v>603</v>
      </c>
      <c r="O50" s="10"/>
      <c r="P50" s="22" t="n">
        <f aca="false">COUNTIFS(C:C,C50,N:N,"Đã xác nhận")/COUNTIFS(C:C,C50)</f>
        <v>1</v>
      </c>
      <c r="Q50" s="22"/>
      <c r="R50" s="0" t="s">
        <v>675</v>
      </c>
      <c r="S50" s="0" t="s">
        <v>535</v>
      </c>
      <c r="U50" s="24" t="n">
        <v>2</v>
      </c>
    </row>
    <row r="51" customFormat="false" ht="12.75" hidden="false" customHeight="false" outlineLevel="0" collapsed="false">
      <c r="A51" s="15" t="n">
        <v>58</v>
      </c>
      <c r="B51" s="15" t="s">
        <v>600</v>
      </c>
      <c r="C51" s="15" t="s">
        <v>495</v>
      </c>
      <c r="D51" s="15" t="s">
        <v>673</v>
      </c>
      <c r="E51" s="15" t="s">
        <v>77</v>
      </c>
      <c r="F51" s="15"/>
      <c r="G51" s="10" t="n">
        <v>2</v>
      </c>
      <c r="H51" s="21" t="n">
        <v>46035.6988541667</v>
      </c>
      <c r="I51" s="15" t="s">
        <v>716</v>
      </c>
      <c r="J51" s="15" t="s">
        <v>716</v>
      </c>
      <c r="L51" s="10" t="n">
        <f aca="false">COUNTIF($E$2:E51,E51)</f>
        <v>4</v>
      </c>
      <c r="M51" s="10" t="e">
        <f aca="false">ifs(L51=1, L51&amp;"-"&amp; COUNTIFS($L$2:L51,1))</f>
        <v>#NAME?</v>
      </c>
      <c r="N51" s="15" t="s">
        <v>603</v>
      </c>
      <c r="O51" s="10"/>
      <c r="P51" s="22" t="n">
        <f aca="false">COUNTIFS(C:C,C51,N:N,"Đã xác nhận")/COUNTIFS(C:C,C51)</f>
        <v>1</v>
      </c>
      <c r="Q51" s="22"/>
      <c r="R51" s="0" t="s">
        <v>675</v>
      </c>
      <c r="S51" s="0" t="s">
        <v>78</v>
      </c>
      <c r="U51" s="24" t="n">
        <v>2</v>
      </c>
    </row>
    <row r="52" customFormat="false" ht="12.75" hidden="false" customHeight="false" outlineLevel="0" collapsed="false">
      <c r="A52" s="15" t="n">
        <v>59</v>
      </c>
      <c r="B52" s="15" t="s">
        <v>600</v>
      </c>
      <c r="C52" s="15" t="s">
        <v>466</v>
      </c>
      <c r="D52" s="15" t="s">
        <v>717</v>
      </c>
      <c r="E52" s="15" t="s">
        <v>570</v>
      </c>
      <c r="F52" s="15"/>
      <c r="G52" s="10" t="n">
        <v>2</v>
      </c>
      <c r="H52" s="21" t="n">
        <v>46035.7038541667</v>
      </c>
      <c r="I52" s="15" t="s">
        <v>718</v>
      </c>
      <c r="J52" s="15" t="s">
        <v>718</v>
      </c>
      <c r="L52" s="10" t="n">
        <f aca="false">COUNTIF($E$2:E52,E52)</f>
        <v>1</v>
      </c>
      <c r="M52" s="10" t="e">
        <f aca="false">ifs(L52=1, L52&amp;"-"&amp; COUNTIFS($L$2:L52,1))</f>
        <v>#NAME?</v>
      </c>
      <c r="N52" s="15" t="s">
        <v>603</v>
      </c>
      <c r="O52" s="10"/>
      <c r="P52" s="22" t="n">
        <f aca="false">COUNTIFS(C:C,C52,N:N,"Đã xác nhận")/COUNTIFS(C:C,C52)</f>
        <v>0.86046511627907</v>
      </c>
      <c r="Q52" s="22"/>
      <c r="R52" s="0" t="s">
        <v>719</v>
      </c>
      <c r="S52" s="0" t="s">
        <v>571</v>
      </c>
      <c r="U52" s="24" t="n">
        <v>2</v>
      </c>
    </row>
    <row r="53" customFormat="false" ht="12.75" hidden="false" customHeight="false" outlineLevel="0" collapsed="false">
      <c r="A53" s="15" t="n">
        <v>60</v>
      </c>
      <c r="B53" s="15" t="s">
        <v>600</v>
      </c>
      <c r="C53" s="15" t="s">
        <v>466</v>
      </c>
      <c r="D53" s="15" t="s">
        <v>717</v>
      </c>
      <c r="E53" s="15" t="s">
        <v>565</v>
      </c>
      <c r="F53" s="15"/>
      <c r="G53" s="10" t="n">
        <v>2</v>
      </c>
      <c r="H53" s="21" t="n">
        <v>46035.703599537</v>
      </c>
      <c r="I53" s="15" t="s">
        <v>720</v>
      </c>
      <c r="J53" s="15" t="s">
        <v>720</v>
      </c>
      <c r="K53" s="15"/>
      <c r="L53" s="10" t="n">
        <f aca="false">COUNTIF($E$2:E53,E53)</f>
        <v>1</v>
      </c>
      <c r="M53" s="10" t="e">
        <f aca="false">ifs(L53=1, L53&amp;"-"&amp; COUNTIFS($L$2:L53,1))</f>
        <v>#NAME?</v>
      </c>
      <c r="N53" s="15" t="s">
        <v>603</v>
      </c>
      <c r="O53" s="10"/>
      <c r="P53" s="22" t="n">
        <f aca="false">COUNTIFS(C:C,C53,N:N,"Đã xác nhận")/COUNTIFS(C:C,C53)</f>
        <v>0.86046511627907</v>
      </c>
      <c r="Q53" s="22"/>
      <c r="R53" s="0" t="s">
        <v>719</v>
      </c>
      <c r="S53" s="0" t="s">
        <v>566</v>
      </c>
      <c r="U53" s="24" t="n">
        <v>2</v>
      </c>
    </row>
    <row r="54" customFormat="false" ht="12.75" hidden="false" customHeight="false" outlineLevel="0" collapsed="false">
      <c r="A54" s="15" t="n">
        <v>61</v>
      </c>
      <c r="B54" s="15" t="s">
        <v>600</v>
      </c>
      <c r="C54" s="15" t="s">
        <v>466</v>
      </c>
      <c r="D54" s="15" t="s">
        <v>717</v>
      </c>
      <c r="E54" s="15" t="s">
        <v>69</v>
      </c>
      <c r="F54" s="15"/>
      <c r="G54" s="10" t="n">
        <v>1</v>
      </c>
      <c r="H54" s="21" t="n">
        <v>46035.7043865741</v>
      </c>
      <c r="I54" s="15" t="s">
        <v>721</v>
      </c>
      <c r="J54" s="15" t="s">
        <v>721</v>
      </c>
      <c r="L54" s="10" t="n">
        <f aca="false">COUNTIF($E$2:E54,E54)</f>
        <v>7</v>
      </c>
      <c r="M54" s="10" t="e">
        <f aca="false">ifs(L54=1, L54&amp;"-"&amp; COUNTIFS($L$2:L54,1))</f>
        <v>#NAME?</v>
      </c>
      <c r="N54" s="15" t="s">
        <v>603</v>
      </c>
      <c r="O54" s="10"/>
      <c r="P54" s="22" t="n">
        <f aca="false">COUNTIFS(C:C,C54,N:N,"Đã xác nhận")/COUNTIFS(C:C,C54)</f>
        <v>0.86046511627907</v>
      </c>
      <c r="Q54" s="22"/>
      <c r="R54" s="0" t="s">
        <v>719</v>
      </c>
      <c r="S54" s="0" t="s">
        <v>535</v>
      </c>
      <c r="U54" s="24" t="n">
        <v>1</v>
      </c>
    </row>
    <row r="55" customFormat="false" ht="12.75" hidden="false" customHeight="false" outlineLevel="0" collapsed="false">
      <c r="A55" s="15" t="n">
        <v>62</v>
      </c>
      <c r="B55" s="15" t="s">
        <v>600</v>
      </c>
      <c r="C55" s="15" t="s">
        <v>466</v>
      </c>
      <c r="D55" s="15" t="s">
        <v>717</v>
      </c>
      <c r="E55" s="15" t="s">
        <v>547</v>
      </c>
      <c r="F55" s="15"/>
      <c r="G55" s="10" t="n">
        <v>2</v>
      </c>
      <c r="H55" s="21" t="n">
        <v>46038.484212963</v>
      </c>
      <c r="I55" s="15" t="s">
        <v>722</v>
      </c>
      <c r="J55" s="15" t="s">
        <v>723</v>
      </c>
      <c r="K55" s="15" t="s">
        <v>724</v>
      </c>
      <c r="L55" s="10" t="n">
        <f aca="false">COUNTIF($E$2:E55,E55)</f>
        <v>3</v>
      </c>
      <c r="M55" s="10" t="e">
        <f aca="false">ifs(L55=1, L55&amp;"-"&amp; COUNTIFS($L$2:L55,1))</f>
        <v>#NAME?</v>
      </c>
      <c r="N55" s="15" t="s">
        <v>603</v>
      </c>
      <c r="O55" s="10"/>
      <c r="P55" s="22" t="n">
        <f aca="false">COUNTIFS(C:C,C55,N:N,"Đã xác nhận")/COUNTIFS(C:C,C55)</f>
        <v>0.86046511627907</v>
      </c>
      <c r="Q55" s="22"/>
      <c r="R55" s="0" t="s">
        <v>719</v>
      </c>
      <c r="S55" s="0" t="s">
        <v>548</v>
      </c>
      <c r="U55" s="24" t="n">
        <v>2</v>
      </c>
    </row>
    <row r="56" customFormat="false" ht="12.75" hidden="false" customHeight="false" outlineLevel="0" collapsed="false">
      <c r="A56" s="15" t="n">
        <v>69</v>
      </c>
      <c r="B56" s="15" t="s">
        <v>600</v>
      </c>
      <c r="C56" s="15" t="s">
        <v>466</v>
      </c>
      <c r="D56" s="15" t="s">
        <v>725</v>
      </c>
      <c r="E56" s="15" t="s">
        <v>37</v>
      </c>
      <c r="F56" s="15"/>
      <c r="G56" s="10" t="n">
        <v>1</v>
      </c>
      <c r="H56" s="23" t="n">
        <v>45926.3413675579</v>
      </c>
      <c r="L56" s="10" t="n">
        <f aca="false">COUNTIF($E$2:E56,E56)</f>
        <v>2</v>
      </c>
      <c r="M56" s="10" t="e">
        <f aca="false">ifs(L56=1, L56&amp;"-"&amp; COUNTIFS($L$2:L56,1))</f>
        <v>#NAME?</v>
      </c>
      <c r="O56" s="10"/>
      <c r="P56" s="22" t="n">
        <f aca="false">COUNTIFS(C:C,C56,N:N,"Đã xác nhận")/COUNTIFS(C:C,C56)</f>
        <v>0.86046511627907</v>
      </c>
      <c r="Q56" s="22"/>
      <c r="R56" s="0" t="s">
        <v>726</v>
      </c>
      <c r="S56" s="0" t="s">
        <v>561</v>
      </c>
      <c r="U56" s="24" t="n">
        <v>1</v>
      </c>
    </row>
    <row r="57" customFormat="false" ht="12.75" hidden="false" customHeight="false" outlineLevel="0" collapsed="false">
      <c r="A57" s="15" t="n">
        <v>70</v>
      </c>
      <c r="B57" s="15" t="s">
        <v>600</v>
      </c>
      <c r="C57" s="15" t="s">
        <v>466</v>
      </c>
      <c r="D57" s="15" t="s">
        <v>725</v>
      </c>
      <c r="E57" s="15" t="s">
        <v>37</v>
      </c>
      <c r="F57" s="15"/>
      <c r="G57" s="10" t="n">
        <v>1</v>
      </c>
      <c r="H57" s="23" t="n">
        <v>45926.3413675579</v>
      </c>
      <c r="L57" s="10" t="n">
        <f aca="false">COUNTIF($E$2:E57,E57)</f>
        <v>3</v>
      </c>
      <c r="M57" s="10" t="e">
        <f aca="false">ifs(L57=1, L57&amp;"-"&amp; COUNTIFS($L$2:L57,1))</f>
        <v>#NAME?</v>
      </c>
      <c r="O57" s="10"/>
      <c r="P57" s="22" t="n">
        <f aca="false">COUNTIFS(C:C,C57,N:N,"Đã xác nhận")/COUNTIFS(C:C,C57)</f>
        <v>0.86046511627907</v>
      </c>
      <c r="Q57" s="22"/>
      <c r="R57" s="0" t="s">
        <v>726</v>
      </c>
      <c r="S57" s="0" t="s">
        <v>561</v>
      </c>
      <c r="U57" s="24" t="n">
        <v>1</v>
      </c>
    </row>
    <row r="58" customFormat="false" ht="12.75" hidden="false" customHeight="false" outlineLevel="0" collapsed="false">
      <c r="A58" s="15" t="n">
        <v>71</v>
      </c>
      <c r="B58" s="15" t="s">
        <v>600</v>
      </c>
      <c r="C58" s="15" t="s">
        <v>466</v>
      </c>
      <c r="D58" s="15" t="s">
        <v>727</v>
      </c>
      <c r="E58" s="15" t="s">
        <v>47</v>
      </c>
      <c r="F58" s="15"/>
      <c r="G58" s="10" t="n">
        <v>1</v>
      </c>
      <c r="H58" s="21" t="n">
        <v>46035.7050115741</v>
      </c>
      <c r="I58" s="15" t="s">
        <v>728</v>
      </c>
      <c r="J58" s="15" t="s">
        <v>728</v>
      </c>
      <c r="L58" s="10" t="n">
        <f aca="false">COUNTIF($E$2:E58,E58)</f>
        <v>4</v>
      </c>
      <c r="M58" s="10" t="e">
        <f aca="false">ifs(L58=1, L58&amp;"-"&amp; COUNTIFS($L$2:L58,1))</f>
        <v>#NAME?</v>
      </c>
      <c r="N58" s="15" t="s">
        <v>603</v>
      </c>
      <c r="O58" s="10"/>
      <c r="P58" s="22" t="n">
        <f aca="false">COUNTIFS(C:C,C58,N:N,"Đã xác nhận")/COUNTIFS(C:C,C58)</f>
        <v>0.86046511627907</v>
      </c>
      <c r="Q58" s="22"/>
      <c r="R58" s="0" t="s">
        <v>729</v>
      </c>
      <c r="S58" s="0" t="s">
        <v>549</v>
      </c>
      <c r="U58" s="24" t="n">
        <v>1</v>
      </c>
    </row>
    <row r="59" customFormat="false" ht="12.75" hidden="false" customHeight="false" outlineLevel="0" collapsed="false">
      <c r="A59" s="15" t="n">
        <v>72</v>
      </c>
      <c r="B59" s="15" t="s">
        <v>600</v>
      </c>
      <c r="C59" s="15" t="s">
        <v>466</v>
      </c>
      <c r="D59" s="15" t="s">
        <v>727</v>
      </c>
      <c r="E59" s="15" t="s">
        <v>81</v>
      </c>
      <c r="F59" s="15"/>
      <c r="G59" s="10" t="n">
        <v>2</v>
      </c>
      <c r="H59" s="21" t="n">
        <v>46035.7052430556</v>
      </c>
      <c r="I59" s="15" t="s">
        <v>730</v>
      </c>
      <c r="J59" s="15" t="s">
        <v>730</v>
      </c>
      <c r="K59" s="15"/>
      <c r="L59" s="10" t="n">
        <f aca="false">COUNTIF($E$2:E59,E59)</f>
        <v>10</v>
      </c>
      <c r="M59" s="10" t="e">
        <f aca="false">ifs(L59=1, L59&amp;"-"&amp; COUNTIFS($L$2:L59,1))</f>
        <v>#NAME?</v>
      </c>
      <c r="N59" s="15" t="s">
        <v>603</v>
      </c>
      <c r="O59" s="10"/>
      <c r="P59" s="22" t="n">
        <f aca="false">COUNTIFS(C:C,C59,N:N,"Đã xác nhận")/COUNTIFS(C:C,C59)</f>
        <v>0.86046511627907</v>
      </c>
      <c r="Q59" s="22"/>
      <c r="R59" s="0" t="s">
        <v>729</v>
      </c>
      <c r="S59" s="0" t="s">
        <v>534</v>
      </c>
      <c r="U59" s="24" t="n">
        <v>2</v>
      </c>
    </row>
    <row r="60" customFormat="false" ht="12.75" hidden="false" customHeight="false" outlineLevel="0" collapsed="false">
      <c r="A60" s="15" t="n">
        <v>73</v>
      </c>
      <c r="B60" s="15" t="s">
        <v>600</v>
      </c>
      <c r="C60" s="15" t="s">
        <v>466</v>
      </c>
      <c r="D60" s="15" t="s">
        <v>731</v>
      </c>
      <c r="E60" s="15" t="s">
        <v>81</v>
      </c>
      <c r="F60" s="15"/>
      <c r="G60" s="10" t="n">
        <v>2</v>
      </c>
      <c r="H60" s="21" t="n">
        <v>46035.7052314815</v>
      </c>
      <c r="I60" s="15" t="s">
        <v>732</v>
      </c>
      <c r="J60" s="15" t="s">
        <v>732</v>
      </c>
      <c r="K60" s="15"/>
      <c r="L60" s="10" t="n">
        <f aca="false">COUNTIF($E$2:E60,E60)</f>
        <v>11</v>
      </c>
      <c r="M60" s="10" t="e">
        <f aca="false">ifs(L60=1, L60&amp;"-"&amp; COUNTIFS($L$2:L60,1))</f>
        <v>#NAME?</v>
      </c>
      <c r="N60" s="15" t="s">
        <v>603</v>
      </c>
      <c r="O60" s="10"/>
      <c r="P60" s="22" t="n">
        <f aca="false">COUNTIFS(C:C,C60,N:N,"Đã xác nhận")/COUNTIFS(C:C,C60)</f>
        <v>0.86046511627907</v>
      </c>
      <c r="Q60" s="22"/>
      <c r="R60" s="0" t="s">
        <v>733</v>
      </c>
      <c r="S60" s="0" t="s">
        <v>534</v>
      </c>
      <c r="U60" s="24" t="n">
        <v>2</v>
      </c>
    </row>
    <row r="61" customFormat="false" ht="12.75" hidden="false" customHeight="false" outlineLevel="0" collapsed="false">
      <c r="A61" s="15" t="n">
        <v>75</v>
      </c>
      <c r="B61" s="15" t="s">
        <v>600</v>
      </c>
      <c r="C61" s="15" t="s">
        <v>466</v>
      </c>
      <c r="D61" s="15" t="s">
        <v>731</v>
      </c>
      <c r="E61" s="15" t="s">
        <v>37</v>
      </c>
      <c r="F61" s="15"/>
      <c r="G61" s="10" t="n">
        <v>1</v>
      </c>
      <c r="H61" s="23" t="n">
        <v>45926.3413675579</v>
      </c>
      <c r="L61" s="10" t="n">
        <f aca="false">COUNTIF($E$2:E61,E61)</f>
        <v>4</v>
      </c>
      <c r="M61" s="10" t="e">
        <f aca="false">ifs(L61=1, L61&amp;"-"&amp; COUNTIFS($L$2:L61,1))</f>
        <v>#NAME?</v>
      </c>
      <c r="O61" s="10"/>
      <c r="P61" s="22" t="n">
        <f aca="false">COUNTIFS(C:C,C61,N:N,"Đã xác nhận")/COUNTIFS(C:C,C61)</f>
        <v>0.86046511627907</v>
      </c>
      <c r="Q61" s="22"/>
      <c r="R61" s="0" t="s">
        <v>733</v>
      </c>
      <c r="S61" s="0" t="s">
        <v>561</v>
      </c>
      <c r="U61" s="24" t="n">
        <v>1</v>
      </c>
    </row>
    <row r="62" customFormat="false" ht="12.75" hidden="false" customHeight="false" outlineLevel="0" collapsed="false">
      <c r="A62" s="15" t="n">
        <v>76</v>
      </c>
      <c r="B62" s="15" t="s">
        <v>600</v>
      </c>
      <c r="C62" s="15" t="s">
        <v>466</v>
      </c>
      <c r="D62" s="15" t="s">
        <v>734</v>
      </c>
      <c r="E62" s="15" t="s">
        <v>81</v>
      </c>
      <c r="F62" s="15"/>
      <c r="G62" s="10" t="n">
        <v>2</v>
      </c>
      <c r="H62" s="21" t="n">
        <v>46035.7052546296</v>
      </c>
      <c r="I62" s="15" t="s">
        <v>735</v>
      </c>
      <c r="J62" s="15" t="s">
        <v>735</v>
      </c>
      <c r="K62" s="15"/>
      <c r="L62" s="10" t="n">
        <f aca="false">COUNTIF($E$2:E62,E62)</f>
        <v>12</v>
      </c>
      <c r="M62" s="10" t="e">
        <f aca="false">ifs(L62=1, L62&amp;"-"&amp; COUNTIFS($L$2:L62,1))</f>
        <v>#NAME?</v>
      </c>
      <c r="N62" s="15" t="s">
        <v>603</v>
      </c>
      <c r="O62" s="10"/>
      <c r="P62" s="22" t="n">
        <f aca="false">COUNTIFS(C:C,C62,N:N,"Đã xác nhận")/COUNTIFS(C:C,C62)</f>
        <v>0.86046511627907</v>
      </c>
      <c r="Q62" s="22"/>
      <c r="R62" s="0" t="s">
        <v>736</v>
      </c>
      <c r="S62" s="0" t="s">
        <v>534</v>
      </c>
      <c r="U62" s="24" t="n">
        <v>2</v>
      </c>
    </row>
    <row r="63" customFormat="false" ht="12.75" hidden="false" customHeight="false" outlineLevel="0" collapsed="false">
      <c r="A63" s="15" t="n">
        <v>78</v>
      </c>
      <c r="B63" s="15" t="s">
        <v>600</v>
      </c>
      <c r="C63" s="15" t="s">
        <v>466</v>
      </c>
      <c r="D63" s="15" t="s">
        <v>737</v>
      </c>
      <c r="E63" s="15" t="s">
        <v>55</v>
      </c>
      <c r="F63" s="15"/>
      <c r="G63" s="10" t="n">
        <v>1</v>
      </c>
      <c r="H63" s="21" t="n">
        <v>46035.7045833333</v>
      </c>
      <c r="I63" s="15" t="s">
        <v>738</v>
      </c>
      <c r="J63" s="15" t="s">
        <v>738</v>
      </c>
      <c r="L63" s="10" t="n">
        <f aca="false">COUNTIF($E$2:E63,E63)</f>
        <v>7</v>
      </c>
      <c r="M63" s="10" t="e">
        <f aca="false">ifs(L63=1, L63&amp;"-"&amp; COUNTIFS($L$2:L63,1))</f>
        <v>#NAME?</v>
      </c>
      <c r="N63" s="15" t="s">
        <v>603</v>
      </c>
      <c r="O63" s="10"/>
      <c r="P63" s="22" t="n">
        <f aca="false">COUNTIFS(C:C,C63,N:N,"Đã xác nhận")/COUNTIFS(C:C,C63)</f>
        <v>0.86046511627907</v>
      </c>
      <c r="Q63" s="22"/>
      <c r="R63" s="0" t="s">
        <v>739</v>
      </c>
      <c r="S63" s="0" t="s">
        <v>539</v>
      </c>
      <c r="U63" s="24" t="n">
        <v>1</v>
      </c>
    </row>
    <row r="64" customFormat="false" ht="12.75" hidden="false" customHeight="false" outlineLevel="0" collapsed="false">
      <c r="A64" s="15" t="n">
        <v>79</v>
      </c>
      <c r="B64" s="15" t="s">
        <v>600</v>
      </c>
      <c r="C64" s="15" t="s">
        <v>466</v>
      </c>
      <c r="D64" s="15" t="s">
        <v>740</v>
      </c>
      <c r="E64" s="15" t="s">
        <v>567</v>
      </c>
      <c r="F64" s="15"/>
      <c r="G64" s="10" t="n">
        <v>1</v>
      </c>
      <c r="H64" s="21" t="n">
        <v>46035.7032175926</v>
      </c>
      <c r="I64" s="15" t="s">
        <v>741</v>
      </c>
      <c r="J64" s="15" t="s">
        <v>741</v>
      </c>
      <c r="L64" s="10" t="n">
        <f aca="false">COUNTIF($E$2:E64,E64)</f>
        <v>4</v>
      </c>
      <c r="M64" s="10" t="e">
        <f aca="false">ifs(L64=1, L64&amp;"-"&amp; COUNTIFS($L$2:L64,1))</f>
        <v>#NAME?</v>
      </c>
      <c r="N64" s="15" t="s">
        <v>603</v>
      </c>
      <c r="O64" s="10"/>
      <c r="P64" s="22" t="n">
        <f aca="false">COUNTIFS(C:C,C64,N:N,"Đã xác nhận")/COUNTIFS(C:C,C64)</f>
        <v>0.86046511627907</v>
      </c>
      <c r="Q64" s="22"/>
      <c r="R64" s="0" t="s">
        <v>742</v>
      </c>
      <c r="S64" s="0" t="s">
        <v>568</v>
      </c>
      <c r="U64" s="24" t="n">
        <v>1</v>
      </c>
    </row>
    <row r="65" customFormat="false" ht="12.75" hidden="false" customHeight="false" outlineLevel="0" collapsed="false">
      <c r="A65" s="15" t="n">
        <v>80</v>
      </c>
      <c r="B65" s="15" t="s">
        <v>600</v>
      </c>
      <c r="C65" s="15" t="s">
        <v>466</v>
      </c>
      <c r="D65" s="15" t="s">
        <v>740</v>
      </c>
      <c r="E65" s="15" t="s">
        <v>547</v>
      </c>
      <c r="F65" s="15"/>
      <c r="G65" s="10" t="n">
        <v>2</v>
      </c>
      <c r="H65" s="21" t="n">
        <v>46038.4838425926</v>
      </c>
      <c r="I65" s="15" t="s">
        <v>743</v>
      </c>
      <c r="J65" s="15" t="s">
        <v>744</v>
      </c>
      <c r="K65" s="15" t="s">
        <v>745</v>
      </c>
      <c r="L65" s="10" t="n">
        <f aca="false">COUNTIF($E$2:E65,E65)</f>
        <v>4</v>
      </c>
      <c r="M65" s="10" t="e">
        <f aca="false">ifs(L65=1, L65&amp;"-"&amp; COUNTIFS($L$2:L65,1))</f>
        <v>#NAME?</v>
      </c>
      <c r="N65" s="15" t="s">
        <v>603</v>
      </c>
      <c r="O65" s="10"/>
      <c r="P65" s="22" t="n">
        <f aca="false">COUNTIFS(C:C,C65,N:N,"Đã xác nhận")/COUNTIFS(C:C,C65)</f>
        <v>0.86046511627907</v>
      </c>
      <c r="Q65" s="22"/>
      <c r="R65" s="0" t="s">
        <v>742</v>
      </c>
      <c r="S65" s="0" t="s">
        <v>548</v>
      </c>
      <c r="U65" s="24" t="n">
        <v>2</v>
      </c>
    </row>
    <row r="66" customFormat="false" ht="12.75" hidden="false" customHeight="false" outlineLevel="0" collapsed="false">
      <c r="A66" s="15" t="n">
        <v>81</v>
      </c>
      <c r="B66" s="15" t="s">
        <v>600</v>
      </c>
      <c r="C66" s="15" t="s">
        <v>466</v>
      </c>
      <c r="D66" s="15" t="s">
        <v>740</v>
      </c>
      <c r="E66" s="15" t="s">
        <v>570</v>
      </c>
      <c r="F66" s="15"/>
      <c r="G66" s="10" t="n">
        <v>2</v>
      </c>
      <c r="H66" s="21" t="n">
        <v>46035.7038425926</v>
      </c>
      <c r="I66" s="15" t="s">
        <v>746</v>
      </c>
      <c r="J66" s="15" t="s">
        <v>746</v>
      </c>
      <c r="L66" s="10" t="n">
        <f aca="false">COUNTIF($E$2:E66,E66)</f>
        <v>2</v>
      </c>
      <c r="M66" s="10" t="e">
        <f aca="false">ifs(L66=1, L66&amp;"-"&amp; COUNTIFS($L$2:L66,1))</f>
        <v>#NAME?</v>
      </c>
      <c r="N66" s="15" t="s">
        <v>603</v>
      </c>
      <c r="O66" s="10"/>
      <c r="P66" s="22" t="n">
        <f aca="false">COUNTIFS(C:C,C66,N:N,"Đã xác nhận")/COUNTIFS(C:C,C66)</f>
        <v>0.86046511627907</v>
      </c>
      <c r="Q66" s="22"/>
      <c r="R66" s="0" t="s">
        <v>742</v>
      </c>
      <c r="S66" s="0" t="s">
        <v>571</v>
      </c>
      <c r="U66" s="24" t="n">
        <v>2</v>
      </c>
    </row>
    <row r="67" customFormat="false" ht="12.75" hidden="false" customHeight="false" outlineLevel="0" collapsed="false">
      <c r="A67" s="15" t="n">
        <v>84</v>
      </c>
      <c r="B67" s="15" t="s">
        <v>600</v>
      </c>
      <c r="C67" s="15" t="s">
        <v>466</v>
      </c>
      <c r="D67" s="15" t="s">
        <v>740</v>
      </c>
      <c r="E67" s="15" t="s">
        <v>545</v>
      </c>
      <c r="F67" s="15"/>
      <c r="G67" s="10" t="n">
        <v>4</v>
      </c>
      <c r="H67" s="21" t="n">
        <v>46035.7036689815</v>
      </c>
      <c r="I67" s="15" t="s">
        <v>747</v>
      </c>
      <c r="J67" s="15" t="s">
        <v>747</v>
      </c>
      <c r="K67" s="15"/>
      <c r="L67" s="10" t="n">
        <f aca="false">COUNTIF($E$2:E67,E67)</f>
        <v>4</v>
      </c>
      <c r="M67" s="10" t="e">
        <f aca="false">ifs(L67=1, L67&amp;"-"&amp; COUNTIFS($L$2:L67,1))</f>
        <v>#NAME?</v>
      </c>
      <c r="N67" s="15" t="s">
        <v>603</v>
      </c>
      <c r="O67" s="10"/>
      <c r="P67" s="22" t="n">
        <f aca="false">COUNTIFS(C:C,C67,N:N,"Đã xác nhận")/COUNTIFS(C:C,C67)</f>
        <v>0.86046511627907</v>
      </c>
      <c r="Q67" s="22"/>
      <c r="R67" s="0" t="s">
        <v>742</v>
      </c>
      <c r="S67" s="0" t="s">
        <v>546</v>
      </c>
      <c r="U67" s="24" t="n">
        <v>4</v>
      </c>
    </row>
    <row r="68" customFormat="false" ht="12.75" hidden="false" customHeight="false" outlineLevel="0" collapsed="false">
      <c r="A68" s="15" t="n">
        <v>85</v>
      </c>
      <c r="B68" s="15" t="s">
        <v>600</v>
      </c>
      <c r="C68" s="15" t="s">
        <v>466</v>
      </c>
      <c r="D68" s="15" t="s">
        <v>740</v>
      </c>
      <c r="E68" s="15" t="s">
        <v>565</v>
      </c>
      <c r="F68" s="15"/>
      <c r="G68" s="10" t="n">
        <v>2</v>
      </c>
      <c r="H68" s="21" t="n">
        <v>46035.703587963</v>
      </c>
      <c r="I68" s="15" t="s">
        <v>748</v>
      </c>
      <c r="J68" s="15" t="s">
        <v>748</v>
      </c>
      <c r="L68" s="10" t="n">
        <f aca="false">COUNTIF($E$2:E68,E68)</f>
        <v>2</v>
      </c>
      <c r="M68" s="10" t="e">
        <f aca="false">ifs(L68=1, L68&amp;"-"&amp; COUNTIFS($L$2:L68,1))</f>
        <v>#NAME?</v>
      </c>
      <c r="N68" s="15" t="s">
        <v>603</v>
      </c>
      <c r="O68" s="10"/>
      <c r="P68" s="22" t="n">
        <f aca="false">COUNTIFS(C:C,C68,N:N,"Đã xác nhận")/COUNTIFS(C:C,C68)</f>
        <v>0.86046511627907</v>
      </c>
      <c r="Q68" s="22"/>
      <c r="R68" s="0" t="s">
        <v>742</v>
      </c>
      <c r="S68" s="0" t="s">
        <v>566</v>
      </c>
      <c r="U68" s="24" t="n">
        <v>2</v>
      </c>
    </row>
    <row r="69" customFormat="false" ht="12.75" hidden="false" customHeight="false" outlineLevel="0" collapsed="false">
      <c r="A69" s="15" t="n">
        <v>86</v>
      </c>
      <c r="B69" s="15" t="s">
        <v>600</v>
      </c>
      <c r="C69" s="15" t="s">
        <v>466</v>
      </c>
      <c r="D69" s="15" t="s">
        <v>740</v>
      </c>
      <c r="E69" s="15" t="s">
        <v>69</v>
      </c>
      <c r="F69" s="15"/>
      <c r="G69" s="10" t="n">
        <v>1</v>
      </c>
      <c r="H69" s="21" t="n">
        <v>46035.7043634259</v>
      </c>
      <c r="I69" s="15" t="s">
        <v>749</v>
      </c>
      <c r="J69" s="15" t="s">
        <v>749</v>
      </c>
      <c r="L69" s="10" t="n">
        <f aca="false">COUNTIF($E$2:E69,E69)</f>
        <v>8</v>
      </c>
      <c r="M69" s="10" t="e">
        <f aca="false">ifs(L69=1, L69&amp;"-"&amp; COUNTIFS($L$2:L69,1))</f>
        <v>#NAME?</v>
      </c>
      <c r="N69" s="15" t="s">
        <v>603</v>
      </c>
      <c r="O69" s="10"/>
      <c r="P69" s="22" t="n">
        <f aca="false">COUNTIFS(C:C,C69,N:N,"Đã xác nhận")/COUNTIFS(C:C,C69)</f>
        <v>0.86046511627907</v>
      </c>
      <c r="Q69" s="22"/>
      <c r="R69" s="0" t="s">
        <v>742</v>
      </c>
      <c r="S69" s="0" t="s">
        <v>535</v>
      </c>
      <c r="U69" s="24" t="n">
        <v>1</v>
      </c>
    </row>
    <row r="70" customFormat="false" ht="12.75" hidden="false" customHeight="false" outlineLevel="0" collapsed="false">
      <c r="A70" s="15" t="n">
        <v>98</v>
      </c>
      <c r="B70" s="15" t="s">
        <v>600</v>
      </c>
      <c r="C70" s="15" t="s">
        <v>466</v>
      </c>
      <c r="D70" s="15" t="s">
        <v>750</v>
      </c>
      <c r="E70" s="15" t="s">
        <v>81</v>
      </c>
      <c r="F70" s="15"/>
      <c r="G70" s="10" t="n">
        <v>1</v>
      </c>
      <c r="H70" s="21" t="n">
        <v>46035.7052314815</v>
      </c>
      <c r="I70" s="15" t="s">
        <v>751</v>
      </c>
      <c r="J70" s="15" t="s">
        <v>751</v>
      </c>
      <c r="K70" s="15"/>
      <c r="L70" s="10" t="n">
        <f aca="false">COUNTIF($E$2:E70,E70)</f>
        <v>13</v>
      </c>
      <c r="M70" s="10" t="e">
        <f aca="false">ifs(L70=1, L70&amp;"-"&amp; COUNTIFS($L$2:L70,1))</f>
        <v>#NAME?</v>
      </c>
      <c r="N70" s="15" t="s">
        <v>603</v>
      </c>
      <c r="O70" s="10"/>
      <c r="P70" s="22" t="n">
        <f aca="false">COUNTIFS(C:C,C70,N:N,"Đã xác nhận")/COUNTIFS(C:C,C70)</f>
        <v>0.86046511627907</v>
      </c>
      <c r="Q70" s="22"/>
      <c r="R70" s="0" t="s">
        <v>752</v>
      </c>
      <c r="S70" s="0" t="s">
        <v>534</v>
      </c>
      <c r="U70" s="24" t="n">
        <v>1</v>
      </c>
    </row>
    <row r="71" customFormat="false" ht="12.75" hidden="false" customHeight="false" outlineLevel="0" collapsed="false">
      <c r="A71" s="15" t="n">
        <v>99</v>
      </c>
      <c r="B71" s="15" t="s">
        <v>600</v>
      </c>
      <c r="C71" s="15" t="s">
        <v>466</v>
      </c>
      <c r="D71" s="15" t="s">
        <v>753</v>
      </c>
      <c r="E71" s="15" t="s">
        <v>55</v>
      </c>
      <c r="F71" s="15"/>
      <c r="G71" s="10" t="n">
        <v>1</v>
      </c>
      <c r="H71" s="21" t="n">
        <v>46035.7045949074</v>
      </c>
      <c r="I71" s="15" t="s">
        <v>754</v>
      </c>
      <c r="J71" s="15" t="s">
        <v>754</v>
      </c>
      <c r="L71" s="10" t="n">
        <f aca="false">COUNTIF($E$2:E71,E71)</f>
        <v>8</v>
      </c>
      <c r="M71" s="10" t="e">
        <f aca="false">ifs(L71=1, L71&amp;"-"&amp; COUNTIFS($L$2:L71,1))</f>
        <v>#NAME?</v>
      </c>
      <c r="N71" s="15" t="s">
        <v>603</v>
      </c>
      <c r="O71" s="10"/>
      <c r="P71" s="22" t="n">
        <f aca="false">COUNTIFS(C:C,C71,N:N,"Đã xác nhận")/COUNTIFS(C:C,C71)</f>
        <v>0.86046511627907</v>
      </c>
      <c r="Q71" s="22"/>
      <c r="R71" s="0" t="s">
        <v>755</v>
      </c>
      <c r="S71" s="0" t="s">
        <v>539</v>
      </c>
      <c r="U71" s="24" t="n">
        <v>1</v>
      </c>
    </row>
    <row r="72" customFormat="false" ht="12.75" hidden="false" customHeight="false" outlineLevel="0" collapsed="false">
      <c r="A72" s="15" t="n">
        <v>100</v>
      </c>
      <c r="B72" s="15" t="s">
        <v>600</v>
      </c>
      <c r="C72" s="15" t="s">
        <v>466</v>
      </c>
      <c r="D72" s="15" t="s">
        <v>756</v>
      </c>
      <c r="E72" s="15" t="s">
        <v>81</v>
      </c>
      <c r="F72" s="15"/>
      <c r="G72" s="10" t="n">
        <v>2</v>
      </c>
      <c r="H72" s="21" t="n">
        <v>46035.7052662037</v>
      </c>
      <c r="I72" s="15" t="s">
        <v>757</v>
      </c>
      <c r="J72" s="15" t="s">
        <v>757</v>
      </c>
      <c r="K72" s="15"/>
      <c r="L72" s="10" t="n">
        <f aca="false">COUNTIF($E$2:E72,E72)</f>
        <v>14</v>
      </c>
      <c r="M72" s="10" t="e">
        <f aca="false">ifs(L72=1, L72&amp;"-"&amp; COUNTIFS($L$2:L72,1))</f>
        <v>#NAME?</v>
      </c>
      <c r="N72" s="15" t="s">
        <v>603</v>
      </c>
      <c r="O72" s="10"/>
      <c r="P72" s="22" t="n">
        <f aca="false">COUNTIFS(C:C,C72,N:N,"Đã xác nhận")/COUNTIFS(C:C,C72)</f>
        <v>0.86046511627907</v>
      </c>
      <c r="Q72" s="22"/>
      <c r="R72" s="0" t="s">
        <v>758</v>
      </c>
      <c r="S72" s="0" t="s">
        <v>534</v>
      </c>
      <c r="U72" s="24" t="n">
        <v>2</v>
      </c>
    </row>
    <row r="73" customFormat="false" ht="12.75" hidden="false" customHeight="false" outlineLevel="0" collapsed="false">
      <c r="A73" s="15" t="n">
        <v>101</v>
      </c>
      <c r="B73" s="15" t="s">
        <v>600</v>
      </c>
      <c r="C73" s="15" t="s">
        <v>466</v>
      </c>
      <c r="D73" s="15" t="s">
        <v>759</v>
      </c>
      <c r="E73" s="15" t="s">
        <v>81</v>
      </c>
      <c r="F73" s="15"/>
      <c r="G73" s="10" t="n">
        <v>2</v>
      </c>
      <c r="H73" s="21" t="n">
        <v>46035.7052662037</v>
      </c>
      <c r="I73" s="15" t="s">
        <v>760</v>
      </c>
      <c r="J73" s="15" t="s">
        <v>760</v>
      </c>
      <c r="K73" s="15"/>
      <c r="L73" s="10" t="n">
        <f aca="false">COUNTIF($E$2:E73,E73)</f>
        <v>15</v>
      </c>
      <c r="M73" s="10" t="e">
        <f aca="false">ifs(L73=1, L73&amp;"-"&amp; COUNTIFS($L$2:L73,1))</f>
        <v>#NAME?</v>
      </c>
      <c r="N73" s="15" t="s">
        <v>603</v>
      </c>
      <c r="O73" s="10"/>
      <c r="P73" s="22" t="n">
        <f aca="false">COUNTIFS(C:C,C73,N:N,"Đã xác nhận")/COUNTIFS(C:C,C73)</f>
        <v>0.86046511627907</v>
      </c>
      <c r="Q73" s="22"/>
      <c r="R73" s="0" t="s">
        <v>761</v>
      </c>
      <c r="S73" s="0" t="s">
        <v>534</v>
      </c>
      <c r="U73" s="24" t="n">
        <v>2</v>
      </c>
    </row>
    <row r="74" customFormat="false" ht="12.75" hidden="false" customHeight="false" outlineLevel="0" collapsed="false">
      <c r="A74" s="15" t="n">
        <v>102</v>
      </c>
      <c r="B74" s="15" t="s">
        <v>600</v>
      </c>
      <c r="C74" s="15" t="s">
        <v>466</v>
      </c>
      <c r="D74" s="15" t="s">
        <v>762</v>
      </c>
      <c r="E74" s="15" t="s">
        <v>81</v>
      </c>
      <c r="F74" s="15"/>
      <c r="G74" s="10" t="n">
        <v>2</v>
      </c>
      <c r="H74" s="21" t="n">
        <v>46035.7052546296</v>
      </c>
      <c r="I74" s="15" t="s">
        <v>763</v>
      </c>
      <c r="J74" s="15" t="s">
        <v>763</v>
      </c>
      <c r="K74" s="15"/>
      <c r="L74" s="10" t="n">
        <f aca="false">COUNTIF($E$2:E74,E74)</f>
        <v>16</v>
      </c>
      <c r="M74" s="10" t="e">
        <f aca="false">ifs(L74=1, L74&amp;"-"&amp; COUNTIFS($L$2:L74,1))</f>
        <v>#NAME?</v>
      </c>
      <c r="N74" s="15" t="s">
        <v>603</v>
      </c>
      <c r="O74" s="10"/>
      <c r="P74" s="22" t="n">
        <f aca="false">COUNTIFS(C:C,C74,N:N,"Đã xác nhận")/COUNTIFS(C:C,C74)</f>
        <v>0.86046511627907</v>
      </c>
      <c r="Q74" s="22"/>
      <c r="R74" s="0" t="s">
        <v>764</v>
      </c>
      <c r="S74" s="0" t="s">
        <v>534</v>
      </c>
      <c r="U74" s="24" t="n">
        <v>2</v>
      </c>
    </row>
    <row r="75" customFormat="false" ht="12.75" hidden="false" customHeight="false" outlineLevel="0" collapsed="false">
      <c r="A75" s="15" t="n">
        <v>103</v>
      </c>
      <c r="B75" s="15" t="s">
        <v>600</v>
      </c>
      <c r="C75" s="15" t="s">
        <v>466</v>
      </c>
      <c r="D75" s="15" t="s">
        <v>762</v>
      </c>
      <c r="E75" s="15" t="s">
        <v>47</v>
      </c>
      <c r="F75" s="15"/>
      <c r="G75" s="10" t="n">
        <v>1</v>
      </c>
      <c r="H75" s="21" t="n">
        <v>46035.7050115741</v>
      </c>
      <c r="I75" s="15" t="s">
        <v>765</v>
      </c>
      <c r="J75" s="15" t="s">
        <v>765</v>
      </c>
      <c r="L75" s="10" t="n">
        <f aca="false">COUNTIF($E$2:E75,E75)</f>
        <v>5</v>
      </c>
      <c r="M75" s="10" t="e">
        <f aca="false">ifs(L75=1, L75&amp;"-"&amp; COUNTIFS($L$2:L75,1))</f>
        <v>#NAME?</v>
      </c>
      <c r="N75" s="15" t="s">
        <v>603</v>
      </c>
      <c r="O75" s="10"/>
      <c r="P75" s="22" t="n">
        <f aca="false">COUNTIFS(C:C,C75,N:N,"Đã xác nhận")/COUNTIFS(C:C,C75)</f>
        <v>0.86046511627907</v>
      </c>
      <c r="Q75" s="22"/>
      <c r="R75" s="0" t="s">
        <v>764</v>
      </c>
      <c r="S75" s="0" t="s">
        <v>549</v>
      </c>
      <c r="U75" s="24" t="n">
        <v>1</v>
      </c>
    </row>
    <row r="76" customFormat="false" ht="12.75" hidden="false" customHeight="false" outlineLevel="0" collapsed="false">
      <c r="A76" s="15" t="n">
        <v>104</v>
      </c>
      <c r="B76" s="15" t="s">
        <v>600</v>
      </c>
      <c r="C76" s="15" t="s">
        <v>466</v>
      </c>
      <c r="D76" s="15" t="s">
        <v>766</v>
      </c>
      <c r="E76" s="15" t="s">
        <v>69</v>
      </c>
      <c r="F76" s="15"/>
      <c r="G76" s="10" t="n">
        <v>1</v>
      </c>
      <c r="H76" s="21" t="n">
        <v>46035.7043634259</v>
      </c>
      <c r="I76" s="15" t="s">
        <v>767</v>
      </c>
      <c r="J76" s="15" t="s">
        <v>767</v>
      </c>
      <c r="L76" s="10" t="n">
        <f aca="false">COUNTIF($E$2:E76,E76)</f>
        <v>9</v>
      </c>
      <c r="M76" s="10" t="e">
        <f aca="false">ifs(L76=1, L76&amp;"-"&amp; COUNTIFS($L$2:L76,1))</f>
        <v>#NAME?</v>
      </c>
      <c r="N76" s="15" t="s">
        <v>603</v>
      </c>
      <c r="O76" s="10"/>
      <c r="P76" s="22" t="n">
        <f aca="false">COUNTIFS(C:C,C76,N:N,"Đã xác nhận")/COUNTIFS(C:C,C76)</f>
        <v>0.86046511627907</v>
      </c>
      <c r="Q76" s="22"/>
      <c r="R76" s="0" t="s">
        <v>768</v>
      </c>
      <c r="S76" s="0" t="s">
        <v>535</v>
      </c>
      <c r="U76" s="24" t="n">
        <v>1</v>
      </c>
    </row>
    <row r="77" customFormat="false" ht="12.75" hidden="false" customHeight="false" outlineLevel="0" collapsed="false">
      <c r="A77" s="15" t="n">
        <v>105</v>
      </c>
      <c r="B77" s="15" t="s">
        <v>600</v>
      </c>
      <c r="C77" s="15" t="s">
        <v>466</v>
      </c>
      <c r="D77" s="15" t="s">
        <v>766</v>
      </c>
      <c r="E77" s="15" t="s">
        <v>547</v>
      </c>
      <c r="F77" s="15"/>
      <c r="G77" s="10" t="n">
        <v>2</v>
      </c>
      <c r="H77" s="21" t="n">
        <v>46038.483900463</v>
      </c>
      <c r="I77" s="15" t="s">
        <v>769</v>
      </c>
      <c r="J77" s="15" t="s">
        <v>770</v>
      </c>
      <c r="K77" s="15" t="s">
        <v>771</v>
      </c>
      <c r="L77" s="10" t="n">
        <f aca="false">COUNTIF($E$2:E77,E77)</f>
        <v>5</v>
      </c>
      <c r="M77" s="10" t="e">
        <f aca="false">ifs(L77=1, L77&amp;"-"&amp; COUNTIFS($L$2:L77,1))</f>
        <v>#NAME?</v>
      </c>
      <c r="N77" s="15" t="s">
        <v>603</v>
      </c>
      <c r="O77" s="10"/>
      <c r="P77" s="22" t="n">
        <f aca="false">COUNTIFS(C:C,C77,N:N,"Đã xác nhận")/COUNTIFS(C:C,C77)</f>
        <v>0.86046511627907</v>
      </c>
      <c r="Q77" s="22"/>
      <c r="R77" s="0" t="s">
        <v>768</v>
      </c>
      <c r="S77" s="0" t="s">
        <v>548</v>
      </c>
      <c r="U77" s="24" t="n">
        <v>2</v>
      </c>
    </row>
    <row r="78" customFormat="false" ht="12.75" hidden="false" customHeight="false" outlineLevel="0" collapsed="false">
      <c r="A78" s="15" t="n">
        <v>106</v>
      </c>
      <c r="B78" s="15" t="s">
        <v>600</v>
      </c>
      <c r="C78" s="15" t="s">
        <v>466</v>
      </c>
      <c r="D78" s="15" t="s">
        <v>766</v>
      </c>
      <c r="E78" s="15" t="s">
        <v>570</v>
      </c>
      <c r="F78" s="15"/>
      <c r="G78" s="10" t="n">
        <v>2</v>
      </c>
      <c r="H78" s="21" t="n">
        <v>46035.7038425926</v>
      </c>
      <c r="I78" s="15" t="s">
        <v>772</v>
      </c>
      <c r="J78" s="15" t="s">
        <v>772</v>
      </c>
      <c r="L78" s="10" t="n">
        <f aca="false">COUNTIF($E$2:E78,E78)</f>
        <v>3</v>
      </c>
      <c r="M78" s="10" t="e">
        <f aca="false">ifs(L78=1, L78&amp;"-"&amp; COUNTIFS($L$2:L78,1))</f>
        <v>#NAME?</v>
      </c>
      <c r="N78" s="15" t="s">
        <v>603</v>
      </c>
      <c r="O78" s="10"/>
      <c r="P78" s="22" t="n">
        <f aca="false">COUNTIFS(C:C,C78,N:N,"Đã xác nhận")/COUNTIFS(C:C,C78)</f>
        <v>0.86046511627907</v>
      </c>
      <c r="Q78" s="22"/>
      <c r="R78" s="0" t="s">
        <v>768</v>
      </c>
      <c r="S78" s="0" t="s">
        <v>571</v>
      </c>
      <c r="U78" s="24" t="n">
        <v>2</v>
      </c>
    </row>
    <row r="79" customFormat="false" ht="12.75" hidden="false" customHeight="false" outlineLevel="0" collapsed="false">
      <c r="A79" s="15" t="n">
        <v>107</v>
      </c>
      <c r="B79" s="15" t="s">
        <v>600</v>
      </c>
      <c r="C79" s="15" t="s">
        <v>466</v>
      </c>
      <c r="D79" s="15" t="s">
        <v>766</v>
      </c>
      <c r="E79" s="15" t="s">
        <v>567</v>
      </c>
      <c r="F79" s="15"/>
      <c r="G79" s="10" t="n">
        <v>2</v>
      </c>
      <c r="H79" s="21" t="n">
        <v>46035.7032291667</v>
      </c>
      <c r="I79" s="15" t="s">
        <v>773</v>
      </c>
      <c r="J79" s="15" t="s">
        <v>773</v>
      </c>
      <c r="K79" s="15"/>
      <c r="L79" s="10" t="n">
        <f aca="false">COUNTIF($E$2:E79,E79)</f>
        <v>5</v>
      </c>
      <c r="M79" s="10" t="e">
        <f aca="false">ifs(L79=1, L79&amp;"-"&amp; COUNTIFS($L$2:L79,1))</f>
        <v>#NAME?</v>
      </c>
      <c r="N79" s="15" t="s">
        <v>603</v>
      </c>
      <c r="O79" s="10"/>
      <c r="P79" s="22" t="n">
        <f aca="false">COUNTIFS(C:C,C79,N:N,"Đã xác nhận")/COUNTIFS(C:C,C79)</f>
        <v>0.86046511627907</v>
      </c>
      <c r="Q79" s="22"/>
      <c r="R79" s="0" t="s">
        <v>768</v>
      </c>
      <c r="S79" s="0" t="s">
        <v>568</v>
      </c>
      <c r="U79" s="24" t="n">
        <v>2</v>
      </c>
    </row>
    <row r="80" customFormat="false" ht="12.75" hidden="false" customHeight="false" outlineLevel="0" collapsed="false">
      <c r="A80" s="15" t="n">
        <v>116</v>
      </c>
      <c r="B80" s="15" t="s">
        <v>600</v>
      </c>
      <c r="C80" s="15" t="s">
        <v>466</v>
      </c>
      <c r="D80" s="15" t="s">
        <v>774</v>
      </c>
      <c r="E80" s="15" t="s">
        <v>543</v>
      </c>
      <c r="F80" s="15"/>
      <c r="G80" s="10" t="n">
        <v>2</v>
      </c>
      <c r="H80" s="21" t="n">
        <v>46035.7039699074</v>
      </c>
      <c r="I80" s="15" t="s">
        <v>775</v>
      </c>
      <c r="J80" s="15" t="s">
        <v>775</v>
      </c>
      <c r="K80" s="15"/>
      <c r="L80" s="10" t="n">
        <f aca="false">COUNTIF($E$2:E80,E80)</f>
        <v>4</v>
      </c>
      <c r="M80" s="10" t="e">
        <f aca="false">ifs(L80=1, L80&amp;"-"&amp; COUNTIFS($L$2:L80,1))</f>
        <v>#NAME?</v>
      </c>
      <c r="N80" s="15" t="s">
        <v>603</v>
      </c>
      <c r="O80" s="10"/>
      <c r="P80" s="22" t="n">
        <f aca="false">COUNTIFS(C:C,C80,N:N,"Đã xác nhận")/COUNTIFS(C:C,C80)</f>
        <v>0.86046511627907</v>
      </c>
      <c r="Q80" s="22"/>
      <c r="R80" s="0" t="s">
        <v>776</v>
      </c>
      <c r="S80" s="0" t="s">
        <v>544</v>
      </c>
      <c r="U80" s="24" t="n">
        <v>2</v>
      </c>
    </row>
    <row r="81" customFormat="false" ht="12.75" hidden="false" customHeight="false" outlineLevel="0" collapsed="false">
      <c r="A81" s="15" t="n">
        <v>118</v>
      </c>
      <c r="B81" s="15" t="s">
        <v>600</v>
      </c>
      <c r="C81" s="15" t="s">
        <v>466</v>
      </c>
      <c r="D81" s="15" t="s">
        <v>774</v>
      </c>
      <c r="E81" s="15" t="s">
        <v>83</v>
      </c>
      <c r="F81" s="15"/>
      <c r="G81" s="10" t="n">
        <v>1</v>
      </c>
      <c r="H81" s="21" t="n">
        <v>46035.7068287037</v>
      </c>
      <c r="I81" s="15" t="s">
        <v>777</v>
      </c>
      <c r="J81" s="15" t="s">
        <v>777</v>
      </c>
      <c r="L81" s="10" t="n">
        <f aca="false">COUNTIF($E$2:E81,E81)</f>
        <v>1</v>
      </c>
      <c r="M81" s="10" t="e">
        <f aca="false">ifs(L81=1, L81&amp;"-"&amp; COUNTIFS($L$2:L81,1))</f>
        <v>#NAME?</v>
      </c>
      <c r="N81" s="15" t="s">
        <v>603</v>
      </c>
      <c r="O81" s="10"/>
      <c r="P81" s="22" t="n">
        <f aca="false">COUNTIFS(C:C,C81,N:N,"Đã xác nhận")/COUNTIFS(C:C,C81)</f>
        <v>0.86046511627907</v>
      </c>
      <c r="Q81" s="22"/>
      <c r="R81" s="0" t="s">
        <v>776</v>
      </c>
      <c r="S81" s="0" t="s">
        <v>581</v>
      </c>
      <c r="U81" s="24" t="n">
        <v>1</v>
      </c>
    </row>
    <row r="82" customFormat="false" ht="12.75" hidden="false" customHeight="false" outlineLevel="0" collapsed="false">
      <c r="A82" s="15" t="n">
        <v>119</v>
      </c>
      <c r="B82" s="15" t="s">
        <v>600</v>
      </c>
      <c r="C82" s="15" t="s">
        <v>466</v>
      </c>
      <c r="D82" s="15" t="s">
        <v>774</v>
      </c>
      <c r="E82" s="15" t="s">
        <v>85</v>
      </c>
      <c r="F82" s="15"/>
      <c r="G82" s="10" t="n">
        <v>1</v>
      </c>
      <c r="H82" s="23" t="n">
        <v>45926.3413675579</v>
      </c>
      <c r="L82" s="10" t="n">
        <f aca="false">COUNTIF($E$2:E82,E82)</f>
        <v>1</v>
      </c>
      <c r="M82" s="10" t="e">
        <f aca="false">ifs(L82=1, L82&amp;"-"&amp; COUNTIFS($L$2:L82,1))</f>
        <v>#NAME?</v>
      </c>
      <c r="O82" s="10"/>
      <c r="P82" s="22" t="n">
        <f aca="false">COUNTIFS(C:C,C82,N:N,"Đã xác nhận")/COUNTIFS(C:C,C82)</f>
        <v>0.86046511627907</v>
      </c>
      <c r="Q82" s="22"/>
      <c r="R82" s="0" t="s">
        <v>776</v>
      </c>
      <c r="S82" s="0" t="s">
        <v>582</v>
      </c>
      <c r="U82" s="24" t="n">
        <v>1</v>
      </c>
    </row>
    <row r="83" customFormat="false" ht="12.75" hidden="false" customHeight="false" outlineLevel="0" collapsed="false">
      <c r="A83" s="15" t="n">
        <v>123</v>
      </c>
      <c r="B83" s="15" t="s">
        <v>600</v>
      </c>
      <c r="C83" s="15" t="s">
        <v>466</v>
      </c>
      <c r="D83" s="15" t="s">
        <v>778</v>
      </c>
      <c r="E83" s="15" t="s">
        <v>555</v>
      </c>
      <c r="F83" s="15"/>
      <c r="G83" s="10" t="n">
        <v>3</v>
      </c>
      <c r="H83" s="21" t="n">
        <v>46035.7033796296</v>
      </c>
      <c r="I83" s="15" t="s">
        <v>779</v>
      </c>
      <c r="J83" s="15" t="s">
        <v>779</v>
      </c>
      <c r="K83" s="15"/>
      <c r="L83" s="10" t="n">
        <f aca="false">COUNTIF($E$2:E83,E83)</f>
        <v>3</v>
      </c>
      <c r="M83" s="10" t="e">
        <f aca="false">ifs(L83=1, L83&amp;"-"&amp; COUNTIFS($L$2:L83,1))</f>
        <v>#NAME?</v>
      </c>
      <c r="N83" s="15" t="s">
        <v>603</v>
      </c>
      <c r="O83" s="10"/>
      <c r="P83" s="22" t="n">
        <f aca="false">COUNTIFS(C:C,C83,N:N,"Đã xác nhận")/COUNTIFS(C:C,C83)</f>
        <v>0.86046511627907</v>
      </c>
      <c r="Q83" s="22"/>
      <c r="R83" s="0" t="s">
        <v>780</v>
      </c>
      <c r="S83" s="0" t="s">
        <v>556</v>
      </c>
      <c r="U83" s="24" t="n">
        <v>3</v>
      </c>
    </row>
    <row r="84" customFormat="false" ht="12.75" hidden="false" customHeight="false" outlineLevel="0" collapsed="false">
      <c r="A84" s="15" t="n">
        <v>124</v>
      </c>
      <c r="B84" s="15" t="s">
        <v>600</v>
      </c>
      <c r="C84" s="15" t="s">
        <v>466</v>
      </c>
      <c r="D84" s="15" t="s">
        <v>778</v>
      </c>
      <c r="E84" s="15" t="s">
        <v>567</v>
      </c>
      <c r="F84" s="15"/>
      <c r="G84" s="10" t="n">
        <v>1</v>
      </c>
      <c r="H84" s="21" t="n">
        <v>46035.7032175926</v>
      </c>
      <c r="I84" s="15" t="s">
        <v>781</v>
      </c>
      <c r="J84" s="15" t="s">
        <v>781</v>
      </c>
      <c r="L84" s="10" t="n">
        <f aca="false">COUNTIF($E$2:E84,E84)</f>
        <v>6</v>
      </c>
      <c r="M84" s="10" t="e">
        <f aca="false">ifs(L84=1, L84&amp;"-"&amp; COUNTIFS($L$2:L84,1))</f>
        <v>#NAME?</v>
      </c>
      <c r="N84" s="15" t="s">
        <v>603</v>
      </c>
      <c r="O84" s="10"/>
      <c r="P84" s="22" t="n">
        <f aca="false">COUNTIFS(C:C,C84,N:N,"Đã xác nhận")/COUNTIFS(C:C,C84)</f>
        <v>0.86046511627907</v>
      </c>
      <c r="Q84" s="22"/>
      <c r="R84" s="0" t="s">
        <v>780</v>
      </c>
      <c r="S84" s="0" t="s">
        <v>568</v>
      </c>
      <c r="U84" s="24" t="n">
        <v>1</v>
      </c>
    </row>
    <row r="85" customFormat="false" ht="12.75" hidden="false" customHeight="false" outlineLevel="0" collapsed="false">
      <c r="A85" s="15" t="n">
        <v>125</v>
      </c>
      <c r="B85" s="15" t="s">
        <v>600</v>
      </c>
      <c r="C85" s="15" t="s">
        <v>466</v>
      </c>
      <c r="D85" s="15" t="s">
        <v>778</v>
      </c>
      <c r="E85" s="15" t="s">
        <v>25</v>
      </c>
      <c r="F85" s="15"/>
      <c r="G85" s="10" t="n">
        <v>1</v>
      </c>
      <c r="H85" s="23" t="n">
        <v>45926.3413675579</v>
      </c>
      <c r="L85" s="10" t="n">
        <f aca="false">COUNTIF($E$2:E85,E85)</f>
        <v>2</v>
      </c>
      <c r="M85" s="10" t="e">
        <f aca="false">ifs(L85=1, L85&amp;"-"&amp; COUNTIFS($L$2:L85,1))</f>
        <v>#NAME?</v>
      </c>
      <c r="O85" s="10"/>
      <c r="P85" s="22" t="n">
        <f aca="false">COUNTIFS(C:C,C85,N:N,"Đã xác nhận")/COUNTIFS(C:C,C85)</f>
        <v>0.86046511627907</v>
      </c>
      <c r="Q85" s="22"/>
      <c r="R85" s="0" t="s">
        <v>780</v>
      </c>
      <c r="S85" s="0" t="s">
        <v>26</v>
      </c>
      <c r="U85" s="24" t="n">
        <v>1</v>
      </c>
    </row>
    <row r="86" customFormat="false" ht="12.75" hidden="false" customHeight="false" outlineLevel="0" collapsed="false">
      <c r="A86" s="15" t="n">
        <v>126</v>
      </c>
      <c r="B86" s="15" t="s">
        <v>600</v>
      </c>
      <c r="C86" s="15" t="s">
        <v>466</v>
      </c>
      <c r="D86" s="15" t="s">
        <v>673</v>
      </c>
      <c r="E86" s="15" t="s">
        <v>69</v>
      </c>
      <c r="F86" s="15"/>
      <c r="G86" s="10" t="n">
        <v>2</v>
      </c>
      <c r="H86" s="21" t="n">
        <v>46035.7043865741</v>
      </c>
      <c r="I86" s="15" t="s">
        <v>782</v>
      </c>
      <c r="J86" s="15" t="s">
        <v>782</v>
      </c>
      <c r="L86" s="10" t="n">
        <f aca="false">COUNTIF($E$2:E86,E86)</f>
        <v>10</v>
      </c>
      <c r="M86" s="10" t="e">
        <f aca="false">ifs(L86=1, L86&amp;"-"&amp; COUNTIFS($L$2:L86,1))</f>
        <v>#NAME?</v>
      </c>
      <c r="N86" s="15" t="s">
        <v>603</v>
      </c>
      <c r="O86" s="10"/>
      <c r="P86" s="22" t="n">
        <f aca="false">COUNTIFS(C:C,C86,N:N,"Đã xác nhận")/COUNTIFS(C:C,C86)</f>
        <v>0.86046511627907</v>
      </c>
      <c r="Q86" s="22"/>
      <c r="R86" s="0" t="s">
        <v>675</v>
      </c>
      <c r="S86" s="0" t="s">
        <v>535</v>
      </c>
      <c r="U86" s="24" t="n">
        <v>2</v>
      </c>
    </row>
    <row r="87" customFormat="false" ht="12.75" hidden="false" customHeight="false" outlineLevel="0" collapsed="false">
      <c r="A87" s="15" t="n">
        <v>127</v>
      </c>
      <c r="B87" s="15" t="s">
        <v>600</v>
      </c>
      <c r="C87" s="15" t="s">
        <v>466</v>
      </c>
      <c r="D87" s="15" t="s">
        <v>673</v>
      </c>
      <c r="E87" s="15" t="s">
        <v>77</v>
      </c>
      <c r="F87" s="15"/>
      <c r="G87" s="10" t="n">
        <v>2</v>
      </c>
      <c r="H87" s="21" t="n">
        <v>46035.7065509259</v>
      </c>
      <c r="I87" s="15" t="s">
        <v>783</v>
      </c>
      <c r="J87" s="15" t="s">
        <v>783</v>
      </c>
      <c r="L87" s="10" t="n">
        <f aca="false">COUNTIF($E$2:E87,E87)</f>
        <v>5</v>
      </c>
      <c r="M87" s="10" t="e">
        <f aca="false">ifs(L87=1, L87&amp;"-"&amp; COUNTIFS($L$2:L87,1))</f>
        <v>#NAME?</v>
      </c>
      <c r="N87" s="15" t="s">
        <v>603</v>
      </c>
      <c r="O87" s="10"/>
      <c r="P87" s="22" t="n">
        <f aca="false">COUNTIFS(C:C,C87,N:N,"Đã xác nhận")/COUNTIFS(C:C,C87)</f>
        <v>0.86046511627907</v>
      </c>
      <c r="Q87" s="22"/>
      <c r="R87" s="0" t="s">
        <v>675</v>
      </c>
      <c r="S87" s="0" t="s">
        <v>78</v>
      </c>
      <c r="U87" s="24" t="n">
        <v>2</v>
      </c>
    </row>
    <row r="88" customFormat="false" ht="12.75" hidden="false" customHeight="false" outlineLevel="0" collapsed="false">
      <c r="A88" s="15" t="n">
        <v>128</v>
      </c>
      <c r="B88" s="15" t="s">
        <v>600</v>
      </c>
      <c r="C88" s="15" t="s">
        <v>784</v>
      </c>
      <c r="D88" s="15" t="s">
        <v>717</v>
      </c>
      <c r="E88" s="15" t="s">
        <v>570</v>
      </c>
      <c r="F88" s="15"/>
      <c r="G88" s="10" t="n">
        <v>2</v>
      </c>
      <c r="H88" s="21" t="n">
        <v>46035.7079861111</v>
      </c>
      <c r="I88" s="15" t="s">
        <v>785</v>
      </c>
      <c r="J88" s="15" t="s">
        <v>785</v>
      </c>
      <c r="L88" s="10" t="n">
        <f aca="false">COUNTIF($E$2:E88,E88)</f>
        <v>4</v>
      </c>
      <c r="M88" s="10" t="e">
        <f aca="false">ifs(L88=1, L88&amp;"-"&amp; COUNTIFS($L$2:L88,1))</f>
        <v>#NAME?</v>
      </c>
      <c r="N88" s="15" t="s">
        <v>603</v>
      </c>
      <c r="O88" s="10"/>
      <c r="P88" s="22" t="n">
        <f aca="false">COUNTIFS(C:C,C88,N:N,"Đã xác nhận")/COUNTIFS(C:C,C88)</f>
        <v>0.275</v>
      </c>
      <c r="Q88" s="22"/>
      <c r="R88" s="0" t="s">
        <v>719</v>
      </c>
      <c r="S88" s="0" t="s">
        <v>571</v>
      </c>
      <c r="U88" s="24" t="n">
        <v>2</v>
      </c>
    </row>
    <row r="89" customFormat="false" ht="12.75" hidden="false" customHeight="false" outlineLevel="0" collapsed="false">
      <c r="A89" s="15" t="n">
        <v>129</v>
      </c>
      <c r="B89" s="15" t="s">
        <v>600</v>
      </c>
      <c r="C89" s="15" t="s">
        <v>784</v>
      </c>
      <c r="D89" s="15" t="s">
        <v>717</v>
      </c>
      <c r="E89" s="15" t="s">
        <v>565</v>
      </c>
      <c r="F89" s="15"/>
      <c r="G89" s="10" t="n">
        <v>1</v>
      </c>
      <c r="H89" s="23" t="n">
        <v>45926.3413675579</v>
      </c>
      <c r="L89" s="10" t="n">
        <f aca="false">COUNTIF($E$2:E89,E89)</f>
        <v>3</v>
      </c>
      <c r="M89" s="10" t="e">
        <f aca="false">ifs(L89=1, L89&amp;"-"&amp; COUNTIFS($L$2:L89,1))</f>
        <v>#NAME?</v>
      </c>
      <c r="O89" s="10"/>
      <c r="P89" s="22" t="n">
        <f aca="false">COUNTIFS(C:C,C89,N:N,"Đã xác nhận")/COUNTIFS(C:C,C89)</f>
        <v>0.275</v>
      </c>
      <c r="Q89" s="22"/>
      <c r="R89" s="0" t="s">
        <v>719</v>
      </c>
      <c r="S89" s="0" t="s">
        <v>566</v>
      </c>
      <c r="U89" s="24" t="n">
        <v>1</v>
      </c>
    </row>
    <row r="90" customFormat="false" ht="12.75" hidden="false" customHeight="false" outlineLevel="0" collapsed="false">
      <c r="A90" s="15" t="n">
        <v>130</v>
      </c>
      <c r="B90" s="15" t="s">
        <v>600</v>
      </c>
      <c r="C90" s="15" t="s">
        <v>784</v>
      </c>
      <c r="D90" s="15" t="s">
        <v>717</v>
      </c>
      <c r="E90" s="15" t="s">
        <v>69</v>
      </c>
      <c r="F90" s="15"/>
      <c r="G90" s="10" t="n">
        <v>1</v>
      </c>
      <c r="H90" s="23" t="n">
        <v>45926.3413675579</v>
      </c>
      <c r="L90" s="10" t="n">
        <f aca="false">COUNTIF($E$2:E90,E90)</f>
        <v>11</v>
      </c>
      <c r="M90" s="10" t="e">
        <f aca="false">ifs(L90=1, L90&amp;"-"&amp; COUNTIFS($L$2:L90,1))</f>
        <v>#NAME?</v>
      </c>
      <c r="O90" s="10"/>
      <c r="P90" s="22" t="n">
        <f aca="false">COUNTIFS(C:C,C90,N:N,"Đã xác nhận")/COUNTIFS(C:C,C90)</f>
        <v>0.275</v>
      </c>
      <c r="Q90" s="22"/>
      <c r="R90" s="0" t="s">
        <v>719</v>
      </c>
      <c r="S90" s="0" t="s">
        <v>535</v>
      </c>
      <c r="U90" s="24" t="n">
        <v>1</v>
      </c>
    </row>
    <row r="91" customFormat="false" ht="12.75" hidden="false" customHeight="false" outlineLevel="0" collapsed="false">
      <c r="A91" s="15" t="n">
        <v>131</v>
      </c>
      <c r="B91" s="15" t="s">
        <v>600</v>
      </c>
      <c r="C91" s="15" t="s">
        <v>784</v>
      </c>
      <c r="D91" s="15" t="s">
        <v>717</v>
      </c>
      <c r="E91" s="15" t="s">
        <v>547</v>
      </c>
      <c r="F91" s="15"/>
      <c r="G91" s="10" t="n">
        <v>2</v>
      </c>
      <c r="H91" s="21" t="n">
        <v>46038.4842476852</v>
      </c>
      <c r="I91" s="15" t="s">
        <v>786</v>
      </c>
      <c r="J91" s="15" t="s">
        <v>787</v>
      </c>
      <c r="K91" s="15" t="s">
        <v>788</v>
      </c>
      <c r="L91" s="10" t="n">
        <f aca="false">COUNTIF($E$2:E91,E91)</f>
        <v>6</v>
      </c>
      <c r="M91" s="10" t="e">
        <f aca="false">ifs(L91=1, L91&amp;"-"&amp; COUNTIFS($L$2:L91,1))</f>
        <v>#NAME?</v>
      </c>
      <c r="N91" s="15" t="s">
        <v>603</v>
      </c>
      <c r="O91" s="10"/>
      <c r="P91" s="22" t="n">
        <f aca="false">COUNTIFS(C:C,C91,N:N,"Đã xác nhận")/COUNTIFS(C:C,C91)</f>
        <v>0.275</v>
      </c>
      <c r="Q91" s="22"/>
      <c r="R91" s="0" t="s">
        <v>719</v>
      </c>
      <c r="S91" s="0" t="s">
        <v>548</v>
      </c>
      <c r="U91" s="24" t="n">
        <v>2</v>
      </c>
    </row>
    <row r="92" customFormat="false" ht="12.75" hidden="false" customHeight="false" outlineLevel="0" collapsed="false">
      <c r="A92" s="15" t="n">
        <v>140</v>
      </c>
      <c r="B92" s="15" t="s">
        <v>600</v>
      </c>
      <c r="C92" s="15" t="s">
        <v>784</v>
      </c>
      <c r="D92" s="15" t="s">
        <v>789</v>
      </c>
      <c r="E92" s="15" t="s">
        <v>37</v>
      </c>
      <c r="F92" s="15"/>
      <c r="G92" s="10" t="n">
        <v>1</v>
      </c>
      <c r="H92" s="23" t="n">
        <v>45926.3413675579</v>
      </c>
      <c r="L92" s="10" t="n">
        <f aca="false">COUNTIF($E$2:E92,E92)</f>
        <v>5</v>
      </c>
      <c r="M92" s="10" t="e">
        <f aca="false">ifs(L92=1, L92&amp;"-"&amp; COUNTIFS($L$2:L92,1))</f>
        <v>#NAME?</v>
      </c>
      <c r="O92" s="10"/>
      <c r="P92" s="22" t="n">
        <f aca="false">COUNTIFS(C:C,C92,N:N,"Đã xác nhận")/COUNTIFS(C:C,C92)</f>
        <v>0.275</v>
      </c>
      <c r="Q92" s="22"/>
      <c r="R92" s="0" t="s">
        <v>790</v>
      </c>
      <c r="S92" s="0" t="s">
        <v>561</v>
      </c>
      <c r="U92" s="24" t="n">
        <v>1</v>
      </c>
    </row>
    <row r="93" customFormat="false" ht="12.75" hidden="false" customHeight="false" outlineLevel="0" collapsed="false">
      <c r="A93" s="15" t="n">
        <v>141</v>
      </c>
      <c r="B93" s="15" t="s">
        <v>600</v>
      </c>
      <c r="C93" s="15" t="s">
        <v>784</v>
      </c>
      <c r="D93" s="15" t="s">
        <v>789</v>
      </c>
      <c r="E93" s="15" t="s">
        <v>81</v>
      </c>
      <c r="F93" s="15"/>
      <c r="G93" s="10" t="n">
        <v>1</v>
      </c>
      <c r="H93" s="21" t="n">
        <v>45966.2864236111</v>
      </c>
      <c r="I93" s="15" t="s">
        <v>791</v>
      </c>
      <c r="J93" s="15" t="s">
        <v>792</v>
      </c>
      <c r="K93" s="15" t="s">
        <v>793</v>
      </c>
      <c r="L93" s="10" t="n">
        <f aca="false">COUNTIF($E$2:E93,E93)</f>
        <v>17</v>
      </c>
      <c r="M93" s="10" t="e">
        <f aca="false">ifs(L93=1, L93&amp;"-"&amp; COUNTIFS($L$2:L93,1))</f>
        <v>#NAME?</v>
      </c>
      <c r="O93" s="10"/>
      <c r="P93" s="22" t="n">
        <f aca="false">COUNTIFS(C:C,C93,N:N,"Đã xác nhận")/COUNTIFS(C:C,C93)</f>
        <v>0.275</v>
      </c>
      <c r="Q93" s="22"/>
      <c r="R93" s="0" t="s">
        <v>790</v>
      </c>
      <c r="S93" s="0" t="s">
        <v>534</v>
      </c>
      <c r="U93" s="24" t="n">
        <v>1</v>
      </c>
    </row>
    <row r="94" customFormat="false" ht="12.75" hidden="false" customHeight="false" outlineLevel="0" collapsed="false">
      <c r="A94" s="15" t="n">
        <v>143</v>
      </c>
      <c r="B94" s="15" t="s">
        <v>600</v>
      </c>
      <c r="C94" s="15" t="s">
        <v>784</v>
      </c>
      <c r="D94" s="15" t="s">
        <v>794</v>
      </c>
      <c r="E94" s="15" t="s">
        <v>81</v>
      </c>
      <c r="F94" s="15"/>
      <c r="G94" s="10" t="n">
        <v>3</v>
      </c>
      <c r="H94" s="21" t="n">
        <v>45966.2855208333</v>
      </c>
      <c r="I94" s="15" t="s">
        <v>795</v>
      </c>
      <c r="J94" s="15" t="s">
        <v>796</v>
      </c>
      <c r="K94" s="15" t="s">
        <v>797</v>
      </c>
      <c r="L94" s="10" t="n">
        <f aca="false">COUNTIF($E$2:E94,E94)</f>
        <v>18</v>
      </c>
      <c r="M94" s="10" t="e">
        <f aca="false">ifs(L94=1, L94&amp;"-"&amp; COUNTIFS($L$2:L94,1))</f>
        <v>#NAME?</v>
      </c>
      <c r="O94" s="10"/>
      <c r="P94" s="22" t="n">
        <f aca="false">COUNTIFS(C:C,C94,N:N,"Đã xác nhận")/COUNTIFS(C:C,C94)</f>
        <v>0.275</v>
      </c>
      <c r="Q94" s="22"/>
      <c r="R94" s="0" t="s">
        <v>798</v>
      </c>
      <c r="S94" s="0" t="s">
        <v>534</v>
      </c>
      <c r="U94" s="24" t="n">
        <v>3</v>
      </c>
    </row>
    <row r="95" customFormat="false" ht="12.75" hidden="false" customHeight="false" outlineLevel="0" collapsed="false">
      <c r="A95" s="15" t="n">
        <v>146</v>
      </c>
      <c r="B95" s="15" t="s">
        <v>600</v>
      </c>
      <c r="C95" s="15" t="s">
        <v>784</v>
      </c>
      <c r="D95" s="15" t="s">
        <v>799</v>
      </c>
      <c r="E95" s="15" t="s">
        <v>55</v>
      </c>
      <c r="F95" s="15"/>
      <c r="G95" s="10" t="n">
        <v>1</v>
      </c>
      <c r="H95" s="23" t="n">
        <v>45926.3413675579</v>
      </c>
      <c r="L95" s="10" t="n">
        <f aca="false">COUNTIF($E$2:E95,E95)</f>
        <v>9</v>
      </c>
      <c r="M95" s="10" t="e">
        <f aca="false">ifs(L95=1, L95&amp;"-"&amp; COUNTIFS($L$2:L95,1))</f>
        <v>#NAME?</v>
      </c>
      <c r="O95" s="10"/>
      <c r="P95" s="22" t="n">
        <f aca="false">COUNTIFS(C:C,C95,N:N,"Đã xác nhận")/COUNTIFS(C:C,C95)</f>
        <v>0.275</v>
      </c>
      <c r="Q95" s="22"/>
      <c r="R95" s="0" t="s">
        <v>800</v>
      </c>
      <c r="S95" s="0" t="s">
        <v>539</v>
      </c>
      <c r="U95" s="24" t="n">
        <v>1</v>
      </c>
    </row>
    <row r="96" customFormat="false" ht="12.75" hidden="false" customHeight="false" outlineLevel="0" collapsed="false">
      <c r="A96" s="15" t="n">
        <v>147</v>
      </c>
      <c r="B96" s="15" t="s">
        <v>600</v>
      </c>
      <c r="C96" s="15" t="s">
        <v>784</v>
      </c>
      <c r="D96" s="15" t="s">
        <v>740</v>
      </c>
      <c r="E96" s="15" t="s">
        <v>547</v>
      </c>
      <c r="F96" s="15"/>
      <c r="G96" s="10" t="n">
        <v>2</v>
      </c>
      <c r="H96" s="21" t="n">
        <v>46038.4838657407</v>
      </c>
      <c r="I96" s="15" t="s">
        <v>801</v>
      </c>
      <c r="J96" s="15" t="s">
        <v>802</v>
      </c>
      <c r="K96" s="15" t="s">
        <v>803</v>
      </c>
      <c r="L96" s="10" t="n">
        <f aca="false">COUNTIF($E$2:E96,E96)</f>
        <v>7</v>
      </c>
      <c r="M96" s="10" t="e">
        <f aca="false">ifs(L96=1, L96&amp;"-"&amp; COUNTIFS($L$2:L96,1))</f>
        <v>#NAME?</v>
      </c>
      <c r="N96" s="15" t="s">
        <v>603</v>
      </c>
      <c r="O96" s="10"/>
      <c r="P96" s="22" t="n">
        <f aca="false">COUNTIFS(C:C,C96,N:N,"Đã xác nhận")/COUNTIFS(C:C,C96)</f>
        <v>0.275</v>
      </c>
      <c r="Q96" s="22"/>
      <c r="R96" s="0" t="s">
        <v>742</v>
      </c>
      <c r="S96" s="0" t="s">
        <v>548</v>
      </c>
      <c r="U96" s="24" t="n">
        <v>2</v>
      </c>
    </row>
    <row r="97" customFormat="false" ht="12.75" hidden="false" customHeight="false" outlineLevel="0" collapsed="false">
      <c r="A97" s="15" t="n">
        <v>148</v>
      </c>
      <c r="B97" s="15" t="s">
        <v>600</v>
      </c>
      <c r="C97" s="15" t="s">
        <v>784</v>
      </c>
      <c r="D97" s="15" t="s">
        <v>740</v>
      </c>
      <c r="E97" s="15" t="s">
        <v>11</v>
      </c>
      <c r="F97" s="15"/>
      <c r="G97" s="10" t="n">
        <v>6</v>
      </c>
      <c r="H97" s="21" t="n">
        <v>46035.7080208333</v>
      </c>
      <c r="I97" s="15" t="s">
        <v>804</v>
      </c>
      <c r="J97" s="15" t="s">
        <v>804</v>
      </c>
      <c r="K97" s="15"/>
      <c r="L97" s="10" t="n">
        <f aca="false">COUNTIF($E$2:E97,E97)</f>
        <v>1</v>
      </c>
      <c r="M97" s="10" t="e">
        <f aca="false">ifs(L97=1, L97&amp;"-"&amp; COUNTIFS($L$2:L97,1))</f>
        <v>#NAME?</v>
      </c>
      <c r="N97" s="15" t="s">
        <v>603</v>
      </c>
      <c r="O97" s="10"/>
      <c r="P97" s="22" t="n">
        <f aca="false">COUNTIFS(C:C,C97,N:N,"Đã xác nhận")/COUNTIFS(C:C,C97)</f>
        <v>0.275</v>
      </c>
      <c r="Q97" s="22"/>
      <c r="R97" s="0" t="s">
        <v>742</v>
      </c>
      <c r="S97" s="0" t="s">
        <v>572</v>
      </c>
      <c r="U97" s="24" t="n">
        <v>6</v>
      </c>
    </row>
    <row r="98" customFormat="false" ht="12.75" hidden="false" customHeight="false" outlineLevel="0" collapsed="false">
      <c r="A98" s="15" t="n">
        <v>150</v>
      </c>
      <c r="B98" s="15" t="s">
        <v>600</v>
      </c>
      <c r="C98" s="15" t="s">
        <v>784</v>
      </c>
      <c r="D98" s="15" t="s">
        <v>740</v>
      </c>
      <c r="E98" s="15" t="s">
        <v>555</v>
      </c>
      <c r="F98" s="15"/>
      <c r="G98" s="10" t="n">
        <v>1</v>
      </c>
      <c r="H98" s="23" t="n">
        <v>45926.3413675579</v>
      </c>
      <c r="L98" s="10" t="n">
        <f aca="false">COUNTIF($E$2:E98,E98)</f>
        <v>4</v>
      </c>
      <c r="M98" s="10" t="e">
        <f aca="false">ifs(L98=1, L98&amp;"-"&amp; COUNTIFS($L$2:L98,1))</f>
        <v>#NAME?</v>
      </c>
      <c r="O98" s="10"/>
      <c r="P98" s="22" t="n">
        <f aca="false">COUNTIFS(C:C,C98,N:N,"Đã xác nhận")/COUNTIFS(C:C,C98)</f>
        <v>0.275</v>
      </c>
      <c r="Q98" s="22"/>
      <c r="R98" s="0" t="s">
        <v>742</v>
      </c>
      <c r="S98" s="0" t="s">
        <v>556</v>
      </c>
      <c r="U98" s="24" t="n">
        <v>1</v>
      </c>
    </row>
    <row r="99" customFormat="false" ht="12.75" hidden="false" customHeight="false" outlineLevel="0" collapsed="false">
      <c r="A99" s="15" t="n">
        <v>151</v>
      </c>
      <c r="B99" s="15" t="s">
        <v>600</v>
      </c>
      <c r="C99" s="15" t="s">
        <v>784</v>
      </c>
      <c r="D99" s="15" t="s">
        <v>740</v>
      </c>
      <c r="E99" s="15" t="s">
        <v>545</v>
      </c>
      <c r="F99" s="15"/>
      <c r="G99" s="10" t="n">
        <v>4</v>
      </c>
      <c r="H99" s="21" t="n">
        <v>46035.7077893519</v>
      </c>
      <c r="I99" s="15" t="s">
        <v>805</v>
      </c>
      <c r="J99" s="15" t="s">
        <v>805</v>
      </c>
      <c r="K99" s="15"/>
      <c r="L99" s="10" t="n">
        <f aca="false">COUNTIF($E$2:E99,E99)</f>
        <v>5</v>
      </c>
      <c r="M99" s="10" t="e">
        <f aca="false">ifs(L99=1, L99&amp;"-"&amp; COUNTIFS($L$2:L99,1))</f>
        <v>#NAME?</v>
      </c>
      <c r="N99" s="15" t="s">
        <v>603</v>
      </c>
      <c r="O99" s="10"/>
      <c r="P99" s="22" t="n">
        <f aca="false">COUNTIFS(C:C,C99,N:N,"Đã xác nhận")/COUNTIFS(C:C,C99)</f>
        <v>0.275</v>
      </c>
      <c r="Q99" s="22"/>
      <c r="R99" s="0" t="s">
        <v>742</v>
      </c>
      <c r="S99" s="0" t="s">
        <v>546</v>
      </c>
      <c r="U99" s="24" t="n">
        <v>4</v>
      </c>
    </row>
    <row r="100" customFormat="false" ht="12.75" hidden="false" customHeight="false" outlineLevel="0" collapsed="false">
      <c r="A100" s="15" t="n">
        <v>152</v>
      </c>
      <c r="B100" s="15" t="s">
        <v>600</v>
      </c>
      <c r="C100" s="15" t="s">
        <v>784</v>
      </c>
      <c r="D100" s="15" t="s">
        <v>740</v>
      </c>
      <c r="E100" s="15" t="s">
        <v>565</v>
      </c>
      <c r="F100" s="15"/>
      <c r="G100" s="10" t="n">
        <v>2</v>
      </c>
      <c r="H100" s="23" t="n">
        <v>45926.3413675579</v>
      </c>
      <c r="L100" s="10" t="n">
        <f aca="false">COUNTIF($E$2:E100,E100)</f>
        <v>4</v>
      </c>
      <c r="M100" s="10" t="e">
        <f aca="false">ifs(L100=1, L100&amp;"-"&amp; COUNTIFS($L$2:L100,1))</f>
        <v>#NAME?</v>
      </c>
      <c r="O100" s="10"/>
      <c r="P100" s="22" t="n">
        <f aca="false">COUNTIFS(C:C,C100,N:N,"Đã xác nhận")/COUNTIFS(C:C,C100)</f>
        <v>0.275</v>
      </c>
      <c r="Q100" s="22"/>
      <c r="R100" s="0" t="s">
        <v>742</v>
      </c>
      <c r="S100" s="0" t="s">
        <v>566</v>
      </c>
      <c r="U100" s="24" t="n">
        <v>2</v>
      </c>
    </row>
    <row r="101" customFormat="false" ht="12.75" hidden="false" customHeight="false" outlineLevel="0" collapsed="false">
      <c r="A101" s="15" t="n">
        <v>167</v>
      </c>
      <c r="B101" s="15" t="s">
        <v>600</v>
      </c>
      <c r="C101" s="15" t="s">
        <v>784</v>
      </c>
      <c r="D101" s="15" t="s">
        <v>806</v>
      </c>
      <c r="E101" s="15" t="s">
        <v>81</v>
      </c>
      <c r="F101" s="15"/>
      <c r="G101" s="10" t="n">
        <v>2</v>
      </c>
      <c r="H101" s="21" t="n">
        <v>45967.3942476852</v>
      </c>
      <c r="I101" s="15" t="s">
        <v>807</v>
      </c>
      <c r="J101" s="15" t="s">
        <v>808</v>
      </c>
      <c r="K101" s="15" t="s">
        <v>809</v>
      </c>
      <c r="L101" s="10" t="n">
        <f aca="false">COUNTIF($E$2:E101,E101)</f>
        <v>19</v>
      </c>
      <c r="M101" s="10" t="e">
        <f aca="false">ifs(L101=1, L101&amp;"-"&amp; COUNTIFS($L$2:L101,1))</f>
        <v>#NAME?</v>
      </c>
      <c r="O101" s="10"/>
      <c r="P101" s="22" t="n">
        <f aca="false">COUNTIFS(C:C,C101,N:N,"Đã xác nhận")/COUNTIFS(C:C,C101)</f>
        <v>0.275</v>
      </c>
      <c r="Q101" s="22"/>
      <c r="R101" s="0" t="s">
        <v>810</v>
      </c>
      <c r="S101" s="0" t="s">
        <v>534</v>
      </c>
      <c r="U101" s="24" t="n">
        <v>2</v>
      </c>
    </row>
    <row r="102" customFormat="false" ht="12.75" hidden="false" customHeight="false" outlineLevel="0" collapsed="false">
      <c r="A102" s="15" t="n">
        <v>168</v>
      </c>
      <c r="B102" s="15" t="s">
        <v>600</v>
      </c>
      <c r="C102" s="15" t="s">
        <v>784</v>
      </c>
      <c r="D102" s="15" t="s">
        <v>753</v>
      </c>
      <c r="E102" s="15" t="s">
        <v>81</v>
      </c>
      <c r="F102" s="15"/>
      <c r="G102" s="10" t="n">
        <v>2</v>
      </c>
      <c r="H102" s="21" t="n">
        <v>45975.5836226852</v>
      </c>
      <c r="I102" s="15" t="s">
        <v>811</v>
      </c>
      <c r="J102" s="15" t="s">
        <v>812</v>
      </c>
      <c r="K102" s="15" t="s">
        <v>813</v>
      </c>
      <c r="L102" s="10" t="n">
        <f aca="false">COUNTIF($E$2:E102,E102)</f>
        <v>20</v>
      </c>
      <c r="M102" s="10" t="e">
        <f aca="false">ifs(L102=1, L102&amp;"-"&amp; COUNTIFS($L$2:L102,1))</f>
        <v>#NAME?</v>
      </c>
      <c r="O102" s="10"/>
      <c r="P102" s="22" t="n">
        <f aca="false">COUNTIFS(C:C,C102,N:N,"Đã xác nhận")/COUNTIFS(C:C,C102)</f>
        <v>0.275</v>
      </c>
      <c r="Q102" s="22"/>
      <c r="R102" s="0" t="s">
        <v>755</v>
      </c>
      <c r="S102" s="0" t="s">
        <v>534</v>
      </c>
      <c r="U102" s="24" t="n">
        <v>2</v>
      </c>
    </row>
    <row r="103" customFormat="false" ht="12.75" hidden="false" customHeight="false" outlineLevel="0" collapsed="false">
      <c r="A103" s="15" t="n">
        <v>169</v>
      </c>
      <c r="B103" s="15" t="s">
        <v>600</v>
      </c>
      <c r="C103" s="15" t="s">
        <v>784</v>
      </c>
      <c r="D103" s="15" t="s">
        <v>753</v>
      </c>
      <c r="E103" s="15" t="s">
        <v>55</v>
      </c>
      <c r="F103" s="15"/>
      <c r="G103" s="10" t="n">
        <v>1</v>
      </c>
      <c r="H103" s="23" t="n">
        <v>45926.3413675579</v>
      </c>
      <c r="L103" s="10" t="n">
        <f aca="false">COUNTIF($E$2:E103,E103)</f>
        <v>10</v>
      </c>
      <c r="M103" s="10" t="e">
        <f aca="false">ifs(L103=1, L103&amp;"-"&amp; COUNTIFS($L$2:L103,1))</f>
        <v>#NAME?</v>
      </c>
      <c r="O103" s="10"/>
      <c r="P103" s="22" t="n">
        <f aca="false">COUNTIFS(C:C,C103,N:N,"Đã xác nhận")/COUNTIFS(C:C,C103)</f>
        <v>0.275</v>
      </c>
      <c r="Q103" s="22"/>
      <c r="R103" s="0" t="s">
        <v>755</v>
      </c>
      <c r="S103" s="0" t="s">
        <v>539</v>
      </c>
      <c r="U103" s="24" t="n">
        <v>1</v>
      </c>
    </row>
    <row r="104" customFormat="false" ht="12.75" hidden="false" customHeight="false" outlineLevel="0" collapsed="false">
      <c r="A104" s="15" t="n">
        <v>170</v>
      </c>
      <c r="B104" s="15" t="s">
        <v>600</v>
      </c>
      <c r="C104" s="15" t="s">
        <v>784</v>
      </c>
      <c r="D104" s="15" t="s">
        <v>814</v>
      </c>
      <c r="E104" s="15" t="s">
        <v>81</v>
      </c>
      <c r="F104" s="15"/>
      <c r="G104" s="10" t="n">
        <v>1</v>
      </c>
      <c r="H104" s="21" t="n">
        <v>45967.3938657407</v>
      </c>
      <c r="I104" s="15" t="s">
        <v>815</v>
      </c>
      <c r="J104" s="15" t="s">
        <v>816</v>
      </c>
      <c r="K104" s="15" t="s">
        <v>817</v>
      </c>
      <c r="L104" s="10" t="n">
        <f aca="false">COUNTIF($E$2:E104,E104)</f>
        <v>21</v>
      </c>
      <c r="M104" s="10" t="e">
        <f aca="false">ifs(L104=1, L104&amp;"-"&amp; COUNTIFS($L$2:L104,1))</f>
        <v>#NAME?</v>
      </c>
      <c r="O104" s="10"/>
      <c r="P104" s="22" t="n">
        <f aca="false">COUNTIFS(C:C,C104,N:N,"Đã xác nhận")/COUNTIFS(C:C,C104)</f>
        <v>0.275</v>
      </c>
      <c r="Q104" s="22"/>
      <c r="R104" s="0" t="s">
        <v>818</v>
      </c>
      <c r="S104" s="0" t="s">
        <v>534</v>
      </c>
      <c r="U104" s="24" t="n">
        <v>1</v>
      </c>
    </row>
    <row r="105" customFormat="false" ht="12.75" hidden="false" customHeight="false" outlineLevel="0" collapsed="false">
      <c r="A105" s="15" t="n">
        <v>171</v>
      </c>
      <c r="B105" s="15" t="s">
        <v>600</v>
      </c>
      <c r="C105" s="15" t="s">
        <v>784</v>
      </c>
      <c r="D105" s="15" t="s">
        <v>819</v>
      </c>
      <c r="E105" s="15" t="s">
        <v>81</v>
      </c>
      <c r="F105" s="15"/>
      <c r="G105" s="10" t="n">
        <v>4</v>
      </c>
      <c r="H105" s="21" t="n">
        <v>45975.5834490741</v>
      </c>
      <c r="I105" s="15" t="s">
        <v>820</v>
      </c>
      <c r="J105" s="15" t="s">
        <v>821</v>
      </c>
      <c r="K105" s="15" t="s">
        <v>822</v>
      </c>
      <c r="L105" s="10" t="n">
        <f aca="false">COUNTIF($E$2:E105,E105)</f>
        <v>22</v>
      </c>
      <c r="M105" s="10" t="e">
        <f aca="false">ifs(L105=1, L105&amp;"-"&amp; COUNTIFS($L$2:L105,1))</f>
        <v>#NAME?</v>
      </c>
      <c r="O105" s="10"/>
      <c r="P105" s="22" t="n">
        <f aca="false">COUNTIFS(C:C,C105,N:N,"Đã xác nhận")/COUNTIFS(C:C,C105)</f>
        <v>0.275</v>
      </c>
      <c r="Q105" s="22"/>
      <c r="R105" s="0" t="s">
        <v>823</v>
      </c>
      <c r="S105" s="0" t="s">
        <v>534</v>
      </c>
      <c r="U105" s="24" t="n">
        <v>4</v>
      </c>
    </row>
    <row r="106" customFormat="false" ht="12.75" hidden="false" customHeight="false" outlineLevel="0" collapsed="false">
      <c r="A106" s="15" t="n">
        <v>172</v>
      </c>
      <c r="B106" s="15" t="s">
        <v>600</v>
      </c>
      <c r="C106" s="15" t="s">
        <v>784</v>
      </c>
      <c r="D106" s="15" t="s">
        <v>824</v>
      </c>
      <c r="E106" s="15" t="s">
        <v>81</v>
      </c>
      <c r="F106" s="15"/>
      <c r="G106" s="10" t="n">
        <v>1</v>
      </c>
      <c r="H106" s="21" t="n">
        <v>45967.3943287037</v>
      </c>
      <c r="I106" s="15" t="s">
        <v>825</v>
      </c>
      <c r="J106" s="15" t="s">
        <v>826</v>
      </c>
      <c r="K106" s="15" t="s">
        <v>827</v>
      </c>
      <c r="L106" s="10" t="n">
        <f aca="false">COUNTIF($E$2:E106,E106)</f>
        <v>23</v>
      </c>
      <c r="M106" s="10" t="e">
        <f aca="false">ifs(L106=1, L106&amp;"-"&amp; COUNTIFS($L$2:L106,1))</f>
        <v>#NAME?</v>
      </c>
      <c r="O106" s="10"/>
      <c r="P106" s="22" t="n">
        <f aca="false">COUNTIFS(C:C,C106,N:N,"Đã xác nhận")/COUNTIFS(C:C,C106)</f>
        <v>0.275</v>
      </c>
      <c r="Q106" s="22"/>
      <c r="R106" s="0" t="s">
        <v>828</v>
      </c>
      <c r="S106" s="0" t="s">
        <v>534</v>
      </c>
      <c r="U106" s="24" t="n">
        <v>1</v>
      </c>
    </row>
    <row r="107" customFormat="false" ht="12.75" hidden="false" customHeight="false" outlineLevel="0" collapsed="false">
      <c r="A107" s="15" t="n">
        <v>173</v>
      </c>
      <c r="B107" s="15" t="s">
        <v>600</v>
      </c>
      <c r="C107" s="15" t="s">
        <v>784</v>
      </c>
      <c r="D107" s="15" t="s">
        <v>824</v>
      </c>
      <c r="E107" s="15" t="s">
        <v>47</v>
      </c>
      <c r="F107" s="15"/>
      <c r="G107" s="10" t="n">
        <v>2</v>
      </c>
      <c r="H107" s="21" t="n">
        <v>45975.5852314815</v>
      </c>
      <c r="I107" s="15" t="s">
        <v>829</v>
      </c>
      <c r="J107" s="15" t="s">
        <v>830</v>
      </c>
      <c r="K107" s="15" t="s">
        <v>831</v>
      </c>
      <c r="L107" s="10" t="n">
        <f aca="false">COUNTIF($E$2:E107,E107)</f>
        <v>6</v>
      </c>
      <c r="M107" s="10" t="e">
        <f aca="false">ifs(L107=1, L107&amp;"-"&amp; COUNTIFS($L$2:L107,1))</f>
        <v>#NAME?</v>
      </c>
      <c r="O107" s="10"/>
      <c r="P107" s="22" t="n">
        <f aca="false">COUNTIFS(C:C,C107,N:N,"Đã xác nhận")/COUNTIFS(C:C,C107)</f>
        <v>0.275</v>
      </c>
      <c r="Q107" s="22"/>
      <c r="R107" s="0" t="s">
        <v>828</v>
      </c>
      <c r="S107" s="0" t="s">
        <v>549</v>
      </c>
      <c r="U107" s="24" t="n">
        <v>2</v>
      </c>
    </row>
    <row r="108" customFormat="false" ht="12.75" hidden="false" customHeight="false" outlineLevel="0" collapsed="false">
      <c r="A108" s="15" t="n">
        <v>174</v>
      </c>
      <c r="B108" s="15" t="s">
        <v>600</v>
      </c>
      <c r="C108" s="15" t="s">
        <v>784</v>
      </c>
      <c r="D108" s="15" t="s">
        <v>766</v>
      </c>
      <c r="E108" s="15" t="s">
        <v>69</v>
      </c>
      <c r="F108" s="15"/>
      <c r="G108" s="10" t="n">
        <v>1</v>
      </c>
      <c r="H108" s="23" t="n">
        <v>45926.3413675579</v>
      </c>
      <c r="L108" s="10" t="n">
        <f aca="false">COUNTIF($E$2:E108,E108)</f>
        <v>12</v>
      </c>
      <c r="M108" s="10" t="e">
        <f aca="false">ifs(L108=1, L108&amp;"-"&amp; COUNTIFS($L$2:L108,1))</f>
        <v>#NAME?</v>
      </c>
      <c r="O108" s="10"/>
      <c r="P108" s="22" t="n">
        <f aca="false">COUNTIFS(C:C,C108,N:N,"Đã xác nhận")/COUNTIFS(C:C,C108)</f>
        <v>0.275</v>
      </c>
      <c r="Q108" s="22"/>
      <c r="R108" s="0" t="s">
        <v>768</v>
      </c>
      <c r="S108" s="0" t="s">
        <v>535</v>
      </c>
      <c r="U108" s="24" t="n">
        <v>1</v>
      </c>
    </row>
    <row r="109" customFormat="false" ht="12.75" hidden="false" customHeight="false" outlineLevel="0" collapsed="false">
      <c r="A109" s="15" t="n">
        <v>175</v>
      </c>
      <c r="B109" s="15" t="s">
        <v>600</v>
      </c>
      <c r="C109" s="15" t="s">
        <v>784</v>
      </c>
      <c r="D109" s="15" t="s">
        <v>766</v>
      </c>
      <c r="E109" s="15" t="s">
        <v>547</v>
      </c>
      <c r="F109" s="15"/>
      <c r="G109" s="10" t="n">
        <v>2</v>
      </c>
      <c r="H109" s="21" t="n">
        <v>46038.4839236111</v>
      </c>
      <c r="I109" s="15" t="s">
        <v>832</v>
      </c>
      <c r="J109" s="15" t="s">
        <v>833</v>
      </c>
      <c r="K109" s="15" t="s">
        <v>834</v>
      </c>
      <c r="L109" s="10" t="n">
        <f aca="false">COUNTIF($E$2:E109,E109)</f>
        <v>8</v>
      </c>
      <c r="M109" s="10" t="e">
        <f aca="false">ifs(L109=1, L109&amp;"-"&amp; COUNTIFS($L$2:L109,1))</f>
        <v>#NAME?</v>
      </c>
      <c r="N109" s="15" t="s">
        <v>603</v>
      </c>
      <c r="O109" s="10"/>
      <c r="P109" s="22" t="n">
        <f aca="false">COUNTIFS(C:C,C109,N:N,"Đã xác nhận")/COUNTIFS(C:C,C109)</f>
        <v>0.275</v>
      </c>
      <c r="Q109" s="22"/>
      <c r="R109" s="0" t="s">
        <v>768</v>
      </c>
      <c r="S109" s="0" t="s">
        <v>548</v>
      </c>
      <c r="U109" s="24" t="n">
        <v>2</v>
      </c>
    </row>
    <row r="110" customFormat="false" ht="12.75" hidden="false" customHeight="false" outlineLevel="0" collapsed="false">
      <c r="A110" s="15" t="n">
        <v>176</v>
      </c>
      <c r="B110" s="15" t="s">
        <v>600</v>
      </c>
      <c r="C110" s="15" t="s">
        <v>784</v>
      </c>
      <c r="D110" s="15" t="s">
        <v>766</v>
      </c>
      <c r="E110" s="15" t="s">
        <v>570</v>
      </c>
      <c r="F110" s="15"/>
      <c r="G110" s="10" t="n">
        <v>2</v>
      </c>
      <c r="H110" s="21" t="n">
        <v>46035.707962963</v>
      </c>
      <c r="I110" s="15" t="s">
        <v>835</v>
      </c>
      <c r="J110" s="15" t="s">
        <v>835</v>
      </c>
      <c r="L110" s="10" t="n">
        <f aca="false">COUNTIF($E$2:E110,E110)</f>
        <v>5</v>
      </c>
      <c r="M110" s="10" t="e">
        <f aca="false">ifs(L110=1, L110&amp;"-"&amp; COUNTIFS($L$2:L110,1))</f>
        <v>#NAME?</v>
      </c>
      <c r="N110" s="15" t="s">
        <v>603</v>
      </c>
      <c r="O110" s="10"/>
      <c r="P110" s="22" t="n">
        <f aca="false">COUNTIFS(C:C,C110,N:N,"Đã xác nhận")/COUNTIFS(C:C,C110)</f>
        <v>0.275</v>
      </c>
      <c r="Q110" s="22"/>
      <c r="R110" s="0" t="s">
        <v>768</v>
      </c>
      <c r="S110" s="0" t="s">
        <v>571</v>
      </c>
      <c r="U110" s="24" t="n">
        <v>2</v>
      </c>
    </row>
    <row r="111" customFormat="false" ht="12.75" hidden="false" customHeight="false" outlineLevel="0" collapsed="false">
      <c r="A111" s="15" t="n">
        <v>177</v>
      </c>
      <c r="B111" s="15" t="s">
        <v>600</v>
      </c>
      <c r="C111" s="15" t="s">
        <v>784</v>
      </c>
      <c r="D111" s="15" t="s">
        <v>766</v>
      </c>
      <c r="E111" s="15" t="s">
        <v>567</v>
      </c>
      <c r="F111" s="15"/>
      <c r="G111" s="10" t="n">
        <v>1</v>
      </c>
      <c r="H111" s="21" t="n">
        <v>46035.7071643519</v>
      </c>
      <c r="I111" s="15" t="s">
        <v>836</v>
      </c>
      <c r="J111" s="15" t="s">
        <v>836</v>
      </c>
      <c r="L111" s="10" t="n">
        <f aca="false">COUNTIF($E$2:E111,E111)</f>
        <v>7</v>
      </c>
      <c r="M111" s="10" t="e">
        <f aca="false">ifs(L111=1, L111&amp;"-"&amp; COUNTIFS($L$2:L111,1))</f>
        <v>#NAME?</v>
      </c>
      <c r="N111" s="15" t="s">
        <v>603</v>
      </c>
      <c r="O111" s="10"/>
      <c r="P111" s="22" t="n">
        <f aca="false">COUNTIFS(C:C,C111,N:N,"Đã xác nhận")/COUNTIFS(C:C,C111)</f>
        <v>0.275</v>
      </c>
      <c r="Q111" s="22"/>
      <c r="R111" s="0" t="s">
        <v>768</v>
      </c>
      <c r="S111" s="0" t="s">
        <v>568</v>
      </c>
      <c r="U111" s="24" t="n">
        <v>1</v>
      </c>
    </row>
    <row r="112" customFormat="false" ht="12.75" hidden="false" customHeight="false" outlineLevel="0" collapsed="false">
      <c r="A112" s="15" t="n">
        <v>182</v>
      </c>
      <c r="B112" s="15" t="s">
        <v>600</v>
      </c>
      <c r="C112" s="15" t="s">
        <v>784</v>
      </c>
      <c r="D112" s="15" t="s">
        <v>766</v>
      </c>
      <c r="E112" s="15" t="s">
        <v>570</v>
      </c>
      <c r="F112" s="15"/>
      <c r="G112" s="10" t="n">
        <v>2</v>
      </c>
      <c r="H112" s="21" t="n">
        <v>46035.707974537</v>
      </c>
      <c r="I112" s="15" t="s">
        <v>835</v>
      </c>
      <c r="J112" s="15" t="s">
        <v>835</v>
      </c>
      <c r="L112" s="10" t="n">
        <f aca="false">COUNTIF($E$2:E112,E112)</f>
        <v>6</v>
      </c>
      <c r="M112" s="10" t="e">
        <f aca="false">ifs(L112=1, L112&amp;"-"&amp; COUNTIFS($L$2:L112,1))</f>
        <v>#NAME?</v>
      </c>
      <c r="N112" s="15" t="s">
        <v>603</v>
      </c>
      <c r="O112" s="10"/>
      <c r="P112" s="22" t="n">
        <f aca="false">COUNTIFS(C:C,C112,N:N,"Đã xác nhận")/COUNTIFS(C:C,C112)</f>
        <v>0.275</v>
      </c>
      <c r="Q112" s="22"/>
      <c r="R112" s="0" t="s">
        <v>768</v>
      </c>
      <c r="S112" s="0" t="s">
        <v>571</v>
      </c>
      <c r="U112" s="24" t="n">
        <v>2</v>
      </c>
    </row>
    <row r="113" customFormat="false" ht="12.75" hidden="false" customHeight="false" outlineLevel="0" collapsed="false">
      <c r="A113" s="15" t="n">
        <v>188</v>
      </c>
      <c r="B113" s="15" t="s">
        <v>600</v>
      </c>
      <c r="C113" s="15" t="s">
        <v>784</v>
      </c>
      <c r="D113" s="15" t="s">
        <v>774</v>
      </c>
      <c r="E113" s="15" t="s">
        <v>543</v>
      </c>
      <c r="F113" s="15"/>
      <c r="G113" s="10" t="n">
        <v>2</v>
      </c>
      <c r="H113" s="21" t="n">
        <v>46035.7080787037</v>
      </c>
      <c r="I113" s="15" t="s">
        <v>837</v>
      </c>
      <c r="J113" s="15" t="s">
        <v>837</v>
      </c>
      <c r="L113" s="10" t="n">
        <f aca="false">COUNTIF($E$2:E113,E113)</f>
        <v>5</v>
      </c>
      <c r="M113" s="10" t="e">
        <f aca="false">ifs(L113=1, L113&amp;"-"&amp; COUNTIFS($L$2:L113,1))</f>
        <v>#NAME?</v>
      </c>
      <c r="N113" s="15" t="s">
        <v>603</v>
      </c>
      <c r="O113" s="10"/>
      <c r="P113" s="22" t="n">
        <f aca="false">COUNTIFS(C:C,C113,N:N,"Đã xác nhận")/COUNTIFS(C:C,C113)</f>
        <v>0.275</v>
      </c>
      <c r="Q113" s="22"/>
      <c r="R113" s="0" t="s">
        <v>776</v>
      </c>
      <c r="S113" s="0" t="s">
        <v>544</v>
      </c>
      <c r="U113" s="24" t="n">
        <v>2</v>
      </c>
    </row>
    <row r="114" customFormat="false" ht="12.75" hidden="false" customHeight="false" outlineLevel="0" collapsed="false">
      <c r="A114" s="15" t="n">
        <v>190</v>
      </c>
      <c r="B114" s="15" t="s">
        <v>600</v>
      </c>
      <c r="C114" s="15" t="s">
        <v>784</v>
      </c>
      <c r="D114" s="15" t="s">
        <v>774</v>
      </c>
      <c r="E114" s="15" t="s">
        <v>83</v>
      </c>
      <c r="F114" s="15"/>
      <c r="G114" s="10" t="n">
        <v>1</v>
      </c>
      <c r="H114" s="23" t="n">
        <v>45926.3413675579</v>
      </c>
      <c r="L114" s="10" t="n">
        <f aca="false">COUNTIF($E$2:E114,E114)</f>
        <v>2</v>
      </c>
      <c r="M114" s="10" t="e">
        <f aca="false">ifs(L114=1, L114&amp;"-"&amp; COUNTIFS($L$2:L114,1))</f>
        <v>#NAME?</v>
      </c>
      <c r="O114" s="10"/>
      <c r="P114" s="22" t="n">
        <f aca="false">COUNTIFS(C:C,C114,N:N,"Đã xác nhận")/COUNTIFS(C:C,C114)</f>
        <v>0.275</v>
      </c>
      <c r="Q114" s="22"/>
      <c r="R114" s="0" t="s">
        <v>776</v>
      </c>
      <c r="S114" s="0" t="s">
        <v>581</v>
      </c>
      <c r="U114" s="24" t="n">
        <v>1</v>
      </c>
    </row>
    <row r="115" customFormat="false" ht="12.75" hidden="false" customHeight="false" outlineLevel="0" collapsed="false">
      <c r="A115" s="15" t="n">
        <v>191</v>
      </c>
      <c r="B115" s="15" t="s">
        <v>600</v>
      </c>
      <c r="C115" s="15" t="s">
        <v>784</v>
      </c>
      <c r="D115" s="15" t="s">
        <v>774</v>
      </c>
      <c r="E115" s="15" t="s">
        <v>85</v>
      </c>
      <c r="F115" s="15"/>
      <c r="G115" s="10" t="n">
        <v>1</v>
      </c>
      <c r="H115" s="23" t="n">
        <v>45926.3413675579</v>
      </c>
      <c r="L115" s="10" t="n">
        <f aca="false">COUNTIF($E$2:E115,E115)</f>
        <v>2</v>
      </c>
      <c r="M115" s="10" t="e">
        <f aca="false">ifs(L115=1, L115&amp;"-"&amp; COUNTIFS($L$2:L115,1))</f>
        <v>#NAME?</v>
      </c>
      <c r="O115" s="10"/>
      <c r="P115" s="22" t="n">
        <f aca="false">COUNTIFS(C:C,C115,N:N,"Đã xác nhận")/COUNTIFS(C:C,C115)</f>
        <v>0.275</v>
      </c>
      <c r="Q115" s="22"/>
      <c r="R115" s="0" t="s">
        <v>776</v>
      </c>
      <c r="S115" s="0" t="s">
        <v>582</v>
      </c>
      <c r="U115" s="24" t="n">
        <v>1</v>
      </c>
    </row>
    <row r="116" customFormat="false" ht="12.75" hidden="false" customHeight="false" outlineLevel="0" collapsed="false">
      <c r="A116" s="15" t="n">
        <v>197</v>
      </c>
      <c r="B116" s="15" t="s">
        <v>600</v>
      </c>
      <c r="C116" s="15" t="s">
        <v>784</v>
      </c>
      <c r="D116" s="15" t="s">
        <v>778</v>
      </c>
      <c r="E116" s="15" t="s">
        <v>555</v>
      </c>
      <c r="F116" s="15"/>
      <c r="G116" s="10" t="n">
        <v>1</v>
      </c>
      <c r="H116" s="23" t="n">
        <v>45926.3413675579</v>
      </c>
      <c r="L116" s="10" t="n">
        <f aca="false">COUNTIF($E$2:E116,E116)</f>
        <v>5</v>
      </c>
      <c r="M116" s="10" t="e">
        <f aca="false">ifs(L116=1, L116&amp;"-"&amp; COUNTIFS($L$2:L116,1))</f>
        <v>#NAME?</v>
      </c>
      <c r="O116" s="10"/>
      <c r="P116" s="22" t="n">
        <f aca="false">COUNTIFS(C:C,C116,N:N,"Đã xác nhận")/COUNTIFS(C:C,C116)</f>
        <v>0.275</v>
      </c>
      <c r="Q116" s="22"/>
      <c r="R116" s="0" t="s">
        <v>780</v>
      </c>
      <c r="S116" s="0" t="s">
        <v>556</v>
      </c>
      <c r="U116" s="24" t="n">
        <v>1</v>
      </c>
    </row>
    <row r="117" customFormat="false" ht="12.75" hidden="false" customHeight="false" outlineLevel="0" collapsed="false">
      <c r="A117" s="15" t="n">
        <v>198</v>
      </c>
      <c r="B117" s="15" t="s">
        <v>600</v>
      </c>
      <c r="C117" s="15" t="s">
        <v>784</v>
      </c>
      <c r="D117" s="15" t="s">
        <v>778</v>
      </c>
      <c r="E117" s="15" t="s">
        <v>567</v>
      </c>
      <c r="F117" s="15"/>
      <c r="G117" s="10" t="n">
        <v>1</v>
      </c>
      <c r="H117" s="21" t="n">
        <v>46035.7071527778</v>
      </c>
      <c r="I117" s="15" t="s">
        <v>838</v>
      </c>
      <c r="J117" s="15" t="s">
        <v>838</v>
      </c>
      <c r="L117" s="10" t="n">
        <f aca="false">COUNTIF($E$2:E117,E117)</f>
        <v>8</v>
      </c>
      <c r="M117" s="10" t="e">
        <f aca="false">ifs(L117=1, L117&amp;"-"&amp; COUNTIFS($L$2:L117,1))</f>
        <v>#NAME?</v>
      </c>
      <c r="N117" s="15" t="s">
        <v>603</v>
      </c>
      <c r="O117" s="10"/>
      <c r="P117" s="22" t="n">
        <f aca="false">COUNTIFS(C:C,C117,N:N,"Đã xác nhận")/COUNTIFS(C:C,C117)</f>
        <v>0.275</v>
      </c>
      <c r="Q117" s="22"/>
      <c r="R117" s="0" t="s">
        <v>780</v>
      </c>
      <c r="S117" s="0" t="s">
        <v>568</v>
      </c>
      <c r="U117" s="24" t="n">
        <v>1</v>
      </c>
    </row>
    <row r="118" customFormat="false" ht="12.75" hidden="false" customHeight="false" outlineLevel="0" collapsed="false">
      <c r="A118" s="15" t="n">
        <v>199</v>
      </c>
      <c r="B118" s="15" t="s">
        <v>600</v>
      </c>
      <c r="C118" s="15" t="s">
        <v>784</v>
      </c>
      <c r="D118" s="15" t="s">
        <v>778</v>
      </c>
      <c r="E118" s="15" t="s">
        <v>25</v>
      </c>
      <c r="F118" s="15"/>
      <c r="G118" s="10" t="n">
        <v>1</v>
      </c>
      <c r="H118" s="23" t="n">
        <v>45926.3413675579</v>
      </c>
      <c r="L118" s="10" t="n">
        <f aca="false">COUNTIF($E$2:E118,E118)</f>
        <v>3</v>
      </c>
      <c r="M118" s="10" t="e">
        <f aca="false">ifs(L118=1, L118&amp;"-"&amp; COUNTIFS($L$2:L118,1))</f>
        <v>#NAME?</v>
      </c>
      <c r="O118" s="10"/>
      <c r="P118" s="22" t="n">
        <f aca="false">COUNTIFS(C:C,C118,N:N,"Đã xác nhận")/COUNTIFS(C:C,C118)</f>
        <v>0.275</v>
      </c>
      <c r="Q118" s="22"/>
      <c r="R118" s="0" t="s">
        <v>780</v>
      </c>
      <c r="S118" s="0" t="s">
        <v>26</v>
      </c>
      <c r="U118" s="24" t="n">
        <v>1</v>
      </c>
    </row>
    <row r="119" customFormat="false" ht="12.75" hidden="false" customHeight="false" outlineLevel="0" collapsed="false">
      <c r="A119" s="15" t="n">
        <v>200</v>
      </c>
      <c r="B119" s="15" t="s">
        <v>600</v>
      </c>
      <c r="C119" s="15" t="s">
        <v>784</v>
      </c>
      <c r="D119" s="15" t="s">
        <v>778</v>
      </c>
      <c r="E119" s="15" t="s">
        <v>69</v>
      </c>
      <c r="F119" s="15"/>
      <c r="G119" s="10" t="n">
        <v>1</v>
      </c>
      <c r="H119" s="23" t="n">
        <v>45926.3413675579</v>
      </c>
      <c r="L119" s="10" t="n">
        <f aca="false">COUNTIF($E$2:E119,E119)</f>
        <v>13</v>
      </c>
      <c r="M119" s="10" t="e">
        <f aca="false">ifs(L119=1, L119&amp;"-"&amp; COUNTIFS($L$2:L119,1))</f>
        <v>#NAME?</v>
      </c>
      <c r="O119" s="10"/>
      <c r="P119" s="22" t="n">
        <f aca="false">COUNTIFS(C:C,C119,N:N,"Đã xác nhận")/COUNTIFS(C:C,C119)</f>
        <v>0.275</v>
      </c>
      <c r="Q119" s="22"/>
      <c r="R119" s="0" t="s">
        <v>780</v>
      </c>
      <c r="S119" s="0" t="s">
        <v>535</v>
      </c>
      <c r="U119" s="24" t="n">
        <v>1</v>
      </c>
    </row>
    <row r="120" customFormat="false" ht="12.75" hidden="false" customHeight="false" outlineLevel="0" collapsed="false">
      <c r="A120" s="15" t="n">
        <v>204</v>
      </c>
      <c r="B120" s="15" t="s">
        <v>600</v>
      </c>
      <c r="C120" s="15" t="s">
        <v>784</v>
      </c>
      <c r="D120" s="15" t="s">
        <v>673</v>
      </c>
      <c r="E120" s="15" t="s">
        <v>69</v>
      </c>
      <c r="F120" s="15"/>
      <c r="G120" s="10" t="n">
        <v>2</v>
      </c>
      <c r="H120" s="23" t="n">
        <v>45926.3413675579</v>
      </c>
      <c r="L120" s="10" t="n">
        <f aca="false">COUNTIF($E$2:E120,E120)</f>
        <v>14</v>
      </c>
      <c r="M120" s="10" t="e">
        <f aca="false">ifs(L120=1, L120&amp;"-"&amp; COUNTIFS($L$2:L120,1))</f>
        <v>#NAME?</v>
      </c>
      <c r="O120" s="10"/>
      <c r="P120" s="22" t="n">
        <f aca="false">COUNTIFS(C:C,C120,N:N,"Đã xác nhận")/COUNTIFS(C:C,C120)</f>
        <v>0.275</v>
      </c>
      <c r="Q120" s="22"/>
      <c r="R120" s="0" t="s">
        <v>675</v>
      </c>
      <c r="S120" s="0" t="s">
        <v>535</v>
      </c>
      <c r="U120" s="24" t="n">
        <v>2</v>
      </c>
    </row>
    <row r="121" customFormat="false" ht="12.75" hidden="false" customHeight="false" outlineLevel="0" collapsed="false">
      <c r="A121" s="15" t="n">
        <v>205</v>
      </c>
      <c r="B121" s="15" t="s">
        <v>600</v>
      </c>
      <c r="C121" s="15" t="s">
        <v>784</v>
      </c>
      <c r="D121" s="15" t="s">
        <v>673</v>
      </c>
      <c r="E121" s="15" t="s">
        <v>77</v>
      </c>
      <c r="F121" s="15"/>
      <c r="G121" s="10" t="n">
        <v>2</v>
      </c>
      <c r="H121" s="23" t="n">
        <v>45926.3413675579</v>
      </c>
      <c r="L121" s="10" t="n">
        <f aca="false">COUNTIF($E$2:E121,E121)</f>
        <v>6</v>
      </c>
      <c r="M121" s="10" t="e">
        <f aca="false">ifs(L121=1, L121&amp;"-"&amp; COUNTIFS($L$2:L121,1))</f>
        <v>#NAME?</v>
      </c>
      <c r="O121" s="10"/>
      <c r="P121" s="22" t="n">
        <f aca="false">COUNTIFS(C:C,C121,N:N,"Đã xác nhận")/COUNTIFS(C:C,C121)</f>
        <v>0.275</v>
      </c>
      <c r="Q121" s="22"/>
      <c r="R121" s="0" t="s">
        <v>675</v>
      </c>
      <c r="S121" s="0" t="s">
        <v>78</v>
      </c>
      <c r="U121" s="24" t="n">
        <v>2</v>
      </c>
    </row>
    <row r="122" customFormat="false" ht="12.75" hidden="false" customHeight="false" outlineLevel="0" collapsed="false">
      <c r="A122" s="15" t="n">
        <v>213</v>
      </c>
      <c r="B122" s="15" t="s">
        <v>600</v>
      </c>
      <c r="C122" s="15" t="s">
        <v>494</v>
      </c>
      <c r="D122" s="15" t="s">
        <v>839</v>
      </c>
      <c r="E122" s="15" t="s">
        <v>25</v>
      </c>
      <c r="F122" s="15"/>
      <c r="G122" s="10" t="n">
        <v>2</v>
      </c>
      <c r="H122" s="21" t="n">
        <v>46078.7784490741</v>
      </c>
      <c r="I122" s="15" t="s">
        <v>840</v>
      </c>
      <c r="J122" s="15" t="s">
        <v>840</v>
      </c>
      <c r="K122" s="15"/>
      <c r="L122" s="10" t="n">
        <f aca="false">COUNTIF($E$2:E122,E122)</f>
        <v>4</v>
      </c>
      <c r="M122" s="10" t="e">
        <f aca="false">ifs(L122=1, L122&amp;"-"&amp; COUNTIFS($L$2:L122,1))</f>
        <v>#NAME?</v>
      </c>
      <c r="N122" s="15" t="s">
        <v>603</v>
      </c>
      <c r="O122" s="10"/>
      <c r="P122" s="22" t="n">
        <f aca="false">COUNTIFS(C:C,C122,N:N,"Đã xác nhận")/COUNTIFS(C:C,C122)</f>
        <v>1</v>
      </c>
      <c r="Q122" s="22"/>
      <c r="R122" s="0" t="s">
        <v>841</v>
      </c>
      <c r="S122" s="0" t="s">
        <v>26</v>
      </c>
      <c r="U122" s="24" t="n">
        <v>2</v>
      </c>
    </row>
    <row r="123" customFormat="false" ht="12.75" hidden="false" customHeight="false" outlineLevel="0" collapsed="false">
      <c r="A123" s="15" t="n">
        <v>214</v>
      </c>
      <c r="B123" s="15"/>
      <c r="C123" s="15"/>
      <c r="D123" s="15"/>
      <c r="E123" s="15"/>
      <c r="F123" s="15"/>
      <c r="G123" s="10" t="n">
        <v>0</v>
      </c>
      <c r="H123" s="21" t="n">
        <v>46027.6732175926</v>
      </c>
      <c r="I123" s="15" t="s">
        <v>842</v>
      </c>
      <c r="J123" s="15" t="s">
        <v>695</v>
      </c>
      <c r="K123" s="15" t="s">
        <v>843</v>
      </c>
      <c r="L123" s="10" t="n">
        <f aca="false">COUNTIF($E$2:E123,E123)</f>
        <v>0</v>
      </c>
      <c r="M123" s="10" t="e">
        <f aca="false">ifs(L123=1, L123&amp;"-"&amp; COUNTIFS($L$2:L123,1))</f>
        <v>#NAME?</v>
      </c>
      <c r="O123" s="10"/>
      <c r="P123" s="22" t="e">
        <f aca="false">COUNTIFS(C:C,C123,N:N,"Đã xác nhận")/COUNTIFS(C:C,C123)</f>
        <v>#DIV/0!</v>
      </c>
      <c r="Q123" s="22"/>
      <c r="R123" s="0" t="e">
        <f aca="false">#VALUE!</f>
        <v>#VALUE!</v>
      </c>
      <c r="S123" s="0" t="e">
        <f aca="false">#VALUE!</f>
        <v>#VALUE!</v>
      </c>
      <c r="U123" s="24" t="n">
        <v>0</v>
      </c>
    </row>
    <row r="124" customFormat="false" ht="12.75" hidden="false" customHeight="false" outlineLevel="0" collapsed="false">
      <c r="A124" s="15" t="n">
        <v>215</v>
      </c>
      <c r="B124" s="15" t="s">
        <v>600</v>
      </c>
      <c r="C124" s="15" t="s">
        <v>494</v>
      </c>
      <c r="D124" s="15" t="s">
        <v>839</v>
      </c>
      <c r="E124" s="15" t="s">
        <v>547</v>
      </c>
      <c r="F124" s="15"/>
      <c r="G124" s="10" t="n">
        <v>2</v>
      </c>
      <c r="H124" s="21" t="n">
        <v>46038.4842708333</v>
      </c>
      <c r="I124" s="15" t="s">
        <v>844</v>
      </c>
      <c r="J124" s="15" t="s">
        <v>845</v>
      </c>
      <c r="K124" s="15" t="s">
        <v>846</v>
      </c>
      <c r="L124" s="10" t="n">
        <f aca="false">COUNTIF($E$2:E124,E124)</f>
        <v>9</v>
      </c>
      <c r="M124" s="10" t="e">
        <f aca="false">ifs(L124=1, L124&amp;"-"&amp; COUNTIFS($L$2:L124,1))</f>
        <v>#NAME?</v>
      </c>
      <c r="N124" s="15" t="s">
        <v>603</v>
      </c>
      <c r="O124" s="10"/>
      <c r="P124" s="22" t="n">
        <f aca="false">COUNTIFS(C:C,C124,N:N,"Đã xác nhận")/COUNTIFS(C:C,C124)</f>
        <v>1</v>
      </c>
      <c r="Q124" s="22"/>
      <c r="R124" s="0" t="s">
        <v>841</v>
      </c>
      <c r="S124" s="0" t="s">
        <v>548</v>
      </c>
      <c r="U124" s="24" t="n">
        <v>2</v>
      </c>
    </row>
    <row r="125" customFormat="false" ht="12.75" hidden="false" customHeight="false" outlineLevel="0" collapsed="false">
      <c r="A125" s="15" t="n">
        <v>216</v>
      </c>
      <c r="B125" s="15" t="s">
        <v>600</v>
      </c>
      <c r="C125" s="15" t="s">
        <v>494</v>
      </c>
      <c r="D125" s="15" t="s">
        <v>847</v>
      </c>
      <c r="E125" s="15" t="s">
        <v>543</v>
      </c>
      <c r="F125" s="15"/>
      <c r="G125" s="10" t="n">
        <v>2</v>
      </c>
      <c r="H125" s="21" t="n">
        <v>46027.6720717593</v>
      </c>
      <c r="I125" s="15" t="s">
        <v>848</v>
      </c>
      <c r="J125" s="15" t="s">
        <v>848</v>
      </c>
      <c r="K125" s="15"/>
      <c r="L125" s="10" t="n">
        <f aca="false">COUNTIF($E$2:E125,E125)</f>
        <v>6</v>
      </c>
      <c r="M125" s="10" t="e">
        <f aca="false">ifs(L125=1, L125&amp;"-"&amp; COUNTIFS($L$2:L125,1))</f>
        <v>#NAME?</v>
      </c>
      <c r="N125" s="15" t="s">
        <v>603</v>
      </c>
      <c r="O125" s="10"/>
      <c r="P125" s="22" t="n">
        <f aca="false">COUNTIFS(C:C,C125,N:N,"Đã xác nhận")/COUNTIFS(C:C,C125)</f>
        <v>1</v>
      </c>
      <c r="Q125" s="22"/>
      <c r="R125" s="0" t="s">
        <v>849</v>
      </c>
      <c r="S125" s="0" t="s">
        <v>544</v>
      </c>
      <c r="U125" s="24" t="n">
        <v>2</v>
      </c>
    </row>
    <row r="126" customFormat="false" ht="12.75" hidden="false" customHeight="false" outlineLevel="0" collapsed="false">
      <c r="A126" s="15" t="n">
        <v>217</v>
      </c>
      <c r="B126" s="15" t="s">
        <v>600</v>
      </c>
      <c r="C126" s="15" t="s">
        <v>494</v>
      </c>
      <c r="D126" s="15" t="s">
        <v>839</v>
      </c>
      <c r="E126" s="15" t="s">
        <v>545</v>
      </c>
      <c r="F126" s="15"/>
      <c r="G126" s="10" t="n">
        <v>2</v>
      </c>
      <c r="H126" s="21" t="n">
        <v>46027.6719907407</v>
      </c>
      <c r="I126" s="15" t="s">
        <v>850</v>
      </c>
      <c r="J126" s="15" t="s">
        <v>850</v>
      </c>
      <c r="K126" s="15"/>
      <c r="L126" s="10" t="n">
        <f aca="false">COUNTIF($E$2:E126,E126)</f>
        <v>6</v>
      </c>
      <c r="M126" s="10" t="e">
        <f aca="false">ifs(L126=1, L126&amp;"-"&amp; COUNTIFS($L$2:L126,1))</f>
        <v>#NAME?</v>
      </c>
      <c r="N126" s="15" t="s">
        <v>603</v>
      </c>
      <c r="O126" s="10"/>
      <c r="P126" s="22" t="n">
        <f aca="false">COUNTIFS(C:C,C126,N:N,"Đã xác nhận")/COUNTIFS(C:C,C126)</f>
        <v>1</v>
      </c>
      <c r="Q126" s="22"/>
      <c r="R126" s="0" t="s">
        <v>841</v>
      </c>
      <c r="S126" s="0" t="s">
        <v>546</v>
      </c>
      <c r="U126" s="24" t="n">
        <v>2</v>
      </c>
    </row>
    <row r="127" customFormat="false" ht="12.75" hidden="false" customHeight="false" outlineLevel="0" collapsed="false">
      <c r="A127" s="15" t="n">
        <v>218</v>
      </c>
      <c r="B127" s="15" t="s">
        <v>600</v>
      </c>
      <c r="C127" s="15" t="s">
        <v>494</v>
      </c>
      <c r="D127" s="15" t="s">
        <v>839</v>
      </c>
      <c r="E127" s="15" t="s">
        <v>555</v>
      </c>
      <c r="F127" s="15"/>
      <c r="G127" s="10" t="n">
        <v>2</v>
      </c>
      <c r="H127" s="21" t="n">
        <v>46027.6715277778</v>
      </c>
      <c r="I127" s="15" t="s">
        <v>851</v>
      </c>
      <c r="J127" s="15" t="s">
        <v>851</v>
      </c>
      <c r="K127" s="15"/>
      <c r="L127" s="10" t="n">
        <f aca="false">COUNTIF($E$2:E127,E127)</f>
        <v>6</v>
      </c>
      <c r="M127" s="10" t="e">
        <f aca="false">ifs(L127=1, L127&amp;"-"&amp; COUNTIFS($L$2:L127,1))</f>
        <v>#NAME?</v>
      </c>
      <c r="N127" s="15" t="s">
        <v>603</v>
      </c>
      <c r="O127" s="10"/>
      <c r="P127" s="22" t="n">
        <f aca="false">COUNTIFS(C:C,C127,N:N,"Đã xác nhận")/COUNTIFS(C:C,C127)</f>
        <v>1</v>
      </c>
      <c r="Q127" s="22"/>
      <c r="R127" s="0" t="s">
        <v>841</v>
      </c>
      <c r="S127" s="0" t="s">
        <v>556</v>
      </c>
      <c r="U127" s="24" t="n">
        <v>2</v>
      </c>
    </row>
    <row r="128" customFormat="false" ht="12.75" hidden="false" customHeight="false" outlineLevel="0" collapsed="false">
      <c r="A128" s="15" t="n">
        <v>219</v>
      </c>
      <c r="B128" s="15" t="s">
        <v>600</v>
      </c>
      <c r="C128" s="15" t="s">
        <v>494</v>
      </c>
      <c r="D128" s="15" t="s">
        <v>852</v>
      </c>
      <c r="E128" s="15" t="s">
        <v>45</v>
      </c>
      <c r="F128" s="15"/>
      <c r="G128" s="10" t="n">
        <v>1</v>
      </c>
      <c r="H128" s="21" t="n">
        <v>46027.6763888889</v>
      </c>
      <c r="I128" s="15" t="s">
        <v>853</v>
      </c>
      <c r="J128" s="15" t="s">
        <v>853</v>
      </c>
      <c r="L128" s="10" t="n">
        <f aca="false">COUNTIF($E$2:E128,E128)</f>
        <v>2</v>
      </c>
      <c r="M128" s="10" t="e">
        <f aca="false">ifs(L128=1, L128&amp;"-"&amp; COUNTIFS($L$2:L128,1))</f>
        <v>#NAME?</v>
      </c>
      <c r="N128" s="15" t="s">
        <v>603</v>
      </c>
      <c r="O128" s="10"/>
      <c r="P128" s="22" t="n">
        <f aca="false">COUNTIFS(C:C,C128,N:N,"Đã xác nhận")/COUNTIFS(C:C,C128)</f>
        <v>1</v>
      </c>
      <c r="Q128" s="22"/>
      <c r="R128" s="0" t="s">
        <v>854</v>
      </c>
      <c r="S128" s="0" t="s">
        <v>540</v>
      </c>
      <c r="U128" s="24" t="n">
        <v>1</v>
      </c>
    </row>
    <row r="129" customFormat="false" ht="12.75" hidden="false" customHeight="false" outlineLevel="0" collapsed="false">
      <c r="A129" s="15" t="n">
        <v>221</v>
      </c>
      <c r="B129" s="15" t="s">
        <v>600</v>
      </c>
      <c r="C129" s="15" t="s">
        <v>494</v>
      </c>
      <c r="D129" s="15" t="s">
        <v>855</v>
      </c>
      <c r="E129" s="15" t="s">
        <v>59</v>
      </c>
      <c r="F129" s="15"/>
      <c r="G129" s="10" t="n">
        <v>1</v>
      </c>
      <c r="H129" s="21" t="n">
        <v>46027.6775462963</v>
      </c>
      <c r="I129" s="15" t="s">
        <v>856</v>
      </c>
      <c r="J129" s="15" t="s">
        <v>856</v>
      </c>
      <c r="K129" s="15"/>
      <c r="L129" s="10" t="n">
        <f aca="false">COUNTIF($E$2:E129,E129)</f>
        <v>1</v>
      </c>
      <c r="M129" s="10" t="e">
        <f aca="false">ifs(L129=1, L129&amp;"-"&amp; COUNTIFS($L$2:L129,1))</f>
        <v>#NAME?</v>
      </c>
      <c r="N129" s="15" t="s">
        <v>603</v>
      </c>
      <c r="O129" s="10"/>
      <c r="P129" s="22" t="n">
        <f aca="false">COUNTIFS(C:C,C129,N:N,"Đã xác nhận")/COUNTIFS(C:C,C129)</f>
        <v>1</v>
      </c>
      <c r="Q129" s="22"/>
      <c r="R129" s="0" t="s">
        <v>857</v>
      </c>
      <c r="S129" s="0" t="s">
        <v>562</v>
      </c>
      <c r="U129" s="24" t="n">
        <v>1</v>
      </c>
    </row>
    <row r="130" customFormat="false" ht="12.75" hidden="false" customHeight="false" outlineLevel="0" collapsed="false">
      <c r="A130" s="15" t="n">
        <v>225</v>
      </c>
      <c r="B130" s="15" t="s">
        <v>600</v>
      </c>
      <c r="C130" s="15" t="s">
        <v>494</v>
      </c>
      <c r="D130" s="15" t="s">
        <v>858</v>
      </c>
      <c r="E130" s="15" t="s">
        <v>547</v>
      </c>
      <c r="F130" s="15"/>
      <c r="G130" s="10" t="n">
        <v>1</v>
      </c>
      <c r="H130" s="21" t="n">
        <v>46038.4837847222</v>
      </c>
      <c r="I130" s="15" t="s">
        <v>859</v>
      </c>
      <c r="J130" s="15" t="s">
        <v>860</v>
      </c>
      <c r="K130" s="15" t="s">
        <v>861</v>
      </c>
      <c r="L130" s="10" t="n">
        <f aca="false">COUNTIF($E$2:E130,E130)</f>
        <v>10</v>
      </c>
      <c r="M130" s="10" t="e">
        <f aca="false">ifs(L130=1, L130&amp;"-"&amp; COUNTIFS($L$2:L130,1))</f>
        <v>#NAME?</v>
      </c>
      <c r="N130" s="15" t="s">
        <v>603</v>
      </c>
      <c r="O130" s="10"/>
      <c r="P130" s="22" t="n">
        <f aca="false">COUNTIFS(C:C,C130,N:N,"Đã xác nhận")/COUNTIFS(C:C,C130)</f>
        <v>1</v>
      </c>
      <c r="Q130" s="22"/>
      <c r="R130" s="0" t="s">
        <v>862</v>
      </c>
      <c r="S130" s="0" t="s">
        <v>548</v>
      </c>
      <c r="U130" s="24" t="n">
        <v>1</v>
      </c>
    </row>
    <row r="131" customFormat="false" ht="12.75" hidden="false" customHeight="false" outlineLevel="0" collapsed="false">
      <c r="A131" s="15" t="n">
        <v>226</v>
      </c>
      <c r="B131" s="15" t="s">
        <v>600</v>
      </c>
      <c r="C131" s="15" t="s">
        <v>494</v>
      </c>
      <c r="D131" s="15" t="s">
        <v>847</v>
      </c>
      <c r="E131" s="15" t="s">
        <v>25</v>
      </c>
      <c r="F131" s="15"/>
      <c r="G131" s="10" t="n">
        <v>1</v>
      </c>
      <c r="H131" s="21" t="n">
        <v>46078.7784375</v>
      </c>
      <c r="I131" s="15" t="s">
        <v>863</v>
      </c>
      <c r="J131" s="15" t="s">
        <v>863</v>
      </c>
      <c r="K131" s="15"/>
      <c r="L131" s="10" t="n">
        <f aca="false">COUNTIF($E$2:E131,E131)</f>
        <v>5</v>
      </c>
      <c r="M131" s="10" t="e">
        <f aca="false">ifs(L131=1, L131&amp;"-"&amp; COUNTIFS($L$2:L131,1))</f>
        <v>#NAME?</v>
      </c>
      <c r="N131" s="15" t="s">
        <v>603</v>
      </c>
      <c r="O131" s="10"/>
      <c r="P131" s="22" t="n">
        <f aca="false">COUNTIFS(C:C,C131,N:N,"Đã xác nhận")/COUNTIFS(C:C,C131)</f>
        <v>1</v>
      </c>
      <c r="Q131" s="22"/>
      <c r="R131" s="0" t="s">
        <v>849</v>
      </c>
      <c r="S131" s="0" t="s">
        <v>26</v>
      </c>
      <c r="U131" s="24" t="n">
        <v>1</v>
      </c>
    </row>
    <row r="132" customFormat="false" ht="12.75" hidden="false" customHeight="false" outlineLevel="0" collapsed="false">
      <c r="A132" s="15" t="n">
        <v>230</v>
      </c>
      <c r="B132" s="15" t="s">
        <v>600</v>
      </c>
      <c r="C132" s="15" t="s">
        <v>494</v>
      </c>
      <c r="D132" s="15" t="s">
        <v>847</v>
      </c>
      <c r="E132" s="15" t="s">
        <v>545</v>
      </c>
      <c r="F132" s="15"/>
      <c r="G132" s="10" t="n">
        <v>2</v>
      </c>
      <c r="H132" s="21" t="n">
        <v>46027.6719791667</v>
      </c>
      <c r="I132" s="15" t="s">
        <v>864</v>
      </c>
      <c r="J132" s="15" t="s">
        <v>864</v>
      </c>
      <c r="K132" s="15"/>
      <c r="L132" s="10" t="n">
        <f aca="false">COUNTIF($E$2:E132,E132)</f>
        <v>7</v>
      </c>
      <c r="M132" s="10" t="e">
        <f aca="false">ifs(L132=1, L132&amp;"-"&amp; COUNTIFS($L$2:L132,1))</f>
        <v>#NAME?</v>
      </c>
      <c r="N132" s="15" t="s">
        <v>603</v>
      </c>
      <c r="O132" s="10"/>
      <c r="P132" s="22" t="n">
        <f aca="false">COUNTIFS(C:C,C132,N:N,"Đã xác nhận")/COUNTIFS(C:C,C132)</f>
        <v>1</v>
      </c>
      <c r="Q132" s="22"/>
      <c r="R132" s="0" t="s">
        <v>849</v>
      </c>
      <c r="S132" s="0" t="s">
        <v>546</v>
      </c>
      <c r="U132" s="24" t="n">
        <v>2</v>
      </c>
    </row>
    <row r="133" customFormat="false" ht="12.75" hidden="false" customHeight="false" outlineLevel="0" collapsed="false">
      <c r="A133" s="15" t="n">
        <v>231</v>
      </c>
      <c r="B133" s="15" t="s">
        <v>600</v>
      </c>
      <c r="C133" s="15" t="s">
        <v>494</v>
      </c>
      <c r="D133" s="15" t="s">
        <v>847</v>
      </c>
      <c r="E133" s="15" t="s">
        <v>555</v>
      </c>
      <c r="F133" s="15"/>
      <c r="G133" s="10" t="n">
        <v>1</v>
      </c>
      <c r="H133" s="21" t="n">
        <v>46027.6715162037</v>
      </c>
      <c r="I133" s="15" t="s">
        <v>865</v>
      </c>
      <c r="J133" s="15" t="s">
        <v>865</v>
      </c>
      <c r="K133" s="15"/>
      <c r="L133" s="10" t="n">
        <f aca="false">COUNTIF($E$2:E133,E133)</f>
        <v>7</v>
      </c>
      <c r="M133" s="10" t="e">
        <f aca="false">ifs(L133=1, L133&amp;"-"&amp; COUNTIFS($L$2:L133,1))</f>
        <v>#NAME?</v>
      </c>
      <c r="N133" s="15" t="s">
        <v>603</v>
      </c>
      <c r="O133" s="10"/>
      <c r="P133" s="22" t="n">
        <f aca="false">COUNTIFS(C:C,C133,N:N,"Đã xác nhận")/COUNTIFS(C:C,C133)</f>
        <v>1</v>
      </c>
      <c r="Q133" s="22"/>
      <c r="R133" s="0" t="s">
        <v>849</v>
      </c>
      <c r="S133" s="0" t="s">
        <v>556</v>
      </c>
      <c r="U133" s="24" t="n">
        <v>1</v>
      </c>
    </row>
    <row r="134" customFormat="false" ht="12.75" hidden="false" customHeight="false" outlineLevel="0" collapsed="false">
      <c r="A134" s="15" t="n">
        <v>235</v>
      </c>
      <c r="B134" s="15" t="s">
        <v>600</v>
      </c>
      <c r="C134" s="15" t="s">
        <v>494</v>
      </c>
      <c r="D134" s="15" t="s">
        <v>866</v>
      </c>
      <c r="E134" s="15" t="s">
        <v>69</v>
      </c>
      <c r="F134" s="15"/>
      <c r="G134" s="10" t="n">
        <v>1</v>
      </c>
      <c r="H134" s="21" t="n">
        <v>46027.6755092593</v>
      </c>
      <c r="I134" s="15" t="s">
        <v>867</v>
      </c>
      <c r="J134" s="15" t="s">
        <v>867</v>
      </c>
      <c r="K134" s="15"/>
      <c r="L134" s="10" t="n">
        <f aca="false">COUNTIF($E$2:E134,E134)</f>
        <v>15</v>
      </c>
      <c r="M134" s="10" t="e">
        <f aca="false">ifs(L134=1, L134&amp;"-"&amp; COUNTIFS($L$2:L134,1))</f>
        <v>#NAME?</v>
      </c>
      <c r="N134" s="15" t="s">
        <v>603</v>
      </c>
      <c r="O134" s="10"/>
      <c r="P134" s="22" t="n">
        <f aca="false">COUNTIFS(C:C,C134,N:N,"Đã xác nhận")/COUNTIFS(C:C,C134)</f>
        <v>1</v>
      </c>
      <c r="Q134" s="22"/>
      <c r="R134" s="0" t="s">
        <v>868</v>
      </c>
      <c r="S134" s="0" t="s">
        <v>535</v>
      </c>
      <c r="U134" s="24" t="n">
        <v>1</v>
      </c>
    </row>
    <row r="135" customFormat="false" ht="12.75" hidden="false" customHeight="false" outlineLevel="0" collapsed="false">
      <c r="A135" s="15" t="n">
        <v>243</v>
      </c>
      <c r="B135" s="15" t="s">
        <v>600</v>
      </c>
      <c r="C135" s="15" t="s">
        <v>529</v>
      </c>
      <c r="D135" s="15" t="s">
        <v>869</v>
      </c>
      <c r="E135" s="15" t="s">
        <v>81</v>
      </c>
      <c r="F135" s="15"/>
      <c r="G135" s="10" t="n">
        <v>5</v>
      </c>
      <c r="H135" s="21" t="n">
        <v>46027.4068171296</v>
      </c>
      <c r="I135" s="15" t="s">
        <v>870</v>
      </c>
      <c r="J135" s="15" t="s">
        <v>870</v>
      </c>
      <c r="K135" s="15"/>
      <c r="L135" s="10" t="n">
        <f aca="false">COUNTIF($E$2:E135,E135)</f>
        <v>24</v>
      </c>
      <c r="M135" s="10" t="e">
        <f aca="false">ifs(L135=1, L135&amp;"-"&amp; COUNTIFS($L$2:L135,1))</f>
        <v>#NAME?</v>
      </c>
      <c r="N135" s="15" t="s">
        <v>603</v>
      </c>
      <c r="O135" s="10"/>
      <c r="P135" s="22" t="n">
        <f aca="false">COUNTIFS(C:C,C135,N:N,"Đã xác nhận")/COUNTIFS(C:C,C135)</f>
        <v>1</v>
      </c>
      <c r="Q135" s="22"/>
      <c r="R135" s="0" t="s">
        <v>871</v>
      </c>
      <c r="S135" s="0" t="s">
        <v>534</v>
      </c>
      <c r="U135" s="24" t="n">
        <v>5</v>
      </c>
    </row>
    <row r="136" customFormat="false" ht="12.75" hidden="false" customHeight="false" outlineLevel="0" collapsed="false">
      <c r="A136" s="15" t="n">
        <v>245</v>
      </c>
      <c r="B136" s="15" t="s">
        <v>600</v>
      </c>
      <c r="C136" s="15" t="s">
        <v>529</v>
      </c>
      <c r="D136" s="15" t="s">
        <v>872</v>
      </c>
      <c r="E136" s="15" t="s">
        <v>81</v>
      </c>
      <c r="F136" s="15"/>
      <c r="G136" s="10" t="n">
        <v>1</v>
      </c>
      <c r="H136" s="21" t="n">
        <v>46027.406875</v>
      </c>
      <c r="I136" s="15" t="s">
        <v>873</v>
      </c>
      <c r="J136" s="15" t="s">
        <v>873</v>
      </c>
      <c r="K136" s="15"/>
      <c r="L136" s="10" t="n">
        <f aca="false">COUNTIF($E$2:E136,E136)</f>
        <v>25</v>
      </c>
      <c r="M136" s="10" t="e">
        <f aca="false">ifs(L136=1, L136&amp;"-"&amp; COUNTIFS($L$2:L136,1))</f>
        <v>#NAME?</v>
      </c>
      <c r="N136" s="15" t="s">
        <v>603</v>
      </c>
      <c r="O136" s="10"/>
      <c r="P136" s="22" t="n">
        <f aca="false">COUNTIFS(C:C,C136,N:N,"Đã xác nhận")/COUNTIFS(C:C,C136)</f>
        <v>1</v>
      </c>
      <c r="Q136" s="22"/>
      <c r="R136" s="0" t="s">
        <v>874</v>
      </c>
      <c r="S136" s="0" t="s">
        <v>534</v>
      </c>
      <c r="U136" s="24" t="n">
        <v>1</v>
      </c>
    </row>
    <row r="137" customFormat="false" ht="12.75" hidden="false" customHeight="false" outlineLevel="0" collapsed="false">
      <c r="A137" s="15" t="n">
        <v>246</v>
      </c>
      <c r="B137" s="15" t="s">
        <v>600</v>
      </c>
      <c r="C137" s="15" t="s">
        <v>529</v>
      </c>
      <c r="D137" s="15" t="s">
        <v>872</v>
      </c>
      <c r="E137" s="15" t="s">
        <v>81</v>
      </c>
      <c r="F137" s="15"/>
      <c r="G137" s="10" t="n">
        <v>1</v>
      </c>
      <c r="H137" s="21" t="n">
        <v>46027.4068865741</v>
      </c>
      <c r="I137" s="15" t="s">
        <v>873</v>
      </c>
      <c r="J137" s="15" t="s">
        <v>873</v>
      </c>
      <c r="K137" s="15"/>
      <c r="L137" s="10" t="n">
        <f aca="false">COUNTIF($E$2:E137,E137)</f>
        <v>26</v>
      </c>
      <c r="M137" s="10" t="e">
        <f aca="false">ifs(L137=1, L137&amp;"-"&amp; COUNTIFS($L$2:L137,1))</f>
        <v>#NAME?</v>
      </c>
      <c r="N137" s="15" t="s">
        <v>603</v>
      </c>
      <c r="O137" s="10"/>
      <c r="P137" s="22" t="n">
        <f aca="false">COUNTIFS(C:C,C137,N:N,"Đã xác nhận")/COUNTIFS(C:C,C137)</f>
        <v>1</v>
      </c>
      <c r="Q137" s="22"/>
      <c r="R137" s="0" t="s">
        <v>874</v>
      </c>
      <c r="S137" s="0" t="s">
        <v>534</v>
      </c>
      <c r="U137" s="24" t="n">
        <v>1</v>
      </c>
    </row>
    <row r="138" customFormat="false" ht="12.75" hidden="false" customHeight="false" outlineLevel="0" collapsed="false">
      <c r="A138" s="15" t="n">
        <v>248</v>
      </c>
      <c r="B138" s="15" t="s">
        <v>600</v>
      </c>
      <c r="C138" s="15" t="s">
        <v>529</v>
      </c>
      <c r="D138" s="15" t="s">
        <v>875</v>
      </c>
      <c r="E138" s="15" t="s">
        <v>81</v>
      </c>
      <c r="F138" s="15"/>
      <c r="G138" s="10" t="n">
        <v>1</v>
      </c>
      <c r="H138" s="21" t="n">
        <v>46027.4070023148</v>
      </c>
      <c r="I138" s="15" t="s">
        <v>876</v>
      </c>
      <c r="J138" s="15" t="s">
        <v>876</v>
      </c>
      <c r="K138" s="15"/>
      <c r="L138" s="10" t="n">
        <f aca="false">COUNTIF($E$2:E138,E138)</f>
        <v>27</v>
      </c>
      <c r="M138" s="10" t="e">
        <f aca="false">ifs(L138=1, L138&amp;"-"&amp; COUNTIFS($L$2:L138,1))</f>
        <v>#NAME?</v>
      </c>
      <c r="N138" s="15" t="s">
        <v>603</v>
      </c>
      <c r="O138" s="10"/>
      <c r="P138" s="22" t="n">
        <f aca="false">COUNTIFS(C:C,C138,N:N,"Đã xác nhận")/COUNTIFS(C:C,C138)</f>
        <v>1</v>
      </c>
      <c r="Q138" s="22"/>
      <c r="R138" s="0" t="s">
        <v>877</v>
      </c>
      <c r="S138" s="0" t="s">
        <v>534</v>
      </c>
      <c r="U138" s="24" t="n">
        <v>1</v>
      </c>
    </row>
    <row r="139" customFormat="false" ht="12.75" hidden="false" customHeight="false" outlineLevel="0" collapsed="false">
      <c r="A139" s="15" t="n">
        <v>250</v>
      </c>
      <c r="B139" s="15" t="s">
        <v>600</v>
      </c>
      <c r="C139" s="15" t="s">
        <v>529</v>
      </c>
      <c r="D139" s="15" t="s">
        <v>878</v>
      </c>
      <c r="E139" s="15" t="s">
        <v>543</v>
      </c>
      <c r="F139" s="15"/>
      <c r="G139" s="10" t="n">
        <v>2</v>
      </c>
      <c r="H139" s="21" t="n">
        <v>46027.4054861111</v>
      </c>
      <c r="I139" s="15" t="s">
        <v>879</v>
      </c>
      <c r="J139" s="15" t="s">
        <v>879</v>
      </c>
      <c r="K139" s="15"/>
      <c r="L139" s="10" t="n">
        <f aca="false">COUNTIF($E$2:E139,E139)</f>
        <v>7</v>
      </c>
      <c r="M139" s="10" t="e">
        <f aca="false">ifs(L139=1, L139&amp;"-"&amp; COUNTIFS($L$2:L139,1))</f>
        <v>#NAME?</v>
      </c>
      <c r="N139" s="15" t="s">
        <v>603</v>
      </c>
      <c r="O139" s="10"/>
      <c r="P139" s="22" t="n">
        <f aca="false">COUNTIFS(C:C,C139,N:N,"Đã xác nhận")/COUNTIFS(C:C,C139)</f>
        <v>1</v>
      </c>
      <c r="Q139" s="22"/>
      <c r="R139" s="0" t="s">
        <v>768</v>
      </c>
      <c r="S139" s="0" t="s">
        <v>544</v>
      </c>
      <c r="U139" s="24" t="n">
        <v>2</v>
      </c>
    </row>
    <row r="140" customFormat="false" ht="12.75" hidden="false" customHeight="false" outlineLevel="0" collapsed="false">
      <c r="A140" s="15" t="n">
        <v>251</v>
      </c>
      <c r="B140" s="15" t="s">
        <v>600</v>
      </c>
      <c r="C140" s="15" t="s">
        <v>529</v>
      </c>
      <c r="D140" s="15" t="s">
        <v>878</v>
      </c>
      <c r="E140" s="15" t="s">
        <v>545</v>
      </c>
      <c r="F140" s="15"/>
      <c r="G140" s="10" t="n">
        <v>1</v>
      </c>
      <c r="H140" s="21" t="n">
        <v>46027.4054166667</v>
      </c>
      <c r="I140" s="15" t="s">
        <v>880</v>
      </c>
      <c r="J140" s="15" t="s">
        <v>880</v>
      </c>
      <c r="L140" s="10" t="n">
        <f aca="false">COUNTIF($E$2:E140,E140)</f>
        <v>8</v>
      </c>
      <c r="M140" s="10" t="e">
        <f aca="false">ifs(L140=1, L140&amp;"-"&amp; COUNTIFS($L$2:L140,1))</f>
        <v>#NAME?</v>
      </c>
      <c r="N140" s="15" t="s">
        <v>603</v>
      </c>
      <c r="O140" s="10"/>
      <c r="P140" s="22" t="n">
        <f aca="false">COUNTIFS(C:C,C140,N:N,"Đã xác nhận")/COUNTIFS(C:C,C140)</f>
        <v>1</v>
      </c>
      <c r="Q140" s="22"/>
      <c r="R140" s="0" t="s">
        <v>768</v>
      </c>
      <c r="S140" s="0" t="s">
        <v>546</v>
      </c>
      <c r="U140" s="24" t="n">
        <v>1</v>
      </c>
    </row>
    <row r="141" customFormat="false" ht="12.75" hidden="false" customHeight="false" outlineLevel="0" collapsed="false">
      <c r="A141" s="15" t="n">
        <v>252</v>
      </c>
      <c r="B141" s="15" t="s">
        <v>600</v>
      </c>
      <c r="C141" s="15" t="s">
        <v>529</v>
      </c>
      <c r="D141" s="15" t="s">
        <v>878</v>
      </c>
      <c r="E141" s="15" t="s">
        <v>69</v>
      </c>
      <c r="F141" s="15"/>
      <c r="G141" s="10" t="n">
        <v>1</v>
      </c>
      <c r="H141" s="21" t="n">
        <v>46027.4066898148</v>
      </c>
      <c r="I141" s="15" t="s">
        <v>881</v>
      </c>
      <c r="J141" s="15" t="s">
        <v>881</v>
      </c>
      <c r="L141" s="10" t="n">
        <f aca="false">COUNTIF($E$2:E141,E141)</f>
        <v>16</v>
      </c>
      <c r="M141" s="10" t="e">
        <f aca="false">ifs(L141=1, L141&amp;"-"&amp; COUNTIFS($L$2:L141,1))</f>
        <v>#NAME?</v>
      </c>
      <c r="N141" s="15" t="s">
        <v>603</v>
      </c>
      <c r="O141" s="10"/>
      <c r="P141" s="22" t="n">
        <f aca="false">COUNTIFS(C:C,C141,N:N,"Đã xác nhận")/COUNTIFS(C:C,C141)</f>
        <v>1</v>
      </c>
      <c r="Q141" s="22"/>
      <c r="R141" s="0" t="s">
        <v>768</v>
      </c>
      <c r="S141" s="0" t="s">
        <v>535</v>
      </c>
      <c r="U141" s="24" t="n">
        <v>1</v>
      </c>
    </row>
    <row r="142" customFormat="false" ht="12.75" hidden="false" customHeight="false" outlineLevel="0" collapsed="false">
      <c r="A142" s="15" t="n">
        <v>262</v>
      </c>
      <c r="B142" s="15" t="s">
        <v>600</v>
      </c>
      <c r="C142" s="15" t="s">
        <v>529</v>
      </c>
      <c r="D142" s="15" t="s">
        <v>673</v>
      </c>
      <c r="E142" s="15" t="s">
        <v>69</v>
      </c>
      <c r="F142" s="15"/>
      <c r="G142" s="10" t="n">
        <v>2</v>
      </c>
      <c r="H142" s="21" t="n">
        <v>46027.4066782407</v>
      </c>
      <c r="I142" s="15" t="s">
        <v>882</v>
      </c>
      <c r="J142" s="15" t="s">
        <v>882</v>
      </c>
      <c r="L142" s="10" t="n">
        <f aca="false">COUNTIF($E$2:E142,E142)</f>
        <v>17</v>
      </c>
      <c r="M142" s="10" t="e">
        <f aca="false">ifs(L142=1, L142&amp;"-"&amp; COUNTIFS($L$2:L142,1))</f>
        <v>#NAME?</v>
      </c>
      <c r="N142" s="15" t="s">
        <v>603</v>
      </c>
      <c r="O142" s="10"/>
      <c r="P142" s="22" t="n">
        <f aca="false">COUNTIFS(C:C,C142,N:N,"Đã xác nhận")/COUNTIFS(C:C,C142)</f>
        <v>1</v>
      </c>
      <c r="Q142" s="22"/>
      <c r="R142" s="0" t="s">
        <v>675</v>
      </c>
      <c r="S142" s="0" t="s">
        <v>535</v>
      </c>
      <c r="U142" s="24" t="n">
        <v>2</v>
      </c>
    </row>
    <row r="143" customFormat="false" ht="12.75" hidden="false" customHeight="false" outlineLevel="0" collapsed="false">
      <c r="A143" s="15" t="n">
        <v>263</v>
      </c>
      <c r="B143" s="15" t="s">
        <v>600</v>
      </c>
      <c r="C143" s="15" t="s">
        <v>529</v>
      </c>
      <c r="D143" s="15" t="s">
        <v>673</v>
      </c>
      <c r="E143" s="15" t="s">
        <v>77</v>
      </c>
      <c r="F143" s="15"/>
      <c r="G143" s="10" t="n">
        <v>2</v>
      </c>
      <c r="H143" s="21" t="n">
        <v>46027.4072685185</v>
      </c>
      <c r="I143" s="15" t="s">
        <v>883</v>
      </c>
      <c r="J143" s="15" t="s">
        <v>883</v>
      </c>
      <c r="L143" s="10" t="n">
        <f aca="false">COUNTIF($E$2:E143,E143)</f>
        <v>7</v>
      </c>
      <c r="M143" s="10" t="e">
        <f aca="false">ifs(L143=1, L143&amp;"-"&amp; COUNTIFS($L$2:L143,1))</f>
        <v>#NAME?</v>
      </c>
      <c r="N143" s="15" t="s">
        <v>603</v>
      </c>
      <c r="O143" s="10"/>
      <c r="P143" s="22" t="n">
        <f aca="false">COUNTIFS(C:C,C143,N:N,"Đã xác nhận")/COUNTIFS(C:C,C143)</f>
        <v>1</v>
      </c>
      <c r="Q143" s="22"/>
      <c r="R143" s="0" t="s">
        <v>675</v>
      </c>
      <c r="S143" s="0" t="s">
        <v>78</v>
      </c>
      <c r="U143" s="24" t="n">
        <v>2</v>
      </c>
    </row>
    <row r="144" customFormat="false" ht="12.75" hidden="false" customHeight="false" outlineLevel="0" collapsed="false">
      <c r="A144" s="15" t="n">
        <v>264</v>
      </c>
      <c r="B144" s="15" t="s">
        <v>600</v>
      </c>
      <c r="C144" s="15" t="s">
        <v>485</v>
      </c>
      <c r="D144" s="15" t="s">
        <v>673</v>
      </c>
      <c r="E144" s="15" t="s">
        <v>69</v>
      </c>
      <c r="F144" s="15"/>
      <c r="G144" s="10" t="n">
        <v>2</v>
      </c>
      <c r="H144" s="21" t="n">
        <v>46036.4165046296</v>
      </c>
      <c r="I144" s="15" t="s">
        <v>884</v>
      </c>
      <c r="J144" s="15" t="s">
        <v>884</v>
      </c>
      <c r="L144" s="10" t="n">
        <f aca="false">COUNTIF($E$2:E144,E144)</f>
        <v>18</v>
      </c>
      <c r="M144" s="10" t="e">
        <f aca="false">ifs(L144=1, L144&amp;"-"&amp; COUNTIFS($L$2:L144,1))</f>
        <v>#NAME?</v>
      </c>
      <c r="N144" s="15" t="s">
        <v>603</v>
      </c>
      <c r="O144" s="10"/>
      <c r="P144" s="22" t="n">
        <f aca="false">COUNTIFS(C:C,C144,N:N,"Đã xác nhận")/COUNTIFS(C:C,C144)</f>
        <v>1</v>
      </c>
      <c r="Q144" s="22"/>
      <c r="R144" s="0" t="s">
        <v>675</v>
      </c>
      <c r="S144" s="0" t="s">
        <v>535</v>
      </c>
      <c r="U144" s="24" t="n">
        <v>2</v>
      </c>
    </row>
    <row r="145" customFormat="false" ht="12.75" hidden="false" customHeight="false" outlineLevel="0" collapsed="false">
      <c r="A145" s="15" t="n">
        <v>265</v>
      </c>
      <c r="B145" s="15" t="s">
        <v>600</v>
      </c>
      <c r="C145" s="15" t="s">
        <v>484</v>
      </c>
      <c r="D145" s="15" t="s">
        <v>885</v>
      </c>
      <c r="E145" s="15" t="s">
        <v>69</v>
      </c>
      <c r="F145" s="15"/>
      <c r="G145" s="10" t="n">
        <v>1</v>
      </c>
      <c r="H145" s="21" t="n">
        <v>46036.4237384259</v>
      </c>
      <c r="I145" s="15" t="s">
        <v>886</v>
      </c>
      <c r="J145" s="15" t="s">
        <v>886</v>
      </c>
      <c r="K145" s="15"/>
      <c r="L145" s="10" t="n">
        <f aca="false">COUNTIF($E$2:E145,E145)</f>
        <v>19</v>
      </c>
      <c r="M145" s="10" t="e">
        <f aca="false">ifs(L145=1, L145&amp;"-"&amp; COUNTIFS($L$2:L145,1))</f>
        <v>#NAME?</v>
      </c>
      <c r="N145" s="15" t="s">
        <v>603</v>
      </c>
      <c r="O145" s="10"/>
      <c r="P145" s="22" t="n">
        <f aca="false">COUNTIFS(C:C,C145,N:N,"Đã xác nhận")/COUNTIFS(C:C,C145)</f>
        <v>1</v>
      </c>
      <c r="Q145" s="22"/>
      <c r="R145" s="0" t="s">
        <v>887</v>
      </c>
      <c r="S145" s="0" t="s">
        <v>535</v>
      </c>
      <c r="U145" s="24" t="n">
        <v>1</v>
      </c>
    </row>
    <row r="146" customFormat="false" ht="12.75" hidden="false" customHeight="false" outlineLevel="0" collapsed="false">
      <c r="A146" s="15" t="n">
        <v>267</v>
      </c>
      <c r="B146" s="15" t="s">
        <v>600</v>
      </c>
      <c r="C146" s="15" t="s">
        <v>465</v>
      </c>
      <c r="D146" s="15" t="s">
        <v>888</v>
      </c>
      <c r="E146" s="15" t="s">
        <v>47</v>
      </c>
      <c r="F146" s="15"/>
      <c r="G146" s="10" t="n">
        <v>2</v>
      </c>
      <c r="H146" s="21" t="n">
        <v>46027.4047800926</v>
      </c>
      <c r="I146" s="15" t="s">
        <v>889</v>
      </c>
      <c r="J146" s="15" t="s">
        <v>890</v>
      </c>
      <c r="K146" s="15" t="s">
        <v>891</v>
      </c>
      <c r="L146" s="10" t="n">
        <f aca="false">COUNTIF($E$2:E146,E146)</f>
        <v>7</v>
      </c>
      <c r="M146" s="10" t="e">
        <f aca="false">ifs(L146=1, L146&amp;"-"&amp; COUNTIFS($L$2:L146,1))</f>
        <v>#NAME?</v>
      </c>
      <c r="N146" s="15" t="s">
        <v>603</v>
      </c>
      <c r="O146" s="10"/>
      <c r="P146" s="22" t="n">
        <f aca="false">COUNTIFS(C:C,C146,N:N,"Đã xác nhận")/COUNTIFS(C:C,C146)</f>
        <v>1</v>
      </c>
      <c r="Q146" s="22"/>
      <c r="R146" s="0" t="s">
        <v>892</v>
      </c>
      <c r="S146" s="0" t="s">
        <v>549</v>
      </c>
      <c r="U146" s="24" t="n">
        <v>2</v>
      </c>
    </row>
    <row r="147" customFormat="false" ht="12.75" hidden="false" customHeight="false" outlineLevel="0" collapsed="false">
      <c r="A147" s="15" t="n">
        <v>268</v>
      </c>
      <c r="B147" s="15" t="s">
        <v>600</v>
      </c>
      <c r="C147" s="15" t="s">
        <v>465</v>
      </c>
      <c r="D147" s="15" t="s">
        <v>893</v>
      </c>
      <c r="E147" s="15" t="s">
        <v>81</v>
      </c>
      <c r="F147" s="15"/>
      <c r="G147" s="10" t="n">
        <v>1</v>
      </c>
      <c r="H147" s="21" t="n">
        <v>46027.4036921296</v>
      </c>
      <c r="I147" s="15" t="s">
        <v>894</v>
      </c>
      <c r="J147" s="15" t="s">
        <v>894</v>
      </c>
      <c r="K147" s="15"/>
      <c r="L147" s="10" t="n">
        <f aca="false">COUNTIF($E$2:E147,E147)</f>
        <v>28</v>
      </c>
      <c r="M147" s="10" t="e">
        <f aca="false">ifs(L147=1, L147&amp;"-"&amp; COUNTIFS($L$2:L147,1))</f>
        <v>#NAME?</v>
      </c>
      <c r="N147" s="15" t="s">
        <v>603</v>
      </c>
      <c r="O147" s="10"/>
      <c r="P147" s="22" t="n">
        <f aca="false">COUNTIFS(C:C,C147,N:N,"Đã xác nhận")/COUNTIFS(C:C,C147)</f>
        <v>1</v>
      </c>
      <c r="Q147" s="22"/>
      <c r="R147" s="0" t="s">
        <v>895</v>
      </c>
      <c r="S147" s="0" t="s">
        <v>534</v>
      </c>
      <c r="U147" s="24" t="n">
        <v>1</v>
      </c>
    </row>
    <row r="148" customFormat="false" ht="12.75" hidden="false" customHeight="false" outlineLevel="0" collapsed="false">
      <c r="A148" s="15" t="n">
        <v>269</v>
      </c>
      <c r="B148" s="15" t="s">
        <v>600</v>
      </c>
      <c r="C148" s="15" t="s">
        <v>465</v>
      </c>
      <c r="D148" s="15" t="s">
        <v>896</v>
      </c>
      <c r="E148" s="15" t="s">
        <v>81</v>
      </c>
      <c r="F148" s="15"/>
      <c r="G148" s="10" t="n">
        <v>4</v>
      </c>
      <c r="H148" s="21" t="n">
        <v>46027.4036342593</v>
      </c>
      <c r="I148" s="15" t="s">
        <v>897</v>
      </c>
      <c r="J148" s="15" t="s">
        <v>897</v>
      </c>
      <c r="K148" s="15"/>
      <c r="L148" s="10" t="n">
        <f aca="false">COUNTIF($E$2:E148,E148)</f>
        <v>29</v>
      </c>
      <c r="M148" s="10" t="e">
        <f aca="false">ifs(L148=1, L148&amp;"-"&amp; COUNTIFS($L$2:L148,1))</f>
        <v>#NAME?</v>
      </c>
      <c r="N148" s="15" t="s">
        <v>603</v>
      </c>
      <c r="O148" s="10"/>
      <c r="P148" s="22" t="n">
        <f aca="false">COUNTIFS(C:C,C148,N:N,"Đã xác nhận")/COUNTIFS(C:C,C148)</f>
        <v>1</v>
      </c>
      <c r="Q148" s="22"/>
      <c r="R148" s="0" t="s">
        <v>898</v>
      </c>
      <c r="S148" s="0" t="s">
        <v>534</v>
      </c>
      <c r="U148" s="24" t="n">
        <v>4</v>
      </c>
    </row>
    <row r="149" customFormat="false" ht="12.75" hidden="false" customHeight="false" outlineLevel="0" collapsed="false">
      <c r="A149" s="15" t="n">
        <v>270</v>
      </c>
      <c r="B149" s="15" t="s">
        <v>600</v>
      </c>
      <c r="C149" s="15" t="s">
        <v>465</v>
      </c>
      <c r="D149" s="15" t="s">
        <v>899</v>
      </c>
      <c r="E149" s="15" t="s">
        <v>81</v>
      </c>
      <c r="F149" s="15"/>
      <c r="G149" s="10" t="n">
        <v>1</v>
      </c>
      <c r="H149" s="21" t="n">
        <v>46027.4036458333</v>
      </c>
      <c r="I149" s="15" t="s">
        <v>900</v>
      </c>
      <c r="J149" s="15" t="s">
        <v>900</v>
      </c>
      <c r="K149" s="15"/>
      <c r="L149" s="10" t="n">
        <f aca="false">COUNTIF($E$2:E149,E149)</f>
        <v>30</v>
      </c>
      <c r="M149" s="10" t="e">
        <f aca="false">ifs(L149=1, L149&amp;"-"&amp; COUNTIFS($L$2:L149,1))</f>
        <v>#NAME?</v>
      </c>
      <c r="N149" s="15" t="s">
        <v>603</v>
      </c>
      <c r="O149" s="10"/>
      <c r="P149" s="22" t="n">
        <f aca="false">COUNTIFS(C:C,C149,N:N,"Đã xác nhận")/COUNTIFS(C:C,C149)</f>
        <v>1</v>
      </c>
      <c r="Q149" s="22"/>
      <c r="R149" s="0" t="s">
        <v>901</v>
      </c>
      <c r="S149" s="0" t="s">
        <v>534</v>
      </c>
      <c r="U149" s="24" t="n">
        <v>1</v>
      </c>
    </row>
    <row r="150" customFormat="false" ht="12.75" hidden="false" customHeight="false" outlineLevel="0" collapsed="false">
      <c r="A150" s="15" t="n">
        <v>271</v>
      </c>
      <c r="B150" s="15" t="s">
        <v>600</v>
      </c>
      <c r="C150" s="15" t="s">
        <v>465</v>
      </c>
      <c r="D150" s="15" t="s">
        <v>902</v>
      </c>
      <c r="E150" s="15" t="s">
        <v>55</v>
      </c>
      <c r="F150" s="15"/>
      <c r="G150" s="10" t="n">
        <v>1</v>
      </c>
      <c r="H150" s="21" t="n">
        <v>46027.3997800926</v>
      </c>
      <c r="I150" s="15" t="s">
        <v>903</v>
      </c>
      <c r="J150" s="15" t="s">
        <v>903</v>
      </c>
      <c r="L150" s="10" t="n">
        <f aca="false">COUNTIF($E$2:E150,E150)</f>
        <v>11</v>
      </c>
      <c r="M150" s="10" t="e">
        <f aca="false">ifs(L150=1, L150&amp;"-"&amp; COUNTIFS($L$2:L150,1))</f>
        <v>#NAME?</v>
      </c>
      <c r="N150" s="15" t="s">
        <v>603</v>
      </c>
      <c r="O150" s="10"/>
      <c r="P150" s="22" t="n">
        <f aca="false">COUNTIFS(C:C,C150,N:N,"Đã xác nhận")/COUNTIFS(C:C,C150)</f>
        <v>1</v>
      </c>
      <c r="Q150" s="22"/>
      <c r="R150" s="0" t="s">
        <v>904</v>
      </c>
      <c r="S150" s="0" t="s">
        <v>539</v>
      </c>
      <c r="U150" s="24" t="n">
        <v>1</v>
      </c>
    </row>
    <row r="151" customFormat="false" ht="12.75" hidden="false" customHeight="false" outlineLevel="0" collapsed="false">
      <c r="A151" s="15" t="n">
        <v>272</v>
      </c>
      <c r="B151" s="15" t="s">
        <v>600</v>
      </c>
      <c r="C151" s="15" t="s">
        <v>465</v>
      </c>
      <c r="D151" s="15" t="s">
        <v>905</v>
      </c>
      <c r="E151" s="15" t="s">
        <v>69</v>
      </c>
      <c r="F151" s="15"/>
      <c r="G151" s="10" t="n">
        <v>2</v>
      </c>
      <c r="H151" s="21" t="n">
        <v>46027.3991319445</v>
      </c>
      <c r="I151" s="15" t="s">
        <v>906</v>
      </c>
      <c r="J151" s="15" t="s">
        <v>906</v>
      </c>
      <c r="K151" s="15"/>
      <c r="L151" s="10" t="n">
        <f aca="false">COUNTIF($E$2:E151,E151)</f>
        <v>20</v>
      </c>
      <c r="M151" s="10" t="e">
        <f aca="false">ifs(L151=1, L151&amp;"-"&amp; COUNTIFS($L$2:L151,1))</f>
        <v>#NAME?</v>
      </c>
      <c r="N151" s="15" t="s">
        <v>603</v>
      </c>
      <c r="O151" s="10"/>
      <c r="P151" s="22" t="n">
        <f aca="false">COUNTIFS(C:C,C151,N:N,"Đã xác nhận")/COUNTIFS(C:C,C151)</f>
        <v>1</v>
      </c>
      <c r="Q151" s="22"/>
      <c r="R151" s="0" t="s">
        <v>907</v>
      </c>
      <c r="S151" s="0" t="s">
        <v>535</v>
      </c>
      <c r="U151" s="24" t="n">
        <v>2</v>
      </c>
    </row>
    <row r="152" customFormat="false" ht="12.75" hidden="false" customHeight="false" outlineLevel="0" collapsed="false">
      <c r="A152" s="15" t="n">
        <v>274</v>
      </c>
      <c r="B152" s="15" t="s">
        <v>600</v>
      </c>
      <c r="C152" s="15" t="s">
        <v>465</v>
      </c>
      <c r="D152" s="15" t="s">
        <v>905</v>
      </c>
      <c r="E152" s="15" t="s">
        <v>555</v>
      </c>
      <c r="F152" s="15"/>
      <c r="G152" s="10" t="n">
        <v>2</v>
      </c>
      <c r="H152" s="21" t="n">
        <v>46027.3957175926</v>
      </c>
      <c r="I152" s="15" t="s">
        <v>908</v>
      </c>
      <c r="J152" s="15" t="s">
        <v>908</v>
      </c>
      <c r="K152" s="15"/>
      <c r="L152" s="10" t="n">
        <f aca="false">COUNTIF($E$2:E152,E152)</f>
        <v>8</v>
      </c>
      <c r="M152" s="10" t="e">
        <f aca="false">ifs(L152=1, L152&amp;"-"&amp; COUNTIFS($L$2:L152,1))</f>
        <v>#NAME?</v>
      </c>
      <c r="N152" s="15" t="s">
        <v>603</v>
      </c>
      <c r="O152" s="10"/>
      <c r="P152" s="22" t="n">
        <f aca="false">COUNTIFS(C:C,C152,N:N,"Đã xác nhận")/COUNTIFS(C:C,C152)</f>
        <v>1</v>
      </c>
      <c r="Q152" s="22"/>
      <c r="R152" s="0" t="s">
        <v>907</v>
      </c>
      <c r="S152" s="0" t="s">
        <v>556</v>
      </c>
      <c r="U152" s="24" t="n">
        <v>2</v>
      </c>
    </row>
    <row r="153" customFormat="false" ht="12.75" hidden="false" customHeight="false" outlineLevel="0" collapsed="false">
      <c r="A153" s="15" t="n">
        <v>275</v>
      </c>
      <c r="B153" s="15" t="s">
        <v>600</v>
      </c>
      <c r="C153" s="15" t="s">
        <v>465</v>
      </c>
      <c r="D153" s="15" t="s">
        <v>905</v>
      </c>
      <c r="E153" s="15" t="s">
        <v>565</v>
      </c>
      <c r="F153" s="15" t="s">
        <v>909</v>
      </c>
      <c r="G153" s="10" t="n">
        <v>2</v>
      </c>
      <c r="H153" s="21" t="n">
        <v>46027.3958564815</v>
      </c>
      <c r="I153" s="15" t="s">
        <v>910</v>
      </c>
      <c r="J153" s="15" t="s">
        <v>910</v>
      </c>
      <c r="K153" s="15"/>
      <c r="L153" s="10" t="n">
        <f aca="false">COUNTIF($E$2:E153,E153)</f>
        <v>5</v>
      </c>
      <c r="M153" s="10" t="e">
        <f aca="false">ifs(L153=1, L153&amp;"-"&amp; COUNTIFS($L$2:L153,1))</f>
        <v>#NAME?</v>
      </c>
      <c r="N153" s="15" t="s">
        <v>603</v>
      </c>
      <c r="O153" s="10"/>
      <c r="P153" s="22" t="n">
        <f aca="false">COUNTIFS(C:C,C153,N:N,"Đã xác nhận")/COUNTIFS(C:C,C153)</f>
        <v>1</v>
      </c>
      <c r="Q153" s="22"/>
      <c r="R153" s="0" t="s">
        <v>907</v>
      </c>
      <c r="S153" s="0" t="s">
        <v>566</v>
      </c>
      <c r="U153" s="24" t="n">
        <v>2</v>
      </c>
    </row>
    <row r="154" customFormat="false" ht="12.75" hidden="false" customHeight="false" outlineLevel="0" collapsed="false">
      <c r="A154" s="15" t="n">
        <v>277</v>
      </c>
      <c r="B154" s="15" t="s">
        <v>600</v>
      </c>
      <c r="C154" s="15" t="s">
        <v>465</v>
      </c>
      <c r="D154" s="15" t="s">
        <v>905</v>
      </c>
      <c r="E154" s="15" t="s">
        <v>570</v>
      </c>
      <c r="F154" s="15"/>
      <c r="G154" s="10" t="n">
        <v>6</v>
      </c>
      <c r="H154" s="21" t="n">
        <v>46027.3961805556</v>
      </c>
      <c r="I154" s="15" t="s">
        <v>911</v>
      </c>
      <c r="J154" s="15" t="s">
        <v>911</v>
      </c>
      <c r="K154" s="15"/>
      <c r="L154" s="10" t="n">
        <f aca="false">COUNTIF($E$2:E154,E154)</f>
        <v>7</v>
      </c>
      <c r="M154" s="10" t="e">
        <f aca="false">ifs(L154=1, L154&amp;"-"&amp; COUNTIFS($L$2:L154,1))</f>
        <v>#NAME?</v>
      </c>
      <c r="N154" s="15" t="s">
        <v>603</v>
      </c>
      <c r="O154" s="10"/>
      <c r="P154" s="22" t="n">
        <f aca="false">COUNTIFS(C:C,C154,N:N,"Đã xác nhận")/COUNTIFS(C:C,C154)</f>
        <v>1</v>
      </c>
      <c r="Q154" s="22"/>
      <c r="R154" s="0" t="s">
        <v>907</v>
      </c>
      <c r="S154" s="0" t="s">
        <v>571</v>
      </c>
      <c r="U154" s="24" t="n">
        <v>6</v>
      </c>
    </row>
    <row r="155" customFormat="false" ht="12.75" hidden="false" customHeight="false" outlineLevel="0" collapsed="false">
      <c r="A155" s="15" t="n">
        <v>278</v>
      </c>
      <c r="B155" s="15" t="s">
        <v>600</v>
      </c>
      <c r="C155" s="15" t="s">
        <v>465</v>
      </c>
      <c r="D155" s="15" t="s">
        <v>912</v>
      </c>
      <c r="E155" s="15" t="s">
        <v>81</v>
      </c>
      <c r="F155" s="15"/>
      <c r="G155" s="10" t="n">
        <v>2</v>
      </c>
      <c r="H155" s="21" t="n">
        <v>46027.4037268519</v>
      </c>
      <c r="I155" s="15" t="s">
        <v>913</v>
      </c>
      <c r="J155" s="15" t="s">
        <v>913</v>
      </c>
      <c r="K155" s="15"/>
      <c r="L155" s="10" t="n">
        <f aca="false">COUNTIF($E$2:E155,E155)</f>
        <v>31</v>
      </c>
      <c r="M155" s="10" t="e">
        <f aca="false">ifs(L155=1, L155&amp;"-"&amp; COUNTIFS($L$2:L155,1))</f>
        <v>#NAME?</v>
      </c>
      <c r="N155" s="15" t="s">
        <v>603</v>
      </c>
      <c r="O155" s="10"/>
      <c r="P155" s="22" t="n">
        <f aca="false">COUNTIFS(C:C,C155,N:N,"Đã xác nhận")/COUNTIFS(C:C,C155)</f>
        <v>1</v>
      </c>
      <c r="Q155" s="22"/>
      <c r="R155" s="0" t="s">
        <v>914</v>
      </c>
      <c r="S155" s="0" t="s">
        <v>534</v>
      </c>
      <c r="U155" s="24" t="n">
        <v>2</v>
      </c>
    </row>
    <row r="156" customFormat="false" ht="12.75" hidden="false" customHeight="false" outlineLevel="0" collapsed="false">
      <c r="A156" s="15" t="n">
        <v>279</v>
      </c>
      <c r="B156" s="15" t="s">
        <v>600</v>
      </c>
      <c r="C156" s="15" t="s">
        <v>465</v>
      </c>
      <c r="D156" s="15" t="s">
        <v>915</v>
      </c>
      <c r="E156" s="15" t="s">
        <v>55</v>
      </c>
      <c r="F156" s="15"/>
      <c r="G156" s="10" t="n">
        <v>1</v>
      </c>
      <c r="H156" s="21" t="n">
        <v>46027.3997800926</v>
      </c>
      <c r="I156" s="15" t="s">
        <v>916</v>
      </c>
      <c r="J156" s="15" t="s">
        <v>916</v>
      </c>
      <c r="L156" s="10" t="n">
        <f aca="false">COUNTIF($E$2:E156,E156)</f>
        <v>12</v>
      </c>
      <c r="M156" s="10" t="e">
        <f aca="false">ifs(L156=1, L156&amp;"-"&amp; COUNTIFS($L$2:L156,1))</f>
        <v>#NAME?</v>
      </c>
      <c r="N156" s="15" t="s">
        <v>603</v>
      </c>
      <c r="O156" s="10"/>
      <c r="P156" s="22" t="n">
        <f aca="false">COUNTIFS(C:C,C156,N:N,"Đã xác nhận")/COUNTIFS(C:C,C156)</f>
        <v>1</v>
      </c>
      <c r="Q156" s="22"/>
      <c r="R156" s="0" t="s">
        <v>917</v>
      </c>
      <c r="S156" s="0" t="s">
        <v>539</v>
      </c>
      <c r="U156" s="24" t="n">
        <v>1</v>
      </c>
    </row>
    <row r="157" customFormat="false" ht="12.75" hidden="false" customHeight="false" outlineLevel="0" collapsed="false">
      <c r="A157" s="15" t="n">
        <v>280</v>
      </c>
      <c r="B157" s="15" t="s">
        <v>600</v>
      </c>
      <c r="C157" s="15" t="s">
        <v>465</v>
      </c>
      <c r="D157" s="15" t="s">
        <v>915</v>
      </c>
      <c r="E157" s="15" t="s">
        <v>81</v>
      </c>
      <c r="F157" s="15"/>
      <c r="G157" s="10" t="n">
        <v>1</v>
      </c>
      <c r="H157" s="21" t="n">
        <v>46027.4037152778</v>
      </c>
      <c r="I157" s="15" t="s">
        <v>918</v>
      </c>
      <c r="J157" s="15" t="s">
        <v>918</v>
      </c>
      <c r="K157" s="15"/>
      <c r="L157" s="10" t="n">
        <f aca="false">COUNTIF($E$2:E157,E157)</f>
        <v>32</v>
      </c>
      <c r="M157" s="10" t="e">
        <f aca="false">ifs(L157=1, L157&amp;"-"&amp; COUNTIFS($L$2:L157,1))</f>
        <v>#NAME?</v>
      </c>
      <c r="N157" s="15" t="s">
        <v>603</v>
      </c>
      <c r="O157" s="10"/>
      <c r="P157" s="22" t="n">
        <f aca="false">COUNTIFS(C:C,C157,N:N,"Đã xác nhận")/COUNTIFS(C:C,C157)</f>
        <v>1</v>
      </c>
      <c r="Q157" s="22"/>
      <c r="R157" s="0" t="s">
        <v>917</v>
      </c>
      <c r="S157" s="0" t="s">
        <v>534</v>
      </c>
      <c r="U157" s="24" t="n">
        <v>1</v>
      </c>
    </row>
    <row r="158" customFormat="false" ht="12.75" hidden="false" customHeight="false" outlineLevel="0" collapsed="false">
      <c r="A158" s="15" t="n">
        <v>281</v>
      </c>
      <c r="B158" s="15" t="s">
        <v>600</v>
      </c>
      <c r="C158" s="15" t="s">
        <v>465</v>
      </c>
      <c r="D158" s="15" t="s">
        <v>919</v>
      </c>
      <c r="E158" s="15" t="s">
        <v>81</v>
      </c>
      <c r="F158" s="15"/>
      <c r="G158" s="10" t="n">
        <v>2</v>
      </c>
      <c r="H158" s="21" t="n">
        <v>46027.4036574074</v>
      </c>
      <c r="I158" s="15" t="s">
        <v>920</v>
      </c>
      <c r="J158" s="15" t="s">
        <v>920</v>
      </c>
      <c r="K158" s="15"/>
      <c r="L158" s="10" t="n">
        <f aca="false">COUNTIF($E$2:E158,E158)</f>
        <v>33</v>
      </c>
      <c r="M158" s="10" t="e">
        <f aca="false">ifs(L158=1, L158&amp;"-"&amp; COUNTIFS($L$2:L158,1))</f>
        <v>#NAME?</v>
      </c>
      <c r="N158" s="15" t="s">
        <v>603</v>
      </c>
      <c r="O158" s="10"/>
      <c r="P158" s="22" t="n">
        <f aca="false">COUNTIFS(C:C,C158,N:N,"Đã xác nhận")/COUNTIFS(C:C,C158)</f>
        <v>1</v>
      </c>
      <c r="Q158" s="22"/>
      <c r="R158" s="0" t="s">
        <v>921</v>
      </c>
      <c r="S158" s="0" t="s">
        <v>534</v>
      </c>
      <c r="U158" s="24" t="n">
        <v>2</v>
      </c>
    </row>
    <row r="159" customFormat="false" ht="12.75" hidden="false" customHeight="false" outlineLevel="0" collapsed="false">
      <c r="A159" s="15" t="n">
        <v>282</v>
      </c>
      <c r="B159" s="15" t="s">
        <v>600</v>
      </c>
      <c r="C159" s="15" t="s">
        <v>465</v>
      </c>
      <c r="D159" s="15" t="s">
        <v>888</v>
      </c>
      <c r="E159" s="15" t="s">
        <v>45</v>
      </c>
      <c r="F159" s="15"/>
      <c r="G159" s="10" t="n">
        <v>2</v>
      </c>
      <c r="H159" s="21" t="n">
        <v>46027.3995717593</v>
      </c>
      <c r="I159" s="15" t="s">
        <v>922</v>
      </c>
      <c r="J159" s="15" t="s">
        <v>922</v>
      </c>
      <c r="K159" s="15"/>
      <c r="L159" s="10" t="n">
        <f aca="false">COUNTIF($E$2:E159,E159)</f>
        <v>3</v>
      </c>
      <c r="M159" s="10" t="e">
        <f aca="false">ifs(L159=1, L159&amp;"-"&amp; COUNTIFS($L$2:L159,1))</f>
        <v>#NAME?</v>
      </c>
      <c r="N159" s="15" t="s">
        <v>603</v>
      </c>
      <c r="O159" s="10"/>
      <c r="P159" s="22" t="n">
        <f aca="false">COUNTIFS(C:C,C159,N:N,"Đã xác nhận")/COUNTIFS(C:C,C159)</f>
        <v>1</v>
      </c>
      <c r="Q159" s="22"/>
      <c r="R159" s="0" t="s">
        <v>892</v>
      </c>
      <c r="S159" s="0" t="s">
        <v>540</v>
      </c>
      <c r="U159" s="24" t="n">
        <v>2</v>
      </c>
    </row>
    <row r="160" customFormat="false" ht="12.75" hidden="false" customHeight="false" outlineLevel="0" collapsed="false">
      <c r="A160" s="15" t="n">
        <v>283</v>
      </c>
      <c r="B160" s="15" t="s">
        <v>600</v>
      </c>
      <c r="C160" s="15" t="s">
        <v>465</v>
      </c>
      <c r="D160" s="15" t="s">
        <v>888</v>
      </c>
      <c r="E160" s="15" t="s">
        <v>81</v>
      </c>
      <c r="F160" s="15"/>
      <c r="G160" s="10" t="n">
        <v>1</v>
      </c>
      <c r="H160" s="21" t="n">
        <v>46027.4037615741</v>
      </c>
      <c r="I160" s="15" t="s">
        <v>923</v>
      </c>
      <c r="J160" s="15" t="s">
        <v>923</v>
      </c>
      <c r="K160" s="15"/>
      <c r="L160" s="10" t="n">
        <f aca="false">COUNTIF($E$2:E160,E160)</f>
        <v>34</v>
      </c>
      <c r="M160" s="10" t="e">
        <f aca="false">ifs(L160=1, L160&amp;"-"&amp; COUNTIFS($L$2:L160,1))</f>
        <v>#NAME?</v>
      </c>
      <c r="N160" s="15" t="s">
        <v>603</v>
      </c>
      <c r="O160" s="10"/>
      <c r="P160" s="22" t="n">
        <f aca="false">COUNTIFS(C:C,C160,N:N,"Đã xác nhận")/COUNTIFS(C:C,C160)</f>
        <v>1</v>
      </c>
      <c r="Q160" s="22"/>
      <c r="R160" s="0" t="s">
        <v>892</v>
      </c>
      <c r="S160" s="0" t="s">
        <v>534</v>
      </c>
      <c r="U160" s="24" t="n">
        <v>1</v>
      </c>
    </row>
    <row r="161" customFormat="false" ht="12.75" hidden="false" customHeight="false" outlineLevel="0" collapsed="false">
      <c r="A161" s="15" t="n">
        <v>284</v>
      </c>
      <c r="B161" s="15" t="s">
        <v>600</v>
      </c>
      <c r="C161" s="15" t="s">
        <v>465</v>
      </c>
      <c r="D161" s="15" t="s">
        <v>924</v>
      </c>
      <c r="E161" s="15" t="s">
        <v>81</v>
      </c>
      <c r="F161" s="15"/>
      <c r="G161" s="10" t="n">
        <v>1</v>
      </c>
      <c r="H161" s="21" t="n">
        <v>46027.4037037037</v>
      </c>
      <c r="I161" s="15" t="s">
        <v>925</v>
      </c>
      <c r="J161" s="15" t="s">
        <v>925</v>
      </c>
      <c r="K161" s="15"/>
      <c r="L161" s="10" t="n">
        <f aca="false">COUNTIF($E$2:E161,E161)</f>
        <v>35</v>
      </c>
      <c r="M161" s="10" t="e">
        <f aca="false">ifs(L161=1, L161&amp;"-"&amp; COUNTIFS($L$2:L161,1))</f>
        <v>#NAME?</v>
      </c>
      <c r="N161" s="15" t="s">
        <v>603</v>
      </c>
      <c r="O161" s="10"/>
      <c r="P161" s="22" t="n">
        <f aca="false">COUNTIFS(C:C,C161,N:N,"Đã xác nhận")/COUNTIFS(C:C,C161)</f>
        <v>1</v>
      </c>
      <c r="Q161" s="22"/>
      <c r="R161" s="0" t="s">
        <v>926</v>
      </c>
      <c r="S161" s="0" t="s">
        <v>534</v>
      </c>
      <c r="U161" s="24" t="n">
        <v>1</v>
      </c>
    </row>
    <row r="162" customFormat="false" ht="12.75" hidden="false" customHeight="false" outlineLevel="0" collapsed="false">
      <c r="A162" s="15" t="n">
        <v>285</v>
      </c>
      <c r="B162" s="15"/>
      <c r="C162" s="15"/>
      <c r="D162" s="15"/>
      <c r="E162" s="15"/>
      <c r="F162" s="15"/>
      <c r="G162" s="10" t="n">
        <v>0</v>
      </c>
      <c r="H162" s="21" t="n">
        <v>46036.4342013889</v>
      </c>
      <c r="I162" s="15" t="s">
        <v>927</v>
      </c>
      <c r="J162" s="15" t="s">
        <v>695</v>
      </c>
      <c r="K162" s="15" t="s">
        <v>928</v>
      </c>
      <c r="L162" s="10" t="n">
        <f aca="false">COUNTIF($E$2:E162,E162)</f>
        <v>0</v>
      </c>
      <c r="M162" s="10" t="e">
        <f aca="false">ifs(L162=1, L162&amp;"-"&amp; COUNTIFS($L$2:L162,1))</f>
        <v>#NAME?</v>
      </c>
      <c r="O162" s="10"/>
      <c r="P162" s="22" t="e">
        <f aca="false">COUNTIFS(C:C,C162,N:N,"Đã xác nhận")/COUNTIFS(C:C,C162)</f>
        <v>#DIV/0!</v>
      </c>
      <c r="Q162" s="22"/>
      <c r="R162" s="0" t="e">
        <f aca="false">#VALUE!</f>
        <v>#VALUE!</v>
      </c>
      <c r="S162" s="0" t="e">
        <f aca="false">#VALUE!</f>
        <v>#VALUE!</v>
      </c>
      <c r="U162" s="24" t="n">
        <v>0</v>
      </c>
    </row>
    <row r="163" customFormat="false" ht="12.75" hidden="false" customHeight="false" outlineLevel="0" collapsed="false">
      <c r="A163" s="15" t="n">
        <v>286</v>
      </c>
      <c r="B163" s="15" t="s">
        <v>600</v>
      </c>
      <c r="C163" s="15" t="s">
        <v>465</v>
      </c>
      <c r="D163" s="15" t="s">
        <v>905</v>
      </c>
      <c r="E163" s="15" t="s">
        <v>547</v>
      </c>
      <c r="F163" s="15"/>
      <c r="G163" s="10" t="n">
        <v>2</v>
      </c>
      <c r="H163" s="21" t="n">
        <v>46038.4835416667</v>
      </c>
      <c r="I163" s="15" t="s">
        <v>929</v>
      </c>
      <c r="J163" s="15" t="s">
        <v>930</v>
      </c>
      <c r="K163" s="15" t="s">
        <v>931</v>
      </c>
      <c r="L163" s="10" t="n">
        <f aca="false">COUNTIF($E$2:E163,E163)</f>
        <v>11</v>
      </c>
      <c r="M163" s="10" t="e">
        <f aca="false">ifs(L163=1, L163&amp;"-"&amp; COUNTIFS($L$2:L163,1))</f>
        <v>#NAME?</v>
      </c>
      <c r="N163" s="15" t="s">
        <v>603</v>
      </c>
      <c r="O163" s="10"/>
      <c r="P163" s="22" t="n">
        <f aca="false">COUNTIFS(C:C,C163,N:N,"Đã xác nhận")/COUNTIFS(C:C,C163)</f>
        <v>1</v>
      </c>
      <c r="Q163" s="22"/>
      <c r="R163" s="0" t="s">
        <v>907</v>
      </c>
      <c r="S163" s="0" t="s">
        <v>548</v>
      </c>
      <c r="U163" s="24" t="n">
        <v>2</v>
      </c>
    </row>
    <row r="164" customFormat="false" ht="12.75" hidden="false" customHeight="false" outlineLevel="0" collapsed="false">
      <c r="A164" s="15" t="n">
        <v>287</v>
      </c>
      <c r="B164" s="15" t="s">
        <v>600</v>
      </c>
      <c r="C164" s="15" t="s">
        <v>465</v>
      </c>
      <c r="D164" s="15" t="s">
        <v>932</v>
      </c>
      <c r="E164" s="15" t="s">
        <v>567</v>
      </c>
      <c r="F164" s="15"/>
      <c r="G164" s="10" t="n">
        <v>1</v>
      </c>
      <c r="H164" s="21" t="n">
        <v>46027.3954513889</v>
      </c>
      <c r="I164" s="15" t="s">
        <v>933</v>
      </c>
      <c r="J164" s="15" t="s">
        <v>933</v>
      </c>
      <c r="K164" s="15"/>
      <c r="L164" s="10" t="n">
        <f aca="false">COUNTIF($E$2:E164,E164)</f>
        <v>9</v>
      </c>
      <c r="M164" s="10" t="e">
        <f aca="false">ifs(L164=1, L164&amp;"-"&amp; COUNTIFS($L$2:L164,1))</f>
        <v>#NAME?</v>
      </c>
      <c r="N164" s="15" t="s">
        <v>603</v>
      </c>
      <c r="O164" s="10"/>
      <c r="P164" s="22" t="n">
        <f aca="false">COUNTIFS(C:C,C164,N:N,"Đã xác nhận")/COUNTIFS(C:C,C164)</f>
        <v>1</v>
      </c>
      <c r="Q164" s="22"/>
      <c r="R164" s="0" t="s">
        <v>934</v>
      </c>
      <c r="S164" s="0" t="s">
        <v>568</v>
      </c>
      <c r="U164" s="24" t="n">
        <v>1</v>
      </c>
    </row>
    <row r="165" customFormat="false" ht="12.75" hidden="false" customHeight="false" outlineLevel="0" collapsed="false">
      <c r="A165" s="15" t="n">
        <v>290</v>
      </c>
      <c r="B165" s="15" t="s">
        <v>600</v>
      </c>
      <c r="C165" s="15" t="s">
        <v>465</v>
      </c>
      <c r="D165" s="15" t="s">
        <v>932</v>
      </c>
      <c r="E165" s="15" t="s">
        <v>543</v>
      </c>
      <c r="F165" s="15"/>
      <c r="G165" s="10" t="n">
        <v>3</v>
      </c>
      <c r="H165" s="21" t="n">
        <v>46027.3963194444</v>
      </c>
      <c r="I165" s="15" t="s">
        <v>935</v>
      </c>
      <c r="J165" s="15" t="s">
        <v>935</v>
      </c>
      <c r="K165" s="15"/>
      <c r="L165" s="10" t="n">
        <f aca="false">COUNTIF($E$2:E165,E165)</f>
        <v>8</v>
      </c>
      <c r="M165" s="10" t="e">
        <f aca="false">ifs(L165=1, L165&amp;"-"&amp; COUNTIFS($L$2:L165,1))</f>
        <v>#NAME?</v>
      </c>
      <c r="N165" s="15" t="s">
        <v>603</v>
      </c>
      <c r="O165" s="10"/>
      <c r="P165" s="22" t="n">
        <f aca="false">COUNTIFS(C:C,C165,N:N,"Đã xác nhận")/COUNTIFS(C:C,C165)</f>
        <v>1</v>
      </c>
      <c r="Q165" s="22"/>
      <c r="R165" s="0" t="s">
        <v>934</v>
      </c>
      <c r="S165" s="0" t="s">
        <v>544</v>
      </c>
      <c r="U165" s="24" t="n">
        <v>3</v>
      </c>
    </row>
    <row r="166" customFormat="false" ht="12.75" hidden="false" customHeight="false" outlineLevel="0" collapsed="false">
      <c r="A166" s="15" t="n">
        <v>294</v>
      </c>
      <c r="B166" s="15" t="s">
        <v>600</v>
      </c>
      <c r="C166" s="15" t="s">
        <v>465</v>
      </c>
      <c r="D166" s="15" t="s">
        <v>936</v>
      </c>
      <c r="E166" s="15" t="s">
        <v>555</v>
      </c>
      <c r="F166" s="15"/>
      <c r="G166" s="10" t="n">
        <v>1</v>
      </c>
      <c r="H166" s="21" t="n">
        <v>46027.3957175926</v>
      </c>
      <c r="I166" s="15" t="s">
        <v>937</v>
      </c>
      <c r="J166" s="15" t="s">
        <v>937</v>
      </c>
      <c r="L166" s="10" t="n">
        <f aca="false">COUNTIF($E$2:E166,E166)</f>
        <v>9</v>
      </c>
      <c r="M166" s="10" t="e">
        <f aca="false">ifs(L166=1, L166&amp;"-"&amp; COUNTIFS($L$2:L166,1))</f>
        <v>#NAME?</v>
      </c>
      <c r="N166" s="15" t="s">
        <v>603</v>
      </c>
      <c r="O166" s="10"/>
      <c r="P166" s="22" t="n">
        <f aca="false">COUNTIFS(C:C,C166,N:N,"Đã xác nhận")/COUNTIFS(C:C,C166)</f>
        <v>1</v>
      </c>
      <c r="Q166" s="22"/>
      <c r="R166" s="0" t="s">
        <v>938</v>
      </c>
      <c r="S166" s="0" t="s">
        <v>556</v>
      </c>
      <c r="U166" s="24" t="n">
        <v>1</v>
      </c>
    </row>
    <row r="167" customFormat="false" ht="12.75" hidden="false" customHeight="false" outlineLevel="0" collapsed="false">
      <c r="A167" s="15" t="n">
        <v>295</v>
      </c>
      <c r="B167" s="15" t="s">
        <v>600</v>
      </c>
      <c r="C167" s="15" t="s">
        <v>465</v>
      </c>
      <c r="D167" s="15" t="s">
        <v>936</v>
      </c>
      <c r="E167" s="15" t="s">
        <v>25</v>
      </c>
      <c r="F167" s="15"/>
      <c r="G167" s="10" t="n">
        <v>1</v>
      </c>
      <c r="H167" s="21" t="n">
        <v>46056.6931828704</v>
      </c>
      <c r="I167" s="15" t="s">
        <v>939</v>
      </c>
      <c r="J167" s="15" t="s">
        <v>939</v>
      </c>
      <c r="L167" s="10" t="n">
        <f aca="false">COUNTIF($E$2:E167,E167)</f>
        <v>6</v>
      </c>
      <c r="M167" s="10" t="e">
        <f aca="false">ifs(L167=1, L167&amp;"-"&amp; COUNTIFS($L$2:L167,1))</f>
        <v>#NAME?</v>
      </c>
      <c r="N167" s="15" t="s">
        <v>603</v>
      </c>
      <c r="O167" s="10"/>
      <c r="P167" s="22" t="n">
        <f aca="false">COUNTIFS(C:C,C167,N:N,"Đã xác nhận")/COUNTIFS(C:C,C167)</f>
        <v>1</v>
      </c>
      <c r="Q167" s="22"/>
      <c r="R167" s="0" t="s">
        <v>938</v>
      </c>
      <c r="S167" s="0" t="s">
        <v>26</v>
      </c>
      <c r="U167" s="24" t="n">
        <v>1</v>
      </c>
    </row>
    <row r="168" customFormat="false" ht="12.75" hidden="false" customHeight="false" outlineLevel="0" collapsed="false">
      <c r="A168" s="15" t="n">
        <v>296</v>
      </c>
      <c r="B168" s="15" t="s">
        <v>600</v>
      </c>
      <c r="C168" s="15" t="s">
        <v>465</v>
      </c>
      <c r="D168" s="15" t="s">
        <v>936</v>
      </c>
      <c r="E168" s="15" t="s">
        <v>567</v>
      </c>
      <c r="F168" s="15"/>
      <c r="G168" s="10" t="n">
        <v>1</v>
      </c>
      <c r="H168" s="21" t="n">
        <v>46027.395462963</v>
      </c>
      <c r="I168" s="15" t="s">
        <v>940</v>
      </c>
      <c r="J168" s="15" t="s">
        <v>940</v>
      </c>
      <c r="L168" s="10" t="n">
        <f aca="false">COUNTIF($E$2:E168,E168)</f>
        <v>10</v>
      </c>
      <c r="M168" s="10" t="e">
        <f aca="false">ifs(L168=1, L168&amp;"-"&amp; COUNTIFS($L$2:L168,1))</f>
        <v>#NAME?</v>
      </c>
      <c r="N168" s="15" t="s">
        <v>603</v>
      </c>
      <c r="O168" s="10"/>
      <c r="P168" s="22" t="n">
        <f aca="false">COUNTIFS(C:C,C168,N:N,"Đã xác nhận")/COUNTIFS(C:C,C168)</f>
        <v>1</v>
      </c>
      <c r="Q168" s="22"/>
      <c r="R168" s="0" t="s">
        <v>938</v>
      </c>
      <c r="S168" s="0" t="s">
        <v>568</v>
      </c>
      <c r="U168" s="24" t="n">
        <v>1</v>
      </c>
    </row>
    <row r="169" customFormat="false" ht="12.75" hidden="false" customHeight="false" outlineLevel="0" collapsed="false">
      <c r="A169" s="15" t="n">
        <v>297</v>
      </c>
      <c r="B169" s="15" t="s">
        <v>600</v>
      </c>
      <c r="C169" s="15" t="s">
        <v>465</v>
      </c>
      <c r="D169" s="15" t="s">
        <v>673</v>
      </c>
      <c r="E169" s="15" t="s">
        <v>69</v>
      </c>
      <c r="F169" s="15"/>
      <c r="G169" s="10" t="n">
        <v>2</v>
      </c>
      <c r="H169" s="21" t="n">
        <v>46027.3991435185</v>
      </c>
      <c r="I169" s="15" t="s">
        <v>941</v>
      </c>
      <c r="J169" s="15" t="s">
        <v>941</v>
      </c>
      <c r="L169" s="10" t="n">
        <f aca="false">COUNTIF($E$2:E169,E169)</f>
        <v>21</v>
      </c>
      <c r="M169" s="10" t="e">
        <f aca="false">ifs(L169=1, L169&amp;"-"&amp; COUNTIFS($L$2:L169,1))</f>
        <v>#NAME?</v>
      </c>
      <c r="N169" s="15" t="s">
        <v>603</v>
      </c>
      <c r="O169" s="10"/>
      <c r="P169" s="22" t="n">
        <f aca="false">COUNTIFS(C:C,C169,N:N,"Đã xác nhận")/COUNTIFS(C:C,C169)</f>
        <v>1</v>
      </c>
      <c r="Q169" s="22"/>
      <c r="R169" s="0" t="s">
        <v>675</v>
      </c>
      <c r="S169" s="0" t="s">
        <v>535</v>
      </c>
      <c r="U169" s="24" t="n">
        <v>2</v>
      </c>
    </row>
    <row r="170" customFormat="false" ht="12.75" hidden="false" customHeight="false" outlineLevel="0" collapsed="false">
      <c r="A170" s="15" t="n">
        <v>298</v>
      </c>
      <c r="B170" s="15" t="s">
        <v>600</v>
      </c>
      <c r="C170" s="15" t="s">
        <v>465</v>
      </c>
      <c r="D170" s="15" t="s">
        <v>673</v>
      </c>
      <c r="E170" s="15" t="s">
        <v>77</v>
      </c>
      <c r="F170" s="15"/>
      <c r="G170" s="10" t="n">
        <v>2</v>
      </c>
      <c r="H170" s="21" t="n">
        <v>46027.4042708333</v>
      </c>
      <c r="I170" s="15" t="s">
        <v>942</v>
      </c>
      <c r="J170" s="15" t="s">
        <v>942</v>
      </c>
      <c r="L170" s="10" t="n">
        <f aca="false">COUNTIF($E$2:E170,E170)</f>
        <v>8</v>
      </c>
      <c r="M170" s="10" t="e">
        <f aca="false">ifs(L170=1, L170&amp;"-"&amp; COUNTIFS($L$2:L170,1))</f>
        <v>#NAME?</v>
      </c>
      <c r="N170" s="15" t="s">
        <v>603</v>
      </c>
      <c r="O170" s="10"/>
      <c r="P170" s="22" t="n">
        <f aca="false">COUNTIFS(C:C,C170,N:N,"Đã xác nhận")/COUNTIFS(C:C,C170)</f>
        <v>1</v>
      </c>
      <c r="Q170" s="22"/>
      <c r="R170" s="0" t="s">
        <v>675</v>
      </c>
      <c r="S170" s="0" t="s">
        <v>78</v>
      </c>
      <c r="U170" s="24" t="n">
        <v>2</v>
      </c>
    </row>
    <row r="171" customFormat="false" ht="12.75" hidden="false" customHeight="false" outlineLevel="0" collapsed="false">
      <c r="A171" s="15" t="n">
        <v>299</v>
      </c>
      <c r="B171" s="15" t="s">
        <v>600</v>
      </c>
      <c r="C171" s="15" t="s">
        <v>943</v>
      </c>
      <c r="D171" s="15" t="s">
        <v>944</v>
      </c>
      <c r="E171" s="15" t="s">
        <v>547</v>
      </c>
      <c r="F171" s="15"/>
      <c r="G171" s="10" t="n">
        <v>2</v>
      </c>
      <c r="H171" s="21" t="n">
        <v>46038.4841435185</v>
      </c>
      <c r="I171" s="15" t="s">
        <v>945</v>
      </c>
      <c r="J171" s="15" t="s">
        <v>946</v>
      </c>
      <c r="K171" s="15" t="s">
        <v>947</v>
      </c>
      <c r="L171" s="10" t="n">
        <f aca="false">COUNTIF($E$2:E171,E171)</f>
        <v>12</v>
      </c>
      <c r="M171" s="10" t="e">
        <f aca="false">ifs(L171=1, L171&amp;"-"&amp; COUNTIFS($L$2:L171,1))</f>
        <v>#NAME?</v>
      </c>
      <c r="N171" s="15" t="s">
        <v>603</v>
      </c>
      <c r="O171" s="10"/>
      <c r="P171" s="22" t="n">
        <f aca="false">COUNTIFS(C:C,C171,N:N,"Đã xác nhận")/COUNTIFS(C:C,C171)</f>
        <v>1</v>
      </c>
      <c r="Q171" s="22"/>
      <c r="R171" s="0" t="s">
        <v>948</v>
      </c>
      <c r="S171" s="0" t="s">
        <v>548</v>
      </c>
      <c r="U171" s="24" t="n">
        <v>2</v>
      </c>
    </row>
    <row r="172" customFormat="false" ht="12.75" hidden="false" customHeight="false" outlineLevel="0" collapsed="false">
      <c r="A172" s="15" t="n">
        <v>311</v>
      </c>
      <c r="B172" s="15" t="s">
        <v>600</v>
      </c>
      <c r="C172" s="15" t="s">
        <v>943</v>
      </c>
      <c r="D172" s="15" t="s">
        <v>949</v>
      </c>
      <c r="E172" s="15" t="s">
        <v>47</v>
      </c>
      <c r="F172" s="15"/>
      <c r="G172" s="10" t="n">
        <v>1</v>
      </c>
      <c r="H172" s="21" t="n">
        <v>46027.4275810185</v>
      </c>
      <c r="I172" s="15" t="s">
        <v>950</v>
      </c>
      <c r="J172" s="15" t="s">
        <v>950</v>
      </c>
      <c r="L172" s="10" t="n">
        <f aca="false">COUNTIF($E$2:E172,E172)</f>
        <v>8</v>
      </c>
      <c r="M172" s="10" t="e">
        <f aca="false">ifs(L172=1, L172&amp;"-"&amp; COUNTIFS($L$2:L172,1))</f>
        <v>#NAME?</v>
      </c>
      <c r="N172" s="15" t="s">
        <v>603</v>
      </c>
      <c r="O172" s="10"/>
      <c r="P172" s="22" t="n">
        <f aca="false">COUNTIFS(C:C,C172,N:N,"Đã xác nhận")/COUNTIFS(C:C,C172)</f>
        <v>1</v>
      </c>
      <c r="Q172" s="22"/>
      <c r="R172" s="0" t="s">
        <v>951</v>
      </c>
      <c r="S172" s="0" t="s">
        <v>549</v>
      </c>
      <c r="U172" s="24" t="n">
        <v>1</v>
      </c>
    </row>
    <row r="173" customFormat="false" ht="12.75" hidden="false" customHeight="false" outlineLevel="0" collapsed="false">
      <c r="A173" s="15" t="n">
        <v>315</v>
      </c>
      <c r="B173" s="15" t="s">
        <v>600</v>
      </c>
      <c r="C173" s="15" t="s">
        <v>943</v>
      </c>
      <c r="D173" s="15" t="s">
        <v>952</v>
      </c>
      <c r="E173" s="15" t="s">
        <v>47</v>
      </c>
      <c r="F173" s="15"/>
      <c r="G173" s="10" t="n">
        <v>1</v>
      </c>
      <c r="H173" s="21" t="n">
        <v>46027.4275925926</v>
      </c>
      <c r="I173" s="15" t="s">
        <v>953</v>
      </c>
      <c r="J173" s="15" t="s">
        <v>953</v>
      </c>
      <c r="L173" s="10" t="n">
        <f aca="false">COUNTIF($E$2:E173,E173)</f>
        <v>9</v>
      </c>
      <c r="M173" s="10" t="e">
        <f aca="false">ifs(L173=1, L173&amp;"-"&amp; COUNTIFS($L$2:L173,1))</f>
        <v>#NAME?</v>
      </c>
      <c r="N173" s="15" t="s">
        <v>603</v>
      </c>
      <c r="O173" s="10"/>
      <c r="P173" s="22" t="n">
        <f aca="false">COUNTIFS(C:C,C173,N:N,"Đã xác nhận")/COUNTIFS(C:C,C173)</f>
        <v>1</v>
      </c>
      <c r="Q173" s="22"/>
      <c r="R173" s="0" t="s">
        <v>954</v>
      </c>
      <c r="S173" s="0" t="s">
        <v>549</v>
      </c>
      <c r="U173" s="24" t="n">
        <v>1</v>
      </c>
    </row>
    <row r="174" customFormat="false" ht="12.75" hidden="false" customHeight="false" outlineLevel="0" collapsed="false">
      <c r="A174" s="15" t="n">
        <v>318</v>
      </c>
      <c r="B174" s="15" t="s">
        <v>600</v>
      </c>
      <c r="C174" s="15" t="s">
        <v>491</v>
      </c>
      <c r="D174" s="15" t="s">
        <v>955</v>
      </c>
      <c r="E174" s="15" t="s">
        <v>37</v>
      </c>
      <c r="F174" s="15"/>
      <c r="G174" s="10" t="n">
        <v>1</v>
      </c>
      <c r="H174" s="21" t="n">
        <v>46045.4279166667</v>
      </c>
      <c r="I174" s="15" t="s">
        <v>956</v>
      </c>
      <c r="J174" s="15" t="s">
        <v>956</v>
      </c>
      <c r="K174" s="15"/>
      <c r="L174" s="10" t="n">
        <f aca="false">COUNTIF($E$2:E174,E174)</f>
        <v>6</v>
      </c>
      <c r="M174" s="10" t="e">
        <f aca="false">ifs(L174=1, L174&amp;"-"&amp; COUNTIFS($L$2:L174,1))</f>
        <v>#NAME?</v>
      </c>
      <c r="N174" s="15" t="s">
        <v>603</v>
      </c>
      <c r="O174" s="10"/>
      <c r="P174" s="22" t="n">
        <f aca="false">COUNTIFS(C:C,C174,N:N,"Đã xác nhận")/COUNTIFS(C:C,C174)</f>
        <v>1</v>
      </c>
      <c r="Q174" s="22"/>
      <c r="R174" s="0" t="s">
        <v>957</v>
      </c>
      <c r="S174" s="0" t="s">
        <v>561</v>
      </c>
      <c r="U174" s="24" t="n">
        <v>1</v>
      </c>
    </row>
    <row r="175" customFormat="false" ht="12.75" hidden="false" customHeight="false" outlineLevel="0" collapsed="false">
      <c r="A175" s="15" t="n">
        <v>319</v>
      </c>
      <c r="B175" s="15" t="s">
        <v>600</v>
      </c>
      <c r="C175" s="15" t="s">
        <v>491</v>
      </c>
      <c r="D175" s="15" t="s">
        <v>958</v>
      </c>
      <c r="E175" s="15" t="s">
        <v>81</v>
      </c>
      <c r="F175" s="15"/>
      <c r="G175" s="10" t="n">
        <v>1</v>
      </c>
      <c r="H175" s="21" t="n">
        <v>46036.4329513889</v>
      </c>
      <c r="I175" s="15" t="s">
        <v>959</v>
      </c>
      <c r="J175" s="15" t="s">
        <v>959</v>
      </c>
      <c r="K175" s="15"/>
      <c r="L175" s="10" t="n">
        <f aca="false">COUNTIF($E$2:E175,E175)</f>
        <v>36</v>
      </c>
      <c r="M175" s="10" t="e">
        <f aca="false">ifs(L175=1, L175&amp;"-"&amp; COUNTIFS($L$2:L175,1))</f>
        <v>#NAME?</v>
      </c>
      <c r="N175" s="15" t="s">
        <v>603</v>
      </c>
      <c r="O175" s="10"/>
      <c r="P175" s="22" t="n">
        <f aca="false">COUNTIFS(C:C,C175,N:N,"Đã xác nhận")/COUNTIFS(C:C,C175)</f>
        <v>1</v>
      </c>
      <c r="Q175" s="22"/>
      <c r="R175" s="0" t="s">
        <v>960</v>
      </c>
      <c r="S175" s="0" t="s">
        <v>534</v>
      </c>
      <c r="U175" s="24" t="n">
        <v>1</v>
      </c>
    </row>
    <row r="176" customFormat="false" ht="12.75" hidden="false" customHeight="false" outlineLevel="0" collapsed="false">
      <c r="A176" s="15" t="n">
        <v>320</v>
      </c>
      <c r="B176" s="15" t="s">
        <v>600</v>
      </c>
      <c r="C176" s="15" t="s">
        <v>491</v>
      </c>
      <c r="D176" s="15" t="s">
        <v>961</v>
      </c>
      <c r="E176" s="15" t="s">
        <v>81</v>
      </c>
      <c r="F176" s="15"/>
      <c r="G176" s="10" t="n">
        <v>1</v>
      </c>
      <c r="H176" s="21" t="n">
        <v>46036.4329861111</v>
      </c>
      <c r="I176" s="15" t="s">
        <v>962</v>
      </c>
      <c r="J176" s="15" t="s">
        <v>962</v>
      </c>
      <c r="K176" s="15"/>
      <c r="L176" s="10" t="n">
        <f aca="false">COUNTIF($E$2:E176,E176)</f>
        <v>37</v>
      </c>
      <c r="M176" s="10" t="e">
        <f aca="false">ifs(L176=1, L176&amp;"-"&amp; COUNTIFS($L$2:L176,1))</f>
        <v>#NAME?</v>
      </c>
      <c r="N176" s="15" t="s">
        <v>603</v>
      </c>
      <c r="O176" s="10"/>
      <c r="P176" s="22" t="n">
        <f aca="false">COUNTIFS(C:C,C176,N:N,"Đã xác nhận")/COUNTIFS(C:C,C176)</f>
        <v>1</v>
      </c>
      <c r="Q176" s="22"/>
      <c r="R176" s="0" t="s">
        <v>963</v>
      </c>
      <c r="S176" s="0" t="s">
        <v>534</v>
      </c>
      <c r="U176" s="24" t="n">
        <v>1</v>
      </c>
    </row>
    <row r="177" customFormat="false" ht="12.75" hidden="false" customHeight="false" outlineLevel="0" collapsed="false">
      <c r="A177" s="15" t="n">
        <v>324</v>
      </c>
      <c r="B177" s="15" t="s">
        <v>600</v>
      </c>
      <c r="C177" s="15" t="s">
        <v>943</v>
      </c>
      <c r="D177" s="15" t="s">
        <v>964</v>
      </c>
      <c r="E177" s="15" t="s">
        <v>547</v>
      </c>
      <c r="F177" s="15"/>
      <c r="G177" s="10" t="n">
        <v>1</v>
      </c>
      <c r="H177" s="21" t="n">
        <v>46038.4841203704</v>
      </c>
      <c r="I177" s="15" t="s">
        <v>965</v>
      </c>
      <c r="J177" s="15" t="s">
        <v>966</v>
      </c>
      <c r="K177" s="15" t="s">
        <v>967</v>
      </c>
      <c r="L177" s="10" t="n">
        <f aca="false">COUNTIF($E$2:E177,E177)</f>
        <v>13</v>
      </c>
      <c r="M177" s="10" t="e">
        <f aca="false">ifs(L177=1, L177&amp;"-"&amp; COUNTIFS($L$2:L177,1))</f>
        <v>#NAME?</v>
      </c>
      <c r="N177" s="15" t="s">
        <v>603</v>
      </c>
      <c r="O177" s="10"/>
      <c r="P177" s="22" t="n">
        <f aca="false">COUNTIFS(C:C,C177,N:N,"Đã xác nhận")/COUNTIFS(C:C,C177)</f>
        <v>1</v>
      </c>
      <c r="Q177" s="22"/>
      <c r="R177" s="0" t="s">
        <v>968</v>
      </c>
      <c r="S177" s="0" t="s">
        <v>548</v>
      </c>
      <c r="U177" s="24" t="n">
        <v>1</v>
      </c>
    </row>
    <row r="178" customFormat="false" ht="12.75" hidden="false" customHeight="false" outlineLevel="0" collapsed="false">
      <c r="A178" s="15" t="n">
        <v>349</v>
      </c>
      <c r="B178" s="15"/>
      <c r="C178" s="15"/>
      <c r="D178" s="15"/>
      <c r="E178" s="15"/>
      <c r="F178" s="15"/>
      <c r="G178" s="10" t="n">
        <v>0</v>
      </c>
      <c r="H178" s="21" t="n">
        <v>46035.5665972222</v>
      </c>
      <c r="I178" s="15" t="s">
        <v>969</v>
      </c>
      <c r="J178" s="15" t="s">
        <v>695</v>
      </c>
      <c r="K178" s="15" t="s">
        <v>970</v>
      </c>
      <c r="L178" s="10" t="n">
        <f aca="false">COUNTIF($E$2:E178,E178)</f>
        <v>0</v>
      </c>
      <c r="M178" s="10" t="e">
        <f aca="false">ifs(L178=1, L178&amp;"-"&amp; COUNTIFS($L$2:L178,1))</f>
        <v>#NAME?</v>
      </c>
      <c r="O178" s="10"/>
      <c r="P178" s="22" t="e">
        <f aca="false">COUNTIFS(C:C,C178,N:N,"Đã xác nhận")/COUNTIFS(C:C,C178)</f>
        <v>#DIV/0!</v>
      </c>
      <c r="Q178" s="22"/>
      <c r="R178" s="0" t="e">
        <f aca="false">#VALUE!</f>
        <v>#VALUE!</v>
      </c>
      <c r="S178" s="0" t="e">
        <f aca="false">#VALUE!</f>
        <v>#VALUE!</v>
      </c>
      <c r="U178" s="24" t="n">
        <v>0</v>
      </c>
    </row>
    <row r="179" customFormat="false" ht="12.75" hidden="false" customHeight="false" outlineLevel="0" collapsed="false">
      <c r="A179" s="15" t="n">
        <v>350</v>
      </c>
      <c r="B179" s="15" t="s">
        <v>600</v>
      </c>
      <c r="C179" s="15" t="s">
        <v>486</v>
      </c>
      <c r="D179" s="15" t="s">
        <v>971</v>
      </c>
      <c r="E179" s="15" t="s">
        <v>55</v>
      </c>
      <c r="F179" s="15"/>
      <c r="G179" s="10" t="n">
        <v>1</v>
      </c>
      <c r="H179" s="21" t="n">
        <v>46035.4971875</v>
      </c>
      <c r="I179" s="15" t="s">
        <v>972</v>
      </c>
      <c r="J179" s="15" t="s">
        <v>972</v>
      </c>
      <c r="L179" s="10" t="n">
        <f aca="false">COUNTIF($E$2:E179,E179)</f>
        <v>13</v>
      </c>
      <c r="M179" s="10" t="e">
        <f aca="false">ifs(L179=1, L179&amp;"-"&amp; COUNTIFS($L$2:L179,1))</f>
        <v>#NAME?</v>
      </c>
      <c r="N179" s="15" t="s">
        <v>603</v>
      </c>
      <c r="O179" s="10"/>
      <c r="P179" s="22" t="n">
        <f aca="false">COUNTIFS(C:C,C179,N:N,"Đã xác nhận")/COUNTIFS(C:C,C179)</f>
        <v>1</v>
      </c>
      <c r="Q179" s="22"/>
      <c r="R179" s="0" t="s">
        <v>973</v>
      </c>
      <c r="S179" s="0" t="s">
        <v>539</v>
      </c>
      <c r="U179" s="24" t="n">
        <v>1</v>
      </c>
    </row>
    <row r="180" customFormat="false" ht="12.75" hidden="false" customHeight="false" outlineLevel="0" collapsed="false">
      <c r="A180" s="15" t="n">
        <v>351</v>
      </c>
      <c r="B180" s="15"/>
      <c r="C180" s="15"/>
      <c r="D180" s="15"/>
      <c r="E180" s="15"/>
      <c r="F180" s="15"/>
      <c r="G180" s="10" t="n">
        <v>0</v>
      </c>
      <c r="H180" s="21" t="n">
        <v>46035.5669097222</v>
      </c>
      <c r="I180" s="15" t="s">
        <v>974</v>
      </c>
      <c r="J180" s="15" t="s">
        <v>695</v>
      </c>
      <c r="K180" s="15" t="s">
        <v>975</v>
      </c>
      <c r="L180" s="10" t="n">
        <f aca="false">COUNTIF($E$2:E180,E180)</f>
        <v>0</v>
      </c>
      <c r="M180" s="10" t="e">
        <f aca="false">ifs(L180=1, L180&amp;"-"&amp; COUNTIFS($L$2:L180,1))</f>
        <v>#NAME?</v>
      </c>
      <c r="O180" s="10"/>
      <c r="P180" s="22" t="e">
        <f aca="false">COUNTIFS(C:C,C180,N:N,"Đã xác nhận")/COUNTIFS(C:C,C180)</f>
        <v>#DIV/0!</v>
      </c>
      <c r="Q180" s="22"/>
      <c r="R180" s="0" t="e">
        <f aca="false">#VALUE!</f>
        <v>#VALUE!</v>
      </c>
      <c r="S180" s="0" t="e">
        <f aca="false">#VALUE!</f>
        <v>#VALUE!</v>
      </c>
      <c r="U180" s="24" t="n">
        <v>0</v>
      </c>
    </row>
    <row r="181" customFormat="false" ht="12.75" hidden="false" customHeight="false" outlineLevel="0" collapsed="false">
      <c r="A181" s="15" t="n">
        <v>352</v>
      </c>
      <c r="B181" s="15" t="s">
        <v>600</v>
      </c>
      <c r="C181" s="15" t="s">
        <v>486</v>
      </c>
      <c r="D181" s="15" t="s">
        <v>976</v>
      </c>
      <c r="E181" s="15" t="s">
        <v>81</v>
      </c>
      <c r="F181" s="15"/>
      <c r="G181" s="10" t="n">
        <v>1</v>
      </c>
      <c r="H181" s="21" t="n">
        <v>46035.5669675926</v>
      </c>
      <c r="I181" s="15" t="s">
        <v>977</v>
      </c>
      <c r="J181" s="15" t="s">
        <v>977</v>
      </c>
      <c r="K181" s="15"/>
      <c r="L181" s="10" t="n">
        <f aca="false">COUNTIF($E$2:E181,E181)</f>
        <v>38</v>
      </c>
      <c r="M181" s="10" t="e">
        <f aca="false">ifs(L181=1, L181&amp;"-"&amp; COUNTIFS($L$2:L181,1))</f>
        <v>#NAME?</v>
      </c>
      <c r="N181" s="15" t="s">
        <v>603</v>
      </c>
      <c r="O181" s="10"/>
      <c r="P181" s="22" t="n">
        <f aca="false">COUNTIFS(C:C,C181,N:N,"Đã xác nhận")/COUNTIFS(C:C,C181)</f>
        <v>1</v>
      </c>
      <c r="Q181" s="22"/>
      <c r="R181" s="0" t="s">
        <v>978</v>
      </c>
      <c r="S181" s="0" t="s">
        <v>534</v>
      </c>
      <c r="U181" s="24" t="n">
        <v>1</v>
      </c>
    </row>
    <row r="182" customFormat="false" ht="12.75" hidden="false" customHeight="false" outlineLevel="0" collapsed="false">
      <c r="A182" s="15" t="n">
        <v>355</v>
      </c>
      <c r="B182" s="15" t="s">
        <v>600</v>
      </c>
      <c r="C182" s="15" t="s">
        <v>486</v>
      </c>
      <c r="D182" s="15" t="s">
        <v>979</v>
      </c>
      <c r="E182" s="15" t="s">
        <v>69</v>
      </c>
      <c r="F182" s="15"/>
      <c r="G182" s="10" t="n">
        <v>1</v>
      </c>
      <c r="H182" s="21" t="n">
        <v>46035.4970601852</v>
      </c>
      <c r="I182" s="15" t="s">
        <v>980</v>
      </c>
      <c r="J182" s="15" t="s">
        <v>980</v>
      </c>
      <c r="L182" s="10" t="n">
        <f aca="false">COUNTIF($E$2:E182,E182)</f>
        <v>22</v>
      </c>
      <c r="M182" s="10" t="e">
        <f aca="false">ifs(L182=1, L182&amp;"-"&amp; COUNTIFS($L$2:L182,1))</f>
        <v>#NAME?</v>
      </c>
      <c r="N182" s="15" t="s">
        <v>603</v>
      </c>
      <c r="O182" s="10"/>
      <c r="P182" s="22" t="n">
        <f aca="false">COUNTIFS(C:C,C182,N:N,"Đã xác nhận")/COUNTIFS(C:C,C182)</f>
        <v>1</v>
      </c>
      <c r="Q182" s="22"/>
      <c r="R182" s="0" t="s">
        <v>979</v>
      </c>
      <c r="S182" s="0" t="s">
        <v>535</v>
      </c>
      <c r="U182" s="24" t="n">
        <v>1</v>
      </c>
    </row>
    <row r="183" customFormat="false" ht="12.75" hidden="false" customHeight="false" outlineLevel="0" collapsed="false">
      <c r="A183" s="15" t="n">
        <v>356</v>
      </c>
      <c r="B183" s="15" t="s">
        <v>600</v>
      </c>
      <c r="C183" s="15" t="s">
        <v>486</v>
      </c>
      <c r="D183" s="15" t="s">
        <v>979</v>
      </c>
      <c r="E183" s="15" t="s">
        <v>25</v>
      </c>
      <c r="F183" s="15"/>
      <c r="G183" s="10" t="n">
        <v>1</v>
      </c>
      <c r="H183" s="21" t="n">
        <v>46059.5854166667</v>
      </c>
      <c r="I183" s="15" t="s">
        <v>981</v>
      </c>
      <c r="J183" s="15" t="s">
        <v>981</v>
      </c>
      <c r="L183" s="10" t="n">
        <f aca="false">COUNTIF($E$2:E183,E183)</f>
        <v>7</v>
      </c>
      <c r="M183" s="10" t="e">
        <f aca="false">ifs(L183=1, L183&amp;"-"&amp; COUNTIFS($L$2:L183,1))</f>
        <v>#NAME?</v>
      </c>
      <c r="N183" s="15" t="s">
        <v>603</v>
      </c>
      <c r="O183" s="10"/>
      <c r="P183" s="22" t="n">
        <f aca="false">COUNTIFS(C:C,C183,N:N,"Đã xác nhận")/COUNTIFS(C:C,C183)</f>
        <v>1</v>
      </c>
      <c r="Q183" s="22"/>
      <c r="R183" s="0" t="s">
        <v>979</v>
      </c>
      <c r="S183" s="0" t="s">
        <v>26</v>
      </c>
      <c r="U183" s="24" t="n">
        <v>1</v>
      </c>
    </row>
    <row r="184" customFormat="false" ht="12.75" hidden="false" customHeight="false" outlineLevel="0" collapsed="false">
      <c r="A184" s="15" t="n">
        <v>357</v>
      </c>
      <c r="B184" s="15" t="s">
        <v>600</v>
      </c>
      <c r="C184" s="15" t="s">
        <v>486</v>
      </c>
      <c r="D184" s="15" t="s">
        <v>979</v>
      </c>
      <c r="E184" s="15" t="s">
        <v>11</v>
      </c>
      <c r="F184" s="15"/>
      <c r="G184" s="10" t="n">
        <v>1</v>
      </c>
      <c r="H184" s="21" t="n">
        <v>46035.4967361111</v>
      </c>
      <c r="I184" s="15" t="s">
        <v>982</v>
      </c>
      <c r="J184" s="15" t="s">
        <v>982</v>
      </c>
      <c r="L184" s="10" t="n">
        <f aca="false">COUNTIF($E$2:E184,E184)</f>
        <v>2</v>
      </c>
      <c r="M184" s="10" t="e">
        <f aca="false">ifs(L184=1, L184&amp;"-"&amp; COUNTIFS($L$2:L184,1))</f>
        <v>#NAME?</v>
      </c>
      <c r="N184" s="15" t="s">
        <v>603</v>
      </c>
      <c r="O184" s="10"/>
      <c r="P184" s="22" t="n">
        <f aca="false">COUNTIFS(C:C,C184,N:N,"Đã xác nhận")/COUNTIFS(C:C,C184)</f>
        <v>1</v>
      </c>
      <c r="Q184" s="22"/>
      <c r="R184" s="0" t="s">
        <v>979</v>
      </c>
      <c r="S184" s="0" t="s">
        <v>572</v>
      </c>
      <c r="U184" s="24" t="n">
        <v>1</v>
      </c>
    </row>
    <row r="185" customFormat="false" ht="12.75" hidden="false" customHeight="false" outlineLevel="0" collapsed="false">
      <c r="A185" s="15" t="n">
        <v>359</v>
      </c>
      <c r="B185" s="15" t="s">
        <v>600</v>
      </c>
      <c r="C185" s="15" t="s">
        <v>486</v>
      </c>
      <c r="D185" s="15" t="s">
        <v>979</v>
      </c>
      <c r="E185" s="15" t="s">
        <v>555</v>
      </c>
      <c r="F185" s="15"/>
      <c r="G185" s="10" t="n">
        <v>1</v>
      </c>
      <c r="H185" s="21" t="n">
        <v>46035.4965740741</v>
      </c>
      <c r="I185" s="15" t="s">
        <v>983</v>
      </c>
      <c r="J185" s="15" t="s">
        <v>983</v>
      </c>
      <c r="L185" s="10" t="n">
        <f aca="false">COUNTIF($E$2:E185,E185)</f>
        <v>10</v>
      </c>
      <c r="M185" s="10" t="e">
        <f aca="false">ifs(L185=1, L185&amp;"-"&amp; COUNTIFS($L$2:L185,1))</f>
        <v>#NAME?</v>
      </c>
      <c r="N185" s="15" t="s">
        <v>603</v>
      </c>
      <c r="O185" s="10"/>
      <c r="P185" s="22" t="n">
        <f aca="false">COUNTIFS(C:C,C185,N:N,"Đã xác nhận")/COUNTIFS(C:C,C185)</f>
        <v>1</v>
      </c>
      <c r="Q185" s="22"/>
      <c r="R185" s="0" t="s">
        <v>979</v>
      </c>
      <c r="S185" s="0" t="s">
        <v>556</v>
      </c>
      <c r="U185" s="24" t="n">
        <v>1</v>
      </c>
    </row>
    <row r="186" customFormat="false" ht="12.75" hidden="false" customHeight="false" outlineLevel="0" collapsed="false">
      <c r="A186" s="15" t="n">
        <v>362</v>
      </c>
      <c r="B186" s="15"/>
      <c r="C186" s="15"/>
      <c r="D186" s="15"/>
      <c r="E186" s="15"/>
      <c r="F186" s="15"/>
      <c r="G186" s="10" t="n">
        <v>0</v>
      </c>
      <c r="H186" s="21" t="n">
        <v>46059.5906365741</v>
      </c>
      <c r="I186" s="15" t="s">
        <v>984</v>
      </c>
      <c r="J186" s="15" t="s">
        <v>695</v>
      </c>
      <c r="K186" s="15" t="s">
        <v>985</v>
      </c>
      <c r="L186" s="10" t="n">
        <f aca="false">COUNTIF($E$2:E186,E186)</f>
        <v>0</v>
      </c>
      <c r="M186" s="10" t="e">
        <f aca="false">ifs(L186=1, L186&amp;"-"&amp; COUNTIFS($L$2:L186,1))</f>
        <v>#NAME?</v>
      </c>
      <c r="O186" s="10"/>
      <c r="P186" s="22" t="e">
        <f aca="false">COUNTIFS(C:C,C186,N:N,"Đã xác nhận")/COUNTIFS(C:C,C186)</f>
        <v>#DIV/0!</v>
      </c>
      <c r="Q186" s="22"/>
      <c r="R186" s="0" t="e">
        <f aca="false">#VALUE!</f>
        <v>#VALUE!</v>
      </c>
      <c r="S186" s="0" t="e">
        <f aca="false">#VALUE!</f>
        <v>#VALUE!</v>
      </c>
      <c r="U186" s="24" t="n">
        <v>0</v>
      </c>
    </row>
    <row r="187" customFormat="false" ht="12.75" hidden="false" customHeight="false" outlineLevel="0" collapsed="false">
      <c r="A187" s="15" t="n">
        <v>366</v>
      </c>
      <c r="B187" s="15" t="s">
        <v>600</v>
      </c>
      <c r="C187" s="15" t="s">
        <v>486</v>
      </c>
      <c r="D187" s="15" t="s">
        <v>986</v>
      </c>
      <c r="E187" s="15" t="s">
        <v>69</v>
      </c>
      <c r="F187" s="15"/>
      <c r="G187" s="10" t="n">
        <v>1</v>
      </c>
      <c r="H187" s="21" t="n">
        <v>46035.497037037</v>
      </c>
      <c r="I187" s="15" t="s">
        <v>987</v>
      </c>
      <c r="J187" s="15" t="s">
        <v>987</v>
      </c>
      <c r="K187" s="15"/>
      <c r="L187" s="10" t="n">
        <f aca="false">COUNTIF($E$2:E187,E187)</f>
        <v>23</v>
      </c>
      <c r="M187" s="10" t="e">
        <f aca="false">ifs(L187=1, L187&amp;"-"&amp; COUNTIFS($L$2:L187,1))</f>
        <v>#NAME?</v>
      </c>
      <c r="N187" s="15" t="s">
        <v>603</v>
      </c>
      <c r="O187" s="10"/>
      <c r="P187" s="22" t="n">
        <f aca="false">COUNTIFS(C:C,C187,N:N,"Đã xác nhận")/COUNTIFS(C:C,C187)</f>
        <v>1</v>
      </c>
      <c r="Q187" s="22"/>
      <c r="R187" s="0" t="s">
        <v>986</v>
      </c>
      <c r="S187" s="0" t="s">
        <v>535</v>
      </c>
      <c r="U187" s="24" t="n">
        <v>1</v>
      </c>
    </row>
    <row r="188" customFormat="false" ht="12.75" hidden="false" customHeight="false" outlineLevel="0" collapsed="false">
      <c r="A188" s="15" t="n">
        <v>367</v>
      </c>
      <c r="B188" s="15" t="s">
        <v>600</v>
      </c>
      <c r="C188" s="15" t="s">
        <v>486</v>
      </c>
      <c r="D188" s="15" t="s">
        <v>986</v>
      </c>
      <c r="E188" s="15" t="s">
        <v>543</v>
      </c>
      <c r="F188" s="15"/>
      <c r="G188" s="10" t="n">
        <v>2</v>
      </c>
      <c r="H188" s="21" t="n">
        <v>46035.4967939815</v>
      </c>
      <c r="I188" s="15" t="s">
        <v>988</v>
      </c>
      <c r="J188" s="15" t="s">
        <v>988</v>
      </c>
      <c r="K188" s="15"/>
      <c r="L188" s="10" t="n">
        <f aca="false">COUNTIF($E$2:E188,E188)</f>
        <v>9</v>
      </c>
      <c r="M188" s="10" t="e">
        <f aca="false">ifs(L188=1, L188&amp;"-"&amp; COUNTIFS($L$2:L188,1))</f>
        <v>#NAME?</v>
      </c>
      <c r="N188" s="15" t="s">
        <v>603</v>
      </c>
      <c r="O188" s="10"/>
      <c r="P188" s="22" t="n">
        <f aca="false">COUNTIFS(C:C,C188,N:N,"Đã xác nhận")/COUNTIFS(C:C,C188)</f>
        <v>1</v>
      </c>
      <c r="Q188" s="22"/>
      <c r="R188" s="0" t="s">
        <v>986</v>
      </c>
      <c r="S188" s="0" t="s">
        <v>544</v>
      </c>
      <c r="U188" s="24" t="n">
        <v>2</v>
      </c>
    </row>
    <row r="189" customFormat="false" ht="12.75" hidden="false" customHeight="false" outlineLevel="0" collapsed="false">
      <c r="A189" s="15" t="n">
        <v>371</v>
      </c>
      <c r="B189" s="15" t="s">
        <v>600</v>
      </c>
      <c r="C189" s="15" t="s">
        <v>486</v>
      </c>
      <c r="D189" s="15" t="s">
        <v>986</v>
      </c>
      <c r="E189" s="15" t="s">
        <v>545</v>
      </c>
      <c r="F189" s="15"/>
      <c r="G189" s="10" t="n">
        <v>1</v>
      </c>
      <c r="H189" s="21" t="n">
        <v>46035.4966319444</v>
      </c>
      <c r="I189" s="15" t="s">
        <v>989</v>
      </c>
      <c r="J189" s="15" t="s">
        <v>989</v>
      </c>
      <c r="K189" s="15"/>
      <c r="L189" s="10" t="n">
        <f aca="false">COUNTIF($E$2:E189,E189)</f>
        <v>9</v>
      </c>
      <c r="M189" s="10" t="e">
        <f aca="false">ifs(L189=1, L189&amp;"-"&amp; COUNTIFS($L$2:L189,1))</f>
        <v>#NAME?</v>
      </c>
      <c r="N189" s="15" t="s">
        <v>603</v>
      </c>
      <c r="O189" s="10"/>
      <c r="P189" s="22" t="n">
        <f aca="false">COUNTIFS(C:C,C189,N:N,"Đã xác nhận")/COUNTIFS(C:C,C189)</f>
        <v>1</v>
      </c>
      <c r="Q189" s="22"/>
      <c r="R189" s="0" t="s">
        <v>986</v>
      </c>
      <c r="S189" s="0" t="s">
        <v>546</v>
      </c>
      <c r="U189" s="24" t="n">
        <v>1</v>
      </c>
    </row>
    <row r="190" customFormat="false" ht="12.75" hidden="false" customHeight="false" outlineLevel="0" collapsed="false">
      <c r="A190" s="15" t="n">
        <v>375</v>
      </c>
      <c r="B190" s="15" t="s">
        <v>600</v>
      </c>
      <c r="C190" s="15" t="s">
        <v>486</v>
      </c>
      <c r="D190" s="15" t="s">
        <v>990</v>
      </c>
      <c r="E190" s="15" t="s">
        <v>69</v>
      </c>
      <c r="F190" s="15"/>
      <c r="G190" s="10" t="n">
        <v>1</v>
      </c>
      <c r="H190" s="21" t="n">
        <v>46035.497037037</v>
      </c>
      <c r="I190" s="15" t="s">
        <v>991</v>
      </c>
      <c r="J190" s="15" t="s">
        <v>991</v>
      </c>
      <c r="K190" s="15"/>
      <c r="L190" s="10" t="n">
        <f aca="false">COUNTIF($E$2:E190,E190)</f>
        <v>24</v>
      </c>
      <c r="M190" s="10" t="e">
        <f aca="false">ifs(L190=1, L190&amp;"-"&amp; COUNTIFS($L$2:L190,1))</f>
        <v>#NAME?</v>
      </c>
      <c r="N190" s="15" t="s">
        <v>603</v>
      </c>
      <c r="O190" s="10"/>
      <c r="P190" s="22" t="n">
        <f aca="false">COUNTIFS(C:C,C190,N:N,"Đã xác nhận")/COUNTIFS(C:C,C190)</f>
        <v>1</v>
      </c>
      <c r="Q190" s="22"/>
      <c r="R190" s="0" t="s">
        <v>992</v>
      </c>
      <c r="S190" s="0" t="s">
        <v>535</v>
      </c>
      <c r="U190" s="24" t="n">
        <v>1</v>
      </c>
    </row>
    <row r="191" customFormat="false" ht="12.75" hidden="false" customHeight="false" outlineLevel="0" collapsed="false">
      <c r="A191" s="15" t="n">
        <v>376</v>
      </c>
      <c r="B191" s="15" t="s">
        <v>600</v>
      </c>
      <c r="C191" s="15" t="s">
        <v>486</v>
      </c>
      <c r="D191" s="15" t="s">
        <v>673</v>
      </c>
      <c r="E191" s="15" t="s">
        <v>77</v>
      </c>
      <c r="F191" s="15"/>
      <c r="G191" s="10" t="n">
        <v>2</v>
      </c>
      <c r="H191" s="21" t="n">
        <v>46035.5671643519</v>
      </c>
      <c r="I191" s="15" t="s">
        <v>993</v>
      </c>
      <c r="J191" s="15" t="s">
        <v>993</v>
      </c>
      <c r="L191" s="10" t="n">
        <f aca="false">COUNTIF($E$2:E191,E191)</f>
        <v>9</v>
      </c>
      <c r="M191" s="10" t="e">
        <f aca="false">ifs(L191=1, L191&amp;"-"&amp; COUNTIFS($L$2:L191,1))</f>
        <v>#NAME?</v>
      </c>
      <c r="N191" s="15" t="s">
        <v>603</v>
      </c>
      <c r="O191" s="10"/>
      <c r="P191" s="22" t="n">
        <f aca="false">COUNTIFS(C:C,C191,N:N,"Đã xác nhận")/COUNTIFS(C:C,C191)</f>
        <v>1</v>
      </c>
      <c r="Q191" s="22"/>
      <c r="R191" s="0" t="s">
        <v>675</v>
      </c>
      <c r="S191" s="0" t="s">
        <v>78</v>
      </c>
      <c r="U191" s="24" t="n">
        <v>2</v>
      </c>
    </row>
    <row r="192" customFormat="false" ht="12.75" hidden="false" customHeight="false" outlineLevel="0" collapsed="false">
      <c r="A192" s="15" t="n">
        <v>378</v>
      </c>
      <c r="B192" s="15"/>
      <c r="C192" s="15"/>
      <c r="D192" s="15"/>
      <c r="E192" s="15"/>
      <c r="F192" s="15"/>
      <c r="G192" s="10" t="n">
        <v>0</v>
      </c>
      <c r="H192" s="21" t="n">
        <v>46024.7072453704</v>
      </c>
      <c r="I192" s="15" t="s">
        <v>994</v>
      </c>
      <c r="J192" s="15" t="s">
        <v>695</v>
      </c>
      <c r="K192" s="15" t="s">
        <v>995</v>
      </c>
      <c r="L192" s="10" t="n">
        <f aca="false">COUNTIF($E$2:E192,E192)</f>
        <v>0</v>
      </c>
      <c r="M192" s="10" t="e">
        <f aca="false">ifs(L192=1, L192&amp;"-"&amp; COUNTIFS($L$2:L192,1))</f>
        <v>#NAME?</v>
      </c>
      <c r="O192" s="10"/>
      <c r="P192" s="22" t="e">
        <f aca="false">COUNTIFS(C:C,C192,N:N,"Đã xác nhận")/COUNTIFS(C:C,C192)</f>
        <v>#DIV/0!</v>
      </c>
      <c r="Q192" s="22"/>
      <c r="R192" s="0" t="e">
        <f aca="false">#VALUE!</f>
        <v>#VALUE!</v>
      </c>
      <c r="S192" s="0" t="e">
        <f aca="false">#VALUE!</f>
        <v>#VALUE!</v>
      </c>
      <c r="U192" s="24" t="n">
        <v>0</v>
      </c>
    </row>
    <row r="193" customFormat="false" ht="12.75" hidden="false" customHeight="false" outlineLevel="0" collapsed="false">
      <c r="A193" s="15" t="n">
        <v>379</v>
      </c>
      <c r="B193" s="15" t="s">
        <v>600</v>
      </c>
      <c r="C193" s="15" t="s">
        <v>487</v>
      </c>
      <c r="D193" s="15" t="s">
        <v>971</v>
      </c>
      <c r="E193" s="15" t="s">
        <v>55</v>
      </c>
      <c r="F193" s="15"/>
      <c r="G193" s="10" t="n">
        <v>1</v>
      </c>
      <c r="H193" s="21" t="n">
        <v>46035.5716435185</v>
      </c>
      <c r="I193" s="15" t="s">
        <v>996</v>
      </c>
      <c r="J193" s="15" t="s">
        <v>996</v>
      </c>
      <c r="L193" s="10" t="n">
        <f aca="false">COUNTIF($E$2:E193,E193)</f>
        <v>14</v>
      </c>
      <c r="M193" s="10" t="e">
        <f aca="false">ifs(L193=1, L193&amp;"-"&amp; COUNTIFS($L$2:L193,1))</f>
        <v>#NAME?</v>
      </c>
      <c r="N193" s="15" t="s">
        <v>603</v>
      </c>
      <c r="O193" s="10"/>
      <c r="P193" s="22" t="n">
        <f aca="false">COUNTIFS(C:C,C193,N:N,"Đã xác nhận")/COUNTIFS(C:C,C193)</f>
        <v>1</v>
      </c>
      <c r="Q193" s="22"/>
      <c r="R193" s="0" t="s">
        <v>973</v>
      </c>
      <c r="S193" s="0" t="s">
        <v>539</v>
      </c>
      <c r="U193" s="24" t="n">
        <v>1</v>
      </c>
    </row>
    <row r="194" customFormat="false" ht="12.75" hidden="false" customHeight="false" outlineLevel="0" collapsed="false">
      <c r="A194" s="15" t="n">
        <v>380</v>
      </c>
      <c r="B194" s="15" t="s">
        <v>600</v>
      </c>
      <c r="C194" s="15" t="s">
        <v>487</v>
      </c>
      <c r="D194" s="15" t="s">
        <v>997</v>
      </c>
      <c r="E194" s="15" t="s">
        <v>81</v>
      </c>
      <c r="F194" s="15"/>
      <c r="G194" s="10" t="n">
        <v>2</v>
      </c>
      <c r="H194" s="21" t="n">
        <v>46035.5719560185</v>
      </c>
      <c r="I194" s="15" t="s">
        <v>998</v>
      </c>
      <c r="J194" s="15" t="s">
        <v>998</v>
      </c>
      <c r="K194" s="15"/>
      <c r="L194" s="10" t="n">
        <f aca="false">COUNTIF($E$2:E194,E194)</f>
        <v>39</v>
      </c>
      <c r="M194" s="10" t="e">
        <f aca="false">ifs(L194=1, L194&amp;"-"&amp; COUNTIFS($L$2:L194,1))</f>
        <v>#NAME?</v>
      </c>
      <c r="N194" s="15" t="s">
        <v>603</v>
      </c>
      <c r="O194" s="10"/>
      <c r="P194" s="22" t="n">
        <f aca="false">COUNTIFS(C:C,C194,N:N,"Đã xác nhận")/COUNTIFS(C:C,C194)</f>
        <v>1</v>
      </c>
      <c r="Q194" s="22"/>
      <c r="R194" s="0" t="s">
        <v>999</v>
      </c>
      <c r="S194" s="0" t="s">
        <v>534</v>
      </c>
      <c r="U194" s="24" t="n">
        <v>2</v>
      </c>
    </row>
    <row r="195" customFormat="false" ht="12.75" hidden="false" customHeight="false" outlineLevel="0" collapsed="false">
      <c r="A195" s="15" t="n">
        <v>381</v>
      </c>
      <c r="B195" s="15" t="s">
        <v>600</v>
      </c>
      <c r="C195" s="15" t="s">
        <v>487</v>
      </c>
      <c r="D195" s="15" t="s">
        <v>1000</v>
      </c>
      <c r="E195" s="15" t="s">
        <v>81</v>
      </c>
      <c r="F195" s="15"/>
      <c r="G195" s="10" t="n">
        <v>1</v>
      </c>
      <c r="H195" s="21" t="n">
        <v>46035.5719444445</v>
      </c>
      <c r="I195" s="15" t="s">
        <v>1001</v>
      </c>
      <c r="J195" s="15" t="s">
        <v>1001</v>
      </c>
      <c r="K195" s="15"/>
      <c r="L195" s="10" t="n">
        <f aca="false">COUNTIF($E$2:E195,E195)</f>
        <v>40</v>
      </c>
      <c r="M195" s="10" t="e">
        <f aca="false">ifs(L195=1, L195&amp;"-"&amp; COUNTIFS($L$2:L195,1))</f>
        <v>#NAME?</v>
      </c>
      <c r="N195" s="15" t="s">
        <v>603</v>
      </c>
      <c r="O195" s="10"/>
      <c r="P195" s="22" t="n">
        <f aca="false">COUNTIFS(C:C,C195,N:N,"Đã xác nhận")/COUNTIFS(C:C,C195)</f>
        <v>1</v>
      </c>
      <c r="Q195" s="22"/>
      <c r="R195" s="0" t="s">
        <v>1002</v>
      </c>
      <c r="S195" s="0" t="s">
        <v>534</v>
      </c>
      <c r="U195" s="24" t="n">
        <v>1</v>
      </c>
    </row>
    <row r="196" customFormat="false" ht="12.75" hidden="false" customHeight="false" outlineLevel="0" collapsed="false">
      <c r="A196" s="15" t="n">
        <v>382</v>
      </c>
      <c r="B196" s="15" t="s">
        <v>600</v>
      </c>
      <c r="C196" s="15" t="s">
        <v>487</v>
      </c>
      <c r="D196" s="15" t="s">
        <v>1003</v>
      </c>
      <c r="E196" s="15" t="s">
        <v>81</v>
      </c>
      <c r="F196" s="15"/>
      <c r="G196" s="10" t="n">
        <v>1</v>
      </c>
      <c r="H196" s="21" t="n">
        <v>46035.5719675926</v>
      </c>
      <c r="I196" s="15" t="s">
        <v>1004</v>
      </c>
      <c r="J196" s="15" t="s">
        <v>1004</v>
      </c>
      <c r="K196" s="15"/>
      <c r="L196" s="10" t="n">
        <f aca="false">COUNTIF($E$2:E196,E196)</f>
        <v>41</v>
      </c>
      <c r="M196" s="10" t="e">
        <f aca="false">ifs(L196=1, L196&amp;"-"&amp; COUNTIFS($L$2:L196,1))</f>
        <v>#NAME?</v>
      </c>
      <c r="N196" s="15" t="s">
        <v>603</v>
      </c>
      <c r="O196" s="10"/>
      <c r="P196" s="22" t="n">
        <f aca="false">COUNTIFS(C:C,C196,N:N,"Đã xác nhận")/COUNTIFS(C:C,C196)</f>
        <v>1</v>
      </c>
      <c r="Q196" s="22"/>
      <c r="R196" s="0" t="s">
        <v>1005</v>
      </c>
      <c r="S196" s="0" t="s">
        <v>534</v>
      </c>
      <c r="U196" s="24" t="n">
        <v>1</v>
      </c>
    </row>
    <row r="197" customFormat="false" ht="12.75" hidden="false" customHeight="false" outlineLevel="0" collapsed="false">
      <c r="A197" s="15" t="n">
        <v>383</v>
      </c>
      <c r="B197" s="15" t="s">
        <v>600</v>
      </c>
      <c r="C197" s="15" t="s">
        <v>487</v>
      </c>
      <c r="D197" s="15" t="s">
        <v>1006</v>
      </c>
      <c r="E197" s="15" t="s">
        <v>81</v>
      </c>
      <c r="F197" s="15"/>
      <c r="G197" s="10" t="n">
        <v>1</v>
      </c>
      <c r="H197" s="21" t="n">
        <v>46035.5719791667</v>
      </c>
      <c r="I197" s="15" t="s">
        <v>1007</v>
      </c>
      <c r="J197" s="15" t="s">
        <v>1007</v>
      </c>
      <c r="K197" s="15"/>
      <c r="L197" s="10" t="n">
        <f aca="false">COUNTIF($E$2:E197,E197)</f>
        <v>42</v>
      </c>
      <c r="M197" s="10" t="e">
        <f aca="false">ifs(L197=1, L197&amp;"-"&amp; COUNTIFS($L$2:L197,1))</f>
        <v>#NAME?</v>
      </c>
      <c r="N197" s="15" t="s">
        <v>603</v>
      </c>
      <c r="O197" s="10"/>
      <c r="P197" s="22" t="n">
        <f aca="false">COUNTIFS(C:C,C197,N:N,"Đã xác nhận")/COUNTIFS(C:C,C197)</f>
        <v>1</v>
      </c>
      <c r="Q197" s="22"/>
      <c r="R197" s="0" t="s">
        <v>1008</v>
      </c>
      <c r="S197" s="0" t="s">
        <v>534</v>
      </c>
      <c r="U197" s="24" t="n">
        <v>1</v>
      </c>
    </row>
    <row r="198" customFormat="false" ht="12.75" hidden="false" customHeight="false" outlineLevel="0" collapsed="false">
      <c r="A198" s="15" t="n">
        <v>384</v>
      </c>
      <c r="B198" s="15" t="s">
        <v>600</v>
      </c>
      <c r="C198" s="15" t="s">
        <v>487</v>
      </c>
      <c r="D198" s="15" t="s">
        <v>1009</v>
      </c>
      <c r="E198" s="15" t="s">
        <v>81</v>
      </c>
      <c r="F198" s="15"/>
      <c r="G198" s="10" t="n">
        <v>1</v>
      </c>
      <c r="H198" s="21" t="n">
        <v>46035.5719328704</v>
      </c>
      <c r="I198" s="15" t="s">
        <v>1010</v>
      </c>
      <c r="J198" s="15" t="s">
        <v>1010</v>
      </c>
      <c r="K198" s="15"/>
      <c r="L198" s="10" t="n">
        <f aca="false">COUNTIF($E$2:E198,E198)</f>
        <v>43</v>
      </c>
      <c r="M198" s="10" t="e">
        <f aca="false">ifs(L198=1, L198&amp;"-"&amp; COUNTIFS($L$2:L198,1))</f>
        <v>#NAME?</v>
      </c>
      <c r="N198" s="15" t="s">
        <v>603</v>
      </c>
      <c r="O198" s="10"/>
      <c r="P198" s="22" t="n">
        <f aca="false">COUNTIFS(C:C,C198,N:N,"Đã xác nhận")/COUNTIFS(C:C,C198)</f>
        <v>1</v>
      </c>
      <c r="Q198" s="22"/>
      <c r="R198" s="0" t="s">
        <v>1011</v>
      </c>
      <c r="S198" s="0" t="s">
        <v>534</v>
      </c>
      <c r="U198" s="24" t="n">
        <v>1</v>
      </c>
    </row>
    <row r="199" customFormat="false" ht="12.75" hidden="false" customHeight="false" outlineLevel="0" collapsed="false">
      <c r="A199" s="15" t="n">
        <v>385</v>
      </c>
      <c r="B199" s="15" t="s">
        <v>600</v>
      </c>
      <c r="C199" s="15" t="s">
        <v>487</v>
      </c>
      <c r="D199" s="15" t="s">
        <v>1012</v>
      </c>
      <c r="E199" s="15" t="s">
        <v>81</v>
      </c>
      <c r="F199" s="15"/>
      <c r="G199" s="10" t="n">
        <v>2</v>
      </c>
      <c r="H199" s="21" t="n">
        <v>46035.5719212963</v>
      </c>
      <c r="I199" s="15" t="s">
        <v>1013</v>
      </c>
      <c r="J199" s="15" t="s">
        <v>1013</v>
      </c>
      <c r="K199" s="15"/>
      <c r="L199" s="10" t="n">
        <f aca="false">COUNTIF($E$2:E199,E199)</f>
        <v>44</v>
      </c>
      <c r="M199" s="10" t="e">
        <f aca="false">ifs(L199=1, L199&amp;"-"&amp; COUNTIFS($L$2:L199,1))</f>
        <v>#NAME?</v>
      </c>
      <c r="N199" s="15" t="s">
        <v>603</v>
      </c>
      <c r="O199" s="10"/>
      <c r="P199" s="22" t="n">
        <f aca="false">COUNTIFS(C:C,C199,N:N,"Đã xác nhận")/COUNTIFS(C:C,C199)</f>
        <v>1</v>
      </c>
      <c r="Q199" s="22"/>
      <c r="R199" s="0" t="s">
        <v>1014</v>
      </c>
      <c r="S199" s="0" t="s">
        <v>534</v>
      </c>
      <c r="U199" s="24" t="n">
        <v>2</v>
      </c>
    </row>
    <row r="200" customFormat="false" ht="12.75" hidden="false" customHeight="false" outlineLevel="0" collapsed="false">
      <c r="A200" s="15" t="n">
        <v>388</v>
      </c>
      <c r="B200" s="15" t="s">
        <v>600</v>
      </c>
      <c r="C200" s="15" t="s">
        <v>487</v>
      </c>
      <c r="D200" s="15" t="s">
        <v>1015</v>
      </c>
      <c r="E200" s="15" t="s">
        <v>81</v>
      </c>
      <c r="F200" s="15"/>
      <c r="G200" s="10" t="n">
        <v>1</v>
      </c>
      <c r="H200" s="21" t="n">
        <v>46035.5719328704</v>
      </c>
      <c r="I200" s="15" t="s">
        <v>1016</v>
      </c>
      <c r="J200" s="15" t="s">
        <v>1016</v>
      </c>
      <c r="K200" s="15"/>
      <c r="L200" s="10" t="n">
        <f aca="false">COUNTIF($E$2:E200,E200)</f>
        <v>45</v>
      </c>
      <c r="M200" s="10" t="e">
        <f aca="false">ifs(L200=1, L200&amp;"-"&amp; COUNTIFS($L$2:L200,1))</f>
        <v>#NAME?</v>
      </c>
      <c r="N200" s="15" t="s">
        <v>603</v>
      </c>
      <c r="O200" s="10"/>
      <c r="P200" s="22" t="n">
        <f aca="false">COUNTIFS(C:C,C200,N:N,"Đã xác nhận")/COUNTIFS(C:C,C200)</f>
        <v>1</v>
      </c>
      <c r="Q200" s="22"/>
      <c r="R200" s="0" t="s">
        <v>1017</v>
      </c>
      <c r="S200" s="0" t="s">
        <v>534</v>
      </c>
      <c r="U200" s="24" t="n">
        <v>1</v>
      </c>
    </row>
    <row r="201" customFormat="false" ht="12.75" hidden="false" customHeight="false" outlineLevel="0" collapsed="false">
      <c r="A201" s="15" t="n">
        <v>389</v>
      </c>
      <c r="B201" s="15" t="s">
        <v>600</v>
      </c>
      <c r="C201" s="15" t="s">
        <v>487</v>
      </c>
      <c r="D201" s="15" t="s">
        <v>979</v>
      </c>
      <c r="E201" s="15" t="s">
        <v>555</v>
      </c>
      <c r="F201" s="15"/>
      <c r="G201" s="10" t="n">
        <v>1</v>
      </c>
      <c r="H201" s="21" t="n">
        <v>46035.4950115741</v>
      </c>
      <c r="I201" s="15" t="s">
        <v>1018</v>
      </c>
      <c r="J201" s="15" t="s">
        <v>1018</v>
      </c>
      <c r="L201" s="10" t="n">
        <f aca="false">COUNTIF($E$2:E201,E201)</f>
        <v>11</v>
      </c>
      <c r="M201" s="10" t="e">
        <f aca="false">ifs(L201=1, L201&amp;"-"&amp; COUNTIFS($L$2:L201,1))</f>
        <v>#NAME?</v>
      </c>
      <c r="N201" s="15" t="s">
        <v>603</v>
      </c>
      <c r="O201" s="10"/>
      <c r="P201" s="22" t="n">
        <f aca="false">COUNTIFS(C:C,C201,N:N,"Đã xác nhận")/COUNTIFS(C:C,C201)</f>
        <v>1</v>
      </c>
      <c r="Q201" s="22"/>
      <c r="R201" s="0" t="s">
        <v>979</v>
      </c>
      <c r="S201" s="0" t="s">
        <v>556</v>
      </c>
      <c r="U201" s="24" t="n">
        <v>1</v>
      </c>
    </row>
    <row r="202" customFormat="false" ht="12.75" hidden="false" customHeight="false" outlineLevel="0" collapsed="false">
      <c r="A202" s="15" t="n">
        <v>390</v>
      </c>
      <c r="B202" s="15" t="s">
        <v>600</v>
      </c>
      <c r="C202" s="15" t="s">
        <v>487</v>
      </c>
      <c r="D202" s="15" t="s">
        <v>979</v>
      </c>
      <c r="E202" s="15" t="s">
        <v>570</v>
      </c>
      <c r="F202" s="15"/>
      <c r="G202" s="10" t="n">
        <v>1</v>
      </c>
      <c r="H202" s="21" t="n">
        <v>46035.5703356481</v>
      </c>
      <c r="I202" s="15" t="s">
        <v>1019</v>
      </c>
      <c r="J202" s="15" t="s">
        <v>1019</v>
      </c>
      <c r="L202" s="10" t="n">
        <f aca="false">COUNTIF($E$2:E202,E202)</f>
        <v>8</v>
      </c>
      <c r="M202" s="10" t="e">
        <f aca="false">ifs(L202=1, L202&amp;"-"&amp; COUNTIFS($L$2:L202,1))</f>
        <v>#NAME?</v>
      </c>
      <c r="N202" s="15" t="s">
        <v>603</v>
      </c>
      <c r="O202" s="10"/>
      <c r="P202" s="22" t="n">
        <f aca="false">COUNTIFS(C:C,C202,N:N,"Đã xác nhận")/COUNTIFS(C:C,C202)</f>
        <v>1</v>
      </c>
      <c r="Q202" s="22"/>
      <c r="R202" s="0" t="s">
        <v>979</v>
      </c>
      <c r="S202" s="0" t="s">
        <v>571</v>
      </c>
      <c r="U202" s="24" t="n">
        <v>1</v>
      </c>
    </row>
    <row r="203" customFormat="false" ht="12.75" hidden="false" customHeight="false" outlineLevel="0" collapsed="false">
      <c r="A203" s="15" t="n">
        <v>394</v>
      </c>
      <c r="B203" s="15" t="s">
        <v>600</v>
      </c>
      <c r="C203" s="15" t="s">
        <v>487</v>
      </c>
      <c r="D203" s="15" t="s">
        <v>979</v>
      </c>
      <c r="E203" s="15" t="s">
        <v>25</v>
      </c>
      <c r="F203" s="15"/>
      <c r="G203" s="10" t="n">
        <v>1</v>
      </c>
      <c r="H203" s="21" t="n">
        <v>46048.6805902778</v>
      </c>
      <c r="I203" s="15" t="s">
        <v>1020</v>
      </c>
      <c r="J203" s="15" t="s">
        <v>1020</v>
      </c>
      <c r="L203" s="10" t="n">
        <f aca="false">COUNTIF($E$2:E203,E203)</f>
        <v>8</v>
      </c>
      <c r="M203" s="10" t="e">
        <f aca="false">ifs(L203=1, L203&amp;"-"&amp; COUNTIFS($L$2:L203,1))</f>
        <v>#NAME?</v>
      </c>
      <c r="N203" s="15" t="s">
        <v>603</v>
      </c>
      <c r="O203" s="10"/>
      <c r="P203" s="22" t="n">
        <f aca="false">COUNTIFS(C:C,C203,N:N,"Đã xác nhận")/COUNTIFS(C:C,C203)</f>
        <v>1</v>
      </c>
      <c r="Q203" s="22"/>
      <c r="R203" s="0" t="s">
        <v>979</v>
      </c>
      <c r="S203" s="0" t="s">
        <v>26</v>
      </c>
      <c r="U203" s="24" t="n">
        <v>1</v>
      </c>
    </row>
    <row r="204" customFormat="false" ht="12.75" hidden="false" customHeight="false" outlineLevel="0" collapsed="false">
      <c r="A204" s="15" t="n">
        <v>397</v>
      </c>
      <c r="B204" s="15" t="s">
        <v>600</v>
      </c>
      <c r="C204" s="15" t="s">
        <v>487</v>
      </c>
      <c r="D204" s="15" t="s">
        <v>1021</v>
      </c>
      <c r="E204" s="15" t="s">
        <v>91</v>
      </c>
      <c r="F204" s="15"/>
      <c r="G204" s="10" t="n">
        <v>1</v>
      </c>
      <c r="H204" s="21" t="n">
        <v>46035.5710416667</v>
      </c>
      <c r="I204" s="15" t="s">
        <v>1022</v>
      </c>
      <c r="J204" s="15" t="s">
        <v>1022</v>
      </c>
      <c r="L204" s="10" t="n">
        <f aca="false">COUNTIF($E$2:E204,E204)</f>
        <v>1</v>
      </c>
      <c r="M204" s="10" t="e">
        <f aca="false">ifs(L204=1, L204&amp;"-"&amp; COUNTIFS($L$2:L204,1))</f>
        <v>#NAME?</v>
      </c>
      <c r="N204" s="15" t="s">
        <v>603</v>
      </c>
      <c r="O204" s="10"/>
      <c r="P204" s="22" t="n">
        <f aca="false">COUNTIFS(C:C,C204,N:N,"Đã xác nhận")/COUNTIFS(C:C,C204)</f>
        <v>1</v>
      </c>
      <c r="Q204" s="22"/>
      <c r="R204" s="0" t="s">
        <v>1021</v>
      </c>
      <c r="S204" s="0" t="s">
        <v>91</v>
      </c>
      <c r="U204" s="24" t="n">
        <v>1</v>
      </c>
    </row>
    <row r="205" customFormat="false" ht="12.75" hidden="false" customHeight="false" outlineLevel="0" collapsed="false">
      <c r="A205" s="15" t="n">
        <v>398</v>
      </c>
      <c r="B205" s="15" t="s">
        <v>600</v>
      </c>
      <c r="C205" s="15" t="s">
        <v>487</v>
      </c>
      <c r="D205" s="15" t="s">
        <v>1021</v>
      </c>
      <c r="E205" s="15" t="s">
        <v>543</v>
      </c>
      <c r="F205" s="15"/>
      <c r="G205" s="10" t="n">
        <v>1</v>
      </c>
      <c r="H205" s="21" t="n">
        <v>46035.5708333333</v>
      </c>
      <c r="I205" s="15" t="s">
        <v>1023</v>
      </c>
      <c r="J205" s="15" t="s">
        <v>1023</v>
      </c>
      <c r="L205" s="10" t="n">
        <f aca="false">COUNTIF($E$2:E205,E205)</f>
        <v>10</v>
      </c>
      <c r="M205" s="10" t="e">
        <f aca="false">ifs(L205=1, L205&amp;"-"&amp; COUNTIFS($L$2:L205,1))</f>
        <v>#NAME?</v>
      </c>
      <c r="N205" s="15" t="s">
        <v>603</v>
      </c>
      <c r="O205" s="10"/>
      <c r="P205" s="22" t="n">
        <f aca="false">COUNTIFS(C:C,C205,N:N,"Đã xác nhận")/COUNTIFS(C:C,C205)</f>
        <v>1</v>
      </c>
      <c r="Q205" s="22"/>
      <c r="R205" s="0" t="s">
        <v>1021</v>
      </c>
      <c r="S205" s="0" t="s">
        <v>544</v>
      </c>
      <c r="U205" s="24" t="n">
        <v>1</v>
      </c>
    </row>
    <row r="206" customFormat="false" ht="12.75" hidden="false" customHeight="false" outlineLevel="0" collapsed="false">
      <c r="A206" s="15" t="n">
        <v>401</v>
      </c>
      <c r="B206" s="15" t="s">
        <v>600</v>
      </c>
      <c r="C206" s="15" t="s">
        <v>487</v>
      </c>
      <c r="D206" s="15" t="s">
        <v>1024</v>
      </c>
      <c r="E206" s="15" t="s">
        <v>545</v>
      </c>
      <c r="F206" s="15"/>
      <c r="G206" s="10" t="n">
        <v>1</v>
      </c>
      <c r="H206" s="21" t="n">
        <v>46035.4950810185</v>
      </c>
      <c r="I206" s="15" t="s">
        <v>1025</v>
      </c>
      <c r="J206" s="15" t="s">
        <v>1025</v>
      </c>
      <c r="L206" s="10" t="n">
        <f aca="false">COUNTIF($E$2:E206,E206)</f>
        <v>10</v>
      </c>
      <c r="M206" s="10" t="e">
        <f aca="false">ifs(L206=1, L206&amp;"-"&amp; COUNTIFS($L$2:L206,1))</f>
        <v>#NAME?</v>
      </c>
      <c r="N206" s="15" t="s">
        <v>603</v>
      </c>
      <c r="O206" s="10"/>
      <c r="P206" s="22" t="n">
        <f aca="false">COUNTIFS(C:C,C206,N:N,"Đã xác nhận")/COUNTIFS(C:C,C206)</f>
        <v>1</v>
      </c>
      <c r="Q206" s="22"/>
      <c r="R206" s="0" t="s">
        <v>1024</v>
      </c>
      <c r="S206" s="0" t="s">
        <v>546</v>
      </c>
      <c r="U206" s="24" t="n">
        <v>1</v>
      </c>
    </row>
    <row r="207" customFormat="false" ht="12.75" hidden="false" customHeight="false" outlineLevel="0" collapsed="false">
      <c r="A207" s="15" t="n">
        <v>402</v>
      </c>
      <c r="B207" s="15" t="s">
        <v>600</v>
      </c>
      <c r="C207" s="15" t="s">
        <v>487</v>
      </c>
      <c r="D207" s="15" t="s">
        <v>1024</v>
      </c>
      <c r="E207" s="15" t="s">
        <v>543</v>
      </c>
      <c r="F207" s="15"/>
      <c r="G207" s="10" t="n">
        <v>2</v>
      </c>
      <c r="H207" s="21" t="n">
        <v>46035.5708449074</v>
      </c>
      <c r="I207" s="15" t="s">
        <v>1026</v>
      </c>
      <c r="J207" s="15" t="s">
        <v>1026</v>
      </c>
      <c r="L207" s="10" t="n">
        <f aca="false">COUNTIF($E$2:E207,E207)</f>
        <v>11</v>
      </c>
      <c r="M207" s="10" t="e">
        <f aca="false">ifs(L207=1, L207&amp;"-"&amp; COUNTIFS($L$2:L207,1))</f>
        <v>#NAME?</v>
      </c>
      <c r="N207" s="15" t="s">
        <v>603</v>
      </c>
      <c r="O207" s="10"/>
      <c r="P207" s="22" t="n">
        <f aca="false">COUNTIFS(C:C,C207,N:N,"Đã xác nhận")/COUNTIFS(C:C,C207)</f>
        <v>1</v>
      </c>
      <c r="Q207" s="22"/>
      <c r="R207" s="0" t="s">
        <v>1024</v>
      </c>
      <c r="S207" s="0" t="s">
        <v>544</v>
      </c>
      <c r="U207" s="24" t="n">
        <v>2</v>
      </c>
    </row>
    <row r="208" customFormat="false" ht="12.75" hidden="false" customHeight="false" outlineLevel="0" collapsed="false">
      <c r="A208" s="15" t="n">
        <v>408</v>
      </c>
      <c r="B208" s="15" t="s">
        <v>600</v>
      </c>
      <c r="C208" s="15" t="s">
        <v>487</v>
      </c>
      <c r="D208" s="15" t="s">
        <v>1027</v>
      </c>
      <c r="E208" s="15" t="s">
        <v>91</v>
      </c>
      <c r="F208" s="15"/>
      <c r="G208" s="10" t="n">
        <v>1</v>
      </c>
      <c r="H208" s="21" t="n">
        <v>46035.5710532407</v>
      </c>
      <c r="I208" s="15" t="s">
        <v>1028</v>
      </c>
      <c r="J208" s="15" t="s">
        <v>1028</v>
      </c>
      <c r="L208" s="10" t="n">
        <f aca="false">COUNTIF($E$2:E208,E208)</f>
        <v>2</v>
      </c>
      <c r="M208" s="10" t="e">
        <f aca="false">ifs(L208=1, L208&amp;"-"&amp; COUNTIFS($L$2:L208,1))</f>
        <v>#NAME?</v>
      </c>
      <c r="N208" s="15" t="s">
        <v>603</v>
      </c>
      <c r="O208" s="10"/>
      <c r="P208" s="22" t="n">
        <f aca="false">COUNTIFS(C:C,C208,N:N,"Đã xác nhận")/COUNTIFS(C:C,C208)</f>
        <v>1</v>
      </c>
      <c r="Q208" s="22"/>
      <c r="R208" s="0" t="s">
        <v>1027</v>
      </c>
      <c r="S208" s="0" t="s">
        <v>91</v>
      </c>
      <c r="U208" s="24" t="n">
        <v>1</v>
      </c>
    </row>
    <row r="209" customFormat="false" ht="12.75" hidden="false" customHeight="false" outlineLevel="0" collapsed="false">
      <c r="A209" s="15" t="n">
        <v>409</v>
      </c>
      <c r="B209" s="15" t="s">
        <v>600</v>
      </c>
      <c r="C209" s="15" t="s">
        <v>487</v>
      </c>
      <c r="D209" s="15" t="s">
        <v>1029</v>
      </c>
      <c r="E209" s="15" t="s">
        <v>69</v>
      </c>
      <c r="F209" s="15"/>
      <c r="G209" s="10" t="n">
        <v>1</v>
      </c>
      <c r="H209" s="21" t="n">
        <v>46035.5712268519</v>
      </c>
      <c r="I209" s="15" t="s">
        <v>1030</v>
      </c>
      <c r="J209" s="15" t="s">
        <v>1030</v>
      </c>
      <c r="L209" s="10" t="n">
        <f aca="false">COUNTIF($E$2:E209,E209)</f>
        <v>25</v>
      </c>
      <c r="M209" s="10" t="e">
        <f aca="false">ifs(L209=1, L209&amp;"-"&amp; COUNTIFS($L$2:L209,1))</f>
        <v>#NAME?</v>
      </c>
      <c r="N209" s="15" t="s">
        <v>603</v>
      </c>
      <c r="O209" s="10"/>
      <c r="P209" s="22" t="n">
        <f aca="false">COUNTIFS(C:C,C209,N:N,"Đã xác nhận")/COUNTIFS(C:C,C209)</f>
        <v>1</v>
      </c>
      <c r="Q209" s="22"/>
      <c r="R209" s="0" t="s">
        <v>1031</v>
      </c>
      <c r="S209" s="0" t="s">
        <v>535</v>
      </c>
      <c r="U209" s="24" t="n">
        <v>1</v>
      </c>
    </row>
    <row r="210" customFormat="false" ht="12.75" hidden="false" customHeight="false" outlineLevel="0" collapsed="false">
      <c r="A210" s="15" t="n">
        <v>410</v>
      </c>
      <c r="B210" s="15" t="s">
        <v>600</v>
      </c>
      <c r="C210" s="15" t="s">
        <v>487</v>
      </c>
      <c r="D210" s="15" t="s">
        <v>1029</v>
      </c>
      <c r="E210" s="15" t="s">
        <v>77</v>
      </c>
      <c r="F210" s="15"/>
      <c r="G210" s="10" t="n">
        <v>1</v>
      </c>
      <c r="H210" s="21" t="n">
        <v>46035.5722685185</v>
      </c>
      <c r="I210" s="15" t="s">
        <v>1032</v>
      </c>
      <c r="J210" s="15" t="s">
        <v>1032</v>
      </c>
      <c r="L210" s="10" t="n">
        <f aca="false">COUNTIF($E$2:E210,E210)</f>
        <v>10</v>
      </c>
      <c r="M210" s="10" t="e">
        <f aca="false">ifs(L210=1, L210&amp;"-"&amp; COUNTIFS($L$2:L210,1))</f>
        <v>#NAME?</v>
      </c>
      <c r="N210" s="15" t="s">
        <v>603</v>
      </c>
      <c r="O210" s="10"/>
      <c r="P210" s="22" t="n">
        <f aca="false">COUNTIFS(C:C,C210,N:N,"Đã xác nhận")/COUNTIFS(C:C,C210)</f>
        <v>1</v>
      </c>
      <c r="Q210" s="22"/>
      <c r="R210" s="0" t="s">
        <v>1031</v>
      </c>
      <c r="S210" s="0" t="s">
        <v>78</v>
      </c>
      <c r="U210" s="24" t="n">
        <v>1</v>
      </c>
    </row>
    <row r="211" customFormat="false" ht="12.75" hidden="false" customHeight="false" outlineLevel="0" collapsed="false">
      <c r="A211" s="15" t="n">
        <v>413</v>
      </c>
      <c r="B211" s="15" t="s">
        <v>600</v>
      </c>
      <c r="C211" s="15" t="s">
        <v>487</v>
      </c>
      <c r="D211" s="15" t="s">
        <v>673</v>
      </c>
      <c r="E211" s="15" t="s">
        <v>69</v>
      </c>
      <c r="F211" s="15"/>
      <c r="G211" s="10" t="n">
        <v>2</v>
      </c>
      <c r="H211" s="21" t="n">
        <v>46035.5712384259</v>
      </c>
      <c r="I211" s="15" t="s">
        <v>1033</v>
      </c>
      <c r="J211" s="15" t="s">
        <v>1033</v>
      </c>
      <c r="L211" s="10" t="n">
        <f aca="false">COUNTIF($E$2:E211,E211)</f>
        <v>26</v>
      </c>
      <c r="M211" s="10" t="e">
        <f aca="false">ifs(L211=1, L211&amp;"-"&amp; COUNTIFS($L$2:L211,1))</f>
        <v>#NAME?</v>
      </c>
      <c r="N211" s="15" t="s">
        <v>603</v>
      </c>
      <c r="O211" s="10"/>
      <c r="P211" s="22" t="n">
        <f aca="false">COUNTIFS(C:C,C211,N:N,"Đã xác nhận")/COUNTIFS(C:C,C211)</f>
        <v>1</v>
      </c>
      <c r="Q211" s="22"/>
      <c r="R211" s="0" t="s">
        <v>675</v>
      </c>
      <c r="S211" s="0" t="s">
        <v>535</v>
      </c>
      <c r="U211" s="24" t="n">
        <v>2</v>
      </c>
    </row>
    <row r="212" customFormat="false" ht="12.75" hidden="false" customHeight="false" outlineLevel="0" collapsed="false">
      <c r="A212" s="15" t="n">
        <v>414</v>
      </c>
      <c r="B212" s="15" t="s">
        <v>600</v>
      </c>
      <c r="C212" s="15" t="s">
        <v>487</v>
      </c>
      <c r="D212" s="15" t="s">
        <v>673</v>
      </c>
      <c r="E212" s="15" t="s">
        <v>77</v>
      </c>
      <c r="F212" s="15"/>
      <c r="G212" s="10" t="n">
        <v>2</v>
      </c>
      <c r="H212" s="21" t="n">
        <v>46035.5722685185</v>
      </c>
      <c r="I212" s="15" t="s">
        <v>1034</v>
      </c>
      <c r="J212" s="15" t="s">
        <v>1034</v>
      </c>
      <c r="L212" s="10" t="n">
        <f aca="false">COUNTIF($E$2:E212,E212)</f>
        <v>11</v>
      </c>
      <c r="M212" s="10" t="e">
        <f aca="false">ifs(L212=1, L212&amp;"-"&amp; COUNTIFS($L$2:L212,1))</f>
        <v>#NAME?</v>
      </c>
      <c r="N212" s="15" t="s">
        <v>603</v>
      </c>
      <c r="O212" s="10"/>
      <c r="P212" s="22" t="n">
        <f aca="false">COUNTIFS(C:C,C212,N:N,"Đã xác nhận")/COUNTIFS(C:C,C212)</f>
        <v>1</v>
      </c>
      <c r="Q212" s="22"/>
      <c r="R212" s="0" t="s">
        <v>675</v>
      </c>
      <c r="S212" s="0" t="s">
        <v>78</v>
      </c>
      <c r="U212" s="24" t="n">
        <v>2</v>
      </c>
    </row>
    <row r="213" customFormat="false" ht="12.75" hidden="false" customHeight="false" outlineLevel="0" collapsed="false">
      <c r="A213" s="15" t="n">
        <v>427</v>
      </c>
      <c r="B213" s="15" t="s">
        <v>600</v>
      </c>
      <c r="C213" s="15" t="s">
        <v>488</v>
      </c>
      <c r="D213" s="15" t="s">
        <v>1035</v>
      </c>
      <c r="E213" s="15" t="s">
        <v>69</v>
      </c>
      <c r="F213" s="15"/>
      <c r="G213" s="10" t="n">
        <v>1</v>
      </c>
      <c r="H213" s="21" t="n">
        <v>46035.6875115741</v>
      </c>
      <c r="I213" s="15" t="s">
        <v>1036</v>
      </c>
      <c r="J213" s="15" t="s">
        <v>1036</v>
      </c>
      <c r="L213" s="10" t="n">
        <f aca="false">COUNTIF($E$2:E213,E213)</f>
        <v>27</v>
      </c>
      <c r="M213" s="10" t="e">
        <f aca="false">ifs(L213=1, L213&amp;"-"&amp; COUNTIFS($L$2:L213,1))</f>
        <v>#NAME?</v>
      </c>
      <c r="N213" s="15" t="s">
        <v>603</v>
      </c>
      <c r="O213" s="10"/>
      <c r="P213" s="22" t="n">
        <f aca="false">COUNTIFS(C:C,C213,N:N,"Đã xác nhận")/COUNTIFS(C:C,C213)</f>
        <v>1</v>
      </c>
      <c r="Q213" s="22"/>
      <c r="R213" s="0" t="s">
        <v>1035</v>
      </c>
      <c r="S213" s="0" t="s">
        <v>535</v>
      </c>
      <c r="U213" s="24" t="n">
        <v>1</v>
      </c>
    </row>
    <row r="214" customFormat="false" ht="12.75" hidden="false" customHeight="false" outlineLevel="0" collapsed="false">
      <c r="A214" s="15" t="n">
        <v>428</v>
      </c>
      <c r="B214" s="15" t="s">
        <v>600</v>
      </c>
      <c r="C214" s="15" t="s">
        <v>488</v>
      </c>
      <c r="D214" s="15" t="s">
        <v>673</v>
      </c>
      <c r="E214" s="15" t="s">
        <v>69</v>
      </c>
      <c r="F214" s="15"/>
      <c r="G214" s="10" t="n">
        <v>2</v>
      </c>
      <c r="H214" s="21" t="n">
        <v>46035.6875231481</v>
      </c>
      <c r="I214" s="15" t="s">
        <v>1037</v>
      </c>
      <c r="J214" s="15" t="s">
        <v>1037</v>
      </c>
      <c r="L214" s="10" t="n">
        <f aca="false">COUNTIF($E$2:E214,E214)</f>
        <v>28</v>
      </c>
      <c r="M214" s="10" t="e">
        <f aca="false">ifs(L214=1, L214&amp;"-"&amp; COUNTIFS($L$2:L214,1))</f>
        <v>#NAME?</v>
      </c>
      <c r="N214" s="15" t="s">
        <v>603</v>
      </c>
      <c r="O214" s="10"/>
      <c r="P214" s="22" t="n">
        <f aca="false">COUNTIFS(C:C,C214,N:N,"Đã xác nhận")/COUNTIFS(C:C,C214)</f>
        <v>1</v>
      </c>
      <c r="Q214" s="22"/>
      <c r="R214" s="0" t="s">
        <v>675</v>
      </c>
      <c r="S214" s="0" t="s">
        <v>535</v>
      </c>
      <c r="U214" s="24" t="n">
        <v>2</v>
      </c>
    </row>
    <row r="215" customFormat="false" ht="12.75" hidden="false" customHeight="false" outlineLevel="0" collapsed="false">
      <c r="A215" s="15" t="n">
        <v>429</v>
      </c>
      <c r="B215" s="15"/>
      <c r="C215" s="15"/>
      <c r="D215" s="15"/>
      <c r="E215" s="15"/>
      <c r="F215" s="15"/>
      <c r="G215" s="10" t="n">
        <v>0</v>
      </c>
      <c r="H215" s="21" t="n">
        <v>46078.7009027778</v>
      </c>
      <c r="I215" s="15" t="s">
        <v>1038</v>
      </c>
      <c r="J215" s="15" t="s">
        <v>695</v>
      </c>
      <c r="K215" s="15" t="s">
        <v>1039</v>
      </c>
      <c r="L215" s="10" t="n">
        <f aca="false">COUNTIF($E$2:E215,E215)</f>
        <v>0</v>
      </c>
      <c r="M215" s="10" t="e">
        <f aca="false">ifs(L215=1, L215&amp;"-"&amp; COUNTIFS($L$2:L215,1))</f>
        <v>#NAME?</v>
      </c>
      <c r="O215" s="10"/>
      <c r="P215" s="22" t="e">
        <f aca="false">COUNTIFS(C:C,C215,N:N,"Đã xác nhận")/COUNTIFS(C:C,C215)</f>
        <v>#DIV/0!</v>
      </c>
      <c r="Q215" s="22"/>
      <c r="R215" s="0" t="e">
        <f aca="false">#VALUE!</f>
        <v>#VALUE!</v>
      </c>
      <c r="S215" s="0" t="e">
        <f aca="false">#VALUE!</f>
        <v>#VALUE!</v>
      </c>
      <c r="U215" s="24" t="n">
        <v>0</v>
      </c>
    </row>
    <row r="216" customFormat="false" ht="12.75" hidden="false" customHeight="false" outlineLevel="0" collapsed="false">
      <c r="A216" s="15" t="n">
        <v>432</v>
      </c>
      <c r="B216" s="15"/>
      <c r="C216" s="15"/>
      <c r="D216" s="15"/>
      <c r="E216" s="15"/>
      <c r="F216" s="15"/>
      <c r="G216" s="10" t="n">
        <v>0</v>
      </c>
      <c r="H216" s="21" t="n">
        <v>46078.7009259259</v>
      </c>
      <c r="I216" s="15" t="s">
        <v>1040</v>
      </c>
      <c r="J216" s="15" t="s">
        <v>695</v>
      </c>
      <c r="K216" s="15" t="s">
        <v>1041</v>
      </c>
      <c r="L216" s="10" t="n">
        <f aca="false">COUNTIF($E$2:E216,E216)</f>
        <v>0</v>
      </c>
      <c r="M216" s="10" t="e">
        <f aca="false">ifs(L216=1, L216&amp;"-"&amp; COUNTIFS($L$2:L216,1))</f>
        <v>#NAME?</v>
      </c>
      <c r="O216" s="10"/>
      <c r="P216" s="22" t="e">
        <f aca="false">COUNTIFS(C:C,C216,N:N,"Đã xác nhận")/COUNTIFS(C:C,C216)</f>
        <v>#DIV/0!</v>
      </c>
      <c r="Q216" s="22"/>
      <c r="R216" s="0" t="e">
        <f aca="false">#VALUE!</f>
        <v>#VALUE!</v>
      </c>
      <c r="S216" s="0" t="e">
        <f aca="false">#VALUE!</f>
        <v>#VALUE!</v>
      </c>
      <c r="U216" s="24" t="n">
        <v>0</v>
      </c>
    </row>
    <row r="217" customFormat="false" ht="12.75" hidden="false" customHeight="false" outlineLevel="0" collapsed="false">
      <c r="A217" s="15" t="n">
        <v>433</v>
      </c>
      <c r="B217" s="15"/>
      <c r="C217" s="15"/>
      <c r="D217" s="15"/>
      <c r="E217" s="15"/>
      <c r="F217" s="15"/>
      <c r="G217" s="10" t="n">
        <v>0</v>
      </c>
      <c r="H217" s="21" t="n">
        <v>46078.7010069444</v>
      </c>
      <c r="I217" s="15" t="s">
        <v>1042</v>
      </c>
      <c r="J217" s="15" t="s">
        <v>695</v>
      </c>
      <c r="K217" s="15" t="s">
        <v>1043</v>
      </c>
      <c r="L217" s="10" t="n">
        <f aca="false">COUNTIF($E$2:E217,E217)</f>
        <v>0</v>
      </c>
      <c r="M217" s="10" t="e">
        <f aca="false">ifs(L217=1, L217&amp;"-"&amp; COUNTIFS($L$2:L217,1))</f>
        <v>#NAME?</v>
      </c>
      <c r="O217" s="10"/>
      <c r="P217" s="22" t="e">
        <f aca="false">COUNTIFS(C:C,C217,N:N,"Đã xác nhận")/COUNTIFS(C:C,C217)</f>
        <v>#DIV/0!</v>
      </c>
      <c r="Q217" s="22"/>
      <c r="R217" s="0" t="e">
        <f aca="false">#VALUE!</f>
        <v>#VALUE!</v>
      </c>
      <c r="S217" s="0" t="e">
        <f aca="false">#VALUE!</f>
        <v>#VALUE!</v>
      </c>
      <c r="U217" s="24" t="n">
        <v>0</v>
      </c>
    </row>
    <row r="218" customFormat="false" ht="12.75" hidden="false" customHeight="false" outlineLevel="0" collapsed="false">
      <c r="A218" s="15" t="n">
        <v>435</v>
      </c>
      <c r="B218" s="15"/>
      <c r="C218" s="15"/>
      <c r="D218" s="15"/>
      <c r="E218" s="15"/>
      <c r="F218" s="15"/>
      <c r="G218" s="10" t="n">
        <v>0</v>
      </c>
      <c r="H218" s="21" t="n">
        <v>46078.700775463</v>
      </c>
      <c r="I218" s="15" t="s">
        <v>1044</v>
      </c>
      <c r="J218" s="15" t="s">
        <v>695</v>
      </c>
      <c r="K218" s="15" t="s">
        <v>1045</v>
      </c>
      <c r="L218" s="10" t="n">
        <f aca="false">COUNTIF($E$2:E218,E218)</f>
        <v>0</v>
      </c>
      <c r="M218" s="10" t="e">
        <f aca="false">ifs(L218=1, L218&amp;"-"&amp; COUNTIFS($L$2:L218,1))</f>
        <v>#NAME?</v>
      </c>
      <c r="O218" s="10"/>
      <c r="P218" s="22" t="e">
        <f aca="false">COUNTIFS(C:C,C218,N:N,"Đã xác nhận")/COUNTIFS(C:C,C218)</f>
        <v>#DIV/0!</v>
      </c>
      <c r="Q218" s="22"/>
      <c r="R218" s="0" t="e">
        <f aca="false">#VALUE!</f>
        <v>#VALUE!</v>
      </c>
      <c r="S218" s="0" t="e">
        <f aca="false">#VALUE!</f>
        <v>#VALUE!</v>
      </c>
      <c r="U218" s="24" t="n">
        <v>0</v>
      </c>
    </row>
    <row r="219" customFormat="false" ht="12.75" hidden="false" customHeight="false" outlineLevel="0" collapsed="false">
      <c r="A219" s="15" t="n">
        <v>436</v>
      </c>
      <c r="B219" s="15"/>
      <c r="C219" s="15"/>
      <c r="D219" s="15"/>
      <c r="E219" s="15"/>
      <c r="F219" s="15"/>
      <c r="G219" s="10" t="n">
        <v>0</v>
      </c>
      <c r="H219" s="21" t="n">
        <v>46078.7010300926</v>
      </c>
      <c r="I219" s="15" t="s">
        <v>1046</v>
      </c>
      <c r="J219" s="15" t="s">
        <v>695</v>
      </c>
      <c r="K219" s="15" t="s">
        <v>1047</v>
      </c>
      <c r="L219" s="10" t="n">
        <f aca="false">COUNTIF($E$2:E219,E219)</f>
        <v>0</v>
      </c>
      <c r="M219" s="10" t="e">
        <f aca="false">ifs(L219=1, L219&amp;"-"&amp; COUNTIFS($L$2:L219,1))</f>
        <v>#NAME?</v>
      </c>
      <c r="O219" s="10"/>
      <c r="P219" s="22" t="e">
        <f aca="false">COUNTIFS(C:C,C219,N:N,"Đã xác nhận")/COUNTIFS(C:C,C219)</f>
        <v>#DIV/0!</v>
      </c>
      <c r="Q219" s="22"/>
      <c r="R219" s="0" t="e">
        <f aca="false">#VALUE!</f>
        <v>#VALUE!</v>
      </c>
      <c r="S219" s="0" t="e">
        <f aca="false">#VALUE!</f>
        <v>#VALUE!</v>
      </c>
      <c r="U219" s="24" t="n">
        <v>0</v>
      </c>
    </row>
    <row r="220" customFormat="false" ht="12.75" hidden="false" customHeight="false" outlineLevel="0" collapsed="false">
      <c r="A220" s="15" t="n">
        <v>437</v>
      </c>
      <c r="B220" s="15"/>
      <c r="C220" s="15"/>
      <c r="D220" s="15"/>
      <c r="E220" s="15"/>
      <c r="F220" s="15"/>
      <c r="G220" s="10" t="n">
        <v>0</v>
      </c>
      <c r="H220" s="21" t="n">
        <v>46078.7008564815</v>
      </c>
      <c r="I220" s="15" t="s">
        <v>1048</v>
      </c>
      <c r="J220" s="15" t="s">
        <v>695</v>
      </c>
      <c r="K220" s="15" t="s">
        <v>1049</v>
      </c>
      <c r="L220" s="10" t="n">
        <f aca="false">COUNTIF($E$2:E220,E220)</f>
        <v>0</v>
      </c>
      <c r="M220" s="10" t="e">
        <f aca="false">ifs(L220=1, L220&amp;"-"&amp; COUNTIFS($L$2:L220,1))</f>
        <v>#NAME?</v>
      </c>
      <c r="O220" s="10"/>
      <c r="P220" s="22" t="e">
        <f aca="false">COUNTIFS(C:C,C220,N:N,"Đã xác nhận")/COUNTIFS(C:C,C220)</f>
        <v>#DIV/0!</v>
      </c>
      <c r="Q220" s="22"/>
      <c r="R220" s="0" t="e">
        <f aca="false">#VALUE!</f>
        <v>#VALUE!</v>
      </c>
      <c r="S220" s="0" t="e">
        <f aca="false">#VALUE!</f>
        <v>#VALUE!</v>
      </c>
      <c r="U220" s="24" t="n">
        <v>0</v>
      </c>
    </row>
    <row r="221" customFormat="false" ht="12.75" hidden="false" customHeight="false" outlineLevel="0" collapsed="false">
      <c r="A221" s="15" t="n">
        <v>439</v>
      </c>
      <c r="B221" s="15" t="s">
        <v>600</v>
      </c>
      <c r="C221" s="15" t="s">
        <v>490</v>
      </c>
      <c r="D221" s="15" t="s">
        <v>1050</v>
      </c>
      <c r="E221" s="15" t="s">
        <v>81</v>
      </c>
      <c r="F221" s="15"/>
      <c r="G221" s="10" t="n">
        <v>2</v>
      </c>
      <c r="H221" s="21" t="n">
        <v>46035.6903240741</v>
      </c>
      <c r="I221" s="15" t="s">
        <v>1051</v>
      </c>
      <c r="J221" s="15" t="s">
        <v>1051</v>
      </c>
      <c r="K221" s="15"/>
      <c r="L221" s="10" t="n">
        <f aca="false">COUNTIF($E$2:E221,E221)</f>
        <v>46</v>
      </c>
      <c r="M221" s="10" t="e">
        <f aca="false">ifs(L221=1, L221&amp;"-"&amp; COUNTIFS($L$2:L221,1))</f>
        <v>#NAME?</v>
      </c>
      <c r="N221" s="15" t="s">
        <v>603</v>
      </c>
      <c r="O221" s="10"/>
      <c r="P221" s="22" t="n">
        <f aca="false">COUNTIFS(C:C,C221,N:N,"Đã xác nhận")/COUNTIFS(C:C,C221)</f>
        <v>0.961538461538462</v>
      </c>
      <c r="Q221" s="22"/>
      <c r="R221" s="0" t="s">
        <v>1052</v>
      </c>
      <c r="S221" s="0" t="s">
        <v>534</v>
      </c>
      <c r="U221" s="24" t="n">
        <v>2</v>
      </c>
    </row>
    <row r="222" customFormat="false" ht="12.75" hidden="false" customHeight="false" outlineLevel="0" collapsed="false">
      <c r="A222" s="15" t="n">
        <v>440</v>
      </c>
      <c r="B222" s="15"/>
      <c r="C222" s="15"/>
      <c r="D222" s="15"/>
      <c r="E222" s="15"/>
      <c r="F222" s="15"/>
      <c r="G222" s="10" t="n">
        <v>0</v>
      </c>
      <c r="H222" s="21" t="n">
        <v>46035.6934375</v>
      </c>
      <c r="I222" s="15" t="s">
        <v>1053</v>
      </c>
      <c r="J222" s="15" t="s">
        <v>695</v>
      </c>
      <c r="K222" s="15" t="s">
        <v>1054</v>
      </c>
      <c r="L222" s="10" t="n">
        <f aca="false">COUNTIF($E$2:E222,E222)</f>
        <v>0</v>
      </c>
      <c r="M222" s="10" t="e">
        <f aca="false">ifs(L222=1, L222&amp;"-"&amp; COUNTIFS($L$2:L222,1))</f>
        <v>#NAME?</v>
      </c>
      <c r="O222" s="10"/>
      <c r="P222" s="22" t="e">
        <f aca="false">COUNTIFS(C:C,C222,N:N,"Đã xác nhận")/COUNTIFS(C:C,C222)</f>
        <v>#DIV/0!</v>
      </c>
      <c r="Q222" s="22"/>
      <c r="R222" s="0" t="e">
        <f aca="false">#VALUE!</f>
        <v>#VALUE!</v>
      </c>
      <c r="S222" s="0" t="e">
        <f aca="false">#VALUE!</f>
        <v>#VALUE!</v>
      </c>
      <c r="U222" s="24" t="n">
        <v>0</v>
      </c>
    </row>
    <row r="223" customFormat="false" ht="12.75" hidden="false" customHeight="false" outlineLevel="0" collapsed="false">
      <c r="A223" s="15" t="n">
        <v>441</v>
      </c>
      <c r="B223" s="15" t="s">
        <v>600</v>
      </c>
      <c r="C223" s="15" t="s">
        <v>490</v>
      </c>
      <c r="D223" s="15" t="s">
        <v>1055</v>
      </c>
      <c r="E223" s="15" t="s">
        <v>75</v>
      </c>
      <c r="F223" s="15"/>
      <c r="G223" s="10" t="n">
        <v>1</v>
      </c>
      <c r="H223" s="21" t="n">
        <v>46035.6895949074</v>
      </c>
      <c r="I223" s="15" t="s">
        <v>1056</v>
      </c>
      <c r="J223" s="15" t="s">
        <v>1056</v>
      </c>
      <c r="L223" s="10" t="n">
        <f aca="false">COUNTIF($E$2:E223,E223)</f>
        <v>2</v>
      </c>
      <c r="M223" s="10" t="e">
        <f aca="false">ifs(L223=1, L223&amp;"-"&amp; COUNTIFS($L$2:L223,1))</f>
        <v>#NAME?</v>
      </c>
      <c r="N223" s="15" t="s">
        <v>603</v>
      </c>
      <c r="O223" s="10"/>
      <c r="P223" s="22" t="n">
        <f aca="false">COUNTIFS(C:C,C223,N:N,"Đã xác nhận")/COUNTIFS(C:C,C223)</f>
        <v>0.961538461538462</v>
      </c>
      <c r="Q223" s="22"/>
      <c r="R223" s="0" t="s">
        <v>1057</v>
      </c>
      <c r="S223" s="0" t="s">
        <v>560</v>
      </c>
      <c r="U223" s="24" t="n">
        <v>1</v>
      </c>
    </row>
    <row r="224" customFormat="false" ht="12.75" hidden="false" customHeight="false" outlineLevel="0" collapsed="false">
      <c r="A224" s="15" t="n">
        <v>443</v>
      </c>
      <c r="B224" s="15" t="s">
        <v>600</v>
      </c>
      <c r="C224" s="15" t="s">
        <v>490</v>
      </c>
      <c r="D224" s="15" t="s">
        <v>1055</v>
      </c>
      <c r="E224" s="15" t="s">
        <v>81</v>
      </c>
      <c r="F224" s="15"/>
      <c r="G224" s="10" t="n">
        <v>3</v>
      </c>
      <c r="H224" s="21" t="n">
        <v>46035.6902662037</v>
      </c>
      <c r="I224" s="15" t="s">
        <v>1058</v>
      </c>
      <c r="J224" s="15" t="s">
        <v>1058</v>
      </c>
      <c r="K224" s="15"/>
      <c r="L224" s="10" t="n">
        <f aca="false">COUNTIF($E$2:E224,E224)</f>
        <v>47</v>
      </c>
      <c r="M224" s="10" t="e">
        <f aca="false">ifs(L224=1, L224&amp;"-"&amp; COUNTIFS($L$2:L224,1))</f>
        <v>#NAME?</v>
      </c>
      <c r="N224" s="15" t="s">
        <v>603</v>
      </c>
      <c r="O224" s="10"/>
      <c r="P224" s="22" t="n">
        <f aca="false">COUNTIFS(C:C,C224,N:N,"Đã xác nhận")/COUNTIFS(C:C,C224)</f>
        <v>0.961538461538462</v>
      </c>
      <c r="Q224" s="22"/>
      <c r="R224" s="0" t="s">
        <v>1057</v>
      </c>
      <c r="S224" s="0" t="s">
        <v>534</v>
      </c>
      <c r="U224" s="24" t="n">
        <v>3</v>
      </c>
    </row>
    <row r="225" customFormat="false" ht="12.75" hidden="false" customHeight="false" outlineLevel="0" collapsed="false">
      <c r="A225" s="15" t="n">
        <v>444</v>
      </c>
      <c r="B225" s="15" t="s">
        <v>600</v>
      </c>
      <c r="C225" s="15" t="s">
        <v>490</v>
      </c>
      <c r="D225" s="15" t="s">
        <v>1059</v>
      </c>
      <c r="E225" s="15" t="s">
        <v>81</v>
      </c>
      <c r="F225" s="15"/>
      <c r="G225" s="10" t="n">
        <v>2</v>
      </c>
      <c r="H225" s="21" t="n">
        <v>46035.6903587963</v>
      </c>
      <c r="I225" s="15" t="s">
        <v>1060</v>
      </c>
      <c r="J225" s="15" t="s">
        <v>1060</v>
      </c>
      <c r="K225" s="15"/>
      <c r="L225" s="10" t="n">
        <f aca="false">COUNTIF($E$2:E225,E225)</f>
        <v>48</v>
      </c>
      <c r="M225" s="10" t="e">
        <f aca="false">ifs(L225=1, L225&amp;"-"&amp; COUNTIFS($L$2:L225,1))</f>
        <v>#NAME?</v>
      </c>
      <c r="N225" s="15" t="s">
        <v>603</v>
      </c>
      <c r="O225" s="10"/>
      <c r="P225" s="22" t="n">
        <f aca="false">COUNTIFS(C:C,C225,N:N,"Đã xác nhận")/COUNTIFS(C:C,C225)</f>
        <v>0.961538461538462</v>
      </c>
      <c r="Q225" s="22"/>
      <c r="R225" s="0" t="s">
        <v>1061</v>
      </c>
      <c r="S225" s="0" t="s">
        <v>534</v>
      </c>
      <c r="U225" s="24" t="n">
        <v>2</v>
      </c>
    </row>
    <row r="226" customFormat="false" ht="12.75" hidden="false" customHeight="false" outlineLevel="0" collapsed="false">
      <c r="A226" s="15" t="n">
        <v>445</v>
      </c>
      <c r="B226" s="15" t="s">
        <v>600</v>
      </c>
      <c r="C226" s="15" t="s">
        <v>490</v>
      </c>
      <c r="D226" s="15" t="s">
        <v>1062</v>
      </c>
      <c r="E226" s="15" t="s">
        <v>81</v>
      </c>
      <c r="F226" s="15"/>
      <c r="G226" s="10" t="n">
        <v>2</v>
      </c>
      <c r="H226" s="21" t="n">
        <v>46035.6903009259</v>
      </c>
      <c r="I226" s="15" t="s">
        <v>1063</v>
      </c>
      <c r="J226" s="15" t="s">
        <v>1063</v>
      </c>
      <c r="K226" s="15"/>
      <c r="L226" s="10" t="n">
        <f aca="false">COUNTIF($E$2:E226,E226)</f>
        <v>49</v>
      </c>
      <c r="M226" s="10" t="e">
        <f aca="false">ifs(L226=1, L226&amp;"-"&amp; COUNTIFS($L$2:L226,1))</f>
        <v>#NAME?</v>
      </c>
      <c r="N226" s="15" t="s">
        <v>603</v>
      </c>
      <c r="O226" s="10"/>
      <c r="P226" s="22" t="n">
        <f aca="false">COUNTIFS(C:C,C226,N:N,"Đã xác nhận")/COUNTIFS(C:C,C226)</f>
        <v>0.961538461538462</v>
      </c>
      <c r="Q226" s="22"/>
      <c r="R226" s="0" t="s">
        <v>1064</v>
      </c>
      <c r="S226" s="0" t="s">
        <v>534</v>
      </c>
      <c r="U226" s="24" t="n">
        <v>2</v>
      </c>
    </row>
    <row r="227" customFormat="false" ht="12.75" hidden="false" customHeight="false" outlineLevel="0" collapsed="false">
      <c r="A227" s="15" t="n">
        <v>447</v>
      </c>
      <c r="B227" s="15" t="s">
        <v>600</v>
      </c>
      <c r="C227" s="15" t="s">
        <v>490</v>
      </c>
      <c r="D227" s="15" t="s">
        <v>1065</v>
      </c>
      <c r="E227" s="15" t="s">
        <v>81</v>
      </c>
      <c r="F227" s="15"/>
      <c r="G227" s="10" t="n">
        <v>2</v>
      </c>
      <c r="H227" s="21" t="n">
        <v>46035.6903009259</v>
      </c>
      <c r="I227" s="15" t="s">
        <v>1066</v>
      </c>
      <c r="J227" s="15" t="s">
        <v>1066</v>
      </c>
      <c r="K227" s="15"/>
      <c r="L227" s="10" t="n">
        <f aca="false">COUNTIF($E$2:E227,E227)</f>
        <v>50</v>
      </c>
      <c r="M227" s="10" t="e">
        <f aca="false">ifs(L227=1, L227&amp;"-"&amp; COUNTIFS($L$2:L227,1))</f>
        <v>#NAME?</v>
      </c>
      <c r="N227" s="15" t="s">
        <v>603</v>
      </c>
      <c r="O227" s="10"/>
      <c r="P227" s="22" t="n">
        <f aca="false">COUNTIFS(C:C,C227,N:N,"Đã xác nhận")/COUNTIFS(C:C,C227)</f>
        <v>0.961538461538462</v>
      </c>
      <c r="Q227" s="22"/>
      <c r="R227" s="0" t="s">
        <v>1067</v>
      </c>
      <c r="S227" s="0" t="s">
        <v>534</v>
      </c>
      <c r="U227" s="24" t="n">
        <v>2</v>
      </c>
    </row>
    <row r="228" customFormat="false" ht="12.75" hidden="false" customHeight="false" outlineLevel="0" collapsed="false">
      <c r="A228" s="15" t="n">
        <v>450</v>
      </c>
      <c r="B228" s="15" t="s">
        <v>600</v>
      </c>
      <c r="C228" s="15" t="s">
        <v>490</v>
      </c>
      <c r="D228" s="15" t="s">
        <v>1065</v>
      </c>
      <c r="E228" s="15" t="s">
        <v>37</v>
      </c>
      <c r="F228" s="15"/>
      <c r="G228" s="10" t="n">
        <v>1</v>
      </c>
      <c r="H228" s="21" t="n">
        <v>46035.6936458333</v>
      </c>
      <c r="I228" s="15" t="s">
        <v>1068</v>
      </c>
      <c r="J228" s="15" t="s">
        <v>1068</v>
      </c>
      <c r="L228" s="10" t="n">
        <f aca="false">COUNTIF($E$2:E228,E228)</f>
        <v>7</v>
      </c>
      <c r="M228" s="10" t="e">
        <f aca="false">ifs(L228=1, L228&amp;"-"&amp; COUNTIFS($L$2:L228,1))</f>
        <v>#NAME?</v>
      </c>
      <c r="N228" s="15" t="s">
        <v>603</v>
      </c>
      <c r="O228" s="10"/>
      <c r="P228" s="22" t="n">
        <f aca="false">COUNTIFS(C:C,C228,N:N,"Đã xác nhận")/COUNTIFS(C:C,C228)</f>
        <v>0.961538461538462</v>
      </c>
      <c r="Q228" s="22"/>
      <c r="R228" s="0" t="s">
        <v>1067</v>
      </c>
      <c r="S228" s="0" t="s">
        <v>561</v>
      </c>
      <c r="U228" s="24" t="n">
        <v>1</v>
      </c>
    </row>
    <row r="229" customFormat="false" ht="12.75" hidden="false" customHeight="false" outlineLevel="0" collapsed="false">
      <c r="A229" s="15" t="n">
        <v>451</v>
      </c>
      <c r="B229" s="15" t="s">
        <v>600</v>
      </c>
      <c r="C229" s="15" t="s">
        <v>490</v>
      </c>
      <c r="D229" s="15" t="s">
        <v>1069</v>
      </c>
      <c r="E229" s="15" t="s">
        <v>81</v>
      </c>
      <c r="F229" s="15"/>
      <c r="G229" s="10" t="n">
        <v>2</v>
      </c>
      <c r="H229" s="21" t="n">
        <v>46035.6903356482</v>
      </c>
      <c r="I229" s="15" t="s">
        <v>1070</v>
      </c>
      <c r="J229" s="15" t="s">
        <v>1070</v>
      </c>
      <c r="K229" s="15"/>
      <c r="L229" s="10" t="n">
        <f aca="false">COUNTIF($E$2:E229,E229)</f>
        <v>51</v>
      </c>
      <c r="M229" s="10" t="e">
        <f aca="false">ifs(L229=1, L229&amp;"-"&amp; COUNTIFS($L$2:L229,1))</f>
        <v>#NAME?</v>
      </c>
      <c r="N229" s="15" t="s">
        <v>603</v>
      </c>
      <c r="O229" s="10"/>
      <c r="P229" s="22" t="n">
        <f aca="false">COUNTIFS(C:C,C229,N:N,"Đã xác nhận")/COUNTIFS(C:C,C229)</f>
        <v>0.961538461538462</v>
      </c>
      <c r="Q229" s="22"/>
      <c r="R229" s="0" t="s">
        <v>1071</v>
      </c>
      <c r="S229" s="0" t="s">
        <v>534</v>
      </c>
      <c r="U229" s="24" t="n">
        <v>2</v>
      </c>
    </row>
    <row r="230" customFormat="false" ht="12.75" hidden="false" customHeight="false" outlineLevel="0" collapsed="false">
      <c r="A230" s="15" t="n">
        <v>453</v>
      </c>
      <c r="B230" s="15" t="s">
        <v>600</v>
      </c>
      <c r="C230" s="15" t="s">
        <v>490</v>
      </c>
      <c r="D230" s="15" t="s">
        <v>1072</v>
      </c>
      <c r="E230" s="15" t="s">
        <v>81</v>
      </c>
      <c r="F230" s="15"/>
      <c r="G230" s="10" t="n">
        <v>2</v>
      </c>
      <c r="H230" s="21" t="n">
        <v>46035.6902893519</v>
      </c>
      <c r="I230" s="15" t="s">
        <v>1073</v>
      </c>
      <c r="J230" s="15" t="s">
        <v>1073</v>
      </c>
      <c r="K230" s="15"/>
      <c r="L230" s="10" t="n">
        <f aca="false">COUNTIF($E$2:E230,E230)</f>
        <v>52</v>
      </c>
      <c r="M230" s="10" t="e">
        <f aca="false">ifs(L230=1, L230&amp;"-"&amp; COUNTIFS($L$2:L230,1))</f>
        <v>#NAME?</v>
      </c>
      <c r="N230" s="15" t="s">
        <v>603</v>
      </c>
      <c r="O230" s="10"/>
      <c r="P230" s="22" t="n">
        <f aca="false">COUNTIFS(C:C,C230,N:N,"Đã xác nhận")/COUNTIFS(C:C,C230)</f>
        <v>0.961538461538462</v>
      </c>
      <c r="Q230" s="22"/>
      <c r="R230" s="0" t="s">
        <v>1074</v>
      </c>
      <c r="S230" s="0" t="s">
        <v>534</v>
      </c>
      <c r="U230" s="24" t="n">
        <v>2</v>
      </c>
    </row>
    <row r="231" customFormat="false" ht="12.75" hidden="false" customHeight="false" outlineLevel="0" collapsed="false">
      <c r="A231" s="15" t="n">
        <v>455</v>
      </c>
      <c r="B231" s="15" t="s">
        <v>600</v>
      </c>
      <c r="C231" s="15" t="s">
        <v>490</v>
      </c>
      <c r="D231" s="15" t="s">
        <v>1075</v>
      </c>
      <c r="E231" s="15" t="s">
        <v>81</v>
      </c>
      <c r="F231" s="15"/>
      <c r="G231" s="10" t="n">
        <v>2</v>
      </c>
      <c r="H231" s="21" t="n">
        <v>46035.6902893519</v>
      </c>
      <c r="I231" s="15" t="s">
        <v>1076</v>
      </c>
      <c r="J231" s="15" t="s">
        <v>1076</v>
      </c>
      <c r="K231" s="15"/>
      <c r="L231" s="10" t="n">
        <f aca="false">COUNTIF($E$2:E231,E231)</f>
        <v>53</v>
      </c>
      <c r="M231" s="10" t="e">
        <f aca="false">ifs(L231=1, L231&amp;"-"&amp; COUNTIFS($L$2:L231,1))</f>
        <v>#NAME?</v>
      </c>
      <c r="N231" s="15" t="s">
        <v>603</v>
      </c>
      <c r="O231" s="10"/>
      <c r="P231" s="22" t="n">
        <f aca="false">COUNTIFS(C:C,C231,N:N,"Đã xác nhận")/COUNTIFS(C:C,C231)</f>
        <v>0.961538461538462</v>
      </c>
      <c r="Q231" s="22"/>
      <c r="R231" s="0" t="s">
        <v>1077</v>
      </c>
      <c r="S231" s="0" t="s">
        <v>534</v>
      </c>
      <c r="U231" s="24" t="n">
        <v>2</v>
      </c>
    </row>
    <row r="232" customFormat="false" ht="12.75" hidden="false" customHeight="false" outlineLevel="0" collapsed="false">
      <c r="A232" s="15" t="n">
        <v>457</v>
      </c>
      <c r="B232" s="15" t="s">
        <v>600</v>
      </c>
      <c r="C232" s="15" t="s">
        <v>490</v>
      </c>
      <c r="D232" s="15" t="s">
        <v>1078</v>
      </c>
      <c r="E232" s="15" t="s">
        <v>81</v>
      </c>
      <c r="F232" s="15"/>
      <c r="G232" s="10" t="n">
        <v>2</v>
      </c>
      <c r="H232" s="21" t="n">
        <v>46035.6903472222</v>
      </c>
      <c r="I232" s="15" t="s">
        <v>1079</v>
      </c>
      <c r="J232" s="15" t="s">
        <v>1079</v>
      </c>
      <c r="K232" s="15"/>
      <c r="L232" s="10" t="n">
        <f aca="false">COUNTIF($E$2:E232,E232)</f>
        <v>54</v>
      </c>
      <c r="M232" s="10" t="e">
        <f aca="false">ifs(L232=1, L232&amp;"-"&amp; COUNTIFS($L$2:L232,1))</f>
        <v>#NAME?</v>
      </c>
      <c r="N232" s="15" t="s">
        <v>603</v>
      </c>
      <c r="O232" s="10"/>
      <c r="P232" s="22" t="n">
        <f aca="false">COUNTIFS(C:C,C232,N:N,"Đã xác nhận")/COUNTIFS(C:C,C232)</f>
        <v>0.961538461538462</v>
      </c>
      <c r="Q232" s="22"/>
      <c r="R232" s="0" t="s">
        <v>1080</v>
      </c>
      <c r="S232" s="0" t="s">
        <v>534</v>
      </c>
      <c r="U232" s="24" t="n">
        <v>2</v>
      </c>
    </row>
    <row r="233" customFormat="false" ht="12.75" hidden="false" customHeight="false" outlineLevel="0" collapsed="false">
      <c r="A233" s="15" t="n">
        <v>461</v>
      </c>
      <c r="B233" s="15" t="s">
        <v>600</v>
      </c>
      <c r="C233" s="15" t="s">
        <v>490</v>
      </c>
      <c r="D233" s="15" t="s">
        <v>1081</v>
      </c>
      <c r="E233" s="15" t="s">
        <v>81</v>
      </c>
      <c r="F233" s="15"/>
      <c r="G233" s="10" t="n">
        <v>2</v>
      </c>
      <c r="H233" s="21" t="n">
        <v>46035.6903472222</v>
      </c>
      <c r="I233" s="15" t="s">
        <v>1082</v>
      </c>
      <c r="J233" s="15" t="s">
        <v>1082</v>
      </c>
      <c r="K233" s="15"/>
      <c r="L233" s="10" t="n">
        <f aca="false">COUNTIF($E$2:E233,E233)</f>
        <v>55</v>
      </c>
      <c r="M233" s="10" t="e">
        <f aca="false">ifs(L233=1, L233&amp;"-"&amp; COUNTIFS($L$2:L233,1))</f>
        <v>#NAME?</v>
      </c>
      <c r="N233" s="15" t="s">
        <v>603</v>
      </c>
      <c r="O233" s="10"/>
      <c r="P233" s="22" t="n">
        <f aca="false">COUNTIFS(C:C,C233,N:N,"Đã xác nhận")/COUNTIFS(C:C,C233)</f>
        <v>0.961538461538462</v>
      </c>
      <c r="Q233" s="22"/>
      <c r="R233" s="0" t="s">
        <v>1083</v>
      </c>
      <c r="S233" s="0" t="s">
        <v>534</v>
      </c>
      <c r="U233" s="24" t="n">
        <v>2</v>
      </c>
    </row>
    <row r="234" customFormat="false" ht="12.75" hidden="false" customHeight="false" outlineLevel="0" collapsed="false">
      <c r="A234" s="15" t="n">
        <v>462</v>
      </c>
      <c r="B234" s="15" t="s">
        <v>600</v>
      </c>
      <c r="C234" s="15" t="s">
        <v>490</v>
      </c>
      <c r="D234" s="15" t="s">
        <v>1084</v>
      </c>
      <c r="E234" s="15" t="s">
        <v>81</v>
      </c>
      <c r="F234" s="15"/>
      <c r="G234" s="10" t="n">
        <v>2</v>
      </c>
      <c r="H234" s="21" t="n">
        <v>46035.6903125</v>
      </c>
      <c r="I234" s="15" t="s">
        <v>1085</v>
      </c>
      <c r="J234" s="15" t="s">
        <v>1085</v>
      </c>
      <c r="K234" s="15"/>
      <c r="L234" s="10" t="n">
        <f aca="false">COUNTIF($E$2:E234,E234)</f>
        <v>56</v>
      </c>
      <c r="M234" s="10" t="e">
        <f aca="false">ifs(L234=1, L234&amp;"-"&amp; COUNTIFS($L$2:L234,1))</f>
        <v>#NAME?</v>
      </c>
      <c r="N234" s="15" t="s">
        <v>603</v>
      </c>
      <c r="O234" s="10"/>
      <c r="P234" s="22" t="n">
        <f aca="false">COUNTIFS(C:C,C234,N:N,"Đã xác nhận")/COUNTIFS(C:C,C234)</f>
        <v>0.961538461538462</v>
      </c>
      <c r="Q234" s="22"/>
      <c r="R234" s="0" t="s">
        <v>1086</v>
      </c>
      <c r="S234" s="0" t="s">
        <v>534</v>
      </c>
      <c r="U234" s="24" t="n">
        <v>2</v>
      </c>
    </row>
    <row r="235" customFormat="false" ht="12.75" hidden="false" customHeight="false" outlineLevel="0" collapsed="false">
      <c r="A235" s="15" t="n">
        <v>464</v>
      </c>
      <c r="B235" s="15" t="s">
        <v>600</v>
      </c>
      <c r="C235" s="15" t="s">
        <v>490</v>
      </c>
      <c r="D235" s="15" t="s">
        <v>1087</v>
      </c>
      <c r="E235" s="15" t="s">
        <v>69</v>
      </c>
      <c r="F235" s="15"/>
      <c r="G235" s="10" t="n">
        <v>1</v>
      </c>
      <c r="H235" s="21" t="n">
        <v>46035.6893865741</v>
      </c>
      <c r="I235" s="15" t="s">
        <v>1088</v>
      </c>
      <c r="J235" s="15" t="s">
        <v>1088</v>
      </c>
      <c r="L235" s="10" t="n">
        <f aca="false">COUNTIF($E$2:E235,E235)</f>
        <v>29</v>
      </c>
      <c r="M235" s="10" t="e">
        <f aca="false">ifs(L235=1, L235&amp;"-"&amp; COUNTIFS($L$2:L235,1))</f>
        <v>#NAME?</v>
      </c>
      <c r="N235" s="15" t="s">
        <v>603</v>
      </c>
      <c r="O235" s="10"/>
      <c r="P235" s="22" t="n">
        <f aca="false">COUNTIFS(C:C,C235,N:N,"Đã xác nhận")/COUNTIFS(C:C,C235)</f>
        <v>0.961538461538462</v>
      </c>
      <c r="Q235" s="22"/>
      <c r="R235" s="0" t="s">
        <v>1087</v>
      </c>
      <c r="S235" s="0" t="s">
        <v>535</v>
      </c>
      <c r="U235" s="24" t="n">
        <v>1</v>
      </c>
    </row>
    <row r="236" customFormat="false" ht="12.75" hidden="false" customHeight="false" outlineLevel="0" collapsed="false">
      <c r="A236" s="15" t="n">
        <v>465</v>
      </c>
      <c r="B236" s="15" t="s">
        <v>600</v>
      </c>
      <c r="C236" s="15" t="s">
        <v>490</v>
      </c>
      <c r="D236" s="15" t="s">
        <v>1087</v>
      </c>
      <c r="E236" s="15" t="s">
        <v>25</v>
      </c>
      <c r="F236" s="15"/>
      <c r="G236" s="10" t="n">
        <v>1</v>
      </c>
      <c r="H236" s="23" t="n">
        <v>45926.3413675579</v>
      </c>
      <c r="L236" s="10" t="n">
        <f aca="false">COUNTIF($E$2:E236,E236)</f>
        <v>9</v>
      </c>
      <c r="M236" s="10" t="e">
        <f aca="false">ifs(L236=1, L236&amp;"-"&amp; COUNTIFS($L$2:L236,1))</f>
        <v>#NAME?</v>
      </c>
      <c r="O236" s="10"/>
      <c r="P236" s="22" t="n">
        <f aca="false">COUNTIFS(C:C,C236,N:N,"Đã xác nhận")/COUNTIFS(C:C,C236)</f>
        <v>0.961538461538462</v>
      </c>
      <c r="Q236" s="22"/>
      <c r="R236" s="0" t="s">
        <v>1087</v>
      </c>
      <c r="S236" s="0" t="s">
        <v>26</v>
      </c>
      <c r="U236" s="24" t="n">
        <v>1</v>
      </c>
    </row>
    <row r="237" customFormat="false" ht="12.75" hidden="false" customHeight="false" outlineLevel="0" collapsed="false">
      <c r="A237" s="15" t="n">
        <v>469</v>
      </c>
      <c r="B237" s="15" t="s">
        <v>600</v>
      </c>
      <c r="C237" s="15" t="s">
        <v>490</v>
      </c>
      <c r="D237" s="15" t="s">
        <v>1087</v>
      </c>
      <c r="E237" s="15" t="s">
        <v>547</v>
      </c>
      <c r="F237" s="15"/>
      <c r="G237" s="10" t="n">
        <v>1</v>
      </c>
      <c r="H237" s="21" t="n">
        <v>46038.4844675926</v>
      </c>
      <c r="I237" s="15" t="s">
        <v>1089</v>
      </c>
      <c r="J237" s="15" t="s">
        <v>1090</v>
      </c>
      <c r="K237" s="15" t="s">
        <v>1091</v>
      </c>
      <c r="L237" s="10" t="n">
        <f aca="false">COUNTIF($E$2:E237,E237)</f>
        <v>14</v>
      </c>
      <c r="M237" s="10" t="e">
        <f aca="false">ifs(L237=1, L237&amp;"-"&amp; COUNTIFS($L$2:L237,1))</f>
        <v>#NAME?</v>
      </c>
      <c r="N237" s="15" t="s">
        <v>603</v>
      </c>
      <c r="O237" s="10"/>
      <c r="P237" s="22" t="n">
        <f aca="false">COUNTIFS(C:C,C237,N:N,"Đã xác nhận")/COUNTIFS(C:C,C237)</f>
        <v>0.961538461538462</v>
      </c>
      <c r="Q237" s="22"/>
      <c r="R237" s="0" t="s">
        <v>1087</v>
      </c>
      <c r="S237" s="0" t="s">
        <v>548</v>
      </c>
      <c r="U237" s="24" t="n">
        <v>1</v>
      </c>
    </row>
    <row r="238" customFormat="false" ht="12.75" hidden="false" customHeight="false" outlineLevel="0" collapsed="false">
      <c r="A238" s="15" t="n">
        <v>470</v>
      </c>
      <c r="B238" s="15" t="s">
        <v>600</v>
      </c>
      <c r="C238" s="15" t="s">
        <v>490</v>
      </c>
      <c r="D238" s="15" t="s">
        <v>1092</v>
      </c>
      <c r="E238" s="15" t="s">
        <v>545</v>
      </c>
      <c r="F238" s="15"/>
      <c r="G238" s="10" t="n">
        <v>2</v>
      </c>
      <c r="H238" s="21" t="n">
        <v>46035.6887384259</v>
      </c>
      <c r="I238" s="15" t="s">
        <v>1093</v>
      </c>
      <c r="J238" s="15" t="s">
        <v>1093</v>
      </c>
      <c r="L238" s="10" t="n">
        <f aca="false">COUNTIF($E$2:E238,E238)</f>
        <v>11</v>
      </c>
      <c r="M238" s="10" t="e">
        <f aca="false">ifs(L238=1, L238&amp;"-"&amp; COUNTIFS($L$2:L238,1))</f>
        <v>#NAME?</v>
      </c>
      <c r="N238" s="15" t="s">
        <v>603</v>
      </c>
      <c r="O238" s="10"/>
      <c r="P238" s="22" t="n">
        <f aca="false">COUNTIFS(C:C,C238,N:N,"Đã xác nhận")/COUNTIFS(C:C,C238)</f>
        <v>0.961538461538462</v>
      </c>
      <c r="Q238" s="22"/>
      <c r="R238" s="0" t="s">
        <v>1092</v>
      </c>
      <c r="S238" s="0" t="s">
        <v>546</v>
      </c>
      <c r="U238" s="24" t="n">
        <v>2</v>
      </c>
    </row>
    <row r="239" customFormat="false" ht="12.75" hidden="false" customHeight="false" outlineLevel="0" collapsed="false">
      <c r="A239" s="15" t="n">
        <v>472</v>
      </c>
      <c r="B239" s="15" t="s">
        <v>600</v>
      </c>
      <c r="C239" s="15" t="s">
        <v>490</v>
      </c>
      <c r="D239" s="15" t="s">
        <v>1092</v>
      </c>
      <c r="E239" s="15" t="s">
        <v>543</v>
      </c>
      <c r="F239" s="15"/>
      <c r="G239" s="10" t="n">
        <v>2</v>
      </c>
      <c r="H239" s="21" t="n">
        <v>46035.6887962963</v>
      </c>
      <c r="I239" s="15" t="s">
        <v>1094</v>
      </c>
      <c r="J239" s="15" t="s">
        <v>1094</v>
      </c>
      <c r="L239" s="10" t="n">
        <f aca="false">COUNTIF($E$2:E239,E239)</f>
        <v>12</v>
      </c>
      <c r="M239" s="10" t="e">
        <f aca="false">ifs(L239=1, L239&amp;"-"&amp; COUNTIFS($L$2:L239,1))</f>
        <v>#NAME?</v>
      </c>
      <c r="N239" s="15" t="s">
        <v>603</v>
      </c>
      <c r="O239" s="10"/>
      <c r="P239" s="22" t="n">
        <f aca="false">COUNTIFS(C:C,C239,N:N,"Đã xác nhận")/COUNTIFS(C:C,C239)</f>
        <v>0.961538461538462</v>
      </c>
      <c r="Q239" s="22"/>
      <c r="R239" s="0" t="s">
        <v>1092</v>
      </c>
      <c r="S239" s="0" t="s">
        <v>544</v>
      </c>
      <c r="U239" s="24" t="n">
        <v>2</v>
      </c>
    </row>
    <row r="240" customFormat="false" ht="12.75" hidden="false" customHeight="false" outlineLevel="0" collapsed="false">
      <c r="A240" s="15" t="n">
        <v>478</v>
      </c>
      <c r="B240" s="15"/>
      <c r="C240" s="15"/>
      <c r="D240" s="15"/>
      <c r="E240" s="15"/>
      <c r="F240" s="15"/>
      <c r="G240" s="10" t="n">
        <v>0</v>
      </c>
      <c r="H240" s="21" t="n">
        <v>46035.6937152778</v>
      </c>
      <c r="I240" s="15" t="s">
        <v>1095</v>
      </c>
      <c r="J240" s="15" t="s">
        <v>695</v>
      </c>
      <c r="K240" s="15" t="s">
        <v>1096</v>
      </c>
      <c r="L240" s="10" t="n">
        <f aca="false">COUNTIF($E$2:E240,E240)</f>
        <v>0</v>
      </c>
      <c r="M240" s="10" t="e">
        <f aca="false">ifs(L240=1, L240&amp;"-"&amp; COUNTIFS($L$2:L240,1))</f>
        <v>#NAME?</v>
      </c>
      <c r="O240" s="10"/>
      <c r="P240" s="22" t="e">
        <f aca="false">COUNTIFS(C:C,C240,N:N,"Đã xác nhận")/COUNTIFS(C:C,C240)</f>
        <v>#DIV/0!</v>
      </c>
      <c r="Q240" s="22"/>
      <c r="R240" s="0" t="e">
        <f aca="false">#VALUE!</f>
        <v>#VALUE!</v>
      </c>
      <c r="S240" s="0" t="e">
        <f aca="false">#VALUE!</f>
        <v>#VALUE!</v>
      </c>
      <c r="U240" s="24" t="n">
        <v>0</v>
      </c>
    </row>
    <row r="241" customFormat="false" ht="12.75" hidden="false" customHeight="false" outlineLevel="0" collapsed="false">
      <c r="A241" s="15" t="n">
        <v>484</v>
      </c>
      <c r="B241" s="15" t="s">
        <v>600</v>
      </c>
      <c r="C241" s="15" t="s">
        <v>490</v>
      </c>
      <c r="D241" s="15" t="s">
        <v>1097</v>
      </c>
      <c r="E241" s="15" t="s">
        <v>69</v>
      </c>
      <c r="F241" s="15"/>
      <c r="G241" s="10" t="n">
        <v>1</v>
      </c>
      <c r="H241" s="21" t="n">
        <v>46035.689375</v>
      </c>
      <c r="I241" s="15" t="s">
        <v>1098</v>
      </c>
      <c r="J241" s="15" t="s">
        <v>1098</v>
      </c>
      <c r="L241" s="10" t="n">
        <f aca="false">COUNTIF($E$2:E241,E241)</f>
        <v>30</v>
      </c>
      <c r="M241" s="10" t="e">
        <f aca="false">ifs(L241=1, L241&amp;"-"&amp; COUNTIFS($L$2:L241,1))</f>
        <v>#NAME?</v>
      </c>
      <c r="N241" s="15" t="s">
        <v>603</v>
      </c>
      <c r="O241" s="10"/>
      <c r="P241" s="22" t="n">
        <f aca="false">COUNTIFS(C:C,C241,N:N,"Đã xác nhận")/COUNTIFS(C:C,C241)</f>
        <v>0.961538461538462</v>
      </c>
      <c r="Q241" s="22"/>
      <c r="R241" s="0" t="s">
        <v>1099</v>
      </c>
      <c r="S241" s="0" t="s">
        <v>535</v>
      </c>
      <c r="U241" s="24" t="n">
        <v>1</v>
      </c>
    </row>
    <row r="242" customFormat="false" ht="12.75" hidden="false" customHeight="false" outlineLevel="0" collapsed="false">
      <c r="A242" s="15" t="n">
        <v>485</v>
      </c>
      <c r="B242" s="15" t="s">
        <v>600</v>
      </c>
      <c r="C242" s="15" t="s">
        <v>490</v>
      </c>
      <c r="D242" s="15" t="s">
        <v>1097</v>
      </c>
      <c r="E242" s="15" t="s">
        <v>77</v>
      </c>
      <c r="F242" s="15"/>
      <c r="G242" s="10" t="n">
        <v>1</v>
      </c>
      <c r="H242" s="21" t="n">
        <v>46035.690787037</v>
      </c>
      <c r="I242" s="15" t="s">
        <v>1100</v>
      </c>
      <c r="J242" s="15" t="s">
        <v>1100</v>
      </c>
      <c r="L242" s="10" t="n">
        <f aca="false">COUNTIF($E$2:E242,E242)</f>
        <v>12</v>
      </c>
      <c r="M242" s="10" t="e">
        <f aca="false">ifs(L242=1, L242&amp;"-"&amp; COUNTIFS($L$2:L242,1))</f>
        <v>#NAME?</v>
      </c>
      <c r="N242" s="15" t="s">
        <v>603</v>
      </c>
      <c r="O242" s="10"/>
      <c r="P242" s="22" t="n">
        <f aca="false">COUNTIFS(C:C,C242,N:N,"Đã xác nhận")/COUNTIFS(C:C,C242)</f>
        <v>0.961538461538462</v>
      </c>
      <c r="Q242" s="22"/>
      <c r="R242" s="0" t="s">
        <v>1099</v>
      </c>
      <c r="S242" s="0" t="s">
        <v>78</v>
      </c>
      <c r="U242" s="24" t="n">
        <v>1</v>
      </c>
    </row>
    <row r="243" customFormat="false" ht="12.75" hidden="false" customHeight="false" outlineLevel="0" collapsed="false">
      <c r="A243" s="15" t="n">
        <v>486</v>
      </c>
      <c r="B243" s="15" t="s">
        <v>600</v>
      </c>
      <c r="C243" s="15" t="s">
        <v>490</v>
      </c>
      <c r="D243" s="15" t="s">
        <v>673</v>
      </c>
      <c r="E243" s="15" t="s">
        <v>69</v>
      </c>
      <c r="F243" s="15"/>
      <c r="G243" s="10" t="n">
        <v>2</v>
      </c>
      <c r="H243" s="21" t="n">
        <v>46035.689375</v>
      </c>
      <c r="I243" s="15" t="s">
        <v>1101</v>
      </c>
      <c r="J243" s="15" t="s">
        <v>1101</v>
      </c>
      <c r="L243" s="10" t="n">
        <f aca="false">COUNTIF($E$2:E243,E243)</f>
        <v>31</v>
      </c>
      <c r="M243" s="10" t="e">
        <f aca="false">ifs(L243=1, L243&amp;"-"&amp; COUNTIFS($L$2:L243,1))</f>
        <v>#NAME?</v>
      </c>
      <c r="N243" s="15" t="s">
        <v>603</v>
      </c>
      <c r="O243" s="10"/>
      <c r="P243" s="22" t="n">
        <f aca="false">COUNTIFS(C:C,C243,N:N,"Đã xác nhận")/COUNTIFS(C:C,C243)</f>
        <v>0.961538461538462</v>
      </c>
      <c r="Q243" s="22"/>
      <c r="R243" s="0" t="s">
        <v>675</v>
      </c>
      <c r="S243" s="0" t="s">
        <v>535</v>
      </c>
      <c r="U243" s="24" t="n">
        <v>2</v>
      </c>
    </row>
    <row r="244" customFormat="false" ht="12.75" hidden="false" customHeight="false" outlineLevel="0" collapsed="false">
      <c r="A244" s="15" t="n">
        <v>487</v>
      </c>
      <c r="B244" s="15" t="s">
        <v>600</v>
      </c>
      <c r="C244" s="15" t="s">
        <v>490</v>
      </c>
      <c r="D244" s="15" t="s">
        <v>673</v>
      </c>
      <c r="E244" s="15" t="s">
        <v>77</v>
      </c>
      <c r="F244" s="15"/>
      <c r="G244" s="10" t="n">
        <v>2</v>
      </c>
      <c r="H244" s="21" t="n">
        <v>46035.6907986111</v>
      </c>
      <c r="I244" s="15" t="s">
        <v>1102</v>
      </c>
      <c r="J244" s="15" t="s">
        <v>1102</v>
      </c>
      <c r="L244" s="10" t="n">
        <f aca="false">COUNTIF($E$2:E244,E244)</f>
        <v>13</v>
      </c>
      <c r="M244" s="10" t="e">
        <f aca="false">ifs(L244=1, L244&amp;"-"&amp; COUNTIFS($L$2:L244,1))</f>
        <v>#NAME?</v>
      </c>
      <c r="N244" s="15" t="s">
        <v>603</v>
      </c>
      <c r="O244" s="10"/>
      <c r="P244" s="22" t="n">
        <f aca="false">COUNTIFS(C:C,C244,N:N,"Đã xác nhận")/COUNTIFS(C:C,C244)</f>
        <v>0.961538461538462</v>
      </c>
      <c r="Q244" s="22"/>
      <c r="R244" s="0" t="s">
        <v>675</v>
      </c>
      <c r="S244" s="0" t="s">
        <v>78</v>
      </c>
      <c r="U244" s="24" t="n">
        <v>2</v>
      </c>
    </row>
    <row r="245" customFormat="false" ht="12.75" hidden="false" customHeight="false" outlineLevel="0" collapsed="false">
      <c r="A245" s="15" t="n">
        <v>490</v>
      </c>
      <c r="B245" s="15" t="s">
        <v>1103</v>
      </c>
      <c r="C245" s="15" t="s">
        <v>1104</v>
      </c>
      <c r="D245" s="15" t="s">
        <v>1105</v>
      </c>
      <c r="E245" s="15" t="s">
        <v>81</v>
      </c>
      <c r="F245" s="15"/>
      <c r="G245" s="10" t="n">
        <v>2</v>
      </c>
      <c r="H245" s="21" t="n">
        <v>45967.3950462963</v>
      </c>
      <c r="I245" s="15" t="s">
        <v>1106</v>
      </c>
      <c r="J245" s="15" t="s">
        <v>1107</v>
      </c>
      <c r="K245" s="15" t="s">
        <v>1108</v>
      </c>
      <c r="L245" s="10" t="n">
        <f aca="false">COUNTIF($E$2:E245,E245)</f>
        <v>57</v>
      </c>
      <c r="M245" s="10" t="e">
        <f aca="false">ifs(L245=1, L245&amp;"-"&amp; COUNTIFS($L$2:L245,1))</f>
        <v>#NAME?</v>
      </c>
      <c r="O245" s="10"/>
      <c r="P245" s="22" t="n">
        <f aca="false">COUNTIFS(C:C,C245,N:N,"Đã xác nhận")/COUNTIFS(C:C,C245)</f>
        <v>0</v>
      </c>
      <c r="Q245" s="22"/>
      <c r="R245" s="0" t="s">
        <v>1109</v>
      </c>
      <c r="S245" s="0" t="s">
        <v>534</v>
      </c>
      <c r="U245" s="24" t="n">
        <v>2</v>
      </c>
    </row>
    <row r="246" customFormat="false" ht="12.75" hidden="false" customHeight="false" outlineLevel="0" collapsed="false">
      <c r="A246" s="15" t="n">
        <v>491</v>
      </c>
      <c r="B246" s="15" t="s">
        <v>1103</v>
      </c>
      <c r="C246" s="15" t="s">
        <v>1104</v>
      </c>
      <c r="D246" s="15" t="s">
        <v>1110</v>
      </c>
      <c r="E246" s="15" t="s">
        <v>47</v>
      </c>
      <c r="F246" s="15"/>
      <c r="G246" s="10" t="n">
        <v>1</v>
      </c>
      <c r="H246" s="21" t="n">
        <v>45967.6747337963</v>
      </c>
      <c r="I246" s="15" t="s">
        <v>1111</v>
      </c>
      <c r="J246" s="15" t="s">
        <v>1112</v>
      </c>
      <c r="K246" s="15" t="s">
        <v>1113</v>
      </c>
      <c r="L246" s="10" t="n">
        <f aca="false">COUNTIF($E$2:E246,E246)</f>
        <v>10</v>
      </c>
      <c r="M246" s="10" t="e">
        <f aca="false">ifs(L246=1, L246&amp;"-"&amp; COUNTIFS($L$2:L246,1))</f>
        <v>#NAME?</v>
      </c>
      <c r="O246" s="10"/>
      <c r="P246" s="22" t="n">
        <f aca="false">COUNTIFS(C:C,C246,N:N,"Đã xác nhận")/COUNTIFS(C:C,C246)</f>
        <v>0</v>
      </c>
      <c r="Q246" s="22"/>
      <c r="R246" s="0" t="s">
        <v>1114</v>
      </c>
      <c r="S246" s="0" t="s">
        <v>549</v>
      </c>
      <c r="U246" s="24" t="n">
        <v>1</v>
      </c>
    </row>
    <row r="247" customFormat="false" ht="12.75" hidden="false" customHeight="false" outlineLevel="0" collapsed="false">
      <c r="A247" s="15" t="n">
        <v>492</v>
      </c>
      <c r="B247" s="15" t="s">
        <v>1103</v>
      </c>
      <c r="C247" s="15" t="s">
        <v>1104</v>
      </c>
      <c r="D247" s="15" t="s">
        <v>1115</v>
      </c>
      <c r="E247" s="15" t="s">
        <v>47</v>
      </c>
      <c r="F247" s="15"/>
      <c r="G247" s="10" t="n">
        <v>1</v>
      </c>
      <c r="H247" s="21" t="n">
        <v>45943.4089351852</v>
      </c>
      <c r="I247" s="15" t="s">
        <v>1116</v>
      </c>
      <c r="J247" s="15" t="s">
        <v>1117</v>
      </c>
      <c r="K247" s="15" t="s">
        <v>1118</v>
      </c>
      <c r="L247" s="10" t="n">
        <f aca="false">COUNTIF($E$2:E247,E247)</f>
        <v>11</v>
      </c>
      <c r="M247" s="10" t="e">
        <f aca="false">ifs(L247=1, L247&amp;"-"&amp; COUNTIFS($L$2:L247,1))</f>
        <v>#NAME?</v>
      </c>
      <c r="O247" s="10"/>
      <c r="P247" s="22" t="n">
        <f aca="false">COUNTIFS(C:C,C247,N:N,"Đã xác nhận")/COUNTIFS(C:C,C247)</f>
        <v>0</v>
      </c>
      <c r="Q247" s="22"/>
      <c r="R247" s="0" t="s">
        <v>1119</v>
      </c>
      <c r="S247" s="0" t="s">
        <v>549</v>
      </c>
      <c r="U247" s="24" t="n">
        <v>1</v>
      </c>
    </row>
    <row r="248" customFormat="false" ht="12.75" hidden="false" customHeight="false" outlineLevel="0" collapsed="false">
      <c r="A248" s="15" t="n">
        <v>493</v>
      </c>
      <c r="B248" s="15" t="s">
        <v>1103</v>
      </c>
      <c r="C248" s="15" t="s">
        <v>1104</v>
      </c>
      <c r="D248" s="15" t="s">
        <v>1120</v>
      </c>
      <c r="E248" s="15" t="s">
        <v>55</v>
      </c>
      <c r="F248" s="15"/>
      <c r="G248" s="10" t="n">
        <v>1</v>
      </c>
      <c r="H248" s="21" t="n">
        <v>45943.4360185185</v>
      </c>
      <c r="I248" s="15" t="s">
        <v>1121</v>
      </c>
      <c r="J248" s="15" t="s">
        <v>1121</v>
      </c>
      <c r="L248" s="10" t="n">
        <f aca="false">COUNTIF($E$2:E248,E248)</f>
        <v>15</v>
      </c>
      <c r="M248" s="10" t="e">
        <f aca="false">ifs(L248=1, L248&amp;"-"&amp; COUNTIFS($L$2:L248,1))</f>
        <v>#NAME?</v>
      </c>
      <c r="O248" s="10"/>
      <c r="P248" s="22" t="n">
        <f aca="false">COUNTIFS(C:C,C248,N:N,"Đã xác nhận")/COUNTIFS(C:C,C248)</f>
        <v>0</v>
      </c>
      <c r="Q248" s="22"/>
      <c r="R248" s="0" t="s">
        <v>1122</v>
      </c>
      <c r="S248" s="0" t="s">
        <v>539</v>
      </c>
      <c r="U248" s="24" t="n">
        <v>1</v>
      </c>
    </row>
    <row r="249" customFormat="false" ht="12.75" hidden="false" customHeight="false" outlineLevel="0" collapsed="false">
      <c r="A249" s="15" t="n">
        <v>494</v>
      </c>
      <c r="B249" s="15" t="s">
        <v>1103</v>
      </c>
      <c r="C249" s="15" t="s">
        <v>1104</v>
      </c>
      <c r="D249" s="15" t="s">
        <v>1123</v>
      </c>
      <c r="E249" s="15" t="s">
        <v>81</v>
      </c>
      <c r="F249" s="15"/>
      <c r="G249" s="10" t="n">
        <v>1</v>
      </c>
      <c r="H249" s="21" t="n">
        <v>45967.3910185185</v>
      </c>
      <c r="I249" s="15" t="s">
        <v>1124</v>
      </c>
      <c r="J249" s="15" t="s">
        <v>1125</v>
      </c>
      <c r="K249" s="15" t="s">
        <v>1126</v>
      </c>
      <c r="L249" s="10" t="n">
        <f aca="false">COUNTIF($E$2:E249,E249)</f>
        <v>58</v>
      </c>
      <c r="M249" s="10" t="e">
        <f aca="false">ifs(L249=1, L249&amp;"-"&amp; COUNTIFS($L$2:L249,1))</f>
        <v>#NAME?</v>
      </c>
      <c r="O249" s="10"/>
      <c r="P249" s="22" t="n">
        <f aca="false">COUNTIFS(C:C,C249,N:N,"Đã xác nhận")/COUNTIFS(C:C,C249)</f>
        <v>0</v>
      </c>
      <c r="Q249" s="22"/>
      <c r="R249" s="0" t="s">
        <v>1127</v>
      </c>
      <c r="S249" s="0" t="s">
        <v>534</v>
      </c>
      <c r="U249" s="24" t="n">
        <v>1</v>
      </c>
    </row>
    <row r="250" customFormat="false" ht="12.75" hidden="false" customHeight="false" outlineLevel="0" collapsed="false">
      <c r="A250" s="15" t="n">
        <v>495</v>
      </c>
      <c r="B250" s="15" t="s">
        <v>1103</v>
      </c>
      <c r="C250" s="15" t="s">
        <v>1104</v>
      </c>
      <c r="D250" s="15" t="s">
        <v>1128</v>
      </c>
      <c r="E250" s="15" t="s">
        <v>55</v>
      </c>
      <c r="F250" s="15"/>
      <c r="G250" s="10" t="n">
        <v>1</v>
      </c>
      <c r="H250" s="21" t="n">
        <v>45943.4277777778</v>
      </c>
      <c r="I250" s="15" t="s">
        <v>1129</v>
      </c>
      <c r="J250" s="15" t="s">
        <v>1129</v>
      </c>
      <c r="L250" s="10" t="n">
        <f aca="false">COUNTIF($E$2:E250,E250)</f>
        <v>16</v>
      </c>
      <c r="M250" s="10" t="e">
        <f aca="false">ifs(L250=1, L250&amp;"-"&amp; COUNTIFS($L$2:L250,1))</f>
        <v>#NAME?</v>
      </c>
      <c r="O250" s="10"/>
      <c r="P250" s="22" t="n">
        <f aca="false">COUNTIFS(C:C,C250,N:N,"Đã xác nhận")/COUNTIFS(C:C,C250)</f>
        <v>0</v>
      </c>
      <c r="Q250" s="22"/>
      <c r="R250" s="0" t="s">
        <v>1130</v>
      </c>
      <c r="S250" s="0" t="s">
        <v>539</v>
      </c>
      <c r="U250" s="24" t="n">
        <v>1</v>
      </c>
    </row>
    <row r="251" customFormat="false" ht="12.75" hidden="false" customHeight="false" outlineLevel="0" collapsed="false">
      <c r="A251" s="15" t="n">
        <v>496</v>
      </c>
      <c r="B251" s="15" t="s">
        <v>1103</v>
      </c>
      <c r="C251" s="15" t="s">
        <v>1104</v>
      </c>
      <c r="D251" s="15" t="s">
        <v>1131</v>
      </c>
      <c r="E251" s="15" t="s">
        <v>81</v>
      </c>
      <c r="F251" s="15"/>
      <c r="G251" s="10" t="n">
        <v>1</v>
      </c>
      <c r="H251" s="21" t="n">
        <v>45967.3950347222</v>
      </c>
      <c r="I251" s="15" t="s">
        <v>1132</v>
      </c>
      <c r="J251" s="15" t="s">
        <v>1133</v>
      </c>
      <c r="K251" s="15" t="s">
        <v>1134</v>
      </c>
      <c r="L251" s="10" t="n">
        <f aca="false">COUNTIF($E$2:E251,E251)</f>
        <v>59</v>
      </c>
      <c r="M251" s="10" t="e">
        <f aca="false">ifs(L251=1, L251&amp;"-"&amp; COUNTIFS($L$2:L251,1))</f>
        <v>#NAME?</v>
      </c>
      <c r="O251" s="10"/>
      <c r="P251" s="22" t="n">
        <f aca="false">COUNTIFS(C:C,C251,N:N,"Đã xác nhận")/COUNTIFS(C:C,C251)</f>
        <v>0</v>
      </c>
      <c r="Q251" s="22"/>
      <c r="R251" s="0" t="s">
        <v>1135</v>
      </c>
      <c r="S251" s="0" t="s">
        <v>534</v>
      </c>
      <c r="U251" s="24" t="n">
        <v>1</v>
      </c>
    </row>
    <row r="252" customFormat="false" ht="12.75" hidden="false" customHeight="false" outlineLevel="0" collapsed="false">
      <c r="A252" s="15" t="n">
        <v>498</v>
      </c>
      <c r="B252" s="15" t="s">
        <v>1103</v>
      </c>
      <c r="C252" s="15" t="s">
        <v>1104</v>
      </c>
      <c r="D252" s="15" t="s">
        <v>1136</v>
      </c>
      <c r="E252" s="15" t="s">
        <v>49</v>
      </c>
      <c r="F252" s="15"/>
      <c r="G252" s="10" t="n">
        <v>1</v>
      </c>
      <c r="H252" s="21" t="n">
        <v>45943.4292939815</v>
      </c>
      <c r="I252" s="15" t="s">
        <v>1137</v>
      </c>
      <c r="J252" s="15" t="s">
        <v>1137</v>
      </c>
      <c r="L252" s="10" t="n">
        <f aca="false">COUNTIF($E$2:E252,E252)</f>
        <v>1</v>
      </c>
      <c r="M252" s="10" t="e">
        <f aca="false">ifs(L252=1, L252&amp;"-"&amp; COUNTIFS($L$2:L252,1))</f>
        <v>#NAME?</v>
      </c>
      <c r="O252" s="10"/>
      <c r="P252" s="22" t="n">
        <f aca="false">COUNTIFS(C:C,C252,N:N,"Đã xác nhận")/COUNTIFS(C:C,C252)</f>
        <v>0</v>
      </c>
      <c r="Q252" s="22"/>
      <c r="R252" s="0" t="s">
        <v>1138</v>
      </c>
      <c r="S252" s="0" t="s">
        <v>537</v>
      </c>
      <c r="U252" s="24" t="n">
        <v>1</v>
      </c>
    </row>
    <row r="253" customFormat="false" ht="12.75" hidden="false" customHeight="false" outlineLevel="0" collapsed="false">
      <c r="A253" s="15" t="n">
        <v>500</v>
      </c>
      <c r="B253" s="15" t="s">
        <v>1103</v>
      </c>
      <c r="C253" s="15" t="s">
        <v>1104</v>
      </c>
      <c r="D253" s="15" t="s">
        <v>1139</v>
      </c>
      <c r="E253" s="15" t="s">
        <v>81</v>
      </c>
      <c r="F253" s="15"/>
      <c r="G253" s="10" t="n">
        <v>1</v>
      </c>
      <c r="H253" s="21" t="n">
        <v>45967.395</v>
      </c>
      <c r="I253" s="15" t="s">
        <v>1140</v>
      </c>
      <c r="J253" s="15" t="s">
        <v>1141</v>
      </c>
      <c r="K253" s="15" t="s">
        <v>1142</v>
      </c>
      <c r="L253" s="10" t="n">
        <f aca="false">COUNTIF($E$2:E253,E253)</f>
        <v>60</v>
      </c>
      <c r="M253" s="10" t="e">
        <f aca="false">ifs(L253=1, L253&amp;"-"&amp; COUNTIFS($L$2:L253,1))</f>
        <v>#NAME?</v>
      </c>
      <c r="O253" s="10"/>
      <c r="P253" s="22" t="n">
        <f aca="false">COUNTIFS(C:C,C253,N:N,"Đã xác nhận")/COUNTIFS(C:C,C253)</f>
        <v>0</v>
      </c>
      <c r="Q253" s="22"/>
      <c r="R253" s="0" t="s">
        <v>1143</v>
      </c>
      <c r="S253" s="0" t="s">
        <v>534</v>
      </c>
      <c r="U253" s="24" t="n">
        <v>1</v>
      </c>
    </row>
    <row r="254" customFormat="false" ht="12.75" hidden="false" customHeight="false" outlineLevel="0" collapsed="false">
      <c r="A254" s="15" t="n">
        <v>506</v>
      </c>
      <c r="B254" s="15" t="s">
        <v>1103</v>
      </c>
      <c r="C254" s="15" t="s">
        <v>1104</v>
      </c>
      <c r="D254" s="15" t="s">
        <v>1144</v>
      </c>
      <c r="E254" s="15" t="s">
        <v>109</v>
      </c>
      <c r="F254" s="15"/>
      <c r="G254" s="10" t="n">
        <v>1</v>
      </c>
      <c r="H254" s="23" t="n">
        <v>45926.3413675579</v>
      </c>
      <c r="L254" s="10" t="n">
        <f aca="false">COUNTIF($E$2:E254,E254)</f>
        <v>1</v>
      </c>
      <c r="M254" s="10" t="e">
        <f aca="false">ifs(L254=1, L254&amp;"-"&amp; COUNTIFS($L$2:L254,1))</f>
        <v>#NAME?</v>
      </c>
      <c r="O254" s="10"/>
      <c r="P254" s="22" t="n">
        <f aca="false">COUNTIFS(C:C,C254,N:N,"Đã xác nhận")/COUNTIFS(C:C,C254)</f>
        <v>0</v>
      </c>
      <c r="Q254" s="22"/>
      <c r="R254" s="0" t="s">
        <v>1145</v>
      </c>
      <c r="S254" s="0" t="s">
        <v>1146</v>
      </c>
      <c r="U254" s="24" t="n">
        <v>1</v>
      </c>
    </row>
    <row r="255" customFormat="false" ht="12.75" hidden="false" customHeight="false" outlineLevel="0" collapsed="false">
      <c r="A255" s="15" t="n">
        <v>508</v>
      </c>
      <c r="B255" s="15" t="s">
        <v>1103</v>
      </c>
      <c r="C255" s="15" t="s">
        <v>1104</v>
      </c>
      <c r="D255" s="15" t="s">
        <v>1139</v>
      </c>
      <c r="E255" s="15" t="s">
        <v>63</v>
      </c>
      <c r="F255" s="15"/>
      <c r="G255" s="10" t="n">
        <v>1</v>
      </c>
      <c r="H255" s="21" t="n">
        <v>45943.4350462963</v>
      </c>
      <c r="I255" s="15" t="s">
        <v>1147</v>
      </c>
      <c r="J255" s="15" t="s">
        <v>1148</v>
      </c>
      <c r="K255" s="15" t="s">
        <v>1149</v>
      </c>
      <c r="L255" s="10" t="n">
        <f aca="false">COUNTIF($E$2:E255,E255)</f>
        <v>2</v>
      </c>
      <c r="M255" s="10" t="e">
        <f aca="false">ifs(L255=1, L255&amp;"-"&amp; COUNTIFS($L$2:L255,1))</f>
        <v>#NAME?</v>
      </c>
      <c r="O255" s="10"/>
      <c r="P255" s="22" t="n">
        <f aca="false">COUNTIFS(C:C,C255,N:N,"Đã xác nhận")/COUNTIFS(C:C,C255)</f>
        <v>0</v>
      </c>
      <c r="Q255" s="22"/>
      <c r="R255" s="0" t="s">
        <v>1143</v>
      </c>
      <c r="S255" s="0" t="s">
        <v>551</v>
      </c>
      <c r="U255" s="24" t="n">
        <v>1</v>
      </c>
    </row>
    <row r="256" customFormat="false" ht="12.75" hidden="false" customHeight="false" outlineLevel="0" collapsed="false">
      <c r="A256" s="15" t="n">
        <v>510</v>
      </c>
      <c r="B256" s="15" t="s">
        <v>1103</v>
      </c>
      <c r="C256" s="15" t="s">
        <v>504</v>
      </c>
      <c r="D256" s="15" t="s">
        <v>1150</v>
      </c>
      <c r="E256" s="15" t="s">
        <v>47</v>
      </c>
      <c r="F256" s="15"/>
      <c r="G256" s="10" t="n">
        <v>1</v>
      </c>
      <c r="H256" s="21" t="n">
        <v>46048.6596875</v>
      </c>
      <c r="I256" s="15" t="s">
        <v>1151</v>
      </c>
      <c r="J256" s="15" t="s">
        <v>1151</v>
      </c>
      <c r="K256" s="15"/>
      <c r="L256" s="10" t="n">
        <f aca="false">COUNTIF($E$2:E256,E256)</f>
        <v>12</v>
      </c>
      <c r="M256" s="10" t="e">
        <f aca="false">ifs(L256=1, L256&amp;"-"&amp; COUNTIFS($L$2:L256,1))</f>
        <v>#NAME?</v>
      </c>
      <c r="N256" s="15" t="s">
        <v>603</v>
      </c>
      <c r="O256" s="10"/>
      <c r="P256" s="22" t="n">
        <f aca="false">COUNTIFS(C:C,C256,N:N,"Đã xác nhận")/COUNTIFS(C:C,C256)</f>
        <v>1</v>
      </c>
      <c r="Q256" s="22"/>
      <c r="R256" s="0" t="s">
        <v>1152</v>
      </c>
      <c r="S256" s="0" t="s">
        <v>549</v>
      </c>
      <c r="U256" s="24" t="n">
        <v>1</v>
      </c>
    </row>
    <row r="257" customFormat="false" ht="12.75" hidden="false" customHeight="false" outlineLevel="0" collapsed="false">
      <c r="A257" s="15" t="n">
        <v>511</v>
      </c>
      <c r="B257" s="15" t="s">
        <v>1103</v>
      </c>
      <c r="C257" s="15" t="s">
        <v>504</v>
      </c>
      <c r="D257" s="15" t="s">
        <v>1153</v>
      </c>
      <c r="E257" s="15" t="s">
        <v>55</v>
      </c>
      <c r="F257" s="15"/>
      <c r="G257" s="10" t="n">
        <v>2</v>
      </c>
      <c r="H257" s="21" t="n">
        <v>46048.6598032407</v>
      </c>
      <c r="I257" s="15" t="s">
        <v>1154</v>
      </c>
      <c r="J257" s="15" t="s">
        <v>1154</v>
      </c>
      <c r="K257" s="15"/>
      <c r="L257" s="10" t="n">
        <f aca="false">COUNTIF($E$2:E257,E257)</f>
        <v>17</v>
      </c>
      <c r="M257" s="10" t="e">
        <f aca="false">ifs(L257=1, L257&amp;"-"&amp; COUNTIFS($L$2:L257,1))</f>
        <v>#NAME?</v>
      </c>
      <c r="N257" s="15" t="s">
        <v>603</v>
      </c>
      <c r="O257" s="10"/>
      <c r="P257" s="22" t="n">
        <f aca="false">COUNTIFS(C:C,C257,N:N,"Đã xác nhận")/COUNTIFS(C:C,C257)</f>
        <v>1</v>
      </c>
      <c r="Q257" s="22"/>
      <c r="R257" s="0" t="s">
        <v>1155</v>
      </c>
      <c r="S257" s="0" t="s">
        <v>539</v>
      </c>
      <c r="U257" s="24" t="n">
        <v>2</v>
      </c>
    </row>
    <row r="258" customFormat="false" ht="12.75" hidden="false" customHeight="false" outlineLevel="0" collapsed="false">
      <c r="A258" s="15" t="n">
        <v>512</v>
      </c>
      <c r="B258" s="15" t="s">
        <v>1103</v>
      </c>
      <c r="C258" s="15" t="s">
        <v>504</v>
      </c>
      <c r="D258" s="15" t="s">
        <v>1156</v>
      </c>
      <c r="E258" s="15" t="s">
        <v>55</v>
      </c>
      <c r="F258" s="15"/>
      <c r="G258" s="10" t="n">
        <v>1</v>
      </c>
      <c r="H258" s="21" t="n">
        <v>46048.6598263889</v>
      </c>
      <c r="I258" s="15" t="s">
        <v>1157</v>
      </c>
      <c r="J258" s="15" t="s">
        <v>1157</v>
      </c>
      <c r="L258" s="10" t="n">
        <f aca="false">COUNTIF($E$2:E258,E258)</f>
        <v>18</v>
      </c>
      <c r="M258" s="10" t="e">
        <f aca="false">ifs(L258=1, L258&amp;"-"&amp; COUNTIFS($L$2:L258,1))</f>
        <v>#NAME?</v>
      </c>
      <c r="N258" s="15" t="s">
        <v>603</v>
      </c>
      <c r="O258" s="10"/>
      <c r="P258" s="22" t="n">
        <f aca="false">COUNTIFS(C:C,C258,N:N,"Đã xác nhận")/COUNTIFS(C:C,C258)</f>
        <v>1</v>
      </c>
      <c r="Q258" s="22"/>
      <c r="R258" s="0" t="s">
        <v>1158</v>
      </c>
      <c r="S258" s="0" t="s">
        <v>539</v>
      </c>
      <c r="U258" s="24" t="n">
        <v>1</v>
      </c>
    </row>
    <row r="259" customFormat="false" ht="12.75" hidden="false" customHeight="false" outlineLevel="0" collapsed="false">
      <c r="A259" s="15" t="n">
        <v>513</v>
      </c>
      <c r="B259" s="15" t="s">
        <v>1103</v>
      </c>
      <c r="C259" s="15" t="s">
        <v>504</v>
      </c>
      <c r="D259" s="15" t="s">
        <v>1120</v>
      </c>
      <c r="E259" s="15" t="s">
        <v>55</v>
      </c>
      <c r="F259" s="15"/>
      <c r="G259" s="10" t="n">
        <v>1</v>
      </c>
      <c r="H259" s="21" t="n">
        <v>46048.6597916667</v>
      </c>
      <c r="I259" s="15" t="s">
        <v>1159</v>
      </c>
      <c r="J259" s="15" t="s">
        <v>1159</v>
      </c>
      <c r="L259" s="10" t="n">
        <f aca="false">COUNTIF($E$2:E259,E259)</f>
        <v>19</v>
      </c>
      <c r="M259" s="10" t="e">
        <f aca="false">ifs(L259=1, L259&amp;"-"&amp; COUNTIFS($L$2:L259,1))</f>
        <v>#NAME?</v>
      </c>
      <c r="N259" s="15" t="s">
        <v>603</v>
      </c>
      <c r="O259" s="10"/>
      <c r="P259" s="22" t="n">
        <f aca="false">COUNTIFS(C:C,C259,N:N,"Đã xác nhận")/COUNTIFS(C:C,C259)</f>
        <v>1</v>
      </c>
      <c r="Q259" s="22"/>
      <c r="R259" s="0" t="s">
        <v>1122</v>
      </c>
      <c r="S259" s="0" t="s">
        <v>539</v>
      </c>
      <c r="U259" s="24" t="n">
        <v>1</v>
      </c>
    </row>
    <row r="260" customFormat="false" ht="12.75" hidden="false" customHeight="false" outlineLevel="0" collapsed="false">
      <c r="A260" s="15" t="n">
        <v>514</v>
      </c>
      <c r="B260" s="15" t="s">
        <v>1103</v>
      </c>
      <c r="C260" s="15" t="s">
        <v>504</v>
      </c>
      <c r="D260" s="15" t="s">
        <v>1160</v>
      </c>
      <c r="E260" s="15" t="s">
        <v>55</v>
      </c>
      <c r="F260" s="15"/>
      <c r="G260" s="10" t="n">
        <v>1</v>
      </c>
      <c r="H260" s="21" t="n">
        <v>46048.6598148148</v>
      </c>
      <c r="I260" s="15" t="s">
        <v>1161</v>
      </c>
      <c r="J260" s="15" t="s">
        <v>1161</v>
      </c>
      <c r="K260" s="15"/>
      <c r="L260" s="10" t="n">
        <f aca="false">COUNTIF($E$2:E260,E260)</f>
        <v>20</v>
      </c>
      <c r="M260" s="10" t="e">
        <f aca="false">ifs(L260=1, L260&amp;"-"&amp; COUNTIFS($L$2:L260,1))</f>
        <v>#NAME?</v>
      </c>
      <c r="N260" s="15" t="s">
        <v>603</v>
      </c>
      <c r="O260" s="10"/>
      <c r="P260" s="22" t="n">
        <f aca="false">COUNTIFS(C:C,C260,N:N,"Đã xác nhận")/COUNTIFS(C:C,C260)</f>
        <v>1</v>
      </c>
      <c r="Q260" s="22"/>
      <c r="R260" s="0" t="s">
        <v>1162</v>
      </c>
      <c r="S260" s="0" t="s">
        <v>539</v>
      </c>
      <c r="U260" s="24" t="n">
        <v>1</v>
      </c>
    </row>
    <row r="261" customFormat="false" ht="12.75" hidden="false" customHeight="false" outlineLevel="0" collapsed="false">
      <c r="A261" s="15" t="n">
        <v>515</v>
      </c>
      <c r="B261" s="15" t="s">
        <v>1103</v>
      </c>
      <c r="C261" s="15" t="s">
        <v>504</v>
      </c>
      <c r="D261" s="15" t="s">
        <v>1163</v>
      </c>
      <c r="E261" s="15" t="s">
        <v>81</v>
      </c>
      <c r="F261" s="15"/>
      <c r="G261" s="10" t="n">
        <v>2</v>
      </c>
      <c r="H261" s="21" t="n">
        <v>46048.6600347222</v>
      </c>
      <c r="I261" s="15" t="s">
        <v>1164</v>
      </c>
      <c r="J261" s="15" t="s">
        <v>1164</v>
      </c>
      <c r="K261" s="15"/>
      <c r="L261" s="10" t="n">
        <f aca="false">COUNTIF($E$2:E261,E261)</f>
        <v>61</v>
      </c>
      <c r="M261" s="10" t="e">
        <f aca="false">ifs(L261=1, L261&amp;"-"&amp; COUNTIFS($L$2:L261,1))</f>
        <v>#NAME?</v>
      </c>
      <c r="N261" s="15" t="s">
        <v>603</v>
      </c>
      <c r="O261" s="10"/>
      <c r="P261" s="22" t="n">
        <f aca="false">COUNTIFS(C:C,C261,N:N,"Đã xác nhận")/COUNTIFS(C:C,C261)</f>
        <v>1</v>
      </c>
      <c r="Q261" s="22"/>
      <c r="R261" s="0" t="s">
        <v>1165</v>
      </c>
      <c r="S261" s="0" t="s">
        <v>534</v>
      </c>
      <c r="U261" s="24" t="n">
        <v>2</v>
      </c>
    </row>
    <row r="262" customFormat="false" ht="12.75" hidden="false" customHeight="false" outlineLevel="0" collapsed="false">
      <c r="A262" s="15" t="n">
        <v>516</v>
      </c>
      <c r="B262" s="15" t="s">
        <v>1103</v>
      </c>
      <c r="C262" s="15" t="s">
        <v>504</v>
      </c>
      <c r="D262" s="15" t="s">
        <v>1166</v>
      </c>
      <c r="E262" s="15" t="s">
        <v>81</v>
      </c>
      <c r="F262" s="15"/>
      <c r="G262" s="10" t="n">
        <v>1</v>
      </c>
      <c r="H262" s="21" t="n">
        <v>46048.6600115741</v>
      </c>
      <c r="I262" s="15" t="s">
        <v>1167</v>
      </c>
      <c r="J262" s="15" t="s">
        <v>1167</v>
      </c>
      <c r="L262" s="10" t="n">
        <f aca="false">COUNTIF($E$2:E262,E262)</f>
        <v>62</v>
      </c>
      <c r="M262" s="10" t="e">
        <f aca="false">ifs(L262=1, L262&amp;"-"&amp; COUNTIFS($L$2:L262,1))</f>
        <v>#NAME?</v>
      </c>
      <c r="N262" s="15" t="s">
        <v>603</v>
      </c>
      <c r="O262" s="10"/>
      <c r="P262" s="22" t="n">
        <f aca="false">COUNTIFS(C:C,C262,N:N,"Đã xác nhận")/COUNTIFS(C:C,C262)</f>
        <v>1</v>
      </c>
      <c r="Q262" s="22"/>
      <c r="R262" s="0" t="s">
        <v>1168</v>
      </c>
      <c r="S262" s="0" t="s">
        <v>534</v>
      </c>
      <c r="U262" s="24" t="n">
        <v>1</v>
      </c>
    </row>
    <row r="263" customFormat="false" ht="12.75" hidden="false" customHeight="false" outlineLevel="0" collapsed="false">
      <c r="A263" s="15" t="n">
        <v>517</v>
      </c>
      <c r="B263" s="15" t="s">
        <v>1103</v>
      </c>
      <c r="C263" s="15" t="s">
        <v>504</v>
      </c>
      <c r="D263" s="15" t="s">
        <v>1169</v>
      </c>
      <c r="E263" s="15" t="s">
        <v>55</v>
      </c>
      <c r="F263" s="15"/>
      <c r="G263" s="10" t="n">
        <v>1</v>
      </c>
      <c r="H263" s="21" t="n">
        <v>46048.6597916667</v>
      </c>
      <c r="I263" s="15" t="s">
        <v>1170</v>
      </c>
      <c r="J263" s="15" t="s">
        <v>1170</v>
      </c>
      <c r="K263" s="15"/>
      <c r="L263" s="10" t="n">
        <f aca="false">COUNTIF($E$2:E263,E263)</f>
        <v>21</v>
      </c>
      <c r="M263" s="10" t="e">
        <f aca="false">ifs(L263=1, L263&amp;"-"&amp; COUNTIFS($L$2:L263,1))</f>
        <v>#NAME?</v>
      </c>
      <c r="N263" s="15" t="s">
        <v>603</v>
      </c>
      <c r="O263" s="10"/>
      <c r="P263" s="22" t="n">
        <f aca="false">COUNTIFS(C:C,C263,N:N,"Đã xác nhận")/COUNTIFS(C:C,C263)</f>
        <v>1</v>
      </c>
      <c r="Q263" s="22"/>
      <c r="R263" s="0" t="s">
        <v>1171</v>
      </c>
      <c r="S263" s="0" t="s">
        <v>539</v>
      </c>
      <c r="U263" s="24" t="n">
        <v>1</v>
      </c>
    </row>
    <row r="264" customFormat="false" ht="12.75" hidden="false" customHeight="false" outlineLevel="0" collapsed="false">
      <c r="A264" s="15" t="n">
        <v>518</v>
      </c>
      <c r="B264" s="15" t="s">
        <v>1103</v>
      </c>
      <c r="C264" s="15" t="s">
        <v>504</v>
      </c>
      <c r="D264" s="15" t="s">
        <v>1172</v>
      </c>
      <c r="E264" s="15" t="s">
        <v>39</v>
      </c>
      <c r="F264" s="15"/>
      <c r="G264" s="10" t="n">
        <v>1</v>
      </c>
      <c r="H264" s="21" t="n">
        <v>46048.6596412037</v>
      </c>
      <c r="I264" s="15" t="s">
        <v>1173</v>
      </c>
      <c r="J264" s="15" t="s">
        <v>1173</v>
      </c>
      <c r="L264" s="10" t="n">
        <f aca="false">COUNTIF($E$2:E264,E264)</f>
        <v>1</v>
      </c>
      <c r="M264" s="10" t="e">
        <f aca="false">ifs(L264=1, L264&amp;"-"&amp; COUNTIFS($L$2:L264,1))</f>
        <v>#NAME?</v>
      </c>
      <c r="N264" s="15" t="s">
        <v>603</v>
      </c>
      <c r="O264" s="10"/>
      <c r="P264" s="22" t="n">
        <f aca="false">COUNTIFS(C:C,C264,N:N,"Đã xác nhận")/COUNTIFS(C:C,C264)</f>
        <v>1</v>
      </c>
      <c r="Q264" s="22"/>
      <c r="R264" s="0" t="s">
        <v>1174</v>
      </c>
      <c r="S264" s="0" t="s">
        <v>550</v>
      </c>
      <c r="U264" s="24" t="n">
        <v>1</v>
      </c>
    </row>
    <row r="265" customFormat="false" ht="12.75" hidden="false" customHeight="false" outlineLevel="0" collapsed="false">
      <c r="A265" s="15" t="n">
        <v>519</v>
      </c>
      <c r="B265" s="15" t="s">
        <v>1103</v>
      </c>
      <c r="C265" s="15" t="s">
        <v>504</v>
      </c>
      <c r="D265" s="15" t="s">
        <v>1172</v>
      </c>
      <c r="E265" s="15" t="s">
        <v>81</v>
      </c>
      <c r="F265" s="15"/>
      <c r="G265" s="10" t="n">
        <v>1</v>
      </c>
      <c r="H265" s="21" t="n">
        <v>46048.6600578704</v>
      </c>
      <c r="I265" s="15" t="s">
        <v>1175</v>
      </c>
      <c r="J265" s="15" t="s">
        <v>1175</v>
      </c>
      <c r="L265" s="10" t="n">
        <f aca="false">COUNTIF($E$2:E265,E265)</f>
        <v>63</v>
      </c>
      <c r="M265" s="10" t="e">
        <f aca="false">ifs(L265=1, L265&amp;"-"&amp; COUNTIFS($L$2:L265,1))</f>
        <v>#NAME?</v>
      </c>
      <c r="N265" s="15" t="s">
        <v>603</v>
      </c>
      <c r="O265" s="10"/>
      <c r="P265" s="22" t="n">
        <f aca="false">COUNTIFS(C:C,C265,N:N,"Đã xác nhận")/COUNTIFS(C:C,C265)</f>
        <v>1</v>
      </c>
      <c r="Q265" s="22"/>
      <c r="R265" s="0" t="s">
        <v>1174</v>
      </c>
      <c r="S265" s="0" t="s">
        <v>534</v>
      </c>
      <c r="U265" s="24" t="n">
        <v>1</v>
      </c>
    </row>
    <row r="266" customFormat="false" ht="12.75" hidden="false" customHeight="false" outlineLevel="0" collapsed="false">
      <c r="A266" s="15" t="n">
        <v>521</v>
      </c>
      <c r="B266" s="15" t="s">
        <v>1103</v>
      </c>
      <c r="C266" s="15" t="s">
        <v>504</v>
      </c>
      <c r="D266" s="15" t="s">
        <v>1176</v>
      </c>
      <c r="E266" s="15" t="s">
        <v>81</v>
      </c>
      <c r="F266" s="15"/>
      <c r="G266" s="10" t="n">
        <v>2</v>
      </c>
      <c r="H266" s="21" t="n">
        <v>46048.6600231482</v>
      </c>
      <c r="I266" s="15" t="s">
        <v>1177</v>
      </c>
      <c r="J266" s="15" t="s">
        <v>1177</v>
      </c>
      <c r="K266" s="15"/>
      <c r="L266" s="10" t="n">
        <f aca="false">COUNTIF($E$2:E266,E266)</f>
        <v>64</v>
      </c>
      <c r="M266" s="10" t="e">
        <f aca="false">ifs(L266=1, L266&amp;"-"&amp; COUNTIFS($L$2:L266,1))</f>
        <v>#NAME?</v>
      </c>
      <c r="N266" s="15" t="s">
        <v>603</v>
      </c>
      <c r="O266" s="10"/>
      <c r="P266" s="22" t="n">
        <f aca="false">COUNTIFS(C:C,C266,N:N,"Đã xác nhận")/COUNTIFS(C:C,C266)</f>
        <v>1</v>
      </c>
      <c r="Q266" s="22"/>
      <c r="R266" s="0" t="s">
        <v>1178</v>
      </c>
      <c r="S266" s="0" t="s">
        <v>534</v>
      </c>
      <c r="U266" s="24" t="n">
        <v>2</v>
      </c>
    </row>
    <row r="267" customFormat="false" ht="12.75" hidden="false" customHeight="false" outlineLevel="0" collapsed="false">
      <c r="A267" s="15" t="n">
        <v>522</v>
      </c>
      <c r="B267" s="15" t="s">
        <v>1103</v>
      </c>
      <c r="C267" s="15" t="s">
        <v>504</v>
      </c>
      <c r="D267" s="15" t="s">
        <v>1179</v>
      </c>
      <c r="E267" s="15" t="s">
        <v>63</v>
      </c>
      <c r="F267" s="15"/>
      <c r="G267" s="10" t="n">
        <v>1</v>
      </c>
      <c r="H267" s="21" t="n">
        <v>46048.6598611111</v>
      </c>
      <c r="I267" s="15" t="s">
        <v>1180</v>
      </c>
      <c r="J267" s="15" t="s">
        <v>1180</v>
      </c>
      <c r="K267" s="15"/>
      <c r="L267" s="10" t="n">
        <f aca="false">COUNTIF($E$2:E267,E267)</f>
        <v>3</v>
      </c>
      <c r="M267" s="10" t="e">
        <f aca="false">ifs(L267=1, L267&amp;"-"&amp; COUNTIFS($L$2:L267,1))</f>
        <v>#NAME?</v>
      </c>
      <c r="N267" s="15" t="s">
        <v>603</v>
      </c>
      <c r="O267" s="10"/>
      <c r="P267" s="22" t="n">
        <f aca="false">COUNTIFS(C:C,C267,N:N,"Đã xác nhận")/COUNTIFS(C:C,C267)</f>
        <v>1</v>
      </c>
      <c r="Q267" s="22"/>
      <c r="R267" s="0" t="s">
        <v>1181</v>
      </c>
      <c r="S267" s="0" t="s">
        <v>551</v>
      </c>
      <c r="U267" s="24" t="n">
        <v>1</v>
      </c>
    </row>
    <row r="268" customFormat="false" ht="12.75" hidden="false" customHeight="false" outlineLevel="0" collapsed="false">
      <c r="A268" s="15" t="n">
        <v>523</v>
      </c>
      <c r="B268" s="15" t="s">
        <v>1103</v>
      </c>
      <c r="C268" s="15" t="s">
        <v>504</v>
      </c>
      <c r="D268" s="15" t="s">
        <v>1179</v>
      </c>
      <c r="E268" s="15" t="s">
        <v>81</v>
      </c>
      <c r="F268" s="15"/>
      <c r="G268" s="10" t="n">
        <v>1</v>
      </c>
      <c r="H268" s="21" t="n">
        <v>46048.6600462963</v>
      </c>
      <c r="I268" s="15" t="s">
        <v>1182</v>
      </c>
      <c r="J268" s="15" t="s">
        <v>1182</v>
      </c>
      <c r="K268" s="15"/>
      <c r="L268" s="10" t="n">
        <f aca="false">COUNTIF($E$2:E268,E268)</f>
        <v>65</v>
      </c>
      <c r="M268" s="10" t="e">
        <f aca="false">ifs(L268=1, L268&amp;"-"&amp; COUNTIFS($L$2:L268,1))</f>
        <v>#NAME?</v>
      </c>
      <c r="N268" s="15" t="s">
        <v>603</v>
      </c>
      <c r="O268" s="10"/>
      <c r="P268" s="22" t="n">
        <f aca="false">COUNTIFS(C:C,C268,N:N,"Đã xác nhận")/COUNTIFS(C:C,C268)</f>
        <v>1</v>
      </c>
      <c r="Q268" s="22"/>
      <c r="R268" s="0" t="s">
        <v>1181</v>
      </c>
      <c r="S268" s="0" t="s">
        <v>534</v>
      </c>
      <c r="U268" s="24" t="n">
        <v>1</v>
      </c>
    </row>
    <row r="269" customFormat="false" ht="12.75" hidden="false" customHeight="false" outlineLevel="0" collapsed="false">
      <c r="A269" s="15" t="n">
        <v>524</v>
      </c>
      <c r="B269" s="15" t="s">
        <v>1103</v>
      </c>
      <c r="C269" s="15" t="s">
        <v>504</v>
      </c>
      <c r="D269" s="15" t="s">
        <v>1183</v>
      </c>
      <c r="E269" s="15" t="s">
        <v>47</v>
      </c>
      <c r="F269" s="15"/>
      <c r="G269" s="10" t="n">
        <v>1</v>
      </c>
      <c r="H269" s="21" t="n">
        <v>46048.6596990741</v>
      </c>
      <c r="I269" s="15" t="s">
        <v>1184</v>
      </c>
      <c r="J269" s="15" t="s">
        <v>1184</v>
      </c>
      <c r="K269" s="15"/>
      <c r="L269" s="10" t="n">
        <f aca="false">COUNTIF($E$2:E269,E269)</f>
        <v>13</v>
      </c>
      <c r="M269" s="10" t="e">
        <f aca="false">ifs(L269=1, L269&amp;"-"&amp; COUNTIFS($L$2:L269,1))</f>
        <v>#NAME?</v>
      </c>
      <c r="N269" s="15" t="s">
        <v>603</v>
      </c>
      <c r="O269" s="10"/>
      <c r="P269" s="22" t="n">
        <f aca="false">COUNTIFS(C:C,C269,N:N,"Đã xác nhận")/COUNTIFS(C:C,C269)</f>
        <v>1</v>
      </c>
      <c r="Q269" s="22"/>
      <c r="R269" s="0" t="s">
        <v>1185</v>
      </c>
      <c r="S269" s="0" t="s">
        <v>549</v>
      </c>
      <c r="U269" s="24" t="n">
        <v>1</v>
      </c>
    </row>
    <row r="270" customFormat="false" ht="12.75" hidden="false" customHeight="false" outlineLevel="0" collapsed="false">
      <c r="A270" s="15" t="n">
        <v>525</v>
      </c>
      <c r="B270" s="15" t="s">
        <v>1103</v>
      </c>
      <c r="C270" s="15" t="s">
        <v>1186</v>
      </c>
      <c r="E270" s="15" t="s">
        <v>81</v>
      </c>
      <c r="F270" s="15"/>
      <c r="G270" s="10" t="n">
        <v>10</v>
      </c>
      <c r="H270" s="21" t="n">
        <v>45966.2838541667</v>
      </c>
      <c r="I270" s="15" t="s">
        <v>1187</v>
      </c>
      <c r="J270" s="15" t="s">
        <v>1188</v>
      </c>
      <c r="K270" s="15" t="s">
        <v>1189</v>
      </c>
      <c r="L270" s="10" t="n">
        <f aca="false">COUNTIF($E$2:E270,E270)</f>
        <v>66</v>
      </c>
      <c r="M270" s="10" t="e">
        <f aca="false">ifs(L270=1, L270&amp;"-"&amp; COUNTIFS($L$2:L270,1))</f>
        <v>#NAME?</v>
      </c>
      <c r="O270" s="10"/>
      <c r="P270" s="22" t="n">
        <f aca="false">COUNTIFS(C:C,C270,N:N,"Đã xác nhận")/COUNTIFS(C:C,C270)</f>
        <v>0</v>
      </c>
      <c r="Q270" s="22"/>
      <c r="R270" s="0" t="e">
        <f aca="false">#VALUE!</f>
        <v>#VALUE!</v>
      </c>
      <c r="S270" s="0" t="s">
        <v>534</v>
      </c>
      <c r="U270" s="24" t="n">
        <v>10</v>
      </c>
    </row>
    <row r="271" customFormat="false" ht="12.75" hidden="false" customHeight="false" outlineLevel="0" collapsed="false">
      <c r="A271" s="15" t="n">
        <v>526</v>
      </c>
      <c r="B271" s="15" t="s">
        <v>1103</v>
      </c>
      <c r="C271" s="15" t="s">
        <v>1186</v>
      </c>
      <c r="E271" s="15" t="s">
        <v>55</v>
      </c>
      <c r="F271" s="15"/>
      <c r="G271" s="10" t="n">
        <v>2</v>
      </c>
      <c r="H271" s="21" t="n">
        <v>45926.4674537037</v>
      </c>
      <c r="I271" s="15" t="s">
        <v>1190</v>
      </c>
      <c r="J271" s="15" t="s">
        <v>1191</v>
      </c>
      <c r="K271" s="15" t="s">
        <v>1192</v>
      </c>
      <c r="L271" s="10" t="n">
        <f aca="false">COUNTIF($E$2:E271,E271)</f>
        <v>22</v>
      </c>
      <c r="M271" s="10" t="e">
        <f aca="false">ifs(L271=1, L271&amp;"-"&amp; COUNTIFS($L$2:L271,1))</f>
        <v>#NAME?</v>
      </c>
      <c r="O271" s="10"/>
      <c r="P271" s="22" t="n">
        <f aca="false">COUNTIFS(C:C,C271,N:N,"Đã xác nhận")/COUNTIFS(C:C,C271)</f>
        <v>0</v>
      </c>
      <c r="Q271" s="22"/>
      <c r="R271" s="0" t="e">
        <f aca="false">#VALUE!</f>
        <v>#VALUE!</v>
      </c>
      <c r="S271" s="0" t="s">
        <v>539</v>
      </c>
      <c r="U271" s="24" t="n">
        <v>2</v>
      </c>
    </row>
    <row r="272" customFormat="false" ht="12.75" hidden="false" customHeight="false" outlineLevel="0" collapsed="false">
      <c r="A272" s="15" t="n">
        <v>527</v>
      </c>
      <c r="B272" s="15" t="s">
        <v>1103</v>
      </c>
      <c r="C272" s="15" t="s">
        <v>1186</v>
      </c>
      <c r="E272" s="15" t="s">
        <v>47</v>
      </c>
      <c r="F272" s="15"/>
      <c r="G272" s="10" t="n">
        <v>3</v>
      </c>
      <c r="H272" s="23" t="n">
        <v>45926.3413675579</v>
      </c>
      <c r="L272" s="10" t="n">
        <f aca="false">COUNTIF($E$2:E272,E272)</f>
        <v>14</v>
      </c>
      <c r="M272" s="10" t="e">
        <f aca="false">ifs(L272=1, L272&amp;"-"&amp; COUNTIFS($L$2:L272,1))</f>
        <v>#NAME?</v>
      </c>
      <c r="O272" s="10"/>
      <c r="P272" s="22" t="n">
        <f aca="false">COUNTIFS(C:C,C272,N:N,"Đã xác nhận")/COUNTIFS(C:C,C272)</f>
        <v>0</v>
      </c>
      <c r="Q272" s="22"/>
      <c r="R272" s="0" t="e">
        <f aca="false">#VALUE!</f>
        <v>#VALUE!</v>
      </c>
      <c r="S272" s="0" t="s">
        <v>549</v>
      </c>
      <c r="U272" s="24" t="n">
        <v>3</v>
      </c>
    </row>
    <row r="273" customFormat="false" ht="12.75" hidden="false" customHeight="false" outlineLevel="0" collapsed="false">
      <c r="A273" s="15" t="n">
        <v>528</v>
      </c>
      <c r="B273" s="15" t="s">
        <v>1103</v>
      </c>
      <c r="C273" s="15" t="s">
        <v>1186</v>
      </c>
      <c r="E273" s="15" t="s">
        <v>63</v>
      </c>
      <c r="F273" s="15"/>
      <c r="G273" s="10" t="n">
        <v>1</v>
      </c>
      <c r="H273" s="23" t="n">
        <v>45926.3413675579</v>
      </c>
      <c r="L273" s="10" t="n">
        <f aca="false">COUNTIF($E$2:E273,E273)</f>
        <v>4</v>
      </c>
      <c r="M273" s="10" t="e">
        <f aca="false">ifs(L273=1, L273&amp;"-"&amp; COUNTIFS($L$2:L273,1))</f>
        <v>#NAME?</v>
      </c>
      <c r="O273" s="10"/>
      <c r="P273" s="22" t="n">
        <f aca="false">COUNTIFS(C:C,C273,N:N,"Đã xác nhận")/COUNTIFS(C:C,C273)</f>
        <v>0</v>
      </c>
      <c r="Q273" s="22"/>
      <c r="R273" s="0" t="e">
        <f aca="false">#VALUE!</f>
        <v>#VALUE!</v>
      </c>
      <c r="S273" s="0" t="s">
        <v>551</v>
      </c>
      <c r="U273" s="24" t="n">
        <v>1</v>
      </c>
    </row>
    <row r="274" customFormat="false" ht="12.75" hidden="false" customHeight="false" outlineLevel="0" collapsed="false">
      <c r="A274" s="15" t="n">
        <v>529</v>
      </c>
      <c r="B274" s="15" t="s">
        <v>1103</v>
      </c>
      <c r="C274" s="15" t="s">
        <v>503</v>
      </c>
      <c r="E274" s="15" t="s">
        <v>81</v>
      </c>
      <c r="F274" s="15"/>
      <c r="G274" s="10" t="n">
        <v>2</v>
      </c>
      <c r="H274" s="21" t="n">
        <v>45966.2840162037</v>
      </c>
      <c r="I274" s="15" t="s">
        <v>1193</v>
      </c>
      <c r="J274" s="15" t="s">
        <v>1194</v>
      </c>
      <c r="K274" s="15" t="s">
        <v>1195</v>
      </c>
      <c r="L274" s="10" t="n">
        <f aca="false">COUNTIF($E$2:E274,E274)</f>
        <v>67</v>
      </c>
      <c r="M274" s="10" t="e">
        <f aca="false">ifs(L274=1, L274&amp;"-"&amp; COUNTIFS($L$2:L274,1))</f>
        <v>#NAME?</v>
      </c>
      <c r="O274" s="10"/>
      <c r="P274" s="22" t="n">
        <f aca="false">COUNTIFS(C:C,C274,N:N,"Đã xác nhận")/COUNTIFS(C:C,C274)</f>
        <v>0</v>
      </c>
      <c r="Q274" s="22"/>
      <c r="R274" s="0" t="e">
        <f aca="false">#VALUE!</f>
        <v>#VALUE!</v>
      </c>
      <c r="S274" s="0" t="s">
        <v>534</v>
      </c>
      <c r="U274" s="24" t="n">
        <v>2</v>
      </c>
    </row>
    <row r="275" customFormat="false" ht="12.75" hidden="false" customHeight="false" outlineLevel="0" collapsed="false">
      <c r="A275" s="15" t="n">
        <v>530</v>
      </c>
      <c r="B275" s="15" t="s">
        <v>1103</v>
      </c>
      <c r="C275" s="15" t="s">
        <v>503</v>
      </c>
      <c r="E275" s="15" t="s">
        <v>55</v>
      </c>
      <c r="F275" s="15"/>
      <c r="G275" s="10" t="n">
        <v>12</v>
      </c>
      <c r="H275" s="23" t="n">
        <v>45926.3413675579</v>
      </c>
      <c r="L275" s="10" t="n">
        <f aca="false">COUNTIF($E$2:E275,E275)</f>
        <v>23</v>
      </c>
      <c r="M275" s="10" t="e">
        <f aca="false">ifs(L275=1, L275&amp;"-"&amp; COUNTIFS($L$2:L275,1))</f>
        <v>#NAME?</v>
      </c>
      <c r="O275" s="10"/>
      <c r="P275" s="22" t="n">
        <f aca="false">COUNTIFS(C:C,C275,N:N,"Đã xác nhận")/COUNTIFS(C:C,C275)</f>
        <v>0</v>
      </c>
      <c r="Q275" s="22"/>
      <c r="R275" s="0" t="e">
        <f aca="false">#VALUE!</f>
        <v>#VALUE!</v>
      </c>
      <c r="S275" s="0" t="s">
        <v>539</v>
      </c>
      <c r="U275" s="24" t="n">
        <v>12</v>
      </c>
    </row>
    <row r="276" customFormat="false" ht="12.75" hidden="false" customHeight="false" outlineLevel="0" collapsed="false">
      <c r="A276" s="15" t="n">
        <v>531</v>
      </c>
      <c r="B276" s="15" t="s">
        <v>1103</v>
      </c>
      <c r="C276" s="15" t="s">
        <v>503</v>
      </c>
      <c r="E276" s="15" t="s">
        <v>63</v>
      </c>
      <c r="F276" s="15"/>
      <c r="G276" s="10" t="n">
        <v>1</v>
      </c>
      <c r="H276" s="23" t="n">
        <v>45926.3413675579</v>
      </c>
      <c r="L276" s="10" t="n">
        <f aca="false">COUNTIF($E$2:E276,E276)</f>
        <v>5</v>
      </c>
      <c r="M276" s="10" t="e">
        <f aca="false">ifs(L276=1, L276&amp;"-"&amp; COUNTIFS($L$2:L276,1))</f>
        <v>#NAME?</v>
      </c>
      <c r="O276" s="10"/>
      <c r="P276" s="22" t="n">
        <f aca="false">COUNTIFS(C:C,C276,N:N,"Đã xác nhận")/COUNTIFS(C:C,C276)</f>
        <v>0</v>
      </c>
      <c r="Q276" s="22"/>
      <c r="R276" s="0" t="e">
        <f aca="false">#VALUE!</f>
        <v>#VALUE!</v>
      </c>
      <c r="S276" s="0" t="s">
        <v>551</v>
      </c>
      <c r="U276" s="24" t="n">
        <v>1</v>
      </c>
    </row>
    <row r="277" customFormat="false" ht="12.75" hidden="false" customHeight="false" outlineLevel="0" collapsed="false">
      <c r="A277" s="15" t="n">
        <v>532</v>
      </c>
      <c r="B277" s="15" t="s">
        <v>1103</v>
      </c>
      <c r="C277" s="15" t="s">
        <v>503</v>
      </c>
      <c r="E277" s="15" t="s">
        <v>39</v>
      </c>
      <c r="F277" s="15"/>
      <c r="G277" s="10" t="n">
        <v>1</v>
      </c>
      <c r="H277" s="23" t="n">
        <v>45926.3413675579</v>
      </c>
      <c r="L277" s="10" t="n">
        <f aca="false">COUNTIF($E$2:E277,E277)</f>
        <v>2</v>
      </c>
      <c r="M277" s="10" t="e">
        <f aca="false">ifs(L277=1, L277&amp;"-"&amp; COUNTIFS($L$2:L277,1))</f>
        <v>#NAME?</v>
      </c>
      <c r="O277" s="10"/>
      <c r="P277" s="22" t="n">
        <f aca="false">COUNTIFS(C:C,C277,N:N,"Đã xác nhận")/COUNTIFS(C:C,C277)</f>
        <v>0</v>
      </c>
      <c r="Q277" s="22"/>
      <c r="R277" s="0" t="e">
        <f aca="false">#VALUE!</f>
        <v>#VALUE!</v>
      </c>
      <c r="S277" s="0" t="s">
        <v>550</v>
      </c>
      <c r="U277" s="24" t="n">
        <v>1</v>
      </c>
    </row>
    <row r="278" customFormat="false" ht="12.75" hidden="false" customHeight="false" outlineLevel="0" collapsed="false">
      <c r="A278" s="15" t="n">
        <v>533</v>
      </c>
      <c r="B278" s="15" t="s">
        <v>1103</v>
      </c>
      <c r="C278" s="15" t="s">
        <v>503</v>
      </c>
      <c r="E278" s="15" t="s">
        <v>47</v>
      </c>
      <c r="F278" s="15"/>
      <c r="G278" s="10" t="n">
        <v>2</v>
      </c>
      <c r="H278" s="23" t="n">
        <v>45926.3413675579</v>
      </c>
      <c r="L278" s="10" t="n">
        <f aca="false">COUNTIF($E$2:E278,E278)</f>
        <v>15</v>
      </c>
      <c r="M278" s="10" t="e">
        <f aca="false">ifs(L278=1, L278&amp;"-"&amp; COUNTIFS($L$2:L278,1))</f>
        <v>#NAME?</v>
      </c>
      <c r="O278" s="10"/>
      <c r="P278" s="22" t="n">
        <f aca="false">COUNTIFS(C:C,C278,N:N,"Đã xác nhận")/COUNTIFS(C:C,C278)</f>
        <v>0</v>
      </c>
      <c r="Q278" s="22"/>
      <c r="R278" s="0" t="e">
        <f aca="false">#VALUE!</f>
        <v>#VALUE!</v>
      </c>
      <c r="S278" s="0" t="s">
        <v>549</v>
      </c>
      <c r="U278" s="24" t="n">
        <v>2</v>
      </c>
    </row>
    <row r="279" customFormat="false" ht="12.75" hidden="false" customHeight="false" outlineLevel="0" collapsed="false">
      <c r="A279" s="15" t="n">
        <v>534</v>
      </c>
      <c r="B279" s="15" t="s">
        <v>1103</v>
      </c>
      <c r="C279" s="15" t="s">
        <v>1104</v>
      </c>
      <c r="D279" s="15" t="s">
        <v>1196</v>
      </c>
      <c r="E279" s="15" t="s">
        <v>81</v>
      </c>
      <c r="F279" s="15"/>
      <c r="G279" s="10" t="n">
        <v>1</v>
      </c>
      <c r="H279" s="21" t="n">
        <v>45967.3946759259</v>
      </c>
      <c r="I279" s="15" t="s">
        <v>1197</v>
      </c>
      <c r="J279" s="15" t="s">
        <v>1198</v>
      </c>
      <c r="K279" s="15" t="s">
        <v>1199</v>
      </c>
      <c r="L279" s="10" t="n">
        <f aca="false">COUNTIF($E$2:E279,E279)</f>
        <v>68</v>
      </c>
      <c r="M279" s="10" t="e">
        <f aca="false">ifs(L279=1, L279&amp;"-"&amp; COUNTIFS($L$2:L279,1))</f>
        <v>#NAME?</v>
      </c>
      <c r="O279" s="10"/>
      <c r="P279" s="22" t="n">
        <f aca="false">COUNTIFS(C:C,C279,N:N,"Đã xác nhận")/COUNTIFS(C:C,C279)</f>
        <v>0</v>
      </c>
      <c r="Q279" s="22"/>
      <c r="R279" s="0" t="s">
        <v>1200</v>
      </c>
      <c r="S279" s="0" t="s">
        <v>534</v>
      </c>
      <c r="U279" s="24" t="n">
        <v>1</v>
      </c>
    </row>
    <row r="280" customFormat="false" ht="12.75" hidden="false" customHeight="false" outlineLevel="0" collapsed="false">
      <c r="A280" s="15" t="n">
        <v>535</v>
      </c>
      <c r="B280" s="15" t="s">
        <v>1103</v>
      </c>
      <c r="C280" s="15" t="s">
        <v>1104</v>
      </c>
      <c r="D280" s="15" t="s">
        <v>1201</v>
      </c>
      <c r="E280" s="15" t="s">
        <v>55</v>
      </c>
      <c r="F280" s="15"/>
      <c r="G280" s="10" t="n">
        <v>2</v>
      </c>
      <c r="H280" s="21" t="n">
        <v>45943.4363541667</v>
      </c>
      <c r="I280" s="15" t="s">
        <v>1202</v>
      </c>
      <c r="J280" s="15" t="s">
        <v>1203</v>
      </c>
      <c r="K280" s="15" t="s">
        <v>1204</v>
      </c>
      <c r="L280" s="10" t="n">
        <f aca="false">COUNTIF($E$2:E280,E280)</f>
        <v>24</v>
      </c>
      <c r="M280" s="10" t="e">
        <f aca="false">ifs(L280=1, L280&amp;"-"&amp; COUNTIFS($L$2:L280,1))</f>
        <v>#NAME?</v>
      </c>
      <c r="O280" s="10"/>
      <c r="P280" s="22" t="n">
        <f aca="false">COUNTIFS(C:C,C280,N:N,"Đã xác nhận")/COUNTIFS(C:C,C280)</f>
        <v>0</v>
      </c>
      <c r="Q280" s="22"/>
      <c r="R280" s="0" t="s">
        <v>1205</v>
      </c>
      <c r="S280" s="0" t="s">
        <v>539</v>
      </c>
      <c r="U280" s="24" t="n">
        <v>2</v>
      </c>
    </row>
    <row r="281" customFormat="false" ht="12.75" hidden="false" customHeight="false" outlineLevel="0" collapsed="false">
      <c r="A281" s="15" t="n">
        <v>537</v>
      </c>
      <c r="B281" s="15" t="s">
        <v>1103</v>
      </c>
      <c r="C281" s="15" t="s">
        <v>1104</v>
      </c>
      <c r="D281" s="15" t="s">
        <v>1206</v>
      </c>
      <c r="E281" s="15" t="s">
        <v>39</v>
      </c>
      <c r="F281" s="15"/>
      <c r="G281" s="10" t="n">
        <v>1</v>
      </c>
      <c r="H281" s="21" t="n">
        <v>45943.4296064815</v>
      </c>
      <c r="I281" s="15" t="s">
        <v>1207</v>
      </c>
      <c r="J281" s="15" t="s">
        <v>1208</v>
      </c>
      <c r="K281" s="15" t="s">
        <v>1209</v>
      </c>
      <c r="L281" s="10" t="n">
        <f aca="false">COUNTIF($E$2:E281,E281)</f>
        <v>3</v>
      </c>
      <c r="M281" s="10" t="e">
        <f aca="false">ifs(L281=1, L281&amp;"-"&amp; COUNTIFS($L$2:L281,1))</f>
        <v>#NAME?</v>
      </c>
      <c r="O281" s="10"/>
      <c r="P281" s="22" t="n">
        <f aca="false">COUNTIFS(C:C,C281,N:N,"Đã xác nhận")/COUNTIFS(C:C,C281)</f>
        <v>0</v>
      </c>
      <c r="Q281" s="22"/>
      <c r="R281" s="0" t="s">
        <v>1210</v>
      </c>
      <c r="S281" s="0" t="s">
        <v>550</v>
      </c>
      <c r="U281" s="24" t="n">
        <v>1</v>
      </c>
    </row>
    <row r="282" customFormat="false" ht="12.75" hidden="false" customHeight="false" outlineLevel="0" collapsed="false">
      <c r="A282" s="15" t="n">
        <v>538</v>
      </c>
      <c r="B282" s="15" t="s">
        <v>1103</v>
      </c>
      <c r="C282" s="15" t="s">
        <v>508</v>
      </c>
      <c r="D282" s="15" t="s">
        <v>1211</v>
      </c>
      <c r="E282" s="15" t="s">
        <v>55</v>
      </c>
      <c r="F282" s="15"/>
      <c r="G282" s="10" t="n">
        <v>2</v>
      </c>
      <c r="H282" s="21" t="n">
        <v>46050.4953009259</v>
      </c>
      <c r="I282" s="15" t="s">
        <v>1212</v>
      </c>
      <c r="J282" s="15" t="s">
        <v>1212</v>
      </c>
      <c r="K282" s="15"/>
      <c r="L282" s="10" t="n">
        <f aca="false">COUNTIF($E$2:E282,E282)</f>
        <v>25</v>
      </c>
      <c r="M282" s="10" t="e">
        <f aca="false">ifs(L282=1, L282&amp;"-"&amp; COUNTIFS($L$2:L282,1))</f>
        <v>#NAME?</v>
      </c>
      <c r="N282" s="15" t="s">
        <v>603</v>
      </c>
      <c r="O282" s="10"/>
      <c r="P282" s="22" t="n">
        <f aca="false">COUNTIFS(C:C,C282,N:N,"Đã xác nhận")/COUNTIFS(C:C,C282)</f>
        <v>1</v>
      </c>
      <c r="Q282" s="22"/>
      <c r="R282" s="0" t="s">
        <v>1213</v>
      </c>
      <c r="S282" s="0" t="s">
        <v>539</v>
      </c>
      <c r="U282" s="24" t="n">
        <v>2</v>
      </c>
    </row>
    <row r="283" customFormat="false" ht="12.75" hidden="false" customHeight="false" outlineLevel="0" collapsed="false">
      <c r="A283" s="15" t="n">
        <v>539</v>
      </c>
      <c r="B283" s="15" t="s">
        <v>1103</v>
      </c>
      <c r="C283" s="15" t="s">
        <v>508</v>
      </c>
      <c r="D283" s="15" t="s">
        <v>1120</v>
      </c>
      <c r="E283" s="15" t="s">
        <v>55</v>
      </c>
      <c r="F283" s="15"/>
      <c r="G283" s="10" t="n">
        <v>1</v>
      </c>
      <c r="H283" s="21" t="n">
        <v>46050.4952893519</v>
      </c>
      <c r="I283" s="15" t="s">
        <v>1214</v>
      </c>
      <c r="J283" s="15" t="s">
        <v>1214</v>
      </c>
      <c r="L283" s="10" t="n">
        <f aca="false">COUNTIF($E$2:E283,E283)</f>
        <v>26</v>
      </c>
      <c r="M283" s="10" t="e">
        <f aca="false">ifs(L283=1, L283&amp;"-"&amp; COUNTIFS($L$2:L283,1))</f>
        <v>#NAME?</v>
      </c>
      <c r="N283" s="15" t="s">
        <v>603</v>
      </c>
      <c r="O283" s="10"/>
      <c r="P283" s="22" t="n">
        <f aca="false">COUNTIFS(C:C,C283,N:N,"Đã xác nhận")/COUNTIFS(C:C,C283)</f>
        <v>1</v>
      </c>
      <c r="Q283" s="22"/>
      <c r="R283" s="0" t="s">
        <v>1122</v>
      </c>
      <c r="S283" s="0" t="s">
        <v>539</v>
      </c>
      <c r="U283" s="24" t="n">
        <v>1</v>
      </c>
    </row>
    <row r="284" customFormat="false" ht="12.75" hidden="false" customHeight="false" outlineLevel="0" collapsed="false">
      <c r="A284" s="15" t="n">
        <v>540</v>
      </c>
      <c r="B284" s="15" t="s">
        <v>1103</v>
      </c>
      <c r="C284" s="15" t="s">
        <v>508</v>
      </c>
      <c r="D284" s="15" t="s">
        <v>1215</v>
      </c>
      <c r="E284" s="15" t="s">
        <v>81</v>
      </c>
      <c r="F284" s="15"/>
      <c r="G284" s="10" t="n">
        <v>1</v>
      </c>
      <c r="H284" s="21" t="n">
        <v>46050.4954166667</v>
      </c>
      <c r="I284" s="15" t="s">
        <v>1216</v>
      </c>
      <c r="J284" s="15" t="s">
        <v>1216</v>
      </c>
      <c r="L284" s="10" t="n">
        <f aca="false">COUNTIF($E$2:E284,E284)</f>
        <v>69</v>
      </c>
      <c r="M284" s="10" t="e">
        <f aca="false">ifs(L284=1, L284&amp;"-"&amp; COUNTIFS($L$2:L284,1))</f>
        <v>#NAME?</v>
      </c>
      <c r="N284" s="15" t="s">
        <v>603</v>
      </c>
      <c r="O284" s="10"/>
      <c r="P284" s="22" t="n">
        <f aca="false">COUNTIFS(C:C,C284,N:N,"Đã xác nhận")/COUNTIFS(C:C,C284)</f>
        <v>1</v>
      </c>
      <c r="Q284" s="22"/>
      <c r="R284" s="0" t="s">
        <v>1217</v>
      </c>
      <c r="S284" s="0" t="s">
        <v>534</v>
      </c>
      <c r="U284" s="24" t="n">
        <v>1</v>
      </c>
    </row>
    <row r="285" customFormat="false" ht="12.75" hidden="false" customHeight="false" outlineLevel="0" collapsed="false">
      <c r="A285" s="15" t="n">
        <v>541</v>
      </c>
      <c r="B285" s="15" t="s">
        <v>1103</v>
      </c>
      <c r="C285" s="15" t="s">
        <v>508</v>
      </c>
      <c r="D285" s="15" t="s">
        <v>1215</v>
      </c>
      <c r="E285" s="15" t="s">
        <v>39</v>
      </c>
      <c r="F285" s="15"/>
      <c r="G285" s="10" t="n">
        <v>1</v>
      </c>
      <c r="H285" s="21" t="n">
        <v>46050.4951851852</v>
      </c>
      <c r="I285" s="15" t="s">
        <v>1218</v>
      </c>
      <c r="J285" s="15" t="s">
        <v>1218</v>
      </c>
      <c r="L285" s="10" t="n">
        <f aca="false">COUNTIF($E$2:E285,E285)</f>
        <v>4</v>
      </c>
      <c r="M285" s="10" t="e">
        <f aca="false">ifs(L285=1, L285&amp;"-"&amp; COUNTIFS($L$2:L285,1))</f>
        <v>#NAME?</v>
      </c>
      <c r="N285" s="15" t="s">
        <v>603</v>
      </c>
      <c r="O285" s="10"/>
      <c r="P285" s="22" t="n">
        <f aca="false">COUNTIFS(C:C,C285,N:N,"Đã xác nhận")/COUNTIFS(C:C,C285)</f>
        <v>1</v>
      </c>
      <c r="Q285" s="22"/>
      <c r="R285" s="0" t="s">
        <v>1217</v>
      </c>
      <c r="S285" s="0" t="s">
        <v>550</v>
      </c>
      <c r="U285" s="24" t="n">
        <v>1</v>
      </c>
    </row>
    <row r="286" customFormat="false" ht="12.75" hidden="false" customHeight="false" outlineLevel="0" collapsed="false">
      <c r="A286" s="15" t="n">
        <v>542</v>
      </c>
      <c r="B286" s="15" t="s">
        <v>1103</v>
      </c>
      <c r="C286" s="15" t="s">
        <v>508</v>
      </c>
      <c r="D286" s="15" t="s">
        <v>1219</v>
      </c>
      <c r="E286" s="15" t="s">
        <v>81</v>
      </c>
      <c r="F286" s="15"/>
      <c r="G286" s="10" t="n">
        <v>6</v>
      </c>
      <c r="H286" s="21" t="n">
        <v>46050.4954050926</v>
      </c>
      <c r="I286" s="15" t="s">
        <v>1220</v>
      </c>
      <c r="J286" s="15" t="s">
        <v>1220</v>
      </c>
      <c r="K286" s="15"/>
      <c r="L286" s="10" t="n">
        <f aca="false">COUNTIF($E$2:E286,E286)</f>
        <v>70</v>
      </c>
      <c r="M286" s="10" t="e">
        <f aca="false">ifs(L286=1, L286&amp;"-"&amp; COUNTIFS($L$2:L286,1))</f>
        <v>#NAME?</v>
      </c>
      <c r="N286" s="15" t="s">
        <v>603</v>
      </c>
      <c r="O286" s="10"/>
      <c r="P286" s="22" t="n">
        <f aca="false">COUNTIFS(C:C,C286,N:N,"Đã xác nhận")/COUNTIFS(C:C,C286)</f>
        <v>1</v>
      </c>
      <c r="Q286" s="22"/>
      <c r="R286" s="0" t="s">
        <v>1221</v>
      </c>
      <c r="S286" s="0" t="s">
        <v>534</v>
      </c>
      <c r="U286" s="24" t="n">
        <v>6</v>
      </c>
    </row>
    <row r="287" customFormat="false" ht="12.75" hidden="false" customHeight="false" outlineLevel="0" collapsed="false">
      <c r="A287" s="15" t="n">
        <v>543</v>
      </c>
      <c r="B287" s="15" t="s">
        <v>1103</v>
      </c>
      <c r="C287" s="15" t="s">
        <v>508</v>
      </c>
      <c r="D287" s="15" t="s">
        <v>1150</v>
      </c>
      <c r="E287" s="15" t="s">
        <v>47</v>
      </c>
      <c r="F287" s="15"/>
      <c r="G287" s="10" t="n">
        <v>1</v>
      </c>
      <c r="H287" s="21" t="n">
        <v>46050.4952314815</v>
      </c>
      <c r="I287" s="15" t="s">
        <v>1222</v>
      </c>
      <c r="J287" s="15" t="s">
        <v>1222</v>
      </c>
      <c r="K287" s="15"/>
      <c r="L287" s="10" t="n">
        <f aca="false">COUNTIF($E$2:E287,E287)</f>
        <v>16</v>
      </c>
      <c r="M287" s="10" t="e">
        <f aca="false">ifs(L287=1, L287&amp;"-"&amp; COUNTIFS($L$2:L287,1))</f>
        <v>#NAME?</v>
      </c>
      <c r="N287" s="15" t="s">
        <v>603</v>
      </c>
      <c r="O287" s="10"/>
      <c r="P287" s="22" t="n">
        <f aca="false">COUNTIFS(C:C,C287,N:N,"Đã xác nhận")/COUNTIFS(C:C,C287)</f>
        <v>1</v>
      </c>
      <c r="Q287" s="22"/>
      <c r="R287" s="0" t="s">
        <v>1152</v>
      </c>
      <c r="S287" s="0" t="s">
        <v>549</v>
      </c>
      <c r="U287" s="24" t="n">
        <v>1</v>
      </c>
    </row>
    <row r="288" customFormat="false" ht="12.75" hidden="false" customHeight="false" outlineLevel="0" collapsed="false">
      <c r="A288" s="15" t="n">
        <v>544</v>
      </c>
      <c r="B288" s="15" t="s">
        <v>1103</v>
      </c>
      <c r="C288" s="15" t="s">
        <v>508</v>
      </c>
      <c r="D288" s="15" t="s">
        <v>1128</v>
      </c>
      <c r="E288" s="15" t="s">
        <v>55</v>
      </c>
      <c r="F288" s="15"/>
      <c r="G288" s="10" t="n">
        <v>2</v>
      </c>
      <c r="H288" s="21" t="n">
        <v>46050.4952893519</v>
      </c>
      <c r="I288" s="15" t="s">
        <v>1223</v>
      </c>
      <c r="J288" s="15" t="s">
        <v>1223</v>
      </c>
      <c r="K288" s="15"/>
      <c r="L288" s="10" t="n">
        <f aca="false">COUNTIF($E$2:E288,E288)</f>
        <v>27</v>
      </c>
      <c r="M288" s="10" t="e">
        <f aca="false">ifs(L288=1, L288&amp;"-"&amp; COUNTIFS($L$2:L288,1))</f>
        <v>#NAME?</v>
      </c>
      <c r="N288" s="15" t="s">
        <v>603</v>
      </c>
      <c r="O288" s="10"/>
      <c r="P288" s="22" t="n">
        <f aca="false">COUNTIFS(C:C,C288,N:N,"Đã xác nhận")/COUNTIFS(C:C,C288)</f>
        <v>1</v>
      </c>
      <c r="Q288" s="22"/>
      <c r="R288" s="0" t="s">
        <v>1130</v>
      </c>
      <c r="S288" s="0" t="s">
        <v>539</v>
      </c>
      <c r="U288" s="24" t="n">
        <v>2</v>
      </c>
    </row>
    <row r="289" customFormat="false" ht="12.75" hidden="false" customHeight="false" outlineLevel="0" collapsed="false">
      <c r="A289" s="15" t="n">
        <v>545</v>
      </c>
      <c r="B289" s="15" t="s">
        <v>1103</v>
      </c>
      <c r="C289" s="15" t="s">
        <v>508</v>
      </c>
      <c r="D289" s="15" t="s">
        <v>1224</v>
      </c>
      <c r="E289" s="15" t="s">
        <v>39</v>
      </c>
      <c r="F289" s="15"/>
      <c r="G289" s="10" t="n">
        <v>1</v>
      </c>
      <c r="H289" s="21" t="n">
        <v>46050.495162037</v>
      </c>
      <c r="I289" s="15" t="s">
        <v>1225</v>
      </c>
      <c r="J289" s="15" t="s">
        <v>1225</v>
      </c>
      <c r="L289" s="10" t="n">
        <f aca="false">COUNTIF($E$2:E289,E289)</f>
        <v>5</v>
      </c>
      <c r="M289" s="10" t="e">
        <f aca="false">ifs(L289=1, L289&amp;"-"&amp; COUNTIFS($L$2:L289,1))</f>
        <v>#NAME?</v>
      </c>
      <c r="N289" s="15" t="s">
        <v>603</v>
      </c>
      <c r="O289" s="10"/>
      <c r="P289" s="22" t="n">
        <f aca="false">COUNTIFS(C:C,C289,N:N,"Đã xác nhận")/COUNTIFS(C:C,C289)</f>
        <v>1</v>
      </c>
      <c r="Q289" s="22"/>
      <c r="R289" s="0" t="s">
        <v>1226</v>
      </c>
      <c r="S289" s="0" t="s">
        <v>550</v>
      </c>
      <c r="U289" s="24" t="n">
        <v>1</v>
      </c>
    </row>
    <row r="290" customFormat="false" ht="12.75" hidden="false" customHeight="false" outlineLevel="0" collapsed="false">
      <c r="A290" s="15" t="n">
        <v>546</v>
      </c>
      <c r="B290" s="15" t="s">
        <v>1103</v>
      </c>
      <c r="C290" s="15" t="s">
        <v>508</v>
      </c>
      <c r="D290" s="15" t="s">
        <v>1224</v>
      </c>
      <c r="E290" s="15" t="s">
        <v>81</v>
      </c>
      <c r="F290" s="15"/>
      <c r="G290" s="10" t="n">
        <v>1</v>
      </c>
      <c r="H290" s="21" t="n">
        <v>46050.4954166667</v>
      </c>
      <c r="I290" s="15" t="s">
        <v>1227</v>
      </c>
      <c r="J290" s="15" t="s">
        <v>1227</v>
      </c>
      <c r="K290" s="15"/>
      <c r="L290" s="10" t="n">
        <f aca="false">COUNTIF($E$2:E290,E290)</f>
        <v>71</v>
      </c>
      <c r="M290" s="10" t="e">
        <f aca="false">ifs(L290=1, L290&amp;"-"&amp; COUNTIFS($L$2:L290,1))</f>
        <v>#NAME?</v>
      </c>
      <c r="N290" s="15" t="s">
        <v>603</v>
      </c>
      <c r="O290" s="10"/>
      <c r="P290" s="22" t="n">
        <f aca="false">COUNTIFS(C:C,C290,N:N,"Đã xác nhận")/COUNTIFS(C:C,C290)</f>
        <v>1</v>
      </c>
      <c r="Q290" s="22"/>
      <c r="R290" s="0" t="s">
        <v>1226</v>
      </c>
      <c r="S290" s="0" t="s">
        <v>534</v>
      </c>
      <c r="U290" s="24" t="n">
        <v>1</v>
      </c>
    </row>
    <row r="291" customFormat="false" ht="12.75" hidden="false" customHeight="false" outlineLevel="0" collapsed="false">
      <c r="A291" s="15" t="n">
        <v>547</v>
      </c>
      <c r="B291" s="15" t="s">
        <v>1103</v>
      </c>
      <c r="C291" s="15" t="s">
        <v>508</v>
      </c>
      <c r="D291" s="15" t="s">
        <v>1228</v>
      </c>
      <c r="E291" s="15" t="s">
        <v>63</v>
      </c>
      <c r="F291" s="15"/>
      <c r="G291" s="10" t="n">
        <v>1</v>
      </c>
      <c r="H291" s="21" t="n">
        <v>46050.4953356482</v>
      </c>
      <c r="I291" s="15" t="s">
        <v>1229</v>
      </c>
      <c r="J291" s="15" t="s">
        <v>1229</v>
      </c>
      <c r="K291" s="15"/>
      <c r="L291" s="10" t="n">
        <f aca="false">COUNTIF($E$2:E291,E291)</f>
        <v>6</v>
      </c>
      <c r="M291" s="10" t="e">
        <f aca="false">ifs(L291=1, L291&amp;"-"&amp; COUNTIFS($L$2:L291,1))</f>
        <v>#NAME?</v>
      </c>
      <c r="N291" s="15" t="s">
        <v>603</v>
      </c>
      <c r="O291" s="10"/>
      <c r="P291" s="22" t="n">
        <f aca="false">COUNTIFS(C:C,C291,N:N,"Đã xác nhận")/COUNTIFS(C:C,C291)</f>
        <v>1</v>
      </c>
      <c r="Q291" s="22"/>
      <c r="R291" s="0" t="s">
        <v>1230</v>
      </c>
      <c r="S291" s="0" t="s">
        <v>551</v>
      </c>
      <c r="U291" s="24" t="n">
        <v>1</v>
      </c>
    </row>
    <row r="292" customFormat="false" ht="12.75" hidden="false" customHeight="false" outlineLevel="0" collapsed="false">
      <c r="A292" s="15" t="n">
        <v>548</v>
      </c>
      <c r="B292" s="15" t="s">
        <v>1103</v>
      </c>
      <c r="C292" s="15" t="s">
        <v>508</v>
      </c>
      <c r="D292" s="15" t="s">
        <v>1231</v>
      </c>
      <c r="E292" s="15" t="s">
        <v>81</v>
      </c>
      <c r="F292" s="15"/>
      <c r="G292" s="10" t="n">
        <v>1</v>
      </c>
      <c r="H292" s="21" t="n">
        <v>46050.4953819444</v>
      </c>
      <c r="I292" s="15" t="s">
        <v>1232</v>
      </c>
      <c r="J292" s="15" t="s">
        <v>1232</v>
      </c>
      <c r="K292" s="15"/>
      <c r="L292" s="10" t="n">
        <f aca="false">COUNTIF($E$2:E292,E292)</f>
        <v>72</v>
      </c>
      <c r="M292" s="10" t="e">
        <f aca="false">ifs(L292=1, L292&amp;"-"&amp; COUNTIFS($L$2:L292,1))</f>
        <v>#NAME?</v>
      </c>
      <c r="N292" s="15" t="s">
        <v>603</v>
      </c>
      <c r="O292" s="10"/>
      <c r="P292" s="22" t="n">
        <f aca="false">COUNTIFS(C:C,C292,N:N,"Đã xác nhận")/COUNTIFS(C:C,C292)</f>
        <v>1</v>
      </c>
      <c r="Q292" s="22"/>
      <c r="R292" s="0" t="s">
        <v>1233</v>
      </c>
      <c r="S292" s="0" t="s">
        <v>534</v>
      </c>
      <c r="U292" s="24" t="n">
        <v>1</v>
      </c>
    </row>
    <row r="293" customFormat="false" ht="12.75" hidden="false" customHeight="false" outlineLevel="0" collapsed="false">
      <c r="A293" s="15" t="n">
        <v>549</v>
      </c>
      <c r="B293" s="15" t="s">
        <v>1103</v>
      </c>
      <c r="C293" s="15" t="s">
        <v>453</v>
      </c>
      <c r="D293" s="15" t="s">
        <v>1150</v>
      </c>
      <c r="E293" s="15" t="s">
        <v>47</v>
      </c>
      <c r="F293" s="15"/>
      <c r="G293" s="10" t="n">
        <v>1</v>
      </c>
      <c r="H293" s="21" t="n">
        <v>46048.6587384259</v>
      </c>
      <c r="I293" s="15" t="s">
        <v>1234</v>
      </c>
      <c r="J293" s="15" t="s">
        <v>1234</v>
      </c>
      <c r="K293" s="15"/>
      <c r="L293" s="10" t="n">
        <f aca="false">COUNTIF($E$2:E293,E293)</f>
        <v>17</v>
      </c>
      <c r="M293" s="10" t="e">
        <f aca="false">ifs(L293=1, L293&amp;"-"&amp; COUNTIFS($L$2:L293,1))</f>
        <v>#NAME?</v>
      </c>
      <c r="N293" s="15" t="s">
        <v>603</v>
      </c>
      <c r="O293" s="10"/>
      <c r="P293" s="22" t="n">
        <f aca="false">COUNTIFS(C:C,C293,N:N,"Đã xác nhận")/COUNTIFS(C:C,C293)</f>
        <v>1</v>
      </c>
      <c r="Q293" s="22"/>
      <c r="R293" s="0" t="s">
        <v>1152</v>
      </c>
      <c r="S293" s="0" t="s">
        <v>549</v>
      </c>
      <c r="U293" s="24" t="n">
        <v>1</v>
      </c>
    </row>
    <row r="294" customFormat="false" ht="12.75" hidden="false" customHeight="false" outlineLevel="0" collapsed="false">
      <c r="A294" s="15" t="n">
        <v>550</v>
      </c>
      <c r="B294" s="15" t="s">
        <v>1103</v>
      </c>
      <c r="C294" s="15" t="s">
        <v>453</v>
      </c>
      <c r="D294" s="15" t="s">
        <v>1235</v>
      </c>
      <c r="E294" s="15" t="s">
        <v>55</v>
      </c>
      <c r="F294" s="15"/>
      <c r="G294" s="10" t="n">
        <v>2</v>
      </c>
      <c r="H294" s="21" t="n">
        <v>46048.6592708333</v>
      </c>
      <c r="I294" s="15" t="s">
        <v>1236</v>
      </c>
      <c r="J294" s="15" t="s">
        <v>1236</v>
      </c>
      <c r="K294" s="15"/>
      <c r="L294" s="10" t="n">
        <f aca="false">COUNTIF($E$2:E294,E294)</f>
        <v>28</v>
      </c>
      <c r="M294" s="10" t="e">
        <f aca="false">ifs(L294=1, L294&amp;"-"&amp; COUNTIFS($L$2:L294,1))</f>
        <v>#NAME?</v>
      </c>
      <c r="N294" s="15" t="s">
        <v>603</v>
      </c>
      <c r="O294" s="10"/>
      <c r="P294" s="22" t="n">
        <f aca="false">COUNTIFS(C:C,C294,N:N,"Đã xác nhận")/COUNTIFS(C:C,C294)</f>
        <v>1</v>
      </c>
      <c r="Q294" s="22"/>
      <c r="R294" s="0" t="s">
        <v>1237</v>
      </c>
      <c r="S294" s="0" t="s">
        <v>539</v>
      </c>
      <c r="U294" s="24" t="n">
        <v>2</v>
      </c>
    </row>
    <row r="295" customFormat="false" ht="12.75" hidden="false" customHeight="false" outlineLevel="0" collapsed="false">
      <c r="A295" s="15" t="n">
        <v>551</v>
      </c>
      <c r="B295" s="15" t="s">
        <v>1103</v>
      </c>
      <c r="C295" s="15" t="s">
        <v>453</v>
      </c>
      <c r="D295" s="15" t="s">
        <v>1120</v>
      </c>
      <c r="E295" s="15" t="s">
        <v>55</v>
      </c>
      <c r="F295" s="15"/>
      <c r="G295" s="10" t="n">
        <v>1</v>
      </c>
      <c r="H295" s="21" t="n">
        <v>46048.6592476852</v>
      </c>
      <c r="I295" s="15" t="s">
        <v>1238</v>
      </c>
      <c r="J295" s="15" t="s">
        <v>1238</v>
      </c>
      <c r="L295" s="10" t="n">
        <f aca="false">COUNTIF($E$2:E295,E295)</f>
        <v>29</v>
      </c>
      <c r="M295" s="10" t="e">
        <f aca="false">ifs(L295=1, L295&amp;"-"&amp; COUNTIFS($L$2:L295,1))</f>
        <v>#NAME?</v>
      </c>
      <c r="N295" s="15" t="s">
        <v>603</v>
      </c>
      <c r="O295" s="10"/>
      <c r="P295" s="22" t="n">
        <f aca="false">COUNTIFS(C:C,C295,N:N,"Đã xác nhận")/COUNTIFS(C:C,C295)</f>
        <v>1</v>
      </c>
      <c r="Q295" s="22"/>
      <c r="R295" s="0" t="s">
        <v>1122</v>
      </c>
      <c r="S295" s="0" t="s">
        <v>539</v>
      </c>
      <c r="U295" s="24" t="n">
        <v>1</v>
      </c>
    </row>
    <row r="296" customFormat="false" ht="12.75" hidden="false" customHeight="false" outlineLevel="0" collapsed="false">
      <c r="A296" s="15" t="n">
        <v>552</v>
      </c>
      <c r="B296" s="15" t="s">
        <v>1103</v>
      </c>
      <c r="C296" s="15" t="s">
        <v>453</v>
      </c>
      <c r="D296" s="15" t="s">
        <v>1239</v>
      </c>
      <c r="E296" s="15" t="s">
        <v>81</v>
      </c>
      <c r="F296" s="15"/>
      <c r="G296" s="10" t="n">
        <v>1</v>
      </c>
      <c r="H296" s="21" t="n">
        <v>46048.6593981482</v>
      </c>
      <c r="I296" s="15" t="s">
        <v>1240</v>
      </c>
      <c r="J296" s="15" t="s">
        <v>1240</v>
      </c>
      <c r="L296" s="10" t="n">
        <f aca="false">COUNTIF($E$2:E296,E296)</f>
        <v>73</v>
      </c>
      <c r="M296" s="10" t="e">
        <f aca="false">ifs(L296=1, L296&amp;"-"&amp; COUNTIFS($L$2:L296,1))</f>
        <v>#NAME?</v>
      </c>
      <c r="N296" s="15" t="s">
        <v>603</v>
      </c>
      <c r="O296" s="10"/>
      <c r="P296" s="22" t="n">
        <f aca="false">COUNTIFS(C:C,C296,N:N,"Đã xác nhận")/COUNTIFS(C:C,C296)</f>
        <v>1</v>
      </c>
      <c r="Q296" s="22"/>
      <c r="R296" s="0" t="s">
        <v>1241</v>
      </c>
      <c r="S296" s="0" t="s">
        <v>534</v>
      </c>
      <c r="U296" s="24" t="n">
        <v>1</v>
      </c>
    </row>
    <row r="297" customFormat="false" ht="12.75" hidden="false" customHeight="false" outlineLevel="0" collapsed="false">
      <c r="A297" s="15" t="n">
        <v>553</v>
      </c>
      <c r="B297" s="15" t="s">
        <v>1103</v>
      </c>
      <c r="C297" s="15" t="s">
        <v>453</v>
      </c>
      <c r="D297" s="15" t="s">
        <v>1242</v>
      </c>
      <c r="E297" s="15" t="s">
        <v>81</v>
      </c>
      <c r="F297" s="15"/>
      <c r="G297" s="10" t="n">
        <v>2</v>
      </c>
      <c r="H297" s="21" t="n">
        <v>46048.6594212963</v>
      </c>
      <c r="I297" s="15" t="s">
        <v>1243</v>
      </c>
      <c r="J297" s="15" t="s">
        <v>1243</v>
      </c>
      <c r="L297" s="10" t="n">
        <f aca="false">COUNTIF($E$2:E297,E297)</f>
        <v>74</v>
      </c>
      <c r="M297" s="10" t="e">
        <f aca="false">ifs(L297=1, L297&amp;"-"&amp; COUNTIFS($L$2:L297,1))</f>
        <v>#NAME?</v>
      </c>
      <c r="N297" s="15" t="s">
        <v>603</v>
      </c>
      <c r="O297" s="10"/>
      <c r="P297" s="22" t="n">
        <f aca="false">COUNTIFS(C:C,C297,N:N,"Đã xác nhận")/COUNTIFS(C:C,C297)</f>
        <v>1</v>
      </c>
      <c r="Q297" s="22"/>
      <c r="R297" s="0" t="s">
        <v>1244</v>
      </c>
      <c r="S297" s="0" t="s">
        <v>534</v>
      </c>
      <c r="U297" s="24" t="n">
        <v>2</v>
      </c>
    </row>
    <row r="298" customFormat="false" ht="12.75" hidden="false" customHeight="false" outlineLevel="0" collapsed="false">
      <c r="A298" s="15" t="n">
        <v>554</v>
      </c>
      <c r="B298" s="15" t="s">
        <v>1103</v>
      </c>
      <c r="C298" s="15" t="s">
        <v>453</v>
      </c>
      <c r="D298" s="15" t="s">
        <v>1245</v>
      </c>
      <c r="E298" s="15" t="s">
        <v>81</v>
      </c>
      <c r="F298" s="15"/>
      <c r="G298" s="10" t="n">
        <v>1</v>
      </c>
      <c r="H298" s="21" t="n">
        <v>46048.6594328704</v>
      </c>
      <c r="I298" s="15" t="s">
        <v>1246</v>
      </c>
      <c r="J298" s="15" t="s">
        <v>1246</v>
      </c>
      <c r="L298" s="10" t="n">
        <f aca="false">COUNTIF($E$2:E298,E298)</f>
        <v>75</v>
      </c>
      <c r="M298" s="10" t="e">
        <f aca="false">ifs(L298=1, L298&amp;"-"&amp; COUNTIFS($L$2:L298,1))</f>
        <v>#NAME?</v>
      </c>
      <c r="N298" s="15" t="s">
        <v>603</v>
      </c>
      <c r="O298" s="10"/>
      <c r="P298" s="22" t="n">
        <f aca="false">COUNTIFS(C:C,C298,N:N,"Đã xác nhận")/COUNTIFS(C:C,C298)</f>
        <v>1</v>
      </c>
      <c r="Q298" s="22"/>
      <c r="R298" s="0" t="s">
        <v>1247</v>
      </c>
      <c r="S298" s="0" t="s">
        <v>534</v>
      </c>
      <c r="U298" s="24" t="n">
        <v>1</v>
      </c>
    </row>
    <row r="299" customFormat="false" ht="12.75" hidden="false" customHeight="false" outlineLevel="0" collapsed="false">
      <c r="A299" s="15" t="n">
        <v>555</v>
      </c>
      <c r="B299" s="15" t="s">
        <v>1103</v>
      </c>
      <c r="C299" s="15" t="s">
        <v>453</v>
      </c>
      <c r="D299" s="15" t="s">
        <v>1248</v>
      </c>
      <c r="E299" s="15" t="s">
        <v>39</v>
      </c>
      <c r="F299" s="15"/>
      <c r="G299" s="10" t="n">
        <v>1</v>
      </c>
      <c r="H299" s="21" t="n">
        <v>46048.6586458333</v>
      </c>
      <c r="I299" s="15" t="s">
        <v>1249</v>
      </c>
      <c r="J299" s="15" t="s">
        <v>1249</v>
      </c>
      <c r="L299" s="10" t="n">
        <f aca="false">COUNTIF($E$2:E299,E299)</f>
        <v>6</v>
      </c>
      <c r="M299" s="10" t="e">
        <f aca="false">ifs(L299=1, L299&amp;"-"&amp; COUNTIFS($L$2:L299,1))</f>
        <v>#NAME?</v>
      </c>
      <c r="N299" s="15" t="s">
        <v>603</v>
      </c>
      <c r="O299" s="10"/>
      <c r="P299" s="22" t="n">
        <f aca="false">COUNTIFS(C:C,C299,N:N,"Đã xác nhận")/COUNTIFS(C:C,C299)</f>
        <v>1</v>
      </c>
      <c r="Q299" s="22"/>
      <c r="R299" s="0" t="s">
        <v>1250</v>
      </c>
      <c r="S299" s="0" t="s">
        <v>550</v>
      </c>
      <c r="U299" s="24" t="n">
        <v>1</v>
      </c>
    </row>
    <row r="300" customFormat="false" ht="12.75" hidden="false" customHeight="false" outlineLevel="0" collapsed="false">
      <c r="A300" s="15" t="n">
        <v>556</v>
      </c>
      <c r="B300" s="15" t="s">
        <v>1103</v>
      </c>
      <c r="C300" s="15" t="s">
        <v>453</v>
      </c>
      <c r="D300" s="15" t="s">
        <v>1251</v>
      </c>
      <c r="E300" s="15" t="s">
        <v>39</v>
      </c>
      <c r="F300" s="15"/>
      <c r="G300" s="10" t="n">
        <v>1</v>
      </c>
      <c r="H300" s="21" t="n">
        <v>46048.6586342593</v>
      </c>
      <c r="I300" s="15" t="s">
        <v>1252</v>
      </c>
      <c r="J300" s="15" t="s">
        <v>1252</v>
      </c>
      <c r="L300" s="10" t="n">
        <f aca="false">COUNTIF($E$2:E300,E300)</f>
        <v>7</v>
      </c>
      <c r="M300" s="10" t="e">
        <f aca="false">ifs(L300=1, L300&amp;"-"&amp; COUNTIFS($L$2:L300,1))</f>
        <v>#NAME?</v>
      </c>
      <c r="N300" s="15" t="s">
        <v>603</v>
      </c>
      <c r="O300" s="10"/>
      <c r="P300" s="22" t="n">
        <f aca="false">COUNTIFS(C:C,C300,N:N,"Đã xác nhận")/COUNTIFS(C:C,C300)</f>
        <v>1</v>
      </c>
      <c r="Q300" s="22"/>
      <c r="R300" s="0" t="s">
        <v>1253</v>
      </c>
      <c r="S300" s="0" t="s">
        <v>550</v>
      </c>
      <c r="U300" s="24" t="n">
        <v>1</v>
      </c>
    </row>
    <row r="301" customFormat="false" ht="12.75" hidden="false" customHeight="false" outlineLevel="0" collapsed="false">
      <c r="A301" s="15" t="n">
        <v>557</v>
      </c>
      <c r="B301" s="15" t="s">
        <v>1103</v>
      </c>
      <c r="C301" s="15" t="s">
        <v>453</v>
      </c>
      <c r="D301" s="15" t="s">
        <v>1251</v>
      </c>
      <c r="E301" s="15" t="s">
        <v>81</v>
      </c>
      <c r="F301" s="15"/>
      <c r="G301" s="10" t="n">
        <v>2</v>
      </c>
      <c r="H301" s="21" t="n">
        <v>46048.6593981482</v>
      </c>
      <c r="I301" s="15" t="s">
        <v>1254</v>
      </c>
      <c r="J301" s="15" t="s">
        <v>1254</v>
      </c>
      <c r="L301" s="10" t="n">
        <f aca="false">COUNTIF($E$2:E301,E301)</f>
        <v>76</v>
      </c>
      <c r="M301" s="10" t="e">
        <f aca="false">ifs(L301=1, L301&amp;"-"&amp; COUNTIFS($L$2:L301,1))</f>
        <v>#NAME?</v>
      </c>
      <c r="N301" s="15" t="s">
        <v>603</v>
      </c>
      <c r="O301" s="10"/>
      <c r="P301" s="22" t="n">
        <f aca="false">COUNTIFS(C:C,C301,N:N,"Đã xác nhận")/COUNTIFS(C:C,C301)</f>
        <v>1</v>
      </c>
      <c r="Q301" s="22"/>
      <c r="R301" s="0" t="s">
        <v>1253</v>
      </c>
      <c r="S301" s="0" t="s">
        <v>534</v>
      </c>
      <c r="U301" s="24" t="n">
        <v>2</v>
      </c>
    </row>
    <row r="302" customFormat="false" ht="12.75" hidden="false" customHeight="false" outlineLevel="0" collapsed="false">
      <c r="A302" s="15" t="n">
        <v>558</v>
      </c>
      <c r="B302" s="15" t="s">
        <v>1103</v>
      </c>
      <c r="C302" s="15" t="s">
        <v>453</v>
      </c>
      <c r="D302" s="15" t="s">
        <v>1255</v>
      </c>
      <c r="E302" s="15" t="s">
        <v>63</v>
      </c>
      <c r="F302" s="15"/>
      <c r="G302" s="10" t="n">
        <v>1</v>
      </c>
      <c r="H302" s="21" t="n">
        <v>46048.6593402778</v>
      </c>
      <c r="I302" s="15" t="s">
        <v>1256</v>
      </c>
      <c r="J302" s="15" t="s">
        <v>1256</v>
      </c>
      <c r="L302" s="10" t="n">
        <f aca="false">COUNTIF($E$2:E302,E302)</f>
        <v>7</v>
      </c>
      <c r="M302" s="10" t="e">
        <f aca="false">ifs(L302=1, L302&amp;"-"&amp; COUNTIFS($L$2:L302,1))</f>
        <v>#NAME?</v>
      </c>
      <c r="N302" s="15" t="s">
        <v>603</v>
      </c>
      <c r="O302" s="10"/>
      <c r="P302" s="22" t="n">
        <f aca="false">COUNTIFS(C:C,C302,N:N,"Đã xác nhận")/COUNTIFS(C:C,C302)</f>
        <v>1</v>
      </c>
      <c r="Q302" s="22"/>
      <c r="R302" s="0" t="s">
        <v>1257</v>
      </c>
      <c r="S302" s="0" t="s">
        <v>551</v>
      </c>
      <c r="U302" s="24" t="n">
        <v>1</v>
      </c>
    </row>
    <row r="303" customFormat="false" ht="12.75" hidden="false" customHeight="false" outlineLevel="0" collapsed="false">
      <c r="A303" s="15" t="n">
        <v>559</v>
      </c>
      <c r="B303" s="15" t="s">
        <v>1103</v>
      </c>
      <c r="C303" s="15" t="s">
        <v>453</v>
      </c>
      <c r="D303" s="15" t="s">
        <v>1258</v>
      </c>
      <c r="E303" s="15" t="s">
        <v>81</v>
      </c>
      <c r="F303" s="15"/>
      <c r="G303" s="10" t="n">
        <v>1</v>
      </c>
      <c r="H303" s="21" t="n">
        <v>46048.6594097222</v>
      </c>
      <c r="I303" s="15" t="s">
        <v>1259</v>
      </c>
      <c r="J303" s="15" t="s">
        <v>1259</v>
      </c>
      <c r="L303" s="10" t="n">
        <f aca="false">COUNTIF($E$2:E303,E303)</f>
        <v>77</v>
      </c>
      <c r="M303" s="10" t="e">
        <f aca="false">ifs(L303=1, L303&amp;"-"&amp; COUNTIFS($L$2:L303,1))</f>
        <v>#NAME?</v>
      </c>
      <c r="N303" s="15" t="s">
        <v>603</v>
      </c>
      <c r="O303" s="10"/>
      <c r="P303" s="22" t="n">
        <f aca="false">COUNTIFS(C:C,C303,N:N,"Đã xác nhận")/COUNTIFS(C:C,C303)</f>
        <v>1</v>
      </c>
      <c r="Q303" s="22"/>
      <c r="R303" s="0" t="s">
        <v>1260</v>
      </c>
      <c r="S303" s="0" t="s">
        <v>534</v>
      </c>
      <c r="U303" s="24" t="n">
        <v>1</v>
      </c>
    </row>
    <row r="304" customFormat="false" ht="12.75" hidden="false" customHeight="false" outlineLevel="0" collapsed="false">
      <c r="A304" s="15" t="n">
        <v>561</v>
      </c>
      <c r="B304" s="15" t="s">
        <v>1103</v>
      </c>
      <c r="C304" s="15" t="s">
        <v>1261</v>
      </c>
      <c r="D304" s="15" t="s">
        <v>1262</v>
      </c>
      <c r="E304" s="15" t="s">
        <v>47</v>
      </c>
      <c r="F304" s="15"/>
      <c r="G304" s="10" t="n">
        <v>1</v>
      </c>
      <c r="H304" s="21" t="n">
        <v>45960.6064930556</v>
      </c>
      <c r="I304" s="15" t="s">
        <v>1263</v>
      </c>
      <c r="J304" s="15" t="s">
        <v>1264</v>
      </c>
      <c r="K304" s="15" t="s">
        <v>1265</v>
      </c>
      <c r="L304" s="10" t="n">
        <f aca="false">COUNTIF($E$2:E304,E304)</f>
        <v>18</v>
      </c>
      <c r="M304" s="10" t="e">
        <f aca="false">ifs(L304=1, L304&amp;"-"&amp; COUNTIFS($L$2:L304,1))</f>
        <v>#NAME?</v>
      </c>
      <c r="O304" s="10"/>
      <c r="P304" s="22" t="n">
        <f aca="false">COUNTIFS(C:C,C304,N:N,"Đã xác nhận")/COUNTIFS(C:C,C304)</f>
        <v>0.0526315789473684</v>
      </c>
      <c r="Q304" s="22"/>
      <c r="R304" s="0" t="s">
        <v>1266</v>
      </c>
      <c r="S304" s="0" t="s">
        <v>549</v>
      </c>
      <c r="U304" s="24" t="n">
        <v>1</v>
      </c>
    </row>
    <row r="305" customFormat="false" ht="12.75" hidden="false" customHeight="false" outlineLevel="0" collapsed="false">
      <c r="A305" s="15" t="n">
        <v>574</v>
      </c>
      <c r="B305" s="15" t="s">
        <v>1103</v>
      </c>
      <c r="C305" s="15" t="s">
        <v>1267</v>
      </c>
      <c r="D305" s="15" t="s">
        <v>1196</v>
      </c>
      <c r="E305" s="15" t="s">
        <v>81</v>
      </c>
      <c r="F305" s="15"/>
      <c r="G305" s="10" t="n">
        <v>1</v>
      </c>
      <c r="H305" s="21" t="n">
        <v>45967.3946990741</v>
      </c>
      <c r="I305" s="15" t="s">
        <v>1268</v>
      </c>
      <c r="J305" s="15" t="s">
        <v>1269</v>
      </c>
      <c r="K305" s="15" t="s">
        <v>1270</v>
      </c>
      <c r="L305" s="10" t="n">
        <f aca="false">COUNTIF($E$2:E305,E305)</f>
        <v>78</v>
      </c>
      <c r="M305" s="10" t="e">
        <f aca="false">ifs(L305=1, L305&amp;"-"&amp; COUNTIFS($L$2:L305,1))</f>
        <v>#NAME?</v>
      </c>
      <c r="O305" s="10"/>
      <c r="P305" s="22" t="n">
        <f aca="false">COUNTIFS(C:C,C305,N:N,"Đã xác nhận")/COUNTIFS(C:C,C305)</f>
        <v>0.0625</v>
      </c>
      <c r="Q305" s="22"/>
      <c r="R305" s="0" t="s">
        <v>1200</v>
      </c>
      <c r="S305" s="0" t="s">
        <v>534</v>
      </c>
      <c r="U305" s="24" t="n">
        <v>1</v>
      </c>
    </row>
    <row r="306" customFormat="false" ht="12.75" hidden="false" customHeight="false" outlineLevel="0" collapsed="false">
      <c r="A306" s="15" t="n">
        <v>575</v>
      </c>
      <c r="B306" s="15" t="s">
        <v>1103</v>
      </c>
      <c r="C306" s="15" t="s">
        <v>1267</v>
      </c>
      <c r="D306" s="15" t="s">
        <v>1128</v>
      </c>
      <c r="E306" s="15" t="s">
        <v>55</v>
      </c>
      <c r="F306" s="15"/>
      <c r="G306" s="10" t="n">
        <v>1</v>
      </c>
      <c r="H306" s="21" t="n">
        <v>45960.3863310185</v>
      </c>
      <c r="I306" s="15" t="s">
        <v>1271</v>
      </c>
      <c r="J306" s="15" t="s">
        <v>1272</v>
      </c>
      <c r="K306" s="15" t="s">
        <v>1273</v>
      </c>
      <c r="L306" s="10" t="n">
        <f aca="false">COUNTIF($E$2:E306,E306)</f>
        <v>30</v>
      </c>
      <c r="M306" s="10" t="e">
        <f aca="false">ifs(L306=1, L306&amp;"-"&amp; COUNTIFS($L$2:L306,1))</f>
        <v>#NAME?</v>
      </c>
      <c r="O306" s="10"/>
      <c r="P306" s="22" t="n">
        <f aca="false">COUNTIFS(C:C,C306,N:N,"Đã xác nhận")/COUNTIFS(C:C,C306)</f>
        <v>0.0625</v>
      </c>
      <c r="Q306" s="22"/>
      <c r="R306" s="0" t="s">
        <v>1130</v>
      </c>
      <c r="S306" s="0" t="s">
        <v>539</v>
      </c>
      <c r="U306" s="24" t="n">
        <v>1</v>
      </c>
    </row>
    <row r="307" customFormat="false" ht="12.75" hidden="false" customHeight="false" outlineLevel="0" collapsed="false">
      <c r="A307" s="15" t="n">
        <v>576</v>
      </c>
      <c r="B307" s="15" t="s">
        <v>1103</v>
      </c>
      <c r="C307" s="15" t="s">
        <v>1267</v>
      </c>
      <c r="D307" s="15" t="s">
        <v>1274</v>
      </c>
      <c r="E307" s="15" t="s">
        <v>55</v>
      </c>
      <c r="F307" s="15"/>
      <c r="G307" s="10" t="n">
        <v>1</v>
      </c>
      <c r="H307" s="21" t="n">
        <v>45960.3844675926</v>
      </c>
      <c r="I307" s="15" t="s">
        <v>1275</v>
      </c>
      <c r="J307" s="15" t="s">
        <v>1275</v>
      </c>
      <c r="K307" s="15"/>
      <c r="L307" s="10" t="n">
        <f aca="false">COUNTIF($E$2:E307,E307)</f>
        <v>31</v>
      </c>
      <c r="M307" s="10" t="e">
        <f aca="false">ifs(L307=1, L307&amp;"-"&amp; COUNTIFS($L$2:L307,1))</f>
        <v>#NAME?</v>
      </c>
      <c r="O307" s="10"/>
      <c r="P307" s="22" t="n">
        <f aca="false">COUNTIFS(C:C,C307,N:N,"Đã xác nhận")/COUNTIFS(C:C,C307)</f>
        <v>0.0625</v>
      </c>
      <c r="Q307" s="22"/>
      <c r="R307" s="0" t="s">
        <v>1276</v>
      </c>
      <c r="S307" s="0" t="s">
        <v>539</v>
      </c>
      <c r="U307" s="24" t="n">
        <v>1</v>
      </c>
    </row>
    <row r="308" customFormat="false" ht="12.75" hidden="false" customHeight="false" outlineLevel="0" collapsed="false">
      <c r="A308" s="15" t="n">
        <v>583</v>
      </c>
      <c r="B308" s="15" t="s">
        <v>1103</v>
      </c>
      <c r="C308" s="15" t="s">
        <v>1277</v>
      </c>
      <c r="D308" s="15" t="s">
        <v>1278</v>
      </c>
      <c r="E308" s="15" t="s">
        <v>63</v>
      </c>
      <c r="F308" s="15"/>
      <c r="G308" s="10" t="n">
        <v>1</v>
      </c>
      <c r="H308" s="21" t="n">
        <v>46044.607025463</v>
      </c>
      <c r="I308" s="15" t="s">
        <v>1279</v>
      </c>
      <c r="J308" s="15" t="s">
        <v>1279</v>
      </c>
      <c r="K308" s="15"/>
      <c r="L308" s="10" t="n">
        <f aca="false">COUNTIF($E$2:E308,E308)</f>
        <v>8</v>
      </c>
      <c r="M308" s="10" t="e">
        <f aca="false">ifs(L308=1, L308&amp;"-"&amp; COUNTIFS($L$2:L308,1))</f>
        <v>#NAME?</v>
      </c>
      <c r="N308" s="15" t="s">
        <v>603</v>
      </c>
      <c r="O308" s="10"/>
      <c r="P308" s="22" t="n">
        <f aca="false">COUNTIFS(C:C,C308,N:N,"Đã xác nhận")/COUNTIFS(C:C,C308)</f>
        <v>1</v>
      </c>
      <c r="Q308" s="22"/>
      <c r="R308" s="0" t="s">
        <v>1280</v>
      </c>
      <c r="S308" s="0" t="s">
        <v>551</v>
      </c>
      <c r="U308" s="24" t="n">
        <v>1</v>
      </c>
    </row>
    <row r="309" customFormat="false" ht="12.75" hidden="false" customHeight="false" outlineLevel="0" collapsed="false">
      <c r="A309" s="15" t="n">
        <v>584</v>
      </c>
      <c r="B309" s="15" t="s">
        <v>1103</v>
      </c>
      <c r="C309" s="15" t="s">
        <v>1281</v>
      </c>
      <c r="E309" s="15" t="s">
        <v>81</v>
      </c>
      <c r="F309" s="15"/>
      <c r="G309" s="10" t="n">
        <v>12</v>
      </c>
      <c r="H309" s="21" t="n">
        <v>45967.388275463</v>
      </c>
      <c r="I309" s="15" t="s">
        <v>1282</v>
      </c>
      <c r="J309" s="15" t="s">
        <v>1283</v>
      </c>
      <c r="K309" s="15" t="s">
        <v>1284</v>
      </c>
      <c r="L309" s="10" t="n">
        <f aca="false">COUNTIF($E$2:E309,E309)</f>
        <v>79</v>
      </c>
      <c r="M309" s="10" t="e">
        <f aca="false">ifs(L309=1, L309&amp;"-"&amp; COUNTIFS($L$2:L309,1))</f>
        <v>#NAME?</v>
      </c>
      <c r="O309" s="10"/>
      <c r="P309" s="22" t="n">
        <f aca="false">COUNTIFS(C:C,C309,N:N,"Đã xác nhận")/COUNTIFS(C:C,C309)</f>
        <v>0</v>
      </c>
      <c r="Q309" s="22"/>
      <c r="R309" s="0" t="e">
        <f aca="false">#VALUE!</f>
        <v>#VALUE!</v>
      </c>
      <c r="S309" s="0" t="s">
        <v>534</v>
      </c>
      <c r="U309" s="24" t="n">
        <v>12</v>
      </c>
    </row>
    <row r="310" customFormat="false" ht="12.75" hidden="false" customHeight="false" outlineLevel="0" collapsed="false">
      <c r="A310" s="15" t="n">
        <v>585</v>
      </c>
      <c r="B310" s="15" t="s">
        <v>1103</v>
      </c>
      <c r="C310" s="15" t="s">
        <v>1281</v>
      </c>
      <c r="E310" s="15" t="s">
        <v>55</v>
      </c>
      <c r="F310" s="15"/>
      <c r="G310" s="10" t="n">
        <v>2</v>
      </c>
      <c r="H310" s="23" t="n">
        <v>45926.3413675579</v>
      </c>
      <c r="L310" s="10" t="n">
        <f aca="false">COUNTIF($E$2:E310,E310)</f>
        <v>32</v>
      </c>
      <c r="M310" s="10" t="e">
        <f aca="false">ifs(L310=1, L310&amp;"-"&amp; COUNTIFS($L$2:L310,1))</f>
        <v>#NAME?</v>
      </c>
      <c r="O310" s="10"/>
      <c r="P310" s="22" t="n">
        <f aca="false">COUNTIFS(C:C,C310,N:N,"Đã xác nhận")/COUNTIFS(C:C,C310)</f>
        <v>0</v>
      </c>
      <c r="Q310" s="22"/>
      <c r="R310" s="0" t="e">
        <f aca="false">#VALUE!</f>
        <v>#VALUE!</v>
      </c>
      <c r="S310" s="0" t="s">
        <v>539</v>
      </c>
      <c r="U310" s="24" t="n">
        <v>2</v>
      </c>
    </row>
    <row r="311" customFormat="false" ht="12.75" hidden="false" customHeight="false" outlineLevel="0" collapsed="false">
      <c r="A311" s="15" t="n">
        <v>586</v>
      </c>
      <c r="B311" s="15" t="s">
        <v>1103</v>
      </c>
      <c r="C311" s="15" t="s">
        <v>1281</v>
      </c>
      <c r="E311" s="15" t="s">
        <v>47</v>
      </c>
      <c r="F311" s="15"/>
      <c r="G311" s="10" t="n">
        <v>2</v>
      </c>
      <c r="H311" s="21" t="n">
        <v>46046.3872569444</v>
      </c>
      <c r="I311" s="15" t="s">
        <v>1285</v>
      </c>
      <c r="J311" s="15" t="s">
        <v>1285</v>
      </c>
      <c r="L311" s="10" t="n">
        <f aca="false">COUNTIF($E$2:E311,E311)</f>
        <v>19</v>
      </c>
      <c r="M311" s="10" t="e">
        <f aca="false">ifs(L311=1, L311&amp;"-"&amp; COUNTIFS($L$2:L311,1))</f>
        <v>#NAME?</v>
      </c>
      <c r="O311" s="10"/>
      <c r="P311" s="22" t="n">
        <f aca="false">COUNTIFS(C:C,C311,N:N,"Đã xác nhận")/COUNTIFS(C:C,C311)</f>
        <v>0</v>
      </c>
      <c r="Q311" s="22"/>
      <c r="R311" s="0" t="e">
        <f aca="false">#VALUE!</f>
        <v>#VALUE!</v>
      </c>
      <c r="S311" s="0" t="s">
        <v>549</v>
      </c>
      <c r="U311" s="24" t="n">
        <v>2</v>
      </c>
    </row>
    <row r="312" customFormat="false" ht="12.75" hidden="false" customHeight="false" outlineLevel="0" collapsed="false">
      <c r="A312" s="15" t="n">
        <v>587</v>
      </c>
      <c r="B312" s="15" t="s">
        <v>1103</v>
      </c>
      <c r="C312" s="15" t="s">
        <v>1281</v>
      </c>
      <c r="E312" s="15" t="s">
        <v>63</v>
      </c>
      <c r="F312" s="15"/>
      <c r="G312" s="10" t="n">
        <v>1</v>
      </c>
      <c r="H312" s="23" t="n">
        <v>45926.3413675579</v>
      </c>
      <c r="L312" s="10" t="n">
        <f aca="false">COUNTIF($E$2:E312,E312)</f>
        <v>9</v>
      </c>
      <c r="M312" s="10" t="e">
        <f aca="false">ifs(L312=1, L312&amp;"-"&amp; COUNTIFS($L$2:L312,1))</f>
        <v>#NAME?</v>
      </c>
      <c r="O312" s="10"/>
      <c r="P312" s="22" t="n">
        <f aca="false">COUNTIFS(C:C,C312,N:N,"Đã xác nhận")/COUNTIFS(C:C,C312)</f>
        <v>0</v>
      </c>
      <c r="Q312" s="22"/>
      <c r="R312" s="0" t="e">
        <f aca="false">#VALUE!</f>
        <v>#VALUE!</v>
      </c>
      <c r="S312" s="0" t="s">
        <v>551</v>
      </c>
      <c r="U312" s="24" t="n">
        <v>1</v>
      </c>
    </row>
    <row r="313" customFormat="false" ht="12.75" hidden="false" customHeight="false" outlineLevel="0" collapsed="false">
      <c r="A313" s="15" t="n">
        <v>590</v>
      </c>
      <c r="B313" s="15" t="s">
        <v>600</v>
      </c>
      <c r="C313" s="15" t="s">
        <v>19</v>
      </c>
      <c r="D313" s="15" t="s">
        <v>1286</v>
      </c>
      <c r="E313" s="15" t="s">
        <v>69</v>
      </c>
      <c r="F313" s="15"/>
      <c r="G313" s="10" t="n">
        <v>1</v>
      </c>
      <c r="H313" s="21" t="n">
        <v>46035.4934606482</v>
      </c>
      <c r="I313" s="15" t="s">
        <v>1287</v>
      </c>
      <c r="J313" s="15" t="s">
        <v>1287</v>
      </c>
      <c r="K313" s="15"/>
      <c r="L313" s="10" t="n">
        <f aca="false">COUNTIF($E$2:E313,E313)</f>
        <v>32</v>
      </c>
      <c r="M313" s="10" t="e">
        <f aca="false">ifs(L313=1, L313&amp;"-"&amp; COUNTIFS($L$2:L313,1))</f>
        <v>#NAME?</v>
      </c>
      <c r="N313" s="15" t="s">
        <v>603</v>
      </c>
      <c r="O313" s="10"/>
      <c r="P313" s="22" t="n">
        <f aca="false">COUNTIFS(C:C,C313,N:N,"Đã xác nhận")/COUNTIFS(C:C,C313)</f>
        <v>0.594202898550725</v>
      </c>
      <c r="Q313" s="22"/>
      <c r="R313" s="0" t="s">
        <v>1288</v>
      </c>
      <c r="S313" s="0" t="s">
        <v>535</v>
      </c>
      <c r="U313" s="24" t="n">
        <v>1</v>
      </c>
    </row>
    <row r="314" customFormat="false" ht="12.75" hidden="false" customHeight="false" outlineLevel="0" collapsed="false">
      <c r="A314" s="15" t="n">
        <v>592</v>
      </c>
      <c r="B314" s="15" t="s">
        <v>600</v>
      </c>
      <c r="C314" s="15" t="s">
        <v>19</v>
      </c>
      <c r="D314" s="15" t="s">
        <v>1289</v>
      </c>
      <c r="E314" s="15" t="s">
        <v>55</v>
      </c>
      <c r="F314" s="15"/>
      <c r="G314" s="10" t="n">
        <v>1</v>
      </c>
      <c r="H314" s="23" t="n">
        <v>45926.3413675579</v>
      </c>
      <c r="L314" s="10" t="n">
        <f aca="false">COUNTIF($E$2:E314,E314)</f>
        <v>33</v>
      </c>
      <c r="M314" s="10" t="e">
        <f aca="false">ifs(L314=1, L314&amp;"-"&amp; COUNTIFS($L$2:L314,1))</f>
        <v>#NAME?</v>
      </c>
      <c r="O314" s="10"/>
      <c r="P314" s="22" t="n">
        <f aca="false">COUNTIFS(C:C,C314,N:N,"Đã xác nhận")/COUNTIFS(C:C,C314)</f>
        <v>0.594202898550725</v>
      </c>
      <c r="Q314" s="22"/>
      <c r="R314" s="0" t="s">
        <v>1290</v>
      </c>
      <c r="S314" s="0" t="s">
        <v>539</v>
      </c>
      <c r="U314" s="24" t="n">
        <v>1</v>
      </c>
    </row>
    <row r="315" customFormat="false" ht="12.75" hidden="false" customHeight="false" outlineLevel="0" collapsed="false">
      <c r="A315" s="15" t="n">
        <v>593</v>
      </c>
      <c r="B315" s="15" t="s">
        <v>600</v>
      </c>
      <c r="C315" s="15" t="s">
        <v>19</v>
      </c>
      <c r="D315" s="15" t="s">
        <v>1291</v>
      </c>
      <c r="E315" s="15" t="s">
        <v>55</v>
      </c>
      <c r="F315" s="15"/>
      <c r="G315" s="10" t="n">
        <v>1</v>
      </c>
      <c r="H315" s="23" t="n">
        <v>45926.3413675579</v>
      </c>
      <c r="L315" s="10" t="n">
        <f aca="false">COUNTIF($E$2:E315,E315)</f>
        <v>34</v>
      </c>
      <c r="M315" s="10" t="e">
        <f aca="false">ifs(L315=1, L315&amp;"-"&amp; COUNTIFS($L$2:L315,1))</f>
        <v>#NAME?</v>
      </c>
      <c r="O315" s="10"/>
      <c r="P315" s="22" t="n">
        <f aca="false">COUNTIFS(C:C,C315,N:N,"Đã xác nhận")/COUNTIFS(C:C,C315)</f>
        <v>0.594202898550725</v>
      </c>
      <c r="Q315" s="22"/>
      <c r="R315" s="0" t="s">
        <v>1292</v>
      </c>
      <c r="S315" s="0" t="s">
        <v>539</v>
      </c>
      <c r="U315" s="24" t="n">
        <v>1</v>
      </c>
    </row>
    <row r="316" customFormat="false" ht="12.75" hidden="false" customHeight="false" outlineLevel="0" collapsed="false">
      <c r="A316" s="15" t="n">
        <v>594</v>
      </c>
      <c r="B316" s="15" t="s">
        <v>600</v>
      </c>
      <c r="C316" s="15" t="s">
        <v>19</v>
      </c>
      <c r="D316" s="15" t="s">
        <v>1293</v>
      </c>
      <c r="E316" s="15" t="s">
        <v>55</v>
      </c>
      <c r="F316" s="15"/>
      <c r="G316" s="10" t="n">
        <v>1</v>
      </c>
      <c r="H316" s="23" t="n">
        <v>45926.3413675579</v>
      </c>
      <c r="L316" s="10" t="n">
        <f aca="false">COUNTIF($E$2:E316,E316)</f>
        <v>35</v>
      </c>
      <c r="M316" s="10" t="e">
        <f aca="false">ifs(L316=1, L316&amp;"-"&amp; COUNTIFS($L$2:L316,1))</f>
        <v>#NAME?</v>
      </c>
      <c r="O316" s="10"/>
      <c r="P316" s="22" t="n">
        <f aca="false">COUNTIFS(C:C,C316,N:N,"Đã xác nhận")/COUNTIFS(C:C,C316)</f>
        <v>0.594202898550725</v>
      </c>
      <c r="Q316" s="22"/>
      <c r="R316" s="0" t="s">
        <v>1294</v>
      </c>
      <c r="S316" s="0" t="s">
        <v>539</v>
      </c>
      <c r="U316" s="24" t="n">
        <v>1</v>
      </c>
    </row>
    <row r="317" customFormat="false" ht="12.75" hidden="false" customHeight="false" outlineLevel="0" collapsed="false">
      <c r="A317" s="15" t="n">
        <v>595</v>
      </c>
      <c r="B317" s="15" t="s">
        <v>600</v>
      </c>
      <c r="C317" s="15" t="s">
        <v>19</v>
      </c>
      <c r="D317" s="15" t="s">
        <v>1295</v>
      </c>
      <c r="E317" s="15" t="s">
        <v>37</v>
      </c>
      <c r="F317" s="15"/>
      <c r="G317" s="10" t="n">
        <v>1</v>
      </c>
      <c r="H317" s="23" t="n">
        <v>45926.3413675579</v>
      </c>
      <c r="L317" s="10" t="n">
        <f aca="false">COUNTIF($E$2:E317,E317)</f>
        <v>8</v>
      </c>
      <c r="M317" s="10" t="e">
        <f aca="false">ifs(L317=1, L317&amp;"-"&amp; COUNTIFS($L$2:L317,1))</f>
        <v>#NAME?</v>
      </c>
      <c r="O317" s="10"/>
      <c r="P317" s="22" t="n">
        <f aca="false">COUNTIFS(C:C,C317,N:N,"Đã xác nhận")/COUNTIFS(C:C,C317)</f>
        <v>0.594202898550725</v>
      </c>
      <c r="Q317" s="22"/>
      <c r="R317" s="0" t="s">
        <v>1296</v>
      </c>
      <c r="S317" s="0" t="s">
        <v>561</v>
      </c>
      <c r="U317" s="24" t="n">
        <v>1</v>
      </c>
    </row>
    <row r="318" customFormat="false" ht="12.75" hidden="false" customHeight="false" outlineLevel="0" collapsed="false">
      <c r="A318" s="15" t="n">
        <v>596</v>
      </c>
      <c r="B318" s="15" t="s">
        <v>600</v>
      </c>
      <c r="C318" s="15" t="s">
        <v>19</v>
      </c>
      <c r="D318" s="15" t="s">
        <v>944</v>
      </c>
      <c r="E318" s="15" t="s">
        <v>69</v>
      </c>
      <c r="F318" s="15"/>
      <c r="G318" s="10" t="n">
        <v>2</v>
      </c>
      <c r="H318" s="21" t="n">
        <v>45968.4571412037</v>
      </c>
      <c r="I318" s="15" t="s">
        <v>1297</v>
      </c>
      <c r="J318" s="15" t="s">
        <v>1298</v>
      </c>
      <c r="K318" s="15" t="s">
        <v>1299</v>
      </c>
      <c r="L318" s="10" t="n">
        <f aca="false">COUNTIF($E$2:E318,E318)</f>
        <v>33</v>
      </c>
      <c r="M318" s="10" t="e">
        <f aca="false">ifs(L318=1, L318&amp;"-"&amp; COUNTIFS($L$2:L318,1))</f>
        <v>#NAME?</v>
      </c>
      <c r="O318" s="10"/>
      <c r="P318" s="22" t="n">
        <f aca="false">COUNTIFS(C:C,C318,N:N,"Đã xác nhận")/COUNTIFS(C:C,C318)</f>
        <v>0.594202898550725</v>
      </c>
      <c r="Q318" s="22"/>
      <c r="R318" s="0" t="s">
        <v>948</v>
      </c>
      <c r="S318" s="0" t="s">
        <v>535</v>
      </c>
      <c r="U318" s="24" t="n">
        <v>2</v>
      </c>
    </row>
    <row r="319" customFormat="false" ht="12.75" hidden="false" customHeight="false" outlineLevel="0" collapsed="false">
      <c r="A319" s="15" t="n">
        <v>597</v>
      </c>
      <c r="B319" s="15" t="s">
        <v>600</v>
      </c>
      <c r="C319" s="15" t="s">
        <v>19</v>
      </c>
      <c r="D319" s="15" t="s">
        <v>944</v>
      </c>
      <c r="E319" s="15" t="s">
        <v>555</v>
      </c>
      <c r="F319" s="15"/>
      <c r="G319" s="10" t="n">
        <v>1</v>
      </c>
      <c r="H319" s="23" t="n">
        <v>45926.3413675579</v>
      </c>
      <c r="L319" s="10" t="n">
        <f aca="false">COUNTIF($E$2:E319,E319)</f>
        <v>12</v>
      </c>
      <c r="M319" s="10" t="e">
        <f aca="false">ifs(L319=1, L319&amp;"-"&amp; COUNTIFS($L$2:L319,1))</f>
        <v>#NAME?</v>
      </c>
      <c r="O319" s="10"/>
      <c r="P319" s="22" t="n">
        <f aca="false">COUNTIFS(C:C,C319,N:N,"Đã xác nhận")/COUNTIFS(C:C,C319)</f>
        <v>0.594202898550725</v>
      </c>
      <c r="Q319" s="22"/>
      <c r="R319" s="0" t="s">
        <v>948</v>
      </c>
      <c r="S319" s="0" t="s">
        <v>556</v>
      </c>
      <c r="U319" s="24" t="n">
        <v>1</v>
      </c>
    </row>
    <row r="320" customFormat="false" ht="12.75" hidden="false" customHeight="false" outlineLevel="0" collapsed="false">
      <c r="A320" s="15" t="n">
        <v>598</v>
      </c>
      <c r="B320" s="15" t="s">
        <v>600</v>
      </c>
      <c r="C320" s="15" t="s">
        <v>19</v>
      </c>
      <c r="D320" s="15" t="s">
        <v>944</v>
      </c>
      <c r="E320" s="15" t="s">
        <v>565</v>
      </c>
      <c r="F320" s="15"/>
      <c r="G320" s="10" t="n">
        <v>1</v>
      </c>
      <c r="H320" s="23" t="n">
        <v>45926.3413675579</v>
      </c>
      <c r="L320" s="10" t="n">
        <f aca="false">COUNTIF($E$2:E320,E320)</f>
        <v>6</v>
      </c>
      <c r="M320" s="10" t="e">
        <f aca="false">ifs(L320=1, L320&amp;"-"&amp; COUNTIFS($L$2:L320,1))</f>
        <v>#NAME?</v>
      </c>
      <c r="O320" s="10"/>
      <c r="P320" s="22" t="n">
        <f aca="false">COUNTIFS(C:C,C320,N:N,"Đã xác nhận")/COUNTIFS(C:C,C320)</f>
        <v>0.594202898550725</v>
      </c>
      <c r="Q320" s="22"/>
      <c r="R320" s="0" t="s">
        <v>948</v>
      </c>
      <c r="S320" s="0" t="s">
        <v>566</v>
      </c>
      <c r="U320" s="24" t="n">
        <v>1</v>
      </c>
    </row>
    <row r="321" customFormat="false" ht="12.75" hidden="false" customHeight="false" outlineLevel="0" collapsed="false">
      <c r="A321" s="15" t="n">
        <v>600</v>
      </c>
      <c r="B321" s="15" t="s">
        <v>600</v>
      </c>
      <c r="C321" s="15" t="s">
        <v>19</v>
      </c>
      <c r="D321" s="15" t="s">
        <v>944</v>
      </c>
      <c r="E321" s="15" t="s">
        <v>567</v>
      </c>
      <c r="F321" s="15"/>
      <c r="G321" s="10" t="n">
        <v>1</v>
      </c>
      <c r="H321" s="23" t="n">
        <v>45926.3413675579</v>
      </c>
      <c r="L321" s="10" t="n">
        <f aca="false">COUNTIF($E$2:E321,E321)</f>
        <v>11</v>
      </c>
      <c r="M321" s="10" t="e">
        <f aca="false">ifs(L321=1, L321&amp;"-"&amp; COUNTIFS($L$2:L321,1))</f>
        <v>#NAME?</v>
      </c>
      <c r="O321" s="10"/>
      <c r="P321" s="22" t="n">
        <f aca="false">COUNTIFS(C:C,C321,N:N,"Đã xác nhận")/COUNTIFS(C:C,C321)</f>
        <v>0.594202898550725</v>
      </c>
      <c r="Q321" s="22"/>
      <c r="R321" s="0" t="s">
        <v>948</v>
      </c>
      <c r="S321" s="0" t="s">
        <v>568</v>
      </c>
      <c r="U321" s="24" t="n">
        <v>1</v>
      </c>
    </row>
    <row r="322" customFormat="false" ht="12.75" hidden="false" customHeight="false" outlineLevel="0" collapsed="false">
      <c r="A322" s="15" t="n">
        <v>607</v>
      </c>
      <c r="B322" s="15" t="s">
        <v>600</v>
      </c>
      <c r="C322" s="15" t="s">
        <v>19</v>
      </c>
      <c r="D322" s="15" t="s">
        <v>1300</v>
      </c>
      <c r="E322" s="15" t="s">
        <v>43</v>
      </c>
      <c r="F322" s="15"/>
      <c r="G322" s="10" t="n">
        <v>1</v>
      </c>
      <c r="H322" s="23" t="n">
        <v>45926.3413675579</v>
      </c>
      <c r="L322" s="10" t="n">
        <f aca="false">COUNTIF($E$2:E322,E322)</f>
        <v>2</v>
      </c>
      <c r="M322" s="10" t="e">
        <f aca="false">ifs(L322=1, L322&amp;"-"&amp; COUNTIFS($L$2:L322,1))</f>
        <v>#NAME?</v>
      </c>
      <c r="O322" s="10"/>
      <c r="P322" s="22" t="n">
        <f aca="false">COUNTIFS(C:C,C322,N:N,"Đã xác nhận")/COUNTIFS(C:C,C322)</f>
        <v>0.594202898550725</v>
      </c>
      <c r="Q322" s="22"/>
      <c r="R322" s="0" t="s">
        <v>1301</v>
      </c>
      <c r="S322" s="0" t="s">
        <v>538</v>
      </c>
      <c r="U322" s="24" t="n">
        <v>1</v>
      </c>
    </row>
    <row r="323" customFormat="false" ht="12.75" hidden="false" customHeight="false" outlineLevel="0" collapsed="false">
      <c r="A323" s="15" t="n">
        <v>608</v>
      </c>
      <c r="B323" s="15" t="s">
        <v>600</v>
      </c>
      <c r="C323" s="15" t="s">
        <v>19</v>
      </c>
      <c r="D323" s="15" t="s">
        <v>1300</v>
      </c>
      <c r="E323" s="15" t="s">
        <v>55</v>
      </c>
      <c r="F323" s="15"/>
      <c r="G323" s="10" t="n">
        <v>1</v>
      </c>
      <c r="H323" s="23" t="n">
        <v>45926.3413675579</v>
      </c>
      <c r="L323" s="10" t="n">
        <f aca="false">COUNTIF($E$2:E323,E323)</f>
        <v>36</v>
      </c>
      <c r="M323" s="10" t="e">
        <f aca="false">ifs(L323=1, L323&amp;"-"&amp; COUNTIFS($L$2:L323,1))</f>
        <v>#NAME?</v>
      </c>
      <c r="O323" s="10"/>
      <c r="P323" s="22" t="n">
        <f aca="false">COUNTIFS(C:C,C323,N:N,"Đã xác nhận")/COUNTIFS(C:C,C323)</f>
        <v>0.594202898550725</v>
      </c>
      <c r="Q323" s="22"/>
      <c r="R323" s="0" t="s">
        <v>1301</v>
      </c>
      <c r="S323" s="0" t="s">
        <v>539</v>
      </c>
      <c r="U323" s="24" t="n">
        <v>1</v>
      </c>
    </row>
    <row r="324" customFormat="false" ht="12.75" hidden="false" customHeight="false" outlineLevel="0" collapsed="false">
      <c r="A324" s="15" t="n">
        <v>609</v>
      </c>
      <c r="B324" s="15" t="s">
        <v>600</v>
      </c>
      <c r="C324" s="15" t="s">
        <v>19</v>
      </c>
      <c r="D324" s="15" t="s">
        <v>1300</v>
      </c>
      <c r="E324" s="15" t="s">
        <v>37</v>
      </c>
      <c r="F324" s="15"/>
      <c r="G324" s="10" t="n">
        <v>1</v>
      </c>
      <c r="H324" s="23" t="n">
        <v>45926.3413675579</v>
      </c>
      <c r="L324" s="10" t="n">
        <f aca="false">COUNTIF($E$2:E324,E324)</f>
        <v>9</v>
      </c>
      <c r="M324" s="10" t="e">
        <f aca="false">ifs(L324=1, L324&amp;"-"&amp; COUNTIFS($L$2:L324,1))</f>
        <v>#NAME?</v>
      </c>
      <c r="O324" s="10"/>
      <c r="P324" s="22" t="n">
        <f aca="false">COUNTIFS(C:C,C324,N:N,"Đã xác nhận")/COUNTIFS(C:C,C324)</f>
        <v>0.594202898550725</v>
      </c>
      <c r="Q324" s="22"/>
      <c r="R324" s="0" t="s">
        <v>1301</v>
      </c>
      <c r="S324" s="0" t="s">
        <v>561</v>
      </c>
      <c r="U324" s="24" t="n">
        <v>1</v>
      </c>
    </row>
    <row r="325" customFormat="false" ht="12.75" hidden="false" customHeight="false" outlineLevel="0" collapsed="false">
      <c r="A325" s="15" t="n">
        <v>610</v>
      </c>
      <c r="B325" s="15" t="s">
        <v>600</v>
      </c>
      <c r="C325" s="15" t="s">
        <v>19</v>
      </c>
      <c r="D325" s="15" t="s">
        <v>1302</v>
      </c>
      <c r="E325" s="15" t="s">
        <v>55</v>
      </c>
      <c r="F325" s="15"/>
      <c r="G325" s="10" t="n">
        <v>1</v>
      </c>
      <c r="H325" s="23" t="n">
        <v>45926.3413675579</v>
      </c>
      <c r="L325" s="10" t="n">
        <f aca="false">COUNTIF($E$2:E325,E325)</f>
        <v>37</v>
      </c>
      <c r="M325" s="10" t="e">
        <f aca="false">ifs(L325=1, L325&amp;"-"&amp; COUNTIFS($L$2:L325,1))</f>
        <v>#NAME?</v>
      </c>
      <c r="O325" s="10"/>
      <c r="P325" s="22" t="n">
        <f aca="false">COUNTIFS(C:C,C325,N:N,"Đã xác nhận")/COUNTIFS(C:C,C325)</f>
        <v>0.594202898550725</v>
      </c>
      <c r="Q325" s="22"/>
      <c r="R325" s="0" t="s">
        <v>1303</v>
      </c>
      <c r="S325" s="0" t="s">
        <v>539</v>
      </c>
      <c r="U325" s="24" t="n">
        <v>1</v>
      </c>
    </row>
    <row r="326" customFormat="false" ht="12.75" hidden="false" customHeight="false" outlineLevel="0" collapsed="false">
      <c r="A326" s="15" t="n">
        <v>611</v>
      </c>
      <c r="B326" s="15" t="s">
        <v>600</v>
      </c>
      <c r="C326" s="15" t="s">
        <v>19</v>
      </c>
      <c r="D326" s="15" t="s">
        <v>1302</v>
      </c>
      <c r="E326" s="15" t="s">
        <v>43</v>
      </c>
      <c r="F326" s="15"/>
      <c r="G326" s="10" t="n">
        <v>1</v>
      </c>
      <c r="H326" s="23" t="n">
        <v>45926.3413675579</v>
      </c>
      <c r="L326" s="10" t="n">
        <f aca="false">COUNTIF($E$2:E326,E326)</f>
        <v>3</v>
      </c>
      <c r="M326" s="10" t="e">
        <f aca="false">ifs(L326=1, L326&amp;"-"&amp; COUNTIFS($L$2:L326,1))</f>
        <v>#NAME?</v>
      </c>
      <c r="O326" s="10"/>
      <c r="P326" s="22" t="n">
        <f aca="false">COUNTIFS(C:C,C326,N:N,"Đã xác nhận")/COUNTIFS(C:C,C326)</f>
        <v>0.594202898550725</v>
      </c>
      <c r="Q326" s="22"/>
      <c r="R326" s="0" t="s">
        <v>1303</v>
      </c>
      <c r="S326" s="0" t="s">
        <v>538</v>
      </c>
      <c r="U326" s="24" t="n">
        <v>1</v>
      </c>
    </row>
    <row r="327" customFormat="false" ht="12.75" hidden="false" customHeight="false" outlineLevel="0" collapsed="false">
      <c r="A327" s="15" t="n">
        <v>612</v>
      </c>
      <c r="B327" s="15" t="s">
        <v>600</v>
      </c>
      <c r="C327" s="15" t="s">
        <v>19</v>
      </c>
      <c r="D327" s="15" t="s">
        <v>1302</v>
      </c>
      <c r="E327" s="15" t="s">
        <v>81</v>
      </c>
      <c r="F327" s="15"/>
      <c r="G327" s="10" t="n">
        <v>1</v>
      </c>
      <c r="H327" s="21" t="n">
        <v>45966.2953935185</v>
      </c>
      <c r="I327" s="15" t="s">
        <v>1304</v>
      </c>
      <c r="J327" s="15" t="s">
        <v>1305</v>
      </c>
      <c r="K327" s="15" t="s">
        <v>1306</v>
      </c>
      <c r="L327" s="10" t="n">
        <f aca="false">COUNTIF($E$2:E327,E327)</f>
        <v>80</v>
      </c>
      <c r="M327" s="10" t="e">
        <f aca="false">ifs(L327=1, L327&amp;"-"&amp; COUNTIFS($L$2:L327,1))</f>
        <v>#NAME?</v>
      </c>
      <c r="O327" s="10"/>
      <c r="P327" s="22" t="n">
        <f aca="false">COUNTIFS(C:C,C327,N:N,"Đã xác nhận")/COUNTIFS(C:C,C327)</f>
        <v>0.594202898550725</v>
      </c>
      <c r="Q327" s="22"/>
      <c r="R327" s="0" t="s">
        <v>1303</v>
      </c>
      <c r="S327" s="0" t="s">
        <v>534</v>
      </c>
      <c r="U327" s="24" t="n">
        <v>1</v>
      </c>
    </row>
    <row r="328" customFormat="false" ht="12.75" hidden="false" customHeight="false" outlineLevel="0" collapsed="false">
      <c r="A328" s="15" t="n">
        <v>615</v>
      </c>
      <c r="B328" s="15" t="s">
        <v>600</v>
      </c>
      <c r="C328" s="15" t="s">
        <v>19</v>
      </c>
      <c r="D328" s="15" t="s">
        <v>1307</v>
      </c>
      <c r="E328" s="15" t="s">
        <v>81</v>
      </c>
      <c r="F328" s="15"/>
      <c r="G328" s="10" t="n">
        <v>1</v>
      </c>
      <c r="H328" s="21" t="n">
        <v>45967.3904513889</v>
      </c>
      <c r="I328" s="15" t="s">
        <v>1308</v>
      </c>
      <c r="J328" s="15" t="s">
        <v>1309</v>
      </c>
      <c r="K328" s="15" t="s">
        <v>1310</v>
      </c>
      <c r="L328" s="10" t="n">
        <f aca="false">COUNTIF($E$2:E328,E328)</f>
        <v>81</v>
      </c>
      <c r="M328" s="10" t="e">
        <f aca="false">ifs(L328=1, L328&amp;"-"&amp; COUNTIFS($L$2:L328,1))</f>
        <v>#NAME?</v>
      </c>
      <c r="O328" s="10"/>
      <c r="P328" s="22" t="n">
        <f aca="false">COUNTIFS(C:C,C328,N:N,"Đã xác nhận")/COUNTIFS(C:C,C328)</f>
        <v>0.594202898550725</v>
      </c>
      <c r="Q328" s="22"/>
      <c r="R328" s="0" t="s">
        <v>1311</v>
      </c>
      <c r="S328" s="0" t="s">
        <v>534</v>
      </c>
      <c r="U328" s="24" t="n">
        <v>1</v>
      </c>
    </row>
    <row r="329" customFormat="false" ht="12.75" hidden="false" customHeight="false" outlineLevel="0" collapsed="false">
      <c r="A329" s="15" t="n">
        <v>625</v>
      </c>
      <c r="B329" s="15" t="s">
        <v>600</v>
      </c>
      <c r="C329" s="15" t="s">
        <v>19</v>
      </c>
      <c r="D329" s="15" t="s">
        <v>1312</v>
      </c>
      <c r="E329" s="15" t="s">
        <v>545</v>
      </c>
      <c r="F329" s="15"/>
      <c r="G329" s="10" t="n">
        <v>1</v>
      </c>
      <c r="H329" s="23" t="n">
        <v>45926.3413675579</v>
      </c>
      <c r="L329" s="10" t="n">
        <f aca="false">COUNTIF($E$2:E329,E329)</f>
        <v>12</v>
      </c>
      <c r="M329" s="10" t="e">
        <f aca="false">ifs(L329=1, L329&amp;"-"&amp; COUNTIFS($L$2:L329,1))</f>
        <v>#NAME?</v>
      </c>
      <c r="O329" s="10"/>
      <c r="P329" s="22" t="n">
        <f aca="false">COUNTIFS(C:C,C329,N:N,"Đã xác nhận")/COUNTIFS(C:C,C329)</f>
        <v>0.594202898550725</v>
      </c>
      <c r="Q329" s="22"/>
      <c r="R329" s="0" t="s">
        <v>1313</v>
      </c>
      <c r="S329" s="0" t="s">
        <v>546</v>
      </c>
      <c r="U329" s="24" t="n">
        <v>1</v>
      </c>
    </row>
    <row r="330" customFormat="false" ht="12.75" hidden="false" customHeight="false" outlineLevel="0" collapsed="false">
      <c r="A330" s="15" t="n">
        <v>626</v>
      </c>
      <c r="B330" s="15" t="s">
        <v>600</v>
      </c>
      <c r="C330" s="15" t="s">
        <v>19</v>
      </c>
      <c r="D330" s="15" t="s">
        <v>1312</v>
      </c>
      <c r="E330" s="15" t="s">
        <v>555</v>
      </c>
      <c r="F330" s="15"/>
      <c r="G330" s="10" t="n">
        <v>1</v>
      </c>
      <c r="H330" s="23" t="n">
        <v>45926.3413675579</v>
      </c>
      <c r="L330" s="10" t="n">
        <f aca="false">COUNTIF($E$2:E330,E330)</f>
        <v>13</v>
      </c>
      <c r="M330" s="10" t="e">
        <f aca="false">ifs(L330=1, L330&amp;"-"&amp; COUNTIFS($L$2:L330,1))</f>
        <v>#NAME?</v>
      </c>
      <c r="O330" s="10"/>
      <c r="P330" s="22" t="n">
        <f aca="false">COUNTIFS(C:C,C330,N:N,"Đã xác nhận")/COUNTIFS(C:C,C330)</f>
        <v>0.594202898550725</v>
      </c>
      <c r="Q330" s="22"/>
      <c r="R330" s="0" t="s">
        <v>1313</v>
      </c>
      <c r="S330" s="0" t="s">
        <v>556</v>
      </c>
      <c r="U330" s="24" t="n">
        <v>1</v>
      </c>
    </row>
    <row r="331" customFormat="false" ht="12.75" hidden="false" customHeight="false" outlineLevel="0" collapsed="false">
      <c r="A331" s="15" t="n">
        <v>627</v>
      </c>
      <c r="B331" s="15" t="s">
        <v>600</v>
      </c>
      <c r="C331" s="15" t="s">
        <v>19</v>
      </c>
      <c r="D331" s="15" t="s">
        <v>1312</v>
      </c>
      <c r="E331" s="15" t="s">
        <v>67</v>
      </c>
      <c r="F331" s="15"/>
      <c r="G331" s="10" t="n">
        <v>1</v>
      </c>
      <c r="H331" s="23" t="n">
        <v>45926.3413675579</v>
      </c>
      <c r="L331" s="10" t="n">
        <f aca="false">COUNTIF($E$2:E331,E331)</f>
        <v>1</v>
      </c>
      <c r="M331" s="10" t="e">
        <f aca="false">ifs(L331=1, L331&amp;"-"&amp; COUNTIFS($L$2:L331,1))</f>
        <v>#NAME?</v>
      </c>
      <c r="O331" s="10"/>
      <c r="P331" s="22" t="n">
        <f aca="false">COUNTIFS(C:C,C331,N:N,"Đã xác nhận")/COUNTIFS(C:C,C331)</f>
        <v>0.594202898550725</v>
      </c>
      <c r="Q331" s="22"/>
      <c r="R331" s="0" t="s">
        <v>1313</v>
      </c>
      <c r="S331" s="0" t="s">
        <v>569</v>
      </c>
      <c r="U331" s="24" t="n">
        <v>1</v>
      </c>
    </row>
    <row r="332" customFormat="false" ht="12.75" hidden="false" customHeight="false" outlineLevel="0" collapsed="false">
      <c r="A332" s="15" t="n">
        <v>628</v>
      </c>
      <c r="B332" s="15" t="s">
        <v>600</v>
      </c>
      <c r="C332" s="15" t="s">
        <v>19</v>
      </c>
      <c r="D332" s="15" t="s">
        <v>1312</v>
      </c>
      <c r="E332" s="15" t="s">
        <v>567</v>
      </c>
      <c r="F332" s="15"/>
      <c r="G332" s="10" t="n">
        <v>1</v>
      </c>
      <c r="H332" s="23" t="n">
        <v>45926.3413675579</v>
      </c>
      <c r="L332" s="10" t="n">
        <f aca="false">COUNTIF($E$2:E332,E332)</f>
        <v>12</v>
      </c>
      <c r="M332" s="10" t="e">
        <f aca="false">ifs(L332=1, L332&amp;"-"&amp; COUNTIFS($L$2:L332,1))</f>
        <v>#NAME?</v>
      </c>
      <c r="O332" s="10"/>
      <c r="P332" s="22" t="n">
        <f aca="false">COUNTIFS(C:C,C332,N:N,"Đã xác nhận")/COUNTIFS(C:C,C332)</f>
        <v>0.594202898550725</v>
      </c>
      <c r="Q332" s="22"/>
      <c r="R332" s="0" t="s">
        <v>1313</v>
      </c>
      <c r="S332" s="0" t="s">
        <v>568</v>
      </c>
      <c r="U332" s="24" t="n">
        <v>1</v>
      </c>
    </row>
    <row r="333" customFormat="false" ht="12.75" hidden="false" customHeight="false" outlineLevel="0" collapsed="false">
      <c r="A333" s="15" t="n">
        <v>629</v>
      </c>
      <c r="B333" s="15" t="s">
        <v>600</v>
      </c>
      <c r="C333" s="15" t="s">
        <v>19</v>
      </c>
      <c r="D333" s="15" t="s">
        <v>1312</v>
      </c>
      <c r="E333" s="15" t="s">
        <v>565</v>
      </c>
      <c r="F333" s="15"/>
      <c r="G333" s="10" t="n">
        <v>1</v>
      </c>
      <c r="H333" s="23" t="n">
        <v>45926.3413675579</v>
      </c>
      <c r="L333" s="10" t="n">
        <f aca="false">COUNTIF($E$2:E333,E333)</f>
        <v>7</v>
      </c>
      <c r="M333" s="10" t="e">
        <f aca="false">ifs(L333=1, L333&amp;"-"&amp; COUNTIFS($L$2:L333,1))</f>
        <v>#NAME?</v>
      </c>
      <c r="O333" s="10"/>
      <c r="P333" s="22" t="n">
        <f aca="false">COUNTIFS(C:C,C333,N:N,"Đã xác nhận")/COUNTIFS(C:C,C333)</f>
        <v>0.594202898550725</v>
      </c>
      <c r="Q333" s="22"/>
      <c r="R333" s="0" t="s">
        <v>1313</v>
      </c>
      <c r="S333" s="0" t="s">
        <v>566</v>
      </c>
      <c r="U333" s="24" t="n">
        <v>1</v>
      </c>
    </row>
    <row r="334" customFormat="false" ht="12.75" hidden="false" customHeight="false" outlineLevel="0" collapsed="false">
      <c r="A334" s="15" t="n">
        <v>631</v>
      </c>
      <c r="B334" s="15" t="s">
        <v>600</v>
      </c>
      <c r="C334" s="15" t="s">
        <v>19</v>
      </c>
      <c r="D334" s="15" t="s">
        <v>1314</v>
      </c>
      <c r="E334" s="15" t="s">
        <v>69</v>
      </c>
      <c r="F334" s="15"/>
      <c r="G334" s="10" t="n">
        <v>1</v>
      </c>
      <c r="H334" s="23" t="n">
        <v>45926.3413675579</v>
      </c>
      <c r="L334" s="10" t="n">
        <f aca="false">COUNTIF($E$2:E334,E334)</f>
        <v>34</v>
      </c>
      <c r="M334" s="10" t="e">
        <f aca="false">ifs(L334=1, L334&amp;"-"&amp; COUNTIFS($L$2:L334,1))</f>
        <v>#NAME?</v>
      </c>
      <c r="O334" s="10"/>
      <c r="P334" s="22" t="n">
        <f aca="false">COUNTIFS(C:C,C334,N:N,"Đã xác nhận")/COUNTIFS(C:C,C334)</f>
        <v>0.594202898550725</v>
      </c>
      <c r="Q334" s="22"/>
      <c r="R334" s="0" t="s">
        <v>1315</v>
      </c>
      <c r="S334" s="0" t="s">
        <v>535</v>
      </c>
      <c r="U334" s="24" t="n">
        <v>1</v>
      </c>
    </row>
    <row r="335" customFormat="false" ht="12.75" hidden="false" customHeight="false" outlineLevel="0" collapsed="false">
      <c r="A335" s="15" t="n">
        <v>636</v>
      </c>
      <c r="B335" s="15" t="s">
        <v>600</v>
      </c>
      <c r="C335" s="15" t="s">
        <v>19</v>
      </c>
      <c r="D335" s="15" t="s">
        <v>1316</v>
      </c>
      <c r="E335" s="15" t="s">
        <v>81</v>
      </c>
      <c r="F335" s="15"/>
      <c r="G335" s="10" t="n">
        <v>2</v>
      </c>
      <c r="H335" s="21" t="n">
        <v>45968.4579166667</v>
      </c>
      <c r="I335" s="15" t="s">
        <v>1317</v>
      </c>
      <c r="J335" s="15" t="s">
        <v>1318</v>
      </c>
      <c r="K335" s="15" t="s">
        <v>1319</v>
      </c>
      <c r="L335" s="10" t="n">
        <f aca="false">COUNTIF($E$2:E335,E335)</f>
        <v>82</v>
      </c>
      <c r="M335" s="10" t="e">
        <f aca="false">ifs(L335=1, L335&amp;"-"&amp; COUNTIFS($L$2:L335,1))</f>
        <v>#NAME?</v>
      </c>
      <c r="O335" s="10"/>
      <c r="P335" s="22" t="n">
        <f aca="false">COUNTIFS(C:C,C335,N:N,"Đã xác nhận")/COUNTIFS(C:C,C335)</f>
        <v>0.594202898550725</v>
      </c>
      <c r="Q335" s="22"/>
      <c r="R335" s="0" t="s">
        <v>1320</v>
      </c>
      <c r="S335" s="0" t="s">
        <v>534</v>
      </c>
      <c r="U335" s="24" t="n">
        <v>2</v>
      </c>
    </row>
    <row r="336" customFormat="false" ht="12.75" hidden="false" customHeight="false" outlineLevel="0" collapsed="false">
      <c r="A336" s="15" t="n">
        <v>637</v>
      </c>
      <c r="B336" s="15" t="s">
        <v>600</v>
      </c>
      <c r="C336" s="15" t="s">
        <v>19</v>
      </c>
      <c r="D336" s="15" t="s">
        <v>673</v>
      </c>
      <c r="E336" s="15" t="s">
        <v>69</v>
      </c>
      <c r="F336" s="15"/>
      <c r="G336" s="10" t="n">
        <v>2</v>
      </c>
      <c r="H336" s="23" t="n">
        <v>45926.3413675579</v>
      </c>
      <c r="L336" s="10" t="n">
        <f aca="false">COUNTIF($E$2:E336,E336)</f>
        <v>35</v>
      </c>
      <c r="M336" s="10" t="e">
        <f aca="false">ifs(L336=1, L336&amp;"-"&amp; COUNTIFS($L$2:L336,1))</f>
        <v>#NAME?</v>
      </c>
      <c r="O336" s="10"/>
      <c r="P336" s="22" t="n">
        <f aca="false">COUNTIFS(C:C,C336,N:N,"Đã xác nhận")/COUNTIFS(C:C,C336)</f>
        <v>0.594202898550725</v>
      </c>
      <c r="Q336" s="22"/>
      <c r="R336" s="0" t="s">
        <v>675</v>
      </c>
      <c r="S336" s="0" t="s">
        <v>535</v>
      </c>
      <c r="U336" s="24" t="n">
        <v>2</v>
      </c>
    </row>
    <row r="337" customFormat="false" ht="12.75" hidden="false" customHeight="false" outlineLevel="0" collapsed="false">
      <c r="A337" s="15" t="n">
        <v>638</v>
      </c>
      <c r="B337" s="15" t="s">
        <v>600</v>
      </c>
      <c r="C337" s="15" t="s">
        <v>19</v>
      </c>
      <c r="D337" s="15" t="s">
        <v>673</v>
      </c>
      <c r="E337" s="15" t="s">
        <v>77</v>
      </c>
      <c r="F337" s="15"/>
      <c r="G337" s="10" t="n">
        <v>2</v>
      </c>
      <c r="H337" s="23" t="n">
        <v>45926.3413675579</v>
      </c>
      <c r="L337" s="10" t="n">
        <f aca="false">COUNTIF($E$2:E337,E337)</f>
        <v>14</v>
      </c>
      <c r="M337" s="10" t="e">
        <f aca="false">ifs(L337=1, L337&amp;"-"&amp; COUNTIFS($L$2:L337,1))</f>
        <v>#NAME?</v>
      </c>
      <c r="O337" s="10"/>
      <c r="P337" s="22" t="n">
        <f aca="false">COUNTIFS(C:C,C337,N:N,"Đã xác nhận")/COUNTIFS(C:C,C337)</f>
        <v>0.594202898550725</v>
      </c>
      <c r="Q337" s="22"/>
      <c r="R337" s="0" t="s">
        <v>675</v>
      </c>
      <c r="S337" s="0" t="s">
        <v>78</v>
      </c>
      <c r="U337" s="24" t="n">
        <v>2</v>
      </c>
    </row>
    <row r="338" customFormat="false" ht="12.75" hidden="false" customHeight="false" outlineLevel="0" collapsed="false">
      <c r="A338" s="15" t="n">
        <v>648</v>
      </c>
      <c r="B338" s="15" t="s">
        <v>600</v>
      </c>
      <c r="C338" s="15" t="s">
        <v>450</v>
      </c>
      <c r="D338" s="15" t="s">
        <v>1321</v>
      </c>
      <c r="E338" s="15" t="s">
        <v>37</v>
      </c>
      <c r="F338" s="15"/>
      <c r="G338" s="10" t="n">
        <v>1</v>
      </c>
      <c r="H338" s="21" t="n">
        <v>46036.4431481482</v>
      </c>
      <c r="I338" s="15" t="s">
        <v>1322</v>
      </c>
      <c r="J338" s="15" t="s">
        <v>1322</v>
      </c>
      <c r="K338" s="15"/>
      <c r="L338" s="10" t="n">
        <f aca="false">COUNTIF($E$2:E338,E338)</f>
        <v>10</v>
      </c>
      <c r="M338" s="10" t="e">
        <f aca="false">ifs(L338=1, L338&amp;"-"&amp; COUNTIFS($L$2:L338,1))</f>
        <v>#NAME?</v>
      </c>
      <c r="N338" s="15" t="s">
        <v>603</v>
      </c>
      <c r="O338" s="10"/>
      <c r="P338" s="22" t="n">
        <f aca="false">COUNTIFS(C:C,C338,N:N,"Đã xác nhận")/COUNTIFS(C:C,C338)</f>
        <v>0.741935483870968</v>
      </c>
      <c r="Q338" s="22"/>
      <c r="R338" s="0" t="s">
        <v>726</v>
      </c>
      <c r="S338" s="0" t="s">
        <v>561</v>
      </c>
      <c r="U338" s="24" t="n">
        <v>1</v>
      </c>
    </row>
    <row r="339" customFormat="false" ht="12.75" hidden="false" customHeight="false" outlineLevel="0" collapsed="false">
      <c r="A339" s="15" t="n">
        <v>649</v>
      </c>
      <c r="B339" s="15" t="s">
        <v>600</v>
      </c>
      <c r="C339" s="15" t="s">
        <v>450</v>
      </c>
      <c r="D339" s="15" t="s">
        <v>1323</v>
      </c>
      <c r="E339" s="15" t="s">
        <v>47</v>
      </c>
      <c r="F339" s="15"/>
      <c r="G339" s="10" t="n">
        <v>2</v>
      </c>
      <c r="H339" s="21" t="n">
        <v>46036.4432986111</v>
      </c>
      <c r="I339" s="15" t="s">
        <v>1324</v>
      </c>
      <c r="J339" s="15" t="s">
        <v>1324</v>
      </c>
      <c r="K339" s="15"/>
      <c r="L339" s="10" t="n">
        <f aca="false">COUNTIF($E$2:E339,E339)</f>
        <v>20</v>
      </c>
      <c r="M339" s="10" t="e">
        <f aca="false">ifs(L339=1, L339&amp;"-"&amp; COUNTIFS($L$2:L339,1))</f>
        <v>#NAME?</v>
      </c>
      <c r="N339" s="15" t="s">
        <v>603</v>
      </c>
      <c r="O339" s="10"/>
      <c r="P339" s="22" t="n">
        <f aca="false">COUNTIFS(C:C,C339,N:N,"Đã xác nhận")/COUNTIFS(C:C,C339)</f>
        <v>0.741935483870968</v>
      </c>
      <c r="Q339" s="22"/>
      <c r="R339" s="0" t="s">
        <v>1325</v>
      </c>
      <c r="S339" s="0" t="s">
        <v>549</v>
      </c>
      <c r="U339" s="24" t="n">
        <v>2</v>
      </c>
    </row>
    <row r="340" customFormat="false" ht="12.75" hidden="false" customHeight="false" outlineLevel="0" collapsed="false">
      <c r="A340" s="15" t="n">
        <v>650</v>
      </c>
      <c r="B340" s="15" t="s">
        <v>600</v>
      </c>
      <c r="C340" s="15" t="s">
        <v>450</v>
      </c>
      <c r="D340" s="15" t="s">
        <v>1323</v>
      </c>
      <c r="E340" s="15" t="s">
        <v>81</v>
      </c>
      <c r="F340" s="15"/>
      <c r="G340" s="10" t="n">
        <v>1</v>
      </c>
      <c r="H340" s="21" t="n">
        <v>45966.2940625</v>
      </c>
      <c r="I340" s="15" t="s">
        <v>1326</v>
      </c>
      <c r="J340" s="15" t="s">
        <v>1327</v>
      </c>
      <c r="K340" s="15" t="s">
        <v>1328</v>
      </c>
      <c r="L340" s="10" t="n">
        <f aca="false">COUNTIF($E$2:E340,E340)</f>
        <v>83</v>
      </c>
      <c r="M340" s="10" t="e">
        <f aca="false">ifs(L340=1, L340&amp;"-"&amp; COUNTIFS($L$2:L340,1))</f>
        <v>#NAME?</v>
      </c>
      <c r="O340" s="10"/>
      <c r="P340" s="22" t="n">
        <f aca="false">COUNTIFS(C:C,C340,N:N,"Đã xác nhận")/COUNTIFS(C:C,C340)</f>
        <v>0.741935483870968</v>
      </c>
      <c r="Q340" s="22"/>
      <c r="R340" s="0" t="s">
        <v>1325</v>
      </c>
      <c r="S340" s="0" t="s">
        <v>534</v>
      </c>
      <c r="U340" s="24" t="n">
        <v>1</v>
      </c>
    </row>
    <row r="341" customFormat="false" ht="12.75" hidden="false" customHeight="false" outlineLevel="0" collapsed="false">
      <c r="A341" s="15" t="n">
        <v>652</v>
      </c>
      <c r="B341" s="15" t="s">
        <v>600</v>
      </c>
      <c r="C341" s="15" t="s">
        <v>450</v>
      </c>
      <c r="D341" s="15" t="s">
        <v>1329</v>
      </c>
      <c r="E341" s="15" t="s">
        <v>55</v>
      </c>
      <c r="F341" s="15"/>
      <c r="G341" s="10" t="n">
        <v>2</v>
      </c>
      <c r="H341" s="21" t="n">
        <v>46036.4427662037</v>
      </c>
      <c r="I341" s="15" t="s">
        <v>1330</v>
      </c>
      <c r="J341" s="15" t="s">
        <v>1330</v>
      </c>
      <c r="K341" s="15"/>
      <c r="L341" s="10" t="n">
        <f aca="false">COUNTIF($E$2:E341,E341)</f>
        <v>38</v>
      </c>
      <c r="M341" s="10" t="e">
        <f aca="false">ifs(L341=1, L341&amp;"-"&amp; COUNTIFS($L$2:L341,1))</f>
        <v>#NAME?</v>
      </c>
      <c r="N341" s="15" t="s">
        <v>603</v>
      </c>
      <c r="O341" s="10"/>
      <c r="P341" s="22" t="n">
        <f aca="false">COUNTIFS(C:C,C341,N:N,"Đã xác nhận")/COUNTIFS(C:C,C341)</f>
        <v>0.741935483870968</v>
      </c>
      <c r="Q341" s="22"/>
      <c r="R341" s="0" t="s">
        <v>1331</v>
      </c>
      <c r="S341" s="0" t="s">
        <v>539</v>
      </c>
      <c r="U341" s="24" t="n">
        <v>2</v>
      </c>
    </row>
    <row r="342" customFormat="false" ht="12.75" hidden="false" customHeight="false" outlineLevel="0" collapsed="false">
      <c r="A342" s="15" t="n">
        <v>653</v>
      </c>
      <c r="B342" s="15" t="s">
        <v>600</v>
      </c>
      <c r="C342" s="15" t="s">
        <v>450</v>
      </c>
      <c r="D342" s="15" t="s">
        <v>1332</v>
      </c>
      <c r="E342" s="15" t="s">
        <v>81</v>
      </c>
      <c r="F342" s="15"/>
      <c r="G342" s="10" t="n">
        <v>3</v>
      </c>
      <c r="H342" s="21" t="n">
        <v>45967.3917824074</v>
      </c>
      <c r="I342" s="15" t="s">
        <v>1333</v>
      </c>
      <c r="J342" s="15" t="s">
        <v>1334</v>
      </c>
      <c r="K342" s="15" t="s">
        <v>1335</v>
      </c>
      <c r="L342" s="10" t="n">
        <f aca="false">COUNTIF($E$2:E342,E342)</f>
        <v>84</v>
      </c>
      <c r="M342" s="10" t="e">
        <f aca="false">ifs(L342=1, L342&amp;"-"&amp; COUNTIFS($L$2:L342,1))</f>
        <v>#NAME?</v>
      </c>
      <c r="O342" s="10"/>
      <c r="P342" s="22" t="n">
        <f aca="false">COUNTIFS(C:C,C342,N:N,"Đã xác nhận")/COUNTIFS(C:C,C342)</f>
        <v>0.741935483870968</v>
      </c>
      <c r="Q342" s="22"/>
      <c r="R342" s="0" t="s">
        <v>1336</v>
      </c>
      <c r="S342" s="0" t="s">
        <v>534</v>
      </c>
      <c r="U342" s="24" t="n">
        <v>3</v>
      </c>
    </row>
    <row r="343" customFormat="false" ht="12.75" hidden="false" customHeight="false" outlineLevel="0" collapsed="false">
      <c r="A343" s="15" t="n">
        <v>654</v>
      </c>
      <c r="B343" s="15" t="s">
        <v>600</v>
      </c>
      <c r="C343" s="15" t="s">
        <v>450</v>
      </c>
      <c r="D343" s="15" t="s">
        <v>1337</v>
      </c>
      <c r="E343" s="15" t="s">
        <v>81</v>
      </c>
      <c r="F343" s="15"/>
      <c r="G343" s="10" t="n">
        <v>3</v>
      </c>
      <c r="H343" s="21" t="n">
        <v>45967.3915393519</v>
      </c>
      <c r="I343" s="15" t="s">
        <v>1338</v>
      </c>
      <c r="J343" s="15" t="s">
        <v>1339</v>
      </c>
      <c r="K343" s="15" t="s">
        <v>1340</v>
      </c>
      <c r="L343" s="10" t="n">
        <f aca="false">COUNTIF($E$2:E343,E343)</f>
        <v>85</v>
      </c>
      <c r="M343" s="10" t="e">
        <f aca="false">ifs(L343=1, L343&amp;"-"&amp; COUNTIFS($L$2:L343,1))</f>
        <v>#NAME?</v>
      </c>
      <c r="O343" s="10"/>
      <c r="P343" s="22" t="n">
        <f aca="false">COUNTIFS(C:C,C343,N:N,"Đã xác nhận")/COUNTIFS(C:C,C343)</f>
        <v>0.741935483870968</v>
      </c>
      <c r="Q343" s="22"/>
      <c r="R343" s="0" t="s">
        <v>1341</v>
      </c>
      <c r="S343" s="0" t="s">
        <v>534</v>
      </c>
      <c r="U343" s="24" t="n">
        <v>3</v>
      </c>
    </row>
    <row r="344" customFormat="false" ht="12.75" hidden="false" customHeight="false" outlineLevel="0" collapsed="false">
      <c r="A344" s="15" t="n">
        <v>656</v>
      </c>
      <c r="B344" s="15" t="s">
        <v>600</v>
      </c>
      <c r="C344" s="15" t="s">
        <v>450</v>
      </c>
      <c r="D344" s="15" t="s">
        <v>1342</v>
      </c>
      <c r="E344" s="15" t="s">
        <v>565</v>
      </c>
      <c r="F344" s="15"/>
      <c r="G344" s="10" t="n">
        <v>4</v>
      </c>
      <c r="H344" s="21" t="n">
        <v>46036.4418981482</v>
      </c>
      <c r="I344" s="15" t="s">
        <v>1343</v>
      </c>
      <c r="J344" s="15" t="s">
        <v>1343</v>
      </c>
      <c r="K344" s="15"/>
      <c r="L344" s="10" t="n">
        <f aca="false">COUNTIF($E$2:E344,E344)</f>
        <v>8</v>
      </c>
      <c r="M344" s="10" t="e">
        <f aca="false">ifs(L344=1, L344&amp;"-"&amp; COUNTIFS($L$2:L344,1))</f>
        <v>#NAME?</v>
      </c>
      <c r="N344" s="15" t="s">
        <v>603</v>
      </c>
      <c r="O344" s="10"/>
      <c r="P344" s="22" t="n">
        <f aca="false">COUNTIFS(C:C,C344,N:N,"Đã xác nhận")/COUNTIFS(C:C,C344)</f>
        <v>0.741935483870968</v>
      </c>
      <c r="Q344" s="22"/>
      <c r="R344" s="0" t="s">
        <v>1344</v>
      </c>
      <c r="S344" s="0" t="s">
        <v>566</v>
      </c>
      <c r="U344" s="24" t="n">
        <v>4</v>
      </c>
    </row>
    <row r="345" customFormat="false" ht="12.75" hidden="false" customHeight="false" outlineLevel="0" collapsed="false">
      <c r="A345" s="15" t="n">
        <v>657</v>
      </c>
      <c r="B345" s="15" t="s">
        <v>600</v>
      </c>
      <c r="C345" s="15" t="s">
        <v>450</v>
      </c>
      <c r="D345" s="15" t="s">
        <v>1342</v>
      </c>
      <c r="E345" s="15" t="s">
        <v>555</v>
      </c>
      <c r="F345" s="15"/>
      <c r="G345" s="10" t="n">
        <v>1</v>
      </c>
      <c r="H345" s="21" t="n">
        <v>46036.4418171296</v>
      </c>
      <c r="I345" s="15" t="s">
        <v>1345</v>
      </c>
      <c r="J345" s="15" t="s">
        <v>1345</v>
      </c>
      <c r="L345" s="10" t="n">
        <f aca="false">COUNTIF($E$2:E345,E345)</f>
        <v>14</v>
      </c>
      <c r="M345" s="10" t="e">
        <f aca="false">ifs(L345=1, L345&amp;"-"&amp; COUNTIFS($L$2:L345,1))</f>
        <v>#NAME?</v>
      </c>
      <c r="N345" s="15" t="s">
        <v>603</v>
      </c>
      <c r="O345" s="10"/>
      <c r="P345" s="22" t="n">
        <f aca="false">COUNTIFS(C:C,C345,N:N,"Đã xác nhận")/COUNTIFS(C:C,C345)</f>
        <v>0.741935483870968</v>
      </c>
      <c r="Q345" s="22"/>
      <c r="R345" s="0" t="s">
        <v>1344</v>
      </c>
      <c r="S345" s="0" t="s">
        <v>556</v>
      </c>
      <c r="U345" s="24" t="n">
        <v>1</v>
      </c>
    </row>
    <row r="346" customFormat="false" ht="12.75" hidden="false" customHeight="false" outlineLevel="0" collapsed="false">
      <c r="A346" s="15" t="n">
        <v>658</v>
      </c>
      <c r="B346" s="15" t="s">
        <v>600</v>
      </c>
      <c r="C346" s="15" t="s">
        <v>450</v>
      </c>
      <c r="D346" s="15" t="s">
        <v>1342</v>
      </c>
      <c r="E346" s="15" t="s">
        <v>545</v>
      </c>
      <c r="F346" s="15"/>
      <c r="G346" s="10" t="n">
        <v>4</v>
      </c>
      <c r="H346" s="21" t="n">
        <v>46036.4419791667</v>
      </c>
      <c r="I346" s="15" t="s">
        <v>1346</v>
      </c>
      <c r="J346" s="15" t="s">
        <v>1346</v>
      </c>
      <c r="K346" s="15"/>
      <c r="L346" s="10" t="n">
        <f aca="false">COUNTIF($E$2:E346,E346)</f>
        <v>13</v>
      </c>
      <c r="M346" s="10" t="e">
        <f aca="false">ifs(L346=1, L346&amp;"-"&amp; COUNTIFS($L$2:L346,1))</f>
        <v>#NAME?</v>
      </c>
      <c r="N346" s="15" t="s">
        <v>603</v>
      </c>
      <c r="O346" s="10"/>
      <c r="P346" s="22" t="n">
        <f aca="false">COUNTIFS(C:C,C346,N:N,"Đã xác nhận")/COUNTIFS(C:C,C346)</f>
        <v>0.741935483870968</v>
      </c>
      <c r="Q346" s="22"/>
      <c r="R346" s="0" t="s">
        <v>1344</v>
      </c>
      <c r="S346" s="0" t="s">
        <v>546</v>
      </c>
      <c r="U346" s="24" t="n">
        <v>4</v>
      </c>
    </row>
    <row r="347" customFormat="false" ht="12.75" hidden="false" customHeight="false" outlineLevel="0" collapsed="false">
      <c r="A347" s="15" t="n">
        <v>659</v>
      </c>
      <c r="B347" s="15" t="s">
        <v>600</v>
      </c>
      <c r="C347" s="15" t="s">
        <v>450</v>
      </c>
      <c r="D347" s="15" t="s">
        <v>1342</v>
      </c>
      <c r="E347" s="15" t="s">
        <v>547</v>
      </c>
      <c r="F347" s="15"/>
      <c r="G347" s="10" t="n">
        <v>6</v>
      </c>
      <c r="H347" s="21" t="n">
        <v>46038.484537037</v>
      </c>
      <c r="I347" s="15" t="s">
        <v>1347</v>
      </c>
      <c r="J347" s="15" t="s">
        <v>1348</v>
      </c>
      <c r="K347" s="15" t="s">
        <v>1349</v>
      </c>
      <c r="L347" s="10" t="n">
        <f aca="false">COUNTIF($E$2:E347,E347)</f>
        <v>15</v>
      </c>
      <c r="M347" s="10" t="e">
        <f aca="false">ifs(L347=1, L347&amp;"-"&amp; COUNTIFS($L$2:L347,1))</f>
        <v>#NAME?</v>
      </c>
      <c r="N347" s="15" t="s">
        <v>603</v>
      </c>
      <c r="O347" s="10"/>
      <c r="P347" s="22" t="n">
        <f aca="false">COUNTIFS(C:C,C347,N:N,"Đã xác nhận")/COUNTIFS(C:C,C347)</f>
        <v>0.741935483870968</v>
      </c>
      <c r="Q347" s="22"/>
      <c r="R347" s="0" t="s">
        <v>1344</v>
      </c>
      <c r="S347" s="0" t="s">
        <v>548</v>
      </c>
      <c r="U347" s="24" t="n">
        <v>6</v>
      </c>
    </row>
    <row r="348" customFormat="false" ht="12.75" hidden="false" customHeight="false" outlineLevel="0" collapsed="false">
      <c r="A348" s="15" t="n">
        <v>660</v>
      </c>
      <c r="B348" s="15" t="s">
        <v>600</v>
      </c>
      <c r="C348" s="15" t="s">
        <v>450</v>
      </c>
      <c r="D348" s="15" t="s">
        <v>1342</v>
      </c>
      <c r="E348" s="15" t="s">
        <v>570</v>
      </c>
      <c r="F348" s="15"/>
      <c r="G348" s="10" t="n">
        <v>2</v>
      </c>
      <c r="H348" s="21" t="n">
        <v>46036.4420486111</v>
      </c>
      <c r="I348" s="15" t="s">
        <v>1350</v>
      </c>
      <c r="J348" s="15" t="s">
        <v>1350</v>
      </c>
      <c r="L348" s="10" t="n">
        <f aca="false">COUNTIF($E$2:E348,E348)</f>
        <v>9</v>
      </c>
      <c r="M348" s="10" t="e">
        <f aca="false">ifs(L348=1, L348&amp;"-"&amp; COUNTIFS($L$2:L348,1))</f>
        <v>#NAME?</v>
      </c>
      <c r="N348" s="15" t="s">
        <v>603</v>
      </c>
      <c r="O348" s="10"/>
      <c r="P348" s="22" t="n">
        <f aca="false">COUNTIFS(C:C,C348,N:N,"Đã xác nhận")/COUNTIFS(C:C,C348)</f>
        <v>0.741935483870968</v>
      </c>
      <c r="Q348" s="22"/>
      <c r="R348" s="0" t="s">
        <v>1344</v>
      </c>
      <c r="S348" s="0" t="s">
        <v>571</v>
      </c>
      <c r="U348" s="24" t="n">
        <v>2</v>
      </c>
    </row>
    <row r="349" customFormat="false" ht="12.75" hidden="false" customHeight="false" outlineLevel="0" collapsed="false">
      <c r="A349" s="15" t="n">
        <v>661</v>
      </c>
      <c r="B349" s="15" t="s">
        <v>600</v>
      </c>
      <c r="C349" s="15" t="s">
        <v>450</v>
      </c>
      <c r="D349" s="15" t="s">
        <v>1342</v>
      </c>
      <c r="E349" s="15" t="s">
        <v>567</v>
      </c>
      <c r="F349" s="15"/>
      <c r="G349" s="10" t="n">
        <v>1</v>
      </c>
      <c r="H349" s="21" t="n">
        <v>46036.4416435185</v>
      </c>
      <c r="I349" s="15" t="s">
        <v>1351</v>
      </c>
      <c r="J349" s="15" t="s">
        <v>1351</v>
      </c>
      <c r="L349" s="10" t="n">
        <f aca="false">COUNTIF($E$2:E349,E349)</f>
        <v>13</v>
      </c>
      <c r="M349" s="10" t="e">
        <f aca="false">ifs(L349=1, L349&amp;"-"&amp; COUNTIFS($L$2:L349,1))</f>
        <v>#NAME?</v>
      </c>
      <c r="N349" s="15" t="s">
        <v>603</v>
      </c>
      <c r="O349" s="10"/>
      <c r="P349" s="22" t="n">
        <f aca="false">COUNTIFS(C:C,C349,N:N,"Đã xác nhận")/COUNTIFS(C:C,C349)</f>
        <v>0.741935483870968</v>
      </c>
      <c r="Q349" s="22"/>
      <c r="R349" s="0" t="s">
        <v>1344</v>
      </c>
      <c r="S349" s="0" t="s">
        <v>568</v>
      </c>
      <c r="U349" s="24" t="n">
        <v>1</v>
      </c>
    </row>
    <row r="350" customFormat="false" ht="12.75" hidden="false" customHeight="false" outlineLevel="0" collapsed="false">
      <c r="A350" s="15" t="n">
        <v>673</v>
      </c>
      <c r="B350" s="15" t="s">
        <v>600</v>
      </c>
      <c r="C350" s="15" t="s">
        <v>450</v>
      </c>
      <c r="D350" s="15" t="s">
        <v>1352</v>
      </c>
      <c r="E350" s="15" t="s">
        <v>81</v>
      </c>
      <c r="F350" s="15"/>
      <c r="G350" s="10" t="n">
        <v>1</v>
      </c>
      <c r="H350" s="21" t="n">
        <v>45967.3907407407</v>
      </c>
      <c r="I350" s="15" t="s">
        <v>1353</v>
      </c>
      <c r="J350" s="15" t="s">
        <v>1354</v>
      </c>
      <c r="K350" s="15" t="s">
        <v>1355</v>
      </c>
      <c r="L350" s="10" t="n">
        <f aca="false">COUNTIF($E$2:E350,E350)</f>
        <v>86</v>
      </c>
      <c r="M350" s="10" t="e">
        <f aca="false">ifs(L350=1, L350&amp;"-"&amp; COUNTIFS($L$2:L350,1))</f>
        <v>#NAME?</v>
      </c>
      <c r="O350" s="10"/>
      <c r="P350" s="22" t="n">
        <f aca="false">COUNTIFS(C:C,C350,N:N,"Đã xác nhận")/COUNTIFS(C:C,C350)</f>
        <v>0.741935483870968</v>
      </c>
      <c r="Q350" s="22"/>
      <c r="R350" s="0" t="s">
        <v>1356</v>
      </c>
      <c r="S350" s="0" t="s">
        <v>534</v>
      </c>
      <c r="U350" s="24" t="n">
        <v>1</v>
      </c>
    </row>
    <row r="351" customFormat="false" ht="12.75" hidden="false" customHeight="false" outlineLevel="0" collapsed="false">
      <c r="A351" s="15" t="n">
        <v>674</v>
      </c>
      <c r="B351" s="15" t="s">
        <v>600</v>
      </c>
      <c r="C351" s="15" t="s">
        <v>450</v>
      </c>
      <c r="D351" s="15" t="s">
        <v>756</v>
      </c>
      <c r="E351" s="15" t="s">
        <v>81</v>
      </c>
      <c r="F351" s="15"/>
      <c r="G351" s="10" t="n">
        <v>2</v>
      </c>
      <c r="H351" s="21" t="n">
        <v>45967.3942708333</v>
      </c>
      <c r="I351" s="15" t="s">
        <v>1357</v>
      </c>
      <c r="J351" s="15" t="s">
        <v>1358</v>
      </c>
      <c r="K351" s="15" t="s">
        <v>1359</v>
      </c>
      <c r="L351" s="10" t="n">
        <f aca="false">COUNTIF($E$2:E351,E351)</f>
        <v>87</v>
      </c>
      <c r="M351" s="10" t="e">
        <f aca="false">ifs(L351=1, L351&amp;"-"&amp; COUNTIFS($L$2:L351,1))</f>
        <v>#NAME?</v>
      </c>
      <c r="O351" s="10"/>
      <c r="P351" s="22" t="n">
        <f aca="false">COUNTIFS(C:C,C351,N:N,"Đã xác nhận")/COUNTIFS(C:C,C351)</f>
        <v>0.741935483870968</v>
      </c>
      <c r="Q351" s="22"/>
      <c r="R351" s="0" t="s">
        <v>758</v>
      </c>
      <c r="S351" s="0" t="s">
        <v>534</v>
      </c>
      <c r="U351" s="24" t="n">
        <v>2</v>
      </c>
    </row>
    <row r="352" customFormat="false" ht="12.75" hidden="false" customHeight="false" outlineLevel="0" collapsed="false">
      <c r="A352" s="15" t="n">
        <v>675</v>
      </c>
      <c r="B352" s="15" t="s">
        <v>600</v>
      </c>
      <c r="C352" s="15" t="s">
        <v>450</v>
      </c>
      <c r="D352" s="15" t="s">
        <v>1360</v>
      </c>
      <c r="E352" s="15" t="s">
        <v>81</v>
      </c>
      <c r="F352" s="15"/>
      <c r="G352" s="10" t="n">
        <v>1</v>
      </c>
      <c r="H352" s="21" t="n">
        <v>45966.2955671296</v>
      </c>
      <c r="I352" s="15" t="s">
        <v>1361</v>
      </c>
      <c r="J352" s="15" t="s">
        <v>1362</v>
      </c>
      <c r="K352" s="15" t="s">
        <v>1363</v>
      </c>
      <c r="L352" s="10" t="n">
        <f aca="false">COUNTIF($E$2:E352,E352)</f>
        <v>88</v>
      </c>
      <c r="M352" s="10" t="e">
        <f aca="false">ifs(L352=1, L352&amp;"-"&amp; COUNTIFS($L$2:L352,1))</f>
        <v>#NAME?</v>
      </c>
      <c r="O352" s="10"/>
      <c r="P352" s="22" t="n">
        <f aca="false">COUNTIFS(C:C,C352,N:N,"Đã xác nhận")/COUNTIFS(C:C,C352)</f>
        <v>0.741935483870968</v>
      </c>
      <c r="Q352" s="22"/>
      <c r="R352" s="0" t="s">
        <v>1364</v>
      </c>
      <c r="S352" s="0" t="s">
        <v>534</v>
      </c>
      <c r="U352" s="24" t="n">
        <v>1</v>
      </c>
    </row>
    <row r="353" customFormat="false" ht="12.75" hidden="false" customHeight="false" outlineLevel="0" collapsed="false">
      <c r="A353" s="15" t="n">
        <v>676</v>
      </c>
      <c r="B353" s="15" t="s">
        <v>600</v>
      </c>
      <c r="C353" s="15" t="s">
        <v>450</v>
      </c>
      <c r="D353" s="15" t="s">
        <v>762</v>
      </c>
      <c r="E353" s="15" t="s">
        <v>81</v>
      </c>
      <c r="F353" s="15"/>
      <c r="G353" s="10" t="n">
        <v>1</v>
      </c>
      <c r="H353" s="21" t="n">
        <v>45967.3909606482</v>
      </c>
      <c r="I353" s="15" t="s">
        <v>1365</v>
      </c>
      <c r="J353" s="15" t="s">
        <v>1366</v>
      </c>
      <c r="K353" s="15" t="s">
        <v>1367</v>
      </c>
      <c r="L353" s="10" t="n">
        <f aca="false">COUNTIF($E$2:E353,E353)</f>
        <v>89</v>
      </c>
      <c r="M353" s="10" t="e">
        <f aca="false">ifs(L353=1, L353&amp;"-"&amp; COUNTIFS($L$2:L353,1))</f>
        <v>#NAME?</v>
      </c>
      <c r="O353" s="10"/>
      <c r="P353" s="22" t="n">
        <f aca="false">COUNTIFS(C:C,C353,N:N,"Đã xác nhận")/COUNTIFS(C:C,C353)</f>
        <v>0.741935483870968</v>
      </c>
      <c r="Q353" s="22"/>
      <c r="R353" s="0" t="s">
        <v>764</v>
      </c>
      <c r="S353" s="0" t="s">
        <v>534</v>
      </c>
      <c r="U353" s="24" t="n">
        <v>1</v>
      </c>
    </row>
    <row r="354" customFormat="false" ht="12.75" hidden="false" customHeight="false" outlineLevel="0" collapsed="false">
      <c r="A354" s="15" t="n">
        <v>677</v>
      </c>
      <c r="B354" s="15" t="s">
        <v>600</v>
      </c>
      <c r="C354" s="15" t="s">
        <v>450</v>
      </c>
      <c r="D354" s="15" t="s">
        <v>762</v>
      </c>
      <c r="E354" s="15" t="s">
        <v>47</v>
      </c>
      <c r="F354" s="15"/>
      <c r="G354" s="10" t="n">
        <v>1</v>
      </c>
      <c r="H354" s="21" t="n">
        <v>46036.4433101852</v>
      </c>
      <c r="I354" s="15" t="s">
        <v>1368</v>
      </c>
      <c r="J354" s="15" t="s">
        <v>1368</v>
      </c>
      <c r="L354" s="10" t="n">
        <f aca="false">COUNTIF($E$2:E354,E354)</f>
        <v>21</v>
      </c>
      <c r="M354" s="10" t="e">
        <f aca="false">ifs(L354=1, L354&amp;"-"&amp; COUNTIFS($L$2:L354,1))</f>
        <v>#NAME?</v>
      </c>
      <c r="N354" s="15" t="s">
        <v>603</v>
      </c>
      <c r="O354" s="10"/>
      <c r="P354" s="22" t="n">
        <f aca="false">COUNTIFS(C:C,C354,N:N,"Đã xác nhận")/COUNTIFS(C:C,C354)</f>
        <v>0.741935483870968</v>
      </c>
      <c r="Q354" s="22"/>
      <c r="R354" s="0" t="s">
        <v>764</v>
      </c>
      <c r="S354" s="0" t="s">
        <v>549</v>
      </c>
      <c r="U354" s="24" t="n">
        <v>1</v>
      </c>
    </row>
    <row r="355" customFormat="false" ht="12.75" hidden="false" customHeight="false" outlineLevel="0" collapsed="false">
      <c r="A355" s="15" t="n">
        <v>678</v>
      </c>
      <c r="B355" s="15" t="s">
        <v>600</v>
      </c>
      <c r="C355" s="15" t="s">
        <v>450</v>
      </c>
      <c r="D355" s="15" t="s">
        <v>1369</v>
      </c>
      <c r="E355" s="15" t="s">
        <v>69</v>
      </c>
      <c r="F355" s="15"/>
      <c r="G355" s="10" t="n">
        <v>5</v>
      </c>
      <c r="H355" s="21" t="n">
        <v>46036.4423842593</v>
      </c>
      <c r="I355" s="15" t="s">
        <v>1370</v>
      </c>
      <c r="J355" s="15" t="s">
        <v>1370</v>
      </c>
      <c r="K355" s="15"/>
      <c r="L355" s="10" t="n">
        <f aca="false">COUNTIF($E$2:E355,E355)</f>
        <v>36</v>
      </c>
      <c r="M355" s="10" t="e">
        <f aca="false">ifs(L355=1, L355&amp;"-"&amp; COUNTIFS($L$2:L355,1))</f>
        <v>#NAME?</v>
      </c>
      <c r="N355" s="15" t="s">
        <v>603</v>
      </c>
      <c r="O355" s="10"/>
      <c r="P355" s="22" t="n">
        <f aca="false">COUNTIFS(C:C,C355,N:N,"Đã xác nhận")/COUNTIFS(C:C,C355)</f>
        <v>0.741935483870968</v>
      </c>
      <c r="Q355" s="22"/>
      <c r="R355" s="0" t="s">
        <v>1371</v>
      </c>
      <c r="S355" s="0" t="s">
        <v>535</v>
      </c>
      <c r="U355" s="24" t="n">
        <v>5</v>
      </c>
    </row>
    <row r="356" customFormat="false" ht="12.75" hidden="false" customHeight="false" outlineLevel="0" collapsed="false">
      <c r="A356" s="15" t="n">
        <v>679</v>
      </c>
      <c r="B356" s="15" t="s">
        <v>600</v>
      </c>
      <c r="C356" s="15" t="s">
        <v>450</v>
      </c>
      <c r="D356" s="15" t="s">
        <v>1369</v>
      </c>
      <c r="E356" s="15" t="s">
        <v>570</v>
      </c>
      <c r="F356" s="15"/>
      <c r="G356" s="10" t="n">
        <v>4</v>
      </c>
      <c r="H356" s="21" t="n">
        <v>46036.4420601852</v>
      </c>
      <c r="I356" s="15" t="s">
        <v>1372</v>
      </c>
      <c r="J356" s="15" t="s">
        <v>1372</v>
      </c>
      <c r="K356" s="15"/>
      <c r="L356" s="10" t="n">
        <f aca="false">COUNTIF($E$2:E356,E356)</f>
        <v>10</v>
      </c>
      <c r="M356" s="10" t="e">
        <f aca="false">ifs(L356=1, L356&amp;"-"&amp; COUNTIFS($L$2:L356,1))</f>
        <v>#NAME?</v>
      </c>
      <c r="N356" s="15" t="s">
        <v>603</v>
      </c>
      <c r="O356" s="10"/>
      <c r="P356" s="22" t="n">
        <f aca="false">COUNTIFS(C:C,C356,N:N,"Đã xác nhận")/COUNTIFS(C:C,C356)</f>
        <v>0.741935483870968</v>
      </c>
      <c r="Q356" s="22"/>
      <c r="R356" s="0" t="s">
        <v>1371</v>
      </c>
      <c r="S356" s="0" t="s">
        <v>571</v>
      </c>
      <c r="U356" s="24" t="n">
        <v>4</v>
      </c>
    </row>
    <row r="357" customFormat="false" ht="12.75" hidden="false" customHeight="false" outlineLevel="0" collapsed="false">
      <c r="A357" s="15" t="n">
        <v>680</v>
      </c>
      <c r="B357" s="15" t="s">
        <v>600</v>
      </c>
      <c r="C357" s="15" t="s">
        <v>450</v>
      </c>
      <c r="D357" s="15" t="s">
        <v>1369</v>
      </c>
      <c r="E357" s="15" t="s">
        <v>547</v>
      </c>
      <c r="F357" s="15"/>
      <c r="G357" s="10" t="n">
        <v>3</v>
      </c>
      <c r="H357" s="21" t="n">
        <v>46038.4845601852</v>
      </c>
      <c r="I357" s="15" t="s">
        <v>1373</v>
      </c>
      <c r="J357" s="15" t="s">
        <v>1374</v>
      </c>
      <c r="K357" s="15" t="s">
        <v>1375</v>
      </c>
      <c r="L357" s="10" t="n">
        <f aca="false">COUNTIF($E$2:E357,E357)</f>
        <v>16</v>
      </c>
      <c r="M357" s="10" t="e">
        <f aca="false">ifs(L357=1, L357&amp;"-"&amp; COUNTIFS($L$2:L357,1))</f>
        <v>#NAME?</v>
      </c>
      <c r="N357" s="15" t="s">
        <v>603</v>
      </c>
      <c r="O357" s="10"/>
      <c r="P357" s="22" t="n">
        <f aca="false">COUNTIFS(C:C,C357,N:N,"Đã xác nhận")/COUNTIFS(C:C,C357)</f>
        <v>0.741935483870968</v>
      </c>
      <c r="Q357" s="22"/>
      <c r="R357" s="0" t="s">
        <v>1371</v>
      </c>
      <c r="S357" s="0" t="s">
        <v>548</v>
      </c>
      <c r="U357" s="24" t="n">
        <v>3</v>
      </c>
    </row>
    <row r="358" customFormat="false" ht="12.75" hidden="false" customHeight="false" outlineLevel="0" collapsed="false">
      <c r="A358" s="15" t="n">
        <v>681</v>
      </c>
      <c r="B358" s="15" t="s">
        <v>600</v>
      </c>
      <c r="C358" s="15" t="s">
        <v>450</v>
      </c>
      <c r="D358" s="15" t="s">
        <v>1369</v>
      </c>
      <c r="E358" s="15" t="s">
        <v>567</v>
      </c>
      <c r="F358" s="15"/>
      <c r="G358" s="10" t="n">
        <v>2</v>
      </c>
      <c r="H358" s="21" t="n">
        <v>46036.4416550926</v>
      </c>
      <c r="I358" s="15" t="s">
        <v>1376</v>
      </c>
      <c r="J358" s="15" t="s">
        <v>1376</v>
      </c>
      <c r="K358" s="15"/>
      <c r="L358" s="10" t="n">
        <f aca="false">COUNTIF($E$2:E358,E358)</f>
        <v>14</v>
      </c>
      <c r="M358" s="10" t="e">
        <f aca="false">ifs(L358=1, L358&amp;"-"&amp; COUNTIFS($L$2:L358,1))</f>
        <v>#NAME?</v>
      </c>
      <c r="N358" s="15" t="s">
        <v>603</v>
      </c>
      <c r="O358" s="10"/>
      <c r="P358" s="22" t="n">
        <f aca="false">COUNTIFS(C:C,C358,N:N,"Đã xác nhận")/COUNTIFS(C:C,C358)</f>
        <v>0.741935483870968</v>
      </c>
      <c r="Q358" s="22"/>
      <c r="R358" s="0" t="s">
        <v>1371</v>
      </c>
      <c r="S358" s="0" t="s">
        <v>568</v>
      </c>
      <c r="U358" s="24" t="n">
        <v>2</v>
      </c>
    </row>
    <row r="359" customFormat="false" ht="12.75" hidden="false" customHeight="false" outlineLevel="0" collapsed="false">
      <c r="A359" s="15" t="n">
        <v>691</v>
      </c>
      <c r="B359" s="15" t="s">
        <v>600</v>
      </c>
      <c r="C359" s="15" t="s">
        <v>450</v>
      </c>
      <c r="D359" s="15" t="s">
        <v>1087</v>
      </c>
      <c r="E359" s="15" t="s">
        <v>543</v>
      </c>
      <c r="F359" s="15"/>
      <c r="G359" s="10" t="n">
        <v>4</v>
      </c>
      <c r="H359" s="21" t="n">
        <v>46036.4422453704</v>
      </c>
      <c r="I359" s="15" t="s">
        <v>1377</v>
      </c>
      <c r="J359" s="15" t="s">
        <v>1377</v>
      </c>
      <c r="K359" s="15"/>
      <c r="L359" s="10" t="n">
        <f aca="false">COUNTIF($E$2:E359,E359)</f>
        <v>13</v>
      </c>
      <c r="M359" s="10" t="e">
        <f aca="false">ifs(L359=1, L359&amp;"-"&amp; COUNTIFS($L$2:L359,1))</f>
        <v>#NAME?</v>
      </c>
      <c r="N359" s="15" t="s">
        <v>603</v>
      </c>
      <c r="O359" s="10"/>
      <c r="P359" s="22" t="n">
        <f aca="false">COUNTIFS(C:C,C359,N:N,"Đã xác nhận")/COUNTIFS(C:C,C359)</f>
        <v>0.741935483870968</v>
      </c>
      <c r="Q359" s="22"/>
      <c r="R359" s="0" t="s">
        <v>1087</v>
      </c>
      <c r="S359" s="0" t="s">
        <v>544</v>
      </c>
      <c r="U359" s="24" t="n">
        <v>4</v>
      </c>
    </row>
    <row r="360" customFormat="false" ht="12.75" hidden="false" customHeight="false" outlineLevel="0" collapsed="false">
      <c r="A360" s="15" t="n">
        <v>700</v>
      </c>
      <c r="B360" s="15" t="s">
        <v>600</v>
      </c>
      <c r="C360" s="15" t="s">
        <v>450</v>
      </c>
      <c r="D360" s="15" t="s">
        <v>1092</v>
      </c>
      <c r="E360" s="15" t="s">
        <v>555</v>
      </c>
      <c r="F360" s="15"/>
      <c r="G360" s="10" t="n">
        <v>2</v>
      </c>
      <c r="H360" s="21" t="n">
        <v>46036.4418287037</v>
      </c>
      <c r="I360" s="15" t="s">
        <v>1378</v>
      </c>
      <c r="J360" s="15" t="s">
        <v>1378</v>
      </c>
      <c r="K360" s="15"/>
      <c r="L360" s="10" t="n">
        <f aca="false">COUNTIF($E$2:E360,E360)</f>
        <v>15</v>
      </c>
      <c r="M360" s="10" t="e">
        <f aca="false">ifs(L360=1, L360&amp;"-"&amp; COUNTIFS($L$2:L360,1))</f>
        <v>#NAME?</v>
      </c>
      <c r="N360" s="15" t="s">
        <v>603</v>
      </c>
      <c r="O360" s="10"/>
      <c r="P360" s="22" t="n">
        <f aca="false">COUNTIFS(C:C,C360,N:N,"Đã xác nhận")/COUNTIFS(C:C,C360)</f>
        <v>0.741935483870968</v>
      </c>
      <c r="Q360" s="22"/>
      <c r="R360" s="0" t="s">
        <v>1092</v>
      </c>
      <c r="S360" s="0" t="s">
        <v>556</v>
      </c>
      <c r="U360" s="24" t="n">
        <v>2</v>
      </c>
    </row>
    <row r="361" customFormat="false" ht="12.75" hidden="false" customHeight="false" outlineLevel="0" collapsed="false">
      <c r="A361" s="15" t="n">
        <v>701</v>
      </c>
      <c r="B361" s="15" t="s">
        <v>600</v>
      </c>
      <c r="C361" s="15" t="s">
        <v>450</v>
      </c>
      <c r="D361" s="15" t="s">
        <v>1092</v>
      </c>
      <c r="E361" s="15" t="s">
        <v>567</v>
      </c>
      <c r="F361" s="15"/>
      <c r="G361" s="10" t="n">
        <v>1</v>
      </c>
      <c r="H361" s="21" t="n">
        <v>46036.4416435185</v>
      </c>
      <c r="I361" s="15" t="s">
        <v>1379</v>
      </c>
      <c r="J361" s="15" t="s">
        <v>1379</v>
      </c>
      <c r="L361" s="10" t="n">
        <f aca="false">COUNTIF($E$2:E361,E361)</f>
        <v>15</v>
      </c>
      <c r="M361" s="10" t="e">
        <f aca="false">ifs(L361=1, L361&amp;"-"&amp; COUNTIFS($L$2:L361,1))</f>
        <v>#NAME?</v>
      </c>
      <c r="N361" s="15" t="s">
        <v>603</v>
      </c>
      <c r="O361" s="10"/>
      <c r="P361" s="22" t="n">
        <f aca="false">COUNTIFS(C:C,C361,N:N,"Đã xác nhận")/COUNTIFS(C:C,C361)</f>
        <v>0.741935483870968</v>
      </c>
      <c r="Q361" s="22"/>
      <c r="R361" s="0" t="s">
        <v>1092</v>
      </c>
      <c r="S361" s="0" t="s">
        <v>568</v>
      </c>
      <c r="U361" s="24" t="n">
        <v>1</v>
      </c>
    </row>
    <row r="362" customFormat="false" ht="12.75" hidden="false" customHeight="false" outlineLevel="0" collapsed="false">
      <c r="A362" s="15" t="s">
        <v>1380</v>
      </c>
      <c r="B362" s="15" t="s">
        <v>1103</v>
      </c>
      <c r="C362" s="15" t="s">
        <v>453</v>
      </c>
      <c r="D362" s="15" t="s">
        <v>1381</v>
      </c>
      <c r="E362" s="15" t="s">
        <v>35</v>
      </c>
      <c r="G362" s="10" t="n">
        <v>1</v>
      </c>
      <c r="H362" s="21" t="n">
        <v>46048.6586689815</v>
      </c>
      <c r="I362" s="15" t="s">
        <v>1382</v>
      </c>
      <c r="J362" s="15" t="s">
        <v>1382</v>
      </c>
      <c r="L362" s="10" t="n">
        <f aca="false">COUNTIF($E$2:E362,E362)</f>
        <v>1</v>
      </c>
      <c r="M362" s="10" t="e">
        <f aca="false">ifs(L362=1, L362&amp;"-"&amp; COUNTIFS($L$2:L362,1))</f>
        <v>#NAME?</v>
      </c>
      <c r="N362" s="15" t="s">
        <v>603</v>
      </c>
      <c r="O362" s="10"/>
      <c r="P362" s="22" t="n">
        <f aca="false">COUNTIFS(C:C,C362,N:N,"Đã xác nhận")/COUNTIFS(C:C,C362)</f>
        <v>1</v>
      </c>
      <c r="Q362" s="22"/>
      <c r="R362" s="0" t="s">
        <v>1383</v>
      </c>
      <c r="S362" s="0" t="s">
        <v>552</v>
      </c>
      <c r="U362" s="24" t="n">
        <v>1</v>
      </c>
    </row>
    <row r="363" customFormat="false" ht="12.75" hidden="false" customHeight="false" outlineLevel="0" collapsed="false">
      <c r="A363" s="15" t="s">
        <v>1384</v>
      </c>
      <c r="B363" s="15" t="s">
        <v>1103</v>
      </c>
      <c r="C363" s="15" t="s">
        <v>453</v>
      </c>
      <c r="D363" s="15" t="s">
        <v>1385</v>
      </c>
      <c r="E363" s="15" t="s">
        <v>35</v>
      </c>
      <c r="G363" s="10" t="n">
        <v>1</v>
      </c>
      <c r="H363" s="21" t="n">
        <v>46048.6586805556</v>
      </c>
      <c r="I363" s="15" t="s">
        <v>1386</v>
      </c>
      <c r="J363" s="15" t="s">
        <v>1386</v>
      </c>
      <c r="L363" s="10" t="n">
        <f aca="false">COUNTIF($E$2:E363,E363)</f>
        <v>2</v>
      </c>
      <c r="M363" s="10" t="e">
        <f aca="false">ifs(L363=1, L363&amp;"-"&amp; COUNTIFS($L$2:L363,1))</f>
        <v>#NAME?</v>
      </c>
      <c r="N363" s="15" t="s">
        <v>603</v>
      </c>
      <c r="O363" s="10"/>
      <c r="P363" s="22" t="n">
        <f aca="false">COUNTIFS(C:C,C363,N:N,"Đã xác nhận")/COUNTIFS(C:C,C363)</f>
        <v>1</v>
      </c>
      <c r="Q363" s="22"/>
      <c r="R363" s="0" t="s">
        <v>1387</v>
      </c>
      <c r="S363" s="0" t="s">
        <v>552</v>
      </c>
      <c r="U363" s="24" t="n">
        <v>1</v>
      </c>
    </row>
    <row r="364" customFormat="false" ht="12.75" hidden="false" customHeight="false" outlineLevel="0" collapsed="false">
      <c r="A364" s="15" t="s">
        <v>1388</v>
      </c>
      <c r="B364" s="15" t="s">
        <v>1103</v>
      </c>
      <c r="C364" s="15" t="s">
        <v>453</v>
      </c>
      <c r="D364" s="15" t="s">
        <v>1262</v>
      </c>
      <c r="E364" s="15" t="s">
        <v>47</v>
      </c>
      <c r="G364" s="10" t="n">
        <v>1</v>
      </c>
      <c r="H364" s="21" t="n">
        <v>46048.6587384259</v>
      </c>
      <c r="I364" s="15" t="s">
        <v>1389</v>
      </c>
      <c r="J364" s="15" t="s">
        <v>1389</v>
      </c>
      <c r="L364" s="10" t="n">
        <f aca="false">COUNTIF($E$2:E364,E364)</f>
        <v>22</v>
      </c>
      <c r="M364" s="10" t="e">
        <f aca="false">ifs(L364=1, L364&amp;"-"&amp; COUNTIFS($L$2:L364,1))</f>
        <v>#NAME?</v>
      </c>
      <c r="N364" s="15" t="s">
        <v>603</v>
      </c>
      <c r="O364" s="10"/>
      <c r="P364" s="22" t="n">
        <f aca="false">COUNTIFS(C:C,C364,N:N,"Đã xác nhận")/COUNTIFS(C:C,C364)</f>
        <v>1</v>
      </c>
      <c r="Q364" s="22"/>
      <c r="R364" s="0" t="s">
        <v>1266</v>
      </c>
      <c r="S364" s="0" t="s">
        <v>549</v>
      </c>
      <c r="U364" s="24" t="n">
        <v>1</v>
      </c>
    </row>
    <row r="365" customFormat="false" ht="12.75" hidden="false" customHeight="false" outlineLevel="0" collapsed="false">
      <c r="A365" s="15" t="s">
        <v>1390</v>
      </c>
      <c r="B365" s="15" t="s">
        <v>1103</v>
      </c>
      <c r="C365" s="15" t="s">
        <v>453</v>
      </c>
      <c r="D365" s="15" t="s">
        <v>1391</v>
      </c>
      <c r="E365" s="15" t="s">
        <v>81</v>
      </c>
      <c r="G365" s="10" t="n">
        <v>1</v>
      </c>
      <c r="H365" s="21" t="n">
        <v>46048.6594212963</v>
      </c>
      <c r="I365" s="15" t="s">
        <v>1392</v>
      </c>
      <c r="J365" s="15" t="s">
        <v>1392</v>
      </c>
      <c r="L365" s="10" t="n">
        <f aca="false">COUNTIF($E$2:E365,E365)</f>
        <v>90</v>
      </c>
      <c r="M365" s="10" t="e">
        <f aca="false">ifs(L365=1, L365&amp;"-"&amp; COUNTIFS($L$2:L365,1))</f>
        <v>#NAME?</v>
      </c>
      <c r="N365" s="15" t="s">
        <v>603</v>
      </c>
      <c r="O365" s="10"/>
      <c r="P365" s="22" t="n">
        <f aca="false">COUNTIFS(C:C,C365,N:N,"Đã xác nhận")/COUNTIFS(C:C,C365)</f>
        <v>1</v>
      </c>
      <c r="Q365" s="22"/>
      <c r="R365" s="0" t="s">
        <v>1393</v>
      </c>
      <c r="S365" s="0" t="s">
        <v>534</v>
      </c>
      <c r="U365" s="24" t="n">
        <v>1</v>
      </c>
    </row>
    <row r="366" customFormat="false" ht="12.75" hidden="false" customHeight="false" outlineLevel="0" collapsed="false">
      <c r="A366" s="15" t="s">
        <v>1394</v>
      </c>
      <c r="B366" s="15" t="s">
        <v>1103</v>
      </c>
      <c r="C366" s="15" t="s">
        <v>453</v>
      </c>
      <c r="D366" s="15" t="s">
        <v>1128</v>
      </c>
      <c r="E366" s="15" t="s">
        <v>55</v>
      </c>
      <c r="G366" s="10" t="n">
        <v>1</v>
      </c>
      <c r="H366" s="21" t="n">
        <v>46048.6592592593</v>
      </c>
      <c r="I366" s="15" t="s">
        <v>1395</v>
      </c>
      <c r="J366" s="15" t="s">
        <v>1395</v>
      </c>
      <c r="L366" s="10" t="n">
        <f aca="false">COUNTIF($E$2:E366,E366)</f>
        <v>39</v>
      </c>
      <c r="M366" s="10" t="e">
        <f aca="false">ifs(L366=1, L366&amp;"-"&amp; COUNTIFS($L$2:L366,1))</f>
        <v>#NAME?</v>
      </c>
      <c r="N366" s="15" t="s">
        <v>603</v>
      </c>
      <c r="O366" s="10"/>
      <c r="P366" s="22" t="n">
        <f aca="false">COUNTIFS(C:C,C366,N:N,"Đã xác nhận")/COUNTIFS(C:C,C366)</f>
        <v>1</v>
      </c>
      <c r="Q366" s="22"/>
      <c r="R366" s="0" t="s">
        <v>1130</v>
      </c>
      <c r="S366" s="0" t="s">
        <v>539</v>
      </c>
      <c r="U366" s="24" t="n">
        <v>1</v>
      </c>
    </row>
    <row r="367" customFormat="false" ht="12.75" hidden="false" customHeight="false" outlineLevel="0" collapsed="false">
      <c r="A367" s="15" t="s">
        <v>1396</v>
      </c>
      <c r="B367" s="15" t="s">
        <v>1103</v>
      </c>
      <c r="C367" s="15" t="s">
        <v>1277</v>
      </c>
      <c r="D367" s="15" t="s">
        <v>1397</v>
      </c>
      <c r="E367" s="15" t="s">
        <v>47</v>
      </c>
      <c r="G367" s="10" t="n">
        <v>2</v>
      </c>
      <c r="H367" s="21" t="n">
        <v>46044.606875</v>
      </c>
      <c r="I367" s="15" t="s">
        <v>1398</v>
      </c>
      <c r="J367" s="15" t="s">
        <v>1398</v>
      </c>
      <c r="K367" s="15"/>
      <c r="L367" s="10" t="n">
        <f aca="false">COUNTIF($E$2:E367,E367)</f>
        <v>23</v>
      </c>
      <c r="M367" s="10" t="e">
        <f aca="false">ifs(L367=1, L367&amp;"-"&amp; COUNTIFS($L$2:L367,1))</f>
        <v>#NAME?</v>
      </c>
      <c r="N367" s="15" t="s">
        <v>603</v>
      </c>
      <c r="O367" s="10"/>
      <c r="P367" s="22" t="n">
        <f aca="false">COUNTIFS(C:C,C367,N:N,"Đã xác nhận")/COUNTIFS(C:C,C367)</f>
        <v>1</v>
      </c>
      <c r="Q367" s="22"/>
      <c r="R367" s="0" t="s">
        <v>1399</v>
      </c>
      <c r="S367" s="0" t="s">
        <v>549</v>
      </c>
      <c r="U367" s="24" t="n">
        <v>2</v>
      </c>
    </row>
    <row r="368" customFormat="false" ht="12.75" hidden="false" customHeight="false" outlineLevel="0" collapsed="false">
      <c r="A368" s="15" t="s">
        <v>1400</v>
      </c>
      <c r="B368" s="15" t="s">
        <v>1103</v>
      </c>
      <c r="C368" s="15" t="s">
        <v>1277</v>
      </c>
      <c r="D368" s="15" t="s">
        <v>1401</v>
      </c>
      <c r="E368" s="15" t="s">
        <v>47</v>
      </c>
      <c r="G368" s="10" t="n">
        <v>1</v>
      </c>
      <c r="H368" s="21" t="n">
        <v>46044.6068518519</v>
      </c>
      <c r="I368" s="15" t="s">
        <v>1402</v>
      </c>
      <c r="J368" s="15" t="s">
        <v>1402</v>
      </c>
      <c r="K368" s="15"/>
      <c r="L368" s="10" t="n">
        <f aca="false">COUNTIF($E$2:E368,E368)</f>
        <v>24</v>
      </c>
      <c r="M368" s="10" t="e">
        <f aca="false">ifs(L368=1, L368&amp;"-"&amp; COUNTIFS($L$2:L368,1))</f>
        <v>#NAME?</v>
      </c>
      <c r="N368" s="15" t="s">
        <v>603</v>
      </c>
      <c r="O368" s="10"/>
      <c r="P368" s="22" t="n">
        <f aca="false">COUNTIFS(C:C,C368,N:N,"Đã xác nhận")/COUNTIFS(C:C,C368)</f>
        <v>1</v>
      </c>
      <c r="Q368" s="22"/>
      <c r="R368" s="0" t="s">
        <v>1403</v>
      </c>
      <c r="S368" s="0" t="s">
        <v>549</v>
      </c>
      <c r="U368" s="24" t="n">
        <v>1</v>
      </c>
    </row>
    <row r="369" customFormat="false" ht="12.75" hidden="false" customHeight="false" outlineLevel="0" collapsed="false">
      <c r="A369" s="15" t="s">
        <v>1404</v>
      </c>
      <c r="B369" s="15" t="s">
        <v>1103</v>
      </c>
      <c r="C369" s="15" t="s">
        <v>1277</v>
      </c>
      <c r="D369" s="15" t="s">
        <v>1115</v>
      </c>
      <c r="E369" s="15" t="s">
        <v>47</v>
      </c>
      <c r="G369" s="10" t="n">
        <v>1</v>
      </c>
      <c r="H369" s="21" t="n">
        <v>46044.6068518519</v>
      </c>
      <c r="I369" s="15" t="s">
        <v>1405</v>
      </c>
      <c r="J369" s="15" t="s">
        <v>1405</v>
      </c>
      <c r="L369" s="10" t="n">
        <f aca="false">COUNTIF($E$2:E369,E369)</f>
        <v>25</v>
      </c>
      <c r="M369" s="10" t="e">
        <f aca="false">ifs(L369=1, L369&amp;"-"&amp; COUNTIFS($L$2:L369,1))</f>
        <v>#NAME?</v>
      </c>
      <c r="N369" s="15" t="s">
        <v>603</v>
      </c>
      <c r="O369" s="10"/>
      <c r="P369" s="22" t="n">
        <f aca="false">COUNTIFS(C:C,C369,N:N,"Đã xác nhận")/COUNTIFS(C:C,C369)</f>
        <v>1</v>
      </c>
      <c r="Q369" s="22"/>
      <c r="R369" s="0" t="s">
        <v>1119</v>
      </c>
      <c r="S369" s="0" t="s">
        <v>549</v>
      </c>
      <c r="U369" s="24" t="n">
        <v>1</v>
      </c>
    </row>
    <row r="370" customFormat="false" ht="12.75" hidden="false" customHeight="false" outlineLevel="0" collapsed="false">
      <c r="A370" s="15" t="s">
        <v>1406</v>
      </c>
      <c r="B370" s="15" t="s">
        <v>1103</v>
      </c>
      <c r="C370" s="15" t="s">
        <v>1277</v>
      </c>
      <c r="D370" s="15" t="s">
        <v>1407</v>
      </c>
      <c r="E370" s="15" t="s">
        <v>47</v>
      </c>
      <c r="G370" s="10" t="n">
        <v>1</v>
      </c>
      <c r="H370" s="21" t="n">
        <v>46044.606875</v>
      </c>
      <c r="I370" s="15" t="s">
        <v>1408</v>
      </c>
      <c r="J370" s="15" t="s">
        <v>1408</v>
      </c>
      <c r="K370" s="15"/>
      <c r="L370" s="10" t="n">
        <f aca="false">COUNTIF($E$2:E370,E370)</f>
        <v>26</v>
      </c>
      <c r="M370" s="10" t="e">
        <f aca="false">ifs(L370=1, L370&amp;"-"&amp; COUNTIFS($L$2:L370,1))</f>
        <v>#NAME?</v>
      </c>
      <c r="N370" s="15" t="s">
        <v>603</v>
      </c>
      <c r="O370" s="10"/>
      <c r="P370" s="22" t="n">
        <f aca="false">COUNTIFS(C:C,C370,N:N,"Đã xác nhận")/COUNTIFS(C:C,C370)</f>
        <v>1</v>
      </c>
      <c r="Q370" s="22"/>
      <c r="R370" s="0" t="s">
        <v>1409</v>
      </c>
      <c r="S370" s="0" t="s">
        <v>549</v>
      </c>
      <c r="U370" s="24" t="n">
        <v>1</v>
      </c>
    </row>
    <row r="371" customFormat="false" ht="12.75" hidden="false" customHeight="false" outlineLevel="0" collapsed="false">
      <c r="A371" s="15" t="s">
        <v>1410</v>
      </c>
      <c r="B371" s="15" t="s">
        <v>1103</v>
      </c>
      <c r="C371" s="15" t="s">
        <v>1277</v>
      </c>
      <c r="D371" s="15" t="s">
        <v>1183</v>
      </c>
      <c r="E371" s="15" t="s">
        <v>47</v>
      </c>
      <c r="G371" s="10" t="n">
        <v>1</v>
      </c>
      <c r="H371" s="21" t="n">
        <v>46044.6068634259</v>
      </c>
      <c r="I371" s="15" t="s">
        <v>1411</v>
      </c>
      <c r="J371" s="15" t="s">
        <v>1411</v>
      </c>
      <c r="K371" s="15"/>
      <c r="L371" s="10" t="n">
        <f aca="false">COUNTIF($E$2:E371,E371)</f>
        <v>27</v>
      </c>
      <c r="M371" s="10" t="e">
        <f aca="false">ifs(L371=1, L371&amp;"-"&amp; COUNTIFS($L$2:L371,1))</f>
        <v>#NAME?</v>
      </c>
      <c r="N371" s="15" t="s">
        <v>603</v>
      </c>
      <c r="O371" s="10"/>
      <c r="P371" s="22" t="n">
        <f aca="false">COUNTIFS(C:C,C371,N:N,"Đã xác nhận")/COUNTIFS(C:C,C371)</f>
        <v>1</v>
      </c>
      <c r="Q371" s="22"/>
      <c r="R371" s="0" t="s">
        <v>1185</v>
      </c>
      <c r="S371" s="0" t="s">
        <v>549</v>
      </c>
      <c r="U371" s="24" t="n">
        <v>1</v>
      </c>
    </row>
    <row r="372" customFormat="false" ht="12.75" hidden="false" customHeight="false" outlineLevel="0" collapsed="false">
      <c r="A372" s="15" t="s">
        <v>1412</v>
      </c>
      <c r="B372" s="15" t="s">
        <v>1103</v>
      </c>
      <c r="C372" s="15" t="s">
        <v>1277</v>
      </c>
      <c r="D372" s="15" t="s">
        <v>1413</v>
      </c>
      <c r="E372" s="15" t="s">
        <v>39</v>
      </c>
      <c r="G372" s="10" t="n">
        <v>1</v>
      </c>
      <c r="H372" s="21" t="n">
        <v>46044.6068055556</v>
      </c>
      <c r="I372" s="15" t="s">
        <v>1414</v>
      </c>
      <c r="J372" s="15" t="s">
        <v>1414</v>
      </c>
      <c r="K372" s="15"/>
      <c r="L372" s="10" t="n">
        <f aca="false">COUNTIF($E$2:E372,E372)</f>
        <v>8</v>
      </c>
      <c r="M372" s="10" t="e">
        <f aca="false">ifs(L372=1, L372&amp;"-"&amp; COUNTIFS($L$2:L372,1))</f>
        <v>#NAME?</v>
      </c>
      <c r="N372" s="15" t="s">
        <v>603</v>
      </c>
      <c r="O372" s="10"/>
      <c r="P372" s="22" t="n">
        <f aca="false">COUNTIFS(C:C,C372,N:N,"Đã xác nhận")/COUNTIFS(C:C,C372)</f>
        <v>1</v>
      </c>
      <c r="Q372" s="22"/>
      <c r="R372" s="0" t="s">
        <v>1415</v>
      </c>
      <c r="S372" s="0" t="s">
        <v>550</v>
      </c>
      <c r="U372" s="24" t="n">
        <v>1</v>
      </c>
    </row>
    <row r="373" customFormat="false" ht="12.75" hidden="false" customHeight="false" outlineLevel="0" collapsed="false">
      <c r="A373" s="15" t="s">
        <v>1416</v>
      </c>
      <c r="B373" s="15" t="s">
        <v>1103</v>
      </c>
      <c r="C373" s="15" t="s">
        <v>1277</v>
      </c>
      <c r="D373" s="15" t="s">
        <v>1417</v>
      </c>
      <c r="E373" s="15" t="s">
        <v>39</v>
      </c>
      <c r="G373" s="10" t="n">
        <v>1</v>
      </c>
      <c r="H373" s="21" t="n">
        <v>46044.6067939815</v>
      </c>
      <c r="I373" s="15" t="s">
        <v>1418</v>
      </c>
      <c r="J373" s="15" t="s">
        <v>1418</v>
      </c>
      <c r="K373" s="15"/>
      <c r="L373" s="10" t="n">
        <f aca="false">COUNTIF($E$2:E373,E373)</f>
        <v>9</v>
      </c>
      <c r="M373" s="10" t="e">
        <f aca="false">ifs(L373=1, L373&amp;"-"&amp; COUNTIFS($L$2:L373,1))</f>
        <v>#NAME?</v>
      </c>
      <c r="N373" s="15" t="s">
        <v>603</v>
      </c>
      <c r="O373" s="10"/>
      <c r="P373" s="22" t="n">
        <f aca="false">COUNTIFS(C:C,C373,N:N,"Đã xác nhận")/COUNTIFS(C:C,C373)</f>
        <v>1</v>
      </c>
      <c r="Q373" s="22"/>
      <c r="R373" s="0" t="s">
        <v>1419</v>
      </c>
      <c r="S373" s="0" t="s">
        <v>550</v>
      </c>
      <c r="U373" s="24" t="n">
        <v>1</v>
      </c>
    </row>
    <row r="374" customFormat="false" ht="12.75" hidden="false" customHeight="false" outlineLevel="0" collapsed="false">
      <c r="A374" s="15" t="s">
        <v>1420</v>
      </c>
      <c r="B374" s="15" t="s">
        <v>1103</v>
      </c>
      <c r="C374" s="15" t="s">
        <v>1277</v>
      </c>
      <c r="D374" s="15" t="s">
        <v>1421</v>
      </c>
      <c r="E374" s="15" t="s">
        <v>55</v>
      </c>
      <c r="G374" s="10" t="n">
        <v>1</v>
      </c>
      <c r="H374" s="21" t="n">
        <v>46044.6069212963</v>
      </c>
      <c r="I374" s="15" t="s">
        <v>1422</v>
      </c>
      <c r="J374" s="15" t="s">
        <v>1422</v>
      </c>
      <c r="K374" s="15"/>
      <c r="L374" s="10" t="n">
        <f aca="false">COUNTIF($E$2:E374,E374)</f>
        <v>40</v>
      </c>
      <c r="M374" s="10" t="e">
        <f aca="false">ifs(L374=1, L374&amp;"-"&amp; COUNTIFS($L$2:L374,1))</f>
        <v>#NAME?</v>
      </c>
      <c r="N374" s="15" t="s">
        <v>603</v>
      </c>
      <c r="O374" s="10"/>
      <c r="P374" s="22" t="n">
        <f aca="false">COUNTIFS(C:C,C374,N:N,"Đã xác nhận")/COUNTIFS(C:C,C374)</f>
        <v>1</v>
      </c>
      <c r="Q374" s="22"/>
      <c r="R374" s="0" t="s">
        <v>1423</v>
      </c>
      <c r="S374" s="0" t="s">
        <v>539</v>
      </c>
      <c r="U374" s="24" t="n">
        <v>1</v>
      </c>
    </row>
    <row r="375" customFormat="false" ht="12.75" hidden="false" customHeight="false" outlineLevel="0" collapsed="false">
      <c r="A375" s="15" t="s">
        <v>1424</v>
      </c>
      <c r="B375" s="15" t="s">
        <v>1103</v>
      </c>
      <c r="C375" s="15" t="s">
        <v>1277</v>
      </c>
      <c r="D375" s="15" t="s">
        <v>1425</v>
      </c>
      <c r="E375" s="15" t="s">
        <v>55</v>
      </c>
      <c r="G375" s="10" t="n">
        <v>1</v>
      </c>
      <c r="H375" s="21" t="n">
        <v>46044.6069328704</v>
      </c>
      <c r="I375" s="15" t="s">
        <v>1426</v>
      </c>
      <c r="J375" s="15" t="s">
        <v>1426</v>
      </c>
      <c r="K375" s="15"/>
      <c r="L375" s="10" t="n">
        <f aca="false">COUNTIF($E$2:E375,E375)</f>
        <v>41</v>
      </c>
      <c r="M375" s="10" t="e">
        <f aca="false">ifs(L375=1, L375&amp;"-"&amp; COUNTIFS($L$2:L375,1))</f>
        <v>#NAME?</v>
      </c>
      <c r="N375" s="15" t="s">
        <v>603</v>
      </c>
      <c r="O375" s="10"/>
      <c r="P375" s="22" t="n">
        <f aca="false">COUNTIFS(C:C,C375,N:N,"Đã xác nhận")/COUNTIFS(C:C,C375)</f>
        <v>1</v>
      </c>
      <c r="Q375" s="22"/>
      <c r="R375" s="0" t="s">
        <v>1427</v>
      </c>
      <c r="S375" s="0" t="s">
        <v>539</v>
      </c>
      <c r="U375" s="24" t="n">
        <v>1</v>
      </c>
    </row>
    <row r="376" customFormat="false" ht="12.75" hidden="false" customHeight="false" outlineLevel="0" collapsed="false">
      <c r="A376" s="15" t="s">
        <v>1428</v>
      </c>
      <c r="B376" s="15" t="s">
        <v>1103</v>
      </c>
      <c r="C376" s="15" t="s">
        <v>1277</v>
      </c>
      <c r="D376" s="15" t="s">
        <v>1421</v>
      </c>
      <c r="E376" s="15" t="s">
        <v>55</v>
      </c>
      <c r="G376" s="10" t="n">
        <v>2</v>
      </c>
      <c r="H376" s="21" t="n">
        <v>46044.6069328704</v>
      </c>
      <c r="I376" s="15" t="s">
        <v>1429</v>
      </c>
      <c r="J376" s="15" t="s">
        <v>1429</v>
      </c>
      <c r="K376" s="15"/>
      <c r="L376" s="10" t="n">
        <f aca="false">COUNTIF($E$2:E376,E376)</f>
        <v>42</v>
      </c>
      <c r="M376" s="10" t="e">
        <f aca="false">ifs(L376=1, L376&amp;"-"&amp; COUNTIFS($L$2:L376,1))</f>
        <v>#NAME?</v>
      </c>
      <c r="N376" s="15" t="s">
        <v>603</v>
      </c>
      <c r="O376" s="10"/>
      <c r="P376" s="22" t="n">
        <f aca="false">COUNTIFS(C:C,C376,N:N,"Đã xác nhận")/COUNTIFS(C:C,C376)</f>
        <v>1</v>
      </c>
      <c r="Q376" s="22"/>
      <c r="R376" s="0" t="s">
        <v>1423</v>
      </c>
      <c r="S376" s="0" t="s">
        <v>539</v>
      </c>
      <c r="U376" s="24" t="n">
        <v>2</v>
      </c>
    </row>
    <row r="377" customFormat="false" ht="12.75" hidden="false" customHeight="false" outlineLevel="0" collapsed="false">
      <c r="A377" s="15" t="s">
        <v>1430</v>
      </c>
      <c r="B377" s="15" t="s">
        <v>1103</v>
      </c>
      <c r="C377" s="15" t="s">
        <v>1277</v>
      </c>
      <c r="D377" s="15" t="s">
        <v>1431</v>
      </c>
      <c r="E377" s="15" t="s">
        <v>81</v>
      </c>
      <c r="G377" s="10" t="n">
        <v>2</v>
      </c>
      <c r="H377" s="21" t="n">
        <v>46044.6071296296</v>
      </c>
      <c r="I377" s="15" t="s">
        <v>1432</v>
      </c>
      <c r="J377" s="15" t="s">
        <v>1432</v>
      </c>
      <c r="K377" s="15"/>
      <c r="L377" s="10" t="n">
        <f aca="false">COUNTIF($E$2:E377,E377)</f>
        <v>91</v>
      </c>
      <c r="M377" s="10" t="e">
        <f aca="false">ifs(L377=1, L377&amp;"-"&amp; COUNTIFS($L$2:L377,1))</f>
        <v>#NAME?</v>
      </c>
      <c r="N377" s="15" t="s">
        <v>603</v>
      </c>
      <c r="O377" s="10"/>
      <c r="P377" s="22" t="n">
        <f aca="false">COUNTIFS(C:C,C377,N:N,"Đã xác nhận")/COUNTIFS(C:C,C377)</f>
        <v>1</v>
      </c>
      <c r="Q377" s="22"/>
      <c r="R377" s="0" t="s">
        <v>1433</v>
      </c>
      <c r="S377" s="0" t="s">
        <v>534</v>
      </c>
      <c r="U377" s="24" t="n">
        <v>2</v>
      </c>
    </row>
    <row r="378" customFormat="false" ht="12.75" hidden="false" customHeight="false" outlineLevel="0" collapsed="false">
      <c r="A378" s="15" t="s">
        <v>1434</v>
      </c>
      <c r="B378" s="15" t="s">
        <v>1103</v>
      </c>
      <c r="C378" s="15" t="s">
        <v>1277</v>
      </c>
      <c r="D378" s="15" t="s">
        <v>1278</v>
      </c>
      <c r="E378" s="15" t="s">
        <v>81</v>
      </c>
      <c r="G378" s="10" t="n">
        <v>1</v>
      </c>
      <c r="H378" s="21" t="n">
        <v>46044.6070717593</v>
      </c>
      <c r="I378" s="15" t="s">
        <v>1435</v>
      </c>
      <c r="J378" s="15" t="s">
        <v>1435</v>
      </c>
      <c r="K378" s="15"/>
      <c r="L378" s="10" t="n">
        <f aca="false">COUNTIF($E$2:E378,E378)</f>
        <v>92</v>
      </c>
      <c r="M378" s="10" t="e">
        <f aca="false">ifs(L378=1, L378&amp;"-"&amp; COUNTIFS($L$2:L378,1))</f>
        <v>#NAME?</v>
      </c>
      <c r="N378" s="15" t="s">
        <v>603</v>
      </c>
      <c r="O378" s="10"/>
      <c r="P378" s="22" t="n">
        <f aca="false">COUNTIFS(C:C,C378,N:N,"Đã xác nhận")/COUNTIFS(C:C,C378)</f>
        <v>1</v>
      </c>
      <c r="Q378" s="22"/>
      <c r="R378" s="0" t="s">
        <v>1280</v>
      </c>
      <c r="S378" s="0" t="s">
        <v>534</v>
      </c>
      <c r="U378" s="24" t="n">
        <v>1</v>
      </c>
    </row>
    <row r="379" customFormat="false" ht="12.75" hidden="false" customHeight="false" outlineLevel="0" collapsed="false">
      <c r="A379" s="15" t="s">
        <v>1436</v>
      </c>
      <c r="B379" s="15" t="s">
        <v>1103</v>
      </c>
      <c r="C379" s="15" t="s">
        <v>1277</v>
      </c>
      <c r="D379" s="15" t="s">
        <v>1417</v>
      </c>
      <c r="E379" s="15" t="s">
        <v>81</v>
      </c>
      <c r="G379" s="10" t="n">
        <v>1</v>
      </c>
      <c r="H379" s="21" t="n">
        <v>46044.6070717593</v>
      </c>
      <c r="I379" s="15" t="s">
        <v>1437</v>
      </c>
      <c r="J379" s="15" t="s">
        <v>1437</v>
      </c>
      <c r="K379" s="15"/>
      <c r="L379" s="10" t="n">
        <f aca="false">COUNTIF($E$2:E379,E379)</f>
        <v>93</v>
      </c>
      <c r="M379" s="10" t="e">
        <f aca="false">ifs(L379=1, L379&amp;"-"&amp; COUNTIFS($L$2:L379,1))</f>
        <v>#NAME?</v>
      </c>
      <c r="N379" s="15" t="s">
        <v>603</v>
      </c>
      <c r="O379" s="10"/>
      <c r="P379" s="22" t="n">
        <f aca="false">COUNTIFS(C:C,C379,N:N,"Đã xác nhận")/COUNTIFS(C:C,C379)</f>
        <v>1</v>
      </c>
      <c r="Q379" s="22"/>
      <c r="R379" s="0" t="s">
        <v>1419</v>
      </c>
      <c r="S379" s="0" t="s">
        <v>534</v>
      </c>
      <c r="U379" s="24" t="n">
        <v>1</v>
      </c>
    </row>
    <row r="380" customFormat="false" ht="12.75" hidden="false" customHeight="false" outlineLevel="0" collapsed="false">
      <c r="A380" s="15" t="s">
        <v>1438</v>
      </c>
      <c r="B380" s="15" t="s">
        <v>1103</v>
      </c>
      <c r="C380" s="15" t="s">
        <v>1277</v>
      </c>
      <c r="D380" s="15" t="s">
        <v>1413</v>
      </c>
      <c r="E380" s="15" t="s">
        <v>81</v>
      </c>
      <c r="G380" s="10" t="n">
        <v>1</v>
      </c>
      <c r="H380" s="21" t="n">
        <v>46044.6071180556</v>
      </c>
      <c r="I380" s="15" t="s">
        <v>1439</v>
      </c>
      <c r="J380" s="15" t="s">
        <v>1439</v>
      </c>
      <c r="K380" s="15"/>
      <c r="L380" s="10" t="n">
        <f aca="false">COUNTIF($E$2:E380,E380)</f>
        <v>94</v>
      </c>
      <c r="M380" s="10" t="e">
        <f aca="false">ifs(L380=1, L380&amp;"-"&amp; COUNTIFS($L$2:L380,1))</f>
        <v>#NAME?</v>
      </c>
      <c r="N380" s="15" t="s">
        <v>603</v>
      </c>
      <c r="O380" s="10"/>
      <c r="P380" s="22" t="n">
        <f aca="false">COUNTIFS(C:C,C380,N:N,"Đã xác nhận")/COUNTIFS(C:C,C380)</f>
        <v>1</v>
      </c>
      <c r="Q380" s="22"/>
      <c r="R380" s="0" t="s">
        <v>1415</v>
      </c>
      <c r="S380" s="0" t="s">
        <v>534</v>
      </c>
      <c r="U380" s="24" t="n">
        <v>1</v>
      </c>
    </row>
    <row r="381" customFormat="false" ht="12.75" hidden="false" customHeight="false" outlineLevel="0" collapsed="false">
      <c r="A381" s="15" t="s">
        <v>1440</v>
      </c>
      <c r="B381" s="15" t="s">
        <v>1103</v>
      </c>
      <c r="C381" s="15" t="s">
        <v>1277</v>
      </c>
      <c r="D381" s="15" t="s">
        <v>1441</v>
      </c>
      <c r="E381" s="15" t="s">
        <v>81</v>
      </c>
      <c r="G381" s="10" t="n">
        <v>1</v>
      </c>
      <c r="H381" s="21" t="n">
        <v>46044.6071064815</v>
      </c>
      <c r="I381" s="15" t="s">
        <v>1442</v>
      </c>
      <c r="J381" s="15" t="s">
        <v>1442</v>
      </c>
      <c r="K381" s="15"/>
      <c r="L381" s="10" t="n">
        <f aca="false">COUNTIF($E$2:E381,E381)</f>
        <v>95</v>
      </c>
      <c r="M381" s="10" t="e">
        <f aca="false">ifs(L381=1, L381&amp;"-"&amp; COUNTIFS($L$2:L381,1))</f>
        <v>#NAME?</v>
      </c>
      <c r="N381" s="15" t="s">
        <v>603</v>
      </c>
      <c r="O381" s="10"/>
      <c r="P381" s="22" t="n">
        <f aca="false">COUNTIFS(C:C,C381,N:N,"Đã xác nhận")/COUNTIFS(C:C,C381)</f>
        <v>1</v>
      </c>
      <c r="Q381" s="22"/>
      <c r="R381" s="0" t="s">
        <v>1443</v>
      </c>
      <c r="S381" s="0" t="s">
        <v>534</v>
      </c>
      <c r="U381" s="24" t="n">
        <v>1</v>
      </c>
    </row>
    <row r="382" customFormat="false" ht="12.75" hidden="false" customHeight="false" outlineLevel="0" collapsed="false">
      <c r="A382" s="15" t="s">
        <v>1444</v>
      </c>
      <c r="B382" s="15" t="s">
        <v>1103</v>
      </c>
      <c r="C382" s="15" t="s">
        <v>1277</v>
      </c>
      <c r="D382" s="15" t="s">
        <v>1445</v>
      </c>
      <c r="E382" s="15" t="s">
        <v>81</v>
      </c>
      <c r="G382" s="10" t="n">
        <v>1</v>
      </c>
      <c r="H382" s="21" t="n">
        <v>46044.6070949074</v>
      </c>
      <c r="I382" s="15" t="s">
        <v>1446</v>
      </c>
      <c r="J382" s="15" t="s">
        <v>1446</v>
      </c>
      <c r="K382" s="15"/>
      <c r="L382" s="10" t="n">
        <f aca="false">COUNTIF($E$2:E382,E382)</f>
        <v>96</v>
      </c>
      <c r="M382" s="10" t="e">
        <f aca="false">ifs(L382=1, L382&amp;"-"&amp; COUNTIFS($L$2:L382,1))</f>
        <v>#NAME?</v>
      </c>
      <c r="N382" s="15" t="s">
        <v>603</v>
      </c>
      <c r="O382" s="10"/>
      <c r="P382" s="22" t="n">
        <f aca="false">COUNTIFS(C:C,C382,N:N,"Đã xác nhận")/COUNTIFS(C:C,C382)</f>
        <v>1</v>
      </c>
      <c r="Q382" s="22"/>
      <c r="R382" s="0" t="s">
        <v>1447</v>
      </c>
      <c r="S382" s="0" t="s">
        <v>534</v>
      </c>
      <c r="U382" s="24" t="n">
        <v>1</v>
      </c>
    </row>
    <row r="383" customFormat="false" ht="12.75" hidden="false" customHeight="false" outlineLevel="0" collapsed="false">
      <c r="A383" s="15" t="s">
        <v>1448</v>
      </c>
      <c r="B383" s="15" t="s">
        <v>1103</v>
      </c>
      <c r="C383" s="15" t="s">
        <v>1277</v>
      </c>
      <c r="D383" s="15" t="s">
        <v>1449</v>
      </c>
      <c r="E383" s="15" t="s">
        <v>81</v>
      </c>
      <c r="G383" s="10" t="n">
        <v>1</v>
      </c>
      <c r="H383" s="21" t="n">
        <v>46044.6070833333</v>
      </c>
      <c r="I383" s="15" t="s">
        <v>1450</v>
      </c>
      <c r="J383" s="15" t="s">
        <v>1450</v>
      </c>
      <c r="K383" s="15"/>
      <c r="L383" s="10" t="n">
        <f aca="false">COUNTIF($E$2:E383,E383)</f>
        <v>97</v>
      </c>
      <c r="M383" s="10" t="e">
        <f aca="false">ifs(L383=1, L383&amp;"-"&amp; COUNTIFS($L$2:L383,1))</f>
        <v>#NAME?</v>
      </c>
      <c r="N383" s="15" t="s">
        <v>603</v>
      </c>
      <c r="O383" s="10"/>
      <c r="P383" s="22" t="n">
        <f aca="false">COUNTIFS(C:C,C383,N:N,"Đã xác nhận")/COUNTIFS(C:C,C383)</f>
        <v>1</v>
      </c>
      <c r="Q383" s="22"/>
      <c r="R383" s="0" t="s">
        <v>1451</v>
      </c>
      <c r="S383" s="0" t="s">
        <v>534</v>
      </c>
      <c r="U383" s="24" t="n">
        <v>1</v>
      </c>
    </row>
    <row r="384" customFormat="false" ht="12.75" hidden="false" customHeight="false" outlineLevel="0" collapsed="false">
      <c r="A384" s="15" t="s">
        <v>1452</v>
      </c>
      <c r="B384" s="15" t="s">
        <v>1103</v>
      </c>
      <c r="C384" s="15" t="s">
        <v>1277</v>
      </c>
      <c r="D384" s="15" t="s">
        <v>1453</v>
      </c>
      <c r="E384" s="15" t="s">
        <v>81</v>
      </c>
      <c r="G384" s="10" t="n">
        <v>2</v>
      </c>
      <c r="H384" s="21" t="n">
        <v>46044.6070949074</v>
      </c>
      <c r="I384" s="15" t="s">
        <v>1454</v>
      </c>
      <c r="J384" s="15" t="s">
        <v>1454</v>
      </c>
      <c r="K384" s="15"/>
      <c r="L384" s="10" t="n">
        <f aca="false">COUNTIF($E$2:E384,E384)</f>
        <v>98</v>
      </c>
      <c r="M384" s="10" t="e">
        <f aca="false">ifs(L384=1, L384&amp;"-"&amp; COUNTIFS($L$2:L384,1))</f>
        <v>#NAME?</v>
      </c>
      <c r="N384" s="15" t="s">
        <v>603</v>
      </c>
      <c r="O384" s="10"/>
      <c r="P384" s="22" t="n">
        <f aca="false">COUNTIFS(C:C,C384,N:N,"Đã xác nhận")/COUNTIFS(C:C,C384)</f>
        <v>1</v>
      </c>
      <c r="Q384" s="22"/>
      <c r="R384" s="0" t="s">
        <v>1455</v>
      </c>
      <c r="S384" s="0" t="s">
        <v>534</v>
      </c>
      <c r="U384" s="24" t="n">
        <v>2</v>
      </c>
    </row>
    <row r="385" customFormat="false" ht="12.75" hidden="false" customHeight="false" outlineLevel="0" collapsed="false">
      <c r="A385" s="15" t="s">
        <v>1456</v>
      </c>
      <c r="B385" s="15" t="s">
        <v>1103</v>
      </c>
      <c r="C385" s="15" t="s">
        <v>1277</v>
      </c>
      <c r="D385" s="15" t="s">
        <v>1457</v>
      </c>
      <c r="E385" s="15" t="s">
        <v>17</v>
      </c>
      <c r="G385" s="10" t="n">
        <v>2</v>
      </c>
      <c r="H385" s="21" t="n">
        <v>46044.606724537</v>
      </c>
      <c r="I385" s="15" t="s">
        <v>1458</v>
      </c>
      <c r="J385" s="15" t="s">
        <v>1458</v>
      </c>
      <c r="K385" s="15"/>
      <c r="L385" s="10" t="n">
        <f aca="false">COUNTIF($E$2:E385,E385)</f>
        <v>1</v>
      </c>
      <c r="M385" s="10" t="e">
        <f aca="false">ifs(L385=1, L385&amp;"-"&amp; COUNTIFS($L$2:L385,1))</f>
        <v>#NAME?</v>
      </c>
      <c r="N385" s="15" t="s">
        <v>603</v>
      </c>
      <c r="O385" s="10"/>
      <c r="P385" s="22" t="n">
        <f aca="false">COUNTIFS(C:C,C385,N:N,"Đã xác nhận")/COUNTIFS(C:C,C385)</f>
        <v>1</v>
      </c>
      <c r="Q385" s="22"/>
      <c r="R385" s="0" t="s">
        <v>1459</v>
      </c>
      <c r="S385" s="0" t="s">
        <v>554</v>
      </c>
      <c r="U385" s="24" t="n">
        <v>2</v>
      </c>
    </row>
    <row r="386" customFormat="false" ht="12.75" hidden="false" customHeight="false" outlineLevel="0" collapsed="false">
      <c r="A386" s="15" t="s">
        <v>1460</v>
      </c>
      <c r="B386" s="15" t="s">
        <v>1103</v>
      </c>
      <c r="C386" s="15" t="s">
        <v>1277</v>
      </c>
      <c r="D386" s="15" t="s">
        <v>1441</v>
      </c>
      <c r="E386" s="15" t="s">
        <v>39</v>
      </c>
      <c r="G386" s="10" t="n">
        <v>1</v>
      </c>
      <c r="H386" s="21" t="n">
        <v>46044.6067939815</v>
      </c>
      <c r="I386" s="15" t="s">
        <v>1461</v>
      </c>
      <c r="J386" s="15" t="s">
        <v>1461</v>
      </c>
      <c r="K386" s="15"/>
      <c r="L386" s="10" t="n">
        <f aca="false">COUNTIF($E$2:E386,E386)</f>
        <v>10</v>
      </c>
      <c r="M386" s="10" t="e">
        <f aca="false">ifs(L386=1, L386&amp;"-"&amp; COUNTIFS($L$2:L386,1))</f>
        <v>#NAME?</v>
      </c>
      <c r="N386" s="15" t="s">
        <v>603</v>
      </c>
      <c r="O386" s="10"/>
      <c r="P386" s="22" t="n">
        <f aca="false">COUNTIFS(C:C,C386,N:N,"Đã xác nhận")/COUNTIFS(C:C,C386)</f>
        <v>1</v>
      </c>
      <c r="Q386" s="22"/>
      <c r="R386" s="0" t="s">
        <v>1443</v>
      </c>
      <c r="S386" s="0" t="s">
        <v>550</v>
      </c>
      <c r="U386" s="24" t="n">
        <v>1</v>
      </c>
    </row>
    <row r="387" customFormat="false" ht="12.75" hidden="false" customHeight="false" outlineLevel="0" collapsed="false">
      <c r="A387" s="15" t="s">
        <v>1462</v>
      </c>
      <c r="B387" s="15" t="s">
        <v>1103</v>
      </c>
      <c r="C387" s="15" t="s">
        <v>1277</v>
      </c>
      <c r="D387" s="15" t="s">
        <v>1196</v>
      </c>
      <c r="E387" s="15" t="s">
        <v>81</v>
      </c>
      <c r="G387" s="10" t="n">
        <v>1</v>
      </c>
      <c r="H387" s="21" t="n">
        <v>46044.6071412037</v>
      </c>
      <c r="I387" s="15" t="s">
        <v>1463</v>
      </c>
      <c r="J387" s="15" t="s">
        <v>1463</v>
      </c>
      <c r="K387" s="15"/>
      <c r="L387" s="10" t="n">
        <f aca="false">COUNTIF($E$2:E387,E387)</f>
        <v>99</v>
      </c>
      <c r="M387" s="10" t="e">
        <f aca="false">ifs(L387=1, L387&amp;"-"&amp; COUNTIFS($L$2:L387,1))</f>
        <v>#NAME?</v>
      </c>
      <c r="N387" s="15" t="s">
        <v>603</v>
      </c>
      <c r="O387" s="10"/>
      <c r="P387" s="22" t="n">
        <f aca="false">COUNTIFS(C:C,C387,N:N,"Đã xác nhận")/COUNTIFS(C:C,C387)</f>
        <v>1</v>
      </c>
      <c r="Q387" s="22"/>
      <c r="R387" s="0" t="s">
        <v>1200</v>
      </c>
      <c r="S387" s="0" t="s">
        <v>534</v>
      </c>
      <c r="U387" s="24" t="n">
        <v>1</v>
      </c>
    </row>
    <row r="388" customFormat="false" ht="12.75" hidden="false" customHeight="false" outlineLevel="0" collapsed="false">
      <c r="A388" s="15" t="s">
        <v>1464</v>
      </c>
      <c r="B388" s="15" t="s">
        <v>1103</v>
      </c>
      <c r="C388" s="15" t="s">
        <v>504</v>
      </c>
      <c r="D388" s="15" t="s">
        <v>1465</v>
      </c>
      <c r="E388" s="15" t="s">
        <v>17</v>
      </c>
      <c r="G388" s="10" t="n">
        <v>1</v>
      </c>
      <c r="H388" s="21" t="n">
        <v>46048.6595833333</v>
      </c>
      <c r="I388" s="15" t="s">
        <v>1466</v>
      </c>
      <c r="J388" s="15" t="s">
        <v>1466</v>
      </c>
      <c r="K388" s="15"/>
      <c r="L388" s="10" t="n">
        <f aca="false">COUNTIF($E$2:E388,E388)</f>
        <v>2</v>
      </c>
      <c r="M388" s="10" t="e">
        <f aca="false">ifs(L388=1, L388&amp;"-"&amp; COUNTIFS($L$2:L388,1))</f>
        <v>#NAME?</v>
      </c>
      <c r="N388" s="15" t="s">
        <v>603</v>
      </c>
      <c r="O388" s="10"/>
      <c r="P388" s="22" t="n">
        <f aca="false">COUNTIFS(C:C,C388,N:N,"Đã xác nhận")/COUNTIFS(C:C,C388)</f>
        <v>1</v>
      </c>
      <c r="Q388" s="22"/>
      <c r="R388" s="0" t="s">
        <v>1467</v>
      </c>
      <c r="S388" s="0" t="s">
        <v>554</v>
      </c>
      <c r="U388" s="24" t="n">
        <v>1</v>
      </c>
    </row>
    <row r="389" customFormat="false" ht="12.75" hidden="false" customHeight="false" outlineLevel="0" collapsed="false">
      <c r="A389" s="15" t="s">
        <v>1468</v>
      </c>
      <c r="B389" s="15" t="s">
        <v>1103</v>
      </c>
      <c r="C389" s="15" t="s">
        <v>504</v>
      </c>
      <c r="D389" s="15" t="s">
        <v>1115</v>
      </c>
      <c r="E389" s="15" t="s">
        <v>47</v>
      </c>
      <c r="G389" s="10" t="n">
        <v>1</v>
      </c>
      <c r="H389" s="21" t="n">
        <v>46048.6596875</v>
      </c>
      <c r="I389" s="15" t="s">
        <v>1469</v>
      </c>
      <c r="J389" s="15" t="s">
        <v>1469</v>
      </c>
      <c r="K389" s="15"/>
      <c r="L389" s="10" t="n">
        <f aca="false">COUNTIF($E$2:E389,E389)</f>
        <v>28</v>
      </c>
      <c r="M389" s="10" t="e">
        <f aca="false">ifs(L389=1, L389&amp;"-"&amp; COUNTIFS($L$2:L389,1))</f>
        <v>#NAME?</v>
      </c>
      <c r="N389" s="15" t="s">
        <v>603</v>
      </c>
      <c r="O389" s="10"/>
      <c r="P389" s="22" t="n">
        <f aca="false">COUNTIFS(C:C,C389,N:N,"Đã xác nhận")/COUNTIFS(C:C,C389)</f>
        <v>1</v>
      </c>
      <c r="Q389" s="22"/>
      <c r="R389" s="0" t="s">
        <v>1119</v>
      </c>
      <c r="S389" s="0" t="s">
        <v>549</v>
      </c>
      <c r="U389" s="24" t="n">
        <v>1</v>
      </c>
    </row>
    <row r="390" customFormat="false" ht="12.75" hidden="false" customHeight="false" outlineLevel="0" collapsed="false">
      <c r="A390" s="15" t="s">
        <v>1470</v>
      </c>
      <c r="B390" s="15" t="s">
        <v>1103</v>
      </c>
      <c r="C390" s="15" t="s">
        <v>504</v>
      </c>
      <c r="D390" s="15" t="s">
        <v>1471</v>
      </c>
      <c r="E390" s="15" t="s">
        <v>81</v>
      </c>
      <c r="G390" s="10" t="n">
        <v>2</v>
      </c>
      <c r="H390" s="21" t="n">
        <v>46048.6600231482</v>
      </c>
      <c r="I390" s="15" t="s">
        <v>1472</v>
      </c>
      <c r="J390" s="15" t="s">
        <v>1472</v>
      </c>
      <c r="K390" s="15"/>
      <c r="L390" s="10" t="n">
        <f aca="false">COUNTIF($E$2:E390,E390)</f>
        <v>100</v>
      </c>
      <c r="M390" s="10" t="e">
        <f aca="false">ifs(L390=1, L390&amp;"-"&amp; COUNTIFS($L$2:L390,1))</f>
        <v>#NAME?</v>
      </c>
      <c r="N390" s="15" t="s">
        <v>603</v>
      </c>
      <c r="O390" s="10"/>
      <c r="P390" s="22" t="n">
        <f aca="false">COUNTIFS(C:C,C390,N:N,"Đã xác nhận")/COUNTIFS(C:C,C390)</f>
        <v>1</v>
      </c>
      <c r="Q390" s="22"/>
      <c r="R390" s="0" t="s">
        <v>1473</v>
      </c>
      <c r="S390" s="0" t="s">
        <v>534</v>
      </c>
      <c r="U390" s="24" t="n">
        <v>2</v>
      </c>
    </row>
    <row r="391" customFormat="false" ht="12.75" hidden="false" customHeight="false" outlineLevel="0" collapsed="false">
      <c r="A391" s="15" t="s">
        <v>1474</v>
      </c>
      <c r="B391" s="15"/>
      <c r="C391" s="15"/>
      <c r="D391" s="15"/>
      <c r="E391" s="15"/>
      <c r="G391" s="10" t="n">
        <v>0</v>
      </c>
      <c r="H391" s="21" t="n">
        <v>46048.6607175926</v>
      </c>
      <c r="I391" s="15" t="s">
        <v>1475</v>
      </c>
      <c r="J391" s="15" t="s">
        <v>695</v>
      </c>
      <c r="K391" s="15" t="s">
        <v>1476</v>
      </c>
      <c r="L391" s="10" t="n">
        <f aca="false">COUNTIF($E$2:E391,E391)</f>
        <v>0</v>
      </c>
      <c r="M391" s="10" t="e">
        <f aca="false">ifs(L391=1, L391&amp;"-"&amp; COUNTIFS($L$2:L391,1))</f>
        <v>#NAME?</v>
      </c>
      <c r="N391" s="15"/>
      <c r="O391" s="10"/>
      <c r="P391" s="22" t="e">
        <f aca="false">COUNTIFS(C:C,C391,N:N,"Đã xác nhận")/COUNTIFS(C:C,C391)</f>
        <v>#DIV/0!</v>
      </c>
      <c r="Q391" s="22"/>
      <c r="R391" s="0" t="e">
        <f aca="false">#VALUE!</f>
        <v>#VALUE!</v>
      </c>
      <c r="S391" s="0" t="e">
        <f aca="false">#VALUE!</f>
        <v>#VALUE!</v>
      </c>
      <c r="U391" s="24" t="n">
        <v>0</v>
      </c>
    </row>
    <row r="392" customFormat="false" ht="12.75" hidden="false" customHeight="false" outlineLevel="0" collapsed="false">
      <c r="A392" s="15" t="s">
        <v>1477</v>
      </c>
      <c r="B392" s="15" t="s">
        <v>1103</v>
      </c>
      <c r="C392" s="15" t="s">
        <v>508</v>
      </c>
      <c r="D392" s="15" t="s">
        <v>1115</v>
      </c>
      <c r="E392" s="15" t="s">
        <v>47</v>
      </c>
      <c r="G392" s="10" t="n">
        <v>1</v>
      </c>
      <c r="H392" s="21" t="n">
        <v>46050.4952199074</v>
      </c>
      <c r="I392" s="15" t="s">
        <v>1478</v>
      </c>
      <c r="J392" s="15" t="s">
        <v>1478</v>
      </c>
      <c r="K392" s="15"/>
      <c r="L392" s="10" t="n">
        <f aca="false">COUNTIF($E$2:E392,E392)</f>
        <v>29</v>
      </c>
      <c r="M392" s="10" t="e">
        <f aca="false">ifs(L392=1, L392&amp;"-"&amp; COUNTIFS($L$2:L392,1))</f>
        <v>#NAME?</v>
      </c>
      <c r="N392" s="15" t="s">
        <v>603</v>
      </c>
      <c r="O392" s="10"/>
      <c r="P392" s="22" t="n">
        <f aca="false">COUNTIFS(C:C,C392,N:N,"Đã xác nhận")/COUNTIFS(C:C,C392)</f>
        <v>1</v>
      </c>
      <c r="Q392" s="22"/>
      <c r="R392" s="0" t="s">
        <v>1119</v>
      </c>
      <c r="S392" s="0" t="s">
        <v>549</v>
      </c>
      <c r="U392" s="24" t="n">
        <v>1</v>
      </c>
    </row>
    <row r="393" customFormat="false" ht="12.75" hidden="false" customHeight="false" outlineLevel="0" collapsed="false">
      <c r="A393" s="15" t="s">
        <v>1479</v>
      </c>
      <c r="B393" s="15" t="s">
        <v>1103</v>
      </c>
      <c r="C393" s="15" t="s">
        <v>1277</v>
      </c>
      <c r="D393" s="15" t="s">
        <v>1480</v>
      </c>
      <c r="E393" s="15" t="s">
        <v>17</v>
      </c>
      <c r="G393" s="10" t="n">
        <v>1</v>
      </c>
      <c r="H393" s="21" t="n">
        <v>46044.606712963</v>
      </c>
      <c r="I393" s="15" t="s">
        <v>1481</v>
      </c>
      <c r="J393" s="15" t="s">
        <v>1481</v>
      </c>
      <c r="K393" s="15"/>
      <c r="L393" s="10" t="n">
        <f aca="false">COUNTIF($E$2:E393,E393)</f>
        <v>3</v>
      </c>
      <c r="M393" s="10" t="e">
        <f aca="false">ifs(L393=1, L393&amp;"-"&amp; COUNTIFS($L$2:L393,1))</f>
        <v>#NAME?</v>
      </c>
      <c r="N393" s="15" t="s">
        <v>603</v>
      </c>
      <c r="O393" s="10"/>
      <c r="P393" s="22" t="n">
        <f aca="false">COUNTIFS(C:C,C393,N:N,"Đã xác nhận")/COUNTIFS(C:C,C393)</f>
        <v>1</v>
      </c>
      <c r="Q393" s="22"/>
      <c r="R393" s="0" t="s">
        <v>1482</v>
      </c>
      <c r="S393" s="0" t="s">
        <v>554</v>
      </c>
      <c r="U393" s="24" t="n">
        <v>1</v>
      </c>
    </row>
    <row r="394" customFormat="false" ht="12.75" hidden="false" customHeight="false" outlineLevel="0" collapsed="false">
      <c r="A394" s="15" t="s">
        <v>1483</v>
      </c>
      <c r="B394" s="15" t="s">
        <v>1103</v>
      </c>
      <c r="C394" s="15" t="s">
        <v>1104</v>
      </c>
      <c r="D394" s="15" t="s">
        <v>1150</v>
      </c>
      <c r="E394" s="15" t="s">
        <v>47</v>
      </c>
      <c r="G394" s="10" t="n">
        <v>1</v>
      </c>
      <c r="H394" s="21" t="n">
        <v>45967.6743287037</v>
      </c>
      <c r="I394" s="15" t="s">
        <v>1484</v>
      </c>
      <c r="J394" s="15" t="s">
        <v>1485</v>
      </c>
      <c r="K394" s="15" t="s">
        <v>1486</v>
      </c>
      <c r="L394" s="10" t="n">
        <f aca="false">COUNTIF($E$2:E394,E394)</f>
        <v>30</v>
      </c>
      <c r="M394" s="10" t="e">
        <f aca="false">ifs(L394=1, L394&amp;"-"&amp; COUNTIFS($L$2:L394,1))</f>
        <v>#NAME?</v>
      </c>
      <c r="O394" s="10"/>
      <c r="P394" s="22" t="n">
        <f aca="false">COUNTIFS(C:C,C394,N:N,"Đã xác nhận")/COUNTIFS(C:C,C394)</f>
        <v>0</v>
      </c>
      <c r="Q394" s="22"/>
      <c r="R394" s="0" t="s">
        <v>1152</v>
      </c>
      <c r="S394" s="0" t="s">
        <v>549</v>
      </c>
      <c r="U394" s="24" t="n">
        <v>1</v>
      </c>
    </row>
    <row r="395" customFormat="false" ht="12.75" hidden="false" customHeight="false" outlineLevel="0" collapsed="false">
      <c r="A395" s="15" t="s">
        <v>1487</v>
      </c>
      <c r="B395" s="15" t="s">
        <v>1103</v>
      </c>
      <c r="C395" s="15" t="s">
        <v>456</v>
      </c>
      <c r="D395" s="15" t="s">
        <v>1488</v>
      </c>
      <c r="E395" s="15" t="s">
        <v>55</v>
      </c>
      <c r="G395" s="10" t="n">
        <v>3</v>
      </c>
      <c r="H395" s="21" t="n">
        <v>46058.4061921296</v>
      </c>
      <c r="I395" s="15" t="s">
        <v>1489</v>
      </c>
      <c r="J395" s="15" t="s">
        <v>1489</v>
      </c>
      <c r="K395" s="15"/>
      <c r="L395" s="10" t="n">
        <f aca="false">COUNTIF($E$2:E395,E395)</f>
        <v>43</v>
      </c>
      <c r="M395" s="10" t="e">
        <f aca="false">ifs(L395=1, L395&amp;"-"&amp; COUNTIFS($L$2:L395,1))</f>
        <v>#NAME?</v>
      </c>
      <c r="N395" s="15" t="s">
        <v>603</v>
      </c>
      <c r="O395" s="10"/>
      <c r="P395" s="22" t="n">
        <f aca="false">COUNTIFS(C:C,C395,N:N,"Đã xác nhận")/COUNTIFS(C:C,C395)</f>
        <v>1</v>
      </c>
      <c r="Q395" s="22"/>
      <c r="R395" s="0" t="s">
        <v>1490</v>
      </c>
      <c r="S395" s="0" t="s">
        <v>539</v>
      </c>
      <c r="U395" s="24" t="n">
        <v>3</v>
      </c>
    </row>
    <row r="396" customFormat="false" ht="12.75" hidden="false" customHeight="false" outlineLevel="0" collapsed="false">
      <c r="A396" s="15" t="s">
        <v>1491</v>
      </c>
      <c r="B396" s="15" t="s">
        <v>1103</v>
      </c>
      <c r="C396" s="15" t="s">
        <v>456</v>
      </c>
      <c r="D396" s="15" t="s">
        <v>1115</v>
      </c>
      <c r="E396" s="15" t="s">
        <v>47</v>
      </c>
      <c r="G396" s="10" t="n">
        <v>1</v>
      </c>
      <c r="H396" s="21" t="n">
        <v>46058.406099537</v>
      </c>
      <c r="I396" s="15" t="s">
        <v>1492</v>
      </c>
      <c r="J396" s="15" t="s">
        <v>1492</v>
      </c>
      <c r="K396" s="15"/>
      <c r="L396" s="10" t="n">
        <f aca="false">COUNTIF($E$2:E396,E396)</f>
        <v>31</v>
      </c>
      <c r="M396" s="10" t="e">
        <f aca="false">ifs(L396=1, L396&amp;"-"&amp; COUNTIFS($L$2:L396,1))</f>
        <v>#NAME?</v>
      </c>
      <c r="N396" s="15" t="s">
        <v>603</v>
      </c>
      <c r="O396" s="10"/>
      <c r="P396" s="22" t="n">
        <f aca="false">COUNTIFS(C:C,C396,N:N,"Đã xác nhận")/COUNTIFS(C:C,C396)</f>
        <v>1</v>
      </c>
      <c r="Q396" s="22"/>
      <c r="R396" s="0" t="s">
        <v>1119</v>
      </c>
      <c r="S396" s="0" t="s">
        <v>549</v>
      </c>
      <c r="U396" s="24" t="n">
        <v>1</v>
      </c>
    </row>
    <row r="397" customFormat="false" ht="12.75" hidden="false" customHeight="false" outlineLevel="0" collapsed="false">
      <c r="A397" s="15" t="s">
        <v>1493</v>
      </c>
      <c r="B397" s="15" t="s">
        <v>1103</v>
      </c>
      <c r="C397" s="15" t="s">
        <v>456</v>
      </c>
      <c r="D397" s="15" t="s">
        <v>1120</v>
      </c>
      <c r="E397" s="15" t="s">
        <v>55</v>
      </c>
      <c r="G397" s="10" t="n">
        <v>1</v>
      </c>
      <c r="H397" s="21" t="n">
        <v>46058.4061805556</v>
      </c>
      <c r="I397" s="15" t="s">
        <v>1494</v>
      </c>
      <c r="J397" s="15" t="s">
        <v>1494</v>
      </c>
      <c r="K397" s="15"/>
      <c r="L397" s="10" t="n">
        <f aca="false">COUNTIF($E$2:E397,E397)</f>
        <v>44</v>
      </c>
      <c r="M397" s="10" t="e">
        <f aca="false">ifs(L397=1, L397&amp;"-"&amp; COUNTIFS($L$2:L397,1))</f>
        <v>#NAME?</v>
      </c>
      <c r="N397" s="15" t="s">
        <v>603</v>
      </c>
      <c r="O397" s="10"/>
      <c r="P397" s="22" t="n">
        <f aca="false">COUNTIFS(C:C,C397,N:N,"Đã xác nhận")/COUNTIFS(C:C,C397)</f>
        <v>1</v>
      </c>
      <c r="Q397" s="22"/>
      <c r="R397" s="0" t="s">
        <v>1122</v>
      </c>
      <c r="S397" s="0" t="s">
        <v>539</v>
      </c>
      <c r="U397" s="24" t="n">
        <v>1</v>
      </c>
    </row>
    <row r="398" customFormat="false" ht="12.75" hidden="false" customHeight="false" outlineLevel="0" collapsed="false">
      <c r="A398" s="15" t="s">
        <v>1495</v>
      </c>
      <c r="B398" s="15" t="s">
        <v>1103</v>
      </c>
      <c r="C398" s="15" t="s">
        <v>456</v>
      </c>
      <c r="D398" s="15" t="s">
        <v>1496</v>
      </c>
      <c r="E398" s="15" t="s">
        <v>81</v>
      </c>
      <c r="G398" s="10" t="n">
        <v>2</v>
      </c>
      <c r="H398" s="21" t="n">
        <v>46058.4064583333</v>
      </c>
      <c r="I398" s="15" t="s">
        <v>1497</v>
      </c>
      <c r="J398" s="15" t="s">
        <v>1497</v>
      </c>
      <c r="K398" s="15"/>
      <c r="L398" s="10" t="n">
        <f aca="false">COUNTIF($E$2:E398,E398)</f>
        <v>101</v>
      </c>
      <c r="M398" s="10" t="e">
        <f aca="false">ifs(L398=1, L398&amp;"-"&amp; COUNTIFS($L$2:L398,1))</f>
        <v>#NAME?</v>
      </c>
      <c r="N398" s="15" t="s">
        <v>603</v>
      </c>
      <c r="O398" s="10"/>
      <c r="P398" s="22" t="n">
        <f aca="false">COUNTIFS(C:C,C398,N:N,"Đã xác nhận")/COUNTIFS(C:C,C398)</f>
        <v>1</v>
      </c>
      <c r="Q398" s="22"/>
      <c r="R398" s="0" t="s">
        <v>1498</v>
      </c>
      <c r="S398" s="0" t="s">
        <v>534</v>
      </c>
      <c r="U398" s="24" t="n">
        <v>2</v>
      </c>
    </row>
    <row r="399" customFormat="false" ht="12.75" hidden="false" customHeight="false" outlineLevel="0" collapsed="false">
      <c r="A399" s="15" t="s">
        <v>1499</v>
      </c>
      <c r="B399" s="15" t="s">
        <v>1103</v>
      </c>
      <c r="C399" s="15" t="s">
        <v>456</v>
      </c>
      <c r="D399" s="15" t="s">
        <v>1500</v>
      </c>
      <c r="E399" s="15" t="s">
        <v>81</v>
      </c>
      <c r="G399" s="10" t="n">
        <v>1</v>
      </c>
      <c r="H399" s="21" t="n">
        <v>46058.4065277778</v>
      </c>
      <c r="I399" s="15" t="s">
        <v>1501</v>
      </c>
      <c r="J399" s="15" t="s">
        <v>1501</v>
      </c>
      <c r="K399" s="15"/>
      <c r="L399" s="10" t="n">
        <f aca="false">COUNTIF($E$2:E399,E399)</f>
        <v>102</v>
      </c>
      <c r="M399" s="10" t="e">
        <f aca="false">ifs(L399=1, L399&amp;"-"&amp; COUNTIFS($L$2:L399,1))</f>
        <v>#NAME?</v>
      </c>
      <c r="N399" s="15" t="s">
        <v>603</v>
      </c>
      <c r="O399" s="10"/>
      <c r="P399" s="22" t="n">
        <f aca="false">COUNTIFS(C:C,C399,N:N,"Đã xác nhận")/COUNTIFS(C:C,C399)</f>
        <v>1</v>
      </c>
      <c r="Q399" s="22"/>
      <c r="R399" s="0" t="s">
        <v>1502</v>
      </c>
      <c r="S399" s="0" t="s">
        <v>534</v>
      </c>
      <c r="U399" s="24" t="n">
        <v>1</v>
      </c>
    </row>
    <row r="400" customFormat="false" ht="12.75" hidden="false" customHeight="false" outlineLevel="0" collapsed="false">
      <c r="A400" s="15" t="s">
        <v>1503</v>
      </c>
      <c r="B400" s="15" t="s">
        <v>1103</v>
      </c>
      <c r="C400" s="15" t="s">
        <v>456</v>
      </c>
      <c r="D400" s="15" t="s">
        <v>1504</v>
      </c>
      <c r="E400" s="15" t="s">
        <v>81</v>
      </c>
      <c r="G400" s="10" t="n">
        <v>1</v>
      </c>
      <c r="H400" s="21" t="n">
        <v>46058.4064699074</v>
      </c>
      <c r="I400" s="15" t="s">
        <v>1505</v>
      </c>
      <c r="J400" s="15" t="s">
        <v>1505</v>
      </c>
      <c r="K400" s="15"/>
      <c r="L400" s="10" t="n">
        <f aca="false">COUNTIF($E$2:E400,E400)</f>
        <v>103</v>
      </c>
      <c r="M400" s="10" t="e">
        <f aca="false">ifs(L400=1, L400&amp;"-"&amp; COUNTIFS($L$2:L400,1))</f>
        <v>#NAME?</v>
      </c>
      <c r="N400" s="15" t="s">
        <v>603</v>
      </c>
      <c r="O400" s="10"/>
      <c r="P400" s="22" t="n">
        <f aca="false">COUNTIFS(C:C,C400,N:N,"Đã xác nhận")/COUNTIFS(C:C,C400)</f>
        <v>1</v>
      </c>
      <c r="Q400" s="22"/>
      <c r="R400" s="0" t="s">
        <v>1506</v>
      </c>
      <c r="S400" s="0" t="s">
        <v>534</v>
      </c>
      <c r="U400" s="24" t="n">
        <v>1</v>
      </c>
    </row>
    <row r="401" customFormat="false" ht="12.75" hidden="false" customHeight="false" outlineLevel="0" collapsed="false">
      <c r="A401" s="15" t="s">
        <v>1507</v>
      </c>
      <c r="B401" s="15" t="s">
        <v>1103</v>
      </c>
      <c r="C401" s="15" t="s">
        <v>456</v>
      </c>
      <c r="D401" s="15" t="s">
        <v>1508</v>
      </c>
      <c r="E401" s="15" t="s">
        <v>49</v>
      </c>
      <c r="G401" s="10" t="n">
        <v>1</v>
      </c>
      <c r="H401" s="21" t="n">
        <v>46058.4061226852</v>
      </c>
      <c r="I401" s="15" t="s">
        <v>1509</v>
      </c>
      <c r="J401" s="15" t="s">
        <v>1509</v>
      </c>
      <c r="K401" s="15"/>
      <c r="L401" s="10" t="n">
        <f aca="false">COUNTIF($E$2:E401,E401)</f>
        <v>2</v>
      </c>
      <c r="M401" s="10" t="e">
        <f aca="false">ifs(L401=1, L401&amp;"-"&amp; COUNTIFS($L$2:L401,1))</f>
        <v>#NAME?</v>
      </c>
      <c r="N401" s="15" t="s">
        <v>603</v>
      </c>
      <c r="O401" s="10"/>
      <c r="P401" s="22" t="n">
        <f aca="false">COUNTIFS(C:C,C401,N:N,"Đã xác nhận")/COUNTIFS(C:C,C401)</f>
        <v>1</v>
      </c>
      <c r="Q401" s="22"/>
      <c r="R401" s="0" t="s">
        <v>1510</v>
      </c>
      <c r="S401" s="0" t="s">
        <v>537</v>
      </c>
      <c r="U401" s="24" t="n">
        <v>1</v>
      </c>
    </row>
    <row r="402" customFormat="false" ht="12.75" hidden="false" customHeight="false" outlineLevel="0" collapsed="false">
      <c r="A402" s="15" t="s">
        <v>1511</v>
      </c>
      <c r="B402" s="15" t="s">
        <v>1103</v>
      </c>
      <c r="C402" s="15" t="s">
        <v>456</v>
      </c>
      <c r="D402" s="15" t="s">
        <v>1512</v>
      </c>
      <c r="E402" s="15" t="s">
        <v>63</v>
      </c>
      <c r="G402" s="10" t="n">
        <v>1</v>
      </c>
      <c r="H402" s="21" t="n">
        <v>46058.4062268519</v>
      </c>
      <c r="I402" s="15" t="s">
        <v>1513</v>
      </c>
      <c r="J402" s="15" t="s">
        <v>1513</v>
      </c>
      <c r="K402" s="15"/>
      <c r="L402" s="10" t="n">
        <f aca="false">COUNTIF($E$2:E402,E402)</f>
        <v>10</v>
      </c>
      <c r="M402" s="10" t="e">
        <f aca="false">ifs(L402=1, L402&amp;"-"&amp; COUNTIFS($L$2:L402,1))</f>
        <v>#NAME?</v>
      </c>
      <c r="N402" s="15" t="s">
        <v>603</v>
      </c>
      <c r="O402" s="10"/>
      <c r="P402" s="22" t="n">
        <f aca="false">COUNTIFS(C:C,C402,N:N,"Đã xác nhận")/COUNTIFS(C:C,C402)</f>
        <v>1</v>
      </c>
      <c r="Q402" s="22"/>
      <c r="R402" s="0" t="s">
        <v>1514</v>
      </c>
      <c r="S402" s="0" t="s">
        <v>551</v>
      </c>
      <c r="U402" s="24" t="n">
        <v>1</v>
      </c>
    </row>
    <row r="403" customFormat="false" ht="12.75" hidden="false" customHeight="false" outlineLevel="0" collapsed="false">
      <c r="A403" s="15" t="s">
        <v>1515</v>
      </c>
      <c r="B403" s="15"/>
      <c r="C403" s="15"/>
      <c r="D403" s="15"/>
      <c r="E403" s="15"/>
      <c r="G403" s="10" t="n">
        <v>0</v>
      </c>
      <c r="H403" s="21" t="n">
        <v>46058.4064236111</v>
      </c>
      <c r="I403" s="15" t="s">
        <v>1516</v>
      </c>
      <c r="J403" s="15" t="s">
        <v>695</v>
      </c>
      <c r="K403" s="15" t="s">
        <v>1517</v>
      </c>
      <c r="L403" s="10" t="n">
        <f aca="false">COUNTIF($E$2:E403,E403)</f>
        <v>0</v>
      </c>
      <c r="M403" s="10" t="e">
        <f aca="false">ifs(L403=1, L403&amp;"-"&amp; COUNTIFS($L$2:L403,1))</f>
        <v>#NAME?</v>
      </c>
      <c r="O403" s="10"/>
      <c r="P403" s="22" t="e">
        <f aca="false">COUNTIFS(C:C,C403,N:N,"Đã xác nhận")/COUNTIFS(C:C,C403)</f>
        <v>#DIV/0!</v>
      </c>
      <c r="Q403" s="22"/>
      <c r="R403" s="0" t="e">
        <f aca="false">#VALUE!</f>
        <v>#VALUE!</v>
      </c>
      <c r="S403" s="0" t="e">
        <f aca="false">#VALUE!</f>
        <v>#VALUE!</v>
      </c>
      <c r="U403" s="24" t="n">
        <v>0</v>
      </c>
    </row>
    <row r="404" customFormat="false" ht="12.75" hidden="false" customHeight="false" outlineLevel="0" collapsed="false">
      <c r="A404" s="15" t="s">
        <v>1518</v>
      </c>
      <c r="B404" s="15" t="s">
        <v>1103</v>
      </c>
      <c r="C404" s="15" t="s">
        <v>456</v>
      </c>
      <c r="D404" s="15" t="s">
        <v>1519</v>
      </c>
      <c r="E404" s="15" t="s">
        <v>81</v>
      </c>
      <c r="G404" s="10" t="n">
        <v>1</v>
      </c>
      <c r="H404" s="21" t="n">
        <v>46058.4065046296</v>
      </c>
      <c r="I404" s="15" t="s">
        <v>1520</v>
      </c>
      <c r="J404" s="15" t="s">
        <v>1520</v>
      </c>
      <c r="K404" s="15"/>
      <c r="L404" s="10" t="n">
        <f aca="false">COUNTIF($E$2:E404,E404)</f>
        <v>104</v>
      </c>
      <c r="M404" s="10" t="e">
        <f aca="false">ifs(L404=1, L404&amp;"-"&amp; COUNTIFS($L$2:L404,1))</f>
        <v>#NAME?</v>
      </c>
      <c r="N404" s="15" t="s">
        <v>603</v>
      </c>
      <c r="O404" s="10"/>
      <c r="P404" s="22" t="n">
        <f aca="false">COUNTIFS(C:C,C404,N:N,"Đã xác nhận")/COUNTIFS(C:C,C404)</f>
        <v>1</v>
      </c>
      <c r="Q404" s="22"/>
      <c r="R404" s="0" t="s">
        <v>1521</v>
      </c>
      <c r="S404" s="0" t="s">
        <v>534</v>
      </c>
      <c r="U404" s="24" t="n">
        <v>1</v>
      </c>
    </row>
    <row r="405" customFormat="false" ht="12.75" hidden="false" customHeight="false" outlineLevel="0" collapsed="false">
      <c r="A405" s="15" t="s">
        <v>1522</v>
      </c>
      <c r="B405" s="15" t="s">
        <v>1103</v>
      </c>
      <c r="C405" s="15" t="s">
        <v>456</v>
      </c>
      <c r="D405" s="15" t="s">
        <v>1523</v>
      </c>
      <c r="E405" s="15" t="s">
        <v>81</v>
      </c>
      <c r="G405" s="10" t="n">
        <v>2</v>
      </c>
      <c r="H405" s="21" t="n">
        <v>46058.4064699074</v>
      </c>
      <c r="I405" s="15" t="s">
        <v>1524</v>
      </c>
      <c r="J405" s="15" t="s">
        <v>1524</v>
      </c>
      <c r="K405" s="15"/>
      <c r="L405" s="10" t="n">
        <f aca="false">COUNTIF($E$2:E405,E405)</f>
        <v>105</v>
      </c>
      <c r="M405" s="10" t="e">
        <f aca="false">ifs(L405=1, L405&amp;"-"&amp; COUNTIFS($L$2:L405,1))</f>
        <v>#NAME?</v>
      </c>
      <c r="N405" s="15" t="s">
        <v>603</v>
      </c>
      <c r="O405" s="10"/>
      <c r="P405" s="22" t="n">
        <f aca="false">COUNTIFS(C:C,C405,N:N,"Đã xác nhận")/COUNTIFS(C:C,C405)</f>
        <v>1</v>
      </c>
      <c r="Q405" s="22"/>
      <c r="R405" s="0" t="s">
        <v>1525</v>
      </c>
      <c r="S405" s="0" t="s">
        <v>534</v>
      </c>
      <c r="U405" s="24" t="n">
        <v>2</v>
      </c>
    </row>
    <row r="406" customFormat="false" ht="12.75" hidden="false" customHeight="false" outlineLevel="0" collapsed="false">
      <c r="A406" s="15" t="s">
        <v>1526</v>
      </c>
      <c r="B406" s="15" t="s">
        <v>1103</v>
      </c>
      <c r="C406" s="15" t="s">
        <v>456</v>
      </c>
      <c r="D406" s="15" t="s">
        <v>1527</v>
      </c>
      <c r="E406" s="15" t="s">
        <v>81</v>
      </c>
      <c r="G406" s="10" t="n">
        <v>1</v>
      </c>
      <c r="H406" s="21" t="n">
        <v>46058.4065162037</v>
      </c>
      <c r="I406" s="15" t="s">
        <v>1528</v>
      </c>
      <c r="J406" s="15" t="s">
        <v>1528</v>
      </c>
      <c r="K406" s="15"/>
      <c r="L406" s="10" t="n">
        <f aca="false">COUNTIF($E$2:E406,E406)</f>
        <v>106</v>
      </c>
      <c r="M406" s="10" t="e">
        <f aca="false">ifs(L406=1, L406&amp;"-"&amp; COUNTIFS($L$2:L406,1))</f>
        <v>#NAME?</v>
      </c>
      <c r="N406" s="15" t="s">
        <v>603</v>
      </c>
      <c r="O406" s="10"/>
      <c r="P406" s="22" t="n">
        <f aca="false">COUNTIFS(C:C,C406,N:N,"Đã xác nhận")/COUNTIFS(C:C,C406)</f>
        <v>1</v>
      </c>
      <c r="Q406" s="22"/>
      <c r="R406" s="0" t="s">
        <v>1529</v>
      </c>
      <c r="S406" s="0" t="s">
        <v>534</v>
      </c>
      <c r="U406" s="24" t="n">
        <v>1</v>
      </c>
    </row>
    <row r="407" customFormat="false" ht="12.75" hidden="false" customHeight="false" outlineLevel="0" collapsed="false">
      <c r="A407" s="15" t="s">
        <v>1530</v>
      </c>
      <c r="B407" s="15" t="s">
        <v>1103</v>
      </c>
      <c r="C407" s="15" t="s">
        <v>456</v>
      </c>
      <c r="D407" s="15" t="s">
        <v>1128</v>
      </c>
      <c r="E407" s="15" t="s">
        <v>55</v>
      </c>
      <c r="G407" s="10" t="n">
        <v>1</v>
      </c>
      <c r="H407" s="21" t="n">
        <v>46058.4061805556</v>
      </c>
      <c r="I407" s="15" t="s">
        <v>1531</v>
      </c>
      <c r="J407" s="15" t="s">
        <v>1531</v>
      </c>
      <c r="K407" s="15"/>
      <c r="L407" s="10" t="n">
        <f aca="false">COUNTIF($E$2:E407,E407)</f>
        <v>45</v>
      </c>
      <c r="M407" s="10" t="e">
        <f aca="false">ifs(L407=1, L407&amp;"-"&amp; COUNTIFS($L$2:L407,1))</f>
        <v>#NAME?</v>
      </c>
      <c r="N407" s="15" t="s">
        <v>603</v>
      </c>
      <c r="O407" s="10"/>
      <c r="P407" s="22" t="n">
        <f aca="false">COUNTIFS(C:C,C407,N:N,"Đã xác nhận")/COUNTIFS(C:C,C407)</f>
        <v>1</v>
      </c>
      <c r="Q407" s="22"/>
      <c r="R407" s="0" t="s">
        <v>1130</v>
      </c>
      <c r="S407" s="0" t="s">
        <v>539</v>
      </c>
      <c r="U407" s="24" t="n">
        <v>1</v>
      </c>
    </row>
    <row r="408" customFormat="false" ht="12.75" hidden="false" customHeight="false" outlineLevel="0" collapsed="false">
      <c r="A408" s="15" t="s">
        <v>1532</v>
      </c>
      <c r="B408" s="15" t="s">
        <v>1103</v>
      </c>
      <c r="C408" s="15" t="s">
        <v>456</v>
      </c>
      <c r="D408" s="15" t="s">
        <v>1533</v>
      </c>
      <c r="E408" s="15" t="s">
        <v>81</v>
      </c>
      <c r="G408" s="10" t="n">
        <v>1</v>
      </c>
      <c r="H408" s="21" t="n">
        <v>46058.4065046296</v>
      </c>
      <c r="I408" s="15" t="s">
        <v>1534</v>
      </c>
      <c r="J408" s="15" t="s">
        <v>1534</v>
      </c>
      <c r="K408" s="15"/>
      <c r="L408" s="10" t="n">
        <f aca="false">COUNTIF($E$2:E408,E408)</f>
        <v>107</v>
      </c>
      <c r="M408" s="10" t="e">
        <f aca="false">ifs(L408=1, L408&amp;"-"&amp; COUNTIFS($L$2:L408,1))</f>
        <v>#NAME?</v>
      </c>
      <c r="N408" s="15" t="s">
        <v>603</v>
      </c>
      <c r="O408" s="10"/>
      <c r="P408" s="22" t="n">
        <f aca="false">COUNTIFS(C:C,C408,N:N,"Đã xác nhận")/COUNTIFS(C:C,C408)</f>
        <v>1</v>
      </c>
      <c r="Q408" s="22"/>
      <c r="R408" s="0" t="s">
        <v>1535</v>
      </c>
      <c r="S408" s="0" t="s">
        <v>534</v>
      </c>
      <c r="U408" s="24" t="n">
        <v>1</v>
      </c>
    </row>
    <row r="409" customFormat="false" ht="12.75" hidden="false" customHeight="false" outlineLevel="0" collapsed="false">
      <c r="A409" s="15" t="s">
        <v>1536</v>
      </c>
      <c r="B409" s="15" t="s">
        <v>1103</v>
      </c>
      <c r="C409" s="15" t="s">
        <v>456</v>
      </c>
      <c r="D409" s="15" t="s">
        <v>1537</v>
      </c>
      <c r="E409" s="15" t="s">
        <v>81</v>
      </c>
      <c r="G409" s="10" t="n">
        <v>1</v>
      </c>
      <c r="H409" s="21" t="n">
        <v>46058.4064814815</v>
      </c>
      <c r="I409" s="15" t="s">
        <v>1538</v>
      </c>
      <c r="J409" s="15" t="s">
        <v>1538</v>
      </c>
      <c r="K409" s="15"/>
      <c r="L409" s="10" t="n">
        <f aca="false">COUNTIF($E$2:E409,E409)</f>
        <v>108</v>
      </c>
      <c r="M409" s="10" t="e">
        <f aca="false">ifs(L409=1, L409&amp;"-"&amp; COUNTIFS($L$2:L409,1))</f>
        <v>#NAME?</v>
      </c>
      <c r="N409" s="15" t="s">
        <v>603</v>
      </c>
      <c r="O409" s="10"/>
      <c r="P409" s="22" t="n">
        <f aca="false">COUNTIFS(C:C,C409,N:N,"Đã xác nhận")/COUNTIFS(C:C,C409)</f>
        <v>1</v>
      </c>
      <c r="Q409" s="22"/>
      <c r="R409" s="0" t="s">
        <v>1539</v>
      </c>
      <c r="S409" s="0" t="s">
        <v>534</v>
      </c>
      <c r="U409" s="24" t="n">
        <v>1</v>
      </c>
    </row>
    <row r="410" customFormat="false" ht="12.75" hidden="false" customHeight="false" outlineLevel="0" collapsed="false">
      <c r="A410" s="15" t="s">
        <v>1540</v>
      </c>
      <c r="B410" s="15" t="s">
        <v>1103</v>
      </c>
      <c r="C410" s="15" t="s">
        <v>456</v>
      </c>
      <c r="D410" s="15" t="s">
        <v>1500</v>
      </c>
      <c r="E410" s="15" t="s">
        <v>39</v>
      </c>
      <c r="G410" s="10" t="n">
        <v>1</v>
      </c>
      <c r="H410" s="21" t="n">
        <v>46058.4060763889</v>
      </c>
      <c r="I410" s="15" t="s">
        <v>1541</v>
      </c>
      <c r="J410" s="15" t="s">
        <v>1541</v>
      </c>
      <c r="K410" s="15"/>
      <c r="L410" s="10" t="n">
        <f aca="false">COUNTIF($E$2:E410,E410)</f>
        <v>11</v>
      </c>
      <c r="M410" s="10" t="e">
        <f aca="false">ifs(L410=1, L410&amp;"-"&amp; COUNTIFS($L$2:L410,1))</f>
        <v>#NAME?</v>
      </c>
      <c r="N410" s="15" t="s">
        <v>603</v>
      </c>
      <c r="O410" s="10"/>
      <c r="P410" s="22" t="n">
        <f aca="false">COUNTIFS(C:C,C410,N:N,"Đã xác nhận")/COUNTIFS(C:C,C410)</f>
        <v>1</v>
      </c>
      <c r="Q410" s="22"/>
      <c r="R410" s="0" t="s">
        <v>1502</v>
      </c>
      <c r="S410" s="0" t="s">
        <v>550</v>
      </c>
      <c r="U410" s="24" t="n">
        <v>1</v>
      </c>
    </row>
    <row r="411" customFormat="false" ht="12.75" hidden="false" customHeight="false" outlineLevel="0" collapsed="false">
      <c r="A411" s="15" t="s">
        <v>1542</v>
      </c>
      <c r="B411" s="15" t="s">
        <v>1103</v>
      </c>
      <c r="C411" s="15" t="s">
        <v>1543</v>
      </c>
      <c r="D411" s="15" t="s">
        <v>1544</v>
      </c>
      <c r="E411" s="15" t="s">
        <v>81</v>
      </c>
      <c r="G411" s="10" t="n">
        <v>1</v>
      </c>
      <c r="H411" s="21" t="n">
        <v>45967.3935069444</v>
      </c>
      <c r="I411" s="15" t="s">
        <v>1545</v>
      </c>
      <c r="J411" s="15" t="s">
        <v>1546</v>
      </c>
      <c r="K411" s="15" t="s">
        <v>1547</v>
      </c>
      <c r="L411" s="10" t="n">
        <f aca="false">COUNTIF($E$2:E411,E411)</f>
        <v>109</v>
      </c>
      <c r="M411" s="10" t="e">
        <f aca="false">ifs(L411=1, L411&amp;"-"&amp; COUNTIFS($L$2:L411,1))</f>
        <v>#NAME?</v>
      </c>
      <c r="O411" s="10"/>
      <c r="P411" s="22" t="n">
        <f aca="false">COUNTIFS(C:C,C411,N:N,"Đã xác nhận")/COUNTIFS(C:C,C411)</f>
        <v>0.0555555555555556</v>
      </c>
      <c r="Q411" s="22"/>
      <c r="R411" s="0" t="s">
        <v>1535</v>
      </c>
      <c r="S411" s="0" t="s">
        <v>534</v>
      </c>
      <c r="U411" s="24" t="n">
        <v>1</v>
      </c>
    </row>
    <row r="412" customFormat="false" ht="12.75" hidden="false" customHeight="false" outlineLevel="0" collapsed="false">
      <c r="A412" s="15" t="s">
        <v>1548</v>
      </c>
      <c r="B412" s="15" t="s">
        <v>1103</v>
      </c>
      <c r="C412" s="15" t="s">
        <v>1543</v>
      </c>
      <c r="D412" s="15" t="s">
        <v>1549</v>
      </c>
      <c r="E412" s="15" t="s">
        <v>81</v>
      </c>
      <c r="G412" s="10" t="n">
        <v>2</v>
      </c>
      <c r="H412" s="21" t="n">
        <v>45967.3940162037</v>
      </c>
      <c r="I412" s="15" t="s">
        <v>1550</v>
      </c>
      <c r="J412" s="15" t="s">
        <v>1551</v>
      </c>
      <c r="K412" s="15" t="s">
        <v>1552</v>
      </c>
      <c r="L412" s="10" t="n">
        <f aca="false">COUNTIF($E$2:E412,E412)</f>
        <v>110</v>
      </c>
      <c r="M412" s="10" t="e">
        <f aca="false">ifs(L412=1, L412&amp;"-"&amp; COUNTIFS($L$2:L412,1))</f>
        <v>#NAME?</v>
      </c>
      <c r="O412" s="10"/>
      <c r="P412" s="22" t="n">
        <f aca="false">COUNTIFS(C:C,C412,N:N,"Đã xác nhận")/COUNTIFS(C:C,C412)</f>
        <v>0.0555555555555556</v>
      </c>
      <c r="Q412" s="22"/>
      <c r="R412" s="0" t="s">
        <v>1553</v>
      </c>
      <c r="S412" s="0" t="s">
        <v>534</v>
      </c>
      <c r="U412" s="24" t="n">
        <v>2</v>
      </c>
    </row>
    <row r="413" customFormat="false" ht="12.75" hidden="false" customHeight="false" outlineLevel="0" collapsed="false">
      <c r="A413" s="15" t="s">
        <v>1554</v>
      </c>
      <c r="B413" s="15" t="s">
        <v>1103</v>
      </c>
      <c r="C413" s="15" t="s">
        <v>1543</v>
      </c>
      <c r="D413" s="15" t="s">
        <v>1555</v>
      </c>
      <c r="E413" s="15" t="s">
        <v>81</v>
      </c>
      <c r="G413" s="10" t="n">
        <v>2</v>
      </c>
      <c r="H413" s="21" t="n">
        <v>45967.3944212963</v>
      </c>
      <c r="I413" s="15" t="s">
        <v>1556</v>
      </c>
      <c r="J413" s="15" t="s">
        <v>1557</v>
      </c>
      <c r="K413" s="15" t="s">
        <v>1558</v>
      </c>
      <c r="L413" s="10" t="n">
        <f aca="false">COUNTIF($E$2:E413,E413)</f>
        <v>111</v>
      </c>
      <c r="M413" s="10" t="e">
        <f aca="false">ifs(L413=1, L413&amp;"-"&amp; COUNTIFS($L$2:L413,1))</f>
        <v>#NAME?</v>
      </c>
      <c r="O413" s="10"/>
      <c r="P413" s="22" t="n">
        <f aca="false">COUNTIFS(C:C,C413,N:N,"Đã xác nhận")/COUNTIFS(C:C,C413)</f>
        <v>0.0555555555555556</v>
      </c>
      <c r="Q413" s="22"/>
      <c r="R413" s="0" t="s">
        <v>1559</v>
      </c>
      <c r="S413" s="0" t="s">
        <v>534</v>
      </c>
      <c r="U413" s="24" t="n">
        <v>2</v>
      </c>
    </row>
    <row r="414" customFormat="false" ht="12.75" hidden="false" customHeight="false" outlineLevel="0" collapsed="false">
      <c r="A414" s="15" t="s">
        <v>1560</v>
      </c>
      <c r="B414" s="15" t="s">
        <v>1103</v>
      </c>
      <c r="C414" s="15" t="s">
        <v>1543</v>
      </c>
      <c r="D414" s="15" t="s">
        <v>1150</v>
      </c>
      <c r="E414" s="15" t="s">
        <v>47</v>
      </c>
      <c r="G414" s="10" t="n">
        <v>1</v>
      </c>
      <c r="H414" s="21" t="n">
        <v>45967.6744097222</v>
      </c>
      <c r="I414" s="15" t="s">
        <v>1561</v>
      </c>
      <c r="J414" s="15" t="s">
        <v>1562</v>
      </c>
      <c r="K414" s="15" t="s">
        <v>1563</v>
      </c>
      <c r="L414" s="10" t="n">
        <f aca="false">COUNTIF($E$2:E414,E414)</f>
        <v>32</v>
      </c>
      <c r="M414" s="10" t="e">
        <f aca="false">ifs(L414=1, L414&amp;"-"&amp; COUNTIFS($L$2:L414,1))</f>
        <v>#NAME?</v>
      </c>
      <c r="O414" s="10"/>
      <c r="P414" s="22" t="n">
        <f aca="false">COUNTIFS(C:C,C414,N:N,"Đã xác nhận")/COUNTIFS(C:C,C414)</f>
        <v>0.0555555555555556</v>
      </c>
      <c r="Q414" s="22"/>
      <c r="R414" s="0" t="s">
        <v>1152</v>
      </c>
      <c r="S414" s="0" t="s">
        <v>549</v>
      </c>
      <c r="U414" s="24" t="n">
        <v>1</v>
      </c>
    </row>
    <row r="415" customFormat="false" ht="12.75" hidden="false" customHeight="false" outlineLevel="0" collapsed="false">
      <c r="A415" s="15" t="s">
        <v>1564</v>
      </c>
      <c r="B415" s="15" t="s">
        <v>1103</v>
      </c>
      <c r="C415" s="15" t="s">
        <v>1543</v>
      </c>
      <c r="D415" s="15" t="s">
        <v>1565</v>
      </c>
      <c r="E415" s="15" t="s">
        <v>55</v>
      </c>
      <c r="G415" s="10" t="n">
        <v>1</v>
      </c>
      <c r="H415" s="21" t="n">
        <v>45946.3966550926</v>
      </c>
      <c r="I415" s="15" t="s">
        <v>1566</v>
      </c>
      <c r="J415" s="15" t="s">
        <v>1567</v>
      </c>
      <c r="K415" s="15" t="s">
        <v>1568</v>
      </c>
      <c r="L415" s="10" t="n">
        <f aca="false">COUNTIF($E$2:E415,E415)</f>
        <v>46</v>
      </c>
      <c r="M415" s="10" t="e">
        <f aca="false">ifs(L415=1, L415&amp;"-"&amp; COUNTIFS($L$2:L415,1))</f>
        <v>#NAME?</v>
      </c>
      <c r="O415" s="10"/>
      <c r="P415" s="22" t="n">
        <f aca="false">COUNTIFS(C:C,C415,N:N,"Đã xác nhận")/COUNTIFS(C:C,C415)</f>
        <v>0.0555555555555556</v>
      </c>
      <c r="Q415" s="22"/>
      <c r="R415" s="0" t="s">
        <v>1569</v>
      </c>
      <c r="S415" s="0" t="s">
        <v>539</v>
      </c>
      <c r="U415" s="24" t="n">
        <v>1</v>
      </c>
    </row>
    <row r="416" customFormat="false" ht="12.75" hidden="false" customHeight="false" outlineLevel="0" collapsed="false">
      <c r="A416" s="15" t="s">
        <v>1570</v>
      </c>
      <c r="B416" s="15" t="s">
        <v>1103</v>
      </c>
      <c r="C416" s="15" t="s">
        <v>1543</v>
      </c>
      <c r="D416" s="15" t="s">
        <v>1571</v>
      </c>
      <c r="E416" s="15" t="s">
        <v>39</v>
      </c>
      <c r="G416" s="10" t="n">
        <v>1</v>
      </c>
      <c r="H416" s="21" t="n">
        <v>45946.3973032407</v>
      </c>
      <c r="I416" s="15" t="s">
        <v>1566</v>
      </c>
      <c r="J416" s="15" t="s">
        <v>1572</v>
      </c>
      <c r="K416" s="15" t="s">
        <v>1573</v>
      </c>
      <c r="L416" s="10" t="n">
        <f aca="false">COUNTIF($E$2:E416,E416)</f>
        <v>12</v>
      </c>
      <c r="M416" s="10" t="e">
        <f aca="false">ifs(L416=1, L416&amp;"-"&amp; COUNTIFS($L$2:L416,1))</f>
        <v>#NAME?</v>
      </c>
      <c r="O416" s="10"/>
      <c r="P416" s="22" t="n">
        <f aca="false">COUNTIFS(C:C,C416,N:N,"Đã xác nhận")/COUNTIFS(C:C,C416)</f>
        <v>0.0555555555555556</v>
      </c>
      <c r="Q416" s="22"/>
      <c r="R416" s="0" t="s">
        <v>1574</v>
      </c>
      <c r="S416" s="0" t="s">
        <v>550</v>
      </c>
      <c r="U416" s="24" t="n">
        <v>1</v>
      </c>
    </row>
    <row r="417" customFormat="false" ht="12.75" hidden="false" customHeight="false" outlineLevel="0" collapsed="false">
      <c r="A417" s="15" t="s">
        <v>1575</v>
      </c>
      <c r="B417" s="15" t="s">
        <v>1103</v>
      </c>
      <c r="C417" s="15" t="s">
        <v>1543</v>
      </c>
      <c r="D417" s="15" t="s">
        <v>1196</v>
      </c>
      <c r="E417" s="15" t="s">
        <v>81</v>
      </c>
      <c r="G417" s="10" t="n">
        <v>1</v>
      </c>
      <c r="H417" s="21" t="n">
        <v>45967.3947337963</v>
      </c>
      <c r="I417" s="15" t="s">
        <v>1576</v>
      </c>
      <c r="J417" s="15" t="s">
        <v>1577</v>
      </c>
      <c r="K417" s="15" t="s">
        <v>1578</v>
      </c>
      <c r="L417" s="10" t="n">
        <f aca="false">COUNTIF($E$2:E417,E417)</f>
        <v>112</v>
      </c>
      <c r="M417" s="10" t="e">
        <f aca="false">ifs(L417=1, L417&amp;"-"&amp; COUNTIFS($L$2:L417,1))</f>
        <v>#NAME?</v>
      </c>
      <c r="O417" s="10"/>
      <c r="P417" s="22" t="n">
        <f aca="false">COUNTIFS(C:C,C417,N:N,"Đã xác nhận")/COUNTIFS(C:C,C417)</f>
        <v>0.0555555555555556</v>
      </c>
      <c r="Q417" s="22"/>
      <c r="R417" s="0" t="s">
        <v>1200</v>
      </c>
      <c r="S417" s="0" t="s">
        <v>534</v>
      </c>
      <c r="U417" s="24" t="n">
        <v>1</v>
      </c>
    </row>
    <row r="418" customFormat="false" ht="12.75" hidden="false" customHeight="false" outlineLevel="0" collapsed="false">
      <c r="A418" s="15" t="s">
        <v>1579</v>
      </c>
      <c r="B418" s="15" t="s">
        <v>1103</v>
      </c>
      <c r="C418" s="15" t="s">
        <v>1543</v>
      </c>
      <c r="D418" s="15" t="s">
        <v>1179</v>
      </c>
      <c r="E418" s="15" t="s">
        <v>63</v>
      </c>
      <c r="G418" s="10" t="n">
        <v>1</v>
      </c>
      <c r="H418" s="21" t="n">
        <v>45946.397974537</v>
      </c>
      <c r="I418" s="15" t="s">
        <v>1566</v>
      </c>
      <c r="J418" s="15" t="s">
        <v>1580</v>
      </c>
      <c r="K418" s="15" t="s">
        <v>1581</v>
      </c>
      <c r="L418" s="10" t="n">
        <f aca="false">COUNTIF($E$2:E418,E418)</f>
        <v>11</v>
      </c>
      <c r="M418" s="10" t="e">
        <f aca="false">ifs(L418=1, L418&amp;"-"&amp; COUNTIFS($L$2:L418,1))</f>
        <v>#NAME?</v>
      </c>
      <c r="O418" s="10"/>
      <c r="P418" s="22" t="n">
        <f aca="false">COUNTIFS(C:C,C418,N:N,"Đã xác nhận")/COUNTIFS(C:C,C418)</f>
        <v>0.0555555555555556</v>
      </c>
      <c r="Q418" s="22"/>
      <c r="R418" s="0" t="s">
        <v>1181</v>
      </c>
      <c r="S418" s="0" t="s">
        <v>551</v>
      </c>
      <c r="U418" s="24" t="n">
        <v>1</v>
      </c>
    </row>
    <row r="419" customFormat="false" ht="12.75" hidden="false" customHeight="false" outlineLevel="0" collapsed="false">
      <c r="A419" s="15" t="s">
        <v>1582</v>
      </c>
      <c r="B419" s="15" t="s">
        <v>1103</v>
      </c>
      <c r="C419" s="15" t="s">
        <v>1543</v>
      </c>
      <c r="D419" s="15" t="s">
        <v>1583</v>
      </c>
      <c r="E419" s="15" t="s">
        <v>47</v>
      </c>
      <c r="G419" s="10" t="n">
        <v>1</v>
      </c>
      <c r="H419" s="21" t="n">
        <v>45967.6748032407</v>
      </c>
      <c r="I419" s="15" t="s">
        <v>1584</v>
      </c>
      <c r="J419" s="15" t="s">
        <v>1585</v>
      </c>
      <c r="K419" s="15" t="s">
        <v>1586</v>
      </c>
      <c r="L419" s="10" t="n">
        <f aca="false">COUNTIF($E$2:E419,E419)</f>
        <v>33</v>
      </c>
      <c r="M419" s="10" t="e">
        <f aca="false">ifs(L419=1, L419&amp;"-"&amp; COUNTIFS($L$2:L419,1))</f>
        <v>#NAME?</v>
      </c>
      <c r="O419" s="10"/>
      <c r="P419" s="22" t="n">
        <f aca="false">COUNTIFS(C:C,C419,N:N,"Đã xác nhận")/COUNTIFS(C:C,C419)</f>
        <v>0.0555555555555556</v>
      </c>
      <c r="Q419" s="22"/>
      <c r="R419" s="0" t="s">
        <v>1587</v>
      </c>
      <c r="S419" s="0" t="s">
        <v>549</v>
      </c>
      <c r="U419" s="24" t="n">
        <v>1</v>
      </c>
    </row>
    <row r="420" customFormat="false" ht="12.75" hidden="false" customHeight="false" outlineLevel="0" collapsed="false">
      <c r="A420" s="15" t="s">
        <v>1588</v>
      </c>
      <c r="B420" s="15" t="s">
        <v>1103</v>
      </c>
      <c r="C420" s="15" t="s">
        <v>1543</v>
      </c>
      <c r="D420" s="15" t="s">
        <v>1571</v>
      </c>
      <c r="E420" s="15" t="s">
        <v>81</v>
      </c>
      <c r="G420" s="10" t="n">
        <v>1</v>
      </c>
      <c r="H420" s="21" t="n">
        <v>45967.393599537</v>
      </c>
      <c r="I420" s="15" t="s">
        <v>1589</v>
      </c>
      <c r="J420" s="15" t="s">
        <v>1590</v>
      </c>
      <c r="K420" s="15" t="s">
        <v>1591</v>
      </c>
      <c r="L420" s="10" t="n">
        <f aca="false">COUNTIF($E$2:E420,E420)</f>
        <v>113</v>
      </c>
      <c r="M420" s="10" t="e">
        <f aca="false">ifs(L420=1, L420&amp;"-"&amp; COUNTIFS($L$2:L420,1))</f>
        <v>#NAME?</v>
      </c>
      <c r="O420" s="10"/>
      <c r="P420" s="22" t="n">
        <f aca="false">COUNTIFS(C:C,C420,N:N,"Đã xác nhận")/COUNTIFS(C:C,C420)</f>
        <v>0.0555555555555556</v>
      </c>
      <c r="Q420" s="22"/>
      <c r="R420" s="0" t="s">
        <v>1574</v>
      </c>
      <c r="S420" s="0" t="s">
        <v>534</v>
      </c>
      <c r="U420" s="24" t="n">
        <v>1</v>
      </c>
    </row>
    <row r="421" customFormat="false" ht="12.75" hidden="false" customHeight="false" outlineLevel="0" collapsed="false">
      <c r="A421" s="15" t="s">
        <v>1592</v>
      </c>
      <c r="B421" s="15" t="s">
        <v>1103</v>
      </c>
      <c r="C421" s="15" t="s">
        <v>1543</v>
      </c>
      <c r="D421" s="15" t="s">
        <v>1593</v>
      </c>
      <c r="E421" s="15" t="s">
        <v>55</v>
      </c>
      <c r="G421" s="10" t="n">
        <v>1</v>
      </c>
      <c r="H421" s="21" t="n">
        <v>45946.4003587963</v>
      </c>
      <c r="I421" s="15" t="s">
        <v>1566</v>
      </c>
      <c r="J421" s="15" t="s">
        <v>1594</v>
      </c>
      <c r="K421" s="15" t="s">
        <v>1595</v>
      </c>
      <c r="L421" s="10" t="n">
        <f aca="false">COUNTIF($E$2:E421,E421)</f>
        <v>47</v>
      </c>
      <c r="M421" s="10" t="e">
        <f aca="false">ifs(L421=1, L421&amp;"-"&amp; COUNTIFS($L$2:L421,1))</f>
        <v>#NAME?</v>
      </c>
      <c r="O421" s="10"/>
      <c r="P421" s="22" t="n">
        <f aca="false">COUNTIFS(C:C,C421,N:N,"Đã xác nhận")/COUNTIFS(C:C,C421)</f>
        <v>0.0555555555555556</v>
      </c>
      <c r="Q421" s="22"/>
      <c r="R421" s="0" t="s">
        <v>1596</v>
      </c>
      <c r="S421" s="0" t="s">
        <v>539</v>
      </c>
      <c r="U421" s="24" t="n">
        <v>1</v>
      </c>
    </row>
    <row r="422" customFormat="false" ht="12.75" hidden="false" customHeight="false" outlineLevel="0" collapsed="false">
      <c r="A422" s="15" t="s">
        <v>1597</v>
      </c>
      <c r="B422" s="15" t="s">
        <v>1103</v>
      </c>
      <c r="C422" s="15" t="s">
        <v>1543</v>
      </c>
      <c r="D422" s="15" t="s">
        <v>1598</v>
      </c>
      <c r="E422" s="15" t="s">
        <v>81</v>
      </c>
      <c r="G422" s="10" t="n">
        <v>1</v>
      </c>
      <c r="H422" s="21" t="n">
        <v>45967.3939814815</v>
      </c>
      <c r="I422" s="15" t="s">
        <v>1599</v>
      </c>
      <c r="J422" s="15" t="s">
        <v>1600</v>
      </c>
      <c r="K422" s="15" t="s">
        <v>1601</v>
      </c>
      <c r="L422" s="10" t="n">
        <f aca="false">COUNTIF($E$2:E422,E422)</f>
        <v>114</v>
      </c>
      <c r="M422" s="10" t="e">
        <f aca="false">ifs(L422=1, L422&amp;"-"&amp; COUNTIFS($L$2:L422,1))</f>
        <v>#NAME?</v>
      </c>
      <c r="O422" s="10"/>
      <c r="P422" s="22" t="n">
        <f aca="false">COUNTIFS(C:C,C422,N:N,"Đã xác nhận")/COUNTIFS(C:C,C422)</f>
        <v>0.0555555555555556</v>
      </c>
      <c r="Q422" s="22"/>
      <c r="R422" s="0" t="s">
        <v>1602</v>
      </c>
      <c r="S422" s="0" t="s">
        <v>534</v>
      </c>
      <c r="U422" s="24" t="n">
        <v>1</v>
      </c>
    </row>
    <row r="423" customFormat="false" ht="12.75" hidden="false" customHeight="false" outlineLevel="0" collapsed="false">
      <c r="A423" s="15" t="s">
        <v>1603</v>
      </c>
      <c r="B423" s="15" t="s">
        <v>1103</v>
      </c>
      <c r="C423" s="15" t="s">
        <v>1543</v>
      </c>
      <c r="D423" s="15" t="s">
        <v>1115</v>
      </c>
      <c r="E423" s="15" t="s">
        <v>47</v>
      </c>
      <c r="G423" s="10" t="n">
        <v>1</v>
      </c>
      <c r="H423" s="21" t="n">
        <v>45946.4025462963</v>
      </c>
      <c r="I423" s="15" t="s">
        <v>1566</v>
      </c>
      <c r="J423" s="15" t="s">
        <v>1604</v>
      </c>
      <c r="K423" s="15" t="s">
        <v>1605</v>
      </c>
      <c r="L423" s="10" t="n">
        <f aca="false">COUNTIF($E$2:E423,E423)</f>
        <v>34</v>
      </c>
      <c r="M423" s="10" t="e">
        <f aca="false">ifs(L423=1, L423&amp;"-"&amp; COUNTIFS($L$2:L423,1))</f>
        <v>#NAME?</v>
      </c>
      <c r="O423" s="10"/>
      <c r="P423" s="22" t="n">
        <f aca="false">COUNTIFS(C:C,C423,N:N,"Đã xác nhận")/COUNTIFS(C:C,C423)</f>
        <v>0.0555555555555556</v>
      </c>
      <c r="Q423" s="22"/>
      <c r="R423" s="0" t="s">
        <v>1119</v>
      </c>
      <c r="S423" s="0" t="s">
        <v>549</v>
      </c>
      <c r="U423" s="24" t="n">
        <v>1</v>
      </c>
    </row>
    <row r="424" customFormat="false" ht="12.75" hidden="false" customHeight="false" outlineLevel="0" collapsed="false">
      <c r="A424" s="15" t="s">
        <v>1606</v>
      </c>
      <c r="B424" s="15" t="s">
        <v>1103</v>
      </c>
      <c r="C424" s="15" t="s">
        <v>1543</v>
      </c>
      <c r="D424" s="15" t="s">
        <v>1607</v>
      </c>
      <c r="E424" s="15" t="s">
        <v>81</v>
      </c>
      <c r="G424" s="10" t="n">
        <v>2</v>
      </c>
      <c r="H424" s="21" t="n">
        <v>45967.3922685185</v>
      </c>
      <c r="I424" s="15" t="s">
        <v>1608</v>
      </c>
      <c r="J424" s="15" t="s">
        <v>1609</v>
      </c>
      <c r="K424" s="15" t="s">
        <v>1610</v>
      </c>
      <c r="L424" s="10" t="n">
        <f aca="false">COUNTIF($E$2:E424,E424)</f>
        <v>115</v>
      </c>
      <c r="M424" s="10" t="e">
        <f aca="false">ifs(L424=1, L424&amp;"-"&amp; COUNTIFS($L$2:L424,1))</f>
        <v>#NAME?</v>
      </c>
      <c r="O424" s="10"/>
      <c r="P424" s="22" t="n">
        <f aca="false">COUNTIFS(C:C,C424,N:N,"Đã xác nhận")/COUNTIFS(C:C,C424)</f>
        <v>0.0555555555555556</v>
      </c>
      <c r="Q424" s="22"/>
      <c r="R424" s="0" t="s">
        <v>1611</v>
      </c>
      <c r="S424" s="0" t="s">
        <v>534</v>
      </c>
      <c r="U424" s="24" t="n">
        <v>2</v>
      </c>
    </row>
    <row r="425" customFormat="false" ht="12.75" hidden="false" customHeight="false" outlineLevel="0" collapsed="false">
      <c r="A425" s="15" t="s">
        <v>1612</v>
      </c>
      <c r="B425" s="15" t="s">
        <v>1103</v>
      </c>
      <c r="C425" s="15" t="s">
        <v>1543</v>
      </c>
      <c r="D425" s="15" t="s">
        <v>1613</v>
      </c>
      <c r="E425" s="15" t="s">
        <v>81</v>
      </c>
      <c r="G425" s="10" t="n">
        <v>1</v>
      </c>
      <c r="H425" s="21" t="n">
        <v>45967.3938078704</v>
      </c>
      <c r="I425" s="15" t="s">
        <v>1614</v>
      </c>
      <c r="J425" s="15" t="s">
        <v>1615</v>
      </c>
      <c r="K425" s="15" t="s">
        <v>1616</v>
      </c>
      <c r="L425" s="10" t="n">
        <f aca="false">COUNTIF($E$2:E425,E425)</f>
        <v>116</v>
      </c>
      <c r="M425" s="10" t="e">
        <f aca="false">ifs(L425=1, L425&amp;"-"&amp; COUNTIFS($L$2:L425,1))</f>
        <v>#NAME?</v>
      </c>
      <c r="O425" s="10"/>
      <c r="P425" s="22" t="n">
        <f aca="false">COUNTIFS(C:C,C425,N:N,"Đã xác nhận")/COUNTIFS(C:C,C425)</f>
        <v>0.0555555555555556</v>
      </c>
      <c r="Q425" s="22"/>
      <c r="R425" s="0" t="s">
        <v>1617</v>
      </c>
      <c r="S425" s="0" t="s">
        <v>534</v>
      </c>
      <c r="U425" s="24" t="n">
        <v>1</v>
      </c>
    </row>
    <row r="426" customFormat="false" ht="12.75" hidden="false" customHeight="false" outlineLevel="0" collapsed="false">
      <c r="A426" s="15" t="s">
        <v>1618</v>
      </c>
      <c r="B426" s="15" t="s">
        <v>1103</v>
      </c>
      <c r="C426" s="15" t="s">
        <v>1543</v>
      </c>
      <c r="D426" s="15" t="s">
        <v>1619</v>
      </c>
      <c r="E426" s="15" t="s">
        <v>81</v>
      </c>
      <c r="G426" s="10" t="n">
        <v>1</v>
      </c>
      <c r="H426" s="21" t="n">
        <v>45967.3935532407</v>
      </c>
      <c r="I426" s="15" t="s">
        <v>1620</v>
      </c>
      <c r="J426" s="15" t="s">
        <v>1621</v>
      </c>
      <c r="K426" s="15" t="s">
        <v>1622</v>
      </c>
      <c r="L426" s="10" t="n">
        <f aca="false">COUNTIF($E$2:E426,E426)</f>
        <v>117</v>
      </c>
      <c r="M426" s="10" t="e">
        <f aca="false">ifs(L426=1, L426&amp;"-"&amp; COUNTIFS($L$2:L426,1))</f>
        <v>#NAME?</v>
      </c>
      <c r="O426" s="10"/>
      <c r="P426" s="22" t="n">
        <f aca="false">COUNTIFS(C:C,C426,N:N,"Đã xác nhận")/COUNTIFS(C:C,C426)</f>
        <v>0.0555555555555556</v>
      </c>
      <c r="Q426" s="22"/>
      <c r="R426" s="0" t="s">
        <v>1623</v>
      </c>
      <c r="S426" s="0" t="s">
        <v>534</v>
      </c>
      <c r="U426" s="24" t="n">
        <v>1</v>
      </c>
    </row>
    <row r="427" customFormat="false" ht="12.75" hidden="false" customHeight="false" outlineLevel="0" collapsed="false">
      <c r="A427" s="15" t="s">
        <v>1624</v>
      </c>
      <c r="B427" s="15" t="s">
        <v>1103</v>
      </c>
      <c r="C427" s="15" t="s">
        <v>1543</v>
      </c>
      <c r="D427" s="15" t="s">
        <v>1537</v>
      </c>
      <c r="E427" s="15" t="s">
        <v>81</v>
      </c>
      <c r="G427" s="10" t="n">
        <v>1</v>
      </c>
      <c r="H427" s="21" t="n">
        <v>45967.3928125</v>
      </c>
      <c r="I427" s="15" t="s">
        <v>1625</v>
      </c>
      <c r="J427" s="15" t="s">
        <v>1626</v>
      </c>
      <c r="K427" s="15" t="s">
        <v>1627</v>
      </c>
      <c r="L427" s="10" t="n">
        <f aca="false">COUNTIF($E$2:E427,E427)</f>
        <v>118</v>
      </c>
      <c r="M427" s="10" t="e">
        <f aca="false">ifs(L427=1, L427&amp;"-"&amp; COUNTIFS($L$2:L427,1))</f>
        <v>#NAME?</v>
      </c>
      <c r="O427" s="10"/>
      <c r="P427" s="22" t="n">
        <f aca="false">COUNTIFS(C:C,C427,N:N,"Đã xác nhận")/COUNTIFS(C:C,C427)</f>
        <v>0.0555555555555556</v>
      </c>
      <c r="Q427" s="22"/>
      <c r="R427" s="0" t="s">
        <v>1539</v>
      </c>
      <c r="S427" s="0" t="s">
        <v>534</v>
      </c>
      <c r="U427" s="24" t="n">
        <v>1</v>
      </c>
    </row>
    <row r="428" customFormat="false" ht="12.75" hidden="false" customHeight="false" outlineLevel="0" collapsed="false">
      <c r="A428" s="15" t="s">
        <v>1628</v>
      </c>
      <c r="B428" s="15" t="s">
        <v>600</v>
      </c>
      <c r="C428" s="15" t="s">
        <v>465</v>
      </c>
      <c r="D428" s="15" t="s">
        <v>902</v>
      </c>
      <c r="E428" s="15" t="s">
        <v>59</v>
      </c>
      <c r="G428" s="10" t="n">
        <v>1</v>
      </c>
      <c r="H428" s="21" t="n">
        <v>46027.4012037037</v>
      </c>
      <c r="I428" s="15" t="s">
        <v>1629</v>
      </c>
      <c r="J428" s="15" t="s">
        <v>1629</v>
      </c>
      <c r="K428" s="15"/>
      <c r="L428" s="10" t="n">
        <f aca="false">COUNTIF($E$2:E428,E428)</f>
        <v>2</v>
      </c>
      <c r="M428" s="10" t="e">
        <f aca="false">ifs(L428=1, L428&amp;"-"&amp; COUNTIFS($L$2:L428,1))</f>
        <v>#NAME?</v>
      </c>
      <c r="N428" s="15" t="s">
        <v>603</v>
      </c>
      <c r="O428" s="10"/>
      <c r="P428" s="22" t="n">
        <f aca="false">COUNTIFS(C:C,C428,N:N,"Đã xác nhận")/COUNTIFS(C:C,C428)</f>
        <v>1</v>
      </c>
      <c r="Q428" s="22"/>
      <c r="R428" s="0" t="s">
        <v>904</v>
      </c>
      <c r="S428" s="0" t="s">
        <v>562</v>
      </c>
      <c r="U428" s="24" t="n">
        <v>1</v>
      </c>
    </row>
    <row r="429" customFormat="false" ht="12.75" hidden="false" customHeight="false" outlineLevel="0" collapsed="false">
      <c r="A429" s="15" t="s">
        <v>1630</v>
      </c>
      <c r="B429" s="15" t="s">
        <v>600</v>
      </c>
      <c r="C429" s="15" t="s">
        <v>465</v>
      </c>
      <c r="D429" s="15" t="s">
        <v>905</v>
      </c>
      <c r="E429" s="15" t="s">
        <v>545</v>
      </c>
      <c r="F429" s="15"/>
      <c r="G429" s="10" t="n">
        <v>4</v>
      </c>
      <c r="H429" s="21" t="n">
        <v>46027.3960416667</v>
      </c>
      <c r="I429" s="15" t="s">
        <v>1631</v>
      </c>
      <c r="J429" s="15" t="s">
        <v>1631</v>
      </c>
      <c r="K429" s="15"/>
      <c r="L429" s="10" t="n">
        <f aca="false">COUNTIF($E$2:E429,E429)</f>
        <v>14</v>
      </c>
      <c r="M429" s="10" t="e">
        <f aca="false">ifs(L429=1, L429&amp;"-"&amp; COUNTIFS($L$2:L429,1))</f>
        <v>#NAME?</v>
      </c>
      <c r="N429" s="15" t="s">
        <v>603</v>
      </c>
      <c r="O429" s="10"/>
      <c r="P429" s="22" t="n">
        <f aca="false">COUNTIFS(C:C,C429,N:N,"Đã xác nhận")/COUNTIFS(C:C,C429)</f>
        <v>1</v>
      </c>
      <c r="Q429" s="22"/>
      <c r="R429" s="0" t="s">
        <v>907</v>
      </c>
      <c r="S429" s="0" t="s">
        <v>546</v>
      </c>
      <c r="U429" s="24" t="n">
        <v>4</v>
      </c>
    </row>
    <row r="430" customFormat="false" ht="12.75" hidden="false" customHeight="false" outlineLevel="0" collapsed="false">
      <c r="A430" s="15" t="s">
        <v>1632</v>
      </c>
      <c r="B430" s="15"/>
      <c r="C430" s="15"/>
      <c r="D430" s="15"/>
      <c r="E430" s="15"/>
      <c r="G430" s="10" t="n">
        <v>0</v>
      </c>
      <c r="H430" s="21" t="n">
        <v>46036.4341666667</v>
      </c>
      <c r="I430" s="15" t="s">
        <v>1633</v>
      </c>
      <c r="J430" s="15" t="s">
        <v>695</v>
      </c>
      <c r="K430" s="15" t="s">
        <v>1634</v>
      </c>
      <c r="L430" s="10" t="n">
        <f aca="false">COUNTIF($E$2:E430,E430)</f>
        <v>0</v>
      </c>
      <c r="M430" s="10" t="e">
        <f aca="false">ifs(L430=1, L430&amp;"-"&amp; COUNTIFS($L$2:L430,1))</f>
        <v>#NAME?</v>
      </c>
      <c r="O430" s="10"/>
      <c r="P430" s="22" t="e">
        <f aca="false">COUNTIFS(C:C,C430,N:N,"Đã xác nhận")/COUNTIFS(C:C,C430)</f>
        <v>#DIV/0!</v>
      </c>
      <c r="Q430" s="22"/>
      <c r="R430" s="0" t="e">
        <f aca="false">#VALUE!</f>
        <v>#VALUE!</v>
      </c>
      <c r="S430" s="0" t="e">
        <f aca="false">#VALUE!</f>
        <v>#VALUE!</v>
      </c>
      <c r="U430" s="24" t="n">
        <v>0</v>
      </c>
    </row>
    <row r="431" customFormat="false" ht="12.75" hidden="false" customHeight="false" outlineLevel="0" collapsed="false">
      <c r="A431" s="15" t="s">
        <v>1635</v>
      </c>
      <c r="B431" s="15"/>
      <c r="C431" s="15"/>
      <c r="D431" s="15"/>
      <c r="E431" s="15"/>
      <c r="G431" s="10" t="n">
        <v>0</v>
      </c>
      <c r="H431" s="21" t="n">
        <v>46044.6193981482</v>
      </c>
      <c r="I431" s="15" t="s">
        <v>1636</v>
      </c>
      <c r="J431" s="15" t="s">
        <v>695</v>
      </c>
      <c r="K431" s="15" t="s">
        <v>1637</v>
      </c>
      <c r="L431" s="10" t="n">
        <f aca="false">COUNTIF($E$2:E431,E431)</f>
        <v>0</v>
      </c>
      <c r="M431" s="10" t="e">
        <f aca="false">ifs(L431=1, L431&amp;"-"&amp; COUNTIFS($L$2:L431,1))</f>
        <v>#NAME?</v>
      </c>
      <c r="N431" s="15"/>
      <c r="O431" s="10"/>
      <c r="P431" s="22" t="e">
        <f aca="false">COUNTIFS(C:C,C431,N:N,"Đã xác nhận")/COUNTIFS(C:C,C431)</f>
        <v>#DIV/0!</v>
      </c>
      <c r="Q431" s="22"/>
      <c r="R431" s="0" t="e">
        <f aca="false">#VALUE!</f>
        <v>#VALUE!</v>
      </c>
      <c r="S431" s="0" t="e">
        <f aca="false">#VALUE!</f>
        <v>#VALUE!</v>
      </c>
      <c r="U431" s="24" t="n">
        <v>0</v>
      </c>
    </row>
    <row r="432" customFormat="false" ht="12.75" hidden="false" customHeight="false" outlineLevel="0" collapsed="false">
      <c r="A432" s="15" t="s">
        <v>1638</v>
      </c>
      <c r="B432" s="15"/>
      <c r="C432" s="15"/>
      <c r="D432" s="15"/>
      <c r="E432" s="15"/>
      <c r="G432" s="10" t="n">
        <v>0</v>
      </c>
      <c r="H432" s="21" t="n">
        <v>46027.4021990741</v>
      </c>
      <c r="I432" s="15" t="s">
        <v>1639</v>
      </c>
      <c r="J432" s="15" t="s">
        <v>695</v>
      </c>
      <c r="K432" s="15" t="s">
        <v>1640</v>
      </c>
      <c r="L432" s="10" t="n">
        <f aca="false">COUNTIF($E$2:E432,E432)</f>
        <v>0</v>
      </c>
      <c r="M432" s="10" t="e">
        <f aca="false">ifs(L432=1, L432&amp;"-"&amp; COUNTIFS($L$2:L432,1))</f>
        <v>#NAME?</v>
      </c>
      <c r="O432" s="10"/>
      <c r="P432" s="22" t="e">
        <f aca="false">COUNTIFS(C:C,C432,N:N,"Đã xác nhận")/COUNTIFS(C:C,C432)</f>
        <v>#DIV/0!</v>
      </c>
      <c r="Q432" s="22"/>
      <c r="R432" s="0" t="e">
        <f aca="false">#VALUE!</f>
        <v>#VALUE!</v>
      </c>
      <c r="S432" s="0" t="e">
        <f aca="false">#VALUE!</f>
        <v>#VALUE!</v>
      </c>
      <c r="U432" s="24" t="n">
        <v>0</v>
      </c>
    </row>
    <row r="433" customFormat="false" ht="12.75" hidden="false" customHeight="false" outlineLevel="0" collapsed="false">
      <c r="A433" s="15" t="s">
        <v>1641</v>
      </c>
      <c r="B433" s="15" t="s">
        <v>600</v>
      </c>
      <c r="C433" s="15" t="s">
        <v>465</v>
      </c>
      <c r="D433" s="15" t="s">
        <v>932</v>
      </c>
      <c r="E433" s="15" t="s">
        <v>565</v>
      </c>
      <c r="G433" s="10" t="n">
        <v>1</v>
      </c>
      <c r="H433" s="21" t="n">
        <v>46027.3958680556</v>
      </c>
      <c r="I433" s="15" t="s">
        <v>1642</v>
      </c>
      <c r="J433" s="15" t="s">
        <v>1642</v>
      </c>
      <c r="K433" s="15"/>
      <c r="L433" s="10" t="n">
        <f aca="false">COUNTIF($E$2:E433,E433)</f>
        <v>9</v>
      </c>
      <c r="M433" s="10" t="e">
        <f aca="false">ifs(L433=1, L433&amp;"-"&amp; COUNTIFS($L$2:L433,1))</f>
        <v>#NAME?</v>
      </c>
      <c r="N433" s="15" t="s">
        <v>603</v>
      </c>
      <c r="O433" s="10"/>
      <c r="P433" s="22" t="n">
        <f aca="false">COUNTIFS(C:C,C433,N:N,"Đã xác nhận")/COUNTIFS(C:C,C433)</f>
        <v>1</v>
      </c>
      <c r="Q433" s="22"/>
      <c r="R433" s="0" t="s">
        <v>934</v>
      </c>
      <c r="S433" s="0" t="s">
        <v>566</v>
      </c>
      <c r="U433" s="24" t="n">
        <v>1</v>
      </c>
    </row>
    <row r="434" customFormat="false" ht="12.75" hidden="false" customHeight="false" outlineLevel="0" collapsed="false">
      <c r="A434" s="15" t="s">
        <v>1643</v>
      </c>
      <c r="B434" s="15" t="s">
        <v>600</v>
      </c>
      <c r="C434" s="15" t="s">
        <v>465</v>
      </c>
      <c r="D434" s="15" t="s">
        <v>932</v>
      </c>
      <c r="E434" s="15" t="s">
        <v>547</v>
      </c>
      <c r="G434" s="10" t="n">
        <v>1</v>
      </c>
      <c r="H434" s="21" t="n">
        <v>46038.48375</v>
      </c>
      <c r="I434" s="15" t="s">
        <v>1644</v>
      </c>
      <c r="J434" s="15" t="s">
        <v>1645</v>
      </c>
      <c r="K434" s="15" t="s">
        <v>1646</v>
      </c>
      <c r="L434" s="10" t="n">
        <f aca="false">COUNTIF($E$2:E434,E434)</f>
        <v>17</v>
      </c>
      <c r="M434" s="10" t="e">
        <f aca="false">ifs(L434=1, L434&amp;"-"&amp; COUNTIFS($L$2:L434,1))</f>
        <v>#NAME?</v>
      </c>
      <c r="N434" s="15" t="s">
        <v>603</v>
      </c>
      <c r="O434" s="10"/>
      <c r="P434" s="22" t="n">
        <f aca="false">COUNTIFS(C:C,C434,N:N,"Đã xác nhận")/COUNTIFS(C:C,C434)</f>
        <v>1</v>
      </c>
      <c r="Q434" s="22"/>
      <c r="R434" s="0" t="s">
        <v>934</v>
      </c>
      <c r="S434" s="0" t="s">
        <v>548</v>
      </c>
      <c r="U434" s="24" t="n">
        <v>1</v>
      </c>
    </row>
    <row r="435" customFormat="false" ht="12.75" hidden="false" customHeight="false" outlineLevel="0" collapsed="false">
      <c r="A435" s="15" t="s">
        <v>1647</v>
      </c>
      <c r="B435" s="15" t="s">
        <v>600</v>
      </c>
      <c r="C435" s="15" t="s">
        <v>465</v>
      </c>
      <c r="D435" s="15" t="s">
        <v>915</v>
      </c>
      <c r="E435" s="15" t="s">
        <v>59</v>
      </c>
      <c r="G435" s="10" t="n">
        <v>1</v>
      </c>
      <c r="H435" s="21" t="n">
        <v>46027.4012037037</v>
      </c>
      <c r="I435" s="15" t="s">
        <v>1648</v>
      </c>
      <c r="J435" s="15" t="s">
        <v>1648</v>
      </c>
      <c r="K435" s="15"/>
      <c r="L435" s="10" t="n">
        <f aca="false">COUNTIF($E$2:E435,E435)</f>
        <v>3</v>
      </c>
      <c r="M435" s="10" t="e">
        <f aca="false">ifs(L435=1, L435&amp;"-"&amp; COUNTIFS($L$2:L435,1))</f>
        <v>#NAME?</v>
      </c>
      <c r="N435" s="15" t="s">
        <v>603</v>
      </c>
      <c r="O435" s="10"/>
      <c r="P435" s="22" t="n">
        <f aca="false">COUNTIFS(C:C,C435,N:N,"Đã xác nhận")/COUNTIFS(C:C,C435)</f>
        <v>1</v>
      </c>
      <c r="Q435" s="22"/>
      <c r="R435" s="0" t="s">
        <v>917</v>
      </c>
      <c r="S435" s="0" t="s">
        <v>562</v>
      </c>
      <c r="U435" s="24" t="n">
        <v>1</v>
      </c>
    </row>
    <row r="436" customFormat="false" ht="12.75" hidden="false" customHeight="false" outlineLevel="0" collapsed="false">
      <c r="A436" s="15" t="s">
        <v>1649</v>
      </c>
      <c r="B436" s="15" t="s">
        <v>600</v>
      </c>
      <c r="C436" s="15" t="s">
        <v>465</v>
      </c>
      <c r="D436" s="15" t="s">
        <v>899</v>
      </c>
      <c r="E436" s="15" t="s">
        <v>79</v>
      </c>
      <c r="G436" s="10" t="n">
        <v>1</v>
      </c>
      <c r="H436" s="21" t="n">
        <v>46027.4035416667</v>
      </c>
      <c r="I436" s="15" t="s">
        <v>1650</v>
      </c>
      <c r="J436" s="15" t="s">
        <v>1650</v>
      </c>
      <c r="K436" s="15"/>
      <c r="L436" s="10" t="n">
        <f aca="false">COUNTIF($E$2:E436,E436)</f>
        <v>1</v>
      </c>
      <c r="M436" s="10" t="e">
        <f aca="false">ifs(L436=1, L436&amp;"-"&amp; COUNTIFS($L$2:L436,1))</f>
        <v>#NAME?</v>
      </c>
      <c r="N436" s="15" t="s">
        <v>603</v>
      </c>
      <c r="O436" s="10"/>
      <c r="P436" s="22" t="n">
        <f aca="false">COUNTIFS(C:C,C436,N:N,"Đã xác nhận")/COUNTIFS(C:C,C436)</f>
        <v>1</v>
      </c>
      <c r="Q436" s="22"/>
      <c r="R436" s="0" t="s">
        <v>901</v>
      </c>
      <c r="S436" s="0" t="s">
        <v>564</v>
      </c>
      <c r="U436" s="24" t="n">
        <v>1</v>
      </c>
    </row>
    <row r="437" customFormat="false" ht="12.75" hidden="false" customHeight="false" outlineLevel="0" collapsed="false">
      <c r="A437" s="15" t="s">
        <v>1651</v>
      </c>
      <c r="B437" s="15" t="s">
        <v>600</v>
      </c>
      <c r="C437" s="15" t="s">
        <v>465</v>
      </c>
      <c r="D437" s="15" t="s">
        <v>1652</v>
      </c>
      <c r="E437" s="15" t="s">
        <v>43</v>
      </c>
      <c r="G437" s="10" t="n">
        <v>1</v>
      </c>
      <c r="H437" s="21" t="n">
        <v>46027.4014814815</v>
      </c>
      <c r="I437" s="15" t="s">
        <v>1653</v>
      </c>
      <c r="J437" s="15" t="s">
        <v>1653</v>
      </c>
      <c r="K437" s="15"/>
      <c r="L437" s="10" t="n">
        <f aca="false">COUNTIF($E$2:E437,E437)</f>
        <v>4</v>
      </c>
      <c r="M437" s="10" t="e">
        <f aca="false">ifs(L437=1, L437&amp;"-"&amp; COUNTIFS($L$2:L437,1))</f>
        <v>#NAME?</v>
      </c>
      <c r="N437" s="15" t="s">
        <v>603</v>
      </c>
      <c r="O437" s="10"/>
      <c r="P437" s="22" t="n">
        <f aca="false">COUNTIFS(C:C,C437,N:N,"Đã xác nhận")/COUNTIFS(C:C,C437)</f>
        <v>1</v>
      </c>
      <c r="Q437" s="22"/>
      <c r="R437" s="0" t="s">
        <v>1654</v>
      </c>
      <c r="S437" s="0" t="s">
        <v>538</v>
      </c>
      <c r="U437" s="24" t="n">
        <v>1</v>
      </c>
    </row>
    <row r="438" customFormat="false" ht="12.75" hidden="false" customHeight="false" outlineLevel="0" collapsed="false">
      <c r="A438" s="15" t="s">
        <v>1655</v>
      </c>
      <c r="B438" s="15" t="s">
        <v>600</v>
      </c>
      <c r="C438" s="15" t="s">
        <v>465</v>
      </c>
      <c r="D438" s="15" t="s">
        <v>673</v>
      </c>
      <c r="E438" s="15" t="s">
        <v>33</v>
      </c>
      <c r="G438" s="10" t="n">
        <v>2</v>
      </c>
      <c r="H438" s="21" t="n">
        <v>46027.3990393519</v>
      </c>
      <c r="I438" s="15" t="s">
        <v>1656</v>
      </c>
      <c r="J438" s="15" t="s">
        <v>1656</v>
      </c>
      <c r="K438" s="15"/>
      <c r="L438" s="10" t="n">
        <f aca="false">COUNTIF($E$2:E438,E438)</f>
        <v>1</v>
      </c>
      <c r="M438" s="10" t="e">
        <f aca="false">ifs(L438=1, L438&amp;"-"&amp; COUNTIFS($L$2:L438,1))</f>
        <v>#NAME?</v>
      </c>
      <c r="N438" s="15" t="s">
        <v>603</v>
      </c>
      <c r="O438" s="10"/>
      <c r="P438" s="22" t="n">
        <f aca="false">COUNTIFS(C:C,C438,N:N,"Đã xác nhận")/COUNTIFS(C:C,C438)</f>
        <v>1</v>
      </c>
      <c r="Q438" s="22"/>
      <c r="R438" s="0" t="s">
        <v>675</v>
      </c>
      <c r="S438" s="0" t="s">
        <v>536</v>
      </c>
      <c r="U438" s="24" t="n">
        <v>2</v>
      </c>
    </row>
    <row r="439" customFormat="false" ht="12.75" hidden="false" customHeight="false" outlineLevel="0" collapsed="false">
      <c r="A439" s="15" t="s">
        <v>1657</v>
      </c>
      <c r="B439" s="15" t="s">
        <v>600</v>
      </c>
      <c r="C439" s="15" t="s">
        <v>465</v>
      </c>
      <c r="D439" s="15" t="s">
        <v>932</v>
      </c>
      <c r="E439" s="15" t="s">
        <v>65</v>
      </c>
      <c r="G439" s="10" t="n">
        <v>1</v>
      </c>
      <c r="H439" s="21" t="n">
        <v>46027.396400463</v>
      </c>
      <c r="I439" s="15" t="s">
        <v>1636</v>
      </c>
      <c r="J439" s="15" t="s">
        <v>1636</v>
      </c>
      <c r="K439" s="15"/>
      <c r="L439" s="10" t="n">
        <f aca="false">COUNTIF($E$2:E439,E439)</f>
        <v>1</v>
      </c>
      <c r="M439" s="10" t="e">
        <f aca="false">ifs(L439=1, L439&amp;"-"&amp; COUNTIFS($L$2:L439,1))</f>
        <v>#NAME?</v>
      </c>
      <c r="N439" s="15" t="s">
        <v>603</v>
      </c>
      <c r="O439" s="10"/>
      <c r="P439" s="22" t="n">
        <f aca="false">COUNTIFS(C:C,C439,N:N,"Đã xác nhận")/COUNTIFS(C:C,C439)</f>
        <v>1</v>
      </c>
      <c r="Q439" s="22"/>
      <c r="R439" s="0" t="s">
        <v>934</v>
      </c>
      <c r="S439" s="0" t="s">
        <v>580</v>
      </c>
      <c r="U439" s="24" t="n">
        <v>1</v>
      </c>
    </row>
    <row r="440" customFormat="false" ht="12.75" hidden="false" customHeight="false" outlineLevel="0" collapsed="false">
      <c r="A440" s="15" t="s">
        <v>1658</v>
      </c>
      <c r="B440" s="15" t="s">
        <v>600</v>
      </c>
      <c r="C440" s="15" t="s">
        <v>19</v>
      </c>
      <c r="D440" s="15" t="s">
        <v>1286</v>
      </c>
      <c r="E440" s="15" t="s">
        <v>33</v>
      </c>
      <c r="G440" s="10" t="n">
        <v>1</v>
      </c>
      <c r="H440" s="21" t="n">
        <v>46035.4936458333</v>
      </c>
      <c r="I440" s="15" t="s">
        <v>1659</v>
      </c>
      <c r="J440" s="15" t="s">
        <v>1659</v>
      </c>
      <c r="K440" s="15"/>
      <c r="L440" s="10" t="n">
        <f aca="false">COUNTIF($E$2:E440,E440)</f>
        <v>2</v>
      </c>
      <c r="M440" s="10" t="e">
        <f aca="false">ifs(L440=1, L440&amp;"-"&amp; COUNTIFS($L$2:L440,1))</f>
        <v>#NAME?</v>
      </c>
      <c r="N440" s="15" t="s">
        <v>603</v>
      </c>
      <c r="O440" s="10"/>
      <c r="P440" s="22" t="n">
        <f aca="false">COUNTIFS(C:C,C440,N:N,"Đã xác nhận")/COUNTIFS(C:C,C440)</f>
        <v>0.594202898550725</v>
      </c>
      <c r="Q440" s="22"/>
      <c r="R440" s="0" t="s">
        <v>1288</v>
      </c>
      <c r="S440" s="0" t="s">
        <v>536</v>
      </c>
      <c r="U440" s="24" t="n">
        <v>1</v>
      </c>
    </row>
    <row r="441" customFormat="false" ht="12.75" hidden="false" customHeight="false" outlineLevel="0" collapsed="false">
      <c r="A441" s="15" t="s">
        <v>1660</v>
      </c>
      <c r="B441" s="15" t="s">
        <v>600</v>
      </c>
      <c r="C441" s="15" t="s">
        <v>19</v>
      </c>
      <c r="D441" s="15" t="s">
        <v>1661</v>
      </c>
      <c r="E441" s="15" t="s">
        <v>55</v>
      </c>
      <c r="G441" s="10" t="n">
        <v>1</v>
      </c>
      <c r="H441" s="21" t="n">
        <v>46035.4940740741</v>
      </c>
      <c r="I441" s="15" t="s">
        <v>1662</v>
      </c>
      <c r="J441" s="15" t="s">
        <v>1662</v>
      </c>
      <c r="K441" s="15"/>
      <c r="L441" s="10" t="n">
        <f aca="false">COUNTIF($E$2:E441,E441)</f>
        <v>48</v>
      </c>
      <c r="M441" s="10" t="e">
        <f aca="false">ifs(L441=1, L441&amp;"-"&amp; COUNTIFS($L$2:L441,1))</f>
        <v>#NAME?</v>
      </c>
      <c r="N441" s="15" t="s">
        <v>603</v>
      </c>
      <c r="O441" s="10"/>
      <c r="P441" s="22" t="n">
        <f aca="false">COUNTIFS(C:C,C441,N:N,"Đã xác nhận")/COUNTIFS(C:C,C441)</f>
        <v>0.594202898550725</v>
      </c>
      <c r="Q441" s="22"/>
      <c r="R441" s="0" t="s">
        <v>1663</v>
      </c>
      <c r="S441" s="0" t="s">
        <v>539</v>
      </c>
      <c r="U441" s="24" t="n">
        <v>1</v>
      </c>
    </row>
    <row r="442" customFormat="false" ht="12.75" hidden="false" customHeight="false" outlineLevel="0" collapsed="false">
      <c r="A442" s="15" t="s">
        <v>1664</v>
      </c>
      <c r="B442" s="15" t="s">
        <v>600</v>
      </c>
      <c r="C442" s="15" t="s">
        <v>19</v>
      </c>
      <c r="D442" s="15" t="s">
        <v>1661</v>
      </c>
      <c r="E442" s="15" t="s">
        <v>59</v>
      </c>
      <c r="G442" s="10" t="n">
        <v>1</v>
      </c>
      <c r="H442" s="21" t="n">
        <v>46035.4941550926</v>
      </c>
      <c r="I442" s="15" t="s">
        <v>1665</v>
      </c>
      <c r="J442" s="15" t="s">
        <v>1665</v>
      </c>
      <c r="K442" s="15"/>
      <c r="L442" s="10" t="n">
        <f aca="false">COUNTIF($E$2:E442,E442)</f>
        <v>4</v>
      </c>
      <c r="M442" s="10" t="e">
        <f aca="false">ifs(L442=1, L442&amp;"-"&amp; COUNTIFS($L$2:L442,1))</f>
        <v>#NAME?</v>
      </c>
      <c r="N442" s="15" t="s">
        <v>603</v>
      </c>
      <c r="O442" s="10"/>
      <c r="P442" s="22" t="n">
        <f aca="false">COUNTIFS(C:C,C442,N:N,"Đã xác nhận")/COUNTIFS(C:C,C442)</f>
        <v>0.594202898550725</v>
      </c>
      <c r="Q442" s="22"/>
      <c r="R442" s="0" t="s">
        <v>1663</v>
      </c>
      <c r="S442" s="0" t="s">
        <v>562</v>
      </c>
      <c r="U442" s="24" t="n">
        <v>1</v>
      </c>
    </row>
    <row r="443" customFormat="false" ht="12.75" hidden="false" customHeight="false" outlineLevel="0" collapsed="false">
      <c r="A443" s="15" t="s">
        <v>1666</v>
      </c>
      <c r="B443" s="15" t="s">
        <v>600</v>
      </c>
      <c r="C443" s="15" t="s">
        <v>19</v>
      </c>
      <c r="D443" s="15" t="s">
        <v>1667</v>
      </c>
      <c r="E443" s="15" t="s">
        <v>55</v>
      </c>
      <c r="G443" s="10" t="n">
        <v>1</v>
      </c>
      <c r="H443" s="21" t="n">
        <v>46035.4940277778</v>
      </c>
      <c r="I443" s="15" t="s">
        <v>1668</v>
      </c>
      <c r="J443" s="15" t="s">
        <v>1668</v>
      </c>
      <c r="K443" s="15"/>
      <c r="L443" s="10" t="n">
        <f aca="false">COUNTIF($E$2:E443,E443)</f>
        <v>49</v>
      </c>
      <c r="M443" s="10" t="e">
        <f aca="false">ifs(L443=1, L443&amp;"-"&amp; COUNTIFS($L$2:L443,1))</f>
        <v>#NAME?</v>
      </c>
      <c r="N443" s="15" t="s">
        <v>603</v>
      </c>
      <c r="O443" s="10"/>
      <c r="P443" s="22" t="n">
        <f aca="false">COUNTIFS(C:C,C443,N:N,"Đã xác nhận")/COUNTIFS(C:C,C443)</f>
        <v>0.594202898550725</v>
      </c>
      <c r="Q443" s="22"/>
      <c r="R443" s="0" t="s">
        <v>1669</v>
      </c>
      <c r="S443" s="0" t="s">
        <v>539</v>
      </c>
      <c r="U443" s="24" t="n">
        <v>1</v>
      </c>
    </row>
    <row r="444" customFormat="false" ht="12.75" hidden="false" customHeight="false" outlineLevel="0" collapsed="false">
      <c r="A444" s="15" t="s">
        <v>1670</v>
      </c>
      <c r="B444" s="15" t="s">
        <v>600</v>
      </c>
      <c r="C444" s="15" t="s">
        <v>19</v>
      </c>
      <c r="D444" s="15" t="s">
        <v>1667</v>
      </c>
      <c r="E444" s="15" t="s">
        <v>59</v>
      </c>
      <c r="G444" s="10" t="n">
        <v>1</v>
      </c>
      <c r="H444" s="21" t="n">
        <v>46035.4941435185</v>
      </c>
      <c r="I444" s="15" t="s">
        <v>1671</v>
      </c>
      <c r="J444" s="15" t="s">
        <v>1671</v>
      </c>
      <c r="K444" s="15"/>
      <c r="L444" s="10" t="n">
        <f aca="false">COUNTIF($E$2:E444,E444)</f>
        <v>5</v>
      </c>
      <c r="M444" s="10" t="e">
        <f aca="false">ifs(L444=1, L444&amp;"-"&amp; COUNTIFS($L$2:L444,1))</f>
        <v>#NAME?</v>
      </c>
      <c r="N444" s="15" t="s">
        <v>603</v>
      </c>
      <c r="O444" s="10"/>
      <c r="P444" s="22" t="n">
        <f aca="false">COUNTIFS(C:C,C444,N:N,"Đã xác nhận")/COUNTIFS(C:C,C444)</f>
        <v>0.594202898550725</v>
      </c>
      <c r="Q444" s="22"/>
      <c r="R444" s="0" t="s">
        <v>1669</v>
      </c>
      <c r="S444" s="0" t="s">
        <v>562</v>
      </c>
      <c r="U444" s="24" t="n">
        <v>1</v>
      </c>
    </row>
    <row r="445" customFormat="false" ht="12.75" hidden="false" customHeight="false" outlineLevel="0" collapsed="false">
      <c r="A445" s="15" t="s">
        <v>1672</v>
      </c>
      <c r="B445" s="15" t="s">
        <v>600</v>
      </c>
      <c r="C445" s="15" t="s">
        <v>19</v>
      </c>
      <c r="D445" s="15" t="s">
        <v>1673</v>
      </c>
      <c r="E445" s="15" t="s">
        <v>69</v>
      </c>
      <c r="G445" s="10" t="n">
        <v>1</v>
      </c>
      <c r="H445" s="21" t="n">
        <v>46035.4934953704</v>
      </c>
      <c r="I445" s="15" t="s">
        <v>1674</v>
      </c>
      <c r="J445" s="15" t="s">
        <v>1674</v>
      </c>
      <c r="K445" s="15"/>
      <c r="L445" s="10" t="n">
        <f aca="false">COUNTIF($E$2:E445,E445)</f>
        <v>37</v>
      </c>
      <c r="M445" s="10" t="e">
        <f aca="false">ifs(L445=1, L445&amp;"-"&amp; COUNTIFS($L$2:L445,1))</f>
        <v>#NAME?</v>
      </c>
      <c r="N445" s="15" t="s">
        <v>603</v>
      </c>
      <c r="O445" s="10"/>
      <c r="P445" s="22" t="n">
        <f aca="false">COUNTIFS(C:C,C445,N:N,"Đã xác nhận")/COUNTIFS(C:C,C445)</f>
        <v>0.594202898550725</v>
      </c>
      <c r="Q445" s="22"/>
      <c r="R445" s="0" t="s">
        <v>1675</v>
      </c>
      <c r="S445" s="0" t="s">
        <v>535</v>
      </c>
      <c r="U445" s="24" t="n">
        <v>1</v>
      </c>
    </row>
    <row r="446" customFormat="false" ht="12.75" hidden="false" customHeight="false" outlineLevel="0" collapsed="false">
      <c r="A446" s="15" t="s">
        <v>1676</v>
      </c>
      <c r="B446" s="15" t="s">
        <v>600</v>
      </c>
      <c r="C446" s="15" t="s">
        <v>19</v>
      </c>
      <c r="D446" s="15" t="s">
        <v>1673</v>
      </c>
      <c r="E446" s="15" t="s">
        <v>33</v>
      </c>
      <c r="G446" s="10" t="n">
        <v>1</v>
      </c>
      <c r="H446" s="21" t="n">
        <v>46035.4936689815</v>
      </c>
      <c r="I446" s="15" t="s">
        <v>1677</v>
      </c>
      <c r="J446" s="15" t="s">
        <v>1677</v>
      </c>
      <c r="K446" s="15"/>
      <c r="L446" s="10" t="n">
        <f aca="false">COUNTIF($E$2:E446,E446)</f>
        <v>3</v>
      </c>
      <c r="M446" s="10" t="e">
        <f aca="false">ifs(L446=1, L446&amp;"-"&amp; COUNTIFS($L$2:L446,1))</f>
        <v>#NAME?</v>
      </c>
      <c r="N446" s="15" t="s">
        <v>603</v>
      </c>
      <c r="O446" s="10"/>
      <c r="P446" s="22" t="n">
        <f aca="false">COUNTIFS(C:C,C446,N:N,"Đã xác nhận")/COUNTIFS(C:C,C446)</f>
        <v>0.594202898550725</v>
      </c>
      <c r="Q446" s="22"/>
      <c r="R446" s="0" t="s">
        <v>1675</v>
      </c>
      <c r="S446" s="0" t="s">
        <v>536</v>
      </c>
      <c r="U446" s="24" t="n">
        <v>1</v>
      </c>
    </row>
    <row r="447" customFormat="false" ht="12.75" hidden="false" customHeight="false" outlineLevel="0" collapsed="false">
      <c r="A447" s="15" t="s">
        <v>1678</v>
      </c>
      <c r="B447" s="15" t="s">
        <v>600</v>
      </c>
      <c r="C447" s="15" t="s">
        <v>19</v>
      </c>
      <c r="D447" s="15" t="s">
        <v>1673</v>
      </c>
      <c r="E447" s="15" t="s">
        <v>565</v>
      </c>
      <c r="F447" s="15" t="s">
        <v>1679</v>
      </c>
      <c r="G447" s="10" t="n">
        <v>1</v>
      </c>
      <c r="H447" s="21" t="n">
        <v>46035.4930787037</v>
      </c>
      <c r="I447" s="15" t="s">
        <v>1680</v>
      </c>
      <c r="J447" s="15" t="s">
        <v>1680</v>
      </c>
      <c r="K447" s="15"/>
      <c r="L447" s="10" t="n">
        <f aca="false">COUNTIF($E$2:E447,E447)</f>
        <v>10</v>
      </c>
      <c r="M447" s="10" t="e">
        <f aca="false">ifs(L447=1, L447&amp;"-"&amp; COUNTIFS($L$2:L447,1))</f>
        <v>#NAME?</v>
      </c>
      <c r="N447" s="15" t="s">
        <v>603</v>
      </c>
      <c r="O447" s="10"/>
      <c r="P447" s="22" t="n">
        <f aca="false">COUNTIFS(C:C,C447,N:N,"Đã xác nhận")/COUNTIFS(C:C,C447)</f>
        <v>0.594202898550725</v>
      </c>
      <c r="Q447" s="22"/>
      <c r="R447" s="0" t="s">
        <v>1675</v>
      </c>
      <c r="S447" s="0" t="s">
        <v>566</v>
      </c>
      <c r="U447" s="24" t="n">
        <v>1</v>
      </c>
    </row>
    <row r="448" customFormat="false" ht="12.75" hidden="false" customHeight="false" outlineLevel="0" collapsed="false">
      <c r="A448" s="15" t="s">
        <v>1681</v>
      </c>
      <c r="B448" s="15" t="s">
        <v>600</v>
      </c>
      <c r="C448" s="15" t="s">
        <v>19</v>
      </c>
      <c r="D448" s="15" t="s">
        <v>1673</v>
      </c>
      <c r="E448" s="15" t="s">
        <v>555</v>
      </c>
      <c r="G448" s="10" t="n">
        <v>1</v>
      </c>
      <c r="H448" s="21" t="n">
        <v>46035.4929861111</v>
      </c>
      <c r="I448" s="15" t="s">
        <v>1682</v>
      </c>
      <c r="J448" s="15" t="s">
        <v>1682</v>
      </c>
      <c r="K448" s="15"/>
      <c r="L448" s="10" t="n">
        <f aca="false">COUNTIF($E$2:E448,E448)</f>
        <v>16</v>
      </c>
      <c r="M448" s="10" t="e">
        <f aca="false">ifs(L448=1, L448&amp;"-"&amp; COUNTIFS($L$2:L448,1))</f>
        <v>#NAME?</v>
      </c>
      <c r="N448" s="15" t="s">
        <v>603</v>
      </c>
      <c r="O448" s="10"/>
      <c r="P448" s="22" t="n">
        <f aca="false">COUNTIFS(C:C,C448,N:N,"Đã xác nhận")/COUNTIFS(C:C,C448)</f>
        <v>0.594202898550725</v>
      </c>
      <c r="Q448" s="22"/>
      <c r="R448" s="0" t="s">
        <v>1675</v>
      </c>
      <c r="S448" s="0" t="s">
        <v>556</v>
      </c>
      <c r="U448" s="24" t="n">
        <v>1</v>
      </c>
    </row>
    <row r="449" customFormat="false" ht="12.75" hidden="false" customHeight="false" outlineLevel="0" collapsed="false">
      <c r="A449" s="15" t="s">
        <v>1683</v>
      </c>
      <c r="B449" s="15" t="s">
        <v>600</v>
      </c>
      <c r="C449" s="15" t="s">
        <v>19</v>
      </c>
      <c r="D449" s="15" t="s">
        <v>1673</v>
      </c>
      <c r="E449" s="15" t="s">
        <v>567</v>
      </c>
      <c r="G449" s="10" t="n">
        <v>1</v>
      </c>
      <c r="H449" s="21" t="n">
        <v>46035.492662037</v>
      </c>
      <c r="I449" s="15" t="s">
        <v>1684</v>
      </c>
      <c r="J449" s="15" t="s">
        <v>1684</v>
      </c>
      <c r="K449" s="15"/>
      <c r="L449" s="10" t="n">
        <f aca="false">COUNTIF($E$2:E449,E449)</f>
        <v>16</v>
      </c>
      <c r="M449" s="10" t="e">
        <f aca="false">ifs(L449=1, L449&amp;"-"&amp; COUNTIFS($L$2:L449,1))</f>
        <v>#NAME?</v>
      </c>
      <c r="N449" s="15" t="s">
        <v>603</v>
      </c>
      <c r="O449" s="10"/>
      <c r="P449" s="22" t="n">
        <f aca="false">COUNTIFS(C:C,C449,N:N,"Đã xác nhận")/COUNTIFS(C:C,C449)</f>
        <v>0.594202898550725</v>
      </c>
      <c r="Q449" s="22"/>
      <c r="R449" s="0" t="s">
        <v>1675</v>
      </c>
      <c r="S449" s="0" t="s">
        <v>568</v>
      </c>
      <c r="U449" s="24" t="n">
        <v>1</v>
      </c>
    </row>
    <row r="450" customFormat="false" ht="12.75" hidden="false" customHeight="false" outlineLevel="0" collapsed="false">
      <c r="A450" s="15" t="s">
        <v>1685</v>
      </c>
      <c r="B450" s="15" t="s">
        <v>600</v>
      </c>
      <c r="C450" s="15" t="s">
        <v>19</v>
      </c>
      <c r="D450" s="15" t="s">
        <v>1673</v>
      </c>
      <c r="E450" s="15" t="s">
        <v>19</v>
      </c>
      <c r="F450" s="15"/>
      <c r="G450" s="10" t="n">
        <v>1</v>
      </c>
      <c r="H450" s="21" t="n">
        <v>46077.6366782407</v>
      </c>
      <c r="I450" s="15" t="s">
        <v>1686</v>
      </c>
      <c r="J450" s="15" t="s">
        <v>1686</v>
      </c>
      <c r="K450" s="15"/>
      <c r="L450" s="10" t="n">
        <f aca="false">COUNTIF($E$2:E450,E450)</f>
        <v>1</v>
      </c>
      <c r="M450" s="10" t="e">
        <f aca="false">ifs(L450=1, L450&amp;"-"&amp; COUNTIFS($L$2:L450,1))</f>
        <v>#NAME?</v>
      </c>
      <c r="N450" s="15" t="s">
        <v>603</v>
      </c>
      <c r="O450" s="10"/>
      <c r="P450" s="22" t="n">
        <f aca="false">COUNTIFS(C:C,C450,N:N,"Đã xác nhận")/COUNTIFS(C:C,C450)</f>
        <v>0.594202898550725</v>
      </c>
      <c r="Q450" s="22"/>
      <c r="R450" s="0" t="s">
        <v>1675</v>
      </c>
      <c r="S450" s="0" t="s">
        <v>19</v>
      </c>
      <c r="U450" s="24" t="n">
        <v>1</v>
      </c>
    </row>
    <row r="451" customFormat="false" ht="12.75" hidden="false" customHeight="false" outlineLevel="0" collapsed="false">
      <c r="A451" s="15" t="s">
        <v>1687</v>
      </c>
      <c r="B451" s="15" t="s">
        <v>600</v>
      </c>
      <c r="C451" s="15" t="s">
        <v>19</v>
      </c>
      <c r="D451" s="15" t="s">
        <v>1688</v>
      </c>
      <c r="E451" s="15" t="s">
        <v>55</v>
      </c>
      <c r="G451" s="10" t="n">
        <v>1</v>
      </c>
      <c r="H451" s="21" t="n">
        <v>46035.4940162037</v>
      </c>
      <c r="I451" s="15" t="s">
        <v>1689</v>
      </c>
      <c r="J451" s="15" t="s">
        <v>1689</v>
      </c>
      <c r="K451" s="15"/>
      <c r="L451" s="10" t="n">
        <f aca="false">COUNTIF($E$2:E451,E451)</f>
        <v>50</v>
      </c>
      <c r="M451" s="10" t="e">
        <f aca="false">ifs(L451=1, L451&amp;"-"&amp; COUNTIFS($L$2:L451,1))</f>
        <v>#NAME?</v>
      </c>
      <c r="N451" s="15" t="s">
        <v>603</v>
      </c>
      <c r="O451" s="10"/>
      <c r="P451" s="22" t="n">
        <f aca="false">COUNTIFS(C:C,C451,N:N,"Đã xác nhận")/COUNTIFS(C:C,C451)</f>
        <v>0.594202898550725</v>
      </c>
      <c r="Q451" s="22"/>
      <c r="R451" s="0" t="s">
        <v>1690</v>
      </c>
      <c r="S451" s="0" t="s">
        <v>539</v>
      </c>
      <c r="U451" s="24" t="n">
        <v>1</v>
      </c>
    </row>
    <row r="452" customFormat="false" ht="12.75" hidden="false" customHeight="false" outlineLevel="0" collapsed="false">
      <c r="A452" s="15" t="s">
        <v>1691</v>
      </c>
      <c r="B452" s="15" t="s">
        <v>600</v>
      </c>
      <c r="C452" s="15" t="s">
        <v>19</v>
      </c>
      <c r="D452" s="15" t="s">
        <v>1688</v>
      </c>
      <c r="E452" s="15" t="s">
        <v>59</v>
      </c>
      <c r="G452" s="10" t="n">
        <v>1</v>
      </c>
      <c r="H452" s="21" t="n">
        <v>46035.4941435185</v>
      </c>
      <c r="I452" s="15" t="s">
        <v>1692</v>
      </c>
      <c r="J452" s="15" t="s">
        <v>1692</v>
      </c>
      <c r="K452" s="15"/>
      <c r="L452" s="10" t="n">
        <f aca="false">COUNTIF($E$2:E452,E452)</f>
        <v>6</v>
      </c>
      <c r="M452" s="10" t="e">
        <f aca="false">ifs(L452=1, L452&amp;"-"&amp; COUNTIFS($L$2:L452,1))</f>
        <v>#NAME?</v>
      </c>
      <c r="N452" s="15" t="s">
        <v>603</v>
      </c>
      <c r="O452" s="10"/>
      <c r="P452" s="22" t="n">
        <f aca="false">COUNTIFS(C:C,C452,N:N,"Đã xác nhận")/COUNTIFS(C:C,C452)</f>
        <v>0.594202898550725</v>
      </c>
      <c r="Q452" s="22"/>
      <c r="R452" s="0" t="s">
        <v>1690</v>
      </c>
      <c r="S452" s="0" t="s">
        <v>562</v>
      </c>
      <c r="U452" s="24" t="n">
        <v>1</v>
      </c>
    </row>
    <row r="453" customFormat="false" ht="12.75" hidden="false" customHeight="false" outlineLevel="0" collapsed="false">
      <c r="A453" s="15" t="s">
        <v>1693</v>
      </c>
      <c r="B453" s="15" t="s">
        <v>600</v>
      </c>
      <c r="C453" s="15" t="s">
        <v>19</v>
      </c>
      <c r="D453" s="15" t="s">
        <v>1694</v>
      </c>
      <c r="E453" s="15" t="s">
        <v>37</v>
      </c>
      <c r="G453" s="10" t="n">
        <v>1</v>
      </c>
      <c r="H453" s="21" t="n">
        <v>46035.4944212963</v>
      </c>
      <c r="I453" s="15" t="s">
        <v>1695</v>
      </c>
      <c r="J453" s="15" t="s">
        <v>1695</v>
      </c>
      <c r="K453" s="15"/>
      <c r="L453" s="10" t="n">
        <f aca="false">COUNTIF($E$2:E453,E453)</f>
        <v>11</v>
      </c>
      <c r="M453" s="10" t="e">
        <f aca="false">ifs(L453=1, L453&amp;"-"&amp; COUNTIFS($L$2:L453,1))</f>
        <v>#NAME?</v>
      </c>
      <c r="N453" s="15" t="s">
        <v>603</v>
      </c>
      <c r="O453" s="10"/>
      <c r="P453" s="22" t="n">
        <f aca="false">COUNTIFS(C:C,C453,N:N,"Đã xác nhận")/COUNTIFS(C:C,C453)</f>
        <v>0.594202898550725</v>
      </c>
      <c r="Q453" s="22"/>
      <c r="R453" s="0" t="s">
        <v>1696</v>
      </c>
      <c r="S453" s="0" t="s">
        <v>561</v>
      </c>
      <c r="U453" s="24" t="n">
        <v>1</v>
      </c>
    </row>
    <row r="454" customFormat="false" ht="12.75" hidden="false" customHeight="false" outlineLevel="0" collapsed="false">
      <c r="A454" s="15" t="s">
        <v>1697</v>
      </c>
      <c r="B454" s="15" t="s">
        <v>600</v>
      </c>
      <c r="C454" s="15" t="s">
        <v>19</v>
      </c>
      <c r="D454" s="15" t="s">
        <v>1698</v>
      </c>
      <c r="E454" s="15" t="s">
        <v>55</v>
      </c>
      <c r="G454" s="10" t="n">
        <v>1</v>
      </c>
      <c r="H454" s="21" t="n">
        <v>46035.4940972222</v>
      </c>
      <c r="I454" s="15" t="s">
        <v>1699</v>
      </c>
      <c r="J454" s="15" t="s">
        <v>1699</v>
      </c>
      <c r="K454" s="15"/>
      <c r="L454" s="10" t="n">
        <f aca="false">COUNTIF($E$2:E454,E454)</f>
        <v>51</v>
      </c>
      <c r="M454" s="10" t="e">
        <f aca="false">ifs(L454=1, L454&amp;"-"&amp; COUNTIFS($L$2:L454,1))</f>
        <v>#NAME?</v>
      </c>
      <c r="N454" s="15" t="s">
        <v>603</v>
      </c>
      <c r="O454" s="10"/>
      <c r="P454" s="22" t="n">
        <f aca="false">COUNTIFS(C:C,C454,N:N,"Đã xác nhận")/COUNTIFS(C:C,C454)</f>
        <v>0.594202898550725</v>
      </c>
      <c r="Q454" s="22"/>
      <c r="R454" s="0" t="s">
        <v>1700</v>
      </c>
      <c r="S454" s="0" t="s">
        <v>539</v>
      </c>
      <c r="U454" s="24" t="n">
        <v>1</v>
      </c>
    </row>
    <row r="455" customFormat="false" ht="12.75" hidden="false" customHeight="false" outlineLevel="0" collapsed="false">
      <c r="A455" s="15" t="s">
        <v>1701</v>
      </c>
      <c r="B455" s="15" t="s">
        <v>600</v>
      </c>
      <c r="C455" s="15" t="s">
        <v>19</v>
      </c>
      <c r="D455" s="15" t="s">
        <v>1698</v>
      </c>
      <c r="E455" s="15" t="s">
        <v>59</v>
      </c>
      <c r="G455" s="10" t="n">
        <v>1</v>
      </c>
      <c r="H455" s="21" t="n">
        <v>46035.4941782407</v>
      </c>
      <c r="I455" s="15" t="s">
        <v>1702</v>
      </c>
      <c r="J455" s="15" t="s">
        <v>1702</v>
      </c>
      <c r="K455" s="15"/>
      <c r="L455" s="10" t="n">
        <f aca="false">COUNTIF($E$2:E455,E455)</f>
        <v>7</v>
      </c>
      <c r="M455" s="10" t="e">
        <f aca="false">ifs(L455=1, L455&amp;"-"&amp; COUNTIFS($L$2:L455,1))</f>
        <v>#NAME?</v>
      </c>
      <c r="N455" s="15" t="s">
        <v>603</v>
      </c>
      <c r="O455" s="10"/>
      <c r="P455" s="22" t="n">
        <f aca="false">COUNTIFS(C:C,C455,N:N,"Đã xác nhận")/COUNTIFS(C:C,C455)</f>
        <v>0.594202898550725</v>
      </c>
      <c r="Q455" s="22"/>
      <c r="R455" s="0" t="s">
        <v>1700</v>
      </c>
      <c r="S455" s="0" t="s">
        <v>562</v>
      </c>
      <c r="U455" s="24" t="n">
        <v>1</v>
      </c>
    </row>
    <row r="456" customFormat="false" ht="12.75" hidden="false" customHeight="false" outlineLevel="0" collapsed="false">
      <c r="A456" s="15" t="s">
        <v>1703</v>
      </c>
      <c r="B456" s="15" t="s">
        <v>600</v>
      </c>
      <c r="C456" s="15" t="s">
        <v>19</v>
      </c>
      <c r="D456" s="15" t="s">
        <v>1698</v>
      </c>
      <c r="E456" s="15" t="s">
        <v>81</v>
      </c>
      <c r="G456" s="10" t="n">
        <v>1</v>
      </c>
      <c r="H456" s="21" t="n">
        <v>46035.4942824074</v>
      </c>
      <c r="I456" s="15" t="s">
        <v>1704</v>
      </c>
      <c r="J456" s="15" t="s">
        <v>1704</v>
      </c>
      <c r="K456" s="15"/>
      <c r="L456" s="10" t="n">
        <f aca="false">COUNTIF($E$2:E456,E456)</f>
        <v>119</v>
      </c>
      <c r="M456" s="10" t="e">
        <f aca="false">ifs(L456=1, L456&amp;"-"&amp; COUNTIFS($L$2:L456,1))</f>
        <v>#NAME?</v>
      </c>
      <c r="N456" s="15" t="s">
        <v>603</v>
      </c>
      <c r="O456" s="10"/>
      <c r="P456" s="22" t="n">
        <f aca="false">COUNTIFS(C:C,C456,N:N,"Đã xác nhận")/COUNTIFS(C:C,C456)</f>
        <v>0.594202898550725</v>
      </c>
      <c r="Q456" s="22"/>
      <c r="R456" s="0" t="s">
        <v>1700</v>
      </c>
      <c r="S456" s="0" t="s">
        <v>534</v>
      </c>
      <c r="U456" s="24" t="n">
        <v>1</v>
      </c>
    </row>
    <row r="457" customFormat="false" ht="12.75" hidden="false" customHeight="false" outlineLevel="0" collapsed="false">
      <c r="A457" s="15" t="s">
        <v>1705</v>
      </c>
      <c r="B457" s="15" t="s">
        <v>600</v>
      </c>
      <c r="C457" s="15" t="s">
        <v>19</v>
      </c>
      <c r="D457" s="15" t="s">
        <v>1706</v>
      </c>
      <c r="E457" s="15" t="s">
        <v>81</v>
      </c>
      <c r="G457" s="10" t="n">
        <v>3</v>
      </c>
      <c r="H457" s="21" t="n">
        <v>46035.4942708333</v>
      </c>
      <c r="I457" s="15" t="s">
        <v>1707</v>
      </c>
      <c r="J457" s="15" t="s">
        <v>1707</v>
      </c>
      <c r="K457" s="15"/>
      <c r="L457" s="10" t="n">
        <f aca="false">COUNTIF($E$2:E457,E457)</f>
        <v>120</v>
      </c>
      <c r="M457" s="10" t="e">
        <f aca="false">ifs(L457=1, L457&amp;"-"&amp; COUNTIFS($L$2:L457,1))</f>
        <v>#NAME?</v>
      </c>
      <c r="N457" s="15" t="s">
        <v>603</v>
      </c>
      <c r="O457" s="10"/>
      <c r="P457" s="22" t="n">
        <f aca="false">COUNTIFS(C:C,C457,N:N,"Đã xác nhận")/COUNTIFS(C:C,C457)</f>
        <v>0.594202898550725</v>
      </c>
      <c r="Q457" s="22"/>
      <c r="R457" s="0" t="s">
        <v>1708</v>
      </c>
      <c r="S457" s="0" t="s">
        <v>534</v>
      </c>
      <c r="U457" s="24" t="n">
        <v>3</v>
      </c>
    </row>
    <row r="458" customFormat="false" ht="12.75" hidden="false" customHeight="false" outlineLevel="0" collapsed="false">
      <c r="A458" s="15" t="s">
        <v>1709</v>
      </c>
      <c r="B458" s="15" t="s">
        <v>600</v>
      </c>
      <c r="C458" s="15" t="s">
        <v>19</v>
      </c>
      <c r="D458" s="15" t="s">
        <v>1710</v>
      </c>
      <c r="E458" s="15" t="s">
        <v>81</v>
      </c>
      <c r="G458" s="10" t="n">
        <v>1</v>
      </c>
      <c r="H458" s="21" t="n">
        <v>46035.4942708333</v>
      </c>
      <c r="I458" s="15" t="s">
        <v>1711</v>
      </c>
      <c r="J458" s="15" t="s">
        <v>1711</v>
      </c>
      <c r="K458" s="15"/>
      <c r="L458" s="10" t="n">
        <f aca="false">COUNTIF($E$2:E458,E458)</f>
        <v>121</v>
      </c>
      <c r="M458" s="10" t="e">
        <f aca="false">ifs(L458=1, L458&amp;"-"&amp; COUNTIFS($L$2:L458,1))</f>
        <v>#NAME?</v>
      </c>
      <c r="N458" s="15" t="s">
        <v>603</v>
      </c>
      <c r="O458" s="10"/>
      <c r="P458" s="22" t="n">
        <f aca="false">COUNTIFS(C:C,C458,N:N,"Đã xác nhận")/COUNTIFS(C:C,C458)</f>
        <v>0.594202898550725</v>
      </c>
      <c r="Q458" s="22"/>
      <c r="R458" s="0" t="s">
        <v>1712</v>
      </c>
      <c r="S458" s="0" t="s">
        <v>534</v>
      </c>
      <c r="U458" s="24" t="n">
        <v>1</v>
      </c>
    </row>
    <row r="459" customFormat="false" ht="12.75" hidden="false" customHeight="false" outlineLevel="0" collapsed="false">
      <c r="A459" s="15" t="s">
        <v>1713</v>
      </c>
      <c r="B459" s="15"/>
      <c r="C459" s="15"/>
      <c r="D459" s="15"/>
      <c r="E459" s="15"/>
      <c r="G459" s="10" t="n">
        <v>0</v>
      </c>
      <c r="H459" s="21" t="n">
        <v>46077.6394907407</v>
      </c>
      <c r="I459" s="15" t="s">
        <v>1714</v>
      </c>
      <c r="J459" s="15" t="s">
        <v>695</v>
      </c>
      <c r="K459" s="15" t="s">
        <v>1715</v>
      </c>
      <c r="L459" s="10" t="n">
        <f aca="false">COUNTIF($E$2:E459,E459)</f>
        <v>0</v>
      </c>
      <c r="M459" s="10" t="e">
        <f aca="false">ifs(L459=1, L459&amp;"-"&amp; COUNTIFS($L$2:L459,1))</f>
        <v>#NAME?</v>
      </c>
      <c r="O459" s="10"/>
      <c r="P459" s="22" t="e">
        <f aca="false">COUNTIFS(C:C,C459,N:N,"Đã xác nhận")/COUNTIFS(C:C,C459)</f>
        <v>#DIV/0!</v>
      </c>
      <c r="Q459" s="22"/>
      <c r="R459" s="0" t="e">
        <f aca="false">#VALUE!</f>
        <v>#VALUE!</v>
      </c>
      <c r="S459" s="0" t="e">
        <f aca="false">#VALUE!</f>
        <v>#VALUE!</v>
      </c>
      <c r="U459" s="24" t="n">
        <v>0</v>
      </c>
    </row>
    <row r="460" customFormat="false" ht="12.75" hidden="false" customHeight="false" outlineLevel="0" collapsed="false">
      <c r="A460" s="15" t="s">
        <v>1716</v>
      </c>
      <c r="B460" s="15" t="s">
        <v>600</v>
      </c>
      <c r="C460" s="15" t="s">
        <v>19</v>
      </c>
      <c r="D460" s="15" t="s">
        <v>1717</v>
      </c>
      <c r="E460" s="15" t="s">
        <v>545</v>
      </c>
      <c r="G460" s="10" t="n">
        <v>1</v>
      </c>
      <c r="H460" s="21" t="n">
        <v>46035.4931712963</v>
      </c>
      <c r="I460" s="15" t="s">
        <v>1718</v>
      </c>
      <c r="J460" s="15" t="s">
        <v>1718</v>
      </c>
      <c r="K460" s="15"/>
      <c r="L460" s="10" t="n">
        <f aca="false">COUNTIF($E$2:E460,E460)</f>
        <v>15</v>
      </c>
      <c r="M460" s="10" t="e">
        <f aca="false">ifs(L460=1, L460&amp;"-"&amp; COUNTIFS($L$2:L460,1))</f>
        <v>#NAME?</v>
      </c>
      <c r="N460" s="15" t="s">
        <v>603</v>
      </c>
      <c r="O460" s="10"/>
      <c r="P460" s="22" t="n">
        <f aca="false">COUNTIFS(C:C,C460,N:N,"Đã xác nhận")/COUNTIFS(C:C,C460)</f>
        <v>0.594202898550725</v>
      </c>
      <c r="Q460" s="22"/>
      <c r="R460" s="0" t="s">
        <v>1719</v>
      </c>
      <c r="S460" s="0" t="s">
        <v>546</v>
      </c>
      <c r="U460" s="24" t="n">
        <v>1</v>
      </c>
    </row>
    <row r="461" customFormat="false" ht="12.75" hidden="false" customHeight="false" outlineLevel="0" collapsed="false">
      <c r="A461" s="15" t="s">
        <v>1720</v>
      </c>
      <c r="B461" s="15" t="s">
        <v>600</v>
      </c>
      <c r="C461" s="15" t="s">
        <v>19</v>
      </c>
      <c r="D461" s="15" t="s">
        <v>1717</v>
      </c>
      <c r="E461" s="15" t="s">
        <v>555</v>
      </c>
      <c r="G461" s="10" t="n">
        <v>1</v>
      </c>
      <c r="H461" s="21" t="n">
        <v>46035.492962963</v>
      </c>
      <c r="I461" s="15" t="s">
        <v>1721</v>
      </c>
      <c r="J461" s="15" t="s">
        <v>1721</v>
      </c>
      <c r="K461" s="15"/>
      <c r="L461" s="10" t="n">
        <f aca="false">COUNTIF($E$2:E461,E461)</f>
        <v>17</v>
      </c>
      <c r="M461" s="10" t="e">
        <f aca="false">ifs(L461=1, L461&amp;"-"&amp; COUNTIFS($L$2:L461,1))</f>
        <v>#NAME?</v>
      </c>
      <c r="N461" s="15" t="s">
        <v>603</v>
      </c>
      <c r="O461" s="10"/>
      <c r="P461" s="22" t="n">
        <f aca="false">COUNTIFS(C:C,C461,N:N,"Đã xác nhận")/COUNTIFS(C:C,C461)</f>
        <v>0.594202898550725</v>
      </c>
      <c r="Q461" s="22"/>
      <c r="R461" s="0" t="s">
        <v>1719</v>
      </c>
      <c r="S461" s="0" t="s">
        <v>556</v>
      </c>
      <c r="U461" s="24" t="n">
        <v>1</v>
      </c>
    </row>
    <row r="462" customFormat="false" ht="12.75" hidden="false" customHeight="false" outlineLevel="0" collapsed="false">
      <c r="A462" s="15" t="s">
        <v>1722</v>
      </c>
      <c r="B462" s="15" t="s">
        <v>600</v>
      </c>
      <c r="C462" s="15" t="s">
        <v>19</v>
      </c>
      <c r="D462" s="15" t="s">
        <v>1717</v>
      </c>
      <c r="E462" s="15" t="s">
        <v>565</v>
      </c>
      <c r="G462" s="10" t="n">
        <v>1</v>
      </c>
      <c r="H462" s="21" t="n">
        <v>46035.4930671296</v>
      </c>
      <c r="I462" s="15" t="s">
        <v>1723</v>
      </c>
      <c r="J462" s="15" t="s">
        <v>1723</v>
      </c>
      <c r="K462" s="15"/>
      <c r="L462" s="10" t="n">
        <f aca="false">COUNTIF($E$2:E462,E462)</f>
        <v>11</v>
      </c>
      <c r="M462" s="10" t="e">
        <f aca="false">ifs(L462=1, L462&amp;"-"&amp; COUNTIFS($L$2:L462,1))</f>
        <v>#NAME?</v>
      </c>
      <c r="N462" s="15" t="s">
        <v>603</v>
      </c>
      <c r="O462" s="10"/>
      <c r="P462" s="22" t="n">
        <f aca="false">COUNTIFS(C:C,C462,N:N,"Đã xác nhận")/COUNTIFS(C:C,C462)</f>
        <v>0.594202898550725</v>
      </c>
      <c r="Q462" s="22"/>
      <c r="R462" s="0" t="s">
        <v>1719</v>
      </c>
      <c r="S462" s="0" t="s">
        <v>566</v>
      </c>
      <c r="U462" s="24" t="n">
        <v>1</v>
      </c>
    </row>
    <row r="463" customFormat="false" ht="12.75" hidden="false" customHeight="false" outlineLevel="0" collapsed="false">
      <c r="A463" s="15" t="s">
        <v>1724</v>
      </c>
      <c r="B463" s="15" t="s">
        <v>600</v>
      </c>
      <c r="C463" s="15" t="s">
        <v>19</v>
      </c>
      <c r="D463" s="15" t="s">
        <v>1717</v>
      </c>
      <c r="E463" s="15" t="s">
        <v>67</v>
      </c>
      <c r="G463" s="10" t="n">
        <v>1</v>
      </c>
      <c r="H463" s="21" t="n">
        <v>46035.4933680556</v>
      </c>
      <c r="I463" s="15" t="s">
        <v>1725</v>
      </c>
      <c r="J463" s="15" t="s">
        <v>1725</v>
      </c>
      <c r="K463" s="15"/>
      <c r="L463" s="10" t="n">
        <f aca="false">COUNTIF($E$2:E463,E463)</f>
        <v>2</v>
      </c>
      <c r="M463" s="10" t="e">
        <f aca="false">ifs(L463=1, L463&amp;"-"&amp; COUNTIFS($L$2:L463,1))</f>
        <v>#NAME?</v>
      </c>
      <c r="N463" s="15" t="s">
        <v>603</v>
      </c>
      <c r="O463" s="10"/>
      <c r="P463" s="22" t="n">
        <f aca="false">COUNTIFS(C:C,C463,N:N,"Đã xác nhận")/COUNTIFS(C:C,C463)</f>
        <v>0.594202898550725</v>
      </c>
      <c r="Q463" s="22"/>
      <c r="R463" s="0" t="s">
        <v>1719</v>
      </c>
      <c r="S463" s="0" t="s">
        <v>569</v>
      </c>
      <c r="U463" s="24" t="n">
        <v>1</v>
      </c>
    </row>
    <row r="464" customFormat="false" ht="12.75" hidden="false" customHeight="false" outlineLevel="0" collapsed="false">
      <c r="A464" s="15" t="s">
        <v>1726</v>
      </c>
      <c r="B464" s="15" t="s">
        <v>600</v>
      </c>
      <c r="C464" s="15" t="s">
        <v>19</v>
      </c>
      <c r="D464" s="15" t="s">
        <v>1717</v>
      </c>
      <c r="E464" s="15" t="s">
        <v>19</v>
      </c>
      <c r="G464" s="10" t="n">
        <v>1</v>
      </c>
      <c r="H464" s="21" t="n">
        <v>46077.6366666667</v>
      </c>
      <c r="I464" s="15" t="s">
        <v>1727</v>
      </c>
      <c r="J464" s="15" t="s">
        <v>1727</v>
      </c>
      <c r="K464" s="15"/>
      <c r="L464" s="10" t="n">
        <f aca="false">COUNTIF($E$2:E464,E464)</f>
        <v>2</v>
      </c>
      <c r="M464" s="10" t="e">
        <f aca="false">ifs(L464=1, L464&amp;"-"&amp; COUNTIFS($L$2:L464,1))</f>
        <v>#NAME?</v>
      </c>
      <c r="N464" s="15" t="s">
        <v>603</v>
      </c>
      <c r="O464" s="10"/>
      <c r="P464" s="22" t="n">
        <f aca="false">COUNTIFS(C:C,C464,N:N,"Đã xác nhận")/COUNTIFS(C:C,C464)</f>
        <v>0.594202898550725</v>
      </c>
      <c r="Q464" s="22"/>
      <c r="R464" s="0" t="s">
        <v>1719</v>
      </c>
      <c r="S464" s="0" t="s">
        <v>19</v>
      </c>
      <c r="U464" s="24" t="n">
        <v>1</v>
      </c>
    </row>
    <row r="465" customFormat="false" ht="12.75" hidden="false" customHeight="false" outlineLevel="0" collapsed="false">
      <c r="A465" s="15" t="s">
        <v>1728</v>
      </c>
      <c r="B465" s="15" t="s">
        <v>600</v>
      </c>
      <c r="C465" s="15" t="s">
        <v>19</v>
      </c>
      <c r="D465" s="15" t="s">
        <v>1717</v>
      </c>
      <c r="E465" s="15" t="s">
        <v>567</v>
      </c>
      <c r="G465" s="10" t="n">
        <v>1</v>
      </c>
      <c r="H465" s="21" t="n">
        <v>46035.492650463</v>
      </c>
      <c r="I465" s="15" t="s">
        <v>1729</v>
      </c>
      <c r="J465" s="15" t="s">
        <v>1729</v>
      </c>
      <c r="K465" s="15"/>
      <c r="L465" s="10" t="n">
        <f aca="false">COUNTIF($E$2:E465,E465)</f>
        <v>17</v>
      </c>
      <c r="M465" s="10" t="e">
        <f aca="false">ifs(L465=1, L465&amp;"-"&amp; COUNTIFS($L$2:L465,1))</f>
        <v>#NAME?</v>
      </c>
      <c r="N465" s="15" t="s">
        <v>603</v>
      </c>
      <c r="O465" s="10"/>
      <c r="P465" s="22" t="n">
        <f aca="false">COUNTIFS(C:C,C465,N:N,"Đã xác nhận")/COUNTIFS(C:C,C465)</f>
        <v>0.594202898550725</v>
      </c>
      <c r="Q465" s="22"/>
      <c r="R465" s="0" t="s">
        <v>1719</v>
      </c>
      <c r="S465" s="0" t="s">
        <v>568</v>
      </c>
      <c r="U465" s="24" t="n">
        <v>1</v>
      </c>
    </row>
    <row r="466" customFormat="false" ht="12.75" hidden="false" customHeight="false" outlineLevel="0" collapsed="false">
      <c r="A466" s="15" t="s">
        <v>1730</v>
      </c>
      <c r="B466" s="15" t="s">
        <v>600</v>
      </c>
      <c r="C466" s="15" t="s">
        <v>19</v>
      </c>
      <c r="D466" s="15" t="s">
        <v>1717</v>
      </c>
      <c r="E466" s="15" t="s">
        <v>69</v>
      </c>
      <c r="G466" s="10" t="n">
        <v>1</v>
      </c>
      <c r="H466" s="21" t="n">
        <v>46035.4934606482</v>
      </c>
      <c r="I466" s="15" t="s">
        <v>1731</v>
      </c>
      <c r="J466" s="15" t="s">
        <v>1731</v>
      </c>
      <c r="K466" s="15"/>
      <c r="L466" s="10" t="n">
        <f aca="false">COUNTIF($E$2:E466,E466)</f>
        <v>38</v>
      </c>
      <c r="M466" s="10" t="e">
        <f aca="false">ifs(L466=1, L466&amp;"-"&amp; COUNTIFS($L$2:L466,1))</f>
        <v>#NAME?</v>
      </c>
      <c r="N466" s="15" t="s">
        <v>603</v>
      </c>
      <c r="O466" s="10"/>
      <c r="P466" s="22" t="n">
        <f aca="false">COUNTIFS(C:C,C466,N:N,"Đã xác nhận")/COUNTIFS(C:C,C466)</f>
        <v>0.594202898550725</v>
      </c>
      <c r="Q466" s="22"/>
      <c r="R466" s="0" t="s">
        <v>1719</v>
      </c>
      <c r="S466" s="0" t="s">
        <v>535</v>
      </c>
      <c r="U466" s="24" t="n">
        <v>1</v>
      </c>
    </row>
    <row r="467" customFormat="false" ht="12.75" hidden="false" customHeight="false" outlineLevel="0" collapsed="false">
      <c r="A467" s="15" t="s">
        <v>1732</v>
      </c>
      <c r="B467" s="15" t="s">
        <v>600</v>
      </c>
      <c r="C467" s="15" t="s">
        <v>19</v>
      </c>
      <c r="D467" s="15" t="s">
        <v>1717</v>
      </c>
      <c r="E467" s="15" t="s">
        <v>33</v>
      </c>
      <c r="G467" s="10" t="n">
        <v>1</v>
      </c>
      <c r="H467" s="21" t="n">
        <v>46035.4936458333</v>
      </c>
      <c r="I467" s="15" t="s">
        <v>1733</v>
      </c>
      <c r="J467" s="15" t="s">
        <v>1733</v>
      </c>
      <c r="K467" s="15"/>
      <c r="L467" s="10" t="n">
        <f aca="false">COUNTIF($E$2:E467,E467)</f>
        <v>4</v>
      </c>
      <c r="M467" s="10" t="e">
        <f aca="false">ifs(L467=1, L467&amp;"-"&amp; COUNTIFS($L$2:L467,1))</f>
        <v>#NAME?</v>
      </c>
      <c r="N467" s="15" t="s">
        <v>603</v>
      </c>
      <c r="O467" s="10"/>
      <c r="P467" s="22" t="n">
        <f aca="false">COUNTIFS(C:C,C467,N:N,"Đã xác nhận")/COUNTIFS(C:C,C467)</f>
        <v>0.594202898550725</v>
      </c>
      <c r="Q467" s="22"/>
      <c r="R467" s="0" t="s">
        <v>1719</v>
      </c>
      <c r="S467" s="0" t="s">
        <v>536</v>
      </c>
      <c r="U467" s="24" t="n">
        <v>1</v>
      </c>
    </row>
    <row r="468" customFormat="false" ht="12.75" hidden="false" customHeight="false" outlineLevel="0" collapsed="false">
      <c r="A468" s="15" t="s">
        <v>1734</v>
      </c>
      <c r="B468" s="15"/>
      <c r="C468" s="15"/>
      <c r="D468" s="15"/>
      <c r="E468" s="15"/>
      <c r="G468" s="10" t="n">
        <v>0</v>
      </c>
      <c r="H468" s="21" t="n">
        <v>46077.6395138889</v>
      </c>
      <c r="I468" s="15" t="s">
        <v>1735</v>
      </c>
      <c r="J468" s="15" t="s">
        <v>695</v>
      </c>
      <c r="K468" s="15" t="s">
        <v>1736</v>
      </c>
      <c r="L468" s="10" t="n">
        <f aca="false">COUNTIF($E$2:E468,E468)</f>
        <v>0</v>
      </c>
      <c r="M468" s="10" t="e">
        <f aca="false">ifs(L468=1, L468&amp;"-"&amp; COUNTIFS($L$2:L468,1))</f>
        <v>#NAME?</v>
      </c>
      <c r="O468" s="10"/>
      <c r="P468" s="22" t="e">
        <f aca="false">COUNTIFS(C:C,C468,N:N,"Đã xác nhận")/COUNTIFS(C:C,C468)</f>
        <v>#DIV/0!</v>
      </c>
      <c r="Q468" s="22"/>
      <c r="R468" s="0" t="e">
        <f aca="false">#VALUE!</f>
        <v>#VALUE!</v>
      </c>
      <c r="S468" s="0" t="e">
        <f aca="false">#VALUE!</f>
        <v>#VALUE!</v>
      </c>
      <c r="U468" s="24" t="n">
        <v>0</v>
      </c>
    </row>
    <row r="469" customFormat="false" ht="12.75" hidden="false" customHeight="false" outlineLevel="0" collapsed="false">
      <c r="A469" s="15" t="s">
        <v>1737</v>
      </c>
      <c r="B469" s="15" t="s">
        <v>600</v>
      </c>
      <c r="C469" s="15" t="s">
        <v>19</v>
      </c>
      <c r="D469" s="15" t="s">
        <v>1738</v>
      </c>
      <c r="E469" s="15" t="s">
        <v>77</v>
      </c>
      <c r="G469" s="10" t="n">
        <v>1</v>
      </c>
      <c r="H469" s="21" t="n">
        <v>46035.4945023148</v>
      </c>
      <c r="I469" s="15" t="s">
        <v>1739</v>
      </c>
      <c r="J469" s="15" t="s">
        <v>1739</v>
      </c>
      <c r="K469" s="15"/>
      <c r="L469" s="10" t="n">
        <f aca="false">COUNTIF($E$2:E469,E469)</f>
        <v>15</v>
      </c>
      <c r="M469" s="10" t="e">
        <f aca="false">ifs(L469=1, L469&amp;"-"&amp; COUNTIFS($L$2:L469,1))</f>
        <v>#NAME?</v>
      </c>
      <c r="N469" s="15" t="s">
        <v>603</v>
      </c>
      <c r="O469" s="10"/>
      <c r="P469" s="22" t="n">
        <f aca="false">COUNTIFS(C:C,C469,N:N,"Đã xác nhận")/COUNTIFS(C:C,C469)</f>
        <v>0.594202898550725</v>
      </c>
      <c r="Q469" s="22"/>
      <c r="R469" s="0" t="s">
        <v>1740</v>
      </c>
      <c r="S469" s="0" t="s">
        <v>78</v>
      </c>
      <c r="U469" s="24" t="n">
        <v>1</v>
      </c>
    </row>
    <row r="470" customFormat="false" ht="12.75" hidden="false" customHeight="false" outlineLevel="0" collapsed="false">
      <c r="A470" s="15" t="s">
        <v>1741</v>
      </c>
      <c r="B470" s="15" t="s">
        <v>600</v>
      </c>
      <c r="C470" s="15" t="s">
        <v>19</v>
      </c>
      <c r="D470" s="15" t="s">
        <v>1738</v>
      </c>
      <c r="E470" s="15" t="s">
        <v>69</v>
      </c>
      <c r="G470" s="10" t="n">
        <v>1</v>
      </c>
      <c r="H470" s="21" t="n">
        <v>46035.4934722222</v>
      </c>
      <c r="I470" s="15" t="s">
        <v>1742</v>
      </c>
      <c r="J470" s="15" t="s">
        <v>1742</v>
      </c>
      <c r="K470" s="15"/>
      <c r="L470" s="10" t="n">
        <f aca="false">COUNTIF($E$2:E470,E470)</f>
        <v>39</v>
      </c>
      <c r="M470" s="10" t="e">
        <f aca="false">ifs(L470=1, L470&amp;"-"&amp; COUNTIFS($L$2:L470,1))</f>
        <v>#NAME?</v>
      </c>
      <c r="N470" s="15" t="s">
        <v>603</v>
      </c>
      <c r="O470" s="10"/>
      <c r="P470" s="22" t="n">
        <f aca="false">COUNTIFS(C:C,C470,N:N,"Đã xác nhận")/COUNTIFS(C:C,C470)</f>
        <v>0.594202898550725</v>
      </c>
      <c r="Q470" s="22"/>
      <c r="R470" s="0" t="s">
        <v>1740</v>
      </c>
      <c r="S470" s="0" t="s">
        <v>535</v>
      </c>
      <c r="U470" s="24" t="n">
        <v>1</v>
      </c>
    </row>
    <row r="471" customFormat="false" ht="12.75" hidden="false" customHeight="false" outlineLevel="0" collapsed="false">
      <c r="A471" s="15" t="s">
        <v>1743</v>
      </c>
      <c r="B471" s="15" t="s">
        <v>600</v>
      </c>
      <c r="C471" s="15" t="s">
        <v>19</v>
      </c>
      <c r="D471" s="15" t="s">
        <v>1738</v>
      </c>
      <c r="E471" s="15" t="s">
        <v>33</v>
      </c>
      <c r="G471" s="10" t="n">
        <v>1</v>
      </c>
      <c r="H471" s="21" t="n">
        <v>46035.4936574074</v>
      </c>
      <c r="I471" s="15" t="s">
        <v>1744</v>
      </c>
      <c r="J471" s="15" t="s">
        <v>1744</v>
      </c>
      <c r="K471" s="15"/>
      <c r="L471" s="10" t="n">
        <f aca="false">COUNTIF($E$2:E471,E471)</f>
        <v>5</v>
      </c>
      <c r="M471" s="10" t="e">
        <f aca="false">ifs(L471=1, L471&amp;"-"&amp; COUNTIFS($L$2:L471,1))</f>
        <v>#NAME?</v>
      </c>
      <c r="N471" s="15" t="s">
        <v>603</v>
      </c>
      <c r="O471" s="10"/>
      <c r="P471" s="22" t="n">
        <f aca="false">COUNTIFS(C:C,C471,N:N,"Đã xác nhận")/COUNTIFS(C:C,C471)</f>
        <v>0.594202898550725</v>
      </c>
      <c r="Q471" s="22"/>
      <c r="R471" s="0" t="s">
        <v>1740</v>
      </c>
      <c r="S471" s="0" t="s">
        <v>536</v>
      </c>
      <c r="U471" s="24" t="n">
        <v>1</v>
      </c>
    </row>
    <row r="472" customFormat="false" ht="12.75" hidden="false" customHeight="false" outlineLevel="0" collapsed="false">
      <c r="A472" s="15" t="s">
        <v>1745</v>
      </c>
      <c r="B472" s="15" t="s">
        <v>600</v>
      </c>
      <c r="C472" s="15" t="s">
        <v>19</v>
      </c>
      <c r="D472" s="15" t="s">
        <v>1746</v>
      </c>
      <c r="E472" s="15" t="s">
        <v>69</v>
      </c>
      <c r="G472" s="10" t="n">
        <v>1</v>
      </c>
      <c r="H472" s="21" t="n">
        <v>46035.4934490741</v>
      </c>
      <c r="I472" s="15" t="s">
        <v>1747</v>
      </c>
      <c r="J472" s="15" t="s">
        <v>1747</v>
      </c>
      <c r="K472" s="15"/>
      <c r="L472" s="10" t="n">
        <f aca="false">COUNTIF($E$2:E472,E472)</f>
        <v>40</v>
      </c>
      <c r="M472" s="10" t="e">
        <f aca="false">ifs(L472=1, L472&amp;"-"&amp; COUNTIFS($L$2:L472,1))</f>
        <v>#NAME?</v>
      </c>
      <c r="N472" s="15" t="s">
        <v>603</v>
      </c>
      <c r="O472" s="10"/>
      <c r="P472" s="22" t="n">
        <f aca="false">COUNTIFS(C:C,C472,N:N,"Đã xác nhận")/COUNTIFS(C:C,C472)</f>
        <v>0.594202898550725</v>
      </c>
      <c r="Q472" s="22"/>
      <c r="R472" s="0" t="s">
        <v>1748</v>
      </c>
      <c r="S472" s="0" t="s">
        <v>535</v>
      </c>
      <c r="U472" s="24" t="n">
        <v>1</v>
      </c>
    </row>
    <row r="473" customFormat="false" ht="12.75" hidden="false" customHeight="false" outlineLevel="0" collapsed="false">
      <c r="A473" s="15" t="s">
        <v>1749</v>
      </c>
      <c r="B473" s="15" t="s">
        <v>600</v>
      </c>
      <c r="C473" s="15" t="s">
        <v>19</v>
      </c>
      <c r="D473" s="15" t="s">
        <v>1746</v>
      </c>
      <c r="E473" s="15" t="s">
        <v>33</v>
      </c>
      <c r="G473" s="10" t="n">
        <v>1</v>
      </c>
      <c r="H473" s="21" t="n">
        <v>46035.4936342593</v>
      </c>
      <c r="I473" s="15" t="s">
        <v>1750</v>
      </c>
      <c r="J473" s="15" t="s">
        <v>1750</v>
      </c>
      <c r="K473" s="15"/>
      <c r="L473" s="10" t="n">
        <f aca="false">COUNTIF($E$2:E473,E473)</f>
        <v>6</v>
      </c>
      <c r="M473" s="10" t="e">
        <f aca="false">ifs(L473=1, L473&amp;"-"&amp; COUNTIFS($L$2:L473,1))</f>
        <v>#NAME?</v>
      </c>
      <c r="N473" s="15" t="s">
        <v>603</v>
      </c>
      <c r="O473" s="10"/>
      <c r="P473" s="22" t="n">
        <f aca="false">COUNTIFS(C:C,C473,N:N,"Đã xác nhận")/COUNTIFS(C:C,C473)</f>
        <v>0.594202898550725</v>
      </c>
      <c r="Q473" s="22"/>
      <c r="R473" s="0" t="s">
        <v>1748</v>
      </c>
      <c r="S473" s="0" t="s">
        <v>536</v>
      </c>
      <c r="U473" s="24" t="n">
        <v>1</v>
      </c>
    </row>
    <row r="474" customFormat="false" ht="12.75" hidden="false" customHeight="false" outlineLevel="0" collapsed="false">
      <c r="A474" s="15" t="s">
        <v>1751</v>
      </c>
      <c r="B474" s="15" t="s">
        <v>600</v>
      </c>
      <c r="C474" s="15" t="s">
        <v>19</v>
      </c>
      <c r="D474" s="15" t="s">
        <v>1746</v>
      </c>
      <c r="E474" s="15" t="s">
        <v>77</v>
      </c>
      <c r="G474" s="10" t="n">
        <v>1</v>
      </c>
      <c r="H474" s="21" t="n">
        <v>46035.4944907407</v>
      </c>
      <c r="I474" s="15" t="s">
        <v>1752</v>
      </c>
      <c r="J474" s="15" t="s">
        <v>1752</v>
      </c>
      <c r="K474" s="15"/>
      <c r="L474" s="10" t="n">
        <f aca="false">COUNTIF($E$2:E474,E474)</f>
        <v>16</v>
      </c>
      <c r="M474" s="10" t="e">
        <f aca="false">ifs(L474=1, L474&amp;"-"&amp; COUNTIFS($L$2:L474,1))</f>
        <v>#NAME?</v>
      </c>
      <c r="N474" s="15" t="s">
        <v>603</v>
      </c>
      <c r="O474" s="10"/>
      <c r="P474" s="22" t="n">
        <f aca="false">COUNTIFS(C:C,C474,N:N,"Đã xác nhận")/COUNTIFS(C:C,C474)</f>
        <v>0.594202898550725</v>
      </c>
      <c r="Q474" s="22"/>
      <c r="R474" s="0" t="s">
        <v>1748</v>
      </c>
      <c r="S474" s="0" t="s">
        <v>78</v>
      </c>
      <c r="U474" s="24" t="n">
        <v>1</v>
      </c>
    </row>
    <row r="475" customFormat="false" ht="12.75" hidden="false" customHeight="false" outlineLevel="0" collapsed="false">
      <c r="A475" s="15" t="s">
        <v>1753</v>
      </c>
      <c r="B475" s="15" t="s">
        <v>600</v>
      </c>
      <c r="C475" s="15" t="s">
        <v>19</v>
      </c>
      <c r="D475" s="15" t="s">
        <v>1754</v>
      </c>
      <c r="E475" s="15" t="s">
        <v>37</v>
      </c>
      <c r="G475" s="10" t="n">
        <v>1</v>
      </c>
      <c r="H475" s="21" t="n">
        <v>46035.4944212963</v>
      </c>
      <c r="I475" s="15" t="s">
        <v>1755</v>
      </c>
      <c r="J475" s="15" t="s">
        <v>1755</v>
      </c>
      <c r="K475" s="15"/>
      <c r="L475" s="10" t="n">
        <f aca="false">COUNTIF($E$2:E475,E475)</f>
        <v>12</v>
      </c>
      <c r="M475" s="10" t="e">
        <f aca="false">ifs(L475=1, L475&amp;"-"&amp; COUNTIFS($L$2:L475,1))</f>
        <v>#NAME?</v>
      </c>
      <c r="N475" s="15" t="s">
        <v>603</v>
      </c>
      <c r="O475" s="10"/>
      <c r="P475" s="22" t="n">
        <f aca="false">COUNTIFS(C:C,C475,N:N,"Đã xác nhận")/COUNTIFS(C:C,C475)</f>
        <v>0.594202898550725</v>
      </c>
      <c r="Q475" s="22"/>
      <c r="R475" s="0" t="s">
        <v>1756</v>
      </c>
      <c r="S475" s="0" t="s">
        <v>561</v>
      </c>
      <c r="U475" s="24" t="n">
        <v>1</v>
      </c>
    </row>
    <row r="476" customFormat="false" ht="12.75" hidden="false" customHeight="false" outlineLevel="0" collapsed="false">
      <c r="A476" s="15" t="s">
        <v>1757</v>
      </c>
      <c r="B476" s="15" t="s">
        <v>600</v>
      </c>
      <c r="C476" s="15" t="s">
        <v>19</v>
      </c>
      <c r="D476" s="15" t="s">
        <v>1754</v>
      </c>
      <c r="E476" s="15" t="s">
        <v>55</v>
      </c>
      <c r="G476" s="10" t="n">
        <v>1</v>
      </c>
      <c r="H476" s="21" t="n">
        <v>46035.4940856482</v>
      </c>
      <c r="I476" s="15" t="s">
        <v>1758</v>
      </c>
      <c r="J476" s="15" t="s">
        <v>1758</v>
      </c>
      <c r="K476" s="15"/>
      <c r="L476" s="10" t="n">
        <f aca="false">COUNTIF($E$2:E476,E476)</f>
        <v>52</v>
      </c>
      <c r="M476" s="10" t="e">
        <f aca="false">ifs(L476=1, L476&amp;"-"&amp; COUNTIFS($L$2:L476,1))</f>
        <v>#NAME?</v>
      </c>
      <c r="N476" s="15" t="s">
        <v>603</v>
      </c>
      <c r="O476" s="10"/>
      <c r="P476" s="22" t="n">
        <f aca="false">COUNTIFS(C:C,C476,N:N,"Đã xác nhận")/COUNTIFS(C:C,C476)</f>
        <v>0.594202898550725</v>
      </c>
      <c r="Q476" s="22"/>
      <c r="R476" s="0" t="s">
        <v>1756</v>
      </c>
      <c r="S476" s="0" t="s">
        <v>539</v>
      </c>
      <c r="U476" s="24" t="n">
        <v>1</v>
      </c>
    </row>
    <row r="477" customFormat="false" ht="12.75" hidden="false" customHeight="false" outlineLevel="0" collapsed="false">
      <c r="A477" s="15" t="s">
        <v>1759</v>
      </c>
      <c r="B477" s="15" t="s">
        <v>600</v>
      </c>
      <c r="C477" s="15" t="s">
        <v>19</v>
      </c>
      <c r="D477" s="15" t="s">
        <v>1754</v>
      </c>
      <c r="E477" s="15" t="s">
        <v>59</v>
      </c>
      <c r="G477" s="10" t="n">
        <v>1</v>
      </c>
      <c r="H477" s="21" t="n">
        <v>46035.4941666667</v>
      </c>
      <c r="I477" s="15" t="s">
        <v>1760</v>
      </c>
      <c r="J477" s="15" t="s">
        <v>1760</v>
      </c>
      <c r="K477" s="15"/>
      <c r="L477" s="10" t="n">
        <f aca="false">COUNTIF($E$2:E477,E477)</f>
        <v>8</v>
      </c>
      <c r="M477" s="10" t="e">
        <f aca="false">ifs(L477=1, L477&amp;"-"&amp; COUNTIFS($L$2:L477,1))</f>
        <v>#NAME?</v>
      </c>
      <c r="N477" s="15" t="s">
        <v>603</v>
      </c>
      <c r="O477" s="10"/>
      <c r="P477" s="22" t="n">
        <f aca="false">COUNTIFS(C:C,C477,N:N,"Đã xác nhận")/COUNTIFS(C:C,C477)</f>
        <v>0.594202898550725</v>
      </c>
      <c r="Q477" s="22"/>
      <c r="R477" s="0" t="s">
        <v>1756</v>
      </c>
      <c r="S477" s="0" t="s">
        <v>562</v>
      </c>
      <c r="U477" s="24" t="n">
        <v>1</v>
      </c>
    </row>
    <row r="478" customFormat="false" ht="12.75" hidden="false" customHeight="false" outlineLevel="0" collapsed="false">
      <c r="A478" s="15" t="s">
        <v>1761</v>
      </c>
      <c r="B478" s="15" t="s">
        <v>600</v>
      </c>
      <c r="C478" s="15" t="s">
        <v>19</v>
      </c>
      <c r="D478" s="15" t="s">
        <v>1754</v>
      </c>
      <c r="E478" s="15" t="s">
        <v>43</v>
      </c>
      <c r="G478" s="10" t="n">
        <v>1</v>
      </c>
      <c r="H478" s="21" t="n">
        <v>46077.6380208333</v>
      </c>
      <c r="I478" s="15" t="s">
        <v>1762</v>
      </c>
      <c r="J478" s="15" t="s">
        <v>1762</v>
      </c>
      <c r="K478" s="15"/>
      <c r="L478" s="10" t="n">
        <f aca="false">COUNTIF($E$2:E478,E478)</f>
        <v>5</v>
      </c>
      <c r="M478" s="10" t="e">
        <f aca="false">ifs(L478=1, L478&amp;"-"&amp; COUNTIFS($L$2:L478,1))</f>
        <v>#NAME?</v>
      </c>
      <c r="N478" s="15" t="s">
        <v>603</v>
      </c>
      <c r="O478" s="10"/>
      <c r="P478" s="22" t="n">
        <f aca="false">COUNTIFS(C:C,C478,N:N,"Đã xác nhận")/COUNTIFS(C:C,C478)</f>
        <v>0.594202898550725</v>
      </c>
      <c r="Q478" s="22"/>
      <c r="R478" s="0" t="s">
        <v>1756</v>
      </c>
      <c r="S478" s="0" t="s">
        <v>538</v>
      </c>
      <c r="U478" s="24" t="n">
        <v>1</v>
      </c>
    </row>
    <row r="479" customFormat="false" ht="12.75" hidden="false" customHeight="false" outlineLevel="0" collapsed="false">
      <c r="A479" s="15" t="s">
        <v>1763</v>
      </c>
      <c r="B479" s="15" t="s">
        <v>600</v>
      </c>
      <c r="C479" s="15" t="s">
        <v>491</v>
      </c>
      <c r="D479" s="15" t="s">
        <v>1764</v>
      </c>
      <c r="E479" s="15" t="s">
        <v>81</v>
      </c>
      <c r="G479" s="10" t="n">
        <v>1</v>
      </c>
      <c r="H479" s="21" t="n">
        <v>46036.432962963</v>
      </c>
      <c r="I479" s="15" t="s">
        <v>1765</v>
      </c>
      <c r="J479" s="15" t="s">
        <v>1765</v>
      </c>
      <c r="K479" s="15"/>
      <c r="L479" s="10" t="n">
        <f aca="false">COUNTIF($E$2:E479,E479)</f>
        <v>122</v>
      </c>
      <c r="M479" s="10" t="e">
        <f aca="false">ifs(L479=1, L479&amp;"-"&amp; COUNTIFS($L$2:L479,1))</f>
        <v>#NAME?</v>
      </c>
      <c r="N479" s="15" t="s">
        <v>603</v>
      </c>
      <c r="O479" s="10"/>
      <c r="P479" s="22" t="n">
        <f aca="false">COUNTIFS(C:C,C479,N:N,"Đã xác nhận")/COUNTIFS(C:C,C479)</f>
        <v>1</v>
      </c>
      <c r="Q479" s="22"/>
      <c r="R479" s="0" t="s">
        <v>1766</v>
      </c>
      <c r="S479" s="0" t="s">
        <v>534</v>
      </c>
      <c r="U479" s="24" t="n">
        <v>1</v>
      </c>
    </row>
    <row r="480" customFormat="false" ht="12.75" hidden="false" customHeight="false" outlineLevel="0" collapsed="false">
      <c r="A480" s="15" t="s">
        <v>1767</v>
      </c>
      <c r="B480" s="15" t="s">
        <v>600</v>
      </c>
      <c r="C480" s="15" t="s">
        <v>491</v>
      </c>
      <c r="D480" s="15" t="s">
        <v>1768</v>
      </c>
      <c r="E480" s="15" t="s">
        <v>81</v>
      </c>
      <c r="G480" s="10" t="n">
        <v>2</v>
      </c>
      <c r="H480" s="21" t="n">
        <v>46036.432974537</v>
      </c>
      <c r="I480" s="15" t="s">
        <v>1769</v>
      </c>
      <c r="J480" s="15" t="s">
        <v>1769</v>
      </c>
      <c r="K480" s="15"/>
      <c r="L480" s="10" t="n">
        <f aca="false">COUNTIF($E$2:E480,E480)</f>
        <v>123</v>
      </c>
      <c r="M480" s="10" t="e">
        <f aca="false">ifs(L480=1, L480&amp;"-"&amp; COUNTIFS($L$2:L480,1))</f>
        <v>#NAME?</v>
      </c>
      <c r="N480" s="15" t="s">
        <v>603</v>
      </c>
      <c r="O480" s="10"/>
      <c r="P480" s="22" t="n">
        <f aca="false">COUNTIFS(C:C,C480,N:N,"Đã xác nhận")/COUNTIFS(C:C,C480)</f>
        <v>1</v>
      </c>
      <c r="Q480" s="22"/>
      <c r="R480" s="0" t="s">
        <v>1770</v>
      </c>
      <c r="S480" s="0" t="s">
        <v>534</v>
      </c>
      <c r="U480" s="24" t="n">
        <v>2</v>
      </c>
    </row>
    <row r="481" customFormat="false" ht="12.75" hidden="false" customHeight="false" outlineLevel="0" collapsed="false">
      <c r="A481" s="15" t="s">
        <v>1771</v>
      </c>
      <c r="B481" s="15" t="s">
        <v>600</v>
      </c>
      <c r="C481" s="15" t="s">
        <v>491</v>
      </c>
      <c r="D481" s="15" t="s">
        <v>1772</v>
      </c>
      <c r="E481" s="15" t="s">
        <v>75</v>
      </c>
      <c r="G481" s="10" t="n">
        <v>1</v>
      </c>
      <c r="H481" s="21" t="n">
        <v>46045.4768518519</v>
      </c>
      <c r="I481" s="15" t="s">
        <v>1773</v>
      </c>
      <c r="J481" s="15" t="s">
        <v>1773</v>
      </c>
      <c r="K481" s="15"/>
      <c r="L481" s="10" t="n">
        <f aca="false">COUNTIF($E$2:E481,E481)</f>
        <v>3</v>
      </c>
      <c r="M481" s="10" t="e">
        <f aca="false">ifs(L481=1, L481&amp;"-"&amp; COUNTIFS($L$2:L481,1))</f>
        <v>#NAME?</v>
      </c>
      <c r="N481" s="15" t="s">
        <v>603</v>
      </c>
      <c r="O481" s="10"/>
      <c r="P481" s="22" t="n">
        <f aca="false">COUNTIFS(C:C,C481,N:N,"Đã xác nhận")/COUNTIFS(C:C,C481)</f>
        <v>1</v>
      </c>
      <c r="Q481" s="22"/>
      <c r="R481" s="0" t="s">
        <v>1774</v>
      </c>
      <c r="S481" s="0" t="s">
        <v>560</v>
      </c>
      <c r="U481" s="24" t="n">
        <v>1</v>
      </c>
    </row>
    <row r="482" customFormat="false" ht="12.75" hidden="false" customHeight="false" outlineLevel="0" collapsed="false">
      <c r="A482" s="15" t="s">
        <v>1775</v>
      </c>
      <c r="B482" s="15" t="s">
        <v>600</v>
      </c>
      <c r="C482" s="15" t="s">
        <v>491</v>
      </c>
      <c r="D482" s="15" t="s">
        <v>766</v>
      </c>
      <c r="E482" s="15" t="s">
        <v>69</v>
      </c>
      <c r="G482" s="10" t="n">
        <v>3</v>
      </c>
      <c r="H482" s="21" t="n">
        <v>46045.4720949074</v>
      </c>
      <c r="I482" s="15" t="s">
        <v>1776</v>
      </c>
      <c r="J482" s="15" t="s">
        <v>1777</v>
      </c>
      <c r="K482" s="15" t="s">
        <v>1778</v>
      </c>
      <c r="L482" s="10" t="n">
        <f aca="false">COUNTIF($E$2:E482,E482)</f>
        <v>41</v>
      </c>
      <c r="M482" s="10" t="e">
        <f aca="false">ifs(L482=1, L482&amp;"-"&amp; COUNTIFS($L$2:L482,1))</f>
        <v>#NAME?</v>
      </c>
      <c r="N482" s="15" t="s">
        <v>603</v>
      </c>
      <c r="O482" s="10"/>
      <c r="P482" s="22" t="n">
        <f aca="false">COUNTIFS(C:C,C482,N:N,"Đã xác nhận")/COUNTIFS(C:C,C482)</f>
        <v>1</v>
      </c>
      <c r="Q482" s="22"/>
      <c r="R482" s="0" t="s">
        <v>768</v>
      </c>
      <c r="S482" s="0" t="s">
        <v>535</v>
      </c>
      <c r="U482" s="24" t="n">
        <v>3</v>
      </c>
    </row>
    <row r="483" customFormat="false" ht="12.75" hidden="false" customHeight="false" outlineLevel="0" collapsed="false">
      <c r="A483" s="15" t="s">
        <v>1779</v>
      </c>
      <c r="B483" s="15" t="s">
        <v>600</v>
      </c>
      <c r="C483" s="15" t="s">
        <v>491</v>
      </c>
      <c r="D483" s="15" t="s">
        <v>858</v>
      </c>
      <c r="E483" s="15" t="s">
        <v>547</v>
      </c>
      <c r="G483" s="10" t="n">
        <v>1</v>
      </c>
      <c r="H483" s="21" t="n">
        <v>46038.4838078704</v>
      </c>
      <c r="I483" s="15" t="s">
        <v>1780</v>
      </c>
      <c r="J483" s="15" t="s">
        <v>1781</v>
      </c>
      <c r="K483" s="15" t="s">
        <v>1782</v>
      </c>
      <c r="L483" s="10" t="n">
        <f aca="false">COUNTIF($E$2:E483,E483)</f>
        <v>18</v>
      </c>
      <c r="M483" s="10" t="e">
        <f aca="false">ifs(L483=1, L483&amp;"-"&amp; COUNTIFS($L$2:L483,1))</f>
        <v>#NAME?</v>
      </c>
      <c r="N483" s="15" t="s">
        <v>603</v>
      </c>
      <c r="O483" s="10"/>
      <c r="P483" s="22" t="n">
        <f aca="false">COUNTIFS(C:C,C483,N:N,"Đã xác nhận")/COUNTIFS(C:C,C483)</f>
        <v>1</v>
      </c>
      <c r="Q483" s="22"/>
      <c r="R483" s="0" t="s">
        <v>862</v>
      </c>
      <c r="S483" s="0" t="s">
        <v>548</v>
      </c>
      <c r="U483" s="24" t="n">
        <v>1</v>
      </c>
    </row>
    <row r="484" customFormat="false" ht="12.75" hidden="false" customHeight="false" outlineLevel="0" collapsed="false">
      <c r="A484" s="15" t="s">
        <v>1783</v>
      </c>
      <c r="B484" s="15" t="s">
        <v>600</v>
      </c>
      <c r="C484" s="15" t="s">
        <v>491</v>
      </c>
      <c r="D484" s="15" t="s">
        <v>1772</v>
      </c>
      <c r="E484" s="15" t="s">
        <v>31</v>
      </c>
      <c r="G484" s="10" t="n">
        <v>1</v>
      </c>
      <c r="H484" s="21" t="n">
        <v>46045.4736342593</v>
      </c>
      <c r="I484" s="15" t="s">
        <v>1784</v>
      </c>
      <c r="J484" s="15" t="s">
        <v>1784</v>
      </c>
      <c r="K484" s="15"/>
      <c r="L484" s="10" t="n">
        <f aca="false">COUNTIF($E$2:E484,E484)</f>
        <v>1</v>
      </c>
      <c r="M484" s="10" t="e">
        <f aca="false">ifs(L484=1, L484&amp;"-"&amp; COUNTIFS($L$2:L484,1))</f>
        <v>#NAME?</v>
      </c>
      <c r="N484" s="15" t="s">
        <v>603</v>
      </c>
      <c r="O484" s="10"/>
      <c r="P484" s="22" t="n">
        <f aca="false">COUNTIFS(C:C,C484,N:N,"Đã xác nhận")/COUNTIFS(C:C,C484)</f>
        <v>1</v>
      </c>
      <c r="Q484" s="22"/>
      <c r="R484" s="0" t="s">
        <v>1774</v>
      </c>
      <c r="S484" s="0" t="s">
        <v>559</v>
      </c>
      <c r="U484" s="24" t="n">
        <v>1</v>
      </c>
    </row>
    <row r="485" customFormat="false" ht="12.75" hidden="false" customHeight="false" outlineLevel="0" collapsed="false">
      <c r="A485" s="15" t="s">
        <v>1785</v>
      </c>
      <c r="B485" s="15" t="s">
        <v>600</v>
      </c>
      <c r="C485" s="15" t="s">
        <v>491</v>
      </c>
      <c r="D485" s="15" t="s">
        <v>847</v>
      </c>
      <c r="E485" s="15" t="s">
        <v>545</v>
      </c>
      <c r="G485" s="10" t="n">
        <v>2</v>
      </c>
      <c r="H485" s="21" t="n">
        <v>46036.4321875</v>
      </c>
      <c r="I485" s="15" t="s">
        <v>1786</v>
      </c>
      <c r="J485" s="15" t="s">
        <v>1786</v>
      </c>
      <c r="K485" s="15"/>
      <c r="L485" s="10" t="n">
        <f aca="false">COUNTIF($E$2:E485,E485)</f>
        <v>16</v>
      </c>
      <c r="M485" s="10" t="e">
        <f aca="false">ifs(L485=1, L485&amp;"-"&amp; COUNTIFS($L$2:L485,1))</f>
        <v>#NAME?</v>
      </c>
      <c r="N485" s="15" t="s">
        <v>603</v>
      </c>
      <c r="O485" s="10"/>
      <c r="P485" s="22" t="n">
        <f aca="false">COUNTIFS(C:C,C485,N:N,"Đã xác nhận")/COUNTIFS(C:C,C485)</f>
        <v>1</v>
      </c>
      <c r="Q485" s="22"/>
      <c r="R485" s="0" t="s">
        <v>849</v>
      </c>
      <c r="S485" s="0" t="s">
        <v>546</v>
      </c>
      <c r="U485" s="24" t="n">
        <v>2</v>
      </c>
    </row>
    <row r="486" customFormat="false" ht="12.75" hidden="false" customHeight="false" outlineLevel="0" collapsed="false">
      <c r="A486" s="15" t="s">
        <v>1787</v>
      </c>
      <c r="B486" s="15" t="s">
        <v>600</v>
      </c>
      <c r="C486" s="15" t="s">
        <v>491</v>
      </c>
      <c r="D486" s="15" t="s">
        <v>847</v>
      </c>
      <c r="E486" s="15" t="s">
        <v>543</v>
      </c>
      <c r="G486" s="10" t="n">
        <v>4</v>
      </c>
      <c r="H486" s="21" t="n">
        <v>46036.4322453704</v>
      </c>
      <c r="I486" s="15" t="s">
        <v>1788</v>
      </c>
      <c r="J486" s="15" t="s">
        <v>1788</v>
      </c>
      <c r="K486" s="15"/>
      <c r="L486" s="10" t="n">
        <f aca="false">COUNTIF($E$2:E486,E486)</f>
        <v>14</v>
      </c>
      <c r="M486" s="10" t="e">
        <f aca="false">ifs(L486=1, L486&amp;"-"&amp; COUNTIFS($L$2:L486,1))</f>
        <v>#NAME?</v>
      </c>
      <c r="N486" s="15" t="s">
        <v>603</v>
      </c>
      <c r="O486" s="10"/>
      <c r="P486" s="22" t="n">
        <f aca="false">COUNTIFS(C:C,C486,N:N,"Đã xác nhận")/COUNTIFS(C:C,C486)</f>
        <v>1</v>
      </c>
      <c r="Q486" s="22"/>
      <c r="R486" s="0" t="s">
        <v>849</v>
      </c>
      <c r="S486" s="0" t="s">
        <v>544</v>
      </c>
      <c r="U486" s="24" t="n">
        <v>4</v>
      </c>
    </row>
    <row r="487" customFormat="false" ht="12.75" hidden="false" customHeight="false" outlineLevel="0" collapsed="false">
      <c r="A487" s="15" t="s">
        <v>1789</v>
      </c>
      <c r="B487" s="15" t="s">
        <v>600</v>
      </c>
      <c r="C487" s="15" t="s">
        <v>491</v>
      </c>
      <c r="D487" s="15" t="s">
        <v>847</v>
      </c>
      <c r="E487" s="15" t="s">
        <v>541</v>
      </c>
      <c r="G487" s="10" t="n">
        <v>2</v>
      </c>
      <c r="H487" s="21" t="n">
        <v>46036.4325578704</v>
      </c>
      <c r="I487" s="15" t="s">
        <v>1790</v>
      </c>
      <c r="J487" s="15" t="s">
        <v>1790</v>
      </c>
      <c r="K487" s="15"/>
      <c r="L487" s="10" t="n">
        <f aca="false">COUNTIF($E$2:E487,E487)</f>
        <v>3</v>
      </c>
      <c r="M487" s="10" t="e">
        <f aca="false">ifs(L487=1, L487&amp;"-"&amp; COUNTIFS($L$2:L487,1))</f>
        <v>#NAME?</v>
      </c>
      <c r="N487" s="15" t="s">
        <v>603</v>
      </c>
      <c r="O487" s="10"/>
      <c r="P487" s="22" t="n">
        <f aca="false">COUNTIFS(C:C,C487,N:N,"Đã xác nhận")/COUNTIFS(C:C,C487)</f>
        <v>1</v>
      </c>
      <c r="Q487" s="22"/>
      <c r="R487" s="0" t="s">
        <v>849</v>
      </c>
      <c r="S487" s="0" t="s">
        <v>542</v>
      </c>
      <c r="U487" s="24" t="n">
        <v>2</v>
      </c>
    </row>
    <row r="488" customFormat="false" ht="12.75" hidden="false" customHeight="false" outlineLevel="0" collapsed="false">
      <c r="A488" s="15" t="s">
        <v>1791</v>
      </c>
      <c r="B488" s="15" t="s">
        <v>600</v>
      </c>
      <c r="C488" s="15" t="s">
        <v>491</v>
      </c>
      <c r="D488" s="15" t="s">
        <v>1792</v>
      </c>
      <c r="E488" s="15" t="s">
        <v>49</v>
      </c>
      <c r="G488" s="10" t="n">
        <v>1</v>
      </c>
      <c r="H488" s="21" t="n">
        <v>46036.4333912037</v>
      </c>
      <c r="I488" s="15" t="s">
        <v>1793</v>
      </c>
      <c r="J488" s="15" t="s">
        <v>1793</v>
      </c>
      <c r="K488" s="15"/>
      <c r="L488" s="10" t="n">
        <f aca="false">COUNTIF($E$2:E488,E488)</f>
        <v>3</v>
      </c>
      <c r="M488" s="10" t="e">
        <f aca="false">ifs(L488=1, L488&amp;"-"&amp; COUNTIFS($L$2:L488,1))</f>
        <v>#NAME?</v>
      </c>
      <c r="N488" s="15" t="s">
        <v>603</v>
      </c>
      <c r="O488" s="10"/>
      <c r="P488" s="22" t="n">
        <f aca="false">COUNTIFS(C:C,C488,N:N,"Đã xác nhận")/COUNTIFS(C:C,C488)</f>
        <v>1</v>
      </c>
      <c r="Q488" s="22"/>
      <c r="R488" s="0" t="s">
        <v>1794</v>
      </c>
      <c r="S488" s="0" t="s">
        <v>537</v>
      </c>
      <c r="U488" s="24" t="n">
        <v>1</v>
      </c>
    </row>
    <row r="489" customFormat="false" ht="12.75" hidden="false" customHeight="false" outlineLevel="0" collapsed="false">
      <c r="A489" s="15" t="s">
        <v>1795</v>
      </c>
      <c r="B489" s="15" t="s">
        <v>600</v>
      </c>
      <c r="C489" s="15" t="s">
        <v>491</v>
      </c>
      <c r="D489" s="15" t="s">
        <v>1796</v>
      </c>
      <c r="E489" s="15" t="s">
        <v>69</v>
      </c>
      <c r="G489" s="10" t="n">
        <v>2</v>
      </c>
      <c r="H489" s="21" t="n">
        <v>46036.4324074074</v>
      </c>
      <c r="I489" s="15" t="s">
        <v>1797</v>
      </c>
      <c r="J489" s="15" t="s">
        <v>1797</v>
      </c>
      <c r="K489" s="15"/>
      <c r="L489" s="10" t="n">
        <f aca="false">COUNTIF($E$2:E489,E489)</f>
        <v>42</v>
      </c>
      <c r="M489" s="10" t="e">
        <f aca="false">ifs(L489=1, L489&amp;"-"&amp; COUNTIFS($L$2:L489,1))</f>
        <v>#NAME?</v>
      </c>
      <c r="N489" s="15" t="s">
        <v>603</v>
      </c>
      <c r="O489" s="10"/>
      <c r="P489" s="22" t="n">
        <f aca="false">COUNTIFS(C:C,C489,N:N,"Đã xác nhận")/COUNTIFS(C:C,C489)</f>
        <v>1</v>
      </c>
      <c r="Q489" s="22"/>
      <c r="R489" s="0" t="s">
        <v>1798</v>
      </c>
      <c r="S489" s="0" t="s">
        <v>535</v>
      </c>
      <c r="U489" s="24" t="n">
        <v>2</v>
      </c>
    </row>
    <row r="490" customFormat="false" ht="12.75" hidden="false" customHeight="false" outlineLevel="0" collapsed="false">
      <c r="A490" s="15" t="s">
        <v>1799</v>
      </c>
      <c r="B490" s="15" t="s">
        <v>600</v>
      </c>
      <c r="C490" s="15" t="s">
        <v>491</v>
      </c>
      <c r="D490" s="15" t="s">
        <v>766</v>
      </c>
      <c r="E490" s="15" t="s">
        <v>33</v>
      </c>
      <c r="G490" s="10" t="n">
        <v>3</v>
      </c>
      <c r="H490" s="21" t="n">
        <v>46045.4716435185</v>
      </c>
      <c r="I490" s="15" t="s">
        <v>1800</v>
      </c>
      <c r="J490" s="15" t="s">
        <v>1801</v>
      </c>
      <c r="K490" s="15" t="s">
        <v>1802</v>
      </c>
      <c r="L490" s="10" t="n">
        <f aca="false">COUNTIF($E$2:E490,E490)</f>
        <v>7</v>
      </c>
      <c r="M490" s="10" t="e">
        <f aca="false">ifs(L490=1, L490&amp;"-"&amp; COUNTIFS($L$2:L490,1))</f>
        <v>#NAME?</v>
      </c>
      <c r="N490" s="15" t="s">
        <v>603</v>
      </c>
      <c r="O490" s="10"/>
      <c r="P490" s="22" t="n">
        <f aca="false">COUNTIFS(C:C,C490,N:N,"Đã xác nhận")/COUNTIFS(C:C,C490)</f>
        <v>1</v>
      </c>
      <c r="Q490" s="22"/>
      <c r="R490" s="0" t="s">
        <v>768</v>
      </c>
      <c r="S490" s="0" t="s">
        <v>536</v>
      </c>
      <c r="U490" s="24" t="n">
        <v>3</v>
      </c>
    </row>
    <row r="491" customFormat="false" ht="12.75" hidden="false" customHeight="false" outlineLevel="0" collapsed="false">
      <c r="A491" s="15" t="s">
        <v>1803</v>
      </c>
      <c r="B491" s="15" t="s">
        <v>600</v>
      </c>
      <c r="C491" s="15" t="s">
        <v>491</v>
      </c>
      <c r="D491" s="15" t="s">
        <v>1796</v>
      </c>
      <c r="E491" s="15" t="s">
        <v>77</v>
      </c>
      <c r="G491" s="10" t="n">
        <v>2</v>
      </c>
      <c r="H491" s="21" t="n">
        <v>46036.4332060185</v>
      </c>
      <c r="I491" s="15" t="s">
        <v>1804</v>
      </c>
      <c r="J491" s="15" t="s">
        <v>1804</v>
      </c>
      <c r="K491" s="15"/>
      <c r="L491" s="10" t="n">
        <f aca="false">COUNTIF($E$2:E491,E491)</f>
        <v>17</v>
      </c>
      <c r="M491" s="10" t="e">
        <f aca="false">ifs(L491=1, L491&amp;"-"&amp; COUNTIFS($L$2:L491,1))</f>
        <v>#NAME?</v>
      </c>
      <c r="N491" s="15" t="s">
        <v>603</v>
      </c>
      <c r="O491" s="10"/>
      <c r="P491" s="22" t="n">
        <f aca="false">COUNTIFS(C:C,C491,N:N,"Đã xác nhận")/COUNTIFS(C:C,C491)</f>
        <v>1</v>
      </c>
      <c r="Q491" s="22"/>
      <c r="R491" s="0" t="s">
        <v>1798</v>
      </c>
      <c r="S491" s="0" t="s">
        <v>78</v>
      </c>
      <c r="U491" s="24" t="n">
        <v>2</v>
      </c>
    </row>
    <row r="492" customFormat="false" ht="12.75" hidden="false" customHeight="false" outlineLevel="0" collapsed="false">
      <c r="A492" s="15" t="s">
        <v>1805</v>
      </c>
      <c r="B492" s="15" t="s">
        <v>600</v>
      </c>
      <c r="C492" s="15" t="s">
        <v>491</v>
      </c>
      <c r="D492" s="15" t="s">
        <v>1806</v>
      </c>
      <c r="E492" s="15" t="s">
        <v>69</v>
      </c>
      <c r="G492" s="10" t="n">
        <v>1</v>
      </c>
      <c r="H492" s="21" t="n">
        <v>46036.4323958333</v>
      </c>
      <c r="I492" s="15" t="s">
        <v>1807</v>
      </c>
      <c r="J492" s="15" t="s">
        <v>1807</v>
      </c>
      <c r="K492" s="15"/>
      <c r="L492" s="10" t="n">
        <f aca="false">COUNTIF($E$2:E492,E492)</f>
        <v>43</v>
      </c>
      <c r="M492" s="10" t="e">
        <f aca="false">ifs(L492=1, L492&amp;"-"&amp; COUNTIFS($L$2:L492,1))</f>
        <v>#NAME?</v>
      </c>
      <c r="N492" s="15" t="s">
        <v>603</v>
      </c>
      <c r="O492" s="10"/>
      <c r="P492" s="22" t="n">
        <f aca="false">COUNTIFS(C:C,C492,N:N,"Đã xác nhận")/COUNTIFS(C:C,C492)</f>
        <v>1</v>
      </c>
      <c r="Q492" s="22"/>
      <c r="R492" s="0" t="s">
        <v>1808</v>
      </c>
      <c r="S492" s="0" t="s">
        <v>535</v>
      </c>
      <c r="U492" s="24" t="n">
        <v>1</v>
      </c>
    </row>
    <row r="493" customFormat="false" ht="12.75" hidden="false" customHeight="false" outlineLevel="0" collapsed="false">
      <c r="A493" s="15" t="s">
        <v>1809</v>
      </c>
      <c r="B493" s="15" t="s">
        <v>600</v>
      </c>
      <c r="C493" s="15" t="s">
        <v>491</v>
      </c>
      <c r="D493" s="15" t="s">
        <v>1806</v>
      </c>
      <c r="E493" s="15" t="s">
        <v>33</v>
      </c>
      <c r="G493" s="10" t="n">
        <v>2</v>
      </c>
      <c r="H493" s="21" t="n">
        <v>46045.4715740741</v>
      </c>
      <c r="I493" s="15" t="s">
        <v>1810</v>
      </c>
      <c r="J493" s="15" t="s">
        <v>1811</v>
      </c>
      <c r="K493" s="15" t="s">
        <v>1812</v>
      </c>
      <c r="L493" s="10" t="n">
        <f aca="false">COUNTIF($E$2:E493,E493)</f>
        <v>8</v>
      </c>
      <c r="M493" s="10" t="e">
        <f aca="false">ifs(L493=1, L493&amp;"-"&amp; COUNTIFS($L$2:L493,1))</f>
        <v>#NAME?</v>
      </c>
      <c r="N493" s="15" t="s">
        <v>603</v>
      </c>
      <c r="O493" s="10"/>
      <c r="P493" s="22" t="n">
        <f aca="false">COUNTIFS(C:C,C493,N:N,"Đã xác nhận")/COUNTIFS(C:C,C493)</f>
        <v>1</v>
      </c>
      <c r="Q493" s="22"/>
      <c r="R493" s="0" t="s">
        <v>1808</v>
      </c>
      <c r="S493" s="0" t="s">
        <v>536</v>
      </c>
      <c r="U493" s="24" t="n">
        <v>2</v>
      </c>
    </row>
    <row r="494" customFormat="false" ht="12.75" hidden="false" customHeight="false" outlineLevel="0" collapsed="false">
      <c r="A494" s="15" t="s">
        <v>1813</v>
      </c>
      <c r="B494" s="15" t="s">
        <v>600</v>
      </c>
      <c r="C494" s="15" t="s">
        <v>491</v>
      </c>
      <c r="D494" s="15" t="s">
        <v>1806</v>
      </c>
      <c r="E494" s="15" t="s">
        <v>77</v>
      </c>
      <c r="G494" s="10" t="n">
        <v>1</v>
      </c>
      <c r="H494" s="21" t="n">
        <v>46036.4331944444</v>
      </c>
      <c r="I494" s="15" t="s">
        <v>1814</v>
      </c>
      <c r="J494" s="15" t="s">
        <v>1814</v>
      </c>
      <c r="K494" s="15"/>
      <c r="L494" s="10" t="n">
        <f aca="false">COUNTIF($E$2:E494,E494)</f>
        <v>18</v>
      </c>
      <c r="M494" s="10" t="e">
        <f aca="false">ifs(L494=1, L494&amp;"-"&amp; COUNTIFS($L$2:L494,1))</f>
        <v>#NAME?</v>
      </c>
      <c r="N494" s="15" t="s">
        <v>603</v>
      </c>
      <c r="O494" s="10"/>
      <c r="P494" s="22" t="n">
        <f aca="false">COUNTIFS(C:C,C494,N:N,"Đã xác nhận")/COUNTIFS(C:C,C494)</f>
        <v>1</v>
      </c>
      <c r="Q494" s="22"/>
      <c r="R494" s="0" t="s">
        <v>1808</v>
      </c>
      <c r="S494" s="0" t="s">
        <v>78</v>
      </c>
      <c r="U494" s="24" t="n">
        <v>1</v>
      </c>
    </row>
    <row r="495" customFormat="false" ht="12.75" hidden="false" customHeight="false" outlineLevel="0" collapsed="false">
      <c r="A495" s="15" t="s">
        <v>1815</v>
      </c>
      <c r="B495" s="15" t="s">
        <v>600</v>
      </c>
      <c r="C495" s="15" t="s">
        <v>491</v>
      </c>
      <c r="D495" s="15" t="s">
        <v>1816</v>
      </c>
      <c r="E495" s="15" t="s">
        <v>81</v>
      </c>
      <c r="G495" s="10" t="n">
        <v>2</v>
      </c>
      <c r="H495" s="21" t="n">
        <v>46036.4329976852</v>
      </c>
      <c r="I495" s="15" t="s">
        <v>1817</v>
      </c>
      <c r="J495" s="15" t="s">
        <v>1817</v>
      </c>
      <c r="K495" s="15"/>
      <c r="L495" s="10" t="n">
        <f aca="false">COUNTIF($E$2:E495,E495)</f>
        <v>124</v>
      </c>
      <c r="M495" s="10" t="e">
        <f aca="false">ifs(L495=1, L495&amp;"-"&amp; COUNTIFS($L$2:L495,1))</f>
        <v>#NAME?</v>
      </c>
      <c r="N495" s="15" t="s">
        <v>603</v>
      </c>
      <c r="O495" s="10"/>
      <c r="P495" s="22" t="n">
        <f aca="false">COUNTIFS(C:C,C495,N:N,"Đã xác nhận")/COUNTIFS(C:C,C495)</f>
        <v>1</v>
      </c>
      <c r="Q495" s="22"/>
      <c r="R495" s="0" t="s">
        <v>1818</v>
      </c>
      <c r="S495" s="0" t="s">
        <v>534</v>
      </c>
      <c r="U495" s="24" t="n">
        <v>2</v>
      </c>
    </row>
    <row r="496" customFormat="false" ht="12.75" hidden="false" customHeight="false" outlineLevel="0" collapsed="false">
      <c r="A496" s="15" t="s">
        <v>1819</v>
      </c>
      <c r="B496" s="15" t="s">
        <v>600</v>
      </c>
      <c r="C496" s="15" t="s">
        <v>491</v>
      </c>
      <c r="D496" s="15" t="s">
        <v>1820</v>
      </c>
      <c r="E496" s="15" t="s">
        <v>47</v>
      </c>
      <c r="G496" s="10" t="n">
        <v>1</v>
      </c>
      <c r="H496" s="21" t="n">
        <v>46045.4759837963</v>
      </c>
      <c r="I496" s="15" t="s">
        <v>1821</v>
      </c>
      <c r="J496" s="15" t="s">
        <v>1821</v>
      </c>
      <c r="K496" s="15"/>
      <c r="L496" s="10" t="n">
        <f aca="false">COUNTIF($E$2:E496,E496)</f>
        <v>35</v>
      </c>
      <c r="M496" s="10" t="e">
        <f aca="false">ifs(L496=1, L496&amp;"-"&amp; COUNTIFS($L$2:L496,1))</f>
        <v>#NAME?</v>
      </c>
      <c r="N496" s="15" t="s">
        <v>603</v>
      </c>
      <c r="O496" s="10"/>
      <c r="P496" s="22" t="n">
        <f aca="false">COUNTIFS(C:C,C496,N:N,"Đã xác nhận")/COUNTIFS(C:C,C496)</f>
        <v>1</v>
      </c>
      <c r="Q496" s="22"/>
      <c r="R496" s="0" t="s">
        <v>1822</v>
      </c>
      <c r="S496" s="0" t="s">
        <v>549</v>
      </c>
      <c r="U496" s="24" t="n">
        <v>1</v>
      </c>
    </row>
    <row r="497" customFormat="false" ht="12.75" hidden="false" customHeight="false" outlineLevel="0" collapsed="false">
      <c r="A497" s="15" t="s">
        <v>1823</v>
      </c>
      <c r="B497" s="15" t="s">
        <v>600</v>
      </c>
      <c r="C497" s="15" t="s">
        <v>491</v>
      </c>
      <c r="D497" s="15" t="s">
        <v>1820</v>
      </c>
      <c r="E497" s="15" t="s">
        <v>55</v>
      </c>
      <c r="G497" s="10" t="n">
        <v>1</v>
      </c>
      <c r="H497" s="21" t="n">
        <v>46045.4762847222</v>
      </c>
      <c r="I497" s="15" t="s">
        <v>1824</v>
      </c>
      <c r="J497" s="15" t="s">
        <v>1824</v>
      </c>
      <c r="K497" s="15"/>
      <c r="L497" s="10" t="n">
        <f aca="false">COUNTIF($E$2:E497,E497)</f>
        <v>53</v>
      </c>
      <c r="M497" s="10" t="e">
        <f aca="false">ifs(L497=1, L497&amp;"-"&amp; COUNTIFS($L$2:L497,1))</f>
        <v>#NAME?</v>
      </c>
      <c r="N497" s="15" t="s">
        <v>603</v>
      </c>
      <c r="O497" s="10"/>
      <c r="P497" s="22" t="n">
        <f aca="false">COUNTIFS(C:C,C497,N:N,"Đã xác nhận")/COUNTIFS(C:C,C497)</f>
        <v>1</v>
      </c>
      <c r="Q497" s="22"/>
      <c r="R497" s="0" t="s">
        <v>1822</v>
      </c>
      <c r="S497" s="0" t="s">
        <v>539</v>
      </c>
      <c r="U497" s="24" t="n">
        <v>1</v>
      </c>
    </row>
    <row r="498" customFormat="false" ht="12.75" hidden="false" customHeight="false" outlineLevel="0" collapsed="false">
      <c r="A498" s="15" t="s">
        <v>1825</v>
      </c>
      <c r="B498" s="15" t="s">
        <v>600</v>
      </c>
      <c r="C498" s="15" t="s">
        <v>491</v>
      </c>
      <c r="D498" s="15" t="s">
        <v>1820</v>
      </c>
      <c r="E498" s="15" t="s">
        <v>59</v>
      </c>
      <c r="G498" s="10" t="n">
        <v>1</v>
      </c>
      <c r="H498" s="21" t="n">
        <v>46045.4766782407</v>
      </c>
      <c r="I498" s="15" t="s">
        <v>1826</v>
      </c>
      <c r="J498" s="15" t="s">
        <v>1826</v>
      </c>
      <c r="K498" s="15"/>
      <c r="L498" s="10" t="n">
        <f aca="false">COUNTIF($E$2:E498,E498)</f>
        <v>9</v>
      </c>
      <c r="M498" s="10" t="e">
        <f aca="false">ifs(L498=1, L498&amp;"-"&amp; COUNTIFS($L$2:L498,1))</f>
        <v>#NAME?</v>
      </c>
      <c r="N498" s="15" t="s">
        <v>603</v>
      </c>
      <c r="O498" s="10"/>
      <c r="P498" s="22" t="n">
        <f aca="false">COUNTIFS(C:C,C498,N:N,"Đã xác nhận")/COUNTIFS(C:C,C498)</f>
        <v>1</v>
      </c>
      <c r="Q498" s="22"/>
      <c r="R498" s="0" t="s">
        <v>1822</v>
      </c>
      <c r="S498" s="0" t="s">
        <v>562</v>
      </c>
      <c r="U498" s="24" t="n">
        <v>1</v>
      </c>
    </row>
    <row r="499" customFormat="false" ht="12.75" hidden="false" customHeight="false" outlineLevel="0" collapsed="false">
      <c r="A499" s="15" t="s">
        <v>1827</v>
      </c>
      <c r="B499" s="15"/>
      <c r="C499" s="15"/>
      <c r="D499" s="15"/>
      <c r="E499" s="15"/>
      <c r="G499" s="10" t="n">
        <v>0</v>
      </c>
      <c r="H499" s="21" t="n">
        <v>46045.4279050926</v>
      </c>
      <c r="I499" s="15" t="s">
        <v>1828</v>
      </c>
      <c r="J499" s="15" t="s">
        <v>695</v>
      </c>
      <c r="K499" s="15" t="s">
        <v>1829</v>
      </c>
      <c r="L499" s="10" t="n">
        <f aca="false">COUNTIF($E$2:E499,E499)</f>
        <v>0</v>
      </c>
      <c r="M499" s="10" t="e">
        <f aca="false">ifs(L499=1, L499&amp;"-"&amp; COUNTIFS($L$2:L499,1))</f>
        <v>#NAME?</v>
      </c>
      <c r="O499" s="10"/>
      <c r="P499" s="22" t="e">
        <f aca="false">COUNTIFS(C:C,C499,N:N,"Đã xác nhận")/COUNTIFS(C:C,C499)</f>
        <v>#DIV/0!</v>
      </c>
      <c r="Q499" s="22"/>
      <c r="R499" s="0" t="e">
        <f aca="false">#VALUE!</f>
        <v>#VALUE!</v>
      </c>
      <c r="S499" s="0" t="e">
        <f aca="false">#VALUE!</f>
        <v>#VALUE!</v>
      </c>
      <c r="U499" s="24" t="n">
        <v>0</v>
      </c>
    </row>
    <row r="500" customFormat="false" ht="12.75" hidden="false" customHeight="false" outlineLevel="0" collapsed="false">
      <c r="A500" s="15" t="s">
        <v>1830</v>
      </c>
      <c r="B500" s="15" t="s">
        <v>600</v>
      </c>
      <c r="C500" s="15" t="s">
        <v>491</v>
      </c>
      <c r="D500" s="15" t="s">
        <v>1831</v>
      </c>
      <c r="E500" s="15" t="s">
        <v>43</v>
      </c>
      <c r="G500" s="10" t="n">
        <v>1</v>
      </c>
      <c r="H500" s="21" t="n">
        <v>46036.4331134259</v>
      </c>
      <c r="I500" s="15" t="s">
        <v>1832</v>
      </c>
      <c r="J500" s="15" t="s">
        <v>1832</v>
      </c>
      <c r="K500" s="15"/>
      <c r="L500" s="10" t="n">
        <f aca="false">COUNTIF($E$2:E500,E500)</f>
        <v>6</v>
      </c>
      <c r="M500" s="10" t="e">
        <f aca="false">ifs(L500=1, L500&amp;"-"&amp; COUNTIFS($L$2:L500,1))</f>
        <v>#NAME?</v>
      </c>
      <c r="N500" s="15" t="s">
        <v>603</v>
      </c>
      <c r="O500" s="10"/>
      <c r="P500" s="22" t="n">
        <f aca="false">COUNTIFS(C:C,C500,N:N,"Đã xác nhận")/COUNTIFS(C:C,C500)</f>
        <v>1</v>
      </c>
      <c r="Q500" s="22"/>
      <c r="R500" s="0" t="s">
        <v>1833</v>
      </c>
      <c r="S500" s="0" t="s">
        <v>538</v>
      </c>
      <c r="U500" s="24" t="n">
        <v>1</v>
      </c>
    </row>
    <row r="501" customFormat="false" ht="12.75" hidden="false" customHeight="false" outlineLevel="0" collapsed="false">
      <c r="A501" s="15" t="s">
        <v>1834</v>
      </c>
      <c r="B501" s="15" t="s">
        <v>600</v>
      </c>
      <c r="C501" s="15" t="s">
        <v>491</v>
      </c>
      <c r="D501" s="15" t="s">
        <v>1831</v>
      </c>
      <c r="E501" s="15" t="s">
        <v>31</v>
      </c>
      <c r="G501" s="10" t="n">
        <v>1</v>
      </c>
      <c r="H501" s="21" t="n">
        <v>46045.4736226852</v>
      </c>
      <c r="I501" s="15" t="s">
        <v>1835</v>
      </c>
      <c r="J501" s="15" t="s">
        <v>1835</v>
      </c>
      <c r="K501" s="15"/>
      <c r="L501" s="10" t="n">
        <f aca="false">COUNTIF($E$2:E501,E501)</f>
        <v>2</v>
      </c>
      <c r="M501" s="10" t="e">
        <f aca="false">ifs(L501=1, L501&amp;"-"&amp; COUNTIFS($L$2:L501,1))</f>
        <v>#NAME?</v>
      </c>
      <c r="N501" s="15" t="s">
        <v>603</v>
      </c>
      <c r="O501" s="10"/>
      <c r="P501" s="22" t="n">
        <f aca="false">COUNTIFS(C:C,C501,N:N,"Đã xác nhận")/COUNTIFS(C:C,C501)</f>
        <v>1</v>
      </c>
      <c r="Q501" s="22"/>
      <c r="R501" s="0" t="s">
        <v>1833</v>
      </c>
      <c r="S501" s="0" t="s">
        <v>559</v>
      </c>
      <c r="U501" s="24" t="n">
        <v>1</v>
      </c>
    </row>
    <row r="502" customFormat="false" ht="12.75" hidden="false" customHeight="false" outlineLevel="0" collapsed="false">
      <c r="A502" s="15" t="s">
        <v>1836</v>
      </c>
      <c r="B502" s="15" t="s">
        <v>600</v>
      </c>
      <c r="C502" s="15" t="s">
        <v>491</v>
      </c>
      <c r="D502" s="15" t="s">
        <v>1796</v>
      </c>
      <c r="E502" s="15" t="s">
        <v>87</v>
      </c>
      <c r="G502" s="10" t="n">
        <v>1</v>
      </c>
      <c r="H502" s="21" t="n">
        <v>46045.4770486111</v>
      </c>
      <c r="I502" s="15" t="s">
        <v>1837</v>
      </c>
      <c r="J502" s="15" t="s">
        <v>1837</v>
      </c>
      <c r="K502" s="15"/>
      <c r="L502" s="10" t="n">
        <f aca="false">COUNTIF($E$2:E502,E502)</f>
        <v>1</v>
      </c>
      <c r="M502" s="10" t="e">
        <f aca="false">ifs(L502=1, L502&amp;"-"&amp; COUNTIFS($L$2:L502,1))</f>
        <v>#NAME?</v>
      </c>
      <c r="N502" s="15" t="s">
        <v>603</v>
      </c>
      <c r="O502" s="10"/>
      <c r="P502" s="22" t="n">
        <f aca="false">COUNTIFS(C:C,C502,N:N,"Đã xác nhận")/COUNTIFS(C:C,C502)</f>
        <v>1</v>
      </c>
      <c r="Q502" s="22"/>
      <c r="R502" s="0" t="s">
        <v>1798</v>
      </c>
      <c r="S502" s="0" t="s">
        <v>563</v>
      </c>
      <c r="U502" s="24" t="n">
        <v>1</v>
      </c>
    </row>
    <row r="503" customFormat="false" ht="12.75" hidden="false" customHeight="false" outlineLevel="0" collapsed="false">
      <c r="A503" s="15" t="s">
        <v>1838</v>
      </c>
      <c r="B503" s="15" t="s">
        <v>600</v>
      </c>
      <c r="C503" s="15" t="s">
        <v>491</v>
      </c>
      <c r="D503" s="15" t="s">
        <v>1764</v>
      </c>
      <c r="E503" s="15" t="s">
        <v>81</v>
      </c>
      <c r="G503" s="10" t="n">
        <v>1</v>
      </c>
      <c r="H503" s="21" t="n">
        <v>46036.432962963</v>
      </c>
      <c r="I503" s="15" t="s">
        <v>1765</v>
      </c>
      <c r="J503" s="15" t="s">
        <v>1765</v>
      </c>
      <c r="K503" s="15"/>
      <c r="L503" s="10" t="n">
        <f aca="false">COUNTIF($E$2:E503,E503)</f>
        <v>125</v>
      </c>
      <c r="M503" s="10" t="e">
        <f aca="false">ifs(L503=1, L503&amp;"-"&amp; COUNTIFS($L$2:L503,1))</f>
        <v>#NAME?</v>
      </c>
      <c r="N503" s="15" t="s">
        <v>603</v>
      </c>
      <c r="O503" s="10"/>
      <c r="P503" s="22" t="n">
        <f aca="false">COUNTIFS(C:C,C503,N:N,"Đã xác nhận")/COUNTIFS(C:C,C503)</f>
        <v>1</v>
      </c>
      <c r="Q503" s="22"/>
      <c r="R503" s="0" t="s">
        <v>1766</v>
      </c>
      <c r="S503" s="0" t="s">
        <v>534</v>
      </c>
      <c r="U503" s="24" t="n">
        <v>1</v>
      </c>
    </row>
    <row r="504" customFormat="false" ht="12.75" hidden="false" customHeight="false" outlineLevel="0" collapsed="false">
      <c r="A504" s="15" t="s">
        <v>1839</v>
      </c>
      <c r="B504" s="15" t="s">
        <v>600</v>
      </c>
      <c r="C504" s="15" t="s">
        <v>1840</v>
      </c>
      <c r="D504" s="15" t="s">
        <v>1841</v>
      </c>
      <c r="E504" s="15" t="s">
        <v>55</v>
      </c>
      <c r="G504" s="10" t="n">
        <v>2</v>
      </c>
      <c r="H504" s="21" t="n">
        <v>46029.4983912037</v>
      </c>
      <c r="I504" s="15" t="s">
        <v>1842</v>
      </c>
      <c r="J504" s="15" t="s">
        <v>1842</v>
      </c>
      <c r="K504" s="15"/>
      <c r="L504" s="10" t="n">
        <f aca="false">COUNTIF($E$2:E504,E504)</f>
        <v>54</v>
      </c>
      <c r="M504" s="10" t="e">
        <f aca="false">ifs(L504=1, L504&amp;"-"&amp; COUNTIFS($L$2:L504,1))</f>
        <v>#NAME?</v>
      </c>
      <c r="N504" s="15" t="s">
        <v>603</v>
      </c>
      <c r="O504" s="10"/>
      <c r="P504" s="22" t="n">
        <f aca="false">COUNTIFS(C:C,C504,N:N,"Đã xác nhận")/COUNTIFS(C:C,C504)</f>
        <v>1</v>
      </c>
      <c r="Q504" s="22"/>
      <c r="R504" s="0" t="s">
        <v>1843</v>
      </c>
      <c r="S504" s="0" t="s">
        <v>539</v>
      </c>
      <c r="U504" s="24" t="n">
        <v>2</v>
      </c>
    </row>
    <row r="505" customFormat="false" ht="12.75" hidden="false" customHeight="false" outlineLevel="0" collapsed="false">
      <c r="A505" s="15" t="s">
        <v>1844</v>
      </c>
      <c r="B505" s="15" t="s">
        <v>600</v>
      </c>
      <c r="C505" s="15" t="s">
        <v>1840</v>
      </c>
      <c r="D505" s="15" t="s">
        <v>1841</v>
      </c>
      <c r="E505" s="15" t="s">
        <v>59</v>
      </c>
      <c r="G505" s="10" t="n">
        <v>2</v>
      </c>
      <c r="H505" s="21" t="n">
        <v>46029.4984259259</v>
      </c>
      <c r="I505" s="15" t="s">
        <v>1845</v>
      </c>
      <c r="J505" s="15" t="s">
        <v>1845</v>
      </c>
      <c r="K505" s="15"/>
      <c r="L505" s="10" t="n">
        <f aca="false">COUNTIF($E$2:E505,E505)</f>
        <v>10</v>
      </c>
      <c r="M505" s="10" t="e">
        <f aca="false">ifs(L505=1, L505&amp;"-"&amp; COUNTIFS($L$2:L505,1))</f>
        <v>#NAME?</v>
      </c>
      <c r="N505" s="15" t="s">
        <v>603</v>
      </c>
      <c r="O505" s="10"/>
      <c r="P505" s="22" t="n">
        <f aca="false">COUNTIFS(C:C,C505,N:N,"Đã xác nhận")/COUNTIFS(C:C,C505)</f>
        <v>1</v>
      </c>
      <c r="Q505" s="22"/>
      <c r="R505" s="0" t="s">
        <v>1843</v>
      </c>
      <c r="S505" s="0" t="s">
        <v>562</v>
      </c>
      <c r="U505" s="24" t="n">
        <v>2</v>
      </c>
    </row>
    <row r="506" customFormat="false" ht="12.75" hidden="false" customHeight="false" outlineLevel="0" collapsed="false">
      <c r="A506" s="15" t="s">
        <v>1846</v>
      </c>
      <c r="B506" s="15" t="s">
        <v>600</v>
      </c>
      <c r="C506" s="15" t="s">
        <v>1840</v>
      </c>
      <c r="D506" s="15" t="s">
        <v>1847</v>
      </c>
      <c r="E506" s="15" t="s">
        <v>81</v>
      </c>
      <c r="G506" s="10" t="n">
        <v>2</v>
      </c>
      <c r="H506" s="21" t="n">
        <v>46029.4990162037</v>
      </c>
      <c r="I506" s="15" t="s">
        <v>1848</v>
      </c>
      <c r="J506" s="15" t="s">
        <v>1848</v>
      </c>
      <c r="K506" s="15"/>
      <c r="L506" s="10" t="n">
        <f aca="false">COUNTIF($E$2:E506,E506)</f>
        <v>126</v>
      </c>
      <c r="M506" s="10" t="e">
        <f aca="false">ifs(L506=1, L506&amp;"-"&amp; COUNTIFS($L$2:L506,1))</f>
        <v>#NAME?</v>
      </c>
      <c r="N506" s="15" t="s">
        <v>603</v>
      </c>
      <c r="O506" s="10"/>
      <c r="P506" s="22" t="n">
        <f aca="false">COUNTIFS(C:C,C506,N:N,"Đã xác nhận")/COUNTIFS(C:C,C506)</f>
        <v>1</v>
      </c>
      <c r="Q506" s="22"/>
      <c r="R506" s="0" t="s">
        <v>1849</v>
      </c>
      <c r="S506" s="0" t="s">
        <v>534</v>
      </c>
      <c r="U506" s="24" t="n">
        <v>2</v>
      </c>
    </row>
    <row r="507" customFormat="false" ht="12.75" hidden="false" customHeight="false" outlineLevel="0" collapsed="false">
      <c r="A507" s="15" t="s">
        <v>1850</v>
      </c>
      <c r="B507" s="15" t="s">
        <v>600</v>
      </c>
      <c r="C507" s="15" t="s">
        <v>494</v>
      </c>
      <c r="D507" s="15" t="s">
        <v>1851</v>
      </c>
      <c r="E507" s="15" t="s">
        <v>81</v>
      </c>
      <c r="G507" s="10" t="n">
        <v>1</v>
      </c>
      <c r="H507" s="21" t="n">
        <v>46027.6769560185</v>
      </c>
      <c r="I507" s="15" t="s">
        <v>1852</v>
      </c>
      <c r="J507" s="15" t="s">
        <v>1852</v>
      </c>
      <c r="K507" s="15"/>
      <c r="L507" s="10" t="n">
        <f aca="false">COUNTIF($E$2:E507,E507)</f>
        <v>127</v>
      </c>
      <c r="M507" s="10" t="e">
        <f aca="false">ifs(L507=1, L507&amp;"-"&amp; COUNTIFS($L$2:L507,1))</f>
        <v>#NAME?</v>
      </c>
      <c r="N507" s="15" t="s">
        <v>603</v>
      </c>
      <c r="O507" s="10"/>
      <c r="P507" s="22" t="n">
        <f aca="false">COUNTIFS(C:C,C507,N:N,"Đã xác nhận")/COUNTIFS(C:C,C507)</f>
        <v>1</v>
      </c>
      <c r="Q507" s="22"/>
      <c r="R507" s="0" t="s">
        <v>1853</v>
      </c>
      <c r="S507" s="0" t="s">
        <v>534</v>
      </c>
      <c r="U507" s="24" t="n">
        <v>1</v>
      </c>
    </row>
    <row r="508" customFormat="false" ht="12.75" hidden="false" customHeight="false" outlineLevel="0" collapsed="false">
      <c r="A508" s="15" t="s">
        <v>1854</v>
      </c>
      <c r="B508" s="15" t="s">
        <v>600</v>
      </c>
      <c r="C508" s="15" t="s">
        <v>494</v>
      </c>
      <c r="D508" s="15" t="s">
        <v>839</v>
      </c>
      <c r="E508" s="15" t="s">
        <v>543</v>
      </c>
      <c r="G508" s="10" t="n">
        <v>2</v>
      </c>
      <c r="H508" s="21" t="n">
        <v>46027.6720833333</v>
      </c>
      <c r="I508" s="15" t="s">
        <v>1855</v>
      </c>
      <c r="J508" s="15" t="s">
        <v>1855</v>
      </c>
      <c r="K508" s="15"/>
      <c r="L508" s="10" t="n">
        <f aca="false">COUNTIF($E$2:E508,E508)</f>
        <v>15</v>
      </c>
      <c r="M508" s="10" t="e">
        <f aca="false">ifs(L508=1, L508&amp;"-"&amp; COUNTIFS($L$2:L508,1))</f>
        <v>#NAME?</v>
      </c>
      <c r="N508" s="15" t="s">
        <v>603</v>
      </c>
      <c r="O508" s="10"/>
      <c r="P508" s="22" t="n">
        <f aca="false">COUNTIFS(C:C,C508,N:N,"Đã xác nhận")/COUNTIFS(C:C,C508)</f>
        <v>1</v>
      </c>
      <c r="Q508" s="22"/>
      <c r="R508" s="0" t="s">
        <v>841</v>
      </c>
      <c r="S508" s="0" t="s">
        <v>544</v>
      </c>
      <c r="U508" s="24" t="n">
        <v>2</v>
      </c>
    </row>
    <row r="509" customFormat="false" ht="12.75" hidden="false" customHeight="false" outlineLevel="0" collapsed="false">
      <c r="A509" s="15" t="s">
        <v>1856</v>
      </c>
      <c r="B509" s="15" t="s">
        <v>600</v>
      </c>
      <c r="C509" s="15" t="s">
        <v>494</v>
      </c>
      <c r="D509" s="15" t="s">
        <v>1857</v>
      </c>
      <c r="E509" s="15" t="s">
        <v>81</v>
      </c>
      <c r="G509" s="10" t="n">
        <v>2</v>
      </c>
      <c r="H509" s="21" t="n">
        <v>46027.6769907407</v>
      </c>
      <c r="I509" s="15" t="s">
        <v>1858</v>
      </c>
      <c r="J509" s="15" t="s">
        <v>1858</v>
      </c>
      <c r="K509" s="15"/>
      <c r="L509" s="10" t="n">
        <f aca="false">COUNTIF($E$2:E509,E509)</f>
        <v>128</v>
      </c>
      <c r="M509" s="10" t="e">
        <f aca="false">ifs(L509=1, L509&amp;"-"&amp; COUNTIFS($L$2:L509,1))</f>
        <v>#NAME?</v>
      </c>
      <c r="N509" s="15" t="s">
        <v>603</v>
      </c>
      <c r="O509" s="10"/>
      <c r="P509" s="22" t="n">
        <f aca="false">COUNTIFS(C:C,C509,N:N,"Đã xác nhận")/COUNTIFS(C:C,C509)</f>
        <v>1</v>
      </c>
      <c r="Q509" s="22"/>
      <c r="R509" s="0" t="s">
        <v>1859</v>
      </c>
      <c r="S509" s="0" t="s">
        <v>534</v>
      </c>
      <c r="U509" s="24" t="n">
        <v>2</v>
      </c>
    </row>
    <row r="510" customFormat="false" ht="12.75" hidden="false" customHeight="false" outlineLevel="0" collapsed="false">
      <c r="A510" s="15" t="s">
        <v>1860</v>
      </c>
      <c r="B510" s="15" t="s">
        <v>600</v>
      </c>
      <c r="C510" s="15" t="s">
        <v>494</v>
      </c>
      <c r="D510" s="15" t="s">
        <v>1857</v>
      </c>
      <c r="E510" s="15" t="s">
        <v>79</v>
      </c>
      <c r="G510" s="10" t="n">
        <v>1</v>
      </c>
      <c r="H510" s="21" t="n">
        <v>46027.6768287037</v>
      </c>
      <c r="I510" s="15" t="s">
        <v>1861</v>
      </c>
      <c r="J510" s="15" t="s">
        <v>1861</v>
      </c>
      <c r="K510" s="15"/>
      <c r="L510" s="10" t="n">
        <f aca="false">COUNTIF($E$2:E510,E510)</f>
        <v>2</v>
      </c>
      <c r="M510" s="10" t="e">
        <f aca="false">ifs(L510=1, L510&amp;"-"&amp; COUNTIFS($L$2:L510,1))</f>
        <v>#NAME?</v>
      </c>
      <c r="N510" s="15" t="s">
        <v>603</v>
      </c>
      <c r="O510" s="10"/>
      <c r="P510" s="22" t="n">
        <f aca="false">COUNTIFS(C:C,C510,N:N,"Đã xác nhận")/COUNTIFS(C:C,C510)</f>
        <v>1</v>
      </c>
      <c r="Q510" s="22"/>
      <c r="R510" s="0" t="s">
        <v>1859</v>
      </c>
      <c r="S510" s="0" t="s">
        <v>564</v>
      </c>
      <c r="U510" s="24" t="n">
        <v>1</v>
      </c>
    </row>
    <row r="511" customFormat="false" ht="12.75" hidden="false" customHeight="false" outlineLevel="0" collapsed="false">
      <c r="A511" s="15" t="s">
        <v>1862</v>
      </c>
      <c r="B511" s="15" t="s">
        <v>600</v>
      </c>
      <c r="C511" s="15" t="s">
        <v>494</v>
      </c>
      <c r="D511" s="15" t="s">
        <v>1863</v>
      </c>
      <c r="E511" s="15" t="s">
        <v>81</v>
      </c>
      <c r="G511" s="10" t="n">
        <v>2</v>
      </c>
      <c r="H511" s="21" t="n">
        <v>46027.6769212963</v>
      </c>
      <c r="I511" s="15" t="s">
        <v>1864</v>
      </c>
      <c r="J511" s="15" t="s">
        <v>1864</v>
      </c>
      <c r="K511" s="15"/>
      <c r="L511" s="10" t="n">
        <f aca="false">COUNTIF($E$2:E511,E511)</f>
        <v>129</v>
      </c>
      <c r="M511" s="10" t="e">
        <f aca="false">ifs(L511=1, L511&amp;"-"&amp; COUNTIFS($L$2:L511,1))</f>
        <v>#NAME?</v>
      </c>
      <c r="N511" s="15" t="s">
        <v>603</v>
      </c>
      <c r="O511" s="10"/>
      <c r="P511" s="22" t="n">
        <f aca="false">COUNTIFS(C:C,C511,N:N,"Đã xác nhận")/COUNTIFS(C:C,C511)</f>
        <v>1</v>
      </c>
      <c r="Q511" s="22"/>
      <c r="R511" s="0" t="s">
        <v>1865</v>
      </c>
      <c r="S511" s="0" t="s">
        <v>534</v>
      </c>
      <c r="U511" s="24" t="n">
        <v>2</v>
      </c>
    </row>
    <row r="512" customFormat="false" ht="12.75" hidden="false" customHeight="false" outlineLevel="0" collapsed="false">
      <c r="A512" s="15" t="s">
        <v>1866</v>
      </c>
      <c r="B512" s="15" t="s">
        <v>600</v>
      </c>
      <c r="C512" s="15" t="s">
        <v>494</v>
      </c>
      <c r="D512" s="15" t="s">
        <v>1867</v>
      </c>
      <c r="E512" s="15" t="s">
        <v>69</v>
      </c>
      <c r="G512" s="10" t="n">
        <v>1</v>
      </c>
      <c r="H512" s="21" t="n">
        <v>46027.6755324074</v>
      </c>
      <c r="I512" s="15" t="s">
        <v>1868</v>
      </c>
      <c r="J512" s="15" t="s">
        <v>1868</v>
      </c>
      <c r="K512" s="15"/>
      <c r="L512" s="10" t="n">
        <f aca="false">COUNTIF($E$2:E512,E512)</f>
        <v>44</v>
      </c>
      <c r="M512" s="10" t="e">
        <f aca="false">ifs(L512=1, L512&amp;"-"&amp; COUNTIFS($L$2:L512,1))</f>
        <v>#NAME?</v>
      </c>
      <c r="N512" s="15" t="s">
        <v>603</v>
      </c>
      <c r="O512" s="10"/>
      <c r="P512" s="22" t="n">
        <f aca="false">COUNTIFS(C:C,C512,N:N,"Đã xác nhận")/COUNTIFS(C:C,C512)</f>
        <v>1</v>
      </c>
      <c r="Q512" s="22"/>
      <c r="R512" s="0" t="s">
        <v>1869</v>
      </c>
      <c r="S512" s="0" t="s">
        <v>535</v>
      </c>
      <c r="U512" s="24" t="n">
        <v>1</v>
      </c>
    </row>
    <row r="513" customFormat="false" ht="12.75" hidden="false" customHeight="false" outlineLevel="0" collapsed="false">
      <c r="A513" s="15" t="s">
        <v>1870</v>
      </c>
      <c r="B513" s="15" t="s">
        <v>600</v>
      </c>
      <c r="C513" s="15" t="s">
        <v>494</v>
      </c>
      <c r="D513" s="15" t="s">
        <v>1867</v>
      </c>
      <c r="E513" s="15" t="s">
        <v>33</v>
      </c>
      <c r="G513" s="10" t="n">
        <v>1</v>
      </c>
      <c r="H513" s="21" t="n">
        <v>46027.6759837963</v>
      </c>
      <c r="I513" s="15" t="s">
        <v>1871</v>
      </c>
      <c r="J513" s="15" t="s">
        <v>1871</v>
      </c>
      <c r="K513" s="15"/>
      <c r="L513" s="10" t="n">
        <f aca="false">COUNTIF($E$2:E513,E513)</f>
        <v>9</v>
      </c>
      <c r="M513" s="10" t="e">
        <f aca="false">ifs(L513=1, L513&amp;"-"&amp; COUNTIFS($L$2:L513,1))</f>
        <v>#NAME?</v>
      </c>
      <c r="N513" s="15" t="s">
        <v>603</v>
      </c>
      <c r="O513" s="10"/>
      <c r="P513" s="22" t="n">
        <f aca="false">COUNTIFS(C:C,C513,N:N,"Đã xác nhận")/COUNTIFS(C:C,C513)</f>
        <v>1</v>
      </c>
      <c r="Q513" s="22"/>
      <c r="R513" s="0" t="s">
        <v>1869</v>
      </c>
      <c r="S513" s="0" t="s">
        <v>536</v>
      </c>
      <c r="U513" s="24" t="n">
        <v>1</v>
      </c>
    </row>
    <row r="514" customFormat="false" ht="12.75" hidden="false" customHeight="false" outlineLevel="0" collapsed="false">
      <c r="A514" s="15" t="s">
        <v>1872</v>
      </c>
      <c r="B514" s="15" t="s">
        <v>600</v>
      </c>
      <c r="C514" s="15" t="s">
        <v>494</v>
      </c>
      <c r="D514" s="15" t="s">
        <v>1873</v>
      </c>
      <c r="E514" s="15" t="s">
        <v>87</v>
      </c>
      <c r="G514" s="10" t="n">
        <v>1</v>
      </c>
      <c r="H514" s="21" t="n">
        <v>46078.7786574074</v>
      </c>
      <c r="I514" s="15" t="s">
        <v>1874</v>
      </c>
      <c r="J514" s="15" t="s">
        <v>1874</v>
      </c>
      <c r="K514" s="15"/>
      <c r="L514" s="10" t="n">
        <f aca="false">COUNTIF($E$2:E514,E514)</f>
        <v>2</v>
      </c>
      <c r="M514" s="10" t="e">
        <f aca="false">ifs(L514=1, L514&amp;"-"&amp; COUNTIFS($L$2:L514,1))</f>
        <v>#NAME?</v>
      </c>
      <c r="N514" s="15" t="s">
        <v>603</v>
      </c>
      <c r="O514" s="10"/>
      <c r="P514" s="22" t="n">
        <f aca="false">COUNTIFS(C:C,C514,N:N,"Đã xác nhận")/COUNTIFS(C:C,C514)</f>
        <v>1</v>
      </c>
      <c r="Q514" s="22"/>
      <c r="R514" s="0" t="s">
        <v>1875</v>
      </c>
      <c r="S514" s="0" t="s">
        <v>563</v>
      </c>
      <c r="U514" s="24" t="n">
        <v>1</v>
      </c>
    </row>
    <row r="515" customFormat="false" ht="12.75" hidden="false" customHeight="false" outlineLevel="0" collapsed="false">
      <c r="A515" s="15" t="s">
        <v>1876</v>
      </c>
      <c r="B515" s="15" t="s">
        <v>600</v>
      </c>
      <c r="C515" s="15" t="s">
        <v>494</v>
      </c>
      <c r="D515" s="15" t="s">
        <v>866</v>
      </c>
      <c r="E515" s="15" t="s">
        <v>33</v>
      </c>
      <c r="G515" s="10" t="n">
        <v>1</v>
      </c>
      <c r="H515" s="21" t="n">
        <v>46027.6759722222</v>
      </c>
      <c r="I515" s="15" t="s">
        <v>1877</v>
      </c>
      <c r="J515" s="15" t="s">
        <v>1877</v>
      </c>
      <c r="K515" s="15"/>
      <c r="L515" s="10" t="n">
        <f aca="false">COUNTIF($E$2:E515,E515)</f>
        <v>10</v>
      </c>
      <c r="M515" s="10" t="e">
        <f aca="false">ifs(L515=1, L515&amp;"-"&amp; COUNTIFS($L$2:L515,1))</f>
        <v>#NAME?</v>
      </c>
      <c r="N515" s="15" t="s">
        <v>603</v>
      </c>
      <c r="O515" s="10"/>
      <c r="P515" s="22" t="n">
        <f aca="false">COUNTIFS(C:C,C515,N:N,"Đã xác nhận")/COUNTIFS(C:C,C515)</f>
        <v>1</v>
      </c>
      <c r="Q515" s="22"/>
      <c r="R515" s="0" t="s">
        <v>868</v>
      </c>
      <c r="S515" s="0" t="s">
        <v>536</v>
      </c>
      <c r="U515" s="24" t="n">
        <v>1</v>
      </c>
    </row>
    <row r="516" customFormat="false" ht="12.75" hidden="false" customHeight="false" outlineLevel="0" collapsed="false">
      <c r="A516" s="15" t="s">
        <v>1878</v>
      </c>
      <c r="B516" s="15" t="s">
        <v>600</v>
      </c>
      <c r="C516" s="15" t="s">
        <v>494</v>
      </c>
      <c r="D516" s="15" t="s">
        <v>866</v>
      </c>
      <c r="E516" s="15" t="s">
        <v>77</v>
      </c>
      <c r="G516" s="10" t="n">
        <v>1</v>
      </c>
      <c r="H516" s="21" t="n">
        <v>46027.6771990741</v>
      </c>
      <c r="I516" s="15" t="s">
        <v>1879</v>
      </c>
      <c r="J516" s="15" t="s">
        <v>1879</v>
      </c>
      <c r="K516" s="15"/>
      <c r="L516" s="10" t="n">
        <f aca="false">COUNTIF($E$2:E516,E516)</f>
        <v>19</v>
      </c>
      <c r="M516" s="10" t="e">
        <f aca="false">ifs(L516=1, L516&amp;"-"&amp; COUNTIFS($L$2:L516,1))</f>
        <v>#NAME?</v>
      </c>
      <c r="N516" s="15" t="s">
        <v>603</v>
      </c>
      <c r="O516" s="10"/>
      <c r="P516" s="22" t="n">
        <f aca="false">COUNTIFS(C:C,C516,N:N,"Đã xác nhận")/COUNTIFS(C:C,C516)</f>
        <v>1</v>
      </c>
      <c r="Q516" s="22"/>
      <c r="R516" s="0" t="s">
        <v>868</v>
      </c>
      <c r="S516" s="0" t="s">
        <v>78</v>
      </c>
      <c r="U516" s="24" t="n">
        <v>1</v>
      </c>
    </row>
    <row r="517" customFormat="false" ht="12.75" hidden="false" customHeight="false" outlineLevel="0" collapsed="false">
      <c r="A517" s="15" t="s">
        <v>1880</v>
      </c>
      <c r="B517" s="15"/>
      <c r="C517" s="15"/>
      <c r="D517" s="15"/>
      <c r="E517" s="15"/>
      <c r="G517" s="10" t="n">
        <v>0</v>
      </c>
      <c r="H517" s="21" t="n">
        <v>46027.6758912037</v>
      </c>
      <c r="I517" s="15" t="s">
        <v>1881</v>
      </c>
      <c r="J517" s="15" t="s">
        <v>695</v>
      </c>
      <c r="K517" s="15" t="s">
        <v>1882</v>
      </c>
      <c r="L517" s="10" t="n">
        <f aca="false">COUNTIF($E$2:E517,E517)</f>
        <v>0</v>
      </c>
      <c r="M517" s="10" t="e">
        <f aca="false">ifs(L517=1, L517&amp;"-"&amp; COUNTIFS($L$2:L517,1))</f>
        <v>#NAME?</v>
      </c>
      <c r="O517" s="10"/>
      <c r="P517" s="22" t="e">
        <f aca="false">COUNTIFS(C:C,C517,N:N,"Đã xác nhận")/COUNTIFS(C:C,C517)</f>
        <v>#DIV/0!</v>
      </c>
      <c r="Q517" s="22"/>
      <c r="R517" s="0" t="e">
        <f aca="false">#VALUE!</f>
        <v>#VALUE!</v>
      </c>
      <c r="S517" s="0" t="e">
        <f aca="false">#VALUE!</f>
        <v>#VALUE!</v>
      </c>
      <c r="U517" s="24" t="n">
        <v>0</v>
      </c>
    </row>
    <row r="518" customFormat="false" ht="12.75" hidden="false" customHeight="false" outlineLevel="0" collapsed="false">
      <c r="A518" s="15" t="s">
        <v>1883</v>
      </c>
      <c r="B518" s="15" t="s">
        <v>600</v>
      </c>
      <c r="C518" s="15" t="s">
        <v>494</v>
      </c>
      <c r="D518" s="15" t="s">
        <v>1884</v>
      </c>
      <c r="E518" s="15" t="s">
        <v>77</v>
      </c>
      <c r="G518" s="10" t="n">
        <v>1</v>
      </c>
      <c r="H518" s="21" t="n">
        <v>46027.6771875</v>
      </c>
      <c r="I518" s="15" t="s">
        <v>1885</v>
      </c>
      <c r="J518" s="15" t="s">
        <v>1885</v>
      </c>
      <c r="K518" s="15"/>
      <c r="L518" s="10" t="n">
        <f aca="false">COUNTIF($E$2:E518,E518)</f>
        <v>20</v>
      </c>
      <c r="M518" s="10" t="e">
        <f aca="false">ifs(L518=1, L518&amp;"-"&amp; COUNTIFS($L$2:L518,1))</f>
        <v>#NAME?</v>
      </c>
      <c r="N518" s="15" t="s">
        <v>603</v>
      </c>
      <c r="O518" s="10"/>
      <c r="P518" s="22" t="n">
        <f aca="false">COUNTIFS(C:C,C518,N:N,"Đã xác nhận")/COUNTIFS(C:C,C518)</f>
        <v>1</v>
      </c>
      <c r="Q518" s="22"/>
      <c r="R518" s="0" t="s">
        <v>1886</v>
      </c>
      <c r="S518" s="0" t="s">
        <v>78</v>
      </c>
      <c r="U518" s="24" t="n">
        <v>1</v>
      </c>
    </row>
    <row r="519" customFormat="false" ht="12.75" hidden="false" customHeight="false" outlineLevel="0" collapsed="false">
      <c r="A519" s="15" t="s">
        <v>1887</v>
      </c>
      <c r="B519" s="15"/>
      <c r="C519" s="15"/>
      <c r="D519" s="15"/>
      <c r="E519" s="15"/>
      <c r="G519" s="10" t="n">
        <v>0</v>
      </c>
      <c r="H519" s="21" t="n">
        <v>46027.6777777778</v>
      </c>
      <c r="I519" s="15" t="s">
        <v>1888</v>
      </c>
      <c r="J519" s="15" t="s">
        <v>695</v>
      </c>
      <c r="K519" s="15" t="s">
        <v>1889</v>
      </c>
      <c r="L519" s="10" t="n">
        <f aca="false">COUNTIF($E$2:E519,E519)</f>
        <v>0</v>
      </c>
      <c r="M519" s="10" t="e">
        <f aca="false">ifs(L519=1, L519&amp;"-"&amp; COUNTIFS($L$2:L519,1))</f>
        <v>#NAME?</v>
      </c>
      <c r="O519" s="10"/>
      <c r="P519" s="22" t="e">
        <f aca="false">COUNTIFS(C:C,C519,N:N,"Đã xác nhận")/COUNTIFS(C:C,C519)</f>
        <v>#DIV/0!</v>
      </c>
      <c r="Q519" s="22"/>
      <c r="R519" s="0" t="e">
        <f aca="false">#VALUE!</f>
        <v>#VALUE!</v>
      </c>
      <c r="S519" s="0" t="e">
        <f aca="false">#VALUE!</f>
        <v>#VALUE!</v>
      </c>
      <c r="U519" s="24" t="n">
        <v>0</v>
      </c>
    </row>
    <row r="520" customFormat="false" ht="12.75" hidden="false" customHeight="false" outlineLevel="0" collapsed="false">
      <c r="A520" s="15" t="s">
        <v>1890</v>
      </c>
      <c r="B520" s="15" t="s">
        <v>600</v>
      </c>
      <c r="C520" s="15" t="s">
        <v>494</v>
      </c>
      <c r="D520" s="15" t="s">
        <v>847</v>
      </c>
      <c r="E520" s="15" t="s">
        <v>65</v>
      </c>
      <c r="G520" s="10" t="n">
        <v>1</v>
      </c>
      <c r="H520" s="21" t="n">
        <v>46027.6721412037</v>
      </c>
      <c r="I520" s="15" t="s">
        <v>1891</v>
      </c>
      <c r="J520" s="15" t="s">
        <v>1891</v>
      </c>
      <c r="K520" s="15"/>
      <c r="L520" s="10" t="n">
        <f aca="false">COUNTIF($E$2:E520,E520)</f>
        <v>2</v>
      </c>
      <c r="M520" s="10" t="e">
        <f aca="false">ifs(L520=1, L520&amp;"-"&amp; COUNTIFS($L$2:L520,1))</f>
        <v>#NAME?</v>
      </c>
      <c r="N520" s="15" t="s">
        <v>603</v>
      </c>
      <c r="O520" s="10"/>
      <c r="P520" s="22" t="n">
        <f aca="false">COUNTIFS(C:C,C520,N:N,"Đã xác nhận")/COUNTIFS(C:C,C520)</f>
        <v>1</v>
      </c>
      <c r="Q520" s="22"/>
      <c r="R520" s="0" t="s">
        <v>849</v>
      </c>
      <c r="S520" s="0" t="s">
        <v>580</v>
      </c>
      <c r="U520" s="24" t="n">
        <v>1</v>
      </c>
    </row>
    <row r="521" customFormat="false" ht="12.75" hidden="false" customHeight="false" outlineLevel="0" collapsed="false">
      <c r="A521" s="15" t="s">
        <v>1892</v>
      </c>
      <c r="B521" s="15" t="s">
        <v>600</v>
      </c>
      <c r="C521" s="15" t="s">
        <v>494</v>
      </c>
      <c r="D521" s="15" t="s">
        <v>855</v>
      </c>
      <c r="E521" s="15" t="s">
        <v>81</v>
      </c>
      <c r="G521" s="10" t="n">
        <v>1</v>
      </c>
      <c r="H521" s="21" t="n">
        <v>46027.6769444444</v>
      </c>
      <c r="I521" s="15" t="s">
        <v>1893</v>
      </c>
      <c r="J521" s="15" t="s">
        <v>1893</v>
      </c>
      <c r="K521" s="15"/>
      <c r="L521" s="10" t="n">
        <f aca="false">COUNTIF($E$2:E521,E521)</f>
        <v>130</v>
      </c>
      <c r="M521" s="10" t="e">
        <f aca="false">ifs(L521=1, L521&amp;"-"&amp; COUNTIFS($L$2:L521,1))</f>
        <v>#NAME?</v>
      </c>
      <c r="N521" s="15" t="s">
        <v>603</v>
      </c>
      <c r="O521" s="10"/>
      <c r="P521" s="22" t="n">
        <f aca="false">COUNTIFS(C:C,C521,N:N,"Đã xác nhận")/COUNTIFS(C:C,C521)</f>
        <v>1</v>
      </c>
      <c r="Q521" s="22"/>
      <c r="R521" s="0" t="s">
        <v>857</v>
      </c>
      <c r="S521" s="0" t="s">
        <v>534</v>
      </c>
      <c r="U521" s="24" t="n">
        <v>1</v>
      </c>
    </row>
    <row r="522" customFormat="false" ht="12.75" hidden="false" customHeight="false" outlineLevel="0" collapsed="false">
      <c r="A522" s="15" t="s">
        <v>1894</v>
      </c>
      <c r="B522" s="15" t="s">
        <v>600</v>
      </c>
      <c r="C522" s="15" t="s">
        <v>494</v>
      </c>
      <c r="D522" s="15" t="s">
        <v>855</v>
      </c>
      <c r="E522" s="15" t="s">
        <v>55</v>
      </c>
      <c r="G522" s="10" t="n">
        <v>1</v>
      </c>
      <c r="H522" s="21" t="n">
        <v>46027.6764351852</v>
      </c>
      <c r="I522" s="15" t="s">
        <v>1895</v>
      </c>
      <c r="J522" s="15" t="s">
        <v>1895</v>
      </c>
      <c r="K522" s="15"/>
      <c r="L522" s="10" t="n">
        <f aca="false">COUNTIF($E$2:E522,E522)</f>
        <v>55</v>
      </c>
      <c r="M522" s="10" t="e">
        <f aca="false">ifs(L522=1, L522&amp;"-"&amp; COUNTIFS($L$2:L522,1))</f>
        <v>#NAME?</v>
      </c>
      <c r="N522" s="15" t="s">
        <v>603</v>
      </c>
      <c r="O522" s="10"/>
      <c r="P522" s="22" t="n">
        <f aca="false">COUNTIFS(C:C,C522,N:N,"Đã xác nhận")/COUNTIFS(C:C,C522)</f>
        <v>1</v>
      </c>
      <c r="Q522" s="22"/>
      <c r="R522" s="0" t="s">
        <v>857</v>
      </c>
      <c r="S522" s="0" t="s">
        <v>539</v>
      </c>
      <c r="U522" s="24" t="n">
        <v>1</v>
      </c>
    </row>
    <row r="523" customFormat="false" ht="12.75" hidden="false" customHeight="false" outlineLevel="0" collapsed="false">
      <c r="A523" s="15" t="s">
        <v>1896</v>
      </c>
      <c r="B523" s="15" t="s">
        <v>600</v>
      </c>
      <c r="C523" s="15" t="s">
        <v>494</v>
      </c>
      <c r="D523" s="15" t="s">
        <v>1841</v>
      </c>
      <c r="E523" s="15" t="s">
        <v>47</v>
      </c>
      <c r="G523" s="10" t="n">
        <v>1</v>
      </c>
      <c r="H523" s="21" t="n">
        <v>46027.6775</v>
      </c>
      <c r="I523" s="15" t="s">
        <v>1897</v>
      </c>
      <c r="J523" s="15" t="s">
        <v>1897</v>
      </c>
      <c r="K523" s="15"/>
      <c r="L523" s="10" t="n">
        <f aca="false">COUNTIF($E$2:E523,E523)</f>
        <v>36</v>
      </c>
      <c r="M523" s="10" t="e">
        <f aca="false">ifs(L523=1, L523&amp;"-"&amp; COUNTIFS($L$2:L523,1))</f>
        <v>#NAME?</v>
      </c>
      <c r="N523" s="15" t="s">
        <v>603</v>
      </c>
      <c r="O523" s="10"/>
      <c r="P523" s="22" t="n">
        <f aca="false">COUNTIFS(C:C,C523,N:N,"Đã xác nhận")/COUNTIFS(C:C,C523)</f>
        <v>1</v>
      </c>
      <c r="Q523" s="22"/>
      <c r="R523" s="0" t="s">
        <v>1843</v>
      </c>
      <c r="S523" s="0" t="s">
        <v>549</v>
      </c>
      <c r="U523" s="24" t="n">
        <v>1</v>
      </c>
    </row>
    <row r="524" customFormat="false" ht="12.75" hidden="false" customHeight="false" outlineLevel="0" collapsed="false">
      <c r="A524" s="15" t="s">
        <v>1898</v>
      </c>
      <c r="B524" s="15" t="s">
        <v>600</v>
      </c>
      <c r="C524" s="15" t="s">
        <v>494</v>
      </c>
      <c r="D524" s="15" t="s">
        <v>1899</v>
      </c>
      <c r="E524" s="15" t="s">
        <v>81</v>
      </c>
      <c r="G524" s="10" t="n">
        <v>1</v>
      </c>
      <c r="H524" s="21" t="n">
        <v>46027.6769444444</v>
      </c>
      <c r="I524" s="15" t="s">
        <v>1900</v>
      </c>
      <c r="J524" s="15" t="s">
        <v>1900</v>
      </c>
      <c r="K524" s="15"/>
      <c r="L524" s="10" t="n">
        <f aca="false">COUNTIF($E$2:E524,E524)</f>
        <v>131</v>
      </c>
      <c r="M524" s="10" t="e">
        <f aca="false">ifs(L524=1, L524&amp;"-"&amp; COUNTIFS($L$2:L524,1))</f>
        <v>#NAME?</v>
      </c>
      <c r="N524" s="15" t="s">
        <v>603</v>
      </c>
      <c r="O524" s="10"/>
      <c r="P524" s="22" t="n">
        <f aca="false">COUNTIFS(C:C,C524,N:N,"Đã xác nhận")/COUNTIFS(C:C,C524)</f>
        <v>1</v>
      </c>
      <c r="Q524" s="22"/>
      <c r="R524" s="0" t="s">
        <v>1901</v>
      </c>
      <c r="S524" s="0" t="s">
        <v>534</v>
      </c>
      <c r="U524" s="24" t="n">
        <v>1</v>
      </c>
    </row>
    <row r="525" customFormat="false" ht="12.75" hidden="false" customHeight="false" outlineLevel="0" collapsed="false">
      <c r="A525" s="15" t="s">
        <v>1902</v>
      </c>
      <c r="B525" s="15" t="s">
        <v>600</v>
      </c>
      <c r="C525" s="15" t="s">
        <v>494</v>
      </c>
      <c r="D525" s="15" t="s">
        <v>1903</v>
      </c>
      <c r="E525" s="15" t="s">
        <v>81</v>
      </c>
      <c r="G525" s="10" t="n">
        <v>2</v>
      </c>
      <c r="H525" s="21" t="n">
        <v>46027.6770138889</v>
      </c>
      <c r="I525" s="15" t="s">
        <v>1904</v>
      </c>
      <c r="J525" s="15" t="s">
        <v>1904</v>
      </c>
      <c r="K525" s="15"/>
      <c r="L525" s="10" t="n">
        <f aca="false">COUNTIF($E$2:E525,E525)</f>
        <v>132</v>
      </c>
      <c r="M525" s="10" t="e">
        <f aca="false">ifs(L525=1, L525&amp;"-"&amp; COUNTIFS($L$2:L525,1))</f>
        <v>#NAME?</v>
      </c>
      <c r="N525" s="15" t="s">
        <v>603</v>
      </c>
      <c r="O525" s="10"/>
      <c r="P525" s="22" t="n">
        <f aca="false">COUNTIFS(C:C,C525,N:N,"Đã xác nhận")/COUNTIFS(C:C,C525)</f>
        <v>1</v>
      </c>
      <c r="Q525" s="22"/>
      <c r="R525" s="0" t="s">
        <v>1905</v>
      </c>
      <c r="S525" s="0" t="s">
        <v>534</v>
      </c>
      <c r="U525" s="24" t="n">
        <v>2</v>
      </c>
    </row>
    <row r="526" customFormat="false" ht="12.75" hidden="false" customHeight="false" outlineLevel="0" collapsed="false">
      <c r="A526" s="15" t="s">
        <v>1906</v>
      </c>
      <c r="B526" s="15" t="s">
        <v>600</v>
      </c>
      <c r="C526" s="15" t="s">
        <v>494</v>
      </c>
      <c r="D526" s="15" t="s">
        <v>1907</v>
      </c>
      <c r="E526" s="15" t="s">
        <v>81</v>
      </c>
      <c r="G526" s="10" t="n">
        <v>1</v>
      </c>
      <c r="H526" s="21" t="n">
        <v>46027.6770023148</v>
      </c>
      <c r="I526" s="15" t="s">
        <v>1908</v>
      </c>
      <c r="J526" s="15" t="s">
        <v>1908</v>
      </c>
      <c r="K526" s="15"/>
      <c r="L526" s="10" t="n">
        <f aca="false">COUNTIF($E$2:E526,E526)</f>
        <v>133</v>
      </c>
      <c r="M526" s="10" t="e">
        <f aca="false">ifs(L526=1, L526&amp;"-"&amp; COUNTIFS($L$2:L526,1))</f>
        <v>#NAME?</v>
      </c>
      <c r="N526" s="15" t="s">
        <v>603</v>
      </c>
      <c r="O526" s="10"/>
      <c r="P526" s="22" t="n">
        <f aca="false">COUNTIFS(C:C,C526,N:N,"Đã xác nhận")/COUNTIFS(C:C,C526)</f>
        <v>1</v>
      </c>
      <c r="Q526" s="22"/>
      <c r="R526" s="0" t="s">
        <v>1909</v>
      </c>
      <c r="S526" s="0" t="s">
        <v>534</v>
      </c>
      <c r="U526" s="24" t="n">
        <v>1</v>
      </c>
    </row>
    <row r="527" customFormat="false" ht="12.75" hidden="false" customHeight="false" outlineLevel="0" collapsed="false">
      <c r="A527" s="15" t="s">
        <v>1910</v>
      </c>
      <c r="B527" s="15" t="s">
        <v>600</v>
      </c>
      <c r="C527" s="15" t="s">
        <v>494</v>
      </c>
      <c r="D527" s="15" t="s">
        <v>1907</v>
      </c>
      <c r="E527" s="15" t="s">
        <v>79</v>
      </c>
      <c r="G527" s="10" t="n">
        <v>1</v>
      </c>
      <c r="H527" s="21" t="n">
        <v>46027.6768518519</v>
      </c>
      <c r="I527" s="15" t="s">
        <v>1911</v>
      </c>
      <c r="J527" s="15" t="s">
        <v>1911</v>
      </c>
      <c r="K527" s="15"/>
      <c r="L527" s="10" t="n">
        <f aca="false">COUNTIF($E$2:E527,E527)</f>
        <v>3</v>
      </c>
      <c r="M527" s="10" t="e">
        <f aca="false">ifs(L527=1, L527&amp;"-"&amp; COUNTIFS($L$2:L527,1))</f>
        <v>#NAME?</v>
      </c>
      <c r="N527" s="15" t="s">
        <v>603</v>
      </c>
      <c r="O527" s="10"/>
      <c r="P527" s="22" t="n">
        <f aca="false">COUNTIFS(C:C,C527,N:N,"Đã xác nhận")/COUNTIFS(C:C,C527)</f>
        <v>1</v>
      </c>
      <c r="Q527" s="22"/>
      <c r="R527" s="0" t="s">
        <v>1909</v>
      </c>
      <c r="S527" s="0" t="s">
        <v>564</v>
      </c>
      <c r="U527" s="24" t="n">
        <v>1</v>
      </c>
    </row>
    <row r="528" customFormat="false" ht="12.75" hidden="false" customHeight="false" outlineLevel="0" collapsed="false">
      <c r="A528" s="15" t="s">
        <v>1912</v>
      </c>
      <c r="B528" s="15" t="s">
        <v>600</v>
      </c>
      <c r="C528" s="15" t="s">
        <v>489</v>
      </c>
      <c r="D528" s="15" t="s">
        <v>1913</v>
      </c>
      <c r="E528" s="15" t="s">
        <v>31</v>
      </c>
      <c r="G528" s="10" t="n">
        <v>1</v>
      </c>
      <c r="H528" s="21" t="n">
        <v>45957.4308680556</v>
      </c>
      <c r="I528" s="15" t="s">
        <v>1566</v>
      </c>
      <c r="J528" s="15" t="s">
        <v>1914</v>
      </c>
      <c r="K528" s="15" t="s">
        <v>1915</v>
      </c>
      <c r="L528" s="10" t="n">
        <f aca="false">COUNTIF($E$2:E528,E528)</f>
        <v>3</v>
      </c>
      <c r="M528" s="10" t="e">
        <f aca="false">ifs(L528=1, L528&amp;"-"&amp; COUNTIFS($L$2:L528,1))</f>
        <v>#NAME?</v>
      </c>
      <c r="O528" s="10"/>
      <c r="P528" s="22" t="n">
        <f aca="false">COUNTIFS(C:C,C528,N:N,"Đã xác nhận")/COUNTIFS(C:C,C528)</f>
        <v>0.65</v>
      </c>
      <c r="Q528" s="22"/>
      <c r="R528" s="0" t="s">
        <v>1916</v>
      </c>
      <c r="S528" s="0" t="s">
        <v>559</v>
      </c>
      <c r="U528" s="24" t="n">
        <v>1</v>
      </c>
    </row>
    <row r="529" customFormat="false" ht="12.75" hidden="false" customHeight="false" outlineLevel="0" collapsed="false">
      <c r="A529" s="15" t="s">
        <v>1917</v>
      </c>
      <c r="B529" s="15" t="s">
        <v>600</v>
      </c>
      <c r="C529" s="15" t="s">
        <v>489</v>
      </c>
      <c r="D529" s="15" t="s">
        <v>1918</v>
      </c>
      <c r="E529" s="15" t="s">
        <v>43</v>
      </c>
      <c r="G529" s="10" t="n">
        <v>1</v>
      </c>
      <c r="H529" s="21" t="n">
        <v>45957.4315162037</v>
      </c>
      <c r="I529" s="15" t="s">
        <v>1566</v>
      </c>
      <c r="J529" s="15" t="s">
        <v>1919</v>
      </c>
      <c r="K529" s="15" t="s">
        <v>1920</v>
      </c>
      <c r="L529" s="10" t="n">
        <f aca="false">COUNTIF($E$2:E529,E529)</f>
        <v>7</v>
      </c>
      <c r="M529" s="10" t="e">
        <f aca="false">ifs(L529=1, L529&amp;"-"&amp; COUNTIFS($L$2:L529,1))</f>
        <v>#NAME?</v>
      </c>
      <c r="O529" s="10"/>
      <c r="P529" s="22" t="n">
        <f aca="false">COUNTIFS(C:C,C529,N:N,"Đã xác nhận")/COUNTIFS(C:C,C529)</f>
        <v>0.65</v>
      </c>
      <c r="Q529" s="22"/>
      <c r="R529" s="0" t="s">
        <v>1921</v>
      </c>
      <c r="S529" s="0" t="s">
        <v>538</v>
      </c>
      <c r="U529" s="24" t="n">
        <v>1</v>
      </c>
    </row>
    <row r="530" customFormat="false" ht="12.75" hidden="false" customHeight="false" outlineLevel="0" collapsed="false">
      <c r="A530" s="15" t="s">
        <v>1922</v>
      </c>
      <c r="B530" s="15" t="s">
        <v>600</v>
      </c>
      <c r="C530" s="15" t="s">
        <v>489</v>
      </c>
      <c r="D530" s="15" t="s">
        <v>1923</v>
      </c>
      <c r="E530" s="15" t="s">
        <v>81</v>
      </c>
      <c r="G530" s="10" t="n">
        <v>1</v>
      </c>
      <c r="H530" s="21" t="n">
        <v>45967.3896875</v>
      </c>
      <c r="I530" s="15" t="s">
        <v>1924</v>
      </c>
      <c r="J530" s="15" t="s">
        <v>1925</v>
      </c>
      <c r="K530" s="15" t="s">
        <v>1926</v>
      </c>
      <c r="L530" s="10" t="n">
        <f aca="false">COUNTIF($E$2:E530,E530)</f>
        <v>134</v>
      </c>
      <c r="M530" s="10" t="e">
        <f aca="false">ifs(L530=1, L530&amp;"-"&amp; COUNTIFS($L$2:L530,1))</f>
        <v>#NAME?</v>
      </c>
      <c r="O530" s="10"/>
      <c r="P530" s="22" t="n">
        <f aca="false">COUNTIFS(C:C,C530,N:N,"Đã xác nhận")/COUNTIFS(C:C,C530)</f>
        <v>0.65</v>
      </c>
      <c r="Q530" s="22"/>
      <c r="R530" s="0" t="s">
        <v>1927</v>
      </c>
      <c r="S530" s="0" t="s">
        <v>534</v>
      </c>
      <c r="U530" s="24" t="n">
        <v>1</v>
      </c>
    </row>
    <row r="531" customFormat="false" ht="12.75" hidden="false" customHeight="false" outlineLevel="0" collapsed="false">
      <c r="A531" s="15" t="s">
        <v>1928</v>
      </c>
      <c r="B531" s="15" t="s">
        <v>600</v>
      </c>
      <c r="C531" s="15" t="s">
        <v>489</v>
      </c>
      <c r="D531" s="15" t="s">
        <v>1929</v>
      </c>
      <c r="E531" s="15" t="s">
        <v>43</v>
      </c>
      <c r="G531" s="10" t="n">
        <v>2</v>
      </c>
      <c r="H531" s="21" t="n">
        <v>45957.4337615741</v>
      </c>
      <c r="I531" s="15" t="s">
        <v>1566</v>
      </c>
      <c r="J531" s="15" t="s">
        <v>1930</v>
      </c>
      <c r="K531" s="15" t="s">
        <v>1931</v>
      </c>
      <c r="L531" s="10" t="n">
        <f aca="false">COUNTIF($E$2:E531,E531)</f>
        <v>8</v>
      </c>
      <c r="M531" s="10" t="e">
        <f aca="false">ifs(L531=1, L531&amp;"-"&amp; COUNTIFS($L$2:L531,1))</f>
        <v>#NAME?</v>
      </c>
      <c r="O531" s="10"/>
      <c r="P531" s="22" t="n">
        <f aca="false">COUNTIFS(C:C,C531,N:N,"Đã xác nhận")/COUNTIFS(C:C,C531)</f>
        <v>0.65</v>
      </c>
      <c r="Q531" s="22"/>
      <c r="R531" s="0" t="s">
        <v>1932</v>
      </c>
      <c r="S531" s="0" t="s">
        <v>538</v>
      </c>
      <c r="U531" s="24" t="n">
        <v>2</v>
      </c>
    </row>
    <row r="532" customFormat="false" ht="12.75" hidden="false" customHeight="false" outlineLevel="0" collapsed="false">
      <c r="A532" s="15" t="s">
        <v>1933</v>
      </c>
      <c r="B532" s="15" t="s">
        <v>600</v>
      </c>
      <c r="C532" s="15" t="s">
        <v>489</v>
      </c>
      <c r="D532" s="15" t="s">
        <v>1934</v>
      </c>
      <c r="E532" s="15" t="s">
        <v>81</v>
      </c>
      <c r="G532" s="10" t="n">
        <v>2</v>
      </c>
      <c r="H532" s="21" t="n">
        <v>45967.3901736111</v>
      </c>
      <c r="I532" s="15" t="s">
        <v>1935</v>
      </c>
      <c r="J532" s="15" t="s">
        <v>1936</v>
      </c>
      <c r="K532" s="15" t="s">
        <v>1937</v>
      </c>
      <c r="L532" s="10" t="n">
        <f aca="false">COUNTIF($E$2:E532,E532)</f>
        <v>135</v>
      </c>
      <c r="M532" s="10" t="e">
        <f aca="false">ifs(L532=1, L532&amp;"-"&amp; COUNTIFS($L$2:L532,1))</f>
        <v>#NAME?</v>
      </c>
      <c r="O532" s="10"/>
      <c r="P532" s="22" t="n">
        <f aca="false">COUNTIFS(C:C,C532,N:N,"Đã xác nhận")/COUNTIFS(C:C,C532)</f>
        <v>0.65</v>
      </c>
      <c r="Q532" s="22"/>
      <c r="R532" s="0" t="s">
        <v>1938</v>
      </c>
      <c r="S532" s="0" t="s">
        <v>534</v>
      </c>
      <c r="U532" s="24" t="n">
        <v>2</v>
      </c>
    </row>
    <row r="533" customFormat="false" ht="12.75" hidden="false" customHeight="false" outlineLevel="0" collapsed="false">
      <c r="A533" s="15" t="s">
        <v>1939</v>
      </c>
      <c r="B533" s="15" t="s">
        <v>600</v>
      </c>
      <c r="C533" s="15" t="s">
        <v>489</v>
      </c>
      <c r="D533" s="15" t="s">
        <v>1940</v>
      </c>
      <c r="E533" s="15" t="s">
        <v>81</v>
      </c>
      <c r="G533" s="10" t="n">
        <v>1</v>
      </c>
      <c r="H533" s="21" t="n">
        <v>46045.4741087963</v>
      </c>
      <c r="I533" s="15" t="s">
        <v>1941</v>
      </c>
      <c r="J533" s="15" t="s">
        <v>1941</v>
      </c>
      <c r="K533" s="15"/>
      <c r="L533" s="10" t="n">
        <f aca="false">COUNTIF($E$2:E533,E533)</f>
        <v>136</v>
      </c>
      <c r="M533" s="10" t="e">
        <f aca="false">ifs(L533=1, L533&amp;"-"&amp; COUNTIFS($L$2:L533,1))</f>
        <v>#NAME?</v>
      </c>
      <c r="N533" s="15" t="s">
        <v>603</v>
      </c>
      <c r="O533" s="10"/>
      <c r="P533" s="22" t="n">
        <f aca="false">COUNTIFS(C:C,C533,N:N,"Đã xác nhận")/COUNTIFS(C:C,C533)</f>
        <v>0.65</v>
      </c>
      <c r="Q533" s="22"/>
      <c r="R533" s="0" t="s">
        <v>1942</v>
      </c>
      <c r="S533" s="0" t="s">
        <v>534</v>
      </c>
      <c r="U533" s="24" t="n">
        <v>1</v>
      </c>
    </row>
    <row r="534" customFormat="false" ht="12.75" hidden="false" customHeight="false" outlineLevel="0" collapsed="false">
      <c r="A534" s="15" t="s">
        <v>1943</v>
      </c>
      <c r="B534" s="15" t="s">
        <v>600</v>
      </c>
      <c r="C534" s="15" t="s">
        <v>489</v>
      </c>
      <c r="D534" s="15" t="s">
        <v>1944</v>
      </c>
      <c r="E534" s="15" t="s">
        <v>81</v>
      </c>
      <c r="G534" s="10" t="n">
        <v>1</v>
      </c>
      <c r="H534" s="21" t="n">
        <v>45967.3901388889</v>
      </c>
      <c r="I534" s="15" t="s">
        <v>1945</v>
      </c>
      <c r="J534" s="15" t="s">
        <v>1946</v>
      </c>
      <c r="K534" s="15" t="s">
        <v>1947</v>
      </c>
      <c r="L534" s="10" t="n">
        <f aca="false">COUNTIF($E$2:E534,E534)</f>
        <v>137</v>
      </c>
      <c r="M534" s="10" t="e">
        <f aca="false">ifs(L534=1, L534&amp;"-"&amp; COUNTIFS($L$2:L534,1))</f>
        <v>#NAME?</v>
      </c>
      <c r="O534" s="10"/>
      <c r="P534" s="22" t="n">
        <f aca="false">COUNTIFS(C:C,C534,N:N,"Đã xác nhận")/COUNTIFS(C:C,C534)</f>
        <v>0.65</v>
      </c>
      <c r="Q534" s="22"/>
      <c r="R534" s="0" t="s">
        <v>1948</v>
      </c>
      <c r="S534" s="0" t="s">
        <v>534</v>
      </c>
      <c r="U534" s="24" t="n">
        <v>1</v>
      </c>
    </row>
    <row r="535" customFormat="false" ht="12.75" hidden="false" customHeight="false" outlineLevel="0" collapsed="false">
      <c r="A535" s="15" t="s">
        <v>1949</v>
      </c>
      <c r="B535" s="15" t="s">
        <v>600</v>
      </c>
      <c r="C535" s="15" t="s">
        <v>489</v>
      </c>
      <c r="D535" s="15" t="s">
        <v>1944</v>
      </c>
      <c r="E535" s="15" t="s">
        <v>31</v>
      </c>
      <c r="G535" s="10" t="n">
        <v>1</v>
      </c>
      <c r="H535" s="21" t="n">
        <v>45957.438125</v>
      </c>
      <c r="I535" s="15" t="s">
        <v>1566</v>
      </c>
      <c r="J535" s="15" t="s">
        <v>1950</v>
      </c>
      <c r="K535" s="15" t="s">
        <v>1951</v>
      </c>
      <c r="L535" s="10" t="n">
        <f aca="false">COUNTIF($E$2:E535,E535)</f>
        <v>4</v>
      </c>
      <c r="M535" s="10" t="e">
        <f aca="false">ifs(L535=1, L535&amp;"-"&amp; COUNTIFS($L$2:L535,1))</f>
        <v>#NAME?</v>
      </c>
      <c r="O535" s="10"/>
      <c r="P535" s="22" t="n">
        <f aca="false">COUNTIFS(C:C,C535,N:N,"Đã xác nhận")/COUNTIFS(C:C,C535)</f>
        <v>0.65</v>
      </c>
      <c r="Q535" s="22"/>
      <c r="R535" s="0" t="s">
        <v>1948</v>
      </c>
      <c r="S535" s="0" t="s">
        <v>559</v>
      </c>
      <c r="U535" s="24" t="n">
        <v>1</v>
      </c>
    </row>
    <row r="536" customFormat="false" ht="12.75" hidden="false" customHeight="false" outlineLevel="0" collapsed="false">
      <c r="A536" s="15" t="s">
        <v>1952</v>
      </c>
      <c r="B536" s="15" t="s">
        <v>600</v>
      </c>
      <c r="C536" s="15" t="s">
        <v>489</v>
      </c>
      <c r="D536" s="15" t="s">
        <v>617</v>
      </c>
      <c r="E536" s="15" t="s">
        <v>547</v>
      </c>
      <c r="G536" s="10" t="n">
        <v>6</v>
      </c>
      <c r="H536" s="21" t="n">
        <v>46038.4841666667</v>
      </c>
      <c r="I536" s="15" t="s">
        <v>1953</v>
      </c>
      <c r="J536" s="15" t="s">
        <v>1954</v>
      </c>
      <c r="K536" s="15" t="s">
        <v>1955</v>
      </c>
      <c r="L536" s="10" t="n">
        <f aca="false">COUNTIF($E$2:E536,E536)</f>
        <v>19</v>
      </c>
      <c r="M536" s="10" t="e">
        <f aca="false">ifs(L536=1, L536&amp;"-"&amp; COUNTIFS($L$2:L536,1))</f>
        <v>#NAME?</v>
      </c>
      <c r="N536" s="15" t="s">
        <v>603</v>
      </c>
      <c r="O536" s="10"/>
      <c r="P536" s="22" t="n">
        <f aca="false">COUNTIFS(C:C,C536,N:N,"Đã xác nhận")/COUNTIFS(C:C,C536)</f>
        <v>0.65</v>
      </c>
      <c r="Q536" s="22"/>
      <c r="R536" s="0" t="s">
        <v>619</v>
      </c>
      <c r="S536" s="0" t="s">
        <v>548</v>
      </c>
      <c r="U536" s="24" t="n">
        <v>6</v>
      </c>
    </row>
    <row r="537" customFormat="false" ht="12.75" hidden="false" customHeight="false" outlineLevel="0" collapsed="false">
      <c r="A537" s="15" t="s">
        <v>1956</v>
      </c>
      <c r="B537" s="15" t="s">
        <v>600</v>
      </c>
      <c r="C537" s="15" t="s">
        <v>489</v>
      </c>
      <c r="D537" s="15" t="s">
        <v>617</v>
      </c>
      <c r="E537" s="15" t="s">
        <v>69</v>
      </c>
      <c r="G537" s="10" t="n">
        <v>2</v>
      </c>
      <c r="H537" s="21" t="n">
        <v>46036.4246527778</v>
      </c>
      <c r="I537" s="15" t="s">
        <v>1957</v>
      </c>
      <c r="J537" s="15" t="s">
        <v>1957</v>
      </c>
      <c r="K537" s="15"/>
      <c r="L537" s="10" t="n">
        <f aca="false">COUNTIF($E$2:E537,E537)</f>
        <v>45</v>
      </c>
      <c r="M537" s="10" t="e">
        <f aca="false">ifs(L537=1, L537&amp;"-"&amp; COUNTIFS($L$2:L537,1))</f>
        <v>#NAME?</v>
      </c>
      <c r="N537" s="15" t="s">
        <v>603</v>
      </c>
      <c r="O537" s="10"/>
      <c r="P537" s="22" t="n">
        <f aca="false">COUNTIFS(C:C,C537,N:N,"Đã xác nhận")/COUNTIFS(C:C,C537)</f>
        <v>0.65</v>
      </c>
      <c r="Q537" s="22"/>
      <c r="R537" s="0" t="s">
        <v>619</v>
      </c>
      <c r="S537" s="0" t="s">
        <v>535</v>
      </c>
      <c r="U537" s="24" t="n">
        <v>2</v>
      </c>
    </row>
    <row r="538" customFormat="false" ht="12.75" hidden="false" customHeight="false" outlineLevel="0" collapsed="false">
      <c r="A538" s="15" t="s">
        <v>1958</v>
      </c>
      <c r="B538" s="15" t="s">
        <v>600</v>
      </c>
      <c r="C538" s="15" t="s">
        <v>489</v>
      </c>
      <c r="D538" s="15" t="s">
        <v>617</v>
      </c>
      <c r="E538" s="15" t="s">
        <v>33</v>
      </c>
      <c r="G538" s="10" t="n">
        <v>2</v>
      </c>
      <c r="H538" s="21" t="n">
        <v>46036.4245486111</v>
      </c>
      <c r="I538" s="15" t="s">
        <v>1959</v>
      </c>
      <c r="J538" s="15" t="s">
        <v>1959</v>
      </c>
      <c r="K538" s="15"/>
      <c r="L538" s="10" t="n">
        <f aca="false">COUNTIF($E$2:E538,E538)</f>
        <v>11</v>
      </c>
      <c r="M538" s="10" t="e">
        <f aca="false">ifs(L538=1, L538&amp;"-"&amp; COUNTIFS($L$2:L538,1))</f>
        <v>#NAME?</v>
      </c>
      <c r="N538" s="15" t="s">
        <v>603</v>
      </c>
      <c r="O538" s="10"/>
      <c r="P538" s="22" t="n">
        <f aca="false">COUNTIFS(C:C,C538,N:N,"Đã xác nhận")/COUNTIFS(C:C,C538)</f>
        <v>0.65</v>
      </c>
      <c r="Q538" s="22"/>
      <c r="R538" s="0" t="s">
        <v>619</v>
      </c>
      <c r="S538" s="0" t="s">
        <v>536</v>
      </c>
      <c r="U538" s="24" t="n">
        <v>2</v>
      </c>
    </row>
    <row r="539" customFormat="false" ht="12.75" hidden="false" customHeight="false" outlineLevel="0" collapsed="false">
      <c r="A539" s="15" t="s">
        <v>1960</v>
      </c>
      <c r="B539" s="15" t="s">
        <v>600</v>
      </c>
      <c r="C539" s="15" t="s">
        <v>489</v>
      </c>
      <c r="D539" s="15" t="s">
        <v>617</v>
      </c>
      <c r="E539" s="15" t="s">
        <v>545</v>
      </c>
      <c r="G539" s="10" t="n">
        <v>2</v>
      </c>
      <c r="H539" s="21" t="n">
        <v>46036.4244791667</v>
      </c>
      <c r="I539" s="15" t="s">
        <v>1961</v>
      </c>
      <c r="J539" s="15" t="s">
        <v>1961</v>
      </c>
      <c r="K539" s="15"/>
      <c r="L539" s="10" t="n">
        <f aca="false">COUNTIF($E$2:E539,E539)</f>
        <v>17</v>
      </c>
      <c r="M539" s="10" t="e">
        <f aca="false">ifs(L539=1, L539&amp;"-"&amp; COUNTIFS($L$2:L539,1))</f>
        <v>#NAME?</v>
      </c>
      <c r="N539" s="15" t="s">
        <v>603</v>
      </c>
      <c r="O539" s="10"/>
      <c r="P539" s="22" t="n">
        <f aca="false">COUNTIFS(C:C,C539,N:N,"Đã xác nhận")/COUNTIFS(C:C,C539)</f>
        <v>0.65</v>
      </c>
      <c r="Q539" s="22"/>
      <c r="R539" s="0" t="s">
        <v>619</v>
      </c>
      <c r="S539" s="0" t="s">
        <v>546</v>
      </c>
      <c r="U539" s="24" t="n">
        <v>2</v>
      </c>
    </row>
    <row r="540" customFormat="false" ht="12.75" hidden="false" customHeight="false" outlineLevel="0" collapsed="false">
      <c r="A540" s="15" t="s">
        <v>1962</v>
      </c>
      <c r="B540" s="15" t="s">
        <v>600</v>
      </c>
      <c r="C540" s="15" t="s">
        <v>489</v>
      </c>
      <c r="D540" s="15" t="s">
        <v>617</v>
      </c>
      <c r="E540" s="15" t="s">
        <v>555</v>
      </c>
      <c r="G540" s="10" t="n">
        <v>2</v>
      </c>
      <c r="H540" s="21" t="n">
        <v>46036.4244097222</v>
      </c>
      <c r="I540" s="15" t="s">
        <v>1963</v>
      </c>
      <c r="J540" s="15" t="s">
        <v>1963</v>
      </c>
      <c r="K540" s="15"/>
      <c r="L540" s="10" t="n">
        <f aca="false">COUNTIF($E$2:E540,E540)</f>
        <v>18</v>
      </c>
      <c r="M540" s="10" t="e">
        <f aca="false">ifs(L540=1, L540&amp;"-"&amp; COUNTIFS($L$2:L540,1))</f>
        <v>#NAME?</v>
      </c>
      <c r="N540" s="15" t="s">
        <v>603</v>
      </c>
      <c r="O540" s="10"/>
      <c r="P540" s="22" t="n">
        <f aca="false">COUNTIFS(C:C,C540,N:N,"Đã xác nhận")/COUNTIFS(C:C,C540)</f>
        <v>0.65</v>
      </c>
      <c r="Q540" s="22"/>
      <c r="R540" s="0" t="s">
        <v>619</v>
      </c>
      <c r="S540" s="0" t="s">
        <v>556</v>
      </c>
      <c r="U540" s="24" t="n">
        <v>2</v>
      </c>
    </row>
    <row r="541" customFormat="false" ht="12.75" hidden="false" customHeight="false" outlineLevel="0" collapsed="false">
      <c r="A541" s="15" t="s">
        <v>1964</v>
      </c>
      <c r="B541" s="15" t="s">
        <v>600</v>
      </c>
      <c r="C541" s="15" t="s">
        <v>489</v>
      </c>
      <c r="D541" s="15" t="s">
        <v>1796</v>
      </c>
      <c r="E541" s="15" t="s">
        <v>75</v>
      </c>
      <c r="G541" s="10" t="n">
        <v>1</v>
      </c>
      <c r="H541" s="21" t="n">
        <v>46036.4249652778</v>
      </c>
      <c r="I541" s="15" t="s">
        <v>1965</v>
      </c>
      <c r="J541" s="15" t="s">
        <v>1965</v>
      </c>
      <c r="K541" s="15"/>
      <c r="L541" s="10" t="n">
        <f aca="false">COUNTIF($E$2:E541,E541)</f>
        <v>4</v>
      </c>
      <c r="M541" s="10" t="e">
        <f aca="false">ifs(L541=1, L541&amp;"-"&amp; COUNTIFS($L$2:L541,1))</f>
        <v>#NAME?</v>
      </c>
      <c r="N541" s="15" t="s">
        <v>603</v>
      </c>
      <c r="O541" s="10"/>
      <c r="P541" s="22" t="n">
        <f aca="false">COUNTIFS(C:C,C541,N:N,"Đã xác nhận")/COUNTIFS(C:C,C541)</f>
        <v>0.65</v>
      </c>
      <c r="Q541" s="22"/>
      <c r="R541" s="0" t="s">
        <v>1798</v>
      </c>
      <c r="S541" s="0" t="s">
        <v>560</v>
      </c>
      <c r="U541" s="24" t="n">
        <v>1</v>
      </c>
    </row>
    <row r="542" customFormat="false" ht="12.75" hidden="false" customHeight="false" outlineLevel="0" collapsed="false">
      <c r="A542" s="15" t="s">
        <v>1966</v>
      </c>
      <c r="B542" s="15" t="s">
        <v>600</v>
      </c>
      <c r="C542" s="15" t="s">
        <v>489</v>
      </c>
      <c r="D542" s="15" t="s">
        <v>1967</v>
      </c>
      <c r="E542" s="15" t="s">
        <v>69</v>
      </c>
      <c r="G542" s="10" t="n">
        <v>1</v>
      </c>
      <c r="H542" s="21" t="n">
        <v>46036.4246643519</v>
      </c>
      <c r="I542" s="15" t="s">
        <v>1968</v>
      </c>
      <c r="J542" s="15" t="s">
        <v>1968</v>
      </c>
      <c r="K542" s="15"/>
      <c r="L542" s="10" t="n">
        <f aca="false">COUNTIF($E$2:E542,E542)</f>
        <v>46</v>
      </c>
      <c r="M542" s="10" t="e">
        <f aca="false">ifs(L542=1, L542&amp;"-"&amp; COUNTIFS($L$2:L542,1))</f>
        <v>#NAME?</v>
      </c>
      <c r="N542" s="15" t="s">
        <v>603</v>
      </c>
      <c r="O542" s="10"/>
      <c r="P542" s="22" t="n">
        <f aca="false">COUNTIFS(C:C,C542,N:N,"Đã xác nhận")/COUNTIFS(C:C,C542)</f>
        <v>0.65</v>
      </c>
      <c r="Q542" s="22"/>
      <c r="R542" s="0" t="s">
        <v>1969</v>
      </c>
      <c r="S542" s="0" t="s">
        <v>535</v>
      </c>
      <c r="U542" s="24" t="n">
        <v>1</v>
      </c>
    </row>
    <row r="543" customFormat="false" ht="12.75" hidden="false" customHeight="false" outlineLevel="0" collapsed="false">
      <c r="A543" s="15" t="s">
        <v>1970</v>
      </c>
      <c r="B543" s="15" t="s">
        <v>600</v>
      </c>
      <c r="C543" s="15" t="s">
        <v>489</v>
      </c>
      <c r="D543" s="15" t="s">
        <v>1967</v>
      </c>
      <c r="E543" s="15" t="s">
        <v>33</v>
      </c>
      <c r="G543" s="10" t="n">
        <v>1</v>
      </c>
      <c r="H543" s="21" t="n">
        <v>46036.4245601852</v>
      </c>
      <c r="I543" s="15" t="s">
        <v>1971</v>
      </c>
      <c r="J543" s="15" t="s">
        <v>1971</v>
      </c>
      <c r="K543" s="15"/>
      <c r="L543" s="10" t="n">
        <f aca="false">COUNTIF($E$2:E543,E543)</f>
        <v>12</v>
      </c>
      <c r="M543" s="10" t="e">
        <f aca="false">ifs(L543=1, L543&amp;"-"&amp; COUNTIFS($L$2:L543,1))</f>
        <v>#NAME?</v>
      </c>
      <c r="N543" s="15" t="s">
        <v>603</v>
      </c>
      <c r="O543" s="10"/>
      <c r="P543" s="22" t="n">
        <f aca="false">COUNTIFS(C:C,C543,N:N,"Đã xác nhận")/COUNTIFS(C:C,C543)</f>
        <v>0.65</v>
      </c>
      <c r="Q543" s="22"/>
      <c r="R543" s="0" t="s">
        <v>1969</v>
      </c>
      <c r="S543" s="0" t="s">
        <v>536</v>
      </c>
      <c r="U543" s="24" t="n">
        <v>1</v>
      </c>
    </row>
    <row r="544" customFormat="false" ht="12.75" hidden="false" customHeight="false" outlineLevel="0" collapsed="false">
      <c r="A544" s="15" t="s">
        <v>1972</v>
      </c>
      <c r="B544" s="15" t="s">
        <v>600</v>
      </c>
      <c r="C544" s="15" t="s">
        <v>489</v>
      </c>
      <c r="D544" s="15" t="s">
        <v>1967</v>
      </c>
      <c r="E544" s="15" t="s">
        <v>77</v>
      </c>
      <c r="G544" s="10" t="n">
        <v>1</v>
      </c>
      <c r="H544" s="21" t="n">
        <v>46036.4250810185</v>
      </c>
      <c r="I544" s="15" t="s">
        <v>1973</v>
      </c>
      <c r="J544" s="15" t="s">
        <v>1973</v>
      </c>
      <c r="K544" s="15"/>
      <c r="L544" s="10" t="n">
        <f aca="false">COUNTIF($E$2:E544,E544)</f>
        <v>21</v>
      </c>
      <c r="M544" s="10" t="e">
        <f aca="false">ifs(L544=1, L544&amp;"-"&amp; COUNTIFS($L$2:L544,1))</f>
        <v>#NAME?</v>
      </c>
      <c r="N544" s="15" t="s">
        <v>603</v>
      </c>
      <c r="O544" s="10"/>
      <c r="P544" s="22" t="n">
        <f aca="false">COUNTIFS(C:C,C544,N:N,"Đã xác nhận")/COUNTIFS(C:C,C544)</f>
        <v>0.65</v>
      </c>
      <c r="Q544" s="22"/>
      <c r="R544" s="0" t="s">
        <v>1969</v>
      </c>
      <c r="S544" s="0" t="s">
        <v>78</v>
      </c>
      <c r="U544" s="24" t="n">
        <v>1</v>
      </c>
    </row>
    <row r="545" customFormat="false" ht="12.75" hidden="false" customHeight="false" outlineLevel="0" collapsed="false">
      <c r="A545" s="15" t="s">
        <v>1974</v>
      </c>
      <c r="B545" s="15" t="s">
        <v>600</v>
      </c>
      <c r="C545" s="15" t="s">
        <v>489</v>
      </c>
      <c r="D545" s="15" t="s">
        <v>1975</v>
      </c>
      <c r="E545" s="15" t="s">
        <v>69</v>
      </c>
      <c r="G545" s="10" t="n">
        <v>1</v>
      </c>
      <c r="H545" s="21" t="n">
        <v>46036.4246527778</v>
      </c>
      <c r="I545" s="15" t="s">
        <v>1976</v>
      </c>
      <c r="J545" s="15" t="s">
        <v>1976</v>
      </c>
      <c r="K545" s="15"/>
      <c r="L545" s="10" t="n">
        <f aca="false">COUNTIF($E$2:E545,E545)</f>
        <v>47</v>
      </c>
      <c r="M545" s="10" t="e">
        <f aca="false">ifs(L545=1, L545&amp;"-"&amp; COUNTIFS($L$2:L545,1))</f>
        <v>#NAME?</v>
      </c>
      <c r="N545" s="15" t="s">
        <v>603</v>
      </c>
      <c r="O545" s="10"/>
      <c r="P545" s="22" t="n">
        <f aca="false">COUNTIFS(C:C,C545,N:N,"Đã xác nhận")/COUNTIFS(C:C,C545)</f>
        <v>0.65</v>
      </c>
      <c r="Q545" s="22"/>
      <c r="R545" s="0" t="s">
        <v>1977</v>
      </c>
      <c r="S545" s="0" t="s">
        <v>535</v>
      </c>
      <c r="U545" s="24" t="n">
        <v>1</v>
      </c>
    </row>
    <row r="546" customFormat="false" ht="12.75" hidden="false" customHeight="false" outlineLevel="0" collapsed="false">
      <c r="A546" s="15" t="s">
        <v>1978</v>
      </c>
      <c r="B546" s="15" t="s">
        <v>600</v>
      </c>
      <c r="C546" s="15" t="s">
        <v>489</v>
      </c>
      <c r="D546" s="15" t="s">
        <v>1975</v>
      </c>
      <c r="E546" s="15" t="s">
        <v>33</v>
      </c>
      <c r="G546" s="10" t="n">
        <v>1</v>
      </c>
      <c r="H546" s="21" t="n">
        <v>46036.4245486111</v>
      </c>
      <c r="I546" s="15" t="s">
        <v>1979</v>
      </c>
      <c r="J546" s="15" t="s">
        <v>1979</v>
      </c>
      <c r="K546" s="15"/>
      <c r="L546" s="10" t="n">
        <f aca="false">COUNTIF($E$2:E546,E546)</f>
        <v>13</v>
      </c>
      <c r="M546" s="10" t="e">
        <f aca="false">ifs(L546=1, L546&amp;"-"&amp; COUNTIFS($L$2:L546,1))</f>
        <v>#NAME?</v>
      </c>
      <c r="N546" s="15" t="s">
        <v>603</v>
      </c>
      <c r="O546" s="10"/>
      <c r="P546" s="22" t="n">
        <f aca="false">COUNTIFS(C:C,C546,N:N,"Đã xác nhận")/COUNTIFS(C:C,C546)</f>
        <v>0.65</v>
      </c>
      <c r="Q546" s="22"/>
      <c r="R546" s="0" t="s">
        <v>1977</v>
      </c>
      <c r="S546" s="0" t="s">
        <v>536</v>
      </c>
      <c r="U546" s="24" t="n">
        <v>1</v>
      </c>
    </row>
    <row r="547" customFormat="false" ht="12.75" hidden="false" customHeight="false" outlineLevel="0" collapsed="false">
      <c r="A547" s="15" t="s">
        <v>1980</v>
      </c>
      <c r="B547" s="15" t="s">
        <v>600</v>
      </c>
      <c r="C547" s="15" t="s">
        <v>489</v>
      </c>
      <c r="D547" s="15" t="s">
        <v>1975</v>
      </c>
      <c r="E547" s="15" t="s">
        <v>77</v>
      </c>
      <c r="G547" s="10" t="n">
        <v>1</v>
      </c>
      <c r="H547" s="21" t="n">
        <v>46036.4250694444</v>
      </c>
      <c r="I547" s="15" t="s">
        <v>1981</v>
      </c>
      <c r="J547" s="15" t="s">
        <v>1981</v>
      </c>
      <c r="K547" s="15"/>
      <c r="L547" s="10" t="n">
        <f aca="false">COUNTIF($E$2:E547,E547)</f>
        <v>22</v>
      </c>
      <c r="M547" s="10" t="e">
        <f aca="false">ifs(L547=1, L547&amp;"-"&amp; COUNTIFS($L$2:L547,1))</f>
        <v>#NAME?</v>
      </c>
      <c r="N547" s="15" t="s">
        <v>603</v>
      </c>
      <c r="O547" s="10"/>
      <c r="P547" s="22" t="n">
        <f aca="false">COUNTIFS(C:C,C547,N:N,"Đã xác nhận")/COUNTIFS(C:C,C547)</f>
        <v>0.65</v>
      </c>
      <c r="Q547" s="22"/>
      <c r="R547" s="0" t="s">
        <v>1977</v>
      </c>
      <c r="S547" s="0" t="s">
        <v>78</v>
      </c>
      <c r="U547" s="24" t="n">
        <v>1</v>
      </c>
    </row>
    <row r="548" customFormat="false" ht="12.75" hidden="false" customHeight="false" outlineLevel="0" collapsed="false">
      <c r="A548" s="15" t="s">
        <v>1982</v>
      </c>
      <c r="B548" s="15" t="s">
        <v>600</v>
      </c>
      <c r="C548" s="15" t="s">
        <v>1840</v>
      </c>
      <c r="D548" s="15" t="s">
        <v>1847</v>
      </c>
      <c r="E548" s="15" t="s">
        <v>43</v>
      </c>
      <c r="G548" s="10" t="n">
        <v>1</v>
      </c>
      <c r="H548" s="21" t="n">
        <v>46029.4993402778</v>
      </c>
      <c r="I548" s="15" t="s">
        <v>1983</v>
      </c>
      <c r="J548" s="15" t="s">
        <v>1983</v>
      </c>
      <c r="K548" s="15"/>
      <c r="L548" s="10" t="n">
        <f aca="false">COUNTIF($E$2:E548,E548)</f>
        <v>9</v>
      </c>
      <c r="M548" s="10" t="e">
        <f aca="false">ifs(L548=1, L548&amp;"-"&amp; COUNTIFS($L$2:L548,1))</f>
        <v>#NAME?</v>
      </c>
      <c r="N548" s="15" t="s">
        <v>603</v>
      </c>
      <c r="O548" s="10"/>
      <c r="P548" s="22" t="n">
        <f aca="false">COUNTIFS(C:C,C548,N:N,"Đã xác nhận")/COUNTIFS(C:C,C548)</f>
        <v>1</v>
      </c>
      <c r="Q548" s="22"/>
      <c r="R548" s="0" t="s">
        <v>1849</v>
      </c>
      <c r="S548" s="0" t="s">
        <v>538</v>
      </c>
      <c r="U548" s="24" t="n">
        <v>1</v>
      </c>
    </row>
    <row r="549" customFormat="false" ht="12.75" hidden="false" customHeight="false" outlineLevel="0" collapsed="false">
      <c r="A549" s="15" t="s">
        <v>1984</v>
      </c>
      <c r="B549" s="15" t="s">
        <v>600</v>
      </c>
      <c r="C549" s="15" t="s">
        <v>1840</v>
      </c>
      <c r="D549" s="15" t="s">
        <v>1985</v>
      </c>
      <c r="E549" s="15" t="s">
        <v>47</v>
      </c>
      <c r="G549" s="10" t="n">
        <v>1</v>
      </c>
      <c r="H549" s="21" t="n">
        <v>46029.5010648148</v>
      </c>
      <c r="I549" s="15" t="s">
        <v>1986</v>
      </c>
      <c r="J549" s="15" t="s">
        <v>1986</v>
      </c>
      <c r="K549" s="15"/>
      <c r="L549" s="10" t="n">
        <f aca="false">COUNTIF($E$2:E549,E549)</f>
        <v>37</v>
      </c>
      <c r="M549" s="10" t="e">
        <f aca="false">ifs(L549=1, L549&amp;"-"&amp; COUNTIFS($L$2:L549,1))</f>
        <v>#NAME?</v>
      </c>
      <c r="N549" s="15" t="s">
        <v>603</v>
      </c>
      <c r="O549" s="10"/>
      <c r="P549" s="22" t="n">
        <f aca="false">COUNTIFS(C:C,C549,N:N,"Đã xác nhận")/COUNTIFS(C:C,C549)</f>
        <v>1</v>
      </c>
      <c r="Q549" s="22"/>
      <c r="R549" s="0" t="s">
        <v>1987</v>
      </c>
      <c r="S549" s="0" t="s">
        <v>549</v>
      </c>
      <c r="U549" s="24" t="n">
        <v>1</v>
      </c>
    </row>
    <row r="550" customFormat="false" ht="12.75" hidden="false" customHeight="false" outlineLevel="0" collapsed="false">
      <c r="A550" s="15" t="s">
        <v>1988</v>
      </c>
      <c r="B550" s="15" t="s">
        <v>600</v>
      </c>
      <c r="C550" s="15" t="s">
        <v>1840</v>
      </c>
      <c r="D550" s="15" t="s">
        <v>1989</v>
      </c>
      <c r="E550" s="15" t="s">
        <v>79</v>
      </c>
      <c r="G550" s="10" t="n">
        <v>1</v>
      </c>
      <c r="H550" s="21" t="n">
        <v>46059.5680787037</v>
      </c>
      <c r="I550" s="15" t="s">
        <v>1990</v>
      </c>
      <c r="J550" s="15" t="s">
        <v>1990</v>
      </c>
      <c r="K550" s="15"/>
      <c r="L550" s="10" t="n">
        <f aca="false">COUNTIF($E$2:E550,E550)</f>
        <v>4</v>
      </c>
      <c r="M550" s="10" t="e">
        <f aca="false">ifs(L550=1, L550&amp;"-"&amp; COUNTIFS($L$2:L550,1))</f>
        <v>#NAME?</v>
      </c>
      <c r="N550" s="15" t="s">
        <v>603</v>
      </c>
      <c r="O550" s="10"/>
      <c r="P550" s="22" t="n">
        <f aca="false">COUNTIFS(C:C,C550,N:N,"Đã xác nhận")/COUNTIFS(C:C,C550)</f>
        <v>1</v>
      </c>
      <c r="Q550" s="22"/>
      <c r="R550" s="0" t="s">
        <v>1991</v>
      </c>
      <c r="S550" s="0" t="s">
        <v>564</v>
      </c>
      <c r="U550" s="24" t="n">
        <v>1</v>
      </c>
    </row>
    <row r="551" customFormat="false" ht="12.75" hidden="false" customHeight="false" outlineLevel="0" collapsed="false">
      <c r="A551" s="15" t="s">
        <v>1992</v>
      </c>
      <c r="B551" s="15" t="s">
        <v>600</v>
      </c>
      <c r="C551" s="15" t="s">
        <v>1840</v>
      </c>
      <c r="D551" s="15" t="s">
        <v>1993</v>
      </c>
      <c r="E551" s="15" t="s">
        <v>81</v>
      </c>
      <c r="G551" s="10" t="n">
        <v>2</v>
      </c>
      <c r="H551" s="21" t="n">
        <v>46029.4990509259</v>
      </c>
      <c r="I551" s="15" t="s">
        <v>1994</v>
      </c>
      <c r="J551" s="15" t="s">
        <v>1994</v>
      </c>
      <c r="K551" s="15"/>
      <c r="L551" s="10" t="n">
        <f aca="false">COUNTIF($E$2:E551,E551)</f>
        <v>138</v>
      </c>
      <c r="M551" s="10" t="e">
        <f aca="false">ifs(L551=1, L551&amp;"-"&amp; COUNTIFS($L$2:L551,1))</f>
        <v>#NAME?</v>
      </c>
      <c r="N551" s="15" t="s">
        <v>603</v>
      </c>
      <c r="O551" s="10"/>
      <c r="P551" s="22" t="n">
        <f aca="false">COUNTIFS(C:C,C551,N:N,"Đã xác nhận")/COUNTIFS(C:C,C551)</f>
        <v>1</v>
      </c>
      <c r="Q551" s="22"/>
      <c r="R551" s="0" t="s">
        <v>1995</v>
      </c>
      <c r="S551" s="0" t="s">
        <v>534</v>
      </c>
      <c r="U551" s="24" t="n">
        <v>2</v>
      </c>
    </row>
    <row r="552" customFormat="false" ht="12.75" hidden="false" customHeight="false" outlineLevel="0" collapsed="false">
      <c r="A552" s="15" t="s">
        <v>1996</v>
      </c>
      <c r="B552" s="15" t="s">
        <v>600</v>
      </c>
      <c r="C552" s="15" t="s">
        <v>1840</v>
      </c>
      <c r="D552" s="15" t="s">
        <v>1997</v>
      </c>
      <c r="E552" s="15" t="s">
        <v>81</v>
      </c>
      <c r="G552" s="10" t="n">
        <v>1</v>
      </c>
      <c r="H552" s="21" t="n">
        <v>46029.4990740741</v>
      </c>
      <c r="I552" s="15" t="s">
        <v>1998</v>
      </c>
      <c r="J552" s="15" t="s">
        <v>1998</v>
      </c>
      <c r="K552" s="15"/>
      <c r="L552" s="10" t="n">
        <f aca="false">COUNTIF($E$2:E552,E552)</f>
        <v>139</v>
      </c>
      <c r="M552" s="10" t="e">
        <f aca="false">ifs(L552=1, L552&amp;"-"&amp; COUNTIFS($L$2:L552,1))</f>
        <v>#NAME?</v>
      </c>
      <c r="N552" s="15" t="s">
        <v>603</v>
      </c>
      <c r="O552" s="10"/>
      <c r="P552" s="22" t="n">
        <f aca="false">COUNTIFS(C:C,C552,N:N,"Đã xác nhận")/COUNTIFS(C:C,C552)</f>
        <v>1</v>
      </c>
      <c r="Q552" s="22"/>
      <c r="R552" s="0" t="s">
        <v>1999</v>
      </c>
      <c r="S552" s="0" t="s">
        <v>534</v>
      </c>
      <c r="U552" s="24" t="n">
        <v>1</v>
      </c>
    </row>
    <row r="553" customFormat="false" ht="12.75" hidden="false" customHeight="false" outlineLevel="0" collapsed="false">
      <c r="A553" s="15" t="s">
        <v>2000</v>
      </c>
      <c r="B553" s="15" t="s">
        <v>600</v>
      </c>
      <c r="C553" s="15" t="s">
        <v>1840</v>
      </c>
      <c r="D553" s="15" t="s">
        <v>2001</v>
      </c>
      <c r="E553" s="15" t="s">
        <v>81</v>
      </c>
      <c r="G553" s="10" t="n">
        <v>1</v>
      </c>
      <c r="H553" s="21" t="n">
        <v>46029.4990625</v>
      </c>
      <c r="I553" s="15" t="s">
        <v>2002</v>
      </c>
      <c r="J553" s="15" t="s">
        <v>2002</v>
      </c>
      <c r="K553" s="15"/>
      <c r="L553" s="10" t="n">
        <f aca="false">COUNTIF($E$2:E553,E553)</f>
        <v>140</v>
      </c>
      <c r="M553" s="10" t="e">
        <f aca="false">ifs(L553=1, L553&amp;"-"&amp; COUNTIFS($L$2:L553,1))</f>
        <v>#NAME?</v>
      </c>
      <c r="N553" s="15" t="s">
        <v>603</v>
      </c>
      <c r="O553" s="10"/>
      <c r="P553" s="22" t="n">
        <f aca="false">COUNTIFS(C:C,C553,N:N,"Đã xác nhận")/COUNTIFS(C:C,C553)</f>
        <v>1</v>
      </c>
      <c r="Q553" s="22"/>
      <c r="R553" s="0" t="s">
        <v>2003</v>
      </c>
      <c r="S553" s="0" t="s">
        <v>534</v>
      </c>
      <c r="U553" s="24" t="n">
        <v>1</v>
      </c>
    </row>
    <row r="554" customFormat="false" ht="12.75" hidden="false" customHeight="false" outlineLevel="0" collapsed="false">
      <c r="A554" s="15" t="s">
        <v>2004</v>
      </c>
      <c r="B554" s="15" t="s">
        <v>600</v>
      </c>
      <c r="C554" s="15" t="s">
        <v>1840</v>
      </c>
      <c r="D554" s="15" t="s">
        <v>2005</v>
      </c>
      <c r="E554" s="15" t="s">
        <v>81</v>
      </c>
      <c r="G554" s="10" t="n">
        <v>2</v>
      </c>
      <c r="H554" s="21" t="n">
        <v>46029.4990277778</v>
      </c>
      <c r="I554" s="15" t="s">
        <v>2006</v>
      </c>
      <c r="J554" s="15" t="s">
        <v>2006</v>
      </c>
      <c r="K554" s="15"/>
      <c r="L554" s="10" t="n">
        <f aca="false">COUNTIF($E$2:E554,E554)</f>
        <v>141</v>
      </c>
      <c r="M554" s="10" t="e">
        <f aca="false">ifs(L554=1, L554&amp;"-"&amp; COUNTIFS($L$2:L554,1))</f>
        <v>#NAME?</v>
      </c>
      <c r="N554" s="15" t="s">
        <v>603</v>
      </c>
      <c r="O554" s="10"/>
      <c r="P554" s="22" t="n">
        <f aca="false">COUNTIFS(C:C,C554,N:N,"Đã xác nhận")/COUNTIFS(C:C,C554)</f>
        <v>1</v>
      </c>
      <c r="Q554" s="22"/>
      <c r="R554" s="0" t="s">
        <v>2007</v>
      </c>
      <c r="S554" s="0" t="s">
        <v>534</v>
      </c>
      <c r="U554" s="24" t="n">
        <v>2</v>
      </c>
    </row>
    <row r="555" customFormat="false" ht="12.75" hidden="false" customHeight="false" outlineLevel="0" collapsed="false">
      <c r="A555" s="15" t="s">
        <v>2008</v>
      </c>
      <c r="B555" s="15" t="s">
        <v>600</v>
      </c>
      <c r="C555" s="15" t="s">
        <v>1840</v>
      </c>
      <c r="D555" s="15" t="s">
        <v>2009</v>
      </c>
      <c r="E555" s="15" t="s">
        <v>81</v>
      </c>
      <c r="G555" s="10" t="n">
        <v>1</v>
      </c>
      <c r="H555" s="21" t="n">
        <v>46029.4991203704</v>
      </c>
      <c r="I555" s="15" t="s">
        <v>2010</v>
      </c>
      <c r="J555" s="15" t="s">
        <v>2010</v>
      </c>
      <c r="K555" s="15"/>
      <c r="L555" s="10" t="n">
        <f aca="false">COUNTIF($E$2:E555,E555)</f>
        <v>142</v>
      </c>
      <c r="M555" s="10" t="e">
        <f aca="false">ifs(L555=1, L555&amp;"-"&amp; COUNTIFS($L$2:L555,1))</f>
        <v>#NAME?</v>
      </c>
      <c r="N555" s="15" t="s">
        <v>603</v>
      </c>
      <c r="O555" s="10"/>
      <c r="P555" s="22" t="n">
        <f aca="false">COUNTIFS(C:C,C555,N:N,"Đã xác nhận")/COUNTIFS(C:C,C555)</f>
        <v>1</v>
      </c>
      <c r="Q555" s="22"/>
      <c r="R555" s="0" t="s">
        <v>2011</v>
      </c>
      <c r="S555" s="0" t="s">
        <v>534</v>
      </c>
      <c r="U555" s="24" t="n">
        <v>1</v>
      </c>
    </row>
    <row r="556" customFormat="false" ht="12.75" hidden="false" customHeight="false" outlineLevel="0" collapsed="false">
      <c r="A556" s="15" t="s">
        <v>2012</v>
      </c>
      <c r="B556" s="15" t="s">
        <v>600</v>
      </c>
      <c r="C556" s="15" t="s">
        <v>1840</v>
      </c>
      <c r="D556" s="15" t="s">
        <v>2009</v>
      </c>
      <c r="E556" s="15" t="s">
        <v>79</v>
      </c>
      <c r="G556" s="10" t="n">
        <v>1</v>
      </c>
      <c r="H556" s="21" t="n">
        <v>46059.5680902778</v>
      </c>
      <c r="I556" s="15" t="s">
        <v>2013</v>
      </c>
      <c r="J556" s="15" t="s">
        <v>2013</v>
      </c>
      <c r="K556" s="15"/>
      <c r="L556" s="10" t="n">
        <f aca="false">COUNTIF($E$2:E556,E556)</f>
        <v>5</v>
      </c>
      <c r="M556" s="10" t="e">
        <f aca="false">ifs(L556=1, L556&amp;"-"&amp; COUNTIFS($L$2:L556,1))</f>
        <v>#NAME?</v>
      </c>
      <c r="N556" s="15" t="s">
        <v>603</v>
      </c>
      <c r="O556" s="10"/>
      <c r="P556" s="22" t="n">
        <f aca="false">COUNTIFS(C:C,C556,N:N,"Đã xác nhận")/COUNTIFS(C:C,C556)</f>
        <v>1</v>
      </c>
      <c r="Q556" s="22"/>
      <c r="R556" s="0" t="s">
        <v>2011</v>
      </c>
      <c r="S556" s="0" t="s">
        <v>564</v>
      </c>
      <c r="U556" s="24" t="n">
        <v>1</v>
      </c>
    </row>
    <row r="557" customFormat="false" ht="12.75" hidden="false" customHeight="false" outlineLevel="0" collapsed="false">
      <c r="A557" s="15" t="s">
        <v>2014</v>
      </c>
      <c r="B557" s="15" t="s">
        <v>600</v>
      </c>
      <c r="C557" s="15" t="s">
        <v>1840</v>
      </c>
      <c r="D557" s="15" t="s">
        <v>2015</v>
      </c>
      <c r="E557" s="15" t="s">
        <v>81</v>
      </c>
      <c r="G557" s="10" t="n">
        <v>2</v>
      </c>
      <c r="H557" s="21" t="n">
        <v>46029.4990972222</v>
      </c>
      <c r="I557" s="15" t="s">
        <v>2016</v>
      </c>
      <c r="J557" s="15" t="s">
        <v>2016</v>
      </c>
      <c r="K557" s="15"/>
      <c r="L557" s="10" t="n">
        <f aca="false">COUNTIF($E$2:E557,E557)</f>
        <v>143</v>
      </c>
      <c r="M557" s="10" t="e">
        <f aca="false">ifs(L557=1, L557&amp;"-"&amp; COUNTIFS($L$2:L557,1))</f>
        <v>#NAME?</v>
      </c>
      <c r="N557" s="15" t="s">
        <v>603</v>
      </c>
      <c r="O557" s="10"/>
      <c r="P557" s="22" t="n">
        <f aca="false">COUNTIFS(C:C,C557,N:N,"Đã xác nhận")/COUNTIFS(C:C,C557)</f>
        <v>1</v>
      </c>
      <c r="Q557" s="22"/>
      <c r="R557" s="0" t="s">
        <v>2017</v>
      </c>
      <c r="S557" s="0" t="s">
        <v>534</v>
      </c>
      <c r="U557" s="24" t="n">
        <v>2</v>
      </c>
    </row>
    <row r="558" customFormat="false" ht="12.75" hidden="false" customHeight="false" outlineLevel="0" collapsed="false">
      <c r="A558" s="15" t="s">
        <v>2018</v>
      </c>
      <c r="B558" s="15" t="s">
        <v>600</v>
      </c>
      <c r="C558" s="15" t="s">
        <v>1840</v>
      </c>
      <c r="D558" s="15" t="s">
        <v>2019</v>
      </c>
      <c r="E558" s="15" t="s">
        <v>81</v>
      </c>
      <c r="G558" s="10" t="n">
        <v>3</v>
      </c>
      <c r="H558" s="21" t="n">
        <v>46029.4990393519</v>
      </c>
      <c r="I558" s="15" t="s">
        <v>2020</v>
      </c>
      <c r="J558" s="15" t="s">
        <v>2020</v>
      </c>
      <c r="K558" s="15"/>
      <c r="L558" s="10" t="n">
        <f aca="false">COUNTIF($E$2:E558,E558)</f>
        <v>144</v>
      </c>
      <c r="M558" s="10" t="e">
        <f aca="false">ifs(L558=1, L558&amp;"-"&amp; COUNTIFS($L$2:L558,1))</f>
        <v>#NAME?</v>
      </c>
      <c r="N558" s="15" t="s">
        <v>603</v>
      </c>
      <c r="O558" s="10"/>
      <c r="P558" s="22" t="n">
        <f aca="false">COUNTIFS(C:C,C558,N:N,"Đã xác nhận")/COUNTIFS(C:C,C558)</f>
        <v>1</v>
      </c>
      <c r="Q558" s="22"/>
      <c r="R558" s="0" t="s">
        <v>2021</v>
      </c>
      <c r="S558" s="0" t="s">
        <v>534</v>
      </c>
      <c r="U558" s="24" t="n">
        <v>3</v>
      </c>
    </row>
    <row r="559" customFormat="false" ht="12.75" hidden="false" customHeight="false" outlineLevel="0" collapsed="false">
      <c r="A559" s="15" t="s">
        <v>2022</v>
      </c>
      <c r="B559" s="15" t="s">
        <v>600</v>
      </c>
      <c r="C559" s="15" t="s">
        <v>1840</v>
      </c>
      <c r="D559" s="15" t="s">
        <v>2023</v>
      </c>
      <c r="E559" s="15" t="s">
        <v>81</v>
      </c>
      <c r="G559" s="10" t="n">
        <v>2</v>
      </c>
      <c r="H559" s="21" t="n">
        <v>46029.4990740741</v>
      </c>
      <c r="I559" s="15" t="s">
        <v>2024</v>
      </c>
      <c r="J559" s="15" t="s">
        <v>2024</v>
      </c>
      <c r="K559" s="15"/>
      <c r="L559" s="10" t="n">
        <f aca="false">COUNTIF($E$2:E559,E559)</f>
        <v>145</v>
      </c>
      <c r="M559" s="10" t="e">
        <f aca="false">ifs(L559=1, L559&amp;"-"&amp; COUNTIFS($L$2:L559,1))</f>
        <v>#NAME?</v>
      </c>
      <c r="N559" s="15" t="s">
        <v>603</v>
      </c>
      <c r="O559" s="10"/>
      <c r="P559" s="22" t="n">
        <f aca="false">COUNTIFS(C:C,C559,N:N,"Đã xác nhận")/COUNTIFS(C:C,C559)</f>
        <v>1</v>
      </c>
      <c r="Q559" s="22"/>
      <c r="R559" s="0" t="s">
        <v>2025</v>
      </c>
      <c r="S559" s="0" t="s">
        <v>534</v>
      </c>
      <c r="U559" s="24" t="n">
        <v>2</v>
      </c>
    </row>
    <row r="560" customFormat="false" ht="12.75" hidden="false" customHeight="false" outlineLevel="0" collapsed="false">
      <c r="A560" s="15" t="s">
        <v>2026</v>
      </c>
      <c r="B560" s="15" t="s">
        <v>600</v>
      </c>
      <c r="C560" s="15" t="s">
        <v>1840</v>
      </c>
      <c r="D560" s="15" t="s">
        <v>1841</v>
      </c>
      <c r="E560" s="15" t="s">
        <v>47</v>
      </c>
      <c r="G560" s="10" t="n">
        <v>1</v>
      </c>
      <c r="H560" s="21" t="n">
        <v>46029.5010763889</v>
      </c>
      <c r="I560" s="15" t="s">
        <v>2027</v>
      </c>
      <c r="J560" s="15" t="s">
        <v>2027</v>
      </c>
      <c r="K560" s="15"/>
      <c r="L560" s="10" t="n">
        <f aca="false">COUNTIF($E$2:E560,E560)</f>
        <v>38</v>
      </c>
      <c r="M560" s="10" t="e">
        <f aca="false">ifs(L560=1, L560&amp;"-"&amp; COUNTIFS($L$2:L560,1))</f>
        <v>#NAME?</v>
      </c>
      <c r="N560" s="15" t="s">
        <v>603</v>
      </c>
      <c r="O560" s="10"/>
      <c r="P560" s="22" t="n">
        <f aca="false">COUNTIFS(C:C,C560,N:N,"Đã xác nhận")/COUNTIFS(C:C,C560)</f>
        <v>1</v>
      </c>
      <c r="Q560" s="22"/>
      <c r="R560" s="0" t="s">
        <v>1843</v>
      </c>
      <c r="S560" s="0" t="s">
        <v>549</v>
      </c>
      <c r="U560" s="24" t="n">
        <v>1</v>
      </c>
    </row>
    <row r="561" customFormat="false" ht="12.75" hidden="false" customHeight="false" outlineLevel="0" collapsed="false">
      <c r="A561" s="15" t="s">
        <v>2028</v>
      </c>
      <c r="B561" s="15" t="s">
        <v>600</v>
      </c>
      <c r="C561" s="15" t="s">
        <v>1840</v>
      </c>
      <c r="D561" s="15" t="s">
        <v>2029</v>
      </c>
      <c r="E561" s="15" t="s">
        <v>81</v>
      </c>
      <c r="G561" s="10" t="n">
        <v>1</v>
      </c>
      <c r="H561" s="21" t="n">
        <v>46029.4990856481</v>
      </c>
      <c r="I561" s="15" t="s">
        <v>2030</v>
      </c>
      <c r="J561" s="15" t="s">
        <v>2030</v>
      </c>
      <c r="K561" s="15"/>
      <c r="L561" s="10" t="n">
        <f aca="false">COUNTIF($E$2:E561,E561)</f>
        <v>146</v>
      </c>
      <c r="M561" s="10" t="e">
        <f aca="false">ifs(L561=1, L561&amp;"-"&amp; COUNTIFS($L$2:L561,1))</f>
        <v>#NAME?</v>
      </c>
      <c r="N561" s="15" t="s">
        <v>603</v>
      </c>
      <c r="O561" s="10"/>
      <c r="P561" s="22" t="n">
        <f aca="false">COUNTIFS(C:C,C561,N:N,"Đã xác nhận")/COUNTIFS(C:C,C561)</f>
        <v>1</v>
      </c>
      <c r="Q561" s="22"/>
      <c r="R561" s="0" t="s">
        <v>2031</v>
      </c>
      <c r="S561" s="0" t="s">
        <v>534</v>
      </c>
      <c r="U561" s="24" t="n">
        <v>1</v>
      </c>
    </row>
    <row r="562" customFormat="false" ht="12.75" hidden="false" customHeight="false" outlineLevel="0" collapsed="false">
      <c r="A562" s="15" t="s">
        <v>2032</v>
      </c>
      <c r="B562" s="15" t="s">
        <v>600</v>
      </c>
      <c r="C562" s="15" t="s">
        <v>1840</v>
      </c>
      <c r="D562" s="15" t="s">
        <v>2033</v>
      </c>
      <c r="E562" s="15" t="s">
        <v>45</v>
      </c>
      <c r="G562" s="10" t="n">
        <v>1</v>
      </c>
      <c r="H562" s="21" t="n">
        <v>46029.4982986111</v>
      </c>
      <c r="I562" s="15" t="s">
        <v>2034</v>
      </c>
      <c r="J562" s="15" t="s">
        <v>2034</v>
      </c>
      <c r="K562" s="15"/>
      <c r="L562" s="10" t="n">
        <f aca="false">COUNTIF($E$2:E562,E562)</f>
        <v>4</v>
      </c>
      <c r="M562" s="10" t="e">
        <f aca="false">ifs(L562=1, L562&amp;"-"&amp; COUNTIFS($L$2:L562,1))</f>
        <v>#NAME?</v>
      </c>
      <c r="N562" s="15" t="s">
        <v>603</v>
      </c>
      <c r="O562" s="10"/>
      <c r="P562" s="22" t="n">
        <f aca="false">COUNTIFS(C:C,C562,N:N,"Đã xác nhận")/COUNTIFS(C:C,C562)</f>
        <v>1</v>
      </c>
      <c r="Q562" s="22"/>
      <c r="R562" s="0" t="s">
        <v>2035</v>
      </c>
      <c r="S562" s="0" t="s">
        <v>540</v>
      </c>
      <c r="U562" s="24" t="n">
        <v>1</v>
      </c>
    </row>
    <row r="563" customFormat="false" ht="12.75" hidden="false" customHeight="false" outlineLevel="0" collapsed="false">
      <c r="A563" s="15" t="s">
        <v>2036</v>
      </c>
      <c r="B563" s="15" t="s">
        <v>600</v>
      </c>
      <c r="C563" s="15" t="s">
        <v>1840</v>
      </c>
      <c r="D563" s="15" t="s">
        <v>2037</v>
      </c>
      <c r="E563" s="15" t="s">
        <v>47</v>
      </c>
      <c r="G563" s="10" t="n">
        <v>1</v>
      </c>
      <c r="H563" s="21" t="n">
        <v>46029.501087963</v>
      </c>
      <c r="I563" s="15" t="s">
        <v>2038</v>
      </c>
      <c r="J563" s="15" t="s">
        <v>2038</v>
      </c>
      <c r="K563" s="15"/>
      <c r="L563" s="10" t="n">
        <f aca="false">COUNTIF($E$2:E563,E563)</f>
        <v>39</v>
      </c>
      <c r="M563" s="10" t="e">
        <f aca="false">ifs(L563=1, L563&amp;"-"&amp; COUNTIFS($L$2:L563,1))</f>
        <v>#NAME?</v>
      </c>
      <c r="N563" s="15" t="s">
        <v>603</v>
      </c>
      <c r="O563" s="10"/>
      <c r="P563" s="22" t="n">
        <f aca="false">COUNTIFS(C:C,C563,N:N,"Đã xác nhận")/COUNTIFS(C:C,C563)</f>
        <v>1</v>
      </c>
      <c r="Q563" s="22"/>
      <c r="R563" s="0" t="s">
        <v>2039</v>
      </c>
      <c r="S563" s="0" t="s">
        <v>549</v>
      </c>
      <c r="U563" s="24" t="n">
        <v>1</v>
      </c>
    </row>
    <row r="564" customFormat="false" ht="12.75" hidden="false" customHeight="false" outlineLevel="0" collapsed="false">
      <c r="A564" s="15" t="s">
        <v>2040</v>
      </c>
      <c r="B564" s="15" t="s">
        <v>600</v>
      </c>
      <c r="C564" s="15" t="s">
        <v>1840</v>
      </c>
      <c r="D564" s="15" t="s">
        <v>2041</v>
      </c>
      <c r="E564" s="15" t="s">
        <v>47</v>
      </c>
      <c r="G564" s="10" t="n">
        <v>1</v>
      </c>
      <c r="H564" s="21" t="n">
        <v>46029.501087963</v>
      </c>
      <c r="I564" s="15" t="s">
        <v>2042</v>
      </c>
      <c r="J564" s="15" t="s">
        <v>2042</v>
      </c>
      <c r="K564" s="15"/>
      <c r="L564" s="10" t="n">
        <f aca="false">COUNTIF($E$2:E564,E564)</f>
        <v>40</v>
      </c>
      <c r="M564" s="10" t="e">
        <f aca="false">ifs(L564=1, L564&amp;"-"&amp; COUNTIFS($L$2:L564,1))</f>
        <v>#NAME?</v>
      </c>
      <c r="N564" s="15" t="s">
        <v>603</v>
      </c>
      <c r="O564" s="10"/>
      <c r="P564" s="22" t="n">
        <f aca="false">COUNTIFS(C:C,C564,N:N,"Đã xác nhận")/COUNTIFS(C:C,C564)</f>
        <v>1</v>
      </c>
      <c r="Q564" s="22"/>
      <c r="R564" s="0" t="s">
        <v>2043</v>
      </c>
      <c r="S564" s="0" t="s">
        <v>549</v>
      </c>
      <c r="U564" s="24" t="n">
        <v>1</v>
      </c>
    </row>
    <row r="565" customFormat="false" ht="12.75" hidden="false" customHeight="false" outlineLevel="0" collapsed="false">
      <c r="A565" s="15" t="s">
        <v>2044</v>
      </c>
      <c r="B565" s="15" t="s">
        <v>600</v>
      </c>
      <c r="C565" s="15" t="s">
        <v>1840</v>
      </c>
      <c r="D565" s="15" t="s">
        <v>2041</v>
      </c>
      <c r="E565" s="15" t="s">
        <v>49</v>
      </c>
      <c r="G565" s="10" t="n">
        <v>1</v>
      </c>
      <c r="H565" s="21" t="n">
        <v>46029.499537037</v>
      </c>
      <c r="I565" s="15" t="s">
        <v>2045</v>
      </c>
      <c r="J565" s="15" t="s">
        <v>2045</v>
      </c>
      <c r="K565" s="15"/>
      <c r="L565" s="10" t="n">
        <f aca="false">COUNTIF($E$2:E565,E565)</f>
        <v>4</v>
      </c>
      <c r="M565" s="10" t="e">
        <f aca="false">ifs(L565=1, L565&amp;"-"&amp; COUNTIFS($L$2:L565,1))</f>
        <v>#NAME?</v>
      </c>
      <c r="N565" s="15" t="s">
        <v>603</v>
      </c>
      <c r="O565" s="10"/>
      <c r="P565" s="22" t="n">
        <f aca="false">COUNTIFS(C:C,C565,N:N,"Đã xác nhận")/COUNTIFS(C:C,C565)</f>
        <v>1</v>
      </c>
      <c r="Q565" s="22"/>
      <c r="R565" s="0" t="s">
        <v>2043</v>
      </c>
      <c r="S565" s="0" t="s">
        <v>537</v>
      </c>
      <c r="U565" s="24" t="n">
        <v>1</v>
      </c>
    </row>
    <row r="566" customFormat="false" ht="12.75" hidden="false" customHeight="false" outlineLevel="0" collapsed="false">
      <c r="A566" s="15" t="s">
        <v>2046</v>
      </c>
      <c r="B566" s="15" t="s">
        <v>600</v>
      </c>
      <c r="C566" s="15" t="s">
        <v>1840</v>
      </c>
      <c r="D566" s="15" t="s">
        <v>839</v>
      </c>
      <c r="E566" s="15" t="s">
        <v>545</v>
      </c>
      <c r="G566" s="10" t="n">
        <v>4</v>
      </c>
      <c r="H566" s="21" t="n">
        <v>46029.4971990741</v>
      </c>
      <c r="I566" s="15" t="s">
        <v>2047</v>
      </c>
      <c r="J566" s="15" t="s">
        <v>2047</v>
      </c>
      <c r="K566" s="15"/>
      <c r="L566" s="10" t="n">
        <f aca="false">COUNTIF($E$2:E566,E566)</f>
        <v>18</v>
      </c>
      <c r="M566" s="10" t="e">
        <f aca="false">ifs(L566=1, L566&amp;"-"&amp; COUNTIFS($L$2:L566,1))</f>
        <v>#NAME?</v>
      </c>
      <c r="N566" s="15" t="s">
        <v>603</v>
      </c>
      <c r="O566" s="10"/>
      <c r="P566" s="22" t="n">
        <f aca="false">COUNTIFS(C:C,C566,N:N,"Đã xác nhận")/COUNTIFS(C:C,C566)</f>
        <v>1</v>
      </c>
      <c r="Q566" s="22"/>
      <c r="R566" s="0" t="s">
        <v>841</v>
      </c>
      <c r="S566" s="0" t="s">
        <v>546</v>
      </c>
      <c r="U566" s="24" t="n">
        <v>4</v>
      </c>
    </row>
    <row r="567" customFormat="false" ht="12.75" hidden="false" customHeight="false" outlineLevel="0" collapsed="false">
      <c r="A567" s="15" t="s">
        <v>2048</v>
      </c>
      <c r="B567" s="15" t="s">
        <v>600</v>
      </c>
      <c r="C567" s="15" t="s">
        <v>1840</v>
      </c>
      <c r="D567" s="15" t="s">
        <v>839</v>
      </c>
      <c r="E567" s="15" t="s">
        <v>555</v>
      </c>
      <c r="G567" s="10" t="n">
        <v>2</v>
      </c>
      <c r="H567" s="21" t="n">
        <v>46059.5675925926</v>
      </c>
      <c r="I567" s="15" t="s">
        <v>2049</v>
      </c>
      <c r="J567" s="15" t="s">
        <v>2049</v>
      </c>
      <c r="K567" s="15"/>
      <c r="L567" s="10" t="n">
        <f aca="false">COUNTIF($E$2:E567,E567)</f>
        <v>19</v>
      </c>
      <c r="M567" s="10" t="e">
        <f aca="false">ifs(L567=1, L567&amp;"-"&amp; COUNTIFS($L$2:L567,1))</f>
        <v>#NAME?</v>
      </c>
      <c r="N567" s="15" t="s">
        <v>603</v>
      </c>
      <c r="O567" s="10"/>
      <c r="P567" s="22" t="n">
        <f aca="false">COUNTIFS(C:C,C567,N:N,"Đã xác nhận")/COUNTIFS(C:C,C567)</f>
        <v>1</v>
      </c>
      <c r="Q567" s="22"/>
      <c r="R567" s="0" t="s">
        <v>841</v>
      </c>
      <c r="S567" s="0" t="s">
        <v>556</v>
      </c>
      <c r="U567" s="24" t="n">
        <v>2</v>
      </c>
    </row>
    <row r="568" customFormat="false" ht="12.75" hidden="false" customHeight="false" outlineLevel="0" collapsed="false">
      <c r="A568" s="15" t="s">
        <v>2050</v>
      </c>
      <c r="B568" s="15" t="s">
        <v>600</v>
      </c>
      <c r="C568" s="15" t="s">
        <v>1840</v>
      </c>
      <c r="D568" s="15" t="s">
        <v>839</v>
      </c>
      <c r="E568" s="15" t="s">
        <v>547</v>
      </c>
      <c r="G568" s="10" t="n">
        <v>2</v>
      </c>
      <c r="H568" s="21" t="n">
        <v>46038.4842939815</v>
      </c>
      <c r="I568" s="15" t="s">
        <v>2051</v>
      </c>
      <c r="J568" s="15" t="s">
        <v>2052</v>
      </c>
      <c r="K568" s="15" t="s">
        <v>2053</v>
      </c>
      <c r="L568" s="10" t="n">
        <f aca="false">COUNTIF($E$2:E568,E568)</f>
        <v>20</v>
      </c>
      <c r="M568" s="10" t="e">
        <f aca="false">ifs(L568=1, L568&amp;"-"&amp; COUNTIFS($L$2:L568,1))</f>
        <v>#NAME?</v>
      </c>
      <c r="N568" s="15" t="s">
        <v>603</v>
      </c>
      <c r="O568" s="10"/>
      <c r="P568" s="22" t="n">
        <f aca="false">COUNTIFS(C:C,C568,N:N,"Đã xác nhận")/COUNTIFS(C:C,C568)</f>
        <v>1</v>
      </c>
      <c r="Q568" s="22"/>
      <c r="R568" s="0" t="s">
        <v>841</v>
      </c>
      <c r="S568" s="0" t="s">
        <v>548</v>
      </c>
      <c r="U568" s="24" t="n">
        <v>2</v>
      </c>
    </row>
    <row r="569" customFormat="false" ht="12.75" hidden="false" customHeight="false" outlineLevel="0" collapsed="false">
      <c r="A569" s="15" t="s">
        <v>2054</v>
      </c>
      <c r="B569" s="15" t="s">
        <v>600</v>
      </c>
      <c r="C569" s="15" t="s">
        <v>1840</v>
      </c>
      <c r="D569" s="15" t="s">
        <v>986</v>
      </c>
      <c r="E569" s="15" t="s">
        <v>69</v>
      </c>
      <c r="G569" s="10" t="n">
        <v>1</v>
      </c>
      <c r="H569" s="21" t="n">
        <v>46029.4980324074</v>
      </c>
      <c r="I569" s="15" t="s">
        <v>2055</v>
      </c>
      <c r="J569" s="15" t="s">
        <v>2055</v>
      </c>
      <c r="K569" s="15"/>
      <c r="L569" s="10" t="n">
        <f aca="false">COUNTIF($E$2:E569,E569)</f>
        <v>48</v>
      </c>
      <c r="M569" s="10" t="e">
        <f aca="false">ifs(L569=1, L569&amp;"-"&amp; COUNTIFS($L$2:L569,1))</f>
        <v>#NAME?</v>
      </c>
      <c r="N569" s="15" t="s">
        <v>603</v>
      </c>
      <c r="O569" s="10"/>
      <c r="P569" s="22" t="n">
        <f aca="false">COUNTIFS(C:C,C569,N:N,"Đã xác nhận")/COUNTIFS(C:C,C569)</f>
        <v>1</v>
      </c>
      <c r="Q569" s="22"/>
      <c r="R569" s="0" t="s">
        <v>986</v>
      </c>
      <c r="S569" s="0" t="s">
        <v>535</v>
      </c>
      <c r="U569" s="24" t="n">
        <v>1</v>
      </c>
    </row>
    <row r="570" customFormat="false" ht="12.75" hidden="false" customHeight="false" outlineLevel="0" collapsed="false">
      <c r="A570" s="15" t="s">
        <v>2056</v>
      </c>
      <c r="B570" s="15"/>
      <c r="C570" s="15"/>
      <c r="D570" s="15"/>
      <c r="E570" s="15"/>
      <c r="G570" s="10" t="n">
        <v>0</v>
      </c>
      <c r="H570" s="21" t="n">
        <v>46029.4978125</v>
      </c>
      <c r="I570" s="15" t="s">
        <v>2057</v>
      </c>
      <c r="J570" s="15" t="s">
        <v>695</v>
      </c>
      <c r="K570" s="15" t="s">
        <v>2058</v>
      </c>
      <c r="L570" s="10" t="n">
        <f aca="false">COUNTIF($E$2:E570,E570)</f>
        <v>0</v>
      </c>
      <c r="M570" s="10" t="e">
        <f aca="false">ifs(L570=1, L570&amp;"-"&amp; COUNTIFS($L$2:L570,1))</f>
        <v>#NAME?</v>
      </c>
      <c r="O570" s="10"/>
      <c r="P570" s="22" t="e">
        <f aca="false">COUNTIFS(C:C,C570,N:N,"Đã xác nhận")/COUNTIFS(C:C,C570)</f>
        <v>#DIV/0!</v>
      </c>
      <c r="Q570" s="22"/>
      <c r="R570" s="0" t="e">
        <f aca="false">#VALUE!</f>
        <v>#VALUE!</v>
      </c>
      <c r="S570" s="0" t="e">
        <f aca="false">#VALUE!</f>
        <v>#VALUE!</v>
      </c>
      <c r="U570" s="24" t="n">
        <v>0</v>
      </c>
    </row>
    <row r="571" customFormat="false" ht="12.75" hidden="false" customHeight="false" outlineLevel="0" collapsed="false">
      <c r="A571" s="15" t="s">
        <v>2059</v>
      </c>
      <c r="B571" s="15" t="s">
        <v>600</v>
      </c>
      <c r="C571" s="15" t="s">
        <v>1840</v>
      </c>
      <c r="D571" s="15" t="s">
        <v>2060</v>
      </c>
      <c r="E571" s="15" t="s">
        <v>69</v>
      </c>
      <c r="G571" s="10" t="n">
        <v>1</v>
      </c>
      <c r="H571" s="21" t="n">
        <v>46029.4980439815</v>
      </c>
      <c r="I571" s="15" t="s">
        <v>2061</v>
      </c>
      <c r="J571" s="15" t="s">
        <v>2061</v>
      </c>
      <c r="K571" s="15"/>
      <c r="L571" s="10" t="n">
        <f aca="false">COUNTIF($E$2:E571,E571)</f>
        <v>49</v>
      </c>
      <c r="M571" s="10" t="e">
        <f aca="false">ifs(L571=1, L571&amp;"-"&amp; COUNTIFS($L$2:L571,1))</f>
        <v>#NAME?</v>
      </c>
      <c r="N571" s="15" t="s">
        <v>603</v>
      </c>
      <c r="O571" s="10"/>
      <c r="P571" s="22" t="n">
        <f aca="false">COUNTIFS(C:C,C571,N:N,"Đã xác nhận")/COUNTIFS(C:C,C571)</f>
        <v>1</v>
      </c>
      <c r="Q571" s="22"/>
      <c r="R571" s="0" t="s">
        <v>2062</v>
      </c>
      <c r="S571" s="0" t="s">
        <v>535</v>
      </c>
      <c r="U571" s="24" t="n">
        <v>1</v>
      </c>
    </row>
    <row r="572" customFormat="false" ht="12.75" hidden="false" customHeight="false" outlineLevel="0" collapsed="false">
      <c r="A572" s="15" t="s">
        <v>2063</v>
      </c>
      <c r="B572" s="15" t="s">
        <v>600</v>
      </c>
      <c r="C572" s="15" t="s">
        <v>1840</v>
      </c>
      <c r="D572" s="15" t="s">
        <v>2060</v>
      </c>
      <c r="E572" s="15" t="s">
        <v>33</v>
      </c>
      <c r="G572" s="10" t="n">
        <v>1</v>
      </c>
      <c r="H572" s="21" t="n">
        <v>46029.497974537</v>
      </c>
      <c r="I572" s="15" t="s">
        <v>2064</v>
      </c>
      <c r="J572" s="15" t="s">
        <v>2064</v>
      </c>
      <c r="K572" s="15"/>
      <c r="L572" s="10" t="n">
        <f aca="false">COUNTIF($E$2:E572,E572)</f>
        <v>14</v>
      </c>
      <c r="M572" s="10" t="e">
        <f aca="false">ifs(L572=1, L572&amp;"-"&amp; COUNTIFS($L$2:L572,1))</f>
        <v>#NAME?</v>
      </c>
      <c r="N572" s="15" t="s">
        <v>603</v>
      </c>
      <c r="O572" s="10"/>
      <c r="P572" s="22" t="n">
        <f aca="false">COUNTIFS(C:C,C572,N:N,"Đã xác nhận")/COUNTIFS(C:C,C572)</f>
        <v>1</v>
      </c>
      <c r="Q572" s="22"/>
      <c r="R572" s="0" t="s">
        <v>2062</v>
      </c>
      <c r="S572" s="0" t="s">
        <v>536</v>
      </c>
      <c r="U572" s="24" t="n">
        <v>1</v>
      </c>
    </row>
    <row r="573" customFormat="false" ht="12.75" hidden="false" customHeight="false" outlineLevel="0" collapsed="false">
      <c r="A573" s="15" t="s">
        <v>2065</v>
      </c>
      <c r="B573" s="15" t="s">
        <v>600</v>
      </c>
      <c r="C573" s="15" t="s">
        <v>1840</v>
      </c>
      <c r="D573" s="15" t="s">
        <v>2060</v>
      </c>
      <c r="E573" s="15" t="s">
        <v>77</v>
      </c>
      <c r="G573" s="10" t="n">
        <v>1</v>
      </c>
      <c r="H573" s="21" t="n">
        <v>46029.4993981481</v>
      </c>
      <c r="I573" s="15" t="s">
        <v>2066</v>
      </c>
      <c r="J573" s="15" t="s">
        <v>2066</v>
      </c>
      <c r="K573" s="15"/>
      <c r="L573" s="10" t="n">
        <f aca="false">COUNTIF($E$2:E573,E573)</f>
        <v>23</v>
      </c>
      <c r="M573" s="10" t="e">
        <f aca="false">ifs(L573=1, L573&amp;"-"&amp; COUNTIFS($L$2:L573,1))</f>
        <v>#NAME?</v>
      </c>
      <c r="N573" s="15" t="s">
        <v>603</v>
      </c>
      <c r="O573" s="10"/>
      <c r="P573" s="22" t="n">
        <f aca="false">COUNTIFS(C:C,C573,N:N,"Đã xác nhận")/COUNTIFS(C:C,C573)</f>
        <v>1</v>
      </c>
      <c r="Q573" s="22"/>
      <c r="R573" s="0" t="s">
        <v>2062</v>
      </c>
      <c r="S573" s="0" t="s">
        <v>78</v>
      </c>
      <c r="U573" s="24" t="n">
        <v>1</v>
      </c>
    </row>
    <row r="574" customFormat="false" ht="12.75" hidden="false" customHeight="false" outlineLevel="0" collapsed="false">
      <c r="A574" s="15" t="s">
        <v>2067</v>
      </c>
      <c r="B574" s="15" t="s">
        <v>600</v>
      </c>
      <c r="C574" s="15" t="s">
        <v>1840</v>
      </c>
      <c r="D574" s="15" t="s">
        <v>2068</v>
      </c>
      <c r="E574" s="15" t="s">
        <v>69</v>
      </c>
      <c r="G574" s="10" t="n">
        <v>1</v>
      </c>
      <c r="H574" s="21" t="n">
        <v>46029.4980208333</v>
      </c>
      <c r="I574" s="15" t="s">
        <v>2069</v>
      </c>
      <c r="J574" s="15" t="s">
        <v>2069</v>
      </c>
      <c r="K574" s="15"/>
      <c r="L574" s="10" t="n">
        <f aca="false">COUNTIF($E$2:E574,E574)</f>
        <v>50</v>
      </c>
      <c r="M574" s="10" t="e">
        <f aca="false">ifs(L574=1, L574&amp;"-"&amp; COUNTIFS($L$2:L574,1))</f>
        <v>#NAME?</v>
      </c>
      <c r="N574" s="15" t="s">
        <v>603</v>
      </c>
      <c r="O574" s="10"/>
      <c r="P574" s="22" t="n">
        <f aca="false">COUNTIFS(C:C,C574,N:N,"Đã xác nhận")/COUNTIFS(C:C,C574)</f>
        <v>1</v>
      </c>
      <c r="Q574" s="22"/>
      <c r="R574" s="0" t="s">
        <v>2070</v>
      </c>
      <c r="S574" s="0" t="s">
        <v>535</v>
      </c>
      <c r="U574" s="24" t="n">
        <v>1</v>
      </c>
    </row>
    <row r="575" customFormat="false" ht="12.75" hidden="false" customHeight="false" outlineLevel="0" collapsed="false">
      <c r="A575" s="15" t="s">
        <v>2071</v>
      </c>
      <c r="B575" s="15"/>
      <c r="C575" s="15"/>
      <c r="D575" s="15"/>
      <c r="E575" s="15"/>
      <c r="G575" s="10" t="n">
        <v>0</v>
      </c>
      <c r="H575" s="21" t="n">
        <v>46029.4976041667</v>
      </c>
      <c r="I575" s="15" t="s">
        <v>2072</v>
      </c>
      <c r="J575" s="15" t="s">
        <v>695</v>
      </c>
      <c r="K575" s="15" t="s">
        <v>2073</v>
      </c>
      <c r="L575" s="10" t="n">
        <f aca="false">COUNTIF($E$2:E575,E575)</f>
        <v>0</v>
      </c>
      <c r="M575" s="10" t="e">
        <f aca="false">ifs(L575=1, L575&amp;"-"&amp; COUNTIFS($L$2:L575,1))</f>
        <v>#NAME?</v>
      </c>
      <c r="O575" s="10"/>
      <c r="P575" s="22" t="e">
        <f aca="false">COUNTIFS(C:C,C575,N:N,"Đã xác nhận")/COUNTIFS(C:C,C575)</f>
        <v>#DIV/0!</v>
      </c>
      <c r="Q575" s="22"/>
      <c r="R575" s="0" t="e">
        <f aca="false">#VALUE!</f>
        <v>#VALUE!</v>
      </c>
      <c r="S575" s="0" t="e">
        <f aca="false">#VALUE!</f>
        <v>#VALUE!</v>
      </c>
      <c r="U575" s="24" t="n">
        <v>0</v>
      </c>
    </row>
    <row r="576" customFormat="false" ht="12.75" hidden="false" customHeight="false" outlineLevel="0" collapsed="false">
      <c r="A576" s="15" t="s">
        <v>2074</v>
      </c>
      <c r="B576" s="15" t="s">
        <v>600</v>
      </c>
      <c r="C576" s="15" t="s">
        <v>1840</v>
      </c>
      <c r="D576" s="15" t="s">
        <v>2068</v>
      </c>
      <c r="E576" s="15" t="s">
        <v>77</v>
      </c>
      <c r="G576" s="10" t="n">
        <v>1</v>
      </c>
      <c r="H576" s="21" t="n">
        <v>46029.4994097222</v>
      </c>
      <c r="I576" s="15" t="s">
        <v>2075</v>
      </c>
      <c r="J576" s="15" t="s">
        <v>2075</v>
      </c>
      <c r="K576" s="15"/>
      <c r="L576" s="10" t="n">
        <f aca="false">COUNTIF($E$2:E576,E576)</f>
        <v>24</v>
      </c>
      <c r="M576" s="10" t="e">
        <f aca="false">ifs(L576=1, L576&amp;"-"&amp; COUNTIFS($L$2:L576,1))</f>
        <v>#NAME?</v>
      </c>
      <c r="N576" s="15" t="s">
        <v>603</v>
      </c>
      <c r="O576" s="10"/>
      <c r="P576" s="22" t="n">
        <f aca="false">COUNTIFS(C:C,C576,N:N,"Đã xác nhận")/COUNTIFS(C:C,C576)</f>
        <v>1</v>
      </c>
      <c r="Q576" s="22"/>
      <c r="R576" s="0" t="s">
        <v>2070</v>
      </c>
      <c r="S576" s="0" t="s">
        <v>78</v>
      </c>
      <c r="U576" s="24" t="n">
        <v>1</v>
      </c>
    </row>
    <row r="577" customFormat="false" ht="12.75" hidden="false" customHeight="false" outlineLevel="0" collapsed="false">
      <c r="A577" s="15" t="s">
        <v>2076</v>
      </c>
      <c r="B577" s="15"/>
      <c r="C577" s="15"/>
      <c r="D577" s="15"/>
      <c r="E577" s="15"/>
      <c r="G577" s="10" t="n">
        <v>0</v>
      </c>
      <c r="H577" s="21" t="n">
        <v>46059.5680439815</v>
      </c>
      <c r="I577" s="15" t="s">
        <v>2077</v>
      </c>
      <c r="J577" s="15" t="s">
        <v>695</v>
      </c>
      <c r="K577" s="15" t="s">
        <v>2078</v>
      </c>
      <c r="L577" s="10" t="n">
        <f aca="false">COUNTIF($E$2:E577,E577)</f>
        <v>0</v>
      </c>
      <c r="M577" s="10" t="e">
        <f aca="false">ifs(L577=1, L577&amp;"-"&amp; COUNTIFS($L$2:L577,1))</f>
        <v>#NAME?</v>
      </c>
      <c r="O577" s="10"/>
      <c r="P577" s="22" t="e">
        <f aca="false">COUNTIFS(C:C,C577,N:N,"Đã xác nhận")/COUNTIFS(C:C,C577)</f>
        <v>#DIV/0!</v>
      </c>
      <c r="Q577" s="22"/>
      <c r="R577" s="0" t="e">
        <f aca="false">#VALUE!</f>
        <v>#VALUE!</v>
      </c>
      <c r="S577" s="0" t="e">
        <f aca="false">#VALUE!</f>
        <v>#VALUE!</v>
      </c>
      <c r="U577" s="24" t="n">
        <v>0</v>
      </c>
    </row>
    <row r="578" customFormat="false" ht="12.75" hidden="false" customHeight="false" outlineLevel="0" collapsed="false">
      <c r="A578" s="15" t="s">
        <v>2079</v>
      </c>
      <c r="B578" s="15" t="s">
        <v>600</v>
      </c>
      <c r="C578" s="15" t="s">
        <v>1840</v>
      </c>
      <c r="D578" s="15" t="s">
        <v>617</v>
      </c>
      <c r="E578" s="15" t="s">
        <v>547</v>
      </c>
      <c r="G578" s="10" t="n">
        <v>1</v>
      </c>
      <c r="H578" s="21" t="n">
        <v>46038.4841898148</v>
      </c>
      <c r="I578" s="15" t="s">
        <v>2080</v>
      </c>
      <c r="J578" s="15" t="s">
        <v>2081</v>
      </c>
      <c r="K578" s="15" t="s">
        <v>2082</v>
      </c>
      <c r="L578" s="10" t="n">
        <f aca="false">COUNTIF($E$2:E578,E578)</f>
        <v>21</v>
      </c>
      <c r="M578" s="10" t="e">
        <f aca="false">ifs(L578=1, L578&amp;"-"&amp; COUNTIFS($L$2:L578,1))</f>
        <v>#NAME?</v>
      </c>
      <c r="N578" s="15" t="s">
        <v>603</v>
      </c>
      <c r="O578" s="10"/>
      <c r="P578" s="22" t="n">
        <f aca="false">COUNTIFS(C:C,C578,N:N,"Đã xác nhận")/COUNTIFS(C:C,C578)</f>
        <v>1</v>
      </c>
      <c r="Q578" s="22"/>
      <c r="R578" s="0" t="s">
        <v>619</v>
      </c>
      <c r="S578" s="0" t="s">
        <v>548</v>
      </c>
      <c r="U578" s="24" t="n">
        <v>1</v>
      </c>
    </row>
    <row r="579" customFormat="false" ht="12.75" hidden="false" customHeight="false" outlineLevel="0" collapsed="false">
      <c r="A579" s="15" t="s">
        <v>2083</v>
      </c>
      <c r="B579" s="15" t="s">
        <v>600</v>
      </c>
      <c r="C579" s="15" t="s">
        <v>1840</v>
      </c>
      <c r="D579" s="15" t="s">
        <v>2084</v>
      </c>
      <c r="E579" s="15" t="s">
        <v>555</v>
      </c>
      <c r="G579" s="10" t="n">
        <v>1</v>
      </c>
      <c r="H579" s="21" t="n">
        <v>46059.5675231482</v>
      </c>
      <c r="I579" s="15" t="s">
        <v>2085</v>
      </c>
      <c r="J579" s="15" t="s">
        <v>2085</v>
      </c>
      <c r="K579" s="15"/>
      <c r="L579" s="10" t="n">
        <f aca="false">COUNTIF($E$2:E579,E579)</f>
        <v>20</v>
      </c>
      <c r="M579" s="10" t="e">
        <f aca="false">ifs(L579=1, L579&amp;"-"&amp; COUNTIFS($L$2:L579,1))</f>
        <v>#NAME?</v>
      </c>
      <c r="N579" s="15" t="s">
        <v>603</v>
      </c>
      <c r="O579" s="10"/>
      <c r="P579" s="22" t="n">
        <f aca="false">COUNTIFS(C:C,C579,N:N,"Đã xác nhận")/COUNTIFS(C:C,C579)</f>
        <v>1</v>
      </c>
      <c r="Q579" s="22"/>
      <c r="R579" s="0" t="s">
        <v>2084</v>
      </c>
      <c r="S579" s="0" t="s">
        <v>556</v>
      </c>
      <c r="U579" s="24" t="n">
        <v>1</v>
      </c>
    </row>
    <row r="580" customFormat="false" ht="12.75" hidden="false" customHeight="false" outlineLevel="0" collapsed="false">
      <c r="A580" s="15" t="s">
        <v>2086</v>
      </c>
      <c r="B580" s="15" t="s">
        <v>600</v>
      </c>
      <c r="C580" s="15" t="s">
        <v>1840</v>
      </c>
      <c r="D580" s="15" t="s">
        <v>2084</v>
      </c>
      <c r="E580" s="15" t="s">
        <v>65</v>
      </c>
      <c r="G580" s="10" t="n">
        <v>1</v>
      </c>
      <c r="H580" s="21" t="n">
        <v>46029.4973842593</v>
      </c>
      <c r="I580" s="15" t="s">
        <v>2087</v>
      </c>
      <c r="J580" s="15" t="s">
        <v>2087</v>
      </c>
      <c r="K580" s="15"/>
      <c r="L580" s="10" t="n">
        <f aca="false">COUNTIF($E$2:E580,E580)</f>
        <v>3</v>
      </c>
      <c r="M580" s="10" t="e">
        <f aca="false">ifs(L580=1, L580&amp;"-"&amp; COUNTIFS($L$2:L580,1))</f>
        <v>#NAME?</v>
      </c>
      <c r="N580" s="15" t="s">
        <v>603</v>
      </c>
      <c r="O580" s="10"/>
      <c r="P580" s="22" t="n">
        <f aca="false">COUNTIFS(C:C,C580,N:N,"Đã xác nhận")/COUNTIFS(C:C,C580)</f>
        <v>1</v>
      </c>
      <c r="Q580" s="22"/>
      <c r="R580" s="0" t="s">
        <v>2084</v>
      </c>
      <c r="S580" s="0" t="s">
        <v>580</v>
      </c>
      <c r="U580" s="24" t="n">
        <v>1</v>
      </c>
    </row>
    <row r="581" customFormat="false" ht="12.75" hidden="false" customHeight="false" outlineLevel="0" collapsed="false">
      <c r="A581" s="15" t="s">
        <v>2088</v>
      </c>
      <c r="B581" s="15" t="s">
        <v>600</v>
      </c>
      <c r="C581" s="15" t="s">
        <v>1840</v>
      </c>
      <c r="D581" s="15" t="s">
        <v>2084</v>
      </c>
      <c r="E581" s="15" t="s">
        <v>565</v>
      </c>
      <c r="G581" s="10" t="n">
        <v>1</v>
      </c>
      <c r="H581" s="21" t="n">
        <v>46059.5679861111</v>
      </c>
      <c r="I581" s="15" t="s">
        <v>2089</v>
      </c>
      <c r="J581" s="15" t="s">
        <v>2089</v>
      </c>
      <c r="K581" s="15"/>
      <c r="L581" s="10" t="n">
        <f aca="false">COUNTIF($E$2:E581,E581)</f>
        <v>12</v>
      </c>
      <c r="M581" s="10" t="e">
        <f aca="false">ifs(L581=1, L581&amp;"-"&amp; COUNTIFS($L$2:L581,1))</f>
        <v>#NAME?</v>
      </c>
      <c r="N581" s="15" t="s">
        <v>603</v>
      </c>
      <c r="O581" s="10"/>
      <c r="P581" s="22" t="n">
        <f aca="false">COUNTIFS(C:C,C581,N:N,"Đã xác nhận")/COUNTIFS(C:C,C581)</f>
        <v>1</v>
      </c>
      <c r="Q581" s="22"/>
      <c r="R581" s="0" t="s">
        <v>2084</v>
      </c>
      <c r="S581" s="0" t="s">
        <v>566</v>
      </c>
      <c r="U581" s="24" t="n">
        <v>1</v>
      </c>
    </row>
    <row r="582" customFormat="false" ht="12.75" hidden="false" customHeight="false" outlineLevel="0" collapsed="false">
      <c r="A582" s="15" t="s">
        <v>2090</v>
      </c>
      <c r="B582" s="15" t="s">
        <v>600</v>
      </c>
      <c r="C582" s="15" t="s">
        <v>1840</v>
      </c>
      <c r="D582" s="15" t="s">
        <v>2084</v>
      </c>
      <c r="E582" s="15" t="s">
        <v>543</v>
      </c>
      <c r="G582" s="10" t="n">
        <v>4</v>
      </c>
      <c r="H582" s="21" t="n">
        <v>46029.4972916667</v>
      </c>
      <c r="I582" s="15" t="s">
        <v>2091</v>
      </c>
      <c r="J582" s="15" t="s">
        <v>2091</v>
      </c>
      <c r="K582" s="15"/>
      <c r="L582" s="10" t="n">
        <f aca="false">COUNTIF($E$2:E582,E582)</f>
        <v>16</v>
      </c>
      <c r="M582" s="10" t="e">
        <f aca="false">ifs(L582=1, L582&amp;"-"&amp; COUNTIFS($L$2:L582,1))</f>
        <v>#NAME?</v>
      </c>
      <c r="N582" s="15" t="s">
        <v>603</v>
      </c>
      <c r="O582" s="10"/>
      <c r="P582" s="22" t="n">
        <f aca="false">COUNTIFS(C:C,C582,N:N,"Đã xác nhận")/COUNTIFS(C:C,C582)</f>
        <v>1</v>
      </c>
      <c r="Q582" s="22"/>
      <c r="R582" s="0" t="s">
        <v>2084</v>
      </c>
      <c r="S582" s="0" t="s">
        <v>544</v>
      </c>
      <c r="U582" s="24" t="n">
        <v>4</v>
      </c>
    </row>
    <row r="583" customFormat="false" ht="12.75" hidden="false" customHeight="false" outlineLevel="0" collapsed="false">
      <c r="A583" s="15" t="s">
        <v>2092</v>
      </c>
      <c r="B583" s="15" t="s">
        <v>600</v>
      </c>
      <c r="C583" s="15" t="s">
        <v>1840</v>
      </c>
      <c r="D583" s="15" t="s">
        <v>2084</v>
      </c>
      <c r="E583" s="15" t="s">
        <v>25</v>
      </c>
      <c r="G583" s="10" t="n">
        <v>1</v>
      </c>
      <c r="H583" s="21" t="n">
        <v>46059.5666782407</v>
      </c>
      <c r="I583" s="15" t="s">
        <v>2093</v>
      </c>
      <c r="J583" s="15" t="s">
        <v>2093</v>
      </c>
      <c r="K583" s="15"/>
      <c r="L583" s="10" t="n">
        <f aca="false">COUNTIF($E$2:E583,E583)</f>
        <v>10</v>
      </c>
      <c r="M583" s="10" t="e">
        <f aca="false">ifs(L583=1, L583&amp;"-"&amp; COUNTIFS($L$2:L583,1))</f>
        <v>#NAME?</v>
      </c>
      <c r="N583" s="15" t="s">
        <v>603</v>
      </c>
      <c r="O583" s="10"/>
      <c r="P583" s="22" t="n">
        <f aca="false">COUNTIFS(C:C,C583,N:N,"Đã xác nhận")/COUNTIFS(C:C,C583)</f>
        <v>1</v>
      </c>
      <c r="Q583" s="22"/>
      <c r="R583" s="0" t="s">
        <v>2084</v>
      </c>
      <c r="S583" s="0" t="s">
        <v>26</v>
      </c>
      <c r="U583" s="24" t="n">
        <v>1</v>
      </c>
    </row>
    <row r="584" customFormat="false" ht="12.75" hidden="false" customHeight="false" outlineLevel="0" collapsed="false">
      <c r="A584" s="15" t="s">
        <v>2094</v>
      </c>
      <c r="B584" s="15" t="s">
        <v>600</v>
      </c>
      <c r="C584" s="15" t="s">
        <v>1840</v>
      </c>
      <c r="D584" s="15" t="s">
        <v>839</v>
      </c>
      <c r="E584" s="15" t="s">
        <v>25</v>
      </c>
      <c r="G584" s="10" t="n">
        <v>2</v>
      </c>
      <c r="H584" s="21" t="n">
        <v>46059.5666898148</v>
      </c>
      <c r="I584" s="15" t="s">
        <v>2095</v>
      </c>
      <c r="J584" s="15" t="s">
        <v>2095</v>
      </c>
      <c r="K584" s="15"/>
      <c r="L584" s="10" t="n">
        <f aca="false">COUNTIF($E$2:E584,E584)</f>
        <v>11</v>
      </c>
      <c r="M584" s="10" t="e">
        <f aca="false">ifs(L584=1, L584&amp;"-"&amp; COUNTIFS($L$2:L584,1))</f>
        <v>#NAME?</v>
      </c>
      <c r="N584" s="15" t="s">
        <v>603</v>
      </c>
      <c r="O584" s="10"/>
      <c r="P584" s="22" t="n">
        <f aca="false">COUNTIFS(C:C,C584,N:N,"Đã xác nhận")/COUNTIFS(C:C,C584)</f>
        <v>1</v>
      </c>
      <c r="Q584" s="22"/>
      <c r="R584" s="0" t="s">
        <v>841</v>
      </c>
      <c r="S584" s="0" t="s">
        <v>26</v>
      </c>
      <c r="U584" s="24" t="n">
        <v>2</v>
      </c>
    </row>
    <row r="585" customFormat="false" ht="12.75" hidden="false" customHeight="false" outlineLevel="0" collapsed="false">
      <c r="A585" s="15" t="s">
        <v>2096</v>
      </c>
      <c r="B585" s="15"/>
      <c r="C585" s="15"/>
      <c r="D585" s="15"/>
      <c r="E585" s="15"/>
      <c r="G585" s="10" t="n">
        <v>0</v>
      </c>
      <c r="H585" s="21" t="n">
        <v>46035.5667939815</v>
      </c>
      <c r="I585" s="15" t="s">
        <v>2097</v>
      </c>
      <c r="J585" s="15" t="s">
        <v>695</v>
      </c>
      <c r="K585" s="15" t="s">
        <v>2098</v>
      </c>
      <c r="L585" s="10" t="n">
        <f aca="false">COUNTIF($E$2:E585,E585)</f>
        <v>0</v>
      </c>
      <c r="M585" s="10" t="e">
        <f aca="false">ifs(L585=1, L585&amp;"-"&amp; COUNTIFS($L$2:L585,1))</f>
        <v>#NAME?</v>
      </c>
      <c r="O585" s="10"/>
      <c r="P585" s="22" t="e">
        <f aca="false">COUNTIFS(C:C,C585,N:N,"Đã xác nhận")/COUNTIFS(C:C,C585)</f>
        <v>#DIV/0!</v>
      </c>
      <c r="Q585" s="22"/>
      <c r="R585" s="0" t="e">
        <f aca="false">#VALUE!</f>
        <v>#VALUE!</v>
      </c>
      <c r="S585" s="0" t="e">
        <f aca="false">#VALUE!</f>
        <v>#VALUE!</v>
      </c>
      <c r="U585" s="24" t="n">
        <v>0</v>
      </c>
    </row>
    <row r="586" customFormat="false" ht="12.75" hidden="false" customHeight="false" outlineLevel="0" collapsed="false">
      <c r="A586" s="15" t="s">
        <v>2099</v>
      </c>
      <c r="B586" s="15" t="s">
        <v>600</v>
      </c>
      <c r="C586" s="15" t="s">
        <v>486</v>
      </c>
      <c r="D586" s="15" t="s">
        <v>2100</v>
      </c>
      <c r="E586" s="15" t="s">
        <v>81</v>
      </c>
      <c r="G586" s="10" t="n">
        <v>1</v>
      </c>
      <c r="H586" s="21" t="n">
        <v>46035.5669791667</v>
      </c>
      <c r="I586" s="15" t="s">
        <v>2101</v>
      </c>
      <c r="J586" s="15" t="s">
        <v>2101</v>
      </c>
      <c r="K586" s="15"/>
      <c r="L586" s="10" t="n">
        <f aca="false">COUNTIF($E$2:E586,E586)</f>
        <v>147</v>
      </c>
      <c r="M586" s="10" t="e">
        <f aca="false">ifs(L586=1, L586&amp;"-"&amp; COUNTIFS($L$2:L586,1))</f>
        <v>#NAME?</v>
      </c>
      <c r="N586" s="15" t="s">
        <v>603</v>
      </c>
      <c r="O586" s="10"/>
      <c r="P586" s="22" t="n">
        <f aca="false">COUNTIFS(C:C,C586,N:N,"Đã xác nhận")/COUNTIFS(C:C,C586)</f>
        <v>1</v>
      </c>
      <c r="Q586" s="22"/>
      <c r="R586" s="0" t="s">
        <v>2102</v>
      </c>
      <c r="S586" s="0" t="s">
        <v>534</v>
      </c>
      <c r="U586" s="24" t="n">
        <v>1</v>
      </c>
    </row>
    <row r="587" customFormat="false" ht="12.75" hidden="false" customHeight="false" outlineLevel="0" collapsed="false">
      <c r="A587" s="15" t="s">
        <v>2103</v>
      </c>
      <c r="B587" s="15" t="s">
        <v>600</v>
      </c>
      <c r="C587" s="15" t="s">
        <v>486</v>
      </c>
      <c r="D587" s="15" t="s">
        <v>1000</v>
      </c>
      <c r="E587" s="15" t="s">
        <v>81</v>
      </c>
      <c r="G587" s="10" t="n">
        <v>1</v>
      </c>
      <c r="H587" s="21" t="n">
        <v>46035.5669907407</v>
      </c>
      <c r="I587" s="15" t="s">
        <v>2104</v>
      </c>
      <c r="J587" s="15" t="s">
        <v>2104</v>
      </c>
      <c r="K587" s="15"/>
      <c r="L587" s="10" t="n">
        <f aca="false">COUNTIF($E$2:E587,E587)</f>
        <v>148</v>
      </c>
      <c r="M587" s="10" t="e">
        <f aca="false">ifs(L587=1, L587&amp;"-"&amp; COUNTIFS($L$2:L587,1))</f>
        <v>#NAME?</v>
      </c>
      <c r="N587" s="15" t="s">
        <v>603</v>
      </c>
      <c r="O587" s="10"/>
      <c r="P587" s="22" t="n">
        <f aca="false">COUNTIFS(C:C,C587,N:N,"Đã xác nhận")/COUNTIFS(C:C,C587)</f>
        <v>1</v>
      </c>
      <c r="Q587" s="22"/>
      <c r="R587" s="0" t="s">
        <v>1002</v>
      </c>
      <c r="S587" s="0" t="s">
        <v>534</v>
      </c>
      <c r="U587" s="24" t="n">
        <v>1</v>
      </c>
    </row>
    <row r="588" customFormat="false" ht="12.75" hidden="false" customHeight="false" outlineLevel="0" collapsed="false">
      <c r="A588" s="15" t="s">
        <v>2105</v>
      </c>
      <c r="B588" s="15" t="s">
        <v>600</v>
      </c>
      <c r="C588" s="15" t="s">
        <v>486</v>
      </c>
      <c r="D588" s="15" t="s">
        <v>2106</v>
      </c>
      <c r="E588" s="15" t="s">
        <v>81</v>
      </c>
      <c r="G588" s="10" t="n">
        <v>1</v>
      </c>
      <c r="H588" s="21" t="n">
        <v>46035.5669907407</v>
      </c>
      <c r="I588" s="15" t="s">
        <v>2107</v>
      </c>
      <c r="J588" s="15" t="s">
        <v>2107</v>
      </c>
      <c r="K588" s="15"/>
      <c r="L588" s="10" t="n">
        <f aca="false">COUNTIF($E$2:E588,E588)</f>
        <v>149</v>
      </c>
      <c r="M588" s="10" t="e">
        <f aca="false">ifs(L588=1, L588&amp;"-"&amp; COUNTIFS($L$2:L588,1))</f>
        <v>#NAME?</v>
      </c>
      <c r="N588" s="15" t="s">
        <v>603</v>
      </c>
      <c r="O588" s="10"/>
      <c r="P588" s="22" t="n">
        <f aca="false">COUNTIFS(C:C,C588,N:N,"Đã xác nhận")/COUNTIFS(C:C,C588)</f>
        <v>1</v>
      </c>
      <c r="Q588" s="22"/>
      <c r="R588" s="0" t="s">
        <v>2108</v>
      </c>
      <c r="S588" s="0" t="s">
        <v>534</v>
      </c>
      <c r="U588" s="24" t="n">
        <v>1</v>
      </c>
    </row>
    <row r="589" customFormat="false" ht="12.75" hidden="false" customHeight="false" outlineLevel="0" collapsed="false">
      <c r="A589" s="15" t="s">
        <v>2109</v>
      </c>
      <c r="B589" s="15" t="s">
        <v>600</v>
      </c>
      <c r="C589" s="15" t="s">
        <v>486</v>
      </c>
      <c r="D589" s="15" t="s">
        <v>986</v>
      </c>
      <c r="E589" s="15" t="s">
        <v>33</v>
      </c>
      <c r="G589" s="10" t="n">
        <v>1</v>
      </c>
      <c r="H589" s="21" t="n">
        <v>46035.4969328704</v>
      </c>
      <c r="I589" s="15" t="s">
        <v>2110</v>
      </c>
      <c r="J589" s="15" t="s">
        <v>2110</v>
      </c>
      <c r="K589" s="15"/>
      <c r="L589" s="10" t="n">
        <f aca="false">COUNTIF($E$2:E589,E589)</f>
        <v>15</v>
      </c>
      <c r="M589" s="10" t="e">
        <f aca="false">ifs(L589=1, L589&amp;"-"&amp; COUNTIFS($L$2:L589,1))</f>
        <v>#NAME?</v>
      </c>
      <c r="N589" s="15" t="s">
        <v>603</v>
      </c>
      <c r="O589" s="10"/>
      <c r="P589" s="22" t="n">
        <f aca="false">COUNTIFS(C:C,C589,N:N,"Đã xác nhận")/COUNTIFS(C:C,C589)</f>
        <v>1</v>
      </c>
      <c r="Q589" s="22"/>
      <c r="R589" s="0" t="s">
        <v>986</v>
      </c>
      <c r="S589" s="0" t="s">
        <v>536</v>
      </c>
      <c r="U589" s="24" t="n">
        <v>1</v>
      </c>
    </row>
    <row r="590" customFormat="false" ht="12.75" hidden="false" customHeight="false" outlineLevel="0" collapsed="false">
      <c r="A590" s="15" t="s">
        <v>2111</v>
      </c>
      <c r="B590" s="15" t="s">
        <v>600</v>
      </c>
      <c r="C590" s="15" t="s">
        <v>486</v>
      </c>
      <c r="D590" s="15" t="s">
        <v>990</v>
      </c>
      <c r="E590" s="15" t="s">
        <v>33</v>
      </c>
      <c r="G590" s="10" t="n">
        <v>1</v>
      </c>
      <c r="H590" s="21" t="n">
        <v>46035.4969212963</v>
      </c>
      <c r="I590" s="15" t="s">
        <v>2112</v>
      </c>
      <c r="J590" s="15" t="s">
        <v>2112</v>
      </c>
      <c r="K590" s="15"/>
      <c r="L590" s="10" t="n">
        <f aca="false">COUNTIF($E$2:E590,E590)</f>
        <v>16</v>
      </c>
      <c r="M590" s="10" t="e">
        <f aca="false">ifs(L590=1, L590&amp;"-"&amp; COUNTIFS($L$2:L590,1))</f>
        <v>#NAME?</v>
      </c>
      <c r="N590" s="15" t="s">
        <v>603</v>
      </c>
      <c r="O590" s="10"/>
      <c r="P590" s="22" t="n">
        <f aca="false">COUNTIFS(C:C,C590,N:N,"Đã xác nhận")/COUNTIFS(C:C,C590)</f>
        <v>1</v>
      </c>
      <c r="Q590" s="22"/>
      <c r="R590" s="0" t="s">
        <v>992</v>
      </c>
      <c r="S590" s="0" t="s">
        <v>536</v>
      </c>
      <c r="U590" s="24" t="n">
        <v>1</v>
      </c>
    </row>
    <row r="591" customFormat="false" ht="12.75" hidden="false" customHeight="false" outlineLevel="0" collapsed="false">
      <c r="A591" s="15" t="s">
        <v>2113</v>
      </c>
      <c r="B591" s="15"/>
      <c r="C591" s="15"/>
      <c r="D591" s="15"/>
      <c r="E591" s="15"/>
      <c r="G591" s="10" t="n">
        <v>0</v>
      </c>
      <c r="H591" s="21" t="n">
        <v>46035.5671180556</v>
      </c>
      <c r="I591" s="15" t="s">
        <v>2114</v>
      </c>
      <c r="J591" s="15" t="s">
        <v>695</v>
      </c>
      <c r="K591" s="15" t="s">
        <v>2115</v>
      </c>
      <c r="L591" s="10" t="n">
        <f aca="false">COUNTIF($E$2:E591,E591)</f>
        <v>0</v>
      </c>
      <c r="M591" s="10" t="e">
        <f aca="false">ifs(L591=1, L591&amp;"-"&amp; COUNTIFS($L$2:L591,1))</f>
        <v>#NAME?</v>
      </c>
      <c r="O591" s="10"/>
      <c r="P591" s="22" t="e">
        <f aca="false">COUNTIFS(C:C,C591,N:N,"Đã xác nhận")/COUNTIFS(C:C,C591)</f>
        <v>#DIV/0!</v>
      </c>
      <c r="Q591" s="22"/>
      <c r="R591" s="0" t="e">
        <f aca="false">#VALUE!</f>
        <v>#VALUE!</v>
      </c>
      <c r="S591" s="0" t="e">
        <f aca="false">#VALUE!</f>
        <v>#VALUE!</v>
      </c>
      <c r="U591" s="24" t="n">
        <v>0</v>
      </c>
    </row>
    <row r="592" customFormat="false" ht="12.75" hidden="false" customHeight="false" outlineLevel="0" collapsed="false">
      <c r="A592" s="15" t="s">
        <v>2116</v>
      </c>
      <c r="B592" s="15" t="s">
        <v>600</v>
      </c>
      <c r="C592" s="15" t="s">
        <v>486</v>
      </c>
      <c r="D592" s="15" t="s">
        <v>2117</v>
      </c>
      <c r="E592" s="15" t="s">
        <v>69</v>
      </c>
      <c r="G592" s="10" t="n">
        <v>1</v>
      </c>
      <c r="H592" s="21" t="n">
        <v>46035.497025463</v>
      </c>
      <c r="I592" s="15" t="s">
        <v>2118</v>
      </c>
      <c r="J592" s="15" t="s">
        <v>2118</v>
      </c>
      <c r="K592" s="15"/>
      <c r="L592" s="10" t="n">
        <f aca="false">COUNTIF($E$2:E592,E592)</f>
        <v>51</v>
      </c>
      <c r="M592" s="10" t="e">
        <f aca="false">ifs(L592=1, L592&amp;"-"&amp; COUNTIFS($L$2:L592,1))</f>
        <v>#NAME?</v>
      </c>
      <c r="N592" s="15" t="s">
        <v>603</v>
      </c>
      <c r="O592" s="10"/>
      <c r="P592" s="22" t="n">
        <f aca="false">COUNTIFS(C:C,C592,N:N,"Đã xác nhận")/COUNTIFS(C:C,C592)</f>
        <v>1</v>
      </c>
      <c r="Q592" s="22"/>
      <c r="R592" s="0" t="s">
        <v>2119</v>
      </c>
      <c r="S592" s="0" t="s">
        <v>535</v>
      </c>
      <c r="U592" s="24" t="n">
        <v>1</v>
      </c>
    </row>
    <row r="593" customFormat="false" ht="12.75" hidden="false" customHeight="false" outlineLevel="0" collapsed="false">
      <c r="A593" s="15" t="s">
        <v>2120</v>
      </c>
      <c r="B593" s="15" t="s">
        <v>600</v>
      </c>
      <c r="C593" s="15" t="s">
        <v>486</v>
      </c>
      <c r="D593" s="15" t="s">
        <v>2117</v>
      </c>
      <c r="E593" s="15" t="s">
        <v>33</v>
      </c>
      <c r="G593" s="10" t="n">
        <v>1</v>
      </c>
      <c r="H593" s="21" t="n">
        <v>46035.4969097222</v>
      </c>
      <c r="I593" s="15" t="s">
        <v>2121</v>
      </c>
      <c r="J593" s="15" t="s">
        <v>2121</v>
      </c>
      <c r="K593" s="15"/>
      <c r="L593" s="10" t="n">
        <f aca="false">COUNTIF($E$2:E593,E593)</f>
        <v>17</v>
      </c>
      <c r="M593" s="10" t="e">
        <f aca="false">ifs(L593=1, L593&amp;"-"&amp; COUNTIFS($L$2:L593,1))</f>
        <v>#NAME?</v>
      </c>
      <c r="N593" s="15" t="s">
        <v>603</v>
      </c>
      <c r="O593" s="10"/>
      <c r="P593" s="22" t="n">
        <f aca="false">COUNTIFS(C:C,C593,N:N,"Đã xác nhận")/COUNTIFS(C:C,C593)</f>
        <v>1</v>
      </c>
      <c r="Q593" s="22"/>
      <c r="R593" s="0" t="s">
        <v>2119</v>
      </c>
      <c r="S593" s="0" t="s">
        <v>536</v>
      </c>
      <c r="U593" s="24" t="n">
        <v>1</v>
      </c>
    </row>
    <row r="594" customFormat="false" ht="12.75" hidden="false" customHeight="false" outlineLevel="0" collapsed="false">
      <c r="A594" s="15" t="s">
        <v>2122</v>
      </c>
      <c r="B594" s="15"/>
      <c r="C594" s="15"/>
      <c r="D594" s="15"/>
      <c r="E594" s="15"/>
      <c r="G594" s="10" t="n">
        <v>0</v>
      </c>
      <c r="H594" s="21" t="n">
        <v>46035.5671412037</v>
      </c>
      <c r="I594" s="15" t="s">
        <v>2123</v>
      </c>
      <c r="J594" s="15" t="s">
        <v>695</v>
      </c>
      <c r="K594" s="15" t="s">
        <v>2124</v>
      </c>
      <c r="L594" s="10" t="n">
        <f aca="false">COUNTIF($E$2:E594,E594)</f>
        <v>0</v>
      </c>
      <c r="M594" s="10" t="e">
        <f aca="false">ifs(L594=1, L594&amp;"-"&amp; COUNTIFS($L$2:L594,1))</f>
        <v>#NAME?</v>
      </c>
      <c r="O594" s="10"/>
      <c r="P594" s="22" t="e">
        <f aca="false">COUNTIFS(C:C,C594,N:N,"Đã xác nhận")/COUNTIFS(C:C,C594)</f>
        <v>#DIV/0!</v>
      </c>
      <c r="Q594" s="22"/>
      <c r="R594" s="0" t="e">
        <f aca="false">#VALUE!</f>
        <v>#VALUE!</v>
      </c>
      <c r="S594" s="0" t="e">
        <f aca="false">#VALUE!</f>
        <v>#VALUE!</v>
      </c>
      <c r="U594" s="24" t="n">
        <v>0</v>
      </c>
    </row>
    <row r="595" customFormat="false" ht="12.75" hidden="false" customHeight="false" outlineLevel="0" collapsed="false">
      <c r="A595" s="15" t="s">
        <v>2125</v>
      </c>
      <c r="B595" s="15" t="s">
        <v>600</v>
      </c>
      <c r="C595" s="15" t="s">
        <v>486</v>
      </c>
      <c r="D595" s="15" t="s">
        <v>2126</v>
      </c>
      <c r="E595" s="15" t="s">
        <v>69</v>
      </c>
      <c r="G595" s="10" t="n">
        <v>1</v>
      </c>
      <c r="H595" s="21" t="n">
        <v>46035.4970486111</v>
      </c>
      <c r="I595" s="15" t="s">
        <v>2127</v>
      </c>
      <c r="J595" s="15" t="s">
        <v>2127</v>
      </c>
      <c r="K595" s="15"/>
      <c r="L595" s="10" t="n">
        <f aca="false">COUNTIF($E$2:E595,E595)</f>
        <v>52</v>
      </c>
      <c r="M595" s="10" t="e">
        <f aca="false">ifs(L595=1, L595&amp;"-"&amp; COUNTIFS($L$2:L595,1))</f>
        <v>#NAME?</v>
      </c>
      <c r="N595" s="15" t="s">
        <v>603</v>
      </c>
      <c r="O595" s="10"/>
      <c r="P595" s="22" t="n">
        <f aca="false">COUNTIFS(C:C,C595,N:N,"Đã xác nhận")/COUNTIFS(C:C,C595)</f>
        <v>1</v>
      </c>
      <c r="Q595" s="22"/>
      <c r="R595" s="0" t="s">
        <v>2126</v>
      </c>
      <c r="S595" s="0" t="s">
        <v>535</v>
      </c>
      <c r="U595" s="24" t="n">
        <v>1</v>
      </c>
    </row>
    <row r="596" customFormat="false" ht="12.75" hidden="false" customHeight="false" outlineLevel="0" collapsed="false">
      <c r="A596" s="15" t="s">
        <v>2128</v>
      </c>
      <c r="B596" s="15" t="s">
        <v>600</v>
      </c>
      <c r="C596" s="15" t="s">
        <v>486</v>
      </c>
      <c r="D596" s="15" t="s">
        <v>2126</v>
      </c>
      <c r="E596" s="15" t="s">
        <v>33</v>
      </c>
      <c r="G596" s="10" t="n">
        <v>1</v>
      </c>
      <c r="H596" s="21" t="n">
        <v>46035.4969444444</v>
      </c>
      <c r="I596" s="15" t="s">
        <v>2129</v>
      </c>
      <c r="J596" s="15" t="s">
        <v>2129</v>
      </c>
      <c r="K596" s="15"/>
      <c r="L596" s="10" t="n">
        <f aca="false">COUNTIF($E$2:E596,E596)</f>
        <v>18</v>
      </c>
      <c r="M596" s="10" t="e">
        <f aca="false">ifs(L596=1, L596&amp;"-"&amp; COUNTIFS($L$2:L596,1))</f>
        <v>#NAME?</v>
      </c>
      <c r="N596" s="15" t="s">
        <v>603</v>
      </c>
      <c r="O596" s="10"/>
      <c r="P596" s="22" t="n">
        <f aca="false">COUNTIFS(C:C,C596,N:N,"Đã xác nhận")/COUNTIFS(C:C,C596)</f>
        <v>1</v>
      </c>
      <c r="Q596" s="22"/>
      <c r="R596" s="0" t="s">
        <v>2126</v>
      </c>
      <c r="S596" s="0" t="s">
        <v>536</v>
      </c>
      <c r="U596" s="24" t="n">
        <v>1</v>
      </c>
    </row>
    <row r="597" customFormat="false" ht="12.75" hidden="false" customHeight="false" outlineLevel="0" collapsed="false">
      <c r="A597" s="15" t="s">
        <v>2130</v>
      </c>
      <c r="B597" s="15" t="s">
        <v>1103</v>
      </c>
      <c r="C597" s="15" t="s">
        <v>493</v>
      </c>
      <c r="D597" s="15" t="s">
        <v>2131</v>
      </c>
      <c r="E597" s="15" t="s">
        <v>63</v>
      </c>
      <c r="G597" s="10" t="n">
        <v>1</v>
      </c>
      <c r="H597" s="21" t="n">
        <v>46044.6076041667</v>
      </c>
      <c r="I597" s="15" t="s">
        <v>2132</v>
      </c>
      <c r="J597" s="15" t="s">
        <v>2132</v>
      </c>
      <c r="K597" s="15"/>
      <c r="L597" s="10" t="n">
        <f aca="false">COUNTIF($E$2:E597,E597)</f>
        <v>12</v>
      </c>
      <c r="M597" s="10" t="e">
        <f aca="false">ifs(L597=1, L597&amp;"-"&amp; COUNTIFS($L$2:L597,1))</f>
        <v>#NAME?</v>
      </c>
      <c r="N597" s="15" t="s">
        <v>603</v>
      </c>
      <c r="O597" s="10"/>
      <c r="P597" s="22" t="n">
        <f aca="false">COUNTIFS(C:C,C597,N:N,"Đã xác nhận")/COUNTIFS(C:C,C597)</f>
        <v>1</v>
      </c>
      <c r="Q597" s="22"/>
      <c r="R597" s="0" t="s">
        <v>2133</v>
      </c>
      <c r="S597" s="0" t="s">
        <v>551</v>
      </c>
      <c r="U597" s="24" t="n">
        <v>1</v>
      </c>
    </row>
    <row r="598" customFormat="false" ht="12.75" hidden="false" customHeight="false" outlineLevel="0" collapsed="false">
      <c r="A598" s="15" t="s">
        <v>2134</v>
      </c>
      <c r="B598" s="15" t="s">
        <v>600</v>
      </c>
      <c r="C598" s="15" t="s">
        <v>484</v>
      </c>
      <c r="D598" s="15" t="s">
        <v>2135</v>
      </c>
      <c r="E598" s="15" t="s">
        <v>81</v>
      </c>
      <c r="G598" s="10" t="n">
        <v>1</v>
      </c>
      <c r="H598" s="21" t="n">
        <v>46036.4238773148</v>
      </c>
      <c r="I598" s="15" t="s">
        <v>2136</v>
      </c>
      <c r="J598" s="15" t="s">
        <v>2136</v>
      </c>
      <c r="K598" s="15"/>
      <c r="L598" s="10" t="n">
        <f aca="false">COUNTIF($E$2:E598,E598)</f>
        <v>150</v>
      </c>
      <c r="M598" s="10" t="e">
        <f aca="false">ifs(L598=1, L598&amp;"-"&amp; COUNTIFS($L$2:L598,1))</f>
        <v>#NAME?</v>
      </c>
      <c r="N598" s="15" t="s">
        <v>603</v>
      </c>
      <c r="O598" s="10"/>
      <c r="P598" s="22" t="n">
        <f aca="false">COUNTIFS(C:C,C598,N:N,"Đã xác nhận")/COUNTIFS(C:C,C598)</f>
        <v>1</v>
      </c>
      <c r="Q598" s="22"/>
      <c r="R598" s="0" t="s">
        <v>2137</v>
      </c>
      <c r="S598" s="0" t="s">
        <v>534</v>
      </c>
      <c r="U598" s="24" t="n">
        <v>1</v>
      </c>
    </row>
    <row r="599" customFormat="false" ht="12.75" hidden="false" customHeight="false" outlineLevel="0" collapsed="false">
      <c r="A599" s="15" t="s">
        <v>2138</v>
      </c>
      <c r="B599" s="15" t="s">
        <v>600</v>
      </c>
      <c r="C599" s="15" t="s">
        <v>484</v>
      </c>
      <c r="D599" s="15" t="s">
        <v>2139</v>
      </c>
      <c r="E599" s="15" t="s">
        <v>37</v>
      </c>
      <c r="G599" s="10" t="n">
        <v>2</v>
      </c>
      <c r="H599" s="21" t="n">
        <v>46036.4239583333</v>
      </c>
      <c r="I599" s="15" t="s">
        <v>2140</v>
      </c>
      <c r="J599" s="15" t="s">
        <v>2140</v>
      </c>
      <c r="K599" s="15"/>
      <c r="L599" s="10" t="n">
        <f aca="false">COUNTIF($E$2:E599,E599)</f>
        <v>13</v>
      </c>
      <c r="M599" s="10" t="e">
        <f aca="false">ifs(L599=1, L599&amp;"-"&amp; COUNTIFS($L$2:L599,1))</f>
        <v>#NAME?</v>
      </c>
      <c r="N599" s="15" t="s">
        <v>603</v>
      </c>
      <c r="O599" s="10"/>
      <c r="P599" s="22" t="n">
        <f aca="false">COUNTIFS(C:C,C599,N:N,"Đã xác nhận")/COUNTIFS(C:C,C599)</f>
        <v>1</v>
      </c>
      <c r="Q599" s="22"/>
      <c r="R599" s="0" t="s">
        <v>2141</v>
      </c>
      <c r="S599" s="0" t="s">
        <v>561</v>
      </c>
      <c r="U599" s="24" t="n">
        <v>2</v>
      </c>
    </row>
    <row r="600" customFormat="false" ht="12.75" hidden="false" customHeight="false" outlineLevel="0" collapsed="false">
      <c r="A600" s="15" t="s">
        <v>2142</v>
      </c>
      <c r="B600" s="15" t="s">
        <v>600</v>
      </c>
      <c r="C600" s="15" t="s">
        <v>484</v>
      </c>
      <c r="D600" s="15" t="s">
        <v>2143</v>
      </c>
      <c r="E600" s="15" t="s">
        <v>81</v>
      </c>
      <c r="G600" s="10" t="n">
        <v>2</v>
      </c>
      <c r="H600" s="21" t="n">
        <v>46036.4238541667</v>
      </c>
      <c r="I600" s="15" t="s">
        <v>2144</v>
      </c>
      <c r="J600" s="15" t="s">
        <v>2144</v>
      </c>
      <c r="K600" s="15"/>
      <c r="L600" s="10" t="n">
        <f aca="false">COUNTIF($E$2:E600,E600)</f>
        <v>151</v>
      </c>
      <c r="M600" s="10" t="e">
        <f aca="false">ifs(L600=1, L600&amp;"-"&amp; COUNTIFS($L$2:L600,1))</f>
        <v>#NAME?</v>
      </c>
      <c r="N600" s="15" t="s">
        <v>603</v>
      </c>
      <c r="O600" s="10"/>
      <c r="P600" s="22" t="n">
        <f aca="false">COUNTIFS(C:C,C600,N:N,"Đã xác nhận")/COUNTIFS(C:C,C600)</f>
        <v>1</v>
      </c>
      <c r="Q600" s="22"/>
      <c r="R600" s="0" t="s">
        <v>2145</v>
      </c>
      <c r="S600" s="0" t="s">
        <v>534</v>
      </c>
      <c r="U600" s="24" t="n">
        <v>2</v>
      </c>
    </row>
    <row r="601" customFormat="false" ht="12.75" hidden="false" customHeight="false" outlineLevel="0" collapsed="false">
      <c r="A601" s="15" t="s">
        <v>2146</v>
      </c>
      <c r="B601" s="15" t="s">
        <v>600</v>
      </c>
      <c r="C601" s="15" t="s">
        <v>484</v>
      </c>
      <c r="D601" s="15" t="s">
        <v>2147</v>
      </c>
      <c r="E601" s="15" t="s">
        <v>81</v>
      </c>
      <c r="G601" s="10" t="n">
        <v>1</v>
      </c>
      <c r="H601" s="21" t="n">
        <v>46036.4238657407</v>
      </c>
      <c r="I601" s="15" t="s">
        <v>2148</v>
      </c>
      <c r="J601" s="15" t="s">
        <v>2148</v>
      </c>
      <c r="K601" s="15"/>
      <c r="L601" s="10" t="n">
        <f aca="false">COUNTIF($E$2:E601,E601)</f>
        <v>152</v>
      </c>
      <c r="M601" s="10" t="e">
        <f aca="false">ifs(L601=1, L601&amp;"-"&amp; COUNTIFS($L$2:L601,1))</f>
        <v>#NAME?</v>
      </c>
      <c r="N601" s="15" t="s">
        <v>603</v>
      </c>
      <c r="O601" s="10"/>
      <c r="P601" s="22" t="n">
        <f aca="false">COUNTIFS(C:C,C601,N:N,"Đã xác nhận")/COUNTIFS(C:C,C601)</f>
        <v>1</v>
      </c>
      <c r="Q601" s="22"/>
      <c r="R601" s="0" t="s">
        <v>2149</v>
      </c>
      <c r="S601" s="0" t="s">
        <v>534</v>
      </c>
      <c r="U601" s="24" t="n">
        <v>1</v>
      </c>
    </row>
    <row r="602" customFormat="false" ht="12.75" hidden="false" customHeight="false" outlineLevel="0" collapsed="false">
      <c r="A602" s="15" t="s">
        <v>2150</v>
      </c>
      <c r="B602" s="15" t="s">
        <v>600</v>
      </c>
      <c r="C602" s="15" t="s">
        <v>484</v>
      </c>
      <c r="D602" s="15" t="s">
        <v>2151</v>
      </c>
      <c r="E602" s="15" t="s">
        <v>81</v>
      </c>
      <c r="G602" s="10" t="n">
        <v>1</v>
      </c>
      <c r="H602" s="21" t="n">
        <v>46036.4238657407</v>
      </c>
      <c r="I602" s="15" t="s">
        <v>2152</v>
      </c>
      <c r="J602" s="15" t="s">
        <v>2152</v>
      </c>
      <c r="K602" s="15"/>
      <c r="L602" s="10" t="n">
        <f aca="false">COUNTIF($E$2:E602,E602)</f>
        <v>153</v>
      </c>
      <c r="M602" s="10" t="e">
        <f aca="false">ifs(L602=1, L602&amp;"-"&amp; COUNTIFS($L$2:L602,1))</f>
        <v>#NAME?</v>
      </c>
      <c r="N602" s="15" t="s">
        <v>603</v>
      </c>
      <c r="O602" s="10"/>
      <c r="P602" s="22" t="n">
        <f aca="false">COUNTIFS(C:C,C602,N:N,"Đã xác nhận")/COUNTIFS(C:C,C602)</f>
        <v>1</v>
      </c>
      <c r="Q602" s="22"/>
      <c r="R602" s="0" t="s">
        <v>2153</v>
      </c>
      <c r="S602" s="0" t="s">
        <v>534</v>
      </c>
      <c r="U602" s="24" t="n">
        <v>1</v>
      </c>
    </row>
    <row r="603" customFormat="false" ht="12.75" hidden="false" customHeight="false" outlineLevel="0" collapsed="false">
      <c r="A603" s="15" t="s">
        <v>2154</v>
      </c>
      <c r="B603" s="15" t="s">
        <v>600</v>
      </c>
      <c r="C603" s="15" t="s">
        <v>484</v>
      </c>
      <c r="D603" s="15" t="s">
        <v>2155</v>
      </c>
      <c r="E603" s="15" t="s">
        <v>547</v>
      </c>
      <c r="G603" s="10" t="n">
        <v>1</v>
      </c>
      <c r="H603" s="21" t="n">
        <v>46038.4843287037</v>
      </c>
      <c r="I603" s="15" t="s">
        <v>2156</v>
      </c>
      <c r="J603" s="15" t="s">
        <v>2157</v>
      </c>
      <c r="K603" s="15" t="s">
        <v>2158</v>
      </c>
      <c r="L603" s="10" t="n">
        <f aca="false">COUNTIF($E$2:E603,E603)</f>
        <v>22</v>
      </c>
      <c r="M603" s="10" t="e">
        <f aca="false">ifs(L603=1, L603&amp;"-"&amp; COUNTIFS($L$2:L603,1))</f>
        <v>#NAME?</v>
      </c>
      <c r="N603" s="15" t="s">
        <v>603</v>
      </c>
      <c r="O603" s="10"/>
      <c r="P603" s="22" t="n">
        <f aca="false">COUNTIFS(C:C,C603,N:N,"Đã xác nhận")/COUNTIFS(C:C,C603)</f>
        <v>1</v>
      </c>
      <c r="Q603" s="22"/>
      <c r="R603" s="0" t="s">
        <v>2159</v>
      </c>
      <c r="S603" s="0" t="s">
        <v>548</v>
      </c>
      <c r="U603" s="24" t="n">
        <v>1</v>
      </c>
    </row>
    <row r="604" customFormat="false" ht="12.75" hidden="false" customHeight="false" outlineLevel="0" collapsed="false">
      <c r="A604" s="15" t="s">
        <v>2160</v>
      </c>
      <c r="B604" s="15" t="s">
        <v>600</v>
      </c>
      <c r="C604" s="15" t="s">
        <v>484</v>
      </c>
      <c r="D604" s="15" t="s">
        <v>885</v>
      </c>
      <c r="E604" s="15" t="s">
        <v>33</v>
      </c>
      <c r="G604" s="10" t="n">
        <v>1</v>
      </c>
      <c r="H604" s="21" t="n">
        <v>46036.4236689815</v>
      </c>
      <c r="I604" s="15" t="s">
        <v>2161</v>
      </c>
      <c r="J604" s="15" t="s">
        <v>2161</v>
      </c>
      <c r="K604" s="15"/>
      <c r="L604" s="10" t="n">
        <f aca="false">COUNTIF($E$2:E604,E604)</f>
        <v>19</v>
      </c>
      <c r="M604" s="10" t="e">
        <f aca="false">ifs(L604=1, L604&amp;"-"&amp; COUNTIFS($L$2:L604,1))</f>
        <v>#NAME?</v>
      </c>
      <c r="N604" s="15" t="s">
        <v>603</v>
      </c>
      <c r="O604" s="10"/>
      <c r="P604" s="22" t="n">
        <f aca="false">COUNTIFS(C:C,C604,N:N,"Đã xác nhận")/COUNTIFS(C:C,C604)</f>
        <v>1</v>
      </c>
      <c r="Q604" s="22"/>
      <c r="R604" s="0" t="s">
        <v>887</v>
      </c>
      <c r="S604" s="0" t="s">
        <v>536</v>
      </c>
      <c r="U604" s="24" t="n">
        <v>1</v>
      </c>
    </row>
    <row r="605" customFormat="false" ht="12.75" hidden="false" customHeight="false" outlineLevel="0" collapsed="false">
      <c r="A605" s="15" t="s">
        <v>2162</v>
      </c>
      <c r="B605" s="15" t="s">
        <v>600</v>
      </c>
      <c r="C605" s="15" t="s">
        <v>484</v>
      </c>
      <c r="D605" s="15" t="s">
        <v>885</v>
      </c>
      <c r="E605" s="15" t="s">
        <v>77</v>
      </c>
      <c r="G605" s="10" t="n">
        <v>1</v>
      </c>
      <c r="H605" s="21" t="n">
        <v>46036.4240393519</v>
      </c>
      <c r="I605" s="15" t="s">
        <v>2163</v>
      </c>
      <c r="J605" s="15" t="s">
        <v>2163</v>
      </c>
      <c r="K605" s="15"/>
      <c r="L605" s="10" t="n">
        <f aca="false">COUNTIF($E$2:E605,E605)</f>
        <v>25</v>
      </c>
      <c r="M605" s="10" t="e">
        <f aca="false">ifs(L605=1, L605&amp;"-"&amp; COUNTIFS($L$2:L605,1))</f>
        <v>#NAME?</v>
      </c>
      <c r="N605" s="15" t="s">
        <v>603</v>
      </c>
      <c r="O605" s="10"/>
      <c r="P605" s="22" t="n">
        <f aca="false">COUNTIFS(C:C,C605,N:N,"Đã xác nhận")/COUNTIFS(C:C,C605)</f>
        <v>1</v>
      </c>
      <c r="Q605" s="22"/>
      <c r="R605" s="0" t="s">
        <v>887</v>
      </c>
      <c r="S605" s="0" t="s">
        <v>78</v>
      </c>
      <c r="U605" s="24" t="n">
        <v>1</v>
      </c>
    </row>
    <row r="606" customFormat="false" ht="12.75" hidden="false" customHeight="false" outlineLevel="0" collapsed="false">
      <c r="A606" s="15" t="s">
        <v>2164</v>
      </c>
      <c r="B606" s="15" t="s">
        <v>600</v>
      </c>
      <c r="C606" s="15" t="s">
        <v>484</v>
      </c>
      <c r="D606" s="15" t="s">
        <v>2165</v>
      </c>
      <c r="E606" s="15" t="s">
        <v>69</v>
      </c>
      <c r="G606" s="10" t="n">
        <v>1</v>
      </c>
      <c r="H606" s="21" t="n">
        <v>46036.42375</v>
      </c>
      <c r="I606" s="15" t="s">
        <v>2166</v>
      </c>
      <c r="J606" s="15" t="s">
        <v>2166</v>
      </c>
      <c r="K606" s="15"/>
      <c r="L606" s="10" t="n">
        <f aca="false">COUNTIF($E$2:E606,E606)</f>
        <v>53</v>
      </c>
      <c r="M606" s="10" t="e">
        <f aca="false">ifs(L606=1, L606&amp;"-"&amp; COUNTIFS($L$2:L606,1))</f>
        <v>#NAME?</v>
      </c>
      <c r="N606" s="15" t="s">
        <v>603</v>
      </c>
      <c r="O606" s="10"/>
      <c r="P606" s="22" t="n">
        <f aca="false">COUNTIFS(C:C,C606,N:N,"Đã xác nhận")/COUNTIFS(C:C,C606)</f>
        <v>1</v>
      </c>
      <c r="Q606" s="22"/>
      <c r="R606" s="0" t="s">
        <v>2167</v>
      </c>
      <c r="S606" s="0" t="s">
        <v>535</v>
      </c>
      <c r="U606" s="24" t="n">
        <v>1</v>
      </c>
    </row>
    <row r="607" customFormat="false" ht="12.75" hidden="false" customHeight="false" outlineLevel="0" collapsed="false">
      <c r="A607" s="15" t="s">
        <v>2168</v>
      </c>
      <c r="B607" s="15" t="s">
        <v>600</v>
      </c>
      <c r="C607" s="15" t="s">
        <v>484</v>
      </c>
      <c r="D607" s="15" t="s">
        <v>2165</v>
      </c>
      <c r="E607" s="15" t="s">
        <v>33</v>
      </c>
      <c r="G607" s="10" t="n">
        <v>1</v>
      </c>
      <c r="H607" s="21" t="n">
        <v>46036.4236805556</v>
      </c>
      <c r="I607" s="15" t="s">
        <v>2169</v>
      </c>
      <c r="J607" s="15" t="s">
        <v>2169</v>
      </c>
      <c r="K607" s="15"/>
      <c r="L607" s="10" t="n">
        <f aca="false">COUNTIF($E$2:E607,E607)</f>
        <v>20</v>
      </c>
      <c r="M607" s="10" t="e">
        <f aca="false">ifs(L607=1, L607&amp;"-"&amp; COUNTIFS($L$2:L607,1))</f>
        <v>#NAME?</v>
      </c>
      <c r="N607" s="15" t="s">
        <v>603</v>
      </c>
      <c r="O607" s="10"/>
      <c r="P607" s="22" t="n">
        <f aca="false">COUNTIFS(C:C,C607,N:N,"Đã xác nhận")/COUNTIFS(C:C,C607)</f>
        <v>1</v>
      </c>
      <c r="Q607" s="22"/>
      <c r="R607" s="0" t="s">
        <v>2167</v>
      </c>
      <c r="S607" s="0" t="s">
        <v>536</v>
      </c>
      <c r="U607" s="24" t="n">
        <v>1</v>
      </c>
    </row>
    <row r="608" customFormat="false" ht="12.75" hidden="false" customHeight="false" outlineLevel="0" collapsed="false">
      <c r="A608" s="15" t="s">
        <v>2170</v>
      </c>
      <c r="B608" s="15" t="s">
        <v>600</v>
      </c>
      <c r="C608" s="15" t="s">
        <v>484</v>
      </c>
      <c r="D608" s="15" t="s">
        <v>2165</v>
      </c>
      <c r="E608" s="15" t="s">
        <v>77</v>
      </c>
      <c r="G608" s="10" t="n">
        <v>1</v>
      </c>
      <c r="H608" s="21" t="n">
        <v>46036.4240509259</v>
      </c>
      <c r="I608" s="15" t="s">
        <v>2171</v>
      </c>
      <c r="J608" s="15" t="s">
        <v>2171</v>
      </c>
      <c r="K608" s="15"/>
      <c r="L608" s="10" t="n">
        <f aca="false">COUNTIF($E$2:E608,E608)</f>
        <v>26</v>
      </c>
      <c r="M608" s="10" t="e">
        <f aca="false">ifs(L608=1, L608&amp;"-"&amp; COUNTIFS($L$2:L608,1))</f>
        <v>#NAME?</v>
      </c>
      <c r="N608" s="15" t="s">
        <v>603</v>
      </c>
      <c r="O608" s="10"/>
      <c r="P608" s="22" t="n">
        <f aca="false">COUNTIFS(C:C,C608,N:N,"Đã xác nhận")/COUNTIFS(C:C,C608)</f>
        <v>1</v>
      </c>
      <c r="Q608" s="22"/>
      <c r="R608" s="0" t="s">
        <v>2167</v>
      </c>
      <c r="S608" s="0" t="s">
        <v>78</v>
      </c>
      <c r="U608" s="24" t="n">
        <v>1</v>
      </c>
    </row>
    <row r="609" customFormat="false" ht="12.75" hidden="false" customHeight="false" outlineLevel="0" collapsed="false">
      <c r="A609" s="15" t="s">
        <v>2172</v>
      </c>
      <c r="B609" s="15" t="s">
        <v>1103</v>
      </c>
      <c r="C609" s="15" t="s">
        <v>1267</v>
      </c>
      <c r="D609" s="15" t="s">
        <v>1115</v>
      </c>
      <c r="E609" s="15" t="s">
        <v>47</v>
      </c>
      <c r="G609" s="10" t="n">
        <v>1</v>
      </c>
      <c r="H609" s="21" t="n">
        <v>45960.3843171296</v>
      </c>
      <c r="I609" s="15" t="s">
        <v>2173</v>
      </c>
      <c r="J609" s="15" t="s">
        <v>2173</v>
      </c>
      <c r="K609" s="15"/>
      <c r="L609" s="10" t="n">
        <f aca="false">COUNTIF($E$2:E609,E609)</f>
        <v>41</v>
      </c>
      <c r="M609" s="10" t="e">
        <f aca="false">ifs(L609=1, L609&amp;"-"&amp; COUNTIFS($L$2:L609,1))</f>
        <v>#NAME?</v>
      </c>
      <c r="O609" s="10"/>
      <c r="P609" s="22" t="n">
        <f aca="false">COUNTIFS(C:C,C609,N:N,"Đã xác nhận")/COUNTIFS(C:C,C609)</f>
        <v>0.0625</v>
      </c>
      <c r="Q609" s="22"/>
      <c r="R609" s="0" t="s">
        <v>1119</v>
      </c>
      <c r="S609" s="0" t="s">
        <v>549</v>
      </c>
      <c r="U609" s="24" t="n">
        <v>1</v>
      </c>
    </row>
    <row r="610" customFormat="false" ht="12.75" hidden="false" customHeight="false" outlineLevel="0" collapsed="false">
      <c r="A610" s="15" t="s">
        <v>2174</v>
      </c>
      <c r="B610" s="15" t="s">
        <v>1103</v>
      </c>
      <c r="C610" s="15" t="s">
        <v>1267</v>
      </c>
      <c r="D610" s="15" t="s">
        <v>2175</v>
      </c>
      <c r="E610" s="15" t="s">
        <v>81</v>
      </c>
      <c r="G610" s="10" t="n">
        <v>4</v>
      </c>
      <c r="H610" s="21" t="n">
        <v>45967.3923842593</v>
      </c>
      <c r="I610" s="15" t="s">
        <v>2176</v>
      </c>
      <c r="J610" s="15" t="s">
        <v>2177</v>
      </c>
      <c r="K610" s="15" t="s">
        <v>2178</v>
      </c>
      <c r="L610" s="10" t="n">
        <f aca="false">COUNTIF($E$2:E610,E610)</f>
        <v>154</v>
      </c>
      <c r="M610" s="10" t="e">
        <f aca="false">ifs(L610=1, L610&amp;"-"&amp; COUNTIFS($L$2:L610,1))</f>
        <v>#NAME?</v>
      </c>
      <c r="O610" s="10"/>
      <c r="P610" s="22" t="n">
        <f aca="false">COUNTIFS(C:C,C610,N:N,"Đã xác nhận")/COUNTIFS(C:C,C610)</f>
        <v>0.0625</v>
      </c>
      <c r="Q610" s="22"/>
      <c r="R610" s="0" t="s">
        <v>2179</v>
      </c>
      <c r="S610" s="0" t="s">
        <v>534</v>
      </c>
      <c r="U610" s="24" t="n">
        <v>4</v>
      </c>
    </row>
    <row r="611" customFormat="false" ht="12.75" hidden="false" customHeight="false" outlineLevel="0" collapsed="false">
      <c r="A611" s="15" t="s">
        <v>2180</v>
      </c>
      <c r="B611" s="15" t="s">
        <v>1103</v>
      </c>
      <c r="C611" s="15" t="s">
        <v>1267</v>
      </c>
      <c r="D611" s="15" t="s">
        <v>2181</v>
      </c>
      <c r="E611" s="15" t="s">
        <v>81</v>
      </c>
      <c r="G611" s="10" t="n">
        <v>2</v>
      </c>
      <c r="H611" s="21" t="n">
        <v>45967.3950115741</v>
      </c>
      <c r="I611" s="15" t="s">
        <v>2182</v>
      </c>
      <c r="J611" s="15" t="s">
        <v>2183</v>
      </c>
      <c r="K611" s="15" t="s">
        <v>2184</v>
      </c>
      <c r="L611" s="10" t="n">
        <f aca="false">COUNTIF($E$2:E611,E611)</f>
        <v>155</v>
      </c>
      <c r="M611" s="10" t="e">
        <f aca="false">ifs(L611=1, L611&amp;"-"&amp; COUNTIFS($L$2:L611,1))</f>
        <v>#NAME?</v>
      </c>
      <c r="O611" s="10"/>
      <c r="P611" s="22" t="n">
        <f aca="false">COUNTIFS(C:C,C611,N:N,"Đã xác nhận")/COUNTIFS(C:C,C611)</f>
        <v>0.0625</v>
      </c>
      <c r="Q611" s="22"/>
      <c r="R611" s="0" t="s">
        <v>2185</v>
      </c>
      <c r="S611" s="0" t="s">
        <v>534</v>
      </c>
      <c r="U611" s="24" t="n">
        <v>2</v>
      </c>
    </row>
    <row r="612" customFormat="false" ht="12.75" hidden="false" customHeight="false" outlineLevel="0" collapsed="false">
      <c r="A612" s="15" t="s">
        <v>2186</v>
      </c>
      <c r="B612" s="15" t="s">
        <v>1103</v>
      </c>
      <c r="C612" s="15" t="s">
        <v>1267</v>
      </c>
      <c r="D612" s="15" t="s">
        <v>2187</v>
      </c>
      <c r="E612" s="15" t="s">
        <v>127</v>
      </c>
      <c r="G612" s="10" t="n">
        <v>4</v>
      </c>
      <c r="H612" s="21" t="n">
        <v>45960.388587963</v>
      </c>
      <c r="I612" s="15" t="s">
        <v>1566</v>
      </c>
      <c r="J612" s="15" t="s">
        <v>2188</v>
      </c>
      <c r="K612" s="15" t="s">
        <v>2189</v>
      </c>
      <c r="L612" s="10" t="n">
        <f aca="false">COUNTIF($E$2:E612,E612)</f>
        <v>1</v>
      </c>
      <c r="M612" s="10" t="e">
        <f aca="false">ifs(L612=1, L612&amp;"-"&amp; COUNTIFS($L$2:L612,1))</f>
        <v>#NAME?</v>
      </c>
      <c r="O612" s="10"/>
      <c r="P612" s="22" t="n">
        <f aca="false">COUNTIFS(C:C,C612,N:N,"Đã xác nhận")/COUNTIFS(C:C,C612)</f>
        <v>0.0625</v>
      </c>
      <c r="Q612" s="22"/>
      <c r="R612" s="0" t="s">
        <v>2190</v>
      </c>
      <c r="S612" s="0" t="s">
        <v>128</v>
      </c>
      <c r="U612" s="24" t="n">
        <v>4</v>
      </c>
    </row>
    <row r="613" customFormat="false" ht="12.75" hidden="false" customHeight="false" outlineLevel="0" collapsed="false">
      <c r="A613" s="15" t="s">
        <v>2191</v>
      </c>
      <c r="B613" s="15" t="s">
        <v>1103</v>
      </c>
      <c r="C613" s="15" t="s">
        <v>1267</v>
      </c>
      <c r="D613" s="15" t="s">
        <v>2192</v>
      </c>
      <c r="E613" s="15" t="s">
        <v>81</v>
      </c>
      <c r="G613" s="10" t="n">
        <v>1</v>
      </c>
      <c r="H613" s="21" t="n">
        <v>45967.3920138889</v>
      </c>
      <c r="I613" s="15" t="s">
        <v>2193</v>
      </c>
      <c r="J613" s="15" t="s">
        <v>2194</v>
      </c>
      <c r="K613" s="15" t="s">
        <v>2195</v>
      </c>
      <c r="L613" s="10" t="n">
        <f aca="false">COUNTIF($E$2:E613,E613)</f>
        <v>156</v>
      </c>
      <c r="M613" s="10" t="e">
        <f aca="false">ifs(L613=1, L613&amp;"-"&amp; COUNTIFS($L$2:L613,1))</f>
        <v>#NAME?</v>
      </c>
      <c r="O613" s="10"/>
      <c r="P613" s="22" t="n">
        <f aca="false">COUNTIFS(C:C,C613,N:N,"Đã xác nhận")/COUNTIFS(C:C,C613)</f>
        <v>0.0625</v>
      </c>
      <c r="Q613" s="22"/>
      <c r="R613" s="0" t="s">
        <v>2196</v>
      </c>
      <c r="S613" s="0" t="s">
        <v>534</v>
      </c>
      <c r="U613" s="24" t="n">
        <v>1</v>
      </c>
    </row>
    <row r="614" customFormat="false" ht="12.75" hidden="false" customHeight="false" outlineLevel="0" collapsed="false">
      <c r="A614" s="15" t="s">
        <v>2197</v>
      </c>
      <c r="B614" s="15" t="s">
        <v>1103</v>
      </c>
      <c r="C614" s="15" t="s">
        <v>1267</v>
      </c>
      <c r="D614" s="15" t="s">
        <v>1110</v>
      </c>
      <c r="E614" s="15" t="s">
        <v>63</v>
      </c>
      <c r="G614" s="10" t="n">
        <v>1</v>
      </c>
      <c r="H614" s="21" t="n">
        <v>45960.3897916667</v>
      </c>
      <c r="I614" s="15" t="s">
        <v>1566</v>
      </c>
      <c r="J614" s="15" t="s">
        <v>2198</v>
      </c>
      <c r="K614" s="15" t="s">
        <v>2199</v>
      </c>
      <c r="L614" s="10" t="n">
        <f aca="false">COUNTIF($E$2:E614,E614)</f>
        <v>13</v>
      </c>
      <c r="M614" s="10" t="e">
        <f aca="false">ifs(L614=1, L614&amp;"-"&amp; COUNTIFS($L$2:L614,1))</f>
        <v>#NAME?</v>
      </c>
      <c r="O614" s="10"/>
      <c r="P614" s="22" t="n">
        <f aca="false">COUNTIFS(C:C,C614,N:N,"Đã xác nhận")/COUNTIFS(C:C,C614)</f>
        <v>0.0625</v>
      </c>
      <c r="Q614" s="22"/>
      <c r="R614" s="0" t="s">
        <v>1114</v>
      </c>
      <c r="S614" s="0" t="s">
        <v>551</v>
      </c>
      <c r="U614" s="24" t="n">
        <v>1</v>
      </c>
    </row>
    <row r="615" customFormat="false" ht="12.75" hidden="false" customHeight="false" outlineLevel="0" collapsed="false">
      <c r="A615" s="15" t="s">
        <v>2200</v>
      </c>
      <c r="B615" s="15" t="s">
        <v>1103</v>
      </c>
      <c r="C615" s="15" t="s">
        <v>1267</v>
      </c>
      <c r="D615" s="15" t="s">
        <v>1224</v>
      </c>
      <c r="E615" s="15" t="s">
        <v>39</v>
      </c>
      <c r="G615" s="10" t="n">
        <v>1</v>
      </c>
      <c r="H615" s="21" t="n">
        <v>45960.390162037</v>
      </c>
      <c r="I615" s="15" t="s">
        <v>1566</v>
      </c>
      <c r="J615" s="15" t="s">
        <v>2201</v>
      </c>
      <c r="K615" s="15" t="s">
        <v>2202</v>
      </c>
      <c r="L615" s="10" t="n">
        <f aca="false">COUNTIF($E$2:E615,E615)</f>
        <v>13</v>
      </c>
      <c r="M615" s="10" t="e">
        <f aca="false">ifs(L615=1, L615&amp;"-"&amp; COUNTIFS($L$2:L615,1))</f>
        <v>#NAME?</v>
      </c>
      <c r="O615" s="10"/>
      <c r="P615" s="22" t="n">
        <f aca="false">COUNTIFS(C:C,C615,N:N,"Đã xác nhận")/COUNTIFS(C:C,C615)</f>
        <v>0.0625</v>
      </c>
      <c r="Q615" s="22"/>
      <c r="R615" s="0" t="s">
        <v>1226</v>
      </c>
      <c r="S615" s="0" t="s">
        <v>550</v>
      </c>
      <c r="U615" s="24" t="n">
        <v>1</v>
      </c>
    </row>
    <row r="616" customFormat="false" ht="12.75" hidden="false" customHeight="false" outlineLevel="0" collapsed="false">
      <c r="A616" s="15" t="s">
        <v>2203</v>
      </c>
      <c r="B616" s="15" t="s">
        <v>1103</v>
      </c>
      <c r="C616" s="15" t="s">
        <v>1267</v>
      </c>
      <c r="D616" s="15" t="s">
        <v>1224</v>
      </c>
      <c r="E616" s="15" t="s">
        <v>81</v>
      </c>
      <c r="G616" s="10" t="n">
        <v>1</v>
      </c>
      <c r="H616" s="21" t="n">
        <v>45967.3945138889</v>
      </c>
      <c r="I616" s="15" t="s">
        <v>2204</v>
      </c>
      <c r="J616" s="15" t="s">
        <v>2205</v>
      </c>
      <c r="K616" s="15" t="s">
        <v>2206</v>
      </c>
      <c r="L616" s="10" t="n">
        <f aca="false">COUNTIF($E$2:E616,E616)</f>
        <v>157</v>
      </c>
      <c r="M616" s="10" t="e">
        <f aca="false">ifs(L616=1, L616&amp;"-"&amp; COUNTIFS($L$2:L616,1))</f>
        <v>#NAME?</v>
      </c>
      <c r="O616" s="10"/>
      <c r="P616" s="22" t="n">
        <f aca="false">COUNTIFS(C:C,C616,N:N,"Đã xác nhận")/COUNTIFS(C:C,C616)</f>
        <v>0.0625</v>
      </c>
      <c r="Q616" s="22"/>
      <c r="R616" s="0" t="s">
        <v>1226</v>
      </c>
      <c r="S616" s="0" t="s">
        <v>534</v>
      </c>
      <c r="U616" s="24" t="n">
        <v>1</v>
      </c>
    </row>
    <row r="617" customFormat="false" ht="12.75" hidden="false" customHeight="false" outlineLevel="0" collapsed="false">
      <c r="A617" s="15" t="s">
        <v>2207</v>
      </c>
      <c r="B617" s="15" t="s">
        <v>1103</v>
      </c>
      <c r="C617" s="15" t="s">
        <v>1267</v>
      </c>
      <c r="D617" s="15" t="s">
        <v>2208</v>
      </c>
      <c r="E617" s="15" t="s">
        <v>55</v>
      </c>
      <c r="G617" s="10" t="n">
        <v>1</v>
      </c>
      <c r="H617" s="21" t="n">
        <v>45960.3915740741</v>
      </c>
      <c r="I617" s="15" t="s">
        <v>1566</v>
      </c>
      <c r="J617" s="15" t="s">
        <v>2209</v>
      </c>
      <c r="K617" s="15" t="s">
        <v>2210</v>
      </c>
      <c r="L617" s="10" t="n">
        <f aca="false">COUNTIF($E$2:E617,E617)</f>
        <v>56</v>
      </c>
      <c r="M617" s="10" t="e">
        <f aca="false">ifs(L617=1, L617&amp;"-"&amp; COUNTIFS($L$2:L617,1))</f>
        <v>#NAME?</v>
      </c>
      <c r="O617" s="10"/>
      <c r="P617" s="22" t="n">
        <f aca="false">COUNTIFS(C:C,C617,N:N,"Đã xác nhận")/COUNTIFS(C:C,C617)</f>
        <v>0.0625</v>
      </c>
      <c r="Q617" s="22"/>
      <c r="R617" s="0" t="s">
        <v>2211</v>
      </c>
      <c r="S617" s="0" t="s">
        <v>539</v>
      </c>
      <c r="U617" s="24" t="n">
        <v>1</v>
      </c>
    </row>
    <row r="618" customFormat="false" ht="12.75" hidden="false" customHeight="false" outlineLevel="0" collapsed="false">
      <c r="A618" s="15" t="s">
        <v>2212</v>
      </c>
      <c r="B618" s="15" t="s">
        <v>1103</v>
      </c>
      <c r="C618" s="15" t="s">
        <v>1267</v>
      </c>
      <c r="D618" s="15" t="s">
        <v>1120</v>
      </c>
      <c r="E618" s="15" t="s">
        <v>55</v>
      </c>
      <c r="G618" s="10" t="n">
        <v>1</v>
      </c>
      <c r="H618" s="21" t="n">
        <v>45960.3923148148</v>
      </c>
      <c r="I618" s="15" t="s">
        <v>1566</v>
      </c>
      <c r="J618" s="15" t="s">
        <v>2213</v>
      </c>
      <c r="K618" s="15" t="s">
        <v>2214</v>
      </c>
      <c r="L618" s="10" t="n">
        <f aca="false">COUNTIF($E$2:E618,E618)</f>
        <v>57</v>
      </c>
      <c r="M618" s="10" t="e">
        <f aca="false">ifs(L618=1, L618&amp;"-"&amp; COUNTIFS($L$2:L618,1))</f>
        <v>#NAME?</v>
      </c>
      <c r="O618" s="10"/>
      <c r="P618" s="22" t="n">
        <f aca="false">COUNTIFS(C:C,C618,N:N,"Đã xác nhận")/COUNTIFS(C:C,C618)</f>
        <v>0.0625</v>
      </c>
      <c r="Q618" s="22"/>
      <c r="R618" s="0" t="s">
        <v>1122</v>
      </c>
      <c r="S618" s="0" t="s">
        <v>539</v>
      </c>
      <c r="U618" s="24" t="n">
        <v>1</v>
      </c>
    </row>
    <row r="619" customFormat="false" ht="12.75" hidden="false" customHeight="false" outlineLevel="0" collapsed="false">
      <c r="A619" s="15" t="s">
        <v>2215</v>
      </c>
      <c r="B619" s="15" t="s">
        <v>1103</v>
      </c>
      <c r="C619" s="15" t="s">
        <v>1267</v>
      </c>
      <c r="D619" s="15" t="s">
        <v>2216</v>
      </c>
      <c r="E619" s="15" t="s">
        <v>47</v>
      </c>
      <c r="G619" s="10" t="n">
        <v>1</v>
      </c>
      <c r="H619" s="21" t="n">
        <v>45967.6751157407</v>
      </c>
      <c r="I619" s="15" t="s">
        <v>2217</v>
      </c>
      <c r="J619" s="15" t="s">
        <v>2218</v>
      </c>
      <c r="K619" s="15" t="s">
        <v>2219</v>
      </c>
      <c r="L619" s="10" t="n">
        <f aca="false">COUNTIF($E$2:E619,E619)</f>
        <v>42</v>
      </c>
      <c r="M619" s="10" t="e">
        <f aca="false">ifs(L619=1, L619&amp;"-"&amp; COUNTIFS($L$2:L619,1))</f>
        <v>#NAME?</v>
      </c>
      <c r="O619" s="10"/>
      <c r="P619" s="22" t="n">
        <f aca="false">COUNTIFS(C:C,C619,N:N,"Đã xác nhận")/COUNTIFS(C:C,C619)</f>
        <v>0.0625</v>
      </c>
      <c r="Q619" s="22"/>
      <c r="R619" s="0" t="s">
        <v>2220</v>
      </c>
      <c r="S619" s="0" t="s">
        <v>549</v>
      </c>
      <c r="U619" s="24" t="n">
        <v>1</v>
      </c>
    </row>
    <row r="620" customFormat="false" ht="12.75" hidden="false" customHeight="false" outlineLevel="0" collapsed="false">
      <c r="A620" s="15" t="s">
        <v>2221</v>
      </c>
      <c r="B620" s="15" t="s">
        <v>1103</v>
      </c>
      <c r="C620" s="15" t="s">
        <v>1267</v>
      </c>
      <c r="D620" s="15" t="s">
        <v>2222</v>
      </c>
      <c r="E620" s="15" t="s">
        <v>17</v>
      </c>
      <c r="G620" s="10" t="n">
        <v>1</v>
      </c>
      <c r="H620" s="21" t="n">
        <v>45967.6803935185</v>
      </c>
      <c r="I620" s="15" t="s">
        <v>2223</v>
      </c>
      <c r="J620" s="15" t="s">
        <v>2224</v>
      </c>
      <c r="K620" s="15" t="s">
        <v>2225</v>
      </c>
      <c r="L620" s="10" t="n">
        <f aca="false">COUNTIF($E$2:E620,E620)</f>
        <v>4</v>
      </c>
      <c r="M620" s="10" t="e">
        <f aca="false">ifs(L620=1, L620&amp;"-"&amp; COUNTIFS($L$2:L620,1))</f>
        <v>#NAME?</v>
      </c>
      <c r="O620" s="10"/>
      <c r="P620" s="22" t="n">
        <f aca="false">COUNTIFS(C:C,C620,N:N,"Đã xác nhận")/COUNTIFS(C:C,C620)</f>
        <v>0.0625</v>
      </c>
      <c r="Q620" s="22"/>
      <c r="R620" s="0" t="s">
        <v>2226</v>
      </c>
      <c r="S620" s="0" t="s">
        <v>554</v>
      </c>
      <c r="U620" s="24" t="n">
        <v>1</v>
      </c>
    </row>
    <row r="621" customFormat="false" ht="12.75" hidden="false" customHeight="false" outlineLevel="0" collapsed="false">
      <c r="A621" s="15" t="s">
        <v>2227</v>
      </c>
      <c r="B621" s="15" t="s">
        <v>1103</v>
      </c>
      <c r="C621" s="15" t="s">
        <v>1261</v>
      </c>
      <c r="D621" s="15" t="s">
        <v>2228</v>
      </c>
      <c r="E621" s="15" t="s">
        <v>49</v>
      </c>
      <c r="G621" s="10" t="n">
        <v>1</v>
      </c>
      <c r="H621" s="21" t="n">
        <v>45960.6074189815</v>
      </c>
      <c r="I621" s="15" t="s">
        <v>1566</v>
      </c>
      <c r="J621" s="15" t="s">
        <v>2229</v>
      </c>
      <c r="K621" s="15" t="s">
        <v>2230</v>
      </c>
      <c r="L621" s="10" t="n">
        <f aca="false">COUNTIF($E$2:E621,E621)</f>
        <v>5</v>
      </c>
      <c r="M621" s="10" t="e">
        <f aca="false">ifs(L621=1, L621&amp;"-"&amp; COUNTIFS($L$2:L621,1))</f>
        <v>#NAME?</v>
      </c>
      <c r="O621" s="10"/>
      <c r="P621" s="22" t="n">
        <f aca="false">COUNTIFS(C:C,C621,N:N,"Đã xác nhận")/COUNTIFS(C:C,C621)</f>
        <v>0.0526315789473684</v>
      </c>
      <c r="Q621" s="22"/>
      <c r="R621" s="0" t="s">
        <v>2231</v>
      </c>
      <c r="S621" s="0" t="s">
        <v>537</v>
      </c>
      <c r="U621" s="24" t="n">
        <v>1</v>
      </c>
    </row>
    <row r="622" customFormat="false" ht="12.75" hidden="false" customHeight="false" outlineLevel="0" collapsed="false">
      <c r="A622" s="15" t="s">
        <v>2232</v>
      </c>
      <c r="B622" s="15" t="s">
        <v>1103</v>
      </c>
      <c r="C622" s="15" t="s">
        <v>1261</v>
      </c>
      <c r="D622" s="15" t="s">
        <v>2233</v>
      </c>
      <c r="E622" s="15" t="s">
        <v>81</v>
      </c>
      <c r="G622" s="10" t="n">
        <v>3</v>
      </c>
      <c r="H622" s="21" t="n">
        <v>45982.5754398148</v>
      </c>
      <c r="I622" s="15" t="s">
        <v>2234</v>
      </c>
      <c r="J622" s="15" t="s">
        <v>2235</v>
      </c>
      <c r="K622" s="15" t="s">
        <v>2236</v>
      </c>
      <c r="L622" s="10" t="n">
        <f aca="false">COUNTIF($E$2:E622,E622)</f>
        <v>158</v>
      </c>
      <c r="M622" s="10" t="e">
        <f aca="false">ifs(L622=1, L622&amp;"-"&amp; COUNTIFS($L$2:L622,1))</f>
        <v>#NAME?</v>
      </c>
      <c r="O622" s="10"/>
      <c r="P622" s="22" t="n">
        <f aca="false">COUNTIFS(C:C,C622,N:N,"Đã xác nhận")/COUNTIFS(C:C,C622)</f>
        <v>0.0526315789473684</v>
      </c>
      <c r="Q622" s="22"/>
      <c r="R622" s="0" t="s">
        <v>2237</v>
      </c>
      <c r="S622" s="0" t="s">
        <v>534</v>
      </c>
      <c r="U622" s="24" t="n">
        <v>3</v>
      </c>
    </row>
    <row r="623" customFormat="false" ht="12.75" hidden="false" customHeight="false" outlineLevel="0" collapsed="false">
      <c r="A623" s="15" t="s">
        <v>2238</v>
      </c>
      <c r="B623" s="15" t="s">
        <v>1103</v>
      </c>
      <c r="C623" s="15" t="s">
        <v>1261</v>
      </c>
      <c r="D623" s="15" t="s">
        <v>2239</v>
      </c>
      <c r="E623" s="15" t="s">
        <v>49</v>
      </c>
      <c r="G623" s="10" t="n">
        <v>1</v>
      </c>
      <c r="H623" s="21" t="n">
        <v>45960.6089351852</v>
      </c>
      <c r="I623" s="15" t="s">
        <v>1566</v>
      </c>
      <c r="J623" s="15" t="s">
        <v>2240</v>
      </c>
      <c r="K623" s="15" t="s">
        <v>2241</v>
      </c>
      <c r="L623" s="10" t="n">
        <f aca="false">COUNTIF($E$2:E623,E623)</f>
        <v>6</v>
      </c>
      <c r="M623" s="10" t="e">
        <f aca="false">ifs(L623=1, L623&amp;"-"&amp; COUNTIFS($L$2:L623,1))</f>
        <v>#NAME?</v>
      </c>
      <c r="O623" s="10"/>
      <c r="P623" s="22" t="n">
        <f aca="false">COUNTIFS(C:C,C623,N:N,"Đã xác nhận")/COUNTIFS(C:C,C623)</f>
        <v>0.0526315789473684</v>
      </c>
      <c r="Q623" s="22"/>
      <c r="R623" s="0" t="s">
        <v>2242</v>
      </c>
      <c r="S623" s="0" t="s">
        <v>537</v>
      </c>
      <c r="U623" s="24" t="n">
        <v>1</v>
      </c>
    </row>
    <row r="624" customFormat="false" ht="12.75" hidden="false" customHeight="false" outlineLevel="0" collapsed="false">
      <c r="A624" s="15" t="s">
        <v>2243</v>
      </c>
      <c r="B624" s="15" t="s">
        <v>1103</v>
      </c>
      <c r="C624" s="15" t="s">
        <v>1261</v>
      </c>
      <c r="D624" s="15" t="s">
        <v>2244</v>
      </c>
      <c r="E624" s="15" t="s">
        <v>55</v>
      </c>
      <c r="G624" s="10" t="n">
        <v>3</v>
      </c>
      <c r="H624" s="21" t="n">
        <v>45982.5765972222</v>
      </c>
      <c r="I624" s="15" t="s">
        <v>2245</v>
      </c>
      <c r="J624" s="15" t="s">
        <v>2246</v>
      </c>
      <c r="K624" s="15" t="s">
        <v>2247</v>
      </c>
      <c r="L624" s="10" t="n">
        <f aca="false">COUNTIF($E$2:E624,E624)</f>
        <v>58</v>
      </c>
      <c r="M624" s="10" t="e">
        <f aca="false">ifs(L624=1, L624&amp;"-"&amp; COUNTIFS($L$2:L624,1))</f>
        <v>#NAME?</v>
      </c>
      <c r="O624" s="10"/>
      <c r="P624" s="22" t="n">
        <f aca="false">COUNTIFS(C:C,C624,N:N,"Đã xác nhận")/COUNTIFS(C:C,C624)</f>
        <v>0.0526315789473684</v>
      </c>
      <c r="Q624" s="22"/>
      <c r="R624" s="0" t="s">
        <v>2248</v>
      </c>
      <c r="S624" s="0" t="s">
        <v>539</v>
      </c>
      <c r="U624" s="24" t="n">
        <v>3</v>
      </c>
    </row>
    <row r="625" customFormat="false" ht="12.75" hidden="false" customHeight="false" outlineLevel="0" collapsed="false">
      <c r="A625" s="15" t="s">
        <v>2249</v>
      </c>
      <c r="B625" s="15" t="s">
        <v>1103</v>
      </c>
      <c r="C625" s="15" t="s">
        <v>1261</v>
      </c>
      <c r="D625" s="15" t="s">
        <v>2250</v>
      </c>
      <c r="E625" s="15" t="s">
        <v>81</v>
      </c>
      <c r="G625" s="10" t="n">
        <v>1</v>
      </c>
      <c r="H625" s="21" t="n">
        <v>45967.3925925926</v>
      </c>
      <c r="I625" s="15" t="s">
        <v>2251</v>
      </c>
      <c r="J625" s="15" t="s">
        <v>2252</v>
      </c>
      <c r="K625" s="15" t="s">
        <v>2253</v>
      </c>
      <c r="L625" s="10" t="n">
        <f aca="false">COUNTIF($E$2:E625,E625)</f>
        <v>159</v>
      </c>
      <c r="M625" s="10" t="e">
        <f aca="false">ifs(L625=1, L625&amp;"-"&amp; COUNTIFS($L$2:L625,1))</f>
        <v>#NAME?</v>
      </c>
      <c r="O625" s="10"/>
      <c r="P625" s="22" t="n">
        <f aca="false">COUNTIFS(C:C,C625,N:N,"Đã xác nhận")/COUNTIFS(C:C,C625)</f>
        <v>0.0526315789473684</v>
      </c>
      <c r="Q625" s="22"/>
      <c r="R625" s="0" t="s">
        <v>2254</v>
      </c>
      <c r="S625" s="0" t="s">
        <v>534</v>
      </c>
      <c r="U625" s="24" t="n">
        <v>1</v>
      </c>
    </row>
    <row r="626" customFormat="false" ht="12.75" hidden="false" customHeight="false" outlineLevel="0" collapsed="false">
      <c r="A626" s="15" t="s">
        <v>2255</v>
      </c>
      <c r="B626" s="15" t="s">
        <v>1103</v>
      </c>
      <c r="C626" s="15" t="s">
        <v>1261</v>
      </c>
      <c r="D626" s="15" t="s">
        <v>2256</v>
      </c>
      <c r="E626" s="15" t="s">
        <v>81</v>
      </c>
      <c r="G626" s="10" t="n">
        <v>2</v>
      </c>
      <c r="H626" s="21" t="n">
        <v>45967.3950810185</v>
      </c>
      <c r="I626" s="15" t="s">
        <v>2257</v>
      </c>
      <c r="J626" s="15" t="s">
        <v>2258</v>
      </c>
      <c r="K626" s="15" t="s">
        <v>2259</v>
      </c>
      <c r="L626" s="10" t="n">
        <f aca="false">COUNTIF($E$2:E626,E626)</f>
        <v>160</v>
      </c>
      <c r="M626" s="10" t="e">
        <f aca="false">ifs(L626=1, L626&amp;"-"&amp; COUNTIFS($L$2:L626,1))</f>
        <v>#NAME?</v>
      </c>
      <c r="O626" s="10"/>
      <c r="P626" s="22" t="n">
        <f aca="false">COUNTIFS(C:C,C626,N:N,"Đã xác nhận")/COUNTIFS(C:C,C626)</f>
        <v>0.0526315789473684</v>
      </c>
      <c r="Q626" s="22"/>
      <c r="R626" s="0" t="s">
        <v>2260</v>
      </c>
      <c r="S626" s="0" t="s">
        <v>534</v>
      </c>
      <c r="U626" s="24" t="n">
        <v>2</v>
      </c>
    </row>
    <row r="627" customFormat="false" ht="12.75" hidden="false" customHeight="false" outlineLevel="0" collapsed="false">
      <c r="A627" s="15" t="s">
        <v>2261</v>
      </c>
      <c r="B627" s="15" t="s">
        <v>1103</v>
      </c>
      <c r="C627" s="15" t="s">
        <v>1261</v>
      </c>
      <c r="D627" s="15" t="s">
        <v>2262</v>
      </c>
      <c r="E627" s="15" t="s">
        <v>39</v>
      </c>
      <c r="G627" s="10" t="n">
        <v>1</v>
      </c>
      <c r="H627" s="21" t="n">
        <v>45960.6133912037</v>
      </c>
      <c r="I627" s="15" t="s">
        <v>1566</v>
      </c>
      <c r="J627" s="15" t="s">
        <v>2263</v>
      </c>
      <c r="K627" s="15" t="s">
        <v>2264</v>
      </c>
      <c r="L627" s="10" t="n">
        <f aca="false">COUNTIF($E$2:E627,E627)</f>
        <v>14</v>
      </c>
      <c r="M627" s="10" t="e">
        <f aca="false">ifs(L627=1, L627&amp;"-"&amp; COUNTIFS($L$2:L627,1))</f>
        <v>#NAME?</v>
      </c>
      <c r="O627" s="10"/>
      <c r="P627" s="22" t="n">
        <f aca="false">COUNTIFS(C:C,C627,N:N,"Đã xác nhận")/COUNTIFS(C:C,C627)</f>
        <v>0.0526315789473684</v>
      </c>
      <c r="Q627" s="22"/>
      <c r="R627" s="0" t="s">
        <v>2265</v>
      </c>
      <c r="S627" s="0" t="s">
        <v>550</v>
      </c>
      <c r="U627" s="24" t="n">
        <v>1</v>
      </c>
    </row>
    <row r="628" customFormat="false" ht="12.75" hidden="false" customHeight="false" outlineLevel="0" collapsed="false">
      <c r="A628" s="15" t="s">
        <v>2266</v>
      </c>
      <c r="B628" s="15" t="s">
        <v>1103</v>
      </c>
      <c r="C628" s="15" t="s">
        <v>1261</v>
      </c>
      <c r="D628" s="15" t="s">
        <v>2262</v>
      </c>
      <c r="E628" s="15" t="s">
        <v>81</v>
      </c>
      <c r="G628" s="10" t="n">
        <v>1</v>
      </c>
      <c r="H628" s="21" t="n">
        <v>45966.2945023148</v>
      </c>
      <c r="I628" s="15" t="s">
        <v>2267</v>
      </c>
      <c r="J628" s="15" t="s">
        <v>2268</v>
      </c>
      <c r="K628" s="15" t="s">
        <v>2269</v>
      </c>
      <c r="L628" s="10" t="n">
        <f aca="false">COUNTIF($E$2:E628,E628)</f>
        <v>161</v>
      </c>
      <c r="M628" s="10" t="e">
        <f aca="false">ifs(L628=1, L628&amp;"-"&amp; COUNTIFS($L$2:L628,1))</f>
        <v>#NAME?</v>
      </c>
      <c r="O628" s="10"/>
      <c r="P628" s="22" t="n">
        <f aca="false">COUNTIFS(C:C,C628,N:N,"Đã xác nhận")/COUNTIFS(C:C,C628)</f>
        <v>0.0526315789473684</v>
      </c>
      <c r="Q628" s="22"/>
      <c r="R628" s="0" t="s">
        <v>2265</v>
      </c>
      <c r="S628" s="0" t="s">
        <v>534</v>
      </c>
      <c r="U628" s="24" t="n">
        <v>1</v>
      </c>
    </row>
    <row r="629" customFormat="false" ht="12.75" hidden="false" customHeight="false" outlineLevel="0" collapsed="false">
      <c r="A629" s="15" t="s">
        <v>2270</v>
      </c>
      <c r="B629" s="15" t="s">
        <v>1103</v>
      </c>
      <c r="C629" s="15" t="s">
        <v>1261</v>
      </c>
      <c r="D629" s="15" t="s">
        <v>2187</v>
      </c>
      <c r="E629" s="15" t="s">
        <v>127</v>
      </c>
      <c r="G629" s="10" t="n">
        <v>3</v>
      </c>
      <c r="H629" s="21" t="n">
        <v>45960.6233796296</v>
      </c>
      <c r="I629" s="15" t="s">
        <v>2271</v>
      </c>
      <c r="J629" s="15" t="s">
        <v>2272</v>
      </c>
      <c r="K629" s="15" t="s">
        <v>2273</v>
      </c>
      <c r="L629" s="10" t="n">
        <f aca="false">COUNTIF($E$2:E629,E629)</f>
        <v>2</v>
      </c>
      <c r="M629" s="10" t="e">
        <f aca="false">ifs(L629=1, L629&amp;"-"&amp; COUNTIFS($L$2:L629,1))</f>
        <v>#NAME?</v>
      </c>
      <c r="O629" s="10"/>
      <c r="P629" s="22" t="n">
        <f aca="false">COUNTIFS(C:C,C629,N:N,"Đã xác nhận")/COUNTIFS(C:C,C629)</f>
        <v>0.0526315789473684</v>
      </c>
      <c r="Q629" s="22"/>
      <c r="R629" s="0" t="s">
        <v>2190</v>
      </c>
      <c r="S629" s="0" t="s">
        <v>128</v>
      </c>
      <c r="U629" s="24" t="n">
        <v>3</v>
      </c>
    </row>
    <row r="630" customFormat="false" ht="12.75" hidden="false" customHeight="false" outlineLevel="0" collapsed="false">
      <c r="A630" s="15" t="s">
        <v>2274</v>
      </c>
      <c r="B630" s="15" t="s">
        <v>1103</v>
      </c>
      <c r="C630" s="15" t="s">
        <v>1261</v>
      </c>
      <c r="D630" s="15" t="s">
        <v>2222</v>
      </c>
      <c r="E630" s="15" t="s">
        <v>17</v>
      </c>
      <c r="G630" s="10" t="n">
        <v>1</v>
      </c>
      <c r="H630" s="21" t="n">
        <v>45967.6805092593</v>
      </c>
      <c r="I630" s="15" t="s">
        <v>2275</v>
      </c>
      <c r="J630" s="15" t="s">
        <v>2276</v>
      </c>
      <c r="K630" s="15" t="s">
        <v>2277</v>
      </c>
      <c r="L630" s="10" t="n">
        <f aca="false">COUNTIF($E$2:E630,E630)</f>
        <v>5</v>
      </c>
      <c r="M630" s="10" t="e">
        <f aca="false">ifs(L630=1, L630&amp;"-"&amp; COUNTIFS($L$2:L630,1))</f>
        <v>#NAME?</v>
      </c>
      <c r="O630" s="10"/>
      <c r="P630" s="22" t="n">
        <f aca="false">COUNTIFS(C:C,C630,N:N,"Đã xác nhận")/COUNTIFS(C:C,C630)</f>
        <v>0.0526315789473684</v>
      </c>
      <c r="Q630" s="22"/>
      <c r="R630" s="0" t="s">
        <v>2226</v>
      </c>
      <c r="S630" s="0" t="s">
        <v>554</v>
      </c>
      <c r="U630" s="24" t="n">
        <v>1</v>
      </c>
    </row>
    <row r="631" customFormat="false" ht="12.75" hidden="false" customHeight="false" outlineLevel="0" collapsed="false">
      <c r="A631" s="15" t="s">
        <v>2278</v>
      </c>
      <c r="B631" s="15" t="s">
        <v>1103</v>
      </c>
      <c r="C631" s="15" t="s">
        <v>1261</v>
      </c>
      <c r="D631" s="15" t="s">
        <v>2279</v>
      </c>
      <c r="E631" s="15" t="s">
        <v>81</v>
      </c>
      <c r="G631" s="10" t="n">
        <v>1</v>
      </c>
      <c r="H631" s="21" t="n">
        <v>45967.3950694444</v>
      </c>
      <c r="I631" s="15" t="s">
        <v>2280</v>
      </c>
      <c r="J631" s="15" t="s">
        <v>2281</v>
      </c>
      <c r="K631" s="15" t="s">
        <v>2282</v>
      </c>
      <c r="L631" s="10" t="n">
        <f aca="false">COUNTIF($E$2:E631,E631)</f>
        <v>162</v>
      </c>
      <c r="M631" s="10" t="e">
        <f aca="false">ifs(L631=1, L631&amp;"-"&amp; COUNTIFS($L$2:L631,1))</f>
        <v>#NAME?</v>
      </c>
      <c r="O631" s="10"/>
      <c r="P631" s="22" t="n">
        <f aca="false">COUNTIFS(C:C,C631,N:N,"Đã xác nhận")/COUNTIFS(C:C,C631)</f>
        <v>0.0526315789473684</v>
      </c>
      <c r="Q631" s="22"/>
      <c r="R631" s="0" t="s">
        <v>2283</v>
      </c>
      <c r="S631" s="0" t="s">
        <v>534</v>
      </c>
      <c r="U631" s="24" t="n">
        <v>1</v>
      </c>
    </row>
    <row r="632" customFormat="false" ht="12.75" hidden="false" customHeight="false" outlineLevel="0" collapsed="false">
      <c r="A632" s="15" t="s">
        <v>2284</v>
      </c>
      <c r="B632" s="15" t="s">
        <v>1103</v>
      </c>
      <c r="C632" s="15" t="s">
        <v>1261</v>
      </c>
      <c r="D632" s="15" t="s">
        <v>2285</v>
      </c>
      <c r="E632" s="15" t="s">
        <v>63</v>
      </c>
      <c r="G632" s="10" t="n">
        <v>1</v>
      </c>
      <c r="H632" s="21" t="n">
        <v>45960.617337963</v>
      </c>
      <c r="I632" s="15" t="s">
        <v>1566</v>
      </c>
      <c r="J632" s="15" t="s">
        <v>2286</v>
      </c>
      <c r="K632" s="15" t="s">
        <v>2287</v>
      </c>
      <c r="L632" s="10" t="n">
        <f aca="false">COUNTIF($E$2:E632,E632)</f>
        <v>14</v>
      </c>
      <c r="M632" s="10" t="e">
        <f aca="false">ifs(L632=1, L632&amp;"-"&amp; COUNTIFS($L$2:L632,1))</f>
        <v>#NAME?</v>
      </c>
      <c r="O632" s="10"/>
      <c r="P632" s="22" t="n">
        <f aca="false">COUNTIFS(C:C,C632,N:N,"Đã xác nhận")/COUNTIFS(C:C,C632)</f>
        <v>0.0526315789473684</v>
      </c>
      <c r="Q632" s="22"/>
      <c r="R632" s="0" t="s">
        <v>2288</v>
      </c>
      <c r="S632" s="0" t="s">
        <v>551</v>
      </c>
      <c r="U632" s="24" t="n">
        <v>1</v>
      </c>
    </row>
    <row r="633" customFormat="false" ht="12.75" hidden="false" customHeight="false" outlineLevel="0" collapsed="false">
      <c r="A633" s="15" t="s">
        <v>2289</v>
      </c>
      <c r="B633" s="15" t="s">
        <v>1103</v>
      </c>
      <c r="C633" s="15" t="s">
        <v>1261</v>
      </c>
      <c r="D633" s="15" t="s">
        <v>1196</v>
      </c>
      <c r="E633" s="15" t="s">
        <v>81</v>
      </c>
      <c r="G633" s="10" t="n">
        <v>1</v>
      </c>
      <c r="H633" s="21" t="n">
        <v>45967.3947453704</v>
      </c>
      <c r="I633" s="15" t="s">
        <v>2290</v>
      </c>
      <c r="J633" s="15" t="s">
        <v>2291</v>
      </c>
      <c r="K633" s="15" t="s">
        <v>2292</v>
      </c>
      <c r="L633" s="10" t="n">
        <f aca="false">COUNTIF($E$2:E633,E633)</f>
        <v>163</v>
      </c>
      <c r="M633" s="10" t="e">
        <f aca="false">ifs(L633=1, L633&amp;"-"&amp; COUNTIFS($L$2:L633,1))</f>
        <v>#NAME?</v>
      </c>
      <c r="O633" s="10"/>
      <c r="P633" s="22" t="n">
        <f aca="false">COUNTIFS(C:C,C633,N:N,"Đã xác nhận")/COUNTIFS(C:C,C633)</f>
        <v>0.0526315789473684</v>
      </c>
      <c r="Q633" s="22"/>
      <c r="R633" s="0" t="s">
        <v>1200</v>
      </c>
      <c r="S633" s="0" t="s">
        <v>534</v>
      </c>
      <c r="U633" s="24" t="n">
        <v>1</v>
      </c>
    </row>
    <row r="634" customFormat="false" ht="12.75" hidden="false" customHeight="false" outlineLevel="0" collapsed="false">
      <c r="A634" s="15" t="s">
        <v>2293</v>
      </c>
      <c r="B634" s="15" t="s">
        <v>1103</v>
      </c>
      <c r="C634" s="15" t="s">
        <v>1261</v>
      </c>
      <c r="D634" s="15" t="s">
        <v>1128</v>
      </c>
      <c r="E634" s="15" t="s">
        <v>55</v>
      </c>
      <c r="G634" s="10" t="n">
        <v>1</v>
      </c>
      <c r="H634" s="21" t="n">
        <v>45960.6186226852</v>
      </c>
      <c r="I634" s="15" t="s">
        <v>1566</v>
      </c>
      <c r="J634" s="15" t="s">
        <v>2294</v>
      </c>
      <c r="K634" s="15" t="s">
        <v>2295</v>
      </c>
      <c r="L634" s="10" t="n">
        <f aca="false">COUNTIF($E$2:E634,E634)</f>
        <v>59</v>
      </c>
      <c r="M634" s="10" t="e">
        <f aca="false">ifs(L634=1, L634&amp;"-"&amp; COUNTIFS($L$2:L634,1))</f>
        <v>#NAME?</v>
      </c>
      <c r="O634" s="10"/>
      <c r="P634" s="22" t="n">
        <f aca="false">COUNTIFS(C:C,C634,N:N,"Đã xác nhận")/COUNTIFS(C:C,C634)</f>
        <v>0.0526315789473684</v>
      </c>
      <c r="Q634" s="22"/>
      <c r="R634" s="0" t="s">
        <v>1130</v>
      </c>
      <c r="S634" s="0" t="s">
        <v>539</v>
      </c>
      <c r="U634" s="24" t="n">
        <v>1</v>
      </c>
    </row>
    <row r="635" customFormat="false" ht="12.75" hidden="false" customHeight="false" outlineLevel="0" collapsed="false">
      <c r="A635" s="15" t="s">
        <v>2296</v>
      </c>
      <c r="B635" s="15" t="s">
        <v>1103</v>
      </c>
      <c r="C635" s="15" t="s">
        <v>1261</v>
      </c>
      <c r="D635" s="15" t="s">
        <v>1120</v>
      </c>
      <c r="E635" s="15" t="s">
        <v>55</v>
      </c>
      <c r="G635" s="10" t="n">
        <v>1</v>
      </c>
      <c r="H635" s="21" t="n">
        <v>45960.6189583333</v>
      </c>
      <c r="I635" s="15" t="s">
        <v>1566</v>
      </c>
      <c r="J635" s="15" t="s">
        <v>2297</v>
      </c>
      <c r="K635" s="15" t="s">
        <v>2298</v>
      </c>
      <c r="L635" s="10" t="n">
        <f aca="false">COUNTIF($E$2:E635,E635)</f>
        <v>60</v>
      </c>
      <c r="M635" s="10" t="e">
        <f aca="false">ifs(L635=1, L635&amp;"-"&amp; COUNTIFS($L$2:L635,1))</f>
        <v>#NAME?</v>
      </c>
      <c r="O635" s="10"/>
      <c r="P635" s="22" t="n">
        <f aca="false">COUNTIFS(C:C,C635,N:N,"Đã xác nhận")/COUNTIFS(C:C,C635)</f>
        <v>0.0526315789473684</v>
      </c>
      <c r="Q635" s="22"/>
      <c r="R635" s="0" t="s">
        <v>1122</v>
      </c>
      <c r="S635" s="0" t="s">
        <v>539</v>
      </c>
      <c r="U635" s="24" t="n">
        <v>1</v>
      </c>
    </row>
    <row r="636" customFormat="false" ht="12.75" hidden="false" customHeight="false" outlineLevel="0" collapsed="false">
      <c r="A636" s="15" t="s">
        <v>2299</v>
      </c>
      <c r="B636" s="15" t="s">
        <v>1103</v>
      </c>
      <c r="C636" s="15" t="s">
        <v>1261</v>
      </c>
      <c r="D636" s="15" t="s">
        <v>1150</v>
      </c>
      <c r="E636" s="15" t="s">
        <v>47</v>
      </c>
      <c r="G636" s="10" t="n">
        <v>1</v>
      </c>
      <c r="H636" s="21" t="n">
        <v>45967.6745023148</v>
      </c>
      <c r="I636" s="15" t="s">
        <v>2300</v>
      </c>
      <c r="J636" s="15" t="s">
        <v>2301</v>
      </c>
      <c r="K636" s="15" t="s">
        <v>2302</v>
      </c>
      <c r="L636" s="10" t="n">
        <f aca="false">COUNTIF($E$2:E636,E636)</f>
        <v>43</v>
      </c>
      <c r="M636" s="10" t="e">
        <f aca="false">ifs(L636=1, L636&amp;"-"&amp; COUNTIFS($L$2:L636,1))</f>
        <v>#NAME?</v>
      </c>
      <c r="O636" s="10"/>
      <c r="P636" s="22" t="n">
        <f aca="false">COUNTIFS(C:C,C636,N:N,"Đã xác nhận")/COUNTIFS(C:C,C636)</f>
        <v>0.0526315789473684</v>
      </c>
      <c r="Q636" s="22"/>
      <c r="R636" s="0" t="s">
        <v>1152</v>
      </c>
      <c r="S636" s="0" t="s">
        <v>549</v>
      </c>
      <c r="U636" s="24" t="n">
        <v>1</v>
      </c>
    </row>
    <row r="637" customFormat="false" ht="12.75" hidden="false" customHeight="false" outlineLevel="0" collapsed="false">
      <c r="A637" s="15" t="s">
        <v>2303</v>
      </c>
      <c r="B637" s="15" t="s">
        <v>2304</v>
      </c>
      <c r="C637" s="15" t="s">
        <v>515</v>
      </c>
      <c r="D637" s="15" t="s">
        <v>2305</v>
      </c>
      <c r="E637" s="15" t="s">
        <v>69</v>
      </c>
      <c r="G637" s="10" t="n">
        <v>1</v>
      </c>
      <c r="H637" s="21" t="n">
        <v>46078.6903356482</v>
      </c>
      <c r="I637" s="15" t="s">
        <v>2306</v>
      </c>
      <c r="J637" s="15" t="s">
        <v>2306</v>
      </c>
      <c r="K637" s="15"/>
      <c r="L637" s="10" t="n">
        <f aca="false">COUNTIF($E$2:E637,E637)</f>
        <v>54</v>
      </c>
      <c r="M637" s="10" t="e">
        <f aca="false">ifs(L637=1, L637&amp;"-"&amp; COUNTIFS($L$2:L637,1))</f>
        <v>#NAME?</v>
      </c>
      <c r="N637" s="15" t="s">
        <v>603</v>
      </c>
      <c r="O637" s="10"/>
      <c r="P637" s="22" t="n">
        <f aca="false">COUNTIFS(C:C,C637,N:N,"Đã xác nhận")/COUNTIFS(C:C,C637)</f>
        <v>1</v>
      </c>
      <c r="Q637" s="22"/>
      <c r="R637" s="0" t="s">
        <v>2307</v>
      </c>
      <c r="S637" s="0" t="s">
        <v>535</v>
      </c>
      <c r="U637" s="24" t="n">
        <v>1</v>
      </c>
    </row>
    <row r="638" customFormat="false" ht="12.75" hidden="false" customHeight="false" outlineLevel="0" collapsed="false">
      <c r="A638" s="15" t="s">
        <v>2308</v>
      </c>
      <c r="B638" s="15" t="s">
        <v>2304</v>
      </c>
      <c r="C638" s="15" t="s">
        <v>515</v>
      </c>
      <c r="D638" s="15" t="s">
        <v>2305</v>
      </c>
      <c r="E638" s="15" t="s">
        <v>33</v>
      </c>
      <c r="G638" s="10" t="n">
        <v>1</v>
      </c>
      <c r="H638" s="21" t="n">
        <v>46078.6901967593</v>
      </c>
      <c r="I638" s="15" t="s">
        <v>2309</v>
      </c>
      <c r="J638" s="15" t="s">
        <v>2309</v>
      </c>
      <c r="K638" s="15"/>
      <c r="L638" s="10" t="n">
        <f aca="false">COUNTIF($E$2:E638,E638)</f>
        <v>21</v>
      </c>
      <c r="M638" s="10" t="e">
        <f aca="false">ifs(L638=1, L638&amp;"-"&amp; COUNTIFS($L$2:L638,1))</f>
        <v>#NAME?</v>
      </c>
      <c r="N638" s="15" t="s">
        <v>603</v>
      </c>
      <c r="O638" s="10"/>
      <c r="P638" s="22" t="n">
        <f aca="false">COUNTIFS(C:C,C638,N:N,"Đã xác nhận")/COUNTIFS(C:C,C638)</f>
        <v>1</v>
      </c>
      <c r="Q638" s="22"/>
      <c r="R638" s="0" t="s">
        <v>2307</v>
      </c>
      <c r="S638" s="0" t="s">
        <v>536</v>
      </c>
      <c r="U638" s="24" t="n">
        <v>1</v>
      </c>
    </row>
    <row r="639" customFormat="false" ht="12.75" hidden="false" customHeight="false" outlineLevel="0" collapsed="false">
      <c r="A639" s="15" t="s">
        <v>2310</v>
      </c>
      <c r="B639" s="15" t="s">
        <v>2304</v>
      </c>
      <c r="C639" s="15" t="s">
        <v>515</v>
      </c>
      <c r="D639" s="15" t="s">
        <v>2311</v>
      </c>
      <c r="E639" s="15" t="s">
        <v>55</v>
      </c>
      <c r="G639" s="10" t="n">
        <v>1</v>
      </c>
      <c r="H639" s="21" t="n">
        <v>46078.6903125</v>
      </c>
      <c r="I639" s="15" t="s">
        <v>2312</v>
      </c>
      <c r="J639" s="15" t="s">
        <v>2312</v>
      </c>
      <c r="K639" s="15"/>
      <c r="L639" s="10" t="n">
        <f aca="false">COUNTIF($E$2:E639,E639)</f>
        <v>61</v>
      </c>
      <c r="M639" s="10" t="e">
        <f aca="false">ifs(L639=1, L639&amp;"-"&amp; COUNTIFS($L$2:L639,1))</f>
        <v>#NAME?</v>
      </c>
      <c r="N639" s="15" t="s">
        <v>603</v>
      </c>
      <c r="O639" s="10"/>
      <c r="P639" s="22" t="n">
        <f aca="false">COUNTIFS(C:C,C639,N:N,"Đã xác nhận")/COUNTIFS(C:C,C639)</f>
        <v>1</v>
      </c>
      <c r="Q639" s="22"/>
      <c r="R639" s="0" t="s">
        <v>2313</v>
      </c>
      <c r="S639" s="0" t="s">
        <v>539</v>
      </c>
      <c r="U639" s="24" t="n">
        <v>1</v>
      </c>
    </row>
    <row r="640" customFormat="false" ht="12.75" hidden="false" customHeight="false" outlineLevel="0" collapsed="false">
      <c r="A640" s="15" t="s">
        <v>2314</v>
      </c>
      <c r="B640" s="15" t="s">
        <v>2304</v>
      </c>
      <c r="C640" s="15" t="s">
        <v>515</v>
      </c>
      <c r="D640" s="15" t="s">
        <v>2315</v>
      </c>
      <c r="E640" s="15" t="s">
        <v>27</v>
      </c>
      <c r="G640" s="10" t="n">
        <v>1</v>
      </c>
      <c r="H640" s="21" t="n">
        <v>46078.6901736111</v>
      </c>
      <c r="I640" s="15" t="s">
        <v>2316</v>
      </c>
      <c r="J640" s="15" t="s">
        <v>2316</v>
      </c>
      <c r="K640" s="15"/>
      <c r="L640" s="10" t="n">
        <f aca="false">COUNTIF($E$2:E640,E640)</f>
        <v>1</v>
      </c>
      <c r="M640" s="10" t="e">
        <f aca="false">ifs(L640=1, L640&amp;"-"&amp; COUNTIFS($L$2:L640,1))</f>
        <v>#NAME?</v>
      </c>
      <c r="N640" s="15" t="s">
        <v>603</v>
      </c>
      <c r="O640" s="10"/>
      <c r="P640" s="22" t="n">
        <f aca="false">COUNTIFS(C:C,C640,N:N,"Đã xác nhận")/COUNTIFS(C:C,C640)</f>
        <v>1</v>
      </c>
      <c r="Q640" s="22"/>
      <c r="R640" s="0" t="s">
        <v>2317</v>
      </c>
      <c r="S640" s="0" t="s">
        <v>577</v>
      </c>
      <c r="U640" s="24" t="n">
        <v>1</v>
      </c>
    </row>
    <row r="641" customFormat="false" ht="12.75" hidden="false" customHeight="false" outlineLevel="0" collapsed="false">
      <c r="A641" s="15" t="s">
        <v>2318</v>
      </c>
      <c r="B641" s="15" t="s">
        <v>2304</v>
      </c>
      <c r="C641" s="15" t="s">
        <v>515</v>
      </c>
      <c r="D641" s="15" t="s">
        <v>2315</v>
      </c>
      <c r="E641" s="15" t="s">
        <v>51</v>
      </c>
      <c r="G641" s="10" t="n">
        <v>1</v>
      </c>
      <c r="H641" s="21" t="n">
        <v>46078.6902662037</v>
      </c>
      <c r="I641" s="15" t="s">
        <v>2319</v>
      </c>
      <c r="J641" s="15" t="s">
        <v>2319</v>
      </c>
      <c r="K641" s="15"/>
      <c r="L641" s="10" t="n">
        <f aca="false">COUNTIF($E$2:E641,E641)</f>
        <v>1</v>
      </c>
      <c r="M641" s="10" t="e">
        <f aca="false">ifs(L641=1, L641&amp;"-"&amp; COUNTIFS($L$2:L641,1))</f>
        <v>#NAME?</v>
      </c>
      <c r="N641" s="15" t="s">
        <v>603</v>
      </c>
      <c r="O641" s="10"/>
      <c r="P641" s="22" t="n">
        <f aca="false">COUNTIFS(C:C,C641,N:N,"Đã xác nhận")/COUNTIFS(C:C,C641)</f>
        <v>1</v>
      </c>
      <c r="Q641" s="22"/>
      <c r="R641" s="0" t="s">
        <v>2317</v>
      </c>
      <c r="S641" s="0" t="s">
        <v>573</v>
      </c>
      <c r="U641" s="24" t="n">
        <v>1</v>
      </c>
    </row>
    <row r="642" customFormat="false" ht="12.75" hidden="false" customHeight="false" outlineLevel="0" collapsed="false">
      <c r="A642" s="15" t="s">
        <v>2320</v>
      </c>
      <c r="B642" s="15" t="s">
        <v>2304</v>
      </c>
      <c r="C642" s="15" t="s">
        <v>515</v>
      </c>
      <c r="D642" s="15" t="s">
        <v>2321</v>
      </c>
      <c r="E642" s="15" t="s">
        <v>37</v>
      </c>
      <c r="G642" s="10" t="n">
        <v>1</v>
      </c>
      <c r="H642" s="21" t="n">
        <v>46078.6902430556</v>
      </c>
      <c r="I642" s="15" t="s">
        <v>2322</v>
      </c>
      <c r="J642" s="15" t="s">
        <v>2322</v>
      </c>
      <c r="K642" s="15"/>
      <c r="L642" s="10" t="n">
        <f aca="false">COUNTIF($E$2:E642,E642)</f>
        <v>14</v>
      </c>
      <c r="M642" s="10" t="e">
        <f aca="false">ifs(L642=1, L642&amp;"-"&amp; COUNTIFS($L$2:L642,1))</f>
        <v>#NAME?</v>
      </c>
      <c r="N642" s="15" t="s">
        <v>603</v>
      </c>
      <c r="O642" s="10"/>
      <c r="P642" s="22" t="n">
        <f aca="false">COUNTIFS(C:C,C642,N:N,"Đã xác nhận")/COUNTIFS(C:C,C642)</f>
        <v>1</v>
      </c>
      <c r="Q642" s="22"/>
      <c r="R642" s="0" t="s">
        <v>2323</v>
      </c>
      <c r="S642" s="0" t="s">
        <v>561</v>
      </c>
      <c r="U642" s="24" t="n">
        <v>1</v>
      </c>
    </row>
    <row r="643" customFormat="false" ht="12.75" hidden="false" customHeight="false" outlineLevel="0" collapsed="false">
      <c r="A643" s="15" t="s">
        <v>2324</v>
      </c>
      <c r="B643" s="15" t="s">
        <v>2304</v>
      </c>
      <c r="C643" s="15" t="s">
        <v>515</v>
      </c>
      <c r="D643" s="15" t="s">
        <v>2325</v>
      </c>
      <c r="E643" s="15" t="s">
        <v>55</v>
      </c>
      <c r="G643" s="10" t="n">
        <v>1</v>
      </c>
      <c r="H643" s="21" t="n">
        <v>46078.6902893519</v>
      </c>
      <c r="I643" s="15" t="s">
        <v>2326</v>
      </c>
      <c r="J643" s="15" t="s">
        <v>2326</v>
      </c>
      <c r="K643" s="15"/>
      <c r="L643" s="10" t="n">
        <f aca="false">COUNTIF($E$2:E643,E643)</f>
        <v>62</v>
      </c>
      <c r="M643" s="10" t="e">
        <f aca="false">ifs(L643=1, L643&amp;"-"&amp; COUNTIFS($L$2:L643,1))</f>
        <v>#NAME?</v>
      </c>
      <c r="N643" s="15" t="s">
        <v>603</v>
      </c>
      <c r="O643" s="10"/>
      <c r="P643" s="22" t="n">
        <f aca="false">COUNTIFS(C:C,C643,N:N,"Đã xác nhận")/COUNTIFS(C:C,C643)</f>
        <v>1</v>
      </c>
      <c r="Q643" s="22"/>
      <c r="R643" s="0" t="s">
        <v>2327</v>
      </c>
      <c r="S643" s="0" t="s">
        <v>539</v>
      </c>
      <c r="U643" s="24" t="n">
        <v>1</v>
      </c>
    </row>
    <row r="644" customFormat="false" ht="12.75" hidden="false" customHeight="false" outlineLevel="0" collapsed="false">
      <c r="A644" s="15" t="s">
        <v>2328</v>
      </c>
      <c r="B644" s="15" t="s">
        <v>2304</v>
      </c>
      <c r="C644" s="15" t="s">
        <v>515</v>
      </c>
      <c r="D644" s="15" t="s">
        <v>2329</v>
      </c>
      <c r="E644" s="15" t="s">
        <v>81</v>
      </c>
      <c r="G644" s="10" t="n">
        <v>1</v>
      </c>
      <c r="H644" s="21" t="n">
        <v>46078.6903819444</v>
      </c>
      <c r="I644" s="15" t="s">
        <v>2330</v>
      </c>
      <c r="J644" s="15" t="s">
        <v>2330</v>
      </c>
      <c r="K644" s="15"/>
      <c r="L644" s="10" t="n">
        <f aca="false">COUNTIF($E$2:E644,E644)</f>
        <v>164</v>
      </c>
      <c r="M644" s="10" t="e">
        <f aca="false">ifs(L644=1, L644&amp;"-"&amp; COUNTIFS($L$2:L644,1))</f>
        <v>#NAME?</v>
      </c>
      <c r="N644" s="15" t="s">
        <v>603</v>
      </c>
      <c r="O644" s="10"/>
      <c r="P644" s="22" t="n">
        <f aca="false">COUNTIFS(C:C,C644,N:N,"Đã xác nhận")/COUNTIFS(C:C,C644)</f>
        <v>1</v>
      </c>
      <c r="Q644" s="22"/>
      <c r="R644" s="0" t="s">
        <v>2331</v>
      </c>
      <c r="S644" s="0" t="s">
        <v>534</v>
      </c>
      <c r="U644" s="24" t="n">
        <v>1</v>
      </c>
    </row>
    <row r="645" customFormat="false" ht="12.75" hidden="false" customHeight="false" outlineLevel="0" collapsed="false">
      <c r="A645" s="15" t="s">
        <v>2332</v>
      </c>
      <c r="B645" s="15" t="s">
        <v>2304</v>
      </c>
      <c r="C645" s="15" t="s">
        <v>515</v>
      </c>
      <c r="D645" s="15" t="s">
        <v>2333</v>
      </c>
      <c r="E645" s="15" t="s">
        <v>69</v>
      </c>
      <c r="G645" s="10" t="n">
        <v>1</v>
      </c>
      <c r="H645" s="21" t="n">
        <v>46078.6903587963</v>
      </c>
      <c r="I645" s="15" t="s">
        <v>2334</v>
      </c>
      <c r="J645" s="15" t="s">
        <v>2334</v>
      </c>
      <c r="K645" s="15"/>
      <c r="L645" s="10" t="n">
        <f aca="false">COUNTIF($E$2:E645,E645)</f>
        <v>55</v>
      </c>
      <c r="M645" s="10" t="e">
        <f aca="false">ifs(L645=1, L645&amp;"-"&amp; COUNTIFS($L$2:L645,1))</f>
        <v>#NAME?</v>
      </c>
      <c r="N645" s="15" t="s">
        <v>603</v>
      </c>
      <c r="O645" s="10"/>
      <c r="P645" s="22" t="n">
        <f aca="false">COUNTIFS(C:C,C645,N:N,"Đã xác nhận")/COUNTIFS(C:C,C645)</f>
        <v>1</v>
      </c>
      <c r="Q645" s="22"/>
      <c r="R645" s="0" t="s">
        <v>2333</v>
      </c>
      <c r="S645" s="0" t="s">
        <v>535</v>
      </c>
      <c r="U645" s="24" t="n">
        <v>1</v>
      </c>
    </row>
    <row r="646" customFormat="false" ht="12.75" hidden="false" customHeight="false" outlineLevel="0" collapsed="false">
      <c r="A646" s="15" t="s">
        <v>2335</v>
      </c>
      <c r="B646" s="15" t="s">
        <v>2304</v>
      </c>
      <c r="C646" s="15" t="s">
        <v>515</v>
      </c>
      <c r="D646" s="15" t="s">
        <v>2333</v>
      </c>
      <c r="E646" s="15" t="s">
        <v>33</v>
      </c>
      <c r="G646" s="10" t="n">
        <v>1</v>
      </c>
      <c r="H646" s="21" t="n">
        <v>46078.6902199074</v>
      </c>
      <c r="I646" s="15" t="s">
        <v>2336</v>
      </c>
      <c r="J646" s="15" t="s">
        <v>2336</v>
      </c>
      <c r="K646" s="15"/>
      <c r="L646" s="10" t="n">
        <f aca="false">COUNTIF($E$2:E646,E646)</f>
        <v>22</v>
      </c>
      <c r="M646" s="10" t="e">
        <f aca="false">ifs(L646=1, L646&amp;"-"&amp; COUNTIFS($L$2:L646,1))</f>
        <v>#NAME?</v>
      </c>
      <c r="N646" s="15" t="s">
        <v>603</v>
      </c>
      <c r="O646" s="10"/>
      <c r="P646" s="22" t="n">
        <f aca="false">COUNTIFS(C:C,C646,N:N,"Đã xác nhận")/COUNTIFS(C:C,C646)</f>
        <v>1</v>
      </c>
      <c r="Q646" s="22"/>
      <c r="R646" s="0" t="s">
        <v>2333</v>
      </c>
      <c r="S646" s="0" t="s">
        <v>536</v>
      </c>
      <c r="U646" s="24" t="n">
        <v>1</v>
      </c>
    </row>
    <row r="647" customFormat="false" ht="12.75" hidden="false" customHeight="false" outlineLevel="0" collapsed="false">
      <c r="A647" s="15" t="s">
        <v>2337</v>
      </c>
      <c r="B647" s="15" t="s">
        <v>2304</v>
      </c>
      <c r="C647" s="15" t="s">
        <v>515</v>
      </c>
      <c r="D647" s="15" t="s">
        <v>2338</v>
      </c>
      <c r="E647" s="15" t="s">
        <v>81</v>
      </c>
      <c r="G647" s="10" t="n">
        <v>1</v>
      </c>
      <c r="H647" s="21" t="n">
        <v>46078.6903935185</v>
      </c>
      <c r="I647" s="15" t="s">
        <v>2339</v>
      </c>
      <c r="J647" s="15" t="s">
        <v>2339</v>
      </c>
      <c r="K647" s="15"/>
      <c r="L647" s="10" t="n">
        <f aca="false">COUNTIF($E$2:E647,E647)</f>
        <v>165</v>
      </c>
      <c r="M647" s="10" t="e">
        <f aca="false">ifs(L647=1, L647&amp;"-"&amp; COUNTIFS($L$2:L647,1))</f>
        <v>#NAME?</v>
      </c>
      <c r="N647" s="15" t="s">
        <v>603</v>
      </c>
      <c r="O647" s="10"/>
      <c r="P647" s="22" t="n">
        <f aca="false">COUNTIFS(C:C,C647,N:N,"Đã xác nhận")/COUNTIFS(C:C,C647)</f>
        <v>1</v>
      </c>
      <c r="Q647" s="22"/>
      <c r="R647" s="0" t="s">
        <v>2340</v>
      </c>
      <c r="S647" s="0" t="s">
        <v>534</v>
      </c>
      <c r="U647" s="24" t="n">
        <v>1</v>
      </c>
    </row>
    <row r="648" customFormat="false" ht="12.75" hidden="false" customHeight="false" outlineLevel="0" collapsed="false">
      <c r="A648" s="15" t="s">
        <v>2341</v>
      </c>
      <c r="B648" s="15" t="s">
        <v>2304</v>
      </c>
      <c r="C648" s="15" t="s">
        <v>515</v>
      </c>
      <c r="D648" s="15" t="s">
        <v>971</v>
      </c>
      <c r="E648" s="15" t="s">
        <v>55</v>
      </c>
      <c r="G648" s="10" t="n">
        <v>1</v>
      </c>
      <c r="H648" s="21" t="n">
        <v>46078.6903009259</v>
      </c>
      <c r="I648" s="15" t="s">
        <v>2342</v>
      </c>
      <c r="J648" s="15" t="s">
        <v>2342</v>
      </c>
      <c r="K648" s="15"/>
      <c r="L648" s="10" t="n">
        <f aca="false">COUNTIF($E$2:E648,E648)</f>
        <v>63</v>
      </c>
      <c r="M648" s="10" t="e">
        <f aca="false">ifs(L648=1, L648&amp;"-"&amp; COUNTIFS($L$2:L648,1))</f>
        <v>#NAME?</v>
      </c>
      <c r="N648" s="15" t="s">
        <v>603</v>
      </c>
      <c r="O648" s="10"/>
      <c r="P648" s="22" t="n">
        <f aca="false">COUNTIFS(C:C,C648,N:N,"Đã xác nhận")/COUNTIFS(C:C,C648)</f>
        <v>1</v>
      </c>
      <c r="Q648" s="22"/>
      <c r="R648" s="0" t="s">
        <v>973</v>
      </c>
      <c r="S648" s="0" t="s">
        <v>539</v>
      </c>
      <c r="U648" s="24" t="n">
        <v>1</v>
      </c>
    </row>
    <row r="649" customFormat="false" ht="12.75" hidden="false" customHeight="false" outlineLevel="0" collapsed="false">
      <c r="A649" s="15" t="s">
        <v>2343</v>
      </c>
      <c r="B649" s="15" t="s">
        <v>2304</v>
      </c>
      <c r="C649" s="15" t="s">
        <v>515</v>
      </c>
      <c r="D649" s="15" t="s">
        <v>2208</v>
      </c>
      <c r="E649" s="15" t="s">
        <v>55</v>
      </c>
      <c r="G649" s="10" t="n">
        <v>1</v>
      </c>
      <c r="H649" s="21" t="n">
        <v>46078.6902893519</v>
      </c>
      <c r="I649" s="15" t="s">
        <v>2344</v>
      </c>
      <c r="J649" s="15" t="s">
        <v>2344</v>
      </c>
      <c r="K649" s="15"/>
      <c r="L649" s="10" t="n">
        <f aca="false">COUNTIF($E$2:E649,E649)</f>
        <v>64</v>
      </c>
      <c r="M649" s="10" t="e">
        <f aca="false">ifs(L649=1, L649&amp;"-"&amp; COUNTIFS($L$2:L649,1))</f>
        <v>#NAME?</v>
      </c>
      <c r="N649" s="15" t="s">
        <v>603</v>
      </c>
      <c r="O649" s="10"/>
      <c r="P649" s="22" t="n">
        <f aca="false">COUNTIFS(C:C,C649,N:N,"Đã xác nhận")/COUNTIFS(C:C,C649)</f>
        <v>1</v>
      </c>
      <c r="Q649" s="22"/>
      <c r="R649" s="0" t="s">
        <v>2211</v>
      </c>
      <c r="S649" s="0" t="s">
        <v>539</v>
      </c>
      <c r="U649" s="24" t="n">
        <v>1</v>
      </c>
    </row>
    <row r="650" customFormat="false" ht="12.75" hidden="false" customHeight="false" outlineLevel="0" collapsed="false">
      <c r="A650" s="15" t="s">
        <v>2345</v>
      </c>
      <c r="B650" s="15" t="s">
        <v>2304</v>
      </c>
      <c r="C650" s="15" t="s">
        <v>515</v>
      </c>
      <c r="D650" s="15" t="s">
        <v>2346</v>
      </c>
      <c r="E650" s="15" t="s">
        <v>69</v>
      </c>
      <c r="G650" s="10" t="n">
        <v>3</v>
      </c>
      <c r="H650" s="21" t="n">
        <v>46078.6903472222</v>
      </c>
      <c r="I650" s="15" t="s">
        <v>2347</v>
      </c>
      <c r="J650" s="15" t="s">
        <v>2347</v>
      </c>
      <c r="K650" s="15"/>
      <c r="L650" s="10" t="n">
        <f aca="false">COUNTIF($E$2:E650,E650)</f>
        <v>56</v>
      </c>
      <c r="M650" s="10" t="e">
        <f aca="false">ifs(L650=1, L650&amp;"-"&amp; COUNTIFS($L$2:L650,1))</f>
        <v>#NAME?</v>
      </c>
      <c r="N650" s="15" t="s">
        <v>603</v>
      </c>
      <c r="O650" s="10"/>
      <c r="P650" s="22" t="n">
        <f aca="false">COUNTIFS(C:C,C650,N:N,"Đã xác nhận")/COUNTIFS(C:C,C650)</f>
        <v>1</v>
      </c>
      <c r="Q650" s="22"/>
      <c r="R650" s="0" t="s">
        <v>2346</v>
      </c>
      <c r="S650" s="0" t="s">
        <v>535</v>
      </c>
      <c r="U650" s="24" t="n">
        <v>3</v>
      </c>
    </row>
    <row r="651" customFormat="false" ht="12.75" hidden="false" customHeight="false" outlineLevel="0" collapsed="false">
      <c r="A651" s="15" t="s">
        <v>2348</v>
      </c>
      <c r="B651" s="15" t="s">
        <v>2304</v>
      </c>
      <c r="C651" s="15" t="s">
        <v>515</v>
      </c>
      <c r="D651" s="15" t="s">
        <v>2346</v>
      </c>
      <c r="E651" s="15" t="s">
        <v>33</v>
      </c>
      <c r="G651" s="10" t="n">
        <v>3</v>
      </c>
      <c r="H651" s="21" t="n">
        <v>46078.6901967593</v>
      </c>
      <c r="I651" s="15" t="s">
        <v>2349</v>
      </c>
      <c r="J651" s="15" t="s">
        <v>2349</v>
      </c>
      <c r="K651" s="15"/>
      <c r="L651" s="10" t="n">
        <f aca="false">COUNTIF($E$2:E651,E651)</f>
        <v>23</v>
      </c>
      <c r="M651" s="10" t="e">
        <f aca="false">ifs(L651=1, L651&amp;"-"&amp; COUNTIFS($L$2:L651,1))</f>
        <v>#NAME?</v>
      </c>
      <c r="N651" s="15" t="s">
        <v>603</v>
      </c>
      <c r="O651" s="10"/>
      <c r="P651" s="22" t="n">
        <f aca="false">COUNTIFS(C:C,C651,N:N,"Đã xác nhận")/COUNTIFS(C:C,C651)</f>
        <v>1</v>
      </c>
      <c r="Q651" s="22"/>
      <c r="R651" s="0" t="s">
        <v>2346</v>
      </c>
      <c r="S651" s="0" t="s">
        <v>536</v>
      </c>
      <c r="U651" s="24" t="n">
        <v>3</v>
      </c>
    </row>
    <row r="652" customFormat="false" ht="12.75" hidden="false" customHeight="false" outlineLevel="0" collapsed="false">
      <c r="A652" s="15" t="s">
        <v>2350</v>
      </c>
      <c r="B652" s="15" t="s">
        <v>2304</v>
      </c>
      <c r="C652" s="15" t="s">
        <v>515</v>
      </c>
      <c r="D652" s="15" t="s">
        <v>673</v>
      </c>
      <c r="E652" s="15" t="s">
        <v>77</v>
      </c>
      <c r="G652" s="10" t="n">
        <v>4</v>
      </c>
      <c r="H652" s="21" t="n">
        <v>46078.6904166667</v>
      </c>
      <c r="I652" s="15" t="s">
        <v>2351</v>
      </c>
      <c r="J652" s="15" t="s">
        <v>2351</v>
      </c>
      <c r="K652" s="15"/>
      <c r="L652" s="10" t="n">
        <f aca="false">COUNTIF($E$2:E652,E652)</f>
        <v>27</v>
      </c>
      <c r="M652" s="10" t="e">
        <f aca="false">ifs(L652=1, L652&amp;"-"&amp; COUNTIFS($L$2:L652,1))</f>
        <v>#NAME?</v>
      </c>
      <c r="N652" s="15" t="s">
        <v>603</v>
      </c>
      <c r="O652" s="10"/>
      <c r="P652" s="22" t="n">
        <f aca="false">COUNTIFS(C:C,C652,N:N,"Đã xác nhận")/COUNTIFS(C:C,C652)</f>
        <v>1</v>
      </c>
      <c r="Q652" s="22"/>
      <c r="R652" s="0" t="s">
        <v>675</v>
      </c>
      <c r="S652" s="0" t="s">
        <v>78</v>
      </c>
      <c r="U652" s="24" t="n">
        <v>4</v>
      </c>
    </row>
    <row r="653" customFormat="false" ht="12.75" hidden="false" customHeight="false" outlineLevel="0" collapsed="false">
      <c r="A653" s="15" t="s">
        <v>2352</v>
      </c>
      <c r="B653" s="15" t="s">
        <v>2304</v>
      </c>
      <c r="C653" s="15" t="s">
        <v>2353</v>
      </c>
      <c r="D653" s="15" t="s">
        <v>611</v>
      </c>
      <c r="E653" s="15" t="s">
        <v>69</v>
      </c>
      <c r="G653" s="10" t="n">
        <v>1</v>
      </c>
      <c r="H653" s="21" t="n">
        <v>46050.7576157407</v>
      </c>
      <c r="I653" s="15" t="s">
        <v>2354</v>
      </c>
      <c r="J653" s="15" t="s">
        <v>2354</v>
      </c>
      <c r="K653" s="15"/>
      <c r="L653" s="10" t="n">
        <f aca="false">COUNTIF($E$2:E653,E653)</f>
        <v>57</v>
      </c>
      <c r="M653" s="10" t="e">
        <f aca="false">ifs(L653=1, L653&amp;"-"&amp; COUNTIFS($L$2:L653,1))</f>
        <v>#NAME?</v>
      </c>
      <c r="N653" s="15" t="s">
        <v>603</v>
      </c>
      <c r="O653" s="10"/>
      <c r="P653" s="22" t="n">
        <f aca="false">COUNTIFS(C:C,C653,N:N,"Đã xác nhận")/COUNTIFS(C:C,C653)</f>
        <v>1</v>
      </c>
      <c r="Q653" s="22"/>
      <c r="R653" s="0" t="s">
        <v>613</v>
      </c>
      <c r="S653" s="0" t="s">
        <v>535</v>
      </c>
      <c r="U653" s="24" t="n">
        <v>1</v>
      </c>
    </row>
    <row r="654" customFormat="false" ht="12.75" hidden="false" customHeight="false" outlineLevel="0" collapsed="false">
      <c r="A654" s="15" t="s">
        <v>2355</v>
      </c>
      <c r="B654" s="15" t="s">
        <v>2304</v>
      </c>
      <c r="C654" s="15" t="s">
        <v>2353</v>
      </c>
      <c r="D654" s="15" t="s">
        <v>611</v>
      </c>
      <c r="E654" s="15" t="s">
        <v>33</v>
      </c>
      <c r="G654" s="10" t="n">
        <v>1</v>
      </c>
      <c r="H654" s="21" t="n">
        <v>46050.7576273148</v>
      </c>
      <c r="I654" s="15" t="s">
        <v>2356</v>
      </c>
      <c r="J654" s="15" t="s">
        <v>2356</v>
      </c>
      <c r="K654" s="15"/>
      <c r="L654" s="10" t="n">
        <f aca="false">COUNTIF($E$2:E654,E654)</f>
        <v>24</v>
      </c>
      <c r="M654" s="10" t="e">
        <f aca="false">ifs(L654=1, L654&amp;"-"&amp; COUNTIFS($L$2:L654,1))</f>
        <v>#NAME?</v>
      </c>
      <c r="N654" s="15" t="s">
        <v>603</v>
      </c>
      <c r="O654" s="10"/>
      <c r="P654" s="22" t="n">
        <f aca="false">COUNTIFS(C:C,C654,N:N,"Đã xác nhận")/COUNTIFS(C:C,C654)</f>
        <v>1</v>
      </c>
      <c r="Q654" s="22"/>
      <c r="R654" s="0" t="s">
        <v>613</v>
      </c>
      <c r="S654" s="0" t="s">
        <v>536</v>
      </c>
      <c r="U654" s="24" t="n">
        <v>1</v>
      </c>
    </row>
    <row r="655" customFormat="false" ht="12.75" hidden="false" customHeight="false" outlineLevel="0" collapsed="false">
      <c r="A655" s="15" t="s">
        <v>2357</v>
      </c>
      <c r="B655" s="15" t="s">
        <v>2304</v>
      </c>
      <c r="C655" s="15" t="s">
        <v>2353</v>
      </c>
      <c r="D655" s="15" t="s">
        <v>2346</v>
      </c>
      <c r="E655" s="15" t="s">
        <v>33</v>
      </c>
      <c r="G655" s="10" t="n">
        <v>3</v>
      </c>
      <c r="H655" s="21" t="n">
        <v>46050.7576273148</v>
      </c>
      <c r="I655" s="15" t="s">
        <v>2358</v>
      </c>
      <c r="J655" s="15" t="s">
        <v>2358</v>
      </c>
      <c r="K655" s="15"/>
      <c r="L655" s="10" t="n">
        <f aca="false">COUNTIF($E$2:E655,E655)</f>
        <v>25</v>
      </c>
      <c r="M655" s="10" t="e">
        <f aca="false">ifs(L655=1, L655&amp;"-"&amp; COUNTIFS($L$2:L655,1))</f>
        <v>#NAME?</v>
      </c>
      <c r="N655" s="15" t="s">
        <v>603</v>
      </c>
      <c r="O655" s="10"/>
      <c r="P655" s="22" t="n">
        <f aca="false">COUNTIFS(C:C,C655,N:N,"Đã xác nhận")/COUNTIFS(C:C,C655)</f>
        <v>1</v>
      </c>
      <c r="Q655" s="22"/>
      <c r="R655" s="0" t="s">
        <v>2346</v>
      </c>
      <c r="S655" s="0" t="s">
        <v>536</v>
      </c>
      <c r="U655" s="24" t="n">
        <v>3</v>
      </c>
    </row>
    <row r="656" customFormat="false" ht="12.75" hidden="false" customHeight="false" outlineLevel="0" collapsed="false">
      <c r="A656" s="15" t="s">
        <v>2359</v>
      </c>
      <c r="B656" s="15" t="s">
        <v>2304</v>
      </c>
      <c r="C656" s="15" t="s">
        <v>2353</v>
      </c>
      <c r="D656" s="15" t="s">
        <v>2346</v>
      </c>
      <c r="E656" s="15" t="s">
        <v>69</v>
      </c>
      <c r="G656" s="10" t="n">
        <v>3</v>
      </c>
      <c r="H656" s="21" t="n">
        <v>46050.7576388889</v>
      </c>
      <c r="I656" s="15" t="s">
        <v>2360</v>
      </c>
      <c r="J656" s="15" t="s">
        <v>2360</v>
      </c>
      <c r="K656" s="15"/>
      <c r="L656" s="10" t="n">
        <f aca="false">COUNTIF($E$2:E656,E656)</f>
        <v>58</v>
      </c>
      <c r="M656" s="10" t="e">
        <f aca="false">ifs(L656=1, L656&amp;"-"&amp; COUNTIFS($L$2:L656,1))</f>
        <v>#NAME?</v>
      </c>
      <c r="N656" s="15" t="s">
        <v>603</v>
      </c>
      <c r="O656" s="10"/>
      <c r="P656" s="22" t="n">
        <f aca="false">COUNTIFS(C:C,C656,N:N,"Đã xác nhận")/COUNTIFS(C:C,C656)</f>
        <v>1</v>
      </c>
      <c r="Q656" s="22"/>
      <c r="R656" s="0" t="s">
        <v>2346</v>
      </c>
      <c r="S656" s="0" t="s">
        <v>535</v>
      </c>
      <c r="U656" s="24" t="n">
        <v>3</v>
      </c>
    </row>
    <row r="657" customFormat="false" ht="12.75" hidden="false" customHeight="false" outlineLevel="0" collapsed="false">
      <c r="A657" s="15" t="s">
        <v>2361</v>
      </c>
      <c r="B657" s="15" t="s">
        <v>2304</v>
      </c>
      <c r="C657" s="15" t="s">
        <v>2353</v>
      </c>
      <c r="D657" s="15" t="s">
        <v>2333</v>
      </c>
      <c r="E657" s="15" t="s">
        <v>69</v>
      </c>
      <c r="G657" s="10" t="n">
        <v>1</v>
      </c>
      <c r="H657" s="21" t="n">
        <v>46050.7577083333</v>
      </c>
      <c r="I657" s="15" t="s">
        <v>2362</v>
      </c>
      <c r="J657" s="15" t="s">
        <v>2362</v>
      </c>
      <c r="K657" s="15"/>
      <c r="L657" s="10" t="n">
        <f aca="false">COUNTIF($E$2:E657,E657)</f>
        <v>59</v>
      </c>
      <c r="M657" s="10" t="e">
        <f aca="false">ifs(L657=1, L657&amp;"-"&amp; COUNTIFS($L$2:L657,1))</f>
        <v>#NAME?</v>
      </c>
      <c r="N657" s="15" t="s">
        <v>603</v>
      </c>
      <c r="O657" s="10"/>
      <c r="P657" s="22" t="n">
        <f aca="false">COUNTIFS(C:C,C657,N:N,"Đã xác nhận")/COUNTIFS(C:C,C657)</f>
        <v>1</v>
      </c>
      <c r="Q657" s="22"/>
      <c r="R657" s="0" t="s">
        <v>2333</v>
      </c>
      <c r="S657" s="0" t="s">
        <v>535</v>
      </c>
      <c r="U657" s="24" t="n">
        <v>1</v>
      </c>
    </row>
    <row r="658" customFormat="false" ht="12.75" hidden="false" customHeight="false" outlineLevel="0" collapsed="false">
      <c r="A658" s="15" t="s">
        <v>2363</v>
      </c>
      <c r="B658" s="15" t="s">
        <v>2304</v>
      </c>
      <c r="C658" s="15" t="s">
        <v>2353</v>
      </c>
      <c r="D658" s="15" t="s">
        <v>2333</v>
      </c>
      <c r="E658" s="15" t="s">
        <v>33</v>
      </c>
      <c r="G658" s="10" t="n">
        <v>1</v>
      </c>
      <c r="H658" s="21" t="n">
        <v>46050.7577546296</v>
      </c>
      <c r="I658" s="15" t="s">
        <v>2364</v>
      </c>
      <c r="J658" s="15" t="s">
        <v>2364</v>
      </c>
      <c r="K658" s="15"/>
      <c r="L658" s="10" t="n">
        <f aca="false">COUNTIF($E$2:E658,E658)</f>
        <v>26</v>
      </c>
      <c r="M658" s="10" t="e">
        <f aca="false">ifs(L658=1, L658&amp;"-"&amp; COUNTIFS($L$2:L658,1))</f>
        <v>#NAME?</v>
      </c>
      <c r="N658" s="15" t="s">
        <v>603</v>
      </c>
      <c r="O658" s="10"/>
      <c r="P658" s="22" t="n">
        <f aca="false">COUNTIFS(C:C,C658,N:N,"Đã xác nhận")/COUNTIFS(C:C,C658)</f>
        <v>1</v>
      </c>
      <c r="Q658" s="22"/>
      <c r="R658" s="0" t="s">
        <v>2333</v>
      </c>
      <c r="S658" s="0" t="s">
        <v>536</v>
      </c>
      <c r="U658" s="24" t="n">
        <v>1</v>
      </c>
    </row>
    <row r="659" customFormat="false" ht="12.75" hidden="false" customHeight="false" outlineLevel="0" collapsed="false">
      <c r="A659" s="15" t="s">
        <v>2365</v>
      </c>
      <c r="B659" s="15" t="s">
        <v>2304</v>
      </c>
      <c r="C659" s="15" t="s">
        <v>2353</v>
      </c>
      <c r="D659" s="15" t="s">
        <v>878</v>
      </c>
      <c r="E659" s="15" t="s">
        <v>69</v>
      </c>
      <c r="G659" s="10" t="n">
        <v>1</v>
      </c>
      <c r="H659" s="21" t="n">
        <v>46050.7576851852</v>
      </c>
      <c r="I659" s="15" t="s">
        <v>2366</v>
      </c>
      <c r="J659" s="15" t="s">
        <v>2366</v>
      </c>
      <c r="K659" s="15"/>
      <c r="L659" s="10" t="n">
        <f aca="false">COUNTIF($E$2:E659,E659)</f>
        <v>60</v>
      </c>
      <c r="M659" s="10" t="e">
        <f aca="false">ifs(L659=1, L659&amp;"-"&amp; COUNTIFS($L$2:L659,1))</f>
        <v>#NAME?</v>
      </c>
      <c r="N659" s="15" t="s">
        <v>603</v>
      </c>
      <c r="O659" s="10"/>
      <c r="P659" s="22" t="n">
        <f aca="false">COUNTIFS(C:C,C659,N:N,"Đã xác nhận")/COUNTIFS(C:C,C659)</f>
        <v>1</v>
      </c>
      <c r="Q659" s="22"/>
      <c r="R659" s="0" t="s">
        <v>768</v>
      </c>
      <c r="S659" s="0" t="s">
        <v>535</v>
      </c>
      <c r="U659" s="24" t="n">
        <v>1</v>
      </c>
    </row>
    <row r="660" customFormat="false" ht="12.75" hidden="false" customHeight="false" outlineLevel="0" collapsed="false">
      <c r="A660" s="15" t="s">
        <v>2367</v>
      </c>
      <c r="B660" s="15" t="s">
        <v>2304</v>
      </c>
      <c r="C660" s="15" t="s">
        <v>2353</v>
      </c>
      <c r="D660" s="15" t="s">
        <v>878</v>
      </c>
      <c r="E660" s="15" t="s">
        <v>33</v>
      </c>
      <c r="G660" s="10" t="n">
        <v>1</v>
      </c>
      <c r="H660" s="21" t="n">
        <v>46050.7577083333</v>
      </c>
      <c r="I660" s="15" t="s">
        <v>2368</v>
      </c>
      <c r="J660" s="15" t="s">
        <v>2368</v>
      </c>
      <c r="K660" s="15"/>
      <c r="L660" s="10" t="n">
        <f aca="false">COUNTIF($E$2:E660,E660)</f>
        <v>27</v>
      </c>
      <c r="M660" s="10" t="e">
        <f aca="false">ifs(L660=1, L660&amp;"-"&amp; COUNTIFS($L$2:L660,1))</f>
        <v>#NAME?</v>
      </c>
      <c r="N660" s="15" t="s">
        <v>603</v>
      </c>
      <c r="O660" s="10"/>
      <c r="P660" s="22" t="n">
        <f aca="false">COUNTIFS(C:C,C660,N:N,"Đã xác nhận")/COUNTIFS(C:C,C660)</f>
        <v>1</v>
      </c>
      <c r="Q660" s="22"/>
      <c r="R660" s="0" t="s">
        <v>768</v>
      </c>
      <c r="S660" s="0" t="s">
        <v>536</v>
      </c>
      <c r="U660" s="24" t="n">
        <v>1</v>
      </c>
    </row>
    <row r="661" customFormat="false" ht="12.75" hidden="false" customHeight="false" outlineLevel="0" collapsed="false">
      <c r="A661" s="15" t="s">
        <v>2369</v>
      </c>
      <c r="B661" s="15" t="s">
        <v>2304</v>
      </c>
      <c r="C661" s="15" t="s">
        <v>2353</v>
      </c>
      <c r="D661" s="15" t="s">
        <v>2311</v>
      </c>
      <c r="E661" s="15" t="s">
        <v>55</v>
      </c>
      <c r="G661" s="10" t="n">
        <v>1</v>
      </c>
      <c r="H661" s="21" t="n">
        <v>46050.7575694444</v>
      </c>
      <c r="I661" s="15" t="s">
        <v>2370</v>
      </c>
      <c r="J661" s="15" t="s">
        <v>2370</v>
      </c>
      <c r="K661" s="15"/>
      <c r="L661" s="10" t="n">
        <f aca="false">COUNTIF($E$2:E661,E661)</f>
        <v>65</v>
      </c>
      <c r="M661" s="10" t="e">
        <f aca="false">ifs(L661=1, L661&amp;"-"&amp; COUNTIFS($L$2:L661,1))</f>
        <v>#NAME?</v>
      </c>
      <c r="N661" s="15" t="s">
        <v>603</v>
      </c>
      <c r="O661" s="10"/>
      <c r="P661" s="22" t="n">
        <f aca="false">COUNTIFS(C:C,C661,N:N,"Đã xác nhận")/COUNTIFS(C:C,C661)</f>
        <v>1</v>
      </c>
      <c r="Q661" s="22"/>
      <c r="R661" s="0" t="s">
        <v>2313</v>
      </c>
      <c r="S661" s="0" t="s">
        <v>539</v>
      </c>
      <c r="U661" s="24" t="n">
        <v>1</v>
      </c>
    </row>
    <row r="662" customFormat="false" ht="12.75" hidden="false" customHeight="false" outlineLevel="0" collapsed="false">
      <c r="A662" s="15" t="s">
        <v>2371</v>
      </c>
      <c r="B662" s="15" t="s">
        <v>2304</v>
      </c>
      <c r="C662" s="15" t="s">
        <v>2353</v>
      </c>
      <c r="D662" s="15" t="s">
        <v>2208</v>
      </c>
      <c r="E662" s="15" t="s">
        <v>55</v>
      </c>
      <c r="G662" s="10" t="n">
        <v>1</v>
      </c>
      <c r="H662" s="21" t="n">
        <v>46050.7575578704</v>
      </c>
      <c r="I662" s="15" t="s">
        <v>2372</v>
      </c>
      <c r="J662" s="15" t="s">
        <v>2372</v>
      </c>
      <c r="K662" s="15"/>
      <c r="L662" s="10" t="n">
        <f aca="false">COUNTIF($E$2:E662,E662)</f>
        <v>66</v>
      </c>
      <c r="M662" s="10" t="e">
        <f aca="false">ifs(L662=1, L662&amp;"-"&amp; COUNTIFS($L$2:L662,1))</f>
        <v>#NAME?</v>
      </c>
      <c r="N662" s="15" t="s">
        <v>603</v>
      </c>
      <c r="O662" s="10"/>
      <c r="P662" s="22" t="n">
        <f aca="false">COUNTIFS(C:C,C662,N:N,"Đã xác nhận")/COUNTIFS(C:C,C662)</f>
        <v>1</v>
      </c>
      <c r="Q662" s="22"/>
      <c r="R662" s="0" t="s">
        <v>2211</v>
      </c>
      <c r="S662" s="0" t="s">
        <v>539</v>
      </c>
      <c r="U662" s="24" t="n">
        <v>1</v>
      </c>
    </row>
    <row r="663" customFormat="false" ht="12.75" hidden="false" customHeight="false" outlineLevel="0" collapsed="false">
      <c r="A663" s="15" t="s">
        <v>2373</v>
      </c>
      <c r="B663" s="15" t="s">
        <v>2304</v>
      </c>
      <c r="C663" s="15" t="s">
        <v>2353</v>
      </c>
      <c r="D663" s="15" t="s">
        <v>2374</v>
      </c>
      <c r="E663" s="15" t="s">
        <v>55</v>
      </c>
      <c r="G663" s="10" t="n">
        <v>1</v>
      </c>
      <c r="H663" s="21" t="n">
        <v>46050.7575925926</v>
      </c>
      <c r="I663" s="15" t="s">
        <v>2375</v>
      </c>
      <c r="J663" s="15" t="s">
        <v>2375</v>
      </c>
      <c r="K663" s="15"/>
      <c r="L663" s="10" t="n">
        <f aca="false">COUNTIF($E$2:E663,E663)</f>
        <v>67</v>
      </c>
      <c r="M663" s="10" t="e">
        <f aca="false">ifs(L663=1, L663&amp;"-"&amp; COUNTIFS($L$2:L663,1))</f>
        <v>#NAME?</v>
      </c>
      <c r="N663" s="15" t="s">
        <v>603</v>
      </c>
      <c r="O663" s="10"/>
      <c r="P663" s="22" t="n">
        <f aca="false">COUNTIFS(C:C,C663,N:N,"Đã xác nhận")/COUNTIFS(C:C,C663)</f>
        <v>1</v>
      </c>
      <c r="Q663" s="22"/>
      <c r="R663" s="0" t="s">
        <v>2376</v>
      </c>
      <c r="S663" s="0" t="s">
        <v>539</v>
      </c>
      <c r="U663" s="24" t="n">
        <v>1</v>
      </c>
    </row>
    <row r="664" customFormat="false" ht="12.75" hidden="false" customHeight="false" outlineLevel="0" collapsed="false">
      <c r="A664" s="15" t="s">
        <v>2377</v>
      </c>
      <c r="B664" s="15" t="s">
        <v>2304</v>
      </c>
      <c r="C664" s="15" t="s">
        <v>2353</v>
      </c>
      <c r="D664" s="15" t="s">
        <v>1224</v>
      </c>
      <c r="E664" s="15" t="s">
        <v>81</v>
      </c>
      <c r="G664" s="10" t="n">
        <v>2</v>
      </c>
      <c r="H664" s="21" t="n">
        <v>46050.757662037</v>
      </c>
      <c r="I664" s="15" t="s">
        <v>2378</v>
      </c>
      <c r="J664" s="15" t="s">
        <v>2378</v>
      </c>
      <c r="K664" s="15"/>
      <c r="L664" s="10" t="n">
        <f aca="false">COUNTIF($E$2:E664,E664)</f>
        <v>166</v>
      </c>
      <c r="M664" s="10" t="e">
        <f aca="false">ifs(L664=1, L664&amp;"-"&amp; COUNTIFS($L$2:L664,1))</f>
        <v>#NAME?</v>
      </c>
      <c r="N664" s="15" t="s">
        <v>603</v>
      </c>
      <c r="O664" s="10"/>
      <c r="P664" s="22" t="n">
        <f aca="false">COUNTIFS(C:C,C664,N:N,"Đã xác nhận")/COUNTIFS(C:C,C664)</f>
        <v>1</v>
      </c>
      <c r="Q664" s="22"/>
      <c r="R664" s="0" t="s">
        <v>1226</v>
      </c>
      <c r="S664" s="0" t="s">
        <v>534</v>
      </c>
      <c r="U664" s="24" t="n">
        <v>2</v>
      </c>
    </row>
    <row r="665" customFormat="false" ht="12.75" hidden="false" customHeight="false" outlineLevel="0" collapsed="false">
      <c r="A665" s="15" t="s">
        <v>2379</v>
      </c>
      <c r="B665" s="15" t="s">
        <v>2304</v>
      </c>
      <c r="C665" s="15" t="s">
        <v>2380</v>
      </c>
      <c r="D665" s="15" t="s">
        <v>2381</v>
      </c>
      <c r="E665" s="15" t="s">
        <v>55</v>
      </c>
      <c r="G665" s="10" t="n">
        <v>1</v>
      </c>
      <c r="H665" s="21" t="n">
        <v>46046.4613194445</v>
      </c>
      <c r="I665" s="15" t="s">
        <v>2382</v>
      </c>
      <c r="J665" s="15" t="s">
        <v>2382</v>
      </c>
      <c r="K665" s="15"/>
      <c r="L665" s="10" t="n">
        <f aca="false">COUNTIF($E$2:E665,E665)</f>
        <v>68</v>
      </c>
      <c r="M665" s="10" t="e">
        <f aca="false">ifs(L665=1, L665&amp;"-"&amp; COUNTIFS($L$2:L665,1))</f>
        <v>#NAME?</v>
      </c>
      <c r="N665" s="15" t="s">
        <v>603</v>
      </c>
      <c r="O665" s="10"/>
      <c r="P665" s="22" t="n">
        <f aca="false">COUNTIFS(C:C,C665,N:N,"Đã xác nhận")/COUNTIFS(C:C,C665)</f>
        <v>1</v>
      </c>
      <c r="Q665" s="22"/>
      <c r="R665" s="0" t="s">
        <v>2383</v>
      </c>
      <c r="S665" s="0" t="s">
        <v>539</v>
      </c>
      <c r="U665" s="24" t="n">
        <v>1</v>
      </c>
    </row>
    <row r="666" customFormat="false" ht="12.75" hidden="false" customHeight="false" outlineLevel="0" collapsed="false">
      <c r="A666" s="15" t="s">
        <v>2384</v>
      </c>
      <c r="B666" s="15" t="s">
        <v>2304</v>
      </c>
      <c r="C666" s="15" t="s">
        <v>2380</v>
      </c>
      <c r="D666" s="15" t="s">
        <v>2385</v>
      </c>
      <c r="E666" s="15" t="s">
        <v>55</v>
      </c>
      <c r="G666" s="10" t="n">
        <v>1</v>
      </c>
      <c r="H666" s="21" t="n">
        <v>46046.4596875</v>
      </c>
      <c r="I666" s="15" t="s">
        <v>2386</v>
      </c>
      <c r="J666" s="15" t="s">
        <v>2386</v>
      </c>
      <c r="K666" s="15"/>
      <c r="L666" s="10" t="n">
        <f aca="false">COUNTIF($E$2:E666,E666)</f>
        <v>69</v>
      </c>
      <c r="M666" s="10" t="e">
        <f aca="false">ifs(L666=1, L666&amp;"-"&amp; COUNTIFS($L$2:L666,1))</f>
        <v>#NAME?</v>
      </c>
      <c r="N666" s="15" t="s">
        <v>603</v>
      </c>
      <c r="O666" s="10"/>
      <c r="P666" s="22" t="n">
        <f aca="false">COUNTIFS(C:C,C666,N:N,"Đã xác nhận")/COUNTIFS(C:C,C666)</f>
        <v>1</v>
      </c>
      <c r="Q666" s="22"/>
      <c r="R666" s="0" t="s">
        <v>2387</v>
      </c>
      <c r="S666" s="0" t="s">
        <v>539</v>
      </c>
      <c r="U666" s="24" t="n">
        <v>1</v>
      </c>
    </row>
    <row r="667" customFormat="false" ht="12.75" hidden="false" customHeight="false" outlineLevel="0" collapsed="false">
      <c r="A667" s="15" t="s">
        <v>2388</v>
      </c>
      <c r="B667" s="15" t="s">
        <v>2304</v>
      </c>
      <c r="C667" s="15" t="s">
        <v>2380</v>
      </c>
      <c r="D667" s="15" t="s">
        <v>2389</v>
      </c>
      <c r="E667" s="15" t="s">
        <v>23</v>
      </c>
      <c r="G667" s="10" t="n">
        <v>1</v>
      </c>
      <c r="H667" s="21" t="n">
        <v>46046.4603935185</v>
      </c>
      <c r="I667" s="15" t="s">
        <v>2390</v>
      </c>
      <c r="J667" s="15" t="s">
        <v>2390</v>
      </c>
      <c r="K667" s="15"/>
      <c r="L667" s="10" t="n">
        <f aca="false">COUNTIF($E$2:E667,E667)</f>
        <v>1</v>
      </c>
      <c r="M667" s="10" t="e">
        <f aca="false">ifs(L667=1, L667&amp;"-"&amp; COUNTIFS($L$2:L667,1))</f>
        <v>#NAME?</v>
      </c>
      <c r="N667" s="15" t="s">
        <v>603</v>
      </c>
      <c r="O667" s="10"/>
      <c r="P667" s="22" t="n">
        <f aca="false">COUNTIFS(C:C,C667,N:N,"Đã xác nhận")/COUNTIFS(C:C,C667)</f>
        <v>1</v>
      </c>
      <c r="Q667" s="22"/>
      <c r="R667" s="0" t="s">
        <v>2391</v>
      </c>
      <c r="S667" s="0" t="s">
        <v>575</v>
      </c>
      <c r="U667" s="24" t="n">
        <v>1</v>
      </c>
    </row>
    <row r="668" customFormat="false" ht="12.75" hidden="false" customHeight="false" outlineLevel="0" collapsed="false">
      <c r="A668" s="15" t="s">
        <v>2392</v>
      </c>
      <c r="B668" s="15" t="s">
        <v>2304</v>
      </c>
      <c r="C668" s="15" t="s">
        <v>2380</v>
      </c>
      <c r="D668" s="15" t="s">
        <v>2393</v>
      </c>
      <c r="E668" s="15" t="s">
        <v>51</v>
      </c>
      <c r="G668" s="10" t="n">
        <v>1</v>
      </c>
      <c r="H668" s="21" t="n">
        <v>46046.4611805556</v>
      </c>
      <c r="I668" s="15" t="s">
        <v>2394</v>
      </c>
      <c r="J668" s="15" t="s">
        <v>2394</v>
      </c>
      <c r="K668" s="15"/>
      <c r="L668" s="10" t="n">
        <f aca="false">COUNTIF($E$2:E668,E668)</f>
        <v>2</v>
      </c>
      <c r="M668" s="10" t="e">
        <f aca="false">ifs(L668=1, L668&amp;"-"&amp; COUNTIFS($L$2:L668,1))</f>
        <v>#NAME?</v>
      </c>
      <c r="N668" s="15" t="s">
        <v>603</v>
      </c>
      <c r="O668" s="10"/>
      <c r="P668" s="22" t="n">
        <f aca="false">COUNTIFS(C:C,C668,N:N,"Đã xác nhận")/COUNTIFS(C:C,C668)</f>
        <v>1</v>
      </c>
      <c r="Q668" s="22"/>
      <c r="R668" s="0" t="s">
        <v>2395</v>
      </c>
      <c r="S668" s="0" t="s">
        <v>573</v>
      </c>
      <c r="U668" s="24" t="n">
        <v>1</v>
      </c>
    </row>
    <row r="669" customFormat="false" ht="12.75" hidden="false" customHeight="false" outlineLevel="0" collapsed="false">
      <c r="A669" s="15" t="s">
        <v>2396</v>
      </c>
      <c r="B669" s="15" t="s">
        <v>2304</v>
      </c>
      <c r="C669" s="15" t="s">
        <v>2380</v>
      </c>
      <c r="D669" s="15" t="s">
        <v>2397</v>
      </c>
      <c r="E669" s="15" t="s">
        <v>89</v>
      </c>
      <c r="G669" s="10" t="n">
        <v>1</v>
      </c>
      <c r="H669" s="21" t="n">
        <v>46049.6629513889</v>
      </c>
      <c r="I669" s="15" t="s">
        <v>2398</v>
      </c>
      <c r="J669" s="15" t="s">
        <v>2398</v>
      </c>
      <c r="K669" s="15"/>
      <c r="L669" s="10" t="n">
        <f aca="false">COUNTIF($E$2:E669,E669)</f>
        <v>1</v>
      </c>
      <c r="M669" s="10" t="e">
        <f aca="false">ifs(L669=1, L669&amp;"-"&amp; COUNTIFS($L$2:L669,1))</f>
        <v>#NAME?</v>
      </c>
      <c r="N669" s="15" t="s">
        <v>603</v>
      </c>
      <c r="O669" s="10"/>
      <c r="P669" s="22" t="n">
        <f aca="false">COUNTIFS(C:C,C669,N:N,"Đã xác nhận")/COUNTIFS(C:C,C669)</f>
        <v>1</v>
      </c>
      <c r="Q669" s="22"/>
      <c r="R669" s="0" t="s">
        <v>2399</v>
      </c>
      <c r="S669" s="0" t="s">
        <v>574</v>
      </c>
      <c r="U669" s="24" t="n">
        <v>1</v>
      </c>
    </row>
    <row r="670" customFormat="false" ht="12.75" hidden="false" customHeight="false" outlineLevel="0" collapsed="false">
      <c r="A670" s="15" t="s">
        <v>2400</v>
      </c>
      <c r="B670" s="15" t="s">
        <v>2304</v>
      </c>
      <c r="C670" s="15" t="s">
        <v>2380</v>
      </c>
      <c r="D670" s="15" t="s">
        <v>2401</v>
      </c>
      <c r="E670" s="15" t="s">
        <v>89</v>
      </c>
      <c r="G670" s="10" t="n">
        <v>1</v>
      </c>
      <c r="H670" s="21" t="n">
        <v>46049.662962963</v>
      </c>
      <c r="I670" s="15" t="s">
        <v>2402</v>
      </c>
      <c r="J670" s="15" t="s">
        <v>2402</v>
      </c>
      <c r="K670" s="15"/>
      <c r="L670" s="10" t="n">
        <f aca="false">COUNTIF($E$2:E670,E670)</f>
        <v>2</v>
      </c>
      <c r="M670" s="10" t="e">
        <f aca="false">ifs(L670=1, L670&amp;"-"&amp; COUNTIFS($L$2:L670,1))</f>
        <v>#NAME?</v>
      </c>
      <c r="N670" s="15" t="s">
        <v>603</v>
      </c>
      <c r="O670" s="10"/>
      <c r="P670" s="22" t="n">
        <f aca="false">COUNTIFS(C:C,C670,N:N,"Đã xác nhận")/COUNTIFS(C:C,C670)</f>
        <v>1</v>
      </c>
      <c r="Q670" s="22"/>
      <c r="R670" s="0" t="s">
        <v>2403</v>
      </c>
      <c r="S670" s="0" t="s">
        <v>574</v>
      </c>
      <c r="U670" s="24" t="n">
        <v>1</v>
      </c>
    </row>
    <row r="671" customFormat="false" ht="12.75" hidden="false" customHeight="false" outlineLevel="0" collapsed="false">
      <c r="A671" s="15" t="s">
        <v>2404</v>
      </c>
      <c r="B671" s="15"/>
      <c r="C671" s="15"/>
      <c r="D671" s="15"/>
      <c r="E671" s="15"/>
      <c r="G671" s="10" t="n">
        <v>0</v>
      </c>
      <c r="H671" s="21" t="n">
        <v>46079.7698032407</v>
      </c>
      <c r="I671" s="15" t="s">
        <v>2405</v>
      </c>
      <c r="J671" s="15" t="s">
        <v>695</v>
      </c>
      <c r="K671" s="15" t="s">
        <v>2406</v>
      </c>
      <c r="L671" s="10" t="n">
        <f aca="false">COUNTIF($E$2:E671,E671)</f>
        <v>0</v>
      </c>
      <c r="M671" s="10" t="e">
        <f aca="false">ifs(L671=1, L671&amp;"-"&amp; COUNTIFS($L$2:L671,1))</f>
        <v>#NAME?</v>
      </c>
      <c r="O671" s="10"/>
      <c r="P671" s="22" t="e">
        <f aca="false">COUNTIFS(C:C,C671,N:N,"Đã xác nhận")/COUNTIFS(C:C,C671)</f>
        <v>#DIV/0!</v>
      </c>
      <c r="Q671" s="22"/>
      <c r="R671" s="0" t="e">
        <f aca="false">#VALUE!</f>
        <v>#VALUE!</v>
      </c>
      <c r="S671" s="0" t="e">
        <f aca="false">#VALUE!</f>
        <v>#VALUE!</v>
      </c>
      <c r="U671" s="24" t="n">
        <v>0</v>
      </c>
    </row>
    <row r="672" customFormat="false" ht="12.75" hidden="false" customHeight="false" outlineLevel="0" collapsed="false">
      <c r="A672" s="15" t="s">
        <v>2407</v>
      </c>
      <c r="B672" s="15"/>
      <c r="C672" s="15"/>
      <c r="D672" s="15"/>
      <c r="E672" s="15"/>
      <c r="G672" s="10" t="n">
        <v>0</v>
      </c>
      <c r="H672" s="21" t="n">
        <v>46079.769837963</v>
      </c>
      <c r="I672" s="15" t="s">
        <v>2408</v>
      </c>
      <c r="J672" s="15" t="s">
        <v>695</v>
      </c>
      <c r="K672" s="15" t="s">
        <v>2409</v>
      </c>
      <c r="L672" s="10" t="n">
        <f aca="false">COUNTIF($E$2:E672,E672)</f>
        <v>0</v>
      </c>
      <c r="M672" s="10" t="e">
        <f aca="false">ifs(L672=1, L672&amp;"-"&amp; COUNTIFS($L$2:L672,1))</f>
        <v>#NAME?</v>
      </c>
      <c r="O672" s="10"/>
      <c r="P672" s="22" t="e">
        <f aca="false">COUNTIFS(C:C,C672,N:N,"Đã xác nhận")/COUNTIFS(C:C,C672)</f>
        <v>#DIV/0!</v>
      </c>
      <c r="Q672" s="22"/>
      <c r="R672" s="0" t="e">
        <f aca="false">#VALUE!</f>
        <v>#VALUE!</v>
      </c>
      <c r="S672" s="0" t="e">
        <f aca="false">#VALUE!</f>
        <v>#VALUE!</v>
      </c>
      <c r="U672" s="24" t="n">
        <v>0</v>
      </c>
    </row>
    <row r="673" customFormat="false" ht="12.75" hidden="false" customHeight="false" outlineLevel="0" collapsed="false">
      <c r="A673" s="15" t="s">
        <v>2410</v>
      </c>
      <c r="B673" s="15"/>
      <c r="C673" s="15"/>
      <c r="D673" s="15"/>
      <c r="E673" s="15"/>
      <c r="G673" s="10" t="n">
        <v>0</v>
      </c>
      <c r="H673" s="21" t="n">
        <v>46079.7699652778</v>
      </c>
      <c r="I673" s="15" t="s">
        <v>2411</v>
      </c>
      <c r="J673" s="15" t="s">
        <v>695</v>
      </c>
      <c r="K673" s="15" t="s">
        <v>2412</v>
      </c>
      <c r="L673" s="10" t="n">
        <f aca="false">COUNTIF($E$2:E673,E673)</f>
        <v>0</v>
      </c>
      <c r="M673" s="10" t="e">
        <f aca="false">ifs(L673=1, L673&amp;"-"&amp; COUNTIFS($L$2:L673,1))</f>
        <v>#NAME?</v>
      </c>
      <c r="O673" s="10"/>
      <c r="P673" s="22" t="e">
        <f aca="false">COUNTIFS(C:C,C673,N:N,"Đã xác nhận")/COUNTIFS(C:C,C673)</f>
        <v>#DIV/0!</v>
      </c>
      <c r="Q673" s="22"/>
      <c r="R673" s="0" t="e">
        <f aca="false">#VALUE!</f>
        <v>#VALUE!</v>
      </c>
      <c r="S673" s="0" t="e">
        <f aca="false">#VALUE!</f>
        <v>#VALUE!</v>
      </c>
      <c r="U673" s="24" t="n">
        <v>0</v>
      </c>
    </row>
    <row r="674" customFormat="false" ht="12.75" hidden="false" customHeight="false" outlineLevel="0" collapsed="false">
      <c r="A674" s="15" t="s">
        <v>2413</v>
      </c>
      <c r="B674" s="15"/>
      <c r="C674" s="15"/>
      <c r="D674" s="15"/>
      <c r="E674" s="15"/>
      <c r="G674" s="10" t="n">
        <v>0</v>
      </c>
      <c r="H674" s="21" t="n">
        <v>46079.7699652778</v>
      </c>
      <c r="I674" s="15" t="s">
        <v>2414</v>
      </c>
      <c r="J674" s="15" t="s">
        <v>695</v>
      </c>
      <c r="K674" s="15" t="s">
        <v>2415</v>
      </c>
      <c r="L674" s="10" t="n">
        <f aca="false">COUNTIF($E$2:E674,E674)</f>
        <v>0</v>
      </c>
      <c r="M674" s="10" t="e">
        <f aca="false">ifs(L674=1, L674&amp;"-"&amp; COUNTIFS($L$2:L674,1))</f>
        <v>#NAME?</v>
      </c>
      <c r="O674" s="10"/>
      <c r="P674" s="22" t="e">
        <f aca="false">COUNTIFS(C:C,C674,N:N,"Đã xác nhận")/COUNTIFS(C:C,C674)</f>
        <v>#DIV/0!</v>
      </c>
      <c r="Q674" s="22"/>
      <c r="R674" s="0" t="e">
        <f aca="false">#VALUE!</f>
        <v>#VALUE!</v>
      </c>
      <c r="S674" s="0" t="e">
        <f aca="false">#VALUE!</f>
        <v>#VALUE!</v>
      </c>
      <c r="U674" s="24" t="n">
        <v>0</v>
      </c>
    </row>
    <row r="675" customFormat="false" ht="12.75" hidden="false" customHeight="false" outlineLevel="0" collapsed="false">
      <c r="A675" s="15" t="s">
        <v>2416</v>
      </c>
      <c r="B675" s="15"/>
      <c r="C675" s="15"/>
      <c r="D675" s="15"/>
      <c r="E675" s="15"/>
      <c r="G675" s="10" t="n">
        <v>0</v>
      </c>
      <c r="H675" s="21" t="n">
        <v>46079.7699652778</v>
      </c>
      <c r="I675" s="15" t="s">
        <v>2417</v>
      </c>
      <c r="J675" s="15" t="s">
        <v>695</v>
      </c>
      <c r="K675" s="15" t="s">
        <v>2418</v>
      </c>
      <c r="L675" s="10" t="n">
        <f aca="false">COUNTIF($E$2:E675,E675)</f>
        <v>0</v>
      </c>
      <c r="M675" s="10" t="e">
        <f aca="false">ifs(L675=1, L675&amp;"-"&amp; COUNTIFS($L$2:L675,1))</f>
        <v>#NAME?</v>
      </c>
      <c r="O675" s="10"/>
      <c r="P675" s="22" t="e">
        <f aca="false">COUNTIFS(C:C,C675,N:N,"Đã xác nhận")/COUNTIFS(C:C,C675)</f>
        <v>#DIV/0!</v>
      </c>
      <c r="Q675" s="22"/>
      <c r="R675" s="0" t="e">
        <f aca="false">#VALUE!</f>
        <v>#VALUE!</v>
      </c>
      <c r="S675" s="0" t="e">
        <f aca="false">#VALUE!</f>
        <v>#VALUE!</v>
      </c>
      <c r="U675" s="24" t="n">
        <v>0</v>
      </c>
    </row>
    <row r="676" customFormat="false" ht="12.75" hidden="false" customHeight="false" outlineLevel="0" collapsed="false">
      <c r="A676" s="15" t="s">
        <v>2419</v>
      </c>
      <c r="B676" s="15"/>
      <c r="C676" s="15"/>
      <c r="D676" s="15"/>
      <c r="E676" s="15"/>
      <c r="G676" s="10" t="n">
        <v>0</v>
      </c>
      <c r="H676" s="21" t="n">
        <v>46079.7699652778</v>
      </c>
      <c r="I676" s="15" t="s">
        <v>2420</v>
      </c>
      <c r="J676" s="15" t="s">
        <v>695</v>
      </c>
      <c r="K676" s="15" t="s">
        <v>2421</v>
      </c>
      <c r="L676" s="10" t="n">
        <f aca="false">COUNTIF($E$2:E676,E676)</f>
        <v>0</v>
      </c>
      <c r="M676" s="10" t="e">
        <f aca="false">ifs(L676=1, L676&amp;"-"&amp; COUNTIFS($L$2:L676,1))</f>
        <v>#NAME?</v>
      </c>
      <c r="O676" s="10"/>
      <c r="P676" s="22" t="e">
        <f aca="false">COUNTIFS(C:C,C676,N:N,"Đã xác nhận")/COUNTIFS(C:C,C676)</f>
        <v>#DIV/0!</v>
      </c>
      <c r="Q676" s="22"/>
      <c r="R676" s="0" t="e">
        <f aca="false">#VALUE!</f>
        <v>#VALUE!</v>
      </c>
      <c r="S676" s="0" t="e">
        <f aca="false">#VALUE!</f>
        <v>#VALUE!</v>
      </c>
      <c r="U676" s="24" t="n">
        <v>0</v>
      </c>
    </row>
    <row r="677" customFormat="false" ht="12.75" hidden="false" customHeight="false" outlineLevel="0" collapsed="false">
      <c r="A677" s="15" t="s">
        <v>2422</v>
      </c>
      <c r="B677" s="15"/>
      <c r="C677" s="15"/>
      <c r="D677" s="15"/>
      <c r="E677" s="15"/>
      <c r="G677" s="10" t="n">
        <v>0</v>
      </c>
      <c r="H677" s="21" t="n">
        <v>46079.7699652778</v>
      </c>
      <c r="I677" s="15" t="s">
        <v>2423</v>
      </c>
      <c r="J677" s="15" t="s">
        <v>695</v>
      </c>
      <c r="K677" s="15" t="s">
        <v>2424</v>
      </c>
      <c r="L677" s="10" t="n">
        <f aca="false">COUNTIF($E$2:E677,E677)</f>
        <v>0</v>
      </c>
      <c r="M677" s="10" t="e">
        <f aca="false">ifs(L677=1, L677&amp;"-"&amp; COUNTIFS($L$2:L677,1))</f>
        <v>#NAME?</v>
      </c>
      <c r="O677" s="10"/>
      <c r="P677" s="22" t="e">
        <f aca="false">COUNTIFS(C:C,C677,N:N,"Đã xác nhận")/COUNTIFS(C:C,C677)</f>
        <v>#DIV/0!</v>
      </c>
      <c r="Q677" s="22"/>
      <c r="R677" s="0" t="e">
        <f aca="false">#VALUE!</f>
        <v>#VALUE!</v>
      </c>
      <c r="S677" s="0" t="e">
        <f aca="false">#VALUE!</f>
        <v>#VALUE!</v>
      </c>
      <c r="U677" s="24" t="n">
        <v>0</v>
      </c>
    </row>
    <row r="678" customFormat="false" ht="12.75" hidden="false" customHeight="false" outlineLevel="0" collapsed="false">
      <c r="A678" s="15" t="s">
        <v>2425</v>
      </c>
      <c r="B678" s="15"/>
      <c r="C678" s="15"/>
      <c r="D678" s="15"/>
      <c r="E678" s="15"/>
      <c r="G678" s="10" t="n">
        <v>0</v>
      </c>
      <c r="H678" s="21" t="n">
        <v>46079.7699652778</v>
      </c>
      <c r="I678" s="15" t="s">
        <v>2426</v>
      </c>
      <c r="J678" s="15" t="s">
        <v>695</v>
      </c>
      <c r="K678" s="15" t="s">
        <v>2427</v>
      </c>
      <c r="L678" s="10" t="n">
        <f aca="false">COUNTIF($E$2:E678,E678)</f>
        <v>0</v>
      </c>
      <c r="M678" s="10" t="e">
        <f aca="false">ifs(L678=1, L678&amp;"-"&amp; COUNTIFS($L$2:L678,1))</f>
        <v>#NAME?</v>
      </c>
      <c r="O678" s="10"/>
      <c r="P678" s="22" t="e">
        <f aca="false">COUNTIFS(C:C,C678,N:N,"Đã xác nhận")/COUNTIFS(C:C,C678)</f>
        <v>#DIV/0!</v>
      </c>
      <c r="Q678" s="22"/>
      <c r="R678" s="0" t="e">
        <f aca="false">#VALUE!</f>
        <v>#VALUE!</v>
      </c>
      <c r="S678" s="0" t="e">
        <f aca="false">#VALUE!</f>
        <v>#VALUE!</v>
      </c>
      <c r="U678" s="24" t="n">
        <v>0</v>
      </c>
    </row>
    <row r="679" customFormat="false" ht="12.75" hidden="false" customHeight="false" outlineLevel="0" collapsed="false">
      <c r="A679" s="15" t="s">
        <v>2428</v>
      </c>
      <c r="B679" s="15"/>
      <c r="C679" s="15"/>
      <c r="D679" s="15"/>
      <c r="E679" s="15"/>
      <c r="G679" s="10" t="n">
        <v>0</v>
      </c>
      <c r="H679" s="21" t="n">
        <v>46079.7697569444</v>
      </c>
      <c r="I679" s="15" t="s">
        <v>2429</v>
      </c>
      <c r="J679" s="15" t="s">
        <v>695</v>
      </c>
      <c r="K679" s="15" t="s">
        <v>2430</v>
      </c>
      <c r="L679" s="10" t="n">
        <f aca="false">COUNTIF($E$2:E679,E679)</f>
        <v>0</v>
      </c>
      <c r="M679" s="10" t="e">
        <f aca="false">ifs(L679=1, L679&amp;"-"&amp; COUNTIFS($L$2:L679,1))</f>
        <v>#NAME?</v>
      </c>
      <c r="O679" s="10"/>
      <c r="P679" s="22" t="e">
        <f aca="false">COUNTIFS(C:C,C679,N:N,"Đã xác nhận")/COUNTIFS(C:C,C679)</f>
        <v>#DIV/0!</v>
      </c>
      <c r="Q679" s="22"/>
      <c r="R679" s="0" t="e">
        <f aca="false">#VALUE!</f>
        <v>#VALUE!</v>
      </c>
      <c r="S679" s="0" t="e">
        <f aca="false">#VALUE!</f>
        <v>#VALUE!</v>
      </c>
      <c r="U679" s="24" t="n">
        <v>0</v>
      </c>
    </row>
    <row r="680" customFormat="false" ht="12.75" hidden="false" customHeight="false" outlineLevel="0" collapsed="false">
      <c r="A680" s="15" t="s">
        <v>2431</v>
      </c>
      <c r="B680" s="15"/>
      <c r="C680" s="15"/>
      <c r="D680" s="15"/>
      <c r="E680" s="15"/>
      <c r="G680" s="10" t="n">
        <v>0</v>
      </c>
      <c r="H680" s="21" t="n">
        <v>46079.7697337963</v>
      </c>
      <c r="I680" s="15" t="s">
        <v>2432</v>
      </c>
      <c r="J680" s="15" t="s">
        <v>695</v>
      </c>
      <c r="K680" s="15" t="s">
        <v>2433</v>
      </c>
      <c r="L680" s="10" t="n">
        <f aca="false">COUNTIF($E$2:E680,E680)</f>
        <v>0</v>
      </c>
      <c r="M680" s="10" t="e">
        <f aca="false">ifs(L680=1, L680&amp;"-"&amp; COUNTIFS($L$2:L680,1))</f>
        <v>#NAME?</v>
      </c>
      <c r="O680" s="10"/>
      <c r="P680" s="22" t="e">
        <f aca="false">COUNTIFS(C:C,C680,N:N,"Đã xác nhận")/COUNTIFS(C:C,C680)</f>
        <v>#DIV/0!</v>
      </c>
      <c r="Q680" s="22"/>
      <c r="R680" s="0" t="e">
        <f aca="false">#VALUE!</f>
        <v>#VALUE!</v>
      </c>
      <c r="S680" s="0" t="e">
        <f aca="false">#VALUE!</f>
        <v>#VALUE!</v>
      </c>
      <c r="U680" s="24" t="n">
        <v>0</v>
      </c>
    </row>
    <row r="681" customFormat="false" ht="12.75" hidden="false" customHeight="false" outlineLevel="0" collapsed="false">
      <c r="A681" s="15" t="s">
        <v>2434</v>
      </c>
      <c r="B681" s="15" t="s">
        <v>2304</v>
      </c>
      <c r="C681" s="15" t="s">
        <v>2435</v>
      </c>
      <c r="D681" s="15" t="s">
        <v>673</v>
      </c>
      <c r="E681" s="15" t="s">
        <v>69</v>
      </c>
      <c r="G681" s="10" t="n">
        <v>5</v>
      </c>
      <c r="H681" s="21" t="n">
        <v>45979.6492939815</v>
      </c>
      <c r="I681" s="15" t="s">
        <v>2436</v>
      </c>
      <c r="J681" s="15" t="s">
        <v>2437</v>
      </c>
      <c r="K681" s="15" t="s">
        <v>2438</v>
      </c>
      <c r="L681" s="10" t="n">
        <f aca="false">COUNTIF($E$2:E681,E681)</f>
        <v>61</v>
      </c>
      <c r="M681" s="10" t="e">
        <f aca="false">ifs(L681=1, L681&amp;"-"&amp; COUNTIFS($L$2:L681,1))</f>
        <v>#NAME?</v>
      </c>
      <c r="O681" s="10"/>
      <c r="P681" s="22" t="n">
        <f aca="false">COUNTIFS(C:C,C681,N:N,"Đã xác nhận")/COUNTIFS(C:C,C681)</f>
        <v>0</v>
      </c>
      <c r="Q681" s="22"/>
      <c r="R681" s="0" t="s">
        <v>675</v>
      </c>
      <c r="S681" s="0" t="s">
        <v>535</v>
      </c>
      <c r="U681" s="24" t="n">
        <v>5</v>
      </c>
    </row>
    <row r="682" customFormat="false" ht="12.75" hidden="false" customHeight="false" outlineLevel="0" collapsed="false">
      <c r="A682" s="15" t="s">
        <v>2439</v>
      </c>
      <c r="B682" s="15" t="s">
        <v>2304</v>
      </c>
      <c r="C682" s="15" t="s">
        <v>2435</v>
      </c>
      <c r="D682" s="15" t="s">
        <v>673</v>
      </c>
      <c r="E682" s="15" t="s">
        <v>33</v>
      </c>
      <c r="G682" s="10" t="n">
        <v>5</v>
      </c>
      <c r="H682" s="21" t="n">
        <v>45979.6491319445</v>
      </c>
      <c r="I682" s="15" t="s">
        <v>2440</v>
      </c>
      <c r="J682" s="15" t="s">
        <v>2441</v>
      </c>
      <c r="K682" s="15" t="s">
        <v>2442</v>
      </c>
      <c r="L682" s="10" t="n">
        <f aca="false">COUNTIF($E$2:E682,E682)</f>
        <v>28</v>
      </c>
      <c r="M682" s="10" t="e">
        <f aca="false">ifs(L682=1, L682&amp;"-"&amp; COUNTIFS($L$2:L682,1))</f>
        <v>#NAME?</v>
      </c>
      <c r="O682" s="10"/>
      <c r="P682" s="22" t="n">
        <f aca="false">COUNTIFS(C:C,C682,N:N,"Đã xác nhận")/COUNTIFS(C:C,C682)</f>
        <v>0</v>
      </c>
      <c r="Q682" s="22"/>
      <c r="R682" s="0" t="s">
        <v>675</v>
      </c>
      <c r="S682" s="0" t="s">
        <v>536</v>
      </c>
      <c r="U682" s="24" t="n">
        <v>5</v>
      </c>
    </row>
    <row r="683" customFormat="false" ht="12.75" hidden="false" customHeight="false" outlineLevel="0" collapsed="false">
      <c r="A683" s="15" t="s">
        <v>2443</v>
      </c>
      <c r="B683" s="15" t="s">
        <v>2304</v>
      </c>
      <c r="C683" s="15" t="s">
        <v>2435</v>
      </c>
      <c r="D683" s="15" t="s">
        <v>673</v>
      </c>
      <c r="E683" s="15" t="s">
        <v>77</v>
      </c>
      <c r="G683" s="10" t="n">
        <v>5</v>
      </c>
      <c r="H683" s="21" t="n">
        <v>45979.6496296296</v>
      </c>
      <c r="I683" s="15" t="s">
        <v>2444</v>
      </c>
      <c r="J683" s="15" t="s">
        <v>2445</v>
      </c>
      <c r="K683" s="15" t="s">
        <v>2446</v>
      </c>
      <c r="L683" s="10" t="n">
        <f aca="false">COUNTIF($E$2:E683,E683)</f>
        <v>28</v>
      </c>
      <c r="M683" s="10" t="e">
        <f aca="false">ifs(L683=1, L683&amp;"-"&amp; COUNTIFS($L$2:L683,1))</f>
        <v>#NAME?</v>
      </c>
      <c r="O683" s="10"/>
      <c r="P683" s="22" t="n">
        <f aca="false">COUNTIFS(C:C,C683,N:N,"Đã xác nhận")/COUNTIFS(C:C,C683)</f>
        <v>0</v>
      </c>
      <c r="Q683" s="22"/>
      <c r="R683" s="0" t="s">
        <v>675</v>
      </c>
      <c r="S683" s="0" t="s">
        <v>78</v>
      </c>
      <c r="U683" s="24" t="n">
        <v>5</v>
      </c>
    </row>
    <row r="684" customFormat="false" ht="12.75" hidden="false" customHeight="false" outlineLevel="0" collapsed="false">
      <c r="A684" s="15" t="s">
        <v>2447</v>
      </c>
      <c r="B684" s="15" t="s">
        <v>2304</v>
      </c>
      <c r="C684" s="15" t="s">
        <v>526</v>
      </c>
      <c r="D684" s="15" t="s">
        <v>611</v>
      </c>
      <c r="E684" s="15" t="s">
        <v>69</v>
      </c>
      <c r="G684" s="10" t="n">
        <v>1</v>
      </c>
      <c r="H684" s="21" t="n">
        <v>45964.6546527778</v>
      </c>
      <c r="I684" s="15" t="s">
        <v>1566</v>
      </c>
      <c r="J684" s="15" t="s">
        <v>2448</v>
      </c>
      <c r="K684" s="15" t="s">
        <v>2449</v>
      </c>
      <c r="L684" s="10" t="n">
        <f aca="false">COUNTIF($E$2:E684,E684)</f>
        <v>62</v>
      </c>
      <c r="M684" s="10" t="e">
        <f aca="false">ifs(L684=1, L684&amp;"-"&amp; COUNTIFS($L$2:L684,1))</f>
        <v>#NAME?</v>
      </c>
      <c r="O684" s="10"/>
      <c r="P684" s="22" t="n">
        <f aca="false">COUNTIFS(C:C,C684,N:N,"Đã xác nhận")/COUNTIFS(C:C,C684)</f>
        <v>0</v>
      </c>
      <c r="Q684" s="22"/>
      <c r="R684" s="0" t="s">
        <v>613</v>
      </c>
      <c r="S684" s="0" t="s">
        <v>535</v>
      </c>
      <c r="U684" s="24" t="n">
        <v>1</v>
      </c>
    </row>
    <row r="685" customFormat="false" ht="12.75" hidden="false" customHeight="false" outlineLevel="0" collapsed="false">
      <c r="A685" s="15" t="s">
        <v>2450</v>
      </c>
      <c r="B685" s="15" t="s">
        <v>2304</v>
      </c>
      <c r="C685" s="15" t="s">
        <v>526</v>
      </c>
      <c r="D685" s="15" t="s">
        <v>611</v>
      </c>
      <c r="E685" s="15" t="s">
        <v>33</v>
      </c>
      <c r="G685" s="10" t="n">
        <v>1</v>
      </c>
      <c r="H685" s="21" t="n">
        <v>45979.6669328704</v>
      </c>
      <c r="I685" s="15" t="s">
        <v>2451</v>
      </c>
      <c r="J685" s="15" t="s">
        <v>2452</v>
      </c>
      <c r="K685" s="15" t="s">
        <v>2453</v>
      </c>
      <c r="L685" s="10" t="n">
        <f aca="false">COUNTIF($E$2:E685,E685)</f>
        <v>29</v>
      </c>
      <c r="M685" s="10" t="e">
        <f aca="false">ifs(L685=1, L685&amp;"-"&amp; COUNTIFS($L$2:L685,1))</f>
        <v>#NAME?</v>
      </c>
      <c r="O685" s="10"/>
      <c r="P685" s="22" t="n">
        <f aca="false">COUNTIFS(C:C,C685,N:N,"Đã xác nhận")/COUNTIFS(C:C,C685)</f>
        <v>0</v>
      </c>
      <c r="Q685" s="22"/>
      <c r="R685" s="0" t="s">
        <v>613</v>
      </c>
      <c r="S685" s="0" t="s">
        <v>536</v>
      </c>
      <c r="U685" s="24" t="n">
        <v>1</v>
      </c>
    </row>
    <row r="686" customFormat="false" ht="12.75" hidden="false" customHeight="false" outlineLevel="0" collapsed="false">
      <c r="A686" s="15" t="s">
        <v>2454</v>
      </c>
      <c r="B686" s="15" t="s">
        <v>2304</v>
      </c>
      <c r="C686" s="15" t="s">
        <v>526</v>
      </c>
      <c r="D686" s="15" t="s">
        <v>2346</v>
      </c>
      <c r="E686" s="15" t="s">
        <v>69</v>
      </c>
      <c r="G686" s="10" t="n">
        <v>3</v>
      </c>
      <c r="H686" s="21" t="n">
        <v>45964.6559837963</v>
      </c>
      <c r="I686" s="15" t="s">
        <v>2455</v>
      </c>
      <c r="J686" s="15" t="s">
        <v>2456</v>
      </c>
      <c r="K686" s="15" t="s">
        <v>2457</v>
      </c>
      <c r="L686" s="10" t="n">
        <f aca="false">COUNTIF($E$2:E686,E686)</f>
        <v>63</v>
      </c>
      <c r="M686" s="10" t="e">
        <f aca="false">ifs(L686=1, L686&amp;"-"&amp; COUNTIFS($L$2:L686,1))</f>
        <v>#NAME?</v>
      </c>
      <c r="O686" s="10"/>
      <c r="P686" s="22" t="n">
        <f aca="false">COUNTIFS(C:C,C686,N:N,"Đã xác nhận")/COUNTIFS(C:C,C686)</f>
        <v>0</v>
      </c>
      <c r="Q686" s="22"/>
      <c r="R686" s="0" t="s">
        <v>2346</v>
      </c>
      <c r="S686" s="0" t="s">
        <v>535</v>
      </c>
      <c r="U686" s="24" t="n">
        <v>3</v>
      </c>
    </row>
    <row r="687" customFormat="false" ht="12.75" hidden="false" customHeight="false" outlineLevel="0" collapsed="false">
      <c r="A687" s="15" t="s">
        <v>2458</v>
      </c>
      <c r="B687" s="15" t="s">
        <v>2304</v>
      </c>
      <c r="C687" s="15" t="s">
        <v>526</v>
      </c>
      <c r="D687" s="15" t="s">
        <v>2346</v>
      </c>
      <c r="E687" s="15" t="s">
        <v>33</v>
      </c>
      <c r="G687" s="10" t="n">
        <v>3</v>
      </c>
      <c r="H687" s="21" t="n">
        <v>45964.6561805556</v>
      </c>
      <c r="I687" s="15" t="s">
        <v>2459</v>
      </c>
      <c r="J687" s="15" t="s">
        <v>2460</v>
      </c>
      <c r="K687" s="15" t="s">
        <v>2461</v>
      </c>
      <c r="L687" s="10" t="n">
        <f aca="false">COUNTIF($E$2:E687,E687)</f>
        <v>30</v>
      </c>
      <c r="M687" s="10" t="e">
        <f aca="false">ifs(L687=1, L687&amp;"-"&amp; COUNTIFS($L$2:L687,1))</f>
        <v>#NAME?</v>
      </c>
      <c r="O687" s="10"/>
      <c r="P687" s="22" t="n">
        <f aca="false">COUNTIFS(C:C,C687,N:N,"Đã xác nhận")/COUNTIFS(C:C,C687)</f>
        <v>0</v>
      </c>
      <c r="Q687" s="22"/>
      <c r="R687" s="0" t="s">
        <v>2346</v>
      </c>
      <c r="S687" s="0" t="s">
        <v>536</v>
      </c>
      <c r="U687" s="24" t="n">
        <v>3</v>
      </c>
    </row>
    <row r="688" customFormat="false" ht="12.75" hidden="false" customHeight="false" outlineLevel="0" collapsed="false">
      <c r="A688" s="15" t="s">
        <v>2462</v>
      </c>
      <c r="B688" s="15" t="s">
        <v>2304</v>
      </c>
      <c r="C688" s="15" t="s">
        <v>526</v>
      </c>
      <c r="D688" s="15" t="s">
        <v>2333</v>
      </c>
      <c r="E688" s="15" t="s">
        <v>33</v>
      </c>
      <c r="G688" s="10" t="n">
        <v>1</v>
      </c>
      <c r="H688" s="21" t="n">
        <v>45964.6563657407</v>
      </c>
      <c r="I688" s="15" t="s">
        <v>2459</v>
      </c>
      <c r="J688" s="15" t="s">
        <v>2463</v>
      </c>
      <c r="K688" s="15" t="s">
        <v>2464</v>
      </c>
      <c r="L688" s="10" t="n">
        <f aca="false">COUNTIF($E$2:E688,E688)</f>
        <v>31</v>
      </c>
      <c r="M688" s="10" t="e">
        <f aca="false">ifs(L688=1, L688&amp;"-"&amp; COUNTIFS($L$2:L688,1))</f>
        <v>#NAME?</v>
      </c>
      <c r="O688" s="10"/>
      <c r="P688" s="22" t="n">
        <f aca="false">COUNTIFS(C:C,C688,N:N,"Đã xác nhận")/COUNTIFS(C:C,C688)</f>
        <v>0</v>
      </c>
      <c r="Q688" s="22"/>
      <c r="R688" s="0" t="s">
        <v>2333</v>
      </c>
      <c r="S688" s="0" t="s">
        <v>536</v>
      </c>
      <c r="U688" s="24" t="n">
        <v>1</v>
      </c>
    </row>
    <row r="689" customFormat="false" ht="12.75" hidden="false" customHeight="false" outlineLevel="0" collapsed="false">
      <c r="A689" s="15" t="s">
        <v>2465</v>
      </c>
      <c r="B689" s="15" t="s">
        <v>2304</v>
      </c>
      <c r="C689" s="15" t="s">
        <v>526</v>
      </c>
      <c r="D689" s="15" t="s">
        <v>2333</v>
      </c>
      <c r="E689" s="15" t="s">
        <v>69</v>
      </c>
      <c r="G689" s="10" t="n">
        <v>1</v>
      </c>
      <c r="H689" s="21" t="n">
        <v>45964.6565162037</v>
      </c>
      <c r="I689" s="15" t="s">
        <v>2455</v>
      </c>
      <c r="J689" s="15" t="s">
        <v>2466</v>
      </c>
      <c r="K689" s="15" t="s">
        <v>2467</v>
      </c>
      <c r="L689" s="10" t="n">
        <f aca="false">COUNTIF($E$2:E689,E689)</f>
        <v>64</v>
      </c>
      <c r="M689" s="10" t="e">
        <f aca="false">ifs(L689=1, L689&amp;"-"&amp; COUNTIFS($L$2:L689,1))</f>
        <v>#NAME?</v>
      </c>
      <c r="O689" s="10"/>
      <c r="P689" s="22" t="n">
        <f aca="false">COUNTIFS(C:C,C689,N:N,"Đã xác nhận")/COUNTIFS(C:C,C689)</f>
        <v>0</v>
      </c>
      <c r="Q689" s="22"/>
      <c r="R689" s="0" t="s">
        <v>2333</v>
      </c>
      <c r="S689" s="0" t="s">
        <v>535</v>
      </c>
      <c r="U689" s="24" t="n">
        <v>1</v>
      </c>
    </row>
    <row r="690" customFormat="false" ht="12.75" hidden="false" customHeight="false" outlineLevel="0" collapsed="false">
      <c r="A690" s="15" t="s">
        <v>2468</v>
      </c>
      <c r="B690" s="15" t="s">
        <v>2304</v>
      </c>
      <c r="C690" s="15" t="s">
        <v>526</v>
      </c>
      <c r="D690" s="15" t="s">
        <v>878</v>
      </c>
      <c r="E690" s="15" t="s">
        <v>69</v>
      </c>
      <c r="G690" s="10" t="n">
        <v>1</v>
      </c>
      <c r="H690" s="21" t="n">
        <v>45964.6566550926</v>
      </c>
      <c r="I690" s="15" t="s">
        <v>2455</v>
      </c>
      <c r="J690" s="15" t="s">
        <v>2469</v>
      </c>
      <c r="K690" s="15" t="s">
        <v>2470</v>
      </c>
      <c r="L690" s="10" t="n">
        <f aca="false">COUNTIF($E$2:E690,E690)</f>
        <v>65</v>
      </c>
      <c r="M690" s="10" t="e">
        <f aca="false">ifs(L690=1, L690&amp;"-"&amp; COUNTIFS($L$2:L690,1))</f>
        <v>#NAME?</v>
      </c>
      <c r="O690" s="10"/>
      <c r="P690" s="22" t="n">
        <f aca="false">COUNTIFS(C:C,C690,N:N,"Đã xác nhận")/COUNTIFS(C:C,C690)</f>
        <v>0</v>
      </c>
      <c r="Q690" s="22"/>
      <c r="R690" s="0" t="s">
        <v>768</v>
      </c>
      <c r="S690" s="0" t="s">
        <v>535</v>
      </c>
      <c r="U690" s="24" t="n">
        <v>1</v>
      </c>
    </row>
    <row r="691" customFormat="false" ht="12.75" hidden="false" customHeight="false" outlineLevel="0" collapsed="false">
      <c r="A691" s="15" t="s">
        <v>2471</v>
      </c>
      <c r="B691" s="15" t="s">
        <v>2304</v>
      </c>
      <c r="C691" s="15" t="s">
        <v>526</v>
      </c>
      <c r="D691" s="15" t="s">
        <v>878</v>
      </c>
      <c r="E691" s="15" t="s">
        <v>33</v>
      </c>
      <c r="G691" s="10" t="n">
        <v>1</v>
      </c>
      <c r="H691" s="21" t="n">
        <v>45964.6568402778</v>
      </c>
      <c r="I691" s="15" t="s">
        <v>2459</v>
      </c>
      <c r="J691" s="15" t="s">
        <v>2472</v>
      </c>
      <c r="K691" s="15" t="s">
        <v>2473</v>
      </c>
      <c r="L691" s="10" t="n">
        <f aca="false">COUNTIF($E$2:E691,E691)</f>
        <v>32</v>
      </c>
      <c r="M691" s="10" t="e">
        <f aca="false">ifs(L691=1, L691&amp;"-"&amp; COUNTIFS($L$2:L691,1))</f>
        <v>#NAME?</v>
      </c>
      <c r="O691" s="10"/>
      <c r="P691" s="22" t="n">
        <f aca="false">COUNTIFS(C:C,C691,N:N,"Đã xác nhận")/COUNTIFS(C:C,C691)</f>
        <v>0</v>
      </c>
      <c r="Q691" s="22"/>
      <c r="R691" s="0" t="s">
        <v>768</v>
      </c>
      <c r="S691" s="0" t="s">
        <v>536</v>
      </c>
      <c r="U691" s="24" t="n">
        <v>1</v>
      </c>
    </row>
    <row r="692" customFormat="false" ht="12.75" hidden="false" customHeight="false" outlineLevel="0" collapsed="false">
      <c r="A692" s="15" t="s">
        <v>2474</v>
      </c>
      <c r="B692" s="15" t="s">
        <v>2304</v>
      </c>
      <c r="C692" s="15" t="s">
        <v>526</v>
      </c>
      <c r="D692" s="15" t="s">
        <v>2311</v>
      </c>
      <c r="E692" s="15" t="s">
        <v>55</v>
      </c>
      <c r="G692" s="10" t="n">
        <v>1</v>
      </c>
      <c r="H692" s="21" t="n">
        <v>45964.6571180556</v>
      </c>
      <c r="I692" s="15" t="s">
        <v>2475</v>
      </c>
      <c r="J692" s="15" t="s">
        <v>2476</v>
      </c>
      <c r="K692" s="15" t="s">
        <v>2477</v>
      </c>
      <c r="L692" s="10" t="n">
        <f aca="false">COUNTIF($E$2:E692,E692)</f>
        <v>70</v>
      </c>
      <c r="M692" s="10" t="e">
        <f aca="false">ifs(L692=1, L692&amp;"-"&amp; COUNTIFS($L$2:L692,1))</f>
        <v>#NAME?</v>
      </c>
      <c r="O692" s="10"/>
      <c r="P692" s="22" t="n">
        <f aca="false">COUNTIFS(C:C,C692,N:N,"Đã xác nhận")/COUNTIFS(C:C,C692)</f>
        <v>0</v>
      </c>
      <c r="Q692" s="22"/>
      <c r="R692" s="0" t="s">
        <v>2313</v>
      </c>
      <c r="S692" s="0" t="s">
        <v>539</v>
      </c>
      <c r="U692" s="24" t="n">
        <v>1</v>
      </c>
    </row>
    <row r="693" customFormat="false" ht="12.75" hidden="false" customHeight="false" outlineLevel="0" collapsed="false">
      <c r="A693" s="15" t="s">
        <v>2478</v>
      </c>
      <c r="B693" s="15" t="s">
        <v>2304</v>
      </c>
      <c r="C693" s="15" t="s">
        <v>526</v>
      </c>
      <c r="D693" s="15" t="s">
        <v>2479</v>
      </c>
      <c r="E693" s="15" t="s">
        <v>55</v>
      </c>
      <c r="G693" s="10" t="n">
        <v>1</v>
      </c>
      <c r="H693" s="21" t="n">
        <v>45964.6573958333</v>
      </c>
      <c r="I693" s="15" t="s">
        <v>2480</v>
      </c>
      <c r="J693" s="15" t="s">
        <v>2481</v>
      </c>
      <c r="K693" s="15" t="s">
        <v>2482</v>
      </c>
      <c r="L693" s="10" t="n">
        <f aca="false">COUNTIF($E$2:E693,E693)</f>
        <v>71</v>
      </c>
      <c r="M693" s="10" t="e">
        <f aca="false">ifs(L693=1, L693&amp;"-"&amp; COUNTIFS($L$2:L693,1))</f>
        <v>#NAME?</v>
      </c>
      <c r="O693" s="10"/>
      <c r="P693" s="22" t="n">
        <f aca="false">COUNTIFS(C:C,C693,N:N,"Đã xác nhận")/COUNTIFS(C:C,C693)</f>
        <v>0</v>
      </c>
      <c r="Q693" s="22"/>
      <c r="R693" s="0" t="s">
        <v>2483</v>
      </c>
      <c r="S693" s="0" t="s">
        <v>539</v>
      </c>
      <c r="U693" s="24" t="n">
        <v>1</v>
      </c>
    </row>
    <row r="694" customFormat="false" ht="12.75" hidden="false" customHeight="false" outlineLevel="0" collapsed="false">
      <c r="A694" s="15" t="s">
        <v>2484</v>
      </c>
      <c r="B694" s="15" t="s">
        <v>2304</v>
      </c>
      <c r="C694" s="15" t="s">
        <v>526</v>
      </c>
      <c r="D694" s="15" t="s">
        <v>2374</v>
      </c>
      <c r="E694" s="15" t="s">
        <v>55</v>
      </c>
      <c r="G694" s="10" t="n">
        <v>1</v>
      </c>
      <c r="H694" s="21" t="n">
        <v>45964.6576736111</v>
      </c>
      <c r="I694" s="15" t="s">
        <v>2480</v>
      </c>
      <c r="J694" s="15" t="s">
        <v>2485</v>
      </c>
      <c r="K694" s="15" t="s">
        <v>2486</v>
      </c>
      <c r="L694" s="10" t="n">
        <f aca="false">COUNTIF($E$2:E694,E694)</f>
        <v>72</v>
      </c>
      <c r="M694" s="10" t="e">
        <f aca="false">ifs(L694=1, L694&amp;"-"&amp; COUNTIFS($L$2:L694,1))</f>
        <v>#NAME?</v>
      </c>
      <c r="O694" s="10"/>
      <c r="P694" s="22" t="n">
        <f aca="false">COUNTIFS(C:C,C694,N:N,"Đã xác nhận")/COUNTIFS(C:C,C694)</f>
        <v>0</v>
      </c>
      <c r="Q694" s="22"/>
      <c r="R694" s="0" t="s">
        <v>2376</v>
      </c>
      <c r="S694" s="0" t="s">
        <v>539</v>
      </c>
      <c r="U694" s="24" t="n">
        <v>1</v>
      </c>
    </row>
    <row r="695" customFormat="false" ht="12.75" hidden="false" customHeight="false" outlineLevel="0" collapsed="false">
      <c r="A695" s="15" t="s">
        <v>2487</v>
      </c>
      <c r="B695" s="15" t="s">
        <v>2304</v>
      </c>
      <c r="C695" s="15" t="s">
        <v>526</v>
      </c>
      <c r="D695" s="15" t="s">
        <v>2208</v>
      </c>
      <c r="E695" s="15" t="s">
        <v>55</v>
      </c>
      <c r="G695" s="10" t="n">
        <v>1</v>
      </c>
      <c r="H695" s="21" t="n">
        <v>45964.6578472222</v>
      </c>
      <c r="I695" s="15" t="s">
        <v>2480</v>
      </c>
      <c r="J695" s="15" t="s">
        <v>2488</v>
      </c>
      <c r="K695" s="15" t="s">
        <v>2489</v>
      </c>
      <c r="L695" s="10" t="n">
        <f aca="false">COUNTIF($E$2:E695,E695)</f>
        <v>73</v>
      </c>
      <c r="M695" s="10" t="e">
        <f aca="false">ifs(L695=1, L695&amp;"-"&amp; COUNTIFS($L$2:L695,1))</f>
        <v>#NAME?</v>
      </c>
      <c r="O695" s="10"/>
      <c r="P695" s="22" t="n">
        <f aca="false">COUNTIFS(C:C,C695,N:N,"Đã xác nhận")/COUNTIFS(C:C,C695)</f>
        <v>0</v>
      </c>
      <c r="Q695" s="22"/>
      <c r="R695" s="0" t="s">
        <v>2211</v>
      </c>
      <c r="S695" s="0" t="s">
        <v>539</v>
      </c>
      <c r="U695" s="24" t="n">
        <v>1</v>
      </c>
    </row>
    <row r="696" customFormat="false" ht="12.75" hidden="false" customHeight="false" outlineLevel="0" collapsed="false">
      <c r="A696" s="15" t="s">
        <v>2490</v>
      </c>
      <c r="B696" s="15" t="s">
        <v>2304</v>
      </c>
      <c r="C696" s="15" t="s">
        <v>526</v>
      </c>
      <c r="D696" s="15" t="s">
        <v>1224</v>
      </c>
      <c r="E696" s="15" t="s">
        <v>81</v>
      </c>
      <c r="G696" s="10" t="n">
        <v>2</v>
      </c>
      <c r="H696" s="21" t="n">
        <v>45964.6583333333</v>
      </c>
      <c r="I696" s="15" t="s">
        <v>2475</v>
      </c>
      <c r="J696" s="15" t="s">
        <v>2491</v>
      </c>
      <c r="K696" s="15" t="s">
        <v>2492</v>
      </c>
      <c r="L696" s="10" t="n">
        <f aca="false">COUNTIF($E$2:E696,E696)</f>
        <v>167</v>
      </c>
      <c r="M696" s="10" t="e">
        <f aca="false">ifs(L696=1, L696&amp;"-"&amp; COUNTIFS($L$2:L696,1))</f>
        <v>#NAME?</v>
      </c>
      <c r="O696" s="10"/>
      <c r="P696" s="22" t="n">
        <f aca="false">COUNTIFS(C:C,C696,N:N,"Đã xác nhận")/COUNTIFS(C:C,C696)</f>
        <v>0</v>
      </c>
      <c r="Q696" s="22"/>
      <c r="R696" s="0" t="s">
        <v>1226</v>
      </c>
      <c r="S696" s="0" t="s">
        <v>534</v>
      </c>
      <c r="U696" s="24" t="n">
        <v>2</v>
      </c>
    </row>
    <row r="697" customFormat="false" ht="12.75" hidden="false" customHeight="false" outlineLevel="0" collapsed="false">
      <c r="A697" s="15" t="s">
        <v>2493</v>
      </c>
      <c r="B697" s="15" t="s">
        <v>2304</v>
      </c>
      <c r="C697" s="15" t="s">
        <v>526</v>
      </c>
      <c r="D697" s="15" t="s">
        <v>2329</v>
      </c>
      <c r="E697" s="15" t="s">
        <v>47</v>
      </c>
      <c r="G697" s="10" t="n">
        <v>1</v>
      </c>
      <c r="H697" s="21" t="n">
        <v>45964.6623611111</v>
      </c>
      <c r="I697" s="15" t="s">
        <v>2475</v>
      </c>
      <c r="J697" s="15" t="s">
        <v>2494</v>
      </c>
      <c r="K697" s="15" t="s">
        <v>2495</v>
      </c>
      <c r="L697" s="10" t="n">
        <f aca="false">COUNTIF($E$2:E697,E697)</f>
        <v>44</v>
      </c>
      <c r="M697" s="10" t="e">
        <f aca="false">ifs(L697=1, L697&amp;"-"&amp; COUNTIFS($L$2:L697,1))</f>
        <v>#NAME?</v>
      </c>
      <c r="O697" s="10"/>
      <c r="P697" s="22" t="n">
        <f aca="false">COUNTIFS(C:C,C697,N:N,"Đã xác nhận")/COUNTIFS(C:C,C697)</f>
        <v>0</v>
      </c>
      <c r="Q697" s="22"/>
      <c r="R697" s="0" t="s">
        <v>2331</v>
      </c>
      <c r="S697" s="0" t="s">
        <v>549</v>
      </c>
      <c r="U697" s="24" t="n">
        <v>1</v>
      </c>
    </row>
    <row r="698" customFormat="false" ht="12.75" hidden="false" customHeight="false" outlineLevel="0" collapsed="false">
      <c r="A698" s="15" t="s">
        <v>2496</v>
      </c>
      <c r="B698" s="15" t="s">
        <v>2304</v>
      </c>
      <c r="C698" s="15" t="s">
        <v>2497</v>
      </c>
      <c r="D698" s="15" t="s">
        <v>2498</v>
      </c>
      <c r="E698" s="15" t="s">
        <v>49</v>
      </c>
      <c r="G698" s="10" t="n">
        <v>1</v>
      </c>
      <c r="H698" s="21" t="n">
        <v>45965.6074421296</v>
      </c>
      <c r="I698" s="15" t="s">
        <v>1566</v>
      </c>
      <c r="J698" s="15" t="s">
        <v>2499</v>
      </c>
      <c r="K698" s="15" t="s">
        <v>2500</v>
      </c>
      <c r="L698" s="10" t="n">
        <f aca="false">COUNTIF($E$2:E698,E698)</f>
        <v>7</v>
      </c>
      <c r="M698" s="10" t="e">
        <f aca="false">ifs(L698=1, L698&amp;"-"&amp; COUNTIFS($L$2:L698,1))</f>
        <v>#NAME?</v>
      </c>
      <c r="O698" s="10"/>
      <c r="P698" s="22" t="n">
        <f aca="false">COUNTIFS(C:C,C698,N:N,"Đã xác nhận")/COUNTIFS(C:C,C698)</f>
        <v>0</v>
      </c>
      <c r="Q698" s="22"/>
      <c r="R698" s="0" t="s">
        <v>2501</v>
      </c>
      <c r="S698" s="0" t="s">
        <v>537</v>
      </c>
      <c r="U698" s="24" t="n">
        <v>1</v>
      </c>
    </row>
    <row r="699" customFormat="false" ht="12.75" hidden="false" customHeight="false" outlineLevel="0" collapsed="false">
      <c r="A699" s="15" t="s">
        <v>2502</v>
      </c>
      <c r="B699" s="15" t="s">
        <v>2304</v>
      </c>
      <c r="C699" s="15" t="s">
        <v>2497</v>
      </c>
      <c r="D699" s="15" t="s">
        <v>2346</v>
      </c>
      <c r="E699" s="15" t="s">
        <v>69</v>
      </c>
      <c r="G699" s="10" t="n">
        <v>3</v>
      </c>
      <c r="H699" s="21" t="n">
        <v>45965.6087384259</v>
      </c>
      <c r="I699" s="15" t="s">
        <v>2503</v>
      </c>
      <c r="J699" s="15" t="s">
        <v>2504</v>
      </c>
      <c r="K699" s="15" t="s">
        <v>2505</v>
      </c>
      <c r="L699" s="10" t="n">
        <f aca="false">COUNTIF($E$2:E699,E699)</f>
        <v>66</v>
      </c>
      <c r="M699" s="10" t="e">
        <f aca="false">ifs(L699=1, L699&amp;"-"&amp; COUNTIFS($L$2:L699,1))</f>
        <v>#NAME?</v>
      </c>
      <c r="O699" s="10"/>
      <c r="P699" s="22" t="n">
        <f aca="false">COUNTIFS(C:C,C699,N:N,"Đã xác nhận")/COUNTIFS(C:C,C699)</f>
        <v>0</v>
      </c>
      <c r="Q699" s="22"/>
      <c r="R699" s="0" t="s">
        <v>2346</v>
      </c>
      <c r="S699" s="0" t="s">
        <v>535</v>
      </c>
      <c r="U699" s="24" t="n">
        <v>3</v>
      </c>
    </row>
    <row r="700" customFormat="false" ht="12.75" hidden="false" customHeight="false" outlineLevel="0" collapsed="false">
      <c r="A700" s="15" t="s">
        <v>2506</v>
      </c>
      <c r="B700" s="15" t="s">
        <v>2304</v>
      </c>
      <c r="C700" s="15" t="s">
        <v>2497</v>
      </c>
      <c r="D700" s="15" t="s">
        <v>2346</v>
      </c>
      <c r="E700" s="15" t="s">
        <v>33</v>
      </c>
      <c r="G700" s="10" t="n">
        <v>3</v>
      </c>
      <c r="H700" s="21" t="n">
        <v>45965.6090277778</v>
      </c>
      <c r="I700" s="15" t="s">
        <v>2503</v>
      </c>
      <c r="J700" s="15" t="s">
        <v>2507</v>
      </c>
      <c r="K700" s="15" t="s">
        <v>2508</v>
      </c>
      <c r="L700" s="10" t="n">
        <f aca="false">COUNTIF($E$2:E700,E700)</f>
        <v>33</v>
      </c>
      <c r="M700" s="10" t="e">
        <f aca="false">ifs(L700=1, L700&amp;"-"&amp; COUNTIFS($L$2:L700,1))</f>
        <v>#NAME?</v>
      </c>
      <c r="O700" s="10"/>
      <c r="P700" s="22" t="n">
        <f aca="false">COUNTIFS(C:C,C700,N:N,"Đã xác nhận")/COUNTIFS(C:C,C700)</f>
        <v>0</v>
      </c>
      <c r="Q700" s="22"/>
      <c r="R700" s="0" t="s">
        <v>2346</v>
      </c>
      <c r="S700" s="0" t="s">
        <v>536</v>
      </c>
      <c r="U700" s="24" t="n">
        <v>3</v>
      </c>
    </row>
    <row r="701" customFormat="false" ht="12.75" hidden="false" customHeight="false" outlineLevel="0" collapsed="false">
      <c r="A701" s="15" t="s">
        <v>2509</v>
      </c>
      <c r="B701" s="15" t="s">
        <v>2304</v>
      </c>
      <c r="C701" s="15" t="s">
        <v>2497</v>
      </c>
      <c r="D701" s="15" t="s">
        <v>611</v>
      </c>
      <c r="E701" s="15" t="s">
        <v>69</v>
      </c>
      <c r="G701" s="10" t="n">
        <v>1</v>
      </c>
      <c r="H701" s="21" t="n">
        <v>45965.6096180556</v>
      </c>
      <c r="I701" s="15" t="s">
        <v>2510</v>
      </c>
      <c r="J701" s="15" t="s">
        <v>2511</v>
      </c>
      <c r="K701" s="15" t="s">
        <v>2512</v>
      </c>
      <c r="L701" s="10" t="n">
        <f aca="false">COUNTIF($E$2:E701,E701)</f>
        <v>67</v>
      </c>
      <c r="M701" s="10" t="e">
        <f aca="false">ifs(L701=1, L701&amp;"-"&amp; COUNTIFS($L$2:L701,1))</f>
        <v>#NAME?</v>
      </c>
      <c r="O701" s="10"/>
      <c r="P701" s="22" t="n">
        <f aca="false">COUNTIFS(C:C,C701,N:N,"Đã xác nhận")/COUNTIFS(C:C,C701)</f>
        <v>0</v>
      </c>
      <c r="Q701" s="22"/>
      <c r="R701" s="0" t="s">
        <v>613</v>
      </c>
      <c r="S701" s="0" t="s">
        <v>535</v>
      </c>
      <c r="U701" s="24" t="n">
        <v>1</v>
      </c>
    </row>
    <row r="702" customFormat="false" ht="12.75" hidden="false" customHeight="false" outlineLevel="0" collapsed="false">
      <c r="A702" s="15" t="s">
        <v>2513</v>
      </c>
      <c r="B702" s="15" t="s">
        <v>2304</v>
      </c>
      <c r="C702" s="15" t="s">
        <v>2497</v>
      </c>
      <c r="D702" s="15" t="s">
        <v>611</v>
      </c>
      <c r="E702" s="15" t="s">
        <v>33</v>
      </c>
      <c r="G702" s="10" t="n">
        <v>1</v>
      </c>
      <c r="H702" s="21" t="n">
        <v>45965.6101157407</v>
      </c>
      <c r="I702" s="15" t="s">
        <v>2514</v>
      </c>
      <c r="J702" s="15" t="s">
        <v>2515</v>
      </c>
      <c r="K702" s="15" t="s">
        <v>2516</v>
      </c>
      <c r="L702" s="10" t="n">
        <f aca="false">COUNTIF($E$2:E702,E702)</f>
        <v>34</v>
      </c>
      <c r="M702" s="10" t="e">
        <f aca="false">ifs(L702=1, L702&amp;"-"&amp; COUNTIFS($L$2:L702,1))</f>
        <v>#NAME?</v>
      </c>
      <c r="O702" s="10"/>
      <c r="P702" s="22" t="n">
        <f aca="false">COUNTIFS(C:C,C702,N:N,"Đã xác nhận")/COUNTIFS(C:C,C702)</f>
        <v>0</v>
      </c>
      <c r="Q702" s="22"/>
      <c r="R702" s="0" t="s">
        <v>613</v>
      </c>
      <c r="S702" s="0" t="s">
        <v>536</v>
      </c>
      <c r="U702" s="24" t="n">
        <v>1</v>
      </c>
    </row>
    <row r="703" customFormat="false" ht="12.75" hidden="false" customHeight="false" outlineLevel="0" collapsed="false">
      <c r="A703" s="15" t="s">
        <v>2517</v>
      </c>
      <c r="B703" s="15" t="s">
        <v>2304</v>
      </c>
      <c r="C703" s="15" t="s">
        <v>2497</v>
      </c>
      <c r="D703" s="15" t="s">
        <v>2325</v>
      </c>
      <c r="E703" s="15" t="s">
        <v>47</v>
      </c>
      <c r="G703" s="10" t="n">
        <v>1</v>
      </c>
      <c r="H703" s="21" t="n">
        <v>45965.6102777778</v>
      </c>
      <c r="I703" s="15" t="s">
        <v>2518</v>
      </c>
      <c r="J703" s="15" t="s">
        <v>2519</v>
      </c>
      <c r="K703" s="15" t="s">
        <v>2520</v>
      </c>
      <c r="L703" s="10" t="n">
        <f aca="false">COUNTIF($E$2:E703,E703)</f>
        <v>45</v>
      </c>
      <c r="M703" s="10" t="e">
        <f aca="false">ifs(L703=1, L703&amp;"-"&amp; COUNTIFS($L$2:L703,1))</f>
        <v>#NAME?</v>
      </c>
      <c r="O703" s="10"/>
      <c r="P703" s="22" t="n">
        <f aca="false">COUNTIFS(C:C,C703,N:N,"Đã xác nhận")/COUNTIFS(C:C,C703)</f>
        <v>0</v>
      </c>
      <c r="Q703" s="22"/>
      <c r="R703" s="0" t="s">
        <v>2327</v>
      </c>
      <c r="S703" s="0" t="s">
        <v>549</v>
      </c>
      <c r="U703" s="24" t="n">
        <v>1</v>
      </c>
    </row>
    <row r="704" customFormat="false" ht="12.75" hidden="false" customHeight="false" outlineLevel="0" collapsed="false">
      <c r="A704" s="15" t="s">
        <v>2521</v>
      </c>
      <c r="B704" s="15" t="s">
        <v>2304</v>
      </c>
      <c r="C704" s="15" t="s">
        <v>2497</v>
      </c>
      <c r="D704" s="15" t="s">
        <v>2522</v>
      </c>
      <c r="E704" s="15" t="s">
        <v>55</v>
      </c>
      <c r="G704" s="10" t="n">
        <v>1</v>
      </c>
      <c r="H704" s="21" t="n">
        <v>45965.6109490741</v>
      </c>
      <c r="I704" s="15" t="s">
        <v>2518</v>
      </c>
      <c r="J704" s="15" t="s">
        <v>2523</v>
      </c>
      <c r="K704" s="15" t="s">
        <v>2524</v>
      </c>
      <c r="L704" s="10" t="n">
        <f aca="false">COUNTIF($E$2:E704,E704)</f>
        <v>74</v>
      </c>
      <c r="M704" s="10" t="e">
        <f aca="false">ifs(L704=1, L704&amp;"-"&amp; COUNTIFS($L$2:L704,1))</f>
        <v>#NAME?</v>
      </c>
      <c r="O704" s="10"/>
      <c r="P704" s="22" t="n">
        <f aca="false">COUNTIFS(C:C,C704,N:N,"Đã xác nhận")/COUNTIFS(C:C,C704)</f>
        <v>0</v>
      </c>
      <c r="Q704" s="22"/>
      <c r="R704" s="0" t="s">
        <v>2525</v>
      </c>
      <c r="S704" s="0" t="s">
        <v>539</v>
      </c>
      <c r="U704" s="24" t="n">
        <v>1</v>
      </c>
    </row>
    <row r="705" customFormat="false" ht="12.75" hidden="false" customHeight="false" outlineLevel="0" collapsed="false">
      <c r="A705" s="15" t="s">
        <v>2526</v>
      </c>
      <c r="B705" s="15" t="s">
        <v>2304</v>
      </c>
      <c r="C705" s="15" t="s">
        <v>2497</v>
      </c>
      <c r="D705" s="15" t="s">
        <v>2325</v>
      </c>
      <c r="E705" s="15" t="s">
        <v>55</v>
      </c>
      <c r="G705" s="10" t="n">
        <v>1</v>
      </c>
      <c r="H705" s="21" t="n">
        <v>45965.6112384259</v>
      </c>
      <c r="I705" s="15" t="s">
        <v>2527</v>
      </c>
      <c r="J705" s="15" t="s">
        <v>2528</v>
      </c>
      <c r="K705" s="15" t="s">
        <v>2529</v>
      </c>
      <c r="L705" s="10" t="n">
        <f aca="false">COUNTIF($E$2:E705,E705)</f>
        <v>75</v>
      </c>
      <c r="M705" s="10" t="e">
        <f aca="false">ifs(L705=1, L705&amp;"-"&amp; COUNTIFS($L$2:L705,1))</f>
        <v>#NAME?</v>
      </c>
      <c r="O705" s="10"/>
      <c r="P705" s="22" t="n">
        <f aca="false">COUNTIFS(C:C,C705,N:N,"Đã xác nhận")/COUNTIFS(C:C,C705)</f>
        <v>0</v>
      </c>
      <c r="Q705" s="22"/>
      <c r="R705" s="0" t="s">
        <v>2327</v>
      </c>
      <c r="S705" s="0" t="s">
        <v>539</v>
      </c>
      <c r="U705" s="24" t="n">
        <v>1</v>
      </c>
    </row>
    <row r="706" customFormat="false" ht="12.75" hidden="false" customHeight="false" outlineLevel="0" collapsed="false">
      <c r="A706" s="15" t="s">
        <v>2530</v>
      </c>
      <c r="B706" s="15" t="s">
        <v>2304</v>
      </c>
      <c r="C706" s="15" t="s">
        <v>2497</v>
      </c>
      <c r="D706" s="15" t="s">
        <v>2531</v>
      </c>
      <c r="E706" s="15" t="s">
        <v>55</v>
      </c>
      <c r="G706" s="10" t="n">
        <v>1</v>
      </c>
      <c r="H706" s="21" t="n">
        <v>45965.6115509259</v>
      </c>
      <c r="I706" s="15" t="s">
        <v>2527</v>
      </c>
      <c r="J706" s="15" t="s">
        <v>2532</v>
      </c>
      <c r="K706" s="15" t="s">
        <v>2533</v>
      </c>
      <c r="L706" s="10" t="n">
        <f aca="false">COUNTIF($E$2:E706,E706)</f>
        <v>76</v>
      </c>
      <c r="M706" s="10" t="e">
        <f aca="false">ifs(L706=1, L706&amp;"-"&amp; COUNTIFS($L$2:L706,1))</f>
        <v>#NAME?</v>
      </c>
      <c r="O706" s="10"/>
      <c r="P706" s="22" t="n">
        <f aca="false">COUNTIFS(C:C,C706,N:N,"Đã xác nhận")/COUNTIFS(C:C,C706)</f>
        <v>0</v>
      </c>
      <c r="Q706" s="22"/>
      <c r="R706" s="0" t="s">
        <v>2534</v>
      </c>
      <c r="S706" s="0" t="s">
        <v>539</v>
      </c>
      <c r="U706" s="24" t="n">
        <v>1</v>
      </c>
    </row>
    <row r="707" customFormat="false" ht="12.75" hidden="false" customHeight="false" outlineLevel="0" collapsed="false">
      <c r="A707" s="15" t="s">
        <v>2535</v>
      </c>
      <c r="B707" s="15" t="s">
        <v>2304</v>
      </c>
      <c r="C707" s="15" t="s">
        <v>511</v>
      </c>
      <c r="D707" s="15" t="s">
        <v>2536</v>
      </c>
      <c r="E707" s="15" t="s">
        <v>51</v>
      </c>
      <c r="G707" s="10" t="n">
        <v>1</v>
      </c>
      <c r="H707" s="21" t="n">
        <v>46046.464375</v>
      </c>
      <c r="I707" s="15" t="s">
        <v>2537</v>
      </c>
      <c r="J707" s="15" t="s">
        <v>2537</v>
      </c>
      <c r="K707" s="15"/>
      <c r="L707" s="10" t="n">
        <f aca="false">COUNTIF($E$2:E707,E707)</f>
        <v>3</v>
      </c>
      <c r="M707" s="10" t="e">
        <f aca="false">ifs(L707=1, L707&amp;"-"&amp; COUNTIFS($L$2:L707,1))</f>
        <v>#NAME?</v>
      </c>
      <c r="N707" s="15" t="s">
        <v>603</v>
      </c>
      <c r="O707" s="10"/>
      <c r="P707" s="22" t="n">
        <f aca="false">COUNTIFS(C:C,C707,N:N,"Đã xác nhận")/COUNTIFS(C:C,C707)</f>
        <v>1</v>
      </c>
      <c r="Q707" s="22"/>
      <c r="R707" s="0" t="s">
        <v>2538</v>
      </c>
      <c r="S707" s="0" t="s">
        <v>573</v>
      </c>
      <c r="U707" s="24" t="n">
        <v>1</v>
      </c>
    </row>
    <row r="708" customFormat="false" ht="12.75" hidden="false" customHeight="false" outlineLevel="0" collapsed="false">
      <c r="A708" s="15" t="s">
        <v>2539</v>
      </c>
      <c r="B708" s="15"/>
      <c r="C708" s="15"/>
      <c r="D708" s="15"/>
      <c r="E708" s="15"/>
      <c r="G708" s="10" t="n">
        <v>0</v>
      </c>
      <c r="H708" s="21" t="n">
        <v>46049.6634953704</v>
      </c>
      <c r="I708" s="15" t="s">
        <v>2540</v>
      </c>
      <c r="J708" s="15" t="s">
        <v>695</v>
      </c>
      <c r="K708" s="15" t="s">
        <v>2541</v>
      </c>
      <c r="L708" s="10" t="n">
        <f aca="false">COUNTIF($E$2:E708,E708)</f>
        <v>0</v>
      </c>
      <c r="M708" s="10" t="e">
        <f aca="false">ifs(L708=1, L708&amp;"-"&amp; COUNTIFS($L$2:L708,1))</f>
        <v>#NAME?</v>
      </c>
      <c r="O708" s="10"/>
      <c r="P708" s="22" t="e">
        <f aca="false">COUNTIFS(C:C,C708,N:N,"Đã xác nhận")/COUNTIFS(C:C,C708)</f>
        <v>#DIV/0!</v>
      </c>
      <c r="Q708" s="22"/>
      <c r="R708" s="0" t="e">
        <f aca="false">#VALUE!</f>
        <v>#VALUE!</v>
      </c>
      <c r="S708" s="0" t="e">
        <f aca="false">#VALUE!</f>
        <v>#VALUE!</v>
      </c>
      <c r="U708" s="24" t="n">
        <v>0</v>
      </c>
    </row>
    <row r="709" customFormat="false" ht="12.75" hidden="false" customHeight="false" outlineLevel="0" collapsed="false">
      <c r="A709" s="15" t="s">
        <v>2542</v>
      </c>
      <c r="B709" s="15"/>
      <c r="C709" s="15"/>
      <c r="D709" s="15"/>
      <c r="E709" s="15"/>
      <c r="G709" s="10" t="n">
        <v>0</v>
      </c>
      <c r="H709" s="21" t="n">
        <v>46049.6634953704</v>
      </c>
      <c r="I709" s="15" t="s">
        <v>2543</v>
      </c>
      <c r="J709" s="15" t="s">
        <v>695</v>
      </c>
      <c r="K709" s="15" t="s">
        <v>2544</v>
      </c>
      <c r="L709" s="10" t="n">
        <f aca="false">COUNTIF($E$2:E709,E709)</f>
        <v>0</v>
      </c>
      <c r="M709" s="10" t="e">
        <f aca="false">ifs(L709=1, L709&amp;"-"&amp; COUNTIFS($L$2:L709,1))</f>
        <v>#NAME?</v>
      </c>
      <c r="O709" s="10"/>
      <c r="P709" s="22" t="e">
        <f aca="false">COUNTIFS(C:C,C709,N:N,"Đã xác nhận")/COUNTIFS(C:C,C709)</f>
        <v>#DIV/0!</v>
      </c>
      <c r="Q709" s="22"/>
      <c r="R709" s="0" t="e">
        <f aca="false">#VALUE!</f>
        <v>#VALUE!</v>
      </c>
      <c r="S709" s="0" t="e">
        <f aca="false">#VALUE!</f>
        <v>#VALUE!</v>
      </c>
      <c r="U709" s="24" t="n">
        <v>0</v>
      </c>
    </row>
    <row r="710" customFormat="false" ht="12.75" hidden="false" customHeight="false" outlineLevel="0" collapsed="false">
      <c r="A710" s="15" t="s">
        <v>2545</v>
      </c>
      <c r="B710" s="15" t="s">
        <v>2304</v>
      </c>
      <c r="C710" s="15" t="s">
        <v>511</v>
      </c>
      <c r="D710" s="15" t="s">
        <v>2385</v>
      </c>
      <c r="E710" s="15" t="s">
        <v>55</v>
      </c>
      <c r="G710" s="10" t="n">
        <v>1</v>
      </c>
      <c r="H710" s="21" t="n">
        <v>46046.4644097222</v>
      </c>
      <c r="I710" s="15" t="s">
        <v>2546</v>
      </c>
      <c r="J710" s="15" t="s">
        <v>2546</v>
      </c>
      <c r="K710" s="15"/>
      <c r="L710" s="10" t="n">
        <f aca="false">COUNTIF($E$2:E710,E710)</f>
        <v>77</v>
      </c>
      <c r="M710" s="10" t="e">
        <f aca="false">ifs(L710=1, L710&amp;"-"&amp; COUNTIFS($L$2:L710,1))</f>
        <v>#NAME?</v>
      </c>
      <c r="N710" s="15" t="s">
        <v>603</v>
      </c>
      <c r="O710" s="10"/>
      <c r="P710" s="22" t="n">
        <f aca="false">COUNTIFS(C:C,C710,N:N,"Đã xác nhận")/COUNTIFS(C:C,C710)</f>
        <v>1</v>
      </c>
      <c r="Q710" s="22"/>
      <c r="R710" s="0" t="s">
        <v>2387</v>
      </c>
      <c r="S710" s="0" t="s">
        <v>539</v>
      </c>
      <c r="U710" s="24" t="n">
        <v>1</v>
      </c>
    </row>
    <row r="711" customFormat="false" ht="12.75" hidden="false" customHeight="false" outlineLevel="0" collapsed="false">
      <c r="A711" s="15" t="s">
        <v>2547</v>
      </c>
      <c r="B711" s="15" t="s">
        <v>2304</v>
      </c>
      <c r="C711" s="15" t="s">
        <v>511</v>
      </c>
      <c r="D711" s="15" t="s">
        <v>2401</v>
      </c>
      <c r="E711" s="15" t="s">
        <v>89</v>
      </c>
      <c r="G711" s="10" t="n">
        <v>2</v>
      </c>
      <c r="H711" s="21" t="n">
        <v>46049.6635185185</v>
      </c>
      <c r="I711" s="15" t="s">
        <v>2548</v>
      </c>
      <c r="J711" s="15" t="s">
        <v>2548</v>
      </c>
      <c r="K711" s="15"/>
      <c r="L711" s="10" t="n">
        <f aca="false">COUNTIF($E$2:E711,E711)</f>
        <v>3</v>
      </c>
      <c r="M711" s="10" t="e">
        <f aca="false">ifs(L711=1, L711&amp;"-"&amp; COUNTIFS($L$2:L711,1))</f>
        <v>#NAME?</v>
      </c>
      <c r="N711" s="15" t="s">
        <v>603</v>
      </c>
      <c r="O711" s="10"/>
      <c r="P711" s="22" t="n">
        <f aca="false">COUNTIFS(C:C,C711,N:N,"Đã xác nhận")/COUNTIFS(C:C,C711)</f>
        <v>1</v>
      </c>
      <c r="Q711" s="22"/>
      <c r="R711" s="0" t="s">
        <v>2403</v>
      </c>
      <c r="S711" s="0" t="s">
        <v>574</v>
      </c>
      <c r="U711" s="24" t="n">
        <v>2</v>
      </c>
    </row>
    <row r="712" customFormat="false" ht="12.75" hidden="false" customHeight="false" outlineLevel="0" collapsed="false">
      <c r="A712" s="15" t="s">
        <v>2549</v>
      </c>
      <c r="B712" s="15" t="s">
        <v>2304</v>
      </c>
      <c r="C712" s="15" t="s">
        <v>511</v>
      </c>
      <c r="D712" s="15" t="s">
        <v>2389</v>
      </c>
      <c r="E712" s="15" t="s">
        <v>23</v>
      </c>
      <c r="G712" s="10" t="n">
        <v>1</v>
      </c>
      <c r="H712" s="21" t="n">
        <v>46046.4646990741</v>
      </c>
      <c r="I712" s="15" t="s">
        <v>2550</v>
      </c>
      <c r="J712" s="15" t="s">
        <v>2550</v>
      </c>
      <c r="K712" s="15"/>
      <c r="L712" s="10" t="n">
        <f aca="false">COUNTIF($E$2:E712,E712)</f>
        <v>2</v>
      </c>
      <c r="M712" s="10" t="e">
        <f aca="false">ifs(L712=1, L712&amp;"-"&amp; COUNTIFS($L$2:L712,1))</f>
        <v>#NAME?</v>
      </c>
      <c r="N712" s="15" t="s">
        <v>603</v>
      </c>
      <c r="O712" s="10"/>
      <c r="P712" s="22" t="n">
        <f aca="false">COUNTIFS(C:C,C712,N:N,"Đã xác nhận")/COUNTIFS(C:C,C712)</f>
        <v>1</v>
      </c>
      <c r="Q712" s="22"/>
      <c r="R712" s="0" t="s">
        <v>2391</v>
      </c>
      <c r="S712" s="0" t="s">
        <v>575</v>
      </c>
      <c r="U712" s="24" t="n">
        <v>1</v>
      </c>
    </row>
    <row r="713" customFormat="false" ht="12.75" hidden="false" customHeight="false" outlineLevel="0" collapsed="false">
      <c r="A713" s="15" t="s">
        <v>2551</v>
      </c>
      <c r="B713" s="15" t="s">
        <v>2304</v>
      </c>
      <c r="C713" s="15" t="s">
        <v>469</v>
      </c>
      <c r="D713" s="15" t="s">
        <v>2346</v>
      </c>
      <c r="E713" s="15" t="s">
        <v>69</v>
      </c>
      <c r="G713" s="10" t="n">
        <v>4</v>
      </c>
      <c r="H713" s="21" t="n">
        <v>46085.7368634259</v>
      </c>
      <c r="I713" s="15" t="s">
        <v>2552</v>
      </c>
      <c r="J713" s="15" t="s">
        <v>2552</v>
      </c>
      <c r="K713" s="15"/>
      <c r="L713" s="10" t="n">
        <f aca="false">COUNTIF($E$2:E713,E713)</f>
        <v>68</v>
      </c>
      <c r="M713" s="10" t="e">
        <f aca="false">ifs(L713=1, L713&amp;"-"&amp; COUNTIFS($L$2:L713,1))</f>
        <v>#NAME?</v>
      </c>
      <c r="N713" s="15" t="s">
        <v>603</v>
      </c>
      <c r="O713" s="10"/>
      <c r="P713" s="22" t="n">
        <f aca="false">COUNTIFS(C:C,C713,N:N,"Đã xác nhận")/COUNTIFS(C:C,C713)</f>
        <v>1</v>
      </c>
      <c r="Q713" s="22"/>
      <c r="R713" s="0" t="s">
        <v>2346</v>
      </c>
      <c r="S713" s="0" t="s">
        <v>535</v>
      </c>
      <c r="U713" s="24" t="n">
        <v>4</v>
      </c>
    </row>
    <row r="714" customFormat="false" ht="12.75" hidden="false" customHeight="false" outlineLevel="0" collapsed="false">
      <c r="A714" s="15" t="s">
        <v>2553</v>
      </c>
      <c r="B714" s="15" t="s">
        <v>2304</v>
      </c>
      <c r="C714" s="15" t="s">
        <v>469</v>
      </c>
      <c r="D714" s="15" t="s">
        <v>611</v>
      </c>
      <c r="E714" s="15" t="s">
        <v>69</v>
      </c>
      <c r="G714" s="10" t="n">
        <v>1</v>
      </c>
      <c r="H714" s="21" t="n">
        <v>46085.7368518519</v>
      </c>
      <c r="I714" s="15" t="s">
        <v>2554</v>
      </c>
      <c r="J714" s="15" t="s">
        <v>2554</v>
      </c>
      <c r="K714" s="15"/>
      <c r="L714" s="10" t="n">
        <f aca="false">COUNTIF($E$2:E714,E714)</f>
        <v>69</v>
      </c>
      <c r="M714" s="10" t="e">
        <f aca="false">ifs(L714=1, L714&amp;"-"&amp; COUNTIFS($L$2:L714,1))</f>
        <v>#NAME?</v>
      </c>
      <c r="N714" s="15" t="s">
        <v>603</v>
      </c>
      <c r="O714" s="10"/>
      <c r="P714" s="22" t="n">
        <f aca="false">COUNTIFS(C:C,C714,N:N,"Đã xác nhận")/COUNTIFS(C:C,C714)</f>
        <v>1</v>
      </c>
      <c r="Q714" s="22"/>
      <c r="R714" s="0" t="s">
        <v>613</v>
      </c>
      <c r="S714" s="0" t="s">
        <v>535</v>
      </c>
      <c r="U714" s="24" t="n">
        <v>1</v>
      </c>
    </row>
    <row r="715" customFormat="false" ht="12.75" hidden="false" customHeight="false" outlineLevel="0" collapsed="false">
      <c r="A715" s="15" t="s">
        <v>2555</v>
      </c>
      <c r="B715" s="15" t="s">
        <v>2304</v>
      </c>
      <c r="C715" s="15" t="s">
        <v>469</v>
      </c>
      <c r="D715" s="15" t="s">
        <v>2522</v>
      </c>
      <c r="E715" s="15" t="s">
        <v>55</v>
      </c>
      <c r="G715" s="10" t="n">
        <v>1</v>
      </c>
      <c r="H715" s="21" t="n">
        <v>46085.7457986111</v>
      </c>
      <c r="I715" s="15" t="s">
        <v>2556</v>
      </c>
      <c r="J715" s="15" t="s">
        <v>2556</v>
      </c>
      <c r="K715" s="15"/>
      <c r="L715" s="10" t="n">
        <f aca="false">COUNTIF($E$2:E715,E715)</f>
        <v>78</v>
      </c>
      <c r="M715" s="10" t="e">
        <f aca="false">ifs(L715=1, L715&amp;"-"&amp; COUNTIFS($L$2:L715,1))</f>
        <v>#NAME?</v>
      </c>
      <c r="N715" s="15" t="s">
        <v>603</v>
      </c>
      <c r="O715" s="10"/>
      <c r="P715" s="22" t="n">
        <f aca="false">COUNTIFS(C:C,C715,N:N,"Đã xác nhận")/COUNTIFS(C:C,C715)</f>
        <v>1</v>
      </c>
      <c r="Q715" s="22"/>
      <c r="R715" s="0" t="s">
        <v>2525</v>
      </c>
      <c r="S715" s="0" t="s">
        <v>539</v>
      </c>
      <c r="U715" s="24" t="n">
        <v>1</v>
      </c>
    </row>
    <row r="716" customFormat="false" ht="12.75" hidden="false" customHeight="false" outlineLevel="0" collapsed="false">
      <c r="A716" s="15" t="s">
        <v>2557</v>
      </c>
      <c r="B716" s="15"/>
      <c r="C716" s="15"/>
      <c r="D716" s="15"/>
      <c r="E716" s="15"/>
      <c r="G716" s="10" t="n">
        <v>0</v>
      </c>
      <c r="H716" s="21" t="n">
        <v>46079.7680902778</v>
      </c>
      <c r="I716" s="15" t="s">
        <v>2558</v>
      </c>
      <c r="J716" s="15" t="s">
        <v>695</v>
      </c>
      <c r="K716" s="15" t="s">
        <v>2559</v>
      </c>
      <c r="L716" s="10" t="n">
        <f aca="false">COUNTIF($E$2:E716,E716)</f>
        <v>0</v>
      </c>
      <c r="M716" s="10" t="e">
        <f aca="false">ifs(L716=1, L716&amp;"-"&amp; COUNTIFS($L$2:L716,1))</f>
        <v>#NAME?</v>
      </c>
      <c r="O716" s="10"/>
      <c r="P716" s="22" t="e">
        <f aca="false">COUNTIFS(C:C,C716,N:N,"Đã xác nhận")/COUNTIFS(C:C,C716)</f>
        <v>#DIV/0!</v>
      </c>
      <c r="Q716" s="22"/>
      <c r="R716" s="0" t="e">
        <f aca="false">#VALUE!</f>
        <v>#VALUE!</v>
      </c>
      <c r="S716" s="0" t="e">
        <f aca="false">#VALUE!</f>
        <v>#VALUE!</v>
      </c>
      <c r="U716" s="24" t="n">
        <v>0</v>
      </c>
    </row>
    <row r="717" customFormat="false" ht="12.75" hidden="false" customHeight="false" outlineLevel="0" collapsed="false">
      <c r="A717" s="15" t="s">
        <v>2560</v>
      </c>
      <c r="B717" s="15" t="s">
        <v>2304</v>
      </c>
      <c r="C717" s="15" t="s">
        <v>469</v>
      </c>
      <c r="D717" s="15" t="s">
        <v>2346</v>
      </c>
      <c r="E717" s="15" t="s">
        <v>33</v>
      </c>
      <c r="G717" s="10" t="n">
        <v>4</v>
      </c>
      <c r="H717" s="21" t="n">
        <v>46085.7368171296</v>
      </c>
      <c r="I717" s="15" t="s">
        <v>2561</v>
      </c>
      <c r="J717" s="15" t="s">
        <v>2561</v>
      </c>
      <c r="K717" s="15"/>
      <c r="L717" s="10" t="n">
        <f aca="false">COUNTIF($E$2:E717,E717)</f>
        <v>35</v>
      </c>
      <c r="M717" s="10" t="e">
        <f aca="false">ifs(L717=1, L717&amp;"-"&amp; COUNTIFS($L$2:L717,1))</f>
        <v>#NAME?</v>
      </c>
      <c r="N717" s="15" t="s">
        <v>603</v>
      </c>
      <c r="O717" s="10"/>
      <c r="P717" s="22" t="n">
        <f aca="false">COUNTIFS(C:C,C717,N:N,"Đã xác nhận")/COUNTIFS(C:C,C717)</f>
        <v>1</v>
      </c>
      <c r="Q717" s="22"/>
      <c r="R717" s="0" t="s">
        <v>2346</v>
      </c>
      <c r="S717" s="0" t="s">
        <v>536</v>
      </c>
      <c r="U717" s="24" t="n">
        <v>4</v>
      </c>
    </row>
    <row r="718" customFormat="false" ht="12.75" hidden="false" customHeight="false" outlineLevel="0" collapsed="false">
      <c r="A718" s="15" t="s">
        <v>2562</v>
      </c>
      <c r="B718" s="15" t="s">
        <v>2304</v>
      </c>
      <c r="C718" s="15" t="s">
        <v>469</v>
      </c>
      <c r="D718" s="15" t="s">
        <v>611</v>
      </c>
      <c r="E718" s="15" t="s">
        <v>33</v>
      </c>
      <c r="G718" s="10" t="n">
        <v>1</v>
      </c>
      <c r="H718" s="21" t="n">
        <v>46085.7368055556</v>
      </c>
      <c r="I718" s="15" t="s">
        <v>2563</v>
      </c>
      <c r="J718" s="15" t="s">
        <v>2563</v>
      </c>
      <c r="K718" s="15"/>
      <c r="L718" s="10" t="n">
        <f aca="false">COUNTIF($E$2:E718,E718)</f>
        <v>36</v>
      </c>
      <c r="M718" s="10" t="e">
        <f aca="false">ifs(L718=1, L718&amp;"-"&amp; COUNTIFS($L$2:L718,1))</f>
        <v>#NAME?</v>
      </c>
      <c r="N718" s="15" t="s">
        <v>603</v>
      </c>
      <c r="O718" s="10"/>
      <c r="P718" s="22" t="n">
        <f aca="false">COUNTIFS(C:C,C718,N:N,"Đã xác nhận")/COUNTIFS(C:C,C718)</f>
        <v>1</v>
      </c>
      <c r="Q718" s="22"/>
      <c r="R718" s="0" t="s">
        <v>613</v>
      </c>
      <c r="S718" s="0" t="s">
        <v>536</v>
      </c>
      <c r="U718" s="24" t="n">
        <v>1</v>
      </c>
    </row>
    <row r="719" customFormat="false" ht="12.75" hidden="false" customHeight="false" outlineLevel="0" collapsed="false">
      <c r="A719" s="15" t="s">
        <v>2564</v>
      </c>
      <c r="B719" s="15" t="s">
        <v>2304</v>
      </c>
      <c r="C719" s="15" t="s">
        <v>2565</v>
      </c>
      <c r="D719" s="15" t="s">
        <v>2311</v>
      </c>
      <c r="E719" s="15" t="s">
        <v>55</v>
      </c>
      <c r="G719" s="10" t="n">
        <v>1</v>
      </c>
      <c r="H719" s="21" t="n">
        <v>45965.640150463</v>
      </c>
      <c r="I719" s="15" t="s">
        <v>1566</v>
      </c>
      <c r="J719" s="15" t="s">
        <v>2566</v>
      </c>
      <c r="K719" s="15" t="s">
        <v>2567</v>
      </c>
      <c r="L719" s="10" t="n">
        <f aca="false">COUNTIF($E$2:E719,E719)</f>
        <v>79</v>
      </c>
      <c r="M719" s="10" t="e">
        <f aca="false">ifs(L719=1, L719&amp;"-"&amp; COUNTIFS($L$2:L719,1))</f>
        <v>#NAME?</v>
      </c>
      <c r="O719" s="10"/>
      <c r="P719" s="22" t="n">
        <f aca="false">COUNTIFS(C:C,C719,N:N,"Đã xác nhận")/COUNTIFS(C:C,C719)</f>
        <v>0</v>
      </c>
      <c r="Q719" s="22"/>
      <c r="R719" s="0" t="s">
        <v>2313</v>
      </c>
      <c r="S719" s="0" t="s">
        <v>539</v>
      </c>
      <c r="U719" s="24" t="n">
        <v>1</v>
      </c>
    </row>
    <row r="720" customFormat="false" ht="12.75" hidden="false" customHeight="false" outlineLevel="0" collapsed="false">
      <c r="A720" s="15" t="s">
        <v>2568</v>
      </c>
      <c r="B720" s="15" t="s">
        <v>2304</v>
      </c>
      <c r="C720" s="15" t="s">
        <v>2565</v>
      </c>
      <c r="D720" s="15" t="s">
        <v>611</v>
      </c>
      <c r="E720" s="15" t="s">
        <v>69</v>
      </c>
      <c r="G720" s="10" t="n">
        <v>1</v>
      </c>
      <c r="H720" s="21" t="n">
        <v>45979.662650463</v>
      </c>
      <c r="I720" s="15" t="s">
        <v>2569</v>
      </c>
      <c r="J720" s="15" t="s">
        <v>2570</v>
      </c>
      <c r="K720" s="15" t="s">
        <v>2571</v>
      </c>
      <c r="L720" s="10" t="n">
        <f aca="false">COUNTIF($E$2:E720,E720)</f>
        <v>70</v>
      </c>
      <c r="M720" s="10" t="e">
        <f aca="false">ifs(L720=1, L720&amp;"-"&amp; COUNTIFS($L$2:L720,1))</f>
        <v>#NAME?</v>
      </c>
      <c r="O720" s="10"/>
      <c r="P720" s="22" t="n">
        <f aca="false">COUNTIFS(C:C,C720,N:N,"Đã xác nhận")/COUNTIFS(C:C,C720)</f>
        <v>0</v>
      </c>
      <c r="Q720" s="22"/>
      <c r="R720" s="0" t="s">
        <v>613</v>
      </c>
      <c r="S720" s="0" t="s">
        <v>535</v>
      </c>
      <c r="U720" s="24" t="n">
        <v>1</v>
      </c>
    </row>
    <row r="721" customFormat="false" ht="12.75" hidden="false" customHeight="false" outlineLevel="0" collapsed="false">
      <c r="A721" s="15" t="s">
        <v>2572</v>
      </c>
      <c r="B721" s="15" t="s">
        <v>2304</v>
      </c>
      <c r="C721" s="15" t="s">
        <v>2565</v>
      </c>
      <c r="D721" s="15" t="s">
        <v>611</v>
      </c>
      <c r="E721" s="15" t="s">
        <v>33</v>
      </c>
      <c r="G721" s="10" t="n">
        <v>1</v>
      </c>
      <c r="H721" s="21" t="n">
        <v>45979.6622800926</v>
      </c>
      <c r="I721" s="15" t="s">
        <v>2573</v>
      </c>
      <c r="J721" s="15" t="s">
        <v>2574</v>
      </c>
      <c r="K721" s="15" t="s">
        <v>2575</v>
      </c>
      <c r="L721" s="10" t="n">
        <f aca="false">COUNTIF($E$2:E721,E721)</f>
        <v>37</v>
      </c>
      <c r="M721" s="10" t="e">
        <f aca="false">ifs(L721=1, L721&amp;"-"&amp; COUNTIFS($L$2:L721,1))</f>
        <v>#NAME?</v>
      </c>
      <c r="O721" s="10"/>
      <c r="P721" s="22" t="n">
        <f aca="false">COUNTIFS(C:C,C721,N:N,"Đã xác nhận")/COUNTIFS(C:C,C721)</f>
        <v>0</v>
      </c>
      <c r="Q721" s="22"/>
      <c r="R721" s="0" t="s">
        <v>613</v>
      </c>
      <c r="S721" s="0" t="s">
        <v>536</v>
      </c>
      <c r="U721" s="24" t="n">
        <v>1</v>
      </c>
    </row>
    <row r="722" customFormat="false" ht="12.75" hidden="false" customHeight="false" outlineLevel="0" collapsed="false">
      <c r="A722" s="15" t="s">
        <v>2576</v>
      </c>
      <c r="B722" s="15" t="s">
        <v>2304</v>
      </c>
      <c r="C722" s="15" t="s">
        <v>2565</v>
      </c>
      <c r="D722" s="15" t="s">
        <v>2346</v>
      </c>
      <c r="E722" s="15" t="s">
        <v>69</v>
      </c>
      <c r="G722" s="10" t="n">
        <v>3</v>
      </c>
      <c r="H722" s="21" t="n">
        <v>45979.6627546296</v>
      </c>
      <c r="I722" s="15" t="s">
        <v>2577</v>
      </c>
      <c r="J722" s="15" t="s">
        <v>2578</v>
      </c>
      <c r="K722" s="15" t="s">
        <v>2579</v>
      </c>
      <c r="L722" s="10" t="n">
        <f aca="false">COUNTIF($E$2:E722,E722)</f>
        <v>71</v>
      </c>
      <c r="M722" s="10" t="e">
        <f aca="false">ifs(L722=1, L722&amp;"-"&amp; COUNTIFS($L$2:L722,1))</f>
        <v>#NAME?</v>
      </c>
      <c r="O722" s="10"/>
      <c r="P722" s="22" t="n">
        <f aca="false">COUNTIFS(C:C,C722,N:N,"Đã xác nhận")/COUNTIFS(C:C,C722)</f>
        <v>0</v>
      </c>
      <c r="Q722" s="22"/>
      <c r="R722" s="0" t="s">
        <v>2346</v>
      </c>
      <c r="S722" s="0" t="s">
        <v>535</v>
      </c>
      <c r="U722" s="24" t="n">
        <v>3</v>
      </c>
    </row>
    <row r="723" customFormat="false" ht="12.75" hidden="false" customHeight="false" outlineLevel="0" collapsed="false">
      <c r="A723" s="15" t="s">
        <v>2580</v>
      </c>
      <c r="B723" s="15" t="s">
        <v>2304</v>
      </c>
      <c r="C723" s="15" t="s">
        <v>2565</v>
      </c>
      <c r="D723" s="15" t="s">
        <v>2346</v>
      </c>
      <c r="E723" s="15" t="s">
        <v>33</v>
      </c>
      <c r="G723" s="10" t="n">
        <v>3</v>
      </c>
      <c r="H723" s="21" t="n">
        <v>45979.6621180556</v>
      </c>
      <c r="I723" s="15" t="s">
        <v>2581</v>
      </c>
      <c r="J723" s="15" t="s">
        <v>2582</v>
      </c>
      <c r="K723" s="15" t="s">
        <v>2583</v>
      </c>
      <c r="L723" s="10" t="n">
        <f aca="false">COUNTIF($E$2:E723,E723)</f>
        <v>38</v>
      </c>
      <c r="M723" s="10" t="e">
        <f aca="false">ifs(L723=1, L723&amp;"-"&amp; COUNTIFS($L$2:L723,1))</f>
        <v>#NAME?</v>
      </c>
      <c r="O723" s="10"/>
      <c r="P723" s="22" t="n">
        <f aca="false">COUNTIFS(C:C,C723,N:N,"Đã xác nhận")/COUNTIFS(C:C,C723)</f>
        <v>0</v>
      </c>
      <c r="Q723" s="22"/>
      <c r="R723" s="0" t="s">
        <v>2346</v>
      </c>
      <c r="S723" s="0" t="s">
        <v>536</v>
      </c>
      <c r="U723" s="24" t="n">
        <v>3</v>
      </c>
    </row>
    <row r="724" customFormat="false" ht="12.75" hidden="false" customHeight="false" outlineLevel="0" collapsed="false">
      <c r="A724" s="15" t="s">
        <v>2584</v>
      </c>
      <c r="B724" s="15" t="s">
        <v>2304</v>
      </c>
      <c r="C724" s="15" t="s">
        <v>2565</v>
      </c>
      <c r="D724" s="15" t="s">
        <v>2374</v>
      </c>
      <c r="E724" s="15" t="s">
        <v>55</v>
      </c>
      <c r="G724" s="10" t="n">
        <v>1</v>
      </c>
      <c r="H724" s="21" t="n">
        <v>45965.6419212963</v>
      </c>
      <c r="I724" s="15" t="s">
        <v>2585</v>
      </c>
      <c r="J724" s="15" t="s">
        <v>2586</v>
      </c>
      <c r="K724" s="15" t="s">
        <v>2587</v>
      </c>
      <c r="L724" s="10" t="n">
        <f aca="false">COUNTIF($E$2:E724,E724)</f>
        <v>80</v>
      </c>
      <c r="M724" s="10" t="e">
        <f aca="false">ifs(L724=1, L724&amp;"-"&amp; COUNTIFS($L$2:L724,1))</f>
        <v>#NAME?</v>
      </c>
      <c r="O724" s="10"/>
      <c r="P724" s="22" t="n">
        <f aca="false">COUNTIFS(C:C,C724,N:N,"Đã xác nhận")/COUNTIFS(C:C,C724)</f>
        <v>0</v>
      </c>
      <c r="Q724" s="22"/>
      <c r="R724" s="0" t="s">
        <v>2376</v>
      </c>
      <c r="S724" s="0" t="s">
        <v>539</v>
      </c>
      <c r="U724" s="24" t="n">
        <v>1</v>
      </c>
    </row>
    <row r="725" customFormat="false" ht="12.75" hidden="false" customHeight="false" outlineLevel="0" collapsed="false">
      <c r="A725" s="15" t="s">
        <v>2588</v>
      </c>
      <c r="B725" s="15" t="s">
        <v>2304</v>
      </c>
      <c r="C725" s="15" t="s">
        <v>516</v>
      </c>
      <c r="D725" s="15" t="s">
        <v>611</v>
      </c>
      <c r="E725" s="15" t="s">
        <v>69</v>
      </c>
      <c r="G725" s="10" t="n">
        <v>1</v>
      </c>
      <c r="H725" s="21" t="n">
        <v>45965.6433217593</v>
      </c>
      <c r="I725" s="15" t="s">
        <v>1566</v>
      </c>
      <c r="J725" s="15" t="s">
        <v>2589</v>
      </c>
      <c r="K725" s="15" t="s">
        <v>2590</v>
      </c>
      <c r="L725" s="10" t="n">
        <f aca="false">COUNTIF($E$2:E725,E725)</f>
        <v>72</v>
      </c>
      <c r="M725" s="10" t="e">
        <f aca="false">ifs(L725=1, L725&amp;"-"&amp; COUNTIFS($L$2:L725,1))</f>
        <v>#NAME?</v>
      </c>
      <c r="O725" s="10"/>
      <c r="P725" s="22" t="n">
        <f aca="false">COUNTIFS(C:C,C725,N:N,"Đã xác nhận")/COUNTIFS(C:C,C725)</f>
        <v>0</v>
      </c>
      <c r="Q725" s="22"/>
      <c r="R725" s="0" t="s">
        <v>613</v>
      </c>
      <c r="S725" s="0" t="s">
        <v>535</v>
      </c>
      <c r="U725" s="24" t="n">
        <v>1</v>
      </c>
    </row>
    <row r="726" customFormat="false" ht="12.75" hidden="false" customHeight="false" outlineLevel="0" collapsed="false">
      <c r="A726" s="15" t="s">
        <v>2591</v>
      </c>
      <c r="B726" s="15" t="s">
        <v>2304</v>
      </c>
      <c r="C726" s="15" t="s">
        <v>516</v>
      </c>
      <c r="D726" s="15" t="s">
        <v>2346</v>
      </c>
      <c r="E726" s="15" t="s">
        <v>69</v>
      </c>
      <c r="G726" s="10" t="n">
        <v>3</v>
      </c>
      <c r="H726" s="21" t="n">
        <v>45979.6569791667</v>
      </c>
      <c r="I726" s="15" t="s">
        <v>2592</v>
      </c>
      <c r="J726" s="15" t="s">
        <v>2593</v>
      </c>
      <c r="K726" s="15" t="s">
        <v>2594</v>
      </c>
      <c r="L726" s="10" t="n">
        <f aca="false">COUNTIF($E$2:E726,E726)</f>
        <v>73</v>
      </c>
      <c r="M726" s="10" t="e">
        <f aca="false">ifs(L726=1, L726&amp;"-"&amp; COUNTIFS($L$2:L726,1))</f>
        <v>#NAME?</v>
      </c>
      <c r="O726" s="10"/>
      <c r="P726" s="22" t="n">
        <f aca="false">COUNTIFS(C:C,C726,N:N,"Đã xác nhận")/COUNTIFS(C:C,C726)</f>
        <v>0</v>
      </c>
      <c r="Q726" s="22"/>
      <c r="R726" s="0" t="s">
        <v>2346</v>
      </c>
      <c r="S726" s="0" t="s">
        <v>535</v>
      </c>
      <c r="U726" s="24" t="n">
        <v>3</v>
      </c>
    </row>
    <row r="727" customFormat="false" ht="12.75" hidden="false" customHeight="false" outlineLevel="0" collapsed="false">
      <c r="A727" s="15" t="s">
        <v>2595</v>
      </c>
      <c r="B727" s="15" t="s">
        <v>2304</v>
      </c>
      <c r="C727" s="15" t="s">
        <v>516</v>
      </c>
      <c r="D727" s="15" t="s">
        <v>2333</v>
      </c>
      <c r="E727" s="15" t="s">
        <v>69</v>
      </c>
      <c r="G727" s="10" t="n">
        <v>1</v>
      </c>
      <c r="H727" s="21" t="n">
        <v>45965.6444675926</v>
      </c>
      <c r="I727" s="15" t="s">
        <v>2596</v>
      </c>
      <c r="J727" s="15" t="s">
        <v>2597</v>
      </c>
      <c r="K727" s="15" t="s">
        <v>2598</v>
      </c>
      <c r="L727" s="10" t="n">
        <f aca="false">COUNTIF($E$2:E727,E727)</f>
        <v>74</v>
      </c>
      <c r="M727" s="10" t="e">
        <f aca="false">ifs(L727=1, L727&amp;"-"&amp; COUNTIFS($L$2:L727,1))</f>
        <v>#NAME?</v>
      </c>
      <c r="O727" s="10"/>
      <c r="P727" s="22" t="n">
        <f aca="false">COUNTIFS(C:C,C727,N:N,"Đã xác nhận")/COUNTIFS(C:C,C727)</f>
        <v>0</v>
      </c>
      <c r="Q727" s="22"/>
      <c r="R727" s="0" t="s">
        <v>2333</v>
      </c>
      <c r="S727" s="0" t="s">
        <v>535</v>
      </c>
      <c r="U727" s="24" t="n">
        <v>1</v>
      </c>
    </row>
    <row r="728" customFormat="false" ht="12.75" hidden="false" customHeight="false" outlineLevel="0" collapsed="false">
      <c r="A728" s="15" t="s">
        <v>2599</v>
      </c>
      <c r="B728" s="15" t="s">
        <v>2304</v>
      </c>
      <c r="C728" s="15" t="s">
        <v>516</v>
      </c>
      <c r="D728" s="15" t="s">
        <v>878</v>
      </c>
      <c r="E728" s="15" t="s">
        <v>69</v>
      </c>
      <c r="G728" s="10" t="n">
        <v>1</v>
      </c>
      <c r="H728" s="21" t="n">
        <v>45965.6446064815</v>
      </c>
      <c r="I728" s="15" t="s">
        <v>2596</v>
      </c>
      <c r="J728" s="15" t="s">
        <v>2600</v>
      </c>
      <c r="K728" s="15" t="s">
        <v>2601</v>
      </c>
      <c r="L728" s="10" t="n">
        <f aca="false">COUNTIF($E$2:E728,E728)</f>
        <v>75</v>
      </c>
      <c r="M728" s="10" t="e">
        <f aca="false">ifs(L728=1, L728&amp;"-"&amp; COUNTIFS($L$2:L728,1))</f>
        <v>#NAME?</v>
      </c>
      <c r="O728" s="10"/>
      <c r="P728" s="22" t="n">
        <f aca="false">COUNTIFS(C:C,C728,N:N,"Đã xác nhận")/COUNTIFS(C:C,C728)</f>
        <v>0</v>
      </c>
      <c r="Q728" s="22"/>
      <c r="R728" s="0" t="s">
        <v>768</v>
      </c>
      <c r="S728" s="0" t="s">
        <v>535</v>
      </c>
      <c r="U728" s="24" t="n">
        <v>1</v>
      </c>
    </row>
    <row r="729" customFormat="false" ht="12.75" hidden="false" customHeight="false" outlineLevel="0" collapsed="false">
      <c r="A729" s="15" t="s">
        <v>2602</v>
      </c>
      <c r="B729" s="15" t="s">
        <v>2304</v>
      </c>
      <c r="C729" s="15" t="s">
        <v>519</v>
      </c>
      <c r="D729" s="15" t="s">
        <v>611</v>
      </c>
      <c r="E729" s="15" t="s">
        <v>69</v>
      </c>
      <c r="G729" s="10" t="n">
        <v>1</v>
      </c>
      <c r="H729" s="21" t="n">
        <v>45965.6471875</v>
      </c>
      <c r="I729" s="15" t="s">
        <v>1566</v>
      </c>
      <c r="J729" s="15" t="s">
        <v>2603</v>
      </c>
      <c r="K729" s="15" t="s">
        <v>2604</v>
      </c>
      <c r="L729" s="10" t="n">
        <f aca="false">COUNTIF($E$2:E729,E729)</f>
        <v>76</v>
      </c>
      <c r="M729" s="10" t="e">
        <f aca="false">ifs(L729=1, L729&amp;"-"&amp; COUNTIFS($L$2:L729,1))</f>
        <v>#NAME?</v>
      </c>
      <c r="O729" s="10"/>
      <c r="P729" s="22" t="n">
        <f aca="false">COUNTIFS(C:C,C729,N:N,"Đã xác nhận")/COUNTIFS(C:C,C729)</f>
        <v>0</v>
      </c>
      <c r="Q729" s="22"/>
      <c r="R729" s="0" t="s">
        <v>613</v>
      </c>
      <c r="S729" s="0" t="s">
        <v>535</v>
      </c>
      <c r="U729" s="24" t="n">
        <v>1</v>
      </c>
    </row>
    <row r="730" customFormat="false" ht="12.75" hidden="false" customHeight="false" outlineLevel="0" collapsed="false">
      <c r="A730" s="15" t="s">
        <v>2605</v>
      </c>
      <c r="B730" s="15" t="s">
        <v>2304</v>
      </c>
      <c r="C730" s="15" t="s">
        <v>2606</v>
      </c>
      <c r="D730" s="15" t="s">
        <v>611</v>
      </c>
      <c r="E730" s="15" t="s">
        <v>69</v>
      </c>
      <c r="G730" s="10" t="n">
        <v>1</v>
      </c>
      <c r="H730" s="21" t="n">
        <v>45965.6477662037</v>
      </c>
      <c r="I730" s="15" t="s">
        <v>1566</v>
      </c>
      <c r="J730" s="15" t="s">
        <v>2607</v>
      </c>
      <c r="K730" s="15" t="s">
        <v>2608</v>
      </c>
      <c r="L730" s="10" t="n">
        <f aca="false">COUNTIF($E$2:E730,E730)</f>
        <v>77</v>
      </c>
      <c r="M730" s="10" t="e">
        <f aca="false">ifs(L730=1, L730&amp;"-"&amp; COUNTIFS($L$2:L730,1))</f>
        <v>#NAME?</v>
      </c>
      <c r="O730" s="10"/>
      <c r="P730" s="22" t="n">
        <f aca="false">COUNTIFS(C:C,C730,N:N,"Đã xác nhận")/COUNTIFS(C:C,C730)</f>
        <v>0</v>
      </c>
      <c r="Q730" s="22"/>
      <c r="R730" s="0" t="s">
        <v>613</v>
      </c>
      <c r="S730" s="0" t="s">
        <v>535</v>
      </c>
      <c r="U730" s="24" t="n">
        <v>1</v>
      </c>
    </row>
    <row r="731" customFormat="false" ht="12.75" hidden="false" customHeight="false" outlineLevel="0" collapsed="false">
      <c r="A731" s="15" t="s">
        <v>2609</v>
      </c>
      <c r="B731" s="15" t="s">
        <v>2304</v>
      </c>
      <c r="C731" s="15" t="s">
        <v>492</v>
      </c>
      <c r="D731" s="15" t="s">
        <v>611</v>
      </c>
      <c r="E731" s="15" t="s">
        <v>69</v>
      </c>
      <c r="G731" s="10" t="n">
        <v>1</v>
      </c>
      <c r="H731" s="21" t="n">
        <v>45965.6483796296</v>
      </c>
      <c r="I731" s="15" t="s">
        <v>1566</v>
      </c>
      <c r="J731" s="15" t="s">
        <v>2610</v>
      </c>
      <c r="K731" s="15" t="s">
        <v>2611</v>
      </c>
      <c r="L731" s="10" t="n">
        <f aca="false">COUNTIF($E$2:E731,E731)</f>
        <v>78</v>
      </c>
      <c r="M731" s="10" t="e">
        <f aca="false">ifs(L731=1, L731&amp;"-"&amp; COUNTIFS($L$2:L731,1))</f>
        <v>#NAME?</v>
      </c>
      <c r="O731" s="10"/>
      <c r="P731" s="22" t="n">
        <f aca="false">COUNTIFS(C:C,C731,N:N,"Đã xác nhận")/COUNTIFS(C:C,C731)</f>
        <v>0</v>
      </c>
      <c r="Q731" s="22"/>
      <c r="R731" s="0" t="s">
        <v>613</v>
      </c>
      <c r="S731" s="0" t="s">
        <v>535</v>
      </c>
      <c r="U731" s="24" t="n">
        <v>1</v>
      </c>
    </row>
    <row r="732" customFormat="false" ht="12.75" hidden="false" customHeight="false" outlineLevel="0" collapsed="false">
      <c r="A732" s="15" t="s">
        <v>2612</v>
      </c>
      <c r="B732" s="15" t="s">
        <v>2304</v>
      </c>
      <c r="C732" s="15" t="s">
        <v>518</v>
      </c>
      <c r="D732" s="15" t="s">
        <v>611</v>
      </c>
      <c r="E732" s="15" t="s">
        <v>69</v>
      </c>
      <c r="G732" s="10" t="n">
        <v>1</v>
      </c>
      <c r="H732" s="21" t="n">
        <v>45965.6491550926</v>
      </c>
      <c r="I732" s="15" t="s">
        <v>1566</v>
      </c>
      <c r="J732" s="15" t="s">
        <v>2613</v>
      </c>
      <c r="K732" s="15" t="s">
        <v>2614</v>
      </c>
      <c r="L732" s="10" t="n">
        <f aca="false">COUNTIF($E$2:E732,E732)</f>
        <v>79</v>
      </c>
      <c r="M732" s="10" t="e">
        <f aca="false">ifs(L732=1, L732&amp;"-"&amp; COUNTIFS($L$2:L732,1))</f>
        <v>#NAME?</v>
      </c>
      <c r="O732" s="10"/>
      <c r="P732" s="22" t="n">
        <f aca="false">COUNTIFS(C:C,C732,N:N,"Đã xác nhận")/COUNTIFS(C:C,C732)</f>
        <v>0</v>
      </c>
      <c r="Q732" s="22"/>
      <c r="R732" s="0" t="s">
        <v>613</v>
      </c>
      <c r="S732" s="0" t="s">
        <v>535</v>
      </c>
      <c r="U732" s="24" t="n">
        <v>1</v>
      </c>
    </row>
    <row r="733" customFormat="false" ht="12.75" hidden="false" customHeight="false" outlineLevel="0" collapsed="false">
      <c r="A733" s="15" t="s">
        <v>2615</v>
      </c>
      <c r="B733" s="15"/>
      <c r="C733" s="15"/>
      <c r="D733" s="15"/>
      <c r="E733" s="15"/>
      <c r="G733" s="10" t="n">
        <v>0</v>
      </c>
      <c r="H733" s="21" t="n">
        <v>46083.7873842593</v>
      </c>
      <c r="I733" s="15" t="s">
        <v>2616</v>
      </c>
      <c r="J733" s="15" t="s">
        <v>695</v>
      </c>
      <c r="K733" s="15" t="s">
        <v>2617</v>
      </c>
      <c r="L733" s="10" t="n">
        <f aca="false">COUNTIF($E$2:E733,E733)</f>
        <v>0</v>
      </c>
      <c r="M733" s="10" t="e">
        <f aca="false">ifs(L733=1, L733&amp;"-"&amp; COUNTIFS($L$2:L733,1))</f>
        <v>#NAME?</v>
      </c>
      <c r="O733" s="10"/>
      <c r="P733" s="22" t="e">
        <f aca="false">COUNTIFS(C:C,C733,N:N,"Đã xác nhận")/COUNTIFS(C:C,C733)</f>
        <v>#DIV/0!</v>
      </c>
      <c r="Q733" s="22"/>
      <c r="R733" s="0" t="e">
        <f aca="false">#VALUE!</f>
        <v>#VALUE!</v>
      </c>
      <c r="S733" s="0" t="e">
        <f aca="false">#VALUE!</f>
        <v>#VALUE!</v>
      </c>
      <c r="U733" s="24" t="n">
        <v>0</v>
      </c>
    </row>
    <row r="734" customFormat="false" ht="12.75" hidden="false" customHeight="false" outlineLevel="0" collapsed="false">
      <c r="A734" s="15" t="s">
        <v>2618</v>
      </c>
      <c r="B734" s="15" t="s">
        <v>2304</v>
      </c>
      <c r="C734" s="15" t="s">
        <v>2619</v>
      </c>
      <c r="D734" s="15" t="s">
        <v>611</v>
      </c>
      <c r="E734" s="15" t="s">
        <v>33</v>
      </c>
      <c r="G734" s="10" t="n">
        <v>1</v>
      </c>
      <c r="H734" s="21" t="n">
        <v>45965.6792592593</v>
      </c>
      <c r="I734" s="15" t="s">
        <v>2620</v>
      </c>
      <c r="J734" s="15" t="s">
        <v>2621</v>
      </c>
      <c r="K734" s="15" t="s">
        <v>2622</v>
      </c>
      <c r="L734" s="10" t="n">
        <f aca="false">COUNTIF($E$2:E734,E734)</f>
        <v>39</v>
      </c>
      <c r="M734" s="10" t="e">
        <f aca="false">ifs(L734=1, L734&amp;"-"&amp; COUNTIFS($L$2:L734,1))</f>
        <v>#NAME?</v>
      </c>
      <c r="O734" s="10"/>
      <c r="P734" s="22" t="n">
        <f aca="false">COUNTIFS(C:C,C734,N:N,"Đã xác nhận")/COUNTIFS(C:C,C734)</f>
        <v>0</v>
      </c>
      <c r="Q734" s="22"/>
      <c r="R734" s="0" t="s">
        <v>613</v>
      </c>
      <c r="S734" s="0" t="s">
        <v>536</v>
      </c>
      <c r="U734" s="24" t="n">
        <v>1</v>
      </c>
    </row>
    <row r="735" customFormat="false" ht="12.75" hidden="false" customHeight="false" outlineLevel="0" collapsed="false">
      <c r="A735" s="15" t="s">
        <v>2623</v>
      </c>
      <c r="B735" s="15" t="s">
        <v>2304</v>
      </c>
      <c r="C735" s="15" t="s">
        <v>2619</v>
      </c>
      <c r="D735" s="15" t="s">
        <v>611</v>
      </c>
      <c r="E735" s="15" t="s">
        <v>69</v>
      </c>
      <c r="G735" s="10" t="n">
        <v>1</v>
      </c>
      <c r="H735" s="21" t="n">
        <v>45965.6794675926</v>
      </c>
      <c r="I735" s="15" t="s">
        <v>2624</v>
      </c>
      <c r="J735" s="15" t="s">
        <v>2625</v>
      </c>
      <c r="K735" s="15" t="s">
        <v>2626</v>
      </c>
      <c r="L735" s="10" t="n">
        <f aca="false">COUNTIF($E$2:E735,E735)</f>
        <v>80</v>
      </c>
      <c r="M735" s="10" t="e">
        <f aca="false">ifs(L735=1, L735&amp;"-"&amp; COUNTIFS($L$2:L735,1))</f>
        <v>#NAME?</v>
      </c>
      <c r="O735" s="10"/>
      <c r="P735" s="22" t="n">
        <f aca="false">COUNTIFS(C:C,C735,N:N,"Đã xác nhận")/COUNTIFS(C:C,C735)</f>
        <v>0</v>
      </c>
      <c r="Q735" s="22"/>
      <c r="R735" s="0" t="s">
        <v>613</v>
      </c>
      <c r="S735" s="0" t="s">
        <v>535</v>
      </c>
      <c r="U735" s="24" t="n">
        <v>1</v>
      </c>
    </row>
    <row r="736" customFormat="false" ht="12.75" hidden="false" customHeight="false" outlineLevel="0" collapsed="false">
      <c r="A736" s="15" t="s">
        <v>2627</v>
      </c>
      <c r="B736" s="15" t="s">
        <v>2304</v>
      </c>
      <c r="C736" s="15" t="s">
        <v>2619</v>
      </c>
      <c r="D736" s="15" t="s">
        <v>2325</v>
      </c>
      <c r="E736" s="15" t="s">
        <v>55</v>
      </c>
      <c r="G736" s="10" t="n">
        <v>1</v>
      </c>
      <c r="H736" s="21" t="n">
        <v>45965.6782986111</v>
      </c>
      <c r="I736" s="15" t="s">
        <v>2628</v>
      </c>
      <c r="J736" s="15" t="s">
        <v>2629</v>
      </c>
      <c r="K736" s="15" t="s">
        <v>2630</v>
      </c>
      <c r="L736" s="10" t="n">
        <f aca="false">COUNTIF($E$2:E736,E736)</f>
        <v>81</v>
      </c>
      <c r="M736" s="10" t="e">
        <f aca="false">ifs(L736=1, L736&amp;"-"&amp; COUNTIFS($L$2:L736,1))</f>
        <v>#NAME?</v>
      </c>
      <c r="O736" s="10"/>
      <c r="P736" s="22" t="n">
        <f aca="false">COUNTIFS(C:C,C736,N:N,"Đã xác nhận")/COUNTIFS(C:C,C736)</f>
        <v>0</v>
      </c>
      <c r="Q736" s="22"/>
      <c r="R736" s="0" t="s">
        <v>2327</v>
      </c>
      <c r="S736" s="0" t="s">
        <v>539</v>
      </c>
      <c r="U736" s="24" t="n">
        <v>1</v>
      </c>
    </row>
    <row r="737" customFormat="false" ht="12.75" hidden="false" customHeight="false" outlineLevel="0" collapsed="false">
      <c r="A737" s="15" t="s">
        <v>2631</v>
      </c>
      <c r="B737" s="15" t="s">
        <v>2304</v>
      </c>
      <c r="C737" s="15" t="s">
        <v>2619</v>
      </c>
      <c r="D737" s="15" t="s">
        <v>2346</v>
      </c>
      <c r="E737" s="15" t="s">
        <v>69</v>
      </c>
      <c r="G737" s="10" t="n">
        <v>3</v>
      </c>
      <c r="H737" s="21" t="n">
        <v>45965.6800115741</v>
      </c>
      <c r="I737" s="15" t="s">
        <v>2632</v>
      </c>
      <c r="J737" s="15" t="s">
        <v>2633</v>
      </c>
      <c r="K737" s="15" t="s">
        <v>2634</v>
      </c>
      <c r="L737" s="10" t="n">
        <f aca="false">COUNTIF($E$2:E737,E737)</f>
        <v>81</v>
      </c>
      <c r="M737" s="10" t="e">
        <f aca="false">ifs(L737=1, L737&amp;"-"&amp; COUNTIFS($L$2:L737,1))</f>
        <v>#NAME?</v>
      </c>
      <c r="O737" s="10"/>
      <c r="P737" s="22" t="n">
        <f aca="false">COUNTIFS(C:C,C737,N:N,"Đã xác nhận")/COUNTIFS(C:C,C737)</f>
        <v>0</v>
      </c>
      <c r="Q737" s="22"/>
      <c r="R737" s="0" t="s">
        <v>2346</v>
      </c>
      <c r="S737" s="0" t="s">
        <v>535</v>
      </c>
      <c r="U737" s="24" t="n">
        <v>3</v>
      </c>
    </row>
    <row r="738" customFormat="false" ht="12.75" hidden="false" customHeight="false" outlineLevel="0" collapsed="false">
      <c r="A738" s="15" t="s">
        <v>2635</v>
      </c>
      <c r="B738" s="15" t="s">
        <v>2304</v>
      </c>
      <c r="C738" s="15" t="s">
        <v>2619</v>
      </c>
      <c r="D738" s="15" t="s">
        <v>2346</v>
      </c>
      <c r="E738" s="15" t="s">
        <v>33</v>
      </c>
      <c r="G738" s="10" t="n">
        <v>3</v>
      </c>
      <c r="H738" s="21" t="n">
        <v>45965.6801967593</v>
      </c>
      <c r="I738" s="15" t="s">
        <v>2632</v>
      </c>
      <c r="J738" s="15" t="s">
        <v>2636</v>
      </c>
      <c r="K738" s="15" t="s">
        <v>2637</v>
      </c>
      <c r="L738" s="10" t="n">
        <f aca="false">COUNTIF($E$2:E738,E738)</f>
        <v>40</v>
      </c>
      <c r="M738" s="10" t="e">
        <f aca="false">ifs(L738=1, L738&amp;"-"&amp; COUNTIFS($L$2:L738,1))</f>
        <v>#NAME?</v>
      </c>
      <c r="O738" s="10"/>
      <c r="P738" s="22" t="n">
        <f aca="false">COUNTIFS(C:C,C738,N:N,"Đã xác nhận")/COUNTIFS(C:C,C738)</f>
        <v>0</v>
      </c>
      <c r="Q738" s="22"/>
      <c r="R738" s="0" t="s">
        <v>2346</v>
      </c>
      <c r="S738" s="0" t="s">
        <v>536</v>
      </c>
      <c r="U738" s="24" t="n">
        <v>3</v>
      </c>
    </row>
    <row r="739" customFormat="false" ht="12.75" hidden="false" customHeight="false" outlineLevel="0" collapsed="false">
      <c r="A739" s="15" t="s">
        <v>2638</v>
      </c>
      <c r="B739" s="15" t="s">
        <v>2304</v>
      </c>
      <c r="C739" s="15" t="s">
        <v>2619</v>
      </c>
      <c r="D739" s="15" t="s">
        <v>2315</v>
      </c>
      <c r="E739" s="15" t="s">
        <v>51</v>
      </c>
      <c r="G739" s="10" t="n">
        <v>1</v>
      </c>
      <c r="H739" s="21" t="n">
        <v>45965.6805439815</v>
      </c>
      <c r="I739" s="15" t="s">
        <v>2632</v>
      </c>
      <c r="J739" s="15" t="s">
        <v>2639</v>
      </c>
      <c r="K739" s="15" t="s">
        <v>2640</v>
      </c>
      <c r="L739" s="10" t="n">
        <f aca="false">COUNTIF($E$2:E739,E739)</f>
        <v>4</v>
      </c>
      <c r="M739" s="10" t="e">
        <f aca="false">ifs(L739=1, L739&amp;"-"&amp; COUNTIFS($L$2:L739,1))</f>
        <v>#NAME?</v>
      </c>
      <c r="O739" s="10"/>
      <c r="P739" s="22" t="n">
        <f aca="false">COUNTIFS(C:C,C739,N:N,"Đã xác nhận")/COUNTIFS(C:C,C739)</f>
        <v>0</v>
      </c>
      <c r="Q739" s="22"/>
      <c r="R739" s="0" t="s">
        <v>2317</v>
      </c>
      <c r="S739" s="0" t="s">
        <v>573</v>
      </c>
      <c r="U739" s="24" t="n">
        <v>1</v>
      </c>
    </row>
    <row r="740" customFormat="false" ht="12.75" hidden="false" customHeight="false" outlineLevel="0" collapsed="false">
      <c r="A740" s="15" t="s">
        <v>2641</v>
      </c>
      <c r="B740" s="15" t="s">
        <v>2304</v>
      </c>
      <c r="C740" s="15" t="s">
        <v>2619</v>
      </c>
      <c r="D740" s="15" t="s">
        <v>2642</v>
      </c>
      <c r="E740" s="15" t="s">
        <v>55</v>
      </c>
      <c r="G740" s="10" t="n">
        <v>1</v>
      </c>
      <c r="H740" s="21" t="n">
        <v>45965.6824305556</v>
      </c>
      <c r="I740" s="15" t="s">
        <v>2643</v>
      </c>
      <c r="J740" s="15" t="s">
        <v>2644</v>
      </c>
      <c r="K740" s="15" t="s">
        <v>2645</v>
      </c>
      <c r="L740" s="10" t="n">
        <f aca="false">COUNTIF($E$2:E740,E740)</f>
        <v>82</v>
      </c>
      <c r="M740" s="10" t="e">
        <f aca="false">ifs(L740=1, L740&amp;"-"&amp; COUNTIFS($L$2:L740,1))</f>
        <v>#NAME?</v>
      </c>
      <c r="O740" s="10"/>
      <c r="P740" s="22" t="n">
        <f aca="false">COUNTIFS(C:C,C740,N:N,"Đã xác nhận")/COUNTIFS(C:C,C740)</f>
        <v>0</v>
      </c>
      <c r="Q740" s="22"/>
      <c r="R740" s="0" t="s">
        <v>2646</v>
      </c>
      <c r="S740" s="0" t="s">
        <v>539</v>
      </c>
      <c r="U740" s="24" t="n">
        <v>1</v>
      </c>
    </row>
    <row r="741" customFormat="false" ht="12.75" hidden="false" customHeight="false" outlineLevel="0" collapsed="false">
      <c r="A741" s="15" t="s">
        <v>2647</v>
      </c>
      <c r="B741" s="15" t="s">
        <v>2304</v>
      </c>
      <c r="C741" s="15" t="s">
        <v>2619</v>
      </c>
      <c r="D741" s="15" t="s">
        <v>2385</v>
      </c>
      <c r="E741" s="15" t="s">
        <v>55</v>
      </c>
      <c r="G741" s="10" t="n">
        <v>1</v>
      </c>
      <c r="H741" s="21" t="n">
        <v>45965.6828935185</v>
      </c>
      <c r="I741" s="15" t="s">
        <v>2643</v>
      </c>
      <c r="J741" s="15" t="s">
        <v>2648</v>
      </c>
      <c r="K741" s="15" t="s">
        <v>2649</v>
      </c>
      <c r="L741" s="10" t="n">
        <f aca="false">COUNTIF($E$2:E741,E741)</f>
        <v>83</v>
      </c>
      <c r="M741" s="10" t="e">
        <f aca="false">ifs(L741=1, L741&amp;"-"&amp; COUNTIFS($L$2:L741,1))</f>
        <v>#NAME?</v>
      </c>
      <c r="O741" s="10"/>
      <c r="P741" s="22" t="n">
        <f aca="false">COUNTIFS(C:C,C741,N:N,"Đã xác nhận")/COUNTIFS(C:C,C741)</f>
        <v>0</v>
      </c>
      <c r="Q741" s="22"/>
      <c r="R741" s="0" t="s">
        <v>2387</v>
      </c>
      <c r="S741" s="0" t="s">
        <v>539</v>
      </c>
      <c r="U741" s="24" t="n">
        <v>1</v>
      </c>
    </row>
    <row r="742" customFormat="false" ht="12.75" hidden="false" customHeight="false" outlineLevel="0" collapsed="false">
      <c r="A742" s="15" t="s">
        <v>2650</v>
      </c>
      <c r="B742" s="15" t="s">
        <v>2304</v>
      </c>
      <c r="C742" s="15" t="s">
        <v>2619</v>
      </c>
      <c r="D742" s="15" t="s">
        <v>2651</v>
      </c>
      <c r="E742" s="15" t="s">
        <v>547</v>
      </c>
      <c r="G742" s="10" t="n">
        <v>1</v>
      </c>
      <c r="H742" s="21" t="n">
        <v>46038.4843518519</v>
      </c>
      <c r="I742" s="15" t="s">
        <v>2652</v>
      </c>
      <c r="J742" s="15" t="s">
        <v>2653</v>
      </c>
      <c r="K742" s="15" t="s">
        <v>2654</v>
      </c>
      <c r="L742" s="10" t="n">
        <f aca="false">COUNTIF($E$2:E742,E742)</f>
        <v>23</v>
      </c>
      <c r="M742" s="10" t="e">
        <f aca="false">ifs(L742=1, L742&amp;"-"&amp; COUNTIFS($L$2:L742,1))</f>
        <v>#NAME?</v>
      </c>
      <c r="O742" s="10"/>
      <c r="P742" s="22" t="n">
        <f aca="false">COUNTIFS(C:C,C742,N:N,"Đã xác nhận")/COUNTIFS(C:C,C742)</f>
        <v>0</v>
      </c>
      <c r="Q742" s="22"/>
      <c r="R742" s="0" t="s">
        <v>2655</v>
      </c>
      <c r="S742" s="0" t="s">
        <v>548</v>
      </c>
      <c r="U742" s="24" t="n">
        <v>1</v>
      </c>
    </row>
    <row r="743" customFormat="false" ht="12.75" hidden="false" customHeight="false" outlineLevel="0" collapsed="false">
      <c r="A743" s="15" t="s">
        <v>2656</v>
      </c>
      <c r="B743" s="15" t="s">
        <v>2304</v>
      </c>
      <c r="C743" s="15" t="s">
        <v>2619</v>
      </c>
      <c r="D743" s="15" t="s">
        <v>2651</v>
      </c>
      <c r="E743" s="15" t="s">
        <v>55</v>
      </c>
      <c r="G743" s="10" t="n">
        <v>1</v>
      </c>
      <c r="H743" s="21" t="n">
        <v>45965.6845833333</v>
      </c>
      <c r="I743" s="15" t="s">
        <v>2643</v>
      </c>
      <c r="J743" s="15" t="s">
        <v>2657</v>
      </c>
      <c r="K743" s="15" t="s">
        <v>2658</v>
      </c>
      <c r="L743" s="10" t="n">
        <f aca="false">COUNTIF($E$2:E743,E743)</f>
        <v>84</v>
      </c>
      <c r="M743" s="10" t="e">
        <f aca="false">ifs(L743=1, L743&amp;"-"&amp; COUNTIFS($L$2:L743,1))</f>
        <v>#NAME?</v>
      </c>
      <c r="O743" s="10"/>
      <c r="P743" s="22" t="n">
        <f aca="false">COUNTIFS(C:C,C743,N:N,"Đã xác nhận")/COUNTIFS(C:C,C743)</f>
        <v>0</v>
      </c>
      <c r="Q743" s="22"/>
      <c r="R743" s="0" t="s">
        <v>2655</v>
      </c>
      <c r="S743" s="0" t="s">
        <v>539</v>
      </c>
      <c r="U743" s="24" t="n">
        <v>1</v>
      </c>
    </row>
    <row r="744" customFormat="false" ht="12.75" hidden="false" customHeight="false" outlineLevel="0" collapsed="false">
      <c r="A744" s="15" t="s">
        <v>2659</v>
      </c>
      <c r="B744" s="15" t="s">
        <v>2304</v>
      </c>
      <c r="C744" s="15" t="s">
        <v>2619</v>
      </c>
      <c r="D744" s="15" t="s">
        <v>2329</v>
      </c>
      <c r="E744" s="15" t="s">
        <v>47</v>
      </c>
      <c r="G744" s="10" t="n">
        <v>1</v>
      </c>
      <c r="H744" s="21" t="n">
        <v>45965.6853703704</v>
      </c>
      <c r="I744" s="15" t="s">
        <v>2643</v>
      </c>
      <c r="J744" s="15" t="s">
        <v>2660</v>
      </c>
      <c r="K744" s="15" t="s">
        <v>2661</v>
      </c>
      <c r="L744" s="10" t="n">
        <f aca="false">COUNTIF($E$2:E744,E744)</f>
        <v>46</v>
      </c>
      <c r="M744" s="10" t="e">
        <f aca="false">ifs(L744=1, L744&amp;"-"&amp; COUNTIFS($L$2:L744,1))</f>
        <v>#NAME?</v>
      </c>
      <c r="O744" s="10"/>
      <c r="P744" s="22" t="n">
        <f aca="false">COUNTIFS(C:C,C744,N:N,"Đã xác nhận")/COUNTIFS(C:C,C744)</f>
        <v>0</v>
      </c>
      <c r="Q744" s="22"/>
      <c r="R744" s="0" t="s">
        <v>2331</v>
      </c>
      <c r="S744" s="0" t="s">
        <v>549</v>
      </c>
      <c r="U744" s="24" t="n">
        <v>1</v>
      </c>
    </row>
    <row r="745" customFormat="false" ht="12.75" hidden="false" customHeight="false" outlineLevel="0" collapsed="false">
      <c r="A745" s="15" t="s">
        <v>2662</v>
      </c>
      <c r="B745" s="15" t="s">
        <v>2304</v>
      </c>
      <c r="C745" s="15" t="s">
        <v>2619</v>
      </c>
      <c r="D745" s="15" t="s">
        <v>2663</v>
      </c>
      <c r="E745" s="15" t="s">
        <v>81</v>
      </c>
      <c r="G745" s="10" t="n">
        <v>1</v>
      </c>
      <c r="H745" s="21" t="n">
        <v>45965.6857175926</v>
      </c>
      <c r="I745" s="15" t="s">
        <v>2643</v>
      </c>
      <c r="J745" s="15" t="s">
        <v>2664</v>
      </c>
      <c r="K745" s="15" t="s">
        <v>2665</v>
      </c>
      <c r="L745" s="10" t="n">
        <f aca="false">COUNTIF($E$2:E745,E745)</f>
        <v>168</v>
      </c>
      <c r="M745" s="10" t="e">
        <f aca="false">ifs(L745=1, L745&amp;"-"&amp; COUNTIFS($L$2:L745,1))</f>
        <v>#NAME?</v>
      </c>
      <c r="O745" s="10"/>
      <c r="P745" s="22" t="n">
        <f aca="false">COUNTIFS(C:C,C745,N:N,"Đã xác nhận")/COUNTIFS(C:C,C745)</f>
        <v>0</v>
      </c>
      <c r="Q745" s="22"/>
      <c r="R745" s="0" t="s">
        <v>2666</v>
      </c>
      <c r="S745" s="0" t="s">
        <v>534</v>
      </c>
      <c r="U745" s="24" t="n">
        <v>1</v>
      </c>
    </row>
    <row r="746" customFormat="false" ht="12.75" hidden="false" customHeight="false" outlineLevel="0" collapsed="false">
      <c r="A746" s="15" t="s">
        <v>2667</v>
      </c>
      <c r="B746" s="15" t="s">
        <v>2304</v>
      </c>
      <c r="C746" s="15" t="s">
        <v>2619</v>
      </c>
      <c r="D746" s="15" t="s">
        <v>878</v>
      </c>
      <c r="E746" s="15" t="s">
        <v>69</v>
      </c>
      <c r="G746" s="10" t="n">
        <v>1</v>
      </c>
      <c r="H746" s="21" t="n">
        <v>45965.6862847222</v>
      </c>
      <c r="I746" s="15" t="s">
        <v>2632</v>
      </c>
      <c r="J746" s="15" t="s">
        <v>2668</v>
      </c>
      <c r="K746" s="15" t="s">
        <v>2669</v>
      </c>
      <c r="L746" s="10" t="n">
        <f aca="false">COUNTIF($E$2:E746,E746)</f>
        <v>82</v>
      </c>
      <c r="M746" s="10" t="e">
        <f aca="false">ifs(L746=1, L746&amp;"-"&amp; COUNTIFS($L$2:L746,1))</f>
        <v>#NAME?</v>
      </c>
      <c r="O746" s="10"/>
      <c r="P746" s="22" t="n">
        <f aca="false">COUNTIFS(C:C,C746,N:N,"Đã xác nhận")/COUNTIFS(C:C,C746)</f>
        <v>0</v>
      </c>
      <c r="Q746" s="22"/>
      <c r="R746" s="0" t="s">
        <v>768</v>
      </c>
      <c r="S746" s="0" t="s">
        <v>535</v>
      </c>
      <c r="U746" s="24" t="n">
        <v>1</v>
      </c>
    </row>
    <row r="747" customFormat="false" ht="12.75" hidden="false" customHeight="false" outlineLevel="0" collapsed="false">
      <c r="A747" s="15" t="s">
        <v>2670</v>
      </c>
      <c r="B747" s="15" t="s">
        <v>2304</v>
      </c>
      <c r="C747" s="15" t="s">
        <v>2619</v>
      </c>
      <c r="D747" s="15" t="s">
        <v>878</v>
      </c>
      <c r="E747" s="15" t="s">
        <v>33</v>
      </c>
      <c r="G747" s="10" t="n">
        <v>1</v>
      </c>
      <c r="H747" s="21" t="n">
        <v>45965.686412037</v>
      </c>
      <c r="I747" s="15" t="s">
        <v>2632</v>
      </c>
      <c r="J747" s="15" t="s">
        <v>2671</v>
      </c>
      <c r="K747" s="15" t="s">
        <v>2672</v>
      </c>
      <c r="L747" s="10" t="n">
        <f aca="false">COUNTIF($E$2:E747,E747)</f>
        <v>41</v>
      </c>
      <c r="M747" s="10" t="e">
        <f aca="false">ifs(L747=1, L747&amp;"-"&amp; COUNTIFS($L$2:L747,1))</f>
        <v>#NAME?</v>
      </c>
      <c r="O747" s="10"/>
      <c r="P747" s="22" t="n">
        <f aca="false">COUNTIFS(C:C,C747,N:N,"Đã xác nhận")/COUNTIFS(C:C,C747)</f>
        <v>0</v>
      </c>
      <c r="Q747" s="22"/>
      <c r="R747" s="0" t="s">
        <v>768</v>
      </c>
      <c r="S747" s="0" t="s">
        <v>536</v>
      </c>
      <c r="U747" s="24" t="n">
        <v>1</v>
      </c>
    </row>
    <row r="748" customFormat="false" ht="12.75" hidden="false" customHeight="false" outlineLevel="0" collapsed="false">
      <c r="A748" s="15" t="s">
        <v>2673</v>
      </c>
      <c r="B748" s="15" t="s">
        <v>2304</v>
      </c>
      <c r="C748" s="15" t="s">
        <v>469</v>
      </c>
      <c r="D748" s="15" t="s">
        <v>2674</v>
      </c>
      <c r="E748" s="15" t="s">
        <v>55</v>
      </c>
      <c r="G748" s="10" t="n">
        <v>1</v>
      </c>
      <c r="H748" s="21" t="n">
        <v>46085.7458101852</v>
      </c>
      <c r="I748" s="15" t="s">
        <v>2675</v>
      </c>
      <c r="J748" s="15" t="s">
        <v>2675</v>
      </c>
      <c r="K748" s="15"/>
      <c r="L748" s="10" t="n">
        <f aca="false">COUNTIF($E$2:E748,E748)</f>
        <v>85</v>
      </c>
      <c r="M748" s="10" t="e">
        <f aca="false">ifs(L748=1, L748&amp;"-"&amp; COUNTIFS($L$2:L748,1))</f>
        <v>#NAME?</v>
      </c>
      <c r="N748" s="15" t="s">
        <v>603</v>
      </c>
      <c r="O748" s="10"/>
      <c r="P748" s="22" t="n">
        <f aca="false">COUNTIFS(C:C,C748,N:N,"Đã xác nhận")/COUNTIFS(C:C,C748)</f>
        <v>1</v>
      </c>
      <c r="Q748" s="22"/>
      <c r="R748" s="0" t="s">
        <v>2676</v>
      </c>
      <c r="S748" s="0" t="s">
        <v>539</v>
      </c>
      <c r="U748" s="24" t="n">
        <v>1</v>
      </c>
    </row>
    <row r="749" customFormat="false" ht="12.75" hidden="false" customHeight="false" outlineLevel="0" collapsed="false">
      <c r="A749" s="15" t="s">
        <v>2677</v>
      </c>
      <c r="B749" s="15" t="s">
        <v>2304</v>
      </c>
      <c r="C749" s="15" t="s">
        <v>469</v>
      </c>
      <c r="D749" s="15" t="s">
        <v>2674</v>
      </c>
      <c r="E749" s="15" t="s">
        <v>547</v>
      </c>
      <c r="G749" s="10" t="n">
        <v>1</v>
      </c>
      <c r="H749" s="21" t="n">
        <v>46085.7375810185</v>
      </c>
      <c r="I749" s="15" t="s">
        <v>2678</v>
      </c>
      <c r="J749" s="15" t="s">
        <v>2678</v>
      </c>
      <c r="K749" s="15"/>
      <c r="L749" s="10" t="n">
        <f aca="false">COUNTIF($E$2:E749,E749)</f>
        <v>24</v>
      </c>
      <c r="M749" s="10" t="e">
        <f aca="false">ifs(L749=1, L749&amp;"-"&amp; COUNTIFS($L$2:L749,1))</f>
        <v>#NAME?</v>
      </c>
      <c r="N749" s="15" t="s">
        <v>603</v>
      </c>
      <c r="O749" s="10"/>
      <c r="P749" s="22" t="n">
        <f aca="false">COUNTIFS(C:C,C749,N:N,"Đã xác nhận")/COUNTIFS(C:C,C749)</f>
        <v>1</v>
      </c>
      <c r="Q749" s="22"/>
      <c r="R749" s="0" t="s">
        <v>2676</v>
      </c>
      <c r="S749" s="0" t="s">
        <v>548</v>
      </c>
      <c r="U749" s="24" t="n">
        <v>1</v>
      </c>
    </row>
    <row r="750" customFormat="false" ht="12.75" hidden="false" customHeight="false" outlineLevel="0" collapsed="false">
      <c r="A750" s="15" t="s">
        <v>2679</v>
      </c>
      <c r="B750" s="15" t="s">
        <v>2304</v>
      </c>
      <c r="C750" s="15" t="s">
        <v>469</v>
      </c>
      <c r="D750" s="15" t="s">
        <v>2680</v>
      </c>
      <c r="E750" s="15" t="s">
        <v>81</v>
      </c>
      <c r="G750" s="10" t="n">
        <v>2</v>
      </c>
      <c r="H750" s="21" t="n">
        <v>46085.7458449074</v>
      </c>
      <c r="I750" s="15" t="s">
        <v>2681</v>
      </c>
      <c r="J750" s="15" t="s">
        <v>2681</v>
      </c>
      <c r="K750" s="15"/>
      <c r="L750" s="10" t="n">
        <f aca="false">COUNTIF($E$2:E750,E750)</f>
        <v>169</v>
      </c>
      <c r="M750" s="10" t="e">
        <f aca="false">ifs(L750=1, L750&amp;"-"&amp; COUNTIFS($L$2:L750,1))</f>
        <v>#NAME?</v>
      </c>
      <c r="N750" s="15" t="s">
        <v>603</v>
      </c>
      <c r="O750" s="10"/>
      <c r="P750" s="22" t="n">
        <f aca="false">COUNTIFS(C:C,C750,N:N,"Đã xác nhận")/COUNTIFS(C:C,C750)</f>
        <v>1</v>
      </c>
      <c r="Q750" s="22"/>
      <c r="R750" s="0" t="s">
        <v>2682</v>
      </c>
      <c r="S750" s="0" t="s">
        <v>534</v>
      </c>
      <c r="U750" s="24" t="n">
        <v>2</v>
      </c>
    </row>
    <row r="751" customFormat="false" ht="12.75" hidden="false" customHeight="false" outlineLevel="0" collapsed="false">
      <c r="A751" s="15" t="s">
        <v>2683</v>
      </c>
      <c r="B751" s="15" t="s">
        <v>2304</v>
      </c>
      <c r="C751" s="15" t="s">
        <v>2619</v>
      </c>
      <c r="D751" s="15" t="s">
        <v>2321</v>
      </c>
      <c r="E751" s="15" t="s">
        <v>37</v>
      </c>
      <c r="G751" s="10" t="n">
        <v>1</v>
      </c>
      <c r="H751" s="21" t="n">
        <v>45966.3893055556</v>
      </c>
      <c r="I751" s="15" t="s">
        <v>2628</v>
      </c>
      <c r="J751" s="15" t="s">
        <v>2684</v>
      </c>
      <c r="K751" s="15" t="s">
        <v>2685</v>
      </c>
      <c r="L751" s="10" t="n">
        <f aca="false">COUNTIF($E$2:E751,E751)</f>
        <v>15</v>
      </c>
      <c r="M751" s="10" t="e">
        <f aca="false">ifs(L751=1, L751&amp;"-"&amp; COUNTIFS($L$2:L751,1))</f>
        <v>#NAME?</v>
      </c>
      <c r="O751" s="10"/>
      <c r="P751" s="22" t="n">
        <f aca="false">COUNTIFS(C:C,C751,N:N,"Đã xác nhận")/COUNTIFS(C:C,C751)</f>
        <v>0</v>
      </c>
      <c r="Q751" s="22"/>
      <c r="R751" s="0" t="s">
        <v>2323</v>
      </c>
      <c r="S751" s="0" t="s">
        <v>561</v>
      </c>
      <c r="U751" s="24" t="n">
        <v>1</v>
      </c>
    </row>
    <row r="752" customFormat="false" ht="12.75" hidden="false" customHeight="false" outlineLevel="0" collapsed="false">
      <c r="A752" s="15" t="s">
        <v>2686</v>
      </c>
      <c r="B752" s="15" t="s">
        <v>2687</v>
      </c>
      <c r="C752" s="15" t="s">
        <v>473</v>
      </c>
      <c r="D752" s="15" t="s">
        <v>2688</v>
      </c>
      <c r="E752" s="15" t="s">
        <v>555</v>
      </c>
      <c r="G752" s="10" t="n">
        <v>4</v>
      </c>
      <c r="H752" s="21" t="n">
        <v>46044.6423148148</v>
      </c>
      <c r="I752" s="15" t="s">
        <v>2689</v>
      </c>
      <c r="J752" s="15" t="s">
        <v>2689</v>
      </c>
      <c r="K752" s="15"/>
      <c r="L752" s="10" t="n">
        <f aca="false">COUNTIF($E$2:E752,E752)</f>
        <v>21</v>
      </c>
      <c r="M752" s="10" t="e">
        <f aca="false">ifs(L752=1, L752&amp;"-"&amp; COUNTIFS($L$2:L752,1))</f>
        <v>#NAME?</v>
      </c>
      <c r="N752" s="15" t="s">
        <v>603</v>
      </c>
      <c r="O752" s="10"/>
      <c r="P752" s="22" t="n">
        <f aca="false">COUNTIFS(C:C,C752,N:N,"Đã xác nhận")/COUNTIFS(C:C,C752)</f>
        <v>1</v>
      </c>
      <c r="Q752" s="22"/>
      <c r="R752" s="0" t="s">
        <v>2688</v>
      </c>
      <c r="S752" s="0" t="s">
        <v>556</v>
      </c>
      <c r="U752" s="24" t="n">
        <v>4</v>
      </c>
    </row>
    <row r="753" customFormat="false" ht="12.75" hidden="false" customHeight="false" outlineLevel="0" collapsed="false">
      <c r="A753" s="15" t="s">
        <v>2690</v>
      </c>
      <c r="B753" s="15"/>
      <c r="C753" s="15"/>
      <c r="D753" s="15"/>
      <c r="E753" s="15"/>
      <c r="G753" s="10" t="n">
        <v>0</v>
      </c>
      <c r="H753" s="21" t="n">
        <v>46044.6421180556</v>
      </c>
      <c r="I753" s="15" t="s">
        <v>2691</v>
      </c>
      <c r="J753" s="15" t="s">
        <v>695</v>
      </c>
      <c r="K753" s="15" t="s">
        <v>2692</v>
      </c>
      <c r="L753" s="10" t="n">
        <f aca="false">COUNTIF($E$2:E753,E753)</f>
        <v>0</v>
      </c>
      <c r="M753" s="10" t="e">
        <f aca="false">ifs(L753=1, L753&amp;"-"&amp; COUNTIFS($L$2:L753,1))</f>
        <v>#NAME?</v>
      </c>
      <c r="O753" s="10"/>
      <c r="P753" s="22" t="e">
        <f aca="false">COUNTIFS(C:C,C753,N:N,"Đã xác nhận")/COUNTIFS(C:C,C753)</f>
        <v>#DIV/0!</v>
      </c>
      <c r="Q753" s="22"/>
      <c r="R753" s="0" t="e">
        <f aca="false">#VALUE!</f>
        <v>#VALUE!</v>
      </c>
      <c r="S753" s="0" t="e">
        <f aca="false">#VALUE!</f>
        <v>#VALUE!</v>
      </c>
      <c r="U753" s="24" t="n">
        <v>0</v>
      </c>
    </row>
    <row r="754" customFormat="false" ht="12.75" hidden="false" customHeight="false" outlineLevel="0" collapsed="false">
      <c r="A754" s="15" t="s">
        <v>2693</v>
      </c>
      <c r="B754" s="15" t="s">
        <v>2687</v>
      </c>
      <c r="C754" s="15" t="s">
        <v>473</v>
      </c>
      <c r="D754" s="15" t="s">
        <v>2688</v>
      </c>
      <c r="E754" s="15" t="s">
        <v>11</v>
      </c>
      <c r="G754" s="10" t="n">
        <v>4</v>
      </c>
      <c r="H754" s="21" t="n">
        <v>46044.6421527778</v>
      </c>
      <c r="I754" s="15" t="s">
        <v>2694</v>
      </c>
      <c r="J754" s="15" t="s">
        <v>2694</v>
      </c>
      <c r="K754" s="15"/>
      <c r="L754" s="10" t="n">
        <f aca="false">COUNTIF($E$2:E754,E754)</f>
        <v>3</v>
      </c>
      <c r="M754" s="10" t="e">
        <f aca="false">ifs(L754=1, L754&amp;"-"&amp; COUNTIFS($L$2:L754,1))</f>
        <v>#NAME?</v>
      </c>
      <c r="N754" s="15" t="s">
        <v>603</v>
      </c>
      <c r="O754" s="10"/>
      <c r="P754" s="22" t="n">
        <f aca="false">COUNTIFS(C:C,C754,N:N,"Đã xác nhận")/COUNTIFS(C:C,C754)</f>
        <v>1</v>
      </c>
      <c r="Q754" s="22"/>
      <c r="R754" s="0" t="s">
        <v>2688</v>
      </c>
      <c r="S754" s="0" t="s">
        <v>572</v>
      </c>
      <c r="U754" s="24" t="n">
        <v>4</v>
      </c>
    </row>
    <row r="755" customFormat="false" ht="12.75" hidden="false" customHeight="false" outlineLevel="0" collapsed="false">
      <c r="A755" s="15" t="s">
        <v>2695</v>
      </c>
      <c r="B755" s="15" t="s">
        <v>2687</v>
      </c>
      <c r="C755" s="15" t="s">
        <v>473</v>
      </c>
      <c r="D755" s="15" t="s">
        <v>2688</v>
      </c>
      <c r="E755" s="15" t="s">
        <v>543</v>
      </c>
      <c r="G755" s="10" t="n">
        <v>4</v>
      </c>
      <c r="H755" s="21" t="n">
        <v>46044.6422685185</v>
      </c>
      <c r="I755" s="15" t="s">
        <v>2696</v>
      </c>
      <c r="J755" s="15" t="s">
        <v>2696</v>
      </c>
      <c r="K755" s="15"/>
      <c r="L755" s="10" t="n">
        <f aca="false">COUNTIF($E$2:E755,E755)</f>
        <v>17</v>
      </c>
      <c r="M755" s="10" t="e">
        <f aca="false">ifs(L755=1, L755&amp;"-"&amp; COUNTIFS($L$2:L755,1))</f>
        <v>#NAME?</v>
      </c>
      <c r="N755" s="15" t="s">
        <v>603</v>
      </c>
      <c r="O755" s="10"/>
      <c r="P755" s="22" t="n">
        <f aca="false">COUNTIFS(C:C,C755,N:N,"Đã xác nhận")/COUNTIFS(C:C,C755)</f>
        <v>1</v>
      </c>
      <c r="Q755" s="22"/>
      <c r="R755" s="0" t="s">
        <v>2688</v>
      </c>
      <c r="S755" s="0" t="s">
        <v>544</v>
      </c>
      <c r="U755" s="24" t="n">
        <v>4</v>
      </c>
    </row>
    <row r="756" customFormat="false" ht="12.75" hidden="false" customHeight="false" outlineLevel="0" collapsed="false">
      <c r="A756" s="15" t="s">
        <v>2697</v>
      </c>
      <c r="B756" s="15" t="s">
        <v>2687</v>
      </c>
      <c r="C756" s="15" t="s">
        <v>473</v>
      </c>
      <c r="D756" s="15" t="s">
        <v>2688</v>
      </c>
      <c r="E756" s="15" t="s">
        <v>91</v>
      </c>
      <c r="G756" s="10" t="n">
        <v>4</v>
      </c>
      <c r="H756" s="21" t="n">
        <v>46044.642349537</v>
      </c>
      <c r="I756" s="15" t="s">
        <v>2698</v>
      </c>
      <c r="J756" s="15" t="s">
        <v>2698</v>
      </c>
      <c r="K756" s="15"/>
      <c r="L756" s="10" t="n">
        <f aca="false">COUNTIF($E$2:E756,E756)</f>
        <v>3</v>
      </c>
      <c r="M756" s="10" t="e">
        <f aca="false">ifs(L756=1, L756&amp;"-"&amp; COUNTIFS($L$2:L756,1))</f>
        <v>#NAME?</v>
      </c>
      <c r="N756" s="15" t="s">
        <v>603</v>
      </c>
      <c r="O756" s="10"/>
      <c r="P756" s="22" t="n">
        <f aca="false">COUNTIFS(C:C,C756,N:N,"Đã xác nhận")/COUNTIFS(C:C,C756)</f>
        <v>1</v>
      </c>
      <c r="Q756" s="22"/>
      <c r="R756" s="0" t="s">
        <v>2688</v>
      </c>
      <c r="S756" s="0" t="s">
        <v>91</v>
      </c>
      <c r="U756" s="24" t="n">
        <v>4</v>
      </c>
    </row>
    <row r="757" customFormat="false" ht="12.75" hidden="false" customHeight="false" outlineLevel="0" collapsed="false">
      <c r="A757" s="15" t="s">
        <v>2699</v>
      </c>
      <c r="B757" s="15" t="s">
        <v>2687</v>
      </c>
      <c r="C757" s="15" t="s">
        <v>473</v>
      </c>
      <c r="D757" s="15" t="s">
        <v>2688</v>
      </c>
      <c r="E757" s="15" t="s">
        <v>25</v>
      </c>
      <c r="G757" s="10" t="n">
        <v>4</v>
      </c>
      <c r="H757" s="21" t="n">
        <v>46044.6422106482</v>
      </c>
      <c r="I757" s="15" t="s">
        <v>2700</v>
      </c>
      <c r="J757" s="15" t="s">
        <v>2700</v>
      </c>
      <c r="K757" s="15"/>
      <c r="L757" s="10" t="n">
        <f aca="false">COUNTIF($E$2:E757,E757)</f>
        <v>12</v>
      </c>
      <c r="M757" s="10" t="e">
        <f aca="false">ifs(L757=1, L757&amp;"-"&amp; COUNTIFS($L$2:L757,1))</f>
        <v>#NAME?</v>
      </c>
      <c r="N757" s="15" t="s">
        <v>603</v>
      </c>
      <c r="O757" s="10"/>
      <c r="P757" s="22" t="n">
        <f aca="false">COUNTIFS(C:C,C757,N:N,"Đã xác nhận")/COUNTIFS(C:C,C757)</f>
        <v>1</v>
      </c>
      <c r="Q757" s="22"/>
      <c r="R757" s="0" t="s">
        <v>2688</v>
      </c>
      <c r="S757" s="0" t="s">
        <v>26</v>
      </c>
      <c r="U757" s="24" t="n">
        <v>4</v>
      </c>
    </row>
    <row r="758" customFormat="false" ht="12.75" hidden="false" customHeight="false" outlineLevel="0" collapsed="false">
      <c r="A758" s="15" t="s">
        <v>2701</v>
      </c>
      <c r="B758" s="15" t="s">
        <v>2687</v>
      </c>
      <c r="C758" s="15" t="s">
        <v>474</v>
      </c>
      <c r="D758" s="15" t="s">
        <v>2688</v>
      </c>
      <c r="E758" s="15" t="s">
        <v>555</v>
      </c>
      <c r="G758" s="10" t="n">
        <v>8</v>
      </c>
      <c r="H758" s="21" t="n">
        <v>46044.6428009259</v>
      </c>
      <c r="I758" s="15" t="s">
        <v>2702</v>
      </c>
      <c r="J758" s="15" t="s">
        <v>2702</v>
      </c>
      <c r="K758" s="15"/>
      <c r="L758" s="10" t="n">
        <f aca="false">COUNTIF($E$2:E758,E758)</f>
        <v>22</v>
      </c>
      <c r="M758" s="10" t="e">
        <f aca="false">ifs(L758=1, L758&amp;"-"&amp; COUNTIFS($L$2:L758,1))</f>
        <v>#NAME?</v>
      </c>
      <c r="N758" s="15" t="s">
        <v>603</v>
      </c>
      <c r="O758" s="10"/>
      <c r="P758" s="22" t="n">
        <f aca="false">COUNTIFS(C:C,C758,N:N,"Đã xác nhận")/COUNTIFS(C:C,C758)</f>
        <v>1</v>
      </c>
      <c r="Q758" s="22"/>
      <c r="R758" s="0" t="s">
        <v>2688</v>
      </c>
      <c r="S758" s="0" t="s">
        <v>556</v>
      </c>
      <c r="U758" s="24" t="n">
        <v>8</v>
      </c>
    </row>
    <row r="759" customFormat="false" ht="12.75" hidden="false" customHeight="false" outlineLevel="0" collapsed="false">
      <c r="A759" s="15" t="s">
        <v>2703</v>
      </c>
      <c r="B759" s="15" t="s">
        <v>2687</v>
      </c>
      <c r="C759" s="15" t="s">
        <v>474</v>
      </c>
      <c r="D759" s="15" t="s">
        <v>2688</v>
      </c>
      <c r="E759" s="15" t="s">
        <v>565</v>
      </c>
      <c r="G759" s="10" t="n">
        <v>4</v>
      </c>
      <c r="H759" s="21" t="n">
        <v>46044.6432523148</v>
      </c>
      <c r="I759" s="15" t="s">
        <v>2704</v>
      </c>
      <c r="J759" s="15" t="s">
        <v>2704</v>
      </c>
      <c r="K759" s="15"/>
      <c r="L759" s="10" t="n">
        <f aca="false">COUNTIF($E$2:E759,E759)</f>
        <v>13</v>
      </c>
      <c r="M759" s="10" t="e">
        <f aca="false">ifs(L759=1, L759&amp;"-"&amp; COUNTIFS($L$2:L759,1))</f>
        <v>#NAME?</v>
      </c>
      <c r="N759" s="15" t="s">
        <v>603</v>
      </c>
      <c r="O759" s="10"/>
      <c r="P759" s="22" t="n">
        <f aca="false">COUNTIFS(C:C,C759,N:N,"Đã xác nhận")/COUNTIFS(C:C,C759)</f>
        <v>1</v>
      </c>
      <c r="Q759" s="22"/>
      <c r="R759" s="0" t="s">
        <v>2688</v>
      </c>
      <c r="S759" s="0" t="s">
        <v>566</v>
      </c>
      <c r="U759" s="24" t="n">
        <v>4</v>
      </c>
    </row>
    <row r="760" customFormat="false" ht="12.75" hidden="false" customHeight="false" outlineLevel="0" collapsed="false">
      <c r="A760" s="15" t="s">
        <v>2705</v>
      </c>
      <c r="B760" s="15"/>
      <c r="C760" s="15"/>
      <c r="D760" s="15"/>
      <c r="E760" s="15"/>
      <c r="G760" s="10" t="n">
        <v>0</v>
      </c>
      <c r="H760" s="21" t="n">
        <v>46044.6426851852</v>
      </c>
      <c r="I760" s="15" t="s">
        <v>2706</v>
      </c>
      <c r="J760" s="15" t="s">
        <v>695</v>
      </c>
      <c r="K760" s="15" t="s">
        <v>2707</v>
      </c>
      <c r="L760" s="10" t="n">
        <f aca="false">COUNTIF($E$2:E760,E760)</f>
        <v>0</v>
      </c>
      <c r="M760" s="10" t="e">
        <f aca="false">ifs(L760=1, L760&amp;"-"&amp; COUNTIFS($L$2:L760,1))</f>
        <v>#NAME?</v>
      </c>
      <c r="O760" s="10"/>
      <c r="P760" s="22" t="e">
        <f aca="false">COUNTIFS(C:C,C760,N:N,"Đã xác nhận")/COUNTIFS(C:C,C760)</f>
        <v>#DIV/0!</v>
      </c>
      <c r="Q760" s="22"/>
      <c r="R760" s="0" t="e">
        <f aca="false">#VALUE!</f>
        <v>#VALUE!</v>
      </c>
      <c r="S760" s="0" t="e">
        <f aca="false">#VALUE!</f>
        <v>#VALUE!</v>
      </c>
      <c r="U760" s="24" t="n">
        <v>0</v>
      </c>
    </row>
    <row r="761" customFormat="false" ht="12.75" hidden="false" customHeight="false" outlineLevel="0" collapsed="false">
      <c r="A761" s="15" t="s">
        <v>2708</v>
      </c>
      <c r="B761" s="15"/>
      <c r="C761" s="15"/>
      <c r="D761" s="15"/>
      <c r="E761" s="15"/>
      <c r="G761" s="10" t="n">
        <v>0</v>
      </c>
      <c r="H761" s="21" t="n">
        <v>46044.6426388889</v>
      </c>
      <c r="I761" s="15" t="s">
        <v>2709</v>
      </c>
      <c r="J761" s="15" t="s">
        <v>695</v>
      </c>
      <c r="K761" s="15" t="s">
        <v>2710</v>
      </c>
      <c r="L761" s="10" t="n">
        <f aca="false">COUNTIF($E$2:E761,E761)</f>
        <v>0</v>
      </c>
      <c r="M761" s="10" t="e">
        <f aca="false">ifs(L761=1, L761&amp;"-"&amp; COUNTIFS($L$2:L761,1))</f>
        <v>#NAME?</v>
      </c>
      <c r="O761" s="10"/>
      <c r="P761" s="22" t="e">
        <f aca="false">COUNTIFS(C:C,C761,N:N,"Đã xác nhận")/COUNTIFS(C:C,C761)</f>
        <v>#DIV/0!</v>
      </c>
      <c r="Q761" s="22"/>
      <c r="R761" s="0" t="e">
        <f aca="false">#VALUE!</f>
        <v>#VALUE!</v>
      </c>
      <c r="S761" s="0" t="e">
        <f aca="false">#VALUE!</f>
        <v>#VALUE!</v>
      </c>
      <c r="U761" s="24" t="n">
        <v>0</v>
      </c>
    </row>
    <row r="762" customFormat="false" ht="12.75" hidden="false" customHeight="false" outlineLevel="0" collapsed="false">
      <c r="A762" s="15" t="s">
        <v>2711</v>
      </c>
      <c r="B762" s="15" t="s">
        <v>2687</v>
      </c>
      <c r="C762" s="15" t="s">
        <v>474</v>
      </c>
      <c r="D762" s="15" t="s">
        <v>2688</v>
      </c>
      <c r="E762" s="15" t="s">
        <v>11</v>
      </c>
      <c r="G762" s="10" t="n">
        <v>4</v>
      </c>
      <c r="H762" s="21" t="n">
        <v>46044.6427314815</v>
      </c>
      <c r="I762" s="15" t="s">
        <v>2712</v>
      </c>
      <c r="J762" s="15" t="s">
        <v>2712</v>
      </c>
      <c r="K762" s="15"/>
      <c r="L762" s="10" t="n">
        <f aca="false">COUNTIF($E$2:E762,E762)</f>
        <v>4</v>
      </c>
      <c r="M762" s="10" t="e">
        <f aca="false">ifs(L762=1, L762&amp;"-"&amp; COUNTIFS($L$2:L762,1))</f>
        <v>#NAME?</v>
      </c>
      <c r="N762" s="15" t="s">
        <v>603</v>
      </c>
      <c r="O762" s="10"/>
      <c r="P762" s="22" t="n">
        <f aca="false">COUNTIFS(C:C,C762,N:N,"Đã xác nhận")/COUNTIFS(C:C,C762)</f>
        <v>1</v>
      </c>
      <c r="Q762" s="22"/>
      <c r="R762" s="0" t="s">
        <v>2688</v>
      </c>
      <c r="S762" s="0" t="s">
        <v>572</v>
      </c>
      <c r="U762" s="24" t="n">
        <v>4</v>
      </c>
    </row>
    <row r="763" customFormat="false" ht="12.75" hidden="false" customHeight="false" outlineLevel="0" collapsed="false">
      <c r="A763" s="15" t="s">
        <v>2713</v>
      </c>
      <c r="B763" s="15" t="s">
        <v>2687</v>
      </c>
      <c r="C763" s="15" t="s">
        <v>474</v>
      </c>
      <c r="D763" s="15" t="s">
        <v>2688</v>
      </c>
      <c r="E763" s="15" t="s">
        <v>543</v>
      </c>
      <c r="G763" s="10" t="n">
        <v>4</v>
      </c>
      <c r="H763" s="21" t="n">
        <v>46044.6427777778</v>
      </c>
      <c r="I763" s="15" t="s">
        <v>2714</v>
      </c>
      <c r="J763" s="15" t="s">
        <v>2714</v>
      </c>
      <c r="K763" s="15"/>
      <c r="L763" s="10" t="n">
        <f aca="false">COUNTIF($E$2:E763,E763)</f>
        <v>18</v>
      </c>
      <c r="M763" s="10" t="e">
        <f aca="false">ifs(L763=1, L763&amp;"-"&amp; COUNTIFS($L$2:L763,1))</f>
        <v>#NAME?</v>
      </c>
      <c r="N763" s="15" t="s">
        <v>603</v>
      </c>
      <c r="O763" s="10"/>
      <c r="P763" s="22" t="n">
        <f aca="false">COUNTIFS(C:C,C763,N:N,"Đã xác nhận")/COUNTIFS(C:C,C763)</f>
        <v>1</v>
      </c>
      <c r="Q763" s="22"/>
      <c r="R763" s="0" t="s">
        <v>2688</v>
      </c>
      <c r="S763" s="0" t="s">
        <v>544</v>
      </c>
      <c r="U763" s="24" t="n">
        <v>4</v>
      </c>
    </row>
    <row r="764" customFormat="false" ht="12.75" hidden="false" customHeight="false" outlineLevel="0" collapsed="false">
      <c r="A764" s="15" t="s">
        <v>2715</v>
      </c>
      <c r="B764" s="15" t="s">
        <v>2687</v>
      </c>
      <c r="C764" s="15" t="s">
        <v>474</v>
      </c>
      <c r="D764" s="15" t="s">
        <v>2688</v>
      </c>
      <c r="E764" s="15" t="s">
        <v>91</v>
      </c>
      <c r="G764" s="10" t="n">
        <v>4</v>
      </c>
      <c r="H764" s="21" t="n">
        <v>46044.6433449074</v>
      </c>
      <c r="I764" s="15" t="s">
        <v>2716</v>
      </c>
      <c r="J764" s="15" t="s">
        <v>2716</v>
      </c>
      <c r="K764" s="15"/>
      <c r="L764" s="10" t="n">
        <f aca="false">COUNTIF($E$2:E764,E764)</f>
        <v>4</v>
      </c>
      <c r="M764" s="10" t="e">
        <f aca="false">ifs(L764=1, L764&amp;"-"&amp; COUNTIFS($L$2:L764,1))</f>
        <v>#NAME?</v>
      </c>
      <c r="N764" s="15" t="s">
        <v>603</v>
      </c>
      <c r="O764" s="10"/>
      <c r="P764" s="22" t="n">
        <f aca="false">COUNTIFS(C:C,C764,N:N,"Đã xác nhận")/COUNTIFS(C:C,C764)</f>
        <v>1</v>
      </c>
      <c r="Q764" s="22"/>
      <c r="R764" s="0" t="s">
        <v>2688</v>
      </c>
      <c r="S764" s="0" t="s">
        <v>91</v>
      </c>
      <c r="U764" s="24" t="n">
        <v>4</v>
      </c>
    </row>
    <row r="765" customFormat="false" ht="12.75" hidden="false" customHeight="false" outlineLevel="0" collapsed="false">
      <c r="A765" s="15" t="s">
        <v>2717</v>
      </c>
      <c r="B765" s="15" t="s">
        <v>2687</v>
      </c>
      <c r="C765" s="15" t="s">
        <v>474</v>
      </c>
      <c r="D765" s="15" t="s">
        <v>2688</v>
      </c>
      <c r="E765" s="15" t="s">
        <v>25</v>
      </c>
      <c r="G765" s="10" t="n">
        <v>4</v>
      </c>
      <c r="H765" s="21" t="n">
        <v>46044.6427546296</v>
      </c>
      <c r="I765" s="15" t="s">
        <v>2718</v>
      </c>
      <c r="J765" s="15" t="s">
        <v>2718</v>
      </c>
      <c r="K765" s="15"/>
      <c r="L765" s="10" t="n">
        <f aca="false">COUNTIF($E$2:E765,E765)</f>
        <v>13</v>
      </c>
      <c r="M765" s="10" t="e">
        <f aca="false">ifs(L765=1, L765&amp;"-"&amp; COUNTIFS($L$2:L765,1))</f>
        <v>#NAME?</v>
      </c>
      <c r="N765" s="15" t="s">
        <v>603</v>
      </c>
      <c r="O765" s="10"/>
      <c r="P765" s="22" t="n">
        <f aca="false">COUNTIFS(C:C,C765,N:N,"Đã xác nhận")/COUNTIFS(C:C,C765)</f>
        <v>1</v>
      </c>
      <c r="Q765" s="22"/>
      <c r="R765" s="0" t="s">
        <v>2688</v>
      </c>
      <c r="S765" s="0" t="s">
        <v>26</v>
      </c>
      <c r="U765" s="24" t="n">
        <v>4</v>
      </c>
    </row>
    <row r="766" customFormat="false" ht="12.75" hidden="false" customHeight="false" outlineLevel="0" collapsed="false">
      <c r="A766" s="15" t="s">
        <v>2719</v>
      </c>
      <c r="B766" s="15" t="s">
        <v>600</v>
      </c>
      <c r="C766" s="15" t="s">
        <v>465</v>
      </c>
      <c r="D766" s="15" t="s">
        <v>905</v>
      </c>
      <c r="E766" s="15" t="s">
        <v>11</v>
      </c>
      <c r="G766" s="10" t="n">
        <v>6</v>
      </c>
      <c r="H766" s="21" t="n">
        <v>46027.39625</v>
      </c>
      <c r="I766" s="15" t="s">
        <v>2720</v>
      </c>
      <c r="J766" s="15" t="s">
        <v>2720</v>
      </c>
      <c r="K766" s="15"/>
      <c r="L766" s="10" t="n">
        <f aca="false">COUNTIF($E$2:E766,E766)</f>
        <v>5</v>
      </c>
      <c r="M766" s="10" t="e">
        <f aca="false">ifs(L766=1, L766&amp;"-"&amp; COUNTIFS($L$2:L766,1))</f>
        <v>#NAME?</v>
      </c>
      <c r="N766" s="15" t="s">
        <v>603</v>
      </c>
      <c r="O766" s="10"/>
      <c r="P766" s="22" t="n">
        <f aca="false">COUNTIFS(C:C,C766,N:N,"Đã xác nhận")/COUNTIFS(C:C,C766)</f>
        <v>1</v>
      </c>
      <c r="Q766" s="22"/>
      <c r="R766" s="0" t="s">
        <v>907</v>
      </c>
      <c r="S766" s="0" t="s">
        <v>572</v>
      </c>
      <c r="U766" s="24" t="n">
        <v>6</v>
      </c>
    </row>
    <row r="767" customFormat="false" ht="12.75" hidden="false" customHeight="false" outlineLevel="0" collapsed="false">
      <c r="A767" s="15" t="s">
        <v>2721</v>
      </c>
      <c r="B767" s="15" t="s">
        <v>600</v>
      </c>
      <c r="C767" s="15" t="s">
        <v>465</v>
      </c>
      <c r="D767" s="15" t="s">
        <v>878</v>
      </c>
      <c r="E767" s="15" t="s">
        <v>69</v>
      </c>
      <c r="G767" s="10" t="n">
        <v>1</v>
      </c>
      <c r="H767" s="21" t="n">
        <v>46027.3991435185</v>
      </c>
      <c r="I767" s="15" t="s">
        <v>2722</v>
      </c>
      <c r="J767" s="15" t="s">
        <v>2722</v>
      </c>
      <c r="K767" s="15"/>
      <c r="L767" s="10" t="n">
        <f aca="false">COUNTIF($E$2:E767,E767)</f>
        <v>83</v>
      </c>
      <c r="M767" s="10" t="e">
        <f aca="false">ifs(L767=1, L767&amp;"-"&amp; COUNTIFS($L$2:L767,1))</f>
        <v>#NAME?</v>
      </c>
      <c r="N767" s="15" t="s">
        <v>603</v>
      </c>
      <c r="O767" s="10"/>
      <c r="P767" s="22" t="n">
        <f aca="false">COUNTIFS(C:C,C767,N:N,"Đã xác nhận")/COUNTIFS(C:C,C767)</f>
        <v>1</v>
      </c>
      <c r="Q767" s="22"/>
      <c r="R767" s="0" t="s">
        <v>768</v>
      </c>
      <c r="S767" s="0" t="s">
        <v>535</v>
      </c>
      <c r="U767" s="24" t="n">
        <v>1</v>
      </c>
    </row>
    <row r="768" customFormat="false" ht="12.75" hidden="false" customHeight="false" outlineLevel="0" collapsed="false">
      <c r="A768" s="15" t="s">
        <v>2723</v>
      </c>
      <c r="B768" s="15" t="s">
        <v>2687</v>
      </c>
      <c r="C768" s="15" t="s">
        <v>477</v>
      </c>
      <c r="D768" s="15" t="s">
        <v>2688</v>
      </c>
      <c r="E768" s="15" t="s">
        <v>69</v>
      </c>
      <c r="G768" s="10" t="n">
        <v>3</v>
      </c>
      <c r="H768" s="21" t="n">
        <v>46044.6531365741</v>
      </c>
      <c r="I768" s="15" t="s">
        <v>2724</v>
      </c>
      <c r="J768" s="15" t="s">
        <v>2724</v>
      </c>
      <c r="K768" s="15"/>
      <c r="L768" s="10" t="n">
        <f aca="false">COUNTIF($E$2:E768,E768)</f>
        <v>84</v>
      </c>
      <c r="M768" s="10" t="e">
        <f aca="false">ifs(L768=1, L768&amp;"-"&amp; COUNTIFS($L$2:L768,1))</f>
        <v>#NAME?</v>
      </c>
      <c r="N768" s="15" t="s">
        <v>603</v>
      </c>
      <c r="O768" s="10"/>
      <c r="P768" s="22" t="n">
        <f aca="false">COUNTIFS(C:C,C768,N:N,"Đã xác nhận")/COUNTIFS(C:C,C768)</f>
        <v>1</v>
      </c>
      <c r="Q768" s="22"/>
      <c r="R768" s="0" t="s">
        <v>2688</v>
      </c>
      <c r="S768" s="0" t="s">
        <v>535</v>
      </c>
      <c r="U768" s="24" t="n">
        <v>3</v>
      </c>
    </row>
    <row r="769" customFormat="false" ht="12.75" hidden="false" customHeight="false" outlineLevel="0" collapsed="false">
      <c r="A769" s="15" t="s">
        <v>2725</v>
      </c>
      <c r="B769" s="15" t="s">
        <v>2687</v>
      </c>
      <c r="C769" s="15" t="s">
        <v>477</v>
      </c>
      <c r="D769" s="15" t="s">
        <v>2688</v>
      </c>
      <c r="E769" s="15" t="s">
        <v>547</v>
      </c>
      <c r="G769" s="10" t="n">
        <v>3</v>
      </c>
      <c r="H769" s="21" t="n">
        <v>46044.6530902778</v>
      </c>
      <c r="I769" s="15" t="s">
        <v>2726</v>
      </c>
      <c r="J769" s="15" t="s">
        <v>2726</v>
      </c>
      <c r="K769" s="15"/>
      <c r="L769" s="10" t="n">
        <f aca="false">COUNTIF($E$2:E769,E769)</f>
        <v>25</v>
      </c>
      <c r="M769" s="10" t="e">
        <f aca="false">ifs(L769=1, L769&amp;"-"&amp; COUNTIFS($L$2:L769,1))</f>
        <v>#NAME?</v>
      </c>
      <c r="N769" s="15" t="s">
        <v>603</v>
      </c>
      <c r="O769" s="10"/>
      <c r="P769" s="22" t="n">
        <f aca="false">COUNTIFS(C:C,C769,N:N,"Đã xác nhận")/COUNTIFS(C:C,C769)</f>
        <v>1</v>
      </c>
      <c r="Q769" s="22"/>
      <c r="R769" s="0" t="s">
        <v>2688</v>
      </c>
      <c r="S769" s="0" t="s">
        <v>548</v>
      </c>
      <c r="U769" s="24" t="n">
        <v>3</v>
      </c>
    </row>
    <row r="770" customFormat="false" ht="12.75" hidden="false" customHeight="false" outlineLevel="0" collapsed="false">
      <c r="A770" s="15" t="s">
        <v>2727</v>
      </c>
      <c r="B770" s="15" t="s">
        <v>600</v>
      </c>
      <c r="C770" s="15" t="s">
        <v>496</v>
      </c>
      <c r="D770" s="15" t="s">
        <v>628</v>
      </c>
      <c r="E770" s="15" t="s">
        <v>59</v>
      </c>
      <c r="G770" s="10" t="n">
        <v>2</v>
      </c>
      <c r="H770" s="21" t="n">
        <v>46046.3518287037</v>
      </c>
      <c r="I770" s="15" t="s">
        <v>2728</v>
      </c>
      <c r="J770" s="15" t="s">
        <v>2728</v>
      </c>
      <c r="K770" s="15"/>
      <c r="L770" s="10" t="n">
        <f aca="false">COUNTIF($E$2:E770,E770)</f>
        <v>11</v>
      </c>
      <c r="M770" s="10" t="e">
        <f aca="false">ifs(L770=1, L770&amp;"-"&amp; COUNTIFS($L$2:L770,1))</f>
        <v>#NAME?</v>
      </c>
      <c r="N770" s="15" t="s">
        <v>603</v>
      </c>
      <c r="O770" s="10"/>
      <c r="P770" s="22" t="n">
        <f aca="false">COUNTIFS(C:C,C770,N:N,"Đã xác nhận")/COUNTIFS(C:C,C770)</f>
        <v>1</v>
      </c>
      <c r="Q770" s="22"/>
      <c r="R770" s="0" t="s">
        <v>630</v>
      </c>
      <c r="S770" s="0" t="s">
        <v>562</v>
      </c>
      <c r="U770" s="24" t="n">
        <v>2</v>
      </c>
    </row>
    <row r="771" customFormat="false" ht="12.75" hidden="false" customHeight="false" outlineLevel="0" collapsed="false">
      <c r="A771" s="15" t="s">
        <v>2729</v>
      </c>
      <c r="B771" s="15" t="s">
        <v>600</v>
      </c>
      <c r="C771" s="15" t="s">
        <v>496</v>
      </c>
      <c r="D771" s="15" t="s">
        <v>673</v>
      </c>
      <c r="E771" s="15" t="s">
        <v>33</v>
      </c>
      <c r="G771" s="10" t="n">
        <v>2</v>
      </c>
      <c r="H771" s="21" t="n">
        <v>46035.6949768519</v>
      </c>
      <c r="I771" s="15" t="s">
        <v>2730</v>
      </c>
      <c r="J771" s="15" t="s">
        <v>2730</v>
      </c>
      <c r="K771" s="15"/>
      <c r="L771" s="10" t="n">
        <f aca="false">COUNTIF($E$2:E771,E771)</f>
        <v>42</v>
      </c>
      <c r="M771" s="10" t="e">
        <f aca="false">ifs(L771=1, L771&amp;"-"&amp; COUNTIFS($L$2:L771,1))</f>
        <v>#NAME?</v>
      </c>
      <c r="N771" s="15" t="s">
        <v>603</v>
      </c>
      <c r="O771" s="10"/>
      <c r="P771" s="22" t="n">
        <f aca="false">COUNTIFS(C:C,C771,N:N,"Đã xác nhận")/COUNTIFS(C:C,C771)</f>
        <v>1</v>
      </c>
      <c r="Q771" s="22"/>
      <c r="R771" s="0" t="s">
        <v>675</v>
      </c>
      <c r="S771" s="0" t="s">
        <v>536</v>
      </c>
      <c r="U771" s="24" t="n">
        <v>2</v>
      </c>
    </row>
    <row r="772" customFormat="false" ht="12.75" hidden="false" customHeight="false" outlineLevel="0" collapsed="false">
      <c r="A772" s="15" t="s">
        <v>2731</v>
      </c>
      <c r="B772" s="15" t="s">
        <v>600</v>
      </c>
      <c r="C772" s="15" t="s">
        <v>496</v>
      </c>
      <c r="D772" s="15" t="s">
        <v>2732</v>
      </c>
      <c r="E772" s="15" t="s">
        <v>79</v>
      </c>
      <c r="G772" s="10" t="n">
        <v>1</v>
      </c>
      <c r="H772" s="21" t="n">
        <v>46035.6954976852</v>
      </c>
      <c r="I772" s="15" t="s">
        <v>2733</v>
      </c>
      <c r="J772" s="15" t="s">
        <v>2733</v>
      </c>
      <c r="K772" s="15"/>
      <c r="L772" s="10" t="n">
        <f aca="false">COUNTIF($E$2:E772,E772)</f>
        <v>6</v>
      </c>
      <c r="M772" s="10" t="e">
        <f aca="false">ifs(L772=1, L772&amp;"-"&amp; COUNTIFS($L$2:L772,1))</f>
        <v>#NAME?</v>
      </c>
      <c r="N772" s="15" t="s">
        <v>603</v>
      </c>
      <c r="O772" s="10"/>
      <c r="P772" s="22" t="n">
        <f aca="false">COUNTIFS(C:C,C772,N:N,"Đã xác nhận")/COUNTIFS(C:C,C772)</f>
        <v>1</v>
      </c>
      <c r="Q772" s="22"/>
      <c r="R772" s="0" t="s">
        <v>2734</v>
      </c>
      <c r="S772" s="0" t="s">
        <v>564</v>
      </c>
      <c r="U772" s="24" t="n">
        <v>1</v>
      </c>
    </row>
    <row r="773" customFormat="false" ht="12.75" hidden="false" customHeight="false" outlineLevel="0" collapsed="false">
      <c r="A773" s="15" t="s">
        <v>2735</v>
      </c>
      <c r="B773" s="15" t="s">
        <v>600</v>
      </c>
      <c r="C773" s="15" t="s">
        <v>529</v>
      </c>
      <c r="D773" s="15" t="s">
        <v>766</v>
      </c>
      <c r="E773" s="15" t="s">
        <v>547</v>
      </c>
      <c r="G773" s="10" t="n">
        <v>1</v>
      </c>
      <c r="H773" s="21" t="n">
        <v>46038.4839467593</v>
      </c>
      <c r="I773" s="15" t="s">
        <v>2736</v>
      </c>
      <c r="J773" s="15" t="s">
        <v>2737</v>
      </c>
      <c r="K773" s="15" t="s">
        <v>2738</v>
      </c>
      <c r="L773" s="10" t="n">
        <f aca="false">COUNTIF($E$2:E773,E773)</f>
        <v>26</v>
      </c>
      <c r="M773" s="10" t="e">
        <f aca="false">ifs(L773=1, L773&amp;"-"&amp; COUNTIFS($L$2:L773,1))</f>
        <v>#NAME?</v>
      </c>
      <c r="N773" s="15" t="s">
        <v>603</v>
      </c>
      <c r="O773" s="10"/>
      <c r="P773" s="22" t="n">
        <f aca="false">COUNTIFS(C:C,C773,N:N,"Đã xác nhận")/COUNTIFS(C:C,C773)</f>
        <v>1</v>
      </c>
      <c r="Q773" s="22"/>
      <c r="R773" s="0" t="s">
        <v>768</v>
      </c>
      <c r="S773" s="0" t="s">
        <v>548</v>
      </c>
      <c r="U773" s="24" t="n">
        <v>1</v>
      </c>
    </row>
    <row r="774" customFormat="false" ht="12.75" hidden="false" customHeight="false" outlineLevel="0" collapsed="false">
      <c r="A774" s="15" t="s">
        <v>2739</v>
      </c>
      <c r="B774" s="15" t="s">
        <v>600</v>
      </c>
      <c r="C774" s="15" t="s">
        <v>529</v>
      </c>
      <c r="D774" s="15" t="s">
        <v>2740</v>
      </c>
      <c r="E774" s="15" t="s">
        <v>49</v>
      </c>
      <c r="G774" s="10" t="n">
        <v>1</v>
      </c>
      <c r="H774" s="21" t="n">
        <v>46027.407349537</v>
      </c>
      <c r="I774" s="15" t="s">
        <v>2741</v>
      </c>
      <c r="J774" s="15" t="s">
        <v>2741</v>
      </c>
      <c r="K774" s="15"/>
      <c r="L774" s="10" t="n">
        <f aca="false">COUNTIF($E$2:E774,E774)</f>
        <v>8</v>
      </c>
      <c r="M774" s="10" t="e">
        <f aca="false">ifs(L774=1, L774&amp;"-"&amp; COUNTIFS($L$2:L774,1))</f>
        <v>#NAME?</v>
      </c>
      <c r="N774" s="15" t="s">
        <v>603</v>
      </c>
      <c r="O774" s="10"/>
      <c r="P774" s="22" t="n">
        <f aca="false">COUNTIFS(C:C,C774,N:N,"Đã xác nhận")/COUNTIFS(C:C,C774)</f>
        <v>1</v>
      </c>
      <c r="Q774" s="22"/>
      <c r="R774" s="0" t="s">
        <v>2742</v>
      </c>
      <c r="S774" s="0" t="s">
        <v>537</v>
      </c>
      <c r="U774" s="24" t="n">
        <v>1</v>
      </c>
    </row>
    <row r="775" customFormat="false" ht="12.75" hidden="false" customHeight="false" outlineLevel="0" collapsed="false">
      <c r="A775" s="15" t="s">
        <v>2743</v>
      </c>
      <c r="B775" s="15" t="s">
        <v>600</v>
      </c>
      <c r="C775" s="15" t="s">
        <v>529</v>
      </c>
      <c r="D775" s="15" t="s">
        <v>673</v>
      </c>
      <c r="E775" s="15" t="s">
        <v>33</v>
      </c>
      <c r="G775" s="10" t="n">
        <v>2</v>
      </c>
      <c r="H775" s="21" t="n">
        <v>46027.4065856482</v>
      </c>
      <c r="I775" s="15" t="s">
        <v>2744</v>
      </c>
      <c r="J775" s="15" t="s">
        <v>2744</v>
      </c>
      <c r="K775" s="15"/>
      <c r="L775" s="10" t="n">
        <f aca="false">COUNTIF($E$2:E775,E775)</f>
        <v>43</v>
      </c>
      <c r="M775" s="10" t="e">
        <f aca="false">ifs(L775=1, L775&amp;"-"&amp; COUNTIFS($L$2:L775,1))</f>
        <v>#NAME?</v>
      </c>
      <c r="N775" s="15" t="s">
        <v>603</v>
      </c>
      <c r="O775" s="10"/>
      <c r="P775" s="22" t="n">
        <f aca="false">COUNTIFS(C:C,C775,N:N,"Đã xác nhận")/COUNTIFS(C:C,C775)</f>
        <v>1</v>
      </c>
      <c r="Q775" s="22"/>
      <c r="R775" s="0" t="s">
        <v>675</v>
      </c>
      <c r="S775" s="0" t="s">
        <v>536</v>
      </c>
      <c r="U775" s="24" t="n">
        <v>2</v>
      </c>
    </row>
    <row r="776" customFormat="false" ht="12.75" hidden="false" customHeight="false" outlineLevel="0" collapsed="false">
      <c r="A776" s="15" t="s">
        <v>2745</v>
      </c>
      <c r="B776" s="15"/>
      <c r="C776" s="15"/>
      <c r="D776" s="15"/>
      <c r="E776" s="15"/>
      <c r="G776" s="10" t="n">
        <v>0</v>
      </c>
      <c r="H776" s="21" t="n">
        <v>46027.4065740741</v>
      </c>
      <c r="I776" s="15" t="s">
        <v>2746</v>
      </c>
      <c r="J776" s="15" t="s">
        <v>695</v>
      </c>
      <c r="K776" s="15" t="s">
        <v>2747</v>
      </c>
      <c r="L776" s="10" t="n">
        <f aca="false">COUNTIF($E$2:E776,E776)</f>
        <v>0</v>
      </c>
      <c r="M776" s="10" t="e">
        <f aca="false">ifs(L776=1, L776&amp;"-"&amp; COUNTIFS($L$2:L776,1))</f>
        <v>#NAME?</v>
      </c>
      <c r="O776" s="10"/>
      <c r="P776" s="22" t="e">
        <f aca="false">COUNTIFS(C:C,C776,N:N,"Đã xác nhận")/COUNTIFS(C:C,C776)</f>
        <v>#DIV/0!</v>
      </c>
      <c r="Q776" s="22"/>
      <c r="R776" s="0" t="e">
        <f aca="false">#VALUE!</f>
        <v>#VALUE!</v>
      </c>
      <c r="S776" s="0" t="e">
        <f aca="false">#VALUE!</f>
        <v>#VALUE!</v>
      </c>
      <c r="U776" s="24" t="n">
        <v>0</v>
      </c>
    </row>
    <row r="777" customFormat="false" ht="12.75" hidden="false" customHeight="false" outlineLevel="0" collapsed="false">
      <c r="A777" s="15" t="s">
        <v>2748</v>
      </c>
      <c r="B777" s="15" t="s">
        <v>600</v>
      </c>
      <c r="C777" s="15" t="s">
        <v>520</v>
      </c>
      <c r="D777" s="15" t="s">
        <v>673</v>
      </c>
      <c r="E777" s="15" t="s">
        <v>33</v>
      </c>
      <c r="G777" s="10" t="n">
        <v>4</v>
      </c>
      <c r="H777" s="21" t="n">
        <v>46024.653275463</v>
      </c>
      <c r="I777" s="15" t="s">
        <v>2749</v>
      </c>
      <c r="J777" s="15" t="s">
        <v>2749</v>
      </c>
      <c r="K777" s="15"/>
      <c r="L777" s="10" t="n">
        <f aca="false">COUNTIF($E$2:E777,E777)</f>
        <v>44</v>
      </c>
      <c r="M777" s="10" t="e">
        <f aca="false">ifs(L777=1, L777&amp;"-"&amp; COUNTIFS($L$2:L777,1))</f>
        <v>#NAME?</v>
      </c>
      <c r="N777" s="15" t="s">
        <v>603</v>
      </c>
      <c r="O777" s="10"/>
      <c r="P777" s="22" t="n">
        <f aca="false">COUNTIFS(C:C,C777,N:N,"Đã xác nhận")/COUNTIFS(C:C,C777)</f>
        <v>1</v>
      </c>
      <c r="Q777" s="22"/>
      <c r="R777" s="0" t="s">
        <v>675</v>
      </c>
      <c r="S777" s="0" t="s">
        <v>536</v>
      </c>
      <c r="U777" s="24" t="n">
        <v>4</v>
      </c>
    </row>
    <row r="778" customFormat="false" ht="12.75" hidden="false" customHeight="false" outlineLevel="0" collapsed="false">
      <c r="A778" s="15" t="s">
        <v>2750</v>
      </c>
      <c r="B778" s="15" t="s">
        <v>600</v>
      </c>
      <c r="C778" s="15" t="s">
        <v>520</v>
      </c>
      <c r="D778" s="15" t="s">
        <v>888</v>
      </c>
      <c r="E778" s="15" t="s">
        <v>45</v>
      </c>
      <c r="G778" s="10" t="n">
        <v>1</v>
      </c>
      <c r="H778" s="21" t="n">
        <v>46024.6530555556</v>
      </c>
      <c r="I778" s="15" t="s">
        <v>2751</v>
      </c>
      <c r="J778" s="15" t="s">
        <v>2751</v>
      </c>
      <c r="K778" s="15"/>
      <c r="L778" s="10" t="n">
        <f aca="false">COUNTIF($E$2:E778,E778)</f>
        <v>5</v>
      </c>
      <c r="M778" s="10" t="e">
        <f aca="false">ifs(L778=1, L778&amp;"-"&amp; COUNTIFS($L$2:L778,1))</f>
        <v>#NAME?</v>
      </c>
      <c r="N778" s="15" t="s">
        <v>603</v>
      </c>
      <c r="O778" s="10"/>
      <c r="P778" s="22" t="n">
        <f aca="false">COUNTIFS(C:C,C778,N:N,"Đã xác nhận")/COUNTIFS(C:C,C778)</f>
        <v>1</v>
      </c>
      <c r="Q778" s="22"/>
      <c r="R778" s="0" t="s">
        <v>892</v>
      </c>
      <c r="S778" s="0" t="s">
        <v>540</v>
      </c>
      <c r="U778" s="24" t="n">
        <v>1</v>
      </c>
    </row>
    <row r="779" customFormat="false" ht="12.75" hidden="false" customHeight="false" outlineLevel="0" collapsed="false">
      <c r="A779" s="15" t="s">
        <v>2752</v>
      </c>
      <c r="B779" s="15" t="s">
        <v>600</v>
      </c>
      <c r="C779" s="15" t="s">
        <v>520</v>
      </c>
      <c r="D779" s="15" t="s">
        <v>2753</v>
      </c>
      <c r="E779" s="15" t="s">
        <v>59</v>
      </c>
      <c r="G779" s="10" t="n">
        <v>3</v>
      </c>
      <c r="H779" s="21" t="n">
        <v>46024.6532523148</v>
      </c>
      <c r="I779" s="15" t="s">
        <v>2754</v>
      </c>
      <c r="J779" s="15" t="s">
        <v>2754</v>
      </c>
      <c r="K779" s="15"/>
      <c r="L779" s="10" t="n">
        <f aca="false">COUNTIF($E$2:E779,E779)</f>
        <v>12</v>
      </c>
      <c r="M779" s="10" t="e">
        <f aca="false">ifs(L779=1, L779&amp;"-"&amp; COUNTIFS($L$2:L779,1))</f>
        <v>#NAME?</v>
      </c>
      <c r="N779" s="15" t="s">
        <v>603</v>
      </c>
      <c r="O779" s="10"/>
      <c r="P779" s="22" t="n">
        <f aca="false">COUNTIFS(C:C,C779,N:N,"Đã xác nhận")/COUNTIFS(C:C,C779)</f>
        <v>1</v>
      </c>
      <c r="Q779" s="22"/>
      <c r="R779" s="0" t="s">
        <v>2755</v>
      </c>
      <c r="S779" s="0" t="s">
        <v>562</v>
      </c>
      <c r="U779" s="24" t="n">
        <v>3</v>
      </c>
    </row>
    <row r="780" customFormat="false" ht="12.75" hidden="false" customHeight="false" outlineLevel="0" collapsed="false">
      <c r="A780" s="15" t="s">
        <v>2756</v>
      </c>
      <c r="B780" s="15" t="s">
        <v>600</v>
      </c>
      <c r="C780" s="15" t="s">
        <v>520</v>
      </c>
      <c r="D780" s="15" t="s">
        <v>2757</v>
      </c>
      <c r="E780" s="15" t="s">
        <v>43</v>
      </c>
      <c r="G780" s="10" t="n">
        <v>1</v>
      </c>
      <c r="H780" s="21" t="n">
        <v>46024.6545949074</v>
      </c>
      <c r="I780" s="15" t="s">
        <v>2758</v>
      </c>
      <c r="J780" s="15" t="s">
        <v>2758</v>
      </c>
      <c r="K780" s="15"/>
      <c r="L780" s="10" t="n">
        <f aca="false">COUNTIF($E$2:E780,E780)</f>
        <v>10</v>
      </c>
      <c r="M780" s="10" t="e">
        <f aca="false">ifs(L780=1, L780&amp;"-"&amp; COUNTIFS($L$2:L780,1))</f>
        <v>#NAME?</v>
      </c>
      <c r="N780" s="15" t="s">
        <v>603</v>
      </c>
      <c r="O780" s="10"/>
      <c r="P780" s="22" t="n">
        <f aca="false">COUNTIFS(C:C,C780,N:N,"Đã xác nhận")/COUNTIFS(C:C,C780)</f>
        <v>1</v>
      </c>
      <c r="Q780" s="22"/>
      <c r="R780" s="0" t="s">
        <v>2759</v>
      </c>
      <c r="S780" s="0" t="s">
        <v>538</v>
      </c>
      <c r="U780" s="24" t="n">
        <v>1</v>
      </c>
    </row>
    <row r="781" customFormat="false" ht="12.75" hidden="false" customHeight="false" outlineLevel="0" collapsed="false">
      <c r="A781" s="15" t="s">
        <v>2760</v>
      </c>
      <c r="B781" s="15" t="s">
        <v>600</v>
      </c>
      <c r="C781" s="15" t="s">
        <v>943</v>
      </c>
      <c r="D781" s="15" t="s">
        <v>766</v>
      </c>
      <c r="E781" s="15" t="s">
        <v>545</v>
      </c>
      <c r="G781" s="10" t="n">
        <v>1</v>
      </c>
      <c r="H781" s="21" t="n">
        <v>46027.4095023148</v>
      </c>
      <c r="I781" s="15" t="s">
        <v>2761</v>
      </c>
      <c r="J781" s="15" t="s">
        <v>2761</v>
      </c>
      <c r="K781" s="15"/>
      <c r="L781" s="10" t="n">
        <f aca="false">COUNTIF($E$2:E781,E781)</f>
        <v>19</v>
      </c>
      <c r="M781" s="10" t="e">
        <f aca="false">ifs(L781=1, L781&amp;"-"&amp; COUNTIFS($L$2:L781,1))</f>
        <v>#NAME?</v>
      </c>
      <c r="N781" s="15" t="s">
        <v>603</v>
      </c>
      <c r="O781" s="10"/>
      <c r="P781" s="22" t="n">
        <f aca="false">COUNTIFS(C:C,C781,N:N,"Đã xác nhận")/COUNTIFS(C:C,C781)</f>
        <v>1</v>
      </c>
      <c r="Q781" s="22"/>
      <c r="R781" s="0" t="s">
        <v>768</v>
      </c>
      <c r="S781" s="0" t="s">
        <v>546</v>
      </c>
      <c r="U781" s="24" t="n">
        <v>1</v>
      </c>
    </row>
    <row r="782" customFormat="false" ht="12.75" hidden="false" customHeight="false" outlineLevel="0" collapsed="false">
      <c r="A782" s="15" t="s">
        <v>2762</v>
      </c>
      <c r="B782" s="15" t="s">
        <v>600</v>
      </c>
      <c r="C782" s="15" t="s">
        <v>943</v>
      </c>
      <c r="D782" s="15" t="s">
        <v>766</v>
      </c>
      <c r="E782" s="15" t="s">
        <v>543</v>
      </c>
      <c r="G782" s="10" t="n">
        <v>2</v>
      </c>
      <c r="H782" s="21" t="n">
        <v>46027.4096180556</v>
      </c>
      <c r="I782" s="15" t="s">
        <v>2763</v>
      </c>
      <c r="J782" s="15" t="s">
        <v>2763</v>
      </c>
      <c r="K782" s="15"/>
      <c r="L782" s="10" t="n">
        <f aca="false">COUNTIF($E$2:E782,E782)</f>
        <v>19</v>
      </c>
      <c r="M782" s="10" t="e">
        <f aca="false">ifs(L782=1, L782&amp;"-"&amp; COUNTIFS($L$2:L782,1))</f>
        <v>#NAME?</v>
      </c>
      <c r="N782" s="15" t="s">
        <v>603</v>
      </c>
      <c r="O782" s="10"/>
      <c r="P782" s="22" t="n">
        <f aca="false">COUNTIFS(C:C,C782,N:N,"Đã xác nhận")/COUNTIFS(C:C,C782)</f>
        <v>1</v>
      </c>
      <c r="Q782" s="22"/>
      <c r="R782" s="0" t="s">
        <v>768</v>
      </c>
      <c r="S782" s="0" t="s">
        <v>544</v>
      </c>
      <c r="U782" s="24" t="n">
        <v>2</v>
      </c>
    </row>
    <row r="783" customFormat="false" ht="12.75" hidden="false" customHeight="false" outlineLevel="0" collapsed="false">
      <c r="A783" s="15" t="s">
        <v>2764</v>
      </c>
      <c r="B783" s="15" t="s">
        <v>600</v>
      </c>
      <c r="C783" s="15" t="s">
        <v>943</v>
      </c>
      <c r="D783" s="15" t="s">
        <v>673</v>
      </c>
      <c r="E783" s="15" t="s">
        <v>69</v>
      </c>
      <c r="G783" s="10" t="n">
        <v>5</v>
      </c>
      <c r="H783" s="21" t="n">
        <v>46027.4269212963</v>
      </c>
      <c r="I783" s="15" t="s">
        <v>2765</v>
      </c>
      <c r="J783" s="15" t="s">
        <v>2765</v>
      </c>
      <c r="K783" s="15"/>
      <c r="L783" s="10" t="n">
        <f aca="false">COUNTIF($E$2:E783,E783)</f>
        <v>85</v>
      </c>
      <c r="M783" s="10" t="e">
        <f aca="false">ifs(L783=1, L783&amp;"-"&amp; COUNTIFS($L$2:L783,1))</f>
        <v>#NAME?</v>
      </c>
      <c r="N783" s="15" t="s">
        <v>603</v>
      </c>
      <c r="O783" s="10"/>
      <c r="P783" s="22" t="n">
        <f aca="false">COUNTIFS(C:C,C783,N:N,"Đã xác nhận")/COUNTIFS(C:C,C783)</f>
        <v>1</v>
      </c>
      <c r="Q783" s="22"/>
      <c r="R783" s="0" t="s">
        <v>675</v>
      </c>
      <c r="S783" s="0" t="s">
        <v>535</v>
      </c>
      <c r="U783" s="24" t="n">
        <v>5</v>
      </c>
    </row>
    <row r="784" customFormat="false" ht="12.75" hidden="false" customHeight="false" outlineLevel="0" collapsed="false">
      <c r="A784" s="15" t="s">
        <v>2766</v>
      </c>
      <c r="B784" s="15" t="s">
        <v>600</v>
      </c>
      <c r="C784" s="15" t="s">
        <v>943</v>
      </c>
      <c r="D784" s="15" t="s">
        <v>673</v>
      </c>
      <c r="E784" s="15" t="s">
        <v>33</v>
      </c>
      <c r="G784" s="10" t="n">
        <v>2</v>
      </c>
      <c r="H784" s="21" t="n">
        <v>46027.4102199074</v>
      </c>
      <c r="I784" s="15" t="s">
        <v>2767</v>
      </c>
      <c r="J784" s="15" t="s">
        <v>2767</v>
      </c>
      <c r="K784" s="15"/>
      <c r="L784" s="10" t="n">
        <f aca="false">COUNTIF($E$2:E784,E784)</f>
        <v>45</v>
      </c>
      <c r="M784" s="10" t="e">
        <f aca="false">ifs(L784=1, L784&amp;"-"&amp; COUNTIFS($L$2:L784,1))</f>
        <v>#NAME?</v>
      </c>
      <c r="N784" s="15" t="s">
        <v>603</v>
      </c>
      <c r="O784" s="10"/>
      <c r="P784" s="22" t="n">
        <f aca="false">COUNTIFS(C:C,C784,N:N,"Đã xác nhận")/COUNTIFS(C:C,C784)</f>
        <v>1</v>
      </c>
      <c r="Q784" s="22"/>
      <c r="R784" s="0" t="s">
        <v>675</v>
      </c>
      <c r="S784" s="0" t="s">
        <v>536</v>
      </c>
      <c r="U784" s="24" t="n">
        <v>2</v>
      </c>
    </row>
    <row r="785" customFormat="false" ht="12.75" hidden="false" customHeight="false" outlineLevel="0" collapsed="false">
      <c r="A785" s="15" t="s">
        <v>2768</v>
      </c>
      <c r="B785" s="15" t="s">
        <v>600</v>
      </c>
      <c r="C785" s="15" t="s">
        <v>943</v>
      </c>
      <c r="D785" s="15" t="s">
        <v>2753</v>
      </c>
      <c r="E785" s="15" t="s">
        <v>55</v>
      </c>
      <c r="G785" s="10" t="n">
        <v>1</v>
      </c>
      <c r="H785" s="21" t="n">
        <v>46027.4271990741</v>
      </c>
      <c r="I785" s="15" t="s">
        <v>2769</v>
      </c>
      <c r="J785" s="15" t="s">
        <v>2769</v>
      </c>
      <c r="K785" s="15"/>
      <c r="L785" s="10" t="n">
        <f aca="false">COUNTIF($E$2:E785,E785)</f>
        <v>86</v>
      </c>
      <c r="M785" s="10" t="e">
        <f aca="false">ifs(L785=1, L785&amp;"-"&amp; COUNTIFS($L$2:L785,1))</f>
        <v>#NAME?</v>
      </c>
      <c r="N785" s="15" t="s">
        <v>603</v>
      </c>
      <c r="O785" s="10"/>
      <c r="P785" s="22" t="n">
        <f aca="false">COUNTIFS(C:C,C785,N:N,"Đã xác nhận")/COUNTIFS(C:C,C785)</f>
        <v>1</v>
      </c>
      <c r="Q785" s="22"/>
      <c r="R785" s="0" t="s">
        <v>2755</v>
      </c>
      <c r="S785" s="0" t="s">
        <v>539</v>
      </c>
      <c r="U785" s="24" t="n">
        <v>1</v>
      </c>
    </row>
    <row r="786" customFormat="false" ht="12.75" hidden="false" customHeight="false" outlineLevel="0" collapsed="false">
      <c r="A786" s="15" t="s">
        <v>2770</v>
      </c>
      <c r="B786" s="15" t="s">
        <v>600</v>
      </c>
      <c r="C786" s="15" t="s">
        <v>943</v>
      </c>
      <c r="D786" s="15" t="s">
        <v>2753</v>
      </c>
      <c r="E786" s="15" t="s">
        <v>59</v>
      </c>
      <c r="G786" s="10" t="n">
        <v>1</v>
      </c>
      <c r="H786" s="21" t="n">
        <v>46027.4272337963</v>
      </c>
      <c r="I786" s="15" t="s">
        <v>2771</v>
      </c>
      <c r="J786" s="15" t="s">
        <v>2771</v>
      </c>
      <c r="K786" s="15"/>
      <c r="L786" s="10" t="n">
        <f aca="false">COUNTIF($E$2:E786,E786)</f>
        <v>13</v>
      </c>
      <c r="M786" s="10" t="e">
        <f aca="false">ifs(L786=1, L786&amp;"-"&amp; COUNTIFS($L$2:L786,1))</f>
        <v>#NAME?</v>
      </c>
      <c r="N786" s="15" t="s">
        <v>603</v>
      </c>
      <c r="O786" s="10"/>
      <c r="P786" s="22" t="n">
        <f aca="false">COUNTIFS(C:C,C786,N:N,"Đã xác nhận")/COUNTIFS(C:C,C786)</f>
        <v>1</v>
      </c>
      <c r="Q786" s="22"/>
      <c r="R786" s="0" t="s">
        <v>2755</v>
      </c>
      <c r="S786" s="0" t="s">
        <v>562</v>
      </c>
      <c r="U786" s="24" t="n">
        <v>1</v>
      </c>
    </row>
    <row r="787" customFormat="false" ht="12.75" hidden="false" customHeight="false" outlineLevel="0" collapsed="false">
      <c r="A787" s="15" t="s">
        <v>2772</v>
      </c>
      <c r="B787" s="15" t="s">
        <v>600</v>
      </c>
      <c r="C787" s="15" t="s">
        <v>943</v>
      </c>
      <c r="D787" s="15" t="s">
        <v>2732</v>
      </c>
      <c r="E787" s="15" t="s">
        <v>79</v>
      </c>
      <c r="G787" s="10" t="n">
        <v>1</v>
      </c>
      <c r="H787" s="21" t="n">
        <v>46027.4279398148</v>
      </c>
      <c r="I787" s="15" t="s">
        <v>2773</v>
      </c>
      <c r="J787" s="15" t="s">
        <v>2773</v>
      </c>
      <c r="K787" s="15"/>
      <c r="L787" s="10" t="n">
        <f aca="false">COUNTIF($E$2:E787,E787)</f>
        <v>7</v>
      </c>
      <c r="M787" s="10" t="e">
        <f aca="false">ifs(L787=1, L787&amp;"-"&amp; COUNTIFS($L$2:L787,1))</f>
        <v>#NAME?</v>
      </c>
      <c r="N787" s="15" t="s">
        <v>603</v>
      </c>
      <c r="O787" s="10"/>
      <c r="P787" s="22" t="n">
        <f aca="false">COUNTIFS(C:C,C787,N:N,"Đã xác nhận")/COUNTIFS(C:C,C787)</f>
        <v>1</v>
      </c>
      <c r="Q787" s="22"/>
      <c r="R787" s="0" t="s">
        <v>2734</v>
      </c>
      <c r="S787" s="0" t="s">
        <v>564</v>
      </c>
      <c r="U787" s="24" t="n">
        <v>1</v>
      </c>
    </row>
    <row r="788" customFormat="false" ht="12.75" hidden="false" customHeight="false" outlineLevel="0" collapsed="false">
      <c r="A788" s="15" t="s">
        <v>2774</v>
      </c>
      <c r="B788" s="15" t="s">
        <v>600</v>
      </c>
      <c r="C788" s="15" t="s">
        <v>943</v>
      </c>
      <c r="D788" s="15" t="s">
        <v>1224</v>
      </c>
      <c r="E788" s="15" t="s">
        <v>81</v>
      </c>
      <c r="G788" s="10" t="n">
        <v>8</v>
      </c>
      <c r="H788" s="21" t="n">
        <v>46027.4280439815</v>
      </c>
      <c r="I788" s="15" t="s">
        <v>2775</v>
      </c>
      <c r="J788" s="15" t="s">
        <v>2775</v>
      </c>
      <c r="K788" s="15"/>
      <c r="L788" s="10" t="n">
        <f aca="false">COUNTIF($E$2:E788,E788)</f>
        <v>170</v>
      </c>
      <c r="M788" s="10" t="e">
        <f aca="false">ifs(L788=1, L788&amp;"-"&amp; COUNTIFS($L$2:L788,1))</f>
        <v>#NAME?</v>
      </c>
      <c r="N788" s="15" t="s">
        <v>603</v>
      </c>
      <c r="O788" s="10"/>
      <c r="P788" s="22" t="n">
        <f aca="false">COUNTIFS(C:C,C788,N:N,"Đã xác nhận")/COUNTIFS(C:C,C788)</f>
        <v>1</v>
      </c>
      <c r="Q788" s="22"/>
      <c r="R788" s="0" t="s">
        <v>1226</v>
      </c>
      <c r="S788" s="0" t="s">
        <v>534</v>
      </c>
      <c r="U788" s="24" t="n">
        <v>8</v>
      </c>
    </row>
    <row r="789" customFormat="false" ht="12.75" hidden="false" customHeight="false" outlineLevel="0" collapsed="false">
      <c r="A789" s="15" t="s">
        <v>2776</v>
      </c>
      <c r="B789" s="15" t="s">
        <v>600</v>
      </c>
      <c r="C789" s="15" t="s">
        <v>943</v>
      </c>
      <c r="D789" s="15" t="s">
        <v>2777</v>
      </c>
      <c r="E789" s="15" t="s">
        <v>37</v>
      </c>
      <c r="G789" s="10" t="n">
        <v>1</v>
      </c>
      <c r="H789" s="21" t="n">
        <v>46027.4281597222</v>
      </c>
      <c r="I789" s="15" t="s">
        <v>2778</v>
      </c>
      <c r="J789" s="15" t="s">
        <v>2778</v>
      </c>
      <c r="K789" s="15"/>
      <c r="L789" s="10" t="n">
        <f aca="false">COUNTIF($E$2:E789,E789)</f>
        <v>16</v>
      </c>
      <c r="M789" s="10" t="e">
        <f aca="false">ifs(L789=1, L789&amp;"-"&amp; COUNTIFS($L$2:L789,1))</f>
        <v>#NAME?</v>
      </c>
      <c r="N789" s="15" t="s">
        <v>603</v>
      </c>
      <c r="O789" s="10"/>
      <c r="P789" s="22" t="n">
        <f aca="false">COUNTIFS(C:C,C789,N:N,"Đã xác nhận")/COUNTIFS(C:C,C789)</f>
        <v>1</v>
      </c>
      <c r="Q789" s="22"/>
      <c r="R789" s="0" t="s">
        <v>2779</v>
      </c>
      <c r="S789" s="0" t="s">
        <v>561</v>
      </c>
      <c r="U789" s="24" t="n">
        <v>1</v>
      </c>
    </row>
    <row r="790" customFormat="false" ht="12.75" hidden="false" customHeight="false" outlineLevel="0" collapsed="false">
      <c r="A790" s="15" t="s">
        <v>2780</v>
      </c>
      <c r="B790" s="15" t="s">
        <v>600</v>
      </c>
      <c r="C790" s="15" t="s">
        <v>943</v>
      </c>
      <c r="D790" s="15" t="s">
        <v>2757</v>
      </c>
      <c r="E790" s="15" t="s">
        <v>43</v>
      </c>
      <c r="G790" s="10" t="n">
        <v>1</v>
      </c>
      <c r="H790" s="21" t="n">
        <v>46027.4282175926</v>
      </c>
      <c r="I790" s="15" t="s">
        <v>2781</v>
      </c>
      <c r="J790" s="15" t="s">
        <v>2781</v>
      </c>
      <c r="K790" s="15"/>
      <c r="L790" s="10" t="n">
        <f aca="false">COUNTIF($E$2:E790,E790)</f>
        <v>11</v>
      </c>
      <c r="M790" s="10" t="e">
        <f aca="false">ifs(L790=1, L790&amp;"-"&amp; COUNTIFS($L$2:L790,1))</f>
        <v>#NAME?</v>
      </c>
      <c r="N790" s="15" t="s">
        <v>603</v>
      </c>
      <c r="O790" s="10"/>
      <c r="P790" s="22" t="n">
        <f aca="false">COUNTIFS(C:C,C790,N:N,"Đã xác nhận")/COUNTIFS(C:C,C790)</f>
        <v>1</v>
      </c>
      <c r="Q790" s="22"/>
      <c r="R790" s="0" t="s">
        <v>2759</v>
      </c>
      <c r="S790" s="0" t="s">
        <v>538</v>
      </c>
      <c r="U790" s="24" t="n">
        <v>1</v>
      </c>
    </row>
    <row r="791" customFormat="false" ht="12.75" hidden="false" customHeight="false" outlineLevel="0" collapsed="false">
      <c r="A791" s="15" t="s">
        <v>2782</v>
      </c>
      <c r="B791" s="15" t="s">
        <v>600</v>
      </c>
      <c r="C791" s="15" t="s">
        <v>943</v>
      </c>
      <c r="D791" s="15" t="s">
        <v>673</v>
      </c>
      <c r="E791" s="15" t="s">
        <v>77</v>
      </c>
      <c r="G791" s="10" t="n">
        <v>2</v>
      </c>
      <c r="H791" s="21" t="n">
        <v>46027.4286342593</v>
      </c>
      <c r="I791" s="15" t="s">
        <v>2783</v>
      </c>
      <c r="J791" s="15" t="s">
        <v>2783</v>
      </c>
      <c r="K791" s="15"/>
      <c r="L791" s="10" t="n">
        <f aca="false">COUNTIF($E$2:E791,E791)</f>
        <v>29</v>
      </c>
      <c r="M791" s="10" t="e">
        <f aca="false">ifs(L791=1, L791&amp;"-"&amp; COUNTIFS($L$2:L791,1))</f>
        <v>#NAME?</v>
      </c>
      <c r="N791" s="15" t="s">
        <v>603</v>
      </c>
      <c r="O791" s="10"/>
      <c r="P791" s="22" t="n">
        <f aca="false">COUNTIFS(C:C,C791,N:N,"Đã xác nhận")/COUNTIFS(C:C,C791)</f>
        <v>1</v>
      </c>
      <c r="Q791" s="22"/>
      <c r="R791" s="0" t="s">
        <v>675</v>
      </c>
      <c r="S791" s="0" t="s">
        <v>78</v>
      </c>
      <c r="U791" s="24" t="n">
        <v>2</v>
      </c>
    </row>
    <row r="792" customFormat="false" ht="12.75" hidden="false" customHeight="false" outlineLevel="0" collapsed="false">
      <c r="A792" s="15" t="s">
        <v>2784</v>
      </c>
      <c r="B792" s="15" t="s">
        <v>600</v>
      </c>
      <c r="C792" s="15" t="s">
        <v>943</v>
      </c>
      <c r="D792" s="15" t="s">
        <v>2740</v>
      </c>
      <c r="E792" s="15" t="s">
        <v>49</v>
      </c>
      <c r="G792" s="10" t="n">
        <v>1</v>
      </c>
      <c r="H792" s="21" t="n">
        <v>46027.4288310185</v>
      </c>
      <c r="I792" s="15" t="s">
        <v>2785</v>
      </c>
      <c r="J792" s="15" t="s">
        <v>2785</v>
      </c>
      <c r="K792" s="15"/>
      <c r="L792" s="10" t="n">
        <f aca="false">COUNTIF($E$2:E792,E792)</f>
        <v>9</v>
      </c>
      <c r="M792" s="10" t="e">
        <f aca="false">ifs(L792=1, L792&amp;"-"&amp; COUNTIFS($L$2:L792,1))</f>
        <v>#NAME?</v>
      </c>
      <c r="N792" s="15" t="s">
        <v>603</v>
      </c>
      <c r="O792" s="10"/>
      <c r="P792" s="22" t="n">
        <f aca="false">COUNTIFS(C:C,C792,N:N,"Đã xác nhận")/COUNTIFS(C:C,C792)</f>
        <v>1</v>
      </c>
      <c r="Q792" s="22"/>
      <c r="R792" s="0" t="s">
        <v>2742</v>
      </c>
      <c r="S792" s="0" t="s">
        <v>537</v>
      </c>
      <c r="U792" s="24" t="n">
        <v>1</v>
      </c>
    </row>
    <row r="793" customFormat="false" ht="12.75" hidden="false" customHeight="false" outlineLevel="0" collapsed="false">
      <c r="A793" s="15" t="s">
        <v>2786</v>
      </c>
      <c r="B793" s="15" t="s">
        <v>600</v>
      </c>
      <c r="C793" s="15" t="s">
        <v>2787</v>
      </c>
      <c r="D793" s="15" t="s">
        <v>673</v>
      </c>
      <c r="E793" s="15" t="s">
        <v>69</v>
      </c>
      <c r="G793" s="10" t="n">
        <v>5</v>
      </c>
      <c r="H793" s="21" t="n">
        <v>46027.4299884259</v>
      </c>
      <c r="I793" s="15" t="s">
        <v>2788</v>
      </c>
      <c r="J793" s="15" t="s">
        <v>2788</v>
      </c>
      <c r="K793" s="15"/>
      <c r="L793" s="10" t="n">
        <f aca="false">COUNTIF($E$2:E793,E793)</f>
        <v>86</v>
      </c>
      <c r="M793" s="10" t="e">
        <f aca="false">ifs(L793=1, L793&amp;"-"&amp; COUNTIFS($L$2:L793,1))</f>
        <v>#NAME?</v>
      </c>
      <c r="N793" s="15" t="s">
        <v>603</v>
      </c>
      <c r="O793" s="10"/>
      <c r="P793" s="22" t="n">
        <f aca="false">COUNTIFS(C:C,C793,N:N,"Đã xác nhận")/COUNTIFS(C:C,C793)</f>
        <v>1</v>
      </c>
      <c r="Q793" s="22"/>
      <c r="R793" s="0" t="s">
        <v>675</v>
      </c>
      <c r="S793" s="0" t="s">
        <v>535</v>
      </c>
      <c r="U793" s="24" t="n">
        <v>5</v>
      </c>
    </row>
    <row r="794" customFormat="false" ht="12.75" hidden="false" customHeight="false" outlineLevel="0" collapsed="false">
      <c r="A794" s="15" t="s">
        <v>2789</v>
      </c>
      <c r="B794" s="15" t="s">
        <v>600</v>
      </c>
      <c r="C794" s="15" t="s">
        <v>2787</v>
      </c>
      <c r="D794" s="15" t="s">
        <v>673</v>
      </c>
      <c r="E794" s="15" t="s">
        <v>33</v>
      </c>
      <c r="G794" s="10" t="n">
        <v>2</v>
      </c>
      <c r="H794" s="21" t="n">
        <v>46027.4297685185</v>
      </c>
      <c r="I794" s="15" t="s">
        <v>2790</v>
      </c>
      <c r="J794" s="15" t="s">
        <v>2790</v>
      </c>
      <c r="K794" s="15"/>
      <c r="L794" s="10" t="n">
        <f aca="false">COUNTIF($E$2:E794,E794)</f>
        <v>46</v>
      </c>
      <c r="M794" s="10" t="e">
        <f aca="false">ifs(L794=1, L794&amp;"-"&amp; COUNTIFS($L$2:L794,1))</f>
        <v>#NAME?</v>
      </c>
      <c r="N794" s="15" t="s">
        <v>603</v>
      </c>
      <c r="O794" s="10"/>
      <c r="P794" s="22" t="n">
        <f aca="false">COUNTIFS(C:C,C794,N:N,"Đã xác nhận")/COUNTIFS(C:C,C794)</f>
        <v>1</v>
      </c>
      <c r="Q794" s="22"/>
      <c r="R794" s="0" t="s">
        <v>675</v>
      </c>
      <c r="S794" s="0" t="s">
        <v>536</v>
      </c>
      <c r="U794" s="24" t="n">
        <v>2</v>
      </c>
    </row>
    <row r="795" customFormat="false" ht="12.75" hidden="false" customHeight="false" outlineLevel="0" collapsed="false">
      <c r="A795" s="15" t="s">
        <v>2791</v>
      </c>
      <c r="B795" s="15" t="s">
        <v>600</v>
      </c>
      <c r="C795" s="15" t="s">
        <v>2787</v>
      </c>
      <c r="D795" s="15" t="s">
        <v>2753</v>
      </c>
      <c r="E795" s="15" t="s">
        <v>55</v>
      </c>
      <c r="G795" s="10" t="n">
        <v>1</v>
      </c>
      <c r="H795" s="21" t="n">
        <v>46027.4321296296</v>
      </c>
      <c r="I795" s="15" t="s">
        <v>2792</v>
      </c>
      <c r="J795" s="15" t="s">
        <v>2792</v>
      </c>
      <c r="K795" s="15"/>
      <c r="L795" s="10" t="n">
        <f aca="false">COUNTIF($E$2:E795,E795)</f>
        <v>87</v>
      </c>
      <c r="M795" s="10" t="e">
        <f aca="false">ifs(L795=1, L795&amp;"-"&amp; COUNTIFS($L$2:L795,1))</f>
        <v>#NAME?</v>
      </c>
      <c r="N795" s="15" t="s">
        <v>603</v>
      </c>
      <c r="O795" s="10"/>
      <c r="P795" s="22" t="n">
        <f aca="false">COUNTIFS(C:C,C795,N:N,"Đã xác nhận")/COUNTIFS(C:C,C795)</f>
        <v>1</v>
      </c>
      <c r="Q795" s="22"/>
      <c r="R795" s="0" t="s">
        <v>2755</v>
      </c>
      <c r="S795" s="0" t="s">
        <v>539</v>
      </c>
      <c r="U795" s="24" t="n">
        <v>1</v>
      </c>
    </row>
    <row r="796" customFormat="false" ht="12.75" hidden="false" customHeight="false" outlineLevel="0" collapsed="false">
      <c r="A796" s="15" t="s">
        <v>2793</v>
      </c>
      <c r="B796" s="15" t="s">
        <v>600</v>
      </c>
      <c r="C796" s="15" t="s">
        <v>2787</v>
      </c>
      <c r="D796" s="15" t="s">
        <v>2753</v>
      </c>
      <c r="E796" s="15" t="s">
        <v>59</v>
      </c>
      <c r="G796" s="10" t="n">
        <v>1</v>
      </c>
      <c r="H796" s="21" t="n">
        <v>46027.4330671296</v>
      </c>
      <c r="I796" s="15" t="s">
        <v>2794</v>
      </c>
      <c r="J796" s="15" t="s">
        <v>2794</v>
      </c>
      <c r="K796" s="15"/>
      <c r="L796" s="10" t="n">
        <f aca="false">COUNTIF($E$2:E796,E796)</f>
        <v>14</v>
      </c>
      <c r="M796" s="10" t="e">
        <f aca="false">ifs(L796=1, L796&amp;"-"&amp; COUNTIFS($L$2:L796,1))</f>
        <v>#NAME?</v>
      </c>
      <c r="N796" s="15" t="s">
        <v>603</v>
      </c>
      <c r="O796" s="10"/>
      <c r="P796" s="22" t="n">
        <f aca="false">COUNTIFS(C:C,C796,N:N,"Đã xác nhận")/COUNTIFS(C:C,C796)</f>
        <v>1</v>
      </c>
      <c r="Q796" s="22"/>
      <c r="R796" s="0" t="s">
        <v>2755</v>
      </c>
      <c r="S796" s="0" t="s">
        <v>562</v>
      </c>
      <c r="U796" s="24" t="n">
        <v>1</v>
      </c>
    </row>
    <row r="797" customFormat="false" ht="12.75" hidden="false" customHeight="false" outlineLevel="0" collapsed="false">
      <c r="A797" s="15" t="s">
        <v>2795</v>
      </c>
      <c r="B797" s="15" t="s">
        <v>600</v>
      </c>
      <c r="C797" s="15" t="s">
        <v>2787</v>
      </c>
      <c r="D797" s="15" t="s">
        <v>2796</v>
      </c>
      <c r="E797" s="15" t="s">
        <v>47</v>
      </c>
      <c r="G797" s="10" t="n">
        <v>2</v>
      </c>
      <c r="H797" s="21" t="n">
        <v>46027.432349537</v>
      </c>
      <c r="I797" s="15" t="s">
        <v>2797</v>
      </c>
      <c r="J797" s="15" t="s">
        <v>2797</v>
      </c>
      <c r="K797" s="15"/>
      <c r="L797" s="10" t="n">
        <f aca="false">COUNTIF($E$2:E797,E797)</f>
        <v>47</v>
      </c>
      <c r="M797" s="10" t="e">
        <f aca="false">ifs(L797=1, L797&amp;"-"&amp; COUNTIFS($L$2:L797,1))</f>
        <v>#NAME?</v>
      </c>
      <c r="N797" s="15" t="s">
        <v>603</v>
      </c>
      <c r="O797" s="10"/>
      <c r="P797" s="22" t="n">
        <f aca="false">COUNTIFS(C:C,C797,N:N,"Đã xác nhận")/COUNTIFS(C:C,C797)</f>
        <v>1</v>
      </c>
      <c r="Q797" s="22"/>
      <c r="R797" s="0" t="s">
        <v>2798</v>
      </c>
      <c r="S797" s="0" t="s">
        <v>549</v>
      </c>
      <c r="U797" s="24" t="n">
        <v>2</v>
      </c>
    </row>
    <row r="798" customFormat="false" ht="12.75" hidden="false" customHeight="false" outlineLevel="0" collapsed="false">
      <c r="A798" s="15" t="s">
        <v>2799</v>
      </c>
      <c r="B798" s="15" t="s">
        <v>600</v>
      </c>
      <c r="C798" s="15" t="s">
        <v>2787</v>
      </c>
      <c r="D798" s="15" t="s">
        <v>2732</v>
      </c>
      <c r="E798" s="15" t="s">
        <v>79</v>
      </c>
      <c r="G798" s="10" t="n">
        <v>1</v>
      </c>
      <c r="H798" s="21" t="n">
        <v>46027.4325694444</v>
      </c>
      <c r="I798" s="15" t="s">
        <v>2800</v>
      </c>
      <c r="J798" s="15" t="s">
        <v>2800</v>
      </c>
      <c r="K798" s="15"/>
      <c r="L798" s="10" t="n">
        <f aca="false">COUNTIF($E$2:E798,E798)</f>
        <v>8</v>
      </c>
      <c r="M798" s="10" t="e">
        <f aca="false">ifs(L798=1, L798&amp;"-"&amp; COUNTIFS($L$2:L798,1))</f>
        <v>#NAME?</v>
      </c>
      <c r="N798" s="15" t="s">
        <v>603</v>
      </c>
      <c r="O798" s="10"/>
      <c r="P798" s="22" t="n">
        <f aca="false">COUNTIFS(C:C,C798,N:N,"Đã xác nhận")/COUNTIFS(C:C,C798)</f>
        <v>1</v>
      </c>
      <c r="Q798" s="22"/>
      <c r="R798" s="0" t="s">
        <v>2734</v>
      </c>
      <c r="S798" s="0" t="s">
        <v>564</v>
      </c>
      <c r="U798" s="24" t="n">
        <v>1</v>
      </c>
    </row>
    <row r="799" customFormat="false" ht="12.75" hidden="false" customHeight="false" outlineLevel="0" collapsed="false">
      <c r="A799" s="15" t="s">
        <v>2801</v>
      </c>
      <c r="B799" s="15" t="s">
        <v>600</v>
      </c>
      <c r="C799" s="15" t="s">
        <v>2787</v>
      </c>
      <c r="D799" s="15" t="s">
        <v>1224</v>
      </c>
      <c r="E799" s="15" t="s">
        <v>81</v>
      </c>
      <c r="G799" s="10" t="n">
        <v>8</v>
      </c>
      <c r="H799" s="21" t="n">
        <v>46027.4326388889</v>
      </c>
      <c r="I799" s="15" t="s">
        <v>2802</v>
      </c>
      <c r="J799" s="15" t="s">
        <v>2802</v>
      </c>
      <c r="K799" s="15"/>
      <c r="L799" s="10" t="n">
        <f aca="false">COUNTIF($E$2:E799,E799)</f>
        <v>171</v>
      </c>
      <c r="M799" s="10" t="e">
        <f aca="false">ifs(L799=1, L799&amp;"-"&amp; COUNTIFS($L$2:L799,1))</f>
        <v>#NAME?</v>
      </c>
      <c r="N799" s="15" t="s">
        <v>603</v>
      </c>
      <c r="O799" s="10"/>
      <c r="P799" s="22" t="n">
        <f aca="false">COUNTIFS(C:C,C799,N:N,"Đã xác nhận")/COUNTIFS(C:C,C799)</f>
        <v>1</v>
      </c>
      <c r="Q799" s="22"/>
      <c r="R799" s="0" t="s">
        <v>1226</v>
      </c>
      <c r="S799" s="0" t="s">
        <v>534</v>
      </c>
      <c r="U799" s="24" t="n">
        <v>8</v>
      </c>
    </row>
    <row r="800" customFormat="false" ht="12.75" hidden="false" customHeight="false" outlineLevel="0" collapsed="false">
      <c r="A800" s="15" t="s">
        <v>2803</v>
      </c>
      <c r="B800" s="15" t="s">
        <v>600</v>
      </c>
      <c r="C800" s="15" t="s">
        <v>2787</v>
      </c>
      <c r="D800" s="15" t="s">
        <v>2777</v>
      </c>
      <c r="E800" s="15" t="s">
        <v>37</v>
      </c>
      <c r="G800" s="10" t="n">
        <v>1</v>
      </c>
      <c r="H800" s="21" t="n">
        <v>46027.4327662037</v>
      </c>
      <c r="I800" s="15" t="s">
        <v>2804</v>
      </c>
      <c r="J800" s="15" t="s">
        <v>2804</v>
      </c>
      <c r="K800" s="15"/>
      <c r="L800" s="10" t="n">
        <f aca="false">COUNTIF($E$2:E800,E800)</f>
        <v>17</v>
      </c>
      <c r="M800" s="10" t="e">
        <f aca="false">ifs(L800=1, L800&amp;"-"&amp; COUNTIFS($L$2:L800,1))</f>
        <v>#NAME?</v>
      </c>
      <c r="N800" s="15" t="s">
        <v>603</v>
      </c>
      <c r="O800" s="10"/>
      <c r="P800" s="22" t="n">
        <f aca="false">COUNTIFS(C:C,C800,N:N,"Đã xác nhận")/COUNTIFS(C:C,C800)</f>
        <v>1</v>
      </c>
      <c r="Q800" s="22"/>
      <c r="R800" s="0" t="s">
        <v>2779</v>
      </c>
      <c r="S800" s="0" t="s">
        <v>561</v>
      </c>
      <c r="U800" s="24" t="n">
        <v>1</v>
      </c>
    </row>
    <row r="801" customFormat="false" ht="12.75" hidden="false" customHeight="false" outlineLevel="0" collapsed="false">
      <c r="A801" s="15" t="s">
        <v>2805</v>
      </c>
      <c r="B801" s="15" t="s">
        <v>600</v>
      </c>
      <c r="C801" s="15" t="s">
        <v>2787</v>
      </c>
      <c r="D801" s="15" t="s">
        <v>2757</v>
      </c>
      <c r="E801" s="15" t="s">
        <v>43</v>
      </c>
      <c r="G801" s="10" t="n">
        <v>1</v>
      </c>
      <c r="H801" s="21" t="n">
        <v>46027.4328356482</v>
      </c>
      <c r="I801" s="15" t="s">
        <v>2806</v>
      </c>
      <c r="J801" s="15" t="s">
        <v>2806</v>
      </c>
      <c r="K801" s="15"/>
      <c r="L801" s="10" t="n">
        <f aca="false">COUNTIF($E$2:E801,E801)</f>
        <v>12</v>
      </c>
      <c r="M801" s="10" t="e">
        <f aca="false">ifs(L801=1, L801&amp;"-"&amp; COUNTIFS($L$2:L801,1))</f>
        <v>#NAME?</v>
      </c>
      <c r="N801" s="15" t="s">
        <v>603</v>
      </c>
      <c r="O801" s="10"/>
      <c r="P801" s="22" t="n">
        <f aca="false">COUNTIFS(C:C,C801,N:N,"Đã xác nhận")/COUNTIFS(C:C,C801)</f>
        <v>1</v>
      </c>
      <c r="Q801" s="22"/>
      <c r="R801" s="0" t="s">
        <v>2759</v>
      </c>
      <c r="S801" s="0" t="s">
        <v>538</v>
      </c>
      <c r="U801" s="24" t="n">
        <v>1</v>
      </c>
    </row>
    <row r="802" customFormat="false" ht="12.75" hidden="false" customHeight="false" outlineLevel="0" collapsed="false">
      <c r="A802" s="15" t="s">
        <v>2807</v>
      </c>
      <c r="B802" s="15" t="s">
        <v>600</v>
      </c>
      <c r="C802" s="15" t="s">
        <v>2787</v>
      </c>
      <c r="D802" s="15" t="s">
        <v>673</v>
      </c>
      <c r="E802" s="15" t="s">
        <v>77</v>
      </c>
      <c r="G802" s="10" t="n">
        <v>2</v>
      </c>
      <c r="H802" s="21" t="n">
        <v>46027.4329282407</v>
      </c>
      <c r="I802" s="15" t="s">
        <v>2808</v>
      </c>
      <c r="J802" s="15" t="s">
        <v>2808</v>
      </c>
      <c r="K802" s="15"/>
      <c r="L802" s="10" t="n">
        <f aca="false">COUNTIF($E$2:E802,E802)</f>
        <v>30</v>
      </c>
      <c r="M802" s="10" t="e">
        <f aca="false">ifs(L802=1, L802&amp;"-"&amp; COUNTIFS($L$2:L802,1))</f>
        <v>#NAME?</v>
      </c>
      <c r="N802" s="15" t="s">
        <v>603</v>
      </c>
      <c r="O802" s="10"/>
      <c r="P802" s="22" t="n">
        <f aca="false">COUNTIFS(C:C,C802,N:N,"Đã xác nhận")/COUNTIFS(C:C,C802)</f>
        <v>1</v>
      </c>
      <c r="Q802" s="22"/>
      <c r="R802" s="0" t="s">
        <v>675</v>
      </c>
      <c r="S802" s="0" t="s">
        <v>78</v>
      </c>
      <c r="U802" s="24" t="n">
        <v>2</v>
      </c>
    </row>
    <row r="803" customFormat="false" ht="12.75" hidden="false" customHeight="false" outlineLevel="0" collapsed="false">
      <c r="A803" s="15" t="s">
        <v>2809</v>
      </c>
      <c r="B803" s="15" t="s">
        <v>600</v>
      </c>
      <c r="C803" s="15" t="s">
        <v>2787</v>
      </c>
      <c r="D803" s="15" t="s">
        <v>2740</v>
      </c>
      <c r="E803" s="15" t="s">
        <v>49</v>
      </c>
      <c r="G803" s="10" t="n">
        <v>1</v>
      </c>
      <c r="H803" s="21" t="n">
        <v>46027.4330208333</v>
      </c>
      <c r="I803" s="15" t="s">
        <v>2810</v>
      </c>
      <c r="J803" s="15" t="s">
        <v>2810</v>
      </c>
      <c r="K803" s="15"/>
      <c r="L803" s="10" t="n">
        <f aca="false">COUNTIF($E$2:E803,E803)</f>
        <v>10</v>
      </c>
      <c r="M803" s="10" t="e">
        <f aca="false">ifs(L803=1, L803&amp;"-"&amp; COUNTIFS($L$2:L803,1))</f>
        <v>#NAME?</v>
      </c>
      <c r="N803" s="15" t="s">
        <v>603</v>
      </c>
      <c r="O803" s="10"/>
      <c r="P803" s="22" t="n">
        <f aca="false">COUNTIFS(C:C,C803,N:N,"Đã xác nhận")/COUNTIFS(C:C,C803)</f>
        <v>1</v>
      </c>
      <c r="Q803" s="22"/>
      <c r="R803" s="0" t="s">
        <v>2742</v>
      </c>
      <c r="S803" s="0" t="s">
        <v>537</v>
      </c>
      <c r="U803" s="24" t="n">
        <v>1</v>
      </c>
    </row>
    <row r="804" customFormat="false" ht="12.75" hidden="false" customHeight="false" outlineLevel="0" collapsed="false">
      <c r="A804" s="15" t="s">
        <v>2811</v>
      </c>
      <c r="B804" s="15" t="s">
        <v>600</v>
      </c>
      <c r="C804" s="15" t="s">
        <v>2787</v>
      </c>
      <c r="D804" s="15" t="s">
        <v>766</v>
      </c>
      <c r="E804" s="15" t="s">
        <v>547</v>
      </c>
      <c r="G804" s="10" t="n">
        <v>3</v>
      </c>
      <c r="H804" s="21" t="n">
        <v>46038.4839699074</v>
      </c>
      <c r="I804" s="15" t="s">
        <v>2812</v>
      </c>
      <c r="J804" s="15" t="s">
        <v>2813</v>
      </c>
      <c r="K804" s="15" t="s">
        <v>2814</v>
      </c>
      <c r="L804" s="10" t="n">
        <f aca="false">COUNTIF($E$2:E804,E804)</f>
        <v>27</v>
      </c>
      <c r="M804" s="10" t="e">
        <f aca="false">ifs(L804=1, L804&amp;"-"&amp; COUNTIFS($L$2:L804,1))</f>
        <v>#NAME?</v>
      </c>
      <c r="N804" s="15" t="s">
        <v>603</v>
      </c>
      <c r="O804" s="10"/>
      <c r="P804" s="22" t="n">
        <f aca="false">COUNTIFS(C:C,C804,N:N,"Đã xác nhận")/COUNTIFS(C:C,C804)</f>
        <v>1</v>
      </c>
      <c r="Q804" s="22"/>
      <c r="R804" s="0" t="s">
        <v>768</v>
      </c>
      <c r="S804" s="0" t="s">
        <v>548</v>
      </c>
      <c r="U804" s="24" t="n">
        <v>3</v>
      </c>
    </row>
    <row r="805" customFormat="false" ht="12.75" hidden="false" customHeight="false" outlineLevel="0" collapsed="false">
      <c r="A805" s="15" t="s">
        <v>2815</v>
      </c>
      <c r="B805" s="15" t="s">
        <v>600</v>
      </c>
      <c r="C805" s="15" t="s">
        <v>2787</v>
      </c>
      <c r="D805" s="15" t="s">
        <v>766</v>
      </c>
      <c r="E805" s="15" t="s">
        <v>545</v>
      </c>
      <c r="G805" s="10" t="n">
        <v>1</v>
      </c>
      <c r="H805" s="21" t="n">
        <v>46027.4294097222</v>
      </c>
      <c r="I805" s="15" t="s">
        <v>2816</v>
      </c>
      <c r="J805" s="15" t="s">
        <v>2816</v>
      </c>
      <c r="K805" s="15"/>
      <c r="L805" s="10" t="n">
        <f aca="false">COUNTIF($E$2:E805,E805)</f>
        <v>20</v>
      </c>
      <c r="M805" s="10" t="e">
        <f aca="false">ifs(L805=1, L805&amp;"-"&amp; COUNTIFS($L$2:L805,1))</f>
        <v>#NAME?</v>
      </c>
      <c r="N805" s="15" t="s">
        <v>603</v>
      </c>
      <c r="O805" s="10"/>
      <c r="P805" s="22" t="n">
        <f aca="false">COUNTIFS(C:C,C805,N:N,"Đã xác nhận")/COUNTIFS(C:C,C805)</f>
        <v>1</v>
      </c>
      <c r="Q805" s="22"/>
      <c r="R805" s="0" t="s">
        <v>768</v>
      </c>
      <c r="S805" s="0" t="s">
        <v>546</v>
      </c>
      <c r="U805" s="24" t="n">
        <v>1</v>
      </c>
    </row>
    <row r="806" customFormat="false" ht="12.75" hidden="false" customHeight="false" outlineLevel="0" collapsed="false">
      <c r="A806" s="15" t="s">
        <v>2817</v>
      </c>
      <c r="B806" s="15" t="s">
        <v>600</v>
      </c>
      <c r="C806" s="15" t="s">
        <v>2787</v>
      </c>
      <c r="D806" s="15" t="s">
        <v>766</v>
      </c>
      <c r="E806" s="15" t="s">
        <v>543</v>
      </c>
      <c r="G806" s="10" t="n">
        <v>2</v>
      </c>
      <c r="H806" s="21" t="n">
        <v>46027.4294675926</v>
      </c>
      <c r="I806" s="15" t="s">
        <v>2818</v>
      </c>
      <c r="J806" s="15" t="s">
        <v>2818</v>
      </c>
      <c r="K806" s="15"/>
      <c r="L806" s="10" t="n">
        <f aca="false">COUNTIF($E$2:E806,E806)</f>
        <v>20</v>
      </c>
      <c r="M806" s="10" t="e">
        <f aca="false">ifs(L806=1, L806&amp;"-"&amp; COUNTIFS($L$2:L806,1))</f>
        <v>#NAME?</v>
      </c>
      <c r="N806" s="15" t="s">
        <v>603</v>
      </c>
      <c r="O806" s="10"/>
      <c r="P806" s="22" t="n">
        <f aca="false">COUNTIFS(C:C,C806,N:N,"Đã xác nhận")/COUNTIFS(C:C,C806)</f>
        <v>1</v>
      </c>
      <c r="Q806" s="22"/>
      <c r="R806" s="0" t="s">
        <v>768</v>
      </c>
      <c r="S806" s="0" t="s">
        <v>544</v>
      </c>
      <c r="U806" s="24" t="n">
        <v>2</v>
      </c>
    </row>
    <row r="807" customFormat="false" ht="12.75" hidden="false" customHeight="false" outlineLevel="0" collapsed="false">
      <c r="A807" s="15" t="s">
        <v>2819</v>
      </c>
      <c r="B807" s="15" t="s">
        <v>600</v>
      </c>
      <c r="C807" s="15" t="s">
        <v>494</v>
      </c>
      <c r="D807" s="15" t="s">
        <v>839</v>
      </c>
      <c r="E807" s="15" t="s">
        <v>565</v>
      </c>
      <c r="G807" s="10" t="n">
        <v>2</v>
      </c>
      <c r="H807" s="21" t="n">
        <v>46027.6719097222</v>
      </c>
      <c r="I807" s="15" t="s">
        <v>2820</v>
      </c>
      <c r="J807" s="15" t="s">
        <v>2820</v>
      </c>
      <c r="K807" s="15"/>
      <c r="L807" s="10" t="n">
        <f aca="false">COUNTIF($E$2:E807,E807)</f>
        <v>14</v>
      </c>
      <c r="M807" s="10" t="e">
        <f aca="false">ifs(L807=1, L807&amp;"-"&amp; COUNTIFS($L$2:L807,1))</f>
        <v>#NAME?</v>
      </c>
      <c r="N807" s="15" t="s">
        <v>603</v>
      </c>
      <c r="O807" s="10"/>
      <c r="P807" s="22" t="n">
        <f aca="false">COUNTIFS(C:C,C807,N:N,"Đã xác nhận")/COUNTIFS(C:C,C807)</f>
        <v>1</v>
      </c>
      <c r="Q807" s="22"/>
      <c r="R807" s="0" t="s">
        <v>841</v>
      </c>
      <c r="S807" s="0" t="s">
        <v>566</v>
      </c>
      <c r="U807" s="24" t="n">
        <v>2</v>
      </c>
    </row>
    <row r="808" customFormat="false" ht="12.75" hidden="false" customHeight="false" outlineLevel="0" collapsed="false">
      <c r="A808" s="15" t="s">
        <v>2821</v>
      </c>
      <c r="B808" s="15"/>
      <c r="C808" s="15"/>
      <c r="D808" s="15"/>
      <c r="E808" s="15"/>
      <c r="G808" s="10" t="n">
        <v>0</v>
      </c>
      <c r="H808" s="21" t="n">
        <v>46027.6731018519</v>
      </c>
      <c r="I808" s="15" t="s">
        <v>2822</v>
      </c>
      <c r="J808" s="15" t="s">
        <v>695</v>
      </c>
      <c r="K808" s="15" t="s">
        <v>2823</v>
      </c>
      <c r="L808" s="10" t="n">
        <f aca="false">COUNTIF($E$2:E808,E808)</f>
        <v>0</v>
      </c>
      <c r="M808" s="10" t="e">
        <f aca="false">ifs(L808=1, L808&amp;"-"&amp; COUNTIFS($L$2:L808,1))</f>
        <v>#NAME?</v>
      </c>
      <c r="O808" s="10"/>
      <c r="P808" s="22" t="e">
        <f aca="false">COUNTIFS(C:C,C808,N:N,"Đã xác nhận")/COUNTIFS(C:C,C808)</f>
        <v>#DIV/0!</v>
      </c>
      <c r="Q808" s="22"/>
      <c r="R808" s="0" t="e">
        <f aca="false">#VALUE!</f>
        <v>#VALUE!</v>
      </c>
      <c r="S808" s="0" t="e">
        <f aca="false">#VALUE!</f>
        <v>#VALUE!</v>
      </c>
      <c r="U808" s="24" t="n">
        <v>0</v>
      </c>
    </row>
    <row r="809" customFormat="false" ht="12.75" hidden="false" customHeight="false" outlineLevel="0" collapsed="false">
      <c r="A809" s="15" t="s">
        <v>2824</v>
      </c>
      <c r="B809" s="15"/>
      <c r="C809" s="15"/>
      <c r="D809" s="15"/>
      <c r="E809" s="15"/>
      <c r="G809" s="10" t="n">
        <v>0</v>
      </c>
      <c r="H809" s="21" t="n">
        <v>46027.6759490741</v>
      </c>
      <c r="I809" s="15" t="s">
        <v>2825</v>
      </c>
      <c r="J809" s="15" t="s">
        <v>695</v>
      </c>
      <c r="K809" s="15" t="s">
        <v>2826</v>
      </c>
      <c r="L809" s="10" t="n">
        <f aca="false">COUNTIF($E$2:E809,E809)</f>
        <v>0</v>
      </c>
      <c r="M809" s="10" t="e">
        <f aca="false">ifs(L809=1, L809&amp;"-"&amp; COUNTIFS($L$2:L809,1))</f>
        <v>#NAME?</v>
      </c>
      <c r="O809" s="10"/>
      <c r="P809" s="22" t="e">
        <f aca="false">COUNTIFS(C:C,C809,N:N,"Đã xác nhận")/COUNTIFS(C:C,C809)</f>
        <v>#DIV/0!</v>
      </c>
      <c r="Q809" s="22"/>
      <c r="R809" s="0" t="e">
        <f aca="false">#VALUE!</f>
        <v>#VALUE!</v>
      </c>
      <c r="S809" s="0" t="e">
        <f aca="false">#VALUE!</f>
        <v>#VALUE!</v>
      </c>
      <c r="U809" s="24" t="n">
        <v>0</v>
      </c>
    </row>
    <row r="810" customFormat="false" ht="12.75" hidden="false" customHeight="false" outlineLevel="0" collapsed="false">
      <c r="A810" s="15" t="s">
        <v>2827</v>
      </c>
      <c r="B810" s="15" t="s">
        <v>600</v>
      </c>
      <c r="C810" s="15" t="s">
        <v>1840</v>
      </c>
      <c r="D810" s="15" t="s">
        <v>766</v>
      </c>
      <c r="E810" s="15" t="s">
        <v>33</v>
      </c>
      <c r="G810" s="10" t="n">
        <v>2</v>
      </c>
      <c r="H810" s="21" t="n">
        <v>46029.497962963</v>
      </c>
      <c r="I810" s="15" t="s">
        <v>2828</v>
      </c>
      <c r="J810" s="15" t="s">
        <v>2828</v>
      </c>
      <c r="K810" s="15"/>
      <c r="L810" s="10" t="n">
        <f aca="false">COUNTIF($E$2:E810,E810)</f>
        <v>47</v>
      </c>
      <c r="M810" s="10" t="e">
        <f aca="false">ifs(L810=1, L810&amp;"-"&amp; COUNTIFS($L$2:L810,1))</f>
        <v>#NAME?</v>
      </c>
      <c r="N810" s="15" t="s">
        <v>603</v>
      </c>
      <c r="O810" s="10"/>
      <c r="P810" s="22" t="n">
        <f aca="false">COUNTIFS(C:C,C810,N:N,"Đã xác nhận")/COUNTIFS(C:C,C810)</f>
        <v>1</v>
      </c>
      <c r="Q810" s="22"/>
      <c r="R810" s="0" t="s">
        <v>768</v>
      </c>
      <c r="S810" s="0" t="s">
        <v>536</v>
      </c>
      <c r="U810" s="24" t="n">
        <v>2</v>
      </c>
    </row>
    <row r="811" customFormat="false" ht="12.75" hidden="false" customHeight="false" outlineLevel="0" collapsed="false">
      <c r="A811" s="15" t="s">
        <v>2829</v>
      </c>
      <c r="B811" s="15" t="s">
        <v>600</v>
      </c>
      <c r="C811" s="15" t="s">
        <v>1840</v>
      </c>
      <c r="D811" s="15" t="s">
        <v>766</v>
      </c>
      <c r="E811" s="15" t="s">
        <v>69</v>
      </c>
      <c r="G811" s="10" t="n">
        <v>3</v>
      </c>
      <c r="H811" s="21" t="n">
        <v>46029.4980439815</v>
      </c>
      <c r="I811" s="15" t="s">
        <v>2830</v>
      </c>
      <c r="J811" s="15" t="s">
        <v>2830</v>
      </c>
      <c r="K811" s="15"/>
      <c r="L811" s="10" t="n">
        <f aca="false">COUNTIF($E$2:E811,E811)</f>
        <v>87</v>
      </c>
      <c r="M811" s="10" t="e">
        <f aca="false">ifs(L811=1, L811&amp;"-"&amp; COUNTIFS($L$2:L811,1))</f>
        <v>#NAME?</v>
      </c>
      <c r="N811" s="15" t="s">
        <v>603</v>
      </c>
      <c r="O811" s="10"/>
      <c r="P811" s="22" t="n">
        <f aca="false">COUNTIFS(C:C,C811,N:N,"Đã xác nhận")/COUNTIFS(C:C,C811)</f>
        <v>1</v>
      </c>
      <c r="Q811" s="22"/>
      <c r="R811" s="0" t="s">
        <v>768</v>
      </c>
      <c r="S811" s="0" t="s">
        <v>535</v>
      </c>
      <c r="U811" s="24" t="n">
        <v>3</v>
      </c>
    </row>
    <row r="812" customFormat="false" ht="12.75" hidden="false" customHeight="false" outlineLevel="0" collapsed="false">
      <c r="A812" s="15" t="s">
        <v>2831</v>
      </c>
      <c r="B812" s="15" t="s">
        <v>600</v>
      </c>
      <c r="C812" s="15" t="s">
        <v>494</v>
      </c>
      <c r="D812" s="15" t="s">
        <v>2777</v>
      </c>
      <c r="E812" s="15" t="s">
        <v>37</v>
      </c>
      <c r="G812" s="10" t="n">
        <v>1</v>
      </c>
      <c r="H812" s="21" t="n">
        <v>46027.6771180556</v>
      </c>
      <c r="I812" s="15" t="s">
        <v>2832</v>
      </c>
      <c r="J812" s="15" t="s">
        <v>2832</v>
      </c>
      <c r="K812" s="15"/>
      <c r="L812" s="10" t="n">
        <f aca="false">COUNTIF($E$2:E812,E812)</f>
        <v>18</v>
      </c>
      <c r="M812" s="10" t="e">
        <f aca="false">ifs(L812=1, L812&amp;"-"&amp; COUNTIFS($L$2:L812,1))</f>
        <v>#NAME?</v>
      </c>
      <c r="N812" s="15" t="s">
        <v>603</v>
      </c>
      <c r="O812" s="10"/>
      <c r="P812" s="22" t="n">
        <f aca="false">COUNTIFS(C:C,C812,N:N,"Đã xác nhận")/COUNTIFS(C:C,C812)</f>
        <v>1</v>
      </c>
      <c r="Q812" s="22"/>
      <c r="R812" s="0" t="s">
        <v>2779</v>
      </c>
      <c r="S812" s="0" t="s">
        <v>561</v>
      </c>
      <c r="U812" s="24" t="n">
        <v>1</v>
      </c>
    </row>
    <row r="813" customFormat="false" ht="12.75" hidden="false" customHeight="false" outlineLevel="0" collapsed="false">
      <c r="A813" s="15" t="s">
        <v>2833</v>
      </c>
      <c r="B813" s="15" t="s">
        <v>600</v>
      </c>
      <c r="C813" s="15" t="s">
        <v>19</v>
      </c>
      <c r="D813" s="15" t="s">
        <v>766</v>
      </c>
      <c r="E813" s="15" t="s">
        <v>570</v>
      </c>
      <c r="G813" s="10" t="n">
        <v>1</v>
      </c>
      <c r="H813" s="21" t="n">
        <v>46035.4932523148</v>
      </c>
      <c r="I813" s="15" t="s">
        <v>2834</v>
      </c>
      <c r="J813" s="15" t="s">
        <v>2834</v>
      </c>
      <c r="K813" s="15"/>
      <c r="L813" s="10" t="n">
        <f aca="false">COUNTIF($E$2:E813,E813)</f>
        <v>11</v>
      </c>
      <c r="M813" s="10" t="e">
        <f aca="false">ifs(L813=1, L813&amp;"-"&amp; COUNTIFS($L$2:L813,1))</f>
        <v>#NAME?</v>
      </c>
      <c r="N813" s="15" t="s">
        <v>603</v>
      </c>
      <c r="O813" s="10"/>
      <c r="P813" s="22" t="n">
        <f aca="false">COUNTIFS(C:C,C813,N:N,"Đã xác nhận")/COUNTIFS(C:C,C813)</f>
        <v>0.594202898550725</v>
      </c>
      <c r="Q813" s="22"/>
      <c r="R813" s="0" t="s">
        <v>768</v>
      </c>
      <c r="S813" s="0" t="s">
        <v>571</v>
      </c>
      <c r="U813" s="24" t="n">
        <v>1</v>
      </c>
    </row>
    <row r="814" customFormat="false" ht="12.75" hidden="false" customHeight="false" outlineLevel="0" collapsed="false">
      <c r="A814" s="15" t="s">
        <v>2835</v>
      </c>
      <c r="B814" s="15" t="s">
        <v>600</v>
      </c>
      <c r="C814" s="15" t="s">
        <v>19</v>
      </c>
      <c r="D814" s="15" t="s">
        <v>766</v>
      </c>
      <c r="E814" s="15" t="s">
        <v>11</v>
      </c>
      <c r="G814" s="10" t="n">
        <v>1</v>
      </c>
      <c r="H814" s="21" t="n">
        <v>46035.4933101852</v>
      </c>
      <c r="I814" s="15" t="s">
        <v>2836</v>
      </c>
      <c r="J814" s="15" t="s">
        <v>2836</v>
      </c>
      <c r="K814" s="15"/>
      <c r="L814" s="10" t="n">
        <f aca="false">COUNTIF($E$2:E814,E814)</f>
        <v>6</v>
      </c>
      <c r="M814" s="10" t="e">
        <f aca="false">ifs(L814=1, L814&amp;"-"&amp; COUNTIFS($L$2:L814,1))</f>
        <v>#NAME?</v>
      </c>
      <c r="N814" s="15" t="s">
        <v>603</v>
      </c>
      <c r="O814" s="10"/>
      <c r="P814" s="22" t="n">
        <f aca="false">COUNTIFS(C:C,C814,N:N,"Đã xác nhận")/COUNTIFS(C:C,C814)</f>
        <v>0.594202898550725</v>
      </c>
      <c r="Q814" s="22"/>
      <c r="R814" s="0" t="s">
        <v>768</v>
      </c>
      <c r="S814" s="0" t="s">
        <v>572</v>
      </c>
      <c r="U814" s="24" t="n">
        <v>1</v>
      </c>
    </row>
    <row r="815" customFormat="false" ht="12.75" hidden="false" customHeight="false" outlineLevel="0" collapsed="false">
      <c r="A815" s="15" t="s">
        <v>2837</v>
      </c>
      <c r="B815" s="15" t="s">
        <v>600</v>
      </c>
      <c r="C815" s="15" t="s">
        <v>19</v>
      </c>
      <c r="D815" s="15" t="s">
        <v>766</v>
      </c>
      <c r="E815" s="15" t="s">
        <v>570</v>
      </c>
      <c r="G815" s="10" t="n">
        <v>1</v>
      </c>
      <c r="H815" s="21" t="n">
        <v>45968.4564583333</v>
      </c>
      <c r="I815" s="15" t="s">
        <v>2838</v>
      </c>
      <c r="J815" s="15" t="s">
        <v>2839</v>
      </c>
      <c r="K815" s="15" t="s">
        <v>2840</v>
      </c>
      <c r="L815" s="10" t="n">
        <f aca="false">COUNTIF($E$2:E815,E815)</f>
        <v>12</v>
      </c>
      <c r="M815" s="10" t="e">
        <f aca="false">ifs(L815=1, L815&amp;"-"&amp; COUNTIFS($L$2:L815,1))</f>
        <v>#NAME?</v>
      </c>
      <c r="O815" s="10"/>
      <c r="P815" s="22" t="n">
        <f aca="false">COUNTIFS(C:C,C815,N:N,"Đã xác nhận")/COUNTIFS(C:C,C815)</f>
        <v>0.594202898550725</v>
      </c>
      <c r="Q815" s="22"/>
      <c r="R815" s="0" t="s">
        <v>768</v>
      </c>
      <c r="S815" s="0" t="s">
        <v>571</v>
      </c>
      <c r="U815" s="24" t="n">
        <v>1</v>
      </c>
    </row>
    <row r="816" customFormat="false" ht="12.75" hidden="false" customHeight="false" outlineLevel="0" collapsed="false">
      <c r="A816" s="15" t="s">
        <v>2841</v>
      </c>
      <c r="B816" s="15" t="s">
        <v>600</v>
      </c>
      <c r="C816" s="15" t="s">
        <v>19</v>
      </c>
      <c r="D816" s="15" t="s">
        <v>766</v>
      </c>
      <c r="E816" s="15" t="s">
        <v>11</v>
      </c>
      <c r="G816" s="10" t="n">
        <v>1</v>
      </c>
      <c r="H816" s="21" t="n">
        <v>45968.4567476852</v>
      </c>
      <c r="I816" s="15" t="s">
        <v>2838</v>
      </c>
      <c r="J816" s="15" t="s">
        <v>2842</v>
      </c>
      <c r="K816" s="15" t="s">
        <v>2843</v>
      </c>
      <c r="L816" s="10" t="n">
        <f aca="false">COUNTIF($E$2:E816,E816)</f>
        <v>7</v>
      </c>
      <c r="M816" s="10" t="e">
        <f aca="false">ifs(L816=1, L816&amp;"-"&amp; COUNTIFS($L$2:L816,1))</f>
        <v>#NAME?</v>
      </c>
      <c r="O816" s="10"/>
      <c r="P816" s="22" t="n">
        <f aca="false">COUNTIFS(C:C,C816,N:N,"Đã xác nhận")/COUNTIFS(C:C,C816)</f>
        <v>0.594202898550725</v>
      </c>
      <c r="Q816" s="22"/>
      <c r="R816" s="0" t="s">
        <v>768</v>
      </c>
      <c r="S816" s="0" t="s">
        <v>572</v>
      </c>
      <c r="U816" s="24" t="n">
        <v>1</v>
      </c>
    </row>
    <row r="817" customFormat="false" ht="12.75" hidden="false" customHeight="false" outlineLevel="0" collapsed="false">
      <c r="A817" s="15" t="s">
        <v>2844</v>
      </c>
      <c r="B817" s="15" t="s">
        <v>600</v>
      </c>
      <c r="C817" s="15" t="s">
        <v>19</v>
      </c>
      <c r="D817" s="15" t="s">
        <v>766</v>
      </c>
      <c r="E817" s="15" t="s">
        <v>33</v>
      </c>
      <c r="G817" s="10" t="n">
        <v>5</v>
      </c>
      <c r="H817" s="21" t="n">
        <v>45968.4572337963</v>
      </c>
      <c r="I817" s="15" t="s">
        <v>2845</v>
      </c>
      <c r="J817" s="15" t="s">
        <v>2846</v>
      </c>
      <c r="K817" s="15" t="s">
        <v>2847</v>
      </c>
      <c r="L817" s="10" t="n">
        <f aca="false">COUNTIF($E$2:E817,E817)</f>
        <v>48</v>
      </c>
      <c r="M817" s="10" t="e">
        <f aca="false">ifs(L817=1, L817&amp;"-"&amp; COUNTIFS($L$2:L817,1))</f>
        <v>#NAME?</v>
      </c>
      <c r="O817" s="10"/>
      <c r="P817" s="22" t="n">
        <f aca="false">COUNTIFS(C:C,C817,N:N,"Đã xác nhận")/COUNTIFS(C:C,C817)</f>
        <v>0.594202898550725</v>
      </c>
      <c r="Q817" s="22"/>
      <c r="R817" s="0" t="s">
        <v>768</v>
      </c>
      <c r="S817" s="0" t="s">
        <v>536</v>
      </c>
      <c r="U817" s="24" t="n">
        <v>5</v>
      </c>
    </row>
    <row r="818" customFormat="false" ht="12.75" hidden="false" customHeight="false" outlineLevel="0" collapsed="false">
      <c r="A818" s="15" t="s">
        <v>2848</v>
      </c>
      <c r="B818" s="15" t="s">
        <v>600</v>
      </c>
      <c r="C818" s="15" t="s">
        <v>19</v>
      </c>
      <c r="D818" s="15" t="s">
        <v>2753</v>
      </c>
      <c r="E818" s="15" t="s">
        <v>59</v>
      </c>
      <c r="G818" s="10" t="n">
        <v>5</v>
      </c>
      <c r="H818" s="21" t="n">
        <v>45968.4576157407</v>
      </c>
      <c r="I818" s="15" t="s">
        <v>2838</v>
      </c>
      <c r="J818" s="15" t="s">
        <v>2849</v>
      </c>
      <c r="K818" s="15" t="s">
        <v>2850</v>
      </c>
      <c r="L818" s="10" t="n">
        <f aca="false">COUNTIF($E$2:E818,E818)</f>
        <v>15</v>
      </c>
      <c r="M818" s="10" t="e">
        <f aca="false">ifs(L818=1, L818&amp;"-"&amp; COUNTIFS($L$2:L818,1))</f>
        <v>#NAME?</v>
      </c>
      <c r="O818" s="10"/>
      <c r="P818" s="22" t="n">
        <f aca="false">COUNTIFS(C:C,C818,N:N,"Đã xác nhận")/COUNTIFS(C:C,C818)</f>
        <v>0.594202898550725</v>
      </c>
      <c r="Q818" s="22"/>
      <c r="R818" s="0" t="s">
        <v>2755</v>
      </c>
      <c r="S818" s="0" t="s">
        <v>562</v>
      </c>
      <c r="U818" s="24" t="n">
        <v>5</v>
      </c>
    </row>
    <row r="819" customFormat="false" ht="12.75" hidden="false" customHeight="false" outlineLevel="0" collapsed="false">
      <c r="A819" s="15" t="s">
        <v>2851</v>
      </c>
      <c r="B819" s="15" t="s">
        <v>2852</v>
      </c>
      <c r="C819" s="15" t="s">
        <v>500</v>
      </c>
      <c r="D819" s="15" t="s">
        <v>1224</v>
      </c>
      <c r="E819" s="15" t="s">
        <v>81</v>
      </c>
      <c r="G819" s="10" t="n">
        <v>7</v>
      </c>
      <c r="H819" s="21" t="n">
        <v>46044.6903472222</v>
      </c>
      <c r="I819" s="15" t="s">
        <v>2853</v>
      </c>
      <c r="J819" s="15" t="s">
        <v>2854</v>
      </c>
      <c r="K819" s="15" t="s">
        <v>2855</v>
      </c>
      <c r="L819" s="10" t="n">
        <f aca="false">COUNTIF($E$2:E819,E819)</f>
        <v>172</v>
      </c>
      <c r="M819" s="10" t="e">
        <f aca="false">ifs(L819=1, L819&amp;"-"&amp; COUNTIFS($L$2:L819,1))</f>
        <v>#NAME?</v>
      </c>
      <c r="N819" s="15" t="s">
        <v>603</v>
      </c>
      <c r="O819" s="10"/>
      <c r="P819" s="22" t="n">
        <f aca="false">COUNTIFS(C:C,C819,N:N,"Đã xác nhận")/COUNTIFS(C:C,C819)</f>
        <v>1</v>
      </c>
      <c r="Q819" s="22"/>
      <c r="R819" s="0" t="s">
        <v>1226</v>
      </c>
      <c r="S819" s="0" t="s">
        <v>534</v>
      </c>
      <c r="U819" s="24" t="n">
        <v>7</v>
      </c>
    </row>
    <row r="820" customFormat="false" ht="12.75" hidden="false" customHeight="false" outlineLevel="0" collapsed="false">
      <c r="A820" s="15" t="s">
        <v>2856</v>
      </c>
      <c r="B820" s="15" t="s">
        <v>2852</v>
      </c>
      <c r="C820" s="15" t="s">
        <v>500</v>
      </c>
      <c r="D820" s="15" t="s">
        <v>617</v>
      </c>
      <c r="E820" s="15" t="s">
        <v>543</v>
      </c>
      <c r="G820" s="10" t="n">
        <v>1</v>
      </c>
      <c r="H820" s="21" t="n">
        <v>46044.6897106482</v>
      </c>
      <c r="I820" s="15" t="s">
        <v>2857</v>
      </c>
      <c r="J820" s="15" t="s">
        <v>2857</v>
      </c>
      <c r="K820" s="15"/>
      <c r="L820" s="10" t="n">
        <f aca="false">COUNTIF($E$2:E820,E820)</f>
        <v>21</v>
      </c>
      <c r="M820" s="10" t="e">
        <f aca="false">ifs(L820=1, L820&amp;"-"&amp; COUNTIFS($L$2:L820,1))</f>
        <v>#NAME?</v>
      </c>
      <c r="N820" s="15" t="s">
        <v>603</v>
      </c>
      <c r="O820" s="10"/>
      <c r="P820" s="22" t="n">
        <f aca="false">COUNTIFS(C:C,C820,N:N,"Đã xác nhận")/COUNTIFS(C:C,C820)</f>
        <v>1</v>
      </c>
      <c r="Q820" s="22"/>
      <c r="R820" s="0" t="s">
        <v>619</v>
      </c>
      <c r="S820" s="0" t="s">
        <v>544</v>
      </c>
      <c r="U820" s="24" t="n">
        <v>1</v>
      </c>
    </row>
    <row r="821" customFormat="false" ht="12.75" hidden="false" customHeight="false" outlineLevel="0" collapsed="false">
      <c r="A821" s="15" t="s">
        <v>2858</v>
      </c>
      <c r="B821" s="15" t="s">
        <v>2852</v>
      </c>
      <c r="C821" s="15" t="s">
        <v>500</v>
      </c>
      <c r="D821" s="15" t="s">
        <v>2753</v>
      </c>
      <c r="E821" s="15" t="s">
        <v>55</v>
      </c>
      <c r="G821" s="10" t="n">
        <v>1</v>
      </c>
      <c r="H821" s="21" t="n">
        <v>46044.6894212963</v>
      </c>
      <c r="I821" s="15" t="s">
        <v>2859</v>
      </c>
      <c r="J821" s="15" t="s">
        <v>2859</v>
      </c>
      <c r="K821" s="15"/>
      <c r="L821" s="10" t="n">
        <f aca="false">COUNTIF($E$2:E821,E821)</f>
        <v>88</v>
      </c>
      <c r="M821" s="10" t="e">
        <f aca="false">ifs(L821=1, L821&amp;"-"&amp; COUNTIFS($L$2:L821,1))</f>
        <v>#NAME?</v>
      </c>
      <c r="N821" s="15" t="s">
        <v>603</v>
      </c>
      <c r="O821" s="10"/>
      <c r="P821" s="22" t="n">
        <f aca="false">COUNTIFS(C:C,C821,N:N,"Đã xác nhận")/COUNTIFS(C:C,C821)</f>
        <v>1</v>
      </c>
      <c r="Q821" s="22"/>
      <c r="R821" s="0" t="s">
        <v>2755</v>
      </c>
      <c r="S821" s="0" t="s">
        <v>539</v>
      </c>
      <c r="U821" s="24" t="n">
        <v>1</v>
      </c>
    </row>
    <row r="822" customFormat="false" ht="12.75" hidden="false" customHeight="false" outlineLevel="0" collapsed="false">
      <c r="A822" s="15" t="s">
        <v>2860</v>
      </c>
      <c r="B822" s="15" t="s">
        <v>2852</v>
      </c>
      <c r="C822" s="15" t="s">
        <v>500</v>
      </c>
      <c r="D822" s="15" t="s">
        <v>2753</v>
      </c>
      <c r="E822" s="15" t="s">
        <v>59</v>
      </c>
      <c r="G822" s="10" t="n">
        <v>1</v>
      </c>
      <c r="H822" s="21" t="n">
        <v>46044.6894560185</v>
      </c>
      <c r="I822" s="15" t="s">
        <v>2861</v>
      </c>
      <c r="J822" s="15" t="s">
        <v>2861</v>
      </c>
      <c r="K822" s="15"/>
      <c r="L822" s="10" t="n">
        <f aca="false">COUNTIF($E$2:E822,E822)</f>
        <v>16</v>
      </c>
      <c r="M822" s="10" t="e">
        <f aca="false">ifs(L822=1, L822&amp;"-"&amp; COUNTIFS($L$2:L822,1))</f>
        <v>#NAME?</v>
      </c>
      <c r="N822" s="15" t="s">
        <v>603</v>
      </c>
      <c r="O822" s="10"/>
      <c r="P822" s="22" t="n">
        <f aca="false">COUNTIFS(C:C,C822,N:N,"Đã xác nhận")/COUNTIFS(C:C,C822)</f>
        <v>1</v>
      </c>
      <c r="Q822" s="22"/>
      <c r="R822" s="0" t="s">
        <v>2755</v>
      </c>
      <c r="S822" s="0" t="s">
        <v>562</v>
      </c>
      <c r="U822" s="24" t="n">
        <v>1</v>
      </c>
    </row>
    <row r="823" customFormat="false" ht="12.75" hidden="false" customHeight="false" outlineLevel="0" collapsed="false">
      <c r="A823" s="15" t="s">
        <v>2862</v>
      </c>
      <c r="B823" s="15" t="s">
        <v>2687</v>
      </c>
      <c r="C823" s="15" t="s">
        <v>480</v>
      </c>
      <c r="D823" s="15" t="s">
        <v>2688</v>
      </c>
      <c r="E823" s="15" t="s">
        <v>547</v>
      </c>
      <c r="G823" s="10" t="n">
        <v>1</v>
      </c>
      <c r="H823" s="21" t="n">
        <v>46044.6505555556</v>
      </c>
      <c r="I823" s="15" t="s">
        <v>2863</v>
      </c>
      <c r="J823" s="15" t="s">
        <v>2863</v>
      </c>
      <c r="K823" s="15"/>
      <c r="L823" s="10" t="n">
        <f aca="false">COUNTIF($E$2:E823,E823)</f>
        <v>28</v>
      </c>
      <c r="M823" s="10" t="e">
        <f aca="false">ifs(L823=1, L823&amp;"-"&amp; COUNTIFS($L$2:L823,1))</f>
        <v>#NAME?</v>
      </c>
      <c r="N823" s="15" t="s">
        <v>603</v>
      </c>
      <c r="O823" s="10"/>
      <c r="P823" s="22" t="n">
        <f aca="false">COUNTIFS(C:C,C823,N:N,"Đã xác nhận")/COUNTIFS(C:C,C823)</f>
        <v>1</v>
      </c>
      <c r="Q823" s="22"/>
      <c r="R823" s="0" t="s">
        <v>2688</v>
      </c>
      <c r="S823" s="0" t="s">
        <v>548</v>
      </c>
      <c r="U823" s="24" t="n">
        <v>1</v>
      </c>
    </row>
    <row r="824" customFormat="false" ht="12.75" hidden="false" customHeight="false" outlineLevel="0" collapsed="false">
      <c r="A824" s="15" t="s">
        <v>2864</v>
      </c>
      <c r="B824" s="15" t="s">
        <v>2687</v>
      </c>
      <c r="C824" s="15" t="s">
        <v>480</v>
      </c>
      <c r="D824" s="15" t="s">
        <v>2688</v>
      </c>
      <c r="E824" s="15" t="s">
        <v>69</v>
      </c>
      <c r="G824" s="10" t="n">
        <v>1</v>
      </c>
      <c r="H824" s="21" t="n">
        <v>46044.6504976852</v>
      </c>
      <c r="I824" s="15" t="s">
        <v>2865</v>
      </c>
      <c r="J824" s="15" t="s">
        <v>2865</v>
      </c>
      <c r="K824" s="15"/>
      <c r="L824" s="10" t="n">
        <f aca="false">COUNTIF($E$2:E824,E824)</f>
        <v>88</v>
      </c>
      <c r="M824" s="10" t="e">
        <f aca="false">ifs(L824=1, L824&amp;"-"&amp; COUNTIFS($L$2:L824,1))</f>
        <v>#NAME?</v>
      </c>
      <c r="N824" s="15" t="s">
        <v>603</v>
      </c>
      <c r="O824" s="10"/>
      <c r="P824" s="22" t="n">
        <f aca="false">COUNTIFS(C:C,C824,N:N,"Đã xác nhận")/COUNTIFS(C:C,C824)</f>
        <v>1</v>
      </c>
      <c r="Q824" s="22"/>
      <c r="R824" s="0" t="s">
        <v>2688</v>
      </c>
      <c r="S824" s="0" t="s">
        <v>535</v>
      </c>
      <c r="U824" s="24" t="n">
        <v>1</v>
      </c>
    </row>
    <row r="825" customFormat="false" ht="12.75" hidden="false" customHeight="false" outlineLevel="0" collapsed="false">
      <c r="A825" s="15" t="s">
        <v>2866</v>
      </c>
      <c r="B825" s="15" t="s">
        <v>2852</v>
      </c>
      <c r="C825" s="15" t="s">
        <v>498</v>
      </c>
      <c r="D825" s="15" t="s">
        <v>1224</v>
      </c>
      <c r="E825" s="15" t="s">
        <v>81</v>
      </c>
      <c r="G825" s="10" t="n">
        <v>9</v>
      </c>
      <c r="H825" s="21" t="n">
        <v>46049.6564583333</v>
      </c>
      <c r="I825" s="15" t="s">
        <v>2867</v>
      </c>
      <c r="J825" s="15" t="s">
        <v>2867</v>
      </c>
      <c r="K825" s="15"/>
      <c r="L825" s="10" t="n">
        <f aca="false">COUNTIF($E$2:E825,E825)</f>
        <v>173</v>
      </c>
      <c r="M825" s="10" t="e">
        <f aca="false">ifs(L825=1, L825&amp;"-"&amp; COUNTIFS($L$2:L825,1))</f>
        <v>#NAME?</v>
      </c>
      <c r="N825" s="15" t="s">
        <v>603</v>
      </c>
      <c r="O825" s="10"/>
      <c r="P825" s="22" t="n">
        <f aca="false">COUNTIFS(C:C,C825,N:N,"Đã xác nhận")/COUNTIFS(C:C,C825)</f>
        <v>1</v>
      </c>
      <c r="Q825" s="22"/>
      <c r="R825" s="0" t="s">
        <v>1226</v>
      </c>
      <c r="S825" s="0" t="s">
        <v>534</v>
      </c>
      <c r="U825" s="24" t="n">
        <v>9</v>
      </c>
    </row>
    <row r="826" customFormat="false" ht="12.75" hidden="false" customHeight="false" outlineLevel="0" collapsed="false">
      <c r="A826" s="15" t="s">
        <v>2868</v>
      </c>
      <c r="B826" s="15" t="s">
        <v>2687</v>
      </c>
      <c r="C826" s="15" t="s">
        <v>472</v>
      </c>
      <c r="D826" s="15" t="s">
        <v>2688</v>
      </c>
      <c r="E826" s="15" t="s">
        <v>555</v>
      </c>
      <c r="G826" s="10" t="n">
        <v>3</v>
      </c>
      <c r="H826" s="21" t="n">
        <v>46044.6458101852</v>
      </c>
      <c r="I826" s="15" t="s">
        <v>2869</v>
      </c>
      <c r="J826" s="15" t="s">
        <v>2869</v>
      </c>
      <c r="K826" s="15"/>
      <c r="L826" s="10" t="n">
        <f aca="false">COUNTIF($E$2:E826,E826)</f>
        <v>23</v>
      </c>
      <c r="M826" s="10" t="e">
        <f aca="false">ifs(L826=1, L826&amp;"-"&amp; COUNTIFS($L$2:L826,1))</f>
        <v>#NAME?</v>
      </c>
      <c r="N826" s="15" t="s">
        <v>603</v>
      </c>
      <c r="O826" s="10"/>
      <c r="P826" s="22" t="n">
        <f aca="false">COUNTIFS(C:C,C826,N:N,"Đã xác nhận")/COUNTIFS(C:C,C826)</f>
        <v>1</v>
      </c>
      <c r="Q826" s="22"/>
      <c r="R826" s="0" t="s">
        <v>2688</v>
      </c>
      <c r="S826" s="0" t="s">
        <v>556</v>
      </c>
      <c r="U826" s="24" t="n">
        <v>3</v>
      </c>
    </row>
    <row r="827" customFormat="false" ht="12.75" hidden="false" customHeight="false" outlineLevel="0" collapsed="false">
      <c r="A827" s="15" t="s">
        <v>2870</v>
      </c>
      <c r="B827" s="15"/>
      <c r="C827" s="15"/>
      <c r="D827" s="15"/>
      <c r="E827" s="15"/>
      <c r="G827" s="10" t="n">
        <v>0</v>
      </c>
      <c r="H827" s="21" t="n">
        <v>46044.6457060185</v>
      </c>
      <c r="I827" s="15" t="s">
        <v>2871</v>
      </c>
      <c r="J827" s="15" t="s">
        <v>695</v>
      </c>
      <c r="K827" s="15" t="s">
        <v>2872</v>
      </c>
      <c r="L827" s="10" t="n">
        <f aca="false">COUNTIF($E$2:E827,E827)</f>
        <v>0</v>
      </c>
      <c r="M827" s="10" t="e">
        <f aca="false">ifs(L827=1, L827&amp;"-"&amp; COUNTIFS($L$2:L827,1))</f>
        <v>#NAME?</v>
      </c>
      <c r="O827" s="10"/>
      <c r="P827" s="22" t="e">
        <f aca="false">COUNTIFS(C:C,C827,N:N,"Đã xác nhận")/COUNTIFS(C:C,C827)</f>
        <v>#DIV/0!</v>
      </c>
      <c r="Q827" s="22"/>
      <c r="R827" s="0" t="e">
        <f aca="false">#VALUE!</f>
        <v>#VALUE!</v>
      </c>
      <c r="S827" s="0" t="e">
        <f aca="false">#VALUE!</f>
        <v>#VALUE!</v>
      </c>
      <c r="U827" s="24" t="n">
        <v>0</v>
      </c>
    </row>
    <row r="828" customFormat="false" ht="12.75" hidden="false" customHeight="false" outlineLevel="0" collapsed="false">
      <c r="A828" s="15" t="s">
        <v>2873</v>
      </c>
      <c r="B828" s="15" t="s">
        <v>2687</v>
      </c>
      <c r="C828" s="15" t="s">
        <v>472</v>
      </c>
      <c r="D828" s="15" t="s">
        <v>2688</v>
      </c>
      <c r="E828" s="15" t="s">
        <v>11</v>
      </c>
      <c r="G828" s="10" t="n">
        <v>3</v>
      </c>
      <c r="H828" s="21" t="n">
        <v>46044.6457407407</v>
      </c>
      <c r="I828" s="15" t="s">
        <v>2874</v>
      </c>
      <c r="J828" s="15" t="s">
        <v>2874</v>
      </c>
      <c r="K828" s="15"/>
      <c r="L828" s="10" t="n">
        <f aca="false">COUNTIF($E$2:E828,E828)</f>
        <v>8</v>
      </c>
      <c r="M828" s="10" t="e">
        <f aca="false">ifs(L828=1, L828&amp;"-"&amp; COUNTIFS($L$2:L828,1))</f>
        <v>#NAME?</v>
      </c>
      <c r="N828" s="15" t="s">
        <v>603</v>
      </c>
      <c r="O828" s="10"/>
      <c r="P828" s="22" t="n">
        <f aca="false">COUNTIFS(C:C,C828,N:N,"Đã xác nhận")/COUNTIFS(C:C,C828)</f>
        <v>1</v>
      </c>
      <c r="Q828" s="22"/>
      <c r="R828" s="0" t="s">
        <v>2688</v>
      </c>
      <c r="S828" s="0" t="s">
        <v>572</v>
      </c>
      <c r="U828" s="24" t="n">
        <v>3</v>
      </c>
    </row>
    <row r="829" customFormat="false" ht="12.75" hidden="false" customHeight="false" outlineLevel="0" collapsed="false">
      <c r="A829" s="15" t="s">
        <v>2875</v>
      </c>
      <c r="B829" s="15" t="s">
        <v>2687</v>
      </c>
      <c r="C829" s="15" t="s">
        <v>472</v>
      </c>
      <c r="D829" s="15" t="s">
        <v>2688</v>
      </c>
      <c r="E829" s="15" t="s">
        <v>69</v>
      </c>
      <c r="G829" s="10" t="n">
        <v>3</v>
      </c>
      <c r="H829" s="21" t="n">
        <v>46044.6458449074</v>
      </c>
      <c r="I829" s="15" t="s">
        <v>2876</v>
      </c>
      <c r="J829" s="15" t="s">
        <v>2876</v>
      </c>
      <c r="K829" s="15"/>
      <c r="L829" s="10" t="n">
        <f aca="false">COUNTIF($E$2:E829,E829)</f>
        <v>89</v>
      </c>
      <c r="M829" s="10" t="e">
        <f aca="false">ifs(L829=1, L829&amp;"-"&amp; COUNTIFS($L$2:L829,1))</f>
        <v>#NAME?</v>
      </c>
      <c r="N829" s="15" t="s">
        <v>603</v>
      </c>
      <c r="O829" s="10"/>
      <c r="P829" s="22" t="n">
        <f aca="false">COUNTIFS(C:C,C829,N:N,"Đã xác nhận")/COUNTIFS(C:C,C829)</f>
        <v>1</v>
      </c>
      <c r="Q829" s="22"/>
      <c r="R829" s="0" t="s">
        <v>2688</v>
      </c>
      <c r="S829" s="0" t="s">
        <v>535</v>
      </c>
      <c r="U829" s="24" t="n">
        <v>3</v>
      </c>
    </row>
    <row r="830" customFormat="false" ht="12.75" hidden="false" customHeight="false" outlineLevel="0" collapsed="false">
      <c r="A830" s="15" t="s">
        <v>2877</v>
      </c>
      <c r="B830" s="15" t="s">
        <v>600</v>
      </c>
      <c r="C830" s="15" t="s">
        <v>486</v>
      </c>
      <c r="D830" s="15" t="s">
        <v>878</v>
      </c>
      <c r="E830" s="15" t="s">
        <v>578</v>
      </c>
      <c r="G830" s="10" t="n">
        <v>1</v>
      </c>
      <c r="H830" s="21" t="n">
        <v>46035.4966782407</v>
      </c>
      <c r="I830" s="15" t="s">
        <v>2878</v>
      </c>
      <c r="J830" s="15" t="s">
        <v>2878</v>
      </c>
      <c r="K830" s="15"/>
      <c r="L830" s="10" t="n">
        <f aca="false">COUNTIF($E$2:E830,E830)</f>
        <v>1</v>
      </c>
      <c r="M830" s="10" t="e">
        <f aca="false">ifs(L830=1, L830&amp;"-"&amp; COUNTIFS($L$2:L830,1))</f>
        <v>#NAME?</v>
      </c>
      <c r="N830" s="15" t="s">
        <v>603</v>
      </c>
      <c r="O830" s="10"/>
      <c r="P830" s="22" t="n">
        <f aca="false">COUNTIFS(C:C,C830,N:N,"Đã xác nhận")/COUNTIFS(C:C,C830)</f>
        <v>1</v>
      </c>
      <c r="Q830" s="22"/>
      <c r="R830" s="0" t="s">
        <v>768</v>
      </c>
      <c r="S830" s="0" t="s">
        <v>579</v>
      </c>
      <c r="U830" s="24" t="n">
        <v>1</v>
      </c>
    </row>
    <row r="831" customFormat="false" ht="12.75" hidden="false" customHeight="false" outlineLevel="0" collapsed="false">
      <c r="A831" s="15" t="s">
        <v>2879</v>
      </c>
      <c r="B831" s="15" t="s">
        <v>600</v>
      </c>
      <c r="C831" s="15" t="s">
        <v>486</v>
      </c>
      <c r="D831" s="15" t="s">
        <v>971</v>
      </c>
      <c r="E831" s="15" t="s">
        <v>59</v>
      </c>
      <c r="G831" s="10" t="n">
        <v>1</v>
      </c>
      <c r="H831" s="21" t="n">
        <v>46035.4972106482</v>
      </c>
      <c r="I831" s="15" t="s">
        <v>2880</v>
      </c>
      <c r="J831" s="15" t="s">
        <v>2880</v>
      </c>
      <c r="K831" s="15"/>
      <c r="L831" s="10" t="n">
        <f aca="false">COUNTIF($E$2:E831,E831)</f>
        <v>17</v>
      </c>
      <c r="M831" s="10" t="e">
        <f aca="false">ifs(L831=1, L831&amp;"-"&amp; COUNTIFS($L$2:L831,1))</f>
        <v>#NAME?</v>
      </c>
      <c r="N831" s="15" t="s">
        <v>603</v>
      </c>
      <c r="O831" s="10"/>
      <c r="P831" s="22" t="n">
        <f aca="false">COUNTIFS(C:C,C831,N:N,"Đã xác nhận")/COUNTIFS(C:C,C831)</f>
        <v>1</v>
      </c>
      <c r="Q831" s="22"/>
      <c r="R831" s="0" t="s">
        <v>973</v>
      </c>
      <c r="S831" s="0" t="s">
        <v>562</v>
      </c>
      <c r="U831" s="24" t="n">
        <v>1</v>
      </c>
    </row>
    <row r="832" customFormat="false" ht="12.75" hidden="false" customHeight="false" outlineLevel="0" collapsed="false">
      <c r="A832" s="15" t="s">
        <v>2881</v>
      </c>
      <c r="B832" s="15" t="s">
        <v>600</v>
      </c>
      <c r="C832" s="15" t="s">
        <v>486</v>
      </c>
      <c r="D832" s="15" t="s">
        <v>2732</v>
      </c>
      <c r="E832" s="15" t="s">
        <v>79</v>
      </c>
      <c r="G832" s="10" t="n">
        <v>2</v>
      </c>
      <c r="H832" s="21" t="n">
        <v>46035.4974421296</v>
      </c>
      <c r="I832" s="15" t="s">
        <v>2882</v>
      </c>
      <c r="J832" s="15" t="s">
        <v>2882</v>
      </c>
      <c r="K832" s="15"/>
      <c r="L832" s="10" t="n">
        <f aca="false">COUNTIF($E$2:E832,E832)</f>
        <v>9</v>
      </c>
      <c r="M832" s="10" t="e">
        <f aca="false">ifs(L832=1, L832&amp;"-"&amp; COUNTIFS($L$2:L832,1))</f>
        <v>#NAME?</v>
      </c>
      <c r="N832" s="15" t="s">
        <v>603</v>
      </c>
      <c r="O832" s="10"/>
      <c r="P832" s="22" t="n">
        <f aca="false">COUNTIFS(C:C,C832,N:N,"Đã xác nhận")/COUNTIFS(C:C,C832)</f>
        <v>1</v>
      </c>
      <c r="Q832" s="22"/>
      <c r="R832" s="0" t="s">
        <v>2734</v>
      </c>
      <c r="S832" s="0" t="s">
        <v>564</v>
      </c>
      <c r="U832" s="24" t="n">
        <v>2</v>
      </c>
    </row>
    <row r="833" customFormat="false" ht="12.75" hidden="false" customHeight="false" outlineLevel="0" collapsed="false">
      <c r="A833" s="15" t="s">
        <v>2883</v>
      </c>
      <c r="B833" s="15"/>
      <c r="C833" s="15"/>
      <c r="D833" s="15"/>
      <c r="E833" s="15"/>
      <c r="G833" s="10" t="n">
        <v>0</v>
      </c>
      <c r="H833" s="21" t="n">
        <v>46048.6807986111</v>
      </c>
      <c r="I833" s="15" t="s">
        <v>2884</v>
      </c>
      <c r="J833" s="15" t="s">
        <v>695</v>
      </c>
      <c r="K833" s="15" t="s">
        <v>2885</v>
      </c>
      <c r="L833" s="10" t="n">
        <f aca="false">COUNTIF($E$2:E833,E833)</f>
        <v>0</v>
      </c>
      <c r="M833" s="10" t="e">
        <f aca="false">ifs(L833=1, L833&amp;"-"&amp; COUNTIFS($L$2:L833,1))</f>
        <v>#NAME?</v>
      </c>
      <c r="N833" s="15"/>
      <c r="O833" s="10"/>
      <c r="P833" s="22" t="e">
        <f aca="false">COUNTIFS(C:C,C833,N:N,"Đã xác nhận")/COUNTIFS(C:C,C833)</f>
        <v>#DIV/0!</v>
      </c>
      <c r="Q833" s="22"/>
      <c r="R833" s="0" t="e">
        <f aca="false">#VALUE!</f>
        <v>#VALUE!</v>
      </c>
      <c r="S833" s="0" t="e">
        <f aca="false">#VALUE!</f>
        <v>#VALUE!</v>
      </c>
      <c r="U833" s="24" t="n">
        <v>0</v>
      </c>
    </row>
    <row r="834" customFormat="false" ht="12.75" hidden="false" customHeight="false" outlineLevel="0" collapsed="false">
      <c r="A834" s="15" t="s">
        <v>2886</v>
      </c>
      <c r="B834" s="15" t="s">
        <v>600</v>
      </c>
      <c r="C834" s="15" t="s">
        <v>487</v>
      </c>
      <c r="D834" s="15" t="s">
        <v>878</v>
      </c>
      <c r="E834" s="15" t="s">
        <v>11</v>
      </c>
      <c r="G834" s="10" t="n">
        <v>1</v>
      </c>
      <c r="H834" s="21" t="n">
        <v>46035.5704050926</v>
      </c>
      <c r="I834" s="15" t="s">
        <v>2887</v>
      </c>
      <c r="J834" s="15" t="s">
        <v>2887</v>
      </c>
      <c r="K834" s="15"/>
      <c r="L834" s="10" t="n">
        <f aca="false">COUNTIF($E$2:E834,E834)</f>
        <v>9</v>
      </c>
      <c r="M834" s="10" t="e">
        <f aca="false">ifs(L834=1, L834&amp;"-"&amp; COUNTIFS($L$2:L834,1))</f>
        <v>#NAME?</v>
      </c>
      <c r="N834" s="15" t="s">
        <v>603</v>
      </c>
      <c r="O834" s="10"/>
      <c r="P834" s="22" t="n">
        <f aca="false">COUNTIFS(C:C,C834,N:N,"Đã xác nhận")/COUNTIFS(C:C,C834)</f>
        <v>1</v>
      </c>
      <c r="Q834" s="22"/>
      <c r="R834" s="0" t="s">
        <v>768</v>
      </c>
      <c r="S834" s="0" t="s">
        <v>572</v>
      </c>
      <c r="U834" s="24" t="n">
        <v>1</v>
      </c>
    </row>
    <row r="835" customFormat="false" ht="12.75" hidden="false" customHeight="false" outlineLevel="0" collapsed="false">
      <c r="A835" s="15" t="s">
        <v>2888</v>
      </c>
      <c r="B835" s="15"/>
      <c r="C835" s="15"/>
      <c r="D835" s="15"/>
      <c r="E835" s="15"/>
      <c r="G835" s="10" t="n">
        <v>0</v>
      </c>
      <c r="H835" s="21" t="n">
        <v>46048.6807523148</v>
      </c>
      <c r="I835" s="15" t="s">
        <v>2889</v>
      </c>
      <c r="J835" s="15" t="s">
        <v>695</v>
      </c>
      <c r="K835" s="15" t="s">
        <v>2890</v>
      </c>
      <c r="L835" s="10" t="n">
        <f aca="false">COUNTIF($E$2:E835,E835)</f>
        <v>0</v>
      </c>
      <c r="M835" s="10" t="e">
        <f aca="false">ifs(L835=1, L835&amp;"-"&amp; COUNTIFS($L$2:L835,1))</f>
        <v>#NAME?</v>
      </c>
      <c r="N835" s="15"/>
      <c r="O835" s="10"/>
      <c r="P835" s="22" t="e">
        <f aca="false">COUNTIFS(C:C,C835,N:N,"Đã xác nhận")/COUNTIFS(C:C,C835)</f>
        <v>#DIV/0!</v>
      </c>
      <c r="Q835" s="22"/>
      <c r="R835" s="0" t="e">
        <f aca="false">#VALUE!</f>
        <v>#VALUE!</v>
      </c>
      <c r="S835" s="0" t="e">
        <f aca="false">#VALUE!</f>
        <v>#VALUE!</v>
      </c>
      <c r="U835" s="24" t="n">
        <v>0</v>
      </c>
    </row>
    <row r="836" customFormat="false" ht="12.75" hidden="false" customHeight="false" outlineLevel="0" collapsed="false">
      <c r="A836" s="15" t="s">
        <v>2891</v>
      </c>
      <c r="B836" s="15" t="s">
        <v>600</v>
      </c>
      <c r="C836" s="15" t="s">
        <v>487</v>
      </c>
      <c r="D836" s="15" t="s">
        <v>878</v>
      </c>
      <c r="E836" s="15" t="s">
        <v>33</v>
      </c>
      <c r="G836" s="10" t="n">
        <v>3</v>
      </c>
      <c r="H836" s="21" t="n">
        <v>46035.5711458333</v>
      </c>
      <c r="I836" s="15" t="s">
        <v>2892</v>
      </c>
      <c r="J836" s="15" t="s">
        <v>2892</v>
      </c>
      <c r="K836" s="15"/>
      <c r="L836" s="10" t="n">
        <f aca="false">COUNTIF($E$2:E836,E836)</f>
        <v>49</v>
      </c>
      <c r="M836" s="10" t="e">
        <f aca="false">ifs(L836=1, L836&amp;"-"&amp; COUNTIFS($L$2:L836,1))</f>
        <v>#NAME?</v>
      </c>
      <c r="N836" s="15" t="s">
        <v>603</v>
      </c>
      <c r="O836" s="10"/>
      <c r="P836" s="22" t="n">
        <f aca="false">COUNTIFS(C:C,C836,N:N,"Đã xác nhận")/COUNTIFS(C:C,C836)</f>
        <v>1</v>
      </c>
      <c r="Q836" s="22"/>
      <c r="R836" s="0" t="s">
        <v>768</v>
      </c>
      <c r="S836" s="0" t="s">
        <v>536</v>
      </c>
      <c r="U836" s="24" t="n">
        <v>3</v>
      </c>
    </row>
    <row r="837" customFormat="false" ht="12.75" hidden="false" customHeight="false" outlineLevel="0" collapsed="false">
      <c r="A837" s="15" t="s">
        <v>2893</v>
      </c>
      <c r="B837" s="15" t="s">
        <v>600</v>
      </c>
      <c r="C837" s="15" t="s">
        <v>487</v>
      </c>
      <c r="D837" s="15" t="s">
        <v>971</v>
      </c>
      <c r="E837" s="15" t="s">
        <v>59</v>
      </c>
      <c r="G837" s="10" t="n">
        <v>1</v>
      </c>
      <c r="H837" s="21" t="n">
        <v>46035.571712963</v>
      </c>
      <c r="I837" s="15" t="s">
        <v>2894</v>
      </c>
      <c r="J837" s="15" t="s">
        <v>2894</v>
      </c>
      <c r="K837" s="15"/>
      <c r="L837" s="10" t="n">
        <f aca="false">COUNTIF($E$2:E837,E837)</f>
        <v>18</v>
      </c>
      <c r="M837" s="10" t="e">
        <f aca="false">ifs(L837=1, L837&amp;"-"&amp; COUNTIFS($L$2:L837,1))</f>
        <v>#NAME?</v>
      </c>
      <c r="N837" s="15" t="s">
        <v>603</v>
      </c>
      <c r="O837" s="10"/>
      <c r="P837" s="22" t="n">
        <f aca="false">COUNTIFS(C:C,C837,N:N,"Đã xác nhận")/COUNTIFS(C:C,C837)</f>
        <v>1</v>
      </c>
      <c r="Q837" s="22"/>
      <c r="R837" s="0" t="s">
        <v>973</v>
      </c>
      <c r="S837" s="0" t="s">
        <v>562</v>
      </c>
      <c r="U837" s="24" t="n">
        <v>1</v>
      </c>
    </row>
    <row r="838" customFormat="false" ht="12.75" hidden="false" customHeight="false" outlineLevel="0" collapsed="false">
      <c r="A838" s="15" t="s">
        <v>2895</v>
      </c>
      <c r="B838" s="15" t="s">
        <v>600</v>
      </c>
      <c r="C838" s="15" t="s">
        <v>487</v>
      </c>
      <c r="D838" s="15" t="s">
        <v>878</v>
      </c>
      <c r="E838" s="15" t="s">
        <v>75</v>
      </c>
      <c r="G838" s="10" t="n">
        <v>1</v>
      </c>
      <c r="H838" s="21" t="n">
        <v>46035.5717708333</v>
      </c>
      <c r="I838" s="15" t="s">
        <v>2896</v>
      </c>
      <c r="J838" s="15" t="s">
        <v>2896</v>
      </c>
      <c r="K838" s="15"/>
      <c r="L838" s="10" t="n">
        <f aca="false">COUNTIF($E$2:E838,E838)</f>
        <v>5</v>
      </c>
      <c r="M838" s="10" t="e">
        <f aca="false">ifs(L838=1, L838&amp;"-"&amp; COUNTIFS($L$2:L838,1))</f>
        <v>#NAME?</v>
      </c>
      <c r="N838" s="15" t="s">
        <v>603</v>
      </c>
      <c r="O838" s="10"/>
      <c r="P838" s="22" t="n">
        <f aca="false">COUNTIFS(C:C,C838,N:N,"Đã xác nhận")/COUNTIFS(C:C,C838)</f>
        <v>1</v>
      </c>
      <c r="Q838" s="22"/>
      <c r="R838" s="0" t="s">
        <v>768</v>
      </c>
      <c r="S838" s="0" t="s">
        <v>560</v>
      </c>
      <c r="U838" s="24" t="n">
        <v>1</v>
      </c>
    </row>
    <row r="839" customFormat="false" ht="12.75" hidden="false" customHeight="false" outlineLevel="0" collapsed="false">
      <c r="A839" s="15" t="s">
        <v>2897</v>
      </c>
      <c r="B839" s="15" t="s">
        <v>600</v>
      </c>
      <c r="C839" s="15" t="s">
        <v>487</v>
      </c>
      <c r="D839" s="15" t="s">
        <v>2732</v>
      </c>
      <c r="E839" s="15" t="s">
        <v>79</v>
      </c>
      <c r="G839" s="10" t="n">
        <v>2</v>
      </c>
      <c r="H839" s="21" t="n">
        <v>46035.5718634259</v>
      </c>
      <c r="I839" s="15" t="s">
        <v>2898</v>
      </c>
      <c r="J839" s="15" t="s">
        <v>2898</v>
      </c>
      <c r="K839" s="15"/>
      <c r="L839" s="10" t="n">
        <f aca="false">COUNTIF($E$2:E839,E839)</f>
        <v>10</v>
      </c>
      <c r="M839" s="10" t="e">
        <f aca="false">ifs(L839=1, L839&amp;"-"&amp; COUNTIFS($L$2:L839,1))</f>
        <v>#NAME?</v>
      </c>
      <c r="N839" s="15" t="s">
        <v>603</v>
      </c>
      <c r="O839" s="10"/>
      <c r="P839" s="22" t="n">
        <f aca="false">COUNTIFS(C:C,C839,N:N,"Đã xác nhận")/COUNTIFS(C:C,C839)</f>
        <v>1</v>
      </c>
      <c r="Q839" s="22"/>
      <c r="R839" s="0" t="s">
        <v>2734</v>
      </c>
      <c r="S839" s="0" t="s">
        <v>564</v>
      </c>
      <c r="U839" s="24" t="n">
        <v>2</v>
      </c>
    </row>
    <row r="840" customFormat="false" ht="12.75" hidden="false" customHeight="false" outlineLevel="0" collapsed="false">
      <c r="A840" s="15" t="s">
        <v>2899</v>
      </c>
      <c r="B840" s="15" t="s">
        <v>600</v>
      </c>
      <c r="C840" s="15" t="s">
        <v>488</v>
      </c>
      <c r="D840" s="15" t="s">
        <v>878</v>
      </c>
      <c r="E840" s="15" t="s">
        <v>555</v>
      </c>
      <c r="G840" s="10" t="n">
        <v>2</v>
      </c>
      <c r="H840" s="21" t="n">
        <v>46035.6866435185</v>
      </c>
      <c r="I840" s="15" t="s">
        <v>2900</v>
      </c>
      <c r="J840" s="15" t="s">
        <v>2900</v>
      </c>
      <c r="K840" s="15"/>
      <c r="L840" s="10" t="n">
        <f aca="false">COUNTIF($E$2:E840,E840)</f>
        <v>24</v>
      </c>
      <c r="M840" s="10" t="e">
        <f aca="false">ifs(L840=1, L840&amp;"-"&amp; COUNTIFS($L$2:L840,1))</f>
        <v>#NAME?</v>
      </c>
      <c r="N840" s="15" t="s">
        <v>603</v>
      </c>
      <c r="O840" s="10"/>
      <c r="P840" s="22" t="n">
        <f aca="false">COUNTIFS(C:C,C840,N:N,"Đã xác nhận")/COUNTIFS(C:C,C840)</f>
        <v>1</v>
      </c>
      <c r="Q840" s="22"/>
      <c r="R840" s="0" t="s">
        <v>768</v>
      </c>
      <c r="S840" s="0" t="s">
        <v>556</v>
      </c>
      <c r="U840" s="24" t="n">
        <v>2</v>
      </c>
    </row>
    <row r="841" customFormat="false" ht="12.75" hidden="false" customHeight="false" outlineLevel="0" collapsed="false">
      <c r="A841" s="15" t="s">
        <v>2901</v>
      </c>
      <c r="B841" s="15" t="s">
        <v>600</v>
      </c>
      <c r="C841" s="15" t="s">
        <v>488</v>
      </c>
      <c r="D841" s="15" t="s">
        <v>878</v>
      </c>
      <c r="E841" s="15" t="s">
        <v>565</v>
      </c>
      <c r="G841" s="10" t="n">
        <v>1</v>
      </c>
      <c r="H841" s="21" t="n">
        <v>46078.3774074074</v>
      </c>
      <c r="I841" s="15" t="s">
        <v>2902</v>
      </c>
      <c r="J841" s="15" t="s">
        <v>2902</v>
      </c>
      <c r="K841" s="15"/>
      <c r="L841" s="10" t="n">
        <f aca="false">COUNTIF($E$2:E841,E841)</f>
        <v>15</v>
      </c>
      <c r="M841" s="10" t="e">
        <f aca="false">ifs(L841=1, L841&amp;"-"&amp; COUNTIFS($L$2:L841,1))</f>
        <v>#NAME?</v>
      </c>
      <c r="N841" s="15" t="s">
        <v>603</v>
      </c>
      <c r="O841" s="10"/>
      <c r="P841" s="22" t="n">
        <f aca="false">COUNTIFS(C:C,C841,N:N,"Đã xác nhận")/COUNTIFS(C:C,C841)</f>
        <v>1</v>
      </c>
      <c r="Q841" s="22"/>
      <c r="R841" s="0" t="s">
        <v>768</v>
      </c>
      <c r="S841" s="0" t="s">
        <v>566</v>
      </c>
      <c r="U841" s="24" t="n">
        <v>1</v>
      </c>
    </row>
    <row r="842" customFormat="false" ht="12.75" hidden="false" customHeight="false" outlineLevel="0" collapsed="false">
      <c r="A842" s="15" t="s">
        <v>2903</v>
      </c>
      <c r="B842" s="15" t="s">
        <v>600</v>
      </c>
      <c r="C842" s="15" t="s">
        <v>488</v>
      </c>
      <c r="D842" s="15" t="s">
        <v>878</v>
      </c>
      <c r="E842" s="15" t="s">
        <v>545</v>
      </c>
      <c r="G842" s="10" t="n">
        <v>2</v>
      </c>
      <c r="H842" s="21" t="n">
        <v>46035.686875</v>
      </c>
      <c r="I842" s="15" t="s">
        <v>2904</v>
      </c>
      <c r="J842" s="15" t="s">
        <v>2904</v>
      </c>
      <c r="K842" s="15"/>
      <c r="L842" s="10" t="n">
        <f aca="false">COUNTIF($E$2:E842,E842)</f>
        <v>21</v>
      </c>
      <c r="M842" s="10" t="e">
        <f aca="false">ifs(L842=1, L842&amp;"-"&amp; COUNTIFS($L$2:L842,1))</f>
        <v>#NAME?</v>
      </c>
      <c r="N842" s="15" t="s">
        <v>603</v>
      </c>
      <c r="O842" s="10"/>
      <c r="P842" s="22" t="n">
        <f aca="false">COUNTIFS(C:C,C842,N:N,"Đã xác nhận")/COUNTIFS(C:C,C842)</f>
        <v>1</v>
      </c>
      <c r="Q842" s="22"/>
      <c r="R842" s="0" t="s">
        <v>768</v>
      </c>
      <c r="S842" s="0" t="s">
        <v>546</v>
      </c>
      <c r="U842" s="24" t="n">
        <v>2</v>
      </c>
    </row>
    <row r="843" customFormat="false" ht="12.75" hidden="false" customHeight="false" outlineLevel="0" collapsed="false">
      <c r="A843" s="15" t="s">
        <v>2905</v>
      </c>
      <c r="B843" s="15" t="s">
        <v>600</v>
      </c>
      <c r="C843" s="15" t="s">
        <v>488</v>
      </c>
      <c r="D843" s="15" t="s">
        <v>878</v>
      </c>
      <c r="E843" s="15" t="s">
        <v>578</v>
      </c>
      <c r="G843" s="10" t="n">
        <v>1</v>
      </c>
      <c r="H843" s="21" t="n">
        <v>46035.6869444444</v>
      </c>
      <c r="I843" s="15" t="s">
        <v>2906</v>
      </c>
      <c r="J843" s="15" t="s">
        <v>2906</v>
      </c>
      <c r="K843" s="15"/>
      <c r="L843" s="10" t="n">
        <f aca="false">COUNTIF($E$2:E843,E843)</f>
        <v>2</v>
      </c>
      <c r="M843" s="10" t="e">
        <f aca="false">ifs(L843=1, L843&amp;"-"&amp; COUNTIFS($L$2:L843,1))</f>
        <v>#NAME?</v>
      </c>
      <c r="N843" s="15" t="s">
        <v>603</v>
      </c>
      <c r="O843" s="10"/>
      <c r="P843" s="22" t="n">
        <f aca="false">COUNTIFS(C:C,C843,N:N,"Đã xác nhận")/COUNTIFS(C:C,C843)</f>
        <v>1</v>
      </c>
      <c r="Q843" s="22"/>
      <c r="R843" s="0" t="s">
        <v>768</v>
      </c>
      <c r="S843" s="0" t="s">
        <v>579</v>
      </c>
      <c r="U843" s="24" t="n">
        <v>1</v>
      </c>
    </row>
    <row r="844" customFormat="false" ht="12.75" hidden="false" customHeight="false" outlineLevel="0" collapsed="false">
      <c r="A844" s="15" t="s">
        <v>2907</v>
      </c>
      <c r="B844" s="15" t="s">
        <v>600</v>
      </c>
      <c r="C844" s="15" t="s">
        <v>488</v>
      </c>
      <c r="D844" s="15" t="s">
        <v>878</v>
      </c>
      <c r="E844" s="15" t="s">
        <v>570</v>
      </c>
      <c r="G844" s="10" t="n">
        <v>1</v>
      </c>
      <c r="H844" s="21" t="n">
        <v>46035.6870138889</v>
      </c>
      <c r="I844" s="15" t="s">
        <v>2908</v>
      </c>
      <c r="J844" s="15" t="s">
        <v>2908</v>
      </c>
      <c r="K844" s="15"/>
      <c r="L844" s="10" t="n">
        <f aca="false">COUNTIF($E$2:E844,E844)</f>
        <v>13</v>
      </c>
      <c r="M844" s="10" t="e">
        <f aca="false">ifs(L844=1, L844&amp;"-"&amp; COUNTIFS($L$2:L844,1))</f>
        <v>#NAME?</v>
      </c>
      <c r="N844" s="15" t="s">
        <v>603</v>
      </c>
      <c r="O844" s="10"/>
      <c r="P844" s="22" t="n">
        <f aca="false">COUNTIFS(C:C,C844,N:N,"Đã xác nhận")/COUNTIFS(C:C,C844)</f>
        <v>1</v>
      </c>
      <c r="Q844" s="22"/>
      <c r="R844" s="0" t="s">
        <v>768</v>
      </c>
      <c r="S844" s="0" t="s">
        <v>571</v>
      </c>
      <c r="U844" s="24" t="n">
        <v>1</v>
      </c>
    </row>
    <row r="845" customFormat="false" ht="12.75" hidden="false" customHeight="false" outlineLevel="0" collapsed="false">
      <c r="A845" s="15" t="s">
        <v>2909</v>
      </c>
      <c r="B845" s="15" t="s">
        <v>600</v>
      </c>
      <c r="C845" s="15" t="s">
        <v>488</v>
      </c>
      <c r="D845" s="15" t="s">
        <v>878</v>
      </c>
      <c r="E845" s="15" t="s">
        <v>11</v>
      </c>
      <c r="G845" s="10" t="n">
        <v>1</v>
      </c>
      <c r="H845" s="21" t="n">
        <v>46035.6870717593</v>
      </c>
      <c r="I845" s="15" t="s">
        <v>2910</v>
      </c>
      <c r="J845" s="15" t="s">
        <v>2910</v>
      </c>
      <c r="K845" s="15"/>
      <c r="L845" s="10" t="n">
        <f aca="false">COUNTIF($E$2:E845,E845)</f>
        <v>10</v>
      </c>
      <c r="M845" s="10" t="e">
        <f aca="false">ifs(L845=1, L845&amp;"-"&amp; COUNTIFS($L$2:L845,1))</f>
        <v>#NAME?</v>
      </c>
      <c r="N845" s="15" t="s">
        <v>603</v>
      </c>
      <c r="O845" s="10"/>
      <c r="P845" s="22" t="n">
        <f aca="false">COUNTIFS(C:C,C845,N:N,"Đã xác nhận")/COUNTIFS(C:C,C845)</f>
        <v>1</v>
      </c>
      <c r="Q845" s="22"/>
      <c r="R845" s="0" t="s">
        <v>768</v>
      </c>
      <c r="S845" s="0" t="s">
        <v>572</v>
      </c>
      <c r="U845" s="24" t="n">
        <v>1</v>
      </c>
    </row>
    <row r="846" customFormat="false" ht="12.75" hidden="false" customHeight="false" outlineLevel="0" collapsed="false">
      <c r="A846" s="15" t="s">
        <v>2911</v>
      </c>
      <c r="B846" s="15" t="s">
        <v>600</v>
      </c>
      <c r="C846" s="15" t="s">
        <v>488</v>
      </c>
      <c r="D846" s="15" t="s">
        <v>766</v>
      </c>
      <c r="E846" s="15" t="s">
        <v>543</v>
      </c>
      <c r="G846" s="10" t="n">
        <v>3</v>
      </c>
      <c r="H846" s="21" t="n">
        <v>46035.6871296296</v>
      </c>
      <c r="I846" s="15" t="s">
        <v>2912</v>
      </c>
      <c r="J846" s="15" t="s">
        <v>2912</v>
      </c>
      <c r="K846" s="15"/>
      <c r="L846" s="10" t="n">
        <f aca="false">COUNTIF($E$2:E846,E846)</f>
        <v>22</v>
      </c>
      <c r="M846" s="10" t="e">
        <f aca="false">ifs(L846=1, L846&amp;"-"&amp; COUNTIFS($L$2:L846,1))</f>
        <v>#NAME?</v>
      </c>
      <c r="N846" s="15" t="s">
        <v>603</v>
      </c>
      <c r="O846" s="10"/>
      <c r="P846" s="22" t="n">
        <f aca="false">COUNTIFS(C:C,C846,N:N,"Đã xác nhận")/COUNTIFS(C:C,C846)</f>
        <v>1</v>
      </c>
      <c r="Q846" s="22"/>
      <c r="R846" s="0" t="s">
        <v>768</v>
      </c>
      <c r="S846" s="0" t="s">
        <v>544</v>
      </c>
      <c r="U846" s="24" t="n">
        <v>3</v>
      </c>
    </row>
    <row r="847" customFormat="false" ht="12.75" hidden="false" customHeight="false" outlineLevel="0" collapsed="false">
      <c r="A847" s="15" t="s">
        <v>2913</v>
      </c>
      <c r="B847" s="15" t="s">
        <v>600</v>
      </c>
      <c r="C847" s="15" t="s">
        <v>488</v>
      </c>
      <c r="D847" s="15" t="s">
        <v>766</v>
      </c>
      <c r="E847" s="15" t="s">
        <v>65</v>
      </c>
      <c r="G847" s="10" t="n">
        <v>1</v>
      </c>
      <c r="H847" s="21" t="n">
        <v>46035.6871990741</v>
      </c>
      <c r="I847" s="15" t="s">
        <v>2914</v>
      </c>
      <c r="J847" s="15" t="s">
        <v>2914</v>
      </c>
      <c r="K847" s="15"/>
      <c r="L847" s="10" t="n">
        <f aca="false">COUNTIF($E$2:E847,E847)</f>
        <v>4</v>
      </c>
      <c r="M847" s="10" t="e">
        <f aca="false">ifs(L847=1, L847&amp;"-"&amp; COUNTIFS($L$2:L847,1))</f>
        <v>#NAME?</v>
      </c>
      <c r="N847" s="15" t="s">
        <v>603</v>
      </c>
      <c r="O847" s="10"/>
      <c r="P847" s="22" t="n">
        <f aca="false">COUNTIFS(C:C,C847,N:N,"Đã xác nhận")/COUNTIFS(C:C,C847)</f>
        <v>1</v>
      </c>
      <c r="Q847" s="22"/>
      <c r="R847" s="0" t="s">
        <v>768</v>
      </c>
      <c r="S847" s="0" t="s">
        <v>580</v>
      </c>
      <c r="U847" s="24" t="n">
        <v>1</v>
      </c>
    </row>
    <row r="848" customFormat="false" ht="12.75" hidden="false" customHeight="false" outlineLevel="0" collapsed="false">
      <c r="A848" s="15" t="s">
        <v>2915</v>
      </c>
      <c r="B848" s="15" t="s">
        <v>600</v>
      </c>
      <c r="C848" s="15" t="s">
        <v>488</v>
      </c>
      <c r="D848" s="15" t="s">
        <v>766</v>
      </c>
      <c r="E848" s="15" t="s">
        <v>91</v>
      </c>
      <c r="G848" s="10" t="n">
        <v>2</v>
      </c>
      <c r="H848" s="21" t="n">
        <v>46035.6872800926</v>
      </c>
      <c r="I848" s="15" t="s">
        <v>2916</v>
      </c>
      <c r="J848" s="15" t="s">
        <v>2916</v>
      </c>
      <c r="K848" s="15"/>
      <c r="L848" s="10" t="n">
        <f aca="false">COUNTIF($E$2:E848,E848)</f>
        <v>5</v>
      </c>
      <c r="M848" s="10" t="e">
        <f aca="false">ifs(L848=1, L848&amp;"-"&amp; COUNTIFS($L$2:L848,1))</f>
        <v>#NAME?</v>
      </c>
      <c r="N848" s="15" t="s">
        <v>603</v>
      </c>
      <c r="O848" s="10"/>
      <c r="P848" s="22" t="n">
        <f aca="false">COUNTIFS(C:C,C848,N:N,"Đã xác nhận")/COUNTIFS(C:C,C848)</f>
        <v>1</v>
      </c>
      <c r="Q848" s="22"/>
      <c r="R848" s="0" t="s">
        <v>768</v>
      </c>
      <c r="S848" s="0" t="s">
        <v>91</v>
      </c>
      <c r="U848" s="24" t="n">
        <v>2</v>
      </c>
    </row>
    <row r="849" customFormat="false" ht="12.75" hidden="false" customHeight="false" outlineLevel="0" collapsed="false">
      <c r="A849" s="15" t="s">
        <v>2917</v>
      </c>
      <c r="B849" s="15" t="s">
        <v>600</v>
      </c>
      <c r="C849" s="15" t="s">
        <v>488</v>
      </c>
      <c r="D849" s="15" t="s">
        <v>766</v>
      </c>
      <c r="E849" s="15" t="s">
        <v>33</v>
      </c>
      <c r="G849" s="10" t="n">
        <v>3</v>
      </c>
      <c r="H849" s="21" t="n">
        <v>46035.6874421296</v>
      </c>
      <c r="I849" s="15" t="s">
        <v>2918</v>
      </c>
      <c r="J849" s="15" t="s">
        <v>2918</v>
      </c>
      <c r="K849" s="15"/>
      <c r="L849" s="10" t="n">
        <f aca="false">COUNTIF($E$2:E849,E849)</f>
        <v>50</v>
      </c>
      <c r="M849" s="10" t="e">
        <f aca="false">ifs(L849=1, L849&amp;"-"&amp; COUNTIFS($L$2:L849,1))</f>
        <v>#NAME?</v>
      </c>
      <c r="N849" s="15" t="s">
        <v>603</v>
      </c>
      <c r="O849" s="10"/>
      <c r="P849" s="22" t="n">
        <f aca="false">COUNTIFS(C:C,C849,N:N,"Đã xác nhận")/COUNTIFS(C:C,C849)</f>
        <v>1</v>
      </c>
      <c r="Q849" s="22"/>
      <c r="R849" s="0" t="s">
        <v>768</v>
      </c>
      <c r="S849" s="0" t="s">
        <v>536</v>
      </c>
      <c r="U849" s="24" t="n">
        <v>3</v>
      </c>
    </row>
    <row r="850" customFormat="false" ht="12.75" hidden="false" customHeight="false" outlineLevel="0" collapsed="false">
      <c r="A850" s="15" t="s">
        <v>2919</v>
      </c>
      <c r="B850" s="15"/>
      <c r="C850" s="15"/>
      <c r="D850" s="15"/>
      <c r="E850" s="15"/>
      <c r="G850" s="10" t="n">
        <v>0</v>
      </c>
      <c r="H850" s="21" t="n">
        <v>46080.4963310185</v>
      </c>
      <c r="I850" s="15" t="s">
        <v>2920</v>
      </c>
      <c r="J850" s="15" t="s">
        <v>695</v>
      </c>
      <c r="K850" s="15" t="s">
        <v>2921</v>
      </c>
      <c r="L850" s="10" t="n">
        <f aca="false">COUNTIF($E$2:E850,E850)</f>
        <v>0</v>
      </c>
      <c r="M850" s="10" t="e">
        <f aca="false">ifs(L850=1, L850&amp;"-"&amp; COUNTIFS($L$2:L850,1))</f>
        <v>#NAME?</v>
      </c>
      <c r="N850" s="15"/>
      <c r="O850" s="10"/>
      <c r="P850" s="22" t="e">
        <f aca="false">COUNTIFS(C:C,C850,N:N,"Đã xác nhận")/COUNTIFS(C:C,C850)</f>
        <v>#DIV/0!</v>
      </c>
      <c r="Q850" s="22"/>
      <c r="R850" s="0" t="e">
        <f aca="false">#VALUE!</f>
        <v>#VALUE!</v>
      </c>
      <c r="S850" s="0" t="e">
        <f aca="false">#VALUE!</f>
        <v>#VALUE!</v>
      </c>
      <c r="U850" s="24" t="n">
        <v>0</v>
      </c>
    </row>
    <row r="851" customFormat="false" ht="12.75" hidden="false" customHeight="false" outlineLevel="0" collapsed="false">
      <c r="A851" s="15" t="s">
        <v>2922</v>
      </c>
      <c r="B851" s="15"/>
      <c r="C851" s="15"/>
      <c r="D851" s="15"/>
      <c r="E851" s="15"/>
      <c r="G851" s="10" t="n">
        <v>0</v>
      </c>
      <c r="H851" s="21" t="n">
        <v>46080.4964236111</v>
      </c>
      <c r="I851" s="15" t="s">
        <v>2923</v>
      </c>
      <c r="J851" s="15" t="s">
        <v>695</v>
      </c>
      <c r="K851" s="15" t="s">
        <v>2924</v>
      </c>
      <c r="L851" s="10" t="n">
        <f aca="false">COUNTIF($E$2:E851,E851)</f>
        <v>0</v>
      </c>
      <c r="M851" s="10" t="e">
        <f aca="false">ifs(L851=1, L851&amp;"-"&amp; COUNTIFS($L$2:L851,1))</f>
        <v>#NAME?</v>
      </c>
      <c r="N851" s="15"/>
      <c r="O851" s="10"/>
      <c r="P851" s="22" t="e">
        <f aca="false">COUNTIFS(C:C,C851,N:N,"Đã xác nhận")/COUNTIFS(C:C,C851)</f>
        <v>#DIV/0!</v>
      </c>
      <c r="Q851" s="22"/>
      <c r="R851" s="0" t="e">
        <f aca="false">#VALUE!</f>
        <v>#VALUE!</v>
      </c>
      <c r="S851" s="0" t="e">
        <f aca="false">#VALUE!</f>
        <v>#VALUE!</v>
      </c>
      <c r="U851" s="24" t="n">
        <v>0</v>
      </c>
    </row>
    <row r="852" customFormat="false" ht="12.75" hidden="false" customHeight="false" outlineLevel="0" collapsed="false">
      <c r="A852" s="15" t="s">
        <v>2925</v>
      </c>
      <c r="B852" s="15" t="s">
        <v>600</v>
      </c>
      <c r="C852" s="15" t="s">
        <v>488</v>
      </c>
      <c r="D852" s="15" t="s">
        <v>878</v>
      </c>
      <c r="E852" s="15" t="s">
        <v>75</v>
      </c>
      <c r="G852" s="10" t="n">
        <v>1</v>
      </c>
      <c r="H852" s="21" t="n">
        <v>46035.6878356482</v>
      </c>
      <c r="I852" s="15" t="s">
        <v>2926</v>
      </c>
      <c r="J852" s="15" t="s">
        <v>2926</v>
      </c>
      <c r="K852" s="15"/>
      <c r="L852" s="10" t="n">
        <f aca="false">COUNTIF($E$2:E852,E852)</f>
        <v>6</v>
      </c>
      <c r="M852" s="10" t="e">
        <f aca="false">ifs(L852=1, L852&amp;"-"&amp; COUNTIFS($L$2:L852,1))</f>
        <v>#NAME?</v>
      </c>
      <c r="N852" s="15" t="s">
        <v>603</v>
      </c>
      <c r="O852" s="10"/>
      <c r="P852" s="22" t="n">
        <f aca="false">COUNTIFS(C:C,C852,N:N,"Đã xác nhận")/COUNTIFS(C:C,C852)</f>
        <v>1</v>
      </c>
      <c r="Q852" s="22"/>
      <c r="R852" s="0" t="s">
        <v>768</v>
      </c>
      <c r="S852" s="0" t="s">
        <v>560</v>
      </c>
      <c r="U852" s="24" t="n">
        <v>1</v>
      </c>
    </row>
    <row r="853" customFormat="false" ht="12.75" hidden="false" customHeight="false" outlineLevel="0" collapsed="false">
      <c r="A853" s="15" t="s">
        <v>2927</v>
      </c>
      <c r="B853" s="15" t="s">
        <v>600</v>
      </c>
      <c r="C853" s="15" t="s">
        <v>488</v>
      </c>
      <c r="D853" s="15" t="s">
        <v>2732</v>
      </c>
      <c r="E853" s="15" t="s">
        <v>79</v>
      </c>
      <c r="G853" s="10" t="n">
        <v>2</v>
      </c>
      <c r="H853" s="21" t="n">
        <v>46035.6878935185</v>
      </c>
      <c r="I853" s="15" t="s">
        <v>2928</v>
      </c>
      <c r="J853" s="15" t="s">
        <v>2928</v>
      </c>
      <c r="K853" s="15"/>
      <c r="L853" s="10" t="n">
        <f aca="false">COUNTIF($E$2:E853,E853)</f>
        <v>11</v>
      </c>
      <c r="M853" s="10" t="e">
        <f aca="false">ifs(L853=1, L853&amp;"-"&amp; COUNTIFS($L$2:L853,1))</f>
        <v>#NAME?</v>
      </c>
      <c r="N853" s="15" t="s">
        <v>603</v>
      </c>
      <c r="O853" s="10"/>
      <c r="P853" s="22" t="n">
        <f aca="false">COUNTIFS(C:C,C853,N:N,"Đã xác nhận")/COUNTIFS(C:C,C853)</f>
        <v>1</v>
      </c>
      <c r="Q853" s="22"/>
      <c r="R853" s="0" t="s">
        <v>2734</v>
      </c>
      <c r="S853" s="0" t="s">
        <v>564</v>
      </c>
      <c r="U853" s="24" t="n">
        <v>2</v>
      </c>
    </row>
    <row r="854" customFormat="false" ht="12.75" hidden="false" customHeight="false" outlineLevel="0" collapsed="false">
      <c r="A854" s="15" t="s">
        <v>2929</v>
      </c>
      <c r="B854" s="15" t="s">
        <v>600</v>
      </c>
      <c r="C854" s="15" t="s">
        <v>488</v>
      </c>
      <c r="D854" s="15" t="s">
        <v>1224</v>
      </c>
      <c r="E854" s="15" t="s">
        <v>81</v>
      </c>
      <c r="G854" s="10" t="n">
        <v>10</v>
      </c>
      <c r="H854" s="21" t="n">
        <v>46035.6879513889</v>
      </c>
      <c r="I854" s="15" t="s">
        <v>2930</v>
      </c>
      <c r="J854" s="15" t="s">
        <v>2930</v>
      </c>
      <c r="K854" s="15"/>
      <c r="L854" s="10" t="n">
        <f aca="false">COUNTIF($E$2:E854,E854)</f>
        <v>174</v>
      </c>
      <c r="M854" s="10" t="e">
        <f aca="false">ifs(L854=1, L854&amp;"-"&amp; COUNTIFS($L$2:L854,1))</f>
        <v>#NAME?</v>
      </c>
      <c r="N854" s="15" t="s">
        <v>603</v>
      </c>
      <c r="O854" s="10"/>
      <c r="P854" s="22" t="n">
        <f aca="false">COUNTIFS(C:C,C854,N:N,"Đã xác nhận")/COUNTIFS(C:C,C854)</f>
        <v>1</v>
      </c>
      <c r="Q854" s="22"/>
      <c r="R854" s="0" t="s">
        <v>1226</v>
      </c>
      <c r="S854" s="0" t="s">
        <v>534</v>
      </c>
      <c r="U854" s="24" t="n">
        <v>10</v>
      </c>
    </row>
    <row r="855" customFormat="false" ht="12.75" hidden="false" customHeight="false" outlineLevel="0" collapsed="false">
      <c r="A855" s="15" t="s">
        <v>2931</v>
      </c>
      <c r="B855" s="15" t="s">
        <v>600</v>
      </c>
      <c r="C855" s="15" t="s">
        <v>488</v>
      </c>
      <c r="D855" s="15" t="s">
        <v>673</v>
      </c>
      <c r="E855" s="15" t="s">
        <v>77</v>
      </c>
      <c r="G855" s="10" t="n">
        <v>3</v>
      </c>
      <c r="H855" s="21" t="n">
        <v>46035.6880208333</v>
      </c>
      <c r="I855" s="15" t="s">
        <v>2932</v>
      </c>
      <c r="J855" s="15" t="s">
        <v>2932</v>
      </c>
      <c r="K855" s="15"/>
      <c r="L855" s="10" t="n">
        <f aca="false">COUNTIF($E$2:E855,E855)</f>
        <v>31</v>
      </c>
      <c r="M855" s="10" t="e">
        <f aca="false">ifs(L855=1, L855&amp;"-"&amp; COUNTIFS($L$2:L855,1))</f>
        <v>#NAME?</v>
      </c>
      <c r="N855" s="15" t="s">
        <v>603</v>
      </c>
      <c r="O855" s="10"/>
      <c r="P855" s="22" t="n">
        <f aca="false">COUNTIFS(C:C,C855,N:N,"Đã xác nhận")/COUNTIFS(C:C,C855)</f>
        <v>1</v>
      </c>
      <c r="Q855" s="22"/>
      <c r="R855" s="0" t="s">
        <v>675</v>
      </c>
      <c r="S855" s="0" t="s">
        <v>78</v>
      </c>
      <c r="U855" s="24" t="n">
        <v>3</v>
      </c>
    </row>
    <row r="856" customFormat="false" ht="12.75" hidden="false" customHeight="false" outlineLevel="0" collapsed="false">
      <c r="A856" s="15" t="s">
        <v>2933</v>
      </c>
      <c r="B856" s="15" t="s">
        <v>2687</v>
      </c>
      <c r="C856" s="15" t="s">
        <v>472</v>
      </c>
      <c r="D856" s="15" t="s">
        <v>2688</v>
      </c>
      <c r="E856" s="15" t="s">
        <v>25</v>
      </c>
      <c r="G856" s="10" t="n">
        <v>3</v>
      </c>
      <c r="H856" s="21" t="n">
        <v>46044.6457638889</v>
      </c>
      <c r="I856" s="15" t="s">
        <v>2934</v>
      </c>
      <c r="J856" s="15" t="s">
        <v>2934</v>
      </c>
      <c r="K856" s="15"/>
      <c r="L856" s="10" t="n">
        <f aca="false">COUNTIF($E$2:E856,E856)</f>
        <v>14</v>
      </c>
      <c r="M856" s="10" t="e">
        <f aca="false">ifs(L856=1, L856&amp;"-"&amp; COUNTIFS($L$2:L856,1))</f>
        <v>#NAME?</v>
      </c>
      <c r="N856" s="15" t="s">
        <v>603</v>
      </c>
      <c r="O856" s="10"/>
      <c r="P856" s="22" t="n">
        <f aca="false">COUNTIFS(C:C,C856,N:N,"Đã xác nhận")/COUNTIFS(C:C,C856)</f>
        <v>1</v>
      </c>
      <c r="Q856" s="22"/>
      <c r="R856" s="0" t="s">
        <v>2688</v>
      </c>
      <c r="S856" s="0" t="s">
        <v>26</v>
      </c>
      <c r="U856" s="24" t="n">
        <v>3</v>
      </c>
    </row>
    <row r="857" customFormat="false" ht="12.75" hidden="false" customHeight="false" outlineLevel="0" collapsed="false">
      <c r="A857" s="15" t="s">
        <v>2935</v>
      </c>
      <c r="B857" s="15" t="s">
        <v>2304</v>
      </c>
      <c r="C857" s="15" t="s">
        <v>509</v>
      </c>
      <c r="D857" s="15" t="s">
        <v>611</v>
      </c>
      <c r="E857" s="15" t="s">
        <v>69</v>
      </c>
      <c r="G857" s="10" t="n">
        <v>1</v>
      </c>
      <c r="H857" s="21" t="n">
        <v>46078.6892592593</v>
      </c>
      <c r="I857" s="15" t="s">
        <v>2936</v>
      </c>
      <c r="J857" s="15" t="s">
        <v>2936</v>
      </c>
      <c r="K857" s="15"/>
      <c r="L857" s="10" t="n">
        <f aca="false">COUNTIF($E$2:E857,E857)</f>
        <v>90</v>
      </c>
      <c r="M857" s="10" t="e">
        <f aca="false">ifs(L857=1, L857&amp;"-"&amp; COUNTIFS($L$2:L857,1))</f>
        <v>#NAME?</v>
      </c>
      <c r="N857" s="15" t="s">
        <v>603</v>
      </c>
      <c r="O857" s="10"/>
      <c r="P857" s="22" t="n">
        <f aca="false">COUNTIFS(C:C,C857,N:N,"Đã xác nhận")/COUNTIFS(C:C,C857)</f>
        <v>1</v>
      </c>
      <c r="Q857" s="22"/>
      <c r="R857" s="0" t="s">
        <v>613</v>
      </c>
      <c r="S857" s="0" t="s">
        <v>535</v>
      </c>
      <c r="U857" s="24" t="n">
        <v>1</v>
      </c>
    </row>
    <row r="858" customFormat="false" ht="12.75" hidden="false" customHeight="false" outlineLevel="0" collapsed="false">
      <c r="A858" s="15" t="s">
        <v>2937</v>
      </c>
      <c r="B858" s="15" t="s">
        <v>2304</v>
      </c>
      <c r="C858" s="15" t="s">
        <v>509</v>
      </c>
      <c r="D858" s="15" t="s">
        <v>611</v>
      </c>
      <c r="E858" s="15" t="s">
        <v>33</v>
      </c>
      <c r="G858" s="10" t="n">
        <v>1</v>
      </c>
      <c r="H858" s="21" t="n">
        <v>46078.6891319445</v>
      </c>
      <c r="I858" s="15" t="s">
        <v>2938</v>
      </c>
      <c r="J858" s="15" t="s">
        <v>2938</v>
      </c>
      <c r="K858" s="15"/>
      <c r="L858" s="10" t="n">
        <f aca="false">COUNTIF($E$2:E858,E858)</f>
        <v>51</v>
      </c>
      <c r="M858" s="10" t="e">
        <f aca="false">ifs(L858=1, L858&amp;"-"&amp; COUNTIFS($L$2:L858,1))</f>
        <v>#NAME?</v>
      </c>
      <c r="N858" s="15" t="s">
        <v>603</v>
      </c>
      <c r="O858" s="10"/>
      <c r="P858" s="22" t="n">
        <f aca="false">COUNTIFS(C:C,C858,N:N,"Đã xác nhận")/COUNTIFS(C:C,C858)</f>
        <v>1</v>
      </c>
      <c r="Q858" s="22"/>
      <c r="R858" s="0" t="s">
        <v>613</v>
      </c>
      <c r="S858" s="0" t="s">
        <v>536</v>
      </c>
      <c r="U858" s="24" t="n">
        <v>1</v>
      </c>
    </row>
    <row r="859" customFormat="false" ht="12.75" hidden="false" customHeight="false" outlineLevel="0" collapsed="false">
      <c r="A859" s="15" t="s">
        <v>2939</v>
      </c>
      <c r="B859" s="15" t="s">
        <v>2852</v>
      </c>
      <c r="C859" s="15" t="s">
        <v>499</v>
      </c>
      <c r="D859" s="15" t="s">
        <v>878</v>
      </c>
      <c r="E859" s="15" t="s">
        <v>543</v>
      </c>
      <c r="G859" s="10" t="n">
        <v>1</v>
      </c>
      <c r="H859" s="21" t="n">
        <v>46044.6819328704</v>
      </c>
      <c r="I859" s="15" t="s">
        <v>2940</v>
      </c>
      <c r="J859" s="15" t="s">
        <v>2940</v>
      </c>
      <c r="K859" s="15"/>
      <c r="L859" s="10" t="n">
        <f aca="false">COUNTIF($E$2:E859,E859)</f>
        <v>23</v>
      </c>
      <c r="M859" s="10" t="e">
        <f aca="false">ifs(L859=1, L859&amp;"-"&amp; COUNTIFS($L$2:L859,1))</f>
        <v>#NAME?</v>
      </c>
      <c r="N859" s="15" t="s">
        <v>603</v>
      </c>
      <c r="O859" s="10"/>
      <c r="P859" s="22" t="n">
        <f aca="false">COUNTIFS(C:C,C859,N:N,"Đã xác nhận")/COUNTIFS(C:C,C859)</f>
        <v>1</v>
      </c>
      <c r="Q859" s="22"/>
      <c r="R859" s="0" t="s">
        <v>768</v>
      </c>
      <c r="S859" s="0" t="s">
        <v>544</v>
      </c>
      <c r="U859" s="24" t="n">
        <v>1</v>
      </c>
    </row>
    <row r="860" customFormat="false" ht="12.75" hidden="false" customHeight="false" outlineLevel="0" collapsed="false">
      <c r="A860" s="15" t="s">
        <v>2941</v>
      </c>
      <c r="B860" s="15" t="s">
        <v>2852</v>
      </c>
      <c r="C860" s="15" t="s">
        <v>499</v>
      </c>
      <c r="D860" s="15" t="s">
        <v>766</v>
      </c>
      <c r="E860" s="15" t="s">
        <v>69</v>
      </c>
      <c r="G860" s="10" t="n">
        <v>1</v>
      </c>
      <c r="H860" s="21" t="n">
        <v>46044.6872916667</v>
      </c>
      <c r="I860" s="15" t="s">
        <v>2942</v>
      </c>
      <c r="J860" s="15" t="s">
        <v>2942</v>
      </c>
      <c r="K860" s="15"/>
      <c r="L860" s="10" t="n">
        <f aca="false">COUNTIF($E$2:E860,E860)</f>
        <v>91</v>
      </c>
      <c r="M860" s="10" t="e">
        <f aca="false">ifs(L860=1, L860&amp;"-"&amp; COUNTIFS($L$2:L860,1))</f>
        <v>#NAME?</v>
      </c>
      <c r="N860" s="15" t="s">
        <v>603</v>
      </c>
      <c r="O860" s="10"/>
      <c r="P860" s="22" t="n">
        <f aca="false">COUNTIFS(C:C,C860,N:N,"Đã xác nhận")/COUNTIFS(C:C,C860)</f>
        <v>1</v>
      </c>
      <c r="Q860" s="22"/>
      <c r="R860" s="0" t="s">
        <v>768</v>
      </c>
      <c r="S860" s="0" t="s">
        <v>535</v>
      </c>
      <c r="U860" s="24" t="n">
        <v>1</v>
      </c>
    </row>
    <row r="861" customFormat="false" ht="12.75" hidden="false" customHeight="false" outlineLevel="0" collapsed="false">
      <c r="A861" s="15" t="s">
        <v>2943</v>
      </c>
      <c r="B861" s="15" t="s">
        <v>2852</v>
      </c>
      <c r="C861" s="15" t="s">
        <v>499</v>
      </c>
      <c r="D861" s="15" t="s">
        <v>766</v>
      </c>
      <c r="E861" s="15" t="s">
        <v>33</v>
      </c>
      <c r="G861" s="10" t="n">
        <v>2</v>
      </c>
      <c r="H861" s="21" t="n">
        <v>46044.6820833333</v>
      </c>
      <c r="I861" s="15" t="s">
        <v>2944</v>
      </c>
      <c r="J861" s="15" t="s">
        <v>2944</v>
      </c>
      <c r="K861" s="15"/>
      <c r="L861" s="10" t="n">
        <f aca="false">COUNTIF($E$2:E861,E861)</f>
        <v>52</v>
      </c>
      <c r="M861" s="10" t="e">
        <f aca="false">ifs(L861=1, L861&amp;"-"&amp; COUNTIFS($L$2:L861,1))</f>
        <v>#NAME?</v>
      </c>
      <c r="N861" s="15" t="s">
        <v>603</v>
      </c>
      <c r="O861" s="10"/>
      <c r="P861" s="22" t="n">
        <f aca="false">COUNTIFS(C:C,C861,N:N,"Đã xác nhận")/COUNTIFS(C:C,C861)</f>
        <v>1</v>
      </c>
      <c r="Q861" s="22"/>
      <c r="R861" s="0" t="s">
        <v>768</v>
      </c>
      <c r="S861" s="0" t="s">
        <v>536</v>
      </c>
      <c r="U861" s="24" t="n">
        <v>2</v>
      </c>
    </row>
    <row r="862" customFormat="false" ht="12.75" hidden="false" customHeight="false" outlineLevel="0" collapsed="false">
      <c r="A862" s="15" t="s">
        <v>2945</v>
      </c>
      <c r="B862" s="15" t="s">
        <v>2852</v>
      </c>
      <c r="C862" s="15" t="s">
        <v>499</v>
      </c>
      <c r="D862" s="15" t="s">
        <v>2753</v>
      </c>
      <c r="E862" s="15" t="s">
        <v>55</v>
      </c>
      <c r="G862" s="10" t="n">
        <v>1</v>
      </c>
      <c r="H862" s="21" t="n">
        <v>46044.6884259259</v>
      </c>
      <c r="I862" s="15" t="s">
        <v>2946</v>
      </c>
      <c r="J862" s="15" t="s">
        <v>2946</v>
      </c>
      <c r="K862" s="15"/>
      <c r="L862" s="10" t="n">
        <f aca="false">COUNTIF($E$2:E862,E862)</f>
        <v>89</v>
      </c>
      <c r="M862" s="10" t="e">
        <f aca="false">ifs(L862=1, L862&amp;"-"&amp; COUNTIFS($L$2:L862,1))</f>
        <v>#NAME?</v>
      </c>
      <c r="N862" s="15" t="s">
        <v>603</v>
      </c>
      <c r="O862" s="10"/>
      <c r="P862" s="22" t="n">
        <f aca="false">COUNTIFS(C:C,C862,N:N,"Đã xác nhận")/COUNTIFS(C:C,C862)</f>
        <v>1</v>
      </c>
      <c r="Q862" s="22"/>
      <c r="R862" s="0" t="s">
        <v>2755</v>
      </c>
      <c r="S862" s="0" t="s">
        <v>539</v>
      </c>
      <c r="U862" s="24" t="n">
        <v>1</v>
      </c>
    </row>
    <row r="863" customFormat="false" ht="12.75" hidden="false" customHeight="false" outlineLevel="0" collapsed="false">
      <c r="A863" s="15" t="s">
        <v>2947</v>
      </c>
      <c r="B863" s="15" t="s">
        <v>2852</v>
      </c>
      <c r="C863" s="15" t="s">
        <v>499</v>
      </c>
      <c r="D863" s="15" t="s">
        <v>2753</v>
      </c>
      <c r="E863" s="15" t="s">
        <v>59</v>
      </c>
      <c r="G863" s="10" t="n">
        <v>1</v>
      </c>
      <c r="H863" s="21" t="n">
        <v>46044.6884606482</v>
      </c>
      <c r="I863" s="15" t="s">
        <v>2948</v>
      </c>
      <c r="J863" s="15" t="s">
        <v>2948</v>
      </c>
      <c r="K863" s="15"/>
      <c r="L863" s="10" t="n">
        <f aca="false">COUNTIF($E$2:E863,E863)</f>
        <v>19</v>
      </c>
      <c r="M863" s="10" t="e">
        <f aca="false">ifs(L863=1, L863&amp;"-"&amp; COUNTIFS($L$2:L863,1))</f>
        <v>#NAME?</v>
      </c>
      <c r="N863" s="15" t="s">
        <v>603</v>
      </c>
      <c r="O863" s="10"/>
      <c r="P863" s="22" t="n">
        <f aca="false">COUNTIFS(C:C,C863,N:N,"Đã xác nhận")/COUNTIFS(C:C,C863)</f>
        <v>1</v>
      </c>
      <c r="Q863" s="22"/>
      <c r="R863" s="0" t="s">
        <v>2755</v>
      </c>
      <c r="S863" s="0" t="s">
        <v>562</v>
      </c>
      <c r="U863" s="24" t="n">
        <v>1</v>
      </c>
    </row>
    <row r="864" customFormat="false" ht="12.75" hidden="false" customHeight="false" outlineLevel="0" collapsed="false">
      <c r="A864" s="15" t="s">
        <v>2949</v>
      </c>
      <c r="B864" s="15" t="s">
        <v>2852</v>
      </c>
      <c r="C864" s="15" t="s">
        <v>499</v>
      </c>
      <c r="D864" s="15" t="s">
        <v>2796</v>
      </c>
      <c r="E864" s="15" t="s">
        <v>47</v>
      </c>
      <c r="G864" s="10" t="n">
        <v>1</v>
      </c>
      <c r="H864" s="21" t="n">
        <v>46044.6883912037</v>
      </c>
      <c r="I864" s="15" t="s">
        <v>2950</v>
      </c>
      <c r="J864" s="15" t="s">
        <v>2950</v>
      </c>
      <c r="K864" s="15"/>
      <c r="L864" s="10" t="n">
        <f aca="false">COUNTIF($E$2:E864,E864)</f>
        <v>48</v>
      </c>
      <c r="M864" s="10" t="e">
        <f aca="false">ifs(L864=1, L864&amp;"-"&amp; COUNTIFS($L$2:L864,1))</f>
        <v>#NAME?</v>
      </c>
      <c r="N864" s="15" t="s">
        <v>603</v>
      </c>
      <c r="O864" s="10"/>
      <c r="P864" s="22" t="n">
        <f aca="false">COUNTIFS(C:C,C864,N:N,"Đã xác nhận")/COUNTIFS(C:C,C864)</f>
        <v>1</v>
      </c>
      <c r="Q864" s="22"/>
      <c r="R864" s="0" t="s">
        <v>2798</v>
      </c>
      <c r="S864" s="0" t="s">
        <v>549</v>
      </c>
      <c r="U864" s="24" t="n">
        <v>1</v>
      </c>
    </row>
    <row r="865" customFormat="false" ht="12.75" hidden="false" customHeight="false" outlineLevel="0" collapsed="false">
      <c r="A865" s="15" t="s">
        <v>2951</v>
      </c>
      <c r="B865" s="15" t="s">
        <v>2852</v>
      </c>
      <c r="C865" s="15" t="s">
        <v>499</v>
      </c>
      <c r="D865" s="15" t="s">
        <v>766</v>
      </c>
      <c r="E865" s="15" t="s">
        <v>75</v>
      </c>
      <c r="G865" s="10" t="n">
        <v>1</v>
      </c>
      <c r="H865" s="21" t="n">
        <v>46044.6887037037</v>
      </c>
      <c r="I865" s="15" t="s">
        <v>2952</v>
      </c>
      <c r="J865" s="15" t="s">
        <v>2952</v>
      </c>
      <c r="K865" s="15"/>
      <c r="L865" s="10" t="n">
        <f aca="false">COUNTIF($E$2:E865,E865)</f>
        <v>7</v>
      </c>
      <c r="M865" s="10" t="e">
        <f aca="false">ifs(L865=1, L865&amp;"-"&amp; COUNTIFS($L$2:L865,1))</f>
        <v>#NAME?</v>
      </c>
      <c r="N865" s="15" t="s">
        <v>603</v>
      </c>
      <c r="O865" s="10"/>
      <c r="P865" s="22" t="n">
        <f aca="false">COUNTIFS(C:C,C865,N:N,"Đã xác nhận")/COUNTIFS(C:C,C865)</f>
        <v>1</v>
      </c>
      <c r="Q865" s="22"/>
      <c r="R865" s="0" t="s">
        <v>768</v>
      </c>
      <c r="S865" s="0" t="s">
        <v>560</v>
      </c>
      <c r="U865" s="24" t="n">
        <v>1</v>
      </c>
    </row>
    <row r="866" customFormat="false" ht="12.75" hidden="false" customHeight="false" outlineLevel="0" collapsed="false">
      <c r="A866" s="15" t="s">
        <v>2953</v>
      </c>
      <c r="B866" s="15" t="s">
        <v>2852</v>
      </c>
      <c r="C866" s="15" t="s">
        <v>499</v>
      </c>
      <c r="D866" s="15" t="s">
        <v>1224</v>
      </c>
      <c r="E866" s="15" t="s">
        <v>81</v>
      </c>
      <c r="G866" s="10" t="n">
        <v>7</v>
      </c>
      <c r="H866" s="21" t="n">
        <v>46044.6901967593</v>
      </c>
      <c r="I866" s="15" t="s">
        <v>2954</v>
      </c>
      <c r="J866" s="15" t="s">
        <v>2955</v>
      </c>
      <c r="K866" s="15" t="s">
        <v>2956</v>
      </c>
      <c r="L866" s="10" t="n">
        <f aca="false">COUNTIF($E$2:E866,E866)</f>
        <v>175</v>
      </c>
      <c r="M866" s="10" t="e">
        <f aca="false">ifs(L866=1, L866&amp;"-"&amp; COUNTIFS($L$2:L866,1))</f>
        <v>#NAME?</v>
      </c>
      <c r="N866" s="15" t="s">
        <v>603</v>
      </c>
      <c r="O866" s="10"/>
      <c r="P866" s="22" t="n">
        <f aca="false">COUNTIFS(C:C,C866,N:N,"Đã xác nhận")/COUNTIFS(C:C,C866)</f>
        <v>1</v>
      </c>
      <c r="Q866" s="22"/>
      <c r="R866" s="0" t="s">
        <v>1226</v>
      </c>
      <c r="S866" s="0" t="s">
        <v>534</v>
      </c>
      <c r="U866" s="24" t="n">
        <v>7</v>
      </c>
    </row>
    <row r="867" customFormat="false" ht="12.75" hidden="false" customHeight="false" outlineLevel="0" collapsed="false">
      <c r="A867" s="15" t="s">
        <v>2957</v>
      </c>
      <c r="B867" s="15" t="s">
        <v>2852</v>
      </c>
      <c r="C867" s="15" t="s">
        <v>499</v>
      </c>
      <c r="D867" s="15" t="s">
        <v>766</v>
      </c>
      <c r="E867" s="15" t="s">
        <v>77</v>
      </c>
      <c r="G867" s="10" t="n">
        <v>2</v>
      </c>
      <c r="H867" s="21" t="n">
        <v>46044.6887615741</v>
      </c>
      <c r="I867" s="15" t="s">
        <v>2958</v>
      </c>
      <c r="J867" s="15" t="s">
        <v>2958</v>
      </c>
      <c r="K867" s="15"/>
      <c r="L867" s="10" t="n">
        <f aca="false">COUNTIF($E$2:E867,E867)</f>
        <v>32</v>
      </c>
      <c r="M867" s="10" t="e">
        <f aca="false">ifs(L867=1, L867&amp;"-"&amp; COUNTIFS($L$2:L867,1))</f>
        <v>#NAME?</v>
      </c>
      <c r="N867" s="15" t="s">
        <v>603</v>
      </c>
      <c r="O867" s="10"/>
      <c r="P867" s="22" t="n">
        <f aca="false">COUNTIFS(C:C,C867,N:N,"Đã xác nhận")/COUNTIFS(C:C,C867)</f>
        <v>1</v>
      </c>
      <c r="Q867" s="22"/>
      <c r="R867" s="0" t="s">
        <v>768</v>
      </c>
      <c r="S867" s="0" t="s">
        <v>78</v>
      </c>
      <c r="U867" s="24" t="n">
        <v>2</v>
      </c>
    </row>
    <row r="868" customFormat="false" ht="12.75" hidden="false" customHeight="false" outlineLevel="0" collapsed="false">
      <c r="A868" s="15" t="s">
        <v>2959</v>
      </c>
      <c r="B868" s="15" t="s">
        <v>2852</v>
      </c>
      <c r="C868" s="15" t="s">
        <v>498</v>
      </c>
      <c r="D868" s="15" t="s">
        <v>766</v>
      </c>
      <c r="E868" s="15" t="s">
        <v>543</v>
      </c>
      <c r="G868" s="10" t="n">
        <v>1</v>
      </c>
      <c r="H868" s="21" t="n">
        <v>46049.6550810185</v>
      </c>
      <c r="I868" s="15" t="s">
        <v>2960</v>
      </c>
      <c r="J868" s="15" t="s">
        <v>2960</v>
      </c>
      <c r="K868" s="15"/>
      <c r="L868" s="10" t="n">
        <f aca="false">COUNTIF($E$2:E868,E868)</f>
        <v>24</v>
      </c>
      <c r="M868" s="10" t="e">
        <f aca="false">ifs(L868=1, L868&amp;"-"&amp; COUNTIFS($L$2:L868,1))</f>
        <v>#NAME?</v>
      </c>
      <c r="N868" s="15" t="s">
        <v>603</v>
      </c>
      <c r="O868" s="10"/>
      <c r="P868" s="22" t="n">
        <f aca="false">COUNTIFS(C:C,C868,N:N,"Đã xác nhận")/COUNTIFS(C:C,C868)</f>
        <v>1</v>
      </c>
      <c r="Q868" s="22"/>
      <c r="R868" s="0" t="s">
        <v>768</v>
      </c>
      <c r="S868" s="0" t="s">
        <v>544</v>
      </c>
      <c r="U868" s="24" t="n">
        <v>1</v>
      </c>
    </row>
    <row r="869" customFormat="false" ht="12.75" hidden="false" customHeight="false" outlineLevel="0" collapsed="false">
      <c r="A869" s="15" t="s">
        <v>2961</v>
      </c>
      <c r="B869" s="15" t="s">
        <v>2852</v>
      </c>
      <c r="C869" s="15" t="s">
        <v>498</v>
      </c>
      <c r="D869" s="15" t="s">
        <v>766</v>
      </c>
      <c r="E869" s="15" t="s">
        <v>69</v>
      </c>
      <c r="G869" s="10" t="n">
        <v>2</v>
      </c>
      <c r="H869" s="21" t="n">
        <v>46049.6562037037</v>
      </c>
      <c r="I869" s="15" t="s">
        <v>2962</v>
      </c>
      <c r="J869" s="15" t="s">
        <v>2962</v>
      </c>
      <c r="K869" s="15"/>
      <c r="L869" s="10" t="n">
        <f aca="false">COUNTIF($E$2:E869,E869)</f>
        <v>92</v>
      </c>
      <c r="M869" s="10" t="e">
        <f aca="false">ifs(L869=1, L869&amp;"-"&amp; COUNTIFS($L$2:L869,1))</f>
        <v>#NAME?</v>
      </c>
      <c r="N869" s="15" t="s">
        <v>603</v>
      </c>
      <c r="O869" s="10"/>
      <c r="P869" s="22" t="n">
        <f aca="false">COUNTIFS(C:C,C869,N:N,"Đã xác nhận")/COUNTIFS(C:C,C869)</f>
        <v>1</v>
      </c>
      <c r="Q869" s="22"/>
      <c r="R869" s="0" t="s">
        <v>768</v>
      </c>
      <c r="S869" s="0" t="s">
        <v>535</v>
      </c>
      <c r="U869" s="24" t="n">
        <v>2</v>
      </c>
    </row>
    <row r="870" customFormat="false" ht="12.75" hidden="false" customHeight="false" outlineLevel="0" collapsed="false">
      <c r="A870" s="15" t="s">
        <v>2963</v>
      </c>
      <c r="B870" s="15" t="s">
        <v>2852</v>
      </c>
      <c r="C870" s="15" t="s">
        <v>498</v>
      </c>
      <c r="D870" s="15" t="s">
        <v>766</v>
      </c>
      <c r="E870" s="15" t="s">
        <v>33</v>
      </c>
      <c r="G870" s="10" t="n">
        <v>3</v>
      </c>
      <c r="H870" s="21" t="n">
        <v>46049.655150463</v>
      </c>
      <c r="I870" s="15" t="s">
        <v>2964</v>
      </c>
      <c r="J870" s="15" t="s">
        <v>2964</v>
      </c>
      <c r="K870" s="15"/>
      <c r="L870" s="10" t="n">
        <f aca="false">COUNTIF($E$2:E870,E870)</f>
        <v>53</v>
      </c>
      <c r="M870" s="10" t="e">
        <f aca="false">ifs(L870=1, L870&amp;"-"&amp; COUNTIFS($L$2:L870,1))</f>
        <v>#NAME?</v>
      </c>
      <c r="N870" s="15" t="s">
        <v>603</v>
      </c>
      <c r="O870" s="10"/>
      <c r="P870" s="22" t="n">
        <f aca="false">COUNTIFS(C:C,C870,N:N,"Đã xác nhận")/COUNTIFS(C:C,C870)</f>
        <v>1</v>
      </c>
      <c r="Q870" s="22"/>
      <c r="R870" s="0" t="s">
        <v>768</v>
      </c>
      <c r="S870" s="0" t="s">
        <v>536</v>
      </c>
      <c r="U870" s="24" t="n">
        <v>3</v>
      </c>
    </row>
    <row r="871" customFormat="false" ht="12.75" hidden="false" customHeight="false" outlineLevel="0" collapsed="false">
      <c r="A871" s="15" t="s">
        <v>2965</v>
      </c>
      <c r="B871" s="15" t="s">
        <v>2852</v>
      </c>
      <c r="C871" s="15" t="s">
        <v>498</v>
      </c>
      <c r="D871" s="15" t="s">
        <v>2753</v>
      </c>
      <c r="E871" s="15" t="s">
        <v>55</v>
      </c>
      <c r="G871" s="10" t="n">
        <v>1</v>
      </c>
      <c r="H871" s="21" t="n">
        <v>46049.6559259259</v>
      </c>
      <c r="I871" s="15" t="s">
        <v>2966</v>
      </c>
      <c r="J871" s="15" t="s">
        <v>2966</v>
      </c>
      <c r="K871" s="15"/>
      <c r="L871" s="10" t="n">
        <f aca="false">COUNTIF($E$2:E871,E871)</f>
        <v>90</v>
      </c>
      <c r="M871" s="10" t="e">
        <f aca="false">ifs(L871=1, L871&amp;"-"&amp; COUNTIFS($L$2:L871,1))</f>
        <v>#NAME?</v>
      </c>
      <c r="N871" s="15" t="s">
        <v>603</v>
      </c>
      <c r="O871" s="10"/>
      <c r="P871" s="22" t="n">
        <f aca="false">COUNTIFS(C:C,C871,N:N,"Đã xác nhận")/COUNTIFS(C:C,C871)</f>
        <v>1</v>
      </c>
      <c r="Q871" s="22"/>
      <c r="R871" s="0" t="s">
        <v>2755</v>
      </c>
      <c r="S871" s="0" t="s">
        <v>539</v>
      </c>
      <c r="U871" s="24" t="n">
        <v>1</v>
      </c>
    </row>
    <row r="872" customFormat="false" ht="12.75" hidden="false" customHeight="false" outlineLevel="0" collapsed="false">
      <c r="A872" s="15" t="s">
        <v>2967</v>
      </c>
      <c r="B872" s="15" t="s">
        <v>2852</v>
      </c>
      <c r="C872" s="15" t="s">
        <v>498</v>
      </c>
      <c r="D872" s="15" t="s">
        <v>2753</v>
      </c>
      <c r="E872" s="15" t="s">
        <v>59</v>
      </c>
      <c r="G872" s="10" t="n">
        <v>1</v>
      </c>
      <c r="H872" s="21" t="n">
        <v>46049.6559490741</v>
      </c>
      <c r="I872" s="15" t="s">
        <v>2968</v>
      </c>
      <c r="J872" s="15" t="s">
        <v>2968</v>
      </c>
      <c r="K872" s="15"/>
      <c r="L872" s="10" t="n">
        <f aca="false">COUNTIF($E$2:E872,E872)</f>
        <v>20</v>
      </c>
      <c r="M872" s="10" t="e">
        <f aca="false">ifs(L872=1, L872&amp;"-"&amp; COUNTIFS($L$2:L872,1))</f>
        <v>#NAME?</v>
      </c>
      <c r="N872" s="15" t="s">
        <v>603</v>
      </c>
      <c r="O872" s="10"/>
      <c r="P872" s="22" t="n">
        <f aca="false">COUNTIFS(C:C,C872,N:N,"Đã xác nhận")/COUNTIFS(C:C,C872)</f>
        <v>1</v>
      </c>
      <c r="Q872" s="22"/>
      <c r="R872" s="0" t="s">
        <v>2755</v>
      </c>
      <c r="S872" s="0" t="s">
        <v>562</v>
      </c>
      <c r="U872" s="24" t="n">
        <v>1</v>
      </c>
    </row>
    <row r="873" customFormat="false" ht="12.75" hidden="false" customHeight="false" outlineLevel="0" collapsed="false">
      <c r="A873" s="15" t="s">
        <v>2969</v>
      </c>
      <c r="B873" s="15" t="s">
        <v>2852</v>
      </c>
      <c r="C873" s="15" t="s">
        <v>498</v>
      </c>
      <c r="D873" s="15" t="s">
        <v>2970</v>
      </c>
      <c r="E873" s="15" t="s">
        <v>47</v>
      </c>
      <c r="G873" s="10" t="n">
        <v>1</v>
      </c>
      <c r="H873" s="21" t="n">
        <v>46049.6558912037</v>
      </c>
      <c r="I873" s="15" t="s">
        <v>2971</v>
      </c>
      <c r="J873" s="15" t="s">
        <v>2971</v>
      </c>
      <c r="K873" s="15"/>
      <c r="L873" s="10" t="n">
        <f aca="false">COUNTIF($E$2:E873,E873)</f>
        <v>49</v>
      </c>
      <c r="M873" s="10" t="e">
        <f aca="false">ifs(L873=1, L873&amp;"-"&amp; COUNTIFS($L$2:L873,1))</f>
        <v>#NAME?</v>
      </c>
      <c r="N873" s="15" t="s">
        <v>603</v>
      </c>
      <c r="O873" s="10"/>
      <c r="P873" s="22" t="n">
        <f aca="false">COUNTIFS(C:C,C873,N:N,"Đã xác nhận")/COUNTIFS(C:C,C873)</f>
        <v>1</v>
      </c>
      <c r="Q873" s="22"/>
      <c r="R873" s="0" t="s">
        <v>2972</v>
      </c>
      <c r="S873" s="0" t="s">
        <v>549</v>
      </c>
      <c r="U873" s="24" t="n">
        <v>1</v>
      </c>
    </row>
    <row r="874" customFormat="false" ht="12.75" hidden="false" customHeight="false" outlineLevel="0" collapsed="false">
      <c r="A874" s="15" t="s">
        <v>2973</v>
      </c>
      <c r="B874" s="15" t="s">
        <v>2852</v>
      </c>
      <c r="C874" s="15" t="s">
        <v>498</v>
      </c>
      <c r="D874" s="15" t="s">
        <v>766</v>
      </c>
      <c r="E874" s="15" t="s">
        <v>75</v>
      </c>
      <c r="G874" s="10" t="n">
        <v>1</v>
      </c>
      <c r="H874" s="21" t="n">
        <v>46049.6563657407</v>
      </c>
      <c r="I874" s="15" t="s">
        <v>2974</v>
      </c>
      <c r="J874" s="15" t="s">
        <v>2974</v>
      </c>
      <c r="K874" s="15"/>
      <c r="L874" s="10" t="n">
        <f aca="false">COUNTIF($E$2:E874,E874)</f>
        <v>8</v>
      </c>
      <c r="M874" s="10" t="e">
        <f aca="false">ifs(L874=1, L874&amp;"-"&amp; COUNTIFS($L$2:L874,1))</f>
        <v>#NAME?</v>
      </c>
      <c r="N874" s="15" t="s">
        <v>603</v>
      </c>
      <c r="O874" s="10"/>
      <c r="P874" s="22" t="n">
        <f aca="false">COUNTIFS(C:C,C874,N:N,"Đã xác nhận")/COUNTIFS(C:C,C874)</f>
        <v>1</v>
      </c>
      <c r="Q874" s="22"/>
      <c r="R874" s="0" t="s">
        <v>768</v>
      </c>
      <c r="S874" s="0" t="s">
        <v>560</v>
      </c>
      <c r="U874" s="24" t="n">
        <v>1</v>
      </c>
    </row>
    <row r="875" customFormat="false" ht="12.75" hidden="false" customHeight="false" outlineLevel="0" collapsed="false">
      <c r="A875" s="15" t="s">
        <v>2975</v>
      </c>
      <c r="B875" s="15" t="s">
        <v>2852</v>
      </c>
      <c r="C875" s="15" t="s">
        <v>498</v>
      </c>
      <c r="D875" s="15" t="s">
        <v>766</v>
      </c>
      <c r="E875" s="15" t="s">
        <v>77</v>
      </c>
      <c r="G875" s="10" t="n">
        <v>1</v>
      </c>
      <c r="H875" s="21" t="n">
        <v>46049.6568865741</v>
      </c>
      <c r="I875" s="15" t="s">
        <v>2976</v>
      </c>
      <c r="J875" s="15" t="s">
        <v>2976</v>
      </c>
      <c r="K875" s="15"/>
      <c r="L875" s="10" t="n">
        <f aca="false">COUNTIF($E$2:E875,E875)</f>
        <v>33</v>
      </c>
      <c r="M875" s="10" t="e">
        <f aca="false">ifs(L875=1, L875&amp;"-"&amp; COUNTIFS($L$2:L875,1))</f>
        <v>#NAME?</v>
      </c>
      <c r="N875" s="15" t="s">
        <v>603</v>
      </c>
      <c r="O875" s="10"/>
      <c r="P875" s="22" t="n">
        <f aca="false">COUNTIFS(C:C,C875,N:N,"Đã xác nhận")/COUNTIFS(C:C,C875)</f>
        <v>1</v>
      </c>
      <c r="Q875" s="22"/>
      <c r="R875" s="0" t="s">
        <v>768</v>
      </c>
      <c r="S875" s="0" t="s">
        <v>78</v>
      </c>
      <c r="U875" s="24" t="n">
        <v>1</v>
      </c>
    </row>
    <row r="876" customFormat="false" ht="12.75" hidden="false" customHeight="false" outlineLevel="0" collapsed="false">
      <c r="A876" s="15" t="s">
        <v>2977</v>
      </c>
      <c r="B876" s="15" t="s">
        <v>2687</v>
      </c>
      <c r="C876" s="15" t="s">
        <v>477</v>
      </c>
      <c r="D876" s="15" t="s">
        <v>2688</v>
      </c>
      <c r="E876" s="15" t="s">
        <v>25</v>
      </c>
      <c r="G876" s="10" t="n">
        <v>3</v>
      </c>
      <c r="H876" s="21" t="n">
        <v>46044.6531134259</v>
      </c>
      <c r="I876" s="15" t="s">
        <v>2978</v>
      </c>
      <c r="J876" s="15" t="s">
        <v>2978</v>
      </c>
      <c r="K876" s="15"/>
      <c r="L876" s="10" t="n">
        <f aca="false">COUNTIF($E$2:E876,E876)</f>
        <v>15</v>
      </c>
      <c r="M876" s="10" t="e">
        <f aca="false">ifs(L876=1, L876&amp;"-"&amp; COUNTIFS($L$2:L876,1))</f>
        <v>#NAME?</v>
      </c>
      <c r="N876" s="15" t="s">
        <v>603</v>
      </c>
      <c r="O876" s="10"/>
      <c r="P876" s="22" t="n">
        <f aca="false">COUNTIFS(C:C,C876,N:N,"Đã xác nhận")/COUNTIFS(C:C,C876)</f>
        <v>1</v>
      </c>
      <c r="Q876" s="22"/>
      <c r="R876" s="0" t="s">
        <v>2688</v>
      </c>
      <c r="S876" s="0" t="s">
        <v>26</v>
      </c>
      <c r="U876" s="24" t="n">
        <v>3</v>
      </c>
    </row>
    <row r="877" customFormat="false" ht="12.75" hidden="false" customHeight="false" outlineLevel="0" collapsed="false">
      <c r="A877" s="15" t="s">
        <v>2979</v>
      </c>
      <c r="B877" s="15" t="s">
        <v>2304</v>
      </c>
      <c r="C877" s="15" t="s">
        <v>524</v>
      </c>
      <c r="D877" s="15" t="s">
        <v>611</v>
      </c>
      <c r="E877" s="15" t="s">
        <v>69</v>
      </c>
      <c r="G877" s="10" t="n">
        <v>1</v>
      </c>
      <c r="H877" s="21" t="n">
        <v>46052.4734027778</v>
      </c>
      <c r="I877" s="15" t="s">
        <v>2980</v>
      </c>
      <c r="J877" s="15" t="s">
        <v>2980</v>
      </c>
      <c r="K877" s="15"/>
      <c r="L877" s="10" t="n">
        <f aca="false">COUNTIF($E$2:E877,E877)</f>
        <v>93</v>
      </c>
      <c r="M877" s="10" t="e">
        <f aca="false">ifs(L877=1, L877&amp;"-"&amp; COUNTIFS($L$2:L877,1))</f>
        <v>#NAME?</v>
      </c>
      <c r="N877" s="15" t="s">
        <v>603</v>
      </c>
      <c r="O877" s="10"/>
      <c r="P877" s="22" t="n">
        <f aca="false">COUNTIFS(C:C,C877,N:N,"Đã xác nhận")/COUNTIFS(C:C,C877)</f>
        <v>1</v>
      </c>
      <c r="Q877" s="22"/>
      <c r="R877" s="0" t="s">
        <v>613</v>
      </c>
      <c r="S877" s="0" t="s">
        <v>535</v>
      </c>
      <c r="U877" s="24" t="n">
        <v>1</v>
      </c>
    </row>
    <row r="878" customFormat="false" ht="12.75" hidden="false" customHeight="false" outlineLevel="0" collapsed="false">
      <c r="A878" s="15" t="s">
        <v>2981</v>
      </c>
      <c r="B878" s="15" t="s">
        <v>2304</v>
      </c>
      <c r="C878" s="15" t="s">
        <v>2982</v>
      </c>
      <c r="D878" s="15" t="s">
        <v>611</v>
      </c>
      <c r="E878" s="15" t="s">
        <v>69</v>
      </c>
      <c r="G878" s="10" t="n">
        <v>1</v>
      </c>
      <c r="H878" s="21" t="n">
        <v>45972.7003935185</v>
      </c>
      <c r="I878" s="15" t="s">
        <v>1566</v>
      </c>
      <c r="J878" s="15" t="s">
        <v>2983</v>
      </c>
      <c r="K878" s="15" t="s">
        <v>2984</v>
      </c>
      <c r="L878" s="10" t="n">
        <f aca="false">COUNTIF($E$2:E878,E878)</f>
        <v>94</v>
      </c>
      <c r="M878" s="10" t="e">
        <f aca="false">ifs(L878=1, L878&amp;"-"&amp; COUNTIFS($L$2:L878,1))</f>
        <v>#NAME?</v>
      </c>
      <c r="O878" s="10"/>
      <c r="P878" s="22" t="n">
        <f aca="false">COUNTIFS(C:C,C878,N:N,"Đã xác nhận")/COUNTIFS(C:C,C878)</f>
        <v>0</v>
      </c>
      <c r="Q878" s="22"/>
      <c r="R878" s="0" t="s">
        <v>613</v>
      </c>
      <c r="S878" s="0" t="s">
        <v>535</v>
      </c>
      <c r="U878" s="24" t="n">
        <v>1</v>
      </c>
    </row>
    <row r="879" customFormat="false" ht="12.75" hidden="false" customHeight="false" outlineLevel="0" collapsed="false">
      <c r="A879" s="15" t="s">
        <v>2985</v>
      </c>
      <c r="B879" s="15" t="s">
        <v>2687</v>
      </c>
      <c r="C879" s="15" t="s">
        <v>471</v>
      </c>
      <c r="D879" s="15" t="s">
        <v>2688</v>
      </c>
      <c r="E879" s="15" t="s">
        <v>25</v>
      </c>
      <c r="G879" s="10" t="n">
        <v>2</v>
      </c>
      <c r="H879" s="21" t="n">
        <v>46044.638599537</v>
      </c>
      <c r="I879" s="15" t="s">
        <v>2986</v>
      </c>
      <c r="J879" s="15" t="s">
        <v>2986</v>
      </c>
      <c r="K879" s="15"/>
      <c r="L879" s="10" t="n">
        <f aca="false">COUNTIF($E$2:E879,E879)</f>
        <v>16</v>
      </c>
      <c r="M879" s="10" t="e">
        <f aca="false">ifs(L879=1, L879&amp;"-"&amp; COUNTIFS($L$2:L879,1))</f>
        <v>#NAME?</v>
      </c>
      <c r="N879" s="15" t="s">
        <v>603</v>
      </c>
      <c r="O879" s="10"/>
      <c r="P879" s="22" t="n">
        <f aca="false">COUNTIFS(C:C,C879,N:N,"Đã xác nhận")/COUNTIFS(C:C,C879)</f>
        <v>1</v>
      </c>
      <c r="Q879" s="22"/>
      <c r="R879" s="0" t="s">
        <v>2688</v>
      </c>
      <c r="S879" s="0" t="s">
        <v>26</v>
      </c>
      <c r="U879" s="24" t="n">
        <v>2</v>
      </c>
    </row>
    <row r="880" customFormat="false" ht="12.75" hidden="false" customHeight="false" outlineLevel="0" collapsed="false">
      <c r="A880" s="15" t="s">
        <v>2987</v>
      </c>
      <c r="B880" s="15" t="s">
        <v>2687</v>
      </c>
      <c r="C880" s="15" t="s">
        <v>471</v>
      </c>
      <c r="D880" s="15" t="s">
        <v>2688</v>
      </c>
      <c r="E880" s="15" t="s">
        <v>69</v>
      </c>
      <c r="G880" s="10" t="n">
        <v>2</v>
      </c>
      <c r="H880" s="21" t="n">
        <v>46044.6386342593</v>
      </c>
      <c r="I880" s="15" t="s">
        <v>2988</v>
      </c>
      <c r="J880" s="15" t="s">
        <v>2988</v>
      </c>
      <c r="K880" s="15"/>
      <c r="L880" s="10" t="n">
        <f aca="false">COUNTIF($E$2:E880,E880)</f>
        <v>95</v>
      </c>
      <c r="M880" s="10" t="e">
        <f aca="false">ifs(L880=1, L880&amp;"-"&amp; COUNTIFS($L$2:L880,1))</f>
        <v>#NAME?</v>
      </c>
      <c r="N880" s="15" t="s">
        <v>603</v>
      </c>
      <c r="O880" s="10"/>
      <c r="P880" s="22" t="n">
        <f aca="false">COUNTIFS(C:C,C880,N:N,"Đã xác nhận")/COUNTIFS(C:C,C880)</f>
        <v>1</v>
      </c>
      <c r="Q880" s="22"/>
      <c r="R880" s="0" t="s">
        <v>2688</v>
      </c>
      <c r="S880" s="0" t="s">
        <v>535</v>
      </c>
      <c r="U880" s="24" t="n">
        <v>2</v>
      </c>
    </row>
    <row r="881" customFormat="false" ht="12.75" hidden="false" customHeight="false" outlineLevel="0" collapsed="false">
      <c r="A881" s="15" t="s">
        <v>2989</v>
      </c>
      <c r="B881" s="15" t="s">
        <v>2687</v>
      </c>
      <c r="C881" s="15" t="s">
        <v>471</v>
      </c>
      <c r="D881" s="15" t="s">
        <v>2688</v>
      </c>
      <c r="E881" s="15" t="s">
        <v>555</v>
      </c>
      <c r="G881" s="10" t="n">
        <v>2</v>
      </c>
      <c r="H881" s="21" t="n">
        <v>46044.6384259259</v>
      </c>
      <c r="I881" s="15" t="s">
        <v>2990</v>
      </c>
      <c r="J881" s="15" t="s">
        <v>2990</v>
      </c>
      <c r="K881" s="15"/>
      <c r="L881" s="10" t="n">
        <f aca="false">COUNTIF($E$2:E881,E881)</f>
        <v>25</v>
      </c>
      <c r="M881" s="10" t="e">
        <f aca="false">ifs(L881=1, L881&amp;"-"&amp; COUNTIFS($L$2:L881,1))</f>
        <v>#NAME?</v>
      </c>
      <c r="N881" s="15" t="s">
        <v>603</v>
      </c>
      <c r="O881" s="10"/>
      <c r="P881" s="22" t="n">
        <f aca="false">COUNTIFS(C:C,C881,N:N,"Đã xác nhận")/COUNTIFS(C:C,C881)</f>
        <v>1</v>
      </c>
      <c r="Q881" s="22"/>
      <c r="R881" s="0" t="s">
        <v>2688</v>
      </c>
      <c r="S881" s="0" t="s">
        <v>556</v>
      </c>
      <c r="U881" s="24" t="n">
        <v>2</v>
      </c>
    </row>
    <row r="882" customFormat="false" ht="12.75" hidden="false" customHeight="false" outlineLevel="0" collapsed="false">
      <c r="A882" s="15" t="s">
        <v>2991</v>
      </c>
      <c r="B882" s="15" t="s">
        <v>600</v>
      </c>
      <c r="C882" s="15" t="s">
        <v>452</v>
      </c>
      <c r="D882" s="15" t="s">
        <v>1224</v>
      </c>
      <c r="E882" s="15" t="s">
        <v>81</v>
      </c>
      <c r="G882" s="10" t="n">
        <v>11</v>
      </c>
      <c r="H882" s="21" t="n">
        <v>46045.378587963</v>
      </c>
      <c r="I882" s="15" t="s">
        <v>2992</v>
      </c>
      <c r="J882" s="15" t="s">
        <v>2992</v>
      </c>
      <c r="K882" s="15"/>
      <c r="L882" s="10" t="n">
        <f aca="false">COUNTIF($E$2:E882,E882)</f>
        <v>176</v>
      </c>
      <c r="M882" s="10" t="e">
        <f aca="false">ifs(L882=1, L882&amp;"-"&amp; COUNTIFS($L$2:L882,1))</f>
        <v>#NAME?</v>
      </c>
      <c r="N882" s="15" t="s">
        <v>603</v>
      </c>
      <c r="O882" s="10"/>
      <c r="P882" s="22" t="n">
        <f aca="false">COUNTIFS(C:C,C882,N:N,"Đã xác nhận")/COUNTIFS(C:C,C882)</f>
        <v>1</v>
      </c>
      <c r="Q882" s="22"/>
      <c r="R882" s="0" t="s">
        <v>1226</v>
      </c>
      <c r="S882" s="0" t="s">
        <v>534</v>
      </c>
      <c r="U882" s="24" t="n">
        <v>11</v>
      </c>
    </row>
    <row r="883" customFormat="false" ht="12.75" hidden="false" customHeight="false" outlineLevel="0" collapsed="false">
      <c r="A883" s="15" t="s">
        <v>2993</v>
      </c>
      <c r="B883" s="15" t="s">
        <v>600</v>
      </c>
      <c r="C883" s="15" t="s">
        <v>452</v>
      </c>
      <c r="D883" s="15" t="s">
        <v>766</v>
      </c>
      <c r="E883" s="15" t="s">
        <v>555</v>
      </c>
      <c r="G883" s="10" t="n">
        <v>2</v>
      </c>
      <c r="H883" s="21" t="n">
        <v>46036.4266782407</v>
      </c>
      <c r="I883" s="15" t="s">
        <v>2994</v>
      </c>
      <c r="J883" s="15" t="s">
        <v>2994</v>
      </c>
      <c r="K883" s="15"/>
      <c r="L883" s="10" t="n">
        <f aca="false">COUNTIF($E$2:E883,E883)</f>
        <v>26</v>
      </c>
      <c r="M883" s="10" t="e">
        <f aca="false">ifs(L883=1, L883&amp;"-"&amp; COUNTIFS($L$2:L883,1))</f>
        <v>#NAME?</v>
      </c>
      <c r="N883" s="15" t="s">
        <v>603</v>
      </c>
      <c r="O883" s="10"/>
      <c r="P883" s="22" t="n">
        <f aca="false">COUNTIFS(C:C,C883,N:N,"Đã xác nhận")/COUNTIFS(C:C,C883)</f>
        <v>1</v>
      </c>
      <c r="Q883" s="22"/>
      <c r="R883" s="0" t="s">
        <v>768</v>
      </c>
      <c r="S883" s="0" t="s">
        <v>556</v>
      </c>
      <c r="U883" s="24" t="n">
        <v>2</v>
      </c>
    </row>
    <row r="884" customFormat="false" ht="12.75" hidden="false" customHeight="false" outlineLevel="0" collapsed="false">
      <c r="A884" s="15" t="s">
        <v>2995</v>
      </c>
      <c r="B884" s="15" t="s">
        <v>600</v>
      </c>
      <c r="C884" s="15" t="s">
        <v>452</v>
      </c>
      <c r="D884" s="15" t="s">
        <v>766</v>
      </c>
      <c r="E884" s="15" t="s">
        <v>545</v>
      </c>
      <c r="G884" s="10" t="n">
        <v>1</v>
      </c>
      <c r="H884" s="21" t="n">
        <v>46036.4267361111</v>
      </c>
      <c r="I884" s="15" t="s">
        <v>2996</v>
      </c>
      <c r="J884" s="15" t="s">
        <v>2996</v>
      </c>
      <c r="K884" s="15"/>
      <c r="L884" s="10" t="n">
        <f aca="false">COUNTIF($E$2:E884,E884)</f>
        <v>22</v>
      </c>
      <c r="M884" s="10" t="e">
        <f aca="false">ifs(L884=1, L884&amp;"-"&amp; COUNTIFS($L$2:L884,1))</f>
        <v>#NAME?</v>
      </c>
      <c r="N884" s="15" t="s">
        <v>603</v>
      </c>
      <c r="O884" s="10"/>
      <c r="P884" s="22" t="n">
        <f aca="false">COUNTIFS(C:C,C884,N:N,"Đã xác nhận")/COUNTIFS(C:C,C884)</f>
        <v>1</v>
      </c>
      <c r="Q884" s="22"/>
      <c r="R884" s="0" t="s">
        <v>768</v>
      </c>
      <c r="S884" s="0" t="s">
        <v>546</v>
      </c>
      <c r="U884" s="24" t="n">
        <v>1</v>
      </c>
    </row>
    <row r="885" customFormat="false" ht="12.75" hidden="false" customHeight="false" outlineLevel="0" collapsed="false">
      <c r="A885" s="15" t="s">
        <v>2997</v>
      </c>
      <c r="B885" s="15" t="s">
        <v>600</v>
      </c>
      <c r="C885" s="15" t="s">
        <v>452</v>
      </c>
      <c r="D885" s="15" t="s">
        <v>766</v>
      </c>
      <c r="E885" s="15" t="s">
        <v>543</v>
      </c>
      <c r="G885" s="10" t="n">
        <v>1</v>
      </c>
      <c r="H885" s="21" t="n">
        <v>46036.4267824074</v>
      </c>
      <c r="I885" s="15" t="s">
        <v>2998</v>
      </c>
      <c r="J885" s="15" t="s">
        <v>2998</v>
      </c>
      <c r="K885" s="15"/>
      <c r="L885" s="10" t="n">
        <f aca="false">COUNTIF($E$2:E885,E885)</f>
        <v>25</v>
      </c>
      <c r="M885" s="10" t="e">
        <f aca="false">ifs(L885=1, L885&amp;"-"&amp; COUNTIFS($L$2:L885,1))</f>
        <v>#NAME?</v>
      </c>
      <c r="N885" s="15" t="s">
        <v>603</v>
      </c>
      <c r="O885" s="10"/>
      <c r="P885" s="22" t="n">
        <f aca="false">COUNTIFS(C:C,C885,N:N,"Đã xác nhận")/COUNTIFS(C:C,C885)</f>
        <v>1</v>
      </c>
      <c r="Q885" s="22"/>
      <c r="R885" s="0" t="s">
        <v>768</v>
      </c>
      <c r="S885" s="0" t="s">
        <v>544</v>
      </c>
      <c r="U885" s="24" t="n">
        <v>1</v>
      </c>
    </row>
    <row r="886" customFormat="false" ht="12.75" hidden="false" customHeight="false" outlineLevel="0" collapsed="false">
      <c r="A886" s="15" t="s">
        <v>2999</v>
      </c>
      <c r="B886" s="15" t="s">
        <v>600</v>
      </c>
      <c r="C886" s="15" t="s">
        <v>452</v>
      </c>
      <c r="D886" s="15" t="s">
        <v>766</v>
      </c>
      <c r="E886" s="15" t="s">
        <v>69</v>
      </c>
      <c r="G886" s="10" t="n">
        <v>4</v>
      </c>
      <c r="H886" s="21" t="n">
        <v>46036.4310416667</v>
      </c>
      <c r="I886" s="15" t="s">
        <v>3000</v>
      </c>
      <c r="J886" s="15" t="s">
        <v>3000</v>
      </c>
      <c r="K886" s="15"/>
      <c r="L886" s="10" t="n">
        <f aca="false">COUNTIF($E$2:E886,E886)</f>
        <v>96</v>
      </c>
      <c r="M886" s="10" t="e">
        <f aca="false">ifs(L886=1, L886&amp;"-"&amp; COUNTIFS($L$2:L886,1))</f>
        <v>#NAME?</v>
      </c>
      <c r="N886" s="15" t="s">
        <v>603</v>
      </c>
      <c r="O886" s="10"/>
      <c r="P886" s="22" t="n">
        <f aca="false">COUNTIFS(C:C,C886,N:N,"Đã xác nhận")/COUNTIFS(C:C,C886)</f>
        <v>1</v>
      </c>
      <c r="Q886" s="22"/>
      <c r="R886" s="0" t="s">
        <v>768</v>
      </c>
      <c r="S886" s="0" t="s">
        <v>535</v>
      </c>
      <c r="U886" s="24" t="n">
        <v>4</v>
      </c>
    </row>
    <row r="887" customFormat="false" ht="12.75" hidden="false" customHeight="false" outlineLevel="0" collapsed="false">
      <c r="A887" s="15" t="s">
        <v>3001</v>
      </c>
      <c r="B887" s="15" t="s">
        <v>600</v>
      </c>
      <c r="C887" s="15" t="s">
        <v>452</v>
      </c>
      <c r="D887" s="15" t="s">
        <v>766</v>
      </c>
      <c r="E887" s="15" t="s">
        <v>33</v>
      </c>
      <c r="G887" s="10" t="n">
        <v>4</v>
      </c>
      <c r="H887" s="21" t="n">
        <v>46036.4309953704</v>
      </c>
      <c r="I887" s="15" t="s">
        <v>3002</v>
      </c>
      <c r="J887" s="15" t="s">
        <v>3002</v>
      </c>
      <c r="K887" s="15"/>
      <c r="L887" s="10" t="n">
        <f aca="false">COUNTIF($E$2:E887,E887)</f>
        <v>54</v>
      </c>
      <c r="M887" s="10" t="e">
        <f aca="false">ifs(L887=1, L887&amp;"-"&amp; COUNTIFS($L$2:L887,1))</f>
        <v>#NAME?</v>
      </c>
      <c r="N887" s="15" t="s">
        <v>603</v>
      </c>
      <c r="O887" s="10"/>
      <c r="P887" s="22" t="n">
        <f aca="false">COUNTIFS(C:C,C887,N:N,"Đã xác nhận")/COUNTIFS(C:C,C887)</f>
        <v>1</v>
      </c>
      <c r="Q887" s="22"/>
      <c r="R887" s="0" t="s">
        <v>768</v>
      </c>
      <c r="S887" s="0" t="s">
        <v>536</v>
      </c>
      <c r="U887" s="24" t="n">
        <v>4</v>
      </c>
    </row>
    <row r="888" customFormat="false" ht="12.75" hidden="false" customHeight="false" outlineLevel="0" collapsed="false">
      <c r="A888" s="15" t="s">
        <v>3003</v>
      </c>
      <c r="B888" s="15"/>
      <c r="C888" s="15"/>
      <c r="D888" s="15"/>
      <c r="E888" s="15"/>
      <c r="G888" s="10" t="n">
        <v>0</v>
      </c>
      <c r="H888" s="21" t="n">
        <v>46045.3810185185</v>
      </c>
      <c r="I888" s="15" t="s">
        <v>3004</v>
      </c>
      <c r="J888" s="15" t="s">
        <v>695</v>
      </c>
      <c r="K888" s="15" t="s">
        <v>3005</v>
      </c>
      <c r="L888" s="10" t="n">
        <f aca="false">COUNTIF($E$2:E888,E888)</f>
        <v>0</v>
      </c>
      <c r="M888" s="10" t="e">
        <f aca="false">ifs(L888=1, L888&amp;"-"&amp; COUNTIFS($L$2:L888,1))</f>
        <v>#NAME?</v>
      </c>
      <c r="N888" s="15"/>
      <c r="O888" s="10"/>
      <c r="P888" s="22" t="e">
        <f aca="false">COUNTIFS(C:C,C888,N:N,"Đã xác nhận")/COUNTIFS(C:C,C888)</f>
        <v>#DIV/0!</v>
      </c>
      <c r="Q888" s="22"/>
      <c r="R888" s="0" t="e">
        <f aca="false">#VALUE!</f>
        <v>#VALUE!</v>
      </c>
      <c r="S888" s="0" t="e">
        <f aca="false">#VALUE!</f>
        <v>#VALUE!</v>
      </c>
      <c r="U888" s="24" t="n">
        <v>0</v>
      </c>
    </row>
    <row r="889" customFormat="false" ht="12.75" hidden="false" customHeight="false" outlineLevel="0" collapsed="false">
      <c r="A889" s="15" t="s">
        <v>3006</v>
      </c>
      <c r="B889" s="15" t="s">
        <v>600</v>
      </c>
      <c r="C889" s="15" t="s">
        <v>452</v>
      </c>
      <c r="D889" s="15" t="s">
        <v>2732</v>
      </c>
      <c r="E889" s="15" t="s">
        <v>79</v>
      </c>
      <c r="G889" s="10" t="n">
        <v>1</v>
      </c>
      <c r="H889" s="21" t="n">
        <v>46036.4312384259</v>
      </c>
      <c r="I889" s="15" t="s">
        <v>3007</v>
      </c>
      <c r="J889" s="15" t="s">
        <v>3007</v>
      </c>
      <c r="K889" s="15"/>
      <c r="L889" s="10" t="n">
        <f aca="false">COUNTIF($E$2:E889,E889)</f>
        <v>12</v>
      </c>
      <c r="M889" s="10" t="e">
        <f aca="false">ifs(L889=1, L889&amp;"-"&amp; COUNTIFS($L$2:L889,1))</f>
        <v>#NAME?</v>
      </c>
      <c r="N889" s="15" t="s">
        <v>603</v>
      </c>
      <c r="O889" s="10"/>
      <c r="P889" s="22" t="n">
        <f aca="false">COUNTIFS(C:C,C889,N:N,"Đã xác nhận")/COUNTIFS(C:C,C889)</f>
        <v>1</v>
      </c>
      <c r="Q889" s="22"/>
      <c r="R889" s="0" t="s">
        <v>2734</v>
      </c>
      <c r="S889" s="0" t="s">
        <v>564</v>
      </c>
      <c r="U889" s="24" t="n">
        <v>1</v>
      </c>
    </row>
    <row r="890" customFormat="false" ht="12.75" hidden="false" customHeight="false" outlineLevel="0" collapsed="false">
      <c r="A890" s="15" t="s">
        <v>3008</v>
      </c>
      <c r="B890" s="15" t="s">
        <v>600</v>
      </c>
      <c r="C890" s="15" t="s">
        <v>452</v>
      </c>
      <c r="D890" s="15" t="s">
        <v>673</v>
      </c>
      <c r="E890" s="15" t="s">
        <v>77</v>
      </c>
      <c r="G890" s="10" t="n">
        <v>2</v>
      </c>
      <c r="H890" s="21" t="n">
        <v>46036.4315277778</v>
      </c>
      <c r="I890" s="15" t="s">
        <v>3009</v>
      </c>
      <c r="J890" s="15" t="s">
        <v>3009</v>
      </c>
      <c r="K890" s="15"/>
      <c r="L890" s="10" t="n">
        <f aca="false">COUNTIF($E$2:E890,E890)</f>
        <v>34</v>
      </c>
      <c r="M890" s="10" t="e">
        <f aca="false">ifs(L890=1, L890&amp;"-"&amp; COUNTIFS($L$2:L890,1))</f>
        <v>#NAME?</v>
      </c>
      <c r="N890" s="15" t="s">
        <v>603</v>
      </c>
      <c r="O890" s="10"/>
      <c r="P890" s="22" t="n">
        <f aca="false">COUNTIFS(C:C,C890,N:N,"Đã xác nhận")/COUNTIFS(C:C,C890)</f>
        <v>1</v>
      </c>
      <c r="Q890" s="22"/>
      <c r="R890" s="0" t="s">
        <v>675</v>
      </c>
      <c r="S890" s="0" t="s">
        <v>78</v>
      </c>
      <c r="U890" s="24" t="n">
        <v>2</v>
      </c>
    </row>
    <row r="891" customFormat="false" ht="12.75" hidden="false" customHeight="false" outlineLevel="0" collapsed="false">
      <c r="A891" s="15" t="s">
        <v>3010</v>
      </c>
      <c r="B891" s="15" t="s">
        <v>600</v>
      </c>
      <c r="C891" s="15" t="s">
        <v>452</v>
      </c>
      <c r="D891" s="15" t="s">
        <v>2796</v>
      </c>
      <c r="E891" s="15" t="s">
        <v>49</v>
      </c>
      <c r="G891" s="10" t="n">
        <v>5</v>
      </c>
      <c r="H891" s="21" t="n">
        <v>46045.3783333333</v>
      </c>
      <c r="I891" s="15" t="s">
        <v>3011</v>
      </c>
      <c r="J891" s="15" t="s">
        <v>3011</v>
      </c>
      <c r="K891" s="15"/>
      <c r="L891" s="10" t="n">
        <f aca="false">COUNTIF($E$2:E891,E891)</f>
        <v>11</v>
      </c>
      <c r="M891" s="10" t="e">
        <f aca="false">ifs(L891=1, L891&amp;"-"&amp; COUNTIFS($L$2:L891,1))</f>
        <v>#NAME?</v>
      </c>
      <c r="N891" s="15" t="s">
        <v>603</v>
      </c>
      <c r="O891" s="10"/>
      <c r="P891" s="22" t="n">
        <f aca="false">COUNTIFS(C:C,C891,N:N,"Đã xác nhận")/COUNTIFS(C:C,C891)</f>
        <v>1</v>
      </c>
      <c r="Q891" s="22"/>
      <c r="R891" s="0" t="s">
        <v>2798</v>
      </c>
      <c r="S891" s="0" t="s">
        <v>537</v>
      </c>
      <c r="U891" s="24" t="n">
        <v>5</v>
      </c>
    </row>
    <row r="892" customFormat="false" ht="12.75" hidden="false" customHeight="false" outlineLevel="0" collapsed="false">
      <c r="A892" s="15" t="s">
        <v>3012</v>
      </c>
      <c r="B892" s="15" t="s">
        <v>600</v>
      </c>
      <c r="C892" s="15" t="s">
        <v>784</v>
      </c>
      <c r="D892" s="15" t="s">
        <v>766</v>
      </c>
      <c r="E892" s="15" t="s">
        <v>65</v>
      </c>
      <c r="G892" s="10" t="n">
        <v>1</v>
      </c>
      <c r="H892" s="21" t="n">
        <v>45975.5729513889</v>
      </c>
      <c r="I892" s="15" t="s">
        <v>3013</v>
      </c>
      <c r="J892" s="15" t="s">
        <v>3014</v>
      </c>
      <c r="K892" s="15" t="s">
        <v>3015</v>
      </c>
      <c r="L892" s="10" t="n">
        <f aca="false">COUNTIF($E$2:E892,E892)</f>
        <v>5</v>
      </c>
      <c r="M892" s="10" t="e">
        <f aca="false">ifs(L892=1, L892&amp;"-"&amp; COUNTIFS($L$2:L892,1))</f>
        <v>#NAME?</v>
      </c>
      <c r="O892" s="10"/>
      <c r="P892" s="22" t="n">
        <f aca="false">COUNTIFS(C:C,C892,N:N,"Đã xác nhận")/COUNTIFS(C:C,C892)</f>
        <v>0.275</v>
      </c>
      <c r="Q892" s="22"/>
      <c r="R892" s="0" t="s">
        <v>768</v>
      </c>
      <c r="S892" s="0" t="s">
        <v>580</v>
      </c>
      <c r="U892" s="24" t="n">
        <v>1</v>
      </c>
    </row>
    <row r="893" customFormat="false" ht="12.75" hidden="false" customHeight="false" outlineLevel="0" collapsed="false">
      <c r="A893" s="15" t="s">
        <v>3016</v>
      </c>
      <c r="B893" s="15" t="s">
        <v>600</v>
      </c>
      <c r="C893" s="15" t="s">
        <v>784</v>
      </c>
      <c r="D893" s="15" t="s">
        <v>766</v>
      </c>
      <c r="E893" s="15" t="s">
        <v>33</v>
      </c>
      <c r="G893" s="10" t="n">
        <v>5</v>
      </c>
      <c r="H893" s="21" t="n">
        <v>45975.5759953704</v>
      </c>
      <c r="I893" s="15" t="s">
        <v>3013</v>
      </c>
      <c r="J893" s="15" t="s">
        <v>3017</v>
      </c>
      <c r="K893" s="15" t="s">
        <v>3018</v>
      </c>
      <c r="L893" s="10" t="n">
        <f aca="false">COUNTIF($E$2:E893,E893)</f>
        <v>55</v>
      </c>
      <c r="M893" s="10" t="e">
        <f aca="false">ifs(L893=1, L893&amp;"-"&amp; COUNTIFS($L$2:L893,1))</f>
        <v>#NAME?</v>
      </c>
      <c r="O893" s="10"/>
      <c r="P893" s="22" t="n">
        <f aca="false">COUNTIFS(C:C,C893,N:N,"Đã xác nhận")/COUNTIFS(C:C,C893)</f>
        <v>0.275</v>
      </c>
      <c r="Q893" s="22"/>
      <c r="R893" s="0" t="s">
        <v>768</v>
      </c>
      <c r="S893" s="0" t="s">
        <v>536</v>
      </c>
      <c r="U893" s="24" t="n">
        <v>5</v>
      </c>
    </row>
    <row r="894" customFormat="false" ht="12.75" hidden="false" customHeight="false" outlineLevel="0" collapsed="false">
      <c r="A894" s="15" t="s">
        <v>3019</v>
      </c>
      <c r="B894" s="15" t="s">
        <v>600</v>
      </c>
      <c r="C894" s="15" t="s">
        <v>784</v>
      </c>
      <c r="D894" s="15" t="s">
        <v>888</v>
      </c>
      <c r="E894" s="15" t="s">
        <v>45</v>
      </c>
      <c r="G894" s="10" t="n">
        <v>1</v>
      </c>
      <c r="H894" s="21" t="n">
        <v>45975.5792592593</v>
      </c>
      <c r="I894" s="15" t="s">
        <v>3013</v>
      </c>
      <c r="J894" s="15" t="s">
        <v>3020</v>
      </c>
      <c r="K894" s="15" t="s">
        <v>3021</v>
      </c>
      <c r="L894" s="10" t="n">
        <f aca="false">COUNTIF($E$2:E894,E894)</f>
        <v>6</v>
      </c>
      <c r="M894" s="10" t="e">
        <f aca="false">ifs(L894=1, L894&amp;"-"&amp; COUNTIFS($L$2:L894,1))</f>
        <v>#NAME?</v>
      </c>
      <c r="O894" s="10"/>
      <c r="P894" s="22" t="n">
        <f aca="false">COUNTIFS(C:C,C894,N:N,"Đã xác nhận")/COUNTIFS(C:C,C894)</f>
        <v>0.275</v>
      </c>
      <c r="Q894" s="22"/>
      <c r="R894" s="0" t="s">
        <v>892</v>
      </c>
      <c r="S894" s="0" t="s">
        <v>540</v>
      </c>
      <c r="U894" s="24" t="n">
        <v>1</v>
      </c>
    </row>
    <row r="895" customFormat="false" ht="12.75" hidden="false" customHeight="false" outlineLevel="0" collapsed="false">
      <c r="A895" s="15" t="s">
        <v>3022</v>
      </c>
      <c r="B895" s="15" t="s">
        <v>600</v>
      </c>
      <c r="C895" s="15" t="s">
        <v>784</v>
      </c>
      <c r="D895" s="15" t="s">
        <v>799</v>
      </c>
      <c r="E895" s="15" t="s">
        <v>59</v>
      </c>
      <c r="G895" s="10" t="n">
        <v>2</v>
      </c>
      <c r="H895" s="21" t="n">
        <v>45975.5813657407</v>
      </c>
      <c r="I895" s="15" t="s">
        <v>3013</v>
      </c>
      <c r="J895" s="15" t="s">
        <v>3023</v>
      </c>
      <c r="K895" s="15" t="s">
        <v>3024</v>
      </c>
      <c r="L895" s="10" t="n">
        <f aca="false">COUNTIF($E$2:E895,E895)</f>
        <v>21</v>
      </c>
      <c r="M895" s="10" t="e">
        <f aca="false">ifs(L895=1, L895&amp;"-"&amp; COUNTIFS($L$2:L895,1))</f>
        <v>#NAME?</v>
      </c>
      <c r="O895" s="10"/>
      <c r="P895" s="22" t="n">
        <f aca="false">COUNTIFS(C:C,C895,N:N,"Đã xác nhận")/COUNTIFS(C:C,C895)</f>
        <v>0.275</v>
      </c>
      <c r="Q895" s="22"/>
      <c r="R895" s="0" t="s">
        <v>800</v>
      </c>
      <c r="S895" s="0" t="s">
        <v>562</v>
      </c>
      <c r="U895" s="24" t="n">
        <v>2</v>
      </c>
    </row>
    <row r="896" customFormat="false" ht="12.75" hidden="false" customHeight="false" outlineLevel="0" collapsed="false">
      <c r="A896" s="15" t="s">
        <v>3025</v>
      </c>
      <c r="B896" s="15" t="s">
        <v>600</v>
      </c>
      <c r="C896" s="15" t="s">
        <v>784</v>
      </c>
      <c r="D896" s="15" t="s">
        <v>2732</v>
      </c>
      <c r="E896" s="15" t="s">
        <v>79</v>
      </c>
      <c r="G896" s="10" t="n">
        <v>1</v>
      </c>
      <c r="H896" s="21" t="n">
        <v>45975.5820138889</v>
      </c>
      <c r="I896" s="15" t="s">
        <v>3013</v>
      </c>
      <c r="J896" s="15" t="s">
        <v>3026</v>
      </c>
      <c r="K896" s="15" t="s">
        <v>3027</v>
      </c>
      <c r="L896" s="10" t="n">
        <f aca="false">COUNTIF($E$2:E896,E896)</f>
        <v>13</v>
      </c>
      <c r="M896" s="10" t="e">
        <f aca="false">ifs(L896=1, L896&amp;"-"&amp; COUNTIFS($L$2:L896,1))</f>
        <v>#NAME?</v>
      </c>
      <c r="O896" s="10"/>
      <c r="P896" s="22" t="n">
        <f aca="false">COUNTIFS(C:C,C896,N:N,"Đã xác nhận")/COUNTIFS(C:C,C896)</f>
        <v>0.275</v>
      </c>
      <c r="Q896" s="22"/>
      <c r="R896" s="0" t="s">
        <v>2734</v>
      </c>
      <c r="S896" s="0" t="s">
        <v>564</v>
      </c>
      <c r="U896" s="24" t="n">
        <v>1</v>
      </c>
    </row>
    <row r="897" customFormat="false" ht="12.75" hidden="false" customHeight="false" outlineLevel="0" collapsed="false">
      <c r="A897" s="15" t="s">
        <v>3028</v>
      </c>
      <c r="B897" s="15" t="s">
        <v>600</v>
      </c>
      <c r="C897" s="15" t="s">
        <v>784</v>
      </c>
      <c r="D897" s="15" t="s">
        <v>766</v>
      </c>
      <c r="E897" s="15" t="s">
        <v>21</v>
      </c>
      <c r="G897" s="10" t="n">
        <v>1</v>
      </c>
      <c r="H897" s="21" t="n">
        <v>45975.5857291667</v>
      </c>
      <c r="I897" s="15" t="s">
        <v>3013</v>
      </c>
      <c r="J897" s="15" t="s">
        <v>3029</v>
      </c>
      <c r="K897" s="15" t="s">
        <v>3030</v>
      </c>
      <c r="L897" s="10" t="n">
        <f aca="false">COUNTIF($E$2:E897,E897)</f>
        <v>1</v>
      </c>
      <c r="M897" s="10" t="e">
        <f aca="false">ifs(L897=1, L897&amp;"-"&amp; COUNTIFS($L$2:L897,1))</f>
        <v>#NAME?</v>
      </c>
      <c r="O897" s="10"/>
      <c r="P897" s="22" t="n">
        <f aca="false">COUNTIFS(C:C,C897,N:N,"Đã xác nhận")/COUNTIFS(C:C,C897)</f>
        <v>0.275</v>
      </c>
      <c r="Q897" s="22"/>
      <c r="R897" s="0" t="s">
        <v>768</v>
      </c>
      <c r="S897" s="0" t="s">
        <v>583</v>
      </c>
      <c r="U897" s="24" t="n">
        <v>1</v>
      </c>
    </row>
    <row r="898" customFormat="false" ht="12.75" hidden="false" customHeight="false" outlineLevel="0" collapsed="false">
      <c r="A898" s="15" t="s">
        <v>3031</v>
      </c>
      <c r="B898" s="15" t="s">
        <v>600</v>
      </c>
      <c r="C898" s="15" t="s">
        <v>450</v>
      </c>
      <c r="D898" s="15" t="s">
        <v>766</v>
      </c>
      <c r="E898" s="15" t="s">
        <v>11</v>
      </c>
      <c r="G898" s="10" t="n">
        <v>6</v>
      </c>
      <c r="H898" s="21" t="n">
        <v>46036.4421064815</v>
      </c>
      <c r="I898" s="15" t="s">
        <v>3032</v>
      </c>
      <c r="J898" s="15" t="s">
        <v>3032</v>
      </c>
      <c r="K898" s="15"/>
      <c r="L898" s="10" t="n">
        <f aca="false">COUNTIF($E$2:E898,E898)</f>
        <v>11</v>
      </c>
      <c r="M898" s="10" t="e">
        <f aca="false">ifs(L898=1, L898&amp;"-"&amp; COUNTIFS($L$2:L898,1))</f>
        <v>#NAME?</v>
      </c>
      <c r="N898" s="15" t="s">
        <v>603</v>
      </c>
      <c r="O898" s="10"/>
      <c r="P898" s="22" t="n">
        <f aca="false">COUNTIFS(C:C,C898,N:N,"Đã xác nhận")/COUNTIFS(C:C,C898)</f>
        <v>0.741935483870968</v>
      </c>
      <c r="Q898" s="22"/>
      <c r="R898" s="0" t="s">
        <v>768</v>
      </c>
      <c r="S898" s="0" t="s">
        <v>572</v>
      </c>
      <c r="U898" s="24" t="n">
        <v>6</v>
      </c>
    </row>
    <row r="899" customFormat="false" ht="12.75" hidden="false" customHeight="false" outlineLevel="0" collapsed="false">
      <c r="A899" s="15" t="s">
        <v>3033</v>
      </c>
      <c r="B899" s="15" t="s">
        <v>600</v>
      </c>
      <c r="C899" s="15" t="s">
        <v>450</v>
      </c>
      <c r="D899" s="15" t="s">
        <v>766</v>
      </c>
      <c r="E899" s="15" t="s">
        <v>65</v>
      </c>
      <c r="G899" s="10" t="n">
        <v>1</v>
      </c>
      <c r="H899" s="21" t="n">
        <v>46036.4423032407</v>
      </c>
      <c r="I899" s="15" t="s">
        <v>3034</v>
      </c>
      <c r="J899" s="15" t="s">
        <v>3034</v>
      </c>
      <c r="K899" s="15"/>
      <c r="L899" s="10" t="n">
        <f aca="false">COUNTIF($E$2:E899,E899)</f>
        <v>6</v>
      </c>
      <c r="M899" s="10" t="e">
        <f aca="false">ifs(L899=1, L899&amp;"-"&amp; COUNTIFS($L$2:L899,1))</f>
        <v>#NAME?</v>
      </c>
      <c r="N899" s="15" t="s">
        <v>603</v>
      </c>
      <c r="O899" s="10"/>
      <c r="P899" s="22" t="n">
        <f aca="false">COUNTIFS(C:C,C899,N:N,"Đã xác nhận")/COUNTIFS(C:C,C899)</f>
        <v>0.741935483870968</v>
      </c>
      <c r="Q899" s="22"/>
      <c r="R899" s="0" t="s">
        <v>768</v>
      </c>
      <c r="S899" s="0" t="s">
        <v>580</v>
      </c>
      <c r="U899" s="24" t="n">
        <v>1</v>
      </c>
    </row>
    <row r="900" customFormat="false" ht="12.75" hidden="false" customHeight="false" outlineLevel="0" collapsed="false">
      <c r="A900" s="15" t="s">
        <v>3035</v>
      </c>
      <c r="B900" s="15" t="s">
        <v>600</v>
      </c>
      <c r="C900" s="15" t="s">
        <v>450</v>
      </c>
      <c r="D900" s="15" t="s">
        <v>766</v>
      </c>
      <c r="E900" s="15" t="s">
        <v>33</v>
      </c>
      <c r="G900" s="10" t="n">
        <v>5</v>
      </c>
      <c r="H900" s="21" t="n">
        <v>45975.8589930556</v>
      </c>
      <c r="I900" s="15" t="s">
        <v>3036</v>
      </c>
      <c r="J900" s="15" t="s">
        <v>3037</v>
      </c>
      <c r="K900" s="15" t="s">
        <v>3038</v>
      </c>
      <c r="L900" s="10" t="n">
        <f aca="false">COUNTIF($E$2:E900,E900)</f>
        <v>56</v>
      </c>
      <c r="M900" s="10" t="e">
        <f aca="false">ifs(L900=1, L900&amp;"-"&amp; COUNTIFS($L$2:L900,1))</f>
        <v>#NAME?</v>
      </c>
      <c r="O900" s="10"/>
      <c r="P900" s="22" t="n">
        <f aca="false">COUNTIFS(C:C,C900,N:N,"Đã xác nhận")/COUNTIFS(C:C,C900)</f>
        <v>0.741935483870968</v>
      </c>
      <c r="Q900" s="22"/>
      <c r="R900" s="0" t="s">
        <v>768</v>
      </c>
      <c r="S900" s="0" t="s">
        <v>536</v>
      </c>
      <c r="U900" s="24" t="n">
        <v>5</v>
      </c>
    </row>
    <row r="901" customFormat="false" ht="12.75" hidden="false" customHeight="false" outlineLevel="0" collapsed="false">
      <c r="A901" s="15" t="s">
        <v>3039</v>
      </c>
      <c r="B901" s="15" t="s">
        <v>600</v>
      </c>
      <c r="C901" s="15" t="s">
        <v>450</v>
      </c>
      <c r="D901" s="15" t="s">
        <v>888</v>
      </c>
      <c r="E901" s="15" t="s">
        <v>45</v>
      </c>
      <c r="G901" s="10" t="n">
        <v>1</v>
      </c>
      <c r="H901" s="21" t="n">
        <v>46036.4427083333</v>
      </c>
      <c r="I901" s="15" t="s">
        <v>3040</v>
      </c>
      <c r="J901" s="15" t="s">
        <v>3040</v>
      </c>
      <c r="K901" s="15"/>
      <c r="L901" s="10" t="n">
        <f aca="false">COUNTIF($E$2:E901,E901)</f>
        <v>7</v>
      </c>
      <c r="M901" s="10" t="e">
        <f aca="false">ifs(L901=1, L901&amp;"-"&amp; COUNTIFS($L$2:L901,1))</f>
        <v>#NAME?</v>
      </c>
      <c r="N901" s="15" t="s">
        <v>603</v>
      </c>
      <c r="O901" s="10"/>
      <c r="P901" s="22" t="n">
        <f aca="false">COUNTIFS(C:C,C901,N:N,"Đã xác nhận")/COUNTIFS(C:C,C901)</f>
        <v>0.741935483870968</v>
      </c>
      <c r="Q901" s="22"/>
      <c r="R901" s="0" t="s">
        <v>892</v>
      </c>
      <c r="S901" s="0" t="s">
        <v>540</v>
      </c>
      <c r="U901" s="24" t="n">
        <v>1</v>
      </c>
    </row>
    <row r="902" customFormat="false" ht="12.75" hidden="false" customHeight="false" outlineLevel="0" collapsed="false">
      <c r="A902" s="15" t="s">
        <v>3041</v>
      </c>
      <c r="B902" s="15" t="s">
        <v>600</v>
      </c>
      <c r="C902" s="15" t="s">
        <v>450</v>
      </c>
      <c r="D902" s="15" t="s">
        <v>1329</v>
      </c>
      <c r="E902" s="15" t="s">
        <v>59</v>
      </c>
      <c r="G902" s="10" t="n">
        <v>2</v>
      </c>
      <c r="H902" s="21" t="n">
        <v>46036.4428009259</v>
      </c>
      <c r="I902" s="15" t="s">
        <v>3042</v>
      </c>
      <c r="J902" s="15" t="s">
        <v>3042</v>
      </c>
      <c r="K902" s="15"/>
      <c r="L902" s="10" t="n">
        <f aca="false">COUNTIF($E$2:E902,E902)</f>
        <v>22</v>
      </c>
      <c r="M902" s="10" t="e">
        <f aca="false">ifs(L902=1, L902&amp;"-"&amp; COUNTIFS($L$2:L902,1))</f>
        <v>#NAME?</v>
      </c>
      <c r="N902" s="15" t="s">
        <v>603</v>
      </c>
      <c r="O902" s="10"/>
      <c r="P902" s="22" t="n">
        <f aca="false">COUNTIFS(C:C,C902,N:N,"Đã xác nhận")/COUNTIFS(C:C,C902)</f>
        <v>0.741935483870968</v>
      </c>
      <c r="Q902" s="22"/>
      <c r="R902" s="0" t="s">
        <v>1331</v>
      </c>
      <c r="S902" s="0" t="s">
        <v>562</v>
      </c>
      <c r="U902" s="24" t="n">
        <v>2</v>
      </c>
    </row>
    <row r="903" customFormat="false" ht="12.75" hidden="false" customHeight="false" outlineLevel="0" collapsed="false">
      <c r="A903" s="15" t="s">
        <v>3043</v>
      </c>
      <c r="B903" s="15" t="s">
        <v>600</v>
      </c>
      <c r="C903" s="15" t="s">
        <v>450</v>
      </c>
      <c r="D903" s="15" t="s">
        <v>2732</v>
      </c>
      <c r="E903" s="15" t="s">
        <v>79</v>
      </c>
      <c r="G903" s="10" t="n">
        <v>1</v>
      </c>
      <c r="H903" s="21" t="n">
        <v>46036.4430671296</v>
      </c>
      <c r="I903" s="15" t="s">
        <v>3044</v>
      </c>
      <c r="J903" s="15" t="s">
        <v>3044</v>
      </c>
      <c r="K903" s="15"/>
      <c r="L903" s="10" t="n">
        <f aca="false">COUNTIF($E$2:E903,E903)</f>
        <v>14</v>
      </c>
      <c r="M903" s="10" t="e">
        <f aca="false">ifs(L903=1, L903&amp;"-"&amp; COUNTIFS($L$2:L903,1))</f>
        <v>#NAME?</v>
      </c>
      <c r="N903" s="15" t="s">
        <v>603</v>
      </c>
      <c r="O903" s="10"/>
      <c r="P903" s="22" t="n">
        <f aca="false">COUNTIFS(C:C,C903,N:N,"Đã xác nhận")/COUNTIFS(C:C,C903)</f>
        <v>0.741935483870968</v>
      </c>
      <c r="Q903" s="22"/>
      <c r="R903" s="0" t="s">
        <v>2734</v>
      </c>
      <c r="S903" s="0" t="s">
        <v>564</v>
      </c>
      <c r="U903" s="24" t="n">
        <v>1</v>
      </c>
    </row>
    <row r="904" customFormat="false" ht="12.75" hidden="false" customHeight="false" outlineLevel="0" collapsed="false">
      <c r="A904" s="15" t="s">
        <v>3045</v>
      </c>
      <c r="B904" s="15" t="s">
        <v>600</v>
      </c>
      <c r="C904" s="15" t="s">
        <v>450</v>
      </c>
      <c r="D904" s="15" t="s">
        <v>673</v>
      </c>
      <c r="E904" s="15" t="s">
        <v>77</v>
      </c>
      <c r="G904" s="10" t="n">
        <v>2</v>
      </c>
      <c r="H904" s="21" t="n">
        <v>46036.4432175926</v>
      </c>
      <c r="I904" s="15" t="s">
        <v>3046</v>
      </c>
      <c r="J904" s="15" t="s">
        <v>3046</v>
      </c>
      <c r="K904" s="15"/>
      <c r="L904" s="10" t="n">
        <f aca="false">COUNTIF($E$2:E904,E904)</f>
        <v>35</v>
      </c>
      <c r="M904" s="10" t="e">
        <f aca="false">ifs(L904=1, L904&amp;"-"&amp; COUNTIFS($L$2:L904,1))</f>
        <v>#NAME?</v>
      </c>
      <c r="N904" s="15" t="s">
        <v>603</v>
      </c>
      <c r="O904" s="10"/>
      <c r="P904" s="22" t="n">
        <f aca="false">COUNTIFS(C:C,C904,N:N,"Đã xác nhận")/COUNTIFS(C:C,C904)</f>
        <v>0.741935483870968</v>
      </c>
      <c r="Q904" s="22"/>
      <c r="R904" s="0" t="s">
        <v>675</v>
      </c>
      <c r="S904" s="0" t="s">
        <v>78</v>
      </c>
      <c r="U904" s="24" t="n">
        <v>2</v>
      </c>
    </row>
    <row r="905" customFormat="false" ht="12.75" hidden="false" customHeight="false" outlineLevel="0" collapsed="false">
      <c r="A905" s="15" t="s">
        <v>3047</v>
      </c>
      <c r="B905" s="15" t="s">
        <v>1103</v>
      </c>
      <c r="C905" s="15" t="s">
        <v>455</v>
      </c>
      <c r="D905" s="15" t="s">
        <v>3048</v>
      </c>
      <c r="E905" s="15" t="s">
        <v>81</v>
      </c>
      <c r="G905" s="10" t="n">
        <v>1</v>
      </c>
      <c r="H905" s="21" t="n">
        <v>46077.6628009259</v>
      </c>
      <c r="I905" s="15" t="s">
        <v>3049</v>
      </c>
      <c r="J905" s="15" t="s">
        <v>3049</v>
      </c>
      <c r="K905" s="15"/>
      <c r="L905" s="10" t="n">
        <f aca="false">COUNTIF($E$2:E905,E905)</f>
        <v>177</v>
      </c>
      <c r="M905" s="10" t="e">
        <f aca="false">ifs(L905=1, L905&amp;"-"&amp; COUNTIFS($L$2:L905,1))</f>
        <v>#NAME?</v>
      </c>
      <c r="N905" s="15" t="s">
        <v>603</v>
      </c>
      <c r="O905" s="10"/>
      <c r="P905" s="22" t="n">
        <f aca="false">COUNTIFS(C:C,C905,N:N,"Đã xác nhận")/COUNTIFS(C:C,C905)</f>
        <v>1</v>
      </c>
      <c r="Q905" s="22"/>
      <c r="R905" s="0" t="s">
        <v>3050</v>
      </c>
      <c r="S905" s="0" t="s">
        <v>534</v>
      </c>
      <c r="U905" s="24" t="n">
        <v>1</v>
      </c>
    </row>
    <row r="906" customFormat="false" ht="12.75" hidden="false" customHeight="false" outlineLevel="0" collapsed="false">
      <c r="A906" s="15" t="s">
        <v>3051</v>
      </c>
      <c r="B906" s="15" t="s">
        <v>1103</v>
      </c>
      <c r="C906" s="15" t="s">
        <v>455</v>
      </c>
      <c r="D906" s="15" t="s">
        <v>3052</v>
      </c>
      <c r="E906" s="15" t="s">
        <v>55</v>
      </c>
      <c r="G906" s="10" t="n">
        <v>1</v>
      </c>
      <c r="H906" s="21" t="n">
        <v>46077.6625</v>
      </c>
      <c r="I906" s="15" t="s">
        <v>3053</v>
      </c>
      <c r="J906" s="15" t="s">
        <v>3053</v>
      </c>
      <c r="K906" s="15"/>
      <c r="L906" s="10" t="n">
        <f aca="false">COUNTIF($E$2:E906,E906)</f>
        <v>91</v>
      </c>
      <c r="M906" s="10" t="e">
        <f aca="false">ifs(L906=1, L906&amp;"-"&amp; COUNTIFS($L$2:L906,1))</f>
        <v>#NAME?</v>
      </c>
      <c r="N906" s="15" t="s">
        <v>603</v>
      </c>
      <c r="O906" s="10"/>
      <c r="P906" s="22" t="n">
        <f aca="false">COUNTIFS(C:C,C906,N:N,"Đã xác nhận")/COUNTIFS(C:C,C906)</f>
        <v>1</v>
      </c>
      <c r="Q906" s="22"/>
      <c r="R906" s="0" t="s">
        <v>3054</v>
      </c>
      <c r="S906" s="0" t="s">
        <v>539</v>
      </c>
      <c r="U906" s="24" t="n">
        <v>1</v>
      </c>
    </row>
    <row r="907" customFormat="false" ht="12.75" hidden="false" customHeight="false" outlineLevel="0" collapsed="false">
      <c r="A907" s="15" t="s">
        <v>3055</v>
      </c>
      <c r="B907" s="15" t="s">
        <v>1103</v>
      </c>
      <c r="C907" s="15" t="s">
        <v>455</v>
      </c>
      <c r="D907" s="15" t="s">
        <v>1120</v>
      </c>
      <c r="E907" s="15" t="s">
        <v>55</v>
      </c>
      <c r="G907" s="10" t="n">
        <v>1</v>
      </c>
      <c r="H907" s="21" t="n">
        <v>46077.6624884259</v>
      </c>
      <c r="I907" s="15" t="s">
        <v>3056</v>
      </c>
      <c r="J907" s="15" t="s">
        <v>3056</v>
      </c>
      <c r="K907" s="15"/>
      <c r="L907" s="10" t="n">
        <f aca="false">COUNTIF($E$2:E907,E907)</f>
        <v>92</v>
      </c>
      <c r="M907" s="10" t="e">
        <f aca="false">ifs(L907=1, L907&amp;"-"&amp; COUNTIFS($L$2:L907,1))</f>
        <v>#NAME?</v>
      </c>
      <c r="N907" s="15" t="s">
        <v>603</v>
      </c>
      <c r="O907" s="10"/>
      <c r="P907" s="22" t="n">
        <f aca="false">COUNTIFS(C:C,C907,N:N,"Đã xác nhận")/COUNTIFS(C:C,C907)</f>
        <v>1</v>
      </c>
      <c r="Q907" s="22"/>
      <c r="R907" s="0" t="s">
        <v>1122</v>
      </c>
      <c r="S907" s="0" t="s">
        <v>539</v>
      </c>
      <c r="U907" s="24" t="n">
        <v>1</v>
      </c>
    </row>
    <row r="908" customFormat="false" ht="12.75" hidden="false" customHeight="false" outlineLevel="0" collapsed="false">
      <c r="A908" s="15" t="s">
        <v>3057</v>
      </c>
      <c r="B908" s="15" t="s">
        <v>1103</v>
      </c>
      <c r="C908" s="15" t="s">
        <v>455</v>
      </c>
      <c r="D908" s="15" t="s">
        <v>3058</v>
      </c>
      <c r="E908" s="15" t="s">
        <v>81</v>
      </c>
      <c r="G908" s="10" t="n">
        <v>4</v>
      </c>
      <c r="H908" s="21" t="n">
        <v>46077.6627546296</v>
      </c>
      <c r="I908" s="15" t="s">
        <v>3059</v>
      </c>
      <c r="J908" s="15" t="s">
        <v>3059</v>
      </c>
      <c r="K908" s="15"/>
      <c r="L908" s="10" t="n">
        <f aca="false">COUNTIF($E$2:E908,E908)</f>
        <v>178</v>
      </c>
      <c r="M908" s="10" t="e">
        <f aca="false">ifs(L908=1, L908&amp;"-"&amp; COUNTIFS($L$2:L908,1))</f>
        <v>#NAME?</v>
      </c>
      <c r="N908" s="15" t="s">
        <v>603</v>
      </c>
      <c r="O908" s="10"/>
      <c r="P908" s="22" t="n">
        <f aca="false">COUNTIFS(C:C,C908,N:N,"Đã xác nhận")/COUNTIFS(C:C,C908)</f>
        <v>1</v>
      </c>
      <c r="Q908" s="22"/>
      <c r="R908" s="0" t="s">
        <v>3060</v>
      </c>
      <c r="S908" s="0" t="s">
        <v>534</v>
      </c>
      <c r="U908" s="24" t="n">
        <v>4</v>
      </c>
    </row>
    <row r="909" customFormat="false" ht="12.75" hidden="false" customHeight="false" outlineLevel="0" collapsed="false">
      <c r="A909" s="15" t="s">
        <v>3061</v>
      </c>
      <c r="B909" s="15" t="s">
        <v>1103</v>
      </c>
      <c r="C909" s="15" t="s">
        <v>455</v>
      </c>
      <c r="D909" s="15" t="s">
        <v>1150</v>
      </c>
      <c r="E909" s="15" t="s">
        <v>47</v>
      </c>
      <c r="G909" s="10" t="n">
        <v>1</v>
      </c>
      <c r="H909" s="21" t="n">
        <v>46077.6630208333</v>
      </c>
      <c r="I909" s="15" t="s">
        <v>3062</v>
      </c>
      <c r="J909" s="15" t="s">
        <v>3062</v>
      </c>
      <c r="K909" s="15"/>
      <c r="L909" s="10" t="n">
        <f aca="false">COUNTIF($E$2:E909,E909)</f>
        <v>50</v>
      </c>
      <c r="M909" s="10" t="e">
        <f aca="false">ifs(L909=1, L909&amp;"-"&amp; COUNTIFS($L$2:L909,1))</f>
        <v>#NAME?</v>
      </c>
      <c r="N909" s="15" t="s">
        <v>603</v>
      </c>
      <c r="O909" s="10"/>
      <c r="P909" s="22" t="n">
        <f aca="false">COUNTIFS(C:C,C909,N:N,"Đã xác nhận")/COUNTIFS(C:C,C909)</f>
        <v>1</v>
      </c>
      <c r="Q909" s="22"/>
      <c r="R909" s="0" t="s">
        <v>1152</v>
      </c>
      <c r="S909" s="0" t="s">
        <v>549</v>
      </c>
      <c r="U909" s="24" t="n">
        <v>1</v>
      </c>
    </row>
    <row r="910" customFormat="false" ht="12.75" hidden="false" customHeight="false" outlineLevel="0" collapsed="false">
      <c r="A910" s="15" t="s">
        <v>3063</v>
      </c>
      <c r="B910" s="15" t="s">
        <v>1103</v>
      </c>
      <c r="C910" s="15" t="s">
        <v>455</v>
      </c>
      <c r="D910" s="15" t="s">
        <v>1115</v>
      </c>
      <c r="E910" s="15" t="s">
        <v>47</v>
      </c>
      <c r="G910" s="10" t="n">
        <v>1</v>
      </c>
      <c r="H910" s="21" t="n">
        <v>46077.6630092593</v>
      </c>
      <c r="I910" s="15" t="s">
        <v>3064</v>
      </c>
      <c r="J910" s="15" t="s">
        <v>3064</v>
      </c>
      <c r="K910" s="15"/>
      <c r="L910" s="10" t="n">
        <f aca="false">COUNTIF($E$2:E910,E910)</f>
        <v>51</v>
      </c>
      <c r="M910" s="10" t="e">
        <f aca="false">ifs(L910=1, L910&amp;"-"&amp; COUNTIFS($L$2:L910,1))</f>
        <v>#NAME?</v>
      </c>
      <c r="N910" s="15" t="s">
        <v>603</v>
      </c>
      <c r="O910" s="10"/>
      <c r="P910" s="22" t="n">
        <f aca="false">COUNTIFS(C:C,C910,N:N,"Đã xác nhận")/COUNTIFS(C:C,C910)</f>
        <v>1</v>
      </c>
      <c r="Q910" s="22"/>
      <c r="R910" s="0" t="s">
        <v>1119</v>
      </c>
      <c r="S910" s="0" t="s">
        <v>549</v>
      </c>
      <c r="U910" s="24" t="n">
        <v>1</v>
      </c>
    </row>
    <row r="911" customFormat="false" ht="12.75" hidden="false" customHeight="false" outlineLevel="0" collapsed="false">
      <c r="A911" s="15" t="s">
        <v>3065</v>
      </c>
      <c r="B911" s="15" t="s">
        <v>1103</v>
      </c>
      <c r="C911" s="15" t="s">
        <v>455</v>
      </c>
      <c r="D911" s="15" t="s">
        <v>1128</v>
      </c>
      <c r="E911" s="15" t="s">
        <v>55</v>
      </c>
      <c r="G911" s="10" t="n">
        <v>1</v>
      </c>
      <c r="H911" s="21" t="n">
        <v>46077.6624884259</v>
      </c>
      <c r="I911" s="15" t="s">
        <v>3066</v>
      </c>
      <c r="J911" s="15" t="s">
        <v>3066</v>
      </c>
      <c r="K911" s="15"/>
      <c r="L911" s="10" t="n">
        <f aca="false">COUNTIF($E$2:E911,E911)</f>
        <v>93</v>
      </c>
      <c r="M911" s="10" t="e">
        <f aca="false">ifs(L911=1, L911&amp;"-"&amp; COUNTIFS($L$2:L911,1))</f>
        <v>#NAME?</v>
      </c>
      <c r="N911" s="15" t="s">
        <v>603</v>
      </c>
      <c r="O911" s="10"/>
      <c r="P911" s="22" t="n">
        <f aca="false">COUNTIFS(C:C,C911,N:N,"Đã xác nhận")/COUNTIFS(C:C,C911)</f>
        <v>1</v>
      </c>
      <c r="Q911" s="22"/>
      <c r="R911" s="0" t="s">
        <v>1130</v>
      </c>
      <c r="S911" s="0" t="s">
        <v>539</v>
      </c>
      <c r="U911" s="24" t="n">
        <v>1</v>
      </c>
    </row>
    <row r="912" customFormat="false" ht="12.75" hidden="false" customHeight="false" outlineLevel="0" collapsed="false">
      <c r="A912" s="15" t="s">
        <v>3067</v>
      </c>
      <c r="B912" s="15" t="s">
        <v>1103</v>
      </c>
      <c r="C912" s="15" t="s">
        <v>455</v>
      </c>
      <c r="D912" s="15" t="s">
        <v>1500</v>
      </c>
      <c r="E912" s="15" t="s">
        <v>81</v>
      </c>
      <c r="G912" s="10" t="n">
        <v>3</v>
      </c>
      <c r="H912" s="21" t="n">
        <v>46077.6628240741</v>
      </c>
      <c r="I912" s="15" t="s">
        <v>3068</v>
      </c>
      <c r="J912" s="15" t="s">
        <v>3068</v>
      </c>
      <c r="K912" s="15"/>
      <c r="L912" s="10" t="n">
        <f aca="false">COUNTIF($E$2:E912,E912)</f>
        <v>179</v>
      </c>
      <c r="M912" s="10" t="e">
        <f aca="false">ifs(L912=1, L912&amp;"-"&amp; COUNTIFS($L$2:L912,1))</f>
        <v>#NAME?</v>
      </c>
      <c r="N912" s="15" t="s">
        <v>603</v>
      </c>
      <c r="O912" s="10"/>
      <c r="P912" s="22" t="n">
        <f aca="false">COUNTIFS(C:C,C912,N:N,"Đã xác nhận")/COUNTIFS(C:C,C912)</f>
        <v>1</v>
      </c>
      <c r="Q912" s="22"/>
      <c r="R912" s="0" t="s">
        <v>1502</v>
      </c>
      <c r="S912" s="0" t="s">
        <v>534</v>
      </c>
      <c r="U912" s="24" t="n">
        <v>3</v>
      </c>
    </row>
    <row r="913" customFormat="false" ht="12.75" hidden="false" customHeight="false" outlineLevel="0" collapsed="false">
      <c r="A913" s="15" t="s">
        <v>3069</v>
      </c>
      <c r="B913" s="15" t="s">
        <v>1103</v>
      </c>
      <c r="C913" s="15" t="s">
        <v>455</v>
      </c>
      <c r="D913" s="15" t="s">
        <v>3070</v>
      </c>
      <c r="E913" s="15" t="s">
        <v>63</v>
      </c>
      <c r="G913" s="10" t="n">
        <v>1</v>
      </c>
      <c r="H913" s="21" t="n">
        <v>46077.6625347222</v>
      </c>
      <c r="I913" s="15" t="s">
        <v>3071</v>
      </c>
      <c r="J913" s="15" t="s">
        <v>3071</v>
      </c>
      <c r="K913" s="15"/>
      <c r="L913" s="10" t="n">
        <f aca="false">COUNTIF($E$2:E913,E913)</f>
        <v>15</v>
      </c>
      <c r="M913" s="10" t="e">
        <f aca="false">ifs(L913=1, L913&amp;"-"&amp; COUNTIFS($L$2:L913,1))</f>
        <v>#NAME?</v>
      </c>
      <c r="N913" s="15" t="s">
        <v>603</v>
      </c>
      <c r="O913" s="10"/>
      <c r="P913" s="22" t="n">
        <f aca="false">COUNTIFS(C:C,C913,N:N,"Đã xác nhận")/COUNTIFS(C:C,C913)</f>
        <v>1</v>
      </c>
      <c r="Q913" s="22"/>
      <c r="R913" s="0" t="s">
        <v>3072</v>
      </c>
      <c r="S913" s="0" t="s">
        <v>551</v>
      </c>
      <c r="U913" s="24" t="n">
        <v>1</v>
      </c>
    </row>
    <row r="914" customFormat="false" ht="12.75" hidden="false" customHeight="false" outlineLevel="0" collapsed="false">
      <c r="A914" s="15" t="s">
        <v>3073</v>
      </c>
      <c r="B914" s="15" t="s">
        <v>1103</v>
      </c>
      <c r="C914" s="15" t="s">
        <v>455</v>
      </c>
      <c r="D914" s="15" t="s">
        <v>3074</v>
      </c>
      <c r="E914" s="15" t="s">
        <v>49</v>
      </c>
      <c r="G914" s="10" t="n">
        <v>1</v>
      </c>
      <c r="H914" s="21" t="n">
        <v>46077.662349537</v>
      </c>
      <c r="I914" s="15" t="s">
        <v>3075</v>
      </c>
      <c r="J914" s="15" t="s">
        <v>3075</v>
      </c>
      <c r="K914" s="15"/>
      <c r="L914" s="10" t="n">
        <f aca="false">COUNTIF($E$2:E914,E914)</f>
        <v>12</v>
      </c>
      <c r="M914" s="10" t="e">
        <f aca="false">ifs(L914=1, L914&amp;"-"&amp; COUNTIFS($L$2:L914,1))</f>
        <v>#NAME?</v>
      </c>
      <c r="N914" s="15" t="s">
        <v>603</v>
      </c>
      <c r="O914" s="10"/>
      <c r="P914" s="22" t="n">
        <f aca="false">COUNTIFS(C:C,C914,N:N,"Đã xác nhận")/COUNTIFS(C:C,C914)</f>
        <v>1</v>
      </c>
      <c r="Q914" s="22"/>
      <c r="R914" s="0" t="s">
        <v>3076</v>
      </c>
      <c r="S914" s="0" t="s">
        <v>537</v>
      </c>
      <c r="U914" s="24" t="n">
        <v>1</v>
      </c>
    </row>
    <row r="915" customFormat="false" ht="12.75" hidden="false" customHeight="false" outlineLevel="0" collapsed="false">
      <c r="A915" s="15" t="s">
        <v>3077</v>
      </c>
      <c r="B915" s="15" t="s">
        <v>1103</v>
      </c>
      <c r="C915" s="15" t="s">
        <v>455</v>
      </c>
      <c r="D915" s="15" t="s">
        <v>3078</v>
      </c>
      <c r="E915" s="15" t="s">
        <v>49</v>
      </c>
      <c r="G915" s="10" t="n">
        <v>1</v>
      </c>
      <c r="H915" s="21" t="n">
        <v>46077.6623726852</v>
      </c>
      <c r="I915" s="15" t="s">
        <v>3079</v>
      </c>
      <c r="J915" s="15" t="s">
        <v>3079</v>
      </c>
      <c r="K915" s="15"/>
      <c r="L915" s="10" t="n">
        <f aca="false">COUNTIF($E$2:E915,E915)</f>
        <v>13</v>
      </c>
      <c r="M915" s="10" t="e">
        <f aca="false">ifs(L915=1, L915&amp;"-"&amp; COUNTIFS($L$2:L915,1))</f>
        <v>#NAME?</v>
      </c>
      <c r="N915" s="15" t="s">
        <v>603</v>
      </c>
      <c r="O915" s="10"/>
      <c r="P915" s="22" t="n">
        <f aca="false">COUNTIFS(C:C,C915,N:N,"Đã xác nhận")/COUNTIFS(C:C,C915)</f>
        <v>1</v>
      </c>
      <c r="Q915" s="22"/>
      <c r="R915" s="0" t="s">
        <v>3080</v>
      </c>
      <c r="S915" s="0" t="s">
        <v>537</v>
      </c>
      <c r="U915" s="24" t="n">
        <v>1</v>
      </c>
    </row>
    <row r="916" customFormat="false" ht="12.75" hidden="false" customHeight="false" outlineLevel="0" collapsed="false">
      <c r="A916" s="15" t="s">
        <v>3081</v>
      </c>
      <c r="B916" s="15"/>
      <c r="C916" s="15"/>
      <c r="D916" s="15"/>
      <c r="E916" s="15"/>
      <c r="G916" s="10" t="n">
        <v>0</v>
      </c>
      <c r="H916" s="21" t="n">
        <v>46077.6602083333</v>
      </c>
      <c r="I916" s="15" t="s">
        <v>3082</v>
      </c>
      <c r="J916" s="15" t="s">
        <v>695</v>
      </c>
      <c r="K916" s="15" t="s">
        <v>3083</v>
      </c>
      <c r="L916" s="10" t="n">
        <f aca="false">COUNTIF($E$2:E916,E916)</f>
        <v>0</v>
      </c>
      <c r="M916" s="10" t="e">
        <f aca="false">ifs(L916=1, L916&amp;"-"&amp; COUNTIFS($L$2:L916,1))</f>
        <v>#NAME?</v>
      </c>
      <c r="O916" s="10"/>
      <c r="P916" s="22" t="e">
        <f aca="false">COUNTIFS(C:C,C916,N:N,"Đã xác nhận")/COUNTIFS(C:C,C916)</f>
        <v>#DIV/0!</v>
      </c>
      <c r="Q916" s="22"/>
      <c r="R916" s="0" t="e">
        <f aca="false">#VALUE!</f>
        <v>#VALUE!</v>
      </c>
      <c r="S916" s="0" t="e">
        <f aca="false">#VALUE!</f>
        <v>#VALUE!</v>
      </c>
      <c r="U916" s="24" t="n">
        <v>0</v>
      </c>
    </row>
    <row r="917" customFormat="false" ht="12.75" hidden="false" customHeight="false" outlineLevel="0" collapsed="false">
      <c r="A917" s="15" t="s">
        <v>3084</v>
      </c>
      <c r="B917" s="15"/>
      <c r="C917" s="15"/>
      <c r="D917" s="15"/>
      <c r="E917" s="15"/>
      <c r="G917" s="10" t="n">
        <v>0</v>
      </c>
      <c r="H917" s="21" t="n">
        <v>46046.4775</v>
      </c>
      <c r="I917" s="15" t="s">
        <v>3085</v>
      </c>
      <c r="J917" s="15" t="s">
        <v>695</v>
      </c>
      <c r="K917" s="15" t="s">
        <v>3086</v>
      </c>
      <c r="L917" s="10" t="n">
        <f aca="false">COUNTIF($E$2:E917,E917)</f>
        <v>0</v>
      </c>
      <c r="M917" s="10" t="e">
        <f aca="false">ifs(L917=1, L917&amp;"-"&amp; COUNTIFS($L$2:L917,1))</f>
        <v>#NAME?</v>
      </c>
      <c r="O917" s="10"/>
      <c r="P917" s="22" t="e">
        <f aca="false">COUNTIFS(C:C,C917,N:N,"Đã xác nhận")/COUNTIFS(C:C,C917)</f>
        <v>#DIV/0!</v>
      </c>
      <c r="Q917" s="22"/>
      <c r="R917" s="0" t="e">
        <f aca="false">#VALUE!</f>
        <v>#VALUE!</v>
      </c>
      <c r="S917" s="0" t="e">
        <f aca="false">#VALUE!</f>
        <v>#VALUE!</v>
      </c>
      <c r="U917" s="24" t="n">
        <v>0</v>
      </c>
    </row>
    <row r="918" customFormat="false" ht="12.75" hidden="false" customHeight="false" outlineLevel="0" collapsed="false">
      <c r="A918" s="15" t="s">
        <v>3087</v>
      </c>
      <c r="B918" s="15"/>
      <c r="C918" s="15"/>
      <c r="D918" s="15"/>
      <c r="E918" s="15"/>
      <c r="G918" s="10" t="n">
        <v>0</v>
      </c>
      <c r="H918" s="21" t="n">
        <v>46046.4775462963</v>
      </c>
      <c r="I918" s="15" t="s">
        <v>3088</v>
      </c>
      <c r="J918" s="15" t="s">
        <v>695</v>
      </c>
      <c r="K918" s="15" t="s">
        <v>3089</v>
      </c>
      <c r="L918" s="10" t="n">
        <f aca="false">COUNTIF($E$2:E918,E918)</f>
        <v>0</v>
      </c>
      <c r="M918" s="10" t="e">
        <f aca="false">ifs(L918=1, L918&amp;"-"&amp; COUNTIFS($L$2:L918,1))</f>
        <v>#NAME?</v>
      </c>
      <c r="O918" s="10"/>
      <c r="P918" s="22" t="e">
        <f aca="false">COUNTIFS(C:C,C918,N:N,"Đã xác nhận")/COUNTIFS(C:C,C918)</f>
        <v>#DIV/0!</v>
      </c>
      <c r="Q918" s="22"/>
      <c r="R918" s="0" t="e">
        <f aca="false">#VALUE!</f>
        <v>#VALUE!</v>
      </c>
      <c r="S918" s="0" t="e">
        <f aca="false">#VALUE!</f>
        <v>#VALUE!</v>
      </c>
      <c r="U918" s="24" t="n">
        <v>0</v>
      </c>
    </row>
    <row r="919" customFormat="false" ht="12.75" hidden="false" customHeight="false" outlineLevel="0" collapsed="false">
      <c r="A919" s="15" t="s">
        <v>3090</v>
      </c>
      <c r="B919" s="15"/>
      <c r="C919" s="15"/>
      <c r="D919" s="15"/>
      <c r="E919" s="15"/>
      <c r="G919" s="10" t="n">
        <v>0</v>
      </c>
      <c r="H919" s="21" t="n">
        <v>46085.7367939815</v>
      </c>
      <c r="I919" s="15" t="s">
        <v>3091</v>
      </c>
      <c r="J919" s="15" t="s">
        <v>695</v>
      </c>
      <c r="K919" s="15" t="s">
        <v>3092</v>
      </c>
      <c r="L919" s="10" t="n">
        <f aca="false">COUNTIF($E$2:E919,E919)</f>
        <v>0</v>
      </c>
      <c r="M919" s="10" t="e">
        <f aca="false">ifs(L919=1, L919&amp;"-"&amp; COUNTIFS($L$2:L919,1))</f>
        <v>#NAME?</v>
      </c>
      <c r="O919" s="10"/>
      <c r="P919" s="22" t="e">
        <f aca="false">COUNTIFS(C:C,C919,N:N,"Đã xác nhận")/COUNTIFS(C:C,C919)</f>
        <v>#DIV/0!</v>
      </c>
      <c r="Q919" s="22"/>
      <c r="R919" s="0" t="e">
        <f aca="false">#VALUE!</f>
        <v>#VALUE!</v>
      </c>
      <c r="S919" s="0" t="e">
        <f aca="false">#VALUE!</f>
        <v>#VALUE!</v>
      </c>
      <c r="U919" s="24" t="n">
        <v>0</v>
      </c>
    </row>
    <row r="920" customFormat="false" ht="12.75" hidden="false" customHeight="false" outlineLevel="0" collapsed="false">
      <c r="A920" s="15" t="s">
        <v>3093</v>
      </c>
      <c r="B920" s="15"/>
      <c r="C920" s="15"/>
      <c r="D920" s="15"/>
      <c r="E920" s="15"/>
      <c r="G920" s="10" t="n">
        <v>0</v>
      </c>
      <c r="H920" s="21" t="n">
        <v>46085.7367476852</v>
      </c>
      <c r="I920" s="15" t="s">
        <v>3094</v>
      </c>
      <c r="J920" s="15" t="s">
        <v>695</v>
      </c>
      <c r="K920" s="15" t="s">
        <v>3095</v>
      </c>
      <c r="L920" s="10" t="n">
        <f aca="false">COUNTIF($E$2:E920,E920)</f>
        <v>0</v>
      </c>
      <c r="M920" s="10" t="e">
        <f aca="false">ifs(L920=1, L920&amp;"-"&amp; COUNTIFS($L$2:L920,1))</f>
        <v>#NAME?</v>
      </c>
      <c r="O920" s="10"/>
      <c r="P920" s="22" t="e">
        <f aca="false">COUNTIFS(C:C,C920,N:N,"Đã xác nhận")/COUNTIFS(C:C,C920)</f>
        <v>#DIV/0!</v>
      </c>
      <c r="Q920" s="22"/>
      <c r="R920" s="0" t="e">
        <f aca="false">#VALUE!</f>
        <v>#VALUE!</v>
      </c>
      <c r="S920" s="0" t="e">
        <f aca="false">#VALUE!</f>
        <v>#VALUE!</v>
      </c>
      <c r="U920" s="24" t="n">
        <v>0</v>
      </c>
    </row>
    <row r="921" customFormat="false" ht="12.75" hidden="false" customHeight="false" outlineLevel="0" collapsed="false">
      <c r="A921" s="15" t="s">
        <v>3096</v>
      </c>
      <c r="B921" s="15"/>
      <c r="C921" s="15"/>
      <c r="D921" s="15"/>
      <c r="E921" s="15"/>
      <c r="G921" s="10" t="n">
        <v>0</v>
      </c>
      <c r="H921" s="21" t="n">
        <v>46085.7365393519</v>
      </c>
      <c r="I921" s="15" t="s">
        <v>3097</v>
      </c>
      <c r="J921" s="15" t="s">
        <v>695</v>
      </c>
      <c r="K921" s="15" t="s">
        <v>3098</v>
      </c>
      <c r="L921" s="10" t="n">
        <f aca="false">COUNTIF($E$2:E921,E921)</f>
        <v>0</v>
      </c>
      <c r="M921" s="10" t="e">
        <f aca="false">ifs(L921=1, L921&amp;"-"&amp; COUNTIFS($L$2:L921,1))</f>
        <v>#NAME?</v>
      </c>
      <c r="O921" s="10"/>
      <c r="P921" s="22" t="e">
        <f aca="false">COUNTIFS(C:C,C921,N:N,"Đã xác nhận")/COUNTIFS(C:C,C921)</f>
        <v>#DIV/0!</v>
      </c>
      <c r="Q921" s="22"/>
      <c r="R921" s="0" t="e">
        <f aca="false">#VALUE!</f>
        <v>#VALUE!</v>
      </c>
      <c r="S921" s="0" t="e">
        <f aca="false">#VALUE!</f>
        <v>#VALUE!</v>
      </c>
      <c r="U921" s="24" t="n">
        <v>0</v>
      </c>
    </row>
    <row r="922" customFormat="false" ht="12.75" hidden="false" customHeight="false" outlineLevel="0" collapsed="false">
      <c r="A922" s="15" t="s">
        <v>3099</v>
      </c>
      <c r="B922" s="15"/>
      <c r="C922" s="15"/>
      <c r="D922" s="15"/>
      <c r="E922" s="15"/>
      <c r="G922" s="10" t="n">
        <v>0</v>
      </c>
      <c r="H922" s="21" t="n">
        <v>46085.7365972222</v>
      </c>
      <c r="I922" s="15" t="s">
        <v>3100</v>
      </c>
      <c r="J922" s="15" t="s">
        <v>695</v>
      </c>
      <c r="K922" s="15" t="s">
        <v>3101</v>
      </c>
      <c r="L922" s="10" t="n">
        <f aca="false">COUNTIF($E$2:E922,E922)</f>
        <v>0</v>
      </c>
      <c r="M922" s="10" t="e">
        <f aca="false">ifs(L922=1, L922&amp;"-"&amp; COUNTIFS($L$2:L922,1))</f>
        <v>#NAME?</v>
      </c>
      <c r="O922" s="10"/>
      <c r="P922" s="22" t="e">
        <f aca="false">COUNTIFS(C:C,C922,N:N,"Đã xác nhận")/COUNTIFS(C:C,C922)</f>
        <v>#DIV/0!</v>
      </c>
      <c r="Q922" s="22"/>
      <c r="R922" s="0" t="e">
        <f aca="false">#VALUE!</f>
        <v>#VALUE!</v>
      </c>
      <c r="S922" s="0" t="e">
        <f aca="false">#VALUE!</f>
        <v>#VALUE!</v>
      </c>
      <c r="U922" s="24" t="n">
        <v>0</v>
      </c>
    </row>
    <row r="923" customFormat="false" ht="12.75" hidden="false" customHeight="false" outlineLevel="0" collapsed="false">
      <c r="A923" s="15" t="s">
        <v>3102</v>
      </c>
      <c r="B923" s="15" t="s">
        <v>2304</v>
      </c>
      <c r="C923" s="15" t="s">
        <v>492</v>
      </c>
      <c r="D923" s="15" t="s">
        <v>2346</v>
      </c>
      <c r="E923" s="15" t="s">
        <v>69</v>
      </c>
      <c r="G923" s="10" t="n">
        <v>3</v>
      </c>
      <c r="H923" s="21" t="n">
        <v>45979.6473263889</v>
      </c>
      <c r="I923" s="15" t="s">
        <v>3103</v>
      </c>
      <c r="J923" s="15" t="s">
        <v>3104</v>
      </c>
      <c r="K923" s="15" t="s">
        <v>3105</v>
      </c>
      <c r="L923" s="10" t="n">
        <f aca="false">COUNTIF($E$2:E923,E923)</f>
        <v>97</v>
      </c>
      <c r="M923" s="10" t="e">
        <f aca="false">ifs(L923=1, L923&amp;"-"&amp; COUNTIFS($L$2:L923,1))</f>
        <v>#NAME?</v>
      </c>
      <c r="O923" s="10"/>
      <c r="P923" s="22" t="n">
        <f aca="false">COUNTIFS(C:C,C923,N:N,"Đã xác nhận")/COUNTIFS(C:C,C923)</f>
        <v>0</v>
      </c>
      <c r="Q923" s="22"/>
      <c r="R923" s="0" t="s">
        <v>2346</v>
      </c>
      <c r="S923" s="0" t="s">
        <v>535</v>
      </c>
      <c r="U923" s="24" t="n">
        <v>3</v>
      </c>
    </row>
    <row r="924" customFormat="false" ht="12.75" hidden="false" customHeight="false" outlineLevel="0" collapsed="false">
      <c r="A924" s="15" t="s">
        <v>3106</v>
      </c>
      <c r="B924" s="15" t="s">
        <v>2304</v>
      </c>
      <c r="C924" s="15" t="s">
        <v>492</v>
      </c>
      <c r="D924" s="15" t="s">
        <v>2333</v>
      </c>
      <c r="E924" s="15" t="s">
        <v>69</v>
      </c>
      <c r="G924" s="10" t="n">
        <v>1</v>
      </c>
      <c r="H924" s="21" t="n">
        <v>45979.6476851852</v>
      </c>
      <c r="I924" s="15" t="s">
        <v>3103</v>
      </c>
      <c r="J924" s="15" t="s">
        <v>3107</v>
      </c>
      <c r="K924" s="15" t="s">
        <v>3108</v>
      </c>
      <c r="L924" s="10" t="n">
        <f aca="false">COUNTIF($E$2:E924,E924)</f>
        <v>98</v>
      </c>
      <c r="M924" s="10" t="e">
        <f aca="false">ifs(L924=1, L924&amp;"-"&amp; COUNTIFS($L$2:L924,1))</f>
        <v>#NAME?</v>
      </c>
      <c r="O924" s="10"/>
      <c r="P924" s="22" t="n">
        <f aca="false">COUNTIFS(C:C,C924,N:N,"Đã xác nhận")/COUNTIFS(C:C,C924)</f>
        <v>0</v>
      </c>
      <c r="Q924" s="22"/>
      <c r="R924" s="0" t="s">
        <v>2333</v>
      </c>
      <c r="S924" s="0" t="s">
        <v>535</v>
      </c>
      <c r="U924" s="24" t="n">
        <v>1</v>
      </c>
    </row>
    <row r="925" customFormat="false" ht="12.75" hidden="false" customHeight="false" outlineLevel="0" collapsed="false">
      <c r="A925" s="15" t="s">
        <v>3109</v>
      </c>
      <c r="B925" s="15" t="s">
        <v>2304</v>
      </c>
      <c r="C925" s="15" t="s">
        <v>492</v>
      </c>
      <c r="D925" s="15" t="s">
        <v>878</v>
      </c>
      <c r="E925" s="15" t="s">
        <v>69</v>
      </c>
      <c r="G925" s="10" t="n">
        <v>1</v>
      </c>
      <c r="H925" s="21" t="n">
        <v>45979.6478009259</v>
      </c>
      <c r="I925" s="15" t="s">
        <v>3103</v>
      </c>
      <c r="J925" s="15" t="s">
        <v>3110</v>
      </c>
      <c r="K925" s="15" t="s">
        <v>3111</v>
      </c>
      <c r="L925" s="10" t="n">
        <f aca="false">COUNTIF($E$2:E925,E925)</f>
        <v>99</v>
      </c>
      <c r="M925" s="10" t="e">
        <f aca="false">ifs(L925=1, L925&amp;"-"&amp; COUNTIFS($L$2:L925,1))</f>
        <v>#NAME?</v>
      </c>
      <c r="O925" s="10"/>
      <c r="P925" s="22" t="n">
        <f aca="false">COUNTIFS(C:C,C925,N:N,"Đã xác nhận")/COUNTIFS(C:C,C925)</f>
        <v>0</v>
      </c>
      <c r="Q925" s="22"/>
      <c r="R925" s="0" t="s">
        <v>768</v>
      </c>
      <c r="S925" s="0" t="s">
        <v>535</v>
      </c>
      <c r="U925" s="24" t="n">
        <v>1</v>
      </c>
    </row>
    <row r="926" customFormat="false" ht="12.75" hidden="false" customHeight="false" outlineLevel="0" collapsed="false">
      <c r="A926" s="15" t="s">
        <v>3112</v>
      </c>
      <c r="B926" s="15" t="s">
        <v>2304</v>
      </c>
      <c r="C926" s="15" t="s">
        <v>492</v>
      </c>
      <c r="D926" s="15" t="s">
        <v>2346</v>
      </c>
      <c r="E926" s="15" t="s">
        <v>33</v>
      </c>
      <c r="G926" s="10" t="n">
        <v>3</v>
      </c>
      <c r="H926" s="21" t="n">
        <v>45979.6481481481</v>
      </c>
      <c r="I926" s="15" t="s">
        <v>3103</v>
      </c>
      <c r="J926" s="15" t="s">
        <v>3113</v>
      </c>
      <c r="K926" s="15" t="s">
        <v>3114</v>
      </c>
      <c r="L926" s="10" t="n">
        <f aca="false">COUNTIF($E$2:E926,E926)</f>
        <v>57</v>
      </c>
      <c r="M926" s="10" t="e">
        <f aca="false">ifs(L926=1, L926&amp;"-"&amp; COUNTIFS($L$2:L926,1))</f>
        <v>#NAME?</v>
      </c>
      <c r="O926" s="10"/>
      <c r="P926" s="22" t="n">
        <f aca="false">COUNTIFS(C:C,C926,N:N,"Đã xác nhận")/COUNTIFS(C:C,C926)</f>
        <v>0</v>
      </c>
      <c r="Q926" s="22"/>
      <c r="R926" s="0" t="s">
        <v>2346</v>
      </c>
      <c r="S926" s="0" t="s">
        <v>536</v>
      </c>
      <c r="U926" s="24" t="n">
        <v>3</v>
      </c>
    </row>
    <row r="927" customFormat="false" ht="12.75" hidden="false" customHeight="false" outlineLevel="0" collapsed="false">
      <c r="A927" s="15" t="s">
        <v>3115</v>
      </c>
      <c r="B927" s="15" t="s">
        <v>2304</v>
      </c>
      <c r="C927" s="15" t="s">
        <v>492</v>
      </c>
      <c r="D927" s="15" t="s">
        <v>2333</v>
      </c>
      <c r="E927" s="15" t="s">
        <v>33</v>
      </c>
      <c r="G927" s="10" t="n">
        <v>1</v>
      </c>
      <c r="H927" s="21" t="n">
        <v>45979.6485185185</v>
      </c>
      <c r="I927" s="15" t="s">
        <v>3116</v>
      </c>
      <c r="J927" s="15" t="s">
        <v>3117</v>
      </c>
      <c r="K927" s="15" t="s">
        <v>3118</v>
      </c>
      <c r="L927" s="10" t="n">
        <f aca="false">COUNTIF($E$2:E927,E927)</f>
        <v>58</v>
      </c>
      <c r="M927" s="10" t="e">
        <f aca="false">ifs(L927=1, L927&amp;"-"&amp; COUNTIFS($L$2:L927,1))</f>
        <v>#NAME?</v>
      </c>
      <c r="O927" s="10"/>
      <c r="P927" s="22" t="n">
        <f aca="false">COUNTIFS(C:C,C927,N:N,"Đã xác nhận")/COUNTIFS(C:C,C927)</f>
        <v>0</v>
      </c>
      <c r="Q927" s="22"/>
      <c r="R927" s="0" t="s">
        <v>2333</v>
      </c>
      <c r="S927" s="0" t="s">
        <v>536</v>
      </c>
      <c r="U927" s="24" t="n">
        <v>1</v>
      </c>
    </row>
    <row r="928" customFormat="false" ht="12.75" hidden="false" customHeight="false" outlineLevel="0" collapsed="false">
      <c r="A928" s="15" t="s">
        <v>3119</v>
      </c>
      <c r="B928" s="15" t="s">
        <v>2304</v>
      </c>
      <c r="C928" s="15" t="s">
        <v>492</v>
      </c>
      <c r="D928" s="15" t="s">
        <v>878</v>
      </c>
      <c r="E928" s="15" t="s">
        <v>33</v>
      </c>
      <c r="G928" s="10" t="n">
        <v>1</v>
      </c>
      <c r="H928" s="21" t="n">
        <v>45979.6486226852</v>
      </c>
      <c r="I928" s="15" t="s">
        <v>3116</v>
      </c>
      <c r="J928" s="15" t="s">
        <v>3120</v>
      </c>
      <c r="K928" s="15" t="s">
        <v>3121</v>
      </c>
      <c r="L928" s="10" t="n">
        <f aca="false">COUNTIF($E$2:E928,E928)</f>
        <v>59</v>
      </c>
      <c r="M928" s="10" t="e">
        <f aca="false">ifs(L928=1, L928&amp;"-"&amp; COUNTIFS($L$2:L928,1))</f>
        <v>#NAME?</v>
      </c>
      <c r="O928" s="10"/>
      <c r="P928" s="22" t="n">
        <f aca="false">COUNTIFS(C:C,C928,N:N,"Đã xác nhận")/COUNTIFS(C:C,C928)</f>
        <v>0</v>
      </c>
      <c r="Q928" s="22"/>
      <c r="R928" s="0" t="s">
        <v>768</v>
      </c>
      <c r="S928" s="0" t="s">
        <v>536</v>
      </c>
      <c r="U928" s="24" t="n">
        <v>1</v>
      </c>
    </row>
    <row r="929" customFormat="false" ht="12.75" hidden="false" customHeight="false" outlineLevel="0" collapsed="false">
      <c r="A929" s="15" t="s">
        <v>3122</v>
      </c>
      <c r="B929" s="15" t="s">
        <v>2304</v>
      </c>
      <c r="C929" s="15" t="s">
        <v>492</v>
      </c>
      <c r="D929" s="15" t="s">
        <v>611</v>
      </c>
      <c r="E929" s="15" t="s">
        <v>33</v>
      </c>
      <c r="G929" s="10" t="n">
        <v>1</v>
      </c>
      <c r="H929" s="21" t="n">
        <v>45979.6488541667</v>
      </c>
      <c r="I929" s="15" t="s">
        <v>3116</v>
      </c>
      <c r="J929" s="15" t="s">
        <v>3123</v>
      </c>
      <c r="K929" s="15" t="s">
        <v>3124</v>
      </c>
      <c r="L929" s="10" t="n">
        <f aca="false">COUNTIF($E$2:E929,E929)</f>
        <v>60</v>
      </c>
      <c r="M929" s="10" t="e">
        <f aca="false">ifs(L929=1, L929&amp;"-"&amp; COUNTIFS($L$2:L929,1))</f>
        <v>#NAME?</v>
      </c>
      <c r="O929" s="10"/>
      <c r="P929" s="22" t="n">
        <f aca="false">COUNTIFS(C:C,C929,N:N,"Đã xác nhận")/COUNTIFS(C:C,C929)</f>
        <v>0</v>
      </c>
      <c r="Q929" s="22"/>
      <c r="R929" s="0" t="s">
        <v>613</v>
      </c>
      <c r="S929" s="0" t="s">
        <v>536</v>
      </c>
      <c r="U929" s="24" t="n">
        <v>1</v>
      </c>
    </row>
    <row r="930" customFormat="false" ht="12.75" hidden="false" customHeight="false" outlineLevel="0" collapsed="false">
      <c r="A930" s="15" t="s">
        <v>3125</v>
      </c>
      <c r="B930" s="15" t="s">
        <v>2304</v>
      </c>
      <c r="C930" s="15" t="s">
        <v>509</v>
      </c>
      <c r="D930" s="15" t="s">
        <v>2346</v>
      </c>
      <c r="E930" s="15" t="s">
        <v>33</v>
      </c>
      <c r="G930" s="10" t="n">
        <v>3</v>
      </c>
      <c r="H930" s="21" t="n">
        <v>46078.6891435185</v>
      </c>
      <c r="I930" s="15" t="s">
        <v>3126</v>
      </c>
      <c r="J930" s="15" t="s">
        <v>3126</v>
      </c>
      <c r="K930" s="15"/>
      <c r="L930" s="10" t="n">
        <f aca="false">COUNTIF($E$2:E930,E930)</f>
        <v>61</v>
      </c>
      <c r="M930" s="10" t="e">
        <f aca="false">ifs(L930=1, L930&amp;"-"&amp; COUNTIFS($L$2:L930,1))</f>
        <v>#NAME?</v>
      </c>
      <c r="N930" s="15" t="s">
        <v>603</v>
      </c>
      <c r="O930" s="10"/>
      <c r="P930" s="22" t="n">
        <f aca="false">COUNTIFS(C:C,C930,N:N,"Đã xác nhận")/COUNTIFS(C:C,C930)</f>
        <v>1</v>
      </c>
      <c r="Q930" s="22"/>
      <c r="R930" s="0" t="s">
        <v>2346</v>
      </c>
      <c r="S930" s="0" t="s">
        <v>536</v>
      </c>
      <c r="U930" s="24" t="n">
        <v>3</v>
      </c>
    </row>
    <row r="931" customFormat="false" ht="12.75" hidden="false" customHeight="false" outlineLevel="0" collapsed="false">
      <c r="A931" s="15" t="s">
        <v>3127</v>
      </c>
      <c r="B931" s="15" t="s">
        <v>2304</v>
      </c>
      <c r="C931" s="15" t="s">
        <v>509</v>
      </c>
      <c r="D931" s="15" t="s">
        <v>2333</v>
      </c>
      <c r="E931" s="15" t="s">
        <v>33</v>
      </c>
      <c r="G931" s="10" t="n">
        <v>1</v>
      </c>
      <c r="H931" s="21" t="n">
        <v>46078.6891550926</v>
      </c>
      <c r="I931" s="15" t="s">
        <v>3128</v>
      </c>
      <c r="J931" s="15" t="s">
        <v>3128</v>
      </c>
      <c r="K931" s="15"/>
      <c r="L931" s="10" t="n">
        <f aca="false">COUNTIF($E$2:E931,E931)</f>
        <v>62</v>
      </c>
      <c r="M931" s="10" t="e">
        <f aca="false">ifs(L931=1, L931&amp;"-"&amp; COUNTIFS($L$2:L931,1))</f>
        <v>#NAME?</v>
      </c>
      <c r="N931" s="15" t="s">
        <v>603</v>
      </c>
      <c r="O931" s="10"/>
      <c r="P931" s="22" t="n">
        <f aca="false">COUNTIFS(C:C,C931,N:N,"Đã xác nhận")/COUNTIFS(C:C,C931)</f>
        <v>1</v>
      </c>
      <c r="Q931" s="22"/>
      <c r="R931" s="0" t="s">
        <v>2333</v>
      </c>
      <c r="S931" s="0" t="s">
        <v>536</v>
      </c>
      <c r="U931" s="24" t="n">
        <v>1</v>
      </c>
    </row>
    <row r="932" customFormat="false" ht="12.75" hidden="false" customHeight="false" outlineLevel="0" collapsed="false">
      <c r="A932" s="15" t="s">
        <v>3129</v>
      </c>
      <c r="B932" s="15" t="s">
        <v>2304</v>
      </c>
      <c r="C932" s="15" t="s">
        <v>509</v>
      </c>
      <c r="D932" s="15" t="s">
        <v>878</v>
      </c>
      <c r="E932" s="15" t="s">
        <v>33</v>
      </c>
      <c r="G932" s="10" t="n">
        <v>1</v>
      </c>
      <c r="H932" s="21" t="n">
        <v>46078.6891550926</v>
      </c>
      <c r="I932" s="15" t="s">
        <v>3130</v>
      </c>
      <c r="J932" s="15" t="s">
        <v>3130</v>
      </c>
      <c r="K932" s="15"/>
      <c r="L932" s="10" t="n">
        <f aca="false">COUNTIF($E$2:E932,E932)</f>
        <v>63</v>
      </c>
      <c r="M932" s="10" t="e">
        <f aca="false">ifs(L932=1, L932&amp;"-"&amp; COUNTIFS($L$2:L932,1))</f>
        <v>#NAME?</v>
      </c>
      <c r="N932" s="15" t="s">
        <v>603</v>
      </c>
      <c r="O932" s="10"/>
      <c r="P932" s="22" t="n">
        <f aca="false">COUNTIFS(C:C,C932,N:N,"Đã xác nhận")/COUNTIFS(C:C,C932)</f>
        <v>1</v>
      </c>
      <c r="Q932" s="22"/>
      <c r="R932" s="0" t="s">
        <v>768</v>
      </c>
      <c r="S932" s="0" t="s">
        <v>536</v>
      </c>
      <c r="U932" s="24" t="n">
        <v>1</v>
      </c>
    </row>
    <row r="933" customFormat="false" ht="12.75" hidden="false" customHeight="false" outlineLevel="0" collapsed="false">
      <c r="A933" s="15" t="s">
        <v>3131</v>
      </c>
      <c r="B933" s="15" t="s">
        <v>2304</v>
      </c>
      <c r="C933" s="15" t="s">
        <v>509</v>
      </c>
      <c r="D933" s="15" t="s">
        <v>2346</v>
      </c>
      <c r="E933" s="15" t="s">
        <v>69</v>
      </c>
      <c r="G933" s="10" t="n">
        <v>3</v>
      </c>
      <c r="H933" s="21" t="n">
        <v>46078.6892708333</v>
      </c>
      <c r="I933" s="15" t="s">
        <v>3132</v>
      </c>
      <c r="J933" s="15" t="s">
        <v>3132</v>
      </c>
      <c r="K933" s="15"/>
      <c r="L933" s="10" t="n">
        <f aca="false">COUNTIF($E$2:E933,E933)</f>
        <v>100</v>
      </c>
      <c r="M933" s="10" t="e">
        <f aca="false">ifs(L933=1, L933&amp;"-"&amp; COUNTIFS($L$2:L933,1))</f>
        <v>#NAME?</v>
      </c>
      <c r="N933" s="15" t="s">
        <v>603</v>
      </c>
      <c r="O933" s="10"/>
      <c r="P933" s="22" t="n">
        <f aca="false">COUNTIFS(C:C,C933,N:N,"Đã xác nhận")/COUNTIFS(C:C,C933)</f>
        <v>1</v>
      </c>
      <c r="Q933" s="22"/>
      <c r="R933" s="0" t="s">
        <v>2346</v>
      </c>
      <c r="S933" s="0" t="s">
        <v>535</v>
      </c>
      <c r="U933" s="24" t="n">
        <v>3</v>
      </c>
    </row>
    <row r="934" customFormat="false" ht="12.75" hidden="false" customHeight="false" outlineLevel="0" collapsed="false">
      <c r="A934" s="15" t="s">
        <v>3133</v>
      </c>
      <c r="B934" s="15" t="s">
        <v>2304</v>
      </c>
      <c r="C934" s="15" t="s">
        <v>509</v>
      </c>
      <c r="D934" s="15" t="s">
        <v>2333</v>
      </c>
      <c r="E934" s="15" t="s">
        <v>69</v>
      </c>
      <c r="G934" s="10" t="n">
        <v>1</v>
      </c>
      <c r="H934" s="21" t="n">
        <v>46078.6892939815</v>
      </c>
      <c r="I934" s="15" t="s">
        <v>3134</v>
      </c>
      <c r="J934" s="15" t="s">
        <v>3134</v>
      </c>
      <c r="K934" s="15"/>
      <c r="L934" s="10" t="n">
        <f aca="false">COUNTIF($E$2:E934,E934)</f>
        <v>101</v>
      </c>
      <c r="M934" s="10" t="e">
        <f aca="false">ifs(L934=1, L934&amp;"-"&amp; COUNTIFS($L$2:L934,1))</f>
        <v>#NAME?</v>
      </c>
      <c r="N934" s="15" t="s">
        <v>603</v>
      </c>
      <c r="O934" s="10"/>
      <c r="P934" s="22" t="n">
        <f aca="false">COUNTIFS(C:C,C934,N:N,"Đã xác nhận")/COUNTIFS(C:C,C934)</f>
        <v>1</v>
      </c>
      <c r="Q934" s="22"/>
      <c r="R934" s="0" t="s">
        <v>2333</v>
      </c>
      <c r="S934" s="0" t="s">
        <v>535</v>
      </c>
      <c r="U934" s="24" t="n">
        <v>1</v>
      </c>
    </row>
    <row r="935" customFormat="false" ht="12.75" hidden="false" customHeight="false" outlineLevel="0" collapsed="false">
      <c r="A935" s="15" t="s">
        <v>3135</v>
      </c>
      <c r="B935" s="15" t="s">
        <v>2304</v>
      </c>
      <c r="C935" s="15" t="s">
        <v>509</v>
      </c>
      <c r="D935" s="15" t="s">
        <v>878</v>
      </c>
      <c r="E935" s="15" t="s">
        <v>69</v>
      </c>
      <c r="G935" s="10" t="n">
        <v>1</v>
      </c>
      <c r="H935" s="21" t="n">
        <v>46078.6892824074</v>
      </c>
      <c r="I935" s="15" t="s">
        <v>3136</v>
      </c>
      <c r="J935" s="15" t="s">
        <v>3136</v>
      </c>
      <c r="K935" s="15"/>
      <c r="L935" s="10" t="n">
        <f aca="false">COUNTIF($E$2:E935,E935)</f>
        <v>102</v>
      </c>
      <c r="M935" s="10" t="e">
        <f aca="false">ifs(L935=1, L935&amp;"-"&amp; COUNTIFS($L$2:L935,1))</f>
        <v>#NAME?</v>
      </c>
      <c r="N935" s="15" t="s">
        <v>603</v>
      </c>
      <c r="O935" s="10"/>
      <c r="P935" s="22" t="n">
        <f aca="false">COUNTIFS(C:C,C935,N:N,"Đã xác nhận")/COUNTIFS(C:C,C935)</f>
        <v>1</v>
      </c>
      <c r="Q935" s="22"/>
      <c r="R935" s="0" t="s">
        <v>768</v>
      </c>
      <c r="S935" s="0" t="s">
        <v>535</v>
      </c>
      <c r="U935" s="24" t="n">
        <v>1</v>
      </c>
    </row>
    <row r="936" customFormat="false" ht="12.75" hidden="false" customHeight="false" outlineLevel="0" collapsed="false">
      <c r="A936" s="15" t="s">
        <v>3137</v>
      </c>
      <c r="B936" s="15"/>
      <c r="C936" s="15"/>
      <c r="D936" s="15"/>
      <c r="E936" s="15"/>
      <c r="G936" s="10" t="n">
        <v>0</v>
      </c>
      <c r="H936" s="21" t="n">
        <v>46078.7009722222</v>
      </c>
      <c r="I936" s="15" t="s">
        <v>3138</v>
      </c>
      <c r="J936" s="15" t="s">
        <v>695</v>
      </c>
      <c r="K936" s="15" t="s">
        <v>3139</v>
      </c>
      <c r="L936" s="10" t="n">
        <f aca="false">COUNTIF($E$2:E936,E936)</f>
        <v>0</v>
      </c>
      <c r="M936" s="10" t="e">
        <f aca="false">ifs(L936=1, L936&amp;"-"&amp; COUNTIFS($L$2:L936,1))</f>
        <v>#NAME?</v>
      </c>
      <c r="O936" s="10"/>
      <c r="P936" s="22" t="e">
        <f aca="false">COUNTIFS(C:C,C936,N:N,"Đã xác nhận")/COUNTIFS(C:C,C936)</f>
        <v>#DIV/0!</v>
      </c>
      <c r="Q936" s="22"/>
      <c r="R936" s="0" t="e">
        <f aca="false">#VALUE!</f>
        <v>#VALUE!</v>
      </c>
      <c r="S936" s="0" t="e">
        <f aca="false">#VALUE!</f>
        <v>#VALUE!</v>
      </c>
      <c r="U936" s="24" t="n">
        <v>0</v>
      </c>
    </row>
    <row r="937" customFormat="false" ht="12.75" hidden="false" customHeight="false" outlineLevel="0" collapsed="false">
      <c r="A937" s="15" t="s">
        <v>3140</v>
      </c>
      <c r="B937" s="15"/>
      <c r="C937" s="15"/>
      <c r="D937" s="15"/>
      <c r="E937" s="15"/>
      <c r="G937" s="10" t="n">
        <v>0</v>
      </c>
      <c r="H937" s="21" t="n">
        <v>46078.7008101852</v>
      </c>
      <c r="I937" s="15" t="s">
        <v>3141</v>
      </c>
      <c r="J937" s="15" t="s">
        <v>695</v>
      </c>
      <c r="K937" s="15" t="s">
        <v>3142</v>
      </c>
      <c r="L937" s="10" t="n">
        <f aca="false">COUNTIF($E$2:E937,E937)</f>
        <v>0</v>
      </c>
      <c r="M937" s="10" t="e">
        <f aca="false">ifs(L937=1, L937&amp;"-"&amp; COUNTIFS($L$2:L937,1))</f>
        <v>#NAME?</v>
      </c>
      <c r="O937" s="10"/>
      <c r="P937" s="22" t="e">
        <f aca="false">COUNTIFS(C:C,C937,N:N,"Đã xác nhận")/COUNTIFS(C:C,C937)</f>
        <v>#DIV/0!</v>
      </c>
      <c r="Q937" s="22"/>
      <c r="R937" s="0" t="e">
        <f aca="false">#VALUE!</f>
        <v>#VALUE!</v>
      </c>
      <c r="S937" s="0" t="e">
        <f aca="false">#VALUE!</f>
        <v>#VALUE!</v>
      </c>
      <c r="U937" s="24" t="n">
        <v>0</v>
      </c>
    </row>
    <row r="938" customFormat="false" ht="12.75" hidden="false" customHeight="false" outlineLevel="0" collapsed="false">
      <c r="A938" s="15" t="s">
        <v>3143</v>
      </c>
      <c r="B938" s="15" t="s">
        <v>2304</v>
      </c>
      <c r="C938" s="15" t="s">
        <v>515</v>
      </c>
      <c r="D938" s="15" t="s">
        <v>878</v>
      </c>
      <c r="E938" s="15" t="s">
        <v>33</v>
      </c>
      <c r="G938" s="10" t="n">
        <v>1</v>
      </c>
      <c r="H938" s="21" t="n">
        <v>46078.6902199074</v>
      </c>
      <c r="I938" s="15" t="s">
        <v>3144</v>
      </c>
      <c r="J938" s="15" t="s">
        <v>3144</v>
      </c>
      <c r="K938" s="15"/>
      <c r="L938" s="10" t="n">
        <f aca="false">COUNTIF($E$2:E938,E938)</f>
        <v>64</v>
      </c>
      <c r="M938" s="10" t="e">
        <f aca="false">ifs(L938=1, L938&amp;"-"&amp; COUNTIFS($L$2:L938,1))</f>
        <v>#NAME?</v>
      </c>
      <c r="N938" s="15" t="s">
        <v>603</v>
      </c>
      <c r="O938" s="10"/>
      <c r="P938" s="22" t="n">
        <f aca="false">COUNTIFS(C:C,C938,N:N,"Đã xác nhận")/COUNTIFS(C:C,C938)</f>
        <v>1</v>
      </c>
      <c r="Q938" s="22"/>
      <c r="R938" s="0" t="s">
        <v>768</v>
      </c>
      <c r="S938" s="0" t="s">
        <v>536</v>
      </c>
      <c r="U938" s="24" t="n">
        <v>1</v>
      </c>
    </row>
    <row r="939" customFormat="false" ht="12.75" hidden="false" customHeight="false" outlineLevel="0" collapsed="false">
      <c r="A939" s="15" t="s">
        <v>3145</v>
      </c>
      <c r="B939" s="15" t="s">
        <v>2304</v>
      </c>
      <c r="C939" s="15" t="s">
        <v>515</v>
      </c>
      <c r="D939" s="15" t="s">
        <v>878</v>
      </c>
      <c r="E939" s="15" t="s">
        <v>69</v>
      </c>
      <c r="G939" s="10" t="n">
        <v>1</v>
      </c>
      <c r="H939" s="21" t="n">
        <v>46078.6903587963</v>
      </c>
      <c r="I939" s="15" t="s">
        <v>3146</v>
      </c>
      <c r="J939" s="15" t="s">
        <v>3146</v>
      </c>
      <c r="K939" s="15"/>
      <c r="L939" s="10" t="n">
        <f aca="false">COUNTIF($E$2:E939,E939)</f>
        <v>103</v>
      </c>
      <c r="M939" s="10" t="e">
        <f aca="false">ifs(L939=1, L939&amp;"-"&amp; COUNTIFS($L$2:L939,1))</f>
        <v>#NAME?</v>
      </c>
      <c r="N939" s="15" t="s">
        <v>603</v>
      </c>
      <c r="O939" s="10"/>
      <c r="P939" s="22" t="n">
        <f aca="false">COUNTIFS(C:C,C939,N:N,"Đã xác nhận")/COUNTIFS(C:C,C939)</f>
        <v>1</v>
      </c>
      <c r="Q939" s="22"/>
      <c r="R939" s="0" t="s">
        <v>768</v>
      </c>
      <c r="S939" s="0" t="s">
        <v>535</v>
      </c>
      <c r="U939" s="24" t="n">
        <v>1</v>
      </c>
    </row>
    <row r="940" customFormat="false" ht="12.75" hidden="false" customHeight="false" outlineLevel="0" collapsed="false">
      <c r="A940" s="15" t="s">
        <v>3147</v>
      </c>
      <c r="B940" s="15" t="s">
        <v>2304</v>
      </c>
      <c r="C940" s="15" t="s">
        <v>2619</v>
      </c>
      <c r="D940" s="15" t="s">
        <v>2333</v>
      </c>
      <c r="E940" s="15" t="s">
        <v>33</v>
      </c>
      <c r="G940" s="10" t="n">
        <v>1</v>
      </c>
      <c r="H940" s="21" t="n">
        <v>45979.6565625</v>
      </c>
      <c r="I940" s="15" t="s">
        <v>3148</v>
      </c>
      <c r="J940" s="15" t="s">
        <v>3149</v>
      </c>
      <c r="K940" s="15" t="s">
        <v>3150</v>
      </c>
      <c r="L940" s="10" t="n">
        <f aca="false">COUNTIF($E$2:E940,E940)</f>
        <v>65</v>
      </c>
      <c r="M940" s="10" t="e">
        <f aca="false">ifs(L940=1, L940&amp;"-"&amp; COUNTIFS($L$2:L940,1))</f>
        <v>#NAME?</v>
      </c>
      <c r="O940" s="10"/>
      <c r="P940" s="22" t="n">
        <f aca="false">COUNTIFS(C:C,C940,N:N,"Đã xác nhận")/COUNTIFS(C:C,C940)</f>
        <v>0</v>
      </c>
      <c r="Q940" s="22"/>
      <c r="R940" s="0" t="s">
        <v>2333</v>
      </c>
      <c r="S940" s="0" t="s">
        <v>536</v>
      </c>
      <c r="U940" s="24" t="n">
        <v>1</v>
      </c>
    </row>
    <row r="941" customFormat="false" ht="12.75" hidden="false" customHeight="false" outlineLevel="0" collapsed="false">
      <c r="A941" s="15" t="s">
        <v>3151</v>
      </c>
      <c r="B941" s="15" t="s">
        <v>2304</v>
      </c>
      <c r="C941" s="15" t="s">
        <v>2619</v>
      </c>
      <c r="D941" s="15" t="s">
        <v>2333</v>
      </c>
      <c r="E941" s="15" t="s">
        <v>69</v>
      </c>
      <c r="G941" s="10" t="n">
        <v>1</v>
      </c>
      <c r="H941" s="21" t="n">
        <v>45979.6566782407</v>
      </c>
      <c r="I941" s="15" t="s">
        <v>2632</v>
      </c>
      <c r="J941" s="15" t="s">
        <v>3152</v>
      </c>
      <c r="K941" s="15" t="s">
        <v>3153</v>
      </c>
      <c r="L941" s="10" t="n">
        <f aca="false">COUNTIF($E$2:E941,E941)</f>
        <v>104</v>
      </c>
      <c r="M941" s="10" t="e">
        <f aca="false">ifs(L941=1, L941&amp;"-"&amp; COUNTIFS($L$2:L941,1))</f>
        <v>#NAME?</v>
      </c>
      <c r="O941" s="10"/>
      <c r="P941" s="22" t="n">
        <f aca="false">COUNTIFS(C:C,C941,N:N,"Đã xác nhận")/COUNTIFS(C:C,C941)</f>
        <v>0</v>
      </c>
      <c r="Q941" s="22"/>
      <c r="R941" s="0" t="s">
        <v>2333</v>
      </c>
      <c r="S941" s="0" t="s">
        <v>535</v>
      </c>
      <c r="U941" s="24" t="n">
        <v>1</v>
      </c>
    </row>
    <row r="942" customFormat="false" ht="12.75" hidden="false" customHeight="false" outlineLevel="0" collapsed="false">
      <c r="A942" s="15" t="s">
        <v>3154</v>
      </c>
      <c r="B942" s="15" t="s">
        <v>2304</v>
      </c>
      <c r="C942" s="15" t="s">
        <v>516</v>
      </c>
      <c r="D942" s="15" t="s">
        <v>2346</v>
      </c>
      <c r="E942" s="15" t="s">
        <v>33</v>
      </c>
      <c r="G942" s="10" t="n">
        <v>3</v>
      </c>
      <c r="H942" s="21" t="n">
        <v>45979.6570717593</v>
      </c>
      <c r="I942" s="15" t="s">
        <v>2596</v>
      </c>
      <c r="J942" s="15" t="s">
        <v>3155</v>
      </c>
      <c r="K942" s="15" t="s">
        <v>3156</v>
      </c>
      <c r="L942" s="10" t="n">
        <f aca="false">COUNTIF($E$2:E942,E942)</f>
        <v>66</v>
      </c>
      <c r="M942" s="10" t="e">
        <f aca="false">ifs(L942=1, L942&amp;"-"&amp; COUNTIFS($L$2:L942,1))</f>
        <v>#NAME?</v>
      </c>
      <c r="O942" s="10"/>
      <c r="P942" s="22" t="n">
        <f aca="false">COUNTIFS(C:C,C942,N:N,"Đã xác nhận")/COUNTIFS(C:C,C942)</f>
        <v>0</v>
      </c>
      <c r="Q942" s="22"/>
      <c r="R942" s="0" t="s">
        <v>2346</v>
      </c>
      <c r="S942" s="0" t="s">
        <v>536</v>
      </c>
      <c r="U942" s="24" t="n">
        <v>3</v>
      </c>
    </row>
    <row r="943" customFormat="false" ht="12.75" hidden="false" customHeight="false" outlineLevel="0" collapsed="false">
      <c r="A943" s="15" t="s">
        <v>3157</v>
      </c>
      <c r="B943" s="15" t="s">
        <v>2304</v>
      </c>
      <c r="C943" s="15" t="s">
        <v>516</v>
      </c>
      <c r="D943" s="15" t="s">
        <v>2333</v>
      </c>
      <c r="E943" s="15" t="s">
        <v>33</v>
      </c>
      <c r="G943" s="10" t="n">
        <v>1</v>
      </c>
      <c r="H943" s="21" t="n">
        <v>45979.6572916667</v>
      </c>
      <c r="I943" s="15" t="s">
        <v>3158</v>
      </c>
      <c r="J943" s="15" t="s">
        <v>3159</v>
      </c>
      <c r="K943" s="15" t="s">
        <v>3160</v>
      </c>
      <c r="L943" s="10" t="n">
        <f aca="false">COUNTIF($E$2:E943,E943)</f>
        <v>67</v>
      </c>
      <c r="M943" s="10" t="e">
        <f aca="false">ifs(L943=1, L943&amp;"-"&amp; COUNTIFS($L$2:L943,1))</f>
        <v>#NAME?</v>
      </c>
      <c r="O943" s="10"/>
      <c r="P943" s="22" t="n">
        <f aca="false">COUNTIFS(C:C,C943,N:N,"Đã xác nhận")/COUNTIFS(C:C,C943)</f>
        <v>0</v>
      </c>
      <c r="Q943" s="22"/>
      <c r="R943" s="0" t="s">
        <v>2333</v>
      </c>
      <c r="S943" s="0" t="s">
        <v>536</v>
      </c>
      <c r="U943" s="24" t="n">
        <v>1</v>
      </c>
    </row>
    <row r="944" customFormat="false" ht="12.75" hidden="false" customHeight="false" outlineLevel="0" collapsed="false">
      <c r="A944" s="15" t="s">
        <v>3161</v>
      </c>
      <c r="B944" s="15" t="s">
        <v>2304</v>
      </c>
      <c r="C944" s="15" t="s">
        <v>516</v>
      </c>
      <c r="D944" s="15" t="s">
        <v>878</v>
      </c>
      <c r="E944" s="15" t="s">
        <v>33</v>
      </c>
      <c r="G944" s="10" t="n">
        <v>1</v>
      </c>
      <c r="H944" s="21" t="n">
        <v>45979.6573726852</v>
      </c>
      <c r="I944" s="15" t="s">
        <v>3158</v>
      </c>
      <c r="J944" s="15" t="s">
        <v>3162</v>
      </c>
      <c r="K944" s="15" t="s">
        <v>3163</v>
      </c>
      <c r="L944" s="10" t="n">
        <f aca="false">COUNTIF($E$2:E944,E944)</f>
        <v>68</v>
      </c>
      <c r="M944" s="10" t="e">
        <f aca="false">ifs(L944=1, L944&amp;"-"&amp; COUNTIFS($L$2:L944,1))</f>
        <v>#NAME?</v>
      </c>
      <c r="O944" s="10"/>
      <c r="P944" s="22" t="n">
        <f aca="false">COUNTIFS(C:C,C944,N:N,"Đã xác nhận")/COUNTIFS(C:C,C944)</f>
        <v>0</v>
      </c>
      <c r="Q944" s="22"/>
      <c r="R944" s="0" t="s">
        <v>768</v>
      </c>
      <c r="S944" s="0" t="s">
        <v>536</v>
      </c>
      <c r="U944" s="24" t="n">
        <v>1</v>
      </c>
    </row>
    <row r="945" customFormat="false" ht="12.75" hidden="false" customHeight="false" outlineLevel="0" collapsed="false">
      <c r="A945" s="15" t="s">
        <v>3164</v>
      </c>
      <c r="B945" s="15" t="s">
        <v>2304</v>
      </c>
      <c r="C945" s="15" t="s">
        <v>516</v>
      </c>
      <c r="D945" s="15" t="s">
        <v>611</v>
      </c>
      <c r="E945" s="15" t="s">
        <v>33</v>
      </c>
      <c r="G945" s="10" t="n">
        <v>1</v>
      </c>
      <c r="H945" s="21" t="n">
        <v>45979.6575115741</v>
      </c>
      <c r="I945" s="15" t="s">
        <v>3158</v>
      </c>
      <c r="J945" s="15" t="s">
        <v>3165</v>
      </c>
      <c r="K945" s="15" t="s">
        <v>3166</v>
      </c>
      <c r="L945" s="10" t="n">
        <f aca="false">COUNTIF($E$2:E945,E945)</f>
        <v>69</v>
      </c>
      <c r="M945" s="10" t="e">
        <f aca="false">ifs(L945=1, L945&amp;"-"&amp; COUNTIFS($L$2:L945,1))</f>
        <v>#NAME?</v>
      </c>
      <c r="O945" s="10"/>
      <c r="P945" s="22" t="n">
        <f aca="false">COUNTIFS(C:C,C945,N:N,"Đã xác nhận")/COUNTIFS(C:C,C945)</f>
        <v>0</v>
      </c>
      <c r="Q945" s="22"/>
      <c r="R945" s="0" t="s">
        <v>613</v>
      </c>
      <c r="S945" s="0" t="s">
        <v>536</v>
      </c>
      <c r="U945" s="24" t="n">
        <v>1</v>
      </c>
    </row>
    <row r="946" customFormat="false" ht="12.75" hidden="false" customHeight="false" outlineLevel="0" collapsed="false">
      <c r="A946" s="15" t="s">
        <v>3167</v>
      </c>
      <c r="B946" s="15" t="s">
        <v>2304</v>
      </c>
      <c r="C946" s="15" t="s">
        <v>2497</v>
      </c>
      <c r="D946" s="15" t="s">
        <v>2333</v>
      </c>
      <c r="E946" s="15" t="s">
        <v>33</v>
      </c>
      <c r="G946" s="10" t="n">
        <v>1</v>
      </c>
      <c r="H946" s="21" t="n">
        <v>45979.6577546296</v>
      </c>
      <c r="I946" s="15" t="s">
        <v>2514</v>
      </c>
      <c r="J946" s="15" t="s">
        <v>3168</v>
      </c>
      <c r="K946" s="15" t="s">
        <v>3169</v>
      </c>
      <c r="L946" s="10" t="n">
        <f aca="false">COUNTIF($E$2:E946,E946)</f>
        <v>70</v>
      </c>
      <c r="M946" s="10" t="e">
        <f aca="false">ifs(L946=1, L946&amp;"-"&amp; COUNTIFS($L$2:L946,1))</f>
        <v>#NAME?</v>
      </c>
      <c r="O946" s="10"/>
      <c r="P946" s="22" t="n">
        <f aca="false">COUNTIFS(C:C,C946,N:N,"Đã xác nhận")/COUNTIFS(C:C,C946)</f>
        <v>0</v>
      </c>
      <c r="Q946" s="22"/>
      <c r="R946" s="0" t="s">
        <v>2333</v>
      </c>
      <c r="S946" s="0" t="s">
        <v>536</v>
      </c>
      <c r="U946" s="24" t="n">
        <v>1</v>
      </c>
    </row>
    <row r="947" customFormat="false" ht="12.75" hidden="false" customHeight="false" outlineLevel="0" collapsed="false">
      <c r="A947" s="15" t="s">
        <v>3170</v>
      </c>
      <c r="B947" s="15" t="s">
        <v>2304</v>
      </c>
      <c r="C947" s="15" t="s">
        <v>2497</v>
      </c>
      <c r="D947" s="15" t="s">
        <v>878</v>
      </c>
      <c r="E947" s="15" t="s">
        <v>33</v>
      </c>
      <c r="G947" s="10" t="n">
        <v>1</v>
      </c>
      <c r="H947" s="21" t="n">
        <v>45979.6578819445</v>
      </c>
      <c r="I947" s="15" t="s">
        <v>2514</v>
      </c>
      <c r="J947" s="15" t="s">
        <v>3171</v>
      </c>
      <c r="K947" s="15" t="s">
        <v>3172</v>
      </c>
      <c r="L947" s="10" t="n">
        <f aca="false">COUNTIF($E$2:E947,E947)</f>
        <v>71</v>
      </c>
      <c r="M947" s="10" t="e">
        <f aca="false">ifs(L947=1, L947&amp;"-"&amp; COUNTIFS($L$2:L947,1))</f>
        <v>#NAME?</v>
      </c>
      <c r="O947" s="10"/>
      <c r="P947" s="22" t="n">
        <f aca="false">COUNTIFS(C:C,C947,N:N,"Đã xác nhận")/COUNTIFS(C:C,C947)</f>
        <v>0</v>
      </c>
      <c r="Q947" s="22"/>
      <c r="R947" s="0" t="s">
        <v>768</v>
      </c>
      <c r="S947" s="0" t="s">
        <v>536</v>
      </c>
      <c r="U947" s="24" t="n">
        <v>1</v>
      </c>
    </row>
    <row r="948" customFormat="false" ht="12.75" hidden="false" customHeight="false" outlineLevel="0" collapsed="false">
      <c r="A948" s="15" t="s">
        <v>3173</v>
      </c>
      <c r="B948" s="15" t="s">
        <v>2304</v>
      </c>
      <c r="C948" s="15" t="s">
        <v>2497</v>
      </c>
      <c r="D948" s="15" t="s">
        <v>2333</v>
      </c>
      <c r="E948" s="15" t="s">
        <v>69</v>
      </c>
      <c r="G948" s="10" t="n">
        <v>1</v>
      </c>
      <c r="H948" s="21" t="n">
        <v>45979.6580324074</v>
      </c>
      <c r="I948" s="15" t="s">
        <v>2510</v>
      </c>
      <c r="J948" s="15" t="s">
        <v>3174</v>
      </c>
      <c r="K948" s="15" t="s">
        <v>3175</v>
      </c>
      <c r="L948" s="10" t="n">
        <f aca="false">COUNTIF($E$2:E948,E948)</f>
        <v>105</v>
      </c>
      <c r="M948" s="10" t="e">
        <f aca="false">ifs(L948=1, L948&amp;"-"&amp; COUNTIFS($L$2:L948,1))</f>
        <v>#NAME?</v>
      </c>
      <c r="O948" s="10"/>
      <c r="P948" s="22" t="n">
        <f aca="false">COUNTIFS(C:C,C948,N:N,"Đã xác nhận")/COUNTIFS(C:C,C948)</f>
        <v>0</v>
      </c>
      <c r="Q948" s="22"/>
      <c r="R948" s="0" t="s">
        <v>2333</v>
      </c>
      <c r="S948" s="0" t="s">
        <v>535</v>
      </c>
      <c r="U948" s="24" t="n">
        <v>1</v>
      </c>
    </row>
    <row r="949" customFormat="false" ht="12.75" hidden="false" customHeight="false" outlineLevel="0" collapsed="false">
      <c r="A949" s="15" t="s">
        <v>3176</v>
      </c>
      <c r="B949" s="15" t="s">
        <v>2304</v>
      </c>
      <c r="C949" s="15" t="s">
        <v>2497</v>
      </c>
      <c r="D949" s="15" t="s">
        <v>878</v>
      </c>
      <c r="E949" s="15" t="s">
        <v>69</v>
      </c>
      <c r="G949" s="10" t="n">
        <v>1</v>
      </c>
      <c r="H949" s="21" t="n">
        <v>45979.6581481482</v>
      </c>
      <c r="I949" s="15" t="s">
        <v>2510</v>
      </c>
      <c r="J949" s="15" t="s">
        <v>3177</v>
      </c>
      <c r="K949" s="15" t="s">
        <v>3178</v>
      </c>
      <c r="L949" s="10" t="n">
        <f aca="false">COUNTIF($E$2:E949,E949)</f>
        <v>106</v>
      </c>
      <c r="M949" s="10" t="e">
        <f aca="false">ifs(L949=1, L949&amp;"-"&amp; COUNTIFS($L$2:L949,1))</f>
        <v>#NAME?</v>
      </c>
      <c r="O949" s="10"/>
      <c r="P949" s="22" t="n">
        <f aca="false">COUNTIFS(C:C,C949,N:N,"Đã xác nhận")/COUNTIFS(C:C,C949)</f>
        <v>0</v>
      </c>
      <c r="Q949" s="22"/>
      <c r="R949" s="0" t="s">
        <v>768</v>
      </c>
      <c r="S949" s="0" t="s">
        <v>535</v>
      </c>
      <c r="U949" s="24" t="n">
        <v>1</v>
      </c>
    </row>
    <row r="950" customFormat="false" ht="12.75" hidden="false" customHeight="false" outlineLevel="0" collapsed="false">
      <c r="A950" s="15" t="s">
        <v>3179</v>
      </c>
      <c r="B950" s="15" t="s">
        <v>2304</v>
      </c>
      <c r="C950" s="15" t="s">
        <v>518</v>
      </c>
      <c r="D950" s="15" t="s">
        <v>2346</v>
      </c>
      <c r="E950" s="15" t="s">
        <v>69</v>
      </c>
      <c r="G950" s="10" t="n">
        <v>3</v>
      </c>
      <c r="H950" s="21" t="n">
        <v>45979.6584027778</v>
      </c>
      <c r="I950" s="15" t="s">
        <v>3180</v>
      </c>
      <c r="J950" s="15" t="s">
        <v>3181</v>
      </c>
      <c r="K950" s="15" t="s">
        <v>3182</v>
      </c>
      <c r="L950" s="10" t="n">
        <f aca="false">COUNTIF($E$2:E950,E950)</f>
        <v>107</v>
      </c>
      <c r="M950" s="10" t="e">
        <f aca="false">ifs(L950=1, L950&amp;"-"&amp; COUNTIFS($L$2:L950,1))</f>
        <v>#NAME?</v>
      </c>
      <c r="O950" s="10"/>
      <c r="P950" s="22" t="n">
        <f aca="false">COUNTIFS(C:C,C950,N:N,"Đã xác nhận")/COUNTIFS(C:C,C950)</f>
        <v>0</v>
      </c>
      <c r="Q950" s="22"/>
      <c r="R950" s="0" t="s">
        <v>2346</v>
      </c>
      <c r="S950" s="0" t="s">
        <v>535</v>
      </c>
      <c r="U950" s="24" t="n">
        <v>3</v>
      </c>
    </row>
    <row r="951" customFormat="false" ht="12.75" hidden="false" customHeight="false" outlineLevel="0" collapsed="false">
      <c r="A951" s="15" t="s">
        <v>3183</v>
      </c>
      <c r="B951" s="15" t="s">
        <v>2304</v>
      </c>
      <c r="C951" s="15" t="s">
        <v>518</v>
      </c>
      <c r="D951" s="15" t="s">
        <v>878</v>
      </c>
      <c r="E951" s="15" t="s">
        <v>69</v>
      </c>
      <c r="G951" s="10" t="n">
        <v>1</v>
      </c>
      <c r="H951" s="21" t="n">
        <v>45979.6584837963</v>
      </c>
      <c r="I951" s="15" t="s">
        <v>3180</v>
      </c>
      <c r="J951" s="15" t="s">
        <v>3184</v>
      </c>
      <c r="K951" s="15" t="s">
        <v>3185</v>
      </c>
      <c r="L951" s="10" t="n">
        <f aca="false">COUNTIF($E$2:E951,E951)</f>
        <v>108</v>
      </c>
      <c r="M951" s="10" t="e">
        <f aca="false">ifs(L951=1, L951&amp;"-"&amp; COUNTIFS($L$2:L951,1))</f>
        <v>#NAME?</v>
      </c>
      <c r="O951" s="10"/>
      <c r="P951" s="22" t="n">
        <f aca="false">COUNTIFS(C:C,C951,N:N,"Đã xác nhận")/COUNTIFS(C:C,C951)</f>
        <v>0</v>
      </c>
      <c r="Q951" s="22"/>
      <c r="R951" s="0" t="s">
        <v>768</v>
      </c>
      <c r="S951" s="0" t="s">
        <v>535</v>
      </c>
      <c r="U951" s="24" t="n">
        <v>1</v>
      </c>
    </row>
    <row r="952" customFormat="false" ht="12.75" hidden="false" customHeight="false" outlineLevel="0" collapsed="false">
      <c r="A952" s="15" t="s">
        <v>3186</v>
      </c>
      <c r="B952" s="15" t="s">
        <v>2304</v>
      </c>
      <c r="C952" s="15" t="s">
        <v>518</v>
      </c>
      <c r="D952" s="15" t="s">
        <v>2333</v>
      </c>
      <c r="E952" s="15" t="s">
        <v>69</v>
      </c>
      <c r="G952" s="10" t="n">
        <v>1</v>
      </c>
      <c r="H952" s="21" t="n">
        <v>45979.658587963</v>
      </c>
      <c r="I952" s="15" t="s">
        <v>3180</v>
      </c>
      <c r="J952" s="15" t="s">
        <v>3187</v>
      </c>
      <c r="K952" s="15" t="s">
        <v>3188</v>
      </c>
      <c r="L952" s="10" t="n">
        <f aca="false">COUNTIF($E$2:E952,E952)</f>
        <v>109</v>
      </c>
      <c r="M952" s="10" t="e">
        <f aca="false">ifs(L952=1, L952&amp;"-"&amp; COUNTIFS($L$2:L952,1))</f>
        <v>#NAME?</v>
      </c>
      <c r="O952" s="10"/>
      <c r="P952" s="22" t="n">
        <f aca="false">COUNTIFS(C:C,C952,N:N,"Đã xác nhận")/COUNTIFS(C:C,C952)</f>
        <v>0</v>
      </c>
      <c r="Q952" s="22"/>
      <c r="R952" s="0" t="s">
        <v>2333</v>
      </c>
      <c r="S952" s="0" t="s">
        <v>535</v>
      </c>
      <c r="U952" s="24" t="n">
        <v>1</v>
      </c>
    </row>
    <row r="953" customFormat="false" ht="12.75" hidden="false" customHeight="false" outlineLevel="0" collapsed="false">
      <c r="A953" s="15" t="s">
        <v>3189</v>
      </c>
      <c r="B953" s="15" t="s">
        <v>2304</v>
      </c>
      <c r="C953" s="15" t="s">
        <v>518</v>
      </c>
      <c r="D953" s="15" t="s">
        <v>2346</v>
      </c>
      <c r="E953" s="15" t="s">
        <v>33</v>
      </c>
      <c r="G953" s="10" t="n">
        <v>3</v>
      </c>
      <c r="H953" s="21" t="n">
        <v>45979.6587152778</v>
      </c>
      <c r="I953" s="15" t="s">
        <v>3180</v>
      </c>
      <c r="J953" s="15" t="s">
        <v>3190</v>
      </c>
      <c r="K953" s="15" t="s">
        <v>3191</v>
      </c>
      <c r="L953" s="10" t="n">
        <f aca="false">COUNTIF($E$2:E953,E953)</f>
        <v>72</v>
      </c>
      <c r="M953" s="10" t="e">
        <f aca="false">ifs(L953=1, L953&amp;"-"&amp; COUNTIFS($L$2:L953,1))</f>
        <v>#NAME?</v>
      </c>
      <c r="O953" s="10"/>
      <c r="P953" s="22" t="n">
        <f aca="false">COUNTIFS(C:C,C953,N:N,"Đã xác nhận")/COUNTIFS(C:C,C953)</f>
        <v>0</v>
      </c>
      <c r="Q953" s="22"/>
      <c r="R953" s="0" t="s">
        <v>2346</v>
      </c>
      <c r="S953" s="0" t="s">
        <v>536</v>
      </c>
      <c r="U953" s="24" t="n">
        <v>3</v>
      </c>
    </row>
    <row r="954" customFormat="false" ht="12.75" hidden="false" customHeight="false" outlineLevel="0" collapsed="false">
      <c r="A954" s="15" t="s">
        <v>3192</v>
      </c>
      <c r="B954" s="15" t="s">
        <v>2304</v>
      </c>
      <c r="C954" s="15" t="s">
        <v>518</v>
      </c>
      <c r="D954" s="15" t="s">
        <v>2333</v>
      </c>
      <c r="E954" s="15" t="s">
        <v>33</v>
      </c>
      <c r="G954" s="10" t="n">
        <v>1</v>
      </c>
      <c r="H954" s="21" t="n">
        <v>45979.6588773148</v>
      </c>
      <c r="I954" s="15" t="s">
        <v>3193</v>
      </c>
      <c r="J954" s="15" t="s">
        <v>3194</v>
      </c>
      <c r="K954" s="15" t="s">
        <v>3195</v>
      </c>
      <c r="L954" s="10" t="n">
        <f aca="false">COUNTIF($E$2:E954,E954)</f>
        <v>73</v>
      </c>
      <c r="M954" s="10" t="e">
        <f aca="false">ifs(L954=1, L954&amp;"-"&amp; COUNTIFS($L$2:L954,1))</f>
        <v>#NAME?</v>
      </c>
      <c r="O954" s="10"/>
      <c r="P954" s="22" t="n">
        <f aca="false">COUNTIFS(C:C,C954,N:N,"Đã xác nhận")/COUNTIFS(C:C,C954)</f>
        <v>0</v>
      </c>
      <c r="Q954" s="22"/>
      <c r="R954" s="0" t="s">
        <v>2333</v>
      </c>
      <c r="S954" s="0" t="s">
        <v>536</v>
      </c>
      <c r="U954" s="24" t="n">
        <v>1</v>
      </c>
    </row>
    <row r="955" customFormat="false" ht="12.75" hidden="false" customHeight="false" outlineLevel="0" collapsed="false">
      <c r="A955" s="15" t="s">
        <v>3196</v>
      </c>
      <c r="B955" s="15" t="s">
        <v>2304</v>
      </c>
      <c r="C955" s="15" t="s">
        <v>518</v>
      </c>
      <c r="D955" s="15" t="s">
        <v>878</v>
      </c>
      <c r="E955" s="15" t="s">
        <v>33</v>
      </c>
      <c r="G955" s="10" t="n">
        <v>1</v>
      </c>
      <c r="H955" s="21" t="n">
        <v>45979.6590277778</v>
      </c>
      <c r="I955" s="15" t="s">
        <v>3193</v>
      </c>
      <c r="J955" s="15" t="s">
        <v>3197</v>
      </c>
      <c r="K955" s="15" t="s">
        <v>3198</v>
      </c>
      <c r="L955" s="10" t="n">
        <f aca="false">COUNTIF($E$2:E955,E955)</f>
        <v>74</v>
      </c>
      <c r="M955" s="10" t="e">
        <f aca="false">ifs(L955=1, L955&amp;"-"&amp; COUNTIFS($L$2:L955,1))</f>
        <v>#NAME?</v>
      </c>
      <c r="O955" s="10"/>
      <c r="P955" s="22" t="n">
        <f aca="false">COUNTIFS(C:C,C955,N:N,"Đã xác nhận")/COUNTIFS(C:C,C955)</f>
        <v>0</v>
      </c>
      <c r="Q955" s="22"/>
      <c r="R955" s="0" t="s">
        <v>768</v>
      </c>
      <c r="S955" s="0" t="s">
        <v>536</v>
      </c>
      <c r="U955" s="24" t="n">
        <v>1</v>
      </c>
    </row>
    <row r="956" customFormat="false" ht="12.75" hidden="false" customHeight="false" outlineLevel="0" collapsed="false">
      <c r="A956" s="15" t="s">
        <v>3199</v>
      </c>
      <c r="B956" s="15" t="s">
        <v>2304</v>
      </c>
      <c r="C956" s="15" t="s">
        <v>518</v>
      </c>
      <c r="D956" s="15" t="s">
        <v>611</v>
      </c>
      <c r="E956" s="15" t="s">
        <v>33</v>
      </c>
      <c r="G956" s="10" t="n">
        <v>1</v>
      </c>
      <c r="H956" s="21" t="n">
        <v>45979.6591319444</v>
      </c>
      <c r="I956" s="15" t="s">
        <v>3193</v>
      </c>
      <c r="J956" s="15" t="s">
        <v>3200</v>
      </c>
      <c r="K956" s="15" t="s">
        <v>3201</v>
      </c>
      <c r="L956" s="10" t="n">
        <f aca="false">COUNTIF($E$2:E956,E956)</f>
        <v>75</v>
      </c>
      <c r="M956" s="10" t="e">
        <f aca="false">ifs(L956=1, L956&amp;"-"&amp; COUNTIFS($L$2:L956,1))</f>
        <v>#NAME?</v>
      </c>
      <c r="O956" s="10"/>
      <c r="P956" s="22" t="n">
        <f aca="false">COUNTIFS(C:C,C956,N:N,"Đã xác nhận")/COUNTIFS(C:C,C956)</f>
        <v>0</v>
      </c>
      <c r="Q956" s="22"/>
      <c r="R956" s="0" t="s">
        <v>613</v>
      </c>
      <c r="S956" s="0" t="s">
        <v>536</v>
      </c>
      <c r="U956" s="24" t="n">
        <v>1</v>
      </c>
    </row>
    <row r="957" customFormat="false" ht="12.75" hidden="false" customHeight="false" outlineLevel="0" collapsed="false">
      <c r="A957" s="15" t="s">
        <v>3202</v>
      </c>
      <c r="B957" s="15"/>
      <c r="C957" s="15"/>
      <c r="D957" s="15"/>
      <c r="E957" s="15"/>
      <c r="G957" s="10" t="n">
        <v>0</v>
      </c>
      <c r="H957" s="21" t="n">
        <v>46083.7873842593</v>
      </c>
      <c r="I957" s="15" t="s">
        <v>3203</v>
      </c>
      <c r="J957" s="15" t="s">
        <v>695</v>
      </c>
      <c r="K957" s="15" t="s">
        <v>3204</v>
      </c>
      <c r="L957" s="10" t="n">
        <f aca="false">COUNTIF($E$2:E957,E957)</f>
        <v>0</v>
      </c>
      <c r="M957" s="10" t="e">
        <f aca="false">ifs(L957=1, L957&amp;"-"&amp; COUNTIFS($L$2:L957,1))</f>
        <v>#NAME?</v>
      </c>
      <c r="O957" s="10"/>
      <c r="P957" s="22" t="e">
        <f aca="false">COUNTIFS(C:C,C957,N:N,"Đã xác nhận")/COUNTIFS(C:C,C957)</f>
        <v>#DIV/0!</v>
      </c>
      <c r="Q957" s="22"/>
      <c r="R957" s="0" t="e">
        <f aca="false">#VALUE!</f>
        <v>#VALUE!</v>
      </c>
      <c r="S957" s="0" t="e">
        <f aca="false">#VALUE!</f>
        <v>#VALUE!</v>
      </c>
      <c r="U957" s="24" t="n">
        <v>0</v>
      </c>
    </row>
    <row r="958" customFormat="false" ht="12.75" hidden="false" customHeight="false" outlineLevel="0" collapsed="false">
      <c r="A958" s="15" t="s">
        <v>3205</v>
      </c>
      <c r="B958" s="15"/>
      <c r="C958" s="15"/>
      <c r="D958" s="15"/>
      <c r="E958" s="15"/>
      <c r="G958" s="10" t="n">
        <v>0</v>
      </c>
      <c r="H958" s="21" t="n">
        <v>46083.7873842593</v>
      </c>
      <c r="I958" s="15" t="s">
        <v>3206</v>
      </c>
      <c r="J958" s="15" t="s">
        <v>695</v>
      </c>
      <c r="K958" s="15" t="s">
        <v>3207</v>
      </c>
      <c r="L958" s="10" t="n">
        <f aca="false">COUNTIF($E$2:E958,E958)</f>
        <v>0</v>
      </c>
      <c r="M958" s="10" t="e">
        <f aca="false">ifs(L958=1, L958&amp;"-"&amp; COUNTIFS($L$2:L958,1))</f>
        <v>#NAME?</v>
      </c>
      <c r="O958" s="10"/>
      <c r="P958" s="22" t="e">
        <f aca="false">COUNTIFS(C:C,C958,N:N,"Đã xác nhận")/COUNTIFS(C:C,C958)</f>
        <v>#DIV/0!</v>
      </c>
      <c r="Q958" s="22"/>
      <c r="R958" s="0" t="e">
        <f aca="false">#VALUE!</f>
        <v>#VALUE!</v>
      </c>
      <c r="S958" s="0" t="e">
        <f aca="false">#VALUE!</f>
        <v>#VALUE!</v>
      </c>
      <c r="U958" s="24" t="n">
        <v>0</v>
      </c>
    </row>
    <row r="959" customFormat="false" ht="12.75" hidden="false" customHeight="false" outlineLevel="0" collapsed="false">
      <c r="A959" s="15" t="s">
        <v>3208</v>
      </c>
      <c r="B959" s="15"/>
      <c r="C959" s="15"/>
      <c r="D959" s="15"/>
      <c r="E959" s="15"/>
      <c r="G959" s="10" t="n">
        <v>0</v>
      </c>
      <c r="H959" s="21" t="n">
        <v>46083.7873842593</v>
      </c>
      <c r="I959" s="15" t="s">
        <v>3209</v>
      </c>
      <c r="J959" s="15" t="s">
        <v>695</v>
      </c>
      <c r="K959" s="15" t="s">
        <v>3210</v>
      </c>
      <c r="L959" s="10" t="n">
        <f aca="false">COUNTIF($E$2:E959,E959)</f>
        <v>0</v>
      </c>
      <c r="M959" s="10" t="e">
        <f aca="false">ifs(L959=1, L959&amp;"-"&amp; COUNTIFS($L$2:L959,1))</f>
        <v>#NAME?</v>
      </c>
      <c r="O959" s="10"/>
      <c r="P959" s="22" t="e">
        <f aca="false">COUNTIFS(C:C,C959,N:N,"Đã xác nhận")/COUNTIFS(C:C,C959)</f>
        <v>#DIV/0!</v>
      </c>
      <c r="Q959" s="22"/>
      <c r="R959" s="0" t="e">
        <f aca="false">#VALUE!</f>
        <v>#VALUE!</v>
      </c>
      <c r="S959" s="0" t="e">
        <f aca="false">#VALUE!</f>
        <v>#VALUE!</v>
      </c>
      <c r="U959" s="24" t="n">
        <v>0</v>
      </c>
    </row>
    <row r="960" customFormat="false" ht="12.75" hidden="false" customHeight="false" outlineLevel="0" collapsed="false">
      <c r="A960" s="15" t="s">
        <v>3211</v>
      </c>
      <c r="B960" s="15"/>
      <c r="C960" s="15"/>
      <c r="D960" s="15"/>
      <c r="E960" s="15"/>
      <c r="G960" s="10" t="n">
        <v>0</v>
      </c>
      <c r="H960" s="21" t="n">
        <v>46083.7873842593</v>
      </c>
      <c r="I960" s="15" t="s">
        <v>3212</v>
      </c>
      <c r="J960" s="15" t="s">
        <v>695</v>
      </c>
      <c r="K960" s="15" t="s">
        <v>3213</v>
      </c>
      <c r="L960" s="10" t="n">
        <f aca="false">COUNTIF($E$2:E960,E960)</f>
        <v>0</v>
      </c>
      <c r="M960" s="10" t="e">
        <f aca="false">ifs(L960=1, L960&amp;"-"&amp; COUNTIFS($L$2:L960,1))</f>
        <v>#NAME?</v>
      </c>
      <c r="O960" s="10"/>
      <c r="P960" s="22" t="e">
        <f aca="false">COUNTIFS(C:C,C960,N:N,"Đã xác nhận")/COUNTIFS(C:C,C960)</f>
        <v>#DIV/0!</v>
      </c>
      <c r="Q960" s="22"/>
      <c r="R960" s="0" t="e">
        <f aca="false">#VALUE!</f>
        <v>#VALUE!</v>
      </c>
      <c r="S960" s="0" t="e">
        <f aca="false">#VALUE!</f>
        <v>#VALUE!</v>
      </c>
      <c r="U960" s="24" t="n">
        <v>0</v>
      </c>
    </row>
    <row r="961" customFormat="false" ht="12.75" hidden="false" customHeight="false" outlineLevel="0" collapsed="false">
      <c r="A961" s="15" t="s">
        <v>3214</v>
      </c>
      <c r="B961" s="15"/>
      <c r="C961" s="15"/>
      <c r="D961" s="15"/>
      <c r="E961" s="15"/>
      <c r="G961" s="10" t="n">
        <v>0</v>
      </c>
      <c r="H961" s="21" t="n">
        <v>46083.7873842593</v>
      </c>
      <c r="I961" s="15" t="s">
        <v>3215</v>
      </c>
      <c r="J961" s="15" t="s">
        <v>695</v>
      </c>
      <c r="K961" s="15" t="s">
        <v>3216</v>
      </c>
      <c r="L961" s="10" t="n">
        <f aca="false">COUNTIF($E$2:E961,E961)</f>
        <v>0</v>
      </c>
      <c r="M961" s="10" t="e">
        <f aca="false">ifs(L961=1, L961&amp;"-"&amp; COUNTIFS($L$2:L961,1))</f>
        <v>#NAME?</v>
      </c>
      <c r="O961" s="10"/>
      <c r="P961" s="22" t="e">
        <f aca="false">COUNTIFS(C:C,C961,N:N,"Đã xác nhận")/COUNTIFS(C:C,C961)</f>
        <v>#DIV/0!</v>
      </c>
      <c r="Q961" s="22"/>
      <c r="R961" s="0" t="e">
        <f aca="false">#VALUE!</f>
        <v>#VALUE!</v>
      </c>
      <c r="S961" s="0" t="e">
        <f aca="false">#VALUE!</f>
        <v>#VALUE!</v>
      </c>
      <c r="U961" s="24" t="n">
        <v>0</v>
      </c>
    </row>
    <row r="962" customFormat="false" ht="12.75" hidden="false" customHeight="false" outlineLevel="0" collapsed="false">
      <c r="A962" s="15" t="s">
        <v>3217</v>
      </c>
      <c r="B962" s="15"/>
      <c r="C962" s="15"/>
      <c r="D962" s="15"/>
      <c r="E962" s="15"/>
      <c r="G962" s="10" t="n">
        <v>0</v>
      </c>
      <c r="H962" s="21" t="n">
        <v>46083.7873842593</v>
      </c>
      <c r="I962" s="15" t="s">
        <v>3218</v>
      </c>
      <c r="J962" s="15" t="s">
        <v>695</v>
      </c>
      <c r="K962" s="15" t="s">
        <v>3219</v>
      </c>
      <c r="L962" s="10" t="n">
        <f aca="false">COUNTIF($E$2:E962,E962)</f>
        <v>0</v>
      </c>
      <c r="M962" s="10" t="e">
        <f aca="false">ifs(L962=1, L962&amp;"-"&amp; COUNTIFS($L$2:L962,1))</f>
        <v>#NAME?</v>
      </c>
      <c r="O962" s="10"/>
      <c r="P962" s="22" t="e">
        <f aca="false">COUNTIFS(C:C,C962,N:N,"Đã xác nhận")/COUNTIFS(C:C,C962)</f>
        <v>#DIV/0!</v>
      </c>
      <c r="Q962" s="22"/>
      <c r="R962" s="0" t="e">
        <f aca="false">#VALUE!</f>
        <v>#VALUE!</v>
      </c>
      <c r="S962" s="0" t="e">
        <f aca="false">#VALUE!</f>
        <v>#VALUE!</v>
      </c>
      <c r="U962" s="24" t="n">
        <v>0</v>
      </c>
    </row>
    <row r="963" customFormat="false" ht="12.75" hidden="false" customHeight="false" outlineLevel="0" collapsed="false">
      <c r="A963" s="15" t="s">
        <v>3220</v>
      </c>
      <c r="B963" s="15"/>
      <c r="C963" s="15"/>
      <c r="D963" s="15"/>
      <c r="E963" s="15"/>
      <c r="G963" s="10" t="n">
        <v>0</v>
      </c>
      <c r="H963" s="21" t="n">
        <v>46083.7873842593</v>
      </c>
      <c r="I963" s="15" t="s">
        <v>3221</v>
      </c>
      <c r="J963" s="15" t="s">
        <v>695</v>
      </c>
      <c r="K963" s="15" t="s">
        <v>3222</v>
      </c>
      <c r="L963" s="10" t="n">
        <f aca="false">COUNTIF($E$2:E963,E963)</f>
        <v>0</v>
      </c>
      <c r="M963" s="10" t="e">
        <f aca="false">ifs(L963=1, L963&amp;"-"&amp; COUNTIFS($L$2:L963,1))</f>
        <v>#NAME?</v>
      </c>
      <c r="O963" s="10"/>
      <c r="P963" s="22" t="e">
        <f aca="false">COUNTIFS(C:C,C963,N:N,"Đã xác nhận")/COUNTIFS(C:C,C963)</f>
        <v>#DIV/0!</v>
      </c>
      <c r="Q963" s="22"/>
      <c r="R963" s="0" t="e">
        <f aca="false">#VALUE!</f>
        <v>#VALUE!</v>
      </c>
      <c r="S963" s="0" t="e">
        <f aca="false">#VALUE!</f>
        <v>#VALUE!</v>
      </c>
      <c r="U963" s="24" t="n">
        <v>0</v>
      </c>
    </row>
    <row r="964" customFormat="false" ht="12.75" hidden="false" customHeight="false" outlineLevel="0" collapsed="false">
      <c r="A964" s="15" t="s">
        <v>3223</v>
      </c>
      <c r="B964" s="15" t="s">
        <v>2304</v>
      </c>
      <c r="C964" s="15" t="s">
        <v>2982</v>
      </c>
      <c r="D964" s="15" t="s">
        <v>2346</v>
      </c>
      <c r="E964" s="15" t="s">
        <v>69</v>
      </c>
      <c r="G964" s="10" t="n">
        <v>3</v>
      </c>
      <c r="H964" s="21" t="n">
        <v>45979.6603472222</v>
      </c>
      <c r="I964" s="15" t="s">
        <v>3224</v>
      </c>
      <c r="J964" s="15" t="s">
        <v>3225</v>
      </c>
      <c r="K964" s="15" t="s">
        <v>3226</v>
      </c>
      <c r="L964" s="10" t="n">
        <f aca="false">COUNTIF($E$2:E964,E964)</f>
        <v>110</v>
      </c>
      <c r="M964" s="10" t="e">
        <f aca="false">ifs(L964=1, L964&amp;"-"&amp; COUNTIFS($L$2:L964,1))</f>
        <v>#NAME?</v>
      </c>
      <c r="O964" s="10"/>
      <c r="P964" s="22" t="n">
        <f aca="false">COUNTIFS(C:C,C964,N:N,"Đã xác nhận")/COUNTIFS(C:C,C964)</f>
        <v>0</v>
      </c>
      <c r="Q964" s="22"/>
      <c r="R964" s="0" t="s">
        <v>2346</v>
      </c>
      <c r="S964" s="0" t="s">
        <v>535</v>
      </c>
      <c r="U964" s="24" t="n">
        <v>3</v>
      </c>
    </row>
    <row r="965" customFormat="false" ht="12.75" hidden="false" customHeight="false" outlineLevel="0" collapsed="false">
      <c r="A965" s="15" t="s">
        <v>3227</v>
      </c>
      <c r="B965" s="15" t="s">
        <v>2304</v>
      </c>
      <c r="C965" s="15" t="s">
        <v>2982</v>
      </c>
      <c r="D965" s="15" t="s">
        <v>878</v>
      </c>
      <c r="E965" s="15" t="s">
        <v>69</v>
      </c>
      <c r="G965" s="10" t="n">
        <v>1</v>
      </c>
      <c r="H965" s="21" t="n">
        <v>45979.6604513889</v>
      </c>
      <c r="I965" s="15" t="s">
        <v>3224</v>
      </c>
      <c r="J965" s="15" t="s">
        <v>3228</v>
      </c>
      <c r="K965" s="15" t="s">
        <v>3229</v>
      </c>
      <c r="L965" s="10" t="n">
        <f aca="false">COUNTIF($E$2:E965,E965)</f>
        <v>111</v>
      </c>
      <c r="M965" s="10" t="e">
        <f aca="false">ifs(L965=1, L965&amp;"-"&amp; COUNTIFS($L$2:L965,1))</f>
        <v>#NAME?</v>
      </c>
      <c r="O965" s="10"/>
      <c r="P965" s="22" t="n">
        <f aca="false">COUNTIFS(C:C,C965,N:N,"Đã xác nhận")/COUNTIFS(C:C,C965)</f>
        <v>0</v>
      </c>
      <c r="Q965" s="22"/>
      <c r="R965" s="0" t="s">
        <v>768</v>
      </c>
      <c r="S965" s="0" t="s">
        <v>535</v>
      </c>
      <c r="U965" s="24" t="n">
        <v>1</v>
      </c>
    </row>
    <row r="966" customFormat="false" ht="12.75" hidden="false" customHeight="false" outlineLevel="0" collapsed="false">
      <c r="A966" s="15" t="s">
        <v>3230</v>
      </c>
      <c r="B966" s="15" t="s">
        <v>2304</v>
      </c>
      <c r="C966" s="15" t="s">
        <v>2982</v>
      </c>
      <c r="D966" s="15" t="s">
        <v>2333</v>
      </c>
      <c r="E966" s="15" t="s">
        <v>69</v>
      </c>
      <c r="G966" s="10" t="n">
        <v>1</v>
      </c>
      <c r="H966" s="21" t="n">
        <v>45979.6605555556</v>
      </c>
      <c r="I966" s="15" t="s">
        <v>3224</v>
      </c>
      <c r="J966" s="15" t="s">
        <v>3231</v>
      </c>
      <c r="K966" s="15" t="s">
        <v>3232</v>
      </c>
      <c r="L966" s="10" t="n">
        <f aca="false">COUNTIF($E$2:E966,E966)</f>
        <v>112</v>
      </c>
      <c r="M966" s="10" t="e">
        <f aca="false">ifs(L966=1, L966&amp;"-"&amp; COUNTIFS($L$2:L966,1))</f>
        <v>#NAME?</v>
      </c>
      <c r="O966" s="10"/>
      <c r="P966" s="22" t="n">
        <f aca="false">COUNTIFS(C:C,C966,N:N,"Đã xác nhận")/COUNTIFS(C:C,C966)</f>
        <v>0</v>
      </c>
      <c r="Q966" s="22"/>
      <c r="R966" s="0" t="s">
        <v>2333</v>
      </c>
      <c r="S966" s="0" t="s">
        <v>535</v>
      </c>
      <c r="U966" s="24" t="n">
        <v>1</v>
      </c>
    </row>
    <row r="967" customFormat="false" ht="12.75" hidden="false" customHeight="false" outlineLevel="0" collapsed="false">
      <c r="A967" s="15" t="s">
        <v>3233</v>
      </c>
      <c r="B967" s="15" t="s">
        <v>2304</v>
      </c>
      <c r="C967" s="15" t="s">
        <v>2982</v>
      </c>
      <c r="D967" s="15" t="s">
        <v>2346</v>
      </c>
      <c r="E967" s="15" t="s">
        <v>33</v>
      </c>
      <c r="G967" s="10" t="n">
        <v>3</v>
      </c>
      <c r="H967" s="21" t="n">
        <v>45979.6606597222</v>
      </c>
      <c r="I967" s="15" t="s">
        <v>3224</v>
      </c>
      <c r="J967" s="15" t="s">
        <v>3234</v>
      </c>
      <c r="K967" s="15" t="s">
        <v>3235</v>
      </c>
      <c r="L967" s="10" t="n">
        <f aca="false">COUNTIF($E$2:E967,E967)</f>
        <v>76</v>
      </c>
      <c r="M967" s="10" t="e">
        <f aca="false">ifs(L967=1, L967&amp;"-"&amp; COUNTIFS($L$2:L967,1))</f>
        <v>#NAME?</v>
      </c>
      <c r="O967" s="10"/>
      <c r="P967" s="22" t="n">
        <f aca="false">COUNTIFS(C:C,C967,N:N,"Đã xác nhận")/COUNTIFS(C:C,C967)</f>
        <v>0</v>
      </c>
      <c r="Q967" s="22"/>
      <c r="R967" s="0" t="s">
        <v>2346</v>
      </c>
      <c r="S967" s="0" t="s">
        <v>536</v>
      </c>
      <c r="U967" s="24" t="n">
        <v>3</v>
      </c>
    </row>
    <row r="968" customFormat="false" ht="12.75" hidden="false" customHeight="false" outlineLevel="0" collapsed="false">
      <c r="A968" s="15" t="s">
        <v>3236</v>
      </c>
      <c r="B968" s="15" t="s">
        <v>2304</v>
      </c>
      <c r="C968" s="15" t="s">
        <v>2982</v>
      </c>
      <c r="D968" s="15" t="s">
        <v>2333</v>
      </c>
      <c r="E968" s="15" t="s">
        <v>33</v>
      </c>
      <c r="G968" s="10" t="n">
        <v>1</v>
      </c>
      <c r="H968" s="21" t="n">
        <v>45979.6608333333</v>
      </c>
      <c r="I968" s="15" t="s">
        <v>3237</v>
      </c>
      <c r="J968" s="15" t="s">
        <v>3238</v>
      </c>
      <c r="K968" s="15" t="s">
        <v>3239</v>
      </c>
      <c r="L968" s="10" t="n">
        <f aca="false">COUNTIF($E$2:E968,E968)</f>
        <v>77</v>
      </c>
      <c r="M968" s="10" t="e">
        <f aca="false">ifs(L968=1, L968&amp;"-"&amp; COUNTIFS($L$2:L968,1))</f>
        <v>#NAME?</v>
      </c>
      <c r="O968" s="10"/>
      <c r="P968" s="22" t="n">
        <f aca="false">COUNTIFS(C:C,C968,N:N,"Đã xác nhận")/COUNTIFS(C:C,C968)</f>
        <v>0</v>
      </c>
      <c r="Q968" s="22"/>
      <c r="R968" s="0" t="s">
        <v>2333</v>
      </c>
      <c r="S968" s="0" t="s">
        <v>536</v>
      </c>
      <c r="U968" s="24" t="n">
        <v>1</v>
      </c>
    </row>
    <row r="969" customFormat="false" ht="12.75" hidden="false" customHeight="false" outlineLevel="0" collapsed="false">
      <c r="A969" s="15" t="s">
        <v>3240</v>
      </c>
      <c r="B969" s="15" t="s">
        <v>2304</v>
      </c>
      <c r="C969" s="15" t="s">
        <v>2982</v>
      </c>
      <c r="D969" s="15" t="s">
        <v>878</v>
      </c>
      <c r="E969" s="15" t="s">
        <v>33</v>
      </c>
      <c r="G969" s="10" t="n">
        <v>1</v>
      </c>
      <c r="H969" s="21" t="n">
        <v>45979.6609143519</v>
      </c>
      <c r="I969" s="15" t="s">
        <v>3237</v>
      </c>
      <c r="J969" s="15" t="s">
        <v>3241</v>
      </c>
      <c r="K969" s="15" t="s">
        <v>3242</v>
      </c>
      <c r="L969" s="10" t="n">
        <f aca="false">COUNTIF($E$2:E969,E969)</f>
        <v>78</v>
      </c>
      <c r="M969" s="10" t="e">
        <f aca="false">ifs(L969=1, L969&amp;"-"&amp; COUNTIFS($L$2:L969,1))</f>
        <v>#NAME?</v>
      </c>
      <c r="O969" s="10"/>
      <c r="P969" s="22" t="n">
        <f aca="false">COUNTIFS(C:C,C969,N:N,"Đã xác nhận")/COUNTIFS(C:C,C969)</f>
        <v>0</v>
      </c>
      <c r="Q969" s="22"/>
      <c r="R969" s="0" t="s">
        <v>768</v>
      </c>
      <c r="S969" s="0" t="s">
        <v>536</v>
      </c>
      <c r="U969" s="24" t="n">
        <v>1</v>
      </c>
    </row>
    <row r="970" customFormat="false" ht="12.75" hidden="false" customHeight="false" outlineLevel="0" collapsed="false">
      <c r="A970" s="15" t="s">
        <v>3243</v>
      </c>
      <c r="B970" s="15" t="s">
        <v>2304</v>
      </c>
      <c r="C970" s="15" t="s">
        <v>2982</v>
      </c>
      <c r="D970" s="15" t="s">
        <v>611</v>
      </c>
      <c r="E970" s="15" t="s">
        <v>33</v>
      </c>
      <c r="G970" s="10" t="n">
        <v>1</v>
      </c>
      <c r="H970" s="21" t="n">
        <v>45979.6610069444</v>
      </c>
      <c r="I970" s="15" t="s">
        <v>3237</v>
      </c>
      <c r="J970" s="15" t="s">
        <v>3244</v>
      </c>
      <c r="K970" s="15" t="s">
        <v>3245</v>
      </c>
      <c r="L970" s="10" t="n">
        <f aca="false">COUNTIF($E$2:E970,E970)</f>
        <v>79</v>
      </c>
      <c r="M970" s="10" t="e">
        <f aca="false">ifs(L970=1, L970&amp;"-"&amp; COUNTIFS($L$2:L970,1))</f>
        <v>#NAME?</v>
      </c>
      <c r="O970" s="10"/>
      <c r="P970" s="22" t="n">
        <f aca="false">COUNTIFS(C:C,C970,N:N,"Đã xác nhận")/COUNTIFS(C:C,C970)</f>
        <v>0</v>
      </c>
      <c r="Q970" s="22"/>
      <c r="R970" s="0" t="s">
        <v>613</v>
      </c>
      <c r="S970" s="0" t="s">
        <v>536</v>
      </c>
      <c r="U970" s="24" t="n">
        <v>1</v>
      </c>
    </row>
    <row r="971" customFormat="false" ht="12.75" hidden="false" customHeight="false" outlineLevel="0" collapsed="false">
      <c r="A971" s="15" t="s">
        <v>3246</v>
      </c>
      <c r="B971" s="15" t="s">
        <v>2304</v>
      </c>
      <c r="C971" s="15" t="s">
        <v>519</v>
      </c>
      <c r="D971" s="15" t="s">
        <v>2346</v>
      </c>
      <c r="E971" s="15" t="s">
        <v>69</v>
      </c>
      <c r="G971" s="10" t="n">
        <v>3</v>
      </c>
      <c r="H971" s="21" t="n">
        <v>45979.6612152778</v>
      </c>
      <c r="I971" s="15" t="s">
        <v>3247</v>
      </c>
      <c r="J971" s="15" t="s">
        <v>3248</v>
      </c>
      <c r="K971" s="15" t="s">
        <v>3249</v>
      </c>
      <c r="L971" s="10" t="n">
        <f aca="false">COUNTIF($E$2:E971,E971)</f>
        <v>113</v>
      </c>
      <c r="M971" s="10" t="e">
        <f aca="false">ifs(L971=1, L971&amp;"-"&amp; COUNTIFS($L$2:L971,1))</f>
        <v>#NAME?</v>
      </c>
      <c r="O971" s="10"/>
      <c r="P971" s="22" t="n">
        <f aca="false">COUNTIFS(C:C,C971,N:N,"Đã xác nhận")/COUNTIFS(C:C,C971)</f>
        <v>0</v>
      </c>
      <c r="Q971" s="22"/>
      <c r="R971" s="0" t="s">
        <v>2346</v>
      </c>
      <c r="S971" s="0" t="s">
        <v>535</v>
      </c>
      <c r="U971" s="24" t="n">
        <v>3</v>
      </c>
    </row>
    <row r="972" customFormat="false" ht="12.75" hidden="false" customHeight="false" outlineLevel="0" collapsed="false">
      <c r="A972" s="15" t="s">
        <v>3250</v>
      </c>
      <c r="B972" s="15" t="s">
        <v>2304</v>
      </c>
      <c r="C972" s="15" t="s">
        <v>519</v>
      </c>
      <c r="D972" s="15" t="s">
        <v>2333</v>
      </c>
      <c r="E972" s="15" t="s">
        <v>69</v>
      </c>
      <c r="G972" s="10" t="n">
        <v>1</v>
      </c>
      <c r="H972" s="21" t="n">
        <v>45979.6612847222</v>
      </c>
      <c r="I972" s="15" t="s">
        <v>3247</v>
      </c>
      <c r="J972" s="15" t="s">
        <v>3251</v>
      </c>
      <c r="K972" s="15" t="s">
        <v>3252</v>
      </c>
      <c r="L972" s="10" t="n">
        <f aca="false">COUNTIF($E$2:E972,E972)</f>
        <v>114</v>
      </c>
      <c r="M972" s="10" t="e">
        <f aca="false">ifs(L972=1, L972&amp;"-"&amp; COUNTIFS($L$2:L972,1))</f>
        <v>#NAME?</v>
      </c>
      <c r="O972" s="10"/>
      <c r="P972" s="22" t="n">
        <f aca="false">COUNTIFS(C:C,C972,N:N,"Đã xác nhận")/COUNTIFS(C:C,C972)</f>
        <v>0</v>
      </c>
      <c r="Q972" s="22"/>
      <c r="R972" s="0" t="s">
        <v>2333</v>
      </c>
      <c r="S972" s="0" t="s">
        <v>535</v>
      </c>
      <c r="U972" s="24" t="n">
        <v>1</v>
      </c>
    </row>
    <row r="973" customFormat="false" ht="12.75" hidden="false" customHeight="false" outlineLevel="0" collapsed="false">
      <c r="A973" s="15" t="s">
        <v>3253</v>
      </c>
      <c r="B973" s="15" t="s">
        <v>2304</v>
      </c>
      <c r="C973" s="15" t="s">
        <v>519</v>
      </c>
      <c r="D973" s="15" t="s">
        <v>878</v>
      </c>
      <c r="E973" s="15" t="s">
        <v>69</v>
      </c>
      <c r="G973" s="10" t="n">
        <v>1</v>
      </c>
      <c r="H973" s="21" t="n">
        <v>45979.6613773148</v>
      </c>
      <c r="I973" s="15" t="s">
        <v>3247</v>
      </c>
      <c r="J973" s="15" t="s">
        <v>3254</v>
      </c>
      <c r="K973" s="15" t="s">
        <v>3255</v>
      </c>
      <c r="L973" s="10" t="n">
        <f aca="false">COUNTIF($E$2:E973,E973)</f>
        <v>115</v>
      </c>
      <c r="M973" s="10" t="e">
        <f aca="false">ifs(L973=1, L973&amp;"-"&amp; COUNTIFS($L$2:L973,1))</f>
        <v>#NAME?</v>
      </c>
      <c r="O973" s="10"/>
      <c r="P973" s="22" t="n">
        <f aca="false">COUNTIFS(C:C,C973,N:N,"Đã xác nhận")/COUNTIFS(C:C,C973)</f>
        <v>0</v>
      </c>
      <c r="Q973" s="22"/>
      <c r="R973" s="0" t="s">
        <v>768</v>
      </c>
      <c r="S973" s="0" t="s">
        <v>535</v>
      </c>
      <c r="U973" s="24" t="n">
        <v>1</v>
      </c>
    </row>
    <row r="974" customFormat="false" ht="12.75" hidden="false" customHeight="false" outlineLevel="0" collapsed="false">
      <c r="A974" s="15" t="s">
        <v>3256</v>
      </c>
      <c r="B974" s="15" t="s">
        <v>2304</v>
      </c>
      <c r="C974" s="15" t="s">
        <v>519</v>
      </c>
      <c r="D974" s="15" t="s">
        <v>2346</v>
      </c>
      <c r="E974" s="15" t="s">
        <v>33</v>
      </c>
      <c r="G974" s="10" t="n">
        <v>3</v>
      </c>
      <c r="H974" s="21" t="n">
        <v>45979.6615046296</v>
      </c>
      <c r="I974" s="15" t="s">
        <v>3247</v>
      </c>
      <c r="J974" s="15" t="s">
        <v>3257</v>
      </c>
      <c r="K974" s="15" t="s">
        <v>3258</v>
      </c>
      <c r="L974" s="10" t="n">
        <f aca="false">COUNTIF($E$2:E974,E974)</f>
        <v>80</v>
      </c>
      <c r="M974" s="10" t="e">
        <f aca="false">ifs(L974=1, L974&amp;"-"&amp; COUNTIFS($L$2:L974,1))</f>
        <v>#NAME?</v>
      </c>
      <c r="O974" s="10"/>
      <c r="P974" s="22" t="n">
        <f aca="false">COUNTIFS(C:C,C974,N:N,"Đã xác nhận")/COUNTIFS(C:C,C974)</f>
        <v>0</v>
      </c>
      <c r="Q974" s="22"/>
      <c r="R974" s="0" t="s">
        <v>2346</v>
      </c>
      <c r="S974" s="0" t="s">
        <v>536</v>
      </c>
      <c r="U974" s="24" t="n">
        <v>3</v>
      </c>
    </row>
    <row r="975" customFormat="false" ht="12.75" hidden="false" customHeight="false" outlineLevel="0" collapsed="false">
      <c r="A975" s="15" t="s">
        <v>3259</v>
      </c>
      <c r="B975" s="15" t="s">
        <v>2304</v>
      </c>
      <c r="C975" s="15" t="s">
        <v>519</v>
      </c>
      <c r="D975" s="15" t="s">
        <v>2333</v>
      </c>
      <c r="E975" s="15" t="s">
        <v>33</v>
      </c>
      <c r="G975" s="10" t="n">
        <v>1</v>
      </c>
      <c r="H975" s="21" t="n">
        <v>45979.6617013889</v>
      </c>
      <c r="I975" s="15" t="s">
        <v>3260</v>
      </c>
      <c r="J975" s="15" t="s">
        <v>3261</v>
      </c>
      <c r="K975" s="15" t="s">
        <v>3262</v>
      </c>
      <c r="L975" s="10" t="n">
        <f aca="false">COUNTIF($E$2:E975,E975)</f>
        <v>81</v>
      </c>
      <c r="M975" s="10" t="e">
        <f aca="false">ifs(L975=1, L975&amp;"-"&amp; COUNTIFS($L$2:L975,1))</f>
        <v>#NAME?</v>
      </c>
      <c r="O975" s="10"/>
      <c r="P975" s="22" t="n">
        <f aca="false">COUNTIFS(C:C,C975,N:N,"Đã xác nhận")/COUNTIFS(C:C,C975)</f>
        <v>0</v>
      </c>
      <c r="Q975" s="22"/>
      <c r="R975" s="0" t="s">
        <v>2333</v>
      </c>
      <c r="S975" s="0" t="s">
        <v>536</v>
      </c>
      <c r="U975" s="24" t="n">
        <v>1</v>
      </c>
    </row>
    <row r="976" customFormat="false" ht="12.75" hidden="false" customHeight="false" outlineLevel="0" collapsed="false">
      <c r="A976" s="15" t="s">
        <v>3263</v>
      </c>
      <c r="B976" s="15" t="s">
        <v>2304</v>
      </c>
      <c r="C976" s="15" t="s">
        <v>519</v>
      </c>
      <c r="D976" s="15" t="s">
        <v>878</v>
      </c>
      <c r="E976" s="15" t="s">
        <v>33</v>
      </c>
      <c r="G976" s="10" t="n">
        <v>1</v>
      </c>
      <c r="H976" s="21" t="n">
        <v>45979.6618055556</v>
      </c>
      <c r="I976" s="15" t="s">
        <v>3260</v>
      </c>
      <c r="J976" s="15" t="s">
        <v>3264</v>
      </c>
      <c r="K976" s="15" t="s">
        <v>3265</v>
      </c>
      <c r="L976" s="10" t="n">
        <f aca="false">COUNTIF($E$2:E976,E976)</f>
        <v>82</v>
      </c>
      <c r="M976" s="10" t="e">
        <f aca="false">ifs(L976=1, L976&amp;"-"&amp; COUNTIFS($L$2:L976,1))</f>
        <v>#NAME?</v>
      </c>
      <c r="O976" s="10"/>
      <c r="P976" s="22" t="n">
        <f aca="false">COUNTIFS(C:C,C976,N:N,"Đã xác nhận")/COUNTIFS(C:C,C976)</f>
        <v>0</v>
      </c>
      <c r="Q976" s="22"/>
      <c r="R976" s="0" t="s">
        <v>768</v>
      </c>
      <c r="S976" s="0" t="s">
        <v>536</v>
      </c>
      <c r="U976" s="24" t="n">
        <v>1</v>
      </c>
    </row>
    <row r="977" customFormat="false" ht="12.75" hidden="false" customHeight="false" outlineLevel="0" collapsed="false">
      <c r="A977" s="15" t="s">
        <v>3266</v>
      </c>
      <c r="B977" s="15" t="s">
        <v>2304</v>
      </c>
      <c r="C977" s="15" t="s">
        <v>519</v>
      </c>
      <c r="D977" s="15" t="s">
        <v>611</v>
      </c>
      <c r="E977" s="15" t="s">
        <v>33</v>
      </c>
      <c r="G977" s="10" t="n">
        <v>1</v>
      </c>
      <c r="H977" s="21" t="n">
        <v>45979.6619212963</v>
      </c>
      <c r="I977" s="15" t="s">
        <v>3260</v>
      </c>
      <c r="J977" s="15" t="s">
        <v>3267</v>
      </c>
      <c r="K977" s="15" t="s">
        <v>3268</v>
      </c>
      <c r="L977" s="10" t="n">
        <f aca="false">COUNTIF($E$2:E977,E977)</f>
        <v>83</v>
      </c>
      <c r="M977" s="10" t="e">
        <f aca="false">ifs(L977=1, L977&amp;"-"&amp; COUNTIFS($L$2:L977,1))</f>
        <v>#NAME?</v>
      </c>
      <c r="O977" s="10"/>
      <c r="P977" s="22" t="n">
        <f aca="false">COUNTIFS(C:C,C977,N:N,"Đã xác nhận")/COUNTIFS(C:C,C977)</f>
        <v>0</v>
      </c>
      <c r="Q977" s="22"/>
      <c r="R977" s="0" t="s">
        <v>613</v>
      </c>
      <c r="S977" s="0" t="s">
        <v>536</v>
      </c>
      <c r="U977" s="24" t="n">
        <v>1</v>
      </c>
    </row>
    <row r="978" customFormat="false" ht="12.75" hidden="false" customHeight="false" outlineLevel="0" collapsed="false">
      <c r="A978" s="15" t="s">
        <v>3269</v>
      </c>
      <c r="B978" s="15" t="s">
        <v>2304</v>
      </c>
      <c r="C978" s="15" t="s">
        <v>2565</v>
      </c>
      <c r="D978" s="15" t="s">
        <v>2333</v>
      </c>
      <c r="E978" s="15" t="s">
        <v>33</v>
      </c>
      <c r="G978" s="10" t="n">
        <v>1</v>
      </c>
      <c r="H978" s="21" t="n">
        <v>45979.6623726852</v>
      </c>
      <c r="I978" s="15" t="s">
        <v>3270</v>
      </c>
      <c r="J978" s="15" t="s">
        <v>3271</v>
      </c>
      <c r="K978" s="15" t="s">
        <v>3272</v>
      </c>
      <c r="L978" s="10" t="n">
        <f aca="false">COUNTIF($E$2:E978,E978)</f>
        <v>84</v>
      </c>
      <c r="M978" s="10" t="e">
        <f aca="false">ifs(L978=1, L978&amp;"-"&amp; COUNTIFS($L$2:L978,1))</f>
        <v>#NAME?</v>
      </c>
      <c r="O978" s="10"/>
      <c r="P978" s="22" t="n">
        <f aca="false">COUNTIFS(C:C,C978,N:N,"Đã xác nhận")/COUNTIFS(C:C,C978)</f>
        <v>0</v>
      </c>
      <c r="Q978" s="22"/>
      <c r="R978" s="0" t="s">
        <v>2333</v>
      </c>
      <c r="S978" s="0" t="s">
        <v>536</v>
      </c>
      <c r="U978" s="24" t="n">
        <v>1</v>
      </c>
    </row>
    <row r="979" customFormat="false" ht="12.75" hidden="false" customHeight="false" outlineLevel="0" collapsed="false">
      <c r="A979" s="15" t="s">
        <v>3273</v>
      </c>
      <c r="B979" s="15" t="s">
        <v>2304</v>
      </c>
      <c r="C979" s="15" t="s">
        <v>2565</v>
      </c>
      <c r="D979" s="15" t="s">
        <v>878</v>
      </c>
      <c r="E979" s="15" t="s">
        <v>33</v>
      </c>
      <c r="G979" s="10" t="n">
        <v>1</v>
      </c>
      <c r="H979" s="21" t="n">
        <v>45979.6624884259</v>
      </c>
      <c r="I979" s="15" t="s">
        <v>3270</v>
      </c>
      <c r="J979" s="15" t="s">
        <v>3274</v>
      </c>
      <c r="K979" s="15" t="s">
        <v>3275</v>
      </c>
      <c r="L979" s="10" t="n">
        <f aca="false">COUNTIF($E$2:E979,E979)</f>
        <v>85</v>
      </c>
      <c r="M979" s="10" t="e">
        <f aca="false">ifs(L979=1, L979&amp;"-"&amp; COUNTIFS($L$2:L979,1))</f>
        <v>#NAME?</v>
      </c>
      <c r="O979" s="10"/>
      <c r="P979" s="22" t="n">
        <f aca="false">COUNTIFS(C:C,C979,N:N,"Đã xác nhận")/COUNTIFS(C:C,C979)</f>
        <v>0</v>
      </c>
      <c r="Q979" s="22"/>
      <c r="R979" s="0" t="s">
        <v>768</v>
      </c>
      <c r="S979" s="0" t="s">
        <v>536</v>
      </c>
      <c r="U979" s="24" t="n">
        <v>1</v>
      </c>
    </row>
    <row r="980" customFormat="false" ht="12.75" hidden="false" customHeight="false" outlineLevel="0" collapsed="false">
      <c r="A980" s="15" t="s">
        <v>3276</v>
      </c>
      <c r="B980" s="15" t="s">
        <v>2304</v>
      </c>
      <c r="C980" s="15" t="s">
        <v>2565</v>
      </c>
      <c r="D980" s="15" t="s">
        <v>2333</v>
      </c>
      <c r="E980" s="15" t="s">
        <v>69</v>
      </c>
      <c r="G980" s="10" t="n">
        <v>1</v>
      </c>
      <c r="H980" s="21" t="n">
        <v>45979.6628125</v>
      </c>
      <c r="I980" s="15" t="s">
        <v>3277</v>
      </c>
      <c r="J980" s="15" t="s">
        <v>3278</v>
      </c>
      <c r="K980" s="15" t="s">
        <v>3279</v>
      </c>
      <c r="L980" s="10" t="n">
        <f aca="false">COUNTIF($E$2:E980,E980)</f>
        <v>116</v>
      </c>
      <c r="M980" s="10" t="e">
        <f aca="false">ifs(L980=1, L980&amp;"-"&amp; COUNTIFS($L$2:L980,1))</f>
        <v>#NAME?</v>
      </c>
      <c r="O980" s="10"/>
      <c r="P980" s="22" t="n">
        <f aca="false">COUNTIFS(C:C,C980,N:N,"Đã xác nhận")/COUNTIFS(C:C,C980)</f>
        <v>0</v>
      </c>
      <c r="Q980" s="22"/>
      <c r="R980" s="0" t="s">
        <v>2333</v>
      </c>
      <c r="S980" s="0" t="s">
        <v>535</v>
      </c>
      <c r="U980" s="24" t="n">
        <v>1</v>
      </c>
    </row>
    <row r="981" customFormat="false" ht="12.75" hidden="false" customHeight="false" outlineLevel="0" collapsed="false">
      <c r="A981" s="15" t="s">
        <v>3280</v>
      </c>
      <c r="B981" s="15" t="s">
        <v>2304</v>
      </c>
      <c r="C981" s="15" t="s">
        <v>2565</v>
      </c>
      <c r="D981" s="15" t="s">
        <v>878</v>
      </c>
      <c r="E981" s="15" t="s">
        <v>69</v>
      </c>
      <c r="G981" s="10" t="n">
        <v>1</v>
      </c>
      <c r="H981" s="21" t="n">
        <v>45979.6629050926</v>
      </c>
      <c r="I981" s="15" t="s">
        <v>3277</v>
      </c>
      <c r="J981" s="15" t="s">
        <v>3281</v>
      </c>
      <c r="K981" s="15" t="s">
        <v>3282</v>
      </c>
      <c r="L981" s="10" t="n">
        <f aca="false">COUNTIF($E$2:E981,E981)</f>
        <v>117</v>
      </c>
      <c r="M981" s="10" t="e">
        <f aca="false">ifs(L981=1, L981&amp;"-"&amp; COUNTIFS($L$2:L981,1))</f>
        <v>#NAME?</v>
      </c>
      <c r="O981" s="10"/>
      <c r="P981" s="22" t="n">
        <f aca="false">COUNTIFS(C:C,C981,N:N,"Đã xác nhận")/COUNTIFS(C:C,C981)</f>
        <v>0</v>
      </c>
      <c r="Q981" s="22"/>
      <c r="R981" s="0" t="s">
        <v>768</v>
      </c>
      <c r="S981" s="0" t="s">
        <v>535</v>
      </c>
      <c r="U981" s="24" t="n">
        <v>1</v>
      </c>
    </row>
    <row r="982" customFormat="false" ht="12.75" hidden="false" customHeight="false" outlineLevel="0" collapsed="false">
      <c r="A982" s="15" t="s">
        <v>3283</v>
      </c>
      <c r="B982" s="15" t="s">
        <v>2304</v>
      </c>
      <c r="C982" s="15" t="s">
        <v>524</v>
      </c>
      <c r="D982" s="15" t="s">
        <v>2346</v>
      </c>
      <c r="E982" s="15" t="s">
        <v>69</v>
      </c>
      <c r="G982" s="10" t="n">
        <v>3</v>
      </c>
      <c r="H982" s="21" t="n">
        <v>46052.4734259259</v>
      </c>
      <c r="I982" s="15" t="s">
        <v>3284</v>
      </c>
      <c r="J982" s="15" t="s">
        <v>3284</v>
      </c>
      <c r="K982" s="15"/>
      <c r="L982" s="10" t="n">
        <f aca="false">COUNTIF($E$2:E982,E982)</f>
        <v>118</v>
      </c>
      <c r="M982" s="10" t="e">
        <f aca="false">ifs(L982=1, L982&amp;"-"&amp; COUNTIFS($L$2:L982,1))</f>
        <v>#NAME?</v>
      </c>
      <c r="N982" s="15" t="s">
        <v>603</v>
      </c>
      <c r="O982" s="10"/>
      <c r="P982" s="22" t="n">
        <f aca="false">COUNTIFS(C:C,C982,N:N,"Đã xác nhận")/COUNTIFS(C:C,C982)</f>
        <v>1</v>
      </c>
      <c r="Q982" s="22"/>
      <c r="R982" s="0" t="s">
        <v>2346</v>
      </c>
      <c r="S982" s="0" t="s">
        <v>535</v>
      </c>
      <c r="U982" s="24" t="n">
        <v>3</v>
      </c>
    </row>
    <row r="983" customFormat="false" ht="12.75" hidden="false" customHeight="false" outlineLevel="0" collapsed="false">
      <c r="A983" s="15" t="s">
        <v>3285</v>
      </c>
      <c r="B983" s="15" t="s">
        <v>2304</v>
      </c>
      <c r="C983" s="15" t="s">
        <v>524</v>
      </c>
      <c r="D983" s="15" t="s">
        <v>2333</v>
      </c>
      <c r="E983" s="15" t="s">
        <v>69</v>
      </c>
      <c r="G983" s="10" t="n">
        <v>1</v>
      </c>
      <c r="H983" s="21" t="n">
        <v>46052.4734606482</v>
      </c>
      <c r="I983" s="15" t="s">
        <v>3286</v>
      </c>
      <c r="J983" s="15" t="s">
        <v>3286</v>
      </c>
      <c r="K983" s="15"/>
      <c r="L983" s="10" t="n">
        <f aca="false">COUNTIF($E$2:E983,E983)</f>
        <v>119</v>
      </c>
      <c r="M983" s="10" t="e">
        <f aca="false">ifs(L983=1, L983&amp;"-"&amp; COUNTIFS($L$2:L983,1))</f>
        <v>#NAME?</v>
      </c>
      <c r="N983" s="15" t="s">
        <v>603</v>
      </c>
      <c r="O983" s="10"/>
      <c r="P983" s="22" t="n">
        <f aca="false">COUNTIFS(C:C,C983,N:N,"Đã xác nhận")/COUNTIFS(C:C,C983)</f>
        <v>1</v>
      </c>
      <c r="Q983" s="22"/>
      <c r="R983" s="0" t="s">
        <v>2333</v>
      </c>
      <c r="S983" s="0" t="s">
        <v>535</v>
      </c>
      <c r="U983" s="24" t="n">
        <v>1</v>
      </c>
    </row>
    <row r="984" customFormat="false" ht="12.75" hidden="false" customHeight="false" outlineLevel="0" collapsed="false">
      <c r="A984" s="15" t="s">
        <v>3287</v>
      </c>
      <c r="B984" s="15" t="s">
        <v>2304</v>
      </c>
      <c r="C984" s="15" t="s">
        <v>524</v>
      </c>
      <c r="D984" s="15" t="s">
        <v>878</v>
      </c>
      <c r="E984" s="15" t="s">
        <v>69</v>
      </c>
      <c r="G984" s="10" t="n">
        <v>1</v>
      </c>
      <c r="H984" s="21" t="n">
        <v>46052.4734375</v>
      </c>
      <c r="I984" s="15" t="s">
        <v>3288</v>
      </c>
      <c r="J984" s="15" t="s">
        <v>3288</v>
      </c>
      <c r="K984" s="15"/>
      <c r="L984" s="10" t="n">
        <f aca="false">COUNTIF($E$2:E984,E984)</f>
        <v>120</v>
      </c>
      <c r="M984" s="10" t="e">
        <f aca="false">ifs(L984=1, L984&amp;"-"&amp; COUNTIFS($L$2:L984,1))</f>
        <v>#NAME?</v>
      </c>
      <c r="N984" s="15" t="s">
        <v>603</v>
      </c>
      <c r="O984" s="10"/>
      <c r="P984" s="22" t="n">
        <f aca="false">COUNTIFS(C:C,C984,N:N,"Đã xác nhận")/COUNTIFS(C:C,C984)</f>
        <v>1</v>
      </c>
      <c r="Q984" s="22"/>
      <c r="R984" s="0" t="s">
        <v>768</v>
      </c>
      <c r="S984" s="0" t="s">
        <v>535</v>
      </c>
      <c r="U984" s="24" t="n">
        <v>1</v>
      </c>
    </row>
    <row r="985" customFormat="false" ht="12.75" hidden="false" customHeight="false" outlineLevel="0" collapsed="false">
      <c r="A985" s="15" t="s">
        <v>3289</v>
      </c>
      <c r="B985" s="15" t="s">
        <v>2304</v>
      </c>
      <c r="C985" s="15" t="s">
        <v>524</v>
      </c>
      <c r="D985" s="15" t="s">
        <v>2346</v>
      </c>
      <c r="E985" s="15" t="s">
        <v>33</v>
      </c>
      <c r="G985" s="10" t="n">
        <v>3</v>
      </c>
      <c r="H985" s="21" t="n">
        <v>46052.4734259259</v>
      </c>
      <c r="I985" s="15" t="s">
        <v>3290</v>
      </c>
      <c r="J985" s="15" t="s">
        <v>3290</v>
      </c>
      <c r="K985" s="15"/>
      <c r="L985" s="10" t="n">
        <f aca="false">COUNTIF($E$2:E985,E985)</f>
        <v>86</v>
      </c>
      <c r="M985" s="10" t="e">
        <f aca="false">ifs(L985=1, L985&amp;"-"&amp; COUNTIFS($L$2:L985,1))</f>
        <v>#NAME?</v>
      </c>
      <c r="N985" s="15" t="s">
        <v>603</v>
      </c>
      <c r="O985" s="10"/>
      <c r="P985" s="22" t="n">
        <f aca="false">COUNTIFS(C:C,C985,N:N,"Đã xác nhận")/COUNTIFS(C:C,C985)</f>
        <v>1</v>
      </c>
      <c r="Q985" s="22"/>
      <c r="R985" s="0" t="s">
        <v>2346</v>
      </c>
      <c r="S985" s="0" t="s">
        <v>536</v>
      </c>
      <c r="U985" s="24" t="n">
        <v>3</v>
      </c>
    </row>
    <row r="986" customFormat="false" ht="12.75" hidden="false" customHeight="false" outlineLevel="0" collapsed="false">
      <c r="A986" s="15" t="s">
        <v>3291</v>
      </c>
      <c r="B986" s="15" t="s">
        <v>2304</v>
      </c>
      <c r="C986" s="15" t="s">
        <v>524</v>
      </c>
      <c r="D986" s="15" t="s">
        <v>2333</v>
      </c>
      <c r="E986" s="15" t="s">
        <v>33</v>
      </c>
      <c r="G986" s="10" t="n">
        <v>1</v>
      </c>
      <c r="H986" s="21" t="n">
        <v>46052.4734606482</v>
      </c>
      <c r="I986" s="15" t="s">
        <v>3292</v>
      </c>
      <c r="J986" s="15" t="s">
        <v>3292</v>
      </c>
      <c r="K986" s="15"/>
      <c r="L986" s="10" t="n">
        <f aca="false">COUNTIF($E$2:E986,E986)</f>
        <v>87</v>
      </c>
      <c r="M986" s="10" t="e">
        <f aca="false">ifs(L986=1, L986&amp;"-"&amp; COUNTIFS($L$2:L986,1))</f>
        <v>#NAME?</v>
      </c>
      <c r="N986" s="15" t="s">
        <v>603</v>
      </c>
      <c r="O986" s="10"/>
      <c r="P986" s="22" t="n">
        <f aca="false">COUNTIFS(C:C,C986,N:N,"Đã xác nhận")/COUNTIFS(C:C,C986)</f>
        <v>1</v>
      </c>
      <c r="Q986" s="22"/>
      <c r="R986" s="0" t="s">
        <v>2333</v>
      </c>
      <c r="S986" s="0" t="s">
        <v>536</v>
      </c>
      <c r="U986" s="24" t="n">
        <v>1</v>
      </c>
    </row>
    <row r="987" customFormat="false" ht="12.75" hidden="false" customHeight="false" outlineLevel="0" collapsed="false">
      <c r="A987" s="15" t="s">
        <v>3293</v>
      </c>
      <c r="B987" s="15" t="s">
        <v>2304</v>
      </c>
      <c r="C987" s="15" t="s">
        <v>524</v>
      </c>
      <c r="D987" s="15" t="s">
        <v>878</v>
      </c>
      <c r="E987" s="15" t="s">
        <v>33</v>
      </c>
      <c r="G987" s="10" t="n">
        <v>1</v>
      </c>
      <c r="H987" s="21" t="n">
        <v>46052.4734490741</v>
      </c>
      <c r="I987" s="15" t="s">
        <v>3294</v>
      </c>
      <c r="J987" s="15" t="s">
        <v>3294</v>
      </c>
      <c r="K987" s="15"/>
      <c r="L987" s="10" t="n">
        <f aca="false">COUNTIF($E$2:E987,E987)</f>
        <v>88</v>
      </c>
      <c r="M987" s="10" t="e">
        <f aca="false">ifs(L987=1, L987&amp;"-"&amp; COUNTIFS($L$2:L987,1))</f>
        <v>#NAME?</v>
      </c>
      <c r="N987" s="15" t="s">
        <v>603</v>
      </c>
      <c r="O987" s="10"/>
      <c r="P987" s="22" t="n">
        <f aca="false">COUNTIFS(C:C,C987,N:N,"Đã xác nhận")/COUNTIFS(C:C,C987)</f>
        <v>1</v>
      </c>
      <c r="Q987" s="22"/>
      <c r="R987" s="0" t="s">
        <v>768</v>
      </c>
      <c r="S987" s="0" t="s">
        <v>536</v>
      </c>
      <c r="U987" s="24" t="n">
        <v>1</v>
      </c>
    </row>
    <row r="988" customFormat="false" ht="12.75" hidden="false" customHeight="false" outlineLevel="0" collapsed="false">
      <c r="A988" s="15" t="s">
        <v>3295</v>
      </c>
      <c r="B988" s="15" t="s">
        <v>2304</v>
      </c>
      <c r="C988" s="15" t="s">
        <v>524</v>
      </c>
      <c r="D988" s="15" t="s">
        <v>611</v>
      </c>
      <c r="E988" s="15" t="s">
        <v>33</v>
      </c>
      <c r="G988" s="10" t="n">
        <v>1</v>
      </c>
      <c r="H988" s="21" t="n">
        <v>46052.4734143519</v>
      </c>
      <c r="I988" s="15" t="s">
        <v>3296</v>
      </c>
      <c r="J988" s="15" t="s">
        <v>3296</v>
      </c>
      <c r="K988" s="15"/>
      <c r="L988" s="10" t="n">
        <f aca="false">COUNTIF($E$2:E988,E988)</f>
        <v>89</v>
      </c>
      <c r="M988" s="10" t="e">
        <f aca="false">ifs(L988=1, L988&amp;"-"&amp; COUNTIFS($L$2:L988,1))</f>
        <v>#NAME?</v>
      </c>
      <c r="N988" s="15" t="s">
        <v>603</v>
      </c>
      <c r="O988" s="10"/>
      <c r="P988" s="22" t="n">
        <f aca="false">COUNTIFS(C:C,C988,N:N,"Đã xác nhận")/COUNTIFS(C:C,C988)</f>
        <v>1</v>
      </c>
      <c r="Q988" s="22"/>
      <c r="R988" s="0" t="s">
        <v>613</v>
      </c>
      <c r="S988" s="0" t="s">
        <v>536</v>
      </c>
      <c r="U988" s="24" t="n">
        <v>1</v>
      </c>
    </row>
    <row r="989" customFormat="false" ht="12.75" hidden="false" customHeight="false" outlineLevel="0" collapsed="false">
      <c r="A989" s="15" t="s">
        <v>3297</v>
      </c>
      <c r="B989" s="15" t="s">
        <v>2304</v>
      </c>
      <c r="C989" s="15" t="s">
        <v>2606</v>
      </c>
      <c r="D989" s="15" t="s">
        <v>2346</v>
      </c>
      <c r="E989" s="15" t="s">
        <v>69</v>
      </c>
      <c r="G989" s="10" t="n">
        <v>3</v>
      </c>
      <c r="H989" s="21" t="n">
        <v>45979.6654861111</v>
      </c>
      <c r="I989" s="15" t="s">
        <v>3298</v>
      </c>
      <c r="J989" s="15" t="s">
        <v>3299</v>
      </c>
      <c r="K989" s="15" t="s">
        <v>3300</v>
      </c>
      <c r="L989" s="10" t="n">
        <f aca="false">COUNTIF($E$2:E989,E989)</f>
        <v>121</v>
      </c>
      <c r="M989" s="10" t="e">
        <f aca="false">ifs(L989=1, L989&amp;"-"&amp; COUNTIFS($L$2:L989,1))</f>
        <v>#NAME?</v>
      </c>
      <c r="O989" s="10"/>
      <c r="P989" s="22" t="n">
        <f aca="false">COUNTIFS(C:C,C989,N:N,"Đã xác nhận")/COUNTIFS(C:C,C989)</f>
        <v>0</v>
      </c>
      <c r="Q989" s="22"/>
      <c r="R989" s="0" t="s">
        <v>2346</v>
      </c>
      <c r="S989" s="0" t="s">
        <v>535</v>
      </c>
      <c r="U989" s="24" t="n">
        <v>3</v>
      </c>
    </row>
    <row r="990" customFormat="false" ht="12.75" hidden="false" customHeight="false" outlineLevel="0" collapsed="false">
      <c r="A990" s="15" t="s">
        <v>3301</v>
      </c>
      <c r="B990" s="15" t="s">
        <v>2304</v>
      </c>
      <c r="C990" s="15" t="s">
        <v>2606</v>
      </c>
      <c r="D990" s="15" t="s">
        <v>2333</v>
      </c>
      <c r="E990" s="15" t="s">
        <v>69</v>
      </c>
      <c r="G990" s="10" t="n">
        <v>1</v>
      </c>
      <c r="H990" s="21" t="n">
        <v>45979.6656944445</v>
      </c>
      <c r="I990" s="15" t="s">
        <v>3298</v>
      </c>
      <c r="J990" s="15" t="s">
        <v>3302</v>
      </c>
      <c r="K990" s="15" t="s">
        <v>3303</v>
      </c>
      <c r="L990" s="10" t="n">
        <f aca="false">COUNTIF($E$2:E990,E990)</f>
        <v>122</v>
      </c>
      <c r="M990" s="10" t="e">
        <f aca="false">ifs(L990=1, L990&amp;"-"&amp; COUNTIFS($L$2:L990,1))</f>
        <v>#NAME?</v>
      </c>
      <c r="O990" s="10"/>
      <c r="P990" s="22" t="n">
        <f aca="false">COUNTIFS(C:C,C990,N:N,"Đã xác nhận")/COUNTIFS(C:C,C990)</f>
        <v>0</v>
      </c>
      <c r="Q990" s="22"/>
      <c r="R990" s="0" t="s">
        <v>2333</v>
      </c>
      <c r="S990" s="0" t="s">
        <v>535</v>
      </c>
      <c r="U990" s="24" t="n">
        <v>1</v>
      </c>
    </row>
    <row r="991" customFormat="false" ht="12.75" hidden="false" customHeight="false" outlineLevel="0" collapsed="false">
      <c r="A991" s="15" t="s">
        <v>3304</v>
      </c>
      <c r="B991" s="15" t="s">
        <v>2304</v>
      </c>
      <c r="C991" s="15" t="s">
        <v>2606</v>
      </c>
      <c r="D991" s="15" t="s">
        <v>878</v>
      </c>
      <c r="E991" s="15" t="s">
        <v>69</v>
      </c>
      <c r="G991" s="10" t="n">
        <v>1</v>
      </c>
      <c r="H991" s="21" t="n">
        <v>45979.665787037</v>
      </c>
      <c r="I991" s="15" t="s">
        <v>3298</v>
      </c>
      <c r="J991" s="15" t="s">
        <v>3305</v>
      </c>
      <c r="K991" s="15" t="s">
        <v>3306</v>
      </c>
      <c r="L991" s="10" t="n">
        <f aca="false">COUNTIF($E$2:E991,E991)</f>
        <v>123</v>
      </c>
      <c r="M991" s="10" t="e">
        <f aca="false">ifs(L991=1, L991&amp;"-"&amp; COUNTIFS($L$2:L991,1))</f>
        <v>#NAME?</v>
      </c>
      <c r="O991" s="10"/>
      <c r="P991" s="22" t="n">
        <f aca="false">COUNTIFS(C:C,C991,N:N,"Đã xác nhận")/COUNTIFS(C:C,C991)</f>
        <v>0</v>
      </c>
      <c r="Q991" s="22"/>
      <c r="R991" s="0" t="s">
        <v>768</v>
      </c>
      <c r="S991" s="0" t="s">
        <v>535</v>
      </c>
      <c r="U991" s="24" t="n">
        <v>1</v>
      </c>
    </row>
    <row r="992" customFormat="false" ht="12.75" hidden="false" customHeight="false" outlineLevel="0" collapsed="false">
      <c r="A992" s="15" t="s">
        <v>3307</v>
      </c>
      <c r="B992" s="15" t="s">
        <v>2304</v>
      </c>
      <c r="C992" s="15" t="s">
        <v>2606</v>
      </c>
      <c r="D992" s="15" t="s">
        <v>2346</v>
      </c>
      <c r="E992" s="15" t="s">
        <v>33</v>
      </c>
      <c r="G992" s="10" t="n">
        <v>3</v>
      </c>
      <c r="H992" s="21" t="n">
        <v>45979.66625</v>
      </c>
      <c r="I992" s="15" t="s">
        <v>3298</v>
      </c>
      <c r="J992" s="15" t="s">
        <v>3308</v>
      </c>
      <c r="K992" s="15" t="s">
        <v>3309</v>
      </c>
      <c r="L992" s="10" t="n">
        <f aca="false">COUNTIF($E$2:E992,E992)</f>
        <v>90</v>
      </c>
      <c r="M992" s="10" t="e">
        <f aca="false">ifs(L992=1, L992&amp;"-"&amp; COUNTIFS($L$2:L992,1))</f>
        <v>#NAME?</v>
      </c>
      <c r="O992" s="10"/>
      <c r="P992" s="22" t="n">
        <f aca="false">COUNTIFS(C:C,C992,N:N,"Đã xác nhận")/COUNTIFS(C:C,C992)</f>
        <v>0</v>
      </c>
      <c r="Q992" s="22"/>
      <c r="R992" s="0" t="s">
        <v>2346</v>
      </c>
      <c r="S992" s="0" t="s">
        <v>536</v>
      </c>
      <c r="U992" s="24" t="n">
        <v>3</v>
      </c>
    </row>
    <row r="993" customFormat="false" ht="12.75" hidden="false" customHeight="false" outlineLevel="0" collapsed="false">
      <c r="A993" s="15" t="s">
        <v>3310</v>
      </c>
      <c r="B993" s="15" t="s">
        <v>2304</v>
      </c>
      <c r="C993" s="15" t="s">
        <v>2606</v>
      </c>
      <c r="D993" s="15" t="s">
        <v>611</v>
      </c>
      <c r="E993" s="15" t="s">
        <v>33</v>
      </c>
      <c r="G993" s="10" t="n">
        <v>1</v>
      </c>
      <c r="H993" s="21" t="n">
        <v>45979.6663773148</v>
      </c>
      <c r="I993" s="15" t="s">
        <v>3311</v>
      </c>
      <c r="J993" s="15" t="s">
        <v>3312</v>
      </c>
      <c r="K993" s="15" t="s">
        <v>3313</v>
      </c>
      <c r="L993" s="10" t="n">
        <f aca="false">COUNTIF($E$2:E993,E993)</f>
        <v>91</v>
      </c>
      <c r="M993" s="10" t="e">
        <f aca="false">ifs(L993=1, L993&amp;"-"&amp; COUNTIFS($L$2:L993,1))</f>
        <v>#NAME?</v>
      </c>
      <c r="O993" s="10"/>
      <c r="P993" s="22" t="n">
        <f aca="false">COUNTIFS(C:C,C993,N:N,"Đã xác nhận")/COUNTIFS(C:C,C993)</f>
        <v>0</v>
      </c>
      <c r="Q993" s="22"/>
      <c r="R993" s="0" t="s">
        <v>613</v>
      </c>
      <c r="S993" s="0" t="s">
        <v>536</v>
      </c>
      <c r="U993" s="24" t="n">
        <v>1</v>
      </c>
    </row>
    <row r="994" customFormat="false" ht="12.75" hidden="false" customHeight="false" outlineLevel="0" collapsed="false">
      <c r="A994" s="15" t="s">
        <v>3314</v>
      </c>
      <c r="B994" s="15" t="s">
        <v>2304</v>
      </c>
      <c r="C994" s="15" t="s">
        <v>2606</v>
      </c>
      <c r="D994" s="15" t="s">
        <v>2333</v>
      </c>
      <c r="E994" s="15" t="s">
        <v>33</v>
      </c>
      <c r="G994" s="10" t="n">
        <v>1</v>
      </c>
      <c r="H994" s="21" t="n">
        <v>45979.6664699074</v>
      </c>
      <c r="I994" s="15" t="s">
        <v>3311</v>
      </c>
      <c r="J994" s="15" t="s">
        <v>3315</v>
      </c>
      <c r="K994" s="15" t="s">
        <v>3316</v>
      </c>
      <c r="L994" s="10" t="n">
        <f aca="false">COUNTIF($E$2:E994,E994)</f>
        <v>92</v>
      </c>
      <c r="M994" s="10" t="e">
        <f aca="false">ifs(L994=1, L994&amp;"-"&amp; COUNTIFS($L$2:L994,1))</f>
        <v>#NAME?</v>
      </c>
      <c r="O994" s="10"/>
      <c r="P994" s="22" t="n">
        <f aca="false">COUNTIFS(C:C,C994,N:N,"Đã xác nhận")/COUNTIFS(C:C,C994)</f>
        <v>0</v>
      </c>
      <c r="Q994" s="22"/>
      <c r="R994" s="0" t="s">
        <v>2333</v>
      </c>
      <c r="S994" s="0" t="s">
        <v>536</v>
      </c>
      <c r="U994" s="24" t="n">
        <v>1</v>
      </c>
    </row>
    <row r="995" customFormat="false" ht="12.75" hidden="false" customHeight="false" outlineLevel="0" collapsed="false">
      <c r="A995" s="15" t="s">
        <v>3317</v>
      </c>
      <c r="B995" s="15" t="s">
        <v>2304</v>
      </c>
      <c r="C995" s="15" t="s">
        <v>2606</v>
      </c>
      <c r="D995" s="15" t="s">
        <v>878</v>
      </c>
      <c r="E995" s="15" t="s">
        <v>33</v>
      </c>
      <c r="G995" s="10" t="n">
        <v>1</v>
      </c>
      <c r="H995" s="21" t="n">
        <v>45979.6665625</v>
      </c>
      <c r="I995" s="15" t="s">
        <v>3311</v>
      </c>
      <c r="J995" s="15" t="s">
        <v>3318</v>
      </c>
      <c r="K995" s="15" t="s">
        <v>3319</v>
      </c>
      <c r="L995" s="10" t="n">
        <f aca="false">COUNTIF($E$2:E995,E995)</f>
        <v>93</v>
      </c>
      <c r="M995" s="10" t="e">
        <f aca="false">ifs(L995=1, L995&amp;"-"&amp; COUNTIFS($L$2:L995,1))</f>
        <v>#NAME?</v>
      </c>
      <c r="O995" s="10"/>
      <c r="P995" s="22" t="n">
        <f aca="false">COUNTIFS(C:C,C995,N:N,"Đã xác nhận")/COUNTIFS(C:C,C995)</f>
        <v>0</v>
      </c>
      <c r="Q995" s="22"/>
      <c r="R995" s="0" t="s">
        <v>768</v>
      </c>
      <c r="S995" s="0" t="s">
        <v>536</v>
      </c>
      <c r="U995" s="24" t="n">
        <v>1</v>
      </c>
    </row>
    <row r="996" customFormat="false" ht="12.75" hidden="false" customHeight="false" outlineLevel="0" collapsed="false">
      <c r="A996" s="15" t="s">
        <v>3320</v>
      </c>
      <c r="B996" s="15" t="s">
        <v>2687</v>
      </c>
      <c r="C996" s="15" t="s">
        <v>475</v>
      </c>
      <c r="D996" s="15" t="s">
        <v>2688</v>
      </c>
      <c r="E996" s="15" t="s">
        <v>69</v>
      </c>
      <c r="G996" s="10" t="n">
        <v>2</v>
      </c>
      <c r="H996" s="21" t="n">
        <v>46044.6485300926</v>
      </c>
      <c r="I996" s="15" t="s">
        <v>3321</v>
      </c>
      <c r="J996" s="15" t="s">
        <v>3321</v>
      </c>
      <c r="K996" s="15"/>
      <c r="L996" s="10" t="n">
        <f aca="false">COUNTIF($E$2:E996,E996)</f>
        <v>124</v>
      </c>
      <c r="M996" s="10" t="e">
        <f aca="false">ifs(L996=1, L996&amp;"-"&amp; COUNTIFS($L$2:L996,1))</f>
        <v>#NAME?</v>
      </c>
      <c r="N996" s="15" t="s">
        <v>603</v>
      </c>
      <c r="O996" s="10"/>
      <c r="P996" s="22" t="n">
        <f aca="false">COUNTIFS(C:C,C996,N:N,"Đã xác nhận")/COUNTIFS(C:C,C996)</f>
        <v>1</v>
      </c>
      <c r="Q996" s="22"/>
      <c r="R996" s="0" t="s">
        <v>2688</v>
      </c>
      <c r="S996" s="0" t="s">
        <v>535</v>
      </c>
      <c r="U996" s="24" t="n">
        <v>2</v>
      </c>
    </row>
    <row r="997" customFormat="false" ht="12.75" hidden="false" customHeight="false" outlineLevel="0" collapsed="false">
      <c r="A997" s="15" t="s">
        <v>3322</v>
      </c>
      <c r="B997" s="15" t="s">
        <v>2687</v>
      </c>
      <c r="C997" s="15" t="s">
        <v>475</v>
      </c>
      <c r="D997" s="15" t="s">
        <v>2688</v>
      </c>
      <c r="E997" s="15" t="s">
        <v>33</v>
      </c>
      <c r="G997" s="10" t="n">
        <v>2</v>
      </c>
      <c r="H997" s="21" t="n">
        <v>46044.6485763889</v>
      </c>
      <c r="I997" s="15" t="s">
        <v>3323</v>
      </c>
      <c r="J997" s="15" t="s">
        <v>3323</v>
      </c>
      <c r="K997" s="15"/>
      <c r="L997" s="10" t="n">
        <f aca="false">COUNTIF($E$2:E997,E997)</f>
        <v>94</v>
      </c>
      <c r="M997" s="10" t="e">
        <f aca="false">ifs(L997=1, L997&amp;"-"&amp; COUNTIFS($L$2:L997,1))</f>
        <v>#NAME?</v>
      </c>
      <c r="N997" s="15" t="s">
        <v>603</v>
      </c>
      <c r="O997" s="10"/>
      <c r="P997" s="22" t="n">
        <f aca="false">COUNTIFS(C:C,C997,N:N,"Đã xác nhận")/COUNTIFS(C:C,C997)</f>
        <v>1</v>
      </c>
      <c r="Q997" s="22"/>
      <c r="R997" s="0" t="s">
        <v>2688</v>
      </c>
      <c r="S997" s="0" t="s">
        <v>536</v>
      </c>
      <c r="U997" s="24" t="n">
        <v>2</v>
      </c>
    </row>
    <row r="998" customFormat="false" ht="12.75" hidden="false" customHeight="false" outlineLevel="0" collapsed="false">
      <c r="A998" s="15" t="s">
        <v>3324</v>
      </c>
      <c r="B998" s="15" t="s">
        <v>2687</v>
      </c>
      <c r="C998" s="15" t="s">
        <v>475</v>
      </c>
      <c r="D998" s="15" t="s">
        <v>2688</v>
      </c>
      <c r="E998" s="15" t="s">
        <v>555</v>
      </c>
      <c r="G998" s="10" t="n">
        <v>2</v>
      </c>
      <c r="H998" s="21" t="n">
        <v>46044.6485532407</v>
      </c>
      <c r="I998" s="15" t="s">
        <v>3325</v>
      </c>
      <c r="J998" s="15" t="s">
        <v>3325</v>
      </c>
      <c r="K998" s="15"/>
      <c r="L998" s="10" t="n">
        <f aca="false">COUNTIF($E$2:E998,E998)</f>
        <v>27</v>
      </c>
      <c r="M998" s="10" t="e">
        <f aca="false">ifs(L998=1, L998&amp;"-"&amp; COUNTIFS($L$2:L998,1))</f>
        <v>#NAME?</v>
      </c>
      <c r="N998" s="15" t="s">
        <v>603</v>
      </c>
      <c r="O998" s="10"/>
      <c r="P998" s="22" t="n">
        <f aca="false">COUNTIFS(C:C,C998,N:N,"Đã xác nhận")/COUNTIFS(C:C,C998)</f>
        <v>1</v>
      </c>
      <c r="Q998" s="22"/>
      <c r="R998" s="0" t="s">
        <v>2688</v>
      </c>
      <c r="S998" s="0" t="s">
        <v>556</v>
      </c>
      <c r="U998" s="24" t="n">
        <v>2</v>
      </c>
    </row>
    <row r="999" customFormat="false" ht="12.75" hidden="false" customHeight="false" outlineLevel="0" collapsed="false">
      <c r="A999" s="15" t="s">
        <v>3326</v>
      </c>
      <c r="B999" s="15" t="s">
        <v>600</v>
      </c>
      <c r="C999" s="15" t="s">
        <v>490</v>
      </c>
      <c r="D999" s="15" t="s">
        <v>673</v>
      </c>
      <c r="E999" s="15" t="s">
        <v>33</v>
      </c>
      <c r="G999" s="10" t="n">
        <v>2</v>
      </c>
      <c r="H999" s="21" t="n">
        <v>46035.6892939815</v>
      </c>
      <c r="I999" s="15" t="s">
        <v>3327</v>
      </c>
      <c r="J999" s="15" t="s">
        <v>3327</v>
      </c>
      <c r="K999" s="15"/>
      <c r="L999" s="10" t="n">
        <f aca="false">COUNTIF($E$2:E999,E999)</f>
        <v>95</v>
      </c>
      <c r="M999" s="10" t="e">
        <f aca="false">ifs(L999=1, L999&amp;"-"&amp; COUNTIFS($L$2:L999,1))</f>
        <v>#NAME?</v>
      </c>
      <c r="N999" s="15" t="s">
        <v>603</v>
      </c>
      <c r="O999" s="10"/>
      <c r="P999" s="22" t="n">
        <f aca="false">COUNTIFS(C:C,C999,N:N,"Đã xác nhận")/COUNTIFS(C:C,C999)</f>
        <v>0.961538461538462</v>
      </c>
      <c r="Q999" s="22"/>
      <c r="R999" s="0" t="s">
        <v>675</v>
      </c>
      <c r="S999" s="0" t="s">
        <v>536</v>
      </c>
      <c r="U999" s="24" t="n">
        <v>2</v>
      </c>
    </row>
    <row r="1000" customFormat="false" ht="12.75" hidden="false" customHeight="false" outlineLevel="0" collapsed="false">
      <c r="A1000" s="15" t="s">
        <v>3328</v>
      </c>
      <c r="B1000" s="15" t="s">
        <v>600</v>
      </c>
      <c r="C1000" s="15" t="s">
        <v>490</v>
      </c>
      <c r="D1000" s="15" t="s">
        <v>3329</v>
      </c>
      <c r="E1000" s="15" t="s">
        <v>33</v>
      </c>
      <c r="G1000" s="10" t="n">
        <v>1</v>
      </c>
      <c r="H1000" s="21" t="n">
        <v>46035.6892824074</v>
      </c>
      <c r="I1000" s="15" t="s">
        <v>3330</v>
      </c>
      <c r="J1000" s="15" t="s">
        <v>3330</v>
      </c>
      <c r="K1000" s="15"/>
      <c r="L1000" s="10" t="n">
        <f aca="false">COUNTIF($E$2:E1000,E1000)</f>
        <v>96</v>
      </c>
      <c r="M1000" s="10" t="e">
        <f aca="false">ifs(L1000=1, L1000&amp;"-"&amp; COUNTIFS($L$2:L1000,1))</f>
        <v>#NAME?</v>
      </c>
      <c r="N1000" s="15" t="s">
        <v>603</v>
      </c>
      <c r="O1000" s="10"/>
      <c r="P1000" s="22" t="n">
        <f aca="false">COUNTIFS(C:C,C1000,N:N,"Đã xác nhận")/COUNTIFS(C:C,C1000)</f>
        <v>0.961538461538462</v>
      </c>
      <c r="Q1000" s="22"/>
      <c r="R1000" s="0" t="s">
        <v>3329</v>
      </c>
      <c r="S1000" s="0" t="s">
        <v>536</v>
      </c>
      <c r="U1000" s="24" t="n">
        <v>1</v>
      </c>
    </row>
    <row r="1001" customFormat="false" ht="12.75" hidden="false" customHeight="false" outlineLevel="0" collapsed="false">
      <c r="A1001" s="15" t="s">
        <v>3331</v>
      </c>
      <c r="B1001" s="15" t="s">
        <v>600</v>
      </c>
      <c r="C1001" s="15" t="s">
        <v>490</v>
      </c>
      <c r="D1001" s="15" t="s">
        <v>2732</v>
      </c>
      <c r="E1001" s="15" t="s">
        <v>79</v>
      </c>
      <c r="G1001" s="10" t="n">
        <v>1</v>
      </c>
      <c r="H1001" s="21" t="n">
        <v>46035.6897916667</v>
      </c>
      <c r="I1001" s="15" t="s">
        <v>3332</v>
      </c>
      <c r="J1001" s="15" t="s">
        <v>3332</v>
      </c>
      <c r="K1001" s="15"/>
      <c r="L1001" s="10" t="n">
        <f aca="false">COUNTIF($E$2:E1001,E1001)</f>
        <v>15</v>
      </c>
      <c r="M1001" s="10" t="e">
        <f aca="false">ifs(L1001=1, L1001&amp;"-"&amp; COUNTIFS($L$2:L1001,1))</f>
        <v>#NAME?</v>
      </c>
      <c r="N1001" s="15" t="s">
        <v>603</v>
      </c>
      <c r="O1001" s="10"/>
      <c r="P1001" s="22" t="n">
        <f aca="false">COUNTIFS(C:C,C1001,N:N,"Đã xác nhận")/COUNTIFS(C:C,C1001)</f>
        <v>0.961538461538462</v>
      </c>
      <c r="Q1001" s="22"/>
      <c r="R1001" s="0" t="s">
        <v>2734</v>
      </c>
      <c r="S1001" s="0" t="s">
        <v>564</v>
      </c>
      <c r="U1001" s="24" t="n">
        <v>1</v>
      </c>
    </row>
    <row r="1002" customFormat="false" ht="12.75" hidden="false" customHeight="false" outlineLevel="0" collapsed="false">
      <c r="A1002" s="15" t="s">
        <v>3333</v>
      </c>
      <c r="B1002" s="15" t="s">
        <v>600</v>
      </c>
      <c r="C1002" s="15" t="s">
        <v>490</v>
      </c>
      <c r="D1002" s="15" t="s">
        <v>2740</v>
      </c>
      <c r="E1002" s="15" t="s">
        <v>49</v>
      </c>
      <c r="G1002" s="10" t="n">
        <v>2</v>
      </c>
      <c r="H1002" s="21" t="n">
        <v>46035.6908796296</v>
      </c>
      <c r="I1002" s="15" t="s">
        <v>3334</v>
      </c>
      <c r="J1002" s="15" t="s">
        <v>3334</v>
      </c>
      <c r="K1002" s="15"/>
      <c r="L1002" s="10" t="n">
        <f aca="false">COUNTIF($E$2:E1002,E1002)</f>
        <v>14</v>
      </c>
      <c r="M1002" s="10" t="e">
        <f aca="false">ifs(L1002=1, L1002&amp;"-"&amp; COUNTIFS($L$2:L1002,1))</f>
        <v>#NAME?</v>
      </c>
      <c r="N1002" s="15" t="s">
        <v>603</v>
      </c>
      <c r="O1002" s="10"/>
      <c r="P1002" s="22" t="n">
        <f aca="false">COUNTIFS(C:C,C1002,N:N,"Đã xác nhận")/COUNTIFS(C:C,C1002)</f>
        <v>0.961538461538462</v>
      </c>
      <c r="Q1002" s="22"/>
      <c r="R1002" s="0" t="s">
        <v>2742</v>
      </c>
      <c r="S1002" s="0" t="s">
        <v>537</v>
      </c>
      <c r="U1002" s="24" t="n">
        <v>2</v>
      </c>
    </row>
    <row r="1003" customFormat="false" ht="12.75" hidden="false" customHeight="false" outlineLevel="0" collapsed="false">
      <c r="A1003" s="15" t="s">
        <v>3335</v>
      </c>
      <c r="B1003" s="15" t="s">
        <v>600</v>
      </c>
      <c r="C1003" s="15" t="s">
        <v>496</v>
      </c>
      <c r="D1003" s="15" t="s">
        <v>766</v>
      </c>
      <c r="E1003" s="15" t="s">
        <v>65</v>
      </c>
      <c r="G1003" s="10" t="n">
        <v>1</v>
      </c>
      <c r="H1003" s="21" t="n">
        <v>46035.6949074074</v>
      </c>
      <c r="I1003" s="15" t="s">
        <v>3336</v>
      </c>
      <c r="J1003" s="15" t="s">
        <v>3336</v>
      </c>
      <c r="K1003" s="15"/>
      <c r="L1003" s="10" t="n">
        <f aca="false">COUNTIF($E$2:E1003,E1003)</f>
        <v>7</v>
      </c>
      <c r="M1003" s="10" t="e">
        <f aca="false">ifs(L1003=1, L1003&amp;"-"&amp; COUNTIFS($L$2:L1003,1))</f>
        <v>#NAME?</v>
      </c>
      <c r="N1003" s="15" t="s">
        <v>603</v>
      </c>
      <c r="O1003" s="10"/>
      <c r="P1003" s="22" t="n">
        <f aca="false">COUNTIFS(C:C,C1003,N:N,"Đã xác nhận")/COUNTIFS(C:C,C1003)</f>
        <v>1</v>
      </c>
      <c r="Q1003" s="22"/>
      <c r="R1003" s="0" t="s">
        <v>768</v>
      </c>
      <c r="S1003" s="0" t="s">
        <v>580</v>
      </c>
      <c r="U1003" s="24" t="n">
        <v>1</v>
      </c>
    </row>
    <row r="1004" customFormat="false" ht="12.75" hidden="false" customHeight="false" outlineLevel="0" collapsed="false">
      <c r="A1004" s="15" t="s">
        <v>3337</v>
      </c>
      <c r="B1004" s="15" t="s">
        <v>600</v>
      </c>
      <c r="C1004" s="15" t="s">
        <v>495</v>
      </c>
      <c r="D1004" s="15" t="s">
        <v>766</v>
      </c>
      <c r="E1004" s="15" t="s">
        <v>545</v>
      </c>
      <c r="G1004" s="10" t="n">
        <v>2</v>
      </c>
      <c r="H1004" s="21" t="n">
        <v>46035.6967939815</v>
      </c>
      <c r="I1004" s="15" t="s">
        <v>3338</v>
      </c>
      <c r="J1004" s="15" t="s">
        <v>3338</v>
      </c>
      <c r="K1004" s="15"/>
      <c r="L1004" s="10" t="n">
        <f aca="false">COUNTIF($E$2:E1004,E1004)</f>
        <v>23</v>
      </c>
      <c r="M1004" s="10" t="e">
        <f aca="false">ifs(L1004=1, L1004&amp;"-"&amp; COUNTIFS($L$2:L1004,1))</f>
        <v>#NAME?</v>
      </c>
      <c r="N1004" s="15" t="s">
        <v>603</v>
      </c>
      <c r="O1004" s="10"/>
      <c r="P1004" s="22" t="n">
        <f aca="false">COUNTIFS(C:C,C1004,N:N,"Đã xác nhận")/COUNTIFS(C:C,C1004)</f>
        <v>1</v>
      </c>
      <c r="Q1004" s="22"/>
      <c r="R1004" s="0" t="s">
        <v>768</v>
      </c>
      <c r="S1004" s="0" t="s">
        <v>546</v>
      </c>
      <c r="U1004" s="24" t="n">
        <v>2</v>
      </c>
    </row>
    <row r="1005" customFormat="false" ht="12.75" hidden="false" customHeight="false" outlineLevel="0" collapsed="false">
      <c r="A1005" s="15" t="s">
        <v>3339</v>
      </c>
      <c r="B1005" s="15" t="s">
        <v>600</v>
      </c>
      <c r="C1005" s="15" t="s">
        <v>495</v>
      </c>
      <c r="D1005" s="15" t="s">
        <v>766</v>
      </c>
      <c r="E1005" s="15" t="s">
        <v>543</v>
      </c>
      <c r="G1005" s="10" t="n">
        <v>4</v>
      </c>
      <c r="H1005" s="21" t="n">
        <v>46035.6968518519</v>
      </c>
      <c r="I1005" s="15" t="s">
        <v>3340</v>
      </c>
      <c r="J1005" s="15" t="s">
        <v>3340</v>
      </c>
      <c r="K1005" s="15"/>
      <c r="L1005" s="10" t="n">
        <f aca="false">COUNTIF($E$2:E1005,E1005)</f>
        <v>26</v>
      </c>
      <c r="M1005" s="10" t="e">
        <f aca="false">ifs(L1005=1, L1005&amp;"-"&amp; COUNTIFS($L$2:L1005,1))</f>
        <v>#NAME?</v>
      </c>
      <c r="N1005" s="15" t="s">
        <v>603</v>
      </c>
      <c r="O1005" s="10"/>
      <c r="P1005" s="22" t="n">
        <f aca="false">COUNTIFS(C:C,C1005,N:N,"Đã xác nhận")/COUNTIFS(C:C,C1005)</f>
        <v>1</v>
      </c>
      <c r="Q1005" s="22"/>
      <c r="R1005" s="0" t="s">
        <v>768</v>
      </c>
      <c r="S1005" s="0" t="s">
        <v>544</v>
      </c>
      <c r="U1005" s="24" t="n">
        <v>4</v>
      </c>
    </row>
    <row r="1006" customFormat="false" ht="12.75" hidden="false" customHeight="false" outlineLevel="0" collapsed="false">
      <c r="A1006" s="15" t="s">
        <v>3341</v>
      </c>
      <c r="B1006" s="15" t="s">
        <v>600</v>
      </c>
      <c r="C1006" s="15" t="s">
        <v>495</v>
      </c>
      <c r="D1006" s="15" t="s">
        <v>766</v>
      </c>
      <c r="E1006" s="15" t="s">
        <v>61</v>
      </c>
      <c r="G1006" s="10" t="n">
        <v>1</v>
      </c>
      <c r="H1006" s="21" t="n">
        <v>46035.702037037</v>
      </c>
      <c r="I1006" s="15" t="s">
        <v>3342</v>
      </c>
      <c r="J1006" s="15" t="s">
        <v>3342</v>
      </c>
      <c r="K1006" s="15"/>
      <c r="L1006" s="10" t="n">
        <f aca="false">COUNTIF($E$2:E1006,E1006)</f>
        <v>1</v>
      </c>
      <c r="M1006" s="10" t="e">
        <f aca="false">ifs(L1006=1, L1006&amp;"-"&amp; COUNTIFS($L$2:L1006,1))</f>
        <v>#NAME?</v>
      </c>
      <c r="N1006" s="15" t="s">
        <v>603</v>
      </c>
      <c r="O1006" s="10"/>
      <c r="P1006" s="22" t="n">
        <f aca="false">COUNTIFS(C:C,C1006,N:N,"Đã xác nhận")/COUNTIFS(C:C,C1006)</f>
        <v>1</v>
      </c>
      <c r="Q1006" s="22"/>
      <c r="R1006" s="0" t="s">
        <v>768</v>
      </c>
      <c r="S1006" s="0" t="s">
        <v>576</v>
      </c>
      <c r="U1006" s="24" t="n">
        <v>1</v>
      </c>
    </row>
    <row r="1007" customFormat="false" ht="12.75" hidden="false" customHeight="false" outlineLevel="0" collapsed="false">
      <c r="A1007" s="15" t="s">
        <v>3343</v>
      </c>
      <c r="B1007" s="15" t="s">
        <v>600</v>
      </c>
      <c r="C1007" s="15" t="s">
        <v>495</v>
      </c>
      <c r="D1007" s="15" t="s">
        <v>673</v>
      </c>
      <c r="E1007" s="15" t="s">
        <v>33</v>
      </c>
      <c r="G1007" s="10" t="n">
        <v>2</v>
      </c>
      <c r="H1007" s="21" t="n">
        <v>46035.6974768519</v>
      </c>
      <c r="I1007" s="15" t="s">
        <v>3344</v>
      </c>
      <c r="J1007" s="15" t="s">
        <v>3344</v>
      </c>
      <c r="K1007" s="15"/>
      <c r="L1007" s="10" t="n">
        <f aca="false">COUNTIF($E$2:E1007,E1007)</f>
        <v>97</v>
      </c>
      <c r="M1007" s="10" t="e">
        <f aca="false">ifs(L1007=1, L1007&amp;"-"&amp; COUNTIFS($L$2:L1007,1))</f>
        <v>#NAME?</v>
      </c>
      <c r="N1007" s="15" t="s">
        <v>603</v>
      </c>
      <c r="O1007" s="10"/>
      <c r="P1007" s="22" t="n">
        <f aca="false">COUNTIFS(C:C,C1007,N:N,"Đã xác nhận")/COUNTIFS(C:C,C1007)</f>
        <v>1</v>
      </c>
      <c r="Q1007" s="22"/>
      <c r="R1007" s="0" t="s">
        <v>675</v>
      </c>
      <c r="S1007" s="0" t="s">
        <v>536</v>
      </c>
      <c r="U1007" s="24" t="n">
        <v>2</v>
      </c>
    </row>
    <row r="1008" customFormat="false" ht="12.75" hidden="false" customHeight="false" outlineLevel="0" collapsed="false">
      <c r="A1008" s="15" t="s">
        <v>3345</v>
      </c>
      <c r="B1008" s="15"/>
      <c r="C1008" s="15"/>
      <c r="D1008" s="15"/>
      <c r="E1008" s="15"/>
      <c r="G1008" s="10" t="n">
        <v>0</v>
      </c>
      <c r="H1008" s="21" t="n">
        <v>46035.6974421296</v>
      </c>
      <c r="I1008" s="15" t="s">
        <v>3346</v>
      </c>
      <c r="J1008" s="15" t="s">
        <v>695</v>
      </c>
      <c r="K1008" s="15" t="s">
        <v>3347</v>
      </c>
      <c r="L1008" s="10" t="n">
        <f aca="false">COUNTIF($E$2:E1008,E1008)</f>
        <v>0</v>
      </c>
      <c r="M1008" s="10" t="e">
        <f aca="false">ifs(L1008=1, L1008&amp;"-"&amp; COUNTIFS($L$2:L1008,1))</f>
        <v>#NAME?</v>
      </c>
      <c r="O1008" s="10"/>
      <c r="P1008" s="22" t="e">
        <f aca="false">COUNTIFS(C:C,C1008,N:N,"Đã xác nhận")/COUNTIFS(C:C,C1008)</f>
        <v>#DIV/0!</v>
      </c>
      <c r="Q1008" s="22"/>
      <c r="R1008" s="0" t="e">
        <f aca="false">#VALUE!</f>
        <v>#VALUE!</v>
      </c>
      <c r="S1008" s="0" t="e">
        <f aca="false">#VALUE!</f>
        <v>#VALUE!</v>
      </c>
      <c r="U1008" s="24" t="n">
        <v>0</v>
      </c>
    </row>
    <row r="1009" customFormat="false" ht="12.75" hidden="false" customHeight="false" outlineLevel="0" collapsed="false">
      <c r="A1009" s="15" t="s">
        <v>3348</v>
      </c>
      <c r="B1009" s="15" t="s">
        <v>600</v>
      </c>
      <c r="C1009" s="15" t="s">
        <v>495</v>
      </c>
      <c r="D1009" s="15" t="s">
        <v>677</v>
      </c>
      <c r="E1009" s="15" t="s">
        <v>59</v>
      </c>
      <c r="G1009" s="10" t="n">
        <v>2</v>
      </c>
      <c r="H1009" s="21" t="n">
        <v>46035.7014814815</v>
      </c>
      <c r="I1009" s="15" t="s">
        <v>3349</v>
      </c>
      <c r="J1009" s="15" t="s">
        <v>3350</v>
      </c>
      <c r="K1009" s="15" t="s">
        <v>3351</v>
      </c>
      <c r="L1009" s="10" t="n">
        <f aca="false">COUNTIF($E$2:E1009,E1009)</f>
        <v>23</v>
      </c>
      <c r="M1009" s="10" t="e">
        <f aca="false">ifs(L1009=1, L1009&amp;"-"&amp; COUNTIFS($L$2:L1009,1))</f>
        <v>#NAME?</v>
      </c>
      <c r="N1009" s="15" t="s">
        <v>603</v>
      </c>
      <c r="O1009" s="10"/>
      <c r="P1009" s="22" t="n">
        <f aca="false">COUNTIFS(C:C,C1009,N:N,"Đã xác nhận")/COUNTIFS(C:C,C1009)</f>
        <v>1</v>
      </c>
      <c r="Q1009" s="22"/>
      <c r="R1009" s="0" t="s">
        <v>681</v>
      </c>
      <c r="S1009" s="0" t="s">
        <v>562</v>
      </c>
      <c r="U1009" s="24" t="n">
        <v>2</v>
      </c>
    </row>
    <row r="1010" customFormat="false" ht="12.75" hidden="false" customHeight="false" outlineLevel="0" collapsed="false">
      <c r="A1010" s="15" t="s">
        <v>3352</v>
      </c>
      <c r="B1010" s="15" t="s">
        <v>600</v>
      </c>
      <c r="C1010" s="15" t="s">
        <v>466</v>
      </c>
      <c r="D1010" s="15" t="s">
        <v>766</v>
      </c>
      <c r="E1010" s="15" t="s">
        <v>11</v>
      </c>
      <c r="G1010" s="10" t="n">
        <v>6</v>
      </c>
      <c r="H1010" s="21" t="n">
        <v>46035.703912037</v>
      </c>
      <c r="I1010" s="15" t="s">
        <v>3353</v>
      </c>
      <c r="J1010" s="15" t="s">
        <v>3353</v>
      </c>
      <c r="K1010" s="15"/>
      <c r="L1010" s="10" t="n">
        <f aca="false">COUNTIF($E$2:E1010,E1010)</f>
        <v>12</v>
      </c>
      <c r="M1010" s="10" t="e">
        <f aca="false">ifs(L1010=1, L1010&amp;"-"&amp; COUNTIFS($L$2:L1010,1))</f>
        <v>#NAME?</v>
      </c>
      <c r="N1010" s="15" t="s">
        <v>603</v>
      </c>
      <c r="O1010" s="10"/>
      <c r="P1010" s="22" t="n">
        <f aca="false">COUNTIFS(C:C,C1010,N:N,"Đã xác nhận")/COUNTIFS(C:C,C1010)</f>
        <v>0.86046511627907</v>
      </c>
      <c r="Q1010" s="22"/>
      <c r="R1010" s="0" t="s">
        <v>768</v>
      </c>
      <c r="S1010" s="0" t="s">
        <v>572</v>
      </c>
      <c r="U1010" s="24" t="n">
        <v>6</v>
      </c>
    </row>
    <row r="1011" customFormat="false" ht="12.75" hidden="false" customHeight="false" outlineLevel="0" collapsed="false">
      <c r="A1011" s="15" t="s">
        <v>3354</v>
      </c>
      <c r="B1011" s="15" t="s">
        <v>600</v>
      </c>
      <c r="C1011" s="15" t="s">
        <v>466</v>
      </c>
      <c r="D1011" s="15" t="s">
        <v>766</v>
      </c>
      <c r="E1011" s="15" t="s">
        <v>65</v>
      </c>
      <c r="G1011" s="10" t="n">
        <v>1</v>
      </c>
      <c r="H1011" s="21" t="n">
        <v>46035.7040393519</v>
      </c>
      <c r="I1011" s="15" t="s">
        <v>3355</v>
      </c>
      <c r="J1011" s="15" t="s">
        <v>3355</v>
      </c>
      <c r="K1011" s="15"/>
      <c r="L1011" s="10" t="n">
        <f aca="false">COUNTIF($E$2:E1011,E1011)</f>
        <v>8</v>
      </c>
      <c r="M1011" s="10" t="e">
        <f aca="false">ifs(L1011=1, L1011&amp;"-"&amp; COUNTIFS($L$2:L1011,1))</f>
        <v>#NAME?</v>
      </c>
      <c r="N1011" s="15" t="s">
        <v>603</v>
      </c>
      <c r="O1011" s="10"/>
      <c r="P1011" s="22" t="n">
        <f aca="false">COUNTIFS(C:C,C1011,N:N,"Đã xác nhận")/COUNTIFS(C:C,C1011)</f>
        <v>0.86046511627907</v>
      </c>
      <c r="Q1011" s="22"/>
      <c r="R1011" s="0" t="s">
        <v>768</v>
      </c>
      <c r="S1011" s="0" t="s">
        <v>580</v>
      </c>
      <c r="U1011" s="24" t="n">
        <v>1</v>
      </c>
    </row>
    <row r="1012" customFormat="false" ht="12.75" hidden="false" customHeight="false" outlineLevel="0" collapsed="false">
      <c r="A1012" s="15" t="s">
        <v>3356</v>
      </c>
      <c r="B1012" s="15" t="s">
        <v>600</v>
      </c>
      <c r="C1012" s="15" t="s">
        <v>466</v>
      </c>
      <c r="D1012" s="15" t="s">
        <v>673</v>
      </c>
      <c r="E1012" s="15" t="s">
        <v>33</v>
      </c>
      <c r="G1012" s="10" t="n">
        <v>2</v>
      </c>
      <c r="H1012" s="21" t="n">
        <v>46035.7042824074</v>
      </c>
      <c r="I1012" s="15" t="s">
        <v>3357</v>
      </c>
      <c r="J1012" s="15" t="s">
        <v>3357</v>
      </c>
      <c r="K1012" s="15"/>
      <c r="L1012" s="10" t="n">
        <f aca="false">COUNTIF($E$2:E1012,E1012)</f>
        <v>98</v>
      </c>
      <c r="M1012" s="10" t="e">
        <f aca="false">ifs(L1012=1, L1012&amp;"-"&amp; COUNTIFS($L$2:L1012,1))</f>
        <v>#NAME?</v>
      </c>
      <c r="N1012" s="15" t="s">
        <v>603</v>
      </c>
      <c r="O1012" s="10"/>
      <c r="P1012" s="22" t="n">
        <f aca="false">COUNTIFS(C:C,C1012,N:N,"Đã xác nhận")/COUNTIFS(C:C,C1012)</f>
        <v>0.86046511627907</v>
      </c>
      <c r="Q1012" s="22"/>
      <c r="R1012" s="0" t="s">
        <v>675</v>
      </c>
      <c r="S1012" s="0" t="s">
        <v>536</v>
      </c>
      <c r="U1012" s="24" t="n">
        <v>2</v>
      </c>
    </row>
    <row r="1013" customFormat="false" ht="12.75" hidden="false" customHeight="false" outlineLevel="0" collapsed="false">
      <c r="A1013" s="15" t="s">
        <v>3358</v>
      </c>
      <c r="B1013" s="15"/>
      <c r="C1013" s="15"/>
      <c r="D1013" s="15"/>
      <c r="E1013" s="15"/>
      <c r="G1013" s="10" t="n">
        <v>0</v>
      </c>
      <c r="H1013" s="21" t="n">
        <v>46035.7042708333</v>
      </c>
      <c r="I1013" s="15" t="s">
        <v>3359</v>
      </c>
      <c r="J1013" s="15" t="s">
        <v>695</v>
      </c>
      <c r="K1013" s="15" t="s">
        <v>3360</v>
      </c>
      <c r="L1013" s="10" t="n">
        <f aca="false">COUNTIF($E$2:E1013,E1013)</f>
        <v>0</v>
      </c>
      <c r="M1013" s="10" t="e">
        <f aca="false">ifs(L1013=1, L1013&amp;"-"&amp; COUNTIFS($L$2:L1013,1))</f>
        <v>#NAME?</v>
      </c>
      <c r="O1013" s="10"/>
      <c r="P1013" s="22" t="e">
        <f aca="false">COUNTIFS(C:C,C1013,N:N,"Đã xác nhận")/COUNTIFS(C:C,C1013)</f>
        <v>#DIV/0!</v>
      </c>
      <c r="Q1013" s="22"/>
      <c r="R1013" s="0" t="e">
        <f aca="false">#VALUE!</f>
        <v>#VALUE!</v>
      </c>
      <c r="S1013" s="0" t="e">
        <f aca="false">#VALUE!</f>
        <v>#VALUE!</v>
      </c>
      <c r="U1013" s="24" t="n">
        <v>0</v>
      </c>
    </row>
    <row r="1014" customFormat="false" ht="12.75" hidden="false" customHeight="false" outlineLevel="0" collapsed="false">
      <c r="A1014" s="15" t="s">
        <v>3361</v>
      </c>
      <c r="B1014" s="15" t="s">
        <v>600</v>
      </c>
      <c r="C1014" s="15" t="s">
        <v>466</v>
      </c>
      <c r="D1014" s="15" t="s">
        <v>766</v>
      </c>
      <c r="E1014" s="15" t="s">
        <v>21</v>
      </c>
      <c r="G1014" s="10" t="n">
        <v>1</v>
      </c>
      <c r="H1014" s="21" t="n">
        <v>45980.5854976852</v>
      </c>
      <c r="I1014" s="15" t="s">
        <v>3362</v>
      </c>
      <c r="J1014" s="15" t="s">
        <v>3363</v>
      </c>
      <c r="K1014" s="15" t="s">
        <v>3364</v>
      </c>
      <c r="L1014" s="10" t="n">
        <f aca="false">COUNTIF($E$2:E1014,E1014)</f>
        <v>2</v>
      </c>
      <c r="M1014" s="10" t="e">
        <f aca="false">ifs(L1014=1, L1014&amp;"-"&amp; COUNTIFS($L$2:L1014,1))</f>
        <v>#NAME?</v>
      </c>
      <c r="O1014" s="10"/>
      <c r="P1014" s="22" t="n">
        <f aca="false">COUNTIFS(C:C,C1014,N:N,"Đã xác nhận")/COUNTIFS(C:C,C1014)</f>
        <v>0.86046511627907</v>
      </c>
      <c r="Q1014" s="22"/>
      <c r="R1014" s="0" t="s">
        <v>768</v>
      </c>
      <c r="S1014" s="0" t="s">
        <v>583</v>
      </c>
      <c r="U1014" s="24" t="n">
        <v>1</v>
      </c>
    </row>
    <row r="1015" customFormat="false" ht="12.75" hidden="false" customHeight="false" outlineLevel="0" collapsed="false">
      <c r="A1015" s="15" t="s">
        <v>3365</v>
      </c>
      <c r="B1015" s="15" t="s">
        <v>600</v>
      </c>
      <c r="C1015" s="15" t="s">
        <v>466</v>
      </c>
      <c r="D1015" s="15" t="s">
        <v>762</v>
      </c>
      <c r="E1015" s="15" t="s">
        <v>45</v>
      </c>
      <c r="G1015" s="10" t="n">
        <v>1</v>
      </c>
      <c r="H1015" s="21" t="n">
        <v>46035.704525463</v>
      </c>
      <c r="I1015" s="15" t="s">
        <v>3366</v>
      </c>
      <c r="J1015" s="15" t="s">
        <v>3366</v>
      </c>
      <c r="K1015" s="15"/>
      <c r="L1015" s="10" t="n">
        <f aca="false">COUNTIF($E$2:E1015,E1015)</f>
        <v>8</v>
      </c>
      <c r="M1015" s="10" t="e">
        <f aca="false">ifs(L1015=1, L1015&amp;"-"&amp; COUNTIFS($L$2:L1015,1))</f>
        <v>#NAME?</v>
      </c>
      <c r="N1015" s="15" t="s">
        <v>603</v>
      </c>
      <c r="O1015" s="10"/>
      <c r="P1015" s="22" t="n">
        <f aca="false">COUNTIFS(C:C,C1015,N:N,"Đã xác nhận")/COUNTIFS(C:C,C1015)</f>
        <v>0.86046511627907</v>
      </c>
      <c r="Q1015" s="22"/>
      <c r="R1015" s="0" t="s">
        <v>764</v>
      </c>
      <c r="S1015" s="0" t="s">
        <v>540</v>
      </c>
      <c r="U1015" s="24" t="n">
        <v>1</v>
      </c>
    </row>
    <row r="1016" customFormat="false" ht="12.75" hidden="false" customHeight="false" outlineLevel="0" collapsed="false">
      <c r="A1016" s="15" t="s">
        <v>3367</v>
      </c>
      <c r="B1016" s="15" t="s">
        <v>600</v>
      </c>
      <c r="C1016" s="15" t="s">
        <v>466</v>
      </c>
      <c r="D1016" s="15" t="s">
        <v>2753</v>
      </c>
      <c r="E1016" s="15" t="s">
        <v>59</v>
      </c>
      <c r="G1016" s="10" t="n">
        <v>2</v>
      </c>
      <c r="H1016" s="21" t="n">
        <v>46035.7046296296</v>
      </c>
      <c r="I1016" s="15" t="s">
        <v>3368</v>
      </c>
      <c r="J1016" s="15" t="s">
        <v>3368</v>
      </c>
      <c r="K1016" s="15"/>
      <c r="L1016" s="10" t="n">
        <f aca="false">COUNTIF($E$2:E1016,E1016)</f>
        <v>24</v>
      </c>
      <c r="M1016" s="10" t="e">
        <f aca="false">ifs(L1016=1, L1016&amp;"-"&amp; COUNTIFS($L$2:L1016,1))</f>
        <v>#NAME?</v>
      </c>
      <c r="N1016" s="15" t="s">
        <v>603</v>
      </c>
      <c r="O1016" s="10"/>
      <c r="P1016" s="22" t="n">
        <f aca="false">COUNTIFS(C:C,C1016,N:N,"Đã xác nhận")/COUNTIFS(C:C,C1016)</f>
        <v>0.86046511627907</v>
      </c>
      <c r="Q1016" s="22"/>
      <c r="R1016" s="0" t="s">
        <v>2755</v>
      </c>
      <c r="S1016" s="0" t="s">
        <v>562</v>
      </c>
      <c r="U1016" s="24" t="n">
        <v>2</v>
      </c>
    </row>
    <row r="1017" customFormat="false" ht="12.75" hidden="false" customHeight="false" outlineLevel="0" collapsed="false">
      <c r="A1017" s="15" t="s">
        <v>3369</v>
      </c>
      <c r="B1017" s="15" t="s">
        <v>600</v>
      </c>
      <c r="C1017" s="15" t="s">
        <v>466</v>
      </c>
      <c r="D1017" s="15" t="s">
        <v>2732</v>
      </c>
      <c r="E1017" s="15" t="s">
        <v>79</v>
      </c>
      <c r="G1017" s="10" t="n">
        <v>1</v>
      </c>
      <c r="H1017" s="21" t="n">
        <v>46035.7051736111</v>
      </c>
      <c r="I1017" s="15" t="s">
        <v>3370</v>
      </c>
      <c r="J1017" s="15" t="s">
        <v>3370</v>
      </c>
      <c r="K1017" s="15"/>
      <c r="L1017" s="10" t="n">
        <f aca="false">COUNTIF($E$2:E1017,E1017)</f>
        <v>16</v>
      </c>
      <c r="M1017" s="10" t="e">
        <f aca="false">ifs(L1017=1, L1017&amp;"-"&amp; COUNTIFS($L$2:L1017,1))</f>
        <v>#NAME?</v>
      </c>
      <c r="N1017" s="15" t="s">
        <v>603</v>
      </c>
      <c r="O1017" s="10"/>
      <c r="P1017" s="22" t="n">
        <f aca="false">COUNTIFS(C:C,C1017,N:N,"Đã xác nhận")/COUNTIFS(C:C,C1017)</f>
        <v>0.86046511627907</v>
      </c>
      <c r="Q1017" s="22"/>
      <c r="R1017" s="0" t="s">
        <v>2734</v>
      </c>
      <c r="S1017" s="0" t="s">
        <v>564</v>
      </c>
      <c r="U1017" s="24" t="n">
        <v>1</v>
      </c>
    </row>
    <row r="1018" customFormat="false" ht="12.75" hidden="false" customHeight="false" outlineLevel="0" collapsed="false">
      <c r="A1018" s="15" t="s">
        <v>3371</v>
      </c>
      <c r="B1018" s="15" t="s">
        <v>600</v>
      </c>
      <c r="C1018" s="15" t="s">
        <v>485</v>
      </c>
      <c r="D1018" s="15" t="s">
        <v>766</v>
      </c>
      <c r="E1018" s="15" t="s">
        <v>578</v>
      </c>
      <c r="G1018" s="10" t="n">
        <v>1</v>
      </c>
      <c r="H1018" s="21" t="n">
        <v>46036.416099537</v>
      </c>
      <c r="I1018" s="15" t="s">
        <v>3372</v>
      </c>
      <c r="J1018" s="15" t="s">
        <v>3372</v>
      </c>
      <c r="K1018" s="15"/>
      <c r="L1018" s="10" t="n">
        <f aca="false">COUNTIF($E$2:E1018,E1018)</f>
        <v>3</v>
      </c>
      <c r="M1018" s="10" t="e">
        <f aca="false">ifs(L1018=1, L1018&amp;"-"&amp; COUNTIFS($L$2:L1018,1))</f>
        <v>#NAME?</v>
      </c>
      <c r="N1018" s="15" t="s">
        <v>603</v>
      </c>
      <c r="O1018" s="10"/>
      <c r="P1018" s="22" t="n">
        <f aca="false">COUNTIFS(C:C,C1018,N:N,"Đã xác nhận")/COUNTIFS(C:C,C1018)</f>
        <v>1</v>
      </c>
      <c r="Q1018" s="22"/>
      <c r="R1018" s="0" t="s">
        <v>768</v>
      </c>
      <c r="S1018" s="0" t="s">
        <v>579</v>
      </c>
      <c r="U1018" s="24" t="n">
        <v>1</v>
      </c>
    </row>
    <row r="1019" customFormat="false" ht="12.75" hidden="false" customHeight="false" outlineLevel="0" collapsed="false">
      <c r="A1019" s="15" t="s">
        <v>3373</v>
      </c>
      <c r="B1019" s="15" t="s">
        <v>600</v>
      </c>
      <c r="C1019" s="15" t="s">
        <v>485</v>
      </c>
      <c r="D1019" s="15" t="s">
        <v>766</v>
      </c>
      <c r="E1019" s="15" t="s">
        <v>11</v>
      </c>
      <c r="G1019" s="10" t="n">
        <v>1</v>
      </c>
      <c r="H1019" s="21" t="n">
        <v>46036.4162384259</v>
      </c>
      <c r="I1019" s="15" t="s">
        <v>3374</v>
      </c>
      <c r="J1019" s="15" t="s">
        <v>3374</v>
      </c>
      <c r="K1019" s="15"/>
      <c r="L1019" s="10" t="n">
        <f aca="false">COUNTIF($E$2:E1019,E1019)</f>
        <v>13</v>
      </c>
      <c r="M1019" s="10" t="e">
        <f aca="false">ifs(L1019=1, L1019&amp;"-"&amp; COUNTIFS($L$2:L1019,1))</f>
        <v>#NAME?</v>
      </c>
      <c r="N1019" s="15" t="s">
        <v>603</v>
      </c>
      <c r="O1019" s="10"/>
      <c r="P1019" s="22" t="n">
        <f aca="false">COUNTIFS(C:C,C1019,N:N,"Đã xác nhận")/COUNTIFS(C:C,C1019)</f>
        <v>1</v>
      </c>
      <c r="Q1019" s="22"/>
      <c r="R1019" s="0" t="s">
        <v>768</v>
      </c>
      <c r="S1019" s="0" t="s">
        <v>572</v>
      </c>
      <c r="U1019" s="24" t="n">
        <v>1</v>
      </c>
    </row>
    <row r="1020" customFormat="false" ht="12.75" hidden="false" customHeight="false" outlineLevel="0" collapsed="false">
      <c r="A1020" s="15" t="s">
        <v>3375</v>
      </c>
      <c r="B1020" s="15" t="s">
        <v>600</v>
      </c>
      <c r="C1020" s="15" t="s">
        <v>485</v>
      </c>
      <c r="D1020" s="15" t="s">
        <v>673</v>
      </c>
      <c r="E1020" s="15" t="s">
        <v>33</v>
      </c>
      <c r="G1020" s="10" t="n">
        <v>2</v>
      </c>
      <c r="H1020" s="21" t="n">
        <v>46036.416400463</v>
      </c>
      <c r="I1020" s="15" t="s">
        <v>3376</v>
      </c>
      <c r="J1020" s="15" t="s">
        <v>3376</v>
      </c>
      <c r="K1020" s="15"/>
      <c r="L1020" s="10" t="n">
        <f aca="false">COUNTIF($E$2:E1020,E1020)</f>
        <v>99</v>
      </c>
      <c r="M1020" s="10" t="e">
        <f aca="false">ifs(L1020=1, L1020&amp;"-"&amp; COUNTIFS($L$2:L1020,1))</f>
        <v>#NAME?</v>
      </c>
      <c r="N1020" s="15" t="s">
        <v>603</v>
      </c>
      <c r="O1020" s="10"/>
      <c r="P1020" s="22" t="n">
        <f aca="false">COUNTIFS(C:C,C1020,N:N,"Đã xác nhận")/COUNTIFS(C:C,C1020)</f>
        <v>1</v>
      </c>
      <c r="Q1020" s="22"/>
      <c r="R1020" s="0" t="s">
        <v>675</v>
      </c>
      <c r="S1020" s="0" t="s">
        <v>536</v>
      </c>
      <c r="U1020" s="24" t="n">
        <v>2</v>
      </c>
    </row>
    <row r="1021" customFormat="false" ht="12.75" hidden="false" customHeight="false" outlineLevel="0" collapsed="false">
      <c r="A1021" s="15" t="s">
        <v>3377</v>
      </c>
      <c r="B1021" s="15" t="s">
        <v>600</v>
      </c>
      <c r="C1021" s="15" t="s">
        <v>485</v>
      </c>
      <c r="D1021" s="15" t="s">
        <v>1224</v>
      </c>
      <c r="E1021" s="15" t="s">
        <v>81</v>
      </c>
      <c r="G1021" s="10" t="n">
        <v>5</v>
      </c>
      <c r="H1021" s="21" t="n">
        <v>46036.4166087963</v>
      </c>
      <c r="I1021" s="15" t="s">
        <v>3378</v>
      </c>
      <c r="J1021" s="15" t="s">
        <v>3378</v>
      </c>
      <c r="K1021" s="15"/>
      <c r="L1021" s="10" t="n">
        <f aca="false">COUNTIF($E$2:E1021,E1021)</f>
        <v>180</v>
      </c>
      <c r="M1021" s="10" t="e">
        <f aca="false">ifs(L1021=1, L1021&amp;"-"&amp; COUNTIFS($L$2:L1021,1))</f>
        <v>#NAME?</v>
      </c>
      <c r="N1021" s="15" t="s">
        <v>603</v>
      </c>
      <c r="O1021" s="10"/>
      <c r="P1021" s="22" t="n">
        <f aca="false">COUNTIFS(C:C,C1021,N:N,"Đã xác nhận")/COUNTIFS(C:C,C1021)</f>
        <v>1</v>
      </c>
      <c r="Q1021" s="22"/>
      <c r="R1021" s="0" t="s">
        <v>1226</v>
      </c>
      <c r="S1021" s="0" t="s">
        <v>534</v>
      </c>
      <c r="U1021" s="24" t="n">
        <v>5</v>
      </c>
    </row>
    <row r="1022" customFormat="false" ht="12.75" hidden="false" customHeight="false" outlineLevel="0" collapsed="false">
      <c r="A1022" s="15" t="s">
        <v>3379</v>
      </c>
      <c r="B1022" s="15" t="s">
        <v>600</v>
      </c>
      <c r="C1022" s="15" t="s">
        <v>485</v>
      </c>
      <c r="D1022" s="15" t="s">
        <v>1321</v>
      </c>
      <c r="E1022" s="15" t="s">
        <v>37</v>
      </c>
      <c r="G1022" s="10" t="n">
        <v>1</v>
      </c>
      <c r="H1022" s="21" t="n">
        <v>46036.4166898148</v>
      </c>
      <c r="I1022" s="15" t="s">
        <v>3380</v>
      </c>
      <c r="J1022" s="15" t="s">
        <v>3380</v>
      </c>
      <c r="K1022" s="15"/>
      <c r="L1022" s="10" t="n">
        <f aca="false">COUNTIF($E$2:E1022,E1022)</f>
        <v>19</v>
      </c>
      <c r="M1022" s="10" t="e">
        <f aca="false">ifs(L1022=1, L1022&amp;"-"&amp; COUNTIFS($L$2:L1022,1))</f>
        <v>#NAME?</v>
      </c>
      <c r="N1022" s="15" t="s">
        <v>603</v>
      </c>
      <c r="O1022" s="10"/>
      <c r="P1022" s="22" t="n">
        <f aca="false">COUNTIFS(C:C,C1022,N:N,"Đã xác nhận")/COUNTIFS(C:C,C1022)</f>
        <v>1</v>
      </c>
      <c r="Q1022" s="22"/>
      <c r="R1022" s="0" t="s">
        <v>726</v>
      </c>
      <c r="S1022" s="0" t="s">
        <v>561</v>
      </c>
      <c r="U1022" s="24" t="n">
        <v>1</v>
      </c>
    </row>
    <row r="1023" customFormat="false" ht="12.75" hidden="false" customHeight="false" outlineLevel="0" collapsed="false">
      <c r="A1023" s="15" t="s">
        <v>3381</v>
      </c>
      <c r="B1023" s="15" t="s">
        <v>600</v>
      </c>
      <c r="C1023" s="15" t="s">
        <v>485</v>
      </c>
      <c r="D1023" s="15" t="s">
        <v>673</v>
      </c>
      <c r="E1023" s="15" t="s">
        <v>77</v>
      </c>
      <c r="G1023" s="10" t="n">
        <v>2</v>
      </c>
      <c r="H1023" s="21" t="n">
        <v>46036.4167592593</v>
      </c>
      <c r="I1023" s="15" t="s">
        <v>3382</v>
      </c>
      <c r="J1023" s="15" t="s">
        <v>3382</v>
      </c>
      <c r="K1023" s="15"/>
      <c r="L1023" s="10" t="n">
        <f aca="false">COUNTIF($E$2:E1023,E1023)</f>
        <v>36</v>
      </c>
      <c r="M1023" s="10" t="e">
        <f aca="false">ifs(L1023=1, L1023&amp;"-"&amp; COUNTIFS($L$2:L1023,1))</f>
        <v>#NAME?</v>
      </c>
      <c r="N1023" s="15" t="s">
        <v>603</v>
      </c>
      <c r="O1023" s="10"/>
      <c r="P1023" s="22" t="n">
        <f aca="false">COUNTIFS(C:C,C1023,N:N,"Đã xác nhận")/COUNTIFS(C:C,C1023)</f>
        <v>1</v>
      </c>
      <c r="Q1023" s="22"/>
      <c r="R1023" s="0" t="s">
        <v>675</v>
      </c>
      <c r="S1023" s="0" t="s">
        <v>78</v>
      </c>
      <c r="U1023" s="24" t="n">
        <v>2</v>
      </c>
    </row>
    <row r="1024" customFormat="false" ht="12.75" hidden="false" customHeight="false" outlineLevel="0" collapsed="false">
      <c r="A1024" s="15" t="s">
        <v>3383</v>
      </c>
      <c r="B1024" s="15" t="s">
        <v>600</v>
      </c>
      <c r="C1024" s="15" t="s">
        <v>484</v>
      </c>
      <c r="D1024" s="15" t="s">
        <v>766</v>
      </c>
      <c r="E1024" s="15" t="s">
        <v>578</v>
      </c>
      <c r="G1024" s="10" t="n">
        <v>1</v>
      </c>
      <c r="H1024" s="21" t="n">
        <v>46036.4235300926</v>
      </c>
      <c r="I1024" s="15" t="s">
        <v>3384</v>
      </c>
      <c r="J1024" s="15" t="s">
        <v>3384</v>
      </c>
      <c r="K1024" s="15"/>
      <c r="L1024" s="10" t="n">
        <f aca="false">COUNTIF($E$2:E1024,E1024)</f>
        <v>4</v>
      </c>
      <c r="M1024" s="10" t="e">
        <f aca="false">ifs(L1024=1, L1024&amp;"-"&amp; COUNTIFS($L$2:L1024,1))</f>
        <v>#NAME?</v>
      </c>
      <c r="N1024" s="15" t="s">
        <v>603</v>
      </c>
      <c r="O1024" s="10"/>
      <c r="P1024" s="22" t="n">
        <f aca="false">COUNTIFS(C:C,C1024,N:N,"Đã xác nhận")/COUNTIFS(C:C,C1024)</f>
        <v>1</v>
      </c>
      <c r="Q1024" s="22"/>
      <c r="R1024" s="0" t="s">
        <v>768</v>
      </c>
      <c r="S1024" s="0" t="s">
        <v>579</v>
      </c>
      <c r="U1024" s="24" t="n">
        <v>1</v>
      </c>
    </row>
    <row r="1025" customFormat="false" ht="12.75" hidden="false" customHeight="false" outlineLevel="0" collapsed="false">
      <c r="A1025" s="15" t="s">
        <v>3385</v>
      </c>
      <c r="B1025" s="15" t="s">
        <v>600</v>
      </c>
      <c r="C1025" s="15" t="s">
        <v>484</v>
      </c>
      <c r="D1025" s="15" t="s">
        <v>766</v>
      </c>
      <c r="E1025" s="15" t="s">
        <v>11</v>
      </c>
      <c r="G1025" s="10" t="n">
        <v>1</v>
      </c>
      <c r="H1025" s="21" t="n">
        <v>46036.423587963</v>
      </c>
      <c r="I1025" s="15" t="s">
        <v>3386</v>
      </c>
      <c r="J1025" s="15" t="s">
        <v>3386</v>
      </c>
      <c r="K1025" s="15"/>
      <c r="L1025" s="10" t="n">
        <f aca="false">COUNTIF($E$2:E1025,E1025)</f>
        <v>14</v>
      </c>
      <c r="M1025" s="10" t="e">
        <f aca="false">ifs(L1025=1, L1025&amp;"-"&amp; COUNTIFS($L$2:L1025,1))</f>
        <v>#NAME?</v>
      </c>
      <c r="N1025" s="15" t="s">
        <v>603</v>
      </c>
      <c r="O1025" s="10"/>
      <c r="P1025" s="22" t="n">
        <f aca="false">COUNTIFS(C:C,C1025,N:N,"Đã xác nhận")/COUNTIFS(C:C,C1025)</f>
        <v>1</v>
      </c>
      <c r="Q1025" s="22"/>
      <c r="R1025" s="0" t="s">
        <v>768</v>
      </c>
      <c r="S1025" s="0" t="s">
        <v>572</v>
      </c>
      <c r="U1025" s="24" t="n">
        <v>1</v>
      </c>
    </row>
    <row r="1026" customFormat="false" ht="12.75" hidden="false" customHeight="false" outlineLevel="0" collapsed="false">
      <c r="A1026" s="15" t="s">
        <v>3387</v>
      </c>
      <c r="B1026" s="15" t="s">
        <v>600</v>
      </c>
      <c r="C1026" s="15" t="s">
        <v>491</v>
      </c>
      <c r="D1026" s="15" t="s">
        <v>2732</v>
      </c>
      <c r="E1026" s="15" t="s">
        <v>79</v>
      </c>
      <c r="G1026" s="10" t="n">
        <v>1</v>
      </c>
      <c r="H1026" s="21" t="n">
        <v>46036.432650463</v>
      </c>
      <c r="I1026" s="15" t="s">
        <v>3388</v>
      </c>
      <c r="J1026" s="15" t="s">
        <v>3388</v>
      </c>
      <c r="K1026" s="15"/>
      <c r="L1026" s="10" t="n">
        <f aca="false">COUNTIF($E$2:E1026,E1026)</f>
        <v>17</v>
      </c>
      <c r="M1026" s="10" t="e">
        <f aca="false">ifs(L1026=1, L1026&amp;"-"&amp; COUNTIFS($L$2:L1026,1))</f>
        <v>#NAME?</v>
      </c>
      <c r="N1026" s="15" t="s">
        <v>603</v>
      </c>
      <c r="O1026" s="10"/>
      <c r="P1026" s="22" t="n">
        <f aca="false">COUNTIFS(C:C,C1026,N:N,"Đã xác nhận")/COUNTIFS(C:C,C1026)</f>
        <v>1</v>
      </c>
      <c r="Q1026" s="22"/>
      <c r="R1026" s="0" t="s">
        <v>2734</v>
      </c>
      <c r="S1026" s="0" t="s">
        <v>564</v>
      </c>
      <c r="U1026" s="24" t="n">
        <v>1</v>
      </c>
    </row>
    <row r="1027" customFormat="false" ht="12.75" hidden="false" customHeight="false" outlineLevel="0" collapsed="false">
      <c r="A1027" s="15" t="s">
        <v>3389</v>
      </c>
      <c r="B1027" s="15" t="s">
        <v>1103</v>
      </c>
      <c r="C1027" s="15" t="s">
        <v>455</v>
      </c>
      <c r="D1027" s="15" t="s">
        <v>3390</v>
      </c>
      <c r="E1027" s="15" t="s">
        <v>57</v>
      </c>
      <c r="G1027" s="10" t="n">
        <v>1</v>
      </c>
      <c r="H1027" s="21" t="n">
        <v>46046.6075</v>
      </c>
      <c r="I1027" s="15" t="s">
        <v>3391</v>
      </c>
      <c r="J1027" s="15" t="s">
        <v>3391</v>
      </c>
      <c r="K1027" s="15"/>
      <c r="L1027" s="10" t="n">
        <f aca="false">COUNTIF($E$2:E1027,E1027)</f>
        <v>1</v>
      </c>
      <c r="M1027" s="10" t="e">
        <f aca="false">ifs(L1027=1, L1027&amp;"-"&amp; COUNTIFS($L$2:L1027,1))</f>
        <v>#NAME?</v>
      </c>
      <c r="N1027" s="15" t="s">
        <v>603</v>
      </c>
      <c r="O1027" s="10"/>
      <c r="P1027" s="22" t="n">
        <f aca="false">COUNTIFS(C:C,C1027,N:N,"Đã xác nhận")/COUNTIFS(C:C,C1027)</f>
        <v>1</v>
      </c>
      <c r="Q1027" s="22"/>
      <c r="R1027" s="0" t="s">
        <v>3392</v>
      </c>
      <c r="S1027" s="0" t="s">
        <v>553</v>
      </c>
      <c r="U1027" s="24" t="n">
        <v>1</v>
      </c>
    </row>
    <row r="1028" customFormat="false" ht="12.75" hidden="false" customHeight="false" outlineLevel="0" collapsed="false">
      <c r="A1028" s="15" t="s">
        <v>3393</v>
      </c>
      <c r="B1028" s="15" t="s">
        <v>1103</v>
      </c>
      <c r="C1028" s="15" t="s">
        <v>467</v>
      </c>
      <c r="D1028" s="15" t="s">
        <v>3394</v>
      </c>
      <c r="E1028" s="15" t="s">
        <v>55</v>
      </c>
      <c r="G1028" s="10" t="n">
        <v>3</v>
      </c>
      <c r="H1028" s="21" t="n">
        <v>46044.6062037037</v>
      </c>
      <c r="I1028" s="15" t="s">
        <v>3395</v>
      </c>
      <c r="J1028" s="15" t="s">
        <v>3395</v>
      </c>
      <c r="K1028" s="15"/>
      <c r="L1028" s="10" t="n">
        <f aca="false">COUNTIF($E$2:E1028,E1028)</f>
        <v>94</v>
      </c>
      <c r="M1028" s="10" t="e">
        <f aca="false">ifs(L1028=1, L1028&amp;"-"&amp; COUNTIFS($L$2:L1028,1))</f>
        <v>#NAME?</v>
      </c>
      <c r="N1028" s="15" t="s">
        <v>603</v>
      </c>
      <c r="O1028" s="10"/>
      <c r="P1028" s="22" t="n">
        <f aca="false">COUNTIFS(C:C,C1028,N:N,"Đã xác nhận")/COUNTIFS(C:C,C1028)</f>
        <v>1</v>
      </c>
      <c r="Q1028" s="22"/>
      <c r="R1028" s="0" t="s">
        <v>3396</v>
      </c>
      <c r="S1028" s="0" t="s">
        <v>539</v>
      </c>
      <c r="U1028" s="24" t="n">
        <v>3</v>
      </c>
    </row>
    <row r="1029" customFormat="false" ht="12.75" hidden="false" customHeight="false" outlineLevel="0" collapsed="false">
      <c r="A1029" s="15" t="s">
        <v>3397</v>
      </c>
      <c r="B1029" s="15" t="s">
        <v>1103</v>
      </c>
      <c r="C1029" s="15" t="s">
        <v>467</v>
      </c>
      <c r="D1029" s="15" t="s">
        <v>3398</v>
      </c>
      <c r="E1029" s="15" t="s">
        <v>57</v>
      </c>
      <c r="G1029" s="10" t="n">
        <v>1</v>
      </c>
      <c r="H1029" s="21" t="n">
        <v>46044.6062384259</v>
      </c>
      <c r="I1029" s="15" t="s">
        <v>3399</v>
      </c>
      <c r="J1029" s="15" t="s">
        <v>3399</v>
      </c>
      <c r="K1029" s="15"/>
      <c r="L1029" s="10" t="n">
        <f aca="false">COUNTIF($E$2:E1029,E1029)</f>
        <v>2</v>
      </c>
      <c r="M1029" s="10" t="e">
        <f aca="false">ifs(L1029=1, L1029&amp;"-"&amp; COUNTIFS($L$2:L1029,1))</f>
        <v>#NAME?</v>
      </c>
      <c r="N1029" s="15" t="s">
        <v>603</v>
      </c>
      <c r="O1029" s="10"/>
      <c r="P1029" s="22" t="n">
        <f aca="false">COUNTIFS(C:C,C1029,N:N,"Đã xác nhận")/COUNTIFS(C:C,C1029)</f>
        <v>1</v>
      </c>
      <c r="Q1029" s="22"/>
      <c r="R1029" s="0" t="s">
        <v>3400</v>
      </c>
      <c r="S1029" s="0" t="s">
        <v>553</v>
      </c>
      <c r="U1029" s="24" t="n">
        <v>1</v>
      </c>
    </row>
    <row r="1030" customFormat="false" ht="12.75" hidden="false" customHeight="false" outlineLevel="0" collapsed="false">
      <c r="A1030" s="15" t="s">
        <v>3401</v>
      </c>
      <c r="B1030" s="15" t="s">
        <v>1103</v>
      </c>
      <c r="C1030" s="15" t="s">
        <v>467</v>
      </c>
      <c r="D1030" s="15" t="s">
        <v>3402</v>
      </c>
      <c r="E1030" s="15" t="s">
        <v>57</v>
      </c>
      <c r="G1030" s="10" t="n">
        <v>1</v>
      </c>
      <c r="H1030" s="21" t="n">
        <v>46044.6062384259</v>
      </c>
      <c r="I1030" s="15" t="s">
        <v>3403</v>
      </c>
      <c r="J1030" s="15" t="s">
        <v>3403</v>
      </c>
      <c r="K1030" s="15"/>
      <c r="L1030" s="10" t="n">
        <f aca="false">COUNTIF($E$2:E1030,E1030)</f>
        <v>3</v>
      </c>
      <c r="M1030" s="10" t="e">
        <f aca="false">ifs(L1030=1, L1030&amp;"-"&amp; COUNTIFS($L$2:L1030,1))</f>
        <v>#NAME?</v>
      </c>
      <c r="N1030" s="15" t="s">
        <v>603</v>
      </c>
      <c r="O1030" s="10"/>
      <c r="P1030" s="22" t="n">
        <f aca="false">COUNTIFS(C:C,C1030,N:N,"Đã xác nhận")/COUNTIFS(C:C,C1030)</f>
        <v>1</v>
      </c>
      <c r="Q1030" s="22"/>
      <c r="R1030" s="0" t="s">
        <v>3404</v>
      </c>
      <c r="S1030" s="0" t="s">
        <v>553</v>
      </c>
      <c r="U1030" s="24" t="n">
        <v>1</v>
      </c>
    </row>
    <row r="1031" customFormat="false" ht="12.75" hidden="false" customHeight="false" outlineLevel="0" collapsed="false">
      <c r="A1031" s="15" t="s">
        <v>3405</v>
      </c>
      <c r="B1031" s="15"/>
      <c r="C1031" s="15"/>
      <c r="D1031" s="15"/>
      <c r="E1031" s="15"/>
      <c r="G1031" s="10" t="n">
        <v>0</v>
      </c>
      <c r="H1031" s="21" t="n">
        <v>46044.6000115741</v>
      </c>
      <c r="I1031" s="15" t="s">
        <v>3406</v>
      </c>
      <c r="J1031" s="15" t="s">
        <v>695</v>
      </c>
      <c r="K1031" s="15" t="s">
        <v>3407</v>
      </c>
      <c r="L1031" s="10" t="n">
        <f aca="false">COUNTIF($E$2:E1031,E1031)</f>
        <v>0</v>
      </c>
      <c r="M1031" s="10" t="e">
        <f aca="false">ifs(L1031=1, L1031&amp;"-"&amp; COUNTIFS($L$2:L1031,1))</f>
        <v>#NAME?</v>
      </c>
      <c r="O1031" s="10"/>
      <c r="P1031" s="22" t="e">
        <f aca="false">COUNTIFS(C:C,C1031,N:N,"Đã xác nhận")/COUNTIFS(C:C,C1031)</f>
        <v>#DIV/0!</v>
      </c>
      <c r="Q1031" s="22"/>
      <c r="R1031" s="0" t="e">
        <f aca="false">#VALUE!</f>
        <v>#VALUE!</v>
      </c>
      <c r="S1031" s="0" t="e">
        <f aca="false">#VALUE!</f>
        <v>#VALUE!</v>
      </c>
      <c r="U1031" s="24" t="n">
        <v>0</v>
      </c>
    </row>
    <row r="1032" customFormat="false" ht="12.75" hidden="false" customHeight="false" outlineLevel="0" collapsed="false">
      <c r="A1032" s="15" t="s">
        <v>3408</v>
      </c>
      <c r="B1032" s="15" t="s">
        <v>1103</v>
      </c>
      <c r="C1032" s="15" t="s">
        <v>467</v>
      </c>
      <c r="D1032" s="15" t="s">
        <v>3409</v>
      </c>
      <c r="E1032" s="15" t="s">
        <v>55</v>
      </c>
      <c r="G1032" s="10" t="n">
        <v>3</v>
      </c>
      <c r="H1032" s="21" t="n">
        <v>46044.6062037037</v>
      </c>
      <c r="I1032" s="15" t="s">
        <v>3410</v>
      </c>
      <c r="J1032" s="15" t="s">
        <v>3410</v>
      </c>
      <c r="K1032" s="15"/>
      <c r="L1032" s="10" t="n">
        <f aca="false">COUNTIF($E$2:E1032,E1032)</f>
        <v>95</v>
      </c>
      <c r="M1032" s="10" t="e">
        <f aca="false">ifs(L1032=1, L1032&amp;"-"&amp; COUNTIFS($L$2:L1032,1))</f>
        <v>#NAME?</v>
      </c>
      <c r="N1032" s="15" t="s">
        <v>603</v>
      </c>
      <c r="O1032" s="10"/>
      <c r="P1032" s="22" t="n">
        <f aca="false">COUNTIFS(C:C,C1032,N:N,"Đã xác nhận")/COUNTIFS(C:C,C1032)</f>
        <v>1</v>
      </c>
      <c r="Q1032" s="22"/>
      <c r="R1032" s="0" t="s">
        <v>3411</v>
      </c>
      <c r="S1032" s="0" t="s">
        <v>539</v>
      </c>
      <c r="U1032" s="24" t="n">
        <v>3</v>
      </c>
    </row>
    <row r="1033" customFormat="false" ht="12.75" hidden="false" customHeight="false" outlineLevel="0" collapsed="false">
      <c r="A1033" s="15" t="s">
        <v>3412</v>
      </c>
      <c r="B1033" s="15" t="s">
        <v>1103</v>
      </c>
      <c r="C1033" s="15" t="s">
        <v>467</v>
      </c>
      <c r="D1033" s="15" t="s">
        <v>1150</v>
      </c>
      <c r="E1033" s="15" t="s">
        <v>47</v>
      </c>
      <c r="G1033" s="10" t="n">
        <v>1</v>
      </c>
      <c r="H1033" s="21" t="n">
        <v>46044.6049652778</v>
      </c>
      <c r="I1033" s="15" t="s">
        <v>3413</v>
      </c>
      <c r="J1033" s="15" t="s">
        <v>3413</v>
      </c>
      <c r="K1033" s="15"/>
      <c r="L1033" s="10" t="n">
        <f aca="false">COUNTIF($E$2:E1033,E1033)</f>
        <v>52</v>
      </c>
      <c r="M1033" s="10" t="e">
        <f aca="false">ifs(L1033=1, L1033&amp;"-"&amp; COUNTIFS($L$2:L1033,1))</f>
        <v>#NAME?</v>
      </c>
      <c r="N1033" s="15" t="s">
        <v>603</v>
      </c>
      <c r="O1033" s="10"/>
      <c r="P1033" s="22" t="n">
        <f aca="false">COUNTIFS(C:C,C1033,N:N,"Đã xác nhận")/COUNTIFS(C:C,C1033)</f>
        <v>1</v>
      </c>
      <c r="Q1033" s="22"/>
      <c r="R1033" s="0" t="s">
        <v>1152</v>
      </c>
      <c r="S1033" s="0" t="s">
        <v>549</v>
      </c>
      <c r="U1033" s="24" t="n">
        <v>1</v>
      </c>
    </row>
    <row r="1034" customFormat="false" ht="12.75" hidden="false" customHeight="false" outlineLevel="0" collapsed="false">
      <c r="A1034" s="15" t="s">
        <v>3414</v>
      </c>
      <c r="B1034" s="15" t="s">
        <v>1103</v>
      </c>
      <c r="C1034" s="15" t="s">
        <v>467</v>
      </c>
      <c r="D1034" s="15" t="s">
        <v>1115</v>
      </c>
      <c r="E1034" s="15" t="s">
        <v>47</v>
      </c>
      <c r="G1034" s="10" t="n">
        <v>1</v>
      </c>
      <c r="H1034" s="21" t="n">
        <v>46044.6049537037</v>
      </c>
      <c r="I1034" s="15" t="s">
        <v>3415</v>
      </c>
      <c r="J1034" s="15" t="s">
        <v>3415</v>
      </c>
      <c r="K1034" s="15"/>
      <c r="L1034" s="10" t="n">
        <f aca="false">COUNTIF($E$2:E1034,E1034)</f>
        <v>53</v>
      </c>
      <c r="M1034" s="10" t="e">
        <f aca="false">ifs(L1034=1, L1034&amp;"-"&amp; COUNTIFS($L$2:L1034,1))</f>
        <v>#NAME?</v>
      </c>
      <c r="N1034" s="15" t="s">
        <v>603</v>
      </c>
      <c r="O1034" s="10"/>
      <c r="P1034" s="22" t="n">
        <f aca="false">COUNTIFS(C:C,C1034,N:N,"Đã xác nhận")/COUNTIFS(C:C,C1034)</f>
        <v>1</v>
      </c>
      <c r="Q1034" s="22"/>
      <c r="R1034" s="0" t="s">
        <v>1119</v>
      </c>
      <c r="S1034" s="0" t="s">
        <v>549</v>
      </c>
      <c r="U1034" s="24" t="n">
        <v>1</v>
      </c>
    </row>
    <row r="1035" customFormat="false" ht="12.75" hidden="false" customHeight="false" outlineLevel="0" collapsed="false">
      <c r="A1035" s="15" t="s">
        <v>3416</v>
      </c>
      <c r="B1035" s="15" t="s">
        <v>1103</v>
      </c>
      <c r="C1035" s="15" t="s">
        <v>467</v>
      </c>
      <c r="D1035" s="15" t="s">
        <v>3417</v>
      </c>
      <c r="E1035" s="15" t="s">
        <v>81</v>
      </c>
      <c r="G1035" s="10" t="n">
        <v>1</v>
      </c>
      <c r="H1035" s="21" t="n">
        <v>46044.6065046296</v>
      </c>
      <c r="I1035" s="15" t="s">
        <v>3418</v>
      </c>
      <c r="J1035" s="15" t="s">
        <v>3418</v>
      </c>
      <c r="K1035" s="15"/>
      <c r="L1035" s="10" t="n">
        <f aca="false">COUNTIF($E$2:E1035,E1035)</f>
        <v>181</v>
      </c>
      <c r="M1035" s="10" t="e">
        <f aca="false">ifs(L1035=1, L1035&amp;"-"&amp; COUNTIFS($L$2:L1035,1))</f>
        <v>#NAME?</v>
      </c>
      <c r="N1035" s="15" t="s">
        <v>603</v>
      </c>
      <c r="O1035" s="10"/>
      <c r="P1035" s="22" t="n">
        <f aca="false">COUNTIFS(C:C,C1035,N:N,"Đã xác nhận")/COUNTIFS(C:C,C1035)</f>
        <v>1</v>
      </c>
      <c r="Q1035" s="22"/>
      <c r="R1035" s="0" t="s">
        <v>3419</v>
      </c>
      <c r="S1035" s="0" t="s">
        <v>534</v>
      </c>
      <c r="U1035" s="24" t="n">
        <v>1</v>
      </c>
    </row>
    <row r="1036" customFormat="false" ht="12.75" hidden="false" customHeight="false" outlineLevel="0" collapsed="false">
      <c r="A1036" s="15" t="s">
        <v>3420</v>
      </c>
      <c r="B1036" s="15" t="s">
        <v>1103</v>
      </c>
      <c r="C1036" s="15" t="s">
        <v>467</v>
      </c>
      <c r="D1036" s="15" t="s">
        <v>3421</v>
      </c>
      <c r="E1036" s="15" t="s">
        <v>81</v>
      </c>
      <c r="G1036" s="10" t="n">
        <v>1</v>
      </c>
      <c r="H1036" s="21" t="n">
        <v>46044.6064467593</v>
      </c>
      <c r="I1036" s="15" t="s">
        <v>3422</v>
      </c>
      <c r="J1036" s="15" t="s">
        <v>3422</v>
      </c>
      <c r="K1036" s="15"/>
      <c r="L1036" s="10" t="n">
        <f aca="false">COUNTIF($E$2:E1036,E1036)</f>
        <v>182</v>
      </c>
      <c r="M1036" s="10" t="e">
        <f aca="false">ifs(L1036=1, L1036&amp;"-"&amp; COUNTIFS($L$2:L1036,1))</f>
        <v>#NAME?</v>
      </c>
      <c r="N1036" s="15" t="s">
        <v>603</v>
      </c>
      <c r="O1036" s="10"/>
      <c r="P1036" s="22" t="n">
        <f aca="false">COUNTIFS(C:C,C1036,N:N,"Đã xác nhận")/COUNTIFS(C:C,C1036)</f>
        <v>1</v>
      </c>
      <c r="Q1036" s="22"/>
      <c r="R1036" s="0" t="s">
        <v>3423</v>
      </c>
      <c r="S1036" s="0" t="s">
        <v>534</v>
      </c>
      <c r="U1036" s="24" t="n">
        <v>1</v>
      </c>
    </row>
    <row r="1037" customFormat="false" ht="12.75" hidden="false" customHeight="false" outlineLevel="0" collapsed="false">
      <c r="A1037" s="15" t="s">
        <v>3424</v>
      </c>
      <c r="B1037" s="15" t="s">
        <v>1103</v>
      </c>
      <c r="C1037" s="15" t="s">
        <v>467</v>
      </c>
      <c r="D1037" s="15" t="s">
        <v>3425</v>
      </c>
      <c r="E1037" s="15" t="s">
        <v>49</v>
      </c>
      <c r="G1037" s="10" t="n">
        <v>1</v>
      </c>
      <c r="H1037" s="21" t="n">
        <v>46044.6003935185</v>
      </c>
      <c r="I1037" s="15" t="s">
        <v>3426</v>
      </c>
      <c r="J1037" s="15" t="s">
        <v>3426</v>
      </c>
      <c r="K1037" s="15"/>
      <c r="L1037" s="10" t="n">
        <f aca="false">COUNTIF($E$2:E1037,E1037)</f>
        <v>15</v>
      </c>
      <c r="M1037" s="10" t="e">
        <f aca="false">ifs(L1037=1, L1037&amp;"-"&amp; COUNTIFS($L$2:L1037,1))</f>
        <v>#NAME?</v>
      </c>
      <c r="N1037" s="15" t="s">
        <v>603</v>
      </c>
      <c r="O1037" s="10"/>
      <c r="P1037" s="22" t="n">
        <f aca="false">COUNTIFS(C:C,C1037,N:N,"Đã xác nhận")/COUNTIFS(C:C,C1037)</f>
        <v>1</v>
      </c>
      <c r="Q1037" s="22"/>
      <c r="R1037" s="0" t="s">
        <v>3427</v>
      </c>
      <c r="S1037" s="0" t="s">
        <v>537</v>
      </c>
      <c r="U1037" s="24" t="n">
        <v>1</v>
      </c>
    </row>
    <row r="1038" customFormat="false" ht="12.75" hidden="false" customHeight="false" outlineLevel="0" collapsed="false">
      <c r="A1038" s="15" t="s">
        <v>3428</v>
      </c>
      <c r="B1038" s="15" t="s">
        <v>1103</v>
      </c>
      <c r="C1038" s="15" t="s">
        <v>467</v>
      </c>
      <c r="D1038" s="15" t="s">
        <v>1500</v>
      </c>
      <c r="E1038" s="15" t="s">
        <v>81</v>
      </c>
      <c r="G1038" s="10" t="n">
        <v>1</v>
      </c>
      <c r="H1038" s="21" t="n">
        <v>46044.6065162037</v>
      </c>
      <c r="I1038" s="15" t="s">
        <v>3429</v>
      </c>
      <c r="J1038" s="15" t="s">
        <v>3429</v>
      </c>
      <c r="K1038" s="15"/>
      <c r="L1038" s="10" t="n">
        <f aca="false">COUNTIF($E$2:E1038,E1038)</f>
        <v>183</v>
      </c>
      <c r="M1038" s="10" t="e">
        <f aca="false">ifs(L1038=1, L1038&amp;"-"&amp; COUNTIFS($L$2:L1038,1))</f>
        <v>#NAME?</v>
      </c>
      <c r="N1038" s="15" t="s">
        <v>603</v>
      </c>
      <c r="O1038" s="10"/>
      <c r="P1038" s="22" t="n">
        <f aca="false">COUNTIFS(C:C,C1038,N:N,"Đã xác nhận")/COUNTIFS(C:C,C1038)</f>
        <v>1</v>
      </c>
      <c r="Q1038" s="22"/>
      <c r="R1038" s="0" t="s">
        <v>1502</v>
      </c>
      <c r="S1038" s="0" t="s">
        <v>534</v>
      </c>
      <c r="U1038" s="24" t="n">
        <v>1</v>
      </c>
    </row>
    <row r="1039" customFormat="false" ht="12.75" hidden="false" customHeight="false" outlineLevel="0" collapsed="false">
      <c r="A1039" s="15" t="s">
        <v>3430</v>
      </c>
      <c r="B1039" s="15" t="s">
        <v>1103</v>
      </c>
      <c r="C1039" s="15" t="s">
        <v>467</v>
      </c>
      <c r="D1039" s="15" t="s">
        <v>3431</v>
      </c>
      <c r="E1039" s="15" t="s">
        <v>81</v>
      </c>
      <c r="G1039" s="10" t="n">
        <v>1</v>
      </c>
      <c r="H1039" s="21" t="n">
        <v>46044.6064699074</v>
      </c>
      <c r="I1039" s="15" t="s">
        <v>3432</v>
      </c>
      <c r="J1039" s="15" t="s">
        <v>3432</v>
      </c>
      <c r="K1039" s="15"/>
      <c r="L1039" s="10" t="n">
        <f aca="false">COUNTIF($E$2:E1039,E1039)</f>
        <v>184</v>
      </c>
      <c r="M1039" s="10" t="e">
        <f aca="false">ifs(L1039=1, L1039&amp;"-"&amp; COUNTIFS($L$2:L1039,1))</f>
        <v>#NAME?</v>
      </c>
      <c r="N1039" s="15" t="s">
        <v>603</v>
      </c>
      <c r="O1039" s="10"/>
      <c r="P1039" s="22" t="n">
        <f aca="false">COUNTIFS(C:C,C1039,N:N,"Đã xác nhận")/COUNTIFS(C:C,C1039)</f>
        <v>1</v>
      </c>
      <c r="Q1039" s="22"/>
      <c r="R1039" s="0" t="s">
        <v>3433</v>
      </c>
      <c r="S1039" s="0" t="s">
        <v>534</v>
      </c>
      <c r="U1039" s="24" t="n">
        <v>1</v>
      </c>
    </row>
    <row r="1040" customFormat="false" ht="12.75" hidden="false" customHeight="false" outlineLevel="0" collapsed="false">
      <c r="A1040" s="15" t="s">
        <v>3434</v>
      </c>
      <c r="B1040" s="15" t="s">
        <v>1103</v>
      </c>
      <c r="C1040" s="15" t="s">
        <v>467</v>
      </c>
      <c r="D1040" s="15" t="s">
        <v>3435</v>
      </c>
      <c r="E1040" s="15" t="s">
        <v>81</v>
      </c>
      <c r="G1040" s="10" t="n">
        <v>1</v>
      </c>
      <c r="H1040" s="21" t="n">
        <v>46044.6065046296</v>
      </c>
      <c r="I1040" s="15" t="s">
        <v>3436</v>
      </c>
      <c r="J1040" s="15" t="s">
        <v>3436</v>
      </c>
      <c r="K1040" s="15"/>
      <c r="L1040" s="10" t="n">
        <f aca="false">COUNTIF($E$2:E1040,E1040)</f>
        <v>185</v>
      </c>
      <c r="M1040" s="10" t="e">
        <f aca="false">ifs(L1040=1, L1040&amp;"-"&amp; COUNTIFS($L$2:L1040,1))</f>
        <v>#NAME?</v>
      </c>
      <c r="N1040" s="15" t="s">
        <v>603</v>
      </c>
      <c r="O1040" s="10"/>
      <c r="P1040" s="22" t="n">
        <f aca="false">COUNTIFS(C:C,C1040,N:N,"Đã xác nhận")/COUNTIFS(C:C,C1040)</f>
        <v>1</v>
      </c>
      <c r="Q1040" s="22"/>
      <c r="R1040" s="0" t="s">
        <v>3437</v>
      </c>
      <c r="S1040" s="0" t="s">
        <v>534</v>
      </c>
      <c r="U1040" s="24" t="n">
        <v>1</v>
      </c>
    </row>
    <row r="1041" customFormat="false" ht="12.75" hidden="false" customHeight="false" outlineLevel="0" collapsed="false">
      <c r="A1041" s="15" t="s">
        <v>3438</v>
      </c>
      <c r="B1041" s="15" t="s">
        <v>1103</v>
      </c>
      <c r="C1041" s="15" t="s">
        <v>467</v>
      </c>
      <c r="D1041" s="15" t="s">
        <v>3439</v>
      </c>
      <c r="E1041" s="15" t="s">
        <v>81</v>
      </c>
      <c r="G1041" s="10" t="n">
        <v>1</v>
      </c>
      <c r="H1041" s="21" t="n">
        <v>46044.6064814815</v>
      </c>
      <c r="I1041" s="15" t="s">
        <v>3440</v>
      </c>
      <c r="J1041" s="15" t="s">
        <v>3440</v>
      </c>
      <c r="K1041" s="15"/>
      <c r="L1041" s="10" t="n">
        <f aca="false">COUNTIF($E$2:E1041,E1041)</f>
        <v>186</v>
      </c>
      <c r="M1041" s="10" t="e">
        <f aca="false">ifs(L1041=1, L1041&amp;"-"&amp; COUNTIFS($L$2:L1041,1))</f>
        <v>#NAME?</v>
      </c>
      <c r="N1041" s="15" t="s">
        <v>603</v>
      </c>
      <c r="O1041" s="10"/>
      <c r="P1041" s="22" t="n">
        <f aca="false">COUNTIFS(C:C,C1041,N:N,"Đã xác nhận")/COUNTIFS(C:C,C1041)</f>
        <v>1</v>
      </c>
      <c r="Q1041" s="22"/>
      <c r="R1041" s="0" t="s">
        <v>3441</v>
      </c>
      <c r="S1041" s="0" t="s">
        <v>534</v>
      </c>
      <c r="U1041" s="24" t="n">
        <v>1</v>
      </c>
    </row>
    <row r="1042" customFormat="false" ht="12.75" hidden="false" customHeight="false" outlineLevel="0" collapsed="false">
      <c r="A1042" s="15" t="s">
        <v>3442</v>
      </c>
      <c r="B1042" s="15" t="s">
        <v>1103</v>
      </c>
      <c r="C1042" s="15" t="s">
        <v>467</v>
      </c>
      <c r="D1042" s="15" t="s">
        <v>3443</v>
      </c>
      <c r="E1042" s="15" t="s">
        <v>63</v>
      </c>
      <c r="G1042" s="10" t="n">
        <v>1</v>
      </c>
      <c r="H1042" s="21" t="n">
        <v>46044.6062847222</v>
      </c>
      <c r="I1042" s="15" t="s">
        <v>3444</v>
      </c>
      <c r="J1042" s="15" t="s">
        <v>3444</v>
      </c>
      <c r="K1042" s="15"/>
      <c r="L1042" s="10" t="n">
        <f aca="false">COUNTIF($E$2:E1042,E1042)</f>
        <v>16</v>
      </c>
      <c r="M1042" s="10" t="e">
        <f aca="false">ifs(L1042=1, L1042&amp;"-"&amp; COUNTIFS($L$2:L1042,1))</f>
        <v>#NAME?</v>
      </c>
      <c r="N1042" s="15" t="s">
        <v>603</v>
      </c>
      <c r="O1042" s="10"/>
      <c r="P1042" s="22" t="n">
        <f aca="false">COUNTIFS(C:C,C1042,N:N,"Đã xác nhận")/COUNTIFS(C:C,C1042)</f>
        <v>1</v>
      </c>
      <c r="Q1042" s="22"/>
      <c r="R1042" s="0" t="s">
        <v>3445</v>
      </c>
      <c r="S1042" s="0" t="s">
        <v>551</v>
      </c>
      <c r="U1042" s="24" t="n">
        <v>1</v>
      </c>
    </row>
    <row r="1043" customFormat="false" ht="12.75" hidden="false" customHeight="false" outlineLevel="0" collapsed="false">
      <c r="A1043" s="15" t="s">
        <v>3446</v>
      </c>
      <c r="B1043" s="15" t="s">
        <v>1103</v>
      </c>
      <c r="C1043" s="15" t="s">
        <v>467</v>
      </c>
      <c r="D1043" s="15" t="s">
        <v>3443</v>
      </c>
      <c r="E1043" s="15" t="s">
        <v>81</v>
      </c>
      <c r="G1043" s="10" t="n">
        <v>1</v>
      </c>
      <c r="H1043" s="21" t="n">
        <v>46044.6064814815</v>
      </c>
      <c r="I1043" s="15" t="s">
        <v>3447</v>
      </c>
      <c r="J1043" s="15" t="s">
        <v>3447</v>
      </c>
      <c r="K1043" s="15"/>
      <c r="L1043" s="10" t="n">
        <f aca="false">COUNTIF($E$2:E1043,E1043)</f>
        <v>187</v>
      </c>
      <c r="M1043" s="10" t="e">
        <f aca="false">ifs(L1043=1, L1043&amp;"-"&amp; COUNTIFS($L$2:L1043,1))</f>
        <v>#NAME?</v>
      </c>
      <c r="N1043" s="15" t="s">
        <v>603</v>
      </c>
      <c r="O1043" s="10"/>
      <c r="P1043" s="22" t="n">
        <f aca="false">COUNTIFS(C:C,C1043,N:N,"Đã xác nhận")/COUNTIFS(C:C,C1043)</f>
        <v>1</v>
      </c>
      <c r="Q1043" s="22"/>
      <c r="R1043" s="0" t="s">
        <v>3445</v>
      </c>
      <c r="S1043" s="0" t="s">
        <v>534</v>
      </c>
      <c r="U1043" s="24" t="n">
        <v>1</v>
      </c>
    </row>
    <row r="1044" customFormat="false" ht="12.75" hidden="false" customHeight="false" outlineLevel="0" collapsed="false">
      <c r="A1044" s="15" t="s">
        <v>3448</v>
      </c>
      <c r="B1044" s="15"/>
      <c r="C1044" s="15"/>
      <c r="D1044" s="15"/>
      <c r="E1044" s="15"/>
      <c r="G1044" s="10" t="n">
        <v>0</v>
      </c>
      <c r="H1044" s="21" t="n">
        <v>46044.6049074074</v>
      </c>
      <c r="I1044" s="15" t="s">
        <v>3449</v>
      </c>
      <c r="J1044" s="15" t="s">
        <v>695</v>
      </c>
      <c r="K1044" s="15" t="s">
        <v>3450</v>
      </c>
      <c r="L1044" s="10" t="n">
        <f aca="false">COUNTIF($E$2:E1044,E1044)</f>
        <v>0</v>
      </c>
      <c r="M1044" s="10" t="e">
        <f aca="false">ifs(L1044=1, L1044&amp;"-"&amp; COUNTIFS($L$2:L1044,1))</f>
        <v>#NAME?</v>
      </c>
      <c r="O1044" s="10"/>
      <c r="P1044" s="22" t="e">
        <f aca="false">COUNTIFS(C:C,C1044,N:N,"Đã xác nhận")/COUNTIFS(C:C,C1044)</f>
        <v>#DIV/0!</v>
      </c>
      <c r="Q1044" s="22"/>
      <c r="R1044" s="0" t="e">
        <f aca="false">#VALUE!</f>
        <v>#VALUE!</v>
      </c>
      <c r="S1044" s="0" t="e">
        <f aca="false">#VALUE!</f>
        <v>#VALUE!</v>
      </c>
      <c r="U1044" s="24" t="n">
        <v>0</v>
      </c>
    </row>
    <row r="1045" customFormat="false" ht="12.75" hidden="false" customHeight="false" outlineLevel="0" collapsed="false">
      <c r="A1045" s="15" t="s">
        <v>3451</v>
      </c>
      <c r="B1045" s="15" t="s">
        <v>1103</v>
      </c>
      <c r="C1045" s="15" t="s">
        <v>1261</v>
      </c>
      <c r="D1045" s="15" t="s">
        <v>3452</v>
      </c>
      <c r="E1045" s="15" t="s">
        <v>57</v>
      </c>
      <c r="G1045" s="10" t="n">
        <v>1</v>
      </c>
      <c r="H1045" s="21" t="n">
        <v>46046.5391782407</v>
      </c>
      <c r="I1045" s="15" t="s">
        <v>3453</v>
      </c>
      <c r="J1045" s="15" t="s">
        <v>3453</v>
      </c>
      <c r="K1045" s="15"/>
      <c r="L1045" s="10" t="n">
        <f aca="false">COUNTIF($E$2:E1045,E1045)</f>
        <v>4</v>
      </c>
      <c r="M1045" s="10" t="e">
        <f aca="false">ifs(L1045=1, L1045&amp;"-"&amp; COUNTIFS($L$2:L1045,1))</f>
        <v>#NAME?</v>
      </c>
      <c r="N1045" s="15" t="s">
        <v>603</v>
      </c>
      <c r="O1045" s="10"/>
      <c r="P1045" s="22" t="n">
        <f aca="false">COUNTIFS(C:C,C1045,N:N,"Đã xác nhận")/COUNTIFS(C:C,C1045)</f>
        <v>0.0526315789473684</v>
      </c>
      <c r="Q1045" s="22"/>
      <c r="R1045" s="0" t="s">
        <v>3454</v>
      </c>
      <c r="S1045" s="0" t="s">
        <v>553</v>
      </c>
      <c r="U1045" s="24" t="n">
        <v>1</v>
      </c>
    </row>
    <row r="1046" customFormat="false" ht="12.75" hidden="false" customHeight="false" outlineLevel="0" collapsed="false">
      <c r="A1046" s="15" t="s">
        <v>3455</v>
      </c>
      <c r="B1046" s="15" t="s">
        <v>1103</v>
      </c>
      <c r="C1046" s="15" t="s">
        <v>1261</v>
      </c>
      <c r="D1046" s="15" t="s">
        <v>3456</v>
      </c>
      <c r="E1046" s="15" t="s">
        <v>47</v>
      </c>
      <c r="G1046" s="10" t="n">
        <v>1</v>
      </c>
      <c r="H1046" s="21" t="n">
        <v>45982.6152662037</v>
      </c>
      <c r="I1046" s="15" t="s">
        <v>3457</v>
      </c>
      <c r="J1046" s="15" t="s">
        <v>3458</v>
      </c>
      <c r="K1046" s="15" t="s">
        <v>3459</v>
      </c>
      <c r="L1046" s="10" t="n">
        <f aca="false">COUNTIF($E$2:E1046,E1046)</f>
        <v>54</v>
      </c>
      <c r="M1046" s="10" t="e">
        <f aca="false">ifs(L1046=1, L1046&amp;"-"&amp; COUNTIFS($L$2:L1046,1))</f>
        <v>#NAME?</v>
      </c>
      <c r="O1046" s="10"/>
      <c r="P1046" s="22" t="n">
        <f aca="false">COUNTIFS(C:C,C1046,N:N,"Đã xác nhận")/COUNTIFS(C:C,C1046)</f>
        <v>0.0526315789473684</v>
      </c>
      <c r="Q1046" s="22"/>
      <c r="R1046" s="0" t="s">
        <v>3460</v>
      </c>
      <c r="S1046" s="0" t="s">
        <v>549</v>
      </c>
      <c r="U1046" s="24" t="n">
        <v>1</v>
      </c>
    </row>
    <row r="1047" customFormat="false" ht="12.75" hidden="false" customHeight="false" outlineLevel="0" collapsed="false">
      <c r="A1047" s="15" t="s">
        <v>3461</v>
      </c>
      <c r="B1047" s="15" t="s">
        <v>600</v>
      </c>
      <c r="C1047" s="15" t="s">
        <v>451</v>
      </c>
      <c r="D1047" s="15" t="s">
        <v>806</v>
      </c>
      <c r="E1047" s="15" t="s">
        <v>81</v>
      </c>
      <c r="G1047" s="10" t="n">
        <v>1</v>
      </c>
      <c r="H1047" s="21" t="n">
        <v>45982.6432060185</v>
      </c>
      <c r="I1047" s="15" t="s">
        <v>1566</v>
      </c>
      <c r="J1047" s="15" t="s">
        <v>3462</v>
      </c>
      <c r="K1047" s="15" t="s">
        <v>3463</v>
      </c>
      <c r="L1047" s="10" t="n">
        <f aca="false">COUNTIF($E$2:E1047,E1047)</f>
        <v>188</v>
      </c>
      <c r="M1047" s="10" t="e">
        <f aca="false">ifs(L1047=1, L1047&amp;"-"&amp; COUNTIFS($L$2:L1047,1))</f>
        <v>#NAME?</v>
      </c>
      <c r="O1047" s="10"/>
      <c r="P1047" s="22" t="n">
        <f aca="false">COUNTIFS(C:C,C1047,N:N,"Đã xác nhận")/COUNTIFS(C:C,C1047)</f>
        <v>0</v>
      </c>
      <c r="Q1047" s="22"/>
      <c r="R1047" s="0" t="s">
        <v>810</v>
      </c>
      <c r="S1047" s="0" t="s">
        <v>534</v>
      </c>
      <c r="U1047" s="24" t="n">
        <v>1</v>
      </c>
    </row>
    <row r="1048" customFormat="false" ht="12.75" hidden="false" customHeight="false" outlineLevel="0" collapsed="false">
      <c r="A1048" s="15" t="s">
        <v>3464</v>
      </c>
      <c r="B1048" s="15" t="s">
        <v>600</v>
      </c>
      <c r="C1048" s="15" t="s">
        <v>451</v>
      </c>
      <c r="D1048" s="15" t="s">
        <v>1224</v>
      </c>
      <c r="E1048" s="15" t="s">
        <v>81</v>
      </c>
      <c r="G1048" s="10" t="n">
        <v>1</v>
      </c>
      <c r="H1048" s="21" t="n">
        <v>45982.6399537037</v>
      </c>
      <c r="I1048" s="15" t="s">
        <v>1566</v>
      </c>
      <c r="J1048" s="15" t="s">
        <v>3465</v>
      </c>
      <c r="K1048" s="15" t="s">
        <v>3466</v>
      </c>
      <c r="L1048" s="10" t="n">
        <f aca="false">COUNTIF($E$2:E1048,E1048)</f>
        <v>189</v>
      </c>
      <c r="M1048" s="10" t="e">
        <f aca="false">ifs(L1048=1, L1048&amp;"-"&amp; COUNTIFS($L$2:L1048,1))</f>
        <v>#NAME?</v>
      </c>
      <c r="O1048" s="10"/>
      <c r="P1048" s="22" t="n">
        <f aca="false">COUNTIFS(C:C,C1048,N:N,"Đã xác nhận")/COUNTIFS(C:C,C1048)</f>
        <v>0</v>
      </c>
      <c r="Q1048" s="22"/>
      <c r="R1048" s="0" t="s">
        <v>1226</v>
      </c>
      <c r="S1048" s="0" t="s">
        <v>534</v>
      </c>
      <c r="U1048" s="24" t="n">
        <v>1</v>
      </c>
    </row>
    <row r="1049" customFormat="false" ht="12.75" hidden="false" customHeight="false" outlineLevel="0" collapsed="false">
      <c r="A1049" s="15" t="s">
        <v>3467</v>
      </c>
      <c r="B1049" s="15" t="s">
        <v>2687</v>
      </c>
      <c r="C1049" s="15" t="s">
        <v>470</v>
      </c>
      <c r="D1049" s="15" t="s">
        <v>2688</v>
      </c>
      <c r="E1049" s="15" t="s">
        <v>547</v>
      </c>
      <c r="G1049" s="10" t="n">
        <v>2</v>
      </c>
      <c r="H1049" s="21" t="n">
        <v>46044.6378009259</v>
      </c>
      <c r="I1049" s="15" t="s">
        <v>3468</v>
      </c>
      <c r="J1049" s="15" t="s">
        <v>3468</v>
      </c>
      <c r="K1049" s="15"/>
      <c r="L1049" s="10" t="n">
        <f aca="false">COUNTIF($E$2:E1049,E1049)</f>
        <v>29</v>
      </c>
      <c r="M1049" s="10" t="e">
        <f aca="false">ifs(L1049=1, L1049&amp;"-"&amp; COUNTIFS($L$2:L1049,1))</f>
        <v>#NAME?</v>
      </c>
      <c r="N1049" s="15" t="s">
        <v>603</v>
      </c>
      <c r="O1049" s="10"/>
      <c r="P1049" s="22" t="n">
        <f aca="false">COUNTIFS(C:C,C1049,N:N,"Đã xác nhận")/COUNTIFS(C:C,C1049)</f>
        <v>1</v>
      </c>
      <c r="Q1049" s="22"/>
      <c r="R1049" s="0" t="s">
        <v>2688</v>
      </c>
      <c r="S1049" s="0" t="s">
        <v>548</v>
      </c>
      <c r="U1049" s="24" t="n">
        <v>2</v>
      </c>
    </row>
    <row r="1050" customFormat="false" ht="12.75" hidden="false" customHeight="false" outlineLevel="0" collapsed="false">
      <c r="A1050" s="15" t="s">
        <v>3469</v>
      </c>
      <c r="B1050" s="15" t="s">
        <v>600</v>
      </c>
      <c r="C1050" s="15" t="s">
        <v>527</v>
      </c>
      <c r="D1050" s="15" t="s">
        <v>1224</v>
      </c>
      <c r="E1050" s="15" t="s">
        <v>81</v>
      </c>
      <c r="G1050" s="10" t="n">
        <v>1</v>
      </c>
      <c r="H1050" s="21" t="n">
        <v>45985.6396759259</v>
      </c>
      <c r="I1050" s="15" t="s">
        <v>1566</v>
      </c>
      <c r="J1050" s="15" t="s">
        <v>3470</v>
      </c>
      <c r="K1050" s="15" t="s">
        <v>3471</v>
      </c>
      <c r="L1050" s="10" t="n">
        <f aca="false">COUNTIF($E$2:E1050,E1050)</f>
        <v>190</v>
      </c>
      <c r="M1050" s="10" t="e">
        <f aca="false">ifs(L1050=1, L1050&amp;"-"&amp; COUNTIFS($L$2:L1050,1))</f>
        <v>#NAME?</v>
      </c>
      <c r="O1050" s="10"/>
      <c r="P1050" s="22" t="n">
        <f aca="false">COUNTIFS(C:C,C1050,N:N,"Đã xác nhận")/COUNTIFS(C:C,C1050)</f>
        <v>0</v>
      </c>
      <c r="Q1050" s="22"/>
      <c r="R1050" s="0" t="s">
        <v>1226</v>
      </c>
      <c r="S1050" s="0" t="s">
        <v>534</v>
      </c>
      <c r="U1050" s="24" t="n">
        <v>1</v>
      </c>
    </row>
    <row r="1051" customFormat="false" ht="12.75" hidden="false" customHeight="false" outlineLevel="0" collapsed="false">
      <c r="A1051" s="15" t="s">
        <v>3472</v>
      </c>
      <c r="B1051" s="15" t="s">
        <v>600</v>
      </c>
      <c r="C1051" s="15" t="s">
        <v>528</v>
      </c>
      <c r="D1051" s="15" t="s">
        <v>3473</v>
      </c>
      <c r="E1051" s="15" t="s">
        <v>81</v>
      </c>
      <c r="G1051" s="10" t="n">
        <v>2</v>
      </c>
      <c r="H1051" s="21" t="n">
        <v>46057.4165046296</v>
      </c>
      <c r="I1051" s="15" t="s">
        <v>3474</v>
      </c>
      <c r="J1051" s="15" t="s">
        <v>3474</v>
      </c>
      <c r="K1051" s="15"/>
      <c r="L1051" s="10" t="n">
        <f aca="false">COUNTIF($E$2:E1051,E1051)</f>
        <v>191</v>
      </c>
      <c r="M1051" s="10" t="e">
        <f aca="false">ifs(L1051=1, L1051&amp;"-"&amp; COUNTIFS($L$2:L1051,1))</f>
        <v>#NAME?</v>
      </c>
      <c r="N1051" s="15" t="s">
        <v>603</v>
      </c>
      <c r="O1051" s="10"/>
      <c r="P1051" s="22" t="n">
        <f aca="false">COUNTIFS(C:C,C1051,N:N,"Đã xác nhận")/COUNTIFS(C:C,C1051)</f>
        <v>1</v>
      </c>
      <c r="Q1051" s="22"/>
      <c r="R1051" s="0" t="s">
        <v>3475</v>
      </c>
      <c r="S1051" s="0" t="s">
        <v>534</v>
      </c>
      <c r="U1051" s="24" t="n">
        <v>2</v>
      </c>
    </row>
    <row r="1052" customFormat="false" ht="12.75" hidden="false" customHeight="false" outlineLevel="0" collapsed="false">
      <c r="A1052" s="15" t="s">
        <v>3476</v>
      </c>
      <c r="B1052" s="15" t="s">
        <v>600</v>
      </c>
      <c r="C1052" s="15" t="s">
        <v>530</v>
      </c>
      <c r="D1052" s="15" t="s">
        <v>1224</v>
      </c>
      <c r="E1052" s="15" t="s">
        <v>81</v>
      </c>
      <c r="G1052" s="10" t="n">
        <v>1</v>
      </c>
      <c r="H1052" s="21" t="n">
        <v>45985.6409375</v>
      </c>
      <c r="I1052" s="15" t="s">
        <v>1566</v>
      </c>
      <c r="J1052" s="15" t="s">
        <v>3477</v>
      </c>
      <c r="K1052" s="15" t="s">
        <v>3478</v>
      </c>
      <c r="L1052" s="10" t="n">
        <f aca="false">COUNTIF($E$2:E1052,E1052)</f>
        <v>192</v>
      </c>
      <c r="M1052" s="10" t="e">
        <f aca="false">ifs(L1052=1, L1052&amp;"-"&amp; COUNTIFS($L$2:L1052,1))</f>
        <v>#NAME?</v>
      </c>
      <c r="O1052" s="10"/>
      <c r="P1052" s="22" t="n">
        <f aca="false">COUNTIFS(C:C,C1052,N:N,"Đã xác nhận")/COUNTIFS(C:C,C1052)</f>
        <v>0</v>
      </c>
      <c r="Q1052" s="22"/>
      <c r="R1052" s="0" t="s">
        <v>1226</v>
      </c>
      <c r="S1052" s="0" t="s">
        <v>534</v>
      </c>
      <c r="U1052" s="24" t="n">
        <v>1</v>
      </c>
    </row>
    <row r="1053" customFormat="false" ht="12.75" hidden="false" customHeight="false" outlineLevel="0" collapsed="false">
      <c r="A1053" s="15" t="s">
        <v>3479</v>
      </c>
      <c r="B1053" s="15" t="s">
        <v>600</v>
      </c>
      <c r="C1053" s="15" t="s">
        <v>482</v>
      </c>
      <c r="D1053" s="15" t="s">
        <v>673</v>
      </c>
      <c r="E1053" s="15" t="s">
        <v>69</v>
      </c>
      <c r="G1053" s="10" t="n">
        <v>2</v>
      </c>
      <c r="H1053" s="21" t="n">
        <v>45985.6506018519</v>
      </c>
      <c r="I1053" s="15" t="s">
        <v>3480</v>
      </c>
      <c r="J1053" s="15" t="s">
        <v>3481</v>
      </c>
      <c r="K1053" s="15" t="s">
        <v>3482</v>
      </c>
      <c r="L1053" s="10" t="n">
        <f aca="false">COUNTIF($E$2:E1053,E1053)</f>
        <v>125</v>
      </c>
      <c r="M1053" s="10" t="e">
        <f aca="false">ifs(L1053=1, L1053&amp;"-"&amp; COUNTIFS($L$2:L1053,1))</f>
        <v>#NAME?</v>
      </c>
      <c r="O1053" s="10"/>
      <c r="P1053" s="22" t="n">
        <f aca="false">COUNTIFS(C:C,C1053,N:N,"Đã xác nhận")/COUNTIFS(C:C,C1053)</f>
        <v>0</v>
      </c>
      <c r="Q1053" s="22"/>
      <c r="R1053" s="0" t="s">
        <v>675</v>
      </c>
      <c r="S1053" s="0" t="s">
        <v>535</v>
      </c>
      <c r="U1053" s="24" t="n">
        <v>2</v>
      </c>
    </row>
    <row r="1054" customFormat="false" ht="12.75" hidden="false" customHeight="false" outlineLevel="0" collapsed="false">
      <c r="A1054" s="15" t="s">
        <v>3483</v>
      </c>
      <c r="B1054" s="15" t="s">
        <v>600</v>
      </c>
      <c r="C1054" s="15" t="s">
        <v>482</v>
      </c>
      <c r="D1054" s="15" t="s">
        <v>673</v>
      </c>
      <c r="E1054" s="15" t="s">
        <v>33</v>
      </c>
      <c r="G1054" s="10" t="n">
        <v>2</v>
      </c>
      <c r="H1054" s="21" t="n">
        <v>45985.650775463</v>
      </c>
      <c r="I1054" s="15" t="s">
        <v>3480</v>
      </c>
      <c r="J1054" s="15" t="s">
        <v>3484</v>
      </c>
      <c r="K1054" s="15" t="s">
        <v>3485</v>
      </c>
      <c r="L1054" s="10" t="n">
        <f aca="false">COUNTIF($E$2:E1054,E1054)</f>
        <v>100</v>
      </c>
      <c r="M1054" s="10" t="e">
        <f aca="false">ifs(L1054=1, L1054&amp;"-"&amp; COUNTIFS($L$2:L1054,1))</f>
        <v>#NAME?</v>
      </c>
      <c r="O1054" s="10"/>
      <c r="P1054" s="22" t="n">
        <f aca="false">COUNTIFS(C:C,C1054,N:N,"Đã xác nhận")/COUNTIFS(C:C,C1054)</f>
        <v>0</v>
      </c>
      <c r="Q1054" s="22"/>
      <c r="R1054" s="0" t="s">
        <v>675</v>
      </c>
      <c r="S1054" s="0" t="s">
        <v>536</v>
      </c>
      <c r="U1054" s="24" t="n">
        <v>2</v>
      </c>
    </row>
    <row r="1055" customFormat="false" ht="12.75" hidden="false" customHeight="false" outlineLevel="0" collapsed="false">
      <c r="A1055" s="15" t="s">
        <v>3486</v>
      </c>
      <c r="B1055" s="15" t="s">
        <v>600</v>
      </c>
      <c r="C1055" s="15" t="s">
        <v>482</v>
      </c>
      <c r="D1055" s="15" t="s">
        <v>673</v>
      </c>
      <c r="E1055" s="15" t="s">
        <v>77</v>
      </c>
      <c r="G1055" s="10" t="n">
        <v>2</v>
      </c>
      <c r="H1055" s="21" t="n">
        <v>45985.6509143519</v>
      </c>
      <c r="I1055" s="15" t="s">
        <v>3480</v>
      </c>
      <c r="J1055" s="15" t="s">
        <v>3487</v>
      </c>
      <c r="K1055" s="15" t="s">
        <v>3488</v>
      </c>
      <c r="L1055" s="10" t="n">
        <f aca="false">COUNTIF($E$2:E1055,E1055)</f>
        <v>37</v>
      </c>
      <c r="M1055" s="10" t="e">
        <f aca="false">ifs(L1055=1, L1055&amp;"-"&amp; COUNTIFS($L$2:L1055,1))</f>
        <v>#NAME?</v>
      </c>
      <c r="O1055" s="10"/>
      <c r="P1055" s="22" t="n">
        <f aca="false">COUNTIFS(C:C,C1055,N:N,"Đã xác nhận")/COUNTIFS(C:C,C1055)</f>
        <v>0</v>
      </c>
      <c r="Q1055" s="22"/>
      <c r="R1055" s="0" t="s">
        <v>675</v>
      </c>
      <c r="S1055" s="0" t="s">
        <v>78</v>
      </c>
      <c r="U1055" s="24" t="n">
        <v>2</v>
      </c>
    </row>
    <row r="1056" customFormat="false" ht="12.75" hidden="false" customHeight="false" outlineLevel="0" collapsed="false">
      <c r="A1056" s="15" t="s">
        <v>3489</v>
      </c>
      <c r="B1056" s="15" t="s">
        <v>600</v>
      </c>
      <c r="C1056" s="15" t="s">
        <v>527</v>
      </c>
      <c r="D1056" s="15" t="s">
        <v>673</v>
      </c>
      <c r="E1056" s="15" t="s">
        <v>69</v>
      </c>
      <c r="G1056" s="10" t="n">
        <v>2</v>
      </c>
      <c r="H1056" s="21" t="n">
        <v>45985.6511921296</v>
      </c>
      <c r="I1056" s="15" t="s">
        <v>3490</v>
      </c>
      <c r="J1056" s="15" t="s">
        <v>3491</v>
      </c>
      <c r="K1056" s="15" t="s">
        <v>3492</v>
      </c>
      <c r="L1056" s="10" t="n">
        <f aca="false">COUNTIF($E$2:E1056,E1056)</f>
        <v>126</v>
      </c>
      <c r="M1056" s="10" t="e">
        <f aca="false">ifs(L1056=1, L1056&amp;"-"&amp; COUNTIFS($L$2:L1056,1))</f>
        <v>#NAME?</v>
      </c>
      <c r="O1056" s="10"/>
      <c r="P1056" s="22" t="n">
        <f aca="false">COUNTIFS(C:C,C1056,N:N,"Đã xác nhận")/COUNTIFS(C:C,C1056)</f>
        <v>0</v>
      </c>
      <c r="Q1056" s="22"/>
      <c r="R1056" s="0" t="s">
        <v>675</v>
      </c>
      <c r="S1056" s="0" t="s">
        <v>535</v>
      </c>
      <c r="U1056" s="24" t="n">
        <v>2</v>
      </c>
    </row>
    <row r="1057" customFormat="false" ht="12.75" hidden="false" customHeight="false" outlineLevel="0" collapsed="false">
      <c r="A1057" s="15" t="s">
        <v>3493</v>
      </c>
      <c r="B1057" s="15" t="s">
        <v>600</v>
      </c>
      <c r="C1057" s="15" t="s">
        <v>527</v>
      </c>
      <c r="D1057" s="15" t="s">
        <v>673</v>
      </c>
      <c r="E1057" s="15" t="s">
        <v>33</v>
      </c>
      <c r="G1057" s="10" t="n">
        <v>2</v>
      </c>
      <c r="H1057" s="21" t="n">
        <v>45985.6512847222</v>
      </c>
      <c r="I1057" s="15" t="s">
        <v>3490</v>
      </c>
      <c r="J1057" s="15" t="s">
        <v>3494</v>
      </c>
      <c r="K1057" s="15" t="s">
        <v>3495</v>
      </c>
      <c r="L1057" s="10" t="n">
        <f aca="false">COUNTIF($E$2:E1057,E1057)</f>
        <v>101</v>
      </c>
      <c r="M1057" s="10" t="e">
        <f aca="false">ifs(L1057=1, L1057&amp;"-"&amp; COUNTIFS($L$2:L1057,1))</f>
        <v>#NAME?</v>
      </c>
      <c r="O1057" s="10"/>
      <c r="P1057" s="22" t="n">
        <f aca="false">COUNTIFS(C:C,C1057,N:N,"Đã xác nhận")/COUNTIFS(C:C,C1057)</f>
        <v>0</v>
      </c>
      <c r="Q1057" s="22"/>
      <c r="R1057" s="0" t="s">
        <v>675</v>
      </c>
      <c r="S1057" s="0" t="s">
        <v>536</v>
      </c>
      <c r="U1057" s="24" t="n">
        <v>2</v>
      </c>
    </row>
    <row r="1058" customFormat="false" ht="12.75" hidden="false" customHeight="false" outlineLevel="0" collapsed="false">
      <c r="A1058" s="15" t="s">
        <v>3496</v>
      </c>
      <c r="B1058" s="15" t="s">
        <v>600</v>
      </c>
      <c r="C1058" s="15" t="s">
        <v>527</v>
      </c>
      <c r="D1058" s="15" t="s">
        <v>673</v>
      </c>
      <c r="E1058" s="15" t="s">
        <v>77</v>
      </c>
      <c r="G1058" s="10" t="n">
        <v>2</v>
      </c>
      <c r="H1058" s="21" t="n">
        <v>45985.6514467593</v>
      </c>
      <c r="I1058" s="15" t="s">
        <v>3490</v>
      </c>
      <c r="J1058" s="15" t="s">
        <v>3497</v>
      </c>
      <c r="K1058" s="15" t="s">
        <v>3498</v>
      </c>
      <c r="L1058" s="10" t="n">
        <f aca="false">COUNTIF($E$2:E1058,E1058)</f>
        <v>38</v>
      </c>
      <c r="M1058" s="10" t="e">
        <f aca="false">ifs(L1058=1, L1058&amp;"-"&amp; COUNTIFS($L$2:L1058,1))</f>
        <v>#NAME?</v>
      </c>
      <c r="O1058" s="10"/>
      <c r="P1058" s="22" t="n">
        <f aca="false">COUNTIFS(C:C,C1058,N:N,"Đã xác nhận")/COUNTIFS(C:C,C1058)</f>
        <v>0</v>
      </c>
      <c r="Q1058" s="22"/>
      <c r="R1058" s="0" t="s">
        <v>675</v>
      </c>
      <c r="S1058" s="0" t="s">
        <v>78</v>
      </c>
      <c r="U1058" s="24" t="n">
        <v>2</v>
      </c>
    </row>
    <row r="1059" customFormat="false" ht="12.75" hidden="false" customHeight="false" outlineLevel="0" collapsed="false">
      <c r="A1059" s="15" t="s">
        <v>3499</v>
      </c>
      <c r="B1059" s="15" t="s">
        <v>600</v>
      </c>
      <c r="C1059" s="15" t="s">
        <v>527</v>
      </c>
      <c r="D1059" s="15" t="s">
        <v>766</v>
      </c>
      <c r="E1059" s="15" t="s">
        <v>69</v>
      </c>
      <c r="G1059" s="10" t="n">
        <v>1</v>
      </c>
      <c r="H1059" s="21" t="n">
        <v>45985.6516782407</v>
      </c>
      <c r="I1059" s="15" t="s">
        <v>3490</v>
      </c>
      <c r="J1059" s="15" t="s">
        <v>3500</v>
      </c>
      <c r="K1059" s="15" t="s">
        <v>3501</v>
      </c>
      <c r="L1059" s="10" t="n">
        <f aca="false">COUNTIF($E$2:E1059,E1059)</f>
        <v>127</v>
      </c>
      <c r="M1059" s="10" t="e">
        <f aca="false">ifs(L1059=1, L1059&amp;"-"&amp; COUNTIFS($L$2:L1059,1))</f>
        <v>#NAME?</v>
      </c>
      <c r="O1059" s="10"/>
      <c r="P1059" s="22" t="n">
        <f aca="false">COUNTIFS(C:C,C1059,N:N,"Đã xác nhận")/COUNTIFS(C:C,C1059)</f>
        <v>0</v>
      </c>
      <c r="Q1059" s="22"/>
      <c r="R1059" s="0" t="s">
        <v>768</v>
      </c>
      <c r="S1059" s="0" t="s">
        <v>535</v>
      </c>
      <c r="U1059" s="24" t="n">
        <v>1</v>
      </c>
    </row>
    <row r="1060" customFormat="false" ht="12.75" hidden="false" customHeight="false" outlineLevel="0" collapsed="false">
      <c r="A1060" s="15" t="s">
        <v>3502</v>
      </c>
      <c r="B1060" s="15"/>
      <c r="C1060" s="15"/>
      <c r="D1060" s="15"/>
      <c r="E1060" s="15"/>
      <c r="G1060" s="10" t="n">
        <v>0</v>
      </c>
      <c r="H1060" s="21" t="n">
        <v>46036.4459027778</v>
      </c>
      <c r="I1060" s="15" t="s">
        <v>3503</v>
      </c>
      <c r="J1060" s="15" t="s">
        <v>695</v>
      </c>
      <c r="K1060" s="15" t="s">
        <v>3504</v>
      </c>
      <c r="L1060" s="10" t="n">
        <f aca="false">COUNTIF($E$2:E1060,E1060)</f>
        <v>0</v>
      </c>
      <c r="M1060" s="10" t="e">
        <f aca="false">ifs(L1060=1, L1060&amp;"-"&amp; COUNTIFS($L$2:L1060,1))</f>
        <v>#NAME?</v>
      </c>
      <c r="O1060" s="10"/>
      <c r="P1060" s="22" t="e">
        <f aca="false">COUNTIFS(C:C,C1060,N:N,"Đã xác nhận")/COUNTIFS(C:C,C1060)</f>
        <v>#DIV/0!</v>
      </c>
      <c r="Q1060" s="22"/>
      <c r="R1060" s="0" t="e">
        <f aca="false">#VALUE!</f>
        <v>#VALUE!</v>
      </c>
      <c r="S1060" s="0" t="e">
        <f aca="false">#VALUE!</f>
        <v>#VALUE!</v>
      </c>
      <c r="U1060" s="24" t="n">
        <v>0</v>
      </c>
    </row>
    <row r="1061" customFormat="false" ht="12.75" hidden="false" customHeight="false" outlineLevel="0" collapsed="false">
      <c r="A1061" s="15" t="s">
        <v>3505</v>
      </c>
      <c r="B1061" s="15" t="s">
        <v>600</v>
      </c>
      <c r="C1061" s="15" t="s">
        <v>528</v>
      </c>
      <c r="D1061" s="15" t="s">
        <v>673</v>
      </c>
      <c r="E1061" s="15" t="s">
        <v>69</v>
      </c>
      <c r="G1061" s="10" t="n">
        <v>2</v>
      </c>
      <c r="H1061" s="21" t="n">
        <v>46057.4162384259</v>
      </c>
      <c r="I1061" s="15" t="s">
        <v>3506</v>
      </c>
      <c r="J1061" s="15" t="s">
        <v>3506</v>
      </c>
      <c r="K1061" s="15"/>
      <c r="L1061" s="10" t="n">
        <f aca="false">COUNTIF($E$2:E1061,E1061)</f>
        <v>128</v>
      </c>
      <c r="M1061" s="10" t="e">
        <f aca="false">ifs(L1061=1, L1061&amp;"-"&amp; COUNTIFS($L$2:L1061,1))</f>
        <v>#NAME?</v>
      </c>
      <c r="N1061" s="15" t="s">
        <v>603</v>
      </c>
      <c r="O1061" s="10"/>
      <c r="P1061" s="22" t="n">
        <f aca="false">COUNTIFS(C:C,C1061,N:N,"Đã xác nhận")/COUNTIFS(C:C,C1061)</f>
        <v>1</v>
      </c>
      <c r="Q1061" s="22"/>
      <c r="R1061" s="0" t="s">
        <v>675</v>
      </c>
      <c r="S1061" s="0" t="s">
        <v>535</v>
      </c>
      <c r="U1061" s="24" t="n">
        <v>2</v>
      </c>
    </row>
    <row r="1062" customFormat="false" ht="12.75" hidden="false" customHeight="false" outlineLevel="0" collapsed="false">
      <c r="A1062" s="15" t="s">
        <v>3507</v>
      </c>
      <c r="B1062" s="15" t="s">
        <v>600</v>
      </c>
      <c r="C1062" s="15" t="s">
        <v>528</v>
      </c>
      <c r="D1062" s="15" t="s">
        <v>673</v>
      </c>
      <c r="E1062" s="15" t="s">
        <v>33</v>
      </c>
      <c r="G1062" s="10" t="n">
        <v>2</v>
      </c>
      <c r="H1062" s="21" t="n">
        <v>46057.4159375</v>
      </c>
      <c r="I1062" s="15" t="s">
        <v>3508</v>
      </c>
      <c r="J1062" s="15" t="s">
        <v>3508</v>
      </c>
      <c r="K1062" s="15"/>
      <c r="L1062" s="10" t="n">
        <f aca="false">COUNTIF($E$2:E1062,E1062)</f>
        <v>102</v>
      </c>
      <c r="M1062" s="10" t="e">
        <f aca="false">ifs(L1062=1, L1062&amp;"-"&amp; COUNTIFS($L$2:L1062,1))</f>
        <v>#NAME?</v>
      </c>
      <c r="N1062" s="15" t="s">
        <v>603</v>
      </c>
      <c r="O1062" s="10"/>
      <c r="P1062" s="22" t="n">
        <f aca="false">COUNTIFS(C:C,C1062,N:N,"Đã xác nhận")/COUNTIFS(C:C,C1062)</f>
        <v>1</v>
      </c>
      <c r="Q1062" s="22"/>
      <c r="R1062" s="0" t="s">
        <v>675</v>
      </c>
      <c r="S1062" s="0" t="s">
        <v>536</v>
      </c>
      <c r="U1062" s="24" t="n">
        <v>2</v>
      </c>
    </row>
    <row r="1063" customFormat="false" ht="12.75" hidden="false" customHeight="false" outlineLevel="0" collapsed="false">
      <c r="A1063" s="15" t="s">
        <v>3509</v>
      </c>
      <c r="B1063" s="15" t="s">
        <v>600</v>
      </c>
      <c r="C1063" s="15" t="s">
        <v>528</v>
      </c>
      <c r="D1063" s="15" t="s">
        <v>673</v>
      </c>
      <c r="E1063" s="15" t="s">
        <v>77</v>
      </c>
      <c r="G1063" s="10" t="n">
        <v>2</v>
      </c>
      <c r="H1063" s="21" t="n">
        <v>46057.4165625</v>
      </c>
      <c r="I1063" s="15" t="s">
        <v>3510</v>
      </c>
      <c r="J1063" s="15" t="s">
        <v>3510</v>
      </c>
      <c r="K1063" s="15"/>
      <c r="L1063" s="10" t="n">
        <f aca="false">COUNTIF($E$2:E1063,E1063)</f>
        <v>39</v>
      </c>
      <c r="M1063" s="10" t="e">
        <f aca="false">ifs(L1063=1, L1063&amp;"-"&amp; COUNTIFS($L$2:L1063,1))</f>
        <v>#NAME?</v>
      </c>
      <c r="N1063" s="15" t="s">
        <v>603</v>
      </c>
      <c r="O1063" s="10"/>
      <c r="P1063" s="22" t="n">
        <f aca="false">COUNTIFS(C:C,C1063,N:N,"Đã xác nhận")/COUNTIFS(C:C,C1063)</f>
        <v>1</v>
      </c>
      <c r="Q1063" s="22"/>
      <c r="R1063" s="0" t="s">
        <v>675</v>
      </c>
      <c r="S1063" s="0" t="s">
        <v>78</v>
      </c>
      <c r="U1063" s="24" t="n">
        <v>2</v>
      </c>
    </row>
    <row r="1064" customFormat="false" ht="12.75" hidden="false" customHeight="false" outlineLevel="0" collapsed="false">
      <c r="A1064" s="15" t="s">
        <v>3511</v>
      </c>
      <c r="B1064" s="15" t="s">
        <v>600</v>
      </c>
      <c r="C1064" s="15" t="s">
        <v>528</v>
      </c>
      <c r="D1064" s="15" t="s">
        <v>766</v>
      </c>
      <c r="E1064" s="15" t="s">
        <v>69</v>
      </c>
      <c r="G1064" s="10" t="n">
        <v>2</v>
      </c>
      <c r="H1064" s="21" t="n">
        <v>46057.4162384259</v>
      </c>
      <c r="I1064" s="15" t="s">
        <v>3512</v>
      </c>
      <c r="J1064" s="15" t="s">
        <v>3512</v>
      </c>
      <c r="K1064" s="15"/>
      <c r="L1064" s="10" t="n">
        <f aca="false">COUNTIF($E$2:E1064,E1064)</f>
        <v>129</v>
      </c>
      <c r="M1064" s="10" t="e">
        <f aca="false">ifs(L1064=1, L1064&amp;"-"&amp; COUNTIFS($L$2:L1064,1))</f>
        <v>#NAME?</v>
      </c>
      <c r="N1064" s="15" t="s">
        <v>603</v>
      </c>
      <c r="O1064" s="10"/>
      <c r="P1064" s="22" t="n">
        <f aca="false">COUNTIFS(C:C,C1064,N:N,"Đã xác nhận")/COUNTIFS(C:C,C1064)</f>
        <v>1</v>
      </c>
      <c r="Q1064" s="22"/>
      <c r="R1064" s="0" t="s">
        <v>768</v>
      </c>
      <c r="S1064" s="0" t="s">
        <v>535</v>
      </c>
      <c r="U1064" s="24" t="n">
        <v>2</v>
      </c>
    </row>
    <row r="1065" customFormat="false" ht="12.75" hidden="false" customHeight="false" outlineLevel="0" collapsed="false">
      <c r="A1065" s="15" t="s">
        <v>3513</v>
      </c>
      <c r="B1065" s="15"/>
      <c r="C1065" s="15"/>
      <c r="D1065" s="15"/>
      <c r="E1065" s="15"/>
      <c r="G1065" s="10" t="n">
        <v>0</v>
      </c>
      <c r="H1065" s="21" t="n">
        <v>46036.4529398148</v>
      </c>
      <c r="I1065" s="15" t="s">
        <v>3514</v>
      </c>
      <c r="J1065" s="15" t="s">
        <v>695</v>
      </c>
      <c r="K1065" s="15" t="s">
        <v>3515</v>
      </c>
      <c r="L1065" s="10" t="n">
        <f aca="false">COUNTIF($E$2:E1065,E1065)</f>
        <v>0</v>
      </c>
      <c r="M1065" s="10" t="e">
        <f aca="false">ifs(L1065=1, L1065&amp;"-"&amp; COUNTIFS($L$2:L1065,1))</f>
        <v>#NAME?</v>
      </c>
      <c r="O1065" s="10"/>
      <c r="P1065" s="22" t="e">
        <f aca="false">COUNTIFS(C:C,C1065,N:N,"Đã xác nhận")/COUNTIFS(C:C,C1065)</f>
        <v>#DIV/0!</v>
      </c>
      <c r="Q1065" s="22"/>
      <c r="R1065" s="0" t="e">
        <f aca="false">#VALUE!</f>
        <v>#VALUE!</v>
      </c>
      <c r="S1065" s="0" t="e">
        <f aca="false">#VALUE!</f>
        <v>#VALUE!</v>
      </c>
      <c r="U1065" s="24" t="n">
        <v>0</v>
      </c>
    </row>
    <row r="1066" customFormat="false" ht="12.75" hidden="false" customHeight="false" outlineLevel="0" collapsed="false">
      <c r="A1066" s="15" t="s">
        <v>3516</v>
      </c>
      <c r="B1066" s="15" t="s">
        <v>600</v>
      </c>
      <c r="C1066" s="15" t="s">
        <v>530</v>
      </c>
      <c r="D1066" s="15" t="s">
        <v>673</v>
      </c>
      <c r="E1066" s="15" t="s">
        <v>69</v>
      </c>
      <c r="G1066" s="10" t="n">
        <v>2</v>
      </c>
      <c r="H1066" s="21" t="n">
        <v>45985.6529050926</v>
      </c>
      <c r="I1066" s="15" t="s">
        <v>3517</v>
      </c>
      <c r="J1066" s="15" t="s">
        <v>3518</v>
      </c>
      <c r="K1066" s="15" t="s">
        <v>3519</v>
      </c>
      <c r="L1066" s="10" t="n">
        <f aca="false">COUNTIF($E$2:E1066,E1066)</f>
        <v>130</v>
      </c>
      <c r="M1066" s="10" t="e">
        <f aca="false">ifs(L1066=1, L1066&amp;"-"&amp; COUNTIFS($L$2:L1066,1))</f>
        <v>#NAME?</v>
      </c>
      <c r="O1066" s="10"/>
      <c r="P1066" s="22" t="n">
        <f aca="false">COUNTIFS(C:C,C1066,N:N,"Đã xác nhận")/COUNTIFS(C:C,C1066)</f>
        <v>0</v>
      </c>
      <c r="Q1066" s="22"/>
      <c r="R1066" s="0" t="s">
        <v>675</v>
      </c>
      <c r="S1066" s="0" t="s">
        <v>535</v>
      </c>
      <c r="U1066" s="24" t="n">
        <v>2</v>
      </c>
    </row>
    <row r="1067" customFormat="false" ht="12.75" hidden="false" customHeight="false" outlineLevel="0" collapsed="false">
      <c r="A1067" s="15" t="s">
        <v>3520</v>
      </c>
      <c r="B1067" s="15" t="s">
        <v>600</v>
      </c>
      <c r="C1067" s="15" t="s">
        <v>530</v>
      </c>
      <c r="D1067" s="15" t="s">
        <v>673</v>
      </c>
      <c r="E1067" s="15" t="s">
        <v>33</v>
      </c>
      <c r="G1067" s="10" t="n">
        <v>2</v>
      </c>
      <c r="H1067" s="21" t="n">
        <v>45985.6529861111</v>
      </c>
      <c r="I1067" s="15" t="s">
        <v>3517</v>
      </c>
      <c r="J1067" s="15" t="s">
        <v>3521</v>
      </c>
      <c r="K1067" s="15" t="s">
        <v>3522</v>
      </c>
      <c r="L1067" s="10" t="n">
        <f aca="false">COUNTIF($E$2:E1067,E1067)</f>
        <v>103</v>
      </c>
      <c r="M1067" s="10" t="e">
        <f aca="false">ifs(L1067=1, L1067&amp;"-"&amp; COUNTIFS($L$2:L1067,1))</f>
        <v>#NAME?</v>
      </c>
      <c r="O1067" s="10"/>
      <c r="P1067" s="22" t="n">
        <f aca="false">COUNTIFS(C:C,C1067,N:N,"Đã xác nhận")/COUNTIFS(C:C,C1067)</f>
        <v>0</v>
      </c>
      <c r="Q1067" s="22"/>
      <c r="R1067" s="0" t="s">
        <v>675</v>
      </c>
      <c r="S1067" s="0" t="s">
        <v>536</v>
      </c>
      <c r="U1067" s="24" t="n">
        <v>2</v>
      </c>
    </row>
    <row r="1068" customFormat="false" ht="12.75" hidden="false" customHeight="false" outlineLevel="0" collapsed="false">
      <c r="A1068" s="15" t="s">
        <v>3523</v>
      </c>
      <c r="B1068" s="15" t="s">
        <v>600</v>
      </c>
      <c r="C1068" s="15" t="s">
        <v>530</v>
      </c>
      <c r="D1068" s="15" t="s">
        <v>673</v>
      </c>
      <c r="E1068" s="15" t="s">
        <v>77</v>
      </c>
      <c r="G1068" s="10" t="n">
        <v>2</v>
      </c>
      <c r="H1068" s="21" t="n">
        <v>45985.6530902778</v>
      </c>
      <c r="I1068" s="15" t="s">
        <v>3517</v>
      </c>
      <c r="J1068" s="15" t="s">
        <v>3524</v>
      </c>
      <c r="K1068" s="15" t="s">
        <v>3525</v>
      </c>
      <c r="L1068" s="10" t="n">
        <f aca="false">COUNTIF($E$2:E1068,E1068)</f>
        <v>40</v>
      </c>
      <c r="M1068" s="10" t="e">
        <f aca="false">ifs(L1068=1, L1068&amp;"-"&amp; COUNTIFS($L$2:L1068,1))</f>
        <v>#NAME?</v>
      </c>
      <c r="O1068" s="10"/>
      <c r="P1068" s="22" t="n">
        <f aca="false">COUNTIFS(C:C,C1068,N:N,"Đã xác nhận")/COUNTIFS(C:C,C1068)</f>
        <v>0</v>
      </c>
      <c r="Q1068" s="22"/>
      <c r="R1068" s="0" t="s">
        <v>675</v>
      </c>
      <c r="S1068" s="0" t="s">
        <v>78</v>
      </c>
      <c r="U1068" s="24" t="n">
        <v>2</v>
      </c>
    </row>
    <row r="1069" customFormat="false" ht="12.75" hidden="false" customHeight="false" outlineLevel="0" collapsed="false">
      <c r="A1069" s="15" t="s">
        <v>3526</v>
      </c>
      <c r="B1069" s="15" t="s">
        <v>600</v>
      </c>
      <c r="C1069" s="15" t="s">
        <v>530</v>
      </c>
      <c r="D1069" s="15" t="s">
        <v>766</v>
      </c>
      <c r="E1069" s="15" t="s">
        <v>69</v>
      </c>
      <c r="G1069" s="10" t="n">
        <v>1</v>
      </c>
      <c r="H1069" s="21" t="n">
        <v>45985.6532407407</v>
      </c>
      <c r="I1069" s="15" t="s">
        <v>3517</v>
      </c>
      <c r="J1069" s="15" t="s">
        <v>3527</v>
      </c>
      <c r="K1069" s="15" t="s">
        <v>3528</v>
      </c>
      <c r="L1069" s="10" t="n">
        <f aca="false">COUNTIF($E$2:E1069,E1069)</f>
        <v>131</v>
      </c>
      <c r="M1069" s="10" t="e">
        <f aca="false">ifs(L1069=1, L1069&amp;"-"&amp; COUNTIFS($L$2:L1069,1))</f>
        <v>#NAME?</v>
      </c>
      <c r="O1069" s="10"/>
      <c r="P1069" s="22" t="n">
        <f aca="false">COUNTIFS(C:C,C1069,N:N,"Đã xác nhận")/COUNTIFS(C:C,C1069)</f>
        <v>0</v>
      </c>
      <c r="Q1069" s="22"/>
      <c r="R1069" s="0" t="s">
        <v>768</v>
      </c>
      <c r="S1069" s="0" t="s">
        <v>535</v>
      </c>
      <c r="U1069" s="24" t="n">
        <v>1</v>
      </c>
    </row>
    <row r="1070" customFormat="false" ht="12.75" hidden="false" customHeight="false" outlineLevel="0" collapsed="false">
      <c r="A1070" s="15" t="s">
        <v>3529</v>
      </c>
      <c r="B1070" s="15" t="s">
        <v>600</v>
      </c>
      <c r="C1070" s="15" t="s">
        <v>530</v>
      </c>
      <c r="D1070" s="15" t="s">
        <v>766</v>
      </c>
      <c r="E1070" s="15" t="s">
        <v>33</v>
      </c>
      <c r="G1070" s="10" t="n">
        <v>1</v>
      </c>
      <c r="H1070" s="21" t="n">
        <v>45985.6533680556</v>
      </c>
      <c r="I1070" s="15" t="s">
        <v>3517</v>
      </c>
      <c r="J1070" s="15" t="s">
        <v>3530</v>
      </c>
      <c r="K1070" s="15" t="s">
        <v>3531</v>
      </c>
      <c r="L1070" s="10" t="n">
        <f aca="false">COUNTIF($E$2:E1070,E1070)</f>
        <v>104</v>
      </c>
      <c r="M1070" s="10" t="e">
        <f aca="false">ifs(L1070=1, L1070&amp;"-"&amp; COUNTIFS($L$2:L1070,1))</f>
        <v>#NAME?</v>
      </c>
      <c r="O1070" s="10"/>
      <c r="P1070" s="22" t="n">
        <f aca="false">COUNTIFS(C:C,C1070,N:N,"Đã xác nhận")/COUNTIFS(C:C,C1070)</f>
        <v>0</v>
      </c>
      <c r="Q1070" s="22"/>
      <c r="R1070" s="0" t="s">
        <v>768</v>
      </c>
      <c r="S1070" s="0" t="s">
        <v>536</v>
      </c>
      <c r="U1070" s="24" t="n">
        <v>1</v>
      </c>
    </row>
    <row r="1071" customFormat="false" ht="12.75" hidden="false" customHeight="false" outlineLevel="0" collapsed="false">
      <c r="A1071" s="15" t="s">
        <v>3532</v>
      </c>
      <c r="B1071" s="15" t="s">
        <v>2852</v>
      </c>
      <c r="C1071" s="15" t="s">
        <v>500</v>
      </c>
      <c r="D1071" s="15" t="s">
        <v>2796</v>
      </c>
      <c r="E1071" s="15" t="s">
        <v>47</v>
      </c>
      <c r="G1071" s="10" t="n">
        <v>1</v>
      </c>
      <c r="H1071" s="21" t="n">
        <v>46044.6899652778</v>
      </c>
      <c r="I1071" s="15" t="s">
        <v>3533</v>
      </c>
      <c r="J1071" s="15" t="s">
        <v>3533</v>
      </c>
      <c r="K1071" s="15"/>
      <c r="L1071" s="10" t="n">
        <f aca="false">COUNTIF($E$2:E1071,E1071)</f>
        <v>55</v>
      </c>
      <c r="M1071" s="10" t="e">
        <f aca="false">ifs(L1071=1, L1071&amp;"-"&amp; COUNTIFS($L$2:L1071,1))</f>
        <v>#NAME?</v>
      </c>
      <c r="N1071" s="15" t="s">
        <v>603</v>
      </c>
      <c r="O1071" s="10"/>
      <c r="P1071" s="22" t="n">
        <f aca="false">COUNTIFS(C:C,C1071,N:N,"Đã xác nhận")/COUNTIFS(C:C,C1071)</f>
        <v>1</v>
      </c>
      <c r="Q1071" s="22"/>
      <c r="R1071" s="0" t="s">
        <v>2798</v>
      </c>
      <c r="S1071" s="0" t="s">
        <v>549</v>
      </c>
      <c r="U1071" s="24" t="n">
        <v>1</v>
      </c>
    </row>
    <row r="1072" customFormat="false" ht="12.75" hidden="false" customHeight="false" outlineLevel="0" collapsed="false">
      <c r="A1072" s="15" t="s">
        <v>3534</v>
      </c>
      <c r="B1072" s="15" t="s">
        <v>2852</v>
      </c>
      <c r="C1072" s="15" t="s">
        <v>500</v>
      </c>
      <c r="D1072" s="15" t="s">
        <v>766</v>
      </c>
      <c r="E1072" s="15" t="s">
        <v>69</v>
      </c>
      <c r="G1072" s="10" t="n">
        <v>1</v>
      </c>
      <c r="H1072" s="21" t="n">
        <v>46044.6894907407</v>
      </c>
      <c r="I1072" s="15" t="s">
        <v>3535</v>
      </c>
      <c r="J1072" s="15" t="s">
        <v>3535</v>
      </c>
      <c r="K1072" s="15"/>
      <c r="L1072" s="10" t="n">
        <f aca="false">COUNTIF($E$2:E1072,E1072)</f>
        <v>132</v>
      </c>
      <c r="M1072" s="10" t="e">
        <f aca="false">ifs(L1072=1, L1072&amp;"-"&amp; COUNTIFS($L$2:L1072,1))</f>
        <v>#NAME?</v>
      </c>
      <c r="N1072" s="15" t="s">
        <v>603</v>
      </c>
      <c r="O1072" s="10"/>
      <c r="P1072" s="22" t="n">
        <f aca="false">COUNTIFS(C:C,C1072,N:N,"Đã xác nhận")/COUNTIFS(C:C,C1072)</f>
        <v>1</v>
      </c>
      <c r="Q1072" s="22"/>
      <c r="R1072" s="0" t="s">
        <v>768</v>
      </c>
      <c r="S1072" s="0" t="s">
        <v>535</v>
      </c>
      <c r="U1072" s="24" t="n">
        <v>1</v>
      </c>
    </row>
    <row r="1073" customFormat="false" ht="12.75" hidden="false" customHeight="false" outlineLevel="0" collapsed="false">
      <c r="A1073" s="15" t="s">
        <v>3536</v>
      </c>
      <c r="B1073" s="15" t="s">
        <v>2852</v>
      </c>
      <c r="C1073" s="15" t="s">
        <v>500</v>
      </c>
      <c r="D1073" s="15" t="s">
        <v>766</v>
      </c>
      <c r="E1073" s="15" t="s">
        <v>33</v>
      </c>
      <c r="G1073" s="10" t="n">
        <v>2</v>
      </c>
      <c r="H1073" s="21" t="n">
        <v>46044.689375</v>
      </c>
      <c r="I1073" s="15" t="s">
        <v>3537</v>
      </c>
      <c r="J1073" s="15" t="s">
        <v>3537</v>
      </c>
      <c r="K1073" s="15"/>
      <c r="L1073" s="10" t="n">
        <f aca="false">COUNTIF($E$2:E1073,E1073)</f>
        <v>105</v>
      </c>
      <c r="M1073" s="10" t="e">
        <f aca="false">ifs(L1073=1, L1073&amp;"-"&amp; COUNTIFS($L$2:L1073,1))</f>
        <v>#NAME?</v>
      </c>
      <c r="N1073" s="15" t="s">
        <v>603</v>
      </c>
      <c r="O1073" s="10"/>
      <c r="P1073" s="22" t="n">
        <f aca="false">COUNTIFS(C:C,C1073,N:N,"Đã xác nhận")/COUNTIFS(C:C,C1073)</f>
        <v>1</v>
      </c>
      <c r="Q1073" s="22"/>
      <c r="R1073" s="0" t="s">
        <v>768</v>
      </c>
      <c r="S1073" s="0" t="s">
        <v>536</v>
      </c>
      <c r="U1073" s="24" t="n">
        <v>2</v>
      </c>
    </row>
    <row r="1074" customFormat="false" ht="12.75" hidden="false" customHeight="false" outlineLevel="0" collapsed="false">
      <c r="A1074" s="15" t="s">
        <v>3538</v>
      </c>
      <c r="B1074" s="15" t="s">
        <v>600</v>
      </c>
      <c r="C1074" s="15" t="s">
        <v>451</v>
      </c>
      <c r="D1074" s="15" t="s">
        <v>673</v>
      </c>
      <c r="E1074" s="15" t="s">
        <v>69</v>
      </c>
      <c r="G1074" s="10" t="n">
        <v>2</v>
      </c>
      <c r="H1074" s="21" t="n">
        <v>45985.6577083333</v>
      </c>
      <c r="I1074" s="15" t="s">
        <v>3539</v>
      </c>
      <c r="J1074" s="15" t="s">
        <v>3540</v>
      </c>
      <c r="K1074" s="15" t="s">
        <v>3541</v>
      </c>
      <c r="L1074" s="10" t="n">
        <f aca="false">COUNTIF($E$2:E1074,E1074)</f>
        <v>133</v>
      </c>
      <c r="M1074" s="10" t="e">
        <f aca="false">ifs(L1074=1, L1074&amp;"-"&amp; COUNTIFS($L$2:L1074,1))</f>
        <v>#NAME?</v>
      </c>
      <c r="O1074" s="10"/>
      <c r="P1074" s="22" t="n">
        <f aca="false">COUNTIFS(C:C,C1074,N:N,"Đã xác nhận")/COUNTIFS(C:C,C1074)</f>
        <v>0</v>
      </c>
      <c r="Q1074" s="22"/>
      <c r="R1074" s="0" t="s">
        <v>675</v>
      </c>
      <c r="S1074" s="0" t="s">
        <v>535</v>
      </c>
      <c r="U1074" s="24" t="n">
        <v>2</v>
      </c>
    </row>
    <row r="1075" customFormat="false" ht="12.75" hidden="false" customHeight="false" outlineLevel="0" collapsed="false">
      <c r="A1075" s="15" t="s">
        <v>3542</v>
      </c>
      <c r="B1075" s="15" t="s">
        <v>600</v>
      </c>
      <c r="C1075" s="15" t="s">
        <v>451</v>
      </c>
      <c r="D1075" s="15" t="s">
        <v>673</v>
      </c>
      <c r="E1075" s="15" t="s">
        <v>33</v>
      </c>
      <c r="G1075" s="10" t="n">
        <v>2</v>
      </c>
      <c r="H1075" s="21" t="n">
        <v>45985.6578240741</v>
      </c>
      <c r="I1075" s="15" t="s">
        <v>3539</v>
      </c>
      <c r="J1075" s="15" t="s">
        <v>3543</v>
      </c>
      <c r="K1075" s="15" t="s">
        <v>3544</v>
      </c>
      <c r="L1075" s="10" t="n">
        <f aca="false">COUNTIF($E$2:E1075,E1075)</f>
        <v>106</v>
      </c>
      <c r="M1075" s="10" t="e">
        <f aca="false">ifs(L1075=1, L1075&amp;"-"&amp; COUNTIFS($L$2:L1075,1))</f>
        <v>#NAME?</v>
      </c>
      <c r="O1075" s="10"/>
      <c r="P1075" s="22" t="n">
        <f aca="false">COUNTIFS(C:C,C1075,N:N,"Đã xác nhận")/COUNTIFS(C:C,C1075)</f>
        <v>0</v>
      </c>
      <c r="Q1075" s="22"/>
      <c r="R1075" s="0" t="s">
        <v>675</v>
      </c>
      <c r="S1075" s="0" t="s">
        <v>536</v>
      </c>
      <c r="U1075" s="24" t="n">
        <v>2</v>
      </c>
    </row>
    <row r="1076" customFormat="false" ht="12.75" hidden="false" customHeight="false" outlineLevel="0" collapsed="false">
      <c r="A1076" s="15" t="s">
        <v>3545</v>
      </c>
      <c r="B1076" s="15" t="s">
        <v>600</v>
      </c>
      <c r="C1076" s="15" t="s">
        <v>451</v>
      </c>
      <c r="D1076" s="15" t="s">
        <v>673</v>
      </c>
      <c r="E1076" s="15" t="s">
        <v>77</v>
      </c>
      <c r="G1076" s="10" t="n">
        <v>2</v>
      </c>
      <c r="H1076" s="21" t="n">
        <v>45985.658125</v>
      </c>
      <c r="I1076" s="15" t="s">
        <v>3539</v>
      </c>
      <c r="J1076" s="15" t="s">
        <v>3546</v>
      </c>
      <c r="K1076" s="15" t="s">
        <v>3547</v>
      </c>
      <c r="L1076" s="10" t="n">
        <f aca="false">COUNTIF($E$2:E1076,E1076)</f>
        <v>41</v>
      </c>
      <c r="M1076" s="10" t="e">
        <f aca="false">ifs(L1076=1, L1076&amp;"-"&amp; COUNTIFS($L$2:L1076,1))</f>
        <v>#NAME?</v>
      </c>
      <c r="O1076" s="10"/>
      <c r="P1076" s="22" t="n">
        <f aca="false">COUNTIFS(C:C,C1076,N:N,"Đã xác nhận")/COUNTIFS(C:C,C1076)</f>
        <v>0</v>
      </c>
      <c r="Q1076" s="22"/>
      <c r="R1076" s="0" t="s">
        <v>675</v>
      </c>
      <c r="S1076" s="0" t="s">
        <v>78</v>
      </c>
      <c r="U1076" s="24" t="n">
        <v>2</v>
      </c>
    </row>
    <row r="1077" customFormat="false" ht="12.75" hidden="false" customHeight="false" outlineLevel="0" collapsed="false">
      <c r="A1077" s="15" t="s">
        <v>3548</v>
      </c>
      <c r="B1077" s="15" t="s">
        <v>2304</v>
      </c>
      <c r="C1077" s="15" t="s">
        <v>3549</v>
      </c>
      <c r="D1077" s="15" t="s">
        <v>611</v>
      </c>
      <c r="E1077" s="15" t="s">
        <v>69</v>
      </c>
      <c r="G1077" s="10" t="n">
        <v>1</v>
      </c>
      <c r="H1077" s="21" t="n">
        <v>45992.5709606482</v>
      </c>
      <c r="I1077" s="15" t="s">
        <v>1566</v>
      </c>
      <c r="J1077" s="15" t="s">
        <v>3550</v>
      </c>
      <c r="K1077" s="15" t="s">
        <v>3551</v>
      </c>
      <c r="L1077" s="10" t="n">
        <f aca="false">COUNTIF($E$2:E1077,E1077)</f>
        <v>134</v>
      </c>
      <c r="M1077" s="10" t="e">
        <f aca="false">ifs(L1077=1, L1077&amp;"-"&amp; COUNTIFS($L$2:L1077,1))</f>
        <v>#NAME?</v>
      </c>
      <c r="O1077" s="10"/>
      <c r="P1077" s="22" t="n">
        <f aca="false">COUNTIFS(C:C,C1077,N:N,"Đã xác nhận")/COUNTIFS(C:C,C1077)</f>
        <v>0</v>
      </c>
      <c r="Q1077" s="22"/>
      <c r="R1077" s="0" t="s">
        <v>613</v>
      </c>
      <c r="S1077" s="0" t="s">
        <v>535</v>
      </c>
      <c r="U1077" s="24" t="n">
        <v>1</v>
      </c>
    </row>
    <row r="1078" customFormat="false" ht="12.75" hidden="false" customHeight="false" outlineLevel="0" collapsed="false">
      <c r="A1078" s="15" t="s">
        <v>3552</v>
      </c>
      <c r="B1078" s="15" t="s">
        <v>2304</v>
      </c>
      <c r="C1078" s="15" t="s">
        <v>3549</v>
      </c>
      <c r="D1078" s="15" t="s">
        <v>2333</v>
      </c>
      <c r="E1078" s="15" t="s">
        <v>69</v>
      </c>
      <c r="G1078" s="10" t="n">
        <v>1</v>
      </c>
      <c r="H1078" s="21" t="n">
        <v>45992.5726851852</v>
      </c>
      <c r="I1078" s="15" t="s">
        <v>1566</v>
      </c>
      <c r="J1078" s="15" t="s">
        <v>3553</v>
      </c>
      <c r="K1078" s="15" t="s">
        <v>3554</v>
      </c>
      <c r="L1078" s="10" t="n">
        <f aca="false">COUNTIF($E$2:E1078,E1078)</f>
        <v>135</v>
      </c>
      <c r="M1078" s="10" t="e">
        <f aca="false">ifs(L1078=1, L1078&amp;"-"&amp; COUNTIFS($L$2:L1078,1))</f>
        <v>#NAME?</v>
      </c>
      <c r="O1078" s="10"/>
      <c r="P1078" s="22" t="n">
        <f aca="false">COUNTIFS(C:C,C1078,N:N,"Đã xác nhận")/COUNTIFS(C:C,C1078)</f>
        <v>0</v>
      </c>
      <c r="Q1078" s="22"/>
      <c r="R1078" s="0" t="s">
        <v>2333</v>
      </c>
      <c r="S1078" s="0" t="s">
        <v>535</v>
      </c>
      <c r="U1078" s="24" t="n">
        <v>1</v>
      </c>
    </row>
    <row r="1079" customFormat="false" ht="12.75" hidden="false" customHeight="false" outlineLevel="0" collapsed="false">
      <c r="A1079" s="15" t="s">
        <v>3555</v>
      </c>
      <c r="B1079" s="15" t="s">
        <v>2304</v>
      </c>
      <c r="C1079" s="15" t="s">
        <v>3549</v>
      </c>
      <c r="D1079" s="15" t="s">
        <v>2346</v>
      </c>
      <c r="E1079" s="15" t="s">
        <v>69</v>
      </c>
      <c r="G1079" s="10" t="n">
        <v>3</v>
      </c>
      <c r="H1079" s="21" t="n">
        <v>46009.7595486111</v>
      </c>
      <c r="I1079" s="15" t="s">
        <v>3556</v>
      </c>
      <c r="J1079" s="15" t="s">
        <v>3557</v>
      </c>
      <c r="K1079" s="15" t="s">
        <v>3558</v>
      </c>
      <c r="L1079" s="10" t="n">
        <f aca="false">COUNTIF($E$2:E1079,E1079)</f>
        <v>136</v>
      </c>
      <c r="M1079" s="10" t="e">
        <f aca="false">ifs(L1079=1, L1079&amp;"-"&amp; COUNTIFS($L$2:L1079,1))</f>
        <v>#NAME?</v>
      </c>
      <c r="O1079" s="10"/>
      <c r="P1079" s="22" t="n">
        <f aca="false">COUNTIFS(C:C,C1079,N:N,"Đã xác nhận")/COUNTIFS(C:C,C1079)</f>
        <v>0</v>
      </c>
      <c r="Q1079" s="22"/>
      <c r="R1079" s="0" t="s">
        <v>2346</v>
      </c>
      <c r="S1079" s="0" t="s">
        <v>535</v>
      </c>
      <c r="U1079" s="24" t="n">
        <v>3</v>
      </c>
    </row>
    <row r="1080" customFormat="false" ht="12.75" hidden="false" customHeight="false" outlineLevel="0" collapsed="false">
      <c r="A1080" s="15" t="s">
        <v>3559</v>
      </c>
      <c r="B1080" s="15"/>
      <c r="C1080" s="15"/>
      <c r="D1080" s="15"/>
      <c r="E1080" s="15"/>
      <c r="G1080" s="10" t="n">
        <v>0</v>
      </c>
      <c r="H1080" s="21" t="n">
        <v>46009.7631597222</v>
      </c>
      <c r="I1080" s="15" t="s">
        <v>3560</v>
      </c>
      <c r="J1080" s="15" t="s">
        <v>695</v>
      </c>
      <c r="K1080" s="15" t="s">
        <v>3561</v>
      </c>
      <c r="L1080" s="10" t="n">
        <f aca="false">COUNTIF($E$2:E1080,E1080)</f>
        <v>0</v>
      </c>
      <c r="M1080" s="10" t="e">
        <f aca="false">ifs(L1080=1, L1080&amp;"-"&amp; COUNTIFS($L$2:L1080,1))</f>
        <v>#NAME?</v>
      </c>
      <c r="N1080" s="15"/>
      <c r="O1080" s="10"/>
      <c r="P1080" s="22" t="e">
        <f aca="false">COUNTIFS(C:C,C1080,N:N,"Đã xác nhận")/COUNTIFS(C:C,C1080)</f>
        <v>#DIV/0!</v>
      </c>
      <c r="Q1080" s="22"/>
      <c r="R1080" s="0" t="e">
        <f aca="false">#VALUE!</f>
        <v>#VALUE!</v>
      </c>
      <c r="S1080" s="0" t="e">
        <f aca="false">#VALUE!</f>
        <v>#VALUE!</v>
      </c>
      <c r="U1080" s="24" t="n">
        <v>0</v>
      </c>
    </row>
    <row r="1081" customFormat="false" ht="12.75" hidden="false" customHeight="false" outlineLevel="0" collapsed="false">
      <c r="A1081" s="15" t="s">
        <v>3562</v>
      </c>
      <c r="B1081" s="15" t="s">
        <v>2304</v>
      </c>
      <c r="C1081" s="15" t="s">
        <v>3563</v>
      </c>
      <c r="D1081" s="15" t="s">
        <v>611</v>
      </c>
      <c r="E1081" s="15" t="s">
        <v>69</v>
      </c>
      <c r="G1081" s="10" t="n">
        <v>1</v>
      </c>
      <c r="H1081" s="21" t="n">
        <v>45996.6780208333</v>
      </c>
      <c r="I1081" s="15" t="s">
        <v>1566</v>
      </c>
      <c r="J1081" s="15" t="s">
        <v>3564</v>
      </c>
      <c r="K1081" s="15" t="s">
        <v>3565</v>
      </c>
      <c r="L1081" s="10" t="n">
        <f aca="false">COUNTIF($E$2:E1081,E1081)</f>
        <v>137</v>
      </c>
      <c r="M1081" s="10" t="e">
        <f aca="false">ifs(L1081=1, L1081&amp;"-"&amp; COUNTIFS($L$2:L1081,1))</f>
        <v>#NAME?</v>
      </c>
      <c r="N1081" s="15"/>
      <c r="O1081" s="10" t="n">
        <f aca="false">COUNTIFS(N:N,"Đã xác nhận",C:C,C1081)</f>
        <v>0</v>
      </c>
      <c r="P1081" s="22" t="n">
        <f aca="false">COUNTIFS(C:C,C1081,N:N,"Đã xác nhận")/COUNTIFS(C:C,C1081)</f>
        <v>0</v>
      </c>
      <c r="Q1081" s="22"/>
      <c r="R1081" s="0" t="s">
        <v>613</v>
      </c>
      <c r="S1081" s="0" t="s">
        <v>535</v>
      </c>
      <c r="U1081" s="24" t="n">
        <v>1</v>
      </c>
    </row>
    <row r="1082" customFormat="false" ht="12.75" hidden="false" customHeight="false" outlineLevel="0" collapsed="false">
      <c r="A1082" s="15" t="s">
        <v>3566</v>
      </c>
      <c r="B1082" s="15" t="s">
        <v>2687</v>
      </c>
      <c r="C1082" s="15" t="s">
        <v>476</v>
      </c>
      <c r="D1082" s="15" t="s">
        <v>2688</v>
      </c>
      <c r="E1082" s="15" t="s">
        <v>69</v>
      </c>
      <c r="G1082" s="10" t="n">
        <v>2</v>
      </c>
      <c r="H1082" s="21" t="n">
        <v>46044.6491666667</v>
      </c>
      <c r="I1082" s="15" t="s">
        <v>3567</v>
      </c>
      <c r="J1082" s="15" t="s">
        <v>3567</v>
      </c>
      <c r="K1082" s="15"/>
      <c r="L1082" s="10" t="n">
        <f aca="false">COUNTIF($E$2:E1082,E1082)</f>
        <v>138</v>
      </c>
      <c r="M1082" s="10" t="e">
        <f aca="false">ifs(L1082=1, L1082&amp;"-"&amp; COUNTIFS($L$2:L1082,1))</f>
        <v>#NAME?</v>
      </c>
      <c r="N1082" s="15" t="s">
        <v>603</v>
      </c>
      <c r="O1082" s="10" t="n">
        <f aca="false">COUNTIFS(N:N,"Đã xác nhận",C:C,C1082)</f>
        <v>4</v>
      </c>
      <c r="P1082" s="22" t="n">
        <f aca="false">COUNTIFS(C:C,C1082,N:N,"Đã xác nhận")/COUNTIFS(C:C,C1082)</f>
        <v>1</v>
      </c>
      <c r="Q1082" s="22"/>
      <c r="R1082" s="0" t="s">
        <v>2688</v>
      </c>
      <c r="S1082" s="0" t="s">
        <v>535</v>
      </c>
      <c r="U1082" s="24" t="n">
        <v>2</v>
      </c>
    </row>
    <row r="1083" customFormat="false" ht="12.75" hidden="false" customHeight="false" outlineLevel="0" collapsed="false">
      <c r="A1083" s="15" t="s">
        <v>3568</v>
      </c>
      <c r="B1083" s="15" t="s">
        <v>1103</v>
      </c>
      <c r="C1083" s="15" t="s">
        <v>505</v>
      </c>
      <c r="D1083" s="15" t="s">
        <v>1153</v>
      </c>
      <c r="E1083" s="15" t="s">
        <v>55</v>
      </c>
      <c r="G1083" s="10" t="n">
        <v>2</v>
      </c>
      <c r="H1083" s="21" t="n">
        <v>46048.6610069444</v>
      </c>
      <c r="I1083" s="15" t="s">
        <v>3569</v>
      </c>
      <c r="J1083" s="15" t="s">
        <v>3569</v>
      </c>
      <c r="K1083" s="15"/>
      <c r="L1083" s="10" t="n">
        <f aca="false">COUNTIF($E$2:E1083,E1083)</f>
        <v>96</v>
      </c>
      <c r="M1083" s="10" t="e">
        <f aca="false">ifs(L1083=1, L1083&amp;"-"&amp; COUNTIFS($L$2:L1083,1))</f>
        <v>#NAME?</v>
      </c>
      <c r="N1083" s="15" t="s">
        <v>603</v>
      </c>
      <c r="O1083" s="10" t="n">
        <f aca="false">COUNTIFS(N:N,"Đã xác nhận",C:C,C1083)</f>
        <v>18</v>
      </c>
      <c r="P1083" s="22" t="n">
        <f aca="false">COUNTIFS(C:C,C1083,N:N,"Đã xác nhận")/COUNTIFS(C:C,C1083)</f>
        <v>1</v>
      </c>
      <c r="Q1083" s="22"/>
      <c r="R1083" s="0" t="s">
        <v>1155</v>
      </c>
      <c r="S1083" s="0" t="s">
        <v>539</v>
      </c>
      <c r="U1083" s="24" t="n">
        <v>2</v>
      </c>
    </row>
    <row r="1084" customFormat="false" ht="12.75" hidden="false" customHeight="false" outlineLevel="0" collapsed="false">
      <c r="A1084" s="15" t="s">
        <v>3570</v>
      </c>
      <c r="B1084" s="15"/>
      <c r="C1084" s="15"/>
      <c r="D1084" s="15"/>
      <c r="E1084" s="15"/>
      <c r="G1084" s="10" t="n">
        <v>0</v>
      </c>
      <c r="H1084" s="21" t="n">
        <v>46027.4318171296</v>
      </c>
      <c r="I1084" s="15" t="s">
        <v>3571</v>
      </c>
      <c r="J1084" s="15" t="s">
        <v>695</v>
      </c>
      <c r="K1084" s="15" t="s">
        <v>3572</v>
      </c>
      <c r="L1084" s="10" t="n">
        <f aca="false">COUNTIF($E$2:E1084,E1084)</f>
        <v>0</v>
      </c>
      <c r="M1084" s="10" t="e">
        <f aca="false">ifs(L1084=1, L1084&amp;"-"&amp; COUNTIFS($L$2:L1084,1))</f>
        <v>#NAME?</v>
      </c>
      <c r="N1084" s="15"/>
      <c r="O1084" s="10" t="n">
        <f aca="false">COUNTIFS(N:N,"Đã xác nhận",C:C,C1084)</f>
        <v>0</v>
      </c>
      <c r="P1084" s="22" t="e">
        <f aca="false">COUNTIFS(C:C,C1084,N:N,"Đã xác nhận")/COUNTIFS(C:C,C1084)</f>
        <v>#DIV/0!</v>
      </c>
      <c r="Q1084" s="22"/>
      <c r="R1084" s="0" t="e">
        <f aca="false">#VALUE!</f>
        <v>#VALUE!</v>
      </c>
      <c r="S1084" s="0" t="e">
        <f aca="false">#VALUE!</f>
        <v>#VALUE!</v>
      </c>
      <c r="U1084" s="24" t="n">
        <v>0</v>
      </c>
    </row>
    <row r="1085" customFormat="false" ht="12.75" hidden="false" customHeight="false" outlineLevel="0" collapsed="false">
      <c r="A1085" s="15" t="s">
        <v>3573</v>
      </c>
      <c r="B1085" s="15" t="s">
        <v>2687</v>
      </c>
      <c r="C1085" s="15" t="s">
        <v>475</v>
      </c>
      <c r="D1085" s="15" t="s">
        <v>2688</v>
      </c>
      <c r="E1085" s="15" t="s">
        <v>547</v>
      </c>
      <c r="G1085" s="10" t="n">
        <v>6</v>
      </c>
      <c r="H1085" s="21" t="n">
        <v>46044.648599537</v>
      </c>
      <c r="I1085" s="15" t="s">
        <v>3574</v>
      </c>
      <c r="J1085" s="15" t="s">
        <v>3574</v>
      </c>
      <c r="K1085" s="15"/>
      <c r="L1085" s="10" t="n">
        <f aca="false">COUNTIF($E$2:E1085,E1085)</f>
        <v>30</v>
      </c>
      <c r="M1085" s="10" t="e">
        <f aca="false">ifs(L1085=1, L1085&amp;"-"&amp; COUNTIFS($L$2:L1085,1))</f>
        <v>#NAME?</v>
      </c>
      <c r="N1085" s="15" t="s">
        <v>603</v>
      </c>
      <c r="O1085" s="10" t="n">
        <f aca="false">COUNTIFS(N:N,"Đã xác nhận",C:C,C1085)</f>
        <v>5</v>
      </c>
      <c r="P1085" s="22" t="n">
        <f aca="false">COUNTIFS(C:C,C1085,N:N,"Đã xác nhận")/COUNTIFS(C:C,C1085)</f>
        <v>1</v>
      </c>
      <c r="Q1085" s="22"/>
      <c r="R1085" s="0" t="s">
        <v>2688</v>
      </c>
      <c r="S1085" s="0" t="s">
        <v>548</v>
      </c>
      <c r="U1085" s="24" t="n">
        <v>6</v>
      </c>
    </row>
    <row r="1086" customFormat="false" ht="12.75" hidden="false" customHeight="false" outlineLevel="0" collapsed="false">
      <c r="A1086" s="15" t="s">
        <v>3575</v>
      </c>
      <c r="B1086" s="15" t="s">
        <v>2687</v>
      </c>
      <c r="C1086" s="15" t="s">
        <v>476</v>
      </c>
      <c r="D1086" s="15" t="s">
        <v>2688</v>
      </c>
      <c r="E1086" s="15" t="s">
        <v>33</v>
      </c>
      <c r="G1086" s="10" t="n">
        <v>2</v>
      </c>
      <c r="H1086" s="21" t="n">
        <v>46044.6491435185</v>
      </c>
      <c r="I1086" s="15" t="s">
        <v>3576</v>
      </c>
      <c r="J1086" s="15" t="s">
        <v>3576</v>
      </c>
      <c r="K1086" s="15"/>
      <c r="L1086" s="10" t="n">
        <f aca="false">COUNTIF($E$2:E1086,E1086)</f>
        <v>107</v>
      </c>
      <c r="M1086" s="10" t="e">
        <f aca="false">ifs(L1086=1, L1086&amp;"-"&amp; COUNTIFS($L$2:L1086,1))</f>
        <v>#NAME?</v>
      </c>
      <c r="N1086" s="15" t="s">
        <v>603</v>
      </c>
      <c r="O1086" s="10" t="n">
        <f aca="false">COUNTIFS(N:N,"Đã xác nhận",C:C,C1086)</f>
        <v>4</v>
      </c>
      <c r="P1086" s="22" t="n">
        <f aca="false">COUNTIFS(C:C,C1086,N:N,"Đã xác nhận")/COUNTIFS(C:C,C1086)</f>
        <v>1</v>
      </c>
      <c r="Q1086" s="22"/>
      <c r="R1086" s="0" t="s">
        <v>2688</v>
      </c>
      <c r="S1086" s="0" t="s">
        <v>536</v>
      </c>
      <c r="U1086" s="24" t="n">
        <v>2</v>
      </c>
    </row>
    <row r="1087" customFormat="false" ht="12.75" hidden="false" customHeight="false" outlineLevel="0" collapsed="false">
      <c r="A1087" s="15" t="s">
        <v>3577</v>
      </c>
      <c r="B1087" s="15" t="s">
        <v>2687</v>
      </c>
      <c r="C1087" s="15" t="s">
        <v>476</v>
      </c>
      <c r="D1087" s="15" t="s">
        <v>2688</v>
      </c>
      <c r="E1087" s="15" t="s">
        <v>547</v>
      </c>
      <c r="G1087" s="10" t="n">
        <v>2</v>
      </c>
      <c r="H1087" s="21" t="n">
        <v>46044.6494791667</v>
      </c>
      <c r="I1087" s="15" t="s">
        <v>3578</v>
      </c>
      <c r="J1087" s="15" t="s">
        <v>3578</v>
      </c>
      <c r="K1087" s="15"/>
      <c r="L1087" s="10" t="n">
        <f aca="false">COUNTIF($E$2:E1087,E1087)</f>
        <v>31</v>
      </c>
      <c r="M1087" s="10" t="e">
        <f aca="false">ifs(L1087=1, L1087&amp;"-"&amp; COUNTIFS($L$2:L1087,1))</f>
        <v>#NAME?</v>
      </c>
      <c r="N1087" s="15" t="s">
        <v>603</v>
      </c>
      <c r="O1087" s="10" t="n">
        <f aca="false">COUNTIFS(N:N,"Đã xác nhận",C:C,C1087)</f>
        <v>4</v>
      </c>
      <c r="P1087" s="22" t="n">
        <f aca="false">COUNTIFS(C:C,C1087,N:N,"Đã xác nhận")/COUNTIFS(C:C,C1087)</f>
        <v>1</v>
      </c>
      <c r="Q1087" s="22"/>
      <c r="R1087" s="0" t="s">
        <v>2688</v>
      </c>
      <c r="S1087" s="0" t="s">
        <v>548</v>
      </c>
      <c r="U1087" s="24" t="n">
        <v>2</v>
      </c>
    </row>
    <row r="1088" customFormat="false" ht="12.75" hidden="false" customHeight="false" outlineLevel="0" collapsed="false">
      <c r="A1088" s="15" t="s">
        <v>3579</v>
      </c>
      <c r="B1088" s="15" t="s">
        <v>2304</v>
      </c>
      <c r="C1088" s="15" t="s">
        <v>3580</v>
      </c>
      <c r="D1088" s="15" t="s">
        <v>611</v>
      </c>
      <c r="E1088" s="15" t="s">
        <v>69</v>
      </c>
      <c r="G1088" s="10" t="n">
        <v>1</v>
      </c>
      <c r="H1088" s="21" t="n">
        <v>46003.6136689815</v>
      </c>
      <c r="I1088" s="15" t="s">
        <v>1566</v>
      </c>
      <c r="J1088" s="15" t="s">
        <v>3581</v>
      </c>
      <c r="K1088" s="15" t="s">
        <v>3582</v>
      </c>
      <c r="L1088" s="10" t="n">
        <f aca="false">COUNTIF($E$2:E1088,E1088)</f>
        <v>139</v>
      </c>
      <c r="M1088" s="10" t="e">
        <f aca="false">ifs(L1088=1, L1088&amp;"-"&amp; COUNTIFS($L$2:L1088,1))</f>
        <v>#NAME?</v>
      </c>
      <c r="N1088" s="15"/>
      <c r="O1088" s="10" t="n">
        <f aca="false">COUNTIFS(N:N,"Đã xác nhận",C:C,C1088)</f>
        <v>0</v>
      </c>
      <c r="P1088" s="22" t="n">
        <f aca="false">COUNTIFS(C:C,C1088,N:N,"Đã xác nhận")/COUNTIFS(C:C,C1088)</f>
        <v>0</v>
      </c>
      <c r="Q1088" s="22"/>
      <c r="R1088" s="0" t="s">
        <v>613</v>
      </c>
      <c r="S1088" s="0" t="s">
        <v>535</v>
      </c>
      <c r="U1088" s="24" t="n">
        <v>1</v>
      </c>
    </row>
    <row r="1089" customFormat="false" ht="12.75" hidden="false" customHeight="false" outlineLevel="0" collapsed="false">
      <c r="A1089" s="15" t="s">
        <v>3583</v>
      </c>
      <c r="B1089" s="15" t="s">
        <v>2304</v>
      </c>
      <c r="C1089" s="15" t="s">
        <v>517</v>
      </c>
      <c r="D1089" s="15" t="s">
        <v>611</v>
      </c>
      <c r="E1089" s="15" t="s">
        <v>69</v>
      </c>
      <c r="G1089" s="10" t="n">
        <v>1</v>
      </c>
      <c r="H1089" s="21" t="n">
        <v>46003.6141087963</v>
      </c>
      <c r="I1089" s="15" t="s">
        <v>1566</v>
      </c>
      <c r="J1089" s="15" t="s">
        <v>3584</v>
      </c>
      <c r="K1089" s="15" t="s">
        <v>3585</v>
      </c>
      <c r="L1089" s="10" t="n">
        <f aca="false">COUNTIF($E$2:E1089,E1089)</f>
        <v>140</v>
      </c>
      <c r="M1089" s="10" t="e">
        <f aca="false">ifs(L1089=1, L1089&amp;"-"&amp; COUNTIFS($L$2:L1089,1))</f>
        <v>#NAME?</v>
      </c>
      <c r="N1089" s="15"/>
      <c r="O1089" s="10" t="n">
        <f aca="false">COUNTIFS(N:N,"Đã xác nhận",C:C,C1089)</f>
        <v>0</v>
      </c>
      <c r="P1089" s="22" t="n">
        <f aca="false">COUNTIFS(C:C,C1089,N:N,"Đã xác nhận")/COUNTIFS(C:C,C1089)</f>
        <v>0</v>
      </c>
      <c r="Q1089" s="22"/>
      <c r="R1089" s="0" t="s">
        <v>613</v>
      </c>
      <c r="S1089" s="0" t="s">
        <v>535</v>
      </c>
      <c r="U1089" s="24" t="n">
        <v>1</v>
      </c>
    </row>
    <row r="1090" customFormat="false" ht="12.75" hidden="false" customHeight="false" outlineLevel="0" collapsed="false">
      <c r="A1090" s="15" t="s">
        <v>3586</v>
      </c>
      <c r="B1090" s="15" t="s">
        <v>2304</v>
      </c>
      <c r="C1090" s="15" t="s">
        <v>3580</v>
      </c>
      <c r="D1090" s="15" t="s">
        <v>2346</v>
      </c>
      <c r="E1090" s="15" t="s">
        <v>69</v>
      </c>
      <c r="G1090" s="10" t="n">
        <v>3</v>
      </c>
      <c r="H1090" s="21" t="n">
        <v>46009.7518402778</v>
      </c>
      <c r="I1090" s="15" t="s">
        <v>1566</v>
      </c>
      <c r="J1090" s="15" t="s">
        <v>3587</v>
      </c>
      <c r="K1090" s="15" t="s">
        <v>3588</v>
      </c>
      <c r="L1090" s="10" t="n">
        <f aca="false">COUNTIF($E$2:E1090,E1090)</f>
        <v>141</v>
      </c>
      <c r="M1090" s="10" t="e">
        <f aca="false">ifs(L1090=1, L1090&amp;"-"&amp; COUNTIFS($L$2:L1090,1))</f>
        <v>#NAME?</v>
      </c>
      <c r="N1090" s="15"/>
      <c r="O1090" s="10" t="n">
        <f aca="false">COUNTIFS(N:N,"Đã xác nhận",C:C,C1090)</f>
        <v>0</v>
      </c>
      <c r="P1090" s="22" t="n">
        <f aca="false">COUNTIFS(C:C,C1090,N:N,"Đã xác nhận")/COUNTIFS(C:C,C1090)</f>
        <v>0</v>
      </c>
      <c r="Q1090" s="22"/>
      <c r="R1090" s="0" t="s">
        <v>2346</v>
      </c>
      <c r="S1090" s="0" t="s">
        <v>535</v>
      </c>
      <c r="U1090" s="24" t="n">
        <v>3</v>
      </c>
    </row>
    <row r="1091" customFormat="false" ht="12.75" hidden="false" customHeight="false" outlineLevel="0" collapsed="false">
      <c r="A1091" s="15" t="s">
        <v>3589</v>
      </c>
      <c r="B1091" s="15" t="s">
        <v>2304</v>
      </c>
      <c r="C1091" s="15" t="s">
        <v>3580</v>
      </c>
      <c r="D1091" s="15" t="s">
        <v>2333</v>
      </c>
      <c r="E1091" s="15" t="s">
        <v>69</v>
      </c>
      <c r="G1091" s="10" t="n">
        <v>1</v>
      </c>
      <c r="H1091" s="21" t="n">
        <v>46009.7523032407</v>
      </c>
      <c r="I1091" s="15" t="s">
        <v>1566</v>
      </c>
      <c r="J1091" s="15" t="s">
        <v>3590</v>
      </c>
      <c r="K1091" s="15" t="s">
        <v>3591</v>
      </c>
      <c r="L1091" s="10" t="n">
        <f aca="false">COUNTIF($E$2:E1091,E1091)</f>
        <v>142</v>
      </c>
      <c r="M1091" s="10" t="e">
        <f aca="false">ifs(L1091=1, L1091&amp;"-"&amp; COUNTIFS($L$2:L1091,1))</f>
        <v>#NAME?</v>
      </c>
      <c r="N1091" s="15"/>
      <c r="O1091" s="10" t="n">
        <f aca="false">COUNTIFS(N:N,"Đã xác nhận",C:C,C1091)</f>
        <v>0</v>
      </c>
      <c r="P1091" s="22" t="n">
        <f aca="false">COUNTIFS(C:C,C1091,N:N,"Đã xác nhận")/COUNTIFS(C:C,C1091)</f>
        <v>0</v>
      </c>
      <c r="Q1091" s="22"/>
      <c r="R1091" s="0" t="s">
        <v>2333</v>
      </c>
      <c r="S1091" s="0" t="s">
        <v>535</v>
      </c>
      <c r="U1091" s="24" t="n">
        <v>1</v>
      </c>
    </row>
    <row r="1092" customFormat="false" ht="12.75" hidden="false" customHeight="false" outlineLevel="0" collapsed="false">
      <c r="A1092" s="15" t="s">
        <v>3592</v>
      </c>
      <c r="B1092" s="15" t="s">
        <v>2304</v>
      </c>
      <c r="C1092" s="15" t="s">
        <v>3580</v>
      </c>
      <c r="D1092" s="15" t="s">
        <v>878</v>
      </c>
      <c r="E1092" s="15" t="s">
        <v>69</v>
      </c>
      <c r="G1092" s="10" t="n">
        <v>1</v>
      </c>
      <c r="H1092" s="21" t="n">
        <v>46009.7527430556</v>
      </c>
      <c r="I1092" s="15" t="s">
        <v>1566</v>
      </c>
      <c r="J1092" s="15" t="s">
        <v>3593</v>
      </c>
      <c r="K1092" s="15" t="s">
        <v>3594</v>
      </c>
      <c r="L1092" s="10" t="n">
        <f aca="false">COUNTIF($E$2:E1092,E1092)</f>
        <v>143</v>
      </c>
      <c r="M1092" s="10" t="e">
        <f aca="false">ifs(L1092=1, L1092&amp;"-"&amp; COUNTIFS($L$2:L1092,1))</f>
        <v>#NAME?</v>
      </c>
      <c r="N1092" s="15"/>
      <c r="O1092" s="10" t="n">
        <f aca="false">COUNTIFS(N:N,"Đã xác nhận",C:C,C1092)</f>
        <v>0</v>
      </c>
      <c r="P1092" s="22" t="n">
        <f aca="false">COUNTIFS(C:C,C1092,N:N,"Đã xác nhận")/COUNTIFS(C:C,C1092)</f>
        <v>0</v>
      </c>
      <c r="Q1092" s="22"/>
      <c r="R1092" s="0" t="s">
        <v>768</v>
      </c>
      <c r="S1092" s="0" t="s">
        <v>535</v>
      </c>
      <c r="U1092" s="24" t="n">
        <v>1</v>
      </c>
    </row>
    <row r="1093" customFormat="false" ht="12.75" hidden="false" customHeight="false" outlineLevel="0" collapsed="false">
      <c r="A1093" s="15" t="s">
        <v>3595</v>
      </c>
      <c r="B1093" s="15" t="s">
        <v>2304</v>
      </c>
      <c r="C1093" s="15" t="s">
        <v>3580</v>
      </c>
      <c r="D1093" s="15" t="s">
        <v>2346</v>
      </c>
      <c r="E1093" s="15" t="s">
        <v>33</v>
      </c>
      <c r="G1093" s="10" t="n">
        <v>3</v>
      </c>
      <c r="H1093" s="21" t="n">
        <v>46009.7531597222</v>
      </c>
      <c r="I1093" s="15" t="s">
        <v>3596</v>
      </c>
      <c r="J1093" s="15" t="s">
        <v>3597</v>
      </c>
      <c r="K1093" s="15" t="s">
        <v>3598</v>
      </c>
      <c r="L1093" s="10" t="n">
        <f aca="false">COUNTIF($E$2:E1093,E1093)</f>
        <v>108</v>
      </c>
      <c r="M1093" s="10" t="e">
        <f aca="false">ifs(L1093=1, L1093&amp;"-"&amp; COUNTIFS($L$2:L1093,1))</f>
        <v>#NAME?</v>
      </c>
      <c r="N1093" s="15"/>
      <c r="O1093" s="10" t="n">
        <f aca="false">COUNTIFS(N:N,"Đã xác nhận",C:C,C1093)</f>
        <v>0</v>
      </c>
      <c r="P1093" s="22" t="n">
        <f aca="false">COUNTIFS(C:C,C1093,N:N,"Đã xác nhận")/COUNTIFS(C:C,C1093)</f>
        <v>0</v>
      </c>
      <c r="Q1093" s="22"/>
      <c r="R1093" s="0" t="s">
        <v>2346</v>
      </c>
      <c r="S1093" s="0" t="s">
        <v>536</v>
      </c>
      <c r="U1093" s="24" t="n">
        <v>3</v>
      </c>
    </row>
    <row r="1094" customFormat="false" ht="12.75" hidden="false" customHeight="false" outlineLevel="0" collapsed="false">
      <c r="A1094" s="15" t="s">
        <v>3599</v>
      </c>
      <c r="B1094" s="15" t="s">
        <v>2304</v>
      </c>
      <c r="C1094" s="15" t="s">
        <v>3580</v>
      </c>
      <c r="D1094" s="15" t="s">
        <v>878</v>
      </c>
      <c r="E1094" s="15" t="s">
        <v>33</v>
      </c>
      <c r="G1094" s="10" t="n">
        <v>1</v>
      </c>
      <c r="H1094" s="21" t="n">
        <v>46009.7536921296</v>
      </c>
      <c r="I1094" s="15" t="s">
        <v>3600</v>
      </c>
      <c r="J1094" s="15" t="s">
        <v>3601</v>
      </c>
      <c r="K1094" s="15" t="s">
        <v>3602</v>
      </c>
      <c r="L1094" s="10" t="n">
        <f aca="false">COUNTIF($E$2:E1094,E1094)</f>
        <v>109</v>
      </c>
      <c r="M1094" s="10" t="e">
        <f aca="false">ifs(L1094=1, L1094&amp;"-"&amp; COUNTIFS($L$2:L1094,1))</f>
        <v>#NAME?</v>
      </c>
      <c r="N1094" s="15"/>
      <c r="O1094" s="10" t="n">
        <f aca="false">COUNTIFS(N:N,"Đã xác nhận",C:C,C1094)</f>
        <v>0</v>
      </c>
      <c r="P1094" s="22" t="n">
        <f aca="false">COUNTIFS(C:C,C1094,N:N,"Đã xác nhận")/COUNTIFS(C:C,C1094)</f>
        <v>0</v>
      </c>
      <c r="Q1094" s="22"/>
      <c r="R1094" s="0" t="s">
        <v>768</v>
      </c>
      <c r="S1094" s="0" t="s">
        <v>536</v>
      </c>
      <c r="U1094" s="24" t="n">
        <v>1</v>
      </c>
    </row>
    <row r="1095" customFormat="false" ht="12.75" hidden="false" customHeight="false" outlineLevel="0" collapsed="false">
      <c r="A1095" s="15" t="s">
        <v>3603</v>
      </c>
      <c r="B1095" s="15" t="s">
        <v>2304</v>
      </c>
      <c r="C1095" s="15" t="s">
        <v>3580</v>
      </c>
      <c r="D1095" s="15" t="s">
        <v>611</v>
      </c>
      <c r="E1095" s="15" t="s">
        <v>33</v>
      </c>
      <c r="G1095" s="10" t="n">
        <v>1</v>
      </c>
      <c r="H1095" s="21" t="n">
        <v>46009.753912037</v>
      </c>
      <c r="I1095" s="15" t="s">
        <v>3600</v>
      </c>
      <c r="J1095" s="15" t="s">
        <v>3604</v>
      </c>
      <c r="K1095" s="15" t="s">
        <v>3605</v>
      </c>
      <c r="L1095" s="10" t="n">
        <f aca="false">COUNTIF($E$2:E1095,E1095)</f>
        <v>110</v>
      </c>
      <c r="M1095" s="10" t="e">
        <f aca="false">ifs(L1095=1, L1095&amp;"-"&amp; COUNTIFS($L$2:L1095,1))</f>
        <v>#NAME?</v>
      </c>
      <c r="N1095" s="15"/>
      <c r="O1095" s="10" t="n">
        <f aca="false">COUNTIFS(N:N,"Đã xác nhận",C:C,C1095)</f>
        <v>0</v>
      </c>
      <c r="P1095" s="22" t="n">
        <f aca="false">COUNTIFS(C:C,C1095,N:N,"Đã xác nhận")/COUNTIFS(C:C,C1095)</f>
        <v>0</v>
      </c>
      <c r="Q1095" s="22"/>
      <c r="R1095" s="0" t="s">
        <v>613</v>
      </c>
      <c r="S1095" s="0" t="s">
        <v>536</v>
      </c>
      <c r="U1095" s="24" t="n">
        <v>1</v>
      </c>
    </row>
    <row r="1096" customFormat="false" ht="12.75" hidden="false" customHeight="false" outlineLevel="0" collapsed="false">
      <c r="A1096" s="15" t="s">
        <v>3606</v>
      </c>
      <c r="B1096" s="15" t="s">
        <v>2304</v>
      </c>
      <c r="C1096" s="15" t="s">
        <v>3580</v>
      </c>
      <c r="D1096" s="15" t="s">
        <v>2333</v>
      </c>
      <c r="E1096" s="15" t="s">
        <v>33</v>
      </c>
      <c r="G1096" s="10" t="n">
        <v>1</v>
      </c>
      <c r="H1096" s="21" t="n">
        <v>46009.7541087963</v>
      </c>
      <c r="I1096" s="15" t="s">
        <v>3600</v>
      </c>
      <c r="J1096" s="15" t="s">
        <v>3607</v>
      </c>
      <c r="K1096" s="15" t="s">
        <v>3608</v>
      </c>
      <c r="L1096" s="10" t="n">
        <f aca="false">COUNTIF($E$2:E1096,E1096)</f>
        <v>111</v>
      </c>
      <c r="M1096" s="10" t="e">
        <f aca="false">ifs(L1096=1, L1096&amp;"-"&amp; COUNTIFS($L$2:L1096,1))</f>
        <v>#NAME?</v>
      </c>
      <c r="N1096" s="15"/>
      <c r="O1096" s="10" t="n">
        <f aca="false">COUNTIFS(N:N,"Đã xác nhận",C:C,C1096)</f>
        <v>0</v>
      </c>
      <c r="P1096" s="22" t="n">
        <f aca="false">COUNTIFS(C:C,C1096,N:N,"Đã xác nhận")/COUNTIFS(C:C,C1096)</f>
        <v>0</v>
      </c>
      <c r="Q1096" s="22"/>
      <c r="R1096" s="0" t="s">
        <v>2333</v>
      </c>
      <c r="S1096" s="0" t="s">
        <v>536</v>
      </c>
      <c r="U1096" s="24" t="n">
        <v>1</v>
      </c>
    </row>
    <row r="1097" customFormat="false" ht="12.75" hidden="false" customHeight="false" outlineLevel="0" collapsed="false">
      <c r="A1097" s="15" t="s">
        <v>3609</v>
      </c>
      <c r="B1097" s="15" t="s">
        <v>2304</v>
      </c>
      <c r="C1097" s="15" t="s">
        <v>3563</v>
      </c>
      <c r="D1097" s="15" t="s">
        <v>2346</v>
      </c>
      <c r="E1097" s="15" t="s">
        <v>69</v>
      </c>
      <c r="G1097" s="10" t="n">
        <v>3</v>
      </c>
      <c r="H1097" s="21" t="n">
        <v>46009.7545486111</v>
      </c>
      <c r="I1097" s="15" t="s">
        <v>3596</v>
      </c>
      <c r="J1097" s="15" t="s">
        <v>3610</v>
      </c>
      <c r="K1097" s="15" t="s">
        <v>3611</v>
      </c>
      <c r="L1097" s="10" t="n">
        <f aca="false">COUNTIF($E$2:E1097,E1097)</f>
        <v>144</v>
      </c>
      <c r="M1097" s="10" t="e">
        <f aca="false">ifs(L1097=1, L1097&amp;"-"&amp; COUNTIFS($L$2:L1097,1))</f>
        <v>#NAME?</v>
      </c>
      <c r="N1097" s="15"/>
      <c r="O1097" s="10" t="n">
        <f aca="false">COUNTIFS(N:N,"Đã xác nhận",C:C,C1097)</f>
        <v>0</v>
      </c>
      <c r="P1097" s="22" t="n">
        <f aca="false">COUNTIFS(C:C,C1097,N:N,"Đã xác nhận")/COUNTIFS(C:C,C1097)</f>
        <v>0</v>
      </c>
      <c r="Q1097" s="22"/>
      <c r="R1097" s="0" t="s">
        <v>2346</v>
      </c>
      <c r="S1097" s="0" t="s">
        <v>535</v>
      </c>
      <c r="U1097" s="24" t="n">
        <v>3</v>
      </c>
    </row>
    <row r="1098" customFormat="false" ht="12.75" hidden="false" customHeight="false" outlineLevel="0" collapsed="false">
      <c r="A1098" s="15" t="s">
        <v>3612</v>
      </c>
      <c r="B1098" s="15" t="s">
        <v>2304</v>
      </c>
      <c r="C1098" s="15" t="s">
        <v>3563</v>
      </c>
      <c r="D1098" s="15" t="s">
        <v>878</v>
      </c>
      <c r="E1098" s="15" t="s">
        <v>69</v>
      </c>
      <c r="G1098" s="10" t="n">
        <v>1</v>
      </c>
      <c r="H1098" s="21" t="n">
        <v>46009.7549652778</v>
      </c>
      <c r="I1098" s="15" t="s">
        <v>3596</v>
      </c>
      <c r="J1098" s="15" t="s">
        <v>3613</v>
      </c>
      <c r="K1098" s="15" t="s">
        <v>3614</v>
      </c>
      <c r="L1098" s="10" t="n">
        <f aca="false">COUNTIF($E$2:E1098,E1098)</f>
        <v>145</v>
      </c>
      <c r="M1098" s="10" t="e">
        <f aca="false">ifs(L1098=1, L1098&amp;"-"&amp; COUNTIFS($L$2:L1098,1))</f>
        <v>#NAME?</v>
      </c>
      <c r="N1098" s="15"/>
      <c r="O1098" s="10" t="n">
        <f aca="false">COUNTIFS(N:N,"Đã xác nhận",C:C,C1098)</f>
        <v>0</v>
      </c>
      <c r="P1098" s="22" t="n">
        <f aca="false">COUNTIFS(C:C,C1098,N:N,"Đã xác nhận")/COUNTIFS(C:C,C1098)</f>
        <v>0</v>
      </c>
      <c r="Q1098" s="22"/>
      <c r="R1098" s="0" t="s">
        <v>768</v>
      </c>
      <c r="S1098" s="0" t="s">
        <v>535</v>
      </c>
      <c r="U1098" s="24" t="n">
        <v>1</v>
      </c>
    </row>
    <row r="1099" customFormat="false" ht="12.75" hidden="false" customHeight="false" outlineLevel="0" collapsed="false">
      <c r="A1099" s="15" t="s">
        <v>3615</v>
      </c>
      <c r="B1099" s="15" t="s">
        <v>2304</v>
      </c>
      <c r="C1099" s="15" t="s">
        <v>3563</v>
      </c>
      <c r="D1099" s="15" t="s">
        <v>2333</v>
      </c>
      <c r="E1099" s="15" t="s">
        <v>69</v>
      </c>
      <c r="G1099" s="10" t="n">
        <v>1</v>
      </c>
      <c r="H1099" s="21" t="n">
        <v>46009.7552662037</v>
      </c>
      <c r="I1099" s="15" t="s">
        <v>3596</v>
      </c>
      <c r="J1099" s="15" t="s">
        <v>3616</v>
      </c>
      <c r="K1099" s="15" t="s">
        <v>3617</v>
      </c>
      <c r="L1099" s="10" t="n">
        <f aca="false">COUNTIF($E$2:E1099,E1099)</f>
        <v>146</v>
      </c>
      <c r="M1099" s="10" t="e">
        <f aca="false">ifs(L1099=1, L1099&amp;"-"&amp; COUNTIFS($L$2:L1099,1))</f>
        <v>#NAME?</v>
      </c>
      <c r="N1099" s="15"/>
      <c r="O1099" s="10" t="n">
        <f aca="false">COUNTIFS(N:N,"Đã xác nhận",C:C,C1099)</f>
        <v>0</v>
      </c>
      <c r="P1099" s="22" t="n">
        <f aca="false">COUNTIFS(C:C,C1099,N:N,"Đã xác nhận")/COUNTIFS(C:C,C1099)</f>
        <v>0</v>
      </c>
      <c r="Q1099" s="22"/>
      <c r="R1099" s="0" t="s">
        <v>2333</v>
      </c>
      <c r="S1099" s="0" t="s">
        <v>535</v>
      </c>
      <c r="U1099" s="24" t="n">
        <v>1</v>
      </c>
    </row>
    <row r="1100" customFormat="false" ht="12.75" hidden="false" customHeight="false" outlineLevel="0" collapsed="false">
      <c r="A1100" s="15" t="s">
        <v>3618</v>
      </c>
      <c r="B1100" s="15" t="s">
        <v>2304</v>
      </c>
      <c r="C1100" s="15" t="s">
        <v>3563</v>
      </c>
      <c r="D1100" s="15" t="s">
        <v>2346</v>
      </c>
      <c r="E1100" s="15" t="s">
        <v>33</v>
      </c>
      <c r="G1100" s="10" t="n">
        <v>3</v>
      </c>
      <c r="H1100" s="21" t="n">
        <v>46009.7559606481</v>
      </c>
      <c r="I1100" s="15" t="s">
        <v>3596</v>
      </c>
      <c r="J1100" s="15" t="s">
        <v>3619</v>
      </c>
      <c r="K1100" s="15" t="s">
        <v>3620</v>
      </c>
      <c r="L1100" s="10" t="n">
        <f aca="false">COUNTIF($E$2:E1100,E1100)</f>
        <v>112</v>
      </c>
      <c r="M1100" s="10" t="e">
        <f aca="false">ifs(L1100=1, L1100&amp;"-"&amp; COUNTIFS($L$2:L1100,1))</f>
        <v>#NAME?</v>
      </c>
      <c r="N1100" s="15"/>
      <c r="O1100" s="10" t="n">
        <f aca="false">COUNTIFS(N:N,"Đã xác nhận",C:C,C1100)</f>
        <v>0</v>
      </c>
      <c r="P1100" s="22" t="n">
        <f aca="false">COUNTIFS(C:C,C1100,N:N,"Đã xác nhận")/COUNTIFS(C:C,C1100)</f>
        <v>0</v>
      </c>
      <c r="Q1100" s="22"/>
      <c r="R1100" s="0" t="s">
        <v>2346</v>
      </c>
      <c r="S1100" s="0" t="s">
        <v>536</v>
      </c>
      <c r="U1100" s="24" t="n">
        <v>3</v>
      </c>
    </row>
    <row r="1101" customFormat="false" ht="12.75" hidden="false" customHeight="false" outlineLevel="0" collapsed="false">
      <c r="A1101" s="15" t="s">
        <v>3621</v>
      </c>
      <c r="B1101" s="15" t="s">
        <v>2304</v>
      </c>
      <c r="C1101" s="15" t="s">
        <v>3563</v>
      </c>
      <c r="D1101" s="15" t="s">
        <v>878</v>
      </c>
      <c r="E1101" s="15" t="s">
        <v>33</v>
      </c>
      <c r="G1101" s="10" t="n">
        <v>1</v>
      </c>
      <c r="H1101" s="21" t="n">
        <v>46009.7562615741</v>
      </c>
      <c r="I1101" s="15" t="s">
        <v>3600</v>
      </c>
      <c r="J1101" s="15" t="s">
        <v>3622</v>
      </c>
      <c r="K1101" s="15" t="s">
        <v>3623</v>
      </c>
      <c r="L1101" s="10" t="n">
        <f aca="false">COUNTIF($E$2:E1101,E1101)</f>
        <v>113</v>
      </c>
      <c r="M1101" s="10" t="e">
        <f aca="false">ifs(L1101=1, L1101&amp;"-"&amp; COUNTIFS($L$2:L1101,1))</f>
        <v>#NAME?</v>
      </c>
      <c r="N1101" s="15"/>
      <c r="O1101" s="10" t="n">
        <f aca="false">COUNTIFS(N:N,"Đã xác nhận",C:C,C1101)</f>
        <v>0</v>
      </c>
      <c r="P1101" s="22" t="n">
        <f aca="false">COUNTIFS(C:C,C1101,N:N,"Đã xác nhận")/COUNTIFS(C:C,C1101)</f>
        <v>0</v>
      </c>
      <c r="Q1101" s="22"/>
      <c r="R1101" s="0" t="s">
        <v>768</v>
      </c>
      <c r="S1101" s="0" t="s">
        <v>536</v>
      </c>
      <c r="U1101" s="24" t="n">
        <v>1</v>
      </c>
    </row>
    <row r="1102" customFormat="false" ht="12.75" hidden="false" customHeight="false" outlineLevel="0" collapsed="false">
      <c r="A1102" s="15" t="s">
        <v>3624</v>
      </c>
      <c r="B1102" s="15" t="s">
        <v>2304</v>
      </c>
      <c r="C1102" s="15" t="s">
        <v>3563</v>
      </c>
      <c r="D1102" s="15" t="s">
        <v>2333</v>
      </c>
      <c r="E1102" s="15" t="s">
        <v>33</v>
      </c>
      <c r="G1102" s="10" t="n">
        <v>1</v>
      </c>
      <c r="H1102" s="21" t="n">
        <v>46009.7564814815</v>
      </c>
      <c r="I1102" s="15" t="s">
        <v>3600</v>
      </c>
      <c r="J1102" s="15" t="s">
        <v>3625</v>
      </c>
      <c r="K1102" s="15" t="s">
        <v>3626</v>
      </c>
      <c r="L1102" s="10" t="n">
        <f aca="false">COUNTIF($E$2:E1102,E1102)</f>
        <v>114</v>
      </c>
      <c r="M1102" s="10" t="e">
        <f aca="false">ifs(L1102=1, L1102&amp;"-"&amp; COUNTIFS($L$2:L1102,1))</f>
        <v>#NAME?</v>
      </c>
      <c r="N1102" s="15"/>
      <c r="O1102" s="10" t="n">
        <f aca="false">COUNTIFS(N:N,"Đã xác nhận",C:C,C1102)</f>
        <v>0</v>
      </c>
      <c r="P1102" s="22" t="n">
        <f aca="false">COUNTIFS(C:C,C1102,N:N,"Đã xác nhận")/COUNTIFS(C:C,C1102)</f>
        <v>0</v>
      </c>
      <c r="Q1102" s="22"/>
      <c r="R1102" s="0" t="s">
        <v>2333</v>
      </c>
      <c r="S1102" s="0" t="s">
        <v>536</v>
      </c>
      <c r="U1102" s="24" t="n">
        <v>1</v>
      </c>
    </row>
    <row r="1103" customFormat="false" ht="12.75" hidden="false" customHeight="false" outlineLevel="0" collapsed="false">
      <c r="A1103" s="15" t="s">
        <v>3627</v>
      </c>
      <c r="B1103" s="15" t="s">
        <v>2304</v>
      </c>
      <c r="C1103" s="15" t="s">
        <v>3563</v>
      </c>
      <c r="D1103" s="15" t="s">
        <v>611</v>
      </c>
      <c r="E1103" s="15" t="s">
        <v>33</v>
      </c>
      <c r="G1103" s="10" t="n">
        <v>1</v>
      </c>
      <c r="H1103" s="21" t="n">
        <v>46009.7567013889</v>
      </c>
      <c r="I1103" s="15" t="s">
        <v>3600</v>
      </c>
      <c r="J1103" s="15" t="s">
        <v>3628</v>
      </c>
      <c r="K1103" s="15" t="s">
        <v>3629</v>
      </c>
      <c r="L1103" s="10" t="n">
        <f aca="false">COUNTIF($E$2:E1103,E1103)</f>
        <v>115</v>
      </c>
      <c r="M1103" s="10" t="e">
        <f aca="false">ifs(L1103=1, L1103&amp;"-"&amp; COUNTIFS($L$2:L1103,1))</f>
        <v>#NAME?</v>
      </c>
      <c r="N1103" s="15"/>
      <c r="O1103" s="10" t="n">
        <f aca="false">COUNTIFS(N:N,"Đã xác nhận",C:C,C1103)</f>
        <v>0</v>
      </c>
      <c r="P1103" s="22" t="n">
        <f aca="false">COUNTIFS(C:C,C1103,N:N,"Đã xác nhận")/COUNTIFS(C:C,C1103)</f>
        <v>0</v>
      </c>
      <c r="Q1103" s="22"/>
      <c r="R1103" s="0" t="s">
        <v>613</v>
      </c>
      <c r="S1103" s="0" t="s">
        <v>536</v>
      </c>
      <c r="U1103" s="24" t="n">
        <v>1</v>
      </c>
    </row>
    <row r="1104" customFormat="false" ht="12.75" hidden="false" customHeight="false" outlineLevel="0" collapsed="false">
      <c r="A1104" s="15" t="s">
        <v>3630</v>
      </c>
      <c r="B1104" s="15" t="s">
        <v>2304</v>
      </c>
      <c r="C1104" s="15" t="s">
        <v>517</v>
      </c>
      <c r="D1104" s="15" t="s">
        <v>2346</v>
      </c>
      <c r="E1104" s="15" t="s">
        <v>69</v>
      </c>
      <c r="G1104" s="10" t="n">
        <v>3</v>
      </c>
      <c r="H1104" s="21" t="n">
        <v>46009.7569444444</v>
      </c>
      <c r="I1104" s="15" t="s">
        <v>3596</v>
      </c>
      <c r="J1104" s="15" t="s">
        <v>3631</v>
      </c>
      <c r="K1104" s="15" t="s">
        <v>3632</v>
      </c>
      <c r="L1104" s="10" t="n">
        <f aca="false">COUNTIF($E$2:E1104,E1104)</f>
        <v>147</v>
      </c>
      <c r="M1104" s="10" t="e">
        <f aca="false">ifs(L1104=1, L1104&amp;"-"&amp; COUNTIFS($L$2:L1104,1))</f>
        <v>#NAME?</v>
      </c>
      <c r="N1104" s="15"/>
      <c r="O1104" s="10" t="n">
        <f aca="false">COUNTIFS(N:N,"Đã xác nhận",C:C,C1104)</f>
        <v>0</v>
      </c>
      <c r="P1104" s="22" t="n">
        <f aca="false">COUNTIFS(C:C,C1104,N:N,"Đã xác nhận")/COUNTIFS(C:C,C1104)</f>
        <v>0</v>
      </c>
      <c r="Q1104" s="22"/>
      <c r="R1104" s="0" t="s">
        <v>2346</v>
      </c>
      <c r="S1104" s="0" t="s">
        <v>535</v>
      </c>
      <c r="U1104" s="24" t="n">
        <v>3</v>
      </c>
    </row>
    <row r="1105" customFormat="false" ht="12.75" hidden="false" customHeight="false" outlineLevel="0" collapsed="false">
      <c r="A1105" s="15" t="s">
        <v>3633</v>
      </c>
      <c r="B1105" s="15" t="s">
        <v>2304</v>
      </c>
      <c r="C1105" s="15" t="s">
        <v>517</v>
      </c>
      <c r="D1105" s="15" t="s">
        <v>878</v>
      </c>
      <c r="E1105" s="15" t="s">
        <v>69</v>
      </c>
      <c r="G1105" s="10" t="n">
        <v>1</v>
      </c>
      <c r="H1105" s="21" t="n">
        <v>46009.7572453704</v>
      </c>
      <c r="I1105" s="15" t="s">
        <v>3596</v>
      </c>
      <c r="J1105" s="15" t="s">
        <v>3634</v>
      </c>
      <c r="K1105" s="15" t="s">
        <v>3635</v>
      </c>
      <c r="L1105" s="10" t="n">
        <f aca="false">COUNTIF($E$2:E1105,E1105)</f>
        <v>148</v>
      </c>
      <c r="M1105" s="10" t="e">
        <f aca="false">ifs(L1105=1, L1105&amp;"-"&amp; COUNTIFS($L$2:L1105,1))</f>
        <v>#NAME?</v>
      </c>
      <c r="N1105" s="15"/>
      <c r="O1105" s="10" t="n">
        <f aca="false">COUNTIFS(N:N,"Đã xác nhận",C:C,C1105)</f>
        <v>0</v>
      </c>
      <c r="P1105" s="22" t="n">
        <f aca="false">COUNTIFS(C:C,C1105,N:N,"Đã xác nhận")/COUNTIFS(C:C,C1105)</f>
        <v>0</v>
      </c>
      <c r="Q1105" s="22"/>
      <c r="R1105" s="0" t="s">
        <v>768</v>
      </c>
      <c r="S1105" s="0" t="s">
        <v>535</v>
      </c>
      <c r="U1105" s="24" t="n">
        <v>1</v>
      </c>
    </row>
    <row r="1106" customFormat="false" ht="12.75" hidden="false" customHeight="false" outlineLevel="0" collapsed="false">
      <c r="A1106" s="15" t="s">
        <v>3636</v>
      </c>
      <c r="B1106" s="15" t="s">
        <v>2304</v>
      </c>
      <c r="C1106" s="15" t="s">
        <v>517</v>
      </c>
      <c r="D1106" s="15" t="s">
        <v>2333</v>
      </c>
      <c r="E1106" s="15" t="s">
        <v>69</v>
      </c>
      <c r="G1106" s="10" t="n">
        <v>1</v>
      </c>
      <c r="H1106" s="21" t="n">
        <v>46009.7575115741</v>
      </c>
      <c r="I1106" s="15" t="s">
        <v>3596</v>
      </c>
      <c r="J1106" s="15" t="s">
        <v>3637</v>
      </c>
      <c r="K1106" s="15" t="s">
        <v>3638</v>
      </c>
      <c r="L1106" s="10" t="n">
        <f aca="false">COUNTIF($E$2:E1106,E1106)</f>
        <v>149</v>
      </c>
      <c r="M1106" s="10" t="e">
        <f aca="false">ifs(L1106=1, L1106&amp;"-"&amp; COUNTIFS($L$2:L1106,1))</f>
        <v>#NAME?</v>
      </c>
      <c r="N1106" s="15"/>
      <c r="O1106" s="10" t="n">
        <f aca="false">COUNTIFS(N:N,"Đã xác nhận",C:C,C1106)</f>
        <v>0</v>
      </c>
      <c r="P1106" s="22" t="n">
        <f aca="false">COUNTIFS(C:C,C1106,N:N,"Đã xác nhận")/COUNTIFS(C:C,C1106)</f>
        <v>0</v>
      </c>
      <c r="Q1106" s="22"/>
      <c r="R1106" s="0" t="s">
        <v>2333</v>
      </c>
      <c r="S1106" s="0" t="s">
        <v>535</v>
      </c>
      <c r="U1106" s="24" t="n">
        <v>1</v>
      </c>
    </row>
    <row r="1107" customFormat="false" ht="12.75" hidden="false" customHeight="false" outlineLevel="0" collapsed="false">
      <c r="A1107" s="15" t="s">
        <v>3639</v>
      </c>
      <c r="B1107" s="15" t="s">
        <v>2304</v>
      </c>
      <c r="C1107" s="15" t="s">
        <v>517</v>
      </c>
      <c r="D1107" s="15" t="s">
        <v>2346</v>
      </c>
      <c r="E1107" s="15" t="s">
        <v>33</v>
      </c>
      <c r="G1107" s="10" t="n">
        <v>3</v>
      </c>
      <c r="H1107" s="21" t="n">
        <v>46009.7577662037</v>
      </c>
      <c r="I1107" s="15" t="s">
        <v>3596</v>
      </c>
      <c r="J1107" s="15" t="s">
        <v>3640</v>
      </c>
      <c r="K1107" s="15" t="s">
        <v>3641</v>
      </c>
      <c r="L1107" s="10" t="n">
        <f aca="false">COUNTIF($E$2:E1107,E1107)</f>
        <v>116</v>
      </c>
      <c r="M1107" s="10" t="e">
        <f aca="false">ifs(L1107=1, L1107&amp;"-"&amp; COUNTIFS($L$2:L1107,1))</f>
        <v>#NAME?</v>
      </c>
      <c r="N1107" s="15"/>
      <c r="O1107" s="10" t="n">
        <f aca="false">COUNTIFS(N:N,"Đã xác nhận",C:C,C1107)</f>
        <v>0</v>
      </c>
      <c r="P1107" s="22" t="n">
        <f aca="false">COUNTIFS(C:C,C1107,N:N,"Đã xác nhận")/COUNTIFS(C:C,C1107)</f>
        <v>0</v>
      </c>
      <c r="Q1107" s="22"/>
      <c r="R1107" s="0" t="s">
        <v>2346</v>
      </c>
      <c r="S1107" s="0" t="s">
        <v>536</v>
      </c>
      <c r="U1107" s="24" t="n">
        <v>3</v>
      </c>
    </row>
    <row r="1108" customFormat="false" ht="12.75" hidden="false" customHeight="false" outlineLevel="0" collapsed="false">
      <c r="A1108" s="15" t="s">
        <v>3642</v>
      </c>
      <c r="B1108" s="15" t="s">
        <v>2304</v>
      </c>
      <c r="C1108" s="15" t="s">
        <v>517</v>
      </c>
      <c r="D1108" s="15" t="s">
        <v>611</v>
      </c>
      <c r="E1108" s="15" t="s">
        <v>33</v>
      </c>
      <c r="G1108" s="10" t="n">
        <v>1</v>
      </c>
      <c r="H1108" s="21" t="n">
        <v>46009.7582175926</v>
      </c>
      <c r="I1108" s="15" t="s">
        <v>3600</v>
      </c>
      <c r="J1108" s="15" t="s">
        <v>3643</v>
      </c>
      <c r="K1108" s="15" t="s">
        <v>3644</v>
      </c>
      <c r="L1108" s="10" t="n">
        <f aca="false">COUNTIF($E$2:E1108,E1108)</f>
        <v>117</v>
      </c>
      <c r="M1108" s="10" t="e">
        <f aca="false">ifs(L1108=1, L1108&amp;"-"&amp; COUNTIFS($L$2:L1108,1))</f>
        <v>#NAME?</v>
      </c>
      <c r="N1108" s="15"/>
      <c r="O1108" s="10" t="n">
        <f aca="false">COUNTIFS(N:N,"Đã xác nhận",C:C,C1108)</f>
        <v>0</v>
      </c>
      <c r="P1108" s="22" t="n">
        <f aca="false">COUNTIFS(C:C,C1108,N:N,"Đã xác nhận")/COUNTIFS(C:C,C1108)</f>
        <v>0</v>
      </c>
      <c r="Q1108" s="22"/>
      <c r="R1108" s="0" t="s">
        <v>613</v>
      </c>
      <c r="S1108" s="0" t="s">
        <v>536</v>
      </c>
      <c r="U1108" s="24" t="n">
        <v>1</v>
      </c>
    </row>
    <row r="1109" customFormat="false" ht="12.75" hidden="false" customHeight="false" outlineLevel="0" collapsed="false">
      <c r="A1109" s="15" t="s">
        <v>3645</v>
      </c>
      <c r="B1109" s="15" t="s">
        <v>2304</v>
      </c>
      <c r="C1109" s="15" t="s">
        <v>517</v>
      </c>
      <c r="D1109" s="15" t="s">
        <v>878</v>
      </c>
      <c r="E1109" s="15" t="s">
        <v>33</v>
      </c>
      <c r="G1109" s="10" t="n">
        <v>1</v>
      </c>
      <c r="H1109" s="21" t="n">
        <v>46009.7583680556</v>
      </c>
      <c r="I1109" s="15" t="s">
        <v>3600</v>
      </c>
      <c r="J1109" s="15" t="s">
        <v>3646</v>
      </c>
      <c r="K1109" s="15" t="s">
        <v>3647</v>
      </c>
      <c r="L1109" s="10" t="n">
        <f aca="false">COUNTIF($E$2:E1109,E1109)</f>
        <v>118</v>
      </c>
      <c r="M1109" s="10" t="e">
        <f aca="false">ifs(L1109=1, L1109&amp;"-"&amp; COUNTIFS($L$2:L1109,1))</f>
        <v>#NAME?</v>
      </c>
      <c r="N1109" s="15"/>
      <c r="O1109" s="10" t="n">
        <f aca="false">COUNTIFS(N:N,"Đã xác nhận",C:C,C1109)</f>
        <v>0</v>
      </c>
      <c r="P1109" s="22" t="n">
        <f aca="false">COUNTIFS(C:C,C1109,N:N,"Đã xác nhận")/COUNTIFS(C:C,C1109)</f>
        <v>0</v>
      </c>
      <c r="Q1109" s="22"/>
      <c r="R1109" s="0" t="s">
        <v>768</v>
      </c>
      <c r="S1109" s="0" t="s">
        <v>536</v>
      </c>
      <c r="U1109" s="24" t="n">
        <v>1</v>
      </c>
    </row>
    <row r="1110" customFormat="false" ht="12.75" hidden="false" customHeight="false" outlineLevel="0" collapsed="false">
      <c r="A1110" s="15" t="s">
        <v>3648</v>
      </c>
      <c r="B1110" s="15" t="s">
        <v>2304</v>
      </c>
      <c r="C1110" s="15" t="s">
        <v>517</v>
      </c>
      <c r="D1110" s="15" t="s">
        <v>2333</v>
      </c>
      <c r="E1110" s="15" t="s">
        <v>33</v>
      </c>
      <c r="G1110" s="10" t="n">
        <v>1</v>
      </c>
      <c r="H1110" s="21" t="n">
        <v>46009.758599537</v>
      </c>
      <c r="I1110" s="15" t="s">
        <v>3600</v>
      </c>
      <c r="J1110" s="15" t="s">
        <v>3649</v>
      </c>
      <c r="K1110" s="15" t="s">
        <v>3650</v>
      </c>
      <c r="L1110" s="10" t="n">
        <f aca="false">COUNTIF($E$2:E1110,E1110)</f>
        <v>119</v>
      </c>
      <c r="M1110" s="10" t="e">
        <f aca="false">ifs(L1110=1, L1110&amp;"-"&amp; COUNTIFS($L$2:L1110,1))</f>
        <v>#NAME?</v>
      </c>
      <c r="N1110" s="15"/>
      <c r="O1110" s="10" t="n">
        <f aca="false">COUNTIFS(N:N,"Đã xác nhận",C:C,C1110)</f>
        <v>0</v>
      </c>
      <c r="P1110" s="22" t="n">
        <f aca="false">COUNTIFS(C:C,C1110,N:N,"Đã xác nhận")/COUNTIFS(C:C,C1110)</f>
        <v>0</v>
      </c>
      <c r="Q1110" s="22"/>
      <c r="R1110" s="0" t="s">
        <v>2333</v>
      </c>
      <c r="S1110" s="0" t="s">
        <v>536</v>
      </c>
      <c r="U1110" s="24" t="n">
        <v>1</v>
      </c>
    </row>
    <row r="1111" customFormat="false" ht="12.75" hidden="false" customHeight="false" outlineLevel="0" collapsed="false">
      <c r="A1111" s="15" t="s">
        <v>3651</v>
      </c>
      <c r="B1111" s="15" t="s">
        <v>2304</v>
      </c>
      <c r="C1111" s="15" t="s">
        <v>3549</v>
      </c>
      <c r="D1111" s="15" t="s">
        <v>878</v>
      </c>
      <c r="E1111" s="15" t="s">
        <v>69</v>
      </c>
      <c r="G1111" s="10" t="n">
        <v>1</v>
      </c>
      <c r="H1111" s="21" t="n">
        <v>46009.7596412037</v>
      </c>
      <c r="I1111" s="15" t="s">
        <v>1566</v>
      </c>
      <c r="J1111" s="15" t="s">
        <v>3652</v>
      </c>
      <c r="K1111" s="15" t="s">
        <v>3653</v>
      </c>
      <c r="L1111" s="10" t="n">
        <f aca="false">COUNTIF($E$2:E1111,E1111)</f>
        <v>150</v>
      </c>
      <c r="M1111" s="10" t="e">
        <f aca="false">ifs(L1111=1, L1111&amp;"-"&amp; COUNTIFS($L$2:L1111,1))</f>
        <v>#NAME?</v>
      </c>
      <c r="N1111" s="15"/>
      <c r="O1111" s="10" t="n">
        <f aca="false">COUNTIFS(N:N,"Đã xác nhận",C:C,C1111)</f>
        <v>0</v>
      </c>
      <c r="P1111" s="22" t="n">
        <f aca="false">COUNTIFS(C:C,C1111,N:N,"Đã xác nhận")/COUNTIFS(C:C,C1111)</f>
        <v>0</v>
      </c>
      <c r="Q1111" s="22"/>
      <c r="R1111" s="0" t="s">
        <v>768</v>
      </c>
      <c r="S1111" s="0" t="s">
        <v>535</v>
      </c>
      <c r="U1111" s="24" t="n">
        <v>1</v>
      </c>
    </row>
    <row r="1112" customFormat="false" ht="12.75" hidden="false" customHeight="false" outlineLevel="0" collapsed="false">
      <c r="A1112" s="15" t="s">
        <v>3654</v>
      </c>
      <c r="B1112" s="15" t="s">
        <v>2304</v>
      </c>
      <c r="C1112" s="15" t="s">
        <v>3549</v>
      </c>
      <c r="D1112" s="15" t="s">
        <v>611</v>
      </c>
      <c r="E1112" s="15" t="s">
        <v>33</v>
      </c>
      <c r="G1112" s="10" t="n">
        <v>1</v>
      </c>
      <c r="H1112" s="21" t="n">
        <v>46009.76</v>
      </c>
      <c r="I1112" s="15" t="s">
        <v>1566</v>
      </c>
      <c r="J1112" s="15" t="s">
        <v>3655</v>
      </c>
      <c r="K1112" s="15" t="s">
        <v>3656</v>
      </c>
      <c r="L1112" s="10" t="n">
        <f aca="false">COUNTIF($E$2:E1112,E1112)</f>
        <v>120</v>
      </c>
      <c r="M1112" s="10" t="e">
        <f aca="false">ifs(L1112=1, L1112&amp;"-"&amp; COUNTIFS($L$2:L1112,1))</f>
        <v>#NAME?</v>
      </c>
      <c r="N1112" s="15"/>
      <c r="O1112" s="10" t="n">
        <f aca="false">COUNTIFS(N:N,"Đã xác nhận",C:C,C1112)</f>
        <v>0</v>
      </c>
      <c r="P1112" s="22" t="n">
        <f aca="false">COUNTIFS(C:C,C1112,N:N,"Đã xác nhận")/COUNTIFS(C:C,C1112)</f>
        <v>0</v>
      </c>
      <c r="Q1112" s="22"/>
      <c r="R1112" s="0" t="s">
        <v>613</v>
      </c>
      <c r="S1112" s="0" t="s">
        <v>536</v>
      </c>
      <c r="U1112" s="24" t="n">
        <v>1</v>
      </c>
    </row>
    <row r="1113" customFormat="false" ht="12.75" hidden="false" customHeight="false" outlineLevel="0" collapsed="false">
      <c r="A1113" s="15" t="s">
        <v>3657</v>
      </c>
      <c r="B1113" s="15" t="s">
        <v>2304</v>
      </c>
      <c r="C1113" s="15" t="s">
        <v>3549</v>
      </c>
      <c r="D1113" s="15" t="s">
        <v>2346</v>
      </c>
      <c r="E1113" s="15" t="s">
        <v>33</v>
      </c>
      <c r="G1113" s="10" t="n">
        <v>3</v>
      </c>
      <c r="H1113" s="21" t="n">
        <v>46009.7605439815</v>
      </c>
      <c r="I1113" s="15" t="s">
        <v>3600</v>
      </c>
      <c r="J1113" s="15" t="s">
        <v>3658</v>
      </c>
      <c r="K1113" s="15" t="s">
        <v>3659</v>
      </c>
      <c r="L1113" s="10" t="n">
        <f aca="false">COUNTIF($E$2:E1113,E1113)</f>
        <v>121</v>
      </c>
      <c r="M1113" s="10" t="e">
        <f aca="false">ifs(L1113=1, L1113&amp;"-"&amp; COUNTIFS($L$2:L1113,1))</f>
        <v>#NAME?</v>
      </c>
      <c r="N1113" s="15"/>
      <c r="O1113" s="10" t="n">
        <f aca="false">COUNTIFS(N:N,"Đã xác nhận",C:C,C1113)</f>
        <v>0</v>
      </c>
      <c r="P1113" s="22" t="n">
        <f aca="false">COUNTIFS(C:C,C1113,N:N,"Đã xác nhận")/COUNTIFS(C:C,C1113)</f>
        <v>0</v>
      </c>
      <c r="Q1113" s="22"/>
      <c r="R1113" s="0" t="s">
        <v>2346</v>
      </c>
      <c r="S1113" s="0" t="s">
        <v>536</v>
      </c>
      <c r="U1113" s="24" t="n">
        <v>3</v>
      </c>
    </row>
    <row r="1114" customFormat="false" ht="12.75" hidden="false" customHeight="false" outlineLevel="0" collapsed="false">
      <c r="A1114" s="15" t="s">
        <v>3660</v>
      </c>
      <c r="B1114" s="15" t="s">
        <v>2304</v>
      </c>
      <c r="C1114" s="15" t="s">
        <v>3549</v>
      </c>
      <c r="D1114" s="15" t="s">
        <v>878</v>
      </c>
      <c r="E1114" s="15" t="s">
        <v>33</v>
      </c>
      <c r="G1114" s="10" t="n">
        <v>1</v>
      </c>
      <c r="H1114" s="21" t="n">
        <v>46009.7607638889</v>
      </c>
      <c r="I1114" s="15" t="s">
        <v>3600</v>
      </c>
      <c r="J1114" s="15" t="s">
        <v>3661</v>
      </c>
      <c r="K1114" s="15" t="s">
        <v>3662</v>
      </c>
      <c r="L1114" s="10" t="n">
        <f aca="false">COUNTIF($E$2:E1114,E1114)</f>
        <v>122</v>
      </c>
      <c r="M1114" s="10" t="e">
        <f aca="false">ifs(L1114=1, L1114&amp;"-"&amp; COUNTIFS($L$2:L1114,1))</f>
        <v>#NAME?</v>
      </c>
      <c r="N1114" s="15"/>
      <c r="O1114" s="10" t="n">
        <f aca="false">COUNTIFS(N:N,"Đã xác nhận",C:C,C1114)</f>
        <v>0</v>
      </c>
      <c r="P1114" s="22" t="n">
        <f aca="false">COUNTIFS(C:C,C1114,N:N,"Đã xác nhận")/COUNTIFS(C:C,C1114)</f>
        <v>0</v>
      </c>
      <c r="Q1114" s="22"/>
      <c r="R1114" s="0" t="s">
        <v>768</v>
      </c>
      <c r="S1114" s="0" t="s">
        <v>536</v>
      </c>
      <c r="U1114" s="24" t="n">
        <v>1</v>
      </c>
    </row>
    <row r="1115" customFormat="false" ht="12.75" hidden="false" customHeight="false" outlineLevel="0" collapsed="false">
      <c r="A1115" s="15" t="s">
        <v>3663</v>
      </c>
      <c r="B1115" s="15" t="s">
        <v>2304</v>
      </c>
      <c r="C1115" s="15" t="s">
        <v>3549</v>
      </c>
      <c r="D1115" s="15" t="s">
        <v>2333</v>
      </c>
      <c r="E1115" s="15" t="s">
        <v>33</v>
      </c>
      <c r="G1115" s="10" t="n">
        <v>1</v>
      </c>
      <c r="H1115" s="21" t="n">
        <v>46009.7612152778</v>
      </c>
      <c r="I1115" s="15" t="s">
        <v>3600</v>
      </c>
      <c r="J1115" s="15" t="s">
        <v>3664</v>
      </c>
      <c r="K1115" s="15" t="s">
        <v>3665</v>
      </c>
      <c r="L1115" s="10" t="n">
        <f aca="false">COUNTIF($E$2:E1115,E1115)</f>
        <v>123</v>
      </c>
      <c r="M1115" s="10" t="e">
        <f aca="false">ifs(L1115=1, L1115&amp;"-"&amp; COUNTIFS($L$2:L1115,1))</f>
        <v>#NAME?</v>
      </c>
      <c r="N1115" s="15"/>
      <c r="O1115" s="10" t="n">
        <f aca="false">COUNTIFS(N:N,"Đã xác nhận",C:C,C1115)</f>
        <v>0</v>
      </c>
      <c r="P1115" s="22" t="n">
        <f aca="false">COUNTIFS(C:C,C1115,N:N,"Đã xác nhận")/COUNTIFS(C:C,C1115)</f>
        <v>0</v>
      </c>
      <c r="Q1115" s="22"/>
      <c r="R1115" s="0" t="s">
        <v>2333</v>
      </c>
      <c r="S1115" s="0" t="s">
        <v>536</v>
      </c>
      <c r="U1115" s="24" t="n">
        <v>1</v>
      </c>
    </row>
    <row r="1116" customFormat="false" ht="12.75" hidden="false" customHeight="false" outlineLevel="0" collapsed="false">
      <c r="A1116" s="15" t="s">
        <v>3666</v>
      </c>
      <c r="B1116" s="15" t="s">
        <v>600</v>
      </c>
      <c r="C1116" s="15" t="s">
        <v>451</v>
      </c>
      <c r="D1116" s="15" t="s">
        <v>2740</v>
      </c>
      <c r="E1116" s="15" t="s">
        <v>49</v>
      </c>
      <c r="G1116" s="10" t="n">
        <v>1</v>
      </c>
      <c r="H1116" s="21" t="n">
        <v>46013.8058796296</v>
      </c>
      <c r="I1116" s="15" t="s">
        <v>1566</v>
      </c>
      <c r="J1116" s="15" t="s">
        <v>3667</v>
      </c>
      <c r="K1116" s="15" t="s">
        <v>3668</v>
      </c>
      <c r="L1116" s="10" t="n">
        <f aca="false">COUNTIF($E$2:E1116,E1116)</f>
        <v>16</v>
      </c>
      <c r="M1116" s="10" t="e">
        <f aca="false">ifs(L1116=1, L1116&amp;"-"&amp; COUNTIFS($L$2:L1116,1))</f>
        <v>#NAME?</v>
      </c>
      <c r="N1116" s="15"/>
      <c r="O1116" s="10" t="n">
        <f aca="false">COUNTIFS(N:N,"Đã xác nhận",C:C,C1116)</f>
        <v>0</v>
      </c>
      <c r="P1116" s="22" t="n">
        <f aca="false">COUNTIFS(C:C,C1116,N:N,"Đã xác nhận")/COUNTIFS(C:C,C1116)</f>
        <v>0</v>
      </c>
      <c r="Q1116" s="22"/>
      <c r="R1116" s="0" t="s">
        <v>2742</v>
      </c>
      <c r="S1116" s="0" t="s">
        <v>537</v>
      </c>
      <c r="U1116" s="24" t="n">
        <v>1</v>
      </c>
    </row>
    <row r="1117" customFormat="false" ht="12.75" hidden="false" customHeight="false" outlineLevel="0" collapsed="false">
      <c r="A1117" s="15" t="s">
        <v>3669</v>
      </c>
      <c r="B1117" s="15" t="s">
        <v>600</v>
      </c>
      <c r="C1117" s="15" t="s">
        <v>3670</v>
      </c>
      <c r="D1117" s="15" t="s">
        <v>766</v>
      </c>
      <c r="E1117" s="15" t="s">
        <v>547</v>
      </c>
      <c r="G1117" s="10" t="n">
        <v>1</v>
      </c>
      <c r="H1117" s="21" t="n">
        <v>46038.4840046296</v>
      </c>
      <c r="I1117" s="15" t="s">
        <v>3671</v>
      </c>
      <c r="J1117" s="15" t="s">
        <v>3672</v>
      </c>
      <c r="K1117" s="15" t="s">
        <v>3673</v>
      </c>
      <c r="L1117" s="10" t="n">
        <f aca="false">COUNTIF($E$2:E1117,E1117)</f>
        <v>32</v>
      </c>
      <c r="M1117" s="10" t="e">
        <f aca="false">ifs(L1117=1, L1117&amp;"-"&amp; COUNTIFS($L$2:L1117,1))</f>
        <v>#NAME?</v>
      </c>
      <c r="N1117" s="15" t="s">
        <v>603</v>
      </c>
      <c r="O1117" s="10" t="n">
        <f aca="false">COUNTIFS(N:N,"Đã xác nhận",C:C,C1117)</f>
        <v>19</v>
      </c>
      <c r="P1117" s="22" t="n">
        <f aca="false">COUNTIFS(C:C,C1117,N:N,"Đã xác nhận")/COUNTIFS(C:C,C1117)</f>
        <v>1</v>
      </c>
      <c r="Q1117" s="22"/>
      <c r="R1117" s="0" t="s">
        <v>768</v>
      </c>
      <c r="S1117" s="0" t="s">
        <v>548</v>
      </c>
      <c r="U1117" s="24" t="n">
        <v>1</v>
      </c>
    </row>
    <row r="1118" customFormat="false" ht="12.75" hidden="false" customHeight="false" outlineLevel="0" collapsed="false">
      <c r="A1118" s="15" t="s">
        <v>3674</v>
      </c>
      <c r="B1118" s="15" t="s">
        <v>600</v>
      </c>
      <c r="C1118" s="15" t="s">
        <v>3670</v>
      </c>
      <c r="D1118" s="15" t="s">
        <v>766</v>
      </c>
      <c r="E1118" s="15" t="s">
        <v>545</v>
      </c>
      <c r="G1118" s="10" t="n">
        <v>2</v>
      </c>
      <c r="H1118" s="21" t="n">
        <v>46036.4349537037</v>
      </c>
      <c r="I1118" s="15" t="s">
        <v>3675</v>
      </c>
      <c r="J1118" s="15" t="s">
        <v>3675</v>
      </c>
      <c r="K1118" s="15"/>
      <c r="L1118" s="10" t="n">
        <f aca="false">COUNTIF($E$2:E1118,E1118)</f>
        <v>24</v>
      </c>
      <c r="M1118" s="10" t="e">
        <f aca="false">ifs(L1118=1, L1118&amp;"-"&amp; COUNTIFS($L$2:L1118,1))</f>
        <v>#NAME?</v>
      </c>
      <c r="N1118" s="15" t="s">
        <v>603</v>
      </c>
      <c r="O1118" s="10" t="n">
        <f aca="false">COUNTIFS(N:N,"Đã xác nhận",C:C,C1118)</f>
        <v>19</v>
      </c>
      <c r="P1118" s="22" t="n">
        <f aca="false">COUNTIFS(C:C,C1118,N:N,"Đã xác nhận")/COUNTIFS(C:C,C1118)</f>
        <v>1</v>
      </c>
      <c r="Q1118" s="22"/>
      <c r="R1118" s="0" t="s">
        <v>768</v>
      </c>
      <c r="S1118" s="0" t="s">
        <v>546</v>
      </c>
      <c r="U1118" s="24" t="n">
        <v>2</v>
      </c>
    </row>
    <row r="1119" customFormat="false" ht="12.75" hidden="false" customHeight="false" outlineLevel="0" collapsed="false">
      <c r="A1119" s="15" t="s">
        <v>3676</v>
      </c>
      <c r="B1119" s="15" t="s">
        <v>600</v>
      </c>
      <c r="C1119" s="15" t="s">
        <v>3670</v>
      </c>
      <c r="D1119" s="15" t="s">
        <v>766</v>
      </c>
      <c r="E1119" s="15" t="s">
        <v>543</v>
      </c>
      <c r="G1119" s="10" t="n">
        <v>4</v>
      </c>
      <c r="H1119" s="21" t="n">
        <v>46036.4350231482</v>
      </c>
      <c r="I1119" s="15" t="s">
        <v>3677</v>
      </c>
      <c r="J1119" s="15" t="s">
        <v>3677</v>
      </c>
      <c r="K1119" s="15"/>
      <c r="L1119" s="10" t="n">
        <f aca="false">COUNTIF($E$2:E1119,E1119)</f>
        <v>27</v>
      </c>
      <c r="M1119" s="10" t="e">
        <f aca="false">ifs(L1119=1, L1119&amp;"-"&amp; COUNTIFS($L$2:L1119,1))</f>
        <v>#NAME?</v>
      </c>
      <c r="N1119" s="15" t="s">
        <v>603</v>
      </c>
      <c r="O1119" s="10" t="n">
        <f aca="false">COUNTIFS(N:N,"Đã xác nhận",C:C,C1119)</f>
        <v>19</v>
      </c>
      <c r="P1119" s="22" t="n">
        <f aca="false">COUNTIFS(C:C,C1119,N:N,"Đã xác nhận")/COUNTIFS(C:C,C1119)</f>
        <v>1</v>
      </c>
      <c r="Q1119" s="22"/>
      <c r="R1119" s="0" t="s">
        <v>768</v>
      </c>
      <c r="S1119" s="0" t="s">
        <v>544</v>
      </c>
      <c r="U1119" s="24" t="n">
        <v>4</v>
      </c>
    </row>
    <row r="1120" customFormat="false" ht="12.75" hidden="false" customHeight="false" outlineLevel="0" collapsed="false">
      <c r="A1120" s="15" t="s">
        <v>3678</v>
      </c>
      <c r="B1120" s="15" t="s">
        <v>600</v>
      </c>
      <c r="C1120" s="15" t="s">
        <v>3670</v>
      </c>
      <c r="D1120" s="15" t="s">
        <v>766</v>
      </c>
      <c r="E1120" s="15" t="s">
        <v>69</v>
      </c>
      <c r="G1120" s="10" t="n">
        <v>4</v>
      </c>
      <c r="H1120" s="21" t="n">
        <v>46036.4350925926</v>
      </c>
      <c r="I1120" s="15" t="s">
        <v>3679</v>
      </c>
      <c r="J1120" s="15" t="s">
        <v>3679</v>
      </c>
      <c r="K1120" s="15"/>
      <c r="L1120" s="10" t="n">
        <f aca="false">COUNTIF($E$2:E1120,E1120)</f>
        <v>151</v>
      </c>
      <c r="M1120" s="10" t="e">
        <f aca="false">ifs(L1120=1, L1120&amp;"-"&amp; COUNTIFS($L$2:L1120,1))</f>
        <v>#NAME?</v>
      </c>
      <c r="N1120" s="15" t="s">
        <v>603</v>
      </c>
      <c r="O1120" s="10" t="n">
        <f aca="false">COUNTIFS(N:N,"Đã xác nhận",C:C,C1120)</f>
        <v>19</v>
      </c>
      <c r="P1120" s="22" t="n">
        <f aca="false">COUNTIFS(C:C,C1120,N:N,"Đã xác nhận")/COUNTIFS(C:C,C1120)</f>
        <v>1</v>
      </c>
      <c r="Q1120" s="22"/>
      <c r="R1120" s="0" t="s">
        <v>768</v>
      </c>
      <c r="S1120" s="0" t="s">
        <v>535</v>
      </c>
      <c r="U1120" s="24" t="n">
        <v>4</v>
      </c>
    </row>
    <row r="1121" customFormat="false" ht="12.75" hidden="false" customHeight="false" outlineLevel="0" collapsed="false">
      <c r="A1121" s="15" t="s">
        <v>3680</v>
      </c>
      <c r="B1121" s="15" t="s">
        <v>600</v>
      </c>
      <c r="C1121" s="15" t="s">
        <v>3670</v>
      </c>
      <c r="D1121" s="15" t="s">
        <v>766</v>
      </c>
      <c r="E1121" s="15" t="s">
        <v>33</v>
      </c>
      <c r="G1121" s="10" t="n">
        <v>5</v>
      </c>
      <c r="H1121" s="21" t="n">
        <v>46045.478912037</v>
      </c>
      <c r="I1121" s="15" t="s">
        <v>3681</v>
      </c>
      <c r="J1121" s="15" t="s">
        <v>3681</v>
      </c>
      <c r="K1121" s="15"/>
      <c r="L1121" s="10" t="n">
        <f aca="false">COUNTIF($E$2:E1121,E1121)</f>
        <v>124</v>
      </c>
      <c r="M1121" s="10" t="e">
        <f aca="false">ifs(L1121=1, L1121&amp;"-"&amp; COUNTIFS($L$2:L1121,1))</f>
        <v>#NAME?</v>
      </c>
      <c r="N1121" s="15" t="s">
        <v>603</v>
      </c>
      <c r="O1121" s="10" t="n">
        <f aca="false">COUNTIFS(N:N,"Đã xác nhận",C:C,C1121)</f>
        <v>19</v>
      </c>
      <c r="P1121" s="22" t="n">
        <f aca="false">COUNTIFS(C:C,C1121,N:N,"Đã xác nhận")/COUNTIFS(C:C,C1121)</f>
        <v>1</v>
      </c>
      <c r="Q1121" s="22"/>
      <c r="R1121" s="0" t="s">
        <v>768</v>
      </c>
      <c r="S1121" s="0" t="s">
        <v>536</v>
      </c>
      <c r="U1121" s="24" t="n">
        <v>5</v>
      </c>
    </row>
    <row r="1122" customFormat="false" ht="12.75" hidden="false" customHeight="false" outlineLevel="0" collapsed="false">
      <c r="A1122" s="15" t="s">
        <v>3682</v>
      </c>
      <c r="B1122" s="15" t="s">
        <v>600</v>
      </c>
      <c r="C1122" s="15" t="s">
        <v>3670</v>
      </c>
      <c r="D1122" s="15" t="s">
        <v>766</v>
      </c>
      <c r="E1122" s="15" t="s">
        <v>541</v>
      </c>
      <c r="G1122" s="10" t="n">
        <v>2</v>
      </c>
      <c r="H1122" s="21" t="n">
        <v>46036.4410416667</v>
      </c>
      <c r="I1122" s="15" t="s">
        <v>3683</v>
      </c>
      <c r="J1122" s="15" t="s">
        <v>3683</v>
      </c>
      <c r="K1122" s="15"/>
      <c r="L1122" s="10" t="n">
        <f aca="false">COUNTIF($E$2:E1122,E1122)</f>
        <v>4</v>
      </c>
      <c r="M1122" s="10" t="e">
        <f aca="false">ifs(L1122=1, L1122&amp;"-"&amp; COUNTIFS($L$2:L1122,1))</f>
        <v>#NAME?</v>
      </c>
      <c r="N1122" s="15" t="s">
        <v>603</v>
      </c>
      <c r="O1122" s="10" t="n">
        <f aca="false">COUNTIFS(N:N,"Đã xác nhận",C:C,C1122)</f>
        <v>19</v>
      </c>
      <c r="P1122" s="22" t="n">
        <f aca="false">COUNTIFS(C:C,C1122,N:N,"Đã xác nhận")/COUNTIFS(C:C,C1122)</f>
        <v>1</v>
      </c>
      <c r="Q1122" s="22"/>
      <c r="R1122" s="0" t="s">
        <v>768</v>
      </c>
      <c r="S1122" s="0" t="s">
        <v>542</v>
      </c>
      <c r="U1122" s="24" t="n">
        <v>2</v>
      </c>
    </row>
    <row r="1123" customFormat="false" ht="12.75" hidden="false" customHeight="false" outlineLevel="0" collapsed="false">
      <c r="A1123" s="15" t="s">
        <v>3684</v>
      </c>
      <c r="B1123" s="15" t="s">
        <v>2687</v>
      </c>
      <c r="C1123" s="15" t="s">
        <v>470</v>
      </c>
      <c r="D1123" s="15" t="s">
        <v>2688</v>
      </c>
      <c r="E1123" s="15" t="s">
        <v>69</v>
      </c>
      <c r="G1123" s="10" t="n">
        <v>2</v>
      </c>
      <c r="H1123" s="21" t="n">
        <v>46044.6376967593</v>
      </c>
      <c r="I1123" s="15" t="s">
        <v>3685</v>
      </c>
      <c r="J1123" s="15" t="s">
        <v>3685</v>
      </c>
      <c r="K1123" s="15"/>
      <c r="L1123" s="10" t="n">
        <f aca="false">COUNTIF($E$2:E1123,E1123)</f>
        <v>152</v>
      </c>
      <c r="M1123" s="10" t="e">
        <f aca="false">ifs(L1123=1, L1123&amp;"-"&amp; COUNTIFS($L$2:L1123,1))</f>
        <v>#NAME?</v>
      </c>
      <c r="N1123" s="15" t="s">
        <v>603</v>
      </c>
      <c r="O1123" s="10" t="n">
        <f aca="false">COUNTIFS(N:N,"Đã xác nhận",C:C,C1123)</f>
        <v>2</v>
      </c>
      <c r="P1123" s="22" t="n">
        <f aca="false">COUNTIFS(C:C,C1123,N:N,"Đã xác nhận")/COUNTIFS(C:C,C1123)</f>
        <v>1</v>
      </c>
      <c r="Q1123" s="22"/>
      <c r="R1123" s="0" t="s">
        <v>2688</v>
      </c>
      <c r="S1123" s="0" t="s">
        <v>535</v>
      </c>
      <c r="U1123" s="24" t="n">
        <v>2</v>
      </c>
    </row>
    <row r="1124" customFormat="false" ht="12.75" hidden="false" customHeight="false" outlineLevel="0" collapsed="false">
      <c r="A1124" s="15" t="s">
        <v>3686</v>
      </c>
      <c r="B1124" s="15" t="s">
        <v>2304</v>
      </c>
      <c r="C1124" s="15" t="s">
        <v>523</v>
      </c>
      <c r="D1124" s="15" t="s">
        <v>611</v>
      </c>
      <c r="E1124" s="15" t="s">
        <v>69</v>
      </c>
      <c r="G1124" s="10" t="n">
        <v>1</v>
      </c>
      <c r="H1124" s="21" t="n">
        <v>46050.5012847222</v>
      </c>
      <c r="I1124" s="15" t="s">
        <v>3687</v>
      </c>
      <c r="J1124" s="15" t="s">
        <v>3687</v>
      </c>
      <c r="K1124" s="15"/>
      <c r="L1124" s="10" t="n">
        <f aca="false">COUNTIF($E$2:E1124,E1124)</f>
        <v>153</v>
      </c>
      <c r="M1124" s="10" t="e">
        <f aca="false">ifs(L1124=1, L1124&amp;"-"&amp; COUNTIFS($L$2:L1124,1))</f>
        <v>#NAME?</v>
      </c>
      <c r="N1124" s="15" t="s">
        <v>603</v>
      </c>
      <c r="O1124" s="10" t="n">
        <f aca="false">COUNTIFS(N:N,"Đã xác nhận",C:C,C1124)</f>
        <v>15</v>
      </c>
      <c r="P1124" s="22" t="n">
        <f aca="false">COUNTIFS(C:C,C1124,N:N,"Đã xác nhận")/COUNTIFS(C:C,C1124)</f>
        <v>0.9375</v>
      </c>
      <c r="Q1124" s="22"/>
      <c r="R1124" s="0" t="s">
        <v>613</v>
      </c>
      <c r="S1124" s="0" t="s">
        <v>535</v>
      </c>
      <c r="U1124" s="24" t="n">
        <v>1</v>
      </c>
    </row>
    <row r="1125" customFormat="false" ht="12.75" hidden="false" customHeight="false" outlineLevel="0" collapsed="false">
      <c r="A1125" s="15" t="s">
        <v>3688</v>
      </c>
      <c r="B1125" s="15" t="s">
        <v>2304</v>
      </c>
      <c r="C1125" s="15" t="s">
        <v>523</v>
      </c>
      <c r="D1125" s="15" t="s">
        <v>878</v>
      </c>
      <c r="E1125" s="15" t="s">
        <v>69</v>
      </c>
      <c r="G1125" s="10" t="n">
        <v>1</v>
      </c>
      <c r="H1125" s="21" t="n">
        <v>46050.5013078704</v>
      </c>
      <c r="I1125" s="15" t="s">
        <v>3689</v>
      </c>
      <c r="J1125" s="15" t="s">
        <v>3689</v>
      </c>
      <c r="K1125" s="15"/>
      <c r="L1125" s="10" t="n">
        <f aca="false">COUNTIF($E$2:E1125,E1125)</f>
        <v>154</v>
      </c>
      <c r="M1125" s="10" t="e">
        <f aca="false">ifs(L1125=1, L1125&amp;"-"&amp; COUNTIFS($L$2:L1125,1))</f>
        <v>#NAME?</v>
      </c>
      <c r="N1125" s="15" t="s">
        <v>603</v>
      </c>
      <c r="O1125" s="10" t="n">
        <f aca="false">COUNTIFS(N:N,"Đã xác nhận",C:C,C1125)</f>
        <v>15</v>
      </c>
      <c r="P1125" s="22" t="n">
        <f aca="false">COUNTIFS(C:C,C1125,N:N,"Đã xác nhận")/COUNTIFS(C:C,C1125)</f>
        <v>0.9375</v>
      </c>
      <c r="Q1125" s="22"/>
      <c r="R1125" s="0" t="s">
        <v>768</v>
      </c>
      <c r="S1125" s="0" t="s">
        <v>535</v>
      </c>
      <c r="U1125" s="24" t="n">
        <v>1</v>
      </c>
    </row>
    <row r="1126" customFormat="false" ht="12.75" hidden="false" customHeight="false" outlineLevel="0" collapsed="false">
      <c r="A1126" s="15" t="s">
        <v>3690</v>
      </c>
      <c r="B1126" s="15" t="s">
        <v>2304</v>
      </c>
      <c r="C1126" s="15" t="s">
        <v>523</v>
      </c>
      <c r="D1126" s="15" t="s">
        <v>2333</v>
      </c>
      <c r="E1126" s="15" t="s">
        <v>69</v>
      </c>
      <c r="G1126" s="10" t="n">
        <v>1</v>
      </c>
      <c r="H1126" s="21" t="n">
        <v>46050.5013425926</v>
      </c>
      <c r="I1126" s="15" t="s">
        <v>3691</v>
      </c>
      <c r="J1126" s="15" t="s">
        <v>3691</v>
      </c>
      <c r="K1126" s="15"/>
      <c r="L1126" s="10" t="n">
        <f aca="false">COUNTIF($E$2:E1126,E1126)</f>
        <v>155</v>
      </c>
      <c r="M1126" s="10" t="e">
        <f aca="false">ifs(L1126=1, L1126&amp;"-"&amp; COUNTIFS($L$2:L1126,1))</f>
        <v>#NAME?</v>
      </c>
      <c r="N1126" s="15" t="s">
        <v>603</v>
      </c>
      <c r="O1126" s="10" t="n">
        <f aca="false">COUNTIFS(N:N,"Đã xác nhận",C:C,C1126)</f>
        <v>15</v>
      </c>
      <c r="P1126" s="22" t="n">
        <f aca="false">COUNTIFS(C:C,C1126,N:N,"Đã xác nhận")/COUNTIFS(C:C,C1126)</f>
        <v>0.9375</v>
      </c>
      <c r="Q1126" s="22"/>
      <c r="R1126" s="0" t="s">
        <v>2333</v>
      </c>
      <c r="S1126" s="0" t="s">
        <v>535</v>
      </c>
      <c r="U1126" s="24" t="n">
        <v>1</v>
      </c>
    </row>
    <row r="1127" customFormat="false" ht="12.75" hidden="false" customHeight="false" outlineLevel="0" collapsed="false">
      <c r="A1127" s="15" t="s">
        <v>3692</v>
      </c>
      <c r="B1127" s="15" t="s">
        <v>2304</v>
      </c>
      <c r="C1127" s="15" t="s">
        <v>523</v>
      </c>
      <c r="D1127" s="15" t="s">
        <v>2346</v>
      </c>
      <c r="E1127" s="15" t="s">
        <v>69</v>
      </c>
      <c r="G1127" s="10" t="n">
        <v>3</v>
      </c>
      <c r="H1127" s="21" t="n">
        <v>46050.5012962963</v>
      </c>
      <c r="I1127" s="15" t="s">
        <v>3693</v>
      </c>
      <c r="J1127" s="15" t="s">
        <v>3693</v>
      </c>
      <c r="K1127" s="15"/>
      <c r="L1127" s="10" t="n">
        <f aca="false">COUNTIF($E$2:E1127,E1127)</f>
        <v>156</v>
      </c>
      <c r="M1127" s="10" t="e">
        <f aca="false">ifs(L1127=1, L1127&amp;"-"&amp; COUNTIFS($L$2:L1127,1))</f>
        <v>#NAME?</v>
      </c>
      <c r="N1127" s="15" t="s">
        <v>603</v>
      </c>
      <c r="O1127" s="10" t="n">
        <f aca="false">COUNTIFS(N:N,"Đã xác nhận",C:C,C1127)</f>
        <v>15</v>
      </c>
      <c r="P1127" s="22" t="n">
        <f aca="false">COUNTIFS(C:C,C1127,N:N,"Đã xác nhận")/COUNTIFS(C:C,C1127)</f>
        <v>0.9375</v>
      </c>
      <c r="Q1127" s="22"/>
      <c r="R1127" s="0" t="s">
        <v>2346</v>
      </c>
      <c r="S1127" s="0" t="s">
        <v>535</v>
      </c>
      <c r="U1127" s="24" t="n">
        <v>3</v>
      </c>
    </row>
    <row r="1128" customFormat="false" ht="12.75" hidden="false" customHeight="false" outlineLevel="0" collapsed="false">
      <c r="A1128" s="15" t="s">
        <v>3694</v>
      </c>
      <c r="B1128" s="15" t="s">
        <v>2304</v>
      </c>
      <c r="C1128" s="15" t="s">
        <v>523</v>
      </c>
      <c r="D1128" s="15" t="s">
        <v>611</v>
      </c>
      <c r="E1128" s="15" t="s">
        <v>33</v>
      </c>
      <c r="G1128" s="10" t="n">
        <v>1</v>
      </c>
      <c r="H1128" s="21" t="n">
        <v>46050.5010648148</v>
      </c>
      <c r="I1128" s="15" t="s">
        <v>3695</v>
      </c>
      <c r="J1128" s="15" t="s">
        <v>3695</v>
      </c>
      <c r="K1128" s="15"/>
      <c r="L1128" s="10" t="n">
        <f aca="false">COUNTIF($E$2:E1128,E1128)</f>
        <v>125</v>
      </c>
      <c r="M1128" s="10" t="e">
        <f aca="false">ifs(L1128=1, L1128&amp;"-"&amp; COUNTIFS($L$2:L1128,1))</f>
        <v>#NAME?</v>
      </c>
      <c r="N1128" s="15" t="s">
        <v>603</v>
      </c>
      <c r="O1128" s="10" t="n">
        <f aca="false">COUNTIFS(N:N,"Đã xác nhận",C:C,C1128)</f>
        <v>15</v>
      </c>
      <c r="P1128" s="22" t="n">
        <f aca="false">COUNTIFS(C:C,C1128,N:N,"Đã xác nhận")/COUNTIFS(C:C,C1128)</f>
        <v>0.9375</v>
      </c>
      <c r="Q1128" s="22"/>
      <c r="R1128" s="0" t="s">
        <v>613</v>
      </c>
      <c r="S1128" s="0" t="s">
        <v>536</v>
      </c>
      <c r="U1128" s="24" t="n">
        <v>1</v>
      </c>
    </row>
    <row r="1129" customFormat="false" ht="12.75" hidden="false" customHeight="false" outlineLevel="0" collapsed="false">
      <c r="A1129" s="15" t="s">
        <v>3696</v>
      </c>
      <c r="B1129" s="15" t="s">
        <v>2304</v>
      </c>
      <c r="C1129" s="15" t="s">
        <v>523</v>
      </c>
      <c r="D1129" s="15" t="s">
        <v>2346</v>
      </c>
      <c r="E1129" s="15" t="s">
        <v>33</v>
      </c>
      <c r="G1129" s="10" t="n">
        <v>3</v>
      </c>
      <c r="H1129" s="21" t="n">
        <v>46050.5010648148</v>
      </c>
      <c r="I1129" s="15" t="s">
        <v>3697</v>
      </c>
      <c r="J1129" s="15" t="s">
        <v>3697</v>
      </c>
      <c r="K1129" s="15"/>
      <c r="L1129" s="10" t="n">
        <f aca="false">COUNTIF($E$2:E1129,E1129)</f>
        <v>126</v>
      </c>
      <c r="M1129" s="10" t="e">
        <f aca="false">ifs(L1129=1, L1129&amp;"-"&amp; COUNTIFS($L$2:L1129,1))</f>
        <v>#NAME?</v>
      </c>
      <c r="N1129" s="15" t="s">
        <v>603</v>
      </c>
      <c r="O1129" s="10" t="n">
        <f aca="false">COUNTIFS(N:N,"Đã xác nhận",C:C,C1129)</f>
        <v>15</v>
      </c>
      <c r="P1129" s="22" t="n">
        <f aca="false">COUNTIFS(C:C,C1129,N:N,"Đã xác nhận")/COUNTIFS(C:C,C1129)</f>
        <v>0.9375</v>
      </c>
      <c r="Q1129" s="22"/>
      <c r="R1129" s="0" t="s">
        <v>2346</v>
      </c>
      <c r="S1129" s="0" t="s">
        <v>536</v>
      </c>
      <c r="U1129" s="24" t="n">
        <v>3</v>
      </c>
    </row>
    <row r="1130" customFormat="false" ht="12.75" hidden="false" customHeight="false" outlineLevel="0" collapsed="false">
      <c r="A1130" s="15" t="s">
        <v>3698</v>
      </c>
      <c r="B1130" s="15" t="s">
        <v>2304</v>
      </c>
      <c r="C1130" s="15" t="s">
        <v>523</v>
      </c>
      <c r="D1130" s="15" t="s">
        <v>878</v>
      </c>
      <c r="E1130" s="15" t="s">
        <v>33</v>
      </c>
      <c r="G1130" s="10" t="n">
        <v>1</v>
      </c>
      <c r="H1130" s="21" t="n">
        <v>46050.5010763889</v>
      </c>
      <c r="I1130" s="15" t="s">
        <v>3699</v>
      </c>
      <c r="J1130" s="15" t="s">
        <v>3699</v>
      </c>
      <c r="K1130" s="15"/>
      <c r="L1130" s="10" t="n">
        <f aca="false">COUNTIF($E$2:E1130,E1130)</f>
        <v>127</v>
      </c>
      <c r="M1130" s="10" t="e">
        <f aca="false">ifs(L1130=1, L1130&amp;"-"&amp; COUNTIFS($L$2:L1130,1))</f>
        <v>#NAME?</v>
      </c>
      <c r="N1130" s="15" t="s">
        <v>603</v>
      </c>
      <c r="O1130" s="10" t="n">
        <f aca="false">COUNTIFS(N:N,"Đã xác nhận",C:C,C1130)</f>
        <v>15</v>
      </c>
      <c r="P1130" s="22" t="n">
        <f aca="false">COUNTIFS(C:C,C1130,N:N,"Đã xác nhận")/COUNTIFS(C:C,C1130)</f>
        <v>0.9375</v>
      </c>
      <c r="Q1130" s="22"/>
      <c r="R1130" s="0" t="s">
        <v>768</v>
      </c>
      <c r="S1130" s="0" t="s">
        <v>536</v>
      </c>
      <c r="U1130" s="24" t="n">
        <v>1</v>
      </c>
    </row>
    <row r="1131" customFormat="false" ht="12.75" hidden="false" customHeight="false" outlineLevel="0" collapsed="false">
      <c r="A1131" s="15" t="s">
        <v>3700</v>
      </c>
      <c r="B1131" s="15" t="s">
        <v>2304</v>
      </c>
      <c r="C1131" s="15" t="s">
        <v>523</v>
      </c>
      <c r="D1131" s="15" t="s">
        <v>2333</v>
      </c>
      <c r="E1131" s="15" t="s">
        <v>33</v>
      </c>
      <c r="G1131" s="10" t="n">
        <v>1</v>
      </c>
      <c r="H1131" s="21" t="n">
        <v>46050.501087963</v>
      </c>
      <c r="I1131" s="15" t="s">
        <v>3701</v>
      </c>
      <c r="J1131" s="15" t="s">
        <v>3701</v>
      </c>
      <c r="K1131" s="15"/>
      <c r="L1131" s="10" t="n">
        <f aca="false">COUNTIF($E$2:E1131,E1131)</f>
        <v>128</v>
      </c>
      <c r="M1131" s="10" t="e">
        <f aca="false">ifs(L1131=1, L1131&amp;"-"&amp; COUNTIFS($L$2:L1131,1))</f>
        <v>#NAME?</v>
      </c>
      <c r="N1131" s="15" t="s">
        <v>603</v>
      </c>
      <c r="O1131" s="10" t="n">
        <f aca="false">COUNTIFS(N:N,"Đã xác nhận",C:C,C1131)</f>
        <v>15</v>
      </c>
      <c r="P1131" s="22" t="n">
        <f aca="false">COUNTIFS(C:C,C1131,N:N,"Đã xác nhận")/COUNTIFS(C:C,C1131)</f>
        <v>0.9375</v>
      </c>
      <c r="Q1131" s="22"/>
      <c r="R1131" s="0" t="s">
        <v>2333</v>
      </c>
      <c r="S1131" s="0" t="s">
        <v>536</v>
      </c>
      <c r="U1131" s="24" t="n">
        <v>1</v>
      </c>
    </row>
    <row r="1132" customFormat="false" ht="12.75" hidden="false" customHeight="false" outlineLevel="0" collapsed="false">
      <c r="A1132" s="15" t="s">
        <v>3702</v>
      </c>
      <c r="B1132" s="15"/>
      <c r="C1132" s="15"/>
      <c r="D1132" s="15"/>
      <c r="E1132" s="15"/>
      <c r="G1132" s="10" t="n">
        <v>0</v>
      </c>
      <c r="H1132" s="21" t="n">
        <v>46046.4401851852</v>
      </c>
      <c r="I1132" s="15" t="s">
        <v>3703</v>
      </c>
      <c r="J1132" s="15" t="s">
        <v>695</v>
      </c>
      <c r="K1132" s="15" t="s">
        <v>3704</v>
      </c>
      <c r="L1132" s="10" t="n">
        <f aca="false">COUNTIF($E$2:E1132,E1132)</f>
        <v>0</v>
      </c>
      <c r="M1132" s="10" t="e">
        <f aca="false">ifs(L1132=1, L1132&amp;"-"&amp; COUNTIFS($L$2:L1132,1))</f>
        <v>#NAME?</v>
      </c>
      <c r="N1132" s="15"/>
      <c r="O1132" s="10" t="n">
        <f aca="false">COUNTIFS(N:N,"Đã xác nhận",C:C,C1132)</f>
        <v>0</v>
      </c>
      <c r="P1132" s="22" t="e">
        <f aca="false">COUNTIFS(C:C,C1132,N:N,"Đã xác nhận")/COUNTIFS(C:C,C1132)</f>
        <v>#DIV/0!</v>
      </c>
      <c r="Q1132" s="22"/>
      <c r="R1132" s="0" t="e">
        <f aca="false">#VALUE!</f>
        <v>#VALUE!</v>
      </c>
      <c r="S1132" s="0" t="e">
        <f aca="false">#VALUE!</f>
        <v>#VALUE!</v>
      </c>
      <c r="U1132" s="24" t="n">
        <v>0</v>
      </c>
    </row>
    <row r="1133" customFormat="false" ht="12.75" hidden="false" customHeight="false" outlineLevel="0" collapsed="false">
      <c r="A1133" s="15" t="s">
        <v>3705</v>
      </c>
      <c r="B1133" s="15"/>
      <c r="C1133" s="15"/>
      <c r="D1133" s="15"/>
      <c r="E1133" s="15"/>
      <c r="G1133" s="10" t="n">
        <v>0</v>
      </c>
      <c r="H1133" s="21" t="n">
        <v>46046.432662037</v>
      </c>
      <c r="I1133" s="15" t="s">
        <v>3706</v>
      </c>
      <c r="J1133" s="15" t="s">
        <v>695</v>
      </c>
      <c r="K1133" s="15" t="s">
        <v>3707</v>
      </c>
      <c r="L1133" s="10" t="n">
        <f aca="false">COUNTIF($E$2:E1133,E1133)</f>
        <v>0</v>
      </c>
      <c r="M1133" s="10" t="e">
        <f aca="false">ifs(L1133=1, L1133&amp;"-"&amp; COUNTIFS($L$2:L1133,1))</f>
        <v>#NAME?</v>
      </c>
      <c r="N1133" s="15"/>
      <c r="O1133" s="10" t="n">
        <f aca="false">COUNTIFS(N:N,"Đã xác nhận",C:C,C1133)</f>
        <v>0</v>
      </c>
      <c r="P1133" s="22" t="e">
        <f aca="false">COUNTIFS(C:C,C1133,N:N,"Đã xác nhận")/COUNTIFS(C:C,C1133)</f>
        <v>#DIV/0!</v>
      </c>
      <c r="Q1133" s="22"/>
      <c r="R1133" s="0" t="e">
        <f aca="false">#VALUE!</f>
        <v>#VALUE!</v>
      </c>
      <c r="S1133" s="0" t="e">
        <f aca="false">#VALUE!</f>
        <v>#VALUE!</v>
      </c>
      <c r="U1133" s="24" t="n">
        <v>0</v>
      </c>
    </row>
    <row r="1134" customFormat="false" ht="12.75" hidden="false" customHeight="false" outlineLevel="0" collapsed="false">
      <c r="A1134" s="15" t="s">
        <v>3708</v>
      </c>
      <c r="B1134" s="15" t="s">
        <v>2304</v>
      </c>
      <c r="C1134" s="15" t="s">
        <v>3709</v>
      </c>
      <c r="D1134" s="15" t="s">
        <v>611</v>
      </c>
      <c r="E1134" s="15" t="s">
        <v>69</v>
      </c>
      <c r="G1134" s="10" t="n">
        <v>1</v>
      </c>
      <c r="H1134" s="21" t="n">
        <v>46049.6796412037</v>
      </c>
      <c r="I1134" s="15" t="s">
        <v>3710</v>
      </c>
      <c r="J1134" s="15" t="s">
        <v>3710</v>
      </c>
      <c r="K1134" s="15"/>
      <c r="L1134" s="10" t="n">
        <f aca="false">COUNTIF($E$2:E1134,E1134)</f>
        <v>157</v>
      </c>
      <c r="M1134" s="10" t="e">
        <f aca="false">ifs(L1134=1, L1134&amp;"-"&amp; COUNTIFS($L$2:L1134,1))</f>
        <v>#NAME?</v>
      </c>
      <c r="N1134" s="15" t="s">
        <v>603</v>
      </c>
      <c r="O1134" s="10" t="n">
        <f aca="false">COUNTIFS(N:N,"Đã xác nhận",C:C,C1134)</f>
        <v>14</v>
      </c>
      <c r="P1134" s="22" t="n">
        <f aca="false">COUNTIFS(C:C,C1134,N:N,"Đã xác nhận")/COUNTIFS(C:C,C1134)</f>
        <v>1</v>
      </c>
      <c r="Q1134" s="22"/>
      <c r="R1134" s="0" t="s">
        <v>613</v>
      </c>
      <c r="S1134" s="0" t="s">
        <v>535</v>
      </c>
      <c r="U1134" s="24" t="n">
        <v>1</v>
      </c>
    </row>
    <row r="1135" customFormat="false" ht="12.75" hidden="false" customHeight="false" outlineLevel="0" collapsed="false">
      <c r="A1135" s="15" t="s">
        <v>3711</v>
      </c>
      <c r="B1135" s="15" t="s">
        <v>2304</v>
      </c>
      <c r="C1135" s="15" t="s">
        <v>3709</v>
      </c>
      <c r="D1135" s="15" t="s">
        <v>611</v>
      </c>
      <c r="E1135" s="15" t="s">
        <v>33</v>
      </c>
      <c r="G1135" s="10" t="n">
        <v>1</v>
      </c>
      <c r="H1135" s="21" t="n">
        <v>46049.679537037</v>
      </c>
      <c r="I1135" s="15" t="s">
        <v>3712</v>
      </c>
      <c r="J1135" s="15" t="s">
        <v>3712</v>
      </c>
      <c r="K1135" s="15"/>
      <c r="L1135" s="10" t="n">
        <f aca="false">COUNTIF($E$2:E1135,E1135)</f>
        <v>129</v>
      </c>
      <c r="M1135" s="10" t="e">
        <f aca="false">ifs(L1135=1, L1135&amp;"-"&amp; COUNTIFS($L$2:L1135,1))</f>
        <v>#NAME?</v>
      </c>
      <c r="N1135" s="15" t="s">
        <v>603</v>
      </c>
      <c r="O1135" s="10" t="n">
        <f aca="false">COUNTIFS(N:N,"Đã xác nhận",C:C,C1135)</f>
        <v>14</v>
      </c>
      <c r="P1135" s="22" t="n">
        <f aca="false">COUNTIFS(C:C,C1135,N:N,"Đã xác nhận")/COUNTIFS(C:C,C1135)</f>
        <v>1</v>
      </c>
      <c r="Q1135" s="22"/>
      <c r="R1135" s="0" t="s">
        <v>613</v>
      </c>
      <c r="S1135" s="0" t="s">
        <v>536</v>
      </c>
      <c r="U1135" s="24" t="n">
        <v>1</v>
      </c>
    </row>
    <row r="1136" customFormat="false" ht="12.75" hidden="false" customHeight="false" outlineLevel="0" collapsed="false">
      <c r="A1136" s="15" t="s">
        <v>3713</v>
      </c>
      <c r="B1136" s="15" t="s">
        <v>2304</v>
      </c>
      <c r="C1136" s="15" t="s">
        <v>3709</v>
      </c>
      <c r="D1136" s="15" t="s">
        <v>878</v>
      </c>
      <c r="E1136" s="15" t="s">
        <v>69</v>
      </c>
      <c r="G1136" s="10" t="n">
        <v>1</v>
      </c>
      <c r="H1136" s="21" t="n">
        <v>46049.6796643519</v>
      </c>
      <c r="I1136" s="15" t="s">
        <v>3714</v>
      </c>
      <c r="J1136" s="15" t="s">
        <v>3714</v>
      </c>
      <c r="K1136" s="15"/>
      <c r="L1136" s="10" t="n">
        <f aca="false">COUNTIF($E$2:E1136,E1136)</f>
        <v>158</v>
      </c>
      <c r="M1136" s="10" t="e">
        <f aca="false">ifs(L1136=1, L1136&amp;"-"&amp; COUNTIFS($L$2:L1136,1))</f>
        <v>#NAME?</v>
      </c>
      <c r="N1136" s="15" t="s">
        <v>603</v>
      </c>
      <c r="O1136" s="10" t="n">
        <f aca="false">COUNTIFS(N:N,"Đã xác nhận",C:C,C1136)</f>
        <v>14</v>
      </c>
      <c r="P1136" s="22" t="n">
        <f aca="false">COUNTIFS(C:C,C1136,N:N,"Đã xác nhận")/COUNTIFS(C:C,C1136)</f>
        <v>1</v>
      </c>
      <c r="Q1136" s="22"/>
      <c r="R1136" s="0" t="s">
        <v>768</v>
      </c>
      <c r="S1136" s="0" t="s">
        <v>535</v>
      </c>
      <c r="U1136" s="24" t="n">
        <v>1</v>
      </c>
    </row>
    <row r="1137" customFormat="false" ht="12.75" hidden="false" customHeight="false" outlineLevel="0" collapsed="false">
      <c r="A1137" s="15" t="s">
        <v>3715</v>
      </c>
      <c r="B1137" s="15" t="s">
        <v>2304</v>
      </c>
      <c r="C1137" s="15" t="s">
        <v>3709</v>
      </c>
      <c r="D1137" s="15" t="s">
        <v>878</v>
      </c>
      <c r="E1137" s="15" t="s">
        <v>33</v>
      </c>
      <c r="G1137" s="10" t="n">
        <v>1</v>
      </c>
      <c r="H1137" s="21" t="n">
        <v>46049.6795486111</v>
      </c>
      <c r="I1137" s="15" t="s">
        <v>3716</v>
      </c>
      <c r="J1137" s="15" t="s">
        <v>3716</v>
      </c>
      <c r="K1137" s="15"/>
      <c r="L1137" s="10" t="n">
        <f aca="false">COUNTIF($E$2:E1137,E1137)</f>
        <v>130</v>
      </c>
      <c r="M1137" s="10" t="e">
        <f aca="false">ifs(L1137=1, L1137&amp;"-"&amp; COUNTIFS($L$2:L1137,1))</f>
        <v>#NAME?</v>
      </c>
      <c r="N1137" s="15" t="s">
        <v>603</v>
      </c>
      <c r="O1137" s="10" t="n">
        <f aca="false">COUNTIFS(N:N,"Đã xác nhận",C:C,C1137)</f>
        <v>14</v>
      </c>
      <c r="P1137" s="22" t="n">
        <f aca="false">COUNTIFS(C:C,C1137,N:N,"Đã xác nhận")/COUNTIFS(C:C,C1137)</f>
        <v>1</v>
      </c>
      <c r="Q1137" s="22"/>
      <c r="R1137" s="0" t="s">
        <v>768</v>
      </c>
      <c r="S1137" s="0" t="s">
        <v>536</v>
      </c>
      <c r="U1137" s="24" t="n">
        <v>1</v>
      </c>
    </row>
    <row r="1138" customFormat="false" ht="12.75" hidden="false" customHeight="false" outlineLevel="0" collapsed="false">
      <c r="A1138" s="15" t="s">
        <v>3717</v>
      </c>
      <c r="B1138" s="15" t="s">
        <v>2304</v>
      </c>
      <c r="C1138" s="15" t="s">
        <v>3709</v>
      </c>
      <c r="D1138" s="15" t="s">
        <v>2333</v>
      </c>
      <c r="E1138" s="15" t="s">
        <v>69</v>
      </c>
      <c r="G1138" s="10" t="n">
        <v>1</v>
      </c>
      <c r="H1138" s="21" t="n">
        <v>46049.6796643519</v>
      </c>
      <c r="I1138" s="15" t="s">
        <v>3718</v>
      </c>
      <c r="J1138" s="15" t="s">
        <v>3718</v>
      </c>
      <c r="K1138" s="15"/>
      <c r="L1138" s="10" t="n">
        <f aca="false">COUNTIF($E$2:E1138,E1138)</f>
        <v>159</v>
      </c>
      <c r="M1138" s="10" t="e">
        <f aca="false">ifs(L1138=1, L1138&amp;"-"&amp; COUNTIFS($L$2:L1138,1))</f>
        <v>#NAME?</v>
      </c>
      <c r="N1138" s="15" t="s">
        <v>603</v>
      </c>
      <c r="O1138" s="10" t="n">
        <f aca="false">COUNTIFS(N:N,"Đã xác nhận",C:C,C1138)</f>
        <v>14</v>
      </c>
      <c r="P1138" s="22" t="n">
        <f aca="false">COUNTIFS(C:C,C1138,N:N,"Đã xác nhận")/COUNTIFS(C:C,C1138)</f>
        <v>1</v>
      </c>
      <c r="Q1138" s="22"/>
      <c r="R1138" s="0" t="s">
        <v>2333</v>
      </c>
      <c r="S1138" s="0" t="s">
        <v>535</v>
      </c>
      <c r="U1138" s="24" t="n">
        <v>1</v>
      </c>
    </row>
    <row r="1139" customFormat="false" ht="12.75" hidden="false" customHeight="false" outlineLevel="0" collapsed="false">
      <c r="A1139" s="15" t="s">
        <v>3719</v>
      </c>
      <c r="B1139" s="15" t="s">
        <v>2304</v>
      </c>
      <c r="C1139" s="15" t="s">
        <v>3709</v>
      </c>
      <c r="D1139" s="15" t="s">
        <v>2333</v>
      </c>
      <c r="E1139" s="15" t="s">
        <v>33</v>
      </c>
      <c r="G1139" s="10" t="n">
        <v>1</v>
      </c>
      <c r="H1139" s="21" t="n">
        <v>46049.6795601852</v>
      </c>
      <c r="I1139" s="15" t="s">
        <v>3720</v>
      </c>
      <c r="J1139" s="15" t="s">
        <v>3720</v>
      </c>
      <c r="K1139" s="15"/>
      <c r="L1139" s="10" t="n">
        <f aca="false">COUNTIF($E$2:E1139,E1139)</f>
        <v>131</v>
      </c>
      <c r="M1139" s="10" t="e">
        <f aca="false">ifs(L1139=1, L1139&amp;"-"&amp; COUNTIFS($L$2:L1139,1))</f>
        <v>#NAME?</v>
      </c>
      <c r="N1139" s="15" t="s">
        <v>603</v>
      </c>
      <c r="O1139" s="10" t="n">
        <f aca="false">COUNTIFS(N:N,"Đã xác nhận",C:C,C1139)</f>
        <v>14</v>
      </c>
      <c r="P1139" s="22" t="n">
        <f aca="false">COUNTIFS(C:C,C1139,N:N,"Đã xác nhận")/COUNTIFS(C:C,C1139)</f>
        <v>1</v>
      </c>
      <c r="Q1139" s="22"/>
      <c r="R1139" s="0" t="s">
        <v>2333</v>
      </c>
      <c r="S1139" s="0" t="s">
        <v>536</v>
      </c>
      <c r="U1139" s="24" t="n">
        <v>1</v>
      </c>
    </row>
    <row r="1140" customFormat="false" ht="12.75" hidden="false" customHeight="false" outlineLevel="0" collapsed="false">
      <c r="A1140" s="15" t="s">
        <v>3721</v>
      </c>
      <c r="B1140" s="15" t="s">
        <v>2304</v>
      </c>
      <c r="C1140" s="15" t="s">
        <v>3709</v>
      </c>
      <c r="D1140" s="15" t="s">
        <v>2346</v>
      </c>
      <c r="E1140" s="15" t="s">
        <v>69</v>
      </c>
      <c r="G1140" s="10" t="n">
        <v>3</v>
      </c>
      <c r="H1140" s="21" t="n">
        <v>46049.6796527778</v>
      </c>
      <c r="I1140" s="15" t="s">
        <v>3722</v>
      </c>
      <c r="J1140" s="15" t="s">
        <v>3722</v>
      </c>
      <c r="K1140" s="15"/>
      <c r="L1140" s="10" t="n">
        <f aca="false">COUNTIF($E$2:E1140,E1140)</f>
        <v>160</v>
      </c>
      <c r="M1140" s="10" t="e">
        <f aca="false">ifs(L1140=1, L1140&amp;"-"&amp; COUNTIFS($L$2:L1140,1))</f>
        <v>#NAME?</v>
      </c>
      <c r="N1140" s="15" t="s">
        <v>603</v>
      </c>
      <c r="O1140" s="10" t="n">
        <f aca="false">COUNTIFS(N:N,"Đã xác nhận",C:C,C1140)</f>
        <v>14</v>
      </c>
      <c r="P1140" s="22" t="n">
        <f aca="false">COUNTIFS(C:C,C1140,N:N,"Đã xác nhận")/COUNTIFS(C:C,C1140)</f>
        <v>1</v>
      </c>
      <c r="Q1140" s="22"/>
      <c r="R1140" s="0" t="s">
        <v>2346</v>
      </c>
      <c r="S1140" s="0" t="s">
        <v>535</v>
      </c>
      <c r="U1140" s="24" t="n">
        <v>3</v>
      </c>
    </row>
    <row r="1141" customFormat="false" ht="12.75" hidden="false" customHeight="false" outlineLevel="0" collapsed="false">
      <c r="A1141" s="15" t="s">
        <v>3723</v>
      </c>
      <c r="B1141" s="15" t="s">
        <v>2304</v>
      </c>
      <c r="C1141" s="15" t="s">
        <v>3709</v>
      </c>
      <c r="D1141" s="15" t="s">
        <v>2346</v>
      </c>
      <c r="E1141" s="15" t="s">
        <v>33</v>
      </c>
      <c r="G1141" s="10" t="n">
        <v>3</v>
      </c>
      <c r="H1141" s="21" t="n">
        <v>46049.6795486111</v>
      </c>
      <c r="I1141" s="15" t="s">
        <v>3724</v>
      </c>
      <c r="J1141" s="15" t="s">
        <v>3724</v>
      </c>
      <c r="K1141" s="15"/>
      <c r="L1141" s="10" t="n">
        <f aca="false">COUNTIF($E$2:E1141,E1141)</f>
        <v>132</v>
      </c>
      <c r="M1141" s="10" t="e">
        <f aca="false">ifs(L1141=1, L1141&amp;"-"&amp; COUNTIFS($L$2:L1141,1))</f>
        <v>#NAME?</v>
      </c>
      <c r="N1141" s="15" t="s">
        <v>603</v>
      </c>
      <c r="O1141" s="10" t="n">
        <f aca="false">COUNTIFS(N:N,"Đã xác nhận",C:C,C1141)</f>
        <v>14</v>
      </c>
      <c r="P1141" s="22" t="n">
        <f aca="false">COUNTIFS(C:C,C1141,N:N,"Đã xác nhận")/COUNTIFS(C:C,C1141)</f>
        <v>1</v>
      </c>
      <c r="Q1141" s="22"/>
      <c r="R1141" s="0" t="s">
        <v>2346</v>
      </c>
      <c r="S1141" s="0" t="s">
        <v>536</v>
      </c>
      <c r="U1141" s="24" t="n">
        <v>3</v>
      </c>
    </row>
    <row r="1142" customFormat="false" ht="12.75" hidden="false" customHeight="false" outlineLevel="0" collapsed="false">
      <c r="A1142" s="15" t="s">
        <v>3725</v>
      </c>
      <c r="B1142" s="15" t="s">
        <v>600</v>
      </c>
      <c r="C1142" s="15" t="s">
        <v>3726</v>
      </c>
      <c r="D1142" s="15" t="s">
        <v>673</v>
      </c>
      <c r="E1142" s="15" t="s">
        <v>69</v>
      </c>
      <c r="G1142" s="10" t="n">
        <v>2</v>
      </c>
      <c r="H1142" s="21" t="n">
        <v>46027.431099537</v>
      </c>
      <c r="I1142" s="15" t="s">
        <v>3727</v>
      </c>
      <c r="J1142" s="15" t="s">
        <v>3728</v>
      </c>
      <c r="K1142" s="15" t="s">
        <v>3729</v>
      </c>
      <c r="L1142" s="10" t="n">
        <f aca="false">COUNTIF($E$2:E1142,E1142)</f>
        <v>161</v>
      </c>
      <c r="M1142" s="10" t="e">
        <f aca="false">ifs(L1142=1, L1142&amp;"-"&amp; COUNTIFS($L$2:L1142,1))</f>
        <v>#NAME?</v>
      </c>
      <c r="N1142" s="15"/>
      <c r="O1142" s="10" t="s">
        <v>3730</v>
      </c>
      <c r="P1142" s="22" t="n">
        <f aca="false">COUNTIFS(C:C,C1142,N:N,"Đã xác nhận")/COUNTIFS(C:C,C1142)</f>
        <v>0</v>
      </c>
      <c r="Q1142" s="22"/>
      <c r="R1142" s="0" t="s">
        <v>675</v>
      </c>
      <c r="S1142" s="0" t="s">
        <v>535</v>
      </c>
      <c r="U1142" s="24" t="n">
        <v>2</v>
      </c>
    </row>
    <row r="1143" customFormat="false" ht="12.75" hidden="false" customHeight="false" outlineLevel="0" collapsed="false">
      <c r="A1143" s="15" t="s">
        <v>3731</v>
      </c>
      <c r="B1143" s="15" t="s">
        <v>600</v>
      </c>
      <c r="C1143" s="15" t="s">
        <v>494</v>
      </c>
      <c r="D1143" s="15" t="s">
        <v>673</v>
      </c>
      <c r="E1143" s="15" t="s">
        <v>69</v>
      </c>
      <c r="G1143" s="10" t="n">
        <v>4</v>
      </c>
      <c r="H1143" s="21" t="n">
        <v>46027.6755324074</v>
      </c>
      <c r="I1143" s="15" t="s">
        <v>3732</v>
      </c>
      <c r="J1143" s="15" t="s">
        <v>3732</v>
      </c>
      <c r="K1143" s="15"/>
      <c r="L1143" s="10" t="n">
        <f aca="false">COUNTIF($E$2:E1143,E1143)</f>
        <v>162</v>
      </c>
      <c r="M1143" s="10" t="e">
        <f aca="false">ifs(L1143=1, L1143&amp;"-"&amp; COUNTIFS($L$2:L1143,1))</f>
        <v>#NAME?</v>
      </c>
      <c r="N1143" s="15" t="s">
        <v>603</v>
      </c>
      <c r="O1143" s="10" t="s">
        <v>3730</v>
      </c>
      <c r="P1143" s="22" t="n">
        <f aca="false">COUNTIFS(C:C,C1143,N:N,"Đã xác nhận")/COUNTIFS(C:C,C1143)</f>
        <v>1</v>
      </c>
      <c r="Q1143" s="22"/>
      <c r="R1143" s="0" t="s">
        <v>675</v>
      </c>
      <c r="S1143" s="0" t="s">
        <v>535</v>
      </c>
      <c r="U1143" s="24" t="n">
        <v>4</v>
      </c>
    </row>
    <row r="1144" customFormat="false" ht="12.75" hidden="false" customHeight="false" outlineLevel="0" collapsed="false">
      <c r="A1144" s="15" t="s">
        <v>3733</v>
      </c>
      <c r="B1144" s="15"/>
      <c r="C1144" s="15"/>
      <c r="D1144" s="15"/>
      <c r="E1144" s="15"/>
      <c r="G1144" s="10" t="n">
        <v>0</v>
      </c>
      <c r="H1144" s="21" t="n">
        <v>46044.6081134259</v>
      </c>
      <c r="I1144" s="15" t="s">
        <v>3734</v>
      </c>
      <c r="J1144" s="15" t="s">
        <v>695</v>
      </c>
      <c r="K1144" s="15" t="s">
        <v>3735</v>
      </c>
      <c r="L1144" s="10" t="n">
        <f aca="false">COUNTIF($E$2:E1144,E1144)</f>
        <v>0</v>
      </c>
      <c r="M1144" s="10" t="e">
        <f aca="false">ifs(L1144=1, L1144&amp;"-"&amp; COUNTIFS($L$2:L1144,1))</f>
        <v>#NAME?</v>
      </c>
      <c r="N1144" s="15"/>
      <c r="O1144" s="10" t="s">
        <v>3730</v>
      </c>
      <c r="P1144" s="22" t="e">
        <f aca="false">COUNTIFS(C:C,C1144,N:N,"Đã xác nhận")/COUNTIFS(C:C,C1144)</f>
        <v>#DIV/0!</v>
      </c>
      <c r="Q1144" s="22"/>
      <c r="R1144" s="0" t="e">
        <f aca="false">#VALUE!</f>
        <v>#VALUE!</v>
      </c>
      <c r="S1144" s="0" t="e">
        <f aca="false">#VALUE!</f>
        <v>#VALUE!</v>
      </c>
      <c r="U1144" s="24" t="n">
        <v>0</v>
      </c>
    </row>
    <row r="1145" customFormat="false" ht="12.75" hidden="false" customHeight="false" outlineLevel="0" collapsed="false">
      <c r="A1145" s="15" t="s">
        <v>3736</v>
      </c>
      <c r="B1145" s="15"/>
      <c r="C1145" s="15"/>
      <c r="D1145" s="15"/>
      <c r="E1145" s="15"/>
      <c r="G1145" s="10" t="n">
        <v>0</v>
      </c>
      <c r="H1145" s="21" t="n">
        <v>46044.6097453704</v>
      </c>
      <c r="I1145" s="15" t="s">
        <v>3737</v>
      </c>
      <c r="J1145" s="15" t="s">
        <v>695</v>
      </c>
      <c r="K1145" s="15" t="s">
        <v>3738</v>
      </c>
      <c r="L1145" s="10" t="n">
        <f aca="false">COUNTIF($E$2:E1145,E1145)</f>
        <v>0</v>
      </c>
      <c r="M1145" s="10" t="e">
        <f aca="false">ifs(L1145=1, L1145&amp;"-"&amp; COUNTIFS($L$2:L1145,1))</f>
        <v>#NAME?</v>
      </c>
      <c r="N1145" s="15"/>
      <c r="O1145" s="10" t="s">
        <v>3730</v>
      </c>
      <c r="P1145" s="22" t="e">
        <f aca="false">COUNTIFS(C:C,C1145,N:N,"Đã xác nhận")/COUNTIFS(C:C,C1145)</f>
        <v>#DIV/0!</v>
      </c>
      <c r="Q1145" s="22"/>
      <c r="R1145" s="0" t="e">
        <f aca="false">#VALUE!</f>
        <v>#VALUE!</v>
      </c>
      <c r="S1145" s="0" t="e">
        <f aca="false">#VALUE!</f>
        <v>#VALUE!</v>
      </c>
      <c r="U1145" s="24" t="n">
        <v>0</v>
      </c>
    </row>
    <row r="1146" customFormat="false" ht="12.75" hidden="false" customHeight="false" outlineLevel="0" collapsed="false">
      <c r="A1146" s="15" t="s">
        <v>3739</v>
      </c>
      <c r="B1146" s="15" t="s">
        <v>600</v>
      </c>
      <c r="C1146" s="15" t="s">
        <v>451</v>
      </c>
      <c r="D1146" s="15" t="s">
        <v>766</v>
      </c>
      <c r="E1146" s="15" t="s">
        <v>69</v>
      </c>
      <c r="G1146" s="10" t="n">
        <v>1</v>
      </c>
      <c r="H1146" s="21" t="n">
        <v>46029.7049421296</v>
      </c>
      <c r="I1146" s="15" t="s">
        <v>3596</v>
      </c>
      <c r="J1146" s="15" t="s">
        <v>3740</v>
      </c>
      <c r="K1146" s="15" t="s">
        <v>3741</v>
      </c>
      <c r="L1146" s="10" t="n">
        <f aca="false">COUNTIF($E$2:E1146,E1146)</f>
        <v>163</v>
      </c>
      <c r="M1146" s="10" t="e">
        <f aca="false">ifs(L1146=1, L1146&amp;"-"&amp; COUNTIFS($L$2:L1146,1))</f>
        <v>#NAME?</v>
      </c>
      <c r="N1146" s="15"/>
      <c r="O1146" s="10" t="s">
        <v>3730</v>
      </c>
      <c r="P1146" s="22" t="n">
        <f aca="false">COUNTIFS(C:C,C1146,N:N,"Đã xác nhận")/COUNTIFS(C:C,C1146)</f>
        <v>0</v>
      </c>
      <c r="Q1146" s="22"/>
      <c r="R1146" s="0" t="s">
        <v>768</v>
      </c>
      <c r="S1146" s="0" t="s">
        <v>535</v>
      </c>
      <c r="U1146" s="24" t="n">
        <v>1</v>
      </c>
    </row>
    <row r="1147" customFormat="false" ht="12.75" hidden="false" customHeight="false" outlineLevel="0" collapsed="false">
      <c r="A1147" s="15" t="s">
        <v>3742</v>
      </c>
      <c r="B1147" s="15" t="s">
        <v>600</v>
      </c>
      <c r="C1147" s="15" t="s">
        <v>452</v>
      </c>
      <c r="D1147" s="15" t="s">
        <v>766</v>
      </c>
      <c r="E1147" s="15" t="s">
        <v>61</v>
      </c>
      <c r="G1147" s="10" t="n">
        <v>1</v>
      </c>
      <c r="H1147" s="21" t="n">
        <v>46036.4309143519</v>
      </c>
      <c r="I1147" s="15" t="s">
        <v>3743</v>
      </c>
      <c r="J1147" s="15" t="s">
        <v>3743</v>
      </c>
      <c r="K1147" s="15"/>
      <c r="L1147" s="10" t="n">
        <f aca="false">COUNTIF($E$2:E1147,E1147)</f>
        <v>2</v>
      </c>
      <c r="M1147" s="10" t="e">
        <f aca="false">ifs(L1147=1, L1147&amp;"-"&amp; COUNTIFS($L$2:L1147,1))</f>
        <v>#NAME?</v>
      </c>
      <c r="N1147" s="15" t="s">
        <v>603</v>
      </c>
      <c r="O1147" s="10" t="s">
        <v>3730</v>
      </c>
      <c r="P1147" s="22" t="n">
        <f aca="false">COUNTIFS(C:C,C1147,N:N,"Đã xác nhận")/COUNTIFS(C:C,C1147)</f>
        <v>1</v>
      </c>
      <c r="Q1147" s="22"/>
      <c r="R1147" s="0" t="s">
        <v>768</v>
      </c>
      <c r="S1147" s="0" t="s">
        <v>576</v>
      </c>
      <c r="U1147" s="24" t="n">
        <v>1</v>
      </c>
    </row>
    <row r="1148" customFormat="false" ht="12.75" hidden="false" customHeight="false" outlineLevel="0" collapsed="false">
      <c r="A1148" s="15" t="s">
        <v>3744</v>
      </c>
      <c r="B1148" s="15" t="s">
        <v>600</v>
      </c>
      <c r="C1148" s="15" t="s">
        <v>3670</v>
      </c>
      <c r="D1148" s="15" t="s">
        <v>673</v>
      </c>
      <c r="E1148" s="15" t="s">
        <v>77</v>
      </c>
      <c r="G1148" s="10" t="n">
        <v>3</v>
      </c>
      <c r="H1148" s="21" t="n">
        <v>46036.4413425926</v>
      </c>
      <c r="I1148" s="15" t="s">
        <v>3745</v>
      </c>
      <c r="J1148" s="15" t="s">
        <v>3745</v>
      </c>
      <c r="K1148" s="15"/>
      <c r="L1148" s="10" t="n">
        <f aca="false">COUNTIF($E$2:E1148,E1148)</f>
        <v>42</v>
      </c>
      <c r="M1148" s="10" t="e">
        <f aca="false">ifs(L1148=1, L1148&amp;"-"&amp; COUNTIFS($L$2:L1148,1))</f>
        <v>#NAME?</v>
      </c>
      <c r="N1148" s="15" t="s">
        <v>603</v>
      </c>
      <c r="O1148" s="10" t="s">
        <v>3730</v>
      </c>
      <c r="P1148" s="22" t="n">
        <f aca="false">COUNTIFS(C:C,C1148,N:N,"Đã xác nhận")/COUNTIFS(C:C,C1148)</f>
        <v>1</v>
      </c>
      <c r="Q1148" s="22"/>
      <c r="R1148" s="0" t="s">
        <v>675</v>
      </c>
      <c r="S1148" s="0" t="s">
        <v>78</v>
      </c>
      <c r="U1148" s="24" t="n">
        <v>3</v>
      </c>
    </row>
    <row r="1149" customFormat="false" ht="12.75" hidden="false" customHeight="false" outlineLevel="0" collapsed="false">
      <c r="A1149" s="15" t="s">
        <v>3746</v>
      </c>
      <c r="B1149" s="15" t="s">
        <v>600</v>
      </c>
      <c r="C1149" s="15" t="s">
        <v>3670</v>
      </c>
      <c r="D1149" s="15" t="s">
        <v>617</v>
      </c>
      <c r="E1149" s="15" t="s">
        <v>49</v>
      </c>
      <c r="G1149" s="10" t="n">
        <v>1</v>
      </c>
      <c r="H1149" s="21" t="n">
        <v>46036.4414351852</v>
      </c>
      <c r="I1149" s="15" t="s">
        <v>3747</v>
      </c>
      <c r="J1149" s="15" t="s">
        <v>3747</v>
      </c>
      <c r="K1149" s="15"/>
      <c r="L1149" s="10" t="n">
        <f aca="false">COUNTIF($E$2:E1149,E1149)</f>
        <v>17</v>
      </c>
      <c r="M1149" s="10" t="e">
        <f aca="false">ifs(L1149=1, L1149&amp;"-"&amp; COUNTIFS($L$2:L1149,1))</f>
        <v>#NAME?</v>
      </c>
      <c r="N1149" s="15" t="s">
        <v>603</v>
      </c>
      <c r="O1149" s="10" t="s">
        <v>3730</v>
      </c>
      <c r="P1149" s="22" t="n">
        <f aca="false">COUNTIFS(C:C,C1149,N:N,"Đã xác nhận")/COUNTIFS(C:C,C1149)</f>
        <v>1</v>
      </c>
      <c r="Q1149" s="22"/>
      <c r="R1149" s="0" t="s">
        <v>619</v>
      </c>
      <c r="S1149" s="0" t="s">
        <v>537</v>
      </c>
      <c r="U1149" s="24" t="n">
        <v>1</v>
      </c>
    </row>
    <row r="1150" customFormat="false" ht="12.75" hidden="false" customHeight="false" outlineLevel="0" collapsed="false">
      <c r="A1150" s="15" t="s">
        <v>3748</v>
      </c>
      <c r="B1150" s="15" t="s">
        <v>600</v>
      </c>
      <c r="C1150" s="15" t="s">
        <v>3670</v>
      </c>
      <c r="D1150" s="15" t="s">
        <v>617</v>
      </c>
      <c r="E1150" s="15" t="s">
        <v>43</v>
      </c>
      <c r="G1150" s="10" t="n">
        <v>1</v>
      </c>
      <c r="H1150" s="21" t="n">
        <v>46036.4412615741</v>
      </c>
      <c r="I1150" s="15" t="s">
        <v>3749</v>
      </c>
      <c r="J1150" s="15" t="s">
        <v>3749</v>
      </c>
      <c r="K1150" s="15"/>
      <c r="L1150" s="10" t="n">
        <f aca="false">COUNTIF($E$2:E1150,E1150)</f>
        <v>13</v>
      </c>
      <c r="M1150" s="10" t="e">
        <f aca="false">ifs(L1150=1, L1150&amp;"-"&amp; COUNTIFS($L$2:L1150,1))</f>
        <v>#NAME?</v>
      </c>
      <c r="N1150" s="15" t="s">
        <v>603</v>
      </c>
      <c r="O1150" s="10" t="s">
        <v>3730</v>
      </c>
      <c r="P1150" s="22" t="n">
        <f aca="false">COUNTIFS(C:C,C1150,N:N,"Đã xác nhận")/COUNTIFS(C:C,C1150)</f>
        <v>1</v>
      </c>
      <c r="Q1150" s="22"/>
      <c r="R1150" s="0" t="s">
        <v>619</v>
      </c>
      <c r="S1150" s="0" t="s">
        <v>538</v>
      </c>
      <c r="U1150" s="24" t="n">
        <v>1</v>
      </c>
    </row>
    <row r="1151" customFormat="false" ht="12.75" hidden="false" customHeight="false" outlineLevel="0" collapsed="false">
      <c r="A1151" s="15" t="s">
        <v>3750</v>
      </c>
      <c r="B1151" s="15" t="s">
        <v>600</v>
      </c>
      <c r="C1151" s="15" t="s">
        <v>3670</v>
      </c>
      <c r="D1151" s="15" t="s">
        <v>1224</v>
      </c>
      <c r="E1151" s="15" t="s">
        <v>81</v>
      </c>
      <c r="G1151" s="10" t="n">
        <v>7</v>
      </c>
      <c r="H1151" s="21" t="n">
        <v>46036.4411689815</v>
      </c>
      <c r="I1151" s="15" t="s">
        <v>3751</v>
      </c>
      <c r="J1151" s="15" t="s">
        <v>3751</v>
      </c>
      <c r="K1151" s="15"/>
      <c r="L1151" s="10" t="n">
        <f aca="false">COUNTIF($E$2:E1151,E1151)</f>
        <v>193</v>
      </c>
      <c r="M1151" s="10" t="e">
        <f aca="false">ifs(L1151=1, L1151&amp;"-"&amp; COUNTIFS($L$2:L1151,1))</f>
        <v>#NAME?</v>
      </c>
      <c r="N1151" s="15" t="s">
        <v>603</v>
      </c>
      <c r="O1151" s="10" t="s">
        <v>3730</v>
      </c>
      <c r="P1151" s="22" t="n">
        <f aca="false">COUNTIFS(C:C,C1151,N:N,"Đã xác nhận")/COUNTIFS(C:C,C1151)</f>
        <v>1</v>
      </c>
      <c r="Q1151" s="22"/>
      <c r="R1151" s="0" t="s">
        <v>1226</v>
      </c>
      <c r="S1151" s="0" t="s">
        <v>534</v>
      </c>
      <c r="U1151" s="24" t="n">
        <v>7</v>
      </c>
    </row>
    <row r="1152" customFormat="false" ht="12.75" hidden="false" customHeight="false" outlineLevel="0" collapsed="false">
      <c r="A1152" s="15" t="s">
        <v>3752</v>
      </c>
      <c r="B1152" s="15" t="s">
        <v>600</v>
      </c>
      <c r="C1152" s="15" t="s">
        <v>3670</v>
      </c>
      <c r="D1152" s="15" t="s">
        <v>2732</v>
      </c>
      <c r="E1152" s="15" t="s">
        <v>79</v>
      </c>
      <c r="G1152" s="10" t="n">
        <v>1</v>
      </c>
      <c r="H1152" s="21" t="n">
        <v>46036.4411226852</v>
      </c>
      <c r="I1152" s="15" t="s">
        <v>3753</v>
      </c>
      <c r="J1152" s="15" t="s">
        <v>3753</v>
      </c>
      <c r="K1152" s="15"/>
      <c r="L1152" s="10" t="n">
        <f aca="false">COUNTIF($E$2:E1152,E1152)</f>
        <v>18</v>
      </c>
      <c r="M1152" s="10" t="e">
        <f aca="false">ifs(L1152=1, L1152&amp;"-"&amp; COUNTIFS($L$2:L1152,1))</f>
        <v>#NAME?</v>
      </c>
      <c r="N1152" s="15" t="s">
        <v>603</v>
      </c>
      <c r="O1152" s="10" t="s">
        <v>3730</v>
      </c>
      <c r="P1152" s="22" t="n">
        <f aca="false">COUNTIFS(C:C,C1152,N:N,"Đã xác nhận")/COUNTIFS(C:C,C1152)</f>
        <v>1</v>
      </c>
      <c r="Q1152" s="22"/>
      <c r="R1152" s="0" t="s">
        <v>2734</v>
      </c>
      <c r="S1152" s="0" t="s">
        <v>564</v>
      </c>
      <c r="U1152" s="24" t="n">
        <v>1</v>
      </c>
    </row>
    <row r="1153" customFormat="false" ht="12.75" hidden="false" customHeight="false" outlineLevel="0" collapsed="false">
      <c r="A1153" s="15" t="s">
        <v>3754</v>
      </c>
      <c r="B1153" s="15" t="s">
        <v>600</v>
      </c>
      <c r="C1153" s="15" t="s">
        <v>527</v>
      </c>
      <c r="D1153" s="15" t="s">
        <v>766</v>
      </c>
      <c r="E1153" s="15" t="s">
        <v>547</v>
      </c>
      <c r="G1153" s="10" t="n">
        <v>1</v>
      </c>
      <c r="H1153" s="21" t="n">
        <v>46038.4840277778</v>
      </c>
      <c r="I1153" s="15" t="s">
        <v>3755</v>
      </c>
      <c r="J1153" s="15" t="s">
        <v>3756</v>
      </c>
      <c r="K1153" s="15" t="s">
        <v>3757</v>
      </c>
      <c r="L1153" s="10" t="n">
        <f aca="false">COUNTIF($E$2:E1153,E1153)</f>
        <v>33</v>
      </c>
      <c r="M1153" s="10" t="e">
        <f aca="false">ifs(L1153=1, L1153&amp;"-"&amp; COUNTIFS($L$2:L1153,1))</f>
        <v>#NAME?</v>
      </c>
      <c r="N1153" s="15"/>
      <c r="O1153" s="10" t="s">
        <v>3730</v>
      </c>
      <c r="P1153" s="22" t="n">
        <f aca="false">COUNTIFS(C:C,C1153,N:N,"Đã xác nhận")/COUNTIFS(C:C,C1153)</f>
        <v>0</v>
      </c>
      <c r="Q1153" s="22"/>
      <c r="R1153" s="0" t="s">
        <v>768</v>
      </c>
      <c r="S1153" s="0" t="s">
        <v>548</v>
      </c>
      <c r="U1153" s="24" t="n">
        <v>1</v>
      </c>
    </row>
    <row r="1154" customFormat="false" ht="12.75" hidden="false" customHeight="false" outlineLevel="0" collapsed="false">
      <c r="A1154" s="15" t="s">
        <v>3758</v>
      </c>
      <c r="B1154" s="15" t="s">
        <v>600</v>
      </c>
      <c r="C1154" s="15" t="s">
        <v>527</v>
      </c>
      <c r="D1154" s="15" t="s">
        <v>766</v>
      </c>
      <c r="E1154" s="15" t="s">
        <v>545</v>
      </c>
      <c r="G1154" s="10" t="n">
        <v>1</v>
      </c>
      <c r="H1154" s="21" t="n">
        <v>46036.4452199074</v>
      </c>
      <c r="I1154" s="15" t="s">
        <v>1566</v>
      </c>
      <c r="J1154" s="15" t="s">
        <v>3759</v>
      </c>
      <c r="K1154" s="15" t="s">
        <v>3760</v>
      </c>
      <c r="L1154" s="10" t="n">
        <f aca="false">COUNTIF($E$2:E1154,E1154)</f>
        <v>25</v>
      </c>
      <c r="M1154" s="10" t="e">
        <f aca="false">ifs(L1154=1, L1154&amp;"-"&amp; COUNTIFS($L$2:L1154,1))</f>
        <v>#NAME?</v>
      </c>
      <c r="N1154" s="15"/>
      <c r="O1154" s="10" t="s">
        <v>3730</v>
      </c>
      <c r="P1154" s="22" t="n">
        <f aca="false">COUNTIFS(C:C,C1154,N:N,"Đã xác nhận")/COUNTIFS(C:C,C1154)</f>
        <v>0</v>
      </c>
      <c r="Q1154" s="22"/>
      <c r="R1154" s="0" t="s">
        <v>768</v>
      </c>
      <c r="S1154" s="0" t="s">
        <v>546</v>
      </c>
      <c r="U1154" s="24" t="n">
        <v>1</v>
      </c>
    </row>
    <row r="1155" customFormat="false" ht="12.75" hidden="false" customHeight="false" outlineLevel="0" collapsed="false">
      <c r="A1155" s="15" t="s">
        <v>3761</v>
      </c>
      <c r="B1155" s="15" t="s">
        <v>600</v>
      </c>
      <c r="C1155" s="15" t="s">
        <v>527</v>
      </c>
      <c r="D1155" s="15" t="s">
        <v>766</v>
      </c>
      <c r="E1155" s="15" t="s">
        <v>543</v>
      </c>
      <c r="G1155" s="10" t="n">
        <v>2</v>
      </c>
      <c r="H1155" s="21" t="n">
        <v>46036.4454976852</v>
      </c>
      <c r="I1155" s="15" t="s">
        <v>1566</v>
      </c>
      <c r="J1155" s="15" t="s">
        <v>3762</v>
      </c>
      <c r="K1155" s="15" t="s">
        <v>3763</v>
      </c>
      <c r="L1155" s="10" t="n">
        <f aca="false">COUNTIF($E$2:E1155,E1155)</f>
        <v>28</v>
      </c>
      <c r="M1155" s="10" t="e">
        <f aca="false">ifs(L1155=1, L1155&amp;"-"&amp; COUNTIFS($L$2:L1155,1))</f>
        <v>#NAME?</v>
      </c>
      <c r="N1155" s="15"/>
      <c r="O1155" s="10" t="s">
        <v>3730</v>
      </c>
      <c r="P1155" s="22" t="n">
        <f aca="false">COUNTIFS(C:C,C1155,N:N,"Đã xác nhận")/COUNTIFS(C:C,C1155)</f>
        <v>0</v>
      </c>
      <c r="Q1155" s="22"/>
      <c r="R1155" s="0" t="s">
        <v>768</v>
      </c>
      <c r="S1155" s="0" t="s">
        <v>544</v>
      </c>
      <c r="U1155" s="24" t="n">
        <v>2</v>
      </c>
    </row>
    <row r="1156" customFormat="false" ht="12.75" hidden="false" customHeight="false" outlineLevel="0" collapsed="false">
      <c r="A1156" s="15" t="s">
        <v>3764</v>
      </c>
      <c r="B1156" s="15" t="s">
        <v>600</v>
      </c>
      <c r="C1156" s="15" t="s">
        <v>527</v>
      </c>
      <c r="D1156" s="15" t="s">
        <v>766</v>
      </c>
      <c r="E1156" s="15" t="s">
        <v>541</v>
      </c>
      <c r="G1156" s="10" t="n">
        <v>1</v>
      </c>
      <c r="H1156" s="21" t="n">
        <v>46036.4460300926</v>
      </c>
      <c r="I1156" s="15" t="s">
        <v>3596</v>
      </c>
      <c r="J1156" s="15" t="s">
        <v>3765</v>
      </c>
      <c r="K1156" s="15" t="s">
        <v>3766</v>
      </c>
      <c r="L1156" s="10" t="n">
        <f aca="false">COUNTIF($E$2:E1156,E1156)</f>
        <v>5</v>
      </c>
      <c r="M1156" s="10" t="e">
        <f aca="false">ifs(L1156=1, L1156&amp;"-"&amp; COUNTIFS($L$2:L1156,1))</f>
        <v>#NAME?</v>
      </c>
      <c r="N1156" s="15"/>
      <c r="O1156" s="10" t="s">
        <v>3730</v>
      </c>
      <c r="P1156" s="22" t="n">
        <f aca="false">COUNTIFS(C:C,C1156,N:N,"Đã xác nhận")/COUNTIFS(C:C,C1156)</f>
        <v>0</v>
      </c>
      <c r="Q1156" s="22"/>
      <c r="R1156" s="0" t="s">
        <v>768</v>
      </c>
      <c r="S1156" s="0" t="s">
        <v>542</v>
      </c>
      <c r="U1156" s="24" t="n">
        <v>1</v>
      </c>
    </row>
    <row r="1157" customFormat="false" ht="12.75" hidden="false" customHeight="false" outlineLevel="0" collapsed="false">
      <c r="A1157" s="15" t="s">
        <v>3767</v>
      </c>
      <c r="B1157" s="15" t="s">
        <v>600</v>
      </c>
      <c r="C1157" s="15" t="s">
        <v>527</v>
      </c>
      <c r="D1157" s="15" t="s">
        <v>2033</v>
      </c>
      <c r="E1157" s="15" t="s">
        <v>45</v>
      </c>
      <c r="G1157" s="10" t="n">
        <v>1</v>
      </c>
      <c r="H1157" s="21" t="n">
        <v>46036.4463888889</v>
      </c>
      <c r="I1157" s="15" t="s">
        <v>3596</v>
      </c>
      <c r="J1157" s="15" t="s">
        <v>3768</v>
      </c>
      <c r="K1157" s="15" t="s">
        <v>3769</v>
      </c>
      <c r="L1157" s="10" t="n">
        <f aca="false">COUNTIF($E$2:E1157,E1157)</f>
        <v>9</v>
      </c>
      <c r="M1157" s="10" t="e">
        <f aca="false">ifs(L1157=1, L1157&amp;"-"&amp; COUNTIFS($L$2:L1157,1))</f>
        <v>#NAME?</v>
      </c>
      <c r="N1157" s="15"/>
      <c r="O1157" s="10" t="s">
        <v>3730</v>
      </c>
      <c r="P1157" s="22" t="n">
        <f aca="false">COUNTIFS(C:C,C1157,N:N,"Đã xác nhận")/COUNTIFS(C:C,C1157)</f>
        <v>0</v>
      </c>
      <c r="Q1157" s="22"/>
      <c r="R1157" s="0" t="s">
        <v>2035</v>
      </c>
      <c r="S1157" s="0" t="s">
        <v>540</v>
      </c>
      <c r="U1157" s="24" t="n">
        <v>1</v>
      </c>
    </row>
    <row r="1158" customFormat="false" ht="12.75" hidden="false" customHeight="false" outlineLevel="0" collapsed="false">
      <c r="A1158" s="15" t="s">
        <v>3770</v>
      </c>
      <c r="B1158" s="15" t="s">
        <v>600</v>
      </c>
      <c r="C1158" s="15" t="s">
        <v>527</v>
      </c>
      <c r="D1158" s="15" t="s">
        <v>2753</v>
      </c>
      <c r="E1158" s="15" t="s">
        <v>55</v>
      </c>
      <c r="G1158" s="10" t="n">
        <v>1</v>
      </c>
      <c r="H1158" s="21" t="n">
        <v>46036.4468981482</v>
      </c>
      <c r="I1158" s="15" t="s">
        <v>3596</v>
      </c>
      <c r="J1158" s="15" t="s">
        <v>3771</v>
      </c>
      <c r="K1158" s="15" t="s">
        <v>3772</v>
      </c>
      <c r="L1158" s="10" t="n">
        <f aca="false">COUNTIF($E$2:E1158,E1158)</f>
        <v>97</v>
      </c>
      <c r="M1158" s="10" t="e">
        <f aca="false">ifs(L1158=1, L1158&amp;"-"&amp; COUNTIFS($L$2:L1158,1))</f>
        <v>#NAME?</v>
      </c>
      <c r="N1158" s="15"/>
      <c r="O1158" s="10" t="s">
        <v>3730</v>
      </c>
      <c r="P1158" s="22" t="n">
        <f aca="false">COUNTIFS(C:C,C1158,N:N,"Đã xác nhận")/COUNTIFS(C:C,C1158)</f>
        <v>0</v>
      </c>
      <c r="Q1158" s="22"/>
      <c r="R1158" s="0" t="s">
        <v>2755</v>
      </c>
      <c r="S1158" s="0" t="s">
        <v>539</v>
      </c>
      <c r="U1158" s="24" t="n">
        <v>1</v>
      </c>
    </row>
    <row r="1159" customFormat="false" ht="12.75" hidden="false" customHeight="false" outlineLevel="0" collapsed="false">
      <c r="A1159" s="15" t="s">
        <v>3773</v>
      </c>
      <c r="B1159" s="15" t="s">
        <v>600</v>
      </c>
      <c r="C1159" s="15" t="s">
        <v>527</v>
      </c>
      <c r="D1159" s="15" t="s">
        <v>2753</v>
      </c>
      <c r="E1159" s="15" t="s">
        <v>59</v>
      </c>
      <c r="G1159" s="10" t="n">
        <v>1</v>
      </c>
      <c r="H1159" s="21" t="n">
        <v>46036.4473263889</v>
      </c>
      <c r="I1159" s="15" t="s">
        <v>3596</v>
      </c>
      <c r="J1159" s="15" t="s">
        <v>3774</v>
      </c>
      <c r="K1159" s="15" t="s">
        <v>3775</v>
      </c>
      <c r="L1159" s="10" t="n">
        <f aca="false">COUNTIF($E$2:E1159,E1159)</f>
        <v>25</v>
      </c>
      <c r="M1159" s="10" t="e">
        <f aca="false">ifs(L1159=1, L1159&amp;"-"&amp; COUNTIFS($L$2:L1159,1))</f>
        <v>#NAME?</v>
      </c>
      <c r="N1159" s="15"/>
      <c r="O1159" s="10" t="s">
        <v>3730</v>
      </c>
      <c r="P1159" s="22" t="n">
        <f aca="false">COUNTIFS(C:C,C1159,N:N,"Đã xác nhận")/COUNTIFS(C:C,C1159)</f>
        <v>0</v>
      </c>
      <c r="Q1159" s="22"/>
      <c r="R1159" s="0" t="s">
        <v>2755</v>
      </c>
      <c r="S1159" s="0" t="s">
        <v>562</v>
      </c>
      <c r="U1159" s="24" t="n">
        <v>1</v>
      </c>
    </row>
    <row r="1160" customFormat="false" ht="12.75" hidden="false" customHeight="false" outlineLevel="0" collapsed="false">
      <c r="A1160" s="15" t="s">
        <v>3776</v>
      </c>
      <c r="B1160" s="15" t="s">
        <v>600</v>
      </c>
      <c r="C1160" s="15" t="s">
        <v>527</v>
      </c>
      <c r="D1160" s="15" t="s">
        <v>2796</v>
      </c>
      <c r="E1160" s="15" t="s">
        <v>47</v>
      </c>
      <c r="G1160" s="10" t="n">
        <v>1</v>
      </c>
      <c r="H1160" s="21" t="n">
        <v>46036.4479513889</v>
      </c>
      <c r="I1160" s="15" t="s">
        <v>3596</v>
      </c>
      <c r="J1160" s="15" t="s">
        <v>3777</v>
      </c>
      <c r="K1160" s="15" t="s">
        <v>3778</v>
      </c>
      <c r="L1160" s="10" t="n">
        <f aca="false">COUNTIF($E$2:E1160,E1160)</f>
        <v>56</v>
      </c>
      <c r="M1160" s="10" t="e">
        <f aca="false">ifs(L1160=1, L1160&amp;"-"&amp; COUNTIFS($L$2:L1160,1))</f>
        <v>#NAME?</v>
      </c>
      <c r="N1160" s="15"/>
      <c r="O1160" s="10" t="s">
        <v>3730</v>
      </c>
      <c r="P1160" s="22" t="n">
        <f aca="false">COUNTIFS(C:C,C1160,N:N,"Đã xác nhận")/COUNTIFS(C:C,C1160)</f>
        <v>0</v>
      </c>
      <c r="Q1160" s="22"/>
      <c r="R1160" s="0" t="s">
        <v>2798</v>
      </c>
      <c r="S1160" s="0" t="s">
        <v>549</v>
      </c>
      <c r="U1160" s="24" t="n">
        <v>1</v>
      </c>
    </row>
    <row r="1161" customFormat="false" ht="12.75" hidden="false" customHeight="false" outlineLevel="0" collapsed="false">
      <c r="A1161" s="15" t="s">
        <v>3779</v>
      </c>
      <c r="B1161" s="15" t="s">
        <v>600</v>
      </c>
      <c r="C1161" s="15" t="s">
        <v>527</v>
      </c>
      <c r="D1161" s="15" t="s">
        <v>2757</v>
      </c>
      <c r="E1161" s="15" t="s">
        <v>43</v>
      </c>
      <c r="G1161" s="10" t="n">
        <v>1</v>
      </c>
      <c r="H1161" s="21" t="n">
        <v>46036.4485069444</v>
      </c>
      <c r="I1161" s="15" t="s">
        <v>3596</v>
      </c>
      <c r="J1161" s="15" t="s">
        <v>3780</v>
      </c>
      <c r="K1161" s="15" t="s">
        <v>3781</v>
      </c>
      <c r="L1161" s="10" t="n">
        <f aca="false">COUNTIF($E$2:E1161,E1161)</f>
        <v>14</v>
      </c>
      <c r="M1161" s="10" t="e">
        <f aca="false">ifs(L1161=1, L1161&amp;"-"&amp; COUNTIFS($L$2:L1161,1))</f>
        <v>#NAME?</v>
      </c>
      <c r="N1161" s="15"/>
      <c r="O1161" s="10" t="s">
        <v>3730</v>
      </c>
      <c r="P1161" s="22" t="n">
        <f aca="false">COUNTIFS(C:C,C1161,N:N,"Đã xác nhận")/COUNTIFS(C:C,C1161)</f>
        <v>0</v>
      </c>
      <c r="Q1161" s="22"/>
      <c r="R1161" s="0" t="s">
        <v>2759</v>
      </c>
      <c r="S1161" s="0" t="s">
        <v>538</v>
      </c>
      <c r="U1161" s="24" t="n">
        <v>1</v>
      </c>
    </row>
    <row r="1162" customFormat="false" ht="12.75" hidden="false" customHeight="false" outlineLevel="0" collapsed="false">
      <c r="A1162" s="15" t="s">
        <v>3782</v>
      </c>
      <c r="B1162" s="15" t="s">
        <v>600</v>
      </c>
      <c r="C1162" s="15" t="s">
        <v>451</v>
      </c>
      <c r="D1162" s="15" t="s">
        <v>2757</v>
      </c>
      <c r="E1162" s="15" t="s">
        <v>43</v>
      </c>
      <c r="G1162" s="10" t="n">
        <v>2</v>
      </c>
      <c r="H1162" s="21" t="n">
        <v>46036.4493055556</v>
      </c>
      <c r="I1162" s="15" t="s">
        <v>3783</v>
      </c>
      <c r="J1162" s="15" t="s">
        <v>3784</v>
      </c>
      <c r="K1162" s="15" t="s">
        <v>3785</v>
      </c>
      <c r="L1162" s="10" t="n">
        <f aca="false">COUNTIF($E$2:E1162,E1162)</f>
        <v>15</v>
      </c>
      <c r="M1162" s="10" t="e">
        <f aca="false">ifs(L1162=1, L1162&amp;"-"&amp; COUNTIFS($L$2:L1162,1))</f>
        <v>#NAME?</v>
      </c>
      <c r="N1162" s="15"/>
      <c r="O1162" s="10" t="s">
        <v>3730</v>
      </c>
      <c r="P1162" s="22" t="n">
        <f aca="false">COUNTIFS(C:C,C1162,N:N,"Đã xác nhận")/COUNTIFS(C:C,C1162)</f>
        <v>0</v>
      </c>
      <c r="Q1162" s="22"/>
      <c r="R1162" s="0" t="s">
        <v>2759</v>
      </c>
      <c r="S1162" s="0" t="s">
        <v>538</v>
      </c>
      <c r="U1162" s="24" t="n">
        <v>2</v>
      </c>
    </row>
    <row r="1163" customFormat="false" ht="12.75" hidden="false" customHeight="false" outlineLevel="0" collapsed="false">
      <c r="A1163" s="15" t="s">
        <v>3786</v>
      </c>
      <c r="B1163" s="15" t="s">
        <v>600</v>
      </c>
      <c r="C1163" s="15" t="s">
        <v>451</v>
      </c>
      <c r="D1163" s="15" t="s">
        <v>2753</v>
      </c>
      <c r="E1163" s="15" t="s">
        <v>55</v>
      </c>
      <c r="G1163" s="10" t="n">
        <v>1</v>
      </c>
      <c r="H1163" s="21" t="n">
        <v>46036.4495949074</v>
      </c>
      <c r="I1163" s="15" t="s">
        <v>3783</v>
      </c>
      <c r="J1163" s="15" t="s">
        <v>3787</v>
      </c>
      <c r="K1163" s="15" t="s">
        <v>3788</v>
      </c>
      <c r="L1163" s="10" t="n">
        <f aca="false">COUNTIF($E$2:E1163,E1163)</f>
        <v>98</v>
      </c>
      <c r="M1163" s="10" t="e">
        <f aca="false">ifs(L1163=1, L1163&amp;"-"&amp; COUNTIFS($L$2:L1163,1))</f>
        <v>#NAME?</v>
      </c>
      <c r="N1163" s="15"/>
      <c r="O1163" s="10" t="s">
        <v>3730</v>
      </c>
      <c r="P1163" s="22" t="n">
        <f aca="false">COUNTIFS(C:C,C1163,N:N,"Đã xác nhận")/COUNTIFS(C:C,C1163)</f>
        <v>0</v>
      </c>
      <c r="Q1163" s="22"/>
      <c r="R1163" s="0" t="s">
        <v>2755</v>
      </c>
      <c r="S1163" s="0" t="s">
        <v>539</v>
      </c>
      <c r="U1163" s="24" t="n">
        <v>1</v>
      </c>
    </row>
    <row r="1164" customFormat="false" ht="12.75" hidden="false" customHeight="false" outlineLevel="0" collapsed="false">
      <c r="A1164" s="15" t="s">
        <v>3789</v>
      </c>
      <c r="B1164" s="15" t="s">
        <v>600</v>
      </c>
      <c r="C1164" s="15" t="s">
        <v>451</v>
      </c>
      <c r="D1164" s="15" t="s">
        <v>2033</v>
      </c>
      <c r="E1164" s="15" t="s">
        <v>45</v>
      </c>
      <c r="G1164" s="10" t="n">
        <v>1</v>
      </c>
      <c r="H1164" s="21" t="n">
        <v>46036.4499074074</v>
      </c>
      <c r="I1164" s="15" t="s">
        <v>3783</v>
      </c>
      <c r="J1164" s="15" t="s">
        <v>3790</v>
      </c>
      <c r="K1164" s="15" t="s">
        <v>3791</v>
      </c>
      <c r="L1164" s="10" t="n">
        <f aca="false">COUNTIF($E$2:E1164,E1164)</f>
        <v>10</v>
      </c>
      <c r="M1164" s="10" t="e">
        <f aca="false">ifs(L1164=1, L1164&amp;"-"&amp; COUNTIFS($L$2:L1164,1))</f>
        <v>#NAME?</v>
      </c>
      <c r="N1164" s="15"/>
      <c r="O1164" s="10" t="s">
        <v>3730</v>
      </c>
      <c r="P1164" s="22" t="n">
        <f aca="false">COUNTIFS(C:C,C1164,N:N,"Đã xác nhận")/COUNTIFS(C:C,C1164)</f>
        <v>0</v>
      </c>
      <c r="Q1164" s="22"/>
      <c r="R1164" s="0" t="s">
        <v>2035</v>
      </c>
      <c r="S1164" s="0" t="s">
        <v>540</v>
      </c>
      <c r="U1164" s="24" t="n">
        <v>1</v>
      </c>
    </row>
    <row r="1165" customFormat="false" ht="12.75" hidden="false" customHeight="false" outlineLevel="0" collapsed="false">
      <c r="A1165" s="15" t="s">
        <v>3792</v>
      </c>
      <c r="B1165" s="15" t="s">
        <v>600</v>
      </c>
      <c r="C1165" s="15" t="s">
        <v>451</v>
      </c>
      <c r="D1165" s="15" t="s">
        <v>766</v>
      </c>
      <c r="E1165" s="15" t="s">
        <v>541</v>
      </c>
      <c r="G1165" s="10" t="n">
        <v>1</v>
      </c>
      <c r="H1165" s="21" t="n">
        <v>46036.4501851852</v>
      </c>
      <c r="I1165" s="15" t="s">
        <v>3783</v>
      </c>
      <c r="J1165" s="15" t="s">
        <v>3793</v>
      </c>
      <c r="K1165" s="15" t="s">
        <v>3794</v>
      </c>
      <c r="L1165" s="10" t="n">
        <f aca="false">COUNTIF($E$2:E1165,E1165)</f>
        <v>6</v>
      </c>
      <c r="M1165" s="10" t="e">
        <f aca="false">ifs(L1165=1, L1165&amp;"-"&amp; COUNTIFS($L$2:L1165,1))</f>
        <v>#NAME?</v>
      </c>
      <c r="N1165" s="15"/>
      <c r="O1165" s="10" t="s">
        <v>3730</v>
      </c>
      <c r="P1165" s="22" t="n">
        <f aca="false">COUNTIFS(C:C,C1165,N:N,"Đã xác nhận")/COUNTIFS(C:C,C1165)</f>
        <v>0</v>
      </c>
      <c r="Q1165" s="22"/>
      <c r="R1165" s="0" t="s">
        <v>768</v>
      </c>
      <c r="S1165" s="0" t="s">
        <v>542</v>
      </c>
      <c r="U1165" s="24" t="n">
        <v>1</v>
      </c>
    </row>
    <row r="1166" customFormat="false" ht="12.75" hidden="false" customHeight="false" outlineLevel="0" collapsed="false">
      <c r="A1166" s="15" t="s">
        <v>3795</v>
      </c>
      <c r="B1166" s="15" t="s">
        <v>600</v>
      </c>
      <c r="C1166" s="15" t="s">
        <v>451</v>
      </c>
      <c r="D1166" s="15" t="s">
        <v>766</v>
      </c>
      <c r="E1166" s="15" t="s">
        <v>543</v>
      </c>
      <c r="G1166" s="10" t="n">
        <v>3</v>
      </c>
      <c r="H1166" s="21" t="n">
        <v>46036.4506134259</v>
      </c>
      <c r="I1166" s="15" t="s">
        <v>3783</v>
      </c>
      <c r="J1166" s="15" t="s">
        <v>3796</v>
      </c>
      <c r="K1166" s="15" t="s">
        <v>3797</v>
      </c>
      <c r="L1166" s="10" t="n">
        <f aca="false">COUNTIF($E$2:E1166,E1166)</f>
        <v>29</v>
      </c>
      <c r="M1166" s="10" t="e">
        <f aca="false">ifs(L1166=1, L1166&amp;"-"&amp; COUNTIFS($L$2:L1166,1))</f>
        <v>#NAME?</v>
      </c>
      <c r="N1166" s="15"/>
      <c r="O1166" s="10" t="s">
        <v>3730</v>
      </c>
      <c r="P1166" s="22" t="n">
        <f aca="false">COUNTIFS(C:C,C1166,N:N,"Đã xác nhận")/COUNTIFS(C:C,C1166)</f>
        <v>0</v>
      </c>
      <c r="Q1166" s="22"/>
      <c r="R1166" s="0" t="s">
        <v>768</v>
      </c>
      <c r="S1166" s="0" t="s">
        <v>544</v>
      </c>
      <c r="U1166" s="24" t="n">
        <v>3</v>
      </c>
    </row>
    <row r="1167" customFormat="false" ht="12.75" hidden="false" customHeight="false" outlineLevel="0" collapsed="false">
      <c r="A1167" s="15" t="s">
        <v>3798</v>
      </c>
      <c r="B1167" s="15" t="s">
        <v>600</v>
      </c>
      <c r="C1167" s="15" t="s">
        <v>451</v>
      </c>
      <c r="D1167" s="15" t="s">
        <v>766</v>
      </c>
      <c r="E1167" s="15" t="s">
        <v>545</v>
      </c>
      <c r="G1167" s="10" t="n">
        <v>1</v>
      </c>
      <c r="H1167" s="21" t="n">
        <v>46036.4509259259</v>
      </c>
      <c r="I1167" s="15" t="s">
        <v>3783</v>
      </c>
      <c r="J1167" s="15" t="s">
        <v>3799</v>
      </c>
      <c r="K1167" s="15" t="s">
        <v>3800</v>
      </c>
      <c r="L1167" s="10" t="n">
        <f aca="false">COUNTIF($E$2:E1167,E1167)</f>
        <v>26</v>
      </c>
      <c r="M1167" s="10" t="e">
        <f aca="false">ifs(L1167=1, L1167&amp;"-"&amp; COUNTIFS($L$2:L1167,1))</f>
        <v>#NAME?</v>
      </c>
      <c r="N1167" s="15"/>
      <c r="O1167" s="10" t="s">
        <v>3730</v>
      </c>
      <c r="P1167" s="22" t="n">
        <f aca="false">COUNTIFS(C:C,C1167,N:N,"Đã xác nhận")/COUNTIFS(C:C,C1167)</f>
        <v>0</v>
      </c>
      <c r="Q1167" s="22"/>
      <c r="R1167" s="0" t="s">
        <v>768</v>
      </c>
      <c r="S1167" s="0" t="s">
        <v>546</v>
      </c>
      <c r="U1167" s="24" t="n">
        <v>1</v>
      </c>
    </row>
    <row r="1168" customFormat="false" ht="12.75" hidden="false" customHeight="false" outlineLevel="0" collapsed="false">
      <c r="A1168" s="15" t="s">
        <v>3801</v>
      </c>
      <c r="B1168" s="15" t="s">
        <v>600</v>
      </c>
      <c r="C1168" s="15" t="s">
        <v>451</v>
      </c>
      <c r="D1168" s="15" t="s">
        <v>766</v>
      </c>
      <c r="E1168" s="15" t="s">
        <v>547</v>
      </c>
      <c r="G1168" s="10" t="n">
        <v>2</v>
      </c>
      <c r="H1168" s="21" t="n">
        <v>46038.4840625</v>
      </c>
      <c r="I1168" s="15" t="s">
        <v>3802</v>
      </c>
      <c r="J1168" s="15" t="s">
        <v>3803</v>
      </c>
      <c r="K1168" s="15" t="s">
        <v>3804</v>
      </c>
      <c r="L1168" s="10" t="n">
        <f aca="false">COUNTIF($E$2:E1168,E1168)</f>
        <v>34</v>
      </c>
      <c r="M1168" s="10" t="e">
        <f aca="false">ifs(L1168=1, L1168&amp;"-"&amp; COUNTIFS($L$2:L1168,1))</f>
        <v>#NAME?</v>
      </c>
      <c r="N1168" s="15"/>
      <c r="O1168" s="10" t="s">
        <v>3730</v>
      </c>
      <c r="P1168" s="22" t="n">
        <f aca="false">COUNTIFS(C:C,C1168,N:N,"Đã xác nhận")/COUNTIFS(C:C,C1168)</f>
        <v>0</v>
      </c>
      <c r="Q1168" s="22"/>
      <c r="R1168" s="0" t="s">
        <v>768</v>
      </c>
      <c r="S1168" s="0" t="s">
        <v>548</v>
      </c>
      <c r="U1168" s="24" t="n">
        <v>2</v>
      </c>
    </row>
    <row r="1169" customFormat="false" ht="12.75" hidden="false" customHeight="false" outlineLevel="0" collapsed="false">
      <c r="A1169" s="15" t="s">
        <v>3805</v>
      </c>
      <c r="B1169" s="15" t="s">
        <v>600</v>
      </c>
      <c r="C1169" s="15" t="s">
        <v>528</v>
      </c>
      <c r="D1169" s="15" t="s">
        <v>766</v>
      </c>
      <c r="E1169" s="15" t="s">
        <v>547</v>
      </c>
      <c r="G1169" s="10" t="n">
        <v>2</v>
      </c>
      <c r="H1169" s="21" t="n">
        <v>46057.4154513889</v>
      </c>
      <c r="I1169" s="15" t="s">
        <v>3806</v>
      </c>
      <c r="J1169" s="15" t="s">
        <v>3806</v>
      </c>
      <c r="K1169" s="15"/>
      <c r="L1169" s="10" t="n">
        <f aca="false">COUNTIF($E$2:E1169,E1169)</f>
        <v>35</v>
      </c>
      <c r="M1169" s="10" t="e">
        <f aca="false">ifs(L1169=1, L1169&amp;"-"&amp; COUNTIFS($L$2:L1169,1))</f>
        <v>#NAME?</v>
      </c>
      <c r="N1169" s="15" t="s">
        <v>603</v>
      </c>
      <c r="O1169" s="10" t="s">
        <v>3730</v>
      </c>
      <c r="P1169" s="22" t="n">
        <f aca="false">COUNTIFS(C:C,C1169,N:N,"Đã xác nhận")/COUNTIFS(C:C,C1169)</f>
        <v>1</v>
      </c>
      <c r="Q1169" s="22"/>
      <c r="R1169" s="0" t="s">
        <v>768</v>
      </c>
      <c r="S1169" s="0" t="s">
        <v>548</v>
      </c>
      <c r="U1169" s="24" t="n">
        <v>2</v>
      </c>
    </row>
    <row r="1170" customFormat="false" ht="12.75" hidden="false" customHeight="false" outlineLevel="0" collapsed="false">
      <c r="A1170" s="15" t="s">
        <v>3807</v>
      </c>
      <c r="B1170" s="15" t="s">
        <v>600</v>
      </c>
      <c r="C1170" s="15" t="s">
        <v>528</v>
      </c>
      <c r="D1170" s="15" t="s">
        <v>766</v>
      </c>
      <c r="E1170" s="15" t="s">
        <v>545</v>
      </c>
      <c r="G1170" s="10" t="n">
        <v>2</v>
      </c>
      <c r="H1170" s="21" t="n">
        <v>46057.4163888889</v>
      </c>
      <c r="I1170" s="15" t="s">
        <v>3808</v>
      </c>
      <c r="J1170" s="15" t="s">
        <v>3808</v>
      </c>
      <c r="K1170" s="15"/>
      <c r="L1170" s="10" t="n">
        <f aca="false">COUNTIF($E$2:E1170,E1170)</f>
        <v>27</v>
      </c>
      <c r="M1170" s="10" t="e">
        <f aca="false">ifs(L1170=1, L1170&amp;"-"&amp; COUNTIFS($L$2:L1170,1))</f>
        <v>#NAME?</v>
      </c>
      <c r="N1170" s="15" t="s">
        <v>603</v>
      </c>
      <c r="O1170" s="10" t="s">
        <v>3730</v>
      </c>
      <c r="P1170" s="22" t="n">
        <f aca="false">COUNTIFS(C:C,C1170,N:N,"Đã xác nhận")/COUNTIFS(C:C,C1170)</f>
        <v>1</v>
      </c>
      <c r="Q1170" s="22"/>
      <c r="R1170" s="0" t="s">
        <v>768</v>
      </c>
      <c r="S1170" s="0" t="s">
        <v>546</v>
      </c>
      <c r="U1170" s="24" t="n">
        <v>2</v>
      </c>
    </row>
    <row r="1171" customFormat="false" ht="12.75" hidden="false" customHeight="false" outlineLevel="0" collapsed="false">
      <c r="A1171" s="15" t="s">
        <v>3809</v>
      </c>
      <c r="B1171" s="15" t="s">
        <v>600</v>
      </c>
      <c r="C1171" s="15" t="s">
        <v>528</v>
      </c>
      <c r="D1171" s="15" t="s">
        <v>766</v>
      </c>
      <c r="E1171" s="15" t="s">
        <v>543</v>
      </c>
      <c r="G1171" s="10" t="n">
        <v>4</v>
      </c>
      <c r="H1171" s="21" t="n">
        <v>46057.4159027778</v>
      </c>
      <c r="I1171" s="15" t="s">
        <v>3810</v>
      </c>
      <c r="J1171" s="15" t="s">
        <v>3810</v>
      </c>
      <c r="K1171" s="15"/>
      <c r="L1171" s="10" t="n">
        <f aca="false">COUNTIF($E$2:E1171,E1171)</f>
        <v>30</v>
      </c>
      <c r="M1171" s="10" t="e">
        <f aca="false">ifs(L1171=1, L1171&amp;"-"&amp; COUNTIFS($L$2:L1171,1))</f>
        <v>#NAME?</v>
      </c>
      <c r="N1171" s="15" t="s">
        <v>603</v>
      </c>
      <c r="O1171" s="10" t="s">
        <v>3730</v>
      </c>
      <c r="P1171" s="22" t="n">
        <f aca="false">COUNTIFS(C:C,C1171,N:N,"Đã xác nhận")/COUNTIFS(C:C,C1171)</f>
        <v>1</v>
      </c>
      <c r="Q1171" s="22"/>
      <c r="R1171" s="0" t="s">
        <v>768</v>
      </c>
      <c r="S1171" s="0" t="s">
        <v>544</v>
      </c>
      <c r="U1171" s="24" t="n">
        <v>4</v>
      </c>
    </row>
    <row r="1172" customFormat="false" ht="12.75" hidden="false" customHeight="false" outlineLevel="0" collapsed="false">
      <c r="A1172" s="15" t="s">
        <v>3811</v>
      </c>
      <c r="B1172" s="15" t="s">
        <v>600</v>
      </c>
      <c r="C1172" s="15" t="s">
        <v>528</v>
      </c>
      <c r="D1172" s="15" t="s">
        <v>766</v>
      </c>
      <c r="E1172" s="15" t="s">
        <v>541</v>
      </c>
      <c r="G1172" s="10" t="n">
        <v>1</v>
      </c>
      <c r="H1172" s="21" t="n">
        <v>46057.4159837963</v>
      </c>
      <c r="I1172" s="15" t="s">
        <v>3812</v>
      </c>
      <c r="J1172" s="15" t="s">
        <v>3812</v>
      </c>
      <c r="K1172" s="15"/>
      <c r="L1172" s="10" t="n">
        <f aca="false">COUNTIF($E$2:E1172,E1172)</f>
        <v>7</v>
      </c>
      <c r="M1172" s="10" t="e">
        <f aca="false">ifs(L1172=1, L1172&amp;"-"&amp; COUNTIFS($L$2:L1172,1))</f>
        <v>#NAME?</v>
      </c>
      <c r="N1172" s="15" t="s">
        <v>603</v>
      </c>
      <c r="O1172" s="10" t="s">
        <v>3730</v>
      </c>
      <c r="P1172" s="22" t="n">
        <f aca="false">COUNTIFS(C:C,C1172,N:N,"Đã xác nhận")/COUNTIFS(C:C,C1172)</f>
        <v>1</v>
      </c>
      <c r="Q1172" s="22"/>
      <c r="R1172" s="0" t="s">
        <v>768</v>
      </c>
      <c r="S1172" s="0" t="s">
        <v>542</v>
      </c>
      <c r="U1172" s="24" t="n">
        <v>1</v>
      </c>
    </row>
    <row r="1173" customFormat="false" ht="12.75" hidden="false" customHeight="false" outlineLevel="0" collapsed="false">
      <c r="A1173" s="15" t="s">
        <v>3813</v>
      </c>
      <c r="B1173" s="15" t="s">
        <v>600</v>
      </c>
      <c r="C1173" s="15" t="s">
        <v>528</v>
      </c>
      <c r="D1173" s="15" t="s">
        <v>2033</v>
      </c>
      <c r="E1173" s="15" t="s">
        <v>45</v>
      </c>
      <c r="G1173" s="10" t="n">
        <v>1</v>
      </c>
      <c r="H1173" s="21" t="n">
        <v>46057.4160648148</v>
      </c>
      <c r="I1173" s="15" t="s">
        <v>3814</v>
      </c>
      <c r="J1173" s="15" t="s">
        <v>3814</v>
      </c>
      <c r="K1173" s="15"/>
      <c r="L1173" s="10" t="n">
        <f aca="false">COUNTIF($E$2:E1173,E1173)</f>
        <v>11</v>
      </c>
      <c r="M1173" s="10" t="e">
        <f aca="false">ifs(L1173=1, L1173&amp;"-"&amp; COUNTIFS($L$2:L1173,1))</f>
        <v>#NAME?</v>
      </c>
      <c r="N1173" s="15" t="s">
        <v>603</v>
      </c>
      <c r="O1173" s="10" t="s">
        <v>3730</v>
      </c>
      <c r="P1173" s="22" t="n">
        <f aca="false">COUNTIFS(C:C,C1173,N:N,"Đã xác nhận")/COUNTIFS(C:C,C1173)</f>
        <v>1</v>
      </c>
      <c r="Q1173" s="22"/>
      <c r="R1173" s="0" t="s">
        <v>2035</v>
      </c>
      <c r="S1173" s="0" t="s">
        <v>540</v>
      </c>
      <c r="U1173" s="24" t="n">
        <v>1</v>
      </c>
    </row>
    <row r="1174" customFormat="false" ht="12.75" hidden="false" customHeight="false" outlineLevel="0" collapsed="false">
      <c r="A1174" s="15" t="s">
        <v>3815</v>
      </c>
      <c r="B1174" s="15" t="s">
        <v>600</v>
      </c>
      <c r="C1174" s="15" t="s">
        <v>528</v>
      </c>
      <c r="D1174" s="15" t="s">
        <v>3816</v>
      </c>
      <c r="E1174" s="15" t="s">
        <v>55</v>
      </c>
      <c r="G1174" s="10" t="n">
        <v>1</v>
      </c>
      <c r="H1174" s="21" t="n">
        <v>46057.4161458333</v>
      </c>
      <c r="I1174" s="15" t="s">
        <v>3817</v>
      </c>
      <c r="J1174" s="15" t="s">
        <v>3817</v>
      </c>
      <c r="K1174" s="15"/>
      <c r="L1174" s="10" t="n">
        <f aca="false">COUNTIF($E$2:E1174,E1174)</f>
        <v>99</v>
      </c>
      <c r="M1174" s="10" t="e">
        <f aca="false">ifs(L1174=1, L1174&amp;"-"&amp; COUNTIFS($L$2:L1174,1))</f>
        <v>#NAME?</v>
      </c>
      <c r="N1174" s="15" t="s">
        <v>603</v>
      </c>
      <c r="O1174" s="10" t="s">
        <v>3730</v>
      </c>
      <c r="P1174" s="22" t="n">
        <f aca="false">COUNTIFS(C:C,C1174,N:N,"Đã xác nhận")/COUNTIFS(C:C,C1174)</f>
        <v>1</v>
      </c>
      <c r="Q1174" s="22"/>
      <c r="R1174" s="0" t="s">
        <v>3818</v>
      </c>
      <c r="S1174" s="0" t="s">
        <v>539</v>
      </c>
      <c r="U1174" s="24" t="n">
        <v>1</v>
      </c>
    </row>
    <row r="1175" customFormat="false" ht="12.75" hidden="false" customHeight="false" outlineLevel="0" collapsed="false">
      <c r="A1175" s="15" t="s">
        <v>3819</v>
      </c>
      <c r="B1175" s="15" t="s">
        <v>600</v>
      </c>
      <c r="C1175" s="15" t="s">
        <v>528</v>
      </c>
      <c r="D1175" s="15" t="s">
        <v>2753</v>
      </c>
      <c r="E1175" s="15" t="s">
        <v>59</v>
      </c>
      <c r="G1175" s="10" t="n">
        <v>1</v>
      </c>
      <c r="H1175" s="21" t="n">
        <v>46057.4161689815</v>
      </c>
      <c r="I1175" s="15" t="s">
        <v>3820</v>
      </c>
      <c r="J1175" s="15" t="s">
        <v>3820</v>
      </c>
      <c r="K1175" s="15"/>
      <c r="L1175" s="10" t="n">
        <f aca="false">COUNTIF($E$2:E1175,E1175)</f>
        <v>26</v>
      </c>
      <c r="M1175" s="10" t="e">
        <f aca="false">ifs(L1175=1, L1175&amp;"-"&amp; COUNTIFS($L$2:L1175,1))</f>
        <v>#NAME?</v>
      </c>
      <c r="N1175" s="15" t="s">
        <v>603</v>
      </c>
      <c r="O1175" s="10" t="s">
        <v>3730</v>
      </c>
      <c r="P1175" s="22" t="n">
        <f aca="false">COUNTIFS(C:C,C1175,N:N,"Đã xác nhận")/COUNTIFS(C:C,C1175)</f>
        <v>1</v>
      </c>
      <c r="Q1175" s="22"/>
      <c r="R1175" s="0" t="s">
        <v>2755</v>
      </c>
      <c r="S1175" s="0" t="s">
        <v>562</v>
      </c>
      <c r="U1175" s="24" t="n">
        <v>1</v>
      </c>
    </row>
    <row r="1176" customFormat="false" ht="12.75" hidden="false" customHeight="false" outlineLevel="0" collapsed="false">
      <c r="A1176" s="15" t="s">
        <v>3821</v>
      </c>
      <c r="B1176" s="15" t="s">
        <v>600</v>
      </c>
      <c r="C1176" s="15" t="s">
        <v>528</v>
      </c>
      <c r="D1176" s="15" t="s">
        <v>2796</v>
      </c>
      <c r="E1176" s="15" t="s">
        <v>47</v>
      </c>
      <c r="G1176" s="10" t="n">
        <v>1</v>
      </c>
      <c r="H1176" s="21" t="n">
        <v>46057.4161226852</v>
      </c>
      <c r="I1176" s="15" t="s">
        <v>3822</v>
      </c>
      <c r="J1176" s="15" t="s">
        <v>3822</v>
      </c>
      <c r="K1176" s="15"/>
      <c r="L1176" s="10" t="n">
        <f aca="false">COUNTIF($E$2:E1176,E1176)</f>
        <v>57</v>
      </c>
      <c r="M1176" s="10" t="e">
        <f aca="false">ifs(L1176=1, L1176&amp;"-"&amp; COUNTIFS($L$2:L1176,1))</f>
        <v>#NAME?</v>
      </c>
      <c r="N1176" s="15" t="s">
        <v>603</v>
      </c>
      <c r="O1176" s="10" t="s">
        <v>3730</v>
      </c>
      <c r="P1176" s="22" t="n">
        <f aca="false">COUNTIFS(C:C,C1176,N:N,"Đã xác nhận")/COUNTIFS(C:C,C1176)</f>
        <v>1</v>
      </c>
      <c r="Q1176" s="22"/>
      <c r="R1176" s="0" t="s">
        <v>2798</v>
      </c>
      <c r="S1176" s="0" t="s">
        <v>549</v>
      </c>
      <c r="U1176" s="24" t="n">
        <v>1</v>
      </c>
    </row>
    <row r="1177" customFormat="false" ht="12.75" hidden="false" customHeight="false" outlineLevel="0" collapsed="false">
      <c r="A1177" s="15" t="s">
        <v>3823</v>
      </c>
      <c r="B1177" s="15" t="s">
        <v>600</v>
      </c>
      <c r="C1177" s="15" t="s">
        <v>528</v>
      </c>
      <c r="D1177" s="15" t="s">
        <v>3824</v>
      </c>
      <c r="E1177" s="15" t="s">
        <v>43</v>
      </c>
      <c r="G1177" s="10" t="n">
        <v>1</v>
      </c>
      <c r="H1177" s="21" t="n">
        <v>46057.4160300926</v>
      </c>
      <c r="I1177" s="15" t="s">
        <v>3825</v>
      </c>
      <c r="J1177" s="15" t="s">
        <v>3825</v>
      </c>
      <c r="K1177" s="15"/>
      <c r="L1177" s="10" t="n">
        <f aca="false">COUNTIF($E$2:E1177,E1177)</f>
        <v>16</v>
      </c>
      <c r="M1177" s="10" t="e">
        <f aca="false">ifs(L1177=1, L1177&amp;"-"&amp; COUNTIFS($L$2:L1177,1))</f>
        <v>#NAME?</v>
      </c>
      <c r="N1177" s="15" t="s">
        <v>603</v>
      </c>
      <c r="O1177" s="10" t="s">
        <v>3730</v>
      </c>
      <c r="P1177" s="22" t="n">
        <f aca="false">COUNTIFS(C:C,C1177,N:N,"Đã xác nhận")/COUNTIFS(C:C,C1177)</f>
        <v>1</v>
      </c>
      <c r="Q1177" s="22"/>
      <c r="R1177" s="0" t="s">
        <v>3826</v>
      </c>
      <c r="S1177" s="0" t="s">
        <v>538</v>
      </c>
      <c r="U1177" s="24" t="n">
        <v>1</v>
      </c>
    </row>
    <row r="1178" customFormat="false" ht="12.75" hidden="false" customHeight="false" outlineLevel="0" collapsed="false">
      <c r="A1178" s="15" t="s">
        <v>3827</v>
      </c>
      <c r="B1178" s="15" t="s">
        <v>1103</v>
      </c>
      <c r="C1178" s="15" t="s">
        <v>3828</v>
      </c>
      <c r="D1178" s="15" t="s">
        <v>1583</v>
      </c>
      <c r="E1178" s="15" t="s">
        <v>63</v>
      </c>
      <c r="G1178" s="10" t="n">
        <v>1</v>
      </c>
      <c r="H1178" s="21" t="n">
        <v>46044.5975347222</v>
      </c>
      <c r="I1178" s="15" t="s">
        <v>3829</v>
      </c>
      <c r="J1178" s="15" t="s">
        <v>3829</v>
      </c>
      <c r="K1178" s="15"/>
      <c r="L1178" s="10" t="n">
        <f aca="false">COUNTIF($E$2:E1178,E1178)</f>
        <v>17</v>
      </c>
      <c r="M1178" s="10" t="e">
        <f aca="false">ifs(L1178=1, L1178&amp;"-"&amp; COUNTIFS($L$2:L1178,1))</f>
        <v>#NAME?</v>
      </c>
      <c r="N1178" s="15" t="s">
        <v>603</v>
      </c>
      <c r="O1178" s="10" t="s">
        <v>3730</v>
      </c>
      <c r="P1178" s="22" t="n">
        <f aca="false">COUNTIFS(C:C,C1178,N:N,"Đã xác nhận")/COUNTIFS(C:C,C1178)</f>
        <v>1</v>
      </c>
      <c r="Q1178" s="22"/>
      <c r="R1178" s="0" t="s">
        <v>1587</v>
      </c>
      <c r="S1178" s="0" t="s">
        <v>551</v>
      </c>
      <c r="U1178" s="24" t="n">
        <v>1</v>
      </c>
    </row>
    <row r="1179" customFormat="false" ht="12.75" hidden="false" customHeight="false" outlineLevel="0" collapsed="false">
      <c r="A1179" s="15" t="s">
        <v>3830</v>
      </c>
      <c r="B1179" s="15" t="s">
        <v>1103</v>
      </c>
      <c r="C1179" s="15" t="s">
        <v>3828</v>
      </c>
      <c r="D1179" s="15" t="s">
        <v>3831</v>
      </c>
      <c r="E1179" s="15" t="s">
        <v>39</v>
      </c>
      <c r="G1179" s="10" t="n">
        <v>1</v>
      </c>
      <c r="H1179" s="21" t="n">
        <v>46044.5987268519</v>
      </c>
      <c r="I1179" s="15" t="s">
        <v>3832</v>
      </c>
      <c r="J1179" s="15" t="s">
        <v>3832</v>
      </c>
      <c r="K1179" s="15"/>
      <c r="L1179" s="10" t="n">
        <f aca="false">COUNTIF($E$2:E1179,E1179)</f>
        <v>15</v>
      </c>
      <c r="M1179" s="10" t="e">
        <f aca="false">ifs(L1179=1, L1179&amp;"-"&amp; COUNTIFS($L$2:L1179,1))</f>
        <v>#NAME?</v>
      </c>
      <c r="N1179" s="15" t="s">
        <v>603</v>
      </c>
      <c r="O1179" s="10" t="s">
        <v>3730</v>
      </c>
      <c r="P1179" s="22" t="n">
        <f aca="false">COUNTIFS(C:C,C1179,N:N,"Đã xác nhận")/COUNTIFS(C:C,C1179)</f>
        <v>1</v>
      </c>
      <c r="Q1179" s="22"/>
      <c r="R1179" s="0" t="s">
        <v>3833</v>
      </c>
      <c r="S1179" s="0" t="s">
        <v>550</v>
      </c>
      <c r="U1179" s="24" t="n">
        <v>1</v>
      </c>
    </row>
    <row r="1180" customFormat="false" ht="12.75" hidden="false" customHeight="false" outlineLevel="0" collapsed="false">
      <c r="A1180" s="15" t="s">
        <v>3834</v>
      </c>
      <c r="B1180" s="15" t="s">
        <v>1103</v>
      </c>
      <c r="C1180" s="15" t="s">
        <v>3828</v>
      </c>
      <c r="D1180" s="15" t="s">
        <v>3831</v>
      </c>
      <c r="E1180" s="15" t="s">
        <v>81</v>
      </c>
      <c r="G1180" s="10" t="n">
        <v>1</v>
      </c>
      <c r="H1180" s="21" t="n">
        <v>46044.5990509259</v>
      </c>
      <c r="I1180" s="15" t="s">
        <v>3835</v>
      </c>
      <c r="J1180" s="15" t="s">
        <v>3835</v>
      </c>
      <c r="K1180" s="15"/>
      <c r="L1180" s="10" t="n">
        <f aca="false">COUNTIF($E$2:E1180,E1180)</f>
        <v>194</v>
      </c>
      <c r="M1180" s="10" t="e">
        <f aca="false">ifs(L1180=1, L1180&amp;"-"&amp; COUNTIFS($L$2:L1180,1))</f>
        <v>#NAME?</v>
      </c>
      <c r="N1180" s="15" t="s">
        <v>603</v>
      </c>
      <c r="O1180" s="10" t="s">
        <v>3730</v>
      </c>
      <c r="P1180" s="22" t="n">
        <f aca="false">COUNTIFS(C:C,C1180,N:N,"Đã xác nhận")/COUNTIFS(C:C,C1180)</f>
        <v>1</v>
      </c>
      <c r="Q1180" s="22"/>
      <c r="R1180" s="0" t="s">
        <v>3833</v>
      </c>
      <c r="S1180" s="0" t="s">
        <v>534</v>
      </c>
      <c r="U1180" s="24" t="n">
        <v>1</v>
      </c>
    </row>
    <row r="1181" customFormat="false" ht="12.75" hidden="false" customHeight="false" outlineLevel="0" collapsed="false">
      <c r="A1181" s="15" t="s">
        <v>3836</v>
      </c>
      <c r="B1181" s="15" t="s">
        <v>1103</v>
      </c>
      <c r="C1181" s="15" t="s">
        <v>3828</v>
      </c>
      <c r="D1181" s="15" t="s">
        <v>3837</v>
      </c>
      <c r="E1181" s="15" t="s">
        <v>47</v>
      </c>
      <c r="G1181" s="10" t="n">
        <v>1</v>
      </c>
      <c r="H1181" s="21" t="n">
        <v>46044.5983912037</v>
      </c>
      <c r="I1181" s="15" t="s">
        <v>3838</v>
      </c>
      <c r="J1181" s="15" t="s">
        <v>3838</v>
      </c>
      <c r="K1181" s="15"/>
      <c r="L1181" s="10" t="n">
        <f aca="false">COUNTIF($E$2:E1181,E1181)</f>
        <v>58</v>
      </c>
      <c r="M1181" s="10" t="e">
        <f aca="false">ifs(L1181=1, L1181&amp;"-"&amp; COUNTIFS($L$2:L1181,1))</f>
        <v>#NAME?</v>
      </c>
      <c r="N1181" s="15" t="s">
        <v>603</v>
      </c>
      <c r="O1181" s="10" t="s">
        <v>3730</v>
      </c>
      <c r="P1181" s="22" t="n">
        <f aca="false">COUNTIFS(C:C,C1181,N:N,"Đã xác nhận")/COUNTIFS(C:C,C1181)</f>
        <v>1</v>
      </c>
      <c r="Q1181" s="22"/>
      <c r="R1181" s="0" t="s">
        <v>3839</v>
      </c>
      <c r="S1181" s="0" t="s">
        <v>549</v>
      </c>
      <c r="U1181" s="24" t="n">
        <v>1</v>
      </c>
    </row>
    <row r="1182" customFormat="false" ht="12.75" hidden="false" customHeight="false" outlineLevel="0" collapsed="false">
      <c r="A1182" s="15" t="s">
        <v>3840</v>
      </c>
      <c r="B1182" s="15" t="s">
        <v>1103</v>
      </c>
      <c r="C1182" s="15" t="s">
        <v>3828</v>
      </c>
      <c r="D1182" s="15" t="s">
        <v>3841</v>
      </c>
      <c r="E1182" s="15" t="s">
        <v>81</v>
      </c>
      <c r="G1182" s="10" t="n">
        <v>1</v>
      </c>
      <c r="H1182" s="21" t="n">
        <v>46044.5990625</v>
      </c>
      <c r="I1182" s="15" t="s">
        <v>3842</v>
      </c>
      <c r="J1182" s="15" t="s">
        <v>3842</v>
      </c>
      <c r="K1182" s="15"/>
      <c r="L1182" s="10" t="n">
        <f aca="false">COUNTIF($E$2:E1182,E1182)</f>
        <v>195</v>
      </c>
      <c r="M1182" s="10" t="e">
        <f aca="false">ifs(L1182=1, L1182&amp;"-"&amp; COUNTIFS($L$2:L1182,1))</f>
        <v>#NAME?</v>
      </c>
      <c r="N1182" s="15" t="s">
        <v>603</v>
      </c>
      <c r="O1182" s="10" t="s">
        <v>3730</v>
      </c>
      <c r="P1182" s="22" t="n">
        <f aca="false">COUNTIFS(C:C,C1182,N:N,"Đã xác nhận")/COUNTIFS(C:C,C1182)</f>
        <v>1</v>
      </c>
      <c r="Q1182" s="22"/>
      <c r="R1182" s="0" t="s">
        <v>3843</v>
      </c>
      <c r="S1182" s="0" t="s">
        <v>534</v>
      </c>
      <c r="U1182" s="24" t="n">
        <v>1</v>
      </c>
    </row>
    <row r="1183" customFormat="false" ht="12.75" hidden="false" customHeight="false" outlineLevel="0" collapsed="false">
      <c r="A1183" s="15" t="s">
        <v>3844</v>
      </c>
      <c r="B1183" s="15" t="s">
        <v>1103</v>
      </c>
      <c r="C1183" s="15" t="s">
        <v>3828</v>
      </c>
      <c r="D1183" s="15" t="s">
        <v>1128</v>
      </c>
      <c r="E1183" s="15" t="s">
        <v>55</v>
      </c>
      <c r="G1183" s="10" t="n">
        <v>1</v>
      </c>
      <c r="H1183" s="21" t="n">
        <v>46044.5979976852</v>
      </c>
      <c r="I1183" s="15" t="s">
        <v>3845</v>
      </c>
      <c r="J1183" s="15" t="s">
        <v>3845</v>
      </c>
      <c r="K1183" s="15"/>
      <c r="L1183" s="10" t="n">
        <f aca="false">COUNTIF($E$2:E1183,E1183)</f>
        <v>100</v>
      </c>
      <c r="M1183" s="10" t="e">
        <f aca="false">ifs(L1183=1, L1183&amp;"-"&amp; COUNTIFS($L$2:L1183,1))</f>
        <v>#NAME?</v>
      </c>
      <c r="N1183" s="15" t="s">
        <v>603</v>
      </c>
      <c r="O1183" s="10" t="s">
        <v>3730</v>
      </c>
      <c r="P1183" s="22" t="n">
        <f aca="false">COUNTIFS(C:C,C1183,N:N,"Đã xác nhận")/COUNTIFS(C:C,C1183)</f>
        <v>1</v>
      </c>
      <c r="Q1183" s="22"/>
      <c r="R1183" s="0" t="s">
        <v>1130</v>
      </c>
      <c r="S1183" s="0" t="s">
        <v>539</v>
      </c>
      <c r="U1183" s="24" t="n">
        <v>1</v>
      </c>
    </row>
    <row r="1184" customFormat="false" ht="12.75" hidden="false" customHeight="false" outlineLevel="0" collapsed="false">
      <c r="A1184" s="15" t="s">
        <v>3846</v>
      </c>
      <c r="B1184" s="15" t="s">
        <v>1103</v>
      </c>
      <c r="C1184" s="15" t="s">
        <v>3828</v>
      </c>
      <c r="D1184" s="15" t="s">
        <v>1115</v>
      </c>
      <c r="E1184" s="15" t="s">
        <v>47</v>
      </c>
      <c r="G1184" s="10" t="n">
        <v>1</v>
      </c>
      <c r="H1184" s="21" t="n">
        <v>46044.5983796296</v>
      </c>
      <c r="I1184" s="15" t="s">
        <v>3847</v>
      </c>
      <c r="J1184" s="15" t="s">
        <v>3847</v>
      </c>
      <c r="K1184" s="15"/>
      <c r="L1184" s="10" t="n">
        <f aca="false">COUNTIF($E$2:E1184,E1184)</f>
        <v>59</v>
      </c>
      <c r="M1184" s="10" t="e">
        <f aca="false">ifs(L1184=1, L1184&amp;"-"&amp; COUNTIFS($L$2:L1184,1))</f>
        <v>#NAME?</v>
      </c>
      <c r="N1184" s="15" t="s">
        <v>603</v>
      </c>
      <c r="O1184" s="10" t="s">
        <v>3730</v>
      </c>
      <c r="P1184" s="22" t="n">
        <f aca="false">COUNTIFS(C:C,C1184,N:N,"Đã xác nhận")/COUNTIFS(C:C,C1184)</f>
        <v>1</v>
      </c>
      <c r="Q1184" s="22"/>
      <c r="R1184" s="0" t="s">
        <v>1119</v>
      </c>
      <c r="S1184" s="0" t="s">
        <v>549</v>
      </c>
      <c r="U1184" s="24" t="n">
        <v>1</v>
      </c>
    </row>
    <row r="1185" customFormat="false" ht="12.75" hidden="false" customHeight="false" outlineLevel="0" collapsed="false">
      <c r="A1185" s="15" t="s">
        <v>3848</v>
      </c>
      <c r="B1185" s="15" t="s">
        <v>1103</v>
      </c>
      <c r="C1185" s="15" t="s">
        <v>3828</v>
      </c>
      <c r="D1185" s="15" t="s">
        <v>1120</v>
      </c>
      <c r="E1185" s="15" t="s">
        <v>55</v>
      </c>
      <c r="G1185" s="10" t="n">
        <v>1</v>
      </c>
      <c r="H1185" s="21" t="n">
        <v>46044.5979861111</v>
      </c>
      <c r="I1185" s="15" t="s">
        <v>3849</v>
      </c>
      <c r="J1185" s="15" t="s">
        <v>3849</v>
      </c>
      <c r="K1185" s="15"/>
      <c r="L1185" s="10" t="n">
        <f aca="false">COUNTIF($E$2:E1185,E1185)</f>
        <v>101</v>
      </c>
      <c r="M1185" s="10" t="e">
        <f aca="false">ifs(L1185=1, L1185&amp;"-"&amp; COUNTIFS($L$2:L1185,1))</f>
        <v>#NAME?</v>
      </c>
      <c r="N1185" s="15" t="s">
        <v>603</v>
      </c>
      <c r="O1185" s="10" t="s">
        <v>3730</v>
      </c>
      <c r="P1185" s="22" t="n">
        <f aca="false">COUNTIFS(C:C,C1185,N:N,"Đã xác nhận")/COUNTIFS(C:C,C1185)</f>
        <v>1</v>
      </c>
      <c r="Q1185" s="22"/>
      <c r="R1185" s="0" t="s">
        <v>1122</v>
      </c>
      <c r="S1185" s="0" t="s">
        <v>539</v>
      </c>
      <c r="U1185" s="24" t="n">
        <v>1</v>
      </c>
    </row>
    <row r="1186" customFormat="false" ht="12.75" hidden="false" customHeight="false" outlineLevel="0" collapsed="false">
      <c r="A1186" s="15" t="s">
        <v>3850</v>
      </c>
      <c r="B1186" s="15" t="s">
        <v>1103</v>
      </c>
      <c r="C1186" s="15" t="s">
        <v>3828</v>
      </c>
      <c r="D1186" s="15" t="s">
        <v>1150</v>
      </c>
      <c r="E1186" s="15" t="s">
        <v>47</v>
      </c>
      <c r="G1186" s="10" t="n">
        <v>1</v>
      </c>
      <c r="H1186" s="21" t="n">
        <v>46044.5983912037</v>
      </c>
      <c r="I1186" s="15" t="s">
        <v>3851</v>
      </c>
      <c r="J1186" s="15" t="s">
        <v>3851</v>
      </c>
      <c r="K1186" s="15"/>
      <c r="L1186" s="10" t="n">
        <f aca="false">COUNTIF($E$2:E1186,E1186)</f>
        <v>60</v>
      </c>
      <c r="M1186" s="10" t="e">
        <f aca="false">ifs(L1186=1, L1186&amp;"-"&amp; COUNTIFS($L$2:L1186,1))</f>
        <v>#NAME?</v>
      </c>
      <c r="N1186" s="15" t="s">
        <v>603</v>
      </c>
      <c r="O1186" s="10" t="s">
        <v>3730</v>
      </c>
      <c r="P1186" s="22" t="n">
        <f aca="false">COUNTIFS(C:C,C1186,N:N,"Đã xác nhận")/COUNTIFS(C:C,C1186)</f>
        <v>1</v>
      </c>
      <c r="Q1186" s="22"/>
      <c r="R1186" s="0" t="s">
        <v>1152</v>
      </c>
      <c r="S1186" s="0" t="s">
        <v>549</v>
      </c>
      <c r="U1186" s="24" t="n">
        <v>1</v>
      </c>
    </row>
    <row r="1187" customFormat="false" ht="12.75" hidden="false" customHeight="false" outlineLevel="0" collapsed="false">
      <c r="A1187" s="15" t="s">
        <v>3852</v>
      </c>
      <c r="B1187" s="15" t="s">
        <v>1103</v>
      </c>
      <c r="C1187" s="15" t="s">
        <v>3828</v>
      </c>
      <c r="D1187" s="15" t="s">
        <v>3853</v>
      </c>
      <c r="E1187" s="15" t="s">
        <v>81</v>
      </c>
      <c r="G1187" s="10" t="n">
        <v>2</v>
      </c>
      <c r="H1187" s="21" t="n">
        <v>46044.5990625</v>
      </c>
      <c r="I1187" s="15" t="s">
        <v>3854</v>
      </c>
      <c r="J1187" s="15" t="s">
        <v>3854</v>
      </c>
      <c r="K1187" s="15"/>
      <c r="L1187" s="10" t="n">
        <f aca="false">COUNTIF($E$2:E1187,E1187)</f>
        <v>196</v>
      </c>
      <c r="M1187" s="10" t="e">
        <f aca="false">ifs(L1187=1, L1187&amp;"-"&amp; COUNTIFS($L$2:L1187,1))</f>
        <v>#NAME?</v>
      </c>
      <c r="N1187" s="15" t="s">
        <v>603</v>
      </c>
      <c r="O1187" s="10" t="s">
        <v>3730</v>
      </c>
      <c r="P1187" s="22" t="n">
        <f aca="false">COUNTIFS(C:C,C1187,N:N,"Đã xác nhận")/COUNTIFS(C:C,C1187)</f>
        <v>1</v>
      </c>
      <c r="Q1187" s="22"/>
      <c r="R1187" s="0" t="s">
        <v>3855</v>
      </c>
      <c r="S1187" s="0" t="s">
        <v>534</v>
      </c>
      <c r="U1187" s="24" t="n">
        <v>2</v>
      </c>
    </row>
    <row r="1188" customFormat="false" ht="12.75" hidden="false" customHeight="false" outlineLevel="0" collapsed="false">
      <c r="A1188" s="15" t="s">
        <v>3856</v>
      </c>
      <c r="B1188" s="15" t="s">
        <v>1103</v>
      </c>
      <c r="C1188" s="15" t="s">
        <v>3828</v>
      </c>
      <c r="D1188" s="15" t="s">
        <v>3857</v>
      </c>
      <c r="E1188" s="15" t="s">
        <v>81</v>
      </c>
      <c r="G1188" s="10" t="n">
        <v>1</v>
      </c>
      <c r="H1188" s="21" t="n">
        <v>46044.5990740741</v>
      </c>
      <c r="I1188" s="15" t="s">
        <v>3858</v>
      </c>
      <c r="J1188" s="15" t="s">
        <v>3858</v>
      </c>
      <c r="K1188" s="15"/>
      <c r="L1188" s="10" t="n">
        <f aca="false">COUNTIF($E$2:E1188,E1188)</f>
        <v>197</v>
      </c>
      <c r="M1188" s="10" t="e">
        <f aca="false">ifs(L1188=1, L1188&amp;"-"&amp; COUNTIFS($L$2:L1188,1))</f>
        <v>#NAME?</v>
      </c>
      <c r="N1188" s="15" t="s">
        <v>603</v>
      </c>
      <c r="O1188" s="10" t="s">
        <v>3730</v>
      </c>
      <c r="P1188" s="22" t="n">
        <f aca="false">COUNTIFS(C:C,C1188,N:N,"Đã xác nhận")/COUNTIFS(C:C,C1188)</f>
        <v>1</v>
      </c>
      <c r="Q1188" s="22"/>
      <c r="R1188" s="0" t="s">
        <v>3859</v>
      </c>
      <c r="S1188" s="0" t="s">
        <v>534</v>
      </c>
      <c r="U1188" s="24" t="n">
        <v>1</v>
      </c>
    </row>
    <row r="1189" customFormat="false" ht="12.75" hidden="false" customHeight="false" outlineLevel="0" collapsed="false">
      <c r="A1189" s="15" t="s">
        <v>3860</v>
      </c>
      <c r="B1189" s="15" t="s">
        <v>1103</v>
      </c>
      <c r="C1189" s="15" t="s">
        <v>3828</v>
      </c>
      <c r="D1189" s="15" t="s">
        <v>1179</v>
      </c>
      <c r="E1189" s="15" t="s">
        <v>63</v>
      </c>
      <c r="G1189" s="10" t="n">
        <v>1</v>
      </c>
      <c r="H1189" s="21" t="n">
        <v>46044.5975347222</v>
      </c>
      <c r="I1189" s="15" t="s">
        <v>3861</v>
      </c>
      <c r="J1189" s="15" t="s">
        <v>3861</v>
      </c>
      <c r="K1189" s="15"/>
      <c r="L1189" s="10" t="n">
        <f aca="false">COUNTIF($E$2:E1189,E1189)</f>
        <v>18</v>
      </c>
      <c r="M1189" s="10" t="e">
        <f aca="false">ifs(L1189=1, L1189&amp;"-"&amp; COUNTIFS($L$2:L1189,1))</f>
        <v>#NAME?</v>
      </c>
      <c r="N1189" s="15" t="s">
        <v>603</v>
      </c>
      <c r="O1189" s="10" t="s">
        <v>3730</v>
      </c>
      <c r="P1189" s="22" t="n">
        <f aca="false">COUNTIFS(C:C,C1189,N:N,"Đã xác nhận")/COUNTIFS(C:C,C1189)</f>
        <v>1</v>
      </c>
      <c r="Q1189" s="22"/>
      <c r="R1189" s="0" t="s">
        <v>1181</v>
      </c>
      <c r="S1189" s="0" t="s">
        <v>551</v>
      </c>
      <c r="U1189" s="24" t="n">
        <v>1</v>
      </c>
    </row>
    <row r="1190" customFormat="false" ht="12.75" hidden="false" customHeight="false" outlineLevel="0" collapsed="false">
      <c r="A1190" s="15" t="s">
        <v>3862</v>
      </c>
      <c r="B1190" s="15" t="s">
        <v>1103</v>
      </c>
      <c r="C1190" s="15" t="s">
        <v>3828</v>
      </c>
      <c r="D1190" s="15" t="s">
        <v>1179</v>
      </c>
      <c r="E1190" s="15" t="s">
        <v>81</v>
      </c>
      <c r="G1190" s="10" t="n">
        <v>1</v>
      </c>
      <c r="H1190" s="21" t="n">
        <v>46044.5990740741</v>
      </c>
      <c r="I1190" s="15" t="s">
        <v>3863</v>
      </c>
      <c r="J1190" s="15" t="s">
        <v>3863</v>
      </c>
      <c r="K1190" s="15"/>
      <c r="L1190" s="10" t="n">
        <f aca="false">COUNTIF($E$2:E1190,E1190)</f>
        <v>198</v>
      </c>
      <c r="M1190" s="10" t="e">
        <f aca="false">ifs(L1190=1, L1190&amp;"-"&amp; COUNTIFS($L$2:L1190,1))</f>
        <v>#NAME?</v>
      </c>
      <c r="N1190" s="15" t="s">
        <v>603</v>
      </c>
      <c r="O1190" s="10" t="s">
        <v>3730</v>
      </c>
      <c r="P1190" s="22" t="n">
        <f aca="false">COUNTIFS(C:C,C1190,N:N,"Đã xác nhận")/COUNTIFS(C:C,C1190)</f>
        <v>1</v>
      </c>
      <c r="Q1190" s="22"/>
      <c r="R1190" s="0" t="s">
        <v>1181</v>
      </c>
      <c r="S1190" s="0" t="s">
        <v>534</v>
      </c>
      <c r="U1190" s="24" t="n">
        <v>1</v>
      </c>
    </row>
    <row r="1191" customFormat="false" ht="12.75" hidden="false" customHeight="false" outlineLevel="0" collapsed="false">
      <c r="A1191" s="15" t="s">
        <v>3864</v>
      </c>
      <c r="B1191" s="15" t="s">
        <v>1103</v>
      </c>
      <c r="C1191" s="15" t="s">
        <v>493</v>
      </c>
      <c r="D1191" s="15" t="s">
        <v>1110</v>
      </c>
      <c r="E1191" s="15" t="s">
        <v>47</v>
      </c>
      <c r="G1191" s="10" t="n">
        <v>1</v>
      </c>
      <c r="H1191" s="21" t="n">
        <v>46044.6075925926</v>
      </c>
      <c r="I1191" s="15" t="s">
        <v>3865</v>
      </c>
      <c r="J1191" s="15" t="s">
        <v>3865</v>
      </c>
      <c r="K1191" s="15"/>
      <c r="L1191" s="10" t="n">
        <f aca="false">COUNTIF($E$2:E1191,E1191)</f>
        <v>61</v>
      </c>
      <c r="M1191" s="10" t="e">
        <f aca="false">ifs(L1191=1, L1191&amp;"-"&amp; COUNTIFS($L$2:L1191,1))</f>
        <v>#NAME?</v>
      </c>
      <c r="N1191" s="15" t="s">
        <v>603</v>
      </c>
      <c r="O1191" s="10" t="s">
        <v>3730</v>
      </c>
      <c r="P1191" s="22" t="n">
        <f aca="false">COUNTIFS(C:C,C1191,N:N,"Đã xác nhận")/COUNTIFS(C:C,C1191)</f>
        <v>1</v>
      </c>
      <c r="Q1191" s="22"/>
      <c r="R1191" s="0" t="s">
        <v>1114</v>
      </c>
      <c r="S1191" s="0" t="s">
        <v>549</v>
      </c>
      <c r="U1191" s="24" t="n">
        <v>1</v>
      </c>
    </row>
    <row r="1192" customFormat="false" ht="12.75" hidden="false" customHeight="false" outlineLevel="0" collapsed="false">
      <c r="A1192" s="15" t="s">
        <v>3866</v>
      </c>
      <c r="B1192" s="15" t="s">
        <v>1103</v>
      </c>
      <c r="C1192" s="15" t="s">
        <v>3867</v>
      </c>
      <c r="D1192" s="15" t="s">
        <v>1110</v>
      </c>
      <c r="E1192" s="15" t="s">
        <v>47</v>
      </c>
      <c r="G1192" s="10" t="n">
        <v>1</v>
      </c>
      <c r="H1192" s="21" t="n">
        <v>46044.60875</v>
      </c>
      <c r="I1192" s="15" t="s">
        <v>3868</v>
      </c>
      <c r="J1192" s="15" t="s">
        <v>3868</v>
      </c>
      <c r="K1192" s="15"/>
      <c r="L1192" s="10" t="n">
        <f aca="false">COUNTIF($E$2:E1192,E1192)</f>
        <v>62</v>
      </c>
      <c r="M1192" s="10" t="e">
        <f aca="false">ifs(L1192=1, L1192&amp;"-"&amp; COUNTIFS($L$2:L1192,1))</f>
        <v>#NAME?</v>
      </c>
      <c r="N1192" s="15" t="s">
        <v>603</v>
      </c>
      <c r="O1192" s="10" t="s">
        <v>3730</v>
      </c>
      <c r="P1192" s="22" t="n">
        <f aca="false">COUNTIFS(C:C,C1192,N:N,"Đã xác nhận")/COUNTIFS(C:C,C1192)</f>
        <v>1</v>
      </c>
      <c r="Q1192" s="22"/>
      <c r="R1192" s="0" t="s">
        <v>1114</v>
      </c>
      <c r="S1192" s="0" t="s">
        <v>549</v>
      </c>
      <c r="U1192" s="24" t="n">
        <v>1</v>
      </c>
    </row>
    <row r="1193" customFormat="false" ht="12.75" hidden="false" customHeight="false" outlineLevel="0" collapsed="false">
      <c r="A1193" s="15" t="s">
        <v>3869</v>
      </c>
      <c r="B1193" s="15" t="s">
        <v>1103</v>
      </c>
      <c r="C1193" s="15" t="s">
        <v>3867</v>
      </c>
      <c r="D1193" s="15" t="s">
        <v>2131</v>
      </c>
      <c r="E1193" s="15" t="s">
        <v>63</v>
      </c>
      <c r="G1193" s="10" t="n">
        <v>1</v>
      </c>
      <c r="H1193" s="21" t="n">
        <v>46044.6087847222</v>
      </c>
      <c r="I1193" s="15" t="s">
        <v>3870</v>
      </c>
      <c r="J1193" s="15" t="s">
        <v>3870</v>
      </c>
      <c r="K1193" s="15"/>
      <c r="L1193" s="10" t="n">
        <f aca="false">COUNTIF($E$2:E1193,E1193)</f>
        <v>19</v>
      </c>
      <c r="M1193" s="10" t="e">
        <f aca="false">ifs(L1193=1, L1193&amp;"-"&amp; COUNTIFS($L$2:L1193,1))</f>
        <v>#NAME?</v>
      </c>
      <c r="N1193" s="15" t="s">
        <v>603</v>
      </c>
      <c r="O1193" s="10" t="s">
        <v>3730</v>
      </c>
      <c r="P1193" s="22" t="n">
        <f aca="false">COUNTIFS(C:C,C1193,N:N,"Đã xác nhận")/COUNTIFS(C:C,C1193)</f>
        <v>1</v>
      </c>
      <c r="Q1193" s="22"/>
      <c r="R1193" s="0" t="s">
        <v>2133</v>
      </c>
      <c r="S1193" s="0" t="s">
        <v>551</v>
      </c>
      <c r="U1193" s="24" t="n">
        <v>1</v>
      </c>
    </row>
    <row r="1194" customFormat="false" ht="12.75" hidden="false" customHeight="false" outlineLevel="0" collapsed="false">
      <c r="A1194" s="15" t="s">
        <v>3871</v>
      </c>
      <c r="B1194" s="15" t="s">
        <v>1103</v>
      </c>
      <c r="C1194" s="15" t="s">
        <v>3872</v>
      </c>
      <c r="D1194" s="15" t="s">
        <v>2131</v>
      </c>
      <c r="E1194" s="15" t="s">
        <v>63</v>
      </c>
      <c r="G1194" s="10" t="n">
        <v>1</v>
      </c>
      <c r="H1194" s="21" t="n">
        <v>46044.6100578704</v>
      </c>
      <c r="I1194" s="15" t="s">
        <v>3873</v>
      </c>
      <c r="J1194" s="15" t="s">
        <v>3873</v>
      </c>
      <c r="K1194" s="15"/>
      <c r="L1194" s="10" t="n">
        <f aca="false">COUNTIF($E$2:E1194,E1194)</f>
        <v>20</v>
      </c>
      <c r="M1194" s="10" t="e">
        <f aca="false">ifs(L1194=1, L1194&amp;"-"&amp; COUNTIFS($L$2:L1194,1))</f>
        <v>#NAME?</v>
      </c>
      <c r="N1194" s="15" t="s">
        <v>603</v>
      </c>
      <c r="O1194" s="10" t="s">
        <v>3730</v>
      </c>
      <c r="P1194" s="22" t="n">
        <f aca="false">COUNTIFS(C:C,C1194,N:N,"Đã xác nhận")/COUNTIFS(C:C,C1194)</f>
        <v>1</v>
      </c>
      <c r="Q1194" s="22"/>
      <c r="R1194" s="0" t="s">
        <v>2133</v>
      </c>
      <c r="S1194" s="0" t="s">
        <v>551</v>
      </c>
      <c r="U1194" s="24" t="n">
        <v>1</v>
      </c>
    </row>
    <row r="1195" customFormat="false" ht="12.75" hidden="false" customHeight="false" outlineLevel="0" collapsed="false">
      <c r="A1195" s="15" t="s">
        <v>3874</v>
      </c>
      <c r="B1195" s="15" t="s">
        <v>1103</v>
      </c>
      <c r="C1195" s="15" t="s">
        <v>3872</v>
      </c>
      <c r="D1195" s="15" t="s">
        <v>1110</v>
      </c>
      <c r="E1195" s="15" t="s">
        <v>47</v>
      </c>
      <c r="G1195" s="10" t="n">
        <v>1</v>
      </c>
      <c r="H1195" s="21" t="n">
        <v>46044.6100462963</v>
      </c>
      <c r="I1195" s="15" t="s">
        <v>3875</v>
      </c>
      <c r="J1195" s="15" t="s">
        <v>3875</v>
      </c>
      <c r="K1195" s="15"/>
      <c r="L1195" s="10" t="n">
        <f aca="false">COUNTIF($E$2:E1195,E1195)</f>
        <v>63</v>
      </c>
      <c r="M1195" s="10" t="e">
        <f aca="false">ifs(L1195=1, L1195&amp;"-"&amp; COUNTIFS($L$2:L1195,1))</f>
        <v>#NAME?</v>
      </c>
      <c r="N1195" s="15" t="s">
        <v>603</v>
      </c>
      <c r="O1195" s="10" t="s">
        <v>3730</v>
      </c>
      <c r="P1195" s="22" t="n">
        <f aca="false">COUNTIFS(C:C,C1195,N:N,"Đã xác nhận")/COUNTIFS(C:C,C1195)</f>
        <v>1</v>
      </c>
      <c r="Q1195" s="22"/>
      <c r="R1195" s="0" t="s">
        <v>1114</v>
      </c>
      <c r="S1195" s="0" t="s">
        <v>549</v>
      </c>
      <c r="U1195" s="24" t="n">
        <v>1</v>
      </c>
    </row>
    <row r="1196" customFormat="false" ht="12.75" hidden="false" customHeight="false" outlineLevel="0" collapsed="false">
      <c r="A1196" s="15" t="s">
        <v>3876</v>
      </c>
      <c r="B1196" s="15" t="s">
        <v>1103</v>
      </c>
      <c r="C1196" s="15" t="s">
        <v>467</v>
      </c>
      <c r="D1196" s="15" t="s">
        <v>3877</v>
      </c>
      <c r="E1196" s="15" t="s">
        <v>49</v>
      </c>
      <c r="G1196" s="10" t="n">
        <v>1</v>
      </c>
      <c r="H1196" s="21" t="n">
        <v>46044.6174421296</v>
      </c>
      <c r="I1196" s="15" t="s">
        <v>3878</v>
      </c>
      <c r="J1196" s="15" t="s">
        <v>3878</v>
      </c>
      <c r="K1196" s="15"/>
      <c r="L1196" s="10" t="n">
        <f aca="false">COUNTIF($E$2:E1196,E1196)</f>
        <v>18</v>
      </c>
      <c r="M1196" s="10" t="e">
        <f aca="false">ifs(L1196=1, L1196&amp;"-"&amp; COUNTIFS($L$2:L1196,1))</f>
        <v>#NAME?</v>
      </c>
      <c r="N1196" s="15" t="s">
        <v>603</v>
      </c>
      <c r="O1196" s="10" t="s">
        <v>3730</v>
      </c>
      <c r="P1196" s="22" t="n">
        <f aca="false">COUNTIFS(C:C,C1196,N:N,"Đã xác nhận")/COUNTIFS(C:C,C1196)</f>
        <v>1</v>
      </c>
      <c r="Q1196" s="22"/>
      <c r="R1196" s="0" t="s">
        <v>3879</v>
      </c>
      <c r="S1196" s="0" t="s">
        <v>537</v>
      </c>
      <c r="U1196" s="24" t="n">
        <v>1</v>
      </c>
    </row>
    <row r="1197" customFormat="false" ht="12.75" hidden="false" customHeight="false" outlineLevel="0" collapsed="false">
      <c r="A1197" s="15" t="s">
        <v>3880</v>
      </c>
      <c r="B1197" s="15" t="s">
        <v>2687</v>
      </c>
      <c r="C1197" s="15" t="s">
        <v>475</v>
      </c>
      <c r="D1197" s="15" t="s">
        <v>2688</v>
      </c>
      <c r="E1197" s="15" t="s">
        <v>557</v>
      </c>
      <c r="G1197" s="10" t="n">
        <v>2</v>
      </c>
      <c r="H1197" s="21" t="n">
        <v>46044.6486226852</v>
      </c>
      <c r="I1197" s="15" t="s">
        <v>3881</v>
      </c>
      <c r="J1197" s="15" t="s">
        <v>3881</v>
      </c>
      <c r="K1197" s="15"/>
      <c r="L1197" s="10" t="n">
        <f aca="false">COUNTIF($E$2:E1197,E1197)</f>
        <v>1</v>
      </c>
      <c r="M1197" s="10" t="e">
        <f aca="false">ifs(L1197=1, L1197&amp;"-"&amp; COUNTIFS($L$2:L1197,1))</f>
        <v>#NAME?</v>
      </c>
      <c r="N1197" s="15" t="s">
        <v>603</v>
      </c>
      <c r="O1197" s="10" t="s">
        <v>3730</v>
      </c>
      <c r="P1197" s="22" t="n">
        <f aca="false">COUNTIFS(C:C,C1197,N:N,"Đã xác nhận")/COUNTIFS(C:C,C1197)</f>
        <v>1</v>
      </c>
      <c r="Q1197" s="22"/>
      <c r="R1197" s="0" t="s">
        <v>2688</v>
      </c>
      <c r="S1197" s="0" t="s">
        <v>558</v>
      </c>
      <c r="U1197" s="24" t="n">
        <v>2</v>
      </c>
    </row>
    <row r="1198" customFormat="false" ht="12.75" hidden="false" customHeight="false" outlineLevel="0" collapsed="false">
      <c r="A1198" s="15" t="s">
        <v>3882</v>
      </c>
      <c r="B1198" s="15" t="s">
        <v>2687</v>
      </c>
      <c r="C1198" s="15" t="s">
        <v>476</v>
      </c>
      <c r="D1198" s="15" t="s">
        <v>2688</v>
      </c>
      <c r="E1198" s="15" t="s">
        <v>25</v>
      </c>
      <c r="G1198" s="10" t="n">
        <v>2</v>
      </c>
      <c r="H1198" s="21" t="n">
        <v>46044.6515162037</v>
      </c>
      <c r="I1198" s="15" t="s">
        <v>3883</v>
      </c>
      <c r="J1198" s="15" t="s">
        <v>3883</v>
      </c>
      <c r="K1198" s="15"/>
      <c r="L1198" s="10" t="n">
        <f aca="false">COUNTIF($E$2:E1198,E1198)</f>
        <v>17</v>
      </c>
      <c r="M1198" s="10" t="e">
        <f aca="false">ifs(L1198=1, L1198&amp;"-"&amp; COUNTIFS($L$2:L1198,1))</f>
        <v>#NAME?</v>
      </c>
      <c r="N1198" s="15" t="s">
        <v>603</v>
      </c>
      <c r="O1198" s="10" t="s">
        <v>3730</v>
      </c>
      <c r="P1198" s="22" t="n">
        <f aca="false">COUNTIFS(C:C,C1198,N:N,"Đã xác nhận")/COUNTIFS(C:C,C1198)</f>
        <v>1</v>
      </c>
      <c r="Q1198" s="22"/>
      <c r="R1198" s="0" t="s">
        <v>2688</v>
      </c>
      <c r="S1198" s="0" t="s">
        <v>26</v>
      </c>
      <c r="U1198" s="24" t="n">
        <v>2</v>
      </c>
    </row>
    <row r="1199" customFormat="false" ht="12.75" hidden="false" customHeight="false" outlineLevel="0" collapsed="false">
      <c r="A1199" s="15" t="s">
        <v>3884</v>
      </c>
      <c r="B1199" s="15" t="s">
        <v>2687</v>
      </c>
      <c r="C1199" s="15" t="s">
        <v>3885</v>
      </c>
      <c r="D1199" s="15" t="s">
        <v>2688</v>
      </c>
      <c r="E1199" s="15" t="s">
        <v>69</v>
      </c>
      <c r="G1199" s="10" t="n">
        <v>3</v>
      </c>
      <c r="H1199" s="21" t="n">
        <v>46044.6554050926</v>
      </c>
      <c r="I1199" s="15" t="s">
        <v>3886</v>
      </c>
      <c r="J1199" s="15" t="s">
        <v>3886</v>
      </c>
      <c r="K1199" s="15"/>
      <c r="L1199" s="10" t="n">
        <f aca="false">COUNTIF($E$2:E1199,E1199)</f>
        <v>164</v>
      </c>
      <c r="M1199" s="10" t="e">
        <f aca="false">ifs(L1199=1, L1199&amp;"-"&amp; COUNTIFS($L$2:L1199,1))</f>
        <v>#NAME?</v>
      </c>
      <c r="N1199" s="15" t="s">
        <v>603</v>
      </c>
      <c r="O1199" s="10" t="s">
        <v>3730</v>
      </c>
      <c r="P1199" s="22" t="n">
        <f aca="false">COUNTIFS(C:C,C1199,N:N,"Đã xác nhận")/COUNTIFS(C:C,C1199)</f>
        <v>1</v>
      </c>
      <c r="Q1199" s="22"/>
      <c r="R1199" s="0" t="s">
        <v>2688</v>
      </c>
      <c r="S1199" s="0" t="s">
        <v>535</v>
      </c>
      <c r="U1199" s="24" t="n">
        <v>3</v>
      </c>
    </row>
    <row r="1200" customFormat="false" ht="12.75" hidden="false" customHeight="false" outlineLevel="0" collapsed="false">
      <c r="A1200" s="15" t="s">
        <v>3887</v>
      </c>
      <c r="B1200" s="15" t="s">
        <v>2687</v>
      </c>
      <c r="C1200" s="15" t="s">
        <v>3885</v>
      </c>
      <c r="D1200" s="15" t="s">
        <v>2688</v>
      </c>
      <c r="E1200" s="15" t="s">
        <v>25</v>
      </c>
      <c r="G1200" s="10" t="n">
        <v>3</v>
      </c>
      <c r="H1200" s="21" t="n">
        <v>46044.6553819444</v>
      </c>
      <c r="I1200" s="15" t="s">
        <v>3888</v>
      </c>
      <c r="J1200" s="15" t="s">
        <v>3888</v>
      </c>
      <c r="K1200" s="15"/>
      <c r="L1200" s="10" t="n">
        <f aca="false">COUNTIF($E$2:E1200,E1200)</f>
        <v>18</v>
      </c>
      <c r="M1200" s="10" t="e">
        <f aca="false">ifs(L1200=1, L1200&amp;"-"&amp; COUNTIFS($L$2:L1200,1))</f>
        <v>#NAME?</v>
      </c>
      <c r="N1200" s="15" t="s">
        <v>603</v>
      </c>
      <c r="O1200" s="10" t="s">
        <v>3730</v>
      </c>
      <c r="P1200" s="22" t="n">
        <f aca="false">COUNTIFS(C:C,C1200,N:N,"Đã xác nhận")/COUNTIFS(C:C,C1200)</f>
        <v>1</v>
      </c>
      <c r="Q1200" s="22"/>
      <c r="R1200" s="0" t="s">
        <v>2688</v>
      </c>
      <c r="S1200" s="0" t="s">
        <v>26</v>
      </c>
      <c r="U1200" s="24" t="n">
        <v>3</v>
      </c>
    </row>
    <row r="1201" customFormat="false" ht="12.75" hidden="false" customHeight="false" outlineLevel="0" collapsed="false">
      <c r="A1201" s="15" t="s">
        <v>3889</v>
      </c>
      <c r="B1201" s="15" t="s">
        <v>2687</v>
      </c>
      <c r="C1201" s="15" t="s">
        <v>3885</v>
      </c>
      <c r="D1201" s="15" t="s">
        <v>2688</v>
      </c>
      <c r="E1201" s="15" t="s">
        <v>547</v>
      </c>
      <c r="G1201" s="10" t="n">
        <v>3</v>
      </c>
      <c r="H1201" s="21" t="n">
        <v>46044.6553587963</v>
      </c>
      <c r="I1201" s="15" t="s">
        <v>3890</v>
      </c>
      <c r="J1201" s="15" t="s">
        <v>3890</v>
      </c>
      <c r="K1201" s="15"/>
      <c r="L1201" s="10" t="n">
        <f aca="false">COUNTIF($E$2:E1201,E1201)</f>
        <v>36</v>
      </c>
      <c r="M1201" s="10" t="e">
        <f aca="false">ifs(L1201=1, L1201&amp;"-"&amp; COUNTIFS($L$2:L1201,1))</f>
        <v>#NAME?</v>
      </c>
      <c r="N1201" s="15" t="s">
        <v>603</v>
      </c>
      <c r="O1201" s="10" t="s">
        <v>3730</v>
      </c>
      <c r="P1201" s="22" t="n">
        <f aca="false">COUNTIFS(C:C,C1201,N:N,"Đã xác nhận")/COUNTIFS(C:C,C1201)</f>
        <v>1</v>
      </c>
      <c r="Q1201" s="22"/>
      <c r="R1201" s="0" t="s">
        <v>2688</v>
      </c>
      <c r="S1201" s="0" t="s">
        <v>548</v>
      </c>
      <c r="U1201" s="24" t="n">
        <v>3</v>
      </c>
    </row>
    <row r="1202" customFormat="false" ht="12.75" hidden="false" customHeight="false" outlineLevel="0" collapsed="false">
      <c r="A1202" s="15" t="s">
        <v>3891</v>
      </c>
      <c r="B1202" s="15" t="s">
        <v>2687</v>
      </c>
      <c r="C1202" s="15" t="s">
        <v>478</v>
      </c>
      <c r="D1202" s="15" t="s">
        <v>2688</v>
      </c>
      <c r="E1202" s="15" t="s">
        <v>547</v>
      </c>
      <c r="G1202" s="10" t="n">
        <v>2</v>
      </c>
      <c r="H1202" s="21" t="n">
        <v>46044.6610185185</v>
      </c>
      <c r="I1202" s="15" t="s">
        <v>3892</v>
      </c>
      <c r="J1202" s="15" t="s">
        <v>3892</v>
      </c>
      <c r="K1202" s="15"/>
      <c r="L1202" s="10" t="n">
        <f aca="false">COUNTIF($E$2:E1202,E1202)</f>
        <v>37</v>
      </c>
      <c r="M1202" s="10" t="e">
        <f aca="false">ifs(L1202=1, L1202&amp;"-"&amp; COUNTIFS($L$2:L1202,1))</f>
        <v>#NAME?</v>
      </c>
      <c r="N1202" s="15" t="s">
        <v>603</v>
      </c>
      <c r="O1202" s="10" t="s">
        <v>3730</v>
      </c>
      <c r="P1202" s="22" t="n">
        <f aca="false">COUNTIFS(C:C,C1202,N:N,"Đã xác nhận")/COUNTIFS(C:C,C1202)</f>
        <v>1</v>
      </c>
      <c r="Q1202" s="22"/>
      <c r="R1202" s="0" t="s">
        <v>2688</v>
      </c>
      <c r="S1202" s="0" t="s">
        <v>548</v>
      </c>
      <c r="U1202" s="24" t="n">
        <v>2</v>
      </c>
    </row>
    <row r="1203" customFormat="false" ht="12.75" hidden="false" customHeight="false" outlineLevel="0" collapsed="false">
      <c r="A1203" s="15" t="s">
        <v>3893</v>
      </c>
      <c r="B1203" s="15" t="s">
        <v>2687</v>
      </c>
      <c r="C1203" s="15" t="s">
        <v>478</v>
      </c>
      <c r="D1203" s="15" t="s">
        <v>2688</v>
      </c>
      <c r="E1203" s="15" t="s">
        <v>69</v>
      </c>
      <c r="G1203" s="10" t="n">
        <v>2</v>
      </c>
      <c r="H1203" s="21" t="n">
        <v>46044.6610416667</v>
      </c>
      <c r="I1203" s="15" t="s">
        <v>3894</v>
      </c>
      <c r="J1203" s="15" t="s">
        <v>3894</v>
      </c>
      <c r="K1203" s="15"/>
      <c r="L1203" s="10" t="n">
        <f aca="false">COUNTIF($E$2:E1203,E1203)</f>
        <v>165</v>
      </c>
      <c r="M1203" s="10" t="e">
        <f aca="false">ifs(L1203=1, L1203&amp;"-"&amp; COUNTIFS($L$2:L1203,1))</f>
        <v>#NAME?</v>
      </c>
      <c r="N1203" s="15" t="s">
        <v>603</v>
      </c>
      <c r="O1203" s="10" t="s">
        <v>3730</v>
      </c>
      <c r="P1203" s="22" t="n">
        <f aca="false">COUNTIFS(C:C,C1203,N:N,"Đã xác nhận")/COUNTIFS(C:C,C1203)</f>
        <v>1</v>
      </c>
      <c r="Q1203" s="22"/>
      <c r="R1203" s="0" t="s">
        <v>2688</v>
      </c>
      <c r="S1203" s="0" t="s">
        <v>535</v>
      </c>
      <c r="U1203" s="24" t="n">
        <v>2</v>
      </c>
    </row>
    <row r="1204" customFormat="false" ht="12.75" hidden="false" customHeight="false" outlineLevel="0" collapsed="false">
      <c r="A1204" s="15" t="s">
        <v>3895</v>
      </c>
      <c r="B1204" s="15" t="s">
        <v>2687</v>
      </c>
      <c r="C1204" s="15" t="s">
        <v>479</v>
      </c>
      <c r="D1204" s="15" t="s">
        <v>2688</v>
      </c>
      <c r="E1204" s="15" t="s">
        <v>69</v>
      </c>
      <c r="G1204" s="10" t="n">
        <v>2</v>
      </c>
      <c r="H1204" s="21" t="n">
        <v>46044.6611342593</v>
      </c>
      <c r="I1204" s="15" t="s">
        <v>3896</v>
      </c>
      <c r="J1204" s="15" t="s">
        <v>3896</v>
      </c>
      <c r="K1204" s="15"/>
      <c r="L1204" s="10" t="n">
        <f aca="false">COUNTIF($E$2:E1204,E1204)</f>
        <v>166</v>
      </c>
      <c r="M1204" s="10" t="e">
        <f aca="false">ifs(L1204=1, L1204&amp;"-"&amp; COUNTIFS($L$2:L1204,1))</f>
        <v>#NAME?</v>
      </c>
      <c r="N1204" s="15" t="s">
        <v>603</v>
      </c>
      <c r="O1204" s="10" t="s">
        <v>3730</v>
      </c>
      <c r="P1204" s="22" t="n">
        <f aca="false">COUNTIFS(C:C,C1204,N:N,"Đã xác nhận")/COUNTIFS(C:C,C1204)</f>
        <v>1</v>
      </c>
      <c r="Q1204" s="22"/>
      <c r="R1204" s="0" t="s">
        <v>2688</v>
      </c>
      <c r="S1204" s="0" t="s">
        <v>535</v>
      </c>
      <c r="U1204" s="24" t="n">
        <v>2</v>
      </c>
    </row>
    <row r="1205" customFormat="false" ht="12.75" hidden="false" customHeight="false" outlineLevel="0" collapsed="false">
      <c r="A1205" s="15" t="s">
        <v>3897</v>
      </c>
      <c r="B1205" s="15" t="s">
        <v>2687</v>
      </c>
      <c r="C1205" s="15" t="s">
        <v>479</v>
      </c>
      <c r="D1205" s="15" t="s">
        <v>2688</v>
      </c>
      <c r="E1205" s="15" t="s">
        <v>547</v>
      </c>
      <c r="G1205" s="10" t="n">
        <v>2</v>
      </c>
      <c r="H1205" s="21" t="n">
        <v>46044.6611111111</v>
      </c>
      <c r="I1205" s="15" t="s">
        <v>3898</v>
      </c>
      <c r="J1205" s="15" t="s">
        <v>3898</v>
      </c>
      <c r="K1205" s="15"/>
      <c r="L1205" s="10" t="n">
        <f aca="false">COUNTIF($E$2:E1205,E1205)</f>
        <v>38</v>
      </c>
      <c r="M1205" s="10" t="e">
        <f aca="false">ifs(L1205=1, L1205&amp;"-"&amp; COUNTIFS($L$2:L1205,1))</f>
        <v>#NAME?</v>
      </c>
      <c r="N1205" s="15" t="s">
        <v>603</v>
      </c>
      <c r="O1205" s="10" t="s">
        <v>3730</v>
      </c>
      <c r="P1205" s="22" t="n">
        <f aca="false">COUNTIFS(C:C,C1205,N:N,"Đã xác nhận")/COUNTIFS(C:C,C1205)</f>
        <v>1</v>
      </c>
      <c r="Q1205" s="22"/>
      <c r="R1205" s="0" t="s">
        <v>2688</v>
      </c>
      <c r="S1205" s="0" t="s">
        <v>548</v>
      </c>
      <c r="U1205" s="24" t="n">
        <v>2</v>
      </c>
    </row>
    <row r="1206" customFormat="false" ht="12.75" hidden="false" customHeight="false" outlineLevel="0" collapsed="false">
      <c r="A1206" s="15" t="s">
        <v>3899</v>
      </c>
      <c r="B1206" s="15" t="s">
        <v>2687</v>
      </c>
      <c r="C1206" s="15" t="s">
        <v>481</v>
      </c>
      <c r="D1206" s="15" t="s">
        <v>2688</v>
      </c>
      <c r="E1206" s="15" t="s">
        <v>69</v>
      </c>
      <c r="G1206" s="10" t="n">
        <v>2</v>
      </c>
      <c r="H1206" s="21" t="n">
        <v>46044.6612152778</v>
      </c>
      <c r="I1206" s="15" t="s">
        <v>3900</v>
      </c>
      <c r="J1206" s="15" t="s">
        <v>3900</v>
      </c>
      <c r="K1206" s="15"/>
      <c r="L1206" s="10" t="n">
        <f aca="false">COUNTIF($E$2:E1206,E1206)</f>
        <v>167</v>
      </c>
      <c r="M1206" s="10" t="e">
        <f aca="false">ifs(L1206=1, L1206&amp;"-"&amp; COUNTIFS($L$2:L1206,1))</f>
        <v>#NAME?</v>
      </c>
      <c r="N1206" s="15" t="s">
        <v>603</v>
      </c>
      <c r="O1206" s="10" t="s">
        <v>3730</v>
      </c>
      <c r="P1206" s="22" t="n">
        <f aca="false">COUNTIFS(C:C,C1206,N:N,"Đã xác nhận")/COUNTIFS(C:C,C1206)</f>
        <v>1</v>
      </c>
      <c r="Q1206" s="22"/>
      <c r="R1206" s="0" t="s">
        <v>2688</v>
      </c>
      <c r="S1206" s="0" t="s">
        <v>535</v>
      </c>
      <c r="U1206" s="24" t="n">
        <v>2</v>
      </c>
    </row>
    <row r="1207" customFormat="false" ht="12.75" hidden="false" customHeight="false" outlineLevel="0" collapsed="false">
      <c r="A1207" s="15" t="s">
        <v>3901</v>
      </c>
      <c r="B1207" s="15" t="s">
        <v>2687</v>
      </c>
      <c r="C1207" s="15" t="s">
        <v>481</v>
      </c>
      <c r="D1207" s="15" t="s">
        <v>2688</v>
      </c>
      <c r="E1207" s="15" t="s">
        <v>547</v>
      </c>
      <c r="G1207" s="10" t="n">
        <v>2</v>
      </c>
      <c r="H1207" s="21" t="n">
        <v>46044.6611805556</v>
      </c>
      <c r="I1207" s="15" t="s">
        <v>3902</v>
      </c>
      <c r="J1207" s="15" t="s">
        <v>3902</v>
      </c>
      <c r="K1207" s="15"/>
      <c r="L1207" s="10" t="n">
        <f aca="false">COUNTIF($E$2:E1207,E1207)</f>
        <v>39</v>
      </c>
      <c r="M1207" s="10" t="e">
        <f aca="false">ifs(L1207=1, L1207&amp;"-"&amp; COUNTIFS($L$2:L1207,1))</f>
        <v>#NAME?</v>
      </c>
      <c r="N1207" s="15" t="s">
        <v>603</v>
      </c>
      <c r="O1207" s="10" t="s">
        <v>3730</v>
      </c>
      <c r="P1207" s="22" t="n">
        <f aca="false">COUNTIFS(C:C,C1207,N:N,"Đã xác nhận")/COUNTIFS(C:C,C1207)</f>
        <v>1</v>
      </c>
      <c r="Q1207" s="22"/>
      <c r="R1207" s="0" t="s">
        <v>2688</v>
      </c>
      <c r="S1207" s="0" t="s">
        <v>548</v>
      </c>
      <c r="U1207" s="24" t="n">
        <v>2</v>
      </c>
    </row>
    <row r="1208" customFormat="false" ht="12.75" hidden="false" customHeight="false" outlineLevel="0" collapsed="false">
      <c r="A1208" s="15" t="s">
        <v>3903</v>
      </c>
      <c r="B1208" s="15" t="s">
        <v>2852</v>
      </c>
      <c r="C1208" s="15" t="s">
        <v>500</v>
      </c>
      <c r="D1208" s="15" t="s">
        <v>766</v>
      </c>
      <c r="E1208" s="15" t="s">
        <v>77</v>
      </c>
      <c r="G1208" s="10" t="n">
        <v>2</v>
      </c>
      <c r="H1208" s="21" t="n">
        <v>46044.6896643519</v>
      </c>
      <c r="I1208" s="15" t="s">
        <v>3904</v>
      </c>
      <c r="J1208" s="15" t="s">
        <v>3904</v>
      </c>
      <c r="K1208" s="15"/>
      <c r="L1208" s="10" t="n">
        <f aca="false">COUNTIF($E$2:E1208,E1208)</f>
        <v>43</v>
      </c>
      <c r="M1208" s="10" t="e">
        <f aca="false">ifs(L1208=1, L1208&amp;"-"&amp; COUNTIFS($L$2:L1208,1))</f>
        <v>#NAME?</v>
      </c>
      <c r="N1208" s="15" t="s">
        <v>603</v>
      </c>
      <c r="O1208" s="10" t="s">
        <v>3730</v>
      </c>
      <c r="P1208" s="22" t="n">
        <f aca="false">COUNTIFS(C:C,C1208,N:N,"Đã xác nhận")/COUNTIFS(C:C,C1208)</f>
        <v>1</v>
      </c>
      <c r="Q1208" s="22"/>
      <c r="R1208" s="0" t="s">
        <v>768</v>
      </c>
      <c r="S1208" s="0" t="s">
        <v>78</v>
      </c>
      <c r="U1208" s="24" t="n">
        <v>2</v>
      </c>
    </row>
    <row r="1209" customFormat="false" ht="12.75" hidden="false" customHeight="false" outlineLevel="0" collapsed="false">
      <c r="A1209" s="15" t="s">
        <v>3905</v>
      </c>
      <c r="B1209" s="15" t="s">
        <v>2852</v>
      </c>
      <c r="C1209" s="15" t="s">
        <v>500</v>
      </c>
      <c r="D1209" s="15" t="s">
        <v>617</v>
      </c>
      <c r="E1209" s="15" t="s">
        <v>75</v>
      </c>
      <c r="G1209" s="10" t="n">
        <v>1</v>
      </c>
      <c r="H1209" s="21" t="n">
        <v>46044.6915856482</v>
      </c>
      <c r="I1209" s="15" t="s">
        <v>3906</v>
      </c>
      <c r="J1209" s="15" t="s">
        <v>3906</v>
      </c>
      <c r="K1209" s="15"/>
      <c r="L1209" s="10" t="n">
        <f aca="false">COUNTIF($E$2:E1209,E1209)</f>
        <v>9</v>
      </c>
      <c r="M1209" s="10" t="e">
        <f aca="false">ifs(L1209=1, L1209&amp;"-"&amp; COUNTIFS($L$2:L1209,1))</f>
        <v>#NAME?</v>
      </c>
      <c r="N1209" s="15" t="s">
        <v>603</v>
      </c>
      <c r="O1209" s="10" t="s">
        <v>3730</v>
      </c>
      <c r="P1209" s="22" t="n">
        <f aca="false">COUNTIFS(C:C,C1209,N:N,"Đã xác nhận")/COUNTIFS(C:C,C1209)</f>
        <v>1</v>
      </c>
      <c r="Q1209" s="22"/>
      <c r="R1209" s="0" t="s">
        <v>619</v>
      </c>
      <c r="S1209" s="0" t="s">
        <v>560</v>
      </c>
      <c r="U1209" s="24" t="n">
        <v>1</v>
      </c>
    </row>
    <row r="1210" customFormat="false" ht="12.75" hidden="false" customHeight="false" outlineLevel="0" collapsed="false">
      <c r="A1210" s="15" t="s">
        <v>3907</v>
      </c>
      <c r="B1210" s="15" t="s">
        <v>600</v>
      </c>
      <c r="C1210" s="15" t="s">
        <v>3670</v>
      </c>
      <c r="D1210" s="15" t="s">
        <v>766</v>
      </c>
      <c r="E1210" s="15" t="s">
        <v>31</v>
      </c>
      <c r="G1210" s="10" t="n">
        <v>2</v>
      </c>
      <c r="H1210" s="21" t="n">
        <v>46045.4784837963</v>
      </c>
      <c r="I1210" s="15" t="s">
        <v>3908</v>
      </c>
      <c r="J1210" s="15" t="s">
        <v>3908</v>
      </c>
      <c r="K1210" s="15"/>
      <c r="L1210" s="10" t="n">
        <f aca="false">COUNTIF($E$2:E1210,E1210)</f>
        <v>5</v>
      </c>
      <c r="M1210" s="10" t="e">
        <f aca="false">ifs(L1210=1, L1210&amp;"-"&amp; COUNTIFS($L$2:L1210,1))</f>
        <v>#NAME?</v>
      </c>
      <c r="N1210" s="15" t="s">
        <v>603</v>
      </c>
      <c r="O1210" s="10" t="s">
        <v>3730</v>
      </c>
      <c r="P1210" s="22" t="n">
        <f aca="false">COUNTIFS(C:C,C1210,N:N,"Đã xác nhận")/COUNTIFS(C:C,C1210)</f>
        <v>1</v>
      </c>
      <c r="Q1210" s="22"/>
      <c r="R1210" s="0" t="s">
        <v>768</v>
      </c>
      <c r="S1210" s="0" t="s">
        <v>559</v>
      </c>
      <c r="U1210" s="24" t="n">
        <v>2</v>
      </c>
    </row>
    <row r="1211" customFormat="false" ht="12.75" hidden="false" customHeight="false" outlineLevel="0" collapsed="false">
      <c r="A1211" s="15" t="s">
        <v>3909</v>
      </c>
      <c r="B1211" s="15" t="s">
        <v>600</v>
      </c>
      <c r="C1211" s="15" t="s">
        <v>3670</v>
      </c>
      <c r="D1211" s="15" t="s">
        <v>766</v>
      </c>
      <c r="E1211" s="15" t="s">
        <v>37</v>
      </c>
      <c r="G1211" s="10" t="n">
        <v>1</v>
      </c>
      <c r="H1211" s="21" t="n">
        <v>46045.4802893519</v>
      </c>
      <c r="I1211" s="15" t="s">
        <v>3910</v>
      </c>
      <c r="J1211" s="15" t="s">
        <v>3910</v>
      </c>
      <c r="K1211" s="15"/>
      <c r="L1211" s="10" t="n">
        <f aca="false">COUNTIF($E$2:E1211,E1211)</f>
        <v>20</v>
      </c>
      <c r="M1211" s="10" t="e">
        <f aca="false">ifs(L1211=1, L1211&amp;"-"&amp; COUNTIFS($L$2:L1211,1))</f>
        <v>#NAME?</v>
      </c>
      <c r="N1211" s="15" t="s">
        <v>603</v>
      </c>
      <c r="O1211" s="10" t="s">
        <v>3730</v>
      </c>
      <c r="P1211" s="22" t="n">
        <f aca="false">COUNTIFS(C:C,C1211,N:N,"Đã xác nhận")/COUNTIFS(C:C,C1211)</f>
        <v>1</v>
      </c>
      <c r="Q1211" s="22"/>
      <c r="R1211" s="0" t="s">
        <v>768</v>
      </c>
      <c r="S1211" s="0" t="s">
        <v>561</v>
      </c>
      <c r="U1211" s="24" t="n">
        <v>1</v>
      </c>
    </row>
    <row r="1212" customFormat="false" ht="12.75" hidden="false" customHeight="false" outlineLevel="0" collapsed="false">
      <c r="A1212" s="15" t="s">
        <v>3911</v>
      </c>
      <c r="B1212" s="15" t="s">
        <v>600</v>
      </c>
      <c r="C1212" s="15" t="s">
        <v>3670</v>
      </c>
      <c r="D1212" s="15" t="s">
        <v>766</v>
      </c>
      <c r="E1212" s="15" t="s">
        <v>47</v>
      </c>
      <c r="G1212" s="10" t="n">
        <v>1</v>
      </c>
      <c r="H1212" s="21" t="n">
        <v>46045.4822800926</v>
      </c>
      <c r="I1212" s="15" t="s">
        <v>3912</v>
      </c>
      <c r="J1212" s="15" t="s">
        <v>3912</v>
      </c>
      <c r="K1212" s="15"/>
      <c r="L1212" s="10" t="n">
        <f aca="false">COUNTIF($E$2:E1212,E1212)</f>
        <v>64</v>
      </c>
      <c r="M1212" s="10" t="e">
        <f aca="false">ifs(L1212=1, L1212&amp;"-"&amp; COUNTIFS($L$2:L1212,1))</f>
        <v>#NAME?</v>
      </c>
      <c r="N1212" s="15" t="s">
        <v>603</v>
      </c>
      <c r="O1212" s="10" t="s">
        <v>3730</v>
      </c>
      <c r="P1212" s="22" t="n">
        <f aca="false">COUNTIFS(C:C,C1212,N:N,"Đã xác nhận")/COUNTIFS(C:C,C1212)</f>
        <v>1</v>
      </c>
      <c r="Q1212" s="22"/>
      <c r="R1212" s="0" t="s">
        <v>768</v>
      </c>
      <c r="S1212" s="0" t="s">
        <v>549</v>
      </c>
      <c r="U1212" s="24" t="n">
        <v>1</v>
      </c>
    </row>
    <row r="1213" customFormat="false" ht="12.75" hidden="false" customHeight="false" outlineLevel="0" collapsed="false">
      <c r="A1213" s="15" t="s">
        <v>3913</v>
      </c>
      <c r="B1213" s="15" t="s">
        <v>600</v>
      </c>
      <c r="C1213" s="15" t="s">
        <v>3670</v>
      </c>
      <c r="D1213" s="15" t="s">
        <v>2753</v>
      </c>
      <c r="E1213" s="15" t="s">
        <v>55</v>
      </c>
      <c r="G1213" s="10" t="n">
        <v>1</v>
      </c>
      <c r="H1213" s="21" t="n">
        <v>46045.4823263889</v>
      </c>
      <c r="I1213" s="15" t="s">
        <v>3914</v>
      </c>
      <c r="J1213" s="15" t="s">
        <v>3914</v>
      </c>
      <c r="K1213" s="15"/>
      <c r="L1213" s="10" t="n">
        <f aca="false">COUNTIF($E$2:E1213,E1213)</f>
        <v>102</v>
      </c>
      <c r="M1213" s="10" t="e">
        <f aca="false">ifs(L1213=1, L1213&amp;"-"&amp; COUNTIFS($L$2:L1213,1))</f>
        <v>#NAME?</v>
      </c>
      <c r="N1213" s="15" t="s">
        <v>603</v>
      </c>
      <c r="O1213" s="10" t="s">
        <v>3730</v>
      </c>
      <c r="P1213" s="22" t="n">
        <f aca="false">COUNTIFS(C:C,C1213,N:N,"Đã xác nhận")/COUNTIFS(C:C,C1213)</f>
        <v>1</v>
      </c>
      <c r="Q1213" s="22"/>
      <c r="R1213" s="0" t="s">
        <v>2755</v>
      </c>
      <c r="S1213" s="0" t="s">
        <v>539</v>
      </c>
      <c r="U1213" s="24" t="n">
        <v>1</v>
      </c>
    </row>
    <row r="1214" customFormat="false" ht="12.75" hidden="false" customHeight="false" outlineLevel="0" collapsed="false">
      <c r="A1214" s="15" t="s">
        <v>3915</v>
      </c>
      <c r="B1214" s="15" t="s">
        <v>600</v>
      </c>
      <c r="C1214" s="15" t="s">
        <v>3670</v>
      </c>
      <c r="D1214" s="15" t="s">
        <v>2753</v>
      </c>
      <c r="E1214" s="15" t="s">
        <v>59</v>
      </c>
      <c r="G1214" s="10" t="n">
        <v>1</v>
      </c>
      <c r="H1214" s="21" t="n">
        <v>46045.482349537</v>
      </c>
      <c r="I1214" s="15" t="s">
        <v>3916</v>
      </c>
      <c r="J1214" s="15" t="s">
        <v>3916</v>
      </c>
      <c r="K1214" s="15"/>
      <c r="L1214" s="10" t="n">
        <f aca="false">COUNTIF($E$2:E1214,E1214)</f>
        <v>27</v>
      </c>
      <c r="M1214" s="10" t="e">
        <f aca="false">ifs(L1214=1, L1214&amp;"-"&amp; COUNTIFS($L$2:L1214,1))</f>
        <v>#NAME?</v>
      </c>
      <c r="N1214" s="15" t="s">
        <v>603</v>
      </c>
      <c r="O1214" s="10" t="s">
        <v>3730</v>
      </c>
      <c r="P1214" s="22" t="n">
        <f aca="false">COUNTIFS(C:C,C1214,N:N,"Đã xác nhận")/COUNTIFS(C:C,C1214)</f>
        <v>1</v>
      </c>
      <c r="Q1214" s="22"/>
      <c r="R1214" s="0" t="s">
        <v>2755</v>
      </c>
      <c r="S1214" s="0" t="s">
        <v>562</v>
      </c>
      <c r="U1214" s="24" t="n">
        <v>1</v>
      </c>
    </row>
    <row r="1215" customFormat="false" ht="12.75" hidden="false" customHeight="false" outlineLevel="0" collapsed="false">
      <c r="A1215" s="15" t="s">
        <v>3917</v>
      </c>
      <c r="B1215" s="15" t="s">
        <v>600</v>
      </c>
      <c r="C1215" s="15" t="s">
        <v>3670</v>
      </c>
      <c r="D1215" s="15" t="s">
        <v>673</v>
      </c>
      <c r="E1215" s="15" t="s">
        <v>69</v>
      </c>
      <c r="G1215" s="10" t="n">
        <v>2</v>
      </c>
      <c r="H1215" s="21" t="n">
        <v>46045.4830208333</v>
      </c>
      <c r="I1215" s="15" t="s">
        <v>3918</v>
      </c>
      <c r="J1215" s="15" t="s">
        <v>3918</v>
      </c>
      <c r="K1215" s="15"/>
      <c r="L1215" s="10" t="n">
        <f aca="false">COUNTIF($E$2:E1215,E1215)</f>
        <v>168</v>
      </c>
      <c r="M1215" s="10" t="e">
        <f aca="false">ifs(L1215=1, L1215&amp;"-"&amp; COUNTIFS($L$2:L1215,1))</f>
        <v>#NAME?</v>
      </c>
      <c r="N1215" s="15" t="s">
        <v>603</v>
      </c>
      <c r="O1215" s="10" t="s">
        <v>3730</v>
      </c>
      <c r="P1215" s="22" t="n">
        <f aca="false">COUNTIFS(C:C,C1215,N:N,"Đã xác nhận")/COUNTIFS(C:C,C1215)</f>
        <v>1</v>
      </c>
      <c r="Q1215" s="22"/>
      <c r="R1215" s="0" t="s">
        <v>675</v>
      </c>
      <c r="S1215" s="0" t="s">
        <v>535</v>
      </c>
      <c r="U1215" s="24" t="n">
        <v>2</v>
      </c>
    </row>
    <row r="1216" customFormat="false" ht="12.75" hidden="false" customHeight="false" outlineLevel="0" collapsed="false">
      <c r="A1216" s="15" t="s">
        <v>3919</v>
      </c>
      <c r="B1216" s="15" t="s">
        <v>600</v>
      </c>
      <c r="C1216" s="15" t="s">
        <v>3670</v>
      </c>
      <c r="D1216" s="15" t="s">
        <v>766</v>
      </c>
      <c r="E1216" s="15" t="s">
        <v>75</v>
      </c>
      <c r="G1216" s="10" t="n">
        <v>1</v>
      </c>
      <c r="H1216" s="21" t="n">
        <v>46045.4823842593</v>
      </c>
      <c r="I1216" s="15" t="s">
        <v>3920</v>
      </c>
      <c r="J1216" s="15" t="s">
        <v>3920</v>
      </c>
      <c r="K1216" s="15"/>
      <c r="L1216" s="10" t="n">
        <f aca="false">COUNTIF($E$2:E1216,E1216)</f>
        <v>10</v>
      </c>
      <c r="M1216" s="10" t="e">
        <f aca="false">ifs(L1216=1, L1216&amp;"-"&amp; COUNTIFS($L$2:L1216,1))</f>
        <v>#NAME?</v>
      </c>
      <c r="N1216" s="15" t="s">
        <v>603</v>
      </c>
      <c r="O1216" s="10" t="s">
        <v>3730</v>
      </c>
      <c r="P1216" s="22" t="n">
        <f aca="false">COUNTIFS(C:C,C1216,N:N,"Đã xác nhận")/COUNTIFS(C:C,C1216)</f>
        <v>1</v>
      </c>
      <c r="Q1216" s="22"/>
      <c r="R1216" s="0" t="s">
        <v>768</v>
      </c>
      <c r="S1216" s="0" t="s">
        <v>560</v>
      </c>
      <c r="U1216" s="24" t="n">
        <v>1</v>
      </c>
    </row>
    <row r="1217" customFormat="false" ht="12.75" hidden="false" customHeight="false" outlineLevel="0" collapsed="false">
      <c r="A1217" s="15" t="s">
        <v>3921</v>
      </c>
      <c r="B1217" s="15" t="s">
        <v>600</v>
      </c>
      <c r="C1217" s="15" t="s">
        <v>3670</v>
      </c>
      <c r="D1217" s="15" t="s">
        <v>766</v>
      </c>
      <c r="E1217" s="15" t="s">
        <v>87</v>
      </c>
      <c r="G1217" s="10" t="n">
        <v>1</v>
      </c>
      <c r="H1217" s="21" t="n">
        <v>46045.4829976852</v>
      </c>
      <c r="I1217" s="15" t="s">
        <v>3922</v>
      </c>
      <c r="J1217" s="15" t="s">
        <v>3922</v>
      </c>
      <c r="K1217" s="15"/>
      <c r="L1217" s="10" t="n">
        <f aca="false">COUNTIF($E$2:E1217,E1217)</f>
        <v>3</v>
      </c>
      <c r="M1217" s="10" t="e">
        <f aca="false">ifs(L1217=1, L1217&amp;"-"&amp; COUNTIFS($L$2:L1217,1))</f>
        <v>#NAME?</v>
      </c>
      <c r="N1217" s="15" t="s">
        <v>603</v>
      </c>
      <c r="O1217" s="10" t="s">
        <v>3730</v>
      </c>
      <c r="P1217" s="22" t="n">
        <f aca="false">COUNTIFS(C:C,C1217,N:N,"Đã xác nhận")/COUNTIFS(C:C,C1217)</f>
        <v>1</v>
      </c>
      <c r="Q1217" s="22"/>
      <c r="R1217" s="0" t="s">
        <v>768</v>
      </c>
      <c r="S1217" s="0" t="s">
        <v>563</v>
      </c>
      <c r="U1217" s="24" t="n">
        <v>1</v>
      </c>
    </row>
    <row r="1218" customFormat="false" ht="12.75" hidden="false" customHeight="false" outlineLevel="0" collapsed="false">
      <c r="A1218" s="15" t="s">
        <v>3923</v>
      </c>
      <c r="B1218" s="15" t="s">
        <v>1103</v>
      </c>
      <c r="C1218" s="15" t="s">
        <v>505</v>
      </c>
      <c r="D1218" s="15" t="s">
        <v>1172</v>
      </c>
      <c r="E1218" s="15" t="s">
        <v>39</v>
      </c>
      <c r="G1218" s="10" t="n">
        <v>1</v>
      </c>
      <c r="H1218" s="21" t="n">
        <v>46048.6609259259</v>
      </c>
      <c r="I1218" s="15" t="s">
        <v>3924</v>
      </c>
      <c r="J1218" s="15" t="s">
        <v>3924</v>
      </c>
      <c r="K1218" s="15"/>
      <c r="L1218" s="10" t="n">
        <f aca="false">COUNTIF($E$2:E1218,E1218)</f>
        <v>16</v>
      </c>
      <c r="M1218" s="10" t="e">
        <f aca="false">ifs(L1218=1, L1218&amp;"-"&amp; COUNTIFS($L$2:L1218,1))</f>
        <v>#NAME?</v>
      </c>
      <c r="N1218" s="15" t="s">
        <v>603</v>
      </c>
      <c r="O1218" s="10" t="s">
        <v>3730</v>
      </c>
      <c r="P1218" s="22" t="n">
        <f aca="false">COUNTIFS(C:C,C1218,N:N,"Đã xác nhận")/COUNTIFS(C:C,C1218)</f>
        <v>1</v>
      </c>
      <c r="Q1218" s="22"/>
      <c r="R1218" s="0" t="s">
        <v>1174</v>
      </c>
      <c r="S1218" s="0" t="s">
        <v>550</v>
      </c>
      <c r="U1218" s="24" t="n">
        <v>1</v>
      </c>
    </row>
    <row r="1219" customFormat="false" ht="12.75" hidden="false" customHeight="false" outlineLevel="0" collapsed="false">
      <c r="A1219" s="15" t="s">
        <v>3925</v>
      </c>
      <c r="B1219" s="15" t="s">
        <v>1103</v>
      </c>
      <c r="C1219" s="15" t="s">
        <v>505</v>
      </c>
      <c r="D1219" s="15" t="s">
        <v>1172</v>
      </c>
      <c r="E1219" s="15" t="s">
        <v>81</v>
      </c>
      <c r="G1219" s="10" t="n">
        <v>1</v>
      </c>
      <c r="H1219" s="21" t="n">
        <v>46048.6614236111</v>
      </c>
      <c r="I1219" s="15" t="s">
        <v>3926</v>
      </c>
      <c r="J1219" s="15" t="s">
        <v>3926</v>
      </c>
      <c r="K1219" s="15"/>
      <c r="L1219" s="10" t="n">
        <f aca="false">COUNTIF($E$2:E1219,E1219)</f>
        <v>199</v>
      </c>
      <c r="M1219" s="10" t="e">
        <f aca="false">ifs(L1219=1, L1219&amp;"-"&amp; COUNTIFS($L$2:L1219,1))</f>
        <v>#NAME?</v>
      </c>
      <c r="N1219" s="15" t="s">
        <v>603</v>
      </c>
      <c r="O1219" s="10" t="s">
        <v>3730</v>
      </c>
      <c r="P1219" s="22" t="n">
        <f aca="false">COUNTIFS(C:C,C1219,N:N,"Đã xác nhận")/COUNTIFS(C:C,C1219)</f>
        <v>1</v>
      </c>
      <c r="Q1219" s="22"/>
      <c r="R1219" s="0" t="s">
        <v>1174</v>
      </c>
      <c r="S1219" s="0" t="s">
        <v>534</v>
      </c>
      <c r="U1219" s="24" t="n">
        <v>1</v>
      </c>
    </row>
    <row r="1220" customFormat="false" ht="12.75" hidden="false" customHeight="false" outlineLevel="0" collapsed="false">
      <c r="A1220" s="15" t="s">
        <v>3927</v>
      </c>
      <c r="B1220" s="15" t="s">
        <v>1103</v>
      </c>
      <c r="C1220" s="15" t="s">
        <v>505</v>
      </c>
      <c r="D1220" s="15" t="s">
        <v>1176</v>
      </c>
      <c r="E1220" s="15" t="s">
        <v>81</v>
      </c>
      <c r="G1220" s="10" t="n">
        <v>2</v>
      </c>
      <c r="H1220" s="21" t="n">
        <v>46048.6613888889</v>
      </c>
      <c r="I1220" s="15" t="s">
        <v>3928</v>
      </c>
      <c r="J1220" s="15" t="s">
        <v>3928</v>
      </c>
      <c r="K1220" s="15"/>
      <c r="L1220" s="10" t="n">
        <f aca="false">COUNTIF($E$2:E1220,E1220)</f>
        <v>200</v>
      </c>
      <c r="M1220" s="10" t="e">
        <f aca="false">ifs(L1220=1, L1220&amp;"-"&amp; COUNTIFS($L$2:L1220,1))</f>
        <v>#NAME?</v>
      </c>
      <c r="N1220" s="15" t="s">
        <v>603</v>
      </c>
      <c r="O1220" s="10" t="s">
        <v>3730</v>
      </c>
      <c r="P1220" s="22" t="n">
        <f aca="false">COUNTIFS(C:C,C1220,N:N,"Đã xác nhận")/COUNTIFS(C:C,C1220)</f>
        <v>1</v>
      </c>
      <c r="Q1220" s="22"/>
      <c r="R1220" s="0" t="s">
        <v>1178</v>
      </c>
      <c r="S1220" s="0" t="s">
        <v>534</v>
      </c>
      <c r="U1220" s="24" t="n">
        <v>2</v>
      </c>
    </row>
    <row r="1221" customFormat="false" ht="12.75" hidden="false" customHeight="false" outlineLevel="0" collapsed="false">
      <c r="A1221" s="15" t="s">
        <v>3929</v>
      </c>
      <c r="B1221" s="15" t="s">
        <v>1103</v>
      </c>
      <c r="C1221" s="15" t="s">
        <v>505</v>
      </c>
      <c r="D1221" s="15" t="s">
        <v>3930</v>
      </c>
      <c r="E1221" s="15" t="s">
        <v>81</v>
      </c>
      <c r="G1221" s="10" t="n">
        <v>1</v>
      </c>
      <c r="H1221" s="21" t="n">
        <v>46048.6613773148</v>
      </c>
      <c r="I1221" s="15" t="s">
        <v>3931</v>
      </c>
      <c r="J1221" s="15" t="s">
        <v>3931</v>
      </c>
      <c r="K1221" s="15"/>
      <c r="L1221" s="10" t="n">
        <f aca="false">COUNTIF($E$2:E1221,E1221)</f>
        <v>201</v>
      </c>
      <c r="M1221" s="10" t="e">
        <f aca="false">ifs(L1221=1, L1221&amp;"-"&amp; COUNTIFS($L$2:L1221,1))</f>
        <v>#NAME?</v>
      </c>
      <c r="N1221" s="15" t="s">
        <v>603</v>
      </c>
      <c r="O1221" s="10" t="s">
        <v>3730</v>
      </c>
      <c r="P1221" s="22" t="n">
        <f aca="false">COUNTIFS(C:C,C1221,N:N,"Đã xác nhận")/COUNTIFS(C:C,C1221)</f>
        <v>1</v>
      </c>
      <c r="Q1221" s="22"/>
      <c r="R1221" s="0" t="s">
        <v>3932</v>
      </c>
      <c r="S1221" s="0" t="s">
        <v>534</v>
      </c>
      <c r="U1221" s="24" t="n">
        <v>1</v>
      </c>
    </row>
    <row r="1222" customFormat="false" ht="12.75" hidden="false" customHeight="false" outlineLevel="0" collapsed="false">
      <c r="A1222" s="15" t="s">
        <v>3933</v>
      </c>
      <c r="B1222" s="15" t="s">
        <v>1103</v>
      </c>
      <c r="C1222" s="15" t="s">
        <v>505</v>
      </c>
      <c r="D1222" s="15" t="s">
        <v>3934</v>
      </c>
      <c r="E1222" s="15" t="s">
        <v>81</v>
      </c>
      <c r="G1222" s="10" t="n">
        <v>2</v>
      </c>
      <c r="H1222" s="21" t="n">
        <v>46048.6613773148</v>
      </c>
      <c r="I1222" s="15" t="s">
        <v>3935</v>
      </c>
      <c r="J1222" s="15" t="s">
        <v>3935</v>
      </c>
      <c r="K1222" s="15"/>
      <c r="L1222" s="10" t="n">
        <f aca="false">COUNTIF($E$2:E1222,E1222)</f>
        <v>202</v>
      </c>
      <c r="M1222" s="10" t="e">
        <f aca="false">ifs(L1222=1, L1222&amp;"-"&amp; COUNTIFS($L$2:L1222,1))</f>
        <v>#NAME?</v>
      </c>
      <c r="N1222" s="15" t="s">
        <v>603</v>
      </c>
      <c r="O1222" s="10" t="s">
        <v>3730</v>
      </c>
      <c r="P1222" s="22" t="n">
        <f aca="false">COUNTIFS(C:C,C1222,N:N,"Đã xác nhận")/COUNTIFS(C:C,C1222)</f>
        <v>1</v>
      </c>
      <c r="Q1222" s="22"/>
      <c r="R1222" s="0" t="s">
        <v>3936</v>
      </c>
      <c r="S1222" s="0" t="s">
        <v>534</v>
      </c>
      <c r="U1222" s="24" t="n">
        <v>2</v>
      </c>
    </row>
    <row r="1223" customFormat="false" ht="12.75" hidden="false" customHeight="false" outlineLevel="0" collapsed="false">
      <c r="A1223" s="15" t="s">
        <v>3937</v>
      </c>
      <c r="B1223" s="15" t="s">
        <v>1103</v>
      </c>
      <c r="C1223" s="15" t="s">
        <v>505</v>
      </c>
      <c r="D1223" s="15" t="s">
        <v>3938</v>
      </c>
      <c r="E1223" s="15" t="s">
        <v>81</v>
      </c>
      <c r="G1223" s="10" t="n">
        <v>1</v>
      </c>
      <c r="H1223" s="21" t="n">
        <v>46048.661412037</v>
      </c>
      <c r="I1223" s="15" t="s">
        <v>3939</v>
      </c>
      <c r="J1223" s="15" t="s">
        <v>3939</v>
      </c>
      <c r="K1223" s="15"/>
      <c r="L1223" s="10" t="n">
        <f aca="false">COUNTIF($E$2:E1223,E1223)</f>
        <v>203</v>
      </c>
      <c r="M1223" s="10" t="e">
        <f aca="false">ifs(L1223=1, L1223&amp;"-"&amp; COUNTIFS($L$2:L1223,1))</f>
        <v>#NAME?</v>
      </c>
      <c r="N1223" s="15" t="s">
        <v>603</v>
      </c>
      <c r="O1223" s="10" t="s">
        <v>3730</v>
      </c>
      <c r="P1223" s="22" t="n">
        <f aca="false">COUNTIFS(C:C,C1223,N:N,"Đã xác nhận")/COUNTIFS(C:C,C1223)</f>
        <v>1</v>
      </c>
      <c r="Q1223" s="22"/>
      <c r="R1223" s="0" t="s">
        <v>3940</v>
      </c>
      <c r="S1223" s="0" t="s">
        <v>534</v>
      </c>
      <c r="U1223" s="24" t="n">
        <v>1</v>
      </c>
    </row>
    <row r="1224" customFormat="false" ht="12.75" hidden="false" customHeight="false" outlineLevel="0" collapsed="false">
      <c r="A1224" s="15" t="s">
        <v>3941</v>
      </c>
      <c r="B1224" s="15" t="s">
        <v>1103</v>
      </c>
      <c r="C1224" s="15" t="s">
        <v>505</v>
      </c>
      <c r="D1224" s="15" t="s">
        <v>1156</v>
      </c>
      <c r="E1224" s="15" t="s">
        <v>55</v>
      </c>
      <c r="G1224" s="10" t="n">
        <v>1</v>
      </c>
      <c r="H1224" s="21" t="n">
        <v>46048.6610185185</v>
      </c>
      <c r="I1224" s="15" t="s">
        <v>3942</v>
      </c>
      <c r="J1224" s="15" t="s">
        <v>3942</v>
      </c>
      <c r="K1224" s="15"/>
      <c r="L1224" s="10" t="n">
        <f aca="false">COUNTIF($E$2:E1224,E1224)</f>
        <v>103</v>
      </c>
      <c r="M1224" s="10" t="e">
        <f aca="false">ifs(L1224=1, L1224&amp;"-"&amp; COUNTIFS($L$2:L1224,1))</f>
        <v>#NAME?</v>
      </c>
      <c r="N1224" s="15" t="s">
        <v>603</v>
      </c>
      <c r="O1224" s="10" t="s">
        <v>3730</v>
      </c>
      <c r="P1224" s="22" t="n">
        <f aca="false">COUNTIFS(C:C,C1224,N:N,"Đã xác nhận")/COUNTIFS(C:C,C1224)</f>
        <v>1</v>
      </c>
      <c r="Q1224" s="22"/>
      <c r="R1224" s="0" t="s">
        <v>1158</v>
      </c>
      <c r="S1224" s="0" t="s">
        <v>539</v>
      </c>
      <c r="U1224" s="24" t="n">
        <v>1</v>
      </c>
    </row>
    <row r="1225" customFormat="false" ht="12.75" hidden="false" customHeight="false" outlineLevel="0" collapsed="false">
      <c r="A1225" s="15" t="s">
        <v>3943</v>
      </c>
      <c r="B1225" s="15" t="s">
        <v>1103</v>
      </c>
      <c r="C1225" s="15" t="s">
        <v>505</v>
      </c>
      <c r="D1225" s="15" t="s">
        <v>1115</v>
      </c>
      <c r="E1225" s="15" t="s">
        <v>47</v>
      </c>
      <c r="G1225" s="10" t="n">
        <v>1</v>
      </c>
      <c r="H1225" s="21" t="n">
        <v>46048.6609490741</v>
      </c>
      <c r="I1225" s="15" t="s">
        <v>3944</v>
      </c>
      <c r="J1225" s="15" t="s">
        <v>3944</v>
      </c>
      <c r="K1225" s="15"/>
      <c r="L1225" s="10" t="n">
        <f aca="false">COUNTIF($E$2:E1225,E1225)</f>
        <v>65</v>
      </c>
      <c r="M1225" s="10" t="e">
        <f aca="false">ifs(L1225=1, L1225&amp;"-"&amp; COUNTIFS($L$2:L1225,1))</f>
        <v>#NAME?</v>
      </c>
      <c r="N1225" s="15" t="s">
        <v>603</v>
      </c>
      <c r="O1225" s="10" t="s">
        <v>3730</v>
      </c>
      <c r="P1225" s="22" t="n">
        <f aca="false">COUNTIFS(C:C,C1225,N:N,"Đã xác nhận")/COUNTIFS(C:C,C1225)</f>
        <v>1</v>
      </c>
      <c r="Q1225" s="22"/>
      <c r="R1225" s="0" t="s">
        <v>1119</v>
      </c>
      <c r="S1225" s="0" t="s">
        <v>549</v>
      </c>
      <c r="U1225" s="24" t="n">
        <v>1</v>
      </c>
    </row>
    <row r="1226" customFormat="false" ht="12.75" hidden="false" customHeight="false" outlineLevel="0" collapsed="false">
      <c r="A1226" s="15" t="s">
        <v>3945</v>
      </c>
      <c r="B1226" s="15" t="s">
        <v>1103</v>
      </c>
      <c r="C1226" s="15" t="s">
        <v>505</v>
      </c>
      <c r="D1226" s="15" t="s">
        <v>1150</v>
      </c>
      <c r="E1226" s="15" t="s">
        <v>47</v>
      </c>
      <c r="G1226" s="10" t="n">
        <v>1</v>
      </c>
      <c r="H1226" s="21" t="n">
        <v>46048.6609606482</v>
      </c>
      <c r="I1226" s="15" t="s">
        <v>3946</v>
      </c>
      <c r="J1226" s="15" t="s">
        <v>3946</v>
      </c>
      <c r="K1226" s="15"/>
      <c r="L1226" s="10" t="n">
        <f aca="false">COUNTIF($E$2:E1226,E1226)</f>
        <v>66</v>
      </c>
      <c r="M1226" s="10" t="e">
        <f aca="false">ifs(L1226=1, L1226&amp;"-"&amp; COUNTIFS($L$2:L1226,1))</f>
        <v>#NAME?</v>
      </c>
      <c r="N1226" s="15" t="s">
        <v>603</v>
      </c>
      <c r="O1226" s="10" t="s">
        <v>3730</v>
      </c>
      <c r="P1226" s="22" t="n">
        <f aca="false">COUNTIFS(C:C,C1226,N:N,"Đã xác nhận")/COUNTIFS(C:C,C1226)</f>
        <v>1</v>
      </c>
      <c r="Q1226" s="22"/>
      <c r="R1226" s="0" t="s">
        <v>1152</v>
      </c>
      <c r="S1226" s="0" t="s">
        <v>549</v>
      </c>
      <c r="U1226" s="24" t="n">
        <v>1</v>
      </c>
    </row>
    <row r="1227" customFormat="false" ht="12.75" hidden="false" customHeight="false" outlineLevel="0" collapsed="false">
      <c r="A1227" s="15" t="s">
        <v>3947</v>
      </c>
      <c r="B1227" s="15" t="s">
        <v>1103</v>
      </c>
      <c r="C1227" s="15" t="s">
        <v>505</v>
      </c>
      <c r="D1227" s="15" t="s">
        <v>1120</v>
      </c>
      <c r="E1227" s="15" t="s">
        <v>55</v>
      </c>
      <c r="G1227" s="10" t="n">
        <v>1</v>
      </c>
      <c r="H1227" s="21" t="n">
        <v>46048.6609953704</v>
      </c>
      <c r="I1227" s="15" t="s">
        <v>3948</v>
      </c>
      <c r="J1227" s="15" t="s">
        <v>3948</v>
      </c>
      <c r="K1227" s="15"/>
      <c r="L1227" s="10" t="n">
        <f aca="false">COUNTIF($E$2:E1227,E1227)</f>
        <v>104</v>
      </c>
      <c r="M1227" s="10" t="e">
        <f aca="false">ifs(L1227=1, L1227&amp;"-"&amp; COUNTIFS($L$2:L1227,1))</f>
        <v>#NAME?</v>
      </c>
      <c r="N1227" s="15" t="s">
        <v>603</v>
      </c>
      <c r="O1227" s="10" t="s">
        <v>3730</v>
      </c>
      <c r="P1227" s="22" t="n">
        <f aca="false">COUNTIFS(C:C,C1227,N:N,"Đã xác nhận")/COUNTIFS(C:C,C1227)</f>
        <v>1</v>
      </c>
      <c r="Q1227" s="22"/>
      <c r="R1227" s="0" t="s">
        <v>1122</v>
      </c>
      <c r="S1227" s="0" t="s">
        <v>539</v>
      </c>
      <c r="U1227" s="24" t="n">
        <v>1</v>
      </c>
    </row>
    <row r="1228" customFormat="false" ht="12.75" hidden="false" customHeight="false" outlineLevel="0" collapsed="false">
      <c r="A1228" s="15" t="s">
        <v>3949</v>
      </c>
      <c r="B1228" s="15" t="s">
        <v>1103</v>
      </c>
      <c r="C1228" s="15" t="s">
        <v>505</v>
      </c>
      <c r="D1228" s="15" t="s">
        <v>1169</v>
      </c>
      <c r="E1228" s="15" t="s">
        <v>55</v>
      </c>
      <c r="G1228" s="10" t="n">
        <v>1</v>
      </c>
      <c r="H1228" s="21" t="n">
        <v>46048.6609837963</v>
      </c>
      <c r="I1228" s="15" t="s">
        <v>3950</v>
      </c>
      <c r="J1228" s="15" t="s">
        <v>3950</v>
      </c>
      <c r="K1228" s="15"/>
      <c r="L1228" s="10" t="n">
        <f aca="false">COUNTIF($E$2:E1228,E1228)</f>
        <v>105</v>
      </c>
      <c r="M1228" s="10" t="e">
        <f aca="false">ifs(L1228=1, L1228&amp;"-"&amp; COUNTIFS($L$2:L1228,1))</f>
        <v>#NAME?</v>
      </c>
      <c r="N1228" s="15" t="s">
        <v>603</v>
      </c>
      <c r="O1228" s="10" t="s">
        <v>3730</v>
      </c>
      <c r="P1228" s="22" t="n">
        <f aca="false">COUNTIFS(C:C,C1228,N:N,"Đã xác nhận")/COUNTIFS(C:C,C1228)</f>
        <v>1</v>
      </c>
      <c r="Q1228" s="22"/>
      <c r="R1228" s="0" t="s">
        <v>1171</v>
      </c>
      <c r="S1228" s="0" t="s">
        <v>539</v>
      </c>
      <c r="U1228" s="24" t="n">
        <v>1</v>
      </c>
    </row>
    <row r="1229" customFormat="false" ht="12.75" hidden="false" customHeight="false" outlineLevel="0" collapsed="false">
      <c r="A1229" s="15" t="s">
        <v>3951</v>
      </c>
      <c r="B1229" s="15" t="s">
        <v>1103</v>
      </c>
      <c r="C1229" s="15" t="s">
        <v>505</v>
      </c>
      <c r="D1229" s="15" t="s">
        <v>1160</v>
      </c>
      <c r="E1229" s="15" t="s">
        <v>55</v>
      </c>
      <c r="G1229" s="10" t="n">
        <v>1</v>
      </c>
      <c r="H1229" s="21" t="n">
        <v>46048.6610069444</v>
      </c>
      <c r="I1229" s="15" t="s">
        <v>3952</v>
      </c>
      <c r="J1229" s="15" t="s">
        <v>3952</v>
      </c>
      <c r="K1229" s="15"/>
      <c r="L1229" s="10" t="n">
        <f aca="false">COUNTIF($E$2:E1229,E1229)</f>
        <v>106</v>
      </c>
      <c r="M1229" s="10" t="e">
        <f aca="false">ifs(L1229=1, L1229&amp;"-"&amp; COUNTIFS($L$2:L1229,1))</f>
        <v>#NAME?</v>
      </c>
      <c r="N1229" s="15" t="s">
        <v>603</v>
      </c>
      <c r="O1229" s="10" t="s">
        <v>3730</v>
      </c>
      <c r="P1229" s="22" t="n">
        <f aca="false">COUNTIFS(C:C,C1229,N:N,"Đã xác nhận")/COUNTIFS(C:C,C1229)</f>
        <v>1</v>
      </c>
      <c r="Q1229" s="22"/>
      <c r="R1229" s="0" t="s">
        <v>1162</v>
      </c>
      <c r="S1229" s="0" t="s">
        <v>539</v>
      </c>
      <c r="U1229" s="24" t="n">
        <v>1</v>
      </c>
    </row>
    <row r="1230" customFormat="false" ht="12.75" hidden="false" customHeight="false" outlineLevel="0" collapsed="false">
      <c r="A1230" s="15" t="s">
        <v>3953</v>
      </c>
      <c r="B1230" s="15" t="s">
        <v>1103</v>
      </c>
      <c r="C1230" s="15" t="s">
        <v>505</v>
      </c>
      <c r="D1230" s="15" t="s">
        <v>1179</v>
      </c>
      <c r="E1230" s="15" t="s">
        <v>63</v>
      </c>
      <c r="G1230" s="10" t="n">
        <v>1</v>
      </c>
      <c r="H1230" s="21" t="n">
        <v>46048.6610532407</v>
      </c>
      <c r="I1230" s="15" t="s">
        <v>3954</v>
      </c>
      <c r="J1230" s="15" t="s">
        <v>3954</v>
      </c>
      <c r="K1230" s="15"/>
      <c r="L1230" s="10" t="n">
        <f aca="false">COUNTIF($E$2:E1230,E1230)</f>
        <v>21</v>
      </c>
      <c r="M1230" s="10" t="e">
        <f aca="false">ifs(L1230=1, L1230&amp;"-"&amp; COUNTIFS($L$2:L1230,1))</f>
        <v>#NAME?</v>
      </c>
      <c r="N1230" s="15" t="s">
        <v>603</v>
      </c>
      <c r="O1230" s="10" t="s">
        <v>3730</v>
      </c>
      <c r="P1230" s="22" t="n">
        <f aca="false">COUNTIFS(C:C,C1230,N:N,"Đã xác nhận")/COUNTIFS(C:C,C1230)</f>
        <v>1</v>
      </c>
      <c r="Q1230" s="22"/>
      <c r="R1230" s="0" t="s">
        <v>1181</v>
      </c>
      <c r="S1230" s="0" t="s">
        <v>551</v>
      </c>
      <c r="U1230" s="24" t="n">
        <v>1</v>
      </c>
    </row>
    <row r="1231" customFormat="false" ht="12.75" hidden="false" customHeight="false" outlineLevel="0" collapsed="false">
      <c r="A1231" s="15" t="s">
        <v>3955</v>
      </c>
      <c r="B1231" s="15" t="s">
        <v>1103</v>
      </c>
      <c r="C1231" s="15" t="s">
        <v>505</v>
      </c>
      <c r="D1231" s="15" t="s">
        <v>1179</v>
      </c>
      <c r="E1231" s="15" t="s">
        <v>81</v>
      </c>
      <c r="G1231" s="10" t="n">
        <v>1</v>
      </c>
      <c r="H1231" s="21" t="n">
        <v>46048.661412037</v>
      </c>
      <c r="I1231" s="15" t="s">
        <v>3956</v>
      </c>
      <c r="J1231" s="15" t="s">
        <v>3956</v>
      </c>
      <c r="K1231" s="15"/>
      <c r="L1231" s="10" t="n">
        <f aca="false">COUNTIF($E$2:E1231,E1231)</f>
        <v>204</v>
      </c>
      <c r="M1231" s="10" t="e">
        <f aca="false">ifs(L1231=1, L1231&amp;"-"&amp; COUNTIFS($L$2:L1231,1))</f>
        <v>#NAME?</v>
      </c>
      <c r="N1231" s="15" t="s">
        <v>603</v>
      </c>
      <c r="O1231" s="10" t="s">
        <v>3730</v>
      </c>
      <c r="P1231" s="22" t="n">
        <f aca="false">COUNTIFS(C:C,C1231,N:N,"Đã xác nhận")/COUNTIFS(C:C,C1231)</f>
        <v>1</v>
      </c>
      <c r="Q1231" s="22"/>
      <c r="R1231" s="0" t="s">
        <v>1181</v>
      </c>
      <c r="S1231" s="0" t="s">
        <v>534</v>
      </c>
      <c r="U1231" s="24" t="n">
        <v>1</v>
      </c>
    </row>
    <row r="1232" customFormat="false" ht="12.75" hidden="false" customHeight="false" outlineLevel="0" collapsed="false">
      <c r="A1232" s="15" t="s">
        <v>3957</v>
      </c>
      <c r="B1232" s="15" t="s">
        <v>1103</v>
      </c>
      <c r="C1232" s="15" t="s">
        <v>505</v>
      </c>
      <c r="D1232" s="15" t="s">
        <v>3958</v>
      </c>
      <c r="E1232" s="15" t="s">
        <v>47</v>
      </c>
      <c r="G1232" s="10" t="n">
        <v>1</v>
      </c>
      <c r="H1232" s="21" t="n">
        <v>46048.6609606482</v>
      </c>
      <c r="I1232" s="15" t="s">
        <v>3959</v>
      </c>
      <c r="J1232" s="15" t="s">
        <v>3959</v>
      </c>
      <c r="K1232" s="15"/>
      <c r="L1232" s="10" t="n">
        <f aca="false">COUNTIF($E$2:E1232,E1232)</f>
        <v>67</v>
      </c>
      <c r="M1232" s="10" t="e">
        <f aca="false">ifs(L1232=1, L1232&amp;"-"&amp; COUNTIFS($L$2:L1232,1))</f>
        <v>#NAME?</v>
      </c>
      <c r="N1232" s="15" t="s">
        <v>603</v>
      </c>
      <c r="O1232" s="10" t="s">
        <v>3730</v>
      </c>
      <c r="P1232" s="22" t="n">
        <f aca="false">COUNTIFS(C:C,C1232,N:N,"Đã xác nhận")/COUNTIFS(C:C,C1232)</f>
        <v>1</v>
      </c>
      <c r="Q1232" s="22"/>
      <c r="R1232" s="0" t="s">
        <v>3960</v>
      </c>
      <c r="S1232" s="0" t="s">
        <v>549</v>
      </c>
      <c r="U1232" s="24" t="n">
        <v>1</v>
      </c>
    </row>
    <row r="1233" customFormat="false" ht="12.75" hidden="false" customHeight="false" outlineLevel="0" collapsed="false">
      <c r="A1233" s="15" t="s">
        <v>3961</v>
      </c>
      <c r="B1233" s="15" t="s">
        <v>1103</v>
      </c>
      <c r="C1233" s="15" t="s">
        <v>505</v>
      </c>
      <c r="D1233" s="15" t="s">
        <v>2222</v>
      </c>
      <c r="E1233" s="15" t="s">
        <v>17</v>
      </c>
      <c r="G1233" s="10" t="n">
        <v>1</v>
      </c>
      <c r="H1233" s="21" t="n">
        <v>46048.6608912037</v>
      </c>
      <c r="I1233" s="15" t="s">
        <v>3962</v>
      </c>
      <c r="J1233" s="15" t="s">
        <v>3962</v>
      </c>
      <c r="K1233" s="15"/>
      <c r="L1233" s="10" t="n">
        <f aca="false">COUNTIF($E$2:E1233,E1233)</f>
        <v>6</v>
      </c>
      <c r="M1233" s="10" t="e">
        <f aca="false">ifs(L1233=1, L1233&amp;"-"&amp; COUNTIFS($L$2:L1233,1))</f>
        <v>#NAME?</v>
      </c>
      <c r="N1233" s="15" t="s">
        <v>603</v>
      </c>
      <c r="O1233" s="10" t="s">
        <v>3730</v>
      </c>
      <c r="P1233" s="22" t="n">
        <f aca="false">COUNTIFS(C:C,C1233,N:N,"Đã xác nhận")/COUNTIFS(C:C,C1233)</f>
        <v>1</v>
      </c>
      <c r="Q1233" s="22"/>
      <c r="R1233" s="0" t="s">
        <v>2226</v>
      </c>
      <c r="S1233" s="0" t="s">
        <v>554</v>
      </c>
      <c r="U1233" s="24" t="n">
        <v>1</v>
      </c>
    </row>
    <row r="1234" customFormat="false" ht="12.75" hidden="false" customHeight="false" outlineLevel="0" collapsed="false">
      <c r="A1234" s="15" t="s">
        <v>3963</v>
      </c>
      <c r="B1234" s="15" t="s">
        <v>1103</v>
      </c>
      <c r="C1234" s="15" t="s">
        <v>3964</v>
      </c>
      <c r="D1234" s="15" t="s">
        <v>3965</v>
      </c>
      <c r="E1234" s="15" t="s">
        <v>81</v>
      </c>
      <c r="G1234" s="10" t="n">
        <v>2</v>
      </c>
      <c r="H1234" s="21" t="n">
        <v>46045.6210069444</v>
      </c>
      <c r="I1234" s="15" t="s">
        <v>1566</v>
      </c>
      <c r="J1234" s="15" t="s">
        <v>3966</v>
      </c>
      <c r="K1234" s="15" t="s">
        <v>3967</v>
      </c>
      <c r="L1234" s="10" t="n">
        <f aca="false">COUNTIF($E$2:E1234,E1234)</f>
        <v>205</v>
      </c>
      <c r="M1234" s="10" t="e">
        <f aca="false">ifs(L1234=1, L1234&amp;"-"&amp; COUNTIFS($L$2:L1234,1))</f>
        <v>#NAME?</v>
      </c>
      <c r="N1234" s="15"/>
      <c r="O1234" s="10" t="s">
        <v>3730</v>
      </c>
      <c r="P1234" s="22" t="n">
        <f aca="false">COUNTIFS(C:C,C1234,N:N,"Đã xác nhận")/COUNTIFS(C:C,C1234)</f>
        <v>0</v>
      </c>
      <c r="Q1234" s="22"/>
      <c r="R1234" s="0" t="s">
        <v>3968</v>
      </c>
      <c r="S1234" s="0" t="s">
        <v>534</v>
      </c>
      <c r="U1234" s="24" t="n">
        <v>2</v>
      </c>
    </row>
    <row r="1235" customFormat="false" ht="12.75" hidden="false" customHeight="false" outlineLevel="0" collapsed="false">
      <c r="A1235" s="15" t="s">
        <v>3969</v>
      </c>
      <c r="B1235" s="15" t="s">
        <v>1103</v>
      </c>
      <c r="C1235" s="15" t="s">
        <v>3964</v>
      </c>
      <c r="D1235" s="15" t="s">
        <v>3970</v>
      </c>
      <c r="E1235" s="15" t="s">
        <v>81</v>
      </c>
      <c r="G1235" s="10" t="n">
        <v>1</v>
      </c>
      <c r="H1235" s="21" t="n">
        <v>46045.6219675926</v>
      </c>
      <c r="I1235" s="15" t="s">
        <v>3727</v>
      </c>
      <c r="J1235" s="15" t="s">
        <v>3971</v>
      </c>
      <c r="K1235" s="15" t="s">
        <v>3972</v>
      </c>
      <c r="L1235" s="10" t="n">
        <f aca="false">COUNTIF($E$2:E1235,E1235)</f>
        <v>206</v>
      </c>
      <c r="M1235" s="10" t="e">
        <f aca="false">ifs(L1235=1, L1235&amp;"-"&amp; COUNTIFS($L$2:L1235,1))</f>
        <v>#NAME?</v>
      </c>
      <c r="N1235" s="15"/>
      <c r="O1235" s="10" t="s">
        <v>3730</v>
      </c>
      <c r="P1235" s="22" t="n">
        <f aca="false">COUNTIFS(C:C,C1235,N:N,"Đã xác nhận")/COUNTIFS(C:C,C1235)</f>
        <v>0</v>
      </c>
      <c r="Q1235" s="22"/>
      <c r="R1235" s="0" t="s">
        <v>3973</v>
      </c>
      <c r="S1235" s="0" t="s">
        <v>534</v>
      </c>
      <c r="U1235" s="24" t="n">
        <v>1</v>
      </c>
    </row>
    <row r="1236" customFormat="false" ht="12.75" hidden="false" customHeight="false" outlineLevel="0" collapsed="false">
      <c r="A1236" s="15" t="s">
        <v>3974</v>
      </c>
      <c r="B1236" s="15" t="s">
        <v>1103</v>
      </c>
      <c r="C1236" s="15" t="s">
        <v>3964</v>
      </c>
      <c r="D1236" s="15" t="s">
        <v>3970</v>
      </c>
      <c r="E1236" s="15" t="s">
        <v>39</v>
      </c>
      <c r="G1236" s="10" t="n">
        <v>1</v>
      </c>
      <c r="H1236" s="21" t="n">
        <v>46045.6222106482</v>
      </c>
      <c r="I1236" s="15" t="s">
        <v>3727</v>
      </c>
      <c r="J1236" s="15" t="s">
        <v>3975</v>
      </c>
      <c r="K1236" s="15" t="s">
        <v>3976</v>
      </c>
      <c r="L1236" s="10" t="n">
        <f aca="false">COUNTIF($E$2:E1236,E1236)</f>
        <v>17</v>
      </c>
      <c r="M1236" s="10" t="e">
        <f aca="false">ifs(L1236=1, L1236&amp;"-"&amp; COUNTIFS($L$2:L1236,1))</f>
        <v>#NAME?</v>
      </c>
      <c r="N1236" s="15"/>
      <c r="O1236" s="10" t="s">
        <v>3730</v>
      </c>
      <c r="P1236" s="22" t="n">
        <f aca="false">COUNTIFS(C:C,C1236,N:N,"Đã xác nhận")/COUNTIFS(C:C,C1236)</f>
        <v>0</v>
      </c>
      <c r="Q1236" s="22"/>
      <c r="R1236" s="0" t="s">
        <v>3973</v>
      </c>
      <c r="S1236" s="0" t="s">
        <v>550</v>
      </c>
      <c r="U1236" s="24" t="n">
        <v>1</v>
      </c>
    </row>
    <row r="1237" customFormat="false" ht="12.75" hidden="false" customHeight="false" outlineLevel="0" collapsed="false">
      <c r="A1237" s="15" t="s">
        <v>3977</v>
      </c>
      <c r="B1237" s="15" t="s">
        <v>1103</v>
      </c>
      <c r="C1237" s="15" t="s">
        <v>3964</v>
      </c>
      <c r="D1237" s="15" t="s">
        <v>3978</v>
      </c>
      <c r="E1237" s="15" t="s">
        <v>81</v>
      </c>
      <c r="G1237" s="10" t="n">
        <v>1</v>
      </c>
      <c r="H1237" s="21" t="n">
        <v>46045.6393981481</v>
      </c>
      <c r="I1237" s="15" t="s">
        <v>3727</v>
      </c>
      <c r="J1237" s="15" t="s">
        <v>3979</v>
      </c>
      <c r="K1237" s="15" t="s">
        <v>3980</v>
      </c>
      <c r="L1237" s="10" t="n">
        <f aca="false">COUNTIF($E$2:E1237,E1237)</f>
        <v>207</v>
      </c>
      <c r="M1237" s="10" t="e">
        <f aca="false">ifs(L1237=1, L1237&amp;"-"&amp; COUNTIFS($L$2:L1237,1))</f>
        <v>#NAME?</v>
      </c>
      <c r="N1237" s="15"/>
      <c r="O1237" s="10" t="s">
        <v>3730</v>
      </c>
      <c r="P1237" s="22" t="n">
        <f aca="false">COUNTIFS(C:C,C1237,N:N,"Đã xác nhận")/COUNTIFS(C:C,C1237)</f>
        <v>0</v>
      </c>
      <c r="Q1237" s="22"/>
      <c r="R1237" s="0" t="s">
        <v>3981</v>
      </c>
      <c r="S1237" s="0" t="s">
        <v>534</v>
      </c>
      <c r="U1237" s="24" t="n">
        <v>1</v>
      </c>
    </row>
    <row r="1238" customFormat="false" ht="12.75" hidden="false" customHeight="false" outlineLevel="0" collapsed="false">
      <c r="A1238" s="15" t="s">
        <v>3982</v>
      </c>
      <c r="B1238" s="15" t="s">
        <v>1103</v>
      </c>
      <c r="C1238" s="15" t="s">
        <v>3964</v>
      </c>
      <c r="D1238" s="15" t="s">
        <v>3978</v>
      </c>
      <c r="E1238" s="15" t="s">
        <v>39</v>
      </c>
      <c r="G1238" s="10" t="n">
        <v>1</v>
      </c>
      <c r="H1238" s="21" t="n">
        <v>46045.639525463</v>
      </c>
      <c r="I1238" s="15" t="s">
        <v>3727</v>
      </c>
      <c r="J1238" s="15" t="s">
        <v>3983</v>
      </c>
      <c r="K1238" s="15" t="s">
        <v>3984</v>
      </c>
      <c r="L1238" s="10" t="n">
        <f aca="false">COUNTIF($E$2:E1238,E1238)</f>
        <v>18</v>
      </c>
      <c r="M1238" s="10" t="e">
        <f aca="false">ifs(L1238=1, L1238&amp;"-"&amp; COUNTIFS($L$2:L1238,1))</f>
        <v>#NAME?</v>
      </c>
      <c r="N1238" s="15"/>
      <c r="O1238" s="10" t="s">
        <v>3730</v>
      </c>
      <c r="P1238" s="22" t="n">
        <f aca="false">COUNTIFS(C:C,C1238,N:N,"Đã xác nhận")/COUNTIFS(C:C,C1238)</f>
        <v>0</v>
      </c>
      <c r="Q1238" s="22"/>
      <c r="R1238" s="0" t="s">
        <v>3981</v>
      </c>
      <c r="S1238" s="0" t="s">
        <v>550</v>
      </c>
      <c r="U1238" s="24" t="n">
        <v>1</v>
      </c>
    </row>
    <row r="1239" customFormat="false" ht="12.75" hidden="false" customHeight="false" outlineLevel="0" collapsed="false">
      <c r="A1239" s="15" t="s">
        <v>3985</v>
      </c>
      <c r="B1239" s="15" t="s">
        <v>1103</v>
      </c>
      <c r="C1239" s="15" t="s">
        <v>3964</v>
      </c>
      <c r="D1239" s="15" t="s">
        <v>3958</v>
      </c>
      <c r="E1239" s="15" t="s">
        <v>47</v>
      </c>
      <c r="G1239" s="10" t="n">
        <v>1</v>
      </c>
      <c r="H1239" s="21" t="n">
        <v>46045.6408449074</v>
      </c>
      <c r="I1239" s="15" t="s">
        <v>3727</v>
      </c>
      <c r="J1239" s="15" t="s">
        <v>3986</v>
      </c>
      <c r="K1239" s="15" t="s">
        <v>3987</v>
      </c>
      <c r="L1239" s="10" t="n">
        <f aca="false">COUNTIF($E$2:E1239,E1239)</f>
        <v>68</v>
      </c>
      <c r="M1239" s="10" t="e">
        <f aca="false">ifs(L1239=1, L1239&amp;"-"&amp; COUNTIFS($L$2:L1239,1))</f>
        <v>#NAME?</v>
      </c>
      <c r="N1239" s="15"/>
      <c r="O1239" s="10" t="s">
        <v>3730</v>
      </c>
      <c r="P1239" s="22" t="n">
        <f aca="false">COUNTIFS(C:C,C1239,N:N,"Đã xác nhận")/COUNTIFS(C:C,C1239)</f>
        <v>0</v>
      </c>
      <c r="Q1239" s="22"/>
      <c r="R1239" s="0" t="s">
        <v>3960</v>
      </c>
      <c r="S1239" s="0" t="s">
        <v>549</v>
      </c>
      <c r="U1239" s="24" t="n">
        <v>1</v>
      </c>
    </row>
    <row r="1240" customFormat="false" ht="12.75" hidden="false" customHeight="false" outlineLevel="0" collapsed="false">
      <c r="A1240" s="15" t="s">
        <v>3988</v>
      </c>
      <c r="B1240" s="15" t="s">
        <v>1103</v>
      </c>
      <c r="C1240" s="15" t="s">
        <v>3964</v>
      </c>
      <c r="D1240" s="15" t="s">
        <v>3989</v>
      </c>
      <c r="E1240" s="15" t="s">
        <v>49</v>
      </c>
      <c r="G1240" s="10" t="n">
        <v>1</v>
      </c>
      <c r="H1240" s="21" t="n">
        <v>46046.3858333333</v>
      </c>
      <c r="I1240" s="15" t="s">
        <v>3990</v>
      </c>
      <c r="J1240" s="15" t="s">
        <v>3991</v>
      </c>
      <c r="K1240" s="15" t="s">
        <v>3992</v>
      </c>
      <c r="L1240" s="10" t="n">
        <f aca="false">COUNTIF($E$2:E1240,E1240)</f>
        <v>19</v>
      </c>
      <c r="M1240" s="10" t="e">
        <f aca="false">ifs(L1240=1, L1240&amp;"-"&amp; COUNTIFS($L$2:L1240,1))</f>
        <v>#NAME?</v>
      </c>
      <c r="N1240" s="15"/>
      <c r="O1240" s="10" t="s">
        <v>3730</v>
      </c>
      <c r="P1240" s="22" t="n">
        <f aca="false">COUNTIFS(C:C,C1240,N:N,"Đã xác nhận")/COUNTIFS(C:C,C1240)</f>
        <v>0</v>
      </c>
      <c r="Q1240" s="22"/>
      <c r="R1240" s="0" t="s">
        <v>3993</v>
      </c>
      <c r="S1240" s="0" t="s">
        <v>537</v>
      </c>
      <c r="U1240" s="24" t="n">
        <v>1</v>
      </c>
    </row>
    <row r="1241" customFormat="false" ht="12.75" hidden="false" customHeight="false" outlineLevel="0" collapsed="false">
      <c r="A1241" s="15" t="s">
        <v>3994</v>
      </c>
      <c r="B1241" s="15" t="s">
        <v>2304</v>
      </c>
      <c r="C1241" s="15" t="s">
        <v>3995</v>
      </c>
      <c r="D1241" s="15" t="s">
        <v>3996</v>
      </c>
      <c r="E1241" s="15" t="s">
        <v>55</v>
      </c>
      <c r="G1241" s="10" t="n">
        <v>1</v>
      </c>
      <c r="H1241" s="21" t="n">
        <v>46046.4586805556</v>
      </c>
      <c r="I1241" s="15" t="s">
        <v>3997</v>
      </c>
      <c r="J1241" s="15" t="s">
        <v>3997</v>
      </c>
      <c r="K1241" s="15"/>
      <c r="L1241" s="10" t="n">
        <f aca="false">COUNTIF($E$2:E1241,E1241)</f>
        <v>107</v>
      </c>
      <c r="M1241" s="10" t="e">
        <f aca="false">ifs(L1241=1, L1241&amp;"-"&amp; COUNTIFS($L$2:L1241,1))</f>
        <v>#NAME?</v>
      </c>
      <c r="N1241" s="15" t="s">
        <v>603</v>
      </c>
      <c r="O1241" s="10" t="s">
        <v>3730</v>
      </c>
      <c r="P1241" s="22" t="n">
        <f aca="false">COUNTIFS(C:C,C1241,N:N,"Đã xác nhận")/COUNTIFS(C:C,C1241)</f>
        <v>1</v>
      </c>
      <c r="Q1241" s="22"/>
      <c r="R1241" s="0" t="s">
        <v>3998</v>
      </c>
      <c r="S1241" s="0" t="s">
        <v>539</v>
      </c>
      <c r="U1241" s="24" t="n">
        <v>1</v>
      </c>
    </row>
    <row r="1242" customFormat="false" ht="12.75" hidden="false" customHeight="false" outlineLevel="0" collapsed="false">
      <c r="A1242" s="15" t="s">
        <v>3999</v>
      </c>
      <c r="B1242" s="15" t="s">
        <v>2304</v>
      </c>
      <c r="C1242" s="15" t="s">
        <v>3995</v>
      </c>
      <c r="D1242" s="15" t="s">
        <v>3996</v>
      </c>
      <c r="E1242" s="15" t="s">
        <v>55</v>
      </c>
      <c r="G1242" s="10" t="n">
        <v>1</v>
      </c>
      <c r="H1242" s="21" t="n">
        <v>46046.4586805556</v>
      </c>
      <c r="I1242" s="15" t="s">
        <v>3997</v>
      </c>
      <c r="J1242" s="15" t="s">
        <v>3997</v>
      </c>
      <c r="K1242" s="15"/>
      <c r="L1242" s="10" t="n">
        <f aca="false">COUNTIF($E$2:E1242,E1242)</f>
        <v>108</v>
      </c>
      <c r="M1242" s="10" t="e">
        <f aca="false">ifs(L1242=1, L1242&amp;"-"&amp; COUNTIFS($L$2:L1242,1))</f>
        <v>#NAME?</v>
      </c>
      <c r="N1242" s="15" t="s">
        <v>603</v>
      </c>
      <c r="O1242" s="10" t="s">
        <v>3730</v>
      </c>
      <c r="P1242" s="22" t="n">
        <f aca="false">COUNTIFS(C:C,C1242,N:N,"Đã xác nhận")/COUNTIFS(C:C,C1242)</f>
        <v>1</v>
      </c>
      <c r="Q1242" s="22"/>
      <c r="R1242" s="0" t="s">
        <v>3998</v>
      </c>
      <c r="S1242" s="0" t="s">
        <v>539</v>
      </c>
      <c r="U1242" s="24" t="n">
        <v>1</v>
      </c>
    </row>
    <row r="1243" customFormat="false" ht="12.75" hidden="false" customHeight="false" outlineLevel="0" collapsed="false">
      <c r="A1243" s="15" t="s">
        <v>4000</v>
      </c>
      <c r="B1243" s="15" t="s">
        <v>2304</v>
      </c>
      <c r="C1243" s="15" t="s">
        <v>3995</v>
      </c>
      <c r="D1243" s="15" t="s">
        <v>4001</v>
      </c>
      <c r="E1243" s="15" t="s">
        <v>55</v>
      </c>
      <c r="G1243" s="10" t="n">
        <v>1</v>
      </c>
      <c r="H1243" s="21" t="n">
        <v>46046.4587731482</v>
      </c>
      <c r="I1243" s="15" t="s">
        <v>4002</v>
      </c>
      <c r="J1243" s="15" t="s">
        <v>4002</v>
      </c>
      <c r="K1243" s="15"/>
      <c r="L1243" s="10" t="n">
        <f aca="false">COUNTIF($E$2:E1243,E1243)</f>
        <v>109</v>
      </c>
      <c r="M1243" s="10" t="e">
        <f aca="false">ifs(L1243=1, L1243&amp;"-"&amp; COUNTIFS($L$2:L1243,1))</f>
        <v>#NAME?</v>
      </c>
      <c r="N1243" s="15" t="s">
        <v>603</v>
      </c>
      <c r="O1243" s="10" t="s">
        <v>3730</v>
      </c>
      <c r="P1243" s="22" t="n">
        <f aca="false">COUNTIFS(C:C,C1243,N:N,"Đã xác nhận")/COUNTIFS(C:C,C1243)</f>
        <v>1</v>
      </c>
      <c r="Q1243" s="22"/>
      <c r="R1243" s="0" t="s">
        <v>2387</v>
      </c>
      <c r="S1243" s="0" t="s">
        <v>539</v>
      </c>
      <c r="U1243" s="24" t="n">
        <v>1</v>
      </c>
    </row>
    <row r="1244" customFormat="false" ht="12.75" hidden="false" customHeight="false" outlineLevel="0" collapsed="false">
      <c r="A1244" s="15" t="s">
        <v>4003</v>
      </c>
      <c r="B1244" s="15" t="s">
        <v>2304</v>
      </c>
      <c r="C1244" s="15" t="s">
        <v>3995</v>
      </c>
      <c r="D1244" s="15" t="s">
        <v>2401</v>
      </c>
      <c r="E1244" s="15" t="s">
        <v>89</v>
      </c>
      <c r="G1244" s="10" t="n">
        <v>2</v>
      </c>
      <c r="H1244" s="21" t="n">
        <v>46046.5381365741</v>
      </c>
      <c r="I1244" s="15" t="s">
        <v>4004</v>
      </c>
      <c r="J1244" s="15" t="s">
        <v>4005</v>
      </c>
      <c r="K1244" s="15" t="s">
        <v>4006</v>
      </c>
      <c r="L1244" s="10" t="n">
        <f aca="false">COUNTIF($E$2:E1244,E1244)</f>
        <v>4</v>
      </c>
      <c r="M1244" s="10" t="e">
        <f aca="false">ifs(L1244=1, L1244&amp;"-"&amp; COUNTIFS($L$2:L1244,1))</f>
        <v>#NAME?</v>
      </c>
      <c r="N1244" s="15" t="s">
        <v>603</v>
      </c>
      <c r="O1244" s="10" t="s">
        <v>3730</v>
      </c>
      <c r="P1244" s="22" t="n">
        <f aca="false">COUNTIFS(C:C,C1244,N:N,"Đã xác nhận")/COUNTIFS(C:C,C1244)</f>
        <v>1</v>
      </c>
      <c r="Q1244" s="22"/>
      <c r="R1244" s="0" t="s">
        <v>2403</v>
      </c>
      <c r="S1244" s="0" t="s">
        <v>574</v>
      </c>
      <c r="U1244" s="24" t="n">
        <v>2</v>
      </c>
    </row>
    <row r="1245" customFormat="false" ht="12.75" hidden="false" customHeight="false" outlineLevel="0" collapsed="false">
      <c r="A1245" s="15" t="s">
        <v>4007</v>
      </c>
      <c r="B1245" s="15" t="s">
        <v>2304</v>
      </c>
      <c r="C1245" s="15" t="s">
        <v>3995</v>
      </c>
      <c r="D1245" s="15" t="s">
        <v>2389</v>
      </c>
      <c r="E1245" s="15" t="s">
        <v>23</v>
      </c>
      <c r="G1245" s="10" t="n">
        <v>1</v>
      </c>
      <c r="H1245" s="21" t="n">
        <v>46046.4586574074</v>
      </c>
      <c r="I1245" s="15" t="s">
        <v>4008</v>
      </c>
      <c r="J1245" s="15" t="s">
        <v>4008</v>
      </c>
      <c r="K1245" s="15"/>
      <c r="L1245" s="10" t="n">
        <f aca="false">COUNTIF($E$2:E1245,E1245)</f>
        <v>3</v>
      </c>
      <c r="M1245" s="10" t="e">
        <f aca="false">ifs(L1245=1, L1245&amp;"-"&amp; COUNTIFS($L$2:L1245,1))</f>
        <v>#NAME?</v>
      </c>
      <c r="N1245" s="15" t="s">
        <v>603</v>
      </c>
      <c r="O1245" s="10" t="s">
        <v>3730</v>
      </c>
      <c r="P1245" s="22" t="n">
        <f aca="false">COUNTIFS(C:C,C1245,N:N,"Đã xác nhận")/COUNTIFS(C:C,C1245)</f>
        <v>1</v>
      </c>
      <c r="Q1245" s="22"/>
      <c r="R1245" s="0" t="s">
        <v>2391</v>
      </c>
      <c r="S1245" s="0" t="s">
        <v>575</v>
      </c>
      <c r="U1245" s="24" t="n">
        <v>1</v>
      </c>
    </row>
    <row r="1246" customFormat="false" ht="12.75" hidden="false" customHeight="false" outlineLevel="0" collapsed="false">
      <c r="A1246" s="15" t="s">
        <v>4009</v>
      </c>
      <c r="B1246" s="15" t="s">
        <v>2304</v>
      </c>
      <c r="C1246" s="15" t="s">
        <v>3995</v>
      </c>
      <c r="D1246" s="15" t="s">
        <v>2536</v>
      </c>
      <c r="E1246" s="15" t="s">
        <v>51</v>
      </c>
      <c r="G1246" s="10" t="n">
        <v>1</v>
      </c>
      <c r="H1246" s="21" t="n">
        <v>46046.4620023148</v>
      </c>
      <c r="I1246" s="15" t="s">
        <v>4010</v>
      </c>
      <c r="J1246" s="15" t="s">
        <v>4010</v>
      </c>
      <c r="K1246" s="15"/>
      <c r="L1246" s="10" t="n">
        <f aca="false">COUNTIF($E$2:E1246,E1246)</f>
        <v>5</v>
      </c>
      <c r="M1246" s="10" t="e">
        <f aca="false">ifs(L1246=1, L1246&amp;"-"&amp; COUNTIFS($L$2:L1246,1))</f>
        <v>#NAME?</v>
      </c>
      <c r="N1246" s="15" t="s">
        <v>603</v>
      </c>
      <c r="O1246" s="10" t="s">
        <v>3730</v>
      </c>
      <c r="P1246" s="22" t="n">
        <f aca="false">COUNTIFS(C:C,C1246,N:N,"Đã xác nhận")/COUNTIFS(C:C,C1246)</f>
        <v>1</v>
      </c>
      <c r="Q1246" s="22"/>
      <c r="R1246" s="0" t="s">
        <v>2538</v>
      </c>
      <c r="S1246" s="0" t="s">
        <v>573</v>
      </c>
      <c r="U1246" s="24" t="n">
        <v>1</v>
      </c>
    </row>
    <row r="1247" customFormat="false" ht="12.75" hidden="false" customHeight="false" outlineLevel="0" collapsed="false">
      <c r="A1247" s="15" t="s">
        <v>4011</v>
      </c>
      <c r="B1247" s="15" t="s">
        <v>2304</v>
      </c>
      <c r="C1247" s="15" t="s">
        <v>511</v>
      </c>
      <c r="D1247" s="15" t="s">
        <v>3996</v>
      </c>
      <c r="E1247" s="15" t="s">
        <v>55</v>
      </c>
      <c r="G1247" s="10" t="n">
        <v>1</v>
      </c>
      <c r="H1247" s="21" t="n">
        <v>46046.4643981482</v>
      </c>
      <c r="I1247" s="15" t="s">
        <v>4012</v>
      </c>
      <c r="J1247" s="15" t="s">
        <v>4012</v>
      </c>
      <c r="K1247" s="15"/>
      <c r="L1247" s="10" t="n">
        <f aca="false">COUNTIF($E$2:E1247,E1247)</f>
        <v>110</v>
      </c>
      <c r="M1247" s="10" t="e">
        <f aca="false">ifs(L1247=1, L1247&amp;"-"&amp; COUNTIFS($L$2:L1247,1))</f>
        <v>#NAME?</v>
      </c>
      <c r="N1247" s="15" t="s">
        <v>603</v>
      </c>
      <c r="O1247" s="10" t="s">
        <v>3730</v>
      </c>
      <c r="P1247" s="22" t="n">
        <f aca="false">COUNTIFS(C:C,C1247,N:N,"Đã xác nhận")/COUNTIFS(C:C,C1247)</f>
        <v>1</v>
      </c>
      <c r="Q1247" s="22"/>
      <c r="R1247" s="0" t="s">
        <v>3998</v>
      </c>
      <c r="S1247" s="0" t="s">
        <v>539</v>
      </c>
      <c r="U1247" s="24" t="n">
        <v>1</v>
      </c>
    </row>
    <row r="1248" customFormat="false" ht="12.75" hidden="false" customHeight="false" outlineLevel="0" collapsed="false">
      <c r="A1248" s="15" t="s">
        <v>4013</v>
      </c>
      <c r="B1248" s="15"/>
      <c r="C1248" s="15"/>
      <c r="D1248" s="15"/>
      <c r="E1248" s="15"/>
      <c r="G1248" s="10" t="n">
        <v>0</v>
      </c>
      <c r="H1248" s="21" t="n">
        <v>46049.6628819444</v>
      </c>
      <c r="I1248" s="15" t="s">
        <v>4014</v>
      </c>
      <c r="J1248" s="15" t="s">
        <v>695</v>
      </c>
      <c r="K1248" s="15" t="s">
        <v>4015</v>
      </c>
      <c r="L1248" s="10" t="n">
        <f aca="false">COUNTIF($E$2:E1248,E1248)</f>
        <v>0</v>
      </c>
      <c r="M1248" s="10" t="e">
        <f aca="false">ifs(L1248=1, L1248&amp;"-"&amp; COUNTIFS($L$2:L1248,1))</f>
        <v>#NAME?</v>
      </c>
      <c r="N1248" s="15"/>
      <c r="O1248" s="10" t="s">
        <v>3730</v>
      </c>
      <c r="P1248" s="22" t="e">
        <f aca="false">COUNTIFS(C:C,C1248,N:N,"Đã xác nhận")/COUNTIFS(C:C,C1248)</f>
        <v>#DIV/0!</v>
      </c>
      <c r="Q1248" s="22"/>
      <c r="R1248" s="0" t="e">
        <f aca="false">#VALUE!</f>
        <v>#VALUE!</v>
      </c>
      <c r="S1248" s="0" t="e">
        <f aca="false">#VALUE!</f>
        <v>#VALUE!</v>
      </c>
      <c r="U1248" s="24" t="n">
        <v>0</v>
      </c>
    </row>
    <row r="1249" customFormat="false" ht="12.75" hidden="false" customHeight="false" outlineLevel="0" collapsed="false">
      <c r="A1249" s="15" t="s">
        <v>4016</v>
      </c>
      <c r="B1249" s="15"/>
      <c r="C1249" s="15"/>
      <c r="D1249" s="15"/>
      <c r="E1249" s="15"/>
      <c r="G1249" s="10" t="n">
        <v>0</v>
      </c>
      <c r="H1249" s="21" t="n">
        <v>46049.6628819444</v>
      </c>
      <c r="I1249" s="15" t="s">
        <v>4017</v>
      </c>
      <c r="J1249" s="15" t="s">
        <v>695</v>
      </c>
      <c r="K1249" s="15" t="s">
        <v>4018</v>
      </c>
      <c r="L1249" s="10" t="n">
        <f aca="false">COUNTIF($E$2:E1249,E1249)</f>
        <v>0</v>
      </c>
      <c r="M1249" s="10" t="e">
        <f aca="false">ifs(L1249=1, L1249&amp;"-"&amp; COUNTIFS($L$2:L1249,1))</f>
        <v>#NAME?</v>
      </c>
      <c r="N1249" s="15"/>
      <c r="O1249" s="10" t="s">
        <v>3730</v>
      </c>
      <c r="P1249" s="22" t="e">
        <f aca="false">COUNTIFS(C:C,C1249,N:N,"Đã xác nhận")/COUNTIFS(C:C,C1249)</f>
        <v>#DIV/0!</v>
      </c>
      <c r="Q1249" s="22"/>
      <c r="R1249" s="0" t="e">
        <f aca="false">#VALUE!</f>
        <v>#VALUE!</v>
      </c>
      <c r="S1249" s="0" t="e">
        <f aca="false">#VALUE!</f>
        <v>#VALUE!</v>
      </c>
      <c r="U1249" s="24" t="n">
        <v>0</v>
      </c>
    </row>
    <row r="1250" customFormat="false" ht="12.75" hidden="false" customHeight="false" outlineLevel="0" collapsed="false">
      <c r="A1250" s="15" t="s">
        <v>4019</v>
      </c>
      <c r="B1250" s="15"/>
      <c r="C1250" s="15"/>
      <c r="D1250" s="15"/>
      <c r="E1250" s="15"/>
      <c r="G1250" s="10" t="n">
        <v>0</v>
      </c>
      <c r="H1250" s="21" t="n">
        <v>46049.6628819444</v>
      </c>
      <c r="I1250" s="15" t="s">
        <v>4020</v>
      </c>
      <c r="J1250" s="15" t="s">
        <v>695</v>
      </c>
      <c r="K1250" s="15" t="s">
        <v>4021</v>
      </c>
      <c r="L1250" s="10" t="n">
        <f aca="false">COUNTIF($E$2:E1250,E1250)</f>
        <v>0</v>
      </c>
      <c r="M1250" s="10" t="e">
        <f aca="false">ifs(L1250=1, L1250&amp;"-"&amp; COUNTIFS($L$2:L1250,1))</f>
        <v>#NAME?</v>
      </c>
      <c r="N1250" s="15"/>
      <c r="O1250" s="10" t="s">
        <v>3730</v>
      </c>
      <c r="P1250" s="22" t="e">
        <f aca="false">COUNTIFS(C:C,C1250,N:N,"Đã xác nhận")/COUNTIFS(C:C,C1250)</f>
        <v>#DIV/0!</v>
      </c>
      <c r="Q1250" s="22"/>
      <c r="R1250" s="0" t="e">
        <f aca="false">#VALUE!</f>
        <v>#VALUE!</v>
      </c>
      <c r="S1250" s="0" t="e">
        <f aca="false">#VALUE!</f>
        <v>#VALUE!</v>
      </c>
      <c r="U1250" s="24" t="n">
        <v>0</v>
      </c>
    </row>
    <row r="1251" customFormat="false" ht="12.75" hidden="false" customHeight="false" outlineLevel="0" collapsed="false">
      <c r="A1251" s="15" t="s">
        <v>4022</v>
      </c>
      <c r="B1251" s="15"/>
      <c r="C1251" s="15"/>
      <c r="D1251" s="15"/>
      <c r="E1251" s="15"/>
      <c r="G1251" s="10" t="n">
        <v>0</v>
      </c>
      <c r="H1251" s="21" t="n">
        <v>46049.6628819444</v>
      </c>
      <c r="I1251" s="15" t="s">
        <v>4023</v>
      </c>
      <c r="J1251" s="15" t="s">
        <v>695</v>
      </c>
      <c r="K1251" s="15" t="s">
        <v>4024</v>
      </c>
      <c r="L1251" s="10" t="n">
        <f aca="false">COUNTIF($E$2:E1251,E1251)</f>
        <v>0</v>
      </c>
      <c r="M1251" s="10" t="e">
        <f aca="false">ifs(L1251=1, L1251&amp;"-"&amp; COUNTIFS($L$2:L1251,1))</f>
        <v>#NAME?</v>
      </c>
      <c r="N1251" s="15"/>
      <c r="O1251" s="10" t="s">
        <v>3730</v>
      </c>
      <c r="P1251" s="22" t="e">
        <f aca="false">COUNTIFS(C:C,C1251,N:N,"Đã xác nhận")/COUNTIFS(C:C,C1251)</f>
        <v>#DIV/0!</v>
      </c>
      <c r="Q1251" s="22"/>
      <c r="R1251" s="0" t="e">
        <f aca="false">#VALUE!</f>
        <v>#VALUE!</v>
      </c>
      <c r="S1251" s="0" t="e">
        <f aca="false">#VALUE!</f>
        <v>#VALUE!</v>
      </c>
      <c r="U1251" s="24" t="n">
        <v>0</v>
      </c>
    </row>
    <row r="1252" customFormat="false" ht="12.75" hidden="false" customHeight="false" outlineLevel="0" collapsed="false">
      <c r="A1252" s="15" t="s">
        <v>4025</v>
      </c>
      <c r="B1252" s="15"/>
      <c r="C1252" s="15"/>
      <c r="D1252" s="15"/>
      <c r="E1252" s="15"/>
      <c r="G1252" s="10" t="n">
        <v>0</v>
      </c>
      <c r="H1252" s="21" t="n">
        <v>46049.663125</v>
      </c>
      <c r="I1252" s="15" t="s">
        <v>4026</v>
      </c>
      <c r="J1252" s="15" t="s">
        <v>695</v>
      </c>
      <c r="K1252" s="15" t="s">
        <v>4027</v>
      </c>
      <c r="L1252" s="10" t="n">
        <f aca="false">COUNTIF($E$2:E1252,E1252)</f>
        <v>0</v>
      </c>
      <c r="M1252" s="10" t="e">
        <f aca="false">ifs(L1252=1, L1252&amp;"-"&amp; COUNTIFS($L$2:L1252,1))</f>
        <v>#NAME?</v>
      </c>
      <c r="N1252" s="15"/>
      <c r="O1252" s="10" t="s">
        <v>3730</v>
      </c>
      <c r="P1252" s="22" t="e">
        <f aca="false">COUNTIFS(C:C,C1252,N:N,"Đã xác nhận")/COUNTIFS(C:C,C1252)</f>
        <v>#DIV/0!</v>
      </c>
      <c r="Q1252" s="22"/>
      <c r="R1252" s="0" t="e">
        <f aca="false">#VALUE!</f>
        <v>#VALUE!</v>
      </c>
      <c r="S1252" s="0" t="e">
        <f aca="false">#VALUE!</f>
        <v>#VALUE!</v>
      </c>
      <c r="U1252" s="24" t="n">
        <v>0</v>
      </c>
    </row>
    <row r="1253" customFormat="false" ht="12.75" hidden="false" customHeight="false" outlineLevel="0" collapsed="false">
      <c r="A1253" s="15" t="s">
        <v>4028</v>
      </c>
      <c r="B1253" s="15"/>
      <c r="C1253" s="15"/>
      <c r="D1253" s="15"/>
      <c r="E1253" s="15"/>
      <c r="G1253" s="10" t="n">
        <v>0</v>
      </c>
      <c r="H1253" s="21" t="n">
        <v>46049.663125</v>
      </c>
      <c r="I1253" s="15" t="s">
        <v>4029</v>
      </c>
      <c r="J1253" s="15" t="s">
        <v>695</v>
      </c>
      <c r="K1253" s="15" t="s">
        <v>4030</v>
      </c>
      <c r="L1253" s="10" t="n">
        <f aca="false">COUNTIF($E$2:E1253,E1253)</f>
        <v>0</v>
      </c>
      <c r="M1253" s="10" t="e">
        <f aca="false">ifs(L1253=1, L1253&amp;"-"&amp; COUNTIFS($L$2:L1253,1))</f>
        <v>#NAME?</v>
      </c>
      <c r="N1253" s="15"/>
      <c r="O1253" s="10" t="s">
        <v>3730</v>
      </c>
      <c r="P1253" s="22" t="e">
        <f aca="false">COUNTIFS(C:C,C1253,N:N,"Đã xác nhận")/COUNTIFS(C:C,C1253)</f>
        <v>#DIV/0!</v>
      </c>
      <c r="Q1253" s="22"/>
      <c r="R1253" s="0" t="e">
        <f aca="false">#VALUE!</f>
        <v>#VALUE!</v>
      </c>
      <c r="S1253" s="0" t="e">
        <f aca="false">#VALUE!</f>
        <v>#VALUE!</v>
      </c>
      <c r="U1253" s="24" t="n">
        <v>0</v>
      </c>
    </row>
    <row r="1254" customFormat="false" ht="12.75" hidden="false" customHeight="false" outlineLevel="0" collapsed="false">
      <c r="A1254" s="15" t="s">
        <v>4031</v>
      </c>
      <c r="B1254" s="15"/>
      <c r="C1254" s="15"/>
      <c r="D1254" s="15"/>
      <c r="E1254" s="15"/>
      <c r="G1254" s="10" t="n">
        <v>0</v>
      </c>
      <c r="H1254" s="21" t="n">
        <v>46049.663125</v>
      </c>
      <c r="I1254" s="15" t="s">
        <v>4032</v>
      </c>
      <c r="J1254" s="15" t="s">
        <v>695</v>
      </c>
      <c r="K1254" s="15" t="s">
        <v>4033</v>
      </c>
      <c r="L1254" s="10" t="n">
        <f aca="false">COUNTIF($E$2:E1254,E1254)</f>
        <v>0</v>
      </c>
      <c r="M1254" s="10" t="e">
        <f aca="false">ifs(L1254=1, L1254&amp;"-"&amp; COUNTIFS($L$2:L1254,1))</f>
        <v>#NAME?</v>
      </c>
      <c r="N1254" s="15"/>
      <c r="O1254" s="10" t="s">
        <v>3730</v>
      </c>
      <c r="P1254" s="22" t="e">
        <f aca="false">COUNTIFS(C:C,C1254,N:N,"Đã xác nhận")/COUNTIFS(C:C,C1254)</f>
        <v>#DIV/0!</v>
      </c>
      <c r="Q1254" s="22"/>
      <c r="R1254" s="0" t="e">
        <f aca="false">#VALUE!</f>
        <v>#VALUE!</v>
      </c>
      <c r="S1254" s="0" t="e">
        <f aca="false">#VALUE!</f>
        <v>#VALUE!</v>
      </c>
      <c r="U1254" s="24" t="n">
        <v>0</v>
      </c>
    </row>
    <row r="1255" customFormat="false" ht="12.75" hidden="false" customHeight="false" outlineLevel="0" collapsed="false">
      <c r="A1255" s="15" t="s">
        <v>4034</v>
      </c>
      <c r="B1255" s="15"/>
      <c r="C1255" s="15"/>
      <c r="D1255" s="15"/>
      <c r="E1255" s="15"/>
      <c r="G1255" s="10" t="n">
        <v>0</v>
      </c>
      <c r="H1255" s="21" t="n">
        <v>46049.663125</v>
      </c>
      <c r="I1255" s="15" t="s">
        <v>4035</v>
      </c>
      <c r="J1255" s="15" t="s">
        <v>695</v>
      </c>
      <c r="K1255" s="15" t="s">
        <v>4036</v>
      </c>
      <c r="L1255" s="10" t="n">
        <f aca="false">COUNTIF($E$2:E1255,E1255)</f>
        <v>0</v>
      </c>
      <c r="M1255" s="10" t="e">
        <f aca="false">ifs(L1255=1, L1255&amp;"-"&amp; COUNTIFS($L$2:L1255,1))</f>
        <v>#NAME?</v>
      </c>
      <c r="N1255" s="15"/>
      <c r="O1255" s="10" t="s">
        <v>3730</v>
      </c>
      <c r="P1255" s="22" t="e">
        <f aca="false">COUNTIFS(C:C,C1255,N:N,"Đã xác nhận")/COUNTIFS(C:C,C1255)</f>
        <v>#DIV/0!</v>
      </c>
      <c r="Q1255" s="22"/>
      <c r="R1255" s="0" t="e">
        <f aca="false">#VALUE!</f>
        <v>#VALUE!</v>
      </c>
      <c r="S1255" s="0" t="e">
        <f aca="false">#VALUE!</f>
        <v>#VALUE!</v>
      </c>
      <c r="U1255" s="24" t="n">
        <v>0</v>
      </c>
    </row>
    <row r="1256" customFormat="false" ht="12.75" hidden="false" customHeight="false" outlineLevel="0" collapsed="false">
      <c r="A1256" s="15" t="s">
        <v>4037</v>
      </c>
      <c r="B1256" s="15" t="s">
        <v>2304</v>
      </c>
      <c r="C1256" s="15" t="s">
        <v>4038</v>
      </c>
      <c r="D1256" s="15" t="s">
        <v>3996</v>
      </c>
      <c r="E1256" s="15" t="s">
        <v>55</v>
      </c>
      <c r="G1256" s="10" t="n">
        <v>1</v>
      </c>
      <c r="H1256" s="21" t="n">
        <v>46046.4776851852</v>
      </c>
      <c r="I1256" s="15" t="s">
        <v>4039</v>
      </c>
      <c r="J1256" s="15" t="s">
        <v>4039</v>
      </c>
      <c r="K1256" s="15"/>
      <c r="L1256" s="10" t="n">
        <f aca="false">COUNTIF($E$2:E1256,E1256)</f>
        <v>111</v>
      </c>
      <c r="M1256" s="10" t="e">
        <f aca="false">ifs(L1256=1, L1256&amp;"-"&amp; COUNTIFS($L$2:L1256,1))</f>
        <v>#NAME?</v>
      </c>
      <c r="N1256" s="15" t="s">
        <v>603</v>
      </c>
      <c r="O1256" s="10" t="s">
        <v>3730</v>
      </c>
      <c r="P1256" s="22" t="n">
        <f aca="false">COUNTIFS(C:C,C1256,N:N,"Đã xác nhận")/COUNTIFS(C:C,C1256)</f>
        <v>1</v>
      </c>
      <c r="Q1256" s="22"/>
      <c r="R1256" s="0" t="s">
        <v>3998</v>
      </c>
      <c r="S1256" s="0" t="s">
        <v>539</v>
      </c>
      <c r="U1256" s="24" t="n">
        <v>1</v>
      </c>
    </row>
    <row r="1257" customFormat="false" ht="12.75" hidden="false" customHeight="false" outlineLevel="0" collapsed="false">
      <c r="A1257" s="15" t="s">
        <v>4040</v>
      </c>
      <c r="B1257" s="15" t="s">
        <v>2304</v>
      </c>
      <c r="C1257" s="15" t="s">
        <v>4038</v>
      </c>
      <c r="D1257" s="15" t="s">
        <v>4001</v>
      </c>
      <c r="E1257" s="15" t="s">
        <v>55</v>
      </c>
      <c r="G1257" s="10" t="n">
        <v>1</v>
      </c>
      <c r="H1257" s="21" t="n">
        <v>46046.4776967593</v>
      </c>
      <c r="I1257" s="15" t="s">
        <v>4041</v>
      </c>
      <c r="J1257" s="15" t="s">
        <v>4041</v>
      </c>
      <c r="K1257" s="15"/>
      <c r="L1257" s="10" t="n">
        <f aca="false">COUNTIF($E$2:E1257,E1257)</f>
        <v>112</v>
      </c>
      <c r="M1257" s="10" t="e">
        <f aca="false">ifs(L1257=1, L1257&amp;"-"&amp; COUNTIFS($L$2:L1257,1))</f>
        <v>#NAME?</v>
      </c>
      <c r="N1257" s="15" t="s">
        <v>603</v>
      </c>
      <c r="O1257" s="10" t="s">
        <v>3730</v>
      </c>
      <c r="P1257" s="22" t="n">
        <f aca="false">COUNTIFS(C:C,C1257,N:N,"Đã xác nhận")/COUNTIFS(C:C,C1257)</f>
        <v>1</v>
      </c>
      <c r="Q1257" s="22"/>
      <c r="R1257" s="0" t="s">
        <v>2387</v>
      </c>
      <c r="S1257" s="0" t="s">
        <v>539</v>
      </c>
      <c r="U1257" s="24" t="n">
        <v>1</v>
      </c>
    </row>
    <row r="1258" customFormat="false" ht="12.75" hidden="false" customHeight="false" outlineLevel="0" collapsed="false">
      <c r="A1258" s="15" t="s">
        <v>4042</v>
      </c>
      <c r="B1258" s="15" t="s">
        <v>2304</v>
      </c>
      <c r="C1258" s="15" t="s">
        <v>4038</v>
      </c>
      <c r="D1258" s="15" t="s">
        <v>2401</v>
      </c>
      <c r="E1258" s="15" t="s">
        <v>89</v>
      </c>
      <c r="G1258" s="10" t="n">
        <v>1</v>
      </c>
      <c r="H1258" s="21" t="n">
        <v>46046.4777199074</v>
      </c>
      <c r="I1258" s="15" t="s">
        <v>4043</v>
      </c>
      <c r="J1258" s="15" t="s">
        <v>4043</v>
      </c>
      <c r="K1258" s="15"/>
      <c r="L1258" s="10" t="n">
        <f aca="false">COUNTIF($E$2:E1258,E1258)</f>
        <v>5</v>
      </c>
      <c r="M1258" s="10" t="e">
        <f aca="false">ifs(L1258=1, L1258&amp;"-"&amp; COUNTIFS($L$2:L1258,1))</f>
        <v>#NAME?</v>
      </c>
      <c r="N1258" s="15" t="s">
        <v>603</v>
      </c>
      <c r="O1258" s="10" t="s">
        <v>3730</v>
      </c>
      <c r="P1258" s="22" t="n">
        <f aca="false">COUNTIFS(C:C,C1258,N:N,"Đã xác nhận")/COUNTIFS(C:C,C1258)</f>
        <v>1</v>
      </c>
      <c r="Q1258" s="22"/>
      <c r="R1258" s="0" t="s">
        <v>2403</v>
      </c>
      <c r="S1258" s="0" t="s">
        <v>574</v>
      </c>
      <c r="U1258" s="24" t="n">
        <v>1</v>
      </c>
    </row>
    <row r="1259" customFormat="false" ht="12.75" hidden="false" customHeight="false" outlineLevel="0" collapsed="false">
      <c r="A1259" s="15" t="s">
        <v>4044</v>
      </c>
      <c r="B1259" s="15" t="s">
        <v>2304</v>
      </c>
      <c r="C1259" s="15" t="s">
        <v>4038</v>
      </c>
      <c r="D1259" s="15" t="s">
        <v>2536</v>
      </c>
      <c r="E1259" s="15" t="s">
        <v>51</v>
      </c>
      <c r="G1259" s="10" t="n">
        <v>1</v>
      </c>
      <c r="H1259" s="21" t="n">
        <v>46046.477662037</v>
      </c>
      <c r="I1259" s="15" t="s">
        <v>4045</v>
      </c>
      <c r="J1259" s="15" t="s">
        <v>4045</v>
      </c>
      <c r="K1259" s="15"/>
      <c r="L1259" s="10" t="n">
        <f aca="false">COUNTIF($E$2:E1259,E1259)</f>
        <v>6</v>
      </c>
      <c r="M1259" s="10" t="e">
        <f aca="false">ifs(L1259=1, L1259&amp;"-"&amp; COUNTIFS($L$2:L1259,1))</f>
        <v>#NAME?</v>
      </c>
      <c r="N1259" s="15" t="s">
        <v>603</v>
      </c>
      <c r="O1259" s="10" t="s">
        <v>3730</v>
      </c>
      <c r="P1259" s="22" t="n">
        <f aca="false">COUNTIFS(C:C,C1259,N:N,"Đã xác nhận")/COUNTIFS(C:C,C1259)</f>
        <v>1</v>
      </c>
      <c r="Q1259" s="22"/>
      <c r="R1259" s="0" t="s">
        <v>2538</v>
      </c>
      <c r="S1259" s="0" t="s">
        <v>573</v>
      </c>
      <c r="U1259" s="24" t="n">
        <v>1</v>
      </c>
    </row>
    <row r="1260" customFormat="false" ht="12.75" hidden="false" customHeight="false" outlineLevel="0" collapsed="false">
      <c r="A1260" s="15" t="s">
        <v>4046</v>
      </c>
      <c r="B1260" s="15" t="s">
        <v>2304</v>
      </c>
      <c r="C1260" s="15" t="s">
        <v>4038</v>
      </c>
      <c r="D1260" s="15" t="s">
        <v>2401</v>
      </c>
      <c r="E1260" s="15" t="s">
        <v>89</v>
      </c>
      <c r="G1260" s="10" t="n">
        <v>1</v>
      </c>
      <c r="H1260" s="21" t="n">
        <v>46046.4777199074</v>
      </c>
      <c r="I1260" s="15" t="s">
        <v>4043</v>
      </c>
      <c r="J1260" s="15" t="s">
        <v>4043</v>
      </c>
      <c r="K1260" s="15"/>
      <c r="L1260" s="10" t="n">
        <f aca="false">COUNTIF($E$2:E1260,E1260)</f>
        <v>6</v>
      </c>
      <c r="M1260" s="10" t="e">
        <f aca="false">ifs(L1260=1, L1260&amp;"-"&amp; COUNTIFS($L$2:L1260,1))</f>
        <v>#NAME?</v>
      </c>
      <c r="N1260" s="15" t="s">
        <v>603</v>
      </c>
      <c r="O1260" s="10" t="s">
        <v>3730</v>
      </c>
      <c r="P1260" s="22" t="n">
        <f aca="false">COUNTIFS(C:C,C1260,N:N,"Đã xác nhận")/COUNTIFS(C:C,C1260)</f>
        <v>1</v>
      </c>
      <c r="Q1260" s="22"/>
      <c r="R1260" s="0" t="s">
        <v>2403</v>
      </c>
      <c r="S1260" s="0" t="s">
        <v>574</v>
      </c>
      <c r="U1260" s="24" t="n">
        <v>1</v>
      </c>
    </row>
    <row r="1261" customFormat="false" ht="12.75" hidden="false" customHeight="false" outlineLevel="0" collapsed="false">
      <c r="A1261" s="15" t="s">
        <v>4047</v>
      </c>
      <c r="B1261" s="15" t="s">
        <v>2304</v>
      </c>
      <c r="C1261" s="15" t="s">
        <v>4038</v>
      </c>
      <c r="D1261" s="15" t="s">
        <v>2389</v>
      </c>
      <c r="E1261" s="15" t="s">
        <v>23</v>
      </c>
      <c r="G1261" s="10" t="n">
        <v>1</v>
      </c>
      <c r="H1261" s="21" t="n">
        <v>46046.4776388889</v>
      </c>
      <c r="I1261" s="15" t="s">
        <v>4048</v>
      </c>
      <c r="J1261" s="15" t="s">
        <v>4048</v>
      </c>
      <c r="K1261" s="15"/>
      <c r="L1261" s="10" t="n">
        <f aca="false">COUNTIF($E$2:E1261,E1261)</f>
        <v>4</v>
      </c>
      <c r="M1261" s="10" t="e">
        <f aca="false">ifs(L1261=1, L1261&amp;"-"&amp; COUNTIFS($L$2:L1261,1))</f>
        <v>#NAME?</v>
      </c>
      <c r="N1261" s="15" t="s">
        <v>603</v>
      </c>
      <c r="O1261" s="10" t="s">
        <v>3730</v>
      </c>
      <c r="P1261" s="22" t="n">
        <f aca="false">COUNTIFS(C:C,C1261,N:N,"Đã xác nhận")/COUNTIFS(C:C,C1261)</f>
        <v>1</v>
      </c>
      <c r="Q1261" s="22"/>
      <c r="R1261" s="0" t="s">
        <v>2391</v>
      </c>
      <c r="S1261" s="0" t="s">
        <v>575</v>
      </c>
      <c r="U1261" s="24" t="n">
        <v>1</v>
      </c>
    </row>
    <row r="1262" customFormat="false" ht="12.75" hidden="false" customHeight="false" outlineLevel="0" collapsed="false">
      <c r="A1262" s="15" t="s">
        <v>4049</v>
      </c>
      <c r="B1262" s="15"/>
      <c r="C1262" s="15"/>
      <c r="D1262" s="15"/>
      <c r="E1262" s="15"/>
      <c r="G1262" s="10" t="n">
        <v>0</v>
      </c>
      <c r="H1262" s="21" t="n">
        <v>46049.6638425926</v>
      </c>
      <c r="I1262" s="15" t="s">
        <v>4050</v>
      </c>
      <c r="J1262" s="15" t="s">
        <v>695</v>
      </c>
      <c r="K1262" s="15" t="s">
        <v>4051</v>
      </c>
      <c r="L1262" s="10" t="n">
        <f aca="false">COUNTIF($E$2:E1262,E1262)</f>
        <v>0</v>
      </c>
      <c r="M1262" s="10" t="e">
        <f aca="false">ifs(L1262=1, L1262&amp;"-"&amp; COUNTIFS($L$2:L1262,1))</f>
        <v>#NAME?</v>
      </c>
      <c r="N1262" s="15"/>
      <c r="O1262" s="10" t="s">
        <v>3730</v>
      </c>
      <c r="P1262" s="22" t="e">
        <f aca="false">COUNTIFS(C:C,C1262,N:N,"Đã xác nhận")/COUNTIFS(C:C,C1262)</f>
        <v>#DIV/0!</v>
      </c>
      <c r="Q1262" s="22"/>
      <c r="R1262" s="0" t="e">
        <f aca="false">#VALUE!</f>
        <v>#VALUE!</v>
      </c>
      <c r="S1262" s="0" t="e">
        <f aca="false">#VALUE!</f>
        <v>#VALUE!</v>
      </c>
      <c r="U1262" s="24" t="n">
        <v>0</v>
      </c>
    </row>
    <row r="1263" customFormat="false" ht="12.75" hidden="false" customHeight="false" outlineLevel="0" collapsed="false">
      <c r="A1263" s="15" t="s">
        <v>4052</v>
      </c>
      <c r="B1263" s="15"/>
      <c r="C1263" s="15"/>
      <c r="D1263" s="15"/>
      <c r="E1263" s="15"/>
      <c r="G1263" s="10" t="n">
        <v>0</v>
      </c>
      <c r="H1263" s="21" t="n">
        <v>46049.6638425926</v>
      </c>
      <c r="I1263" s="15" t="s">
        <v>4053</v>
      </c>
      <c r="J1263" s="15" t="s">
        <v>695</v>
      </c>
      <c r="K1263" s="15" t="s">
        <v>4054</v>
      </c>
      <c r="L1263" s="10" t="n">
        <f aca="false">COUNTIF($E$2:E1263,E1263)</f>
        <v>0</v>
      </c>
      <c r="M1263" s="10" t="e">
        <f aca="false">ifs(L1263=1, L1263&amp;"-"&amp; COUNTIFS($L$2:L1263,1))</f>
        <v>#NAME?</v>
      </c>
      <c r="N1263" s="15"/>
      <c r="O1263" s="10" t="s">
        <v>3730</v>
      </c>
      <c r="P1263" s="22" t="e">
        <f aca="false">COUNTIFS(C:C,C1263,N:N,"Đã xác nhận")/COUNTIFS(C:C,C1263)</f>
        <v>#DIV/0!</v>
      </c>
      <c r="Q1263" s="22"/>
      <c r="R1263" s="0" t="e">
        <f aca="false">#VALUE!</f>
        <v>#VALUE!</v>
      </c>
      <c r="S1263" s="0" t="e">
        <f aca="false">#VALUE!</f>
        <v>#VALUE!</v>
      </c>
      <c r="U1263" s="24" t="n">
        <v>0</v>
      </c>
    </row>
    <row r="1264" customFormat="false" ht="12.75" hidden="false" customHeight="false" outlineLevel="0" collapsed="false">
      <c r="A1264" s="15" t="s">
        <v>4055</v>
      </c>
      <c r="B1264" s="15"/>
      <c r="C1264" s="15"/>
      <c r="D1264" s="15"/>
      <c r="E1264" s="15"/>
      <c r="G1264" s="10" t="n">
        <v>0</v>
      </c>
      <c r="H1264" s="21" t="n">
        <v>46049.6638425926</v>
      </c>
      <c r="I1264" s="15" t="s">
        <v>4056</v>
      </c>
      <c r="J1264" s="15" t="s">
        <v>695</v>
      </c>
      <c r="K1264" s="15" t="s">
        <v>4057</v>
      </c>
      <c r="L1264" s="10" t="n">
        <f aca="false">COUNTIF($E$2:E1264,E1264)</f>
        <v>0</v>
      </c>
      <c r="M1264" s="10" t="e">
        <f aca="false">ifs(L1264=1, L1264&amp;"-"&amp; COUNTIFS($L$2:L1264,1))</f>
        <v>#NAME?</v>
      </c>
      <c r="N1264" s="15"/>
      <c r="O1264" s="10" t="s">
        <v>3730</v>
      </c>
      <c r="P1264" s="22" t="e">
        <f aca="false">COUNTIFS(C:C,C1264,N:N,"Đã xác nhận")/COUNTIFS(C:C,C1264)</f>
        <v>#DIV/0!</v>
      </c>
      <c r="Q1264" s="22"/>
      <c r="R1264" s="0" t="e">
        <f aca="false">#VALUE!</f>
        <v>#VALUE!</v>
      </c>
      <c r="S1264" s="0" t="e">
        <f aca="false">#VALUE!</f>
        <v>#VALUE!</v>
      </c>
      <c r="U1264" s="24" t="n">
        <v>0</v>
      </c>
    </row>
    <row r="1265" customFormat="false" ht="12.75" hidden="false" customHeight="false" outlineLevel="0" collapsed="false">
      <c r="A1265" s="15" t="s">
        <v>4058</v>
      </c>
      <c r="B1265" s="15"/>
      <c r="C1265" s="15"/>
      <c r="D1265" s="15"/>
      <c r="E1265" s="15"/>
      <c r="G1265" s="10" t="n">
        <v>0</v>
      </c>
      <c r="H1265" s="21" t="n">
        <v>46049.6638425926</v>
      </c>
      <c r="I1265" s="15" t="s">
        <v>4059</v>
      </c>
      <c r="J1265" s="15" t="s">
        <v>695</v>
      </c>
      <c r="K1265" s="15" t="s">
        <v>4060</v>
      </c>
      <c r="L1265" s="10" t="n">
        <f aca="false">COUNTIF($E$2:E1265,E1265)</f>
        <v>0</v>
      </c>
      <c r="M1265" s="10" t="e">
        <f aca="false">ifs(L1265=1, L1265&amp;"-"&amp; COUNTIFS($L$2:L1265,1))</f>
        <v>#NAME?</v>
      </c>
      <c r="N1265" s="15"/>
      <c r="O1265" s="10" t="s">
        <v>3730</v>
      </c>
      <c r="P1265" s="22" t="e">
        <f aca="false">COUNTIFS(C:C,C1265,N:N,"Đã xác nhận")/COUNTIFS(C:C,C1265)</f>
        <v>#DIV/0!</v>
      </c>
      <c r="Q1265" s="22"/>
      <c r="R1265" s="0" t="e">
        <f aca="false">#VALUE!</f>
        <v>#VALUE!</v>
      </c>
      <c r="S1265" s="0" t="e">
        <f aca="false">#VALUE!</f>
        <v>#VALUE!</v>
      </c>
      <c r="U1265" s="24" t="n">
        <v>0</v>
      </c>
    </row>
    <row r="1266" customFormat="false" ht="12.75" hidden="false" customHeight="false" outlineLevel="0" collapsed="false">
      <c r="A1266" s="15" t="s">
        <v>4061</v>
      </c>
      <c r="B1266" s="15" t="s">
        <v>2304</v>
      </c>
      <c r="C1266" s="15" t="s">
        <v>4062</v>
      </c>
      <c r="D1266" s="15" t="s">
        <v>3996</v>
      </c>
      <c r="E1266" s="15" t="s">
        <v>55</v>
      </c>
      <c r="G1266" s="10" t="n">
        <v>2</v>
      </c>
      <c r="H1266" s="21" t="n">
        <v>46046.4826967593</v>
      </c>
      <c r="I1266" s="15" t="s">
        <v>4063</v>
      </c>
      <c r="J1266" s="15" t="s">
        <v>4063</v>
      </c>
      <c r="K1266" s="15"/>
      <c r="L1266" s="10" t="n">
        <f aca="false">COUNTIF($E$2:E1266,E1266)</f>
        <v>113</v>
      </c>
      <c r="M1266" s="10" t="e">
        <f aca="false">ifs(L1266=1, L1266&amp;"-"&amp; COUNTIFS($L$2:L1266,1))</f>
        <v>#NAME?</v>
      </c>
      <c r="N1266" s="15" t="s">
        <v>603</v>
      </c>
      <c r="O1266" s="10" t="s">
        <v>3730</v>
      </c>
      <c r="P1266" s="22" t="n">
        <f aca="false">COUNTIFS(C:C,C1266,N:N,"Đã xác nhận")/COUNTIFS(C:C,C1266)</f>
        <v>1</v>
      </c>
      <c r="Q1266" s="22"/>
      <c r="R1266" s="0" t="s">
        <v>3998</v>
      </c>
      <c r="S1266" s="0" t="s">
        <v>539</v>
      </c>
      <c r="U1266" s="24" t="n">
        <v>2</v>
      </c>
    </row>
    <row r="1267" customFormat="false" ht="12.75" hidden="false" customHeight="false" outlineLevel="0" collapsed="false">
      <c r="A1267" s="15" t="s">
        <v>4064</v>
      </c>
      <c r="B1267" s="15" t="s">
        <v>2304</v>
      </c>
      <c r="C1267" s="15" t="s">
        <v>4062</v>
      </c>
      <c r="D1267" s="15" t="s">
        <v>4001</v>
      </c>
      <c r="E1267" s="15" t="s">
        <v>55</v>
      </c>
      <c r="G1267" s="10" t="n">
        <v>1</v>
      </c>
      <c r="H1267" s="21" t="n">
        <v>46046.4826851852</v>
      </c>
      <c r="I1267" s="15" t="s">
        <v>4065</v>
      </c>
      <c r="J1267" s="15" t="s">
        <v>4065</v>
      </c>
      <c r="K1267" s="15"/>
      <c r="L1267" s="10" t="n">
        <f aca="false">COUNTIF($E$2:E1267,E1267)</f>
        <v>114</v>
      </c>
      <c r="M1267" s="10" t="e">
        <f aca="false">ifs(L1267=1, L1267&amp;"-"&amp; COUNTIFS($L$2:L1267,1))</f>
        <v>#NAME?</v>
      </c>
      <c r="N1267" s="15" t="s">
        <v>603</v>
      </c>
      <c r="O1267" s="10" t="s">
        <v>3730</v>
      </c>
      <c r="P1267" s="22" t="n">
        <f aca="false">COUNTIFS(C:C,C1267,N:N,"Đã xác nhận")/COUNTIFS(C:C,C1267)</f>
        <v>1</v>
      </c>
      <c r="Q1267" s="22"/>
      <c r="R1267" s="0" t="s">
        <v>2387</v>
      </c>
      <c r="S1267" s="0" t="s">
        <v>539</v>
      </c>
      <c r="U1267" s="24" t="n">
        <v>1</v>
      </c>
    </row>
    <row r="1268" customFormat="false" ht="12.75" hidden="false" customHeight="false" outlineLevel="0" collapsed="false">
      <c r="A1268" s="15" t="s">
        <v>4066</v>
      </c>
      <c r="B1268" s="15" t="s">
        <v>2304</v>
      </c>
      <c r="C1268" s="15" t="s">
        <v>4062</v>
      </c>
      <c r="D1268" s="15" t="s">
        <v>2401</v>
      </c>
      <c r="E1268" s="15" t="s">
        <v>89</v>
      </c>
      <c r="G1268" s="10" t="n">
        <v>2</v>
      </c>
      <c r="H1268" s="21" t="n">
        <v>46046.4827777778</v>
      </c>
      <c r="I1268" s="15" t="s">
        <v>4067</v>
      </c>
      <c r="J1268" s="15" t="s">
        <v>4067</v>
      </c>
      <c r="K1268" s="15"/>
      <c r="L1268" s="10" t="n">
        <f aca="false">COUNTIF($E$2:E1268,E1268)</f>
        <v>7</v>
      </c>
      <c r="M1268" s="10" t="e">
        <f aca="false">ifs(L1268=1, L1268&amp;"-"&amp; COUNTIFS($L$2:L1268,1))</f>
        <v>#NAME?</v>
      </c>
      <c r="N1268" s="15" t="s">
        <v>603</v>
      </c>
      <c r="O1268" s="10" t="s">
        <v>3730</v>
      </c>
      <c r="P1268" s="22" t="n">
        <f aca="false">COUNTIFS(C:C,C1268,N:N,"Đã xác nhận")/COUNTIFS(C:C,C1268)</f>
        <v>1</v>
      </c>
      <c r="Q1268" s="22"/>
      <c r="R1268" s="0" t="s">
        <v>2403</v>
      </c>
      <c r="S1268" s="0" t="s">
        <v>574</v>
      </c>
      <c r="U1268" s="24" t="n">
        <v>2</v>
      </c>
    </row>
    <row r="1269" customFormat="false" ht="12.75" hidden="false" customHeight="false" outlineLevel="0" collapsed="false">
      <c r="A1269" s="15" t="s">
        <v>4068</v>
      </c>
      <c r="B1269" s="15" t="s">
        <v>2304</v>
      </c>
      <c r="C1269" s="15" t="s">
        <v>4062</v>
      </c>
      <c r="D1269" s="15" t="s">
        <v>2389</v>
      </c>
      <c r="E1269" s="15" t="s">
        <v>23</v>
      </c>
      <c r="G1269" s="10" t="n">
        <v>1</v>
      </c>
      <c r="H1269" s="21" t="n">
        <v>46046.4825810185</v>
      </c>
      <c r="I1269" s="15" t="s">
        <v>4069</v>
      </c>
      <c r="J1269" s="15" t="s">
        <v>4069</v>
      </c>
      <c r="K1269" s="15"/>
      <c r="L1269" s="10" t="n">
        <f aca="false">COUNTIF($E$2:E1269,E1269)</f>
        <v>5</v>
      </c>
      <c r="M1269" s="10" t="e">
        <f aca="false">ifs(L1269=1, L1269&amp;"-"&amp; COUNTIFS($L$2:L1269,1))</f>
        <v>#NAME?</v>
      </c>
      <c r="N1269" s="15" t="s">
        <v>603</v>
      </c>
      <c r="O1269" s="10" t="s">
        <v>3730</v>
      </c>
      <c r="P1269" s="22" t="n">
        <f aca="false">COUNTIFS(C:C,C1269,N:N,"Đã xác nhận")/COUNTIFS(C:C,C1269)</f>
        <v>1</v>
      </c>
      <c r="Q1269" s="22"/>
      <c r="R1269" s="0" t="s">
        <v>2391</v>
      </c>
      <c r="S1269" s="0" t="s">
        <v>575</v>
      </c>
      <c r="U1269" s="24" t="n">
        <v>1</v>
      </c>
    </row>
    <row r="1270" customFormat="false" ht="12.75" hidden="false" customHeight="false" outlineLevel="0" collapsed="false">
      <c r="A1270" s="15" t="s">
        <v>4070</v>
      </c>
      <c r="B1270" s="15" t="s">
        <v>2304</v>
      </c>
      <c r="C1270" s="15" t="s">
        <v>4062</v>
      </c>
      <c r="D1270" s="15" t="s">
        <v>2536</v>
      </c>
      <c r="E1270" s="15" t="s">
        <v>51</v>
      </c>
      <c r="G1270" s="10" t="n">
        <v>1</v>
      </c>
      <c r="H1270" s="21" t="n">
        <v>46046.482650463</v>
      </c>
      <c r="I1270" s="15" t="s">
        <v>4071</v>
      </c>
      <c r="J1270" s="15" t="s">
        <v>4071</v>
      </c>
      <c r="K1270" s="15"/>
      <c r="L1270" s="10" t="n">
        <f aca="false">COUNTIF($E$2:E1270,E1270)</f>
        <v>7</v>
      </c>
      <c r="M1270" s="10" t="e">
        <f aca="false">ifs(L1270=1, L1270&amp;"-"&amp; COUNTIFS($L$2:L1270,1))</f>
        <v>#NAME?</v>
      </c>
      <c r="N1270" s="15" t="s">
        <v>603</v>
      </c>
      <c r="O1270" s="10" t="s">
        <v>3730</v>
      </c>
      <c r="P1270" s="22" t="n">
        <f aca="false">COUNTIFS(C:C,C1270,N:N,"Đã xác nhận")/COUNTIFS(C:C,C1270)</f>
        <v>1</v>
      </c>
      <c r="Q1270" s="22"/>
      <c r="R1270" s="0" t="s">
        <v>2538</v>
      </c>
      <c r="S1270" s="0" t="s">
        <v>573</v>
      </c>
      <c r="U1270" s="24" t="n">
        <v>1</v>
      </c>
    </row>
    <row r="1271" customFormat="false" ht="12.75" hidden="false" customHeight="false" outlineLevel="0" collapsed="false">
      <c r="A1271" s="15" t="s">
        <v>4072</v>
      </c>
      <c r="B1271" s="15"/>
      <c r="C1271" s="15"/>
      <c r="D1271" s="15"/>
      <c r="E1271" s="15"/>
      <c r="G1271" s="10" t="n">
        <v>0</v>
      </c>
      <c r="H1271" s="21" t="n">
        <v>46049.663287037</v>
      </c>
      <c r="I1271" s="15" t="s">
        <v>4073</v>
      </c>
      <c r="J1271" s="15" t="s">
        <v>695</v>
      </c>
      <c r="K1271" s="15" t="s">
        <v>4074</v>
      </c>
      <c r="L1271" s="10" t="n">
        <f aca="false">COUNTIF($E$2:E1271,E1271)</f>
        <v>0</v>
      </c>
      <c r="M1271" s="10" t="e">
        <f aca="false">ifs(L1271=1, L1271&amp;"-"&amp; COUNTIFS($L$2:L1271,1))</f>
        <v>#NAME?</v>
      </c>
      <c r="N1271" s="15"/>
      <c r="O1271" s="10" t="s">
        <v>3730</v>
      </c>
      <c r="P1271" s="22" t="e">
        <f aca="false">COUNTIFS(C:C,C1271,N:N,"Đã xác nhận")/COUNTIFS(C:C,C1271)</f>
        <v>#DIV/0!</v>
      </c>
      <c r="Q1271" s="22"/>
      <c r="R1271" s="0" t="e">
        <f aca="false">#VALUE!</f>
        <v>#VALUE!</v>
      </c>
      <c r="S1271" s="0" t="e">
        <f aca="false">#VALUE!</f>
        <v>#VALUE!</v>
      </c>
      <c r="U1271" s="24" t="n">
        <v>0</v>
      </c>
    </row>
    <row r="1272" customFormat="false" ht="12.75" hidden="false" customHeight="false" outlineLevel="0" collapsed="false">
      <c r="A1272" s="15" t="s">
        <v>4075</v>
      </c>
      <c r="B1272" s="15"/>
      <c r="C1272" s="15"/>
      <c r="D1272" s="15"/>
      <c r="E1272" s="15"/>
      <c r="G1272" s="10" t="n">
        <v>0</v>
      </c>
      <c r="H1272" s="21" t="n">
        <v>46049.663287037</v>
      </c>
      <c r="I1272" s="15" t="s">
        <v>4076</v>
      </c>
      <c r="J1272" s="15" t="s">
        <v>695</v>
      </c>
      <c r="K1272" s="15" t="s">
        <v>4077</v>
      </c>
      <c r="L1272" s="10" t="n">
        <f aca="false">COUNTIF($E$2:E1272,E1272)</f>
        <v>0</v>
      </c>
      <c r="M1272" s="10" t="e">
        <f aca="false">ifs(L1272=1, L1272&amp;"-"&amp; COUNTIFS($L$2:L1272,1))</f>
        <v>#NAME?</v>
      </c>
      <c r="N1272" s="15"/>
      <c r="O1272" s="10" t="s">
        <v>3730</v>
      </c>
      <c r="P1272" s="22" t="e">
        <f aca="false">COUNTIFS(C:C,C1272,N:N,"Đã xác nhận")/COUNTIFS(C:C,C1272)</f>
        <v>#DIV/0!</v>
      </c>
      <c r="Q1272" s="22"/>
      <c r="R1272" s="0" t="e">
        <f aca="false">#VALUE!</f>
        <v>#VALUE!</v>
      </c>
      <c r="S1272" s="0" t="e">
        <f aca="false">#VALUE!</f>
        <v>#VALUE!</v>
      </c>
      <c r="U1272" s="24" t="n">
        <v>0</v>
      </c>
    </row>
    <row r="1273" customFormat="false" ht="12.75" hidden="false" customHeight="false" outlineLevel="0" collapsed="false">
      <c r="A1273" s="15" t="s">
        <v>4078</v>
      </c>
      <c r="B1273" s="15"/>
      <c r="C1273" s="15"/>
      <c r="D1273" s="15"/>
      <c r="E1273" s="15"/>
      <c r="G1273" s="10" t="n">
        <v>0</v>
      </c>
      <c r="H1273" s="21" t="n">
        <v>46049.663287037</v>
      </c>
      <c r="I1273" s="15" t="s">
        <v>4079</v>
      </c>
      <c r="J1273" s="15" t="s">
        <v>695</v>
      </c>
      <c r="K1273" s="15" t="s">
        <v>4074</v>
      </c>
      <c r="L1273" s="10" t="n">
        <f aca="false">COUNTIF($E$2:E1273,E1273)</f>
        <v>0</v>
      </c>
      <c r="M1273" s="10" t="e">
        <f aca="false">ifs(L1273=1, L1273&amp;"-"&amp; COUNTIFS($L$2:L1273,1))</f>
        <v>#NAME?</v>
      </c>
      <c r="N1273" s="15"/>
      <c r="O1273" s="10" t="s">
        <v>3730</v>
      </c>
      <c r="P1273" s="22" t="e">
        <f aca="false">COUNTIFS(C:C,C1273,N:N,"Đã xác nhận")/COUNTIFS(C:C,C1273)</f>
        <v>#DIV/0!</v>
      </c>
      <c r="Q1273" s="22"/>
      <c r="R1273" s="0" t="e">
        <f aca="false">#VALUE!</f>
        <v>#VALUE!</v>
      </c>
      <c r="S1273" s="0" t="e">
        <f aca="false">#VALUE!</f>
        <v>#VALUE!</v>
      </c>
      <c r="U1273" s="24" t="n">
        <v>0</v>
      </c>
    </row>
    <row r="1274" customFormat="false" ht="12.75" hidden="false" customHeight="false" outlineLevel="0" collapsed="false">
      <c r="A1274" s="15" t="s">
        <v>4080</v>
      </c>
      <c r="B1274" s="15"/>
      <c r="C1274" s="15"/>
      <c r="D1274" s="15"/>
      <c r="E1274" s="15"/>
      <c r="G1274" s="10" t="n">
        <v>0</v>
      </c>
      <c r="H1274" s="21" t="n">
        <v>46049.663287037</v>
      </c>
      <c r="I1274" s="15" t="s">
        <v>4081</v>
      </c>
      <c r="J1274" s="15" t="s">
        <v>695</v>
      </c>
      <c r="K1274" s="15" t="s">
        <v>4074</v>
      </c>
      <c r="L1274" s="10" t="n">
        <f aca="false">COUNTIF($E$2:E1274,E1274)</f>
        <v>0</v>
      </c>
      <c r="M1274" s="10" t="e">
        <f aca="false">ifs(L1274=1, L1274&amp;"-"&amp; COUNTIFS($L$2:L1274,1))</f>
        <v>#NAME?</v>
      </c>
      <c r="N1274" s="15"/>
      <c r="O1274" s="10" t="s">
        <v>3730</v>
      </c>
      <c r="P1274" s="22" t="e">
        <f aca="false">COUNTIFS(C:C,C1274,N:N,"Đã xác nhận")/COUNTIFS(C:C,C1274)</f>
        <v>#DIV/0!</v>
      </c>
      <c r="Q1274" s="22"/>
      <c r="R1274" s="0" t="e">
        <f aca="false">#VALUE!</f>
        <v>#VALUE!</v>
      </c>
      <c r="S1274" s="0" t="e">
        <f aca="false">#VALUE!</f>
        <v>#VALUE!</v>
      </c>
      <c r="U1274" s="24" t="n">
        <v>0</v>
      </c>
    </row>
    <row r="1275" customFormat="false" ht="12.75" hidden="false" customHeight="false" outlineLevel="0" collapsed="false">
      <c r="A1275" s="15" t="s">
        <v>4082</v>
      </c>
      <c r="B1275" s="15" t="s">
        <v>2304</v>
      </c>
      <c r="C1275" s="15" t="s">
        <v>4083</v>
      </c>
      <c r="D1275" s="15" t="s">
        <v>3996</v>
      </c>
      <c r="E1275" s="15" t="s">
        <v>55</v>
      </c>
      <c r="G1275" s="10" t="n">
        <v>1</v>
      </c>
      <c r="H1275" s="21" t="n">
        <v>46046.4860069445</v>
      </c>
      <c r="I1275" s="15" t="s">
        <v>4084</v>
      </c>
      <c r="J1275" s="15" t="s">
        <v>4084</v>
      </c>
      <c r="K1275" s="15"/>
      <c r="L1275" s="10" t="n">
        <f aca="false">COUNTIF($E$2:E1275,E1275)</f>
        <v>115</v>
      </c>
      <c r="M1275" s="10" t="e">
        <f aca="false">ifs(L1275=1, L1275&amp;"-"&amp; COUNTIFS($L$2:L1275,1))</f>
        <v>#NAME?</v>
      </c>
      <c r="N1275" s="15" t="s">
        <v>603</v>
      </c>
      <c r="O1275" s="10" t="s">
        <v>3730</v>
      </c>
      <c r="P1275" s="22" t="n">
        <f aca="false">COUNTIFS(C:C,C1275,N:N,"Đã xác nhận")/COUNTIFS(C:C,C1275)</f>
        <v>1</v>
      </c>
      <c r="Q1275" s="22"/>
      <c r="R1275" s="0" t="s">
        <v>3998</v>
      </c>
      <c r="S1275" s="0" t="s">
        <v>539</v>
      </c>
      <c r="U1275" s="24" t="n">
        <v>1</v>
      </c>
    </row>
    <row r="1276" customFormat="false" ht="12.75" hidden="false" customHeight="false" outlineLevel="0" collapsed="false">
      <c r="A1276" s="15" t="s">
        <v>4085</v>
      </c>
      <c r="B1276" s="15" t="s">
        <v>2304</v>
      </c>
      <c r="C1276" s="15" t="s">
        <v>4083</v>
      </c>
      <c r="D1276" s="15" t="s">
        <v>4001</v>
      </c>
      <c r="E1276" s="15" t="s">
        <v>55</v>
      </c>
      <c r="G1276" s="10" t="n">
        <v>1</v>
      </c>
      <c r="H1276" s="21" t="n">
        <v>46046.4860069445</v>
      </c>
      <c r="I1276" s="15" t="s">
        <v>4086</v>
      </c>
      <c r="J1276" s="15" t="s">
        <v>4086</v>
      </c>
      <c r="K1276" s="15"/>
      <c r="L1276" s="10" t="n">
        <f aca="false">COUNTIF($E$2:E1276,E1276)</f>
        <v>116</v>
      </c>
      <c r="M1276" s="10" t="e">
        <f aca="false">ifs(L1276=1, L1276&amp;"-"&amp; COUNTIFS($L$2:L1276,1))</f>
        <v>#NAME?</v>
      </c>
      <c r="N1276" s="15" t="s">
        <v>603</v>
      </c>
      <c r="O1276" s="10" t="s">
        <v>3730</v>
      </c>
      <c r="P1276" s="22" t="n">
        <f aca="false">COUNTIFS(C:C,C1276,N:N,"Đã xác nhận")/COUNTIFS(C:C,C1276)</f>
        <v>1</v>
      </c>
      <c r="Q1276" s="22"/>
      <c r="R1276" s="0" t="s">
        <v>2387</v>
      </c>
      <c r="S1276" s="0" t="s">
        <v>539</v>
      </c>
      <c r="U1276" s="24" t="n">
        <v>1</v>
      </c>
    </row>
    <row r="1277" customFormat="false" ht="12.75" hidden="false" customHeight="false" outlineLevel="0" collapsed="false">
      <c r="A1277" s="15" t="s">
        <v>4087</v>
      </c>
      <c r="B1277" s="15" t="s">
        <v>2304</v>
      </c>
      <c r="C1277" s="15" t="s">
        <v>4083</v>
      </c>
      <c r="D1277" s="15" t="s">
        <v>2536</v>
      </c>
      <c r="E1277" s="15" t="s">
        <v>51</v>
      </c>
      <c r="G1277" s="10" t="n">
        <v>1</v>
      </c>
      <c r="H1277" s="21" t="n">
        <v>46046.4859837963</v>
      </c>
      <c r="I1277" s="15" t="s">
        <v>4088</v>
      </c>
      <c r="J1277" s="15" t="s">
        <v>4088</v>
      </c>
      <c r="K1277" s="15"/>
      <c r="L1277" s="10" t="n">
        <f aca="false">COUNTIF($E$2:E1277,E1277)</f>
        <v>8</v>
      </c>
      <c r="M1277" s="10" t="e">
        <f aca="false">ifs(L1277=1, L1277&amp;"-"&amp; COUNTIFS($L$2:L1277,1))</f>
        <v>#NAME?</v>
      </c>
      <c r="N1277" s="15" t="s">
        <v>603</v>
      </c>
      <c r="O1277" s="10" t="s">
        <v>3730</v>
      </c>
      <c r="P1277" s="22" t="n">
        <f aca="false">COUNTIFS(C:C,C1277,N:N,"Đã xác nhận")/COUNTIFS(C:C,C1277)</f>
        <v>1</v>
      </c>
      <c r="Q1277" s="22"/>
      <c r="R1277" s="0" t="s">
        <v>2538</v>
      </c>
      <c r="S1277" s="0" t="s">
        <v>573</v>
      </c>
      <c r="U1277" s="24" t="n">
        <v>1</v>
      </c>
    </row>
    <row r="1278" customFormat="false" ht="12.75" hidden="false" customHeight="false" outlineLevel="0" collapsed="false">
      <c r="A1278" s="15" t="s">
        <v>4089</v>
      </c>
      <c r="B1278" s="15" t="s">
        <v>2304</v>
      </c>
      <c r="C1278" s="15" t="s">
        <v>4083</v>
      </c>
      <c r="D1278" s="15" t="s">
        <v>2401</v>
      </c>
      <c r="E1278" s="15" t="s">
        <v>89</v>
      </c>
      <c r="G1278" s="10" t="n">
        <v>2</v>
      </c>
      <c r="H1278" s="21" t="n">
        <v>46046.4863888889</v>
      </c>
      <c r="I1278" s="15" t="s">
        <v>4090</v>
      </c>
      <c r="J1278" s="15" t="s">
        <v>4091</v>
      </c>
      <c r="K1278" s="15" t="s">
        <v>4092</v>
      </c>
      <c r="L1278" s="10" t="n">
        <f aca="false">COUNTIF($E$2:E1278,E1278)</f>
        <v>8</v>
      </c>
      <c r="M1278" s="10" t="e">
        <f aca="false">ifs(L1278=1, L1278&amp;"-"&amp; COUNTIFS($L$2:L1278,1))</f>
        <v>#NAME?</v>
      </c>
      <c r="N1278" s="15" t="s">
        <v>603</v>
      </c>
      <c r="O1278" s="10" t="s">
        <v>3730</v>
      </c>
      <c r="P1278" s="22" t="n">
        <f aca="false">COUNTIFS(C:C,C1278,N:N,"Đã xác nhận")/COUNTIFS(C:C,C1278)</f>
        <v>1</v>
      </c>
      <c r="Q1278" s="22"/>
      <c r="R1278" s="0" t="s">
        <v>2403</v>
      </c>
      <c r="S1278" s="0" t="s">
        <v>574</v>
      </c>
      <c r="U1278" s="24" t="n">
        <v>2</v>
      </c>
    </row>
    <row r="1279" customFormat="false" ht="12.75" hidden="false" customHeight="false" outlineLevel="0" collapsed="false">
      <c r="A1279" s="15" t="s">
        <v>4093</v>
      </c>
      <c r="B1279" s="15" t="s">
        <v>2304</v>
      </c>
      <c r="C1279" s="15" t="s">
        <v>4083</v>
      </c>
      <c r="D1279" s="15" t="s">
        <v>2389</v>
      </c>
      <c r="E1279" s="15" t="s">
        <v>23</v>
      </c>
      <c r="G1279" s="10" t="n">
        <v>1</v>
      </c>
      <c r="H1279" s="21" t="n">
        <v>46046.4859606482</v>
      </c>
      <c r="I1279" s="15" t="s">
        <v>4094</v>
      </c>
      <c r="J1279" s="15" t="s">
        <v>4094</v>
      </c>
      <c r="K1279" s="15"/>
      <c r="L1279" s="10" t="n">
        <f aca="false">COUNTIF($E$2:E1279,E1279)</f>
        <v>6</v>
      </c>
      <c r="M1279" s="10" t="e">
        <f aca="false">ifs(L1279=1, L1279&amp;"-"&amp; COUNTIFS($L$2:L1279,1))</f>
        <v>#NAME?</v>
      </c>
      <c r="N1279" s="15" t="s">
        <v>603</v>
      </c>
      <c r="O1279" s="10" t="s">
        <v>3730</v>
      </c>
      <c r="P1279" s="22" t="n">
        <f aca="false">COUNTIFS(C:C,C1279,N:N,"Đã xác nhận")/COUNTIFS(C:C,C1279)</f>
        <v>1</v>
      </c>
      <c r="Q1279" s="22"/>
      <c r="R1279" s="0" t="s">
        <v>2391</v>
      </c>
      <c r="S1279" s="0" t="s">
        <v>575</v>
      </c>
      <c r="U1279" s="24" t="n">
        <v>1</v>
      </c>
    </row>
    <row r="1280" customFormat="false" ht="12.75" hidden="false" customHeight="false" outlineLevel="0" collapsed="false">
      <c r="A1280" s="15" t="s">
        <v>4095</v>
      </c>
      <c r="B1280" s="15"/>
      <c r="C1280" s="15"/>
      <c r="D1280" s="15"/>
      <c r="E1280" s="15"/>
      <c r="G1280" s="10" t="n">
        <v>0</v>
      </c>
      <c r="H1280" s="21" t="n">
        <v>46049.6637152778</v>
      </c>
      <c r="I1280" s="15" t="s">
        <v>4096</v>
      </c>
      <c r="J1280" s="15" t="s">
        <v>695</v>
      </c>
      <c r="K1280" s="15" t="s">
        <v>4097</v>
      </c>
      <c r="L1280" s="10" t="n">
        <f aca="false">COUNTIF($E$2:E1280,E1280)</f>
        <v>0</v>
      </c>
      <c r="M1280" s="10" t="e">
        <f aca="false">ifs(L1280=1, L1280&amp;"-"&amp; COUNTIFS($L$2:L1280,1))</f>
        <v>#NAME?</v>
      </c>
      <c r="N1280" s="15"/>
      <c r="O1280" s="10" t="s">
        <v>3730</v>
      </c>
      <c r="P1280" s="22" t="e">
        <f aca="false">COUNTIFS(C:C,C1280,N:N,"Đã xác nhận")/COUNTIFS(C:C,C1280)</f>
        <v>#DIV/0!</v>
      </c>
      <c r="Q1280" s="22"/>
      <c r="R1280" s="0" t="e">
        <f aca="false">#VALUE!</f>
        <v>#VALUE!</v>
      </c>
      <c r="S1280" s="0" t="e">
        <f aca="false">#VALUE!</f>
        <v>#VALUE!</v>
      </c>
      <c r="U1280" s="24" t="n">
        <v>0</v>
      </c>
    </row>
    <row r="1281" customFormat="false" ht="12.75" hidden="false" customHeight="false" outlineLevel="0" collapsed="false">
      <c r="A1281" s="15" t="s">
        <v>4098</v>
      </c>
      <c r="B1281" s="15"/>
      <c r="C1281" s="15"/>
      <c r="D1281" s="15"/>
      <c r="E1281" s="15"/>
      <c r="G1281" s="10" t="n">
        <v>0</v>
      </c>
      <c r="H1281" s="21" t="n">
        <v>46049.6637152778</v>
      </c>
      <c r="I1281" s="15" t="s">
        <v>4099</v>
      </c>
      <c r="J1281" s="15" t="s">
        <v>695</v>
      </c>
      <c r="K1281" s="15" t="s">
        <v>4100</v>
      </c>
      <c r="L1281" s="10" t="n">
        <f aca="false">COUNTIF($E$2:E1281,E1281)</f>
        <v>0</v>
      </c>
      <c r="M1281" s="10" t="e">
        <f aca="false">ifs(L1281=1, L1281&amp;"-"&amp; COUNTIFS($L$2:L1281,1))</f>
        <v>#NAME?</v>
      </c>
      <c r="N1281" s="15"/>
      <c r="O1281" s="10" t="s">
        <v>3730</v>
      </c>
      <c r="P1281" s="22" t="e">
        <f aca="false">COUNTIFS(C:C,C1281,N:N,"Đã xác nhận")/COUNTIFS(C:C,C1281)</f>
        <v>#DIV/0!</v>
      </c>
      <c r="Q1281" s="22"/>
      <c r="R1281" s="0" t="e">
        <f aca="false">#VALUE!</f>
        <v>#VALUE!</v>
      </c>
      <c r="S1281" s="0" t="e">
        <f aca="false">#VALUE!</f>
        <v>#VALUE!</v>
      </c>
      <c r="U1281" s="24" t="n">
        <v>0</v>
      </c>
    </row>
    <row r="1282" customFormat="false" ht="12.75" hidden="false" customHeight="false" outlineLevel="0" collapsed="false">
      <c r="A1282" s="15" t="s">
        <v>4101</v>
      </c>
      <c r="B1282" s="15"/>
      <c r="C1282" s="15"/>
      <c r="D1282" s="15"/>
      <c r="E1282" s="15"/>
      <c r="G1282" s="10" t="n">
        <v>0</v>
      </c>
      <c r="H1282" s="21" t="n">
        <v>46049.6637152778</v>
      </c>
      <c r="I1282" s="15" t="s">
        <v>4102</v>
      </c>
      <c r="J1282" s="15" t="s">
        <v>695</v>
      </c>
      <c r="K1282" s="15" t="s">
        <v>4097</v>
      </c>
      <c r="L1282" s="10" t="n">
        <f aca="false">COUNTIF($E$2:E1282,E1282)</f>
        <v>0</v>
      </c>
      <c r="M1282" s="10" t="e">
        <f aca="false">ifs(L1282=1, L1282&amp;"-"&amp; COUNTIFS($L$2:L1282,1))</f>
        <v>#NAME?</v>
      </c>
      <c r="N1282" s="15"/>
      <c r="O1282" s="10" t="s">
        <v>3730</v>
      </c>
      <c r="P1282" s="22" t="e">
        <f aca="false">COUNTIFS(C:C,C1282,N:N,"Đã xác nhận")/COUNTIFS(C:C,C1282)</f>
        <v>#DIV/0!</v>
      </c>
      <c r="Q1282" s="22"/>
      <c r="R1282" s="0" t="e">
        <f aca="false">#VALUE!</f>
        <v>#VALUE!</v>
      </c>
      <c r="S1282" s="0" t="e">
        <f aca="false">#VALUE!</f>
        <v>#VALUE!</v>
      </c>
      <c r="U1282" s="24" t="n">
        <v>0</v>
      </c>
    </row>
    <row r="1283" customFormat="false" ht="12.75" hidden="false" customHeight="false" outlineLevel="0" collapsed="false">
      <c r="A1283" s="15" t="s">
        <v>4103</v>
      </c>
      <c r="B1283" s="15"/>
      <c r="C1283" s="15"/>
      <c r="D1283" s="15"/>
      <c r="E1283" s="15"/>
      <c r="G1283" s="10" t="n">
        <v>0</v>
      </c>
      <c r="H1283" s="21" t="n">
        <v>46049.6637152778</v>
      </c>
      <c r="I1283" s="15" t="s">
        <v>4104</v>
      </c>
      <c r="J1283" s="15" t="s">
        <v>695</v>
      </c>
      <c r="K1283" s="15" t="s">
        <v>4105</v>
      </c>
      <c r="L1283" s="10" t="n">
        <f aca="false">COUNTIF($E$2:E1283,E1283)</f>
        <v>0</v>
      </c>
      <c r="M1283" s="10" t="e">
        <f aca="false">ifs(L1283=1, L1283&amp;"-"&amp; COUNTIFS($L$2:L1283,1))</f>
        <v>#NAME?</v>
      </c>
      <c r="N1283" s="15"/>
      <c r="O1283" s="10" t="s">
        <v>3730</v>
      </c>
      <c r="P1283" s="22" t="e">
        <f aca="false">COUNTIFS(C:C,C1283,N:N,"Đã xác nhận")/COUNTIFS(C:C,C1283)</f>
        <v>#DIV/0!</v>
      </c>
      <c r="Q1283" s="22"/>
      <c r="R1283" s="0" t="e">
        <f aca="false">#VALUE!</f>
        <v>#VALUE!</v>
      </c>
      <c r="S1283" s="0" t="e">
        <f aca="false">#VALUE!</f>
        <v>#VALUE!</v>
      </c>
      <c r="U1283" s="24" t="n">
        <v>0</v>
      </c>
    </row>
    <row r="1284" customFormat="false" ht="12.75" hidden="false" customHeight="false" outlineLevel="0" collapsed="false">
      <c r="A1284" s="15" t="s">
        <v>4106</v>
      </c>
      <c r="B1284" s="15" t="s">
        <v>2304</v>
      </c>
      <c r="C1284" s="15" t="s">
        <v>4107</v>
      </c>
      <c r="D1284" s="15" t="s">
        <v>3996</v>
      </c>
      <c r="E1284" s="15" t="s">
        <v>55</v>
      </c>
      <c r="G1284" s="10" t="n">
        <v>1</v>
      </c>
      <c r="H1284" s="21" t="n">
        <v>46046.4935069445</v>
      </c>
      <c r="I1284" s="15" t="s">
        <v>4108</v>
      </c>
      <c r="J1284" s="15" t="s">
        <v>4108</v>
      </c>
      <c r="K1284" s="15"/>
      <c r="L1284" s="10" t="n">
        <f aca="false">COUNTIF($E$2:E1284,E1284)</f>
        <v>117</v>
      </c>
      <c r="M1284" s="10" t="e">
        <f aca="false">ifs(L1284=1, L1284&amp;"-"&amp; COUNTIFS($L$2:L1284,1))</f>
        <v>#NAME?</v>
      </c>
      <c r="N1284" s="15" t="s">
        <v>603</v>
      </c>
      <c r="O1284" s="10" t="s">
        <v>3730</v>
      </c>
      <c r="P1284" s="22" t="n">
        <f aca="false">COUNTIFS(C:C,C1284,N:N,"Đã xác nhận")/COUNTIFS(C:C,C1284)</f>
        <v>1</v>
      </c>
      <c r="Q1284" s="22"/>
      <c r="R1284" s="0" t="s">
        <v>3998</v>
      </c>
      <c r="S1284" s="0" t="s">
        <v>539</v>
      </c>
      <c r="U1284" s="24" t="n">
        <v>1</v>
      </c>
    </row>
    <row r="1285" customFormat="false" ht="12.75" hidden="false" customHeight="false" outlineLevel="0" collapsed="false">
      <c r="A1285" s="15" t="s">
        <v>4109</v>
      </c>
      <c r="B1285" s="15" t="s">
        <v>2304</v>
      </c>
      <c r="C1285" s="15" t="s">
        <v>4107</v>
      </c>
      <c r="D1285" s="15" t="s">
        <v>4001</v>
      </c>
      <c r="E1285" s="15" t="s">
        <v>55</v>
      </c>
      <c r="G1285" s="10" t="n">
        <v>1</v>
      </c>
      <c r="H1285" s="21" t="n">
        <v>46046.4935069445</v>
      </c>
      <c r="I1285" s="15" t="s">
        <v>4110</v>
      </c>
      <c r="J1285" s="15" t="s">
        <v>4110</v>
      </c>
      <c r="K1285" s="15"/>
      <c r="L1285" s="10" t="n">
        <f aca="false">COUNTIF($E$2:E1285,E1285)</f>
        <v>118</v>
      </c>
      <c r="M1285" s="10" t="e">
        <f aca="false">ifs(L1285=1, L1285&amp;"-"&amp; COUNTIFS($L$2:L1285,1))</f>
        <v>#NAME?</v>
      </c>
      <c r="N1285" s="15" t="s">
        <v>603</v>
      </c>
      <c r="O1285" s="10" t="s">
        <v>3730</v>
      </c>
      <c r="P1285" s="22" t="n">
        <f aca="false">COUNTIFS(C:C,C1285,N:N,"Đã xác nhận")/COUNTIFS(C:C,C1285)</f>
        <v>1</v>
      </c>
      <c r="Q1285" s="22"/>
      <c r="R1285" s="0" t="s">
        <v>2387</v>
      </c>
      <c r="S1285" s="0" t="s">
        <v>539</v>
      </c>
      <c r="U1285" s="24" t="n">
        <v>1</v>
      </c>
    </row>
    <row r="1286" customFormat="false" ht="12.75" hidden="false" customHeight="false" outlineLevel="0" collapsed="false">
      <c r="A1286" s="15" t="s">
        <v>4111</v>
      </c>
      <c r="B1286" s="15" t="s">
        <v>2304</v>
      </c>
      <c r="C1286" s="15" t="s">
        <v>4107</v>
      </c>
      <c r="D1286" s="15" t="s">
        <v>2401</v>
      </c>
      <c r="E1286" s="15" t="s">
        <v>89</v>
      </c>
      <c r="G1286" s="10" t="n">
        <v>2</v>
      </c>
      <c r="H1286" s="21" t="n">
        <v>46046.4935416667</v>
      </c>
      <c r="I1286" s="15" t="s">
        <v>4112</v>
      </c>
      <c r="J1286" s="15" t="s">
        <v>4112</v>
      </c>
      <c r="K1286" s="15"/>
      <c r="L1286" s="10" t="n">
        <f aca="false">COUNTIF($E$2:E1286,E1286)</f>
        <v>9</v>
      </c>
      <c r="M1286" s="10" t="e">
        <f aca="false">ifs(L1286=1, L1286&amp;"-"&amp; COUNTIFS($L$2:L1286,1))</f>
        <v>#NAME?</v>
      </c>
      <c r="N1286" s="15" t="s">
        <v>603</v>
      </c>
      <c r="O1286" s="10" t="s">
        <v>3730</v>
      </c>
      <c r="P1286" s="22" t="n">
        <f aca="false">COUNTIFS(C:C,C1286,N:N,"Đã xác nhận")/COUNTIFS(C:C,C1286)</f>
        <v>1</v>
      </c>
      <c r="Q1286" s="22"/>
      <c r="R1286" s="0" t="s">
        <v>2403</v>
      </c>
      <c r="S1286" s="0" t="s">
        <v>574</v>
      </c>
      <c r="U1286" s="24" t="n">
        <v>2</v>
      </c>
    </row>
    <row r="1287" customFormat="false" ht="12.75" hidden="false" customHeight="false" outlineLevel="0" collapsed="false">
      <c r="A1287" s="15" t="s">
        <v>4113</v>
      </c>
      <c r="B1287" s="15" t="s">
        <v>2304</v>
      </c>
      <c r="C1287" s="15" t="s">
        <v>4107</v>
      </c>
      <c r="D1287" s="15" t="s">
        <v>2536</v>
      </c>
      <c r="E1287" s="15" t="s">
        <v>51</v>
      </c>
      <c r="G1287" s="10" t="n">
        <v>1</v>
      </c>
      <c r="H1287" s="21" t="n">
        <v>46046.4934837963</v>
      </c>
      <c r="I1287" s="15" t="s">
        <v>4114</v>
      </c>
      <c r="J1287" s="15" t="s">
        <v>4114</v>
      </c>
      <c r="K1287" s="15"/>
      <c r="L1287" s="10" t="n">
        <f aca="false">COUNTIF($E$2:E1287,E1287)</f>
        <v>9</v>
      </c>
      <c r="M1287" s="10" t="e">
        <f aca="false">ifs(L1287=1, L1287&amp;"-"&amp; COUNTIFS($L$2:L1287,1))</f>
        <v>#NAME?</v>
      </c>
      <c r="N1287" s="15" t="s">
        <v>603</v>
      </c>
      <c r="O1287" s="10" t="s">
        <v>3730</v>
      </c>
      <c r="P1287" s="22" t="n">
        <f aca="false">COUNTIFS(C:C,C1287,N:N,"Đã xác nhận")/COUNTIFS(C:C,C1287)</f>
        <v>1</v>
      </c>
      <c r="Q1287" s="22"/>
      <c r="R1287" s="0" t="s">
        <v>2538</v>
      </c>
      <c r="S1287" s="0" t="s">
        <v>573</v>
      </c>
      <c r="U1287" s="24" t="n">
        <v>1</v>
      </c>
    </row>
    <row r="1288" customFormat="false" ht="12.75" hidden="false" customHeight="false" outlineLevel="0" collapsed="false">
      <c r="A1288" s="15" t="s">
        <v>4115</v>
      </c>
      <c r="B1288" s="15" t="s">
        <v>2304</v>
      </c>
      <c r="C1288" s="15" t="s">
        <v>4107</v>
      </c>
      <c r="D1288" s="15" t="s">
        <v>2389</v>
      </c>
      <c r="E1288" s="15" t="s">
        <v>23</v>
      </c>
      <c r="G1288" s="10" t="n">
        <v>1</v>
      </c>
      <c r="H1288" s="21" t="n">
        <v>46046.4934375</v>
      </c>
      <c r="I1288" s="15" t="s">
        <v>4116</v>
      </c>
      <c r="J1288" s="15" t="s">
        <v>4116</v>
      </c>
      <c r="K1288" s="15"/>
      <c r="L1288" s="10" t="n">
        <f aca="false">COUNTIF($E$2:E1288,E1288)</f>
        <v>7</v>
      </c>
      <c r="M1288" s="10" t="e">
        <f aca="false">ifs(L1288=1, L1288&amp;"-"&amp; COUNTIFS($L$2:L1288,1))</f>
        <v>#NAME?</v>
      </c>
      <c r="N1288" s="15" t="s">
        <v>603</v>
      </c>
      <c r="O1288" s="10" t="s">
        <v>3730</v>
      </c>
      <c r="P1288" s="22" t="n">
        <f aca="false">COUNTIFS(C:C,C1288,N:N,"Đã xác nhận")/COUNTIFS(C:C,C1288)</f>
        <v>1</v>
      </c>
      <c r="Q1288" s="22"/>
      <c r="R1288" s="0" t="s">
        <v>2391</v>
      </c>
      <c r="S1288" s="0" t="s">
        <v>575</v>
      </c>
      <c r="U1288" s="24" t="n">
        <v>1</v>
      </c>
    </row>
    <row r="1289" customFormat="false" ht="12.75" hidden="false" customHeight="false" outlineLevel="0" collapsed="false">
      <c r="A1289" s="15" t="s">
        <v>4117</v>
      </c>
      <c r="B1289" s="15"/>
      <c r="C1289" s="15"/>
      <c r="D1289" s="15"/>
      <c r="E1289" s="15"/>
      <c r="G1289" s="10" t="n">
        <v>0</v>
      </c>
      <c r="H1289" s="21" t="n">
        <v>46049.6625810185</v>
      </c>
      <c r="I1289" s="15" t="s">
        <v>4118</v>
      </c>
      <c r="J1289" s="15" t="s">
        <v>695</v>
      </c>
      <c r="K1289" s="15" t="s">
        <v>4119</v>
      </c>
      <c r="L1289" s="10" t="n">
        <f aca="false">COUNTIF($E$2:E1289,E1289)</f>
        <v>0</v>
      </c>
      <c r="M1289" s="10" t="e">
        <f aca="false">ifs(L1289=1, L1289&amp;"-"&amp; COUNTIFS($L$2:L1289,1))</f>
        <v>#NAME?</v>
      </c>
      <c r="N1289" s="15"/>
      <c r="O1289" s="10" t="s">
        <v>3730</v>
      </c>
      <c r="P1289" s="22" t="e">
        <f aca="false">COUNTIFS(C:C,C1289,N:N,"Đã xác nhận")/COUNTIFS(C:C,C1289)</f>
        <v>#DIV/0!</v>
      </c>
      <c r="Q1289" s="22"/>
      <c r="R1289" s="0" t="e">
        <f aca="false">#VALUE!</f>
        <v>#VALUE!</v>
      </c>
      <c r="S1289" s="0" t="e">
        <f aca="false">#VALUE!</f>
        <v>#VALUE!</v>
      </c>
      <c r="U1289" s="24" t="n">
        <v>0</v>
      </c>
    </row>
    <row r="1290" customFormat="false" ht="12.75" hidden="false" customHeight="false" outlineLevel="0" collapsed="false">
      <c r="A1290" s="15" t="s">
        <v>4120</v>
      </c>
      <c r="B1290" s="15"/>
      <c r="C1290" s="15"/>
      <c r="D1290" s="15"/>
      <c r="E1290" s="15"/>
      <c r="G1290" s="10" t="n">
        <v>0</v>
      </c>
      <c r="H1290" s="21" t="n">
        <v>46049.6625810185</v>
      </c>
      <c r="I1290" s="15" t="s">
        <v>4121</v>
      </c>
      <c r="J1290" s="15" t="s">
        <v>695</v>
      </c>
      <c r="K1290" s="15" t="s">
        <v>4122</v>
      </c>
      <c r="L1290" s="10" t="n">
        <f aca="false">COUNTIF($E$2:E1290,E1290)</f>
        <v>0</v>
      </c>
      <c r="M1290" s="10" t="e">
        <f aca="false">ifs(L1290=1, L1290&amp;"-"&amp; COUNTIFS($L$2:L1290,1))</f>
        <v>#NAME?</v>
      </c>
      <c r="N1290" s="15"/>
      <c r="O1290" s="10" t="s">
        <v>3730</v>
      </c>
      <c r="P1290" s="22" t="e">
        <f aca="false">COUNTIFS(C:C,C1290,N:N,"Đã xác nhận")/COUNTIFS(C:C,C1290)</f>
        <v>#DIV/0!</v>
      </c>
      <c r="Q1290" s="22"/>
      <c r="R1290" s="0" t="e">
        <f aca="false">#VALUE!</f>
        <v>#VALUE!</v>
      </c>
      <c r="S1290" s="0" t="e">
        <f aca="false">#VALUE!</f>
        <v>#VALUE!</v>
      </c>
      <c r="U1290" s="24" t="n">
        <v>0</v>
      </c>
    </row>
    <row r="1291" customFormat="false" ht="12.75" hidden="false" customHeight="false" outlineLevel="0" collapsed="false">
      <c r="A1291" s="15" t="s">
        <v>4123</v>
      </c>
      <c r="B1291" s="15"/>
      <c r="C1291" s="15"/>
      <c r="D1291" s="15"/>
      <c r="E1291" s="15"/>
      <c r="G1291" s="10" t="n">
        <v>0</v>
      </c>
      <c r="H1291" s="21" t="n">
        <v>46049.6624652778</v>
      </c>
      <c r="I1291" s="15" t="s">
        <v>4124</v>
      </c>
      <c r="J1291" s="15" t="s">
        <v>695</v>
      </c>
      <c r="K1291" s="15" t="s">
        <v>4125</v>
      </c>
      <c r="L1291" s="10" t="n">
        <f aca="false">COUNTIF($E$2:E1291,E1291)</f>
        <v>0</v>
      </c>
      <c r="M1291" s="10" t="e">
        <f aca="false">ifs(L1291=1, L1291&amp;"-"&amp; COUNTIFS($L$2:L1291,1))</f>
        <v>#NAME?</v>
      </c>
      <c r="N1291" s="15"/>
      <c r="O1291" s="10" t="s">
        <v>3730</v>
      </c>
      <c r="P1291" s="22" t="e">
        <f aca="false">COUNTIFS(C:C,C1291,N:N,"Đã xác nhận")/COUNTIFS(C:C,C1291)</f>
        <v>#DIV/0!</v>
      </c>
      <c r="Q1291" s="22"/>
      <c r="R1291" s="0" t="e">
        <f aca="false">#VALUE!</f>
        <v>#VALUE!</v>
      </c>
      <c r="S1291" s="0" t="e">
        <f aca="false">#VALUE!</f>
        <v>#VALUE!</v>
      </c>
      <c r="U1291" s="24" t="n">
        <v>0</v>
      </c>
    </row>
    <row r="1292" customFormat="false" ht="12.75" hidden="false" customHeight="false" outlineLevel="0" collapsed="false">
      <c r="A1292" s="15" t="s">
        <v>4126</v>
      </c>
      <c r="B1292" s="15"/>
      <c r="C1292" s="15"/>
      <c r="D1292" s="15"/>
      <c r="E1292" s="15"/>
      <c r="G1292" s="10" t="n">
        <v>0</v>
      </c>
      <c r="H1292" s="21" t="n">
        <v>46049.6625</v>
      </c>
      <c r="I1292" s="15" t="s">
        <v>4127</v>
      </c>
      <c r="J1292" s="15" t="s">
        <v>695</v>
      </c>
      <c r="K1292" s="15" t="s">
        <v>4128</v>
      </c>
      <c r="L1292" s="10" t="n">
        <f aca="false">COUNTIF($E$2:E1292,E1292)</f>
        <v>0</v>
      </c>
      <c r="M1292" s="10" t="e">
        <f aca="false">ifs(L1292=1, L1292&amp;"-"&amp; COUNTIFS($L$2:L1292,1))</f>
        <v>#NAME?</v>
      </c>
      <c r="N1292" s="15"/>
      <c r="O1292" s="10" t="s">
        <v>3730</v>
      </c>
      <c r="P1292" s="22" t="e">
        <f aca="false">COUNTIFS(C:C,C1292,N:N,"Đã xác nhận")/COUNTIFS(C:C,C1292)</f>
        <v>#DIV/0!</v>
      </c>
      <c r="Q1292" s="22"/>
      <c r="R1292" s="0" t="e">
        <f aca="false">#VALUE!</f>
        <v>#VALUE!</v>
      </c>
      <c r="S1292" s="0" t="e">
        <f aca="false">#VALUE!</f>
        <v>#VALUE!</v>
      </c>
      <c r="U1292" s="24" t="n">
        <v>0</v>
      </c>
    </row>
    <row r="1293" customFormat="false" ht="12.75" hidden="false" customHeight="false" outlineLevel="0" collapsed="false">
      <c r="A1293" s="15" t="s">
        <v>4129</v>
      </c>
      <c r="B1293" s="15" t="s">
        <v>1103</v>
      </c>
      <c r="C1293" s="15" t="s">
        <v>1267</v>
      </c>
      <c r="D1293" s="15" t="s">
        <v>3452</v>
      </c>
      <c r="E1293" s="15" t="s">
        <v>57</v>
      </c>
      <c r="G1293" s="10" t="n">
        <v>1</v>
      </c>
      <c r="H1293" s="21" t="n">
        <v>46046.6036226852</v>
      </c>
      <c r="I1293" s="15" t="s">
        <v>4130</v>
      </c>
      <c r="J1293" s="15" t="s">
        <v>4130</v>
      </c>
      <c r="K1293" s="15"/>
      <c r="L1293" s="10" t="n">
        <f aca="false">COUNTIF($E$2:E1293,E1293)</f>
        <v>5</v>
      </c>
      <c r="M1293" s="10" t="e">
        <f aca="false">ifs(L1293=1, L1293&amp;"-"&amp; COUNTIFS($L$2:L1293,1))</f>
        <v>#NAME?</v>
      </c>
      <c r="N1293" s="15" t="s">
        <v>603</v>
      </c>
      <c r="O1293" s="10" t="s">
        <v>3730</v>
      </c>
      <c r="P1293" s="22" t="n">
        <f aca="false">COUNTIFS(C:C,C1293,N:N,"Đã xác nhận")/COUNTIFS(C:C,C1293)</f>
        <v>0.0625</v>
      </c>
      <c r="Q1293" s="22"/>
      <c r="R1293" s="0" t="s">
        <v>3454</v>
      </c>
      <c r="S1293" s="0" t="s">
        <v>553</v>
      </c>
      <c r="U1293" s="24" t="n">
        <v>1</v>
      </c>
    </row>
    <row r="1294" customFormat="false" ht="12.75" hidden="false" customHeight="false" outlineLevel="0" collapsed="false">
      <c r="A1294" s="15" t="s">
        <v>4131</v>
      </c>
      <c r="B1294" s="15" t="s">
        <v>1103</v>
      </c>
      <c r="C1294" s="15" t="s">
        <v>1543</v>
      </c>
      <c r="D1294" s="15" t="s">
        <v>4132</v>
      </c>
      <c r="E1294" s="15" t="s">
        <v>57</v>
      </c>
      <c r="G1294" s="10" t="n">
        <v>1</v>
      </c>
      <c r="H1294" s="21" t="n">
        <v>46046.6056365741</v>
      </c>
      <c r="I1294" s="15" t="s">
        <v>4133</v>
      </c>
      <c r="J1294" s="15" t="s">
        <v>4133</v>
      </c>
      <c r="K1294" s="15"/>
      <c r="L1294" s="10" t="n">
        <f aca="false">COUNTIF($E$2:E1294,E1294)</f>
        <v>6</v>
      </c>
      <c r="M1294" s="10" t="e">
        <f aca="false">ifs(L1294=1, L1294&amp;"-"&amp; COUNTIFS($L$2:L1294,1))</f>
        <v>#NAME?</v>
      </c>
      <c r="N1294" s="15" t="s">
        <v>603</v>
      </c>
      <c r="O1294" s="10" t="s">
        <v>3730</v>
      </c>
      <c r="P1294" s="22" t="n">
        <f aca="false">COUNTIFS(C:C,C1294,N:N,"Đã xác nhận")/COUNTIFS(C:C,C1294)</f>
        <v>0.0555555555555556</v>
      </c>
      <c r="Q1294" s="22"/>
      <c r="R1294" s="0" t="s">
        <v>4134</v>
      </c>
      <c r="S1294" s="0" t="s">
        <v>553</v>
      </c>
      <c r="U1294" s="24" t="n">
        <v>1</v>
      </c>
    </row>
    <row r="1295" customFormat="false" ht="12.75" hidden="false" customHeight="false" outlineLevel="0" collapsed="false">
      <c r="A1295" s="15" t="s">
        <v>4135</v>
      </c>
      <c r="B1295" s="15" t="s">
        <v>1103</v>
      </c>
      <c r="C1295" s="15" t="s">
        <v>455</v>
      </c>
      <c r="D1295" s="15" t="s">
        <v>4136</v>
      </c>
      <c r="E1295" s="15" t="s">
        <v>57</v>
      </c>
      <c r="G1295" s="10" t="n">
        <v>1</v>
      </c>
      <c r="H1295" s="21" t="n">
        <v>46046.6075347222</v>
      </c>
      <c r="I1295" s="15" t="s">
        <v>4137</v>
      </c>
      <c r="J1295" s="15" t="s">
        <v>4137</v>
      </c>
      <c r="K1295" s="15"/>
      <c r="L1295" s="10" t="n">
        <f aca="false">COUNTIF($E$2:E1295,E1295)</f>
        <v>7</v>
      </c>
      <c r="M1295" s="10" t="e">
        <f aca="false">ifs(L1295=1, L1295&amp;"-"&amp; COUNTIFS($L$2:L1295,1))</f>
        <v>#NAME?</v>
      </c>
      <c r="N1295" s="15" t="s">
        <v>603</v>
      </c>
      <c r="O1295" s="10" t="s">
        <v>3730</v>
      </c>
      <c r="P1295" s="22" t="n">
        <f aca="false">COUNTIFS(C:C,C1295,N:N,"Đã xác nhận")/COUNTIFS(C:C,C1295)</f>
        <v>1</v>
      </c>
      <c r="Q1295" s="22"/>
      <c r="R1295" s="0" t="s">
        <v>4138</v>
      </c>
      <c r="S1295" s="0" t="s">
        <v>553</v>
      </c>
      <c r="U1295" s="24" t="n">
        <v>1</v>
      </c>
    </row>
    <row r="1296" customFormat="false" ht="12.75" hidden="false" customHeight="false" outlineLevel="0" collapsed="false">
      <c r="A1296" s="15" t="s">
        <v>4139</v>
      </c>
      <c r="B1296" s="15" t="s">
        <v>1103</v>
      </c>
      <c r="C1296" s="15" t="s">
        <v>514</v>
      </c>
      <c r="D1296" s="15" t="s">
        <v>4140</v>
      </c>
      <c r="E1296" s="15" t="s">
        <v>55</v>
      </c>
      <c r="G1296" s="10" t="n">
        <v>1</v>
      </c>
      <c r="H1296" s="21" t="n">
        <v>46046.6099305556</v>
      </c>
      <c r="I1296" s="15" t="s">
        <v>4141</v>
      </c>
      <c r="J1296" s="15" t="s">
        <v>4142</v>
      </c>
      <c r="K1296" s="15" t="s">
        <v>4143</v>
      </c>
      <c r="L1296" s="10" t="n">
        <f aca="false">COUNTIF($E$2:E1296,E1296)</f>
        <v>119</v>
      </c>
      <c r="M1296" s="10" t="e">
        <f aca="false">ifs(L1296=1, L1296&amp;"-"&amp; COUNTIFS($L$2:L1296,1))</f>
        <v>#NAME?</v>
      </c>
      <c r="N1296" s="15"/>
      <c r="O1296" s="10" t="s">
        <v>3730</v>
      </c>
      <c r="P1296" s="22" t="n">
        <f aca="false">COUNTIFS(C:C,C1296,N:N,"Đã xác nhận")/COUNTIFS(C:C,C1296)</f>
        <v>0.0588235294117647</v>
      </c>
      <c r="Q1296" s="22"/>
      <c r="R1296" s="0" t="s">
        <v>4144</v>
      </c>
      <c r="S1296" s="0" t="s">
        <v>539</v>
      </c>
      <c r="U1296" s="24" t="n">
        <v>1</v>
      </c>
    </row>
    <row r="1297" customFormat="false" ht="12.75" hidden="false" customHeight="false" outlineLevel="0" collapsed="false">
      <c r="A1297" s="15" t="s">
        <v>4145</v>
      </c>
      <c r="B1297" s="15" t="s">
        <v>1103</v>
      </c>
      <c r="C1297" s="15" t="s">
        <v>514</v>
      </c>
      <c r="D1297" s="15" t="s">
        <v>4146</v>
      </c>
      <c r="E1297" s="15" t="s">
        <v>57</v>
      </c>
      <c r="G1297" s="10" t="n">
        <v>1</v>
      </c>
      <c r="H1297" s="21" t="n">
        <v>46046.6109490741</v>
      </c>
      <c r="I1297" s="15" t="s">
        <v>4147</v>
      </c>
      <c r="J1297" s="15" t="s">
        <v>4147</v>
      </c>
      <c r="K1297" s="15"/>
      <c r="L1297" s="10" t="n">
        <f aca="false">COUNTIF($E$2:E1297,E1297)</f>
        <v>8</v>
      </c>
      <c r="M1297" s="10" t="e">
        <f aca="false">ifs(L1297=1, L1297&amp;"-"&amp; COUNTIFS($L$2:L1297,1))</f>
        <v>#NAME?</v>
      </c>
      <c r="N1297" s="15" t="s">
        <v>603</v>
      </c>
      <c r="O1297" s="10" t="s">
        <v>3730</v>
      </c>
      <c r="P1297" s="22" t="n">
        <f aca="false">COUNTIFS(C:C,C1297,N:N,"Đã xác nhận")/COUNTIFS(C:C,C1297)</f>
        <v>0.0588235294117647</v>
      </c>
      <c r="Q1297" s="22"/>
      <c r="R1297" s="0" t="s">
        <v>4148</v>
      </c>
      <c r="S1297" s="0" t="s">
        <v>553</v>
      </c>
      <c r="U1297" s="24" t="n">
        <v>1</v>
      </c>
    </row>
    <row r="1298" customFormat="false" ht="12.75" hidden="false" customHeight="false" outlineLevel="0" collapsed="false">
      <c r="A1298" s="15" t="s">
        <v>4149</v>
      </c>
      <c r="B1298" s="15" t="s">
        <v>1103</v>
      </c>
      <c r="C1298" s="15" t="s">
        <v>514</v>
      </c>
      <c r="D1298" s="15" t="s">
        <v>4150</v>
      </c>
      <c r="E1298" s="15" t="s">
        <v>55</v>
      </c>
      <c r="G1298" s="10" t="n">
        <v>1</v>
      </c>
      <c r="H1298" s="21" t="n">
        <v>46046.6112268519</v>
      </c>
      <c r="I1298" s="15" t="s">
        <v>1566</v>
      </c>
      <c r="J1298" s="15" t="s">
        <v>4151</v>
      </c>
      <c r="K1298" s="15" t="s">
        <v>4152</v>
      </c>
      <c r="L1298" s="10" t="n">
        <f aca="false">COUNTIF($E$2:E1298,E1298)</f>
        <v>120</v>
      </c>
      <c r="M1298" s="10" t="e">
        <f aca="false">ifs(L1298=1, L1298&amp;"-"&amp; COUNTIFS($L$2:L1298,1))</f>
        <v>#NAME?</v>
      </c>
      <c r="N1298" s="15"/>
      <c r="O1298" s="10" t="s">
        <v>3730</v>
      </c>
      <c r="P1298" s="22" t="n">
        <f aca="false">COUNTIFS(C:C,C1298,N:N,"Đã xác nhận")/COUNTIFS(C:C,C1298)</f>
        <v>0.0588235294117647</v>
      </c>
      <c r="Q1298" s="22"/>
      <c r="R1298" s="0" t="s">
        <v>4153</v>
      </c>
      <c r="S1298" s="0" t="s">
        <v>539</v>
      </c>
      <c r="U1298" s="24" t="n">
        <v>1</v>
      </c>
    </row>
    <row r="1299" customFormat="false" ht="12.75" hidden="false" customHeight="false" outlineLevel="0" collapsed="false">
      <c r="A1299" s="15" t="s">
        <v>4154</v>
      </c>
      <c r="B1299" s="15" t="s">
        <v>1103</v>
      </c>
      <c r="C1299" s="15" t="s">
        <v>514</v>
      </c>
      <c r="D1299" s="15" t="s">
        <v>4155</v>
      </c>
      <c r="E1299" s="15" t="s">
        <v>55</v>
      </c>
      <c r="G1299" s="10" t="n">
        <v>1</v>
      </c>
      <c r="H1299" s="21" t="n">
        <v>46046.6114930556</v>
      </c>
      <c r="I1299" s="15" t="s">
        <v>1566</v>
      </c>
      <c r="J1299" s="15" t="s">
        <v>4156</v>
      </c>
      <c r="K1299" s="15" t="s">
        <v>4157</v>
      </c>
      <c r="L1299" s="10" t="n">
        <f aca="false">COUNTIF($E$2:E1299,E1299)</f>
        <v>121</v>
      </c>
      <c r="M1299" s="10" t="e">
        <f aca="false">ifs(L1299=1, L1299&amp;"-"&amp; COUNTIFS($L$2:L1299,1))</f>
        <v>#NAME?</v>
      </c>
      <c r="N1299" s="15"/>
      <c r="O1299" s="10" t="s">
        <v>3730</v>
      </c>
      <c r="P1299" s="22" t="n">
        <f aca="false">COUNTIFS(C:C,C1299,N:N,"Đã xác nhận")/COUNTIFS(C:C,C1299)</f>
        <v>0.0588235294117647</v>
      </c>
      <c r="Q1299" s="22"/>
      <c r="R1299" s="0" t="s">
        <v>4158</v>
      </c>
      <c r="S1299" s="0" t="s">
        <v>539</v>
      </c>
      <c r="U1299" s="24" t="n">
        <v>1</v>
      </c>
    </row>
    <row r="1300" customFormat="false" ht="12.75" hidden="false" customHeight="false" outlineLevel="0" collapsed="false">
      <c r="A1300" s="15" t="s">
        <v>4159</v>
      </c>
      <c r="B1300" s="15" t="s">
        <v>1103</v>
      </c>
      <c r="C1300" s="15" t="s">
        <v>514</v>
      </c>
      <c r="D1300" s="15" t="s">
        <v>4160</v>
      </c>
      <c r="E1300" s="15" t="s">
        <v>49</v>
      </c>
      <c r="G1300" s="10" t="n">
        <v>1</v>
      </c>
      <c r="H1300" s="21" t="n">
        <v>46048.6671875</v>
      </c>
      <c r="I1300" s="15" t="s">
        <v>4161</v>
      </c>
      <c r="J1300" s="15" t="s">
        <v>4162</v>
      </c>
      <c r="K1300" s="15" t="s">
        <v>4163</v>
      </c>
      <c r="L1300" s="10" t="n">
        <f aca="false">COUNTIF($E$2:E1300,E1300)</f>
        <v>20</v>
      </c>
      <c r="M1300" s="10" t="e">
        <f aca="false">ifs(L1300=1, L1300&amp;"-"&amp; COUNTIFS($L$2:L1300,1))</f>
        <v>#NAME?</v>
      </c>
      <c r="N1300" s="15"/>
      <c r="O1300" s="10" t="s">
        <v>3730</v>
      </c>
      <c r="P1300" s="22" t="n">
        <f aca="false">COUNTIFS(C:C,C1300,N:N,"Đã xác nhận")/COUNTIFS(C:C,C1300)</f>
        <v>0.0588235294117647</v>
      </c>
      <c r="Q1300" s="22"/>
      <c r="R1300" s="0" t="s">
        <v>4164</v>
      </c>
      <c r="S1300" s="0" t="s">
        <v>537</v>
      </c>
      <c r="U1300" s="24" t="n">
        <v>1</v>
      </c>
    </row>
    <row r="1301" customFormat="false" ht="12.75" hidden="false" customHeight="false" outlineLevel="0" collapsed="false">
      <c r="A1301" s="15" t="s">
        <v>4165</v>
      </c>
      <c r="B1301" s="15" t="s">
        <v>1103</v>
      </c>
      <c r="C1301" s="15" t="s">
        <v>514</v>
      </c>
      <c r="D1301" s="15" t="s">
        <v>1150</v>
      </c>
      <c r="E1301" s="15" t="s">
        <v>47</v>
      </c>
      <c r="G1301" s="10" t="n">
        <v>1</v>
      </c>
      <c r="H1301" s="21" t="n">
        <v>46046.6124305556</v>
      </c>
      <c r="I1301" s="15" t="s">
        <v>1566</v>
      </c>
      <c r="J1301" s="15" t="s">
        <v>4166</v>
      </c>
      <c r="K1301" s="15" t="s">
        <v>4167</v>
      </c>
      <c r="L1301" s="10" t="n">
        <f aca="false">COUNTIF($E$2:E1301,E1301)</f>
        <v>69</v>
      </c>
      <c r="M1301" s="10" t="e">
        <f aca="false">ifs(L1301=1, L1301&amp;"-"&amp; COUNTIFS($L$2:L1301,1))</f>
        <v>#NAME?</v>
      </c>
      <c r="N1301" s="15"/>
      <c r="O1301" s="10" t="s">
        <v>3730</v>
      </c>
      <c r="P1301" s="22" t="n">
        <f aca="false">COUNTIFS(C:C,C1301,N:N,"Đã xác nhận")/COUNTIFS(C:C,C1301)</f>
        <v>0.0588235294117647</v>
      </c>
      <c r="Q1301" s="22"/>
      <c r="R1301" s="0" t="s">
        <v>1152</v>
      </c>
      <c r="S1301" s="0" t="s">
        <v>549</v>
      </c>
      <c r="U1301" s="24" t="n">
        <v>1</v>
      </c>
    </row>
    <row r="1302" customFormat="false" ht="12.75" hidden="false" customHeight="false" outlineLevel="0" collapsed="false">
      <c r="A1302" s="15" t="s">
        <v>4168</v>
      </c>
      <c r="B1302" s="15" t="s">
        <v>1103</v>
      </c>
      <c r="C1302" s="15" t="s">
        <v>514</v>
      </c>
      <c r="D1302" s="15" t="s">
        <v>4169</v>
      </c>
      <c r="E1302" s="15" t="s">
        <v>81</v>
      </c>
      <c r="G1302" s="10" t="n">
        <v>1</v>
      </c>
      <c r="H1302" s="21" t="n">
        <v>46046.6127314815</v>
      </c>
      <c r="I1302" s="15" t="s">
        <v>1566</v>
      </c>
      <c r="J1302" s="15" t="s">
        <v>4170</v>
      </c>
      <c r="K1302" s="15" t="s">
        <v>4171</v>
      </c>
      <c r="L1302" s="10" t="n">
        <f aca="false">COUNTIF($E$2:E1302,E1302)</f>
        <v>208</v>
      </c>
      <c r="M1302" s="10" t="e">
        <f aca="false">ifs(L1302=1, L1302&amp;"-"&amp; COUNTIFS($L$2:L1302,1))</f>
        <v>#NAME?</v>
      </c>
      <c r="N1302" s="15"/>
      <c r="O1302" s="10" t="s">
        <v>3730</v>
      </c>
      <c r="P1302" s="22" t="n">
        <f aca="false">COUNTIFS(C:C,C1302,N:N,"Đã xác nhận")/COUNTIFS(C:C,C1302)</f>
        <v>0.0588235294117647</v>
      </c>
      <c r="Q1302" s="22"/>
      <c r="R1302" s="0" t="s">
        <v>4172</v>
      </c>
      <c r="S1302" s="0" t="s">
        <v>534</v>
      </c>
      <c r="U1302" s="24" t="n">
        <v>1</v>
      </c>
    </row>
    <row r="1303" customFormat="false" ht="12.75" hidden="false" customHeight="false" outlineLevel="0" collapsed="false">
      <c r="A1303" s="15" t="s">
        <v>4173</v>
      </c>
      <c r="B1303" s="15" t="s">
        <v>1103</v>
      </c>
      <c r="C1303" s="15" t="s">
        <v>514</v>
      </c>
      <c r="D1303" s="15" t="s">
        <v>4174</v>
      </c>
      <c r="E1303" s="15" t="s">
        <v>81</v>
      </c>
      <c r="G1303" s="10" t="n">
        <v>2</v>
      </c>
      <c r="H1303" s="21" t="n">
        <v>46046.6132523148</v>
      </c>
      <c r="I1303" s="15" t="s">
        <v>4175</v>
      </c>
      <c r="J1303" s="15" t="s">
        <v>4176</v>
      </c>
      <c r="K1303" s="15" t="s">
        <v>4177</v>
      </c>
      <c r="L1303" s="10" t="n">
        <f aca="false">COUNTIF($E$2:E1303,E1303)</f>
        <v>209</v>
      </c>
      <c r="M1303" s="10" t="e">
        <f aca="false">ifs(L1303=1, L1303&amp;"-"&amp; COUNTIFS($L$2:L1303,1))</f>
        <v>#NAME?</v>
      </c>
      <c r="N1303" s="15"/>
      <c r="O1303" s="10" t="s">
        <v>3730</v>
      </c>
      <c r="P1303" s="22" t="n">
        <f aca="false">COUNTIFS(C:C,C1303,N:N,"Đã xác nhận")/COUNTIFS(C:C,C1303)</f>
        <v>0.0588235294117647</v>
      </c>
      <c r="Q1303" s="22"/>
      <c r="R1303" s="0" t="s">
        <v>4178</v>
      </c>
      <c r="S1303" s="0" t="s">
        <v>534</v>
      </c>
      <c r="U1303" s="24" t="n">
        <v>2</v>
      </c>
    </row>
    <row r="1304" customFormat="false" ht="12.75" hidden="false" customHeight="false" outlineLevel="0" collapsed="false">
      <c r="A1304" s="15" t="s">
        <v>4179</v>
      </c>
      <c r="B1304" s="15" t="s">
        <v>1103</v>
      </c>
      <c r="C1304" s="15" t="s">
        <v>514</v>
      </c>
      <c r="D1304" s="15" t="s">
        <v>1120</v>
      </c>
      <c r="E1304" s="15" t="s">
        <v>55</v>
      </c>
      <c r="G1304" s="10" t="n">
        <v>1</v>
      </c>
      <c r="H1304" s="21" t="n">
        <v>46046.6134027778</v>
      </c>
      <c r="I1304" s="15" t="s">
        <v>1566</v>
      </c>
      <c r="J1304" s="15" t="s">
        <v>4180</v>
      </c>
      <c r="K1304" s="15" t="s">
        <v>4181</v>
      </c>
      <c r="L1304" s="10" t="n">
        <f aca="false">COUNTIF($E$2:E1304,E1304)</f>
        <v>122</v>
      </c>
      <c r="M1304" s="10" t="e">
        <f aca="false">ifs(L1304=1, L1304&amp;"-"&amp; COUNTIFS($L$2:L1304,1))</f>
        <v>#NAME?</v>
      </c>
      <c r="N1304" s="15"/>
      <c r="O1304" s="10" t="s">
        <v>3730</v>
      </c>
      <c r="P1304" s="22" t="n">
        <f aca="false">COUNTIFS(C:C,C1304,N:N,"Đã xác nhận")/COUNTIFS(C:C,C1304)</f>
        <v>0.0588235294117647</v>
      </c>
      <c r="Q1304" s="22"/>
      <c r="R1304" s="0" t="s">
        <v>1122</v>
      </c>
      <c r="S1304" s="0" t="s">
        <v>539</v>
      </c>
      <c r="U1304" s="24" t="n">
        <v>1</v>
      </c>
    </row>
    <row r="1305" customFormat="false" ht="12.75" hidden="false" customHeight="false" outlineLevel="0" collapsed="false">
      <c r="A1305" s="15" t="s">
        <v>4182</v>
      </c>
      <c r="B1305" s="15" t="s">
        <v>1103</v>
      </c>
      <c r="C1305" s="15" t="s">
        <v>514</v>
      </c>
      <c r="D1305" s="15" t="s">
        <v>4183</v>
      </c>
      <c r="E1305" s="15" t="s">
        <v>81</v>
      </c>
      <c r="G1305" s="10" t="n">
        <v>2</v>
      </c>
      <c r="H1305" s="21" t="n">
        <v>46046.613912037</v>
      </c>
      <c r="I1305" s="15" t="s">
        <v>4184</v>
      </c>
      <c r="J1305" s="15" t="s">
        <v>4185</v>
      </c>
      <c r="K1305" s="15" t="s">
        <v>4186</v>
      </c>
      <c r="L1305" s="10" t="n">
        <f aca="false">COUNTIF($E$2:E1305,E1305)</f>
        <v>210</v>
      </c>
      <c r="M1305" s="10" t="e">
        <f aca="false">ifs(L1305=1, L1305&amp;"-"&amp; COUNTIFS($L$2:L1305,1))</f>
        <v>#NAME?</v>
      </c>
      <c r="N1305" s="15"/>
      <c r="O1305" s="10" t="s">
        <v>3730</v>
      </c>
      <c r="P1305" s="22" t="n">
        <f aca="false">COUNTIFS(C:C,C1305,N:N,"Đã xác nhận")/COUNTIFS(C:C,C1305)</f>
        <v>0.0588235294117647</v>
      </c>
      <c r="Q1305" s="22"/>
      <c r="R1305" s="0" t="s">
        <v>4187</v>
      </c>
      <c r="S1305" s="0" t="s">
        <v>534</v>
      </c>
      <c r="U1305" s="24" t="n">
        <v>2</v>
      </c>
    </row>
    <row r="1306" customFormat="false" ht="12.75" hidden="false" customHeight="false" outlineLevel="0" collapsed="false">
      <c r="A1306" s="15" t="s">
        <v>4188</v>
      </c>
      <c r="B1306" s="15" t="s">
        <v>1103</v>
      </c>
      <c r="C1306" s="15" t="s">
        <v>514</v>
      </c>
      <c r="D1306" s="15" t="s">
        <v>4189</v>
      </c>
      <c r="E1306" s="15" t="s">
        <v>55</v>
      </c>
      <c r="G1306" s="10" t="n">
        <v>1</v>
      </c>
      <c r="H1306" s="21" t="n">
        <v>46046.6140972222</v>
      </c>
      <c r="I1306" s="15" t="s">
        <v>1566</v>
      </c>
      <c r="J1306" s="15" t="s">
        <v>4190</v>
      </c>
      <c r="K1306" s="15" t="s">
        <v>4191</v>
      </c>
      <c r="L1306" s="10" t="n">
        <f aca="false">COUNTIF($E$2:E1306,E1306)</f>
        <v>123</v>
      </c>
      <c r="M1306" s="10" t="e">
        <f aca="false">ifs(L1306=1, L1306&amp;"-"&amp; COUNTIFS($L$2:L1306,1))</f>
        <v>#NAME?</v>
      </c>
      <c r="N1306" s="15"/>
      <c r="O1306" s="10" t="s">
        <v>3730</v>
      </c>
      <c r="P1306" s="22" t="n">
        <f aca="false">COUNTIFS(C:C,C1306,N:N,"Đã xác nhận")/COUNTIFS(C:C,C1306)</f>
        <v>0.0588235294117647</v>
      </c>
      <c r="Q1306" s="22"/>
      <c r="R1306" s="0" t="s">
        <v>4192</v>
      </c>
      <c r="S1306" s="0" t="s">
        <v>539</v>
      </c>
      <c r="U1306" s="24" t="n">
        <v>1</v>
      </c>
    </row>
    <row r="1307" customFormat="false" ht="12.75" hidden="false" customHeight="false" outlineLevel="0" collapsed="false">
      <c r="A1307" s="15" t="s">
        <v>4193</v>
      </c>
      <c r="B1307" s="15" t="s">
        <v>1103</v>
      </c>
      <c r="C1307" s="15" t="s">
        <v>514</v>
      </c>
      <c r="D1307" s="15" t="s">
        <v>4194</v>
      </c>
      <c r="E1307" s="15" t="s">
        <v>81</v>
      </c>
      <c r="G1307" s="10" t="n">
        <v>1</v>
      </c>
      <c r="H1307" s="21" t="n">
        <v>46046.6146412037</v>
      </c>
      <c r="I1307" s="15" t="s">
        <v>1566</v>
      </c>
      <c r="J1307" s="15" t="s">
        <v>4195</v>
      </c>
      <c r="K1307" s="15" t="s">
        <v>4196</v>
      </c>
      <c r="L1307" s="10" t="n">
        <f aca="false">COUNTIF($E$2:E1307,E1307)</f>
        <v>211</v>
      </c>
      <c r="M1307" s="10" t="e">
        <f aca="false">ifs(L1307=1, L1307&amp;"-"&amp; COUNTIFS($L$2:L1307,1))</f>
        <v>#NAME?</v>
      </c>
      <c r="N1307" s="15"/>
      <c r="O1307" s="10" t="s">
        <v>3730</v>
      </c>
      <c r="P1307" s="22" t="n">
        <f aca="false">COUNTIFS(C:C,C1307,N:N,"Đã xác nhận")/COUNTIFS(C:C,C1307)</f>
        <v>0.0588235294117647</v>
      </c>
      <c r="Q1307" s="22"/>
      <c r="R1307" s="0" t="s">
        <v>1574</v>
      </c>
      <c r="S1307" s="0" t="s">
        <v>534</v>
      </c>
      <c r="U1307" s="24" t="n">
        <v>1</v>
      </c>
    </row>
    <row r="1308" customFormat="false" ht="12.75" hidden="false" customHeight="false" outlineLevel="0" collapsed="false">
      <c r="A1308" s="15" t="s">
        <v>4197</v>
      </c>
      <c r="B1308" s="15" t="s">
        <v>1103</v>
      </c>
      <c r="C1308" s="15" t="s">
        <v>514</v>
      </c>
      <c r="D1308" s="15" t="s">
        <v>4198</v>
      </c>
      <c r="E1308" s="15" t="s">
        <v>81</v>
      </c>
      <c r="G1308" s="10" t="n">
        <v>1</v>
      </c>
      <c r="H1308" s="21" t="n">
        <v>46046.614837963</v>
      </c>
      <c r="I1308" s="15" t="s">
        <v>1566</v>
      </c>
      <c r="J1308" s="15" t="s">
        <v>4199</v>
      </c>
      <c r="K1308" s="15" t="s">
        <v>4200</v>
      </c>
      <c r="L1308" s="10" t="n">
        <f aca="false">COUNTIF($E$2:E1308,E1308)</f>
        <v>212</v>
      </c>
      <c r="M1308" s="10" t="e">
        <f aca="false">ifs(L1308=1, L1308&amp;"-"&amp; COUNTIFS($L$2:L1308,1))</f>
        <v>#NAME?</v>
      </c>
      <c r="N1308" s="15"/>
      <c r="O1308" s="10" t="s">
        <v>3730</v>
      </c>
      <c r="P1308" s="22" t="n">
        <f aca="false">COUNTIFS(C:C,C1308,N:N,"Đã xác nhận")/COUNTIFS(C:C,C1308)</f>
        <v>0.0588235294117647</v>
      </c>
      <c r="Q1308" s="22"/>
      <c r="R1308" s="0" t="s">
        <v>4201</v>
      </c>
      <c r="S1308" s="0" t="s">
        <v>534</v>
      </c>
      <c r="U1308" s="24" t="n">
        <v>1</v>
      </c>
    </row>
    <row r="1309" customFormat="false" ht="12.75" hidden="false" customHeight="false" outlineLevel="0" collapsed="false">
      <c r="A1309" s="15" t="s">
        <v>4202</v>
      </c>
      <c r="B1309" s="15" t="s">
        <v>1103</v>
      </c>
      <c r="C1309" s="15" t="s">
        <v>514</v>
      </c>
      <c r="D1309" s="15" t="s">
        <v>4198</v>
      </c>
      <c r="E1309" s="15" t="s">
        <v>63</v>
      </c>
      <c r="G1309" s="10" t="n">
        <v>1</v>
      </c>
      <c r="H1309" s="21" t="n">
        <v>46046.6149768519</v>
      </c>
      <c r="I1309" s="15" t="s">
        <v>1566</v>
      </c>
      <c r="J1309" s="15" t="s">
        <v>4203</v>
      </c>
      <c r="K1309" s="15" t="s">
        <v>4204</v>
      </c>
      <c r="L1309" s="10" t="n">
        <f aca="false">COUNTIF($E$2:E1309,E1309)</f>
        <v>22</v>
      </c>
      <c r="M1309" s="10" t="e">
        <f aca="false">ifs(L1309=1, L1309&amp;"-"&amp; COUNTIFS($L$2:L1309,1))</f>
        <v>#NAME?</v>
      </c>
      <c r="N1309" s="15"/>
      <c r="O1309" s="10" t="s">
        <v>3730</v>
      </c>
      <c r="P1309" s="22" t="n">
        <f aca="false">COUNTIFS(C:C,C1309,N:N,"Đã xác nhận")/COUNTIFS(C:C,C1309)</f>
        <v>0.0588235294117647</v>
      </c>
      <c r="Q1309" s="22"/>
      <c r="R1309" s="0" t="s">
        <v>4201</v>
      </c>
      <c r="S1309" s="0" t="s">
        <v>551</v>
      </c>
      <c r="U1309" s="24" t="n">
        <v>1</v>
      </c>
    </row>
    <row r="1310" customFormat="false" ht="12.75" hidden="false" customHeight="false" outlineLevel="0" collapsed="false">
      <c r="A1310" s="15" t="s">
        <v>4205</v>
      </c>
      <c r="B1310" s="15" t="s">
        <v>1103</v>
      </c>
      <c r="C1310" s="15" t="s">
        <v>505</v>
      </c>
      <c r="D1310" s="15" t="s">
        <v>1196</v>
      </c>
      <c r="E1310" s="15" t="s">
        <v>81</v>
      </c>
      <c r="G1310" s="10" t="n">
        <v>1</v>
      </c>
      <c r="H1310" s="21" t="n">
        <v>46048.6614351852</v>
      </c>
      <c r="I1310" s="15" t="s">
        <v>4206</v>
      </c>
      <c r="J1310" s="15" t="s">
        <v>4206</v>
      </c>
      <c r="K1310" s="15"/>
      <c r="L1310" s="10" t="n">
        <f aca="false">COUNTIF($E$2:E1310,E1310)</f>
        <v>213</v>
      </c>
      <c r="M1310" s="10" t="e">
        <f aca="false">ifs(L1310=1, L1310&amp;"-"&amp; COUNTIFS($L$2:L1310,1))</f>
        <v>#NAME?</v>
      </c>
      <c r="N1310" s="15" t="s">
        <v>603</v>
      </c>
      <c r="O1310" s="10" t="s">
        <v>3730</v>
      </c>
      <c r="P1310" s="22" t="n">
        <f aca="false">COUNTIFS(C:C,C1310,N:N,"Đã xác nhận")/COUNTIFS(C:C,C1310)</f>
        <v>1</v>
      </c>
      <c r="Q1310" s="22"/>
      <c r="R1310" s="0" t="s">
        <v>1200</v>
      </c>
      <c r="S1310" s="0" t="s">
        <v>534</v>
      </c>
      <c r="U1310" s="24" t="n">
        <v>1</v>
      </c>
    </row>
    <row r="1311" customFormat="false" ht="12.75" hidden="false" customHeight="false" outlineLevel="0" collapsed="false">
      <c r="A1311" s="15" t="s">
        <v>4207</v>
      </c>
      <c r="B1311" s="15"/>
      <c r="C1311" s="15"/>
      <c r="D1311" s="15"/>
      <c r="E1311" s="15"/>
      <c r="G1311" s="10" t="n">
        <v>0</v>
      </c>
      <c r="H1311" s="21" t="n">
        <v>46080.4881944444</v>
      </c>
      <c r="I1311" s="15" t="s">
        <v>4208</v>
      </c>
      <c r="J1311" s="15" t="s">
        <v>695</v>
      </c>
      <c r="K1311" s="15" t="s">
        <v>4209</v>
      </c>
      <c r="L1311" s="10" t="n">
        <f aca="false">COUNTIF($E$2:E1311,E1311)</f>
        <v>0</v>
      </c>
      <c r="M1311" s="10" t="e">
        <f aca="false">ifs(L1311=1, L1311&amp;"-"&amp; COUNTIFS($L$2:L1311,1))</f>
        <v>#NAME?</v>
      </c>
      <c r="N1311" s="15"/>
      <c r="O1311" s="10" t="s">
        <v>3730</v>
      </c>
      <c r="P1311" s="22" t="e">
        <f aca="false">COUNTIFS(C:C,C1311,N:N,"Đã xác nhận")/COUNTIFS(C:C,C1311)</f>
        <v>#DIV/0!</v>
      </c>
      <c r="Q1311" s="22"/>
      <c r="R1311" s="0" t="e">
        <f aca="false">#VALUE!</f>
        <v>#VALUE!</v>
      </c>
      <c r="S1311" s="0" t="e">
        <f aca="false">#VALUE!</f>
        <v>#VALUE!</v>
      </c>
      <c r="U1311" s="24" t="n">
        <v>0</v>
      </c>
    </row>
    <row r="1312" customFormat="false" ht="12.75" hidden="false" customHeight="false" outlineLevel="0" collapsed="false">
      <c r="A1312" s="15" t="s">
        <v>4210</v>
      </c>
      <c r="B1312" s="15" t="s">
        <v>2304</v>
      </c>
      <c r="C1312" s="15" t="s">
        <v>3709</v>
      </c>
      <c r="D1312" s="15" t="s">
        <v>2311</v>
      </c>
      <c r="E1312" s="15" t="s">
        <v>55</v>
      </c>
      <c r="G1312" s="10" t="n">
        <v>1</v>
      </c>
      <c r="H1312" s="21" t="n">
        <v>46049.6796180556</v>
      </c>
      <c r="I1312" s="15" t="s">
        <v>4211</v>
      </c>
      <c r="J1312" s="15" t="s">
        <v>4211</v>
      </c>
      <c r="K1312" s="15"/>
      <c r="L1312" s="10" t="n">
        <f aca="false">COUNTIF($E$2:E1312,E1312)</f>
        <v>124</v>
      </c>
      <c r="M1312" s="10" t="e">
        <f aca="false">ifs(L1312=1, L1312&amp;"-"&amp; COUNTIFS($L$2:L1312,1))</f>
        <v>#NAME?</v>
      </c>
      <c r="N1312" s="15" t="s">
        <v>603</v>
      </c>
      <c r="O1312" s="10" t="s">
        <v>3730</v>
      </c>
      <c r="P1312" s="22" t="n">
        <f aca="false">COUNTIFS(C:C,C1312,N:N,"Đã xác nhận")/COUNTIFS(C:C,C1312)</f>
        <v>1</v>
      </c>
      <c r="Q1312" s="22"/>
      <c r="R1312" s="0" t="s">
        <v>2313</v>
      </c>
      <c r="S1312" s="0" t="s">
        <v>539</v>
      </c>
      <c r="U1312" s="24" t="n">
        <v>1</v>
      </c>
    </row>
    <row r="1313" customFormat="false" ht="12.75" hidden="false" customHeight="false" outlineLevel="0" collapsed="false">
      <c r="A1313" s="15" t="s">
        <v>4212</v>
      </c>
      <c r="B1313" s="15" t="s">
        <v>2304</v>
      </c>
      <c r="C1313" s="15" t="s">
        <v>3709</v>
      </c>
      <c r="D1313" s="15" t="s">
        <v>2321</v>
      </c>
      <c r="E1313" s="15" t="s">
        <v>37</v>
      </c>
      <c r="G1313" s="10" t="n">
        <v>1</v>
      </c>
      <c r="H1313" s="21" t="n">
        <v>46049.6795833333</v>
      </c>
      <c r="I1313" s="15" t="s">
        <v>4213</v>
      </c>
      <c r="J1313" s="15" t="s">
        <v>4213</v>
      </c>
      <c r="K1313" s="15"/>
      <c r="L1313" s="10" t="n">
        <f aca="false">COUNTIF($E$2:E1313,E1313)</f>
        <v>21</v>
      </c>
      <c r="M1313" s="10" t="e">
        <f aca="false">ifs(L1313=1, L1313&amp;"-"&amp; COUNTIFS($L$2:L1313,1))</f>
        <v>#NAME?</v>
      </c>
      <c r="N1313" s="15" t="s">
        <v>603</v>
      </c>
      <c r="O1313" s="10" t="s">
        <v>3730</v>
      </c>
      <c r="P1313" s="22" t="n">
        <f aca="false">COUNTIFS(C:C,C1313,N:N,"Đã xác nhận")/COUNTIFS(C:C,C1313)</f>
        <v>1</v>
      </c>
      <c r="Q1313" s="22"/>
      <c r="R1313" s="0" t="s">
        <v>2323</v>
      </c>
      <c r="S1313" s="0" t="s">
        <v>561</v>
      </c>
      <c r="U1313" s="24" t="n">
        <v>1</v>
      </c>
    </row>
    <row r="1314" customFormat="false" ht="12.75" hidden="false" customHeight="false" outlineLevel="0" collapsed="false">
      <c r="A1314" s="15" t="s">
        <v>4214</v>
      </c>
      <c r="B1314" s="15" t="s">
        <v>2304</v>
      </c>
      <c r="C1314" s="15" t="s">
        <v>3709</v>
      </c>
      <c r="D1314" s="15" t="s">
        <v>4215</v>
      </c>
      <c r="E1314" s="15" t="s">
        <v>547</v>
      </c>
      <c r="G1314" s="10" t="n">
        <v>1</v>
      </c>
      <c r="H1314" s="21" t="n">
        <v>46049.6794328704</v>
      </c>
      <c r="I1314" s="15" t="s">
        <v>4216</v>
      </c>
      <c r="J1314" s="15" t="s">
        <v>4216</v>
      </c>
      <c r="K1314" s="15"/>
      <c r="L1314" s="10" t="n">
        <f aca="false">COUNTIF($E$2:E1314,E1314)</f>
        <v>40</v>
      </c>
      <c r="M1314" s="10" t="e">
        <f aca="false">ifs(L1314=1, L1314&amp;"-"&amp; COUNTIFS($L$2:L1314,1))</f>
        <v>#NAME?</v>
      </c>
      <c r="N1314" s="15" t="s">
        <v>603</v>
      </c>
      <c r="O1314" s="10" t="s">
        <v>3730</v>
      </c>
      <c r="P1314" s="22" t="n">
        <f aca="false">COUNTIFS(C:C,C1314,N:N,"Đã xác nhận")/COUNTIFS(C:C,C1314)</f>
        <v>1</v>
      </c>
      <c r="Q1314" s="22"/>
      <c r="R1314" s="0" t="s">
        <v>4217</v>
      </c>
      <c r="S1314" s="0" t="s">
        <v>548</v>
      </c>
      <c r="U1314" s="24" t="n">
        <v>1</v>
      </c>
    </row>
    <row r="1315" customFormat="false" ht="12.75" hidden="false" customHeight="false" outlineLevel="0" collapsed="false">
      <c r="A1315" s="15" t="s">
        <v>4218</v>
      </c>
      <c r="B1315" s="15" t="s">
        <v>2304</v>
      </c>
      <c r="C1315" s="15" t="s">
        <v>3709</v>
      </c>
      <c r="D1315" s="15" t="s">
        <v>4215</v>
      </c>
      <c r="E1315" s="15" t="s">
        <v>55</v>
      </c>
      <c r="G1315" s="10" t="n">
        <v>1</v>
      </c>
      <c r="H1315" s="21" t="n">
        <v>46049.6796064815</v>
      </c>
      <c r="I1315" s="15" t="s">
        <v>4219</v>
      </c>
      <c r="J1315" s="15" t="s">
        <v>4219</v>
      </c>
      <c r="K1315" s="15"/>
      <c r="L1315" s="10" t="n">
        <f aca="false">COUNTIF($E$2:E1315,E1315)</f>
        <v>125</v>
      </c>
      <c r="M1315" s="10" t="e">
        <f aca="false">ifs(L1315=1, L1315&amp;"-"&amp; COUNTIFS($L$2:L1315,1))</f>
        <v>#NAME?</v>
      </c>
      <c r="N1315" s="15" t="s">
        <v>603</v>
      </c>
      <c r="O1315" s="10" t="s">
        <v>3730</v>
      </c>
      <c r="P1315" s="22" t="n">
        <f aca="false">COUNTIFS(C:C,C1315,N:N,"Đã xác nhận")/COUNTIFS(C:C,C1315)</f>
        <v>1</v>
      </c>
      <c r="Q1315" s="22"/>
      <c r="R1315" s="0" t="s">
        <v>4217</v>
      </c>
      <c r="S1315" s="0" t="s">
        <v>539</v>
      </c>
      <c r="U1315" s="24" t="n">
        <v>1</v>
      </c>
    </row>
    <row r="1316" customFormat="false" ht="12.75" hidden="false" customHeight="false" outlineLevel="0" collapsed="false">
      <c r="A1316" s="15" t="s">
        <v>4220</v>
      </c>
      <c r="B1316" s="15" t="s">
        <v>2304</v>
      </c>
      <c r="C1316" s="15" t="s">
        <v>3709</v>
      </c>
      <c r="D1316" s="15" t="s">
        <v>4221</v>
      </c>
      <c r="E1316" s="15" t="s">
        <v>81</v>
      </c>
      <c r="G1316" s="10" t="n">
        <v>1</v>
      </c>
      <c r="H1316" s="21" t="n">
        <v>46049.6796875</v>
      </c>
      <c r="I1316" s="15" t="s">
        <v>4222</v>
      </c>
      <c r="J1316" s="15" t="s">
        <v>4222</v>
      </c>
      <c r="K1316" s="15"/>
      <c r="L1316" s="10" t="n">
        <f aca="false">COUNTIF($E$2:E1316,E1316)</f>
        <v>214</v>
      </c>
      <c r="M1316" s="10" t="e">
        <f aca="false">ifs(L1316=1, L1316&amp;"-"&amp; COUNTIFS($L$2:L1316,1))</f>
        <v>#NAME?</v>
      </c>
      <c r="N1316" s="15" t="s">
        <v>603</v>
      </c>
      <c r="O1316" s="10" t="s">
        <v>3730</v>
      </c>
      <c r="P1316" s="22" t="n">
        <f aca="false">COUNTIFS(C:C,C1316,N:N,"Đã xác nhận")/COUNTIFS(C:C,C1316)</f>
        <v>1</v>
      </c>
      <c r="Q1316" s="22"/>
      <c r="R1316" s="0" t="s">
        <v>4223</v>
      </c>
      <c r="S1316" s="0" t="s">
        <v>534</v>
      </c>
      <c r="U1316" s="24" t="n">
        <v>1</v>
      </c>
    </row>
    <row r="1317" customFormat="false" ht="12.75" hidden="false" customHeight="false" outlineLevel="0" collapsed="false">
      <c r="A1317" s="15" t="s">
        <v>4224</v>
      </c>
      <c r="B1317" s="15" t="s">
        <v>2304</v>
      </c>
      <c r="C1317" s="15" t="s">
        <v>3709</v>
      </c>
      <c r="D1317" s="15" t="s">
        <v>4225</v>
      </c>
      <c r="E1317" s="15" t="s">
        <v>55</v>
      </c>
      <c r="G1317" s="10" t="n">
        <v>1</v>
      </c>
      <c r="H1317" s="21" t="n">
        <v>46049.6796180556</v>
      </c>
      <c r="I1317" s="15" t="s">
        <v>4226</v>
      </c>
      <c r="J1317" s="15" t="s">
        <v>4226</v>
      </c>
      <c r="K1317" s="15"/>
      <c r="L1317" s="10" t="n">
        <f aca="false">COUNTIF($E$2:E1317,E1317)</f>
        <v>126</v>
      </c>
      <c r="M1317" s="10" t="e">
        <f aca="false">ifs(L1317=1, L1317&amp;"-"&amp; COUNTIFS($L$2:L1317,1))</f>
        <v>#NAME?</v>
      </c>
      <c r="N1317" s="15" t="s">
        <v>603</v>
      </c>
      <c r="O1317" s="10" t="s">
        <v>3730</v>
      </c>
      <c r="P1317" s="22" t="n">
        <f aca="false">COUNTIFS(C:C,C1317,N:N,"Đã xác nhận")/COUNTIFS(C:C,C1317)</f>
        <v>1</v>
      </c>
      <c r="Q1317" s="22"/>
      <c r="R1317" s="0" t="s">
        <v>4227</v>
      </c>
      <c r="S1317" s="0" t="s">
        <v>539</v>
      </c>
      <c r="U1317" s="24" t="n">
        <v>1</v>
      </c>
    </row>
    <row r="1318" customFormat="false" ht="12.75" hidden="false" customHeight="false" outlineLevel="0" collapsed="false">
      <c r="A1318" s="15" t="s">
        <v>4228</v>
      </c>
      <c r="B1318" s="15"/>
      <c r="C1318" s="15"/>
      <c r="D1318" s="15"/>
      <c r="E1318" s="15"/>
      <c r="G1318" s="10" t="n">
        <v>0</v>
      </c>
      <c r="H1318" s="21" t="n">
        <v>46049.7347569445</v>
      </c>
      <c r="I1318" s="15" t="s">
        <v>4229</v>
      </c>
      <c r="J1318" s="15" t="s">
        <v>695</v>
      </c>
      <c r="K1318" s="15" t="s">
        <v>4230</v>
      </c>
      <c r="L1318" s="10" t="n">
        <f aca="false">COUNTIF($E$2:E1318,E1318)</f>
        <v>0</v>
      </c>
      <c r="M1318" s="10" t="e">
        <f aca="false">ifs(L1318=1, L1318&amp;"-"&amp; COUNTIFS($L$2:L1318,1))</f>
        <v>#NAME?</v>
      </c>
      <c r="N1318" s="15"/>
      <c r="O1318" s="10" t="s">
        <v>3730</v>
      </c>
      <c r="P1318" s="22" t="e">
        <f aca="false">COUNTIFS(C:C,C1318,N:N,"Đã xác nhận")/COUNTIFS(C:C,C1318)</f>
        <v>#DIV/0!</v>
      </c>
      <c r="Q1318" s="22"/>
      <c r="R1318" s="0" t="e">
        <f aca="false">#VALUE!</f>
        <v>#VALUE!</v>
      </c>
      <c r="S1318" s="0" t="e">
        <f aca="false">#VALUE!</f>
        <v>#VALUE!</v>
      </c>
      <c r="U1318" s="24" t="n">
        <v>0</v>
      </c>
    </row>
    <row r="1319" customFormat="false" ht="12.75" hidden="false" customHeight="false" outlineLevel="0" collapsed="false">
      <c r="A1319" s="15" t="s">
        <v>4231</v>
      </c>
      <c r="B1319" s="15" t="s">
        <v>2304</v>
      </c>
      <c r="C1319" s="15" t="s">
        <v>4232</v>
      </c>
      <c r="D1319" s="15" t="s">
        <v>2311</v>
      </c>
      <c r="E1319" s="15" t="s">
        <v>55</v>
      </c>
      <c r="G1319" s="10" t="n">
        <v>1</v>
      </c>
      <c r="H1319" s="21" t="n">
        <v>46050.4869907407</v>
      </c>
      <c r="I1319" s="15" t="s">
        <v>4233</v>
      </c>
      <c r="J1319" s="15" t="s">
        <v>4233</v>
      </c>
      <c r="K1319" s="15"/>
      <c r="L1319" s="10" t="n">
        <f aca="false">COUNTIF($E$2:E1319,E1319)</f>
        <v>127</v>
      </c>
      <c r="M1319" s="10" t="e">
        <f aca="false">ifs(L1319=1, L1319&amp;"-"&amp; COUNTIFS($L$2:L1319,1))</f>
        <v>#NAME?</v>
      </c>
      <c r="N1319" s="15" t="s">
        <v>603</v>
      </c>
      <c r="O1319" s="10" t="s">
        <v>3730</v>
      </c>
      <c r="P1319" s="22" t="n">
        <f aca="false">COUNTIFS(C:C,C1319,N:N,"Đã xác nhận")/COUNTIFS(C:C,C1319)</f>
        <v>1</v>
      </c>
      <c r="Q1319" s="22"/>
      <c r="R1319" s="0" t="s">
        <v>2313</v>
      </c>
      <c r="S1319" s="0" t="s">
        <v>539</v>
      </c>
      <c r="U1319" s="24" t="n">
        <v>1</v>
      </c>
    </row>
    <row r="1320" customFormat="false" ht="12.75" hidden="false" customHeight="false" outlineLevel="0" collapsed="false">
      <c r="A1320" s="15" t="s">
        <v>4234</v>
      </c>
      <c r="B1320" s="15" t="s">
        <v>2304</v>
      </c>
      <c r="C1320" s="15" t="s">
        <v>4232</v>
      </c>
      <c r="D1320" s="15" t="s">
        <v>2321</v>
      </c>
      <c r="E1320" s="15" t="s">
        <v>37</v>
      </c>
      <c r="G1320" s="10" t="n">
        <v>1</v>
      </c>
      <c r="H1320" s="21" t="n">
        <v>46050.4870601852</v>
      </c>
      <c r="I1320" s="15" t="s">
        <v>4235</v>
      </c>
      <c r="J1320" s="15" t="s">
        <v>4235</v>
      </c>
      <c r="K1320" s="15"/>
      <c r="L1320" s="10" t="n">
        <f aca="false">COUNTIF($E$2:E1320,E1320)</f>
        <v>22</v>
      </c>
      <c r="M1320" s="10" t="e">
        <f aca="false">ifs(L1320=1, L1320&amp;"-"&amp; COUNTIFS($L$2:L1320,1))</f>
        <v>#NAME?</v>
      </c>
      <c r="N1320" s="15" t="s">
        <v>603</v>
      </c>
      <c r="O1320" s="10" t="s">
        <v>3730</v>
      </c>
      <c r="P1320" s="22" t="n">
        <f aca="false">COUNTIFS(C:C,C1320,N:N,"Đã xác nhận")/COUNTIFS(C:C,C1320)</f>
        <v>1</v>
      </c>
      <c r="Q1320" s="22"/>
      <c r="R1320" s="0" t="s">
        <v>2323</v>
      </c>
      <c r="S1320" s="0" t="s">
        <v>561</v>
      </c>
      <c r="U1320" s="24" t="n">
        <v>1</v>
      </c>
    </row>
    <row r="1321" customFormat="false" ht="12.75" hidden="false" customHeight="false" outlineLevel="0" collapsed="false">
      <c r="A1321" s="15" t="s">
        <v>4236</v>
      </c>
      <c r="B1321" s="15" t="s">
        <v>2304</v>
      </c>
      <c r="C1321" s="15" t="s">
        <v>4232</v>
      </c>
      <c r="D1321" s="15" t="s">
        <v>4237</v>
      </c>
      <c r="E1321" s="15" t="s">
        <v>55</v>
      </c>
      <c r="G1321" s="10" t="n">
        <v>1</v>
      </c>
      <c r="H1321" s="21" t="n">
        <v>46050.4870023148</v>
      </c>
      <c r="I1321" s="15" t="s">
        <v>4238</v>
      </c>
      <c r="J1321" s="15" t="s">
        <v>4238</v>
      </c>
      <c r="K1321" s="15"/>
      <c r="L1321" s="10" t="n">
        <f aca="false">COUNTIF($E$2:E1321,E1321)</f>
        <v>128</v>
      </c>
      <c r="M1321" s="10" t="e">
        <f aca="false">ifs(L1321=1, L1321&amp;"-"&amp; COUNTIFS($L$2:L1321,1))</f>
        <v>#NAME?</v>
      </c>
      <c r="N1321" s="15" t="s">
        <v>603</v>
      </c>
      <c r="O1321" s="10" t="s">
        <v>3730</v>
      </c>
      <c r="P1321" s="22" t="n">
        <f aca="false">COUNTIFS(C:C,C1321,N:N,"Đã xác nhận")/COUNTIFS(C:C,C1321)</f>
        <v>1</v>
      </c>
      <c r="Q1321" s="22"/>
      <c r="R1321" s="0" t="s">
        <v>4239</v>
      </c>
      <c r="S1321" s="0" t="s">
        <v>539</v>
      </c>
      <c r="U1321" s="24" t="n">
        <v>1</v>
      </c>
    </row>
    <row r="1322" customFormat="false" ht="12.75" hidden="false" customHeight="false" outlineLevel="0" collapsed="false">
      <c r="A1322" s="15" t="s">
        <v>4240</v>
      </c>
      <c r="B1322" s="15" t="s">
        <v>2304</v>
      </c>
      <c r="C1322" s="15" t="s">
        <v>4232</v>
      </c>
      <c r="D1322" s="15" t="s">
        <v>2674</v>
      </c>
      <c r="E1322" s="15" t="s">
        <v>55</v>
      </c>
      <c r="G1322" s="10" t="n">
        <v>1</v>
      </c>
      <c r="H1322" s="21" t="n">
        <v>46050.4870138889</v>
      </c>
      <c r="I1322" s="15" t="s">
        <v>4241</v>
      </c>
      <c r="J1322" s="15" t="s">
        <v>4241</v>
      </c>
      <c r="K1322" s="15"/>
      <c r="L1322" s="10" t="n">
        <f aca="false">COUNTIF($E$2:E1322,E1322)</f>
        <v>129</v>
      </c>
      <c r="M1322" s="10" t="e">
        <f aca="false">ifs(L1322=1, L1322&amp;"-"&amp; COUNTIFS($L$2:L1322,1))</f>
        <v>#NAME?</v>
      </c>
      <c r="N1322" s="15" t="s">
        <v>603</v>
      </c>
      <c r="O1322" s="10" t="s">
        <v>3730</v>
      </c>
      <c r="P1322" s="22" t="n">
        <f aca="false">COUNTIFS(C:C,C1322,N:N,"Đã xác nhận")/COUNTIFS(C:C,C1322)</f>
        <v>1</v>
      </c>
      <c r="Q1322" s="22"/>
      <c r="R1322" s="0" t="s">
        <v>2676</v>
      </c>
      <c r="S1322" s="0" t="s">
        <v>539</v>
      </c>
      <c r="U1322" s="24" t="n">
        <v>1</v>
      </c>
    </row>
    <row r="1323" customFormat="false" ht="12.75" hidden="false" customHeight="false" outlineLevel="0" collapsed="false">
      <c r="A1323" s="15" t="s">
        <v>4242</v>
      </c>
      <c r="B1323" s="15" t="s">
        <v>2304</v>
      </c>
      <c r="C1323" s="15" t="s">
        <v>4232</v>
      </c>
      <c r="D1323" s="15" t="s">
        <v>4243</v>
      </c>
      <c r="E1323" s="15" t="s">
        <v>47</v>
      </c>
      <c r="G1323" s="10" t="n">
        <v>1</v>
      </c>
      <c r="H1323" s="21" t="n">
        <v>46050.487037037</v>
      </c>
      <c r="I1323" s="15" t="s">
        <v>4244</v>
      </c>
      <c r="J1323" s="15" t="s">
        <v>4244</v>
      </c>
      <c r="K1323" s="15"/>
      <c r="L1323" s="10" t="n">
        <f aca="false">COUNTIF($E$2:E1323,E1323)</f>
        <v>70</v>
      </c>
      <c r="M1323" s="10" t="e">
        <f aca="false">ifs(L1323=1, L1323&amp;"-"&amp; COUNTIFS($L$2:L1323,1))</f>
        <v>#NAME?</v>
      </c>
      <c r="N1323" s="15" t="s">
        <v>603</v>
      </c>
      <c r="O1323" s="10" t="s">
        <v>3730</v>
      </c>
      <c r="P1323" s="22" t="n">
        <f aca="false">COUNTIFS(C:C,C1323,N:N,"Đã xác nhận")/COUNTIFS(C:C,C1323)</f>
        <v>1</v>
      </c>
      <c r="Q1323" s="22"/>
      <c r="R1323" s="0" t="s">
        <v>4245</v>
      </c>
      <c r="S1323" s="0" t="s">
        <v>549</v>
      </c>
      <c r="U1323" s="24" t="n">
        <v>1</v>
      </c>
    </row>
    <row r="1324" customFormat="false" ht="12.75" hidden="false" customHeight="false" outlineLevel="0" collapsed="false">
      <c r="A1324" s="15" t="s">
        <v>4246</v>
      </c>
      <c r="B1324" s="15" t="s">
        <v>2304</v>
      </c>
      <c r="C1324" s="15" t="s">
        <v>4232</v>
      </c>
      <c r="D1324" s="15" t="s">
        <v>611</v>
      </c>
      <c r="E1324" s="15" t="s">
        <v>69</v>
      </c>
      <c r="G1324" s="10" t="n">
        <v>1</v>
      </c>
      <c r="H1324" s="21" t="n">
        <v>46050.4869328704</v>
      </c>
      <c r="I1324" s="15" t="s">
        <v>4247</v>
      </c>
      <c r="J1324" s="15" t="s">
        <v>4247</v>
      </c>
      <c r="K1324" s="15"/>
      <c r="L1324" s="10" t="n">
        <f aca="false">COUNTIF($E$2:E1324,E1324)</f>
        <v>169</v>
      </c>
      <c r="M1324" s="10" t="e">
        <f aca="false">ifs(L1324=1, L1324&amp;"-"&amp; COUNTIFS($L$2:L1324,1))</f>
        <v>#NAME?</v>
      </c>
      <c r="N1324" s="15" t="s">
        <v>603</v>
      </c>
      <c r="O1324" s="10" t="s">
        <v>3730</v>
      </c>
      <c r="P1324" s="22" t="n">
        <f aca="false">COUNTIFS(C:C,C1324,N:N,"Đã xác nhận")/COUNTIFS(C:C,C1324)</f>
        <v>1</v>
      </c>
      <c r="Q1324" s="22"/>
      <c r="R1324" s="0" t="s">
        <v>613</v>
      </c>
      <c r="S1324" s="0" t="s">
        <v>535</v>
      </c>
      <c r="U1324" s="24" t="n">
        <v>1</v>
      </c>
    </row>
    <row r="1325" customFormat="false" ht="12.75" hidden="false" customHeight="false" outlineLevel="0" collapsed="false">
      <c r="A1325" s="15" t="s">
        <v>4248</v>
      </c>
      <c r="B1325" s="15" t="s">
        <v>2304</v>
      </c>
      <c r="C1325" s="15" t="s">
        <v>4232</v>
      </c>
      <c r="D1325" s="15" t="s">
        <v>611</v>
      </c>
      <c r="E1325" s="15" t="s">
        <v>33</v>
      </c>
      <c r="G1325" s="10" t="n">
        <v>1</v>
      </c>
      <c r="H1325" s="21" t="n">
        <v>46050.4868865741</v>
      </c>
      <c r="I1325" s="15" t="s">
        <v>4249</v>
      </c>
      <c r="J1325" s="15" t="s">
        <v>4249</v>
      </c>
      <c r="K1325" s="15"/>
      <c r="L1325" s="10" t="n">
        <f aca="false">COUNTIF($E$2:E1325,E1325)</f>
        <v>133</v>
      </c>
      <c r="M1325" s="10" t="e">
        <f aca="false">ifs(L1325=1, L1325&amp;"-"&amp; COUNTIFS($L$2:L1325,1))</f>
        <v>#NAME?</v>
      </c>
      <c r="N1325" s="15" t="s">
        <v>603</v>
      </c>
      <c r="O1325" s="10" t="s">
        <v>3730</v>
      </c>
      <c r="P1325" s="22" t="n">
        <f aca="false">COUNTIFS(C:C,C1325,N:N,"Đã xác nhận")/COUNTIFS(C:C,C1325)</f>
        <v>1</v>
      </c>
      <c r="Q1325" s="22"/>
      <c r="R1325" s="0" t="s">
        <v>613</v>
      </c>
      <c r="S1325" s="0" t="s">
        <v>536</v>
      </c>
      <c r="U1325" s="24" t="n">
        <v>1</v>
      </c>
    </row>
    <row r="1326" customFormat="false" ht="12.75" hidden="false" customHeight="false" outlineLevel="0" collapsed="false">
      <c r="A1326" s="15" t="s">
        <v>4250</v>
      </c>
      <c r="B1326" s="15" t="s">
        <v>2304</v>
      </c>
      <c r="C1326" s="15" t="s">
        <v>4232</v>
      </c>
      <c r="D1326" s="15" t="s">
        <v>2346</v>
      </c>
      <c r="E1326" s="15" t="s">
        <v>69</v>
      </c>
      <c r="G1326" s="10" t="n">
        <v>3</v>
      </c>
      <c r="H1326" s="21" t="n">
        <v>46050.4869444444</v>
      </c>
      <c r="I1326" s="15" t="s">
        <v>4251</v>
      </c>
      <c r="J1326" s="15" t="s">
        <v>4251</v>
      </c>
      <c r="K1326" s="15"/>
      <c r="L1326" s="10" t="n">
        <f aca="false">COUNTIF($E$2:E1326,E1326)</f>
        <v>170</v>
      </c>
      <c r="M1326" s="10" t="e">
        <f aca="false">ifs(L1326=1, L1326&amp;"-"&amp; COUNTIFS($L$2:L1326,1))</f>
        <v>#NAME?</v>
      </c>
      <c r="N1326" s="15" t="s">
        <v>603</v>
      </c>
      <c r="O1326" s="10" t="s">
        <v>3730</v>
      </c>
      <c r="P1326" s="22" t="n">
        <f aca="false">COUNTIFS(C:C,C1326,N:N,"Đã xác nhận")/COUNTIFS(C:C,C1326)</f>
        <v>1</v>
      </c>
      <c r="Q1326" s="22"/>
      <c r="R1326" s="0" t="s">
        <v>2346</v>
      </c>
      <c r="S1326" s="0" t="s">
        <v>535</v>
      </c>
      <c r="U1326" s="24" t="n">
        <v>3</v>
      </c>
    </row>
    <row r="1327" customFormat="false" ht="12.75" hidden="false" customHeight="false" outlineLevel="0" collapsed="false">
      <c r="A1327" s="15" t="s">
        <v>4252</v>
      </c>
      <c r="B1327" s="15" t="s">
        <v>2304</v>
      </c>
      <c r="C1327" s="15" t="s">
        <v>4232</v>
      </c>
      <c r="D1327" s="15" t="s">
        <v>2346</v>
      </c>
      <c r="E1327" s="15" t="s">
        <v>33</v>
      </c>
      <c r="G1327" s="10" t="n">
        <v>3</v>
      </c>
      <c r="H1327" s="21" t="n">
        <v>46050.4868981482</v>
      </c>
      <c r="I1327" s="15" t="s">
        <v>4253</v>
      </c>
      <c r="J1327" s="15" t="s">
        <v>4253</v>
      </c>
      <c r="K1327" s="15"/>
      <c r="L1327" s="10" t="n">
        <f aca="false">COUNTIF($E$2:E1327,E1327)</f>
        <v>134</v>
      </c>
      <c r="M1327" s="10" t="e">
        <f aca="false">ifs(L1327=1, L1327&amp;"-"&amp; COUNTIFS($L$2:L1327,1))</f>
        <v>#NAME?</v>
      </c>
      <c r="N1327" s="15" t="s">
        <v>603</v>
      </c>
      <c r="O1327" s="10" t="s">
        <v>3730</v>
      </c>
      <c r="P1327" s="22" t="n">
        <f aca="false">COUNTIFS(C:C,C1327,N:N,"Đã xác nhận")/COUNTIFS(C:C,C1327)</f>
        <v>1</v>
      </c>
      <c r="Q1327" s="22"/>
      <c r="R1327" s="0" t="s">
        <v>2346</v>
      </c>
      <c r="S1327" s="0" t="s">
        <v>536</v>
      </c>
      <c r="U1327" s="24" t="n">
        <v>3</v>
      </c>
    </row>
    <row r="1328" customFormat="false" ht="12.75" hidden="false" customHeight="false" outlineLevel="0" collapsed="false">
      <c r="A1328" s="15" t="s">
        <v>4254</v>
      </c>
      <c r="B1328" s="15" t="s">
        <v>2304</v>
      </c>
      <c r="C1328" s="15" t="s">
        <v>4232</v>
      </c>
      <c r="D1328" s="15" t="s">
        <v>878</v>
      </c>
      <c r="E1328" s="15" t="s">
        <v>33</v>
      </c>
      <c r="G1328" s="10" t="n">
        <v>1</v>
      </c>
      <c r="H1328" s="21" t="n">
        <v>46050.4868981482</v>
      </c>
      <c r="I1328" s="15" t="s">
        <v>4255</v>
      </c>
      <c r="J1328" s="15" t="s">
        <v>4255</v>
      </c>
      <c r="K1328" s="15"/>
      <c r="L1328" s="10" t="n">
        <f aca="false">COUNTIF($E$2:E1328,E1328)</f>
        <v>135</v>
      </c>
      <c r="M1328" s="10" t="e">
        <f aca="false">ifs(L1328=1, L1328&amp;"-"&amp; COUNTIFS($L$2:L1328,1))</f>
        <v>#NAME?</v>
      </c>
      <c r="N1328" s="15" t="s">
        <v>603</v>
      </c>
      <c r="O1328" s="10" t="s">
        <v>3730</v>
      </c>
      <c r="P1328" s="22" t="n">
        <f aca="false">COUNTIFS(C:C,C1328,N:N,"Đã xác nhận")/COUNTIFS(C:C,C1328)</f>
        <v>1</v>
      </c>
      <c r="Q1328" s="22"/>
      <c r="R1328" s="0" t="s">
        <v>768</v>
      </c>
      <c r="S1328" s="0" t="s">
        <v>536</v>
      </c>
      <c r="U1328" s="24" t="n">
        <v>1</v>
      </c>
    </row>
    <row r="1329" customFormat="false" ht="12.75" hidden="false" customHeight="false" outlineLevel="0" collapsed="false">
      <c r="A1329" s="15" t="s">
        <v>4256</v>
      </c>
      <c r="B1329" s="15" t="s">
        <v>2304</v>
      </c>
      <c r="C1329" s="15" t="s">
        <v>4232</v>
      </c>
      <c r="D1329" s="15" t="s">
        <v>2333</v>
      </c>
      <c r="E1329" s="15" t="s">
        <v>69</v>
      </c>
      <c r="G1329" s="10" t="n">
        <v>1</v>
      </c>
      <c r="H1329" s="21" t="n">
        <v>46050.4869560185</v>
      </c>
      <c r="I1329" s="15" t="s">
        <v>4257</v>
      </c>
      <c r="J1329" s="15" t="s">
        <v>4257</v>
      </c>
      <c r="K1329" s="15"/>
      <c r="L1329" s="10" t="n">
        <f aca="false">COUNTIF($E$2:E1329,E1329)</f>
        <v>171</v>
      </c>
      <c r="M1329" s="10" t="e">
        <f aca="false">ifs(L1329=1, L1329&amp;"-"&amp; COUNTIFS($L$2:L1329,1))</f>
        <v>#NAME?</v>
      </c>
      <c r="N1329" s="15" t="s">
        <v>603</v>
      </c>
      <c r="O1329" s="10" t="s">
        <v>3730</v>
      </c>
      <c r="P1329" s="22" t="n">
        <f aca="false">COUNTIFS(C:C,C1329,N:N,"Đã xác nhận")/COUNTIFS(C:C,C1329)</f>
        <v>1</v>
      </c>
      <c r="Q1329" s="22"/>
      <c r="R1329" s="0" t="s">
        <v>2333</v>
      </c>
      <c r="S1329" s="0" t="s">
        <v>535</v>
      </c>
      <c r="U1329" s="24" t="n">
        <v>1</v>
      </c>
    </row>
    <row r="1330" customFormat="false" ht="12.75" hidden="false" customHeight="false" outlineLevel="0" collapsed="false">
      <c r="A1330" s="15" t="s">
        <v>4258</v>
      </c>
      <c r="B1330" s="15" t="s">
        <v>2304</v>
      </c>
      <c r="C1330" s="15" t="s">
        <v>4232</v>
      </c>
      <c r="D1330" s="15" t="s">
        <v>2333</v>
      </c>
      <c r="E1330" s="15" t="s">
        <v>33</v>
      </c>
      <c r="G1330" s="10" t="n">
        <v>1</v>
      </c>
      <c r="H1330" s="21" t="n">
        <v>46050.4869097222</v>
      </c>
      <c r="I1330" s="15" t="s">
        <v>4259</v>
      </c>
      <c r="J1330" s="15" t="s">
        <v>4259</v>
      </c>
      <c r="K1330" s="15"/>
      <c r="L1330" s="10" t="n">
        <f aca="false">COUNTIF($E$2:E1330,E1330)</f>
        <v>136</v>
      </c>
      <c r="M1330" s="10" t="e">
        <f aca="false">ifs(L1330=1, L1330&amp;"-"&amp; COUNTIFS($L$2:L1330,1))</f>
        <v>#NAME?</v>
      </c>
      <c r="N1330" s="15" t="s">
        <v>603</v>
      </c>
      <c r="O1330" s="10" t="s">
        <v>3730</v>
      </c>
      <c r="P1330" s="22" t="n">
        <f aca="false">COUNTIFS(C:C,C1330,N:N,"Đã xác nhận")/COUNTIFS(C:C,C1330)</f>
        <v>1</v>
      </c>
      <c r="Q1330" s="22"/>
      <c r="R1330" s="0" t="s">
        <v>2333</v>
      </c>
      <c r="S1330" s="0" t="s">
        <v>536</v>
      </c>
      <c r="U1330" s="24" t="n">
        <v>1</v>
      </c>
    </row>
    <row r="1331" customFormat="false" ht="12.75" hidden="false" customHeight="false" outlineLevel="0" collapsed="false">
      <c r="A1331" s="15" t="s">
        <v>4260</v>
      </c>
      <c r="B1331" s="15" t="s">
        <v>2304</v>
      </c>
      <c r="C1331" s="15" t="s">
        <v>4232</v>
      </c>
      <c r="D1331" s="15" t="s">
        <v>878</v>
      </c>
      <c r="E1331" s="15" t="s">
        <v>69</v>
      </c>
      <c r="G1331" s="10" t="n">
        <v>1</v>
      </c>
      <c r="H1331" s="21" t="n">
        <v>46050.4869560185</v>
      </c>
      <c r="I1331" s="15" t="s">
        <v>4261</v>
      </c>
      <c r="J1331" s="15" t="s">
        <v>4261</v>
      </c>
      <c r="K1331" s="15"/>
      <c r="L1331" s="10" t="n">
        <f aca="false">COUNTIF($E$2:E1331,E1331)</f>
        <v>172</v>
      </c>
      <c r="M1331" s="10" t="e">
        <f aca="false">ifs(L1331=1, L1331&amp;"-"&amp; COUNTIFS($L$2:L1331,1))</f>
        <v>#NAME?</v>
      </c>
      <c r="N1331" s="15" t="s">
        <v>603</v>
      </c>
      <c r="O1331" s="10" t="s">
        <v>3730</v>
      </c>
      <c r="P1331" s="22" t="n">
        <f aca="false">COUNTIFS(C:C,C1331,N:N,"Đã xác nhận")/COUNTIFS(C:C,C1331)</f>
        <v>1</v>
      </c>
      <c r="Q1331" s="22"/>
      <c r="R1331" s="0" t="s">
        <v>768</v>
      </c>
      <c r="S1331" s="0" t="s">
        <v>535</v>
      </c>
      <c r="U1331" s="24" t="n">
        <v>1</v>
      </c>
    </row>
    <row r="1332" customFormat="false" ht="12.75" hidden="false" customHeight="false" outlineLevel="0" collapsed="false">
      <c r="A1332" s="15" t="s">
        <v>4262</v>
      </c>
      <c r="B1332" s="15" t="s">
        <v>2304</v>
      </c>
      <c r="C1332" s="15" t="s">
        <v>523</v>
      </c>
      <c r="D1332" s="15" t="s">
        <v>2311</v>
      </c>
      <c r="E1332" s="15" t="s">
        <v>55</v>
      </c>
      <c r="G1332" s="10" t="n">
        <v>1</v>
      </c>
      <c r="H1332" s="21" t="n">
        <v>46050.5012152778</v>
      </c>
      <c r="I1332" s="15" t="s">
        <v>4263</v>
      </c>
      <c r="J1332" s="15" t="s">
        <v>4263</v>
      </c>
      <c r="K1332" s="15"/>
      <c r="L1332" s="10" t="n">
        <f aca="false">COUNTIF($E$2:E1332,E1332)</f>
        <v>130</v>
      </c>
      <c r="M1332" s="10" t="e">
        <f aca="false">ifs(L1332=1, L1332&amp;"-"&amp; COUNTIFS($L$2:L1332,1))</f>
        <v>#NAME?</v>
      </c>
      <c r="N1332" s="15" t="s">
        <v>603</v>
      </c>
      <c r="O1332" s="10" t="s">
        <v>3730</v>
      </c>
      <c r="P1332" s="22" t="n">
        <f aca="false">COUNTIFS(C:C,C1332,N:N,"Đã xác nhận")/COUNTIFS(C:C,C1332)</f>
        <v>0.9375</v>
      </c>
      <c r="Q1332" s="22"/>
      <c r="R1332" s="0" t="s">
        <v>2313</v>
      </c>
      <c r="S1332" s="0" t="s">
        <v>539</v>
      </c>
      <c r="U1332" s="24" t="n">
        <v>1</v>
      </c>
    </row>
    <row r="1333" customFormat="false" ht="12.75" hidden="false" customHeight="false" outlineLevel="0" collapsed="false">
      <c r="A1333" s="15" t="s">
        <v>4264</v>
      </c>
      <c r="B1333" s="15" t="s">
        <v>2304</v>
      </c>
      <c r="C1333" s="15" t="s">
        <v>523</v>
      </c>
      <c r="D1333" s="15" t="s">
        <v>4265</v>
      </c>
      <c r="E1333" s="15" t="s">
        <v>55</v>
      </c>
      <c r="G1333" s="10" t="n">
        <v>1</v>
      </c>
      <c r="H1333" s="21" t="n">
        <v>46050.5012615741</v>
      </c>
      <c r="I1333" s="15" t="s">
        <v>4266</v>
      </c>
      <c r="J1333" s="15" t="s">
        <v>4266</v>
      </c>
      <c r="K1333" s="15"/>
      <c r="L1333" s="10" t="n">
        <f aca="false">COUNTIF($E$2:E1333,E1333)</f>
        <v>131</v>
      </c>
      <c r="M1333" s="10" t="e">
        <f aca="false">ifs(L1333=1, L1333&amp;"-"&amp; COUNTIFS($L$2:L1333,1))</f>
        <v>#NAME?</v>
      </c>
      <c r="N1333" s="15" t="s">
        <v>603</v>
      </c>
      <c r="O1333" s="10" t="s">
        <v>3730</v>
      </c>
      <c r="P1333" s="22" t="n">
        <f aca="false">COUNTIFS(C:C,C1333,N:N,"Đã xác nhận")/COUNTIFS(C:C,C1333)</f>
        <v>0.9375</v>
      </c>
      <c r="Q1333" s="22"/>
      <c r="R1333" s="0" t="s">
        <v>4267</v>
      </c>
      <c r="S1333" s="0" t="s">
        <v>539</v>
      </c>
      <c r="U1333" s="24" t="n">
        <v>1</v>
      </c>
    </row>
    <row r="1334" customFormat="false" ht="12.75" hidden="false" customHeight="false" outlineLevel="0" collapsed="false">
      <c r="A1334" s="15" t="s">
        <v>4268</v>
      </c>
      <c r="B1334" s="15" t="s">
        <v>2304</v>
      </c>
      <c r="C1334" s="15" t="s">
        <v>523</v>
      </c>
      <c r="D1334" s="15" t="s">
        <v>4269</v>
      </c>
      <c r="E1334" s="15" t="s">
        <v>55</v>
      </c>
      <c r="G1334" s="10" t="n">
        <v>1</v>
      </c>
      <c r="H1334" s="21" t="n">
        <v>46050.5012268519</v>
      </c>
      <c r="I1334" s="15" t="s">
        <v>4270</v>
      </c>
      <c r="J1334" s="15" t="s">
        <v>4270</v>
      </c>
      <c r="K1334" s="15"/>
      <c r="L1334" s="10" t="n">
        <f aca="false">COUNTIF($E$2:E1334,E1334)</f>
        <v>132</v>
      </c>
      <c r="M1334" s="10" t="e">
        <f aca="false">ifs(L1334=1, L1334&amp;"-"&amp; COUNTIFS($L$2:L1334,1))</f>
        <v>#NAME?</v>
      </c>
      <c r="N1334" s="15" t="s">
        <v>603</v>
      </c>
      <c r="O1334" s="10" t="s">
        <v>3730</v>
      </c>
      <c r="P1334" s="22" t="n">
        <f aca="false">COUNTIFS(C:C,C1334,N:N,"Đã xác nhận")/COUNTIFS(C:C,C1334)</f>
        <v>0.9375</v>
      </c>
      <c r="Q1334" s="22"/>
      <c r="R1334" s="0" t="s">
        <v>4271</v>
      </c>
      <c r="S1334" s="0" t="s">
        <v>539</v>
      </c>
      <c r="U1334" s="24" t="n">
        <v>1</v>
      </c>
    </row>
    <row r="1335" customFormat="false" ht="12.75" hidden="false" customHeight="false" outlineLevel="0" collapsed="false">
      <c r="A1335" s="15" t="s">
        <v>4272</v>
      </c>
      <c r="B1335" s="15" t="s">
        <v>2304</v>
      </c>
      <c r="C1335" s="15" t="s">
        <v>523</v>
      </c>
      <c r="D1335" s="15" t="s">
        <v>4269</v>
      </c>
      <c r="E1335" s="15" t="s">
        <v>55</v>
      </c>
      <c r="G1335" s="10" t="n">
        <v>1</v>
      </c>
      <c r="H1335" s="21" t="n">
        <v>46050.4992592593</v>
      </c>
      <c r="I1335" s="15" t="s">
        <v>1566</v>
      </c>
      <c r="J1335" s="15" t="s">
        <v>4270</v>
      </c>
      <c r="K1335" s="15" t="s">
        <v>4273</v>
      </c>
      <c r="L1335" s="10" t="n">
        <f aca="false">COUNTIF($E$2:E1335,E1335)</f>
        <v>133</v>
      </c>
      <c r="M1335" s="10" t="e">
        <f aca="false">ifs(L1335=1, L1335&amp;"-"&amp; COUNTIFS($L$2:L1335,1))</f>
        <v>#NAME?</v>
      </c>
      <c r="N1335" s="15"/>
      <c r="O1335" s="10" t="s">
        <v>3730</v>
      </c>
      <c r="P1335" s="22" t="n">
        <f aca="false">COUNTIFS(C:C,C1335,N:N,"Đã xác nhận")/COUNTIFS(C:C,C1335)</f>
        <v>0.9375</v>
      </c>
      <c r="Q1335" s="22"/>
      <c r="R1335" s="0" t="s">
        <v>4271</v>
      </c>
      <c r="S1335" s="0" t="s">
        <v>539</v>
      </c>
      <c r="U1335" s="24" t="n">
        <v>1</v>
      </c>
    </row>
    <row r="1336" customFormat="false" ht="12.75" hidden="false" customHeight="false" outlineLevel="0" collapsed="false">
      <c r="A1336" s="15" t="s">
        <v>4274</v>
      </c>
      <c r="B1336" s="15" t="s">
        <v>2304</v>
      </c>
      <c r="C1336" s="15" t="s">
        <v>523</v>
      </c>
      <c r="D1336" s="15" t="s">
        <v>4269</v>
      </c>
      <c r="E1336" s="15" t="s">
        <v>547</v>
      </c>
      <c r="G1336" s="10" t="n">
        <v>1</v>
      </c>
      <c r="H1336" s="21" t="n">
        <v>46050.5010416667</v>
      </c>
      <c r="I1336" s="15" t="s">
        <v>4275</v>
      </c>
      <c r="J1336" s="15" t="s">
        <v>4275</v>
      </c>
      <c r="K1336" s="15"/>
      <c r="L1336" s="10" t="n">
        <f aca="false">COUNTIF($E$2:E1336,E1336)</f>
        <v>41</v>
      </c>
      <c r="M1336" s="10" t="e">
        <f aca="false">ifs(L1336=1, L1336&amp;"-"&amp; COUNTIFS($L$2:L1336,1))</f>
        <v>#NAME?</v>
      </c>
      <c r="N1336" s="15" t="s">
        <v>603</v>
      </c>
      <c r="O1336" s="10" t="s">
        <v>3730</v>
      </c>
      <c r="P1336" s="22" t="n">
        <f aca="false">COUNTIFS(C:C,C1336,N:N,"Đã xác nhận")/COUNTIFS(C:C,C1336)</f>
        <v>0.9375</v>
      </c>
      <c r="Q1336" s="22"/>
      <c r="R1336" s="0" t="s">
        <v>4271</v>
      </c>
      <c r="S1336" s="0" t="s">
        <v>548</v>
      </c>
      <c r="U1336" s="24" t="n">
        <v>1</v>
      </c>
    </row>
    <row r="1337" customFormat="false" ht="12.75" hidden="false" customHeight="false" outlineLevel="0" collapsed="false">
      <c r="A1337" s="15" t="s">
        <v>4276</v>
      </c>
      <c r="B1337" s="15" t="s">
        <v>2304</v>
      </c>
      <c r="C1337" s="15" t="s">
        <v>523</v>
      </c>
      <c r="D1337" s="15" t="s">
        <v>2321</v>
      </c>
      <c r="E1337" s="15" t="s">
        <v>37</v>
      </c>
      <c r="G1337" s="10" t="n">
        <v>1</v>
      </c>
      <c r="H1337" s="21" t="n">
        <v>46050.5011458333</v>
      </c>
      <c r="I1337" s="15" t="s">
        <v>4277</v>
      </c>
      <c r="J1337" s="15" t="s">
        <v>4277</v>
      </c>
      <c r="K1337" s="15"/>
      <c r="L1337" s="10" t="n">
        <f aca="false">COUNTIF($E$2:E1337,E1337)</f>
        <v>23</v>
      </c>
      <c r="M1337" s="10" t="e">
        <f aca="false">ifs(L1337=1, L1337&amp;"-"&amp; COUNTIFS($L$2:L1337,1))</f>
        <v>#NAME?</v>
      </c>
      <c r="N1337" s="15" t="s">
        <v>603</v>
      </c>
      <c r="O1337" s="10" t="s">
        <v>3730</v>
      </c>
      <c r="P1337" s="22" t="n">
        <f aca="false">COUNTIFS(C:C,C1337,N:N,"Đã xác nhận")/COUNTIFS(C:C,C1337)</f>
        <v>0.9375</v>
      </c>
      <c r="Q1337" s="22"/>
      <c r="R1337" s="0" t="s">
        <v>2323</v>
      </c>
      <c r="S1337" s="0" t="s">
        <v>561</v>
      </c>
      <c r="U1337" s="24" t="n">
        <v>1</v>
      </c>
    </row>
    <row r="1338" customFormat="false" ht="12.75" hidden="false" customHeight="false" outlineLevel="0" collapsed="false">
      <c r="A1338" s="15" t="s">
        <v>4278</v>
      </c>
      <c r="B1338" s="15" t="s">
        <v>2304</v>
      </c>
      <c r="C1338" s="15" t="s">
        <v>523</v>
      </c>
      <c r="D1338" s="15" t="s">
        <v>2329</v>
      </c>
      <c r="E1338" s="15" t="s">
        <v>47</v>
      </c>
      <c r="G1338" s="10" t="n">
        <v>1</v>
      </c>
      <c r="H1338" s="21" t="n">
        <v>46050.5011689815</v>
      </c>
      <c r="I1338" s="15" t="s">
        <v>4279</v>
      </c>
      <c r="J1338" s="15" t="s">
        <v>4279</v>
      </c>
      <c r="K1338" s="15"/>
      <c r="L1338" s="10" t="n">
        <f aca="false">COUNTIF($E$2:E1338,E1338)</f>
        <v>71</v>
      </c>
      <c r="M1338" s="10" t="e">
        <f aca="false">ifs(L1338=1, L1338&amp;"-"&amp; COUNTIFS($L$2:L1338,1))</f>
        <v>#NAME?</v>
      </c>
      <c r="N1338" s="15" t="s">
        <v>603</v>
      </c>
      <c r="O1338" s="10" t="s">
        <v>3730</v>
      </c>
      <c r="P1338" s="22" t="n">
        <f aca="false">COUNTIFS(C:C,C1338,N:N,"Đã xác nhận")/COUNTIFS(C:C,C1338)</f>
        <v>0.9375</v>
      </c>
      <c r="Q1338" s="22"/>
      <c r="R1338" s="0" t="s">
        <v>2331</v>
      </c>
      <c r="S1338" s="0" t="s">
        <v>549</v>
      </c>
      <c r="U1338" s="24" t="n">
        <v>1</v>
      </c>
    </row>
    <row r="1339" customFormat="false" ht="12.75" hidden="false" customHeight="false" outlineLevel="0" collapsed="false">
      <c r="A1339" s="15" t="s">
        <v>4280</v>
      </c>
      <c r="B1339" s="15" t="s">
        <v>2304</v>
      </c>
      <c r="C1339" s="15" t="s">
        <v>523</v>
      </c>
      <c r="D1339" s="15" t="s">
        <v>2663</v>
      </c>
      <c r="E1339" s="15" t="s">
        <v>81</v>
      </c>
      <c r="G1339" s="10" t="n">
        <v>1</v>
      </c>
      <c r="H1339" s="21" t="n">
        <v>46050.5013657407</v>
      </c>
      <c r="I1339" s="15" t="s">
        <v>4281</v>
      </c>
      <c r="J1339" s="15" t="s">
        <v>4281</v>
      </c>
      <c r="K1339" s="15"/>
      <c r="L1339" s="10" t="n">
        <f aca="false">COUNTIF($E$2:E1339,E1339)</f>
        <v>215</v>
      </c>
      <c r="M1339" s="10" t="e">
        <f aca="false">ifs(L1339=1, L1339&amp;"-"&amp; COUNTIFS($L$2:L1339,1))</f>
        <v>#NAME?</v>
      </c>
      <c r="N1339" s="15" t="s">
        <v>603</v>
      </c>
      <c r="O1339" s="10" t="s">
        <v>3730</v>
      </c>
      <c r="P1339" s="22" t="n">
        <f aca="false">COUNTIFS(C:C,C1339,N:N,"Đã xác nhận")/COUNTIFS(C:C,C1339)</f>
        <v>0.9375</v>
      </c>
      <c r="Q1339" s="22"/>
      <c r="R1339" s="0" t="s">
        <v>2666</v>
      </c>
      <c r="S1339" s="0" t="s">
        <v>534</v>
      </c>
      <c r="U1339" s="24" t="n">
        <v>1</v>
      </c>
    </row>
    <row r="1340" customFormat="false" ht="12.75" hidden="false" customHeight="false" outlineLevel="0" collapsed="false">
      <c r="A1340" s="15" t="s">
        <v>4282</v>
      </c>
      <c r="B1340" s="15" t="s">
        <v>2304</v>
      </c>
      <c r="C1340" s="15" t="s">
        <v>4283</v>
      </c>
      <c r="D1340" s="15" t="s">
        <v>2311</v>
      </c>
      <c r="E1340" s="15" t="s">
        <v>55</v>
      </c>
      <c r="G1340" s="10" t="n">
        <v>1</v>
      </c>
      <c r="H1340" s="21" t="n">
        <v>46050.6999189815</v>
      </c>
      <c r="I1340" s="15" t="s">
        <v>4284</v>
      </c>
      <c r="J1340" s="15" t="s">
        <v>4284</v>
      </c>
      <c r="K1340" s="15"/>
      <c r="L1340" s="10" t="n">
        <f aca="false">COUNTIF($E$2:E1340,E1340)</f>
        <v>134</v>
      </c>
      <c r="M1340" s="10" t="e">
        <f aca="false">ifs(L1340=1, L1340&amp;"-"&amp; COUNTIFS($L$2:L1340,1))</f>
        <v>#NAME?</v>
      </c>
      <c r="N1340" s="15" t="s">
        <v>603</v>
      </c>
      <c r="O1340" s="10" t="s">
        <v>3730</v>
      </c>
      <c r="P1340" s="22" t="n">
        <f aca="false">COUNTIFS(C:C,C1340,N:N,"Đã xác nhận")/COUNTIFS(C:C,C1340)</f>
        <v>1</v>
      </c>
      <c r="Q1340" s="22"/>
      <c r="R1340" s="0" t="s">
        <v>2313</v>
      </c>
      <c r="S1340" s="0" t="s">
        <v>539</v>
      </c>
      <c r="U1340" s="24" t="n">
        <v>1</v>
      </c>
    </row>
    <row r="1341" customFormat="false" ht="12.75" hidden="false" customHeight="false" outlineLevel="0" collapsed="false">
      <c r="A1341" s="15" t="s">
        <v>4285</v>
      </c>
      <c r="B1341" s="15" t="s">
        <v>2304</v>
      </c>
      <c r="C1341" s="15" t="s">
        <v>4283</v>
      </c>
      <c r="D1341" s="15" t="s">
        <v>4265</v>
      </c>
      <c r="E1341" s="15" t="s">
        <v>55</v>
      </c>
      <c r="G1341" s="10" t="n">
        <v>1</v>
      </c>
      <c r="H1341" s="21" t="n">
        <v>46050.6999305556</v>
      </c>
      <c r="I1341" s="15" t="s">
        <v>4286</v>
      </c>
      <c r="J1341" s="15" t="s">
        <v>4286</v>
      </c>
      <c r="K1341" s="15"/>
      <c r="L1341" s="10" t="n">
        <f aca="false">COUNTIF($E$2:E1341,E1341)</f>
        <v>135</v>
      </c>
      <c r="M1341" s="10" t="e">
        <f aca="false">ifs(L1341=1, L1341&amp;"-"&amp; COUNTIFS($L$2:L1341,1))</f>
        <v>#NAME?</v>
      </c>
      <c r="N1341" s="15" t="s">
        <v>603</v>
      </c>
      <c r="O1341" s="10" t="s">
        <v>3730</v>
      </c>
      <c r="P1341" s="22" t="n">
        <f aca="false">COUNTIFS(C:C,C1341,N:N,"Đã xác nhận")/COUNTIFS(C:C,C1341)</f>
        <v>1</v>
      </c>
      <c r="Q1341" s="22"/>
      <c r="R1341" s="0" t="s">
        <v>4267</v>
      </c>
      <c r="S1341" s="0" t="s">
        <v>539</v>
      </c>
      <c r="U1341" s="24" t="n">
        <v>1</v>
      </c>
    </row>
    <row r="1342" customFormat="false" ht="12.75" hidden="false" customHeight="false" outlineLevel="0" collapsed="false">
      <c r="A1342" s="15" t="s">
        <v>4287</v>
      </c>
      <c r="B1342" s="15" t="s">
        <v>2304</v>
      </c>
      <c r="C1342" s="15" t="s">
        <v>4283</v>
      </c>
      <c r="D1342" s="15" t="s">
        <v>4288</v>
      </c>
      <c r="E1342" s="15" t="s">
        <v>55</v>
      </c>
      <c r="G1342" s="10" t="n">
        <v>1</v>
      </c>
      <c r="H1342" s="21" t="n">
        <v>46050.6999189815</v>
      </c>
      <c r="I1342" s="15" t="s">
        <v>4289</v>
      </c>
      <c r="J1342" s="15" t="s">
        <v>4289</v>
      </c>
      <c r="K1342" s="15"/>
      <c r="L1342" s="10" t="n">
        <f aca="false">COUNTIF($E$2:E1342,E1342)</f>
        <v>136</v>
      </c>
      <c r="M1342" s="10" t="e">
        <f aca="false">ifs(L1342=1, L1342&amp;"-"&amp; COUNTIFS($L$2:L1342,1))</f>
        <v>#NAME?</v>
      </c>
      <c r="N1342" s="15" t="s">
        <v>603</v>
      </c>
      <c r="O1342" s="10" t="s">
        <v>3730</v>
      </c>
      <c r="P1342" s="22" t="n">
        <f aca="false">COUNTIFS(C:C,C1342,N:N,"Đã xác nhận")/COUNTIFS(C:C,C1342)</f>
        <v>1</v>
      </c>
      <c r="Q1342" s="22"/>
      <c r="R1342" s="0" t="s">
        <v>4290</v>
      </c>
      <c r="S1342" s="0" t="s">
        <v>539</v>
      </c>
      <c r="U1342" s="24" t="n">
        <v>1</v>
      </c>
    </row>
    <row r="1343" customFormat="false" ht="12.75" hidden="false" customHeight="false" outlineLevel="0" collapsed="false">
      <c r="A1343" s="15" t="s">
        <v>4291</v>
      </c>
      <c r="B1343" s="15" t="s">
        <v>2304</v>
      </c>
      <c r="C1343" s="15" t="s">
        <v>4283</v>
      </c>
      <c r="D1343" s="15" t="s">
        <v>2208</v>
      </c>
      <c r="E1343" s="15" t="s">
        <v>55</v>
      </c>
      <c r="G1343" s="10" t="n">
        <v>1</v>
      </c>
      <c r="H1343" s="21" t="n">
        <v>46050.6999074074</v>
      </c>
      <c r="I1343" s="15" t="s">
        <v>4292</v>
      </c>
      <c r="J1343" s="15" t="s">
        <v>4292</v>
      </c>
      <c r="K1343" s="15"/>
      <c r="L1343" s="10" t="n">
        <f aca="false">COUNTIF($E$2:E1343,E1343)</f>
        <v>137</v>
      </c>
      <c r="M1343" s="10" t="e">
        <f aca="false">ifs(L1343=1, L1343&amp;"-"&amp; COUNTIFS($L$2:L1343,1))</f>
        <v>#NAME?</v>
      </c>
      <c r="N1343" s="15" t="s">
        <v>603</v>
      </c>
      <c r="O1343" s="10" t="s">
        <v>3730</v>
      </c>
      <c r="P1343" s="22" t="n">
        <f aca="false">COUNTIFS(C:C,C1343,N:N,"Đã xác nhận")/COUNTIFS(C:C,C1343)</f>
        <v>1</v>
      </c>
      <c r="Q1343" s="22"/>
      <c r="R1343" s="0" t="s">
        <v>2211</v>
      </c>
      <c r="S1343" s="0" t="s">
        <v>539</v>
      </c>
      <c r="U1343" s="24" t="n">
        <v>1</v>
      </c>
    </row>
    <row r="1344" customFormat="false" ht="12.75" hidden="false" customHeight="false" outlineLevel="0" collapsed="false">
      <c r="A1344" s="15" t="s">
        <v>4293</v>
      </c>
      <c r="B1344" s="15" t="s">
        <v>2304</v>
      </c>
      <c r="C1344" s="15" t="s">
        <v>4283</v>
      </c>
      <c r="D1344" s="15" t="s">
        <v>2321</v>
      </c>
      <c r="E1344" s="15" t="s">
        <v>37</v>
      </c>
      <c r="G1344" s="10" t="n">
        <v>1</v>
      </c>
      <c r="H1344" s="21" t="n">
        <v>46050.6998842593</v>
      </c>
      <c r="I1344" s="15" t="s">
        <v>4294</v>
      </c>
      <c r="J1344" s="15" t="s">
        <v>4294</v>
      </c>
      <c r="K1344" s="15"/>
      <c r="L1344" s="10" t="n">
        <f aca="false">COUNTIF($E$2:E1344,E1344)</f>
        <v>24</v>
      </c>
      <c r="M1344" s="10" t="e">
        <f aca="false">ifs(L1344=1, L1344&amp;"-"&amp; COUNTIFS($L$2:L1344,1))</f>
        <v>#NAME?</v>
      </c>
      <c r="N1344" s="15" t="s">
        <v>603</v>
      </c>
      <c r="O1344" s="10" t="s">
        <v>3730</v>
      </c>
      <c r="P1344" s="22" t="n">
        <f aca="false">COUNTIFS(C:C,C1344,N:N,"Đã xác nhận")/COUNTIFS(C:C,C1344)</f>
        <v>1</v>
      </c>
      <c r="Q1344" s="22"/>
      <c r="R1344" s="0" t="s">
        <v>2323</v>
      </c>
      <c r="S1344" s="0" t="s">
        <v>561</v>
      </c>
      <c r="U1344" s="24" t="n">
        <v>1</v>
      </c>
    </row>
    <row r="1345" customFormat="false" ht="12.75" hidden="false" customHeight="false" outlineLevel="0" collapsed="false">
      <c r="A1345" s="15" t="s">
        <v>4295</v>
      </c>
      <c r="B1345" s="15" t="s">
        <v>2304</v>
      </c>
      <c r="C1345" s="15" t="s">
        <v>4283</v>
      </c>
      <c r="D1345" s="15" t="s">
        <v>2663</v>
      </c>
      <c r="E1345" s="15" t="s">
        <v>81</v>
      </c>
      <c r="G1345" s="10" t="n">
        <v>1</v>
      </c>
      <c r="H1345" s="21" t="n">
        <v>46050.7000231482</v>
      </c>
      <c r="I1345" s="15" t="s">
        <v>4296</v>
      </c>
      <c r="J1345" s="15" t="s">
        <v>4296</v>
      </c>
      <c r="K1345" s="15"/>
      <c r="L1345" s="10" t="n">
        <f aca="false">COUNTIF($E$2:E1345,E1345)</f>
        <v>216</v>
      </c>
      <c r="M1345" s="10" t="e">
        <f aca="false">ifs(L1345=1, L1345&amp;"-"&amp; COUNTIFS($L$2:L1345,1))</f>
        <v>#NAME?</v>
      </c>
      <c r="N1345" s="15" t="s">
        <v>603</v>
      </c>
      <c r="O1345" s="10" t="s">
        <v>3730</v>
      </c>
      <c r="P1345" s="22" t="n">
        <f aca="false">COUNTIFS(C:C,C1345,N:N,"Đã xác nhận")/COUNTIFS(C:C,C1345)</f>
        <v>1</v>
      </c>
      <c r="Q1345" s="22"/>
      <c r="R1345" s="0" t="s">
        <v>2666</v>
      </c>
      <c r="S1345" s="0" t="s">
        <v>534</v>
      </c>
      <c r="U1345" s="24" t="n">
        <v>1</v>
      </c>
    </row>
    <row r="1346" customFormat="false" ht="12.75" hidden="false" customHeight="false" outlineLevel="0" collapsed="false">
      <c r="A1346" s="15" t="s">
        <v>4297</v>
      </c>
      <c r="B1346" s="15" t="s">
        <v>2304</v>
      </c>
      <c r="C1346" s="15" t="s">
        <v>4283</v>
      </c>
      <c r="D1346" s="15" t="s">
        <v>4298</v>
      </c>
      <c r="E1346" s="15" t="s">
        <v>547</v>
      </c>
      <c r="G1346" s="10" t="n">
        <v>1</v>
      </c>
      <c r="H1346" s="21" t="n">
        <v>46050.6997800926</v>
      </c>
      <c r="I1346" s="15" t="s">
        <v>4299</v>
      </c>
      <c r="J1346" s="15" t="s">
        <v>4299</v>
      </c>
      <c r="K1346" s="15"/>
      <c r="L1346" s="10" t="n">
        <f aca="false">COUNTIF($E$2:E1346,E1346)</f>
        <v>42</v>
      </c>
      <c r="M1346" s="10" t="e">
        <f aca="false">ifs(L1346=1, L1346&amp;"-"&amp; COUNTIFS($L$2:L1346,1))</f>
        <v>#NAME?</v>
      </c>
      <c r="N1346" s="15" t="s">
        <v>603</v>
      </c>
      <c r="O1346" s="10" t="s">
        <v>3730</v>
      </c>
      <c r="P1346" s="22" t="n">
        <f aca="false">COUNTIFS(C:C,C1346,N:N,"Đã xác nhận")/COUNTIFS(C:C,C1346)</f>
        <v>1</v>
      </c>
      <c r="Q1346" s="22"/>
      <c r="R1346" s="0" t="s">
        <v>4300</v>
      </c>
      <c r="S1346" s="0" t="s">
        <v>548</v>
      </c>
      <c r="U1346" s="24" t="n">
        <v>1</v>
      </c>
    </row>
    <row r="1347" customFormat="false" ht="12.75" hidden="false" customHeight="false" outlineLevel="0" collapsed="false">
      <c r="A1347" s="15" t="s">
        <v>4301</v>
      </c>
      <c r="B1347" s="15" t="s">
        <v>2304</v>
      </c>
      <c r="C1347" s="15" t="s">
        <v>4283</v>
      </c>
      <c r="D1347" s="15" t="s">
        <v>611</v>
      </c>
      <c r="E1347" s="15" t="s">
        <v>69</v>
      </c>
      <c r="G1347" s="10" t="n">
        <v>1</v>
      </c>
      <c r="H1347" s="21" t="n">
        <v>46050.6999768519</v>
      </c>
      <c r="I1347" s="15" t="s">
        <v>4302</v>
      </c>
      <c r="J1347" s="15" t="s">
        <v>4302</v>
      </c>
      <c r="K1347" s="15"/>
      <c r="L1347" s="10" t="n">
        <f aca="false">COUNTIF($E$2:E1347,E1347)</f>
        <v>173</v>
      </c>
      <c r="M1347" s="10" t="e">
        <f aca="false">ifs(L1347=1, L1347&amp;"-"&amp; COUNTIFS($L$2:L1347,1))</f>
        <v>#NAME?</v>
      </c>
      <c r="N1347" s="15" t="s">
        <v>603</v>
      </c>
      <c r="O1347" s="10" t="s">
        <v>3730</v>
      </c>
      <c r="P1347" s="22" t="n">
        <f aca="false">COUNTIFS(C:C,C1347,N:N,"Đã xác nhận")/COUNTIFS(C:C,C1347)</f>
        <v>1</v>
      </c>
      <c r="Q1347" s="22"/>
      <c r="R1347" s="0" t="s">
        <v>613</v>
      </c>
      <c r="S1347" s="0" t="s">
        <v>535</v>
      </c>
      <c r="U1347" s="24" t="n">
        <v>1</v>
      </c>
    </row>
    <row r="1348" customFormat="false" ht="12.75" hidden="false" customHeight="false" outlineLevel="0" collapsed="false">
      <c r="A1348" s="15" t="s">
        <v>4303</v>
      </c>
      <c r="B1348" s="15" t="s">
        <v>2304</v>
      </c>
      <c r="C1348" s="15" t="s">
        <v>4283</v>
      </c>
      <c r="D1348" s="15" t="s">
        <v>611</v>
      </c>
      <c r="E1348" s="15" t="s">
        <v>33</v>
      </c>
      <c r="G1348" s="10" t="n">
        <v>1</v>
      </c>
      <c r="H1348" s="21" t="n">
        <v>46050.6998032407</v>
      </c>
      <c r="I1348" s="15" t="s">
        <v>4304</v>
      </c>
      <c r="J1348" s="15" t="s">
        <v>4304</v>
      </c>
      <c r="K1348" s="15"/>
      <c r="L1348" s="10" t="n">
        <f aca="false">COUNTIF($E$2:E1348,E1348)</f>
        <v>137</v>
      </c>
      <c r="M1348" s="10" t="e">
        <f aca="false">ifs(L1348=1, L1348&amp;"-"&amp; COUNTIFS($L$2:L1348,1))</f>
        <v>#NAME?</v>
      </c>
      <c r="N1348" s="15" t="s">
        <v>603</v>
      </c>
      <c r="O1348" s="10" t="s">
        <v>3730</v>
      </c>
      <c r="P1348" s="22" t="n">
        <f aca="false">COUNTIFS(C:C,C1348,N:N,"Đã xác nhận")/COUNTIFS(C:C,C1348)</f>
        <v>1</v>
      </c>
      <c r="Q1348" s="22"/>
      <c r="R1348" s="0" t="s">
        <v>613</v>
      </c>
      <c r="S1348" s="0" t="s">
        <v>536</v>
      </c>
      <c r="U1348" s="24" t="n">
        <v>1</v>
      </c>
    </row>
    <row r="1349" customFormat="false" ht="12.75" hidden="false" customHeight="false" outlineLevel="0" collapsed="false">
      <c r="A1349" s="15" t="s">
        <v>4305</v>
      </c>
      <c r="B1349" s="15" t="s">
        <v>2304</v>
      </c>
      <c r="C1349" s="15" t="s">
        <v>4283</v>
      </c>
      <c r="D1349" s="15" t="s">
        <v>2346</v>
      </c>
      <c r="E1349" s="15" t="s">
        <v>69</v>
      </c>
      <c r="G1349" s="10" t="n">
        <v>3</v>
      </c>
      <c r="H1349" s="21" t="n">
        <v>46050.6999884259</v>
      </c>
      <c r="I1349" s="15" t="s">
        <v>4306</v>
      </c>
      <c r="J1349" s="15" t="s">
        <v>4306</v>
      </c>
      <c r="K1349" s="15"/>
      <c r="L1349" s="10" t="n">
        <f aca="false">COUNTIF($E$2:E1349,E1349)</f>
        <v>174</v>
      </c>
      <c r="M1349" s="10" t="e">
        <f aca="false">ifs(L1349=1, L1349&amp;"-"&amp; COUNTIFS($L$2:L1349,1))</f>
        <v>#NAME?</v>
      </c>
      <c r="N1349" s="15" t="s">
        <v>603</v>
      </c>
      <c r="O1349" s="10" t="s">
        <v>3730</v>
      </c>
      <c r="P1349" s="22" t="n">
        <f aca="false">COUNTIFS(C:C,C1349,N:N,"Đã xác nhận")/COUNTIFS(C:C,C1349)</f>
        <v>1</v>
      </c>
      <c r="Q1349" s="22"/>
      <c r="R1349" s="0" t="s">
        <v>2346</v>
      </c>
      <c r="S1349" s="0" t="s">
        <v>535</v>
      </c>
      <c r="U1349" s="24" t="n">
        <v>3</v>
      </c>
    </row>
    <row r="1350" customFormat="false" ht="12.75" hidden="false" customHeight="false" outlineLevel="0" collapsed="false">
      <c r="A1350" s="15" t="s">
        <v>4307</v>
      </c>
      <c r="B1350" s="15" t="s">
        <v>2304</v>
      </c>
      <c r="C1350" s="15" t="s">
        <v>4283</v>
      </c>
      <c r="D1350" s="15" t="s">
        <v>2346</v>
      </c>
      <c r="E1350" s="15" t="s">
        <v>33</v>
      </c>
      <c r="G1350" s="10" t="n">
        <v>3</v>
      </c>
      <c r="H1350" s="21" t="n">
        <v>46050.6998148148</v>
      </c>
      <c r="I1350" s="15" t="s">
        <v>4308</v>
      </c>
      <c r="J1350" s="15" t="s">
        <v>4308</v>
      </c>
      <c r="K1350" s="15"/>
      <c r="L1350" s="10" t="n">
        <f aca="false">COUNTIF($E$2:E1350,E1350)</f>
        <v>138</v>
      </c>
      <c r="M1350" s="10" t="e">
        <f aca="false">ifs(L1350=1, L1350&amp;"-"&amp; COUNTIFS($L$2:L1350,1))</f>
        <v>#NAME?</v>
      </c>
      <c r="N1350" s="15" t="s">
        <v>603</v>
      </c>
      <c r="O1350" s="10" t="s">
        <v>3730</v>
      </c>
      <c r="P1350" s="22" t="n">
        <f aca="false">COUNTIFS(C:C,C1350,N:N,"Đã xác nhận")/COUNTIFS(C:C,C1350)</f>
        <v>1</v>
      </c>
      <c r="Q1350" s="22"/>
      <c r="R1350" s="0" t="s">
        <v>2346</v>
      </c>
      <c r="S1350" s="0" t="s">
        <v>536</v>
      </c>
      <c r="U1350" s="24" t="n">
        <v>3</v>
      </c>
    </row>
    <row r="1351" customFormat="false" ht="12.75" hidden="false" customHeight="false" outlineLevel="0" collapsed="false">
      <c r="A1351" s="15" t="s">
        <v>4309</v>
      </c>
      <c r="B1351" s="15" t="s">
        <v>2304</v>
      </c>
      <c r="C1351" s="15" t="s">
        <v>4283</v>
      </c>
      <c r="D1351" s="15" t="s">
        <v>878</v>
      </c>
      <c r="E1351" s="15" t="s">
        <v>69</v>
      </c>
      <c r="G1351" s="10" t="n">
        <v>1</v>
      </c>
      <c r="H1351" s="21" t="n">
        <v>46050.6999884259</v>
      </c>
      <c r="I1351" s="15" t="s">
        <v>4310</v>
      </c>
      <c r="J1351" s="15" t="s">
        <v>4310</v>
      </c>
      <c r="K1351" s="15"/>
      <c r="L1351" s="10" t="n">
        <f aca="false">COUNTIF($E$2:E1351,E1351)</f>
        <v>175</v>
      </c>
      <c r="M1351" s="10" t="e">
        <f aca="false">ifs(L1351=1, L1351&amp;"-"&amp; COUNTIFS($L$2:L1351,1))</f>
        <v>#NAME?</v>
      </c>
      <c r="N1351" s="15" t="s">
        <v>603</v>
      </c>
      <c r="O1351" s="10" t="s">
        <v>3730</v>
      </c>
      <c r="P1351" s="22" t="n">
        <f aca="false">COUNTIFS(C:C,C1351,N:N,"Đã xác nhận")/COUNTIFS(C:C,C1351)</f>
        <v>1</v>
      </c>
      <c r="Q1351" s="22"/>
      <c r="R1351" s="0" t="s">
        <v>768</v>
      </c>
      <c r="S1351" s="0" t="s">
        <v>535</v>
      </c>
      <c r="U1351" s="24" t="n">
        <v>1</v>
      </c>
    </row>
    <row r="1352" customFormat="false" ht="12.75" hidden="false" customHeight="false" outlineLevel="0" collapsed="false">
      <c r="A1352" s="15" t="s">
        <v>4311</v>
      </c>
      <c r="B1352" s="15" t="s">
        <v>2304</v>
      </c>
      <c r="C1352" s="15" t="s">
        <v>4283</v>
      </c>
      <c r="D1352" s="15" t="s">
        <v>878</v>
      </c>
      <c r="E1352" s="15" t="s">
        <v>33</v>
      </c>
      <c r="G1352" s="10" t="n">
        <v>1</v>
      </c>
      <c r="H1352" s="21" t="n">
        <v>46050.6998263889</v>
      </c>
      <c r="I1352" s="15" t="s">
        <v>4312</v>
      </c>
      <c r="J1352" s="15" t="s">
        <v>4312</v>
      </c>
      <c r="K1352" s="15"/>
      <c r="L1352" s="10" t="n">
        <f aca="false">COUNTIF($E$2:E1352,E1352)</f>
        <v>139</v>
      </c>
      <c r="M1352" s="10" t="e">
        <f aca="false">ifs(L1352=1, L1352&amp;"-"&amp; COUNTIFS($L$2:L1352,1))</f>
        <v>#NAME?</v>
      </c>
      <c r="N1352" s="15" t="s">
        <v>603</v>
      </c>
      <c r="O1352" s="10" t="s">
        <v>3730</v>
      </c>
      <c r="P1352" s="22" t="n">
        <f aca="false">COUNTIFS(C:C,C1352,N:N,"Đã xác nhận")/COUNTIFS(C:C,C1352)</f>
        <v>1</v>
      </c>
      <c r="Q1352" s="22"/>
      <c r="R1352" s="0" t="s">
        <v>768</v>
      </c>
      <c r="S1352" s="0" t="s">
        <v>536</v>
      </c>
      <c r="U1352" s="24" t="n">
        <v>1</v>
      </c>
    </row>
    <row r="1353" customFormat="false" ht="12.75" hidden="false" customHeight="false" outlineLevel="0" collapsed="false">
      <c r="A1353" s="15" t="s">
        <v>4313</v>
      </c>
      <c r="B1353" s="15" t="s">
        <v>2304</v>
      </c>
      <c r="C1353" s="15" t="s">
        <v>4283</v>
      </c>
      <c r="D1353" s="15" t="s">
        <v>2333</v>
      </c>
      <c r="E1353" s="15" t="s">
        <v>69</v>
      </c>
      <c r="G1353" s="10" t="n">
        <v>1</v>
      </c>
      <c r="H1353" s="21" t="n">
        <v>46050.7</v>
      </c>
      <c r="I1353" s="15" t="s">
        <v>4314</v>
      </c>
      <c r="J1353" s="15" t="s">
        <v>4314</v>
      </c>
      <c r="K1353" s="15"/>
      <c r="L1353" s="10" t="n">
        <f aca="false">COUNTIF($E$2:E1353,E1353)</f>
        <v>176</v>
      </c>
      <c r="M1353" s="10" t="e">
        <f aca="false">ifs(L1353=1, L1353&amp;"-"&amp; COUNTIFS($L$2:L1353,1))</f>
        <v>#NAME?</v>
      </c>
      <c r="N1353" s="15" t="s">
        <v>603</v>
      </c>
      <c r="O1353" s="10" t="s">
        <v>3730</v>
      </c>
      <c r="P1353" s="22" t="n">
        <f aca="false">COUNTIFS(C:C,C1353,N:N,"Đã xác nhận")/COUNTIFS(C:C,C1353)</f>
        <v>1</v>
      </c>
      <c r="Q1353" s="22"/>
      <c r="R1353" s="0" t="s">
        <v>2333</v>
      </c>
      <c r="S1353" s="0" t="s">
        <v>535</v>
      </c>
      <c r="U1353" s="24" t="n">
        <v>1</v>
      </c>
    </row>
    <row r="1354" customFormat="false" ht="12.75" hidden="false" customHeight="false" outlineLevel="0" collapsed="false">
      <c r="A1354" s="15" t="s">
        <v>4315</v>
      </c>
      <c r="B1354" s="15" t="s">
        <v>2304</v>
      </c>
      <c r="C1354" s="15" t="s">
        <v>4283</v>
      </c>
      <c r="D1354" s="15" t="s">
        <v>2333</v>
      </c>
      <c r="E1354" s="15" t="s">
        <v>33</v>
      </c>
      <c r="G1354" s="10" t="n">
        <v>1</v>
      </c>
      <c r="H1354" s="21" t="n">
        <v>46050.699837963</v>
      </c>
      <c r="I1354" s="15" t="s">
        <v>4316</v>
      </c>
      <c r="J1354" s="15" t="s">
        <v>4316</v>
      </c>
      <c r="K1354" s="15"/>
      <c r="L1354" s="10" t="n">
        <f aca="false">COUNTIF($E$2:E1354,E1354)</f>
        <v>140</v>
      </c>
      <c r="M1354" s="10" t="e">
        <f aca="false">ifs(L1354=1, L1354&amp;"-"&amp; COUNTIFS($L$2:L1354,1))</f>
        <v>#NAME?</v>
      </c>
      <c r="N1354" s="15" t="s">
        <v>603</v>
      </c>
      <c r="O1354" s="10" t="s">
        <v>3730</v>
      </c>
      <c r="P1354" s="22" t="n">
        <f aca="false">COUNTIFS(C:C,C1354,N:N,"Đã xác nhận")/COUNTIFS(C:C,C1354)</f>
        <v>1</v>
      </c>
      <c r="Q1354" s="22"/>
      <c r="R1354" s="0" t="s">
        <v>2333</v>
      </c>
      <c r="S1354" s="0" t="s">
        <v>536</v>
      </c>
      <c r="U1354" s="24" t="n">
        <v>1</v>
      </c>
    </row>
    <row r="1355" customFormat="false" ht="12.75" hidden="false" customHeight="false" outlineLevel="0" collapsed="false">
      <c r="A1355" s="15" t="s">
        <v>4317</v>
      </c>
      <c r="B1355" s="15" t="s">
        <v>2304</v>
      </c>
      <c r="C1355" s="15" t="s">
        <v>205</v>
      </c>
      <c r="D1355" s="15" t="s">
        <v>2479</v>
      </c>
      <c r="E1355" s="15" t="s">
        <v>55</v>
      </c>
      <c r="G1355" s="10" t="n">
        <v>1</v>
      </c>
      <c r="H1355" s="21" t="n">
        <v>46050.7504861111</v>
      </c>
      <c r="I1355" s="15" t="s">
        <v>4318</v>
      </c>
      <c r="J1355" s="15" t="s">
        <v>4318</v>
      </c>
      <c r="K1355" s="15"/>
      <c r="L1355" s="10" t="n">
        <f aca="false">COUNTIF($E$2:E1355,E1355)</f>
        <v>138</v>
      </c>
      <c r="M1355" s="10" t="e">
        <f aca="false">ifs(L1355=1, L1355&amp;"-"&amp; COUNTIFS($L$2:L1355,1))</f>
        <v>#NAME?</v>
      </c>
      <c r="N1355" s="15" t="s">
        <v>603</v>
      </c>
      <c r="O1355" s="10" t="s">
        <v>3730</v>
      </c>
      <c r="P1355" s="22" t="n">
        <f aca="false">COUNTIFS(C:C,C1355,N:N,"Đã xác nhận")/COUNTIFS(C:C,C1355)</f>
        <v>1</v>
      </c>
      <c r="Q1355" s="22"/>
      <c r="R1355" s="0" t="s">
        <v>2483</v>
      </c>
      <c r="S1355" s="0" t="s">
        <v>539</v>
      </c>
      <c r="U1355" s="24" t="n">
        <v>1</v>
      </c>
    </row>
    <row r="1356" customFormat="false" ht="12.75" hidden="false" customHeight="false" outlineLevel="0" collapsed="false">
      <c r="A1356" s="15" t="s">
        <v>4319</v>
      </c>
      <c r="B1356" s="15" t="s">
        <v>2304</v>
      </c>
      <c r="C1356" s="15" t="s">
        <v>205</v>
      </c>
      <c r="D1356" s="15" t="s">
        <v>4320</v>
      </c>
      <c r="E1356" s="15" t="s">
        <v>55</v>
      </c>
      <c r="G1356" s="10" t="n">
        <v>2</v>
      </c>
      <c r="H1356" s="21" t="n">
        <v>46050.7505092593</v>
      </c>
      <c r="I1356" s="15" t="s">
        <v>4321</v>
      </c>
      <c r="J1356" s="15" t="s">
        <v>4321</v>
      </c>
      <c r="K1356" s="15"/>
      <c r="L1356" s="10" t="n">
        <f aca="false">COUNTIF($E$2:E1356,E1356)</f>
        <v>139</v>
      </c>
      <c r="M1356" s="10" t="e">
        <f aca="false">ifs(L1356=1, L1356&amp;"-"&amp; COUNTIFS($L$2:L1356,1))</f>
        <v>#NAME?</v>
      </c>
      <c r="N1356" s="15" t="s">
        <v>603</v>
      </c>
      <c r="O1356" s="10" t="s">
        <v>3730</v>
      </c>
      <c r="P1356" s="22" t="n">
        <f aca="false">COUNTIFS(C:C,C1356,N:N,"Đã xác nhận")/COUNTIFS(C:C,C1356)</f>
        <v>1</v>
      </c>
      <c r="Q1356" s="22"/>
      <c r="R1356" s="0" t="s">
        <v>4322</v>
      </c>
      <c r="S1356" s="0" t="s">
        <v>539</v>
      </c>
      <c r="U1356" s="24" t="n">
        <v>2</v>
      </c>
    </row>
    <row r="1357" customFormat="false" ht="12.75" hidden="false" customHeight="false" outlineLevel="0" collapsed="false">
      <c r="A1357" s="15" t="s">
        <v>4323</v>
      </c>
      <c r="B1357" s="15" t="s">
        <v>2304</v>
      </c>
      <c r="C1357" s="15" t="s">
        <v>205</v>
      </c>
      <c r="D1357" s="15" t="s">
        <v>4324</v>
      </c>
      <c r="E1357" s="15" t="s">
        <v>81</v>
      </c>
      <c r="G1357" s="10" t="n">
        <v>1</v>
      </c>
      <c r="H1357" s="21" t="n">
        <v>46050.7505324074</v>
      </c>
      <c r="I1357" s="15" t="s">
        <v>4325</v>
      </c>
      <c r="J1357" s="15" t="s">
        <v>4325</v>
      </c>
      <c r="K1357" s="15"/>
      <c r="L1357" s="10" t="n">
        <f aca="false">COUNTIF($E$2:E1357,E1357)</f>
        <v>217</v>
      </c>
      <c r="M1357" s="10" t="e">
        <f aca="false">ifs(L1357=1, L1357&amp;"-"&amp; COUNTIFS($L$2:L1357,1))</f>
        <v>#NAME?</v>
      </c>
      <c r="N1357" s="15" t="s">
        <v>603</v>
      </c>
      <c r="O1357" s="10" t="s">
        <v>3730</v>
      </c>
      <c r="P1357" s="22" t="n">
        <f aca="false">COUNTIFS(C:C,C1357,N:N,"Đã xác nhận")/COUNTIFS(C:C,C1357)</f>
        <v>1</v>
      </c>
      <c r="Q1357" s="22"/>
      <c r="R1357" s="0" t="s">
        <v>4326</v>
      </c>
      <c r="S1357" s="0" t="s">
        <v>534</v>
      </c>
      <c r="U1357" s="24" t="n">
        <v>1</v>
      </c>
    </row>
    <row r="1358" customFormat="false" ht="12.75" hidden="false" customHeight="false" outlineLevel="0" collapsed="false">
      <c r="A1358" s="15" t="s">
        <v>4327</v>
      </c>
      <c r="B1358" s="15" t="s">
        <v>2304</v>
      </c>
      <c r="C1358" s="15" t="s">
        <v>205</v>
      </c>
      <c r="D1358" s="15" t="s">
        <v>611</v>
      </c>
      <c r="E1358" s="15" t="s">
        <v>69</v>
      </c>
      <c r="G1358" s="10" t="n">
        <v>1</v>
      </c>
      <c r="H1358" s="21" t="n">
        <v>46050.7505439815</v>
      </c>
      <c r="I1358" s="15" t="s">
        <v>4328</v>
      </c>
      <c r="J1358" s="15" t="s">
        <v>4328</v>
      </c>
      <c r="K1358" s="15"/>
      <c r="L1358" s="10" t="n">
        <f aca="false">COUNTIF($E$2:E1358,E1358)</f>
        <v>177</v>
      </c>
      <c r="M1358" s="10" t="e">
        <f aca="false">ifs(L1358=1, L1358&amp;"-"&amp; COUNTIFS($L$2:L1358,1))</f>
        <v>#NAME?</v>
      </c>
      <c r="N1358" s="15" t="s">
        <v>603</v>
      </c>
      <c r="O1358" s="10" t="s">
        <v>3730</v>
      </c>
      <c r="P1358" s="22" t="n">
        <f aca="false">COUNTIFS(C:C,C1358,N:N,"Đã xác nhận")/COUNTIFS(C:C,C1358)</f>
        <v>1</v>
      </c>
      <c r="Q1358" s="22"/>
      <c r="R1358" s="0" t="s">
        <v>613</v>
      </c>
      <c r="S1358" s="0" t="s">
        <v>535</v>
      </c>
      <c r="U1358" s="24" t="n">
        <v>1</v>
      </c>
    </row>
    <row r="1359" customFormat="false" ht="12.75" hidden="false" customHeight="false" outlineLevel="0" collapsed="false">
      <c r="A1359" s="15" t="s">
        <v>4329</v>
      </c>
      <c r="B1359" s="15" t="s">
        <v>2304</v>
      </c>
      <c r="C1359" s="15" t="s">
        <v>205</v>
      </c>
      <c r="D1359" s="15" t="s">
        <v>611</v>
      </c>
      <c r="E1359" s="15" t="s">
        <v>33</v>
      </c>
      <c r="G1359" s="10" t="n">
        <v>1</v>
      </c>
      <c r="H1359" s="21" t="n">
        <v>46050.7505671296</v>
      </c>
      <c r="I1359" s="15" t="s">
        <v>4330</v>
      </c>
      <c r="J1359" s="15" t="s">
        <v>4330</v>
      </c>
      <c r="K1359" s="15"/>
      <c r="L1359" s="10" t="n">
        <f aca="false">COUNTIF($E$2:E1359,E1359)</f>
        <v>141</v>
      </c>
      <c r="M1359" s="10" t="e">
        <f aca="false">ifs(L1359=1, L1359&amp;"-"&amp; COUNTIFS($L$2:L1359,1))</f>
        <v>#NAME?</v>
      </c>
      <c r="N1359" s="15" t="s">
        <v>603</v>
      </c>
      <c r="O1359" s="10" t="s">
        <v>3730</v>
      </c>
      <c r="P1359" s="22" t="n">
        <f aca="false">COUNTIFS(C:C,C1359,N:N,"Đã xác nhận")/COUNTIFS(C:C,C1359)</f>
        <v>1</v>
      </c>
      <c r="Q1359" s="22"/>
      <c r="R1359" s="0" t="s">
        <v>613</v>
      </c>
      <c r="S1359" s="0" t="s">
        <v>536</v>
      </c>
      <c r="U1359" s="24" t="n">
        <v>1</v>
      </c>
    </row>
    <row r="1360" customFormat="false" ht="12.75" hidden="false" customHeight="false" outlineLevel="0" collapsed="false">
      <c r="A1360" s="15" t="s">
        <v>4331</v>
      </c>
      <c r="B1360" s="15" t="s">
        <v>2304</v>
      </c>
      <c r="C1360" s="15" t="s">
        <v>205</v>
      </c>
      <c r="D1360" s="15" t="s">
        <v>2346</v>
      </c>
      <c r="E1360" s="15" t="s">
        <v>69</v>
      </c>
      <c r="G1360" s="10" t="n">
        <v>3</v>
      </c>
      <c r="H1360" s="21" t="n">
        <v>46050.7505671296</v>
      </c>
      <c r="I1360" s="15" t="s">
        <v>4332</v>
      </c>
      <c r="J1360" s="15" t="s">
        <v>4332</v>
      </c>
      <c r="K1360" s="15"/>
      <c r="L1360" s="10" t="n">
        <f aca="false">COUNTIF($E$2:E1360,E1360)</f>
        <v>178</v>
      </c>
      <c r="M1360" s="10" t="e">
        <f aca="false">ifs(L1360=1, L1360&amp;"-"&amp; COUNTIFS($L$2:L1360,1))</f>
        <v>#NAME?</v>
      </c>
      <c r="N1360" s="15" t="s">
        <v>603</v>
      </c>
      <c r="O1360" s="10" t="s">
        <v>3730</v>
      </c>
      <c r="P1360" s="22" t="n">
        <f aca="false">COUNTIFS(C:C,C1360,N:N,"Đã xác nhận")/COUNTIFS(C:C,C1360)</f>
        <v>1</v>
      </c>
      <c r="Q1360" s="22"/>
      <c r="R1360" s="0" t="s">
        <v>2346</v>
      </c>
      <c r="S1360" s="0" t="s">
        <v>535</v>
      </c>
      <c r="U1360" s="24" t="n">
        <v>3</v>
      </c>
    </row>
    <row r="1361" customFormat="false" ht="12.75" hidden="false" customHeight="false" outlineLevel="0" collapsed="false">
      <c r="A1361" s="15" t="s">
        <v>4333</v>
      </c>
      <c r="B1361" s="15" t="s">
        <v>2304</v>
      </c>
      <c r="C1361" s="15" t="s">
        <v>205</v>
      </c>
      <c r="D1361" s="15" t="s">
        <v>2346</v>
      </c>
      <c r="E1361" s="15" t="s">
        <v>33</v>
      </c>
      <c r="G1361" s="10" t="n">
        <v>3</v>
      </c>
      <c r="H1361" s="21" t="n">
        <v>46050.7505787037</v>
      </c>
      <c r="I1361" s="15" t="s">
        <v>4334</v>
      </c>
      <c r="J1361" s="15" t="s">
        <v>4334</v>
      </c>
      <c r="K1361" s="15"/>
      <c r="L1361" s="10" t="n">
        <f aca="false">COUNTIF($E$2:E1361,E1361)</f>
        <v>142</v>
      </c>
      <c r="M1361" s="10" t="e">
        <f aca="false">ifs(L1361=1, L1361&amp;"-"&amp; COUNTIFS($L$2:L1361,1))</f>
        <v>#NAME?</v>
      </c>
      <c r="N1361" s="15" t="s">
        <v>603</v>
      </c>
      <c r="O1361" s="10" t="s">
        <v>3730</v>
      </c>
      <c r="P1361" s="22" t="n">
        <f aca="false">COUNTIFS(C:C,C1361,N:N,"Đã xác nhận")/COUNTIFS(C:C,C1361)</f>
        <v>1</v>
      </c>
      <c r="Q1361" s="22"/>
      <c r="R1361" s="0" t="s">
        <v>2346</v>
      </c>
      <c r="S1361" s="0" t="s">
        <v>536</v>
      </c>
      <c r="U1361" s="24" t="n">
        <v>3</v>
      </c>
    </row>
    <row r="1362" customFormat="false" ht="12.75" hidden="false" customHeight="false" outlineLevel="0" collapsed="false">
      <c r="A1362" s="15" t="s">
        <v>4335</v>
      </c>
      <c r="B1362" s="15" t="s">
        <v>2304</v>
      </c>
      <c r="C1362" s="15" t="s">
        <v>205</v>
      </c>
      <c r="D1362" s="15" t="s">
        <v>878</v>
      </c>
      <c r="E1362" s="15" t="s">
        <v>69</v>
      </c>
      <c r="G1362" s="10" t="n">
        <v>1</v>
      </c>
      <c r="H1362" s="21" t="n">
        <v>46050.7505902778</v>
      </c>
      <c r="I1362" s="15" t="s">
        <v>4336</v>
      </c>
      <c r="J1362" s="15" t="s">
        <v>4336</v>
      </c>
      <c r="K1362" s="15"/>
      <c r="L1362" s="10" t="n">
        <f aca="false">COUNTIF($E$2:E1362,E1362)</f>
        <v>179</v>
      </c>
      <c r="M1362" s="10" t="e">
        <f aca="false">ifs(L1362=1, L1362&amp;"-"&amp; COUNTIFS($L$2:L1362,1))</f>
        <v>#NAME?</v>
      </c>
      <c r="N1362" s="15" t="s">
        <v>603</v>
      </c>
      <c r="O1362" s="10" t="s">
        <v>3730</v>
      </c>
      <c r="P1362" s="22" t="n">
        <f aca="false">COUNTIFS(C:C,C1362,N:N,"Đã xác nhận")/COUNTIFS(C:C,C1362)</f>
        <v>1</v>
      </c>
      <c r="Q1362" s="22"/>
      <c r="R1362" s="0" t="s">
        <v>768</v>
      </c>
      <c r="S1362" s="0" t="s">
        <v>535</v>
      </c>
      <c r="U1362" s="24" t="n">
        <v>1</v>
      </c>
    </row>
    <row r="1363" customFormat="false" ht="12.75" hidden="false" customHeight="false" outlineLevel="0" collapsed="false">
      <c r="A1363" s="15" t="s">
        <v>4337</v>
      </c>
      <c r="B1363" s="15"/>
      <c r="C1363" s="15"/>
      <c r="D1363" s="15"/>
      <c r="E1363" s="15"/>
      <c r="G1363" s="10" t="n">
        <v>0</v>
      </c>
      <c r="H1363" s="21" t="n">
        <v>46050.7496412037</v>
      </c>
      <c r="I1363" s="15" t="s">
        <v>4334</v>
      </c>
      <c r="J1363" s="15" t="s">
        <v>695</v>
      </c>
      <c r="K1363" s="15" t="s">
        <v>4338</v>
      </c>
      <c r="L1363" s="10" t="n">
        <f aca="false">COUNTIF($E$2:E1363,E1363)</f>
        <v>0</v>
      </c>
      <c r="M1363" s="10" t="e">
        <f aca="false">ifs(L1363=1, L1363&amp;"-"&amp; COUNTIFS($L$2:L1363,1))</f>
        <v>#NAME?</v>
      </c>
      <c r="N1363" s="15"/>
      <c r="O1363" s="10" t="s">
        <v>3730</v>
      </c>
      <c r="P1363" s="22" t="e">
        <f aca="false">COUNTIFS(C:C,C1363,N:N,"Đã xác nhận")/COUNTIFS(C:C,C1363)</f>
        <v>#DIV/0!</v>
      </c>
      <c r="Q1363" s="22"/>
      <c r="R1363" s="0" t="e">
        <f aca="false">#VALUE!</f>
        <v>#VALUE!</v>
      </c>
      <c r="S1363" s="0" t="e">
        <f aca="false">#VALUE!</f>
        <v>#VALUE!</v>
      </c>
      <c r="U1363" s="24" t="n">
        <v>0</v>
      </c>
    </row>
    <row r="1364" customFormat="false" ht="12.75" hidden="false" customHeight="false" outlineLevel="0" collapsed="false">
      <c r="A1364" s="15" t="s">
        <v>4339</v>
      </c>
      <c r="B1364" s="15" t="s">
        <v>2304</v>
      </c>
      <c r="C1364" s="15" t="s">
        <v>205</v>
      </c>
      <c r="D1364" s="15" t="s">
        <v>878</v>
      </c>
      <c r="E1364" s="15" t="s">
        <v>33</v>
      </c>
      <c r="G1364" s="10" t="n">
        <v>1</v>
      </c>
      <c r="H1364" s="21" t="n">
        <v>46050.7506018519</v>
      </c>
      <c r="I1364" s="15" t="s">
        <v>4340</v>
      </c>
      <c r="J1364" s="15" t="s">
        <v>4340</v>
      </c>
      <c r="K1364" s="15"/>
      <c r="L1364" s="10" t="n">
        <f aca="false">COUNTIF($E$2:E1364,E1364)</f>
        <v>143</v>
      </c>
      <c r="M1364" s="10" t="e">
        <f aca="false">ifs(L1364=1, L1364&amp;"-"&amp; COUNTIFS($L$2:L1364,1))</f>
        <v>#NAME?</v>
      </c>
      <c r="N1364" s="15" t="s">
        <v>603</v>
      </c>
      <c r="O1364" s="10" t="s">
        <v>3730</v>
      </c>
      <c r="P1364" s="22" t="n">
        <f aca="false">COUNTIFS(C:C,C1364,N:N,"Đã xác nhận")/COUNTIFS(C:C,C1364)</f>
        <v>1</v>
      </c>
      <c r="Q1364" s="22"/>
      <c r="R1364" s="0" t="s">
        <v>768</v>
      </c>
      <c r="S1364" s="0" t="s">
        <v>536</v>
      </c>
      <c r="U1364" s="24" t="n">
        <v>1</v>
      </c>
    </row>
    <row r="1365" customFormat="false" ht="12.75" hidden="false" customHeight="false" outlineLevel="0" collapsed="false">
      <c r="A1365" s="15" t="s">
        <v>4341</v>
      </c>
      <c r="B1365" s="15" t="s">
        <v>2304</v>
      </c>
      <c r="C1365" s="15" t="s">
        <v>205</v>
      </c>
      <c r="D1365" s="15" t="s">
        <v>2333</v>
      </c>
      <c r="E1365" s="15" t="s">
        <v>69</v>
      </c>
      <c r="G1365" s="10" t="n">
        <v>1</v>
      </c>
      <c r="H1365" s="21" t="n">
        <v>46050.750625</v>
      </c>
      <c r="I1365" s="15" t="s">
        <v>4342</v>
      </c>
      <c r="J1365" s="15" t="s">
        <v>4342</v>
      </c>
      <c r="K1365" s="15"/>
      <c r="L1365" s="10" t="n">
        <f aca="false">COUNTIF($E$2:E1365,E1365)</f>
        <v>180</v>
      </c>
      <c r="M1365" s="10" t="e">
        <f aca="false">ifs(L1365=1, L1365&amp;"-"&amp; COUNTIFS($L$2:L1365,1))</f>
        <v>#NAME?</v>
      </c>
      <c r="N1365" s="15" t="s">
        <v>603</v>
      </c>
      <c r="O1365" s="10" t="s">
        <v>3730</v>
      </c>
      <c r="P1365" s="22" t="n">
        <f aca="false">COUNTIFS(C:C,C1365,N:N,"Đã xác nhận")/COUNTIFS(C:C,C1365)</f>
        <v>1</v>
      </c>
      <c r="Q1365" s="22"/>
      <c r="R1365" s="0" t="s">
        <v>2333</v>
      </c>
      <c r="S1365" s="0" t="s">
        <v>535</v>
      </c>
      <c r="U1365" s="24" t="n">
        <v>1</v>
      </c>
    </row>
    <row r="1366" customFormat="false" ht="12.75" hidden="false" customHeight="false" outlineLevel="0" collapsed="false">
      <c r="A1366" s="15" t="s">
        <v>4343</v>
      </c>
      <c r="B1366" s="15" t="s">
        <v>2304</v>
      </c>
      <c r="C1366" s="15" t="s">
        <v>205</v>
      </c>
      <c r="D1366" s="15" t="s">
        <v>2333</v>
      </c>
      <c r="E1366" s="15" t="s">
        <v>33</v>
      </c>
      <c r="G1366" s="10" t="n">
        <v>1</v>
      </c>
      <c r="H1366" s="21" t="n">
        <v>46050.750625</v>
      </c>
      <c r="I1366" s="15" t="s">
        <v>4344</v>
      </c>
      <c r="J1366" s="15" t="s">
        <v>4344</v>
      </c>
      <c r="K1366" s="15"/>
      <c r="L1366" s="10" t="n">
        <f aca="false">COUNTIF($E$2:E1366,E1366)</f>
        <v>144</v>
      </c>
      <c r="M1366" s="10" t="e">
        <f aca="false">ifs(L1366=1, L1366&amp;"-"&amp; COUNTIFS($L$2:L1366,1))</f>
        <v>#NAME?</v>
      </c>
      <c r="N1366" s="15" t="s">
        <v>603</v>
      </c>
      <c r="O1366" s="10" t="s">
        <v>3730</v>
      </c>
      <c r="P1366" s="22" t="n">
        <f aca="false">COUNTIFS(C:C,C1366,N:N,"Đã xác nhận")/COUNTIFS(C:C,C1366)</f>
        <v>1</v>
      </c>
      <c r="Q1366" s="22"/>
      <c r="R1366" s="0" t="s">
        <v>2333</v>
      </c>
      <c r="S1366" s="0" t="s">
        <v>536</v>
      </c>
      <c r="U1366" s="24" t="n">
        <v>1</v>
      </c>
    </row>
    <row r="1367" customFormat="false" ht="12.75" hidden="false" customHeight="false" outlineLevel="0" collapsed="false">
      <c r="A1367" s="15" t="s">
        <v>4345</v>
      </c>
      <c r="B1367" s="15" t="s">
        <v>2304</v>
      </c>
      <c r="C1367" s="15" t="s">
        <v>2353</v>
      </c>
      <c r="D1367" s="15" t="s">
        <v>2321</v>
      </c>
      <c r="E1367" s="15" t="s">
        <v>37</v>
      </c>
      <c r="G1367" s="10" t="n">
        <v>1</v>
      </c>
      <c r="H1367" s="21" t="n">
        <v>46050.757650463</v>
      </c>
      <c r="I1367" s="15" t="s">
        <v>4346</v>
      </c>
      <c r="J1367" s="15" t="s">
        <v>4346</v>
      </c>
      <c r="K1367" s="15"/>
      <c r="L1367" s="10" t="n">
        <f aca="false">COUNTIF($E$2:E1367,E1367)</f>
        <v>25</v>
      </c>
      <c r="M1367" s="10" t="e">
        <f aca="false">ifs(L1367=1, L1367&amp;"-"&amp; COUNTIFS($L$2:L1367,1))</f>
        <v>#NAME?</v>
      </c>
      <c r="N1367" s="15" t="s">
        <v>603</v>
      </c>
      <c r="O1367" s="10" t="s">
        <v>3730</v>
      </c>
      <c r="P1367" s="22" t="n">
        <f aca="false">COUNTIFS(C:C,C1367,N:N,"Đã xác nhận")/COUNTIFS(C:C,C1367)</f>
        <v>1</v>
      </c>
      <c r="Q1367" s="22"/>
      <c r="R1367" s="0" t="s">
        <v>2323</v>
      </c>
      <c r="S1367" s="0" t="s">
        <v>561</v>
      </c>
      <c r="U1367" s="24" t="n">
        <v>1</v>
      </c>
    </row>
    <row r="1368" customFormat="false" ht="12.75" hidden="false" customHeight="false" outlineLevel="0" collapsed="false">
      <c r="A1368" s="15" t="s">
        <v>4347</v>
      </c>
      <c r="B1368" s="15" t="s">
        <v>2304</v>
      </c>
      <c r="C1368" s="15" t="s">
        <v>2353</v>
      </c>
      <c r="D1368" s="15" t="s">
        <v>2674</v>
      </c>
      <c r="E1368" s="15" t="s">
        <v>547</v>
      </c>
      <c r="G1368" s="10" t="n">
        <v>1</v>
      </c>
      <c r="H1368" s="21" t="n">
        <v>46050.7574652778</v>
      </c>
      <c r="I1368" s="15" t="s">
        <v>4348</v>
      </c>
      <c r="J1368" s="15" t="s">
        <v>4348</v>
      </c>
      <c r="K1368" s="15"/>
      <c r="L1368" s="10" t="n">
        <f aca="false">COUNTIF($E$2:E1368,E1368)</f>
        <v>43</v>
      </c>
      <c r="M1368" s="10" t="e">
        <f aca="false">ifs(L1368=1, L1368&amp;"-"&amp; COUNTIFS($L$2:L1368,1))</f>
        <v>#NAME?</v>
      </c>
      <c r="N1368" s="15" t="s">
        <v>603</v>
      </c>
      <c r="O1368" s="10" t="s">
        <v>3730</v>
      </c>
      <c r="P1368" s="22" t="n">
        <f aca="false">COUNTIFS(C:C,C1368,N:N,"Đã xác nhận")/COUNTIFS(C:C,C1368)</f>
        <v>1</v>
      </c>
      <c r="Q1368" s="22"/>
      <c r="R1368" s="0" t="s">
        <v>2676</v>
      </c>
      <c r="S1368" s="0" t="s">
        <v>548</v>
      </c>
      <c r="U1368" s="24" t="n">
        <v>1</v>
      </c>
    </row>
    <row r="1369" customFormat="false" ht="12.75" hidden="false" customHeight="false" outlineLevel="0" collapsed="false">
      <c r="A1369" s="15" t="s">
        <v>4349</v>
      </c>
      <c r="B1369" s="15" t="s">
        <v>2304</v>
      </c>
      <c r="C1369" s="15" t="s">
        <v>2353</v>
      </c>
      <c r="D1369" s="15" t="s">
        <v>2329</v>
      </c>
      <c r="E1369" s="15" t="s">
        <v>47</v>
      </c>
      <c r="G1369" s="10" t="n">
        <v>1</v>
      </c>
      <c r="H1369" s="21" t="n">
        <v>46050.7575347222</v>
      </c>
      <c r="I1369" s="15" t="s">
        <v>4350</v>
      </c>
      <c r="J1369" s="15" t="s">
        <v>4350</v>
      </c>
      <c r="K1369" s="15"/>
      <c r="L1369" s="10" t="n">
        <f aca="false">COUNTIF($E$2:E1369,E1369)</f>
        <v>72</v>
      </c>
      <c r="M1369" s="10" t="e">
        <f aca="false">ifs(L1369=1, L1369&amp;"-"&amp; COUNTIFS($L$2:L1369,1))</f>
        <v>#NAME?</v>
      </c>
      <c r="N1369" s="15" t="s">
        <v>603</v>
      </c>
      <c r="O1369" s="10" t="s">
        <v>3730</v>
      </c>
      <c r="P1369" s="22" t="n">
        <f aca="false">COUNTIFS(C:C,C1369,N:N,"Đã xác nhận")/COUNTIFS(C:C,C1369)</f>
        <v>1</v>
      </c>
      <c r="Q1369" s="22"/>
      <c r="R1369" s="0" t="s">
        <v>2331</v>
      </c>
      <c r="S1369" s="0" t="s">
        <v>549</v>
      </c>
      <c r="U1369" s="24" t="n">
        <v>1</v>
      </c>
    </row>
    <row r="1370" customFormat="false" ht="12.75" hidden="false" customHeight="false" outlineLevel="0" collapsed="false">
      <c r="A1370" s="15" t="s">
        <v>4351</v>
      </c>
      <c r="B1370" s="15" t="s">
        <v>2304</v>
      </c>
      <c r="C1370" s="15" t="s">
        <v>2353</v>
      </c>
      <c r="D1370" s="15" t="s">
        <v>2663</v>
      </c>
      <c r="E1370" s="15" t="s">
        <v>81</v>
      </c>
      <c r="G1370" s="10" t="n">
        <v>1</v>
      </c>
      <c r="H1370" s="21" t="n">
        <v>46050.7575115741</v>
      </c>
      <c r="I1370" s="15" t="s">
        <v>4352</v>
      </c>
      <c r="J1370" s="15" t="s">
        <v>4352</v>
      </c>
      <c r="K1370" s="15"/>
      <c r="L1370" s="10" t="n">
        <f aca="false">COUNTIF($E$2:E1370,E1370)</f>
        <v>218</v>
      </c>
      <c r="M1370" s="10" t="e">
        <f aca="false">ifs(L1370=1, L1370&amp;"-"&amp; COUNTIFS($L$2:L1370,1))</f>
        <v>#NAME?</v>
      </c>
      <c r="N1370" s="15" t="s">
        <v>603</v>
      </c>
      <c r="O1370" s="10" t="s">
        <v>3730</v>
      </c>
      <c r="P1370" s="22" t="n">
        <f aca="false">COUNTIFS(C:C,C1370,N:N,"Đã xác nhận")/COUNTIFS(C:C,C1370)</f>
        <v>1</v>
      </c>
      <c r="Q1370" s="22"/>
      <c r="R1370" s="0" t="s">
        <v>2666</v>
      </c>
      <c r="S1370" s="0" t="s">
        <v>534</v>
      </c>
      <c r="U1370" s="24" t="n">
        <v>1</v>
      </c>
    </row>
    <row r="1371" customFormat="false" ht="12.75" hidden="false" customHeight="false" outlineLevel="0" collapsed="false">
      <c r="A1371" s="15" t="s">
        <v>4353</v>
      </c>
      <c r="B1371" s="15" t="s">
        <v>2304</v>
      </c>
      <c r="C1371" s="15" t="s">
        <v>2353</v>
      </c>
      <c r="D1371" s="15" t="s">
        <v>4354</v>
      </c>
      <c r="E1371" s="15" t="s">
        <v>37</v>
      </c>
      <c r="G1371" s="10" t="n">
        <v>1</v>
      </c>
      <c r="H1371" s="21" t="n">
        <v>46050.7657986111</v>
      </c>
      <c r="I1371" s="15" t="s">
        <v>4355</v>
      </c>
      <c r="J1371" s="15" t="s">
        <v>4355</v>
      </c>
      <c r="K1371" s="15"/>
      <c r="L1371" s="10" t="n">
        <f aca="false">COUNTIF($E$2:E1371,E1371)</f>
        <v>26</v>
      </c>
      <c r="M1371" s="10" t="e">
        <f aca="false">ifs(L1371=1, L1371&amp;"-"&amp; COUNTIFS($L$2:L1371,1))</f>
        <v>#NAME?</v>
      </c>
      <c r="N1371" s="15" t="s">
        <v>603</v>
      </c>
      <c r="O1371" s="10" t="s">
        <v>3730</v>
      </c>
      <c r="P1371" s="22" t="n">
        <f aca="false">COUNTIFS(C:C,C1371,N:N,"Đã xác nhận")/COUNTIFS(C:C,C1371)</f>
        <v>1</v>
      </c>
      <c r="Q1371" s="22"/>
      <c r="R1371" s="0" t="s">
        <v>4356</v>
      </c>
      <c r="S1371" s="0" t="s">
        <v>561</v>
      </c>
      <c r="U1371" s="24" t="n">
        <v>1</v>
      </c>
    </row>
    <row r="1372" customFormat="false" ht="12.75" hidden="false" customHeight="false" outlineLevel="0" collapsed="false">
      <c r="A1372" s="15" t="s">
        <v>4357</v>
      </c>
      <c r="B1372" s="15" t="s">
        <v>2304</v>
      </c>
      <c r="C1372" s="15" t="s">
        <v>524</v>
      </c>
      <c r="D1372" s="15" t="s">
        <v>4358</v>
      </c>
      <c r="E1372" s="15" t="s">
        <v>55</v>
      </c>
      <c r="G1372" s="10" t="n">
        <v>1</v>
      </c>
      <c r="H1372" s="21" t="n">
        <v>46052.4788773148</v>
      </c>
      <c r="I1372" s="15" t="s">
        <v>4359</v>
      </c>
      <c r="J1372" s="15" t="s">
        <v>4359</v>
      </c>
      <c r="K1372" s="15"/>
      <c r="L1372" s="10" t="n">
        <f aca="false">COUNTIF($E$2:E1372,E1372)</f>
        <v>140</v>
      </c>
      <c r="M1372" s="10" t="e">
        <f aca="false">ifs(L1372=1, L1372&amp;"-"&amp; COUNTIFS($L$2:L1372,1))</f>
        <v>#NAME?</v>
      </c>
      <c r="N1372" s="15" t="s">
        <v>603</v>
      </c>
      <c r="O1372" s="10" t="s">
        <v>3730</v>
      </c>
      <c r="P1372" s="22" t="n">
        <f aca="false">COUNTIFS(C:C,C1372,N:N,"Đã xác nhận")/COUNTIFS(C:C,C1372)</f>
        <v>1</v>
      </c>
      <c r="Q1372" s="22"/>
      <c r="R1372" s="0" t="s">
        <v>4360</v>
      </c>
      <c r="S1372" s="0" t="s">
        <v>539</v>
      </c>
      <c r="U1372" s="24" t="n">
        <v>1</v>
      </c>
    </row>
    <row r="1373" customFormat="false" ht="12.75" hidden="false" customHeight="false" outlineLevel="0" collapsed="false">
      <c r="A1373" s="15" t="s">
        <v>4361</v>
      </c>
      <c r="B1373" s="15" t="s">
        <v>2304</v>
      </c>
      <c r="C1373" s="15" t="s">
        <v>524</v>
      </c>
      <c r="D1373" s="15" t="s">
        <v>4362</v>
      </c>
      <c r="E1373" s="15" t="s">
        <v>55</v>
      </c>
      <c r="G1373" s="10" t="n">
        <v>1</v>
      </c>
      <c r="H1373" s="21" t="n">
        <v>46052.4788657407</v>
      </c>
      <c r="I1373" s="15" t="s">
        <v>4363</v>
      </c>
      <c r="J1373" s="15" t="s">
        <v>4363</v>
      </c>
      <c r="K1373" s="15"/>
      <c r="L1373" s="10" t="n">
        <f aca="false">COUNTIF($E$2:E1373,E1373)</f>
        <v>141</v>
      </c>
      <c r="M1373" s="10" t="e">
        <f aca="false">ifs(L1373=1, L1373&amp;"-"&amp; COUNTIFS($L$2:L1373,1))</f>
        <v>#NAME?</v>
      </c>
      <c r="N1373" s="15" t="s">
        <v>603</v>
      </c>
      <c r="O1373" s="10" t="s">
        <v>3730</v>
      </c>
      <c r="P1373" s="22" t="n">
        <f aca="false">COUNTIFS(C:C,C1373,N:N,"Đã xác nhận")/COUNTIFS(C:C,C1373)</f>
        <v>1</v>
      </c>
      <c r="Q1373" s="22"/>
      <c r="R1373" s="0" t="s">
        <v>4364</v>
      </c>
      <c r="S1373" s="0" t="s">
        <v>539</v>
      </c>
      <c r="U1373" s="24" t="n">
        <v>1</v>
      </c>
    </row>
    <row r="1374" customFormat="false" ht="12.75" hidden="false" customHeight="false" outlineLevel="0" collapsed="false">
      <c r="A1374" s="15" t="s">
        <v>4365</v>
      </c>
      <c r="B1374" s="15" t="s">
        <v>2304</v>
      </c>
      <c r="C1374" s="15" t="s">
        <v>524</v>
      </c>
      <c r="D1374" s="15" t="s">
        <v>4366</v>
      </c>
      <c r="E1374" s="15" t="s">
        <v>55</v>
      </c>
      <c r="G1374" s="10" t="n">
        <v>1</v>
      </c>
      <c r="H1374" s="21" t="n">
        <v>46052.4788657407</v>
      </c>
      <c r="I1374" s="15" t="s">
        <v>4367</v>
      </c>
      <c r="J1374" s="15" t="s">
        <v>4367</v>
      </c>
      <c r="K1374" s="15"/>
      <c r="L1374" s="10" t="n">
        <f aca="false">COUNTIF($E$2:E1374,E1374)</f>
        <v>142</v>
      </c>
      <c r="M1374" s="10" t="e">
        <f aca="false">ifs(L1374=1, L1374&amp;"-"&amp; COUNTIFS($L$2:L1374,1))</f>
        <v>#NAME?</v>
      </c>
      <c r="N1374" s="15" t="s">
        <v>603</v>
      </c>
      <c r="O1374" s="10" t="s">
        <v>3730</v>
      </c>
      <c r="P1374" s="22" t="n">
        <f aca="false">COUNTIFS(C:C,C1374,N:N,"Đã xác nhận")/COUNTIFS(C:C,C1374)</f>
        <v>1</v>
      </c>
      <c r="Q1374" s="22"/>
      <c r="R1374" s="0" t="s">
        <v>4368</v>
      </c>
      <c r="S1374" s="0" t="s">
        <v>539</v>
      </c>
      <c r="U1374" s="24" t="n">
        <v>1</v>
      </c>
    </row>
    <row r="1375" customFormat="false" ht="12.75" hidden="false" customHeight="false" outlineLevel="0" collapsed="false">
      <c r="A1375" s="15" t="s">
        <v>4369</v>
      </c>
      <c r="B1375" s="15" t="s">
        <v>2304</v>
      </c>
      <c r="C1375" s="15" t="s">
        <v>524</v>
      </c>
      <c r="D1375" s="15" t="s">
        <v>2208</v>
      </c>
      <c r="E1375" s="15" t="s">
        <v>55</v>
      </c>
      <c r="G1375" s="10" t="n">
        <v>1</v>
      </c>
      <c r="H1375" s="21" t="n">
        <v>46052.4788310185</v>
      </c>
      <c r="I1375" s="15" t="s">
        <v>4370</v>
      </c>
      <c r="J1375" s="15" t="s">
        <v>4370</v>
      </c>
      <c r="K1375" s="15"/>
      <c r="L1375" s="10" t="n">
        <f aca="false">COUNTIF($E$2:E1375,E1375)</f>
        <v>143</v>
      </c>
      <c r="M1375" s="10" t="e">
        <f aca="false">ifs(L1375=1, L1375&amp;"-"&amp; COUNTIFS($L$2:L1375,1))</f>
        <v>#NAME?</v>
      </c>
      <c r="N1375" s="15" t="s">
        <v>603</v>
      </c>
      <c r="O1375" s="10" t="s">
        <v>3730</v>
      </c>
      <c r="P1375" s="22" t="n">
        <f aca="false">COUNTIFS(C:C,C1375,N:N,"Đã xác nhận")/COUNTIFS(C:C,C1375)</f>
        <v>1</v>
      </c>
      <c r="Q1375" s="22"/>
      <c r="R1375" s="0" t="s">
        <v>2211</v>
      </c>
      <c r="S1375" s="0" t="s">
        <v>539</v>
      </c>
      <c r="U1375" s="24" t="n">
        <v>1</v>
      </c>
    </row>
    <row r="1376" customFormat="false" ht="12.75" hidden="false" customHeight="false" outlineLevel="0" collapsed="false">
      <c r="A1376" s="15" t="s">
        <v>4371</v>
      </c>
      <c r="B1376" s="15" t="s">
        <v>2304</v>
      </c>
      <c r="C1376" s="15" t="s">
        <v>524</v>
      </c>
      <c r="D1376" s="15" t="s">
        <v>4372</v>
      </c>
      <c r="E1376" s="15" t="s">
        <v>81</v>
      </c>
      <c r="G1376" s="10" t="n">
        <v>1</v>
      </c>
      <c r="H1376" s="21" t="n">
        <v>46052.478900463</v>
      </c>
      <c r="I1376" s="15" t="s">
        <v>4373</v>
      </c>
      <c r="J1376" s="15" t="s">
        <v>4373</v>
      </c>
      <c r="K1376" s="15"/>
      <c r="L1376" s="10" t="n">
        <f aca="false">COUNTIF($E$2:E1376,E1376)</f>
        <v>219</v>
      </c>
      <c r="M1376" s="10" t="e">
        <f aca="false">ifs(L1376=1, L1376&amp;"-"&amp; COUNTIFS($L$2:L1376,1))</f>
        <v>#NAME?</v>
      </c>
      <c r="N1376" s="15" t="s">
        <v>603</v>
      </c>
      <c r="O1376" s="10" t="s">
        <v>3730</v>
      </c>
      <c r="P1376" s="22" t="n">
        <f aca="false">COUNTIFS(C:C,C1376,N:N,"Đã xác nhận")/COUNTIFS(C:C,C1376)</f>
        <v>1</v>
      </c>
      <c r="Q1376" s="22"/>
      <c r="R1376" s="0" t="s">
        <v>4374</v>
      </c>
      <c r="S1376" s="0" t="s">
        <v>534</v>
      </c>
      <c r="U1376" s="24" t="n">
        <v>1</v>
      </c>
    </row>
    <row r="1377" customFormat="false" ht="12.75" hidden="false" customHeight="false" outlineLevel="0" collapsed="false">
      <c r="A1377" s="15" t="s">
        <v>4375</v>
      </c>
      <c r="B1377" s="15" t="s">
        <v>2304</v>
      </c>
      <c r="C1377" s="15" t="s">
        <v>524</v>
      </c>
      <c r="D1377" s="15" t="s">
        <v>2321</v>
      </c>
      <c r="E1377" s="15" t="s">
        <v>37</v>
      </c>
      <c r="G1377" s="10" t="n">
        <v>1</v>
      </c>
      <c r="H1377" s="21" t="n">
        <v>46052.4789236111</v>
      </c>
      <c r="I1377" s="15" t="s">
        <v>4376</v>
      </c>
      <c r="J1377" s="15" t="s">
        <v>4376</v>
      </c>
      <c r="K1377" s="15"/>
      <c r="L1377" s="10" t="n">
        <f aca="false">COUNTIF($E$2:E1377,E1377)</f>
        <v>27</v>
      </c>
      <c r="M1377" s="10" t="e">
        <f aca="false">ifs(L1377=1, L1377&amp;"-"&amp; COUNTIFS($L$2:L1377,1))</f>
        <v>#NAME?</v>
      </c>
      <c r="N1377" s="15" t="s">
        <v>603</v>
      </c>
      <c r="O1377" s="10" t="s">
        <v>3730</v>
      </c>
      <c r="P1377" s="22" t="n">
        <f aca="false">COUNTIFS(C:C,C1377,N:N,"Đã xác nhận")/COUNTIFS(C:C,C1377)</f>
        <v>1</v>
      </c>
      <c r="Q1377" s="22"/>
      <c r="R1377" s="0" t="s">
        <v>2323</v>
      </c>
      <c r="S1377" s="0" t="s">
        <v>561</v>
      </c>
      <c r="U1377" s="24" t="n">
        <v>1</v>
      </c>
    </row>
    <row r="1378" customFormat="false" ht="12.75" hidden="false" customHeight="false" outlineLevel="0" collapsed="false">
      <c r="A1378" s="15" t="s">
        <v>4377</v>
      </c>
      <c r="B1378" s="15" t="s">
        <v>2304</v>
      </c>
      <c r="C1378" s="15" t="s">
        <v>524</v>
      </c>
      <c r="D1378" s="15" t="s">
        <v>4378</v>
      </c>
      <c r="E1378" s="15" t="s">
        <v>547</v>
      </c>
      <c r="G1378" s="10" t="n">
        <v>1</v>
      </c>
      <c r="H1378" s="21" t="n">
        <v>46052.4788310185</v>
      </c>
      <c r="I1378" s="15" t="s">
        <v>4379</v>
      </c>
      <c r="J1378" s="15" t="s">
        <v>4379</v>
      </c>
      <c r="K1378" s="15"/>
      <c r="L1378" s="10" t="n">
        <f aca="false">COUNTIF($E$2:E1378,E1378)</f>
        <v>44</v>
      </c>
      <c r="M1378" s="10" t="e">
        <f aca="false">ifs(L1378=1, L1378&amp;"-"&amp; COUNTIFS($L$2:L1378,1))</f>
        <v>#NAME?</v>
      </c>
      <c r="N1378" s="15" t="s">
        <v>603</v>
      </c>
      <c r="O1378" s="10" t="s">
        <v>3730</v>
      </c>
      <c r="P1378" s="22" t="n">
        <f aca="false">COUNTIFS(C:C,C1378,N:N,"Đã xác nhận")/COUNTIFS(C:C,C1378)</f>
        <v>1</v>
      </c>
      <c r="Q1378" s="22"/>
      <c r="R1378" s="0" t="s">
        <v>4380</v>
      </c>
      <c r="S1378" s="0" t="s">
        <v>548</v>
      </c>
      <c r="U1378" s="24" t="n">
        <v>1</v>
      </c>
    </row>
    <row r="1379" customFormat="false" ht="12.75" hidden="false" customHeight="false" outlineLevel="0" collapsed="false">
      <c r="A1379" s="15" t="s">
        <v>4381</v>
      </c>
      <c r="B1379" s="15" t="s">
        <v>2304</v>
      </c>
      <c r="C1379" s="15" t="s">
        <v>524</v>
      </c>
      <c r="D1379" s="15" t="s">
        <v>4382</v>
      </c>
      <c r="E1379" s="15" t="s">
        <v>81</v>
      </c>
      <c r="G1379" s="10" t="n">
        <v>1</v>
      </c>
      <c r="H1379" s="21" t="n">
        <v>46052.47875</v>
      </c>
      <c r="I1379" s="15" t="s">
        <v>4383</v>
      </c>
      <c r="J1379" s="15" t="s">
        <v>4383</v>
      </c>
      <c r="K1379" s="15"/>
      <c r="L1379" s="10" t="n">
        <f aca="false">COUNTIF($E$2:E1379,E1379)</f>
        <v>220</v>
      </c>
      <c r="M1379" s="10" t="e">
        <f aca="false">ifs(L1379=1, L1379&amp;"-"&amp; COUNTIFS($L$2:L1379,1))</f>
        <v>#NAME?</v>
      </c>
      <c r="N1379" s="15" t="s">
        <v>603</v>
      </c>
      <c r="O1379" s="10" t="s">
        <v>3730</v>
      </c>
      <c r="P1379" s="22" t="n">
        <f aca="false">COUNTIFS(C:C,C1379,N:N,"Đã xác nhận")/COUNTIFS(C:C,C1379)</f>
        <v>1</v>
      </c>
      <c r="Q1379" s="22"/>
      <c r="R1379" s="0" t="s">
        <v>4384</v>
      </c>
      <c r="S1379" s="0" t="s">
        <v>534</v>
      </c>
      <c r="U1379" s="24" t="n">
        <v>1</v>
      </c>
    </row>
    <row r="1380" customFormat="false" ht="12.75" hidden="false" customHeight="false" outlineLevel="0" collapsed="false">
      <c r="A1380" s="15" t="s">
        <v>4385</v>
      </c>
      <c r="B1380" s="15" t="s">
        <v>2304</v>
      </c>
      <c r="C1380" s="15" t="s">
        <v>524</v>
      </c>
      <c r="D1380" s="15" t="s">
        <v>4386</v>
      </c>
      <c r="E1380" s="15" t="s">
        <v>81</v>
      </c>
      <c r="G1380" s="10" t="n">
        <v>1</v>
      </c>
      <c r="H1380" s="21" t="n">
        <v>46052.4788194444</v>
      </c>
      <c r="I1380" s="15" t="s">
        <v>4387</v>
      </c>
      <c r="J1380" s="15" t="s">
        <v>4387</v>
      </c>
      <c r="K1380" s="15"/>
      <c r="L1380" s="10" t="n">
        <f aca="false">COUNTIF($E$2:E1380,E1380)</f>
        <v>221</v>
      </c>
      <c r="M1380" s="10" t="e">
        <f aca="false">ifs(L1380=1, L1380&amp;"-"&amp; COUNTIFS($L$2:L1380,1))</f>
        <v>#NAME?</v>
      </c>
      <c r="N1380" s="15" t="s">
        <v>603</v>
      </c>
      <c r="O1380" s="10" t="s">
        <v>3730</v>
      </c>
      <c r="P1380" s="22" t="n">
        <f aca="false">COUNTIFS(C:C,C1380,N:N,"Đã xác nhận")/COUNTIFS(C:C,C1380)</f>
        <v>1</v>
      </c>
      <c r="Q1380" s="22"/>
      <c r="R1380" s="0" t="s">
        <v>4386</v>
      </c>
      <c r="S1380" s="0" t="s">
        <v>534</v>
      </c>
      <c r="U1380" s="24" t="n">
        <v>1</v>
      </c>
    </row>
    <row r="1381" customFormat="false" ht="12.75" hidden="false" customHeight="false" outlineLevel="0" collapsed="false">
      <c r="A1381" s="15" t="s">
        <v>4388</v>
      </c>
      <c r="B1381" s="15" t="s">
        <v>2304</v>
      </c>
      <c r="C1381" s="15" t="s">
        <v>4389</v>
      </c>
      <c r="D1381" s="15" t="s">
        <v>611</v>
      </c>
      <c r="E1381" s="15" t="s">
        <v>69</v>
      </c>
      <c r="G1381" s="10" t="n">
        <v>1</v>
      </c>
      <c r="H1381" s="21" t="n">
        <v>46052.586712963</v>
      </c>
      <c r="I1381" s="15" t="s">
        <v>4390</v>
      </c>
      <c r="J1381" s="15" t="s">
        <v>4390</v>
      </c>
      <c r="K1381" s="15"/>
      <c r="L1381" s="10" t="n">
        <f aca="false">COUNTIF($E$2:E1381,E1381)</f>
        <v>181</v>
      </c>
      <c r="M1381" s="10" t="e">
        <f aca="false">ifs(L1381=1, L1381&amp;"-"&amp; COUNTIFS($L$2:L1381,1))</f>
        <v>#NAME?</v>
      </c>
      <c r="N1381" s="15" t="s">
        <v>603</v>
      </c>
      <c r="O1381" s="10" t="s">
        <v>3730</v>
      </c>
      <c r="P1381" s="22" t="n">
        <f aca="false">COUNTIFS(C:C,C1381,N:N,"Đã xác nhận")/COUNTIFS(C:C,C1381)</f>
        <v>1</v>
      </c>
      <c r="Q1381" s="22"/>
      <c r="R1381" s="0" t="s">
        <v>613</v>
      </c>
      <c r="S1381" s="0" t="s">
        <v>535</v>
      </c>
      <c r="U1381" s="24" t="n">
        <v>1</v>
      </c>
    </row>
    <row r="1382" customFormat="false" ht="12.75" hidden="false" customHeight="false" outlineLevel="0" collapsed="false">
      <c r="A1382" s="15" t="s">
        <v>4391</v>
      </c>
      <c r="B1382" s="15" t="s">
        <v>2304</v>
      </c>
      <c r="C1382" s="15" t="s">
        <v>4389</v>
      </c>
      <c r="D1382" s="15" t="s">
        <v>611</v>
      </c>
      <c r="E1382" s="15" t="s">
        <v>33</v>
      </c>
      <c r="G1382" s="10" t="n">
        <v>1</v>
      </c>
      <c r="H1382" s="21" t="n">
        <v>46052.586724537</v>
      </c>
      <c r="I1382" s="15" t="s">
        <v>4392</v>
      </c>
      <c r="J1382" s="15" t="s">
        <v>4392</v>
      </c>
      <c r="K1382" s="15"/>
      <c r="L1382" s="10" t="n">
        <f aca="false">COUNTIF($E$2:E1382,E1382)</f>
        <v>145</v>
      </c>
      <c r="M1382" s="10" t="e">
        <f aca="false">ifs(L1382=1, L1382&amp;"-"&amp; COUNTIFS($L$2:L1382,1))</f>
        <v>#NAME?</v>
      </c>
      <c r="N1382" s="15" t="s">
        <v>603</v>
      </c>
      <c r="O1382" s="10" t="s">
        <v>3730</v>
      </c>
      <c r="P1382" s="22" t="n">
        <f aca="false">COUNTIFS(C:C,C1382,N:N,"Đã xác nhận")/COUNTIFS(C:C,C1382)</f>
        <v>1</v>
      </c>
      <c r="Q1382" s="22"/>
      <c r="R1382" s="0" t="s">
        <v>613</v>
      </c>
      <c r="S1382" s="0" t="s">
        <v>536</v>
      </c>
      <c r="U1382" s="24" t="n">
        <v>1</v>
      </c>
    </row>
    <row r="1383" customFormat="false" ht="12.75" hidden="false" customHeight="false" outlineLevel="0" collapsed="false">
      <c r="A1383" s="15" t="s">
        <v>4393</v>
      </c>
      <c r="B1383" s="15" t="s">
        <v>2304</v>
      </c>
      <c r="C1383" s="15" t="s">
        <v>4389</v>
      </c>
      <c r="D1383" s="15" t="s">
        <v>2346</v>
      </c>
      <c r="E1383" s="15" t="s">
        <v>69</v>
      </c>
      <c r="G1383" s="10" t="n">
        <v>3</v>
      </c>
      <c r="H1383" s="21" t="n">
        <v>46052.5867476852</v>
      </c>
      <c r="I1383" s="15" t="s">
        <v>4394</v>
      </c>
      <c r="J1383" s="15" t="s">
        <v>4394</v>
      </c>
      <c r="K1383" s="15"/>
      <c r="L1383" s="10" t="n">
        <f aca="false">COUNTIF($E$2:E1383,E1383)</f>
        <v>182</v>
      </c>
      <c r="M1383" s="10" t="e">
        <f aca="false">ifs(L1383=1, L1383&amp;"-"&amp; COUNTIFS($L$2:L1383,1))</f>
        <v>#NAME?</v>
      </c>
      <c r="N1383" s="15" t="s">
        <v>603</v>
      </c>
      <c r="O1383" s="10" t="s">
        <v>3730</v>
      </c>
      <c r="P1383" s="22" t="n">
        <f aca="false">COUNTIFS(C:C,C1383,N:N,"Đã xác nhận")/COUNTIFS(C:C,C1383)</f>
        <v>1</v>
      </c>
      <c r="Q1383" s="22"/>
      <c r="R1383" s="0" t="s">
        <v>2346</v>
      </c>
      <c r="S1383" s="0" t="s">
        <v>535</v>
      </c>
      <c r="U1383" s="24" t="n">
        <v>3</v>
      </c>
    </row>
    <row r="1384" customFormat="false" ht="12.75" hidden="false" customHeight="false" outlineLevel="0" collapsed="false">
      <c r="A1384" s="15" t="s">
        <v>4395</v>
      </c>
      <c r="B1384" s="15" t="s">
        <v>2304</v>
      </c>
      <c r="C1384" s="15" t="s">
        <v>4389</v>
      </c>
      <c r="D1384" s="15" t="s">
        <v>2346</v>
      </c>
      <c r="E1384" s="15" t="s">
        <v>33</v>
      </c>
      <c r="G1384" s="10" t="n">
        <v>3</v>
      </c>
      <c r="H1384" s="21" t="n">
        <v>46052.5867476852</v>
      </c>
      <c r="I1384" s="15" t="s">
        <v>4396</v>
      </c>
      <c r="J1384" s="15" t="s">
        <v>4396</v>
      </c>
      <c r="K1384" s="15"/>
      <c r="L1384" s="10" t="n">
        <f aca="false">COUNTIF($E$2:E1384,E1384)</f>
        <v>146</v>
      </c>
      <c r="M1384" s="10" t="e">
        <f aca="false">ifs(L1384=1, L1384&amp;"-"&amp; COUNTIFS($L$2:L1384,1))</f>
        <v>#NAME?</v>
      </c>
      <c r="N1384" s="15" t="s">
        <v>603</v>
      </c>
      <c r="O1384" s="10" t="s">
        <v>3730</v>
      </c>
      <c r="P1384" s="22" t="n">
        <f aca="false">COUNTIFS(C:C,C1384,N:N,"Đã xác nhận")/COUNTIFS(C:C,C1384)</f>
        <v>1</v>
      </c>
      <c r="Q1384" s="22"/>
      <c r="R1384" s="0" t="s">
        <v>2346</v>
      </c>
      <c r="S1384" s="0" t="s">
        <v>536</v>
      </c>
      <c r="U1384" s="24" t="n">
        <v>3</v>
      </c>
    </row>
    <row r="1385" customFormat="false" ht="12.75" hidden="false" customHeight="false" outlineLevel="0" collapsed="false">
      <c r="A1385" s="15" t="s">
        <v>4397</v>
      </c>
      <c r="B1385" s="15" t="s">
        <v>2304</v>
      </c>
      <c r="C1385" s="15" t="s">
        <v>4389</v>
      </c>
      <c r="D1385" s="15" t="s">
        <v>878</v>
      </c>
      <c r="E1385" s="15" t="s">
        <v>69</v>
      </c>
      <c r="G1385" s="10" t="n">
        <v>1</v>
      </c>
      <c r="H1385" s="21" t="n">
        <v>46052.5867939815</v>
      </c>
      <c r="I1385" s="15" t="s">
        <v>4398</v>
      </c>
      <c r="J1385" s="15" t="s">
        <v>4398</v>
      </c>
      <c r="K1385" s="15"/>
      <c r="L1385" s="10" t="n">
        <f aca="false">COUNTIF($E$2:E1385,E1385)</f>
        <v>183</v>
      </c>
      <c r="M1385" s="10" t="e">
        <f aca="false">ifs(L1385=1, L1385&amp;"-"&amp; COUNTIFS($L$2:L1385,1))</f>
        <v>#NAME?</v>
      </c>
      <c r="N1385" s="15" t="s">
        <v>603</v>
      </c>
      <c r="O1385" s="10" t="s">
        <v>3730</v>
      </c>
      <c r="P1385" s="22" t="n">
        <f aca="false">COUNTIFS(C:C,C1385,N:N,"Đã xác nhận")/COUNTIFS(C:C,C1385)</f>
        <v>1</v>
      </c>
      <c r="Q1385" s="22"/>
      <c r="R1385" s="0" t="s">
        <v>768</v>
      </c>
      <c r="S1385" s="0" t="s">
        <v>535</v>
      </c>
      <c r="U1385" s="24" t="n">
        <v>1</v>
      </c>
    </row>
    <row r="1386" customFormat="false" ht="12.75" hidden="false" customHeight="false" outlineLevel="0" collapsed="false">
      <c r="A1386" s="15" t="s">
        <v>4399</v>
      </c>
      <c r="B1386" s="15" t="s">
        <v>2304</v>
      </c>
      <c r="C1386" s="15" t="s">
        <v>4389</v>
      </c>
      <c r="D1386" s="15" t="s">
        <v>878</v>
      </c>
      <c r="E1386" s="15" t="s">
        <v>33</v>
      </c>
      <c r="G1386" s="10" t="n">
        <v>1</v>
      </c>
      <c r="H1386" s="21" t="n">
        <v>46052.5868055556</v>
      </c>
      <c r="I1386" s="15" t="s">
        <v>4400</v>
      </c>
      <c r="J1386" s="15" t="s">
        <v>4400</v>
      </c>
      <c r="K1386" s="15"/>
      <c r="L1386" s="10" t="n">
        <f aca="false">COUNTIF($E$2:E1386,E1386)</f>
        <v>147</v>
      </c>
      <c r="M1386" s="10" t="e">
        <f aca="false">ifs(L1386=1, L1386&amp;"-"&amp; COUNTIFS($L$2:L1386,1))</f>
        <v>#NAME?</v>
      </c>
      <c r="N1386" s="15" t="s">
        <v>603</v>
      </c>
      <c r="O1386" s="10" t="s">
        <v>3730</v>
      </c>
      <c r="P1386" s="22" t="n">
        <f aca="false">COUNTIFS(C:C,C1386,N:N,"Đã xác nhận")/COUNTIFS(C:C,C1386)</f>
        <v>1</v>
      </c>
      <c r="Q1386" s="22"/>
      <c r="R1386" s="0" t="s">
        <v>768</v>
      </c>
      <c r="S1386" s="0" t="s">
        <v>536</v>
      </c>
      <c r="U1386" s="24" t="n">
        <v>1</v>
      </c>
    </row>
    <row r="1387" customFormat="false" ht="12.75" hidden="false" customHeight="false" outlineLevel="0" collapsed="false">
      <c r="A1387" s="15" t="s">
        <v>4401</v>
      </c>
      <c r="B1387" s="15" t="s">
        <v>2304</v>
      </c>
      <c r="C1387" s="15" t="s">
        <v>4389</v>
      </c>
      <c r="D1387" s="15" t="s">
        <v>2333</v>
      </c>
      <c r="E1387" s="15" t="s">
        <v>69</v>
      </c>
      <c r="G1387" s="10" t="n">
        <v>1</v>
      </c>
      <c r="H1387" s="21" t="n">
        <v>46052.5868055556</v>
      </c>
      <c r="I1387" s="15" t="s">
        <v>4402</v>
      </c>
      <c r="J1387" s="15" t="s">
        <v>4402</v>
      </c>
      <c r="K1387" s="15"/>
      <c r="L1387" s="10" t="n">
        <f aca="false">COUNTIF($E$2:E1387,E1387)</f>
        <v>184</v>
      </c>
      <c r="M1387" s="10" t="e">
        <f aca="false">ifs(L1387=1, L1387&amp;"-"&amp; COUNTIFS($L$2:L1387,1))</f>
        <v>#NAME?</v>
      </c>
      <c r="N1387" s="15" t="s">
        <v>603</v>
      </c>
      <c r="O1387" s="10" t="s">
        <v>3730</v>
      </c>
      <c r="P1387" s="22" t="n">
        <f aca="false">COUNTIFS(C:C,C1387,N:N,"Đã xác nhận")/COUNTIFS(C:C,C1387)</f>
        <v>1</v>
      </c>
      <c r="Q1387" s="22"/>
      <c r="R1387" s="0" t="s">
        <v>2333</v>
      </c>
      <c r="S1387" s="0" t="s">
        <v>535</v>
      </c>
      <c r="U1387" s="24" t="n">
        <v>1</v>
      </c>
    </row>
    <row r="1388" customFormat="false" ht="12.75" hidden="false" customHeight="false" outlineLevel="0" collapsed="false">
      <c r="A1388" s="15" t="s">
        <v>4403</v>
      </c>
      <c r="B1388" s="15" t="s">
        <v>2304</v>
      </c>
      <c r="C1388" s="15" t="s">
        <v>4389</v>
      </c>
      <c r="D1388" s="15" t="s">
        <v>2333</v>
      </c>
      <c r="E1388" s="15" t="s">
        <v>33</v>
      </c>
      <c r="G1388" s="10" t="n">
        <v>1</v>
      </c>
      <c r="H1388" s="21" t="n">
        <v>46052.5868287037</v>
      </c>
      <c r="I1388" s="15" t="s">
        <v>4404</v>
      </c>
      <c r="J1388" s="15" t="s">
        <v>4404</v>
      </c>
      <c r="K1388" s="15"/>
      <c r="L1388" s="10" t="n">
        <f aca="false">COUNTIF($E$2:E1388,E1388)</f>
        <v>148</v>
      </c>
      <c r="M1388" s="10" t="e">
        <f aca="false">ifs(L1388=1, L1388&amp;"-"&amp; COUNTIFS($L$2:L1388,1))</f>
        <v>#NAME?</v>
      </c>
      <c r="N1388" s="15" t="s">
        <v>603</v>
      </c>
      <c r="O1388" s="10" t="s">
        <v>3730</v>
      </c>
      <c r="P1388" s="22" t="n">
        <f aca="false">COUNTIFS(C:C,C1388,N:N,"Đã xác nhận")/COUNTIFS(C:C,C1388)</f>
        <v>1</v>
      </c>
      <c r="Q1388" s="22"/>
      <c r="R1388" s="0" t="s">
        <v>2333</v>
      </c>
      <c r="S1388" s="0" t="s">
        <v>536</v>
      </c>
      <c r="U1388" s="24" t="n">
        <v>1</v>
      </c>
    </row>
    <row r="1389" customFormat="false" ht="12.75" hidden="false" customHeight="false" outlineLevel="0" collapsed="false">
      <c r="A1389" s="15" t="s">
        <v>4405</v>
      </c>
      <c r="B1389" s="15" t="s">
        <v>2304</v>
      </c>
      <c r="C1389" s="15" t="s">
        <v>4389</v>
      </c>
      <c r="D1389" s="15" t="s">
        <v>4406</v>
      </c>
      <c r="E1389" s="15" t="s">
        <v>55</v>
      </c>
      <c r="G1389" s="10" t="n">
        <v>1</v>
      </c>
      <c r="H1389" s="21" t="n">
        <v>46052.5866666667</v>
      </c>
      <c r="I1389" s="15" t="s">
        <v>4407</v>
      </c>
      <c r="J1389" s="15" t="s">
        <v>4407</v>
      </c>
      <c r="K1389" s="15"/>
      <c r="L1389" s="10" t="n">
        <f aca="false">COUNTIF($E$2:E1389,E1389)</f>
        <v>144</v>
      </c>
      <c r="M1389" s="10" t="e">
        <f aca="false">ifs(L1389=1, L1389&amp;"-"&amp; COUNTIFS($L$2:L1389,1))</f>
        <v>#NAME?</v>
      </c>
      <c r="N1389" s="15" t="s">
        <v>603</v>
      </c>
      <c r="O1389" s="10" t="s">
        <v>3730</v>
      </c>
      <c r="P1389" s="22" t="n">
        <f aca="false">COUNTIFS(C:C,C1389,N:N,"Đã xác nhận")/COUNTIFS(C:C,C1389)</f>
        <v>1</v>
      </c>
      <c r="Q1389" s="22"/>
      <c r="R1389" s="0" t="s">
        <v>4408</v>
      </c>
      <c r="S1389" s="0" t="s">
        <v>539</v>
      </c>
      <c r="U1389" s="24" t="n">
        <v>1</v>
      </c>
    </row>
    <row r="1390" customFormat="false" ht="12.75" hidden="false" customHeight="false" outlineLevel="0" collapsed="false">
      <c r="A1390" s="15" t="s">
        <v>4409</v>
      </c>
      <c r="B1390" s="15" t="s">
        <v>2304</v>
      </c>
      <c r="C1390" s="15" t="s">
        <v>3995</v>
      </c>
      <c r="D1390" s="15" t="s">
        <v>4410</v>
      </c>
      <c r="E1390" s="15" t="s">
        <v>55</v>
      </c>
      <c r="G1390" s="10" t="n">
        <v>1</v>
      </c>
      <c r="H1390" s="21" t="n">
        <v>46078.7011574074</v>
      </c>
      <c r="I1390" s="15" t="s">
        <v>4411</v>
      </c>
      <c r="J1390" s="15" t="s">
        <v>4411</v>
      </c>
      <c r="K1390" s="15"/>
      <c r="L1390" s="10" t="n">
        <f aca="false">COUNTIF($E$2:E1390,E1390)</f>
        <v>145</v>
      </c>
      <c r="M1390" s="10" t="e">
        <f aca="false">ifs(L1390=1, L1390&amp;"-"&amp; COUNTIFS($L$2:L1390,1))</f>
        <v>#NAME?</v>
      </c>
      <c r="N1390" s="15" t="s">
        <v>603</v>
      </c>
      <c r="O1390" s="10" t="s">
        <v>3730</v>
      </c>
      <c r="P1390" s="22" t="n">
        <f aca="false">COUNTIFS(C:C,C1390,N:N,"Đã xác nhận")/COUNTIFS(C:C,C1390)</f>
        <v>1</v>
      </c>
      <c r="Q1390" s="22"/>
      <c r="R1390" s="0" t="s">
        <v>4412</v>
      </c>
      <c r="S1390" s="0" t="s">
        <v>539</v>
      </c>
      <c r="U1390" s="24" t="n">
        <v>1</v>
      </c>
    </row>
    <row r="1391" customFormat="false" ht="12.75" hidden="false" customHeight="false" outlineLevel="0" collapsed="false">
      <c r="A1391" s="15" t="s">
        <v>4413</v>
      </c>
      <c r="B1391" s="15" t="s">
        <v>2304</v>
      </c>
      <c r="C1391" s="15" t="s">
        <v>4389</v>
      </c>
      <c r="D1391" s="15" t="s">
        <v>4414</v>
      </c>
      <c r="E1391" s="15" t="s">
        <v>55</v>
      </c>
      <c r="G1391" s="10" t="n">
        <v>1</v>
      </c>
      <c r="H1391" s="21" t="n">
        <v>46052.5866550926</v>
      </c>
      <c r="I1391" s="15" t="s">
        <v>4415</v>
      </c>
      <c r="J1391" s="15" t="s">
        <v>4415</v>
      </c>
      <c r="K1391" s="15"/>
      <c r="L1391" s="10" t="n">
        <f aca="false">COUNTIF($E$2:E1391,E1391)</f>
        <v>146</v>
      </c>
      <c r="M1391" s="10" t="e">
        <f aca="false">ifs(L1391=1, L1391&amp;"-"&amp; COUNTIFS($L$2:L1391,1))</f>
        <v>#NAME?</v>
      </c>
      <c r="N1391" s="15" t="s">
        <v>603</v>
      </c>
      <c r="O1391" s="10" t="s">
        <v>3730</v>
      </c>
      <c r="P1391" s="22" t="n">
        <f aca="false">COUNTIFS(C:C,C1391,N:N,"Đã xác nhận")/COUNTIFS(C:C,C1391)</f>
        <v>1</v>
      </c>
      <c r="Q1391" s="22"/>
      <c r="R1391" s="0" t="s">
        <v>4416</v>
      </c>
      <c r="S1391" s="0" t="s">
        <v>539</v>
      </c>
      <c r="U1391" s="24" t="n">
        <v>1</v>
      </c>
    </row>
    <row r="1392" customFormat="false" ht="12.75" hidden="false" customHeight="false" outlineLevel="0" collapsed="false">
      <c r="A1392" s="15" t="s">
        <v>4417</v>
      </c>
      <c r="B1392" s="15" t="s">
        <v>2304</v>
      </c>
      <c r="C1392" s="15" t="s">
        <v>4389</v>
      </c>
      <c r="D1392" s="15" t="s">
        <v>4410</v>
      </c>
      <c r="E1392" s="15" t="s">
        <v>55</v>
      </c>
      <c r="G1392" s="10" t="n">
        <v>1</v>
      </c>
      <c r="H1392" s="21" t="n">
        <v>46052.5866203704</v>
      </c>
      <c r="I1392" s="15" t="s">
        <v>4418</v>
      </c>
      <c r="J1392" s="15" t="s">
        <v>4418</v>
      </c>
      <c r="K1392" s="15"/>
      <c r="L1392" s="10" t="n">
        <f aca="false">COUNTIF($E$2:E1392,E1392)</f>
        <v>147</v>
      </c>
      <c r="M1392" s="10" t="e">
        <f aca="false">ifs(L1392=1, L1392&amp;"-"&amp; COUNTIFS($L$2:L1392,1))</f>
        <v>#NAME?</v>
      </c>
      <c r="N1392" s="15" t="s">
        <v>603</v>
      </c>
      <c r="O1392" s="10" t="s">
        <v>3730</v>
      </c>
      <c r="P1392" s="22" t="n">
        <f aca="false">COUNTIFS(C:C,C1392,N:N,"Đã xác nhận")/COUNTIFS(C:C,C1392)</f>
        <v>1</v>
      </c>
      <c r="Q1392" s="22"/>
      <c r="R1392" s="0" t="s">
        <v>4412</v>
      </c>
      <c r="S1392" s="0" t="s">
        <v>539</v>
      </c>
      <c r="U1392" s="24" t="n">
        <v>1</v>
      </c>
    </row>
    <row r="1393" customFormat="false" ht="12.75" hidden="false" customHeight="false" outlineLevel="0" collapsed="false">
      <c r="A1393" s="15" t="s">
        <v>4419</v>
      </c>
      <c r="B1393" s="15" t="s">
        <v>2304</v>
      </c>
      <c r="C1393" s="15" t="s">
        <v>4389</v>
      </c>
      <c r="D1393" s="15" t="s">
        <v>2401</v>
      </c>
      <c r="E1393" s="15" t="s">
        <v>89</v>
      </c>
      <c r="G1393" s="10" t="n">
        <v>1</v>
      </c>
      <c r="H1393" s="21" t="n">
        <v>46052.5867592593</v>
      </c>
      <c r="I1393" s="15" t="s">
        <v>4420</v>
      </c>
      <c r="J1393" s="15" t="s">
        <v>4420</v>
      </c>
      <c r="K1393" s="15"/>
      <c r="L1393" s="10" t="n">
        <f aca="false">COUNTIF($E$2:E1393,E1393)</f>
        <v>10</v>
      </c>
      <c r="M1393" s="10" t="e">
        <f aca="false">ifs(L1393=1, L1393&amp;"-"&amp; COUNTIFS($L$2:L1393,1))</f>
        <v>#NAME?</v>
      </c>
      <c r="N1393" s="15" t="s">
        <v>603</v>
      </c>
      <c r="O1393" s="10" t="s">
        <v>3730</v>
      </c>
      <c r="P1393" s="22" t="n">
        <f aca="false">COUNTIFS(C:C,C1393,N:N,"Đã xác nhận")/COUNTIFS(C:C,C1393)</f>
        <v>1</v>
      </c>
      <c r="Q1393" s="22"/>
      <c r="R1393" s="0" t="s">
        <v>2403</v>
      </c>
      <c r="S1393" s="0" t="s">
        <v>574</v>
      </c>
      <c r="U1393" s="24" t="n">
        <v>1</v>
      </c>
    </row>
    <row r="1394" customFormat="false" ht="12.75" hidden="false" customHeight="false" outlineLevel="0" collapsed="false">
      <c r="A1394" s="15" t="s">
        <v>4421</v>
      </c>
      <c r="B1394" s="15" t="s">
        <v>2304</v>
      </c>
      <c r="C1394" s="15" t="s">
        <v>4389</v>
      </c>
      <c r="D1394" s="15" t="s">
        <v>2389</v>
      </c>
      <c r="E1394" s="15" t="s">
        <v>23</v>
      </c>
      <c r="G1394" s="10" t="n">
        <v>1</v>
      </c>
      <c r="H1394" s="21" t="n">
        <v>46052.5867708333</v>
      </c>
      <c r="I1394" s="15" t="s">
        <v>4422</v>
      </c>
      <c r="J1394" s="15" t="s">
        <v>4422</v>
      </c>
      <c r="K1394" s="15"/>
      <c r="L1394" s="10" t="n">
        <f aca="false">COUNTIF($E$2:E1394,E1394)</f>
        <v>8</v>
      </c>
      <c r="M1394" s="10" t="e">
        <f aca="false">ifs(L1394=1, L1394&amp;"-"&amp; COUNTIFS($L$2:L1394,1))</f>
        <v>#NAME?</v>
      </c>
      <c r="N1394" s="15" t="s">
        <v>603</v>
      </c>
      <c r="O1394" s="10" t="s">
        <v>3730</v>
      </c>
      <c r="P1394" s="22" t="n">
        <f aca="false">COUNTIFS(C:C,C1394,N:N,"Đã xác nhận")/COUNTIFS(C:C,C1394)</f>
        <v>1</v>
      </c>
      <c r="Q1394" s="22"/>
      <c r="R1394" s="0" t="s">
        <v>2391</v>
      </c>
      <c r="S1394" s="0" t="s">
        <v>575</v>
      </c>
      <c r="U1394" s="24" t="n">
        <v>1</v>
      </c>
    </row>
    <row r="1395" customFormat="false" ht="12.75" hidden="false" customHeight="false" outlineLevel="0" collapsed="false">
      <c r="A1395" s="15" t="s">
        <v>4423</v>
      </c>
      <c r="B1395" s="15" t="s">
        <v>2304</v>
      </c>
      <c r="C1395" s="15" t="s">
        <v>4389</v>
      </c>
      <c r="D1395" s="15" t="s">
        <v>4424</v>
      </c>
      <c r="E1395" s="15" t="s">
        <v>51</v>
      </c>
      <c r="G1395" s="10" t="n">
        <v>1</v>
      </c>
      <c r="H1395" s="21" t="n">
        <v>46052.5866087963</v>
      </c>
      <c r="I1395" s="15" t="s">
        <v>4425</v>
      </c>
      <c r="J1395" s="15" t="s">
        <v>4425</v>
      </c>
      <c r="K1395" s="15"/>
      <c r="L1395" s="10" t="n">
        <f aca="false">COUNTIF($E$2:E1395,E1395)</f>
        <v>10</v>
      </c>
      <c r="M1395" s="10" t="e">
        <f aca="false">ifs(L1395=1, L1395&amp;"-"&amp; COUNTIFS($L$2:L1395,1))</f>
        <v>#NAME?</v>
      </c>
      <c r="N1395" s="15" t="s">
        <v>603</v>
      </c>
      <c r="O1395" s="10" t="s">
        <v>3730</v>
      </c>
      <c r="P1395" s="22" t="n">
        <f aca="false">COUNTIFS(C:C,C1395,N:N,"Đã xác nhận")/COUNTIFS(C:C,C1395)</f>
        <v>1</v>
      </c>
      <c r="Q1395" s="22"/>
      <c r="R1395" s="0" t="s">
        <v>4426</v>
      </c>
      <c r="S1395" s="0" t="s">
        <v>573</v>
      </c>
      <c r="U1395" s="24" t="n">
        <v>1</v>
      </c>
    </row>
    <row r="1396" customFormat="false" ht="12.75" hidden="false" customHeight="false" outlineLevel="0" collapsed="false">
      <c r="A1396" s="15" t="s">
        <v>4427</v>
      </c>
      <c r="B1396" s="15" t="s">
        <v>2304</v>
      </c>
      <c r="C1396" s="15" t="s">
        <v>4389</v>
      </c>
      <c r="D1396" s="15" t="s">
        <v>2397</v>
      </c>
      <c r="E1396" s="15" t="s">
        <v>89</v>
      </c>
      <c r="G1396" s="10" t="n">
        <v>1</v>
      </c>
      <c r="H1396" s="21" t="n">
        <v>46052.5866782407</v>
      </c>
      <c r="I1396" s="15" t="s">
        <v>4428</v>
      </c>
      <c r="J1396" s="15" t="s">
        <v>4428</v>
      </c>
      <c r="K1396" s="15"/>
      <c r="L1396" s="10" t="n">
        <f aca="false">COUNTIF($E$2:E1396,E1396)</f>
        <v>11</v>
      </c>
      <c r="M1396" s="10" t="e">
        <f aca="false">ifs(L1396=1, L1396&amp;"-"&amp; COUNTIFS($L$2:L1396,1))</f>
        <v>#NAME?</v>
      </c>
      <c r="N1396" s="15" t="s">
        <v>603</v>
      </c>
      <c r="O1396" s="10" t="s">
        <v>3730</v>
      </c>
      <c r="P1396" s="22" t="n">
        <f aca="false">COUNTIFS(C:C,C1396,N:N,"Đã xác nhận")/COUNTIFS(C:C,C1396)</f>
        <v>1</v>
      </c>
      <c r="Q1396" s="22"/>
      <c r="R1396" s="0" t="s">
        <v>2399</v>
      </c>
      <c r="S1396" s="0" t="s">
        <v>574</v>
      </c>
      <c r="U1396" s="24" t="n">
        <v>1</v>
      </c>
    </row>
    <row r="1397" customFormat="false" ht="12.75" hidden="false" customHeight="false" outlineLevel="0" collapsed="false">
      <c r="A1397" s="15" t="s">
        <v>4429</v>
      </c>
      <c r="B1397" s="15" t="s">
        <v>2304</v>
      </c>
      <c r="C1397" s="15" t="s">
        <v>4389</v>
      </c>
      <c r="D1397" s="15" t="s">
        <v>4430</v>
      </c>
      <c r="E1397" s="15" t="s">
        <v>55</v>
      </c>
      <c r="G1397" s="10" t="n">
        <v>1</v>
      </c>
      <c r="H1397" s="21" t="n">
        <v>46052.5866319445</v>
      </c>
      <c r="I1397" s="15" t="s">
        <v>4431</v>
      </c>
      <c r="J1397" s="15" t="s">
        <v>4431</v>
      </c>
      <c r="K1397" s="15"/>
      <c r="L1397" s="10" t="n">
        <f aca="false">COUNTIF($E$2:E1397,E1397)</f>
        <v>148</v>
      </c>
      <c r="M1397" s="10" t="e">
        <f aca="false">ifs(L1397=1, L1397&amp;"-"&amp; COUNTIFS($L$2:L1397,1))</f>
        <v>#NAME?</v>
      </c>
      <c r="N1397" s="15" t="s">
        <v>603</v>
      </c>
      <c r="O1397" s="10" t="s">
        <v>3730</v>
      </c>
      <c r="P1397" s="22" t="n">
        <f aca="false">COUNTIFS(C:C,C1397,N:N,"Đã xác nhận")/COUNTIFS(C:C,C1397)</f>
        <v>1</v>
      </c>
      <c r="Q1397" s="22"/>
      <c r="R1397" s="0" t="s">
        <v>4432</v>
      </c>
      <c r="S1397" s="0" t="s">
        <v>539</v>
      </c>
      <c r="U1397" s="24" t="n">
        <v>1</v>
      </c>
    </row>
    <row r="1398" customFormat="false" ht="12.75" hidden="false" customHeight="false" outlineLevel="0" collapsed="false">
      <c r="A1398" s="15" t="s">
        <v>4433</v>
      </c>
      <c r="B1398" s="15" t="s">
        <v>2304</v>
      </c>
      <c r="C1398" s="15" t="s">
        <v>4389</v>
      </c>
      <c r="D1398" s="15" t="s">
        <v>4434</v>
      </c>
      <c r="E1398" s="15" t="s">
        <v>55</v>
      </c>
      <c r="G1398" s="10" t="n">
        <v>1</v>
      </c>
      <c r="H1398" s="21" t="n">
        <v>46052.5866782407</v>
      </c>
      <c r="I1398" s="15" t="s">
        <v>4435</v>
      </c>
      <c r="J1398" s="15" t="s">
        <v>4435</v>
      </c>
      <c r="K1398" s="15"/>
      <c r="L1398" s="10" t="n">
        <f aca="false">COUNTIF($E$2:E1398,E1398)</f>
        <v>149</v>
      </c>
      <c r="M1398" s="10" t="e">
        <f aca="false">ifs(L1398=1, L1398&amp;"-"&amp; COUNTIFS($L$2:L1398,1))</f>
        <v>#NAME?</v>
      </c>
      <c r="N1398" s="15" t="s">
        <v>603</v>
      </c>
      <c r="O1398" s="10" t="s">
        <v>3730</v>
      </c>
      <c r="P1398" s="22" t="n">
        <f aca="false">COUNTIFS(C:C,C1398,N:N,"Đã xác nhận")/COUNTIFS(C:C,C1398)</f>
        <v>1</v>
      </c>
      <c r="Q1398" s="22"/>
      <c r="R1398" s="0" t="s">
        <v>4436</v>
      </c>
      <c r="S1398" s="0" t="s">
        <v>539</v>
      </c>
      <c r="U1398" s="24" t="n">
        <v>1</v>
      </c>
    </row>
    <row r="1399" customFormat="false" ht="12.75" hidden="false" customHeight="false" outlineLevel="0" collapsed="false">
      <c r="A1399" s="15" t="s">
        <v>4437</v>
      </c>
      <c r="B1399" s="15" t="s">
        <v>2304</v>
      </c>
      <c r="C1399" s="15" t="s">
        <v>4389</v>
      </c>
      <c r="D1399" s="15" t="s">
        <v>4438</v>
      </c>
      <c r="E1399" s="15" t="s">
        <v>55</v>
      </c>
      <c r="G1399" s="10" t="n">
        <v>1</v>
      </c>
      <c r="H1399" s="21" t="n">
        <v>46052.5866898148</v>
      </c>
      <c r="I1399" s="15" t="s">
        <v>4439</v>
      </c>
      <c r="J1399" s="15" t="s">
        <v>4439</v>
      </c>
      <c r="K1399" s="15"/>
      <c r="L1399" s="10" t="n">
        <f aca="false">COUNTIF($E$2:E1399,E1399)</f>
        <v>150</v>
      </c>
      <c r="M1399" s="10" t="e">
        <f aca="false">ifs(L1399=1, L1399&amp;"-"&amp; COUNTIFS($L$2:L1399,1))</f>
        <v>#NAME?</v>
      </c>
      <c r="N1399" s="15" t="s">
        <v>603</v>
      </c>
      <c r="O1399" s="10" t="s">
        <v>3730</v>
      </c>
      <c r="P1399" s="22" t="n">
        <f aca="false">COUNTIFS(C:C,C1399,N:N,"Đã xác nhận")/COUNTIFS(C:C,C1399)</f>
        <v>1</v>
      </c>
      <c r="Q1399" s="22"/>
      <c r="R1399" s="0" t="s">
        <v>4440</v>
      </c>
      <c r="S1399" s="0" t="s">
        <v>539</v>
      </c>
      <c r="U1399" s="24" t="n">
        <v>1</v>
      </c>
    </row>
    <row r="1400" customFormat="false" ht="12.75" hidden="false" customHeight="false" outlineLevel="0" collapsed="false">
      <c r="A1400" s="15" t="s">
        <v>4441</v>
      </c>
      <c r="B1400" s="15" t="s">
        <v>2304</v>
      </c>
      <c r="C1400" s="15" t="s">
        <v>4389</v>
      </c>
      <c r="D1400" s="15" t="s">
        <v>4442</v>
      </c>
      <c r="E1400" s="15" t="s">
        <v>81</v>
      </c>
      <c r="G1400" s="10" t="n">
        <v>1</v>
      </c>
      <c r="H1400" s="21" t="n">
        <v>46052.5867013889</v>
      </c>
      <c r="I1400" s="15" t="s">
        <v>4443</v>
      </c>
      <c r="J1400" s="15" t="s">
        <v>4443</v>
      </c>
      <c r="K1400" s="15"/>
      <c r="L1400" s="10" t="n">
        <f aca="false">COUNTIF($E$2:E1400,E1400)</f>
        <v>222</v>
      </c>
      <c r="M1400" s="10" t="e">
        <f aca="false">ifs(L1400=1, L1400&amp;"-"&amp; COUNTIFS($L$2:L1400,1))</f>
        <v>#NAME?</v>
      </c>
      <c r="N1400" s="15" t="s">
        <v>603</v>
      </c>
      <c r="O1400" s="10" t="s">
        <v>3730</v>
      </c>
      <c r="P1400" s="22" t="n">
        <f aca="false">COUNTIFS(C:C,C1400,N:N,"Đã xác nhận")/COUNTIFS(C:C,C1400)</f>
        <v>1</v>
      </c>
      <c r="Q1400" s="22"/>
      <c r="R1400" s="0" t="s">
        <v>4444</v>
      </c>
      <c r="S1400" s="0" t="s">
        <v>534</v>
      </c>
      <c r="U1400" s="24" t="n">
        <v>1</v>
      </c>
    </row>
    <row r="1401" customFormat="false" ht="12.75" hidden="false" customHeight="false" outlineLevel="0" collapsed="false">
      <c r="A1401" s="15" t="s">
        <v>4445</v>
      </c>
      <c r="B1401" s="15" t="s">
        <v>1103</v>
      </c>
      <c r="C1401" s="15" t="s">
        <v>514</v>
      </c>
      <c r="D1401" s="15" t="s">
        <v>1465</v>
      </c>
      <c r="E1401" s="15" t="s">
        <v>17</v>
      </c>
      <c r="G1401" s="10" t="n">
        <v>1</v>
      </c>
      <c r="H1401" s="21" t="n">
        <v>46056.7016782407</v>
      </c>
      <c r="I1401" s="15" t="s">
        <v>1566</v>
      </c>
      <c r="J1401" s="15" t="s">
        <v>4446</v>
      </c>
      <c r="K1401" s="15" t="s">
        <v>4447</v>
      </c>
      <c r="L1401" s="10" t="n">
        <f aca="false">COUNTIF($E$2:E1401,E1401)</f>
        <v>7</v>
      </c>
      <c r="M1401" s="10" t="e">
        <f aca="false">ifs(L1401=1, L1401&amp;"-"&amp; COUNTIFS($L$2:L1401,1))</f>
        <v>#NAME?</v>
      </c>
      <c r="N1401" s="15"/>
      <c r="O1401" s="10" t="s">
        <v>3730</v>
      </c>
      <c r="P1401" s="22" t="n">
        <f aca="false">COUNTIFS(C:C,C1401,N:N,"Đã xác nhận")/COUNTIFS(C:C,C1401)</f>
        <v>0.0588235294117647</v>
      </c>
      <c r="Q1401" s="22"/>
      <c r="R1401" s="0" t="s">
        <v>1467</v>
      </c>
      <c r="S1401" s="0" t="s">
        <v>554</v>
      </c>
      <c r="U1401" s="24" t="n">
        <v>1</v>
      </c>
    </row>
    <row r="1402" customFormat="false" ht="12.75" hidden="false" customHeight="false" outlineLevel="0" collapsed="false">
      <c r="A1402" s="15" t="s">
        <v>4448</v>
      </c>
      <c r="B1402" s="15" t="s">
        <v>1103</v>
      </c>
      <c r="C1402" s="15" t="s">
        <v>514</v>
      </c>
      <c r="D1402" s="15" t="s">
        <v>1115</v>
      </c>
      <c r="E1402" s="15" t="s">
        <v>47</v>
      </c>
      <c r="G1402" s="10" t="n">
        <v>2</v>
      </c>
      <c r="H1402" s="21" t="n">
        <v>46056.7062268519</v>
      </c>
      <c r="I1402" s="15" t="s">
        <v>4449</v>
      </c>
      <c r="J1402" s="15" t="s">
        <v>4450</v>
      </c>
      <c r="K1402" s="15" t="s">
        <v>4451</v>
      </c>
      <c r="L1402" s="10" t="n">
        <f aca="false">COUNTIF($E$2:E1402,E1402)</f>
        <v>73</v>
      </c>
      <c r="M1402" s="10" t="e">
        <f aca="false">ifs(L1402=1, L1402&amp;"-"&amp; COUNTIFS($L$2:L1402,1))</f>
        <v>#NAME?</v>
      </c>
      <c r="N1402" s="15"/>
      <c r="O1402" s="10" t="s">
        <v>3730</v>
      </c>
      <c r="P1402" s="22" t="n">
        <f aca="false">COUNTIFS(C:C,C1402,N:N,"Đã xác nhận")/COUNTIFS(C:C,C1402)</f>
        <v>0.0588235294117647</v>
      </c>
      <c r="Q1402" s="22"/>
      <c r="R1402" s="0" t="s">
        <v>1119</v>
      </c>
      <c r="S1402" s="0" t="s">
        <v>549</v>
      </c>
      <c r="U1402" s="24" t="n">
        <v>2</v>
      </c>
    </row>
    <row r="1403" customFormat="false" ht="12.75" hidden="false" customHeight="false" outlineLevel="0" collapsed="false">
      <c r="A1403" s="15" t="s">
        <v>4452</v>
      </c>
      <c r="B1403" s="15" t="s">
        <v>1103</v>
      </c>
      <c r="C1403" s="15" t="s">
        <v>514</v>
      </c>
      <c r="D1403" s="15" t="s">
        <v>4453</v>
      </c>
      <c r="E1403" s="15" t="s">
        <v>47</v>
      </c>
      <c r="G1403" s="10" t="n">
        <v>1</v>
      </c>
      <c r="H1403" s="21" t="n">
        <v>46056.7454861111</v>
      </c>
      <c r="I1403" s="15" t="s">
        <v>3990</v>
      </c>
      <c r="J1403" s="15" t="s">
        <v>4454</v>
      </c>
      <c r="K1403" s="15" t="s">
        <v>4455</v>
      </c>
      <c r="L1403" s="10" t="n">
        <f aca="false">COUNTIF($E$2:E1403,E1403)</f>
        <v>74</v>
      </c>
      <c r="M1403" s="10" t="e">
        <f aca="false">ifs(L1403=1, L1403&amp;"-"&amp; COUNTIFS($L$2:L1403,1))</f>
        <v>#NAME?</v>
      </c>
      <c r="N1403" s="15"/>
      <c r="O1403" s="10" t="s">
        <v>3730</v>
      </c>
      <c r="P1403" s="22" t="n">
        <f aca="false">COUNTIFS(C:C,C1403,N:N,"Đã xác nhận")/COUNTIFS(C:C,C1403)</f>
        <v>0.0588235294117647</v>
      </c>
      <c r="Q1403" s="22"/>
      <c r="R1403" s="0" t="s">
        <v>4456</v>
      </c>
      <c r="S1403" s="0" t="s">
        <v>549</v>
      </c>
      <c r="U1403" s="24" t="n">
        <v>1</v>
      </c>
    </row>
    <row r="1404" customFormat="false" ht="12.75" hidden="false" customHeight="false" outlineLevel="0" collapsed="false">
      <c r="A1404" s="15" t="s">
        <v>4457</v>
      </c>
      <c r="B1404" s="15" t="s">
        <v>600</v>
      </c>
      <c r="C1404" s="15" t="s">
        <v>528</v>
      </c>
      <c r="D1404" s="15" t="s">
        <v>4458</v>
      </c>
      <c r="E1404" s="15" t="s">
        <v>81</v>
      </c>
      <c r="G1404" s="10" t="n">
        <v>2</v>
      </c>
      <c r="H1404" s="21" t="n">
        <v>46057.4165162037</v>
      </c>
      <c r="I1404" s="15" t="s">
        <v>4459</v>
      </c>
      <c r="J1404" s="15" t="s">
        <v>4459</v>
      </c>
      <c r="K1404" s="15"/>
      <c r="L1404" s="10" t="n">
        <f aca="false">COUNTIF($E$2:E1404,E1404)</f>
        <v>223</v>
      </c>
      <c r="M1404" s="10" t="e">
        <f aca="false">ifs(L1404=1, L1404&amp;"-"&amp; COUNTIFS($L$2:L1404,1))</f>
        <v>#NAME?</v>
      </c>
      <c r="N1404" s="15" t="s">
        <v>603</v>
      </c>
      <c r="O1404" s="10" t="s">
        <v>3730</v>
      </c>
      <c r="P1404" s="22" t="n">
        <f aca="false">COUNTIFS(C:C,C1404,N:N,"Đã xác nhận")/COUNTIFS(C:C,C1404)</f>
        <v>1</v>
      </c>
      <c r="Q1404" s="22"/>
      <c r="R1404" s="0" t="s">
        <v>4460</v>
      </c>
      <c r="S1404" s="0" t="s">
        <v>534</v>
      </c>
      <c r="U1404" s="24" t="n">
        <v>2</v>
      </c>
    </row>
    <row r="1405" customFormat="false" ht="12.75" hidden="false" customHeight="false" outlineLevel="0" collapsed="false">
      <c r="A1405" s="15" t="s">
        <v>4461</v>
      </c>
      <c r="B1405" s="15" t="s">
        <v>600</v>
      </c>
      <c r="C1405" s="15" t="s">
        <v>528</v>
      </c>
      <c r="D1405" s="15" t="s">
        <v>4462</v>
      </c>
      <c r="E1405" s="15" t="s">
        <v>81</v>
      </c>
      <c r="G1405" s="10" t="n">
        <v>2</v>
      </c>
      <c r="H1405" s="21" t="n">
        <v>46057.4165162037</v>
      </c>
      <c r="I1405" s="15" t="s">
        <v>4463</v>
      </c>
      <c r="J1405" s="15" t="s">
        <v>4463</v>
      </c>
      <c r="K1405" s="15"/>
      <c r="L1405" s="10" t="n">
        <f aca="false">COUNTIF($E$2:E1405,E1405)</f>
        <v>224</v>
      </c>
      <c r="M1405" s="10" t="e">
        <f aca="false">ifs(L1405=1, L1405&amp;"-"&amp; COUNTIFS($L$2:L1405,1))</f>
        <v>#NAME?</v>
      </c>
      <c r="N1405" s="15" t="s">
        <v>603</v>
      </c>
      <c r="O1405" s="10" t="s">
        <v>3730</v>
      </c>
      <c r="P1405" s="22" t="n">
        <f aca="false">COUNTIFS(C:C,C1405,N:N,"Đã xác nhận")/COUNTIFS(C:C,C1405)</f>
        <v>1</v>
      </c>
      <c r="Q1405" s="22"/>
      <c r="R1405" s="0" t="s">
        <v>4464</v>
      </c>
      <c r="S1405" s="0" t="s">
        <v>534</v>
      </c>
      <c r="U1405" s="24" t="n">
        <v>2</v>
      </c>
    </row>
    <row r="1406" customFormat="false" ht="12.75" hidden="false" customHeight="false" outlineLevel="0" collapsed="false">
      <c r="A1406" s="15" t="s">
        <v>4465</v>
      </c>
      <c r="B1406" s="15" t="s">
        <v>600</v>
      </c>
      <c r="C1406" s="15" t="s">
        <v>528</v>
      </c>
      <c r="D1406" s="15" t="s">
        <v>1029</v>
      </c>
      <c r="E1406" s="15" t="s">
        <v>87</v>
      </c>
      <c r="G1406" s="10" t="n">
        <v>1</v>
      </c>
      <c r="H1406" s="21" t="n">
        <v>46057.4165856482</v>
      </c>
      <c r="I1406" s="15" t="s">
        <v>4466</v>
      </c>
      <c r="J1406" s="15" t="s">
        <v>4466</v>
      </c>
      <c r="K1406" s="15"/>
      <c r="L1406" s="10" t="n">
        <f aca="false">COUNTIF($E$2:E1406,E1406)</f>
        <v>4</v>
      </c>
      <c r="M1406" s="10" t="e">
        <f aca="false">ifs(L1406=1, L1406&amp;"-"&amp; COUNTIFS($L$2:L1406,1))</f>
        <v>#NAME?</v>
      </c>
      <c r="N1406" s="15" t="s">
        <v>603</v>
      </c>
      <c r="O1406" s="10" t="s">
        <v>3730</v>
      </c>
      <c r="P1406" s="22" t="n">
        <f aca="false">COUNTIFS(C:C,C1406,N:N,"Đã xác nhận")/COUNTIFS(C:C,C1406)</f>
        <v>1</v>
      </c>
      <c r="Q1406" s="22"/>
      <c r="R1406" s="0" t="s">
        <v>1031</v>
      </c>
      <c r="S1406" s="0" t="s">
        <v>563</v>
      </c>
      <c r="U1406" s="24" t="n">
        <v>1</v>
      </c>
    </row>
    <row r="1407" customFormat="false" ht="12.75" hidden="false" customHeight="false" outlineLevel="0" collapsed="false">
      <c r="A1407" s="15" t="s">
        <v>4467</v>
      </c>
      <c r="B1407" s="15"/>
      <c r="C1407" s="15"/>
      <c r="D1407" s="15"/>
      <c r="E1407" s="15"/>
      <c r="G1407" s="10" t="n">
        <v>0</v>
      </c>
      <c r="H1407" s="21" t="n">
        <v>46077.6387731481</v>
      </c>
      <c r="I1407" s="15" t="s">
        <v>4468</v>
      </c>
      <c r="J1407" s="15" t="s">
        <v>695</v>
      </c>
      <c r="K1407" s="15" t="s">
        <v>4469</v>
      </c>
      <c r="L1407" s="10" t="n">
        <f aca="false">COUNTIF($E$2:E1407,E1407)</f>
        <v>0</v>
      </c>
      <c r="M1407" s="10" t="e">
        <f aca="false">ifs(L1407=1, L1407&amp;"-"&amp; COUNTIFS($L$2:L1407,1))</f>
        <v>#NAME?</v>
      </c>
      <c r="N1407" s="15"/>
      <c r="O1407" s="10" t="s">
        <v>3730</v>
      </c>
      <c r="P1407" s="22" t="e">
        <f aca="false">COUNTIFS(C:C,C1407,N:N,"Đã xác nhận")/COUNTIFS(C:C,C1407)</f>
        <v>#DIV/0!</v>
      </c>
      <c r="Q1407" s="22"/>
      <c r="R1407" s="0" t="e">
        <f aca="false">#VALUE!</f>
        <v>#VALUE!</v>
      </c>
      <c r="S1407" s="0" t="e">
        <f aca="false">#VALUE!</f>
        <v>#VALUE!</v>
      </c>
      <c r="U1407" s="24" t="n">
        <v>0</v>
      </c>
    </row>
    <row r="1408" customFormat="false" ht="12.75" hidden="false" customHeight="false" outlineLevel="0" collapsed="false">
      <c r="A1408" s="15" t="s">
        <v>4470</v>
      </c>
      <c r="B1408" s="15" t="s">
        <v>600</v>
      </c>
      <c r="C1408" s="15" t="s">
        <v>19</v>
      </c>
      <c r="D1408" s="15" t="s">
        <v>1698</v>
      </c>
      <c r="E1408" s="15" t="s">
        <v>43</v>
      </c>
      <c r="G1408" s="10" t="n">
        <v>1</v>
      </c>
      <c r="H1408" s="21" t="n">
        <v>46077.6422222222</v>
      </c>
      <c r="I1408" s="15" t="s">
        <v>4468</v>
      </c>
      <c r="J1408" s="15" t="s">
        <v>4468</v>
      </c>
      <c r="K1408" s="15"/>
      <c r="L1408" s="10" t="n">
        <f aca="false">COUNTIF($E$2:E1408,E1408)</f>
        <v>17</v>
      </c>
      <c r="M1408" s="10" t="e">
        <f aca="false">ifs(L1408=1, L1408&amp;"-"&amp; COUNTIFS($L$2:L1408,1))</f>
        <v>#NAME?</v>
      </c>
      <c r="N1408" s="15" t="s">
        <v>603</v>
      </c>
      <c r="O1408" s="10" t="s">
        <v>3730</v>
      </c>
      <c r="P1408" s="22" t="n">
        <f aca="false">COUNTIFS(C:C,C1408,N:N,"Đã xác nhận")/COUNTIFS(C:C,C1408)</f>
        <v>0.594202898550725</v>
      </c>
      <c r="Q1408" s="22"/>
      <c r="R1408" s="0" t="s">
        <v>1700</v>
      </c>
      <c r="S1408" s="0" t="s">
        <v>538</v>
      </c>
      <c r="U1408" s="24" t="n">
        <v>1</v>
      </c>
    </row>
    <row r="1409" customFormat="false" ht="12.75" hidden="false" customHeight="false" outlineLevel="0" collapsed="false">
      <c r="A1409" s="15" t="s">
        <v>4471</v>
      </c>
      <c r="B1409" s="15" t="s">
        <v>1103</v>
      </c>
      <c r="C1409" s="15" t="s">
        <v>455</v>
      </c>
      <c r="D1409" s="15" t="s">
        <v>2222</v>
      </c>
      <c r="E1409" s="15" t="s">
        <v>17</v>
      </c>
      <c r="G1409" s="10" t="n">
        <v>1</v>
      </c>
      <c r="H1409" s="21" t="n">
        <v>46077.6625694444</v>
      </c>
      <c r="I1409" s="15" t="s">
        <v>4472</v>
      </c>
      <c r="J1409" s="15" t="s">
        <v>4472</v>
      </c>
      <c r="K1409" s="15"/>
      <c r="L1409" s="10" t="n">
        <f aca="false">COUNTIF($E$2:E1409,E1409)</f>
        <v>8</v>
      </c>
      <c r="M1409" s="10" t="e">
        <f aca="false">ifs(L1409=1, L1409&amp;"-"&amp; COUNTIFS($L$2:L1409,1))</f>
        <v>#NAME?</v>
      </c>
      <c r="N1409" s="15" t="s">
        <v>603</v>
      </c>
      <c r="O1409" s="10" t="s">
        <v>3730</v>
      </c>
      <c r="P1409" s="22" t="n">
        <f aca="false">COUNTIFS(C:C,C1409,N:N,"Đã xác nhận")/COUNTIFS(C:C,C1409)</f>
        <v>1</v>
      </c>
      <c r="Q1409" s="22"/>
      <c r="R1409" s="0" t="s">
        <v>2226</v>
      </c>
      <c r="S1409" s="0" t="s">
        <v>554</v>
      </c>
      <c r="U1409" s="24" t="n">
        <v>1</v>
      </c>
    </row>
    <row r="1410" customFormat="false" ht="12.75" hidden="false" customHeight="false" outlineLevel="0" collapsed="false">
      <c r="A1410" s="15" t="s">
        <v>4473</v>
      </c>
      <c r="B1410" s="15" t="s">
        <v>1103</v>
      </c>
      <c r="C1410" s="15" t="s">
        <v>455</v>
      </c>
      <c r="D1410" s="15" t="s">
        <v>1500</v>
      </c>
      <c r="E1410" s="15" t="s">
        <v>39</v>
      </c>
      <c r="G1410" s="10" t="n">
        <v>1</v>
      </c>
      <c r="H1410" s="21" t="n">
        <v>46077.662650463</v>
      </c>
      <c r="I1410" s="15" t="s">
        <v>4474</v>
      </c>
      <c r="J1410" s="15" t="s">
        <v>4474</v>
      </c>
      <c r="K1410" s="15"/>
      <c r="L1410" s="10" t="n">
        <f aca="false">COUNTIF($E$2:E1410,E1410)</f>
        <v>19</v>
      </c>
      <c r="M1410" s="10" t="e">
        <f aca="false">ifs(L1410=1, L1410&amp;"-"&amp; COUNTIFS($L$2:L1410,1))</f>
        <v>#NAME?</v>
      </c>
      <c r="N1410" s="15" t="s">
        <v>603</v>
      </c>
      <c r="O1410" s="10" t="s">
        <v>3730</v>
      </c>
      <c r="P1410" s="22" t="n">
        <f aca="false">COUNTIFS(C:C,C1410,N:N,"Đã xác nhận")/COUNTIFS(C:C,C1410)</f>
        <v>1</v>
      </c>
      <c r="Q1410" s="22"/>
      <c r="R1410" s="0" t="s">
        <v>1502</v>
      </c>
      <c r="S1410" s="0" t="s">
        <v>550</v>
      </c>
      <c r="U1410" s="24" t="n">
        <v>1</v>
      </c>
    </row>
    <row r="1411" customFormat="false" ht="12.75" hidden="false" customHeight="false" outlineLevel="0" collapsed="false">
      <c r="A1411" s="15" t="s">
        <v>4475</v>
      </c>
      <c r="B1411" s="15" t="s">
        <v>1103</v>
      </c>
      <c r="C1411" s="15" t="s">
        <v>455</v>
      </c>
      <c r="D1411" s="15" t="s">
        <v>3074</v>
      </c>
      <c r="E1411" s="15" t="s">
        <v>47</v>
      </c>
      <c r="G1411" s="10" t="n">
        <v>1</v>
      </c>
      <c r="H1411" s="21" t="n">
        <v>46079.6131712963</v>
      </c>
      <c r="I1411" s="15" t="s">
        <v>4476</v>
      </c>
      <c r="J1411" s="15" t="s">
        <v>4476</v>
      </c>
      <c r="K1411" s="15"/>
      <c r="L1411" s="10" t="n">
        <f aca="false">COUNTIF($E$2:E1411,E1411)</f>
        <v>75</v>
      </c>
      <c r="M1411" s="10" t="e">
        <f aca="false">ifs(L1411=1, L1411&amp;"-"&amp; COUNTIFS($L$2:L1411,1))</f>
        <v>#NAME?</v>
      </c>
      <c r="N1411" s="15" t="s">
        <v>603</v>
      </c>
      <c r="O1411" s="10" t="s">
        <v>3730</v>
      </c>
      <c r="P1411" s="22" t="n">
        <f aca="false">COUNTIFS(C:C,C1411,N:N,"Đã xác nhận")/COUNTIFS(C:C,C1411)</f>
        <v>1</v>
      </c>
      <c r="Q1411" s="22"/>
      <c r="R1411" s="0" t="s">
        <v>3076</v>
      </c>
      <c r="S1411" s="0" t="s">
        <v>549</v>
      </c>
      <c r="U1411" s="24" t="n">
        <v>1</v>
      </c>
    </row>
    <row r="1412" customFormat="false" ht="12.75" hidden="false" customHeight="false" outlineLevel="0" collapsed="false">
      <c r="A1412" s="15" t="s">
        <v>4477</v>
      </c>
      <c r="B1412" s="15" t="s">
        <v>1103</v>
      </c>
      <c r="C1412" s="15" t="s">
        <v>4478</v>
      </c>
      <c r="D1412" s="15" t="s">
        <v>1160</v>
      </c>
      <c r="E1412" s="15" t="s">
        <v>55</v>
      </c>
      <c r="G1412" s="10" t="n">
        <v>1</v>
      </c>
      <c r="H1412" s="21" t="n">
        <v>46077.6974537037</v>
      </c>
      <c r="I1412" s="15" t="s">
        <v>1566</v>
      </c>
      <c r="J1412" s="15" t="s">
        <v>4479</v>
      </c>
      <c r="K1412" s="15" t="s">
        <v>4480</v>
      </c>
      <c r="L1412" s="10" t="n">
        <f aca="false">COUNTIF($E$2:E1412,E1412)</f>
        <v>151</v>
      </c>
      <c r="M1412" s="10" t="e">
        <f aca="false">ifs(L1412=1, L1412&amp;"-"&amp; COUNTIFS($L$2:L1412,1))</f>
        <v>#NAME?</v>
      </c>
      <c r="N1412" s="15"/>
      <c r="O1412" s="10" t="s">
        <v>3730</v>
      </c>
      <c r="P1412" s="22" t="n">
        <f aca="false">COUNTIFS(C:C,C1412,N:N,"Đã xác nhận")/COUNTIFS(C:C,C1412)</f>
        <v>0</v>
      </c>
      <c r="Q1412" s="22"/>
      <c r="R1412" s="0" t="s">
        <v>1162</v>
      </c>
      <c r="S1412" s="0" t="s">
        <v>539</v>
      </c>
      <c r="U1412" s="24" t="n">
        <v>1</v>
      </c>
    </row>
    <row r="1413" customFormat="false" ht="12.75" hidden="false" customHeight="false" outlineLevel="0" collapsed="false">
      <c r="A1413" s="15" t="s">
        <v>4481</v>
      </c>
      <c r="B1413" s="15" t="s">
        <v>1103</v>
      </c>
      <c r="C1413" s="15" t="s">
        <v>4478</v>
      </c>
      <c r="D1413" s="15" t="s">
        <v>1169</v>
      </c>
      <c r="E1413" s="15" t="s">
        <v>55</v>
      </c>
      <c r="G1413" s="10" t="n">
        <v>1</v>
      </c>
      <c r="H1413" s="21" t="n">
        <v>46077.6993634259</v>
      </c>
      <c r="I1413" s="15" t="s">
        <v>1566</v>
      </c>
      <c r="J1413" s="15" t="s">
        <v>4482</v>
      </c>
      <c r="K1413" s="15" t="s">
        <v>4483</v>
      </c>
      <c r="L1413" s="10" t="n">
        <f aca="false">COUNTIF($E$2:E1413,E1413)</f>
        <v>152</v>
      </c>
      <c r="M1413" s="10" t="e">
        <f aca="false">ifs(L1413=1, L1413&amp;"-"&amp; COUNTIFS($L$2:L1413,1))</f>
        <v>#NAME?</v>
      </c>
      <c r="N1413" s="15"/>
      <c r="O1413" s="10" t="s">
        <v>3730</v>
      </c>
      <c r="P1413" s="22" t="n">
        <f aca="false">COUNTIFS(C:C,C1413,N:N,"Đã xác nhận")/COUNTIFS(C:C,C1413)</f>
        <v>0</v>
      </c>
      <c r="Q1413" s="22"/>
      <c r="R1413" s="0" t="s">
        <v>1171</v>
      </c>
      <c r="S1413" s="0" t="s">
        <v>539</v>
      </c>
      <c r="U1413" s="24" t="n">
        <v>1</v>
      </c>
    </row>
    <row r="1414" customFormat="false" ht="12.75" hidden="false" customHeight="false" outlineLevel="0" collapsed="false">
      <c r="A1414" s="15" t="s">
        <v>4484</v>
      </c>
      <c r="B1414" s="15" t="s">
        <v>1103</v>
      </c>
      <c r="C1414" s="15" t="s">
        <v>4478</v>
      </c>
      <c r="D1414" s="15" t="s">
        <v>1120</v>
      </c>
      <c r="E1414" s="15" t="s">
        <v>55</v>
      </c>
      <c r="G1414" s="10" t="n">
        <v>1</v>
      </c>
      <c r="H1414" s="21" t="n">
        <v>46077.699849537</v>
      </c>
      <c r="I1414" s="15" t="s">
        <v>4485</v>
      </c>
      <c r="J1414" s="15" t="s">
        <v>4486</v>
      </c>
      <c r="K1414" s="15" t="s">
        <v>4487</v>
      </c>
      <c r="L1414" s="10" t="n">
        <f aca="false">COUNTIF($E$2:E1414,E1414)</f>
        <v>153</v>
      </c>
      <c r="M1414" s="10" t="e">
        <f aca="false">ifs(L1414=1, L1414&amp;"-"&amp; COUNTIFS($L$2:L1414,1))</f>
        <v>#NAME?</v>
      </c>
      <c r="N1414" s="15"/>
      <c r="O1414" s="10" t="s">
        <v>3730</v>
      </c>
      <c r="P1414" s="22" t="n">
        <f aca="false">COUNTIFS(C:C,C1414,N:N,"Đã xác nhận")/COUNTIFS(C:C,C1414)</f>
        <v>0</v>
      </c>
      <c r="Q1414" s="22"/>
      <c r="R1414" s="0" t="s">
        <v>1122</v>
      </c>
      <c r="S1414" s="0" t="s">
        <v>539</v>
      </c>
      <c r="U1414" s="24" t="n">
        <v>1</v>
      </c>
    </row>
    <row r="1415" customFormat="false" ht="12.75" hidden="false" customHeight="false" outlineLevel="0" collapsed="false">
      <c r="A1415" s="15" t="s">
        <v>4488</v>
      </c>
      <c r="B1415" s="15" t="s">
        <v>1103</v>
      </c>
      <c r="C1415" s="15" t="s">
        <v>4478</v>
      </c>
      <c r="D1415" s="15" t="s">
        <v>1150</v>
      </c>
      <c r="E1415" s="15" t="s">
        <v>47</v>
      </c>
      <c r="G1415" s="10" t="n">
        <v>1</v>
      </c>
      <c r="H1415" s="21" t="n">
        <v>46077.7002662037</v>
      </c>
      <c r="I1415" s="15" t="s">
        <v>4485</v>
      </c>
      <c r="J1415" s="15" t="s">
        <v>4489</v>
      </c>
      <c r="K1415" s="15" t="s">
        <v>4490</v>
      </c>
      <c r="L1415" s="10" t="n">
        <f aca="false">COUNTIF($E$2:E1415,E1415)</f>
        <v>76</v>
      </c>
      <c r="M1415" s="10" t="e">
        <f aca="false">ifs(L1415=1, L1415&amp;"-"&amp; COUNTIFS($L$2:L1415,1))</f>
        <v>#NAME?</v>
      </c>
      <c r="N1415" s="15"/>
      <c r="O1415" s="10" t="s">
        <v>3730</v>
      </c>
      <c r="P1415" s="22" t="n">
        <f aca="false">COUNTIFS(C:C,C1415,N:N,"Đã xác nhận")/COUNTIFS(C:C,C1415)</f>
        <v>0</v>
      </c>
      <c r="Q1415" s="22"/>
      <c r="R1415" s="0" t="s">
        <v>1152</v>
      </c>
      <c r="S1415" s="0" t="s">
        <v>549</v>
      </c>
      <c r="U1415" s="24" t="n">
        <v>1</v>
      </c>
    </row>
    <row r="1416" customFormat="false" ht="12.75" hidden="false" customHeight="false" outlineLevel="0" collapsed="false">
      <c r="A1416" s="15" t="s">
        <v>4491</v>
      </c>
      <c r="B1416" s="15" t="s">
        <v>1103</v>
      </c>
      <c r="C1416" s="15" t="s">
        <v>4478</v>
      </c>
      <c r="D1416" s="15" t="s">
        <v>1115</v>
      </c>
      <c r="E1416" s="15" t="s">
        <v>47</v>
      </c>
      <c r="G1416" s="10" t="n">
        <v>1</v>
      </c>
      <c r="H1416" s="21" t="n">
        <v>46077.7006828704</v>
      </c>
      <c r="I1416" s="15" t="s">
        <v>4485</v>
      </c>
      <c r="J1416" s="15" t="s">
        <v>4492</v>
      </c>
      <c r="K1416" s="15" t="s">
        <v>4493</v>
      </c>
      <c r="L1416" s="10" t="n">
        <f aca="false">COUNTIF($E$2:E1416,E1416)</f>
        <v>77</v>
      </c>
      <c r="M1416" s="10" t="e">
        <f aca="false">ifs(L1416=1, L1416&amp;"-"&amp; COUNTIFS($L$2:L1416,1))</f>
        <v>#NAME?</v>
      </c>
      <c r="N1416" s="15"/>
      <c r="O1416" s="10" t="s">
        <v>3730</v>
      </c>
      <c r="P1416" s="22" t="n">
        <f aca="false">COUNTIFS(C:C,C1416,N:N,"Đã xác nhận")/COUNTIFS(C:C,C1416)</f>
        <v>0</v>
      </c>
      <c r="Q1416" s="22"/>
      <c r="R1416" s="0" t="s">
        <v>1119</v>
      </c>
      <c r="S1416" s="0" t="s">
        <v>549</v>
      </c>
      <c r="U1416" s="24" t="n">
        <v>1</v>
      </c>
    </row>
    <row r="1417" customFormat="false" ht="12.75" hidden="false" customHeight="false" outlineLevel="0" collapsed="false">
      <c r="A1417" s="15" t="s">
        <v>4494</v>
      </c>
      <c r="B1417" s="15" t="s">
        <v>1103</v>
      </c>
      <c r="C1417" s="15" t="s">
        <v>4478</v>
      </c>
      <c r="D1417" s="15" t="s">
        <v>1156</v>
      </c>
      <c r="E1417" s="15" t="s">
        <v>55</v>
      </c>
      <c r="G1417" s="10" t="n">
        <v>1</v>
      </c>
      <c r="H1417" s="21" t="n">
        <v>46077.7009837963</v>
      </c>
      <c r="I1417" s="15" t="s">
        <v>4485</v>
      </c>
      <c r="J1417" s="15" t="s">
        <v>4495</v>
      </c>
      <c r="K1417" s="15" t="s">
        <v>4496</v>
      </c>
      <c r="L1417" s="10" t="n">
        <f aca="false">COUNTIF($E$2:E1417,E1417)</f>
        <v>154</v>
      </c>
      <c r="M1417" s="10" t="e">
        <f aca="false">ifs(L1417=1, L1417&amp;"-"&amp; COUNTIFS($L$2:L1417,1))</f>
        <v>#NAME?</v>
      </c>
      <c r="N1417" s="15"/>
      <c r="O1417" s="10" t="s">
        <v>3730</v>
      </c>
      <c r="P1417" s="22" t="n">
        <f aca="false">COUNTIFS(C:C,C1417,N:N,"Đã xác nhận")/COUNTIFS(C:C,C1417)</f>
        <v>0</v>
      </c>
      <c r="Q1417" s="22"/>
      <c r="R1417" s="0" t="s">
        <v>1158</v>
      </c>
      <c r="S1417" s="0" t="s">
        <v>539</v>
      </c>
      <c r="U1417" s="24" t="n">
        <v>1</v>
      </c>
    </row>
    <row r="1418" customFormat="false" ht="12.75" hidden="false" customHeight="false" outlineLevel="0" collapsed="false">
      <c r="A1418" s="15" t="s">
        <v>4497</v>
      </c>
      <c r="B1418" s="15" t="s">
        <v>1103</v>
      </c>
      <c r="C1418" s="15" t="s">
        <v>4478</v>
      </c>
      <c r="D1418" s="15" t="s">
        <v>3938</v>
      </c>
      <c r="E1418" s="15" t="s">
        <v>81</v>
      </c>
      <c r="G1418" s="10" t="n">
        <v>1</v>
      </c>
      <c r="H1418" s="21" t="n">
        <v>46077.7012268519</v>
      </c>
      <c r="I1418" s="15" t="s">
        <v>4485</v>
      </c>
      <c r="J1418" s="15" t="s">
        <v>4498</v>
      </c>
      <c r="K1418" s="15" t="s">
        <v>4499</v>
      </c>
      <c r="L1418" s="10" t="n">
        <f aca="false">COUNTIF($E$2:E1418,E1418)</f>
        <v>225</v>
      </c>
      <c r="M1418" s="10" t="e">
        <f aca="false">ifs(L1418=1, L1418&amp;"-"&amp; COUNTIFS($L$2:L1418,1))</f>
        <v>#NAME?</v>
      </c>
      <c r="N1418" s="15"/>
      <c r="O1418" s="10" t="s">
        <v>3730</v>
      </c>
      <c r="P1418" s="22" t="n">
        <f aca="false">COUNTIFS(C:C,C1418,N:N,"Đã xác nhận")/COUNTIFS(C:C,C1418)</f>
        <v>0</v>
      </c>
      <c r="Q1418" s="22"/>
      <c r="R1418" s="0" t="s">
        <v>3940</v>
      </c>
      <c r="S1418" s="0" t="s">
        <v>534</v>
      </c>
      <c r="U1418" s="24" t="n">
        <v>1</v>
      </c>
    </row>
    <row r="1419" customFormat="false" ht="12.75" hidden="false" customHeight="false" outlineLevel="0" collapsed="false">
      <c r="A1419" s="15" t="s">
        <v>4500</v>
      </c>
      <c r="B1419" s="15" t="s">
        <v>1103</v>
      </c>
      <c r="C1419" s="15" t="s">
        <v>4478</v>
      </c>
      <c r="D1419" s="15" t="s">
        <v>3934</v>
      </c>
      <c r="E1419" s="15" t="s">
        <v>81</v>
      </c>
      <c r="G1419" s="10" t="n">
        <v>2</v>
      </c>
      <c r="H1419" s="21" t="n">
        <v>46077.7015393519</v>
      </c>
      <c r="I1419" s="15" t="s">
        <v>3727</v>
      </c>
      <c r="J1419" s="15" t="s">
        <v>4501</v>
      </c>
      <c r="K1419" s="15" t="s">
        <v>4502</v>
      </c>
      <c r="L1419" s="10" t="n">
        <f aca="false">COUNTIF($E$2:E1419,E1419)</f>
        <v>226</v>
      </c>
      <c r="M1419" s="10" t="e">
        <f aca="false">ifs(L1419=1, L1419&amp;"-"&amp; COUNTIFS($L$2:L1419,1))</f>
        <v>#NAME?</v>
      </c>
      <c r="N1419" s="15"/>
      <c r="O1419" s="10" t="s">
        <v>3730</v>
      </c>
      <c r="P1419" s="22" t="n">
        <f aca="false">COUNTIFS(C:C,C1419,N:N,"Đã xác nhận")/COUNTIFS(C:C,C1419)</f>
        <v>0</v>
      </c>
      <c r="Q1419" s="22"/>
      <c r="R1419" s="0" t="s">
        <v>3936</v>
      </c>
      <c r="S1419" s="0" t="s">
        <v>534</v>
      </c>
      <c r="U1419" s="24" t="n">
        <v>2</v>
      </c>
    </row>
    <row r="1420" customFormat="false" ht="12.75" hidden="false" customHeight="false" outlineLevel="0" collapsed="false">
      <c r="A1420" s="15" t="s">
        <v>4503</v>
      </c>
      <c r="B1420" s="15" t="s">
        <v>1103</v>
      </c>
      <c r="C1420" s="15" t="s">
        <v>4478</v>
      </c>
      <c r="D1420" s="15" t="s">
        <v>3930</v>
      </c>
      <c r="E1420" s="15" t="s">
        <v>81</v>
      </c>
      <c r="G1420" s="10" t="n">
        <v>1</v>
      </c>
      <c r="H1420" s="21" t="n">
        <v>46077.7018055556</v>
      </c>
      <c r="I1420" s="15" t="s">
        <v>3727</v>
      </c>
      <c r="J1420" s="15" t="s">
        <v>4504</v>
      </c>
      <c r="K1420" s="15" t="s">
        <v>4505</v>
      </c>
      <c r="L1420" s="10" t="n">
        <f aca="false">COUNTIF($E$2:E1420,E1420)</f>
        <v>227</v>
      </c>
      <c r="M1420" s="10" t="e">
        <f aca="false">ifs(L1420=1, L1420&amp;"-"&amp; COUNTIFS($L$2:L1420,1))</f>
        <v>#NAME?</v>
      </c>
      <c r="N1420" s="15"/>
      <c r="O1420" s="10" t="s">
        <v>3730</v>
      </c>
      <c r="P1420" s="22" t="n">
        <f aca="false">COUNTIFS(C:C,C1420,N:N,"Đã xác nhận")/COUNTIFS(C:C,C1420)</f>
        <v>0</v>
      </c>
      <c r="Q1420" s="22"/>
      <c r="R1420" s="0" t="s">
        <v>3932</v>
      </c>
      <c r="S1420" s="0" t="s">
        <v>534</v>
      </c>
      <c r="U1420" s="24" t="n">
        <v>1</v>
      </c>
    </row>
    <row r="1421" customFormat="false" ht="12.75" hidden="false" customHeight="false" outlineLevel="0" collapsed="false">
      <c r="A1421" s="15" t="s">
        <v>4506</v>
      </c>
      <c r="B1421" s="15" t="s">
        <v>1103</v>
      </c>
      <c r="C1421" s="15" t="s">
        <v>4478</v>
      </c>
      <c r="D1421" s="15" t="s">
        <v>1153</v>
      </c>
      <c r="E1421" s="15" t="s">
        <v>55</v>
      </c>
      <c r="G1421" s="10" t="n">
        <v>2</v>
      </c>
      <c r="H1421" s="21" t="n">
        <v>46077.702037037</v>
      </c>
      <c r="I1421" s="15" t="s">
        <v>3727</v>
      </c>
      <c r="J1421" s="15" t="s">
        <v>4507</v>
      </c>
      <c r="K1421" s="15" t="s">
        <v>4508</v>
      </c>
      <c r="L1421" s="10" t="n">
        <f aca="false">COUNTIF($E$2:E1421,E1421)</f>
        <v>155</v>
      </c>
      <c r="M1421" s="10" t="e">
        <f aca="false">ifs(L1421=1, L1421&amp;"-"&amp; COUNTIFS($L$2:L1421,1))</f>
        <v>#NAME?</v>
      </c>
      <c r="N1421" s="15"/>
      <c r="O1421" s="10" t="s">
        <v>3730</v>
      </c>
      <c r="P1421" s="22" t="n">
        <f aca="false">COUNTIFS(C:C,C1421,N:N,"Đã xác nhận")/COUNTIFS(C:C,C1421)</f>
        <v>0</v>
      </c>
      <c r="Q1421" s="22"/>
      <c r="R1421" s="0" t="s">
        <v>1155</v>
      </c>
      <c r="S1421" s="0" t="s">
        <v>539</v>
      </c>
      <c r="U1421" s="24" t="n">
        <v>2</v>
      </c>
    </row>
    <row r="1422" customFormat="false" ht="12.75" hidden="false" customHeight="false" outlineLevel="0" collapsed="false">
      <c r="A1422" s="15" t="s">
        <v>4509</v>
      </c>
      <c r="B1422" s="15" t="s">
        <v>1103</v>
      </c>
      <c r="C1422" s="15" t="s">
        <v>4478</v>
      </c>
      <c r="D1422" s="15" t="s">
        <v>1176</v>
      </c>
      <c r="E1422" s="15" t="s">
        <v>81</v>
      </c>
      <c r="G1422" s="10" t="n">
        <v>2</v>
      </c>
      <c r="H1422" s="21" t="n">
        <v>46077.7024189815</v>
      </c>
      <c r="I1422" s="15" t="s">
        <v>3727</v>
      </c>
      <c r="J1422" s="15" t="s">
        <v>4510</v>
      </c>
      <c r="K1422" s="15" t="s">
        <v>4511</v>
      </c>
      <c r="L1422" s="10" t="n">
        <f aca="false">COUNTIF($E$2:E1422,E1422)</f>
        <v>228</v>
      </c>
      <c r="M1422" s="10" t="e">
        <f aca="false">ifs(L1422=1, L1422&amp;"-"&amp; COUNTIFS($L$2:L1422,1))</f>
        <v>#NAME?</v>
      </c>
      <c r="N1422" s="15"/>
      <c r="O1422" s="10" t="s">
        <v>3730</v>
      </c>
      <c r="P1422" s="22" t="n">
        <f aca="false">COUNTIFS(C:C,C1422,N:N,"Đã xác nhận")/COUNTIFS(C:C,C1422)</f>
        <v>0</v>
      </c>
      <c r="Q1422" s="22"/>
      <c r="R1422" s="0" t="s">
        <v>1178</v>
      </c>
      <c r="S1422" s="0" t="s">
        <v>534</v>
      </c>
      <c r="U1422" s="24" t="n">
        <v>2</v>
      </c>
    </row>
    <row r="1423" customFormat="false" ht="12.75" hidden="false" customHeight="false" outlineLevel="0" collapsed="false">
      <c r="A1423" s="15" t="s">
        <v>4512</v>
      </c>
      <c r="B1423" s="15" t="s">
        <v>1103</v>
      </c>
      <c r="C1423" s="15" t="s">
        <v>4478</v>
      </c>
      <c r="D1423" s="15" t="s">
        <v>1172</v>
      </c>
      <c r="E1423" s="15" t="s">
        <v>81</v>
      </c>
      <c r="G1423" s="10" t="n">
        <v>1</v>
      </c>
      <c r="H1423" s="21" t="n">
        <v>46077.7026736111</v>
      </c>
      <c r="I1423" s="15" t="s">
        <v>3727</v>
      </c>
      <c r="J1423" s="15" t="s">
        <v>4513</v>
      </c>
      <c r="K1423" s="15" t="s">
        <v>4514</v>
      </c>
      <c r="L1423" s="10" t="n">
        <f aca="false">COUNTIF($E$2:E1423,E1423)</f>
        <v>229</v>
      </c>
      <c r="M1423" s="10" t="e">
        <f aca="false">ifs(L1423=1, L1423&amp;"-"&amp; COUNTIFS($L$2:L1423,1))</f>
        <v>#NAME?</v>
      </c>
      <c r="N1423" s="15"/>
      <c r="O1423" s="10" t="s">
        <v>3730</v>
      </c>
      <c r="P1423" s="22" t="n">
        <f aca="false">COUNTIFS(C:C,C1423,N:N,"Đã xác nhận")/COUNTIFS(C:C,C1423)</f>
        <v>0</v>
      </c>
      <c r="Q1423" s="22"/>
      <c r="R1423" s="0" t="s">
        <v>1174</v>
      </c>
      <c r="S1423" s="0" t="s">
        <v>534</v>
      </c>
      <c r="U1423" s="24" t="n">
        <v>1</v>
      </c>
    </row>
    <row r="1424" customFormat="false" ht="12.75" hidden="false" customHeight="false" outlineLevel="0" collapsed="false">
      <c r="A1424" s="15" t="s">
        <v>4515</v>
      </c>
      <c r="B1424" s="15" t="s">
        <v>1103</v>
      </c>
      <c r="C1424" s="15" t="s">
        <v>4478</v>
      </c>
      <c r="D1424" s="15" t="s">
        <v>1179</v>
      </c>
      <c r="E1424" s="15" t="s">
        <v>63</v>
      </c>
      <c r="G1424" s="10" t="n">
        <v>1</v>
      </c>
      <c r="H1424" s="21" t="n">
        <v>46077.7035300926</v>
      </c>
      <c r="I1424" s="15" t="s">
        <v>3727</v>
      </c>
      <c r="J1424" s="15" t="s">
        <v>4516</v>
      </c>
      <c r="K1424" s="15" t="s">
        <v>4517</v>
      </c>
      <c r="L1424" s="10" t="n">
        <f aca="false">COUNTIF($E$2:E1424,E1424)</f>
        <v>23</v>
      </c>
      <c r="M1424" s="10" t="e">
        <f aca="false">ifs(L1424=1, L1424&amp;"-"&amp; COUNTIFS($L$2:L1424,1))</f>
        <v>#NAME?</v>
      </c>
      <c r="N1424" s="15"/>
      <c r="O1424" s="10" t="s">
        <v>3730</v>
      </c>
      <c r="P1424" s="22" t="n">
        <f aca="false">COUNTIFS(C:C,C1424,N:N,"Đã xác nhận")/COUNTIFS(C:C,C1424)</f>
        <v>0</v>
      </c>
      <c r="Q1424" s="22"/>
      <c r="R1424" s="0" t="s">
        <v>1181</v>
      </c>
      <c r="S1424" s="0" t="s">
        <v>551</v>
      </c>
      <c r="U1424" s="24" t="n">
        <v>1</v>
      </c>
    </row>
    <row r="1425" customFormat="false" ht="12.75" hidden="false" customHeight="false" outlineLevel="0" collapsed="false">
      <c r="A1425" s="15" t="s">
        <v>4518</v>
      </c>
      <c r="B1425" s="15" t="s">
        <v>1103</v>
      </c>
      <c r="C1425" s="15" t="s">
        <v>4478</v>
      </c>
      <c r="D1425" s="15" t="s">
        <v>3958</v>
      </c>
      <c r="E1425" s="15" t="s">
        <v>47</v>
      </c>
      <c r="G1425" s="10" t="n">
        <v>1</v>
      </c>
      <c r="H1425" s="21" t="n">
        <v>46077.7039814815</v>
      </c>
      <c r="I1425" s="15" t="s">
        <v>3727</v>
      </c>
      <c r="J1425" s="15" t="s">
        <v>4519</v>
      </c>
      <c r="K1425" s="15" t="s">
        <v>4520</v>
      </c>
      <c r="L1425" s="10" t="n">
        <f aca="false">COUNTIF($E$2:E1425,E1425)</f>
        <v>78</v>
      </c>
      <c r="M1425" s="10" t="e">
        <f aca="false">ifs(L1425=1, L1425&amp;"-"&amp; COUNTIFS($L$2:L1425,1))</f>
        <v>#NAME?</v>
      </c>
      <c r="N1425" s="15"/>
      <c r="O1425" s="10" t="s">
        <v>3730</v>
      </c>
      <c r="P1425" s="22" t="n">
        <f aca="false">COUNTIFS(C:C,C1425,N:N,"Đã xác nhận")/COUNTIFS(C:C,C1425)</f>
        <v>0</v>
      </c>
      <c r="Q1425" s="22"/>
      <c r="R1425" s="0" t="s">
        <v>3960</v>
      </c>
      <c r="S1425" s="0" t="s">
        <v>549</v>
      </c>
      <c r="U1425" s="24" t="n">
        <v>1</v>
      </c>
    </row>
    <row r="1426" customFormat="false" ht="12.75" hidden="false" customHeight="false" outlineLevel="0" collapsed="false">
      <c r="A1426" s="15" t="s">
        <v>4521</v>
      </c>
      <c r="B1426" s="15" t="s">
        <v>2304</v>
      </c>
      <c r="C1426" s="15" t="s">
        <v>509</v>
      </c>
      <c r="D1426" s="15" t="s">
        <v>4522</v>
      </c>
      <c r="E1426" s="15" t="s">
        <v>55</v>
      </c>
      <c r="G1426" s="10" t="n">
        <v>1</v>
      </c>
      <c r="H1426" s="21" t="n">
        <v>46078.689224537</v>
      </c>
      <c r="I1426" s="15" t="s">
        <v>4523</v>
      </c>
      <c r="J1426" s="15" t="s">
        <v>4523</v>
      </c>
      <c r="K1426" s="15"/>
      <c r="L1426" s="10" t="n">
        <f aca="false">COUNTIF($E$2:E1426,E1426)</f>
        <v>156</v>
      </c>
      <c r="M1426" s="10" t="e">
        <f aca="false">ifs(L1426=1, L1426&amp;"-"&amp; COUNTIFS($L$2:L1426,1))</f>
        <v>#NAME?</v>
      </c>
      <c r="N1426" s="15" t="s">
        <v>603</v>
      </c>
      <c r="O1426" s="10" t="s">
        <v>3730</v>
      </c>
      <c r="P1426" s="22" t="n">
        <f aca="false">COUNTIFS(C:C,C1426,N:N,"Đã xác nhận")/COUNTIFS(C:C,C1426)</f>
        <v>1</v>
      </c>
      <c r="Q1426" s="22"/>
      <c r="R1426" s="0" t="s">
        <v>4524</v>
      </c>
      <c r="S1426" s="0" t="s">
        <v>539</v>
      </c>
      <c r="U1426" s="24" t="n">
        <v>1</v>
      </c>
    </row>
    <row r="1427" customFormat="false" ht="12.75" hidden="false" customHeight="false" outlineLevel="0" collapsed="false">
      <c r="A1427" s="15" t="s">
        <v>4525</v>
      </c>
      <c r="B1427" s="15" t="s">
        <v>2304</v>
      </c>
      <c r="C1427" s="15" t="s">
        <v>509</v>
      </c>
      <c r="D1427" s="15" t="s">
        <v>4526</v>
      </c>
      <c r="E1427" s="15" t="s">
        <v>55</v>
      </c>
      <c r="G1427" s="10" t="n">
        <v>1</v>
      </c>
      <c r="H1427" s="21" t="n">
        <v>46078.6892361111</v>
      </c>
      <c r="I1427" s="15" t="s">
        <v>4527</v>
      </c>
      <c r="J1427" s="15" t="s">
        <v>4527</v>
      </c>
      <c r="K1427" s="15"/>
      <c r="L1427" s="10" t="n">
        <f aca="false">COUNTIF($E$2:E1427,E1427)</f>
        <v>157</v>
      </c>
      <c r="M1427" s="10" t="e">
        <f aca="false">ifs(L1427=1, L1427&amp;"-"&amp; COUNTIFS($L$2:L1427,1))</f>
        <v>#NAME?</v>
      </c>
      <c r="N1427" s="15" t="s">
        <v>603</v>
      </c>
      <c r="O1427" s="10" t="s">
        <v>3730</v>
      </c>
      <c r="P1427" s="22" t="n">
        <f aca="false">COUNTIFS(C:C,C1427,N:N,"Đã xác nhận")/COUNTIFS(C:C,C1427)</f>
        <v>1</v>
      </c>
      <c r="Q1427" s="22"/>
      <c r="R1427" s="0" t="s">
        <v>2646</v>
      </c>
      <c r="S1427" s="0" t="s">
        <v>539</v>
      </c>
      <c r="U1427" s="24" t="n">
        <v>1</v>
      </c>
    </row>
    <row r="1428" customFormat="false" ht="12.75" hidden="false" customHeight="false" outlineLevel="0" collapsed="false">
      <c r="A1428" s="15" t="s">
        <v>4528</v>
      </c>
      <c r="B1428" s="15" t="s">
        <v>2304</v>
      </c>
      <c r="C1428" s="15" t="s">
        <v>509</v>
      </c>
      <c r="D1428" s="15" t="s">
        <v>1115</v>
      </c>
      <c r="E1428" s="15" t="s">
        <v>55</v>
      </c>
      <c r="G1428" s="10" t="n">
        <v>1</v>
      </c>
      <c r="H1428" s="21" t="n">
        <v>46078.689224537</v>
      </c>
      <c r="I1428" s="15" t="s">
        <v>4529</v>
      </c>
      <c r="J1428" s="15" t="s">
        <v>4529</v>
      </c>
      <c r="K1428" s="15"/>
      <c r="L1428" s="10" t="n">
        <f aca="false">COUNTIF($E$2:E1428,E1428)</f>
        <v>158</v>
      </c>
      <c r="M1428" s="10" t="e">
        <f aca="false">ifs(L1428=1, L1428&amp;"-"&amp; COUNTIFS($L$2:L1428,1))</f>
        <v>#NAME?</v>
      </c>
      <c r="N1428" s="15" t="s">
        <v>603</v>
      </c>
      <c r="O1428" s="10" t="s">
        <v>3730</v>
      </c>
      <c r="P1428" s="22" t="n">
        <f aca="false">COUNTIFS(C:C,C1428,N:N,"Đã xác nhận")/COUNTIFS(C:C,C1428)</f>
        <v>1</v>
      </c>
      <c r="Q1428" s="22"/>
      <c r="R1428" s="0" t="s">
        <v>1119</v>
      </c>
      <c r="S1428" s="0" t="s">
        <v>539</v>
      </c>
      <c r="U1428" s="24" t="n">
        <v>1</v>
      </c>
    </row>
    <row r="1429" customFormat="false" ht="12.75" hidden="false" customHeight="false" outlineLevel="0" collapsed="false">
      <c r="A1429" s="15" t="s">
        <v>4530</v>
      </c>
      <c r="B1429" s="15" t="s">
        <v>2304</v>
      </c>
      <c r="C1429" s="15" t="s">
        <v>509</v>
      </c>
      <c r="D1429" s="15" t="s">
        <v>1115</v>
      </c>
      <c r="E1429" s="15" t="s">
        <v>547</v>
      </c>
      <c r="G1429" s="10" t="n">
        <v>1</v>
      </c>
      <c r="H1429" s="21" t="n">
        <v>46078.6891087963</v>
      </c>
      <c r="I1429" s="15" t="s">
        <v>4531</v>
      </c>
      <c r="J1429" s="15" t="s">
        <v>4531</v>
      </c>
      <c r="K1429" s="15"/>
      <c r="L1429" s="10" t="n">
        <f aca="false">COUNTIF($E$2:E1429,E1429)</f>
        <v>45</v>
      </c>
      <c r="M1429" s="10" t="e">
        <f aca="false">ifs(L1429=1, L1429&amp;"-"&amp; COUNTIFS($L$2:L1429,1))</f>
        <v>#NAME?</v>
      </c>
      <c r="N1429" s="15" t="s">
        <v>603</v>
      </c>
      <c r="O1429" s="10" t="s">
        <v>3730</v>
      </c>
      <c r="P1429" s="22" t="n">
        <f aca="false">COUNTIFS(C:C,C1429,N:N,"Đã xác nhận")/COUNTIFS(C:C,C1429)</f>
        <v>1</v>
      </c>
      <c r="Q1429" s="22"/>
      <c r="R1429" s="0" t="s">
        <v>1119</v>
      </c>
      <c r="S1429" s="0" t="s">
        <v>548</v>
      </c>
      <c r="U1429" s="24" t="n">
        <v>1</v>
      </c>
    </row>
    <row r="1430" customFormat="false" ht="12.75" hidden="false" customHeight="false" outlineLevel="0" collapsed="false">
      <c r="A1430" s="15" t="s">
        <v>4532</v>
      </c>
      <c r="B1430" s="15" t="s">
        <v>2304</v>
      </c>
      <c r="C1430" s="15" t="s">
        <v>509</v>
      </c>
      <c r="D1430" s="15" t="s">
        <v>4533</v>
      </c>
      <c r="E1430" s="15" t="s">
        <v>81</v>
      </c>
      <c r="G1430" s="10" t="n">
        <v>1</v>
      </c>
      <c r="H1430" s="21" t="n">
        <v>46078.6893171296</v>
      </c>
      <c r="I1430" s="15" t="s">
        <v>4534</v>
      </c>
      <c r="J1430" s="15" t="s">
        <v>4534</v>
      </c>
      <c r="K1430" s="15"/>
      <c r="L1430" s="10" t="n">
        <f aca="false">COUNTIF($E$2:E1430,E1430)</f>
        <v>230</v>
      </c>
      <c r="M1430" s="10" t="e">
        <f aca="false">ifs(L1430=1, L1430&amp;"-"&amp; COUNTIFS($L$2:L1430,1))</f>
        <v>#NAME?</v>
      </c>
      <c r="N1430" s="15" t="s">
        <v>603</v>
      </c>
      <c r="O1430" s="10" t="s">
        <v>3730</v>
      </c>
      <c r="P1430" s="22" t="n">
        <f aca="false">COUNTIFS(C:C,C1430,N:N,"Đã xác nhận")/COUNTIFS(C:C,C1430)</f>
        <v>1</v>
      </c>
      <c r="Q1430" s="22"/>
      <c r="R1430" s="0" t="s">
        <v>4535</v>
      </c>
      <c r="S1430" s="0" t="s">
        <v>534</v>
      </c>
      <c r="U1430" s="24" t="n">
        <v>1</v>
      </c>
    </row>
    <row r="1431" customFormat="false" ht="12.75" hidden="false" customHeight="false" outlineLevel="0" collapsed="false">
      <c r="A1431" s="15" t="s">
        <v>4536</v>
      </c>
      <c r="B1431" s="15" t="s">
        <v>2304</v>
      </c>
      <c r="C1431" s="15" t="s">
        <v>509</v>
      </c>
      <c r="D1431" s="15" t="s">
        <v>4537</v>
      </c>
      <c r="E1431" s="15" t="s">
        <v>81</v>
      </c>
      <c r="G1431" s="10" t="n">
        <v>1</v>
      </c>
      <c r="H1431" s="21" t="n">
        <v>46078.6893055556</v>
      </c>
      <c r="I1431" s="15" t="s">
        <v>4538</v>
      </c>
      <c r="J1431" s="15" t="s">
        <v>4538</v>
      </c>
      <c r="K1431" s="15"/>
      <c r="L1431" s="10" t="n">
        <f aca="false">COUNTIF($E$2:E1431,E1431)</f>
        <v>231</v>
      </c>
      <c r="M1431" s="10" t="e">
        <f aca="false">ifs(L1431=1, L1431&amp;"-"&amp; COUNTIFS($L$2:L1431,1))</f>
        <v>#NAME?</v>
      </c>
      <c r="N1431" s="15" t="s">
        <v>603</v>
      </c>
      <c r="O1431" s="10" t="s">
        <v>3730</v>
      </c>
      <c r="P1431" s="22" t="n">
        <f aca="false">COUNTIFS(C:C,C1431,N:N,"Đã xác nhận")/COUNTIFS(C:C,C1431)</f>
        <v>1</v>
      </c>
      <c r="Q1431" s="22"/>
      <c r="R1431" s="0" t="s">
        <v>4539</v>
      </c>
      <c r="S1431" s="0" t="s">
        <v>534</v>
      </c>
      <c r="U1431" s="24" t="n">
        <v>1</v>
      </c>
    </row>
    <row r="1432" customFormat="false" ht="12.75" hidden="false" customHeight="false" outlineLevel="0" collapsed="false">
      <c r="A1432" s="15" t="s">
        <v>4540</v>
      </c>
      <c r="B1432" s="15" t="s">
        <v>2304</v>
      </c>
      <c r="C1432" s="15" t="s">
        <v>509</v>
      </c>
      <c r="D1432" s="15" t="s">
        <v>4541</v>
      </c>
      <c r="E1432" s="15" t="s">
        <v>37</v>
      </c>
      <c r="G1432" s="10" t="n">
        <v>1</v>
      </c>
      <c r="H1432" s="21" t="n">
        <v>46078.6892013889</v>
      </c>
      <c r="I1432" s="15" t="s">
        <v>4542</v>
      </c>
      <c r="J1432" s="15" t="s">
        <v>4542</v>
      </c>
      <c r="K1432" s="15"/>
      <c r="L1432" s="10" t="n">
        <f aca="false">COUNTIF($E$2:E1432,E1432)</f>
        <v>28</v>
      </c>
      <c r="M1432" s="10" t="e">
        <f aca="false">ifs(L1432=1, L1432&amp;"-"&amp; COUNTIFS($L$2:L1432,1))</f>
        <v>#NAME?</v>
      </c>
      <c r="N1432" s="15" t="s">
        <v>603</v>
      </c>
      <c r="O1432" s="10" t="s">
        <v>3730</v>
      </c>
      <c r="P1432" s="22" t="n">
        <f aca="false">COUNTIFS(C:C,C1432,N:N,"Đã xác nhận")/COUNTIFS(C:C,C1432)</f>
        <v>1</v>
      </c>
      <c r="Q1432" s="22"/>
      <c r="R1432" s="0" t="s">
        <v>4543</v>
      </c>
      <c r="S1432" s="0" t="s">
        <v>561</v>
      </c>
      <c r="U1432" s="24" t="n">
        <v>1</v>
      </c>
    </row>
    <row r="1433" customFormat="false" ht="12.75" hidden="false" customHeight="false" outlineLevel="0" collapsed="false">
      <c r="A1433" s="15" t="s">
        <v>4544</v>
      </c>
      <c r="B1433" s="15" t="s">
        <v>2304</v>
      </c>
      <c r="C1433" s="15" t="s">
        <v>510</v>
      </c>
      <c r="D1433" s="15" t="s">
        <v>2401</v>
      </c>
      <c r="E1433" s="15" t="s">
        <v>89</v>
      </c>
      <c r="G1433" s="10" t="n">
        <v>1</v>
      </c>
      <c r="H1433" s="21" t="n">
        <v>46079.6923958333</v>
      </c>
      <c r="I1433" s="15" t="s">
        <v>4545</v>
      </c>
      <c r="J1433" s="15" t="s">
        <v>4545</v>
      </c>
      <c r="K1433" s="15"/>
      <c r="L1433" s="10" t="n">
        <f aca="false">COUNTIF($E$2:E1433,E1433)</f>
        <v>12</v>
      </c>
      <c r="M1433" s="10" t="e">
        <f aca="false">ifs(L1433=1, L1433&amp;"-"&amp; COUNTIFS($L$2:L1433,1))</f>
        <v>#NAME?</v>
      </c>
      <c r="N1433" s="15" t="s">
        <v>603</v>
      </c>
      <c r="O1433" s="10" t="s">
        <v>3730</v>
      </c>
      <c r="P1433" s="22" t="n">
        <f aca="false">COUNTIFS(C:C,C1433,N:N,"Đã xác nhận")/COUNTIFS(C:C,C1433)</f>
        <v>1</v>
      </c>
      <c r="Q1433" s="22"/>
      <c r="R1433" s="0" t="s">
        <v>2403</v>
      </c>
      <c r="S1433" s="0" t="s">
        <v>574</v>
      </c>
      <c r="U1433" s="24" t="n">
        <v>1</v>
      </c>
    </row>
    <row r="1434" customFormat="false" ht="12.75" hidden="false" customHeight="false" outlineLevel="0" collapsed="false">
      <c r="A1434" s="15" t="s">
        <v>4546</v>
      </c>
      <c r="B1434" s="15" t="s">
        <v>2304</v>
      </c>
      <c r="C1434" s="15" t="s">
        <v>510</v>
      </c>
      <c r="D1434" s="15" t="s">
        <v>3996</v>
      </c>
      <c r="E1434" s="15" t="s">
        <v>55</v>
      </c>
      <c r="G1434" s="10" t="n">
        <v>1</v>
      </c>
      <c r="H1434" s="21" t="n">
        <v>46079.6922916667</v>
      </c>
      <c r="I1434" s="15" t="s">
        <v>4547</v>
      </c>
      <c r="J1434" s="15" t="s">
        <v>4547</v>
      </c>
      <c r="K1434" s="15"/>
      <c r="L1434" s="10" t="n">
        <f aca="false">COUNTIF($E$2:E1434,E1434)</f>
        <v>159</v>
      </c>
      <c r="M1434" s="10" t="e">
        <f aca="false">ifs(L1434=1, L1434&amp;"-"&amp; COUNTIFS($L$2:L1434,1))</f>
        <v>#NAME?</v>
      </c>
      <c r="N1434" s="15" t="s">
        <v>603</v>
      </c>
      <c r="O1434" s="10" t="s">
        <v>3730</v>
      </c>
      <c r="P1434" s="22" t="n">
        <f aca="false">COUNTIFS(C:C,C1434,N:N,"Đã xác nhận")/COUNTIFS(C:C,C1434)</f>
        <v>1</v>
      </c>
      <c r="Q1434" s="22"/>
      <c r="R1434" s="0" t="s">
        <v>3998</v>
      </c>
      <c r="S1434" s="0" t="s">
        <v>539</v>
      </c>
      <c r="U1434" s="24" t="n">
        <v>1</v>
      </c>
    </row>
    <row r="1435" customFormat="false" ht="12.75" hidden="false" customHeight="false" outlineLevel="0" collapsed="false">
      <c r="A1435" s="15" t="s">
        <v>4548</v>
      </c>
      <c r="B1435" s="15" t="s">
        <v>2304</v>
      </c>
      <c r="C1435" s="15" t="s">
        <v>510</v>
      </c>
      <c r="D1435" s="15" t="s">
        <v>4001</v>
      </c>
      <c r="E1435" s="15" t="s">
        <v>55</v>
      </c>
      <c r="G1435" s="10" t="n">
        <v>1</v>
      </c>
      <c r="H1435" s="21" t="n">
        <v>46079.6923032407</v>
      </c>
      <c r="I1435" s="15" t="s">
        <v>4549</v>
      </c>
      <c r="J1435" s="15" t="s">
        <v>4549</v>
      </c>
      <c r="K1435" s="15"/>
      <c r="L1435" s="10" t="n">
        <f aca="false">COUNTIF($E$2:E1435,E1435)</f>
        <v>160</v>
      </c>
      <c r="M1435" s="10" t="e">
        <f aca="false">ifs(L1435=1, L1435&amp;"-"&amp; COUNTIFS($L$2:L1435,1))</f>
        <v>#NAME?</v>
      </c>
      <c r="N1435" s="15" t="s">
        <v>603</v>
      </c>
      <c r="O1435" s="10" t="s">
        <v>3730</v>
      </c>
      <c r="P1435" s="22" t="n">
        <f aca="false">COUNTIFS(C:C,C1435,N:N,"Đã xác nhận")/COUNTIFS(C:C,C1435)</f>
        <v>1</v>
      </c>
      <c r="Q1435" s="22"/>
      <c r="R1435" s="0" t="s">
        <v>2387</v>
      </c>
      <c r="S1435" s="0" t="s">
        <v>539</v>
      </c>
      <c r="U1435" s="24" t="n">
        <v>1</v>
      </c>
    </row>
    <row r="1436" customFormat="false" ht="12.75" hidden="false" customHeight="false" outlineLevel="0" collapsed="false">
      <c r="A1436" s="15" t="s">
        <v>4550</v>
      </c>
      <c r="B1436" s="15" t="s">
        <v>2304</v>
      </c>
      <c r="C1436" s="15" t="s">
        <v>510</v>
      </c>
      <c r="D1436" s="15" t="s">
        <v>2389</v>
      </c>
      <c r="E1436" s="15" t="s">
        <v>23</v>
      </c>
      <c r="G1436" s="10" t="n">
        <v>1</v>
      </c>
      <c r="H1436" s="21" t="n">
        <v>46079.6921759259</v>
      </c>
      <c r="I1436" s="15" t="s">
        <v>4551</v>
      </c>
      <c r="J1436" s="15" t="s">
        <v>4551</v>
      </c>
      <c r="K1436" s="15"/>
      <c r="L1436" s="10" t="n">
        <f aca="false">COUNTIF($E$2:E1436,E1436)</f>
        <v>9</v>
      </c>
      <c r="M1436" s="10" t="e">
        <f aca="false">ifs(L1436=1, L1436&amp;"-"&amp; COUNTIFS($L$2:L1436,1))</f>
        <v>#NAME?</v>
      </c>
      <c r="N1436" s="15" t="s">
        <v>603</v>
      </c>
      <c r="O1436" s="10" t="s">
        <v>3730</v>
      </c>
      <c r="P1436" s="22" t="n">
        <f aca="false">COUNTIFS(C:C,C1436,N:N,"Đã xác nhận")/COUNTIFS(C:C,C1436)</f>
        <v>1</v>
      </c>
      <c r="Q1436" s="22"/>
      <c r="R1436" s="0" t="s">
        <v>2391</v>
      </c>
      <c r="S1436" s="0" t="s">
        <v>575</v>
      </c>
      <c r="U1436" s="24" t="n">
        <v>1</v>
      </c>
    </row>
    <row r="1437" customFormat="false" ht="12.75" hidden="false" customHeight="false" outlineLevel="0" collapsed="false">
      <c r="A1437" s="15" t="s">
        <v>4552</v>
      </c>
      <c r="B1437" s="15" t="s">
        <v>2304</v>
      </c>
      <c r="C1437" s="15" t="s">
        <v>510</v>
      </c>
      <c r="D1437" s="15" t="s">
        <v>2536</v>
      </c>
      <c r="E1437" s="15" t="s">
        <v>51</v>
      </c>
      <c r="G1437" s="10" t="n">
        <v>1</v>
      </c>
      <c r="H1437" s="21" t="n">
        <v>46079.6922685185</v>
      </c>
      <c r="I1437" s="15" t="s">
        <v>4553</v>
      </c>
      <c r="J1437" s="15" t="s">
        <v>4553</v>
      </c>
      <c r="K1437" s="15"/>
      <c r="L1437" s="10" t="n">
        <f aca="false">COUNTIF($E$2:E1437,E1437)</f>
        <v>11</v>
      </c>
      <c r="M1437" s="10" t="e">
        <f aca="false">ifs(L1437=1, L1437&amp;"-"&amp; COUNTIFS($L$2:L1437,1))</f>
        <v>#NAME?</v>
      </c>
      <c r="N1437" s="15" t="s">
        <v>603</v>
      </c>
      <c r="O1437" s="10" t="s">
        <v>3730</v>
      </c>
      <c r="P1437" s="22" t="n">
        <f aca="false">COUNTIFS(C:C,C1437,N:N,"Đã xác nhận")/COUNTIFS(C:C,C1437)</f>
        <v>1</v>
      </c>
      <c r="Q1437" s="22"/>
      <c r="R1437" s="0" t="s">
        <v>2538</v>
      </c>
      <c r="S1437" s="0" t="s">
        <v>573</v>
      </c>
      <c r="U1437" s="24" t="n">
        <v>1</v>
      </c>
    </row>
    <row r="1438" customFormat="false" ht="12.75" hidden="false" customHeight="false" outlineLevel="0" collapsed="false">
      <c r="A1438" s="15" t="s">
        <v>4554</v>
      </c>
      <c r="B1438" s="15" t="s">
        <v>2304</v>
      </c>
      <c r="C1438" s="15" t="s">
        <v>510</v>
      </c>
      <c r="D1438" s="15" t="s">
        <v>2401</v>
      </c>
      <c r="E1438" s="15" t="s">
        <v>89</v>
      </c>
      <c r="G1438" s="10" t="n">
        <v>1</v>
      </c>
      <c r="H1438" s="21" t="n">
        <v>46079.6924074074</v>
      </c>
      <c r="I1438" s="15" t="s">
        <v>4545</v>
      </c>
      <c r="J1438" s="15" t="s">
        <v>4545</v>
      </c>
      <c r="K1438" s="15"/>
      <c r="L1438" s="10" t="n">
        <f aca="false">COUNTIF($E$2:E1438,E1438)</f>
        <v>13</v>
      </c>
      <c r="M1438" s="10" t="e">
        <f aca="false">ifs(L1438=1, L1438&amp;"-"&amp; COUNTIFS($L$2:L1438,1))</f>
        <v>#NAME?</v>
      </c>
      <c r="N1438" s="15" t="s">
        <v>603</v>
      </c>
      <c r="O1438" s="10" t="s">
        <v>3730</v>
      </c>
      <c r="P1438" s="22" t="n">
        <f aca="false">COUNTIFS(C:C,C1438,N:N,"Đã xác nhận")/COUNTIFS(C:C,C1438)</f>
        <v>1</v>
      </c>
      <c r="Q1438" s="22"/>
      <c r="R1438" s="0" t="s">
        <v>2403</v>
      </c>
      <c r="S1438" s="0" t="s">
        <v>574</v>
      </c>
      <c r="U1438" s="24" t="n">
        <v>1</v>
      </c>
    </row>
    <row r="1439" customFormat="false" ht="12.75" hidden="false" customHeight="false" outlineLevel="0" collapsed="false">
      <c r="A1439" s="15" t="s">
        <v>4555</v>
      </c>
      <c r="B1439" s="15" t="s">
        <v>2304</v>
      </c>
      <c r="C1439" s="15" t="s">
        <v>510</v>
      </c>
      <c r="D1439" s="15" t="s">
        <v>611</v>
      </c>
      <c r="E1439" s="15" t="s">
        <v>69</v>
      </c>
      <c r="G1439" s="10" t="n">
        <v>1</v>
      </c>
      <c r="H1439" s="21" t="n">
        <v>46079.6923263889</v>
      </c>
      <c r="I1439" s="15" t="s">
        <v>4556</v>
      </c>
      <c r="J1439" s="15" t="s">
        <v>4556</v>
      </c>
      <c r="K1439" s="15"/>
      <c r="L1439" s="10" t="n">
        <f aca="false">COUNTIF($E$2:E1439,E1439)</f>
        <v>185</v>
      </c>
      <c r="M1439" s="10" t="e">
        <f aca="false">ifs(L1439=1, L1439&amp;"-"&amp; COUNTIFS($L$2:L1439,1))</f>
        <v>#NAME?</v>
      </c>
      <c r="N1439" s="15" t="s">
        <v>603</v>
      </c>
      <c r="O1439" s="10" t="s">
        <v>3730</v>
      </c>
      <c r="P1439" s="22" t="n">
        <f aca="false">COUNTIFS(C:C,C1439,N:N,"Đã xác nhận")/COUNTIFS(C:C,C1439)</f>
        <v>1</v>
      </c>
      <c r="Q1439" s="22"/>
      <c r="R1439" s="0" t="s">
        <v>613</v>
      </c>
      <c r="S1439" s="0" t="s">
        <v>535</v>
      </c>
      <c r="U1439" s="24" t="n">
        <v>1</v>
      </c>
    </row>
    <row r="1440" customFormat="false" ht="12.75" hidden="false" customHeight="false" outlineLevel="0" collapsed="false">
      <c r="A1440" s="15" t="s">
        <v>4557</v>
      </c>
      <c r="B1440" s="15" t="s">
        <v>2304</v>
      </c>
      <c r="C1440" s="15" t="s">
        <v>510</v>
      </c>
      <c r="D1440" s="15" t="s">
        <v>611</v>
      </c>
      <c r="E1440" s="15" t="s">
        <v>33</v>
      </c>
      <c r="G1440" s="10" t="n">
        <v>1</v>
      </c>
      <c r="H1440" s="21" t="n">
        <v>46079.6921990741</v>
      </c>
      <c r="I1440" s="15" t="s">
        <v>4558</v>
      </c>
      <c r="J1440" s="15" t="s">
        <v>4558</v>
      </c>
      <c r="K1440" s="15"/>
      <c r="L1440" s="10" t="n">
        <f aca="false">COUNTIF($E$2:E1440,E1440)</f>
        <v>149</v>
      </c>
      <c r="M1440" s="10" t="e">
        <f aca="false">ifs(L1440=1, L1440&amp;"-"&amp; COUNTIFS($L$2:L1440,1))</f>
        <v>#NAME?</v>
      </c>
      <c r="N1440" s="15" t="s">
        <v>603</v>
      </c>
      <c r="O1440" s="10" t="s">
        <v>3730</v>
      </c>
      <c r="P1440" s="22" t="n">
        <f aca="false">COUNTIFS(C:C,C1440,N:N,"Đã xác nhận")/COUNTIFS(C:C,C1440)</f>
        <v>1</v>
      </c>
      <c r="Q1440" s="22"/>
      <c r="R1440" s="0" t="s">
        <v>613</v>
      </c>
      <c r="S1440" s="0" t="s">
        <v>536</v>
      </c>
      <c r="U1440" s="24" t="n">
        <v>1</v>
      </c>
    </row>
    <row r="1441" customFormat="false" ht="12.75" hidden="false" customHeight="false" outlineLevel="0" collapsed="false">
      <c r="A1441" s="15" t="s">
        <v>4559</v>
      </c>
      <c r="B1441" s="15" t="s">
        <v>2304</v>
      </c>
      <c r="C1441" s="15" t="s">
        <v>510</v>
      </c>
      <c r="D1441" s="15" t="s">
        <v>2346</v>
      </c>
      <c r="E1441" s="15" t="s">
        <v>69</v>
      </c>
      <c r="G1441" s="10" t="n">
        <v>3</v>
      </c>
      <c r="H1441" s="21" t="n">
        <v>46079.692337963</v>
      </c>
      <c r="I1441" s="15" t="s">
        <v>4560</v>
      </c>
      <c r="J1441" s="15" t="s">
        <v>4560</v>
      </c>
      <c r="K1441" s="15"/>
      <c r="L1441" s="10" t="n">
        <f aca="false">COUNTIF($E$2:E1441,E1441)</f>
        <v>186</v>
      </c>
      <c r="M1441" s="10" t="e">
        <f aca="false">ifs(L1441=1, L1441&amp;"-"&amp; COUNTIFS($L$2:L1441,1))</f>
        <v>#NAME?</v>
      </c>
      <c r="N1441" s="15" t="s">
        <v>603</v>
      </c>
      <c r="O1441" s="10" t="s">
        <v>3730</v>
      </c>
      <c r="P1441" s="22" t="n">
        <f aca="false">COUNTIFS(C:C,C1441,N:N,"Đã xác nhận")/COUNTIFS(C:C,C1441)</f>
        <v>1</v>
      </c>
      <c r="Q1441" s="22"/>
      <c r="R1441" s="0" t="s">
        <v>2346</v>
      </c>
      <c r="S1441" s="0" t="s">
        <v>535</v>
      </c>
      <c r="U1441" s="24" t="n">
        <v>3</v>
      </c>
    </row>
    <row r="1442" customFormat="false" ht="12.75" hidden="false" customHeight="false" outlineLevel="0" collapsed="false">
      <c r="A1442" s="15" t="s">
        <v>4561</v>
      </c>
      <c r="B1442" s="15" t="s">
        <v>2304</v>
      </c>
      <c r="C1442" s="15" t="s">
        <v>510</v>
      </c>
      <c r="D1442" s="15" t="s">
        <v>2346</v>
      </c>
      <c r="E1442" s="15" t="s">
        <v>33</v>
      </c>
      <c r="G1442" s="10" t="n">
        <v>3</v>
      </c>
      <c r="H1442" s="21" t="n">
        <v>46079.6922222222</v>
      </c>
      <c r="I1442" s="15" t="s">
        <v>4562</v>
      </c>
      <c r="J1442" s="15" t="s">
        <v>4562</v>
      </c>
      <c r="K1442" s="15"/>
      <c r="L1442" s="10" t="n">
        <f aca="false">COUNTIF($E$2:E1442,E1442)</f>
        <v>150</v>
      </c>
      <c r="M1442" s="10" t="e">
        <f aca="false">ifs(L1442=1, L1442&amp;"-"&amp; COUNTIFS($L$2:L1442,1))</f>
        <v>#NAME?</v>
      </c>
      <c r="N1442" s="15" t="s">
        <v>603</v>
      </c>
      <c r="O1442" s="10" t="s">
        <v>3730</v>
      </c>
      <c r="P1442" s="22" t="n">
        <f aca="false">COUNTIFS(C:C,C1442,N:N,"Đã xác nhận")/COUNTIFS(C:C,C1442)</f>
        <v>1</v>
      </c>
      <c r="Q1442" s="22"/>
      <c r="R1442" s="0" t="s">
        <v>2346</v>
      </c>
      <c r="S1442" s="0" t="s">
        <v>536</v>
      </c>
      <c r="U1442" s="24" t="n">
        <v>3</v>
      </c>
    </row>
    <row r="1443" customFormat="false" ht="12.75" hidden="false" customHeight="false" outlineLevel="0" collapsed="false">
      <c r="A1443" s="15" t="s">
        <v>4563</v>
      </c>
      <c r="B1443" s="15" t="s">
        <v>2304</v>
      </c>
      <c r="C1443" s="15" t="s">
        <v>510</v>
      </c>
      <c r="D1443" s="15" t="s">
        <v>878</v>
      </c>
      <c r="E1443" s="15" t="s">
        <v>69</v>
      </c>
      <c r="G1443" s="10" t="n">
        <v>1</v>
      </c>
      <c r="H1443" s="21" t="n">
        <v>46079.692337963</v>
      </c>
      <c r="I1443" s="15" t="s">
        <v>4564</v>
      </c>
      <c r="J1443" s="15" t="s">
        <v>4564</v>
      </c>
      <c r="K1443" s="15"/>
      <c r="L1443" s="10" t="n">
        <f aca="false">COUNTIF($E$2:E1443,E1443)</f>
        <v>187</v>
      </c>
      <c r="M1443" s="10" t="e">
        <f aca="false">ifs(L1443=1, L1443&amp;"-"&amp; COUNTIFS($L$2:L1443,1))</f>
        <v>#NAME?</v>
      </c>
      <c r="N1443" s="15" t="s">
        <v>603</v>
      </c>
      <c r="O1443" s="10" t="s">
        <v>3730</v>
      </c>
      <c r="P1443" s="22" t="n">
        <f aca="false">COUNTIFS(C:C,C1443,N:N,"Đã xác nhận")/COUNTIFS(C:C,C1443)</f>
        <v>1</v>
      </c>
      <c r="Q1443" s="22"/>
      <c r="R1443" s="0" t="s">
        <v>768</v>
      </c>
      <c r="S1443" s="0" t="s">
        <v>535</v>
      </c>
      <c r="U1443" s="24" t="n">
        <v>1</v>
      </c>
    </row>
    <row r="1444" customFormat="false" ht="12.75" hidden="false" customHeight="false" outlineLevel="0" collapsed="false">
      <c r="A1444" s="15" t="s">
        <v>4565</v>
      </c>
      <c r="B1444" s="15" t="s">
        <v>2304</v>
      </c>
      <c r="C1444" s="15" t="s">
        <v>510</v>
      </c>
      <c r="D1444" s="15" t="s">
        <v>878</v>
      </c>
      <c r="E1444" s="15" t="s">
        <v>33</v>
      </c>
      <c r="G1444" s="10" t="n">
        <v>1</v>
      </c>
      <c r="H1444" s="21" t="n">
        <v>46079.6922337963</v>
      </c>
      <c r="I1444" s="15" t="s">
        <v>4566</v>
      </c>
      <c r="J1444" s="15" t="s">
        <v>4566</v>
      </c>
      <c r="K1444" s="15"/>
      <c r="L1444" s="10" t="n">
        <f aca="false">COUNTIF($E$2:E1444,E1444)</f>
        <v>151</v>
      </c>
      <c r="M1444" s="10" t="e">
        <f aca="false">ifs(L1444=1, L1444&amp;"-"&amp; COUNTIFS($L$2:L1444,1))</f>
        <v>#NAME?</v>
      </c>
      <c r="N1444" s="15" t="s">
        <v>603</v>
      </c>
      <c r="O1444" s="10" t="s">
        <v>3730</v>
      </c>
      <c r="P1444" s="22" t="n">
        <f aca="false">COUNTIFS(C:C,C1444,N:N,"Đã xác nhận")/COUNTIFS(C:C,C1444)</f>
        <v>1</v>
      </c>
      <c r="Q1444" s="22"/>
      <c r="R1444" s="0" t="s">
        <v>768</v>
      </c>
      <c r="S1444" s="0" t="s">
        <v>536</v>
      </c>
      <c r="U1444" s="24" t="n">
        <v>1</v>
      </c>
    </row>
    <row r="1445" customFormat="false" ht="12.75" hidden="false" customHeight="false" outlineLevel="0" collapsed="false">
      <c r="A1445" s="15" t="s">
        <v>4567</v>
      </c>
      <c r="B1445" s="15" t="s">
        <v>2304</v>
      </c>
      <c r="C1445" s="15" t="s">
        <v>510</v>
      </c>
      <c r="D1445" s="15" t="s">
        <v>2333</v>
      </c>
      <c r="E1445" s="15" t="s">
        <v>69</v>
      </c>
      <c r="G1445" s="10" t="n">
        <v>1</v>
      </c>
      <c r="H1445" s="21" t="n">
        <v>46079.692349537</v>
      </c>
      <c r="I1445" s="15" t="s">
        <v>4568</v>
      </c>
      <c r="J1445" s="15" t="s">
        <v>4568</v>
      </c>
      <c r="K1445" s="15"/>
      <c r="L1445" s="10" t="n">
        <f aca="false">COUNTIF($E$2:E1445,E1445)</f>
        <v>188</v>
      </c>
      <c r="M1445" s="10" t="e">
        <f aca="false">ifs(L1445=1, L1445&amp;"-"&amp; COUNTIFS($L$2:L1445,1))</f>
        <v>#NAME?</v>
      </c>
      <c r="N1445" s="15" t="s">
        <v>603</v>
      </c>
      <c r="O1445" s="10" t="s">
        <v>3730</v>
      </c>
      <c r="P1445" s="22" t="n">
        <f aca="false">COUNTIFS(C:C,C1445,N:N,"Đã xác nhận")/COUNTIFS(C:C,C1445)</f>
        <v>1</v>
      </c>
      <c r="Q1445" s="22"/>
      <c r="R1445" s="0" t="s">
        <v>2333</v>
      </c>
      <c r="S1445" s="0" t="s">
        <v>535</v>
      </c>
      <c r="U1445" s="24" t="n">
        <v>1</v>
      </c>
    </row>
    <row r="1446" customFormat="false" ht="12.75" hidden="false" customHeight="false" outlineLevel="0" collapsed="false">
      <c r="A1446" s="15" t="s">
        <v>4569</v>
      </c>
      <c r="B1446" s="15" t="s">
        <v>2304</v>
      </c>
      <c r="C1446" s="15" t="s">
        <v>510</v>
      </c>
      <c r="D1446" s="15" t="s">
        <v>2333</v>
      </c>
      <c r="E1446" s="15" t="s">
        <v>33</v>
      </c>
      <c r="G1446" s="10" t="n">
        <v>1</v>
      </c>
      <c r="H1446" s="21" t="n">
        <v>46079.6922453704</v>
      </c>
      <c r="I1446" s="15" t="s">
        <v>4570</v>
      </c>
      <c r="J1446" s="15" t="s">
        <v>4570</v>
      </c>
      <c r="K1446" s="15"/>
      <c r="L1446" s="10" t="n">
        <f aca="false">COUNTIF($E$2:E1446,E1446)</f>
        <v>152</v>
      </c>
      <c r="M1446" s="10" t="e">
        <f aca="false">ifs(L1446=1, L1446&amp;"-"&amp; COUNTIFS($L$2:L1446,1))</f>
        <v>#NAME?</v>
      </c>
      <c r="N1446" s="15" t="s">
        <v>603</v>
      </c>
      <c r="O1446" s="10" t="s">
        <v>3730</v>
      </c>
      <c r="P1446" s="22" t="n">
        <f aca="false">COUNTIFS(C:C,C1446,N:N,"Đã xác nhận")/COUNTIFS(C:C,C1446)</f>
        <v>1</v>
      </c>
      <c r="Q1446" s="22"/>
      <c r="R1446" s="0" t="s">
        <v>2333</v>
      </c>
      <c r="S1446" s="0" t="s">
        <v>536</v>
      </c>
      <c r="U1446" s="24" t="n">
        <v>1</v>
      </c>
    </row>
    <row r="1447" customFormat="false" ht="12.75" hidden="false" customHeight="false" outlineLevel="0" collapsed="false">
      <c r="A1447" s="15" t="s">
        <v>4571</v>
      </c>
      <c r="B1447" s="15" t="s">
        <v>2304</v>
      </c>
      <c r="C1447" s="15" t="s">
        <v>492</v>
      </c>
      <c r="D1447" s="15" t="s">
        <v>2321</v>
      </c>
      <c r="E1447" s="15" t="s">
        <v>37</v>
      </c>
      <c r="G1447" s="10" t="n">
        <v>1</v>
      </c>
      <c r="H1447" s="21" t="n">
        <v>46079.7700347222</v>
      </c>
      <c r="I1447" s="15" t="s">
        <v>3596</v>
      </c>
      <c r="J1447" s="15" t="s">
        <v>4572</v>
      </c>
      <c r="K1447" s="15" t="s">
        <v>4573</v>
      </c>
      <c r="L1447" s="10" t="n">
        <f aca="false">COUNTIF($E$2:E1447,E1447)</f>
        <v>29</v>
      </c>
      <c r="M1447" s="10" t="e">
        <f aca="false">ifs(L1447=1, L1447&amp;"-"&amp; COUNTIFS($L$2:L1447,1))</f>
        <v>#NAME?</v>
      </c>
      <c r="N1447" s="15"/>
      <c r="O1447" s="10" t="s">
        <v>3730</v>
      </c>
      <c r="P1447" s="22" t="n">
        <f aca="false">COUNTIFS(C:C,C1447,N:N,"Đã xác nhận")/COUNTIFS(C:C,C1447)</f>
        <v>0</v>
      </c>
      <c r="Q1447" s="22"/>
      <c r="R1447" s="0" t="s">
        <v>2323</v>
      </c>
      <c r="S1447" s="0" t="s">
        <v>561</v>
      </c>
      <c r="U1447" s="24" t="n">
        <v>1</v>
      </c>
    </row>
    <row r="1448" customFormat="false" ht="12.75" hidden="false" customHeight="false" outlineLevel="0" collapsed="false">
      <c r="A1448" s="15" t="s">
        <v>4574</v>
      </c>
      <c r="B1448" s="15" t="s">
        <v>2304</v>
      </c>
      <c r="C1448" s="15" t="s">
        <v>492</v>
      </c>
      <c r="D1448" s="15" t="s">
        <v>4526</v>
      </c>
      <c r="E1448" s="15" t="s">
        <v>55</v>
      </c>
      <c r="G1448" s="10" t="n">
        <v>1</v>
      </c>
      <c r="H1448" s="21" t="n">
        <v>46079.7706828704</v>
      </c>
      <c r="I1448" s="15" t="s">
        <v>3596</v>
      </c>
      <c r="J1448" s="15" t="s">
        <v>4575</v>
      </c>
      <c r="K1448" s="15" t="s">
        <v>4576</v>
      </c>
      <c r="L1448" s="10" t="n">
        <f aca="false">COUNTIF($E$2:E1448,E1448)</f>
        <v>161</v>
      </c>
      <c r="M1448" s="10" t="e">
        <f aca="false">ifs(L1448=1, L1448&amp;"-"&amp; COUNTIFS($L$2:L1448,1))</f>
        <v>#NAME?</v>
      </c>
      <c r="N1448" s="15"/>
      <c r="O1448" s="10" t="s">
        <v>3730</v>
      </c>
      <c r="P1448" s="22" t="n">
        <f aca="false">COUNTIFS(C:C,C1448,N:N,"Đã xác nhận")/COUNTIFS(C:C,C1448)</f>
        <v>0</v>
      </c>
      <c r="Q1448" s="22"/>
      <c r="R1448" s="0" t="s">
        <v>2646</v>
      </c>
      <c r="S1448" s="0" t="s">
        <v>539</v>
      </c>
      <c r="U1448" s="24" t="n">
        <v>1</v>
      </c>
    </row>
    <row r="1449" customFormat="false" ht="12.75" hidden="false" customHeight="false" outlineLevel="0" collapsed="false">
      <c r="A1449" s="15" t="s">
        <v>4577</v>
      </c>
      <c r="B1449" s="15" t="s">
        <v>2304</v>
      </c>
      <c r="C1449" s="15" t="s">
        <v>492</v>
      </c>
      <c r="D1449" s="15" t="s">
        <v>2674</v>
      </c>
      <c r="E1449" s="15" t="s">
        <v>55</v>
      </c>
      <c r="G1449" s="10" t="n">
        <v>1</v>
      </c>
      <c r="H1449" s="21" t="n">
        <v>46079.7711111111</v>
      </c>
      <c r="I1449" s="15" t="s">
        <v>3596</v>
      </c>
      <c r="J1449" s="15" t="s">
        <v>4578</v>
      </c>
      <c r="K1449" s="15" t="s">
        <v>4579</v>
      </c>
      <c r="L1449" s="10" t="n">
        <f aca="false">COUNTIF($E$2:E1449,E1449)</f>
        <v>162</v>
      </c>
      <c r="M1449" s="10" t="e">
        <f aca="false">ifs(L1449=1, L1449&amp;"-"&amp; COUNTIFS($L$2:L1449,1))</f>
        <v>#NAME?</v>
      </c>
      <c r="N1449" s="15"/>
      <c r="O1449" s="10" t="s">
        <v>3730</v>
      </c>
      <c r="P1449" s="22" t="n">
        <f aca="false">COUNTIFS(C:C,C1449,N:N,"Đã xác nhận")/COUNTIFS(C:C,C1449)</f>
        <v>0</v>
      </c>
      <c r="Q1449" s="22"/>
      <c r="R1449" s="0" t="s">
        <v>2676</v>
      </c>
      <c r="S1449" s="0" t="s">
        <v>539</v>
      </c>
      <c r="U1449" s="24" t="n">
        <v>1</v>
      </c>
    </row>
    <row r="1450" customFormat="false" ht="12.75" hidden="false" customHeight="false" outlineLevel="0" collapsed="false">
      <c r="A1450" s="15" t="s">
        <v>4580</v>
      </c>
      <c r="B1450" s="15" t="s">
        <v>2304</v>
      </c>
      <c r="C1450" s="15" t="s">
        <v>492</v>
      </c>
      <c r="D1450" s="15" t="s">
        <v>2674</v>
      </c>
      <c r="E1450" s="15" t="s">
        <v>547</v>
      </c>
      <c r="G1450" s="10" t="n">
        <v>1</v>
      </c>
      <c r="H1450" s="21" t="n">
        <v>46079.7713194444</v>
      </c>
      <c r="I1450" s="15" t="s">
        <v>3596</v>
      </c>
      <c r="J1450" s="15" t="s">
        <v>4581</v>
      </c>
      <c r="K1450" s="15" t="s">
        <v>4582</v>
      </c>
      <c r="L1450" s="10" t="n">
        <f aca="false">COUNTIF($E$2:E1450,E1450)</f>
        <v>46</v>
      </c>
      <c r="M1450" s="10" t="e">
        <f aca="false">ifs(L1450=1, L1450&amp;"-"&amp; COUNTIFS($L$2:L1450,1))</f>
        <v>#NAME?</v>
      </c>
      <c r="N1450" s="15"/>
      <c r="O1450" s="10" t="s">
        <v>3730</v>
      </c>
      <c r="P1450" s="22" t="n">
        <f aca="false">COUNTIFS(C:C,C1450,N:N,"Đã xác nhận")/COUNTIFS(C:C,C1450)</f>
        <v>0</v>
      </c>
      <c r="Q1450" s="22"/>
      <c r="R1450" s="0" t="s">
        <v>2676</v>
      </c>
      <c r="S1450" s="0" t="s">
        <v>548</v>
      </c>
      <c r="U1450" s="24" t="n">
        <v>1</v>
      </c>
    </row>
    <row r="1451" customFormat="false" ht="12.75" hidden="false" customHeight="false" outlineLevel="0" collapsed="false">
      <c r="A1451" s="15" t="s">
        <v>4583</v>
      </c>
      <c r="B1451" s="15" t="s">
        <v>2304</v>
      </c>
      <c r="C1451" s="15" t="s">
        <v>492</v>
      </c>
      <c r="D1451" s="15" t="s">
        <v>4584</v>
      </c>
      <c r="E1451" s="15" t="s">
        <v>51</v>
      </c>
      <c r="G1451" s="10" t="n">
        <v>1</v>
      </c>
      <c r="H1451" s="21" t="n">
        <v>46079.7720601852</v>
      </c>
      <c r="I1451" s="15" t="s">
        <v>3596</v>
      </c>
      <c r="J1451" s="15" t="s">
        <v>4585</v>
      </c>
      <c r="K1451" s="15" t="s">
        <v>4586</v>
      </c>
      <c r="L1451" s="10" t="n">
        <f aca="false">COUNTIF($E$2:E1451,E1451)</f>
        <v>12</v>
      </c>
      <c r="M1451" s="10" t="e">
        <f aca="false">ifs(L1451=1, L1451&amp;"-"&amp; COUNTIFS($L$2:L1451,1))</f>
        <v>#NAME?</v>
      </c>
      <c r="N1451" s="15"/>
      <c r="O1451" s="10" t="s">
        <v>3730</v>
      </c>
      <c r="P1451" s="22" t="n">
        <f aca="false">COUNTIFS(C:C,C1451,N:N,"Đã xác nhận")/COUNTIFS(C:C,C1451)</f>
        <v>0</v>
      </c>
      <c r="Q1451" s="22"/>
      <c r="R1451" s="0" t="s">
        <v>4587</v>
      </c>
      <c r="S1451" s="0" t="s">
        <v>573</v>
      </c>
      <c r="U1451" s="24" t="n">
        <v>1</v>
      </c>
    </row>
    <row r="1452" customFormat="false" ht="12.75" hidden="false" customHeight="false" outlineLevel="0" collapsed="false">
      <c r="A1452" s="15" t="s">
        <v>4588</v>
      </c>
      <c r="B1452" s="15" t="s">
        <v>2304</v>
      </c>
      <c r="C1452" s="15" t="s">
        <v>492</v>
      </c>
      <c r="D1452" s="15" t="s">
        <v>4584</v>
      </c>
      <c r="E1452" s="15" t="s">
        <v>81</v>
      </c>
      <c r="G1452" s="10" t="n">
        <v>1</v>
      </c>
      <c r="H1452" s="21" t="n">
        <v>46079.7724305556</v>
      </c>
      <c r="I1452" s="15" t="s">
        <v>3596</v>
      </c>
      <c r="J1452" s="15" t="s">
        <v>4589</v>
      </c>
      <c r="K1452" s="15" t="s">
        <v>4590</v>
      </c>
      <c r="L1452" s="10" t="n">
        <f aca="false">COUNTIF($E$2:E1452,E1452)</f>
        <v>232</v>
      </c>
      <c r="M1452" s="10" t="e">
        <f aca="false">ifs(L1452=1, L1452&amp;"-"&amp; COUNTIFS($L$2:L1452,1))</f>
        <v>#NAME?</v>
      </c>
      <c r="N1452" s="15"/>
      <c r="O1452" s="10" t="s">
        <v>3730</v>
      </c>
      <c r="P1452" s="22" t="n">
        <f aca="false">COUNTIFS(C:C,C1452,N:N,"Đã xác nhận")/COUNTIFS(C:C,C1452)</f>
        <v>0</v>
      </c>
      <c r="Q1452" s="22"/>
      <c r="R1452" s="0" t="s">
        <v>4587</v>
      </c>
      <c r="S1452" s="0" t="s">
        <v>534</v>
      </c>
      <c r="U1452" s="24" t="n">
        <v>1</v>
      </c>
    </row>
    <row r="1453" customFormat="false" ht="12.75" hidden="false" customHeight="false" outlineLevel="0" collapsed="false">
      <c r="A1453" s="15" t="s">
        <v>4591</v>
      </c>
      <c r="B1453" s="15" t="s">
        <v>600</v>
      </c>
      <c r="C1453" s="15" t="s">
        <v>488</v>
      </c>
      <c r="D1453" s="15" t="s">
        <v>766</v>
      </c>
      <c r="E1453" s="15" t="s">
        <v>25</v>
      </c>
      <c r="G1453" s="10" t="n">
        <v>1</v>
      </c>
      <c r="H1453" s="21" t="n">
        <v>46083.3631712963</v>
      </c>
      <c r="I1453" s="15" t="s">
        <v>4592</v>
      </c>
      <c r="J1453" s="15" t="s">
        <v>4592</v>
      </c>
      <c r="K1453" s="15"/>
      <c r="L1453" s="10" t="n">
        <f aca="false">COUNTIF($E$2:E1453,E1453)</f>
        <v>19</v>
      </c>
      <c r="M1453" s="10" t="e">
        <f aca="false">ifs(L1453=1, L1453&amp;"-"&amp; COUNTIFS($L$2:L1453,1))</f>
        <v>#NAME?</v>
      </c>
      <c r="N1453" s="15" t="s">
        <v>603</v>
      </c>
      <c r="O1453" s="10" t="s">
        <v>3730</v>
      </c>
      <c r="P1453" s="22" t="n">
        <f aca="false">COUNTIFS(C:C,C1453,N:N,"Đã xác nhận")/COUNTIFS(C:C,C1453)</f>
        <v>1</v>
      </c>
      <c r="Q1453" s="22"/>
      <c r="R1453" s="0" t="s">
        <v>768</v>
      </c>
      <c r="S1453" s="0" t="s">
        <v>26</v>
      </c>
      <c r="U1453" s="24" t="n">
        <v>1</v>
      </c>
    </row>
    <row r="1454" customFormat="false" ht="12.75" hidden="false" customHeight="false" outlineLevel="0" collapsed="false">
      <c r="A1454" s="15" t="s">
        <v>4593</v>
      </c>
      <c r="B1454" s="15" t="s">
        <v>2304</v>
      </c>
      <c r="C1454" s="15" t="s">
        <v>519</v>
      </c>
      <c r="D1454" s="15" t="s">
        <v>2208</v>
      </c>
      <c r="E1454" s="15" t="s">
        <v>55</v>
      </c>
      <c r="G1454" s="10" t="n">
        <v>1</v>
      </c>
      <c r="H1454" s="21" t="n">
        <v>46083.7908217593</v>
      </c>
      <c r="I1454" s="15" t="s">
        <v>3600</v>
      </c>
      <c r="J1454" s="15" t="s">
        <v>4594</v>
      </c>
      <c r="K1454" s="15" t="s">
        <v>4595</v>
      </c>
      <c r="L1454" s="10" t="n">
        <f aca="false">COUNTIF($E$2:E1454,E1454)</f>
        <v>163</v>
      </c>
      <c r="M1454" s="10" t="e">
        <f aca="false">ifs(L1454=1, L1454&amp;"-"&amp; COUNTIFS($L$2:L1454,1))</f>
        <v>#NAME?</v>
      </c>
      <c r="N1454" s="15"/>
      <c r="O1454" s="10" t="s">
        <v>3730</v>
      </c>
      <c r="P1454" s="22" t="n">
        <f aca="false">COUNTIFS(C:C,C1454,N:N,"Đã xác nhận")/COUNTIFS(C:C,C1454)</f>
        <v>0</v>
      </c>
      <c r="Q1454" s="22"/>
      <c r="R1454" s="0" t="s">
        <v>2211</v>
      </c>
      <c r="S1454" s="0" t="s">
        <v>539</v>
      </c>
      <c r="U1454" s="24" t="n">
        <v>1</v>
      </c>
    </row>
    <row r="1455" customFormat="false" ht="12.75" hidden="false" customHeight="false" outlineLevel="0" collapsed="false">
      <c r="A1455" s="15" t="s">
        <v>4596</v>
      </c>
      <c r="B1455" s="15" t="s">
        <v>2304</v>
      </c>
      <c r="C1455" s="15" t="s">
        <v>519</v>
      </c>
      <c r="D1455" s="15" t="s">
        <v>2315</v>
      </c>
      <c r="E1455" s="15" t="s">
        <v>51</v>
      </c>
      <c r="G1455" s="10" t="n">
        <v>1</v>
      </c>
      <c r="H1455" s="21" t="n">
        <v>46083.7914814815</v>
      </c>
      <c r="I1455" s="15" t="s">
        <v>3600</v>
      </c>
      <c r="J1455" s="15" t="s">
        <v>4597</v>
      </c>
      <c r="K1455" s="15" t="s">
        <v>4598</v>
      </c>
      <c r="L1455" s="10" t="n">
        <f aca="false">COUNTIF($E$2:E1455,E1455)</f>
        <v>13</v>
      </c>
      <c r="M1455" s="10" t="e">
        <f aca="false">ifs(L1455=1, L1455&amp;"-"&amp; COUNTIFS($L$2:L1455,1))</f>
        <v>#NAME?</v>
      </c>
      <c r="N1455" s="15"/>
      <c r="O1455" s="10" t="s">
        <v>3730</v>
      </c>
      <c r="P1455" s="22" t="n">
        <f aca="false">COUNTIFS(C:C,C1455,N:N,"Đã xác nhận")/COUNTIFS(C:C,C1455)</f>
        <v>0</v>
      </c>
      <c r="Q1455" s="22"/>
      <c r="R1455" s="0" t="s">
        <v>2317</v>
      </c>
      <c r="S1455" s="0" t="s">
        <v>573</v>
      </c>
      <c r="U1455" s="24" t="n">
        <v>1</v>
      </c>
    </row>
    <row r="1456" customFormat="false" ht="12.75" hidden="false" customHeight="false" outlineLevel="0" collapsed="false">
      <c r="A1456" s="15" t="s">
        <v>4599</v>
      </c>
      <c r="B1456" s="15" t="s">
        <v>2304</v>
      </c>
      <c r="C1456" s="15" t="s">
        <v>519</v>
      </c>
      <c r="D1456" s="15" t="s">
        <v>4600</v>
      </c>
      <c r="E1456" s="15" t="s">
        <v>55</v>
      </c>
      <c r="G1456" s="10" t="n">
        <v>1</v>
      </c>
      <c r="H1456" s="21" t="n">
        <v>46083.7918055556</v>
      </c>
      <c r="I1456" s="15" t="s">
        <v>3600</v>
      </c>
      <c r="J1456" s="15" t="s">
        <v>4601</v>
      </c>
      <c r="K1456" s="15" t="s">
        <v>4602</v>
      </c>
      <c r="L1456" s="10" t="n">
        <f aca="false">COUNTIF($E$2:E1456,E1456)</f>
        <v>164</v>
      </c>
      <c r="M1456" s="10" t="e">
        <f aca="false">ifs(L1456=1, L1456&amp;"-"&amp; COUNTIFS($L$2:L1456,1))</f>
        <v>#NAME?</v>
      </c>
      <c r="N1456" s="15"/>
      <c r="O1456" s="10" t="s">
        <v>3730</v>
      </c>
      <c r="P1456" s="22" t="n">
        <f aca="false">COUNTIFS(C:C,C1456,N:N,"Đã xác nhận")/COUNTIFS(C:C,C1456)</f>
        <v>0</v>
      </c>
      <c r="Q1456" s="22"/>
      <c r="R1456" s="0" t="s">
        <v>4603</v>
      </c>
      <c r="S1456" s="0" t="s">
        <v>539</v>
      </c>
      <c r="U1456" s="24" t="n">
        <v>1</v>
      </c>
    </row>
    <row r="1457" customFormat="false" ht="12.75" hidden="false" customHeight="false" outlineLevel="0" collapsed="false">
      <c r="A1457" s="15" t="s">
        <v>4604</v>
      </c>
      <c r="B1457" s="15" t="s">
        <v>2304</v>
      </c>
      <c r="C1457" s="15" t="s">
        <v>519</v>
      </c>
      <c r="D1457" s="15" t="s">
        <v>2329</v>
      </c>
      <c r="E1457" s="15" t="s">
        <v>47</v>
      </c>
      <c r="G1457" s="10" t="n">
        <v>1</v>
      </c>
      <c r="H1457" s="21" t="n">
        <v>46083.7925115741</v>
      </c>
      <c r="I1457" s="15" t="s">
        <v>3600</v>
      </c>
      <c r="J1457" s="15" t="s">
        <v>4605</v>
      </c>
      <c r="K1457" s="15" t="s">
        <v>4606</v>
      </c>
      <c r="L1457" s="10" t="n">
        <f aca="false">COUNTIF($E$2:E1457,E1457)</f>
        <v>79</v>
      </c>
      <c r="M1457" s="10" t="e">
        <f aca="false">ifs(L1457=1, L1457&amp;"-"&amp; COUNTIFS($L$2:L1457,1))</f>
        <v>#NAME?</v>
      </c>
      <c r="N1457" s="15"/>
      <c r="O1457" s="10" t="s">
        <v>3730</v>
      </c>
      <c r="P1457" s="22" t="n">
        <f aca="false">COUNTIFS(C:C,C1457,N:N,"Đã xác nhận")/COUNTIFS(C:C,C1457)</f>
        <v>0</v>
      </c>
      <c r="Q1457" s="22"/>
      <c r="R1457" s="0" t="s">
        <v>2331</v>
      </c>
      <c r="S1457" s="0" t="s">
        <v>549</v>
      </c>
      <c r="U1457" s="24" t="n">
        <v>1</v>
      </c>
    </row>
    <row r="1458" customFormat="false" ht="12.75" hidden="false" customHeight="false" outlineLevel="0" collapsed="false">
      <c r="A1458" s="15" t="s">
        <v>4607</v>
      </c>
      <c r="B1458" s="15" t="s">
        <v>2304</v>
      </c>
      <c r="C1458" s="15" t="s">
        <v>519</v>
      </c>
      <c r="D1458" s="15" t="s">
        <v>2663</v>
      </c>
      <c r="E1458" s="15" t="s">
        <v>81</v>
      </c>
      <c r="G1458" s="10" t="n">
        <v>1</v>
      </c>
      <c r="H1458" s="21" t="n">
        <v>46083.7926967593</v>
      </c>
      <c r="I1458" s="15" t="s">
        <v>3600</v>
      </c>
      <c r="J1458" s="15" t="s">
        <v>4608</v>
      </c>
      <c r="K1458" s="15" t="s">
        <v>4609</v>
      </c>
      <c r="L1458" s="10" t="n">
        <f aca="false">COUNTIF($E$2:E1458,E1458)</f>
        <v>233</v>
      </c>
      <c r="M1458" s="10" t="e">
        <f aca="false">ifs(L1458=1, L1458&amp;"-"&amp; COUNTIFS($L$2:L1458,1))</f>
        <v>#NAME?</v>
      </c>
      <c r="N1458" s="15"/>
      <c r="O1458" s="10" t="s">
        <v>3730</v>
      </c>
      <c r="P1458" s="22" t="n">
        <f aca="false">COUNTIFS(C:C,C1458,N:N,"Đã xác nhận")/COUNTIFS(C:C,C1458)</f>
        <v>0</v>
      </c>
      <c r="Q1458" s="22"/>
      <c r="R1458" s="0" t="s">
        <v>2666</v>
      </c>
      <c r="S1458" s="0" t="s">
        <v>534</v>
      </c>
      <c r="U1458" s="24" t="n">
        <v>1</v>
      </c>
    </row>
    <row r="1459" customFormat="false" ht="12.75" hidden="false" customHeight="false" outlineLevel="0" collapsed="false">
      <c r="A1459" s="15" t="s">
        <v>4610</v>
      </c>
      <c r="B1459" s="15" t="s">
        <v>2304</v>
      </c>
      <c r="C1459" s="15" t="s">
        <v>519</v>
      </c>
      <c r="D1459" s="15" t="s">
        <v>4611</v>
      </c>
      <c r="E1459" s="15" t="s">
        <v>547</v>
      </c>
      <c r="G1459" s="10" t="n">
        <v>1</v>
      </c>
      <c r="H1459" s="21" t="n">
        <v>46083.7931481482</v>
      </c>
      <c r="I1459" s="15" t="s">
        <v>3600</v>
      </c>
      <c r="J1459" s="15" t="s">
        <v>4612</v>
      </c>
      <c r="K1459" s="15" t="s">
        <v>4613</v>
      </c>
      <c r="L1459" s="10" t="n">
        <f aca="false">COUNTIF($E$2:E1459,E1459)</f>
        <v>47</v>
      </c>
      <c r="M1459" s="10" t="e">
        <f aca="false">ifs(L1459=1, L1459&amp;"-"&amp; COUNTIFS($L$2:L1459,1))</f>
        <v>#NAME?</v>
      </c>
      <c r="N1459" s="15"/>
      <c r="O1459" s="10" t="s">
        <v>3730</v>
      </c>
      <c r="P1459" s="22" t="n">
        <f aca="false">COUNTIFS(C:C,C1459,N:N,"Đã xác nhận")/COUNTIFS(C:C,C1459)</f>
        <v>0</v>
      </c>
      <c r="Q1459" s="22"/>
      <c r="R1459" s="0" t="s">
        <v>4614</v>
      </c>
      <c r="S1459" s="0" t="s">
        <v>548</v>
      </c>
      <c r="U1459" s="24" t="n">
        <v>1</v>
      </c>
    </row>
    <row r="1460" customFormat="false" ht="12.75" hidden="false" customHeight="false" outlineLevel="0" collapsed="false">
      <c r="A1460" s="15" t="s">
        <v>4615</v>
      </c>
      <c r="B1460" s="15" t="s">
        <v>2304</v>
      </c>
      <c r="C1460" s="15" t="s">
        <v>518</v>
      </c>
      <c r="D1460" s="15" t="s">
        <v>4616</v>
      </c>
      <c r="E1460" s="15" t="s">
        <v>47</v>
      </c>
      <c r="G1460" s="10" t="n">
        <v>1</v>
      </c>
      <c r="H1460" s="21" t="n">
        <v>46083.8017824074</v>
      </c>
      <c r="I1460" s="15" t="s">
        <v>3600</v>
      </c>
      <c r="J1460" s="15" t="s">
        <v>4617</v>
      </c>
      <c r="K1460" s="15" t="s">
        <v>4618</v>
      </c>
      <c r="L1460" s="10" t="n">
        <f aca="false">COUNTIF($E$2:E1460,E1460)</f>
        <v>80</v>
      </c>
      <c r="M1460" s="10" t="e">
        <f aca="false">ifs(L1460=1, L1460&amp;"-"&amp; COUNTIFS($L$2:L1460,1))</f>
        <v>#NAME?</v>
      </c>
      <c r="N1460" s="15"/>
      <c r="O1460" s="10" t="s">
        <v>3730</v>
      </c>
      <c r="P1460" s="22" t="n">
        <f aca="false">COUNTIFS(C:C,C1460,N:N,"Đã xác nhận")/COUNTIFS(C:C,C1460)</f>
        <v>0</v>
      </c>
      <c r="Q1460" s="22"/>
      <c r="R1460" s="0" t="s">
        <v>4619</v>
      </c>
      <c r="S1460" s="0" t="s">
        <v>549</v>
      </c>
      <c r="U1460" s="24" t="n">
        <v>1</v>
      </c>
    </row>
    <row r="1461" customFormat="false" ht="12.75" hidden="false" customHeight="false" outlineLevel="0" collapsed="false">
      <c r="A1461" s="15" t="s">
        <v>4620</v>
      </c>
      <c r="B1461" s="15" t="s">
        <v>2304</v>
      </c>
      <c r="C1461" s="15" t="s">
        <v>518</v>
      </c>
      <c r="D1461" s="15" t="s">
        <v>2315</v>
      </c>
      <c r="E1461" s="15" t="s">
        <v>51</v>
      </c>
      <c r="G1461" s="10" t="n">
        <v>1</v>
      </c>
      <c r="H1461" s="21" t="n">
        <v>46083.802662037</v>
      </c>
      <c r="I1461" s="15" t="s">
        <v>3600</v>
      </c>
      <c r="J1461" s="15" t="s">
        <v>4621</v>
      </c>
      <c r="K1461" s="15" t="s">
        <v>4622</v>
      </c>
      <c r="L1461" s="10" t="n">
        <f aca="false">COUNTIF($E$2:E1461,E1461)</f>
        <v>14</v>
      </c>
      <c r="M1461" s="10" t="e">
        <f aca="false">ifs(L1461=1, L1461&amp;"-"&amp; COUNTIFS($L$2:L1461,1))</f>
        <v>#NAME?</v>
      </c>
      <c r="N1461" s="15"/>
      <c r="O1461" s="10" t="s">
        <v>3730</v>
      </c>
      <c r="P1461" s="22" t="n">
        <f aca="false">COUNTIFS(C:C,C1461,N:N,"Đã xác nhận")/COUNTIFS(C:C,C1461)</f>
        <v>0</v>
      </c>
      <c r="Q1461" s="22"/>
      <c r="R1461" s="0" t="s">
        <v>2317</v>
      </c>
      <c r="S1461" s="0" t="s">
        <v>573</v>
      </c>
      <c r="U1461" s="24" t="n">
        <v>1</v>
      </c>
    </row>
    <row r="1462" customFormat="false" ht="12.75" hidden="false" customHeight="false" outlineLevel="0" collapsed="false">
      <c r="A1462" s="15" t="s">
        <v>4623</v>
      </c>
      <c r="B1462" s="15" t="s">
        <v>2304</v>
      </c>
      <c r="C1462" s="15" t="s">
        <v>518</v>
      </c>
      <c r="D1462" s="15" t="s">
        <v>4624</v>
      </c>
      <c r="E1462" s="15" t="s">
        <v>55</v>
      </c>
      <c r="G1462" s="10" t="n">
        <v>1</v>
      </c>
      <c r="H1462" s="21" t="n">
        <v>46083.8030439815</v>
      </c>
      <c r="I1462" s="15" t="s">
        <v>3600</v>
      </c>
      <c r="J1462" s="15" t="s">
        <v>4625</v>
      </c>
      <c r="K1462" s="15" t="s">
        <v>4626</v>
      </c>
      <c r="L1462" s="10" t="n">
        <f aca="false">COUNTIF($E$2:E1462,E1462)</f>
        <v>165</v>
      </c>
      <c r="M1462" s="10" t="e">
        <f aca="false">ifs(L1462=1, L1462&amp;"-"&amp; COUNTIFS($L$2:L1462,1))</f>
        <v>#NAME?</v>
      </c>
      <c r="N1462" s="15"/>
      <c r="O1462" s="10" t="s">
        <v>3730</v>
      </c>
      <c r="P1462" s="22" t="n">
        <f aca="false">COUNTIFS(C:C,C1462,N:N,"Đã xác nhận")/COUNTIFS(C:C,C1462)</f>
        <v>0</v>
      </c>
      <c r="Q1462" s="22"/>
      <c r="R1462" s="0" t="s">
        <v>4627</v>
      </c>
      <c r="S1462" s="0" t="s">
        <v>539</v>
      </c>
      <c r="U1462" s="24" t="n">
        <v>1</v>
      </c>
    </row>
    <row r="1463" customFormat="false" ht="12.75" hidden="false" customHeight="false" outlineLevel="0" collapsed="false">
      <c r="A1463" s="15" t="s">
        <v>4628</v>
      </c>
      <c r="B1463" s="15" t="s">
        <v>2304</v>
      </c>
      <c r="C1463" s="15" t="s">
        <v>518</v>
      </c>
      <c r="D1463" s="15" t="s">
        <v>2321</v>
      </c>
      <c r="E1463" s="15" t="s">
        <v>37</v>
      </c>
      <c r="G1463" s="10" t="n">
        <v>1</v>
      </c>
      <c r="H1463" s="21" t="n">
        <v>46083.8033680556</v>
      </c>
      <c r="I1463" s="15" t="s">
        <v>3600</v>
      </c>
      <c r="J1463" s="15" t="s">
        <v>4629</v>
      </c>
      <c r="K1463" s="15" t="s">
        <v>4630</v>
      </c>
      <c r="L1463" s="10" t="n">
        <f aca="false">COUNTIF($E$2:E1463,E1463)</f>
        <v>30</v>
      </c>
      <c r="M1463" s="10" t="e">
        <f aca="false">ifs(L1463=1, L1463&amp;"-"&amp; COUNTIFS($L$2:L1463,1))</f>
        <v>#NAME?</v>
      </c>
      <c r="N1463" s="15"/>
      <c r="O1463" s="10" t="s">
        <v>3730</v>
      </c>
      <c r="P1463" s="22" t="n">
        <f aca="false">COUNTIFS(C:C,C1463,N:N,"Đã xác nhận")/COUNTIFS(C:C,C1463)</f>
        <v>0</v>
      </c>
      <c r="Q1463" s="22"/>
      <c r="R1463" s="0" t="s">
        <v>2323</v>
      </c>
      <c r="S1463" s="0" t="s">
        <v>561</v>
      </c>
      <c r="U1463" s="24" t="n">
        <v>1</v>
      </c>
    </row>
    <row r="1464" customFormat="false" ht="12.75" hidden="false" customHeight="false" outlineLevel="0" collapsed="false">
      <c r="A1464" s="15" t="s">
        <v>4631</v>
      </c>
      <c r="B1464" s="15" t="s">
        <v>2304</v>
      </c>
      <c r="C1464" s="15" t="s">
        <v>518</v>
      </c>
      <c r="D1464" s="15" t="s">
        <v>4632</v>
      </c>
      <c r="E1464" s="15" t="s">
        <v>55</v>
      </c>
      <c r="G1464" s="10" t="n">
        <v>1</v>
      </c>
      <c r="H1464" s="21" t="n">
        <v>46083.8036805556</v>
      </c>
      <c r="I1464" s="15" t="s">
        <v>3600</v>
      </c>
      <c r="J1464" s="15" t="s">
        <v>4633</v>
      </c>
      <c r="K1464" s="15" t="s">
        <v>4634</v>
      </c>
      <c r="L1464" s="10" t="n">
        <f aca="false">COUNTIF($E$2:E1464,E1464)</f>
        <v>166</v>
      </c>
      <c r="M1464" s="10" t="e">
        <f aca="false">ifs(L1464=1, L1464&amp;"-"&amp; COUNTIFS($L$2:L1464,1))</f>
        <v>#NAME?</v>
      </c>
      <c r="N1464" s="15"/>
      <c r="O1464" s="10" t="s">
        <v>3730</v>
      </c>
      <c r="P1464" s="22" t="n">
        <f aca="false">COUNTIFS(C:C,C1464,N:N,"Đã xác nhận")/COUNTIFS(C:C,C1464)</f>
        <v>0</v>
      </c>
      <c r="Q1464" s="22"/>
      <c r="R1464" s="0" t="s">
        <v>4635</v>
      </c>
      <c r="S1464" s="0" t="s">
        <v>539</v>
      </c>
      <c r="U1464" s="24" t="n">
        <v>1</v>
      </c>
    </row>
    <row r="1465" customFormat="false" ht="12.75" hidden="false" customHeight="false" outlineLevel="0" collapsed="false">
      <c r="A1465" s="15" t="s">
        <v>4636</v>
      </c>
      <c r="B1465" s="15" t="s">
        <v>2304</v>
      </c>
      <c r="C1465" s="15" t="s">
        <v>518</v>
      </c>
      <c r="D1465" s="15" t="s">
        <v>4632</v>
      </c>
      <c r="E1465" s="15" t="s">
        <v>547</v>
      </c>
      <c r="G1465" s="10" t="n">
        <v>1</v>
      </c>
      <c r="H1465" s="21" t="n">
        <v>46083.8038541667</v>
      </c>
      <c r="I1465" s="15" t="s">
        <v>3600</v>
      </c>
      <c r="J1465" s="15" t="s">
        <v>4637</v>
      </c>
      <c r="K1465" s="15" t="s">
        <v>4638</v>
      </c>
      <c r="L1465" s="10" t="n">
        <f aca="false">COUNTIF($E$2:E1465,E1465)</f>
        <v>48</v>
      </c>
      <c r="M1465" s="10" t="e">
        <f aca="false">ifs(L1465=1, L1465&amp;"-"&amp; COUNTIFS($L$2:L1465,1))</f>
        <v>#NAME?</v>
      </c>
      <c r="N1465" s="15"/>
      <c r="O1465" s="10" t="s">
        <v>3730</v>
      </c>
      <c r="P1465" s="22" t="n">
        <f aca="false">COUNTIFS(C:C,C1465,N:N,"Đã xác nhận")/COUNTIFS(C:C,C1465)</f>
        <v>0</v>
      </c>
      <c r="Q1465" s="22"/>
      <c r="R1465" s="0" t="s">
        <v>4635</v>
      </c>
      <c r="S1465" s="0" t="s">
        <v>548</v>
      </c>
      <c r="U1465" s="24" t="n">
        <v>1</v>
      </c>
    </row>
    <row r="1466" customFormat="false" ht="12.75" hidden="false" customHeight="false" outlineLevel="0" collapsed="false">
      <c r="A1466" s="15" t="s">
        <v>4639</v>
      </c>
      <c r="B1466" s="15" t="s">
        <v>2304</v>
      </c>
      <c r="C1466" s="15" t="s">
        <v>518</v>
      </c>
      <c r="D1466" s="15" t="s">
        <v>4640</v>
      </c>
      <c r="E1466" s="15" t="s">
        <v>37</v>
      </c>
      <c r="G1466" s="10" t="n">
        <v>1</v>
      </c>
      <c r="H1466" s="21" t="n">
        <v>46083.8043287037</v>
      </c>
      <c r="I1466" s="15" t="s">
        <v>3600</v>
      </c>
      <c r="J1466" s="15" t="s">
        <v>4641</v>
      </c>
      <c r="K1466" s="15" t="s">
        <v>4642</v>
      </c>
      <c r="L1466" s="10" t="n">
        <f aca="false">COUNTIF($E$2:E1466,E1466)</f>
        <v>31</v>
      </c>
      <c r="M1466" s="10" t="e">
        <f aca="false">ifs(L1466=1, L1466&amp;"-"&amp; COUNTIFS($L$2:L1466,1))</f>
        <v>#NAME?</v>
      </c>
      <c r="N1466" s="15"/>
      <c r="O1466" s="10" t="s">
        <v>3730</v>
      </c>
      <c r="P1466" s="22" t="n">
        <f aca="false">COUNTIFS(C:C,C1466,N:N,"Đã xác nhận")/COUNTIFS(C:C,C1466)</f>
        <v>0</v>
      </c>
      <c r="Q1466" s="22"/>
      <c r="R1466" s="0" t="s">
        <v>4643</v>
      </c>
      <c r="S1466" s="0" t="s">
        <v>561</v>
      </c>
      <c r="U1466" s="24" t="n">
        <v>1</v>
      </c>
    </row>
    <row r="1467" customFormat="false" ht="12.75" hidden="false" customHeight="false" outlineLevel="0" collapsed="false">
      <c r="A1467" s="15" t="s">
        <v>4644</v>
      </c>
      <c r="B1467" s="15" t="s">
        <v>2304</v>
      </c>
      <c r="C1467" s="15" t="s">
        <v>518</v>
      </c>
      <c r="D1467" s="15" t="s">
        <v>2329</v>
      </c>
      <c r="E1467" s="15" t="s">
        <v>47</v>
      </c>
      <c r="G1467" s="10" t="n">
        <v>1</v>
      </c>
      <c r="H1467" s="21" t="n">
        <v>46083.8046759259</v>
      </c>
      <c r="I1467" s="15" t="s">
        <v>3600</v>
      </c>
      <c r="J1467" s="15" t="s">
        <v>4645</v>
      </c>
      <c r="K1467" s="15" t="s">
        <v>4646</v>
      </c>
      <c r="L1467" s="10" t="n">
        <f aca="false">COUNTIF($E$2:E1467,E1467)</f>
        <v>81</v>
      </c>
      <c r="M1467" s="10" t="e">
        <f aca="false">ifs(L1467=1, L1467&amp;"-"&amp; COUNTIFS($L$2:L1467,1))</f>
        <v>#NAME?</v>
      </c>
      <c r="N1467" s="15"/>
      <c r="O1467" s="10" t="s">
        <v>3730</v>
      </c>
      <c r="P1467" s="22" t="n">
        <f aca="false">COUNTIFS(C:C,C1467,N:N,"Đã xác nhận")/COUNTIFS(C:C,C1467)</f>
        <v>0</v>
      </c>
      <c r="Q1467" s="22"/>
      <c r="R1467" s="0" t="s">
        <v>2331</v>
      </c>
      <c r="S1467" s="0" t="s">
        <v>549</v>
      </c>
      <c r="U1467" s="24" t="n">
        <v>1</v>
      </c>
    </row>
    <row r="1468" customFormat="false" ht="12.75" hidden="false" customHeight="false" outlineLevel="0" collapsed="false">
      <c r="A1468" s="15" t="s">
        <v>4647</v>
      </c>
      <c r="B1468" s="15" t="s">
        <v>2304</v>
      </c>
      <c r="C1468" s="15" t="s">
        <v>518</v>
      </c>
      <c r="D1468" s="15" t="s">
        <v>2663</v>
      </c>
      <c r="E1468" s="15" t="s">
        <v>81</v>
      </c>
      <c r="G1468" s="10" t="n">
        <v>1</v>
      </c>
      <c r="H1468" s="21" t="n">
        <v>46083.8050810185</v>
      </c>
      <c r="I1468" s="15" t="s">
        <v>3600</v>
      </c>
      <c r="J1468" s="15" t="s">
        <v>4648</v>
      </c>
      <c r="K1468" s="15" t="s">
        <v>4649</v>
      </c>
      <c r="L1468" s="10" t="n">
        <f aca="false">COUNTIF($E$2:E1468,E1468)</f>
        <v>234</v>
      </c>
      <c r="M1468" s="10" t="e">
        <f aca="false">ifs(L1468=1, L1468&amp;"-"&amp; COUNTIFS($L$2:L1468,1))</f>
        <v>#NAME?</v>
      </c>
      <c r="N1468" s="15"/>
      <c r="O1468" s="10" t="s">
        <v>3730</v>
      </c>
      <c r="P1468" s="22" t="n">
        <f aca="false">COUNTIFS(C:C,C1468,N:N,"Đã xác nhận")/COUNTIFS(C:C,C1468)</f>
        <v>0</v>
      </c>
      <c r="Q1468" s="22"/>
      <c r="R1468" s="0" t="s">
        <v>2666</v>
      </c>
      <c r="S1468" s="0" t="s">
        <v>534</v>
      </c>
      <c r="U1468" s="24" t="n">
        <v>1</v>
      </c>
    </row>
    <row r="1469" customFormat="false" ht="12.75" hidden="false" customHeight="false" outlineLevel="0" collapsed="false">
      <c r="A1469" s="15" t="s">
        <v>4650</v>
      </c>
      <c r="B1469" s="15" t="s">
        <v>2304</v>
      </c>
      <c r="C1469" s="15" t="s">
        <v>4651</v>
      </c>
      <c r="D1469" s="15" t="s">
        <v>4406</v>
      </c>
      <c r="E1469" s="15" t="s">
        <v>55</v>
      </c>
      <c r="G1469" s="10" t="n">
        <v>1</v>
      </c>
      <c r="H1469" s="21" t="n">
        <v>46084.4471875</v>
      </c>
      <c r="I1469" s="15" t="s">
        <v>1566</v>
      </c>
      <c r="J1469" s="15" t="s">
        <v>4652</v>
      </c>
      <c r="K1469" s="15" t="s">
        <v>4653</v>
      </c>
      <c r="L1469" s="10" t="n">
        <f aca="false">COUNTIF($E$2:E1469,E1469)</f>
        <v>167</v>
      </c>
      <c r="M1469" s="10" t="e">
        <f aca="false">ifs(L1469=1, L1469&amp;"-"&amp; COUNTIFS($L$2:L1469,1))</f>
        <v>#NAME?</v>
      </c>
      <c r="N1469" s="15"/>
      <c r="O1469" s="10" t="s">
        <v>3730</v>
      </c>
      <c r="P1469" s="22" t="n">
        <f aca="false">COUNTIFS(C:C,C1469,N:N,"Đã xác nhận")/COUNTIFS(C:C,C1469)</f>
        <v>0</v>
      </c>
      <c r="Q1469" s="22"/>
      <c r="R1469" s="0" t="s">
        <v>4408</v>
      </c>
      <c r="S1469" s="0" t="s">
        <v>539</v>
      </c>
      <c r="U1469" s="24" t="n">
        <v>1</v>
      </c>
    </row>
    <row r="1470" customFormat="false" ht="12.75" hidden="false" customHeight="false" outlineLevel="0" collapsed="false">
      <c r="A1470" s="15" t="s">
        <v>4654</v>
      </c>
      <c r="B1470" s="15"/>
      <c r="C1470" s="15"/>
      <c r="D1470" s="15"/>
      <c r="E1470" s="15"/>
      <c r="G1470" s="10" t="n">
        <v>0</v>
      </c>
      <c r="H1470" s="21" t="n">
        <v>46084.4506828704</v>
      </c>
      <c r="I1470" s="15" t="s">
        <v>4655</v>
      </c>
      <c r="J1470" s="15" t="s">
        <v>695</v>
      </c>
      <c r="K1470" s="15" t="s">
        <v>4656</v>
      </c>
      <c r="L1470" s="10" t="n">
        <f aca="false">COUNTIF($E$2:E1470,E1470)</f>
        <v>0</v>
      </c>
      <c r="M1470" s="10" t="e">
        <f aca="false">ifs(L1470=1, L1470&amp;"-"&amp; COUNTIFS($L$2:L1470,1))</f>
        <v>#NAME?</v>
      </c>
      <c r="N1470" s="15"/>
      <c r="O1470" s="10" t="s">
        <v>3730</v>
      </c>
      <c r="P1470" s="22" t="e">
        <f aca="false">COUNTIFS(C:C,C1470,N:N,"Đã xác nhận")/COUNTIFS(C:C,C1470)</f>
        <v>#DIV/0!</v>
      </c>
      <c r="Q1470" s="22"/>
      <c r="R1470" s="0" t="e">
        <f aca="false">#VALUE!</f>
        <v>#VALUE!</v>
      </c>
      <c r="S1470" s="0" t="e">
        <f aca="false">#VALUE!</f>
        <v>#VALUE!</v>
      </c>
      <c r="U1470" s="24" t="n">
        <v>0</v>
      </c>
    </row>
    <row r="1471" customFormat="false" ht="12.75" hidden="false" customHeight="false" outlineLevel="0" collapsed="false">
      <c r="A1471" s="15" t="s">
        <v>4657</v>
      </c>
      <c r="B1471" s="15"/>
      <c r="C1471" s="15"/>
      <c r="D1471" s="15"/>
      <c r="E1471" s="15"/>
      <c r="G1471" s="10" t="n">
        <v>0</v>
      </c>
      <c r="H1471" s="21" t="n">
        <v>46084.450474537</v>
      </c>
      <c r="I1471" s="15" t="s">
        <v>4658</v>
      </c>
      <c r="J1471" s="15" t="s">
        <v>695</v>
      </c>
      <c r="K1471" s="15" t="s">
        <v>4659</v>
      </c>
      <c r="L1471" s="10" t="n">
        <f aca="false">COUNTIF($E$2:E1471,E1471)</f>
        <v>0</v>
      </c>
      <c r="M1471" s="10" t="e">
        <f aca="false">ifs(L1471=1, L1471&amp;"-"&amp; COUNTIFS($L$2:L1471,1))</f>
        <v>#NAME?</v>
      </c>
      <c r="N1471" s="15"/>
      <c r="O1471" s="10" t="s">
        <v>3730</v>
      </c>
      <c r="P1471" s="22" t="e">
        <f aca="false">COUNTIFS(C:C,C1471,N:N,"Đã xác nhận")/COUNTIFS(C:C,C1471)</f>
        <v>#DIV/0!</v>
      </c>
      <c r="Q1471" s="22"/>
      <c r="R1471" s="0" t="e">
        <f aca="false">#VALUE!</f>
        <v>#VALUE!</v>
      </c>
      <c r="S1471" s="0" t="e">
        <f aca="false">#VALUE!</f>
        <v>#VALUE!</v>
      </c>
      <c r="U1471" s="24" t="n">
        <v>0</v>
      </c>
    </row>
    <row r="1472" customFormat="false" ht="12.75" hidden="false" customHeight="false" outlineLevel="0" collapsed="false">
      <c r="A1472" s="15" t="s">
        <v>4660</v>
      </c>
      <c r="B1472" s="15"/>
      <c r="C1472" s="15"/>
      <c r="D1472" s="15"/>
      <c r="E1472" s="15"/>
      <c r="G1472" s="10" t="n">
        <v>0</v>
      </c>
      <c r="H1472" s="21" t="n">
        <v>46084.4506828704</v>
      </c>
      <c r="I1472" s="15" t="s">
        <v>4661</v>
      </c>
      <c r="J1472" s="15" t="s">
        <v>695</v>
      </c>
      <c r="K1472" s="15" t="s">
        <v>4662</v>
      </c>
      <c r="L1472" s="10" t="n">
        <f aca="false">COUNTIF($E$2:E1472,E1472)</f>
        <v>0</v>
      </c>
      <c r="M1472" s="10" t="e">
        <f aca="false">ifs(L1472=1, L1472&amp;"-"&amp; COUNTIFS($L$2:L1472,1))</f>
        <v>#NAME?</v>
      </c>
      <c r="N1472" s="15"/>
      <c r="O1472" s="10" t="s">
        <v>3730</v>
      </c>
      <c r="P1472" s="22" t="e">
        <f aca="false">COUNTIFS(C:C,C1472,N:N,"Đã xác nhận")/COUNTIFS(C:C,C1472)</f>
        <v>#DIV/0!</v>
      </c>
      <c r="Q1472" s="22"/>
      <c r="R1472" s="0" t="e">
        <f aca="false">#VALUE!</f>
        <v>#VALUE!</v>
      </c>
      <c r="S1472" s="0" t="e">
        <f aca="false">#VALUE!</f>
        <v>#VALUE!</v>
      </c>
      <c r="U1472" s="24" t="n">
        <v>0</v>
      </c>
    </row>
    <row r="1473" customFormat="false" ht="12.75" hidden="false" customHeight="false" outlineLevel="0" collapsed="false">
      <c r="A1473" s="15" t="s">
        <v>4663</v>
      </c>
      <c r="B1473" s="15"/>
      <c r="C1473" s="15"/>
      <c r="D1473" s="15"/>
      <c r="E1473" s="15"/>
      <c r="G1473" s="10" t="n">
        <v>0</v>
      </c>
      <c r="H1473" s="21" t="n">
        <v>46084.4506828704</v>
      </c>
      <c r="I1473" s="15" t="s">
        <v>4664</v>
      </c>
      <c r="J1473" s="15" t="s">
        <v>695</v>
      </c>
      <c r="K1473" s="15" t="s">
        <v>4665</v>
      </c>
      <c r="L1473" s="10" t="n">
        <f aca="false">COUNTIF($E$2:E1473,E1473)</f>
        <v>0</v>
      </c>
      <c r="M1473" s="10" t="e">
        <f aca="false">ifs(L1473=1, L1473&amp;"-"&amp; COUNTIFS($L$2:L1473,1))</f>
        <v>#NAME?</v>
      </c>
      <c r="N1473" s="15"/>
      <c r="O1473" s="10" t="s">
        <v>3730</v>
      </c>
      <c r="P1473" s="22" t="e">
        <f aca="false">COUNTIFS(C:C,C1473,N:N,"Đã xác nhận")/COUNTIFS(C:C,C1473)</f>
        <v>#DIV/0!</v>
      </c>
      <c r="Q1473" s="22"/>
      <c r="R1473" s="0" t="e">
        <f aca="false">#VALUE!</f>
        <v>#VALUE!</v>
      </c>
      <c r="S1473" s="0" t="e">
        <f aca="false">#VALUE!</f>
        <v>#VALUE!</v>
      </c>
      <c r="U1473" s="24" t="n">
        <v>0</v>
      </c>
    </row>
    <row r="1474" customFormat="false" ht="12.75" hidden="false" customHeight="false" outlineLevel="0" collapsed="false">
      <c r="A1474" s="15" t="s">
        <v>4666</v>
      </c>
      <c r="B1474" s="15" t="s">
        <v>2304</v>
      </c>
      <c r="C1474" s="15" t="s">
        <v>4651</v>
      </c>
      <c r="D1474" s="15" t="s">
        <v>4667</v>
      </c>
      <c r="E1474" s="15" t="s">
        <v>55</v>
      </c>
      <c r="G1474" s="10" t="n">
        <v>1</v>
      </c>
      <c r="H1474" s="21" t="n">
        <v>46084.45125</v>
      </c>
      <c r="I1474" s="15" t="s">
        <v>4485</v>
      </c>
      <c r="J1474" s="15" t="s">
        <v>4668</v>
      </c>
      <c r="K1474" s="15" t="s">
        <v>4669</v>
      </c>
      <c r="L1474" s="10" t="n">
        <f aca="false">COUNTIF($E$2:E1474,E1474)</f>
        <v>168</v>
      </c>
      <c r="M1474" s="10" t="e">
        <f aca="false">ifs(L1474=1, L1474&amp;"-"&amp; COUNTIFS($L$2:L1474,1))</f>
        <v>#NAME?</v>
      </c>
      <c r="N1474" s="15"/>
      <c r="O1474" s="10" t="s">
        <v>3730</v>
      </c>
      <c r="P1474" s="22" t="n">
        <f aca="false">COUNTIFS(C:C,C1474,N:N,"Đã xác nhận")/COUNTIFS(C:C,C1474)</f>
        <v>0</v>
      </c>
      <c r="Q1474" s="22"/>
      <c r="R1474" s="0" t="s">
        <v>4670</v>
      </c>
      <c r="S1474" s="0" t="s">
        <v>539</v>
      </c>
      <c r="U1474" s="24" t="n">
        <v>1</v>
      </c>
    </row>
    <row r="1475" customFormat="false" ht="12.75" hidden="false" customHeight="false" outlineLevel="0" collapsed="false">
      <c r="A1475" s="15" t="s">
        <v>4671</v>
      </c>
      <c r="B1475" s="15" t="s">
        <v>2304</v>
      </c>
      <c r="C1475" s="15" t="s">
        <v>4651</v>
      </c>
      <c r="D1475" s="15" t="s">
        <v>4672</v>
      </c>
      <c r="E1475" s="15" t="s">
        <v>55</v>
      </c>
      <c r="G1475" s="10" t="n">
        <v>1</v>
      </c>
      <c r="H1475" s="21" t="n">
        <v>46084.4515856481</v>
      </c>
      <c r="I1475" s="15" t="s">
        <v>4485</v>
      </c>
      <c r="J1475" s="15" t="s">
        <v>4673</v>
      </c>
      <c r="K1475" s="15" t="s">
        <v>4674</v>
      </c>
      <c r="L1475" s="10" t="n">
        <f aca="false">COUNTIF($E$2:E1475,E1475)</f>
        <v>169</v>
      </c>
      <c r="M1475" s="10" t="e">
        <f aca="false">ifs(L1475=1, L1475&amp;"-"&amp; COUNTIFS($L$2:L1475,1))</f>
        <v>#NAME?</v>
      </c>
      <c r="N1475" s="15"/>
      <c r="O1475" s="10" t="s">
        <v>3730</v>
      </c>
      <c r="P1475" s="22" t="n">
        <f aca="false">COUNTIFS(C:C,C1475,N:N,"Đã xác nhận")/COUNTIFS(C:C,C1475)</f>
        <v>0</v>
      </c>
      <c r="Q1475" s="22"/>
      <c r="R1475" s="0" t="s">
        <v>4675</v>
      </c>
      <c r="S1475" s="0" t="s">
        <v>539</v>
      </c>
      <c r="U1475" s="24" t="n">
        <v>1</v>
      </c>
    </row>
    <row r="1476" customFormat="false" ht="12.75" hidden="false" customHeight="false" outlineLevel="0" collapsed="false">
      <c r="A1476" s="15" t="s">
        <v>4676</v>
      </c>
      <c r="B1476" s="15" t="s">
        <v>2304</v>
      </c>
      <c r="C1476" s="15" t="s">
        <v>4651</v>
      </c>
      <c r="D1476" s="15" t="s">
        <v>4001</v>
      </c>
      <c r="E1476" s="15" t="s">
        <v>55</v>
      </c>
      <c r="G1476" s="10" t="n">
        <v>1</v>
      </c>
      <c r="H1476" s="21" t="n">
        <v>46084.4518171296</v>
      </c>
      <c r="I1476" s="15" t="s">
        <v>4485</v>
      </c>
      <c r="J1476" s="15" t="s">
        <v>4677</v>
      </c>
      <c r="K1476" s="15" t="s">
        <v>4678</v>
      </c>
      <c r="L1476" s="10" t="n">
        <f aca="false">COUNTIF($E$2:E1476,E1476)</f>
        <v>170</v>
      </c>
      <c r="M1476" s="10" t="e">
        <f aca="false">ifs(L1476=1, L1476&amp;"-"&amp; COUNTIFS($L$2:L1476,1))</f>
        <v>#NAME?</v>
      </c>
      <c r="N1476" s="15"/>
      <c r="O1476" s="10" t="s">
        <v>3730</v>
      </c>
      <c r="P1476" s="22" t="n">
        <f aca="false">COUNTIFS(C:C,C1476,N:N,"Đã xác nhận")/COUNTIFS(C:C,C1476)</f>
        <v>0</v>
      </c>
      <c r="Q1476" s="22"/>
      <c r="R1476" s="0" t="s">
        <v>2387</v>
      </c>
      <c r="S1476" s="0" t="s">
        <v>539</v>
      </c>
      <c r="U1476" s="24" t="n">
        <v>1</v>
      </c>
    </row>
    <row r="1477" customFormat="false" ht="12.75" hidden="false" customHeight="false" outlineLevel="0" collapsed="false">
      <c r="A1477" s="15" t="s">
        <v>4679</v>
      </c>
      <c r="B1477" s="15" t="s">
        <v>2304</v>
      </c>
      <c r="C1477" s="15" t="s">
        <v>4651</v>
      </c>
      <c r="D1477" s="15" t="s">
        <v>2401</v>
      </c>
      <c r="E1477" s="15" t="s">
        <v>89</v>
      </c>
      <c r="G1477" s="10" t="n">
        <v>1</v>
      </c>
      <c r="H1477" s="21" t="n">
        <v>46084.4521527778</v>
      </c>
      <c r="I1477" s="15" t="s">
        <v>4485</v>
      </c>
      <c r="J1477" s="15" t="s">
        <v>4680</v>
      </c>
      <c r="K1477" s="15" t="s">
        <v>4681</v>
      </c>
      <c r="L1477" s="10" t="n">
        <f aca="false">COUNTIF($E$2:E1477,E1477)</f>
        <v>14</v>
      </c>
      <c r="M1477" s="10" t="e">
        <f aca="false">ifs(L1477=1, L1477&amp;"-"&amp; COUNTIFS($L$2:L1477,1))</f>
        <v>#NAME?</v>
      </c>
      <c r="N1477" s="15"/>
      <c r="O1477" s="10" t="s">
        <v>3730</v>
      </c>
      <c r="P1477" s="22" t="n">
        <f aca="false">COUNTIFS(C:C,C1477,N:N,"Đã xác nhận")/COUNTIFS(C:C,C1477)</f>
        <v>0</v>
      </c>
      <c r="Q1477" s="22"/>
      <c r="R1477" s="0" t="s">
        <v>2403</v>
      </c>
      <c r="S1477" s="0" t="s">
        <v>574</v>
      </c>
      <c r="U1477" s="24" t="n">
        <v>1</v>
      </c>
    </row>
    <row r="1478" customFormat="false" ht="12.75" hidden="false" customHeight="false" outlineLevel="0" collapsed="false">
      <c r="A1478" s="15" t="s">
        <v>4682</v>
      </c>
      <c r="B1478" s="15" t="s">
        <v>2304</v>
      </c>
      <c r="C1478" s="15" t="s">
        <v>4651</v>
      </c>
      <c r="D1478" s="15" t="s">
        <v>4683</v>
      </c>
      <c r="E1478" s="15" t="s">
        <v>23</v>
      </c>
      <c r="G1478" s="10" t="n">
        <v>1</v>
      </c>
      <c r="H1478" s="21" t="n">
        <v>46084.4525115741</v>
      </c>
      <c r="I1478" s="15" t="s">
        <v>4485</v>
      </c>
      <c r="J1478" s="15" t="s">
        <v>4684</v>
      </c>
      <c r="K1478" s="15" t="s">
        <v>4685</v>
      </c>
      <c r="L1478" s="10" t="n">
        <f aca="false">COUNTIF($E$2:E1478,E1478)</f>
        <v>10</v>
      </c>
      <c r="M1478" s="10" t="e">
        <f aca="false">ifs(L1478=1, L1478&amp;"-"&amp; COUNTIFS($L$2:L1478,1))</f>
        <v>#NAME?</v>
      </c>
      <c r="N1478" s="15"/>
      <c r="O1478" s="10" t="s">
        <v>3730</v>
      </c>
      <c r="P1478" s="22" t="n">
        <f aca="false">COUNTIFS(C:C,C1478,N:N,"Đã xác nhận")/COUNTIFS(C:C,C1478)</f>
        <v>0</v>
      </c>
      <c r="Q1478" s="22"/>
      <c r="R1478" s="0" t="s">
        <v>4686</v>
      </c>
      <c r="S1478" s="0" t="s">
        <v>575</v>
      </c>
      <c r="U1478" s="24" t="n">
        <v>1</v>
      </c>
    </row>
    <row r="1479" customFormat="false" ht="12.75" hidden="false" customHeight="false" outlineLevel="0" collapsed="false">
      <c r="A1479" s="15" t="s">
        <v>4687</v>
      </c>
      <c r="B1479" s="15" t="s">
        <v>2304</v>
      </c>
      <c r="C1479" s="15" t="s">
        <v>4651</v>
      </c>
      <c r="D1479" s="15" t="s">
        <v>2393</v>
      </c>
      <c r="E1479" s="15" t="s">
        <v>51</v>
      </c>
      <c r="G1479" s="10" t="n">
        <v>1</v>
      </c>
      <c r="H1479" s="21" t="n">
        <v>46084.4528703704</v>
      </c>
      <c r="I1479" s="15" t="s">
        <v>4485</v>
      </c>
      <c r="J1479" s="15" t="s">
        <v>4688</v>
      </c>
      <c r="K1479" s="15" t="s">
        <v>4689</v>
      </c>
      <c r="L1479" s="10" t="n">
        <f aca="false">COUNTIF($E$2:E1479,E1479)</f>
        <v>15</v>
      </c>
      <c r="M1479" s="10" t="e">
        <f aca="false">ifs(L1479=1, L1479&amp;"-"&amp; COUNTIFS($L$2:L1479,1))</f>
        <v>#NAME?</v>
      </c>
      <c r="N1479" s="15"/>
      <c r="O1479" s="10" t="s">
        <v>3730</v>
      </c>
      <c r="P1479" s="22" t="n">
        <f aca="false">COUNTIFS(C:C,C1479,N:N,"Đã xác nhận")/COUNTIFS(C:C,C1479)</f>
        <v>0</v>
      </c>
      <c r="Q1479" s="22"/>
      <c r="R1479" s="0" t="s">
        <v>2395</v>
      </c>
      <c r="S1479" s="0" t="s">
        <v>573</v>
      </c>
      <c r="U1479" s="24" t="n">
        <v>1</v>
      </c>
    </row>
    <row r="1480" customFormat="false" ht="12.75" hidden="false" customHeight="false" outlineLevel="0" collapsed="false">
      <c r="A1480" s="15" t="s">
        <v>4690</v>
      </c>
      <c r="B1480" s="15" t="s">
        <v>2304</v>
      </c>
      <c r="C1480" s="15" t="s">
        <v>4651</v>
      </c>
      <c r="D1480" s="15" t="s">
        <v>2397</v>
      </c>
      <c r="E1480" s="15" t="s">
        <v>89</v>
      </c>
      <c r="G1480" s="10" t="n">
        <v>1</v>
      </c>
      <c r="H1480" s="21" t="n">
        <v>46084.453287037</v>
      </c>
      <c r="I1480" s="15" t="s">
        <v>4485</v>
      </c>
      <c r="J1480" s="15" t="s">
        <v>4691</v>
      </c>
      <c r="K1480" s="15" t="s">
        <v>4692</v>
      </c>
      <c r="L1480" s="10" t="n">
        <f aca="false">COUNTIF($E$2:E1480,E1480)</f>
        <v>15</v>
      </c>
      <c r="M1480" s="10" t="e">
        <f aca="false">ifs(L1480=1, L1480&amp;"-"&amp; COUNTIFS($L$2:L1480,1))</f>
        <v>#NAME?</v>
      </c>
      <c r="N1480" s="15"/>
      <c r="O1480" s="10" t="s">
        <v>3730</v>
      </c>
      <c r="P1480" s="22" t="n">
        <f aca="false">COUNTIFS(C:C,C1480,N:N,"Đã xác nhận")/COUNTIFS(C:C,C1480)</f>
        <v>0</v>
      </c>
      <c r="Q1480" s="22"/>
      <c r="R1480" s="0" t="s">
        <v>2399</v>
      </c>
      <c r="S1480" s="0" t="s">
        <v>574</v>
      </c>
      <c r="U1480" s="24" t="n">
        <v>1</v>
      </c>
    </row>
    <row r="1481" customFormat="false" ht="12.75" hidden="false" customHeight="false" outlineLevel="0" collapsed="false">
      <c r="A1481" s="15" t="s">
        <v>4693</v>
      </c>
      <c r="B1481" s="15" t="s">
        <v>2304</v>
      </c>
      <c r="C1481" s="15" t="s">
        <v>4651</v>
      </c>
      <c r="D1481" s="15" t="s">
        <v>4434</v>
      </c>
      <c r="E1481" s="15" t="s">
        <v>55</v>
      </c>
      <c r="G1481" s="10" t="n">
        <v>1</v>
      </c>
      <c r="H1481" s="21" t="n">
        <v>46084.4736574074</v>
      </c>
      <c r="I1481" s="15" t="s">
        <v>1566</v>
      </c>
      <c r="J1481" s="15" t="s">
        <v>4694</v>
      </c>
      <c r="K1481" s="15" t="s">
        <v>4695</v>
      </c>
      <c r="L1481" s="10" t="n">
        <f aca="false">COUNTIF($E$2:E1481,E1481)</f>
        <v>171</v>
      </c>
      <c r="M1481" s="10" t="e">
        <f aca="false">ifs(L1481=1, L1481&amp;"-"&amp; COUNTIFS($L$2:L1481,1))</f>
        <v>#NAME?</v>
      </c>
      <c r="N1481" s="15"/>
      <c r="O1481" s="10" t="s">
        <v>3730</v>
      </c>
      <c r="P1481" s="22" t="n">
        <f aca="false">COUNTIFS(C:C,C1481,N:N,"Đã xác nhận")/COUNTIFS(C:C,C1481)</f>
        <v>0</v>
      </c>
      <c r="Q1481" s="22"/>
      <c r="R1481" s="0" t="s">
        <v>4436</v>
      </c>
      <c r="S1481" s="0" t="s">
        <v>539</v>
      </c>
      <c r="U1481" s="24" t="n">
        <v>1</v>
      </c>
    </row>
    <row r="1482" customFormat="false" ht="12.75" hidden="false" customHeight="false" outlineLevel="0" collapsed="false">
      <c r="A1482" s="15" t="s">
        <v>4696</v>
      </c>
      <c r="B1482" s="15" t="s">
        <v>2304</v>
      </c>
      <c r="C1482" s="15" t="s">
        <v>4651</v>
      </c>
      <c r="D1482" s="15" t="s">
        <v>4438</v>
      </c>
      <c r="E1482" s="15" t="s">
        <v>547</v>
      </c>
      <c r="G1482" s="10" t="n">
        <v>1</v>
      </c>
      <c r="H1482" s="21" t="n">
        <v>46084.4739351852</v>
      </c>
      <c r="I1482" s="15" t="s">
        <v>1566</v>
      </c>
      <c r="J1482" s="15" t="s">
        <v>4697</v>
      </c>
      <c r="K1482" s="15" t="s">
        <v>4698</v>
      </c>
      <c r="L1482" s="10" t="n">
        <f aca="false">COUNTIF($E$2:E1482,E1482)</f>
        <v>49</v>
      </c>
      <c r="M1482" s="10" t="e">
        <f aca="false">ifs(L1482=1, L1482&amp;"-"&amp; COUNTIFS($L$2:L1482,1))</f>
        <v>#NAME?</v>
      </c>
      <c r="N1482" s="15"/>
      <c r="O1482" s="10" t="s">
        <v>3730</v>
      </c>
      <c r="P1482" s="22" t="n">
        <f aca="false">COUNTIFS(C:C,C1482,N:N,"Đã xác nhận")/COUNTIFS(C:C,C1482)</f>
        <v>0</v>
      </c>
      <c r="Q1482" s="22"/>
      <c r="R1482" s="0" t="s">
        <v>4440</v>
      </c>
      <c r="S1482" s="0" t="s">
        <v>548</v>
      </c>
      <c r="U1482" s="24" t="n">
        <v>1</v>
      </c>
    </row>
    <row r="1483" customFormat="false" ht="12.75" hidden="false" customHeight="false" outlineLevel="0" collapsed="false">
      <c r="A1483" s="15" t="s">
        <v>4699</v>
      </c>
      <c r="B1483" s="15" t="s">
        <v>2304</v>
      </c>
      <c r="C1483" s="15" t="s">
        <v>4651</v>
      </c>
      <c r="D1483" s="15" t="s">
        <v>4442</v>
      </c>
      <c r="E1483" s="15" t="s">
        <v>81</v>
      </c>
      <c r="G1483" s="10" t="n">
        <v>1</v>
      </c>
      <c r="H1483" s="21" t="n">
        <v>46084.474224537</v>
      </c>
      <c r="I1483" s="15" t="s">
        <v>1566</v>
      </c>
      <c r="J1483" s="15" t="s">
        <v>4700</v>
      </c>
      <c r="K1483" s="15" t="s">
        <v>4701</v>
      </c>
      <c r="L1483" s="10" t="n">
        <f aca="false">COUNTIF($E$2:E1483,E1483)</f>
        <v>235</v>
      </c>
      <c r="M1483" s="10" t="e">
        <f aca="false">ifs(L1483=1, L1483&amp;"-"&amp; COUNTIFS($L$2:L1483,1))</f>
        <v>#NAME?</v>
      </c>
      <c r="N1483" s="15"/>
      <c r="O1483" s="10" t="s">
        <v>3730</v>
      </c>
      <c r="P1483" s="22" t="n">
        <f aca="false">COUNTIFS(C:C,C1483,N:N,"Đã xác nhận")/COUNTIFS(C:C,C1483)</f>
        <v>0</v>
      </c>
      <c r="Q1483" s="22"/>
      <c r="R1483" s="0" t="s">
        <v>4444</v>
      </c>
      <c r="S1483" s="0" t="s">
        <v>534</v>
      </c>
      <c r="U1483" s="24" t="n">
        <v>1</v>
      </c>
    </row>
    <row r="1484" customFormat="false" ht="12.75" hidden="false" customHeight="false" outlineLevel="0" collapsed="false">
      <c r="A1484" s="15" t="s">
        <v>4702</v>
      </c>
      <c r="B1484" s="15" t="s">
        <v>2304</v>
      </c>
      <c r="C1484" s="15" t="s">
        <v>4651</v>
      </c>
      <c r="D1484" s="15" t="s">
        <v>4667</v>
      </c>
      <c r="E1484" s="15" t="s">
        <v>55</v>
      </c>
      <c r="G1484" s="10" t="n">
        <v>1</v>
      </c>
      <c r="H1484" s="21" t="n">
        <v>46084.4761574074</v>
      </c>
      <c r="I1484" s="15" t="s">
        <v>1566</v>
      </c>
      <c r="J1484" s="15" t="s">
        <v>4668</v>
      </c>
      <c r="K1484" s="15" t="s">
        <v>4703</v>
      </c>
      <c r="L1484" s="10" t="n">
        <f aca="false">COUNTIF($E$2:E1484,E1484)</f>
        <v>172</v>
      </c>
      <c r="M1484" s="10" t="e">
        <f aca="false">ifs(L1484=1, L1484&amp;"-"&amp; COUNTIFS($L$2:L1484,1))</f>
        <v>#NAME?</v>
      </c>
      <c r="N1484" s="15"/>
      <c r="O1484" s="10" t="s">
        <v>3730</v>
      </c>
      <c r="P1484" s="22" t="n">
        <f aca="false">COUNTIFS(C:C,C1484,N:N,"Đã xác nhận")/COUNTIFS(C:C,C1484)</f>
        <v>0</v>
      </c>
      <c r="Q1484" s="22"/>
      <c r="R1484" s="0" t="s">
        <v>4670</v>
      </c>
      <c r="S1484" s="0" t="s">
        <v>539</v>
      </c>
      <c r="U1484" s="24" t="n">
        <v>1</v>
      </c>
    </row>
    <row r="1485" customFormat="false" ht="12.75" hidden="false" customHeight="false" outlineLevel="0" collapsed="false">
      <c r="A1485" s="15" t="s">
        <v>4704</v>
      </c>
      <c r="B1485" s="15" t="s">
        <v>2304</v>
      </c>
      <c r="C1485" s="15" t="s">
        <v>3563</v>
      </c>
      <c r="D1485" s="15" t="s">
        <v>4705</v>
      </c>
      <c r="E1485" s="15" t="s">
        <v>55</v>
      </c>
      <c r="G1485" s="10" t="n">
        <v>1</v>
      </c>
      <c r="H1485" s="21" t="n">
        <v>46085.7515972222</v>
      </c>
      <c r="I1485" s="15" t="s">
        <v>1566</v>
      </c>
      <c r="J1485" s="15" t="s">
        <v>4706</v>
      </c>
      <c r="K1485" s="15" t="s">
        <v>4707</v>
      </c>
      <c r="L1485" s="10" t="n">
        <f aca="false">COUNTIF($E$2:E1485,E1485)</f>
        <v>173</v>
      </c>
      <c r="M1485" s="10" t="e">
        <f aca="false">ifs(L1485=1, L1485&amp;"-"&amp; COUNTIFS($L$2:L1485,1))</f>
        <v>#NAME?</v>
      </c>
      <c r="N1485" s="15"/>
      <c r="O1485" s="10" t="s">
        <v>3730</v>
      </c>
      <c r="P1485" s="22" t="n">
        <f aca="false">COUNTIFS(C:C,C1485,N:N,"Đã xác nhận")/COUNTIFS(C:C,C1485)</f>
        <v>0</v>
      </c>
      <c r="Q1485" s="22"/>
      <c r="R1485" s="0" t="s">
        <v>4708</v>
      </c>
      <c r="S1485" s="0" t="s">
        <v>539</v>
      </c>
      <c r="U1485" s="24" t="n">
        <v>1</v>
      </c>
    </row>
    <row r="1486" customFormat="false" ht="12.75" hidden="false" customHeight="false" outlineLevel="0" collapsed="false">
      <c r="A1486" s="15" t="s">
        <v>4709</v>
      </c>
      <c r="B1486" s="15" t="s">
        <v>2304</v>
      </c>
      <c r="C1486" s="15" t="s">
        <v>3563</v>
      </c>
      <c r="D1486" s="15" t="s">
        <v>4705</v>
      </c>
      <c r="E1486" s="15" t="s">
        <v>55</v>
      </c>
      <c r="G1486" s="10" t="n">
        <v>1</v>
      </c>
      <c r="H1486" s="21" t="n">
        <v>46085.7519328704</v>
      </c>
      <c r="I1486" s="15" t="s">
        <v>1566</v>
      </c>
      <c r="J1486" s="15" t="s">
        <v>4706</v>
      </c>
      <c r="K1486" s="15" t="s">
        <v>4710</v>
      </c>
      <c r="L1486" s="10" t="n">
        <f aca="false">COUNTIF($E$2:E1486,E1486)</f>
        <v>174</v>
      </c>
      <c r="M1486" s="10" t="e">
        <f aca="false">ifs(L1486=1, L1486&amp;"-"&amp; COUNTIFS($L$2:L1486,1))</f>
        <v>#NAME?</v>
      </c>
      <c r="N1486" s="15"/>
      <c r="O1486" s="10" t="s">
        <v>3730</v>
      </c>
      <c r="P1486" s="22" t="n">
        <f aca="false">COUNTIFS(C:C,C1486,N:N,"Đã xác nhận")/COUNTIFS(C:C,C1486)</f>
        <v>0</v>
      </c>
      <c r="Q1486" s="22"/>
      <c r="R1486" s="0" t="s">
        <v>4708</v>
      </c>
      <c r="S1486" s="0" t="s">
        <v>539</v>
      </c>
      <c r="U1486" s="24" t="n">
        <v>1</v>
      </c>
    </row>
    <row r="1487" customFormat="false" ht="12.75" hidden="false" customHeight="false" outlineLevel="0" collapsed="false">
      <c r="A1487" s="15" t="s">
        <v>4711</v>
      </c>
      <c r="B1487" s="15" t="s">
        <v>2304</v>
      </c>
      <c r="C1487" s="15" t="s">
        <v>3563</v>
      </c>
      <c r="D1487" s="15" t="s">
        <v>4712</v>
      </c>
      <c r="E1487" s="15" t="s">
        <v>55</v>
      </c>
      <c r="G1487" s="10" t="n">
        <v>1</v>
      </c>
      <c r="H1487" s="21" t="n">
        <v>46085.7521759259</v>
      </c>
      <c r="I1487" s="15" t="s">
        <v>1566</v>
      </c>
      <c r="J1487" s="15" t="s">
        <v>4713</v>
      </c>
      <c r="K1487" s="15" t="s">
        <v>4714</v>
      </c>
      <c r="L1487" s="10" t="n">
        <f aca="false">COUNTIF($E$2:E1487,E1487)</f>
        <v>175</v>
      </c>
      <c r="M1487" s="10" t="e">
        <f aca="false">ifs(L1487=1, L1487&amp;"-"&amp; COUNTIFS($L$2:L1487,1))</f>
        <v>#NAME?</v>
      </c>
      <c r="N1487" s="15"/>
      <c r="O1487" s="10" t="s">
        <v>3730</v>
      </c>
      <c r="P1487" s="22" t="n">
        <f aca="false">COUNTIFS(C:C,C1487,N:N,"Đã xác nhận")/COUNTIFS(C:C,C1487)</f>
        <v>0</v>
      </c>
      <c r="Q1487" s="22"/>
      <c r="R1487" s="0" t="s">
        <v>4715</v>
      </c>
      <c r="S1487" s="0" t="s">
        <v>539</v>
      </c>
      <c r="U1487" s="24" t="n">
        <v>1</v>
      </c>
    </row>
    <row r="1488" customFormat="false" ht="12.75" hidden="false" customHeight="false" outlineLevel="0" collapsed="false">
      <c r="A1488" s="15" t="s">
        <v>4716</v>
      </c>
      <c r="B1488" s="15" t="s">
        <v>2304</v>
      </c>
      <c r="C1488" s="15" t="s">
        <v>3563</v>
      </c>
      <c r="D1488" s="15" t="s">
        <v>4717</v>
      </c>
      <c r="E1488" s="15" t="s">
        <v>37</v>
      </c>
      <c r="G1488" s="10" t="n">
        <v>1</v>
      </c>
      <c r="H1488" s="21" t="n">
        <v>46085.7524189815</v>
      </c>
      <c r="I1488" s="15" t="s">
        <v>1566</v>
      </c>
      <c r="J1488" s="15" t="s">
        <v>4718</v>
      </c>
      <c r="K1488" s="15" t="s">
        <v>4719</v>
      </c>
      <c r="L1488" s="10" t="n">
        <f aca="false">COUNTIF($E$2:E1488,E1488)</f>
        <v>32</v>
      </c>
      <c r="M1488" s="10" t="e">
        <f aca="false">ifs(L1488=1, L1488&amp;"-"&amp; COUNTIFS($L$2:L1488,1))</f>
        <v>#NAME?</v>
      </c>
      <c r="N1488" s="15"/>
      <c r="O1488" s="10" t="s">
        <v>3730</v>
      </c>
      <c r="P1488" s="22" t="n">
        <f aca="false">COUNTIFS(C:C,C1488,N:N,"Đã xác nhận")/COUNTIFS(C:C,C1488)</f>
        <v>0</v>
      </c>
      <c r="Q1488" s="22"/>
      <c r="R1488" s="0" t="s">
        <v>4720</v>
      </c>
      <c r="S1488" s="0" t="s">
        <v>561</v>
      </c>
      <c r="U1488" s="24" t="n">
        <v>1</v>
      </c>
    </row>
    <row r="1489" customFormat="false" ht="12.75" hidden="false" customHeight="false" outlineLevel="0" collapsed="false">
      <c r="A1489" s="15" t="s">
        <v>4721</v>
      </c>
      <c r="B1489" s="15" t="s">
        <v>2304</v>
      </c>
      <c r="C1489" s="15" t="s">
        <v>3563</v>
      </c>
      <c r="D1489" s="15" t="s">
        <v>2315</v>
      </c>
      <c r="E1489" s="15" t="s">
        <v>51</v>
      </c>
      <c r="G1489" s="10" t="n">
        <v>1</v>
      </c>
      <c r="H1489" s="21" t="n">
        <v>46085.7529050926</v>
      </c>
      <c r="I1489" s="15" t="s">
        <v>1566</v>
      </c>
      <c r="J1489" s="15" t="s">
        <v>4722</v>
      </c>
      <c r="K1489" s="15" t="s">
        <v>4723</v>
      </c>
      <c r="L1489" s="10" t="n">
        <f aca="false">COUNTIF($E$2:E1489,E1489)</f>
        <v>16</v>
      </c>
      <c r="M1489" s="10" t="e">
        <f aca="false">ifs(L1489=1, L1489&amp;"-"&amp; COUNTIFS($L$2:L1489,1))</f>
        <v>#NAME?</v>
      </c>
      <c r="N1489" s="15"/>
      <c r="O1489" s="10" t="s">
        <v>3730</v>
      </c>
      <c r="P1489" s="22" t="n">
        <f aca="false">COUNTIFS(C:C,C1489,N:N,"Đã xác nhận")/COUNTIFS(C:C,C1489)</f>
        <v>0</v>
      </c>
      <c r="Q1489" s="22"/>
      <c r="R1489" s="0" t="s">
        <v>2317</v>
      </c>
      <c r="S1489" s="0" t="s">
        <v>573</v>
      </c>
      <c r="U1489" s="24" t="n">
        <v>1</v>
      </c>
    </row>
    <row r="1490" customFormat="false" ht="12.75" hidden="false" customHeight="false" outlineLevel="0" collapsed="false">
      <c r="A1490" s="15" t="s">
        <v>4724</v>
      </c>
      <c r="B1490" s="15" t="s">
        <v>2304</v>
      </c>
      <c r="C1490" s="15" t="s">
        <v>3563</v>
      </c>
      <c r="D1490" s="15" t="s">
        <v>971</v>
      </c>
      <c r="E1490" s="15" t="s">
        <v>55</v>
      </c>
      <c r="G1490" s="10" t="n">
        <v>1</v>
      </c>
      <c r="H1490" s="21" t="n">
        <v>46085.7537615741</v>
      </c>
      <c r="I1490" s="15" t="s">
        <v>1566</v>
      </c>
      <c r="J1490" s="15" t="s">
        <v>4725</v>
      </c>
      <c r="K1490" s="15" t="s">
        <v>4726</v>
      </c>
      <c r="L1490" s="10" t="n">
        <f aca="false">COUNTIF($E$2:E1490,E1490)</f>
        <v>176</v>
      </c>
      <c r="M1490" s="10" t="e">
        <f aca="false">ifs(L1490=1, L1490&amp;"-"&amp; COUNTIFS($L$2:L1490,1))</f>
        <v>#NAME?</v>
      </c>
      <c r="N1490" s="15"/>
      <c r="O1490" s="10" t="s">
        <v>3730</v>
      </c>
      <c r="P1490" s="22" t="n">
        <f aca="false">COUNTIFS(C:C,C1490,N:N,"Đã xác nhận")/COUNTIFS(C:C,C1490)</f>
        <v>0</v>
      </c>
      <c r="Q1490" s="22"/>
      <c r="R1490" s="0" t="s">
        <v>973</v>
      </c>
      <c r="S1490" s="0" t="s">
        <v>539</v>
      </c>
      <c r="U1490" s="24" t="n">
        <v>1</v>
      </c>
    </row>
    <row r="1491" customFormat="false" ht="12.75" hidden="false" customHeight="false" outlineLevel="0" collapsed="false">
      <c r="A1491" s="15" t="s">
        <v>4727</v>
      </c>
      <c r="B1491" s="15" t="s">
        <v>2304</v>
      </c>
      <c r="C1491" s="15" t="s">
        <v>3563</v>
      </c>
      <c r="D1491" s="15" t="s">
        <v>4584</v>
      </c>
      <c r="E1491" s="15" t="s">
        <v>47</v>
      </c>
      <c r="G1491" s="10" t="n">
        <v>1</v>
      </c>
      <c r="H1491" s="21" t="n">
        <v>46085.7541666667</v>
      </c>
      <c r="I1491" s="15" t="s">
        <v>1566</v>
      </c>
      <c r="J1491" s="15" t="s">
        <v>4728</v>
      </c>
      <c r="K1491" s="15" t="s">
        <v>4729</v>
      </c>
      <c r="L1491" s="10" t="n">
        <f aca="false">COUNTIF($E$2:E1491,E1491)</f>
        <v>82</v>
      </c>
      <c r="M1491" s="10" t="e">
        <f aca="false">ifs(L1491=1, L1491&amp;"-"&amp; COUNTIFS($L$2:L1491,1))</f>
        <v>#NAME?</v>
      </c>
      <c r="N1491" s="15"/>
      <c r="O1491" s="10" t="s">
        <v>3730</v>
      </c>
      <c r="P1491" s="22" t="n">
        <f aca="false">COUNTIFS(C:C,C1491,N:N,"Đã xác nhận")/COUNTIFS(C:C,C1491)</f>
        <v>0</v>
      </c>
      <c r="Q1491" s="22"/>
      <c r="R1491" s="0" t="s">
        <v>4587</v>
      </c>
      <c r="S1491" s="0" t="s">
        <v>549</v>
      </c>
      <c r="U1491" s="24" t="n">
        <v>1</v>
      </c>
    </row>
    <row r="1492" customFormat="false" ht="12.75" hidden="false" customHeight="false" outlineLevel="0" collapsed="false">
      <c r="A1492" s="15" t="s">
        <v>4730</v>
      </c>
      <c r="B1492" s="15" t="s">
        <v>2304</v>
      </c>
      <c r="C1492" s="15" t="s">
        <v>3563</v>
      </c>
      <c r="D1492" s="15" t="s">
        <v>4584</v>
      </c>
      <c r="E1492" s="15" t="s">
        <v>81</v>
      </c>
      <c r="G1492" s="10" t="n">
        <v>1</v>
      </c>
      <c r="H1492" s="21" t="n">
        <v>46085.7543981482</v>
      </c>
      <c r="I1492" s="15" t="s">
        <v>1566</v>
      </c>
      <c r="J1492" s="15" t="s">
        <v>4731</v>
      </c>
      <c r="K1492" s="15" t="s">
        <v>4732</v>
      </c>
      <c r="L1492" s="10" t="n">
        <f aca="false">COUNTIF($E$2:E1492,E1492)</f>
        <v>236</v>
      </c>
      <c r="M1492" s="10" t="e">
        <f aca="false">ifs(L1492=1, L1492&amp;"-"&amp; COUNTIFS($L$2:L1492,1))</f>
        <v>#NAME?</v>
      </c>
      <c r="N1492" s="15"/>
      <c r="O1492" s="10" t="s">
        <v>3730</v>
      </c>
      <c r="P1492" s="22" t="n">
        <f aca="false">COUNTIFS(C:C,C1492,N:N,"Đã xác nhận")/COUNTIFS(C:C,C1492)</f>
        <v>0</v>
      </c>
      <c r="Q1492" s="22"/>
      <c r="R1492" s="0" t="s">
        <v>4587</v>
      </c>
      <c r="S1492" s="0" t="s">
        <v>534</v>
      </c>
      <c r="U1492" s="24" t="n">
        <v>1</v>
      </c>
    </row>
    <row r="1493" customFormat="false" ht="12.75" hidden="false" customHeight="false" outlineLevel="0" collapsed="false">
      <c r="A1493" s="15" t="s">
        <v>4733</v>
      </c>
      <c r="B1493" s="15" t="s">
        <v>2304</v>
      </c>
      <c r="C1493" s="15" t="s">
        <v>3563</v>
      </c>
      <c r="D1493" s="15" t="s">
        <v>4298</v>
      </c>
      <c r="E1493" s="15" t="s">
        <v>547</v>
      </c>
      <c r="G1493" s="10" t="n">
        <v>1</v>
      </c>
      <c r="H1493" s="21" t="n">
        <v>46085.7546412037</v>
      </c>
      <c r="I1493" s="15" t="s">
        <v>1566</v>
      </c>
      <c r="J1493" s="15" t="s">
        <v>4734</v>
      </c>
      <c r="K1493" s="15" t="s">
        <v>4735</v>
      </c>
      <c r="L1493" s="10" t="n">
        <f aca="false">COUNTIF($E$2:E1493,E1493)</f>
        <v>50</v>
      </c>
      <c r="M1493" s="10" t="e">
        <f aca="false">ifs(L1493=1, L1493&amp;"-"&amp; COUNTIFS($L$2:L1493,1))</f>
        <v>#NAME?</v>
      </c>
      <c r="N1493" s="15"/>
      <c r="O1493" s="10" t="s">
        <v>3730</v>
      </c>
      <c r="P1493" s="22" t="n">
        <f aca="false">COUNTIFS(C:C,C1493,N:N,"Đã xác nhận")/COUNTIFS(C:C,C1493)</f>
        <v>0</v>
      </c>
      <c r="Q1493" s="22"/>
      <c r="R1493" s="0" t="s">
        <v>4300</v>
      </c>
      <c r="S1493" s="0" t="s">
        <v>548</v>
      </c>
      <c r="U1493" s="24" t="n">
        <v>1</v>
      </c>
    </row>
    <row r="1494" customFormat="false" ht="12.75" hidden="false" customHeight="false" outlineLevel="0" collapsed="false">
      <c r="A1494" s="15" t="s">
        <v>4736</v>
      </c>
      <c r="B1494" s="15" t="s">
        <v>2304</v>
      </c>
      <c r="C1494" s="15" t="s">
        <v>516</v>
      </c>
      <c r="D1494" s="15" t="s">
        <v>2311</v>
      </c>
      <c r="E1494" s="15" t="s">
        <v>55</v>
      </c>
      <c r="G1494" s="10" t="n">
        <v>1</v>
      </c>
      <c r="H1494" s="21" t="n">
        <v>46085.759224537</v>
      </c>
      <c r="I1494" s="15" t="s">
        <v>1566</v>
      </c>
      <c r="J1494" s="15" t="s">
        <v>4737</v>
      </c>
      <c r="K1494" s="15" t="s">
        <v>4738</v>
      </c>
      <c r="L1494" s="10" t="n">
        <f aca="false">COUNTIF($E$2:E1494,E1494)</f>
        <v>177</v>
      </c>
      <c r="M1494" s="10" t="e">
        <f aca="false">ifs(L1494=1, L1494&amp;"-"&amp; COUNTIFS($L$2:L1494,1))</f>
        <v>#NAME?</v>
      </c>
      <c r="N1494" s="15"/>
      <c r="O1494" s="10" t="s">
        <v>3730</v>
      </c>
      <c r="P1494" s="22" t="n">
        <f aca="false">COUNTIFS(C:C,C1494,N:N,"Đã xác nhận")/COUNTIFS(C:C,C1494)</f>
        <v>0</v>
      </c>
      <c r="Q1494" s="22"/>
      <c r="R1494" s="0" t="s">
        <v>2313</v>
      </c>
      <c r="S1494" s="0" t="s">
        <v>539</v>
      </c>
      <c r="U1494" s="24" t="n">
        <v>1</v>
      </c>
    </row>
    <row r="1495" customFormat="false" ht="12.75" hidden="false" customHeight="false" outlineLevel="0" collapsed="false">
      <c r="A1495" s="15" t="s">
        <v>4739</v>
      </c>
      <c r="B1495" s="15" t="s">
        <v>2304</v>
      </c>
      <c r="C1495" s="15" t="s">
        <v>516</v>
      </c>
      <c r="D1495" s="15" t="s">
        <v>2325</v>
      </c>
      <c r="E1495" s="15" t="s">
        <v>47</v>
      </c>
      <c r="G1495" s="10" t="n">
        <v>1</v>
      </c>
      <c r="H1495" s="21" t="n">
        <v>46085.7600462963</v>
      </c>
      <c r="I1495" s="15" t="s">
        <v>1566</v>
      </c>
      <c r="J1495" s="15" t="s">
        <v>4740</v>
      </c>
      <c r="K1495" s="15" t="s">
        <v>4741</v>
      </c>
      <c r="L1495" s="10" t="n">
        <f aca="false">COUNTIF($E$2:E1495,E1495)</f>
        <v>83</v>
      </c>
      <c r="M1495" s="10" t="e">
        <f aca="false">ifs(L1495=1, L1495&amp;"-"&amp; COUNTIFS($L$2:L1495,1))</f>
        <v>#NAME?</v>
      </c>
      <c r="N1495" s="15"/>
      <c r="O1495" s="10" t="s">
        <v>3730</v>
      </c>
      <c r="P1495" s="22" t="n">
        <f aca="false">COUNTIFS(C:C,C1495,N:N,"Đã xác nhận")/COUNTIFS(C:C,C1495)</f>
        <v>0</v>
      </c>
      <c r="Q1495" s="22"/>
      <c r="R1495" s="0" t="s">
        <v>2327</v>
      </c>
      <c r="S1495" s="0" t="s">
        <v>549</v>
      </c>
      <c r="U1495" s="24" t="n">
        <v>1</v>
      </c>
    </row>
    <row r="1496" customFormat="false" ht="12.75" hidden="false" customHeight="false" outlineLevel="0" collapsed="false">
      <c r="A1496" s="15" t="s">
        <v>4742</v>
      </c>
      <c r="B1496" s="15" t="s">
        <v>2304</v>
      </c>
      <c r="C1496" s="15" t="s">
        <v>516</v>
      </c>
      <c r="D1496" s="15" t="s">
        <v>2208</v>
      </c>
      <c r="E1496" s="15" t="s">
        <v>55</v>
      </c>
      <c r="G1496" s="10" t="n">
        <v>1</v>
      </c>
      <c r="H1496" s="21" t="n">
        <v>46085.7604050926</v>
      </c>
      <c r="I1496" s="15" t="s">
        <v>1566</v>
      </c>
      <c r="J1496" s="15" t="s">
        <v>4743</v>
      </c>
      <c r="K1496" s="15" t="s">
        <v>4744</v>
      </c>
      <c r="L1496" s="10" t="n">
        <f aca="false">COUNTIF($E$2:E1496,E1496)</f>
        <v>178</v>
      </c>
      <c r="M1496" s="10" t="e">
        <f aca="false">ifs(L1496=1, L1496&amp;"-"&amp; COUNTIFS($L$2:L1496,1))</f>
        <v>#NAME?</v>
      </c>
      <c r="N1496" s="15"/>
      <c r="O1496" s="10" t="s">
        <v>3730</v>
      </c>
      <c r="P1496" s="22" t="n">
        <f aca="false">COUNTIFS(C:C,C1496,N:N,"Đã xác nhận")/COUNTIFS(C:C,C1496)</f>
        <v>0</v>
      </c>
      <c r="Q1496" s="22"/>
      <c r="R1496" s="0" t="s">
        <v>2211</v>
      </c>
      <c r="S1496" s="0" t="s">
        <v>539</v>
      </c>
      <c r="U1496" s="24" t="n">
        <v>1</v>
      </c>
    </row>
    <row r="1497" customFormat="false" ht="12.75" hidden="false" customHeight="false" outlineLevel="0" collapsed="false">
      <c r="A1497" s="15" t="s">
        <v>4745</v>
      </c>
      <c r="B1497" s="15" t="s">
        <v>2304</v>
      </c>
      <c r="C1497" s="15" t="s">
        <v>516</v>
      </c>
      <c r="D1497" s="15" t="s">
        <v>2315</v>
      </c>
      <c r="E1497" s="15" t="s">
        <v>51</v>
      </c>
      <c r="G1497" s="10" t="n">
        <v>1</v>
      </c>
      <c r="H1497" s="21" t="n">
        <v>46085.760625</v>
      </c>
      <c r="I1497" s="15" t="s">
        <v>1566</v>
      </c>
      <c r="J1497" s="15" t="s">
        <v>4746</v>
      </c>
      <c r="K1497" s="15" t="s">
        <v>4747</v>
      </c>
      <c r="L1497" s="10" t="n">
        <f aca="false">COUNTIF($E$2:E1497,E1497)</f>
        <v>17</v>
      </c>
      <c r="M1497" s="10" t="e">
        <f aca="false">ifs(L1497=1, L1497&amp;"-"&amp; COUNTIFS($L$2:L1497,1))</f>
        <v>#NAME?</v>
      </c>
      <c r="N1497" s="15"/>
      <c r="O1497" s="10" t="s">
        <v>3730</v>
      </c>
      <c r="P1497" s="22" t="n">
        <f aca="false">COUNTIFS(C:C,C1497,N:N,"Đã xác nhận")/COUNTIFS(C:C,C1497)</f>
        <v>0</v>
      </c>
      <c r="Q1497" s="22"/>
      <c r="R1497" s="0" t="s">
        <v>2317</v>
      </c>
      <c r="S1497" s="0" t="s">
        <v>573</v>
      </c>
      <c r="U1497" s="24" t="n">
        <v>1</v>
      </c>
    </row>
    <row r="1498" customFormat="false" ht="12.75" hidden="false" customHeight="false" outlineLevel="0" collapsed="false">
      <c r="A1498" s="15" t="s">
        <v>4748</v>
      </c>
      <c r="B1498" s="15" t="s">
        <v>2304</v>
      </c>
      <c r="C1498" s="15" t="s">
        <v>516</v>
      </c>
      <c r="D1498" s="15" t="s">
        <v>4749</v>
      </c>
      <c r="E1498" s="15" t="s">
        <v>55</v>
      </c>
      <c r="G1498" s="10" t="n">
        <v>1</v>
      </c>
      <c r="H1498" s="21" t="n">
        <v>46085.7609490741</v>
      </c>
      <c r="I1498" s="15" t="s">
        <v>1566</v>
      </c>
      <c r="J1498" s="15" t="s">
        <v>4750</v>
      </c>
      <c r="K1498" s="15" t="s">
        <v>4751</v>
      </c>
      <c r="L1498" s="10" t="n">
        <f aca="false">COUNTIF($E$2:E1498,E1498)</f>
        <v>179</v>
      </c>
      <c r="M1498" s="10" t="e">
        <f aca="false">ifs(L1498=1, L1498&amp;"-"&amp; COUNTIFS($L$2:L1498,1))</f>
        <v>#NAME?</v>
      </c>
      <c r="N1498" s="15"/>
      <c r="O1498" s="10" t="s">
        <v>3730</v>
      </c>
      <c r="P1498" s="22" t="n">
        <f aca="false">COUNTIFS(C:C,C1498,N:N,"Đã xác nhận")/COUNTIFS(C:C,C1498)</f>
        <v>0</v>
      </c>
      <c r="Q1498" s="22"/>
      <c r="R1498" s="0" t="s">
        <v>4752</v>
      </c>
      <c r="S1498" s="0" t="s">
        <v>539</v>
      </c>
      <c r="U1498" s="24" t="n">
        <v>1</v>
      </c>
    </row>
    <row r="1499" customFormat="false" ht="12.75" hidden="false" customHeight="false" outlineLevel="0" collapsed="false">
      <c r="A1499" s="15" t="s">
        <v>4753</v>
      </c>
      <c r="B1499" s="15" t="s">
        <v>2304</v>
      </c>
      <c r="C1499" s="15" t="s">
        <v>516</v>
      </c>
      <c r="D1499" s="15" t="s">
        <v>2321</v>
      </c>
      <c r="E1499" s="15" t="s">
        <v>37</v>
      </c>
      <c r="G1499" s="10" t="n">
        <v>1</v>
      </c>
      <c r="H1499" s="21" t="n">
        <v>46085.7612384259</v>
      </c>
      <c r="I1499" s="15" t="s">
        <v>1566</v>
      </c>
      <c r="J1499" s="15" t="s">
        <v>4754</v>
      </c>
      <c r="K1499" s="15" t="s">
        <v>4755</v>
      </c>
      <c r="L1499" s="10" t="n">
        <f aca="false">COUNTIF($E$2:E1499,E1499)</f>
        <v>33</v>
      </c>
      <c r="M1499" s="10" t="e">
        <f aca="false">ifs(L1499=1, L1499&amp;"-"&amp; COUNTIFS($L$2:L1499,1))</f>
        <v>#NAME?</v>
      </c>
      <c r="N1499" s="15"/>
      <c r="O1499" s="10" t="s">
        <v>3730</v>
      </c>
      <c r="P1499" s="22" t="n">
        <f aca="false">COUNTIFS(C:C,C1499,N:N,"Đã xác nhận")/COUNTIFS(C:C,C1499)</f>
        <v>0</v>
      </c>
      <c r="Q1499" s="22"/>
      <c r="R1499" s="0" t="s">
        <v>2323</v>
      </c>
      <c r="S1499" s="0" t="s">
        <v>561</v>
      </c>
      <c r="U1499" s="24" t="n">
        <v>1</v>
      </c>
    </row>
    <row r="1500" customFormat="false" ht="12.75" hidden="false" customHeight="false" outlineLevel="0" collapsed="false">
      <c r="A1500" s="15" t="s">
        <v>4756</v>
      </c>
      <c r="B1500" s="15" t="s">
        <v>2304</v>
      </c>
      <c r="C1500" s="15" t="s">
        <v>516</v>
      </c>
      <c r="D1500" s="15" t="s">
        <v>2329</v>
      </c>
      <c r="E1500" s="15" t="s">
        <v>47</v>
      </c>
      <c r="G1500" s="10" t="n">
        <v>1</v>
      </c>
      <c r="H1500" s="21" t="n">
        <v>46085.7615625</v>
      </c>
      <c r="I1500" s="15" t="s">
        <v>1566</v>
      </c>
      <c r="J1500" s="15" t="s">
        <v>4757</v>
      </c>
      <c r="K1500" s="15" t="s">
        <v>4758</v>
      </c>
      <c r="L1500" s="10" t="n">
        <f aca="false">COUNTIF($E$2:E1500,E1500)</f>
        <v>84</v>
      </c>
      <c r="M1500" s="10" t="e">
        <f aca="false">ifs(L1500=1, L1500&amp;"-"&amp; COUNTIFS($L$2:L1500,1))</f>
        <v>#NAME?</v>
      </c>
      <c r="N1500" s="15"/>
      <c r="O1500" s="10" t="s">
        <v>3730</v>
      </c>
      <c r="P1500" s="22" t="n">
        <f aca="false">COUNTIFS(C:C,C1500,N:N,"Đã xác nhận")/COUNTIFS(C:C,C1500)</f>
        <v>0</v>
      </c>
      <c r="Q1500" s="22"/>
      <c r="R1500" s="0" t="s">
        <v>2331</v>
      </c>
      <c r="S1500" s="0" t="s">
        <v>549</v>
      </c>
      <c r="U1500" s="24" t="n">
        <v>1</v>
      </c>
    </row>
    <row r="1501" customFormat="false" ht="12.75" hidden="false" customHeight="false" outlineLevel="0" collapsed="false">
      <c r="A1501" s="15" t="s">
        <v>4759</v>
      </c>
      <c r="B1501" s="15" t="s">
        <v>2304</v>
      </c>
      <c r="C1501" s="15" t="s">
        <v>516</v>
      </c>
      <c r="D1501" s="15" t="s">
        <v>2338</v>
      </c>
      <c r="E1501" s="15" t="s">
        <v>547</v>
      </c>
      <c r="G1501" s="10" t="n">
        <v>1</v>
      </c>
      <c r="H1501" s="21" t="n">
        <v>46085.7618287037</v>
      </c>
      <c r="I1501" s="15" t="s">
        <v>1566</v>
      </c>
      <c r="J1501" s="15" t="s">
        <v>4760</v>
      </c>
      <c r="K1501" s="15" t="s">
        <v>4761</v>
      </c>
      <c r="L1501" s="10" t="n">
        <f aca="false">COUNTIF($E$2:E1501,E1501)</f>
        <v>51</v>
      </c>
      <c r="M1501" s="10" t="e">
        <f aca="false">ifs(L1501=1, L1501&amp;"-"&amp; COUNTIFS($L$2:L1501,1))</f>
        <v>#NAME?</v>
      </c>
      <c r="N1501" s="15"/>
      <c r="O1501" s="10" t="s">
        <v>3730</v>
      </c>
      <c r="P1501" s="22" t="n">
        <f aca="false">COUNTIFS(C:C,C1501,N:N,"Đã xác nhận")/COUNTIFS(C:C,C1501)</f>
        <v>0</v>
      </c>
      <c r="Q1501" s="22"/>
      <c r="R1501" s="0" t="s">
        <v>2340</v>
      </c>
      <c r="S1501" s="0" t="s">
        <v>548</v>
      </c>
      <c r="U1501" s="24" t="n">
        <v>1</v>
      </c>
    </row>
    <row r="1502" customFormat="false" ht="12.75" hidden="false" customHeight="false" outlineLevel="0" collapsed="false">
      <c r="A1502" s="15" t="s">
        <v>4762</v>
      </c>
      <c r="B1502" s="15" t="s">
        <v>2304</v>
      </c>
      <c r="C1502" s="15" t="s">
        <v>516</v>
      </c>
      <c r="D1502" s="15" t="s">
        <v>4763</v>
      </c>
      <c r="E1502" s="15" t="s">
        <v>81</v>
      </c>
      <c r="G1502" s="10" t="n">
        <v>1</v>
      </c>
      <c r="H1502" s="21" t="n">
        <v>46085.7620717593</v>
      </c>
      <c r="I1502" s="15" t="s">
        <v>1566</v>
      </c>
      <c r="J1502" s="15" t="s">
        <v>4764</v>
      </c>
      <c r="K1502" s="15" t="s">
        <v>4765</v>
      </c>
      <c r="L1502" s="10" t="n">
        <f aca="false">COUNTIF($E$2:E1502,E1502)</f>
        <v>237</v>
      </c>
      <c r="M1502" s="10" t="e">
        <f aca="false">ifs(L1502=1, L1502&amp;"-"&amp; COUNTIFS($L$2:L1502,1))</f>
        <v>#NAME?</v>
      </c>
      <c r="N1502" s="15"/>
      <c r="O1502" s="10" t="s">
        <v>3730</v>
      </c>
      <c r="P1502" s="22" t="n">
        <f aca="false">COUNTIFS(C:C,C1502,N:N,"Đã xác nhận")/COUNTIFS(C:C,C1502)</f>
        <v>0</v>
      </c>
      <c r="Q1502" s="22"/>
      <c r="R1502" s="0" t="s">
        <v>2340</v>
      </c>
      <c r="S1502" s="0" t="s">
        <v>534</v>
      </c>
      <c r="U1502" s="24" t="n">
        <v>1</v>
      </c>
    </row>
  </sheetData>
  <autoFilter ref="A1:U1502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0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I8" activeCellId="0" sqref="I8"/>
    </sheetView>
  </sheetViews>
  <sheetFormatPr defaultColWidth="12.5703125" defaultRowHeight="15.75" zeroHeight="false" outlineLevelRow="0" outlineLevelCol="0"/>
  <cols>
    <col collapsed="false" customWidth="true" hidden="false" outlineLevel="0" max="2" min="1" style="0" width="13.71"/>
    <col collapsed="false" customWidth="true" hidden="false" outlineLevel="0" max="3" min="3" style="0" width="27.15"/>
    <col collapsed="false" customWidth="true" hidden="true" outlineLevel="0" max="4" min="4" style="0" width="20.85"/>
    <col collapsed="false" customWidth="true" hidden="true" outlineLevel="0" max="5" min="5" style="0" width="27.29"/>
    <col collapsed="false" customWidth="true" hidden="false" outlineLevel="0" max="6" min="6" style="0" width="28.14"/>
    <col collapsed="false" customWidth="true" hidden="true" outlineLevel="0" max="7" min="7" style="0" width="57.14"/>
    <col collapsed="false" customWidth="true" hidden="false" outlineLevel="0" max="8" min="8" style="0" width="17.86"/>
  </cols>
  <sheetData>
    <row r="1" s="17" customFormat="true" ht="15.75" hidden="false" customHeight="false" outlineLevel="0" collapsed="false">
      <c r="A1" s="16" t="s">
        <v>531</v>
      </c>
      <c r="B1" s="16" t="s">
        <v>4766</v>
      </c>
      <c r="C1" s="16" t="s">
        <v>449</v>
      </c>
      <c r="D1" s="16" t="s">
        <v>4767</v>
      </c>
      <c r="E1" s="16" t="s">
        <v>4768</v>
      </c>
      <c r="F1" s="16" t="s">
        <v>4769</v>
      </c>
      <c r="G1" s="16" t="s">
        <v>4770</v>
      </c>
    </row>
    <row r="2" customFormat="false" ht="15.75" hidden="false" customHeight="false" outlineLevel="0" collapsed="false">
      <c r="A2" s="20" t="n">
        <v>46061</v>
      </c>
      <c r="B2" s="15" t="s">
        <v>4771</v>
      </c>
      <c r="C2" s="15" t="s">
        <v>501</v>
      </c>
      <c r="D2" s="15" t="s">
        <v>4772</v>
      </c>
      <c r="E2" s="15" t="s">
        <v>4773</v>
      </c>
      <c r="F2" s="15" t="s">
        <v>501</v>
      </c>
      <c r="G2" s="15" t="s">
        <v>4774</v>
      </c>
    </row>
    <row r="3" customFormat="false" ht="15.75" hidden="false" customHeight="false" outlineLevel="0" collapsed="false">
      <c r="A3" s="20" t="n">
        <v>46071</v>
      </c>
      <c r="B3" s="15" t="s">
        <v>4775</v>
      </c>
      <c r="C3" s="15" t="s">
        <v>501</v>
      </c>
      <c r="D3" s="15" t="s">
        <v>4772</v>
      </c>
      <c r="E3" s="15" t="s">
        <v>4776</v>
      </c>
      <c r="F3" s="15" t="s">
        <v>501</v>
      </c>
      <c r="G3" s="15" t="s">
        <v>4774</v>
      </c>
    </row>
    <row r="4" customFormat="false" ht="15.75" hidden="false" customHeight="false" outlineLevel="0" collapsed="false">
      <c r="A4" s="20" t="n">
        <v>46076</v>
      </c>
      <c r="B4" s="15" t="s">
        <v>4771</v>
      </c>
      <c r="C4" s="15" t="s">
        <v>508</v>
      </c>
      <c r="D4" s="15" t="s">
        <v>4772</v>
      </c>
      <c r="E4" s="15" t="s">
        <v>4777</v>
      </c>
      <c r="F4" s="15" t="s">
        <v>4778</v>
      </c>
      <c r="G4" s="15" t="s">
        <v>4779</v>
      </c>
    </row>
    <row r="5" customFormat="false" ht="15.75" hidden="false" customHeight="false" outlineLevel="0" collapsed="false">
      <c r="A5" s="20" t="n">
        <v>46076</v>
      </c>
      <c r="B5" s="15" t="s">
        <v>4775</v>
      </c>
      <c r="C5" s="15" t="s">
        <v>467</v>
      </c>
      <c r="D5" s="15" t="s">
        <v>4772</v>
      </c>
      <c r="E5" s="15" t="s">
        <v>4780</v>
      </c>
      <c r="F5" s="15" t="s">
        <v>4781</v>
      </c>
      <c r="G5" s="15" t="s">
        <v>4779</v>
      </c>
    </row>
    <row r="6" customFormat="false" ht="15.75" hidden="false" customHeight="false" outlineLevel="0" collapsed="false">
      <c r="A6" s="20" t="n">
        <v>46076</v>
      </c>
      <c r="B6" s="15" t="s">
        <v>4782</v>
      </c>
      <c r="C6" s="15" t="s">
        <v>453</v>
      </c>
      <c r="D6" s="15" t="s">
        <v>4772</v>
      </c>
      <c r="E6" s="15" t="s">
        <v>4783</v>
      </c>
      <c r="F6" s="15" t="s">
        <v>453</v>
      </c>
      <c r="G6" s="15" t="s">
        <v>4784</v>
      </c>
    </row>
    <row r="7" customFormat="false" ht="15.75" hidden="false" customHeight="false" outlineLevel="0" collapsed="false">
      <c r="A7" s="20" t="n">
        <v>46076</v>
      </c>
      <c r="B7" s="15" t="s">
        <v>4785</v>
      </c>
      <c r="C7" s="15" t="s">
        <v>455</v>
      </c>
      <c r="D7" s="15" t="s">
        <v>4772</v>
      </c>
      <c r="E7" s="15" t="s">
        <v>4786</v>
      </c>
      <c r="F7" s="15" t="s">
        <v>455</v>
      </c>
      <c r="G7" s="15" t="s">
        <v>4784</v>
      </c>
    </row>
    <row r="8" customFormat="false" ht="15.75" hidden="false" customHeight="false" outlineLevel="0" collapsed="false">
      <c r="A8" s="20" t="n">
        <v>46076</v>
      </c>
      <c r="B8" s="15" t="s">
        <v>4787</v>
      </c>
      <c r="C8" s="15" t="s">
        <v>504</v>
      </c>
      <c r="D8" s="15" t="s">
        <v>4772</v>
      </c>
      <c r="E8" s="15" t="s">
        <v>4788</v>
      </c>
      <c r="F8" s="15" t="s">
        <v>4789</v>
      </c>
      <c r="G8" s="15" t="s">
        <v>4779</v>
      </c>
    </row>
    <row r="9" customFormat="false" ht="15.75" hidden="false" customHeight="false" outlineLevel="0" collapsed="false">
      <c r="A9" s="20" t="n">
        <v>46076</v>
      </c>
      <c r="B9" s="15" t="s">
        <v>4790</v>
      </c>
      <c r="C9" s="15" t="s">
        <v>524</v>
      </c>
      <c r="D9" s="15" t="s">
        <v>4772</v>
      </c>
      <c r="E9" s="15" t="s">
        <v>4791</v>
      </c>
      <c r="F9" s="15" t="s">
        <v>4792</v>
      </c>
      <c r="G9" s="15" t="s">
        <v>4779</v>
      </c>
    </row>
    <row r="10" customFormat="false" ht="15.75" hidden="false" customHeight="false" outlineLevel="0" collapsed="false">
      <c r="A10" s="20" t="n">
        <v>46076</v>
      </c>
      <c r="B10" s="15" t="s">
        <v>4793</v>
      </c>
      <c r="C10" s="15" t="s">
        <v>525</v>
      </c>
      <c r="D10" s="15" t="s">
        <v>4772</v>
      </c>
      <c r="E10" s="15" t="s">
        <v>4794</v>
      </c>
      <c r="F10" s="15" t="s">
        <v>4283</v>
      </c>
      <c r="G10" s="15" t="s">
        <v>4779</v>
      </c>
    </row>
    <row r="11" customFormat="false" ht="15.75" hidden="false" customHeight="false" outlineLevel="0" collapsed="false">
      <c r="A11" s="20" t="n">
        <v>46076</v>
      </c>
      <c r="B11" s="15" t="s">
        <v>4795</v>
      </c>
      <c r="C11" s="15" t="s">
        <v>512</v>
      </c>
      <c r="D11" s="15" t="s">
        <v>4772</v>
      </c>
      <c r="E11" s="15" t="s">
        <v>4796</v>
      </c>
      <c r="F11" s="15" t="s">
        <v>4797</v>
      </c>
      <c r="G11" s="15" t="s">
        <v>4779</v>
      </c>
    </row>
    <row r="12" customFormat="false" ht="15.75" hidden="false" customHeight="false" outlineLevel="0" collapsed="false">
      <c r="A12" s="20" t="n">
        <v>46076</v>
      </c>
      <c r="B12" s="15" t="s">
        <v>4798</v>
      </c>
      <c r="C12" s="15" t="s">
        <v>483</v>
      </c>
      <c r="D12" s="15" t="s">
        <v>4772</v>
      </c>
      <c r="E12" s="15" t="s">
        <v>4799</v>
      </c>
      <c r="F12" s="15" t="s">
        <v>4800</v>
      </c>
      <c r="G12" s="15" t="s">
        <v>4801</v>
      </c>
    </row>
    <row r="13" customFormat="false" ht="15.75" hidden="false" customHeight="false" outlineLevel="0" collapsed="false">
      <c r="A13" s="20" t="n">
        <v>46076</v>
      </c>
      <c r="B13" s="15" t="s">
        <v>4802</v>
      </c>
      <c r="C13" s="15" t="s">
        <v>491</v>
      </c>
      <c r="D13" s="15" t="s">
        <v>4772</v>
      </c>
      <c r="E13" s="15" t="s">
        <v>4803</v>
      </c>
      <c r="F13" s="15" t="s">
        <v>4804</v>
      </c>
      <c r="G13" s="15" t="s">
        <v>4779</v>
      </c>
    </row>
    <row r="14" customFormat="false" ht="15.75" hidden="false" customHeight="false" outlineLevel="0" collapsed="false">
      <c r="A14" s="20" t="n">
        <v>46076</v>
      </c>
      <c r="B14" s="15" t="s">
        <v>4805</v>
      </c>
      <c r="C14" s="15" t="s">
        <v>489</v>
      </c>
      <c r="D14" s="15" t="s">
        <v>4772</v>
      </c>
      <c r="E14" s="15" t="s">
        <v>4806</v>
      </c>
      <c r="F14" s="15" t="s">
        <v>489</v>
      </c>
      <c r="G14" s="15" t="s">
        <v>4784</v>
      </c>
    </row>
    <row r="15" customFormat="false" ht="15.75" hidden="false" customHeight="false" outlineLevel="0" collapsed="false">
      <c r="A15" s="20" t="n">
        <v>46076</v>
      </c>
      <c r="B15" s="15" t="s">
        <v>4807</v>
      </c>
      <c r="C15" s="15" t="s">
        <v>451</v>
      </c>
      <c r="D15" s="15" t="s">
        <v>4772</v>
      </c>
      <c r="E15" s="15" t="s">
        <v>4808</v>
      </c>
      <c r="F15" s="15" t="s">
        <v>4809</v>
      </c>
      <c r="G15" s="15" t="s">
        <v>4779</v>
      </c>
    </row>
    <row r="16" customFormat="false" ht="15.75" hidden="false" customHeight="false" outlineLevel="0" collapsed="false">
      <c r="A16" s="20" t="n">
        <v>46077</v>
      </c>
      <c r="B16" s="15" t="s">
        <v>4771</v>
      </c>
      <c r="C16" s="15" t="s">
        <v>508</v>
      </c>
      <c r="D16" s="15" t="s">
        <v>4772</v>
      </c>
      <c r="E16" s="15" t="s">
        <v>4810</v>
      </c>
      <c r="F16" s="15" t="s">
        <v>4778</v>
      </c>
      <c r="G16" s="15" t="s">
        <v>4779</v>
      </c>
    </row>
    <row r="17" customFormat="false" ht="15.75" hidden="false" customHeight="false" outlineLevel="0" collapsed="false">
      <c r="A17" s="20" t="n">
        <v>46077</v>
      </c>
      <c r="B17" s="15" t="s">
        <v>4775</v>
      </c>
      <c r="C17" s="15" t="s">
        <v>467</v>
      </c>
      <c r="D17" s="15" t="s">
        <v>4772</v>
      </c>
      <c r="E17" s="15" t="s">
        <v>4811</v>
      </c>
      <c r="F17" s="15" t="s">
        <v>4781</v>
      </c>
      <c r="G17" s="15" t="s">
        <v>4779</v>
      </c>
    </row>
    <row r="18" customFormat="false" ht="15.75" hidden="false" customHeight="false" outlineLevel="0" collapsed="false">
      <c r="A18" s="20" t="n">
        <v>46077</v>
      </c>
      <c r="B18" s="15" t="s">
        <v>4782</v>
      </c>
      <c r="C18" s="15" t="s">
        <v>453</v>
      </c>
      <c r="D18" s="15" t="s">
        <v>4772</v>
      </c>
      <c r="E18" s="15" t="s">
        <v>4812</v>
      </c>
      <c r="F18" s="15" t="s">
        <v>453</v>
      </c>
      <c r="G18" s="15" t="s">
        <v>4784</v>
      </c>
    </row>
    <row r="19" customFormat="false" ht="15.75" hidden="false" customHeight="false" outlineLevel="0" collapsed="false">
      <c r="A19" s="20" t="n">
        <v>46077</v>
      </c>
      <c r="B19" s="15" t="s">
        <v>4785</v>
      </c>
      <c r="C19" s="15" t="s">
        <v>455</v>
      </c>
      <c r="D19" s="15" t="s">
        <v>4772</v>
      </c>
      <c r="E19" s="15" t="s">
        <v>4813</v>
      </c>
      <c r="F19" s="15" t="s">
        <v>455</v>
      </c>
      <c r="G19" s="15" t="s">
        <v>4784</v>
      </c>
    </row>
    <row r="20" customFormat="false" ht="15.75" hidden="false" customHeight="false" outlineLevel="0" collapsed="false">
      <c r="A20" s="20" t="n">
        <v>46077</v>
      </c>
      <c r="B20" s="15" t="s">
        <v>4787</v>
      </c>
      <c r="C20" s="15" t="s">
        <v>504</v>
      </c>
      <c r="D20" s="15" t="s">
        <v>4772</v>
      </c>
      <c r="E20" s="15" t="s">
        <v>4814</v>
      </c>
      <c r="F20" s="15" t="s">
        <v>4789</v>
      </c>
      <c r="G20" s="15" t="s">
        <v>4779</v>
      </c>
    </row>
    <row r="21" customFormat="false" ht="15.75" hidden="false" customHeight="false" outlineLevel="0" collapsed="false">
      <c r="A21" s="20" t="n">
        <v>46077</v>
      </c>
      <c r="B21" s="15" t="s">
        <v>4790</v>
      </c>
      <c r="C21" s="15" t="s">
        <v>524</v>
      </c>
      <c r="D21" s="15" t="s">
        <v>4772</v>
      </c>
      <c r="E21" s="15" t="s">
        <v>4815</v>
      </c>
      <c r="F21" s="15" t="s">
        <v>4792</v>
      </c>
      <c r="G21" s="15" t="s">
        <v>4779</v>
      </c>
    </row>
    <row r="22" customFormat="false" ht="15.75" hidden="false" customHeight="false" outlineLevel="0" collapsed="false">
      <c r="A22" s="20" t="n">
        <v>46077</v>
      </c>
      <c r="B22" s="15" t="s">
        <v>4793</v>
      </c>
      <c r="C22" s="15" t="s">
        <v>525</v>
      </c>
      <c r="D22" s="15" t="s">
        <v>4772</v>
      </c>
      <c r="E22" s="15" t="s">
        <v>4816</v>
      </c>
      <c r="F22" s="15" t="s">
        <v>4283</v>
      </c>
      <c r="G22" s="15" t="s">
        <v>4779</v>
      </c>
    </row>
    <row r="23" customFormat="false" ht="15.75" hidden="false" customHeight="false" outlineLevel="0" collapsed="false">
      <c r="A23" s="20" t="n">
        <v>46077</v>
      </c>
      <c r="B23" s="15" t="s">
        <v>4795</v>
      </c>
      <c r="C23" s="15" t="s">
        <v>511</v>
      </c>
      <c r="D23" s="15" t="s">
        <v>4772</v>
      </c>
      <c r="E23" s="15" t="s">
        <v>4817</v>
      </c>
      <c r="F23" s="15" t="s">
        <v>511</v>
      </c>
      <c r="G23" s="15" t="s">
        <v>4801</v>
      </c>
    </row>
    <row r="24" customFormat="false" ht="15.75" hidden="false" customHeight="false" outlineLevel="0" collapsed="false">
      <c r="A24" s="20" t="n">
        <v>46077</v>
      </c>
      <c r="B24" s="15" t="s">
        <v>4802</v>
      </c>
      <c r="C24" s="15" t="s">
        <v>491</v>
      </c>
      <c r="D24" s="15" t="s">
        <v>4772</v>
      </c>
      <c r="E24" s="15" t="s">
        <v>4818</v>
      </c>
      <c r="F24" s="15" t="s">
        <v>4804</v>
      </c>
      <c r="G24" s="15" t="s">
        <v>4779</v>
      </c>
    </row>
    <row r="25" customFormat="false" ht="15.75" hidden="false" customHeight="false" outlineLevel="0" collapsed="false">
      <c r="A25" s="20" t="n">
        <v>46077</v>
      </c>
      <c r="B25" s="15" t="s">
        <v>4805</v>
      </c>
      <c r="C25" s="15" t="s">
        <v>500</v>
      </c>
      <c r="D25" s="15" t="s">
        <v>4772</v>
      </c>
      <c r="E25" s="15" t="s">
        <v>4819</v>
      </c>
      <c r="F25" s="15" t="s">
        <v>4820</v>
      </c>
      <c r="G25" s="15" t="s">
        <v>4801</v>
      </c>
    </row>
    <row r="26" customFormat="false" ht="15.75" hidden="false" customHeight="false" outlineLevel="0" collapsed="false">
      <c r="A26" s="20" t="n">
        <v>46077</v>
      </c>
      <c r="B26" s="15" t="s">
        <v>4807</v>
      </c>
      <c r="C26" s="15" t="s">
        <v>19</v>
      </c>
      <c r="D26" s="15" t="s">
        <v>4772</v>
      </c>
      <c r="E26" s="15" t="s">
        <v>4821</v>
      </c>
      <c r="F26" s="15" t="s">
        <v>4822</v>
      </c>
      <c r="G26" s="15" t="s">
        <v>4779</v>
      </c>
    </row>
    <row r="27" customFormat="false" ht="15.75" hidden="false" customHeight="false" outlineLevel="0" collapsed="false">
      <c r="A27" s="20" t="n">
        <v>46078</v>
      </c>
      <c r="B27" s="15" t="s">
        <v>4771</v>
      </c>
      <c r="C27" s="15" t="s">
        <v>508</v>
      </c>
      <c r="D27" s="15" t="s">
        <v>4772</v>
      </c>
      <c r="E27" s="15" t="s">
        <v>4823</v>
      </c>
      <c r="F27" s="15" t="s">
        <v>4778</v>
      </c>
      <c r="G27" s="15" t="s">
        <v>4779</v>
      </c>
    </row>
    <row r="28" customFormat="false" ht="15.75" hidden="false" customHeight="false" outlineLevel="0" collapsed="false">
      <c r="A28" s="20" t="n">
        <v>46078</v>
      </c>
      <c r="B28" s="15" t="s">
        <v>4775</v>
      </c>
      <c r="C28" s="15" t="s">
        <v>467</v>
      </c>
      <c r="D28" s="15" t="s">
        <v>4772</v>
      </c>
      <c r="E28" s="15" t="s">
        <v>4824</v>
      </c>
      <c r="F28" s="15" t="s">
        <v>4781</v>
      </c>
      <c r="G28" s="15" t="s">
        <v>4779</v>
      </c>
    </row>
    <row r="29" customFormat="false" ht="15.75" hidden="false" customHeight="false" outlineLevel="0" collapsed="false">
      <c r="A29" s="20" t="n">
        <v>46078</v>
      </c>
      <c r="B29" s="15" t="s">
        <v>4785</v>
      </c>
      <c r="C29" s="15" t="s">
        <v>455</v>
      </c>
      <c r="D29" s="15" t="s">
        <v>4772</v>
      </c>
      <c r="E29" s="15" t="s">
        <v>4825</v>
      </c>
      <c r="F29" s="15" t="s">
        <v>455</v>
      </c>
      <c r="G29" s="15" t="s">
        <v>4784</v>
      </c>
    </row>
    <row r="30" customFormat="false" ht="15.75" hidden="false" customHeight="false" outlineLevel="0" collapsed="false">
      <c r="A30" s="20" t="n">
        <v>46078</v>
      </c>
      <c r="B30" s="15" t="s">
        <v>4787</v>
      </c>
      <c r="C30" s="15" t="s">
        <v>504</v>
      </c>
      <c r="D30" s="15" t="s">
        <v>4772</v>
      </c>
      <c r="E30" s="15" t="s">
        <v>4826</v>
      </c>
      <c r="F30" s="15" t="s">
        <v>4789</v>
      </c>
      <c r="G30" s="15" t="s">
        <v>4779</v>
      </c>
    </row>
    <row r="31" customFormat="false" ht="15.75" hidden="false" customHeight="false" outlineLevel="0" collapsed="false">
      <c r="A31" s="20" t="n">
        <v>46078</v>
      </c>
      <c r="B31" s="15" t="s">
        <v>4790</v>
      </c>
      <c r="C31" s="15" t="s">
        <v>524</v>
      </c>
      <c r="D31" s="15" t="s">
        <v>4772</v>
      </c>
      <c r="E31" s="15" t="s">
        <v>4827</v>
      </c>
      <c r="F31" s="15" t="s">
        <v>4792</v>
      </c>
      <c r="G31" s="15" t="s">
        <v>4779</v>
      </c>
    </row>
    <row r="32" customFormat="false" ht="15.75" hidden="false" customHeight="false" outlineLevel="0" collapsed="false">
      <c r="A32" s="20" t="n">
        <v>46078</v>
      </c>
      <c r="B32" s="15" t="s">
        <v>4793</v>
      </c>
      <c r="C32" s="15" t="s">
        <v>515</v>
      </c>
      <c r="D32" s="15" t="s">
        <v>4772</v>
      </c>
      <c r="E32" s="15" t="s">
        <v>4828</v>
      </c>
      <c r="F32" s="15" t="s">
        <v>515</v>
      </c>
      <c r="G32" s="15" t="s">
        <v>4784</v>
      </c>
    </row>
    <row r="33" customFormat="false" ht="15.75" hidden="false" customHeight="false" outlineLevel="0" collapsed="false">
      <c r="A33" s="20" t="n">
        <v>46078</v>
      </c>
      <c r="B33" s="15" t="s">
        <v>4795</v>
      </c>
      <c r="C33" s="15" t="s">
        <v>511</v>
      </c>
      <c r="D33" s="15" t="s">
        <v>4772</v>
      </c>
      <c r="E33" s="15" t="s">
        <v>4829</v>
      </c>
      <c r="F33" s="15" t="s">
        <v>511</v>
      </c>
      <c r="G33" s="15" t="s">
        <v>4801</v>
      </c>
    </row>
    <row r="34" customFormat="false" ht="15.75" hidden="false" customHeight="false" outlineLevel="0" collapsed="false">
      <c r="A34" s="20" t="n">
        <v>46078</v>
      </c>
      <c r="B34" s="15" t="s">
        <v>4798</v>
      </c>
      <c r="C34" s="15" t="s">
        <v>452</v>
      </c>
      <c r="D34" s="15" t="s">
        <v>4772</v>
      </c>
      <c r="E34" s="15" t="s">
        <v>4830</v>
      </c>
      <c r="F34" s="15" t="s">
        <v>452</v>
      </c>
      <c r="G34" s="15" t="s">
        <v>4784</v>
      </c>
    </row>
    <row r="35" customFormat="false" ht="15.75" hidden="false" customHeight="false" outlineLevel="0" collapsed="false">
      <c r="A35" s="20" t="n">
        <v>46078</v>
      </c>
      <c r="B35" s="15" t="s">
        <v>4802</v>
      </c>
      <c r="C35" s="15" t="s">
        <v>491</v>
      </c>
      <c r="D35" s="15" t="s">
        <v>4772</v>
      </c>
      <c r="E35" s="15" t="s">
        <v>4831</v>
      </c>
      <c r="F35" s="15" t="s">
        <v>4804</v>
      </c>
      <c r="G35" s="15" t="s">
        <v>4779</v>
      </c>
    </row>
    <row r="36" customFormat="false" ht="15.75" hidden="false" customHeight="false" outlineLevel="0" collapsed="false">
      <c r="A36" s="20" t="n">
        <v>46078</v>
      </c>
      <c r="B36" s="15" t="s">
        <v>4805</v>
      </c>
      <c r="C36" s="15" t="s">
        <v>500</v>
      </c>
      <c r="D36" s="15" t="s">
        <v>4772</v>
      </c>
      <c r="E36" s="15" t="s">
        <v>4832</v>
      </c>
      <c r="F36" s="15" t="s">
        <v>4820</v>
      </c>
      <c r="G36" s="15" t="s">
        <v>4801</v>
      </c>
    </row>
    <row r="37" customFormat="false" ht="15.75" hidden="false" customHeight="false" outlineLevel="0" collapsed="false">
      <c r="A37" s="20" t="n">
        <v>46078</v>
      </c>
      <c r="B37" s="15" t="s">
        <v>4807</v>
      </c>
      <c r="C37" s="15" t="s">
        <v>19</v>
      </c>
      <c r="D37" s="15" t="s">
        <v>4772</v>
      </c>
      <c r="E37" s="15" t="s">
        <v>4833</v>
      </c>
      <c r="F37" s="15" t="s">
        <v>4822</v>
      </c>
      <c r="G37" s="15" t="s">
        <v>4779</v>
      </c>
    </row>
    <row r="38" customFormat="false" ht="15.75" hidden="false" customHeight="false" outlineLevel="0" collapsed="false">
      <c r="A38" s="20" t="n">
        <v>46079</v>
      </c>
      <c r="B38" s="15" t="s">
        <v>4771</v>
      </c>
      <c r="C38" s="15" t="s">
        <v>508</v>
      </c>
      <c r="D38" s="15" t="s">
        <v>4772</v>
      </c>
      <c r="E38" s="15" t="s">
        <v>4834</v>
      </c>
      <c r="F38" s="15" t="s">
        <v>4778</v>
      </c>
      <c r="G38" s="15" t="s">
        <v>4779</v>
      </c>
    </row>
    <row r="39" customFormat="false" ht="15.75" hidden="false" customHeight="false" outlineLevel="0" collapsed="false">
      <c r="A39" s="20" t="n">
        <v>46079</v>
      </c>
      <c r="B39" s="15" t="s">
        <v>4775</v>
      </c>
      <c r="C39" s="15" t="s">
        <v>467</v>
      </c>
      <c r="D39" s="15" t="s">
        <v>4772</v>
      </c>
      <c r="E39" s="15" t="s">
        <v>4835</v>
      </c>
      <c r="F39" s="15" t="s">
        <v>4781</v>
      </c>
      <c r="G39" s="15" t="s">
        <v>4779</v>
      </c>
    </row>
    <row r="40" customFormat="false" ht="15.75" hidden="false" customHeight="false" outlineLevel="0" collapsed="false">
      <c r="A40" s="20" t="n">
        <v>46079</v>
      </c>
      <c r="B40" s="15" t="s">
        <v>4782</v>
      </c>
      <c r="C40" s="15" t="s">
        <v>453</v>
      </c>
      <c r="D40" s="15" t="s">
        <v>4772</v>
      </c>
      <c r="E40" s="15" t="s">
        <v>4836</v>
      </c>
      <c r="F40" s="15" t="s">
        <v>453</v>
      </c>
      <c r="G40" s="15" t="s">
        <v>4784</v>
      </c>
    </row>
    <row r="41" customFormat="false" ht="15.75" hidden="false" customHeight="false" outlineLevel="0" collapsed="false">
      <c r="A41" s="20" t="n">
        <v>46079</v>
      </c>
      <c r="B41" s="15" t="s">
        <v>4785</v>
      </c>
      <c r="C41" s="15" t="s">
        <v>455</v>
      </c>
      <c r="D41" s="15" t="s">
        <v>4772</v>
      </c>
      <c r="E41" s="15" t="s">
        <v>4837</v>
      </c>
      <c r="F41" s="15" t="s">
        <v>455</v>
      </c>
      <c r="G41" s="15" t="s">
        <v>4784</v>
      </c>
    </row>
    <row r="42" customFormat="false" ht="15.75" hidden="false" customHeight="false" outlineLevel="0" collapsed="false">
      <c r="A42" s="20" t="n">
        <v>46079</v>
      </c>
      <c r="B42" s="15" t="s">
        <v>4787</v>
      </c>
      <c r="C42" s="15" t="s">
        <v>504</v>
      </c>
      <c r="D42" s="15" t="s">
        <v>4772</v>
      </c>
      <c r="E42" s="15" t="s">
        <v>4838</v>
      </c>
      <c r="F42" s="15" t="s">
        <v>4789</v>
      </c>
      <c r="G42" s="15" t="s">
        <v>4779</v>
      </c>
    </row>
    <row r="43" customFormat="false" ht="15.75" hidden="false" customHeight="false" outlineLevel="0" collapsed="false">
      <c r="A43" s="20" t="n">
        <v>46079</v>
      </c>
      <c r="B43" s="15" t="s">
        <v>4790</v>
      </c>
      <c r="C43" s="15" t="s">
        <v>509</v>
      </c>
      <c r="D43" s="15" t="s">
        <v>4772</v>
      </c>
      <c r="E43" s="15" t="s">
        <v>4839</v>
      </c>
      <c r="F43" s="15" t="s">
        <v>509</v>
      </c>
      <c r="G43" s="15" t="s">
        <v>4784</v>
      </c>
    </row>
    <row r="44" customFormat="false" ht="15.75" hidden="false" customHeight="false" outlineLevel="0" collapsed="false">
      <c r="A44" s="20" t="n">
        <v>46079</v>
      </c>
      <c r="B44" s="15" t="s">
        <v>4795</v>
      </c>
      <c r="C44" s="15" t="s">
        <v>510</v>
      </c>
      <c r="D44" s="15" t="s">
        <v>4772</v>
      </c>
      <c r="E44" s="15" t="s">
        <v>4840</v>
      </c>
      <c r="F44" s="15" t="s">
        <v>510</v>
      </c>
      <c r="G44" s="15" t="s">
        <v>4801</v>
      </c>
    </row>
    <row r="45" customFormat="false" ht="15.75" hidden="false" customHeight="false" outlineLevel="0" collapsed="false">
      <c r="A45" s="20" t="n">
        <v>46079</v>
      </c>
      <c r="B45" s="15" t="s">
        <v>4798</v>
      </c>
      <c r="C45" s="15" t="s">
        <v>452</v>
      </c>
      <c r="D45" s="15" t="s">
        <v>4772</v>
      </c>
      <c r="E45" s="15" t="s">
        <v>4841</v>
      </c>
      <c r="F45" s="15" t="s">
        <v>452</v>
      </c>
      <c r="G45" s="15" t="s">
        <v>4784</v>
      </c>
    </row>
    <row r="46" customFormat="false" ht="15.75" hidden="false" customHeight="false" outlineLevel="0" collapsed="false">
      <c r="A46" s="20" t="n">
        <v>46079</v>
      </c>
      <c r="B46" s="15" t="s">
        <v>4802</v>
      </c>
      <c r="C46" s="15" t="s">
        <v>491</v>
      </c>
      <c r="D46" s="15" t="s">
        <v>4772</v>
      </c>
      <c r="E46" s="15" t="s">
        <v>4842</v>
      </c>
      <c r="F46" s="15" t="s">
        <v>4804</v>
      </c>
      <c r="G46" s="15" t="s">
        <v>4779</v>
      </c>
    </row>
    <row r="47" customFormat="false" ht="15.75" hidden="false" customHeight="false" outlineLevel="0" collapsed="false">
      <c r="A47" s="20" t="n">
        <v>46079</v>
      </c>
      <c r="B47" s="15" t="s">
        <v>4805</v>
      </c>
      <c r="C47" s="15" t="s">
        <v>500</v>
      </c>
      <c r="D47" s="15" t="s">
        <v>4772</v>
      </c>
      <c r="E47" s="15" t="s">
        <v>4843</v>
      </c>
      <c r="F47" s="15" t="s">
        <v>4820</v>
      </c>
      <c r="G47" s="15" t="s">
        <v>4801</v>
      </c>
    </row>
    <row r="48" customFormat="false" ht="15.75" hidden="false" customHeight="false" outlineLevel="0" collapsed="false">
      <c r="A48" s="20" t="n">
        <v>46079</v>
      </c>
      <c r="B48" s="15" t="s">
        <v>4807</v>
      </c>
      <c r="C48" s="15" t="s">
        <v>485</v>
      </c>
      <c r="D48" s="15" t="s">
        <v>4772</v>
      </c>
      <c r="E48" s="15" t="s">
        <v>4844</v>
      </c>
      <c r="F48" s="15" t="s">
        <v>4845</v>
      </c>
      <c r="G48" s="15" t="s">
        <v>4779</v>
      </c>
    </row>
    <row r="49" customFormat="false" ht="15.75" hidden="false" customHeight="false" outlineLevel="0" collapsed="false">
      <c r="A49" s="20" t="n">
        <v>46080</v>
      </c>
      <c r="B49" s="15" t="s">
        <v>4771</v>
      </c>
      <c r="C49" s="15" t="s">
        <v>508</v>
      </c>
      <c r="D49" s="15" t="s">
        <v>4772</v>
      </c>
      <c r="E49" s="15" t="s">
        <v>4846</v>
      </c>
      <c r="F49" s="15" t="s">
        <v>4778</v>
      </c>
      <c r="G49" s="15" t="s">
        <v>4779</v>
      </c>
    </row>
    <row r="50" customFormat="false" ht="15.75" hidden="false" customHeight="false" outlineLevel="0" collapsed="false">
      <c r="A50" s="20" t="n">
        <v>46080</v>
      </c>
      <c r="B50" s="15" t="s">
        <v>4775</v>
      </c>
      <c r="C50" s="15" t="s">
        <v>467</v>
      </c>
      <c r="D50" s="15" t="s">
        <v>4772</v>
      </c>
      <c r="E50" s="15" t="s">
        <v>4847</v>
      </c>
      <c r="F50" s="15" t="s">
        <v>4781</v>
      </c>
      <c r="G50" s="15" t="s">
        <v>4779</v>
      </c>
    </row>
    <row r="51" customFormat="false" ht="15.75" hidden="false" customHeight="false" outlineLevel="0" collapsed="false">
      <c r="A51" s="20" t="n">
        <v>46080</v>
      </c>
      <c r="B51" s="15" t="s">
        <v>4782</v>
      </c>
      <c r="C51" s="15" t="s">
        <v>453</v>
      </c>
      <c r="D51" s="15" t="s">
        <v>4772</v>
      </c>
      <c r="E51" s="15" t="s">
        <v>4848</v>
      </c>
      <c r="F51" s="15" t="s">
        <v>453</v>
      </c>
      <c r="G51" s="15" t="s">
        <v>4784</v>
      </c>
    </row>
    <row r="52" customFormat="false" ht="15.75" hidden="false" customHeight="false" outlineLevel="0" collapsed="false">
      <c r="A52" s="20" t="n">
        <v>46080</v>
      </c>
      <c r="B52" s="15" t="s">
        <v>4787</v>
      </c>
      <c r="C52" s="15" t="s">
        <v>504</v>
      </c>
      <c r="D52" s="15" t="s">
        <v>4772</v>
      </c>
      <c r="E52" s="15" t="s">
        <v>4849</v>
      </c>
      <c r="F52" s="15" t="s">
        <v>4789</v>
      </c>
      <c r="G52" s="15" t="s">
        <v>4779</v>
      </c>
    </row>
    <row r="53" customFormat="false" ht="15.75" hidden="false" customHeight="false" outlineLevel="0" collapsed="false">
      <c r="A53" s="20" t="n">
        <v>46080</v>
      </c>
      <c r="B53" s="15" t="s">
        <v>4790</v>
      </c>
      <c r="C53" s="15" t="s">
        <v>509</v>
      </c>
      <c r="D53" s="15" t="s">
        <v>4772</v>
      </c>
      <c r="E53" s="15" t="s">
        <v>4850</v>
      </c>
      <c r="F53" s="15" t="s">
        <v>509</v>
      </c>
      <c r="G53" s="15" t="s">
        <v>4784</v>
      </c>
    </row>
    <row r="54" customFormat="false" ht="15.75" hidden="false" customHeight="false" outlineLevel="0" collapsed="false">
      <c r="A54" s="20" t="n">
        <v>46080</v>
      </c>
      <c r="B54" s="15" t="s">
        <v>4793</v>
      </c>
      <c r="C54" s="15" t="s">
        <v>515</v>
      </c>
      <c r="D54" s="15" t="s">
        <v>4772</v>
      </c>
      <c r="E54" s="15" t="s">
        <v>4851</v>
      </c>
      <c r="F54" s="15" t="s">
        <v>515</v>
      </c>
      <c r="G54" s="15" t="s">
        <v>4784</v>
      </c>
    </row>
    <row r="55" customFormat="false" ht="15.75" hidden="false" customHeight="false" outlineLevel="0" collapsed="false">
      <c r="A55" s="20" t="n">
        <v>46080</v>
      </c>
      <c r="B55" s="15" t="s">
        <v>4795</v>
      </c>
      <c r="C55" s="15" t="s">
        <v>510</v>
      </c>
      <c r="D55" s="15" t="s">
        <v>4772</v>
      </c>
      <c r="E55" s="15" t="s">
        <v>4852</v>
      </c>
      <c r="F55" s="15" t="s">
        <v>510</v>
      </c>
      <c r="G55" s="15" t="s">
        <v>4801</v>
      </c>
    </row>
    <row r="56" customFormat="false" ht="15.75" hidden="false" customHeight="false" outlineLevel="0" collapsed="false">
      <c r="A56" s="20" t="n">
        <v>46080</v>
      </c>
      <c r="B56" s="15" t="s">
        <v>4802</v>
      </c>
      <c r="C56" s="15" t="s">
        <v>491</v>
      </c>
      <c r="D56" s="15" t="s">
        <v>4772</v>
      </c>
      <c r="E56" s="15" t="s">
        <v>4853</v>
      </c>
      <c r="F56" s="15" t="s">
        <v>4804</v>
      </c>
      <c r="G56" s="15" t="s">
        <v>4779</v>
      </c>
    </row>
    <row r="57" customFormat="false" ht="15.75" hidden="false" customHeight="false" outlineLevel="0" collapsed="false">
      <c r="A57" s="20" t="n">
        <v>46080</v>
      </c>
      <c r="B57" s="15" t="s">
        <v>4805</v>
      </c>
      <c r="C57" s="15" t="s">
        <v>488</v>
      </c>
      <c r="D57" s="15" t="s">
        <v>4772</v>
      </c>
      <c r="E57" s="15" t="s">
        <v>4854</v>
      </c>
      <c r="F57" s="15" t="s">
        <v>4855</v>
      </c>
      <c r="G57" s="15" t="s">
        <v>4779</v>
      </c>
    </row>
    <row r="58" customFormat="false" ht="15.75" hidden="false" customHeight="false" outlineLevel="0" collapsed="false">
      <c r="A58" s="20" t="n">
        <v>46080</v>
      </c>
      <c r="B58" s="15" t="s">
        <v>4807</v>
      </c>
      <c r="C58" s="15" t="s">
        <v>485</v>
      </c>
      <c r="D58" s="15" t="s">
        <v>4772</v>
      </c>
      <c r="E58" s="15" t="s">
        <v>4856</v>
      </c>
      <c r="F58" s="15" t="s">
        <v>4845</v>
      </c>
      <c r="G58" s="15" t="s">
        <v>4779</v>
      </c>
    </row>
    <row r="59" customFormat="false" ht="15.75" hidden="false" customHeight="false" outlineLevel="0" collapsed="false">
      <c r="A59" s="20" t="n">
        <v>46081</v>
      </c>
      <c r="B59" s="15" t="s">
        <v>4782</v>
      </c>
      <c r="C59" s="15" t="s">
        <v>501</v>
      </c>
      <c r="D59" s="15" t="s">
        <v>4772</v>
      </c>
      <c r="E59" s="15" t="s">
        <v>4857</v>
      </c>
      <c r="F59" s="15" t="s">
        <v>501</v>
      </c>
      <c r="G59" s="15" t="s">
        <v>4774</v>
      </c>
    </row>
    <row r="60" customFormat="false" ht="15.75" hidden="false" customHeight="false" outlineLevel="0" collapsed="false">
      <c r="A60" s="20" t="n">
        <v>46083</v>
      </c>
      <c r="B60" s="15" t="s">
        <v>4771</v>
      </c>
      <c r="C60" s="15" t="s">
        <v>508</v>
      </c>
      <c r="D60" s="15" t="s">
        <v>4772</v>
      </c>
      <c r="E60" s="15" t="s">
        <v>4858</v>
      </c>
      <c r="F60" s="15" t="s">
        <v>4778</v>
      </c>
      <c r="G60" s="15" t="s">
        <v>4779</v>
      </c>
    </row>
    <row r="61" customFormat="false" ht="15.75" hidden="false" customHeight="false" outlineLevel="0" collapsed="false">
      <c r="A61" s="20" t="n">
        <v>46083</v>
      </c>
      <c r="B61" s="15" t="s">
        <v>4775</v>
      </c>
      <c r="C61" s="15" t="s">
        <v>493</v>
      </c>
      <c r="D61" s="15" t="s">
        <v>4772</v>
      </c>
      <c r="E61" s="15" t="s">
        <v>4859</v>
      </c>
      <c r="F61" s="15" t="s">
        <v>3867</v>
      </c>
      <c r="G61" s="15" t="s">
        <v>4779</v>
      </c>
    </row>
    <row r="62" customFormat="false" ht="15.75" hidden="false" customHeight="false" outlineLevel="0" collapsed="false">
      <c r="A62" s="20" t="n">
        <v>46083</v>
      </c>
      <c r="B62" s="15" t="s">
        <v>4782</v>
      </c>
      <c r="C62" s="15" t="s">
        <v>453</v>
      </c>
      <c r="D62" s="15" t="s">
        <v>4772</v>
      </c>
      <c r="E62" s="15" t="s">
        <v>4860</v>
      </c>
      <c r="F62" s="15" t="s">
        <v>453</v>
      </c>
      <c r="G62" s="15" t="s">
        <v>4784</v>
      </c>
    </row>
    <row r="63" customFormat="false" ht="15.75" hidden="false" customHeight="false" outlineLevel="0" collapsed="false">
      <c r="A63" s="20" t="n">
        <v>46083</v>
      </c>
      <c r="B63" s="15" t="s">
        <v>4787</v>
      </c>
      <c r="C63" s="15" t="s">
        <v>504</v>
      </c>
      <c r="D63" s="15" t="s">
        <v>4772</v>
      </c>
      <c r="E63" s="15" t="s">
        <v>4861</v>
      </c>
      <c r="F63" s="15" t="s">
        <v>4789</v>
      </c>
      <c r="G63" s="15" t="s">
        <v>4779</v>
      </c>
    </row>
    <row r="64" customFormat="false" ht="15.75" hidden="false" customHeight="false" outlineLevel="0" collapsed="false">
      <c r="A64" s="20" t="n">
        <v>46083</v>
      </c>
      <c r="B64" s="15" t="s">
        <v>4790</v>
      </c>
      <c r="C64" s="15" t="s">
        <v>509</v>
      </c>
      <c r="D64" s="15" t="s">
        <v>4772</v>
      </c>
      <c r="E64" s="15" t="s">
        <v>4862</v>
      </c>
      <c r="F64" s="15" t="s">
        <v>509</v>
      </c>
      <c r="G64" s="15" t="s">
        <v>4784</v>
      </c>
    </row>
    <row r="65" customFormat="false" ht="15.75" hidden="false" customHeight="false" outlineLevel="0" collapsed="false">
      <c r="A65" s="20" t="n">
        <v>46083</v>
      </c>
      <c r="B65" s="15" t="s">
        <v>4793</v>
      </c>
      <c r="C65" s="15" t="s">
        <v>515</v>
      </c>
      <c r="D65" s="15" t="s">
        <v>4772</v>
      </c>
      <c r="E65" s="15" t="s">
        <v>4863</v>
      </c>
      <c r="F65" s="15" t="s">
        <v>515</v>
      </c>
      <c r="G65" s="15" t="s">
        <v>4784</v>
      </c>
    </row>
    <row r="66" customFormat="false" ht="15.75" hidden="false" customHeight="false" outlineLevel="0" collapsed="false">
      <c r="A66" s="20" t="n">
        <v>46083</v>
      </c>
      <c r="B66" s="15" t="s">
        <v>4795</v>
      </c>
      <c r="C66" s="15" t="s">
        <v>510</v>
      </c>
      <c r="D66" s="15" t="s">
        <v>4772</v>
      </c>
      <c r="E66" s="15" t="s">
        <v>4864</v>
      </c>
      <c r="F66" s="15" t="s">
        <v>510</v>
      </c>
      <c r="G66" s="15" t="s">
        <v>4801</v>
      </c>
    </row>
    <row r="67" customFormat="false" ht="15.75" hidden="false" customHeight="false" outlineLevel="0" collapsed="false">
      <c r="A67" s="20" t="n">
        <v>46083</v>
      </c>
      <c r="B67" s="15" t="s">
        <v>4802</v>
      </c>
      <c r="C67" s="15" t="s">
        <v>491</v>
      </c>
      <c r="D67" s="15" t="s">
        <v>4772</v>
      </c>
      <c r="E67" s="15" t="s">
        <v>4865</v>
      </c>
      <c r="F67" s="15" t="s">
        <v>4804</v>
      </c>
      <c r="G67" s="15" t="s">
        <v>4779</v>
      </c>
    </row>
    <row r="68" customFormat="false" ht="15.75" hidden="false" customHeight="false" outlineLevel="0" collapsed="false">
      <c r="A68" s="20" t="n">
        <v>46083</v>
      </c>
      <c r="B68" s="15" t="s">
        <v>4805</v>
      </c>
      <c r="C68" s="15" t="s">
        <v>488</v>
      </c>
      <c r="D68" s="15" t="s">
        <v>4772</v>
      </c>
      <c r="E68" s="15" t="s">
        <v>4866</v>
      </c>
      <c r="F68" s="15" t="s">
        <v>4855</v>
      </c>
      <c r="G68" s="15" t="s">
        <v>4779</v>
      </c>
    </row>
    <row r="69" customFormat="false" ht="15.75" hidden="false" customHeight="false" outlineLevel="0" collapsed="false">
      <c r="A69" s="20" t="n">
        <v>46083</v>
      </c>
      <c r="B69" s="15" t="s">
        <v>4807</v>
      </c>
      <c r="C69" s="15" t="s">
        <v>494</v>
      </c>
      <c r="D69" s="15" t="s">
        <v>4772</v>
      </c>
      <c r="E69" s="15" t="s">
        <v>4867</v>
      </c>
      <c r="F69" s="15" t="s">
        <v>4868</v>
      </c>
      <c r="G69" s="15" t="s">
        <v>4779</v>
      </c>
    </row>
    <row r="70" customFormat="false" ht="15.75" hidden="false" customHeight="false" outlineLevel="0" collapsed="false">
      <c r="A70" s="20" t="n">
        <v>46084</v>
      </c>
      <c r="B70" s="15" t="s">
        <v>4771</v>
      </c>
      <c r="C70" s="15" t="s">
        <v>508</v>
      </c>
      <c r="D70" s="15" t="s">
        <v>4772</v>
      </c>
      <c r="E70" s="15" t="s">
        <v>4869</v>
      </c>
      <c r="F70" s="15" t="s">
        <v>4778</v>
      </c>
      <c r="G70" s="15" t="s">
        <v>4779</v>
      </c>
    </row>
    <row r="71" customFormat="false" ht="15.75" hidden="false" customHeight="false" outlineLevel="0" collapsed="false">
      <c r="A71" s="20" t="n">
        <v>46084</v>
      </c>
      <c r="B71" s="15" t="s">
        <v>4775</v>
      </c>
      <c r="C71" s="15" t="s">
        <v>493</v>
      </c>
      <c r="D71" s="15" t="s">
        <v>4772</v>
      </c>
      <c r="E71" s="15" t="s">
        <v>4870</v>
      </c>
      <c r="F71" s="15" t="s">
        <v>3867</v>
      </c>
      <c r="G71" s="15" t="s">
        <v>4779</v>
      </c>
    </row>
    <row r="72" customFormat="false" ht="15.75" hidden="false" customHeight="false" outlineLevel="0" collapsed="false">
      <c r="A72" s="20" t="n">
        <v>46084</v>
      </c>
      <c r="B72" s="15" t="s">
        <v>4782</v>
      </c>
      <c r="C72" s="15" t="s">
        <v>453</v>
      </c>
      <c r="D72" s="15" t="s">
        <v>4772</v>
      </c>
      <c r="E72" s="15" t="s">
        <v>4871</v>
      </c>
      <c r="F72" s="15" t="s">
        <v>453</v>
      </c>
      <c r="G72" s="15" t="s">
        <v>4784</v>
      </c>
    </row>
    <row r="73" customFormat="false" ht="15.75" hidden="false" customHeight="false" outlineLevel="0" collapsed="false">
      <c r="A73" s="20" t="n">
        <v>46084</v>
      </c>
      <c r="B73" s="15" t="s">
        <v>4787</v>
      </c>
      <c r="C73" s="15" t="s">
        <v>504</v>
      </c>
      <c r="D73" s="15" t="s">
        <v>4772</v>
      </c>
      <c r="E73" s="15" t="s">
        <v>4872</v>
      </c>
      <c r="F73" s="15" t="s">
        <v>4789</v>
      </c>
      <c r="G73" s="15" t="s">
        <v>4779</v>
      </c>
    </row>
    <row r="74" customFormat="false" ht="15.75" hidden="false" customHeight="false" outlineLevel="0" collapsed="false">
      <c r="A74" s="20" t="n">
        <v>46084</v>
      </c>
      <c r="B74" s="15" t="s">
        <v>4790</v>
      </c>
      <c r="C74" s="15" t="s">
        <v>524</v>
      </c>
      <c r="D74" s="15" t="s">
        <v>4772</v>
      </c>
      <c r="E74" s="15" t="s">
        <v>4873</v>
      </c>
      <c r="F74" s="15" t="s">
        <v>4792</v>
      </c>
      <c r="G74" s="15" t="s">
        <v>4779</v>
      </c>
    </row>
    <row r="75" customFormat="false" ht="15.75" hidden="false" customHeight="false" outlineLevel="0" collapsed="false">
      <c r="A75" s="20" t="n">
        <v>46084</v>
      </c>
      <c r="B75" s="15" t="s">
        <v>4793</v>
      </c>
      <c r="C75" s="15" t="s">
        <v>515</v>
      </c>
      <c r="D75" s="15" t="s">
        <v>4772</v>
      </c>
      <c r="E75" s="15" t="s">
        <v>4874</v>
      </c>
      <c r="F75" s="15" t="s">
        <v>515</v>
      </c>
      <c r="G75" s="15" t="s">
        <v>4784</v>
      </c>
    </row>
    <row r="76" customFormat="false" ht="15.75" hidden="false" customHeight="false" outlineLevel="0" collapsed="false">
      <c r="A76" s="20" t="n">
        <v>46084</v>
      </c>
      <c r="B76" s="15" t="s">
        <v>4795</v>
      </c>
      <c r="C76" s="15" t="s">
        <v>469</v>
      </c>
      <c r="D76" s="15" t="s">
        <v>4772</v>
      </c>
      <c r="E76" s="15" t="s">
        <v>4875</v>
      </c>
      <c r="F76" s="15" t="s">
        <v>469</v>
      </c>
      <c r="G76" s="15" t="s">
        <v>4784</v>
      </c>
    </row>
    <row r="77" customFormat="false" ht="15.75" hidden="false" customHeight="false" outlineLevel="0" collapsed="false">
      <c r="A77" s="20" t="n">
        <v>46084</v>
      </c>
      <c r="B77" s="15" t="s">
        <v>4802</v>
      </c>
      <c r="C77" s="15" t="s">
        <v>491</v>
      </c>
      <c r="D77" s="15" t="s">
        <v>4772</v>
      </c>
      <c r="E77" s="15" t="s">
        <v>4876</v>
      </c>
      <c r="F77" s="15" t="s">
        <v>4804</v>
      </c>
      <c r="G77" s="15" t="s">
        <v>4779</v>
      </c>
    </row>
    <row r="78" customFormat="false" ht="15.75" hidden="false" customHeight="false" outlineLevel="0" collapsed="false">
      <c r="A78" s="20" t="n">
        <v>46084</v>
      </c>
      <c r="B78" s="15" t="s">
        <v>4805</v>
      </c>
      <c r="C78" s="15" t="s">
        <v>488</v>
      </c>
      <c r="D78" s="15" t="s">
        <v>4772</v>
      </c>
      <c r="E78" s="15" t="s">
        <v>4877</v>
      </c>
      <c r="F78" s="15" t="s">
        <v>4855</v>
      </c>
      <c r="G78" s="15" t="s">
        <v>4779</v>
      </c>
    </row>
    <row r="79" customFormat="false" ht="15.75" hidden="false" customHeight="false" outlineLevel="0" collapsed="false">
      <c r="A79" s="20" t="n">
        <v>46084</v>
      </c>
      <c r="B79" s="15" t="s">
        <v>4807</v>
      </c>
      <c r="C79" s="15" t="s">
        <v>494</v>
      </c>
      <c r="D79" s="15" t="s">
        <v>4772</v>
      </c>
      <c r="E79" s="15" t="s">
        <v>4878</v>
      </c>
      <c r="F79" s="15" t="s">
        <v>4868</v>
      </c>
      <c r="G79" s="15" t="s">
        <v>4779</v>
      </c>
    </row>
    <row r="80" customFormat="false" ht="15.75" hidden="false" customHeight="false" outlineLevel="0" collapsed="false">
      <c r="A80" s="20" t="n">
        <v>46085</v>
      </c>
      <c r="B80" s="15" t="s">
        <v>4771</v>
      </c>
      <c r="C80" s="15" t="s">
        <v>508</v>
      </c>
      <c r="D80" s="15" t="s">
        <v>4772</v>
      </c>
      <c r="E80" s="15" t="s">
        <v>4879</v>
      </c>
      <c r="F80" s="15" t="s">
        <v>4778</v>
      </c>
      <c r="G80" s="15" t="s">
        <v>4779</v>
      </c>
    </row>
    <row r="81" customFormat="false" ht="15.75" hidden="false" customHeight="false" outlineLevel="0" collapsed="false">
      <c r="A81" s="20" t="n">
        <v>46085</v>
      </c>
      <c r="B81" s="15" t="s">
        <v>4775</v>
      </c>
      <c r="C81" s="15" t="s">
        <v>493</v>
      </c>
      <c r="D81" s="15" t="s">
        <v>4772</v>
      </c>
      <c r="E81" s="15" t="s">
        <v>4880</v>
      </c>
      <c r="F81" s="15" t="s">
        <v>3867</v>
      </c>
      <c r="G81" s="15" t="s">
        <v>4779</v>
      </c>
    </row>
    <row r="82" customFormat="false" ht="15.75" hidden="false" customHeight="false" outlineLevel="0" collapsed="false">
      <c r="A82" s="20" t="n">
        <v>46085</v>
      </c>
      <c r="B82" s="15" t="s">
        <v>4782</v>
      </c>
      <c r="C82" s="15" t="s">
        <v>453</v>
      </c>
      <c r="D82" s="15" t="s">
        <v>4772</v>
      </c>
      <c r="E82" s="15" t="s">
        <v>4881</v>
      </c>
      <c r="F82" s="15" t="s">
        <v>453</v>
      </c>
      <c r="G82" s="15" t="s">
        <v>4784</v>
      </c>
    </row>
    <row r="83" customFormat="false" ht="15.75" hidden="false" customHeight="false" outlineLevel="0" collapsed="false">
      <c r="A83" s="20" t="n">
        <v>46085</v>
      </c>
      <c r="B83" s="15" t="s">
        <v>4787</v>
      </c>
      <c r="C83" s="15" t="s">
        <v>504</v>
      </c>
      <c r="D83" s="15" t="s">
        <v>4772</v>
      </c>
      <c r="E83" s="15" t="s">
        <v>4882</v>
      </c>
      <c r="F83" s="15" t="s">
        <v>4789</v>
      </c>
      <c r="G83" s="15" t="s">
        <v>4779</v>
      </c>
    </row>
    <row r="84" customFormat="false" ht="15.75" hidden="false" customHeight="false" outlineLevel="0" collapsed="false">
      <c r="A84" s="20" t="n">
        <v>46085</v>
      </c>
      <c r="B84" s="15" t="s">
        <v>4790</v>
      </c>
      <c r="C84" s="15" t="s">
        <v>524</v>
      </c>
      <c r="D84" s="15" t="s">
        <v>4772</v>
      </c>
      <c r="E84" s="15" t="s">
        <v>4883</v>
      </c>
      <c r="F84" s="15" t="s">
        <v>4792</v>
      </c>
      <c r="G84" s="15" t="s">
        <v>4779</v>
      </c>
    </row>
    <row r="85" customFormat="false" ht="15.75" hidden="false" customHeight="false" outlineLevel="0" collapsed="false">
      <c r="A85" s="20" t="n">
        <v>46085</v>
      </c>
      <c r="B85" s="15" t="s">
        <v>4793</v>
      </c>
      <c r="C85" s="15" t="s">
        <v>515</v>
      </c>
      <c r="D85" s="15" t="s">
        <v>4772</v>
      </c>
      <c r="E85" s="15" t="s">
        <v>4884</v>
      </c>
      <c r="F85" s="15" t="s">
        <v>515</v>
      </c>
      <c r="G85" s="15" t="s">
        <v>4784</v>
      </c>
    </row>
    <row r="86" customFormat="false" ht="15.75" hidden="false" customHeight="false" outlineLevel="0" collapsed="false">
      <c r="A86" s="20" t="n">
        <v>46085</v>
      </c>
      <c r="B86" s="15" t="s">
        <v>4795</v>
      </c>
      <c r="C86" s="15" t="s">
        <v>469</v>
      </c>
      <c r="D86" s="15" t="s">
        <v>4772</v>
      </c>
      <c r="E86" s="15" t="s">
        <v>4885</v>
      </c>
      <c r="F86" s="15" t="s">
        <v>469</v>
      </c>
      <c r="G86" s="15" t="s">
        <v>4784</v>
      </c>
    </row>
    <row r="87" customFormat="false" ht="15.75" hidden="false" customHeight="false" outlineLevel="0" collapsed="false">
      <c r="A87" s="20" t="n">
        <v>46085</v>
      </c>
      <c r="B87" s="15" t="s">
        <v>4802</v>
      </c>
      <c r="C87" s="15" t="s">
        <v>491</v>
      </c>
      <c r="D87" s="15" t="s">
        <v>4772</v>
      </c>
      <c r="E87" s="15" t="s">
        <v>4886</v>
      </c>
      <c r="F87" s="15" t="s">
        <v>4804</v>
      </c>
      <c r="G87" s="15" t="s">
        <v>4779</v>
      </c>
    </row>
    <row r="88" customFormat="false" ht="15.75" hidden="false" customHeight="false" outlineLevel="0" collapsed="false">
      <c r="A88" s="20" t="n">
        <v>46085</v>
      </c>
      <c r="B88" s="15" t="s">
        <v>4805</v>
      </c>
      <c r="C88" s="15" t="s">
        <v>488</v>
      </c>
      <c r="D88" s="15" t="s">
        <v>4772</v>
      </c>
      <c r="E88" s="15" t="s">
        <v>4887</v>
      </c>
      <c r="F88" s="15" t="s">
        <v>4855</v>
      </c>
      <c r="G88" s="15" t="s">
        <v>4779</v>
      </c>
    </row>
    <row r="89" customFormat="false" ht="15.75" hidden="false" customHeight="false" outlineLevel="0" collapsed="false">
      <c r="A89" s="20" t="n">
        <v>46085</v>
      </c>
      <c r="B89" s="15" t="s">
        <v>4807</v>
      </c>
      <c r="C89" s="15" t="s">
        <v>496</v>
      </c>
      <c r="D89" s="15" t="s">
        <v>4772</v>
      </c>
      <c r="E89" s="15" t="s">
        <v>4888</v>
      </c>
      <c r="F89" s="15" t="s">
        <v>4889</v>
      </c>
      <c r="G89" s="15" t="s">
        <v>4779</v>
      </c>
    </row>
    <row r="90" customFormat="false" ht="15.75" hidden="false" customHeight="false" outlineLevel="0" collapsed="false">
      <c r="A90" s="20" t="n">
        <v>46086</v>
      </c>
      <c r="B90" s="15" t="s">
        <v>4771</v>
      </c>
      <c r="C90" s="15" t="s">
        <v>508</v>
      </c>
      <c r="D90" s="15" t="s">
        <v>4772</v>
      </c>
      <c r="E90" s="15" t="s">
        <v>4890</v>
      </c>
      <c r="F90" s="15" t="s">
        <v>4778</v>
      </c>
      <c r="G90" s="15" t="s">
        <v>4779</v>
      </c>
    </row>
    <row r="91" customFormat="false" ht="15.75" hidden="false" customHeight="false" outlineLevel="0" collapsed="false">
      <c r="A91" s="20" t="n">
        <v>46086</v>
      </c>
      <c r="B91" s="15" t="s">
        <v>4775</v>
      </c>
      <c r="C91" s="15" t="s">
        <v>493</v>
      </c>
      <c r="D91" s="15" t="s">
        <v>4772</v>
      </c>
      <c r="E91" s="15" t="s">
        <v>4891</v>
      </c>
      <c r="F91" s="15" t="s">
        <v>3867</v>
      </c>
      <c r="G91" s="15" t="s">
        <v>4779</v>
      </c>
    </row>
    <row r="92" customFormat="false" ht="15.75" hidden="false" customHeight="false" outlineLevel="0" collapsed="false">
      <c r="A92" s="20" t="n">
        <v>46086</v>
      </c>
      <c r="B92" s="15" t="s">
        <v>4782</v>
      </c>
      <c r="C92" s="15" t="s">
        <v>514</v>
      </c>
      <c r="D92" s="15" t="s">
        <v>4772</v>
      </c>
      <c r="E92" s="15" t="s">
        <v>4892</v>
      </c>
      <c r="F92" s="15" t="s">
        <v>4893</v>
      </c>
      <c r="G92" s="15" t="s">
        <v>4779</v>
      </c>
    </row>
    <row r="93" customFormat="false" ht="15.75" hidden="false" customHeight="false" outlineLevel="0" collapsed="false">
      <c r="A93" s="20" t="n">
        <v>46086</v>
      </c>
      <c r="B93" s="15" t="s">
        <v>4787</v>
      </c>
      <c r="C93" s="15" t="s">
        <v>505</v>
      </c>
      <c r="D93" s="15" t="s">
        <v>4772</v>
      </c>
      <c r="E93" s="15" t="s">
        <v>4894</v>
      </c>
      <c r="F93" s="15" t="s">
        <v>505</v>
      </c>
      <c r="G93" s="15" t="s">
        <v>4779</v>
      </c>
    </row>
    <row r="94" customFormat="false" ht="15.75" hidden="false" customHeight="false" outlineLevel="0" collapsed="false">
      <c r="A94" s="20" t="n">
        <v>46086</v>
      </c>
      <c r="B94" s="15" t="s">
        <v>4790</v>
      </c>
      <c r="C94" s="15" t="s">
        <v>524</v>
      </c>
      <c r="D94" s="15" t="s">
        <v>4772</v>
      </c>
      <c r="E94" s="15" t="s">
        <v>4895</v>
      </c>
      <c r="F94" s="15" t="s">
        <v>4792</v>
      </c>
      <c r="G94" s="15" t="s">
        <v>4779</v>
      </c>
    </row>
    <row r="95" customFormat="false" ht="15.75" hidden="false" customHeight="false" outlineLevel="0" collapsed="false">
      <c r="A95" s="20" t="n">
        <v>46086</v>
      </c>
      <c r="B95" s="15" t="s">
        <v>4793</v>
      </c>
      <c r="C95" s="15" t="s">
        <v>521</v>
      </c>
      <c r="D95" s="15" t="s">
        <v>4772</v>
      </c>
      <c r="E95" s="15" t="s">
        <v>4896</v>
      </c>
      <c r="F95" s="15" t="s">
        <v>4897</v>
      </c>
      <c r="G95" s="15" t="s">
        <v>4779</v>
      </c>
    </row>
    <row r="96" customFormat="false" ht="15.75" hidden="false" customHeight="false" outlineLevel="0" collapsed="false">
      <c r="A96" s="20" t="n">
        <v>46086</v>
      </c>
      <c r="B96" s="15" t="s">
        <v>4795</v>
      </c>
      <c r="C96" s="15" t="s">
        <v>469</v>
      </c>
      <c r="D96" s="15" t="s">
        <v>4772</v>
      </c>
      <c r="E96" s="15" t="s">
        <v>4898</v>
      </c>
      <c r="F96" s="15" t="s">
        <v>469</v>
      </c>
      <c r="G96" s="15" t="s">
        <v>4784</v>
      </c>
    </row>
    <row r="97" customFormat="false" ht="15.75" hidden="false" customHeight="false" outlineLevel="0" collapsed="false">
      <c r="A97" s="20" t="n">
        <v>46086</v>
      </c>
      <c r="B97" s="15" t="s">
        <v>4802</v>
      </c>
      <c r="C97" s="15" t="s">
        <v>491</v>
      </c>
      <c r="D97" s="15" t="s">
        <v>4772</v>
      </c>
      <c r="E97" s="15" t="s">
        <v>4899</v>
      </c>
      <c r="F97" s="15" t="s">
        <v>4804</v>
      </c>
      <c r="G97" s="15" t="s">
        <v>4779</v>
      </c>
    </row>
    <row r="98" customFormat="false" ht="15.75" hidden="false" customHeight="false" outlineLevel="0" collapsed="false">
      <c r="A98" s="20" t="n">
        <v>46086</v>
      </c>
      <c r="B98" s="15" t="s">
        <v>4805</v>
      </c>
      <c r="C98" s="15" t="s">
        <v>499</v>
      </c>
      <c r="D98" s="15" t="s">
        <v>4772</v>
      </c>
      <c r="E98" s="15" t="s">
        <v>4900</v>
      </c>
      <c r="F98" s="15" t="s">
        <v>4901</v>
      </c>
      <c r="G98" s="15" t="s">
        <v>4801</v>
      </c>
    </row>
    <row r="99" customFormat="false" ht="15.75" hidden="false" customHeight="false" outlineLevel="0" collapsed="false">
      <c r="A99" s="20" t="n">
        <v>46086</v>
      </c>
      <c r="B99" s="15" t="s">
        <v>4807</v>
      </c>
      <c r="C99" s="15" t="s">
        <v>496</v>
      </c>
      <c r="D99" s="15" t="s">
        <v>4772</v>
      </c>
      <c r="E99" s="15" t="s">
        <v>4902</v>
      </c>
      <c r="F99" s="15" t="s">
        <v>4889</v>
      </c>
      <c r="G99" s="15" t="s">
        <v>4779</v>
      </c>
    </row>
    <row r="100" customFormat="false" ht="15.75" hidden="false" customHeight="false" outlineLevel="0" collapsed="false">
      <c r="A100" s="20" t="n">
        <v>46087</v>
      </c>
      <c r="B100" s="15" t="s">
        <v>4771</v>
      </c>
      <c r="C100" s="15" t="s">
        <v>508</v>
      </c>
      <c r="D100" s="15" t="s">
        <v>4772</v>
      </c>
      <c r="E100" s="15" t="s">
        <v>4903</v>
      </c>
      <c r="F100" s="15" t="s">
        <v>4778</v>
      </c>
      <c r="G100" s="15" t="s">
        <v>4779</v>
      </c>
    </row>
    <row r="101" customFormat="false" ht="15.75" hidden="false" customHeight="false" outlineLevel="0" collapsed="false">
      <c r="A101" s="20" t="n">
        <v>46087</v>
      </c>
      <c r="B101" s="15" t="s">
        <v>4775</v>
      </c>
      <c r="C101" s="15" t="s">
        <v>493</v>
      </c>
      <c r="D101" s="15" t="s">
        <v>4772</v>
      </c>
      <c r="E101" s="15" t="s">
        <v>4904</v>
      </c>
      <c r="F101" s="15" t="s">
        <v>3867</v>
      </c>
      <c r="G101" s="15" t="s">
        <v>4779</v>
      </c>
    </row>
    <row r="102" customFormat="false" ht="15.75" hidden="false" customHeight="false" outlineLevel="0" collapsed="false">
      <c r="A102" s="20" t="n">
        <v>46087</v>
      </c>
      <c r="B102" s="15" t="s">
        <v>4782</v>
      </c>
      <c r="C102" s="15" t="s">
        <v>514</v>
      </c>
      <c r="D102" s="15" t="s">
        <v>4772</v>
      </c>
      <c r="E102" s="15" t="s">
        <v>4905</v>
      </c>
      <c r="F102" s="15" t="s">
        <v>4893</v>
      </c>
      <c r="G102" s="15" t="s">
        <v>4779</v>
      </c>
    </row>
    <row r="103" customFormat="false" ht="15.75" hidden="false" customHeight="false" outlineLevel="0" collapsed="false">
      <c r="A103" s="20" t="n">
        <v>46087</v>
      </c>
      <c r="B103" s="15" t="s">
        <v>4787</v>
      </c>
      <c r="C103" s="15" t="s">
        <v>505</v>
      </c>
      <c r="D103" s="15" t="s">
        <v>4772</v>
      </c>
      <c r="E103" s="15" t="s">
        <v>4906</v>
      </c>
      <c r="F103" s="15" t="s">
        <v>505</v>
      </c>
      <c r="G103" s="15" t="s">
        <v>4779</v>
      </c>
    </row>
    <row r="104" customFormat="false" ht="15.75" hidden="false" customHeight="false" outlineLevel="0" collapsed="false">
      <c r="A104" s="20" t="n">
        <v>46087</v>
      </c>
      <c r="B104" s="15" t="s">
        <v>4790</v>
      </c>
      <c r="C104" s="15" t="s">
        <v>518</v>
      </c>
      <c r="D104" s="15" t="s">
        <v>4772</v>
      </c>
      <c r="E104" s="15" t="s">
        <v>4907</v>
      </c>
      <c r="F104" s="15" t="s">
        <v>518</v>
      </c>
      <c r="G104" s="15" t="s">
        <v>4784</v>
      </c>
    </row>
    <row r="105" customFormat="false" ht="15.75" hidden="false" customHeight="false" outlineLevel="0" collapsed="false">
      <c r="A105" s="20" t="n">
        <v>46087</v>
      </c>
      <c r="B105" s="15" t="s">
        <v>4793</v>
      </c>
      <c r="C105" s="15" t="s">
        <v>521</v>
      </c>
      <c r="D105" s="15" t="s">
        <v>4772</v>
      </c>
      <c r="E105" s="15" t="s">
        <v>4908</v>
      </c>
      <c r="F105" s="15" t="s">
        <v>4897</v>
      </c>
      <c r="G105" s="15" t="s">
        <v>4779</v>
      </c>
    </row>
    <row r="106" customFormat="false" ht="15.75" hidden="false" customHeight="false" outlineLevel="0" collapsed="false">
      <c r="A106" s="20" t="n">
        <v>46087</v>
      </c>
      <c r="B106" s="15" t="s">
        <v>4795</v>
      </c>
      <c r="C106" s="15" t="s">
        <v>511</v>
      </c>
      <c r="D106" s="15" t="s">
        <v>4772</v>
      </c>
      <c r="E106" s="15" t="s">
        <v>4909</v>
      </c>
      <c r="F106" s="15" t="s">
        <v>511</v>
      </c>
      <c r="G106" s="15" t="s">
        <v>4801</v>
      </c>
    </row>
    <row r="107" customFormat="false" ht="15.75" hidden="false" customHeight="false" outlineLevel="0" collapsed="false">
      <c r="A107" s="20" t="n">
        <v>46087</v>
      </c>
      <c r="B107" s="15" t="s">
        <v>4802</v>
      </c>
      <c r="C107" s="15" t="s">
        <v>491</v>
      </c>
      <c r="D107" s="15" t="s">
        <v>4772</v>
      </c>
      <c r="E107" s="15" t="s">
        <v>4910</v>
      </c>
      <c r="F107" s="15" t="s">
        <v>4804</v>
      </c>
      <c r="G107" s="15" t="s">
        <v>4779</v>
      </c>
    </row>
    <row r="108" customFormat="false" ht="15.75" hidden="false" customHeight="false" outlineLevel="0" collapsed="false">
      <c r="A108" s="20" t="n">
        <v>46087</v>
      </c>
      <c r="B108" s="15" t="s">
        <v>4805</v>
      </c>
      <c r="C108" s="15" t="s">
        <v>499</v>
      </c>
      <c r="D108" s="15" t="s">
        <v>4772</v>
      </c>
      <c r="E108" s="15" t="s">
        <v>4911</v>
      </c>
      <c r="F108" s="15" t="s">
        <v>4901</v>
      </c>
      <c r="G108" s="15" t="s">
        <v>4801</v>
      </c>
    </row>
    <row r="109" customFormat="false" ht="15.75" hidden="false" customHeight="false" outlineLevel="0" collapsed="false">
      <c r="A109" s="20" t="n">
        <v>46087</v>
      </c>
      <c r="B109" s="15" t="s">
        <v>4807</v>
      </c>
      <c r="C109" s="15" t="s">
        <v>496</v>
      </c>
      <c r="D109" s="15" t="s">
        <v>4772</v>
      </c>
      <c r="E109" s="15" t="s">
        <v>4912</v>
      </c>
      <c r="F109" s="15" t="s">
        <v>4889</v>
      </c>
      <c r="G109" s="15" t="s">
        <v>4779</v>
      </c>
    </row>
    <row r="110" customFormat="false" ht="15.75" hidden="false" customHeight="false" outlineLevel="0" collapsed="false">
      <c r="A110" s="20" t="n">
        <v>46090</v>
      </c>
      <c r="B110" s="15" t="s">
        <v>4771</v>
      </c>
      <c r="C110" s="15" t="s">
        <v>508</v>
      </c>
      <c r="D110" s="15" t="s">
        <v>4772</v>
      </c>
      <c r="E110" s="15" t="s">
        <v>4913</v>
      </c>
      <c r="F110" s="15" t="s">
        <v>4778</v>
      </c>
      <c r="G110" s="15" t="s">
        <v>4779</v>
      </c>
    </row>
    <row r="111" customFormat="false" ht="15.75" hidden="false" customHeight="false" outlineLevel="0" collapsed="false">
      <c r="A111" s="20" t="n">
        <v>46090</v>
      </c>
      <c r="B111" s="15" t="s">
        <v>4775</v>
      </c>
      <c r="C111" s="15" t="s">
        <v>493</v>
      </c>
      <c r="D111" s="15" t="s">
        <v>4772</v>
      </c>
      <c r="E111" s="15" t="s">
        <v>4914</v>
      </c>
      <c r="F111" s="15" t="s">
        <v>3867</v>
      </c>
      <c r="G111" s="15" t="s">
        <v>4779</v>
      </c>
    </row>
    <row r="112" customFormat="false" ht="15.75" hidden="false" customHeight="false" outlineLevel="0" collapsed="false">
      <c r="A112" s="20" t="n">
        <v>46090</v>
      </c>
      <c r="B112" s="15" t="s">
        <v>4782</v>
      </c>
      <c r="C112" s="15" t="s">
        <v>514</v>
      </c>
      <c r="D112" s="15" t="s">
        <v>4772</v>
      </c>
      <c r="E112" s="15" t="s">
        <v>4915</v>
      </c>
      <c r="F112" s="15" t="s">
        <v>4893</v>
      </c>
      <c r="G112" s="15" t="s">
        <v>4779</v>
      </c>
    </row>
    <row r="113" customFormat="false" ht="15.75" hidden="false" customHeight="false" outlineLevel="0" collapsed="false">
      <c r="A113" s="20" t="n">
        <v>46090</v>
      </c>
      <c r="B113" s="15" t="s">
        <v>4785</v>
      </c>
      <c r="C113" s="15" t="s">
        <v>464</v>
      </c>
      <c r="D113" s="15" t="s">
        <v>4772</v>
      </c>
      <c r="E113" s="15" t="s">
        <v>4916</v>
      </c>
      <c r="F113" s="15" t="s">
        <v>464</v>
      </c>
      <c r="G113" s="15" t="s">
        <v>4784</v>
      </c>
    </row>
    <row r="114" customFormat="false" ht="15.75" hidden="false" customHeight="false" outlineLevel="0" collapsed="false">
      <c r="A114" s="20" t="n">
        <v>46090</v>
      </c>
      <c r="B114" s="15" t="s">
        <v>4787</v>
      </c>
      <c r="C114" s="15" t="s">
        <v>505</v>
      </c>
      <c r="D114" s="15" t="s">
        <v>4772</v>
      </c>
      <c r="E114" s="15" t="s">
        <v>4917</v>
      </c>
      <c r="F114" s="15" t="s">
        <v>505</v>
      </c>
      <c r="G114" s="15" t="s">
        <v>4779</v>
      </c>
    </row>
    <row r="115" customFormat="false" ht="15.75" hidden="false" customHeight="false" outlineLevel="0" collapsed="false">
      <c r="A115" s="20" t="n">
        <v>46090</v>
      </c>
      <c r="B115" s="15" t="s">
        <v>4790</v>
      </c>
      <c r="C115" s="15" t="s">
        <v>518</v>
      </c>
      <c r="D115" s="15" t="s">
        <v>4772</v>
      </c>
      <c r="E115" s="15" t="s">
        <v>4918</v>
      </c>
      <c r="F115" s="15" t="s">
        <v>518</v>
      </c>
      <c r="G115" s="15" t="s">
        <v>4784</v>
      </c>
    </row>
    <row r="116" customFormat="false" ht="15.75" hidden="false" customHeight="false" outlineLevel="0" collapsed="false">
      <c r="A116" s="20" t="n">
        <v>46090</v>
      </c>
      <c r="B116" s="15" t="s">
        <v>4793</v>
      </c>
      <c r="C116" s="15" t="s">
        <v>521</v>
      </c>
      <c r="D116" s="15" t="s">
        <v>4772</v>
      </c>
      <c r="E116" s="15" t="s">
        <v>4919</v>
      </c>
      <c r="F116" s="15" t="s">
        <v>4897</v>
      </c>
      <c r="G116" s="15" t="s">
        <v>4779</v>
      </c>
    </row>
    <row r="117" customFormat="false" ht="15.75" hidden="false" customHeight="false" outlineLevel="0" collapsed="false">
      <c r="A117" s="20" t="n">
        <v>46090</v>
      </c>
      <c r="B117" s="15" t="s">
        <v>4795</v>
      </c>
      <c r="C117" s="15" t="s">
        <v>469</v>
      </c>
      <c r="D117" s="15" t="s">
        <v>4772</v>
      </c>
      <c r="E117" s="15" t="s">
        <v>4920</v>
      </c>
      <c r="F117" s="15" t="s">
        <v>469</v>
      </c>
      <c r="G117" s="15" t="s">
        <v>4784</v>
      </c>
    </row>
    <row r="118" customFormat="false" ht="15.75" hidden="false" customHeight="false" outlineLevel="0" collapsed="false">
      <c r="A118" s="20" t="n">
        <v>46090</v>
      </c>
      <c r="B118" s="15" t="s">
        <v>4921</v>
      </c>
      <c r="C118" s="15" t="s">
        <v>452</v>
      </c>
      <c r="D118" s="15" t="s">
        <v>4772</v>
      </c>
      <c r="E118" s="15" t="s">
        <v>4922</v>
      </c>
      <c r="F118" s="15" t="s">
        <v>452</v>
      </c>
      <c r="G118" s="15" t="s">
        <v>4784</v>
      </c>
    </row>
    <row r="119" customFormat="false" ht="15.75" hidden="false" customHeight="false" outlineLevel="0" collapsed="false">
      <c r="A119" s="20" t="n">
        <v>46090</v>
      </c>
      <c r="B119" s="15" t="s">
        <v>4802</v>
      </c>
      <c r="C119" s="15" t="s">
        <v>491</v>
      </c>
      <c r="D119" s="15" t="s">
        <v>4772</v>
      </c>
      <c r="E119" s="15" t="s">
        <v>4923</v>
      </c>
      <c r="F119" s="15" t="s">
        <v>4804</v>
      </c>
      <c r="G119" s="15" t="s">
        <v>4779</v>
      </c>
    </row>
    <row r="120" customFormat="false" ht="15.75" hidden="false" customHeight="false" outlineLevel="0" collapsed="false">
      <c r="A120" s="20" t="n">
        <v>46090</v>
      </c>
      <c r="B120" s="15" t="s">
        <v>4805</v>
      </c>
      <c r="C120" s="15" t="s">
        <v>499</v>
      </c>
      <c r="D120" s="15" t="s">
        <v>4772</v>
      </c>
      <c r="E120" s="15" t="s">
        <v>4924</v>
      </c>
      <c r="F120" s="15" t="s">
        <v>4901</v>
      </c>
      <c r="G120" s="15" t="s">
        <v>4801</v>
      </c>
    </row>
    <row r="121" customFormat="false" ht="15.75" hidden="false" customHeight="false" outlineLevel="0" collapsed="false">
      <c r="A121" s="20" t="n">
        <v>46090</v>
      </c>
      <c r="B121" s="15" t="s">
        <v>4807</v>
      </c>
      <c r="C121" s="15" t="s">
        <v>496</v>
      </c>
      <c r="D121" s="15" t="s">
        <v>4772</v>
      </c>
      <c r="E121" s="15" t="s">
        <v>4925</v>
      </c>
      <c r="F121" s="15" t="s">
        <v>4889</v>
      </c>
      <c r="G121" s="15" t="s">
        <v>4779</v>
      </c>
    </row>
    <row r="122" customFormat="false" ht="15.75" hidden="false" customHeight="false" outlineLevel="0" collapsed="false">
      <c r="A122" s="20" t="n">
        <v>46091</v>
      </c>
      <c r="B122" s="15" t="s">
        <v>4771</v>
      </c>
      <c r="C122" s="15" t="s">
        <v>508</v>
      </c>
      <c r="D122" s="15" t="s">
        <v>4772</v>
      </c>
      <c r="E122" s="15" t="s">
        <v>4926</v>
      </c>
      <c r="F122" s="15" t="s">
        <v>4778</v>
      </c>
      <c r="G122" s="15" t="s">
        <v>4779</v>
      </c>
    </row>
    <row r="123" customFormat="false" ht="15.75" hidden="false" customHeight="false" outlineLevel="0" collapsed="false">
      <c r="A123" s="20" t="n">
        <v>46091</v>
      </c>
      <c r="B123" s="15" t="s">
        <v>4775</v>
      </c>
      <c r="C123" s="15" t="s">
        <v>493</v>
      </c>
      <c r="D123" s="15" t="s">
        <v>4772</v>
      </c>
      <c r="E123" s="15" t="s">
        <v>4927</v>
      </c>
      <c r="F123" s="15" t="s">
        <v>3867</v>
      </c>
      <c r="G123" s="15" t="s">
        <v>4779</v>
      </c>
    </row>
    <row r="124" customFormat="false" ht="15.75" hidden="false" customHeight="false" outlineLevel="0" collapsed="false">
      <c r="A124" s="20" t="n">
        <v>46091</v>
      </c>
      <c r="B124" s="15" t="s">
        <v>4782</v>
      </c>
      <c r="C124" s="15" t="s">
        <v>514</v>
      </c>
      <c r="D124" s="15" t="s">
        <v>4772</v>
      </c>
      <c r="E124" s="15" t="s">
        <v>4928</v>
      </c>
      <c r="F124" s="15" t="s">
        <v>4893</v>
      </c>
      <c r="G124" s="15" t="s">
        <v>4779</v>
      </c>
    </row>
    <row r="125" customFormat="false" ht="15.75" hidden="false" customHeight="false" outlineLevel="0" collapsed="false">
      <c r="A125" s="20" t="n">
        <v>46091</v>
      </c>
      <c r="B125" s="15" t="s">
        <v>4785</v>
      </c>
      <c r="C125" s="15" t="s">
        <v>464</v>
      </c>
      <c r="D125" s="15" t="s">
        <v>4772</v>
      </c>
      <c r="E125" s="15" t="s">
        <v>4929</v>
      </c>
      <c r="F125" s="15" t="s">
        <v>464</v>
      </c>
      <c r="G125" s="15" t="s">
        <v>4784</v>
      </c>
    </row>
    <row r="126" customFormat="false" ht="15.75" hidden="false" customHeight="false" outlineLevel="0" collapsed="false">
      <c r="A126" s="20" t="n">
        <v>46091</v>
      </c>
      <c r="B126" s="15" t="s">
        <v>4787</v>
      </c>
      <c r="C126" s="15" t="s">
        <v>505</v>
      </c>
      <c r="D126" s="15" t="s">
        <v>4772</v>
      </c>
      <c r="E126" s="15" t="s">
        <v>4930</v>
      </c>
      <c r="F126" s="15" t="s">
        <v>505</v>
      </c>
      <c r="G126" s="15" t="s">
        <v>4779</v>
      </c>
    </row>
    <row r="127" customFormat="false" ht="15.75" hidden="false" customHeight="false" outlineLevel="0" collapsed="false">
      <c r="A127" s="20" t="n">
        <v>46091</v>
      </c>
      <c r="B127" s="15" t="s">
        <v>4790</v>
      </c>
      <c r="C127" s="15" t="s">
        <v>518</v>
      </c>
      <c r="D127" s="15" t="s">
        <v>4772</v>
      </c>
      <c r="E127" s="15" t="s">
        <v>4931</v>
      </c>
      <c r="F127" s="15" t="s">
        <v>518</v>
      </c>
      <c r="G127" s="15" t="s">
        <v>4784</v>
      </c>
    </row>
    <row r="128" customFormat="false" ht="15.75" hidden="false" customHeight="false" outlineLevel="0" collapsed="false">
      <c r="A128" s="20" t="n">
        <v>46091</v>
      </c>
      <c r="B128" s="15" t="s">
        <v>4793</v>
      </c>
      <c r="C128" s="15" t="s">
        <v>521</v>
      </c>
      <c r="D128" s="15" t="s">
        <v>4772</v>
      </c>
      <c r="E128" s="15" t="s">
        <v>4932</v>
      </c>
      <c r="F128" s="15" t="s">
        <v>4897</v>
      </c>
      <c r="G128" s="15" t="s">
        <v>4779</v>
      </c>
    </row>
    <row r="129" customFormat="false" ht="15.75" hidden="false" customHeight="false" outlineLevel="0" collapsed="false">
      <c r="A129" s="20" t="n">
        <v>46091</v>
      </c>
      <c r="B129" s="15" t="s">
        <v>4795</v>
      </c>
      <c r="C129" s="15" t="s">
        <v>469</v>
      </c>
      <c r="D129" s="15" t="s">
        <v>4772</v>
      </c>
      <c r="E129" s="15" t="s">
        <v>4933</v>
      </c>
      <c r="F129" s="15" t="s">
        <v>469</v>
      </c>
      <c r="G129" s="15" t="s">
        <v>4784</v>
      </c>
    </row>
    <row r="130" customFormat="false" ht="15.75" hidden="false" customHeight="false" outlineLevel="0" collapsed="false">
      <c r="A130" s="20" t="n">
        <v>46091</v>
      </c>
      <c r="B130" s="15" t="s">
        <v>4921</v>
      </c>
      <c r="C130" s="15" t="s">
        <v>452</v>
      </c>
      <c r="D130" s="15" t="s">
        <v>4772</v>
      </c>
      <c r="E130" s="15" t="s">
        <v>4934</v>
      </c>
      <c r="F130" s="15" t="s">
        <v>452</v>
      </c>
      <c r="G130" s="15" t="s">
        <v>4784</v>
      </c>
    </row>
    <row r="131" customFormat="false" ht="15.75" hidden="false" customHeight="false" outlineLevel="0" collapsed="false">
      <c r="A131" s="20" t="n">
        <v>46091</v>
      </c>
      <c r="B131" s="15" t="s">
        <v>4802</v>
      </c>
      <c r="C131" s="15" t="s">
        <v>491</v>
      </c>
      <c r="D131" s="15" t="s">
        <v>4772</v>
      </c>
      <c r="E131" s="15" t="s">
        <v>4935</v>
      </c>
      <c r="F131" s="15" t="s">
        <v>4804</v>
      </c>
      <c r="G131" s="15" t="s">
        <v>4779</v>
      </c>
    </row>
    <row r="132" customFormat="false" ht="15.75" hidden="false" customHeight="false" outlineLevel="0" collapsed="false">
      <c r="A132" s="20" t="n">
        <v>46091</v>
      </c>
      <c r="B132" s="15" t="s">
        <v>4805</v>
      </c>
      <c r="C132" s="15" t="s">
        <v>499</v>
      </c>
      <c r="D132" s="15" t="s">
        <v>4772</v>
      </c>
      <c r="E132" s="15" t="s">
        <v>4936</v>
      </c>
      <c r="F132" s="15" t="s">
        <v>4901</v>
      </c>
      <c r="G132" s="15" t="s">
        <v>4801</v>
      </c>
    </row>
    <row r="133" customFormat="false" ht="15.75" hidden="false" customHeight="false" outlineLevel="0" collapsed="false">
      <c r="A133" s="20" t="n">
        <v>46091</v>
      </c>
      <c r="B133" s="15" t="s">
        <v>4807</v>
      </c>
      <c r="C133" s="15" t="s">
        <v>496</v>
      </c>
      <c r="D133" s="15" t="s">
        <v>4772</v>
      </c>
      <c r="E133" s="15" t="s">
        <v>4937</v>
      </c>
      <c r="F133" s="15" t="s">
        <v>4889</v>
      </c>
      <c r="G133" s="15" t="s">
        <v>4779</v>
      </c>
    </row>
    <row r="134" customFormat="false" ht="15.75" hidden="false" customHeight="false" outlineLevel="0" collapsed="false">
      <c r="A134" s="20" t="n">
        <v>46092</v>
      </c>
      <c r="B134" s="15" t="s">
        <v>4771</v>
      </c>
      <c r="C134" s="15" t="s">
        <v>508</v>
      </c>
      <c r="D134" s="15" t="s">
        <v>4772</v>
      </c>
      <c r="E134" s="15" t="s">
        <v>4938</v>
      </c>
      <c r="F134" s="15" t="s">
        <v>4778</v>
      </c>
      <c r="G134" s="15" t="s">
        <v>4779</v>
      </c>
    </row>
    <row r="135" customFormat="false" ht="15.75" hidden="false" customHeight="false" outlineLevel="0" collapsed="false">
      <c r="A135" s="20" t="n">
        <v>46092</v>
      </c>
      <c r="B135" s="15" t="s">
        <v>4775</v>
      </c>
      <c r="C135" s="15" t="s">
        <v>493</v>
      </c>
      <c r="D135" s="15" t="s">
        <v>4772</v>
      </c>
      <c r="E135" s="15" t="s">
        <v>4939</v>
      </c>
      <c r="F135" s="15" t="s">
        <v>3867</v>
      </c>
      <c r="G135" s="15" t="s">
        <v>4779</v>
      </c>
    </row>
    <row r="136" customFormat="false" ht="15.75" hidden="false" customHeight="false" outlineLevel="0" collapsed="false">
      <c r="A136" s="20" t="n">
        <v>46092</v>
      </c>
      <c r="B136" s="15" t="s">
        <v>4782</v>
      </c>
      <c r="C136" s="15" t="s">
        <v>514</v>
      </c>
      <c r="D136" s="15" t="s">
        <v>4772</v>
      </c>
      <c r="E136" s="15" t="s">
        <v>4940</v>
      </c>
      <c r="F136" s="15" t="s">
        <v>4893</v>
      </c>
      <c r="G136" s="15" t="s">
        <v>4779</v>
      </c>
    </row>
    <row r="137" customFormat="false" ht="15.75" hidden="false" customHeight="false" outlineLevel="0" collapsed="false">
      <c r="A137" s="20" t="n">
        <v>46092</v>
      </c>
      <c r="B137" s="15" t="s">
        <v>4785</v>
      </c>
      <c r="C137" s="15" t="s">
        <v>464</v>
      </c>
      <c r="D137" s="15" t="s">
        <v>4772</v>
      </c>
      <c r="E137" s="15" t="s">
        <v>4941</v>
      </c>
      <c r="F137" s="15" t="s">
        <v>464</v>
      </c>
      <c r="G137" s="15" t="s">
        <v>4784</v>
      </c>
    </row>
    <row r="138" customFormat="false" ht="15.75" hidden="false" customHeight="false" outlineLevel="0" collapsed="false">
      <c r="A138" s="20" t="n">
        <v>46092</v>
      </c>
      <c r="B138" s="15" t="s">
        <v>4787</v>
      </c>
      <c r="C138" s="15" t="s">
        <v>505</v>
      </c>
      <c r="D138" s="15" t="s">
        <v>4772</v>
      </c>
      <c r="E138" s="15" t="s">
        <v>4942</v>
      </c>
      <c r="F138" s="15" t="s">
        <v>505</v>
      </c>
      <c r="G138" s="15" t="s">
        <v>4779</v>
      </c>
    </row>
    <row r="139" customFormat="false" ht="15.75" hidden="false" customHeight="false" outlineLevel="0" collapsed="false">
      <c r="A139" s="20" t="n">
        <v>46092</v>
      </c>
      <c r="B139" s="15" t="s">
        <v>4790</v>
      </c>
      <c r="C139" s="15" t="s">
        <v>518</v>
      </c>
      <c r="D139" s="15" t="s">
        <v>4772</v>
      </c>
      <c r="E139" s="15" t="s">
        <v>4943</v>
      </c>
      <c r="F139" s="15" t="s">
        <v>518</v>
      </c>
      <c r="G139" s="15" t="s">
        <v>4784</v>
      </c>
    </row>
    <row r="140" customFormat="false" ht="15.75" hidden="false" customHeight="false" outlineLevel="0" collapsed="false">
      <c r="A140" s="20" t="n">
        <v>46092</v>
      </c>
      <c r="B140" s="15" t="s">
        <v>4793</v>
      </c>
      <c r="C140" s="15" t="s">
        <v>521</v>
      </c>
      <c r="D140" s="15" t="s">
        <v>4772</v>
      </c>
      <c r="E140" s="15" t="s">
        <v>4944</v>
      </c>
      <c r="F140" s="15" t="s">
        <v>4897</v>
      </c>
      <c r="G140" s="15" t="s">
        <v>4779</v>
      </c>
    </row>
    <row r="141" customFormat="false" ht="15.75" hidden="false" customHeight="false" outlineLevel="0" collapsed="false">
      <c r="A141" s="20" t="n">
        <v>46092</v>
      </c>
      <c r="B141" s="15" t="s">
        <v>4795</v>
      </c>
      <c r="C141" s="15" t="s">
        <v>469</v>
      </c>
      <c r="D141" s="15" t="s">
        <v>4772</v>
      </c>
      <c r="E141" s="15" t="s">
        <v>4945</v>
      </c>
      <c r="F141" s="15" t="s">
        <v>469</v>
      </c>
      <c r="G141" s="15" t="s">
        <v>4784</v>
      </c>
    </row>
    <row r="142" customFormat="false" ht="15.75" hidden="false" customHeight="false" outlineLevel="0" collapsed="false">
      <c r="A142" s="20" t="n">
        <v>46092</v>
      </c>
      <c r="B142" s="15" t="s">
        <v>4798</v>
      </c>
      <c r="C142" s="15" t="s">
        <v>530</v>
      </c>
      <c r="D142" s="15" t="s">
        <v>4772</v>
      </c>
      <c r="E142" s="15" t="s">
        <v>4946</v>
      </c>
      <c r="F142" s="15" t="s">
        <v>4947</v>
      </c>
      <c r="G142" s="15" t="s">
        <v>4779</v>
      </c>
    </row>
    <row r="143" customFormat="false" ht="15.75" hidden="false" customHeight="false" outlineLevel="0" collapsed="false">
      <c r="A143" s="20" t="n">
        <v>46092</v>
      </c>
      <c r="B143" s="15" t="s">
        <v>4921</v>
      </c>
      <c r="C143" s="15" t="s">
        <v>452</v>
      </c>
      <c r="D143" s="15" t="s">
        <v>4772</v>
      </c>
      <c r="E143" s="15" t="s">
        <v>4948</v>
      </c>
      <c r="F143" s="15" t="s">
        <v>452</v>
      </c>
      <c r="G143" s="15" t="s">
        <v>4784</v>
      </c>
    </row>
    <row r="144" customFormat="false" ht="15.75" hidden="false" customHeight="false" outlineLevel="0" collapsed="false">
      <c r="A144" s="20" t="n">
        <v>46092</v>
      </c>
      <c r="B144" s="15" t="s">
        <v>4802</v>
      </c>
      <c r="C144" s="15" t="s">
        <v>491</v>
      </c>
      <c r="D144" s="15" t="s">
        <v>4772</v>
      </c>
      <c r="E144" s="15" t="s">
        <v>4949</v>
      </c>
      <c r="F144" s="15" t="s">
        <v>4804</v>
      </c>
      <c r="G144" s="15" t="s">
        <v>4779</v>
      </c>
    </row>
    <row r="145" customFormat="false" ht="15.75" hidden="false" customHeight="false" outlineLevel="0" collapsed="false">
      <c r="A145" s="20" t="n">
        <v>46092</v>
      </c>
      <c r="B145" s="15" t="s">
        <v>4805</v>
      </c>
      <c r="C145" s="15" t="s">
        <v>487</v>
      </c>
      <c r="D145" s="15" t="s">
        <v>4772</v>
      </c>
      <c r="E145" s="15" t="s">
        <v>4950</v>
      </c>
      <c r="F145" s="15" t="s">
        <v>4951</v>
      </c>
      <c r="G145" s="15" t="s">
        <v>4779</v>
      </c>
    </row>
    <row r="146" customFormat="false" ht="15.75" hidden="false" customHeight="false" outlineLevel="0" collapsed="false">
      <c r="A146" s="20" t="n">
        <v>46092</v>
      </c>
      <c r="B146" s="15" t="s">
        <v>4807</v>
      </c>
      <c r="C146" s="15" t="s">
        <v>496</v>
      </c>
      <c r="D146" s="15" t="s">
        <v>4772</v>
      </c>
      <c r="E146" s="15" t="s">
        <v>4952</v>
      </c>
      <c r="F146" s="15" t="s">
        <v>4889</v>
      </c>
      <c r="G146" s="15" t="s">
        <v>4779</v>
      </c>
    </row>
    <row r="147" customFormat="false" ht="15.75" hidden="false" customHeight="false" outlineLevel="0" collapsed="false">
      <c r="A147" s="20" t="n">
        <v>46093</v>
      </c>
      <c r="B147" s="15" t="s">
        <v>4771</v>
      </c>
      <c r="C147" s="15" t="s">
        <v>508</v>
      </c>
      <c r="D147" s="15" t="s">
        <v>4772</v>
      </c>
      <c r="E147" s="15" t="s">
        <v>4953</v>
      </c>
      <c r="F147" s="15" t="s">
        <v>4778</v>
      </c>
      <c r="G147" s="15" t="s">
        <v>4779</v>
      </c>
    </row>
    <row r="148" customFormat="false" ht="15.75" hidden="false" customHeight="false" outlineLevel="0" collapsed="false">
      <c r="A148" s="20" t="n">
        <v>46093</v>
      </c>
      <c r="B148" s="15" t="s">
        <v>4775</v>
      </c>
      <c r="C148" s="15" t="s">
        <v>503</v>
      </c>
      <c r="D148" s="15" t="s">
        <v>4772</v>
      </c>
      <c r="E148" s="15" t="s">
        <v>4954</v>
      </c>
      <c r="F148" s="15" t="s">
        <v>4955</v>
      </c>
      <c r="G148" s="15" t="s">
        <v>4779</v>
      </c>
    </row>
    <row r="149" customFormat="false" ht="15.75" hidden="false" customHeight="false" outlineLevel="0" collapsed="false">
      <c r="A149" s="20" t="n">
        <v>46093</v>
      </c>
      <c r="B149" s="15" t="s">
        <v>4782</v>
      </c>
      <c r="C149" s="15" t="s">
        <v>514</v>
      </c>
      <c r="D149" s="15" t="s">
        <v>4772</v>
      </c>
      <c r="E149" s="15" t="s">
        <v>4956</v>
      </c>
      <c r="F149" s="15" t="s">
        <v>4893</v>
      </c>
      <c r="G149" s="15" t="s">
        <v>4779</v>
      </c>
    </row>
    <row r="150" customFormat="false" ht="15.75" hidden="false" customHeight="false" outlineLevel="0" collapsed="false">
      <c r="A150" s="20" t="n">
        <v>46093</v>
      </c>
      <c r="B150" s="15" t="s">
        <v>4785</v>
      </c>
      <c r="C150" s="15" t="s">
        <v>464</v>
      </c>
      <c r="D150" s="15" t="s">
        <v>4772</v>
      </c>
      <c r="E150" s="15" t="s">
        <v>4957</v>
      </c>
      <c r="F150" s="15" t="s">
        <v>464</v>
      </c>
      <c r="G150" s="15" t="s">
        <v>4784</v>
      </c>
    </row>
    <row r="151" customFormat="false" ht="15.75" hidden="false" customHeight="false" outlineLevel="0" collapsed="false">
      <c r="A151" s="20" t="n">
        <v>46093</v>
      </c>
      <c r="B151" s="15" t="s">
        <v>4787</v>
      </c>
      <c r="C151" s="15" t="s">
        <v>505</v>
      </c>
      <c r="D151" s="15" t="s">
        <v>4772</v>
      </c>
      <c r="E151" s="15" t="s">
        <v>4958</v>
      </c>
      <c r="F151" s="15" t="s">
        <v>505</v>
      </c>
      <c r="G151" s="15" t="s">
        <v>4779</v>
      </c>
    </row>
    <row r="152" customFormat="false" ht="15.75" hidden="false" customHeight="false" outlineLevel="0" collapsed="false">
      <c r="A152" s="20" t="n">
        <v>46093</v>
      </c>
      <c r="B152" s="15" t="s">
        <v>4790</v>
      </c>
      <c r="C152" s="15" t="s">
        <v>518</v>
      </c>
      <c r="D152" s="15" t="s">
        <v>4772</v>
      </c>
      <c r="E152" s="15" t="s">
        <v>4959</v>
      </c>
      <c r="F152" s="15" t="s">
        <v>518</v>
      </c>
      <c r="G152" s="15" t="s">
        <v>4784</v>
      </c>
    </row>
    <row r="153" customFormat="false" ht="15.75" hidden="false" customHeight="false" outlineLevel="0" collapsed="false">
      <c r="A153" s="20" t="n">
        <v>46093</v>
      </c>
      <c r="B153" s="15" t="s">
        <v>4793</v>
      </c>
      <c r="C153" s="15" t="s">
        <v>521</v>
      </c>
      <c r="D153" s="15" t="s">
        <v>4772</v>
      </c>
      <c r="E153" s="15" t="s">
        <v>4960</v>
      </c>
      <c r="F153" s="15" t="s">
        <v>4897</v>
      </c>
      <c r="G153" s="15" t="s">
        <v>4779</v>
      </c>
    </row>
    <row r="154" customFormat="false" ht="15.75" hidden="false" customHeight="false" outlineLevel="0" collapsed="false">
      <c r="A154" s="20" t="n">
        <v>46093</v>
      </c>
      <c r="B154" s="15" t="s">
        <v>4795</v>
      </c>
      <c r="C154" s="15" t="s">
        <v>469</v>
      </c>
      <c r="D154" s="15" t="s">
        <v>4772</v>
      </c>
      <c r="E154" s="15" t="s">
        <v>4961</v>
      </c>
      <c r="F154" s="15" t="s">
        <v>469</v>
      </c>
      <c r="G154" s="15" t="s">
        <v>4784</v>
      </c>
    </row>
    <row r="155" customFormat="false" ht="15.75" hidden="false" customHeight="false" outlineLevel="0" collapsed="false">
      <c r="A155" s="20" t="n">
        <v>46093</v>
      </c>
      <c r="B155" s="15" t="s">
        <v>4798</v>
      </c>
      <c r="C155" s="15" t="s">
        <v>530</v>
      </c>
      <c r="D155" s="15" t="s">
        <v>4772</v>
      </c>
      <c r="E155" s="15" t="s">
        <v>4962</v>
      </c>
      <c r="F155" s="15" t="s">
        <v>4947</v>
      </c>
      <c r="G155" s="15" t="s">
        <v>4779</v>
      </c>
    </row>
    <row r="156" customFormat="false" ht="15.75" hidden="false" customHeight="false" outlineLevel="0" collapsed="false">
      <c r="A156" s="20" t="n">
        <v>46093</v>
      </c>
      <c r="B156" s="15" t="s">
        <v>4921</v>
      </c>
      <c r="C156" s="15" t="s">
        <v>452</v>
      </c>
      <c r="D156" s="15" t="s">
        <v>4772</v>
      </c>
      <c r="E156" s="15" t="s">
        <v>4963</v>
      </c>
      <c r="F156" s="15" t="s">
        <v>452</v>
      </c>
      <c r="G156" s="15" t="s">
        <v>4784</v>
      </c>
    </row>
    <row r="157" customFormat="false" ht="15.75" hidden="false" customHeight="false" outlineLevel="0" collapsed="false">
      <c r="A157" s="20" t="n">
        <v>46093</v>
      </c>
      <c r="B157" s="15" t="s">
        <v>4802</v>
      </c>
      <c r="C157" s="15" t="s">
        <v>491</v>
      </c>
      <c r="D157" s="15" t="s">
        <v>4772</v>
      </c>
      <c r="E157" s="15" t="s">
        <v>4964</v>
      </c>
      <c r="F157" s="15" t="s">
        <v>4804</v>
      </c>
      <c r="G157" s="15" t="s">
        <v>4779</v>
      </c>
    </row>
    <row r="158" customFormat="false" ht="15.75" hidden="false" customHeight="false" outlineLevel="0" collapsed="false">
      <c r="A158" s="20" t="n">
        <v>46093</v>
      </c>
      <c r="B158" s="15" t="s">
        <v>4805</v>
      </c>
      <c r="C158" s="15" t="s">
        <v>487</v>
      </c>
      <c r="D158" s="15" t="s">
        <v>4772</v>
      </c>
      <c r="E158" s="15" t="s">
        <v>4965</v>
      </c>
      <c r="F158" s="15" t="s">
        <v>4951</v>
      </c>
      <c r="G158" s="15" t="s">
        <v>4779</v>
      </c>
    </row>
    <row r="159" customFormat="false" ht="15.75" hidden="false" customHeight="false" outlineLevel="0" collapsed="false">
      <c r="A159" s="20" t="n">
        <v>46093</v>
      </c>
      <c r="B159" s="15" t="s">
        <v>4807</v>
      </c>
      <c r="C159" s="15" t="s">
        <v>496</v>
      </c>
      <c r="D159" s="15" t="s">
        <v>4772</v>
      </c>
      <c r="E159" s="15" t="s">
        <v>4966</v>
      </c>
      <c r="F159" s="15" t="s">
        <v>4889</v>
      </c>
      <c r="G159" s="15" t="s">
        <v>4779</v>
      </c>
    </row>
    <row r="160" customFormat="false" ht="15.75" hidden="false" customHeight="false" outlineLevel="0" collapsed="false">
      <c r="A160" s="20" t="n">
        <v>46094</v>
      </c>
      <c r="B160" s="15" t="s">
        <v>4771</v>
      </c>
      <c r="C160" s="15" t="s">
        <v>468</v>
      </c>
      <c r="D160" s="15" t="s">
        <v>4772</v>
      </c>
      <c r="E160" s="15" t="s">
        <v>4967</v>
      </c>
      <c r="F160" s="15" t="s">
        <v>1277</v>
      </c>
      <c r="G160" s="15" t="s">
        <v>4779</v>
      </c>
    </row>
    <row r="161" customFormat="false" ht="15.75" hidden="false" customHeight="false" outlineLevel="0" collapsed="false">
      <c r="A161" s="20" t="n">
        <v>46094</v>
      </c>
      <c r="B161" s="15" t="s">
        <v>4775</v>
      </c>
      <c r="C161" s="15" t="s">
        <v>503</v>
      </c>
      <c r="D161" s="15" t="s">
        <v>4772</v>
      </c>
      <c r="E161" s="15" t="s">
        <v>4968</v>
      </c>
      <c r="F161" s="15" t="s">
        <v>4955</v>
      </c>
      <c r="G161" s="15" t="s">
        <v>4779</v>
      </c>
    </row>
    <row r="162" customFormat="false" ht="15.75" hidden="false" customHeight="false" outlineLevel="0" collapsed="false">
      <c r="A162" s="20" t="n">
        <v>46094</v>
      </c>
      <c r="B162" s="15" t="s">
        <v>4782</v>
      </c>
      <c r="C162" s="15" t="s">
        <v>514</v>
      </c>
      <c r="D162" s="15" t="s">
        <v>4772</v>
      </c>
      <c r="E162" s="15" t="s">
        <v>4969</v>
      </c>
      <c r="F162" s="15" t="s">
        <v>4893</v>
      </c>
      <c r="G162" s="15" t="s">
        <v>4779</v>
      </c>
    </row>
    <row r="163" customFormat="false" ht="15.75" hidden="false" customHeight="false" outlineLevel="0" collapsed="false">
      <c r="A163" s="20" t="n">
        <v>46094</v>
      </c>
      <c r="B163" s="15" t="s">
        <v>4785</v>
      </c>
      <c r="C163" s="15" t="s">
        <v>464</v>
      </c>
      <c r="D163" s="15" t="s">
        <v>4772</v>
      </c>
      <c r="E163" s="15" t="s">
        <v>4970</v>
      </c>
      <c r="F163" s="15" t="s">
        <v>464</v>
      </c>
      <c r="G163" s="15" t="s">
        <v>4784</v>
      </c>
    </row>
    <row r="164" customFormat="false" ht="15.75" hidden="false" customHeight="false" outlineLevel="0" collapsed="false">
      <c r="A164" s="20" t="n">
        <v>46094</v>
      </c>
      <c r="B164" s="15" t="s">
        <v>4787</v>
      </c>
      <c r="C164" s="15" t="s">
        <v>505</v>
      </c>
      <c r="D164" s="15" t="s">
        <v>4772</v>
      </c>
      <c r="E164" s="15" t="s">
        <v>4971</v>
      </c>
      <c r="F164" s="15" t="s">
        <v>505</v>
      </c>
      <c r="G164" s="15" t="s">
        <v>4779</v>
      </c>
    </row>
    <row r="165" customFormat="false" ht="15.75" hidden="false" customHeight="false" outlineLevel="0" collapsed="false">
      <c r="A165" s="20" t="n">
        <v>46094</v>
      </c>
      <c r="B165" s="15" t="s">
        <v>4790</v>
      </c>
      <c r="C165" s="15" t="s">
        <v>518</v>
      </c>
      <c r="D165" s="15" t="s">
        <v>4772</v>
      </c>
      <c r="E165" s="15" t="s">
        <v>4972</v>
      </c>
      <c r="F165" s="15" t="s">
        <v>518</v>
      </c>
      <c r="G165" s="15" t="s">
        <v>4784</v>
      </c>
    </row>
    <row r="166" customFormat="false" ht="15.75" hidden="false" customHeight="false" outlineLevel="0" collapsed="false">
      <c r="A166" s="20" t="n">
        <v>46094</v>
      </c>
      <c r="B166" s="15" t="s">
        <v>4793</v>
      </c>
      <c r="C166" s="15" t="s">
        <v>519</v>
      </c>
      <c r="D166" s="15" t="s">
        <v>4772</v>
      </c>
      <c r="E166" s="15" t="s">
        <v>4973</v>
      </c>
      <c r="F166" s="15" t="s">
        <v>519</v>
      </c>
      <c r="G166" s="15" t="s">
        <v>4784</v>
      </c>
    </row>
    <row r="167" customFormat="false" ht="15.75" hidden="false" customHeight="false" outlineLevel="0" collapsed="false">
      <c r="A167" s="20" t="n">
        <v>46094</v>
      </c>
      <c r="B167" s="15" t="s">
        <v>4795</v>
      </c>
      <c r="C167" s="15" t="s">
        <v>469</v>
      </c>
      <c r="D167" s="15" t="s">
        <v>4772</v>
      </c>
      <c r="E167" s="15" t="s">
        <v>4974</v>
      </c>
      <c r="F167" s="15" t="s">
        <v>469</v>
      </c>
      <c r="G167" s="15" t="s">
        <v>4784</v>
      </c>
    </row>
    <row r="168" customFormat="false" ht="15.75" hidden="false" customHeight="false" outlineLevel="0" collapsed="false">
      <c r="A168" s="20" t="n">
        <v>46094</v>
      </c>
      <c r="B168" s="15" t="s">
        <v>4921</v>
      </c>
      <c r="C168" s="15" t="s">
        <v>452</v>
      </c>
      <c r="D168" s="15" t="s">
        <v>4772</v>
      </c>
      <c r="E168" s="15" t="s">
        <v>4975</v>
      </c>
      <c r="F168" s="15" t="s">
        <v>452</v>
      </c>
      <c r="G168" s="15" t="s">
        <v>4784</v>
      </c>
    </row>
    <row r="169" customFormat="false" ht="15.75" hidden="false" customHeight="false" outlineLevel="0" collapsed="false">
      <c r="A169" s="20" t="n">
        <v>46094</v>
      </c>
      <c r="B169" s="15" t="s">
        <v>4802</v>
      </c>
      <c r="C169" s="15" t="s">
        <v>491</v>
      </c>
      <c r="D169" s="15" t="s">
        <v>4772</v>
      </c>
      <c r="E169" s="15" t="s">
        <v>4976</v>
      </c>
      <c r="F169" s="15" t="s">
        <v>4804</v>
      </c>
      <c r="G169" s="15" t="s">
        <v>4779</v>
      </c>
    </row>
    <row r="170" customFormat="false" ht="15.75" hidden="false" customHeight="false" outlineLevel="0" collapsed="false">
      <c r="A170" s="20" t="n">
        <v>46094</v>
      </c>
      <c r="B170" s="15" t="s">
        <v>4805</v>
      </c>
      <c r="C170" s="15" t="s">
        <v>487</v>
      </c>
      <c r="D170" s="15" t="s">
        <v>4772</v>
      </c>
      <c r="E170" s="15" t="s">
        <v>4977</v>
      </c>
      <c r="F170" s="15" t="s">
        <v>4951</v>
      </c>
      <c r="G170" s="15" t="s">
        <v>4779</v>
      </c>
    </row>
    <row r="171" customFormat="false" ht="15.75" hidden="false" customHeight="false" outlineLevel="0" collapsed="false">
      <c r="A171" s="20" t="n">
        <v>46094</v>
      </c>
      <c r="B171" s="15" t="s">
        <v>4807</v>
      </c>
      <c r="C171" s="15" t="s">
        <v>496</v>
      </c>
      <c r="D171" s="15" t="s">
        <v>4772</v>
      </c>
      <c r="E171" s="15" t="s">
        <v>4978</v>
      </c>
      <c r="F171" s="15" t="s">
        <v>4889</v>
      </c>
      <c r="G171" s="15" t="s">
        <v>4779</v>
      </c>
    </row>
    <row r="172" customFormat="false" ht="15.75" hidden="false" customHeight="false" outlineLevel="0" collapsed="false">
      <c r="A172" s="20" t="n">
        <v>46095</v>
      </c>
      <c r="B172" s="15" t="s">
        <v>4807</v>
      </c>
      <c r="C172" s="15" t="s">
        <v>496</v>
      </c>
      <c r="D172" s="15" t="s">
        <v>4772</v>
      </c>
      <c r="E172" s="15" t="s">
        <v>4979</v>
      </c>
      <c r="F172" s="15" t="s">
        <v>4889</v>
      </c>
      <c r="G172" s="15" t="s">
        <v>4779</v>
      </c>
    </row>
    <row r="173" customFormat="false" ht="15.75" hidden="false" customHeight="false" outlineLevel="0" collapsed="false">
      <c r="A173" s="20" t="n">
        <v>46097</v>
      </c>
      <c r="B173" s="15" t="s">
        <v>4771</v>
      </c>
      <c r="C173" s="15" t="s">
        <v>468</v>
      </c>
      <c r="D173" s="15" t="s">
        <v>4772</v>
      </c>
      <c r="E173" s="15" t="s">
        <v>4980</v>
      </c>
      <c r="F173" s="15" t="s">
        <v>1277</v>
      </c>
      <c r="G173" s="15" t="s">
        <v>4779</v>
      </c>
    </row>
    <row r="174" customFormat="false" ht="15.75" hidden="false" customHeight="false" outlineLevel="0" collapsed="false">
      <c r="A174" s="20" t="n">
        <v>46097</v>
      </c>
      <c r="B174" s="15" t="s">
        <v>4775</v>
      </c>
      <c r="C174" s="15" t="s">
        <v>503</v>
      </c>
      <c r="D174" s="15" t="s">
        <v>4772</v>
      </c>
      <c r="E174" s="15" t="s">
        <v>4981</v>
      </c>
      <c r="F174" s="15" t="s">
        <v>4955</v>
      </c>
      <c r="G174" s="15" t="s">
        <v>4779</v>
      </c>
    </row>
    <row r="175" customFormat="false" ht="15.75" hidden="false" customHeight="false" outlineLevel="0" collapsed="false">
      <c r="A175" s="20" t="n">
        <v>46097</v>
      </c>
      <c r="B175" s="15" t="s">
        <v>4782</v>
      </c>
      <c r="C175" s="15" t="s">
        <v>514</v>
      </c>
      <c r="D175" s="15" t="s">
        <v>4772</v>
      </c>
      <c r="E175" s="15" t="s">
        <v>4982</v>
      </c>
      <c r="F175" s="15" t="s">
        <v>4893</v>
      </c>
      <c r="G175" s="15" t="s">
        <v>4779</v>
      </c>
    </row>
    <row r="176" customFormat="false" ht="15.75" hidden="false" customHeight="false" outlineLevel="0" collapsed="false">
      <c r="A176" s="20" t="n">
        <v>46097</v>
      </c>
      <c r="B176" s="15" t="s">
        <v>4785</v>
      </c>
      <c r="C176" s="15" t="s">
        <v>464</v>
      </c>
      <c r="D176" s="15" t="s">
        <v>4772</v>
      </c>
      <c r="E176" s="15" t="s">
        <v>4983</v>
      </c>
      <c r="F176" s="15" t="s">
        <v>464</v>
      </c>
      <c r="G176" s="15" t="s">
        <v>4784</v>
      </c>
    </row>
    <row r="177" customFormat="false" ht="15.75" hidden="false" customHeight="false" outlineLevel="0" collapsed="false">
      <c r="A177" s="20" t="n">
        <v>46097</v>
      </c>
      <c r="B177" s="15" t="s">
        <v>4787</v>
      </c>
      <c r="C177" s="15" t="s">
        <v>505</v>
      </c>
      <c r="D177" s="15" t="s">
        <v>4772</v>
      </c>
      <c r="E177" s="15" t="s">
        <v>4984</v>
      </c>
      <c r="F177" s="15" t="s">
        <v>505</v>
      </c>
      <c r="G177" s="15" t="s">
        <v>4779</v>
      </c>
    </row>
    <row r="178" customFormat="false" ht="15.75" hidden="false" customHeight="false" outlineLevel="0" collapsed="false">
      <c r="A178" s="20" t="n">
        <v>46097</v>
      </c>
      <c r="B178" s="15" t="s">
        <v>4790</v>
      </c>
      <c r="C178" s="15" t="s">
        <v>518</v>
      </c>
      <c r="D178" s="15" t="s">
        <v>4772</v>
      </c>
      <c r="E178" s="15" t="s">
        <v>4985</v>
      </c>
      <c r="F178" s="15" t="s">
        <v>518</v>
      </c>
      <c r="G178" s="15" t="s">
        <v>4784</v>
      </c>
    </row>
    <row r="179" customFormat="false" ht="15.75" hidden="false" customHeight="false" outlineLevel="0" collapsed="false">
      <c r="A179" s="20" t="n">
        <v>46097</v>
      </c>
      <c r="B179" s="15" t="s">
        <v>4793</v>
      </c>
      <c r="C179" s="15" t="s">
        <v>519</v>
      </c>
      <c r="D179" s="15" t="s">
        <v>4772</v>
      </c>
      <c r="E179" s="15" t="s">
        <v>4986</v>
      </c>
      <c r="F179" s="15" t="s">
        <v>519</v>
      </c>
      <c r="G179" s="15" t="s">
        <v>4784</v>
      </c>
    </row>
    <row r="180" customFormat="false" ht="15.75" hidden="false" customHeight="false" outlineLevel="0" collapsed="false">
      <c r="A180" s="20" t="n">
        <v>46097</v>
      </c>
      <c r="B180" s="15" t="s">
        <v>4795</v>
      </c>
      <c r="C180" s="15" t="s">
        <v>469</v>
      </c>
      <c r="D180" s="15" t="s">
        <v>4772</v>
      </c>
      <c r="E180" s="15" t="s">
        <v>4987</v>
      </c>
      <c r="F180" s="15" t="s">
        <v>469</v>
      </c>
      <c r="G180" s="15" t="s">
        <v>4784</v>
      </c>
    </row>
    <row r="181" customFormat="false" ht="15.75" hidden="false" customHeight="false" outlineLevel="0" collapsed="false">
      <c r="A181" s="20" t="n">
        <v>46097</v>
      </c>
      <c r="B181" s="15" t="s">
        <v>4921</v>
      </c>
      <c r="C181" s="15" t="s">
        <v>497</v>
      </c>
      <c r="D181" s="15" t="s">
        <v>4772</v>
      </c>
      <c r="E181" s="15" t="s">
        <v>4988</v>
      </c>
      <c r="F181" s="15" t="s">
        <v>4989</v>
      </c>
      <c r="G181" s="15" t="s">
        <v>4779</v>
      </c>
    </row>
    <row r="182" customFormat="false" ht="15.75" hidden="false" customHeight="false" outlineLevel="0" collapsed="false">
      <c r="A182" s="20" t="n">
        <v>46097</v>
      </c>
      <c r="B182" s="15" t="s">
        <v>4802</v>
      </c>
      <c r="C182" s="15" t="s">
        <v>495</v>
      </c>
      <c r="D182" s="15" t="s">
        <v>4772</v>
      </c>
      <c r="E182" s="15" t="s">
        <v>4990</v>
      </c>
      <c r="F182" s="15" t="s">
        <v>495</v>
      </c>
      <c r="G182" s="15" t="s">
        <v>4784</v>
      </c>
    </row>
    <row r="183" customFormat="false" ht="15.75" hidden="false" customHeight="false" outlineLevel="0" collapsed="false">
      <c r="A183" s="20" t="n">
        <v>46097</v>
      </c>
      <c r="B183" s="15" t="s">
        <v>4805</v>
      </c>
      <c r="C183" s="15" t="s">
        <v>487</v>
      </c>
      <c r="D183" s="15" t="s">
        <v>4772</v>
      </c>
      <c r="E183" s="15" t="s">
        <v>4991</v>
      </c>
      <c r="F183" s="15" t="s">
        <v>4951</v>
      </c>
      <c r="G183" s="15" t="s">
        <v>4779</v>
      </c>
    </row>
    <row r="184" customFormat="false" ht="15.75" hidden="false" customHeight="false" outlineLevel="0" collapsed="false">
      <c r="A184" s="20" t="n">
        <v>46097</v>
      </c>
      <c r="B184" s="15" t="s">
        <v>4807</v>
      </c>
      <c r="C184" s="15" t="s">
        <v>496</v>
      </c>
      <c r="D184" s="15" t="s">
        <v>4772</v>
      </c>
      <c r="E184" s="15" t="s">
        <v>4992</v>
      </c>
      <c r="F184" s="15" t="s">
        <v>4889</v>
      </c>
      <c r="G184" s="15" t="s">
        <v>4779</v>
      </c>
    </row>
    <row r="185" customFormat="false" ht="15.75" hidden="false" customHeight="false" outlineLevel="0" collapsed="false">
      <c r="A185" s="20" t="n">
        <v>46098</v>
      </c>
      <c r="B185" s="15" t="s">
        <v>4771</v>
      </c>
      <c r="C185" s="15" t="s">
        <v>468</v>
      </c>
      <c r="D185" s="15" t="s">
        <v>4772</v>
      </c>
      <c r="E185" s="15" t="s">
        <v>4993</v>
      </c>
      <c r="F185" s="15" t="s">
        <v>1277</v>
      </c>
      <c r="G185" s="15" t="s">
        <v>4779</v>
      </c>
    </row>
    <row r="186" customFormat="false" ht="15.75" hidden="false" customHeight="false" outlineLevel="0" collapsed="false">
      <c r="A186" s="20" t="n">
        <v>46098</v>
      </c>
      <c r="B186" s="15" t="s">
        <v>4775</v>
      </c>
      <c r="C186" s="15" t="s">
        <v>503</v>
      </c>
      <c r="D186" s="15" t="s">
        <v>4772</v>
      </c>
      <c r="E186" s="15" t="s">
        <v>4994</v>
      </c>
      <c r="F186" s="15" t="s">
        <v>4955</v>
      </c>
      <c r="G186" s="15" t="s">
        <v>4779</v>
      </c>
    </row>
    <row r="187" customFormat="false" ht="15.75" hidden="false" customHeight="false" outlineLevel="0" collapsed="false">
      <c r="A187" s="20" t="n">
        <v>46098</v>
      </c>
      <c r="B187" s="15" t="s">
        <v>4782</v>
      </c>
      <c r="C187" s="15" t="s">
        <v>514</v>
      </c>
      <c r="D187" s="15" t="s">
        <v>4772</v>
      </c>
      <c r="E187" s="15" t="s">
        <v>4995</v>
      </c>
      <c r="F187" s="15" t="s">
        <v>4893</v>
      </c>
      <c r="G187" s="15" t="s">
        <v>4779</v>
      </c>
    </row>
    <row r="188" customFormat="false" ht="15.75" hidden="false" customHeight="false" outlineLevel="0" collapsed="false">
      <c r="A188" s="20" t="n">
        <v>46098</v>
      </c>
      <c r="B188" s="15" t="s">
        <v>4785</v>
      </c>
      <c r="C188" s="15" t="s">
        <v>464</v>
      </c>
      <c r="D188" s="15" t="s">
        <v>4772</v>
      </c>
      <c r="E188" s="15" t="s">
        <v>4996</v>
      </c>
      <c r="F188" s="15" t="s">
        <v>464</v>
      </c>
      <c r="G188" s="15" t="s">
        <v>4784</v>
      </c>
    </row>
    <row r="189" customFormat="false" ht="15.75" hidden="false" customHeight="false" outlineLevel="0" collapsed="false">
      <c r="A189" s="20" t="n">
        <v>46098</v>
      </c>
      <c r="B189" s="15" t="s">
        <v>4787</v>
      </c>
      <c r="C189" s="15" t="s">
        <v>505</v>
      </c>
      <c r="D189" s="15" t="s">
        <v>4772</v>
      </c>
      <c r="E189" s="15" t="s">
        <v>4997</v>
      </c>
      <c r="F189" s="15" t="s">
        <v>505</v>
      </c>
      <c r="G189" s="15" t="s">
        <v>4779</v>
      </c>
    </row>
    <row r="190" customFormat="false" ht="15.75" hidden="false" customHeight="false" outlineLevel="0" collapsed="false">
      <c r="A190" s="20" t="n">
        <v>46098</v>
      </c>
      <c r="B190" s="15" t="s">
        <v>4790</v>
      </c>
      <c r="C190" s="15" t="s">
        <v>518</v>
      </c>
      <c r="D190" s="15" t="s">
        <v>4772</v>
      </c>
      <c r="E190" s="15" t="s">
        <v>4998</v>
      </c>
      <c r="F190" s="15" t="s">
        <v>518</v>
      </c>
      <c r="G190" s="15" t="s">
        <v>4784</v>
      </c>
    </row>
    <row r="191" customFormat="false" ht="15.75" hidden="false" customHeight="false" outlineLevel="0" collapsed="false">
      <c r="A191" s="20" t="n">
        <v>46098</v>
      </c>
      <c r="B191" s="15" t="s">
        <v>4793</v>
      </c>
      <c r="C191" s="15" t="s">
        <v>519</v>
      </c>
      <c r="D191" s="15" t="s">
        <v>4772</v>
      </c>
      <c r="E191" s="15" t="s">
        <v>4999</v>
      </c>
      <c r="F191" s="15" t="s">
        <v>519</v>
      </c>
      <c r="G191" s="15" t="s">
        <v>4784</v>
      </c>
    </row>
    <row r="192" customFormat="false" ht="15.75" hidden="false" customHeight="false" outlineLevel="0" collapsed="false">
      <c r="A192" s="20" t="n">
        <v>46098</v>
      </c>
      <c r="B192" s="15" t="s">
        <v>4795</v>
      </c>
      <c r="C192" s="15" t="s">
        <v>469</v>
      </c>
      <c r="D192" s="15" t="s">
        <v>4772</v>
      </c>
      <c r="E192" s="15" t="s">
        <v>5000</v>
      </c>
      <c r="F192" s="15" t="s">
        <v>469</v>
      </c>
      <c r="G192" s="15" t="s">
        <v>4784</v>
      </c>
    </row>
    <row r="193" customFormat="false" ht="15.75" hidden="false" customHeight="false" outlineLevel="0" collapsed="false">
      <c r="A193" s="20" t="n">
        <v>46098</v>
      </c>
      <c r="B193" s="15" t="s">
        <v>4921</v>
      </c>
      <c r="C193" s="15" t="s">
        <v>497</v>
      </c>
      <c r="D193" s="15" t="s">
        <v>4772</v>
      </c>
      <c r="E193" s="15" t="s">
        <v>5001</v>
      </c>
      <c r="F193" s="15" t="s">
        <v>4989</v>
      </c>
      <c r="G193" s="15" t="s">
        <v>4779</v>
      </c>
    </row>
    <row r="194" customFormat="false" ht="15.75" hidden="false" customHeight="false" outlineLevel="0" collapsed="false">
      <c r="A194" s="20" t="n">
        <v>46098</v>
      </c>
      <c r="B194" s="15" t="s">
        <v>5002</v>
      </c>
      <c r="C194" s="15" t="s">
        <v>527</v>
      </c>
      <c r="D194" s="15" t="s">
        <v>4772</v>
      </c>
      <c r="E194" s="15" t="s">
        <v>5003</v>
      </c>
      <c r="F194" s="15" t="s">
        <v>5004</v>
      </c>
      <c r="G194" s="15" t="s">
        <v>4779</v>
      </c>
    </row>
    <row r="195" customFormat="false" ht="15.75" hidden="false" customHeight="false" outlineLevel="0" collapsed="false">
      <c r="A195" s="20" t="n">
        <v>46098</v>
      </c>
      <c r="B195" s="15" t="s">
        <v>4802</v>
      </c>
      <c r="C195" s="15" t="s">
        <v>495</v>
      </c>
      <c r="D195" s="15" t="s">
        <v>4772</v>
      </c>
      <c r="E195" s="15" t="s">
        <v>5005</v>
      </c>
      <c r="F195" s="15" t="s">
        <v>495</v>
      </c>
      <c r="G195" s="15" t="s">
        <v>4784</v>
      </c>
    </row>
    <row r="196" customFormat="false" ht="15.75" hidden="false" customHeight="false" outlineLevel="0" collapsed="false">
      <c r="A196" s="20" t="n">
        <v>46098</v>
      </c>
      <c r="B196" s="15" t="s">
        <v>4805</v>
      </c>
      <c r="C196" s="15" t="s">
        <v>450</v>
      </c>
      <c r="D196" s="15" t="s">
        <v>4772</v>
      </c>
      <c r="E196" s="15" t="s">
        <v>5006</v>
      </c>
      <c r="F196" s="15" t="s">
        <v>5007</v>
      </c>
      <c r="G196" s="15" t="s">
        <v>4779</v>
      </c>
    </row>
    <row r="197" customFormat="false" ht="15.75" hidden="false" customHeight="false" outlineLevel="0" collapsed="false">
      <c r="A197" s="20" t="n">
        <v>46098</v>
      </c>
      <c r="B197" s="15" t="s">
        <v>4807</v>
      </c>
      <c r="C197" s="15" t="s">
        <v>496</v>
      </c>
      <c r="D197" s="15" t="s">
        <v>4772</v>
      </c>
      <c r="E197" s="15" t="s">
        <v>5008</v>
      </c>
      <c r="F197" s="15" t="s">
        <v>4889</v>
      </c>
      <c r="G197" s="15" t="s">
        <v>4779</v>
      </c>
    </row>
    <row r="198" customFormat="false" ht="15.75" hidden="false" customHeight="false" outlineLevel="0" collapsed="false">
      <c r="A198" s="20" t="n">
        <v>46099</v>
      </c>
      <c r="B198" s="15" t="s">
        <v>4771</v>
      </c>
      <c r="C198" s="15" t="s">
        <v>468</v>
      </c>
      <c r="D198" s="15" t="s">
        <v>4772</v>
      </c>
      <c r="E198" s="15" t="s">
        <v>5009</v>
      </c>
      <c r="F198" s="15" t="s">
        <v>1277</v>
      </c>
      <c r="G198" s="15" t="s">
        <v>4779</v>
      </c>
    </row>
    <row r="199" customFormat="false" ht="15.75" hidden="false" customHeight="false" outlineLevel="0" collapsed="false">
      <c r="A199" s="20" t="n">
        <v>46099</v>
      </c>
      <c r="B199" s="15" t="s">
        <v>4775</v>
      </c>
      <c r="C199" s="15" t="s">
        <v>503</v>
      </c>
      <c r="D199" s="15" t="s">
        <v>4772</v>
      </c>
      <c r="E199" s="15" t="s">
        <v>5010</v>
      </c>
      <c r="F199" s="15" t="s">
        <v>4955</v>
      </c>
      <c r="G199" s="15" t="s">
        <v>4779</v>
      </c>
    </row>
    <row r="200" customFormat="false" ht="15.75" hidden="false" customHeight="false" outlineLevel="0" collapsed="false">
      <c r="A200" s="20" t="n">
        <v>46099</v>
      </c>
      <c r="B200" s="15" t="s">
        <v>4782</v>
      </c>
      <c r="C200" s="15" t="s">
        <v>453</v>
      </c>
      <c r="D200" s="15" t="s">
        <v>4772</v>
      </c>
      <c r="E200" s="15" t="s">
        <v>5011</v>
      </c>
      <c r="F200" s="15" t="s">
        <v>453</v>
      </c>
      <c r="G200" s="15" t="s">
        <v>4784</v>
      </c>
    </row>
    <row r="201" customFormat="false" ht="15.75" hidden="false" customHeight="false" outlineLevel="0" collapsed="false">
      <c r="A201" s="20" t="n">
        <v>46099</v>
      </c>
      <c r="B201" s="15" t="s">
        <v>4785</v>
      </c>
      <c r="C201" s="15" t="s">
        <v>464</v>
      </c>
      <c r="D201" s="15" t="s">
        <v>4772</v>
      </c>
      <c r="E201" s="15" t="s">
        <v>5012</v>
      </c>
      <c r="F201" s="15" t="s">
        <v>464</v>
      </c>
      <c r="G201" s="15" t="s">
        <v>4784</v>
      </c>
    </row>
    <row r="202" customFormat="false" ht="15.75" hidden="false" customHeight="false" outlineLevel="0" collapsed="false">
      <c r="A202" s="20" t="n">
        <v>46099</v>
      </c>
      <c r="B202" s="15" t="s">
        <v>4787</v>
      </c>
      <c r="C202" s="15" t="s">
        <v>505</v>
      </c>
      <c r="D202" s="15" t="s">
        <v>4772</v>
      </c>
      <c r="E202" s="15" t="s">
        <v>5013</v>
      </c>
      <c r="F202" s="15" t="s">
        <v>505</v>
      </c>
      <c r="G202" s="15" t="s">
        <v>4779</v>
      </c>
    </row>
    <row r="203" customFormat="false" ht="15.75" hidden="false" customHeight="false" outlineLevel="0" collapsed="false">
      <c r="A203" s="20" t="n">
        <v>46099</v>
      </c>
      <c r="B203" s="15" t="s">
        <v>4790</v>
      </c>
      <c r="C203" s="15" t="s">
        <v>518</v>
      </c>
      <c r="D203" s="15" t="s">
        <v>4772</v>
      </c>
      <c r="E203" s="15" t="s">
        <v>5014</v>
      </c>
      <c r="F203" s="15" t="s">
        <v>518</v>
      </c>
      <c r="G203" s="15" t="s">
        <v>4784</v>
      </c>
    </row>
    <row r="204" customFormat="false" ht="15.75" hidden="false" customHeight="false" outlineLevel="0" collapsed="false">
      <c r="A204" s="20" t="n">
        <v>46099</v>
      </c>
      <c r="B204" s="15" t="s">
        <v>4793</v>
      </c>
      <c r="C204" s="15" t="s">
        <v>526</v>
      </c>
      <c r="D204" s="15" t="s">
        <v>4772</v>
      </c>
      <c r="E204" s="15" t="s">
        <v>5015</v>
      </c>
      <c r="F204" s="15" t="s">
        <v>526</v>
      </c>
      <c r="G204" s="15" t="s">
        <v>4779</v>
      </c>
    </row>
    <row r="205" customFormat="false" ht="15.75" hidden="false" customHeight="false" outlineLevel="0" collapsed="false">
      <c r="A205" s="20" t="n">
        <v>46099</v>
      </c>
      <c r="B205" s="15" t="s">
        <v>4795</v>
      </c>
      <c r="C205" s="15" t="s">
        <v>469</v>
      </c>
      <c r="D205" s="15" t="s">
        <v>4772</v>
      </c>
      <c r="E205" s="15" t="s">
        <v>5016</v>
      </c>
      <c r="F205" s="15" t="s">
        <v>469</v>
      </c>
      <c r="G205" s="15" t="s">
        <v>4784</v>
      </c>
    </row>
    <row r="206" customFormat="false" ht="15.75" hidden="false" customHeight="false" outlineLevel="0" collapsed="false">
      <c r="A206" s="20" t="n">
        <v>46099</v>
      </c>
      <c r="B206" s="15" t="s">
        <v>4921</v>
      </c>
      <c r="C206" s="15" t="s">
        <v>482</v>
      </c>
      <c r="D206" s="15" t="s">
        <v>4772</v>
      </c>
      <c r="E206" s="15" t="s">
        <v>5017</v>
      </c>
      <c r="F206" s="15" t="s">
        <v>482</v>
      </c>
      <c r="G206" s="15" t="s">
        <v>4784</v>
      </c>
    </row>
    <row r="207" customFormat="false" ht="15.75" hidden="false" customHeight="false" outlineLevel="0" collapsed="false">
      <c r="A207" s="20" t="n">
        <v>46099</v>
      </c>
      <c r="B207" s="15" t="s">
        <v>5002</v>
      </c>
      <c r="C207" s="15" t="s">
        <v>527</v>
      </c>
      <c r="D207" s="15" t="s">
        <v>4772</v>
      </c>
      <c r="E207" s="15" t="s">
        <v>5018</v>
      </c>
      <c r="F207" s="15" t="s">
        <v>5004</v>
      </c>
      <c r="G207" s="15" t="s">
        <v>4779</v>
      </c>
    </row>
    <row r="208" customFormat="false" ht="15.75" hidden="false" customHeight="false" outlineLevel="0" collapsed="false">
      <c r="A208" s="20" t="n">
        <v>46099</v>
      </c>
      <c r="B208" s="15" t="s">
        <v>4802</v>
      </c>
      <c r="C208" s="15" t="s">
        <v>495</v>
      </c>
      <c r="D208" s="15" t="s">
        <v>4772</v>
      </c>
      <c r="E208" s="15" t="s">
        <v>5019</v>
      </c>
      <c r="F208" s="15" t="s">
        <v>495</v>
      </c>
      <c r="G208" s="15" t="s">
        <v>4784</v>
      </c>
    </row>
    <row r="209" customFormat="false" ht="15.75" hidden="false" customHeight="false" outlineLevel="0" collapsed="false">
      <c r="A209" s="20" t="n">
        <v>46099</v>
      </c>
      <c r="B209" s="15" t="s">
        <v>4805</v>
      </c>
      <c r="C209" s="15" t="s">
        <v>520</v>
      </c>
      <c r="D209" s="15" t="s">
        <v>4772</v>
      </c>
      <c r="E209" s="15" t="s">
        <v>5020</v>
      </c>
      <c r="F209" s="15" t="s">
        <v>5021</v>
      </c>
      <c r="G209" s="15" t="s">
        <v>4779</v>
      </c>
    </row>
    <row r="210" customFormat="false" ht="15.75" hidden="false" customHeight="false" outlineLevel="0" collapsed="false">
      <c r="A210" s="20" t="n">
        <v>46099</v>
      </c>
      <c r="B210" s="15" t="s">
        <v>4807</v>
      </c>
      <c r="C210" s="15" t="s">
        <v>466</v>
      </c>
      <c r="D210" s="15" t="s">
        <v>4772</v>
      </c>
      <c r="E210" s="15" t="s">
        <v>5022</v>
      </c>
      <c r="F210" s="15" t="s">
        <v>5023</v>
      </c>
      <c r="G210" s="15" t="s">
        <v>4779</v>
      </c>
    </row>
    <row r="211" customFormat="false" ht="15.75" hidden="false" customHeight="false" outlineLevel="0" collapsed="false">
      <c r="A211" s="20" t="n">
        <v>46100</v>
      </c>
      <c r="B211" s="15" t="s">
        <v>4771</v>
      </c>
      <c r="C211" s="15" t="s">
        <v>468</v>
      </c>
      <c r="D211" s="15" t="s">
        <v>4772</v>
      </c>
      <c r="E211" s="15" t="s">
        <v>5024</v>
      </c>
      <c r="F211" s="15" t="s">
        <v>1277</v>
      </c>
      <c r="G211" s="15" t="s">
        <v>4779</v>
      </c>
    </row>
    <row r="212" customFormat="false" ht="15.75" hidden="false" customHeight="false" outlineLevel="0" collapsed="false">
      <c r="A212" s="20" t="n">
        <v>46100</v>
      </c>
      <c r="B212" s="15" t="s">
        <v>4775</v>
      </c>
      <c r="C212" s="15" t="s">
        <v>503</v>
      </c>
      <c r="D212" s="15" t="s">
        <v>4772</v>
      </c>
      <c r="E212" s="15" t="s">
        <v>5025</v>
      </c>
      <c r="F212" s="15" t="s">
        <v>4955</v>
      </c>
      <c r="G212" s="15" t="s">
        <v>4779</v>
      </c>
    </row>
    <row r="213" customFormat="false" ht="15.75" hidden="false" customHeight="false" outlineLevel="0" collapsed="false">
      <c r="A213" s="20" t="n">
        <v>46100</v>
      </c>
      <c r="B213" s="15" t="s">
        <v>4782</v>
      </c>
      <c r="C213" s="15" t="s">
        <v>453</v>
      </c>
      <c r="D213" s="15" t="s">
        <v>4772</v>
      </c>
      <c r="E213" s="15" t="s">
        <v>5026</v>
      </c>
      <c r="F213" s="15" t="s">
        <v>453</v>
      </c>
      <c r="G213" s="15" t="s">
        <v>4784</v>
      </c>
    </row>
    <row r="214" customFormat="false" ht="15.75" hidden="false" customHeight="false" outlineLevel="0" collapsed="false">
      <c r="A214" s="20" t="n">
        <v>46100</v>
      </c>
      <c r="B214" s="15" t="s">
        <v>4785</v>
      </c>
      <c r="C214" s="15" t="s">
        <v>464</v>
      </c>
      <c r="D214" s="15" t="s">
        <v>4772</v>
      </c>
      <c r="E214" s="15" t="s">
        <v>5027</v>
      </c>
      <c r="F214" s="15" t="s">
        <v>464</v>
      </c>
      <c r="G214" s="15" t="s">
        <v>4784</v>
      </c>
    </row>
    <row r="215" customFormat="false" ht="15.75" hidden="false" customHeight="false" outlineLevel="0" collapsed="false">
      <c r="A215" s="20" t="n">
        <v>46100</v>
      </c>
      <c r="B215" s="15" t="s">
        <v>4787</v>
      </c>
      <c r="C215" s="15" t="s">
        <v>505</v>
      </c>
      <c r="D215" s="15" t="s">
        <v>4772</v>
      </c>
      <c r="E215" s="15" t="s">
        <v>5028</v>
      </c>
      <c r="F215" s="15" t="s">
        <v>505</v>
      </c>
      <c r="G215" s="15" t="s">
        <v>4779</v>
      </c>
    </row>
    <row r="216" customFormat="false" ht="15.75" hidden="false" customHeight="false" outlineLevel="0" collapsed="false">
      <c r="A216" s="20" t="n">
        <v>46100</v>
      </c>
      <c r="B216" s="15" t="s">
        <v>4790</v>
      </c>
      <c r="C216" s="15" t="s">
        <v>518</v>
      </c>
      <c r="D216" s="15" t="s">
        <v>4772</v>
      </c>
      <c r="E216" s="15" t="s">
        <v>5029</v>
      </c>
      <c r="F216" s="15" t="s">
        <v>518</v>
      </c>
      <c r="G216" s="15" t="s">
        <v>4784</v>
      </c>
    </row>
    <row r="217" customFormat="false" ht="15.75" hidden="false" customHeight="false" outlineLevel="0" collapsed="false">
      <c r="A217" s="20" t="n">
        <v>46100</v>
      </c>
      <c r="B217" s="15" t="s">
        <v>4793</v>
      </c>
      <c r="C217" s="15" t="s">
        <v>526</v>
      </c>
      <c r="D217" s="15" t="s">
        <v>4772</v>
      </c>
      <c r="E217" s="15" t="s">
        <v>5030</v>
      </c>
      <c r="F217" s="15" t="s">
        <v>526</v>
      </c>
      <c r="G217" s="15" t="s">
        <v>4779</v>
      </c>
    </row>
    <row r="218" customFormat="false" ht="15.75" hidden="false" customHeight="false" outlineLevel="0" collapsed="false">
      <c r="A218" s="20" t="n">
        <v>46100</v>
      </c>
      <c r="B218" s="15" t="s">
        <v>4795</v>
      </c>
      <c r="C218" s="15" t="s">
        <v>469</v>
      </c>
      <c r="D218" s="15" t="s">
        <v>4772</v>
      </c>
      <c r="E218" s="15" t="s">
        <v>5031</v>
      </c>
      <c r="F218" s="15" t="s">
        <v>469</v>
      </c>
      <c r="G218" s="15" t="s">
        <v>4784</v>
      </c>
    </row>
    <row r="219" customFormat="false" ht="15.75" hidden="false" customHeight="false" outlineLevel="0" collapsed="false">
      <c r="A219" s="20" t="n">
        <v>46100</v>
      </c>
      <c r="B219" s="15" t="s">
        <v>4921</v>
      </c>
      <c r="C219" s="15" t="s">
        <v>452</v>
      </c>
      <c r="D219" s="15" t="s">
        <v>4772</v>
      </c>
      <c r="E219" s="15" t="s">
        <v>5032</v>
      </c>
      <c r="F219" s="15" t="s">
        <v>452</v>
      </c>
      <c r="G219" s="15" t="s">
        <v>4784</v>
      </c>
    </row>
    <row r="220" customFormat="false" ht="15.75" hidden="false" customHeight="false" outlineLevel="0" collapsed="false">
      <c r="A220" s="20" t="n">
        <v>46100</v>
      </c>
      <c r="B220" s="15" t="s">
        <v>5002</v>
      </c>
      <c r="C220" s="15" t="s">
        <v>529</v>
      </c>
      <c r="D220" s="15" t="s">
        <v>4772</v>
      </c>
      <c r="E220" s="15" t="s">
        <v>5033</v>
      </c>
      <c r="F220" s="15" t="s">
        <v>5034</v>
      </c>
      <c r="G220" s="15" t="s">
        <v>4779</v>
      </c>
    </row>
    <row r="221" customFormat="false" ht="15.75" hidden="false" customHeight="false" outlineLevel="0" collapsed="false">
      <c r="A221" s="20" t="n">
        <v>46100</v>
      </c>
      <c r="B221" s="15" t="s">
        <v>4802</v>
      </c>
      <c r="C221" s="15" t="s">
        <v>495</v>
      </c>
      <c r="D221" s="15" t="s">
        <v>4772</v>
      </c>
      <c r="E221" s="15" t="s">
        <v>5035</v>
      </c>
      <c r="F221" s="15" t="s">
        <v>495</v>
      </c>
      <c r="G221" s="15" t="s">
        <v>4784</v>
      </c>
    </row>
    <row r="222" customFormat="false" ht="15.75" hidden="false" customHeight="false" outlineLevel="0" collapsed="false">
      <c r="A222" s="20" t="n">
        <v>46100</v>
      </c>
      <c r="B222" s="15" t="s">
        <v>4805</v>
      </c>
      <c r="C222" s="15" t="s">
        <v>520</v>
      </c>
      <c r="D222" s="15" t="s">
        <v>4772</v>
      </c>
      <c r="E222" s="15" t="s">
        <v>5036</v>
      </c>
      <c r="F222" s="15" t="s">
        <v>5021</v>
      </c>
      <c r="G222" s="15" t="s">
        <v>4779</v>
      </c>
    </row>
    <row r="223" customFormat="false" ht="15.75" hidden="false" customHeight="false" outlineLevel="0" collapsed="false">
      <c r="A223" s="20" t="n">
        <v>46100</v>
      </c>
      <c r="B223" s="15" t="s">
        <v>4807</v>
      </c>
      <c r="C223" s="15" t="s">
        <v>465</v>
      </c>
      <c r="D223" s="15" t="s">
        <v>4772</v>
      </c>
      <c r="E223" s="15" t="s">
        <v>5037</v>
      </c>
      <c r="F223" s="15" t="s">
        <v>5038</v>
      </c>
      <c r="G223" s="15" t="s">
        <v>4779</v>
      </c>
    </row>
    <row r="224" customFormat="false" ht="15.75" hidden="false" customHeight="false" outlineLevel="0" collapsed="false">
      <c r="A224" s="20" t="n">
        <v>46101</v>
      </c>
      <c r="B224" s="15" t="s">
        <v>4771</v>
      </c>
      <c r="C224" s="15" t="s">
        <v>468</v>
      </c>
      <c r="D224" s="15" t="s">
        <v>4772</v>
      </c>
      <c r="E224" s="15" t="s">
        <v>5039</v>
      </c>
      <c r="F224" s="15" t="s">
        <v>1277</v>
      </c>
      <c r="G224" s="15" t="s">
        <v>4779</v>
      </c>
    </row>
    <row r="225" customFormat="false" ht="15.75" hidden="false" customHeight="false" outlineLevel="0" collapsed="false">
      <c r="A225" s="20" t="n">
        <v>46101</v>
      </c>
      <c r="B225" s="15" t="s">
        <v>4775</v>
      </c>
      <c r="C225" s="15" t="s">
        <v>503</v>
      </c>
      <c r="D225" s="15" t="s">
        <v>4772</v>
      </c>
      <c r="E225" s="15" t="s">
        <v>5040</v>
      </c>
      <c r="F225" s="15" t="s">
        <v>4955</v>
      </c>
      <c r="G225" s="15" t="s">
        <v>4779</v>
      </c>
    </row>
    <row r="226" customFormat="false" ht="15.75" hidden="false" customHeight="false" outlineLevel="0" collapsed="false">
      <c r="A226" s="20" t="n">
        <v>46101</v>
      </c>
      <c r="B226" s="15" t="s">
        <v>4782</v>
      </c>
      <c r="C226" s="15" t="s">
        <v>453</v>
      </c>
      <c r="D226" s="15" t="s">
        <v>4772</v>
      </c>
      <c r="E226" s="15" t="s">
        <v>5041</v>
      </c>
      <c r="F226" s="15" t="s">
        <v>453</v>
      </c>
      <c r="G226" s="15" t="s">
        <v>4784</v>
      </c>
    </row>
    <row r="227" customFormat="false" ht="15.75" hidden="false" customHeight="false" outlineLevel="0" collapsed="false">
      <c r="A227" s="20" t="n">
        <v>46101</v>
      </c>
      <c r="B227" s="15" t="s">
        <v>4785</v>
      </c>
      <c r="C227" s="15" t="s">
        <v>464</v>
      </c>
      <c r="D227" s="15" t="s">
        <v>4772</v>
      </c>
      <c r="E227" s="15" t="s">
        <v>5042</v>
      </c>
      <c r="F227" s="15" t="s">
        <v>464</v>
      </c>
      <c r="G227" s="15" t="s">
        <v>4784</v>
      </c>
    </row>
    <row r="228" customFormat="false" ht="15.75" hidden="false" customHeight="false" outlineLevel="0" collapsed="false">
      <c r="A228" s="20" t="n">
        <v>46101</v>
      </c>
      <c r="B228" s="15" t="s">
        <v>4787</v>
      </c>
      <c r="C228" s="15" t="s">
        <v>505</v>
      </c>
      <c r="D228" s="15" t="s">
        <v>4772</v>
      </c>
      <c r="E228" s="15" t="s">
        <v>5043</v>
      </c>
      <c r="F228" s="15" t="s">
        <v>505</v>
      </c>
      <c r="G228" s="15" t="s">
        <v>4779</v>
      </c>
    </row>
    <row r="229" customFormat="false" ht="15.75" hidden="false" customHeight="false" outlineLevel="0" collapsed="false">
      <c r="A229" s="20" t="n">
        <v>46101</v>
      </c>
      <c r="B229" s="15" t="s">
        <v>4790</v>
      </c>
      <c r="C229" s="15" t="s">
        <v>518</v>
      </c>
      <c r="D229" s="15" t="s">
        <v>4772</v>
      </c>
      <c r="E229" s="15" t="s">
        <v>5044</v>
      </c>
      <c r="F229" s="15" t="s">
        <v>518</v>
      </c>
      <c r="G229" s="15" t="s">
        <v>4784</v>
      </c>
    </row>
    <row r="230" customFormat="false" ht="15.75" hidden="false" customHeight="false" outlineLevel="0" collapsed="false">
      <c r="A230" s="20" t="n">
        <v>46101</v>
      </c>
      <c r="B230" s="15" t="s">
        <v>4793</v>
      </c>
      <c r="C230" s="15" t="s">
        <v>526</v>
      </c>
      <c r="D230" s="15" t="s">
        <v>4772</v>
      </c>
      <c r="E230" s="15" t="s">
        <v>5045</v>
      </c>
      <c r="F230" s="15" t="s">
        <v>526</v>
      </c>
      <c r="G230" s="15" t="s">
        <v>4779</v>
      </c>
    </row>
    <row r="231" customFormat="false" ht="15.75" hidden="false" customHeight="false" outlineLevel="0" collapsed="false">
      <c r="A231" s="20" t="n">
        <v>46101</v>
      </c>
      <c r="B231" s="15" t="s">
        <v>4795</v>
      </c>
      <c r="C231" s="15" t="s">
        <v>469</v>
      </c>
      <c r="D231" s="15" t="s">
        <v>4772</v>
      </c>
      <c r="E231" s="15" t="s">
        <v>5046</v>
      </c>
      <c r="F231" s="15" t="s">
        <v>469</v>
      </c>
      <c r="G231" s="15" t="s">
        <v>4784</v>
      </c>
    </row>
    <row r="232" customFormat="false" ht="15.75" hidden="false" customHeight="false" outlineLevel="0" collapsed="false">
      <c r="A232" s="20" t="n">
        <v>46101</v>
      </c>
      <c r="B232" s="15" t="s">
        <v>4921</v>
      </c>
      <c r="C232" s="15" t="s">
        <v>452</v>
      </c>
      <c r="D232" s="15" t="s">
        <v>4772</v>
      </c>
      <c r="E232" s="15" t="s">
        <v>5047</v>
      </c>
      <c r="F232" s="15" t="s">
        <v>452</v>
      </c>
      <c r="G232" s="15" t="s">
        <v>4784</v>
      </c>
    </row>
    <row r="233" customFormat="false" ht="15.75" hidden="false" customHeight="false" outlineLevel="0" collapsed="false">
      <c r="A233" s="20" t="n">
        <v>46101</v>
      </c>
      <c r="B233" s="15" t="s">
        <v>5002</v>
      </c>
      <c r="C233" s="15" t="s">
        <v>529</v>
      </c>
      <c r="D233" s="15" t="s">
        <v>4772</v>
      </c>
      <c r="E233" s="15" t="s">
        <v>5048</v>
      </c>
      <c r="F233" s="15" t="s">
        <v>5034</v>
      </c>
      <c r="G233" s="15" t="s">
        <v>4779</v>
      </c>
    </row>
    <row r="234" customFormat="false" ht="15.75" hidden="false" customHeight="false" outlineLevel="0" collapsed="false">
      <c r="A234" s="20" t="n">
        <v>46101</v>
      </c>
      <c r="B234" s="15" t="s">
        <v>4802</v>
      </c>
      <c r="C234" s="15" t="s">
        <v>495</v>
      </c>
      <c r="D234" s="15" t="s">
        <v>4772</v>
      </c>
      <c r="E234" s="15" t="s">
        <v>5049</v>
      </c>
      <c r="F234" s="15" t="s">
        <v>495</v>
      </c>
      <c r="G234" s="15" t="s">
        <v>4784</v>
      </c>
    </row>
    <row r="235" customFormat="false" ht="15.75" hidden="false" customHeight="false" outlineLevel="0" collapsed="false">
      <c r="A235" s="20" t="n">
        <v>46101</v>
      </c>
      <c r="B235" s="15" t="s">
        <v>4805</v>
      </c>
      <c r="C235" s="15" t="s">
        <v>520</v>
      </c>
      <c r="D235" s="15" t="s">
        <v>4772</v>
      </c>
      <c r="E235" s="15" t="s">
        <v>5050</v>
      </c>
      <c r="F235" s="15" t="s">
        <v>5021</v>
      </c>
      <c r="G235" s="15" t="s">
        <v>4779</v>
      </c>
    </row>
    <row r="236" customFormat="false" ht="15.75" hidden="false" customHeight="false" outlineLevel="0" collapsed="false">
      <c r="A236" s="20" t="n">
        <v>46101</v>
      </c>
      <c r="B236" s="15" t="s">
        <v>4807</v>
      </c>
      <c r="C236" s="15" t="s">
        <v>465</v>
      </c>
      <c r="D236" s="15" t="s">
        <v>4772</v>
      </c>
      <c r="E236" s="15" t="s">
        <v>5051</v>
      </c>
      <c r="F236" s="15" t="s">
        <v>5038</v>
      </c>
      <c r="G236" s="15" t="s">
        <v>4779</v>
      </c>
    </row>
    <row r="237" customFormat="false" ht="15.75" hidden="false" customHeight="false" outlineLevel="0" collapsed="false">
      <c r="A237" s="20" t="n">
        <v>46102</v>
      </c>
      <c r="B237" s="15" t="s">
        <v>4775</v>
      </c>
      <c r="C237" s="15" t="s">
        <v>503</v>
      </c>
      <c r="D237" s="15" t="s">
        <v>4772</v>
      </c>
      <c r="E237" s="15" t="s">
        <v>5052</v>
      </c>
      <c r="F237" s="15" t="s">
        <v>4955</v>
      </c>
      <c r="G237" s="15" t="s">
        <v>4779</v>
      </c>
    </row>
    <row r="238" customFormat="false" ht="15.75" hidden="false" customHeight="false" outlineLevel="0" collapsed="false">
      <c r="A238" s="20" t="n">
        <v>46102</v>
      </c>
      <c r="B238" s="15" t="s">
        <v>4782</v>
      </c>
      <c r="C238" s="15" t="s">
        <v>453</v>
      </c>
      <c r="D238" s="15" t="s">
        <v>4772</v>
      </c>
      <c r="E238" s="15" t="s">
        <v>5053</v>
      </c>
      <c r="F238" s="15" t="s">
        <v>453</v>
      </c>
      <c r="G238" s="15" t="s">
        <v>4784</v>
      </c>
    </row>
    <row r="239" customFormat="false" ht="15.75" hidden="false" customHeight="false" outlineLevel="0" collapsed="false">
      <c r="A239" s="20" t="n">
        <v>46104</v>
      </c>
      <c r="B239" s="15" t="s">
        <v>4771</v>
      </c>
      <c r="C239" s="15" t="s">
        <v>468</v>
      </c>
      <c r="D239" s="15" t="s">
        <v>4772</v>
      </c>
      <c r="E239" s="15" t="s">
        <v>5054</v>
      </c>
      <c r="F239" s="15" t="s">
        <v>1277</v>
      </c>
      <c r="G239" s="15" t="s">
        <v>4779</v>
      </c>
    </row>
    <row r="240" customFormat="false" ht="15.75" hidden="false" customHeight="false" outlineLevel="0" collapsed="false">
      <c r="A240" s="20" t="n">
        <v>46104</v>
      </c>
      <c r="B240" s="15" t="s">
        <v>4775</v>
      </c>
      <c r="C240" s="15" t="s">
        <v>467</v>
      </c>
      <c r="D240" s="15" t="s">
        <v>4772</v>
      </c>
      <c r="E240" s="15" t="s">
        <v>5055</v>
      </c>
      <c r="F240" s="15" t="s">
        <v>4781</v>
      </c>
      <c r="G240" s="15" t="s">
        <v>4779</v>
      </c>
    </row>
    <row r="241" customFormat="false" ht="15.75" hidden="false" customHeight="false" outlineLevel="0" collapsed="false">
      <c r="A241" s="20" t="n">
        <v>46104</v>
      </c>
      <c r="B241" s="15" t="s">
        <v>4782</v>
      </c>
      <c r="C241" s="15" t="s">
        <v>453</v>
      </c>
      <c r="D241" s="15" t="s">
        <v>4772</v>
      </c>
      <c r="E241" s="15" t="s">
        <v>5056</v>
      </c>
      <c r="F241" s="15" t="s">
        <v>453</v>
      </c>
      <c r="G241" s="15" t="s">
        <v>4784</v>
      </c>
    </row>
    <row r="242" customFormat="false" ht="15.75" hidden="false" customHeight="false" outlineLevel="0" collapsed="false">
      <c r="A242" s="20" t="n">
        <v>46104</v>
      </c>
      <c r="B242" s="15" t="s">
        <v>4785</v>
      </c>
      <c r="C242" s="15" t="s">
        <v>464</v>
      </c>
      <c r="D242" s="15" t="s">
        <v>4772</v>
      </c>
      <c r="E242" s="15" t="s">
        <v>5057</v>
      </c>
      <c r="F242" s="15" t="s">
        <v>464</v>
      </c>
      <c r="G242" s="15" t="s">
        <v>4784</v>
      </c>
    </row>
    <row r="243" customFormat="false" ht="15.75" hidden="false" customHeight="false" outlineLevel="0" collapsed="false">
      <c r="A243" s="20" t="n">
        <v>46104</v>
      </c>
      <c r="B243" s="15" t="s">
        <v>4787</v>
      </c>
      <c r="C243" s="15" t="s">
        <v>505</v>
      </c>
      <c r="D243" s="15" t="s">
        <v>4772</v>
      </c>
      <c r="E243" s="15" t="s">
        <v>5058</v>
      </c>
      <c r="F243" s="15" t="s">
        <v>505</v>
      </c>
      <c r="G243" s="15" t="s">
        <v>4779</v>
      </c>
    </row>
    <row r="244" customFormat="false" ht="15.75" hidden="false" customHeight="false" outlineLevel="0" collapsed="false">
      <c r="A244" s="20" t="n">
        <v>46104</v>
      </c>
      <c r="B244" s="15" t="s">
        <v>4790</v>
      </c>
      <c r="C244" s="15" t="s">
        <v>516</v>
      </c>
      <c r="D244" s="15" t="s">
        <v>4772</v>
      </c>
      <c r="E244" s="15" t="s">
        <v>5059</v>
      </c>
      <c r="F244" s="15" t="s">
        <v>516</v>
      </c>
      <c r="G244" s="15" t="s">
        <v>4784</v>
      </c>
    </row>
    <row r="245" customFormat="false" ht="15.75" hidden="false" customHeight="false" outlineLevel="0" collapsed="false">
      <c r="A245" s="20" t="n">
        <v>46104</v>
      </c>
      <c r="B245" s="15" t="s">
        <v>4793</v>
      </c>
      <c r="C245" s="15" t="s">
        <v>526</v>
      </c>
      <c r="D245" s="15" t="s">
        <v>4772</v>
      </c>
      <c r="E245" s="15" t="s">
        <v>5060</v>
      </c>
      <c r="F245" s="15" t="s">
        <v>526</v>
      </c>
      <c r="G245" s="15" t="s">
        <v>4779</v>
      </c>
    </row>
    <row r="246" customFormat="false" ht="15.75" hidden="false" customHeight="false" outlineLevel="0" collapsed="false">
      <c r="A246" s="20" t="n">
        <v>46104</v>
      </c>
      <c r="B246" s="15" t="s">
        <v>4795</v>
      </c>
      <c r="C246" s="15" t="s">
        <v>469</v>
      </c>
      <c r="D246" s="15" t="s">
        <v>4772</v>
      </c>
      <c r="E246" s="15" t="s">
        <v>5061</v>
      </c>
      <c r="F246" s="15" t="s">
        <v>469</v>
      </c>
      <c r="G246" s="15" t="s">
        <v>4784</v>
      </c>
    </row>
    <row r="247" customFormat="false" ht="15.75" hidden="false" customHeight="false" outlineLevel="0" collapsed="false">
      <c r="A247" s="20" t="n">
        <v>46104</v>
      </c>
      <c r="B247" s="15" t="s">
        <v>4921</v>
      </c>
      <c r="C247" s="15" t="s">
        <v>490</v>
      </c>
      <c r="D247" s="15" t="s">
        <v>4772</v>
      </c>
      <c r="E247" s="15" t="s">
        <v>5062</v>
      </c>
      <c r="F247" s="15" t="s">
        <v>5063</v>
      </c>
      <c r="G247" s="15" t="s">
        <v>4779</v>
      </c>
    </row>
    <row r="248" customFormat="false" ht="15.75" hidden="false" customHeight="false" outlineLevel="0" collapsed="false">
      <c r="A248" s="20" t="n">
        <v>46104</v>
      </c>
      <c r="B248" s="15" t="s">
        <v>5002</v>
      </c>
      <c r="C248" s="15" t="s">
        <v>529</v>
      </c>
      <c r="D248" s="15" t="s">
        <v>4772</v>
      </c>
      <c r="E248" s="15" t="s">
        <v>5064</v>
      </c>
      <c r="F248" s="15" t="s">
        <v>5034</v>
      </c>
      <c r="G248" s="15" t="s">
        <v>4779</v>
      </c>
    </row>
    <row r="249" customFormat="false" ht="15.75" hidden="false" customHeight="false" outlineLevel="0" collapsed="false">
      <c r="A249" s="20" t="n">
        <v>46104</v>
      </c>
      <c r="B249" s="15" t="s">
        <v>4802</v>
      </c>
      <c r="C249" s="15" t="s">
        <v>495</v>
      </c>
      <c r="D249" s="15" t="s">
        <v>4772</v>
      </c>
      <c r="E249" s="15" t="s">
        <v>5065</v>
      </c>
      <c r="F249" s="15" t="s">
        <v>495</v>
      </c>
      <c r="G249" s="15" t="s">
        <v>4784</v>
      </c>
    </row>
    <row r="250" customFormat="false" ht="15.75" hidden="false" customHeight="false" outlineLevel="0" collapsed="false">
      <c r="A250" s="20" t="n">
        <v>46104</v>
      </c>
      <c r="B250" s="15" t="s">
        <v>4805</v>
      </c>
      <c r="C250" s="15" t="s">
        <v>484</v>
      </c>
      <c r="D250" s="15" t="s">
        <v>4772</v>
      </c>
      <c r="E250" s="15" t="s">
        <v>5066</v>
      </c>
      <c r="F250" s="15" t="s">
        <v>5067</v>
      </c>
      <c r="G250" s="15" t="s">
        <v>4779</v>
      </c>
    </row>
    <row r="251" customFormat="false" ht="15.75" hidden="false" customHeight="false" outlineLevel="0" collapsed="false">
      <c r="A251" s="20" t="n">
        <v>46104</v>
      </c>
      <c r="B251" s="15" t="s">
        <v>4807</v>
      </c>
      <c r="C251" s="15" t="s">
        <v>465</v>
      </c>
      <c r="D251" s="15" t="s">
        <v>4772</v>
      </c>
      <c r="E251" s="15" t="s">
        <v>5068</v>
      </c>
      <c r="F251" s="15" t="s">
        <v>5038</v>
      </c>
      <c r="G251" s="15" t="s">
        <v>4779</v>
      </c>
    </row>
    <row r="252" customFormat="false" ht="15.75" hidden="false" customHeight="false" outlineLevel="0" collapsed="false">
      <c r="A252" s="20" t="n">
        <v>46105</v>
      </c>
      <c r="B252" s="15" t="s">
        <v>4771</v>
      </c>
      <c r="C252" s="15" t="s">
        <v>502</v>
      </c>
      <c r="D252" s="15" t="s">
        <v>4772</v>
      </c>
      <c r="E252" s="15" t="s">
        <v>5069</v>
      </c>
      <c r="F252" s="15" t="s">
        <v>5070</v>
      </c>
      <c r="G252" s="15" t="s">
        <v>4779</v>
      </c>
    </row>
    <row r="253" customFormat="false" ht="15.75" hidden="false" customHeight="false" outlineLevel="0" collapsed="false">
      <c r="A253" s="20" t="n">
        <v>46105</v>
      </c>
      <c r="B253" s="15" t="s">
        <v>4775</v>
      </c>
      <c r="C253" s="15" t="s">
        <v>467</v>
      </c>
      <c r="D253" s="15" t="s">
        <v>4772</v>
      </c>
      <c r="E253" s="15" t="s">
        <v>5071</v>
      </c>
      <c r="F253" s="15" t="s">
        <v>4781</v>
      </c>
      <c r="G253" s="15" t="s">
        <v>4779</v>
      </c>
    </row>
    <row r="254" customFormat="false" ht="15.75" hidden="false" customHeight="false" outlineLevel="0" collapsed="false">
      <c r="A254" s="20" t="n">
        <v>46105</v>
      </c>
      <c r="B254" s="15" t="s">
        <v>4782</v>
      </c>
      <c r="C254" s="15" t="s">
        <v>453</v>
      </c>
      <c r="D254" s="15" t="s">
        <v>4772</v>
      </c>
      <c r="E254" s="15" t="s">
        <v>5072</v>
      </c>
      <c r="F254" s="15" t="s">
        <v>453</v>
      </c>
      <c r="G254" s="15" t="s">
        <v>4784</v>
      </c>
    </row>
    <row r="255" customFormat="false" ht="15.75" hidden="false" customHeight="false" outlineLevel="0" collapsed="false">
      <c r="A255" s="20" t="n">
        <v>46105</v>
      </c>
      <c r="B255" s="15" t="s">
        <v>4785</v>
      </c>
      <c r="C255" s="15" t="s">
        <v>464</v>
      </c>
      <c r="D255" s="15" t="s">
        <v>4772</v>
      </c>
      <c r="E255" s="15" t="s">
        <v>5073</v>
      </c>
      <c r="F255" s="15" t="s">
        <v>464</v>
      </c>
      <c r="G255" s="15" t="s">
        <v>4784</v>
      </c>
    </row>
    <row r="256" customFormat="false" ht="15.75" hidden="false" customHeight="false" outlineLevel="0" collapsed="false">
      <c r="A256" s="20" t="n">
        <v>46105</v>
      </c>
      <c r="B256" s="15" t="s">
        <v>4787</v>
      </c>
      <c r="C256" s="15" t="s">
        <v>505</v>
      </c>
      <c r="D256" s="15" t="s">
        <v>4772</v>
      </c>
      <c r="E256" s="15" t="s">
        <v>5074</v>
      </c>
      <c r="F256" s="15" t="s">
        <v>505</v>
      </c>
      <c r="G256" s="15" t="s">
        <v>4779</v>
      </c>
    </row>
    <row r="257" customFormat="false" ht="15.75" hidden="false" customHeight="false" outlineLevel="0" collapsed="false">
      <c r="A257" s="20" t="n">
        <v>46105</v>
      </c>
      <c r="B257" s="15" t="s">
        <v>4790</v>
      </c>
      <c r="C257" s="15" t="s">
        <v>516</v>
      </c>
      <c r="D257" s="15" t="s">
        <v>4772</v>
      </c>
      <c r="E257" s="15" t="s">
        <v>5075</v>
      </c>
      <c r="F257" s="15" t="s">
        <v>516</v>
      </c>
      <c r="G257" s="15" t="s">
        <v>4784</v>
      </c>
    </row>
    <row r="258" customFormat="false" ht="15.75" hidden="false" customHeight="false" outlineLevel="0" collapsed="false">
      <c r="A258" s="20" t="n">
        <v>46105</v>
      </c>
      <c r="B258" s="15" t="s">
        <v>4793</v>
      </c>
      <c r="C258" s="15" t="s">
        <v>524</v>
      </c>
      <c r="D258" s="15" t="s">
        <v>4772</v>
      </c>
      <c r="E258" s="15" t="s">
        <v>5076</v>
      </c>
      <c r="F258" s="15" t="s">
        <v>524</v>
      </c>
      <c r="G258" s="15" t="s">
        <v>4784</v>
      </c>
    </row>
    <row r="259" customFormat="false" ht="15.75" hidden="false" customHeight="false" outlineLevel="0" collapsed="false">
      <c r="A259" s="20" t="n">
        <v>46105</v>
      </c>
      <c r="B259" s="15" t="s">
        <v>4795</v>
      </c>
      <c r="C259" s="15" t="s">
        <v>469</v>
      </c>
      <c r="D259" s="15" t="s">
        <v>4772</v>
      </c>
      <c r="E259" s="15" t="s">
        <v>5077</v>
      </c>
      <c r="F259" s="15" t="s">
        <v>469</v>
      </c>
      <c r="G259" s="15" t="s">
        <v>4784</v>
      </c>
    </row>
    <row r="260" customFormat="false" ht="15.75" hidden="false" customHeight="false" outlineLevel="0" collapsed="false">
      <c r="A260" s="20" t="n">
        <v>46105</v>
      </c>
      <c r="B260" s="15" t="s">
        <v>4921</v>
      </c>
      <c r="C260" s="15" t="s">
        <v>490</v>
      </c>
      <c r="D260" s="15" t="s">
        <v>4772</v>
      </c>
      <c r="E260" s="15" t="s">
        <v>5078</v>
      </c>
      <c r="F260" s="15" t="s">
        <v>5063</v>
      </c>
      <c r="G260" s="15" t="s">
        <v>4779</v>
      </c>
    </row>
    <row r="261" customFormat="false" ht="15.75" hidden="false" customHeight="false" outlineLevel="0" collapsed="false">
      <c r="A261" s="20" t="n">
        <v>46105</v>
      </c>
      <c r="B261" s="15" t="s">
        <v>5002</v>
      </c>
      <c r="C261" s="15" t="s">
        <v>499</v>
      </c>
      <c r="D261" s="15" t="s">
        <v>4772</v>
      </c>
      <c r="E261" s="15" t="s">
        <v>5079</v>
      </c>
      <c r="F261" s="15" t="s">
        <v>4901</v>
      </c>
      <c r="G261" s="15" t="s">
        <v>4801</v>
      </c>
    </row>
    <row r="262" customFormat="false" ht="15.75" hidden="false" customHeight="false" outlineLevel="0" collapsed="false">
      <c r="A262" s="20" t="n">
        <v>46105</v>
      </c>
      <c r="B262" s="15" t="s">
        <v>4802</v>
      </c>
      <c r="C262" s="15" t="s">
        <v>491</v>
      </c>
      <c r="D262" s="15" t="s">
        <v>4772</v>
      </c>
      <c r="E262" s="15" t="s">
        <v>5080</v>
      </c>
      <c r="F262" s="15" t="s">
        <v>4804</v>
      </c>
      <c r="G262" s="15" t="s">
        <v>4779</v>
      </c>
    </row>
    <row r="263" customFormat="false" ht="15.75" hidden="false" customHeight="false" outlineLevel="0" collapsed="false">
      <c r="A263" s="20" t="n">
        <v>46105</v>
      </c>
      <c r="B263" s="15" t="s">
        <v>4805</v>
      </c>
      <c r="C263" s="15" t="s">
        <v>484</v>
      </c>
      <c r="D263" s="15" t="s">
        <v>4772</v>
      </c>
      <c r="E263" s="15" t="s">
        <v>5081</v>
      </c>
      <c r="F263" s="15" t="s">
        <v>5067</v>
      </c>
      <c r="G263" s="15" t="s">
        <v>4779</v>
      </c>
    </row>
    <row r="264" customFormat="false" ht="15.75" hidden="false" customHeight="false" outlineLevel="0" collapsed="false">
      <c r="A264" s="20" t="n">
        <v>46105</v>
      </c>
      <c r="B264" s="15" t="s">
        <v>4807</v>
      </c>
      <c r="C264" s="15" t="s">
        <v>465</v>
      </c>
      <c r="D264" s="15" t="s">
        <v>4772</v>
      </c>
      <c r="E264" s="15" t="s">
        <v>5082</v>
      </c>
      <c r="F264" s="15" t="s">
        <v>5038</v>
      </c>
      <c r="G264" s="15" t="s">
        <v>4779</v>
      </c>
    </row>
    <row r="265" customFormat="false" ht="15.75" hidden="false" customHeight="false" outlineLevel="0" collapsed="false">
      <c r="A265" s="20" t="n">
        <v>46106</v>
      </c>
      <c r="B265" s="15" t="s">
        <v>4771</v>
      </c>
      <c r="C265" s="15" t="s">
        <v>502</v>
      </c>
      <c r="D265" s="15" t="s">
        <v>4772</v>
      </c>
      <c r="E265" s="15" t="s">
        <v>5083</v>
      </c>
      <c r="F265" s="15" t="s">
        <v>5070</v>
      </c>
      <c r="G265" s="15" t="s">
        <v>4779</v>
      </c>
    </row>
    <row r="266" customFormat="false" ht="15.75" hidden="false" customHeight="false" outlineLevel="0" collapsed="false">
      <c r="A266" s="20" t="n">
        <v>46106</v>
      </c>
      <c r="B266" s="15" t="s">
        <v>4775</v>
      </c>
      <c r="C266" s="15" t="s">
        <v>467</v>
      </c>
      <c r="D266" s="15" t="s">
        <v>4772</v>
      </c>
      <c r="E266" s="15" t="s">
        <v>5084</v>
      </c>
      <c r="F266" s="15" t="s">
        <v>4781</v>
      </c>
      <c r="G266" s="15" t="s">
        <v>4779</v>
      </c>
    </row>
    <row r="267" customFormat="false" ht="15.75" hidden="false" customHeight="false" outlineLevel="0" collapsed="false">
      <c r="A267" s="20" t="n">
        <v>46106</v>
      </c>
      <c r="B267" s="15" t="s">
        <v>4782</v>
      </c>
      <c r="C267" s="15" t="s">
        <v>453</v>
      </c>
      <c r="D267" s="15" t="s">
        <v>4772</v>
      </c>
      <c r="E267" s="15" t="s">
        <v>5085</v>
      </c>
      <c r="F267" s="15" t="s">
        <v>453</v>
      </c>
      <c r="G267" s="15" t="s">
        <v>4784</v>
      </c>
    </row>
    <row r="268" customFormat="false" ht="15.75" hidden="false" customHeight="false" outlineLevel="0" collapsed="false">
      <c r="A268" s="20" t="n">
        <v>46106</v>
      </c>
      <c r="B268" s="15" t="s">
        <v>4785</v>
      </c>
      <c r="C268" s="15" t="s">
        <v>464</v>
      </c>
      <c r="D268" s="15" t="s">
        <v>4772</v>
      </c>
      <c r="E268" s="15" t="s">
        <v>5086</v>
      </c>
      <c r="F268" s="15" t="s">
        <v>464</v>
      </c>
      <c r="G268" s="15" t="s">
        <v>4784</v>
      </c>
    </row>
    <row r="269" customFormat="false" ht="15.75" hidden="false" customHeight="false" outlineLevel="0" collapsed="false">
      <c r="A269" s="20" t="n">
        <v>46106</v>
      </c>
      <c r="B269" s="15" t="s">
        <v>4787</v>
      </c>
      <c r="C269" s="15" t="s">
        <v>505</v>
      </c>
      <c r="D269" s="15" t="s">
        <v>4772</v>
      </c>
      <c r="E269" s="15" t="s">
        <v>5087</v>
      </c>
      <c r="F269" s="15" t="s">
        <v>505</v>
      </c>
      <c r="G269" s="15" t="s">
        <v>4779</v>
      </c>
    </row>
    <row r="270" customFormat="false" ht="15.75" hidden="false" customHeight="false" outlineLevel="0" collapsed="false">
      <c r="A270" s="20" t="n">
        <v>46106</v>
      </c>
      <c r="B270" s="15" t="s">
        <v>5088</v>
      </c>
      <c r="C270" s="15" t="s">
        <v>504</v>
      </c>
      <c r="D270" s="15" t="s">
        <v>4772</v>
      </c>
      <c r="E270" s="15" t="s">
        <v>5089</v>
      </c>
      <c r="F270" s="15" t="s">
        <v>4789</v>
      </c>
      <c r="G270" s="15" t="s">
        <v>4779</v>
      </c>
    </row>
    <row r="271" customFormat="false" ht="15.75" hidden="false" customHeight="false" outlineLevel="0" collapsed="false">
      <c r="A271" s="20" t="n">
        <v>46106</v>
      </c>
      <c r="B271" s="15" t="s">
        <v>4790</v>
      </c>
      <c r="C271" s="15" t="s">
        <v>522</v>
      </c>
      <c r="D271" s="15" t="s">
        <v>4772</v>
      </c>
      <c r="E271" s="15" t="s">
        <v>5090</v>
      </c>
      <c r="F271" s="15" t="s">
        <v>522</v>
      </c>
      <c r="G271" s="15" t="s">
        <v>4784</v>
      </c>
    </row>
    <row r="272" customFormat="false" ht="15.75" hidden="false" customHeight="false" outlineLevel="0" collapsed="false">
      <c r="A272" s="20" t="n">
        <v>46106</v>
      </c>
      <c r="B272" s="15" t="s">
        <v>4793</v>
      </c>
      <c r="C272" s="15" t="s">
        <v>524</v>
      </c>
      <c r="D272" s="15" t="s">
        <v>4772</v>
      </c>
      <c r="E272" s="15" t="s">
        <v>5091</v>
      </c>
      <c r="F272" s="15" t="s">
        <v>524</v>
      </c>
      <c r="G272" s="15" t="s">
        <v>4784</v>
      </c>
    </row>
    <row r="273" customFormat="false" ht="15.75" hidden="false" customHeight="false" outlineLevel="0" collapsed="false">
      <c r="A273" s="20" t="n">
        <v>46106</v>
      </c>
      <c r="B273" s="15" t="s">
        <v>4795</v>
      </c>
      <c r="C273" s="15" t="s">
        <v>469</v>
      </c>
      <c r="D273" s="15" t="s">
        <v>4772</v>
      </c>
      <c r="E273" s="15" t="s">
        <v>5092</v>
      </c>
      <c r="F273" s="15" t="s">
        <v>469</v>
      </c>
      <c r="G273" s="15" t="s">
        <v>4784</v>
      </c>
    </row>
    <row r="274" customFormat="false" ht="15.75" hidden="false" customHeight="false" outlineLevel="0" collapsed="false">
      <c r="A274" s="20" t="n">
        <v>46106</v>
      </c>
      <c r="B274" s="15" t="s">
        <v>5002</v>
      </c>
      <c r="C274" s="15" t="s">
        <v>499</v>
      </c>
      <c r="D274" s="15" t="s">
        <v>4772</v>
      </c>
      <c r="E274" s="15" t="s">
        <v>5093</v>
      </c>
      <c r="F274" s="15" t="s">
        <v>4901</v>
      </c>
      <c r="G274" s="15" t="s">
        <v>4801</v>
      </c>
    </row>
    <row r="275" customFormat="false" ht="15.75" hidden="false" customHeight="false" outlineLevel="0" collapsed="false">
      <c r="A275" s="20" t="n">
        <v>46106</v>
      </c>
      <c r="B275" s="15" t="s">
        <v>4802</v>
      </c>
      <c r="C275" s="15" t="s">
        <v>491</v>
      </c>
      <c r="D275" s="15" t="s">
        <v>4772</v>
      </c>
      <c r="E275" s="15" t="s">
        <v>5094</v>
      </c>
      <c r="F275" s="15" t="s">
        <v>4804</v>
      </c>
      <c r="G275" s="15" t="s">
        <v>4779</v>
      </c>
    </row>
    <row r="276" customFormat="false" ht="15.75" hidden="false" customHeight="false" outlineLevel="0" collapsed="false">
      <c r="A276" s="20" t="n">
        <v>46106</v>
      </c>
      <c r="B276" s="15" t="s">
        <v>4805</v>
      </c>
      <c r="C276" s="15" t="s">
        <v>484</v>
      </c>
      <c r="D276" s="15" t="s">
        <v>4772</v>
      </c>
      <c r="E276" s="15" t="s">
        <v>5095</v>
      </c>
      <c r="F276" s="15" t="s">
        <v>5067</v>
      </c>
      <c r="G276" s="15" t="s">
        <v>4779</v>
      </c>
    </row>
    <row r="277" customFormat="false" ht="15.75" hidden="false" customHeight="false" outlineLevel="0" collapsed="false">
      <c r="A277" s="20" t="n">
        <v>46106</v>
      </c>
      <c r="B277" s="15" t="s">
        <v>4807</v>
      </c>
      <c r="C277" s="15" t="s">
        <v>465</v>
      </c>
      <c r="D277" s="15" t="s">
        <v>4772</v>
      </c>
      <c r="E277" s="15" t="s">
        <v>5096</v>
      </c>
      <c r="F277" s="15" t="s">
        <v>5038</v>
      </c>
      <c r="G277" s="15" t="s">
        <v>4779</v>
      </c>
    </row>
    <row r="278" customFormat="false" ht="15.75" hidden="false" customHeight="false" outlineLevel="0" collapsed="false">
      <c r="A278" s="20" t="n">
        <v>46107</v>
      </c>
      <c r="B278" s="15" t="s">
        <v>4771</v>
      </c>
      <c r="C278" s="15" t="s">
        <v>502</v>
      </c>
      <c r="D278" s="15" t="s">
        <v>4772</v>
      </c>
      <c r="E278" s="15" t="s">
        <v>5097</v>
      </c>
      <c r="F278" s="15" t="s">
        <v>5070</v>
      </c>
      <c r="G278" s="15" t="s">
        <v>4779</v>
      </c>
    </row>
    <row r="279" customFormat="false" ht="15.75" hidden="false" customHeight="false" outlineLevel="0" collapsed="false">
      <c r="A279" s="20" t="n">
        <v>46107</v>
      </c>
      <c r="B279" s="15" t="s">
        <v>4775</v>
      </c>
      <c r="C279" s="15" t="s">
        <v>467</v>
      </c>
      <c r="D279" s="15" t="s">
        <v>4772</v>
      </c>
      <c r="E279" s="15" t="s">
        <v>5098</v>
      </c>
      <c r="F279" s="15" t="s">
        <v>4781</v>
      </c>
      <c r="G279" s="15" t="s">
        <v>4779</v>
      </c>
    </row>
    <row r="280" customFormat="false" ht="15.75" hidden="false" customHeight="false" outlineLevel="0" collapsed="false">
      <c r="A280" s="20" t="n">
        <v>46107</v>
      </c>
      <c r="B280" s="15" t="s">
        <v>4782</v>
      </c>
      <c r="C280" s="15" t="s">
        <v>453</v>
      </c>
      <c r="D280" s="15" t="s">
        <v>4772</v>
      </c>
      <c r="E280" s="15" t="s">
        <v>5099</v>
      </c>
      <c r="F280" s="15" t="s">
        <v>453</v>
      </c>
      <c r="G280" s="15" t="s">
        <v>4784</v>
      </c>
    </row>
    <row r="281" customFormat="false" ht="15.75" hidden="false" customHeight="false" outlineLevel="0" collapsed="false">
      <c r="A281" s="20" t="n">
        <v>46107</v>
      </c>
      <c r="B281" s="15" t="s">
        <v>4785</v>
      </c>
      <c r="C281" s="15" t="s">
        <v>464</v>
      </c>
      <c r="D281" s="15" t="s">
        <v>4772</v>
      </c>
      <c r="E281" s="15" t="s">
        <v>5100</v>
      </c>
      <c r="F281" s="15" t="s">
        <v>464</v>
      </c>
      <c r="G281" s="15" t="s">
        <v>4784</v>
      </c>
    </row>
    <row r="282" customFormat="false" ht="15.75" hidden="false" customHeight="false" outlineLevel="0" collapsed="false">
      <c r="A282" s="20" t="n">
        <v>46107</v>
      </c>
      <c r="B282" s="15" t="s">
        <v>4787</v>
      </c>
      <c r="C282" s="15" t="s">
        <v>505</v>
      </c>
      <c r="D282" s="15" t="s">
        <v>4772</v>
      </c>
      <c r="E282" s="15" t="s">
        <v>5101</v>
      </c>
      <c r="F282" s="15" t="s">
        <v>505</v>
      </c>
      <c r="G282" s="15" t="s">
        <v>4779</v>
      </c>
    </row>
    <row r="283" customFormat="false" ht="15.75" hidden="false" customHeight="false" outlineLevel="0" collapsed="false">
      <c r="A283" s="20" t="n">
        <v>46107</v>
      </c>
      <c r="B283" s="15" t="s">
        <v>5088</v>
      </c>
      <c r="C283" s="15" t="s">
        <v>504</v>
      </c>
      <c r="D283" s="15" t="s">
        <v>4772</v>
      </c>
      <c r="E283" s="15" t="s">
        <v>5102</v>
      </c>
      <c r="F283" s="15" t="s">
        <v>4789</v>
      </c>
      <c r="G283" s="15" t="s">
        <v>4779</v>
      </c>
    </row>
    <row r="284" customFormat="false" ht="15.75" hidden="false" customHeight="false" outlineLevel="0" collapsed="false">
      <c r="A284" s="20" t="n">
        <v>46107</v>
      </c>
      <c r="B284" s="15" t="s">
        <v>5103</v>
      </c>
      <c r="C284" s="15" t="s">
        <v>508</v>
      </c>
      <c r="D284" s="15" t="s">
        <v>4772</v>
      </c>
      <c r="E284" s="15" t="s">
        <v>5104</v>
      </c>
      <c r="F284" s="15" t="s">
        <v>4778</v>
      </c>
      <c r="G284" s="15" t="s">
        <v>4779</v>
      </c>
    </row>
    <row r="285" customFormat="false" ht="15.75" hidden="false" customHeight="false" outlineLevel="0" collapsed="false">
      <c r="A285" s="20" t="n">
        <v>46107</v>
      </c>
      <c r="B285" s="15" t="s">
        <v>4790</v>
      </c>
      <c r="C285" s="15" t="s">
        <v>522</v>
      </c>
      <c r="D285" s="15" t="s">
        <v>4772</v>
      </c>
      <c r="E285" s="15" t="s">
        <v>5105</v>
      </c>
      <c r="F285" s="15" t="s">
        <v>522</v>
      </c>
      <c r="G285" s="15" t="s">
        <v>4784</v>
      </c>
    </row>
    <row r="286" customFormat="false" ht="15.75" hidden="false" customHeight="false" outlineLevel="0" collapsed="false">
      <c r="A286" s="20" t="n">
        <v>46107</v>
      </c>
      <c r="B286" s="15" t="s">
        <v>4793</v>
      </c>
      <c r="C286" s="15" t="s">
        <v>524</v>
      </c>
      <c r="D286" s="15" t="s">
        <v>4772</v>
      </c>
      <c r="E286" s="15" t="s">
        <v>5106</v>
      </c>
      <c r="F286" s="15" t="s">
        <v>524</v>
      </c>
      <c r="G286" s="15" t="s">
        <v>4784</v>
      </c>
    </row>
    <row r="287" customFormat="false" ht="15.75" hidden="false" customHeight="false" outlineLevel="0" collapsed="false">
      <c r="A287" s="20" t="n">
        <v>46107</v>
      </c>
      <c r="B287" s="15" t="s">
        <v>4795</v>
      </c>
      <c r="C287" s="15" t="s">
        <v>469</v>
      </c>
      <c r="D287" s="15" t="s">
        <v>4772</v>
      </c>
      <c r="E287" s="15" t="s">
        <v>5107</v>
      </c>
      <c r="F287" s="15" t="s">
        <v>469</v>
      </c>
      <c r="G287" s="15" t="s">
        <v>4784</v>
      </c>
    </row>
    <row r="288" customFormat="false" ht="15.75" hidden="false" customHeight="false" outlineLevel="0" collapsed="false">
      <c r="A288" s="20" t="n">
        <v>46107</v>
      </c>
      <c r="B288" s="15" t="s">
        <v>5002</v>
      </c>
      <c r="C288" s="15" t="s">
        <v>499</v>
      </c>
      <c r="D288" s="15" t="s">
        <v>4772</v>
      </c>
      <c r="E288" s="15" t="s">
        <v>5108</v>
      </c>
      <c r="F288" s="15" t="s">
        <v>4901</v>
      </c>
      <c r="G288" s="15" t="s">
        <v>4801</v>
      </c>
    </row>
    <row r="289" customFormat="false" ht="15.75" hidden="false" customHeight="false" outlineLevel="0" collapsed="false">
      <c r="A289" s="20" t="n">
        <v>46107</v>
      </c>
      <c r="B289" s="15" t="s">
        <v>4802</v>
      </c>
      <c r="C289" s="15" t="s">
        <v>491</v>
      </c>
      <c r="D289" s="15" t="s">
        <v>4772</v>
      </c>
      <c r="E289" s="15" t="s">
        <v>5109</v>
      </c>
      <c r="F289" s="15" t="s">
        <v>4804</v>
      </c>
      <c r="G289" s="15" t="s">
        <v>4779</v>
      </c>
    </row>
    <row r="290" customFormat="false" ht="15.75" hidden="false" customHeight="false" outlineLevel="0" collapsed="false">
      <c r="A290" s="20" t="n">
        <v>46107</v>
      </c>
      <c r="B290" s="15" t="s">
        <v>4805</v>
      </c>
      <c r="C290" s="15" t="s">
        <v>484</v>
      </c>
      <c r="D290" s="15" t="s">
        <v>4772</v>
      </c>
      <c r="E290" s="15" t="s">
        <v>5110</v>
      </c>
      <c r="F290" s="15" t="s">
        <v>5067</v>
      </c>
      <c r="G290" s="15" t="s">
        <v>4779</v>
      </c>
    </row>
    <row r="291" customFormat="false" ht="15.75" hidden="false" customHeight="false" outlineLevel="0" collapsed="false">
      <c r="A291" s="20" t="n">
        <v>46107</v>
      </c>
      <c r="B291" s="15" t="s">
        <v>4807</v>
      </c>
      <c r="C291" s="15" t="s">
        <v>465</v>
      </c>
      <c r="D291" s="15" t="s">
        <v>4772</v>
      </c>
      <c r="E291" s="15" t="s">
        <v>5111</v>
      </c>
      <c r="F291" s="15" t="s">
        <v>5038</v>
      </c>
      <c r="G291" s="15" t="s">
        <v>4779</v>
      </c>
    </row>
    <row r="292" customFormat="false" ht="15.75" hidden="false" customHeight="false" outlineLevel="0" collapsed="false">
      <c r="A292" s="20" t="n">
        <v>46108</v>
      </c>
      <c r="B292" s="15" t="s">
        <v>4771</v>
      </c>
      <c r="C292" s="15" t="s">
        <v>502</v>
      </c>
      <c r="D292" s="15" t="s">
        <v>4772</v>
      </c>
      <c r="E292" s="15" t="s">
        <v>5112</v>
      </c>
      <c r="F292" s="15" t="s">
        <v>5070</v>
      </c>
      <c r="G292" s="15" t="s">
        <v>4779</v>
      </c>
    </row>
    <row r="293" customFormat="false" ht="15.75" hidden="false" customHeight="false" outlineLevel="0" collapsed="false">
      <c r="A293" s="20" t="n">
        <v>46108</v>
      </c>
      <c r="B293" s="15" t="s">
        <v>4775</v>
      </c>
      <c r="C293" s="15" t="s">
        <v>467</v>
      </c>
      <c r="D293" s="15" t="s">
        <v>4772</v>
      </c>
      <c r="E293" s="15" t="s">
        <v>5113</v>
      </c>
      <c r="F293" s="15" t="s">
        <v>4781</v>
      </c>
      <c r="G293" s="15" t="s">
        <v>4779</v>
      </c>
    </row>
    <row r="294" customFormat="false" ht="15.75" hidden="false" customHeight="false" outlineLevel="0" collapsed="false">
      <c r="A294" s="20" t="n">
        <v>46108</v>
      </c>
      <c r="B294" s="15" t="s">
        <v>4782</v>
      </c>
      <c r="C294" s="15" t="s">
        <v>453</v>
      </c>
      <c r="D294" s="15" t="s">
        <v>4772</v>
      </c>
      <c r="E294" s="15" t="s">
        <v>5114</v>
      </c>
      <c r="F294" s="15" t="s">
        <v>453</v>
      </c>
      <c r="G294" s="15" t="s">
        <v>4784</v>
      </c>
    </row>
    <row r="295" customFormat="false" ht="15.75" hidden="false" customHeight="false" outlineLevel="0" collapsed="false">
      <c r="A295" s="20" t="n">
        <v>46108</v>
      </c>
      <c r="B295" s="15" t="s">
        <v>4785</v>
      </c>
      <c r="C295" s="15" t="s">
        <v>464</v>
      </c>
      <c r="D295" s="15" t="s">
        <v>4772</v>
      </c>
      <c r="E295" s="15" t="s">
        <v>5115</v>
      </c>
      <c r="F295" s="15" t="s">
        <v>464</v>
      </c>
      <c r="G295" s="15" t="s">
        <v>4784</v>
      </c>
    </row>
    <row r="296" customFormat="false" ht="15.75" hidden="false" customHeight="false" outlineLevel="0" collapsed="false">
      <c r="A296" s="20" t="n">
        <v>46108</v>
      </c>
      <c r="B296" s="15" t="s">
        <v>4787</v>
      </c>
      <c r="C296" s="15" t="s">
        <v>505</v>
      </c>
      <c r="D296" s="15" t="s">
        <v>4772</v>
      </c>
      <c r="E296" s="15" t="s">
        <v>5116</v>
      </c>
      <c r="F296" s="15" t="s">
        <v>505</v>
      </c>
      <c r="G296" s="15" t="s">
        <v>4779</v>
      </c>
    </row>
    <row r="297" customFormat="false" ht="15.75" hidden="false" customHeight="false" outlineLevel="0" collapsed="false">
      <c r="A297" s="20" t="n">
        <v>46108</v>
      </c>
      <c r="B297" s="15" t="s">
        <v>5088</v>
      </c>
      <c r="C297" s="15" t="s">
        <v>504</v>
      </c>
      <c r="D297" s="15" t="s">
        <v>4772</v>
      </c>
      <c r="E297" s="15" t="s">
        <v>5117</v>
      </c>
      <c r="F297" s="15" t="s">
        <v>4789</v>
      </c>
      <c r="G297" s="15" t="s">
        <v>4779</v>
      </c>
    </row>
    <row r="298" customFormat="false" ht="15.75" hidden="false" customHeight="false" outlineLevel="0" collapsed="false">
      <c r="A298" s="20" t="n">
        <v>46108</v>
      </c>
      <c r="B298" s="15" t="s">
        <v>5103</v>
      </c>
      <c r="C298" s="15" t="s">
        <v>508</v>
      </c>
      <c r="D298" s="15" t="s">
        <v>4772</v>
      </c>
      <c r="E298" s="15" t="s">
        <v>5118</v>
      </c>
      <c r="F298" s="15" t="s">
        <v>4778</v>
      </c>
      <c r="G298" s="15" t="s">
        <v>4779</v>
      </c>
    </row>
    <row r="299" customFormat="false" ht="15.75" hidden="false" customHeight="false" outlineLevel="0" collapsed="false">
      <c r="A299" s="20" t="n">
        <v>46108</v>
      </c>
      <c r="B299" s="15" t="s">
        <v>4790</v>
      </c>
      <c r="C299" s="15" t="s">
        <v>522</v>
      </c>
      <c r="D299" s="15" t="s">
        <v>4772</v>
      </c>
      <c r="E299" s="15" t="s">
        <v>5119</v>
      </c>
      <c r="F299" s="15" t="s">
        <v>522</v>
      </c>
      <c r="G299" s="15" t="s">
        <v>4784</v>
      </c>
    </row>
    <row r="300" customFormat="false" ht="15.75" hidden="false" customHeight="false" outlineLevel="0" collapsed="false">
      <c r="A300" s="20" t="n">
        <v>46108</v>
      </c>
      <c r="B300" s="15" t="s">
        <v>4793</v>
      </c>
      <c r="C300" s="15" t="s">
        <v>524</v>
      </c>
      <c r="D300" s="15" t="s">
        <v>4772</v>
      </c>
      <c r="E300" s="15" t="s">
        <v>5120</v>
      </c>
      <c r="F300" s="15" t="s">
        <v>524</v>
      </c>
      <c r="G300" s="15" t="s">
        <v>4784</v>
      </c>
    </row>
    <row r="301" customFormat="false" ht="15.75" hidden="false" customHeight="false" outlineLevel="0" collapsed="false">
      <c r="A301" s="20" t="n">
        <v>46108</v>
      </c>
      <c r="B301" s="15" t="s">
        <v>4795</v>
      </c>
      <c r="C301" s="15" t="s">
        <v>469</v>
      </c>
      <c r="D301" s="15" t="s">
        <v>4772</v>
      </c>
      <c r="E301" s="15" t="s">
        <v>5121</v>
      </c>
      <c r="F301" s="15" t="s">
        <v>469</v>
      </c>
      <c r="G301" s="15" t="s">
        <v>4784</v>
      </c>
    </row>
    <row r="302" customFormat="false" ht="15.75" hidden="false" customHeight="false" outlineLevel="0" collapsed="false">
      <c r="A302" s="20" t="n">
        <v>46108</v>
      </c>
      <c r="B302" s="15" t="s">
        <v>5002</v>
      </c>
      <c r="C302" s="15" t="s">
        <v>499</v>
      </c>
      <c r="D302" s="15" t="s">
        <v>4772</v>
      </c>
      <c r="E302" s="15" t="s">
        <v>5122</v>
      </c>
      <c r="F302" s="15" t="s">
        <v>4901</v>
      </c>
      <c r="G302" s="15" t="s">
        <v>4801</v>
      </c>
    </row>
    <row r="303" customFormat="false" ht="15.75" hidden="false" customHeight="false" outlineLevel="0" collapsed="false">
      <c r="A303" s="20" t="n">
        <v>46108</v>
      </c>
      <c r="B303" s="15" t="s">
        <v>4802</v>
      </c>
      <c r="C303" s="15" t="s">
        <v>491</v>
      </c>
      <c r="D303" s="15" t="s">
        <v>4772</v>
      </c>
      <c r="E303" s="15" t="s">
        <v>5123</v>
      </c>
      <c r="F303" s="15" t="s">
        <v>4804</v>
      </c>
      <c r="G303" s="15" t="s">
        <v>4779</v>
      </c>
    </row>
    <row r="304" customFormat="false" ht="15.75" hidden="false" customHeight="false" outlineLevel="0" collapsed="false">
      <c r="A304" s="20" t="n">
        <v>46108</v>
      </c>
      <c r="B304" s="15" t="s">
        <v>4805</v>
      </c>
      <c r="C304" s="15" t="s">
        <v>490</v>
      </c>
      <c r="D304" s="15" t="s">
        <v>4772</v>
      </c>
      <c r="E304" s="15" t="s">
        <v>5124</v>
      </c>
      <c r="F304" s="15" t="s">
        <v>5063</v>
      </c>
      <c r="G304" s="15" t="s">
        <v>4779</v>
      </c>
    </row>
    <row r="305" customFormat="false" ht="15.75" hidden="false" customHeight="false" outlineLevel="0" collapsed="false">
      <c r="A305" s="20" t="n">
        <v>46108</v>
      </c>
      <c r="B305" s="15" t="s">
        <v>4807</v>
      </c>
      <c r="C305" s="15" t="s">
        <v>494</v>
      </c>
      <c r="D305" s="15" t="s">
        <v>4772</v>
      </c>
      <c r="E305" s="15" t="s">
        <v>5125</v>
      </c>
      <c r="F305" s="15" t="s">
        <v>5126</v>
      </c>
      <c r="G305" s="15" t="s">
        <v>4779</v>
      </c>
    </row>
    <row r="306" customFormat="false" ht="15.75" hidden="false" customHeight="false" outlineLevel="0" collapsed="false">
      <c r="A306" s="20" t="n">
        <v>46111</v>
      </c>
      <c r="B306" s="15" t="s">
        <v>4771</v>
      </c>
      <c r="C306" s="15" t="s">
        <v>502</v>
      </c>
      <c r="D306" s="15" t="s">
        <v>4772</v>
      </c>
      <c r="E306" s="15" t="s">
        <v>5127</v>
      </c>
      <c r="F306" s="15" t="s">
        <v>5070</v>
      </c>
      <c r="G306" s="15" t="s">
        <v>4779</v>
      </c>
    </row>
    <row r="307" customFormat="false" ht="15.75" hidden="false" customHeight="false" outlineLevel="0" collapsed="false">
      <c r="A307" s="20" t="n">
        <v>46111</v>
      </c>
      <c r="B307" s="15" t="s">
        <v>4775</v>
      </c>
      <c r="C307" s="15" t="s">
        <v>467</v>
      </c>
      <c r="D307" s="15" t="s">
        <v>4772</v>
      </c>
      <c r="E307" s="15" t="s">
        <v>5128</v>
      </c>
      <c r="F307" s="15" t="s">
        <v>4781</v>
      </c>
      <c r="G307" s="15" t="s">
        <v>4779</v>
      </c>
    </row>
    <row r="308" customFormat="false" ht="15.75" hidden="false" customHeight="false" outlineLevel="0" collapsed="false">
      <c r="A308" s="20" t="n">
        <v>46111</v>
      </c>
      <c r="B308" s="15" t="s">
        <v>4782</v>
      </c>
      <c r="C308" s="15" t="s">
        <v>453</v>
      </c>
      <c r="D308" s="15" t="s">
        <v>4772</v>
      </c>
      <c r="E308" s="15" t="s">
        <v>5129</v>
      </c>
      <c r="F308" s="15" t="s">
        <v>453</v>
      </c>
      <c r="G308" s="15" t="s">
        <v>4784</v>
      </c>
    </row>
    <row r="309" customFormat="false" ht="15.75" hidden="false" customHeight="false" outlineLevel="0" collapsed="false">
      <c r="A309" s="20" t="n">
        <v>46111</v>
      </c>
      <c r="B309" s="15" t="s">
        <v>4785</v>
      </c>
      <c r="C309" s="15" t="s">
        <v>464</v>
      </c>
      <c r="D309" s="15" t="s">
        <v>4772</v>
      </c>
      <c r="E309" s="15" t="s">
        <v>5130</v>
      </c>
      <c r="F309" s="15" t="s">
        <v>464</v>
      </c>
      <c r="G309" s="15" t="s">
        <v>4784</v>
      </c>
    </row>
    <row r="310" customFormat="false" ht="15.75" hidden="false" customHeight="false" outlineLevel="0" collapsed="false">
      <c r="A310" s="20" t="n">
        <v>46111</v>
      </c>
      <c r="B310" s="15" t="s">
        <v>4787</v>
      </c>
      <c r="C310" s="15" t="s">
        <v>505</v>
      </c>
      <c r="D310" s="15" t="s">
        <v>4772</v>
      </c>
      <c r="E310" s="15" t="s">
        <v>5131</v>
      </c>
      <c r="F310" s="15" t="s">
        <v>505</v>
      </c>
      <c r="G310" s="15" t="s">
        <v>4779</v>
      </c>
    </row>
    <row r="311" customFormat="false" ht="15.75" hidden="false" customHeight="false" outlineLevel="0" collapsed="false">
      <c r="A311" s="20" t="n">
        <v>46111</v>
      </c>
      <c r="B311" s="15" t="s">
        <v>5088</v>
      </c>
      <c r="C311" s="15" t="s">
        <v>504</v>
      </c>
      <c r="D311" s="15" t="s">
        <v>4772</v>
      </c>
      <c r="E311" s="15" t="s">
        <v>5132</v>
      </c>
      <c r="F311" s="15" t="s">
        <v>4789</v>
      </c>
      <c r="G311" s="15" t="s">
        <v>4779</v>
      </c>
    </row>
    <row r="312" customFormat="false" ht="15.75" hidden="false" customHeight="false" outlineLevel="0" collapsed="false">
      <c r="A312" s="20" t="n">
        <v>46111</v>
      </c>
      <c r="B312" s="15" t="s">
        <v>5103</v>
      </c>
      <c r="C312" s="15" t="s">
        <v>508</v>
      </c>
      <c r="D312" s="15" t="s">
        <v>4772</v>
      </c>
      <c r="E312" s="15" t="s">
        <v>5133</v>
      </c>
      <c r="F312" s="15" t="s">
        <v>4778</v>
      </c>
      <c r="G312" s="15" t="s">
        <v>4779</v>
      </c>
    </row>
    <row r="313" customFormat="false" ht="15.75" hidden="false" customHeight="false" outlineLevel="0" collapsed="false">
      <c r="A313" s="20" t="n">
        <v>46111</v>
      </c>
      <c r="B313" s="15" t="s">
        <v>4790</v>
      </c>
      <c r="C313" s="15" t="s">
        <v>522</v>
      </c>
      <c r="D313" s="15" t="s">
        <v>4772</v>
      </c>
      <c r="E313" s="15" t="s">
        <v>5134</v>
      </c>
      <c r="F313" s="15" t="s">
        <v>522</v>
      </c>
      <c r="G313" s="15" t="s">
        <v>4784</v>
      </c>
    </row>
    <row r="314" customFormat="false" ht="15.75" hidden="false" customHeight="false" outlineLevel="0" collapsed="false">
      <c r="A314" s="20" t="n">
        <v>46111</v>
      </c>
      <c r="B314" s="15" t="s">
        <v>4793</v>
      </c>
      <c r="C314" s="15" t="s">
        <v>524</v>
      </c>
      <c r="D314" s="15" t="s">
        <v>4772</v>
      </c>
      <c r="E314" s="15" t="s">
        <v>5135</v>
      </c>
      <c r="F314" s="15" t="s">
        <v>524</v>
      </c>
      <c r="G314" s="15" t="s">
        <v>4784</v>
      </c>
    </row>
    <row r="315" customFormat="false" ht="15.75" hidden="false" customHeight="false" outlineLevel="0" collapsed="false">
      <c r="A315" s="20" t="n">
        <v>46111</v>
      </c>
      <c r="B315" s="15" t="s">
        <v>4795</v>
      </c>
      <c r="C315" s="15" t="s">
        <v>469</v>
      </c>
      <c r="D315" s="15" t="s">
        <v>4772</v>
      </c>
      <c r="E315" s="15" t="s">
        <v>5136</v>
      </c>
      <c r="F315" s="15" t="s">
        <v>469</v>
      </c>
      <c r="G315" s="15" t="s">
        <v>4784</v>
      </c>
    </row>
    <row r="316" customFormat="false" ht="15.75" hidden="false" customHeight="false" outlineLevel="0" collapsed="false">
      <c r="A316" s="20" t="n">
        <v>46111</v>
      </c>
      <c r="B316" s="15" t="s">
        <v>5002</v>
      </c>
      <c r="C316" s="15" t="s">
        <v>499</v>
      </c>
      <c r="D316" s="15" t="s">
        <v>4772</v>
      </c>
      <c r="E316" s="15" t="s">
        <v>5137</v>
      </c>
      <c r="F316" s="15" t="s">
        <v>4901</v>
      </c>
      <c r="G316" s="15" t="s">
        <v>4801</v>
      </c>
    </row>
    <row r="317" customFormat="false" ht="15.75" hidden="false" customHeight="false" outlineLevel="0" collapsed="false">
      <c r="A317" s="20" t="n">
        <v>46111</v>
      </c>
      <c r="B317" s="15" t="s">
        <v>4802</v>
      </c>
      <c r="C317" s="15" t="s">
        <v>491</v>
      </c>
      <c r="D317" s="15" t="s">
        <v>4772</v>
      </c>
      <c r="E317" s="15" t="s">
        <v>5138</v>
      </c>
      <c r="F317" s="15" t="s">
        <v>4804</v>
      </c>
      <c r="G317" s="15" t="s">
        <v>4779</v>
      </c>
    </row>
    <row r="318" customFormat="false" ht="15.75" hidden="false" customHeight="false" outlineLevel="0" collapsed="false">
      <c r="A318" s="20" t="n">
        <v>46111</v>
      </c>
      <c r="B318" s="15" t="s">
        <v>4805</v>
      </c>
      <c r="C318" s="15" t="s">
        <v>487</v>
      </c>
      <c r="D318" s="15" t="s">
        <v>4772</v>
      </c>
      <c r="E318" s="15" t="s">
        <v>5139</v>
      </c>
      <c r="F318" s="15" t="s">
        <v>4951</v>
      </c>
      <c r="G318" s="15" t="s">
        <v>4779</v>
      </c>
    </row>
    <row r="319" customFormat="false" ht="15.75" hidden="false" customHeight="false" outlineLevel="0" collapsed="false">
      <c r="A319" s="20" t="n">
        <v>46111</v>
      </c>
      <c r="B319" s="15" t="s">
        <v>4807</v>
      </c>
      <c r="C319" s="15" t="s">
        <v>494</v>
      </c>
      <c r="D319" s="15" t="s">
        <v>4772</v>
      </c>
      <c r="E319" s="15" t="s">
        <v>5140</v>
      </c>
      <c r="F319" s="15" t="s">
        <v>5126</v>
      </c>
      <c r="G319" s="15" t="s">
        <v>4779</v>
      </c>
    </row>
    <row r="320" customFormat="false" ht="15.75" hidden="false" customHeight="false" outlineLevel="0" collapsed="false">
      <c r="A320" s="20" t="n">
        <v>46112</v>
      </c>
      <c r="B320" s="15" t="s">
        <v>4771</v>
      </c>
      <c r="C320" s="15" t="s">
        <v>502</v>
      </c>
      <c r="D320" s="15" t="s">
        <v>4772</v>
      </c>
      <c r="E320" s="15" t="s">
        <v>5141</v>
      </c>
      <c r="F320" s="15" t="s">
        <v>5070</v>
      </c>
      <c r="G320" s="15" t="s">
        <v>4779</v>
      </c>
    </row>
    <row r="321" customFormat="false" ht="15.75" hidden="false" customHeight="false" outlineLevel="0" collapsed="false">
      <c r="A321" s="20" t="n">
        <v>46112</v>
      </c>
      <c r="B321" s="15" t="s">
        <v>4775</v>
      </c>
      <c r="C321" s="15" t="s">
        <v>467</v>
      </c>
      <c r="D321" s="15" t="s">
        <v>4772</v>
      </c>
      <c r="E321" s="15" t="s">
        <v>5142</v>
      </c>
      <c r="F321" s="15" t="s">
        <v>4781</v>
      </c>
      <c r="G321" s="15" t="s">
        <v>4779</v>
      </c>
    </row>
    <row r="322" customFormat="false" ht="15.75" hidden="false" customHeight="false" outlineLevel="0" collapsed="false">
      <c r="A322" s="20" t="n">
        <v>46112</v>
      </c>
      <c r="B322" s="15" t="s">
        <v>4782</v>
      </c>
      <c r="C322" s="15" t="s">
        <v>453</v>
      </c>
      <c r="D322" s="15" t="s">
        <v>4772</v>
      </c>
      <c r="E322" s="15" t="s">
        <v>5143</v>
      </c>
      <c r="F322" s="15" t="s">
        <v>453</v>
      </c>
      <c r="G322" s="15" t="s">
        <v>4784</v>
      </c>
    </row>
    <row r="323" customFormat="false" ht="15.75" hidden="false" customHeight="false" outlineLevel="0" collapsed="false">
      <c r="A323" s="20" t="n">
        <v>46112</v>
      </c>
      <c r="B323" s="15" t="s">
        <v>4785</v>
      </c>
      <c r="C323" s="15" t="s">
        <v>464</v>
      </c>
      <c r="D323" s="15" t="s">
        <v>4772</v>
      </c>
      <c r="E323" s="15" t="s">
        <v>5144</v>
      </c>
      <c r="F323" s="15" t="s">
        <v>464</v>
      </c>
      <c r="G323" s="15" t="s">
        <v>4784</v>
      </c>
    </row>
    <row r="324" customFormat="false" ht="15.75" hidden="false" customHeight="false" outlineLevel="0" collapsed="false">
      <c r="A324" s="20" t="n">
        <v>46112</v>
      </c>
      <c r="B324" s="15" t="s">
        <v>4787</v>
      </c>
      <c r="C324" s="15" t="s">
        <v>505</v>
      </c>
      <c r="D324" s="15" t="s">
        <v>4772</v>
      </c>
      <c r="E324" s="15" t="s">
        <v>5145</v>
      </c>
      <c r="F324" s="15" t="s">
        <v>505</v>
      </c>
      <c r="G324" s="15" t="s">
        <v>4779</v>
      </c>
    </row>
    <row r="325" customFormat="false" ht="15.75" hidden="false" customHeight="false" outlineLevel="0" collapsed="false">
      <c r="A325" s="20" t="n">
        <v>46112</v>
      </c>
      <c r="B325" s="15" t="s">
        <v>5088</v>
      </c>
      <c r="C325" s="15" t="s">
        <v>504</v>
      </c>
      <c r="D325" s="15" t="s">
        <v>4772</v>
      </c>
      <c r="E325" s="15" t="s">
        <v>5146</v>
      </c>
      <c r="F325" s="15" t="s">
        <v>4789</v>
      </c>
      <c r="G325" s="15" t="s">
        <v>4779</v>
      </c>
    </row>
    <row r="326" customFormat="false" ht="15.75" hidden="false" customHeight="false" outlineLevel="0" collapsed="false">
      <c r="A326" s="20" t="n">
        <v>46112</v>
      </c>
      <c r="B326" s="15" t="s">
        <v>5103</v>
      </c>
      <c r="C326" s="15" t="s">
        <v>508</v>
      </c>
      <c r="D326" s="15" t="s">
        <v>4772</v>
      </c>
      <c r="E326" s="15" t="s">
        <v>5147</v>
      </c>
      <c r="F326" s="15" t="s">
        <v>4778</v>
      </c>
      <c r="G326" s="15" t="s">
        <v>4779</v>
      </c>
    </row>
    <row r="327" customFormat="false" ht="15.75" hidden="false" customHeight="false" outlineLevel="0" collapsed="false">
      <c r="A327" s="20" t="n">
        <v>46112</v>
      </c>
      <c r="B327" s="15" t="s">
        <v>4790</v>
      </c>
      <c r="C327" s="15" t="s">
        <v>521</v>
      </c>
      <c r="D327" s="15" t="s">
        <v>4772</v>
      </c>
      <c r="E327" s="15" t="s">
        <v>5148</v>
      </c>
      <c r="F327" s="15" t="s">
        <v>5149</v>
      </c>
      <c r="G327" s="15" t="s">
        <v>4779</v>
      </c>
    </row>
    <row r="328" customFormat="false" ht="15.75" hidden="false" customHeight="false" outlineLevel="0" collapsed="false">
      <c r="A328" s="20" t="n">
        <v>46112</v>
      </c>
      <c r="B328" s="15" t="s">
        <v>4793</v>
      </c>
      <c r="C328" s="15" t="s">
        <v>492</v>
      </c>
      <c r="D328" s="15" t="s">
        <v>4772</v>
      </c>
      <c r="E328" s="15" t="s">
        <v>5150</v>
      </c>
      <c r="F328" s="15" t="s">
        <v>5151</v>
      </c>
      <c r="G328" s="15" t="s">
        <v>4779</v>
      </c>
    </row>
    <row r="329" customFormat="false" ht="15.75" hidden="false" customHeight="false" outlineLevel="0" collapsed="false">
      <c r="A329" s="20" t="n">
        <v>46112</v>
      </c>
      <c r="B329" s="15" t="s">
        <v>4795</v>
      </c>
      <c r="C329" s="15" t="s">
        <v>469</v>
      </c>
      <c r="D329" s="15" t="s">
        <v>4772</v>
      </c>
      <c r="E329" s="15" t="s">
        <v>5152</v>
      </c>
      <c r="F329" s="15" t="s">
        <v>469</v>
      </c>
      <c r="G329" s="15" t="s">
        <v>4784</v>
      </c>
    </row>
    <row r="330" customFormat="false" ht="15.75" hidden="false" customHeight="false" outlineLevel="0" collapsed="false">
      <c r="A330" s="20" t="n">
        <v>46112</v>
      </c>
      <c r="B330" s="15" t="s">
        <v>5002</v>
      </c>
      <c r="C330" s="15" t="s">
        <v>500</v>
      </c>
      <c r="D330" s="15" t="s">
        <v>4772</v>
      </c>
      <c r="E330" s="15" t="s">
        <v>5153</v>
      </c>
      <c r="F330" s="15" t="s">
        <v>4820</v>
      </c>
      <c r="G330" s="15" t="s">
        <v>4801</v>
      </c>
    </row>
    <row r="331" customFormat="false" ht="15.75" hidden="false" customHeight="false" outlineLevel="0" collapsed="false">
      <c r="A331" s="20" t="n">
        <v>46112</v>
      </c>
      <c r="B331" s="15" t="s">
        <v>4802</v>
      </c>
      <c r="C331" s="15" t="s">
        <v>491</v>
      </c>
      <c r="D331" s="15" t="s">
        <v>4772</v>
      </c>
      <c r="E331" s="15" t="s">
        <v>5154</v>
      </c>
      <c r="F331" s="15" t="s">
        <v>4804</v>
      </c>
      <c r="G331" s="15" t="s">
        <v>4779</v>
      </c>
    </row>
    <row r="332" customFormat="false" ht="15.75" hidden="false" customHeight="false" outlineLevel="0" collapsed="false">
      <c r="A332" s="20" t="n">
        <v>46112</v>
      </c>
      <c r="B332" s="15" t="s">
        <v>4805</v>
      </c>
      <c r="C332" s="15" t="s">
        <v>487</v>
      </c>
      <c r="D332" s="15" t="s">
        <v>4772</v>
      </c>
      <c r="E332" s="15" t="s">
        <v>5155</v>
      </c>
      <c r="F332" s="15" t="s">
        <v>4951</v>
      </c>
      <c r="G332" s="15" t="s">
        <v>4779</v>
      </c>
    </row>
    <row r="333" customFormat="false" ht="15.75" hidden="false" customHeight="false" outlineLevel="0" collapsed="false">
      <c r="A333" s="20" t="n">
        <v>46112</v>
      </c>
      <c r="B333" s="15" t="s">
        <v>4807</v>
      </c>
      <c r="C333" s="15" t="s">
        <v>496</v>
      </c>
      <c r="D333" s="15" t="s">
        <v>4772</v>
      </c>
      <c r="E333" s="15" t="s">
        <v>5156</v>
      </c>
      <c r="F333" s="15" t="s">
        <v>4889</v>
      </c>
      <c r="G333" s="15" t="s">
        <v>4779</v>
      </c>
    </row>
    <row r="334" customFormat="false" ht="15.75" hidden="false" customHeight="false" outlineLevel="0" collapsed="false">
      <c r="A334" s="20" t="n">
        <v>46114</v>
      </c>
      <c r="B334" s="15" t="s">
        <v>4771</v>
      </c>
      <c r="C334" s="15" t="s">
        <v>502</v>
      </c>
      <c r="D334" s="15" t="s">
        <v>4772</v>
      </c>
      <c r="E334" s="15" t="s">
        <v>5157</v>
      </c>
      <c r="F334" s="15" t="s">
        <v>5070</v>
      </c>
      <c r="G334" s="15" t="s">
        <v>4779</v>
      </c>
    </row>
    <row r="335" customFormat="false" ht="15.75" hidden="false" customHeight="false" outlineLevel="0" collapsed="false">
      <c r="A335" s="20" t="n">
        <v>46114</v>
      </c>
      <c r="B335" s="15" t="s">
        <v>4775</v>
      </c>
      <c r="C335" s="15" t="s">
        <v>467</v>
      </c>
      <c r="D335" s="15" t="s">
        <v>4772</v>
      </c>
      <c r="E335" s="15" t="s">
        <v>5158</v>
      </c>
      <c r="F335" s="15" t="s">
        <v>4781</v>
      </c>
      <c r="G335" s="15" t="s">
        <v>4779</v>
      </c>
    </row>
    <row r="336" customFormat="false" ht="15.75" hidden="false" customHeight="false" outlineLevel="0" collapsed="false">
      <c r="A336" s="20" t="n">
        <v>46114</v>
      </c>
      <c r="B336" s="15" t="s">
        <v>4782</v>
      </c>
      <c r="C336" s="15" t="s">
        <v>453</v>
      </c>
      <c r="D336" s="15" t="s">
        <v>4772</v>
      </c>
      <c r="E336" s="15" t="s">
        <v>5159</v>
      </c>
      <c r="F336" s="15" t="s">
        <v>453</v>
      </c>
      <c r="G336" s="15" t="s">
        <v>4784</v>
      </c>
    </row>
    <row r="337" customFormat="false" ht="15.75" hidden="false" customHeight="false" outlineLevel="0" collapsed="false">
      <c r="A337" s="20" t="n">
        <v>46114</v>
      </c>
      <c r="B337" s="15" t="s">
        <v>4785</v>
      </c>
      <c r="C337" s="15" t="s">
        <v>464</v>
      </c>
      <c r="D337" s="15" t="s">
        <v>4772</v>
      </c>
      <c r="E337" s="15" t="s">
        <v>5160</v>
      </c>
      <c r="F337" s="15" t="s">
        <v>464</v>
      </c>
      <c r="G337" s="15" t="s">
        <v>4784</v>
      </c>
    </row>
    <row r="338" customFormat="false" ht="15.75" hidden="false" customHeight="false" outlineLevel="0" collapsed="false">
      <c r="A338" s="20" t="n">
        <v>46114</v>
      </c>
      <c r="B338" s="15" t="s">
        <v>4787</v>
      </c>
      <c r="C338" s="15" t="s">
        <v>505</v>
      </c>
      <c r="D338" s="15" t="s">
        <v>4772</v>
      </c>
      <c r="E338" s="15" t="s">
        <v>5161</v>
      </c>
      <c r="F338" s="15" t="s">
        <v>505</v>
      </c>
      <c r="G338" s="15" t="s">
        <v>4779</v>
      </c>
    </row>
    <row r="339" customFormat="false" ht="15.75" hidden="false" customHeight="false" outlineLevel="0" collapsed="false">
      <c r="A339" s="20" t="n">
        <v>46114</v>
      </c>
      <c r="B339" s="15" t="s">
        <v>5088</v>
      </c>
      <c r="C339" s="15" t="s">
        <v>504</v>
      </c>
      <c r="D339" s="15" t="s">
        <v>4772</v>
      </c>
      <c r="E339" s="15" t="s">
        <v>5162</v>
      </c>
      <c r="F339" s="15" t="s">
        <v>4789</v>
      </c>
      <c r="G339" s="15" t="s">
        <v>4779</v>
      </c>
    </row>
    <row r="340" customFormat="false" ht="15.75" hidden="false" customHeight="false" outlineLevel="0" collapsed="false">
      <c r="A340" s="20" t="n">
        <v>46114</v>
      </c>
      <c r="B340" s="15" t="s">
        <v>5103</v>
      </c>
      <c r="C340" s="15" t="s">
        <v>508</v>
      </c>
      <c r="D340" s="15" t="s">
        <v>4772</v>
      </c>
      <c r="E340" s="15" t="s">
        <v>5163</v>
      </c>
      <c r="F340" s="15" t="s">
        <v>4778</v>
      </c>
      <c r="G340" s="15" t="s">
        <v>4779</v>
      </c>
    </row>
    <row r="341" customFormat="false" ht="15.75" hidden="false" customHeight="false" outlineLevel="0" collapsed="false">
      <c r="A341" s="20" t="n">
        <v>46114</v>
      </c>
      <c r="B341" s="15" t="s">
        <v>4790</v>
      </c>
      <c r="C341" s="15" t="s">
        <v>521</v>
      </c>
      <c r="D341" s="15" t="s">
        <v>4772</v>
      </c>
      <c r="E341" s="15" t="s">
        <v>5164</v>
      </c>
      <c r="F341" s="15" t="s">
        <v>5149</v>
      </c>
      <c r="G341" s="15" t="s">
        <v>4779</v>
      </c>
    </row>
    <row r="342" customFormat="false" ht="15.75" hidden="false" customHeight="false" outlineLevel="0" collapsed="false">
      <c r="A342" s="20" t="n">
        <v>46114</v>
      </c>
      <c r="B342" s="15" t="s">
        <v>4793</v>
      </c>
      <c r="C342" s="15" t="s">
        <v>515</v>
      </c>
      <c r="D342" s="15" t="s">
        <v>4772</v>
      </c>
      <c r="E342" s="15" t="s">
        <v>5165</v>
      </c>
      <c r="F342" s="15" t="s">
        <v>5166</v>
      </c>
      <c r="G342" s="15" t="s">
        <v>4779</v>
      </c>
    </row>
    <row r="343" customFormat="false" ht="15.75" hidden="false" customHeight="false" outlineLevel="0" collapsed="false">
      <c r="A343" s="20" t="n">
        <v>46114</v>
      </c>
      <c r="B343" s="15" t="s">
        <v>4795</v>
      </c>
      <c r="C343" s="15" t="s">
        <v>469</v>
      </c>
      <c r="D343" s="15" t="s">
        <v>4772</v>
      </c>
      <c r="E343" s="15" t="s">
        <v>5167</v>
      </c>
      <c r="F343" s="15" t="s">
        <v>469</v>
      </c>
      <c r="G343" s="15" t="s">
        <v>4784</v>
      </c>
    </row>
    <row r="344" customFormat="false" ht="15.75" hidden="false" customHeight="false" outlineLevel="0" collapsed="false">
      <c r="A344" s="20" t="n">
        <v>46114</v>
      </c>
      <c r="B344" s="15" t="s">
        <v>5002</v>
      </c>
      <c r="C344" s="15" t="s">
        <v>500</v>
      </c>
      <c r="D344" s="15" t="s">
        <v>4772</v>
      </c>
      <c r="E344" s="15" t="s">
        <v>5168</v>
      </c>
      <c r="F344" s="15" t="s">
        <v>4820</v>
      </c>
      <c r="G344" s="15" t="s">
        <v>4801</v>
      </c>
    </row>
    <row r="345" customFormat="false" ht="15.75" hidden="false" customHeight="false" outlineLevel="0" collapsed="false">
      <c r="A345" s="20" t="n">
        <v>46114</v>
      </c>
      <c r="B345" s="15" t="s">
        <v>4802</v>
      </c>
      <c r="C345" s="15" t="s">
        <v>491</v>
      </c>
      <c r="D345" s="15" t="s">
        <v>4772</v>
      </c>
      <c r="E345" s="15" t="s">
        <v>5169</v>
      </c>
      <c r="F345" s="15" t="s">
        <v>4804</v>
      </c>
      <c r="G345" s="15" t="s">
        <v>4779</v>
      </c>
    </row>
    <row r="346" customFormat="false" ht="15.75" hidden="false" customHeight="false" outlineLevel="0" collapsed="false">
      <c r="A346" s="20" t="n">
        <v>46114</v>
      </c>
      <c r="B346" s="15" t="s">
        <v>4805</v>
      </c>
      <c r="C346" s="15" t="s">
        <v>487</v>
      </c>
      <c r="D346" s="15" t="s">
        <v>4772</v>
      </c>
      <c r="E346" s="15" t="s">
        <v>5170</v>
      </c>
      <c r="F346" s="15" t="s">
        <v>4951</v>
      </c>
      <c r="G346" s="15" t="s">
        <v>4779</v>
      </c>
    </row>
    <row r="347" customFormat="false" ht="15.75" hidden="false" customHeight="false" outlineLevel="0" collapsed="false">
      <c r="A347" s="20" t="n">
        <v>46114</v>
      </c>
      <c r="B347" s="15" t="s">
        <v>4807</v>
      </c>
      <c r="C347" s="15" t="s">
        <v>496</v>
      </c>
      <c r="D347" s="15" t="s">
        <v>4772</v>
      </c>
      <c r="E347" s="15" t="s">
        <v>5171</v>
      </c>
      <c r="F347" s="15" t="s">
        <v>4889</v>
      </c>
      <c r="G347" s="15" t="s">
        <v>4779</v>
      </c>
    </row>
    <row r="348" customFormat="false" ht="15.75" hidden="false" customHeight="false" outlineLevel="0" collapsed="false">
      <c r="A348" s="20" t="n">
        <v>46115</v>
      </c>
      <c r="B348" s="15" t="s">
        <v>4771</v>
      </c>
      <c r="C348" s="15" t="s">
        <v>502</v>
      </c>
      <c r="D348" s="15" t="s">
        <v>4772</v>
      </c>
      <c r="E348" s="15" t="s">
        <v>5172</v>
      </c>
      <c r="F348" s="15" t="s">
        <v>5070</v>
      </c>
      <c r="G348" s="15" t="s">
        <v>4779</v>
      </c>
    </row>
    <row r="349" customFormat="false" ht="15.75" hidden="false" customHeight="false" outlineLevel="0" collapsed="false">
      <c r="A349" s="20" t="n">
        <v>46115</v>
      </c>
      <c r="B349" s="15" t="s">
        <v>4775</v>
      </c>
      <c r="C349" s="15" t="s">
        <v>467</v>
      </c>
      <c r="D349" s="15" t="s">
        <v>4772</v>
      </c>
      <c r="E349" s="15" t="s">
        <v>5173</v>
      </c>
      <c r="F349" s="15" t="s">
        <v>4781</v>
      </c>
      <c r="G349" s="15" t="s">
        <v>4779</v>
      </c>
    </row>
    <row r="350" customFormat="false" ht="15.75" hidden="false" customHeight="false" outlineLevel="0" collapsed="false">
      <c r="A350" s="20" t="n">
        <v>46115</v>
      </c>
      <c r="B350" s="15" t="s">
        <v>4782</v>
      </c>
      <c r="C350" s="15" t="s">
        <v>453</v>
      </c>
      <c r="D350" s="15" t="s">
        <v>4772</v>
      </c>
      <c r="E350" s="15" t="s">
        <v>5174</v>
      </c>
      <c r="F350" s="15" t="s">
        <v>453</v>
      </c>
      <c r="G350" s="15" t="s">
        <v>4784</v>
      </c>
    </row>
    <row r="351" customFormat="false" ht="15.75" hidden="false" customHeight="false" outlineLevel="0" collapsed="false">
      <c r="A351" s="20" t="n">
        <v>46115</v>
      </c>
      <c r="B351" s="15" t="s">
        <v>4785</v>
      </c>
      <c r="C351" s="15" t="s">
        <v>464</v>
      </c>
      <c r="D351" s="15" t="s">
        <v>4772</v>
      </c>
      <c r="E351" s="15" t="s">
        <v>5175</v>
      </c>
      <c r="F351" s="15" t="s">
        <v>464</v>
      </c>
      <c r="G351" s="15" t="s">
        <v>4784</v>
      </c>
    </row>
    <row r="352" customFormat="false" ht="15.75" hidden="false" customHeight="false" outlineLevel="0" collapsed="false">
      <c r="A352" s="20" t="n">
        <v>46115</v>
      </c>
      <c r="B352" s="15" t="s">
        <v>4787</v>
      </c>
      <c r="C352" s="15" t="s">
        <v>505</v>
      </c>
      <c r="D352" s="15" t="s">
        <v>4772</v>
      </c>
      <c r="E352" s="15" t="s">
        <v>5176</v>
      </c>
      <c r="F352" s="15" t="s">
        <v>505</v>
      </c>
      <c r="G352" s="15" t="s">
        <v>4779</v>
      </c>
    </row>
    <row r="353" customFormat="false" ht="15.75" hidden="false" customHeight="false" outlineLevel="0" collapsed="false">
      <c r="A353" s="20" t="n">
        <v>46115</v>
      </c>
      <c r="B353" s="15" t="s">
        <v>5088</v>
      </c>
      <c r="C353" s="15" t="s">
        <v>504</v>
      </c>
      <c r="D353" s="15" t="s">
        <v>4772</v>
      </c>
      <c r="E353" s="15" t="s">
        <v>5177</v>
      </c>
      <c r="F353" s="15" t="s">
        <v>4789</v>
      </c>
      <c r="G353" s="15" t="s">
        <v>4779</v>
      </c>
    </row>
    <row r="354" customFormat="false" ht="15.75" hidden="false" customHeight="false" outlineLevel="0" collapsed="false">
      <c r="A354" s="20" t="n">
        <v>46115</v>
      </c>
      <c r="B354" s="15" t="s">
        <v>5103</v>
      </c>
      <c r="C354" s="15" t="s">
        <v>508</v>
      </c>
      <c r="D354" s="15" t="s">
        <v>4772</v>
      </c>
      <c r="E354" s="15" t="s">
        <v>5178</v>
      </c>
      <c r="F354" s="15" t="s">
        <v>4778</v>
      </c>
      <c r="G354" s="15" t="s">
        <v>4779</v>
      </c>
    </row>
    <row r="355" customFormat="false" ht="15.75" hidden="false" customHeight="false" outlineLevel="0" collapsed="false">
      <c r="A355" s="20" t="n">
        <v>46115</v>
      </c>
      <c r="B355" s="15" t="s">
        <v>4790</v>
      </c>
      <c r="C355" s="15" t="s">
        <v>521</v>
      </c>
      <c r="D355" s="15" t="s">
        <v>4772</v>
      </c>
      <c r="E355" s="15" t="s">
        <v>5179</v>
      </c>
      <c r="F355" s="15" t="s">
        <v>5149</v>
      </c>
      <c r="G355" s="15" t="s">
        <v>4779</v>
      </c>
    </row>
    <row r="356" customFormat="false" ht="15.75" hidden="false" customHeight="false" outlineLevel="0" collapsed="false">
      <c r="A356" s="20" t="n">
        <v>46115</v>
      </c>
      <c r="B356" s="15" t="s">
        <v>4793</v>
      </c>
      <c r="C356" s="15" t="s">
        <v>515</v>
      </c>
      <c r="D356" s="15" t="s">
        <v>4772</v>
      </c>
      <c r="E356" s="15" t="s">
        <v>5180</v>
      </c>
      <c r="F356" s="15" t="s">
        <v>5166</v>
      </c>
      <c r="G356" s="15" t="s">
        <v>4779</v>
      </c>
    </row>
    <row r="357" customFormat="false" ht="15.75" hidden="false" customHeight="false" outlineLevel="0" collapsed="false">
      <c r="A357" s="20" t="n">
        <v>46115</v>
      </c>
      <c r="B357" s="15" t="s">
        <v>4795</v>
      </c>
      <c r="C357" s="15" t="s">
        <v>469</v>
      </c>
      <c r="D357" s="15" t="s">
        <v>4772</v>
      </c>
      <c r="E357" s="15" t="s">
        <v>5181</v>
      </c>
      <c r="F357" s="15" t="s">
        <v>469</v>
      </c>
      <c r="G357" s="15" t="s">
        <v>4784</v>
      </c>
    </row>
    <row r="358" customFormat="false" ht="15.75" hidden="false" customHeight="false" outlineLevel="0" collapsed="false">
      <c r="A358" s="20" t="n">
        <v>46115</v>
      </c>
      <c r="B358" s="15" t="s">
        <v>5002</v>
      </c>
      <c r="C358" s="15" t="s">
        <v>500</v>
      </c>
      <c r="D358" s="15" t="s">
        <v>4772</v>
      </c>
      <c r="E358" s="15" t="s">
        <v>5182</v>
      </c>
      <c r="F358" s="15" t="s">
        <v>4820</v>
      </c>
      <c r="G358" s="15" t="s">
        <v>4801</v>
      </c>
    </row>
    <row r="359" customFormat="false" ht="15.75" hidden="false" customHeight="false" outlineLevel="0" collapsed="false">
      <c r="A359" s="20" t="n">
        <v>46115</v>
      </c>
      <c r="B359" s="15" t="s">
        <v>4802</v>
      </c>
      <c r="C359" s="15" t="s">
        <v>491</v>
      </c>
      <c r="D359" s="15" t="s">
        <v>4772</v>
      </c>
      <c r="E359" s="15" t="s">
        <v>5183</v>
      </c>
      <c r="F359" s="15" t="s">
        <v>4804</v>
      </c>
      <c r="G359" s="15" t="s">
        <v>4779</v>
      </c>
    </row>
    <row r="360" customFormat="false" ht="15.75" hidden="false" customHeight="false" outlineLevel="0" collapsed="false">
      <c r="A360" s="20" t="n">
        <v>46115</v>
      </c>
      <c r="B360" s="15" t="s">
        <v>4805</v>
      </c>
      <c r="C360" s="15" t="s">
        <v>487</v>
      </c>
      <c r="D360" s="15" t="s">
        <v>4772</v>
      </c>
      <c r="E360" s="15" t="s">
        <v>5184</v>
      </c>
      <c r="F360" s="15" t="s">
        <v>4951</v>
      </c>
      <c r="G360" s="15" t="s">
        <v>4779</v>
      </c>
    </row>
    <row r="361" customFormat="false" ht="15.75" hidden="false" customHeight="false" outlineLevel="0" collapsed="false">
      <c r="A361" s="20" t="n">
        <v>46115</v>
      </c>
      <c r="B361" s="15" t="s">
        <v>4807</v>
      </c>
      <c r="C361" s="15" t="s">
        <v>496</v>
      </c>
      <c r="D361" s="15" t="s">
        <v>4772</v>
      </c>
      <c r="E361" s="15" t="s">
        <v>5185</v>
      </c>
      <c r="F361" s="15" t="s">
        <v>4889</v>
      </c>
      <c r="G361" s="15" t="s">
        <v>4779</v>
      </c>
    </row>
    <row r="362" customFormat="false" ht="15.75" hidden="false" customHeight="false" outlineLevel="0" collapsed="false">
      <c r="A362" s="20" t="n">
        <v>46116</v>
      </c>
      <c r="B362" s="15" t="s">
        <v>4775</v>
      </c>
      <c r="C362" s="15" t="s">
        <v>467</v>
      </c>
      <c r="D362" s="15" t="s">
        <v>4772</v>
      </c>
      <c r="E362" s="15" t="s">
        <v>5186</v>
      </c>
      <c r="F362" s="15" t="s">
        <v>4781</v>
      </c>
      <c r="G362" s="15" t="s">
        <v>4779</v>
      </c>
    </row>
    <row r="363" customFormat="false" ht="15.75" hidden="false" customHeight="false" outlineLevel="0" collapsed="false">
      <c r="A363" s="20" t="n">
        <v>46116</v>
      </c>
      <c r="B363" s="15" t="s">
        <v>4782</v>
      </c>
      <c r="C363" s="15" t="s">
        <v>453</v>
      </c>
      <c r="D363" s="15" t="s">
        <v>4772</v>
      </c>
      <c r="E363" s="15" t="s">
        <v>5187</v>
      </c>
      <c r="F363" s="15" t="s">
        <v>453</v>
      </c>
      <c r="G363" s="15" t="s">
        <v>4784</v>
      </c>
    </row>
    <row r="364" customFormat="false" ht="15.75" hidden="false" customHeight="false" outlineLevel="0" collapsed="false">
      <c r="A364" s="20" t="n">
        <v>46116</v>
      </c>
      <c r="B364" s="15" t="s">
        <v>4787</v>
      </c>
      <c r="C364" s="15" t="s">
        <v>505</v>
      </c>
      <c r="D364" s="15" t="s">
        <v>4772</v>
      </c>
      <c r="E364" s="15" t="s">
        <v>5188</v>
      </c>
      <c r="F364" s="15" t="s">
        <v>505</v>
      </c>
      <c r="G364" s="15" t="s">
        <v>4779</v>
      </c>
    </row>
    <row r="365" customFormat="false" ht="15.75" hidden="false" customHeight="false" outlineLevel="0" collapsed="false">
      <c r="A365" s="20" t="n">
        <v>46116</v>
      </c>
      <c r="B365" s="15" t="s">
        <v>5088</v>
      </c>
      <c r="C365" s="15" t="s">
        <v>504</v>
      </c>
      <c r="D365" s="15" t="s">
        <v>4772</v>
      </c>
      <c r="E365" s="15" t="s">
        <v>5189</v>
      </c>
      <c r="F365" s="15" t="s">
        <v>4789</v>
      </c>
      <c r="G365" s="15" t="s">
        <v>4779</v>
      </c>
    </row>
    <row r="366" customFormat="false" ht="15.75" hidden="false" customHeight="false" outlineLevel="0" collapsed="false">
      <c r="A366" s="20" t="n">
        <v>46116</v>
      </c>
      <c r="B366" s="15" t="s">
        <v>5103</v>
      </c>
      <c r="C366" s="15" t="s">
        <v>508</v>
      </c>
      <c r="D366" s="15" t="s">
        <v>4772</v>
      </c>
      <c r="E366" s="15" t="s">
        <v>5190</v>
      </c>
      <c r="F366" s="15" t="s">
        <v>4778</v>
      </c>
      <c r="G366" s="15" t="s">
        <v>4779</v>
      </c>
    </row>
    <row r="367" customFormat="false" ht="15.75" hidden="false" customHeight="false" outlineLevel="0" collapsed="false">
      <c r="A367" s="20" t="n">
        <v>46116</v>
      </c>
      <c r="B367" s="15" t="s">
        <v>4802</v>
      </c>
      <c r="C367" s="15" t="s">
        <v>498</v>
      </c>
      <c r="D367" s="15" t="s">
        <v>4772</v>
      </c>
      <c r="E367" s="15" t="s">
        <v>5191</v>
      </c>
      <c r="F367" s="15" t="s">
        <v>5192</v>
      </c>
      <c r="G367" s="15" t="s">
        <v>4801</v>
      </c>
    </row>
    <row r="368" customFormat="false" ht="15.75" hidden="false" customHeight="false" outlineLevel="0" collapsed="false">
      <c r="A368" s="20" t="n">
        <v>46118</v>
      </c>
      <c r="B368" s="15" t="s">
        <v>4771</v>
      </c>
      <c r="C368" s="15" t="s">
        <v>502</v>
      </c>
      <c r="D368" s="15" t="s">
        <v>4772</v>
      </c>
      <c r="E368" s="15" t="s">
        <v>5193</v>
      </c>
      <c r="F368" s="15" t="s">
        <v>5070</v>
      </c>
      <c r="G368" s="15" t="s">
        <v>4779</v>
      </c>
    </row>
    <row r="369" customFormat="false" ht="15.75" hidden="false" customHeight="false" outlineLevel="0" collapsed="false">
      <c r="A369" s="20" t="n">
        <v>46118</v>
      </c>
      <c r="B369" s="15" t="s">
        <v>4775</v>
      </c>
      <c r="C369" s="15" t="s">
        <v>467</v>
      </c>
      <c r="D369" s="15" t="s">
        <v>4772</v>
      </c>
      <c r="E369" s="15" t="s">
        <v>5194</v>
      </c>
      <c r="F369" s="15" t="s">
        <v>4781</v>
      </c>
      <c r="G369" s="15" t="s">
        <v>4779</v>
      </c>
    </row>
    <row r="370" customFormat="false" ht="15.75" hidden="false" customHeight="false" outlineLevel="0" collapsed="false">
      <c r="A370" s="20" t="n">
        <v>46118</v>
      </c>
      <c r="B370" s="15" t="s">
        <v>4782</v>
      </c>
      <c r="C370" s="15" t="s">
        <v>453</v>
      </c>
      <c r="D370" s="15" t="s">
        <v>4772</v>
      </c>
      <c r="E370" s="15" t="s">
        <v>5195</v>
      </c>
      <c r="F370" s="15" t="s">
        <v>453</v>
      </c>
      <c r="G370" s="15" t="s">
        <v>4784</v>
      </c>
    </row>
    <row r="371" customFormat="false" ht="15.75" hidden="false" customHeight="false" outlineLevel="0" collapsed="false">
      <c r="A371" s="20" t="n">
        <v>46118</v>
      </c>
      <c r="B371" s="15" t="s">
        <v>4785</v>
      </c>
      <c r="C371" s="15" t="s">
        <v>464</v>
      </c>
      <c r="D371" s="15" t="s">
        <v>4772</v>
      </c>
      <c r="E371" s="15" t="s">
        <v>5196</v>
      </c>
      <c r="F371" s="15" t="s">
        <v>464</v>
      </c>
      <c r="G371" s="15" t="s">
        <v>4784</v>
      </c>
    </row>
    <row r="372" customFormat="false" ht="15.75" hidden="false" customHeight="false" outlineLevel="0" collapsed="false">
      <c r="A372" s="20" t="n">
        <v>46118</v>
      </c>
      <c r="B372" s="15" t="s">
        <v>4787</v>
      </c>
      <c r="C372" s="15" t="s">
        <v>505</v>
      </c>
      <c r="D372" s="15" t="s">
        <v>4772</v>
      </c>
      <c r="E372" s="15" t="s">
        <v>5197</v>
      </c>
      <c r="F372" s="15" t="s">
        <v>505</v>
      </c>
      <c r="G372" s="15" t="s">
        <v>4779</v>
      </c>
    </row>
    <row r="373" customFormat="false" ht="15.75" hidden="false" customHeight="false" outlineLevel="0" collapsed="false">
      <c r="A373" s="20" t="n">
        <v>46118</v>
      </c>
      <c r="B373" s="15" t="s">
        <v>5088</v>
      </c>
      <c r="C373" s="15" t="s">
        <v>504</v>
      </c>
      <c r="D373" s="15" t="s">
        <v>4772</v>
      </c>
      <c r="E373" s="15" t="s">
        <v>5198</v>
      </c>
      <c r="F373" s="15" t="s">
        <v>4789</v>
      </c>
      <c r="G373" s="15" t="s">
        <v>4779</v>
      </c>
    </row>
    <row r="374" customFormat="false" ht="15.75" hidden="false" customHeight="false" outlineLevel="0" collapsed="false">
      <c r="A374" s="20" t="n">
        <v>46118</v>
      </c>
      <c r="B374" s="15" t="s">
        <v>5103</v>
      </c>
      <c r="C374" s="15" t="s">
        <v>508</v>
      </c>
      <c r="D374" s="15" t="s">
        <v>4772</v>
      </c>
      <c r="E374" s="15" t="s">
        <v>5199</v>
      </c>
      <c r="F374" s="15" t="s">
        <v>4778</v>
      </c>
      <c r="G374" s="15" t="s">
        <v>4779</v>
      </c>
    </row>
    <row r="375" customFormat="false" ht="15.75" hidden="false" customHeight="false" outlineLevel="0" collapsed="false">
      <c r="A375" s="20" t="n">
        <v>46118</v>
      </c>
      <c r="B375" s="15" t="s">
        <v>4790</v>
      </c>
      <c r="C375" s="15" t="s">
        <v>521</v>
      </c>
      <c r="D375" s="15" t="s">
        <v>4772</v>
      </c>
      <c r="E375" s="15" t="s">
        <v>5200</v>
      </c>
      <c r="F375" s="15" t="s">
        <v>5149</v>
      </c>
      <c r="G375" s="15" t="s">
        <v>4779</v>
      </c>
    </row>
    <row r="376" customFormat="false" ht="15.75" hidden="false" customHeight="false" outlineLevel="0" collapsed="false">
      <c r="A376" s="20" t="n">
        <v>46118</v>
      </c>
      <c r="B376" s="15" t="s">
        <v>4793</v>
      </c>
      <c r="C376" s="15" t="s">
        <v>515</v>
      </c>
      <c r="D376" s="15" t="s">
        <v>4772</v>
      </c>
      <c r="E376" s="15" t="s">
        <v>5201</v>
      </c>
      <c r="F376" s="15" t="s">
        <v>5166</v>
      </c>
      <c r="G376" s="15" t="s">
        <v>4779</v>
      </c>
    </row>
    <row r="377" customFormat="false" ht="15.75" hidden="false" customHeight="false" outlineLevel="0" collapsed="false">
      <c r="A377" s="20" t="n">
        <v>46118</v>
      </c>
      <c r="B377" s="15" t="s">
        <v>4795</v>
      </c>
      <c r="C377" s="15" t="s">
        <v>469</v>
      </c>
      <c r="D377" s="15" t="s">
        <v>4772</v>
      </c>
      <c r="E377" s="15" t="s">
        <v>5202</v>
      </c>
      <c r="F377" s="15" t="s">
        <v>469</v>
      </c>
      <c r="G377" s="15" t="s">
        <v>4784</v>
      </c>
    </row>
    <row r="378" customFormat="false" ht="15.75" hidden="false" customHeight="false" outlineLevel="0" collapsed="false">
      <c r="A378" s="20" t="n">
        <v>46118</v>
      </c>
      <c r="B378" s="15" t="s">
        <v>5002</v>
      </c>
      <c r="C378" s="15" t="s">
        <v>451</v>
      </c>
      <c r="D378" s="15" t="s">
        <v>4772</v>
      </c>
      <c r="E378" s="15" t="s">
        <v>5203</v>
      </c>
      <c r="F378" s="15" t="s">
        <v>4809</v>
      </c>
      <c r="G378" s="15" t="s">
        <v>4779</v>
      </c>
    </row>
    <row r="379" customFormat="false" ht="15.75" hidden="false" customHeight="false" outlineLevel="0" collapsed="false">
      <c r="A379" s="20" t="n">
        <v>46118</v>
      </c>
      <c r="B379" s="15" t="s">
        <v>4802</v>
      </c>
      <c r="C379" s="15" t="s">
        <v>486</v>
      </c>
      <c r="D379" s="15" t="s">
        <v>4772</v>
      </c>
      <c r="E379" s="15" t="s">
        <v>5204</v>
      </c>
      <c r="F379" s="15" t="s">
        <v>486</v>
      </c>
      <c r="G379" s="15" t="s">
        <v>4784</v>
      </c>
    </row>
    <row r="380" customFormat="false" ht="15.75" hidden="false" customHeight="false" outlineLevel="0" collapsed="false">
      <c r="A380" s="20" t="n">
        <v>46118</v>
      </c>
      <c r="B380" s="15" t="s">
        <v>4805</v>
      </c>
      <c r="C380" s="15" t="s">
        <v>488</v>
      </c>
      <c r="D380" s="15" t="s">
        <v>4772</v>
      </c>
      <c r="E380" s="15" t="s">
        <v>5205</v>
      </c>
      <c r="F380" s="15" t="s">
        <v>4855</v>
      </c>
      <c r="G380" s="15" t="s">
        <v>4779</v>
      </c>
    </row>
    <row r="381" customFormat="false" ht="15.75" hidden="false" customHeight="false" outlineLevel="0" collapsed="false">
      <c r="A381" s="20" t="n">
        <v>46118</v>
      </c>
      <c r="B381" s="15" t="s">
        <v>4807</v>
      </c>
      <c r="C381" s="15" t="s">
        <v>496</v>
      </c>
      <c r="D381" s="15" t="s">
        <v>4772</v>
      </c>
      <c r="E381" s="15" t="s">
        <v>5206</v>
      </c>
      <c r="F381" s="15" t="s">
        <v>4889</v>
      </c>
      <c r="G381" s="15" t="s">
        <v>4779</v>
      </c>
    </row>
    <row r="382" customFormat="false" ht="15.75" hidden="false" customHeight="false" outlineLevel="0" collapsed="false">
      <c r="A382" s="20" t="n">
        <v>46119</v>
      </c>
      <c r="B382" s="15" t="s">
        <v>4771</v>
      </c>
      <c r="C382" s="15" t="s">
        <v>502</v>
      </c>
      <c r="D382" s="15" t="s">
        <v>4772</v>
      </c>
      <c r="E382" s="15" t="s">
        <v>5207</v>
      </c>
      <c r="F382" s="15" t="s">
        <v>5070</v>
      </c>
      <c r="G382" s="15" t="s">
        <v>4779</v>
      </c>
    </row>
    <row r="383" customFormat="false" ht="15.75" hidden="false" customHeight="false" outlineLevel="0" collapsed="false">
      <c r="A383" s="20" t="n">
        <v>46119</v>
      </c>
      <c r="B383" s="15" t="s">
        <v>4775</v>
      </c>
      <c r="C383" s="15" t="s">
        <v>467</v>
      </c>
      <c r="D383" s="15" t="s">
        <v>4772</v>
      </c>
      <c r="E383" s="15" t="s">
        <v>5208</v>
      </c>
      <c r="F383" s="15" t="s">
        <v>4781</v>
      </c>
      <c r="G383" s="15" t="s">
        <v>4779</v>
      </c>
    </row>
    <row r="384" customFormat="false" ht="15.75" hidden="false" customHeight="false" outlineLevel="0" collapsed="false">
      <c r="A384" s="20" t="n">
        <v>46119</v>
      </c>
      <c r="B384" s="15" t="s">
        <v>4782</v>
      </c>
      <c r="C384" s="15" t="s">
        <v>453</v>
      </c>
      <c r="D384" s="15" t="s">
        <v>4772</v>
      </c>
      <c r="E384" s="15" t="s">
        <v>5209</v>
      </c>
      <c r="F384" s="15" t="s">
        <v>453</v>
      </c>
      <c r="G384" s="15" t="s">
        <v>4784</v>
      </c>
    </row>
    <row r="385" customFormat="false" ht="15.75" hidden="false" customHeight="false" outlineLevel="0" collapsed="false">
      <c r="A385" s="20" t="n">
        <v>46119</v>
      </c>
      <c r="B385" s="15" t="s">
        <v>4785</v>
      </c>
      <c r="C385" s="15" t="s">
        <v>464</v>
      </c>
      <c r="D385" s="15" t="s">
        <v>4772</v>
      </c>
      <c r="E385" s="15" t="s">
        <v>5210</v>
      </c>
      <c r="F385" s="15" t="s">
        <v>464</v>
      </c>
      <c r="G385" s="15" t="s">
        <v>4784</v>
      </c>
    </row>
    <row r="386" customFormat="false" ht="15.75" hidden="false" customHeight="false" outlineLevel="0" collapsed="false">
      <c r="A386" s="20" t="n">
        <v>46119</v>
      </c>
      <c r="B386" s="15" t="s">
        <v>4787</v>
      </c>
      <c r="C386" s="15" t="s">
        <v>505</v>
      </c>
      <c r="D386" s="15" t="s">
        <v>4772</v>
      </c>
      <c r="E386" s="15" t="s">
        <v>5211</v>
      </c>
      <c r="F386" s="15" t="s">
        <v>505</v>
      </c>
      <c r="G386" s="15" t="s">
        <v>4779</v>
      </c>
    </row>
    <row r="387" customFormat="false" ht="15.75" hidden="false" customHeight="false" outlineLevel="0" collapsed="false">
      <c r="A387" s="20" t="n">
        <v>46119</v>
      </c>
      <c r="B387" s="15" t="s">
        <v>5088</v>
      </c>
      <c r="C387" s="15" t="s">
        <v>504</v>
      </c>
      <c r="D387" s="15" t="s">
        <v>4772</v>
      </c>
      <c r="E387" s="15" t="s">
        <v>5212</v>
      </c>
      <c r="F387" s="15" t="s">
        <v>4789</v>
      </c>
      <c r="G387" s="15" t="s">
        <v>4779</v>
      </c>
    </row>
    <row r="388" customFormat="false" ht="15.75" hidden="false" customHeight="false" outlineLevel="0" collapsed="false">
      <c r="A388" s="20" t="n">
        <v>46119</v>
      </c>
      <c r="B388" s="15" t="s">
        <v>5103</v>
      </c>
      <c r="C388" s="15" t="s">
        <v>508</v>
      </c>
      <c r="D388" s="15" t="s">
        <v>4772</v>
      </c>
      <c r="E388" s="15" t="s">
        <v>5213</v>
      </c>
      <c r="F388" s="15" t="s">
        <v>4778</v>
      </c>
      <c r="G388" s="15" t="s">
        <v>4779</v>
      </c>
    </row>
    <row r="389" customFormat="false" ht="15.75" hidden="false" customHeight="false" outlineLevel="0" collapsed="false">
      <c r="A389" s="20" t="n">
        <v>46119</v>
      </c>
      <c r="B389" s="15" t="s">
        <v>4790</v>
      </c>
      <c r="C389" s="15" t="s">
        <v>521</v>
      </c>
      <c r="D389" s="15" t="s">
        <v>4772</v>
      </c>
      <c r="E389" s="15" t="s">
        <v>5214</v>
      </c>
      <c r="F389" s="15" t="s">
        <v>5149</v>
      </c>
      <c r="G389" s="15" t="s">
        <v>4779</v>
      </c>
    </row>
    <row r="390" customFormat="false" ht="15.75" hidden="false" customHeight="false" outlineLevel="0" collapsed="false">
      <c r="A390" s="20" t="n">
        <v>46119</v>
      </c>
      <c r="B390" s="15" t="s">
        <v>4793</v>
      </c>
      <c r="C390" s="15" t="s">
        <v>515</v>
      </c>
      <c r="D390" s="15" t="s">
        <v>4772</v>
      </c>
      <c r="E390" s="15" t="s">
        <v>5215</v>
      </c>
      <c r="F390" s="15" t="s">
        <v>5166</v>
      </c>
      <c r="G390" s="15" t="s">
        <v>4779</v>
      </c>
    </row>
    <row r="391" customFormat="false" ht="15.75" hidden="false" customHeight="false" outlineLevel="0" collapsed="false">
      <c r="A391" s="20" t="n">
        <v>46119</v>
      </c>
      <c r="B391" s="15" t="s">
        <v>4795</v>
      </c>
      <c r="C391" s="15" t="s">
        <v>469</v>
      </c>
      <c r="D391" s="15" t="s">
        <v>4772</v>
      </c>
      <c r="E391" s="15" t="s">
        <v>5216</v>
      </c>
      <c r="F391" s="15" t="s">
        <v>469</v>
      </c>
      <c r="G391" s="15" t="s">
        <v>4784</v>
      </c>
    </row>
    <row r="392" customFormat="false" ht="15.75" hidden="false" customHeight="false" outlineLevel="0" collapsed="false">
      <c r="A392" s="20" t="n">
        <v>46119</v>
      </c>
      <c r="B392" s="15" t="s">
        <v>5002</v>
      </c>
      <c r="C392" s="15" t="s">
        <v>528</v>
      </c>
      <c r="D392" s="15" t="s">
        <v>4772</v>
      </c>
      <c r="E392" s="15" t="s">
        <v>5217</v>
      </c>
      <c r="F392" s="15" t="s">
        <v>5218</v>
      </c>
      <c r="G392" s="15" t="s">
        <v>4779</v>
      </c>
    </row>
    <row r="393" customFormat="false" ht="15.75" hidden="false" customHeight="false" outlineLevel="0" collapsed="false">
      <c r="A393" s="20" t="n">
        <v>46119</v>
      </c>
      <c r="B393" s="15" t="s">
        <v>4802</v>
      </c>
      <c r="C393" s="15" t="s">
        <v>486</v>
      </c>
      <c r="D393" s="15" t="s">
        <v>4772</v>
      </c>
      <c r="E393" s="15" t="s">
        <v>5219</v>
      </c>
      <c r="F393" s="15" t="s">
        <v>486</v>
      </c>
      <c r="G393" s="15" t="s">
        <v>4784</v>
      </c>
    </row>
    <row r="394" customFormat="false" ht="15.75" hidden="false" customHeight="false" outlineLevel="0" collapsed="false">
      <c r="A394" s="20" t="n">
        <v>46119</v>
      </c>
      <c r="B394" s="15" t="s">
        <v>4805</v>
      </c>
      <c r="C394" s="15" t="s">
        <v>488</v>
      </c>
      <c r="D394" s="15" t="s">
        <v>4772</v>
      </c>
      <c r="E394" s="15" t="s">
        <v>5220</v>
      </c>
      <c r="F394" s="15" t="s">
        <v>4855</v>
      </c>
      <c r="G394" s="15" t="s">
        <v>4779</v>
      </c>
    </row>
    <row r="395" customFormat="false" ht="15.75" hidden="false" customHeight="false" outlineLevel="0" collapsed="false">
      <c r="A395" s="20" t="n">
        <v>46119</v>
      </c>
      <c r="B395" s="15" t="s">
        <v>4807</v>
      </c>
      <c r="C395" s="15" t="s">
        <v>496</v>
      </c>
      <c r="D395" s="15" t="s">
        <v>4772</v>
      </c>
      <c r="E395" s="15" t="s">
        <v>5221</v>
      </c>
      <c r="F395" s="15" t="s">
        <v>4889</v>
      </c>
      <c r="G395" s="15" t="s">
        <v>4779</v>
      </c>
    </row>
    <row r="396" customFormat="false" ht="15.75" hidden="false" customHeight="false" outlineLevel="0" collapsed="false">
      <c r="A396" s="20" t="n">
        <v>46120</v>
      </c>
      <c r="B396" s="15" t="s">
        <v>4771</v>
      </c>
      <c r="C396" s="15" t="s">
        <v>502</v>
      </c>
      <c r="D396" s="15" t="s">
        <v>4772</v>
      </c>
      <c r="E396" s="15" t="s">
        <v>5222</v>
      </c>
      <c r="F396" s="15" t="s">
        <v>5070</v>
      </c>
      <c r="G396" s="15" t="s">
        <v>4779</v>
      </c>
    </row>
    <row r="397" customFormat="false" ht="15.75" hidden="false" customHeight="false" outlineLevel="0" collapsed="false">
      <c r="A397" s="20" t="n">
        <v>46120</v>
      </c>
      <c r="B397" s="15" t="s">
        <v>4775</v>
      </c>
      <c r="C397" s="15" t="s">
        <v>467</v>
      </c>
      <c r="D397" s="15" t="s">
        <v>4772</v>
      </c>
      <c r="E397" s="15" t="s">
        <v>5223</v>
      </c>
      <c r="F397" s="15" t="s">
        <v>4781</v>
      </c>
      <c r="G397" s="15" t="s">
        <v>4779</v>
      </c>
    </row>
    <row r="398" customFormat="false" ht="15.75" hidden="false" customHeight="false" outlineLevel="0" collapsed="false">
      <c r="A398" s="20" t="n">
        <v>46120</v>
      </c>
      <c r="B398" s="15" t="s">
        <v>4782</v>
      </c>
      <c r="C398" s="15" t="s">
        <v>453</v>
      </c>
      <c r="D398" s="15" t="s">
        <v>4772</v>
      </c>
      <c r="E398" s="15" t="s">
        <v>5224</v>
      </c>
      <c r="F398" s="15" t="s">
        <v>453</v>
      </c>
      <c r="G398" s="15" t="s">
        <v>4784</v>
      </c>
    </row>
    <row r="399" customFormat="false" ht="15.75" hidden="false" customHeight="false" outlineLevel="0" collapsed="false">
      <c r="A399" s="20" t="n">
        <v>46120</v>
      </c>
      <c r="B399" s="15" t="s">
        <v>4785</v>
      </c>
      <c r="C399" s="15" t="s">
        <v>464</v>
      </c>
      <c r="D399" s="15" t="s">
        <v>4772</v>
      </c>
      <c r="E399" s="15" t="s">
        <v>5225</v>
      </c>
      <c r="F399" s="15" t="s">
        <v>464</v>
      </c>
      <c r="G399" s="15" t="s">
        <v>4784</v>
      </c>
    </row>
    <row r="400" customFormat="false" ht="15.75" hidden="false" customHeight="false" outlineLevel="0" collapsed="false">
      <c r="A400" s="20" t="n">
        <v>46120</v>
      </c>
      <c r="B400" s="15" t="s">
        <v>4787</v>
      </c>
      <c r="C400" s="15" t="s">
        <v>505</v>
      </c>
      <c r="D400" s="15" t="s">
        <v>4772</v>
      </c>
      <c r="E400" s="15" t="s">
        <v>5226</v>
      </c>
      <c r="F400" s="15" t="s">
        <v>505</v>
      </c>
      <c r="G400" s="15" t="s">
        <v>4779</v>
      </c>
    </row>
    <row r="401" customFormat="false" ht="15.75" hidden="false" customHeight="false" outlineLevel="0" collapsed="false">
      <c r="A401" s="20" t="n">
        <v>46120</v>
      </c>
      <c r="B401" s="15" t="s">
        <v>5088</v>
      </c>
      <c r="C401" s="15" t="s">
        <v>504</v>
      </c>
      <c r="D401" s="15" t="s">
        <v>4772</v>
      </c>
      <c r="E401" s="15" t="s">
        <v>5227</v>
      </c>
      <c r="F401" s="15" t="s">
        <v>4789</v>
      </c>
      <c r="G401" s="15" t="s">
        <v>4779</v>
      </c>
    </row>
    <row r="402" customFormat="false" ht="15.75" hidden="false" customHeight="false" outlineLevel="0" collapsed="false">
      <c r="A402" s="20" t="n">
        <v>46120</v>
      </c>
      <c r="B402" s="15" t="s">
        <v>5103</v>
      </c>
      <c r="C402" s="15" t="s">
        <v>508</v>
      </c>
      <c r="D402" s="15" t="s">
        <v>4772</v>
      </c>
      <c r="E402" s="15" t="s">
        <v>5228</v>
      </c>
      <c r="F402" s="15" t="s">
        <v>4778</v>
      </c>
      <c r="G402" s="15" t="s">
        <v>4779</v>
      </c>
    </row>
    <row r="403" customFormat="false" ht="15.75" hidden="false" customHeight="false" outlineLevel="0" collapsed="false">
      <c r="A403" s="20" t="n">
        <v>46120</v>
      </c>
      <c r="B403" s="15" t="s">
        <v>4790</v>
      </c>
      <c r="C403" s="15" t="s">
        <v>521</v>
      </c>
      <c r="D403" s="15" t="s">
        <v>4772</v>
      </c>
      <c r="E403" s="15" t="s">
        <v>5229</v>
      </c>
      <c r="F403" s="15" t="s">
        <v>5149</v>
      </c>
      <c r="G403" s="15" t="s">
        <v>4779</v>
      </c>
    </row>
    <row r="404" customFormat="false" ht="15.75" hidden="false" customHeight="false" outlineLevel="0" collapsed="false">
      <c r="A404" s="20" t="n">
        <v>46120</v>
      </c>
      <c r="B404" s="15" t="s">
        <v>4793</v>
      </c>
      <c r="C404" s="15" t="s">
        <v>525</v>
      </c>
      <c r="D404" s="15" t="s">
        <v>4772</v>
      </c>
      <c r="E404" s="15" t="s">
        <v>5230</v>
      </c>
      <c r="F404" s="15" t="s">
        <v>4283</v>
      </c>
      <c r="G404" s="15" t="s">
        <v>4779</v>
      </c>
    </row>
    <row r="405" customFormat="false" ht="15.75" hidden="false" customHeight="false" outlineLevel="0" collapsed="false">
      <c r="A405" s="20" t="n">
        <v>46120</v>
      </c>
      <c r="B405" s="15" t="s">
        <v>4795</v>
      </c>
      <c r="C405" s="15" t="s">
        <v>469</v>
      </c>
      <c r="D405" s="15" t="s">
        <v>4772</v>
      </c>
      <c r="E405" s="15" t="s">
        <v>5231</v>
      </c>
      <c r="F405" s="15" t="s">
        <v>469</v>
      </c>
      <c r="G405" s="15" t="s">
        <v>4784</v>
      </c>
    </row>
    <row r="406" customFormat="false" ht="15.75" hidden="false" customHeight="false" outlineLevel="0" collapsed="false">
      <c r="A406" s="20" t="n">
        <v>46120</v>
      </c>
      <c r="B406" s="15" t="s">
        <v>4921</v>
      </c>
      <c r="C406" s="15" t="s">
        <v>530</v>
      </c>
      <c r="D406" s="15" t="s">
        <v>4772</v>
      </c>
      <c r="E406" s="15" t="s">
        <v>5232</v>
      </c>
      <c r="F406" s="15" t="s">
        <v>5233</v>
      </c>
      <c r="G406" s="15" t="s">
        <v>4779</v>
      </c>
    </row>
    <row r="407" customFormat="false" ht="15.75" hidden="false" customHeight="false" outlineLevel="0" collapsed="false">
      <c r="A407" s="20" t="n">
        <v>46120</v>
      </c>
      <c r="B407" s="15" t="s">
        <v>4802</v>
      </c>
      <c r="C407" s="15" t="s">
        <v>498</v>
      </c>
      <c r="D407" s="15" t="s">
        <v>4772</v>
      </c>
      <c r="E407" s="15" t="s">
        <v>5234</v>
      </c>
      <c r="F407" s="15" t="s">
        <v>5192</v>
      </c>
      <c r="G407" s="15" t="s">
        <v>4801</v>
      </c>
    </row>
    <row r="408" customFormat="false" ht="15.75" hidden="false" customHeight="false" outlineLevel="0" collapsed="false">
      <c r="A408" s="20" t="n">
        <v>46120</v>
      </c>
      <c r="B408" s="15" t="s">
        <v>4805</v>
      </c>
      <c r="C408" s="15" t="s">
        <v>488</v>
      </c>
      <c r="D408" s="15" t="s">
        <v>4772</v>
      </c>
      <c r="E408" s="15" t="s">
        <v>5235</v>
      </c>
      <c r="F408" s="15" t="s">
        <v>4855</v>
      </c>
      <c r="G408" s="15" t="s">
        <v>4779</v>
      </c>
    </row>
    <row r="409" customFormat="false" ht="15.75" hidden="false" customHeight="false" outlineLevel="0" collapsed="false">
      <c r="A409" s="20" t="n">
        <v>46120</v>
      </c>
      <c r="B409" s="15" t="s">
        <v>4807</v>
      </c>
      <c r="C409" s="15" t="s">
        <v>496</v>
      </c>
      <c r="D409" s="15" t="s">
        <v>4772</v>
      </c>
      <c r="E409" s="15" t="s">
        <v>5236</v>
      </c>
      <c r="F409" s="15" t="s">
        <v>4889</v>
      </c>
      <c r="G409" s="15" t="s">
        <v>4779</v>
      </c>
    </row>
    <row r="410" customFormat="false" ht="15.75" hidden="false" customHeight="false" outlineLevel="0" collapsed="false">
      <c r="A410" s="20" t="n">
        <v>46121</v>
      </c>
      <c r="B410" s="15" t="s">
        <v>4771</v>
      </c>
      <c r="C410" s="15" t="s">
        <v>502</v>
      </c>
      <c r="D410" s="15" t="s">
        <v>4772</v>
      </c>
      <c r="E410" s="15" t="s">
        <v>5237</v>
      </c>
      <c r="F410" s="15" t="s">
        <v>5070</v>
      </c>
      <c r="G410" s="15" t="s">
        <v>4779</v>
      </c>
    </row>
    <row r="411" customFormat="false" ht="15.75" hidden="false" customHeight="false" outlineLevel="0" collapsed="false">
      <c r="A411" s="20" t="n">
        <v>46121</v>
      </c>
      <c r="B411" s="15" t="s">
        <v>4775</v>
      </c>
      <c r="C411" s="15" t="s">
        <v>467</v>
      </c>
      <c r="D411" s="15" t="s">
        <v>4772</v>
      </c>
      <c r="E411" s="15" t="s">
        <v>5238</v>
      </c>
      <c r="F411" s="15" t="s">
        <v>4781</v>
      </c>
      <c r="G411" s="15" t="s">
        <v>4779</v>
      </c>
    </row>
    <row r="412" customFormat="false" ht="15.75" hidden="false" customHeight="false" outlineLevel="0" collapsed="false">
      <c r="A412" s="20" t="n">
        <v>46121</v>
      </c>
      <c r="B412" s="15" t="s">
        <v>4782</v>
      </c>
      <c r="C412" s="15" t="s">
        <v>453</v>
      </c>
      <c r="D412" s="15" t="s">
        <v>4772</v>
      </c>
      <c r="E412" s="15" t="s">
        <v>5239</v>
      </c>
      <c r="F412" s="15" t="s">
        <v>453</v>
      </c>
      <c r="G412" s="15" t="s">
        <v>4784</v>
      </c>
    </row>
    <row r="413" customFormat="false" ht="15.75" hidden="false" customHeight="false" outlineLevel="0" collapsed="false">
      <c r="A413" s="20" t="n">
        <v>46121</v>
      </c>
      <c r="B413" s="15" t="s">
        <v>4785</v>
      </c>
      <c r="C413" s="15" t="s">
        <v>464</v>
      </c>
      <c r="D413" s="15" t="s">
        <v>4772</v>
      </c>
      <c r="E413" s="15" t="s">
        <v>5240</v>
      </c>
      <c r="F413" s="15" t="s">
        <v>464</v>
      </c>
      <c r="G413" s="15" t="s">
        <v>4784</v>
      </c>
    </row>
    <row r="414" customFormat="false" ht="15.75" hidden="false" customHeight="false" outlineLevel="0" collapsed="false">
      <c r="A414" s="20" t="n">
        <v>46121</v>
      </c>
      <c r="B414" s="15" t="s">
        <v>4787</v>
      </c>
      <c r="C414" s="15" t="s">
        <v>505</v>
      </c>
      <c r="D414" s="15" t="s">
        <v>4772</v>
      </c>
      <c r="E414" s="15" t="s">
        <v>5241</v>
      </c>
      <c r="F414" s="15" t="s">
        <v>505</v>
      </c>
      <c r="G414" s="15" t="s">
        <v>4779</v>
      </c>
    </row>
    <row r="415" customFormat="false" ht="15.75" hidden="false" customHeight="false" outlineLevel="0" collapsed="false">
      <c r="A415" s="20" t="n">
        <v>46121</v>
      </c>
      <c r="B415" s="15" t="s">
        <v>5088</v>
      </c>
      <c r="C415" s="15" t="s">
        <v>504</v>
      </c>
      <c r="D415" s="15" t="s">
        <v>4772</v>
      </c>
      <c r="E415" s="15" t="s">
        <v>5242</v>
      </c>
      <c r="F415" s="15" t="s">
        <v>4789</v>
      </c>
      <c r="G415" s="15" t="s">
        <v>4779</v>
      </c>
    </row>
    <row r="416" customFormat="false" ht="15.75" hidden="false" customHeight="false" outlineLevel="0" collapsed="false">
      <c r="A416" s="20" t="n">
        <v>46121</v>
      </c>
      <c r="B416" s="15" t="s">
        <v>5103</v>
      </c>
      <c r="C416" s="15" t="s">
        <v>508</v>
      </c>
      <c r="D416" s="15" t="s">
        <v>4772</v>
      </c>
      <c r="E416" s="15" t="s">
        <v>5243</v>
      </c>
      <c r="F416" s="15" t="s">
        <v>4778</v>
      </c>
      <c r="G416" s="15" t="s">
        <v>4779</v>
      </c>
    </row>
    <row r="417" customFormat="false" ht="15.75" hidden="false" customHeight="false" outlineLevel="0" collapsed="false">
      <c r="A417" s="20" t="n">
        <v>46121</v>
      </c>
      <c r="B417" s="15" t="s">
        <v>4790</v>
      </c>
      <c r="C417" s="15" t="s">
        <v>521</v>
      </c>
      <c r="D417" s="15" t="s">
        <v>4772</v>
      </c>
      <c r="E417" s="15" t="s">
        <v>5244</v>
      </c>
      <c r="F417" s="15" t="s">
        <v>5149</v>
      </c>
      <c r="G417" s="15" t="s">
        <v>4779</v>
      </c>
    </row>
    <row r="418" customFormat="false" ht="15.75" hidden="false" customHeight="false" outlineLevel="0" collapsed="false">
      <c r="A418" s="20" t="n">
        <v>46121</v>
      </c>
      <c r="B418" s="15" t="s">
        <v>4793</v>
      </c>
      <c r="C418" s="15" t="s">
        <v>525</v>
      </c>
      <c r="D418" s="15" t="s">
        <v>4772</v>
      </c>
      <c r="E418" s="15" t="s">
        <v>5245</v>
      </c>
      <c r="F418" s="15" t="s">
        <v>4283</v>
      </c>
      <c r="G418" s="15" t="s">
        <v>4779</v>
      </c>
    </row>
    <row r="419" customFormat="false" ht="15.75" hidden="false" customHeight="false" outlineLevel="0" collapsed="false">
      <c r="A419" s="20" t="n">
        <v>46121</v>
      </c>
      <c r="B419" s="15" t="s">
        <v>4795</v>
      </c>
      <c r="C419" s="15" t="s">
        <v>463</v>
      </c>
      <c r="D419" s="15" t="s">
        <v>4772</v>
      </c>
      <c r="E419" s="15" t="s">
        <v>5246</v>
      </c>
      <c r="F419" s="15" t="s">
        <v>463</v>
      </c>
      <c r="G419" s="15" t="s">
        <v>4784</v>
      </c>
    </row>
    <row r="420" customFormat="false" ht="15.75" hidden="false" customHeight="false" outlineLevel="0" collapsed="false">
      <c r="A420" s="20" t="n">
        <v>46121</v>
      </c>
      <c r="B420" s="15" t="s">
        <v>5002</v>
      </c>
      <c r="C420" s="15" t="s">
        <v>528</v>
      </c>
      <c r="D420" s="15" t="s">
        <v>4772</v>
      </c>
      <c r="E420" s="15" t="s">
        <v>5247</v>
      </c>
      <c r="F420" s="15" t="s">
        <v>5218</v>
      </c>
      <c r="G420" s="15" t="s">
        <v>4779</v>
      </c>
    </row>
    <row r="421" customFormat="false" ht="15.75" hidden="false" customHeight="false" outlineLevel="0" collapsed="false">
      <c r="A421" s="20" t="n">
        <v>46121</v>
      </c>
      <c r="B421" s="15" t="s">
        <v>4802</v>
      </c>
      <c r="C421" s="15" t="s">
        <v>498</v>
      </c>
      <c r="D421" s="15" t="s">
        <v>4772</v>
      </c>
      <c r="E421" s="15" t="s">
        <v>5248</v>
      </c>
      <c r="F421" s="15" t="s">
        <v>5192</v>
      </c>
      <c r="G421" s="15" t="s">
        <v>4801</v>
      </c>
    </row>
    <row r="422" customFormat="false" ht="15.75" hidden="false" customHeight="false" outlineLevel="0" collapsed="false">
      <c r="A422" s="20" t="n">
        <v>46121</v>
      </c>
      <c r="B422" s="15" t="s">
        <v>4805</v>
      </c>
      <c r="C422" s="15" t="s">
        <v>488</v>
      </c>
      <c r="D422" s="15" t="s">
        <v>4772</v>
      </c>
      <c r="E422" s="15" t="s">
        <v>5249</v>
      </c>
      <c r="F422" s="15" t="s">
        <v>4855</v>
      </c>
      <c r="G422" s="15" t="s">
        <v>4779</v>
      </c>
    </row>
    <row r="423" customFormat="false" ht="15.75" hidden="false" customHeight="false" outlineLevel="0" collapsed="false">
      <c r="A423" s="20" t="n">
        <v>46121</v>
      </c>
      <c r="B423" s="15" t="s">
        <v>4807</v>
      </c>
      <c r="C423" s="15" t="s">
        <v>496</v>
      </c>
      <c r="D423" s="15" t="s">
        <v>4772</v>
      </c>
      <c r="E423" s="15" t="s">
        <v>5250</v>
      </c>
      <c r="F423" s="15" t="s">
        <v>4889</v>
      </c>
      <c r="G423" s="15" t="s">
        <v>4779</v>
      </c>
    </row>
    <row r="424" customFormat="false" ht="15.75" hidden="false" customHeight="false" outlineLevel="0" collapsed="false">
      <c r="A424" s="20" t="n">
        <v>46122</v>
      </c>
      <c r="B424" s="15" t="s">
        <v>4771</v>
      </c>
      <c r="C424" s="15" t="s">
        <v>502</v>
      </c>
      <c r="D424" s="15" t="s">
        <v>4772</v>
      </c>
      <c r="E424" s="15" t="s">
        <v>5251</v>
      </c>
      <c r="F424" s="15" t="s">
        <v>5070</v>
      </c>
      <c r="G424" s="15" t="s">
        <v>4779</v>
      </c>
    </row>
    <row r="425" customFormat="false" ht="15.75" hidden="false" customHeight="false" outlineLevel="0" collapsed="false">
      <c r="A425" s="20" t="n">
        <v>46122</v>
      </c>
      <c r="B425" s="15" t="s">
        <v>4775</v>
      </c>
      <c r="C425" s="15" t="s">
        <v>467</v>
      </c>
      <c r="D425" s="15" t="s">
        <v>4772</v>
      </c>
      <c r="E425" s="15" t="s">
        <v>5252</v>
      </c>
      <c r="F425" s="15" t="s">
        <v>4781</v>
      </c>
      <c r="G425" s="15" t="s">
        <v>4779</v>
      </c>
    </row>
    <row r="426" customFormat="false" ht="15.75" hidden="false" customHeight="false" outlineLevel="0" collapsed="false">
      <c r="A426" s="20" t="n">
        <v>46122</v>
      </c>
      <c r="B426" s="15" t="s">
        <v>4782</v>
      </c>
      <c r="C426" s="15" t="s">
        <v>453</v>
      </c>
      <c r="D426" s="15" t="s">
        <v>4772</v>
      </c>
      <c r="E426" s="15" t="s">
        <v>5253</v>
      </c>
      <c r="F426" s="15" t="s">
        <v>453</v>
      </c>
      <c r="G426" s="15" t="s">
        <v>4784</v>
      </c>
    </row>
    <row r="427" customFormat="false" ht="15.75" hidden="false" customHeight="false" outlineLevel="0" collapsed="false">
      <c r="A427" s="20" t="n">
        <v>46122</v>
      </c>
      <c r="B427" s="15" t="s">
        <v>4785</v>
      </c>
      <c r="C427" s="15" t="s">
        <v>464</v>
      </c>
      <c r="D427" s="15" t="s">
        <v>4772</v>
      </c>
      <c r="E427" s="15" t="s">
        <v>5254</v>
      </c>
      <c r="F427" s="15" t="s">
        <v>464</v>
      </c>
      <c r="G427" s="15" t="s">
        <v>4784</v>
      </c>
    </row>
    <row r="428" customFormat="false" ht="15.75" hidden="false" customHeight="false" outlineLevel="0" collapsed="false">
      <c r="A428" s="20" t="n">
        <v>46122</v>
      </c>
      <c r="B428" s="15" t="s">
        <v>4787</v>
      </c>
      <c r="C428" s="15" t="s">
        <v>505</v>
      </c>
      <c r="D428" s="15" t="s">
        <v>4772</v>
      </c>
      <c r="E428" s="15" t="s">
        <v>5255</v>
      </c>
      <c r="F428" s="15" t="s">
        <v>505</v>
      </c>
      <c r="G428" s="15" t="s">
        <v>4779</v>
      </c>
    </row>
    <row r="429" customFormat="false" ht="15.75" hidden="false" customHeight="false" outlineLevel="0" collapsed="false">
      <c r="A429" s="20" t="n">
        <v>46122</v>
      </c>
      <c r="B429" s="15" t="s">
        <v>5088</v>
      </c>
      <c r="C429" s="15" t="s">
        <v>504</v>
      </c>
      <c r="D429" s="15" t="s">
        <v>4772</v>
      </c>
      <c r="E429" s="15" t="s">
        <v>5256</v>
      </c>
      <c r="F429" s="15" t="s">
        <v>4789</v>
      </c>
      <c r="G429" s="15" t="s">
        <v>4779</v>
      </c>
    </row>
    <row r="430" customFormat="false" ht="15.75" hidden="false" customHeight="false" outlineLevel="0" collapsed="false">
      <c r="A430" s="20" t="n">
        <v>46122</v>
      </c>
      <c r="B430" s="15" t="s">
        <v>5103</v>
      </c>
      <c r="C430" s="15" t="s">
        <v>508</v>
      </c>
      <c r="D430" s="15" t="s">
        <v>4772</v>
      </c>
      <c r="E430" s="15" t="s">
        <v>5257</v>
      </c>
      <c r="F430" s="15" t="s">
        <v>4778</v>
      </c>
      <c r="G430" s="15" t="s">
        <v>4779</v>
      </c>
    </row>
    <row r="431" customFormat="false" ht="15.75" hidden="false" customHeight="false" outlineLevel="0" collapsed="false">
      <c r="A431" s="20" t="n">
        <v>46122</v>
      </c>
      <c r="B431" s="15" t="s">
        <v>4790</v>
      </c>
      <c r="C431" s="15" t="s">
        <v>521</v>
      </c>
      <c r="D431" s="15" t="s">
        <v>4772</v>
      </c>
      <c r="E431" s="15" t="s">
        <v>5258</v>
      </c>
      <c r="F431" s="15" t="s">
        <v>5149</v>
      </c>
      <c r="G431" s="15" t="s">
        <v>4779</v>
      </c>
    </row>
    <row r="432" customFormat="false" ht="15.75" hidden="false" customHeight="false" outlineLevel="0" collapsed="false">
      <c r="A432" s="20" t="n">
        <v>46122</v>
      </c>
      <c r="B432" s="15" t="s">
        <v>4793</v>
      </c>
      <c r="C432" s="15" t="s">
        <v>525</v>
      </c>
      <c r="D432" s="15" t="s">
        <v>4772</v>
      </c>
      <c r="E432" s="15" t="s">
        <v>5259</v>
      </c>
      <c r="F432" s="15" t="s">
        <v>4283</v>
      </c>
      <c r="G432" s="15" t="s">
        <v>4779</v>
      </c>
    </row>
    <row r="433" customFormat="false" ht="15.75" hidden="false" customHeight="false" outlineLevel="0" collapsed="false">
      <c r="A433" s="20" t="n">
        <v>46122</v>
      </c>
      <c r="B433" s="15" t="s">
        <v>4795</v>
      </c>
      <c r="C433" s="15" t="s">
        <v>463</v>
      </c>
      <c r="D433" s="15" t="s">
        <v>4772</v>
      </c>
      <c r="E433" s="15" t="s">
        <v>5260</v>
      </c>
      <c r="F433" s="15" t="s">
        <v>463</v>
      </c>
      <c r="G433" s="15" t="s">
        <v>4784</v>
      </c>
    </row>
    <row r="434" customFormat="false" ht="15.75" hidden="false" customHeight="false" outlineLevel="0" collapsed="false">
      <c r="A434" s="20" t="n">
        <v>46122</v>
      </c>
      <c r="B434" s="15" t="s">
        <v>5002</v>
      </c>
      <c r="C434" s="15" t="s">
        <v>498</v>
      </c>
      <c r="D434" s="15" t="s">
        <v>4772</v>
      </c>
      <c r="E434" s="15" t="s">
        <v>5261</v>
      </c>
      <c r="F434" s="15" t="s">
        <v>5192</v>
      </c>
      <c r="G434" s="15" t="s">
        <v>4801</v>
      </c>
    </row>
    <row r="435" customFormat="false" ht="15.75" hidden="false" customHeight="false" outlineLevel="0" collapsed="false">
      <c r="A435" s="20" t="n">
        <v>46122</v>
      </c>
      <c r="B435" s="15" t="s">
        <v>4802</v>
      </c>
      <c r="C435" s="15" t="s">
        <v>498</v>
      </c>
      <c r="D435" s="15" t="s">
        <v>4772</v>
      </c>
      <c r="E435" s="15" t="s">
        <v>5262</v>
      </c>
      <c r="F435" s="15" t="s">
        <v>5192</v>
      </c>
      <c r="G435" s="15" t="s">
        <v>4801</v>
      </c>
    </row>
    <row r="436" customFormat="false" ht="15.75" hidden="false" customHeight="false" outlineLevel="0" collapsed="false">
      <c r="A436" s="20" t="n">
        <v>46122</v>
      </c>
      <c r="B436" s="15" t="s">
        <v>4805</v>
      </c>
      <c r="C436" s="15" t="s">
        <v>19</v>
      </c>
      <c r="D436" s="15" t="s">
        <v>4772</v>
      </c>
      <c r="E436" s="15" t="s">
        <v>5263</v>
      </c>
      <c r="F436" s="15" t="s">
        <v>4822</v>
      </c>
      <c r="G436" s="15" t="s">
        <v>4779</v>
      </c>
    </row>
    <row r="437" customFormat="false" ht="15.75" hidden="false" customHeight="false" outlineLevel="0" collapsed="false">
      <c r="A437" s="20" t="n">
        <v>46122</v>
      </c>
      <c r="B437" s="15" t="s">
        <v>4807</v>
      </c>
      <c r="C437" s="15" t="s">
        <v>452</v>
      </c>
      <c r="D437" s="15" t="s">
        <v>4772</v>
      </c>
      <c r="E437" s="15" t="s">
        <v>5264</v>
      </c>
      <c r="F437" s="15" t="s">
        <v>452</v>
      </c>
      <c r="G437" s="15" t="s">
        <v>4784</v>
      </c>
    </row>
    <row r="438" customFormat="false" ht="15.75" hidden="false" customHeight="false" outlineLevel="0" collapsed="false">
      <c r="A438" s="20" t="n">
        <v>46125</v>
      </c>
      <c r="B438" s="15" t="s">
        <v>4771</v>
      </c>
      <c r="C438" s="15" t="s">
        <v>502</v>
      </c>
      <c r="D438" s="15" t="s">
        <v>4772</v>
      </c>
      <c r="E438" s="15" t="s">
        <v>5265</v>
      </c>
      <c r="F438" s="15" t="s">
        <v>5070</v>
      </c>
      <c r="G438" s="15" t="s">
        <v>4779</v>
      </c>
    </row>
    <row r="439" customFormat="false" ht="15.75" hidden="false" customHeight="false" outlineLevel="0" collapsed="false">
      <c r="A439" s="20" t="n">
        <v>46125</v>
      </c>
      <c r="B439" s="15" t="s">
        <v>4775</v>
      </c>
      <c r="C439" s="15" t="s">
        <v>467</v>
      </c>
      <c r="D439" s="15" t="s">
        <v>4772</v>
      </c>
      <c r="E439" s="15" t="s">
        <v>5266</v>
      </c>
      <c r="F439" s="15" t="s">
        <v>4781</v>
      </c>
      <c r="G439" s="15" t="s">
        <v>4779</v>
      </c>
    </row>
    <row r="440" customFormat="false" ht="15.75" hidden="false" customHeight="false" outlineLevel="0" collapsed="false">
      <c r="A440" s="20" t="n">
        <v>46125</v>
      </c>
      <c r="B440" s="15" t="s">
        <v>4782</v>
      </c>
      <c r="C440" s="15" t="s">
        <v>453</v>
      </c>
      <c r="D440" s="15" t="s">
        <v>4772</v>
      </c>
      <c r="E440" s="15" t="s">
        <v>5267</v>
      </c>
      <c r="F440" s="15" t="s">
        <v>453</v>
      </c>
      <c r="G440" s="15" t="s">
        <v>4784</v>
      </c>
    </row>
    <row r="441" customFormat="false" ht="15.75" hidden="false" customHeight="false" outlineLevel="0" collapsed="false">
      <c r="A441" s="20" t="n">
        <v>46125</v>
      </c>
      <c r="B441" s="15" t="s">
        <v>4785</v>
      </c>
      <c r="C441" s="15" t="s">
        <v>464</v>
      </c>
      <c r="D441" s="15" t="s">
        <v>4772</v>
      </c>
      <c r="E441" s="15" t="s">
        <v>5268</v>
      </c>
      <c r="F441" s="15" t="s">
        <v>464</v>
      </c>
      <c r="G441" s="15" t="s">
        <v>4784</v>
      </c>
    </row>
    <row r="442" customFormat="false" ht="15.75" hidden="false" customHeight="false" outlineLevel="0" collapsed="false">
      <c r="A442" s="20" t="n">
        <v>46125</v>
      </c>
      <c r="B442" s="15" t="s">
        <v>4787</v>
      </c>
      <c r="C442" s="15" t="s">
        <v>505</v>
      </c>
      <c r="D442" s="15" t="s">
        <v>4772</v>
      </c>
      <c r="E442" s="15" t="s">
        <v>5269</v>
      </c>
      <c r="F442" s="15" t="s">
        <v>505</v>
      </c>
      <c r="G442" s="15" t="s">
        <v>4779</v>
      </c>
    </row>
    <row r="443" customFormat="false" ht="15.75" hidden="false" customHeight="false" outlineLevel="0" collapsed="false">
      <c r="A443" s="20" t="n">
        <v>46125</v>
      </c>
      <c r="B443" s="15" t="s">
        <v>5088</v>
      </c>
      <c r="C443" s="15" t="s">
        <v>504</v>
      </c>
      <c r="D443" s="15" t="s">
        <v>4772</v>
      </c>
      <c r="E443" s="15" t="s">
        <v>5270</v>
      </c>
      <c r="F443" s="15" t="s">
        <v>4789</v>
      </c>
      <c r="G443" s="15" t="s">
        <v>4779</v>
      </c>
    </row>
    <row r="444" customFormat="false" ht="15.75" hidden="false" customHeight="false" outlineLevel="0" collapsed="false">
      <c r="A444" s="20" t="n">
        <v>46125</v>
      </c>
      <c r="B444" s="15" t="s">
        <v>5103</v>
      </c>
      <c r="C444" s="15" t="s">
        <v>508</v>
      </c>
      <c r="D444" s="15" t="s">
        <v>4772</v>
      </c>
      <c r="E444" s="15" t="s">
        <v>5271</v>
      </c>
      <c r="F444" s="15" t="s">
        <v>4778</v>
      </c>
      <c r="G444" s="15" t="s">
        <v>4779</v>
      </c>
    </row>
    <row r="445" customFormat="false" ht="15.75" hidden="false" customHeight="false" outlineLevel="0" collapsed="false">
      <c r="A445" s="20" t="n">
        <v>46125</v>
      </c>
      <c r="B445" s="15" t="s">
        <v>5272</v>
      </c>
      <c r="C445" s="15" t="s">
        <v>458</v>
      </c>
      <c r="D445" s="15" t="s">
        <v>4772</v>
      </c>
      <c r="E445" s="15" t="s">
        <v>5273</v>
      </c>
      <c r="F445" s="15" t="s">
        <v>458</v>
      </c>
      <c r="G445" s="15" t="s">
        <v>4779</v>
      </c>
    </row>
    <row r="446" customFormat="false" ht="15.75" hidden="false" customHeight="false" outlineLevel="0" collapsed="false">
      <c r="A446" s="20" t="n">
        <v>46125</v>
      </c>
      <c r="B446" s="15" t="s">
        <v>4790</v>
      </c>
      <c r="C446" s="15" t="s">
        <v>521</v>
      </c>
      <c r="D446" s="15" t="s">
        <v>4772</v>
      </c>
      <c r="E446" s="15" t="s">
        <v>5274</v>
      </c>
      <c r="F446" s="15" t="s">
        <v>5149</v>
      </c>
      <c r="G446" s="15" t="s">
        <v>4779</v>
      </c>
    </row>
    <row r="447" customFormat="false" ht="15.75" hidden="false" customHeight="false" outlineLevel="0" collapsed="false">
      <c r="A447" s="20" t="n">
        <v>46125</v>
      </c>
      <c r="B447" s="15" t="s">
        <v>4793</v>
      </c>
      <c r="C447" s="15" t="s">
        <v>525</v>
      </c>
      <c r="D447" s="15" t="s">
        <v>4772</v>
      </c>
      <c r="E447" s="15" t="s">
        <v>5275</v>
      </c>
      <c r="F447" s="15" t="s">
        <v>4283</v>
      </c>
      <c r="G447" s="15" t="s">
        <v>4779</v>
      </c>
    </row>
    <row r="448" customFormat="false" ht="15.75" hidden="false" customHeight="false" outlineLevel="0" collapsed="false">
      <c r="A448" s="20" t="n">
        <v>46125</v>
      </c>
      <c r="B448" s="15" t="s">
        <v>4795</v>
      </c>
      <c r="C448" s="15" t="s">
        <v>463</v>
      </c>
      <c r="D448" s="15" t="s">
        <v>4772</v>
      </c>
      <c r="E448" s="15" t="s">
        <v>5276</v>
      </c>
      <c r="F448" s="15" t="s">
        <v>463</v>
      </c>
      <c r="G448" s="15" t="s">
        <v>4784</v>
      </c>
    </row>
    <row r="449" customFormat="false" ht="15.75" hidden="false" customHeight="false" outlineLevel="0" collapsed="false">
      <c r="A449" s="20" t="n">
        <v>46125</v>
      </c>
      <c r="B449" s="15" t="s">
        <v>5002</v>
      </c>
      <c r="C449" s="15" t="s">
        <v>498</v>
      </c>
      <c r="D449" s="15" t="s">
        <v>4772</v>
      </c>
      <c r="E449" s="15" t="s">
        <v>5277</v>
      </c>
      <c r="F449" s="15" t="s">
        <v>5192</v>
      </c>
      <c r="G449" s="15" t="s">
        <v>4801</v>
      </c>
    </row>
    <row r="450" customFormat="false" ht="15.75" hidden="false" customHeight="false" outlineLevel="0" collapsed="false">
      <c r="A450" s="20" t="n">
        <v>46125</v>
      </c>
      <c r="B450" s="15" t="s">
        <v>4802</v>
      </c>
      <c r="C450" s="15" t="s">
        <v>486</v>
      </c>
      <c r="D450" s="15" t="s">
        <v>4772</v>
      </c>
      <c r="E450" s="15" t="s">
        <v>5278</v>
      </c>
      <c r="F450" s="15" t="s">
        <v>486</v>
      </c>
      <c r="G450" s="15" t="s">
        <v>4784</v>
      </c>
    </row>
    <row r="451" customFormat="false" ht="15.75" hidden="false" customHeight="false" outlineLevel="0" collapsed="false">
      <c r="A451" s="20" t="n">
        <v>46125</v>
      </c>
      <c r="B451" s="15" t="s">
        <v>4805</v>
      </c>
      <c r="C451" s="15" t="s">
        <v>19</v>
      </c>
      <c r="D451" s="15" t="s">
        <v>4772</v>
      </c>
      <c r="E451" s="15" t="s">
        <v>5279</v>
      </c>
      <c r="F451" s="15" t="s">
        <v>4822</v>
      </c>
      <c r="G451" s="15" t="s">
        <v>4779</v>
      </c>
    </row>
    <row r="452" customFormat="false" ht="15.75" hidden="false" customHeight="false" outlineLevel="0" collapsed="false">
      <c r="A452" s="20" t="n">
        <v>46125</v>
      </c>
      <c r="B452" s="15" t="s">
        <v>4807</v>
      </c>
      <c r="C452" s="15" t="s">
        <v>452</v>
      </c>
      <c r="D452" s="15" t="s">
        <v>4772</v>
      </c>
      <c r="E452" s="15" t="s">
        <v>5280</v>
      </c>
      <c r="F452" s="15" t="s">
        <v>452</v>
      </c>
      <c r="G452" s="15" t="s">
        <v>4784</v>
      </c>
    </row>
    <row r="453" customFormat="false" ht="15.75" hidden="false" customHeight="false" outlineLevel="0" collapsed="false">
      <c r="A453" s="20" t="n">
        <v>46126</v>
      </c>
      <c r="B453" s="15" t="s">
        <v>4771</v>
      </c>
      <c r="C453" s="15" t="s">
        <v>502</v>
      </c>
      <c r="D453" s="15" t="s">
        <v>4772</v>
      </c>
      <c r="E453" s="15" t="s">
        <v>5281</v>
      </c>
      <c r="F453" s="15" t="s">
        <v>5070</v>
      </c>
      <c r="G453" s="15" t="s">
        <v>4779</v>
      </c>
    </row>
    <row r="454" customFormat="false" ht="15.75" hidden="false" customHeight="false" outlineLevel="0" collapsed="false">
      <c r="A454" s="20" t="n">
        <v>46126</v>
      </c>
      <c r="B454" s="15" t="s">
        <v>4775</v>
      </c>
      <c r="C454" s="15" t="s">
        <v>467</v>
      </c>
      <c r="D454" s="15" t="s">
        <v>4772</v>
      </c>
      <c r="E454" s="15" t="s">
        <v>5282</v>
      </c>
      <c r="F454" s="15" t="s">
        <v>4781</v>
      </c>
      <c r="G454" s="15" t="s">
        <v>4779</v>
      </c>
    </row>
    <row r="455" customFormat="false" ht="15.75" hidden="false" customHeight="false" outlineLevel="0" collapsed="false">
      <c r="A455" s="20" t="n">
        <v>46126</v>
      </c>
      <c r="B455" s="15" t="s">
        <v>4782</v>
      </c>
      <c r="C455" s="15" t="s">
        <v>453</v>
      </c>
      <c r="D455" s="15" t="s">
        <v>4772</v>
      </c>
      <c r="E455" s="15" t="s">
        <v>5283</v>
      </c>
      <c r="F455" s="15" t="s">
        <v>453</v>
      </c>
      <c r="G455" s="15" t="s">
        <v>4784</v>
      </c>
    </row>
    <row r="456" customFormat="false" ht="15.75" hidden="false" customHeight="false" outlineLevel="0" collapsed="false">
      <c r="A456" s="20" t="n">
        <v>46126</v>
      </c>
      <c r="B456" s="15" t="s">
        <v>4785</v>
      </c>
      <c r="C456" s="15" t="s">
        <v>464</v>
      </c>
      <c r="D456" s="15" t="s">
        <v>4772</v>
      </c>
      <c r="E456" s="15" t="s">
        <v>5284</v>
      </c>
      <c r="F456" s="15" t="s">
        <v>464</v>
      </c>
      <c r="G456" s="15" t="s">
        <v>4784</v>
      </c>
    </row>
    <row r="457" customFormat="false" ht="15.75" hidden="false" customHeight="false" outlineLevel="0" collapsed="false">
      <c r="A457" s="20" t="n">
        <v>46126</v>
      </c>
      <c r="B457" s="15" t="s">
        <v>4787</v>
      </c>
      <c r="C457" s="15" t="s">
        <v>504</v>
      </c>
      <c r="D457" s="15" t="s">
        <v>4772</v>
      </c>
      <c r="E457" s="15" t="s">
        <v>5285</v>
      </c>
      <c r="F457" s="15" t="s">
        <v>4789</v>
      </c>
      <c r="G457" s="15" t="s">
        <v>4779</v>
      </c>
    </row>
    <row r="458" customFormat="false" ht="15.75" hidden="false" customHeight="false" outlineLevel="0" collapsed="false">
      <c r="A458" s="20" t="n">
        <v>46126</v>
      </c>
      <c r="B458" s="15" t="s">
        <v>5088</v>
      </c>
      <c r="C458" s="15" t="s">
        <v>504</v>
      </c>
      <c r="D458" s="15" t="s">
        <v>4772</v>
      </c>
      <c r="E458" s="15" t="s">
        <v>5286</v>
      </c>
      <c r="F458" s="15" t="s">
        <v>4789</v>
      </c>
      <c r="G458" s="15" t="s">
        <v>4779</v>
      </c>
    </row>
    <row r="459" customFormat="false" ht="15.75" hidden="false" customHeight="false" outlineLevel="0" collapsed="false">
      <c r="A459" s="20" t="n">
        <v>46126</v>
      </c>
      <c r="B459" s="15" t="s">
        <v>5103</v>
      </c>
      <c r="C459" s="15" t="s">
        <v>508</v>
      </c>
      <c r="D459" s="15" t="s">
        <v>4772</v>
      </c>
      <c r="E459" s="15" t="s">
        <v>5287</v>
      </c>
      <c r="F459" s="15" t="s">
        <v>4778</v>
      </c>
      <c r="G459" s="15" t="s">
        <v>4779</v>
      </c>
    </row>
    <row r="460" customFormat="false" ht="15.75" hidden="false" customHeight="false" outlineLevel="0" collapsed="false">
      <c r="A460" s="20" t="n">
        <v>46126</v>
      </c>
      <c r="B460" s="15" t="s">
        <v>5272</v>
      </c>
      <c r="C460" s="15" t="s">
        <v>460</v>
      </c>
      <c r="D460" s="15" t="s">
        <v>4772</v>
      </c>
      <c r="E460" s="15" t="s">
        <v>5288</v>
      </c>
      <c r="F460" s="15" t="s">
        <v>460</v>
      </c>
      <c r="G460" s="15" t="s">
        <v>4779</v>
      </c>
    </row>
    <row r="461" customFormat="false" ht="15.75" hidden="false" customHeight="false" outlineLevel="0" collapsed="false">
      <c r="A461" s="20" t="n">
        <v>46126</v>
      </c>
      <c r="B461" s="15" t="s">
        <v>4790</v>
      </c>
      <c r="C461" s="15" t="s">
        <v>521</v>
      </c>
      <c r="D461" s="15" t="s">
        <v>4772</v>
      </c>
      <c r="E461" s="15" t="s">
        <v>5289</v>
      </c>
      <c r="F461" s="15" t="s">
        <v>5149</v>
      </c>
      <c r="G461" s="15" t="s">
        <v>4779</v>
      </c>
    </row>
    <row r="462" customFormat="false" ht="15.75" hidden="false" customHeight="false" outlineLevel="0" collapsed="false">
      <c r="A462" s="20" t="n">
        <v>46126</v>
      </c>
      <c r="B462" s="15" t="s">
        <v>4793</v>
      </c>
      <c r="C462" s="15" t="s">
        <v>525</v>
      </c>
      <c r="D462" s="15" t="s">
        <v>4772</v>
      </c>
      <c r="E462" s="15" t="s">
        <v>5290</v>
      </c>
      <c r="F462" s="15" t="s">
        <v>4283</v>
      </c>
      <c r="G462" s="15" t="s">
        <v>4779</v>
      </c>
    </row>
    <row r="463" customFormat="false" ht="15.75" hidden="false" customHeight="false" outlineLevel="0" collapsed="false">
      <c r="A463" s="20" t="n">
        <v>46126</v>
      </c>
      <c r="B463" s="15" t="s">
        <v>4795</v>
      </c>
      <c r="C463" s="15" t="s">
        <v>469</v>
      </c>
      <c r="D463" s="15" t="s">
        <v>4772</v>
      </c>
      <c r="E463" s="15" t="s">
        <v>5291</v>
      </c>
      <c r="F463" s="15" t="s">
        <v>469</v>
      </c>
      <c r="G463" s="15" t="s">
        <v>4784</v>
      </c>
    </row>
    <row r="464" customFormat="false" ht="15.75" hidden="false" customHeight="false" outlineLevel="0" collapsed="false">
      <c r="A464" s="20" t="n">
        <v>46126</v>
      </c>
      <c r="B464" s="15" t="s">
        <v>5002</v>
      </c>
      <c r="C464" s="15" t="s">
        <v>498</v>
      </c>
      <c r="D464" s="15" t="s">
        <v>4772</v>
      </c>
      <c r="E464" s="15" t="s">
        <v>5292</v>
      </c>
      <c r="F464" s="15" t="s">
        <v>5192</v>
      </c>
      <c r="G464" s="15" t="s">
        <v>4801</v>
      </c>
    </row>
    <row r="465" customFormat="false" ht="15.75" hidden="false" customHeight="false" outlineLevel="0" collapsed="false">
      <c r="A465" s="20" t="n">
        <v>46126</v>
      </c>
      <c r="B465" s="15" t="s">
        <v>4802</v>
      </c>
      <c r="C465" s="15" t="s">
        <v>486</v>
      </c>
      <c r="D465" s="15" t="s">
        <v>4772</v>
      </c>
      <c r="E465" s="15" t="s">
        <v>5293</v>
      </c>
      <c r="F465" s="15" t="s">
        <v>486</v>
      </c>
      <c r="G465" s="15" t="s">
        <v>4784</v>
      </c>
    </row>
    <row r="466" customFormat="false" ht="15.75" hidden="false" customHeight="false" outlineLevel="0" collapsed="false">
      <c r="A466" s="20" t="n">
        <v>46126</v>
      </c>
      <c r="B466" s="15" t="s">
        <v>4805</v>
      </c>
      <c r="C466" s="15" t="s">
        <v>489</v>
      </c>
      <c r="D466" s="15" t="s">
        <v>4772</v>
      </c>
      <c r="E466" s="15" t="s">
        <v>5294</v>
      </c>
      <c r="F466" s="15" t="s">
        <v>489</v>
      </c>
      <c r="G466" s="15" t="s">
        <v>4784</v>
      </c>
    </row>
    <row r="467" customFormat="false" ht="15.75" hidden="false" customHeight="false" outlineLevel="0" collapsed="false">
      <c r="A467" s="20" t="n">
        <v>46126</v>
      </c>
      <c r="B467" s="15" t="s">
        <v>4807</v>
      </c>
      <c r="C467" s="15" t="s">
        <v>452</v>
      </c>
      <c r="D467" s="15" t="s">
        <v>4772</v>
      </c>
      <c r="E467" s="15" t="s">
        <v>5295</v>
      </c>
      <c r="F467" s="15" t="s">
        <v>452</v>
      </c>
      <c r="G467" s="15" t="s">
        <v>4784</v>
      </c>
    </row>
    <row r="468" customFormat="false" ht="15.75" hidden="false" customHeight="false" outlineLevel="0" collapsed="false">
      <c r="A468" s="20" t="n">
        <v>46127</v>
      </c>
      <c r="B468" s="15" t="s">
        <v>4771</v>
      </c>
      <c r="C468" s="15" t="s">
        <v>502</v>
      </c>
      <c r="D468" s="15" t="s">
        <v>4772</v>
      </c>
      <c r="E468" s="15" t="s">
        <v>5296</v>
      </c>
      <c r="F468" s="15" t="s">
        <v>5070</v>
      </c>
      <c r="G468" s="15" t="s">
        <v>4779</v>
      </c>
    </row>
    <row r="469" customFormat="false" ht="15.75" hidden="false" customHeight="false" outlineLevel="0" collapsed="false">
      <c r="A469" s="20" t="n">
        <v>46127</v>
      </c>
      <c r="B469" s="15" t="s">
        <v>4775</v>
      </c>
      <c r="C469" s="15" t="s">
        <v>467</v>
      </c>
      <c r="D469" s="15" t="s">
        <v>4772</v>
      </c>
      <c r="E469" s="15" t="s">
        <v>5297</v>
      </c>
      <c r="F469" s="15" t="s">
        <v>4781</v>
      </c>
      <c r="G469" s="15" t="s">
        <v>4779</v>
      </c>
    </row>
    <row r="470" customFormat="false" ht="15.75" hidden="false" customHeight="false" outlineLevel="0" collapsed="false">
      <c r="A470" s="20" t="n">
        <v>46127</v>
      </c>
      <c r="B470" s="15" t="s">
        <v>4782</v>
      </c>
      <c r="C470" s="15" t="s">
        <v>453</v>
      </c>
      <c r="D470" s="15" t="s">
        <v>4772</v>
      </c>
      <c r="E470" s="15" t="s">
        <v>5298</v>
      </c>
      <c r="F470" s="15" t="s">
        <v>453</v>
      </c>
      <c r="G470" s="15" t="s">
        <v>4784</v>
      </c>
    </row>
    <row r="471" customFormat="false" ht="15.75" hidden="false" customHeight="false" outlineLevel="0" collapsed="false">
      <c r="A471" s="20" t="n">
        <v>46127</v>
      </c>
      <c r="B471" s="15" t="s">
        <v>4785</v>
      </c>
      <c r="C471" s="15" t="s">
        <v>464</v>
      </c>
      <c r="D471" s="15" t="s">
        <v>4772</v>
      </c>
      <c r="E471" s="15" t="s">
        <v>5299</v>
      </c>
      <c r="F471" s="15" t="s">
        <v>464</v>
      </c>
      <c r="G471" s="15" t="s">
        <v>4784</v>
      </c>
    </row>
    <row r="472" customFormat="false" ht="15.75" hidden="false" customHeight="false" outlineLevel="0" collapsed="false">
      <c r="A472" s="20" t="n">
        <v>46127</v>
      </c>
      <c r="B472" s="15" t="s">
        <v>4787</v>
      </c>
      <c r="C472" s="15" t="s">
        <v>504</v>
      </c>
      <c r="D472" s="15" t="s">
        <v>4772</v>
      </c>
      <c r="E472" s="15" t="s">
        <v>5300</v>
      </c>
      <c r="F472" s="15" t="s">
        <v>4789</v>
      </c>
      <c r="G472" s="15" t="s">
        <v>4779</v>
      </c>
    </row>
    <row r="473" customFormat="false" ht="15.75" hidden="false" customHeight="false" outlineLevel="0" collapsed="false">
      <c r="A473" s="20" t="n">
        <v>46127</v>
      </c>
      <c r="B473" s="15" t="s">
        <v>5088</v>
      </c>
      <c r="C473" s="15" t="s">
        <v>504</v>
      </c>
      <c r="D473" s="15" t="s">
        <v>4772</v>
      </c>
      <c r="E473" s="15" t="s">
        <v>5301</v>
      </c>
      <c r="F473" s="15" t="s">
        <v>4789</v>
      </c>
      <c r="G473" s="15" t="s">
        <v>4779</v>
      </c>
    </row>
    <row r="474" customFormat="false" ht="15.75" hidden="false" customHeight="false" outlineLevel="0" collapsed="false">
      <c r="A474" s="20" t="n">
        <v>46127</v>
      </c>
      <c r="B474" s="15" t="s">
        <v>5103</v>
      </c>
      <c r="C474" s="15" t="s">
        <v>508</v>
      </c>
      <c r="D474" s="15" t="s">
        <v>4772</v>
      </c>
      <c r="E474" s="15" t="s">
        <v>5302</v>
      </c>
      <c r="F474" s="15" t="s">
        <v>4778</v>
      </c>
      <c r="G474" s="15" t="s">
        <v>4779</v>
      </c>
    </row>
    <row r="475" customFormat="false" ht="15.75" hidden="false" customHeight="false" outlineLevel="0" collapsed="false">
      <c r="A475" s="20" t="n">
        <v>46127</v>
      </c>
      <c r="B475" s="15" t="s">
        <v>4790</v>
      </c>
      <c r="C475" s="15" t="s">
        <v>521</v>
      </c>
      <c r="D475" s="15" t="s">
        <v>4772</v>
      </c>
      <c r="E475" s="15" t="s">
        <v>5303</v>
      </c>
      <c r="F475" s="15" t="s">
        <v>5149</v>
      </c>
      <c r="G475" s="15" t="s">
        <v>4779</v>
      </c>
    </row>
    <row r="476" customFormat="false" ht="15.75" hidden="false" customHeight="false" outlineLevel="0" collapsed="false">
      <c r="A476" s="20" t="n">
        <v>46127</v>
      </c>
      <c r="B476" s="15" t="s">
        <v>4793</v>
      </c>
      <c r="C476" s="15" t="s">
        <v>509</v>
      </c>
      <c r="D476" s="15" t="s">
        <v>4772</v>
      </c>
      <c r="E476" s="15" t="s">
        <v>5304</v>
      </c>
      <c r="F476" s="15" t="s">
        <v>509</v>
      </c>
      <c r="G476" s="15" t="s">
        <v>4784</v>
      </c>
    </row>
    <row r="477" customFormat="false" ht="15.75" hidden="false" customHeight="false" outlineLevel="0" collapsed="false">
      <c r="A477" s="20" t="n">
        <v>46127</v>
      </c>
      <c r="B477" s="15" t="s">
        <v>4795</v>
      </c>
      <c r="C477" s="15" t="s">
        <v>469</v>
      </c>
      <c r="D477" s="15" t="s">
        <v>4772</v>
      </c>
      <c r="E477" s="15" t="s">
        <v>5305</v>
      </c>
      <c r="F477" s="15" t="s">
        <v>469</v>
      </c>
      <c r="G477" s="15" t="s">
        <v>4784</v>
      </c>
    </row>
    <row r="478" customFormat="false" ht="15.75" hidden="false" customHeight="false" outlineLevel="0" collapsed="false">
      <c r="A478" s="20" t="n">
        <v>46127</v>
      </c>
      <c r="B478" s="15" t="s">
        <v>5002</v>
      </c>
      <c r="C478" s="15" t="s">
        <v>498</v>
      </c>
      <c r="D478" s="15" t="s">
        <v>4772</v>
      </c>
      <c r="E478" s="15" t="s">
        <v>5306</v>
      </c>
      <c r="F478" s="15" t="s">
        <v>5192</v>
      </c>
      <c r="G478" s="15" t="s">
        <v>4801</v>
      </c>
    </row>
    <row r="479" customFormat="false" ht="15.75" hidden="false" customHeight="false" outlineLevel="0" collapsed="false">
      <c r="A479" s="20" t="n">
        <v>46127</v>
      </c>
      <c r="B479" s="15" t="s">
        <v>4802</v>
      </c>
      <c r="C479" s="15" t="s">
        <v>486</v>
      </c>
      <c r="D479" s="15" t="s">
        <v>4772</v>
      </c>
      <c r="E479" s="15" t="s">
        <v>5307</v>
      </c>
      <c r="F479" s="15" t="s">
        <v>486</v>
      </c>
      <c r="G479" s="15" t="s">
        <v>4784</v>
      </c>
    </row>
    <row r="480" customFormat="false" ht="15.75" hidden="false" customHeight="false" outlineLevel="0" collapsed="false">
      <c r="A480" s="20" t="n">
        <v>46127</v>
      </c>
      <c r="B480" s="15" t="s">
        <v>4805</v>
      </c>
      <c r="C480" s="15" t="s">
        <v>489</v>
      </c>
      <c r="D480" s="15" t="s">
        <v>4772</v>
      </c>
      <c r="E480" s="15" t="s">
        <v>5308</v>
      </c>
      <c r="F480" s="15" t="s">
        <v>489</v>
      </c>
      <c r="G480" s="15" t="s">
        <v>4784</v>
      </c>
    </row>
    <row r="481" customFormat="false" ht="15.75" hidden="false" customHeight="false" outlineLevel="0" collapsed="false">
      <c r="A481" s="20" t="n">
        <v>46127</v>
      </c>
      <c r="B481" s="15" t="s">
        <v>4807</v>
      </c>
      <c r="C481" s="15" t="s">
        <v>495</v>
      </c>
      <c r="D481" s="15" t="s">
        <v>4772</v>
      </c>
      <c r="E481" s="15" t="s">
        <v>5309</v>
      </c>
      <c r="F481" s="15" t="s">
        <v>495</v>
      </c>
      <c r="G481" s="15" t="s">
        <v>4784</v>
      </c>
    </row>
    <row r="482" customFormat="false" ht="15.75" hidden="false" customHeight="false" outlineLevel="0" collapsed="false">
      <c r="A482" s="20" t="n">
        <v>46128</v>
      </c>
      <c r="B482" s="15" t="s">
        <v>4771</v>
      </c>
      <c r="C482" s="15" t="s">
        <v>502</v>
      </c>
      <c r="D482" s="15" t="s">
        <v>4772</v>
      </c>
      <c r="E482" s="15" t="s">
        <v>5310</v>
      </c>
      <c r="F482" s="15" t="s">
        <v>5070</v>
      </c>
      <c r="G482" s="15" t="s">
        <v>4779</v>
      </c>
    </row>
    <row r="483" customFormat="false" ht="15.75" hidden="false" customHeight="false" outlineLevel="0" collapsed="false">
      <c r="A483" s="20" t="n">
        <v>46128</v>
      </c>
      <c r="B483" s="15" t="s">
        <v>4775</v>
      </c>
      <c r="C483" s="15" t="s">
        <v>467</v>
      </c>
      <c r="D483" s="15" t="s">
        <v>4772</v>
      </c>
      <c r="E483" s="15" t="s">
        <v>5311</v>
      </c>
      <c r="F483" s="15" t="s">
        <v>4781</v>
      </c>
      <c r="G483" s="15" t="s">
        <v>4779</v>
      </c>
    </row>
    <row r="484" customFormat="false" ht="15.75" hidden="false" customHeight="false" outlineLevel="0" collapsed="false">
      <c r="A484" s="20" t="n">
        <v>46128</v>
      </c>
      <c r="B484" s="15" t="s">
        <v>4782</v>
      </c>
      <c r="C484" s="15" t="s">
        <v>453</v>
      </c>
      <c r="D484" s="15" t="s">
        <v>4772</v>
      </c>
      <c r="E484" s="15" t="s">
        <v>5312</v>
      </c>
      <c r="F484" s="15" t="s">
        <v>453</v>
      </c>
      <c r="G484" s="15" t="s">
        <v>4784</v>
      </c>
    </row>
    <row r="485" customFormat="false" ht="15.75" hidden="false" customHeight="false" outlineLevel="0" collapsed="false">
      <c r="A485" s="20" t="n">
        <v>46128</v>
      </c>
      <c r="B485" s="15" t="s">
        <v>4785</v>
      </c>
      <c r="C485" s="15" t="s">
        <v>464</v>
      </c>
      <c r="D485" s="15" t="s">
        <v>4772</v>
      </c>
      <c r="E485" s="15" t="s">
        <v>5313</v>
      </c>
      <c r="F485" s="15" t="s">
        <v>464</v>
      </c>
      <c r="G485" s="15" t="s">
        <v>4784</v>
      </c>
    </row>
    <row r="486" customFormat="false" ht="15.75" hidden="false" customHeight="false" outlineLevel="0" collapsed="false">
      <c r="A486" s="20" t="n">
        <v>46128</v>
      </c>
      <c r="B486" s="15" t="s">
        <v>4787</v>
      </c>
      <c r="C486" s="15" t="s">
        <v>504</v>
      </c>
      <c r="D486" s="15" t="s">
        <v>4772</v>
      </c>
      <c r="E486" s="15" t="s">
        <v>5314</v>
      </c>
      <c r="F486" s="15" t="s">
        <v>4789</v>
      </c>
      <c r="G486" s="15" t="s">
        <v>4779</v>
      </c>
    </row>
    <row r="487" customFormat="false" ht="15.75" hidden="false" customHeight="false" outlineLevel="0" collapsed="false">
      <c r="A487" s="20" t="n">
        <v>46128</v>
      </c>
      <c r="B487" s="15" t="s">
        <v>5088</v>
      </c>
      <c r="C487" s="15" t="s">
        <v>504</v>
      </c>
      <c r="D487" s="15" t="s">
        <v>4772</v>
      </c>
      <c r="E487" s="15" t="s">
        <v>5315</v>
      </c>
      <c r="F487" s="15" t="s">
        <v>4789</v>
      </c>
      <c r="G487" s="15" t="s">
        <v>4779</v>
      </c>
    </row>
    <row r="488" customFormat="false" ht="15.75" hidden="false" customHeight="false" outlineLevel="0" collapsed="false">
      <c r="A488" s="20" t="n">
        <v>46128</v>
      </c>
      <c r="B488" s="15" t="s">
        <v>5103</v>
      </c>
      <c r="C488" s="15" t="s">
        <v>508</v>
      </c>
      <c r="D488" s="15" t="s">
        <v>4772</v>
      </c>
      <c r="E488" s="15" t="s">
        <v>5316</v>
      </c>
      <c r="F488" s="15" t="s">
        <v>4778</v>
      </c>
      <c r="G488" s="15" t="s">
        <v>4779</v>
      </c>
    </row>
    <row r="489" customFormat="false" ht="15.75" hidden="false" customHeight="false" outlineLevel="0" collapsed="false">
      <c r="A489" s="20" t="n">
        <v>46128</v>
      </c>
      <c r="B489" s="15" t="s">
        <v>4790</v>
      </c>
      <c r="C489" s="15" t="s">
        <v>521</v>
      </c>
      <c r="D489" s="15" t="s">
        <v>4772</v>
      </c>
      <c r="E489" s="15" t="s">
        <v>5317</v>
      </c>
      <c r="F489" s="15" t="s">
        <v>5149</v>
      </c>
      <c r="G489" s="15" t="s">
        <v>4779</v>
      </c>
    </row>
    <row r="490" customFormat="false" ht="15.75" hidden="false" customHeight="false" outlineLevel="0" collapsed="false">
      <c r="A490" s="20" t="n">
        <v>46128</v>
      </c>
      <c r="B490" s="15" t="s">
        <v>4793</v>
      </c>
      <c r="C490" s="15" t="s">
        <v>509</v>
      </c>
      <c r="D490" s="15" t="s">
        <v>4772</v>
      </c>
      <c r="E490" s="15" t="s">
        <v>5318</v>
      </c>
      <c r="F490" s="15" t="s">
        <v>509</v>
      </c>
      <c r="G490" s="15" t="s">
        <v>4784</v>
      </c>
    </row>
    <row r="491" customFormat="false" ht="15.75" hidden="false" customHeight="false" outlineLevel="0" collapsed="false">
      <c r="A491" s="20" t="n">
        <v>46128</v>
      </c>
      <c r="B491" s="15" t="s">
        <v>4795</v>
      </c>
      <c r="C491" s="15" t="s">
        <v>469</v>
      </c>
      <c r="D491" s="15" t="s">
        <v>4772</v>
      </c>
      <c r="E491" s="15" t="s">
        <v>5319</v>
      </c>
      <c r="F491" s="15" t="s">
        <v>469</v>
      </c>
      <c r="G491" s="15" t="s">
        <v>4784</v>
      </c>
    </row>
    <row r="492" customFormat="false" ht="15.75" hidden="false" customHeight="false" outlineLevel="0" collapsed="false">
      <c r="A492" s="20" t="n">
        <v>46128</v>
      </c>
      <c r="B492" s="15" t="s">
        <v>5002</v>
      </c>
      <c r="C492" s="15" t="s">
        <v>498</v>
      </c>
      <c r="D492" s="15" t="s">
        <v>4772</v>
      </c>
      <c r="E492" s="15" t="s">
        <v>5320</v>
      </c>
      <c r="F492" s="15" t="s">
        <v>5192</v>
      </c>
      <c r="G492" s="15" t="s">
        <v>4801</v>
      </c>
    </row>
    <row r="493" customFormat="false" ht="15.75" hidden="false" customHeight="false" outlineLevel="0" collapsed="false">
      <c r="A493" s="20" t="n">
        <v>46128</v>
      </c>
      <c r="B493" s="15" t="s">
        <v>4802</v>
      </c>
      <c r="C493" s="15" t="s">
        <v>486</v>
      </c>
      <c r="D493" s="15" t="s">
        <v>4772</v>
      </c>
      <c r="E493" s="15" t="s">
        <v>5321</v>
      </c>
      <c r="F493" s="15" t="s">
        <v>486</v>
      </c>
      <c r="G493" s="15" t="s">
        <v>4784</v>
      </c>
    </row>
    <row r="494" customFormat="false" ht="15.75" hidden="false" customHeight="false" outlineLevel="0" collapsed="false">
      <c r="A494" s="20" t="n">
        <v>46128</v>
      </c>
      <c r="B494" s="15" t="s">
        <v>4805</v>
      </c>
      <c r="C494" s="15" t="s">
        <v>489</v>
      </c>
      <c r="D494" s="15" t="s">
        <v>4772</v>
      </c>
      <c r="E494" s="15" t="s">
        <v>5322</v>
      </c>
      <c r="F494" s="15" t="s">
        <v>489</v>
      </c>
      <c r="G494" s="15" t="s">
        <v>4784</v>
      </c>
    </row>
    <row r="495" customFormat="false" ht="15.75" hidden="false" customHeight="false" outlineLevel="0" collapsed="false">
      <c r="A495" s="20" t="n">
        <v>46128</v>
      </c>
      <c r="B495" s="15" t="s">
        <v>4807</v>
      </c>
      <c r="C495" s="15" t="s">
        <v>495</v>
      </c>
      <c r="D495" s="15" t="s">
        <v>4772</v>
      </c>
      <c r="E495" s="15" t="s">
        <v>5323</v>
      </c>
      <c r="F495" s="15" t="s">
        <v>495</v>
      </c>
      <c r="G495" s="15" t="s">
        <v>4784</v>
      </c>
    </row>
    <row r="496" customFormat="false" ht="15.75" hidden="false" customHeight="false" outlineLevel="0" collapsed="false">
      <c r="A496" s="20" t="n">
        <v>46129</v>
      </c>
      <c r="B496" s="15" t="s">
        <v>4771</v>
      </c>
      <c r="C496" s="15" t="s">
        <v>502</v>
      </c>
      <c r="D496" s="15" t="s">
        <v>4772</v>
      </c>
      <c r="E496" s="15" t="s">
        <v>5324</v>
      </c>
      <c r="F496" s="15" t="s">
        <v>5070</v>
      </c>
      <c r="G496" s="15" t="s">
        <v>4779</v>
      </c>
    </row>
    <row r="497" customFormat="false" ht="15.75" hidden="false" customHeight="false" outlineLevel="0" collapsed="false">
      <c r="A497" s="20" t="n">
        <v>46129</v>
      </c>
      <c r="B497" s="15" t="s">
        <v>4775</v>
      </c>
      <c r="C497" s="15" t="s">
        <v>467</v>
      </c>
      <c r="D497" s="15" t="s">
        <v>4772</v>
      </c>
      <c r="E497" s="15" t="s">
        <v>5325</v>
      </c>
      <c r="F497" s="15" t="s">
        <v>4781</v>
      </c>
      <c r="G497" s="15" t="s">
        <v>4779</v>
      </c>
    </row>
    <row r="498" customFormat="false" ht="15.75" hidden="false" customHeight="false" outlineLevel="0" collapsed="false">
      <c r="A498" s="20" t="n">
        <v>46129</v>
      </c>
      <c r="B498" s="15" t="s">
        <v>4782</v>
      </c>
      <c r="C498" s="15" t="s">
        <v>453</v>
      </c>
      <c r="D498" s="15" t="s">
        <v>4772</v>
      </c>
      <c r="E498" s="15" t="s">
        <v>5326</v>
      </c>
      <c r="F498" s="15" t="s">
        <v>453</v>
      </c>
      <c r="G498" s="15" t="s">
        <v>4784</v>
      </c>
    </row>
    <row r="499" customFormat="false" ht="15.75" hidden="false" customHeight="false" outlineLevel="0" collapsed="false">
      <c r="A499" s="20" t="n">
        <v>46129</v>
      </c>
      <c r="B499" s="15" t="s">
        <v>4785</v>
      </c>
      <c r="C499" s="15" t="s">
        <v>464</v>
      </c>
      <c r="D499" s="15" t="s">
        <v>4772</v>
      </c>
      <c r="E499" s="15" t="s">
        <v>5327</v>
      </c>
      <c r="F499" s="15" t="s">
        <v>464</v>
      </c>
      <c r="G499" s="15" t="s">
        <v>4784</v>
      </c>
    </row>
    <row r="500" customFormat="false" ht="15.75" hidden="false" customHeight="false" outlineLevel="0" collapsed="false">
      <c r="A500" s="20" t="n">
        <v>46129</v>
      </c>
      <c r="B500" s="15" t="s">
        <v>4787</v>
      </c>
      <c r="C500" s="15" t="s">
        <v>504</v>
      </c>
      <c r="D500" s="15" t="s">
        <v>4772</v>
      </c>
      <c r="E500" s="15" t="s">
        <v>5328</v>
      </c>
      <c r="F500" s="15" t="s">
        <v>4789</v>
      </c>
      <c r="G500" s="15" t="s">
        <v>4779</v>
      </c>
    </row>
    <row r="501" customFormat="false" ht="15.75" hidden="false" customHeight="false" outlineLevel="0" collapsed="false">
      <c r="A501" s="20" t="n">
        <v>46129</v>
      </c>
      <c r="B501" s="15" t="s">
        <v>5088</v>
      </c>
      <c r="C501" s="15" t="s">
        <v>504</v>
      </c>
      <c r="D501" s="15" t="s">
        <v>4772</v>
      </c>
      <c r="E501" s="15" t="s">
        <v>5329</v>
      </c>
      <c r="F501" s="15" t="s">
        <v>4789</v>
      </c>
      <c r="G501" s="15" t="s">
        <v>4779</v>
      </c>
    </row>
    <row r="502" customFormat="false" ht="15.75" hidden="false" customHeight="false" outlineLevel="0" collapsed="false">
      <c r="A502" s="20" t="n">
        <v>46129</v>
      </c>
      <c r="B502" s="15" t="s">
        <v>5103</v>
      </c>
      <c r="C502" s="15" t="s">
        <v>508</v>
      </c>
      <c r="D502" s="15" t="s">
        <v>4772</v>
      </c>
      <c r="E502" s="15" t="s">
        <v>5330</v>
      </c>
      <c r="F502" s="15" t="s">
        <v>4778</v>
      </c>
      <c r="G502" s="15" t="s">
        <v>4779</v>
      </c>
    </row>
    <row r="503" customFormat="false" ht="15.75" hidden="false" customHeight="false" outlineLevel="0" collapsed="false">
      <c r="A503" s="20" t="n">
        <v>46129</v>
      </c>
      <c r="B503" s="15" t="s">
        <v>4790</v>
      </c>
      <c r="C503" s="15" t="s">
        <v>521</v>
      </c>
      <c r="D503" s="15" t="s">
        <v>4772</v>
      </c>
      <c r="E503" s="15" t="s">
        <v>5331</v>
      </c>
      <c r="F503" s="15" t="s">
        <v>5149</v>
      </c>
      <c r="G503" s="15" t="s">
        <v>4779</v>
      </c>
    </row>
    <row r="504" customFormat="false" ht="15.75" hidden="false" customHeight="false" outlineLevel="0" collapsed="false">
      <c r="A504" s="20" t="n">
        <v>46129</v>
      </c>
      <c r="B504" s="15" t="s">
        <v>4793</v>
      </c>
      <c r="C504" s="15" t="s">
        <v>509</v>
      </c>
      <c r="D504" s="15" t="s">
        <v>4772</v>
      </c>
      <c r="E504" s="15" t="s">
        <v>5332</v>
      </c>
      <c r="F504" s="15" t="s">
        <v>509</v>
      </c>
      <c r="G504" s="15" t="s">
        <v>4784</v>
      </c>
    </row>
    <row r="505" customFormat="false" ht="15.75" hidden="false" customHeight="false" outlineLevel="0" collapsed="false">
      <c r="A505" s="20" t="n">
        <v>46129</v>
      </c>
      <c r="B505" s="15" t="s">
        <v>4795</v>
      </c>
      <c r="C505" s="15" t="s">
        <v>469</v>
      </c>
      <c r="D505" s="15" t="s">
        <v>4772</v>
      </c>
      <c r="E505" s="15" t="s">
        <v>5333</v>
      </c>
      <c r="F505" s="15" t="s">
        <v>469</v>
      </c>
      <c r="G505" s="15" t="s">
        <v>4784</v>
      </c>
    </row>
    <row r="506" customFormat="false" ht="15.75" hidden="false" customHeight="false" outlineLevel="0" collapsed="false">
      <c r="A506" s="20" t="n">
        <v>46129</v>
      </c>
      <c r="B506" s="15" t="s">
        <v>5002</v>
      </c>
      <c r="C506" s="15" t="s">
        <v>498</v>
      </c>
      <c r="D506" s="15" t="s">
        <v>4772</v>
      </c>
      <c r="E506" s="15" t="s">
        <v>5334</v>
      </c>
      <c r="F506" s="15" t="s">
        <v>5192</v>
      </c>
      <c r="G506" s="15" t="s">
        <v>4801</v>
      </c>
    </row>
    <row r="507" customFormat="false" ht="15.75" hidden="false" customHeight="false" outlineLevel="0" collapsed="false">
      <c r="A507" s="20" t="n">
        <v>46129</v>
      </c>
      <c r="B507" s="15" t="s">
        <v>4802</v>
      </c>
      <c r="C507" s="15" t="s">
        <v>486</v>
      </c>
      <c r="D507" s="15" t="s">
        <v>4772</v>
      </c>
      <c r="E507" s="15" t="s">
        <v>5335</v>
      </c>
      <c r="F507" s="15" t="s">
        <v>486</v>
      </c>
      <c r="G507" s="15" t="s">
        <v>4784</v>
      </c>
    </row>
    <row r="508" customFormat="false" ht="15.75" hidden="false" customHeight="false" outlineLevel="0" collapsed="false">
      <c r="A508" s="20" t="n">
        <v>46129</v>
      </c>
      <c r="B508" s="15" t="s">
        <v>4805</v>
      </c>
      <c r="C508" s="15" t="s">
        <v>489</v>
      </c>
      <c r="D508" s="15" t="s">
        <v>4772</v>
      </c>
      <c r="E508" s="15" t="s">
        <v>5336</v>
      </c>
      <c r="F508" s="15" t="s">
        <v>489</v>
      </c>
      <c r="G508" s="15" t="s">
        <v>4784</v>
      </c>
    </row>
    <row r="509" customFormat="false" ht="15.75" hidden="false" customHeight="false" outlineLevel="0" collapsed="false">
      <c r="A509" s="20" t="n">
        <v>46129</v>
      </c>
      <c r="B509" s="15" t="s">
        <v>4807</v>
      </c>
      <c r="C509" s="15" t="s">
        <v>495</v>
      </c>
      <c r="D509" s="15" t="s">
        <v>4772</v>
      </c>
      <c r="E509" s="15" t="s">
        <v>5337</v>
      </c>
      <c r="F509" s="15" t="s">
        <v>495</v>
      </c>
      <c r="G509" s="15" t="s">
        <v>4784</v>
      </c>
    </row>
    <row r="510" customFormat="false" ht="15.75" hidden="false" customHeight="false" outlineLevel="0" collapsed="false">
      <c r="A510" s="20" t="n">
        <v>46130</v>
      </c>
      <c r="B510" s="15" t="s">
        <v>4775</v>
      </c>
      <c r="C510" s="15" t="s">
        <v>467</v>
      </c>
      <c r="D510" s="15" t="s">
        <v>4772</v>
      </c>
      <c r="E510" s="15" t="s">
        <v>5338</v>
      </c>
      <c r="F510" s="15" t="s">
        <v>4781</v>
      </c>
      <c r="G510" s="15" t="s">
        <v>4779</v>
      </c>
    </row>
    <row r="511" customFormat="false" ht="15.75" hidden="false" customHeight="false" outlineLevel="0" collapsed="false">
      <c r="A511" s="20" t="n">
        <v>46130</v>
      </c>
      <c r="B511" s="15" t="s">
        <v>4782</v>
      </c>
      <c r="C511" s="15" t="s">
        <v>453</v>
      </c>
      <c r="D511" s="15" t="s">
        <v>4772</v>
      </c>
      <c r="E511" s="15" t="s">
        <v>5339</v>
      </c>
      <c r="F511" s="15" t="s">
        <v>453</v>
      </c>
      <c r="G511" s="15" t="s">
        <v>4784</v>
      </c>
    </row>
    <row r="512" customFormat="false" ht="15.75" hidden="false" customHeight="false" outlineLevel="0" collapsed="false">
      <c r="A512" s="20" t="n">
        <v>46130</v>
      </c>
      <c r="B512" s="15" t="s">
        <v>4787</v>
      </c>
      <c r="C512" s="15" t="s">
        <v>504</v>
      </c>
      <c r="D512" s="15" t="s">
        <v>4772</v>
      </c>
      <c r="E512" s="15" t="s">
        <v>5340</v>
      </c>
      <c r="F512" s="15" t="s">
        <v>4789</v>
      </c>
      <c r="G512" s="15" t="s">
        <v>4779</v>
      </c>
    </row>
    <row r="513" customFormat="false" ht="15.75" hidden="false" customHeight="false" outlineLevel="0" collapsed="false">
      <c r="A513" s="20" t="n">
        <v>46130</v>
      </c>
      <c r="B513" s="15" t="s">
        <v>5088</v>
      </c>
      <c r="C513" s="15" t="s">
        <v>504</v>
      </c>
      <c r="D513" s="15" t="s">
        <v>4772</v>
      </c>
      <c r="E513" s="15" t="s">
        <v>5341</v>
      </c>
      <c r="F513" s="15" t="s">
        <v>4789</v>
      </c>
      <c r="G513" s="15" t="s">
        <v>4779</v>
      </c>
    </row>
    <row r="514" customFormat="false" ht="15.75" hidden="false" customHeight="false" outlineLevel="0" collapsed="false">
      <c r="A514" s="20" t="n">
        <v>46130</v>
      </c>
      <c r="B514" s="15" t="s">
        <v>5103</v>
      </c>
      <c r="C514" s="15" t="s">
        <v>508</v>
      </c>
      <c r="D514" s="15" t="s">
        <v>4772</v>
      </c>
      <c r="E514" s="15" t="s">
        <v>5342</v>
      </c>
      <c r="F514" s="15" t="s">
        <v>4778</v>
      </c>
      <c r="G514" s="15" t="s">
        <v>4779</v>
      </c>
    </row>
    <row r="515" customFormat="false" ht="15.75" hidden="false" customHeight="false" outlineLevel="0" collapsed="false">
      <c r="A515" s="20" t="n">
        <v>46130</v>
      </c>
      <c r="B515" s="15" t="s">
        <v>4802</v>
      </c>
      <c r="C515" s="15" t="s">
        <v>486</v>
      </c>
      <c r="D515" s="15" t="s">
        <v>4772</v>
      </c>
      <c r="E515" s="15" t="s">
        <v>5343</v>
      </c>
      <c r="F515" s="15" t="s">
        <v>486</v>
      </c>
      <c r="G515" s="15" t="s">
        <v>4784</v>
      </c>
    </row>
    <row r="516" customFormat="false" ht="15.75" hidden="false" customHeight="false" outlineLevel="0" collapsed="false">
      <c r="A516" s="20" t="n">
        <v>46132</v>
      </c>
      <c r="B516" s="15" t="s">
        <v>4771</v>
      </c>
      <c r="C516" s="15" t="s">
        <v>502</v>
      </c>
      <c r="D516" s="15" t="s">
        <v>4772</v>
      </c>
      <c r="E516" s="15" t="s">
        <v>5344</v>
      </c>
      <c r="F516" s="15" t="s">
        <v>5070</v>
      </c>
      <c r="G516" s="15" t="s">
        <v>4779</v>
      </c>
    </row>
    <row r="517" customFormat="false" ht="15.75" hidden="false" customHeight="false" outlineLevel="0" collapsed="false">
      <c r="A517" s="20" t="n">
        <v>46132</v>
      </c>
      <c r="B517" s="15" t="s">
        <v>4775</v>
      </c>
      <c r="C517" s="15" t="s">
        <v>467</v>
      </c>
      <c r="D517" s="15" t="s">
        <v>4772</v>
      </c>
      <c r="E517" s="15" t="s">
        <v>5345</v>
      </c>
      <c r="F517" s="15" t="s">
        <v>4781</v>
      </c>
      <c r="G517" s="15" t="s">
        <v>4779</v>
      </c>
    </row>
    <row r="518" customFormat="false" ht="15.75" hidden="false" customHeight="false" outlineLevel="0" collapsed="false">
      <c r="A518" s="20" t="n">
        <v>46132</v>
      </c>
      <c r="B518" s="15" t="s">
        <v>4782</v>
      </c>
      <c r="C518" s="15" t="s">
        <v>453</v>
      </c>
      <c r="D518" s="15" t="s">
        <v>4772</v>
      </c>
      <c r="E518" s="15" t="s">
        <v>5346</v>
      </c>
      <c r="F518" s="15" t="s">
        <v>453</v>
      </c>
      <c r="G518" s="15" t="s">
        <v>4784</v>
      </c>
    </row>
    <row r="519" customFormat="false" ht="15.75" hidden="false" customHeight="false" outlineLevel="0" collapsed="false">
      <c r="A519" s="20" t="n">
        <v>46132</v>
      </c>
      <c r="B519" s="15" t="s">
        <v>4785</v>
      </c>
      <c r="C519" s="15" t="s">
        <v>464</v>
      </c>
      <c r="D519" s="15" t="s">
        <v>4772</v>
      </c>
      <c r="E519" s="15" t="s">
        <v>5347</v>
      </c>
      <c r="F519" s="15" t="s">
        <v>464</v>
      </c>
      <c r="G519" s="15" t="s">
        <v>4784</v>
      </c>
    </row>
    <row r="520" customFormat="false" ht="15.75" hidden="false" customHeight="false" outlineLevel="0" collapsed="false">
      <c r="A520" s="20" t="n">
        <v>46132</v>
      </c>
      <c r="B520" s="15" t="s">
        <v>4787</v>
      </c>
      <c r="C520" s="15" t="s">
        <v>504</v>
      </c>
      <c r="D520" s="15" t="s">
        <v>4772</v>
      </c>
      <c r="E520" s="15" t="s">
        <v>5348</v>
      </c>
      <c r="F520" s="15" t="s">
        <v>4789</v>
      </c>
      <c r="G520" s="15" t="s">
        <v>4779</v>
      </c>
    </row>
    <row r="521" customFormat="false" ht="15.75" hidden="false" customHeight="false" outlineLevel="0" collapsed="false">
      <c r="A521" s="20" t="n">
        <v>46132</v>
      </c>
      <c r="B521" s="15" t="s">
        <v>5088</v>
      </c>
      <c r="C521" s="15" t="s">
        <v>504</v>
      </c>
      <c r="D521" s="15" t="s">
        <v>4772</v>
      </c>
      <c r="E521" s="15" t="s">
        <v>5349</v>
      </c>
      <c r="F521" s="15" t="s">
        <v>4789</v>
      </c>
      <c r="G521" s="15" t="s">
        <v>4779</v>
      </c>
    </row>
    <row r="522" customFormat="false" ht="15.75" hidden="false" customHeight="false" outlineLevel="0" collapsed="false">
      <c r="A522" s="20" t="n">
        <v>46132</v>
      </c>
      <c r="B522" s="15" t="s">
        <v>5103</v>
      </c>
      <c r="C522" s="15" t="s">
        <v>508</v>
      </c>
      <c r="D522" s="15" t="s">
        <v>4772</v>
      </c>
      <c r="E522" s="15" t="s">
        <v>5350</v>
      </c>
      <c r="F522" s="15" t="s">
        <v>4778</v>
      </c>
      <c r="G522" s="15" t="s">
        <v>4779</v>
      </c>
    </row>
    <row r="523" customFormat="false" ht="15.75" hidden="false" customHeight="false" outlineLevel="0" collapsed="false">
      <c r="A523" s="20" t="n">
        <v>46132</v>
      </c>
      <c r="B523" s="15" t="s">
        <v>5272</v>
      </c>
      <c r="C523" s="15" t="s">
        <v>457</v>
      </c>
      <c r="D523" s="15" t="s">
        <v>4772</v>
      </c>
      <c r="E523" s="15" t="s">
        <v>5351</v>
      </c>
      <c r="F523" s="15" t="s">
        <v>457</v>
      </c>
      <c r="G523" s="15" t="s">
        <v>4779</v>
      </c>
    </row>
    <row r="524" customFormat="false" ht="15.75" hidden="false" customHeight="false" outlineLevel="0" collapsed="false">
      <c r="A524" s="20" t="n">
        <v>46132</v>
      </c>
      <c r="B524" s="15" t="s">
        <v>4790</v>
      </c>
      <c r="C524" s="15" t="s">
        <v>518</v>
      </c>
      <c r="D524" s="15" t="s">
        <v>4772</v>
      </c>
      <c r="E524" s="15" t="s">
        <v>5352</v>
      </c>
      <c r="F524" s="15" t="s">
        <v>5353</v>
      </c>
      <c r="G524" s="15" t="s">
        <v>4779</v>
      </c>
    </row>
    <row r="525" customFormat="false" ht="15.75" hidden="false" customHeight="false" outlineLevel="0" collapsed="false">
      <c r="A525" s="20" t="n">
        <v>46132</v>
      </c>
      <c r="B525" s="15" t="s">
        <v>4793</v>
      </c>
      <c r="C525" s="15" t="s">
        <v>509</v>
      </c>
      <c r="D525" s="15" t="s">
        <v>4772</v>
      </c>
      <c r="E525" s="15" t="s">
        <v>5354</v>
      </c>
      <c r="F525" s="15" t="s">
        <v>509</v>
      </c>
      <c r="G525" s="15" t="s">
        <v>4784</v>
      </c>
    </row>
    <row r="526" customFormat="false" ht="15.75" hidden="false" customHeight="false" outlineLevel="0" collapsed="false">
      <c r="A526" s="20" t="n">
        <v>46132</v>
      </c>
      <c r="B526" s="15" t="s">
        <v>4795</v>
      </c>
      <c r="C526" s="15" t="s">
        <v>469</v>
      </c>
      <c r="D526" s="15" t="s">
        <v>4772</v>
      </c>
      <c r="E526" s="15" t="s">
        <v>5355</v>
      </c>
      <c r="F526" s="15" t="s">
        <v>469</v>
      </c>
      <c r="G526" s="15" t="s">
        <v>4784</v>
      </c>
    </row>
    <row r="527" customFormat="false" ht="15.75" hidden="false" customHeight="false" outlineLevel="0" collapsed="false">
      <c r="A527" s="20" t="n">
        <v>46132</v>
      </c>
      <c r="B527" s="15" t="s">
        <v>5002</v>
      </c>
      <c r="C527" s="15" t="s">
        <v>498</v>
      </c>
      <c r="D527" s="15" t="s">
        <v>4772</v>
      </c>
      <c r="E527" s="15" t="s">
        <v>5356</v>
      </c>
      <c r="F527" s="15" t="s">
        <v>5192</v>
      </c>
      <c r="G527" s="15" t="s">
        <v>4801</v>
      </c>
    </row>
    <row r="528" customFormat="false" ht="15.75" hidden="false" customHeight="false" outlineLevel="0" collapsed="false">
      <c r="A528" s="20" t="n">
        <v>46132</v>
      </c>
      <c r="B528" s="15" t="s">
        <v>4802</v>
      </c>
      <c r="C528" s="15" t="s">
        <v>486</v>
      </c>
      <c r="D528" s="15" t="s">
        <v>4772</v>
      </c>
      <c r="E528" s="15" t="s">
        <v>5357</v>
      </c>
      <c r="F528" s="15" t="s">
        <v>486</v>
      </c>
      <c r="G528" s="15" t="s">
        <v>4784</v>
      </c>
    </row>
    <row r="529" customFormat="false" ht="15.75" hidden="false" customHeight="false" outlineLevel="0" collapsed="false">
      <c r="A529" s="20" t="n">
        <v>46132</v>
      </c>
      <c r="B529" s="15" t="s">
        <v>4805</v>
      </c>
      <c r="C529" s="15" t="s">
        <v>489</v>
      </c>
      <c r="D529" s="15" t="s">
        <v>4772</v>
      </c>
      <c r="E529" s="15" t="s">
        <v>5358</v>
      </c>
      <c r="F529" s="15" t="s">
        <v>489</v>
      </c>
      <c r="G529" s="15" t="s">
        <v>4784</v>
      </c>
    </row>
    <row r="530" customFormat="false" ht="15.75" hidden="false" customHeight="false" outlineLevel="0" collapsed="false">
      <c r="A530" s="20" t="n">
        <v>46132</v>
      </c>
      <c r="B530" s="15" t="s">
        <v>4807</v>
      </c>
      <c r="C530" s="15" t="s">
        <v>495</v>
      </c>
      <c r="D530" s="15" t="s">
        <v>4772</v>
      </c>
      <c r="E530" s="15" t="s">
        <v>5359</v>
      </c>
      <c r="F530" s="15" t="s">
        <v>495</v>
      </c>
      <c r="G530" s="15" t="s">
        <v>4784</v>
      </c>
    </row>
    <row r="531" customFormat="false" ht="15.75" hidden="false" customHeight="false" outlineLevel="0" collapsed="false">
      <c r="A531" s="20" t="n">
        <v>46133</v>
      </c>
      <c r="B531" s="15" t="s">
        <v>4771</v>
      </c>
      <c r="C531" s="15" t="s">
        <v>502</v>
      </c>
      <c r="D531" s="15" t="s">
        <v>4772</v>
      </c>
      <c r="E531" s="15" t="s">
        <v>5360</v>
      </c>
      <c r="F531" s="15" t="s">
        <v>5070</v>
      </c>
      <c r="G531" s="15" t="s">
        <v>4779</v>
      </c>
    </row>
    <row r="532" customFormat="false" ht="15.75" hidden="false" customHeight="false" outlineLevel="0" collapsed="false">
      <c r="A532" s="20" t="n">
        <v>46133</v>
      </c>
      <c r="B532" s="15" t="s">
        <v>4775</v>
      </c>
      <c r="C532" s="15" t="s">
        <v>467</v>
      </c>
      <c r="D532" s="15" t="s">
        <v>4772</v>
      </c>
      <c r="E532" s="15" t="s">
        <v>5361</v>
      </c>
      <c r="F532" s="15" t="s">
        <v>4781</v>
      </c>
      <c r="G532" s="15" t="s">
        <v>4779</v>
      </c>
    </row>
    <row r="533" customFormat="false" ht="15.75" hidden="false" customHeight="false" outlineLevel="0" collapsed="false">
      <c r="A533" s="20" t="n">
        <v>46133</v>
      </c>
      <c r="B533" s="15" t="s">
        <v>4782</v>
      </c>
      <c r="C533" s="15" t="s">
        <v>453</v>
      </c>
      <c r="D533" s="15" t="s">
        <v>4772</v>
      </c>
      <c r="E533" s="15" t="s">
        <v>5362</v>
      </c>
      <c r="F533" s="15" t="s">
        <v>453</v>
      </c>
      <c r="G533" s="15" t="s">
        <v>4784</v>
      </c>
    </row>
    <row r="534" customFormat="false" ht="15.75" hidden="false" customHeight="false" outlineLevel="0" collapsed="false">
      <c r="A534" s="20" t="n">
        <v>46133</v>
      </c>
      <c r="B534" s="15" t="s">
        <v>4785</v>
      </c>
      <c r="C534" s="15" t="s">
        <v>464</v>
      </c>
      <c r="D534" s="15" t="s">
        <v>4772</v>
      </c>
      <c r="E534" s="15" t="s">
        <v>5363</v>
      </c>
      <c r="F534" s="15" t="s">
        <v>464</v>
      </c>
      <c r="G534" s="15" t="s">
        <v>4784</v>
      </c>
    </row>
    <row r="535" customFormat="false" ht="15.75" hidden="false" customHeight="false" outlineLevel="0" collapsed="false">
      <c r="A535" s="20" t="n">
        <v>46133</v>
      </c>
      <c r="B535" s="15" t="s">
        <v>4787</v>
      </c>
      <c r="C535" s="15" t="s">
        <v>504</v>
      </c>
      <c r="D535" s="15" t="s">
        <v>4772</v>
      </c>
      <c r="E535" s="15" t="s">
        <v>5364</v>
      </c>
      <c r="F535" s="15" t="s">
        <v>4789</v>
      </c>
      <c r="G535" s="15" t="s">
        <v>4779</v>
      </c>
    </row>
    <row r="536" customFormat="false" ht="15.75" hidden="false" customHeight="false" outlineLevel="0" collapsed="false">
      <c r="A536" s="20" t="n">
        <v>46133</v>
      </c>
      <c r="B536" s="15" t="s">
        <v>5088</v>
      </c>
      <c r="C536" s="15" t="s">
        <v>504</v>
      </c>
      <c r="D536" s="15" t="s">
        <v>4772</v>
      </c>
      <c r="E536" s="15" t="s">
        <v>5365</v>
      </c>
      <c r="F536" s="15" t="s">
        <v>4789</v>
      </c>
      <c r="G536" s="15" t="s">
        <v>4779</v>
      </c>
    </row>
    <row r="537" customFormat="false" ht="15.75" hidden="false" customHeight="false" outlineLevel="0" collapsed="false">
      <c r="A537" s="20" t="n">
        <v>46133</v>
      </c>
      <c r="B537" s="15" t="s">
        <v>5103</v>
      </c>
      <c r="C537" s="15" t="s">
        <v>508</v>
      </c>
      <c r="D537" s="15" t="s">
        <v>4772</v>
      </c>
      <c r="E537" s="15" t="s">
        <v>5366</v>
      </c>
      <c r="F537" s="15" t="s">
        <v>4778</v>
      </c>
      <c r="G537" s="15" t="s">
        <v>4779</v>
      </c>
    </row>
    <row r="538" customFormat="false" ht="15.75" hidden="false" customHeight="false" outlineLevel="0" collapsed="false">
      <c r="A538" s="20" t="n">
        <v>46133</v>
      </c>
      <c r="B538" s="15" t="s">
        <v>5272</v>
      </c>
      <c r="C538" s="15" t="s">
        <v>459</v>
      </c>
      <c r="D538" s="15" t="s">
        <v>4772</v>
      </c>
      <c r="E538" s="15" t="s">
        <v>5367</v>
      </c>
      <c r="F538" s="15" t="s">
        <v>459</v>
      </c>
      <c r="G538" s="15" t="s">
        <v>4779</v>
      </c>
    </row>
    <row r="539" customFormat="false" ht="15.75" hidden="false" customHeight="false" outlineLevel="0" collapsed="false">
      <c r="A539" s="20" t="n">
        <v>46133</v>
      </c>
      <c r="B539" s="15" t="s">
        <v>4790</v>
      </c>
      <c r="C539" s="15" t="s">
        <v>518</v>
      </c>
      <c r="D539" s="15" t="s">
        <v>4772</v>
      </c>
      <c r="E539" s="15" t="s">
        <v>5368</v>
      </c>
      <c r="F539" s="15" t="s">
        <v>5353</v>
      </c>
      <c r="G539" s="15" t="s">
        <v>4779</v>
      </c>
    </row>
    <row r="540" customFormat="false" ht="15.75" hidden="false" customHeight="false" outlineLevel="0" collapsed="false">
      <c r="A540" s="20" t="n">
        <v>46133</v>
      </c>
      <c r="B540" s="15" t="s">
        <v>4793</v>
      </c>
      <c r="C540" s="15" t="s">
        <v>517</v>
      </c>
      <c r="D540" s="15" t="s">
        <v>4772</v>
      </c>
      <c r="E540" s="15" t="s">
        <v>5369</v>
      </c>
      <c r="F540" s="15" t="s">
        <v>5370</v>
      </c>
      <c r="G540" s="15" t="s">
        <v>4779</v>
      </c>
    </row>
    <row r="541" customFormat="false" ht="15.75" hidden="false" customHeight="false" outlineLevel="0" collapsed="false">
      <c r="A541" s="20" t="n">
        <v>46133</v>
      </c>
      <c r="B541" s="15" t="s">
        <v>4795</v>
      </c>
      <c r="C541" s="15" t="s">
        <v>469</v>
      </c>
      <c r="D541" s="15" t="s">
        <v>4772</v>
      </c>
      <c r="E541" s="15" t="s">
        <v>5371</v>
      </c>
      <c r="F541" s="15" t="s">
        <v>469</v>
      </c>
      <c r="G541" s="15" t="s">
        <v>4784</v>
      </c>
    </row>
    <row r="542" customFormat="false" ht="15.75" hidden="false" customHeight="false" outlineLevel="0" collapsed="false">
      <c r="A542" s="20" t="n">
        <v>46133</v>
      </c>
      <c r="B542" s="15" t="s">
        <v>5002</v>
      </c>
      <c r="C542" s="15" t="s">
        <v>530</v>
      </c>
      <c r="D542" s="15" t="s">
        <v>4772</v>
      </c>
      <c r="E542" s="15" t="s">
        <v>5372</v>
      </c>
      <c r="F542" s="15" t="s">
        <v>5373</v>
      </c>
      <c r="G542" s="15" t="s">
        <v>4779</v>
      </c>
    </row>
    <row r="543" customFormat="false" ht="15.75" hidden="false" customHeight="false" outlineLevel="0" collapsed="false">
      <c r="A543" s="20" t="n">
        <v>46133</v>
      </c>
      <c r="B543" s="15" t="s">
        <v>4802</v>
      </c>
      <c r="C543" s="15" t="s">
        <v>486</v>
      </c>
      <c r="D543" s="15" t="s">
        <v>4772</v>
      </c>
      <c r="E543" s="15" t="s">
        <v>5374</v>
      </c>
      <c r="F543" s="15" t="s">
        <v>486</v>
      </c>
      <c r="G543" s="15" t="s">
        <v>4784</v>
      </c>
    </row>
    <row r="544" customFormat="false" ht="15.75" hidden="false" customHeight="false" outlineLevel="0" collapsed="false">
      <c r="A544" s="20" t="n">
        <v>46133</v>
      </c>
      <c r="B544" s="15" t="s">
        <v>4805</v>
      </c>
      <c r="C544" s="15" t="s">
        <v>500</v>
      </c>
      <c r="D544" s="15" t="s">
        <v>4772</v>
      </c>
      <c r="E544" s="15" t="s">
        <v>5375</v>
      </c>
      <c r="F544" s="15" t="s">
        <v>4820</v>
      </c>
      <c r="G544" s="15" t="s">
        <v>4801</v>
      </c>
    </row>
    <row r="545" customFormat="false" ht="15.75" hidden="false" customHeight="false" outlineLevel="0" collapsed="false">
      <c r="A545" s="20" t="n">
        <v>46133</v>
      </c>
      <c r="B545" s="15" t="s">
        <v>4807</v>
      </c>
      <c r="C545" s="15" t="s">
        <v>495</v>
      </c>
      <c r="D545" s="15" t="s">
        <v>4772</v>
      </c>
      <c r="E545" s="15" t="s">
        <v>5376</v>
      </c>
      <c r="F545" s="15" t="s">
        <v>495</v>
      </c>
      <c r="G545" s="15" t="s">
        <v>4784</v>
      </c>
    </row>
    <row r="546" customFormat="false" ht="15.75" hidden="false" customHeight="false" outlineLevel="0" collapsed="false">
      <c r="A546" s="20" t="n">
        <v>46134</v>
      </c>
      <c r="B546" s="15" t="s">
        <v>4771</v>
      </c>
      <c r="C546" s="15" t="s">
        <v>456</v>
      </c>
      <c r="D546" s="15" t="s">
        <v>4772</v>
      </c>
      <c r="E546" s="15" t="s">
        <v>5377</v>
      </c>
      <c r="F546" s="15" t="s">
        <v>5378</v>
      </c>
      <c r="G546" s="15" t="s">
        <v>4779</v>
      </c>
    </row>
    <row r="547" customFormat="false" ht="15.75" hidden="false" customHeight="false" outlineLevel="0" collapsed="false">
      <c r="A547" s="20" t="n">
        <v>46134</v>
      </c>
      <c r="B547" s="15" t="s">
        <v>4775</v>
      </c>
      <c r="C547" s="15" t="s">
        <v>467</v>
      </c>
      <c r="D547" s="15" t="s">
        <v>4772</v>
      </c>
      <c r="E547" s="15" t="s">
        <v>5379</v>
      </c>
      <c r="F547" s="15" t="s">
        <v>4781</v>
      </c>
      <c r="G547" s="15" t="s">
        <v>4779</v>
      </c>
    </row>
    <row r="548" customFormat="false" ht="15.75" hidden="false" customHeight="false" outlineLevel="0" collapsed="false">
      <c r="A548" s="20" t="n">
        <v>46134</v>
      </c>
      <c r="B548" s="15" t="s">
        <v>4782</v>
      </c>
      <c r="C548" s="15" t="s">
        <v>453</v>
      </c>
      <c r="D548" s="15" t="s">
        <v>4772</v>
      </c>
      <c r="E548" s="15" t="s">
        <v>5380</v>
      </c>
      <c r="F548" s="15" t="s">
        <v>453</v>
      </c>
      <c r="G548" s="15" t="s">
        <v>4784</v>
      </c>
    </row>
    <row r="549" customFormat="false" ht="15.75" hidden="false" customHeight="false" outlineLevel="0" collapsed="false">
      <c r="A549" s="20" t="n">
        <v>46134</v>
      </c>
      <c r="B549" s="15" t="s">
        <v>4785</v>
      </c>
      <c r="C549" s="15" t="s">
        <v>464</v>
      </c>
      <c r="D549" s="15" t="s">
        <v>4772</v>
      </c>
      <c r="E549" s="15" t="s">
        <v>5381</v>
      </c>
      <c r="F549" s="15" t="s">
        <v>464</v>
      </c>
      <c r="G549" s="15" t="s">
        <v>4784</v>
      </c>
    </row>
    <row r="550" customFormat="false" ht="15.75" hidden="false" customHeight="false" outlineLevel="0" collapsed="false">
      <c r="A550" s="20" t="n">
        <v>46134</v>
      </c>
      <c r="B550" s="15" t="s">
        <v>4787</v>
      </c>
      <c r="C550" s="15" t="s">
        <v>504</v>
      </c>
      <c r="D550" s="15" t="s">
        <v>4772</v>
      </c>
      <c r="E550" s="15" t="s">
        <v>5382</v>
      </c>
      <c r="F550" s="15" t="s">
        <v>4789</v>
      </c>
      <c r="G550" s="15" t="s">
        <v>4779</v>
      </c>
    </row>
    <row r="551" customFormat="false" ht="15.75" hidden="false" customHeight="false" outlineLevel="0" collapsed="false">
      <c r="A551" s="20" t="n">
        <v>46134</v>
      </c>
      <c r="B551" s="15" t="s">
        <v>5088</v>
      </c>
      <c r="C551" s="15" t="s">
        <v>504</v>
      </c>
      <c r="D551" s="15" t="s">
        <v>4772</v>
      </c>
      <c r="E551" s="15" t="s">
        <v>5383</v>
      </c>
      <c r="F551" s="15" t="s">
        <v>4789</v>
      </c>
      <c r="G551" s="15" t="s">
        <v>4779</v>
      </c>
    </row>
    <row r="552" customFormat="false" ht="15.75" hidden="false" customHeight="false" outlineLevel="0" collapsed="false">
      <c r="A552" s="20" t="n">
        <v>46134</v>
      </c>
      <c r="B552" s="15" t="s">
        <v>5103</v>
      </c>
      <c r="C552" s="15" t="s">
        <v>508</v>
      </c>
      <c r="D552" s="15" t="s">
        <v>4772</v>
      </c>
      <c r="E552" s="15" t="s">
        <v>5384</v>
      </c>
      <c r="F552" s="15" t="s">
        <v>4778</v>
      </c>
      <c r="G552" s="15" t="s">
        <v>4779</v>
      </c>
    </row>
    <row r="553" customFormat="false" ht="15.75" hidden="false" customHeight="false" outlineLevel="0" collapsed="false">
      <c r="A553" s="20" t="n">
        <v>46134</v>
      </c>
      <c r="B553" s="15" t="s">
        <v>4790</v>
      </c>
      <c r="C553" s="15" t="s">
        <v>518</v>
      </c>
      <c r="D553" s="15" t="s">
        <v>4772</v>
      </c>
      <c r="E553" s="15" t="s">
        <v>5385</v>
      </c>
      <c r="F553" s="15" t="s">
        <v>5353</v>
      </c>
      <c r="G553" s="15" t="s">
        <v>4779</v>
      </c>
    </row>
    <row r="554" customFormat="false" ht="15.75" hidden="false" customHeight="false" outlineLevel="0" collapsed="false">
      <c r="A554" s="20" t="n">
        <v>46134</v>
      </c>
      <c r="B554" s="15" t="s">
        <v>4793</v>
      </c>
      <c r="C554" s="15" t="s">
        <v>517</v>
      </c>
      <c r="D554" s="15" t="s">
        <v>4772</v>
      </c>
      <c r="E554" s="15" t="s">
        <v>5386</v>
      </c>
      <c r="F554" s="15" t="s">
        <v>5370</v>
      </c>
      <c r="G554" s="15" t="s">
        <v>4779</v>
      </c>
    </row>
    <row r="555" customFormat="false" ht="15.75" hidden="false" customHeight="false" outlineLevel="0" collapsed="false">
      <c r="A555" s="20" t="n">
        <v>46134</v>
      </c>
      <c r="B555" s="15" t="s">
        <v>4795</v>
      </c>
      <c r="C555" s="15" t="s">
        <v>469</v>
      </c>
      <c r="D555" s="15" t="s">
        <v>4772</v>
      </c>
      <c r="E555" s="15" t="s">
        <v>5387</v>
      </c>
      <c r="F555" s="15" t="s">
        <v>469</v>
      </c>
      <c r="G555" s="15" t="s">
        <v>4784</v>
      </c>
    </row>
    <row r="556" customFormat="false" ht="15.75" hidden="false" customHeight="false" outlineLevel="0" collapsed="false">
      <c r="A556" s="20" t="n">
        <v>46134</v>
      </c>
      <c r="B556" s="15" t="s">
        <v>5002</v>
      </c>
      <c r="C556" s="15" t="s">
        <v>527</v>
      </c>
      <c r="D556" s="15" t="s">
        <v>4772</v>
      </c>
      <c r="E556" s="15" t="s">
        <v>5388</v>
      </c>
      <c r="F556" s="15" t="s">
        <v>5389</v>
      </c>
      <c r="G556" s="15" t="s">
        <v>4779</v>
      </c>
    </row>
    <row r="557" customFormat="false" ht="15.75" hidden="false" customHeight="false" outlineLevel="0" collapsed="false">
      <c r="A557" s="20" t="n">
        <v>46134</v>
      </c>
      <c r="B557" s="15" t="s">
        <v>4802</v>
      </c>
      <c r="C557" s="15" t="s">
        <v>486</v>
      </c>
      <c r="D557" s="15" t="s">
        <v>4772</v>
      </c>
      <c r="E557" s="15" t="s">
        <v>5390</v>
      </c>
      <c r="F557" s="15" t="s">
        <v>486</v>
      </c>
      <c r="G557" s="15" t="s">
        <v>4784</v>
      </c>
    </row>
    <row r="558" customFormat="false" ht="15.75" hidden="false" customHeight="false" outlineLevel="0" collapsed="false">
      <c r="A558" s="20" t="n">
        <v>46134</v>
      </c>
      <c r="B558" s="15" t="s">
        <v>4805</v>
      </c>
      <c r="C558" s="15" t="s">
        <v>500</v>
      </c>
      <c r="D558" s="15" t="s">
        <v>4772</v>
      </c>
      <c r="E558" s="15" t="s">
        <v>5391</v>
      </c>
      <c r="F558" s="15" t="s">
        <v>4820</v>
      </c>
      <c r="G558" s="15" t="s">
        <v>4801</v>
      </c>
    </row>
    <row r="559" customFormat="false" ht="15.75" hidden="false" customHeight="false" outlineLevel="0" collapsed="false">
      <c r="A559" s="20" t="n">
        <v>46134</v>
      </c>
      <c r="B559" s="15" t="s">
        <v>4807</v>
      </c>
      <c r="C559" s="15" t="s">
        <v>495</v>
      </c>
      <c r="D559" s="15" t="s">
        <v>4772</v>
      </c>
      <c r="E559" s="15" t="s">
        <v>5392</v>
      </c>
      <c r="F559" s="15" t="s">
        <v>495</v>
      </c>
      <c r="G559" s="15" t="s">
        <v>4784</v>
      </c>
    </row>
    <row r="560" customFormat="false" ht="15.75" hidden="false" customHeight="false" outlineLevel="0" collapsed="false">
      <c r="A560" s="20" t="n">
        <v>46135</v>
      </c>
      <c r="B560" s="15" t="s">
        <v>4771</v>
      </c>
      <c r="C560" s="15" t="s">
        <v>456</v>
      </c>
      <c r="D560" s="15" t="s">
        <v>4772</v>
      </c>
      <c r="E560" s="15" t="s">
        <v>5393</v>
      </c>
      <c r="F560" s="15" t="s">
        <v>5378</v>
      </c>
      <c r="G560" s="15" t="s">
        <v>4779</v>
      </c>
    </row>
    <row r="561" customFormat="false" ht="15.75" hidden="false" customHeight="false" outlineLevel="0" collapsed="false">
      <c r="A561" s="20" t="n">
        <v>46135</v>
      </c>
      <c r="B561" s="15" t="s">
        <v>4775</v>
      </c>
      <c r="C561" s="15" t="s">
        <v>467</v>
      </c>
      <c r="D561" s="15" t="s">
        <v>4772</v>
      </c>
      <c r="E561" s="15" t="s">
        <v>5394</v>
      </c>
      <c r="F561" s="15" t="s">
        <v>4781</v>
      </c>
      <c r="G561" s="15" t="s">
        <v>4779</v>
      </c>
    </row>
    <row r="562" customFormat="false" ht="15.75" hidden="false" customHeight="false" outlineLevel="0" collapsed="false">
      <c r="A562" s="20" t="n">
        <v>46135</v>
      </c>
      <c r="B562" s="15" t="s">
        <v>4782</v>
      </c>
      <c r="C562" s="15" t="s">
        <v>453</v>
      </c>
      <c r="D562" s="15" t="s">
        <v>4772</v>
      </c>
      <c r="E562" s="15" t="s">
        <v>5395</v>
      </c>
      <c r="F562" s="15" t="s">
        <v>453</v>
      </c>
      <c r="G562" s="15" t="s">
        <v>4784</v>
      </c>
    </row>
    <row r="563" customFormat="false" ht="15.75" hidden="false" customHeight="false" outlineLevel="0" collapsed="false">
      <c r="A563" s="20" t="n">
        <v>46135</v>
      </c>
      <c r="B563" s="15" t="s">
        <v>4785</v>
      </c>
      <c r="C563" s="15" t="s">
        <v>464</v>
      </c>
      <c r="D563" s="15" t="s">
        <v>4772</v>
      </c>
      <c r="E563" s="15" t="s">
        <v>5396</v>
      </c>
      <c r="F563" s="15" t="s">
        <v>464</v>
      </c>
      <c r="G563" s="15" t="s">
        <v>4784</v>
      </c>
    </row>
    <row r="564" customFormat="false" ht="15.75" hidden="false" customHeight="false" outlineLevel="0" collapsed="false">
      <c r="A564" s="20" t="n">
        <v>46135</v>
      </c>
      <c r="B564" s="15" t="s">
        <v>4787</v>
      </c>
      <c r="C564" s="15" t="s">
        <v>504</v>
      </c>
      <c r="D564" s="15" t="s">
        <v>4772</v>
      </c>
      <c r="E564" s="15" t="s">
        <v>5397</v>
      </c>
      <c r="F564" s="15" t="s">
        <v>4789</v>
      </c>
      <c r="G564" s="15" t="s">
        <v>4779</v>
      </c>
    </row>
    <row r="565" customFormat="false" ht="15.75" hidden="false" customHeight="false" outlineLevel="0" collapsed="false">
      <c r="A565" s="20" t="n">
        <v>46135</v>
      </c>
      <c r="B565" s="15" t="s">
        <v>5088</v>
      </c>
      <c r="C565" s="15" t="s">
        <v>504</v>
      </c>
      <c r="D565" s="15" t="s">
        <v>4772</v>
      </c>
      <c r="E565" s="15" t="s">
        <v>5398</v>
      </c>
      <c r="F565" s="15" t="s">
        <v>4789</v>
      </c>
      <c r="G565" s="15" t="s">
        <v>4779</v>
      </c>
    </row>
    <row r="566" customFormat="false" ht="15.75" hidden="false" customHeight="false" outlineLevel="0" collapsed="false">
      <c r="A566" s="20" t="n">
        <v>46135</v>
      </c>
      <c r="B566" s="15" t="s">
        <v>5103</v>
      </c>
      <c r="C566" s="15" t="s">
        <v>508</v>
      </c>
      <c r="D566" s="15" t="s">
        <v>4772</v>
      </c>
      <c r="E566" s="15" t="s">
        <v>5399</v>
      </c>
      <c r="F566" s="15" t="s">
        <v>4778</v>
      </c>
      <c r="G566" s="15" t="s">
        <v>4779</v>
      </c>
    </row>
    <row r="567" customFormat="false" ht="15.75" hidden="false" customHeight="false" outlineLevel="0" collapsed="false">
      <c r="A567" s="20" t="n">
        <v>46135</v>
      </c>
      <c r="B567" s="15" t="s">
        <v>5272</v>
      </c>
      <c r="C567" s="15" t="s">
        <v>514</v>
      </c>
      <c r="D567" s="15" t="s">
        <v>4772</v>
      </c>
      <c r="E567" s="15" t="s">
        <v>5400</v>
      </c>
      <c r="F567" s="15" t="s">
        <v>4893</v>
      </c>
      <c r="G567" s="15" t="s">
        <v>4779</v>
      </c>
    </row>
    <row r="568" customFormat="false" ht="15.75" hidden="false" customHeight="false" outlineLevel="0" collapsed="false">
      <c r="A568" s="20" t="n">
        <v>46135</v>
      </c>
      <c r="B568" s="15" t="s">
        <v>4790</v>
      </c>
      <c r="C568" s="15" t="s">
        <v>518</v>
      </c>
      <c r="D568" s="15" t="s">
        <v>4772</v>
      </c>
      <c r="E568" s="15" t="s">
        <v>5401</v>
      </c>
      <c r="F568" s="15" t="s">
        <v>5353</v>
      </c>
      <c r="G568" s="15" t="s">
        <v>4779</v>
      </c>
    </row>
    <row r="569" customFormat="false" ht="15.75" hidden="false" customHeight="false" outlineLevel="0" collapsed="false">
      <c r="A569" s="20" t="n">
        <v>46135</v>
      </c>
      <c r="B569" s="15" t="s">
        <v>4793</v>
      </c>
      <c r="C569" s="15" t="s">
        <v>517</v>
      </c>
      <c r="D569" s="15" t="s">
        <v>4772</v>
      </c>
      <c r="E569" s="15" t="s">
        <v>5402</v>
      </c>
      <c r="F569" s="15" t="s">
        <v>5370</v>
      </c>
      <c r="G569" s="15" t="s">
        <v>4779</v>
      </c>
    </row>
    <row r="570" customFormat="false" ht="15.75" hidden="false" customHeight="false" outlineLevel="0" collapsed="false">
      <c r="A570" s="20" t="n">
        <v>46135</v>
      </c>
      <c r="B570" s="15" t="s">
        <v>4795</v>
      </c>
      <c r="C570" s="15" t="s">
        <v>469</v>
      </c>
      <c r="D570" s="15" t="s">
        <v>4772</v>
      </c>
      <c r="E570" s="15" t="s">
        <v>5403</v>
      </c>
      <c r="F570" s="15" t="s">
        <v>469</v>
      </c>
      <c r="G570" s="15" t="s">
        <v>4784</v>
      </c>
    </row>
    <row r="571" customFormat="false" ht="15.75" hidden="false" customHeight="false" outlineLevel="0" collapsed="false">
      <c r="A571" s="20" t="n">
        <v>46135</v>
      </c>
      <c r="B571" s="15" t="s">
        <v>5002</v>
      </c>
      <c r="C571" s="15" t="s">
        <v>528</v>
      </c>
      <c r="D571" s="15" t="s">
        <v>4772</v>
      </c>
      <c r="E571" s="15" t="s">
        <v>5404</v>
      </c>
      <c r="F571" s="15" t="s">
        <v>5218</v>
      </c>
      <c r="G571" s="15" t="s">
        <v>4779</v>
      </c>
    </row>
    <row r="572" customFormat="false" ht="15.75" hidden="false" customHeight="false" outlineLevel="0" collapsed="false">
      <c r="A572" s="20" t="n">
        <v>46135</v>
      </c>
      <c r="B572" s="15" t="s">
        <v>4802</v>
      </c>
      <c r="C572" s="15" t="s">
        <v>486</v>
      </c>
      <c r="D572" s="15" t="s">
        <v>4772</v>
      </c>
      <c r="E572" s="15" t="s">
        <v>5405</v>
      </c>
      <c r="F572" s="15" t="s">
        <v>486</v>
      </c>
      <c r="G572" s="15" t="s">
        <v>4784</v>
      </c>
    </row>
    <row r="573" customFormat="false" ht="15.75" hidden="false" customHeight="false" outlineLevel="0" collapsed="false">
      <c r="A573" s="20" t="n">
        <v>46135</v>
      </c>
      <c r="B573" s="15" t="s">
        <v>4805</v>
      </c>
      <c r="C573" s="15" t="s">
        <v>500</v>
      </c>
      <c r="D573" s="15" t="s">
        <v>4772</v>
      </c>
      <c r="E573" s="15" t="s">
        <v>5406</v>
      </c>
      <c r="F573" s="15" t="s">
        <v>4820</v>
      </c>
      <c r="G573" s="15" t="s">
        <v>4801</v>
      </c>
    </row>
    <row r="574" customFormat="false" ht="15.75" hidden="false" customHeight="false" outlineLevel="0" collapsed="false">
      <c r="A574" s="20" t="n">
        <v>46135</v>
      </c>
      <c r="B574" s="15" t="s">
        <v>4807</v>
      </c>
      <c r="C574" s="15" t="s">
        <v>19</v>
      </c>
      <c r="D574" s="15" t="s">
        <v>4772</v>
      </c>
      <c r="E574" s="15" t="s">
        <v>5407</v>
      </c>
      <c r="F574" s="15" t="s">
        <v>4822</v>
      </c>
      <c r="G574" s="15" t="s">
        <v>4779</v>
      </c>
    </row>
    <row r="575" customFormat="false" ht="15.75" hidden="false" customHeight="false" outlineLevel="0" collapsed="false">
      <c r="A575" s="20" t="n">
        <v>46136</v>
      </c>
      <c r="B575" s="15" t="s">
        <v>4771</v>
      </c>
      <c r="C575" s="15" t="s">
        <v>456</v>
      </c>
      <c r="D575" s="15" t="s">
        <v>4772</v>
      </c>
      <c r="E575" s="15" t="s">
        <v>5408</v>
      </c>
      <c r="F575" s="15" t="s">
        <v>5378</v>
      </c>
      <c r="G575" s="15" t="s">
        <v>4779</v>
      </c>
    </row>
    <row r="576" customFormat="false" ht="15.75" hidden="false" customHeight="false" outlineLevel="0" collapsed="false">
      <c r="A576" s="20" t="n">
        <v>46136</v>
      </c>
      <c r="B576" s="15" t="s">
        <v>4775</v>
      </c>
      <c r="C576" s="15" t="s">
        <v>467</v>
      </c>
      <c r="D576" s="15" t="s">
        <v>4772</v>
      </c>
      <c r="E576" s="15" t="s">
        <v>5409</v>
      </c>
      <c r="F576" s="15" t="s">
        <v>4781</v>
      </c>
      <c r="G576" s="15" t="s">
        <v>4779</v>
      </c>
    </row>
    <row r="577" customFormat="false" ht="15.75" hidden="false" customHeight="false" outlineLevel="0" collapsed="false">
      <c r="A577" s="20" t="n">
        <v>46136</v>
      </c>
      <c r="B577" s="15" t="s">
        <v>4782</v>
      </c>
      <c r="C577" s="15" t="s">
        <v>453</v>
      </c>
      <c r="D577" s="15" t="s">
        <v>4772</v>
      </c>
      <c r="E577" s="15" t="s">
        <v>5410</v>
      </c>
      <c r="F577" s="15" t="s">
        <v>453</v>
      </c>
      <c r="G577" s="15" t="s">
        <v>4784</v>
      </c>
    </row>
    <row r="578" customFormat="false" ht="15.75" hidden="false" customHeight="false" outlineLevel="0" collapsed="false">
      <c r="A578" s="20" t="n">
        <v>46136</v>
      </c>
      <c r="B578" s="15" t="s">
        <v>4785</v>
      </c>
      <c r="C578" s="15" t="s">
        <v>464</v>
      </c>
      <c r="D578" s="15" t="s">
        <v>4772</v>
      </c>
      <c r="E578" s="15" t="s">
        <v>5411</v>
      </c>
      <c r="F578" s="15" t="s">
        <v>464</v>
      </c>
      <c r="G578" s="15" t="s">
        <v>4784</v>
      </c>
    </row>
    <row r="579" customFormat="false" ht="15.75" hidden="false" customHeight="false" outlineLevel="0" collapsed="false">
      <c r="A579" s="20" t="n">
        <v>46136</v>
      </c>
      <c r="B579" s="15" t="s">
        <v>4787</v>
      </c>
      <c r="C579" s="15" t="s">
        <v>504</v>
      </c>
      <c r="D579" s="15" t="s">
        <v>4772</v>
      </c>
      <c r="E579" s="15" t="s">
        <v>5412</v>
      </c>
      <c r="F579" s="15" t="s">
        <v>4789</v>
      </c>
      <c r="G579" s="15" t="s">
        <v>4779</v>
      </c>
    </row>
    <row r="580" customFormat="false" ht="15.75" hidden="false" customHeight="false" outlineLevel="0" collapsed="false">
      <c r="A580" s="20" t="n">
        <v>46136</v>
      </c>
      <c r="B580" s="15" t="s">
        <v>5088</v>
      </c>
      <c r="C580" s="15" t="s">
        <v>504</v>
      </c>
      <c r="D580" s="15" t="s">
        <v>4772</v>
      </c>
      <c r="E580" s="15" t="s">
        <v>5413</v>
      </c>
      <c r="F580" s="15" t="s">
        <v>4789</v>
      </c>
      <c r="G580" s="15" t="s">
        <v>4779</v>
      </c>
    </row>
    <row r="581" customFormat="false" ht="15.75" hidden="false" customHeight="false" outlineLevel="0" collapsed="false">
      <c r="A581" s="20" t="n">
        <v>46136</v>
      </c>
      <c r="B581" s="15" t="s">
        <v>5103</v>
      </c>
      <c r="C581" s="15" t="s">
        <v>508</v>
      </c>
      <c r="D581" s="15" t="s">
        <v>4772</v>
      </c>
      <c r="E581" s="15" t="s">
        <v>5414</v>
      </c>
      <c r="F581" s="15" t="s">
        <v>4778</v>
      </c>
      <c r="G581" s="15" t="s">
        <v>4779</v>
      </c>
    </row>
    <row r="582" customFormat="false" ht="15.75" hidden="false" customHeight="false" outlineLevel="0" collapsed="false">
      <c r="A582" s="20" t="n">
        <v>46136</v>
      </c>
      <c r="B582" s="15" t="s">
        <v>5272</v>
      </c>
      <c r="C582" s="15" t="s">
        <v>514</v>
      </c>
      <c r="D582" s="15" t="s">
        <v>4772</v>
      </c>
      <c r="E582" s="15" t="s">
        <v>5415</v>
      </c>
      <c r="F582" s="15" t="s">
        <v>4893</v>
      </c>
      <c r="G582" s="15" t="s">
        <v>4779</v>
      </c>
    </row>
    <row r="583" customFormat="false" ht="15.75" hidden="false" customHeight="false" outlineLevel="0" collapsed="false">
      <c r="A583" s="20" t="n">
        <v>46136</v>
      </c>
      <c r="B583" s="15" t="s">
        <v>4790</v>
      </c>
      <c r="C583" s="15" t="s">
        <v>518</v>
      </c>
      <c r="D583" s="15" t="s">
        <v>4772</v>
      </c>
      <c r="E583" s="15" t="s">
        <v>5416</v>
      </c>
      <c r="F583" s="15" t="s">
        <v>5353</v>
      </c>
      <c r="G583" s="15" t="s">
        <v>4779</v>
      </c>
    </row>
    <row r="584" customFormat="false" ht="15.75" hidden="false" customHeight="false" outlineLevel="0" collapsed="false">
      <c r="A584" s="20" t="n">
        <v>46136</v>
      </c>
      <c r="B584" s="15" t="s">
        <v>4793</v>
      </c>
      <c r="C584" s="15" t="s">
        <v>517</v>
      </c>
      <c r="D584" s="15" t="s">
        <v>4772</v>
      </c>
      <c r="E584" s="15" t="s">
        <v>5417</v>
      </c>
      <c r="F584" s="15" t="s">
        <v>5370</v>
      </c>
      <c r="G584" s="15" t="s">
        <v>4779</v>
      </c>
    </row>
    <row r="585" customFormat="false" ht="15.75" hidden="false" customHeight="false" outlineLevel="0" collapsed="false">
      <c r="A585" s="20" t="n">
        <v>46136</v>
      </c>
      <c r="B585" s="15" t="s">
        <v>4795</v>
      </c>
      <c r="C585" s="15" t="s">
        <v>469</v>
      </c>
      <c r="D585" s="15" t="s">
        <v>4772</v>
      </c>
      <c r="E585" s="15" t="s">
        <v>5418</v>
      </c>
      <c r="F585" s="15" t="s">
        <v>469</v>
      </c>
      <c r="G585" s="15" t="s">
        <v>4784</v>
      </c>
    </row>
    <row r="586" customFormat="false" ht="15.75" hidden="false" customHeight="false" outlineLevel="0" collapsed="false">
      <c r="A586" s="20" t="n">
        <v>46136</v>
      </c>
      <c r="B586" s="15" t="s">
        <v>5002</v>
      </c>
      <c r="C586" s="15" t="s">
        <v>528</v>
      </c>
      <c r="D586" s="15" t="s">
        <v>4772</v>
      </c>
      <c r="E586" s="15" t="s">
        <v>5419</v>
      </c>
      <c r="F586" s="15" t="s">
        <v>5218</v>
      </c>
      <c r="G586" s="15" t="s">
        <v>4779</v>
      </c>
    </row>
    <row r="587" customFormat="false" ht="15.75" hidden="false" customHeight="false" outlineLevel="0" collapsed="false">
      <c r="A587" s="20" t="n">
        <v>46136</v>
      </c>
      <c r="B587" s="15" t="s">
        <v>4802</v>
      </c>
      <c r="C587" s="15" t="s">
        <v>486</v>
      </c>
      <c r="D587" s="15" t="s">
        <v>4772</v>
      </c>
      <c r="E587" s="15" t="s">
        <v>5420</v>
      </c>
      <c r="F587" s="15" t="s">
        <v>486</v>
      </c>
      <c r="G587" s="15" t="s">
        <v>4784</v>
      </c>
    </row>
    <row r="588" customFormat="false" ht="15.75" hidden="false" customHeight="false" outlineLevel="0" collapsed="false">
      <c r="A588" s="20" t="n">
        <v>46136</v>
      </c>
      <c r="B588" s="15" t="s">
        <v>4805</v>
      </c>
      <c r="C588" s="15" t="s">
        <v>488</v>
      </c>
      <c r="D588" s="15" t="s">
        <v>4772</v>
      </c>
      <c r="E588" s="15" t="s">
        <v>5421</v>
      </c>
      <c r="F588" s="15" t="s">
        <v>4855</v>
      </c>
      <c r="G588" s="15" t="s">
        <v>4779</v>
      </c>
    </row>
    <row r="589" customFormat="false" ht="15.75" hidden="false" customHeight="false" outlineLevel="0" collapsed="false">
      <c r="A589" s="20" t="n">
        <v>46136</v>
      </c>
      <c r="B589" s="15" t="s">
        <v>4807</v>
      </c>
      <c r="C589" s="15" t="s">
        <v>19</v>
      </c>
      <c r="D589" s="15" t="s">
        <v>4772</v>
      </c>
      <c r="E589" s="15" t="s">
        <v>5422</v>
      </c>
      <c r="F589" s="15" t="s">
        <v>4822</v>
      </c>
      <c r="G589" s="15" t="s">
        <v>4779</v>
      </c>
    </row>
    <row r="590" customFormat="false" ht="15.75" hidden="false" customHeight="false" outlineLevel="0" collapsed="false">
      <c r="A590" s="20" t="n">
        <v>46139</v>
      </c>
      <c r="B590" s="15" t="s">
        <v>5088</v>
      </c>
      <c r="C590" s="15" t="s">
        <v>504</v>
      </c>
      <c r="D590" s="15" t="s">
        <v>4772</v>
      </c>
      <c r="E590" s="15" t="s">
        <v>5423</v>
      </c>
      <c r="F590" s="15" t="s">
        <v>4789</v>
      </c>
      <c r="G590" s="15" t="s">
        <v>4779</v>
      </c>
    </row>
    <row r="591" customFormat="false" ht="15.75" hidden="false" customHeight="false" outlineLevel="0" collapsed="false">
      <c r="A591" s="20" t="n">
        <v>46139</v>
      </c>
      <c r="B591" s="15" t="s">
        <v>5103</v>
      </c>
      <c r="C591" s="15" t="s">
        <v>508</v>
      </c>
      <c r="D591" s="15" t="s">
        <v>4772</v>
      </c>
      <c r="E591" s="15" t="s">
        <v>5424</v>
      </c>
      <c r="F591" s="15" t="s">
        <v>4778</v>
      </c>
      <c r="G591" s="15" t="s">
        <v>4779</v>
      </c>
    </row>
    <row r="592" customFormat="false" ht="15.75" hidden="false" customHeight="false" outlineLevel="0" collapsed="false">
      <c r="A592" s="20" t="n">
        <v>46139</v>
      </c>
      <c r="B592" s="15" t="s">
        <v>4798</v>
      </c>
      <c r="C592" s="15" t="s">
        <v>487</v>
      </c>
      <c r="D592" s="15" t="s">
        <v>4772</v>
      </c>
      <c r="E592" s="15" t="s">
        <v>5425</v>
      </c>
      <c r="F592" s="15" t="s">
        <v>5426</v>
      </c>
      <c r="G592" s="15" t="s">
        <v>4779</v>
      </c>
    </row>
    <row r="593" customFormat="false" ht="15.75" hidden="false" customHeight="false" outlineLevel="0" collapsed="false">
      <c r="A593" s="20" t="n">
        <v>46140</v>
      </c>
      <c r="B593" s="15" t="s">
        <v>4771</v>
      </c>
      <c r="C593" s="15" t="s">
        <v>456</v>
      </c>
      <c r="D593" s="15" t="s">
        <v>4772</v>
      </c>
      <c r="E593" s="15" t="s">
        <v>5427</v>
      </c>
      <c r="F593" s="15" t="s">
        <v>5378</v>
      </c>
      <c r="G593" s="15" t="s">
        <v>4779</v>
      </c>
    </row>
    <row r="594" customFormat="false" ht="15.75" hidden="false" customHeight="false" outlineLevel="0" collapsed="false">
      <c r="A594" s="20" t="n">
        <v>46140</v>
      </c>
      <c r="B594" s="15" t="s">
        <v>4775</v>
      </c>
      <c r="C594" s="15" t="s">
        <v>467</v>
      </c>
      <c r="D594" s="15" t="s">
        <v>4772</v>
      </c>
      <c r="E594" s="15" t="s">
        <v>5428</v>
      </c>
      <c r="F594" s="15" t="s">
        <v>4781</v>
      </c>
      <c r="G594" s="15" t="s">
        <v>4779</v>
      </c>
    </row>
    <row r="595" customFormat="false" ht="15.75" hidden="false" customHeight="false" outlineLevel="0" collapsed="false">
      <c r="A595" s="20" t="n">
        <v>46140</v>
      </c>
      <c r="B595" s="15" t="s">
        <v>4782</v>
      </c>
      <c r="C595" s="15" t="s">
        <v>453</v>
      </c>
      <c r="D595" s="15" t="s">
        <v>4772</v>
      </c>
      <c r="E595" s="15" t="s">
        <v>5429</v>
      </c>
      <c r="F595" s="15" t="s">
        <v>453</v>
      </c>
      <c r="G595" s="15" t="s">
        <v>4784</v>
      </c>
    </row>
    <row r="596" customFormat="false" ht="15.75" hidden="false" customHeight="false" outlineLevel="0" collapsed="false">
      <c r="A596" s="20" t="n">
        <v>46140</v>
      </c>
      <c r="B596" s="15" t="s">
        <v>4785</v>
      </c>
      <c r="C596" s="15" t="s">
        <v>464</v>
      </c>
      <c r="D596" s="15" t="s">
        <v>4772</v>
      </c>
      <c r="E596" s="15" t="s">
        <v>5430</v>
      </c>
      <c r="F596" s="15" t="s">
        <v>464</v>
      </c>
      <c r="G596" s="15" t="s">
        <v>4784</v>
      </c>
    </row>
    <row r="597" customFormat="false" ht="15.75" hidden="false" customHeight="false" outlineLevel="0" collapsed="false">
      <c r="A597" s="20" t="n">
        <v>46140</v>
      </c>
      <c r="B597" s="15" t="s">
        <v>4787</v>
      </c>
      <c r="C597" s="15" t="s">
        <v>504</v>
      </c>
      <c r="D597" s="15" t="s">
        <v>4772</v>
      </c>
      <c r="E597" s="15" t="s">
        <v>5431</v>
      </c>
      <c r="F597" s="15" t="s">
        <v>4789</v>
      </c>
      <c r="G597" s="15" t="s">
        <v>4779</v>
      </c>
    </row>
    <row r="598" customFormat="false" ht="15.75" hidden="false" customHeight="false" outlineLevel="0" collapsed="false">
      <c r="A598" s="20" t="n">
        <v>46140</v>
      </c>
      <c r="B598" s="15" t="s">
        <v>5088</v>
      </c>
      <c r="C598" s="15" t="s">
        <v>504</v>
      </c>
      <c r="D598" s="15" t="s">
        <v>4772</v>
      </c>
      <c r="E598" s="15" t="s">
        <v>5432</v>
      </c>
      <c r="F598" s="15" t="s">
        <v>4789</v>
      </c>
      <c r="G598" s="15" t="s">
        <v>4779</v>
      </c>
    </row>
    <row r="599" customFormat="false" ht="15.75" hidden="false" customHeight="false" outlineLevel="0" collapsed="false">
      <c r="A599" s="20" t="n">
        <v>46140</v>
      </c>
      <c r="B599" s="15" t="s">
        <v>5103</v>
      </c>
      <c r="C599" s="15" t="s">
        <v>508</v>
      </c>
      <c r="D599" s="15" t="s">
        <v>4772</v>
      </c>
      <c r="E599" s="15" t="s">
        <v>5433</v>
      </c>
      <c r="F599" s="15" t="s">
        <v>4778</v>
      </c>
      <c r="G599" s="15" t="s">
        <v>4779</v>
      </c>
    </row>
    <row r="600" customFormat="false" ht="15.75" hidden="false" customHeight="false" outlineLevel="0" collapsed="false">
      <c r="A600" s="20" t="n">
        <v>46140</v>
      </c>
      <c r="B600" s="15" t="s">
        <v>5272</v>
      </c>
      <c r="C600" s="15" t="s">
        <v>514</v>
      </c>
      <c r="D600" s="15" t="s">
        <v>4772</v>
      </c>
      <c r="E600" s="15" t="s">
        <v>5434</v>
      </c>
      <c r="F600" s="15" t="s">
        <v>4893</v>
      </c>
      <c r="G600" s="15" t="s">
        <v>4779</v>
      </c>
    </row>
    <row r="601" customFormat="false" ht="15.75" hidden="false" customHeight="false" outlineLevel="0" collapsed="false">
      <c r="A601" s="20" t="n">
        <v>46140</v>
      </c>
      <c r="B601" s="15" t="s">
        <v>4790</v>
      </c>
      <c r="C601" s="15" t="s">
        <v>518</v>
      </c>
      <c r="D601" s="15" t="s">
        <v>4772</v>
      </c>
      <c r="E601" s="15" t="s">
        <v>5435</v>
      </c>
      <c r="F601" s="15" t="s">
        <v>5353</v>
      </c>
      <c r="G601" s="15" t="s">
        <v>4779</v>
      </c>
    </row>
    <row r="602" customFormat="false" ht="15.75" hidden="false" customHeight="false" outlineLevel="0" collapsed="false">
      <c r="A602" s="20" t="n">
        <v>46140</v>
      </c>
      <c r="B602" s="15" t="s">
        <v>4793</v>
      </c>
      <c r="C602" s="15" t="s">
        <v>522</v>
      </c>
      <c r="D602" s="15" t="s">
        <v>4772</v>
      </c>
      <c r="E602" s="15" t="s">
        <v>5436</v>
      </c>
      <c r="F602" s="15" t="s">
        <v>522</v>
      </c>
      <c r="G602" s="15" t="s">
        <v>4784</v>
      </c>
    </row>
    <row r="603" customFormat="false" ht="15.75" hidden="false" customHeight="false" outlineLevel="0" collapsed="false">
      <c r="A603" s="20" t="n">
        <v>46140</v>
      </c>
      <c r="B603" s="15" t="s">
        <v>4795</v>
      </c>
      <c r="C603" s="15" t="s">
        <v>469</v>
      </c>
      <c r="D603" s="15" t="s">
        <v>4772</v>
      </c>
      <c r="E603" s="15" t="s">
        <v>5437</v>
      </c>
      <c r="F603" s="15" t="s">
        <v>469</v>
      </c>
      <c r="G603" s="15" t="s">
        <v>4784</v>
      </c>
    </row>
    <row r="604" customFormat="false" ht="15.75" hidden="false" customHeight="false" outlineLevel="0" collapsed="false">
      <c r="A604" s="20" t="n">
        <v>46140</v>
      </c>
      <c r="B604" s="15" t="s">
        <v>5002</v>
      </c>
      <c r="C604" s="15" t="s">
        <v>528</v>
      </c>
      <c r="D604" s="15" t="s">
        <v>4772</v>
      </c>
      <c r="E604" s="15" t="s">
        <v>5438</v>
      </c>
      <c r="F604" s="15" t="s">
        <v>5218</v>
      </c>
      <c r="G604" s="15" t="s">
        <v>4779</v>
      </c>
    </row>
    <row r="605" customFormat="false" ht="15.75" hidden="false" customHeight="false" outlineLevel="0" collapsed="false">
      <c r="A605" s="20" t="n">
        <v>46140</v>
      </c>
      <c r="B605" s="15" t="s">
        <v>4802</v>
      </c>
      <c r="C605" s="15" t="s">
        <v>491</v>
      </c>
      <c r="D605" s="15" t="s">
        <v>4772</v>
      </c>
      <c r="E605" s="15" t="s">
        <v>5439</v>
      </c>
      <c r="F605" s="15" t="s">
        <v>4804</v>
      </c>
      <c r="G605" s="15" t="s">
        <v>4779</v>
      </c>
    </row>
    <row r="606" customFormat="false" ht="15.75" hidden="false" customHeight="false" outlineLevel="0" collapsed="false">
      <c r="A606" s="20" t="n">
        <v>46140</v>
      </c>
      <c r="B606" s="15" t="s">
        <v>4805</v>
      </c>
      <c r="C606" s="15" t="s">
        <v>488</v>
      </c>
      <c r="D606" s="15" t="s">
        <v>4772</v>
      </c>
      <c r="E606" s="15" t="s">
        <v>5440</v>
      </c>
      <c r="F606" s="15" t="s">
        <v>4855</v>
      </c>
      <c r="G606" s="15" t="s">
        <v>4779</v>
      </c>
    </row>
    <row r="607" customFormat="false" ht="15.75" hidden="false" customHeight="false" outlineLevel="0" collapsed="false">
      <c r="A607" s="20" t="n">
        <v>46140</v>
      </c>
      <c r="B607" s="15" t="s">
        <v>4807</v>
      </c>
      <c r="C607" s="15" t="s">
        <v>19</v>
      </c>
      <c r="D607" s="15" t="s">
        <v>4772</v>
      </c>
      <c r="E607" s="15" t="s">
        <v>5441</v>
      </c>
      <c r="F607" s="15" t="s">
        <v>4822</v>
      </c>
      <c r="G607" s="15" t="s">
        <v>4779</v>
      </c>
    </row>
    <row r="608" customFormat="false" ht="15.75" hidden="false" customHeight="false" outlineLevel="0" collapsed="false">
      <c r="A608" s="20" t="n">
        <v>46141</v>
      </c>
      <c r="B608" s="15" t="s">
        <v>4771</v>
      </c>
      <c r="C608" s="15" t="s">
        <v>506</v>
      </c>
      <c r="D608" s="15" t="s">
        <v>4772</v>
      </c>
      <c r="E608" s="15" t="s">
        <v>5442</v>
      </c>
      <c r="F608" s="15" t="s">
        <v>506</v>
      </c>
      <c r="G608" s="15" t="s">
        <v>4784</v>
      </c>
    </row>
    <row r="609" customFormat="false" ht="15.75" hidden="false" customHeight="false" outlineLevel="0" collapsed="false">
      <c r="A609" s="20" t="n">
        <v>46141</v>
      </c>
      <c r="B609" s="15" t="s">
        <v>4775</v>
      </c>
      <c r="C609" s="15" t="s">
        <v>467</v>
      </c>
      <c r="D609" s="15" t="s">
        <v>4772</v>
      </c>
      <c r="E609" s="15" t="s">
        <v>5443</v>
      </c>
      <c r="F609" s="15" t="s">
        <v>4781</v>
      </c>
      <c r="G609" s="15" t="s">
        <v>4779</v>
      </c>
    </row>
    <row r="610" customFormat="false" ht="15.75" hidden="false" customHeight="false" outlineLevel="0" collapsed="false">
      <c r="A610" s="20" t="n">
        <v>46141</v>
      </c>
      <c r="B610" s="15" t="s">
        <v>4782</v>
      </c>
      <c r="C610" s="15" t="s">
        <v>453</v>
      </c>
      <c r="D610" s="15" t="s">
        <v>4772</v>
      </c>
      <c r="E610" s="15" t="s">
        <v>5444</v>
      </c>
      <c r="F610" s="15" t="s">
        <v>453</v>
      </c>
      <c r="G610" s="15" t="s">
        <v>4784</v>
      </c>
    </row>
    <row r="611" customFormat="false" ht="15.75" hidden="false" customHeight="false" outlineLevel="0" collapsed="false">
      <c r="A611" s="20" t="n">
        <v>46141</v>
      </c>
      <c r="B611" s="15" t="s">
        <v>4785</v>
      </c>
      <c r="C611" s="15" t="s">
        <v>464</v>
      </c>
      <c r="D611" s="15" t="s">
        <v>4772</v>
      </c>
      <c r="E611" s="15" t="s">
        <v>5445</v>
      </c>
      <c r="F611" s="15" t="s">
        <v>464</v>
      </c>
      <c r="G611" s="15" t="s">
        <v>4784</v>
      </c>
    </row>
    <row r="612" customFormat="false" ht="15.75" hidden="false" customHeight="false" outlineLevel="0" collapsed="false">
      <c r="A612" s="20" t="n">
        <v>46141</v>
      </c>
      <c r="B612" s="15" t="s">
        <v>4787</v>
      </c>
      <c r="C612" s="15" t="s">
        <v>504</v>
      </c>
      <c r="D612" s="15" t="s">
        <v>4772</v>
      </c>
      <c r="E612" s="15" t="s">
        <v>5446</v>
      </c>
      <c r="F612" s="15" t="s">
        <v>4789</v>
      </c>
      <c r="G612" s="15" t="s">
        <v>4779</v>
      </c>
    </row>
    <row r="613" customFormat="false" ht="15.75" hidden="false" customHeight="false" outlineLevel="0" collapsed="false">
      <c r="A613" s="20" t="n">
        <v>46141</v>
      </c>
      <c r="B613" s="15" t="s">
        <v>5088</v>
      </c>
      <c r="C613" s="15" t="s">
        <v>504</v>
      </c>
      <c r="D613" s="15" t="s">
        <v>4772</v>
      </c>
      <c r="E613" s="15" t="s">
        <v>5447</v>
      </c>
      <c r="F613" s="15" t="s">
        <v>4789</v>
      </c>
      <c r="G613" s="15" t="s">
        <v>4779</v>
      </c>
    </row>
    <row r="614" customFormat="false" ht="15.75" hidden="false" customHeight="false" outlineLevel="0" collapsed="false">
      <c r="A614" s="20" t="n">
        <v>46141</v>
      </c>
      <c r="B614" s="15" t="s">
        <v>5103</v>
      </c>
      <c r="C614" s="15" t="s">
        <v>508</v>
      </c>
      <c r="D614" s="15" t="s">
        <v>4772</v>
      </c>
      <c r="E614" s="15" t="s">
        <v>5448</v>
      </c>
      <c r="F614" s="15" t="s">
        <v>4778</v>
      </c>
      <c r="G614" s="15" t="s">
        <v>4779</v>
      </c>
    </row>
    <row r="615" customFormat="false" ht="15.75" hidden="false" customHeight="false" outlineLevel="0" collapsed="false">
      <c r="A615" s="20" t="n">
        <v>46141</v>
      </c>
      <c r="B615" s="15" t="s">
        <v>5272</v>
      </c>
      <c r="C615" s="15" t="s">
        <v>514</v>
      </c>
      <c r="D615" s="15" t="s">
        <v>4772</v>
      </c>
      <c r="E615" s="15" t="s">
        <v>5449</v>
      </c>
      <c r="F615" s="15" t="s">
        <v>4893</v>
      </c>
      <c r="G615" s="15" t="s">
        <v>4779</v>
      </c>
    </row>
    <row r="616" customFormat="false" ht="15.75" hidden="false" customHeight="false" outlineLevel="0" collapsed="false">
      <c r="A616" s="20" t="n">
        <v>46141</v>
      </c>
      <c r="B616" s="15" t="s">
        <v>4790</v>
      </c>
      <c r="C616" s="15" t="s">
        <v>518</v>
      </c>
      <c r="D616" s="15" t="s">
        <v>4772</v>
      </c>
      <c r="E616" s="15" t="s">
        <v>5450</v>
      </c>
      <c r="F616" s="15" t="s">
        <v>5353</v>
      </c>
      <c r="G616" s="15" t="s">
        <v>4779</v>
      </c>
    </row>
    <row r="617" customFormat="false" ht="15.75" hidden="false" customHeight="false" outlineLevel="0" collapsed="false">
      <c r="A617" s="20" t="n">
        <v>46141</v>
      </c>
      <c r="B617" s="15" t="s">
        <v>4793</v>
      </c>
      <c r="C617" s="15" t="s">
        <v>522</v>
      </c>
      <c r="D617" s="15" t="s">
        <v>4772</v>
      </c>
      <c r="E617" s="15" t="s">
        <v>5451</v>
      </c>
      <c r="F617" s="15" t="s">
        <v>522</v>
      </c>
      <c r="G617" s="15" t="s">
        <v>4784</v>
      </c>
    </row>
    <row r="618" customFormat="false" ht="15.75" hidden="false" customHeight="false" outlineLevel="0" collapsed="false">
      <c r="A618" s="20" t="n">
        <v>46141</v>
      </c>
      <c r="B618" s="15" t="s">
        <v>4795</v>
      </c>
      <c r="C618" s="15" t="s">
        <v>469</v>
      </c>
      <c r="D618" s="15" t="s">
        <v>4772</v>
      </c>
      <c r="E618" s="15" t="s">
        <v>5452</v>
      </c>
      <c r="F618" s="15" t="s">
        <v>469</v>
      </c>
      <c r="G618" s="15" t="s">
        <v>4784</v>
      </c>
    </row>
    <row r="619" customFormat="false" ht="15.75" hidden="false" customHeight="false" outlineLevel="0" collapsed="false">
      <c r="A619" s="20" t="n">
        <v>46141</v>
      </c>
      <c r="B619" s="15" t="s">
        <v>5002</v>
      </c>
      <c r="C619" s="15" t="s">
        <v>528</v>
      </c>
      <c r="D619" s="15" t="s">
        <v>4772</v>
      </c>
      <c r="E619" s="15" t="s">
        <v>5453</v>
      </c>
      <c r="F619" s="15" t="s">
        <v>5218</v>
      </c>
      <c r="G619" s="15" t="s">
        <v>4779</v>
      </c>
    </row>
    <row r="620" customFormat="false" ht="15.75" hidden="false" customHeight="false" outlineLevel="0" collapsed="false">
      <c r="A620" s="20" t="n">
        <v>46141</v>
      </c>
      <c r="B620" s="15" t="s">
        <v>4802</v>
      </c>
      <c r="C620" s="15" t="s">
        <v>491</v>
      </c>
      <c r="D620" s="15" t="s">
        <v>4772</v>
      </c>
      <c r="E620" s="15" t="s">
        <v>5454</v>
      </c>
      <c r="F620" s="15" t="s">
        <v>4804</v>
      </c>
      <c r="G620" s="15" t="s">
        <v>4779</v>
      </c>
    </row>
    <row r="621" customFormat="false" ht="15.75" hidden="false" customHeight="false" outlineLevel="0" collapsed="false">
      <c r="A621" s="20" t="n">
        <v>46141</v>
      </c>
      <c r="B621" s="15" t="s">
        <v>4805</v>
      </c>
      <c r="C621" s="15" t="s">
        <v>488</v>
      </c>
      <c r="D621" s="15" t="s">
        <v>4772</v>
      </c>
      <c r="E621" s="15" t="s">
        <v>5455</v>
      </c>
      <c r="F621" s="15" t="s">
        <v>4855</v>
      </c>
      <c r="G621" s="15" t="s">
        <v>4779</v>
      </c>
    </row>
    <row r="622" customFormat="false" ht="15.75" hidden="false" customHeight="false" outlineLevel="0" collapsed="false">
      <c r="A622" s="20" t="n">
        <v>46141</v>
      </c>
      <c r="B622" s="15" t="s">
        <v>4807</v>
      </c>
      <c r="C622" s="15" t="s">
        <v>19</v>
      </c>
      <c r="D622" s="15" t="s">
        <v>4772</v>
      </c>
      <c r="E622" s="15" t="s">
        <v>5456</v>
      </c>
      <c r="F622" s="15" t="s">
        <v>4822</v>
      </c>
      <c r="G622" s="15" t="s">
        <v>4779</v>
      </c>
    </row>
    <row r="623" customFormat="false" ht="15.75" hidden="false" customHeight="false" outlineLevel="0" collapsed="false">
      <c r="A623" s="20" t="n">
        <v>46146</v>
      </c>
      <c r="B623" s="15" t="s">
        <v>4771</v>
      </c>
      <c r="C623" s="15" t="s">
        <v>506</v>
      </c>
      <c r="D623" s="15" t="s">
        <v>4772</v>
      </c>
      <c r="E623" s="15" t="s">
        <v>5457</v>
      </c>
      <c r="F623" s="15" t="s">
        <v>506</v>
      </c>
      <c r="G623" s="15" t="s">
        <v>4784</v>
      </c>
    </row>
    <row r="624" customFormat="false" ht="15.75" hidden="false" customHeight="false" outlineLevel="0" collapsed="false">
      <c r="A624" s="20" t="n">
        <v>46146</v>
      </c>
      <c r="B624" s="15" t="s">
        <v>4775</v>
      </c>
      <c r="C624" s="15" t="s">
        <v>467</v>
      </c>
      <c r="D624" s="15" t="s">
        <v>4772</v>
      </c>
      <c r="E624" s="15" t="s">
        <v>5458</v>
      </c>
      <c r="F624" s="15" t="s">
        <v>4781</v>
      </c>
      <c r="G624" s="15" t="s">
        <v>4779</v>
      </c>
    </row>
    <row r="625" customFormat="false" ht="15.75" hidden="false" customHeight="false" outlineLevel="0" collapsed="false">
      <c r="A625" s="20" t="n">
        <v>46146</v>
      </c>
      <c r="B625" s="15" t="s">
        <v>4782</v>
      </c>
      <c r="C625" s="15" t="s">
        <v>453</v>
      </c>
      <c r="D625" s="15" t="s">
        <v>4772</v>
      </c>
      <c r="E625" s="15" t="s">
        <v>5459</v>
      </c>
      <c r="F625" s="15" t="s">
        <v>453</v>
      </c>
      <c r="G625" s="15" t="s">
        <v>4784</v>
      </c>
    </row>
    <row r="626" customFormat="false" ht="15.75" hidden="false" customHeight="false" outlineLevel="0" collapsed="false">
      <c r="A626" s="20" t="n">
        <v>46146</v>
      </c>
      <c r="B626" s="15" t="s">
        <v>4785</v>
      </c>
      <c r="C626" s="15" t="s">
        <v>464</v>
      </c>
      <c r="D626" s="15" t="s">
        <v>4772</v>
      </c>
      <c r="E626" s="15" t="s">
        <v>5460</v>
      </c>
      <c r="F626" s="15" t="s">
        <v>464</v>
      </c>
      <c r="G626" s="15" t="s">
        <v>4784</v>
      </c>
    </row>
    <row r="627" customFormat="false" ht="15.75" hidden="false" customHeight="false" outlineLevel="0" collapsed="false">
      <c r="A627" s="20" t="n">
        <v>46146</v>
      </c>
      <c r="B627" s="15" t="s">
        <v>4787</v>
      </c>
      <c r="C627" s="15" t="s">
        <v>504</v>
      </c>
      <c r="D627" s="15" t="s">
        <v>4772</v>
      </c>
      <c r="E627" s="15" t="s">
        <v>5461</v>
      </c>
      <c r="F627" s="15" t="s">
        <v>4789</v>
      </c>
      <c r="G627" s="15" t="s">
        <v>4779</v>
      </c>
    </row>
    <row r="628" customFormat="false" ht="15.75" hidden="false" customHeight="false" outlineLevel="0" collapsed="false">
      <c r="A628" s="20" t="n">
        <v>46146</v>
      </c>
      <c r="B628" s="15" t="s">
        <v>5088</v>
      </c>
      <c r="C628" s="15" t="s">
        <v>504</v>
      </c>
      <c r="D628" s="15" t="s">
        <v>4772</v>
      </c>
      <c r="E628" s="15" t="s">
        <v>5462</v>
      </c>
      <c r="F628" s="15" t="s">
        <v>4789</v>
      </c>
      <c r="G628" s="15" t="s">
        <v>4779</v>
      </c>
    </row>
    <row r="629" customFormat="false" ht="15.75" hidden="false" customHeight="false" outlineLevel="0" collapsed="false">
      <c r="A629" s="20" t="n">
        <v>46146</v>
      </c>
      <c r="B629" s="15" t="s">
        <v>5103</v>
      </c>
      <c r="C629" s="15" t="s">
        <v>508</v>
      </c>
      <c r="D629" s="15" t="s">
        <v>4772</v>
      </c>
      <c r="E629" s="15" t="s">
        <v>5463</v>
      </c>
      <c r="F629" s="15" t="s">
        <v>4778</v>
      </c>
      <c r="G629" s="15" t="s">
        <v>4779</v>
      </c>
    </row>
    <row r="630" customFormat="false" ht="15.75" hidden="false" customHeight="false" outlineLevel="0" collapsed="false">
      <c r="A630" s="20" t="n">
        <v>46146</v>
      </c>
      <c r="B630" s="15" t="s">
        <v>5272</v>
      </c>
      <c r="C630" s="15" t="s">
        <v>514</v>
      </c>
      <c r="D630" s="15" t="s">
        <v>4772</v>
      </c>
      <c r="E630" s="15" t="s">
        <v>5464</v>
      </c>
      <c r="F630" s="15" t="s">
        <v>4893</v>
      </c>
      <c r="G630" s="15" t="s">
        <v>4779</v>
      </c>
    </row>
    <row r="631" customFormat="false" ht="15.75" hidden="false" customHeight="false" outlineLevel="0" collapsed="false">
      <c r="A631" s="20" t="n">
        <v>46146</v>
      </c>
      <c r="B631" s="15" t="s">
        <v>4790</v>
      </c>
      <c r="C631" s="15" t="s">
        <v>518</v>
      </c>
      <c r="D631" s="15" t="s">
        <v>4772</v>
      </c>
      <c r="E631" s="15" t="s">
        <v>5465</v>
      </c>
      <c r="F631" s="15" t="s">
        <v>5353</v>
      </c>
      <c r="G631" s="15" t="s">
        <v>4779</v>
      </c>
    </row>
    <row r="632" customFormat="false" ht="15.75" hidden="false" customHeight="false" outlineLevel="0" collapsed="false">
      <c r="A632" s="20" t="n">
        <v>46146</v>
      </c>
      <c r="B632" s="15" t="s">
        <v>4793</v>
      </c>
      <c r="C632" s="15" t="s">
        <v>522</v>
      </c>
      <c r="D632" s="15" t="s">
        <v>4772</v>
      </c>
      <c r="E632" s="15" t="s">
        <v>5466</v>
      </c>
      <c r="F632" s="15" t="s">
        <v>522</v>
      </c>
      <c r="G632" s="15" t="s">
        <v>4784</v>
      </c>
    </row>
    <row r="633" customFormat="false" ht="15.75" hidden="false" customHeight="false" outlineLevel="0" collapsed="false">
      <c r="A633" s="20" t="n">
        <v>46146</v>
      </c>
      <c r="B633" s="15" t="s">
        <v>4795</v>
      </c>
      <c r="C633" s="15" t="s">
        <v>469</v>
      </c>
      <c r="D633" s="15" t="s">
        <v>4772</v>
      </c>
      <c r="E633" s="15" t="s">
        <v>5467</v>
      </c>
      <c r="F633" s="15" t="s">
        <v>469</v>
      </c>
      <c r="G633" s="15" t="s">
        <v>4784</v>
      </c>
    </row>
    <row r="634" customFormat="false" ht="15.75" hidden="false" customHeight="false" outlineLevel="0" collapsed="false">
      <c r="A634" s="20" t="n">
        <v>46146</v>
      </c>
      <c r="B634" s="15" t="s">
        <v>4802</v>
      </c>
      <c r="C634" s="15" t="s">
        <v>491</v>
      </c>
      <c r="D634" s="15" t="s">
        <v>4772</v>
      </c>
      <c r="E634" s="15" t="s">
        <v>5468</v>
      </c>
      <c r="F634" s="15" t="s">
        <v>4804</v>
      </c>
      <c r="G634" s="15" t="s">
        <v>4779</v>
      </c>
    </row>
    <row r="635" customFormat="false" ht="15.75" hidden="false" customHeight="false" outlineLevel="0" collapsed="false">
      <c r="A635" s="20" t="n">
        <v>46146</v>
      </c>
      <c r="B635" s="15" t="s">
        <v>4805</v>
      </c>
      <c r="C635" s="15" t="s">
        <v>499</v>
      </c>
      <c r="D635" s="15" t="s">
        <v>4772</v>
      </c>
      <c r="E635" s="15" t="s">
        <v>5469</v>
      </c>
      <c r="F635" s="15" t="s">
        <v>4901</v>
      </c>
      <c r="G635" s="15" t="s">
        <v>4801</v>
      </c>
    </row>
    <row r="636" customFormat="false" ht="15.75" hidden="false" customHeight="false" outlineLevel="0" collapsed="false">
      <c r="A636" s="20" t="n">
        <v>46146</v>
      </c>
      <c r="B636" s="15" t="s">
        <v>4807</v>
      </c>
      <c r="C636" s="15" t="s">
        <v>451</v>
      </c>
      <c r="D636" s="15" t="s">
        <v>4772</v>
      </c>
      <c r="E636" s="15" t="s">
        <v>5470</v>
      </c>
      <c r="F636" s="15" t="s">
        <v>4809</v>
      </c>
      <c r="G636" s="15" t="s">
        <v>4779</v>
      </c>
    </row>
    <row r="637" customFormat="false" ht="15.75" hidden="false" customHeight="false" outlineLevel="0" collapsed="false">
      <c r="A637" s="20" t="n">
        <v>46147</v>
      </c>
      <c r="B637" s="15" t="s">
        <v>4771</v>
      </c>
      <c r="C637" s="15" t="s">
        <v>505</v>
      </c>
      <c r="D637" s="15" t="s">
        <v>4772</v>
      </c>
      <c r="E637" s="15" t="s">
        <v>5471</v>
      </c>
      <c r="F637" s="15" t="s">
        <v>505</v>
      </c>
      <c r="G637" s="15" t="s">
        <v>4779</v>
      </c>
    </row>
    <row r="638" customFormat="false" ht="15.75" hidden="false" customHeight="false" outlineLevel="0" collapsed="false">
      <c r="A638" s="20" t="n">
        <v>46147</v>
      </c>
      <c r="B638" s="15" t="s">
        <v>4775</v>
      </c>
      <c r="C638" s="15" t="s">
        <v>467</v>
      </c>
      <c r="D638" s="15" t="s">
        <v>4772</v>
      </c>
      <c r="E638" s="15" t="s">
        <v>5472</v>
      </c>
      <c r="F638" s="15" t="s">
        <v>4781</v>
      </c>
      <c r="G638" s="15" t="s">
        <v>4779</v>
      </c>
    </row>
    <row r="639" customFormat="false" ht="15.75" hidden="false" customHeight="false" outlineLevel="0" collapsed="false">
      <c r="A639" s="20" t="n">
        <v>46147</v>
      </c>
      <c r="B639" s="15" t="s">
        <v>4782</v>
      </c>
      <c r="C639" s="15" t="s">
        <v>453</v>
      </c>
      <c r="D639" s="15" t="s">
        <v>4772</v>
      </c>
      <c r="E639" s="15" t="s">
        <v>5473</v>
      </c>
      <c r="F639" s="15" t="s">
        <v>453</v>
      </c>
      <c r="G639" s="15" t="s">
        <v>4784</v>
      </c>
    </row>
    <row r="640" customFormat="false" ht="15.75" hidden="false" customHeight="false" outlineLevel="0" collapsed="false">
      <c r="A640" s="20" t="n">
        <v>46147</v>
      </c>
      <c r="B640" s="15" t="s">
        <v>4785</v>
      </c>
      <c r="C640" s="15" t="s">
        <v>464</v>
      </c>
      <c r="D640" s="15" t="s">
        <v>4772</v>
      </c>
      <c r="E640" s="15" t="s">
        <v>5474</v>
      </c>
      <c r="F640" s="15" t="s">
        <v>464</v>
      </c>
      <c r="G640" s="15" t="s">
        <v>4784</v>
      </c>
    </row>
    <row r="641" customFormat="false" ht="15.75" hidden="false" customHeight="false" outlineLevel="0" collapsed="false">
      <c r="A641" s="20" t="n">
        <v>46147</v>
      </c>
      <c r="B641" s="15" t="s">
        <v>4787</v>
      </c>
      <c r="C641" s="15" t="s">
        <v>504</v>
      </c>
      <c r="D641" s="15" t="s">
        <v>4772</v>
      </c>
      <c r="E641" s="15" t="s">
        <v>5475</v>
      </c>
      <c r="F641" s="15" t="s">
        <v>4789</v>
      </c>
      <c r="G641" s="15" t="s">
        <v>4779</v>
      </c>
    </row>
    <row r="642" customFormat="false" ht="15.75" hidden="false" customHeight="false" outlineLevel="0" collapsed="false">
      <c r="A642" s="20" t="n">
        <v>46147</v>
      </c>
      <c r="B642" s="15" t="s">
        <v>5088</v>
      </c>
      <c r="C642" s="15" t="s">
        <v>504</v>
      </c>
      <c r="D642" s="15" t="s">
        <v>4772</v>
      </c>
      <c r="E642" s="15" t="s">
        <v>5476</v>
      </c>
      <c r="F642" s="15" t="s">
        <v>4789</v>
      </c>
      <c r="G642" s="15" t="s">
        <v>4779</v>
      </c>
    </row>
    <row r="643" customFormat="false" ht="15.75" hidden="false" customHeight="false" outlineLevel="0" collapsed="false">
      <c r="A643" s="20" t="n">
        <v>46147</v>
      </c>
      <c r="B643" s="15" t="s">
        <v>5103</v>
      </c>
      <c r="C643" s="15" t="s">
        <v>508</v>
      </c>
      <c r="D643" s="15" t="s">
        <v>4772</v>
      </c>
      <c r="E643" s="15" t="s">
        <v>5477</v>
      </c>
      <c r="F643" s="15" t="s">
        <v>4778</v>
      </c>
      <c r="G643" s="15" t="s">
        <v>4779</v>
      </c>
    </row>
    <row r="644" customFormat="false" ht="15.75" hidden="false" customHeight="false" outlineLevel="0" collapsed="false">
      <c r="A644" s="20" t="n">
        <v>46147</v>
      </c>
      <c r="B644" s="15" t="s">
        <v>5272</v>
      </c>
      <c r="C644" s="15" t="s">
        <v>514</v>
      </c>
      <c r="D644" s="15" t="s">
        <v>4772</v>
      </c>
      <c r="E644" s="15" t="s">
        <v>5478</v>
      </c>
      <c r="F644" s="15" t="s">
        <v>4893</v>
      </c>
      <c r="G644" s="15" t="s">
        <v>4779</v>
      </c>
    </row>
    <row r="645" customFormat="false" ht="15.75" hidden="false" customHeight="false" outlineLevel="0" collapsed="false">
      <c r="A645" s="20" t="n">
        <v>46147</v>
      </c>
      <c r="B645" s="15" t="s">
        <v>4790</v>
      </c>
      <c r="C645" s="15" t="s">
        <v>518</v>
      </c>
      <c r="D645" s="15" t="s">
        <v>4772</v>
      </c>
      <c r="E645" s="15" t="s">
        <v>5479</v>
      </c>
      <c r="F645" s="15" t="s">
        <v>5353</v>
      </c>
      <c r="G645" s="15" t="s">
        <v>4779</v>
      </c>
    </row>
    <row r="646" customFormat="false" ht="15.75" hidden="false" customHeight="false" outlineLevel="0" collapsed="false">
      <c r="A646" s="20" t="n">
        <v>46147</v>
      </c>
      <c r="B646" s="15" t="s">
        <v>4793</v>
      </c>
      <c r="C646" s="15" t="s">
        <v>522</v>
      </c>
      <c r="D646" s="15" t="s">
        <v>4772</v>
      </c>
      <c r="E646" s="15" t="s">
        <v>5480</v>
      </c>
      <c r="F646" s="15" t="s">
        <v>522</v>
      </c>
      <c r="G646" s="15" t="s">
        <v>4784</v>
      </c>
    </row>
    <row r="647" customFormat="false" ht="15.75" hidden="false" customHeight="false" outlineLevel="0" collapsed="false">
      <c r="A647" s="20" t="n">
        <v>46147</v>
      </c>
      <c r="B647" s="15" t="s">
        <v>4795</v>
      </c>
      <c r="C647" s="15" t="s">
        <v>205</v>
      </c>
      <c r="D647" s="15" t="s">
        <v>4772</v>
      </c>
      <c r="E647" s="15" t="s">
        <v>5481</v>
      </c>
      <c r="F647" s="15" t="s">
        <v>205</v>
      </c>
      <c r="G647" s="15" t="s">
        <v>4784</v>
      </c>
    </row>
    <row r="648" customFormat="false" ht="15.75" hidden="false" customHeight="false" outlineLevel="0" collapsed="false">
      <c r="A648" s="20" t="n">
        <v>46147</v>
      </c>
      <c r="B648" s="15" t="s">
        <v>4802</v>
      </c>
      <c r="C648" s="15" t="s">
        <v>491</v>
      </c>
      <c r="D648" s="15" t="s">
        <v>4772</v>
      </c>
      <c r="E648" s="15" t="s">
        <v>5482</v>
      </c>
      <c r="F648" s="15" t="s">
        <v>4804</v>
      </c>
      <c r="G648" s="15" t="s">
        <v>4779</v>
      </c>
    </row>
    <row r="649" customFormat="false" ht="15.75" hidden="false" customHeight="false" outlineLevel="0" collapsed="false">
      <c r="A649" s="20" t="n">
        <v>46147</v>
      </c>
      <c r="B649" s="15" t="s">
        <v>4805</v>
      </c>
      <c r="C649" s="15" t="s">
        <v>499</v>
      </c>
      <c r="D649" s="15" t="s">
        <v>4772</v>
      </c>
      <c r="E649" s="15" t="s">
        <v>5483</v>
      </c>
      <c r="F649" s="15" t="s">
        <v>4901</v>
      </c>
      <c r="G649" s="15" t="s">
        <v>4801</v>
      </c>
    </row>
    <row r="650" customFormat="false" ht="15.75" hidden="false" customHeight="false" outlineLevel="0" collapsed="false">
      <c r="A650" s="20" t="n">
        <v>46147</v>
      </c>
      <c r="B650" s="15" t="s">
        <v>4807</v>
      </c>
      <c r="C650" s="15" t="s">
        <v>451</v>
      </c>
      <c r="D650" s="15" t="s">
        <v>4772</v>
      </c>
      <c r="E650" s="15" t="s">
        <v>5484</v>
      </c>
      <c r="F650" s="15" t="s">
        <v>4809</v>
      </c>
      <c r="G650" s="15" t="s">
        <v>4779</v>
      </c>
    </row>
    <row r="651" customFormat="false" ht="15.75" hidden="false" customHeight="false" outlineLevel="0" collapsed="false">
      <c r="A651" s="20" t="n">
        <v>46148</v>
      </c>
      <c r="B651" s="15" t="s">
        <v>4771</v>
      </c>
      <c r="C651" s="15" t="s">
        <v>505</v>
      </c>
      <c r="D651" s="15" t="s">
        <v>4772</v>
      </c>
      <c r="E651" s="15" t="s">
        <v>5485</v>
      </c>
      <c r="F651" s="15" t="s">
        <v>505</v>
      </c>
      <c r="G651" s="15" t="s">
        <v>4779</v>
      </c>
    </row>
    <row r="652" customFormat="false" ht="15.75" hidden="false" customHeight="false" outlineLevel="0" collapsed="false">
      <c r="A652" s="20" t="n">
        <v>46148</v>
      </c>
      <c r="B652" s="15" t="s">
        <v>4775</v>
      </c>
      <c r="C652" s="15" t="s">
        <v>467</v>
      </c>
      <c r="D652" s="15" t="s">
        <v>4772</v>
      </c>
      <c r="E652" s="15" t="s">
        <v>5486</v>
      </c>
      <c r="F652" s="15" t="s">
        <v>4781</v>
      </c>
      <c r="G652" s="15" t="s">
        <v>4779</v>
      </c>
    </row>
    <row r="653" customFormat="false" ht="15.75" hidden="false" customHeight="false" outlineLevel="0" collapsed="false">
      <c r="A653" s="20" t="n">
        <v>46148</v>
      </c>
      <c r="B653" s="15" t="s">
        <v>4782</v>
      </c>
      <c r="C653" s="15" t="s">
        <v>453</v>
      </c>
      <c r="D653" s="15" t="s">
        <v>4772</v>
      </c>
      <c r="E653" s="15" t="s">
        <v>5487</v>
      </c>
      <c r="F653" s="15" t="s">
        <v>453</v>
      </c>
      <c r="G653" s="15" t="s">
        <v>4784</v>
      </c>
    </row>
    <row r="654" customFormat="false" ht="15.75" hidden="false" customHeight="false" outlineLevel="0" collapsed="false">
      <c r="A654" s="20" t="n">
        <v>46148</v>
      </c>
      <c r="B654" s="15" t="s">
        <v>4785</v>
      </c>
      <c r="C654" s="15" t="s">
        <v>464</v>
      </c>
      <c r="D654" s="15" t="s">
        <v>4772</v>
      </c>
      <c r="E654" s="15" t="s">
        <v>5488</v>
      </c>
      <c r="F654" s="15" t="s">
        <v>464</v>
      </c>
      <c r="G654" s="15" t="s">
        <v>4784</v>
      </c>
    </row>
    <row r="655" customFormat="false" ht="15.75" hidden="false" customHeight="false" outlineLevel="0" collapsed="false">
      <c r="A655" s="20" t="n">
        <v>46148</v>
      </c>
      <c r="B655" s="15" t="s">
        <v>4787</v>
      </c>
      <c r="C655" s="15" t="s">
        <v>504</v>
      </c>
      <c r="D655" s="15" t="s">
        <v>4772</v>
      </c>
      <c r="E655" s="15" t="s">
        <v>5489</v>
      </c>
      <c r="F655" s="15" t="s">
        <v>4789</v>
      </c>
      <c r="G655" s="15" t="s">
        <v>4779</v>
      </c>
    </row>
    <row r="656" customFormat="false" ht="15.75" hidden="false" customHeight="false" outlineLevel="0" collapsed="false">
      <c r="A656" s="20" t="n">
        <v>46148</v>
      </c>
      <c r="B656" s="15" t="s">
        <v>5088</v>
      </c>
      <c r="C656" s="15" t="s">
        <v>504</v>
      </c>
      <c r="D656" s="15" t="s">
        <v>4772</v>
      </c>
      <c r="E656" s="15" t="s">
        <v>5490</v>
      </c>
      <c r="F656" s="15" t="s">
        <v>4789</v>
      </c>
      <c r="G656" s="15" t="s">
        <v>4779</v>
      </c>
    </row>
    <row r="657" customFormat="false" ht="15.75" hidden="false" customHeight="false" outlineLevel="0" collapsed="false">
      <c r="A657" s="20" t="n">
        <v>46148</v>
      </c>
      <c r="B657" s="15" t="s">
        <v>5103</v>
      </c>
      <c r="C657" s="15" t="s">
        <v>508</v>
      </c>
      <c r="D657" s="15" t="s">
        <v>4772</v>
      </c>
      <c r="E657" s="15" t="s">
        <v>5491</v>
      </c>
      <c r="F657" s="15" t="s">
        <v>4778</v>
      </c>
      <c r="G657" s="15" t="s">
        <v>4779</v>
      </c>
    </row>
    <row r="658" customFormat="false" ht="15.75" hidden="false" customHeight="false" outlineLevel="0" collapsed="false">
      <c r="A658" s="20" t="n">
        <v>46148</v>
      </c>
      <c r="B658" s="15" t="s">
        <v>5272</v>
      </c>
      <c r="C658" s="15" t="s">
        <v>514</v>
      </c>
      <c r="D658" s="15" t="s">
        <v>4772</v>
      </c>
      <c r="E658" s="15" t="s">
        <v>5492</v>
      </c>
      <c r="F658" s="15" t="s">
        <v>4893</v>
      </c>
      <c r="G658" s="15" t="s">
        <v>4779</v>
      </c>
    </row>
    <row r="659" customFormat="false" ht="15.75" hidden="false" customHeight="false" outlineLevel="0" collapsed="false">
      <c r="A659" s="20" t="n">
        <v>46148</v>
      </c>
      <c r="B659" s="15" t="s">
        <v>4790</v>
      </c>
      <c r="C659" s="15" t="s">
        <v>518</v>
      </c>
      <c r="D659" s="15" t="s">
        <v>4772</v>
      </c>
      <c r="E659" s="15" t="s">
        <v>5493</v>
      </c>
      <c r="F659" s="15" t="s">
        <v>5353</v>
      </c>
      <c r="G659" s="15" t="s">
        <v>4779</v>
      </c>
    </row>
    <row r="660" customFormat="false" ht="15.75" hidden="false" customHeight="false" outlineLevel="0" collapsed="false">
      <c r="A660" s="20" t="n">
        <v>46148</v>
      </c>
      <c r="B660" s="15" t="s">
        <v>4793</v>
      </c>
      <c r="C660" s="15" t="s">
        <v>522</v>
      </c>
      <c r="D660" s="15" t="s">
        <v>4772</v>
      </c>
      <c r="E660" s="15" t="s">
        <v>5494</v>
      </c>
      <c r="F660" s="15" t="s">
        <v>522</v>
      </c>
      <c r="G660" s="15" t="s">
        <v>4784</v>
      </c>
    </row>
    <row r="661" customFormat="false" ht="15.75" hidden="false" customHeight="false" outlineLevel="0" collapsed="false">
      <c r="A661" s="20" t="n">
        <v>46148</v>
      </c>
      <c r="B661" s="15" t="s">
        <v>4795</v>
      </c>
      <c r="C661" s="15" t="s">
        <v>205</v>
      </c>
      <c r="D661" s="15" t="s">
        <v>4772</v>
      </c>
      <c r="E661" s="15" t="s">
        <v>5495</v>
      </c>
      <c r="F661" s="15" t="s">
        <v>205</v>
      </c>
      <c r="G661" s="15" t="s">
        <v>4784</v>
      </c>
    </row>
    <row r="662" customFormat="false" ht="15.75" hidden="false" customHeight="false" outlineLevel="0" collapsed="false">
      <c r="A662" s="20" t="n">
        <v>46148</v>
      </c>
      <c r="B662" s="15" t="s">
        <v>4802</v>
      </c>
      <c r="C662" s="15" t="s">
        <v>491</v>
      </c>
      <c r="D662" s="15" t="s">
        <v>4772</v>
      </c>
      <c r="E662" s="15" t="s">
        <v>5496</v>
      </c>
      <c r="F662" s="15" t="s">
        <v>4804</v>
      </c>
      <c r="G662" s="15" t="s">
        <v>4779</v>
      </c>
    </row>
    <row r="663" customFormat="false" ht="15.75" hidden="false" customHeight="false" outlineLevel="0" collapsed="false">
      <c r="A663" s="20" t="n">
        <v>46148</v>
      </c>
      <c r="B663" s="15" t="s">
        <v>4805</v>
      </c>
      <c r="C663" s="15" t="s">
        <v>499</v>
      </c>
      <c r="D663" s="15" t="s">
        <v>4772</v>
      </c>
      <c r="E663" s="15" t="s">
        <v>5497</v>
      </c>
      <c r="F663" s="15" t="s">
        <v>4901</v>
      </c>
      <c r="G663" s="15" t="s">
        <v>4801</v>
      </c>
    </row>
    <row r="664" customFormat="false" ht="15.75" hidden="false" customHeight="false" outlineLevel="0" collapsed="false">
      <c r="A664" s="20" t="n">
        <v>46148</v>
      </c>
      <c r="B664" s="15" t="s">
        <v>4807</v>
      </c>
      <c r="C664" s="15" t="s">
        <v>496</v>
      </c>
      <c r="D664" s="15" t="s">
        <v>4772</v>
      </c>
      <c r="E664" s="15" t="s">
        <v>5498</v>
      </c>
      <c r="F664" s="15" t="s">
        <v>4889</v>
      </c>
      <c r="G664" s="15" t="s">
        <v>4779</v>
      </c>
    </row>
    <row r="665" customFormat="false" ht="15.75" hidden="false" customHeight="false" outlineLevel="0" collapsed="false">
      <c r="A665" s="20" t="n">
        <v>46149</v>
      </c>
      <c r="B665" s="15" t="s">
        <v>4771</v>
      </c>
      <c r="C665" s="15" t="s">
        <v>505</v>
      </c>
      <c r="D665" s="15" t="s">
        <v>4772</v>
      </c>
      <c r="E665" s="15" t="s">
        <v>5499</v>
      </c>
      <c r="F665" s="15" t="s">
        <v>505</v>
      </c>
      <c r="G665" s="15" t="s">
        <v>4779</v>
      </c>
    </row>
    <row r="666" customFormat="false" ht="15.75" hidden="false" customHeight="false" outlineLevel="0" collapsed="false">
      <c r="A666" s="20" t="n">
        <v>46149</v>
      </c>
      <c r="B666" s="15" t="s">
        <v>4775</v>
      </c>
      <c r="C666" s="15" t="s">
        <v>467</v>
      </c>
      <c r="D666" s="15" t="s">
        <v>4772</v>
      </c>
      <c r="E666" s="15" t="s">
        <v>5500</v>
      </c>
      <c r="F666" s="15" t="s">
        <v>4781</v>
      </c>
      <c r="G666" s="15" t="s">
        <v>4779</v>
      </c>
    </row>
    <row r="667" customFormat="false" ht="15.75" hidden="false" customHeight="false" outlineLevel="0" collapsed="false">
      <c r="A667" s="20" t="n">
        <v>46149</v>
      </c>
      <c r="B667" s="15" t="s">
        <v>4782</v>
      </c>
      <c r="C667" s="15" t="s">
        <v>453</v>
      </c>
      <c r="D667" s="15" t="s">
        <v>4772</v>
      </c>
      <c r="E667" s="15" t="s">
        <v>5501</v>
      </c>
      <c r="F667" s="15" t="s">
        <v>453</v>
      </c>
      <c r="G667" s="15" t="s">
        <v>4784</v>
      </c>
    </row>
    <row r="668" customFormat="false" ht="15.75" hidden="false" customHeight="false" outlineLevel="0" collapsed="false">
      <c r="A668" s="20" t="n">
        <v>46149</v>
      </c>
      <c r="B668" s="15" t="s">
        <v>4785</v>
      </c>
      <c r="C668" s="15" t="s">
        <v>464</v>
      </c>
      <c r="D668" s="15" t="s">
        <v>4772</v>
      </c>
      <c r="E668" s="15" t="s">
        <v>5502</v>
      </c>
      <c r="F668" s="15" t="s">
        <v>464</v>
      </c>
      <c r="G668" s="15" t="s">
        <v>4784</v>
      </c>
    </row>
    <row r="669" customFormat="false" ht="15.75" hidden="false" customHeight="false" outlineLevel="0" collapsed="false">
      <c r="A669" s="20" t="n">
        <v>46149</v>
      </c>
      <c r="B669" s="15" t="s">
        <v>4787</v>
      </c>
      <c r="C669" s="15" t="s">
        <v>504</v>
      </c>
      <c r="D669" s="15" t="s">
        <v>4772</v>
      </c>
      <c r="E669" s="15" t="s">
        <v>5503</v>
      </c>
      <c r="F669" s="15" t="s">
        <v>4789</v>
      </c>
      <c r="G669" s="15" t="s">
        <v>4779</v>
      </c>
    </row>
    <row r="670" customFormat="false" ht="15.75" hidden="false" customHeight="false" outlineLevel="0" collapsed="false">
      <c r="A670" s="20" t="n">
        <v>46149</v>
      </c>
      <c r="B670" s="15" t="s">
        <v>5088</v>
      </c>
      <c r="C670" s="15" t="s">
        <v>504</v>
      </c>
      <c r="D670" s="15" t="s">
        <v>4772</v>
      </c>
      <c r="E670" s="15" t="s">
        <v>5504</v>
      </c>
      <c r="F670" s="15" t="s">
        <v>4789</v>
      </c>
      <c r="G670" s="15" t="s">
        <v>4779</v>
      </c>
    </row>
    <row r="671" customFormat="false" ht="15.75" hidden="false" customHeight="false" outlineLevel="0" collapsed="false">
      <c r="A671" s="20" t="n">
        <v>46149</v>
      </c>
      <c r="B671" s="15" t="s">
        <v>5103</v>
      </c>
      <c r="C671" s="15" t="s">
        <v>508</v>
      </c>
      <c r="D671" s="15" t="s">
        <v>4772</v>
      </c>
      <c r="E671" s="15" t="s">
        <v>5505</v>
      </c>
      <c r="F671" s="15" t="s">
        <v>4778</v>
      </c>
      <c r="G671" s="15" t="s">
        <v>4779</v>
      </c>
    </row>
    <row r="672" customFormat="false" ht="15.75" hidden="false" customHeight="false" outlineLevel="0" collapsed="false">
      <c r="A672" s="20" t="n">
        <v>46149</v>
      </c>
      <c r="B672" s="15" t="s">
        <v>5272</v>
      </c>
      <c r="C672" s="15" t="s">
        <v>514</v>
      </c>
      <c r="D672" s="15" t="s">
        <v>4772</v>
      </c>
      <c r="E672" s="15" t="s">
        <v>5506</v>
      </c>
      <c r="F672" s="15" t="s">
        <v>4893</v>
      </c>
      <c r="G672" s="15" t="s">
        <v>4779</v>
      </c>
    </row>
    <row r="673" customFormat="false" ht="15.75" hidden="false" customHeight="false" outlineLevel="0" collapsed="false">
      <c r="A673" s="20" t="n">
        <v>46149</v>
      </c>
      <c r="B673" s="15" t="s">
        <v>4790</v>
      </c>
      <c r="C673" s="15" t="s">
        <v>518</v>
      </c>
      <c r="D673" s="15" t="s">
        <v>4772</v>
      </c>
      <c r="E673" s="15" t="s">
        <v>5507</v>
      </c>
      <c r="F673" s="15" t="s">
        <v>5353</v>
      </c>
      <c r="G673" s="15" t="s">
        <v>4779</v>
      </c>
    </row>
    <row r="674" customFormat="false" ht="15.75" hidden="false" customHeight="false" outlineLevel="0" collapsed="false">
      <c r="A674" s="20" t="n">
        <v>46149</v>
      </c>
      <c r="B674" s="15" t="s">
        <v>4793</v>
      </c>
      <c r="C674" s="15" t="s">
        <v>523</v>
      </c>
      <c r="D674" s="15" t="s">
        <v>4772</v>
      </c>
      <c r="E674" s="15" t="s">
        <v>5508</v>
      </c>
      <c r="F674" s="15" t="s">
        <v>523</v>
      </c>
      <c r="G674" s="15" t="s">
        <v>4774</v>
      </c>
    </row>
    <row r="675" customFormat="false" ht="15.75" hidden="false" customHeight="false" outlineLevel="0" collapsed="false">
      <c r="A675" s="20" t="n">
        <v>46149</v>
      </c>
      <c r="B675" s="15" t="s">
        <v>4795</v>
      </c>
      <c r="C675" s="15" t="s">
        <v>205</v>
      </c>
      <c r="D675" s="15" t="s">
        <v>4772</v>
      </c>
      <c r="E675" s="15" t="s">
        <v>5509</v>
      </c>
      <c r="F675" s="15" t="s">
        <v>205</v>
      </c>
      <c r="G675" s="15" t="s">
        <v>4784</v>
      </c>
    </row>
    <row r="676" customFormat="false" ht="15.75" hidden="false" customHeight="false" outlineLevel="0" collapsed="false">
      <c r="A676" s="20" t="n">
        <v>46149</v>
      </c>
      <c r="B676" s="15" t="s">
        <v>4802</v>
      </c>
      <c r="C676" s="15" t="s">
        <v>491</v>
      </c>
      <c r="D676" s="15" t="s">
        <v>4772</v>
      </c>
      <c r="E676" s="15" t="s">
        <v>5510</v>
      </c>
      <c r="F676" s="15" t="s">
        <v>4804</v>
      </c>
      <c r="G676" s="15" t="s">
        <v>4779</v>
      </c>
    </row>
    <row r="677" customFormat="false" ht="15.75" hidden="false" customHeight="false" outlineLevel="0" collapsed="false">
      <c r="A677" s="20" t="n">
        <v>46149</v>
      </c>
      <c r="B677" s="15" t="s">
        <v>4805</v>
      </c>
      <c r="C677" s="15" t="s">
        <v>499</v>
      </c>
      <c r="D677" s="15" t="s">
        <v>4772</v>
      </c>
      <c r="E677" s="15" t="s">
        <v>5511</v>
      </c>
      <c r="F677" s="15" t="s">
        <v>4901</v>
      </c>
      <c r="G677" s="15" t="s">
        <v>4801</v>
      </c>
    </row>
    <row r="678" customFormat="false" ht="15.75" hidden="false" customHeight="false" outlineLevel="0" collapsed="false">
      <c r="A678" s="20" t="n">
        <v>46149</v>
      </c>
      <c r="B678" s="15" t="s">
        <v>4807</v>
      </c>
      <c r="C678" s="15" t="s">
        <v>496</v>
      </c>
      <c r="D678" s="15" t="s">
        <v>4772</v>
      </c>
      <c r="E678" s="15" t="s">
        <v>5512</v>
      </c>
      <c r="F678" s="15" t="s">
        <v>4889</v>
      </c>
      <c r="G678" s="15" t="s">
        <v>4779</v>
      </c>
    </row>
    <row r="679" customFormat="false" ht="15.75" hidden="false" customHeight="false" outlineLevel="0" collapsed="false">
      <c r="A679" s="20" t="n">
        <v>46150</v>
      </c>
      <c r="B679" s="15" t="s">
        <v>4771</v>
      </c>
      <c r="C679" s="15" t="s">
        <v>505</v>
      </c>
      <c r="D679" s="15" t="s">
        <v>4772</v>
      </c>
      <c r="E679" s="15" t="s">
        <v>5513</v>
      </c>
      <c r="F679" s="15" t="s">
        <v>505</v>
      </c>
      <c r="G679" s="15" t="s">
        <v>4779</v>
      </c>
    </row>
    <row r="680" customFormat="false" ht="15.75" hidden="false" customHeight="false" outlineLevel="0" collapsed="false">
      <c r="A680" s="20" t="n">
        <v>46150</v>
      </c>
      <c r="B680" s="15" t="s">
        <v>4775</v>
      </c>
      <c r="C680" s="15" t="s">
        <v>467</v>
      </c>
      <c r="D680" s="15" t="s">
        <v>4772</v>
      </c>
      <c r="E680" s="15" t="s">
        <v>5514</v>
      </c>
      <c r="F680" s="15" t="s">
        <v>4781</v>
      </c>
      <c r="G680" s="15" t="s">
        <v>4779</v>
      </c>
    </row>
    <row r="681" customFormat="false" ht="15.75" hidden="false" customHeight="false" outlineLevel="0" collapsed="false">
      <c r="A681" s="20" t="n">
        <v>46150</v>
      </c>
      <c r="B681" s="15" t="s">
        <v>4782</v>
      </c>
      <c r="C681" s="15" t="s">
        <v>453</v>
      </c>
      <c r="D681" s="15" t="s">
        <v>4772</v>
      </c>
      <c r="E681" s="15" t="s">
        <v>5515</v>
      </c>
      <c r="F681" s="15" t="s">
        <v>453</v>
      </c>
      <c r="G681" s="15" t="s">
        <v>4784</v>
      </c>
    </row>
    <row r="682" customFormat="false" ht="15.75" hidden="false" customHeight="false" outlineLevel="0" collapsed="false">
      <c r="A682" s="20" t="n">
        <v>46150</v>
      </c>
      <c r="B682" s="15" t="s">
        <v>4785</v>
      </c>
      <c r="C682" s="15" t="s">
        <v>464</v>
      </c>
      <c r="D682" s="15" t="s">
        <v>4772</v>
      </c>
      <c r="E682" s="15" t="s">
        <v>5516</v>
      </c>
      <c r="F682" s="15" t="s">
        <v>464</v>
      </c>
      <c r="G682" s="15" t="s">
        <v>4784</v>
      </c>
    </row>
    <row r="683" customFormat="false" ht="15.75" hidden="false" customHeight="false" outlineLevel="0" collapsed="false">
      <c r="A683" s="20" t="n">
        <v>46150</v>
      </c>
      <c r="B683" s="15" t="s">
        <v>4787</v>
      </c>
      <c r="C683" s="15" t="s">
        <v>504</v>
      </c>
      <c r="D683" s="15" t="s">
        <v>4772</v>
      </c>
      <c r="E683" s="15" t="s">
        <v>5517</v>
      </c>
      <c r="F683" s="15" t="s">
        <v>4789</v>
      </c>
      <c r="G683" s="15" t="s">
        <v>4779</v>
      </c>
    </row>
    <row r="684" customFormat="false" ht="15.75" hidden="false" customHeight="false" outlineLevel="0" collapsed="false">
      <c r="A684" s="20" t="n">
        <v>46150</v>
      </c>
      <c r="B684" s="15" t="s">
        <v>5088</v>
      </c>
      <c r="C684" s="15" t="s">
        <v>504</v>
      </c>
      <c r="D684" s="15" t="s">
        <v>4772</v>
      </c>
      <c r="E684" s="15" t="s">
        <v>5518</v>
      </c>
      <c r="F684" s="15" t="s">
        <v>4789</v>
      </c>
      <c r="G684" s="15" t="s">
        <v>4779</v>
      </c>
    </row>
    <row r="685" customFormat="false" ht="15.75" hidden="false" customHeight="false" outlineLevel="0" collapsed="false">
      <c r="A685" s="20" t="n">
        <v>46150</v>
      </c>
      <c r="B685" s="15" t="s">
        <v>5103</v>
      </c>
      <c r="C685" s="15" t="s">
        <v>508</v>
      </c>
      <c r="D685" s="15" t="s">
        <v>4772</v>
      </c>
      <c r="E685" s="15" t="s">
        <v>5519</v>
      </c>
      <c r="F685" s="15" t="s">
        <v>4778</v>
      </c>
      <c r="G685" s="15" t="s">
        <v>4779</v>
      </c>
    </row>
    <row r="686" customFormat="false" ht="15.75" hidden="false" customHeight="false" outlineLevel="0" collapsed="false">
      <c r="A686" s="20" t="n">
        <v>46150</v>
      </c>
      <c r="B686" s="15" t="s">
        <v>5272</v>
      </c>
      <c r="C686" s="15" t="s">
        <v>514</v>
      </c>
      <c r="D686" s="15" t="s">
        <v>4772</v>
      </c>
      <c r="E686" s="15" t="s">
        <v>5520</v>
      </c>
      <c r="F686" s="15" t="s">
        <v>4893</v>
      </c>
      <c r="G686" s="15" t="s">
        <v>4779</v>
      </c>
    </row>
    <row r="687" customFormat="false" ht="15.75" hidden="false" customHeight="false" outlineLevel="0" collapsed="false">
      <c r="A687" s="20" t="n">
        <v>46150</v>
      </c>
      <c r="B687" s="15" t="s">
        <v>4790</v>
      </c>
      <c r="C687" s="15" t="s">
        <v>518</v>
      </c>
      <c r="D687" s="15" t="s">
        <v>4772</v>
      </c>
      <c r="E687" s="15" t="s">
        <v>5521</v>
      </c>
      <c r="F687" s="15" t="s">
        <v>5353</v>
      </c>
      <c r="G687" s="15" t="s">
        <v>4779</v>
      </c>
    </row>
    <row r="688" customFormat="false" ht="15.75" hidden="false" customHeight="false" outlineLevel="0" collapsed="false">
      <c r="A688" s="20" t="n">
        <v>46150</v>
      </c>
      <c r="B688" s="15" t="s">
        <v>4795</v>
      </c>
      <c r="C688" s="15" t="s">
        <v>205</v>
      </c>
      <c r="D688" s="15" t="s">
        <v>4772</v>
      </c>
      <c r="E688" s="15" t="s">
        <v>5522</v>
      </c>
      <c r="F688" s="15" t="s">
        <v>205</v>
      </c>
      <c r="G688" s="15" t="s">
        <v>4784</v>
      </c>
    </row>
    <row r="689" customFormat="false" ht="15.75" hidden="false" customHeight="false" outlineLevel="0" collapsed="false">
      <c r="A689" s="20" t="n">
        <v>46150</v>
      </c>
      <c r="B689" s="15" t="s">
        <v>4802</v>
      </c>
      <c r="C689" s="15" t="s">
        <v>491</v>
      </c>
      <c r="D689" s="15" t="s">
        <v>4772</v>
      </c>
      <c r="E689" s="15" t="s">
        <v>5523</v>
      </c>
      <c r="F689" s="15" t="s">
        <v>4804</v>
      </c>
      <c r="G689" s="15" t="s">
        <v>4779</v>
      </c>
    </row>
    <row r="690" customFormat="false" ht="15.75" hidden="false" customHeight="false" outlineLevel="0" collapsed="false">
      <c r="A690" s="20" t="n">
        <v>46150</v>
      </c>
      <c r="B690" s="15" t="s">
        <v>4805</v>
      </c>
      <c r="C690" s="15" t="s">
        <v>499</v>
      </c>
      <c r="D690" s="15" t="s">
        <v>4772</v>
      </c>
      <c r="E690" s="15" t="s">
        <v>5524</v>
      </c>
      <c r="F690" s="15" t="s">
        <v>4901</v>
      </c>
      <c r="G690" s="15" t="s">
        <v>4801</v>
      </c>
    </row>
    <row r="691" customFormat="false" ht="15.75" hidden="false" customHeight="false" outlineLevel="0" collapsed="false">
      <c r="A691" s="20" t="n">
        <v>46150</v>
      </c>
      <c r="B691" s="15" t="s">
        <v>4807</v>
      </c>
      <c r="C691" s="15" t="s">
        <v>496</v>
      </c>
      <c r="D691" s="15" t="s">
        <v>4772</v>
      </c>
      <c r="E691" s="15" t="s">
        <v>5525</v>
      </c>
      <c r="F691" s="15" t="s">
        <v>4889</v>
      </c>
      <c r="G691" s="15" t="s">
        <v>4779</v>
      </c>
    </row>
    <row r="692" customFormat="false" ht="15.75" hidden="false" customHeight="false" outlineLevel="0" collapsed="false">
      <c r="A692" s="20" t="n">
        <v>46151</v>
      </c>
      <c r="B692" s="15" t="s">
        <v>4775</v>
      </c>
      <c r="C692" s="15" t="s">
        <v>467</v>
      </c>
      <c r="D692" s="15" t="s">
        <v>4772</v>
      </c>
      <c r="E692" s="15" t="s">
        <v>5526</v>
      </c>
      <c r="F692" s="15" t="s">
        <v>4781</v>
      </c>
      <c r="G692" s="15" t="s">
        <v>4779</v>
      </c>
    </row>
    <row r="693" customFormat="false" ht="15.75" hidden="false" customHeight="false" outlineLevel="0" collapsed="false">
      <c r="A693" s="20" t="n">
        <v>46151</v>
      </c>
      <c r="B693" s="15" t="s">
        <v>4782</v>
      </c>
      <c r="C693" s="15" t="s">
        <v>453</v>
      </c>
      <c r="D693" s="15" t="s">
        <v>4772</v>
      </c>
      <c r="E693" s="15" t="s">
        <v>5527</v>
      </c>
      <c r="F693" s="15" t="s">
        <v>453</v>
      </c>
      <c r="G693" s="15" t="s">
        <v>4784</v>
      </c>
    </row>
    <row r="694" customFormat="false" ht="15.75" hidden="false" customHeight="false" outlineLevel="0" collapsed="false">
      <c r="A694" s="20" t="n">
        <v>46151</v>
      </c>
      <c r="B694" s="15" t="s">
        <v>4787</v>
      </c>
      <c r="C694" s="15" t="s">
        <v>504</v>
      </c>
      <c r="D694" s="15" t="s">
        <v>4772</v>
      </c>
      <c r="E694" s="15" t="s">
        <v>5528</v>
      </c>
      <c r="F694" s="15" t="s">
        <v>4789</v>
      </c>
      <c r="G694" s="15" t="s">
        <v>4779</v>
      </c>
    </row>
    <row r="695" customFormat="false" ht="15.75" hidden="false" customHeight="false" outlineLevel="0" collapsed="false">
      <c r="A695" s="20" t="n">
        <v>46151</v>
      </c>
      <c r="B695" s="15" t="s">
        <v>5088</v>
      </c>
      <c r="C695" s="15" t="s">
        <v>504</v>
      </c>
      <c r="D695" s="15" t="s">
        <v>4772</v>
      </c>
      <c r="E695" s="15" t="s">
        <v>5529</v>
      </c>
      <c r="F695" s="15" t="s">
        <v>4789</v>
      </c>
      <c r="G695" s="15" t="s">
        <v>4779</v>
      </c>
    </row>
    <row r="696" customFormat="false" ht="15.75" hidden="false" customHeight="false" outlineLevel="0" collapsed="false">
      <c r="A696" s="20" t="n">
        <v>46151</v>
      </c>
      <c r="B696" s="15" t="s">
        <v>5103</v>
      </c>
      <c r="C696" s="15" t="s">
        <v>508</v>
      </c>
      <c r="D696" s="15" t="s">
        <v>4772</v>
      </c>
      <c r="E696" s="15" t="s">
        <v>5530</v>
      </c>
      <c r="F696" s="15" t="s">
        <v>4778</v>
      </c>
      <c r="G696" s="15" t="s">
        <v>4779</v>
      </c>
    </row>
    <row r="697" customFormat="false" ht="15.75" hidden="false" customHeight="false" outlineLevel="0" collapsed="false">
      <c r="A697" s="20" t="n">
        <v>46151</v>
      </c>
      <c r="B697" s="15" t="s">
        <v>5272</v>
      </c>
      <c r="C697" s="15" t="s">
        <v>458</v>
      </c>
      <c r="D697" s="15" t="s">
        <v>4772</v>
      </c>
      <c r="E697" s="15" t="s">
        <v>5531</v>
      </c>
      <c r="F697" s="15" t="s">
        <v>458</v>
      </c>
      <c r="G697" s="15" t="s">
        <v>4779</v>
      </c>
    </row>
    <row r="698" customFormat="false" ht="15.75" hidden="false" customHeight="false" outlineLevel="0" collapsed="false">
      <c r="A698" s="20" t="n">
        <v>46153</v>
      </c>
      <c r="B698" s="15" t="s">
        <v>4771</v>
      </c>
      <c r="C698" s="15" t="s">
        <v>505</v>
      </c>
      <c r="D698" s="15" t="s">
        <v>4772</v>
      </c>
      <c r="E698" s="15" t="s">
        <v>5532</v>
      </c>
      <c r="F698" s="15" t="s">
        <v>505</v>
      </c>
      <c r="G698" s="15" t="s">
        <v>4779</v>
      </c>
    </row>
    <row r="699" customFormat="false" ht="15.75" hidden="false" customHeight="false" outlineLevel="0" collapsed="false">
      <c r="A699" s="20" t="n">
        <v>46153</v>
      </c>
      <c r="B699" s="15" t="s">
        <v>4775</v>
      </c>
      <c r="C699" s="15" t="s">
        <v>467</v>
      </c>
      <c r="D699" s="15" t="s">
        <v>4772</v>
      </c>
      <c r="E699" s="15" t="s">
        <v>5533</v>
      </c>
      <c r="F699" s="15" t="s">
        <v>4781</v>
      </c>
      <c r="G699" s="15" t="s">
        <v>4779</v>
      </c>
    </row>
    <row r="700" customFormat="false" ht="15.75" hidden="false" customHeight="false" outlineLevel="0" collapsed="false">
      <c r="A700" s="20" t="n">
        <v>46153</v>
      </c>
      <c r="B700" s="15" t="s">
        <v>4782</v>
      </c>
      <c r="C700" s="15" t="s">
        <v>453</v>
      </c>
      <c r="D700" s="15" t="s">
        <v>4772</v>
      </c>
      <c r="E700" s="15" t="s">
        <v>5534</v>
      </c>
      <c r="F700" s="15" t="s">
        <v>453</v>
      </c>
      <c r="G700" s="15" t="s">
        <v>4784</v>
      </c>
    </row>
    <row r="701" customFormat="false" ht="15.75" hidden="false" customHeight="false" outlineLevel="0" collapsed="false">
      <c r="A701" s="20" t="n">
        <v>46153</v>
      </c>
      <c r="B701" s="15" t="s">
        <v>4785</v>
      </c>
      <c r="C701" s="15" t="s">
        <v>464</v>
      </c>
      <c r="D701" s="15" t="s">
        <v>4772</v>
      </c>
      <c r="E701" s="15" t="s">
        <v>5535</v>
      </c>
      <c r="F701" s="15" t="s">
        <v>464</v>
      </c>
      <c r="G701" s="15" t="s">
        <v>4784</v>
      </c>
    </row>
    <row r="702" customFormat="false" ht="15.75" hidden="false" customHeight="false" outlineLevel="0" collapsed="false">
      <c r="A702" s="20" t="n">
        <v>46153</v>
      </c>
      <c r="B702" s="15" t="s">
        <v>4787</v>
      </c>
      <c r="C702" s="15" t="s">
        <v>504</v>
      </c>
      <c r="D702" s="15" t="s">
        <v>4772</v>
      </c>
      <c r="E702" s="15" t="s">
        <v>5536</v>
      </c>
      <c r="F702" s="15" t="s">
        <v>4789</v>
      </c>
      <c r="G702" s="15" t="s">
        <v>4779</v>
      </c>
    </row>
    <row r="703" customFormat="false" ht="15.75" hidden="false" customHeight="false" outlineLevel="0" collapsed="false">
      <c r="A703" s="20" t="n">
        <v>46153</v>
      </c>
      <c r="B703" s="15" t="s">
        <v>5088</v>
      </c>
      <c r="C703" s="15" t="s">
        <v>504</v>
      </c>
      <c r="D703" s="15" t="s">
        <v>4772</v>
      </c>
      <c r="E703" s="15" t="s">
        <v>5537</v>
      </c>
      <c r="F703" s="15" t="s">
        <v>4789</v>
      </c>
      <c r="G703" s="15" t="s">
        <v>4779</v>
      </c>
    </row>
    <row r="704" customFormat="false" ht="15.75" hidden="false" customHeight="false" outlineLevel="0" collapsed="false">
      <c r="A704" s="20" t="n">
        <v>46153</v>
      </c>
      <c r="B704" s="15" t="s">
        <v>5103</v>
      </c>
      <c r="C704" s="15" t="s">
        <v>508</v>
      </c>
      <c r="D704" s="15" t="s">
        <v>4772</v>
      </c>
      <c r="E704" s="15" t="s">
        <v>5538</v>
      </c>
      <c r="F704" s="15" t="s">
        <v>4778</v>
      </c>
      <c r="G704" s="15" t="s">
        <v>4779</v>
      </c>
    </row>
    <row r="705" customFormat="false" ht="15.75" hidden="false" customHeight="false" outlineLevel="0" collapsed="false">
      <c r="A705" s="20" t="n">
        <v>46153</v>
      </c>
      <c r="B705" s="15" t="s">
        <v>5272</v>
      </c>
      <c r="C705" s="15" t="s">
        <v>460</v>
      </c>
      <c r="D705" s="15" t="s">
        <v>4772</v>
      </c>
      <c r="E705" s="15" t="s">
        <v>5539</v>
      </c>
      <c r="F705" s="15" t="s">
        <v>460</v>
      </c>
      <c r="G705" s="15" t="s">
        <v>4779</v>
      </c>
    </row>
    <row r="706" customFormat="false" ht="15.75" hidden="false" customHeight="false" outlineLevel="0" collapsed="false">
      <c r="A706" s="20" t="n">
        <v>46153</v>
      </c>
      <c r="B706" s="15" t="s">
        <v>4790</v>
      </c>
      <c r="C706" s="15" t="s">
        <v>518</v>
      </c>
      <c r="D706" s="15" t="s">
        <v>4772</v>
      </c>
      <c r="E706" s="15" t="s">
        <v>5540</v>
      </c>
      <c r="F706" s="15" t="s">
        <v>5353</v>
      </c>
      <c r="G706" s="15" t="s">
        <v>4779</v>
      </c>
    </row>
    <row r="707" customFormat="false" ht="15.75" hidden="false" customHeight="false" outlineLevel="0" collapsed="false">
      <c r="A707" s="20" t="n">
        <v>46153</v>
      </c>
      <c r="B707" s="15" t="s">
        <v>4795</v>
      </c>
      <c r="C707" s="15" t="s">
        <v>205</v>
      </c>
      <c r="D707" s="15" t="s">
        <v>4772</v>
      </c>
      <c r="E707" s="15" t="s">
        <v>5541</v>
      </c>
      <c r="F707" s="15" t="s">
        <v>205</v>
      </c>
      <c r="G707" s="15" t="s">
        <v>4784</v>
      </c>
    </row>
    <row r="708" customFormat="false" ht="15.75" hidden="false" customHeight="false" outlineLevel="0" collapsed="false">
      <c r="A708" s="20" t="n">
        <v>46153</v>
      </c>
      <c r="B708" s="15" t="s">
        <v>4802</v>
      </c>
      <c r="C708" s="15" t="s">
        <v>491</v>
      </c>
      <c r="D708" s="15" t="s">
        <v>4772</v>
      </c>
      <c r="E708" s="15" t="s">
        <v>5542</v>
      </c>
      <c r="F708" s="15" t="s">
        <v>4804</v>
      </c>
      <c r="G708" s="15" t="s">
        <v>4779</v>
      </c>
    </row>
    <row r="709" customFormat="false" ht="15.75" hidden="false" customHeight="false" outlineLevel="0" collapsed="false">
      <c r="A709" s="20" t="n">
        <v>46153</v>
      </c>
      <c r="B709" s="15" t="s">
        <v>4805</v>
      </c>
      <c r="C709" s="15" t="s">
        <v>487</v>
      </c>
      <c r="D709" s="15" t="s">
        <v>4772</v>
      </c>
      <c r="E709" s="15" t="s">
        <v>5543</v>
      </c>
      <c r="F709" s="15" t="s">
        <v>4951</v>
      </c>
      <c r="G709" s="15" t="s">
        <v>4779</v>
      </c>
    </row>
    <row r="710" customFormat="false" ht="15.75" hidden="false" customHeight="false" outlineLevel="0" collapsed="false">
      <c r="A710" s="20" t="n">
        <v>46153</v>
      </c>
      <c r="B710" s="15" t="s">
        <v>4807</v>
      </c>
      <c r="C710" s="15" t="s">
        <v>496</v>
      </c>
      <c r="D710" s="15" t="s">
        <v>4772</v>
      </c>
      <c r="E710" s="15" t="s">
        <v>5544</v>
      </c>
      <c r="F710" s="15" t="s">
        <v>4889</v>
      </c>
      <c r="G710" s="15" t="s">
        <v>4779</v>
      </c>
    </row>
    <row r="711" customFormat="false" ht="15.75" hidden="false" customHeight="false" outlineLevel="0" collapsed="false">
      <c r="A711" s="20" t="n">
        <v>46154</v>
      </c>
      <c r="B711" s="15" t="s">
        <v>4771</v>
      </c>
      <c r="C711" s="15" t="s">
        <v>505</v>
      </c>
      <c r="D711" s="15" t="s">
        <v>4772</v>
      </c>
      <c r="E711" s="15" t="s">
        <v>5545</v>
      </c>
      <c r="F711" s="15" t="s">
        <v>505</v>
      </c>
      <c r="G711" s="15" t="s">
        <v>4779</v>
      </c>
    </row>
    <row r="712" customFormat="false" ht="15.75" hidden="false" customHeight="false" outlineLevel="0" collapsed="false">
      <c r="A712" s="20" t="n">
        <v>46154</v>
      </c>
      <c r="B712" s="15" t="s">
        <v>4775</v>
      </c>
      <c r="C712" s="15" t="s">
        <v>453</v>
      </c>
      <c r="D712" s="15" t="s">
        <v>4772</v>
      </c>
      <c r="E712" s="15" t="s">
        <v>5546</v>
      </c>
      <c r="F712" s="15" t="s">
        <v>453</v>
      </c>
      <c r="G712" s="15" t="s">
        <v>4784</v>
      </c>
    </row>
    <row r="713" customFormat="false" ht="15.75" hidden="false" customHeight="false" outlineLevel="0" collapsed="false">
      <c r="A713" s="20" t="n">
        <v>46154</v>
      </c>
      <c r="B713" s="15" t="s">
        <v>4782</v>
      </c>
      <c r="C713" s="15" t="s">
        <v>453</v>
      </c>
      <c r="D713" s="15" t="s">
        <v>4772</v>
      </c>
      <c r="E713" s="15" t="s">
        <v>5547</v>
      </c>
      <c r="F713" s="15" t="s">
        <v>453</v>
      </c>
      <c r="G713" s="15" t="s">
        <v>4784</v>
      </c>
    </row>
    <row r="714" customFormat="false" ht="15.75" hidden="false" customHeight="false" outlineLevel="0" collapsed="false">
      <c r="A714" s="20" t="n">
        <v>46154</v>
      </c>
      <c r="B714" s="15" t="s">
        <v>4785</v>
      </c>
      <c r="C714" s="15" t="s">
        <v>464</v>
      </c>
      <c r="D714" s="15" t="s">
        <v>4772</v>
      </c>
      <c r="E714" s="15" t="s">
        <v>5548</v>
      </c>
      <c r="F714" s="15" t="s">
        <v>464</v>
      </c>
      <c r="G714" s="15" t="s">
        <v>4784</v>
      </c>
    </row>
    <row r="715" customFormat="false" ht="15.75" hidden="false" customHeight="false" outlineLevel="0" collapsed="false">
      <c r="A715" s="20" t="n">
        <v>46154</v>
      </c>
      <c r="B715" s="15" t="s">
        <v>4787</v>
      </c>
      <c r="C715" s="15" t="s">
        <v>504</v>
      </c>
      <c r="D715" s="15" t="s">
        <v>4772</v>
      </c>
      <c r="E715" s="15" t="s">
        <v>5549</v>
      </c>
      <c r="F715" s="15" t="s">
        <v>4789</v>
      </c>
      <c r="G715" s="15" t="s">
        <v>4779</v>
      </c>
    </row>
    <row r="716" customFormat="false" ht="15.75" hidden="false" customHeight="false" outlineLevel="0" collapsed="false">
      <c r="A716" s="20" t="n">
        <v>46154</v>
      </c>
      <c r="B716" s="15" t="s">
        <v>5088</v>
      </c>
      <c r="C716" s="15" t="s">
        <v>504</v>
      </c>
      <c r="D716" s="15" t="s">
        <v>4772</v>
      </c>
      <c r="E716" s="15" t="s">
        <v>5550</v>
      </c>
      <c r="F716" s="15" t="s">
        <v>4789</v>
      </c>
      <c r="G716" s="15" t="s">
        <v>4779</v>
      </c>
    </row>
    <row r="717" customFormat="false" ht="15.75" hidden="false" customHeight="false" outlineLevel="0" collapsed="false">
      <c r="A717" s="20" t="n">
        <v>46154</v>
      </c>
      <c r="B717" s="15" t="s">
        <v>5103</v>
      </c>
      <c r="C717" s="15" t="s">
        <v>508</v>
      </c>
      <c r="D717" s="15" t="s">
        <v>4772</v>
      </c>
      <c r="E717" s="15" t="s">
        <v>5551</v>
      </c>
      <c r="F717" s="15" t="s">
        <v>4778</v>
      </c>
      <c r="G717" s="15" t="s">
        <v>4779</v>
      </c>
    </row>
    <row r="718" customFormat="false" ht="15.75" hidden="false" customHeight="false" outlineLevel="0" collapsed="false">
      <c r="A718" s="20" t="n">
        <v>46154</v>
      </c>
      <c r="B718" s="15" t="s">
        <v>5272</v>
      </c>
      <c r="C718" s="15" t="s">
        <v>461</v>
      </c>
      <c r="D718" s="15" t="s">
        <v>4772</v>
      </c>
      <c r="E718" s="15" t="s">
        <v>5552</v>
      </c>
      <c r="F718" s="15" t="s">
        <v>461</v>
      </c>
      <c r="G718" s="15" t="s">
        <v>4779</v>
      </c>
    </row>
    <row r="719" customFormat="false" ht="15.75" hidden="false" customHeight="false" outlineLevel="0" collapsed="false">
      <c r="A719" s="20" t="n">
        <v>46154</v>
      </c>
      <c r="B719" s="15" t="s">
        <v>4790</v>
      </c>
      <c r="C719" s="15" t="s">
        <v>518</v>
      </c>
      <c r="D719" s="15" t="s">
        <v>4772</v>
      </c>
      <c r="E719" s="15" t="s">
        <v>5553</v>
      </c>
      <c r="F719" s="15" t="s">
        <v>5353</v>
      </c>
      <c r="G719" s="15" t="s">
        <v>4779</v>
      </c>
    </row>
    <row r="720" customFormat="false" ht="15.75" hidden="false" customHeight="false" outlineLevel="0" collapsed="false">
      <c r="A720" s="20" t="n">
        <v>46154</v>
      </c>
      <c r="B720" s="15" t="s">
        <v>4795</v>
      </c>
      <c r="C720" s="15" t="s">
        <v>205</v>
      </c>
      <c r="D720" s="15" t="s">
        <v>4772</v>
      </c>
      <c r="E720" s="15" t="s">
        <v>5554</v>
      </c>
      <c r="F720" s="15" t="s">
        <v>205</v>
      </c>
      <c r="G720" s="15" t="s">
        <v>4784</v>
      </c>
    </row>
    <row r="721" customFormat="false" ht="15.75" hidden="false" customHeight="false" outlineLevel="0" collapsed="false">
      <c r="A721" s="20" t="n">
        <v>46154</v>
      </c>
      <c r="B721" s="15" t="s">
        <v>4802</v>
      </c>
      <c r="C721" s="15" t="s">
        <v>491</v>
      </c>
      <c r="D721" s="15" t="s">
        <v>4772</v>
      </c>
      <c r="E721" s="15" t="s">
        <v>5555</v>
      </c>
      <c r="F721" s="15" t="s">
        <v>4804</v>
      </c>
      <c r="G721" s="15" t="s">
        <v>4779</v>
      </c>
    </row>
    <row r="722" customFormat="false" ht="15.75" hidden="false" customHeight="false" outlineLevel="0" collapsed="false">
      <c r="A722" s="20" t="n">
        <v>46154</v>
      </c>
      <c r="B722" s="15" t="s">
        <v>4805</v>
      </c>
      <c r="C722" s="15" t="s">
        <v>487</v>
      </c>
      <c r="D722" s="15" t="s">
        <v>4772</v>
      </c>
      <c r="E722" s="15" t="s">
        <v>5556</v>
      </c>
      <c r="F722" s="15" t="s">
        <v>4951</v>
      </c>
      <c r="G722" s="15" t="s">
        <v>4779</v>
      </c>
    </row>
    <row r="723" customFormat="false" ht="15.75" hidden="false" customHeight="false" outlineLevel="0" collapsed="false">
      <c r="A723" s="20" t="n">
        <v>46154</v>
      </c>
      <c r="B723" s="15" t="s">
        <v>4807</v>
      </c>
      <c r="C723" s="15" t="s">
        <v>496</v>
      </c>
      <c r="D723" s="15" t="s">
        <v>4772</v>
      </c>
      <c r="E723" s="15" t="s">
        <v>5557</v>
      </c>
      <c r="F723" s="15" t="s">
        <v>4889</v>
      </c>
      <c r="G723" s="15" t="s">
        <v>4779</v>
      </c>
    </row>
    <row r="724" customFormat="false" ht="15.75" hidden="false" customHeight="false" outlineLevel="0" collapsed="false">
      <c r="A724" s="20" t="n">
        <v>46155</v>
      </c>
      <c r="B724" s="15" t="s">
        <v>4771</v>
      </c>
      <c r="C724" s="15" t="s">
        <v>505</v>
      </c>
      <c r="D724" s="15" t="s">
        <v>4772</v>
      </c>
      <c r="E724" s="15" t="s">
        <v>5558</v>
      </c>
      <c r="F724" s="15" t="s">
        <v>505</v>
      </c>
      <c r="G724" s="15" t="s">
        <v>4779</v>
      </c>
    </row>
    <row r="725" customFormat="false" ht="15.75" hidden="false" customHeight="false" outlineLevel="0" collapsed="false">
      <c r="A725" s="20" t="n">
        <v>46155</v>
      </c>
      <c r="B725" s="15" t="s">
        <v>4775</v>
      </c>
      <c r="C725" s="15" t="s">
        <v>453</v>
      </c>
      <c r="D725" s="15" t="s">
        <v>4772</v>
      </c>
      <c r="E725" s="15" t="s">
        <v>5559</v>
      </c>
      <c r="F725" s="15" t="s">
        <v>453</v>
      </c>
      <c r="G725" s="15" t="s">
        <v>4784</v>
      </c>
    </row>
    <row r="726" customFormat="false" ht="15.75" hidden="false" customHeight="false" outlineLevel="0" collapsed="false">
      <c r="A726" s="20" t="n">
        <v>46155</v>
      </c>
      <c r="B726" s="15" t="s">
        <v>4782</v>
      </c>
      <c r="C726" s="15" t="s">
        <v>453</v>
      </c>
      <c r="D726" s="15" t="s">
        <v>4772</v>
      </c>
      <c r="E726" s="15" t="s">
        <v>5560</v>
      </c>
      <c r="F726" s="15" t="s">
        <v>453</v>
      </c>
      <c r="G726" s="15" t="s">
        <v>4784</v>
      </c>
    </row>
    <row r="727" customFormat="false" ht="15.75" hidden="false" customHeight="false" outlineLevel="0" collapsed="false">
      <c r="A727" s="20" t="n">
        <v>46155</v>
      </c>
      <c r="B727" s="15" t="s">
        <v>4785</v>
      </c>
      <c r="C727" s="15" t="s">
        <v>464</v>
      </c>
      <c r="D727" s="15" t="s">
        <v>4772</v>
      </c>
      <c r="E727" s="15" t="s">
        <v>5561</v>
      </c>
      <c r="F727" s="15" t="s">
        <v>464</v>
      </c>
      <c r="G727" s="15" t="s">
        <v>4784</v>
      </c>
    </row>
    <row r="728" customFormat="false" ht="15.75" hidden="false" customHeight="false" outlineLevel="0" collapsed="false">
      <c r="A728" s="20" t="n">
        <v>46155</v>
      </c>
      <c r="B728" s="15" t="s">
        <v>4787</v>
      </c>
      <c r="C728" s="15" t="s">
        <v>504</v>
      </c>
      <c r="D728" s="15" t="s">
        <v>4772</v>
      </c>
      <c r="E728" s="15" t="s">
        <v>5562</v>
      </c>
      <c r="F728" s="15" t="s">
        <v>4789</v>
      </c>
      <c r="G728" s="15" t="s">
        <v>4779</v>
      </c>
    </row>
    <row r="729" customFormat="false" ht="15.75" hidden="false" customHeight="false" outlineLevel="0" collapsed="false">
      <c r="A729" s="20" t="n">
        <v>46155</v>
      </c>
      <c r="B729" s="15" t="s">
        <v>5088</v>
      </c>
      <c r="C729" s="15" t="s">
        <v>504</v>
      </c>
      <c r="D729" s="15" t="s">
        <v>4772</v>
      </c>
      <c r="E729" s="15" t="s">
        <v>5563</v>
      </c>
      <c r="F729" s="15" t="s">
        <v>4789</v>
      </c>
      <c r="G729" s="15" t="s">
        <v>4779</v>
      </c>
    </row>
    <row r="730" customFormat="false" ht="15.75" hidden="false" customHeight="false" outlineLevel="0" collapsed="false">
      <c r="A730" s="20" t="n">
        <v>46155</v>
      </c>
      <c r="B730" s="15" t="s">
        <v>5103</v>
      </c>
      <c r="C730" s="15" t="s">
        <v>507</v>
      </c>
      <c r="D730" s="15" t="s">
        <v>4772</v>
      </c>
      <c r="E730" s="15" t="s">
        <v>5564</v>
      </c>
      <c r="F730" s="15" t="s">
        <v>5565</v>
      </c>
      <c r="G730" s="15" t="s">
        <v>4779</v>
      </c>
    </row>
    <row r="731" customFormat="false" ht="15.75" hidden="false" customHeight="false" outlineLevel="0" collapsed="false">
      <c r="A731" s="20" t="n">
        <v>46155</v>
      </c>
      <c r="B731" s="15" t="s">
        <v>5272</v>
      </c>
      <c r="C731" s="15" t="s">
        <v>458</v>
      </c>
      <c r="D731" s="15" t="s">
        <v>4772</v>
      </c>
      <c r="E731" s="15" t="s">
        <v>5566</v>
      </c>
      <c r="F731" s="15" t="s">
        <v>458</v>
      </c>
      <c r="G731" s="15" t="s">
        <v>4779</v>
      </c>
    </row>
    <row r="732" customFormat="false" ht="15.75" hidden="false" customHeight="false" outlineLevel="0" collapsed="false">
      <c r="A732" s="20" t="n">
        <v>46155</v>
      </c>
      <c r="B732" s="15" t="s">
        <v>4790</v>
      </c>
      <c r="C732" s="15" t="s">
        <v>518</v>
      </c>
      <c r="D732" s="15" t="s">
        <v>4772</v>
      </c>
      <c r="E732" s="15" t="s">
        <v>5567</v>
      </c>
      <c r="F732" s="15" t="s">
        <v>5353</v>
      </c>
      <c r="G732" s="15" t="s">
        <v>4779</v>
      </c>
    </row>
    <row r="733" customFormat="false" ht="15.75" hidden="false" customHeight="false" outlineLevel="0" collapsed="false">
      <c r="A733" s="20" t="n">
        <v>46155</v>
      </c>
      <c r="B733" s="15" t="s">
        <v>4795</v>
      </c>
      <c r="C733" s="15" t="s">
        <v>205</v>
      </c>
      <c r="D733" s="15" t="s">
        <v>4772</v>
      </c>
      <c r="E733" s="15" t="s">
        <v>5568</v>
      </c>
      <c r="F733" s="15" t="s">
        <v>205</v>
      </c>
      <c r="G733" s="15" t="s">
        <v>4784</v>
      </c>
    </row>
    <row r="734" customFormat="false" ht="15.75" hidden="false" customHeight="false" outlineLevel="0" collapsed="false">
      <c r="A734" s="20" t="n">
        <v>46155</v>
      </c>
      <c r="B734" s="15" t="s">
        <v>4802</v>
      </c>
      <c r="C734" s="15" t="s">
        <v>520</v>
      </c>
      <c r="D734" s="15" t="s">
        <v>4772</v>
      </c>
      <c r="E734" s="15" t="s">
        <v>5569</v>
      </c>
      <c r="F734" s="15" t="s">
        <v>5021</v>
      </c>
      <c r="G734" s="15" t="s">
        <v>4779</v>
      </c>
    </row>
    <row r="735" customFormat="false" ht="15.75" hidden="false" customHeight="false" outlineLevel="0" collapsed="false">
      <c r="A735" s="20" t="n">
        <v>46155</v>
      </c>
      <c r="B735" s="15" t="s">
        <v>4805</v>
      </c>
      <c r="C735" s="15" t="s">
        <v>487</v>
      </c>
      <c r="D735" s="15" t="s">
        <v>4772</v>
      </c>
      <c r="E735" s="15" t="s">
        <v>5570</v>
      </c>
      <c r="F735" s="15" t="s">
        <v>4951</v>
      </c>
      <c r="G735" s="15" t="s">
        <v>4779</v>
      </c>
    </row>
    <row r="736" customFormat="false" ht="15.75" hidden="false" customHeight="false" outlineLevel="0" collapsed="false">
      <c r="A736" s="20" t="n">
        <v>46155</v>
      </c>
      <c r="B736" s="15" t="s">
        <v>4807</v>
      </c>
      <c r="C736" s="15" t="s">
        <v>496</v>
      </c>
      <c r="D736" s="15" t="s">
        <v>4772</v>
      </c>
      <c r="E736" s="15" t="s">
        <v>5571</v>
      </c>
      <c r="F736" s="15" t="s">
        <v>4889</v>
      </c>
      <c r="G736" s="15" t="s">
        <v>4779</v>
      </c>
    </row>
    <row r="737" customFormat="false" ht="15.75" hidden="false" customHeight="false" outlineLevel="0" collapsed="false">
      <c r="A737" s="20" t="n">
        <v>46156</v>
      </c>
      <c r="B737" s="15" t="s">
        <v>4771</v>
      </c>
      <c r="C737" s="15" t="s">
        <v>505</v>
      </c>
      <c r="D737" s="15" t="s">
        <v>4772</v>
      </c>
      <c r="E737" s="15" t="s">
        <v>5572</v>
      </c>
      <c r="F737" s="15" t="s">
        <v>505</v>
      </c>
      <c r="G737" s="15" t="s">
        <v>4779</v>
      </c>
    </row>
    <row r="738" customFormat="false" ht="15.75" hidden="false" customHeight="false" outlineLevel="0" collapsed="false">
      <c r="A738" s="20" t="n">
        <v>46156</v>
      </c>
      <c r="B738" s="15" t="s">
        <v>4775</v>
      </c>
      <c r="C738" s="15" t="s">
        <v>453</v>
      </c>
      <c r="D738" s="15" t="s">
        <v>4772</v>
      </c>
      <c r="E738" s="15" t="s">
        <v>5573</v>
      </c>
      <c r="F738" s="15" t="s">
        <v>453</v>
      </c>
      <c r="G738" s="15" t="s">
        <v>4784</v>
      </c>
    </row>
    <row r="739" customFormat="false" ht="15.75" hidden="false" customHeight="false" outlineLevel="0" collapsed="false">
      <c r="A739" s="20" t="n">
        <v>46156</v>
      </c>
      <c r="B739" s="15" t="s">
        <v>4782</v>
      </c>
      <c r="C739" s="15" t="s">
        <v>453</v>
      </c>
      <c r="D739" s="15" t="s">
        <v>4772</v>
      </c>
      <c r="E739" s="15" t="s">
        <v>5574</v>
      </c>
      <c r="F739" s="15" t="s">
        <v>453</v>
      </c>
      <c r="G739" s="15" t="s">
        <v>4784</v>
      </c>
    </row>
    <row r="740" customFormat="false" ht="15.75" hidden="false" customHeight="false" outlineLevel="0" collapsed="false">
      <c r="A740" s="20" t="n">
        <v>46156</v>
      </c>
      <c r="B740" s="15" t="s">
        <v>4785</v>
      </c>
      <c r="C740" s="15" t="s">
        <v>464</v>
      </c>
      <c r="D740" s="15" t="s">
        <v>4772</v>
      </c>
      <c r="E740" s="15" t="s">
        <v>5575</v>
      </c>
      <c r="F740" s="15" t="s">
        <v>464</v>
      </c>
      <c r="G740" s="15" t="s">
        <v>4784</v>
      </c>
    </row>
    <row r="741" customFormat="false" ht="15.75" hidden="false" customHeight="false" outlineLevel="0" collapsed="false">
      <c r="A741" s="20" t="n">
        <v>46156</v>
      </c>
      <c r="B741" s="15" t="s">
        <v>4787</v>
      </c>
      <c r="C741" s="15" t="s">
        <v>504</v>
      </c>
      <c r="D741" s="15" t="s">
        <v>4772</v>
      </c>
      <c r="E741" s="15" t="s">
        <v>5576</v>
      </c>
      <c r="F741" s="15" t="s">
        <v>4789</v>
      </c>
      <c r="G741" s="15" t="s">
        <v>4779</v>
      </c>
    </row>
    <row r="742" customFormat="false" ht="15.75" hidden="false" customHeight="false" outlineLevel="0" collapsed="false">
      <c r="A742" s="20" t="n">
        <v>46156</v>
      </c>
      <c r="B742" s="15" t="s">
        <v>5088</v>
      </c>
      <c r="C742" s="15" t="s">
        <v>504</v>
      </c>
      <c r="D742" s="15" t="s">
        <v>4772</v>
      </c>
      <c r="E742" s="15" t="s">
        <v>5577</v>
      </c>
      <c r="F742" s="15" t="s">
        <v>4789</v>
      </c>
      <c r="G742" s="15" t="s">
        <v>4779</v>
      </c>
    </row>
    <row r="743" customFormat="false" ht="15.75" hidden="false" customHeight="false" outlineLevel="0" collapsed="false">
      <c r="A743" s="20" t="n">
        <v>46156</v>
      </c>
      <c r="B743" s="15" t="s">
        <v>5103</v>
      </c>
      <c r="C743" s="15" t="s">
        <v>454</v>
      </c>
      <c r="D743" s="15" t="s">
        <v>4772</v>
      </c>
      <c r="E743" s="15" t="s">
        <v>5578</v>
      </c>
      <c r="F743" s="15" t="s">
        <v>454</v>
      </c>
      <c r="G743" s="15" t="s">
        <v>4779</v>
      </c>
    </row>
    <row r="744" customFormat="false" ht="15.75" hidden="false" customHeight="false" outlineLevel="0" collapsed="false">
      <c r="A744" s="20" t="n">
        <v>46156</v>
      </c>
      <c r="B744" s="15" t="s">
        <v>5272</v>
      </c>
      <c r="C744" s="15" t="s">
        <v>458</v>
      </c>
      <c r="D744" s="15" t="s">
        <v>4772</v>
      </c>
      <c r="E744" s="15" t="s">
        <v>5579</v>
      </c>
      <c r="F744" s="15" t="s">
        <v>458</v>
      </c>
      <c r="G744" s="15" t="s">
        <v>4779</v>
      </c>
    </row>
    <row r="745" customFormat="false" ht="15.75" hidden="false" customHeight="false" outlineLevel="0" collapsed="false">
      <c r="A745" s="20" t="n">
        <v>46156</v>
      </c>
      <c r="B745" s="15" t="s">
        <v>4795</v>
      </c>
      <c r="C745" s="15" t="s">
        <v>205</v>
      </c>
      <c r="D745" s="15" t="s">
        <v>4772</v>
      </c>
      <c r="E745" s="15" t="s">
        <v>5580</v>
      </c>
      <c r="F745" s="15" t="s">
        <v>205</v>
      </c>
      <c r="G745" s="15" t="s">
        <v>4784</v>
      </c>
    </row>
    <row r="746" customFormat="false" ht="15.75" hidden="false" customHeight="false" outlineLevel="0" collapsed="false">
      <c r="A746" s="20" t="n">
        <v>46156</v>
      </c>
      <c r="B746" s="15" t="s">
        <v>4802</v>
      </c>
      <c r="C746" s="15" t="s">
        <v>520</v>
      </c>
      <c r="D746" s="15" t="s">
        <v>4772</v>
      </c>
      <c r="E746" s="15" t="s">
        <v>5581</v>
      </c>
      <c r="F746" s="15" t="s">
        <v>5021</v>
      </c>
      <c r="G746" s="15" t="s">
        <v>4779</v>
      </c>
    </row>
    <row r="747" customFormat="false" ht="15.75" hidden="false" customHeight="false" outlineLevel="0" collapsed="false">
      <c r="A747" s="20" t="n">
        <v>46156</v>
      </c>
      <c r="B747" s="15" t="s">
        <v>4805</v>
      </c>
      <c r="C747" s="15" t="s">
        <v>487</v>
      </c>
      <c r="D747" s="15" t="s">
        <v>4772</v>
      </c>
      <c r="E747" s="15" t="s">
        <v>5582</v>
      </c>
      <c r="F747" s="15" t="s">
        <v>4951</v>
      </c>
      <c r="G747" s="15" t="s">
        <v>4779</v>
      </c>
    </row>
    <row r="748" customFormat="false" ht="15.75" hidden="false" customHeight="false" outlineLevel="0" collapsed="false">
      <c r="A748" s="20" t="n">
        <v>46156</v>
      </c>
      <c r="B748" s="15" t="s">
        <v>4807</v>
      </c>
      <c r="C748" s="15" t="s">
        <v>496</v>
      </c>
      <c r="D748" s="15" t="s">
        <v>4772</v>
      </c>
      <c r="E748" s="15" t="s">
        <v>5583</v>
      </c>
      <c r="F748" s="15" t="s">
        <v>4889</v>
      </c>
      <c r="G748" s="15" t="s">
        <v>4779</v>
      </c>
    </row>
    <row r="749" customFormat="false" ht="15.75" hidden="false" customHeight="false" outlineLevel="0" collapsed="false">
      <c r="A749" s="20" t="n">
        <v>46157</v>
      </c>
      <c r="B749" s="15" t="s">
        <v>4771</v>
      </c>
      <c r="C749" s="15" t="s">
        <v>505</v>
      </c>
      <c r="D749" s="15" t="s">
        <v>4772</v>
      </c>
      <c r="E749" s="15" t="s">
        <v>5584</v>
      </c>
      <c r="F749" s="15" t="s">
        <v>505</v>
      </c>
      <c r="G749" s="15" t="s">
        <v>4779</v>
      </c>
    </row>
    <row r="750" customFormat="false" ht="15.75" hidden="false" customHeight="false" outlineLevel="0" collapsed="false">
      <c r="A750" s="20" t="n">
        <v>46157</v>
      </c>
      <c r="B750" s="15" t="s">
        <v>4775</v>
      </c>
      <c r="C750" s="15" t="s">
        <v>453</v>
      </c>
      <c r="D750" s="15" t="s">
        <v>4772</v>
      </c>
      <c r="E750" s="15" t="s">
        <v>5585</v>
      </c>
      <c r="F750" s="15" t="s">
        <v>453</v>
      </c>
      <c r="G750" s="15" t="s">
        <v>4784</v>
      </c>
    </row>
    <row r="751" customFormat="false" ht="15.75" hidden="false" customHeight="false" outlineLevel="0" collapsed="false">
      <c r="A751" s="20" t="n">
        <v>46157</v>
      </c>
      <c r="B751" s="15" t="s">
        <v>4782</v>
      </c>
      <c r="C751" s="15" t="s">
        <v>453</v>
      </c>
      <c r="D751" s="15" t="s">
        <v>4772</v>
      </c>
      <c r="E751" s="15" t="s">
        <v>5586</v>
      </c>
      <c r="F751" s="15" t="s">
        <v>453</v>
      </c>
      <c r="G751" s="15" t="s">
        <v>4784</v>
      </c>
    </row>
    <row r="752" customFormat="false" ht="15.75" hidden="false" customHeight="false" outlineLevel="0" collapsed="false">
      <c r="A752" s="20" t="n">
        <v>46157</v>
      </c>
      <c r="B752" s="15" t="s">
        <v>4785</v>
      </c>
      <c r="C752" s="15" t="s">
        <v>464</v>
      </c>
      <c r="D752" s="15" t="s">
        <v>4772</v>
      </c>
      <c r="E752" s="15" t="s">
        <v>5587</v>
      </c>
      <c r="F752" s="15" t="s">
        <v>464</v>
      </c>
      <c r="G752" s="15" t="s">
        <v>4784</v>
      </c>
    </row>
    <row r="753" customFormat="false" ht="15.75" hidden="false" customHeight="false" outlineLevel="0" collapsed="false">
      <c r="A753" s="20" t="n">
        <v>46157</v>
      </c>
      <c r="B753" s="15" t="s">
        <v>4787</v>
      </c>
      <c r="C753" s="15" t="s">
        <v>504</v>
      </c>
      <c r="D753" s="15" t="s">
        <v>4772</v>
      </c>
      <c r="E753" s="15" t="s">
        <v>5588</v>
      </c>
      <c r="F753" s="15" t="s">
        <v>4789</v>
      </c>
      <c r="G753" s="15" t="s">
        <v>4779</v>
      </c>
    </row>
    <row r="754" customFormat="false" ht="15.75" hidden="false" customHeight="false" outlineLevel="0" collapsed="false">
      <c r="A754" s="20" t="n">
        <v>46157</v>
      </c>
      <c r="B754" s="15" t="s">
        <v>5088</v>
      </c>
      <c r="C754" s="15" t="s">
        <v>504</v>
      </c>
      <c r="D754" s="15" t="s">
        <v>4772</v>
      </c>
      <c r="E754" s="15" t="s">
        <v>5589</v>
      </c>
      <c r="F754" s="15" t="s">
        <v>4789</v>
      </c>
      <c r="G754" s="15" t="s">
        <v>4779</v>
      </c>
    </row>
    <row r="755" customFormat="false" ht="15.75" hidden="false" customHeight="false" outlineLevel="0" collapsed="false">
      <c r="A755" s="20" t="n">
        <v>46157</v>
      </c>
      <c r="B755" s="15" t="s">
        <v>5103</v>
      </c>
      <c r="C755" s="15" t="s">
        <v>454</v>
      </c>
      <c r="D755" s="15" t="s">
        <v>4772</v>
      </c>
      <c r="E755" s="15" t="s">
        <v>5590</v>
      </c>
      <c r="F755" s="15" t="s">
        <v>454</v>
      </c>
      <c r="G755" s="15" t="s">
        <v>4779</v>
      </c>
    </row>
    <row r="756" customFormat="false" ht="15.75" hidden="false" customHeight="false" outlineLevel="0" collapsed="false">
      <c r="A756" s="20" t="n">
        <v>46157</v>
      </c>
      <c r="B756" s="15" t="s">
        <v>5272</v>
      </c>
      <c r="C756" s="15" t="s">
        <v>460</v>
      </c>
      <c r="D756" s="15" t="s">
        <v>4772</v>
      </c>
      <c r="E756" s="15" t="s">
        <v>5591</v>
      </c>
      <c r="F756" s="15" t="s">
        <v>460</v>
      </c>
      <c r="G756" s="15" t="s">
        <v>4779</v>
      </c>
    </row>
    <row r="757" customFormat="false" ht="15.75" hidden="false" customHeight="false" outlineLevel="0" collapsed="false">
      <c r="A757" s="20" t="n">
        <v>46157</v>
      </c>
      <c r="B757" s="15" t="s">
        <v>4802</v>
      </c>
      <c r="C757" s="15" t="s">
        <v>529</v>
      </c>
      <c r="D757" s="15" t="s">
        <v>4772</v>
      </c>
      <c r="E757" s="15" t="s">
        <v>5592</v>
      </c>
      <c r="F757" s="15" t="s">
        <v>5034</v>
      </c>
      <c r="G757" s="15" t="s">
        <v>4779</v>
      </c>
    </row>
    <row r="758" customFormat="false" ht="15.75" hidden="false" customHeight="false" outlineLevel="0" collapsed="false">
      <c r="A758" s="20" t="n">
        <v>46157</v>
      </c>
      <c r="B758" s="15" t="s">
        <v>4805</v>
      </c>
      <c r="C758" s="15" t="s">
        <v>487</v>
      </c>
      <c r="D758" s="15" t="s">
        <v>4772</v>
      </c>
      <c r="E758" s="15" t="s">
        <v>5593</v>
      </c>
      <c r="F758" s="15" t="s">
        <v>4951</v>
      </c>
      <c r="G758" s="15" t="s">
        <v>4779</v>
      </c>
    </row>
    <row r="759" customFormat="false" ht="15.75" hidden="false" customHeight="false" outlineLevel="0" collapsed="false">
      <c r="A759" s="20" t="n">
        <v>46157</v>
      </c>
      <c r="B759" s="15" t="s">
        <v>4807</v>
      </c>
      <c r="C759" s="15" t="s">
        <v>452</v>
      </c>
      <c r="D759" s="15" t="s">
        <v>4772</v>
      </c>
      <c r="E759" s="15" t="s">
        <v>5594</v>
      </c>
      <c r="F759" s="15" t="s">
        <v>452</v>
      </c>
      <c r="G759" s="15" t="s">
        <v>4784</v>
      </c>
    </row>
    <row r="760" customFormat="false" ht="15.75" hidden="false" customHeight="false" outlineLevel="0" collapsed="false">
      <c r="A760" s="20" t="n">
        <v>46160</v>
      </c>
      <c r="B760" s="15" t="s">
        <v>4771</v>
      </c>
      <c r="C760" s="15" t="s">
        <v>505</v>
      </c>
      <c r="D760" s="15" t="s">
        <v>4772</v>
      </c>
      <c r="E760" s="15" t="s">
        <v>5595</v>
      </c>
      <c r="F760" s="15" t="s">
        <v>505</v>
      </c>
      <c r="G760" s="15" t="s">
        <v>4779</v>
      </c>
    </row>
    <row r="761" customFormat="false" ht="15.75" hidden="false" customHeight="false" outlineLevel="0" collapsed="false">
      <c r="A761" s="20" t="n">
        <v>46160</v>
      </c>
      <c r="B761" s="15" t="s">
        <v>4775</v>
      </c>
      <c r="C761" s="15" t="s">
        <v>453</v>
      </c>
      <c r="D761" s="15" t="s">
        <v>4772</v>
      </c>
      <c r="E761" s="15" t="s">
        <v>5596</v>
      </c>
      <c r="F761" s="15" t="s">
        <v>453</v>
      </c>
      <c r="G761" s="15" t="s">
        <v>4784</v>
      </c>
    </row>
    <row r="762" customFormat="false" ht="15.75" hidden="false" customHeight="false" outlineLevel="0" collapsed="false">
      <c r="A762" s="20" t="n">
        <v>46160</v>
      </c>
      <c r="B762" s="15" t="s">
        <v>4782</v>
      </c>
      <c r="C762" s="15" t="s">
        <v>453</v>
      </c>
      <c r="D762" s="15" t="s">
        <v>4772</v>
      </c>
      <c r="E762" s="15" t="s">
        <v>5597</v>
      </c>
      <c r="F762" s="15" t="s">
        <v>453</v>
      </c>
      <c r="G762" s="15" t="s">
        <v>4784</v>
      </c>
    </row>
    <row r="763" customFormat="false" ht="15.75" hidden="false" customHeight="false" outlineLevel="0" collapsed="false">
      <c r="A763" s="20" t="n">
        <v>46160</v>
      </c>
      <c r="B763" s="15" t="s">
        <v>4785</v>
      </c>
      <c r="C763" s="15" t="s">
        <v>464</v>
      </c>
      <c r="D763" s="15" t="s">
        <v>4772</v>
      </c>
      <c r="E763" s="15" t="s">
        <v>5598</v>
      </c>
      <c r="F763" s="15" t="s">
        <v>464</v>
      </c>
      <c r="G763" s="15" t="s">
        <v>4784</v>
      </c>
    </row>
    <row r="764" customFormat="false" ht="15.75" hidden="false" customHeight="false" outlineLevel="0" collapsed="false">
      <c r="A764" s="20" t="n">
        <v>46160</v>
      </c>
      <c r="B764" s="15" t="s">
        <v>4787</v>
      </c>
      <c r="C764" s="15" t="s">
        <v>504</v>
      </c>
      <c r="D764" s="15" t="s">
        <v>4772</v>
      </c>
      <c r="E764" s="15" t="s">
        <v>5599</v>
      </c>
      <c r="F764" s="15" t="s">
        <v>4789</v>
      </c>
      <c r="G764" s="15" t="s">
        <v>4779</v>
      </c>
    </row>
    <row r="765" customFormat="false" ht="15.75" hidden="false" customHeight="false" outlineLevel="0" collapsed="false">
      <c r="A765" s="20" t="n">
        <v>46160</v>
      </c>
      <c r="B765" s="15" t="s">
        <v>5088</v>
      </c>
      <c r="C765" s="15" t="s">
        <v>504</v>
      </c>
      <c r="D765" s="15" t="s">
        <v>4772</v>
      </c>
      <c r="E765" s="15" t="s">
        <v>5600</v>
      </c>
      <c r="F765" s="15" t="s">
        <v>4789</v>
      </c>
      <c r="G765" s="15" t="s">
        <v>4779</v>
      </c>
    </row>
    <row r="766" customFormat="false" ht="15.75" hidden="false" customHeight="false" outlineLevel="0" collapsed="false">
      <c r="A766" s="20" t="n">
        <v>46160</v>
      </c>
      <c r="B766" s="15" t="s">
        <v>5103</v>
      </c>
      <c r="C766" s="15" t="s">
        <v>454</v>
      </c>
      <c r="D766" s="15" t="s">
        <v>4772</v>
      </c>
      <c r="E766" s="15" t="s">
        <v>5601</v>
      </c>
      <c r="F766" s="15" t="s">
        <v>454</v>
      </c>
      <c r="G766" s="15" t="s">
        <v>4779</v>
      </c>
    </row>
    <row r="767" customFormat="false" ht="15.75" hidden="false" customHeight="false" outlineLevel="0" collapsed="false">
      <c r="A767" s="20" t="n">
        <v>46160</v>
      </c>
      <c r="B767" s="15" t="s">
        <v>5272</v>
      </c>
      <c r="C767" s="15" t="s">
        <v>514</v>
      </c>
      <c r="D767" s="15" t="s">
        <v>4772</v>
      </c>
      <c r="E767" s="15" t="s">
        <v>5602</v>
      </c>
      <c r="F767" s="15" t="s">
        <v>4893</v>
      </c>
      <c r="G767" s="15" t="s">
        <v>4779</v>
      </c>
    </row>
    <row r="768" customFormat="false" ht="15.75" hidden="false" customHeight="false" outlineLevel="0" collapsed="false">
      <c r="A768" s="20" t="n">
        <v>46160</v>
      </c>
      <c r="B768" s="15" t="s">
        <v>4802</v>
      </c>
      <c r="C768" s="15" t="s">
        <v>494</v>
      </c>
      <c r="D768" s="15" t="s">
        <v>4772</v>
      </c>
      <c r="E768" s="15" t="s">
        <v>5603</v>
      </c>
      <c r="F768" s="15" t="s">
        <v>4868</v>
      </c>
      <c r="G768" s="15" t="s">
        <v>4779</v>
      </c>
    </row>
    <row r="769" customFormat="false" ht="15.75" hidden="false" customHeight="false" outlineLevel="0" collapsed="false">
      <c r="A769" s="20" t="n">
        <v>46160</v>
      </c>
      <c r="B769" s="15" t="s">
        <v>4805</v>
      </c>
      <c r="C769" s="15" t="s">
        <v>450</v>
      </c>
      <c r="D769" s="15" t="s">
        <v>4772</v>
      </c>
      <c r="E769" s="15" t="s">
        <v>5604</v>
      </c>
      <c r="F769" s="15" t="s">
        <v>5007</v>
      </c>
      <c r="G769" s="15" t="s">
        <v>4779</v>
      </c>
    </row>
    <row r="770" customFormat="false" ht="15.75" hidden="false" customHeight="false" outlineLevel="0" collapsed="false">
      <c r="A770" s="20" t="n">
        <v>46160</v>
      </c>
      <c r="B770" s="15" t="s">
        <v>4807</v>
      </c>
      <c r="C770" s="15" t="s">
        <v>465</v>
      </c>
      <c r="D770" s="15" t="s">
        <v>4772</v>
      </c>
      <c r="E770" s="15" t="s">
        <v>5605</v>
      </c>
      <c r="F770" s="15" t="s">
        <v>5038</v>
      </c>
      <c r="G770" s="15" t="s">
        <v>4779</v>
      </c>
    </row>
    <row r="771" customFormat="false" ht="15.75" hidden="false" customHeight="false" outlineLevel="0" collapsed="false">
      <c r="A771" s="20" t="n">
        <v>46161</v>
      </c>
      <c r="B771" s="15" t="s">
        <v>4771</v>
      </c>
      <c r="C771" s="15" t="s">
        <v>468</v>
      </c>
      <c r="D771" s="15" t="s">
        <v>4772</v>
      </c>
      <c r="E771" s="15" t="s">
        <v>5606</v>
      </c>
      <c r="F771" s="15" t="s">
        <v>1277</v>
      </c>
      <c r="G771" s="15" t="s">
        <v>4779</v>
      </c>
    </row>
    <row r="772" customFormat="false" ht="15.75" hidden="false" customHeight="false" outlineLevel="0" collapsed="false">
      <c r="A772" s="20" t="n">
        <v>46161</v>
      </c>
      <c r="B772" s="15" t="s">
        <v>4775</v>
      </c>
      <c r="C772" s="15" t="s">
        <v>453</v>
      </c>
      <c r="D772" s="15" t="s">
        <v>4772</v>
      </c>
      <c r="E772" s="15" t="s">
        <v>5607</v>
      </c>
      <c r="F772" s="15" t="s">
        <v>453</v>
      </c>
      <c r="G772" s="15" t="s">
        <v>4784</v>
      </c>
    </row>
    <row r="773" customFormat="false" ht="15.75" hidden="false" customHeight="false" outlineLevel="0" collapsed="false">
      <c r="A773" s="20" t="n">
        <v>46161</v>
      </c>
      <c r="B773" s="15" t="s">
        <v>4782</v>
      </c>
      <c r="C773" s="15" t="s">
        <v>453</v>
      </c>
      <c r="D773" s="15" t="s">
        <v>4772</v>
      </c>
      <c r="E773" s="15" t="s">
        <v>5608</v>
      </c>
      <c r="F773" s="15" t="s">
        <v>453</v>
      </c>
      <c r="G773" s="15" t="s">
        <v>4784</v>
      </c>
    </row>
    <row r="774" customFormat="false" ht="15.75" hidden="false" customHeight="false" outlineLevel="0" collapsed="false">
      <c r="A774" s="20" t="n">
        <v>46161</v>
      </c>
      <c r="B774" s="15" t="s">
        <v>4785</v>
      </c>
      <c r="C774" s="15" t="s">
        <v>464</v>
      </c>
      <c r="D774" s="15" t="s">
        <v>4772</v>
      </c>
      <c r="E774" s="15" t="s">
        <v>5609</v>
      </c>
      <c r="F774" s="15" t="s">
        <v>464</v>
      </c>
      <c r="G774" s="15" t="s">
        <v>4784</v>
      </c>
    </row>
    <row r="775" customFormat="false" ht="15.75" hidden="false" customHeight="false" outlineLevel="0" collapsed="false">
      <c r="A775" s="20" t="n">
        <v>46161</v>
      </c>
      <c r="B775" s="15" t="s">
        <v>4787</v>
      </c>
      <c r="C775" s="15" t="s">
        <v>504</v>
      </c>
      <c r="D775" s="15" t="s">
        <v>4772</v>
      </c>
      <c r="E775" s="15" t="s">
        <v>5610</v>
      </c>
      <c r="F775" s="15" t="s">
        <v>4789</v>
      </c>
      <c r="G775" s="15" t="s">
        <v>4779</v>
      </c>
    </row>
    <row r="776" customFormat="false" ht="15.75" hidden="false" customHeight="false" outlineLevel="0" collapsed="false">
      <c r="A776" s="20" t="n">
        <v>46161</v>
      </c>
      <c r="B776" s="15" t="s">
        <v>5088</v>
      </c>
      <c r="C776" s="15" t="s">
        <v>504</v>
      </c>
      <c r="D776" s="15" t="s">
        <v>4772</v>
      </c>
      <c r="E776" s="15" t="s">
        <v>5611</v>
      </c>
      <c r="F776" s="15" t="s">
        <v>4789</v>
      </c>
      <c r="G776" s="15" t="s">
        <v>4779</v>
      </c>
    </row>
    <row r="777" customFormat="false" ht="15.75" hidden="false" customHeight="false" outlineLevel="0" collapsed="false">
      <c r="A777" s="20" t="n">
        <v>46161</v>
      </c>
      <c r="B777" s="15" t="s">
        <v>5103</v>
      </c>
      <c r="C777" s="15" t="s">
        <v>454</v>
      </c>
      <c r="D777" s="15" t="s">
        <v>4772</v>
      </c>
      <c r="E777" s="15" t="s">
        <v>5612</v>
      </c>
      <c r="F777" s="15" t="s">
        <v>454</v>
      </c>
      <c r="G777" s="15" t="s">
        <v>4779</v>
      </c>
    </row>
    <row r="778" customFormat="false" ht="15.75" hidden="false" customHeight="false" outlineLevel="0" collapsed="false">
      <c r="A778" s="20" t="n">
        <v>46161</v>
      </c>
      <c r="B778" s="15" t="s">
        <v>5272</v>
      </c>
      <c r="C778" s="15" t="s">
        <v>514</v>
      </c>
      <c r="D778" s="15" t="s">
        <v>4772</v>
      </c>
      <c r="E778" s="15" t="s">
        <v>5613</v>
      </c>
      <c r="F778" s="15" t="s">
        <v>4893</v>
      </c>
      <c r="G778" s="15" t="s">
        <v>4779</v>
      </c>
    </row>
    <row r="779" customFormat="false" ht="15.75" hidden="false" customHeight="false" outlineLevel="0" collapsed="false">
      <c r="A779" s="20" t="n">
        <v>46161</v>
      </c>
      <c r="B779" s="15" t="s">
        <v>4802</v>
      </c>
      <c r="C779" s="15" t="s">
        <v>494</v>
      </c>
      <c r="D779" s="15" t="s">
        <v>4772</v>
      </c>
      <c r="E779" s="15" t="s">
        <v>5614</v>
      </c>
      <c r="F779" s="15" t="s">
        <v>4868</v>
      </c>
      <c r="G779" s="15" t="s">
        <v>4779</v>
      </c>
    </row>
    <row r="780" customFormat="false" ht="15.75" hidden="false" customHeight="false" outlineLevel="0" collapsed="false">
      <c r="A780" s="20" t="n">
        <v>46161</v>
      </c>
      <c r="B780" s="15" t="s">
        <v>4805</v>
      </c>
      <c r="C780" s="15" t="s">
        <v>484</v>
      </c>
      <c r="D780" s="15" t="s">
        <v>4772</v>
      </c>
      <c r="E780" s="15" t="s">
        <v>5615</v>
      </c>
      <c r="F780" s="15" t="s">
        <v>5067</v>
      </c>
      <c r="G780" s="15" t="s">
        <v>4779</v>
      </c>
    </row>
    <row r="781" customFormat="false" ht="15.75" hidden="false" customHeight="false" outlineLevel="0" collapsed="false">
      <c r="A781" s="20" t="n">
        <v>46161</v>
      </c>
      <c r="B781" s="15" t="s">
        <v>4807</v>
      </c>
      <c r="C781" s="15" t="s">
        <v>465</v>
      </c>
      <c r="D781" s="15" t="s">
        <v>4772</v>
      </c>
      <c r="E781" s="15" t="s">
        <v>5616</v>
      </c>
      <c r="F781" s="15" t="s">
        <v>5038</v>
      </c>
      <c r="G781" s="15" t="s">
        <v>4779</v>
      </c>
    </row>
    <row r="782" customFormat="false" ht="15.75" hidden="false" customHeight="false" outlineLevel="0" collapsed="false">
      <c r="A782" s="20" t="n">
        <v>46162</v>
      </c>
      <c r="B782" s="15" t="s">
        <v>4771</v>
      </c>
      <c r="C782" s="15" t="s">
        <v>468</v>
      </c>
      <c r="D782" s="15" t="s">
        <v>4772</v>
      </c>
      <c r="E782" s="15" t="s">
        <v>5617</v>
      </c>
      <c r="F782" s="15" t="s">
        <v>1277</v>
      </c>
      <c r="G782" s="15" t="s">
        <v>4779</v>
      </c>
    </row>
    <row r="783" customFormat="false" ht="15.75" hidden="false" customHeight="false" outlineLevel="0" collapsed="false">
      <c r="A783" s="20" t="n">
        <v>46162</v>
      </c>
      <c r="B783" s="15" t="s">
        <v>4775</v>
      </c>
      <c r="C783" s="15" t="s">
        <v>453</v>
      </c>
      <c r="D783" s="15" t="s">
        <v>4772</v>
      </c>
      <c r="E783" s="15" t="s">
        <v>5618</v>
      </c>
      <c r="F783" s="15" t="s">
        <v>453</v>
      </c>
      <c r="G783" s="15" t="s">
        <v>4784</v>
      </c>
    </row>
    <row r="784" customFormat="false" ht="15.75" hidden="false" customHeight="false" outlineLevel="0" collapsed="false">
      <c r="A784" s="20" t="n">
        <v>46162</v>
      </c>
      <c r="B784" s="15" t="s">
        <v>4782</v>
      </c>
      <c r="C784" s="15" t="s">
        <v>453</v>
      </c>
      <c r="D784" s="15" t="s">
        <v>4772</v>
      </c>
      <c r="E784" s="15" t="s">
        <v>5619</v>
      </c>
      <c r="F784" s="15" t="s">
        <v>453</v>
      </c>
      <c r="G784" s="15" t="s">
        <v>4784</v>
      </c>
    </row>
    <row r="785" customFormat="false" ht="15.75" hidden="false" customHeight="false" outlineLevel="0" collapsed="false">
      <c r="A785" s="20" t="n">
        <v>46162</v>
      </c>
      <c r="B785" s="15" t="s">
        <v>4785</v>
      </c>
      <c r="C785" s="15" t="s">
        <v>464</v>
      </c>
      <c r="D785" s="15" t="s">
        <v>4772</v>
      </c>
      <c r="E785" s="15" t="s">
        <v>5620</v>
      </c>
      <c r="F785" s="15" t="s">
        <v>464</v>
      </c>
      <c r="G785" s="15" t="s">
        <v>4784</v>
      </c>
    </row>
    <row r="786" customFormat="false" ht="15.75" hidden="false" customHeight="false" outlineLevel="0" collapsed="false">
      <c r="A786" s="20" t="n">
        <v>46162</v>
      </c>
      <c r="B786" s="15" t="s">
        <v>4787</v>
      </c>
      <c r="C786" s="15" t="s">
        <v>504</v>
      </c>
      <c r="D786" s="15" t="s">
        <v>4772</v>
      </c>
      <c r="E786" s="15" t="s">
        <v>5621</v>
      </c>
      <c r="F786" s="15" t="s">
        <v>4789</v>
      </c>
      <c r="G786" s="15" t="s">
        <v>4779</v>
      </c>
    </row>
    <row r="787" customFormat="false" ht="15.75" hidden="false" customHeight="false" outlineLevel="0" collapsed="false">
      <c r="A787" s="20" t="n">
        <v>46162</v>
      </c>
      <c r="B787" s="15" t="s">
        <v>5088</v>
      </c>
      <c r="C787" s="15" t="s">
        <v>504</v>
      </c>
      <c r="D787" s="15" t="s">
        <v>4772</v>
      </c>
      <c r="E787" s="15" t="s">
        <v>5622</v>
      </c>
      <c r="F787" s="15" t="s">
        <v>4789</v>
      </c>
      <c r="G787" s="15" t="s">
        <v>4779</v>
      </c>
    </row>
    <row r="788" customFormat="false" ht="15.75" hidden="false" customHeight="false" outlineLevel="0" collapsed="false">
      <c r="A788" s="20" t="n">
        <v>46162</v>
      </c>
      <c r="B788" s="15" t="s">
        <v>5103</v>
      </c>
      <c r="C788" s="15" t="s">
        <v>454</v>
      </c>
      <c r="D788" s="15" t="s">
        <v>4772</v>
      </c>
      <c r="E788" s="15" t="s">
        <v>5623</v>
      </c>
      <c r="F788" s="15" t="s">
        <v>454</v>
      </c>
      <c r="G788" s="15" t="s">
        <v>4779</v>
      </c>
    </row>
    <row r="789" customFormat="false" ht="15.75" hidden="false" customHeight="false" outlineLevel="0" collapsed="false">
      <c r="A789" s="20" t="n">
        <v>46162</v>
      </c>
      <c r="B789" s="15" t="s">
        <v>5272</v>
      </c>
      <c r="C789" s="15" t="s">
        <v>514</v>
      </c>
      <c r="D789" s="15" t="s">
        <v>4772</v>
      </c>
      <c r="E789" s="15" t="s">
        <v>5624</v>
      </c>
      <c r="F789" s="15" t="s">
        <v>4893</v>
      </c>
      <c r="G789" s="15" t="s">
        <v>4779</v>
      </c>
    </row>
    <row r="790" customFormat="false" ht="15.75" hidden="false" customHeight="false" outlineLevel="0" collapsed="false">
      <c r="A790" s="20" t="n">
        <v>46162</v>
      </c>
      <c r="B790" s="15" t="s">
        <v>4802</v>
      </c>
      <c r="C790" s="15" t="s">
        <v>494</v>
      </c>
      <c r="D790" s="15" t="s">
        <v>4772</v>
      </c>
      <c r="E790" s="15" t="s">
        <v>5625</v>
      </c>
      <c r="F790" s="15" t="s">
        <v>4868</v>
      </c>
      <c r="G790" s="15" t="s">
        <v>4779</v>
      </c>
    </row>
    <row r="791" customFormat="false" ht="15.75" hidden="false" customHeight="false" outlineLevel="0" collapsed="false">
      <c r="A791" s="20" t="n">
        <v>46162</v>
      </c>
      <c r="B791" s="15" t="s">
        <v>4805</v>
      </c>
      <c r="C791" s="15" t="s">
        <v>484</v>
      </c>
      <c r="D791" s="15" t="s">
        <v>4772</v>
      </c>
      <c r="E791" s="15" t="s">
        <v>5626</v>
      </c>
      <c r="F791" s="15" t="s">
        <v>5067</v>
      </c>
      <c r="G791" s="15" t="s">
        <v>4779</v>
      </c>
    </row>
    <row r="792" customFormat="false" ht="15.75" hidden="false" customHeight="false" outlineLevel="0" collapsed="false">
      <c r="A792" s="20" t="n">
        <v>46162</v>
      </c>
      <c r="B792" s="15" t="s">
        <v>4807</v>
      </c>
      <c r="C792" s="15" t="s">
        <v>465</v>
      </c>
      <c r="D792" s="15" t="s">
        <v>4772</v>
      </c>
      <c r="E792" s="15" t="s">
        <v>5627</v>
      </c>
      <c r="F792" s="15" t="s">
        <v>5038</v>
      </c>
      <c r="G792" s="15" t="s">
        <v>4779</v>
      </c>
    </row>
    <row r="793" customFormat="false" ht="15.75" hidden="false" customHeight="false" outlineLevel="0" collapsed="false">
      <c r="A793" s="20" t="n">
        <v>46163</v>
      </c>
      <c r="B793" s="15" t="s">
        <v>4771</v>
      </c>
      <c r="C793" s="15" t="s">
        <v>468</v>
      </c>
      <c r="D793" s="15" t="s">
        <v>4772</v>
      </c>
      <c r="E793" s="15" t="s">
        <v>5628</v>
      </c>
      <c r="F793" s="15" t="s">
        <v>1277</v>
      </c>
      <c r="G793" s="15" t="s">
        <v>4779</v>
      </c>
    </row>
    <row r="794" customFormat="false" ht="15.75" hidden="false" customHeight="false" outlineLevel="0" collapsed="false">
      <c r="A794" s="20" t="n">
        <v>46163</v>
      </c>
      <c r="B794" s="15" t="s">
        <v>4775</v>
      </c>
      <c r="C794" s="15" t="s">
        <v>453</v>
      </c>
      <c r="D794" s="15" t="s">
        <v>4772</v>
      </c>
      <c r="E794" s="15" t="s">
        <v>5629</v>
      </c>
      <c r="F794" s="15" t="s">
        <v>453</v>
      </c>
      <c r="G794" s="15" t="s">
        <v>4784</v>
      </c>
    </row>
    <row r="795" customFormat="false" ht="15.75" hidden="false" customHeight="false" outlineLevel="0" collapsed="false">
      <c r="A795" s="20" t="n">
        <v>46163</v>
      </c>
      <c r="B795" s="15" t="s">
        <v>4782</v>
      </c>
      <c r="C795" s="15" t="s">
        <v>453</v>
      </c>
      <c r="D795" s="15" t="s">
        <v>4772</v>
      </c>
      <c r="E795" s="15" t="s">
        <v>5630</v>
      </c>
      <c r="F795" s="15" t="s">
        <v>453</v>
      </c>
      <c r="G795" s="15" t="s">
        <v>4784</v>
      </c>
    </row>
    <row r="796" customFormat="false" ht="15.75" hidden="false" customHeight="false" outlineLevel="0" collapsed="false">
      <c r="A796" s="20" t="n">
        <v>46163</v>
      </c>
      <c r="B796" s="15" t="s">
        <v>4785</v>
      </c>
      <c r="C796" s="15" t="s">
        <v>464</v>
      </c>
      <c r="D796" s="15" t="s">
        <v>4772</v>
      </c>
      <c r="E796" s="15" t="s">
        <v>5631</v>
      </c>
      <c r="F796" s="15" t="s">
        <v>464</v>
      </c>
      <c r="G796" s="15" t="s">
        <v>4784</v>
      </c>
    </row>
    <row r="797" customFormat="false" ht="15.75" hidden="false" customHeight="false" outlineLevel="0" collapsed="false">
      <c r="A797" s="20" t="n">
        <v>46163</v>
      </c>
      <c r="B797" s="15" t="s">
        <v>4787</v>
      </c>
      <c r="C797" s="15" t="s">
        <v>504</v>
      </c>
      <c r="D797" s="15" t="s">
        <v>4772</v>
      </c>
      <c r="E797" s="15" t="s">
        <v>5632</v>
      </c>
      <c r="F797" s="15" t="s">
        <v>4789</v>
      </c>
      <c r="G797" s="15" t="s">
        <v>4779</v>
      </c>
    </row>
    <row r="798" customFormat="false" ht="15.75" hidden="false" customHeight="false" outlineLevel="0" collapsed="false">
      <c r="A798" s="20" t="n">
        <v>46163</v>
      </c>
      <c r="B798" s="15" t="s">
        <v>5088</v>
      </c>
      <c r="C798" s="15" t="s">
        <v>504</v>
      </c>
      <c r="D798" s="15" t="s">
        <v>4772</v>
      </c>
      <c r="E798" s="15" t="s">
        <v>5633</v>
      </c>
      <c r="F798" s="15" t="s">
        <v>4789</v>
      </c>
      <c r="G798" s="15" t="s">
        <v>4779</v>
      </c>
    </row>
    <row r="799" customFormat="false" ht="15.75" hidden="false" customHeight="false" outlineLevel="0" collapsed="false">
      <c r="A799" s="20" t="n">
        <v>46163</v>
      </c>
      <c r="B799" s="15" t="s">
        <v>5103</v>
      </c>
      <c r="C799" s="15" t="s">
        <v>454</v>
      </c>
      <c r="D799" s="15" t="s">
        <v>4772</v>
      </c>
      <c r="E799" s="15" t="s">
        <v>5634</v>
      </c>
      <c r="F799" s="15" t="s">
        <v>454</v>
      </c>
      <c r="G799" s="15" t="s">
        <v>4779</v>
      </c>
    </row>
    <row r="800" customFormat="false" ht="15.75" hidden="false" customHeight="false" outlineLevel="0" collapsed="false">
      <c r="A800" s="20" t="n">
        <v>46163</v>
      </c>
      <c r="B800" s="15" t="s">
        <v>5272</v>
      </c>
      <c r="C800" s="15" t="s">
        <v>514</v>
      </c>
      <c r="D800" s="15" t="s">
        <v>4772</v>
      </c>
      <c r="E800" s="15" t="s">
        <v>5635</v>
      </c>
      <c r="F800" s="15" t="s">
        <v>4893</v>
      </c>
      <c r="G800" s="15" t="s">
        <v>4779</v>
      </c>
    </row>
    <row r="801" customFormat="false" ht="15.75" hidden="false" customHeight="false" outlineLevel="0" collapsed="false">
      <c r="A801" s="20" t="n">
        <v>46163</v>
      </c>
      <c r="B801" s="15" t="s">
        <v>4805</v>
      </c>
      <c r="C801" s="15" t="s">
        <v>484</v>
      </c>
      <c r="D801" s="15" t="s">
        <v>4772</v>
      </c>
      <c r="E801" s="15" t="s">
        <v>5636</v>
      </c>
      <c r="F801" s="15" t="s">
        <v>5067</v>
      </c>
      <c r="G801" s="15" t="s">
        <v>4779</v>
      </c>
    </row>
    <row r="802" customFormat="false" ht="15.75" hidden="false" customHeight="false" outlineLevel="0" collapsed="false">
      <c r="A802" s="20" t="n">
        <v>46163</v>
      </c>
      <c r="B802" s="15" t="s">
        <v>4807</v>
      </c>
      <c r="C802" s="15" t="s">
        <v>466</v>
      </c>
      <c r="D802" s="15" t="s">
        <v>4772</v>
      </c>
      <c r="E802" s="15" t="s">
        <v>5637</v>
      </c>
      <c r="F802" s="15" t="s">
        <v>5023</v>
      </c>
      <c r="G802" s="15" t="s">
        <v>4779</v>
      </c>
    </row>
    <row r="803" customFormat="false" ht="15.75" hidden="false" customHeight="false" outlineLevel="0" collapsed="false">
      <c r="A803" s="20" t="n">
        <v>46164</v>
      </c>
      <c r="B803" s="15" t="s">
        <v>4771</v>
      </c>
      <c r="C803" s="15" t="s">
        <v>468</v>
      </c>
      <c r="D803" s="15" t="s">
        <v>4772</v>
      </c>
      <c r="E803" s="15" t="s">
        <v>5638</v>
      </c>
      <c r="F803" s="15" t="s">
        <v>1277</v>
      </c>
      <c r="G803" s="15" t="s">
        <v>4779</v>
      </c>
    </row>
    <row r="804" customFormat="false" ht="15.75" hidden="false" customHeight="false" outlineLevel="0" collapsed="false">
      <c r="A804" s="20" t="n">
        <v>46164</v>
      </c>
      <c r="B804" s="15" t="s">
        <v>4775</v>
      </c>
      <c r="C804" s="15" t="s">
        <v>453</v>
      </c>
      <c r="D804" s="15" t="s">
        <v>4772</v>
      </c>
      <c r="E804" s="15" t="s">
        <v>5639</v>
      </c>
      <c r="F804" s="15" t="s">
        <v>453</v>
      </c>
      <c r="G804" s="15" t="s">
        <v>4784</v>
      </c>
    </row>
    <row r="805" customFormat="false" ht="15.75" hidden="false" customHeight="false" outlineLevel="0" collapsed="false">
      <c r="A805" s="20" t="n">
        <v>46164</v>
      </c>
      <c r="B805" s="15" t="s">
        <v>4782</v>
      </c>
      <c r="C805" s="15" t="s">
        <v>453</v>
      </c>
      <c r="D805" s="15" t="s">
        <v>4772</v>
      </c>
      <c r="E805" s="15" t="s">
        <v>5640</v>
      </c>
      <c r="F805" s="15" t="s">
        <v>453</v>
      </c>
      <c r="G805" s="15" t="s">
        <v>4784</v>
      </c>
    </row>
    <row r="806" customFormat="false" ht="15.75" hidden="false" customHeight="false" outlineLevel="0" collapsed="false">
      <c r="A806" s="20" t="n">
        <v>46164</v>
      </c>
      <c r="B806" s="15" t="s">
        <v>4785</v>
      </c>
      <c r="C806" s="15" t="s">
        <v>464</v>
      </c>
      <c r="D806" s="15" t="s">
        <v>4772</v>
      </c>
      <c r="E806" s="15" t="s">
        <v>5641</v>
      </c>
      <c r="F806" s="15" t="s">
        <v>464</v>
      </c>
      <c r="G806" s="15" t="s">
        <v>4784</v>
      </c>
    </row>
    <row r="807" customFormat="false" ht="15.75" hidden="false" customHeight="false" outlineLevel="0" collapsed="false">
      <c r="A807" s="20" t="n">
        <v>46164</v>
      </c>
      <c r="B807" s="15" t="s">
        <v>4787</v>
      </c>
      <c r="C807" s="15" t="s">
        <v>504</v>
      </c>
      <c r="D807" s="15" t="s">
        <v>4772</v>
      </c>
      <c r="E807" s="15" t="s">
        <v>5642</v>
      </c>
      <c r="F807" s="15" t="s">
        <v>4789</v>
      </c>
      <c r="G807" s="15" t="s">
        <v>4779</v>
      </c>
    </row>
    <row r="808" customFormat="false" ht="15.75" hidden="false" customHeight="false" outlineLevel="0" collapsed="false">
      <c r="A808" s="20" t="n">
        <v>46164</v>
      </c>
      <c r="B808" s="15" t="s">
        <v>5088</v>
      </c>
      <c r="C808" s="15" t="s">
        <v>504</v>
      </c>
      <c r="D808" s="15" t="s">
        <v>4772</v>
      </c>
      <c r="E808" s="15" t="s">
        <v>5643</v>
      </c>
      <c r="F808" s="15" t="s">
        <v>4789</v>
      </c>
      <c r="G808" s="15" t="s">
        <v>4779</v>
      </c>
    </row>
    <row r="809" customFormat="false" ht="15.75" hidden="false" customHeight="false" outlineLevel="0" collapsed="false">
      <c r="A809" s="20" t="n">
        <v>46164</v>
      </c>
      <c r="B809" s="15" t="s">
        <v>5103</v>
      </c>
      <c r="C809" s="15" t="s">
        <v>454</v>
      </c>
      <c r="D809" s="15" t="s">
        <v>4772</v>
      </c>
      <c r="E809" s="15" t="s">
        <v>5644</v>
      </c>
      <c r="F809" s="15" t="s">
        <v>454</v>
      </c>
      <c r="G809" s="15" t="s">
        <v>4779</v>
      </c>
    </row>
    <row r="810" customFormat="false" ht="15.75" hidden="false" customHeight="false" outlineLevel="0" collapsed="false">
      <c r="A810" s="20" t="n">
        <v>46164</v>
      </c>
      <c r="B810" s="15" t="s">
        <v>5272</v>
      </c>
      <c r="C810" s="15" t="s">
        <v>514</v>
      </c>
      <c r="D810" s="15" t="s">
        <v>4772</v>
      </c>
      <c r="E810" s="15" t="s">
        <v>5645</v>
      </c>
      <c r="F810" s="15" t="s">
        <v>4893</v>
      </c>
      <c r="G810" s="15" t="s">
        <v>4779</v>
      </c>
    </row>
    <row r="811" customFormat="false" ht="15.75" hidden="false" customHeight="false" outlineLevel="0" collapsed="false">
      <c r="A811" s="20" t="n">
        <v>46164</v>
      </c>
      <c r="B811" s="15" t="s">
        <v>4805</v>
      </c>
      <c r="C811" s="15" t="s">
        <v>484</v>
      </c>
      <c r="D811" s="15" t="s">
        <v>4772</v>
      </c>
      <c r="E811" s="15" t="s">
        <v>5646</v>
      </c>
      <c r="F811" s="15" t="s">
        <v>5067</v>
      </c>
      <c r="G811" s="15" t="s">
        <v>4779</v>
      </c>
    </row>
    <row r="812" customFormat="false" ht="15.75" hidden="false" customHeight="false" outlineLevel="0" collapsed="false">
      <c r="A812" s="20" t="n">
        <v>46164</v>
      </c>
      <c r="B812" s="15" t="s">
        <v>4807</v>
      </c>
      <c r="C812" s="15" t="s">
        <v>466</v>
      </c>
      <c r="D812" s="15" t="s">
        <v>4772</v>
      </c>
      <c r="E812" s="15" t="s">
        <v>5647</v>
      </c>
      <c r="F812" s="15" t="s">
        <v>5023</v>
      </c>
      <c r="G812" s="15" t="s">
        <v>4779</v>
      </c>
    </row>
    <row r="813" customFormat="false" ht="15.75" hidden="false" customHeight="false" outlineLevel="0" collapsed="false">
      <c r="A813" s="20" t="n">
        <v>46165</v>
      </c>
      <c r="B813" s="15" t="s">
        <v>4775</v>
      </c>
      <c r="C813" s="15" t="s">
        <v>453</v>
      </c>
      <c r="D813" s="15" t="s">
        <v>4772</v>
      </c>
      <c r="E813" s="15" t="s">
        <v>5648</v>
      </c>
      <c r="F813" s="15" t="s">
        <v>453</v>
      </c>
      <c r="G813" s="15" t="s">
        <v>4784</v>
      </c>
    </row>
    <row r="814" customFormat="false" ht="15.75" hidden="false" customHeight="false" outlineLevel="0" collapsed="false">
      <c r="A814" s="20" t="n">
        <v>46165</v>
      </c>
      <c r="B814" s="15" t="s">
        <v>4782</v>
      </c>
      <c r="C814" s="15" t="s">
        <v>453</v>
      </c>
      <c r="D814" s="15" t="s">
        <v>4772</v>
      </c>
      <c r="E814" s="15" t="s">
        <v>5649</v>
      </c>
      <c r="F814" s="15" t="s">
        <v>453</v>
      </c>
      <c r="G814" s="15" t="s">
        <v>4784</v>
      </c>
    </row>
    <row r="815" customFormat="false" ht="15.75" hidden="false" customHeight="false" outlineLevel="0" collapsed="false">
      <c r="A815" s="20" t="n">
        <v>46165</v>
      </c>
      <c r="B815" s="15" t="s">
        <v>4785</v>
      </c>
      <c r="C815" s="15" t="s">
        <v>464</v>
      </c>
      <c r="D815" s="15" t="s">
        <v>4772</v>
      </c>
      <c r="E815" s="15" t="s">
        <v>5650</v>
      </c>
      <c r="F815" s="15" t="s">
        <v>464</v>
      </c>
      <c r="G815" s="15" t="s">
        <v>4784</v>
      </c>
    </row>
    <row r="816" customFormat="false" ht="15.75" hidden="false" customHeight="false" outlineLevel="0" collapsed="false">
      <c r="A816" s="20" t="n">
        <v>46165</v>
      </c>
      <c r="B816" s="15" t="s">
        <v>4787</v>
      </c>
      <c r="C816" s="15" t="s">
        <v>504</v>
      </c>
      <c r="D816" s="15" t="s">
        <v>4772</v>
      </c>
      <c r="E816" s="15" t="s">
        <v>5651</v>
      </c>
      <c r="F816" s="15" t="s">
        <v>4789</v>
      </c>
      <c r="G816" s="15" t="s">
        <v>4779</v>
      </c>
    </row>
    <row r="817" customFormat="false" ht="15.75" hidden="false" customHeight="false" outlineLevel="0" collapsed="false">
      <c r="A817" s="20" t="n">
        <v>46165</v>
      </c>
      <c r="B817" s="15" t="s">
        <v>5088</v>
      </c>
      <c r="C817" s="15" t="s">
        <v>504</v>
      </c>
      <c r="D817" s="15" t="s">
        <v>4772</v>
      </c>
      <c r="E817" s="15" t="s">
        <v>5652</v>
      </c>
      <c r="F817" s="15" t="s">
        <v>4789</v>
      </c>
      <c r="G817" s="15" t="s">
        <v>4779</v>
      </c>
    </row>
    <row r="818" customFormat="false" ht="15.75" hidden="false" customHeight="false" outlineLevel="0" collapsed="false">
      <c r="A818" s="20" t="n">
        <v>46165</v>
      </c>
      <c r="B818" s="15" t="s">
        <v>5103</v>
      </c>
      <c r="C818" s="15" t="s">
        <v>454</v>
      </c>
      <c r="D818" s="15" t="s">
        <v>4772</v>
      </c>
      <c r="E818" s="15" t="s">
        <v>5653</v>
      </c>
      <c r="F818" s="15" t="s">
        <v>454</v>
      </c>
      <c r="G818" s="15" t="s">
        <v>4779</v>
      </c>
    </row>
    <row r="819" customFormat="false" ht="15.75" hidden="false" customHeight="false" outlineLevel="0" collapsed="false">
      <c r="A819" s="20" t="n">
        <v>46165</v>
      </c>
      <c r="B819" s="15" t="s">
        <v>5272</v>
      </c>
      <c r="C819" s="15" t="s">
        <v>458</v>
      </c>
      <c r="D819" s="15" t="s">
        <v>4772</v>
      </c>
      <c r="E819" s="15" t="s">
        <v>5654</v>
      </c>
      <c r="F819" s="15" t="s">
        <v>458</v>
      </c>
      <c r="G819" s="15" t="s">
        <v>4779</v>
      </c>
    </row>
    <row r="820" customFormat="false" ht="15.75" hidden="false" customHeight="false" outlineLevel="0" collapsed="false">
      <c r="A820" s="20" t="n">
        <v>46167</v>
      </c>
      <c r="B820" s="15" t="s">
        <v>4771</v>
      </c>
      <c r="C820" s="15" t="s">
        <v>468</v>
      </c>
      <c r="D820" s="15" t="s">
        <v>4772</v>
      </c>
      <c r="E820" s="15" t="s">
        <v>5655</v>
      </c>
      <c r="F820" s="15" t="s">
        <v>1277</v>
      </c>
      <c r="G820" s="15" t="s">
        <v>4779</v>
      </c>
    </row>
    <row r="821" customFormat="false" ht="15.75" hidden="false" customHeight="false" outlineLevel="0" collapsed="false">
      <c r="A821" s="20" t="n">
        <v>46167</v>
      </c>
      <c r="B821" s="15" t="s">
        <v>4775</v>
      </c>
      <c r="C821" s="15" t="s">
        <v>453</v>
      </c>
      <c r="D821" s="15" t="s">
        <v>4772</v>
      </c>
      <c r="E821" s="15" t="s">
        <v>5656</v>
      </c>
      <c r="F821" s="15" t="s">
        <v>453</v>
      </c>
      <c r="G821" s="15" t="s">
        <v>4784</v>
      </c>
    </row>
    <row r="822" customFormat="false" ht="15.75" hidden="false" customHeight="false" outlineLevel="0" collapsed="false">
      <c r="A822" s="20" t="n">
        <v>46167</v>
      </c>
      <c r="B822" s="15" t="s">
        <v>4782</v>
      </c>
      <c r="C822" s="15" t="s">
        <v>453</v>
      </c>
      <c r="D822" s="15" t="s">
        <v>4772</v>
      </c>
      <c r="E822" s="15" t="s">
        <v>5657</v>
      </c>
      <c r="F822" s="15" t="s">
        <v>453</v>
      </c>
      <c r="G822" s="15" t="s">
        <v>4784</v>
      </c>
    </row>
    <row r="823" customFormat="false" ht="15.75" hidden="false" customHeight="false" outlineLevel="0" collapsed="false">
      <c r="A823" s="20" t="n">
        <v>46167</v>
      </c>
      <c r="B823" s="15" t="s">
        <v>4785</v>
      </c>
      <c r="C823" s="15" t="s">
        <v>464</v>
      </c>
      <c r="D823" s="15" t="s">
        <v>4772</v>
      </c>
      <c r="E823" s="15" t="s">
        <v>5658</v>
      </c>
      <c r="F823" s="15" t="s">
        <v>464</v>
      </c>
      <c r="G823" s="15" t="s">
        <v>4784</v>
      </c>
    </row>
    <row r="824" customFormat="false" ht="15.75" hidden="false" customHeight="false" outlineLevel="0" collapsed="false">
      <c r="A824" s="20" t="n">
        <v>46167</v>
      </c>
      <c r="B824" s="15" t="s">
        <v>4787</v>
      </c>
      <c r="C824" s="15" t="s">
        <v>504</v>
      </c>
      <c r="D824" s="15" t="s">
        <v>4772</v>
      </c>
      <c r="E824" s="15" t="s">
        <v>5659</v>
      </c>
      <c r="F824" s="15" t="s">
        <v>4789</v>
      </c>
      <c r="G824" s="15" t="s">
        <v>4779</v>
      </c>
    </row>
    <row r="825" customFormat="false" ht="15.75" hidden="false" customHeight="false" outlineLevel="0" collapsed="false">
      <c r="A825" s="20" t="n">
        <v>46167</v>
      </c>
      <c r="B825" s="15" t="s">
        <v>5088</v>
      </c>
      <c r="C825" s="15" t="s">
        <v>504</v>
      </c>
      <c r="D825" s="15" t="s">
        <v>4772</v>
      </c>
      <c r="E825" s="15" t="s">
        <v>5660</v>
      </c>
      <c r="F825" s="15" t="s">
        <v>4789</v>
      </c>
      <c r="G825" s="15" t="s">
        <v>4779</v>
      </c>
    </row>
    <row r="826" customFormat="false" ht="15.75" hidden="false" customHeight="false" outlineLevel="0" collapsed="false">
      <c r="A826" s="20" t="n">
        <v>46167</v>
      </c>
      <c r="B826" s="15" t="s">
        <v>5103</v>
      </c>
      <c r="C826" s="15" t="s">
        <v>454</v>
      </c>
      <c r="D826" s="15" t="s">
        <v>4772</v>
      </c>
      <c r="E826" s="15" t="s">
        <v>5661</v>
      </c>
      <c r="F826" s="15" t="s">
        <v>454</v>
      </c>
      <c r="G826" s="15" t="s">
        <v>4779</v>
      </c>
    </row>
    <row r="827" customFormat="false" ht="15.75" hidden="false" customHeight="false" outlineLevel="0" collapsed="false">
      <c r="A827" s="20" t="n">
        <v>46167</v>
      </c>
      <c r="B827" s="15" t="s">
        <v>5272</v>
      </c>
      <c r="C827" s="15" t="s">
        <v>458</v>
      </c>
      <c r="D827" s="15" t="s">
        <v>4772</v>
      </c>
      <c r="E827" s="15" t="s">
        <v>5662</v>
      </c>
      <c r="F827" s="15" t="s">
        <v>458</v>
      </c>
      <c r="G827" s="15" t="s">
        <v>4779</v>
      </c>
    </row>
    <row r="828" customFormat="false" ht="15.75" hidden="false" customHeight="false" outlineLevel="0" collapsed="false">
      <c r="A828" s="20" t="n">
        <v>46168</v>
      </c>
      <c r="B828" s="15" t="s">
        <v>4771</v>
      </c>
      <c r="C828" s="15" t="s">
        <v>468</v>
      </c>
      <c r="D828" s="15" t="s">
        <v>4772</v>
      </c>
      <c r="E828" s="15" t="s">
        <v>5663</v>
      </c>
      <c r="F828" s="15" t="s">
        <v>1277</v>
      </c>
      <c r="G828" s="15" t="s">
        <v>4779</v>
      </c>
    </row>
    <row r="829" customFormat="false" ht="15.75" hidden="false" customHeight="false" outlineLevel="0" collapsed="false">
      <c r="A829" s="20" t="n">
        <v>46168</v>
      </c>
      <c r="B829" s="15" t="s">
        <v>4775</v>
      </c>
      <c r="C829" s="15" t="s">
        <v>453</v>
      </c>
      <c r="D829" s="15" t="s">
        <v>4772</v>
      </c>
      <c r="E829" s="15" t="s">
        <v>5664</v>
      </c>
      <c r="F829" s="15" t="s">
        <v>453</v>
      </c>
      <c r="G829" s="15" t="s">
        <v>4784</v>
      </c>
    </row>
    <row r="830" customFormat="false" ht="15.75" hidden="false" customHeight="false" outlineLevel="0" collapsed="false">
      <c r="A830" s="20" t="n">
        <v>46168</v>
      </c>
      <c r="B830" s="15" t="s">
        <v>4782</v>
      </c>
      <c r="C830" s="15" t="s">
        <v>453</v>
      </c>
      <c r="D830" s="15" t="s">
        <v>4772</v>
      </c>
      <c r="E830" s="15" t="s">
        <v>5665</v>
      </c>
      <c r="F830" s="15" t="s">
        <v>453</v>
      </c>
      <c r="G830" s="15" t="s">
        <v>4784</v>
      </c>
    </row>
    <row r="831" customFormat="false" ht="15.75" hidden="false" customHeight="false" outlineLevel="0" collapsed="false">
      <c r="A831" s="20" t="n">
        <v>46168</v>
      </c>
      <c r="B831" s="15" t="s">
        <v>4785</v>
      </c>
      <c r="C831" s="15" t="s">
        <v>464</v>
      </c>
      <c r="D831" s="15" t="s">
        <v>4772</v>
      </c>
      <c r="E831" s="15" t="s">
        <v>5666</v>
      </c>
      <c r="F831" s="15" t="s">
        <v>464</v>
      </c>
      <c r="G831" s="15" t="s">
        <v>4784</v>
      </c>
    </row>
    <row r="832" customFormat="false" ht="15.75" hidden="false" customHeight="false" outlineLevel="0" collapsed="false">
      <c r="A832" s="20" t="n">
        <v>46168</v>
      </c>
      <c r="B832" s="15" t="s">
        <v>4787</v>
      </c>
      <c r="C832" s="15" t="s">
        <v>504</v>
      </c>
      <c r="D832" s="15" t="s">
        <v>4772</v>
      </c>
      <c r="E832" s="15" t="s">
        <v>5667</v>
      </c>
      <c r="F832" s="15" t="s">
        <v>4789</v>
      </c>
      <c r="G832" s="15" t="s">
        <v>4779</v>
      </c>
    </row>
    <row r="833" customFormat="false" ht="15.75" hidden="false" customHeight="false" outlineLevel="0" collapsed="false">
      <c r="A833" s="20" t="n">
        <v>46168</v>
      </c>
      <c r="B833" s="15" t="s">
        <v>5088</v>
      </c>
      <c r="C833" s="15" t="s">
        <v>504</v>
      </c>
      <c r="D833" s="15" t="s">
        <v>4772</v>
      </c>
      <c r="E833" s="15" t="s">
        <v>5668</v>
      </c>
      <c r="F833" s="15" t="s">
        <v>4789</v>
      </c>
      <c r="G833" s="15" t="s">
        <v>4779</v>
      </c>
    </row>
    <row r="834" customFormat="false" ht="15.75" hidden="false" customHeight="false" outlineLevel="0" collapsed="false">
      <c r="A834" s="20" t="n">
        <v>46168</v>
      </c>
      <c r="B834" s="15" t="s">
        <v>5103</v>
      </c>
      <c r="C834" s="15" t="s">
        <v>508</v>
      </c>
      <c r="D834" s="15" t="s">
        <v>4772</v>
      </c>
      <c r="E834" s="15" t="s">
        <v>5669</v>
      </c>
      <c r="F834" s="15" t="s">
        <v>4778</v>
      </c>
      <c r="G834" s="15" t="s">
        <v>4779</v>
      </c>
    </row>
    <row r="835" customFormat="false" ht="15.75" hidden="false" customHeight="false" outlineLevel="0" collapsed="false">
      <c r="A835" s="20" t="n">
        <v>46168</v>
      </c>
      <c r="B835" s="15" t="s">
        <v>5272</v>
      </c>
      <c r="C835" s="15" t="s">
        <v>460</v>
      </c>
      <c r="D835" s="15" t="s">
        <v>4772</v>
      </c>
      <c r="E835" s="15" t="s">
        <v>5670</v>
      </c>
      <c r="F835" s="15" t="s">
        <v>460</v>
      </c>
      <c r="G835" s="15" t="s">
        <v>4779</v>
      </c>
    </row>
    <row r="836" customFormat="false" ht="15.75" hidden="false" customHeight="false" outlineLevel="0" collapsed="false">
      <c r="A836" s="20" t="n">
        <v>46169</v>
      </c>
      <c r="B836" s="15" t="s">
        <v>4771</v>
      </c>
      <c r="C836" s="15" t="s">
        <v>468</v>
      </c>
      <c r="D836" s="15" t="s">
        <v>4772</v>
      </c>
      <c r="E836" s="15" t="s">
        <v>5671</v>
      </c>
      <c r="F836" s="15" t="s">
        <v>1277</v>
      </c>
      <c r="G836" s="15" t="s">
        <v>4779</v>
      </c>
    </row>
    <row r="837" customFormat="false" ht="15.75" hidden="false" customHeight="false" outlineLevel="0" collapsed="false">
      <c r="A837" s="20" t="n">
        <v>46169</v>
      </c>
      <c r="B837" s="15" t="s">
        <v>4775</v>
      </c>
      <c r="C837" s="15" t="s">
        <v>453</v>
      </c>
      <c r="D837" s="15" t="s">
        <v>4772</v>
      </c>
      <c r="E837" s="15" t="s">
        <v>5672</v>
      </c>
      <c r="F837" s="15" t="s">
        <v>453</v>
      </c>
      <c r="G837" s="15" t="s">
        <v>4784</v>
      </c>
    </row>
    <row r="838" customFormat="false" ht="15.75" hidden="false" customHeight="false" outlineLevel="0" collapsed="false">
      <c r="A838" s="20" t="n">
        <v>46169</v>
      </c>
      <c r="B838" s="15" t="s">
        <v>4782</v>
      </c>
      <c r="C838" s="15" t="s">
        <v>453</v>
      </c>
      <c r="D838" s="15" t="s">
        <v>4772</v>
      </c>
      <c r="E838" s="15" t="s">
        <v>5673</v>
      </c>
      <c r="F838" s="15" t="s">
        <v>453</v>
      </c>
      <c r="G838" s="15" t="s">
        <v>4784</v>
      </c>
    </row>
    <row r="839" customFormat="false" ht="15.75" hidden="false" customHeight="false" outlineLevel="0" collapsed="false">
      <c r="A839" s="20" t="n">
        <v>46169</v>
      </c>
      <c r="B839" s="15" t="s">
        <v>4785</v>
      </c>
      <c r="C839" s="15" t="s">
        <v>464</v>
      </c>
      <c r="D839" s="15" t="s">
        <v>4772</v>
      </c>
      <c r="E839" s="15" t="s">
        <v>5674</v>
      </c>
      <c r="F839" s="15" t="s">
        <v>464</v>
      </c>
      <c r="G839" s="15" t="s">
        <v>4784</v>
      </c>
    </row>
    <row r="840" customFormat="false" ht="15.75" hidden="false" customHeight="false" outlineLevel="0" collapsed="false">
      <c r="A840" s="20" t="n">
        <v>46169</v>
      </c>
      <c r="B840" s="15" t="s">
        <v>4787</v>
      </c>
      <c r="C840" s="15" t="s">
        <v>504</v>
      </c>
      <c r="D840" s="15" t="s">
        <v>4772</v>
      </c>
      <c r="E840" s="15" t="s">
        <v>5675</v>
      </c>
      <c r="F840" s="15" t="s">
        <v>4789</v>
      </c>
      <c r="G840" s="15" t="s">
        <v>4779</v>
      </c>
    </row>
    <row r="841" customFormat="false" ht="15.75" hidden="false" customHeight="false" outlineLevel="0" collapsed="false">
      <c r="A841" s="20" t="n">
        <v>46169</v>
      </c>
      <c r="B841" s="15" t="s">
        <v>5088</v>
      </c>
      <c r="C841" s="15" t="s">
        <v>504</v>
      </c>
      <c r="D841" s="15" t="s">
        <v>4772</v>
      </c>
      <c r="E841" s="15" t="s">
        <v>5676</v>
      </c>
      <c r="F841" s="15" t="s">
        <v>4789</v>
      </c>
      <c r="G841" s="15" t="s">
        <v>4779</v>
      </c>
    </row>
    <row r="842" customFormat="false" ht="15.75" hidden="false" customHeight="false" outlineLevel="0" collapsed="false">
      <c r="A842" s="20" t="n">
        <v>46169</v>
      </c>
      <c r="B842" s="15" t="s">
        <v>5103</v>
      </c>
      <c r="C842" s="15" t="s">
        <v>508</v>
      </c>
      <c r="D842" s="15" t="s">
        <v>4772</v>
      </c>
      <c r="E842" s="15" t="s">
        <v>5677</v>
      </c>
      <c r="F842" s="15" t="s">
        <v>4778</v>
      </c>
      <c r="G842" s="15" t="s">
        <v>4779</v>
      </c>
    </row>
    <row r="843" customFormat="false" ht="15.75" hidden="false" customHeight="false" outlineLevel="0" collapsed="false">
      <c r="A843" s="20" t="n">
        <v>46169</v>
      </c>
      <c r="B843" s="15" t="s">
        <v>5272</v>
      </c>
      <c r="C843" s="15" t="s">
        <v>461</v>
      </c>
      <c r="D843" s="15" t="s">
        <v>4772</v>
      </c>
      <c r="E843" s="15" t="s">
        <v>5678</v>
      </c>
      <c r="F843" s="15" t="s">
        <v>461</v>
      </c>
      <c r="G843" s="15" t="s">
        <v>4779</v>
      </c>
    </row>
    <row r="844" customFormat="false" ht="15.75" hidden="false" customHeight="false" outlineLevel="0" collapsed="false">
      <c r="A844" s="20" t="n">
        <v>46170</v>
      </c>
      <c r="B844" s="15" t="s">
        <v>4771</v>
      </c>
      <c r="C844" s="15" t="s">
        <v>468</v>
      </c>
      <c r="D844" s="15" t="s">
        <v>4772</v>
      </c>
      <c r="E844" s="15" t="s">
        <v>5679</v>
      </c>
      <c r="F844" s="15" t="s">
        <v>1277</v>
      </c>
      <c r="G844" s="15" t="s">
        <v>4779</v>
      </c>
    </row>
    <row r="845" customFormat="false" ht="15.75" hidden="false" customHeight="false" outlineLevel="0" collapsed="false">
      <c r="A845" s="20" t="n">
        <v>46170</v>
      </c>
      <c r="B845" s="15" t="s">
        <v>4775</v>
      </c>
      <c r="C845" s="15" t="s">
        <v>453</v>
      </c>
      <c r="D845" s="15" t="s">
        <v>4772</v>
      </c>
      <c r="E845" s="15" t="s">
        <v>5680</v>
      </c>
      <c r="F845" s="15" t="s">
        <v>453</v>
      </c>
      <c r="G845" s="15" t="s">
        <v>4784</v>
      </c>
    </row>
    <row r="846" customFormat="false" ht="15.75" hidden="false" customHeight="false" outlineLevel="0" collapsed="false">
      <c r="A846" s="20" t="n">
        <v>46170</v>
      </c>
      <c r="B846" s="15" t="s">
        <v>4782</v>
      </c>
      <c r="C846" s="15" t="s">
        <v>453</v>
      </c>
      <c r="D846" s="15" t="s">
        <v>4772</v>
      </c>
      <c r="E846" s="15" t="s">
        <v>5681</v>
      </c>
      <c r="F846" s="15" t="s">
        <v>453</v>
      </c>
      <c r="G846" s="15" t="s">
        <v>4784</v>
      </c>
    </row>
    <row r="847" customFormat="false" ht="15.75" hidden="false" customHeight="false" outlineLevel="0" collapsed="false">
      <c r="A847" s="20" t="n">
        <v>46170</v>
      </c>
      <c r="B847" s="15" t="s">
        <v>4785</v>
      </c>
      <c r="C847" s="15" t="s">
        <v>464</v>
      </c>
      <c r="D847" s="15" t="s">
        <v>4772</v>
      </c>
      <c r="E847" s="15" t="s">
        <v>5682</v>
      </c>
      <c r="F847" s="15" t="s">
        <v>464</v>
      </c>
      <c r="G847" s="15" t="s">
        <v>4784</v>
      </c>
    </row>
    <row r="848" customFormat="false" ht="15.75" hidden="false" customHeight="false" outlineLevel="0" collapsed="false">
      <c r="A848" s="20" t="n">
        <v>46170</v>
      </c>
      <c r="B848" s="15" t="s">
        <v>4787</v>
      </c>
      <c r="C848" s="15" t="s">
        <v>504</v>
      </c>
      <c r="D848" s="15" t="s">
        <v>4772</v>
      </c>
      <c r="E848" s="15" t="s">
        <v>5683</v>
      </c>
      <c r="F848" s="15" t="s">
        <v>4789</v>
      </c>
      <c r="G848" s="15" t="s">
        <v>4779</v>
      </c>
    </row>
    <row r="849" customFormat="false" ht="15.75" hidden="false" customHeight="false" outlineLevel="0" collapsed="false">
      <c r="A849" s="20" t="n">
        <v>46170</v>
      </c>
      <c r="B849" s="15" t="s">
        <v>5088</v>
      </c>
      <c r="C849" s="15" t="s">
        <v>504</v>
      </c>
      <c r="D849" s="15" t="s">
        <v>4772</v>
      </c>
      <c r="E849" s="15" t="s">
        <v>5684</v>
      </c>
      <c r="F849" s="15" t="s">
        <v>4789</v>
      </c>
      <c r="G849" s="15" t="s">
        <v>4779</v>
      </c>
    </row>
    <row r="850" customFormat="false" ht="15.75" hidden="false" customHeight="false" outlineLevel="0" collapsed="false">
      <c r="A850" s="20" t="n">
        <v>46170</v>
      </c>
      <c r="B850" s="15" t="s">
        <v>5103</v>
      </c>
      <c r="C850" s="15" t="s">
        <v>508</v>
      </c>
      <c r="D850" s="15" t="s">
        <v>4772</v>
      </c>
      <c r="E850" s="15" t="s">
        <v>5685</v>
      </c>
      <c r="F850" s="15" t="s">
        <v>4778</v>
      </c>
      <c r="G850" s="15" t="s">
        <v>4779</v>
      </c>
    </row>
    <row r="851" customFormat="false" ht="15.75" hidden="false" customHeight="false" outlineLevel="0" collapsed="false">
      <c r="A851" s="20" t="n">
        <v>46170</v>
      </c>
      <c r="B851" s="15" t="s">
        <v>5272</v>
      </c>
      <c r="C851" s="15" t="s">
        <v>457</v>
      </c>
      <c r="D851" s="15" t="s">
        <v>4772</v>
      </c>
      <c r="E851" s="15" t="s">
        <v>5686</v>
      </c>
      <c r="F851" s="15" t="s">
        <v>457</v>
      </c>
      <c r="G851" s="15" t="s">
        <v>4779</v>
      </c>
    </row>
    <row r="852" customFormat="false" ht="15.75" hidden="false" customHeight="false" outlineLevel="0" collapsed="false">
      <c r="A852" s="20" t="n">
        <v>46171</v>
      </c>
      <c r="B852" s="15" t="s">
        <v>4771</v>
      </c>
      <c r="C852" s="15" t="s">
        <v>468</v>
      </c>
      <c r="D852" s="15" t="s">
        <v>4772</v>
      </c>
      <c r="E852" s="15" t="s">
        <v>5687</v>
      </c>
      <c r="F852" s="15" t="s">
        <v>1277</v>
      </c>
      <c r="G852" s="15" t="s">
        <v>4779</v>
      </c>
    </row>
    <row r="853" customFormat="false" ht="15.75" hidden="false" customHeight="false" outlineLevel="0" collapsed="false">
      <c r="A853" s="20" t="n">
        <v>46171</v>
      </c>
      <c r="B853" s="15" t="s">
        <v>4775</v>
      </c>
      <c r="C853" s="15" t="s">
        <v>453</v>
      </c>
      <c r="D853" s="15" t="s">
        <v>4772</v>
      </c>
      <c r="E853" s="15" t="s">
        <v>5688</v>
      </c>
      <c r="F853" s="15" t="s">
        <v>453</v>
      </c>
      <c r="G853" s="15" t="s">
        <v>4784</v>
      </c>
    </row>
    <row r="854" customFormat="false" ht="15.75" hidden="false" customHeight="false" outlineLevel="0" collapsed="false">
      <c r="A854" s="20" t="n">
        <v>46171</v>
      </c>
      <c r="B854" s="15" t="s">
        <v>4782</v>
      </c>
      <c r="C854" s="15" t="s">
        <v>453</v>
      </c>
      <c r="D854" s="15" t="s">
        <v>4772</v>
      </c>
      <c r="E854" s="15" t="s">
        <v>5689</v>
      </c>
      <c r="F854" s="15" t="s">
        <v>453</v>
      </c>
      <c r="G854" s="15" t="s">
        <v>4784</v>
      </c>
    </row>
    <row r="855" customFormat="false" ht="15.75" hidden="false" customHeight="false" outlineLevel="0" collapsed="false">
      <c r="A855" s="20" t="n">
        <v>46171</v>
      </c>
      <c r="B855" s="15" t="s">
        <v>4785</v>
      </c>
      <c r="C855" s="15" t="s">
        <v>464</v>
      </c>
      <c r="D855" s="15" t="s">
        <v>4772</v>
      </c>
      <c r="E855" s="15" t="s">
        <v>5690</v>
      </c>
      <c r="F855" s="15" t="s">
        <v>464</v>
      </c>
      <c r="G855" s="15" t="s">
        <v>4784</v>
      </c>
    </row>
    <row r="856" customFormat="false" ht="15.75" hidden="false" customHeight="false" outlineLevel="0" collapsed="false">
      <c r="A856" s="20" t="n">
        <v>46171</v>
      </c>
      <c r="B856" s="15" t="s">
        <v>4787</v>
      </c>
      <c r="C856" s="15" t="s">
        <v>504</v>
      </c>
      <c r="D856" s="15" t="s">
        <v>4772</v>
      </c>
      <c r="E856" s="15" t="s">
        <v>5691</v>
      </c>
      <c r="F856" s="15" t="s">
        <v>4789</v>
      </c>
      <c r="G856" s="15" t="s">
        <v>4779</v>
      </c>
    </row>
    <row r="857" customFormat="false" ht="15.75" hidden="false" customHeight="false" outlineLevel="0" collapsed="false">
      <c r="A857" s="20" t="n">
        <v>46171</v>
      </c>
      <c r="B857" s="15" t="s">
        <v>5088</v>
      </c>
      <c r="C857" s="15" t="s">
        <v>504</v>
      </c>
      <c r="D857" s="15" t="s">
        <v>4772</v>
      </c>
      <c r="E857" s="15" t="s">
        <v>5692</v>
      </c>
      <c r="F857" s="15" t="s">
        <v>4789</v>
      </c>
      <c r="G857" s="15" t="s">
        <v>4779</v>
      </c>
    </row>
    <row r="858" customFormat="false" ht="15.75" hidden="false" customHeight="false" outlineLevel="0" collapsed="false">
      <c r="A858" s="20" t="n">
        <v>46171</v>
      </c>
      <c r="B858" s="15" t="s">
        <v>5103</v>
      </c>
      <c r="C858" s="15" t="s">
        <v>508</v>
      </c>
      <c r="D858" s="15" t="s">
        <v>4772</v>
      </c>
      <c r="E858" s="15" t="s">
        <v>5693</v>
      </c>
      <c r="F858" s="15" t="s">
        <v>4778</v>
      </c>
      <c r="G858" s="15" t="s">
        <v>4779</v>
      </c>
    </row>
    <row r="859" customFormat="false" ht="15.75" hidden="false" customHeight="false" outlineLevel="0" collapsed="false">
      <c r="A859" s="20" t="n">
        <v>46171</v>
      </c>
      <c r="B859" s="15" t="s">
        <v>5272</v>
      </c>
      <c r="C859" s="15" t="s">
        <v>459</v>
      </c>
      <c r="D859" s="15" t="s">
        <v>4772</v>
      </c>
      <c r="E859" s="15" t="s">
        <v>5694</v>
      </c>
      <c r="F859" s="15" t="s">
        <v>459</v>
      </c>
      <c r="G859" s="15" t="s">
        <v>4779</v>
      </c>
    </row>
    <row r="860" customFormat="false" ht="15.75" hidden="false" customHeight="false" outlineLevel="0" collapsed="false">
      <c r="A860" s="20" t="n">
        <v>46175</v>
      </c>
      <c r="B860" s="15" t="s">
        <v>4771</v>
      </c>
      <c r="C860" s="15" t="s">
        <v>468</v>
      </c>
      <c r="D860" s="15" t="s">
        <v>4772</v>
      </c>
      <c r="E860" s="15" t="s">
        <v>5695</v>
      </c>
      <c r="F860" s="15" t="s">
        <v>1277</v>
      </c>
      <c r="G860" s="15" t="s">
        <v>4779</v>
      </c>
    </row>
    <row r="861" customFormat="false" ht="15.75" hidden="false" customHeight="false" outlineLevel="0" collapsed="false">
      <c r="A861" s="20" t="n">
        <v>46175</v>
      </c>
      <c r="B861" s="15" t="s">
        <v>4775</v>
      </c>
      <c r="C861" s="15" t="s">
        <v>453</v>
      </c>
      <c r="D861" s="15" t="s">
        <v>4772</v>
      </c>
      <c r="E861" s="15" t="s">
        <v>5696</v>
      </c>
      <c r="F861" s="15" t="s">
        <v>453</v>
      </c>
      <c r="G861" s="15" t="s">
        <v>4784</v>
      </c>
    </row>
    <row r="862" customFormat="false" ht="15.75" hidden="false" customHeight="false" outlineLevel="0" collapsed="false">
      <c r="A862" s="20" t="n">
        <v>46175</v>
      </c>
      <c r="B862" s="15" t="s">
        <v>4782</v>
      </c>
      <c r="C862" s="15" t="s">
        <v>453</v>
      </c>
      <c r="D862" s="15" t="s">
        <v>4772</v>
      </c>
      <c r="E862" s="15" t="s">
        <v>5697</v>
      </c>
      <c r="F862" s="15" t="s">
        <v>453</v>
      </c>
      <c r="G862" s="15" t="s">
        <v>4784</v>
      </c>
    </row>
    <row r="863" customFormat="false" ht="15.75" hidden="false" customHeight="false" outlineLevel="0" collapsed="false">
      <c r="A863" s="20" t="n">
        <v>46175</v>
      </c>
      <c r="B863" s="15" t="s">
        <v>4785</v>
      </c>
      <c r="C863" s="15" t="s">
        <v>464</v>
      </c>
      <c r="D863" s="15" t="s">
        <v>4772</v>
      </c>
      <c r="E863" s="15" t="s">
        <v>5698</v>
      </c>
      <c r="F863" s="15" t="s">
        <v>464</v>
      </c>
      <c r="G863" s="15" t="s">
        <v>4784</v>
      </c>
    </row>
    <row r="864" customFormat="false" ht="15.75" hidden="false" customHeight="false" outlineLevel="0" collapsed="false">
      <c r="A864" s="20" t="n">
        <v>46175</v>
      </c>
      <c r="B864" s="15" t="s">
        <v>4787</v>
      </c>
      <c r="C864" s="15" t="s">
        <v>504</v>
      </c>
      <c r="D864" s="15" t="s">
        <v>4772</v>
      </c>
      <c r="E864" s="15" t="s">
        <v>5699</v>
      </c>
      <c r="F864" s="15" t="s">
        <v>4789</v>
      </c>
      <c r="G864" s="15" t="s">
        <v>4779</v>
      </c>
    </row>
    <row r="865" customFormat="false" ht="15.75" hidden="false" customHeight="false" outlineLevel="0" collapsed="false">
      <c r="A865" s="20" t="n">
        <v>46175</v>
      </c>
      <c r="B865" s="15" t="s">
        <v>5088</v>
      </c>
      <c r="C865" s="15" t="s">
        <v>504</v>
      </c>
      <c r="D865" s="15" t="s">
        <v>4772</v>
      </c>
      <c r="E865" s="15" t="s">
        <v>5700</v>
      </c>
      <c r="F865" s="15" t="s">
        <v>4789</v>
      </c>
      <c r="G865" s="15" t="s">
        <v>4779</v>
      </c>
    </row>
    <row r="866" customFormat="false" ht="15.75" hidden="false" customHeight="false" outlineLevel="0" collapsed="false">
      <c r="A866" s="20" t="n">
        <v>46175</v>
      </c>
      <c r="B866" s="15" t="s">
        <v>5103</v>
      </c>
      <c r="C866" s="15" t="s">
        <v>508</v>
      </c>
      <c r="D866" s="15" t="s">
        <v>4772</v>
      </c>
      <c r="E866" s="15" t="s">
        <v>5701</v>
      </c>
      <c r="F866" s="15" t="s">
        <v>4778</v>
      </c>
      <c r="G866" s="15" t="s">
        <v>4779</v>
      </c>
    </row>
    <row r="867" customFormat="false" ht="15.75" hidden="false" customHeight="false" outlineLevel="0" collapsed="false">
      <c r="A867" s="20" t="n">
        <v>46175</v>
      </c>
      <c r="B867" s="15" t="s">
        <v>5272</v>
      </c>
      <c r="C867" s="15" t="s">
        <v>457</v>
      </c>
      <c r="D867" s="15" t="s">
        <v>4772</v>
      </c>
      <c r="E867" s="15" t="s">
        <v>5702</v>
      </c>
      <c r="F867" s="15" t="s">
        <v>457</v>
      </c>
      <c r="G867" s="15" t="s">
        <v>4779</v>
      </c>
    </row>
    <row r="868" customFormat="false" ht="15.75" hidden="false" customHeight="false" outlineLevel="0" collapsed="false">
      <c r="A868" s="20" t="n">
        <v>46176</v>
      </c>
      <c r="B868" s="15" t="s">
        <v>4771</v>
      </c>
      <c r="C868" s="15" t="s">
        <v>468</v>
      </c>
      <c r="D868" s="15" t="s">
        <v>4772</v>
      </c>
      <c r="E868" s="15" t="s">
        <v>5703</v>
      </c>
      <c r="F868" s="15" t="s">
        <v>1277</v>
      </c>
      <c r="G868" s="15" t="s">
        <v>4779</v>
      </c>
    </row>
    <row r="869" customFormat="false" ht="15.75" hidden="false" customHeight="false" outlineLevel="0" collapsed="false">
      <c r="A869" s="20" t="n">
        <v>46176</v>
      </c>
      <c r="B869" s="15" t="s">
        <v>4775</v>
      </c>
      <c r="C869" s="15" t="s">
        <v>453</v>
      </c>
      <c r="D869" s="15" t="s">
        <v>4772</v>
      </c>
      <c r="E869" s="15" t="s">
        <v>5704</v>
      </c>
      <c r="F869" s="15" t="s">
        <v>453</v>
      </c>
      <c r="G869" s="15" t="s">
        <v>4784</v>
      </c>
    </row>
    <row r="870" customFormat="false" ht="15.75" hidden="false" customHeight="false" outlineLevel="0" collapsed="false">
      <c r="A870" s="20" t="n">
        <v>46176</v>
      </c>
      <c r="B870" s="15" t="s">
        <v>4782</v>
      </c>
      <c r="C870" s="15" t="s">
        <v>453</v>
      </c>
      <c r="D870" s="15" t="s">
        <v>4772</v>
      </c>
      <c r="E870" s="15" t="s">
        <v>5705</v>
      </c>
      <c r="F870" s="15" t="s">
        <v>453</v>
      </c>
      <c r="G870" s="15" t="s">
        <v>4784</v>
      </c>
    </row>
    <row r="871" customFormat="false" ht="15.75" hidden="false" customHeight="false" outlineLevel="0" collapsed="false">
      <c r="A871" s="20" t="n">
        <v>46176</v>
      </c>
      <c r="B871" s="15" t="s">
        <v>4785</v>
      </c>
      <c r="C871" s="15" t="s">
        <v>464</v>
      </c>
      <c r="D871" s="15" t="s">
        <v>4772</v>
      </c>
      <c r="E871" s="15" t="s">
        <v>5706</v>
      </c>
      <c r="F871" s="15" t="s">
        <v>464</v>
      </c>
      <c r="G871" s="15" t="s">
        <v>4784</v>
      </c>
    </row>
    <row r="872" customFormat="false" ht="15.75" hidden="false" customHeight="false" outlineLevel="0" collapsed="false">
      <c r="A872" s="20" t="n">
        <v>46176</v>
      </c>
      <c r="B872" s="15" t="s">
        <v>4787</v>
      </c>
      <c r="C872" s="15" t="s">
        <v>504</v>
      </c>
      <c r="D872" s="15" t="s">
        <v>4772</v>
      </c>
      <c r="E872" s="15" t="s">
        <v>5707</v>
      </c>
      <c r="F872" s="15" t="s">
        <v>4789</v>
      </c>
      <c r="G872" s="15" t="s">
        <v>4779</v>
      </c>
    </row>
    <row r="873" customFormat="false" ht="15.75" hidden="false" customHeight="false" outlineLevel="0" collapsed="false">
      <c r="A873" s="20" t="n">
        <v>46176</v>
      </c>
      <c r="B873" s="15" t="s">
        <v>5088</v>
      </c>
      <c r="C873" s="15" t="s">
        <v>504</v>
      </c>
      <c r="D873" s="15" t="s">
        <v>4772</v>
      </c>
      <c r="E873" s="15" t="s">
        <v>5708</v>
      </c>
      <c r="F873" s="15" t="s">
        <v>4789</v>
      </c>
      <c r="G873" s="15" t="s">
        <v>4779</v>
      </c>
    </row>
    <row r="874" customFormat="false" ht="15.75" hidden="false" customHeight="false" outlineLevel="0" collapsed="false">
      <c r="A874" s="20" t="n">
        <v>46176</v>
      </c>
      <c r="B874" s="15" t="s">
        <v>5103</v>
      </c>
      <c r="C874" s="15" t="s">
        <v>508</v>
      </c>
      <c r="D874" s="15" t="s">
        <v>4772</v>
      </c>
      <c r="E874" s="15" t="s">
        <v>5709</v>
      </c>
      <c r="F874" s="15" t="s">
        <v>4778</v>
      </c>
      <c r="G874" s="15" t="s">
        <v>4779</v>
      </c>
    </row>
    <row r="875" customFormat="false" ht="15.75" hidden="false" customHeight="false" outlineLevel="0" collapsed="false">
      <c r="A875" s="20" t="n">
        <v>46176</v>
      </c>
      <c r="B875" s="15" t="s">
        <v>5272</v>
      </c>
      <c r="C875" s="15" t="s">
        <v>459</v>
      </c>
      <c r="D875" s="15" t="s">
        <v>4772</v>
      </c>
      <c r="E875" s="15" t="s">
        <v>5710</v>
      </c>
      <c r="F875" s="15" t="s">
        <v>459</v>
      </c>
      <c r="G875" s="15" t="s">
        <v>4779</v>
      </c>
    </row>
    <row r="876" customFormat="false" ht="15.75" hidden="false" customHeight="false" outlineLevel="0" collapsed="false">
      <c r="A876" s="20" t="n">
        <v>46177</v>
      </c>
      <c r="B876" s="15" t="s">
        <v>4771</v>
      </c>
      <c r="C876" s="15" t="s">
        <v>468</v>
      </c>
      <c r="D876" s="15" t="s">
        <v>4772</v>
      </c>
      <c r="E876" s="15" t="s">
        <v>5711</v>
      </c>
      <c r="F876" s="15" t="s">
        <v>1277</v>
      </c>
      <c r="G876" s="15" t="s">
        <v>4779</v>
      </c>
    </row>
    <row r="877" customFormat="false" ht="15.75" hidden="false" customHeight="false" outlineLevel="0" collapsed="false">
      <c r="A877" s="20" t="n">
        <v>46177</v>
      </c>
      <c r="B877" s="15" t="s">
        <v>4775</v>
      </c>
      <c r="C877" s="15" t="s">
        <v>453</v>
      </c>
      <c r="D877" s="15" t="s">
        <v>4772</v>
      </c>
      <c r="E877" s="15" t="s">
        <v>5712</v>
      </c>
      <c r="F877" s="15" t="s">
        <v>453</v>
      </c>
      <c r="G877" s="15" t="s">
        <v>4784</v>
      </c>
    </row>
    <row r="878" customFormat="false" ht="15.75" hidden="false" customHeight="false" outlineLevel="0" collapsed="false">
      <c r="A878" s="20" t="n">
        <v>46177</v>
      </c>
      <c r="B878" s="15" t="s">
        <v>4782</v>
      </c>
      <c r="C878" s="15" t="s">
        <v>453</v>
      </c>
      <c r="D878" s="15" t="s">
        <v>4772</v>
      </c>
      <c r="E878" s="15" t="s">
        <v>5713</v>
      </c>
      <c r="F878" s="15" t="s">
        <v>453</v>
      </c>
      <c r="G878" s="15" t="s">
        <v>4784</v>
      </c>
    </row>
    <row r="879" customFormat="false" ht="15.75" hidden="false" customHeight="false" outlineLevel="0" collapsed="false">
      <c r="A879" s="20" t="n">
        <v>46177</v>
      </c>
      <c r="B879" s="15" t="s">
        <v>4785</v>
      </c>
      <c r="C879" s="15" t="s">
        <v>464</v>
      </c>
      <c r="D879" s="15" t="s">
        <v>4772</v>
      </c>
      <c r="E879" s="15" t="s">
        <v>5714</v>
      </c>
      <c r="F879" s="15" t="s">
        <v>464</v>
      </c>
      <c r="G879" s="15" t="s">
        <v>4784</v>
      </c>
    </row>
    <row r="880" customFormat="false" ht="15.75" hidden="false" customHeight="false" outlineLevel="0" collapsed="false">
      <c r="A880" s="20" t="n">
        <v>46177</v>
      </c>
      <c r="B880" s="15" t="s">
        <v>4787</v>
      </c>
      <c r="C880" s="15" t="s">
        <v>504</v>
      </c>
      <c r="D880" s="15" t="s">
        <v>4772</v>
      </c>
      <c r="E880" s="15" t="s">
        <v>5715</v>
      </c>
      <c r="F880" s="15" t="s">
        <v>4789</v>
      </c>
      <c r="G880" s="15" t="s">
        <v>4779</v>
      </c>
    </row>
    <row r="881" customFormat="false" ht="15.75" hidden="false" customHeight="false" outlineLevel="0" collapsed="false">
      <c r="A881" s="20" t="n">
        <v>46177</v>
      </c>
      <c r="B881" s="15" t="s">
        <v>5088</v>
      </c>
      <c r="C881" s="15" t="s">
        <v>504</v>
      </c>
      <c r="D881" s="15" t="s">
        <v>4772</v>
      </c>
      <c r="E881" s="15" t="s">
        <v>5716</v>
      </c>
      <c r="F881" s="15" t="s">
        <v>4789</v>
      </c>
      <c r="G881" s="15" t="s">
        <v>4779</v>
      </c>
    </row>
    <row r="882" customFormat="false" ht="15.75" hidden="false" customHeight="false" outlineLevel="0" collapsed="false">
      <c r="A882" s="20" t="n">
        <v>46177</v>
      </c>
      <c r="B882" s="15" t="s">
        <v>5103</v>
      </c>
      <c r="C882" s="15" t="s">
        <v>508</v>
      </c>
      <c r="D882" s="15" t="s">
        <v>4772</v>
      </c>
      <c r="E882" s="15" t="s">
        <v>5717</v>
      </c>
      <c r="F882" s="15" t="s">
        <v>4778</v>
      </c>
      <c r="G882" s="15" t="s">
        <v>4779</v>
      </c>
    </row>
    <row r="883" customFormat="false" ht="15.75" hidden="false" customHeight="false" outlineLevel="0" collapsed="false">
      <c r="A883" s="20" t="n">
        <v>46177</v>
      </c>
      <c r="B883" s="15" t="s">
        <v>5272</v>
      </c>
      <c r="C883" s="15" t="s">
        <v>459</v>
      </c>
      <c r="D883" s="15" t="s">
        <v>4772</v>
      </c>
      <c r="E883" s="15" t="s">
        <v>5718</v>
      </c>
      <c r="F883" s="15" t="s">
        <v>459</v>
      </c>
      <c r="G883" s="15" t="s">
        <v>4779</v>
      </c>
    </row>
    <row r="884" customFormat="false" ht="15.75" hidden="false" customHeight="false" outlineLevel="0" collapsed="false">
      <c r="A884" s="20" t="n">
        <v>46178</v>
      </c>
      <c r="B884" s="15" t="s">
        <v>4771</v>
      </c>
      <c r="C884" s="15" t="s">
        <v>468</v>
      </c>
      <c r="D884" s="15" t="s">
        <v>4772</v>
      </c>
      <c r="E884" s="15" t="s">
        <v>5719</v>
      </c>
      <c r="F884" s="15" t="s">
        <v>1277</v>
      </c>
      <c r="G884" s="15" t="s">
        <v>4779</v>
      </c>
    </row>
    <row r="885" customFormat="false" ht="15.75" hidden="false" customHeight="false" outlineLevel="0" collapsed="false">
      <c r="A885" s="20" t="n">
        <v>46178</v>
      </c>
      <c r="B885" s="15" t="s">
        <v>4775</v>
      </c>
      <c r="C885" s="15" t="s">
        <v>453</v>
      </c>
      <c r="D885" s="15" t="s">
        <v>4772</v>
      </c>
      <c r="E885" s="15" t="s">
        <v>5720</v>
      </c>
      <c r="F885" s="15" t="s">
        <v>453</v>
      </c>
      <c r="G885" s="15" t="s">
        <v>4784</v>
      </c>
    </row>
    <row r="886" customFormat="false" ht="15.75" hidden="false" customHeight="false" outlineLevel="0" collapsed="false">
      <c r="A886" s="20" t="n">
        <v>46178</v>
      </c>
      <c r="B886" s="15" t="s">
        <v>4782</v>
      </c>
      <c r="C886" s="15" t="s">
        <v>453</v>
      </c>
      <c r="D886" s="15" t="s">
        <v>4772</v>
      </c>
      <c r="E886" s="15" t="s">
        <v>5721</v>
      </c>
      <c r="F886" s="15" t="s">
        <v>453</v>
      </c>
      <c r="G886" s="15" t="s">
        <v>4784</v>
      </c>
    </row>
    <row r="887" customFormat="false" ht="15.75" hidden="false" customHeight="false" outlineLevel="0" collapsed="false">
      <c r="A887" s="20" t="n">
        <v>46178</v>
      </c>
      <c r="B887" s="15" t="s">
        <v>4785</v>
      </c>
      <c r="C887" s="15" t="s">
        <v>464</v>
      </c>
      <c r="D887" s="15" t="s">
        <v>4772</v>
      </c>
      <c r="E887" s="15" t="s">
        <v>5722</v>
      </c>
      <c r="F887" s="15" t="s">
        <v>464</v>
      </c>
      <c r="G887" s="15" t="s">
        <v>4784</v>
      </c>
    </row>
    <row r="888" customFormat="false" ht="15.75" hidden="false" customHeight="false" outlineLevel="0" collapsed="false">
      <c r="A888" s="20" t="n">
        <v>46178</v>
      </c>
      <c r="B888" s="15" t="s">
        <v>4787</v>
      </c>
      <c r="C888" s="15" t="s">
        <v>504</v>
      </c>
      <c r="D888" s="15" t="s">
        <v>4772</v>
      </c>
      <c r="E888" s="15" t="s">
        <v>5723</v>
      </c>
      <c r="F888" s="15" t="s">
        <v>4789</v>
      </c>
      <c r="G888" s="15" t="s">
        <v>4779</v>
      </c>
    </row>
    <row r="889" customFormat="false" ht="15.75" hidden="false" customHeight="false" outlineLevel="0" collapsed="false">
      <c r="A889" s="20" t="n">
        <v>46178</v>
      </c>
      <c r="B889" s="15" t="s">
        <v>5088</v>
      </c>
      <c r="C889" s="15" t="s">
        <v>504</v>
      </c>
      <c r="D889" s="15" t="s">
        <v>4772</v>
      </c>
      <c r="E889" s="15" t="s">
        <v>5724</v>
      </c>
      <c r="F889" s="15" t="s">
        <v>4789</v>
      </c>
      <c r="G889" s="15" t="s">
        <v>4779</v>
      </c>
    </row>
    <row r="890" customFormat="false" ht="15.75" hidden="false" customHeight="false" outlineLevel="0" collapsed="false">
      <c r="A890" s="20" t="n">
        <v>46178</v>
      </c>
      <c r="B890" s="15" t="s">
        <v>5103</v>
      </c>
      <c r="C890" s="15" t="s">
        <v>508</v>
      </c>
      <c r="D890" s="15" t="s">
        <v>4772</v>
      </c>
      <c r="E890" s="15" t="s">
        <v>5725</v>
      </c>
      <c r="F890" s="15" t="s">
        <v>4778</v>
      </c>
      <c r="G890" s="15" t="s">
        <v>4779</v>
      </c>
    </row>
    <row r="891" customFormat="false" ht="15.75" hidden="false" customHeight="false" outlineLevel="0" collapsed="false">
      <c r="A891" s="20" t="n">
        <v>46178</v>
      </c>
      <c r="B891" s="15" t="s">
        <v>5272</v>
      </c>
      <c r="C891" s="15" t="s">
        <v>462</v>
      </c>
      <c r="D891" s="15" t="s">
        <v>4772</v>
      </c>
      <c r="E891" s="15" t="s">
        <v>5726</v>
      </c>
      <c r="F891" s="15" t="s">
        <v>462</v>
      </c>
      <c r="G891" s="15" t="s">
        <v>4779</v>
      </c>
    </row>
    <row r="892" customFormat="false" ht="15.75" hidden="false" customHeight="false" outlineLevel="0" collapsed="false">
      <c r="A892" s="20" t="n">
        <v>46179</v>
      </c>
      <c r="B892" s="15" t="s">
        <v>4775</v>
      </c>
      <c r="C892" s="15" t="s">
        <v>453</v>
      </c>
      <c r="D892" s="15" t="s">
        <v>4772</v>
      </c>
      <c r="E892" s="15" t="s">
        <v>5727</v>
      </c>
      <c r="F892" s="15" t="s">
        <v>453</v>
      </c>
      <c r="G892" s="15" t="s">
        <v>4784</v>
      </c>
    </row>
    <row r="893" customFormat="false" ht="15.75" hidden="false" customHeight="false" outlineLevel="0" collapsed="false">
      <c r="A893" s="20" t="n">
        <v>46179</v>
      </c>
      <c r="B893" s="15" t="s">
        <v>4782</v>
      </c>
      <c r="C893" s="15" t="s">
        <v>453</v>
      </c>
      <c r="D893" s="15" t="s">
        <v>4772</v>
      </c>
      <c r="E893" s="15" t="s">
        <v>5728</v>
      </c>
      <c r="F893" s="15" t="s">
        <v>453</v>
      </c>
      <c r="G893" s="15" t="s">
        <v>4784</v>
      </c>
    </row>
    <row r="894" customFormat="false" ht="15.75" hidden="false" customHeight="false" outlineLevel="0" collapsed="false">
      <c r="A894" s="20" t="n">
        <v>46179</v>
      </c>
      <c r="B894" s="15" t="s">
        <v>4785</v>
      </c>
      <c r="C894" s="15" t="s">
        <v>464</v>
      </c>
      <c r="D894" s="15" t="s">
        <v>4772</v>
      </c>
      <c r="E894" s="15" t="s">
        <v>5729</v>
      </c>
      <c r="F894" s="15" t="s">
        <v>464</v>
      </c>
      <c r="G894" s="15" t="s">
        <v>4784</v>
      </c>
    </row>
    <row r="895" customFormat="false" ht="15.75" hidden="false" customHeight="false" outlineLevel="0" collapsed="false">
      <c r="A895" s="20" t="n">
        <v>46179</v>
      </c>
      <c r="B895" s="15" t="s">
        <v>5103</v>
      </c>
      <c r="C895" s="15" t="s">
        <v>508</v>
      </c>
      <c r="D895" s="15" t="s">
        <v>4772</v>
      </c>
      <c r="E895" s="15" t="s">
        <v>5730</v>
      </c>
      <c r="F895" s="15" t="s">
        <v>4778</v>
      </c>
      <c r="G895" s="15" t="s">
        <v>4779</v>
      </c>
    </row>
    <row r="896" customFormat="false" ht="15.75" hidden="false" customHeight="false" outlineLevel="0" collapsed="false">
      <c r="A896" s="20" t="n">
        <v>46179</v>
      </c>
      <c r="B896" s="15" t="s">
        <v>5272</v>
      </c>
      <c r="C896" s="15" t="s">
        <v>457</v>
      </c>
      <c r="D896" s="15" t="s">
        <v>4772</v>
      </c>
      <c r="E896" s="15" t="s">
        <v>5731</v>
      </c>
      <c r="F896" s="15" t="s">
        <v>457</v>
      </c>
      <c r="G896" s="15" t="s">
        <v>4779</v>
      </c>
    </row>
    <row r="897" customFormat="false" ht="15.75" hidden="false" customHeight="false" outlineLevel="0" collapsed="false">
      <c r="A897" s="20" t="n">
        <v>46181</v>
      </c>
      <c r="B897" s="15" t="s">
        <v>4771</v>
      </c>
      <c r="C897" s="15" t="s">
        <v>468</v>
      </c>
      <c r="D897" s="15" t="s">
        <v>4772</v>
      </c>
      <c r="E897" s="15" t="s">
        <v>5732</v>
      </c>
      <c r="F897" s="15" t="s">
        <v>1277</v>
      </c>
      <c r="G897" s="15" t="s">
        <v>4779</v>
      </c>
    </row>
    <row r="898" customFormat="false" ht="15.75" hidden="false" customHeight="false" outlineLevel="0" collapsed="false">
      <c r="A898" s="20" t="n">
        <v>46181</v>
      </c>
      <c r="B898" s="15" t="s">
        <v>4775</v>
      </c>
      <c r="C898" s="15" t="s">
        <v>453</v>
      </c>
      <c r="D898" s="15" t="s">
        <v>4772</v>
      </c>
      <c r="E898" s="15" t="s">
        <v>5733</v>
      </c>
      <c r="F898" s="15" t="s">
        <v>453</v>
      </c>
      <c r="G898" s="15" t="s">
        <v>4784</v>
      </c>
    </row>
    <row r="899" customFormat="false" ht="15.75" hidden="false" customHeight="false" outlineLevel="0" collapsed="false">
      <c r="A899" s="20" t="n">
        <v>46181</v>
      </c>
      <c r="B899" s="15" t="s">
        <v>4782</v>
      </c>
      <c r="C899" s="15" t="s">
        <v>453</v>
      </c>
      <c r="D899" s="15" t="s">
        <v>4772</v>
      </c>
      <c r="E899" s="15" t="s">
        <v>5734</v>
      </c>
      <c r="F899" s="15" t="s">
        <v>453</v>
      </c>
      <c r="G899" s="15" t="s">
        <v>4784</v>
      </c>
    </row>
    <row r="900" customFormat="false" ht="15.75" hidden="false" customHeight="false" outlineLevel="0" collapsed="false">
      <c r="A900" s="20" t="n">
        <v>46181</v>
      </c>
      <c r="B900" s="15" t="s">
        <v>4785</v>
      </c>
      <c r="C900" s="15" t="s">
        <v>464</v>
      </c>
      <c r="D900" s="15" t="s">
        <v>4772</v>
      </c>
      <c r="E900" s="15" t="s">
        <v>5735</v>
      </c>
      <c r="F900" s="15" t="s">
        <v>464</v>
      </c>
      <c r="G900" s="15" t="s">
        <v>4784</v>
      </c>
    </row>
    <row r="901" customFormat="false" ht="15.75" hidden="false" customHeight="false" outlineLevel="0" collapsed="false">
      <c r="A901" s="20" t="n">
        <v>46181</v>
      </c>
      <c r="B901" s="15" t="s">
        <v>4787</v>
      </c>
      <c r="C901" s="15" t="s">
        <v>504</v>
      </c>
      <c r="D901" s="15" t="s">
        <v>4772</v>
      </c>
      <c r="E901" s="15" t="s">
        <v>5736</v>
      </c>
      <c r="F901" s="15" t="s">
        <v>4789</v>
      </c>
      <c r="G901" s="15" t="s">
        <v>4779</v>
      </c>
    </row>
    <row r="902" customFormat="false" ht="15.75" hidden="false" customHeight="false" outlineLevel="0" collapsed="false">
      <c r="A902" s="20" t="n">
        <v>46181</v>
      </c>
      <c r="B902" s="15" t="s">
        <v>5088</v>
      </c>
      <c r="C902" s="15" t="s">
        <v>504</v>
      </c>
      <c r="D902" s="15" t="s">
        <v>4772</v>
      </c>
      <c r="E902" s="15" t="s">
        <v>5737</v>
      </c>
      <c r="F902" s="15" t="s">
        <v>4789</v>
      </c>
      <c r="G902" s="15" t="s">
        <v>4779</v>
      </c>
    </row>
    <row r="903" customFormat="false" ht="15.75" hidden="false" customHeight="false" outlineLevel="0" collapsed="false">
      <c r="A903" s="20" t="n">
        <v>46181</v>
      </c>
      <c r="B903" s="15" t="s">
        <v>5103</v>
      </c>
      <c r="C903" s="15" t="s">
        <v>508</v>
      </c>
      <c r="D903" s="15" t="s">
        <v>4772</v>
      </c>
      <c r="E903" s="15" t="s">
        <v>5738</v>
      </c>
      <c r="F903" s="15" t="s">
        <v>4778</v>
      </c>
      <c r="G903" s="15" t="s">
        <v>4779</v>
      </c>
    </row>
    <row r="904" customFormat="false" ht="15.75" hidden="false" customHeight="false" outlineLevel="0" collapsed="false">
      <c r="A904" s="20" t="n">
        <v>46181</v>
      </c>
      <c r="B904" s="15" t="s">
        <v>5272</v>
      </c>
      <c r="C904" s="15" t="s">
        <v>457</v>
      </c>
      <c r="D904" s="15" t="s">
        <v>4772</v>
      </c>
      <c r="E904" s="15" t="s">
        <v>5739</v>
      </c>
      <c r="F904" s="15" t="s">
        <v>457</v>
      </c>
      <c r="G904" s="15" t="s">
        <v>4779</v>
      </c>
    </row>
    <row r="905" customFormat="false" ht="15.75" hidden="false" customHeight="false" outlineLevel="0" collapsed="false">
      <c r="A905" s="20" t="n">
        <v>46182</v>
      </c>
      <c r="B905" s="15" t="s">
        <v>4771</v>
      </c>
      <c r="C905" s="15" t="s">
        <v>468</v>
      </c>
      <c r="D905" s="15" t="s">
        <v>4772</v>
      </c>
      <c r="E905" s="15" t="s">
        <v>5740</v>
      </c>
      <c r="F905" s="15" t="s">
        <v>1277</v>
      </c>
      <c r="G905" s="15" t="s">
        <v>4779</v>
      </c>
    </row>
    <row r="906" customFormat="false" ht="15.75" hidden="false" customHeight="false" outlineLevel="0" collapsed="false">
      <c r="A906" s="20" t="n">
        <v>46182</v>
      </c>
      <c r="B906" s="15" t="s">
        <v>4775</v>
      </c>
      <c r="C906" s="15" t="s">
        <v>453</v>
      </c>
      <c r="D906" s="15" t="s">
        <v>4772</v>
      </c>
      <c r="E906" s="15" t="s">
        <v>5741</v>
      </c>
      <c r="F906" s="15" t="s">
        <v>453</v>
      </c>
      <c r="G906" s="15" t="s">
        <v>4784</v>
      </c>
    </row>
    <row r="907" customFormat="false" ht="15.75" hidden="false" customHeight="false" outlineLevel="0" collapsed="false">
      <c r="A907" s="20" t="n">
        <v>46182</v>
      </c>
      <c r="B907" s="15" t="s">
        <v>4782</v>
      </c>
      <c r="C907" s="15" t="s">
        <v>453</v>
      </c>
      <c r="D907" s="15" t="s">
        <v>4772</v>
      </c>
      <c r="E907" s="15" t="s">
        <v>5742</v>
      </c>
      <c r="F907" s="15" t="s">
        <v>453</v>
      </c>
      <c r="G907" s="15" t="s">
        <v>4784</v>
      </c>
    </row>
    <row r="908" customFormat="false" ht="15.75" hidden="false" customHeight="false" outlineLevel="0" collapsed="false">
      <c r="A908" s="20" t="n">
        <v>46182</v>
      </c>
      <c r="B908" s="15" t="s">
        <v>4785</v>
      </c>
      <c r="C908" s="15" t="s">
        <v>464</v>
      </c>
      <c r="D908" s="15" t="s">
        <v>4772</v>
      </c>
      <c r="E908" s="15" t="s">
        <v>5743</v>
      </c>
      <c r="F908" s="15" t="s">
        <v>464</v>
      </c>
      <c r="G908" s="15" t="s">
        <v>4784</v>
      </c>
    </row>
    <row r="909" customFormat="false" ht="15.75" hidden="false" customHeight="false" outlineLevel="0" collapsed="false">
      <c r="A909" s="20" t="n">
        <v>46182</v>
      </c>
      <c r="B909" s="15" t="s">
        <v>4787</v>
      </c>
      <c r="C909" s="15" t="s">
        <v>504</v>
      </c>
      <c r="D909" s="15" t="s">
        <v>4772</v>
      </c>
      <c r="E909" s="15" t="s">
        <v>5744</v>
      </c>
      <c r="F909" s="15" t="s">
        <v>4789</v>
      </c>
      <c r="G909" s="15" t="s">
        <v>4779</v>
      </c>
    </row>
    <row r="910" customFormat="false" ht="15.75" hidden="false" customHeight="false" outlineLevel="0" collapsed="false">
      <c r="A910" s="20" t="n">
        <v>46182</v>
      </c>
      <c r="B910" s="15" t="s">
        <v>5088</v>
      </c>
      <c r="C910" s="15" t="s">
        <v>504</v>
      </c>
      <c r="D910" s="15" t="s">
        <v>4772</v>
      </c>
      <c r="E910" s="15" t="s">
        <v>5745</v>
      </c>
      <c r="F910" s="15" t="s">
        <v>4789</v>
      </c>
      <c r="G910" s="15" t="s">
        <v>4779</v>
      </c>
    </row>
    <row r="911" customFormat="false" ht="15.75" hidden="false" customHeight="false" outlineLevel="0" collapsed="false">
      <c r="A911" s="20" t="n">
        <v>46182</v>
      </c>
      <c r="B911" s="15" t="s">
        <v>5103</v>
      </c>
      <c r="C911" s="15" t="s">
        <v>454</v>
      </c>
      <c r="D911" s="15" t="s">
        <v>4772</v>
      </c>
      <c r="E911" s="15" t="s">
        <v>5746</v>
      </c>
      <c r="F911" s="15" t="s">
        <v>454</v>
      </c>
      <c r="G911" s="15" t="s">
        <v>4779</v>
      </c>
    </row>
    <row r="912" customFormat="false" ht="15.75" hidden="false" customHeight="false" outlineLevel="0" collapsed="false">
      <c r="A912" s="20" t="n">
        <v>46182</v>
      </c>
      <c r="B912" s="15" t="s">
        <v>5272</v>
      </c>
      <c r="C912" s="15" t="s">
        <v>459</v>
      </c>
      <c r="D912" s="15" t="s">
        <v>4772</v>
      </c>
      <c r="E912" s="15" t="s">
        <v>5747</v>
      </c>
      <c r="F912" s="15" t="s">
        <v>459</v>
      </c>
      <c r="G912" s="15" t="s">
        <v>4779</v>
      </c>
    </row>
    <row r="913" customFormat="false" ht="15.75" hidden="false" customHeight="false" outlineLevel="0" collapsed="false">
      <c r="A913" s="20" t="n">
        <v>46183</v>
      </c>
      <c r="B913" s="15" t="s">
        <v>4771</v>
      </c>
      <c r="C913" s="15" t="s">
        <v>468</v>
      </c>
      <c r="D913" s="15" t="s">
        <v>4772</v>
      </c>
      <c r="E913" s="15" t="s">
        <v>5748</v>
      </c>
      <c r="F913" s="15" t="s">
        <v>1277</v>
      </c>
      <c r="G913" s="15" t="s">
        <v>4779</v>
      </c>
    </row>
    <row r="914" customFormat="false" ht="15.75" hidden="false" customHeight="false" outlineLevel="0" collapsed="false">
      <c r="A914" s="20" t="n">
        <v>46183</v>
      </c>
      <c r="B914" s="15" t="s">
        <v>4775</v>
      </c>
      <c r="C914" s="15" t="s">
        <v>453</v>
      </c>
      <c r="D914" s="15" t="s">
        <v>4772</v>
      </c>
      <c r="E914" s="15" t="s">
        <v>5749</v>
      </c>
      <c r="F914" s="15" t="s">
        <v>453</v>
      </c>
      <c r="G914" s="15" t="s">
        <v>4784</v>
      </c>
    </row>
    <row r="915" customFormat="false" ht="15.75" hidden="false" customHeight="false" outlineLevel="0" collapsed="false">
      <c r="A915" s="20" t="n">
        <v>46183</v>
      </c>
      <c r="B915" s="15" t="s">
        <v>4782</v>
      </c>
      <c r="C915" s="15" t="s">
        <v>453</v>
      </c>
      <c r="D915" s="15" t="s">
        <v>4772</v>
      </c>
      <c r="E915" s="15" t="s">
        <v>5750</v>
      </c>
      <c r="F915" s="15" t="s">
        <v>453</v>
      </c>
      <c r="G915" s="15" t="s">
        <v>4784</v>
      </c>
    </row>
    <row r="916" customFormat="false" ht="15.75" hidden="false" customHeight="false" outlineLevel="0" collapsed="false">
      <c r="A916" s="20" t="n">
        <v>46183</v>
      </c>
      <c r="B916" s="15" t="s">
        <v>4785</v>
      </c>
      <c r="C916" s="15" t="s">
        <v>464</v>
      </c>
      <c r="D916" s="15" t="s">
        <v>4772</v>
      </c>
      <c r="E916" s="15" t="s">
        <v>5751</v>
      </c>
      <c r="F916" s="15" t="s">
        <v>464</v>
      </c>
      <c r="G916" s="15" t="s">
        <v>4784</v>
      </c>
    </row>
    <row r="917" customFormat="false" ht="15.75" hidden="false" customHeight="false" outlineLevel="0" collapsed="false">
      <c r="A917" s="20" t="n">
        <v>46183</v>
      </c>
      <c r="B917" s="15" t="s">
        <v>4787</v>
      </c>
      <c r="C917" s="15" t="s">
        <v>504</v>
      </c>
      <c r="D917" s="15" t="s">
        <v>4772</v>
      </c>
      <c r="E917" s="15" t="s">
        <v>5752</v>
      </c>
      <c r="F917" s="15" t="s">
        <v>4789</v>
      </c>
      <c r="G917" s="15" t="s">
        <v>4779</v>
      </c>
    </row>
    <row r="918" customFormat="false" ht="15.75" hidden="false" customHeight="false" outlineLevel="0" collapsed="false">
      <c r="A918" s="20" t="n">
        <v>46183</v>
      </c>
      <c r="B918" s="15" t="s">
        <v>5103</v>
      </c>
      <c r="C918" s="15" t="s">
        <v>454</v>
      </c>
      <c r="D918" s="15" t="s">
        <v>4772</v>
      </c>
      <c r="E918" s="15" t="s">
        <v>5753</v>
      </c>
      <c r="F918" s="15" t="s">
        <v>454</v>
      </c>
      <c r="G918" s="15" t="s">
        <v>4779</v>
      </c>
    </row>
    <row r="919" customFormat="false" ht="15.75" hidden="false" customHeight="false" outlineLevel="0" collapsed="false">
      <c r="A919" s="20" t="n">
        <v>46183</v>
      </c>
      <c r="B919" s="15" t="s">
        <v>5272</v>
      </c>
      <c r="C919" s="15" t="s">
        <v>462</v>
      </c>
      <c r="D919" s="15" t="s">
        <v>4772</v>
      </c>
      <c r="E919" s="15" t="s">
        <v>5754</v>
      </c>
      <c r="F919" s="15" t="s">
        <v>462</v>
      </c>
      <c r="G919" s="15" t="s">
        <v>4779</v>
      </c>
    </row>
    <row r="920" customFormat="false" ht="15.75" hidden="false" customHeight="false" outlineLevel="0" collapsed="false">
      <c r="A920" s="20" t="n">
        <v>46184</v>
      </c>
      <c r="B920" s="15" t="s">
        <v>4771</v>
      </c>
      <c r="C920" s="15" t="s">
        <v>468</v>
      </c>
      <c r="D920" s="15" t="s">
        <v>4772</v>
      </c>
      <c r="E920" s="15" t="s">
        <v>5755</v>
      </c>
      <c r="F920" s="15" t="s">
        <v>1277</v>
      </c>
      <c r="G920" s="15" t="s">
        <v>4779</v>
      </c>
    </row>
    <row r="921" customFormat="false" ht="15.75" hidden="false" customHeight="false" outlineLevel="0" collapsed="false">
      <c r="A921" s="20" t="n">
        <v>46184</v>
      </c>
      <c r="B921" s="15" t="s">
        <v>4775</v>
      </c>
      <c r="C921" s="15" t="s">
        <v>453</v>
      </c>
      <c r="D921" s="15" t="s">
        <v>4772</v>
      </c>
      <c r="E921" s="15" t="s">
        <v>5756</v>
      </c>
      <c r="F921" s="15" t="s">
        <v>453</v>
      </c>
      <c r="G921" s="15" t="s">
        <v>4784</v>
      </c>
    </row>
    <row r="922" customFormat="false" ht="15.75" hidden="false" customHeight="false" outlineLevel="0" collapsed="false">
      <c r="A922" s="20" t="n">
        <v>46184</v>
      </c>
      <c r="B922" s="15" t="s">
        <v>4782</v>
      </c>
      <c r="C922" s="15" t="s">
        <v>453</v>
      </c>
      <c r="D922" s="15" t="s">
        <v>4772</v>
      </c>
      <c r="E922" s="15" t="s">
        <v>5757</v>
      </c>
      <c r="F922" s="15" t="s">
        <v>453</v>
      </c>
      <c r="G922" s="15" t="s">
        <v>4784</v>
      </c>
    </row>
    <row r="923" customFormat="false" ht="15.75" hidden="false" customHeight="false" outlineLevel="0" collapsed="false">
      <c r="A923" s="20" t="n">
        <v>46184</v>
      </c>
      <c r="B923" s="15" t="s">
        <v>4785</v>
      </c>
      <c r="C923" s="15" t="s">
        <v>464</v>
      </c>
      <c r="D923" s="15" t="s">
        <v>4772</v>
      </c>
      <c r="E923" s="15" t="s">
        <v>5758</v>
      </c>
      <c r="F923" s="15" t="s">
        <v>464</v>
      </c>
      <c r="G923" s="15" t="s">
        <v>4784</v>
      </c>
    </row>
    <row r="924" customFormat="false" ht="15.75" hidden="false" customHeight="false" outlineLevel="0" collapsed="false">
      <c r="A924" s="20" t="n">
        <v>46184</v>
      </c>
      <c r="B924" s="15" t="s">
        <v>5103</v>
      </c>
      <c r="C924" s="15" t="s">
        <v>454</v>
      </c>
      <c r="D924" s="15" t="s">
        <v>4772</v>
      </c>
      <c r="E924" s="15" t="s">
        <v>5759</v>
      </c>
      <c r="F924" s="15" t="s">
        <v>454</v>
      </c>
      <c r="G924" s="15" t="s">
        <v>4779</v>
      </c>
    </row>
    <row r="925" customFormat="false" ht="15.75" hidden="false" customHeight="false" outlineLevel="0" collapsed="false">
      <c r="A925" s="20" t="n">
        <v>46184</v>
      </c>
      <c r="B925" s="15" t="s">
        <v>5272</v>
      </c>
      <c r="C925" s="15" t="s">
        <v>513</v>
      </c>
      <c r="D925" s="15" t="s">
        <v>4772</v>
      </c>
      <c r="E925" s="15" t="s">
        <v>5760</v>
      </c>
      <c r="F925" s="15" t="s">
        <v>513</v>
      </c>
      <c r="G925" s="15" t="s">
        <v>4779</v>
      </c>
    </row>
    <row r="926" customFormat="false" ht="15.75" hidden="false" customHeight="false" outlineLevel="0" collapsed="false">
      <c r="A926" s="20" t="n">
        <v>46185</v>
      </c>
      <c r="B926" s="15" t="s">
        <v>4771</v>
      </c>
      <c r="C926" s="15" t="s">
        <v>507</v>
      </c>
      <c r="D926" s="15" t="s">
        <v>4772</v>
      </c>
      <c r="E926" s="15" t="s">
        <v>5761</v>
      </c>
      <c r="F926" s="15" t="s">
        <v>5565</v>
      </c>
      <c r="G926" s="15" t="s">
        <v>4779</v>
      </c>
    </row>
    <row r="927" customFormat="false" ht="15.75" hidden="false" customHeight="false" outlineLevel="0" collapsed="false">
      <c r="A927" s="20" t="n">
        <v>46185</v>
      </c>
      <c r="B927" s="15" t="s">
        <v>4775</v>
      </c>
      <c r="C927" s="15" t="s">
        <v>453</v>
      </c>
      <c r="D927" s="15" t="s">
        <v>4772</v>
      </c>
      <c r="E927" s="15" t="s">
        <v>5762</v>
      </c>
      <c r="F927" s="15" t="s">
        <v>453</v>
      </c>
      <c r="G927" s="15" t="s">
        <v>4784</v>
      </c>
    </row>
    <row r="928" customFormat="false" ht="15.75" hidden="false" customHeight="false" outlineLevel="0" collapsed="false">
      <c r="A928" s="20" t="n">
        <v>46185</v>
      </c>
      <c r="B928" s="15" t="s">
        <v>4782</v>
      </c>
      <c r="C928" s="15" t="s">
        <v>453</v>
      </c>
      <c r="D928" s="15" t="s">
        <v>4772</v>
      </c>
      <c r="E928" s="15" t="s">
        <v>5763</v>
      </c>
      <c r="F928" s="15" t="s">
        <v>453</v>
      </c>
      <c r="G928" s="15" t="s">
        <v>4784</v>
      </c>
    </row>
    <row r="929" customFormat="false" ht="15.75" hidden="false" customHeight="false" outlineLevel="0" collapsed="false">
      <c r="A929" s="20" t="n">
        <v>46185</v>
      </c>
      <c r="B929" s="15" t="s">
        <v>4785</v>
      </c>
      <c r="C929" s="15" t="s">
        <v>464</v>
      </c>
      <c r="D929" s="15" t="s">
        <v>4772</v>
      </c>
      <c r="E929" s="15" t="s">
        <v>5764</v>
      </c>
      <c r="F929" s="15" t="s">
        <v>464</v>
      </c>
      <c r="G929" s="15" t="s">
        <v>4784</v>
      </c>
    </row>
    <row r="930" customFormat="false" ht="15.75" hidden="false" customHeight="false" outlineLevel="0" collapsed="false">
      <c r="A930" s="20" t="n">
        <v>46185</v>
      </c>
      <c r="B930" s="15" t="s">
        <v>5103</v>
      </c>
      <c r="C930" s="15" t="s">
        <v>454</v>
      </c>
      <c r="D930" s="15" t="s">
        <v>4772</v>
      </c>
      <c r="E930" s="15" t="s">
        <v>5765</v>
      </c>
      <c r="F930" s="15" t="s">
        <v>454</v>
      </c>
      <c r="G930" s="15" t="s">
        <v>4779</v>
      </c>
    </row>
    <row r="931" customFormat="false" ht="15.75" hidden="false" customHeight="false" outlineLevel="0" collapsed="false">
      <c r="A931" s="20" t="n">
        <v>46185</v>
      </c>
      <c r="B931" s="15" t="s">
        <v>5272</v>
      </c>
      <c r="C931" s="15" t="s">
        <v>513</v>
      </c>
      <c r="D931" s="15" t="s">
        <v>4772</v>
      </c>
      <c r="E931" s="15" t="s">
        <v>5766</v>
      </c>
      <c r="F931" s="15" t="s">
        <v>513</v>
      </c>
      <c r="G931" s="15" t="s">
        <v>4779</v>
      </c>
    </row>
    <row r="932" customFormat="false" ht="15.75" hidden="false" customHeight="false" outlineLevel="0" collapsed="false">
      <c r="A932" s="20" t="n">
        <v>46188</v>
      </c>
      <c r="B932" s="15" t="s">
        <v>4782</v>
      </c>
      <c r="C932" s="15" t="s">
        <v>453</v>
      </c>
      <c r="D932" s="15" t="s">
        <v>4772</v>
      </c>
      <c r="E932" s="15" t="s">
        <v>5767</v>
      </c>
      <c r="F932" s="15" t="s">
        <v>453</v>
      </c>
      <c r="G932" s="15" t="s">
        <v>4784</v>
      </c>
    </row>
    <row r="933" customFormat="false" ht="15.75" hidden="false" customHeight="false" outlineLevel="0" collapsed="false">
      <c r="A933" s="20" t="n">
        <v>46188</v>
      </c>
      <c r="B933" s="15" t="s">
        <v>4785</v>
      </c>
      <c r="C933" s="15" t="s">
        <v>464</v>
      </c>
      <c r="D933" s="15" t="s">
        <v>4772</v>
      </c>
      <c r="E933" s="15" t="s">
        <v>5768</v>
      </c>
      <c r="F933" s="15" t="s">
        <v>464</v>
      </c>
      <c r="G933" s="15" t="s">
        <v>4784</v>
      </c>
    </row>
    <row r="934" customFormat="false" ht="15.75" hidden="false" customHeight="false" outlineLevel="0" collapsed="false">
      <c r="A934" s="20" t="n">
        <v>46188</v>
      </c>
      <c r="B934" s="15" t="s">
        <v>5103</v>
      </c>
      <c r="C934" s="15" t="s">
        <v>454</v>
      </c>
      <c r="D934" s="15" t="s">
        <v>4772</v>
      </c>
      <c r="E934" s="15" t="s">
        <v>5769</v>
      </c>
      <c r="F934" s="15" t="s">
        <v>454</v>
      </c>
      <c r="G934" s="15" t="s">
        <v>4779</v>
      </c>
    </row>
    <row r="935" customFormat="false" ht="15.75" hidden="false" customHeight="false" outlineLevel="0" collapsed="false">
      <c r="A935" s="20" t="n">
        <v>46188</v>
      </c>
      <c r="B935" s="15" t="s">
        <v>5272</v>
      </c>
      <c r="C935" s="15" t="s">
        <v>513</v>
      </c>
      <c r="D935" s="15" t="s">
        <v>4772</v>
      </c>
      <c r="E935" s="15" t="s">
        <v>5770</v>
      </c>
      <c r="F935" s="15" t="s">
        <v>513</v>
      </c>
      <c r="G935" s="15" t="s">
        <v>4779</v>
      </c>
    </row>
    <row r="936" customFormat="false" ht="15.75" hidden="false" customHeight="false" outlineLevel="0" collapsed="false">
      <c r="A936" s="20" t="n">
        <v>46189</v>
      </c>
      <c r="B936" s="15" t="s">
        <v>4785</v>
      </c>
      <c r="C936" s="15" t="s">
        <v>464</v>
      </c>
      <c r="D936" s="15" t="s">
        <v>4772</v>
      </c>
      <c r="E936" s="15" t="s">
        <v>5771</v>
      </c>
      <c r="F936" s="15" t="s">
        <v>464</v>
      </c>
      <c r="G936" s="15" t="s">
        <v>4784</v>
      </c>
    </row>
    <row r="937" customFormat="false" ht="15.75" hidden="false" customHeight="false" outlineLevel="0" collapsed="false">
      <c r="A937" s="20" t="n">
        <v>46189</v>
      </c>
      <c r="B937" s="15" t="s">
        <v>5103</v>
      </c>
      <c r="C937" s="15" t="s">
        <v>454</v>
      </c>
      <c r="D937" s="15" t="s">
        <v>4772</v>
      </c>
      <c r="E937" s="15" t="s">
        <v>5772</v>
      </c>
      <c r="F937" s="15" t="s">
        <v>454</v>
      </c>
      <c r="G937" s="15" t="s">
        <v>4779</v>
      </c>
    </row>
    <row r="938" customFormat="false" ht="15.75" hidden="false" customHeight="false" outlineLevel="0" collapsed="false">
      <c r="A938" s="20" t="n">
        <v>46189</v>
      </c>
      <c r="B938" s="15" t="s">
        <v>5272</v>
      </c>
      <c r="C938" s="15" t="s">
        <v>513</v>
      </c>
      <c r="D938" s="15" t="s">
        <v>4772</v>
      </c>
      <c r="E938" s="15" t="s">
        <v>5773</v>
      </c>
      <c r="F938" s="15" t="s">
        <v>513</v>
      </c>
      <c r="G938" s="15" t="s">
        <v>4779</v>
      </c>
    </row>
    <row r="939" customFormat="false" ht="15.75" hidden="false" customHeight="false" outlineLevel="0" collapsed="false">
      <c r="A939" s="20" t="n">
        <v>46190</v>
      </c>
      <c r="B939" s="15" t="s">
        <v>4785</v>
      </c>
      <c r="C939" s="15" t="s">
        <v>464</v>
      </c>
      <c r="D939" s="15" t="s">
        <v>4772</v>
      </c>
      <c r="E939" s="15" t="s">
        <v>5774</v>
      </c>
      <c r="F939" s="15" t="s">
        <v>464</v>
      </c>
      <c r="G939" s="15" t="s">
        <v>4784</v>
      </c>
    </row>
    <row r="940" customFormat="false" ht="15.75" hidden="false" customHeight="false" outlineLevel="0" collapsed="false">
      <c r="A940" s="20" t="n">
        <v>46190</v>
      </c>
      <c r="B940" s="15" t="s">
        <v>5103</v>
      </c>
      <c r="C940" s="15" t="s">
        <v>454</v>
      </c>
      <c r="D940" s="15" t="s">
        <v>4772</v>
      </c>
      <c r="E940" s="15" t="s">
        <v>5775</v>
      </c>
      <c r="F940" s="15" t="s">
        <v>454</v>
      </c>
      <c r="G940" s="15" t="s">
        <v>4779</v>
      </c>
    </row>
    <row r="941" customFormat="false" ht="15.75" hidden="false" customHeight="false" outlineLevel="0" collapsed="false">
      <c r="A941" s="20" t="n">
        <v>46190</v>
      </c>
      <c r="B941" s="15" t="s">
        <v>5272</v>
      </c>
      <c r="C941" s="15" t="s">
        <v>513</v>
      </c>
      <c r="D941" s="15" t="s">
        <v>4772</v>
      </c>
      <c r="E941" s="15" t="s">
        <v>5776</v>
      </c>
      <c r="F941" s="15" t="s">
        <v>513</v>
      </c>
      <c r="G941" s="15" t="s">
        <v>4779</v>
      </c>
    </row>
    <row r="942" customFormat="false" ht="15.75" hidden="false" customHeight="false" outlineLevel="0" collapsed="false">
      <c r="A942" s="20" t="n">
        <v>46191</v>
      </c>
      <c r="B942" s="15" t="s">
        <v>4785</v>
      </c>
      <c r="C942" s="15" t="s">
        <v>464</v>
      </c>
      <c r="D942" s="15" t="s">
        <v>4772</v>
      </c>
      <c r="E942" s="15" t="s">
        <v>5777</v>
      </c>
      <c r="F942" s="15" t="s">
        <v>464</v>
      </c>
      <c r="G942" s="15" t="s">
        <v>4784</v>
      </c>
    </row>
    <row r="943" customFormat="false" ht="15.75" hidden="false" customHeight="false" outlineLevel="0" collapsed="false">
      <c r="A943" s="20" t="n">
        <v>46191</v>
      </c>
      <c r="B943" s="15" t="s">
        <v>5103</v>
      </c>
      <c r="C943" s="15" t="s">
        <v>454</v>
      </c>
      <c r="D943" s="15" t="s">
        <v>4772</v>
      </c>
      <c r="E943" s="15" t="s">
        <v>5778</v>
      </c>
      <c r="F943" s="15" t="s">
        <v>454</v>
      </c>
      <c r="G943" s="15" t="s">
        <v>4779</v>
      </c>
    </row>
    <row r="944" customFormat="false" ht="15.75" hidden="false" customHeight="false" outlineLevel="0" collapsed="false">
      <c r="A944" s="20" t="n">
        <v>46191</v>
      </c>
      <c r="B944" s="15" t="s">
        <v>5272</v>
      </c>
      <c r="C944" s="15" t="s">
        <v>513</v>
      </c>
      <c r="D944" s="15" t="s">
        <v>4772</v>
      </c>
      <c r="E944" s="15" t="s">
        <v>5779</v>
      </c>
      <c r="F944" s="15" t="s">
        <v>513</v>
      </c>
      <c r="G944" s="15" t="s">
        <v>4779</v>
      </c>
    </row>
    <row r="945" customFormat="false" ht="15.75" hidden="false" customHeight="false" outlineLevel="0" collapsed="false">
      <c r="A945" s="20" t="n">
        <v>46192</v>
      </c>
      <c r="B945" s="15" t="s">
        <v>4785</v>
      </c>
      <c r="C945" s="15" t="s">
        <v>464</v>
      </c>
      <c r="D945" s="15" t="s">
        <v>4772</v>
      </c>
      <c r="E945" s="15" t="s">
        <v>5780</v>
      </c>
      <c r="F945" s="15" t="s">
        <v>464</v>
      </c>
      <c r="G945" s="15" t="s">
        <v>4784</v>
      </c>
    </row>
    <row r="946" customFormat="false" ht="15.75" hidden="false" customHeight="false" outlineLevel="0" collapsed="false">
      <c r="A946" s="20" t="n">
        <v>46192</v>
      </c>
      <c r="B946" s="15" t="s">
        <v>5103</v>
      </c>
      <c r="C946" s="15" t="s">
        <v>454</v>
      </c>
      <c r="D946" s="15" t="s">
        <v>4772</v>
      </c>
      <c r="E946" s="15" t="s">
        <v>5781</v>
      </c>
      <c r="F946" s="15" t="s">
        <v>454</v>
      </c>
      <c r="G946" s="15" t="s">
        <v>4779</v>
      </c>
    </row>
    <row r="947" customFormat="false" ht="15.75" hidden="false" customHeight="false" outlineLevel="0" collapsed="false">
      <c r="A947" s="20" t="n">
        <v>46192</v>
      </c>
      <c r="B947" s="15" t="s">
        <v>5272</v>
      </c>
      <c r="C947" s="15" t="s">
        <v>513</v>
      </c>
      <c r="D947" s="15" t="s">
        <v>4772</v>
      </c>
      <c r="E947" s="15" t="s">
        <v>5782</v>
      </c>
      <c r="F947" s="15" t="s">
        <v>513</v>
      </c>
      <c r="G947" s="15" t="s">
        <v>4779</v>
      </c>
    </row>
    <row r="948" customFormat="false" ht="15.75" hidden="false" customHeight="false" outlineLevel="0" collapsed="false">
      <c r="A948" s="20" t="n">
        <v>46193</v>
      </c>
      <c r="B948" s="15" t="s">
        <v>5272</v>
      </c>
      <c r="C948" s="15" t="s">
        <v>513</v>
      </c>
      <c r="D948" s="15" t="s">
        <v>4772</v>
      </c>
      <c r="E948" s="15" t="s">
        <v>5783</v>
      </c>
      <c r="F948" s="15" t="s">
        <v>513</v>
      </c>
      <c r="G948" s="15" t="s">
        <v>4779</v>
      </c>
    </row>
    <row r="949" customFormat="false" ht="15.75" hidden="false" customHeight="false" outlineLevel="0" collapsed="false">
      <c r="A949" s="20" t="n">
        <v>46195</v>
      </c>
      <c r="B949" s="15" t="s">
        <v>5103</v>
      </c>
      <c r="C949" s="15" t="s">
        <v>454</v>
      </c>
      <c r="D949" s="15" t="s">
        <v>4772</v>
      </c>
      <c r="E949" s="15" t="s">
        <v>5784</v>
      </c>
      <c r="F949" s="15" t="s">
        <v>454</v>
      </c>
      <c r="G949" s="15" t="s">
        <v>4779</v>
      </c>
    </row>
    <row r="950" customFormat="false" ht="15.75" hidden="false" customHeight="false" outlineLevel="0" collapsed="false">
      <c r="A950" s="20" t="n">
        <v>46195</v>
      </c>
      <c r="B950" s="15" t="s">
        <v>5272</v>
      </c>
      <c r="C950" s="15" t="s">
        <v>513</v>
      </c>
      <c r="D950" s="15" t="s">
        <v>4772</v>
      </c>
      <c r="E950" s="15" t="s">
        <v>5785</v>
      </c>
      <c r="F950" s="15" t="s">
        <v>513</v>
      </c>
      <c r="G950" s="15" t="s">
        <v>4779</v>
      </c>
    </row>
    <row r="951" customFormat="false" ht="15.75" hidden="false" customHeight="false" outlineLevel="0" collapsed="false">
      <c r="A951" s="20" t="n">
        <v>46196</v>
      </c>
      <c r="B951" s="15" t="s">
        <v>5272</v>
      </c>
      <c r="C951" s="15" t="s">
        <v>513</v>
      </c>
      <c r="D951" s="15" t="s">
        <v>4772</v>
      </c>
      <c r="E951" s="15" t="s">
        <v>5786</v>
      </c>
      <c r="F951" s="15" t="s">
        <v>513</v>
      </c>
      <c r="G951" s="15" t="s">
        <v>4779</v>
      </c>
    </row>
    <row r="952" customFormat="false" ht="15.75" hidden="false" customHeight="false" outlineLevel="0" collapsed="false">
      <c r="A952" s="20" t="n">
        <v>46197</v>
      </c>
      <c r="B952" s="15" t="s">
        <v>5272</v>
      </c>
      <c r="C952" s="15" t="s">
        <v>513</v>
      </c>
      <c r="D952" s="15" t="s">
        <v>4772</v>
      </c>
      <c r="E952" s="15" t="s">
        <v>5787</v>
      </c>
      <c r="F952" s="15" t="s">
        <v>513</v>
      </c>
      <c r="G952" s="15" t="s">
        <v>4779</v>
      </c>
    </row>
    <row r="953" customFormat="false" ht="15.75" hidden="false" customHeight="false" outlineLevel="0" collapsed="false">
      <c r="A953" s="20" t="n">
        <v>46198</v>
      </c>
      <c r="B953" s="15" t="s">
        <v>5272</v>
      </c>
      <c r="C953" s="15" t="s">
        <v>513</v>
      </c>
      <c r="D953" s="15" t="s">
        <v>4772</v>
      </c>
      <c r="E953" s="15" t="s">
        <v>5788</v>
      </c>
      <c r="F953" s="15" t="s">
        <v>513</v>
      </c>
      <c r="G953" s="15" t="s">
        <v>4779</v>
      </c>
    </row>
    <row r="954" customFormat="false" ht="15.75" hidden="false" customHeight="false" outlineLevel="0" collapsed="false">
      <c r="A954" s="20" t="n">
        <v>46076</v>
      </c>
      <c r="B954" s="15" t="s">
        <v>5789</v>
      </c>
      <c r="C954" s="15" t="s">
        <v>477</v>
      </c>
      <c r="D954" s="15" t="s">
        <v>4772</v>
      </c>
      <c r="E954" s="15" t="s">
        <v>5790</v>
      </c>
      <c r="F954" s="15" t="s">
        <v>4804</v>
      </c>
      <c r="G954" s="15" t="s">
        <v>4779</v>
      </c>
    </row>
    <row r="955" customFormat="false" ht="15.75" hidden="false" customHeight="false" outlineLevel="0" collapsed="false">
      <c r="A955" s="20" t="n">
        <v>46076</v>
      </c>
      <c r="B955" s="15" t="s">
        <v>5791</v>
      </c>
      <c r="C955" s="15" t="s">
        <v>475</v>
      </c>
      <c r="D955" s="15" t="s">
        <v>4772</v>
      </c>
      <c r="E955" s="15" t="s">
        <v>5792</v>
      </c>
      <c r="F955" s="15" t="s">
        <v>489</v>
      </c>
      <c r="G955" s="15" t="s">
        <v>4784</v>
      </c>
    </row>
    <row r="956" customFormat="false" ht="15.75" hidden="false" customHeight="false" outlineLevel="0" collapsed="false">
      <c r="A956" s="20" t="n">
        <v>46076</v>
      </c>
      <c r="B956" s="15" t="s">
        <v>5793</v>
      </c>
      <c r="C956" s="15" t="s">
        <v>470</v>
      </c>
      <c r="D956" s="15" t="s">
        <v>4772</v>
      </c>
      <c r="E956" s="15" t="s">
        <v>5794</v>
      </c>
      <c r="F956" s="15" t="s">
        <v>4809</v>
      </c>
      <c r="G956" s="15" t="s">
        <v>4779</v>
      </c>
    </row>
    <row r="957" customFormat="false" ht="15.75" hidden="false" customHeight="false" outlineLevel="0" collapsed="false">
      <c r="A957" s="20" t="n">
        <v>46077</v>
      </c>
      <c r="B957" s="15" t="s">
        <v>5789</v>
      </c>
      <c r="C957" s="15" t="s">
        <v>477</v>
      </c>
      <c r="D957" s="15" t="s">
        <v>4772</v>
      </c>
      <c r="E957" s="15" t="s">
        <v>5795</v>
      </c>
      <c r="F957" s="15" t="s">
        <v>4804</v>
      </c>
      <c r="G957" s="15" t="s">
        <v>4779</v>
      </c>
    </row>
    <row r="958" customFormat="false" ht="15.75" hidden="false" customHeight="false" outlineLevel="0" collapsed="false">
      <c r="A958" s="20" t="n">
        <v>46078</v>
      </c>
      <c r="B958" s="15" t="s">
        <v>5789</v>
      </c>
      <c r="C958" s="15" t="s">
        <v>471</v>
      </c>
      <c r="D958" s="15" t="s">
        <v>4772</v>
      </c>
      <c r="E958" s="15" t="s">
        <v>5796</v>
      </c>
      <c r="F958" s="15" t="s">
        <v>452</v>
      </c>
      <c r="G958" s="15" t="s">
        <v>4784</v>
      </c>
    </row>
    <row r="959" customFormat="false" ht="15.75" hidden="false" customHeight="false" outlineLevel="0" collapsed="false">
      <c r="A959" s="20" t="n">
        <v>46078</v>
      </c>
      <c r="B959" s="15" t="s">
        <v>5791</v>
      </c>
      <c r="C959" s="15" t="s">
        <v>477</v>
      </c>
      <c r="D959" s="15" t="s">
        <v>4772</v>
      </c>
      <c r="E959" s="15" t="s">
        <v>5797</v>
      </c>
      <c r="F959" s="15" t="s">
        <v>4804</v>
      </c>
      <c r="G959" s="15" t="s">
        <v>4779</v>
      </c>
    </row>
    <row r="960" customFormat="false" ht="15.75" hidden="false" customHeight="false" outlineLevel="0" collapsed="false">
      <c r="A960" s="20" t="n">
        <v>46079</v>
      </c>
      <c r="B960" s="15" t="s">
        <v>5789</v>
      </c>
      <c r="C960" s="15" t="s">
        <v>471</v>
      </c>
      <c r="D960" s="15" t="s">
        <v>4772</v>
      </c>
      <c r="E960" s="15" t="s">
        <v>5798</v>
      </c>
      <c r="F960" s="15" t="s">
        <v>452</v>
      </c>
      <c r="G960" s="15" t="s">
        <v>4784</v>
      </c>
    </row>
    <row r="961" customFormat="false" ht="15.75" hidden="false" customHeight="false" outlineLevel="0" collapsed="false">
      <c r="A961" s="20" t="n">
        <v>46079</v>
      </c>
      <c r="B961" s="15" t="s">
        <v>5791</v>
      </c>
      <c r="C961" s="15" t="s">
        <v>477</v>
      </c>
      <c r="D961" s="15" t="s">
        <v>4772</v>
      </c>
      <c r="E961" s="15" t="s">
        <v>5799</v>
      </c>
      <c r="F961" s="15" t="s">
        <v>4804</v>
      </c>
      <c r="G961" s="15" t="s">
        <v>4779</v>
      </c>
    </row>
    <row r="962" customFormat="false" ht="15.75" hidden="false" customHeight="false" outlineLevel="0" collapsed="false">
      <c r="A962" s="20" t="n">
        <v>46080</v>
      </c>
      <c r="B962" s="15" t="s">
        <v>5789</v>
      </c>
      <c r="C962" s="15" t="s">
        <v>477</v>
      </c>
      <c r="D962" s="15" t="s">
        <v>4772</v>
      </c>
      <c r="E962" s="15" t="s">
        <v>5800</v>
      </c>
      <c r="F962" s="15" t="s">
        <v>4804</v>
      </c>
      <c r="G962" s="15" t="s">
        <v>4779</v>
      </c>
    </row>
    <row r="963" customFormat="false" ht="15.75" hidden="false" customHeight="false" outlineLevel="0" collapsed="false">
      <c r="A963" s="20" t="n">
        <v>46080</v>
      </c>
      <c r="B963" s="15" t="s">
        <v>5791</v>
      </c>
      <c r="C963" s="15" t="s">
        <v>474</v>
      </c>
      <c r="D963" s="15" t="s">
        <v>4772</v>
      </c>
      <c r="E963" s="15" t="s">
        <v>5801</v>
      </c>
      <c r="F963" s="15" t="s">
        <v>4855</v>
      </c>
      <c r="G963" s="15" t="s">
        <v>4779</v>
      </c>
    </row>
    <row r="964" customFormat="false" ht="15.75" hidden="false" customHeight="false" outlineLevel="0" collapsed="false">
      <c r="A964" s="20" t="n">
        <v>46083</v>
      </c>
      <c r="B964" s="15" t="s">
        <v>5789</v>
      </c>
      <c r="C964" s="15" t="s">
        <v>477</v>
      </c>
      <c r="D964" s="15" t="s">
        <v>4772</v>
      </c>
      <c r="E964" s="15" t="s">
        <v>5802</v>
      </c>
      <c r="F964" s="15" t="s">
        <v>4804</v>
      </c>
      <c r="G964" s="15" t="s">
        <v>4779</v>
      </c>
    </row>
    <row r="965" customFormat="false" ht="15.75" hidden="false" customHeight="false" outlineLevel="0" collapsed="false">
      <c r="A965" s="20" t="n">
        <v>46083</v>
      </c>
      <c r="B965" s="15" t="s">
        <v>5791</v>
      </c>
      <c r="C965" s="15" t="s">
        <v>474</v>
      </c>
      <c r="D965" s="15" t="s">
        <v>4772</v>
      </c>
      <c r="E965" s="15" t="s">
        <v>5803</v>
      </c>
      <c r="F965" s="15" t="s">
        <v>4855</v>
      </c>
      <c r="G965" s="15" t="s">
        <v>4779</v>
      </c>
    </row>
    <row r="966" customFormat="false" ht="15.75" hidden="false" customHeight="false" outlineLevel="0" collapsed="false">
      <c r="A966" s="20" t="n">
        <v>46084</v>
      </c>
      <c r="B966" s="15" t="s">
        <v>5789</v>
      </c>
      <c r="C966" s="15" t="s">
        <v>477</v>
      </c>
      <c r="D966" s="15" t="s">
        <v>4772</v>
      </c>
      <c r="E966" s="15" t="s">
        <v>5804</v>
      </c>
      <c r="F966" s="15" t="s">
        <v>4804</v>
      </c>
      <c r="G966" s="15" t="s">
        <v>4779</v>
      </c>
    </row>
    <row r="967" customFormat="false" ht="15.75" hidden="false" customHeight="false" outlineLevel="0" collapsed="false">
      <c r="A967" s="20" t="n">
        <v>46084</v>
      </c>
      <c r="B967" s="15" t="s">
        <v>5791</v>
      </c>
      <c r="C967" s="15" t="s">
        <v>474</v>
      </c>
      <c r="D967" s="15" t="s">
        <v>4772</v>
      </c>
      <c r="E967" s="15" t="s">
        <v>5805</v>
      </c>
      <c r="F967" s="15" t="s">
        <v>4855</v>
      </c>
      <c r="G967" s="15" t="s">
        <v>4779</v>
      </c>
    </row>
    <row r="968" customFormat="false" ht="15.75" hidden="false" customHeight="false" outlineLevel="0" collapsed="false">
      <c r="A968" s="20" t="n">
        <v>46085</v>
      </c>
      <c r="B968" s="15" t="s">
        <v>5789</v>
      </c>
      <c r="C968" s="15" t="s">
        <v>477</v>
      </c>
      <c r="D968" s="15" t="s">
        <v>4772</v>
      </c>
      <c r="E968" s="15" t="s">
        <v>5806</v>
      </c>
      <c r="F968" s="15" t="s">
        <v>4804</v>
      </c>
      <c r="G968" s="15" t="s">
        <v>4779</v>
      </c>
    </row>
    <row r="969" customFormat="false" ht="15.75" hidden="false" customHeight="false" outlineLevel="0" collapsed="false">
      <c r="A969" s="20" t="n">
        <v>46085</v>
      </c>
      <c r="B969" s="15" t="s">
        <v>5791</v>
      </c>
      <c r="C969" s="15" t="s">
        <v>474</v>
      </c>
      <c r="D969" s="15" t="s">
        <v>4772</v>
      </c>
      <c r="E969" s="15" t="s">
        <v>5807</v>
      </c>
      <c r="F969" s="15" t="s">
        <v>4855</v>
      </c>
      <c r="G969" s="15" t="s">
        <v>4779</v>
      </c>
    </row>
    <row r="970" customFormat="false" ht="15.75" hidden="false" customHeight="false" outlineLevel="0" collapsed="false">
      <c r="A970" s="20" t="n">
        <v>46086</v>
      </c>
      <c r="B970" s="15" t="s">
        <v>5789</v>
      </c>
      <c r="C970" s="15" t="s">
        <v>477</v>
      </c>
      <c r="D970" s="15" t="s">
        <v>4772</v>
      </c>
      <c r="E970" s="15" t="s">
        <v>5808</v>
      </c>
      <c r="F970" s="15" t="s">
        <v>4804</v>
      </c>
      <c r="G970" s="15" t="s">
        <v>4779</v>
      </c>
    </row>
    <row r="971" customFormat="false" ht="15.75" hidden="false" customHeight="false" outlineLevel="0" collapsed="false">
      <c r="A971" s="20" t="n">
        <v>46087</v>
      </c>
      <c r="B971" s="15" t="s">
        <v>5789</v>
      </c>
      <c r="C971" s="15" t="s">
        <v>477</v>
      </c>
      <c r="D971" s="15" t="s">
        <v>4772</v>
      </c>
      <c r="E971" s="15" t="s">
        <v>5809</v>
      </c>
      <c r="F971" s="15" t="s">
        <v>4804</v>
      </c>
      <c r="G971" s="15" t="s">
        <v>4779</v>
      </c>
    </row>
    <row r="972" customFormat="false" ht="15.75" hidden="false" customHeight="false" outlineLevel="0" collapsed="false">
      <c r="A972" s="20" t="n">
        <v>46090</v>
      </c>
      <c r="B972" s="15" t="s">
        <v>5789</v>
      </c>
      <c r="C972" s="15" t="s">
        <v>471</v>
      </c>
      <c r="D972" s="15" t="s">
        <v>4772</v>
      </c>
      <c r="E972" s="15" t="s">
        <v>5810</v>
      </c>
      <c r="F972" s="15" t="s">
        <v>452</v>
      </c>
      <c r="G972" s="15" t="s">
        <v>4784</v>
      </c>
    </row>
    <row r="973" customFormat="false" ht="15.75" hidden="false" customHeight="false" outlineLevel="0" collapsed="false">
      <c r="A973" s="20" t="n">
        <v>46090</v>
      </c>
      <c r="B973" s="15" t="s">
        <v>5791</v>
      </c>
      <c r="C973" s="15" t="s">
        <v>477</v>
      </c>
      <c r="D973" s="15" t="s">
        <v>4772</v>
      </c>
      <c r="E973" s="15" t="s">
        <v>5811</v>
      </c>
      <c r="F973" s="15" t="s">
        <v>4804</v>
      </c>
      <c r="G973" s="15" t="s">
        <v>4779</v>
      </c>
    </row>
    <row r="974" customFormat="false" ht="15.75" hidden="false" customHeight="false" outlineLevel="0" collapsed="false">
      <c r="A974" s="20" t="n">
        <v>46091</v>
      </c>
      <c r="B974" s="15" t="s">
        <v>5789</v>
      </c>
      <c r="C974" s="15" t="s">
        <v>471</v>
      </c>
      <c r="D974" s="15" t="s">
        <v>4772</v>
      </c>
      <c r="E974" s="15" t="s">
        <v>5812</v>
      </c>
      <c r="F974" s="15" t="s">
        <v>452</v>
      </c>
      <c r="G974" s="15" t="s">
        <v>4784</v>
      </c>
    </row>
    <row r="975" customFormat="false" ht="15.75" hidden="false" customHeight="false" outlineLevel="0" collapsed="false">
      <c r="A975" s="20" t="n">
        <v>46091</v>
      </c>
      <c r="B975" s="15" t="s">
        <v>5791</v>
      </c>
      <c r="C975" s="15" t="s">
        <v>477</v>
      </c>
      <c r="D975" s="15" t="s">
        <v>4772</v>
      </c>
      <c r="E975" s="15" t="s">
        <v>5813</v>
      </c>
      <c r="F975" s="15" t="s">
        <v>4804</v>
      </c>
      <c r="G975" s="15" t="s">
        <v>4779</v>
      </c>
    </row>
    <row r="976" customFormat="false" ht="15.75" hidden="false" customHeight="false" outlineLevel="0" collapsed="false">
      <c r="A976" s="20" t="n">
        <v>46092</v>
      </c>
      <c r="B976" s="15" t="s">
        <v>5789</v>
      </c>
      <c r="C976" s="15" t="s">
        <v>481</v>
      </c>
      <c r="D976" s="15" t="s">
        <v>4772</v>
      </c>
      <c r="E976" s="15" t="s">
        <v>5814</v>
      </c>
      <c r="F976" s="15" t="s">
        <v>4947</v>
      </c>
      <c r="G976" s="15" t="s">
        <v>4779</v>
      </c>
    </row>
    <row r="977" customFormat="false" ht="15.75" hidden="false" customHeight="false" outlineLevel="0" collapsed="false">
      <c r="A977" s="20" t="n">
        <v>46092</v>
      </c>
      <c r="B977" s="15" t="s">
        <v>5791</v>
      </c>
      <c r="C977" s="15" t="s">
        <v>471</v>
      </c>
      <c r="D977" s="15" t="s">
        <v>4772</v>
      </c>
      <c r="E977" s="15" t="s">
        <v>5815</v>
      </c>
      <c r="F977" s="15" t="s">
        <v>452</v>
      </c>
      <c r="G977" s="15" t="s">
        <v>4784</v>
      </c>
    </row>
    <row r="978" customFormat="false" ht="15.75" hidden="false" customHeight="false" outlineLevel="0" collapsed="false">
      <c r="A978" s="20" t="n">
        <v>46092</v>
      </c>
      <c r="B978" s="15" t="s">
        <v>5793</v>
      </c>
      <c r="C978" s="15" t="s">
        <v>477</v>
      </c>
      <c r="D978" s="15" t="s">
        <v>4772</v>
      </c>
      <c r="E978" s="15" t="s">
        <v>5816</v>
      </c>
      <c r="F978" s="15" t="s">
        <v>4804</v>
      </c>
      <c r="G978" s="15" t="s">
        <v>4779</v>
      </c>
    </row>
    <row r="979" customFormat="false" ht="15.75" hidden="false" customHeight="false" outlineLevel="0" collapsed="false">
      <c r="A979" s="20" t="n">
        <v>46092</v>
      </c>
      <c r="B979" s="15" t="s">
        <v>5817</v>
      </c>
      <c r="C979" s="15" t="s">
        <v>473</v>
      </c>
      <c r="D979" s="15" t="s">
        <v>4772</v>
      </c>
      <c r="E979" s="15" t="s">
        <v>5818</v>
      </c>
      <c r="F979" s="15" t="s">
        <v>4951</v>
      </c>
      <c r="G979" s="15" t="s">
        <v>4779</v>
      </c>
    </row>
    <row r="980" customFormat="false" ht="15.75" hidden="false" customHeight="false" outlineLevel="0" collapsed="false">
      <c r="A980" s="20" t="n">
        <v>46093</v>
      </c>
      <c r="B980" s="15" t="s">
        <v>5789</v>
      </c>
      <c r="C980" s="15" t="s">
        <v>481</v>
      </c>
      <c r="D980" s="15" t="s">
        <v>4772</v>
      </c>
      <c r="E980" s="15" t="s">
        <v>5819</v>
      </c>
      <c r="F980" s="15" t="s">
        <v>4947</v>
      </c>
      <c r="G980" s="15" t="s">
        <v>4779</v>
      </c>
    </row>
    <row r="981" customFormat="false" ht="15.75" hidden="false" customHeight="false" outlineLevel="0" collapsed="false">
      <c r="A981" s="20" t="n">
        <v>46093</v>
      </c>
      <c r="B981" s="15" t="s">
        <v>5791</v>
      </c>
      <c r="C981" s="15" t="s">
        <v>471</v>
      </c>
      <c r="D981" s="15" t="s">
        <v>4772</v>
      </c>
      <c r="E981" s="15" t="s">
        <v>5820</v>
      </c>
      <c r="F981" s="15" t="s">
        <v>452</v>
      </c>
      <c r="G981" s="15" t="s">
        <v>4784</v>
      </c>
    </row>
    <row r="982" customFormat="false" ht="15.75" hidden="false" customHeight="false" outlineLevel="0" collapsed="false">
      <c r="A982" s="20" t="n">
        <v>46093</v>
      </c>
      <c r="B982" s="15" t="s">
        <v>5793</v>
      </c>
      <c r="C982" s="15" t="s">
        <v>477</v>
      </c>
      <c r="D982" s="15" t="s">
        <v>4772</v>
      </c>
      <c r="E982" s="15" t="s">
        <v>5821</v>
      </c>
      <c r="F982" s="15" t="s">
        <v>4804</v>
      </c>
      <c r="G982" s="15" t="s">
        <v>4779</v>
      </c>
    </row>
    <row r="983" customFormat="false" ht="15.75" hidden="false" customHeight="false" outlineLevel="0" collapsed="false">
      <c r="A983" s="20" t="n">
        <v>46093</v>
      </c>
      <c r="B983" s="15" t="s">
        <v>5817</v>
      </c>
      <c r="C983" s="15" t="s">
        <v>473</v>
      </c>
      <c r="D983" s="15" t="s">
        <v>4772</v>
      </c>
      <c r="E983" s="15" t="s">
        <v>5822</v>
      </c>
      <c r="F983" s="15" t="s">
        <v>4951</v>
      </c>
      <c r="G983" s="15" t="s">
        <v>4779</v>
      </c>
    </row>
    <row r="984" customFormat="false" ht="15.75" hidden="false" customHeight="false" outlineLevel="0" collapsed="false">
      <c r="A984" s="20" t="n">
        <v>46094</v>
      </c>
      <c r="B984" s="15" t="s">
        <v>5789</v>
      </c>
      <c r="C984" s="15" t="s">
        <v>471</v>
      </c>
      <c r="D984" s="15" t="s">
        <v>4772</v>
      </c>
      <c r="E984" s="15" t="s">
        <v>5823</v>
      </c>
      <c r="F984" s="15" t="s">
        <v>452</v>
      </c>
      <c r="G984" s="15" t="s">
        <v>4784</v>
      </c>
    </row>
    <row r="985" customFormat="false" ht="15.75" hidden="false" customHeight="false" outlineLevel="0" collapsed="false">
      <c r="A985" s="20" t="n">
        <v>46094</v>
      </c>
      <c r="B985" s="15" t="s">
        <v>5791</v>
      </c>
      <c r="C985" s="15" t="s">
        <v>477</v>
      </c>
      <c r="D985" s="15" t="s">
        <v>4772</v>
      </c>
      <c r="E985" s="15" t="s">
        <v>5824</v>
      </c>
      <c r="F985" s="15" t="s">
        <v>4804</v>
      </c>
      <c r="G985" s="15" t="s">
        <v>4779</v>
      </c>
    </row>
    <row r="986" customFormat="false" ht="15.75" hidden="false" customHeight="false" outlineLevel="0" collapsed="false">
      <c r="A986" s="20" t="n">
        <v>46094</v>
      </c>
      <c r="B986" s="15" t="s">
        <v>5793</v>
      </c>
      <c r="C986" s="15" t="s">
        <v>473</v>
      </c>
      <c r="D986" s="15" t="s">
        <v>4772</v>
      </c>
      <c r="E986" s="15" t="s">
        <v>5825</v>
      </c>
      <c r="F986" s="15" t="s">
        <v>4951</v>
      </c>
      <c r="G986" s="15" t="s">
        <v>4779</v>
      </c>
    </row>
    <row r="987" customFormat="false" ht="15.75" hidden="false" customHeight="false" outlineLevel="0" collapsed="false">
      <c r="A987" s="20" t="n">
        <v>46097</v>
      </c>
      <c r="B987" s="15" t="s">
        <v>5789</v>
      </c>
      <c r="C987" s="15" t="s">
        <v>473</v>
      </c>
      <c r="D987" s="15" t="s">
        <v>4772</v>
      </c>
      <c r="E987" s="15" t="s">
        <v>5826</v>
      </c>
      <c r="F987" s="15" t="s">
        <v>4951</v>
      </c>
      <c r="G987" s="15" t="s">
        <v>4779</v>
      </c>
    </row>
    <row r="988" customFormat="false" ht="15.75" hidden="false" customHeight="false" outlineLevel="0" collapsed="false">
      <c r="A988" s="20" t="n">
        <v>46098</v>
      </c>
      <c r="B988" s="15" t="s">
        <v>5789</v>
      </c>
      <c r="C988" s="15" t="s">
        <v>478</v>
      </c>
      <c r="D988" s="15" t="s">
        <v>4772</v>
      </c>
      <c r="E988" s="15" t="s">
        <v>5827</v>
      </c>
      <c r="F988" s="15" t="s">
        <v>5004</v>
      </c>
      <c r="G988" s="15" t="s">
        <v>4779</v>
      </c>
    </row>
    <row r="989" customFormat="false" ht="15.75" hidden="false" customHeight="false" outlineLevel="0" collapsed="false">
      <c r="A989" s="20" t="n">
        <v>46099</v>
      </c>
      <c r="B989" s="15" t="s">
        <v>5789</v>
      </c>
      <c r="C989" s="15" t="s">
        <v>478</v>
      </c>
      <c r="D989" s="15" t="s">
        <v>4772</v>
      </c>
      <c r="E989" s="15" t="s">
        <v>5828</v>
      </c>
      <c r="F989" s="15" t="s">
        <v>5004</v>
      </c>
      <c r="G989" s="15" t="s">
        <v>4779</v>
      </c>
    </row>
    <row r="990" customFormat="false" ht="15.75" hidden="false" customHeight="false" outlineLevel="0" collapsed="false">
      <c r="A990" s="20" t="n">
        <v>46100</v>
      </c>
      <c r="B990" s="15" t="s">
        <v>5789</v>
      </c>
      <c r="C990" s="15" t="s">
        <v>471</v>
      </c>
      <c r="D990" s="15" t="s">
        <v>4772</v>
      </c>
      <c r="E990" s="15" t="s">
        <v>5829</v>
      </c>
      <c r="F990" s="15" t="s">
        <v>452</v>
      </c>
      <c r="G990" s="15" t="s">
        <v>4784</v>
      </c>
    </row>
    <row r="991" customFormat="false" ht="15.75" hidden="false" customHeight="false" outlineLevel="0" collapsed="false">
      <c r="A991" s="20" t="n">
        <v>46100</v>
      </c>
      <c r="B991" s="15" t="s">
        <v>5791</v>
      </c>
      <c r="C991" s="15" t="s">
        <v>480</v>
      </c>
      <c r="D991" s="15" t="s">
        <v>4772</v>
      </c>
      <c r="E991" s="15" t="s">
        <v>5830</v>
      </c>
      <c r="F991" s="15" t="s">
        <v>5034</v>
      </c>
      <c r="G991" s="15" t="s">
        <v>4779</v>
      </c>
    </row>
    <row r="992" customFormat="false" ht="15.75" hidden="false" customHeight="false" outlineLevel="0" collapsed="false">
      <c r="A992" s="20" t="n">
        <v>46101</v>
      </c>
      <c r="B992" s="15" t="s">
        <v>5789</v>
      </c>
      <c r="C992" s="15" t="s">
        <v>471</v>
      </c>
      <c r="D992" s="15" t="s">
        <v>4772</v>
      </c>
      <c r="E992" s="15" t="s">
        <v>5831</v>
      </c>
      <c r="F992" s="15" t="s">
        <v>452</v>
      </c>
      <c r="G992" s="15" t="s">
        <v>4784</v>
      </c>
    </row>
    <row r="993" customFormat="false" ht="15.75" hidden="false" customHeight="false" outlineLevel="0" collapsed="false">
      <c r="A993" s="20" t="n">
        <v>46101</v>
      </c>
      <c r="B993" s="15" t="s">
        <v>5791</v>
      </c>
      <c r="C993" s="15" t="s">
        <v>480</v>
      </c>
      <c r="D993" s="15" t="s">
        <v>4772</v>
      </c>
      <c r="E993" s="15" t="s">
        <v>5832</v>
      </c>
      <c r="F993" s="15" t="s">
        <v>5034</v>
      </c>
      <c r="G993" s="15" t="s">
        <v>4779</v>
      </c>
    </row>
    <row r="994" customFormat="false" ht="15.75" hidden="false" customHeight="false" outlineLevel="0" collapsed="false">
      <c r="A994" s="20" t="n">
        <v>46104</v>
      </c>
      <c r="B994" s="15" t="s">
        <v>5789</v>
      </c>
      <c r="C994" s="15" t="s">
        <v>476</v>
      </c>
      <c r="D994" s="15" t="s">
        <v>4772</v>
      </c>
      <c r="E994" s="15" t="s">
        <v>5833</v>
      </c>
      <c r="F994" s="15" t="s">
        <v>5063</v>
      </c>
      <c r="G994" s="15" t="s">
        <v>4779</v>
      </c>
    </row>
    <row r="995" customFormat="false" ht="15.75" hidden="false" customHeight="false" outlineLevel="0" collapsed="false">
      <c r="A995" s="20" t="n">
        <v>46104</v>
      </c>
      <c r="B995" s="15" t="s">
        <v>5791</v>
      </c>
      <c r="C995" s="15" t="s">
        <v>480</v>
      </c>
      <c r="D995" s="15" t="s">
        <v>4772</v>
      </c>
      <c r="E995" s="15" t="s">
        <v>5834</v>
      </c>
      <c r="F995" s="15" t="s">
        <v>5034</v>
      </c>
      <c r="G995" s="15" t="s">
        <v>4779</v>
      </c>
    </row>
    <row r="996" customFormat="false" ht="15.75" hidden="false" customHeight="false" outlineLevel="0" collapsed="false">
      <c r="A996" s="20" t="n">
        <v>46105</v>
      </c>
      <c r="B996" s="15" t="s">
        <v>5789</v>
      </c>
      <c r="C996" s="15" t="s">
        <v>476</v>
      </c>
      <c r="D996" s="15" t="s">
        <v>4772</v>
      </c>
      <c r="E996" s="15" t="s">
        <v>5835</v>
      </c>
      <c r="F996" s="15" t="s">
        <v>5063</v>
      </c>
      <c r="G996" s="15" t="s">
        <v>4779</v>
      </c>
    </row>
    <row r="997" customFormat="false" ht="15.75" hidden="false" customHeight="false" outlineLevel="0" collapsed="false">
      <c r="A997" s="20" t="n">
        <v>46105</v>
      </c>
      <c r="B997" s="15" t="s">
        <v>5791</v>
      </c>
      <c r="C997" s="15" t="s">
        <v>477</v>
      </c>
      <c r="D997" s="15" t="s">
        <v>4772</v>
      </c>
      <c r="E997" s="15" t="s">
        <v>5836</v>
      </c>
      <c r="F997" s="15" t="s">
        <v>4804</v>
      </c>
      <c r="G997" s="15" t="s">
        <v>4779</v>
      </c>
    </row>
    <row r="998" customFormat="false" ht="15.75" hidden="false" customHeight="false" outlineLevel="0" collapsed="false">
      <c r="A998" s="20" t="n">
        <v>46106</v>
      </c>
      <c r="B998" s="15" t="s">
        <v>5789</v>
      </c>
      <c r="C998" s="15" t="s">
        <v>477</v>
      </c>
      <c r="D998" s="15" t="s">
        <v>4772</v>
      </c>
      <c r="E998" s="15" t="s">
        <v>5837</v>
      </c>
      <c r="F998" s="15" t="s">
        <v>4804</v>
      </c>
      <c r="G998" s="15" t="s">
        <v>4779</v>
      </c>
    </row>
    <row r="999" customFormat="false" ht="15.75" hidden="false" customHeight="false" outlineLevel="0" collapsed="false">
      <c r="A999" s="20" t="n">
        <v>46107</v>
      </c>
      <c r="B999" s="15" t="s">
        <v>5789</v>
      </c>
      <c r="C999" s="15" t="s">
        <v>477</v>
      </c>
      <c r="D999" s="15" t="s">
        <v>4772</v>
      </c>
      <c r="E999" s="15" t="s">
        <v>5838</v>
      </c>
      <c r="F999" s="15" t="s">
        <v>4804</v>
      </c>
      <c r="G999" s="15" t="s">
        <v>4779</v>
      </c>
    </row>
    <row r="1000" customFormat="false" ht="15.75" hidden="false" customHeight="false" outlineLevel="0" collapsed="false">
      <c r="A1000" s="20" t="n">
        <v>46108</v>
      </c>
      <c r="B1000" s="15" t="s">
        <v>5789</v>
      </c>
      <c r="C1000" s="15" t="s">
        <v>477</v>
      </c>
      <c r="D1000" s="15" t="s">
        <v>4772</v>
      </c>
      <c r="E1000" s="15" t="s">
        <v>5839</v>
      </c>
      <c r="F1000" s="15" t="s">
        <v>4804</v>
      </c>
      <c r="G1000" s="15" t="s">
        <v>4779</v>
      </c>
    </row>
    <row r="1001" customFormat="false" ht="15.75" hidden="false" customHeight="false" outlineLevel="0" collapsed="false">
      <c r="A1001" s="20" t="n">
        <v>46108</v>
      </c>
      <c r="B1001" s="15" t="s">
        <v>5791</v>
      </c>
      <c r="C1001" s="15" t="s">
        <v>476</v>
      </c>
      <c r="D1001" s="15" t="s">
        <v>4772</v>
      </c>
      <c r="E1001" s="15" t="s">
        <v>5840</v>
      </c>
      <c r="F1001" s="15" t="s">
        <v>5063</v>
      </c>
      <c r="G1001" s="15" t="s">
        <v>4779</v>
      </c>
    </row>
    <row r="1002" customFormat="false" ht="15.75" hidden="false" customHeight="false" outlineLevel="0" collapsed="false">
      <c r="A1002" s="20" t="n">
        <v>46111</v>
      </c>
      <c r="B1002" s="15" t="s">
        <v>5789</v>
      </c>
      <c r="C1002" s="15" t="s">
        <v>477</v>
      </c>
      <c r="D1002" s="15" t="s">
        <v>4772</v>
      </c>
      <c r="E1002" s="15" t="s">
        <v>5841</v>
      </c>
      <c r="F1002" s="15" t="s">
        <v>4804</v>
      </c>
      <c r="G1002" s="15" t="s">
        <v>4779</v>
      </c>
    </row>
    <row r="1003" customFormat="false" ht="15.75" hidden="false" customHeight="false" outlineLevel="0" collapsed="false">
      <c r="A1003" s="20" t="n">
        <v>46111</v>
      </c>
      <c r="B1003" s="15" t="s">
        <v>5791</v>
      </c>
      <c r="C1003" s="15" t="s">
        <v>473</v>
      </c>
      <c r="D1003" s="15" t="s">
        <v>4772</v>
      </c>
      <c r="E1003" s="15" t="s">
        <v>5842</v>
      </c>
      <c r="F1003" s="15" t="s">
        <v>4951</v>
      </c>
      <c r="G1003" s="15" t="s">
        <v>4779</v>
      </c>
    </row>
    <row r="1004" customFormat="false" ht="15.75" hidden="false" customHeight="false" outlineLevel="0" collapsed="false">
      <c r="A1004" s="20" t="n">
        <v>46112</v>
      </c>
      <c r="B1004" s="15" t="s">
        <v>5789</v>
      </c>
      <c r="C1004" s="15" t="s">
        <v>477</v>
      </c>
      <c r="D1004" s="15" t="s">
        <v>4772</v>
      </c>
      <c r="E1004" s="15" t="s">
        <v>5843</v>
      </c>
      <c r="F1004" s="15" t="s">
        <v>4804</v>
      </c>
      <c r="G1004" s="15" t="s">
        <v>4779</v>
      </c>
    </row>
    <row r="1005" customFormat="false" ht="15.75" hidden="false" customHeight="false" outlineLevel="0" collapsed="false">
      <c r="A1005" s="20" t="n">
        <v>46112</v>
      </c>
      <c r="B1005" s="15" t="s">
        <v>5791</v>
      </c>
      <c r="C1005" s="15" t="s">
        <v>473</v>
      </c>
      <c r="D1005" s="15" t="s">
        <v>4772</v>
      </c>
      <c r="E1005" s="15" t="s">
        <v>5844</v>
      </c>
      <c r="F1005" s="15" t="s">
        <v>4951</v>
      </c>
      <c r="G1005" s="15" t="s">
        <v>4779</v>
      </c>
    </row>
    <row r="1006" customFormat="false" ht="15.75" hidden="false" customHeight="false" outlineLevel="0" collapsed="false">
      <c r="A1006" s="20" t="n">
        <v>46114</v>
      </c>
      <c r="B1006" s="15" t="s">
        <v>5789</v>
      </c>
      <c r="C1006" s="15" t="s">
        <v>477</v>
      </c>
      <c r="D1006" s="15" t="s">
        <v>4772</v>
      </c>
      <c r="E1006" s="15" t="s">
        <v>5845</v>
      </c>
      <c r="F1006" s="15" t="s">
        <v>4804</v>
      </c>
      <c r="G1006" s="15" t="s">
        <v>4779</v>
      </c>
    </row>
    <row r="1007" customFormat="false" ht="15.75" hidden="false" customHeight="false" outlineLevel="0" collapsed="false">
      <c r="A1007" s="20" t="n">
        <v>46114</v>
      </c>
      <c r="B1007" s="15" t="s">
        <v>5791</v>
      </c>
      <c r="C1007" s="15" t="s">
        <v>473</v>
      </c>
      <c r="D1007" s="15" t="s">
        <v>4772</v>
      </c>
      <c r="E1007" s="15" t="s">
        <v>5846</v>
      </c>
      <c r="F1007" s="15" t="s">
        <v>4951</v>
      </c>
      <c r="G1007" s="15" t="s">
        <v>4779</v>
      </c>
    </row>
    <row r="1008" customFormat="false" ht="15.75" hidden="false" customHeight="false" outlineLevel="0" collapsed="false">
      <c r="A1008" s="20" t="n">
        <v>46115</v>
      </c>
      <c r="B1008" s="15" t="s">
        <v>5789</v>
      </c>
      <c r="C1008" s="15" t="s">
        <v>477</v>
      </c>
      <c r="D1008" s="15" t="s">
        <v>4772</v>
      </c>
      <c r="E1008" s="15" t="s">
        <v>5847</v>
      </c>
      <c r="F1008" s="15" t="s">
        <v>4804</v>
      </c>
      <c r="G1008" s="15" t="s">
        <v>4779</v>
      </c>
    </row>
    <row r="1009" customFormat="false" ht="15.75" hidden="false" customHeight="false" outlineLevel="0" collapsed="false">
      <c r="A1009" s="20" t="n">
        <v>46115</v>
      </c>
      <c r="B1009" s="15" t="s">
        <v>5791</v>
      </c>
      <c r="C1009" s="15" t="s">
        <v>473</v>
      </c>
      <c r="D1009" s="15" t="s">
        <v>4772</v>
      </c>
      <c r="E1009" s="15" t="s">
        <v>5848</v>
      </c>
      <c r="F1009" s="15" t="s">
        <v>4951</v>
      </c>
      <c r="G1009" s="15" t="s">
        <v>4779</v>
      </c>
    </row>
    <row r="1010" customFormat="false" ht="15.75" hidden="false" customHeight="false" outlineLevel="0" collapsed="false">
      <c r="A1010" s="20" t="n">
        <v>46118</v>
      </c>
      <c r="B1010" s="15" t="s">
        <v>5789</v>
      </c>
      <c r="C1010" s="15" t="s">
        <v>470</v>
      </c>
      <c r="D1010" s="15" t="s">
        <v>4772</v>
      </c>
      <c r="E1010" s="15" t="s">
        <v>5849</v>
      </c>
      <c r="F1010" s="15" t="s">
        <v>4809</v>
      </c>
      <c r="G1010" s="15" t="s">
        <v>4779</v>
      </c>
    </row>
    <row r="1011" customFormat="false" ht="15.75" hidden="false" customHeight="false" outlineLevel="0" collapsed="false">
      <c r="A1011" s="20" t="n">
        <v>46118</v>
      </c>
      <c r="B1011" s="15" t="s">
        <v>5791</v>
      </c>
      <c r="C1011" s="15" t="s">
        <v>472</v>
      </c>
      <c r="D1011" s="15" t="s">
        <v>4772</v>
      </c>
      <c r="E1011" s="15" t="s">
        <v>5850</v>
      </c>
      <c r="F1011" s="15" t="s">
        <v>486</v>
      </c>
      <c r="G1011" s="15" t="s">
        <v>4784</v>
      </c>
    </row>
    <row r="1012" customFormat="false" ht="15.75" hidden="false" customHeight="false" outlineLevel="0" collapsed="false">
      <c r="A1012" s="20" t="n">
        <v>46118</v>
      </c>
      <c r="B1012" s="15" t="s">
        <v>5793</v>
      </c>
      <c r="C1012" s="15" t="s">
        <v>474</v>
      </c>
      <c r="D1012" s="15" t="s">
        <v>4772</v>
      </c>
      <c r="E1012" s="15" t="s">
        <v>5851</v>
      </c>
      <c r="F1012" s="15" t="s">
        <v>4855</v>
      </c>
      <c r="G1012" s="15" t="s">
        <v>4779</v>
      </c>
    </row>
    <row r="1013" customFormat="false" ht="15.75" hidden="false" customHeight="false" outlineLevel="0" collapsed="false">
      <c r="A1013" s="20" t="n">
        <v>46119</v>
      </c>
      <c r="B1013" s="15" t="s">
        <v>5789</v>
      </c>
      <c r="C1013" s="15" t="s">
        <v>479</v>
      </c>
      <c r="D1013" s="15" t="s">
        <v>4772</v>
      </c>
      <c r="E1013" s="15" t="s">
        <v>5852</v>
      </c>
      <c r="F1013" s="15" t="s">
        <v>5218</v>
      </c>
      <c r="G1013" s="15" t="s">
        <v>4779</v>
      </c>
    </row>
    <row r="1014" customFormat="false" ht="15.75" hidden="false" customHeight="false" outlineLevel="0" collapsed="false">
      <c r="A1014" s="20" t="n">
        <v>46119</v>
      </c>
      <c r="B1014" s="15" t="s">
        <v>5791</v>
      </c>
      <c r="C1014" s="15" t="s">
        <v>472</v>
      </c>
      <c r="D1014" s="15" t="s">
        <v>4772</v>
      </c>
      <c r="E1014" s="15" t="s">
        <v>5853</v>
      </c>
      <c r="F1014" s="15" t="s">
        <v>486</v>
      </c>
      <c r="G1014" s="15" t="s">
        <v>4784</v>
      </c>
    </row>
    <row r="1015" customFormat="false" ht="15.75" hidden="false" customHeight="false" outlineLevel="0" collapsed="false">
      <c r="A1015" s="20" t="n">
        <v>46119</v>
      </c>
      <c r="B1015" s="15" t="s">
        <v>5793</v>
      </c>
      <c r="C1015" s="15" t="s">
        <v>474</v>
      </c>
      <c r="D1015" s="15" t="s">
        <v>4772</v>
      </c>
      <c r="E1015" s="15" t="s">
        <v>5854</v>
      </c>
      <c r="F1015" s="15" t="s">
        <v>4855</v>
      </c>
      <c r="G1015" s="15" t="s">
        <v>4779</v>
      </c>
    </row>
    <row r="1016" customFormat="false" ht="15.75" hidden="false" customHeight="false" outlineLevel="0" collapsed="false">
      <c r="A1016" s="20" t="n">
        <v>46120</v>
      </c>
      <c r="B1016" s="15" t="s">
        <v>5789</v>
      </c>
      <c r="C1016" s="15" t="s">
        <v>481</v>
      </c>
      <c r="D1016" s="15" t="s">
        <v>4772</v>
      </c>
      <c r="E1016" s="15" t="s">
        <v>5855</v>
      </c>
      <c r="F1016" s="15" t="s">
        <v>5233</v>
      </c>
      <c r="G1016" s="15" t="s">
        <v>4779</v>
      </c>
    </row>
    <row r="1017" customFormat="false" ht="15.75" hidden="false" customHeight="false" outlineLevel="0" collapsed="false">
      <c r="A1017" s="20" t="n">
        <v>46120</v>
      </c>
      <c r="B1017" s="15" t="s">
        <v>5791</v>
      </c>
      <c r="C1017" s="15" t="s">
        <v>474</v>
      </c>
      <c r="D1017" s="15" t="s">
        <v>4772</v>
      </c>
      <c r="E1017" s="15" t="s">
        <v>5856</v>
      </c>
      <c r="F1017" s="15" t="s">
        <v>4855</v>
      </c>
      <c r="G1017" s="15" t="s">
        <v>4779</v>
      </c>
    </row>
    <row r="1018" customFormat="false" ht="15.75" hidden="false" customHeight="false" outlineLevel="0" collapsed="false">
      <c r="A1018" s="20" t="n">
        <v>46121</v>
      </c>
      <c r="B1018" s="15" t="s">
        <v>5789</v>
      </c>
      <c r="C1018" s="15" t="s">
        <v>479</v>
      </c>
      <c r="D1018" s="15" t="s">
        <v>4772</v>
      </c>
      <c r="E1018" s="15" t="s">
        <v>5857</v>
      </c>
      <c r="F1018" s="15" t="s">
        <v>5218</v>
      </c>
      <c r="G1018" s="15" t="s">
        <v>4779</v>
      </c>
    </row>
    <row r="1019" customFormat="false" ht="15.75" hidden="false" customHeight="false" outlineLevel="0" collapsed="false">
      <c r="A1019" s="20" t="n">
        <v>46121</v>
      </c>
      <c r="B1019" s="15" t="s">
        <v>5791</v>
      </c>
      <c r="C1019" s="15" t="s">
        <v>474</v>
      </c>
      <c r="D1019" s="15" t="s">
        <v>4772</v>
      </c>
      <c r="E1019" s="15" t="s">
        <v>5858</v>
      </c>
      <c r="F1019" s="15" t="s">
        <v>4855</v>
      </c>
      <c r="G1019" s="15" t="s">
        <v>4779</v>
      </c>
    </row>
    <row r="1020" customFormat="false" ht="15.75" hidden="false" customHeight="false" outlineLevel="0" collapsed="false">
      <c r="A1020" s="20" t="n">
        <v>46122</v>
      </c>
      <c r="B1020" s="15" t="s">
        <v>5789</v>
      </c>
      <c r="C1020" s="15" t="s">
        <v>471</v>
      </c>
      <c r="D1020" s="15" t="s">
        <v>4772</v>
      </c>
      <c r="E1020" s="15" t="s">
        <v>5859</v>
      </c>
      <c r="F1020" s="15" t="s">
        <v>452</v>
      </c>
      <c r="G1020" s="15" t="s">
        <v>4784</v>
      </c>
    </row>
    <row r="1021" customFormat="false" ht="15.75" hidden="false" customHeight="false" outlineLevel="0" collapsed="false">
      <c r="A1021" s="20" t="n">
        <v>46125</v>
      </c>
      <c r="B1021" s="15" t="s">
        <v>5789</v>
      </c>
      <c r="C1021" s="15" t="s">
        <v>472</v>
      </c>
      <c r="D1021" s="15" t="s">
        <v>4772</v>
      </c>
      <c r="E1021" s="15" t="s">
        <v>5860</v>
      </c>
      <c r="F1021" s="15" t="s">
        <v>486</v>
      </c>
      <c r="G1021" s="15" t="s">
        <v>4784</v>
      </c>
    </row>
    <row r="1022" customFormat="false" ht="15.75" hidden="false" customHeight="false" outlineLevel="0" collapsed="false">
      <c r="A1022" s="20" t="n">
        <v>46125</v>
      </c>
      <c r="B1022" s="15" t="s">
        <v>5791</v>
      </c>
      <c r="C1022" s="15" t="s">
        <v>471</v>
      </c>
      <c r="D1022" s="15" t="s">
        <v>4772</v>
      </c>
      <c r="E1022" s="15" t="s">
        <v>5861</v>
      </c>
      <c r="F1022" s="15" t="s">
        <v>452</v>
      </c>
      <c r="G1022" s="15" t="s">
        <v>4784</v>
      </c>
    </row>
    <row r="1023" customFormat="false" ht="15.75" hidden="false" customHeight="false" outlineLevel="0" collapsed="false">
      <c r="A1023" s="20" t="n">
        <v>46126</v>
      </c>
      <c r="B1023" s="15" t="s">
        <v>5789</v>
      </c>
      <c r="C1023" s="15" t="s">
        <v>472</v>
      </c>
      <c r="D1023" s="15" t="s">
        <v>4772</v>
      </c>
      <c r="E1023" s="15" t="s">
        <v>5862</v>
      </c>
      <c r="F1023" s="15" t="s">
        <v>486</v>
      </c>
      <c r="G1023" s="15" t="s">
        <v>4784</v>
      </c>
    </row>
    <row r="1024" customFormat="false" ht="15.75" hidden="false" customHeight="false" outlineLevel="0" collapsed="false">
      <c r="A1024" s="20" t="n">
        <v>46126</v>
      </c>
      <c r="B1024" s="15" t="s">
        <v>5791</v>
      </c>
      <c r="C1024" s="15" t="s">
        <v>475</v>
      </c>
      <c r="D1024" s="15" t="s">
        <v>4772</v>
      </c>
      <c r="E1024" s="15" t="s">
        <v>5863</v>
      </c>
      <c r="F1024" s="15" t="s">
        <v>489</v>
      </c>
      <c r="G1024" s="15" t="s">
        <v>4784</v>
      </c>
    </row>
    <row r="1025" customFormat="false" ht="15.75" hidden="false" customHeight="false" outlineLevel="0" collapsed="false">
      <c r="A1025" s="20" t="n">
        <v>46126</v>
      </c>
      <c r="B1025" s="15" t="s">
        <v>5793</v>
      </c>
      <c r="C1025" s="15" t="s">
        <v>471</v>
      </c>
      <c r="D1025" s="15" t="s">
        <v>4772</v>
      </c>
      <c r="E1025" s="15" t="s">
        <v>5864</v>
      </c>
      <c r="F1025" s="15" t="s">
        <v>452</v>
      </c>
      <c r="G1025" s="15" t="s">
        <v>4784</v>
      </c>
    </row>
    <row r="1026" customFormat="false" ht="15.75" hidden="false" customHeight="false" outlineLevel="0" collapsed="false">
      <c r="A1026" s="20" t="n">
        <v>46127</v>
      </c>
      <c r="B1026" s="15" t="s">
        <v>5789</v>
      </c>
      <c r="C1026" s="15" t="s">
        <v>472</v>
      </c>
      <c r="D1026" s="15" t="s">
        <v>4772</v>
      </c>
      <c r="E1026" s="15" t="s">
        <v>5865</v>
      </c>
      <c r="F1026" s="15" t="s">
        <v>486</v>
      </c>
      <c r="G1026" s="15" t="s">
        <v>4784</v>
      </c>
    </row>
    <row r="1027" customFormat="false" ht="15.75" hidden="false" customHeight="false" outlineLevel="0" collapsed="false">
      <c r="A1027" s="20" t="n">
        <v>46127</v>
      </c>
      <c r="B1027" s="15" t="s">
        <v>5791</v>
      </c>
      <c r="C1027" s="15" t="s">
        <v>475</v>
      </c>
      <c r="D1027" s="15" t="s">
        <v>4772</v>
      </c>
      <c r="E1027" s="15" t="s">
        <v>5866</v>
      </c>
      <c r="F1027" s="15" t="s">
        <v>489</v>
      </c>
      <c r="G1027" s="15" t="s">
        <v>4784</v>
      </c>
    </row>
    <row r="1028" customFormat="false" ht="15.75" hidden="false" customHeight="false" outlineLevel="0" collapsed="false">
      <c r="A1028" s="20" t="n">
        <v>46128</v>
      </c>
      <c r="B1028" s="15" t="s">
        <v>5789</v>
      </c>
      <c r="C1028" s="15" t="s">
        <v>472</v>
      </c>
      <c r="D1028" s="15" t="s">
        <v>4772</v>
      </c>
      <c r="E1028" s="15" t="s">
        <v>5867</v>
      </c>
      <c r="F1028" s="15" t="s">
        <v>486</v>
      </c>
      <c r="G1028" s="15" t="s">
        <v>4784</v>
      </c>
    </row>
    <row r="1029" customFormat="false" ht="15.75" hidden="false" customHeight="false" outlineLevel="0" collapsed="false">
      <c r="A1029" s="20" t="n">
        <v>46128</v>
      </c>
      <c r="B1029" s="15" t="s">
        <v>5791</v>
      </c>
      <c r="C1029" s="15" t="s">
        <v>475</v>
      </c>
      <c r="D1029" s="15" t="s">
        <v>4772</v>
      </c>
      <c r="E1029" s="15" t="s">
        <v>5868</v>
      </c>
      <c r="F1029" s="15" t="s">
        <v>489</v>
      </c>
      <c r="G1029" s="15" t="s">
        <v>4784</v>
      </c>
    </row>
    <row r="1030" customFormat="false" ht="15.75" hidden="false" customHeight="false" outlineLevel="0" collapsed="false">
      <c r="A1030" s="20" t="n">
        <v>46129</v>
      </c>
      <c r="B1030" s="15" t="s">
        <v>5789</v>
      </c>
      <c r="C1030" s="15" t="s">
        <v>472</v>
      </c>
      <c r="D1030" s="15" t="s">
        <v>4772</v>
      </c>
      <c r="E1030" s="15" t="s">
        <v>5869</v>
      </c>
      <c r="F1030" s="15" t="s">
        <v>486</v>
      </c>
      <c r="G1030" s="15" t="s">
        <v>4784</v>
      </c>
    </row>
    <row r="1031" customFormat="false" ht="15.75" hidden="false" customHeight="false" outlineLevel="0" collapsed="false">
      <c r="A1031" s="20" t="n">
        <v>46129</v>
      </c>
      <c r="B1031" s="15" t="s">
        <v>5791</v>
      </c>
      <c r="C1031" s="15" t="s">
        <v>475</v>
      </c>
      <c r="D1031" s="15" t="s">
        <v>4772</v>
      </c>
      <c r="E1031" s="15" t="s">
        <v>5870</v>
      </c>
      <c r="F1031" s="15" t="s">
        <v>489</v>
      </c>
      <c r="G1031" s="15" t="s">
        <v>4784</v>
      </c>
    </row>
    <row r="1032" customFormat="false" ht="15.75" hidden="false" customHeight="false" outlineLevel="0" collapsed="false">
      <c r="A1032" s="20" t="n">
        <v>46130</v>
      </c>
      <c r="B1032" s="15" t="s">
        <v>5789</v>
      </c>
      <c r="C1032" s="15" t="s">
        <v>472</v>
      </c>
      <c r="D1032" s="15" t="s">
        <v>4772</v>
      </c>
      <c r="E1032" s="15" t="s">
        <v>5871</v>
      </c>
      <c r="F1032" s="15" t="s">
        <v>486</v>
      </c>
      <c r="G1032" s="15" t="s">
        <v>4784</v>
      </c>
    </row>
    <row r="1033" customFormat="false" ht="15.75" hidden="false" customHeight="false" outlineLevel="0" collapsed="false">
      <c r="A1033" s="20" t="n">
        <v>46132</v>
      </c>
      <c r="B1033" s="15" t="s">
        <v>5789</v>
      </c>
      <c r="C1033" s="15" t="s">
        <v>472</v>
      </c>
      <c r="D1033" s="15" t="s">
        <v>4772</v>
      </c>
      <c r="E1033" s="15" t="s">
        <v>5872</v>
      </c>
      <c r="F1033" s="15" t="s">
        <v>486</v>
      </c>
      <c r="G1033" s="15" t="s">
        <v>4784</v>
      </c>
    </row>
    <row r="1034" customFormat="false" ht="15.75" hidden="false" customHeight="false" outlineLevel="0" collapsed="false">
      <c r="A1034" s="20" t="n">
        <v>46132</v>
      </c>
      <c r="B1034" s="15" t="s">
        <v>5791</v>
      </c>
      <c r="C1034" s="15" t="s">
        <v>475</v>
      </c>
      <c r="D1034" s="15" t="s">
        <v>4772</v>
      </c>
      <c r="E1034" s="15" t="s">
        <v>5873</v>
      </c>
      <c r="F1034" s="15" t="s">
        <v>489</v>
      </c>
      <c r="G1034" s="15" t="s">
        <v>4784</v>
      </c>
    </row>
    <row r="1035" customFormat="false" ht="15.75" hidden="false" customHeight="false" outlineLevel="0" collapsed="false">
      <c r="A1035" s="20" t="n">
        <v>46133</v>
      </c>
      <c r="B1035" s="15" t="s">
        <v>5789</v>
      </c>
      <c r="C1035" s="15" t="s">
        <v>481</v>
      </c>
      <c r="D1035" s="15" t="s">
        <v>4772</v>
      </c>
      <c r="E1035" s="15" t="s">
        <v>5874</v>
      </c>
      <c r="F1035" s="15" t="s">
        <v>5373</v>
      </c>
      <c r="G1035" s="15" t="s">
        <v>4779</v>
      </c>
    </row>
    <row r="1036" customFormat="false" ht="15.75" hidden="false" customHeight="false" outlineLevel="0" collapsed="false">
      <c r="A1036" s="20" t="n">
        <v>46133</v>
      </c>
      <c r="B1036" s="15" t="s">
        <v>5791</v>
      </c>
      <c r="C1036" s="15" t="s">
        <v>472</v>
      </c>
      <c r="D1036" s="15" t="s">
        <v>4772</v>
      </c>
      <c r="E1036" s="15" t="s">
        <v>5875</v>
      </c>
      <c r="F1036" s="15" t="s">
        <v>486</v>
      </c>
      <c r="G1036" s="15" t="s">
        <v>4784</v>
      </c>
    </row>
    <row r="1037" customFormat="false" ht="15.75" hidden="false" customHeight="false" outlineLevel="0" collapsed="false">
      <c r="A1037" s="20" t="n">
        <v>46134</v>
      </c>
      <c r="B1037" s="15" t="s">
        <v>5789</v>
      </c>
      <c r="C1037" s="15" t="s">
        <v>478</v>
      </c>
      <c r="D1037" s="15" t="s">
        <v>4772</v>
      </c>
      <c r="E1037" s="15" t="s">
        <v>5876</v>
      </c>
      <c r="F1037" s="15" t="s">
        <v>5389</v>
      </c>
      <c r="G1037" s="15" t="s">
        <v>4779</v>
      </c>
    </row>
    <row r="1038" customFormat="false" ht="15.75" hidden="false" customHeight="false" outlineLevel="0" collapsed="false">
      <c r="A1038" s="20" t="n">
        <v>46134</v>
      </c>
      <c r="B1038" s="15" t="s">
        <v>5791</v>
      </c>
      <c r="C1038" s="15" t="s">
        <v>472</v>
      </c>
      <c r="D1038" s="15" t="s">
        <v>4772</v>
      </c>
      <c r="E1038" s="15" t="s">
        <v>5877</v>
      </c>
      <c r="F1038" s="15" t="s">
        <v>486</v>
      </c>
      <c r="G1038" s="15" t="s">
        <v>4784</v>
      </c>
    </row>
    <row r="1039" customFormat="false" ht="15.75" hidden="false" customHeight="false" outlineLevel="0" collapsed="false">
      <c r="A1039" s="20" t="n">
        <v>46135</v>
      </c>
      <c r="B1039" s="15" t="s">
        <v>5789</v>
      </c>
      <c r="C1039" s="15" t="s">
        <v>479</v>
      </c>
      <c r="D1039" s="15" t="s">
        <v>4772</v>
      </c>
      <c r="E1039" s="15" t="s">
        <v>5878</v>
      </c>
      <c r="F1039" s="15" t="s">
        <v>5218</v>
      </c>
      <c r="G1039" s="15" t="s">
        <v>4779</v>
      </c>
    </row>
    <row r="1040" customFormat="false" ht="15.75" hidden="false" customHeight="false" outlineLevel="0" collapsed="false">
      <c r="A1040" s="20" t="n">
        <v>46135</v>
      </c>
      <c r="B1040" s="15" t="s">
        <v>5791</v>
      </c>
      <c r="C1040" s="15" t="s">
        <v>472</v>
      </c>
      <c r="D1040" s="15" t="s">
        <v>4772</v>
      </c>
      <c r="E1040" s="15" t="s">
        <v>5879</v>
      </c>
      <c r="F1040" s="15" t="s">
        <v>486</v>
      </c>
      <c r="G1040" s="15" t="s">
        <v>4784</v>
      </c>
    </row>
    <row r="1041" customFormat="false" ht="15.75" hidden="false" customHeight="false" outlineLevel="0" collapsed="false">
      <c r="A1041" s="20" t="n">
        <v>46136</v>
      </c>
      <c r="B1041" s="15" t="s">
        <v>5789</v>
      </c>
      <c r="C1041" s="15" t="s">
        <v>479</v>
      </c>
      <c r="D1041" s="15" t="s">
        <v>4772</v>
      </c>
      <c r="E1041" s="15" t="s">
        <v>5880</v>
      </c>
      <c r="F1041" s="15" t="s">
        <v>5218</v>
      </c>
      <c r="G1041" s="15" t="s">
        <v>4779</v>
      </c>
    </row>
    <row r="1042" customFormat="false" ht="15.75" hidden="false" customHeight="false" outlineLevel="0" collapsed="false">
      <c r="A1042" s="20" t="n">
        <v>46136</v>
      </c>
      <c r="B1042" s="15" t="s">
        <v>5791</v>
      </c>
      <c r="C1042" s="15" t="s">
        <v>472</v>
      </c>
      <c r="D1042" s="15" t="s">
        <v>4772</v>
      </c>
      <c r="E1042" s="15" t="s">
        <v>5881</v>
      </c>
      <c r="F1042" s="15" t="s">
        <v>486</v>
      </c>
      <c r="G1042" s="15" t="s">
        <v>4784</v>
      </c>
    </row>
    <row r="1043" customFormat="false" ht="15.75" hidden="false" customHeight="false" outlineLevel="0" collapsed="false">
      <c r="A1043" s="20" t="n">
        <v>46136</v>
      </c>
      <c r="B1043" s="15" t="s">
        <v>5793</v>
      </c>
      <c r="C1043" s="15" t="s">
        <v>474</v>
      </c>
      <c r="D1043" s="15" t="s">
        <v>4772</v>
      </c>
      <c r="E1043" s="15" t="s">
        <v>5882</v>
      </c>
      <c r="F1043" s="15" t="s">
        <v>4855</v>
      </c>
      <c r="G1043" s="15" t="s">
        <v>4779</v>
      </c>
    </row>
    <row r="1044" customFormat="false" ht="15.75" hidden="false" customHeight="false" outlineLevel="0" collapsed="false">
      <c r="A1044" s="20" t="n">
        <v>46139</v>
      </c>
      <c r="B1044" s="15" t="s">
        <v>5789</v>
      </c>
      <c r="C1044" s="15" t="s">
        <v>473</v>
      </c>
      <c r="D1044" s="15" t="s">
        <v>4772</v>
      </c>
      <c r="E1044" s="15" t="s">
        <v>5883</v>
      </c>
      <c r="F1044" s="15" t="s">
        <v>5426</v>
      </c>
      <c r="G1044" s="15" t="s">
        <v>4779</v>
      </c>
    </row>
    <row r="1045" customFormat="false" ht="15.75" hidden="false" customHeight="false" outlineLevel="0" collapsed="false">
      <c r="A1045" s="20" t="n">
        <v>46140</v>
      </c>
      <c r="B1045" s="15" t="s">
        <v>5789</v>
      </c>
      <c r="C1045" s="15" t="s">
        <v>479</v>
      </c>
      <c r="D1045" s="15" t="s">
        <v>4772</v>
      </c>
      <c r="E1045" s="15" t="s">
        <v>5884</v>
      </c>
      <c r="F1045" s="15" t="s">
        <v>5218</v>
      </c>
      <c r="G1045" s="15" t="s">
        <v>4779</v>
      </c>
    </row>
    <row r="1046" customFormat="false" ht="15.75" hidden="false" customHeight="false" outlineLevel="0" collapsed="false">
      <c r="A1046" s="20" t="n">
        <v>46140</v>
      </c>
      <c r="B1046" s="15" t="s">
        <v>5791</v>
      </c>
      <c r="C1046" s="15" t="s">
        <v>477</v>
      </c>
      <c r="D1046" s="15" t="s">
        <v>4772</v>
      </c>
      <c r="E1046" s="15" t="s">
        <v>5885</v>
      </c>
      <c r="F1046" s="15" t="s">
        <v>4804</v>
      </c>
      <c r="G1046" s="15" t="s">
        <v>4779</v>
      </c>
    </row>
    <row r="1047" customFormat="false" ht="15.75" hidden="false" customHeight="false" outlineLevel="0" collapsed="false">
      <c r="A1047" s="20" t="n">
        <v>46140</v>
      </c>
      <c r="B1047" s="15" t="s">
        <v>5793</v>
      </c>
      <c r="C1047" s="15" t="s">
        <v>474</v>
      </c>
      <c r="D1047" s="15" t="s">
        <v>4772</v>
      </c>
      <c r="E1047" s="15" t="s">
        <v>5886</v>
      </c>
      <c r="F1047" s="15" t="s">
        <v>4855</v>
      </c>
      <c r="G1047" s="15" t="s">
        <v>4779</v>
      </c>
    </row>
    <row r="1048" customFormat="false" ht="15.75" hidden="false" customHeight="false" outlineLevel="0" collapsed="false">
      <c r="A1048" s="20" t="n">
        <v>46141</v>
      </c>
      <c r="B1048" s="15" t="s">
        <v>5789</v>
      </c>
      <c r="C1048" s="15" t="s">
        <v>479</v>
      </c>
      <c r="D1048" s="15" t="s">
        <v>4772</v>
      </c>
      <c r="E1048" s="15" t="s">
        <v>5887</v>
      </c>
      <c r="F1048" s="15" t="s">
        <v>5218</v>
      </c>
      <c r="G1048" s="15" t="s">
        <v>4779</v>
      </c>
    </row>
    <row r="1049" customFormat="false" ht="15.75" hidden="false" customHeight="false" outlineLevel="0" collapsed="false">
      <c r="A1049" s="20" t="n">
        <v>46141</v>
      </c>
      <c r="B1049" s="15" t="s">
        <v>5791</v>
      </c>
      <c r="C1049" s="15" t="s">
        <v>477</v>
      </c>
      <c r="D1049" s="15" t="s">
        <v>4772</v>
      </c>
      <c r="E1049" s="15" t="s">
        <v>5888</v>
      </c>
      <c r="F1049" s="15" t="s">
        <v>4804</v>
      </c>
      <c r="G1049" s="15" t="s">
        <v>4779</v>
      </c>
    </row>
    <row r="1050" customFormat="false" ht="15.75" hidden="false" customHeight="false" outlineLevel="0" collapsed="false">
      <c r="A1050" s="20" t="n">
        <v>46141</v>
      </c>
      <c r="B1050" s="15" t="s">
        <v>5793</v>
      </c>
      <c r="C1050" s="15" t="s">
        <v>474</v>
      </c>
      <c r="D1050" s="15" t="s">
        <v>4772</v>
      </c>
      <c r="E1050" s="15" t="s">
        <v>5889</v>
      </c>
      <c r="F1050" s="15" t="s">
        <v>4855</v>
      </c>
      <c r="G1050" s="15" t="s">
        <v>4779</v>
      </c>
    </row>
    <row r="1051" customFormat="false" ht="15.75" hidden="false" customHeight="false" outlineLevel="0" collapsed="false">
      <c r="A1051" s="20" t="n">
        <v>46146</v>
      </c>
      <c r="B1051" s="15" t="s">
        <v>5789</v>
      </c>
      <c r="C1051" s="15" t="s">
        <v>477</v>
      </c>
      <c r="D1051" s="15" t="s">
        <v>4772</v>
      </c>
      <c r="E1051" s="15" t="s">
        <v>5890</v>
      </c>
      <c r="F1051" s="15" t="s">
        <v>4804</v>
      </c>
      <c r="G1051" s="15" t="s">
        <v>4779</v>
      </c>
    </row>
    <row r="1052" customFormat="false" ht="15.75" hidden="false" customHeight="false" outlineLevel="0" collapsed="false">
      <c r="A1052" s="20" t="n">
        <v>46146</v>
      </c>
      <c r="B1052" s="15" t="s">
        <v>5791</v>
      </c>
      <c r="C1052" s="15" t="s">
        <v>470</v>
      </c>
      <c r="D1052" s="15" t="s">
        <v>4772</v>
      </c>
      <c r="E1052" s="15" t="s">
        <v>5891</v>
      </c>
      <c r="F1052" s="15" t="s">
        <v>4809</v>
      </c>
      <c r="G1052" s="15" t="s">
        <v>4779</v>
      </c>
    </row>
    <row r="1053" customFormat="false" ht="15.75" hidden="false" customHeight="false" outlineLevel="0" collapsed="false">
      <c r="A1053" s="20" t="n">
        <v>46147</v>
      </c>
      <c r="B1053" s="15" t="s">
        <v>5789</v>
      </c>
      <c r="C1053" s="15" t="s">
        <v>477</v>
      </c>
      <c r="D1053" s="15" t="s">
        <v>4772</v>
      </c>
      <c r="E1053" s="15" t="s">
        <v>5892</v>
      </c>
      <c r="F1053" s="15" t="s">
        <v>4804</v>
      </c>
      <c r="G1053" s="15" t="s">
        <v>4779</v>
      </c>
    </row>
    <row r="1054" customFormat="false" ht="15.75" hidden="false" customHeight="false" outlineLevel="0" collapsed="false">
      <c r="A1054" s="20" t="n">
        <v>46147</v>
      </c>
      <c r="B1054" s="15" t="s">
        <v>5791</v>
      </c>
      <c r="C1054" s="15" t="s">
        <v>470</v>
      </c>
      <c r="D1054" s="15" t="s">
        <v>4772</v>
      </c>
      <c r="E1054" s="15" t="s">
        <v>5893</v>
      </c>
      <c r="F1054" s="15" t="s">
        <v>4809</v>
      </c>
      <c r="G1054" s="15" t="s">
        <v>4779</v>
      </c>
    </row>
    <row r="1055" customFormat="false" ht="15.75" hidden="false" customHeight="false" outlineLevel="0" collapsed="false">
      <c r="A1055" s="20" t="n">
        <v>46148</v>
      </c>
      <c r="B1055" s="15" t="s">
        <v>5789</v>
      </c>
      <c r="C1055" s="15" t="s">
        <v>477</v>
      </c>
      <c r="D1055" s="15" t="s">
        <v>4772</v>
      </c>
      <c r="E1055" s="15" t="s">
        <v>5894</v>
      </c>
      <c r="F1055" s="15" t="s">
        <v>4804</v>
      </c>
      <c r="G1055" s="15" t="s">
        <v>4779</v>
      </c>
    </row>
    <row r="1056" customFormat="false" ht="15.75" hidden="false" customHeight="false" outlineLevel="0" collapsed="false">
      <c r="A1056" s="20" t="n">
        <v>46149</v>
      </c>
      <c r="B1056" s="15" t="s">
        <v>5789</v>
      </c>
      <c r="C1056" s="15" t="s">
        <v>477</v>
      </c>
      <c r="D1056" s="15" t="s">
        <v>4772</v>
      </c>
      <c r="E1056" s="15" t="s">
        <v>5895</v>
      </c>
      <c r="F1056" s="15" t="s">
        <v>4804</v>
      </c>
      <c r="G1056" s="15" t="s">
        <v>4779</v>
      </c>
    </row>
    <row r="1057" customFormat="false" ht="15.75" hidden="false" customHeight="false" outlineLevel="0" collapsed="false">
      <c r="A1057" s="20" t="n">
        <v>46150</v>
      </c>
      <c r="B1057" s="15" t="s">
        <v>5789</v>
      </c>
      <c r="C1057" s="15" t="s">
        <v>477</v>
      </c>
      <c r="D1057" s="15" t="s">
        <v>4772</v>
      </c>
      <c r="E1057" s="15" t="s">
        <v>5896</v>
      </c>
      <c r="F1057" s="15" t="s">
        <v>4804</v>
      </c>
      <c r="G1057" s="15" t="s">
        <v>4779</v>
      </c>
    </row>
    <row r="1058" customFormat="false" ht="15.75" hidden="false" customHeight="false" outlineLevel="0" collapsed="false">
      <c r="A1058" s="20" t="n">
        <v>46153</v>
      </c>
      <c r="B1058" s="15" t="s">
        <v>5789</v>
      </c>
      <c r="C1058" s="15" t="s">
        <v>477</v>
      </c>
      <c r="D1058" s="15" t="s">
        <v>4772</v>
      </c>
      <c r="E1058" s="15" t="s">
        <v>5897</v>
      </c>
      <c r="F1058" s="15" t="s">
        <v>4804</v>
      </c>
      <c r="G1058" s="15" t="s">
        <v>4779</v>
      </c>
    </row>
    <row r="1059" customFormat="false" ht="15.75" hidden="false" customHeight="false" outlineLevel="0" collapsed="false">
      <c r="A1059" s="20" t="n">
        <v>46153</v>
      </c>
      <c r="B1059" s="15" t="s">
        <v>5791</v>
      </c>
      <c r="C1059" s="15" t="s">
        <v>473</v>
      </c>
      <c r="D1059" s="15" t="s">
        <v>4772</v>
      </c>
      <c r="E1059" s="15" t="s">
        <v>5898</v>
      </c>
      <c r="F1059" s="15" t="s">
        <v>4951</v>
      </c>
      <c r="G1059" s="15" t="s">
        <v>4779</v>
      </c>
    </row>
    <row r="1060" customFormat="false" ht="15.75" hidden="false" customHeight="false" outlineLevel="0" collapsed="false">
      <c r="A1060" s="20" t="n">
        <v>46154</v>
      </c>
      <c r="B1060" s="15" t="s">
        <v>5789</v>
      </c>
      <c r="C1060" s="15" t="s">
        <v>477</v>
      </c>
      <c r="D1060" s="15" t="s">
        <v>4772</v>
      </c>
      <c r="E1060" s="15" t="s">
        <v>5899</v>
      </c>
      <c r="F1060" s="15" t="s">
        <v>4804</v>
      </c>
      <c r="G1060" s="15" t="s">
        <v>4779</v>
      </c>
    </row>
    <row r="1061" customFormat="false" ht="15.75" hidden="false" customHeight="false" outlineLevel="0" collapsed="false">
      <c r="A1061" s="20" t="n">
        <v>46154</v>
      </c>
      <c r="B1061" s="15" t="s">
        <v>5791</v>
      </c>
      <c r="C1061" s="15" t="s">
        <v>473</v>
      </c>
      <c r="D1061" s="15" t="s">
        <v>4772</v>
      </c>
      <c r="E1061" s="15" t="s">
        <v>5900</v>
      </c>
      <c r="F1061" s="15" t="s">
        <v>4951</v>
      </c>
      <c r="G1061" s="15" t="s">
        <v>4779</v>
      </c>
    </row>
    <row r="1062" customFormat="false" ht="15.75" hidden="false" customHeight="false" outlineLevel="0" collapsed="false">
      <c r="A1062" s="20" t="n">
        <v>46155</v>
      </c>
      <c r="B1062" s="15" t="s">
        <v>5789</v>
      </c>
      <c r="C1062" s="15" t="s">
        <v>473</v>
      </c>
      <c r="D1062" s="15" t="s">
        <v>4772</v>
      </c>
      <c r="E1062" s="15" t="s">
        <v>5901</v>
      </c>
      <c r="F1062" s="15" t="s">
        <v>4951</v>
      </c>
      <c r="G1062" s="15" t="s">
        <v>4779</v>
      </c>
    </row>
    <row r="1063" customFormat="false" ht="15.75" hidden="false" customHeight="false" outlineLevel="0" collapsed="false">
      <c r="A1063" s="20" t="n">
        <v>46156</v>
      </c>
      <c r="B1063" s="15" t="s">
        <v>5789</v>
      </c>
      <c r="C1063" s="15" t="s">
        <v>473</v>
      </c>
      <c r="D1063" s="15" t="s">
        <v>4772</v>
      </c>
      <c r="E1063" s="15" t="s">
        <v>5902</v>
      </c>
      <c r="F1063" s="15" t="s">
        <v>4951</v>
      </c>
      <c r="G1063" s="15" t="s">
        <v>4779</v>
      </c>
    </row>
    <row r="1064" customFormat="false" ht="15.75" hidden="false" customHeight="false" outlineLevel="0" collapsed="false">
      <c r="A1064" s="20" t="n">
        <v>46157</v>
      </c>
      <c r="B1064" s="15" t="s">
        <v>5789</v>
      </c>
      <c r="C1064" s="15" t="s">
        <v>480</v>
      </c>
      <c r="D1064" s="15" t="s">
        <v>4772</v>
      </c>
      <c r="E1064" s="15" t="s">
        <v>5903</v>
      </c>
      <c r="F1064" s="15" t="s">
        <v>5034</v>
      </c>
      <c r="G1064" s="15" t="s">
        <v>4779</v>
      </c>
    </row>
    <row r="1065" customFormat="false" ht="15.75" hidden="false" customHeight="false" outlineLevel="0" collapsed="false">
      <c r="A1065" s="20" t="n">
        <v>46157</v>
      </c>
      <c r="B1065" s="15" t="s">
        <v>5791</v>
      </c>
      <c r="C1065" s="15" t="s">
        <v>473</v>
      </c>
      <c r="D1065" s="15" t="s">
        <v>4772</v>
      </c>
      <c r="E1065" s="15" t="s">
        <v>5904</v>
      </c>
      <c r="F1065" s="15" t="s">
        <v>4951</v>
      </c>
      <c r="G1065" s="15" t="s">
        <v>4779</v>
      </c>
    </row>
    <row r="1066" customFormat="false" ht="15.75" hidden="false" customHeight="false" outlineLevel="0" collapsed="false">
      <c r="A1066" s="20" t="n">
        <v>46157</v>
      </c>
      <c r="B1066" s="15" t="s">
        <v>5793</v>
      </c>
      <c r="C1066" s="15" t="s">
        <v>471</v>
      </c>
      <c r="D1066" s="15" t="s">
        <v>4772</v>
      </c>
      <c r="E1066" s="15" t="s">
        <v>5905</v>
      </c>
      <c r="F1066" s="15" t="s">
        <v>452</v>
      </c>
      <c r="G1066" s="15" t="s">
        <v>4784</v>
      </c>
    </row>
    <row r="1067" customFormat="false" ht="15.75" hidden="false" customHeight="false" outlineLevel="0" collapsed="false">
      <c r="A1067" s="20"/>
    </row>
    <row r="1068" customFormat="false" ht="15.75" hidden="false" customHeight="false" outlineLevel="0" collapsed="false">
      <c r="A1068" s="20"/>
    </row>
    <row r="1069" customFormat="false" ht="15.75" hidden="false" customHeight="false" outlineLevel="0" collapsed="false">
      <c r="A1069" s="20"/>
    </row>
    <row r="1070" customFormat="false" ht="15.75" hidden="false" customHeight="false" outlineLevel="0" collapsed="false">
      <c r="A1070" s="20"/>
    </row>
    <row r="1071" customFormat="false" ht="15.75" hidden="false" customHeight="false" outlineLevel="0" collapsed="false">
      <c r="A1071" s="20"/>
    </row>
    <row r="1072" customFormat="false" ht="15.75" hidden="false" customHeight="false" outlineLevel="0" collapsed="false">
      <c r="A1072" s="20"/>
    </row>
    <row r="1073" customFormat="false" ht="15.75" hidden="false" customHeight="false" outlineLevel="0" collapsed="false">
      <c r="A1073" s="20"/>
    </row>
    <row r="1074" customFormat="false" ht="15.75" hidden="false" customHeight="false" outlineLevel="0" collapsed="false">
      <c r="A1074" s="20"/>
    </row>
    <row r="1075" customFormat="false" ht="15.75" hidden="false" customHeight="false" outlineLevel="0" collapsed="false">
      <c r="A1075" s="20"/>
    </row>
    <row r="1076" customFormat="false" ht="15.75" hidden="false" customHeight="false" outlineLevel="0" collapsed="false">
      <c r="A1076" s="20"/>
    </row>
    <row r="1077" customFormat="false" ht="15.75" hidden="false" customHeight="false" outlineLevel="0" collapsed="false">
      <c r="A1077" s="20"/>
    </row>
    <row r="1078" customFormat="false" ht="15.75" hidden="false" customHeight="false" outlineLevel="0" collapsed="false">
      <c r="A1078" s="20"/>
    </row>
    <row r="1079" customFormat="false" ht="15.75" hidden="false" customHeight="false" outlineLevel="0" collapsed="false">
      <c r="A1079" s="20"/>
    </row>
    <row r="1080" customFormat="false" ht="15.75" hidden="false" customHeight="false" outlineLevel="0" collapsed="false">
      <c r="A1080" s="20"/>
    </row>
    <row r="1081" customFormat="false" ht="15.75" hidden="false" customHeight="false" outlineLevel="0" collapsed="false">
      <c r="A1081" s="20"/>
    </row>
    <row r="1082" customFormat="false" ht="15.75" hidden="false" customHeight="false" outlineLevel="0" collapsed="false">
      <c r="A1082" s="20"/>
    </row>
    <row r="1083" customFormat="false" ht="15.75" hidden="false" customHeight="false" outlineLevel="0" collapsed="false">
      <c r="A1083" s="20"/>
    </row>
    <row r="1084" customFormat="false" ht="15.75" hidden="false" customHeight="false" outlineLevel="0" collapsed="false">
      <c r="A1084" s="20"/>
    </row>
    <row r="1085" customFormat="false" ht="15.75" hidden="false" customHeight="false" outlineLevel="0" collapsed="false">
      <c r="A1085" s="20"/>
    </row>
    <row r="1086" customFormat="false" ht="15.75" hidden="false" customHeight="false" outlineLevel="0" collapsed="false">
      <c r="A1086" s="20"/>
    </row>
    <row r="1087" customFormat="false" ht="15.75" hidden="false" customHeight="false" outlineLevel="0" collapsed="false">
      <c r="A1087" s="20"/>
    </row>
    <row r="1088" customFormat="false" ht="15.75" hidden="false" customHeight="false" outlineLevel="0" collapsed="false">
      <c r="A1088" s="20"/>
    </row>
    <row r="1089" customFormat="false" ht="15.75" hidden="false" customHeight="false" outlineLevel="0" collapsed="false">
      <c r="A1089" s="20"/>
    </row>
    <row r="1090" customFormat="false" ht="15.75" hidden="false" customHeight="false" outlineLevel="0" collapsed="false">
      <c r="A1090" s="20"/>
    </row>
    <row r="1091" customFormat="false" ht="15.75" hidden="false" customHeight="false" outlineLevel="0" collapsed="false">
      <c r="A1091" s="20"/>
    </row>
    <row r="1092" customFormat="false" ht="15.75" hidden="false" customHeight="false" outlineLevel="0" collapsed="false">
      <c r="A1092" s="20"/>
    </row>
    <row r="1093" customFormat="false" ht="15.75" hidden="false" customHeight="false" outlineLevel="0" collapsed="false">
      <c r="A1093" s="20"/>
    </row>
    <row r="1094" customFormat="false" ht="15.75" hidden="false" customHeight="false" outlineLevel="0" collapsed="false">
      <c r="A1094" s="20"/>
    </row>
    <row r="1095" customFormat="false" ht="15.75" hidden="false" customHeight="false" outlineLevel="0" collapsed="false">
      <c r="A1095" s="20"/>
    </row>
    <row r="1096" customFormat="false" ht="15.75" hidden="false" customHeight="false" outlineLevel="0" collapsed="false">
      <c r="A1096" s="20"/>
    </row>
    <row r="1097" customFormat="false" ht="15.75" hidden="false" customHeight="false" outlineLevel="0" collapsed="false">
      <c r="A1097" s="20"/>
    </row>
    <row r="1098" customFormat="false" ht="15.75" hidden="false" customHeight="false" outlineLevel="0" collapsed="false">
      <c r="A1098" s="20"/>
    </row>
    <row r="1099" customFormat="false" ht="15.75" hidden="false" customHeight="false" outlineLevel="0" collapsed="false">
      <c r="A1099" s="20"/>
    </row>
    <row r="1100" customFormat="false" ht="15.75" hidden="false" customHeight="false" outlineLevel="0" collapsed="false">
      <c r="A1100" s="20"/>
    </row>
    <row r="1101" customFormat="false" ht="15.75" hidden="false" customHeight="false" outlineLevel="0" collapsed="false">
      <c r="A1101" s="20"/>
    </row>
    <row r="1102" customFormat="false" ht="15.75" hidden="false" customHeight="false" outlineLevel="0" collapsed="false">
      <c r="A1102" s="20"/>
    </row>
    <row r="1103" customFormat="false" ht="15.75" hidden="false" customHeight="false" outlineLevel="0" collapsed="false">
      <c r="A1103" s="20"/>
    </row>
    <row r="1104" customFormat="false" ht="15.75" hidden="false" customHeight="false" outlineLevel="0" collapsed="false">
      <c r="A1104" s="20"/>
    </row>
    <row r="1105" customFormat="false" ht="15.75" hidden="false" customHeight="false" outlineLevel="0" collapsed="false">
      <c r="A1105" s="20"/>
    </row>
    <row r="1106" customFormat="false" ht="15.75" hidden="false" customHeight="false" outlineLevel="0" collapsed="false">
      <c r="A1106" s="20"/>
    </row>
    <row r="1107" customFormat="false" ht="15.75" hidden="false" customHeight="false" outlineLevel="0" collapsed="false">
      <c r="A1107" s="20"/>
    </row>
    <row r="1108" customFormat="false" ht="15.75" hidden="false" customHeight="false" outlineLevel="0" collapsed="false">
      <c r="A1108" s="20"/>
    </row>
    <row r="1109" customFormat="false" ht="15.75" hidden="false" customHeight="false" outlineLevel="0" collapsed="false">
      <c r="A1109" s="20"/>
    </row>
    <row r="1110" customFormat="false" ht="15.75" hidden="false" customHeight="false" outlineLevel="0" collapsed="false">
      <c r="A1110" s="20"/>
    </row>
    <row r="1111" customFormat="false" ht="15.75" hidden="false" customHeight="false" outlineLevel="0" collapsed="false">
      <c r="A1111" s="20"/>
    </row>
    <row r="1112" customFormat="false" ht="15.75" hidden="false" customHeight="false" outlineLevel="0" collapsed="false">
      <c r="A1112" s="20"/>
    </row>
    <row r="1113" customFormat="false" ht="15.75" hidden="false" customHeight="false" outlineLevel="0" collapsed="false">
      <c r="A1113" s="20"/>
    </row>
    <row r="1114" customFormat="false" ht="15.75" hidden="false" customHeight="false" outlineLevel="0" collapsed="false">
      <c r="A1114" s="20"/>
    </row>
    <row r="1115" customFormat="false" ht="15.75" hidden="false" customHeight="false" outlineLevel="0" collapsed="false">
      <c r="A1115" s="20"/>
    </row>
    <row r="1116" customFormat="false" ht="15.75" hidden="false" customHeight="false" outlineLevel="0" collapsed="false">
      <c r="A1116" s="20"/>
    </row>
    <row r="1117" customFormat="false" ht="15.75" hidden="false" customHeight="false" outlineLevel="0" collapsed="false">
      <c r="A1117" s="20"/>
    </row>
    <row r="1118" customFormat="false" ht="15.75" hidden="false" customHeight="false" outlineLevel="0" collapsed="false">
      <c r="A1118" s="20"/>
    </row>
    <row r="1119" customFormat="false" ht="15.75" hidden="false" customHeight="false" outlineLevel="0" collapsed="false">
      <c r="A1119" s="20"/>
    </row>
    <row r="1120" customFormat="false" ht="15.75" hidden="false" customHeight="false" outlineLevel="0" collapsed="false">
      <c r="A1120" s="20"/>
    </row>
    <row r="1121" customFormat="false" ht="15.75" hidden="false" customHeight="false" outlineLevel="0" collapsed="false">
      <c r="A1121" s="20"/>
    </row>
    <row r="1122" customFormat="false" ht="15.75" hidden="false" customHeight="false" outlineLevel="0" collapsed="false">
      <c r="A1122" s="20"/>
    </row>
    <row r="1123" customFormat="false" ht="15.75" hidden="false" customHeight="false" outlineLevel="0" collapsed="false">
      <c r="A1123" s="20"/>
    </row>
    <row r="1124" customFormat="false" ht="15.75" hidden="false" customHeight="false" outlineLevel="0" collapsed="false">
      <c r="A1124" s="20"/>
    </row>
    <row r="1125" customFormat="false" ht="15.75" hidden="false" customHeight="false" outlineLevel="0" collapsed="false">
      <c r="A1125" s="20"/>
    </row>
    <row r="1126" customFormat="false" ht="15.75" hidden="false" customHeight="false" outlineLevel="0" collapsed="false">
      <c r="A1126" s="20"/>
    </row>
    <row r="1127" customFormat="false" ht="15.75" hidden="false" customHeight="false" outlineLevel="0" collapsed="false">
      <c r="A1127" s="20"/>
    </row>
    <row r="1128" customFormat="false" ht="15.75" hidden="false" customHeight="false" outlineLevel="0" collapsed="false">
      <c r="A1128" s="20"/>
    </row>
    <row r="1129" customFormat="false" ht="15.75" hidden="false" customHeight="false" outlineLevel="0" collapsed="false">
      <c r="A1129" s="20"/>
    </row>
    <row r="1130" customFormat="false" ht="15.75" hidden="false" customHeight="false" outlineLevel="0" collapsed="false">
      <c r="A1130" s="20"/>
    </row>
    <row r="1131" customFormat="false" ht="15.75" hidden="false" customHeight="false" outlineLevel="0" collapsed="false">
      <c r="A1131" s="20"/>
    </row>
    <row r="1132" customFormat="false" ht="15.75" hidden="false" customHeight="false" outlineLevel="0" collapsed="false">
      <c r="A1132" s="20"/>
    </row>
    <row r="1133" customFormat="false" ht="15.75" hidden="false" customHeight="false" outlineLevel="0" collapsed="false">
      <c r="A1133" s="20"/>
    </row>
    <row r="1134" customFormat="false" ht="15.75" hidden="false" customHeight="false" outlineLevel="0" collapsed="false">
      <c r="A1134" s="20"/>
    </row>
    <row r="1135" customFormat="false" ht="15.75" hidden="false" customHeight="false" outlineLevel="0" collapsed="false">
      <c r="A1135" s="20"/>
    </row>
    <row r="1136" customFormat="false" ht="15.75" hidden="false" customHeight="false" outlineLevel="0" collapsed="false">
      <c r="A1136" s="20"/>
    </row>
    <row r="1137" customFormat="false" ht="15.75" hidden="false" customHeight="false" outlineLevel="0" collapsed="false">
      <c r="A1137" s="20"/>
    </row>
    <row r="1138" customFormat="false" ht="15.75" hidden="false" customHeight="false" outlineLevel="0" collapsed="false">
      <c r="A1138" s="20"/>
    </row>
    <row r="1139" customFormat="false" ht="15.75" hidden="false" customHeight="false" outlineLevel="0" collapsed="false">
      <c r="A1139" s="20"/>
    </row>
    <row r="1140" customFormat="false" ht="15.75" hidden="false" customHeight="false" outlineLevel="0" collapsed="false">
      <c r="A1140" s="20"/>
    </row>
    <row r="1141" customFormat="false" ht="15.75" hidden="false" customHeight="false" outlineLevel="0" collapsed="false">
      <c r="A1141" s="20"/>
    </row>
    <row r="1142" customFormat="false" ht="15.75" hidden="false" customHeight="false" outlineLevel="0" collapsed="false">
      <c r="A1142" s="20"/>
    </row>
    <row r="1143" customFormat="false" ht="15.75" hidden="false" customHeight="false" outlineLevel="0" collapsed="false">
      <c r="A1143" s="20"/>
    </row>
    <row r="1144" customFormat="false" ht="15.75" hidden="false" customHeight="false" outlineLevel="0" collapsed="false">
      <c r="A1144" s="20"/>
    </row>
    <row r="1145" customFormat="false" ht="15.75" hidden="false" customHeight="false" outlineLevel="0" collapsed="false">
      <c r="A1145" s="20"/>
    </row>
    <row r="1146" customFormat="false" ht="15.75" hidden="false" customHeight="false" outlineLevel="0" collapsed="false">
      <c r="A1146" s="20"/>
    </row>
    <row r="1147" customFormat="false" ht="15.75" hidden="false" customHeight="false" outlineLevel="0" collapsed="false">
      <c r="A1147" s="20"/>
    </row>
    <row r="1148" customFormat="false" ht="15.75" hidden="false" customHeight="false" outlineLevel="0" collapsed="false">
      <c r="A1148" s="20"/>
    </row>
    <row r="1149" customFormat="false" ht="15.75" hidden="false" customHeight="false" outlineLevel="0" collapsed="false">
      <c r="A1149" s="20"/>
    </row>
    <row r="1150" customFormat="false" ht="15.75" hidden="false" customHeight="false" outlineLevel="0" collapsed="false">
      <c r="A1150" s="20"/>
    </row>
    <row r="1151" customFormat="false" ht="15.75" hidden="false" customHeight="false" outlineLevel="0" collapsed="false">
      <c r="A1151" s="20"/>
    </row>
    <row r="1152" customFormat="false" ht="15.75" hidden="false" customHeight="false" outlineLevel="0" collapsed="false">
      <c r="A1152" s="20"/>
    </row>
    <row r="1153" customFormat="false" ht="15.75" hidden="false" customHeight="false" outlineLevel="0" collapsed="false">
      <c r="A1153" s="20"/>
    </row>
    <row r="1154" customFormat="false" ht="15.75" hidden="false" customHeight="false" outlineLevel="0" collapsed="false">
      <c r="A1154" s="20"/>
    </row>
    <row r="1155" customFormat="false" ht="15.75" hidden="false" customHeight="false" outlineLevel="0" collapsed="false">
      <c r="A1155" s="20"/>
    </row>
    <row r="1156" customFormat="false" ht="15.75" hidden="false" customHeight="false" outlineLevel="0" collapsed="false">
      <c r="A1156" s="20"/>
    </row>
    <row r="1157" customFormat="false" ht="15.75" hidden="false" customHeight="false" outlineLevel="0" collapsed="false">
      <c r="A1157" s="20"/>
    </row>
    <row r="1158" customFormat="false" ht="15.75" hidden="false" customHeight="false" outlineLevel="0" collapsed="false">
      <c r="A1158" s="20"/>
    </row>
    <row r="1159" customFormat="false" ht="15.75" hidden="false" customHeight="false" outlineLevel="0" collapsed="false">
      <c r="A1159" s="20"/>
    </row>
    <row r="1160" customFormat="false" ht="15.75" hidden="false" customHeight="false" outlineLevel="0" collapsed="false">
      <c r="A1160" s="20"/>
    </row>
    <row r="1161" customFormat="false" ht="15.75" hidden="false" customHeight="false" outlineLevel="0" collapsed="false">
      <c r="A1161" s="20"/>
    </row>
    <row r="1162" customFormat="false" ht="15.75" hidden="false" customHeight="false" outlineLevel="0" collapsed="false">
      <c r="A1162" s="20"/>
    </row>
    <row r="1163" customFormat="false" ht="15.75" hidden="false" customHeight="false" outlineLevel="0" collapsed="false">
      <c r="A1163" s="20"/>
    </row>
    <row r="1164" customFormat="false" ht="15.75" hidden="false" customHeight="false" outlineLevel="0" collapsed="false">
      <c r="A1164" s="20"/>
    </row>
    <row r="1165" customFormat="false" ht="15.75" hidden="false" customHeight="false" outlineLevel="0" collapsed="false">
      <c r="A1165" s="20"/>
    </row>
    <row r="1166" customFormat="false" ht="15.75" hidden="false" customHeight="false" outlineLevel="0" collapsed="false">
      <c r="A1166" s="20"/>
    </row>
    <row r="1167" customFormat="false" ht="15.75" hidden="false" customHeight="false" outlineLevel="0" collapsed="false">
      <c r="A1167" s="20"/>
    </row>
    <row r="1168" customFormat="false" ht="15.75" hidden="false" customHeight="false" outlineLevel="0" collapsed="false">
      <c r="A1168" s="20"/>
    </row>
    <row r="1169" customFormat="false" ht="15.75" hidden="false" customHeight="false" outlineLevel="0" collapsed="false">
      <c r="A1169" s="20"/>
    </row>
    <row r="1170" customFormat="false" ht="15.75" hidden="false" customHeight="false" outlineLevel="0" collapsed="false">
      <c r="A1170" s="20"/>
    </row>
    <row r="1171" customFormat="false" ht="15.75" hidden="false" customHeight="false" outlineLevel="0" collapsed="false">
      <c r="A1171" s="20"/>
    </row>
    <row r="1172" customFormat="false" ht="15.75" hidden="false" customHeight="false" outlineLevel="0" collapsed="false">
      <c r="A1172" s="20"/>
    </row>
    <row r="1173" customFormat="false" ht="15.75" hidden="false" customHeight="false" outlineLevel="0" collapsed="false">
      <c r="A1173" s="20"/>
    </row>
    <row r="1174" customFormat="false" ht="15.75" hidden="false" customHeight="false" outlineLevel="0" collapsed="false">
      <c r="A1174" s="20"/>
    </row>
    <row r="1175" customFormat="false" ht="15.75" hidden="false" customHeight="false" outlineLevel="0" collapsed="false">
      <c r="A1175" s="20"/>
    </row>
    <row r="1176" customFormat="false" ht="15.75" hidden="false" customHeight="false" outlineLevel="0" collapsed="false">
      <c r="A1176" s="20"/>
    </row>
    <row r="1177" customFormat="false" ht="15.75" hidden="false" customHeight="false" outlineLevel="0" collapsed="false">
      <c r="A1177" s="20"/>
    </row>
    <row r="1178" customFormat="false" ht="15.75" hidden="false" customHeight="false" outlineLevel="0" collapsed="false">
      <c r="A1178" s="20"/>
    </row>
    <row r="1179" customFormat="false" ht="15.75" hidden="false" customHeight="false" outlineLevel="0" collapsed="false">
      <c r="A1179" s="20"/>
    </row>
    <row r="1180" customFormat="false" ht="15.75" hidden="false" customHeight="false" outlineLevel="0" collapsed="false">
      <c r="A1180" s="20"/>
    </row>
    <row r="1181" customFormat="false" ht="15.75" hidden="false" customHeight="false" outlineLevel="0" collapsed="false">
      <c r="A1181" s="20"/>
    </row>
    <row r="1182" customFormat="false" ht="15.75" hidden="false" customHeight="false" outlineLevel="0" collapsed="false">
      <c r="A1182" s="20"/>
    </row>
    <row r="1183" customFormat="false" ht="15.75" hidden="false" customHeight="false" outlineLevel="0" collapsed="false">
      <c r="A1183" s="20"/>
    </row>
    <row r="1184" customFormat="false" ht="15.75" hidden="false" customHeight="false" outlineLevel="0" collapsed="false">
      <c r="A1184" s="20"/>
    </row>
    <row r="1185" customFormat="false" ht="15.75" hidden="false" customHeight="false" outlineLevel="0" collapsed="false">
      <c r="A1185" s="20"/>
    </row>
    <row r="1186" customFormat="false" ht="15.75" hidden="false" customHeight="false" outlineLevel="0" collapsed="false">
      <c r="A1186" s="20"/>
    </row>
    <row r="1187" customFormat="false" ht="15.75" hidden="false" customHeight="false" outlineLevel="0" collapsed="false">
      <c r="A1187" s="20"/>
    </row>
    <row r="1188" customFormat="false" ht="15.75" hidden="false" customHeight="false" outlineLevel="0" collapsed="false">
      <c r="A1188" s="20"/>
    </row>
    <row r="1189" customFormat="false" ht="15.75" hidden="false" customHeight="false" outlineLevel="0" collapsed="false">
      <c r="A1189" s="20"/>
    </row>
    <row r="1190" customFormat="false" ht="15.75" hidden="false" customHeight="false" outlineLevel="0" collapsed="false">
      <c r="A1190" s="20"/>
    </row>
    <row r="1191" customFormat="false" ht="15.75" hidden="false" customHeight="false" outlineLevel="0" collapsed="false">
      <c r="A1191" s="20"/>
    </row>
    <row r="1192" customFormat="false" ht="15.75" hidden="false" customHeight="false" outlineLevel="0" collapsed="false">
      <c r="A1192" s="20"/>
    </row>
    <row r="1193" customFormat="false" ht="15.75" hidden="false" customHeight="false" outlineLevel="0" collapsed="false">
      <c r="A1193" s="20"/>
    </row>
    <row r="1194" customFormat="false" ht="15.75" hidden="false" customHeight="false" outlineLevel="0" collapsed="false">
      <c r="A1194" s="20"/>
    </row>
    <row r="1195" customFormat="false" ht="15.75" hidden="false" customHeight="false" outlineLevel="0" collapsed="false">
      <c r="A1195" s="20"/>
    </row>
    <row r="1196" customFormat="false" ht="15.75" hidden="false" customHeight="false" outlineLevel="0" collapsed="false">
      <c r="A1196" s="20"/>
    </row>
    <row r="1197" customFormat="false" ht="15.75" hidden="false" customHeight="false" outlineLevel="0" collapsed="false">
      <c r="A1197" s="20"/>
    </row>
    <row r="1198" customFormat="false" ht="15.75" hidden="false" customHeight="false" outlineLevel="0" collapsed="false">
      <c r="A1198" s="20"/>
    </row>
    <row r="1199" customFormat="false" ht="15.75" hidden="false" customHeight="false" outlineLevel="0" collapsed="false">
      <c r="A1199" s="20"/>
    </row>
    <row r="1200" customFormat="false" ht="15.75" hidden="false" customHeight="false" outlineLevel="0" collapsed="false">
      <c r="A1200" s="20"/>
    </row>
    <row r="1201" customFormat="false" ht="15.75" hidden="false" customHeight="false" outlineLevel="0" collapsed="false">
      <c r="A1201" s="20"/>
    </row>
    <row r="1202" customFormat="false" ht="15.75" hidden="false" customHeight="false" outlineLevel="0" collapsed="false">
      <c r="A1202" s="20"/>
    </row>
    <row r="1203" customFormat="false" ht="15.75" hidden="false" customHeight="false" outlineLevel="0" collapsed="false">
      <c r="A1203" s="20"/>
    </row>
    <row r="1204" customFormat="false" ht="15.75" hidden="false" customHeight="false" outlineLevel="0" collapsed="false">
      <c r="A1204" s="20"/>
    </row>
    <row r="1205" customFormat="false" ht="15.75" hidden="false" customHeight="false" outlineLevel="0" collapsed="false">
      <c r="A1205" s="20"/>
    </row>
    <row r="1206" customFormat="false" ht="15.75" hidden="false" customHeight="false" outlineLevel="0" collapsed="false">
      <c r="A1206" s="20"/>
    </row>
    <row r="1207" customFormat="false" ht="15.75" hidden="false" customHeight="false" outlineLevel="0" collapsed="false">
      <c r="A1207" s="20"/>
    </row>
    <row r="1208" customFormat="false" ht="15.75" hidden="false" customHeight="false" outlineLevel="0" collapsed="false">
      <c r="A1208" s="20"/>
    </row>
    <row r="1209" customFormat="false" ht="15.75" hidden="false" customHeight="false" outlineLevel="0" collapsed="false">
      <c r="A1209" s="20"/>
    </row>
    <row r="1210" customFormat="false" ht="15.75" hidden="false" customHeight="false" outlineLevel="0" collapsed="false">
      <c r="A1210" s="20"/>
    </row>
    <row r="1211" customFormat="false" ht="15.75" hidden="false" customHeight="false" outlineLevel="0" collapsed="false">
      <c r="A1211" s="20"/>
    </row>
    <row r="1212" customFormat="false" ht="15.75" hidden="false" customHeight="false" outlineLevel="0" collapsed="false">
      <c r="A1212" s="20"/>
    </row>
    <row r="1213" customFormat="false" ht="15.75" hidden="false" customHeight="false" outlineLevel="0" collapsed="false">
      <c r="A1213" s="20"/>
    </row>
    <row r="1214" customFormat="false" ht="15.75" hidden="false" customHeight="false" outlineLevel="0" collapsed="false">
      <c r="A1214" s="20"/>
    </row>
    <row r="1215" customFormat="false" ht="15.75" hidden="false" customHeight="false" outlineLevel="0" collapsed="false">
      <c r="A1215" s="20"/>
    </row>
    <row r="1216" customFormat="false" ht="15.75" hidden="false" customHeight="false" outlineLevel="0" collapsed="false">
      <c r="A1216" s="20"/>
    </row>
    <row r="1217" customFormat="false" ht="15.75" hidden="false" customHeight="false" outlineLevel="0" collapsed="false">
      <c r="A1217" s="20"/>
    </row>
    <row r="1218" customFormat="false" ht="15.75" hidden="false" customHeight="false" outlineLevel="0" collapsed="false">
      <c r="A1218" s="20"/>
    </row>
    <row r="1219" customFormat="false" ht="15.75" hidden="false" customHeight="false" outlineLevel="0" collapsed="false">
      <c r="A1219" s="20"/>
    </row>
    <row r="1220" customFormat="false" ht="15.75" hidden="false" customHeight="false" outlineLevel="0" collapsed="false">
      <c r="A1220" s="20"/>
    </row>
    <row r="1221" customFormat="false" ht="15.75" hidden="false" customHeight="false" outlineLevel="0" collapsed="false">
      <c r="A1221" s="20"/>
    </row>
    <row r="1222" customFormat="false" ht="15.75" hidden="false" customHeight="false" outlineLevel="0" collapsed="false">
      <c r="A1222" s="20"/>
    </row>
    <row r="1223" customFormat="false" ht="15.75" hidden="false" customHeight="false" outlineLevel="0" collapsed="false">
      <c r="A1223" s="20"/>
    </row>
    <row r="1224" customFormat="false" ht="15.75" hidden="false" customHeight="false" outlineLevel="0" collapsed="false">
      <c r="A1224" s="20"/>
    </row>
    <row r="1225" customFormat="false" ht="15.75" hidden="false" customHeight="false" outlineLevel="0" collapsed="false">
      <c r="A1225" s="20"/>
    </row>
    <row r="1226" customFormat="false" ht="15.75" hidden="false" customHeight="false" outlineLevel="0" collapsed="false">
      <c r="A1226" s="20"/>
    </row>
    <row r="1227" customFormat="false" ht="15.75" hidden="false" customHeight="false" outlineLevel="0" collapsed="false">
      <c r="A1227" s="20"/>
    </row>
    <row r="1228" customFormat="false" ht="15.75" hidden="false" customHeight="false" outlineLevel="0" collapsed="false">
      <c r="A1228" s="20"/>
    </row>
    <row r="1229" customFormat="false" ht="15.75" hidden="false" customHeight="false" outlineLevel="0" collapsed="false">
      <c r="A1229" s="20"/>
    </row>
    <row r="1230" customFormat="false" ht="15.75" hidden="false" customHeight="false" outlineLevel="0" collapsed="false">
      <c r="A1230" s="20"/>
    </row>
    <row r="1231" customFormat="false" ht="15.75" hidden="false" customHeight="false" outlineLevel="0" collapsed="false">
      <c r="A1231" s="20"/>
    </row>
    <row r="1232" customFormat="false" ht="15.75" hidden="false" customHeight="false" outlineLevel="0" collapsed="false">
      <c r="A1232" s="20"/>
    </row>
    <row r="1233" customFormat="false" ht="15.75" hidden="false" customHeight="false" outlineLevel="0" collapsed="false">
      <c r="A1233" s="20"/>
    </row>
    <row r="1234" customFormat="false" ht="15.75" hidden="false" customHeight="false" outlineLevel="0" collapsed="false">
      <c r="A1234" s="20"/>
    </row>
    <row r="1235" customFormat="false" ht="15.75" hidden="false" customHeight="false" outlineLevel="0" collapsed="false">
      <c r="A1235" s="20"/>
    </row>
    <row r="1236" customFormat="false" ht="15.75" hidden="false" customHeight="false" outlineLevel="0" collapsed="false">
      <c r="A1236" s="20"/>
    </row>
    <row r="1237" customFormat="false" ht="15.75" hidden="false" customHeight="false" outlineLevel="0" collapsed="false">
      <c r="A1237" s="20"/>
    </row>
    <row r="1238" customFormat="false" ht="15.75" hidden="false" customHeight="false" outlineLevel="0" collapsed="false">
      <c r="A1238" s="20"/>
    </row>
    <row r="1239" customFormat="false" ht="15.75" hidden="false" customHeight="false" outlineLevel="0" collapsed="false">
      <c r="A1239" s="20"/>
    </row>
    <row r="1240" customFormat="false" ht="15.75" hidden="false" customHeight="false" outlineLevel="0" collapsed="false">
      <c r="A1240" s="20"/>
    </row>
    <row r="1241" customFormat="false" ht="15.75" hidden="false" customHeight="false" outlineLevel="0" collapsed="false">
      <c r="A1241" s="20"/>
    </row>
    <row r="1242" customFormat="false" ht="15.75" hidden="false" customHeight="false" outlineLevel="0" collapsed="false">
      <c r="A1242" s="20"/>
    </row>
    <row r="1243" customFormat="false" ht="15.75" hidden="false" customHeight="false" outlineLevel="0" collapsed="false">
      <c r="A1243" s="20"/>
    </row>
    <row r="1244" customFormat="false" ht="15.75" hidden="false" customHeight="false" outlineLevel="0" collapsed="false">
      <c r="A1244" s="20"/>
    </row>
    <row r="1245" customFormat="false" ht="15.75" hidden="false" customHeight="false" outlineLevel="0" collapsed="false">
      <c r="A1245" s="20"/>
    </row>
    <row r="1246" customFormat="false" ht="15.75" hidden="false" customHeight="false" outlineLevel="0" collapsed="false">
      <c r="A1246" s="20"/>
    </row>
    <row r="1247" customFormat="false" ht="15.75" hidden="false" customHeight="false" outlineLevel="0" collapsed="false">
      <c r="A1247" s="20"/>
    </row>
    <row r="1248" customFormat="false" ht="15.75" hidden="false" customHeight="false" outlineLevel="0" collapsed="false">
      <c r="A1248" s="20"/>
    </row>
    <row r="1249" customFormat="false" ht="15.75" hidden="false" customHeight="false" outlineLevel="0" collapsed="false">
      <c r="A1249" s="20"/>
    </row>
    <row r="1250" customFormat="false" ht="15.75" hidden="false" customHeight="false" outlineLevel="0" collapsed="false">
      <c r="A1250" s="20"/>
    </row>
    <row r="1251" customFormat="false" ht="15.75" hidden="false" customHeight="false" outlineLevel="0" collapsed="false">
      <c r="A1251" s="20"/>
    </row>
    <row r="1252" customFormat="false" ht="15.75" hidden="false" customHeight="false" outlineLevel="0" collapsed="false">
      <c r="A1252" s="20"/>
    </row>
    <row r="1253" customFormat="false" ht="15.75" hidden="false" customHeight="false" outlineLevel="0" collapsed="false">
      <c r="A1253" s="20"/>
    </row>
    <row r="1254" customFormat="false" ht="15.75" hidden="false" customHeight="false" outlineLevel="0" collapsed="false">
      <c r="A1254" s="20"/>
    </row>
    <row r="1255" customFormat="false" ht="15.75" hidden="false" customHeight="false" outlineLevel="0" collapsed="false">
      <c r="A1255" s="20"/>
    </row>
    <row r="1256" customFormat="false" ht="15.75" hidden="false" customHeight="false" outlineLevel="0" collapsed="false">
      <c r="A1256" s="20"/>
    </row>
    <row r="1257" customFormat="false" ht="15.75" hidden="false" customHeight="false" outlineLevel="0" collapsed="false">
      <c r="A1257" s="20"/>
    </row>
    <row r="1258" customFormat="false" ht="15.75" hidden="false" customHeight="false" outlineLevel="0" collapsed="false">
      <c r="A1258" s="20"/>
    </row>
    <row r="1259" customFormat="false" ht="15.75" hidden="false" customHeight="false" outlineLevel="0" collapsed="false">
      <c r="A1259" s="20"/>
    </row>
    <row r="1260" customFormat="false" ht="15.75" hidden="false" customHeight="false" outlineLevel="0" collapsed="false">
      <c r="A1260" s="20"/>
    </row>
    <row r="1261" customFormat="false" ht="15.75" hidden="false" customHeight="false" outlineLevel="0" collapsed="false">
      <c r="A1261" s="20"/>
    </row>
    <row r="1262" customFormat="false" ht="15.75" hidden="false" customHeight="false" outlineLevel="0" collapsed="false">
      <c r="A1262" s="20"/>
    </row>
    <row r="1263" customFormat="false" ht="15.75" hidden="false" customHeight="false" outlineLevel="0" collapsed="false">
      <c r="A1263" s="20"/>
    </row>
    <row r="1264" customFormat="false" ht="15.75" hidden="false" customHeight="false" outlineLevel="0" collapsed="false">
      <c r="A1264" s="20"/>
    </row>
    <row r="1265" customFormat="false" ht="15.75" hidden="false" customHeight="false" outlineLevel="0" collapsed="false">
      <c r="A1265" s="20"/>
    </row>
    <row r="1266" customFormat="false" ht="15.75" hidden="false" customHeight="false" outlineLevel="0" collapsed="false">
      <c r="A1266" s="20"/>
    </row>
    <row r="1267" customFormat="false" ht="15.75" hidden="false" customHeight="false" outlineLevel="0" collapsed="false">
      <c r="A1267" s="20"/>
    </row>
    <row r="1268" customFormat="false" ht="15.75" hidden="false" customHeight="false" outlineLevel="0" collapsed="false">
      <c r="A1268" s="20"/>
    </row>
    <row r="1269" customFormat="false" ht="15.75" hidden="false" customHeight="false" outlineLevel="0" collapsed="false">
      <c r="A1269" s="20"/>
    </row>
    <row r="1270" customFormat="false" ht="15.75" hidden="false" customHeight="false" outlineLevel="0" collapsed="false">
      <c r="A1270" s="20"/>
    </row>
    <row r="1271" customFormat="false" ht="15.75" hidden="false" customHeight="false" outlineLevel="0" collapsed="false">
      <c r="A1271" s="20"/>
    </row>
    <row r="1272" customFormat="false" ht="15.75" hidden="false" customHeight="false" outlineLevel="0" collapsed="false">
      <c r="A1272" s="20"/>
    </row>
    <row r="1273" customFormat="false" ht="15.75" hidden="false" customHeight="false" outlineLevel="0" collapsed="false">
      <c r="A1273" s="20"/>
    </row>
    <row r="1274" customFormat="false" ht="15.75" hidden="false" customHeight="false" outlineLevel="0" collapsed="false">
      <c r="A1274" s="20"/>
    </row>
    <row r="1275" customFormat="false" ht="15.75" hidden="false" customHeight="false" outlineLevel="0" collapsed="false">
      <c r="A1275" s="20"/>
    </row>
    <row r="1276" customFormat="false" ht="15.75" hidden="false" customHeight="false" outlineLevel="0" collapsed="false">
      <c r="A1276" s="20"/>
    </row>
    <row r="1277" customFormat="false" ht="15.75" hidden="false" customHeight="false" outlineLevel="0" collapsed="false">
      <c r="A1277" s="20"/>
    </row>
    <row r="1278" customFormat="false" ht="15.75" hidden="false" customHeight="false" outlineLevel="0" collapsed="false">
      <c r="A1278" s="20"/>
    </row>
    <row r="1279" customFormat="false" ht="15.75" hidden="false" customHeight="false" outlineLevel="0" collapsed="false">
      <c r="A1279" s="20"/>
    </row>
    <row r="1280" customFormat="false" ht="15.75" hidden="false" customHeight="false" outlineLevel="0" collapsed="false">
      <c r="A1280" s="20"/>
    </row>
    <row r="1281" customFormat="false" ht="15.75" hidden="false" customHeight="false" outlineLevel="0" collapsed="false">
      <c r="A1281" s="20"/>
    </row>
    <row r="1282" customFormat="false" ht="15.75" hidden="false" customHeight="false" outlineLevel="0" collapsed="false">
      <c r="A1282" s="20"/>
    </row>
    <row r="1283" customFormat="false" ht="15.75" hidden="false" customHeight="false" outlineLevel="0" collapsed="false">
      <c r="A1283" s="20"/>
    </row>
    <row r="1284" customFormat="false" ht="15.75" hidden="false" customHeight="false" outlineLevel="0" collapsed="false">
      <c r="A1284" s="20"/>
    </row>
    <row r="1285" customFormat="false" ht="15.75" hidden="false" customHeight="false" outlineLevel="0" collapsed="false">
      <c r="A1285" s="20"/>
    </row>
    <row r="1286" customFormat="false" ht="15.75" hidden="false" customHeight="false" outlineLevel="0" collapsed="false">
      <c r="A1286" s="20"/>
    </row>
    <row r="1287" customFormat="false" ht="15.75" hidden="false" customHeight="false" outlineLevel="0" collapsed="false">
      <c r="A1287" s="20"/>
    </row>
    <row r="1288" customFormat="false" ht="15.75" hidden="false" customHeight="false" outlineLevel="0" collapsed="false">
      <c r="A1288" s="20"/>
    </row>
    <row r="1289" customFormat="false" ht="15.75" hidden="false" customHeight="false" outlineLevel="0" collapsed="false">
      <c r="A1289" s="20"/>
    </row>
    <row r="1290" customFormat="false" ht="15.75" hidden="false" customHeight="false" outlineLevel="0" collapsed="false">
      <c r="A1290" s="20"/>
    </row>
    <row r="1291" customFormat="false" ht="15.75" hidden="false" customHeight="false" outlineLevel="0" collapsed="false">
      <c r="A1291" s="20"/>
    </row>
    <row r="1292" customFormat="false" ht="15.75" hidden="false" customHeight="false" outlineLevel="0" collapsed="false">
      <c r="A1292" s="20"/>
    </row>
    <row r="1293" customFormat="false" ht="15.75" hidden="false" customHeight="false" outlineLevel="0" collapsed="false">
      <c r="A1293" s="20"/>
    </row>
    <row r="1294" customFormat="false" ht="15.75" hidden="false" customHeight="false" outlineLevel="0" collapsed="false">
      <c r="A1294" s="20"/>
    </row>
    <row r="1295" customFormat="false" ht="15.75" hidden="false" customHeight="false" outlineLevel="0" collapsed="false">
      <c r="A1295" s="20"/>
    </row>
    <row r="1296" customFormat="false" ht="15.75" hidden="false" customHeight="false" outlineLevel="0" collapsed="false">
      <c r="A1296" s="20"/>
    </row>
    <row r="1297" customFormat="false" ht="15.75" hidden="false" customHeight="false" outlineLevel="0" collapsed="false">
      <c r="A1297" s="20"/>
    </row>
    <row r="1298" customFormat="false" ht="15.75" hidden="false" customHeight="false" outlineLevel="0" collapsed="false">
      <c r="A1298" s="20"/>
    </row>
    <row r="1299" customFormat="false" ht="15.75" hidden="false" customHeight="false" outlineLevel="0" collapsed="false">
      <c r="A1299" s="20"/>
    </row>
    <row r="1300" customFormat="false" ht="15.75" hidden="false" customHeight="false" outlineLevel="0" collapsed="false">
      <c r="A1300" s="20"/>
    </row>
    <row r="1301" customFormat="false" ht="15.75" hidden="false" customHeight="false" outlineLevel="0" collapsed="false">
      <c r="A1301" s="20"/>
    </row>
    <row r="1302" customFormat="false" ht="15.75" hidden="false" customHeight="false" outlineLevel="0" collapsed="false">
      <c r="A1302" s="20"/>
    </row>
    <row r="1303" customFormat="false" ht="15.75" hidden="false" customHeight="false" outlineLevel="0" collapsed="false">
      <c r="A1303" s="20"/>
    </row>
  </sheetData>
  <autoFilter ref="A1:Z1303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65533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1.53515625" defaultRowHeight="14.65" zeroHeight="false" outlineLevelRow="0" outlineLevelCol="0"/>
  <cols>
    <col collapsed="false" customWidth="true" hidden="false" outlineLevel="0" max="1" min="1" style="25" width="16.33"/>
    <col collapsed="false" customWidth="true" hidden="false" outlineLevel="0" max="129" min="2" style="0" width="6.21"/>
    <col collapsed="false" customWidth="true" hidden="false" outlineLevel="0" max="257" min="130" style="0" width="3.68"/>
  </cols>
  <sheetData>
    <row r="1" customFormat="false" ht="12.8" hidden="false" customHeight="true" outlineLevel="0" collapsed="false">
      <c r="A1" s="26" t="s">
        <v>5906</v>
      </c>
    </row>
    <row r="2" customFormat="false" ht="12.8" hidden="false" customHeight="true" outlineLevel="0" collapsed="false">
      <c r="A2" s="26" t="s">
        <v>5907</v>
      </c>
      <c r="C2" s="27"/>
      <c r="I2" s="27"/>
      <c r="L2" s="27" t="s">
        <v>5908</v>
      </c>
    </row>
    <row r="3" customFormat="false" ht="12.8" hidden="false" customHeight="true" outlineLevel="0" collapsed="false">
      <c r="A3" s="28" t="s">
        <v>5909</v>
      </c>
    </row>
    <row r="4" customFormat="false" ht="12.8" hidden="false" customHeight="true" outlineLevel="0" collapsed="false">
      <c r="A4" s="29" t="s">
        <v>5910</v>
      </c>
      <c r="B4" s="30" t="s">
        <v>5911</v>
      </c>
      <c r="C4" s="30"/>
      <c r="D4" s="30"/>
      <c r="E4" s="30"/>
      <c r="F4" s="30"/>
      <c r="G4" s="30"/>
      <c r="H4" s="30"/>
      <c r="I4" s="30"/>
      <c r="J4" s="30"/>
      <c r="K4" s="30" t="s">
        <v>5912</v>
      </c>
      <c r="L4" s="30"/>
      <c r="M4" s="30"/>
      <c r="N4" s="30"/>
      <c r="O4" s="30"/>
      <c r="P4" s="30"/>
      <c r="Q4" s="30" t="s">
        <v>5913</v>
      </c>
      <c r="R4" s="30"/>
      <c r="S4" s="30"/>
      <c r="T4" s="30" t="s">
        <v>5914</v>
      </c>
      <c r="U4" s="30"/>
      <c r="V4" s="30"/>
      <c r="W4" s="30"/>
      <c r="X4" s="30"/>
      <c r="Y4" s="30"/>
      <c r="Z4" s="30"/>
      <c r="AA4" s="30"/>
      <c r="AB4" s="30"/>
      <c r="AC4" s="30"/>
      <c r="AD4" s="30"/>
      <c r="AE4" s="30" t="s">
        <v>5915</v>
      </c>
      <c r="AF4" s="30"/>
      <c r="AG4" s="30" t="s">
        <v>5916</v>
      </c>
      <c r="AH4" s="30"/>
      <c r="AI4" s="30"/>
      <c r="AJ4" s="30"/>
      <c r="AK4" s="30"/>
      <c r="AL4" s="30"/>
      <c r="AM4" s="30" t="s">
        <v>5917</v>
      </c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 t="s">
        <v>5918</v>
      </c>
      <c r="BI4" s="30"/>
      <c r="BJ4" s="30"/>
      <c r="BK4" s="30"/>
      <c r="BL4" s="30"/>
      <c r="BM4" s="30"/>
      <c r="BN4" s="30"/>
      <c r="BO4" s="31" t="s">
        <v>5919</v>
      </c>
      <c r="BP4" s="30"/>
      <c r="BQ4" s="30"/>
      <c r="BR4" s="30"/>
      <c r="BS4" s="30"/>
      <c r="BT4" s="30"/>
      <c r="BU4" s="30" t="s">
        <v>5920</v>
      </c>
      <c r="BV4" s="30"/>
      <c r="BW4" s="32"/>
      <c r="BX4" s="30"/>
      <c r="BY4" s="30"/>
      <c r="BZ4" s="30"/>
      <c r="CA4" s="32"/>
      <c r="CB4" s="30"/>
      <c r="CC4" s="32" t="s">
        <v>5921</v>
      </c>
      <c r="CD4" s="30"/>
      <c r="CE4" s="32"/>
      <c r="CF4" s="30"/>
      <c r="CG4" s="30"/>
      <c r="CH4" s="30"/>
      <c r="CI4" s="30" t="s">
        <v>5922</v>
      </c>
      <c r="CJ4" s="30"/>
      <c r="CK4" s="30"/>
      <c r="CL4" s="30"/>
      <c r="CM4" s="30"/>
      <c r="CN4" s="30"/>
      <c r="CO4" s="30"/>
      <c r="CP4" s="30"/>
      <c r="CQ4" s="30" t="s">
        <v>5923</v>
      </c>
      <c r="CR4" s="30"/>
      <c r="CS4" s="30"/>
      <c r="CT4" s="30"/>
      <c r="CU4" s="30"/>
      <c r="CV4" s="30"/>
      <c r="CW4" s="30"/>
      <c r="CX4" s="30"/>
      <c r="CY4" s="30" t="s">
        <v>5924</v>
      </c>
      <c r="CZ4" s="30"/>
      <c r="DA4" s="30"/>
      <c r="DB4" s="30"/>
      <c r="DC4" s="32"/>
      <c r="DD4" s="30"/>
      <c r="DE4" s="32"/>
      <c r="DF4" s="32"/>
      <c r="DG4" s="32" t="s">
        <v>5925</v>
      </c>
      <c r="DH4" s="30"/>
      <c r="DI4" s="30"/>
      <c r="DJ4" s="32" t="s">
        <v>5926</v>
      </c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HO4" s="30"/>
      <c r="HV4" s="30"/>
      <c r="HW4" s="30"/>
      <c r="HX4" s="30"/>
      <c r="HY4" s="30"/>
      <c r="HZ4" s="30"/>
      <c r="IA4" s="30"/>
      <c r="IB4" s="30"/>
      <c r="IC4" s="30"/>
      <c r="IJ4" s="30"/>
      <c r="IQ4" s="30"/>
      <c r="IW4" s="30"/>
    </row>
    <row r="5" customFormat="false" ht="12.8" hidden="false" customHeight="true" outlineLevel="0" collapsed="false">
      <c r="A5" s="33"/>
      <c r="B5" s="34" t="s">
        <v>4778</v>
      </c>
      <c r="D5" s="34"/>
      <c r="E5" s="35"/>
      <c r="F5" s="35"/>
      <c r="G5" s="35"/>
      <c r="I5" s="34"/>
      <c r="J5" s="34"/>
      <c r="K5" s="34" t="s">
        <v>4778</v>
      </c>
      <c r="M5" s="34"/>
      <c r="P5" s="34"/>
      <c r="Q5" s="34" t="s">
        <v>4778</v>
      </c>
      <c r="R5" s="36"/>
      <c r="S5" s="36"/>
      <c r="T5" s="36" t="s">
        <v>1277</v>
      </c>
      <c r="W5" s="36"/>
      <c r="X5" s="35"/>
      <c r="Y5" s="34"/>
      <c r="Z5" s="35"/>
      <c r="AA5" s="35"/>
      <c r="AD5" s="35"/>
      <c r="AE5" s="35" t="s">
        <v>5070</v>
      </c>
      <c r="AF5" s="35"/>
      <c r="AG5" s="35" t="s">
        <v>5070</v>
      </c>
      <c r="AH5" s="35"/>
      <c r="AM5" s="35" t="s">
        <v>5070</v>
      </c>
      <c r="AS5" s="35"/>
      <c r="BC5" s="35"/>
      <c r="BF5" s="35"/>
      <c r="BH5" s="35" t="s">
        <v>5378</v>
      </c>
      <c r="BI5" s="35"/>
      <c r="BO5" s="35" t="s">
        <v>506</v>
      </c>
      <c r="BU5" s="35" t="s">
        <v>505</v>
      </c>
      <c r="BW5" s="35"/>
      <c r="CA5" s="35"/>
      <c r="CC5" s="35" t="s">
        <v>505</v>
      </c>
      <c r="CE5" s="35"/>
      <c r="CH5" s="36"/>
      <c r="CI5" s="36" t="s">
        <v>1277</v>
      </c>
      <c r="CP5" s="36"/>
      <c r="CQ5" s="36" t="s">
        <v>1277</v>
      </c>
      <c r="CX5" s="36"/>
      <c r="CY5" s="36" t="s">
        <v>1277</v>
      </c>
      <c r="DC5" s="35"/>
      <c r="DE5" s="35"/>
      <c r="DF5" s="35"/>
      <c r="DG5" s="35" t="s">
        <v>5565</v>
      </c>
      <c r="DJ5" s="35" t="s">
        <v>5565</v>
      </c>
    </row>
    <row r="6" customFormat="false" ht="12.8" hidden="false" customHeight="true" outlineLevel="0" collapsed="false">
      <c r="A6" s="37"/>
      <c r="B6" s="34" t="s">
        <v>5927</v>
      </c>
      <c r="D6" s="34"/>
      <c r="E6" s="36"/>
      <c r="F6" s="36"/>
      <c r="G6" s="36"/>
      <c r="I6" s="34"/>
      <c r="J6" s="34"/>
      <c r="K6" s="34" t="s">
        <v>5927</v>
      </c>
      <c r="M6" s="34"/>
      <c r="P6" s="34"/>
      <c r="Q6" s="34" t="s">
        <v>5928</v>
      </c>
      <c r="R6" s="36"/>
      <c r="S6" s="36"/>
      <c r="T6" s="36" t="s">
        <v>5929</v>
      </c>
      <c r="W6" s="36"/>
      <c r="X6" s="36"/>
      <c r="Y6" s="34"/>
      <c r="Z6" s="36"/>
      <c r="AA6" s="36"/>
      <c r="AD6" s="36"/>
      <c r="AE6" s="36" t="s">
        <v>5930</v>
      </c>
      <c r="AF6" s="36"/>
      <c r="AG6" s="36" t="s">
        <v>5930</v>
      </c>
      <c r="AH6" s="36"/>
      <c r="AM6" s="36" t="s">
        <v>5930</v>
      </c>
      <c r="AS6" s="36"/>
      <c r="BC6" s="36"/>
      <c r="BF6" s="36"/>
      <c r="BH6" s="36" t="s">
        <v>5931</v>
      </c>
      <c r="BI6" s="36"/>
      <c r="BO6" s="36" t="s">
        <v>5932</v>
      </c>
      <c r="BU6" s="36" t="s">
        <v>5933</v>
      </c>
      <c r="BW6" s="36"/>
      <c r="CA6" s="36"/>
      <c r="CC6" s="36" t="s">
        <v>5934</v>
      </c>
      <c r="CE6" s="36"/>
      <c r="CH6" s="36"/>
      <c r="CI6" s="36" t="s">
        <v>5929</v>
      </c>
      <c r="CP6" s="36"/>
      <c r="CQ6" s="36" t="s">
        <v>5929</v>
      </c>
      <c r="CX6" s="36"/>
      <c r="CY6" s="36" t="s">
        <v>5929</v>
      </c>
      <c r="DC6" s="36"/>
      <c r="DE6" s="36"/>
      <c r="DF6" s="36"/>
      <c r="DG6" s="36" t="s">
        <v>5935</v>
      </c>
      <c r="DJ6" s="36" t="s">
        <v>5935</v>
      </c>
    </row>
    <row r="7" customFormat="false" ht="12.8" hidden="false" customHeight="true" outlineLevel="0" collapsed="false">
      <c r="A7" s="38"/>
      <c r="B7" s="39" t="s">
        <v>5936</v>
      </c>
      <c r="D7" s="40"/>
      <c r="E7" s="35"/>
      <c r="F7" s="35"/>
      <c r="G7" s="35"/>
      <c r="I7" s="40"/>
      <c r="J7" s="40"/>
      <c r="K7" s="39" t="s">
        <v>5937</v>
      </c>
      <c r="M7" s="40"/>
      <c r="P7" s="40"/>
      <c r="Q7" s="39" t="s">
        <v>5938</v>
      </c>
      <c r="R7" s="39"/>
      <c r="S7" s="39"/>
      <c r="T7" s="39" t="s">
        <v>5939</v>
      </c>
      <c r="W7" s="39"/>
      <c r="X7" s="35"/>
      <c r="Y7" s="40"/>
      <c r="Z7" s="35"/>
      <c r="AA7" s="39"/>
      <c r="AD7" s="39"/>
      <c r="AE7" s="35" t="s">
        <v>5940</v>
      </c>
      <c r="AF7" s="39"/>
      <c r="AG7" s="35" t="s">
        <v>5939</v>
      </c>
      <c r="AH7" s="35"/>
      <c r="AM7" s="35" t="s">
        <v>5941</v>
      </c>
      <c r="AS7" s="35"/>
      <c r="BC7" s="35"/>
      <c r="BF7" s="35"/>
      <c r="BH7" s="35" t="s">
        <v>5938</v>
      </c>
      <c r="BI7" s="35"/>
      <c r="BO7" s="35" t="s">
        <v>5942</v>
      </c>
      <c r="BU7" s="35" t="s">
        <v>5943</v>
      </c>
      <c r="BW7" s="35"/>
      <c r="CA7" s="35"/>
      <c r="CC7" s="35" t="s">
        <v>5944</v>
      </c>
      <c r="CE7" s="35"/>
      <c r="CH7" s="35"/>
      <c r="CI7" s="35" t="s">
        <v>5945</v>
      </c>
      <c r="CP7" s="35"/>
      <c r="CQ7" s="35" t="s">
        <v>5939</v>
      </c>
      <c r="CX7" s="35"/>
      <c r="CY7" s="35" t="s">
        <v>5939</v>
      </c>
      <c r="DC7" s="35"/>
      <c r="DE7" s="35"/>
      <c r="DF7" s="35"/>
      <c r="DG7" s="35" t="s">
        <v>5940</v>
      </c>
      <c r="DJ7" s="35" t="s">
        <v>5939</v>
      </c>
    </row>
    <row r="8" customFormat="false" ht="12.8" hidden="false" customHeight="true" outlineLevel="0" collapsed="false">
      <c r="A8" s="41" t="s">
        <v>5946</v>
      </c>
      <c r="B8" s="42" t="n">
        <v>23</v>
      </c>
      <c r="C8" s="42" t="n">
        <v>24</v>
      </c>
      <c r="D8" s="42" t="n">
        <v>25</v>
      </c>
      <c r="E8" s="42" t="n">
        <v>26</v>
      </c>
      <c r="F8" s="42" t="n">
        <v>27</v>
      </c>
      <c r="G8" s="43" t="n">
        <v>28</v>
      </c>
      <c r="H8" s="43" t="s">
        <v>5947</v>
      </c>
      <c r="I8" s="42" t="n">
        <v>2</v>
      </c>
      <c r="J8" s="42" t="n">
        <v>3</v>
      </c>
      <c r="K8" s="42" t="n">
        <v>4</v>
      </c>
      <c r="L8" s="42" t="n">
        <v>5</v>
      </c>
      <c r="M8" s="42" t="n">
        <v>6</v>
      </c>
      <c r="N8" s="43" t="n">
        <v>7</v>
      </c>
      <c r="O8" s="43" t="n">
        <v>8</v>
      </c>
      <c r="P8" s="42" t="n">
        <v>9</v>
      </c>
      <c r="Q8" s="42" t="n">
        <v>10</v>
      </c>
      <c r="R8" s="42" t="n">
        <v>11</v>
      </c>
      <c r="S8" s="42" t="n">
        <v>12</v>
      </c>
      <c r="T8" s="42" t="n">
        <v>13</v>
      </c>
      <c r="U8" s="43" t="n">
        <v>14</v>
      </c>
      <c r="V8" s="43" t="n">
        <v>15</v>
      </c>
      <c r="W8" s="42" t="n">
        <v>16</v>
      </c>
      <c r="X8" s="42" t="n">
        <v>17</v>
      </c>
      <c r="Y8" s="42" t="n">
        <v>18</v>
      </c>
      <c r="Z8" s="42" t="n">
        <v>19</v>
      </c>
      <c r="AA8" s="42" t="n">
        <v>20</v>
      </c>
      <c r="AB8" s="43" t="n">
        <v>21</v>
      </c>
      <c r="AC8" s="43" t="n">
        <v>22</v>
      </c>
      <c r="AD8" s="42" t="n">
        <v>23</v>
      </c>
      <c r="AE8" s="42" t="n">
        <v>24</v>
      </c>
      <c r="AF8" s="42" t="n">
        <v>25</v>
      </c>
      <c r="AG8" s="42" t="n">
        <v>26</v>
      </c>
      <c r="AH8" s="42" t="n">
        <v>27</v>
      </c>
      <c r="AI8" s="43" t="n">
        <v>28</v>
      </c>
      <c r="AJ8" s="43" t="n">
        <v>29</v>
      </c>
      <c r="AK8" s="42" t="n">
        <v>30</v>
      </c>
      <c r="AL8" s="42" t="n">
        <v>31</v>
      </c>
      <c r="AM8" s="42" t="s">
        <v>5948</v>
      </c>
      <c r="AN8" s="42" t="n">
        <v>2</v>
      </c>
      <c r="AO8" s="42" t="n">
        <v>3</v>
      </c>
      <c r="AP8" s="43" t="n">
        <v>4</v>
      </c>
      <c r="AQ8" s="43" t="n">
        <v>5</v>
      </c>
      <c r="AR8" s="42" t="n">
        <v>6</v>
      </c>
      <c r="AS8" s="42" t="n">
        <v>7</v>
      </c>
      <c r="AT8" s="42" t="n">
        <v>8</v>
      </c>
      <c r="AU8" s="42" t="n">
        <v>9</v>
      </c>
      <c r="AV8" s="42" t="n">
        <v>10</v>
      </c>
      <c r="AW8" s="43" t="n">
        <v>11</v>
      </c>
      <c r="AX8" s="43" t="n">
        <v>12</v>
      </c>
      <c r="AY8" s="42" t="n">
        <v>13</v>
      </c>
      <c r="AZ8" s="42" t="n">
        <v>14</v>
      </c>
      <c r="BA8" s="42" t="n">
        <v>15</v>
      </c>
      <c r="BB8" s="42" t="n">
        <v>16</v>
      </c>
      <c r="BC8" s="42" t="n">
        <v>17</v>
      </c>
      <c r="BD8" s="43" t="n">
        <v>18</v>
      </c>
      <c r="BE8" s="43" t="n">
        <v>19</v>
      </c>
      <c r="BF8" s="42" t="n">
        <v>20</v>
      </c>
      <c r="BG8" s="42" t="n">
        <v>21</v>
      </c>
      <c r="BH8" s="42" t="n">
        <v>22</v>
      </c>
      <c r="BI8" s="42" t="n">
        <v>23</v>
      </c>
      <c r="BJ8" s="42" t="n">
        <v>24</v>
      </c>
      <c r="BK8" s="43" t="n">
        <v>25</v>
      </c>
      <c r="BL8" s="43" t="n">
        <v>26</v>
      </c>
      <c r="BM8" s="43" t="n">
        <v>27</v>
      </c>
      <c r="BN8" s="42" t="n">
        <v>28</v>
      </c>
      <c r="BO8" s="42" t="n">
        <v>29</v>
      </c>
      <c r="BP8" s="43" t="n">
        <v>30</v>
      </c>
      <c r="BQ8" s="43" t="s">
        <v>5949</v>
      </c>
      <c r="BR8" s="43" t="n">
        <v>2</v>
      </c>
      <c r="BS8" s="43" t="n">
        <v>3</v>
      </c>
      <c r="BT8" s="42" t="n">
        <v>4</v>
      </c>
      <c r="BU8" s="42" t="n">
        <v>5</v>
      </c>
      <c r="BV8" s="42" t="n">
        <v>6</v>
      </c>
      <c r="BW8" s="42" t="n">
        <v>7</v>
      </c>
      <c r="BX8" s="42" t="n">
        <v>8</v>
      </c>
      <c r="BY8" s="43" t="n">
        <v>9</v>
      </c>
      <c r="BZ8" s="43" t="n">
        <v>10</v>
      </c>
      <c r="CA8" s="42" t="n">
        <v>11</v>
      </c>
      <c r="CB8" s="42" t="n">
        <v>12</v>
      </c>
      <c r="CC8" s="42" t="n">
        <v>13</v>
      </c>
      <c r="CD8" s="42" t="n">
        <v>14</v>
      </c>
      <c r="CE8" s="42" t="n">
        <v>15</v>
      </c>
      <c r="CF8" s="43" t="n">
        <v>16</v>
      </c>
      <c r="CG8" s="43" t="n">
        <v>17</v>
      </c>
      <c r="CH8" s="42" t="n">
        <v>18</v>
      </c>
      <c r="CI8" s="42" t="n">
        <v>19</v>
      </c>
      <c r="CJ8" s="42" t="n">
        <v>20</v>
      </c>
      <c r="CK8" s="42" t="n">
        <v>21</v>
      </c>
      <c r="CL8" s="42" t="n">
        <v>22</v>
      </c>
      <c r="CM8" s="43" t="n">
        <v>23</v>
      </c>
      <c r="CN8" s="43" t="n">
        <v>24</v>
      </c>
      <c r="CO8" s="42" t="n">
        <v>25</v>
      </c>
      <c r="CP8" s="42" t="n">
        <v>26</v>
      </c>
      <c r="CQ8" s="42" t="n">
        <v>27</v>
      </c>
      <c r="CR8" s="42" t="n">
        <v>28</v>
      </c>
      <c r="CS8" s="42" t="n">
        <v>29</v>
      </c>
      <c r="CT8" s="43" t="n">
        <v>30</v>
      </c>
      <c r="CU8" s="43" t="n">
        <v>31</v>
      </c>
      <c r="CV8" s="42" t="s">
        <v>5950</v>
      </c>
      <c r="CW8" s="42" t="n">
        <v>2</v>
      </c>
      <c r="CX8" s="42" t="n">
        <v>3</v>
      </c>
      <c r="CY8" s="42" t="n">
        <v>4</v>
      </c>
      <c r="CZ8" s="42" t="n">
        <v>5</v>
      </c>
      <c r="DA8" s="43" t="n">
        <v>6</v>
      </c>
      <c r="DB8" s="43" t="n">
        <v>7</v>
      </c>
      <c r="DC8" s="42" t="n">
        <v>8</v>
      </c>
      <c r="DD8" s="42" t="n">
        <v>9</v>
      </c>
      <c r="DE8" s="42" t="n">
        <v>10</v>
      </c>
      <c r="DF8" s="42" t="n">
        <v>11</v>
      </c>
      <c r="DG8" s="42" t="n">
        <v>12</v>
      </c>
      <c r="DH8" s="43" t="n">
        <v>13</v>
      </c>
      <c r="DI8" s="43" t="n">
        <v>14</v>
      </c>
      <c r="DJ8" s="42" t="n">
        <v>15</v>
      </c>
      <c r="DK8" s="42" t="n">
        <v>16</v>
      </c>
      <c r="DL8" s="42" t="n">
        <v>17</v>
      </c>
      <c r="DM8" s="42" t="n">
        <v>18</v>
      </c>
      <c r="DN8" s="42" t="n">
        <v>19</v>
      </c>
      <c r="DO8" s="43" t="n">
        <v>20</v>
      </c>
      <c r="DP8" s="43" t="n">
        <v>21</v>
      </c>
      <c r="DQ8" s="42" t="n">
        <v>22</v>
      </c>
      <c r="DR8" s="42" t="n">
        <v>23</v>
      </c>
      <c r="DS8" s="42" t="n">
        <v>24</v>
      </c>
      <c r="DT8" s="42" t="n">
        <v>25</v>
      </c>
      <c r="DU8" s="42" t="n">
        <v>26</v>
      </c>
      <c r="DV8" s="43" t="n">
        <v>27</v>
      </c>
      <c r="DW8" s="43" t="n">
        <v>28</v>
      </c>
      <c r="DX8" s="42" t="n">
        <v>29</v>
      </c>
      <c r="DY8" s="42" t="n">
        <v>30</v>
      </c>
      <c r="DZ8" s="42" t="s">
        <v>5951</v>
      </c>
      <c r="EA8" s="42" t="n">
        <v>2</v>
      </c>
      <c r="EB8" s="42" t="n">
        <v>3</v>
      </c>
      <c r="EC8" s="43" t="n">
        <v>4</v>
      </c>
      <c r="ED8" s="43" t="n">
        <v>5</v>
      </c>
      <c r="EE8" s="42" t="n">
        <v>6</v>
      </c>
      <c r="EF8" s="42" t="n">
        <v>7</v>
      </c>
      <c r="EG8" s="42" t="n">
        <v>8</v>
      </c>
      <c r="EH8" s="42" t="n">
        <v>9</v>
      </c>
      <c r="EI8" s="42" t="n">
        <v>10</v>
      </c>
      <c r="EJ8" s="43" t="n">
        <v>11</v>
      </c>
      <c r="EK8" s="43" t="n">
        <v>12</v>
      </c>
      <c r="EL8" s="42" t="n">
        <v>13</v>
      </c>
      <c r="EM8" s="42" t="n">
        <v>14</v>
      </c>
      <c r="EN8" s="42" t="n">
        <v>15</v>
      </c>
      <c r="EO8" s="42" t="n">
        <v>16</v>
      </c>
      <c r="EP8" s="42" t="n">
        <v>17</v>
      </c>
      <c r="EQ8" s="43" t="n">
        <v>18</v>
      </c>
      <c r="ER8" s="43" t="n">
        <v>19</v>
      </c>
      <c r="ES8" s="42" t="n">
        <v>20</v>
      </c>
      <c r="ET8" s="42" t="n">
        <v>21</v>
      </c>
      <c r="EU8" s="42" t="n">
        <v>22</v>
      </c>
      <c r="EV8" s="42" t="n">
        <v>23</v>
      </c>
      <c r="EW8" s="42" t="n">
        <v>24</v>
      </c>
      <c r="EX8" s="43" t="n">
        <v>25</v>
      </c>
      <c r="EY8" s="43" t="n">
        <v>26</v>
      </c>
      <c r="EZ8" s="42" t="n">
        <v>27</v>
      </c>
      <c r="FA8" s="42" t="n">
        <v>28</v>
      </c>
      <c r="FB8" s="42" t="n">
        <v>29</v>
      </c>
      <c r="FC8" s="42" t="n">
        <v>30</v>
      </c>
      <c r="FD8" s="42" t="n">
        <v>31</v>
      </c>
      <c r="FE8" s="42"/>
    </row>
    <row r="9" customFormat="false" ht="12.8" hidden="false" customHeight="true" outlineLevel="0" collapsed="false">
      <c r="A9" s="41" t="s">
        <v>5952</v>
      </c>
      <c r="B9" s="44" t="n">
        <v>1880</v>
      </c>
      <c r="C9" s="44" t="n">
        <v>2250</v>
      </c>
      <c r="D9" s="44" t="n">
        <v>2250</v>
      </c>
      <c r="E9" s="44" t="n">
        <v>2250</v>
      </c>
      <c r="F9" s="44" t="n">
        <v>2250</v>
      </c>
      <c r="G9" s="44"/>
      <c r="H9" s="44"/>
      <c r="I9" s="44" t="n">
        <v>2250</v>
      </c>
      <c r="J9" s="44" t="n">
        <v>2250</v>
      </c>
      <c r="K9" s="44" t="n">
        <v>740</v>
      </c>
      <c r="L9" s="44" t="n">
        <v>2250</v>
      </c>
      <c r="M9" s="44" t="n">
        <v>2250</v>
      </c>
      <c r="N9" s="44"/>
      <c r="O9" s="44"/>
      <c r="P9" s="44" t="n">
        <v>2250</v>
      </c>
      <c r="Q9" s="44" t="n">
        <v>1742</v>
      </c>
      <c r="R9" s="44" t="n">
        <v>2250</v>
      </c>
      <c r="S9" s="44" t="n">
        <v>2246</v>
      </c>
      <c r="T9" s="44" t="n">
        <v>750</v>
      </c>
      <c r="U9" s="44"/>
      <c r="V9" s="44"/>
      <c r="W9" s="44" t="n">
        <v>800</v>
      </c>
      <c r="X9" s="44" t="n">
        <v>850</v>
      </c>
      <c r="Y9" s="44" t="n">
        <v>900</v>
      </c>
      <c r="Z9" s="44" t="n">
        <v>950</v>
      </c>
      <c r="AA9" s="44" t="n">
        <v>1000</v>
      </c>
      <c r="AB9" s="44"/>
      <c r="AC9" s="44"/>
      <c r="AD9" s="44" t="n">
        <v>750</v>
      </c>
      <c r="AE9" s="44" t="n">
        <v>1000</v>
      </c>
      <c r="AF9" s="44" t="n">
        <v>1100</v>
      </c>
      <c r="AG9" s="44" t="n">
        <v>900</v>
      </c>
      <c r="AH9" s="44" t="n">
        <v>1300</v>
      </c>
      <c r="AI9" s="44"/>
      <c r="AJ9" s="44"/>
      <c r="AK9" s="44" t="n">
        <v>1400</v>
      </c>
      <c r="AL9" s="44" t="n">
        <v>1500</v>
      </c>
      <c r="AM9" s="44" t="n">
        <v>1500</v>
      </c>
      <c r="AN9" s="44" t="n">
        <v>1700</v>
      </c>
      <c r="AO9" s="44" t="n">
        <v>1700</v>
      </c>
      <c r="AP9" s="44"/>
      <c r="AQ9" s="44"/>
      <c r="AR9" s="44" t="n">
        <v>1700</v>
      </c>
      <c r="AS9" s="44" t="n">
        <v>1700</v>
      </c>
      <c r="AT9" s="44" t="n">
        <v>1700</v>
      </c>
      <c r="AU9" s="44" t="n">
        <v>1700</v>
      </c>
      <c r="AV9" s="44" t="n">
        <v>1700</v>
      </c>
      <c r="AW9" s="44"/>
      <c r="AX9" s="44"/>
      <c r="AY9" s="44" t="n">
        <v>1700</v>
      </c>
      <c r="AZ9" s="44" t="n">
        <v>1700</v>
      </c>
      <c r="BA9" s="44" t="n">
        <v>1700</v>
      </c>
      <c r="BB9" s="44" t="n">
        <v>1700</v>
      </c>
      <c r="BC9" s="44" t="n">
        <v>1700</v>
      </c>
      <c r="BD9" s="44"/>
      <c r="BE9" s="44"/>
      <c r="BF9" s="44" t="n">
        <v>1700</v>
      </c>
      <c r="BG9" s="44" t="n">
        <v>1700</v>
      </c>
      <c r="BH9" s="44" t="n">
        <v>100</v>
      </c>
      <c r="BI9" s="44" t="n">
        <v>1500</v>
      </c>
      <c r="BJ9" s="44" t="n">
        <v>1600</v>
      </c>
      <c r="BK9" s="44"/>
      <c r="BL9" s="44"/>
      <c r="BM9" s="44"/>
      <c r="BN9" s="44" t="n">
        <v>1800</v>
      </c>
      <c r="BO9" s="44" t="n">
        <v>1800</v>
      </c>
      <c r="BP9" s="44"/>
      <c r="BQ9" s="44"/>
      <c r="BR9" s="44"/>
      <c r="BS9" s="44"/>
      <c r="BT9" s="44" t="n">
        <v>1900</v>
      </c>
      <c r="BU9" s="44" t="n">
        <v>1700</v>
      </c>
      <c r="BV9" s="44" t="n">
        <v>1900</v>
      </c>
      <c r="BW9" s="44" t="n">
        <v>2000</v>
      </c>
      <c r="BX9" s="44" t="n">
        <v>2100</v>
      </c>
      <c r="BY9" s="44"/>
      <c r="BZ9" s="44"/>
      <c r="CA9" s="44" t="n">
        <v>2100</v>
      </c>
      <c r="CB9" s="44" t="n">
        <v>2100</v>
      </c>
      <c r="CC9" s="44" t="n">
        <v>2084</v>
      </c>
      <c r="CD9" s="44" t="n">
        <v>2100</v>
      </c>
      <c r="CE9" s="44" t="n">
        <v>2100</v>
      </c>
      <c r="CF9" s="44"/>
      <c r="CG9" s="44"/>
      <c r="CH9" s="44" t="n">
        <v>2100</v>
      </c>
      <c r="CI9" s="44" t="n">
        <v>848</v>
      </c>
      <c r="CJ9" s="44" t="n">
        <v>850</v>
      </c>
      <c r="CK9" s="44" t="n">
        <v>900</v>
      </c>
      <c r="CL9" s="44" t="n">
        <v>1000</v>
      </c>
      <c r="CM9" s="44"/>
      <c r="CN9" s="44"/>
      <c r="CO9" s="44" t="n">
        <v>1000</v>
      </c>
      <c r="CP9" s="44" t="n">
        <v>1000</v>
      </c>
      <c r="CQ9" s="44" t="n">
        <v>802</v>
      </c>
      <c r="CR9" s="44" t="n">
        <v>1000</v>
      </c>
      <c r="CS9" s="44" t="n">
        <v>1000</v>
      </c>
      <c r="CT9" s="44"/>
      <c r="CU9" s="44"/>
      <c r="CV9" s="44" t="n">
        <v>1000</v>
      </c>
      <c r="CW9" s="44" t="n">
        <v>1000</v>
      </c>
      <c r="CX9" s="44" t="n">
        <v>1000</v>
      </c>
      <c r="CY9" s="44" t="n">
        <v>802</v>
      </c>
      <c r="CZ9" s="44" t="n">
        <v>1000</v>
      </c>
      <c r="DA9" s="44"/>
      <c r="DB9" s="44"/>
      <c r="DC9" s="44" t="n">
        <v>1000</v>
      </c>
      <c r="DD9" s="44" t="n">
        <v>1000</v>
      </c>
      <c r="DE9" s="44" t="n">
        <v>1000</v>
      </c>
      <c r="DF9" s="44" t="n">
        <v>1000</v>
      </c>
      <c r="DG9" s="44" t="n">
        <v>802</v>
      </c>
      <c r="DH9" s="44"/>
      <c r="DI9" s="44"/>
      <c r="DJ9" s="44"/>
      <c r="DK9" s="44"/>
      <c r="DL9" s="44"/>
      <c r="DM9" s="44"/>
      <c r="DN9" s="44"/>
      <c r="DO9" s="44"/>
      <c r="DP9" s="44"/>
      <c r="DQ9" s="44"/>
      <c r="DR9" s="44"/>
      <c r="DS9" s="44"/>
      <c r="DT9" s="44"/>
      <c r="DU9" s="44"/>
      <c r="DV9" s="44"/>
      <c r="DW9" s="44"/>
      <c r="DX9" s="44"/>
      <c r="DY9" s="44"/>
      <c r="DZ9" s="44"/>
      <c r="EA9" s="44"/>
      <c r="EB9" s="44"/>
      <c r="EC9" s="44"/>
      <c r="ED9" s="44"/>
      <c r="EE9" s="44"/>
      <c r="EF9" s="44"/>
      <c r="EG9" s="44"/>
      <c r="EH9" s="44"/>
      <c r="EI9" s="44"/>
      <c r="EJ9" s="44"/>
      <c r="EK9" s="44"/>
      <c r="EL9" s="44"/>
      <c r="EM9" s="44"/>
      <c r="EN9" s="44"/>
      <c r="EO9" s="44"/>
      <c r="EP9" s="44"/>
      <c r="EQ9" s="44"/>
      <c r="ER9" s="44"/>
      <c r="ES9" s="44"/>
      <c r="ET9" s="44"/>
      <c r="EU9" s="44"/>
      <c r="EV9" s="44"/>
      <c r="EW9" s="44"/>
      <c r="EX9" s="44"/>
      <c r="EY9" s="44"/>
      <c r="EZ9" s="44"/>
      <c r="FA9" s="44"/>
      <c r="FB9" s="44"/>
      <c r="FC9" s="44"/>
      <c r="FD9" s="44"/>
      <c r="FE9" s="44"/>
    </row>
    <row r="10" customFormat="false" ht="12.8" hidden="false" customHeight="true" outlineLevel="0" collapsed="false">
      <c r="A10" s="41"/>
      <c r="B10" s="45"/>
      <c r="C10" s="45"/>
      <c r="D10" s="45"/>
      <c r="E10" s="45"/>
      <c r="F10" s="45"/>
      <c r="G10" s="45"/>
      <c r="H10" s="45"/>
      <c r="I10" s="45"/>
      <c r="J10" s="45"/>
      <c r="K10" s="45" t="n">
        <f aca="false">2250-K9</f>
        <v>1510</v>
      </c>
      <c r="L10" s="45"/>
      <c r="M10" s="45"/>
      <c r="N10" s="45"/>
      <c r="O10" s="45"/>
      <c r="P10" s="45"/>
      <c r="Q10" s="45" t="n">
        <f aca="false">2250-Q9</f>
        <v>508</v>
      </c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 t="n">
        <f aca="false">1200-AG9</f>
        <v>300</v>
      </c>
      <c r="AH10" s="45"/>
      <c r="AI10" s="45"/>
      <c r="AJ10" s="45"/>
      <c r="AK10" s="45"/>
      <c r="AL10" s="45"/>
      <c r="AM10" s="45" t="n">
        <f aca="false">1600-AM9</f>
        <v>100</v>
      </c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 t="n">
        <v>100</v>
      </c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 t="n">
        <v>100</v>
      </c>
      <c r="BV10" s="45"/>
      <c r="BW10" s="45"/>
      <c r="BX10" s="45"/>
      <c r="BY10" s="45"/>
      <c r="BZ10" s="45"/>
      <c r="CA10" s="45"/>
      <c r="CB10" s="45"/>
      <c r="CC10" s="45" t="n">
        <f aca="false">2100-CC9</f>
        <v>16</v>
      </c>
      <c r="CD10" s="45"/>
      <c r="CE10" s="45"/>
      <c r="CF10" s="45"/>
      <c r="CG10" s="45"/>
      <c r="CH10" s="45"/>
      <c r="CI10" s="45" t="n">
        <v>400</v>
      </c>
      <c r="CJ10" s="45"/>
      <c r="CK10" s="45"/>
      <c r="CL10" s="45"/>
      <c r="CM10" s="45"/>
      <c r="CN10" s="45"/>
      <c r="CO10" s="45"/>
      <c r="CP10" s="45"/>
      <c r="CQ10" s="45" t="n">
        <f aca="false">1000-CQ9</f>
        <v>198</v>
      </c>
      <c r="CR10" s="45"/>
      <c r="CS10" s="45"/>
      <c r="CT10" s="45"/>
      <c r="CU10" s="45"/>
      <c r="CV10" s="45"/>
      <c r="CW10" s="45"/>
      <c r="CX10" s="45"/>
      <c r="CY10" s="45" t="n">
        <f aca="false">1000-CY9</f>
        <v>198</v>
      </c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  <c r="HO10" s="45"/>
      <c r="HV10" s="45"/>
      <c r="HW10" s="45"/>
      <c r="HX10" s="45"/>
      <c r="HY10" s="45"/>
      <c r="HZ10" s="45"/>
      <c r="IA10" s="45"/>
      <c r="IB10" s="45"/>
      <c r="IC10" s="45"/>
      <c r="IJ10" s="45"/>
      <c r="IQ10" s="45"/>
      <c r="IW10" s="45"/>
    </row>
    <row r="11" customFormat="false" ht="12.8" hidden="false" customHeight="true" outlineLevel="0" collapsed="false">
      <c r="A11" s="46"/>
      <c r="B11" s="47" t="s">
        <v>5953</v>
      </c>
      <c r="C11" s="48"/>
      <c r="D11" s="49"/>
      <c r="E11" s="48"/>
      <c r="F11" s="49"/>
      <c r="G11" s="48"/>
      <c r="H11" s="49"/>
      <c r="I11" s="49"/>
      <c r="J11" s="49"/>
      <c r="K11" s="50" t="s">
        <v>5954</v>
      </c>
      <c r="L11" s="49"/>
      <c r="M11" s="49"/>
      <c r="N11" s="49"/>
      <c r="O11" s="49"/>
      <c r="P11" s="49"/>
      <c r="Q11" s="51" t="s">
        <v>5955</v>
      </c>
      <c r="R11" s="49"/>
      <c r="S11" s="49"/>
      <c r="T11" s="50" t="s">
        <v>5955</v>
      </c>
      <c r="U11" s="49"/>
      <c r="V11" s="49"/>
      <c r="W11" s="49"/>
      <c r="X11" s="49"/>
      <c r="Y11" s="49"/>
      <c r="Z11" s="49"/>
      <c r="AA11" s="48"/>
      <c r="AB11" s="49"/>
      <c r="AC11" s="49"/>
      <c r="AD11" s="48"/>
      <c r="AE11" s="48" t="s">
        <v>5956</v>
      </c>
      <c r="AF11" s="48"/>
      <c r="AG11" s="48" t="s">
        <v>5956</v>
      </c>
      <c r="AH11" s="48"/>
      <c r="AI11" s="49"/>
      <c r="AJ11" s="49"/>
      <c r="AK11" s="49"/>
      <c r="AL11" s="49"/>
      <c r="AM11" s="48" t="s">
        <v>5957</v>
      </c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8"/>
      <c r="BG11" s="49"/>
      <c r="BH11" s="48" t="s">
        <v>5957</v>
      </c>
      <c r="BI11" s="49"/>
      <c r="BJ11" s="49"/>
      <c r="BK11" s="49"/>
      <c r="BL11" s="49"/>
      <c r="BM11" s="49"/>
      <c r="BN11" s="49"/>
      <c r="BO11" s="49" t="s">
        <v>5958</v>
      </c>
      <c r="BP11" s="49"/>
      <c r="BQ11" s="49"/>
      <c r="BR11" s="49"/>
      <c r="BS11" s="49"/>
      <c r="BT11" s="49"/>
      <c r="BU11" s="49" t="s">
        <v>5958</v>
      </c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8"/>
      <c r="CI11" s="48" t="s">
        <v>5959</v>
      </c>
      <c r="CJ11" s="49"/>
      <c r="CK11" s="49"/>
      <c r="CL11" s="49"/>
      <c r="CM11" s="49"/>
      <c r="CN11" s="49"/>
      <c r="CO11" s="49"/>
      <c r="CP11" s="48"/>
      <c r="CQ11" s="48" t="s">
        <v>5959</v>
      </c>
      <c r="CR11" s="49"/>
      <c r="CS11" s="49"/>
      <c r="CT11" s="49"/>
      <c r="CU11" s="49"/>
      <c r="CV11" s="49"/>
      <c r="CW11" s="49"/>
      <c r="CX11" s="48"/>
      <c r="CY11" s="48" t="s">
        <v>5959</v>
      </c>
      <c r="CZ11" s="49"/>
      <c r="DA11" s="49"/>
      <c r="DB11" s="49"/>
      <c r="DC11" s="49"/>
      <c r="DD11" s="49"/>
      <c r="DE11" s="49"/>
      <c r="DF11" s="49"/>
      <c r="DG11" s="49"/>
      <c r="DH11" s="49"/>
      <c r="DI11" s="49"/>
      <c r="DJ11" s="49"/>
      <c r="DK11" s="49"/>
      <c r="DL11" s="49"/>
      <c r="DM11" s="49"/>
      <c r="DN11" s="49"/>
      <c r="DO11" s="49"/>
      <c r="DP11" s="49"/>
      <c r="DQ11" s="49"/>
      <c r="DR11" s="49"/>
      <c r="DS11" s="49"/>
      <c r="DT11" s="49"/>
      <c r="DU11" s="49"/>
      <c r="DV11" s="49"/>
      <c r="DW11" s="49"/>
      <c r="DX11" s="49"/>
      <c r="DY11" s="49"/>
      <c r="DZ11" s="49"/>
      <c r="EA11" s="49"/>
      <c r="EB11" s="49"/>
      <c r="EC11" s="49"/>
      <c r="ED11" s="49"/>
      <c r="EE11" s="49"/>
      <c r="EF11" s="49"/>
      <c r="EG11" s="49"/>
      <c r="EH11" s="49"/>
      <c r="EI11" s="49"/>
      <c r="EJ11" s="49"/>
      <c r="EK11" s="49"/>
      <c r="EL11" s="49"/>
      <c r="EM11" s="49"/>
      <c r="EN11" s="49"/>
      <c r="EO11" s="49"/>
      <c r="EP11" s="49"/>
      <c r="EQ11" s="49"/>
      <c r="ER11" s="49"/>
      <c r="ES11" s="49"/>
      <c r="ET11" s="49"/>
      <c r="EU11" s="49"/>
      <c r="EV11" s="49"/>
      <c r="EW11" s="49"/>
      <c r="EX11" s="49"/>
      <c r="EY11" s="49"/>
      <c r="EZ11" s="49"/>
      <c r="FA11" s="49"/>
      <c r="FB11" s="49"/>
      <c r="FC11" s="49"/>
      <c r="FD11" s="49"/>
      <c r="FE11" s="49"/>
      <c r="HO11" s="49"/>
      <c r="HV11" s="49"/>
      <c r="HW11" s="49"/>
      <c r="HX11" s="49"/>
      <c r="HY11" s="49"/>
      <c r="HZ11" s="49"/>
      <c r="IA11" s="49"/>
      <c r="IB11" s="49"/>
      <c r="IC11" s="49"/>
      <c r="IJ11" s="49"/>
      <c r="IQ11" s="49"/>
      <c r="IW11" s="49"/>
    </row>
    <row r="12" customFormat="false" ht="13.5" hidden="false" customHeight="true" outlineLevel="0" collapsed="false">
      <c r="A12" s="52" t="s">
        <v>5960</v>
      </c>
      <c r="B12" s="53" t="n">
        <v>31</v>
      </c>
      <c r="C12" s="53" t="n">
        <v>31</v>
      </c>
      <c r="D12" s="53" t="n">
        <v>31</v>
      </c>
      <c r="E12" s="53" t="n">
        <v>31</v>
      </c>
      <c r="F12" s="53" t="n">
        <v>31</v>
      </c>
      <c r="G12" s="53" t="n">
        <v>31</v>
      </c>
      <c r="H12" s="53" t="n">
        <v>31</v>
      </c>
      <c r="I12" s="53" t="n">
        <v>31</v>
      </c>
      <c r="J12" s="53" t="n">
        <v>31</v>
      </c>
      <c r="K12" s="53" t="n">
        <v>31</v>
      </c>
      <c r="L12" s="53" t="n">
        <v>31</v>
      </c>
      <c r="M12" s="53" t="n">
        <v>31</v>
      </c>
      <c r="N12" s="53" t="n">
        <v>31</v>
      </c>
      <c r="O12" s="53" t="n">
        <v>31</v>
      </c>
      <c r="P12" s="53" t="n">
        <v>31</v>
      </c>
      <c r="Q12" s="53" t="n">
        <v>31</v>
      </c>
      <c r="R12" s="53" t="n">
        <v>31</v>
      </c>
      <c r="S12" s="53" t="n">
        <v>31</v>
      </c>
      <c r="T12" s="53" t="n">
        <v>35</v>
      </c>
      <c r="U12" s="53" t="n">
        <v>35</v>
      </c>
      <c r="V12" s="53" t="n">
        <v>35</v>
      </c>
      <c r="W12" s="53" t="n">
        <v>35</v>
      </c>
      <c r="X12" s="53" t="n">
        <v>35</v>
      </c>
      <c r="Y12" s="53" t="n">
        <v>35</v>
      </c>
      <c r="Z12" s="53" t="n">
        <v>35</v>
      </c>
      <c r="AA12" s="53" t="n">
        <v>35</v>
      </c>
      <c r="AB12" s="53" t="n">
        <v>35</v>
      </c>
      <c r="AC12" s="53" t="n">
        <v>35</v>
      </c>
      <c r="AD12" s="53" t="n">
        <v>35</v>
      </c>
      <c r="AE12" s="53" t="n">
        <v>31</v>
      </c>
      <c r="AF12" s="53" t="n">
        <v>31</v>
      </c>
      <c r="AG12" s="53" t="n">
        <v>31</v>
      </c>
      <c r="AH12" s="53" t="n">
        <v>31</v>
      </c>
      <c r="AI12" s="53" t="n">
        <v>31</v>
      </c>
      <c r="AJ12" s="53" t="n">
        <v>31</v>
      </c>
      <c r="AK12" s="53" t="n">
        <v>31</v>
      </c>
      <c r="AL12" s="53" t="n">
        <v>31</v>
      </c>
      <c r="AM12" s="53" t="n">
        <v>31</v>
      </c>
      <c r="AN12" s="53" t="n">
        <v>31</v>
      </c>
      <c r="AO12" s="53" t="n">
        <v>31</v>
      </c>
      <c r="AP12" s="53" t="n">
        <v>31</v>
      </c>
      <c r="AQ12" s="53" t="n">
        <v>31</v>
      </c>
      <c r="AR12" s="53" t="n">
        <v>31</v>
      </c>
      <c r="AS12" s="53" t="n">
        <v>31</v>
      </c>
      <c r="AT12" s="53" t="n">
        <v>31</v>
      </c>
      <c r="AU12" s="53" t="n">
        <v>31</v>
      </c>
      <c r="AV12" s="53" t="n">
        <v>31</v>
      </c>
      <c r="AW12" s="53" t="n">
        <v>31</v>
      </c>
      <c r="AX12" s="53" t="n">
        <v>31</v>
      </c>
      <c r="AY12" s="53" t="n">
        <v>31</v>
      </c>
      <c r="AZ12" s="53" t="n">
        <v>31</v>
      </c>
      <c r="BA12" s="53" t="n">
        <v>31</v>
      </c>
      <c r="BB12" s="53" t="n">
        <v>31</v>
      </c>
      <c r="BC12" s="53" t="n">
        <v>31</v>
      </c>
      <c r="BD12" s="53" t="n">
        <v>31</v>
      </c>
      <c r="BE12" s="53" t="n">
        <v>31</v>
      </c>
      <c r="BF12" s="53" t="n">
        <v>31</v>
      </c>
      <c r="BG12" s="53" t="n">
        <v>31</v>
      </c>
      <c r="BH12" s="53" t="n">
        <v>31</v>
      </c>
      <c r="BI12" s="53" t="n">
        <v>31</v>
      </c>
      <c r="BJ12" s="53" t="n">
        <v>31</v>
      </c>
      <c r="BK12" s="53" t="n">
        <v>31</v>
      </c>
      <c r="BL12" s="53" t="n">
        <v>31</v>
      </c>
      <c r="BM12" s="53" t="n">
        <v>31</v>
      </c>
      <c r="BN12" s="53" t="n">
        <v>30</v>
      </c>
      <c r="BO12" s="53" t="n">
        <v>30</v>
      </c>
      <c r="BP12" s="53" t="n">
        <v>30</v>
      </c>
      <c r="BQ12" s="53" t="n">
        <v>30</v>
      </c>
      <c r="BR12" s="53" t="n">
        <v>30</v>
      </c>
      <c r="BS12" s="53" t="n">
        <v>30</v>
      </c>
      <c r="BT12" s="53" t="n">
        <v>30</v>
      </c>
      <c r="BU12" s="53" t="n">
        <v>30</v>
      </c>
      <c r="BV12" s="53" t="n">
        <v>30</v>
      </c>
      <c r="BW12" s="53" t="n">
        <v>30</v>
      </c>
      <c r="BX12" s="53" t="n">
        <v>30</v>
      </c>
      <c r="BY12" s="53" t="n">
        <v>30</v>
      </c>
      <c r="BZ12" s="53" t="n">
        <v>30</v>
      </c>
      <c r="CA12" s="53" t="n">
        <v>30</v>
      </c>
      <c r="CB12" s="53" t="n">
        <v>30</v>
      </c>
      <c r="CC12" s="53" t="n">
        <v>30</v>
      </c>
      <c r="CD12" s="53" t="n">
        <v>30</v>
      </c>
      <c r="CE12" s="53" t="n">
        <v>30</v>
      </c>
      <c r="CF12" s="53" t="n">
        <v>30</v>
      </c>
      <c r="CG12" s="53" t="n">
        <v>30</v>
      </c>
      <c r="CH12" s="53" t="n">
        <v>36</v>
      </c>
      <c r="CI12" s="53" t="n">
        <v>36</v>
      </c>
      <c r="CJ12" s="53" t="n">
        <v>36</v>
      </c>
      <c r="CK12" s="53" t="n">
        <v>36</v>
      </c>
      <c r="CL12" s="53" t="n">
        <v>36</v>
      </c>
      <c r="CM12" s="53" t="n">
        <v>36</v>
      </c>
      <c r="CN12" s="53" t="n">
        <v>36</v>
      </c>
      <c r="CO12" s="53" t="n">
        <v>36</v>
      </c>
      <c r="CP12" s="53" t="n">
        <v>36</v>
      </c>
      <c r="CQ12" s="53" t="n">
        <v>36</v>
      </c>
      <c r="CR12" s="53" t="n">
        <v>36</v>
      </c>
      <c r="CS12" s="53" t="n">
        <v>36</v>
      </c>
      <c r="CT12" s="53" t="n">
        <v>36</v>
      </c>
      <c r="CU12" s="53" t="n">
        <v>36</v>
      </c>
      <c r="CV12" s="53" t="n">
        <v>36</v>
      </c>
      <c r="CW12" s="53" t="n">
        <v>36</v>
      </c>
      <c r="CX12" s="53" t="n">
        <v>36</v>
      </c>
      <c r="CY12" s="53" t="n">
        <v>36</v>
      </c>
      <c r="CZ12" s="53" t="n">
        <v>36</v>
      </c>
      <c r="DA12" s="53" t="n">
        <v>36</v>
      </c>
      <c r="DB12" s="53" t="n">
        <v>36</v>
      </c>
      <c r="DC12" s="53" t="n">
        <v>36</v>
      </c>
      <c r="DD12" s="53" t="n">
        <v>36</v>
      </c>
      <c r="DE12" s="53" t="n">
        <v>36</v>
      </c>
      <c r="DF12" s="53" t="n">
        <v>36</v>
      </c>
      <c r="DG12" s="53" t="n">
        <v>36</v>
      </c>
      <c r="DH12" s="53"/>
      <c r="DI12" s="53"/>
      <c r="DJ12" s="53"/>
      <c r="DK12" s="53"/>
      <c r="DL12" s="53"/>
      <c r="DM12" s="53"/>
      <c r="DN12" s="53"/>
      <c r="DO12" s="53"/>
      <c r="DP12" s="53"/>
      <c r="DQ12" s="53"/>
      <c r="DR12" s="53"/>
      <c r="DS12" s="53"/>
      <c r="DT12" s="53"/>
      <c r="DU12" s="53"/>
      <c r="DV12" s="53"/>
      <c r="DW12" s="53"/>
      <c r="DX12" s="53"/>
      <c r="DY12" s="53"/>
      <c r="DZ12" s="53"/>
      <c r="EA12" s="53"/>
      <c r="EB12" s="53"/>
      <c r="EC12" s="53"/>
      <c r="ED12" s="53"/>
      <c r="EE12" s="53"/>
      <c r="EF12" s="53"/>
      <c r="EG12" s="53"/>
      <c r="EH12" s="53"/>
      <c r="EI12" s="53"/>
      <c r="EJ12" s="53"/>
      <c r="EK12" s="53"/>
      <c r="EL12" s="53"/>
      <c r="EM12" s="53"/>
      <c r="EN12" s="53"/>
      <c r="EO12" s="53"/>
      <c r="EP12" s="53"/>
      <c r="EQ12" s="53"/>
      <c r="ER12" s="53"/>
      <c r="ES12" s="53"/>
      <c r="ET12" s="53"/>
      <c r="EU12" s="53"/>
      <c r="EV12" s="53"/>
      <c r="EW12" s="53"/>
      <c r="EX12" s="53"/>
      <c r="EY12" s="53"/>
      <c r="EZ12" s="53"/>
      <c r="FA12" s="53"/>
      <c r="FB12" s="53"/>
      <c r="FC12" s="53"/>
      <c r="FD12" s="53"/>
      <c r="FE12" s="53"/>
    </row>
    <row r="13" customFormat="false" ht="13.5" hidden="false" customHeight="true" outlineLevel="0" collapsed="false">
      <c r="A13" s="54" t="s">
        <v>5961</v>
      </c>
    </row>
    <row r="14" customFormat="false" ht="13.5" hidden="false" customHeight="true" outlineLevel="0" collapsed="false">
      <c r="A14" s="29" t="s">
        <v>5962</v>
      </c>
      <c r="B14" s="30" t="s">
        <v>5963</v>
      </c>
      <c r="C14" s="30"/>
      <c r="D14" s="30"/>
      <c r="E14" s="55"/>
      <c r="F14" s="30"/>
      <c r="G14" s="30"/>
      <c r="H14" s="30"/>
      <c r="I14" s="56" t="s">
        <v>5964</v>
      </c>
      <c r="J14" s="30"/>
      <c r="K14" s="30"/>
      <c r="L14" s="30"/>
      <c r="M14" s="56" t="s">
        <v>5965</v>
      </c>
      <c r="N14" s="30"/>
      <c r="O14" s="30"/>
      <c r="P14" s="30"/>
      <c r="Q14" s="30"/>
      <c r="R14" s="30"/>
      <c r="S14" s="30" t="s">
        <v>5966</v>
      </c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 t="s">
        <v>5967</v>
      </c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 t="s">
        <v>5968</v>
      </c>
      <c r="AW14" s="30"/>
      <c r="AX14" s="30"/>
      <c r="AY14" s="30"/>
      <c r="AZ14" s="30"/>
      <c r="BA14" s="30"/>
      <c r="BB14" s="30" t="s">
        <v>5969</v>
      </c>
      <c r="BC14" s="30"/>
      <c r="BD14" s="30"/>
      <c r="BE14" s="30"/>
      <c r="BF14" s="30"/>
      <c r="BG14" s="30"/>
      <c r="BH14" s="30" t="s">
        <v>5970</v>
      </c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 t="s">
        <v>5971</v>
      </c>
      <c r="BV14" s="30"/>
      <c r="BW14" s="30"/>
      <c r="BX14" s="30"/>
      <c r="BY14" s="30"/>
      <c r="BZ14" s="30"/>
      <c r="CA14" s="30"/>
      <c r="CB14" s="30" t="s">
        <v>5920</v>
      </c>
      <c r="CC14" s="30"/>
      <c r="CD14" s="30"/>
      <c r="CE14" s="30"/>
      <c r="CF14" s="30"/>
      <c r="CG14" s="30"/>
      <c r="CH14" s="30"/>
      <c r="CI14" s="30" t="s">
        <v>5972</v>
      </c>
      <c r="CJ14" s="30"/>
      <c r="CK14" s="30" t="s">
        <v>5972</v>
      </c>
      <c r="CL14" s="30" t="s">
        <v>5973</v>
      </c>
      <c r="CM14" s="30" t="s">
        <v>5921</v>
      </c>
      <c r="CN14" s="30"/>
      <c r="CO14" s="30"/>
      <c r="CP14" s="30"/>
      <c r="CQ14" s="30"/>
      <c r="CR14" s="30" t="s">
        <v>5973</v>
      </c>
      <c r="CS14" s="30"/>
      <c r="CT14" s="30"/>
      <c r="CU14" s="30"/>
      <c r="CV14" s="30" t="s">
        <v>5974</v>
      </c>
      <c r="CW14" s="30"/>
      <c r="CX14" s="30"/>
      <c r="CY14" s="30" t="s">
        <v>5974</v>
      </c>
      <c r="CZ14" s="30"/>
      <c r="DA14" s="30"/>
      <c r="DB14" s="30"/>
      <c r="DC14" s="30"/>
      <c r="DD14" s="30"/>
      <c r="DE14" s="30" t="s">
        <v>5975</v>
      </c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  <c r="DQ14" s="30"/>
      <c r="DR14" s="30"/>
      <c r="DS14" s="30"/>
      <c r="DT14" s="30"/>
      <c r="DU14" s="30"/>
      <c r="DV14" s="30"/>
      <c r="DW14" s="30"/>
      <c r="DX14" s="30"/>
      <c r="DY14" s="30"/>
      <c r="DZ14" s="30"/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N14" s="30"/>
      <c r="EO14" s="30"/>
      <c r="EP14" s="30"/>
      <c r="EQ14" s="30"/>
      <c r="ER14" s="30"/>
      <c r="ES14" s="30"/>
      <c r="ET14" s="30"/>
      <c r="EU14" s="30"/>
      <c r="EV14" s="30"/>
      <c r="EW14" s="30"/>
      <c r="EX14" s="30"/>
      <c r="EY14" s="30"/>
      <c r="EZ14" s="30"/>
      <c r="FA14" s="30"/>
      <c r="FB14" s="30"/>
      <c r="FC14" s="30"/>
      <c r="FD14" s="30"/>
      <c r="FE14" s="30"/>
      <c r="HO14" s="30"/>
      <c r="HV14" s="30"/>
      <c r="HW14" s="30"/>
      <c r="HX14" s="30"/>
      <c r="HY14" s="30"/>
      <c r="HZ14" s="30"/>
      <c r="IA14" s="30"/>
      <c r="IB14" s="30"/>
      <c r="IC14" s="30"/>
      <c r="IJ14" s="30"/>
      <c r="IQ14" s="30"/>
      <c r="IW14" s="30"/>
    </row>
    <row r="15" customFormat="false" ht="13.5" hidden="false" customHeight="true" outlineLevel="0" collapsed="false">
      <c r="A15" s="33"/>
      <c r="B15" s="35" t="s">
        <v>4781</v>
      </c>
      <c r="E15" s="57"/>
      <c r="F15" s="58"/>
      <c r="G15" s="58"/>
      <c r="I15" s="59" t="s">
        <v>3867</v>
      </c>
      <c r="L15" s="35"/>
      <c r="M15" s="59" t="s">
        <v>3867</v>
      </c>
      <c r="S15" s="36" t="s">
        <v>4955</v>
      </c>
      <c r="U15" s="35"/>
      <c r="X15" s="35"/>
      <c r="AD15" s="35" t="s">
        <v>4781</v>
      </c>
      <c r="AE15" s="35"/>
      <c r="AF15" s="35"/>
      <c r="AV15" s="35" t="s">
        <v>4781</v>
      </c>
      <c r="AY15" s="35"/>
      <c r="AZ15" s="35"/>
      <c r="BA15" s="35"/>
      <c r="BB15" s="35" t="s">
        <v>4781</v>
      </c>
      <c r="BC15" s="35"/>
      <c r="BD15" s="35"/>
      <c r="BH15" s="35" t="s">
        <v>4781</v>
      </c>
      <c r="BJ15" s="35"/>
      <c r="BN15" s="35"/>
      <c r="BP15" s="35"/>
      <c r="BT15" s="35"/>
      <c r="BU15" s="35" t="s">
        <v>4781</v>
      </c>
      <c r="BX15" s="35"/>
      <c r="CB15" s="35" t="s">
        <v>453</v>
      </c>
      <c r="CC15" s="35"/>
      <c r="CD15" s="35"/>
      <c r="CF15" s="35"/>
      <c r="CH15" s="35"/>
      <c r="CI15" s="35" t="s">
        <v>453</v>
      </c>
      <c r="CJ15" s="35"/>
      <c r="CK15" s="35" t="s">
        <v>453</v>
      </c>
      <c r="CL15" s="35" t="s">
        <v>453</v>
      </c>
      <c r="CM15" s="35" t="s">
        <v>453</v>
      </c>
      <c r="CO15" s="35"/>
      <c r="CP15" s="35"/>
      <c r="CR15" s="35" t="s">
        <v>453</v>
      </c>
      <c r="CS15" s="35"/>
      <c r="CT15" s="35"/>
      <c r="CV15" s="35" t="s">
        <v>453</v>
      </c>
      <c r="CW15" s="35"/>
      <c r="CY15" s="35" t="s">
        <v>453</v>
      </c>
      <c r="DC15" s="35"/>
      <c r="DE15" s="35" t="s">
        <v>453</v>
      </c>
    </row>
    <row r="16" customFormat="false" ht="13.5" hidden="false" customHeight="true" outlineLevel="0" collapsed="false">
      <c r="A16" s="37"/>
      <c r="B16" s="36" t="s">
        <v>5976</v>
      </c>
      <c r="E16" s="57"/>
      <c r="F16" s="58"/>
      <c r="G16" s="58"/>
      <c r="I16" s="59" t="s">
        <v>5977</v>
      </c>
      <c r="L16" s="36"/>
      <c r="M16" s="59" t="s">
        <v>5977</v>
      </c>
      <c r="S16" s="36" t="s">
        <v>5978</v>
      </c>
      <c r="U16" s="36"/>
      <c r="X16" s="36"/>
      <c r="AD16" s="36" t="s">
        <v>5976</v>
      </c>
      <c r="AE16" s="36"/>
      <c r="AF16" s="36"/>
      <c r="AV16" s="36" t="s">
        <v>5976</v>
      </c>
      <c r="AY16" s="36"/>
      <c r="AZ16" s="36"/>
      <c r="BA16" s="36"/>
      <c r="BB16" s="36" t="s">
        <v>5976</v>
      </c>
      <c r="BC16" s="36"/>
      <c r="BD16" s="36"/>
      <c r="BH16" s="36" t="s">
        <v>5976</v>
      </c>
      <c r="BJ16" s="36"/>
      <c r="BN16" s="36"/>
      <c r="BP16" s="36"/>
      <c r="BT16" s="36"/>
      <c r="BU16" s="36" t="s">
        <v>5976</v>
      </c>
      <c r="BX16" s="36"/>
      <c r="CB16" s="36" t="s">
        <v>5979</v>
      </c>
      <c r="CC16" s="36"/>
      <c r="CD16" s="36"/>
      <c r="CF16" s="36"/>
      <c r="CH16" s="36"/>
      <c r="CI16" s="36" t="s">
        <v>5980</v>
      </c>
      <c r="CJ16" s="36"/>
      <c r="CK16" s="36" t="s">
        <v>5981</v>
      </c>
      <c r="CL16" s="36" t="s">
        <v>5980</v>
      </c>
      <c r="CM16" s="36" t="s">
        <v>5979</v>
      </c>
      <c r="CO16" s="36"/>
      <c r="CP16" s="36"/>
      <c r="CR16" s="36" t="s">
        <v>5982</v>
      </c>
      <c r="CS16" s="36"/>
      <c r="CT16" s="36"/>
      <c r="CV16" s="36" t="s">
        <v>5982</v>
      </c>
      <c r="CW16" s="36"/>
      <c r="CY16" s="36" t="s">
        <v>5980</v>
      </c>
      <c r="DC16" s="36"/>
      <c r="DE16" s="36" t="s">
        <v>5980</v>
      </c>
    </row>
    <row r="17" customFormat="false" ht="13.5" hidden="false" customHeight="true" outlineLevel="0" collapsed="false">
      <c r="A17" s="38"/>
      <c r="B17" s="39" t="s">
        <v>5983</v>
      </c>
      <c r="E17" s="57"/>
      <c r="F17" s="39"/>
      <c r="G17" s="58"/>
      <c r="I17" s="60" t="s">
        <v>5984</v>
      </c>
      <c r="L17" s="35"/>
      <c r="M17" s="59" t="s">
        <v>5985</v>
      </c>
      <c r="S17" s="40" t="s">
        <v>5986</v>
      </c>
      <c r="U17" s="35"/>
      <c r="X17" s="35"/>
      <c r="AD17" s="39" t="s">
        <v>5987</v>
      </c>
      <c r="AE17" s="39"/>
      <c r="AF17" s="39"/>
      <c r="AV17" s="39" t="s">
        <v>5988</v>
      </c>
      <c r="AY17" s="39"/>
      <c r="AZ17" s="39"/>
      <c r="BA17" s="39"/>
      <c r="BB17" s="35" t="s">
        <v>5989</v>
      </c>
      <c r="BC17" s="39"/>
      <c r="BD17" s="39"/>
      <c r="BH17" s="40" t="s">
        <v>5990</v>
      </c>
      <c r="BJ17" s="40"/>
      <c r="BN17" s="40"/>
      <c r="BP17" s="40"/>
      <c r="BT17" s="40"/>
      <c r="BU17" s="40" t="s">
        <v>5991</v>
      </c>
      <c r="BX17" s="40"/>
      <c r="CB17" s="40" t="s">
        <v>5941</v>
      </c>
      <c r="CC17" s="40"/>
      <c r="CD17" s="40"/>
      <c r="CF17" s="40"/>
      <c r="CH17" s="40"/>
      <c r="CI17" s="40" t="s">
        <v>5992</v>
      </c>
      <c r="CJ17" s="40"/>
      <c r="CK17" s="40" t="s">
        <v>5938</v>
      </c>
      <c r="CL17" s="40" t="s">
        <v>5993</v>
      </c>
      <c r="CM17" s="40" t="s">
        <v>5941</v>
      </c>
      <c r="CO17" s="40"/>
      <c r="CP17" s="40"/>
      <c r="CR17" s="40" t="s">
        <v>5993</v>
      </c>
      <c r="CS17" s="40"/>
      <c r="CT17" s="40"/>
      <c r="CV17" s="40" t="s">
        <v>5994</v>
      </c>
      <c r="CW17" s="40"/>
      <c r="CY17" s="40" t="s">
        <v>5995</v>
      </c>
      <c r="DC17" s="40"/>
      <c r="DE17" s="40" t="s">
        <v>5941</v>
      </c>
    </row>
    <row r="18" customFormat="false" ht="13.5" hidden="false" customHeight="true" outlineLevel="0" collapsed="false">
      <c r="A18" s="41" t="s">
        <v>5946</v>
      </c>
      <c r="B18" s="42" t="n">
        <v>23</v>
      </c>
      <c r="C18" s="42" t="n">
        <v>24</v>
      </c>
      <c r="D18" s="42" t="n">
        <v>25</v>
      </c>
      <c r="E18" s="42" t="n">
        <v>26</v>
      </c>
      <c r="F18" s="42" t="n">
        <v>27</v>
      </c>
      <c r="G18" s="43" t="n">
        <v>28</v>
      </c>
      <c r="H18" s="43" t="s">
        <v>5947</v>
      </c>
      <c r="I18" s="42" t="n">
        <v>2</v>
      </c>
      <c r="J18" s="42" t="n">
        <v>3</v>
      </c>
      <c r="K18" s="42" t="n">
        <v>4</v>
      </c>
      <c r="L18" s="42" t="n">
        <v>5</v>
      </c>
      <c r="M18" s="42" t="n">
        <v>6</v>
      </c>
      <c r="N18" s="43" t="n">
        <v>7</v>
      </c>
      <c r="O18" s="43" t="n">
        <v>8</v>
      </c>
      <c r="P18" s="42" t="n">
        <v>9</v>
      </c>
      <c r="Q18" s="42" t="n">
        <v>10</v>
      </c>
      <c r="R18" s="42" t="n">
        <v>11</v>
      </c>
      <c r="S18" s="42" t="n">
        <v>12</v>
      </c>
      <c r="T18" s="42" t="n">
        <v>13</v>
      </c>
      <c r="U18" s="43" t="n">
        <v>14</v>
      </c>
      <c r="V18" s="43" t="n">
        <v>15</v>
      </c>
      <c r="W18" s="42" t="n">
        <v>16</v>
      </c>
      <c r="X18" s="42" t="n">
        <v>17</v>
      </c>
      <c r="Y18" s="42" t="n">
        <v>18</v>
      </c>
      <c r="Z18" s="42" t="n">
        <v>19</v>
      </c>
      <c r="AA18" s="42" t="n">
        <v>20</v>
      </c>
      <c r="AB18" s="43" t="n">
        <v>21</v>
      </c>
      <c r="AC18" s="43" t="n">
        <v>22</v>
      </c>
      <c r="AD18" s="42" t="n">
        <v>23</v>
      </c>
      <c r="AE18" s="42" t="n">
        <v>24</v>
      </c>
      <c r="AF18" s="42" t="n">
        <v>25</v>
      </c>
      <c r="AG18" s="42" t="n">
        <v>26</v>
      </c>
      <c r="AH18" s="42" t="n">
        <v>27</v>
      </c>
      <c r="AI18" s="43" t="n">
        <v>28</v>
      </c>
      <c r="AJ18" s="43" t="n">
        <v>29</v>
      </c>
      <c r="AK18" s="42" t="n">
        <v>30</v>
      </c>
      <c r="AL18" s="42" t="n">
        <v>31</v>
      </c>
      <c r="AM18" s="42" t="s">
        <v>5948</v>
      </c>
      <c r="AN18" s="42" t="n">
        <v>2</v>
      </c>
      <c r="AO18" s="42" t="n">
        <v>3</v>
      </c>
      <c r="AP18" s="43" t="n">
        <v>4</v>
      </c>
      <c r="AQ18" s="43" t="n">
        <v>5</v>
      </c>
      <c r="AR18" s="42" t="n">
        <v>6</v>
      </c>
      <c r="AS18" s="42" t="n">
        <v>7</v>
      </c>
      <c r="AT18" s="42" t="n">
        <v>8</v>
      </c>
      <c r="AU18" s="42" t="n">
        <v>9</v>
      </c>
      <c r="AV18" s="42" t="n">
        <v>10</v>
      </c>
      <c r="AW18" s="43" t="n">
        <v>11</v>
      </c>
      <c r="AX18" s="43" t="n">
        <v>12</v>
      </c>
      <c r="AY18" s="42" t="n">
        <v>13</v>
      </c>
      <c r="AZ18" s="42" t="n">
        <v>14</v>
      </c>
      <c r="BA18" s="42" t="n">
        <v>15</v>
      </c>
      <c r="BB18" s="42" t="n">
        <v>16</v>
      </c>
      <c r="BC18" s="42" t="n">
        <v>17</v>
      </c>
      <c r="BD18" s="43" t="n">
        <v>18</v>
      </c>
      <c r="BE18" s="43" t="n">
        <v>19</v>
      </c>
      <c r="BF18" s="42" t="n">
        <v>20</v>
      </c>
      <c r="BG18" s="42" t="n">
        <v>21</v>
      </c>
      <c r="BH18" s="42" t="n">
        <v>22</v>
      </c>
      <c r="BI18" s="42" t="n">
        <v>23</v>
      </c>
      <c r="BJ18" s="42" t="n">
        <v>24</v>
      </c>
      <c r="BK18" s="43" t="n">
        <v>25</v>
      </c>
      <c r="BL18" s="43" t="n">
        <v>26</v>
      </c>
      <c r="BM18" s="43" t="n">
        <v>27</v>
      </c>
      <c r="BN18" s="42" t="n">
        <v>28</v>
      </c>
      <c r="BO18" s="42" t="n">
        <v>29</v>
      </c>
      <c r="BP18" s="43" t="n">
        <v>30</v>
      </c>
      <c r="BQ18" s="43" t="s">
        <v>5949</v>
      </c>
      <c r="BR18" s="43" t="n">
        <v>2</v>
      </c>
      <c r="BS18" s="43" t="n">
        <v>3</v>
      </c>
      <c r="BT18" s="42" t="n">
        <v>4</v>
      </c>
      <c r="BU18" s="42" t="n">
        <v>5</v>
      </c>
      <c r="BV18" s="42" t="n">
        <v>6</v>
      </c>
      <c r="BW18" s="42" t="n">
        <v>7</v>
      </c>
      <c r="BX18" s="42" t="n">
        <v>8</v>
      </c>
      <c r="BY18" s="43" t="n">
        <v>9</v>
      </c>
      <c r="BZ18" s="43" t="n">
        <v>10</v>
      </c>
      <c r="CA18" s="42" t="n">
        <v>11</v>
      </c>
      <c r="CB18" s="42" t="n">
        <v>12</v>
      </c>
      <c r="CC18" s="42" t="n">
        <v>13</v>
      </c>
      <c r="CD18" s="42" t="n">
        <v>14</v>
      </c>
      <c r="CE18" s="42" t="n">
        <v>15</v>
      </c>
      <c r="CF18" s="43" t="n">
        <v>16</v>
      </c>
      <c r="CG18" s="43" t="n">
        <v>17</v>
      </c>
      <c r="CH18" s="42" t="n">
        <v>18</v>
      </c>
      <c r="CI18" s="42" t="n">
        <v>19</v>
      </c>
      <c r="CJ18" s="42" t="n">
        <v>20</v>
      </c>
      <c r="CK18" s="42" t="n">
        <v>21</v>
      </c>
      <c r="CL18" s="42" t="n">
        <v>22</v>
      </c>
      <c r="CM18" s="43" t="n">
        <v>23</v>
      </c>
      <c r="CN18" s="43" t="n">
        <v>24</v>
      </c>
      <c r="CO18" s="42" t="n">
        <v>25</v>
      </c>
      <c r="CP18" s="42" t="n">
        <v>26</v>
      </c>
      <c r="CQ18" s="42" t="n">
        <v>27</v>
      </c>
      <c r="CR18" s="42" t="n">
        <v>28</v>
      </c>
      <c r="CS18" s="42" t="n">
        <v>29</v>
      </c>
      <c r="CT18" s="43" t="n">
        <v>30</v>
      </c>
      <c r="CU18" s="43" t="n">
        <v>31</v>
      </c>
      <c r="CV18" s="42" t="s">
        <v>5950</v>
      </c>
      <c r="CW18" s="42" t="n">
        <v>2</v>
      </c>
      <c r="CX18" s="42" t="n">
        <v>3</v>
      </c>
      <c r="CY18" s="42" t="n">
        <v>4</v>
      </c>
      <c r="CZ18" s="42" t="n">
        <v>5</v>
      </c>
      <c r="DA18" s="43" t="n">
        <v>6</v>
      </c>
      <c r="DB18" s="43" t="n">
        <v>7</v>
      </c>
      <c r="DC18" s="42" t="n">
        <v>8</v>
      </c>
      <c r="DD18" s="42" t="n">
        <v>9</v>
      </c>
      <c r="DE18" s="42" t="n">
        <v>10</v>
      </c>
      <c r="DF18" s="42" t="n">
        <v>11</v>
      </c>
      <c r="DG18" s="42" t="n">
        <v>12</v>
      </c>
      <c r="DH18" s="43" t="n">
        <v>13</v>
      </c>
      <c r="DI18" s="43" t="n">
        <v>14</v>
      </c>
      <c r="DJ18" s="42" t="n">
        <v>15</v>
      </c>
      <c r="DK18" s="42" t="n">
        <v>16</v>
      </c>
      <c r="DL18" s="42" t="n">
        <v>17</v>
      </c>
      <c r="DM18" s="42" t="n">
        <v>18</v>
      </c>
      <c r="DN18" s="42" t="n">
        <v>19</v>
      </c>
      <c r="DO18" s="43" t="n">
        <v>20</v>
      </c>
      <c r="DP18" s="43" t="n">
        <v>21</v>
      </c>
      <c r="DQ18" s="42" t="n">
        <v>22</v>
      </c>
      <c r="DR18" s="42" t="n">
        <v>23</v>
      </c>
      <c r="DS18" s="42" t="n">
        <v>24</v>
      </c>
      <c r="DT18" s="42" t="n">
        <v>25</v>
      </c>
      <c r="DU18" s="42" t="n">
        <v>26</v>
      </c>
      <c r="DV18" s="43" t="n">
        <v>27</v>
      </c>
      <c r="DW18" s="43" t="n">
        <v>28</v>
      </c>
      <c r="DX18" s="42" t="n">
        <v>29</v>
      </c>
      <c r="DY18" s="42" t="n">
        <v>30</v>
      </c>
      <c r="DZ18" s="42" t="s">
        <v>5951</v>
      </c>
      <c r="EA18" s="42" t="n">
        <v>2</v>
      </c>
      <c r="EB18" s="42" t="n">
        <v>3</v>
      </c>
      <c r="EC18" s="43" t="n">
        <v>4</v>
      </c>
      <c r="ED18" s="43" t="n">
        <v>5</v>
      </c>
      <c r="EE18" s="42" t="n">
        <v>6</v>
      </c>
      <c r="EF18" s="42" t="n">
        <v>7</v>
      </c>
      <c r="EG18" s="42" t="n">
        <v>8</v>
      </c>
      <c r="EH18" s="42" t="n">
        <v>9</v>
      </c>
      <c r="EI18" s="42" t="n">
        <v>10</v>
      </c>
      <c r="EJ18" s="43" t="n">
        <v>11</v>
      </c>
      <c r="EK18" s="43" t="n">
        <v>12</v>
      </c>
      <c r="EL18" s="42" t="n">
        <v>13</v>
      </c>
      <c r="EM18" s="42" t="n">
        <v>14</v>
      </c>
      <c r="EN18" s="42" t="n">
        <v>15</v>
      </c>
      <c r="EO18" s="42" t="n">
        <v>16</v>
      </c>
      <c r="EP18" s="42" t="n">
        <v>17</v>
      </c>
      <c r="EQ18" s="43" t="n">
        <v>18</v>
      </c>
      <c r="ER18" s="43" t="n">
        <v>19</v>
      </c>
      <c r="ES18" s="42" t="n">
        <v>20</v>
      </c>
      <c r="ET18" s="42" t="n">
        <v>21</v>
      </c>
      <c r="EU18" s="42" t="n">
        <v>22</v>
      </c>
      <c r="EV18" s="42" t="n">
        <v>23</v>
      </c>
      <c r="EW18" s="42" t="n">
        <v>24</v>
      </c>
      <c r="EX18" s="43" t="n">
        <v>25</v>
      </c>
      <c r="EY18" s="43" t="n">
        <v>26</v>
      </c>
      <c r="EZ18" s="42" t="n">
        <v>27</v>
      </c>
      <c r="FA18" s="42" t="n">
        <v>28</v>
      </c>
      <c r="FB18" s="42" t="n">
        <v>29</v>
      </c>
      <c r="FC18" s="42" t="n">
        <v>30</v>
      </c>
      <c r="FD18" s="42" t="n">
        <v>31</v>
      </c>
      <c r="FE18" s="42"/>
    </row>
    <row r="19" customFormat="false" ht="13.5" hidden="false" customHeight="true" outlineLevel="0" collapsed="false">
      <c r="A19" s="41" t="s">
        <v>5952</v>
      </c>
      <c r="B19" s="44" t="n">
        <v>1104</v>
      </c>
      <c r="C19" s="44" t="n">
        <v>2000</v>
      </c>
      <c r="D19" s="44" t="n">
        <v>2100</v>
      </c>
      <c r="E19" s="44" t="n">
        <v>2200</v>
      </c>
      <c r="F19" s="44" t="n">
        <v>2250</v>
      </c>
      <c r="G19" s="44"/>
      <c r="H19" s="44"/>
      <c r="I19" s="44" t="n">
        <v>876</v>
      </c>
      <c r="J19" s="44" t="n">
        <v>5100</v>
      </c>
      <c r="K19" s="44" t="n">
        <v>5300</v>
      </c>
      <c r="L19" s="44" t="n">
        <v>5500</v>
      </c>
      <c r="M19" s="44" t="n">
        <v>1800</v>
      </c>
      <c r="N19" s="44"/>
      <c r="O19" s="44"/>
      <c r="P19" s="44" t="n">
        <v>5500</v>
      </c>
      <c r="Q19" s="44" t="n">
        <v>5500</v>
      </c>
      <c r="R19" s="44" t="n">
        <v>5500</v>
      </c>
      <c r="S19" s="44" t="n">
        <v>2648</v>
      </c>
      <c r="T19" s="44" t="n">
        <v>3500</v>
      </c>
      <c r="U19" s="44"/>
      <c r="V19" s="44"/>
      <c r="W19" s="44" t="n">
        <v>3700</v>
      </c>
      <c r="X19" s="44" t="n">
        <v>3900</v>
      </c>
      <c r="Y19" s="44" t="n">
        <v>4100</v>
      </c>
      <c r="Z19" s="44" t="n">
        <v>4500</v>
      </c>
      <c r="AA19" s="44" t="n">
        <v>4700</v>
      </c>
      <c r="AB19" s="44" t="n">
        <v>3700</v>
      </c>
      <c r="AC19" s="44"/>
      <c r="AD19" s="44" t="n">
        <v>440</v>
      </c>
      <c r="AE19" s="44" t="n">
        <v>1600</v>
      </c>
      <c r="AF19" s="44" t="n">
        <v>1700</v>
      </c>
      <c r="AG19" s="44" t="n">
        <v>1800</v>
      </c>
      <c r="AH19" s="44" t="n">
        <v>1900</v>
      </c>
      <c r="AI19" s="44"/>
      <c r="AJ19" s="44"/>
      <c r="AK19" s="44" t="n">
        <v>2000</v>
      </c>
      <c r="AL19" s="44" t="n">
        <v>2100</v>
      </c>
      <c r="AM19" s="44" t="n">
        <v>2250</v>
      </c>
      <c r="AN19" s="44" t="n">
        <v>2250</v>
      </c>
      <c r="AO19" s="44" t="n">
        <v>2250</v>
      </c>
      <c r="AP19" s="44" t="n">
        <v>1800</v>
      </c>
      <c r="AQ19" s="44"/>
      <c r="AR19" s="44" t="n">
        <v>2250</v>
      </c>
      <c r="AS19" s="44" t="n">
        <v>2250</v>
      </c>
      <c r="AT19" s="44" t="n">
        <v>2250</v>
      </c>
      <c r="AU19" s="44" t="n">
        <v>2250</v>
      </c>
      <c r="AV19" s="44" t="n">
        <v>350</v>
      </c>
      <c r="AW19" s="44"/>
      <c r="AX19" s="44"/>
      <c r="AY19" s="44" t="n">
        <v>2250</v>
      </c>
      <c r="AZ19" s="44" t="n">
        <v>2250</v>
      </c>
      <c r="BA19" s="44" t="n">
        <v>2250</v>
      </c>
      <c r="BB19" s="44" t="n">
        <v>1350</v>
      </c>
      <c r="BC19" s="44" t="n">
        <v>2250</v>
      </c>
      <c r="BD19" s="44" t="n">
        <v>1800</v>
      </c>
      <c r="BE19" s="44"/>
      <c r="BF19" s="44" t="n">
        <v>2250</v>
      </c>
      <c r="BG19" s="44" t="n">
        <v>2250</v>
      </c>
      <c r="BH19" s="44" t="n">
        <v>646</v>
      </c>
      <c r="BI19" s="44" t="n">
        <v>2250</v>
      </c>
      <c r="BJ19" s="44" t="n">
        <v>2250</v>
      </c>
      <c r="BK19" s="44"/>
      <c r="BL19" s="44"/>
      <c r="BM19" s="44"/>
      <c r="BN19" s="44" t="n">
        <v>2250</v>
      </c>
      <c r="BO19" s="44" t="n">
        <v>2250</v>
      </c>
      <c r="BP19" s="44"/>
      <c r="BQ19" s="44"/>
      <c r="BR19" s="44"/>
      <c r="BS19" s="44"/>
      <c r="BT19" s="44" t="n">
        <v>2250</v>
      </c>
      <c r="BU19" s="44" t="n">
        <v>2146</v>
      </c>
      <c r="BV19" s="44" t="n">
        <v>2250</v>
      </c>
      <c r="BW19" s="44" t="n">
        <v>2250</v>
      </c>
      <c r="BX19" s="44" t="n">
        <v>2250</v>
      </c>
      <c r="BY19" s="44" t="n">
        <v>1800</v>
      </c>
      <c r="BZ19" s="44"/>
      <c r="CA19" s="44" t="n">
        <v>2250</v>
      </c>
      <c r="CB19" s="44" t="n">
        <v>388</v>
      </c>
      <c r="CC19" s="44" t="n">
        <v>1900</v>
      </c>
      <c r="CD19" s="44" t="n">
        <v>2000</v>
      </c>
      <c r="CE19" s="44" t="n">
        <v>2100</v>
      </c>
      <c r="CF19" s="44"/>
      <c r="CG19" s="44"/>
      <c r="CH19" s="44" t="n">
        <v>2200</v>
      </c>
      <c r="CI19" s="44" t="n">
        <v>2300</v>
      </c>
      <c r="CJ19" s="44" t="n">
        <v>2400</v>
      </c>
      <c r="CK19" s="44" t="n">
        <v>2272</v>
      </c>
      <c r="CL19" s="44" t="n">
        <v>2600</v>
      </c>
      <c r="CM19" s="44" t="n">
        <v>2176</v>
      </c>
      <c r="CN19" s="44"/>
      <c r="CO19" s="44" t="n">
        <v>2800</v>
      </c>
      <c r="CP19" s="44" t="n">
        <v>2900</v>
      </c>
      <c r="CQ19" s="44" t="n">
        <v>3000</v>
      </c>
      <c r="CR19" s="44" t="n">
        <v>3100</v>
      </c>
      <c r="CS19" s="44" t="n">
        <v>3100</v>
      </c>
      <c r="CT19" s="44"/>
      <c r="CU19" s="44"/>
      <c r="CV19" s="44" t="n">
        <v>2170</v>
      </c>
      <c r="CW19" s="44" t="n">
        <v>3100</v>
      </c>
      <c r="CX19" s="44" t="n">
        <v>3100</v>
      </c>
      <c r="CY19" s="44" t="n">
        <v>1108</v>
      </c>
      <c r="CZ19" s="44" t="n">
        <v>3100</v>
      </c>
      <c r="DA19" s="44" t="n">
        <v>2400</v>
      </c>
      <c r="DB19" s="44"/>
      <c r="DC19" s="44" t="n">
        <v>3100</v>
      </c>
      <c r="DD19" s="44" t="n">
        <v>3100</v>
      </c>
      <c r="DE19" s="44" t="n">
        <v>2076</v>
      </c>
      <c r="DF19" s="44" t="n">
        <v>3100</v>
      </c>
      <c r="DG19" s="44" t="n">
        <v>3100</v>
      </c>
      <c r="DH19" s="44"/>
      <c r="DI19" s="44"/>
      <c r="DJ19" s="44"/>
      <c r="DK19" s="44"/>
      <c r="DL19" s="44"/>
      <c r="DM19" s="44"/>
      <c r="DN19" s="44"/>
      <c r="DO19" s="44"/>
      <c r="DP19" s="44"/>
      <c r="DQ19" s="44"/>
      <c r="DR19" s="44"/>
      <c r="DS19" s="44"/>
      <c r="DT19" s="44"/>
      <c r="DU19" s="44"/>
      <c r="DV19" s="44"/>
      <c r="DW19" s="44"/>
      <c r="DX19" s="44"/>
      <c r="DY19" s="44"/>
      <c r="DZ19" s="44"/>
      <c r="EA19" s="44"/>
      <c r="EB19" s="44"/>
      <c r="EC19" s="44"/>
      <c r="ED19" s="44"/>
      <c r="EE19" s="44"/>
      <c r="EF19" s="44"/>
      <c r="EG19" s="44"/>
      <c r="EH19" s="44"/>
      <c r="EI19" s="44"/>
      <c r="EJ19" s="44"/>
      <c r="EK19" s="44"/>
      <c r="EL19" s="44"/>
      <c r="EM19" s="44"/>
      <c r="EN19" s="44"/>
      <c r="EO19" s="44"/>
      <c r="EP19" s="44"/>
      <c r="EQ19" s="44"/>
      <c r="ER19" s="44"/>
      <c r="ES19" s="44"/>
      <c r="ET19" s="44"/>
      <c r="EU19" s="44"/>
      <c r="EV19" s="44"/>
      <c r="EW19" s="44"/>
      <c r="EX19" s="44"/>
      <c r="EY19" s="44"/>
      <c r="EZ19" s="44"/>
      <c r="FA19" s="44"/>
      <c r="FB19" s="44"/>
      <c r="FC19" s="44"/>
      <c r="FD19" s="44"/>
      <c r="FE19" s="44"/>
    </row>
    <row r="20" customFormat="false" ht="13.5" hidden="false" customHeight="true" outlineLevel="0" collapsed="false">
      <c r="A20" s="41"/>
      <c r="B20" s="45"/>
      <c r="C20" s="45" t="s">
        <v>5996</v>
      </c>
      <c r="D20" s="45"/>
      <c r="E20" s="45"/>
      <c r="F20" s="45"/>
      <c r="G20" s="45"/>
      <c r="H20" s="45"/>
      <c r="I20" s="45" t="n">
        <v>2500</v>
      </c>
      <c r="J20" s="45"/>
      <c r="K20" s="45"/>
      <c r="L20" s="45"/>
      <c r="M20" s="45" t="n">
        <f aca="false">5500-M19</f>
        <v>3700</v>
      </c>
      <c r="N20" s="45"/>
      <c r="O20" s="45"/>
      <c r="P20" s="45"/>
      <c r="Q20" s="45"/>
      <c r="R20" s="45"/>
      <c r="S20" s="45" t="n">
        <v>500</v>
      </c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 t="n">
        <v>1000</v>
      </c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 t="n">
        <f aca="false">2250-AV19</f>
        <v>1900</v>
      </c>
      <c r="AW20" s="45"/>
      <c r="AX20" s="45"/>
      <c r="AY20" s="45"/>
      <c r="AZ20" s="45"/>
      <c r="BA20" s="45"/>
      <c r="BB20" s="45" t="n">
        <f aca="false">2250-BB19</f>
        <v>900</v>
      </c>
      <c r="BC20" s="45"/>
      <c r="BD20" s="45"/>
      <c r="BE20" s="45"/>
      <c r="BF20" s="45"/>
      <c r="BG20" s="45"/>
      <c r="BH20" s="45" t="n">
        <f aca="false">2250-BH19</f>
        <v>1604</v>
      </c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 t="n">
        <f aca="false">2250-BU19</f>
        <v>104</v>
      </c>
      <c r="BV20" s="45"/>
      <c r="BW20" s="45"/>
      <c r="BX20" s="45"/>
      <c r="BY20" s="45"/>
      <c r="BZ20" s="45"/>
      <c r="CA20" s="45"/>
      <c r="CB20" s="45" t="n">
        <v>1000</v>
      </c>
      <c r="CC20" s="45"/>
      <c r="CD20" s="45"/>
      <c r="CE20" s="45"/>
      <c r="CF20" s="45"/>
      <c r="CG20" s="45"/>
      <c r="CH20" s="45"/>
      <c r="CI20" s="45"/>
      <c r="CJ20" s="45"/>
      <c r="CK20" s="45" t="n">
        <f aca="false">2500-CK19</f>
        <v>228</v>
      </c>
      <c r="CL20" s="45"/>
      <c r="CM20" s="45" t="n">
        <f aca="false">2300-CM19</f>
        <v>124</v>
      </c>
      <c r="CN20" s="45"/>
      <c r="CO20" s="45"/>
      <c r="CP20" s="45"/>
      <c r="CQ20" s="45"/>
      <c r="CR20" s="45"/>
      <c r="CS20" s="45"/>
      <c r="CT20" s="45"/>
      <c r="CU20" s="45"/>
      <c r="CV20" s="45" t="n">
        <f aca="false">3100-CV19</f>
        <v>930</v>
      </c>
      <c r="CW20" s="45"/>
      <c r="CX20" s="45"/>
      <c r="CY20" s="45" t="n">
        <f aca="false">3100-CY19</f>
        <v>1992</v>
      </c>
      <c r="CZ20" s="45"/>
      <c r="DA20" s="45"/>
      <c r="DB20" s="45"/>
      <c r="DC20" s="45"/>
      <c r="DD20" s="45"/>
      <c r="DE20" s="45" t="n">
        <f aca="false">3100-DE19</f>
        <v>1024</v>
      </c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5"/>
      <c r="EH20" s="45"/>
      <c r="EI20" s="45"/>
      <c r="EJ20" s="45"/>
      <c r="EK20" s="45"/>
      <c r="EL20" s="45"/>
      <c r="EM20" s="45"/>
      <c r="EN20" s="45"/>
      <c r="EO20" s="45"/>
      <c r="EP20" s="45"/>
      <c r="EQ20" s="45"/>
      <c r="ER20" s="45"/>
      <c r="ES20" s="45"/>
      <c r="ET20" s="45"/>
      <c r="EU20" s="45"/>
      <c r="EV20" s="45"/>
      <c r="EW20" s="45"/>
      <c r="EX20" s="45"/>
      <c r="EY20" s="45"/>
      <c r="EZ20" s="45"/>
      <c r="FA20" s="45"/>
      <c r="FB20" s="45"/>
      <c r="FC20" s="45"/>
      <c r="FD20" s="45"/>
      <c r="FE20" s="45"/>
      <c r="HO20" s="45"/>
      <c r="HV20" s="45"/>
      <c r="HW20" s="45"/>
      <c r="HX20" s="45"/>
      <c r="HY20" s="45"/>
      <c r="HZ20" s="45"/>
      <c r="IA20" s="45"/>
      <c r="IB20" s="45"/>
      <c r="IC20" s="45"/>
      <c r="IJ20" s="45"/>
      <c r="IQ20" s="45"/>
      <c r="IW20" s="45"/>
    </row>
    <row r="21" customFormat="false" ht="13.5" hidden="false" customHeight="true" outlineLevel="0" collapsed="false">
      <c r="A21" s="61"/>
      <c r="B21" s="47" t="s">
        <v>5997</v>
      </c>
      <c r="C21" s="49"/>
      <c r="D21" s="49"/>
      <c r="E21" s="49"/>
      <c r="F21" s="48"/>
      <c r="G21" s="49"/>
      <c r="H21" s="49"/>
      <c r="I21" s="47" t="s">
        <v>5953</v>
      </c>
      <c r="J21" s="49"/>
      <c r="K21" s="49"/>
      <c r="L21" s="49"/>
      <c r="M21" s="48" t="s">
        <v>5998</v>
      </c>
      <c r="N21" s="49"/>
      <c r="O21" s="49"/>
      <c r="P21" s="49"/>
      <c r="Q21" s="49"/>
      <c r="R21" s="49"/>
      <c r="S21" s="62" t="s">
        <v>5999</v>
      </c>
      <c r="T21" s="63" t="s">
        <v>6000</v>
      </c>
      <c r="U21" s="49"/>
      <c r="V21" s="49"/>
      <c r="W21" s="63" t="s">
        <v>6000</v>
      </c>
      <c r="X21" s="63" t="s">
        <v>6000</v>
      </c>
      <c r="Y21" s="63" t="s">
        <v>6000</v>
      </c>
      <c r="Z21" s="63" t="s">
        <v>6000</v>
      </c>
      <c r="AA21" s="63" t="s">
        <v>6000</v>
      </c>
      <c r="AB21" s="49"/>
      <c r="AC21" s="49"/>
      <c r="AD21" s="48" t="s">
        <v>5998</v>
      </c>
      <c r="AE21" s="49"/>
      <c r="AF21" s="63" t="s">
        <v>6000</v>
      </c>
      <c r="AG21" s="63" t="s">
        <v>6000</v>
      </c>
      <c r="AH21" s="63" t="s">
        <v>6000</v>
      </c>
      <c r="AI21" s="49"/>
      <c r="AJ21" s="49"/>
      <c r="AK21" s="63" t="s">
        <v>6000</v>
      </c>
      <c r="AL21" s="63" t="s">
        <v>6000</v>
      </c>
      <c r="AM21" s="63" t="s">
        <v>6000</v>
      </c>
      <c r="AN21" s="63" t="s">
        <v>6000</v>
      </c>
      <c r="AO21" s="63" t="s">
        <v>6000</v>
      </c>
      <c r="AP21" s="49"/>
      <c r="AQ21" s="49"/>
      <c r="AR21" s="63" t="s">
        <v>6000</v>
      </c>
      <c r="AS21" s="63" t="s">
        <v>6000</v>
      </c>
      <c r="AT21" s="63" t="s">
        <v>6000</v>
      </c>
      <c r="AU21" s="63" t="s">
        <v>6000</v>
      </c>
      <c r="AV21" s="48" t="s">
        <v>5957</v>
      </c>
      <c r="AW21" s="49"/>
      <c r="AX21" s="49"/>
      <c r="AY21" s="63" t="s">
        <v>6000</v>
      </c>
      <c r="AZ21" s="63" t="s">
        <v>6000</v>
      </c>
      <c r="BA21" s="63" t="s">
        <v>6000</v>
      </c>
      <c r="BB21" s="48" t="s">
        <v>5957</v>
      </c>
      <c r="BC21" s="48"/>
      <c r="BD21" s="63"/>
      <c r="BE21" s="49"/>
      <c r="BF21" s="63" t="s">
        <v>6000</v>
      </c>
      <c r="BG21" s="63" t="s">
        <v>6000</v>
      </c>
      <c r="BH21" s="63" t="s">
        <v>6000</v>
      </c>
      <c r="BI21" s="49"/>
      <c r="BJ21" s="49"/>
      <c r="BK21" s="49"/>
      <c r="BL21" s="49"/>
      <c r="BM21" s="49"/>
      <c r="BN21" s="49"/>
      <c r="BO21" s="49"/>
      <c r="BP21" s="49"/>
      <c r="BQ21" s="49"/>
      <c r="BR21" s="49"/>
      <c r="BS21" s="49"/>
      <c r="BT21" s="48"/>
      <c r="BU21" s="49"/>
      <c r="BV21" s="49"/>
      <c r="BW21" s="49"/>
      <c r="BX21" s="48"/>
      <c r="BY21" s="49"/>
      <c r="BZ21" s="49"/>
      <c r="CA21" s="49"/>
      <c r="CB21" s="48" t="s">
        <v>6001</v>
      </c>
      <c r="CC21" s="48"/>
      <c r="CD21" s="48"/>
      <c r="CE21" s="49"/>
      <c r="CF21" s="48"/>
      <c r="CG21" s="49"/>
      <c r="CH21" s="48"/>
      <c r="CI21" s="48" t="s">
        <v>6002</v>
      </c>
      <c r="CJ21" s="49"/>
      <c r="CK21" s="48" t="s">
        <v>6002</v>
      </c>
      <c r="CL21" s="49"/>
      <c r="CM21" s="48" t="s">
        <v>6001</v>
      </c>
      <c r="CN21" s="49"/>
      <c r="CO21" s="48"/>
      <c r="CP21" s="48"/>
      <c r="CQ21" s="49"/>
      <c r="CR21" s="48" t="s">
        <v>6003</v>
      </c>
      <c r="CS21" s="48"/>
      <c r="CT21" s="48"/>
      <c r="CU21" s="49"/>
      <c r="CV21" s="48" t="s">
        <v>6003</v>
      </c>
      <c r="CW21" s="48"/>
      <c r="CX21" s="49"/>
      <c r="CY21" s="48" t="s">
        <v>6003</v>
      </c>
      <c r="CZ21" s="49"/>
      <c r="DA21" s="49"/>
      <c r="DB21" s="49"/>
      <c r="DC21" s="48"/>
      <c r="DD21" s="49"/>
      <c r="DE21" s="48" t="s">
        <v>6001</v>
      </c>
      <c r="DF21" s="49"/>
      <c r="DG21" s="49"/>
      <c r="DH21" s="49"/>
      <c r="DI21" s="49"/>
      <c r="DJ21" s="49"/>
      <c r="DK21" s="49"/>
      <c r="DL21" s="49"/>
      <c r="DM21" s="49"/>
      <c r="DN21" s="49"/>
      <c r="DO21" s="49"/>
      <c r="DP21" s="49"/>
      <c r="DQ21" s="49"/>
      <c r="DR21" s="49"/>
      <c r="DS21" s="49"/>
      <c r="DT21" s="49"/>
      <c r="DU21" s="49"/>
      <c r="DV21" s="49"/>
      <c r="DW21" s="49"/>
      <c r="DX21" s="49"/>
      <c r="DY21" s="49"/>
      <c r="DZ21" s="49"/>
      <c r="EA21" s="49"/>
      <c r="EB21" s="49"/>
      <c r="EC21" s="49"/>
      <c r="ED21" s="49"/>
      <c r="EE21" s="49"/>
      <c r="EF21" s="49"/>
      <c r="EG21" s="49"/>
      <c r="EH21" s="49"/>
      <c r="EI21" s="49"/>
      <c r="EJ21" s="49"/>
      <c r="EK21" s="49"/>
      <c r="EL21" s="49"/>
      <c r="EM21" s="49"/>
      <c r="EN21" s="49"/>
      <c r="EO21" s="49"/>
      <c r="EP21" s="49"/>
      <c r="EQ21" s="49"/>
      <c r="ER21" s="49"/>
      <c r="ES21" s="49"/>
      <c r="ET21" s="49"/>
      <c r="EU21" s="49"/>
      <c r="EV21" s="49"/>
      <c r="EW21" s="49"/>
      <c r="EX21" s="49"/>
      <c r="EY21" s="49"/>
      <c r="EZ21" s="49"/>
      <c r="FA21" s="49"/>
      <c r="FB21" s="49"/>
      <c r="FC21" s="49"/>
      <c r="FD21" s="49"/>
      <c r="FE21" s="49"/>
      <c r="IQ21" s="49"/>
      <c r="IW21" s="49"/>
    </row>
    <row r="22" customFormat="false" ht="13.5" hidden="false" customHeight="true" outlineLevel="0" collapsed="false">
      <c r="A22" s="52" t="s">
        <v>5960</v>
      </c>
      <c r="B22" s="53" t="n">
        <v>31</v>
      </c>
      <c r="C22" s="53" t="n">
        <v>31</v>
      </c>
      <c r="D22" s="53" t="n">
        <v>31</v>
      </c>
      <c r="E22" s="53" t="n">
        <v>31</v>
      </c>
      <c r="F22" s="53" t="n">
        <v>31</v>
      </c>
      <c r="G22" s="53" t="n">
        <v>31</v>
      </c>
      <c r="H22" s="53" t="n">
        <v>31</v>
      </c>
      <c r="I22" s="53" t="n">
        <v>31</v>
      </c>
      <c r="J22" s="53" t="n">
        <v>15</v>
      </c>
      <c r="K22" s="53" t="n">
        <v>15</v>
      </c>
      <c r="L22" s="53" t="n">
        <v>15</v>
      </c>
      <c r="M22" s="53" t="n">
        <v>15</v>
      </c>
      <c r="N22" s="53" t="n">
        <v>15</v>
      </c>
      <c r="O22" s="53" t="n">
        <v>15</v>
      </c>
      <c r="P22" s="53" t="n">
        <v>15</v>
      </c>
      <c r="Q22" s="53" t="n">
        <v>15</v>
      </c>
      <c r="R22" s="53" t="n">
        <v>15</v>
      </c>
      <c r="S22" s="53" t="n">
        <v>15</v>
      </c>
      <c r="T22" s="53" t="n">
        <v>34</v>
      </c>
      <c r="U22" s="53" t="n">
        <v>34</v>
      </c>
      <c r="V22" s="53" t="n">
        <v>34</v>
      </c>
      <c r="W22" s="53" t="n">
        <v>34</v>
      </c>
      <c r="X22" s="53" t="n">
        <v>34</v>
      </c>
      <c r="Y22" s="53" t="n">
        <v>34</v>
      </c>
      <c r="Z22" s="53" t="n">
        <v>34</v>
      </c>
      <c r="AA22" s="53" t="n">
        <v>34</v>
      </c>
      <c r="AB22" s="53" t="n">
        <v>34</v>
      </c>
      <c r="AC22" s="53" t="n">
        <v>34</v>
      </c>
      <c r="AD22" s="53" t="n">
        <v>34</v>
      </c>
      <c r="AE22" s="53" t="n">
        <v>31</v>
      </c>
      <c r="AF22" s="53" t="n">
        <v>31</v>
      </c>
      <c r="AG22" s="53" t="n">
        <v>31</v>
      </c>
      <c r="AH22" s="53" t="n">
        <v>31</v>
      </c>
      <c r="AI22" s="53" t="n">
        <v>31</v>
      </c>
      <c r="AJ22" s="53" t="n">
        <v>31</v>
      </c>
      <c r="AK22" s="53" t="n">
        <v>31</v>
      </c>
      <c r="AL22" s="53" t="n">
        <v>31</v>
      </c>
      <c r="AM22" s="53" t="n">
        <v>31</v>
      </c>
      <c r="AN22" s="53" t="n">
        <v>31</v>
      </c>
      <c r="AO22" s="53" t="n">
        <v>31</v>
      </c>
      <c r="AP22" s="53" t="n">
        <v>31</v>
      </c>
      <c r="AQ22" s="53" t="n">
        <v>31</v>
      </c>
      <c r="AR22" s="53" t="n">
        <v>31</v>
      </c>
      <c r="AS22" s="53" t="n">
        <v>31</v>
      </c>
      <c r="AT22" s="53" t="n">
        <v>31</v>
      </c>
      <c r="AU22" s="53" t="n">
        <v>31</v>
      </c>
      <c r="AV22" s="53" t="n">
        <v>31</v>
      </c>
      <c r="AW22" s="53" t="n">
        <v>31</v>
      </c>
      <c r="AX22" s="53" t="n">
        <v>31</v>
      </c>
      <c r="AY22" s="53" t="n">
        <v>31</v>
      </c>
      <c r="AZ22" s="53" t="n">
        <v>31</v>
      </c>
      <c r="BA22" s="53" t="n">
        <v>31</v>
      </c>
      <c r="BB22" s="53" t="n">
        <v>31</v>
      </c>
      <c r="BC22" s="53" t="n">
        <v>31</v>
      </c>
      <c r="BD22" s="53" t="n">
        <v>31</v>
      </c>
      <c r="BE22" s="53" t="n">
        <v>31</v>
      </c>
      <c r="BF22" s="53" t="n">
        <v>31</v>
      </c>
      <c r="BG22" s="53" t="n">
        <v>31</v>
      </c>
      <c r="BH22" s="53" t="n">
        <v>31</v>
      </c>
      <c r="BI22" s="53" t="n">
        <v>27</v>
      </c>
      <c r="BJ22" s="53" t="n">
        <v>27</v>
      </c>
      <c r="BK22" s="53" t="n">
        <v>27</v>
      </c>
      <c r="BL22" s="53" t="n">
        <v>27</v>
      </c>
      <c r="BM22" s="53" t="n">
        <v>27</v>
      </c>
      <c r="BN22" s="53" t="n">
        <v>27</v>
      </c>
      <c r="BO22" s="53" t="n">
        <v>27</v>
      </c>
      <c r="BP22" s="53" t="n">
        <v>27</v>
      </c>
      <c r="BQ22" s="53" t="n">
        <v>27</v>
      </c>
      <c r="BR22" s="53" t="n">
        <v>27</v>
      </c>
      <c r="BS22" s="53" t="n">
        <v>27</v>
      </c>
      <c r="BT22" s="53" t="n">
        <v>27</v>
      </c>
      <c r="BU22" s="53" t="n">
        <v>27</v>
      </c>
      <c r="BV22" s="53" t="n">
        <v>27</v>
      </c>
      <c r="BW22" s="53" t="n">
        <v>27</v>
      </c>
      <c r="BX22" s="53" t="n">
        <v>27</v>
      </c>
      <c r="BY22" s="53" t="n">
        <v>27</v>
      </c>
      <c r="BZ22" s="53" t="n">
        <v>27</v>
      </c>
      <c r="CA22" s="53" t="n">
        <v>27</v>
      </c>
      <c r="CB22" s="53" t="n">
        <v>27</v>
      </c>
      <c r="CC22" s="53" t="n">
        <v>27</v>
      </c>
      <c r="CD22" s="53" t="n">
        <v>27</v>
      </c>
      <c r="CE22" s="53" t="n">
        <v>27</v>
      </c>
      <c r="CF22" s="53" t="n">
        <v>27</v>
      </c>
      <c r="CG22" s="53" t="n">
        <v>27</v>
      </c>
      <c r="CH22" s="53" t="n">
        <v>27</v>
      </c>
      <c r="CI22" s="53" t="n">
        <v>27</v>
      </c>
      <c r="CJ22" s="53" t="n">
        <v>27</v>
      </c>
      <c r="CK22" s="53" t="n">
        <v>27</v>
      </c>
      <c r="CL22" s="53" t="n">
        <v>27</v>
      </c>
      <c r="CM22" s="53" t="n">
        <v>27</v>
      </c>
      <c r="CN22" s="53" t="n">
        <v>27</v>
      </c>
      <c r="CO22" s="53" t="n">
        <v>27</v>
      </c>
      <c r="CP22" s="53" t="n">
        <v>27</v>
      </c>
      <c r="CQ22" s="53" t="n">
        <v>27</v>
      </c>
      <c r="CR22" s="53" t="n">
        <v>27</v>
      </c>
      <c r="CS22" s="53" t="n">
        <v>27</v>
      </c>
      <c r="CT22" s="53" t="n">
        <v>27</v>
      </c>
      <c r="CU22" s="53" t="n">
        <v>27</v>
      </c>
      <c r="CV22" s="53" t="n">
        <v>27</v>
      </c>
      <c r="CW22" s="53" t="n">
        <v>27</v>
      </c>
      <c r="CX22" s="53" t="n">
        <v>27</v>
      </c>
      <c r="CY22" s="53" t="n">
        <v>27</v>
      </c>
      <c r="CZ22" s="53" t="n">
        <v>27</v>
      </c>
      <c r="DA22" s="53" t="n">
        <v>27</v>
      </c>
      <c r="DB22" s="53" t="n">
        <v>27</v>
      </c>
      <c r="DC22" s="53" t="n">
        <v>27</v>
      </c>
      <c r="DD22" s="53" t="n">
        <v>27</v>
      </c>
      <c r="DE22" s="53" t="n">
        <v>27</v>
      </c>
      <c r="DF22" s="53" t="n">
        <v>27</v>
      </c>
      <c r="DG22" s="53"/>
      <c r="DH22" s="53"/>
      <c r="DI22" s="53"/>
      <c r="DJ22" s="53"/>
      <c r="DK22" s="53"/>
      <c r="DL22" s="53"/>
      <c r="DM22" s="53"/>
      <c r="DN22" s="53"/>
      <c r="DO22" s="53"/>
      <c r="DP22" s="53"/>
      <c r="DQ22" s="53"/>
      <c r="DR22" s="53"/>
      <c r="DS22" s="53"/>
      <c r="DT22" s="53"/>
      <c r="DU22" s="53"/>
      <c r="DV22" s="53"/>
      <c r="DW22" s="53"/>
      <c r="DX22" s="53"/>
      <c r="DY22" s="53"/>
      <c r="DZ22" s="53"/>
      <c r="EA22" s="53"/>
      <c r="EB22" s="53"/>
      <c r="EC22" s="53"/>
      <c r="ED22" s="53"/>
      <c r="EE22" s="53"/>
      <c r="EF22" s="53"/>
      <c r="EG22" s="53"/>
      <c r="EH22" s="53"/>
      <c r="EI22" s="53"/>
      <c r="EJ22" s="53"/>
      <c r="EK22" s="53"/>
      <c r="EL22" s="53"/>
      <c r="EM22" s="53"/>
      <c r="EN22" s="53"/>
      <c r="EO22" s="53"/>
      <c r="EP22" s="53"/>
      <c r="EQ22" s="53"/>
      <c r="ER22" s="53"/>
      <c r="ES22" s="53"/>
      <c r="ET22" s="53"/>
      <c r="EU22" s="53"/>
      <c r="EV22" s="53"/>
      <c r="EW22" s="53"/>
      <c r="EX22" s="53"/>
      <c r="EY22" s="53"/>
      <c r="EZ22" s="53"/>
      <c r="FA22" s="53"/>
      <c r="FB22" s="53"/>
      <c r="FC22" s="53"/>
      <c r="FD22" s="53"/>
      <c r="FE22" s="53"/>
    </row>
    <row r="23" customFormat="false" ht="13.5" hidden="false" customHeight="true" outlineLevel="0" collapsed="false">
      <c r="A23" s="5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</row>
    <row r="24" customFormat="false" ht="13.5" hidden="false" customHeight="true" outlineLevel="0" collapsed="false">
      <c r="A24" s="29" t="s">
        <v>6004</v>
      </c>
      <c r="B24" s="30" t="s">
        <v>6005</v>
      </c>
      <c r="C24" s="65"/>
      <c r="D24" s="30"/>
      <c r="E24" s="30"/>
      <c r="F24" s="65" t="s">
        <v>6006</v>
      </c>
      <c r="G24" s="30"/>
      <c r="H24" s="30"/>
      <c r="I24" s="30"/>
      <c r="J24" s="30" t="s">
        <v>5913</v>
      </c>
      <c r="K24" s="30"/>
      <c r="L24" s="30" t="s">
        <v>6006</v>
      </c>
      <c r="M24" s="30"/>
      <c r="N24" s="30"/>
      <c r="O24" s="30"/>
      <c r="P24" s="30" t="s">
        <v>5912</v>
      </c>
      <c r="Q24" s="30"/>
      <c r="R24" s="30"/>
      <c r="S24" s="30"/>
      <c r="T24" s="30" t="s">
        <v>5913</v>
      </c>
      <c r="U24" s="30"/>
      <c r="V24" s="30"/>
      <c r="W24" s="30"/>
      <c r="X24" s="30"/>
      <c r="Y24" s="30" t="s">
        <v>5915</v>
      </c>
      <c r="Z24" s="30"/>
      <c r="AA24" s="30"/>
      <c r="AB24" s="30"/>
      <c r="AC24" s="30"/>
      <c r="AD24" s="30"/>
      <c r="AE24" s="30"/>
      <c r="AF24" s="30" t="s">
        <v>5915</v>
      </c>
      <c r="AG24" s="30"/>
      <c r="AH24" s="30"/>
      <c r="AI24" s="30"/>
      <c r="AJ24" s="30"/>
      <c r="AK24" s="30" t="s">
        <v>5915</v>
      </c>
      <c r="AL24" s="30"/>
      <c r="AM24" s="30" t="s">
        <v>5916</v>
      </c>
      <c r="AN24" s="30" t="s">
        <v>6007</v>
      </c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 t="s">
        <v>5918</v>
      </c>
      <c r="AZ24" s="30"/>
      <c r="BA24" s="30"/>
      <c r="BB24" s="30"/>
      <c r="BC24" s="30"/>
      <c r="BD24" s="30"/>
      <c r="BE24" s="30"/>
      <c r="BF24" s="30" t="s">
        <v>5918</v>
      </c>
      <c r="BG24" s="30"/>
      <c r="BH24" s="30" t="s">
        <v>6008</v>
      </c>
      <c r="BI24" s="30" t="s">
        <v>6008</v>
      </c>
      <c r="BJ24" s="30"/>
      <c r="BK24" s="30"/>
      <c r="BL24" s="30"/>
      <c r="BM24" s="30"/>
      <c r="BN24" s="30"/>
      <c r="BO24" s="30" t="s">
        <v>6009</v>
      </c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 t="s">
        <v>5920</v>
      </c>
      <c r="CC24" s="30"/>
      <c r="CD24" s="30"/>
      <c r="CE24" s="30"/>
      <c r="CF24" s="30"/>
      <c r="CG24" s="30"/>
      <c r="CH24" s="30" t="s">
        <v>5972</v>
      </c>
      <c r="CI24" s="30"/>
      <c r="CJ24" s="30" t="s">
        <v>5972</v>
      </c>
      <c r="CK24" s="30"/>
      <c r="CL24" s="30" t="s">
        <v>5921</v>
      </c>
      <c r="CM24" s="30"/>
      <c r="CN24" s="30"/>
      <c r="CO24" s="30"/>
      <c r="CP24" s="30"/>
      <c r="CQ24" s="30"/>
      <c r="CR24" s="30" t="s">
        <v>5975</v>
      </c>
      <c r="CS24" s="30"/>
      <c r="CT24" s="30"/>
      <c r="CU24" s="30"/>
      <c r="CV24" s="30"/>
      <c r="CW24" s="30"/>
      <c r="CX24" s="30"/>
      <c r="CY24" s="30"/>
      <c r="CZ24" s="30"/>
      <c r="DA24" s="30"/>
      <c r="DB24" s="30"/>
      <c r="DC24" s="30" t="s">
        <v>5975</v>
      </c>
      <c r="DD24" s="30"/>
      <c r="DE24" s="30"/>
      <c r="DF24" s="30"/>
      <c r="DG24" s="30"/>
      <c r="DH24" s="30"/>
      <c r="DI24" s="30"/>
      <c r="DJ24" s="30"/>
      <c r="DK24" s="30"/>
      <c r="DL24" s="30"/>
      <c r="DM24" s="30"/>
      <c r="DN24" s="30"/>
      <c r="DO24" s="30"/>
      <c r="DP24" s="30"/>
      <c r="DQ24" s="30"/>
      <c r="DR24" s="30"/>
      <c r="DS24" s="30"/>
      <c r="DT24" s="30"/>
      <c r="DU24" s="30"/>
      <c r="DV24" s="30"/>
      <c r="DW24" s="30"/>
      <c r="DX24" s="30"/>
      <c r="DY24" s="30"/>
      <c r="DZ24" s="30"/>
      <c r="EA24" s="30"/>
      <c r="EB24" s="30"/>
      <c r="EC24" s="30"/>
      <c r="ED24" s="30"/>
      <c r="EE24" s="30"/>
      <c r="EF24" s="30"/>
      <c r="EG24" s="30"/>
      <c r="EH24" s="30"/>
      <c r="EI24" s="30"/>
      <c r="EJ24" s="30"/>
      <c r="EK24" s="30"/>
      <c r="EL24" s="30"/>
      <c r="EM24" s="30"/>
      <c r="EN24" s="30"/>
      <c r="EO24" s="30"/>
      <c r="EP24" s="30"/>
      <c r="EQ24" s="30"/>
      <c r="ER24" s="30"/>
      <c r="ES24" s="30"/>
      <c r="ET24" s="30"/>
      <c r="EU24" s="30"/>
      <c r="EV24" s="30"/>
      <c r="EW24" s="30"/>
      <c r="EX24" s="30"/>
      <c r="EY24" s="30"/>
      <c r="EZ24" s="30"/>
      <c r="FA24" s="30"/>
      <c r="FB24" s="30"/>
      <c r="FC24" s="30"/>
      <c r="FD24" s="30"/>
      <c r="FE24" s="30"/>
      <c r="HO24" s="30"/>
      <c r="HV24" s="30"/>
      <c r="IC24" s="30"/>
      <c r="IJ24" s="30"/>
      <c r="IQ24" s="30"/>
      <c r="IW24" s="30"/>
    </row>
    <row r="25" customFormat="false" ht="13.5" hidden="false" customHeight="true" outlineLevel="0" collapsed="false">
      <c r="A25" s="33"/>
      <c r="B25" s="35" t="s">
        <v>453</v>
      </c>
      <c r="C25" s="35"/>
      <c r="D25" s="35"/>
      <c r="E25" s="35"/>
      <c r="F25" s="35" t="s">
        <v>453</v>
      </c>
      <c r="H25" s="35"/>
      <c r="I25" s="58"/>
      <c r="J25" s="35" t="s">
        <v>453</v>
      </c>
      <c r="K25" s="34"/>
      <c r="L25" s="34" t="s">
        <v>4893</v>
      </c>
      <c r="M25" s="34"/>
      <c r="P25" s="34" t="s">
        <v>4893</v>
      </c>
      <c r="Q25" s="34"/>
      <c r="R25" s="34"/>
      <c r="T25" s="34" t="s">
        <v>4893</v>
      </c>
      <c r="W25" s="34"/>
      <c r="X25" s="36"/>
      <c r="Y25" s="35" t="s">
        <v>453</v>
      </c>
      <c r="AD25" s="35"/>
      <c r="AE25" s="35"/>
      <c r="AF25" s="35" t="s">
        <v>453</v>
      </c>
      <c r="AG25" s="35"/>
      <c r="AH25" s="35"/>
      <c r="AJ25" s="35"/>
      <c r="AK25" s="35" t="s">
        <v>453</v>
      </c>
      <c r="AL25" s="35"/>
      <c r="AM25" s="35" t="s">
        <v>453</v>
      </c>
      <c r="AN25" s="35" t="s">
        <v>453</v>
      </c>
      <c r="AO25" s="35"/>
      <c r="AP25" s="35"/>
      <c r="AQ25" s="35"/>
      <c r="AR25" s="35"/>
      <c r="AS25" s="35"/>
      <c r="AT25" s="35"/>
      <c r="AU25" s="35"/>
      <c r="AV25" s="35"/>
      <c r="AX25" s="35"/>
      <c r="AY25" s="35" t="s">
        <v>453</v>
      </c>
      <c r="AZ25" s="35"/>
      <c r="BB25" s="35"/>
      <c r="BC25" s="34"/>
      <c r="BD25" s="35"/>
      <c r="BF25" s="35" t="s">
        <v>453</v>
      </c>
      <c r="BG25" s="35"/>
      <c r="BH25" s="35" t="s">
        <v>453</v>
      </c>
      <c r="BI25" s="35" t="s">
        <v>453</v>
      </c>
      <c r="BJ25" s="35"/>
      <c r="BM25" s="34"/>
      <c r="BN25" s="35"/>
      <c r="BO25" s="35" t="s">
        <v>453</v>
      </c>
      <c r="BP25" s="35"/>
      <c r="BQ25" s="34"/>
      <c r="BT25" s="35"/>
      <c r="BU25" s="35"/>
      <c r="BW25" s="35"/>
      <c r="CA25" s="35"/>
      <c r="CB25" s="35" t="s">
        <v>453</v>
      </c>
      <c r="CD25" s="35"/>
      <c r="CF25" s="35"/>
      <c r="CH25" s="35" t="s">
        <v>453</v>
      </c>
      <c r="CJ25" s="35" t="s">
        <v>453</v>
      </c>
      <c r="CL25" s="35" t="s">
        <v>453</v>
      </c>
      <c r="CO25" s="35"/>
      <c r="CQ25" s="35"/>
      <c r="CR25" s="35" t="s">
        <v>453</v>
      </c>
      <c r="DA25" s="35"/>
      <c r="DC25" s="35" t="s">
        <v>453</v>
      </c>
    </row>
    <row r="26" customFormat="false" ht="13.5" hidden="false" customHeight="true" outlineLevel="0" collapsed="false">
      <c r="A26" s="37"/>
      <c r="B26" s="36" t="s">
        <v>5981</v>
      </c>
      <c r="C26" s="36"/>
      <c r="D26" s="36"/>
      <c r="E26" s="36"/>
      <c r="F26" s="36" t="s">
        <v>5982</v>
      </c>
      <c r="H26" s="36"/>
      <c r="I26" s="58"/>
      <c r="J26" s="36" t="s">
        <v>6010</v>
      </c>
      <c r="K26" s="34"/>
      <c r="L26" s="34" t="s">
        <v>6011</v>
      </c>
      <c r="M26" s="34"/>
      <c r="P26" s="34" t="s">
        <v>6011</v>
      </c>
      <c r="Q26" s="34"/>
      <c r="R26" s="34"/>
      <c r="T26" s="34" t="s">
        <v>6011</v>
      </c>
      <c r="W26" s="34"/>
      <c r="X26" s="36"/>
      <c r="Y26" s="36" t="s">
        <v>5979</v>
      </c>
      <c r="AD26" s="36"/>
      <c r="AE26" s="36"/>
      <c r="AF26" s="36" t="s">
        <v>5979</v>
      </c>
      <c r="AG26" s="36"/>
      <c r="AH26" s="36"/>
      <c r="AJ26" s="36"/>
      <c r="AK26" s="36" t="s">
        <v>5980</v>
      </c>
      <c r="AL26" s="36"/>
      <c r="AM26" s="36" t="s">
        <v>5982</v>
      </c>
      <c r="AN26" s="36" t="s">
        <v>5979</v>
      </c>
      <c r="AO26" s="36"/>
      <c r="AP26" s="36"/>
      <c r="AQ26" s="36"/>
      <c r="AR26" s="36"/>
      <c r="AS26" s="36"/>
      <c r="AT26" s="36"/>
      <c r="AU26" s="36"/>
      <c r="AV26" s="36"/>
      <c r="AX26" s="36"/>
      <c r="AY26" s="36" t="s">
        <v>5979</v>
      </c>
      <c r="AZ26" s="36"/>
      <c r="BB26" s="36"/>
      <c r="BC26" s="34"/>
      <c r="BD26" s="36"/>
      <c r="BF26" s="36" t="s">
        <v>5979</v>
      </c>
      <c r="BG26" s="36"/>
      <c r="BH26" s="36" t="s">
        <v>5982</v>
      </c>
      <c r="BI26" s="36" t="s">
        <v>5979</v>
      </c>
      <c r="BJ26" s="36"/>
      <c r="BM26" s="34"/>
      <c r="BN26" s="36"/>
      <c r="BO26" s="36" t="s">
        <v>5979</v>
      </c>
      <c r="BP26" s="36"/>
      <c r="BQ26" s="34"/>
      <c r="BT26" s="36"/>
      <c r="BU26" s="36"/>
      <c r="BW26" s="36"/>
      <c r="CA26" s="36"/>
      <c r="CB26" s="36" t="s">
        <v>5979</v>
      </c>
      <c r="CD26" s="36"/>
      <c r="CF26" s="36"/>
      <c r="CH26" s="36" t="s">
        <v>5979</v>
      </c>
      <c r="CJ26" s="36" t="s">
        <v>5982</v>
      </c>
      <c r="CL26" s="36" t="s">
        <v>5979</v>
      </c>
      <c r="CO26" s="36"/>
      <c r="CQ26" s="36"/>
      <c r="CR26" s="36" t="s">
        <v>5979</v>
      </c>
      <c r="DA26" s="36"/>
      <c r="DC26" s="36" t="s">
        <v>5980</v>
      </c>
    </row>
    <row r="27" customFormat="false" ht="13.5" hidden="false" customHeight="true" outlineLevel="0" collapsed="false">
      <c r="A27" s="38"/>
      <c r="B27" s="39" t="s">
        <v>5938</v>
      </c>
      <c r="C27" s="39"/>
      <c r="D27" s="35"/>
      <c r="E27" s="39"/>
      <c r="F27" s="39" t="s">
        <v>6012</v>
      </c>
      <c r="H27" s="39"/>
      <c r="I27" s="39"/>
      <c r="J27" s="39" t="s">
        <v>5938</v>
      </c>
      <c r="K27" s="39"/>
      <c r="L27" s="39" t="s">
        <v>5940</v>
      </c>
      <c r="M27" s="39"/>
      <c r="P27" s="39" t="s">
        <v>5939</v>
      </c>
      <c r="Q27" s="40"/>
      <c r="R27" s="39"/>
      <c r="T27" s="39" t="s">
        <v>6013</v>
      </c>
      <c r="W27" s="40"/>
      <c r="X27" s="40"/>
      <c r="Y27" s="39" t="s">
        <v>6014</v>
      </c>
      <c r="AD27" s="39"/>
      <c r="AE27" s="40"/>
      <c r="AF27" s="40" t="s">
        <v>6015</v>
      </c>
      <c r="AG27" s="39"/>
      <c r="AH27" s="35"/>
      <c r="AJ27" s="35"/>
      <c r="AK27" s="35" t="s">
        <v>6016</v>
      </c>
      <c r="AL27" s="40"/>
      <c r="AM27" s="40" t="s">
        <v>5938</v>
      </c>
      <c r="AN27" s="40" t="s">
        <v>5941</v>
      </c>
      <c r="AO27" s="39"/>
      <c r="AP27" s="40"/>
      <c r="AQ27" s="39"/>
      <c r="AR27" s="40"/>
      <c r="AS27" s="40"/>
      <c r="AT27" s="40"/>
      <c r="AU27" s="40"/>
      <c r="AV27" s="39"/>
      <c r="AX27" s="39"/>
      <c r="AY27" s="40" t="s">
        <v>6017</v>
      </c>
      <c r="AZ27" s="35"/>
      <c r="BB27" s="40"/>
      <c r="BC27" s="40"/>
      <c r="BD27" s="40"/>
      <c r="BF27" s="40" t="s">
        <v>6018</v>
      </c>
      <c r="BG27" s="40"/>
      <c r="BH27" s="40" t="s">
        <v>5938</v>
      </c>
      <c r="BI27" s="40" t="s">
        <v>6013</v>
      </c>
      <c r="BJ27" s="40"/>
      <c r="BM27" s="40"/>
      <c r="BN27" s="40"/>
      <c r="BO27" s="40" t="s">
        <v>5941</v>
      </c>
      <c r="BP27" s="39"/>
      <c r="BQ27" s="40"/>
      <c r="BT27" s="40"/>
      <c r="BU27" s="40"/>
      <c r="BW27" s="40"/>
      <c r="CA27" s="40"/>
      <c r="CB27" s="40" t="s">
        <v>5941</v>
      </c>
      <c r="CD27" s="40"/>
      <c r="CF27" s="40"/>
      <c r="CH27" s="40" t="s">
        <v>5938</v>
      </c>
      <c r="CJ27" s="40" t="s">
        <v>6019</v>
      </c>
      <c r="CL27" s="40" t="s">
        <v>5941</v>
      </c>
      <c r="CO27" s="40"/>
      <c r="CQ27" s="40"/>
      <c r="CR27" s="40" t="s">
        <v>5941</v>
      </c>
      <c r="DA27" s="40"/>
      <c r="DC27" s="40" t="s">
        <v>5941</v>
      </c>
    </row>
    <row r="28" customFormat="false" ht="13.5" hidden="false" customHeight="true" outlineLevel="0" collapsed="false">
      <c r="A28" s="41" t="s">
        <v>5946</v>
      </c>
      <c r="B28" s="42" t="n">
        <v>23</v>
      </c>
      <c r="C28" s="42" t="n">
        <v>24</v>
      </c>
      <c r="D28" s="42" t="n">
        <v>25</v>
      </c>
      <c r="E28" s="42" t="n">
        <v>26</v>
      </c>
      <c r="F28" s="42" t="n">
        <v>27</v>
      </c>
      <c r="G28" s="43" t="n">
        <v>28</v>
      </c>
      <c r="H28" s="43" t="s">
        <v>5947</v>
      </c>
      <c r="I28" s="42" t="n">
        <v>2</v>
      </c>
      <c r="J28" s="42" t="n">
        <v>3</v>
      </c>
      <c r="K28" s="42" t="n">
        <v>4</v>
      </c>
      <c r="L28" s="42" t="n">
        <v>5</v>
      </c>
      <c r="M28" s="42" t="n">
        <v>6</v>
      </c>
      <c r="N28" s="43" t="n">
        <v>7</v>
      </c>
      <c r="O28" s="43" t="n">
        <v>8</v>
      </c>
      <c r="P28" s="42" t="n">
        <v>9</v>
      </c>
      <c r="Q28" s="42" t="n">
        <v>10</v>
      </c>
      <c r="R28" s="42" t="n">
        <v>11</v>
      </c>
      <c r="S28" s="42" t="n">
        <v>12</v>
      </c>
      <c r="T28" s="42" t="n">
        <v>13</v>
      </c>
      <c r="U28" s="43" t="n">
        <v>14</v>
      </c>
      <c r="V28" s="43" t="n">
        <v>15</v>
      </c>
      <c r="W28" s="42" t="n">
        <v>16</v>
      </c>
      <c r="X28" s="42" t="n">
        <v>17</v>
      </c>
      <c r="Y28" s="42" t="n">
        <v>18</v>
      </c>
      <c r="Z28" s="42" t="n">
        <v>19</v>
      </c>
      <c r="AA28" s="42" t="n">
        <v>20</v>
      </c>
      <c r="AB28" s="43" t="n">
        <v>21</v>
      </c>
      <c r="AC28" s="43" t="n">
        <v>22</v>
      </c>
      <c r="AD28" s="42" t="n">
        <v>23</v>
      </c>
      <c r="AE28" s="42" t="n">
        <v>24</v>
      </c>
      <c r="AF28" s="42" t="n">
        <v>25</v>
      </c>
      <c r="AG28" s="42" t="n">
        <v>26</v>
      </c>
      <c r="AH28" s="42" t="n">
        <v>27</v>
      </c>
      <c r="AI28" s="43" t="n">
        <v>28</v>
      </c>
      <c r="AJ28" s="43" t="n">
        <v>29</v>
      </c>
      <c r="AK28" s="42" t="n">
        <v>30</v>
      </c>
      <c r="AL28" s="42" t="n">
        <v>31</v>
      </c>
      <c r="AM28" s="42" t="s">
        <v>5948</v>
      </c>
      <c r="AN28" s="42" t="n">
        <v>2</v>
      </c>
      <c r="AO28" s="42" t="n">
        <v>3</v>
      </c>
      <c r="AP28" s="43" t="n">
        <v>4</v>
      </c>
      <c r="AQ28" s="43" t="n">
        <v>5</v>
      </c>
      <c r="AR28" s="42" t="n">
        <v>6</v>
      </c>
      <c r="AS28" s="42" t="n">
        <v>7</v>
      </c>
      <c r="AT28" s="42" t="n">
        <v>8</v>
      </c>
      <c r="AU28" s="42" t="n">
        <v>9</v>
      </c>
      <c r="AV28" s="42" t="n">
        <v>10</v>
      </c>
      <c r="AW28" s="43" t="n">
        <v>11</v>
      </c>
      <c r="AX28" s="43" t="n">
        <v>12</v>
      </c>
      <c r="AY28" s="42" t="n">
        <v>13</v>
      </c>
      <c r="AZ28" s="42" t="n">
        <v>14</v>
      </c>
      <c r="BA28" s="42" t="n">
        <v>15</v>
      </c>
      <c r="BB28" s="42" t="n">
        <v>16</v>
      </c>
      <c r="BC28" s="42" t="n">
        <v>17</v>
      </c>
      <c r="BD28" s="43" t="n">
        <v>18</v>
      </c>
      <c r="BE28" s="43" t="n">
        <v>19</v>
      </c>
      <c r="BF28" s="42" t="n">
        <v>20</v>
      </c>
      <c r="BG28" s="42" t="n">
        <v>21</v>
      </c>
      <c r="BH28" s="42" t="n">
        <v>22</v>
      </c>
      <c r="BI28" s="42" t="n">
        <v>23</v>
      </c>
      <c r="BJ28" s="42" t="n">
        <v>24</v>
      </c>
      <c r="BK28" s="43" t="n">
        <v>25</v>
      </c>
      <c r="BL28" s="43" t="n">
        <v>26</v>
      </c>
      <c r="BM28" s="43" t="n">
        <v>27</v>
      </c>
      <c r="BN28" s="42" t="n">
        <v>28</v>
      </c>
      <c r="BO28" s="42" t="n">
        <v>29</v>
      </c>
      <c r="BP28" s="43" t="n">
        <v>30</v>
      </c>
      <c r="BQ28" s="43" t="s">
        <v>5949</v>
      </c>
      <c r="BR28" s="43" t="n">
        <v>2</v>
      </c>
      <c r="BS28" s="43" t="n">
        <v>3</v>
      </c>
      <c r="BT28" s="42" t="n">
        <v>4</v>
      </c>
      <c r="BU28" s="42" t="n">
        <v>5</v>
      </c>
      <c r="BV28" s="42" t="n">
        <v>6</v>
      </c>
      <c r="BW28" s="42" t="n">
        <v>7</v>
      </c>
      <c r="BX28" s="42" t="n">
        <v>8</v>
      </c>
      <c r="BY28" s="43" t="n">
        <v>9</v>
      </c>
      <c r="BZ28" s="43" t="n">
        <v>10</v>
      </c>
      <c r="CA28" s="42" t="n">
        <v>11</v>
      </c>
      <c r="CB28" s="42" t="n">
        <v>12</v>
      </c>
      <c r="CC28" s="42" t="n">
        <v>13</v>
      </c>
      <c r="CD28" s="42" t="n">
        <v>14</v>
      </c>
      <c r="CE28" s="42" t="n">
        <v>15</v>
      </c>
      <c r="CF28" s="43" t="n">
        <v>16</v>
      </c>
      <c r="CG28" s="43" t="n">
        <v>17</v>
      </c>
      <c r="CH28" s="42" t="n">
        <v>18</v>
      </c>
      <c r="CI28" s="42" t="n">
        <v>19</v>
      </c>
      <c r="CJ28" s="42" t="n">
        <v>20</v>
      </c>
      <c r="CK28" s="42" t="n">
        <v>21</v>
      </c>
      <c r="CL28" s="42" t="n">
        <v>22</v>
      </c>
      <c r="CM28" s="43" t="n">
        <v>23</v>
      </c>
      <c r="CN28" s="43" t="n">
        <v>24</v>
      </c>
      <c r="CO28" s="42" t="n">
        <v>25</v>
      </c>
      <c r="CP28" s="42" t="n">
        <v>26</v>
      </c>
      <c r="CQ28" s="42" t="n">
        <v>27</v>
      </c>
      <c r="CR28" s="42" t="n">
        <v>28</v>
      </c>
      <c r="CS28" s="42" t="n">
        <v>29</v>
      </c>
      <c r="CT28" s="43" t="n">
        <v>30</v>
      </c>
      <c r="CU28" s="43" t="n">
        <v>31</v>
      </c>
      <c r="CV28" s="42" t="s">
        <v>5950</v>
      </c>
      <c r="CW28" s="42" t="n">
        <v>2</v>
      </c>
      <c r="CX28" s="42" t="n">
        <v>3</v>
      </c>
      <c r="CY28" s="42" t="n">
        <v>4</v>
      </c>
      <c r="CZ28" s="42" t="n">
        <v>5</v>
      </c>
      <c r="DA28" s="43" t="n">
        <v>6</v>
      </c>
      <c r="DB28" s="43" t="n">
        <v>7</v>
      </c>
      <c r="DC28" s="42" t="n">
        <v>8</v>
      </c>
      <c r="DD28" s="42" t="n">
        <v>9</v>
      </c>
      <c r="DE28" s="42" t="n">
        <v>10</v>
      </c>
      <c r="DF28" s="42" t="n">
        <v>11</v>
      </c>
      <c r="DG28" s="42" t="n">
        <v>12</v>
      </c>
      <c r="DH28" s="43" t="n">
        <v>13</v>
      </c>
      <c r="DI28" s="43" t="n">
        <v>14</v>
      </c>
      <c r="DJ28" s="42" t="n">
        <v>15</v>
      </c>
      <c r="DK28" s="42" t="n">
        <v>16</v>
      </c>
      <c r="DL28" s="42" t="n">
        <v>17</v>
      </c>
      <c r="DM28" s="42" t="n">
        <v>18</v>
      </c>
      <c r="DN28" s="42" t="n">
        <v>19</v>
      </c>
      <c r="DO28" s="43" t="n">
        <v>20</v>
      </c>
      <c r="DP28" s="43" t="n">
        <v>21</v>
      </c>
      <c r="DQ28" s="42" t="n">
        <v>22</v>
      </c>
      <c r="DR28" s="42" t="n">
        <v>23</v>
      </c>
      <c r="DS28" s="42" t="n">
        <v>24</v>
      </c>
      <c r="DT28" s="42" t="n">
        <v>25</v>
      </c>
      <c r="DU28" s="42" t="n">
        <v>26</v>
      </c>
      <c r="DV28" s="43" t="n">
        <v>27</v>
      </c>
      <c r="DW28" s="43" t="n">
        <v>28</v>
      </c>
      <c r="DX28" s="42" t="n">
        <v>29</v>
      </c>
      <c r="DY28" s="42" t="n">
        <v>30</v>
      </c>
      <c r="DZ28" s="42" t="s">
        <v>5951</v>
      </c>
      <c r="EA28" s="42" t="n">
        <v>2</v>
      </c>
      <c r="EB28" s="42" t="n">
        <v>3</v>
      </c>
      <c r="EC28" s="43" t="n">
        <v>4</v>
      </c>
      <c r="ED28" s="43" t="n">
        <v>5</v>
      </c>
      <c r="EE28" s="42" t="n">
        <v>6</v>
      </c>
      <c r="EF28" s="42" t="n">
        <v>7</v>
      </c>
      <c r="EG28" s="42" t="n">
        <v>8</v>
      </c>
      <c r="EH28" s="42" t="n">
        <v>9</v>
      </c>
      <c r="EI28" s="42" t="n">
        <v>10</v>
      </c>
      <c r="EJ28" s="43" t="n">
        <v>11</v>
      </c>
      <c r="EK28" s="43" t="n">
        <v>12</v>
      </c>
      <c r="EL28" s="42" t="n">
        <v>13</v>
      </c>
      <c r="EM28" s="42" t="n">
        <v>14</v>
      </c>
      <c r="EN28" s="42" t="n">
        <v>15</v>
      </c>
      <c r="EO28" s="42" t="n">
        <v>16</v>
      </c>
      <c r="EP28" s="42" t="n">
        <v>17</v>
      </c>
      <c r="EQ28" s="43" t="n">
        <v>18</v>
      </c>
      <c r="ER28" s="43" t="n">
        <v>19</v>
      </c>
      <c r="ES28" s="42" t="n">
        <v>20</v>
      </c>
      <c r="ET28" s="42" t="n">
        <v>21</v>
      </c>
      <c r="EU28" s="42" t="n">
        <v>22</v>
      </c>
      <c r="EV28" s="42" t="n">
        <v>23</v>
      </c>
      <c r="EW28" s="42" t="n">
        <v>24</v>
      </c>
      <c r="EX28" s="43" t="n">
        <v>25</v>
      </c>
      <c r="EY28" s="43" t="n">
        <v>26</v>
      </c>
      <c r="EZ28" s="42" t="n">
        <v>27</v>
      </c>
      <c r="FA28" s="42" t="n">
        <v>28</v>
      </c>
      <c r="FB28" s="42" t="n">
        <v>29</v>
      </c>
      <c r="FC28" s="42" t="n">
        <v>30</v>
      </c>
      <c r="FD28" s="42" t="n">
        <v>31</v>
      </c>
      <c r="FE28" s="42"/>
    </row>
    <row r="29" customFormat="false" ht="13.5" hidden="false" customHeight="true" outlineLevel="0" collapsed="false">
      <c r="A29" s="41" t="s">
        <v>5952</v>
      </c>
      <c r="B29" s="44" t="n">
        <v>1362</v>
      </c>
      <c r="C29" s="44" t="n">
        <v>1290</v>
      </c>
      <c r="D29" s="44"/>
      <c r="E29" s="44" t="n">
        <v>1500</v>
      </c>
      <c r="F29" s="44" t="n">
        <v>852</v>
      </c>
      <c r="G29" s="44"/>
      <c r="H29" s="44"/>
      <c r="I29" s="44" t="n">
        <v>2400</v>
      </c>
      <c r="J29" s="44" t="n">
        <v>1468</v>
      </c>
      <c r="K29" s="44" t="n">
        <v>2400</v>
      </c>
      <c r="L29" s="44" t="n">
        <v>1672</v>
      </c>
      <c r="M29" s="44" t="n">
        <v>1300</v>
      </c>
      <c r="N29" s="44"/>
      <c r="O29" s="44"/>
      <c r="P29" s="44" t="n">
        <v>1200</v>
      </c>
      <c r="Q29" s="44" t="n">
        <v>1500</v>
      </c>
      <c r="R29" s="44" t="n">
        <v>1600</v>
      </c>
      <c r="S29" s="44" t="n">
        <v>1700</v>
      </c>
      <c r="T29" s="44" t="n">
        <v>1000</v>
      </c>
      <c r="U29" s="44"/>
      <c r="V29" s="44"/>
      <c r="W29" s="44" t="n">
        <v>1900</v>
      </c>
      <c r="X29" s="44" t="n">
        <v>2000</v>
      </c>
      <c r="Y29" s="44" t="n">
        <v>1300</v>
      </c>
      <c r="Z29" s="44" t="n">
        <v>2600</v>
      </c>
      <c r="AA29" s="44" t="n">
        <v>2700</v>
      </c>
      <c r="AB29" s="44" t="n">
        <v>2400</v>
      </c>
      <c r="AC29" s="44"/>
      <c r="AD29" s="44" t="n">
        <v>2800</v>
      </c>
      <c r="AE29" s="44" t="n">
        <v>3002</v>
      </c>
      <c r="AF29" s="44" t="n">
        <v>3100</v>
      </c>
      <c r="AG29" s="44" t="n">
        <v>3100</v>
      </c>
      <c r="AH29" s="44" t="n">
        <v>3100</v>
      </c>
      <c r="AI29" s="44"/>
      <c r="AJ29" s="44"/>
      <c r="AK29" s="44" t="n">
        <v>1170</v>
      </c>
      <c r="AL29" s="44" t="n">
        <v>3100</v>
      </c>
      <c r="AM29" s="44" t="n">
        <v>388</v>
      </c>
      <c r="AN29" s="44" t="n">
        <f aca="false">5004-AM30</f>
        <v>2292</v>
      </c>
      <c r="AO29" s="44" t="n">
        <v>3100</v>
      </c>
      <c r="AP29" s="44" t="n">
        <v>2400</v>
      </c>
      <c r="AQ29" s="44"/>
      <c r="AR29" s="44" t="n">
        <v>3100</v>
      </c>
      <c r="AS29" s="44" t="n">
        <v>3100</v>
      </c>
      <c r="AT29" s="44" t="n">
        <v>3100</v>
      </c>
      <c r="AU29" s="44" t="n">
        <v>3100</v>
      </c>
      <c r="AV29" s="44" t="n">
        <v>3100</v>
      </c>
      <c r="AW29" s="44"/>
      <c r="AX29" s="44"/>
      <c r="AY29" s="44" t="n">
        <v>2192</v>
      </c>
      <c r="AZ29" s="44" t="n">
        <v>3100</v>
      </c>
      <c r="BA29" s="44" t="n">
        <v>3100</v>
      </c>
      <c r="BB29" s="44" t="n">
        <v>3100</v>
      </c>
      <c r="BC29" s="44" t="n">
        <v>3100</v>
      </c>
      <c r="BD29" s="44" t="n">
        <v>2400</v>
      </c>
      <c r="BE29" s="44"/>
      <c r="BF29" s="44" t="n">
        <v>1996</v>
      </c>
      <c r="BG29" s="44" t="n">
        <v>3100</v>
      </c>
      <c r="BH29" s="44" t="n">
        <v>896</v>
      </c>
      <c r="BI29" s="44" t="n">
        <f aca="false">5004-BH30</f>
        <v>2800</v>
      </c>
      <c r="BJ29" s="44" t="n">
        <v>3100</v>
      </c>
      <c r="BK29" s="44"/>
      <c r="BL29" s="44"/>
      <c r="BM29" s="44"/>
      <c r="BN29" s="44" t="n">
        <v>3100</v>
      </c>
      <c r="BO29" s="44" t="n">
        <v>400</v>
      </c>
      <c r="BP29" s="44"/>
      <c r="BQ29" s="44"/>
      <c r="BR29" s="44"/>
      <c r="BS29" s="44"/>
      <c r="BT29" s="44" t="n">
        <v>3100</v>
      </c>
      <c r="BU29" s="44" t="n">
        <v>3100</v>
      </c>
      <c r="BV29" s="44" t="n">
        <v>3100</v>
      </c>
      <c r="BW29" s="44" t="n">
        <v>3100</v>
      </c>
      <c r="BX29" s="44" t="n">
        <v>3100</v>
      </c>
      <c r="BY29" s="44" t="n">
        <v>2400</v>
      </c>
      <c r="BZ29" s="44"/>
      <c r="CA29" s="44" t="n">
        <v>3100</v>
      </c>
      <c r="CB29" s="44" t="n">
        <v>300</v>
      </c>
      <c r="CC29" s="44" t="n">
        <v>3100</v>
      </c>
      <c r="CD29" s="44" t="n">
        <v>3100</v>
      </c>
      <c r="CE29" s="44" t="n">
        <v>3100</v>
      </c>
      <c r="CF29" s="44"/>
      <c r="CG29" s="44"/>
      <c r="CH29" s="44" t="n">
        <v>2700</v>
      </c>
      <c r="CI29" s="44" t="n">
        <v>3100</v>
      </c>
      <c r="CJ29" s="44" t="n">
        <v>1504</v>
      </c>
      <c r="CK29" s="44" t="n">
        <v>3100</v>
      </c>
      <c r="CL29" s="44" t="n">
        <v>2342</v>
      </c>
      <c r="CM29" s="44" t="n">
        <v>2400</v>
      </c>
      <c r="CN29" s="44"/>
      <c r="CO29" s="44" t="n">
        <v>3100</v>
      </c>
      <c r="CP29" s="44" t="n">
        <v>3100</v>
      </c>
      <c r="CQ29" s="44" t="n">
        <v>3100</v>
      </c>
      <c r="CR29" s="44" t="n">
        <v>2718</v>
      </c>
      <c r="CS29" s="44" t="n">
        <v>3100</v>
      </c>
      <c r="CT29" s="44"/>
      <c r="CU29" s="44"/>
      <c r="CV29" s="44" t="n">
        <v>3100</v>
      </c>
      <c r="CW29" s="44" t="n">
        <v>3100</v>
      </c>
      <c r="CX29" s="44" t="n">
        <v>3100</v>
      </c>
      <c r="CY29" s="44" t="n">
        <v>3100</v>
      </c>
      <c r="CZ29" s="44" t="n">
        <v>3100</v>
      </c>
      <c r="DA29" s="44" t="n">
        <v>2400</v>
      </c>
      <c r="DB29" s="44"/>
      <c r="DC29" s="44" t="n">
        <v>2618</v>
      </c>
      <c r="DD29" s="44" t="n">
        <v>3100</v>
      </c>
      <c r="DE29" s="44" t="n">
        <v>3100</v>
      </c>
      <c r="DF29" s="44" t="n">
        <v>3100</v>
      </c>
      <c r="DG29" s="44" t="n">
        <v>3100</v>
      </c>
      <c r="DH29" s="44"/>
      <c r="DI29" s="44"/>
      <c r="DJ29" s="44" t="n">
        <v>3100</v>
      </c>
      <c r="DK29" s="44"/>
      <c r="DL29" s="44"/>
      <c r="DM29" s="44"/>
      <c r="DN29" s="44"/>
      <c r="DO29" s="44"/>
      <c r="DP29" s="44"/>
      <c r="DQ29" s="44"/>
      <c r="DR29" s="44"/>
      <c r="DS29" s="44"/>
      <c r="DT29" s="44"/>
      <c r="DU29" s="44"/>
      <c r="DV29" s="44"/>
      <c r="DW29" s="44"/>
      <c r="DX29" s="44"/>
      <c r="DY29" s="44"/>
      <c r="DZ29" s="44"/>
      <c r="EA29" s="44"/>
      <c r="EB29" s="44"/>
      <c r="EC29" s="44"/>
      <c r="ED29" s="44"/>
      <c r="EE29" s="44"/>
      <c r="EF29" s="44"/>
      <c r="EG29" s="44"/>
      <c r="EH29" s="44"/>
      <c r="EI29" s="44"/>
      <c r="EJ29" s="44"/>
      <c r="EK29" s="44"/>
      <c r="EL29" s="44"/>
      <c r="EM29" s="44"/>
      <c r="EN29" s="44"/>
      <c r="EO29" s="44"/>
      <c r="EP29" s="44"/>
      <c r="EQ29" s="44"/>
      <c r="ER29" s="44"/>
      <c r="ES29" s="44"/>
      <c r="ET29" s="44"/>
      <c r="EU29" s="44"/>
      <c r="EV29" s="44"/>
      <c r="EW29" s="44"/>
      <c r="EX29" s="44"/>
      <c r="EY29" s="44"/>
      <c r="EZ29" s="44"/>
      <c r="FA29" s="44"/>
      <c r="FB29" s="44"/>
      <c r="FC29" s="44"/>
      <c r="FD29" s="44"/>
      <c r="FE29" s="44"/>
    </row>
    <row r="30" customFormat="false" ht="13.5" hidden="false" customHeight="true" outlineLevel="0" collapsed="false">
      <c r="A30" s="41"/>
      <c r="B30" s="66"/>
      <c r="C30" s="66"/>
      <c r="D30" s="67" t="s">
        <v>6020</v>
      </c>
      <c r="E30" s="66"/>
      <c r="F30" s="66" t="n">
        <f aca="false">2300-F29</f>
        <v>1448</v>
      </c>
      <c r="G30" s="66"/>
      <c r="H30" s="66"/>
      <c r="I30" s="66"/>
      <c r="J30" s="66" t="n">
        <f aca="false">2400-J29</f>
        <v>932</v>
      </c>
      <c r="K30" s="66"/>
      <c r="L30" s="66" t="n">
        <v>500</v>
      </c>
      <c r="M30" s="66"/>
      <c r="N30" s="66"/>
      <c r="O30" s="66"/>
      <c r="P30" s="66" t="n">
        <f aca="false">1400-P29</f>
        <v>200</v>
      </c>
      <c r="Q30" s="66"/>
      <c r="R30" s="66"/>
      <c r="S30" s="66"/>
      <c r="T30" s="66" t="n">
        <f aca="false">1800-T29</f>
        <v>800</v>
      </c>
      <c r="U30" s="66"/>
      <c r="V30" s="66"/>
      <c r="W30" s="66"/>
      <c r="X30" s="66"/>
      <c r="Y30" s="66" t="n">
        <v>1000</v>
      </c>
      <c r="Z30" s="68" t="s">
        <v>6000</v>
      </c>
      <c r="AA30" s="68" t="s">
        <v>6000</v>
      </c>
      <c r="AB30" s="66"/>
      <c r="AC30" s="66"/>
      <c r="AD30" s="68" t="s">
        <v>6000</v>
      </c>
      <c r="AE30" s="68" t="s">
        <v>6000</v>
      </c>
      <c r="AF30" s="68" t="s">
        <v>6000</v>
      </c>
      <c r="AG30" s="68" t="s">
        <v>6000</v>
      </c>
      <c r="AH30" s="66"/>
      <c r="AI30" s="66"/>
      <c r="AJ30" s="66"/>
      <c r="AK30" s="66" t="n">
        <f aca="false">3100-AK29</f>
        <v>1930</v>
      </c>
      <c r="AL30" s="66"/>
      <c r="AM30" s="66" t="n">
        <f aca="false">3100-AM29</f>
        <v>2712</v>
      </c>
      <c r="AN30" s="66" t="n">
        <f aca="false">3100-AN29</f>
        <v>808</v>
      </c>
      <c r="AO30" s="68" t="s">
        <v>6000</v>
      </c>
      <c r="AP30" s="66"/>
      <c r="AQ30" s="66"/>
      <c r="AR30" s="68" t="s">
        <v>6000</v>
      </c>
      <c r="AS30" s="66"/>
      <c r="AT30" s="68" t="s">
        <v>6000</v>
      </c>
      <c r="AU30" s="68" t="s">
        <v>6000</v>
      </c>
      <c r="AV30" s="68" t="s">
        <v>6000</v>
      </c>
      <c r="AW30" s="66"/>
      <c r="AX30" s="66"/>
      <c r="AY30" s="66" t="n">
        <f aca="false">3100-AY29</f>
        <v>908</v>
      </c>
      <c r="AZ30" s="68" t="s">
        <v>6000</v>
      </c>
      <c r="BA30" s="68" t="s">
        <v>6000</v>
      </c>
      <c r="BB30" s="68" t="s">
        <v>6000</v>
      </c>
      <c r="BC30" s="68" t="s">
        <v>6000</v>
      </c>
      <c r="BD30" s="66"/>
      <c r="BE30" s="66"/>
      <c r="BF30" s="66" t="n">
        <f aca="false">3100-BF29</f>
        <v>1104</v>
      </c>
      <c r="BG30" s="68" t="s">
        <v>6000</v>
      </c>
      <c r="BH30" s="66" t="n">
        <f aca="false">3100-BH29</f>
        <v>2204</v>
      </c>
      <c r="BI30" s="66" t="n">
        <f aca="false">3100-BI29</f>
        <v>300</v>
      </c>
      <c r="BJ30" s="68" t="s">
        <v>6000</v>
      </c>
      <c r="BK30" s="66"/>
      <c r="BL30" s="66"/>
      <c r="BM30" s="66"/>
      <c r="BN30" s="66"/>
      <c r="BO30" s="66" t="n">
        <f aca="false">3100-BO29</f>
        <v>2700</v>
      </c>
      <c r="BP30" s="66"/>
      <c r="BQ30" s="66"/>
      <c r="BR30" s="66"/>
      <c r="BS30" s="66"/>
      <c r="BT30" s="66"/>
      <c r="BU30" s="66"/>
      <c r="BV30" s="66"/>
      <c r="BW30" s="66"/>
      <c r="BX30" s="66"/>
      <c r="BY30" s="66"/>
      <c r="BZ30" s="66"/>
      <c r="CA30" s="66"/>
      <c r="CB30" s="66" t="n">
        <f aca="false">3100-CB29</f>
        <v>2800</v>
      </c>
      <c r="CC30" s="66"/>
      <c r="CD30" s="66"/>
      <c r="CE30" s="66"/>
      <c r="CF30" s="66"/>
      <c r="CG30" s="66"/>
      <c r="CH30" s="66" t="n">
        <f aca="false">3100-CH29</f>
        <v>400</v>
      </c>
      <c r="CI30" s="66"/>
      <c r="CJ30" s="66" t="n">
        <f aca="false">3100-CJ29</f>
        <v>1596</v>
      </c>
      <c r="CK30" s="66"/>
      <c r="CL30" s="66" t="n">
        <f aca="false">3100-CL29</f>
        <v>758</v>
      </c>
      <c r="CM30" s="66"/>
      <c r="CN30" s="66"/>
      <c r="CO30" s="66"/>
      <c r="CP30" s="66"/>
      <c r="CQ30" s="66"/>
      <c r="CR30" s="66" t="n">
        <f aca="false">3100-CR29</f>
        <v>382</v>
      </c>
      <c r="CS30" s="66"/>
      <c r="CT30" s="66"/>
      <c r="CU30" s="66"/>
      <c r="CV30" s="66"/>
      <c r="CW30" s="66"/>
      <c r="CX30" s="66"/>
      <c r="CY30" s="66"/>
      <c r="CZ30" s="66"/>
      <c r="DA30" s="66"/>
      <c r="DB30" s="66"/>
      <c r="DC30" s="66" t="n">
        <f aca="false">3100-DC29</f>
        <v>482</v>
      </c>
      <c r="DD30" s="66"/>
      <c r="DE30" s="66"/>
      <c r="DF30" s="66"/>
      <c r="DG30" s="66"/>
      <c r="DH30" s="66"/>
      <c r="DI30" s="66"/>
      <c r="DJ30" s="66"/>
      <c r="DK30" s="66"/>
      <c r="DL30" s="66"/>
      <c r="DM30" s="66"/>
      <c r="DN30" s="66"/>
      <c r="DO30" s="66"/>
      <c r="DP30" s="66"/>
      <c r="DQ30" s="66"/>
      <c r="DR30" s="66"/>
      <c r="DS30" s="66"/>
      <c r="DT30" s="66"/>
      <c r="DU30" s="66"/>
      <c r="DV30" s="66"/>
      <c r="DW30" s="66"/>
      <c r="DX30" s="66"/>
      <c r="DY30" s="66"/>
      <c r="DZ30" s="66"/>
      <c r="EA30" s="66"/>
      <c r="EB30" s="66"/>
      <c r="EC30" s="66"/>
      <c r="ED30" s="66"/>
      <c r="EE30" s="66"/>
      <c r="EF30" s="66"/>
      <c r="EG30" s="66"/>
      <c r="EH30" s="66"/>
      <c r="EI30" s="66"/>
      <c r="EJ30" s="66"/>
      <c r="EK30" s="66"/>
      <c r="EL30" s="66"/>
      <c r="EM30" s="66"/>
      <c r="EN30" s="66"/>
      <c r="EO30" s="66"/>
      <c r="EP30" s="66"/>
      <c r="EQ30" s="66"/>
      <c r="ER30" s="66"/>
      <c r="ES30" s="66"/>
      <c r="ET30" s="66"/>
      <c r="EU30" s="66"/>
      <c r="EV30" s="66"/>
      <c r="EW30" s="66"/>
      <c r="EX30" s="66"/>
      <c r="EY30" s="66"/>
      <c r="EZ30" s="66"/>
      <c r="FA30" s="66"/>
      <c r="FB30" s="66"/>
      <c r="FC30" s="66"/>
      <c r="FD30" s="66"/>
      <c r="FE30" s="66"/>
      <c r="FF30" s="69"/>
      <c r="FG30" s="69"/>
      <c r="FH30" s="69"/>
      <c r="FI30" s="69"/>
      <c r="FJ30" s="69"/>
      <c r="FK30" s="69"/>
      <c r="FL30" s="69"/>
      <c r="FM30" s="69"/>
      <c r="FN30" s="69"/>
      <c r="FO30" s="69"/>
      <c r="FP30" s="69"/>
      <c r="FQ30" s="69"/>
      <c r="FR30" s="69"/>
      <c r="FS30" s="69"/>
      <c r="FT30" s="69"/>
      <c r="FU30" s="69"/>
      <c r="FV30" s="69"/>
      <c r="FW30" s="69"/>
      <c r="FX30" s="69"/>
      <c r="FY30" s="69"/>
      <c r="FZ30" s="69"/>
      <c r="GA30" s="69"/>
      <c r="GB30" s="69"/>
      <c r="GC30" s="69"/>
      <c r="GD30" s="69"/>
      <c r="GE30" s="69"/>
      <c r="GF30" s="69"/>
      <c r="GG30" s="69"/>
      <c r="GH30" s="69"/>
      <c r="GI30" s="69"/>
      <c r="GJ30" s="69"/>
      <c r="GK30" s="69"/>
      <c r="GL30" s="69"/>
      <c r="GM30" s="69"/>
      <c r="GN30" s="69"/>
      <c r="GO30" s="69"/>
      <c r="GP30" s="69"/>
      <c r="GQ30" s="69"/>
      <c r="GR30" s="69"/>
      <c r="GS30" s="69"/>
      <c r="GT30" s="69"/>
      <c r="GU30" s="69"/>
      <c r="GV30" s="69"/>
      <c r="GW30" s="69"/>
      <c r="GX30" s="69"/>
      <c r="GY30" s="69"/>
      <c r="GZ30" s="69"/>
      <c r="HA30" s="69"/>
      <c r="HB30" s="69"/>
      <c r="HC30" s="69"/>
      <c r="HD30" s="69"/>
      <c r="HE30" s="69"/>
      <c r="HF30" s="69"/>
      <c r="HG30" s="69"/>
      <c r="HH30" s="69"/>
      <c r="HI30" s="69"/>
      <c r="HJ30" s="69"/>
      <c r="HK30" s="69"/>
      <c r="HL30" s="69"/>
      <c r="HM30" s="69"/>
      <c r="HN30" s="69"/>
      <c r="HO30" s="66"/>
      <c r="HP30" s="69"/>
      <c r="HQ30" s="69"/>
      <c r="HR30" s="69"/>
      <c r="HS30" s="69"/>
      <c r="HT30" s="69"/>
      <c r="HU30" s="69"/>
      <c r="HV30" s="66"/>
      <c r="HW30" s="69"/>
      <c r="HX30" s="69"/>
      <c r="HY30" s="69"/>
      <c r="HZ30" s="69"/>
      <c r="IA30" s="69"/>
      <c r="IB30" s="69"/>
      <c r="IC30" s="66"/>
      <c r="ID30" s="69"/>
      <c r="IE30" s="69"/>
      <c r="IF30" s="69"/>
      <c r="IG30" s="69"/>
      <c r="IH30" s="69"/>
      <c r="II30" s="69"/>
      <c r="IJ30" s="66"/>
      <c r="IK30" s="69"/>
      <c r="IL30" s="69"/>
      <c r="IM30" s="69"/>
      <c r="IN30" s="69"/>
      <c r="IO30" s="69"/>
      <c r="IP30" s="69"/>
      <c r="IQ30" s="66"/>
      <c r="IW30" s="66"/>
    </row>
    <row r="31" customFormat="false" ht="13.5" hidden="false" customHeight="true" outlineLevel="0" collapsed="false">
      <c r="A31" s="61" t="s">
        <v>6021</v>
      </c>
      <c r="B31" s="47" t="s">
        <v>5953</v>
      </c>
      <c r="C31" s="49"/>
      <c r="D31" s="49"/>
      <c r="E31" s="49"/>
      <c r="F31" s="47" t="s">
        <v>5953</v>
      </c>
      <c r="G31" s="49"/>
      <c r="H31" s="49"/>
      <c r="I31" s="49"/>
      <c r="J31" s="47" t="s">
        <v>5953</v>
      </c>
      <c r="K31" s="47"/>
      <c r="L31" s="50" t="s">
        <v>5955</v>
      </c>
      <c r="M31" s="49"/>
      <c r="N31" s="49"/>
      <c r="O31" s="49"/>
      <c r="P31" s="50" t="s">
        <v>5955</v>
      </c>
      <c r="Q31" s="49"/>
      <c r="R31" s="49"/>
      <c r="S31" s="49"/>
      <c r="T31" s="50" t="s">
        <v>5955</v>
      </c>
      <c r="U31" s="49"/>
      <c r="V31" s="49"/>
      <c r="W31" s="49"/>
      <c r="X31" s="49"/>
      <c r="Y31" s="62" t="s">
        <v>6022</v>
      </c>
      <c r="Z31" s="49"/>
      <c r="AA31" s="49"/>
      <c r="AB31" s="49"/>
      <c r="AC31" s="49"/>
      <c r="AD31" s="48"/>
      <c r="AE31" s="49"/>
      <c r="AF31" s="49" t="s">
        <v>5998</v>
      </c>
      <c r="AG31" s="48"/>
      <c r="AH31" s="48"/>
      <c r="AI31" s="49"/>
      <c r="AJ31" s="49"/>
      <c r="AK31" s="48" t="s">
        <v>5998</v>
      </c>
      <c r="AL31" s="49"/>
      <c r="AM31" s="48" t="s">
        <v>5998</v>
      </c>
      <c r="AN31" s="48" t="s">
        <v>5957</v>
      </c>
      <c r="AO31" s="48"/>
      <c r="AP31" s="48"/>
      <c r="AQ31" s="49"/>
      <c r="AR31" s="48"/>
      <c r="AS31" s="48"/>
      <c r="AT31" s="48"/>
      <c r="AU31" s="48"/>
      <c r="AV31" s="48"/>
      <c r="AW31" s="49"/>
      <c r="AX31" s="49"/>
      <c r="AY31" s="48" t="s">
        <v>5957</v>
      </c>
      <c r="AZ31" s="49"/>
      <c r="BA31" s="49"/>
      <c r="BB31" s="48"/>
      <c r="BC31" s="48"/>
      <c r="BD31" s="48"/>
      <c r="BE31" s="49"/>
      <c r="BF31" s="48" t="s">
        <v>5957</v>
      </c>
      <c r="BG31" s="48"/>
      <c r="BH31" s="48" t="s">
        <v>5957</v>
      </c>
      <c r="BI31" s="48" t="s">
        <v>5957</v>
      </c>
      <c r="BJ31" s="48"/>
      <c r="BK31" s="49"/>
      <c r="BL31" s="49"/>
      <c r="BM31" s="49"/>
      <c r="BN31" s="48"/>
      <c r="BO31" s="48" t="s">
        <v>5957</v>
      </c>
      <c r="BP31" s="49"/>
      <c r="BQ31" s="49"/>
      <c r="BR31" s="49"/>
      <c r="BS31" s="49"/>
      <c r="BT31" s="49"/>
      <c r="BU31" s="49"/>
      <c r="BV31" s="49"/>
      <c r="BW31" s="45"/>
      <c r="BX31" s="49"/>
      <c r="BY31" s="49"/>
      <c r="BZ31" s="49"/>
      <c r="CA31" s="49"/>
      <c r="CB31" s="45" t="s">
        <v>6023</v>
      </c>
      <c r="CC31" s="49"/>
      <c r="CD31" s="48"/>
      <c r="CE31" s="49"/>
      <c r="CF31" s="49"/>
      <c r="CG31" s="49"/>
      <c r="CH31" s="48" t="s">
        <v>6002</v>
      </c>
      <c r="CI31" s="49"/>
      <c r="CJ31" s="48" t="s">
        <v>6002</v>
      </c>
      <c r="CK31" s="49"/>
      <c r="CL31" s="48" t="s">
        <v>6002</v>
      </c>
      <c r="CM31" s="49"/>
      <c r="CN31" s="49"/>
      <c r="CO31" s="49"/>
      <c r="CP31" s="49"/>
      <c r="CQ31" s="49"/>
      <c r="CR31" s="49"/>
      <c r="CS31" s="49"/>
      <c r="CT31" s="49"/>
      <c r="CU31" s="49"/>
      <c r="CV31" s="49"/>
      <c r="CW31" s="49"/>
      <c r="CX31" s="49"/>
      <c r="CY31" s="49"/>
      <c r="CZ31" s="49"/>
      <c r="DA31" s="48"/>
      <c r="DB31" s="49"/>
      <c r="DC31" s="48" t="s">
        <v>6024</v>
      </c>
      <c r="DD31" s="49"/>
      <c r="DE31" s="49"/>
      <c r="DF31" s="49"/>
      <c r="DG31" s="49"/>
      <c r="DH31" s="49"/>
      <c r="DI31" s="49"/>
      <c r="DJ31" s="49"/>
      <c r="DK31" s="49"/>
      <c r="DL31" s="49"/>
      <c r="DM31" s="49"/>
      <c r="DN31" s="49"/>
      <c r="DO31" s="49"/>
      <c r="DP31" s="49"/>
      <c r="DQ31" s="49"/>
      <c r="DR31" s="49"/>
      <c r="DS31" s="49"/>
      <c r="DT31" s="49"/>
      <c r="DU31" s="49"/>
      <c r="DV31" s="49"/>
      <c r="DW31" s="49"/>
      <c r="DX31" s="49"/>
      <c r="DY31" s="49"/>
      <c r="DZ31" s="49"/>
      <c r="EA31" s="49"/>
      <c r="EB31" s="49"/>
      <c r="EC31" s="49"/>
      <c r="ED31" s="49"/>
      <c r="EE31" s="49"/>
      <c r="EF31" s="49"/>
      <c r="EG31" s="49"/>
      <c r="EH31" s="49"/>
      <c r="EI31" s="49"/>
      <c r="EJ31" s="49"/>
      <c r="EK31" s="49"/>
      <c r="EL31" s="49"/>
      <c r="EM31" s="49"/>
      <c r="EN31" s="49"/>
      <c r="EO31" s="49"/>
      <c r="EP31" s="49"/>
      <c r="EQ31" s="49"/>
      <c r="ER31" s="49"/>
      <c r="ES31" s="49"/>
      <c r="ET31" s="49"/>
      <c r="EU31" s="49"/>
      <c r="EV31" s="49"/>
      <c r="EW31" s="49"/>
      <c r="EX31" s="49"/>
      <c r="EY31" s="49"/>
      <c r="EZ31" s="49"/>
      <c r="FA31" s="49"/>
      <c r="FB31" s="49"/>
      <c r="FC31" s="49"/>
      <c r="FD31" s="49"/>
      <c r="FE31" s="49"/>
      <c r="HO31" s="49"/>
      <c r="HV31" s="49"/>
      <c r="IC31" s="49"/>
      <c r="IJ31" s="49"/>
      <c r="IQ31" s="49"/>
      <c r="IW31" s="49"/>
    </row>
    <row r="32" customFormat="false" ht="13.5" hidden="false" customHeight="true" outlineLevel="0" collapsed="false">
      <c r="A32" s="52" t="s">
        <v>5960</v>
      </c>
      <c r="B32" s="53" t="n">
        <v>27</v>
      </c>
      <c r="C32" s="53" t="n">
        <v>27</v>
      </c>
      <c r="D32" s="53"/>
      <c r="E32" s="53" t="n">
        <v>27</v>
      </c>
      <c r="F32" s="53" t="n">
        <v>27</v>
      </c>
      <c r="G32" s="53" t="n">
        <v>27</v>
      </c>
      <c r="H32" s="53" t="n">
        <v>27</v>
      </c>
      <c r="I32" s="53" t="n">
        <v>27</v>
      </c>
      <c r="J32" s="53" t="n">
        <v>27</v>
      </c>
      <c r="K32" s="53" t="n">
        <v>27</v>
      </c>
      <c r="L32" s="53" t="n">
        <v>39</v>
      </c>
      <c r="M32" s="53" t="n">
        <v>39</v>
      </c>
      <c r="N32" s="53" t="n">
        <v>39</v>
      </c>
      <c r="O32" s="53" t="n">
        <v>39</v>
      </c>
      <c r="P32" s="53" t="n">
        <v>39</v>
      </c>
      <c r="Q32" s="53" t="n">
        <v>39</v>
      </c>
      <c r="R32" s="53" t="n">
        <v>39</v>
      </c>
      <c r="S32" s="53" t="n">
        <v>39</v>
      </c>
      <c r="T32" s="53" t="n">
        <v>39</v>
      </c>
      <c r="U32" s="53" t="n">
        <v>39</v>
      </c>
      <c r="V32" s="53" t="n">
        <v>39</v>
      </c>
      <c r="W32" s="53" t="n">
        <v>39</v>
      </c>
      <c r="X32" s="53" t="n">
        <v>39</v>
      </c>
      <c r="Y32" s="53" t="n">
        <v>39</v>
      </c>
      <c r="Z32" s="53" t="n">
        <v>27</v>
      </c>
      <c r="AA32" s="53" t="n">
        <v>27</v>
      </c>
      <c r="AB32" s="53" t="n">
        <v>27</v>
      </c>
      <c r="AC32" s="53" t="n">
        <v>27</v>
      </c>
      <c r="AD32" s="53" t="n">
        <v>27</v>
      </c>
      <c r="AE32" s="53" t="n">
        <v>27</v>
      </c>
      <c r="AF32" s="53" t="n">
        <v>27</v>
      </c>
      <c r="AG32" s="53" t="n">
        <v>27</v>
      </c>
      <c r="AH32" s="53" t="n">
        <v>27</v>
      </c>
      <c r="AI32" s="53" t="n">
        <v>27</v>
      </c>
      <c r="AJ32" s="53" t="n">
        <v>27</v>
      </c>
      <c r="AK32" s="53" t="n">
        <v>27</v>
      </c>
      <c r="AL32" s="53" t="n">
        <v>27</v>
      </c>
      <c r="AM32" s="53" t="n">
        <v>27</v>
      </c>
      <c r="AN32" s="53" t="n">
        <v>27</v>
      </c>
      <c r="AO32" s="53" t="n">
        <v>27</v>
      </c>
      <c r="AP32" s="53" t="n">
        <v>27</v>
      </c>
      <c r="AQ32" s="53" t="n">
        <v>27</v>
      </c>
      <c r="AR32" s="53" t="n">
        <v>27</v>
      </c>
      <c r="AS32" s="53" t="n">
        <v>27</v>
      </c>
      <c r="AT32" s="53" t="n">
        <v>27</v>
      </c>
      <c r="AU32" s="53" t="n">
        <v>27</v>
      </c>
      <c r="AV32" s="53" t="n">
        <v>27</v>
      </c>
      <c r="AW32" s="53" t="n">
        <v>27</v>
      </c>
      <c r="AX32" s="53" t="n">
        <v>27</v>
      </c>
      <c r="AY32" s="53" t="n">
        <v>27</v>
      </c>
      <c r="AZ32" s="53" t="n">
        <v>27</v>
      </c>
      <c r="BA32" s="53" t="n">
        <v>27</v>
      </c>
      <c r="BB32" s="53" t="n">
        <v>27</v>
      </c>
      <c r="BC32" s="53" t="n">
        <v>27</v>
      </c>
      <c r="BD32" s="53" t="n">
        <v>27</v>
      </c>
      <c r="BE32" s="53" t="n">
        <v>27</v>
      </c>
      <c r="BF32" s="53" t="n">
        <v>27</v>
      </c>
      <c r="BG32" s="53" t="n">
        <v>27</v>
      </c>
      <c r="BH32" s="53" t="n">
        <v>27</v>
      </c>
      <c r="BI32" s="53" t="n">
        <v>27</v>
      </c>
      <c r="BJ32" s="53" t="n">
        <v>27</v>
      </c>
      <c r="BK32" s="53" t="n">
        <v>27</v>
      </c>
      <c r="BL32" s="53" t="n">
        <v>27</v>
      </c>
      <c r="BM32" s="53" t="n">
        <v>27</v>
      </c>
      <c r="BN32" s="53" t="n">
        <v>27</v>
      </c>
      <c r="BO32" s="53" t="n">
        <v>27</v>
      </c>
      <c r="BP32" s="53" t="n">
        <v>27</v>
      </c>
      <c r="BQ32" s="53" t="n">
        <v>27</v>
      </c>
      <c r="BR32" s="53" t="n">
        <v>27</v>
      </c>
      <c r="BS32" s="53" t="n">
        <v>27</v>
      </c>
      <c r="BT32" s="53" t="n">
        <v>27</v>
      </c>
      <c r="BU32" s="53" t="n">
        <v>27</v>
      </c>
      <c r="BV32" s="53" t="n">
        <v>27</v>
      </c>
      <c r="BW32" s="53" t="n">
        <v>27</v>
      </c>
      <c r="BX32" s="53" t="n">
        <v>27</v>
      </c>
      <c r="BY32" s="53" t="n">
        <v>27</v>
      </c>
      <c r="BZ32" s="53" t="n">
        <v>27</v>
      </c>
      <c r="CA32" s="53" t="n">
        <v>27</v>
      </c>
      <c r="CB32" s="53" t="n">
        <v>27</v>
      </c>
      <c r="CC32" s="53" t="n">
        <v>27</v>
      </c>
      <c r="CD32" s="53" t="n">
        <v>27</v>
      </c>
      <c r="CE32" s="53" t="n">
        <v>27</v>
      </c>
      <c r="CF32" s="53" t="n">
        <v>27</v>
      </c>
      <c r="CG32" s="53" t="n">
        <v>27</v>
      </c>
      <c r="CH32" s="53" t="n">
        <v>27</v>
      </c>
      <c r="CI32" s="53" t="n">
        <v>27</v>
      </c>
      <c r="CJ32" s="53" t="n">
        <v>27</v>
      </c>
      <c r="CK32" s="53" t="n">
        <v>27</v>
      </c>
      <c r="CL32" s="53" t="n">
        <v>27</v>
      </c>
      <c r="CM32" s="53" t="n">
        <v>27</v>
      </c>
      <c r="CN32" s="53" t="n">
        <v>27</v>
      </c>
      <c r="CO32" s="53" t="n">
        <v>27</v>
      </c>
      <c r="CP32" s="53" t="n">
        <v>27</v>
      </c>
      <c r="CQ32" s="53" t="n">
        <v>27</v>
      </c>
      <c r="CR32" s="53" t="n">
        <v>27</v>
      </c>
      <c r="CS32" s="53" t="n">
        <v>27</v>
      </c>
      <c r="CT32" s="53" t="n">
        <v>27</v>
      </c>
      <c r="CU32" s="53" t="n">
        <v>27</v>
      </c>
      <c r="CV32" s="53" t="n">
        <v>27</v>
      </c>
      <c r="CW32" s="53" t="n">
        <v>27</v>
      </c>
      <c r="CX32" s="53" t="n">
        <v>27</v>
      </c>
      <c r="CY32" s="53" t="n">
        <v>27</v>
      </c>
      <c r="CZ32" s="53" t="n">
        <v>27</v>
      </c>
      <c r="DA32" s="53" t="n">
        <v>27</v>
      </c>
      <c r="DB32" s="53" t="n">
        <v>27</v>
      </c>
      <c r="DC32" s="53" t="n">
        <v>27</v>
      </c>
      <c r="DD32" s="53" t="n">
        <v>27</v>
      </c>
      <c r="DE32" s="53" t="n">
        <v>27</v>
      </c>
      <c r="DF32" s="53" t="n">
        <v>27</v>
      </c>
      <c r="DG32" s="53" t="n">
        <v>27</v>
      </c>
      <c r="DH32" s="53" t="n">
        <v>27</v>
      </c>
      <c r="DI32" s="53" t="n">
        <v>27</v>
      </c>
      <c r="DJ32" s="53" t="n">
        <v>27</v>
      </c>
      <c r="DK32" s="53"/>
      <c r="DL32" s="53"/>
      <c r="DM32" s="53"/>
      <c r="DN32" s="53"/>
      <c r="DO32" s="53"/>
      <c r="DP32" s="53"/>
      <c r="DQ32" s="53"/>
      <c r="DR32" s="53"/>
      <c r="DS32" s="53"/>
      <c r="DT32" s="53"/>
      <c r="DU32" s="53"/>
      <c r="DV32" s="53"/>
      <c r="DW32" s="53"/>
      <c r="DX32" s="53"/>
      <c r="DY32" s="53"/>
      <c r="DZ32" s="53"/>
      <c r="EA32" s="53"/>
      <c r="EB32" s="53"/>
      <c r="EC32" s="53"/>
      <c r="ED32" s="53"/>
      <c r="EE32" s="53"/>
      <c r="EF32" s="53"/>
      <c r="EG32" s="53"/>
      <c r="EH32" s="53"/>
      <c r="EI32" s="53"/>
      <c r="EJ32" s="53"/>
      <c r="EK32" s="53"/>
      <c r="EL32" s="53"/>
      <c r="EM32" s="53"/>
      <c r="EN32" s="53"/>
      <c r="EO32" s="53"/>
      <c r="EP32" s="53"/>
      <c r="EQ32" s="53"/>
      <c r="ER32" s="53"/>
      <c r="ES32" s="53"/>
      <c r="ET32" s="53"/>
      <c r="EU32" s="53"/>
      <c r="EV32" s="53"/>
      <c r="EW32" s="53"/>
      <c r="EX32" s="53"/>
      <c r="EY32" s="53"/>
      <c r="EZ32" s="53"/>
      <c r="FA32" s="53"/>
      <c r="FB32" s="53"/>
      <c r="FC32" s="53"/>
      <c r="FD32" s="53"/>
      <c r="FE32" s="53"/>
    </row>
    <row r="33" customFormat="false" ht="13.5" hidden="false" customHeight="true" outlineLevel="0" collapsed="false">
      <c r="A33" s="70"/>
    </row>
    <row r="34" customFormat="false" ht="13.5" hidden="false" customHeight="true" outlineLevel="0" collapsed="false">
      <c r="A34" s="29" t="s">
        <v>6025</v>
      </c>
      <c r="B34" s="56" t="s">
        <v>6026</v>
      </c>
      <c r="C34" s="30"/>
      <c r="D34" s="30"/>
      <c r="E34" s="30"/>
      <c r="F34" s="71" t="s">
        <v>6027</v>
      </c>
      <c r="G34" s="30"/>
      <c r="H34" s="30"/>
      <c r="I34" s="30"/>
      <c r="J34" s="30"/>
      <c r="K34" s="30"/>
      <c r="L34" s="30"/>
      <c r="M34" s="30"/>
      <c r="N34" s="30"/>
      <c r="O34" s="30"/>
      <c r="P34" s="30" t="s">
        <v>6028</v>
      </c>
      <c r="Q34" s="30"/>
      <c r="R34" s="30"/>
      <c r="S34" s="30"/>
      <c r="T34" s="30"/>
      <c r="U34" s="30"/>
      <c r="V34" s="30"/>
      <c r="W34" s="30" t="s">
        <v>6029</v>
      </c>
      <c r="X34" s="30"/>
      <c r="Y34" s="30"/>
      <c r="Z34" s="30"/>
      <c r="AA34" s="30" t="s">
        <v>6030</v>
      </c>
      <c r="AB34" s="30"/>
      <c r="AC34" s="30"/>
      <c r="AD34" s="30"/>
      <c r="AE34" s="30" t="s">
        <v>6031</v>
      </c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 t="s">
        <v>5918</v>
      </c>
      <c r="BC34" s="30"/>
      <c r="BD34" s="30"/>
      <c r="BE34" s="30"/>
      <c r="BF34" s="30" t="s">
        <v>6032</v>
      </c>
      <c r="BG34" s="30"/>
      <c r="BH34" s="30"/>
      <c r="BI34" s="30"/>
      <c r="BJ34" s="30"/>
      <c r="BK34" s="30"/>
      <c r="BL34" s="30"/>
      <c r="BM34" s="30"/>
      <c r="BN34" s="30"/>
      <c r="BO34" s="72"/>
      <c r="BP34" s="30"/>
      <c r="BQ34" s="30"/>
      <c r="BR34" s="30"/>
      <c r="BS34" s="30"/>
      <c r="BT34" s="30"/>
      <c r="BU34" s="30" t="s">
        <v>6033</v>
      </c>
      <c r="BV34" s="30"/>
      <c r="BW34" s="30"/>
      <c r="BX34" s="30" t="s">
        <v>6034</v>
      </c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 t="s">
        <v>5972</v>
      </c>
      <c r="CK34" s="30"/>
      <c r="CL34" s="30" t="s">
        <v>5972</v>
      </c>
      <c r="CM34" s="30"/>
      <c r="CN34" s="30"/>
      <c r="CO34" s="31" t="s">
        <v>6035</v>
      </c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HO34" s="30"/>
      <c r="HV34" s="30"/>
      <c r="HW34" s="30"/>
      <c r="HX34" s="30"/>
      <c r="HY34" s="30"/>
      <c r="HZ34" s="30"/>
      <c r="IA34" s="30"/>
      <c r="IB34" s="30"/>
      <c r="IC34" s="30"/>
      <c r="IJ34" s="30"/>
      <c r="IQ34" s="30"/>
      <c r="IW34" s="30"/>
    </row>
    <row r="35" customFormat="false" ht="13.5" hidden="false" customHeight="true" outlineLevel="0" collapsed="false">
      <c r="A35" s="33"/>
      <c r="B35" s="73" t="s">
        <v>455</v>
      </c>
      <c r="D35" s="58"/>
      <c r="E35" s="35"/>
      <c r="F35" s="36" t="s">
        <v>5070</v>
      </c>
      <c r="I35" s="35"/>
      <c r="J35" s="35"/>
      <c r="L35" s="35"/>
      <c r="M35" s="35"/>
      <c r="P35" s="35" t="s">
        <v>464</v>
      </c>
      <c r="Q35" s="35"/>
      <c r="S35" s="35"/>
      <c r="T35" s="35"/>
      <c r="W35" s="35" t="s">
        <v>464</v>
      </c>
      <c r="X35" s="35"/>
      <c r="Y35" s="35"/>
      <c r="Z35" s="35"/>
      <c r="AA35" s="35" t="s">
        <v>464</v>
      </c>
      <c r="AD35" s="35"/>
      <c r="AE35" s="35" t="s">
        <v>464</v>
      </c>
      <c r="AF35" s="35"/>
      <c r="AG35" s="35"/>
      <c r="AH35" s="35"/>
      <c r="AK35" s="35"/>
      <c r="AL35" s="35"/>
      <c r="AM35" s="35"/>
      <c r="AO35" s="35"/>
      <c r="AR35" s="35"/>
      <c r="AT35" s="35"/>
      <c r="AV35" s="35"/>
      <c r="AY35" s="35"/>
      <c r="AZ35" s="35"/>
      <c r="BA35" s="35"/>
      <c r="BB35" s="35" t="s">
        <v>464</v>
      </c>
      <c r="BC35" s="35"/>
      <c r="BD35" s="35"/>
      <c r="BE35" s="35"/>
      <c r="BF35" s="35" t="s">
        <v>464</v>
      </c>
      <c r="BG35" s="35"/>
      <c r="BH35" s="35"/>
      <c r="BI35" s="35"/>
      <c r="BM35" s="35"/>
      <c r="BN35" s="35"/>
      <c r="BO35" s="35"/>
      <c r="BQ35" s="35"/>
      <c r="BR35" s="35"/>
      <c r="BS35" s="35"/>
      <c r="BT35" s="35"/>
      <c r="BU35" s="35" t="s">
        <v>464</v>
      </c>
      <c r="BV35" s="35"/>
      <c r="BW35" s="35"/>
      <c r="BX35" s="35" t="s">
        <v>464</v>
      </c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 t="s">
        <v>464</v>
      </c>
      <c r="CK35" s="35"/>
      <c r="CL35" s="35" t="s">
        <v>464</v>
      </c>
      <c r="CM35" s="35"/>
      <c r="CN35" s="35"/>
      <c r="CO35" s="35" t="s">
        <v>464</v>
      </c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  <c r="DL35" s="35"/>
      <c r="DM35" s="35"/>
      <c r="DN35" s="35"/>
      <c r="DO35" s="35"/>
      <c r="DP35" s="35"/>
      <c r="DQ35" s="35"/>
      <c r="DR35" s="35"/>
      <c r="DS35" s="35"/>
      <c r="DT35" s="35"/>
    </row>
    <row r="36" customFormat="false" ht="12.2" hidden="false" customHeight="true" outlineLevel="0" collapsed="false">
      <c r="A36" s="37"/>
      <c r="B36" s="74" t="s">
        <v>6036</v>
      </c>
      <c r="D36" s="58"/>
      <c r="E36" s="36"/>
      <c r="F36" s="36" t="s">
        <v>5930</v>
      </c>
      <c r="I36" s="36"/>
      <c r="J36" s="36"/>
      <c r="L36" s="36"/>
      <c r="M36" s="36"/>
      <c r="P36" s="36" t="s">
        <v>6037</v>
      </c>
      <c r="Q36" s="36"/>
      <c r="S36" s="36"/>
      <c r="T36" s="36"/>
      <c r="W36" s="36" t="s">
        <v>6038</v>
      </c>
      <c r="X36" s="36"/>
      <c r="Y36" s="36"/>
      <c r="Z36" s="36"/>
      <c r="AA36" s="36" t="s">
        <v>6039</v>
      </c>
      <c r="AD36" s="36"/>
      <c r="AE36" s="36" t="s">
        <v>6037</v>
      </c>
      <c r="AF36" s="36"/>
      <c r="AG36" s="36"/>
      <c r="AH36" s="36"/>
      <c r="AK36" s="36"/>
      <c r="AL36" s="36"/>
      <c r="AM36" s="36"/>
      <c r="AO36" s="36"/>
      <c r="AR36" s="36"/>
      <c r="AT36" s="36"/>
      <c r="AV36" s="36"/>
      <c r="AY36" s="36"/>
      <c r="AZ36" s="36"/>
      <c r="BA36" s="36"/>
      <c r="BB36" s="36" t="s">
        <v>6038</v>
      </c>
      <c r="BC36" s="36"/>
      <c r="BD36" s="36"/>
      <c r="BE36" s="36"/>
      <c r="BF36" s="36" t="s">
        <v>6037</v>
      </c>
      <c r="BG36" s="36"/>
      <c r="BH36" s="36"/>
      <c r="BI36" s="36"/>
      <c r="BM36" s="36"/>
      <c r="BN36" s="36"/>
      <c r="BO36" s="35"/>
      <c r="BQ36" s="36"/>
      <c r="BR36" s="36"/>
      <c r="BS36" s="36"/>
      <c r="BT36" s="36"/>
      <c r="BU36" s="36" t="s">
        <v>6038</v>
      </c>
      <c r="BV36" s="36"/>
      <c r="BW36" s="36"/>
      <c r="BX36" s="36" t="s">
        <v>6037</v>
      </c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 t="s">
        <v>6038</v>
      </c>
      <c r="CK36" s="36"/>
      <c r="CL36" s="36" t="s">
        <v>6039</v>
      </c>
      <c r="CM36" s="36"/>
      <c r="CN36" s="36"/>
      <c r="CO36" s="36" t="s">
        <v>6037</v>
      </c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6"/>
      <c r="DK36" s="36"/>
      <c r="DL36" s="36"/>
      <c r="DM36" s="36"/>
      <c r="DN36" s="36"/>
      <c r="DO36" s="36"/>
      <c r="DP36" s="36"/>
      <c r="DQ36" s="36"/>
      <c r="DR36" s="36"/>
      <c r="DS36" s="36"/>
      <c r="DT36" s="36"/>
    </row>
    <row r="37" customFormat="false" ht="13.5" hidden="false" customHeight="true" outlineLevel="0" collapsed="false">
      <c r="A37" s="38"/>
      <c r="B37" s="39" t="s">
        <v>6040</v>
      </c>
      <c r="D37" s="58"/>
      <c r="E37" s="39"/>
      <c r="F37" s="75" t="s">
        <v>6041</v>
      </c>
      <c r="I37" s="35"/>
      <c r="J37" s="35"/>
      <c r="L37" s="35"/>
      <c r="M37" s="35"/>
      <c r="P37" s="39" t="s">
        <v>6042</v>
      </c>
      <c r="Q37" s="35"/>
      <c r="S37" s="35"/>
      <c r="T37" s="35"/>
      <c r="W37" s="39" t="s">
        <v>6043</v>
      </c>
      <c r="X37" s="35"/>
      <c r="Y37" s="35"/>
      <c r="Z37" s="35"/>
      <c r="AA37" s="39" t="s">
        <v>6040</v>
      </c>
      <c r="AD37" s="35"/>
      <c r="AE37" s="35" t="s">
        <v>6044</v>
      </c>
      <c r="AF37" s="35"/>
      <c r="AG37" s="35"/>
      <c r="AH37" s="35"/>
      <c r="AK37" s="35"/>
      <c r="AL37" s="35"/>
      <c r="AM37" s="35"/>
      <c r="AO37" s="35"/>
      <c r="AR37" s="35"/>
      <c r="AT37" s="35"/>
      <c r="AV37" s="35"/>
      <c r="AY37" s="35"/>
      <c r="AZ37" s="35"/>
      <c r="BA37" s="35"/>
      <c r="BB37" s="35" t="s">
        <v>6045</v>
      </c>
      <c r="BC37" s="35"/>
      <c r="BD37" s="35"/>
      <c r="BE37" s="35"/>
      <c r="BF37" s="35" t="s">
        <v>6046</v>
      </c>
      <c r="BG37" s="35"/>
      <c r="BH37" s="35"/>
      <c r="BI37" s="35"/>
      <c r="BM37" s="35"/>
      <c r="BN37" s="35"/>
      <c r="BO37" s="58"/>
      <c r="BQ37" s="35"/>
      <c r="BR37" s="35"/>
      <c r="BS37" s="35"/>
      <c r="BT37" s="35"/>
      <c r="BU37" s="35" t="s">
        <v>6043</v>
      </c>
      <c r="BV37" s="35"/>
      <c r="BW37" s="35"/>
      <c r="BX37" s="35" t="s">
        <v>6047</v>
      </c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 t="s">
        <v>6048</v>
      </c>
      <c r="CK37" s="35"/>
      <c r="CL37" s="35" t="s">
        <v>6049</v>
      </c>
      <c r="CM37" s="35"/>
      <c r="CN37" s="35"/>
      <c r="CO37" s="35" t="s">
        <v>6050</v>
      </c>
      <c r="CP37" s="35"/>
      <c r="CQ37" s="35"/>
      <c r="CR37" s="35"/>
      <c r="CS37" s="35"/>
      <c r="CT37" s="35"/>
      <c r="CU37" s="35"/>
      <c r="CV37" s="35"/>
      <c r="CW37" s="35"/>
      <c r="CX37" s="35"/>
      <c r="CY37" s="35"/>
      <c r="CZ37" s="35"/>
      <c r="DA37" s="35"/>
      <c r="DB37" s="35"/>
      <c r="DC37" s="35"/>
      <c r="DD37" s="35"/>
      <c r="DE37" s="35"/>
      <c r="DF37" s="35"/>
      <c r="DG37" s="35"/>
      <c r="DH37" s="35"/>
      <c r="DI37" s="35"/>
      <c r="DJ37" s="35"/>
      <c r="DK37" s="35"/>
      <c r="DL37" s="35"/>
      <c r="DM37" s="35"/>
      <c r="DN37" s="35"/>
      <c r="DO37" s="35"/>
      <c r="DP37" s="35"/>
      <c r="DQ37" s="35"/>
      <c r="DR37" s="35"/>
      <c r="DS37" s="35"/>
      <c r="DT37" s="35"/>
    </row>
    <row r="38" customFormat="false" ht="13.5" hidden="false" customHeight="true" outlineLevel="0" collapsed="false">
      <c r="A38" s="41" t="s">
        <v>5946</v>
      </c>
      <c r="B38" s="42" t="n">
        <v>23</v>
      </c>
      <c r="C38" s="42" t="n">
        <v>24</v>
      </c>
      <c r="D38" s="42" t="n">
        <v>25</v>
      </c>
      <c r="E38" s="42" t="n">
        <v>26</v>
      </c>
      <c r="F38" s="42" t="n">
        <v>27</v>
      </c>
      <c r="G38" s="43" t="n">
        <v>28</v>
      </c>
      <c r="H38" s="43" t="s">
        <v>5947</v>
      </c>
      <c r="I38" s="42" t="n">
        <v>2</v>
      </c>
      <c r="J38" s="42" t="n">
        <v>3</v>
      </c>
      <c r="K38" s="42" t="n">
        <v>4</v>
      </c>
      <c r="L38" s="42" t="n">
        <v>5</v>
      </c>
      <c r="M38" s="42" t="n">
        <v>6</v>
      </c>
      <c r="N38" s="43" t="n">
        <v>7</v>
      </c>
      <c r="O38" s="43" t="n">
        <v>8</v>
      </c>
      <c r="P38" s="42" t="n">
        <v>9</v>
      </c>
      <c r="Q38" s="42" t="n">
        <v>10</v>
      </c>
      <c r="R38" s="42" t="n">
        <v>11</v>
      </c>
      <c r="S38" s="42" t="n">
        <v>12</v>
      </c>
      <c r="T38" s="42" t="n">
        <v>13</v>
      </c>
      <c r="U38" s="43" t="n">
        <v>14</v>
      </c>
      <c r="V38" s="43" t="n">
        <v>15</v>
      </c>
      <c r="W38" s="42" t="n">
        <v>16</v>
      </c>
      <c r="X38" s="42" t="n">
        <v>17</v>
      </c>
      <c r="Y38" s="42" t="n">
        <v>18</v>
      </c>
      <c r="Z38" s="42" t="n">
        <v>19</v>
      </c>
      <c r="AA38" s="42" t="n">
        <v>20</v>
      </c>
      <c r="AB38" s="43" t="n">
        <v>21</v>
      </c>
      <c r="AC38" s="43" t="n">
        <v>22</v>
      </c>
      <c r="AD38" s="42" t="n">
        <v>23</v>
      </c>
      <c r="AE38" s="42" t="n">
        <v>24</v>
      </c>
      <c r="AF38" s="42" t="n">
        <v>25</v>
      </c>
      <c r="AG38" s="42" t="n">
        <v>26</v>
      </c>
      <c r="AH38" s="42" t="n">
        <v>27</v>
      </c>
      <c r="AI38" s="43" t="n">
        <v>28</v>
      </c>
      <c r="AJ38" s="43" t="n">
        <v>29</v>
      </c>
      <c r="AK38" s="42" t="n">
        <v>30</v>
      </c>
      <c r="AL38" s="42" t="n">
        <v>31</v>
      </c>
      <c r="AM38" s="42" t="s">
        <v>5948</v>
      </c>
      <c r="AN38" s="42" t="n">
        <v>2</v>
      </c>
      <c r="AO38" s="42" t="n">
        <v>3</v>
      </c>
      <c r="AP38" s="43" t="n">
        <v>4</v>
      </c>
      <c r="AQ38" s="43" t="n">
        <v>5</v>
      </c>
      <c r="AR38" s="42" t="n">
        <v>6</v>
      </c>
      <c r="AS38" s="42" t="n">
        <v>7</v>
      </c>
      <c r="AT38" s="42" t="n">
        <v>8</v>
      </c>
      <c r="AU38" s="42" t="n">
        <v>9</v>
      </c>
      <c r="AV38" s="42" t="n">
        <v>10</v>
      </c>
      <c r="AW38" s="43" t="n">
        <v>11</v>
      </c>
      <c r="AX38" s="43" t="n">
        <v>12</v>
      </c>
      <c r="AY38" s="42" t="n">
        <v>13</v>
      </c>
      <c r="AZ38" s="42" t="n">
        <v>14</v>
      </c>
      <c r="BA38" s="42" t="n">
        <v>15</v>
      </c>
      <c r="BB38" s="42" t="n">
        <v>16</v>
      </c>
      <c r="BC38" s="42" t="n">
        <v>17</v>
      </c>
      <c r="BD38" s="43" t="n">
        <v>18</v>
      </c>
      <c r="BE38" s="43" t="n">
        <v>19</v>
      </c>
      <c r="BF38" s="42" t="n">
        <v>20</v>
      </c>
      <c r="BG38" s="42" t="n">
        <v>21</v>
      </c>
      <c r="BH38" s="42" t="n">
        <v>22</v>
      </c>
      <c r="BI38" s="42" t="n">
        <v>23</v>
      </c>
      <c r="BJ38" s="42" t="n">
        <v>24</v>
      </c>
      <c r="BK38" s="43" t="n">
        <v>25</v>
      </c>
      <c r="BL38" s="43" t="n">
        <v>26</v>
      </c>
      <c r="BM38" s="43" t="n">
        <v>27</v>
      </c>
      <c r="BN38" s="42" t="n">
        <v>28</v>
      </c>
      <c r="BO38" s="42" t="n">
        <v>29</v>
      </c>
      <c r="BP38" s="43" t="n">
        <v>30</v>
      </c>
      <c r="BQ38" s="43" t="s">
        <v>5949</v>
      </c>
      <c r="BR38" s="43" t="n">
        <v>2</v>
      </c>
      <c r="BS38" s="43" t="n">
        <v>3</v>
      </c>
      <c r="BT38" s="42" t="n">
        <v>4</v>
      </c>
      <c r="BU38" s="42" t="n">
        <v>5</v>
      </c>
      <c r="BV38" s="42" t="n">
        <v>6</v>
      </c>
      <c r="BW38" s="42" t="n">
        <v>7</v>
      </c>
      <c r="BX38" s="42" t="n">
        <v>8</v>
      </c>
      <c r="BY38" s="43" t="n">
        <v>9</v>
      </c>
      <c r="BZ38" s="43" t="n">
        <v>10</v>
      </c>
      <c r="CA38" s="42" t="n">
        <v>11</v>
      </c>
      <c r="CB38" s="42" t="n">
        <v>12</v>
      </c>
      <c r="CC38" s="42" t="n">
        <v>13</v>
      </c>
      <c r="CD38" s="42" t="n">
        <v>14</v>
      </c>
      <c r="CE38" s="42" t="n">
        <v>15</v>
      </c>
      <c r="CF38" s="43" t="n">
        <v>16</v>
      </c>
      <c r="CG38" s="43" t="n">
        <v>17</v>
      </c>
      <c r="CH38" s="42" t="n">
        <v>18</v>
      </c>
      <c r="CI38" s="42" t="n">
        <v>19</v>
      </c>
      <c r="CJ38" s="42" t="n">
        <v>20</v>
      </c>
      <c r="CK38" s="42" t="n">
        <v>21</v>
      </c>
      <c r="CL38" s="42" t="n">
        <v>22</v>
      </c>
      <c r="CM38" s="43" t="n">
        <v>23</v>
      </c>
      <c r="CN38" s="43" t="n">
        <v>24</v>
      </c>
      <c r="CO38" s="42" t="n">
        <v>25</v>
      </c>
      <c r="CP38" s="42" t="n">
        <v>26</v>
      </c>
      <c r="CQ38" s="42" t="n">
        <v>27</v>
      </c>
      <c r="CR38" s="42" t="n">
        <v>28</v>
      </c>
      <c r="CS38" s="42" t="n">
        <v>29</v>
      </c>
      <c r="CT38" s="43" t="n">
        <v>30</v>
      </c>
      <c r="CU38" s="43" t="n">
        <v>31</v>
      </c>
      <c r="CV38" s="42" t="s">
        <v>5950</v>
      </c>
      <c r="CW38" s="42" t="n">
        <v>2</v>
      </c>
      <c r="CX38" s="42" t="n">
        <v>3</v>
      </c>
      <c r="CY38" s="42" t="n">
        <v>4</v>
      </c>
      <c r="CZ38" s="42" t="n">
        <v>5</v>
      </c>
      <c r="DA38" s="43" t="n">
        <v>6</v>
      </c>
      <c r="DB38" s="43" t="n">
        <v>7</v>
      </c>
      <c r="DC38" s="42" t="n">
        <v>8</v>
      </c>
      <c r="DD38" s="42" t="n">
        <v>9</v>
      </c>
      <c r="DE38" s="42" t="n">
        <v>10</v>
      </c>
      <c r="DF38" s="42" t="n">
        <v>11</v>
      </c>
      <c r="DG38" s="42" t="n">
        <v>12</v>
      </c>
      <c r="DH38" s="43" t="n">
        <v>13</v>
      </c>
      <c r="DI38" s="43" t="n">
        <v>14</v>
      </c>
      <c r="DJ38" s="42" t="n">
        <v>15</v>
      </c>
      <c r="DK38" s="42" t="n">
        <v>16</v>
      </c>
      <c r="DL38" s="42" t="n">
        <v>17</v>
      </c>
      <c r="DM38" s="42" t="n">
        <v>18</v>
      </c>
      <c r="DN38" s="42" t="n">
        <v>19</v>
      </c>
      <c r="DO38" s="43" t="n">
        <v>20</v>
      </c>
      <c r="DP38" s="43" t="n">
        <v>21</v>
      </c>
      <c r="DQ38" s="42" t="n">
        <v>22</v>
      </c>
      <c r="DR38" s="42" t="n">
        <v>23</v>
      </c>
      <c r="DS38" s="42" t="n">
        <v>24</v>
      </c>
      <c r="DT38" s="42" t="n">
        <v>25</v>
      </c>
      <c r="DU38" s="42" t="n">
        <v>26</v>
      </c>
      <c r="DV38" s="43" t="n">
        <v>27</v>
      </c>
      <c r="DW38" s="43" t="n">
        <v>28</v>
      </c>
      <c r="DX38" s="42" t="n">
        <v>29</v>
      </c>
      <c r="DY38" s="42" t="n">
        <v>30</v>
      </c>
      <c r="DZ38" s="42" t="s">
        <v>5951</v>
      </c>
      <c r="EA38" s="42" t="n">
        <v>2</v>
      </c>
      <c r="EB38" s="42" t="n">
        <v>3</v>
      </c>
      <c r="EC38" s="43" t="n">
        <v>4</v>
      </c>
      <c r="ED38" s="43" t="n">
        <v>5</v>
      </c>
      <c r="EE38" s="42" t="n">
        <v>6</v>
      </c>
      <c r="EF38" s="42" t="n">
        <v>7</v>
      </c>
      <c r="EG38" s="42" t="n">
        <v>8</v>
      </c>
      <c r="EH38" s="42" t="n">
        <v>9</v>
      </c>
      <c r="EI38" s="42" t="n">
        <v>10</v>
      </c>
      <c r="EJ38" s="43" t="n">
        <v>11</v>
      </c>
      <c r="EK38" s="43" t="n">
        <v>12</v>
      </c>
      <c r="EL38" s="42" t="n">
        <v>13</v>
      </c>
      <c r="EM38" s="42" t="n">
        <v>14</v>
      </c>
      <c r="EN38" s="42" t="n">
        <v>15</v>
      </c>
      <c r="EO38" s="42" t="n">
        <v>16</v>
      </c>
      <c r="EP38" s="42" t="n">
        <v>17</v>
      </c>
      <c r="EQ38" s="43" t="n">
        <v>18</v>
      </c>
      <c r="ER38" s="43" t="n">
        <v>19</v>
      </c>
      <c r="ES38" s="42" t="n">
        <v>20</v>
      </c>
      <c r="ET38" s="42" t="n">
        <v>21</v>
      </c>
      <c r="EU38" s="42" t="n">
        <v>22</v>
      </c>
      <c r="EV38" s="42" t="n">
        <v>23</v>
      </c>
      <c r="EW38" s="42" t="n">
        <v>24</v>
      </c>
      <c r="EX38" s="43" t="n">
        <v>25</v>
      </c>
      <c r="EY38" s="43" t="n">
        <v>26</v>
      </c>
      <c r="EZ38" s="42" t="n">
        <v>27</v>
      </c>
      <c r="FA38" s="42" t="n">
        <v>28</v>
      </c>
      <c r="FB38" s="42" t="n">
        <v>29</v>
      </c>
      <c r="FC38" s="42" t="n">
        <v>30</v>
      </c>
      <c r="FD38" s="42" t="n">
        <v>31</v>
      </c>
      <c r="FE38" s="42"/>
    </row>
    <row r="39" customFormat="false" ht="13.5" hidden="false" customHeight="true" outlineLevel="0" collapsed="false">
      <c r="A39" s="41" t="s">
        <v>5952</v>
      </c>
      <c r="B39" s="44" t="n">
        <v>684</v>
      </c>
      <c r="C39" s="44" t="n">
        <v>1184</v>
      </c>
      <c r="D39" s="44" t="n">
        <v>1700</v>
      </c>
      <c r="E39" s="44" t="n">
        <v>1432</v>
      </c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 t="n">
        <v>2000</v>
      </c>
      <c r="Q39" s="44" t="n">
        <v>2100</v>
      </c>
      <c r="R39" s="44" t="n">
        <v>2200</v>
      </c>
      <c r="S39" s="44" t="n">
        <v>2300</v>
      </c>
      <c r="T39" s="44" t="n">
        <v>2400</v>
      </c>
      <c r="U39" s="44"/>
      <c r="V39" s="44"/>
      <c r="W39" s="44" t="n">
        <v>1000</v>
      </c>
      <c r="X39" s="44" t="n">
        <v>2500</v>
      </c>
      <c r="Y39" s="44" t="n">
        <v>2500</v>
      </c>
      <c r="Z39" s="44" t="n">
        <v>2500</v>
      </c>
      <c r="AA39" s="44" t="n">
        <v>2100</v>
      </c>
      <c r="AB39" s="44"/>
      <c r="AC39" s="44"/>
      <c r="AD39" s="44" t="n">
        <v>2500</v>
      </c>
      <c r="AE39" s="44" t="n">
        <v>2100</v>
      </c>
      <c r="AF39" s="44" t="n">
        <v>2500</v>
      </c>
      <c r="AG39" s="44" t="n">
        <v>2500</v>
      </c>
      <c r="AH39" s="44" t="n">
        <v>2500</v>
      </c>
      <c r="AI39" s="44"/>
      <c r="AJ39" s="44"/>
      <c r="AK39" s="44" t="n">
        <v>2500</v>
      </c>
      <c r="AL39" s="44" t="n">
        <v>2500</v>
      </c>
      <c r="AM39" s="44" t="n">
        <v>2500</v>
      </c>
      <c r="AN39" s="44" t="n">
        <v>2500</v>
      </c>
      <c r="AO39" s="44" t="n">
        <v>2500</v>
      </c>
      <c r="AP39" s="44"/>
      <c r="AQ39" s="44"/>
      <c r="AR39" s="44" t="n">
        <v>2500</v>
      </c>
      <c r="AS39" s="44" t="n">
        <v>2500</v>
      </c>
      <c r="AT39" s="44" t="n">
        <v>2500</v>
      </c>
      <c r="AU39" s="44" t="n">
        <v>2500</v>
      </c>
      <c r="AV39" s="44" t="n">
        <v>2500</v>
      </c>
      <c r="AW39" s="44"/>
      <c r="AX39" s="44"/>
      <c r="AY39" s="44" t="n">
        <v>2500</v>
      </c>
      <c r="AZ39" s="44" t="n">
        <v>2500</v>
      </c>
      <c r="BA39" s="44" t="n">
        <v>2500</v>
      </c>
      <c r="BB39" s="44" t="n">
        <v>600</v>
      </c>
      <c r="BC39" s="44" t="n">
        <v>2500</v>
      </c>
      <c r="BD39" s="44"/>
      <c r="BE39" s="44"/>
      <c r="BF39" s="44" t="n">
        <v>2100</v>
      </c>
      <c r="BG39" s="44" t="n">
        <v>3150</v>
      </c>
      <c r="BH39" s="44" t="n">
        <v>3150</v>
      </c>
      <c r="BI39" s="44" t="n">
        <v>3150</v>
      </c>
      <c r="BJ39" s="44" t="n">
        <v>3150</v>
      </c>
      <c r="BK39" s="44"/>
      <c r="BL39" s="44"/>
      <c r="BM39" s="44"/>
      <c r="BN39" s="44" t="n">
        <v>3150</v>
      </c>
      <c r="BO39" s="44" t="n">
        <v>3150</v>
      </c>
      <c r="BP39" s="44"/>
      <c r="BQ39" s="44"/>
      <c r="BR39" s="44"/>
      <c r="BS39" s="44"/>
      <c r="BT39" s="44" t="n">
        <v>3150</v>
      </c>
      <c r="BU39" s="44" t="n">
        <v>872</v>
      </c>
      <c r="BV39" s="44" t="n">
        <v>3150</v>
      </c>
      <c r="BW39" s="44" t="n">
        <v>3150</v>
      </c>
      <c r="BX39" s="44" t="n">
        <v>2422</v>
      </c>
      <c r="BY39" s="44"/>
      <c r="BZ39" s="44"/>
      <c r="CA39" s="44" t="n">
        <v>3150</v>
      </c>
      <c r="CB39" s="44" t="n">
        <v>3150</v>
      </c>
      <c r="CC39" s="44" t="n">
        <v>3150</v>
      </c>
      <c r="CD39" s="44" t="n">
        <v>3150</v>
      </c>
      <c r="CE39" s="44" t="n">
        <v>3150</v>
      </c>
      <c r="CF39" s="44"/>
      <c r="CG39" s="44"/>
      <c r="CH39" s="44" t="n">
        <v>3150</v>
      </c>
      <c r="CI39" s="44" t="n">
        <v>3150</v>
      </c>
      <c r="CJ39" s="44" t="n">
        <v>1641</v>
      </c>
      <c r="CK39" s="44" t="n">
        <v>3150</v>
      </c>
      <c r="CL39" s="44" t="n">
        <v>2221</v>
      </c>
      <c r="CM39" s="44" t="n">
        <v>2500</v>
      </c>
      <c r="CN39" s="44"/>
      <c r="CO39" s="44" t="n">
        <v>1915</v>
      </c>
      <c r="CP39" s="44" t="n">
        <v>3150</v>
      </c>
      <c r="CQ39" s="44" t="n">
        <v>3150</v>
      </c>
      <c r="CR39" s="44" t="n">
        <v>3150</v>
      </c>
      <c r="CS39" s="44" t="n">
        <v>3150</v>
      </c>
      <c r="CT39" s="44"/>
      <c r="CU39" s="44"/>
      <c r="CV39" s="44" t="n">
        <v>3150</v>
      </c>
      <c r="CW39" s="44" t="n">
        <v>3150</v>
      </c>
      <c r="CX39" s="44" t="n">
        <v>3150</v>
      </c>
      <c r="CY39" s="44" t="n">
        <v>3150</v>
      </c>
      <c r="CZ39" s="44" t="n">
        <v>3150</v>
      </c>
      <c r="DA39" s="44" t="n">
        <v>2500</v>
      </c>
      <c r="DB39" s="44"/>
      <c r="DC39" s="44" t="n">
        <v>3150</v>
      </c>
      <c r="DD39" s="44" t="n">
        <v>3150</v>
      </c>
      <c r="DE39" s="44" t="n">
        <v>3150</v>
      </c>
      <c r="DF39" s="44" t="n">
        <v>3150</v>
      </c>
      <c r="DG39" s="44" t="n">
        <v>3150</v>
      </c>
      <c r="DH39" s="44"/>
      <c r="DI39" s="44"/>
      <c r="DJ39" s="44" t="n">
        <v>3150</v>
      </c>
      <c r="DK39" s="44" t="n">
        <v>3150</v>
      </c>
      <c r="DL39" s="44" t="n">
        <v>3150</v>
      </c>
      <c r="DM39" s="44" t="n">
        <v>3150</v>
      </c>
      <c r="DN39" s="44" t="n">
        <v>3150</v>
      </c>
      <c r="DO39" s="44"/>
      <c r="DP39" s="44"/>
      <c r="DQ39" s="44"/>
      <c r="DR39" s="44"/>
      <c r="DS39" s="44"/>
      <c r="DT39" s="44"/>
      <c r="DU39" s="44"/>
      <c r="DV39" s="44"/>
      <c r="DW39" s="44"/>
      <c r="DX39" s="44"/>
      <c r="DY39" s="44"/>
      <c r="DZ39" s="44"/>
      <c r="EA39" s="44"/>
      <c r="EB39" s="44"/>
      <c r="EC39" s="44"/>
      <c r="ED39" s="44"/>
      <c r="EE39" s="44"/>
      <c r="EF39" s="44"/>
      <c r="EG39" s="44"/>
      <c r="EH39" s="44"/>
      <c r="EI39" s="44"/>
      <c r="EJ39" s="44"/>
      <c r="EK39" s="44"/>
      <c r="EL39" s="44"/>
      <c r="EM39" s="44"/>
      <c r="EN39" s="44"/>
      <c r="EO39" s="44"/>
      <c r="EP39" s="44"/>
      <c r="EQ39" s="44"/>
      <c r="ER39" s="44"/>
      <c r="ES39" s="44"/>
      <c r="ET39" s="44"/>
      <c r="EU39" s="44"/>
      <c r="EV39" s="44"/>
      <c r="EW39" s="44"/>
      <c r="EX39" s="44"/>
      <c r="EY39" s="44"/>
      <c r="EZ39" s="44"/>
      <c r="FA39" s="44"/>
      <c r="FB39" s="44"/>
      <c r="FC39" s="44"/>
      <c r="FD39" s="44"/>
      <c r="FE39" s="44"/>
    </row>
    <row r="40" customFormat="false" ht="13.5" hidden="false" customHeight="true" outlineLevel="0" collapsed="false">
      <c r="A40" s="41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 t="n">
        <f aca="false">2400-W39</f>
        <v>1400</v>
      </c>
      <c r="X40" s="45"/>
      <c r="Y40" s="45"/>
      <c r="Z40" s="45"/>
      <c r="AA40" s="45" t="n">
        <f aca="false">2500-AA39</f>
        <v>400</v>
      </c>
      <c r="AB40" s="45"/>
      <c r="AC40" s="45"/>
      <c r="AD40" s="45"/>
      <c r="AE40" s="45" t="n">
        <f aca="false">2500-AE39</f>
        <v>400</v>
      </c>
      <c r="AF40" s="63"/>
      <c r="AG40" s="63"/>
      <c r="AH40" s="63"/>
      <c r="AI40" s="45"/>
      <c r="AJ40" s="45"/>
      <c r="AK40" s="63"/>
      <c r="AL40" s="63"/>
      <c r="AM40" s="63"/>
      <c r="AN40" s="63"/>
      <c r="AO40" s="63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 t="n">
        <f aca="false">2500-BB39</f>
        <v>1900</v>
      </c>
      <c r="BC40" s="45"/>
      <c r="BD40" s="45"/>
      <c r="BE40" s="45"/>
      <c r="BF40" s="45" t="n">
        <f aca="false">3150-BF39</f>
        <v>1050</v>
      </c>
      <c r="BG40" s="45"/>
      <c r="BH40" s="45"/>
      <c r="BI40" s="45"/>
      <c r="BJ40" s="45"/>
      <c r="BK40" s="45"/>
      <c r="BL40" s="45"/>
      <c r="BM40" s="45"/>
      <c r="BN40" s="45"/>
      <c r="BO40" s="45"/>
      <c r="BP40" s="45"/>
      <c r="BQ40" s="45"/>
      <c r="BR40" s="45"/>
      <c r="BS40" s="45"/>
      <c r="BT40" s="45" t="n">
        <f aca="false">3150-BT39</f>
        <v>0</v>
      </c>
      <c r="BU40" s="45" t="n">
        <f aca="false">3150-BU39</f>
        <v>2278</v>
      </c>
      <c r="BV40" s="45"/>
      <c r="BW40" s="45"/>
      <c r="BX40" s="45" t="n">
        <f aca="false">3150-BX39</f>
        <v>728</v>
      </c>
      <c r="BY40" s="45"/>
      <c r="BZ40" s="45"/>
      <c r="CA40" s="45"/>
      <c r="CB40" s="45"/>
      <c r="CC40" s="45"/>
      <c r="CD40" s="45"/>
      <c r="CE40" s="45"/>
      <c r="CF40" s="45"/>
      <c r="CG40" s="45"/>
      <c r="CH40" s="45"/>
      <c r="CI40" s="45"/>
      <c r="CJ40" s="45" t="n">
        <f aca="false">3150-CJ39</f>
        <v>1509</v>
      </c>
      <c r="CK40" s="45"/>
      <c r="CL40" s="45" t="n">
        <f aca="false">3150-CL39</f>
        <v>929</v>
      </c>
      <c r="CM40" s="45"/>
      <c r="CN40" s="45"/>
      <c r="CO40" s="45" t="n">
        <f aca="false">3150-CO39</f>
        <v>1235</v>
      </c>
      <c r="CP40" s="45"/>
      <c r="CQ40" s="45"/>
      <c r="CR40" s="45"/>
      <c r="CS40" s="45"/>
      <c r="CT40" s="45"/>
      <c r="CU40" s="45"/>
      <c r="CV40" s="45"/>
      <c r="CW40" s="45"/>
      <c r="CX40" s="45"/>
      <c r="CY40" s="45"/>
      <c r="CZ40" s="45"/>
      <c r="DA40" s="45"/>
      <c r="DB40" s="45"/>
      <c r="DC40" s="45"/>
      <c r="DD40" s="45"/>
      <c r="DE40" s="45"/>
      <c r="DF40" s="45"/>
      <c r="DG40" s="45"/>
      <c r="DH40" s="45"/>
      <c r="DI40" s="45"/>
      <c r="DJ40" s="45"/>
      <c r="DK40" s="45"/>
      <c r="DL40" s="45"/>
      <c r="DM40" s="45"/>
      <c r="DN40" s="45"/>
      <c r="DO40" s="45"/>
      <c r="DP40" s="45"/>
      <c r="DQ40" s="45"/>
      <c r="DR40" s="45"/>
      <c r="DS40" s="45"/>
      <c r="DT40" s="45"/>
      <c r="DU40" s="45"/>
      <c r="DV40" s="45"/>
      <c r="DW40" s="45"/>
      <c r="DX40" s="45"/>
      <c r="DY40" s="45"/>
      <c r="DZ40" s="45"/>
      <c r="EA40" s="45"/>
      <c r="EB40" s="45"/>
      <c r="EC40" s="45"/>
      <c r="ED40" s="45"/>
      <c r="EE40" s="45"/>
      <c r="EF40" s="45"/>
      <c r="EG40" s="45"/>
      <c r="EH40" s="45"/>
      <c r="EI40" s="45"/>
      <c r="EJ40" s="45"/>
      <c r="EK40" s="45"/>
      <c r="EL40" s="45"/>
      <c r="EM40" s="45"/>
      <c r="EN40" s="45"/>
      <c r="EO40" s="45"/>
      <c r="EP40" s="45"/>
      <c r="EQ40" s="45"/>
      <c r="ER40" s="45"/>
      <c r="ES40" s="45"/>
      <c r="ET40" s="45"/>
      <c r="EU40" s="45"/>
      <c r="EV40" s="45"/>
      <c r="EW40" s="45"/>
      <c r="EX40" s="45"/>
      <c r="EY40" s="45"/>
      <c r="EZ40" s="45"/>
      <c r="FA40" s="45"/>
      <c r="FB40" s="45"/>
      <c r="FC40" s="45"/>
      <c r="FD40" s="45"/>
      <c r="FE40" s="45"/>
      <c r="HO40" s="45"/>
      <c r="HV40" s="45"/>
      <c r="HW40" s="45"/>
      <c r="HX40" s="45"/>
      <c r="HY40" s="45"/>
      <c r="HZ40" s="45"/>
      <c r="IA40" s="45"/>
      <c r="IB40" s="45"/>
      <c r="IC40" s="45"/>
      <c r="IJ40" s="45"/>
      <c r="IQ40" s="45"/>
      <c r="IW40" s="45"/>
    </row>
    <row r="41" customFormat="false" ht="13.5" hidden="false" customHeight="true" outlineLevel="0" collapsed="false">
      <c r="A41" s="61"/>
      <c r="B41" s="47" t="s">
        <v>5953</v>
      </c>
      <c r="C41" s="49"/>
      <c r="D41" s="48"/>
      <c r="E41" s="49"/>
      <c r="F41" s="47" t="s">
        <v>5953</v>
      </c>
      <c r="G41" s="49"/>
      <c r="H41" s="76"/>
      <c r="I41" s="77" t="s">
        <v>6051</v>
      </c>
      <c r="J41" s="48"/>
      <c r="K41" s="49"/>
      <c r="L41" s="48"/>
      <c r="M41" s="49"/>
      <c r="N41" s="49"/>
      <c r="O41" s="49"/>
      <c r="P41" s="50" t="s">
        <v>5955</v>
      </c>
      <c r="Q41" s="48"/>
      <c r="R41" s="49"/>
      <c r="S41" s="49"/>
      <c r="T41" s="48"/>
      <c r="U41" s="49"/>
      <c r="V41" s="49"/>
      <c r="W41" s="50" t="s">
        <v>5955</v>
      </c>
      <c r="X41" s="63"/>
      <c r="Y41" s="63"/>
      <c r="Z41" s="63"/>
      <c r="AA41" s="50" t="s">
        <v>5955</v>
      </c>
      <c r="AB41" s="63"/>
      <c r="AC41" s="49"/>
      <c r="AD41" s="48"/>
      <c r="AE41" s="48" t="s">
        <v>6052</v>
      </c>
      <c r="AF41" s="48"/>
      <c r="AG41" s="49"/>
      <c r="AH41" s="49"/>
      <c r="AI41" s="49"/>
      <c r="AJ41" s="49"/>
      <c r="AK41" s="48"/>
      <c r="AL41" s="48"/>
      <c r="AM41" s="48"/>
      <c r="AN41" s="49"/>
      <c r="AO41" s="48"/>
      <c r="AP41" s="49"/>
      <c r="AQ41" s="49"/>
      <c r="AR41" s="48"/>
      <c r="AS41" s="49"/>
      <c r="AT41" s="48"/>
      <c r="AU41" s="49"/>
      <c r="AV41" s="48"/>
      <c r="AW41" s="49"/>
      <c r="AX41" s="49"/>
      <c r="AY41" s="48"/>
      <c r="AZ41" s="48"/>
      <c r="BA41" s="48"/>
      <c r="BB41" s="48" t="s">
        <v>5957</v>
      </c>
      <c r="BC41" s="48"/>
      <c r="BD41" s="49"/>
      <c r="BE41" s="49"/>
      <c r="BF41" s="48" t="s">
        <v>5957</v>
      </c>
      <c r="BG41" s="63" t="s">
        <v>6000</v>
      </c>
      <c r="BH41" s="63" t="s">
        <v>6000</v>
      </c>
      <c r="BI41" s="63" t="s">
        <v>6000</v>
      </c>
      <c r="BJ41" s="63" t="s">
        <v>6000</v>
      </c>
      <c r="BK41" s="49"/>
      <c r="BL41" s="49"/>
      <c r="BM41" s="48"/>
      <c r="BN41" s="63" t="s">
        <v>6000</v>
      </c>
      <c r="BO41" s="63" t="s">
        <v>6000</v>
      </c>
      <c r="BP41" s="49"/>
      <c r="BQ41" s="49"/>
      <c r="BR41" s="49"/>
      <c r="BS41" s="49"/>
      <c r="BT41" s="63" t="s">
        <v>6000</v>
      </c>
      <c r="BU41" s="48" t="s">
        <v>5957</v>
      </c>
      <c r="BV41" s="63" t="s">
        <v>6000</v>
      </c>
      <c r="BW41" s="63" t="s">
        <v>6000</v>
      </c>
      <c r="BX41" s="48" t="s">
        <v>5957</v>
      </c>
      <c r="BY41" s="49"/>
      <c r="BZ41" s="49"/>
      <c r="CA41" s="63" t="s">
        <v>6000</v>
      </c>
      <c r="CB41" s="63" t="s">
        <v>6000</v>
      </c>
      <c r="CC41" s="63" t="s">
        <v>6000</v>
      </c>
      <c r="CD41" s="63" t="s">
        <v>6000</v>
      </c>
      <c r="CE41" s="63" t="s">
        <v>6000</v>
      </c>
      <c r="CF41" s="49"/>
      <c r="CG41" s="49"/>
      <c r="CH41" s="63" t="s">
        <v>6000</v>
      </c>
      <c r="CI41" s="63" t="s">
        <v>6000</v>
      </c>
      <c r="CJ41" s="48" t="s">
        <v>5957</v>
      </c>
      <c r="CK41" s="49"/>
      <c r="CL41" s="48" t="s">
        <v>5957</v>
      </c>
      <c r="CM41" s="49"/>
      <c r="CN41" s="49"/>
      <c r="CO41" s="48" t="s">
        <v>6002</v>
      </c>
      <c r="CP41" s="49"/>
      <c r="CQ41" s="63" t="s">
        <v>6000</v>
      </c>
      <c r="CR41" s="63" t="s">
        <v>6000</v>
      </c>
      <c r="CS41" s="63" t="s">
        <v>6000</v>
      </c>
      <c r="CT41" s="49"/>
      <c r="CU41" s="49"/>
      <c r="CV41" s="63" t="s">
        <v>6000</v>
      </c>
      <c r="CW41" s="63" t="s">
        <v>6000</v>
      </c>
      <c r="CX41" s="63" t="s">
        <v>6000</v>
      </c>
      <c r="CY41" s="63" t="s">
        <v>6000</v>
      </c>
      <c r="CZ41" s="63" t="s">
        <v>6000</v>
      </c>
      <c r="DA41" s="49"/>
      <c r="DB41" s="49"/>
      <c r="DC41" s="49"/>
      <c r="DD41" s="49"/>
      <c r="DE41" s="49"/>
      <c r="DF41" s="49"/>
      <c r="DG41" s="49"/>
      <c r="DH41" s="49"/>
      <c r="DI41" s="49"/>
      <c r="DJ41" s="49"/>
      <c r="DK41" s="49"/>
      <c r="DL41" s="49"/>
      <c r="DM41" s="49"/>
      <c r="DN41" s="49"/>
      <c r="DO41" s="49"/>
      <c r="DP41" s="49"/>
      <c r="DQ41" s="49"/>
      <c r="DR41" s="49"/>
      <c r="DS41" s="49"/>
      <c r="DT41" s="49"/>
      <c r="DU41" s="49"/>
      <c r="DV41" s="49"/>
      <c r="DW41" s="49"/>
      <c r="DX41" s="49"/>
      <c r="DY41" s="49"/>
      <c r="DZ41" s="49"/>
      <c r="EA41" s="49"/>
      <c r="EB41" s="49"/>
      <c r="EC41" s="49"/>
      <c r="ED41" s="49"/>
      <c r="EE41" s="49"/>
      <c r="EF41" s="49"/>
      <c r="EG41" s="49"/>
      <c r="EH41" s="49"/>
      <c r="EI41" s="49"/>
      <c r="EJ41" s="49"/>
      <c r="EK41" s="49"/>
      <c r="EL41" s="49"/>
      <c r="EM41" s="49"/>
      <c r="EN41" s="49"/>
      <c r="EO41" s="49"/>
      <c r="EP41" s="49"/>
      <c r="EQ41" s="49"/>
      <c r="ER41" s="49"/>
      <c r="ES41" s="49"/>
      <c r="ET41" s="49"/>
      <c r="EU41" s="49"/>
      <c r="EV41" s="49"/>
      <c r="EW41" s="49"/>
      <c r="EX41" s="49"/>
      <c r="EY41" s="49"/>
      <c r="EZ41" s="49"/>
      <c r="FA41" s="49"/>
      <c r="FB41" s="49"/>
      <c r="FC41" s="49"/>
      <c r="FD41" s="49"/>
      <c r="FE41" s="49"/>
      <c r="IQ41" s="49"/>
      <c r="IW41" s="49"/>
    </row>
    <row r="42" customFormat="false" ht="13.5" hidden="false" customHeight="true" outlineLevel="0" collapsed="false">
      <c r="A42" s="52" t="s">
        <v>5960</v>
      </c>
      <c r="B42" s="53" t="n">
        <v>30</v>
      </c>
      <c r="C42" s="53" t="n">
        <v>30</v>
      </c>
      <c r="D42" s="53" t="n">
        <v>30</v>
      </c>
      <c r="E42" s="53" t="n">
        <v>30</v>
      </c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 t="n">
        <v>19</v>
      </c>
      <c r="Q42" s="53" t="n">
        <v>19</v>
      </c>
      <c r="R42" s="53" t="n">
        <v>19</v>
      </c>
      <c r="S42" s="53" t="n">
        <v>19</v>
      </c>
      <c r="T42" s="53" t="n">
        <v>19</v>
      </c>
      <c r="U42" s="53" t="n">
        <v>19</v>
      </c>
      <c r="V42" s="53" t="n">
        <v>19</v>
      </c>
      <c r="W42" s="53" t="n">
        <v>19</v>
      </c>
      <c r="X42" s="53" t="n">
        <v>19</v>
      </c>
      <c r="Y42" s="53" t="n">
        <v>19</v>
      </c>
      <c r="Z42" s="53" t="n">
        <v>19</v>
      </c>
      <c r="AA42" s="53" t="n">
        <v>19</v>
      </c>
      <c r="AB42" s="53" t="n">
        <v>19</v>
      </c>
      <c r="AC42" s="53" t="n">
        <v>19</v>
      </c>
      <c r="AD42" s="53" t="n">
        <v>19</v>
      </c>
      <c r="AE42" s="53" t="n">
        <v>19</v>
      </c>
      <c r="AF42" s="53" t="n">
        <v>19</v>
      </c>
      <c r="AG42" s="53" t="n">
        <v>19</v>
      </c>
      <c r="AH42" s="53" t="n">
        <v>19</v>
      </c>
      <c r="AI42" s="53" t="n">
        <v>19</v>
      </c>
      <c r="AJ42" s="53" t="n">
        <v>19</v>
      </c>
      <c r="AK42" s="53" t="n">
        <v>19</v>
      </c>
      <c r="AL42" s="53" t="n">
        <v>19</v>
      </c>
      <c r="AM42" s="53" t="n">
        <v>19</v>
      </c>
      <c r="AN42" s="53" t="n">
        <v>19</v>
      </c>
      <c r="AO42" s="53" t="n">
        <v>19</v>
      </c>
      <c r="AP42" s="53" t="n">
        <v>19</v>
      </c>
      <c r="AQ42" s="53" t="n">
        <v>19</v>
      </c>
      <c r="AR42" s="53" t="n">
        <v>19</v>
      </c>
      <c r="AS42" s="53" t="n">
        <v>19</v>
      </c>
      <c r="AT42" s="53" t="n">
        <v>19</v>
      </c>
      <c r="AU42" s="53" t="n">
        <v>19</v>
      </c>
      <c r="AV42" s="53" t="n">
        <v>19</v>
      </c>
      <c r="AW42" s="53" t="n">
        <v>19</v>
      </c>
      <c r="AX42" s="53" t="n">
        <v>19</v>
      </c>
      <c r="AY42" s="53" t="n">
        <v>19</v>
      </c>
      <c r="AZ42" s="53" t="n">
        <v>19</v>
      </c>
      <c r="BA42" s="53" t="n">
        <v>19</v>
      </c>
      <c r="BB42" s="53" t="n">
        <v>19</v>
      </c>
      <c r="BC42" s="53" t="n">
        <v>19</v>
      </c>
      <c r="BD42" s="53" t="n">
        <v>19</v>
      </c>
      <c r="BE42" s="53" t="n">
        <v>19</v>
      </c>
      <c r="BF42" s="53" t="n">
        <v>19</v>
      </c>
      <c r="BG42" s="53" t="n">
        <v>19</v>
      </c>
      <c r="BH42" s="53" t="n">
        <v>19</v>
      </c>
      <c r="BI42" s="53" t="n">
        <v>19</v>
      </c>
      <c r="BJ42" s="53" t="n">
        <v>19</v>
      </c>
      <c r="BK42" s="53" t="n">
        <v>19</v>
      </c>
      <c r="BL42" s="53" t="n">
        <v>19</v>
      </c>
      <c r="BM42" s="53" t="n">
        <v>19</v>
      </c>
      <c r="BN42" s="53" t="n">
        <v>19</v>
      </c>
      <c r="BO42" s="53" t="n">
        <v>19</v>
      </c>
      <c r="BP42" s="53" t="n">
        <v>19</v>
      </c>
      <c r="BQ42" s="53" t="n">
        <v>19</v>
      </c>
      <c r="BR42" s="53" t="n">
        <v>19</v>
      </c>
      <c r="BS42" s="53" t="n">
        <v>19</v>
      </c>
      <c r="BT42" s="53" t="n">
        <v>19</v>
      </c>
      <c r="BU42" s="53" t="n">
        <v>19</v>
      </c>
      <c r="BV42" s="53" t="n">
        <v>19</v>
      </c>
      <c r="BW42" s="53" t="n">
        <v>19</v>
      </c>
      <c r="BX42" s="53" t="n">
        <v>19</v>
      </c>
      <c r="BY42" s="53" t="n">
        <v>19</v>
      </c>
      <c r="BZ42" s="53" t="n">
        <v>19</v>
      </c>
      <c r="CA42" s="53" t="n">
        <v>19</v>
      </c>
      <c r="CB42" s="53" t="n">
        <v>19</v>
      </c>
      <c r="CC42" s="53" t="n">
        <v>19</v>
      </c>
      <c r="CD42" s="53" t="n">
        <v>19</v>
      </c>
      <c r="CE42" s="53" t="n">
        <v>19</v>
      </c>
      <c r="CF42" s="53" t="n">
        <v>19</v>
      </c>
      <c r="CG42" s="53" t="n">
        <v>19</v>
      </c>
      <c r="CH42" s="53" t="n">
        <v>19</v>
      </c>
      <c r="CI42" s="53" t="n">
        <v>19</v>
      </c>
      <c r="CJ42" s="53" t="n">
        <v>19</v>
      </c>
      <c r="CK42" s="53" t="n">
        <v>19</v>
      </c>
      <c r="CL42" s="53" t="n">
        <v>19</v>
      </c>
      <c r="CM42" s="53" t="n">
        <v>19</v>
      </c>
      <c r="CN42" s="53" t="n">
        <v>19</v>
      </c>
      <c r="CO42" s="53" t="n">
        <v>19</v>
      </c>
      <c r="CP42" s="53" t="n">
        <v>19</v>
      </c>
      <c r="CQ42" s="53" t="n">
        <v>19</v>
      </c>
      <c r="CR42" s="53" t="n">
        <v>19</v>
      </c>
      <c r="CS42" s="53" t="n">
        <v>19</v>
      </c>
      <c r="CT42" s="53" t="n">
        <v>19</v>
      </c>
      <c r="CU42" s="53" t="n">
        <v>19</v>
      </c>
      <c r="CV42" s="53" t="n">
        <v>19</v>
      </c>
      <c r="CW42" s="53" t="n">
        <v>19</v>
      </c>
      <c r="CX42" s="53" t="n">
        <v>19</v>
      </c>
      <c r="CY42" s="53" t="n">
        <v>19</v>
      </c>
      <c r="CZ42" s="53" t="n">
        <v>19</v>
      </c>
      <c r="DA42" s="53" t="n">
        <v>19</v>
      </c>
      <c r="DB42" s="53" t="n">
        <v>19</v>
      </c>
      <c r="DC42" s="53" t="n">
        <v>19</v>
      </c>
      <c r="DD42" s="53" t="n">
        <v>19</v>
      </c>
      <c r="DE42" s="53" t="n">
        <v>19</v>
      </c>
      <c r="DF42" s="53" t="n">
        <v>19</v>
      </c>
      <c r="DG42" s="53" t="n">
        <v>19</v>
      </c>
      <c r="DH42" s="53" t="n">
        <v>19</v>
      </c>
      <c r="DI42" s="53" t="n">
        <v>19</v>
      </c>
      <c r="DJ42" s="53" t="n">
        <v>19</v>
      </c>
      <c r="DK42" s="53" t="n">
        <v>19</v>
      </c>
      <c r="DL42" s="53" t="n">
        <v>19</v>
      </c>
      <c r="DM42" s="53" t="n">
        <v>19</v>
      </c>
      <c r="DN42" s="53" t="n">
        <v>19</v>
      </c>
      <c r="DO42" s="53"/>
      <c r="DP42" s="53"/>
      <c r="DQ42" s="53"/>
      <c r="DR42" s="53"/>
      <c r="DS42" s="53"/>
      <c r="DT42" s="53"/>
      <c r="DU42" s="53"/>
      <c r="DV42" s="53"/>
      <c r="DW42" s="53"/>
      <c r="DX42" s="53"/>
      <c r="DY42" s="53"/>
      <c r="DZ42" s="53"/>
      <c r="EA42" s="53"/>
      <c r="EB42" s="53"/>
      <c r="EC42" s="53"/>
      <c r="ED42" s="53"/>
      <c r="EE42" s="53"/>
      <c r="EF42" s="53"/>
      <c r="EG42" s="53"/>
      <c r="EH42" s="53"/>
      <c r="EI42" s="53"/>
      <c r="EJ42" s="53"/>
      <c r="EK42" s="53"/>
      <c r="EL42" s="53"/>
      <c r="EM42" s="53"/>
      <c r="EN42" s="53"/>
      <c r="EO42" s="53"/>
      <c r="EP42" s="53"/>
      <c r="EQ42" s="53"/>
      <c r="ER42" s="53"/>
      <c r="ES42" s="53"/>
      <c r="ET42" s="53"/>
      <c r="EU42" s="53"/>
      <c r="EV42" s="53"/>
      <c r="EW42" s="53"/>
      <c r="EX42" s="53"/>
      <c r="EY42" s="53"/>
      <c r="EZ42" s="53"/>
      <c r="FA42" s="53"/>
      <c r="FB42" s="53"/>
      <c r="FC42" s="53"/>
      <c r="FD42" s="53"/>
      <c r="FE42" s="53"/>
    </row>
    <row r="43" customFormat="false" ht="13.5" hidden="false" customHeight="true" outlineLevel="0" collapsed="false">
      <c r="A43" s="78"/>
      <c r="B43" s="79" t="n">
        <f aca="false">B188</f>
        <v>-10</v>
      </c>
      <c r="C43" s="79" t="n">
        <f aca="false">C188</f>
        <v>-10</v>
      </c>
      <c r="D43" s="79" t="n">
        <f aca="false">D188</f>
        <v>1</v>
      </c>
      <c r="E43" s="79" t="n">
        <f aca="false">E188</f>
        <v>-22</v>
      </c>
      <c r="F43" s="79" t="n">
        <f aca="false">F188</f>
        <v>8</v>
      </c>
      <c r="G43" s="79" t="n">
        <f aca="false">G188</f>
        <v>-3</v>
      </c>
      <c r="H43" s="79" t="n">
        <f aca="false">H188</f>
        <v>-3</v>
      </c>
      <c r="I43" s="79" t="n">
        <f aca="false">I188</f>
        <v>-13</v>
      </c>
      <c r="J43" s="79" t="n">
        <f aca="false">J188</f>
        <v>3</v>
      </c>
      <c r="K43" s="79" t="n">
        <f aca="false">K188</f>
        <v>3</v>
      </c>
      <c r="L43" s="79" t="n">
        <f aca="false">L188</f>
        <v>-7</v>
      </c>
      <c r="M43" s="79" t="n">
        <f aca="false">M188</f>
        <v>4</v>
      </c>
      <c r="N43" s="79" t="n">
        <f aca="false">N188</f>
        <v>4</v>
      </c>
      <c r="O43" s="79" t="n">
        <f aca="false">O188</f>
        <v>4</v>
      </c>
      <c r="P43" s="79" t="n">
        <f aca="false">P188</f>
        <v>-15</v>
      </c>
      <c r="Q43" s="79" t="n">
        <f aca="false">Q188</f>
        <v>-15</v>
      </c>
      <c r="R43" s="79" t="n">
        <f aca="false">R188</f>
        <v>-15</v>
      </c>
      <c r="S43" s="79" t="n">
        <f aca="false">S188</f>
        <v>-23</v>
      </c>
      <c r="T43" s="79" t="n">
        <f aca="false">T188</f>
        <v>-46</v>
      </c>
      <c r="U43" s="79" t="n">
        <f aca="false">U188</f>
        <v>-46</v>
      </c>
      <c r="V43" s="79" t="n">
        <f aca="false">V188</f>
        <v>-46</v>
      </c>
      <c r="W43" s="79" t="n">
        <f aca="false">W188</f>
        <v>-51</v>
      </c>
      <c r="X43" s="79" t="n">
        <f aca="false">X188</f>
        <v>-62</v>
      </c>
      <c r="Y43" s="79" t="n">
        <f aca="false">Y188</f>
        <v>-61</v>
      </c>
      <c r="Z43" s="79" t="n">
        <f aca="false">Z188</f>
        <v>-35</v>
      </c>
      <c r="AA43" s="79" t="n">
        <f aca="false">AA188</f>
        <v>-35</v>
      </c>
      <c r="AB43" s="79" t="n">
        <f aca="false">AB188</f>
        <v>-35</v>
      </c>
      <c r="AC43" s="79" t="n">
        <f aca="false">AC188</f>
        <v>-35</v>
      </c>
      <c r="AD43" s="79" t="n">
        <f aca="false">AD188</f>
        <v>-66</v>
      </c>
      <c r="AE43" s="79" t="n">
        <f aca="false">AE188</f>
        <v>-55</v>
      </c>
      <c r="AF43" s="79" t="n">
        <f aca="false">AF188</f>
        <v>-63</v>
      </c>
      <c r="AG43" s="79" t="n">
        <f aca="false">AG188</f>
        <v>-93</v>
      </c>
      <c r="AH43" s="79" t="n">
        <f aca="false">AH188</f>
        <v>-102</v>
      </c>
      <c r="AI43" s="79" t="n">
        <f aca="false">AI188</f>
        <v>-102</v>
      </c>
      <c r="AJ43" s="79" t="n">
        <f aca="false">AJ188</f>
        <v>-102</v>
      </c>
      <c r="AK43" s="79" t="n">
        <f aca="false">AK188</f>
        <v>-105</v>
      </c>
      <c r="AL43" s="79" t="n">
        <f aca="false">AL188</f>
        <v>-105</v>
      </c>
      <c r="AM43" s="79" t="n">
        <f aca="false">AM188</f>
        <v>-105</v>
      </c>
      <c r="AN43" s="79" t="n">
        <f aca="false">AN188</f>
        <v>-105</v>
      </c>
      <c r="AO43" s="79" t="n">
        <f aca="false">AO188</f>
        <v>-105</v>
      </c>
      <c r="AP43" s="79" t="n">
        <f aca="false">AP188</f>
        <v>-103</v>
      </c>
      <c r="AQ43" s="79" t="n">
        <f aca="false">AQ188</f>
        <v>-103</v>
      </c>
      <c r="AR43" s="79" t="n">
        <f aca="false">AR188</f>
        <v>-106</v>
      </c>
      <c r="AS43" s="79" t="n">
        <f aca="false">AS188</f>
        <v>-105</v>
      </c>
      <c r="AT43" s="79" t="n">
        <f aca="false">AT188</f>
        <v>-108</v>
      </c>
      <c r="AU43" s="79" t="n">
        <f aca="false">AU188</f>
        <v>-114</v>
      </c>
      <c r="AV43" s="79" t="n">
        <f aca="false">AV188</f>
        <v>-118</v>
      </c>
      <c r="AW43" s="79" t="n">
        <f aca="false">AW188</f>
        <v>-106</v>
      </c>
      <c r="AX43" s="79" t="n">
        <f aca="false">AX188</f>
        <v>-106</v>
      </c>
      <c r="AY43" s="79" t="n">
        <f aca="false">AY188</f>
        <v>-135</v>
      </c>
      <c r="AZ43" s="79" t="n">
        <f aca="false">AZ188</f>
        <v>-141</v>
      </c>
      <c r="BA43" s="79" t="n">
        <f aca="false">BA188</f>
        <v>-130</v>
      </c>
      <c r="BB43" s="79" t="n">
        <f aca="false">BB188</f>
        <v>-130</v>
      </c>
      <c r="BC43" s="79" t="n">
        <f aca="false">BC188</f>
        <v>-130</v>
      </c>
      <c r="BD43" s="79" t="n">
        <f aca="false">BD188</f>
        <v>-130</v>
      </c>
      <c r="BE43" s="79" t="n">
        <f aca="false">BE188</f>
        <v>-130</v>
      </c>
      <c r="BF43" s="79" t="n">
        <f aca="false">BF188</f>
        <v>-130</v>
      </c>
      <c r="BG43" s="79" t="n">
        <f aca="false">BG188</f>
        <v>-123</v>
      </c>
      <c r="BH43" s="79" t="n">
        <f aca="false">BH188</f>
        <v>-121</v>
      </c>
      <c r="BI43" s="79" t="n">
        <f aca="false">BI188</f>
        <v>-125</v>
      </c>
      <c r="BJ43" s="79" t="n">
        <f aca="false">BJ188</f>
        <v>-135</v>
      </c>
      <c r="BK43" s="79" t="n">
        <f aca="false">BK188</f>
        <v>-135</v>
      </c>
      <c r="BL43" s="79" t="n">
        <f aca="false">BL188</f>
        <v>-135</v>
      </c>
      <c r="BM43" s="79" t="n">
        <f aca="false">BM188</f>
        <v>-135</v>
      </c>
      <c r="BN43" s="79" t="n">
        <f aca="false">BN188</f>
        <v>-135</v>
      </c>
      <c r="BO43" s="79" t="n">
        <f aca="false">BO188</f>
        <v>-135</v>
      </c>
      <c r="BP43" s="79" t="n">
        <f aca="false">BP188</f>
        <v>-135</v>
      </c>
      <c r="BQ43" s="79" t="n">
        <f aca="false">BQ188</f>
        <v>-135</v>
      </c>
      <c r="BR43" s="79" t="n">
        <f aca="false">BR188</f>
        <v>-135</v>
      </c>
      <c r="BS43" s="79" t="n">
        <f aca="false">BS188</f>
        <v>-135</v>
      </c>
      <c r="BT43" s="79" t="n">
        <f aca="false">BT188</f>
        <v>-109</v>
      </c>
      <c r="BU43" s="79" t="n">
        <f aca="false">BU188</f>
        <v>-109</v>
      </c>
      <c r="BV43" s="79" t="n">
        <f aca="false">BV188</f>
        <v>-113</v>
      </c>
      <c r="BW43" s="79" t="n">
        <f aca="false">BW188</f>
        <v>-113</v>
      </c>
      <c r="BX43" s="79" t="n">
        <f aca="false">BX188</f>
        <v>-113</v>
      </c>
      <c r="BY43" s="79" t="n">
        <f aca="false">BY188</f>
        <v>-113</v>
      </c>
      <c r="BZ43" s="79" t="n">
        <f aca="false">BZ188</f>
        <v>-113</v>
      </c>
      <c r="CA43" s="79" t="n">
        <f aca="false">CA188</f>
        <v>-113</v>
      </c>
      <c r="CB43" s="79" t="n">
        <f aca="false">CB188</f>
        <v>-113</v>
      </c>
      <c r="CC43" s="79" t="n">
        <f aca="false">CC188</f>
        <v>-113</v>
      </c>
      <c r="CD43" s="79" t="n">
        <f aca="false">CD188</f>
        <v>-104</v>
      </c>
      <c r="CE43" s="79" t="n">
        <f aca="false">CE188</f>
        <v>-110</v>
      </c>
      <c r="CF43" s="79" t="n">
        <f aca="false">CF188</f>
        <v>-110</v>
      </c>
      <c r="CG43" s="79" t="n">
        <f aca="false">CG188</f>
        <v>-110</v>
      </c>
      <c r="CH43" s="79" t="n">
        <f aca="false">CH188</f>
        <v>-123</v>
      </c>
      <c r="CI43" s="79" t="n">
        <f aca="false">CI188</f>
        <v>-113</v>
      </c>
      <c r="CJ43" s="79" t="n">
        <f aca="false">CJ188</f>
        <v>-114</v>
      </c>
      <c r="CK43" s="79" t="n">
        <f aca="false">CK188</f>
        <v>-92</v>
      </c>
      <c r="CL43" s="79" t="n">
        <f aca="false">CL188</f>
        <v>-86</v>
      </c>
      <c r="CM43" s="79" t="n">
        <f aca="false">CM188</f>
        <v>-52</v>
      </c>
      <c r="CN43" s="79" t="n">
        <f aca="false">CN188</f>
        <v>-52</v>
      </c>
      <c r="CO43" s="79" t="n">
        <f aca="false">CO188</f>
        <v>-52</v>
      </c>
      <c r="CP43" s="79" t="n">
        <f aca="false">CP188</f>
        <v>-53</v>
      </c>
      <c r="CQ43" s="79" t="n">
        <f aca="false">CQ188</f>
        <v>-53</v>
      </c>
      <c r="CR43" s="79" t="n">
        <f aca="false">CR188</f>
        <v>-53</v>
      </c>
      <c r="CS43" s="79" t="n">
        <f aca="false">CS188</f>
        <v>-53</v>
      </c>
      <c r="CT43" s="80"/>
      <c r="CU43" s="80"/>
      <c r="CV43" s="80"/>
      <c r="CW43" s="80"/>
      <c r="CX43" s="80"/>
      <c r="CY43" s="80"/>
      <c r="CZ43" s="80"/>
      <c r="DA43" s="80"/>
      <c r="DB43" s="80"/>
      <c r="DC43" s="80"/>
      <c r="DD43" s="80"/>
      <c r="DE43" s="80"/>
      <c r="DF43" s="80"/>
      <c r="DG43" s="80"/>
      <c r="DH43" s="80"/>
      <c r="DI43" s="80"/>
      <c r="DJ43" s="80"/>
      <c r="DK43" s="80"/>
      <c r="DL43" s="80"/>
      <c r="DM43" s="80"/>
      <c r="DN43" s="80"/>
      <c r="DO43" s="80"/>
      <c r="DP43" s="80"/>
      <c r="DQ43" s="80"/>
      <c r="DR43" s="80"/>
      <c r="DS43" s="80"/>
      <c r="DT43" s="80"/>
      <c r="DU43" s="80"/>
      <c r="DV43" s="80"/>
      <c r="DW43" s="80"/>
      <c r="DX43" s="80"/>
      <c r="DY43" s="80"/>
      <c r="DZ43" s="80"/>
      <c r="EA43" s="80"/>
      <c r="EB43" s="80"/>
      <c r="EC43" s="80"/>
      <c r="ED43" s="80"/>
      <c r="EE43" s="80"/>
      <c r="EF43" s="80"/>
      <c r="EG43" s="80"/>
      <c r="EH43" s="80"/>
      <c r="EI43" s="80"/>
      <c r="EJ43" s="80"/>
      <c r="EK43" s="80"/>
      <c r="EL43" s="80"/>
      <c r="EM43" s="80"/>
      <c r="EN43" s="80"/>
      <c r="EO43" s="80"/>
      <c r="EP43" s="80"/>
      <c r="EQ43" s="80"/>
      <c r="ER43" s="80"/>
      <c r="ES43" s="80"/>
      <c r="ET43" s="80"/>
      <c r="EU43" s="80"/>
      <c r="EV43" s="80"/>
      <c r="EW43" s="80"/>
      <c r="EX43" s="80"/>
      <c r="EY43" s="80"/>
      <c r="EZ43" s="80"/>
      <c r="FA43" s="80"/>
      <c r="FB43" s="80"/>
      <c r="FC43" s="80"/>
      <c r="FD43" s="80"/>
      <c r="FE43" s="80"/>
      <c r="FF43" s="80"/>
      <c r="FG43" s="80"/>
      <c r="FH43" s="80"/>
      <c r="FI43" s="80"/>
      <c r="FJ43" s="80"/>
      <c r="FK43" s="80"/>
      <c r="FL43" s="80"/>
      <c r="FM43" s="80"/>
      <c r="FN43" s="80"/>
      <c r="FO43" s="80"/>
      <c r="FP43" s="80"/>
      <c r="FQ43" s="80"/>
      <c r="FR43" s="80"/>
      <c r="FS43" s="80"/>
      <c r="FT43" s="80"/>
      <c r="FU43" s="80"/>
      <c r="FV43" s="80"/>
      <c r="FW43" s="80"/>
      <c r="FX43" s="80"/>
      <c r="FY43" s="80"/>
      <c r="FZ43" s="80"/>
      <c r="GA43" s="80"/>
      <c r="GB43" s="80"/>
      <c r="GC43" s="80"/>
      <c r="GD43" s="80"/>
      <c r="GE43" s="80"/>
      <c r="GF43" s="80"/>
      <c r="GG43" s="80"/>
      <c r="GH43" s="80"/>
      <c r="GI43" s="80"/>
      <c r="GJ43" s="80"/>
      <c r="GK43" s="80"/>
      <c r="GL43" s="80"/>
      <c r="GM43" s="80"/>
      <c r="GN43" s="80"/>
      <c r="GO43" s="80"/>
      <c r="GP43" s="80"/>
      <c r="GQ43" s="80"/>
      <c r="GR43" s="80"/>
      <c r="GS43" s="80"/>
      <c r="GT43" s="80"/>
      <c r="GU43" s="80"/>
      <c r="GV43" s="80"/>
      <c r="GW43" s="80"/>
      <c r="GX43" s="80"/>
      <c r="GY43" s="80"/>
      <c r="GZ43" s="80"/>
      <c r="HA43" s="80"/>
      <c r="HB43" s="80"/>
      <c r="HC43" s="80"/>
      <c r="HD43" s="80"/>
      <c r="HE43" s="80"/>
      <c r="HF43" s="80"/>
      <c r="HG43" s="80"/>
      <c r="HH43" s="80"/>
      <c r="HI43" s="80"/>
      <c r="HJ43" s="80"/>
      <c r="HK43" s="80"/>
      <c r="HL43" s="80"/>
      <c r="HM43" s="80"/>
      <c r="HN43" s="80"/>
      <c r="HO43" s="80"/>
      <c r="HP43" s="80"/>
      <c r="HQ43" s="80"/>
      <c r="HR43" s="80"/>
      <c r="HS43" s="80"/>
      <c r="HT43" s="80"/>
      <c r="HU43" s="80"/>
      <c r="HV43" s="80"/>
      <c r="HW43" s="80"/>
      <c r="HX43" s="80"/>
      <c r="HY43" s="80"/>
      <c r="HZ43" s="80"/>
      <c r="IA43" s="80"/>
      <c r="IB43" s="80"/>
      <c r="IC43" s="80"/>
      <c r="ID43" s="80"/>
      <c r="IE43" s="80"/>
      <c r="IF43" s="80"/>
      <c r="IG43" s="80"/>
      <c r="IH43" s="80"/>
      <c r="II43" s="80"/>
      <c r="IJ43" s="80"/>
      <c r="IK43" s="80"/>
      <c r="IL43" s="80"/>
      <c r="IM43" s="80"/>
      <c r="IN43" s="80"/>
      <c r="IO43" s="80"/>
      <c r="IP43" s="80"/>
      <c r="IQ43" s="80"/>
      <c r="IW43" s="80"/>
    </row>
    <row r="44" customFormat="false" ht="13.5" hidden="false" customHeight="true" outlineLevel="0" collapsed="false">
      <c r="A44" s="29" t="s">
        <v>6053</v>
      </c>
      <c r="B44" s="72" t="s">
        <v>6054</v>
      </c>
      <c r="C44" s="72"/>
      <c r="D44" s="72"/>
      <c r="E44" s="72" t="s">
        <v>6006</v>
      </c>
      <c r="F44" s="71"/>
      <c r="G44" s="30"/>
      <c r="H44" s="30"/>
      <c r="I44" s="72" t="s">
        <v>5913</v>
      </c>
      <c r="J44" s="72"/>
      <c r="K44" s="72"/>
      <c r="L44" s="30" t="s">
        <v>5911</v>
      </c>
      <c r="M44" s="30"/>
      <c r="N44" s="30"/>
      <c r="O44" s="30"/>
      <c r="P44" s="72"/>
      <c r="Q44" s="72"/>
      <c r="R44" s="30"/>
      <c r="S44" s="30" t="s">
        <v>6055</v>
      </c>
      <c r="T44" s="30"/>
      <c r="U44" s="30"/>
      <c r="V44" s="30"/>
      <c r="W44" s="30"/>
      <c r="X44" s="30" t="s">
        <v>5912</v>
      </c>
      <c r="Y44" s="30"/>
      <c r="Z44" s="30"/>
      <c r="AA44" s="30"/>
      <c r="AB44" s="30"/>
      <c r="AC44" s="30"/>
      <c r="AD44" s="30"/>
      <c r="AE44" s="56" t="s">
        <v>6056</v>
      </c>
      <c r="AF44" s="30"/>
      <c r="AG44" s="30" t="s">
        <v>6057</v>
      </c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72"/>
      <c r="AZ44" s="30" t="s">
        <v>6009</v>
      </c>
      <c r="BA44" s="72"/>
      <c r="BB44" s="72"/>
      <c r="BC44" s="30"/>
      <c r="BD44" s="30"/>
      <c r="BE44" s="30"/>
      <c r="BF44" s="72"/>
      <c r="BG44" s="30" t="s">
        <v>5920</v>
      </c>
      <c r="BH44" s="72"/>
      <c r="BI44" s="72"/>
      <c r="BJ44" s="30"/>
      <c r="BK44" s="30"/>
      <c r="BL44" s="30"/>
      <c r="BM44" s="72"/>
      <c r="BN44" s="30"/>
      <c r="BO44" s="30" t="s">
        <v>5972</v>
      </c>
      <c r="BP44" s="30"/>
      <c r="BQ44" s="72"/>
      <c r="BR44" s="30"/>
      <c r="BS44" s="30"/>
      <c r="BT44" s="30"/>
      <c r="BU44" s="72"/>
      <c r="BV44" s="30"/>
      <c r="BW44" s="30"/>
      <c r="BX44" s="72"/>
      <c r="BY44" s="30"/>
      <c r="BZ44" s="30"/>
      <c r="CA44" s="72"/>
      <c r="CB44" s="30"/>
      <c r="CC44" s="30"/>
      <c r="CD44" s="72"/>
      <c r="CE44" s="30" t="s">
        <v>5921</v>
      </c>
      <c r="CF44" s="30"/>
      <c r="CG44" s="30"/>
      <c r="CH44" s="30" t="s">
        <v>5921</v>
      </c>
      <c r="CI44" s="72"/>
      <c r="CJ44" s="30"/>
      <c r="CK44" s="32"/>
      <c r="CL44" s="30"/>
      <c r="CM44" s="30"/>
      <c r="CN44" s="30"/>
      <c r="CO44" s="30"/>
      <c r="CP44" s="30"/>
      <c r="CQ44" s="30"/>
      <c r="CR44" s="30" t="s">
        <v>6058</v>
      </c>
      <c r="CS44" s="30"/>
      <c r="CT44" s="30"/>
      <c r="CU44" s="30"/>
      <c r="CV44" s="30"/>
      <c r="CW44" s="30"/>
      <c r="CX44" s="30"/>
      <c r="CY44" s="30"/>
      <c r="CZ44" s="30"/>
      <c r="DA44" s="30"/>
      <c r="DB44" s="30"/>
      <c r="DC44" s="30" t="s">
        <v>5974</v>
      </c>
      <c r="DD44" s="30"/>
      <c r="DE44" s="30"/>
      <c r="DF44" s="30"/>
      <c r="DG44" s="30"/>
      <c r="DH44" s="30"/>
      <c r="DI44" s="30"/>
      <c r="DJ44" s="30"/>
      <c r="DK44" s="30"/>
      <c r="DL44" s="30"/>
      <c r="DM44" s="30"/>
      <c r="DN44" s="30"/>
      <c r="DO44" s="30"/>
      <c r="DP44" s="30"/>
      <c r="DQ44" s="30"/>
      <c r="DR44" s="30"/>
      <c r="DS44" s="30"/>
      <c r="DT44" s="30"/>
      <c r="DU44" s="30"/>
      <c r="DV44" s="30"/>
      <c r="DW44" s="30"/>
      <c r="DX44" s="30"/>
      <c r="DY44" s="30"/>
      <c r="DZ44" s="30"/>
      <c r="EA44" s="30"/>
      <c r="EB44" s="30"/>
      <c r="EC44" s="30"/>
      <c r="ED44" s="30"/>
      <c r="EE44" s="30"/>
      <c r="EF44" s="30"/>
      <c r="EG44" s="30"/>
      <c r="EH44" s="30"/>
      <c r="EI44" s="30"/>
      <c r="EJ44" s="30"/>
      <c r="EK44" s="30"/>
      <c r="EL44" s="30"/>
      <c r="EM44" s="30"/>
      <c r="EN44" s="30"/>
      <c r="EO44" s="30"/>
      <c r="EP44" s="30"/>
      <c r="EQ44" s="30"/>
      <c r="ER44" s="30"/>
      <c r="ES44" s="30"/>
      <c r="ET44" s="30"/>
      <c r="EU44" s="30"/>
      <c r="EV44" s="30"/>
      <c r="EW44" s="30"/>
      <c r="EX44" s="30"/>
      <c r="EY44" s="30"/>
      <c r="EZ44" s="30"/>
      <c r="FA44" s="30"/>
      <c r="FB44" s="30"/>
      <c r="FC44" s="30"/>
      <c r="FD44" s="30"/>
      <c r="FE44" s="30"/>
      <c r="HO44" s="30"/>
      <c r="HV44" s="30"/>
      <c r="HW44" s="30"/>
      <c r="HX44" s="30"/>
      <c r="HY44" s="30"/>
      <c r="HZ44" s="30"/>
      <c r="IA44" s="30"/>
      <c r="IB44" s="30"/>
      <c r="IC44" s="30"/>
      <c r="IJ44" s="30"/>
      <c r="IQ44" s="30"/>
      <c r="IW44" s="30"/>
    </row>
    <row r="45" customFormat="false" ht="13.5" hidden="false" customHeight="true" outlineLevel="0" collapsed="false">
      <c r="A45" s="33"/>
      <c r="B45" s="35" t="s">
        <v>4789</v>
      </c>
      <c r="C45" s="35"/>
      <c r="D45" s="35"/>
      <c r="E45" s="35" t="s">
        <v>4789</v>
      </c>
      <c r="F45" s="36"/>
      <c r="I45" s="35" t="s">
        <v>4789</v>
      </c>
      <c r="J45" s="35"/>
      <c r="K45" s="35"/>
      <c r="L45" s="35" t="s">
        <v>505</v>
      </c>
      <c r="M45" s="35"/>
      <c r="P45" s="35"/>
      <c r="Q45" s="35"/>
      <c r="R45" s="35"/>
      <c r="S45" s="35" t="s">
        <v>505</v>
      </c>
      <c r="W45" s="35"/>
      <c r="X45" s="35" t="s">
        <v>505</v>
      </c>
      <c r="Y45" s="35"/>
      <c r="Z45" s="35"/>
      <c r="AA45" s="35"/>
      <c r="AD45" s="35"/>
      <c r="AE45" s="35" t="s">
        <v>505</v>
      </c>
      <c r="AF45" s="35"/>
      <c r="AG45" s="35" t="s">
        <v>505</v>
      </c>
      <c r="AV45" s="35"/>
      <c r="AY45" s="35"/>
      <c r="AZ45" s="35" t="s">
        <v>4789</v>
      </c>
      <c r="BA45" s="35"/>
      <c r="BB45" s="35"/>
      <c r="BC45" s="35"/>
      <c r="BD45" s="35"/>
      <c r="BF45" s="35"/>
      <c r="BG45" s="35" t="s">
        <v>4789</v>
      </c>
      <c r="BH45" s="35"/>
      <c r="BI45" s="35"/>
      <c r="BL45" s="35"/>
      <c r="BM45" s="35"/>
      <c r="BN45" s="35"/>
      <c r="BO45" s="35" t="s">
        <v>4789</v>
      </c>
      <c r="BQ45" s="35"/>
      <c r="BT45" s="35"/>
      <c r="BU45" s="35"/>
      <c r="BV45" s="35"/>
      <c r="BW45" s="35"/>
      <c r="BX45" s="35"/>
      <c r="CA45" s="35"/>
      <c r="CB45" s="35"/>
      <c r="CD45" s="35"/>
      <c r="CE45" s="35" t="s">
        <v>4789</v>
      </c>
      <c r="CH45" s="35" t="s">
        <v>4789</v>
      </c>
      <c r="CI45" s="35"/>
      <c r="CK45" s="35"/>
      <c r="CO45" s="34"/>
      <c r="CR45" s="35" t="s">
        <v>4789</v>
      </c>
      <c r="CV45" s="35"/>
      <c r="DC45" s="35" t="s">
        <v>4789</v>
      </c>
    </row>
    <row r="46" customFormat="false" ht="13.5" hidden="false" customHeight="true" outlineLevel="0" collapsed="false">
      <c r="A46" s="37"/>
      <c r="B46" s="35" t="s">
        <v>6059</v>
      </c>
      <c r="C46" s="35"/>
      <c r="D46" s="35"/>
      <c r="E46" s="35" t="s">
        <v>6060</v>
      </c>
      <c r="F46" s="36"/>
      <c r="I46" s="35" t="s">
        <v>6061</v>
      </c>
      <c r="J46" s="35"/>
      <c r="K46" s="35"/>
      <c r="L46" s="36" t="s">
        <v>5933</v>
      </c>
      <c r="M46" s="36"/>
      <c r="P46" s="35"/>
      <c r="Q46" s="35"/>
      <c r="R46" s="36"/>
      <c r="S46" s="36" t="s">
        <v>6062</v>
      </c>
      <c r="W46" s="36"/>
      <c r="X46" s="36" t="s">
        <v>5933</v>
      </c>
      <c r="Y46" s="36"/>
      <c r="Z46" s="36"/>
      <c r="AA46" s="36"/>
      <c r="AD46" s="36"/>
      <c r="AE46" s="36" t="s">
        <v>6063</v>
      </c>
      <c r="AF46" s="36"/>
      <c r="AG46" s="36" t="s">
        <v>5933</v>
      </c>
      <c r="AV46" s="36"/>
      <c r="AY46" s="35"/>
      <c r="AZ46" s="35" t="s">
        <v>6059</v>
      </c>
      <c r="BA46" s="35"/>
      <c r="BB46" s="35"/>
      <c r="BC46" s="35"/>
      <c r="BD46" s="35"/>
      <c r="BF46" s="35"/>
      <c r="BG46" s="35" t="s">
        <v>6059</v>
      </c>
      <c r="BH46" s="35"/>
      <c r="BI46" s="35"/>
      <c r="BL46" s="35"/>
      <c r="BM46" s="35"/>
      <c r="BN46" s="35"/>
      <c r="BO46" s="35" t="s">
        <v>6059</v>
      </c>
      <c r="BQ46" s="35"/>
      <c r="BT46" s="35"/>
      <c r="BU46" s="35"/>
      <c r="BV46" s="35"/>
      <c r="BW46" s="35"/>
      <c r="BX46" s="35"/>
      <c r="CA46" s="35"/>
      <c r="CB46" s="35"/>
      <c r="CD46" s="35"/>
      <c r="CE46" s="35" t="s">
        <v>6061</v>
      </c>
      <c r="CH46" s="35" t="s">
        <v>6059</v>
      </c>
      <c r="CI46" s="35"/>
      <c r="CK46" s="36"/>
      <c r="CO46" s="34"/>
      <c r="CR46" s="35" t="s">
        <v>6059</v>
      </c>
      <c r="CV46" s="35"/>
      <c r="DC46" s="35" t="s">
        <v>6061</v>
      </c>
    </row>
    <row r="47" customFormat="false" ht="13.5" hidden="false" customHeight="true" outlineLevel="0" collapsed="false">
      <c r="A47" s="38"/>
      <c r="B47" s="39" t="s">
        <v>6064</v>
      </c>
      <c r="C47" s="58"/>
      <c r="D47" s="39"/>
      <c r="E47" s="39" t="s">
        <v>5938</v>
      </c>
      <c r="F47" s="75"/>
      <c r="I47" s="39" t="s">
        <v>5938</v>
      </c>
      <c r="J47" s="39"/>
      <c r="K47" s="58"/>
      <c r="L47" s="39" t="s">
        <v>6065</v>
      </c>
      <c r="M47" s="39"/>
      <c r="P47" s="58"/>
      <c r="Q47" s="58"/>
      <c r="R47" s="35"/>
      <c r="S47" s="39" t="s">
        <v>6066</v>
      </c>
      <c r="W47" s="39"/>
      <c r="X47" s="39" t="s">
        <v>6067</v>
      </c>
      <c r="Y47" s="39"/>
      <c r="Z47" s="39"/>
      <c r="AA47" s="35"/>
      <c r="AD47" s="39"/>
      <c r="AE47" s="39" t="s">
        <v>6068</v>
      </c>
      <c r="AF47" s="39"/>
      <c r="AG47" s="39" t="s">
        <v>6069</v>
      </c>
      <c r="AV47" s="35"/>
      <c r="AY47" s="58"/>
      <c r="AZ47" s="58" t="s">
        <v>6070</v>
      </c>
      <c r="BA47" s="58"/>
      <c r="BB47" s="58"/>
      <c r="BC47" s="58"/>
      <c r="BD47" s="58"/>
      <c r="BF47" s="58"/>
      <c r="BG47" s="58" t="s">
        <v>6071</v>
      </c>
      <c r="BH47" s="58"/>
      <c r="BI47" s="58"/>
      <c r="BL47" s="58"/>
      <c r="BM47" s="58"/>
      <c r="BN47" s="58"/>
      <c r="BO47" s="58" t="s">
        <v>6072</v>
      </c>
      <c r="BQ47" s="58"/>
      <c r="BT47" s="58"/>
      <c r="BU47" s="58"/>
      <c r="BV47" s="58"/>
      <c r="BW47" s="58"/>
      <c r="BX47" s="58"/>
      <c r="CA47" s="58"/>
      <c r="CB47" s="58"/>
      <c r="CD47" s="58"/>
      <c r="CE47" s="58" t="s">
        <v>5938</v>
      </c>
      <c r="CH47" s="58" t="s">
        <v>6073</v>
      </c>
      <c r="CI47" s="58"/>
      <c r="CK47" s="35"/>
      <c r="CO47" s="39"/>
      <c r="CR47" s="58" t="s">
        <v>6074</v>
      </c>
      <c r="CV47" s="58"/>
      <c r="DC47" s="58" t="s">
        <v>6075</v>
      </c>
    </row>
    <row r="48" customFormat="false" ht="13.5" hidden="false" customHeight="true" outlineLevel="0" collapsed="false">
      <c r="A48" s="41" t="s">
        <v>5946</v>
      </c>
      <c r="B48" s="42" t="n">
        <v>23</v>
      </c>
      <c r="C48" s="42" t="n">
        <v>24</v>
      </c>
      <c r="D48" s="42" t="n">
        <v>25</v>
      </c>
      <c r="E48" s="42" t="n">
        <v>26</v>
      </c>
      <c r="F48" s="42" t="n">
        <v>27</v>
      </c>
      <c r="G48" s="43" t="n">
        <v>28</v>
      </c>
      <c r="H48" s="43" t="s">
        <v>5947</v>
      </c>
      <c r="I48" s="42" t="n">
        <v>2</v>
      </c>
      <c r="J48" s="42" t="n">
        <v>3</v>
      </c>
      <c r="K48" s="42" t="n">
        <v>4</v>
      </c>
      <c r="L48" s="42" t="n">
        <v>5</v>
      </c>
      <c r="M48" s="42" t="n">
        <v>6</v>
      </c>
      <c r="N48" s="43" t="n">
        <v>7</v>
      </c>
      <c r="O48" s="43" t="n">
        <v>8</v>
      </c>
      <c r="P48" s="42" t="n">
        <v>9</v>
      </c>
      <c r="Q48" s="42" t="n">
        <v>10</v>
      </c>
      <c r="R48" s="42" t="n">
        <v>11</v>
      </c>
      <c r="S48" s="42" t="n">
        <v>12</v>
      </c>
      <c r="T48" s="42" t="n">
        <v>13</v>
      </c>
      <c r="U48" s="43" t="n">
        <v>14</v>
      </c>
      <c r="V48" s="43" t="n">
        <v>15</v>
      </c>
      <c r="W48" s="42" t="n">
        <v>16</v>
      </c>
      <c r="X48" s="42" t="n">
        <v>17</v>
      </c>
      <c r="Y48" s="42" t="n">
        <v>18</v>
      </c>
      <c r="Z48" s="42" t="n">
        <v>19</v>
      </c>
      <c r="AA48" s="42" t="n">
        <v>20</v>
      </c>
      <c r="AB48" s="43" t="n">
        <v>21</v>
      </c>
      <c r="AC48" s="43" t="n">
        <v>22</v>
      </c>
      <c r="AD48" s="42" t="n">
        <v>23</v>
      </c>
      <c r="AE48" s="42" t="n">
        <v>24</v>
      </c>
      <c r="AF48" s="42" t="n">
        <v>25</v>
      </c>
      <c r="AG48" s="42" t="n">
        <v>26</v>
      </c>
      <c r="AH48" s="42" t="n">
        <v>27</v>
      </c>
      <c r="AI48" s="43" t="n">
        <v>28</v>
      </c>
      <c r="AJ48" s="43" t="n">
        <v>29</v>
      </c>
      <c r="AK48" s="42" t="n">
        <v>30</v>
      </c>
      <c r="AL48" s="42" t="n">
        <v>31</v>
      </c>
      <c r="AM48" s="42" t="s">
        <v>5948</v>
      </c>
      <c r="AN48" s="42" t="n">
        <v>2</v>
      </c>
      <c r="AO48" s="42" t="n">
        <v>3</v>
      </c>
      <c r="AP48" s="43" t="n">
        <v>4</v>
      </c>
      <c r="AQ48" s="43" t="n">
        <v>5</v>
      </c>
      <c r="AR48" s="42" t="n">
        <v>6</v>
      </c>
      <c r="AS48" s="42" t="n">
        <v>7</v>
      </c>
      <c r="AT48" s="42" t="n">
        <v>8</v>
      </c>
      <c r="AU48" s="42" t="n">
        <v>9</v>
      </c>
      <c r="AV48" s="42" t="n">
        <v>10</v>
      </c>
      <c r="AW48" s="43" t="n">
        <v>11</v>
      </c>
      <c r="AX48" s="43" t="n">
        <v>12</v>
      </c>
      <c r="AY48" s="42" t="n">
        <v>13</v>
      </c>
      <c r="AZ48" s="42" t="n">
        <v>14</v>
      </c>
      <c r="BA48" s="42" t="n">
        <v>15</v>
      </c>
      <c r="BB48" s="42" t="n">
        <v>16</v>
      </c>
      <c r="BC48" s="42" t="n">
        <v>17</v>
      </c>
      <c r="BD48" s="43" t="n">
        <v>18</v>
      </c>
      <c r="BE48" s="43" t="n">
        <v>19</v>
      </c>
      <c r="BF48" s="42" t="n">
        <v>20</v>
      </c>
      <c r="BG48" s="42" t="n">
        <v>21</v>
      </c>
      <c r="BH48" s="42" t="n">
        <v>22</v>
      </c>
      <c r="BI48" s="42" t="n">
        <v>23</v>
      </c>
      <c r="BJ48" s="42" t="n">
        <v>24</v>
      </c>
      <c r="BK48" s="43" t="n">
        <v>25</v>
      </c>
      <c r="BL48" s="43" t="n">
        <v>26</v>
      </c>
      <c r="BM48" s="43" t="n">
        <v>27</v>
      </c>
      <c r="BN48" s="42" t="n">
        <v>28</v>
      </c>
      <c r="BO48" s="42" t="n">
        <v>29</v>
      </c>
      <c r="BP48" s="43" t="n">
        <v>30</v>
      </c>
      <c r="BQ48" s="43" t="s">
        <v>5949</v>
      </c>
      <c r="BR48" s="43" t="n">
        <v>2</v>
      </c>
      <c r="BS48" s="43" t="n">
        <v>3</v>
      </c>
      <c r="BT48" s="42" t="n">
        <v>4</v>
      </c>
      <c r="BU48" s="42" t="n">
        <v>5</v>
      </c>
      <c r="BV48" s="42" t="n">
        <v>6</v>
      </c>
      <c r="BW48" s="42" t="n">
        <v>7</v>
      </c>
      <c r="BX48" s="42" t="n">
        <v>8</v>
      </c>
      <c r="BY48" s="43" t="n">
        <v>9</v>
      </c>
      <c r="BZ48" s="43" t="n">
        <v>10</v>
      </c>
      <c r="CA48" s="42" t="n">
        <v>11</v>
      </c>
      <c r="CB48" s="42" t="n">
        <v>12</v>
      </c>
      <c r="CC48" s="42" t="n">
        <v>13</v>
      </c>
      <c r="CD48" s="42" t="n">
        <v>14</v>
      </c>
      <c r="CE48" s="42" t="n">
        <v>15</v>
      </c>
      <c r="CF48" s="43" t="n">
        <v>16</v>
      </c>
      <c r="CG48" s="43" t="n">
        <v>17</v>
      </c>
      <c r="CH48" s="42" t="n">
        <v>18</v>
      </c>
      <c r="CI48" s="42" t="n">
        <v>19</v>
      </c>
      <c r="CJ48" s="42" t="n">
        <v>20</v>
      </c>
      <c r="CK48" s="42" t="n">
        <v>21</v>
      </c>
      <c r="CL48" s="42" t="n">
        <v>22</v>
      </c>
      <c r="CM48" s="43" t="n">
        <v>23</v>
      </c>
      <c r="CN48" s="43" t="n">
        <v>24</v>
      </c>
      <c r="CO48" s="42" t="n">
        <v>25</v>
      </c>
      <c r="CP48" s="42" t="n">
        <v>26</v>
      </c>
      <c r="CQ48" s="42" t="n">
        <v>27</v>
      </c>
      <c r="CR48" s="42" t="n">
        <v>28</v>
      </c>
      <c r="CS48" s="42" t="n">
        <v>29</v>
      </c>
      <c r="CT48" s="43" t="n">
        <v>30</v>
      </c>
      <c r="CU48" s="43" t="n">
        <v>31</v>
      </c>
      <c r="CV48" s="42" t="s">
        <v>5950</v>
      </c>
      <c r="CW48" s="42" t="n">
        <v>2</v>
      </c>
      <c r="CX48" s="42" t="n">
        <v>3</v>
      </c>
      <c r="CY48" s="42" t="n">
        <v>4</v>
      </c>
      <c r="CZ48" s="42" t="n">
        <v>5</v>
      </c>
      <c r="DA48" s="43" t="n">
        <v>6</v>
      </c>
      <c r="DB48" s="43" t="n">
        <v>7</v>
      </c>
      <c r="DC48" s="42" t="n">
        <v>8</v>
      </c>
      <c r="DD48" s="42" t="n">
        <v>9</v>
      </c>
      <c r="DE48" s="42" t="n">
        <v>10</v>
      </c>
      <c r="DF48" s="42" t="n">
        <v>11</v>
      </c>
      <c r="DG48" s="42" t="n">
        <v>12</v>
      </c>
      <c r="DH48" s="43" t="n">
        <v>13</v>
      </c>
      <c r="DI48" s="43" t="n">
        <v>14</v>
      </c>
      <c r="DJ48" s="42" t="n">
        <v>15</v>
      </c>
      <c r="DK48" s="42" t="n">
        <v>16</v>
      </c>
      <c r="DL48" s="42" t="n">
        <v>17</v>
      </c>
      <c r="DM48" s="42" t="n">
        <v>18</v>
      </c>
      <c r="DN48" s="42" t="n">
        <v>19</v>
      </c>
      <c r="DO48" s="43" t="n">
        <v>20</v>
      </c>
      <c r="DP48" s="43" t="n">
        <v>21</v>
      </c>
      <c r="DQ48" s="42" t="n">
        <v>22</v>
      </c>
      <c r="DR48" s="42" t="n">
        <v>23</v>
      </c>
      <c r="DS48" s="42" t="n">
        <v>24</v>
      </c>
      <c r="DT48" s="42" t="n">
        <v>25</v>
      </c>
      <c r="DU48" s="42" t="n">
        <v>26</v>
      </c>
      <c r="DV48" s="43" t="n">
        <v>27</v>
      </c>
      <c r="DW48" s="43" t="n">
        <v>28</v>
      </c>
      <c r="DX48" s="42" t="n">
        <v>29</v>
      </c>
      <c r="DY48" s="42" t="n">
        <v>30</v>
      </c>
      <c r="DZ48" s="42" t="s">
        <v>5951</v>
      </c>
      <c r="EA48" s="42" t="n">
        <v>2</v>
      </c>
      <c r="EB48" s="42" t="n">
        <v>3</v>
      </c>
      <c r="EC48" s="43" t="n">
        <v>4</v>
      </c>
      <c r="ED48" s="43" t="n">
        <v>5</v>
      </c>
      <c r="EE48" s="42" t="n">
        <v>6</v>
      </c>
      <c r="EF48" s="42" t="n">
        <v>7</v>
      </c>
      <c r="EG48" s="42" t="n">
        <v>8</v>
      </c>
      <c r="EH48" s="42" t="n">
        <v>9</v>
      </c>
      <c r="EI48" s="42" t="n">
        <v>10</v>
      </c>
      <c r="EJ48" s="43" t="n">
        <v>11</v>
      </c>
      <c r="EK48" s="43" t="n">
        <v>12</v>
      </c>
      <c r="EL48" s="42" t="n">
        <v>13</v>
      </c>
      <c r="EM48" s="42" t="n">
        <v>14</v>
      </c>
      <c r="EN48" s="42" t="n">
        <v>15</v>
      </c>
      <c r="EO48" s="42" t="n">
        <v>16</v>
      </c>
      <c r="EP48" s="42" t="n">
        <v>17</v>
      </c>
      <c r="EQ48" s="43" t="n">
        <v>18</v>
      </c>
      <c r="ER48" s="43" t="n">
        <v>19</v>
      </c>
      <c r="ES48" s="42" t="n">
        <v>20</v>
      </c>
      <c r="ET48" s="42" t="n">
        <v>21</v>
      </c>
      <c r="EU48" s="42" t="n">
        <v>22</v>
      </c>
      <c r="EV48" s="42" t="n">
        <v>23</v>
      </c>
      <c r="EW48" s="42" t="n">
        <v>24</v>
      </c>
      <c r="EX48" s="43" t="n">
        <v>25</v>
      </c>
      <c r="EY48" s="43" t="n">
        <v>26</v>
      </c>
      <c r="EZ48" s="42" t="n">
        <v>27</v>
      </c>
      <c r="FA48" s="42" t="n">
        <v>28</v>
      </c>
      <c r="FB48" s="42" t="n">
        <v>29</v>
      </c>
      <c r="FC48" s="42" t="n">
        <v>30</v>
      </c>
      <c r="FD48" s="42" t="n">
        <v>31</v>
      </c>
      <c r="FE48" s="42"/>
    </row>
    <row r="49" customFormat="false" ht="13.5" hidden="false" customHeight="true" outlineLevel="0" collapsed="false">
      <c r="A49" s="41" t="s">
        <v>5952</v>
      </c>
      <c r="B49" s="44" t="n">
        <v>1884</v>
      </c>
      <c r="C49" s="44" t="n">
        <v>1935</v>
      </c>
      <c r="D49" s="44" t="n">
        <v>2050</v>
      </c>
      <c r="E49" s="44" t="n">
        <v>748</v>
      </c>
      <c r="F49" s="44" t="n">
        <v>2050</v>
      </c>
      <c r="G49" s="44"/>
      <c r="H49" s="44"/>
      <c r="I49" s="44" t="n">
        <v>1652</v>
      </c>
      <c r="J49" s="44" t="n">
        <v>2050</v>
      </c>
      <c r="K49" s="44" t="n">
        <v>2050</v>
      </c>
      <c r="L49" s="44" t="n">
        <v>506</v>
      </c>
      <c r="M49" s="44" t="n">
        <v>1500</v>
      </c>
      <c r="N49" s="44"/>
      <c r="O49" s="44"/>
      <c r="P49" s="44" t="n">
        <v>680</v>
      </c>
      <c r="Q49" s="44" t="n">
        <v>1800</v>
      </c>
      <c r="R49" s="44" t="n">
        <v>1900</v>
      </c>
      <c r="S49" s="44" t="n">
        <v>1200</v>
      </c>
      <c r="T49" s="44" t="n">
        <v>2100</v>
      </c>
      <c r="U49" s="44"/>
      <c r="V49" s="44"/>
      <c r="W49" s="44" t="n">
        <v>2100</v>
      </c>
      <c r="X49" s="44" t="n">
        <v>1504</v>
      </c>
      <c r="Y49" s="44" t="n">
        <v>2100</v>
      </c>
      <c r="Z49" s="44" t="n">
        <v>2100</v>
      </c>
      <c r="AA49" s="44" t="n">
        <v>2100</v>
      </c>
      <c r="AB49" s="44"/>
      <c r="AC49" s="44"/>
      <c r="AD49" s="44" t="n">
        <v>2100</v>
      </c>
      <c r="AE49" s="44" t="n">
        <v>1012</v>
      </c>
      <c r="AF49" s="44" t="n">
        <v>2100</v>
      </c>
      <c r="AG49" s="44" t="n">
        <v>112</v>
      </c>
      <c r="AH49" s="44" t="n">
        <v>2100</v>
      </c>
      <c r="AI49" s="44"/>
      <c r="AJ49" s="44"/>
      <c r="AK49" s="44" t="n">
        <v>2700</v>
      </c>
      <c r="AL49" s="44" t="n">
        <v>2700</v>
      </c>
      <c r="AM49" s="44" t="n">
        <v>2700</v>
      </c>
      <c r="AN49" s="44" t="n">
        <v>2700</v>
      </c>
      <c r="AO49" s="44" t="n">
        <v>2700</v>
      </c>
      <c r="AP49" s="44" t="n">
        <v>2150</v>
      </c>
      <c r="AQ49" s="44"/>
      <c r="AR49" s="44" t="n">
        <v>2700</v>
      </c>
      <c r="AS49" s="44" t="n">
        <v>2700</v>
      </c>
      <c r="AT49" s="44" t="n">
        <v>2700</v>
      </c>
      <c r="AU49" s="44" t="n">
        <v>2700</v>
      </c>
      <c r="AV49" s="44" t="n">
        <v>2700</v>
      </c>
      <c r="AW49" s="44"/>
      <c r="AX49" s="44"/>
      <c r="AY49" s="44" t="n">
        <v>2700</v>
      </c>
      <c r="AZ49" s="44" t="n">
        <v>2246</v>
      </c>
      <c r="BA49" s="44" t="n">
        <v>2100</v>
      </c>
      <c r="BB49" s="44" t="n">
        <v>2200</v>
      </c>
      <c r="BC49" s="44" t="n">
        <v>2300</v>
      </c>
      <c r="BD49" s="44" t="n">
        <v>2000</v>
      </c>
      <c r="BE49" s="44"/>
      <c r="BF49" s="44" t="n">
        <v>2600</v>
      </c>
      <c r="BG49" s="44" t="n">
        <v>1356</v>
      </c>
      <c r="BH49" s="44" t="n">
        <v>2600</v>
      </c>
      <c r="BI49" s="44" t="n">
        <v>2600</v>
      </c>
      <c r="BJ49" s="44" t="n">
        <v>2600</v>
      </c>
      <c r="BK49" s="44"/>
      <c r="BL49" s="44"/>
      <c r="BM49" s="44"/>
      <c r="BN49" s="44" t="n">
        <v>2600</v>
      </c>
      <c r="BO49" s="44" t="n">
        <v>1984</v>
      </c>
      <c r="BP49" s="44"/>
      <c r="BQ49" s="44"/>
      <c r="BR49" s="44"/>
      <c r="BS49" s="44"/>
      <c r="BT49" s="44" t="n">
        <v>2600</v>
      </c>
      <c r="BU49" s="44" t="n">
        <v>2600</v>
      </c>
      <c r="BV49" s="44" t="n">
        <v>2540</v>
      </c>
      <c r="BW49" s="44" t="n">
        <v>2600</v>
      </c>
      <c r="BX49" s="44" t="n">
        <v>2600</v>
      </c>
      <c r="BY49" s="44" t="n">
        <v>2050</v>
      </c>
      <c r="BZ49" s="44"/>
      <c r="CA49" s="44" t="n">
        <v>2600</v>
      </c>
      <c r="CB49" s="44" t="n">
        <v>2184</v>
      </c>
      <c r="CC49" s="44" t="n">
        <v>2600</v>
      </c>
      <c r="CD49" s="44" t="n">
        <v>2600</v>
      </c>
      <c r="CE49" s="44" t="n">
        <v>164</v>
      </c>
      <c r="CF49" s="44"/>
      <c r="CG49" s="44"/>
      <c r="CH49" s="44" t="n">
        <f aca="false">5004-CE50</f>
        <v>2568</v>
      </c>
      <c r="CI49" s="44" t="n">
        <v>2600</v>
      </c>
      <c r="CJ49" s="44" t="n">
        <v>2600</v>
      </c>
      <c r="CK49" s="44" t="n">
        <v>2600</v>
      </c>
      <c r="CL49" s="44" t="n">
        <v>2600</v>
      </c>
      <c r="CM49" s="44" t="n">
        <v>2050</v>
      </c>
      <c r="CN49" s="44"/>
      <c r="CO49" s="44" t="n">
        <v>2600</v>
      </c>
      <c r="CP49" s="44" t="n">
        <v>2600</v>
      </c>
      <c r="CQ49" s="44" t="n">
        <v>2600</v>
      </c>
      <c r="CR49" s="44" t="n">
        <v>414</v>
      </c>
      <c r="CS49" s="44" t="n">
        <v>2600</v>
      </c>
      <c r="CT49" s="44"/>
      <c r="CU49" s="44"/>
      <c r="CV49" s="44" t="n">
        <v>2600</v>
      </c>
      <c r="CW49" s="44" t="n">
        <v>2600</v>
      </c>
      <c r="CX49" s="44" t="n">
        <v>2600</v>
      </c>
      <c r="CY49" s="44" t="n">
        <v>2600</v>
      </c>
      <c r="CZ49" s="44" t="n">
        <v>2600</v>
      </c>
      <c r="DA49" s="44"/>
      <c r="DB49" s="44"/>
      <c r="DC49" s="44" t="n">
        <v>2264</v>
      </c>
      <c r="DD49" s="44" t="n">
        <v>2600</v>
      </c>
      <c r="DE49" s="44" t="n">
        <v>2122</v>
      </c>
      <c r="DF49" s="44"/>
      <c r="DG49" s="44"/>
      <c r="DH49" s="44"/>
      <c r="DI49" s="44"/>
      <c r="DJ49" s="44"/>
      <c r="DK49" s="44"/>
      <c r="DL49" s="44"/>
      <c r="DM49" s="44"/>
      <c r="DN49" s="44"/>
      <c r="DO49" s="44"/>
      <c r="DP49" s="44"/>
      <c r="DQ49" s="44"/>
      <c r="DR49" s="44"/>
      <c r="DS49" s="44"/>
      <c r="DT49" s="44"/>
      <c r="DU49" s="44"/>
      <c r="DV49" s="44"/>
      <c r="DW49" s="44"/>
      <c r="DX49" s="44"/>
      <c r="DY49" s="44"/>
      <c r="DZ49" s="44"/>
      <c r="EA49" s="44"/>
      <c r="EB49" s="44"/>
      <c r="EC49" s="44"/>
      <c r="ED49" s="44"/>
      <c r="EE49" s="44"/>
      <c r="EF49" s="44"/>
      <c r="EG49" s="44"/>
      <c r="EH49" s="44"/>
      <c r="EI49" s="44"/>
      <c r="EJ49" s="44"/>
      <c r="EK49" s="44"/>
      <c r="EL49" s="44"/>
      <c r="EM49" s="44"/>
      <c r="EN49" s="44"/>
      <c r="EO49" s="44"/>
      <c r="EP49" s="44"/>
      <c r="EQ49" s="44"/>
      <c r="ER49" s="44"/>
      <c r="ES49" s="44"/>
      <c r="ET49" s="44"/>
      <c r="EU49" s="44"/>
      <c r="EV49" s="44"/>
      <c r="EW49" s="44"/>
      <c r="EX49" s="44"/>
      <c r="EY49" s="44"/>
      <c r="EZ49" s="44"/>
      <c r="FA49" s="44"/>
      <c r="FB49" s="44"/>
      <c r="FC49" s="44"/>
      <c r="FD49" s="44"/>
      <c r="FE49" s="44"/>
    </row>
    <row r="50" customFormat="false" ht="13.5" hidden="false" customHeight="true" outlineLevel="0" collapsed="false">
      <c r="A50" s="41"/>
      <c r="B50" s="45"/>
      <c r="C50" s="45"/>
      <c r="D50" s="45"/>
      <c r="E50" s="45" t="n">
        <f aca="false">2050-E49</f>
        <v>1302</v>
      </c>
      <c r="F50" s="45"/>
      <c r="G50" s="45"/>
      <c r="H50" s="45"/>
      <c r="I50" s="45" t="n">
        <f aca="false">2050-I49</f>
        <v>398</v>
      </c>
      <c r="J50" s="45"/>
      <c r="K50" s="45"/>
      <c r="L50" s="45" t="n">
        <v>1000</v>
      </c>
      <c r="M50" s="45"/>
      <c r="N50" s="45"/>
      <c r="O50" s="45"/>
      <c r="P50" s="45" t="n">
        <f aca="false">1600-P49</f>
        <v>920</v>
      </c>
      <c r="Q50" s="45"/>
      <c r="R50" s="45"/>
      <c r="S50" s="45" t="n">
        <f aca="false">2000-S49</f>
        <v>800</v>
      </c>
      <c r="T50" s="45"/>
      <c r="U50" s="45"/>
      <c r="V50" s="45"/>
      <c r="W50" s="45"/>
      <c r="X50" s="45" t="n">
        <f aca="false">2100-X49</f>
        <v>596</v>
      </c>
      <c r="Y50" s="45"/>
      <c r="Z50" s="45"/>
      <c r="AA50" s="45"/>
      <c r="AB50" s="45"/>
      <c r="AC50" s="45"/>
      <c r="AD50" s="45"/>
      <c r="AE50" s="45" t="n">
        <f aca="false">2100-AE49</f>
        <v>1088</v>
      </c>
      <c r="AF50" s="45"/>
      <c r="AG50" s="45" t="n">
        <f aca="false">2100-AG49</f>
        <v>1988</v>
      </c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5"/>
      <c r="AW50" s="45"/>
      <c r="AX50" s="45"/>
      <c r="AY50" s="45"/>
      <c r="AZ50" s="45" t="n">
        <v>200</v>
      </c>
      <c r="BA50" s="45"/>
      <c r="BB50" s="45"/>
      <c r="BC50" s="45"/>
      <c r="BD50" s="45"/>
      <c r="BE50" s="45"/>
      <c r="BF50" s="45"/>
      <c r="BG50" s="45" t="n">
        <f aca="false">2600-BG49</f>
        <v>1244</v>
      </c>
      <c r="BH50" s="45"/>
      <c r="BI50" s="45"/>
      <c r="BJ50" s="45"/>
      <c r="BK50" s="45"/>
      <c r="BL50" s="45"/>
      <c r="BM50" s="45"/>
      <c r="BN50" s="45" t="n">
        <f aca="false">2600-BN49</f>
        <v>0</v>
      </c>
      <c r="BO50" s="45" t="n">
        <f aca="false">2600-BO49</f>
        <v>616</v>
      </c>
      <c r="BP50" s="45"/>
      <c r="BQ50" s="45"/>
      <c r="BR50" s="45"/>
      <c r="BS50" s="45"/>
      <c r="BT50" s="45"/>
      <c r="BU50" s="45"/>
      <c r="BV50" s="45" t="n">
        <f aca="false">2600-BV49</f>
        <v>60</v>
      </c>
      <c r="BW50" s="45"/>
      <c r="BX50" s="45"/>
      <c r="BY50" s="45"/>
      <c r="BZ50" s="45"/>
      <c r="CA50" s="45"/>
      <c r="CB50" s="45"/>
      <c r="CC50" s="45"/>
      <c r="CD50" s="45"/>
      <c r="CE50" s="45" t="n">
        <f aca="false">2600-CE49</f>
        <v>2436</v>
      </c>
      <c r="CF50" s="45"/>
      <c r="CG50" s="45"/>
      <c r="CH50" s="45" t="n">
        <f aca="false">2600-CH49</f>
        <v>32</v>
      </c>
      <c r="CI50" s="45"/>
      <c r="CJ50" s="45"/>
      <c r="CK50" s="45"/>
      <c r="CL50" s="45"/>
      <c r="CM50" s="45"/>
      <c r="CN50" s="45"/>
      <c r="CO50" s="45"/>
      <c r="CP50" s="45"/>
      <c r="CQ50" s="45"/>
      <c r="CR50" s="45" t="n">
        <f aca="false">2600-CR49</f>
        <v>2186</v>
      </c>
      <c r="CS50" s="45"/>
      <c r="CT50" s="45"/>
      <c r="CU50" s="45"/>
      <c r="CV50" s="48"/>
      <c r="CW50" s="45"/>
      <c r="CX50" s="45"/>
      <c r="CY50" s="45"/>
      <c r="CZ50" s="45"/>
      <c r="DA50" s="45"/>
      <c r="DB50" s="45"/>
      <c r="DC50" s="45" t="n">
        <f aca="false">2600-DC49</f>
        <v>336</v>
      </c>
      <c r="DD50" s="45"/>
      <c r="DE50" s="45"/>
      <c r="DF50" s="45"/>
      <c r="DG50" s="45"/>
      <c r="DH50" s="45"/>
      <c r="DI50" s="45"/>
      <c r="DJ50" s="45"/>
      <c r="DK50" s="45"/>
      <c r="DL50" s="45"/>
      <c r="DM50" s="45"/>
      <c r="DN50" s="45"/>
      <c r="DO50" s="45"/>
      <c r="DP50" s="45"/>
      <c r="DQ50" s="45"/>
      <c r="DR50" s="45"/>
      <c r="DS50" s="45"/>
      <c r="DT50" s="45"/>
      <c r="DU50" s="45"/>
      <c r="DV50" s="45"/>
      <c r="DW50" s="45"/>
      <c r="DX50" s="45"/>
      <c r="DY50" s="45"/>
      <c r="DZ50" s="45"/>
      <c r="EA50" s="45"/>
      <c r="EB50" s="45"/>
      <c r="EC50" s="45"/>
      <c r="ED50" s="45"/>
      <c r="EE50" s="45"/>
      <c r="EF50" s="45"/>
      <c r="EG50" s="45"/>
      <c r="EH50" s="45"/>
      <c r="EI50" s="45"/>
      <c r="EJ50" s="45"/>
      <c r="EK50" s="45"/>
      <c r="EL50" s="45"/>
      <c r="EM50" s="45"/>
      <c r="EN50" s="45"/>
      <c r="EO50" s="45"/>
      <c r="EP50" s="45"/>
      <c r="EQ50" s="45"/>
      <c r="ER50" s="45"/>
      <c r="ES50" s="45"/>
      <c r="ET50" s="45"/>
      <c r="EU50" s="45"/>
      <c r="EV50" s="45"/>
      <c r="EW50" s="45"/>
      <c r="EX50" s="45"/>
      <c r="EY50" s="45"/>
      <c r="EZ50" s="45"/>
      <c r="FA50" s="45"/>
      <c r="FB50" s="45"/>
      <c r="FC50" s="45"/>
      <c r="FD50" s="45"/>
      <c r="FE50" s="45"/>
      <c r="HO50" s="45"/>
      <c r="HV50" s="45"/>
      <c r="HW50" s="45"/>
      <c r="HX50" s="45"/>
      <c r="HY50" s="45"/>
      <c r="HZ50" s="45"/>
      <c r="IA50" s="45"/>
      <c r="IB50" s="45"/>
      <c r="IC50" s="45"/>
      <c r="IJ50" s="45"/>
      <c r="IQ50" s="45"/>
      <c r="IW50" s="45"/>
    </row>
    <row r="51" customFormat="false" ht="13.5" hidden="false" customHeight="true" outlineLevel="0" collapsed="false">
      <c r="A51" s="81"/>
      <c r="B51" s="47" t="s">
        <v>5953</v>
      </c>
      <c r="C51" s="48"/>
      <c r="D51" s="48"/>
      <c r="E51" s="47" t="s">
        <v>5953</v>
      </c>
      <c r="F51" s="49"/>
      <c r="G51" s="49"/>
      <c r="H51" s="49"/>
      <c r="I51" s="47" t="s">
        <v>6076</v>
      </c>
      <c r="J51" s="47"/>
      <c r="K51" s="48"/>
      <c r="L51" s="62" t="s">
        <v>6077</v>
      </c>
      <c r="M51" s="49"/>
      <c r="N51" s="49"/>
      <c r="O51" s="49"/>
      <c r="P51" s="49"/>
      <c r="Q51" s="49"/>
      <c r="R51" s="49"/>
      <c r="S51" s="50" t="s">
        <v>6078</v>
      </c>
      <c r="T51" s="49"/>
      <c r="U51" s="49"/>
      <c r="V51" s="49"/>
      <c r="W51" s="49"/>
      <c r="X51" s="47" t="s">
        <v>6079</v>
      </c>
      <c r="Y51" s="50"/>
      <c r="Z51" s="48"/>
      <c r="AA51" s="48"/>
      <c r="AB51" s="49"/>
      <c r="AC51" s="49"/>
      <c r="AD51" s="49"/>
      <c r="AE51" s="47" t="s">
        <v>6079</v>
      </c>
      <c r="AF51" s="49"/>
      <c r="AG51" s="47" t="s">
        <v>6079</v>
      </c>
      <c r="AH51" s="63" t="s">
        <v>6000</v>
      </c>
      <c r="AI51" s="49"/>
      <c r="AJ51" s="49"/>
      <c r="AK51" s="63" t="s">
        <v>6000</v>
      </c>
      <c r="AL51" s="63" t="s">
        <v>6000</v>
      </c>
      <c r="AM51" s="63" t="s">
        <v>6000</v>
      </c>
      <c r="AN51" s="63" t="s">
        <v>6000</v>
      </c>
      <c r="AO51" s="63" t="s">
        <v>6000</v>
      </c>
      <c r="AP51" s="49"/>
      <c r="AQ51" s="49"/>
      <c r="AR51" s="63" t="s">
        <v>6000</v>
      </c>
      <c r="AS51" s="63" t="s">
        <v>6000</v>
      </c>
      <c r="AT51" s="63" t="s">
        <v>6000</v>
      </c>
      <c r="AU51" s="63" t="s">
        <v>6000</v>
      </c>
      <c r="AV51" s="63" t="s">
        <v>6000</v>
      </c>
      <c r="AW51" s="49"/>
      <c r="AX51" s="49"/>
      <c r="AY51" s="63" t="s">
        <v>6000</v>
      </c>
      <c r="AZ51" s="48" t="s">
        <v>5998</v>
      </c>
      <c r="BA51" s="63" t="s">
        <v>6000</v>
      </c>
      <c r="BB51" s="49"/>
      <c r="BC51" s="48"/>
      <c r="BD51" s="48"/>
      <c r="BE51" s="49"/>
      <c r="BF51" s="48"/>
      <c r="BG51" s="49" t="s">
        <v>6080</v>
      </c>
      <c r="BH51" s="48"/>
      <c r="BI51" s="48"/>
      <c r="BJ51" s="49"/>
      <c r="BK51" s="49"/>
      <c r="BL51" s="49"/>
      <c r="BM51" s="48"/>
      <c r="BN51" s="82"/>
      <c r="BO51" s="49"/>
      <c r="BP51" s="49"/>
      <c r="BQ51" s="49"/>
      <c r="BR51" s="49"/>
      <c r="BS51" s="49"/>
      <c r="BT51" s="48"/>
      <c r="BU51" s="48"/>
      <c r="BV51" s="49"/>
      <c r="BW51" s="48"/>
      <c r="BX51" s="49"/>
      <c r="BY51" s="49"/>
      <c r="BZ51" s="49"/>
      <c r="CA51" s="48"/>
      <c r="CB51" s="49"/>
      <c r="CC51" s="49"/>
      <c r="CD51" s="48"/>
      <c r="CE51" s="48" t="s">
        <v>6002</v>
      </c>
      <c r="CF51" s="49"/>
      <c r="CG51" s="49"/>
      <c r="CH51" s="48" t="s">
        <v>6002</v>
      </c>
      <c r="CI51" s="49"/>
      <c r="CJ51" s="49"/>
      <c r="CK51" s="49"/>
      <c r="CL51" s="49"/>
      <c r="CM51" s="49"/>
      <c r="CN51" s="49"/>
      <c r="CO51" s="49"/>
      <c r="CP51" s="49"/>
      <c r="CQ51" s="49"/>
      <c r="CR51" s="48" t="s">
        <v>6002</v>
      </c>
      <c r="CS51" s="49"/>
      <c r="CT51" s="49"/>
      <c r="CU51" s="49"/>
      <c r="CV51" s="48"/>
      <c r="CW51" s="49"/>
      <c r="CX51" s="49"/>
      <c r="CY51" s="49"/>
      <c r="CZ51" s="49"/>
      <c r="DA51" s="49"/>
      <c r="DB51" s="49"/>
      <c r="DC51" s="48" t="s">
        <v>6024</v>
      </c>
      <c r="DD51" s="49"/>
      <c r="DE51" s="49"/>
      <c r="DF51" s="49"/>
      <c r="DG51" s="49"/>
      <c r="DH51" s="49"/>
      <c r="DI51" s="49"/>
      <c r="DJ51" s="49"/>
      <c r="DK51" s="49"/>
      <c r="DL51" s="49"/>
      <c r="DM51" s="49"/>
      <c r="DN51" s="49"/>
      <c r="DO51" s="49"/>
      <c r="DP51" s="49"/>
      <c r="DQ51" s="49"/>
      <c r="DR51" s="49"/>
      <c r="DS51" s="49"/>
      <c r="DT51" s="49"/>
      <c r="DU51" s="49"/>
      <c r="DV51" s="49"/>
      <c r="DW51" s="49"/>
      <c r="DX51" s="49"/>
      <c r="DY51" s="49"/>
      <c r="DZ51" s="49"/>
      <c r="EA51" s="49"/>
      <c r="EB51" s="49"/>
      <c r="EC51" s="49"/>
      <c r="ED51" s="49"/>
      <c r="EE51" s="49"/>
      <c r="EF51" s="49"/>
      <c r="EG51" s="49"/>
      <c r="EH51" s="49"/>
      <c r="EI51" s="49"/>
      <c r="EJ51" s="49"/>
      <c r="EK51" s="49"/>
      <c r="EL51" s="49"/>
      <c r="EM51" s="49"/>
      <c r="EN51" s="49"/>
      <c r="EO51" s="49"/>
      <c r="EP51" s="49"/>
      <c r="EQ51" s="49"/>
      <c r="ER51" s="49"/>
      <c r="ES51" s="49"/>
      <c r="ET51" s="49"/>
      <c r="EU51" s="49"/>
      <c r="EV51" s="49"/>
      <c r="EW51" s="49"/>
      <c r="EX51" s="49"/>
      <c r="EY51" s="49"/>
      <c r="EZ51" s="49"/>
      <c r="FA51" s="49"/>
      <c r="FB51" s="49"/>
      <c r="FC51" s="49"/>
      <c r="FD51" s="49"/>
      <c r="FE51" s="49"/>
      <c r="HO51" s="49"/>
      <c r="HV51" s="49"/>
      <c r="HW51" s="49"/>
      <c r="HX51" s="49"/>
      <c r="HY51" s="49"/>
      <c r="HZ51" s="49"/>
      <c r="IA51" s="49"/>
      <c r="IB51" s="49"/>
      <c r="IC51" s="49"/>
      <c r="IJ51" s="49"/>
      <c r="IQ51" s="49"/>
      <c r="IW51" s="49"/>
    </row>
    <row r="52" customFormat="false" ht="13.5" hidden="false" customHeight="true" outlineLevel="0" collapsed="false">
      <c r="A52" s="52" t="s">
        <v>5960</v>
      </c>
      <c r="B52" s="53" t="n">
        <v>30</v>
      </c>
      <c r="C52" s="53" t="n">
        <v>30</v>
      </c>
      <c r="D52" s="53" t="n">
        <v>30</v>
      </c>
      <c r="E52" s="53" t="n">
        <v>30</v>
      </c>
      <c r="F52" s="53" t="n">
        <v>30</v>
      </c>
      <c r="G52" s="53" t="n">
        <v>30</v>
      </c>
      <c r="H52" s="53" t="n">
        <v>30</v>
      </c>
      <c r="I52" s="53" t="n">
        <v>30</v>
      </c>
      <c r="J52" s="53" t="n">
        <v>30</v>
      </c>
      <c r="K52" s="53" t="n">
        <v>30</v>
      </c>
      <c r="L52" s="53" t="n">
        <v>30</v>
      </c>
      <c r="M52" s="53" t="n">
        <v>30</v>
      </c>
      <c r="N52" s="53" t="n">
        <v>30</v>
      </c>
      <c r="O52" s="53" t="n">
        <v>30</v>
      </c>
      <c r="P52" s="53" t="n">
        <v>30</v>
      </c>
      <c r="Q52" s="53" t="n">
        <v>30</v>
      </c>
      <c r="R52" s="53" t="n">
        <v>30</v>
      </c>
      <c r="S52" s="53" t="n">
        <v>30</v>
      </c>
      <c r="T52" s="53" t="n">
        <v>30</v>
      </c>
      <c r="U52" s="53" t="n">
        <v>30</v>
      </c>
      <c r="V52" s="53" t="n">
        <v>30</v>
      </c>
      <c r="W52" s="53" t="n">
        <v>30</v>
      </c>
      <c r="X52" s="53" t="n">
        <v>30</v>
      </c>
      <c r="Y52" s="53" t="n">
        <v>30</v>
      </c>
      <c r="Z52" s="53" t="n">
        <v>30</v>
      </c>
      <c r="AA52" s="53" t="n">
        <v>30</v>
      </c>
      <c r="AB52" s="53" t="n">
        <v>30</v>
      </c>
      <c r="AC52" s="53" t="n">
        <v>30</v>
      </c>
      <c r="AD52" s="53" t="n">
        <v>30</v>
      </c>
      <c r="AE52" s="53" t="n">
        <v>30</v>
      </c>
      <c r="AF52" s="53" t="n">
        <v>30</v>
      </c>
      <c r="AG52" s="53" t="n">
        <v>30</v>
      </c>
      <c r="AH52" s="53" t="n">
        <v>30</v>
      </c>
      <c r="AI52" s="53" t="n">
        <v>30</v>
      </c>
      <c r="AJ52" s="53" t="n">
        <v>30</v>
      </c>
      <c r="AK52" s="53" t="n">
        <v>30</v>
      </c>
      <c r="AL52" s="53" t="n">
        <v>30</v>
      </c>
      <c r="AM52" s="53" t="n">
        <v>30</v>
      </c>
      <c r="AN52" s="53" t="n">
        <v>30</v>
      </c>
      <c r="AO52" s="53" t="n">
        <v>30</v>
      </c>
      <c r="AP52" s="53" t="n">
        <v>30</v>
      </c>
      <c r="AQ52" s="53" t="n">
        <v>30</v>
      </c>
      <c r="AR52" s="53" t="n">
        <v>30</v>
      </c>
      <c r="AS52" s="53" t="n">
        <v>30</v>
      </c>
      <c r="AT52" s="53" t="n">
        <v>30</v>
      </c>
      <c r="AU52" s="53" t="n">
        <v>30</v>
      </c>
      <c r="AV52" s="53" t="n">
        <v>30</v>
      </c>
      <c r="AW52" s="53" t="n">
        <v>30</v>
      </c>
      <c r="AX52" s="53" t="n">
        <v>30</v>
      </c>
      <c r="AY52" s="53" t="n">
        <v>30</v>
      </c>
      <c r="AZ52" s="53" t="n">
        <v>30</v>
      </c>
      <c r="BA52" s="53" t="n">
        <v>30</v>
      </c>
      <c r="BB52" s="53" t="n">
        <v>30</v>
      </c>
      <c r="BC52" s="53" t="n">
        <v>30</v>
      </c>
      <c r="BD52" s="53" t="n">
        <v>30</v>
      </c>
      <c r="BE52" s="53" t="n">
        <v>30</v>
      </c>
      <c r="BF52" s="53" t="n">
        <v>30</v>
      </c>
      <c r="BG52" s="53" t="n">
        <v>30</v>
      </c>
      <c r="BH52" s="53" t="n">
        <v>30</v>
      </c>
      <c r="BI52" s="53" t="n">
        <v>30</v>
      </c>
      <c r="BJ52" s="53" t="n">
        <v>30</v>
      </c>
      <c r="BK52" s="53" t="n">
        <v>30</v>
      </c>
      <c r="BL52" s="53" t="n">
        <v>30</v>
      </c>
      <c r="BM52" s="53" t="n">
        <v>30</v>
      </c>
      <c r="BN52" s="53" t="n">
        <v>30</v>
      </c>
      <c r="BO52" s="53" t="n">
        <v>30</v>
      </c>
      <c r="BP52" s="53" t="n">
        <v>30</v>
      </c>
      <c r="BQ52" s="53" t="n">
        <v>30</v>
      </c>
      <c r="BR52" s="53" t="n">
        <v>30</v>
      </c>
      <c r="BS52" s="53" t="n">
        <v>30</v>
      </c>
      <c r="BT52" s="53" t="n">
        <v>30</v>
      </c>
      <c r="BU52" s="53" t="n">
        <v>30</v>
      </c>
      <c r="BV52" s="53" t="n">
        <v>30</v>
      </c>
      <c r="BW52" s="53" t="n">
        <v>30</v>
      </c>
      <c r="BX52" s="53" t="n">
        <v>30</v>
      </c>
      <c r="BY52" s="53" t="n">
        <v>30</v>
      </c>
      <c r="BZ52" s="53" t="n">
        <v>30</v>
      </c>
      <c r="CA52" s="53" t="n">
        <v>30</v>
      </c>
      <c r="CB52" s="53" t="n">
        <v>30</v>
      </c>
      <c r="CC52" s="53" t="n">
        <v>30</v>
      </c>
      <c r="CD52" s="53" t="n">
        <v>30</v>
      </c>
      <c r="CE52" s="53" t="n">
        <v>30</v>
      </c>
      <c r="CF52" s="53" t="n">
        <v>30</v>
      </c>
      <c r="CG52" s="53" t="n">
        <v>30</v>
      </c>
      <c r="CH52" s="53" t="n">
        <v>30</v>
      </c>
      <c r="CI52" s="53" t="n">
        <v>30</v>
      </c>
      <c r="CJ52" s="53" t="n">
        <v>30</v>
      </c>
      <c r="CK52" s="53" t="n">
        <v>30</v>
      </c>
      <c r="CL52" s="53" t="n">
        <v>30</v>
      </c>
      <c r="CM52" s="53" t="n">
        <v>30</v>
      </c>
      <c r="CN52" s="53" t="n">
        <v>30</v>
      </c>
      <c r="CO52" s="53" t="n">
        <v>30</v>
      </c>
      <c r="CP52" s="53" t="n">
        <v>30</v>
      </c>
      <c r="CQ52" s="53" t="n">
        <v>30</v>
      </c>
      <c r="CR52" s="53" t="n">
        <v>30</v>
      </c>
      <c r="CS52" s="53" t="n">
        <v>30</v>
      </c>
      <c r="CT52" s="53" t="n">
        <v>30</v>
      </c>
      <c r="CU52" s="53" t="n">
        <v>30</v>
      </c>
      <c r="CV52" s="53" t="n">
        <v>30</v>
      </c>
      <c r="CW52" s="53" t="n">
        <v>30</v>
      </c>
      <c r="CX52" s="53" t="n">
        <v>30</v>
      </c>
      <c r="CY52" s="53" t="n">
        <v>30</v>
      </c>
      <c r="CZ52" s="53" t="n">
        <v>30</v>
      </c>
      <c r="DA52" s="53" t="n">
        <v>30</v>
      </c>
      <c r="DB52" s="53" t="n">
        <v>30</v>
      </c>
      <c r="DC52" s="53" t="n">
        <v>30</v>
      </c>
      <c r="DD52" s="53" t="n">
        <v>30</v>
      </c>
      <c r="DE52" s="53" t="n">
        <v>30</v>
      </c>
      <c r="DF52" s="53"/>
      <c r="DG52" s="53"/>
      <c r="DH52" s="53"/>
      <c r="DI52" s="53"/>
      <c r="DJ52" s="53"/>
      <c r="DK52" s="53"/>
      <c r="DL52" s="53"/>
      <c r="DM52" s="53"/>
      <c r="DN52" s="53"/>
      <c r="DO52" s="53"/>
      <c r="DP52" s="53"/>
      <c r="DQ52" s="53"/>
      <c r="DR52" s="53"/>
      <c r="DS52" s="53"/>
      <c r="DT52" s="53"/>
      <c r="DU52" s="53"/>
      <c r="DV52" s="53"/>
      <c r="DW52" s="53"/>
      <c r="DX52" s="53"/>
      <c r="DY52" s="53"/>
      <c r="DZ52" s="53"/>
      <c r="EA52" s="53"/>
      <c r="EB52" s="53"/>
      <c r="EC52" s="53"/>
      <c r="ED52" s="53"/>
      <c r="EE52" s="53"/>
      <c r="EF52" s="53"/>
      <c r="EG52" s="53"/>
      <c r="EH52" s="53"/>
      <c r="EI52" s="53"/>
      <c r="EJ52" s="53"/>
      <c r="EK52" s="53"/>
      <c r="EL52" s="53"/>
      <c r="EM52" s="53"/>
      <c r="EN52" s="53"/>
      <c r="EO52" s="53"/>
      <c r="EP52" s="53"/>
      <c r="EQ52" s="53"/>
      <c r="ER52" s="53"/>
      <c r="ES52" s="53"/>
      <c r="ET52" s="53"/>
      <c r="EU52" s="53"/>
      <c r="EV52" s="53"/>
      <c r="EW52" s="53"/>
      <c r="EX52" s="53"/>
      <c r="EY52" s="53"/>
      <c r="EZ52" s="53"/>
      <c r="FA52" s="53"/>
      <c r="FB52" s="53"/>
      <c r="FC52" s="53"/>
      <c r="FD52" s="53"/>
      <c r="FE52" s="53"/>
    </row>
    <row r="53" customFormat="false" ht="13.5" hidden="false" customHeight="true" outlineLevel="0" collapsed="false">
      <c r="A53" s="70"/>
    </row>
    <row r="54" customFormat="false" ht="13.5" hidden="false" customHeight="true" outlineLevel="0" collapsed="false">
      <c r="A54" s="29" t="s">
        <v>6081</v>
      </c>
      <c r="B54" s="30"/>
      <c r="C54" s="30"/>
      <c r="D54" s="30"/>
      <c r="E54" s="30"/>
      <c r="F54" s="30"/>
      <c r="G54" s="30"/>
      <c r="H54" s="30"/>
      <c r="I54" s="65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72" t="s">
        <v>6008</v>
      </c>
      <c r="AG54" s="30"/>
      <c r="AH54" s="30" t="s">
        <v>6008</v>
      </c>
      <c r="AI54" s="30"/>
      <c r="AJ54" s="30"/>
      <c r="AK54" s="30"/>
      <c r="AL54" s="30"/>
      <c r="AM54" s="30"/>
      <c r="AN54" s="30"/>
      <c r="AO54" s="72" t="s">
        <v>6008</v>
      </c>
      <c r="AP54" s="30"/>
      <c r="AQ54" s="30"/>
      <c r="AR54" s="30"/>
      <c r="AS54" s="30"/>
      <c r="AT54" s="30"/>
      <c r="AU54" s="72" t="s">
        <v>5920</v>
      </c>
      <c r="AV54" s="30"/>
      <c r="AW54" s="30"/>
      <c r="AX54" s="30"/>
      <c r="AY54" s="72"/>
      <c r="AZ54" s="30" t="s">
        <v>5920</v>
      </c>
      <c r="BA54" s="30"/>
      <c r="BB54" s="30"/>
      <c r="BC54" s="30"/>
      <c r="BD54" s="30"/>
      <c r="BE54" s="30"/>
      <c r="BF54" s="30"/>
      <c r="BG54" s="30"/>
      <c r="BH54" s="72"/>
      <c r="BI54" s="30"/>
      <c r="BJ54" s="30"/>
      <c r="BK54" s="30"/>
      <c r="BL54" s="30"/>
      <c r="BM54" s="30"/>
      <c r="BN54" s="30"/>
      <c r="BO54" s="30"/>
      <c r="BP54" s="30"/>
      <c r="BQ54" s="30"/>
      <c r="BR54" s="30"/>
      <c r="BS54" s="30"/>
      <c r="BT54" s="30" t="s">
        <v>5972</v>
      </c>
      <c r="BU54" s="30"/>
      <c r="BV54" s="30"/>
      <c r="BW54" s="30"/>
      <c r="BX54" s="30"/>
      <c r="BY54" s="30"/>
      <c r="BZ54" s="30"/>
      <c r="CA54" s="32"/>
      <c r="CB54" s="30"/>
      <c r="CC54" s="30"/>
      <c r="CD54" s="30"/>
      <c r="CE54" s="30" t="s">
        <v>5921</v>
      </c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 t="s">
        <v>6058</v>
      </c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 t="s">
        <v>5975</v>
      </c>
      <c r="DD54" s="30"/>
      <c r="DE54" s="30"/>
      <c r="DF54" s="30"/>
      <c r="DG54" s="30"/>
      <c r="DH54" s="30"/>
      <c r="DI54" s="30"/>
      <c r="DJ54" s="30"/>
      <c r="DK54" s="30"/>
      <c r="DL54" s="30"/>
      <c r="DM54" s="30"/>
      <c r="DN54" s="30"/>
      <c r="DO54" s="30"/>
      <c r="DP54" s="30"/>
      <c r="DQ54" s="30"/>
      <c r="DR54" s="30"/>
      <c r="DS54" s="30"/>
      <c r="DT54" s="30"/>
      <c r="DU54" s="30"/>
      <c r="DV54" s="30"/>
      <c r="DW54" s="30"/>
      <c r="DX54" s="30"/>
      <c r="DY54" s="30"/>
      <c r="DZ54" s="30"/>
      <c r="EA54" s="30"/>
      <c r="EB54" s="30"/>
      <c r="EC54" s="30"/>
      <c r="ED54" s="30"/>
      <c r="EE54" s="30"/>
      <c r="EF54" s="30"/>
      <c r="EG54" s="30"/>
      <c r="EH54" s="30"/>
      <c r="EI54" s="30"/>
      <c r="EJ54" s="30"/>
      <c r="EK54" s="30"/>
      <c r="EL54" s="30"/>
      <c r="EM54" s="30"/>
      <c r="EN54" s="30"/>
      <c r="EO54" s="30"/>
      <c r="EP54" s="30"/>
      <c r="EQ54" s="30"/>
      <c r="ER54" s="30"/>
      <c r="ES54" s="30"/>
      <c r="ET54" s="30"/>
      <c r="EU54" s="30"/>
      <c r="EV54" s="30"/>
      <c r="EW54" s="30"/>
      <c r="EX54" s="30"/>
      <c r="EY54" s="30"/>
      <c r="EZ54" s="30"/>
      <c r="FA54" s="30"/>
      <c r="FB54" s="30"/>
      <c r="FC54" s="30"/>
      <c r="FD54" s="30"/>
      <c r="FE54" s="30"/>
      <c r="HO54" s="30"/>
      <c r="HV54" s="30"/>
      <c r="HW54" s="30"/>
      <c r="HX54" s="30"/>
      <c r="HY54" s="30"/>
      <c r="HZ54" s="30"/>
      <c r="IA54" s="30"/>
      <c r="IB54" s="30"/>
      <c r="IC54" s="30"/>
      <c r="IJ54" s="30"/>
      <c r="IQ54" s="30"/>
      <c r="IW54" s="30"/>
    </row>
    <row r="55" customFormat="false" ht="13.5" hidden="false" customHeight="true" outlineLevel="0" collapsed="false">
      <c r="A55" s="33"/>
      <c r="AD55" s="35"/>
      <c r="AE55" s="35"/>
      <c r="AF55" s="35" t="s">
        <v>4789</v>
      </c>
      <c r="AG55" s="34"/>
      <c r="AH55" s="35" t="s">
        <v>4789</v>
      </c>
      <c r="AK55" s="34"/>
      <c r="AM55" s="35"/>
      <c r="AN55" s="34"/>
      <c r="AO55" s="35" t="s">
        <v>4789</v>
      </c>
      <c r="AR55" s="34"/>
      <c r="AT55" s="34"/>
      <c r="AU55" s="35" t="s">
        <v>4789</v>
      </c>
      <c r="AV55" s="34"/>
      <c r="AW55" s="34"/>
      <c r="AY55" s="35"/>
      <c r="AZ55" s="35" t="s">
        <v>4789</v>
      </c>
      <c r="BA55" s="35"/>
      <c r="BF55" s="35"/>
      <c r="BH55" s="35"/>
      <c r="BI55" s="34"/>
      <c r="BN55" s="34"/>
      <c r="BO55" s="35"/>
      <c r="BT55" s="35" t="s">
        <v>4789</v>
      </c>
      <c r="CA55" s="35"/>
      <c r="CB55" s="34"/>
      <c r="CC55" s="34"/>
      <c r="CE55" s="35" t="s">
        <v>4789</v>
      </c>
      <c r="CH55" s="34"/>
      <c r="CR55" s="35" t="s">
        <v>4789</v>
      </c>
      <c r="CS55" s="35"/>
      <c r="DC55" s="35" t="s">
        <v>4789</v>
      </c>
    </row>
    <row r="56" customFormat="false" ht="12.2" hidden="false" customHeight="true" outlineLevel="0" collapsed="false">
      <c r="A56" s="37"/>
      <c r="AD56" s="36"/>
      <c r="AE56" s="36"/>
      <c r="AF56" s="35" t="s">
        <v>6060</v>
      </c>
      <c r="AG56" s="34"/>
      <c r="AH56" s="35" t="s">
        <v>6059</v>
      </c>
      <c r="AK56" s="34"/>
      <c r="AM56" s="35"/>
      <c r="AN56" s="34"/>
      <c r="AO56" s="35" t="s">
        <v>6082</v>
      </c>
      <c r="AR56" s="34"/>
      <c r="AT56" s="34"/>
      <c r="AU56" s="35" t="s">
        <v>6060</v>
      </c>
      <c r="AV56" s="34"/>
      <c r="AW56" s="34"/>
      <c r="AY56" s="35"/>
      <c r="AZ56" s="35" t="s">
        <v>6059</v>
      </c>
      <c r="BA56" s="35"/>
      <c r="BF56" s="36"/>
      <c r="BH56" s="35"/>
      <c r="BI56" s="34"/>
      <c r="BN56" s="34"/>
      <c r="BO56" s="35"/>
      <c r="BT56" s="35" t="s">
        <v>6059</v>
      </c>
      <c r="CA56" s="36"/>
      <c r="CB56" s="34"/>
      <c r="CC56" s="34"/>
      <c r="CE56" s="35" t="s">
        <v>6059</v>
      </c>
      <c r="CH56" s="34"/>
      <c r="CR56" s="35" t="s">
        <v>6059</v>
      </c>
      <c r="CS56" s="35"/>
      <c r="DC56" s="35" t="s">
        <v>6061</v>
      </c>
    </row>
    <row r="57" customFormat="false" ht="13.5" hidden="false" customHeight="true" outlineLevel="0" collapsed="false">
      <c r="A57" s="38"/>
      <c r="AD57" s="35"/>
      <c r="AE57" s="35"/>
      <c r="AF57" s="58" t="s">
        <v>6083</v>
      </c>
      <c r="AG57" s="40"/>
      <c r="AH57" s="58" t="s">
        <v>5937</v>
      </c>
      <c r="AK57" s="40"/>
      <c r="AM57" s="58"/>
      <c r="AN57" s="40"/>
      <c r="AO57" s="58" t="s">
        <v>6084</v>
      </c>
      <c r="AR57" s="40"/>
      <c r="AT57" s="40"/>
      <c r="AU57" s="58" t="s">
        <v>5992</v>
      </c>
      <c r="AV57" s="40"/>
      <c r="AW57" s="40"/>
      <c r="AY57" s="58"/>
      <c r="AZ57" s="58" t="s">
        <v>6071</v>
      </c>
      <c r="BA57" s="58"/>
      <c r="BF57" s="35"/>
      <c r="BH57" s="58"/>
      <c r="BI57" s="40"/>
      <c r="BN57" s="40"/>
      <c r="BO57" s="58"/>
      <c r="BT57" s="58" t="s">
        <v>6072</v>
      </c>
      <c r="CA57" s="35"/>
      <c r="CB57" s="40"/>
      <c r="CC57" s="40"/>
      <c r="CE57" s="58" t="s">
        <v>6073</v>
      </c>
      <c r="CH57" s="40"/>
      <c r="CR57" s="58" t="s">
        <v>6074</v>
      </c>
      <c r="CS57" s="58"/>
      <c r="DC57" s="58" t="s">
        <v>5938</v>
      </c>
    </row>
    <row r="58" customFormat="false" ht="13.5" hidden="false" customHeight="true" outlineLevel="0" collapsed="false">
      <c r="A58" s="41" t="s">
        <v>5946</v>
      </c>
      <c r="B58" s="42" t="n">
        <v>23</v>
      </c>
      <c r="C58" s="42" t="n">
        <v>24</v>
      </c>
      <c r="D58" s="42" t="n">
        <v>25</v>
      </c>
      <c r="E58" s="42" t="n">
        <v>26</v>
      </c>
      <c r="F58" s="42" t="n">
        <v>27</v>
      </c>
      <c r="G58" s="43" t="n">
        <v>28</v>
      </c>
      <c r="H58" s="43" t="s">
        <v>5947</v>
      </c>
      <c r="I58" s="42" t="n">
        <v>2</v>
      </c>
      <c r="J58" s="42" t="n">
        <v>3</v>
      </c>
      <c r="K58" s="42" t="n">
        <v>4</v>
      </c>
      <c r="L58" s="42" t="n">
        <v>5</v>
      </c>
      <c r="M58" s="42" t="n">
        <v>6</v>
      </c>
      <c r="N58" s="43" t="n">
        <v>7</v>
      </c>
      <c r="O58" s="43" t="n">
        <v>8</v>
      </c>
      <c r="P58" s="42" t="n">
        <v>9</v>
      </c>
      <c r="Q58" s="42" t="n">
        <v>10</v>
      </c>
      <c r="R58" s="42" t="n">
        <v>11</v>
      </c>
      <c r="S58" s="42" t="n">
        <v>12</v>
      </c>
      <c r="T58" s="42" t="n">
        <v>13</v>
      </c>
      <c r="U58" s="43" t="n">
        <v>14</v>
      </c>
      <c r="V58" s="43" t="n">
        <v>15</v>
      </c>
      <c r="W58" s="42" t="n">
        <v>16</v>
      </c>
      <c r="X58" s="42" t="n">
        <v>17</v>
      </c>
      <c r="Y58" s="42" t="n">
        <v>18</v>
      </c>
      <c r="Z58" s="42" t="n">
        <v>19</v>
      </c>
      <c r="AA58" s="42" t="n">
        <v>20</v>
      </c>
      <c r="AB58" s="43" t="n">
        <v>21</v>
      </c>
      <c r="AC58" s="43" t="n">
        <v>22</v>
      </c>
      <c r="AD58" s="42" t="n">
        <v>23</v>
      </c>
      <c r="AE58" s="42" t="n">
        <v>24</v>
      </c>
      <c r="AF58" s="42" t="n">
        <v>25</v>
      </c>
      <c r="AG58" s="42" t="n">
        <v>26</v>
      </c>
      <c r="AH58" s="42" t="n">
        <v>27</v>
      </c>
      <c r="AI58" s="43" t="n">
        <v>28</v>
      </c>
      <c r="AJ58" s="43" t="n">
        <v>29</v>
      </c>
      <c r="AK58" s="42" t="n">
        <v>30</v>
      </c>
      <c r="AL58" s="42" t="n">
        <v>31</v>
      </c>
      <c r="AM58" s="42" t="s">
        <v>5948</v>
      </c>
      <c r="AN58" s="42" t="n">
        <v>2</v>
      </c>
      <c r="AO58" s="42" t="n">
        <v>3</v>
      </c>
      <c r="AP58" s="43" t="n">
        <v>4</v>
      </c>
      <c r="AQ58" s="43" t="n">
        <v>5</v>
      </c>
      <c r="AR58" s="42" t="n">
        <v>6</v>
      </c>
      <c r="AS58" s="42" t="n">
        <v>7</v>
      </c>
      <c r="AT58" s="42" t="n">
        <v>8</v>
      </c>
      <c r="AU58" s="42" t="n">
        <v>9</v>
      </c>
      <c r="AV58" s="42" t="n">
        <v>10</v>
      </c>
      <c r="AW58" s="43" t="n">
        <v>11</v>
      </c>
      <c r="AX58" s="43" t="n">
        <v>12</v>
      </c>
      <c r="AY58" s="42" t="n">
        <v>13</v>
      </c>
      <c r="AZ58" s="42" t="n">
        <v>14</v>
      </c>
      <c r="BA58" s="42" t="n">
        <v>15</v>
      </c>
      <c r="BB58" s="42" t="n">
        <v>16</v>
      </c>
      <c r="BC58" s="42" t="n">
        <v>17</v>
      </c>
      <c r="BD58" s="43" t="n">
        <v>18</v>
      </c>
      <c r="BE58" s="43" t="n">
        <v>19</v>
      </c>
      <c r="BF58" s="42" t="n">
        <v>20</v>
      </c>
      <c r="BG58" s="42" t="n">
        <v>21</v>
      </c>
      <c r="BH58" s="42" t="n">
        <v>22</v>
      </c>
      <c r="BI58" s="42" t="n">
        <v>23</v>
      </c>
      <c r="BJ58" s="42" t="n">
        <v>24</v>
      </c>
      <c r="BK58" s="43" t="n">
        <v>25</v>
      </c>
      <c r="BL58" s="43" t="n">
        <v>26</v>
      </c>
      <c r="BM58" s="42" t="n">
        <v>27</v>
      </c>
      <c r="BN58" s="42" t="n">
        <v>28</v>
      </c>
      <c r="BO58" s="42" t="n">
        <v>29</v>
      </c>
      <c r="BP58" s="43" t="n">
        <v>30</v>
      </c>
      <c r="BQ58" s="43" t="s">
        <v>5949</v>
      </c>
      <c r="BR58" s="43" t="n">
        <v>2</v>
      </c>
      <c r="BS58" s="43" t="n">
        <v>3</v>
      </c>
      <c r="BT58" s="42" t="n">
        <v>4</v>
      </c>
      <c r="BU58" s="42" t="n">
        <v>5</v>
      </c>
      <c r="BV58" s="42" t="n">
        <v>6</v>
      </c>
      <c r="BW58" s="42" t="n">
        <v>7</v>
      </c>
      <c r="BX58" s="42" t="n">
        <v>8</v>
      </c>
      <c r="BY58" s="43" t="n">
        <v>9</v>
      </c>
      <c r="BZ58" s="43" t="n">
        <v>10</v>
      </c>
      <c r="CA58" s="42" t="n">
        <v>11</v>
      </c>
      <c r="CB58" s="42" t="n">
        <v>12</v>
      </c>
      <c r="CC58" s="42" t="n">
        <v>13</v>
      </c>
      <c r="CD58" s="42" t="n">
        <v>14</v>
      </c>
      <c r="CE58" s="42" t="n">
        <v>15</v>
      </c>
      <c r="CF58" s="43" t="n">
        <v>16</v>
      </c>
      <c r="CG58" s="43" t="n">
        <v>17</v>
      </c>
      <c r="CH58" s="42" t="n">
        <v>18</v>
      </c>
      <c r="CI58" s="42" t="n">
        <v>19</v>
      </c>
      <c r="CJ58" s="42" t="n">
        <v>20</v>
      </c>
      <c r="CK58" s="42" t="n">
        <v>21</v>
      </c>
      <c r="CL58" s="42" t="n">
        <v>22</v>
      </c>
      <c r="CM58" s="43" t="n">
        <v>23</v>
      </c>
      <c r="CN58" s="43" t="n">
        <v>24</v>
      </c>
      <c r="CO58" s="42" t="n">
        <v>25</v>
      </c>
      <c r="CP58" s="42" t="n">
        <v>26</v>
      </c>
      <c r="CQ58" s="42" t="n">
        <v>27</v>
      </c>
      <c r="CR58" s="42" t="n">
        <v>28</v>
      </c>
      <c r="CS58" s="42" t="n">
        <v>29</v>
      </c>
      <c r="CT58" s="43" t="n">
        <v>30</v>
      </c>
      <c r="CU58" s="43" t="n">
        <v>31</v>
      </c>
      <c r="CV58" s="42" t="s">
        <v>5950</v>
      </c>
      <c r="CW58" s="42" t="n">
        <v>2</v>
      </c>
      <c r="CX58" s="42" t="n">
        <v>3</v>
      </c>
      <c r="CY58" s="42" t="n">
        <v>4</v>
      </c>
      <c r="CZ58" s="42" t="n">
        <v>5</v>
      </c>
      <c r="DA58" s="43" t="n">
        <v>6</v>
      </c>
      <c r="DB58" s="43" t="n">
        <v>7</v>
      </c>
      <c r="DC58" s="42" t="n">
        <v>8</v>
      </c>
      <c r="DD58" s="42" t="n">
        <v>9</v>
      </c>
      <c r="DE58" s="42" t="n">
        <v>10</v>
      </c>
      <c r="DF58" s="42" t="n">
        <v>11</v>
      </c>
      <c r="DG58" s="42" t="n">
        <v>12</v>
      </c>
      <c r="DH58" s="43" t="n">
        <v>13</v>
      </c>
      <c r="DI58" s="43" t="n">
        <v>14</v>
      </c>
      <c r="DJ58" s="42" t="n">
        <v>15</v>
      </c>
      <c r="DK58" s="42" t="n">
        <v>16</v>
      </c>
      <c r="DL58" s="42" t="n">
        <v>17</v>
      </c>
      <c r="DM58" s="42" t="n">
        <v>18</v>
      </c>
      <c r="DN58" s="42" t="n">
        <v>19</v>
      </c>
      <c r="DO58" s="43" t="n">
        <v>20</v>
      </c>
      <c r="DP58" s="43" t="n">
        <v>21</v>
      </c>
      <c r="DQ58" s="42" t="n">
        <v>22</v>
      </c>
      <c r="DR58" s="42" t="n">
        <v>23</v>
      </c>
      <c r="DS58" s="42" t="n">
        <v>24</v>
      </c>
      <c r="DT58" s="42" t="n">
        <v>25</v>
      </c>
      <c r="DU58" s="42" t="n">
        <v>26</v>
      </c>
      <c r="DV58" s="43" t="n">
        <v>27</v>
      </c>
      <c r="DW58" s="43" t="n">
        <v>28</v>
      </c>
      <c r="DX58" s="42" t="n">
        <v>29</v>
      </c>
      <c r="DY58" s="42" t="n">
        <v>30</v>
      </c>
      <c r="DZ58" s="42" t="s">
        <v>5951</v>
      </c>
      <c r="EA58" s="42" t="n">
        <v>2</v>
      </c>
      <c r="EB58" s="42" t="n">
        <v>3</v>
      </c>
      <c r="EC58" s="43" t="n">
        <v>4</v>
      </c>
      <c r="ED58" s="43" t="n">
        <v>5</v>
      </c>
      <c r="EE58" s="42" t="n">
        <v>6</v>
      </c>
      <c r="EF58" s="42" t="n">
        <v>7</v>
      </c>
      <c r="EG58" s="42" t="n">
        <v>8</v>
      </c>
      <c r="EH58" s="42" t="n">
        <v>9</v>
      </c>
      <c r="EI58" s="42" t="n">
        <v>10</v>
      </c>
      <c r="EJ58" s="43" t="n">
        <v>11</v>
      </c>
      <c r="EK58" s="43" t="n">
        <v>12</v>
      </c>
      <c r="EL58" s="42" t="n">
        <v>13</v>
      </c>
      <c r="EM58" s="42" t="n">
        <v>14</v>
      </c>
      <c r="EN58" s="42" t="n">
        <v>15</v>
      </c>
      <c r="EO58" s="42" t="n">
        <v>16</v>
      </c>
      <c r="EP58" s="42" t="n">
        <v>17</v>
      </c>
      <c r="EQ58" s="43" t="n">
        <v>18</v>
      </c>
      <c r="ER58" s="43" t="n">
        <v>19</v>
      </c>
      <c r="ES58" s="42" t="n">
        <v>20</v>
      </c>
      <c r="ET58" s="42" t="n">
        <v>21</v>
      </c>
      <c r="EU58" s="42" t="n">
        <v>22</v>
      </c>
      <c r="EV58" s="42" t="n">
        <v>23</v>
      </c>
      <c r="EW58" s="42" t="n">
        <v>24</v>
      </c>
      <c r="EX58" s="43" t="n">
        <v>25</v>
      </c>
      <c r="EY58" s="43" t="n">
        <v>26</v>
      </c>
      <c r="EZ58" s="42" t="n">
        <v>27</v>
      </c>
      <c r="FA58" s="42" t="n">
        <v>28</v>
      </c>
      <c r="FB58" s="42" t="n">
        <v>29</v>
      </c>
      <c r="FC58" s="42" t="n">
        <v>30</v>
      </c>
      <c r="FD58" s="42" t="n">
        <v>31</v>
      </c>
      <c r="FE58" s="42"/>
    </row>
    <row r="59" customFormat="false" ht="13.5" hidden="false" customHeight="true" outlineLevel="0" collapsed="false">
      <c r="A59" s="41" t="s">
        <v>5952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 t="n">
        <v>1700</v>
      </c>
      <c r="AG59" s="44" t="n">
        <v>1800</v>
      </c>
      <c r="AH59" s="44" t="n">
        <v>1522</v>
      </c>
      <c r="AI59" s="44"/>
      <c r="AJ59" s="44"/>
      <c r="AK59" s="44" t="n">
        <v>1900</v>
      </c>
      <c r="AL59" s="44" t="n">
        <v>2000</v>
      </c>
      <c r="AM59" s="44" t="n">
        <v>2100</v>
      </c>
      <c r="AN59" s="44" t="n">
        <v>2200</v>
      </c>
      <c r="AO59" s="44" t="n">
        <v>1424</v>
      </c>
      <c r="AP59" s="44" t="n">
        <v>1900</v>
      </c>
      <c r="AQ59" s="44"/>
      <c r="AR59" s="44" t="n">
        <v>2500</v>
      </c>
      <c r="AS59" s="44" t="n">
        <v>2600</v>
      </c>
      <c r="AT59" s="44" t="n">
        <v>2600</v>
      </c>
      <c r="AU59" s="44" t="n">
        <v>1506</v>
      </c>
      <c r="AV59" s="44" t="n">
        <v>2600</v>
      </c>
      <c r="AW59" s="44"/>
      <c r="AX59" s="44"/>
      <c r="AY59" s="44" t="n">
        <v>2600</v>
      </c>
      <c r="AZ59" s="44" t="n">
        <v>678</v>
      </c>
      <c r="BA59" s="44" t="n">
        <v>2600</v>
      </c>
      <c r="BB59" s="44" t="n">
        <v>2600</v>
      </c>
      <c r="BC59" s="44" t="n">
        <v>2600</v>
      </c>
      <c r="BD59" s="44" t="n">
        <v>2050</v>
      </c>
      <c r="BE59" s="44"/>
      <c r="BF59" s="44" t="n">
        <v>2600</v>
      </c>
      <c r="BG59" s="44" t="n">
        <v>2600</v>
      </c>
      <c r="BH59" s="44" t="n">
        <v>2600</v>
      </c>
      <c r="BI59" s="44" t="n">
        <v>2600</v>
      </c>
      <c r="BJ59" s="44" t="n">
        <v>2600</v>
      </c>
      <c r="BK59" s="44"/>
      <c r="BL59" s="44"/>
      <c r="BM59" s="44" t="n">
        <v>2600</v>
      </c>
      <c r="BN59" s="44" t="n">
        <v>2600</v>
      </c>
      <c r="BO59" s="44" t="n">
        <v>2600</v>
      </c>
      <c r="BP59" s="44"/>
      <c r="BQ59" s="44"/>
      <c r="BR59" s="44"/>
      <c r="BS59" s="44"/>
      <c r="BT59" s="44" t="n">
        <v>2600</v>
      </c>
      <c r="BU59" s="44" t="n">
        <v>2600</v>
      </c>
      <c r="BV59" s="44" t="n">
        <v>2600</v>
      </c>
      <c r="BW59" s="44" t="n">
        <v>2600</v>
      </c>
      <c r="BX59" s="44" t="n">
        <v>2600</v>
      </c>
      <c r="BY59" s="44" t="n">
        <v>2050</v>
      </c>
      <c r="BZ59" s="44"/>
      <c r="CA59" s="44" t="n">
        <v>2600</v>
      </c>
      <c r="CB59" s="44" t="n">
        <v>2600</v>
      </c>
      <c r="CC59" s="44" t="n">
        <v>2600</v>
      </c>
      <c r="CD59" s="44" t="n">
        <v>2600</v>
      </c>
      <c r="CE59" s="44" t="n">
        <v>2600</v>
      </c>
      <c r="CF59" s="44"/>
      <c r="CG59" s="44"/>
      <c r="CH59" s="44" t="n">
        <v>2600</v>
      </c>
      <c r="CI59" s="44" t="n">
        <v>2600</v>
      </c>
      <c r="CJ59" s="44" t="n">
        <v>2600</v>
      </c>
      <c r="CK59" s="44" t="n">
        <v>2600</v>
      </c>
      <c r="CL59" s="44" t="n">
        <v>2600</v>
      </c>
      <c r="CM59" s="44" t="n">
        <v>2050</v>
      </c>
      <c r="CN59" s="44"/>
      <c r="CO59" s="44" t="n">
        <v>2600</v>
      </c>
      <c r="CP59" s="44" t="n">
        <v>2600</v>
      </c>
      <c r="CQ59" s="44" t="n">
        <v>2600</v>
      </c>
      <c r="CR59" s="44" t="n">
        <v>2600</v>
      </c>
      <c r="CS59" s="44" t="n">
        <v>2600</v>
      </c>
      <c r="CT59" s="44"/>
      <c r="CU59" s="44"/>
      <c r="CV59" s="44" t="n">
        <v>2600</v>
      </c>
      <c r="CW59" s="44" t="n">
        <v>2600</v>
      </c>
      <c r="CX59" s="44" t="n">
        <v>2600</v>
      </c>
      <c r="CY59" s="44" t="n">
        <v>2600</v>
      </c>
      <c r="CZ59" s="44" t="n">
        <v>2600</v>
      </c>
      <c r="DA59" s="44"/>
      <c r="DB59" s="44"/>
      <c r="DC59" s="44" t="n">
        <v>2600</v>
      </c>
      <c r="DD59" s="44" t="n">
        <v>2600</v>
      </c>
      <c r="DE59" s="44"/>
      <c r="DF59" s="44"/>
      <c r="DG59" s="44"/>
      <c r="DH59" s="44"/>
      <c r="DI59" s="44"/>
      <c r="DJ59" s="44"/>
      <c r="DK59" s="44"/>
      <c r="DL59" s="44"/>
      <c r="DM59" s="44"/>
      <c r="DN59" s="44"/>
      <c r="DO59" s="44"/>
      <c r="DP59" s="44"/>
      <c r="DQ59" s="44"/>
      <c r="DR59" s="44"/>
      <c r="DS59" s="44"/>
      <c r="DT59" s="44"/>
      <c r="DU59" s="44"/>
      <c r="DV59" s="44"/>
      <c r="DW59" s="44"/>
      <c r="DX59" s="44"/>
      <c r="DY59" s="44"/>
      <c r="DZ59" s="44"/>
      <c r="EA59" s="44"/>
      <c r="EB59" s="44"/>
      <c r="EC59" s="44"/>
      <c r="ED59" s="44"/>
      <c r="EE59" s="44"/>
      <c r="EF59" s="44"/>
      <c r="EG59" s="44"/>
      <c r="EH59" s="44"/>
      <c r="EI59" s="44"/>
      <c r="EJ59" s="44"/>
      <c r="EK59" s="44"/>
      <c r="EL59" s="44"/>
      <c r="EM59" s="44"/>
      <c r="EN59" s="44"/>
      <c r="EO59" s="44"/>
      <c r="EP59" s="44"/>
      <c r="EQ59" s="44"/>
      <c r="ER59" s="44"/>
      <c r="ES59" s="44"/>
      <c r="ET59" s="44"/>
      <c r="EU59" s="44"/>
      <c r="EV59" s="44"/>
      <c r="EW59" s="44"/>
      <c r="EX59" s="44"/>
      <c r="EY59" s="44"/>
      <c r="EZ59" s="44"/>
      <c r="FA59" s="44"/>
      <c r="FB59" s="44"/>
      <c r="FC59" s="44"/>
      <c r="FD59" s="44"/>
      <c r="FE59" s="44"/>
      <c r="IQ59" s="44"/>
      <c r="IW59" s="44"/>
    </row>
    <row r="60" customFormat="false" ht="13.5" hidden="false" customHeight="true" outlineLevel="0" collapsed="false">
      <c r="A60" s="41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 t="n">
        <f aca="false">1900-AH59</f>
        <v>378</v>
      </c>
      <c r="AI60" s="45"/>
      <c r="AJ60" s="45"/>
      <c r="AK60" s="45"/>
      <c r="AL60" s="45"/>
      <c r="AM60" s="45"/>
      <c r="AN60" s="49"/>
      <c r="AO60" s="45" t="n">
        <f aca="false">2300-AO59</f>
        <v>876</v>
      </c>
      <c r="AP60" s="45"/>
      <c r="AQ60" s="45"/>
      <c r="AR60" s="45"/>
      <c r="AS60" s="45"/>
      <c r="AT60" s="45"/>
      <c r="AU60" s="45" t="n">
        <f aca="false">2600-AU59</f>
        <v>1094</v>
      </c>
      <c r="AV60" s="45"/>
      <c r="AW60" s="45"/>
      <c r="AX60" s="45"/>
      <c r="AY60" s="45"/>
      <c r="AZ60" s="45" t="n">
        <f aca="false">2600-AZ59</f>
        <v>1922</v>
      </c>
      <c r="BA60" s="45"/>
      <c r="BB60" s="45"/>
      <c r="BC60" s="45"/>
      <c r="BD60" s="45"/>
      <c r="BE60" s="45"/>
      <c r="BF60" s="45"/>
      <c r="BG60" s="45"/>
      <c r="BH60" s="48"/>
      <c r="BI60" s="45"/>
      <c r="BJ60" s="45"/>
      <c r="BK60" s="45"/>
      <c r="BL60" s="45"/>
      <c r="BM60" s="45"/>
      <c r="BN60" s="45"/>
      <c r="BO60" s="45" t="n">
        <f aca="false">2600-BO59</f>
        <v>0</v>
      </c>
      <c r="BP60" s="45"/>
      <c r="BQ60" s="45"/>
      <c r="BR60" s="45"/>
      <c r="BS60" s="45"/>
      <c r="BT60" s="45"/>
      <c r="BU60" s="45"/>
      <c r="BV60" s="45"/>
      <c r="BW60" s="45"/>
      <c r="BX60" s="45"/>
      <c r="BY60" s="45"/>
      <c r="BZ60" s="45"/>
      <c r="CA60" s="45"/>
      <c r="CB60" s="45"/>
      <c r="CC60" s="45"/>
      <c r="CD60" s="45"/>
      <c r="CE60" s="45"/>
      <c r="CF60" s="45"/>
      <c r="CG60" s="45"/>
      <c r="CH60" s="45"/>
      <c r="CI60" s="45"/>
      <c r="CJ60" s="45"/>
      <c r="CK60" s="45"/>
      <c r="CL60" s="45"/>
      <c r="CM60" s="45"/>
      <c r="CN60" s="45"/>
      <c r="CO60" s="45"/>
      <c r="CP60" s="45"/>
      <c r="CQ60" s="45"/>
      <c r="CR60" s="45"/>
      <c r="CS60" s="45"/>
      <c r="CT60" s="45"/>
      <c r="CU60" s="45"/>
      <c r="CV60" s="45"/>
      <c r="CW60" s="45"/>
      <c r="CX60" s="45"/>
      <c r="CY60" s="45"/>
      <c r="CZ60" s="45"/>
      <c r="DA60" s="45"/>
      <c r="DB60" s="45"/>
      <c r="DC60" s="45"/>
      <c r="DD60" s="45"/>
      <c r="DE60" s="77"/>
      <c r="DF60" s="45"/>
      <c r="DG60" s="45"/>
      <c r="DH60" s="45"/>
      <c r="DI60" s="45"/>
      <c r="DJ60" s="45"/>
      <c r="DK60" s="45"/>
      <c r="DL60" s="45"/>
      <c r="DM60" s="45"/>
      <c r="DN60" s="45"/>
      <c r="DO60" s="45"/>
      <c r="DP60" s="45"/>
      <c r="DQ60" s="45"/>
      <c r="DR60" s="45"/>
      <c r="DS60" s="45"/>
      <c r="DT60" s="45"/>
      <c r="DU60" s="45"/>
      <c r="DV60" s="45"/>
      <c r="DW60" s="45"/>
      <c r="DX60" s="45"/>
      <c r="DY60" s="45"/>
      <c r="DZ60" s="45"/>
      <c r="EA60" s="45"/>
      <c r="EB60" s="45"/>
      <c r="EC60" s="45"/>
      <c r="ED60" s="45"/>
      <c r="EE60" s="45"/>
      <c r="EF60" s="45"/>
      <c r="EG60" s="45"/>
      <c r="EH60" s="45"/>
      <c r="EI60" s="45"/>
      <c r="EJ60" s="45"/>
      <c r="EK60" s="45"/>
      <c r="EL60" s="45"/>
      <c r="EM60" s="45"/>
      <c r="EN60" s="45"/>
      <c r="EO60" s="45"/>
      <c r="EP60" s="45"/>
      <c r="EQ60" s="45"/>
      <c r="ER60" s="45"/>
      <c r="ES60" s="45"/>
      <c r="ET60" s="45"/>
      <c r="EU60" s="45"/>
      <c r="EV60" s="45"/>
      <c r="EW60" s="45"/>
      <c r="EX60" s="45"/>
      <c r="EY60" s="45"/>
      <c r="EZ60" s="45"/>
      <c r="FA60" s="45"/>
      <c r="FB60" s="45"/>
      <c r="FC60" s="45"/>
      <c r="FD60" s="45"/>
      <c r="FE60" s="45"/>
      <c r="HO60" s="45"/>
      <c r="HV60" s="45"/>
      <c r="HW60" s="45"/>
      <c r="HX60" s="45"/>
      <c r="HY60" s="45"/>
      <c r="HZ60" s="45"/>
      <c r="IA60" s="45"/>
      <c r="IB60" s="45"/>
      <c r="IC60" s="45"/>
      <c r="IJ60" s="45"/>
      <c r="IQ60" s="45"/>
      <c r="IW60" s="45"/>
    </row>
    <row r="61" customFormat="false" ht="13.5" hidden="false" customHeight="true" outlineLevel="0" collapsed="false">
      <c r="A61" s="61"/>
      <c r="B61" s="48"/>
      <c r="C61" s="49"/>
      <c r="D61" s="48"/>
      <c r="E61" s="49"/>
      <c r="F61" s="49"/>
      <c r="G61" s="49"/>
      <c r="H61" s="49"/>
      <c r="I61" s="48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8"/>
      <c r="AE61" s="49"/>
      <c r="AF61" s="48" t="s">
        <v>5998</v>
      </c>
      <c r="AG61" s="48"/>
      <c r="AH61" s="48" t="s">
        <v>5998</v>
      </c>
      <c r="AI61" s="49"/>
      <c r="AJ61" s="49"/>
      <c r="AK61" s="63"/>
      <c r="AL61" s="63"/>
      <c r="AM61" s="48"/>
      <c r="AN61" s="48"/>
      <c r="AO61" s="48" t="s">
        <v>5998</v>
      </c>
      <c r="AP61" s="49"/>
      <c r="AQ61" s="49"/>
      <c r="AR61" s="63"/>
      <c r="AS61" s="63"/>
      <c r="AT61" s="63"/>
      <c r="AU61" s="48" t="s">
        <v>5998</v>
      </c>
      <c r="AV61" s="48"/>
      <c r="AW61" s="49"/>
      <c r="AX61" s="49"/>
      <c r="AY61" s="48"/>
      <c r="AZ61" s="77" t="s">
        <v>6085</v>
      </c>
      <c r="BA61" s="48"/>
      <c r="BB61" s="63"/>
      <c r="BC61" s="63"/>
      <c r="BD61" s="49"/>
      <c r="BE61" s="49"/>
      <c r="BF61" s="63"/>
      <c r="BG61" s="63"/>
      <c r="BH61" s="63"/>
      <c r="BI61" s="63"/>
      <c r="BJ61" s="63"/>
      <c r="BK61" s="49"/>
      <c r="BL61" s="49"/>
      <c r="BM61" s="63"/>
      <c r="BN61" s="63"/>
      <c r="BO61" s="77"/>
      <c r="BP61" s="49"/>
      <c r="BQ61" s="49"/>
      <c r="BR61" s="49"/>
      <c r="BS61" s="49"/>
      <c r="BT61" s="77" t="s">
        <v>6085</v>
      </c>
      <c r="BU61" s="63"/>
      <c r="BV61" s="63"/>
      <c r="BW61" s="63"/>
      <c r="BX61" s="63"/>
      <c r="BY61" s="49"/>
      <c r="BZ61" s="49"/>
      <c r="CA61" s="49"/>
      <c r="CB61" s="48"/>
      <c r="CC61" s="49"/>
      <c r="CD61" s="49"/>
      <c r="CE61" s="77" t="s">
        <v>6085</v>
      </c>
      <c r="CF61" s="49"/>
      <c r="CG61" s="49"/>
      <c r="CH61" s="48"/>
      <c r="CI61" s="49"/>
      <c r="CJ61" s="49"/>
      <c r="CK61" s="49"/>
      <c r="CL61" s="49"/>
      <c r="CM61" s="49"/>
      <c r="CN61" s="49"/>
      <c r="CO61" s="49"/>
      <c r="CP61" s="49"/>
      <c r="CQ61" s="49"/>
      <c r="CR61" s="77" t="s">
        <v>6085</v>
      </c>
      <c r="CS61" s="77"/>
      <c r="CT61" s="49"/>
      <c r="CU61" s="49"/>
      <c r="CV61" s="49"/>
      <c r="CW61" s="49"/>
      <c r="CX61" s="49"/>
      <c r="CY61" s="49"/>
      <c r="CZ61" s="49"/>
      <c r="DA61" s="49"/>
      <c r="DB61" s="49"/>
      <c r="DC61" s="49"/>
      <c r="DD61" s="49"/>
      <c r="DE61" s="49"/>
      <c r="DF61" s="49"/>
      <c r="DG61" s="49"/>
      <c r="DH61" s="49"/>
      <c r="DI61" s="49"/>
      <c r="DJ61" s="49"/>
      <c r="DK61" s="49"/>
      <c r="DL61" s="49"/>
      <c r="DM61" s="49"/>
      <c r="DN61" s="49"/>
      <c r="DO61" s="49"/>
      <c r="DP61" s="49"/>
      <c r="DQ61" s="49"/>
      <c r="DR61" s="49"/>
      <c r="DS61" s="49"/>
      <c r="DT61" s="49"/>
      <c r="DU61" s="49"/>
      <c r="DV61" s="49"/>
      <c r="DW61" s="49"/>
      <c r="DX61" s="49"/>
      <c r="DY61" s="49"/>
      <c r="DZ61" s="49"/>
      <c r="EA61" s="49"/>
      <c r="EB61" s="49"/>
      <c r="EC61" s="49"/>
      <c r="ED61" s="49"/>
      <c r="EE61" s="49"/>
      <c r="EF61" s="49"/>
      <c r="EG61" s="49"/>
      <c r="EH61" s="49"/>
      <c r="EI61" s="49"/>
      <c r="EJ61" s="49"/>
      <c r="EK61" s="49"/>
      <c r="EL61" s="49"/>
      <c r="EM61" s="49"/>
      <c r="EN61" s="49"/>
      <c r="EO61" s="49"/>
      <c r="EP61" s="49"/>
      <c r="EQ61" s="49"/>
      <c r="ER61" s="49"/>
      <c r="ES61" s="49"/>
      <c r="ET61" s="49"/>
      <c r="EU61" s="49"/>
      <c r="EV61" s="49"/>
      <c r="EW61" s="49"/>
      <c r="EX61" s="49"/>
      <c r="EY61" s="49"/>
      <c r="EZ61" s="49"/>
      <c r="FA61" s="49"/>
      <c r="FB61" s="49"/>
      <c r="FC61" s="49"/>
      <c r="FD61" s="49"/>
      <c r="FE61" s="49"/>
      <c r="HO61" s="49"/>
      <c r="HV61" s="49"/>
      <c r="HW61" s="49"/>
      <c r="HX61" s="49"/>
      <c r="HY61" s="49"/>
      <c r="HZ61" s="49"/>
      <c r="IA61" s="49"/>
      <c r="IB61" s="49"/>
      <c r="IC61" s="49"/>
      <c r="IJ61" s="49"/>
      <c r="IQ61" s="49"/>
      <c r="IW61" s="49"/>
    </row>
    <row r="62" customFormat="false" ht="13.5" hidden="false" customHeight="true" outlineLevel="0" collapsed="false">
      <c r="A62" s="52" t="s">
        <v>5960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 t="n">
        <v>30</v>
      </c>
      <c r="AG62" s="53" t="n">
        <v>30</v>
      </c>
      <c r="AH62" s="53" t="n">
        <v>30</v>
      </c>
      <c r="AI62" s="53" t="n">
        <v>30</v>
      </c>
      <c r="AJ62" s="53" t="n">
        <v>30</v>
      </c>
      <c r="AK62" s="53" t="n">
        <v>30</v>
      </c>
      <c r="AL62" s="53" t="n">
        <v>30</v>
      </c>
      <c r="AM62" s="53" t="n">
        <v>30</v>
      </c>
      <c r="AN62" s="53" t="n">
        <v>30</v>
      </c>
      <c r="AO62" s="53" t="n">
        <v>30</v>
      </c>
      <c r="AP62" s="53" t="n">
        <v>30</v>
      </c>
      <c r="AQ62" s="53" t="n">
        <v>30</v>
      </c>
      <c r="AR62" s="53" t="n">
        <v>30</v>
      </c>
      <c r="AS62" s="53" t="n">
        <v>30</v>
      </c>
      <c r="AT62" s="53" t="n">
        <v>30</v>
      </c>
      <c r="AU62" s="53" t="n">
        <v>30</v>
      </c>
      <c r="AV62" s="53" t="n">
        <v>30</v>
      </c>
      <c r="AW62" s="53" t="n">
        <v>30</v>
      </c>
      <c r="AX62" s="53" t="n">
        <v>30</v>
      </c>
      <c r="AY62" s="53" t="n">
        <v>30</v>
      </c>
      <c r="AZ62" s="53" t="n">
        <v>30</v>
      </c>
      <c r="BA62" s="53" t="n">
        <v>30</v>
      </c>
      <c r="BB62" s="53" t="n">
        <v>30</v>
      </c>
      <c r="BC62" s="53" t="n">
        <v>30</v>
      </c>
      <c r="BD62" s="53" t="n">
        <v>30</v>
      </c>
      <c r="BE62" s="53" t="n">
        <v>30</v>
      </c>
      <c r="BF62" s="53" t="n">
        <v>30</v>
      </c>
      <c r="BG62" s="53" t="n">
        <v>30</v>
      </c>
      <c r="BH62" s="53" t="n">
        <v>30</v>
      </c>
      <c r="BI62" s="53" t="n">
        <v>30</v>
      </c>
      <c r="BJ62" s="53" t="n">
        <v>30</v>
      </c>
      <c r="BK62" s="53" t="n">
        <v>30</v>
      </c>
      <c r="BL62" s="53" t="n">
        <v>30</v>
      </c>
      <c r="BM62" s="53" t="n">
        <v>30</v>
      </c>
      <c r="BN62" s="53" t="n">
        <v>30</v>
      </c>
      <c r="BO62" s="53" t="n">
        <v>30</v>
      </c>
      <c r="BP62" s="53" t="n">
        <v>30</v>
      </c>
      <c r="BQ62" s="53" t="n">
        <v>30</v>
      </c>
      <c r="BR62" s="53" t="n">
        <v>30</v>
      </c>
      <c r="BS62" s="53" t="n">
        <v>30</v>
      </c>
      <c r="BT62" s="53" t="n">
        <v>30</v>
      </c>
      <c r="BU62" s="53" t="n">
        <v>30</v>
      </c>
      <c r="BV62" s="53" t="n">
        <v>30</v>
      </c>
      <c r="BW62" s="53" t="n">
        <v>30</v>
      </c>
      <c r="BX62" s="53" t="n">
        <v>30</v>
      </c>
      <c r="BY62" s="53" t="n">
        <v>30</v>
      </c>
      <c r="BZ62" s="53" t="n">
        <v>30</v>
      </c>
      <c r="CA62" s="53" t="n">
        <v>30</v>
      </c>
      <c r="CB62" s="53" t="n">
        <v>30</v>
      </c>
      <c r="CC62" s="53" t="n">
        <v>30</v>
      </c>
      <c r="CD62" s="53" t="n">
        <v>30</v>
      </c>
      <c r="CE62" s="53" t="n">
        <v>30</v>
      </c>
      <c r="CF62" s="53" t="n">
        <v>30</v>
      </c>
      <c r="CG62" s="53" t="n">
        <v>30</v>
      </c>
      <c r="CH62" s="53" t="n">
        <v>30</v>
      </c>
      <c r="CI62" s="53" t="n">
        <v>30</v>
      </c>
      <c r="CJ62" s="53" t="n">
        <v>30</v>
      </c>
      <c r="CK62" s="53" t="n">
        <v>30</v>
      </c>
      <c r="CL62" s="53" t="n">
        <v>30</v>
      </c>
      <c r="CM62" s="53" t="n">
        <v>30</v>
      </c>
      <c r="CN62" s="53" t="n">
        <v>30</v>
      </c>
      <c r="CO62" s="53" t="n">
        <v>30</v>
      </c>
      <c r="CP62" s="53" t="n">
        <v>30</v>
      </c>
      <c r="CQ62" s="53" t="n">
        <v>30</v>
      </c>
      <c r="CR62" s="53" t="n">
        <v>30</v>
      </c>
      <c r="CS62" s="53" t="n">
        <v>30</v>
      </c>
      <c r="CT62" s="53" t="n">
        <v>30</v>
      </c>
      <c r="CU62" s="53" t="n">
        <v>30</v>
      </c>
      <c r="CV62" s="53" t="n">
        <v>30</v>
      </c>
      <c r="CW62" s="53" t="n">
        <v>30</v>
      </c>
      <c r="CX62" s="53" t="n">
        <v>30</v>
      </c>
      <c r="CY62" s="53" t="n">
        <v>30</v>
      </c>
      <c r="CZ62" s="53" t="n">
        <v>30</v>
      </c>
      <c r="DA62" s="53" t="n">
        <v>30</v>
      </c>
      <c r="DB62" s="53" t="n">
        <v>30</v>
      </c>
      <c r="DC62" s="53" t="n">
        <v>30</v>
      </c>
      <c r="DD62" s="53" t="n">
        <v>30</v>
      </c>
      <c r="DE62" s="53"/>
      <c r="DF62" s="53"/>
      <c r="DG62" s="53"/>
      <c r="DH62" s="53"/>
      <c r="DI62" s="53"/>
      <c r="DJ62" s="53"/>
      <c r="DK62" s="53"/>
      <c r="DL62" s="53"/>
      <c r="DM62" s="53"/>
      <c r="DN62" s="53"/>
      <c r="DO62" s="53"/>
      <c r="DP62" s="53"/>
      <c r="DQ62" s="53"/>
      <c r="DR62" s="53"/>
      <c r="DS62" s="53"/>
      <c r="DT62" s="53"/>
      <c r="DU62" s="53"/>
      <c r="DV62" s="53"/>
      <c r="DW62" s="53"/>
      <c r="DX62" s="53"/>
      <c r="DY62" s="53"/>
      <c r="DZ62" s="53"/>
      <c r="EA62" s="53"/>
      <c r="EB62" s="53"/>
      <c r="EC62" s="53"/>
      <c r="ED62" s="53"/>
      <c r="EE62" s="53"/>
      <c r="EF62" s="53"/>
      <c r="EG62" s="53"/>
      <c r="EH62" s="53"/>
      <c r="EI62" s="53"/>
      <c r="EJ62" s="53"/>
      <c r="EK62" s="53"/>
      <c r="EL62" s="53"/>
      <c r="EM62" s="53"/>
      <c r="EN62" s="53"/>
      <c r="EO62" s="53"/>
      <c r="EP62" s="53"/>
      <c r="EQ62" s="53"/>
      <c r="ER62" s="53"/>
      <c r="ES62" s="53"/>
      <c r="ET62" s="53"/>
      <c r="EU62" s="53"/>
      <c r="EV62" s="53"/>
      <c r="EW62" s="53"/>
      <c r="EX62" s="53"/>
      <c r="EY62" s="53"/>
      <c r="EZ62" s="53"/>
      <c r="FA62" s="53"/>
      <c r="FB62" s="53"/>
      <c r="FC62" s="53"/>
      <c r="FD62" s="53"/>
      <c r="FE62" s="53"/>
    </row>
    <row r="63" customFormat="false" ht="13.5" hidden="false" customHeight="true" outlineLevel="0" collapsed="false">
      <c r="A63" s="33"/>
    </row>
    <row r="64" customFormat="false" ht="13.5" hidden="false" customHeight="true" outlineLevel="0" collapsed="false">
      <c r="A64" s="29" t="s">
        <v>6086</v>
      </c>
      <c r="B64" s="30"/>
      <c r="C64" s="30"/>
      <c r="D64" s="30"/>
      <c r="E64" s="30"/>
      <c r="F64" s="30"/>
      <c r="G64" s="30"/>
      <c r="H64" s="30"/>
      <c r="I64" s="65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 t="s">
        <v>6007</v>
      </c>
      <c r="AH64" s="30"/>
      <c r="AI64" s="30"/>
      <c r="AJ64" s="30"/>
      <c r="AK64" s="30"/>
      <c r="AL64" s="30"/>
      <c r="AM64" s="30"/>
      <c r="AN64" s="30" t="s">
        <v>5918</v>
      </c>
      <c r="AO64" s="30"/>
      <c r="AP64" s="30"/>
      <c r="AQ64" s="30"/>
      <c r="AR64" s="30" t="s">
        <v>6008</v>
      </c>
      <c r="AS64" s="30"/>
      <c r="AT64" s="30"/>
      <c r="AU64" s="30" t="s">
        <v>6008</v>
      </c>
      <c r="AV64" s="30"/>
      <c r="AW64" s="30"/>
      <c r="AX64" s="30"/>
      <c r="AY64" s="30"/>
      <c r="AZ64" s="30" t="s">
        <v>6033</v>
      </c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BM64" s="30"/>
      <c r="BN64" s="30"/>
      <c r="BO64" s="30"/>
      <c r="BP64" s="30"/>
      <c r="BQ64" s="30"/>
      <c r="BR64" s="30"/>
      <c r="BS64" s="30"/>
      <c r="BT64" s="30"/>
      <c r="BU64" s="30"/>
      <c r="BV64" s="30"/>
      <c r="BW64" s="30"/>
      <c r="BX64" s="30" t="s">
        <v>5972</v>
      </c>
      <c r="BY64" s="30"/>
      <c r="BZ64" s="30"/>
      <c r="CA64" s="32"/>
      <c r="CB64" s="30"/>
      <c r="CC64" s="32" t="s">
        <v>6087</v>
      </c>
      <c r="CD64" s="32" t="s">
        <v>5972</v>
      </c>
      <c r="CE64" s="32" t="s">
        <v>6088</v>
      </c>
      <c r="CF64" s="30"/>
      <c r="CG64" s="30"/>
      <c r="CH64" s="30"/>
      <c r="CI64" s="30"/>
      <c r="CJ64" s="30"/>
      <c r="CK64" s="32"/>
      <c r="CL64" s="30"/>
      <c r="CM64" s="32"/>
      <c r="CN64" s="30"/>
      <c r="CO64" s="30"/>
      <c r="CP64" s="32" t="s">
        <v>6058</v>
      </c>
      <c r="CQ64" s="30"/>
      <c r="CR64" s="30"/>
      <c r="CS64" s="30"/>
      <c r="CT64" s="30"/>
      <c r="CU64" s="30"/>
      <c r="CV64" s="30"/>
      <c r="CW64" s="30"/>
      <c r="CX64" s="30"/>
      <c r="CY64" s="30"/>
      <c r="CZ64" s="30"/>
      <c r="DA64" s="30"/>
      <c r="DB64" s="30"/>
      <c r="DC64" s="30"/>
      <c r="DD64" s="32" t="s">
        <v>6089</v>
      </c>
      <c r="DE64" s="30"/>
      <c r="DF64" s="30"/>
      <c r="DG64" s="30"/>
      <c r="DH64" s="30"/>
      <c r="DI64" s="30"/>
      <c r="DJ64" s="32"/>
      <c r="DK64" s="30"/>
      <c r="DL64" s="30"/>
      <c r="DM64" s="30"/>
      <c r="DN64" s="30"/>
      <c r="DO64" s="30"/>
      <c r="DP64" s="30"/>
      <c r="DQ64" s="30"/>
      <c r="DR64" s="30"/>
      <c r="DS64" s="30"/>
      <c r="DT64" s="30"/>
      <c r="DU64" s="30"/>
      <c r="DV64" s="30"/>
      <c r="DW64" s="30"/>
      <c r="DX64" s="30"/>
      <c r="DY64" s="30"/>
      <c r="DZ64" s="30"/>
      <c r="EA64" s="30"/>
      <c r="EB64" s="30"/>
      <c r="EC64" s="30"/>
      <c r="ED64" s="30"/>
      <c r="EE64" s="30"/>
      <c r="EF64" s="30"/>
      <c r="EG64" s="30"/>
      <c r="EH64" s="30"/>
      <c r="EI64" s="30"/>
      <c r="EJ64" s="30"/>
      <c r="EK64" s="30"/>
      <c r="EL64" s="30"/>
      <c r="EM64" s="30"/>
      <c r="EN64" s="30"/>
      <c r="EO64" s="30"/>
      <c r="EP64" s="30"/>
      <c r="EQ64" s="30"/>
      <c r="ER64" s="30"/>
      <c r="ES64" s="30"/>
      <c r="ET64" s="30"/>
      <c r="EU64" s="30"/>
      <c r="EV64" s="30"/>
      <c r="EW64" s="30"/>
      <c r="EX64" s="30"/>
      <c r="EY64" s="30"/>
      <c r="EZ64" s="30"/>
      <c r="FA64" s="30"/>
      <c r="FB64" s="30"/>
      <c r="FC64" s="30"/>
      <c r="FD64" s="30"/>
      <c r="FE64" s="30"/>
      <c r="HO64" s="30"/>
      <c r="HV64" s="30"/>
      <c r="HW64" s="30"/>
      <c r="HX64" s="30"/>
      <c r="HY64" s="30"/>
      <c r="HZ64" s="30"/>
      <c r="IA64" s="30"/>
      <c r="IB64" s="30"/>
      <c r="IC64" s="30"/>
      <c r="IJ64" s="30"/>
      <c r="IQ64" s="30"/>
      <c r="IW64" s="30"/>
    </row>
    <row r="65" customFormat="false" ht="13.5" hidden="false" customHeight="true" outlineLevel="0" collapsed="false">
      <c r="A65" s="33"/>
      <c r="AD65" s="35"/>
      <c r="AE65" s="35"/>
      <c r="AG65" s="34" t="s">
        <v>4778</v>
      </c>
      <c r="AH65" s="34"/>
      <c r="AK65" s="34"/>
      <c r="AN65" s="34" t="s">
        <v>4778</v>
      </c>
      <c r="AR65" s="34" t="s">
        <v>4778</v>
      </c>
      <c r="AT65" s="34"/>
      <c r="AU65" s="34" t="s">
        <v>4778</v>
      </c>
      <c r="AV65" s="34"/>
      <c r="AW65" s="34"/>
      <c r="AZ65" s="34" t="s">
        <v>4778</v>
      </c>
      <c r="BA65" s="34"/>
      <c r="BF65" s="35"/>
      <c r="BI65" s="34"/>
      <c r="BN65" s="34"/>
      <c r="BX65" s="34" t="s">
        <v>4778</v>
      </c>
      <c r="CA65" s="35"/>
      <c r="CB65" s="34"/>
      <c r="CC65" s="35" t="s">
        <v>5565</v>
      </c>
      <c r="CD65" s="34" t="s">
        <v>454</v>
      </c>
      <c r="CE65" s="34" t="s">
        <v>454</v>
      </c>
      <c r="CH65" s="34"/>
      <c r="CK65" s="34"/>
      <c r="CM65" s="34"/>
      <c r="CO65" s="34"/>
      <c r="CP65" s="34" t="s">
        <v>4778</v>
      </c>
      <c r="CW65" s="34"/>
      <c r="CZ65" s="34"/>
      <c r="DD65" s="34" t="s">
        <v>454</v>
      </c>
    </row>
    <row r="66" customFormat="false" ht="12.2" hidden="false" customHeight="true" outlineLevel="0" collapsed="false">
      <c r="A66" s="37"/>
      <c r="AD66" s="36"/>
      <c r="AE66" s="36"/>
      <c r="AG66" s="34" t="s">
        <v>5927</v>
      </c>
      <c r="AH66" s="34"/>
      <c r="AK66" s="34"/>
      <c r="AN66" s="34" t="s">
        <v>5927</v>
      </c>
      <c r="AR66" s="34" t="s">
        <v>5927</v>
      </c>
      <c r="AT66" s="34"/>
      <c r="AU66" s="34" t="s">
        <v>6090</v>
      </c>
      <c r="AV66" s="34"/>
      <c r="AW66" s="34"/>
      <c r="AZ66" s="34" t="s">
        <v>5927</v>
      </c>
      <c r="BA66" s="34"/>
      <c r="BF66" s="36"/>
      <c r="BI66" s="34"/>
      <c r="BN66" s="34"/>
      <c r="BX66" s="34" t="s">
        <v>5927</v>
      </c>
      <c r="CA66" s="36"/>
      <c r="CB66" s="34"/>
      <c r="CC66" s="36" t="s">
        <v>5935</v>
      </c>
      <c r="CD66" s="34" t="s">
        <v>6091</v>
      </c>
      <c r="CE66" s="34" t="s">
        <v>6091</v>
      </c>
      <c r="CH66" s="34"/>
      <c r="CK66" s="34"/>
      <c r="CM66" s="34"/>
      <c r="CO66" s="34"/>
      <c r="CP66" s="34" t="s">
        <v>5927</v>
      </c>
      <c r="CW66" s="34"/>
      <c r="CZ66" s="34"/>
      <c r="DD66" s="34" t="s">
        <v>6091</v>
      </c>
    </row>
    <row r="67" customFormat="false" ht="13.5" hidden="false" customHeight="true" outlineLevel="0" collapsed="false">
      <c r="A67" s="38"/>
      <c r="AD67" s="35"/>
      <c r="AE67" s="35"/>
      <c r="AG67" s="40" t="s">
        <v>6092</v>
      </c>
      <c r="AH67" s="40"/>
      <c r="AK67" s="40"/>
      <c r="AN67" s="40" t="s">
        <v>6066</v>
      </c>
      <c r="AR67" s="40" t="s">
        <v>6093</v>
      </c>
      <c r="AT67" s="40"/>
      <c r="AU67" s="40" t="s">
        <v>6094</v>
      </c>
      <c r="AV67" s="40"/>
      <c r="AW67" s="40"/>
      <c r="AZ67" s="40" t="s">
        <v>6095</v>
      </c>
      <c r="BA67" s="40"/>
      <c r="BF67" s="35"/>
      <c r="BI67" s="40"/>
      <c r="BN67" s="40"/>
      <c r="BX67" s="40" t="s">
        <v>6065</v>
      </c>
      <c r="CA67" s="35"/>
      <c r="CB67" s="40"/>
      <c r="CC67" s="35" t="s">
        <v>6096</v>
      </c>
      <c r="CD67" s="40" t="s">
        <v>5940</v>
      </c>
      <c r="CE67" s="40" t="s">
        <v>6097</v>
      </c>
      <c r="CF67" s="83" t="s">
        <v>6098</v>
      </c>
      <c r="CH67" s="39"/>
      <c r="CK67" s="40"/>
      <c r="CL67" s="83"/>
      <c r="CM67" s="40"/>
      <c r="CN67" s="83"/>
      <c r="CO67" s="40"/>
      <c r="CP67" s="40" t="s">
        <v>6099</v>
      </c>
      <c r="CW67" s="40"/>
      <c r="CZ67" s="39"/>
      <c r="DD67" s="40" t="s">
        <v>6100</v>
      </c>
      <c r="DE67" s="83" t="s">
        <v>6098</v>
      </c>
    </row>
    <row r="68" customFormat="false" ht="13.5" hidden="false" customHeight="true" outlineLevel="0" collapsed="false">
      <c r="A68" s="41" t="s">
        <v>5946</v>
      </c>
      <c r="B68" s="42" t="n">
        <v>23</v>
      </c>
      <c r="C68" s="42" t="n">
        <v>24</v>
      </c>
      <c r="D68" s="42" t="n">
        <v>25</v>
      </c>
      <c r="E68" s="42" t="n">
        <v>26</v>
      </c>
      <c r="F68" s="42" t="n">
        <v>27</v>
      </c>
      <c r="G68" s="43" t="n">
        <v>28</v>
      </c>
      <c r="H68" s="43" t="s">
        <v>5947</v>
      </c>
      <c r="I68" s="42" t="n">
        <v>2</v>
      </c>
      <c r="J68" s="42" t="n">
        <v>3</v>
      </c>
      <c r="K68" s="42" t="n">
        <v>4</v>
      </c>
      <c r="L68" s="42" t="n">
        <v>5</v>
      </c>
      <c r="M68" s="42" t="n">
        <v>6</v>
      </c>
      <c r="N68" s="43" t="n">
        <v>7</v>
      </c>
      <c r="O68" s="43" t="n">
        <v>8</v>
      </c>
      <c r="P68" s="42" t="n">
        <v>9</v>
      </c>
      <c r="Q68" s="42" t="n">
        <v>10</v>
      </c>
      <c r="R68" s="42" t="n">
        <v>11</v>
      </c>
      <c r="S68" s="42" t="n">
        <v>12</v>
      </c>
      <c r="T68" s="42" t="n">
        <v>13</v>
      </c>
      <c r="U68" s="43" t="n">
        <v>14</v>
      </c>
      <c r="V68" s="43" t="n">
        <v>15</v>
      </c>
      <c r="W68" s="42" t="n">
        <v>16</v>
      </c>
      <c r="X68" s="42" t="n">
        <v>17</v>
      </c>
      <c r="Y68" s="42" t="n">
        <v>18</v>
      </c>
      <c r="Z68" s="42" t="n">
        <v>19</v>
      </c>
      <c r="AA68" s="42" t="n">
        <v>20</v>
      </c>
      <c r="AB68" s="43" t="n">
        <v>21</v>
      </c>
      <c r="AC68" s="43" t="n">
        <v>22</v>
      </c>
      <c r="AD68" s="42" t="n">
        <v>23</v>
      </c>
      <c r="AE68" s="42" t="n">
        <v>24</v>
      </c>
      <c r="AF68" s="42" t="n">
        <v>25</v>
      </c>
      <c r="AG68" s="42" t="n">
        <v>26</v>
      </c>
      <c r="AH68" s="42" t="n">
        <v>27</v>
      </c>
      <c r="AI68" s="43" t="n">
        <v>28</v>
      </c>
      <c r="AJ68" s="43" t="n">
        <v>29</v>
      </c>
      <c r="AK68" s="42" t="n">
        <v>30</v>
      </c>
      <c r="AL68" s="42" t="n">
        <v>31</v>
      </c>
      <c r="AM68" s="42" t="s">
        <v>5948</v>
      </c>
      <c r="AN68" s="42" t="n">
        <v>2</v>
      </c>
      <c r="AO68" s="42" t="n">
        <v>3</v>
      </c>
      <c r="AP68" s="43" t="n">
        <v>4</v>
      </c>
      <c r="AQ68" s="43" t="n">
        <v>5</v>
      </c>
      <c r="AR68" s="42" t="n">
        <v>6</v>
      </c>
      <c r="AS68" s="42" t="n">
        <v>7</v>
      </c>
      <c r="AT68" s="42" t="n">
        <v>8</v>
      </c>
      <c r="AU68" s="42" t="n">
        <v>9</v>
      </c>
      <c r="AV68" s="42" t="n">
        <v>10</v>
      </c>
      <c r="AW68" s="43" t="n">
        <v>11</v>
      </c>
      <c r="AX68" s="43" t="n">
        <v>12</v>
      </c>
      <c r="AY68" s="42" t="n">
        <v>13</v>
      </c>
      <c r="AZ68" s="42" t="n">
        <v>14</v>
      </c>
      <c r="BA68" s="42" t="n">
        <v>15</v>
      </c>
      <c r="BB68" s="42" t="n">
        <v>16</v>
      </c>
      <c r="BC68" s="42" t="n">
        <v>17</v>
      </c>
      <c r="BD68" s="43" t="n">
        <v>18</v>
      </c>
      <c r="BE68" s="43" t="n">
        <v>19</v>
      </c>
      <c r="BF68" s="42" t="n">
        <v>20</v>
      </c>
      <c r="BG68" s="42" t="n">
        <v>21</v>
      </c>
      <c r="BH68" s="42" t="n">
        <v>22</v>
      </c>
      <c r="BI68" s="42" t="n">
        <v>23</v>
      </c>
      <c r="BJ68" s="42" t="n">
        <v>24</v>
      </c>
      <c r="BK68" s="43" t="n">
        <v>25</v>
      </c>
      <c r="BL68" s="43" t="n">
        <v>26</v>
      </c>
      <c r="BM68" s="42" t="n">
        <v>27</v>
      </c>
      <c r="BN68" s="42" t="n">
        <v>28</v>
      </c>
      <c r="BO68" s="42" t="n">
        <v>29</v>
      </c>
      <c r="BP68" s="43" t="n">
        <v>30</v>
      </c>
      <c r="BQ68" s="43" t="s">
        <v>5949</v>
      </c>
      <c r="BR68" s="43" t="n">
        <v>2</v>
      </c>
      <c r="BS68" s="43" t="n">
        <v>3</v>
      </c>
      <c r="BT68" s="42" t="n">
        <v>4</v>
      </c>
      <c r="BU68" s="42" t="n">
        <v>5</v>
      </c>
      <c r="BV68" s="42" t="n">
        <v>6</v>
      </c>
      <c r="BW68" s="42" t="n">
        <v>7</v>
      </c>
      <c r="BX68" s="42" t="n">
        <v>8</v>
      </c>
      <c r="BY68" s="43" t="n">
        <v>9</v>
      </c>
      <c r="BZ68" s="43" t="n">
        <v>10</v>
      </c>
      <c r="CA68" s="42" t="n">
        <v>11</v>
      </c>
      <c r="CB68" s="42" t="n">
        <v>12</v>
      </c>
      <c r="CC68" s="42" t="n">
        <v>13</v>
      </c>
      <c r="CD68" s="42" t="n">
        <v>14</v>
      </c>
      <c r="CE68" s="42" t="n">
        <v>15</v>
      </c>
      <c r="CF68" s="43" t="n">
        <v>16</v>
      </c>
      <c r="CG68" s="43" t="n">
        <v>17</v>
      </c>
      <c r="CH68" s="42" t="n">
        <v>18</v>
      </c>
      <c r="CI68" s="42" t="n">
        <v>19</v>
      </c>
      <c r="CJ68" s="42" t="n">
        <v>20</v>
      </c>
      <c r="CK68" s="42" t="n">
        <v>21</v>
      </c>
      <c r="CL68" s="42" t="n">
        <v>22</v>
      </c>
      <c r="CM68" s="43" t="n">
        <v>23</v>
      </c>
      <c r="CN68" s="43" t="n">
        <v>24</v>
      </c>
      <c r="CO68" s="42" t="n">
        <v>25</v>
      </c>
      <c r="CP68" s="42" t="n">
        <v>26</v>
      </c>
      <c r="CQ68" s="42" t="n">
        <v>27</v>
      </c>
      <c r="CR68" s="42" t="n">
        <v>28</v>
      </c>
      <c r="CS68" s="42" t="n">
        <v>29</v>
      </c>
      <c r="CT68" s="43" t="n">
        <v>30</v>
      </c>
      <c r="CU68" s="43" t="n">
        <v>31</v>
      </c>
      <c r="CV68" s="42" t="s">
        <v>5950</v>
      </c>
      <c r="CW68" s="42" t="n">
        <v>2</v>
      </c>
      <c r="CX68" s="42" t="n">
        <v>3</v>
      </c>
      <c r="CY68" s="42" t="n">
        <v>4</v>
      </c>
      <c r="CZ68" s="42" t="n">
        <v>5</v>
      </c>
      <c r="DA68" s="43" t="n">
        <v>6</v>
      </c>
      <c r="DB68" s="43" t="n">
        <v>7</v>
      </c>
      <c r="DC68" s="42" t="n">
        <v>8</v>
      </c>
      <c r="DD68" s="42" t="n">
        <v>9</v>
      </c>
      <c r="DE68" s="42" t="n">
        <v>10</v>
      </c>
      <c r="DF68" s="42" t="n">
        <v>11</v>
      </c>
      <c r="DG68" s="42" t="n">
        <v>12</v>
      </c>
      <c r="DH68" s="43" t="n">
        <v>13</v>
      </c>
      <c r="DI68" s="43" t="n">
        <v>14</v>
      </c>
      <c r="DJ68" s="42" t="n">
        <v>15</v>
      </c>
      <c r="DK68" s="42" t="n">
        <v>16</v>
      </c>
      <c r="DL68" s="42" t="n">
        <v>17</v>
      </c>
      <c r="DM68" s="42" t="n">
        <v>18</v>
      </c>
      <c r="DN68" s="42" t="n">
        <v>19</v>
      </c>
      <c r="DO68" s="43" t="n">
        <v>20</v>
      </c>
      <c r="DP68" s="43" t="n">
        <v>21</v>
      </c>
      <c r="DQ68" s="42" t="n">
        <v>22</v>
      </c>
      <c r="DR68" s="42" t="n">
        <v>23</v>
      </c>
      <c r="DS68" s="42" t="n">
        <v>24</v>
      </c>
      <c r="DT68" s="42" t="n">
        <v>25</v>
      </c>
      <c r="DU68" s="42" t="n">
        <v>26</v>
      </c>
      <c r="DV68" s="43" t="n">
        <v>27</v>
      </c>
      <c r="DW68" s="43" t="n">
        <v>28</v>
      </c>
      <c r="DX68" s="42" t="n">
        <v>29</v>
      </c>
      <c r="DY68" s="42" t="n">
        <v>30</v>
      </c>
      <c r="DZ68" s="42" t="s">
        <v>5951</v>
      </c>
      <c r="EA68" s="42" t="n">
        <v>2</v>
      </c>
      <c r="EB68" s="42" t="n">
        <v>3</v>
      </c>
      <c r="EC68" s="43" t="n">
        <v>4</v>
      </c>
      <c r="ED68" s="43" t="n">
        <v>5</v>
      </c>
      <c r="EE68" s="42" t="n">
        <v>6</v>
      </c>
      <c r="EF68" s="42" t="n">
        <v>7</v>
      </c>
      <c r="EG68" s="42" t="n">
        <v>8</v>
      </c>
      <c r="EH68" s="42" t="n">
        <v>9</v>
      </c>
      <c r="EI68" s="42" t="n">
        <v>10</v>
      </c>
      <c r="EJ68" s="43" t="n">
        <v>11</v>
      </c>
      <c r="EK68" s="43" t="n">
        <v>12</v>
      </c>
      <c r="EL68" s="42" t="n">
        <v>13</v>
      </c>
      <c r="EM68" s="42" t="n">
        <v>14</v>
      </c>
      <c r="EN68" s="42" t="n">
        <v>15</v>
      </c>
      <c r="EO68" s="42" t="n">
        <v>16</v>
      </c>
      <c r="EP68" s="42" t="n">
        <v>17</v>
      </c>
      <c r="EQ68" s="43" t="n">
        <v>18</v>
      </c>
      <c r="ER68" s="43" t="n">
        <v>19</v>
      </c>
      <c r="ES68" s="42" t="n">
        <v>20</v>
      </c>
      <c r="ET68" s="42" t="n">
        <v>21</v>
      </c>
      <c r="EU68" s="42" t="n">
        <v>22</v>
      </c>
      <c r="EV68" s="42" t="n">
        <v>23</v>
      </c>
      <c r="EW68" s="42" t="n">
        <v>24</v>
      </c>
      <c r="EX68" s="43" t="n">
        <v>25</v>
      </c>
      <c r="EY68" s="43" t="n">
        <v>26</v>
      </c>
      <c r="EZ68" s="42" t="n">
        <v>27</v>
      </c>
      <c r="FA68" s="42" t="n">
        <v>28</v>
      </c>
      <c r="FB68" s="42" t="n">
        <v>29</v>
      </c>
      <c r="FC68" s="42" t="n">
        <v>30</v>
      </c>
      <c r="FD68" s="42" t="n">
        <v>31</v>
      </c>
      <c r="FE68" s="42"/>
    </row>
    <row r="69" customFormat="false" ht="13.5" hidden="false" customHeight="true" outlineLevel="0" collapsed="false">
      <c r="A69" s="41" t="s">
        <v>5952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 t="n">
        <v>204</v>
      </c>
      <c r="AH69" s="44" t="n">
        <v>2000</v>
      </c>
      <c r="AI69" s="44"/>
      <c r="AJ69" s="44"/>
      <c r="AK69" s="44" t="n">
        <v>2100</v>
      </c>
      <c r="AL69" s="44" t="n">
        <v>2200</v>
      </c>
      <c r="AM69" s="44" t="n">
        <v>2300</v>
      </c>
      <c r="AN69" s="44" t="n">
        <v>636</v>
      </c>
      <c r="AO69" s="44" t="n">
        <v>2500</v>
      </c>
      <c r="AP69" s="44" t="n">
        <v>2240</v>
      </c>
      <c r="AQ69" s="44"/>
      <c r="AR69" s="44" t="n">
        <v>2700</v>
      </c>
      <c r="AS69" s="44" t="n">
        <v>2800</v>
      </c>
      <c r="AT69" s="44" t="n">
        <v>2800</v>
      </c>
      <c r="AU69" s="44" t="n">
        <v>2752</v>
      </c>
      <c r="AV69" s="44" t="n">
        <v>2800</v>
      </c>
      <c r="AW69" s="44"/>
      <c r="AX69" s="44"/>
      <c r="AY69" s="44" t="n">
        <v>2800</v>
      </c>
      <c r="AZ69" s="44" t="n">
        <v>1594</v>
      </c>
      <c r="BA69" s="44" t="n">
        <v>2800</v>
      </c>
      <c r="BB69" s="44" t="n">
        <v>2800</v>
      </c>
      <c r="BC69" s="44" t="n">
        <v>2800</v>
      </c>
      <c r="BD69" s="44" t="n">
        <v>2250</v>
      </c>
      <c r="BE69" s="44"/>
      <c r="BF69" s="44" t="n">
        <v>2800</v>
      </c>
      <c r="BG69" s="44" t="n">
        <v>2800</v>
      </c>
      <c r="BH69" s="44" t="n">
        <v>2800</v>
      </c>
      <c r="BI69" s="44" t="n">
        <v>2800</v>
      </c>
      <c r="BJ69" s="44" t="n">
        <v>2800</v>
      </c>
      <c r="BK69" s="44"/>
      <c r="BL69" s="44"/>
      <c r="BM69" s="44" t="n">
        <v>2800</v>
      </c>
      <c r="BN69" s="44" t="n">
        <v>2800</v>
      </c>
      <c r="BO69" s="44" t="n">
        <v>2800</v>
      </c>
      <c r="BP69" s="44"/>
      <c r="BQ69" s="44"/>
      <c r="BR69" s="44"/>
      <c r="BS69" s="44"/>
      <c r="BT69" s="44" t="n">
        <v>2800</v>
      </c>
      <c r="BU69" s="44" t="n">
        <v>2800</v>
      </c>
      <c r="BV69" s="44" t="n">
        <v>2800</v>
      </c>
      <c r="BW69" s="44" t="n">
        <v>2800</v>
      </c>
      <c r="BX69" s="44" t="n">
        <v>2544</v>
      </c>
      <c r="BY69" s="44" t="n">
        <v>2250</v>
      </c>
      <c r="BZ69" s="44"/>
      <c r="CA69" s="44" t="n">
        <v>2800</v>
      </c>
      <c r="CB69" s="44" t="n">
        <v>2800</v>
      </c>
      <c r="CC69" s="44" t="n">
        <v>894</v>
      </c>
      <c r="CD69" s="44" t="n">
        <v>1700</v>
      </c>
      <c r="CE69" s="44" t="n">
        <v>1300</v>
      </c>
      <c r="CF69" s="44"/>
      <c r="CG69" s="44"/>
      <c r="CH69" s="44" t="n">
        <v>1900</v>
      </c>
      <c r="CI69" s="44" t="n">
        <v>2000</v>
      </c>
      <c r="CJ69" s="44" t="n">
        <v>2100</v>
      </c>
      <c r="CK69" s="44" t="n">
        <v>2200</v>
      </c>
      <c r="CL69" s="44" t="n">
        <v>2300</v>
      </c>
      <c r="CM69" s="44" t="n">
        <v>1700</v>
      </c>
      <c r="CN69" s="44"/>
      <c r="CO69" s="44" t="n">
        <v>2500</v>
      </c>
      <c r="CP69" s="44" t="n">
        <v>800</v>
      </c>
      <c r="CQ69" s="44" t="n">
        <v>2700</v>
      </c>
      <c r="CR69" s="44" t="n">
        <v>2800</v>
      </c>
      <c r="CS69" s="44" t="n">
        <v>2800</v>
      </c>
      <c r="CT69" s="44"/>
      <c r="CU69" s="44"/>
      <c r="CV69" s="44" t="n">
        <v>2800</v>
      </c>
      <c r="CW69" s="44" t="n">
        <v>2800</v>
      </c>
      <c r="CX69" s="44" t="n">
        <v>2800</v>
      </c>
      <c r="CY69" s="44" t="n">
        <v>2800</v>
      </c>
      <c r="CZ69" s="44" t="n">
        <v>2800</v>
      </c>
      <c r="DA69" s="44" t="n">
        <v>2400</v>
      </c>
      <c r="DB69" s="44"/>
      <c r="DC69" s="44" t="n">
        <v>2804</v>
      </c>
      <c r="DD69" s="44" t="n">
        <v>2400</v>
      </c>
      <c r="DE69" s="44" t="n">
        <v>2500</v>
      </c>
      <c r="DF69" s="44" t="n">
        <v>2500</v>
      </c>
      <c r="DG69" s="44" t="n">
        <v>2500</v>
      </c>
      <c r="DH69" s="44"/>
      <c r="DI69" s="44"/>
      <c r="DJ69" s="44" t="n">
        <v>2500</v>
      </c>
      <c r="DK69" s="44" t="n">
        <v>2500</v>
      </c>
      <c r="DL69" s="44" t="n">
        <v>2500</v>
      </c>
      <c r="DM69" s="44" t="n">
        <v>2500</v>
      </c>
      <c r="DN69" s="44" t="n">
        <v>2500</v>
      </c>
      <c r="DO69" s="44"/>
      <c r="DP69" s="44"/>
      <c r="DQ69" s="44" t="n">
        <v>600</v>
      </c>
      <c r="DR69" s="44"/>
      <c r="DS69" s="44"/>
      <c r="DT69" s="44"/>
      <c r="DU69" s="44"/>
      <c r="DV69" s="44"/>
      <c r="DW69" s="44"/>
      <c r="DX69" s="44"/>
      <c r="DY69" s="44"/>
      <c r="DZ69" s="44"/>
      <c r="EA69" s="44"/>
      <c r="EB69" s="44"/>
      <c r="EC69" s="44"/>
      <c r="ED69" s="44"/>
      <c r="EE69" s="44"/>
      <c r="EF69" s="44"/>
      <c r="EG69" s="44"/>
      <c r="EH69" s="44"/>
      <c r="EI69" s="44"/>
      <c r="EJ69" s="44"/>
      <c r="EK69" s="44"/>
      <c r="EL69" s="44"/>
      <c r="EM69" s="44"/>
      <c r="EN69" s="44"/>
      <c r="EO69" s="44"/>
      <c r="EP69" s="44"/>
      <c r="EQ69" s="44"/>
      <c r="ER69" s="44"/>
      <c r="ES69" s="44"/>
      <c r="ET69" s="44"/>
      <c r="EU69" s="44"/>
      <c r="EV69" s="44"/>
      <c r="EW69" s="44"/>
      <c r="EX69" s="44"/>
      <c r="EY69" s="44"/>
      <c r="EZ69" s="44"/>
      <c r="FA69" s="44"/>
      <c r="FB69" s="44"/>
      <c r="FC69" s="44"/>
      <c r="FD69" s="44"/>
      <c r="FE69" s="44"/>
    </row>
    <row r="70" customFormat="false" ht="13.5" hidden="false" customHeight="true" outlineLevel="0" collapsed="false">
      <c r="A70" s="41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 t="n">
        <v>1000</v>
      </c>
      <c r="AH70" s="45"/>
      <c r="AI70" s="45"/>
      <c r="AJ70" s="45"/>
      <c r="AK70" s="45"/>
      <c r="AL70" s="45"/>
      <c r="AM70" s="45"/>
      <c r="AN70" s="49" t="n">
        <f aca="false">2400-AN69</f>
        <v>1764</v>
      </c>
      <c r="AO70" s="45"/>
      <c r="AP70" s="45"/>
      <c r="AQ70" s="45"/>
      <c r="AR70" s="45"/>
      <c r="AS70" s="45"/>
      <c r="AT70" s="45"/>
      <c r="AU70" s="45" t="n">
        <f aca="false">2800-AU69</f>
        <v>48</v>
      </c>
      <c r="AV70" s="45"/>
      <c r="AW70" s="45"/>
      <c r="AX70" s="45"/>
      <c r="AY70" s="45"/>
      <c r="AZ70" s="45" t="n">
        <f aca="false">2800-AZ69</f>
        <v>1206</v>
      </c>
      <c r="BA70" s="45"/>
      <c r="BB70" s="45"/>
      <c r="BC70" s="45"/>
      <c r="BD70" s="45"/>
      <c r="BE70" s="45"/>
      <c r="BF70" s="45"/>
      <c r="BG70" s="45"/>
      <c r="BH70" s="45"/>
      <c r="BI70" s="45"/>
      <c r="BJ70" s="45"/>
      <c r="BK70" s="45"/>
      <c r="BL70" s="45"/>
      <c r="BM70" s="45"/>
      <c r="BN70" s="45"/>
      <c r="BO70" s="45"/>
      <c r="BP70" s="45"/>
      <c r="BQ70" s="45"/>
      <c r="BR70" s="45"/>
      <c r="BS70" s="45"/>
      <c r="BT70" s="45"/>
      <c r="BU70" s="45"/>
      <c r="BV70" s="45"/>
      <c r="BW70" s="45"/>
      <c r="BX70" s="45" t="n">
        <f aca="false">2800-BX69</f>
        <v>256</v>
      </c>
      <c r="BY70" s="45"/>
      <c r="BZ70" s="45"/>
      <c r="CA70" s="45"/>
      <c r="CB70" s="45"/>
      <c r="CC70" s="45" t="n">
        <v>1000</v>
      </c>
      <c r="CD70" s="45"/>
      <c r="CE70" s="45" t="n">
        <f aca="false">1800-CE69</f>
        <v>500</v>
      </c>
      <c r="CF70" s="45"/>
      <c r="CG70" s="45"/>
      <c r="CH70" s="45"/>
      <c r="CI70" s="45"/>
      <c r="CJ70" s="45"/>
      <c r="CK70" s="45"/>
      <c r="CL70" s="45"/>
      <c r="CM70" s="45"/>
      <c r="CN70" s="45"/>
      <c r="CO70" s="45"/>
      <c r="CP70" s="45" t="n">
        <v>1500</v>
      </c>
      <c r="CQ70" s="45"/>
      <c r="CR70" s="45"/>
      <c r="CS70" s="45"/>
      <c r="CT70" s="45"/>
      <c r="CU70" s="45"/>
      <c r="CV70" s="45"/>
      <c r="CW70" s="45"/>
      <c r="CX70" s="45"/>
      <c r="CY70" s="45"/>
      <c r="CZ70" s="45"/>
      <c r="DA70" s="45"/>
      <c r="DB70" s="45"/>
      <c r="DC70" s="45"/>
      <c r="DD70" s="45"/>
      <c r="DE70" s="45"/>
      <c r="DF70" s="45"/>
      <c r="DG70" s="45"/>
      <c r="DH70" s="45"/>
      <c r="DI70" s="45"/>
      <c r="DJ70" s="45"/>
      <c r="DK70" s="45"/>
      <c r="DL70" s="45"/>
      <c r="DM70" s="45"/>
      <c r="DN70" s="45"/>
      <c r="DO70" s="45"/>
      <c r="DP70" s="45"/>
      <c r="DQ70" s="45"/>
      <c r="DR70" s="45"/>
      <c r="DS70" s="45"/>
      <c r="DT70" s="45"/>
      <c r="DU70" s="45"/>
      <c r="DV70" s="45"/>
      <c r="DW70" s="45"/>
      <c r="DX70" s="45"/>
      <c r="DY70" s="45"/>
      <c r="DZ70" s="45"/>
      <c r="EA70" s="45"/>
      <c r="EB70" s="45"/>
      <c r="EC70" s="45"/>
      <c r="ED70" s="45"/>
      <c r="EE70" s="45"/>
      <c r="EF70" s="45"/>
      <c r="EG70" s="45"/>
      <c r="EH70" s="45"/>
      <c r="EI70" s="45"/>
      <c r="EJ70" s="45"/>
      <c r="EK70" s="45"/>
      <c r="EL70" s="45"/>
      <c r="EM70" s="45"/>
      <c r="EN70" s="45"/>
      <c r="EO70" s="45"/>
      <c r="EP70" s="45"/>
      <c r="EQ70" s="45"/>
      <c r="ER70" s="45"/>
      <c r="ES70" s="45"/>
      <c r="ET70" s="45"/>
      <c r="EU70" s="45"/>
      <c r="EV70" s="45"/>
      <c r="EW70" s="45"/>
      <c r="EX70" s="45"/>
      <c r="EY70" s="45"/>
      <c r="EZ70" s="45"/>
      <c r="FA70" s="45"/>
      <c r="FB70" s="45"/>
      <c r="FC70" s="45"/>
      <c r="FD70" s="45"/>
      <c r="FE70" s="45"/>
      <c r="HO70" s="45"/>
      <c r="HV70" s="45"/>
      <c r="HW70" s="45"/>
      <c r="HX70" s="45"/>
      <c r="HY70" s="45"/>
      <c r="HZ70" s="45"/>
      <c r="IA70" s="45"/>
      <c r="IB70" s="45"/>
      <c r="IC70" s="45"/>
      <c r="IJ70" s="45"/>
      <c r="IQ70" s="45"/>
      <c r="IW70" s="45"/>
    </row>
    <row r="71" customFormat="false" ht="13.5" hidden="false" customHeight="true" outlineLevel="0" collapsed="false">
      <c r="A71" s="61"/>
      <c r="B71" s="48"/>
      <c r="C71" s="49"/>
      <c r="D71" s="48"/>
      <c r="E71" s="49"/>
      <c r="F71" s="49"/>
      <c r="G71" s="49"/>
      <c r="H71" s="49"/>
      <c r="I71" s="48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8"/>
      <c r="AE71" s="49"/>
      <c r="AF71" s="49"/>
      <c r="AG71" s="48" t="s">
        <v>5998</v>
      </c>
      <c r="AH71" s="63" t="s">
        <v>6000</v>
      </c>
      <c r="AI71" s="49"/>
      <c r="AJ71" s="49"/>
      <c r="AK71" s="63" t="s">
        <v>6000</v>
      </c>
      <c r="AL71" s="63" t="s">
        <v>6000</v>
      </c>
      <c r="AM71" s="63" t="s">
        <v>6000</v>
      </c>
      <c r="AN71" s="48" t="s">
        <v>5957</v>
      </c>
      <c r="AO71" s="63" t="s">
        <v>6000</v>
      </c>
      <c r="AP71" s="49"/>
      <c r="AQ71" s="49"/>
      <c r="AR71" s="63" t="s">
        <v>6000</v>
      </c>
      <c r="AS71" s="63" t="s">
        <v>6000</v>
      </c>
      <c r="AT71" s="63" t="s">
        <v>6000</v>
      </c>
      <c r="AU71" s="48" t="s">
        <v>5998</v>
      </c>
      <c r="AV71" s="48"/>
      <c r="AW71" s="49"/>
      <c r="AX71" s="49"/>
      <c r="AY71" s="63" t="s">
        <v>6000</v>
      </c>
      <c r="AZ71" s="48" t="s">
        <v>5957</v>
      </c>
      <c r="BA71" s="48"/>
      <c r="BB71" s="63" t="s">
        <v>6000</v>
      </c>
      <c r="BC71" s="63" t="s">
        <v>6000</v>
      </c>
      <c r="BD71" s="49"/>
      <c r="BE71" s="49"/>
      <c r="BF71" s="63" t="s">
        <v>6000</v>
      </c>
      <c r="BG71" s="63" t="s">
        <v>6000</v>
      </c>
      <c r="BH71" s="63" t="s">
        <v>6000</v>
      </c>
      <c r="BI71" s="63" t="s">
        <v>6000</v>
      </c>
      <c r="BJ71" s="63" t="s">
        <v>6000</v>
      </c>
      <c r="BK71" s="49"/>
      <c r="BL71" s="49"/>
      <c r="BM71" s="63" t="s">
        <v>6000</v>
      </c>
      <c r="BN71" s="63" t="s">
        <v>6000</v>
      </c>
      <c r="BO71" s="63" t="s">
        <v>6000</v>
      </c>
      <c r="BP71" s="49"/>
      <c r="BQ71" s="49"/>
      <c r="BR71" s="49"/>
      <c r="BS71" s="49"/>
      <c r="BT71" s="63" t="s">
        <v>6000</v>
      </c>
      <c r="BU71" s="63" t="s">
        <v>6000</v>
      </c>
      <c r="BV71" s="63" t="s">
        <v>6000</v>
      </c>
      <c r="BW71" s="63" t="s">
        <v>6000</v>
      </c>
      <c r="BX71" s="48" t="s">
        <v>5957</v>
      </c>
      <c r="BY71" s="49"/>
      <c r="BZ71" s="49"/>
      <c r="CA71" s="49"/>
      <c r="CB71" s="48"/>
      <c r="CC71" s="49" t="s">
        <v>6101</v>
      </c>
      <c r="CD71" s="48" t="s">
        <v>6102</v>
      </c>
      <c r="CE71" s="49"/>
      <c r="CF71" s="49"/>
      <c r="CG71" s="49"/>
      <c r="CH71" s="48"/>
      <c r="CI71" s="49"/>
      <c r="CJ71" s="49"/>
      <c r="CK71" s="48"/>
      <c r="CL71" s="49"/>
      <c r="CM71" s="49"/>
      <c r="CN71" s="49"/>
      <c r="CO71" s="48"/>
      <c r="CP71" s="48" t="s">
        <v>6103</v>
      </c>
      <c r="CQ71" s="49"/>
      <c r="CR71" s="49"/>
      <c r="CS71" s="49"/>
      <c r="CT71" s="49"/>
      <c r="CU71" s="49"/>
      <c r="CV71" s="49"/>
      <c r="CW71" s="48"/>
      <c r="CX71" s="49"/>
      <c r="CY71" s="49"/>
      <c r="CZ71" s="49"/>
      <c r="DA71" s="49"/>
      <c r="DB71" s="49"/>
      <c r="DC71" s="49"/>
      <c r="DD71" s="49" t="s">
        <v>6024</v>
      </c>
      <c r="DE71" s="49"/>
      <c r="DF71" s="49"/>
      <c r="DG71" s="49"/>
      <c r="DH71" s="49"/>
      <c r="DI71" s="49"/>
      <c r="DJ71" s="49"/>
      <c r="DK71" s="49"/>
      <c r="DL71" s="49"/>
      <c r="DM71" s="49"/>
      <c r="DN71" s="49"/>
      <c r="DO71" s="49"/>
      <c r="DP71" s="49"/>
      <c r="DQ71" s="49"/>
      <c r="DR71" s="49"/>
      <c r="DS71" s="49"/>
      <c r="DT71" s="49"/>
      <c r="DU71" s="49"/>
      <c r="DV71" s="49"/>
      <c r="DW71" s="49"/>
      <c r="DX71" s="49"/>
      <c r="DY71" s="49"/>
      <c r="DZ71" s="49"/>
      <c r="EA71" s="49"/>
      <c r="EB71" s="49"/>
      <c r="EC71" s="49"/>
      <c r="ED71" s="49"/>
      <c r="EE71" s="49"/>
      <c r="EF71" s="49"/>
      <c r="EG71" s="49"/>
      <c r="EH71" s="49"/>
      <c r="EI71" s="49"/>
      <c r="EJ71" s="49"/>
      <c r="EK71" s="49"/>
      <c r="EL71" s="49"/>
      <c r="EM71" s="49"/>
      <c r="EN71" s="49"/>
      <c r="EO71" s="49"/>
      <c r="EP71" s="49"/>
      <c r="EQ71" s="49"/>
      <c r="ER71" s="49"/>
      <c r="ES71" s="49"/>
      <c r="ET71" s="49"/>
      <c r="EU71" s="49"/>
      <c r="EV71" s="49"/>
      <c r="EW71" s="49"/>
      <c r="EX71" s="49"/>
      <c r="EY71" s="49"/>
      <c r="EZ71" s="49"/>
      <c r="FA71" s="49"/>
      <c r="FB71" s="49"/>
      <c r="FC71" s="49"/>
      <c r="FD71" s="49"/>
      <c r="FE71" s="49"/>
      <c r="HO71" s="49"/>
      <c r="HV71" s="49"/>
      <c r="HW71" s="49"/>
      <c r="HX71" s="49"/>
      <c r="HY71" s="49"/>
      <c r="HZ71" s="49"/>
      <c r="IA71" s="49"/>
      <c r="IB71" s="49"/>
      <c r="IC71" s="49"/>
      <c r="IJ71" s="49"/>
      <c r="IQ71" s="49"/>
      <c r="IW71" s="49"/>
    </row>
    <row r="72" customFormat="false" ht="13.5" hidden="false" customHeight="true" outlineLevel="0" collapsed="false">
      <c r="A72" s="52" t="s">
        <v>5960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 t="n">
        <v>30</v>
      </c>
      <c r="AH72" s="53" t="n">
        <v>31</v>
      </c>
      <c r="AI72" s="53" t="n">
        <v>31</v>
      </c>
      <c r="AJ72" s="53" t="n">
        <v>31</v>
      </c>
      <c r="AK72" s="53" t="n">
        <v>31</v>
      </c>
      <c r="AL72" s="53" t="n">
        <v>31</v>
      </c>
      <c r="AM72" s="53" t="n">
        <v>31</v>
      </c>
      <c r="AN72" s="53" t="n">
        <v>31</v>
      </c>
      <c r="AO72" s="53" t="n">
        <v>31</v>
      </c>
      <c r="AP72" s="53" t="n">
        <v>31</v>
      </c>
      <c r="AQ72" s="53" t="n">
        <v>31</v>
      </c>
      <c r="AR72" s="53" t="n">
        <v>31</v>
      </c>
      <c r="AS72" s="53" t="n">
        <v>31</v>
      </c>
      <c r="AT72" s="53" t="n">
        <v>31</v>
      </c>
      <c r="AU72" s="53" t="n">
        <v>31</v>
      </c>
      <c r="AV72" s="53" t="n">
        <v>31</v>
      </c>
      <c r="AW72" s="53" t="n">
        <v>31</v>
      </c>
      <c r="AX72" s="53" t="n">
        <v>31</v>
      </c>
      <c r="AY72" s="53" t="n">
        <v>31</v>
      </c>
      <c r="AZ72" s="53" t="n">
        <v>31</v>
      </c>
      <c r="BA72" s="53" t="n">
        <v>31</v>
      </c>
      <c r="BB72" s="53" t="n">
        <v>31</v>
      </c>
      <c r="BC72" s="53" t="n">
        <v>31</v>
      </c>
      <c r="BD72" s="53" t="n">
        <v>31</v>
      </c>
      <c r="BE72" s="53" t="n">
        <v>31</v>
      </c>
      <c r="BF72" s="53" t="n">
        <v>31</v>
      </c>
      <c r="BG72" s="53" t="n">
        <v>31</v>
      </c>
      <c r="BH72" s="53" t="n">
        <v>31</v>
      </c>
      <c r="BI72" s="53" t="n">
        <v>31</v>
      </c>
      <c r="BJ72" s="53" t="n">
        <v>31</v>
      </c>
      <c r="BK72" s="53" t="n">
        <v>31</v>
      </c>
      <c r="BL72" s="53" t="n">
        <v>31</v>
      </c>
      <c r="BM72" s="53" t="n">
        <v>31</v>
      </c>
      <c r="BN72" s="53" t="n">
        <v>31</v>
      </c>
      <c r="BO72" s="53" t="n">
        <v>31</v>
      </c>
      <c r="BP72" s="53" t="n">
        <v>31</v>
      </c>
      <c r="BQ72" s="53" t="n">
        <v>31</v>
      </c>
      <c r="BR72" s="53" t="n">
        <v>31</v>
      </c>
      <c r="BS72" s="53" t="n">
        <v>31</v>
      </c>
      <c r="BT72" s="53" t="n">
        <v>31</v>
      </c>
      <c r="BU72" s="53" t="n">
        <v>31</v>
      </c>
      <c r="BV72" s="53" t="n">
        <v>31</v>
      </c>
      <c r="BW72" s="53" t="n">
        <v>31</v>
      </c>
      <c r="BX72" s="53" t="n">
        <v>31</v>
      </c>
      <c r="BY72" s="53" t="n">
        <v>31</v>
      </c>
      <c r="BZ72" s="53" t="n">
        <v>31</v>
      </c>
      <c r="CA72" s="53" t="n">
        <v>31</v>
      </c>
      <c r="CB72" s="53" t="n">
        <v>31</v>
      </c>
      <c r="CC72" s="53" t="n">
        <v>31</v>
      </c>
      <c r="CD72" s="53" t="n">
        <v>30</v>
      </c>
      <c r="CE72" s="53" t="n">
        <v>30</v>
      </c>
      <c r="CF72" s="53" t="n">
        <v>30</v>
      </c>
      <c r="CG72" s="53" t="n">
        <v>30</v>
      </c>
      <c r="CH72" s="53" t="n">
        <v>30</v>
      </c>
      <c r="CI72" s="53" t="n">
        <v>30</v>
      </c>
      <c r="CJ72" s="53" t="n">
        <v>30</v>
      </c>
      <c r="CK72" s="53" t="n">
        <v>30</v>
      </c>
      <c r="CL72" s="53" t="n">
        <v>30</v>
      </c>
      <c r="CM72" s="53" t="n">
        <v>30</v>
      </c>
      <c r="CN72" s="53" t="n">
        <v>30</v>
      </c>
      <c r="CO72" s="53" t="n">
        <v>30</v>
      </c>
      <c r="CP72" s="53" t="n">
        <v>31</v>
      </c>
      <c r="CQ72" s="53" t="n">
        <v>31</v>
      </c>
      <c r="CR72" s="53" t="n">
        <v>31</v>
      </c>
      <c r="CS72" s="53" t="n">
        <v>31</v>
      </c>
      <c r="CT72" s="53" t="n">
        <v>31</v>
      </c>
      <c r="CU72" s="53" t="n">
        <v>31</v>
      </c>
      <c r="CV72" s="53" t="n">
        <v>31</v>
      </c>
      <c r="CW72" s="53" t="n">
        <v>31</v>
      </c>
      <c r="CX72" s="53" t="n">
        <v>31</v>
      </c>
      <c r="CY72" s="53" t="n">
        <v>31</v>
      </c>
      <c r="CZ72" s="53" t="n">
        <v>31</v>
      </c>
      <c r="DA72" s="53" t="n">
        <v>31</v>
      </c>
      <c r="DB72" s="53" t="n">
        <v>31</v>
      </c>
      <c r="DC72" s="53" t="n">
        <v>31</v>
      </c>
      <c r="DD72" s="53" t="n">
        <v>31</v>
      </c>
      <c r="DE72" s="53" t="n">
        <v>31</v>
      </c>
      <c r="DF72" s="53" t="n">
        <v>31</v>
      </c>
      <c r="DG72" s="53" t="n">
        <v>31</v>
      </c>
      <c r="DH72" s="53" t="n">
        <v>31</v>
      </c>
      <c r="DI72" s="53" t="n">
        <v>31</v>
      </c>
      <c r="DJ72" s="53" t="n">
        <v>31</v>
      </c>
      <c r="DK72" s="53" t="n">
        <v>27</v>
      </c>
      <c r="DL72" s="53" t="n">
        <v>27</v>
      </c>
      <c r="DM72" s="53" t="n">
        <v>27</v>
      </c>
      <c r="DN72" s="53" t="n">
        <v>27</v>
      </c>
      <c r="DO72" s="53" t="n">
        <v>27</v>
      </c>
      <c r="DP72" s="53" t="n">
        <v>27</v>
      </c>
      <c r="DQ72" s="53" t="n">
        <v>27</v>
      </c>
      <c r="DR72" s="53"/>
      <c r="DS72" s="53"/>
      <c r="DT72" s="53"/>
      <c r="DU72" s="53"/>
      <c r="DV72" s="53"/>
      <c r="DW72" s="53"/>
      <c r="DX72" s="53"/>
      <c r="DY72" s="53"/>
      <c r="DZ72" s="53"/>
      <c r="EA72" s="53"/>
      <c r="EB72" s="53"/>
      <c r="EC72" s="53"/>
      <c r="ED72" s="53"/>
      <c r="EE72" s="53"/>
      <c r="EF72" s="53"/>
      <c r="EG72" s="53"/>
      <c r="EH72" s="53"/>
      <c r="EI72" s="53"/>
      <c r="EJ72" s="53"/>
      <c r="EK72" s="53"/>
      <c r="EL72" s="53"/>
      <c r="EM72" s="53"/>
      <c r="EN72" s="53"/>
      <c r="EO72" s="53"/>
      <c r="EP72" s="53"/>
      <c r="EQ72" s="53"/>
      <c r="ER72" s="53"/>
      <c r="ES72" s="53"/>
      <c r="ET72" s="53"/>
      <c r="EU72" s="53"/>
      <c r="EV72" s="53"/>
      <c r="EW72" s="53"/>
      <c r="EX72" s="53"/>
      <c r="EY72" s="53"/>
      <c r="EZ72" s="53"/>
      <c r="FA72" s="53"/>
      <c r="FB72" s="53"/>
      <c r="FC72" s="53"/>
      <c r="FD72" s="53"/>
      <c r="FE72" s="53"/>
    </row>
    <row r="73" customFormat="false" ht="13.5" hidden="false" customHeight="true" outlineLevel="0" collapsed="false">
      <c r="A73" s="84"/>
    </row>
    <row r="74" customFormat="false" ht="13.5" hidden="false" customHeight="true" outlineLevel="0" collapsed="false">
      <c r="A74" s="85" t="s">
        <v>6104</v>
      </c>
      <c r="B74" s="65"/>
      <c r="C74" s="65"/>
      <c r="D74" s="65"/>
      <c r="E74" s="65"/>
      <c r="F74" s="65"/>
      <c r="G74" s="65"/>
      <c r="H74" s="30"/>
      <c r="I74" s="65"/>
      <c r="J74" s="65"/>
      <c r="K74" s="30"/>
      <c r="L74" s="65"/>
      <c r="M74" s="65"/>
      <c r="N74" s="65"/>
      <c r="O74" s="30"/>
      <c r="P74" s="65"/>
      <c r="Q74" s="65"/>
      <c r="R74" s="65"/>
      <c r="S74" s="65"/>
      <c r="T74" s="65"/>
      <c r="U74" s="30"/>
      <c r="V74" s="30"/>
      <c r="W74" s="65"/>
      <c r="X74" s="65"/>
      <c r="Y74" s="65"/>
      <c r="Z74" s="65"/>
      <c r="AA74" s="65"/>
      <c r="AB74" s="30"/>
      <c r="AC74" s="30"/>
      <c r="AD74" s="30"/>
      <c r="AE74" s="65"/>
      <c r="AF74" s="30"/>
      <c r="AG74" s="30"/>
      <c r="AH74" s="30"/>
      <c r="AI74" s="65"/>
      <c r="AJ74" s="30"/>
      <c r="AK74" s="65"/>
      <c r="AL74" s="65"/>
      <c r="AM74" s="65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 t="s">
        <v>6105</v>
      </c>
      <c r="AZ74" s="30" t="s">
        <v>6105</v>
      </c>
      <c r="BA74" s="30" t="s">
        <v>6105</v>
      </c>
      <c r="BB74" s="30"/>
      <c r="BC74" s="65"/>
      <c r="BD74" s="30"/>
      <c r="BE74" s="30"/>
      <c r="BF74" s="30" t="s">
        <v>6106</v>
      </c>
      <c r="BG74" s="30" t="s">
        <v>6106</v>
      </c>
      <c r="BH74" s="30" t="s">
        <v>6106</v>
      </c>
      <c r="BI74" s="30" t="s">
        <v>5920</v>
      </c>
      <c r="BJ74" s="65"/>
      <c r="BK74" s="30"/>
      <c r="BL74" s="30"/>
      <c r="BM74" s="30"/>
      <c r="BN74" s="65"/>
      <c r="BO74" s="65"/>
      <c r="BP74" s="30"/>
      <c r="BQ74" s="65"/>
      <c r="BR74" s="30"/>
      <c r="BS74" s="30"/>
      <c r="BT74" s="30"/>
      <c r="BU74" s="30" t="s">
        <v>5972</v>
      </c>
      <c r="BV74" s="30"/>
      <c r="BW74" s="30"/>
      <c r="BX74" s="30"/>
      <c r="BY74" s="30" t="s">
        <v>6107</v>
      </c>
      <c r="BZ74" s="30"/>
      <c r="CA74" s="30" t="s">
        <v>6107</v>
      </c>
      <c r="CB74" s="30" t="s">
        <v>6107</v>
      </c>
      <c r="CC74" s="30" t="s">
        <v>6108</v>
      </c>
      <c r="CD74" s="30"/>
      <c r="CE74" s="30" t="s">
        <v>6108</v>
      </c>
      <c r="CF74" s="30"/>
      <c r="CG74" s="30"/>
      <c r="CH74" s="32" t="s">
        <v>5972</v>
      </c>
      <c r="CI74" s="30"/>
      <c r="CJ74" s="30"/>
      <c r="CK74" s="30"/>
      <c r="CL74" s="30"/>
      <c r="CM74" s="30" t="s">
        <v>5922</v>
      </c>
      <c r="CN74" s="30"/>
      <c r="CO74" s="30" t="s">
        <v>5922</v>
      </c>
      <c r="CP74" s="30" t="s">
        <v>5922</v>
      </c>
      <c r="CQ74" s="30" t="s">
        <v>5922</v>
      </c>
      <c r="CR74" s="30" t="s">
        <v>5921</v>
      </c>
      <c r="CS74" s="30" t="s">
        <v>5921</v>
      </c>
      <c r="CT74" s="30"/>
      <c r="CU74" s="30"/>
      <c r="CV74" s="30" t="s">
        <v>5921</v>
      </c>
      <c r="CW74" s="30" t="s">
        <v>6058</v>
      </c>
      <c r="CX74" s="30" t="s">
        <v>6058</v>
      </c>
      <c r="CY74" s="30"/>
      <c r="CZ74" s="30" t="s">
        <v>6058</v>
      </c>
      <c r="DA74" s="30" t="s">
        <v>5974</v>
      </c>
      <c r="DB74" s="30"/>
      <c r="DC74" s="30"/>
      <c r="DD74" s="30" t="s">
        <v>5974</v>
      </c>
      <c r="DE74" s="30" t="s">
        <v>5974</v>
      </c>
      <c r="DF74" s="31" t="s">
        <v>6109</v>
      </c>
      <c r="DG74" s="30"/>
      <c r="DH74" s="30"/>
      <c r="DI74" s="30"/>
      <c r="DJ74" s="30"/>
      <c r="DK74" s="30"/>
      <c r="DL74" s="30"/>
      <c r="DM74" s="31" t="s">
        <v>6110</v>
      </c>
      <c r="DN74" s="30"/>
      <c r="DO74" s="30"/>
      <c r="DP74" s="30"/>
      <c r="DQ74" s="31" t="s">
        <v>6111</v>
      </c>
      <c r="DR74" s="30"/>
      <c r="DS74" s="31" t="s">
        <v>6112</v>
      </c>
      <c r="DT74" s="30"/>
      <c r="DU74" s="30"/>
      <c r="DV74" s="30"/>
      <c r="DW74" s="30"/>
      <c r="DX74" s="30"/>
      <c r="DY74" s="30"/>
      <c r="DZ74" s="30"/>
      <c r="EA74" s="30"/>
      <c r="EB74" s="30"/>
      <c r="EC74" s="30"/>
      <c r="ED74" s="30"/>
      <c r="EE74" s="30"/>
      <c r="EF74" s="30"/>
      <c r="EG74" s="30"/>
      <c r="EH74" s="30"/>
      <c r="EI74" s="30"/>
      <c r="EJ74" s="30"/>
      <c r="EK74" s="30"/>
      <c r="EL74" s="30"/>
      <c r="EM74" s="30"/>
      <c r="EN74" s="30"/>
      <c r="EO74" s="30"/>
      <c r="EP74" s="30"/>
      <c r="EQ74" s="30"/>
      <c r="ER74" s="30"/>
      <c r="ES74" s="30"/>
      <c r="ET74" s="30"/>
      <c r="EU74" s="30"/>
      <c r="EV74" s="30"/>
      <c r="EW74" s="30"/>
      <c r="EX74" s="30"/>
      <c r="EY74" s="30"/>
      <c r="EZ74" s="30"/>
      <c r="FA74" s="30"/>
      <c r="FB74" s="30"/>
      <c r="FC74" s="30"/>
      <c r="FD74" s="30"/>
      <c r="FE74" s="30"/>
      <c r="IQ74" s="30"/>
      <c r="IW74" s="30"/>
    </row>
    <row r="75" customFormat="false" ht="13.5" hidden="false" customHeight="true" outlineLevel="0" collapsed="false">
      <c r="A75" s="86"/>
      <c r="B75" s="87"/>
      <c r="C75" s="86"/>
      <c r="D75" s="86"/>
      <c r="E75" s="86"/>
      <c r="F75" s="86"/>
      <c r="I75" s="87"/>
      <c r="J75" s="87"/>
      <c r="L75" s="86"/>
      <c r="M75" s="86"/>
      <c r="P75" s="87"/>
      <c r="Q75" s="87"/>
      <c r="S75" s="88"/>
      <c r="T75" s="87"/>
      <c r="W75" s="87"/>
      <c r="X75" s="87"/>
      <c r="Y75" s="87"/>
      <c r="AA75" s="87"/>
      <c r="AB75" s="88"/>
      <c r="AC75" s="88"/>
      <c r="AD75" s="88"/>
      <c r="AE75" s="88"/>
      <c r="AF75" s="88"/>
      <c r="AG75" s="88"/>
      <c r="AH75" s="88"/>
      <c r="AJ75" s="88"/>
      <c r="AK75" s="86"/>
      <c r="AL75" s="86"/>
      <c r="AM75" s="86"/>
      <c r="AN75" s="88"/>
      <c r="AO75" s="88"/>
      <c r="AQ75" s="88"/>
      <c r="AR75" s="88"/>
      <c r="AS75" s="88"/>
      <c r="AU75" s="88"/>
      <c r="AW75" s="88"/>
      <c r="AX75" s="88"/>
      <c r="AY75" s="34" t="s">
        <v>458</v>
      </c>
      <c r="AZ75" s="34" t="s">
        <v>460</v>
      </c>
      <c r="BA75" s="34" t="s">
        <v>461</v>
      </c>
      <c r="BB75" s="88"/>
      <c r="BC75" s="86"/>
      <c r="BD75" s="88"/>
      <c r="BE75" s="88"/>
      <c r="BF75" s="34" t="s">
        <v>457</v>
      </c>
      <c r="BG75" s="34" t="s">
        <v>459</v>
      </c>
      <c r="BH75" s="34" t="s">
        <v>462</v>
      </c>
      <c r="BI75" s="34" t="s">
        <v>4893</v>
      </c>
      <c r="BJ75" s="86"/>
      <c r="BK75" s="88"/>
      <c r="BL75" s="88"/>
      <c r="BM75" s="88"/>
      <c r="BN75" s="86"/>
      <c r="BO75" s="86"/>
      <c r="BP75" s="88"/>
      <c r="BQ75" s="86"/>
      <c r="BT75" s="34"/>
      <c r="BU75" s="34" t="s">
        <v>4893</v>
      </c>
      <c r="BY75" s="34" t="s">
        <v>458</v>
      </c>
      <c r="CA75" s="34" t="s">
        <v>460</v>
      </c>
      <c r="CB75" s="34" t="s">
        <v>461</v>
      </c>
      <c r="CC75" s="34" t="s">
        <v>458</v>
      </c>
      <c r="CD75" s="34"/>
      <c r="CE75" s="34" t="s">
        <v>460</v>
      </c>
      <c r="CH75" s="34" t="s">
        <v>4893</v>
      </c>
      <c r="CJ75" s="34"/>
      <c r="CK75" s="34"/>
      <c r="CL75" s="34"/>
      <c r="CM75" s="34" t="s">
        <v>458</v>
      </c>
      <c r="CO75" s="34" t="s">
        <v>458</v>
      </c>
      <c r="CP75" s="34" t="s">
        <v>460</v>
      </c>
      <c r="CQ75" s="34" t="s">
        <v>461</v>
      </c>
      <c r="CR75" s="34" t="s">
        <v>457</v>
      </c>
      <c r="CS75" s="34" t="s">
        <v>459</v>
      </c>
      <c r="CU75" s="34"/>
      <c r="CV75" s="34" t="s">
        <v>462</v>
      </c>
      <c r="CW75" s="34" t="s">
        <v>457</v>
      </c>
      <c r="CX75" s="34" t="s">
        <v>459</v>
      </c>
      <c r="CY75" s="34"/>
      <c r="CZ75" s="34" t="s">
        <v>462</v>
      </c>
      <c r="DA75" s="34" t="s">
        <v>457</v>
      </c>
      <c r="DC75" s="34"/>
      <c r="DD75" s="34" t="s">
        <v>459</v>
      </c>
      <c r="DE75" s="34" t="s">
        <v>462</v>
      </c>
      <c r="DF75" s="34" t="s">
        <v>513</v>
      </c>
      <c r="DM75" s="34" t="s">
        <v>513</v>
      </c>
      <c r="DQ75" s="34" t="s">
        <v>513</v>
      </c>
      <c r="DS75" s="34" t="s">
        <v>513</v>
      </c>
    </row>
    <row r="76" customFormat="false" ht="13.5" hidden="false" customHeight="true" outlineLevel="0" collapsed="false">
      <c r="A76" s="86"/>
      <c r="B76" s="87"/>
      <c r="C76" s="86"/>
      <c r="D76" s="86"/>
      <c r="E76" s="86"/>
      <c r="F76" s="86"/>
      <c r="I76" s="87"/>
      <c r="J76" s="87"/>
      <c r="L76" s="86"/>
      <c r="M76" s="86"/>
      <c r="P76" s="87"/>
      <c r="Q76" s="87"/>
      <c r="S76" s="88"/>
      <c r="T76" s="87"/>
      <c r="W76" s="87"/>
      <c r="X76" s="87"/>
      <c r="Y76" s="87"/>
      <c r="AA76" s="87"/>
      <c r="AB76" s="88"/>
      <c r="AC76" s="88"/>
      <c r="AD76" s="88"/>
      <c r="AE76" s="88"/>
      <c r="AF76" s="88"/>
      <c r="AG76" s="88"/>
      <c r="AH76" s="88"/>
      <c r="AJ76" s="88"/>
      <c r="AK76" s="86"/>
      <c r="AL76" s="86"/>
      <c r="AM76" s="86"/>
      <c r="AN76" s="88"/>
      <c r="AO76" s="88"/>
      <c r="AQ76" s="88"/>
      <c r="AR76" s="88"/>
      <c r="AS76" s="88"/>
      <c r="AU76" s="88"/>
      <c r="AW76" s="88"/>
      <c r="AX76" s="88"/>
      <c r="AY76" s="34" t="s">
        <v>6113</v>
      </c>
      <c r="AZ76" s="34" t="s">
        <v>6114</v>
      </c>
      <c r="BA76" s="34" t="s">
        <v>6115</v>
      </c>
      <c r="BB76" s="88"/>
      <c r="BC76" s="86"/>
      <c r="BD76" s="88"/>
      <c r="BE76" s="88"/>
      <c r="BF76" s="34" t="s">
        <v>6116</v>
      </c>
      <c r="BG76" s="34" t="s">
        <v>6117</v>
      </c>
      <c r="BH76" s="34" t="s">
        <v>6118</v>
      </c>
      <c r="BI76" s="34" t="s">
        <v>6011</v>
      </c>
      <c r="BJ76" s="86"/>
      <c r="BK76" s="88"/>
      <c r="BL76" s="88"/>
      <c r="BM76" s="88"/>
      <c r="BN76" s="86"/>
      <c r="BO76" s="86"/>
      <c r="BP76" s="88"/>
      <c r="BQ76" s="86"/>
      <c r="BT76" s="34"/>
      <c r="BU76" s="34" t="s">
        <v>6011</v>
      </c>
      <c r="BY76" s="34" t="s">
        <v>6113</v>
      </c>
      <c r="CA76" s="34" t="s">
        <v>6114</v>
      </c>
      <c r="CB76" s="34" t="s">
        <v>6115</v>
      </c>
      <c r="CC76" s="34" t="s">
        <v>6113</v>
      </c>
      <c r="CD76" s="34"/>
      <c r="CE76" s="34" t="s">
        <v>6114</v>
      </c>
      <c r="CH76" s="34" t="s">
        <v>6011</v>
      </c>
      <c r="CJ76" s="34"/>
      <c r="CK76" s="34"/>
      <c r="CL76" s="34"/>
      <c r="CM76" s="34" t="s">
        <v>6113</v>
      </c>
      <c r="CO76" s="34" t="s">
        <v>6113</v>
      </c>
      <c r="CP76" s="34" t="s">
        <v>6114</v>
      </c>
      <c r="CQ76" s="34" t="s">
        <v>6115</v>
      </c>
      <c r="CR76" s="34" t="s">
        <v>6116</v>
      </c>
      <c r="CS76" s="34" t="s">
        <v>6117</v>
      </c>
      <c r="CU76" s="34"/>
      <c r="CV76" s="34" t="s">
        <v>6118</v>
      </c>
      <c r="CW76" s="34" t="s">
        <v>6116</v>
      </c>
      <c r="CX76" s="34" t="s">
        <v>6117</v>
      </c>
      <c r="CY76" s="34"/>
      <c r="CZ76" s="34" t="s">
        <v>6118</v>
      </c>
      <c r="DA76" s="34" t="s">
        <v>6116</v>
      </c>
      <c r="DC76" s="34"/>
      <c r="DD76" s="34" t="s">
        <v>6117</v>
      </c>
      <c r="DE76" s="34" t="s">
        <v>6118</v>
      </c>
      <c r="DF76" s="34" t="s">
        <v>6119</v>
      </c>
      <c r="DM76" s="34" t="s">
        <v>6120</v>
      </c>
      <c r="DQ76" s="34" t="s">
        <v>6121</v>
      </c>
      <c r="DS76" s="34" t="s">
        <v>6122</v>
      </c>
    </row>
    <row r="77" customFormat="false" ht="13.5" hidden="false" customHeight="true" outlineLevel="0" collapsed="false">
      <c r="A77" s="89"/>
      <c r="B77" s="90"/>
      <c r="C77" s="89"/>
      <c r="D77" s="89"/>
      <c r="E77" s="89"/>
      <c r="F77" s="89"/>
      <c r="I77" s="91"/>
      <c r="J77" s="91"/>
      <c r="L77" s="89"/>
      <c r="M77" s="89"/>
      <c r="P77" s="91"/>
      <c r="Q77" s="91"/>
      <c r="S77" s="88"/>
      <c r="T77" s="91"/>
      <c r="W77" s="91"/>
      <c r="X77" s="87"/>
      <c r="Y77" s="87"/>
      <c r="AA77" s="87"/>
      <c r="AB77" s="88"/>
      <c r="AC77" s="88"/>
      <c r="AD77" s="88"/>
      <c r="AE77" s="88"/>
      <c r="AF77" s="88"/>
      <c r="AG77" s="88"/>
      <c r="AH77" s="88"/>
      <c r="AJ77" s="88"/>
      <c r="AK77" s="86"/>
      <c r="AL77" s="86"/>
      <c r="AM77" s="86"/>
      <c r="AN77" s="88"/>
      <c r="AO77" s="88"/>
      <c r="AQ77" s="88"/>
      <c r="AR77" s="88"/>
      <c r="AS77" s="88"/>
      <c r="AU77" s="86"/>
      <c r="AW77" s="88"/>
      <c r="AX77" s="88"/>
      <c r="AY77" s="40" t="s">
        <v>6041</v>
      </c>
      <c r="AZ77" s="40" t="s">
        <v>6041</v>
      </c>
      <c r="BA77" s="40" t="s">
        <v>6041</v>
      </c>
      <c r="BB77" s="88"/>
      <c r="BC77" s="86"/>
      <c r="BD77" s="88"/>
      <c r="BE77" s="88"/>
      <c r="BF77" s="40" t="s">
        <v>6041</v>
      </c>
      <c r="BG77" s="40" t="s">
        <v>6041</v>
      </c>
      <c r="BH77" s="40" t="s">
        <v>6041</v>
      </c>
      <c r="BI77" s="40" t="s">
        <v>6123</v>
      </c>
      <c r="BJ77" s="86"/>
      <c r="BK77" s="88"/>
      <c r="BL77" s="88"/>
      <c r="BM77" s="88"/>
      <c r="BN77" s="86"/>
      <c r="BO77" s="86"/>
      <c r="BP77" s="88"/>
      <c r="BQ77" s="86"/>
      <c r="BR77" s="92"/>
      <c r="BS77" s="92"/>
      <c r="BT77" s="39"/>
      <c r="BU77" s="40" t="s">
        <v>6123</v>
      </c>
      <c r="BV77" s="92"/>
      <c r="BW77" s="92"/>
      <c r="BY77" s="40" t="s">
        <v>6124</v>
      </c>
      <c r="BZ77" s="92"/>
      <c r="CA77" s="40" t="s">
        <v>6124</v>
      </c>
      <c r="CB77" s="40" t="s">
        <v>6124</v>
      </c>
      <c r="CC77" s="40" t="s">
        <v>6125</v>
      </c>
      <c r="CD77" s="40"/>
      <c r="CE77" s="40" t="s">
        <v>6125</v>
      </c>
      <c r="CF77" s="92"/>
      <c r="CG77" s="92"/>
      <c r="CH77" s="40" t="s">
        <v>5988</v>
      </c>
      <c r="CI77" s="92"/>
      <c r="CJ77" s="40"/>
      <c r="CK77" s="40"/>
      <c r="CL77" s="40"/>
      <c r="CM77" s="40" t="s">
        <v>5940</v>
      </c>
      <c r="CN77" s="92"/>
      <c r="CO77" s="40" t="s">
        <v>5940</v>
      </c>
      <c r="CP77" s="40" t="s">
        <v>5940</v>
      </c>
      <c r="CQ77" s="40" t="s">
        <v>5940</v>
      </c>
      <c r="CR77" s="40" t="s">
        <v>6124</v>
      </c>
      <c r="CS77" s="40" t="s">
        <v>6124</v>
      </c>
      <c r="CT77" s="92"/>
      <c r="CU77" s="40"/>
      <c r="CV77" s="40" t="s">
        <v>6124</v>
      </c>
      <c r="CW77" s="40" t="s">
        <v>6125</v>
      </c>
      <c r="CX77" s="40" t="s">
        <v>6125</v>
      </c>
      <c r="CY77" s="40"/>
      <c r="CZ77" s="40" t="s">
        <v>6125</v>
      </c>
      <c r="DA77" s="40" t="s">
        <v>5940</v>
      </c>
      <c r="DC77" s="40"/>
      <c r="DD77" s="40" t="s">
        <v>5940</v>
      </c>
      <c r="DE77" s="40" t="s">
        <v>5940</v>
      </c>
      <c r="DF77" s="40" t="s">
        <v>6126</v>
      </c>
      <c r="DG77" s="83" t="s">
        <v>6098</v>
      </c>
      <c r="DM77" s="34" t="s">
        <v>6040</v>
      </c>
      <c r="DN77" s="83" t="s">
        <v>6098</v>
      </c>
      <c r="DQ77" s="34" t="s">
        <v>6040</v>
      </c>
      <c r="DR77" s="83" t="s">
        <v>6098</v>
      </c>
      <c r="DS77" s="34" t="s">
        <v>6040</v>
      </c>
      <c r="DT77" s="83" t="s">
        <v>6098</v>
      </c>
    </row>
    <row r="78" customFormat="false" ht="13.5" hidden="false" customHeight="true" outlineLevel="0" collapsed="false">
      <c r="A78" s="41" t="s">
        <v>5946</v>
      </c>
      <c r="B78" s="42" t="n">
        <v>23</v>
      </c>
      <c r="C78" s="42" t="n">
        <v>24</v>
      </c>
      <c r="D78" s="42" t="n">
        <v>25</v>
      </c>
      <c r="E78" s="42" t="n">
        <v>26</v>
      </c>
      <c r="F78" s="42" t="n">
        <v>27</v>
      </c>
      <c r="G78" s="43" t="n">
        <v>28</v>
      </c>
      <c r="H78" s="43" t="s">
        <v>5947</v>
      </c>
      <c r="I78" s="42" t="n">
        <v>2</v>
      </c>
      <c r="J78" s="42" t="n">
        <v>3</v>
      </c>
      <c r="K78" s="42" t="n">
        <v>4</v>
      </c>
      <c r="L78" s="42" t="n">
        <v>5</v>
      </c>
      <c r="M78" s="42" t="n">
        <v>6</v>
      </c>
      <c r="N78" s="43" t="n">
        <v>7</v>
      </c>
      <c r="O78" s="43" t="n">
        <v>8</v>
      </c>
      <c r="P78" s="42" t="n">
        <v>9</v>
      </c>
      <c r="Q78" s="42" t="n">
        <v>10</v>
      </c>
      <c r="R78" s="42" t="n">
        <v>11</v>
      </c>
      <c r="S78" s="42" t="n">
        <v>12</v>
      </c>
      <c r="T78" s="42" t="n">
        <v>13</v>
      </c>
      <c r="U78" s="43" t="n">
        <v>14</v>
      </c>
      <c r="V78" s="43" t="n">
        <v>15</v>
      </c>
      <c r="W78" s="42" t="n">
        <v>16</v>
      </c>
      <c r="X78" s="42" t="n">
        <v>17</v>
      </c>
      <c r="Y78" s="42" t="n">
        <v>18</v>
      </c>
      <c r="Z78" s="42" t="n">
        <v>19</v>
      </c>
      <c r="AA78" s="42" t="n">
        <v>20</v>
      </c>
      <c r="AB78" s="43" t="n">
        <v>21</v>
      </c>
      <c r="AC78" s="43" t="n">
        <v>22</v>
      </c>
      <c r="AD78" s="42" t="n">
        <v>23</v>
      </c>
      <c r="AE78" s="42" t="n">
        <v>24</v>
      </c>
      <c r="AF78" s="42" t="n">
        <v>25</v>
      </c>
      <c r="AG78" s="42" t="n">
        <v>26</v>
      </c>
      <c r="AH78" s="42" t="n">
        <v>27</v>
      </c>
      <c r="AI78" s="43" t="n">
        <v>28</v>
      </c>
      <c r="AJ78" s="43" t="n">
        <v>29</v>
      </c>
      <c r="AK78" s="42" t="n">
        <v>30</v>
      </c>
      <c r="AL78" s="42" t="n">
        <v>31</v>
      </c>
      <c r="AM78" s="42" t="s">
        <v>5948</v>
      </c>
      <c r="AN78" s="42" t="n">
        <v>2</v>
      </c>
      <c r="AO78" s="42" t="n">
        <v>3</v>
      </c>
      <c r="AP78" s="43" t="n">
        <v>4</v>
      </c>
      <c r="AQ78" s="43" t="n">
        <v>5</v>
      </c>
      <c r="AR78" s="42" t="n">
        <v>6</v>
      </c>
      <c r="AS78" s="42" t="n">
        <v>7</v>
      </c>
      <c r="AT78" s="42" t="n">
        <v>8</v>
      </c>
      <c r="AU78" s="42" t="n">
        <v>9</v>
      </c>
      <c r="AV78" s="42" t="n">
        <v>10</v>
      </c>
      <c r="AW78" s="43" t="n">
        <v>11</v>
      </c>
      <c r="AX78" s="43" t="n">
        <v>12</v>
      </c>
      <c r="AY78" s="42" t="n">
        <v>13</v>
      </c>
      <c r="AZ78" s="42" t="n">
        <v>14</v>
      </c>
      <c r="BA78" s="42" t="n">
        <v>15</v>
      </c>
      <c r="BB78" s="42" t="n">
        <v>16</v>
      </c>
      <c r="BC78" s="42" t="n">
        <v>17</v>
      </c>
      <c r="BD78" s="43" t="n">
        <v>18</v>
      </c>
      <c r="BE78" s="43" t="n">
        <v>19</v>
      </c>
      <c r="BF78" s="42" t="n">
        <v>20</v>
      </c>
      <c r="BG78" s="42" t="n">
        <v>21</v>
      </c>
      <c r="BH78" s="42" t="n">
        <v>22</v>
      </c>
      <c r="BI78" s="42" t="n">
        <v>23</v>
      </c>
      <c r="BJ78" s="42" t="n">
        <v>24</v>
      </c>
      <c r="BK78" s="43" t="n">
        <v>25</v>
      </c>
      <c r="BL78" s="43" t="n">
        <v>26</v>
      </c>
      <c r="BM78" s="43" t="n">
        <v>27</v>
      </c>
      <c r="BN78" s="42" t="n">
        <v>28</v>
      </c>
      <c r="BO78" s="42" t="n">
        <v>29</v>
      </c>
      <c r="BP78" s="43" t="n">
        <v>30</v>
      </c>
      <c r="BQ78" s="43" t="s">
        <v>5949</v>
      </c>
      <c r="BR78" s="43" t="n">
        <v>2</v>
      </c>
      <c r="BS78" s="43" t="n">
        <v>3</v>
      </c>
      <c r="BT78" s="42" t="n">
        <v>4</v>
      </c>
      <c r="BU78" s="42" t="n">
        <v>5</v>
      </c>
      <c r="BV78" s="42" t="n">
        <v>6</v>
      </c>
      <c r="BW78" s="42" t="n">
        <v>7</v>
      </c>
      <c r="BX78" s="42" t="n">
        <v>8</v>
      </c>
      <c r="BY78" s="43" t="n">
        <v>9</v>
      </c>
      <c r="BZ78" s="43" t="n">
        <v>10</v>
      </c>
      <c r="CA78" s="42" t="n">
        <v>11</v>
      </c>
      <c r="CB78" s="42" t="n">
        <v>12</v>
      </c>
      <c r="CC78" s="42" t="n">
        <v>13</v>
      </c>
      <c r="CD78" s="42" t="n">
        <v>14</v>
      </c>
      <c r="CE78" s="42" t="n">
        <v>15</v>
      </c>
      <c r="CF78" s="43" t="n">
        <v>16</v>
      </c>
      <c r="CG78" s="43" t="n">
        <v>17</v>
      </c>
      <c r="CH78" s="42" t="n">
        <v>18</v>
      </c>
      <c r="CI78" s="42" t="n">
        <v>19</v>
      </c>
      <c r="CJ78" s="42" t="n">
        <v>20</v>
      </c>
      <c r="CK78" s="42" t="n">
        <v>21</v>
      </c>
      <c r="CL78" s="42" t="n">
        <v>22</v>
      </c>
      <c r="CM78" s="43" t="n">
        <v>23</v>
      </c>
      <c r="CN78" s="43" t="n">
        <v>24</v>
      </c>
      <c r="CO78" s="42" t="n">
        <v>25</v>
      </c>
      <c r="CP78" s="42" t="n">
        <v>26</v>
      </c>
      <c r="CQ78" s="42" t="n">
        <v>27</v>
      </c>
      <c r="CR78" s="42" t="n">
        <v>28</v>
      </c>
      <c r="CS78" s="42" t="n">
        <v>29</v>
      </c>
      <c r="CT78" s="43" t="n">
        <v>30</v>
      </c>
      <c r="CU78" s="43" t="n">
        <v>31</v>
      </c>
      <c r="CV78" s="42" t="s">
        <v>5950</v>
      </c>
      <c r="CW78" s="42" t="n">
        <v>2</v>
      </c>
      <c r="CX78" s="42" t="n">
        <v>3</v>
      </c>
      <c r="CY78" s="42" t="n">
        <v>4</v>
      </c>
      <c r="CZ78" s="42" t="n">
        <v>5</v>
      </c>
      <c r="DA78" s="43" t="n">
        <v>6</v>
      </c>
      <c r="DB78" s="43" t="n">
        <v>7</v>
      </c>
      <c r="DC78" s="42" t="n">
        <v>8</v>
      </c>
      <c r="DD78" s="42" t="n">
        <v>9</v>
      </c>
      <c r="DE78" s="42" t="n">
        <v>10</v>
      </c>
      <c r="DF78" s="42" t="n">
        <v>11</v>
      </c>
      <c r="DG78" s="42" t="n">
        <v>12</v>
      </c>
      <c r="DH78" s="43" t="n">
        <v>13</v>
      </c>
      <c r="DI78" s="43" t="n">
        <v>14</v>
      </c>
      <c r="DJ78" s="42" t="n">
        <v>15</v>
      </c>
      <c r="DK78" s="42" t="n">
        <v>16</v>
      </c>
      <c r="DL78" s="42" t="n">
        <v>17</v>
      </c>
      <c r="DM78" s="42" t="n">
        <v>18</v>
      </c>
      <c r="DN78" s="42" t="n">
        <v>19</v>
      </c>
      <c r="DO78" s="43" t="n">
        <v>20</v>
      </c>
      <c r="DP78" s="43" t="n">
        <v>21</v>
      </c>
      <c r="DQ78" s="42" t="n">
        <v>22</v>
      </c>
      <c r="DR78" s="42" t="n">
        <v>23</v>
      </c>
      <c r="DS78" s="42" t="n">
        <v>24</v>
      </c>
      <c r="DT78" s="42" t="n">
        <v>25</v>
      </c>
      <c r="DU78" s="42" t="n">
        <v>26</v>
      </c>
      <c r="DV78" s="43" t="n">
        <v>27</v>
      </c>
      <c r="DW78" s="43" t="n">
        <v>28</v>
      </c>
      <c r="DX78" s="42" t="n">
        <v>29</v>
      </c>
      <c r="DY78" s="42" t="n">
        <v>30</v>
      </c>
      <c r="DZ78" s="42" t="s">
        <v>5951</v>
      </c>
      <c r="EA78" s="42" t="n">
        <v>2</v>
      </c>
      <c r="EB78" s="42" t="n">
        <v>3</v>
      </c>
      <c r="EC78" s="43" t="n">
        <v>4</v>
      </c>
      <c r="ED78" s="43" t="n">
        <v>5</v>
      </c>
      <c r="EE78" s="42" t="n">
        <v>6</v>
      </c>
      <c r="EF78" s="42" t="n">
        <v>7</v>
      </c>
      <c r="EG78" s="42" t="n">
        <v>8</v>
      </c>
      <c r="EH78" s="42" t="n">
        <v>9</v>
      </c>
      <c r="EI78" s="42" t="n">
        <v>10</v>
      </c>
      <c r="EJ78" s="43" t="n">
        <v>11</v>
      </c>
      <c r="EK78" s="43" t="n">
        <v>12</v>
      </c>
      <c r="EL78" s="42" t="n">
        <v>13</v>
      </c>
      <c r="EM78" s="42" t="n">
        <v>14</v>
      </c>
      <c r="EN78" s="42" t="n">
        <v>15</v>
      </c>
      <c r="EO78" s="42" t="n">
        <v>16</v>
      </c>
      <c r="EP78" s="42" t="n">
        <v>17</v>
      </c>
      <c r="EQ78" s="43" t="n">
        <v>18</v>
      </c>
      <c r="ER78" s="43" t="n">
        <v>19</v>
      </c>
      <c r="ES78" s="42" t="n">
        <v>20</v>
      </c>
      <c r="ET78" s="42" t="n">
        <v>21</v>
      </c>
      <c r="EU78" s="42" t="n">
        <v>22</v>
      </c>
      <c r="EV78" s="42" t="n">
        <v>23</v>
      </c>
      <c r="EW78" s="42" t="n">
        <v>24</v>
      </c>
      <c r="EX78" s="43" t="n">
        <v>25</v>
      </c>
      <c r="EY78" s="43" t="n">
        <v>26</v>
      </c>
      <c r="EZ78" s="42" t="n">
        <v>27</v>
      </c>
      <c r="FA78" s="42" t="n">
        <v>28</v>
      </c>
      <c r="FB78" s="42" t="n">
        <v>29</v>
      </c>
      <c r="FC78" s="42" t="n">
        <v>30</v>
      </c>
      <c r="FD78" s="42" t="n">
        <v>31</v>
      </c>
      <c r="FE78" s="42"/>
    </row>
    <row r="79" customFormat="false" ht="13.5" hidden="false" customHeight="true" outlineLevel="0" collapsed="false">
      <c r="A79" s="41" t="s">
        <v>5952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/>
      <c r="AX79" s="44"/>
      <c r="AY79" s="44" t="n">
        <v>1000</v>
      </c>
      <c r="AZ79" s="44" t="n">
        <v>500</v>
      </c>
      <c r="BA79" s="44"/>
      <c r="BB79" s="44"/>
      <c r="BC79" s="44"/>
      <c r="BD79" s="44"/>
      <c r="BE79" s="44"/>
      <c r="BF79" s="44" t="n">
        <v>1000</v>
      </c>
      <c r="BG79" s="44" t="n">
        <v>500</v>
      </c>
      <c r="BH79" s="44"/>
      <c r="BI79" s="44" t="n">
        <v>1800</v>
      </c>
      <c r="BJ79" s="44" t="n">
        <v>1900</v>
      </c>
      <c r="BK79" s="44"/>
      <c r="BL79" s="44"/>
      <c r="BM79" s="44"/>
      <c r="BN79" s="44" t="n">
        <v>2000</v>
      </c>
      <c r="BO79" s="44" t="n">
        <v>2100</v>
      </c>
      <c r="BP79" s="44"/>
      <c r="BQ79" s="44"/>
      <c r="BR79" s="93"/>
      <c r="BS79" s="93"/>
      <c r="BT79" s="44" t="n">
        <v>2224</v>
      </c>
      <c r="BU79" s="44" t="n">
        <v>2300</v>
      </c>
      <c r="BV79" s="44" t="n">
        <v>2400</v>
      </c>
      <c r="BW79" s="44" t="n">
        <v>2450</v>
      </c>
      <c r="BX79" s="44" t="n">
        <v>2450</v>
      </c>
      <c r="BY79" s="44" t="n">
        <v>400</v>
      </c>
      <c r="BZ79" s="44"/>
      <c r="CA79" s="44" t="n">
        <v>1000</v>
      </c>
      <c r="CB79" s="44" t="n">
        <v>1000</v>
      </c>
      <c r="CC79" s="44" t="n">
        <v>900</v>
      </c>
      <c r="CD79" s="44" t="n">
        <v>2300</v>
      </c>
      <c r="CE79" s="44" t="n">
        <v>400</v>
      </c>
      <c r="CF79" s="44"/>
      <c r="CG79" s="44"/>
      <c r="CH79" s="44" t="n">
        <v>2000</v>
      </c>
      <c r="CI79" s="44" t="n">
        <v>2300</v>
      </c>
      <c r="CJ79" s="44" t="n">
        <v>2400</v>
      </c>
      <c r="CK79" s="44" t="n">
        <v>2450</v>
      </c>
      <c r="CL79" s="44" t="n">
        <v>2450</v>
      </c>
      <c r="CM79" s="44" t="n">
        <v>200</v>
      </c>
      <c r="CN79" s="44"/>
      <c r="CO79" s="44" t="n">
        <v>1500</v>
      </c>
      <c r="CP79" s="44" t="n">
        <f aca="false">3000-CO80</f>
        <v>1850</v>
      </c>
      <c r="CQ79" s="44" t="n">
        <v>2200</v>
      </c>
      <c r="CR79" s="44" t="n">
        <v>2550</v>
      </c>
      <c r="CS79" s="44" t="n">
        <v>1900</v>
      </c>
      <c r="CT79" s="44"/>
      <c r="CU79" s="44"/>
      <c r="CV79" s="44" t="n">
        <v>1250</v>
      </c>
      <c r="CW79" s="44" t="n">
        <v>600</v>
      </c>
      <c r="CX79" s="44" t="n">
        <v>1950</v>
      </c>
      <c r="CY79" s="44" t="n">
        <v>2650</v>
      </c>
      <c r="CZ79" s="44" t="n">
        <v>650</v>
      </c>
      <c r="DA79" s="44" t="n">
        <v>2000</v>
      </c>
      <c r="DB79" s="44"/>
      <c r="DC79" s="44" t="n">
        <v>2650</v>
      </c>
      <c r="DD79" s="44" t="n">
        <v>250</v>
      </c>
      <c r="DE79" s="44" t="n">
        <v>600</v>
      </c>
      <c r="DF79" s="44" t="n">
        <v>950</v>
      </c>
      <c r="DG79" s="44" t="n">
        <v>1700</v>
      </c>
      <c r="DH79" s="44"/>
      <c r="DI79" s="44"/>
      <c r="DJ79" s="44" t="n">
        <v>1800</v>
      </c>
      <c r="DK79" s="44" t="n">
        <v>1900</v>
      </c>
      <c r="DL79" s="44" t="n">
        <v>2000</v>
      </c>
      <c r="DM79" s="44" t="n">
        <v>1100</v>
      </c>
      <c r="DN79" s="44" t="n">
        <v>2200</v>
      </c>
      <c r="DO79" s="44" t="n">
        <v>1800</v>
      </c>
      <c r="DP79" s="44"/>
      <c r="DQ79" s="44" t="n">
        <v>2400</v>
      </c>
      <c r="DR79" s="44" t="n">
        <v>2500</v>
      </c>
      <c r="DS79" s="44" t="n">
        <v>100</v>
      </c>
      <c r="DT79" s="44" t="n">
        <v>2500</v>
      </c>
      <c r="DU79" s="44"/>
      <c r="DV79" s="44"/>
      <c r="DW79" s="44"/>
      <c r="DX79" s="44"/>
      <c r="DY79" s="44"/>
      <c r="DZ79" s="44"/>
      <c r="EA79" s="44"/>
      <c r="EB79" s="44"/>
      <c r="EC79" s="44"/>
      <c r="ED79" s="44"/>
      <c r="EE79" s="44"/>
      <c r="EF79" s="44"/>
      <c r="EG79" s="44"/>
      <c r="EH79" s="44"/>
      <c r="EI79" s="44"/>
      <c r="EJ79" s="44"/>
      <c r="EK79" s="44"/>
      <c r="EL79" s="44"/>
      <c r="EM79" s="44"/>
      <c r="EN79" s="44"/>
      <c r="EO79" s="44"/>
      <c r="EP79" s="44"/>
      <c r="EQ79" s="44"/>
      <c r="ER79" s="44"/>
      <c r="ES79" s="44"/>
      <c r="ET79" s="44"/>
      <c r="EU79" s="44"/>
      <c r="EV79" s="44"/>
      <c r="EW79" s="44"/>
      <c r="EX79" s="44"/>
      <c r="EY79" s="44"/>
      <c r="EZ79" s="44"/>
      <c r="FA79" s="44"/>
      <c r="FB79" s="44"/>
      <c r="FC79" s="44"/>
      <c r="FD79" s="44"/>
      <c r="FE79" s="44"/>
      <c r="IQ79" s="44"/>
      <c r="IW79" s="44"/>
    </row>
    <row r="80" customFormat="false" ht="13.5" hidden="false" customHeight="true" outlineLevel="0" collapsed="false">
      <c r="A80" s="41"/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  <c r="AA80" s="94"/>
      <c r="AB80" s="94"/>
      <c r="AC80" s="94"/>
      <c r="AD80" s="94"/>
      <c r="AE80" s="94"/>
      <c r="AF80" s="94"/>
      <c r="AG80" s="94"/>
      <c r="AH80" s="94"/>
      <c r="AI80" s="94"/>
      <c r="AJ80" s="94"/>
      <c r="AK80" s="94"/>
      <c r="AL80" s="94"/>
      <c r="AM80" s="94"/>
      <c r="AN80" s="94"/>
      <c r="AO80" s="94"/>
      <c r="AP80" s="94"/>
      <c r="AQ80" s="94"/>
      <c r="AR80" s="94"/>
      <c r="AS80" s="94"/>
      <c r="AT80" s="94"/>
      <c r="AU80" s="94"/>
      <c r="AV80" s="94"/>
      <c r="AW80" s="94"/>
      <c r="AX80" s="94"/>
      <c r="AY80" s="94" t="n">
        <v>500</v>
      </c>
      <c r="AZ80" s="94" t="n">
        <v>1000</v>
      </c>
      <c r="BA80" s="94"/>
      <c r="BB80" s="94"/>
      <c r="BC80" s="94"/>
      <c r="BD80" s="94"/>
      <c r="BE80" s="94"/>
      <c r="BF80" s="94" t="n">
        <v>500</v>
      </c>
      <c r="BG80" s="94" t="n">
        <v>1000</v>
      </c>
      <c r="BH80" s="94"/>
      <c r="BI80" s="94"/>
      <c r="BJ80" s="94"/>
      <c r="BK80" s="94"/>
      <c r="BL80" s="94"/>
      <c r="BM80" s="94"/>
      <c r="BN80" s="94"/>
      <c r="BO80" s="94"/>
      <c r="BP80" s="94"/>
      <c r="BQ80" s="94"/>
      <c r="BR80" s="93"/>
      <c r="BS80" s="93"/>
      <c r="BT80" s="94"/>
      <c r="BU80" s="94"/>
      <c r="BV80" s="94"/>
      <c r="BW80" s="94"/>
      <c r="BX80" s="94"/>
      <c r="BY80" s="94" t="n">
        <v>1000</v>
      </c>
      <c r="BZ80" s="94"/>
      <c r="CA80" s="94" t="n">
        <v>1000</v>
      </c>
      <c r="CB80" s="94" t="n">
        <v>1100</v>
      </c>
      <c r="CC80" s="94" t="n">
        <f aca="false">2200-CC79</f>
        <v>1300</v>
      </c>
      <c r="CD80" s="94"/>
      <c r="CE80" s="94" t="n">
        <f aca="false">2400-CE79</f>
        <v>2000</v>
      </c>
      <c r="CF80" s="94"/>
      <c r="CG80" s="94"/>
      <c r="CH80" s="94" t="n">
        <v>200</v>
      </c>
      <c r="CI80" s="94"/>
      <c r="CJ80" s="94"/>
      <c r="CK80" s="94"/>
      <c r="CL80" s="94"/>
      <c r="CM80" s="94" t="n">
        <v>1500</v>
      </c>
      <c r="CN80" s="94"/>
      <c r="CO80" s="94" t="n">
        <f aca="false">2650-CO79</f>
        <v>1150</v>
      </c>
      <c r="CP80" s="94" t="n">
        <f aca="false">2650-CP79</f>
        <v>800</v>
      </c>
      <c r="CQ80" s="94" t="n">
        <f aca="false">2650-CQ79</f>
        <v>450</v>
      </c>
      <c r="CR80" s="94" t="n">
        <f aca="false">2650-CR79</f>
        <v>100</v>
      </c>
      <c r="CS80" s="94" t="n">
        <f aca="false">2650-CS79</f>
        <v>750</v>
      </c>
      <c r="CT80" s="94"/>
      <c r="CU80" s="94"/>
      <c r="CV80" s="94" t="n">
        <f aca="false">2650-CV79</f>
        <v>1400</v>
      </c>
      <c r="CW80" s="94" t="n">
        <f aca="false">2650-CW79</f>
        <v>2050</v>
      </c>
      <c r="CX80" s="94" t="n">
        <f aca="false">2650-CX79</f>
        <v>700</v>
      </c>
      <c r="CY80" s="94"/>
      <c r="CZ80" s="94" t="n">
        <f aca="false">2650-CZ79</f>
        <v>2000</v>
      </c>
      <c r="DA80" s="94" t="n">
        <f aca="false">2100-DA79</f>
        <v>100</v>
      </c>
      <c r="DB80" s="94"/>
      <c r="DC80" s="45"/>
      <c r="DD80" s="45" t="n">
        <f aca="false">2650-DD79</f>
        <v>2400</v>
      </c>
      <c r="DE80" s="45" t="n">
        <f aca="false">2650-DE79</f>
        <v>2050</v>
      </c>
      <c r="DF80" s="45" t="n">
        <v>500</v>
      </c>
      <c r="DG80" s="45"/>
      <c r="DH80" s="45"/>
      <c r="DI80" s="45"/>
      <c r="DJ80" s="45"/>
      <c r="DK80" s="45"/>
      <c r="DL80" s="45"/>
      <c r="DM80" s="45" t="n">
        <f aca="false">2100-DM79</f>
        <v>1000</v>
      </c>
      <c r="DN80" s="45"/>
      <c r="DO80" s="45"/>
      <c r="DP80" s="45"/>
      <c r="DQ80" s="45"/>
      <c r="DR80" s="45"/>
      <c r="DS80" s="45" t="n">
        <f aca="false">2600-DS79</f>
        <v>2500</v>
      </c>
      <c r="DT80" s="45"/>
      <c r="DU80" s="45"/>
      <c r="DV80" s="45"/>
      <c r="DW80" s="45"/>
      <c r="DX80" s="45"/>
      <c r="DY80" s="45"/>
      <c r="DZ80" s="45"/>
      <c r="EA80" s="45"/>
      <c r="EB80" s="45"/>
      <c r="EC80" s="45"/>
      <c r="ED80" s="45"/>
      <c r="EE80" s="45"/>
      <c r="EF80" s="45"/>
      <c r="EG80" s="45"/>
      <c r="EH80" s="45"/>
      <c r="EI80" s="45"/>
      <c r="EJ80" s="45"/>
      <c r="EK80" s="45"/>
      <c r="EL80" s="45"/>
      <c r="EM80" s="45"/>
      <c r="EN80" s="45"/>
      <c r="EO80" s="45"/>
      <c r="EP80" s="45"/>
      <c r="EQ80" s="45"/>
      <c r="ER80" s="45"/>
      <c r="ES80" s="45"/>
      <c r="ET80" s="45"/>
      <c r="EU80" s="45"/>
      <c r="EV80" s="45"/>
      <c r="EW80" s="45"/>
      <c r="EX80" s="45"/>
      <c r="EY80" s="45"/>
      <c r="EZ80" s="45"/>
      <c r="FA80" s="45"/>
      <c r="FB80" s="45"/>
      <c r="FC80" s="45"/>
      <c r="FD80" s="45"/>
      <c r="FE80" s="45"/>
    </row>
    <row r="81" customFormat="false" ht="13.5" hidden="false" customHeight="true" outlineLevel="0" collapsed="false">
      <c r="A81" s="95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  <c r="AH81" s="96"/>
      <c r="AI81" s="96"/>
      <c r="AJ81" s="96"/>
      <c r="AK81" s="96"/>
      <c r="AL81" s="96"/>
      <c r="AM81" s="96"/>
      <c r="AN81" s="96"/>
      <c r="AO81" s="96"/>
      <c r="AP81" s="96"/>
      <c r="AQ81" s="96"/>
      <c r="AR81" s="96"/>
      <c r="AS81" s="96"/>
      <c r="AT81" s="96"/>
      <c r="AU81" s="96"/>
      <c r="AV81" s="96"/>
      <c r="AW81" s="96"/>
      <c r="AX81" s="96"/>
      <c r="AY81" s="48" t="s">
        <v>6127</v>
      </c>
      <c r="AZ81" s="48" t="s">
        <v>6127</v>
      </c>
      <c r="BA81" s="96"/>
      <c r="BB81" s="96"/>
      <c r="BC81" s="96"/>
      <c r="BD81" s="96"/>
      <c r="BE81" s="96"/>
      <c r="BF81" s="48" t="s">
        <v>6127</v>
      </c>
      <c r="BG81" s="48" t="s">
        <v>6127</v>
      </c>
      <c r="BH81" s="96"/>
      <c r="BI81" s="48" t="s">
        <v>6102</v>
      </c>
      <c r="BJ81" s="96"/>
      <c r="BK81" s="96"/>
      <c r="BL81" s="96"/>
      <c r="BM81" s="96"/>
      <c r="BN81" s="96"/>
      <c r="BO81" s="96"/>
      <c r="BP81" s="96"/>
      <c r="BQ81" s="96"/>
      <c r="BR81" s="96"/>
      <c r="BS81" s="96"/>
      <c r="BT81" s="96"/>
      <c r="BU81" s="48" t="s">
        <v>6102</v>
      </c>
      <c r="BV81" s="96"/>
      <c r="BW81" s="96"/>
      <c r="BX81" s="96"/>
      <c r="BY81" s="48" t="s">
        <v>6102</v>
      </c>
      <c r="BZ81" s="96"/>
      <c r="CA81" s="48" t="s">
        <v>6102</v>
      </c>
      <c r="CB81" s="48" t="s">
        <v>6102</v>
      </c>
      <c r="CC81" s="48" t="s">
        <v>6102</v>
      </c>
      <c r="CD81" s="48"/>
      <c r="CE81" s="96"/>
      <c r="CF81" s="96"/>
      <c r="CG81" s="97"/>
      <c r="CH81" s="48" t="s">
        <v>6102</v>
      </c>
      <c r="CI81" s="97"/>
      <c r="CJ81" s="48" t="s">
        <v>6102</v>
      </c>
      <c r="CK81" s="48" t="s">
        <v>6102</v>
      </c>
      <c r="CL81" s="48" t="s">
        <v>6102</v>
      </c>
      <c r="CM81" s="97"/>
      <c r="CN81" s="97"/>
      <c r="CO81" s="48" t="s">
        <v>6102</v>
      </c>
      <c r="CP81" s="48" t="s">
        <v>6102</v>
      </c>
      <c r="CQ81" s="48" t="s">
        <v>6102</v>
      </c>
      <c r="CR81" s="48"/>
      <c r="CS81" s="48"/>
      <c r="CT81" s="48"/>
      <c r="CU81" s="97"/>
      <c r="CV81" s="48" t="s">
        <v>6102</v>
      </c>
      <c r="CW81" s="48" t="s">
        <v>6102</v>
      </c>
      <c r="CX81" s="48"/>
      <c r="CY81" s="48" t="s">
        <v>6102</v>
      </c>
      <c r="CZ81" s="97"/>
      <c r="DA81" s="48" t="s">
        <v>6102</v>
      </c>
      <c r="DB81" s="97"/>
      <c r="DC81" s="97"/>
      <c r="DD81" s="48" t="s">
        <v>6102</v>
      </c>
      <c r="DE81" s="48" t="s">
        <v>6102</v>
      </c>
      <c r="DF81" s="48"/>
      <c r="DG81" s="48"/>
      <c r="DH81" s="97"/>
      <c r="DI81" s="97"/>
      <c r="DJ81" s="49"/>
      <c r="DK81" s="49"/>
      <c r="DL81" s="49"/>
      <c r="DM81" s="49"/>
      <c r="DN81" s="49"/>
      <c r="DO81" s="49"/>
      <c r="DP81" s="49"/>
      <c r="DQ81" s="49"/>
      <c r="DR81" s="49"/>
      <c r="DS81" s="49"/>
      <c r="DT81" s="49"/>
      <c r="DU81" s="49"/>
      <c r="DV81" s="49"/>
      <c r="DW81" s="49"/>
      <c r="DX81" s="49"/>
      <c r="DY81" s="49"/>
      <c r="DZ81" s="49"/>
      <c r="EA81" s="49"/>
      <c r="EB81" s="49"/>
      <c r="EC81" s="49"/>
      <c r="ED81" s="49"/>
      <c r="EE81" s="49"/>
      <c r="EF81" s="49"/>
      <c r="EG81" s="49"/>
      <c r="EH81" s="49"/>
      <c r="EI81" s="49"/>
      <c r="EJ81" s="49"/>
      <c r="EK81" s="49"/>
      <c r="EL81" s="49"/>
      <c r="EM81" s="49"/>
      <c r="EN81" s="49"/>
      <c r="EO81" s="49"/>
      <c r="EP81" s="49"/>
      <c r="EQ81" s="49"/>
      <c r="ER81" s="49"/>
      <c r="ES81" s="49"/>
      <c r="ET81" s="49"/>
      <c r="EU81" s="49"/>
      <c r="EV81" s="49"/>
      <c r="EW81" s="49"/>
      <c r="EX81" s="49"/>
      <c r="EY81" s="49"/>
      <c r="EZ81" s="49"/>
      <c r="FA81" s="49"/>
      <c r="FB81" s="49"/>
      <c r="FC81" s="49"/>
      <c r="FD81" s="49"/>
      <c r="FE81" s="49"/>
    </row>
    <row r="82" customFormat="false" ht="13.5" hidden="false" customHeight="true" outlineLevel="0" collapsed="false">
      <c r="A82" s="98" t="s">
        <v>5960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 t="n">
        <v>30</v>
      </c>
      <c r="AZ82" s="53" t="n">
        <v>30</v>
      </c>
      <c r="BA82" s="53" t="n">
        <v>30</v>
      </c>
      <c r="BB82" s="53" t="n">
        <v>30</v>
      </c>
      <c r="BC82" s="53" t="n">
        <v>30</v>
      </c>
      <c r="BD82" s="53" t="n">
        <v>30</v>
      </c>
      <c r="BE82" s="53" t="n">
        <v>30</v>
      </c>
      <c r="BF82" s="53" t="n">
        <v>30</v>
      </c>
      <c r="BG82" s="53" t="n">
        <v>30</v>
      </c>
      <c r="BH82" s="53" t="n">
        <v>30</v>
      </c>
      <c r="BI82" s="53" t="n">
        <v>38</v>
      </c>
      <c r="BJ82" s="53" t="n">
        <v>38</v>
      </c>
      <c r="BK82" s="53" t="n">
        <v>38</v>
      </c>
      <c r="BL82" s="53" t="n">
        <v>38</v>
      </c>
      <c r="BM82" s="53" t="n">
        <v>38</v>
      </c>
      <c r="BN82" s="53" t="n">
        <v>38</v>
      </c>
      <c r="BO82" s="53" t="n">
        <v>38</v>
      </c>
      <c r="BP82" s="53" t="n">
        <v>38</v>
      </c>
      <c r="BQ82" s="53" t="n">
        <v>38</v>
      </c>
      <c r="BR82" s="53" t="n">
        <v>38</v>
      </c>
      <c r="BS82" s="53" t="n">
        <v>38</v>
      </c>
      <c r="BT82" s="53" t="n">
        <v>38</v>
      </c>
      <c r="BU82" s="53" t="n">
        <v>38</v>
      </c>
      <c r="BV82" s="53" t="n">
        <v>38</v>
      </c>
      <c r="BW82" s="53" t="n">
        <v>38</v>
      </c>
      <c r="BX82" s="53" t="n">
        <v>38</v>
      </c>
      <c r="BY82" s="53" t="n">
        <v>38</v>
      </c>
      <c r="BZ82" s="53" t="n">
        <v>38</v>
      </c>
      <c r="CA82" s="53" t="n">
        <v>30</v>
      </c>
      <c r="CB82" s="53" t="n">
        <v>30</v>
      </c>
      <c r="CC82" s="53" t="n">
        <v>30</v>
      </c>
      <c r="CD82" s="53" t="n">
        <v>30</v>
      </c>
      <c r="CE82" s="53" t="n">
        <v>30</v>
      </c>
      <c r="CF82" s="53" t="n">
        <v>30</v>
      </c>
      <c r="CG82" s="53" t="n">
        <v>30</v>
      </c>
      <c r="CH82" s="53" t="n">
        <v>30</v>
      </c>
      <c r="CI82" s="53" t="n">
        <v>30</v>
      </c>
      <c r="CJ82" s="53" t="n">
        <v>30</v>
      </c>
      <c r="CK82" s="53" t="n">
        <v>30</v>
      </c>
      <c r="CL82" s="53" t="n">
        <v>30</v>
      </c>
      <c r="CM82" s="53" t="n">
        <v>30</v>
      </c>
      <c r="CN82" s="53" t="n">
        <v>30</v>
      </c>
      <c r="CO82" s="53" t="n">
        <v>30</v>
      </c>
      <c r="CP82" s="53" t="n">
        <v>30</v>
      </c>
      <c r="CQ82" s="53" t="n">
        <v>30</v>
      </c>
      <c r="CR82" s="53" t="n">
        <v>30</v>
      </c>
      <c r="CS82" s="53" t="n">
        <v>30</v>
      </c>
      <c r="CT82" s="53" t="n">
        <v>30</v>
      </c>
      <c r="CU82" s="53" t="n">
        <v>30</v>
      </c>
      <c r="CV82" s="53" t="n">
        <v>30</v>
      </c>
      <c r="CW82" s="53" t="n">
        <v>30</v>
      </c>
      <c r="CX82" s="53" t="n">
        <v>30</v>
      </c>
      <c r="CY82" s="53" t="n">
        <v>30</v>
      </c>
      <c r="CZ82" s="53" t="n">
        <v>30</v>
      </c>
      <c r="DA82" s="53" t="n">
        <v>30</v>
      </c>
      <c r="DB82" s="53" t="n">
        <v>30</v>
      </c>
      <c r="DC82" s="53" t="n">
        <v>30</v>
      </c>
      <c r="DD82" s="53" t="n">
        <v>30</v>
      </c>
      <c r="DE82" s="53" t="n">
        <v>30</v>
      </c>
      <c r="DF82" s="53" t="n">
        <v>30</v>
      </c>
      <c r="DG82" s="53" t="n">
        <v>30</v>
      </c>
      <c r="DH82" s="53" t="n">
        <v>30</v>
      </c>
      <c r="DI82" s="53" t="n">
        <v>30</v>
      </c>
      <c r="DJ82" s="53" t="n">
        <v>30</v>
      </c>
      <c r="DK82" s="53" t="n">
        <v>30</v>
      </c>
      <c r="DL82" s="53" t="n">
        <v>30</v>
      </c>
      <c r="DM82" s="53" t="n">
        <v>30</v>
      </c>
      <c r="DN82" s="53" t="n">
        <v>30</v>
      </c>
      <c r="DO82" s="53" t="n">
        <v>30</v>
      </c>
      <c r="DP82" s="53" t="n">
        <v>30</v>
      </c>
      <c r="DQ82" s="53" t="n">
        <v>30</v>
      </c>
      <c r="DR82" s="53" t="n">
        <v>30</v>
      </c>
      <c r="DS82" s="53" t="n">
        <v>30</v>
      </c>
      <c r="DT82" s="53" t="n">
        <v>30</v>
      </c>
      <c r="DU82" s="53"/>
      <c r="DV82" s="53"/>
      <c r="DW82" s="53"/>
      <c r="DX82" s="53"/>
      <c r="DY82" s="53"/>
      <c r="DZ82" s="53"/>
      <c r="EA82" s="53"/>
      <c r="EB82" s="53"/>
      <c r="EC82" s="53"/>
      <c r="ED82" s="53"/>
      <c r="EE82" s="53"/>
      <c r="EF82" s="53"/>
      <c r="EG82" s="53"/>
      <c r="EH82" s="53"/>
      <c r="EI82" s="53"/>
      <c r="EJ82" s="53"/>
      <c r="EK82" s="53"/>
      <c r="EL82" s="53"/>
      <c r="EM82" s="53"/>
      <c r="EN82" s="53"/>
      <c r="EO82" s="53"/>
      <c r="EP82" s="53"/>
      <c r="EQ82" s="53"/>
      <c r="ER82" s="53"/>
      <c r="ES82" s="53"/>
      <c r="ET82" s="53"/>
      <c r="EU82" s="53"/>
      <c r="EV82" s="53"/>
      <c r="EW82" s="53"/>
      <c r="EX82" s="53"/>
      <c r="EY82" s="53"/>
      <c r="EZ82" s="53"/>
      <c r="FA82" s="53"/>
      <c r="FB82" s="53"/>
      <c r="FC82" s="53"/>
      <c r="FD82" s="53"/>
      <c r="FE82" s="53"/>
      <c r="FF82" s="80"/>
      <c r="FG82" s="80"/>
      <c r="FH82" s="80"/>
      <c r="FI82" s="80"/>
      <c r="FJ82" s="80"/>
      <c r="FK82" s="80"/>
      <c r="FL82" s="80"/>
      <c r="FM82" s="80"/>
      <c r="FN82" s="80"/>
      <c r="FO82" s="80"/>
      <c r="FP82" s="80"/>
      <c r="FQ82" s="80"/>
      <c r="FR82" s="80"/>
      <c r="FS82" s="80"/>
      <c r="FT82" s="80"/>
      <c r="FU82" s="80"/>
      <c r="FV82" s="80"/>
      <c r="FW82" s="80"/>
      <c r="FX82" s="80"/>
      <c r="FY82" s="80"/>
      <c r="FZ82" s="80"/>
      <c r="GA82" s="80"/>
      <c r="GB82" s="80"/>
      <c r="GC82" s="80"/>
      <c r="GD82" s="80"/>
      <c r="GE82" s="80"/>
      <c r="GF82" s="80"/>
      <c r="GG82" s="80"/>
      <c r="GH82" s="80"/>
      <c r="GI82" s="80"/>
      <c r="GJ82" s="80"/>
      <c r="GK82" s="80"/>
      <c r="GL82" s="80"/>
      <c r="GM82" s="80"/>
      <c r="GN82" s="80"/>
      <c r="GO82" s="80"/>
      <c r="GP82" s="80"/>
      <c r="GQ82" s="80"/>
      <c r="GR82" s="80"/>
      <c r="GS82" s="80"/>
      <c r="GT82" s="80"/>
      <c r="GU82" s="80"/>
      <c r="GV82" s="80"/>
      <c r="GW82" s="80"/>
      <c r="GX82" s="80"/>
      <c r="GY82" s="80"/>
      <c r="GZ82" s="80"/>
      <c r="HA82" s="80"/>
      <c r="HB82" s="80"/>
      <c r="HC82" s="80"/>
      <c r="HD82" s="80"/>
      <c r="HE82" s="80"/>
      <c r="HF82" s="80"/>
      <c r="HG82" s="80"/>
      <c r="HH82" s="80"/>
      <c r="HI82" s="80"/>
      <c r="HJ82" s="80"/>
      <c r="HK82" s="80"/>
      <c r="HL82" s="80"/>
      <c r="HM82" s="80"/>
      <c r="HN82" s="80"/>
      <c r="HO82" s="80"/>
      <c r="HP82" s="80"/>
      <c r="HQ82" s="80"/>
      <c r="HR82" s="80"/>
      <c r="HS82" s="80"/>
      <c r="HT82" s="80"/>
      <c r="HU82" s="80"/>
      <c r="HV82" s="80"/>
      <c r="HW82" s="80"/>
      <c r="HX82" s="80"/>
      <c r="HY82" s="80"/>
      <c r="HZ82" s="80"/>
      <c r="IA82" s="80"/>
      <c r="IB82" s="80"/>
      <c r="IC82" s="80"/>
      <c r="ID82" s="80"/>
      <c r="IE82" s="80"/>
      <c r="IF82" s="80"/>
      <c r="IG82" s="80"/>
      <c r="IH82" s="80"/>
      <c r="II82" s="80"/>
      <c r="IJ82" s="80"/>
      <c r="IQ82" s="53"/>
      <c r="IW82" s="53"/>
    </row>
    <row r="83" customFormat="false" ht="13.5" hidden="false" customHeight="true" outlineLevel="0" collapsed="false">
      <c r="A83" s="84"/>
    </row>
    <row r="84" customFormat="false" ht="13.5" hidden="false" customHeight="true" outlineLevel="0" collapsed="false">
      <c r="A84" s="85" t="s">
        <v>6128</v>
      </c>
      <c r="B84" s="65" t="s">
        <v>6129</v>
      </c>
      <c r="C84" s="65"/>
      <c r="D84" s="65"/>
      <c r="E84" s="65" t="s">
        <v>6130</v>
      </c>
      <c r="F84" s="65" t="s">
        <v>5947</v>
      </c>
      <c r="G84" s="65"/>
      <c r="H84" s="30"/>
      <c r="I84" s="30"/>
      <c r="J84" s="65" t="s">
        <v>6129</v>
      </c>
      <c r="K84" s="30"/>
      <c r="L84" s="30"/>
      <c r="M84" s="65" t="s">
        <v>5947</v>
      </c>
      <c r="N84" s="65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65"/>
      <c r="AA84" s="65"/>
      <c r="AB84" s="30"/>
      <c r="AC84" s="30"/>
      <c r="AD84" s="65" t="s">
        <v>5947</v>
      </c>
      <c r="AE84" s="30"/>
      <c r="AF84" s="65" t="s">
        <v>5949</v>
      </c>
      <c r="AG84" s="65"/>
      <c r="AH84" s="65"/>
      <c r="AI84" s="65"/>
      <c r="AJ84" s="30"/>
      <c r="AK84" s="30"/>
      <c r="AL84" s="65" t="s">
        <v>5948</v>
      </c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65"/>
      <c r="BD84" s="30"/>
      <c r="BE84" s="30"/>
      <c r="BF84" s="65" t="s">
        <v>5949</v>
      </c>
      <c r="BG84" s="65"/>
      <c r="BH84" s="65"/>
      <c r="BI84" s="65"/>
      <c r="BJ84" s="65"/>
      <c r="BK84" s="30"/>
      <c r="BL84" s="30"/>
      <c r="BM84" s="30"/>
      <c r="BN84" s="65"/>
      <c r="BO84" s="65"/>
      <c r="BP84" s="30"/>
      <c r="BQ84" s="65"/>
      <c r="BR84" s="30"/>
      <c r="BS84" s="30"/>
      <c r="BT84" s="65"/>
      <c r="BU84" s="65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/>
      <c r="CP84" s="30"/>
      <c r="CQ84" s="30"/>
      <c r="CR84" s="30"/>
      <c r="CS84" s="30"/>
      <c r="CT84" s="30"/>
      <c r="CU84" s="30"/>
      <c r="CV84" s="30"/>
      <c r="CW84" s="30"/>
      <c r="CX84" s="30"/>
      <c r="CY84" s="30"/>
      <c r="CZ84" s="30"/>
      <c r="DA84" s="30"/>
      <c r="DB84" s="30"/>
      <c r="DC84" s="30"/>
      <c r="DD84" s="30"/>
      <c r="DE84" s="30"/>
      <c r="DF84" s="30"/>
      <c r="DG84" s="30"/>
      <c r="DH84" s="30"/>
      <c r="DI84" s="30"/>
      <c r="DJ84" s="30"/>
      <c r="DK84" s="30"/>
      <c r="DL84" s="30"/>
      <c r="DM84" s="30"/>
      <c r="DN84" s="30"/>
      <c r="DO84" s="30"/>
      <c r="DP84" s="30"/>
      <c r="DQ84" s="30"/>
      <c r="DR84" s="30"/>
      <c r="DS84" s="30"/>
      <c r="DT84" s="30"/>
      <c r="DU84" s="30"/>
      <c r="DV84" s="30"/>
      <c r="DW84" s="30"/>
      <c r="DX84" s="30"/>
      <c r="DY84" s="30"/>
    </row>
    <row r="85" customFormat="false" ht="13.5" hidden="false" customHeight="true" outlineLevel="0" collapsed="false">
      <c r="A85" s="86"/>
      <c r="B85" s="86" t="s">
        <v>4792</v>
      </c>
      <c r="C85" s="86"/>
      <c r="E85" s="86" t="s">
        <v>509</v>
      </c>
      <c r="F85" s="86" t="s">
        <v>509</v>
      </c>
      <c r="J85" s="86" t="s">
        <v>4792</v>
      </c>
      <c r="M85" s="87" t="s">
        <v>518</v>
      </c>
      <c r="T85" s="87"/>
      <c r="AB85" s="88"/>
      <c r="AC85" s="88"/>
      <c r="AD85" s="86" t="s">
        <v>516</v>
      </c>
      <c r="AF85" s="86" t="s">
        <v>522</v>
      </c>
      <c r="AJ85" s="88"/>
      <c r="AL85" s="86" t="s">
        <v>5149</v>
      </c>
      <c r="AO85" s="88"/>
      <c r="AQ85" s="88"/>
      <c r="AR85" s="88"/>
      <c r="AS85" s="88"/>
      <c r="AU85" s="88"/>
      <c r="AW85" s="88"/>
      <c r="AX85" s="88"/>
      <c r="AY85" s="88"/>
      <c r="AZ85" s="88"/>
      <c r="BA85" s="88"/>
      <c r="BB85" s="88"/>
      <c r="BC85" s="86"/>
      <c r="BD85" s="88"/>
      <c r="BE85" s="88"/>
      <c r="BF85" s="86" t="s">
        <v>5353</v>
      </c>
      <c r="BJ85" s="86"/>
      <c r="BK85" s="88"/>
      <c r="BL85" s="88"/>
      <c r="BM85" s="88"/>
      <c r="BN85" s="86"/>
      <c r="BO85" s="86"/>
      <c r="BP85" s="88"/>
      <c r="BQ85" s="86"/>
      <c r="BT85" s="86"/>
      <c r="BU85" s="86"/>
    </row>
    <row r="86" customFormat="false" ht="13.5" hidden="false" customHeight="true" outlineLevel="0" collapsed="false">
      <c r="A86" s="86"/>
      <c r="B86" s="86" t="s">
        <v>6131</v>
      </c>
      <c r="C86" s="86"/>
      <c r="E86" s="86" t="s">
        <v>6132</v>
      </c>
      <c r="F86" s="86" t="s">
        <v>6133</v>
      </c>
      <c r="J86" s="86" t="s">
        <v>6131</v>
      </c>
      <c r="M86" s="87" t="s">
        <v>6134</v>
      </c>
      <c r="T86" s="87"/>
      <c r="AB86" s="88"/>
      <c r="AC86" s="88"/>
      <c r="AD86" s="86" t="s">
        <v>6135</v>
      </c>
      <c r="AF86" s="86" t="s">
        <v>6136</v>
      </c>
      <c r="AJ86" s="88"/>
      <c r="AL86" s="86" t="s">
        <v>6137</v>
      </c>
      <c r="AO86" s="88"/>
      <c r="AQ86" s="88"/>
      <c r="AR86" s="88"/>
      <c r="AS86" s="88"/>
      <c r="AU86" s="88"/>
      <c r="AW86" s="88"/>
      <c r="AX86" s="88"/>
      <c r="AY86" s="88"/>
      <c r="AZ86" s="88"/>
      <c r="BA86" s="88"/>
      <c r="BB86" s="88"/>
      <c r="BC86" s="86"/>
      <c r="BD86" s="88"/>
      <c r="BE86" s="88"/>
      <c r="BF86" s="86" t="s">
        <v>6138</v>
      </c>
      <c r="BJ86" s="86"/>
      <c r="BK86" s="88"/>
      <c r="BL86" s="88"/>
      <c r="BM86" s="88"/>
      <c r="BN86" s="86"/>
      <c r="BO86" s="86"/>
      <c r="BP86" s="88"/>
      <c r="BQ86" s="86"/>
      <c r="BT86" s="86"/>
      <c r="BU86" s="86"/>
    </row>
    <row r="87" customFormat="false" ht="13.5" hidden="false" customHeight="true" outlineLevel="0" collapsed="false">
      <c r="A87" s="89"/>
      <c r="B87" s="89" t="s">
        <v>6139</v>
      </c>
      <c r="C87" s="89"/>
      <c r="E87" s="89" t="s">
        <v>6140</v>
      </c>
      <c r="F87" s="89" t="s">
        <v>6141</v>
      </c>
      <c r="J87" s="89" t="s">
        <v>6142</v>
      </c>
      <c r="M87" s="91" t="s">
        <v>6143</v>
      </c>
      <c r="T87" s="91"/>
      <c r="AB87" s="88"/>
      <c r="AC87" s="88"/>
      <c r="AD87" s="89" t="s">
        <v>6144</v>
      </c>
      <c r="AF87" s="89" t="s">
        <v>6140</v>
      </c>
      <c r="AJ87" s="88"/>
      <c r="AL87" s="89" t="s">
        <v>6143</v>
      </c>
      <c r="AO87" s="88"/>
      <c r="AQ87" s="88"/>
      <c r="AR87" s="88"/>
      <c r="AS87" s="88"/>
      <c r="AU87" s="86"/>
      <c r="AW87" s="88"/>
      <c r="AX87" s="88"/>
      <c r="AY87" s="88"/>
      <c r="AZ87" s="88"/>
      <c r="BA87" s="88"/>
      <c r="BB87" s="88"/>
      <c r="BC87" s="86"/>
      <c r="BD87" s="88"/>
      <c r="BE87" s="88"/>
      <c r="BF87" s="89" t="s">
        <v>6143</v>
      </c>
      <c r="BJ87" s="86"/>
      <c r="BK87" s="88"/>
      <c r="BL87" s="88"/>
      <c r="BM87" s="88"/>
      <c r="BN87" s="86"/>
      <c r="BO87" s="86"/>
      <c r="BP87" s="88"/>
      <c r="BQ87" s="86"/>
      <c r="BR87" s="92"/>
      <c r="BS87" s="92"/>
      <c r="BT87" s="86"/>
      <c r="BU87" s="86"/>
      <c r="BV87" s="92"/>
      <c r="BW87" s="92"/>
      <c r="BY87" s="92"/>
      <c r="BZ87" s="92"/>
      <c r="CA87" s="92"/>
      <c r="CB87" s="92"/>
      <c r="CD87" s="92"/>
      <c r="CE87" s="92"/>
      <c r="CF87" s="92"/>
      <c r="CG87" s="92"/>
    </row>
    <row r="88" customFormat="false" ht="13.5" hidden="false" customHeight="true" outlineLevel="0" collapsed="false">
      <c r="A88" s="41" t="s">
        <v>5946</v>
      </c>
      <c r="B88" s="42" t="n">
        <v>23</v>
      </c>
      <c r="C88" s="42" t="n">
        <v>24</v>
      </c>
      <c r="D88" s="42" t="n">
        <v>25</v>
      </c>
      <c r="E88" s="42" t="n">
        <v>26</v>
      </c>
      <c r="F88" s="42" t="n">
        <v>27</v>
      </c>
      <c r="G88" s="43" t="n">
        <v>28</v>
      </c>
      <c r="H88" s="43" t="s">
        <v>5947</v>
      </c>
      <c r="I88" s="42" t="n">
        <v>2</v>
      </c>
      <c r="J88" s="42" t="n">
        <v>3</v>
      </c>
      <c r="K88" s="42" t="n">
        <v>4</v>
      </c>
      <c r="L88" s="42" t="n">
        <v>5</v>
      </c>
      <c r="M88" s="42" t="n">
        <v>6</v>
      </c>
      <c r="N88" s="43" t="n">
        <v>7</v>
      </c>
      <c r="O88" s="43" t="n">
        <v>8</v>
      </c>
      <c r="P88" s="42" t="n">
        <v>9</v>
      </c>
      <c r="Q88" s="42" t="n">
        <v>10</v>
      </c>
      <c r="R88" s="42" t="n">
        <v>11</v>
      </c>
      <c r="S88" s="42" t="n">
        <v>12</v>
      </c>
      <c r="T88" s="42" t="n">
        <v>13</v>
      </c>
      <c r="U88" s="43" t="n">
        <v>14</v>
      </c>
      <c r="V88" s="43" t="n">
        <v>15</v>
      </c>
      <c r="W88" s="42" t="n">
        <v>16</v>
      </c>
      <c r="X88" s="42" t="n">
        <v>17</v>
      </c>
      <c r="Y88" s="42" t="n">
        <v>18</v>
      </c>
      <c r="Z88" s="42" t="n">
        <v>19</v>
      </c>
      <c r="AA88" s="42" t="n">
        <v>20</v>
      </c>
      <c r="AB88" s="43" t="n">
        <v>21</v>
      </c>
      <c r="AC88" s="43" t="n">
        <v>22</v>
      </c>
      <c r="AD88" s="42" t="n">
        <v>23</v>
      </c>
      <c r="AE88" s="42" t="n">
        <v>24</v>
      </c>
      <c r="AF88" s="42" t="n">
        <v>25</v>
      </c>
      <c r="AG88" s="42" t="n">
        <v>26</v>
      </c>
      <c r="AH88" s="42" t="n">
        <v>27</v>
      </c>
      <c r="AI88" s="43" t="n">
        <v>28</v>
      </c>
      <c r="AJ88" s="43" t="n">
        <v>29</v>
      </c>
      <c r="AK88" s="42" t="n">
        <v>30</v>
      </c>
      <c r="AL88" s="42" t="n">
        <v>31</v>
      </c>
      <c r="AM88" s="42" t="s">
        <v>5948</v>
      </c>
      <c r="AN88" s="42" t="n">
        <v>2</v>
      </c>
      <c r="AO88" s="42" t="n">
        <v>3</v>
      </c>
      <c r="AP88" s="43" t="n">
        <v>4</v>
      </c>
      <c r="AQ88" s="43" t="n">
        <v>5</v>
      </c>
      <c r="AR88" s="42" t="n">
        <v>6</v>
      </c>
      <c r="AS88" s="42" t="n">
        <v>7</v>
      </c>
      <c r="AT88" s="42" t="n">
        <v>8</v>
      </c>
      <c r="AU88" s="42" t="n">
        <v>9</v>
      </c>
      <c r="AV88" s="42" t="n">
        <v>10</v>
      </c>
      <c r="AW88" s="43" t="n">
        <v>11</v>
      </c>
      <c r="AX88" s="43" t="n">
        <v>12</v>
      </c>
      <c r="AY88" s="42" t="n">
        <v>13</v>
      </c>
      <c r="AZ88" s="42" t="n">
        <v>14</v>
      </c>
      <c r="BA88" s="42" t="n">
        <v>15</v>
      </c>
      <c r="BB88" s="42" t="n">
        <v>16</v>
      </c>
      <c r="BC88" s="42" t="n">
        <v>17</v>
      </c>
      <c r="BD88" s="43" t="n">
        <v>18</v>
      </c>
      <c r="BE88" s="43" t="n">
        <v>19</v>
      </c>
      <c r="BF88" s="42" t="n">
        <v>20</v>
      </c>
      <c r="BG88" s="42" t="n">
        <v>21</v>
      </c>
      <c r="BH88" s="42" t="n">
        <v>22</v>
      </c>
      <c r="BI88" s="42" t="n">
        <v>23</v>
      </c>
      <c r="BJ88" s="42" t="n">
        <v>24</v>
      </c>
      <c r="BK88" s="43" t="n">
        <v>25</v>
      </c>
      <c r="BL88" s="43" t="n">
        <v>26</v>
      </c>
      <c r="BM88" s="43" t="n">
        <v>27</v>
      </c>
      <c r="BN88" s="42" t="n">
        <v>28</v>
      </c>
      <c r="BO88" s="42" t="n">
        <v>29</v>
      </c>
      <c r="BP88" s="43" t="n">
        <v>30</v>
      </c>
      <c r="BQ88" s="43" t="s">
        <v>5949</v>
      </c>
      <c r="BR88" s="43" t="n">
        <v>2</v>
      </c>
      <c r="BS88" s="43" t="n">
        <v>3</v>
      </c>
      <c r="BT88" s="42" t="n">
        <v>4</v>
      </c>
      <c r="BU88" s="42" t="n">
        <v>5</v>
      </c>
      <c r="BV88" s="42" t="n">
        <v>6</v>
      </c>
      <c r="BW88" s="42" t="n">
        <v>7</v>
      </c>
      <c r="BX88" s="42" t="n">
        <v>8</v>
      </c>
      <c r="BY88" s="43" t="n">
        <v>9</v>
      </c>
      <c r="BZ88" s="43" t="n">
        <v>10</v>
      </c>
      <c r="CA88" s="42" t="n">
        <v>11</v>
      </c>
      <c r="CB88" s="42" t="n">
        <v>12</v>
      </c>
      <c r="CC88" s="42" t="n">
        <v>13</v>
      </c>
      <c r="CD88" s="42" t="n">
        <v>14</v>
      </c>
      <c r="CE88" s="42" t="n">
        <v>15</v>
      </c>
      <c r="CF88" s="43" t="n">
        <v>16</v>
      </c>
      <c r="CG88" s="43" t="n">
        <v>17</v>
      </c>
      <c r="CH88" s="42" t="n">
        <v>18</v>
      </c>
      <c r="CI88" s="42" t="n">
        <v>19</v>
      </c>
      <c r="CJ88" s="42" t="n">
        <v>20</v>
      </c>
      <c r="CK88" s="42" t="n">
        <v>21</v>
      </c>
      <c r="CL88" s="42" t="n">
        <v>22</v>
      </c>
      <c r="CM88" s="43" t="n">
        <v>23</v>
      </c>
      <c r="CN88" s="43" t="n">
        <v>24</v>
      </c>
      <c r="CO88" s="42" t="n">
        <v>25</v>
      </c>
      <c r="CP88" s="42" t="n">
        <v>26</v>
      </c>
      <c r="CQ88" s="42" t="n">
        <v>27</v>
      </c>
      <c r="CR88" s="42" t="n">
        <v>28</v>
      </c>
      <c r="CS88" s="42" t="n">
        <v>29</v>
      </c>
      <c r="CT88" s="43" t="n">
        <v>30</v>
      </c>
      <c r="CU88" s="43" t="n">
        <v>31</v>
      </c>
      <c r="CV88" s="42" t="n">
        <v>25</v>
      </c>
      <c r="CW88" s="42" t="n">
        <v>26</v>
      </c>
      <c r="CX88" s="42" t="n">
        <v>27</v>
      </c>
      <c r="CY88" s="42" t="n">
        <v>28</v>
      </c>
      <c r="CZ88" s="42" t="n">
        <v>29</v>
      </c>
      <c r="DA88" s="43" t="n">
        <v>30</v>
      </c>
      <c r="DB88" s="43" t="n">
        <v>31</v>
      </c>
      <c r="DC88" s="42" t="n">
        <v>8</v>
      </c>
      <c r="DD88" s="42" t="n">
        <v>9</v>
      </c>
      <c r="DE88" s="42" t="n">
        <v>10</v>
      </c>
      <c r="DF88" s="42" t="n">
        <v>11</v>
      </c>
      <c r="DG88" s="42" t="n">
        <v>12</v>
      </c>
      <c r="DH88" s="43" t="n">
        <v>13</v>
      </c>
      <c r="DI88" s="43" t="n">
        <v>14</v>
      </c>
      <c r="DJ88" s="42" t="n">
        <v>15</v>
      </c>
      <c r="DK88" s="42" t="n">
        <v>16</v>
      </c>
      <c r="DL88" s="42" t="n">
        <v>17</v>
      </c>
      <c r="DM88" s="42" t="n">
        <v>18</v>
      </c>
      <c r="DN88" s="42" t="n">
        <v>19</v>
      </c>
      <c r="DO88" s="43" t="n">
        <v>20</v>
      </c>
      <c r="DP88" s="43" t="n">
        <v>21</v>
      </c>
      <c r="DQ88" s="42" t="n">
        <v>22</v>
      </c>
      <c r="DR88" s="42" t="n">
        <v>23</v>
      </c>
      <c r="DS88" s="42" t="n">
        <v>24</v>
      </c>
      <c r="DT88" s="42" t="n">
        <v>25</v>
      </c>
      <c r="DU88" s="42" t="n">
        <v>26</v>
      </c>
      <c r="DV88" s="43" t="n">
        <v>27</v>
      </c>
      <c r="DW88" s="43" t="n">
        <v>28</v>
      </c>
      <c r="DX88" s="42" t="n">
        <v>29</v>
      </c>
      <c r="DY88" s="42" t="n">
        <v>30</v>
      </c>
    </row>
    <row r="89" customFormat="false" ht="13.5" hidden="false" customHeight="true" outlineLevel="0" collapsed="false">
      <c r="A89" s="41" t="s">
        <v>5952</v>
      </c>
      <c r="B89" s="99" t="n">
        <v>212</v>
      </c>
      <c r="C89" s="99" t="n">
        <v>81</v>
      </c>
      <c r="D89" s="99" t="n">
        <v>253</v>
      </c>
      <c r="E89" s="99" t="n">
        <v>134</v>
      </c>
      <c r="F89" s="44" t="n">
        <v>716</v>
      </c>
      <c r="G89" s="44"/>
      <c r="H89" s="44"/>
      <c r="I89" s="44" t="n">
        <v>2100</v>
      </c>
      <c r="J89" s="44" t="n">
        <v>1516</v>
      </c>
      <c r="K89" s="44" t="n">
        <v>370</v>
      </c>
      <c r="L89" s="44" t="n">
        <v>370</v>
      </c>
      <c r="M89" s="44" t="n">
        <v>237</v>
      </c>
      <c r="N89" s="44"/>
      <c r="O89" s="44"/>
      <c r="P89" s="44" t="n">
        <v>2310</v>
      </c>
      <c r="Q89" s="44" t="n">
        <v>2310</v>
      </c>
      <c r="R89" s="44" t="n">
        <v>2310</v>
      </c>
      <c r="S89" s="44" t="n">
        <v>2310</v>
      </c>
      <c r="T89" s="44" t="n">
        <v>2310</v>
      </c>
      <c r="U89" s="44"/>
      <c r="V89" s="44"/>
      <c r="W89" s="44" t="n">
        <v>2310</v>
      </c>
      <c r="X89" s="44" t="n">
        <v>2310</v>
      </c>
      <c r="Y89" s="44" t="n">
        <v>2310</v>
      </c>
      <c r="Z89" s="44" t="n">
        <v>2310</v>
      </c>
      <c r="AA89" s="44" t="n">
        <v>2310</v>
      </c>
      <c r="AB89" s="44"/>
      <c r="AC89" s="44"/>
      <c r="AD89" s="44" t="n">
        <v>455</v>
      </c>
      <c r="AE89" s="44" t="n">
        <v>1100</v>
      </c>
      <c r="AF89" s="44" t="n">
        <v>780</v>
      </c>
      <c r="AG89" s="44" t="n">
        <v>780</v>
      </c>
      <c r="AH89" s="44" t="n">
        <v>780</v>
      </c>
      <c r="AI89" s="44"/>
      <c r="AJ89" s="44"/>
      <c r="AK89" s="44" t="n">
        <v>662</v>
      </c>
      <c r="AL89" s="44" t="n">
        <v>1700</v>
      </c>
      <c r="AM89" s="44" t="n">
        <v>1700</v>
      </c>
      <c r="AN89" s="44" t="n">
        <v>1700</v>
      </c>
      <c r="AO89" s="44" t="n">
        <v>1700</v>
      </c>
      <c r="AP89" s="44"/>
      <c r="AQ89" s="44"/>
      <c r="AR89" s="44" t="n">
        <v>1700</v>
      </c>
      <c r="AS89" s="44" t="n">
        <v>1700</v>
      </c>
      <c r="AT89" s="44" t="n">
        <v>1700</v>
      </c>
      <c r="AU89" s="44" t="n">
        <v>1700</v>
      </c>
      <c r="AV89" s="44" t="n">
        <v>1700</v>
      </c>
      <c r="AW89" s="44"/>
      <c r="AX89" s="44"/>
      <c r="AY89" s="44" t="n">
        <v>1700</v>
      </c>
      <c r="AZ89" s="44" t="n">
        <v>1700</v>
      </c>
      <c r="BA89" s="44" t="n">
        <v>1700</v>
      </c>
      <c r="BB89" s="44" t="n">
        <v>1700</v>
      </c>
      <c r="BC89" s="44" t="n">
        <v>1700</v>
      </c>
      <c r="BD89" s="44"/>
      <c r="BE89" s="44"/>
      <c r="BF89" s="44" t="n">
        <v>1205</v>
      </c>
      <c r="BG89" s="44" t="n">
        <v>1800</v>
      </c>
      <c r="BH89" s="44" t="n">
        <v>1800</v>
      </c>
      <c r="BI89" s="44" t="n">
        <v>1800</v>
      </c>
      <c r="BJ89" s="44" t="n">
        <v>1800</v>
      </c>
      <c r="BK89" s="44"/>
      <c r="BL89" s="44"/>
      <c r="BM89" s="100" t="s">
        <v>6145</v>
      </c>
      <c r="BN89" s="44" t="n">
        <v>1800</v>
      </c>
      <c r="BO89" s="44" t="n">
        <v>1800</v>
      </c>
      <c r="BP89" s="100" t="s">
        <v>6145</v>
      </c>
      <c r="BQ89" s="100" t="s">
        <v>6145</v>
      </c>
      <c r="BR89" s="93"/>
      <c r="BS89" s="93"/>
      <c r="BT89" s="44" t="n">
        <v>1800</v>
      </c>
      <c r="BU89" s="44" t="n">
        <v>1800</v>
      </c>
      <c r="BV89" s="44" t="n">
        <v>1800</v>
      </c>
      <c r="BW89" s="44" t="n">
        <v>1800</v>
      </c>
      <c r="BX89" s="44" t="n">
        <v>1800</v>
      </c>
      <c r="BY89" s="44"/>
      <c r="BZ89" s="44"/>
      <c r="CA89" s="44" t="n">
        <v>1800</v>
      </c>
      <c r="CB89" s="44" t="n">
        <v>1800</v>
      </c>
      <c r="CC89" s="44" t="n">
        <v>1100</v>
      </c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44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  <c r="DK89" s="44"/>
      <c r="DL89" s="44"/>
      <c r="DM89" s="44"/>
      <c r="DN89" s="44"/>
      <c r="DO89" s="44"/>
      <c r="DP89" s="44"/>
      <c r="DQ89" s="44"/>
      <c r="DR89" s="44"/>
      <c r="DS89" s="44"/>
      <c r="DT89" s="44"/>
      <c r="DU89" s="44"/>
      <c r="DV89" s="44"/>
      <c r="DW89" s="44"/>
      <c r="DX89" s="44"/>
      <c r="DY89" s="44"/>
    </row>
    <row r="90" customFormat="false" ht="13.5" hidden="false" customHeight="true" outlineLevel="0" collapsed="false">
      <c r="A90" s="41"/>
      <c r="B90" s="94"/>
      <c r="C90" s="94"/>
      <c r="D90" s="94"/>
      <c r="E90" s="101" t="n">
        <f aca="false">+1559+727</f>
        <v>2286</v>
      </c>
      <c r="F90" s="94" t="n">
        <v>1384</v>
      </c>
      <c r="G90" s="94"/>
      <c r="H90" s="94"/>
      <c r="I90" s="94"/>
      <c r="J90" s="94" t="n">
        <v>70</v>
      </c>
      <c r="K90" s="94"/>
      <c r="L90" s="94"/>
      <c r="M90" s="94" t="n">
        <v>1450</v>
      </c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  <c r="AA90" s="94"/>
      <c r="AB90" s="94"/>
      <c r="AC90" s="94"/>
      <c r="AD90" s="94" t="n">
        <v>902</v>
      </c>
      <c r="AE90" s="94"/>
      <c r="AF90" s="94"/>
      <c r="AG90" s="94"/>
      <c r="AH90" s="94"/>
      <c r="AI90" s="94"/>
      <c r="AJ90" s="94"/>
      <c r="AK90" s="94"/>
      <c r="AL90" s="94"/>
      <c r="AM90" s="94"/>
      <c r="AN90" s="94"/>
      <c r="AO90" s="94"/>
      <c r="AP90" s="94"/>
      <c r="AQ90" s="94"/>
      <c r="AR90" s="94"/>
      <c r="AS90" s="94"/>
      <c r="AT90" s="94"/>
      <c r="AU90" s="94"/>
      <c r="AV90" s="94"/>
      <c r="AW90" s="94"/>
      <c r="AX90" s="94"/>
      <c r="AY90" s="94"/>
      <c r="AZ90" s="94"/>
      <c r="BA90" s="94"/>
      <c r="BB90" s="94"/>
      <c r="BC90" s="94"/>
      <c r="BD90" s="94"/>
      <c r="BE90" s="94"/>
      <c r="BF90" s="94" t="n">
        <v>505</v>
      </c>
      <c r="BG90" s="94"/>
      <c r="BH90" s="94"/>
      <c r="BI90" s="94"/>
      <c r="BJ90" s="94"/>
      <c r="BK90" s="94"/>
      <c r="BL90" s="94"/>
      <c r="BM90" s="100"/>
      <c r="BN90" s="94"/>
      <c r="BO90" s="94"/>
      <c r="BP90" s="100"/>
      <c r="BQ90" s="100"/>
      <c r="BR90" s="93"/>
      <c r="BS90" s="93"/>
      <c r="BT90" s="94"/>
      <c r="BU90" s="94"/>
      <c r="BV90" s="94"/>
      <c r="BW90" s="94"/>
      <c r="BX90" s="94"/>
      <c r="BY90" s="94"/>
      <c r="BZ90" s="94"/>
      <c r="CA90" s="94"/>
      <c r="CB90" s="94"/>
      <c r="CC90" s="94"/>
      <c r="CD90" s="94"/>
      <c r="CE90" s="94"/>
      <c r="CF90" s="94"/>
      <c r="CG90" s="94"/>
      <c r="CH90" s="94"/>
      <c r="CI90" s="94"/>
      <c r="CJ90" s="94"/>
      <c r="CK90" s="94"/>
      <c r="CL90" s="94"/>
      <c r="CM90" s="94"/>
      <c r="CN90" s="94"/>
      <c r="CO90" s="94"/>
      <c r="CP90" s="94"/>
      <c r="CQ90" s="94"/>
      <c r="CR90" s="94"/>
      <c r="CS90" s="94"/>
      <c r="CT90" s="94"/>
      <c r="CU90" s="94"/>
      <c r="CV90" s="94"/>
      <c r="CW90" s="94"/>
      <c r="CX90" s="94"/>
      <c r="CY90" s="94"/>
      <c r="CZ90" s="94"/>
      <c r="DA90" s="94"/>
      <c r="DB90" s="94"/>
      <c r="DC90" s="45"/>
      <c r="DD90" s="45"/>
      <c r="DE90" s="45"/>
      <c r="DF90" s="45"/>
      <c r="DG90" s="45"/>
      <c r="DH90" s="45"/>
      <c r="DI90" s="45"/>
      <c r="DJ90" s="45"/>
      <c r="DK90" s="45"/>
      <c r="DL90" s="45"/>
      <c r="DM90" s="45"/>
      <c r="DN90" s="45"/>
      <c r="DO90" s="45"/>
      <c r="DP90" s="45"/>
      <c r="DQ90" s="45"/>
      <c r="DR90" s="45"/>
      <c r="DS90" s="45"/>
      <c r="DT90" s="45"/>
      <c r="DU90" s="45"/>
      <c r="DV90" s="45"/>
      <c r="DW90" s="45"/>
      <c r="DX90" s="45"/>
      <c r="DY90" s="45"/>
    </row>
    <row r="91" customFormat="false" ht="13.5" hidden="false" customHeight="true" outlineLevel="0" collapsed="false">
      <c r="A91" s="95"/>
      <c r="B91" s="96" t="s">
        <v>5953</v>
      </c>
      <c r="C91" s="96"/>
      <c r="D91" s="96"/>
      <c r="E91" s="96" t="s">
        <v>5953</v>
      </c>
      <c r="F91" s="96" t="s">
        <v>5953</v>
      </c>
      <c r="G91" s="97"/>
      <c r="H91" s="97"/>
      <c r="I91" s="97"/>
      <c r="J91" s="96" t="s">
        <v>5953</v>
      </c>
      <c r="K91" s="97"/>
      <c r="L91" s="97"/>
      <c r="M91" s="96" t="s">
        <v>5953</v>
      </c>
      <c r="N91" s="97"/>
      <c r="O91" s="97"/>
      <c r="P91" s="97"/>
      <c r="Q91" s="97"/>
      <c r="R91" s="97"/>
      <c r="S91" s="97"/>
      <c r="T91" s="96"/>
      <c r="U91" s="97"/>
      <c r="V91" s="97"/>
      <c r="W91" s="97"/>
      <c r="X91" s="97"/>
      <c r="Y91" s="97"/>
      <c r="Z91" s="102"/>
      <c r="AA91" s="102"/>
      <c r="AB91" s="97"/>
      <c r="AC91" s="97"/>
      <c r="AD91" s="96" t="s">
        <v>5953</v>
      </c>
      <c r="AE91" s="97"/>
      <c r="AF91" s="103" t="s">
        <v>6146</v>
      </c>
      <c r="AG91" s="97"/>
      <c r="AH91" s="97"/>
      <c r="AI91" s="97"/>
      <c r="AJ91" s="97"/>
      <c r="AK91" s="97"/>
      <c r="AL91" s="102" t="s">
        <v>6147</v>
      </c>
      <c r="AM91" s="97"/>
      <c r="AN91" s="97"/>
      <c r="AO91" s="97"/>
      <c r="AP91" s="97"/>
      <c r="AQ91" s="97"/>
      <c r="AR91" s="97"/>
      <c r="AS91" s="97"/>
      <c r="AT91" s="97"/>
      <c r="AU91" s="97"/>
      <c r="AV91" s="97"/>
      <c r="AW91" s="97"/>
      <c r="AX91" s="97"/>
      <c r="AY91" s="97"/>
      <c r="AZ91" s="97"/>
      <c r="BA91" s="97"/>
      <c r="BB91" s="97"/>
      <c r="BC91" s="102"/>
      <c r="BD91" s="97"/>
      <c r="BE91" s="97"/>
      <c r="BF91" s="102" t="s">
        <v>6148</v>
      </c>
      <c r="BG91" s="102"/>
      <c r="BH91" s="102"/>
      <c r="BI91" s="102"/>
      <c r="BJ91" s="102"/>
      <c r="BK91" s="97"/>
      <c r="BL91" s="97"/>
      <c r="BM91" s="97"/>
      <c r="BN91" s="102"/>
      <c r="BO91" s="102"/>
      <c r="BP91" s="97"/>
      <c r="BQ91" s="102"/>
      <c r="BR91" s="97"/>
      <c r="BS91" s="97"/>
      <c r="BT91" s="102"/>
      <c r="BU91" s="102"/>
      <c r="BV91" s="97"/>
      <c r="BW91" s="97"/>
      <c r="BX91" s="97"/>
      <c r="BY91" s="97"/>
      <c r="BZ91" s="97"/>
      <c r="CA91" s="97"/>
      <c r="CB91" s="97"/>
      <c r="CC91" s="97"/>
      <c r="CD91" s="97"/>
      <c r="CE91" s="97"/>
      <c r="CF91" s="97"/>
      <c r="CG91" s="97"/>
      <c r="CH91" s="97"/>
      <c r="CI91" s="97"/>
      <c r="CJ91" s="97"/>
      <c r="CK91" s="97"/>
      <c r="CL91" s="97"/>
      <c r="CM91" s="97"/>
      <c r="CN91" s="97"/>
      <c r="CO91" s="97"/>
      <c r="CP91" s="97"/>
      <c r="CQ91" s="97"/>
      <c r="CR91" s="97"/>
      <c r="CS91" s="97"/>
      <c r="CT91" s="97"/>
      <c r="CU91" s="97"/>
      <c r="CV91" s="97"/>
      <c r="CW91" s="97"/>
      <c r="CX91" s="97"/>
      <c r="CY91" s="97"/>
      <c r="CZ91" s="97"/>
      <c r="DA91" s="97"/>
      <c r="DB91" s="97"/>
      <c r="DC91" s="49"/>
      <c r="DD91" s="49"/>
      <c r="DE91" s="49"/>
      <c r="DF91" s="49"/>
      <c r="DG91" s="49"/>
      <c r="DH91" s="49"/>
      <c r="DI91" s="49"/>
      <c r="DJ91" s="49"/>
      <c r="DK91" s="49"/>
      <c r="DL91" s="49"/>
      <c r="DM91" s="49"/>
      <c r="DN91" s="49"/>
      <c r="DO91" s="49"/>
      <c r="DP91" s="49"/>
      <c r="DQ91" s="49"/>
      <c r="DR91" s="49"/>
      <c r="DS91" s="49"/>
      <c r="DT91" s="49"/>
      <c r="DU91" s="49"/>
      <c r="DV91" s="49"/>
      <c r="DW91" s="49"/>
      <c r="DX91" s="49"/>
      <c r="DY91" s="49"/>
    </row>
    <row r="92" customFormat="false" ht="13.5" hidden="false" customHeight="true" outlineLevel="0" collapsed="false">
      <c r="A92" s="98" t="s">
        <v>5960</v>
      </c>
      <c r="B92" s="104" t="n">
        <v>13</v>
      </c>
      <c r="C92" s="104" t="n">
        <v>13</v>
      </c>
      <c r="D92" s="104" t="n">
        <v>13</v>
      </c>
      <c r="E92" s="104" t="n">
        <v>13</v>
      </c>
      <c r="F92" s="104" t="n">
        <v>13</v>
      </c>
      <c r="G92" s="104" t="n">
        <v>13</v>
      </c>
      <c r="H92" s="104" t="n">
        <v>13</v>
      </c>
      <c r="I92" s="104" t="n">
        <v>13</v>
      </c>
      <c r="J92" s="104" t="n">
        <v>13</v>
      </c>
      <c r="K92" s="104" t="n">
        <v>13</v>
      </c>
      <c r="L92" s="104" t="n">
        <v>13</v>
      </c>
      <c r="M92" s="104" t="n">
        <v>13</v>
      </c>
      <c r="N92" s="104" t="n">
        <v>13</v>
      </c>
      <c r="O92" s="104" t="n">
        <v>13</v>
      </c>
      <c r="P92" s="104" t="n">
        <v>13</v>
      </c>
      <c r="Q92" s="104" t="n">
        <v>13</v>
      </c>
      <c r="R92" s="104" t="n">
        <v>13</v>
      </c>
      <c r="S92" s="104" t="n">
        <v>13</v>
      </c>
      <c r="T92" s="104" t="n">
        <v>13</v>
      </c>
      <c r="U92" s="104" t="n">
        <v>13</v>
      </c>
      <c r="V92" s="104" t="n">
        <v>13</v>
      </c>
      <c r="W92" s="104" t="n">
        <v>13</v>
      </c>
      <c r="X92" s="104" t="n">
        <v>13</v>
      </c>
      <c r="Y92" s="104" t="n">
        <v>13</v>
      </c>
      <c r="Z92" s="104" t="n">
        <v>13</v>
      </c>
      <c r="AA92" s="104" t="n">
        <v>13</v>
      </c>
      <c r="AB92" s="104" t="n">
        <v>13</v>
      </c>
      <c r="AC92" s="104" t="n">
        <v>13</v>
      </c>
      <c r="AD92" s="104" t="n">
        <v>13</v>
      </c>
      <c r="AE92" s="104" t="n">
        <v>13</v>
      </c>
      <c r="AF92" s="104" t="n">
        <v>13</v>
      </c>
      <c r="AG92" s="104" t="n">
        <v>13</v>
      </c>
      <c r="AH92" s="104" t="n">
        <v>13</v>
      </c>
      <c r="AI92" s="104" t="n">
        <v>13</v>
      </c>
      <c r="AJ92" s="104" t="n">
        <v>13</v>
      </c>
      <c r="AK92" s="104" t="n">
        <v>13</v>
      </c>
      <c r="AL92" s="104" t="n">
        <v>13</v>
      </c>
      <c r="AM92" s="104" t="n">
        <v>13</v>
      </c>
      <c r="AN92" s="104" t="n">
        <v>13</v>
      </c>
      <c r="AO92" s="104" t="n">
        <v>13</v>
      </c>
      <c r="AP92" s="104" t="n">
        <v>13</v>
      </c>
      <c r="AQ92" s="104" t="n">
        <v>13</v>
      </c>
      <c r="AR92" s="104" t="n">
        <v>13</v>
      </c>
      <c r="AS92" s="104" t="n">
        <v>13</v>
      </c>
      <c r="AT92" s="104" t="n">
        <v>13</v>
      </c>
      <c r="AU92" s="104" t="n">
        <v>13</v>
      </c>
      <c r="AV92" s="104" t="n">
        <v>13</v>
      </c>
      <c r="AW92" s="104" t="n">
        <v>13</v>
      </c>
      <c r="AX92" s="104" t="n">
        <v>13</v>
      </c>
      <c r="AY92" s="104" t="n">
        <v>13</v>
      </c>
      <c r="AZ92" s="104" t="n">
        <v>13</v>
      </c>
      <c r="BA92" s="104" t="n">
        <v>13</v>
      </c>
      <c r="BB92" s="104" t="n">
        <v>13</v>
      </c>
      <c r="BC92" s="104" t="n">
        <v>13</v>
      </c>
      <c r="BD92" s="104" t="n">
        <v>13</v>
      </c>
      <c r="BE92" s="104" t="n">
        <v>13</v>
      </c>
      <c r="BF92" s="104" t="n">
        <v>13</v>
      </c>
      <c r="BG92" s="104" t="n">
        <v>13</v>
      </c>
      <c r="BH92" s="104" t="n">
        <v>13</v>
      </c>
      <c r="BI92" s="104" t="n">
        <v>13</v>
      </c>
      <c r="BJ92" s="104" t="n">
        <v>13</v>
      </c>
      <c r="BK92" s="104" t="n">
        <v>13</v>
      </c>
      <c r="BL92" s="104" t="n">
        <v>13</v>
      </c>
      <c r="BM92" s="104" t="n">
        <v>13</v>
      </c>
      <c r="BN92" s="104" t="n">
        <v>13</v>
      </c>
      <c r="BO92" s="104" t="n">
        <v>13</v>
      </c>
      <c r="BP92" s="104" t="n">
        <v>13</v>
      </c>
      <c r="BQ92" s="104" t="n">
        <v>13</v>
      </c>
      <c r="BR92" s="104" t="n">
        <v>13</v>
      </c>
      <c r="BS92" s="104" t="n">
        <v>13</v>
      </c>
      <c r="BT92" s="104" t="n">
        <v>13</v>
      </c>
      <c r="BU92" s="104" t="n">
        <v>13</v>
      </c>
      <c r="BV92" s="104" t="n">
        <v>13</v>
      </c>
      <c r="BW92" s="104" t="n">
        <v>13</v>
      </c>
      <c r="BX92" s="104" t="n">
        <v>13</v>
      </c>
      <c r="BY92" s="104" t="n">
        <v>13</v>
      </c>
      <c r="BZ92" s="104" t="n">
        <v>13</v>
      </c>
      <c r="CA92" s="104" t="n">
        <v>13</v>
      </c>
      <c r="CB92" s="104" t="n">
        <v>13</v>
      </c>
      <c r="CC92" s="104" t="n">
        <v>13</v>
      </c>
      <c r="CD92" s="104" t="n">
        <v>13</v>
      </c>
      <c r="CE92" s="104" t="n">
        <v>13</v>
      </c>
      <c r="CF92" s="104" t="n">
        <v>13</v>
      </c>
      <c r="CG92" s="104" t="n">
        <v>13</v>
      </c>
      <c r="CH92" s="104" t="n">
        <v>13</v>
      </c>
      <c r="CI92" s="104" t="n">
        <v>13</v>
      </c>
      <c r="CJ92" s="104" t="n">
        <v>13</v>
      </c>
      <c r="CK92" s="104" t="n">
        <v>13</v>
      </c>
      <c r="CL92" s="104" t="n">
        <v>13</v>
      </c>
      <c r="CM92" s="104" t="n">
        <v>13</v>
      </c>
      <c r="CN92" s="104" t="n">
        <v>13</v>
      </c>
      <c r="CO92" s="104" t="n">
        <v>13</v>
      </c>
      <c r="CP92" s="104" t="n">
        <v>13</v>
      </c>
      <c r="CQ92" s="104" t="n">
        <v>13</v>
      </c>
      <c r="CR92" s="104" t="n">
        <v>13</v>
      </c>
      <c r="CS92" s="104" t="n">
        <v>13</v>
      </c>
      <c r="CT92" s="104" t="n">
        <v>13</v>
      </c>
      <c r="CU92" s="104" t="n">
        <v>13</v>
      </c>
      <c r="CV92" s="104" t="n">
        <v>13</v>
      </c>
      <c r="CW92" s="104" t="n">
        <v>13</v>
      </c>
      <c r="CX92" s="104" t="n">
        <v>13</v>
      </c>
      <c r="CY92" s="104" t="n">
        <v>13</v>
      </c>
      <c r="CZ92" s="104" t="n">
        <v>13</v>
      </c>
      <c r="DA92" s="104" t="n">
        <v>13</v>
      </c>
      <c r="DB92" s="104" t="n">
        <v>13</v>
      </c>
      <c r="DC92" s="53"/>
      <c r="DD92" s="53"/>
      <c r="DE92" s="53"/>
      <c r="DF92" s="53"/>
      <c r="DG92" s="53"/>
      <c r="DH92" s="53"/>
      <c r="DI92" s="53"/>
      <c r="DJ92" s="53"/>
      <c r="DK92" s="53"/>
      <c r="DL92" s="53"/>
      <c r="DM92" s="53"/>
      <c r="DN92" s="53"/>
      <c r="DO92" s="53"/>
      <c r="DP92" s="53"/>
      <c r="DQ92" s="53"/>
      <c r="DR92" s="53"/>
      <c r="DS92" s="53"/>
      <c r="DT92" s="53"/>
      <c r="DU92" s="53"/>
      <c r="DV92" s="53"/>
      <c r="DW92" s="53"/>
      <c r="DX92" s="53"/>
      <c r="DY92" s="53"/>
    </row>
    <row r="93" customFormat="false" ht="13.5" hidden="false" customHeight="true" outlineLevel="0" collapsed="false">
      <c r="A93" s="105"/>
    </row>
    <row r="94" customFormat="false" ht="13.5" hidden="false" customHeight="true" outlineLevel="0" collapsed="false">
      <c r="A94" s="85" t="s">
        <v>6149</v>
      </c>
      <c r="B94" s="65" t="s">
        <v>5947</v>
      </c>
      <c r="C94" s="65"/>
      <c r="D94" s="65" t="s">
        <v>6150</v>
      </c>
      <c r="E94" s="65"/>
      <c r="F94" s="65"/>
      <c r="G94" s="65"/>
      <c r="H94" s="65"/>
      <c r="I94" s="65"/>
      <c r="J94" s="65"/>
      <c r="K94" s="65"/>
      <c r="L94" s="65" t="s">
        <v>6151</v>
      </c>
      <c r="M94" s="65"/>
      <c r="N94" s="65"/>
      <c r="O94" s="65"/>
      <c r="P94" s="65"/>
      <c r="Q94" s="65"/>
      <c r="R94" s="65"/>
      <c r="S94" s="65"/>
      <c r="T94" s="65" t="s">
        <v>5947</v>
      </c>
      <c r="U94" s="65"/>
      <c r="V94" s="65"/>
      <c r="W94" s="65"/>
      <c r="X94" s="65"/>
      <c r="Y94" s="65" t="s">
        <v>5947</v>
      </c>
      <c r="Z94" s="65"/>
      <c r="AA94" s="65"/>
      <c r="AB94" s="65"/>
      <c r="AC94" s="65"/>
      <c r="AD94" s="65"/>
      <c r="AE94" s="65" t="s">
        <v>5947</v>
      </c>
      <c r="AF94" s="65"/>
      <c r="AG94" s="65"/>
      <c r="AH94" s="65"/>
      <c r="AI94" s="65"/>
      <c r="AJ94" s="65"/>
      <c r="AK94" s="65"/>
      <c r="AL94" s="65" t="s">
        <v>5948</v>
      </c>
      <c r="AM94" s="65"/>
      <c r="AN94" s="65" t="s">
        <v>5948</v>
      </c>
      <c r="AO94" s="65"/>
      <c r="AP94" s="65"/>
      <c r="AQ94" s="65"/>
      <c r="AR94" s="65"/>
      <c r="AS94" s="65"/>
      <c r="AT94" s="65" t="s">
        <v>5948</v>
      </c>
      <c r="AU94" s="65"/>
      <c r="AV94" s="65"/>
      <c r="AW94" s="65"/>
      <c r="AX94" s="65"/>
      <c r="AY94" s="65"/>
      <c r="AZ94" s="65"/>
      <c r="BA94" s="65" t="s">
        <v>5948</v>
      </c>
      <c r="BB94" s="65"/>
      <c r="BC94" s="65" t="s">
        <v>5949</v>
      </c>
      <c r="BD94" s="65"/>
      <c r="BE94" s="65"/>
      <c r="BF94" s="65"/>
      <c r="BG94" s="65" t="s">
        <v>5949</v>
      </c>
      <c r="BH94" s="65"/>
      <c r="BI94" s="65"/>
      <c r="BJ94" s="65"/>
      <c r="BK94" s="65"/>
      <c r="BL94" s="65"/>
      <c r="BM94" s="65"/>
      <c r="BN94" s="65" t="s">
        <v>5949</v>
      </c>
      <c r="BO94" s="65"/>
      <c r="BP94" s="65"/>
      <c r="BQ94" s="30"/>
      <c r="BR94" s="30"/>
      <c r="BS94" s="30"/>
      <c r="BT94" s="65"/>
      <c r="BU94" s="30"/>
      <c r="BV94" s="30"/>
      <c r="BW94" s="65" t="s">
        <v>5949</v>
      </c>
      <c r="BX94" s="30"/>
      <c r="BY94" s="30"/>
      <c r="BZ94" s="30"/>
      <c r="CA94" s="30"/>
      <c r="CB94" s="30"/>
      <c r="CC94" s="30"/>
      <c r="CD94" s="30"/>
      <c r="CE94" s="30"/>
      <c r="CF94" s="30"/>
      <c r="CG94" s="30"/>
      <c r="CH94" s="30"/>
      <c r="CI94" s="30"/>
      <c r="CJ94" s="30"/>
      <c r="CK94" s="30"/>
      <c r="CL94" s="30"/>
      <c r="CM94" s="30"/>
      <c r="CN94" s="30"/>
      <c r="CO94" s="30"/>
      <c r="CP94" s="30"/>
      <c r="CQ94" s="30"/>
      <c r="CR94" s="30"/>
      <c r="CS94" s="30"/>
      <c r="CT94" s="30"/>
      <c r="CU94" s="30"/>
      <c r="CV94" s="30"/>
      <c r="CW94" s="30"/>
      <c r="CX94" s="30"/>
      <c r="CY94" s="30"/>
      <c r="CZ94" s="30"/>
      <c r="DA94" s="30"/>
      <c r="DB94" s="30"/>
      <c r="DC94" s="30"/>
      <c r="DD94" s="30"/>
      <c r="DE94" s="30"/>
      <c r="DF94" s="30"/>
      <c r="DG94" s="30"/>
      <c r="DH94" s="30"/>
      <c r="DI94" s="30"/>
      <c r="DJ94" s="30"/>
      <c r="DK94" s="30"/>
      <c r="DL94" s="30"/>
      <c r="DM94" s="30"/>
      <c r="DN94" s="30"/>
      <c r="DO94" s="30"/>
      <c r="DP94" s="30"/>
      <c r="DQ94" s="30"/>
      <c r="DR94" s="30"/>
      <c r="DS94" s="30"/>
      <c r="DT94" s="30"/>
      <c r="DU94" s="30"/>
      <c r="DV94" s="30"/>
      <c r="DW94" s="30"/>
      <c r="DX94" s="30"/>
      <c r="DY94" s="30"/>
    </row>
    <row r="95" customFormat="false" ht="13.5" hidden="false" customHeight="true" outlineLevel="0" collapsed="false">
      <c r="A95" s="86"/>
      <c r="B95" s="86" t="s">
        <v>4283</v>
      </c>
      <c r="D95" s="86" t="s">
        <v>515</v>
      </c>
      <c r="H95" s="86"/>
      <c r="I95" s="86"/>
      <c r="L95" s="86" t="s">
        <v>4897</v>
      </c>
      <c r="M95" s="86"/>
      <c r="N95" s="86"/>
      <c r="O95" s="86"/>
      <c r="P95" s="86"/>
      <c r="Q95" s="86"/>
      <c r="R95" s="86"/>
      <c r="T95" s="87" t="s">
        <v>519</v>
      </c>
      <c r="Y95" s="87" t="s">
        <v>526</v>
      </c>
      <c r="AA95" s="86"/>
      <c r="AB95" s="86"/>
      <c r="AC95" s="86"/>
      <c r="AD95" s="86"/>
      <c r="AE95" s="88" t="s">
        <v>524</v>
      </c>
      <c r="AI95" s="88"/>
      <c r="AL95" s="88" t="s">
        <v>5151</v>
      </c>
      <c r="AN95" s="86" t="s">
        <v>5166</v>
      </c>
      <c r="AS95" s="86"/>
      <c r="AT95" s="88" t="s">
        <v>4283</v>
      </c>
      <c r="BA95" s="86" t="s">
        <v>509</v>
      </c>
      <c r="BC95" s="86" t="s">
        <v>509</v>
      </c>
      <c r="BG95" s="86" t="s">
        <v>5370</v>
      </c>
      <c r="BI95" s="86"/>
      <c r="BM95" s="86"/>
      <c r="BN95" s="86" t="s">
        <v>522</v>
      </c>
      <c r="BO95" s="86"/>
      <c r="BP95" s="86"/>
      <c r="BQ95" s="88"/>
      <c r="BR95" s="88"/>
      <c r="BT95" s="86"/>
      <c r="BW95" s="86" t="s">
        <v>523</v>
      </c>
    </row>
    <row r="96" customFormat="false" ht="13.5" hidden="false" customHeight="true" outlineLevel="0" collapsed="false">
      <c r="A96" s="86"/>
      <c r="B96" s="86" t="s">
        <v>6152</v>
      </c>
      <c r="D96" s="86" t="s">
        <v>6153</v>
      </c>
      <c r="H96" s="86"/>
      <c r="I96" s="86"/>
      <c r="L96" s="86" t="s">
        <v>6154</v>
      </c>
      <c r="M96" s="86"/>
      <c r="N96" s="86"/>
      <c r="O96" s="86"/>
      <c r="P96" s="86"/>
      <c r="Q96" s="86"/>
      <c r="R96" s="86"/>
      <c r="T96" s="87" t="s">
        <v>6155</v>
      </c>
      <c r="Y96" s="87" t="s">
        <v>6156</v>
      </c>
      <c r="AA96" s="86"/>
      <c r="AB96" s="86"/>
      <c r="AC96" s="86"/>
      <c r="AD96" s="86"/>
      <c r="AE96" s="88" t="s">
        <v>6157</v>
      </c>
      <c r="AI96" s="88"/>
      <c r="AL96" s="88" t="s">
        <v>6158</v>
      </c>
      <c r="AN96" s="86" t="s">
        <v>6159</v>
      </c>
      <c r="AS96" s="86"/>
      <c r="AT96" s="88" t="s">
        <v>6160</v>
      </c>
      <c r="BA96" s="86" t="s">
        <v>6161</v>
      </c>
      <c r="BC96" s="86" t="s">
        <v>6162</v>
      </c>
      <c r="BG96" s="86" t="s">
        <v>6163</v>
      </c>
      <c r="BI96" s="86"/>
      <c r="BM96" s="86"/>
      <c r="BN96" s="86" t="s">
        <v>6164</v>
      </c>
      <c r="BO96" s="86"/>
      <c r="BP96" s="86"/>
      <c r="BQ96" s="88"/>
      <c r="BR96" s="88"/>
      <c r="BT96" s="86"/>
      <c r="BW96" s="86" t="s">
        <v>6165</v>
      </c>
    </row>
    <row r="97" customFormat="false" ht="13.5" hidden="false" customHeight="true" outlineLevel="0" collapsed="false">
      <c r="A97" s="89"/>
      <c r="B97" s="89" t="s">
        <v>6166</v>
      </c>
      <c r="D97" s="89" t="s">
        <v>6167</v>
      </c>
      <c r="H97" s="86"/>
      <c r="I97" s="86"/>
      <c r="L97" s="89" t="s">
        <v>6168</v>
      </c>
      <c r="M97" s="89"/>
      <c r="N97" s="86"/>
      <c r="O97" s="86"/>
      <c r="P97" s="86"/>
      <c r="Q97" s="86"/>
      <c r="R97" s="86"/>
      <c r="T97" s="91" t="s">
        <v>6169</v>
      </c>
      <c r="Y97" s="91" t="s">
        <v>6141</v>
      </c>
      <c r="AA97" s="86"/>
      <c r="AB97" s="86"/>
      <c r="AC97" s="86"/>
      <c r="AD97" s="86"/>
      <c r="AE97" s="89" t="s">
        <v>6170</v>
      </c>
      <c r="AI97" s="86"/>
      <c r="AL97" s="89" t="s">
        <v>6171</v>
      </c>
      <c r="AN97" s="89" t="s">
        <v>6172</v>
      </c>
      <c r="AS97" s="86"/>
      <c r="AT97" s="89" t="s">
        <v>6173</v>
      </c>
      <c r="BA97" s="89" t="s">
        <v>6173</v>
      </c>
      <c r="BC97" s="86" t="s">
        <v>6173</v>
      </c>
      <c r="BG97" s="86" t="s">
        <v>6140</v>
      </c>
      <c r="BI97" s="86"/>
      <c r="BM97" s="86"/>
      <c r="BN97" s="86" t="s">
        <v>6140</v>
      </c>
      <c r="BO97" s="86"/>
      <c r="BP97" s="86"/>
      <c r="BQ97" s="88"/>
      <c r="BR97" s="88"/>
      <c r="BS97" s="92"/>
      <c r="BT97" s="86"/>
      <c r="BU97" s="92"/>
      <c r="BW97" s="86" t="s">
        <v>6174</v>
      </c>
      <c r="BY97" s="92"/>
      <c r="BZ97" s="92"/>
      <c r="CA97" s="92"/>
      <c r="CB97" s="92"/>
      <c r="CE97" s="92"/>
      <c r="CF97" s="92"/>
      <c r="CG97" s="92"/>
    </row>
    <row r="98" customFormat="false" ht="13.5" hidden="false" customHeight="true" outlineLevel="0" collapsed="false">
      <c r="A98" s="41" t="s">
        <v>5946</v>
      </c>
      <c r="B98" s="42" t="n">
        <v>23</v>
      </c>
      <c r="C98" s="42" t="n">
        <v>24</v>
      </c>
      <c r="D98" s="42" t="n">
        <v>25</v>
      </c>
      <c r="E98" s="42" t="n">
        <v>26</v>
      </c>
      <c r="F98" s="42" t="n">
        <v>27</v>
      </c>
      <c r="G98" s="43" t="n">
        <v>28</v>
      </c>
      <c r="H98" s="43" t="s">
        <v>5947</v>
      </c>
      <c r="I98" s="42" t="n">
        <v>2</v>
      </c>
      <c r="J98" s="42" t="n">
        <v>3</v>
      </c>
      <c r="K98" s="42" t="n">
        <v>4</v>
      </c>
      <c r="L98" s="42" t="n">
        <v>5</v>
      </c>
      <c r="M98" s="42" t="n">
        <v>6</v>
      </c>
      <c r="N98" s="43" t="n">
        <v>7</v>
      </c>
      <c r="O98" s="43" t="n">
        <v>8</v>
      </c>
      <c r="P98" s="42" t="n">
        <v>9</v>
      </c>
      <c r="Q98" s="42" t="n">
        <v>10</v>
      </c>
      <c r="R98" s="42" t="n">
        <v>11</v>
      </c>
      <c r="S98" s="42" t="n">
        <v>12</v>
      </c>
      <c r="T98" s="42" t="n">
        <v>13</v>
      </c>
      <c r="U98" s="43" t="n">
        <v>14</v>
      </c>
      <c r="V98" s="43" t="n">
        <v>15</v>
      </c>
      <c r="W98" s="42" t="n">
        <v>16</v>
      </c>
      <c r="X98" s="42" t="n">
        <v>17</v>
      </c>
      <c r="Y98" s="42" t="n">
        <v>18</v>
      </c>
      <c r="Z98" s="42" t="n">
        <v>19</v>
      </c>
      <c r="AA98" s="42" t="n">
        <v>20</v>
      </c>
      <c r="AB98" s="43" t="n">
        <v>21</v>
      </c>
      <c r="AC98" s="43" t="n">
        <v>22</v>
      </c>
      <c r="AD98" s="42" t="n">
        <v>23</v>
      </c>
      <c r="AE98" s="42" t="n">
        <v>24</v>
      </c>
      <c r="AF98" s="42" t="n">
        <v>25</v>
      </c>
      <c r="AG98" s="42" t="n">
        <v>26</v>
      </c>
      <c r="AH98" s="42" t="n">
        <v>27</v>
      </c>
      <c r="AI98" s="43" t="n">
        <v>28</v>
      </c>
      <c r="AJ98" s="43" t="n">
        <v>29</v>
      </c>
      <c r="AK98" s="42" t="n">
        <v>30</v>
      </c>
      <c r="AL98" s="42" t="n">
        <v>31</v>
      </c>
      <c r="AM98" s="42" t="s">
        <v>5948</v>
      </c>
      <c r="AN98" s="42" t="n">
        <v>2</v>
      </c>
      <c r="AO98" s="42" t="n">
        <v>3</v>
      </c>
      <c r="AP98" s="43" t="n">
        <v>4</v>
      </c>
      <c r="AQ98" s="43" t="n">
        <v>5</v>
      </c>
      <c r="AR98" s="42" t="n">
        <v>6</v>
      </c>
      <c r="AS98" s="42" t="n">
        <v>7</v>
      </c>
      <c r="AT98" s="42" t="n">
        <v>8</v>
      </c>
      <c r="AU98" s="42" t="n">
        <v>9</v>
      </c>
      <c r="AV98" s="42" t="n">
        <v>10</v>
      </c>
      <c r="AW98" s="43" t="n">
        <v>11</v>
      </c>
      <c r="AX98" s="43" t="n">
        <v>12</v>
      </c>
      <c r="AY98" s="42" t="n">
        <v>13</v>
      </c>
      <c r="AZ98" s="42" t="n">
        <v>14</v>
      </c>
      <c r="BA98" s="42" t="n">
        <v>15</v>
      </c>
      <c r="BB98" s="42" t="n">
        <v>16</v>
      </c>
      <c r="BC98" s="42" t="n">
        <v>17</v>
      </c>
      <c r="BD98" s="43" t="n">
        <v>18</v>
      </c>
      <c r="BE98" s="43" t="n">
        <v>19</v>
      </c>
      <c r="BF98" s="42" t="n">
        <v>20</v>
      </c>
      <c r="BG98" s="42" t="n">
        <v>21</v>
      </c>
      <c r="BH98" s="42" t="n">
        <v>22</v>
      </c>
      <c r="BI98" s="42" t="n">
        <v>23</v>
      </c>
      <c r="BJ98" s="42" t="n">
        <v>24</v>
      </c>
      <c r="BK98" s="43" t="n">
        <v>25</v>
      </c>
      <c r="BL98" s="43" t="n">
        <v>26</v>
      </c>
      <c r="BM98" s="43" t="n">
        <v>27</v>
      </c>
      <c r="BN98" s="42" t="n">
        <v>28</v>
      </c>
      <c r="BO98" s="42" t="n">
        <v>29</v>
      </c>
      <c r="BP98" s="43" t="n">
        <v>30</v>
      </c>
      <c r="BQ98" s="43" t="s">
        <v>5949</v>
      </c>
      <c r="BR98" s="43" t="n">
        <v>2</v>
      </c>
      <c r="BS98" s="43" t="n">
        <v>3</v>
      </c>
      <c r="BT98" s="42" t="n">
        <v>4</v>
      </c>
      <c r="BU98" s="42" t="n">
        <v>5</v>
      </c>
      <c r="BV98" s="42" t="n">
        <v>6</v>
      </c>
      <c r="BW98" s="42" t="n">
        <v>7</v>
      </c>
      <c r="BX98" s="42" t="n">
        <v>8</v>
      </c>
      <c r="BY98" s="43" t="n">
        <v>9</v>
      </c>
      <c r="BZ98" s="43" t="n">
        <v>10</v>
      </c>
      <c r="CA98" s="42" t="n">
        <v>11</v>
      </c>
      <c r="CB98" s="42" t="n">
        <v>12</v>
      </c>
      <c r="CC98" s="42" t="n">
        <v>13</v>
      </c>
      <c r="CD98" s="42" t="n">
        <v>14</v>
      </c>
      <c r="CE98" s="42" t="n">
        <v>15</v>
      </c>
      <c r="CF98" s="43" t="n">
        <v>16</v>
      </c>
      <c r="CG98" s="43" t="n">
        <v>17</v>
      </c>
      <c r="CH98" s="42" t="n">
        <v>18</v>
      </c>
      <c r="CI98" s="42" t="n">
        <v>19</v>
      </c>
      <c r="CJ98" s="42" t="n">
        <v>20</v>
      </c>
      <c r="CK98" s="42" t="n">
        <v>21</v>
      </c>
      <c r="CL98" s="42" t="n">
        <v>22</v>
      </c>
      <c r="CM98" s="43" t="n">
        <v>23</v>
      </c>
      <c r="CN98" s="43" t="n">
        <v>24</v>
      </c>
      <c r="CO98" s="42" t="n">
        <v>25</v>
      </c>
      <c r="CP98" s="42" t="n">
        <v>26</v>
      </c>
      <c r="CQ98" s="42" t="n">
        <v>27</v>
      </c>
      <c r="CR98" s="42" t="n">
        <v>28</v>
      </c>
      <c r="CS98" s="42" t="n">
        <v>29</v>
      </c>
      <c r="CT98" s="43" t="n">
        <v>30</v>
      </c>
      <c r="CU98" s="43" t="n">
        <v>31</v>
      </c>
      <c r="CV98" s="42" t="n">
        <v>25</v>
      </c>
      <c r="CW98" s="42" t="n">
        <v>26</v>
      </c>
      <c r="CX98" s="42" t="n">
        <v>27</v>
      </c>
      <c r="CY98" s="42" t="n">
        <v>28</v>
      </c>
      <c r="CZ98" s="42" t="n">
        <v>29</v>
      </c>
      <c r="DA98" s="43" t="n">
        <v>30</v>
      </c>
      <c r="DB98" s="43" t="n">
        <v>31</v>
      </c>
      <c r="DC98" s="42" t="n">
        <v>8</v>
      </c>
      <c r="DD98" s="42" t="n">
        <v>9</v>
      </c>
      <c r="DE98" s="42" t="n">
        <v>10</v>
      </c>
      <c r="DF98" s="42" t="n">
        <v>11</v>
      </c>
      <c r="DG98" s="42" t="n">
        <v>12</v>
      </c>
      <c r="DH98" s="43" t="n">
        <v>13</v>
      </c>
      <c r="DI98" s="43" t="n">
        <v>14</v>
      </c>
      <c r="DJ98" s="42" t="n">
        <v>15</v>
      </c>
      <c r="DK98" s="42" t="n">
        <v>16</v>
      </c>
      <c r="DL98" s="42" t="n">
        <v>17</v>
      </c>
      <c r="DM98" s="42" t="n">
        <v>18</v>
      </c>
      <c r="DN98" s="42" t="n">
        <v>19</v>
      </c>
      <c r="DO98" s="43" t="n">
        <v>20</v>
      </c>
      <c r="DP98" s="43" t="n">
        <v>21</v>
      </c>
      <c r="DQ98" s="42" t="n">
        <v>22</v>
      </c>
      <c r="DR98" s="42" t="n">
        <v>23</v>
      </c>
      <c r="DS98" s="42" t="n">
        <v>24</v>
      </c>
      <c r="DT98" s="42" t="n">
        <v>25</v>
      </c>
      <c r="DU98" s="42" t="n">
        <v>26</v>
      </c>
      <c r="DV98" s="43" t="n">
        <v>27</v>
      </c>
      <c r="DW98" s="43" t="n">
        <v>28</v>
      </c>
      <c r="DX98" s="42" t="n">
        <v>29</v>
      </c>
      <c r="DY98" s="42" t="n">
        <v>30</v>
      </c>
    </row>
    <row r="99" customFormat="false" ht="13.5" hidden="false" customHeight="true" outlineLevel="0" collapsed="false">
      <c r="A99" s="41" t="s">
        <v>5952</v>
      </c>
      <c r="B99" s="99" t="n">
        <v>552</v>
      </c>
      <c r="C99" s="99" t="n">
        <v>921</v>
      </c>
      <c r="D99" s="99" t="n">
        <v>735</v>
      </c>
      <c r="E99" s="99" t="n">
        <v>0</v>
      </c>
      <c r="F99" s="44" t="n">
        <v>1000</v>
      </c>
      <c r="H99" s="44"/>
      <c r="I99" s="44" t="n">
        <v>1000</v>
      </c>
      <c r="J99" s="44" t="n">
        <v>1000</v>
      </c>
      <c r="K99" s="44" t="n">
        <v>1005</v>
      </c>
      <c r="L99" s="44" t="n">
        <v>262</v>
      </c>
      <c r="M99" s="44" t="n">
        <v>1700</v>
      </c>
      <c r="O99" s="44"/>
      <c r="P99" s="44" t="n">
        <v>1700</v>
      </c>
      <c r="Q99" s="44" t="n">
        <v>1700</v>
      </c>
      <c r="R99" s="44" t="n">
        <v>1700</v>
      </c>
      <c r="S99" s="44" t="n">
        <v>1794</v>
      </c>
      <c r="T99" s="44" t="n">
        <v>320</v>
      </c>
      <c r="V99" s="44"/>
      <c r="W99" s="44" t="n">
        <v>1000</v>
      </c>
      <c r="X99" s="44" t="n">
        <v>1000</v>
      </c>
      <c r="Y99" s="44" t="n">
        <v>1260</v>
      </c>
      <c r="Z99" s="44" t="n">
        <v>1260</v>
      </c>
      <c r="AA99" s="44" t="n">
        <v>1260</v>
      </c>
      <c r="AC99" s="44"/>
      <c r="AD99" s="44" t="n">
        <v>1222</v>
      </c>
      <c r="AE99" s="44" t="n">
        <v>370</v>
      </c>
      <c r="AF99" s="44" t="n">
        <v>370</v>
      </c>
      <c r="AG99" s="44" t="n">
        <v>370</v>
      </c>
      <c r="AH99" s="44" t="n">
        <v>370</v>
      </c>
      <c r="AJ99" s="44"/>
      <c r="AK99" s="44" t="n">
        <v>370</v>
      </c>
      <c r="AL99" s="44" t="n">
        <f aca="false">+2002-1850</f>
        <v>152</v>
      </c>
      <c r="AM99" s="44" t="n">
        <v>1150</v>
      </c>
      <c r="AN99" s="44" t="n">
        <v>700</v>
      </c>
      <c r="AO99" s="44" t="n">
        <v>1050</v>
      </c>
      <c r="AP99" s="44"/>
      <c r="AQ99" s="44"/>
      <c r="AR99" s="44" t="n">
        <v>1050</v>
      </c>
      <c r="AS99" s="44" t="n">
        <v>1050</v>
      </c>
      <c r="AT99" s="44" t="n">
        <v>402</v>
      </c>
      <c r="AU99" s="44" t="n">
        <v>780</v>
      </c>
      <c r="AV99" s="44" t="n">
        <v>780</v>
      </c>
      <c r="AW99" s="44"/>
      <c r="AX99" s="44"/>
      <c r="AY99" s="44" t="n">
        <v>780</v>
      </c>
      <c r="AZ99" s="44" t="n">
        <v>780</v>
      </c>
      <c r="BA99" s="44" t="n">
        <v>392</v>
      </c>
      <c r="BB99" s="44" t="n">
        <v>2100</v>
      </c>
      <c r="BC99" s="44" t="n">
        <v>852</v>
      </c>
      <c r="BD99" s="44"/>
      <c r="BE99" s="44"/>
      <c r="BF99" s="44" t="n">
        <v>1630</v>
      </c>
      <c r="BG99" s="44" t="n">
        <v>1122</v>
      </c>
      <c r="BH99" s="44" t="n">
        <v>780</v>
      </c>
      <c r="BI99" s="44" t="n">
        <v>780</v>
      </c>
      <c r="BJ99" s="44" t="n">
        <v>780</v>
      </c>
      <c r="BK99" s="44"/>
      <c r="BL99" s="44"/>
      <c r="BM99" s="100" t="s">
        <v>6145</v>
      </c>
      <c r="BN99" s="44" t="n">
        <v>202</v>
      </c>
      <c r="BO99" s="44" t="n">
        <v>610</v>
      </c>
      <c r="BP99" s="100" t="s">
        <v>6145</v>
      </c>
      <c r="BQ99" s="100" t="s">
        <v>6145</v>
      </c>
      <c r="BR99" s="93"/>
      <c r="BS99" s="93"/>
      <c r="BT99" s="44" t="n">
        <v>610</v>
      </c>
      <c r="BU99" s="44" t="n">
        <v>610</v>
      </c>
      <c r="BV99" s="44" t="n">
        <v>610</v>
      </c>
      <c r="BW99" s="44" t="n">
        <v>112</v>
      </c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44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  <c r="DK99" s="44"/>
      <c r="DL99" s="44"/>
      <c r="DM99" s="44"/>
      <c r="DN99" s="44"/>
      <c r="DO99" s="44"/>
      <c r="DP99" s="44"/>
      <c r="DQ99" s="44"/>
      <c r="DR99" s="44"/>
      <c r="DS99" s="44"/>
      <c r="DT99" s="44"/>
      <c r="DU99" s="44"/>
      <c r="DV99" s="44"/>
      <c r="DW99" s="44"/>
      <c r="DX99" s="44"/>
      <c r="DY99" s="44"/>
    </row>
    <row r="100" customFormat="false" ht="13.5" hidden="false" customHeight="true" outlineLevel="0" collapsed="false">
      <c r="A100" s="41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 t="n">
        <v>1700</v>
      </c>
      <c r="M100" s="94"/>
      <c r="N100" s="94"/>
      <c r="O100" s="94"/>
      <c r="P100" s="94"/>
      <c r="Q100" s="94"/>
      <c r="R100" s="94"/>
      <c r="S100" s="94"/>
      <c r="T100" s="94" t="n">
        <v>1000</v>
      </c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4"/>
      <c r="AH100" s="94"/>
      <c r="AI100" s="94"/>
      <c r="AJ100" s="94"/>
      <c r="AK100" s="106"/>
      <c r="AL100" s="94" t="n">
        <v>650</v>
      </c>
      <c r="AM100" s="94"/>
      <c r="AN100" s="94" t="n">
        <v>450</v>
      </c>
      <c r="AO100" s="94"/>
      <c r="AP100" s="94"/>
      <c r="AQ100" s="94"/>
      <c r="AR100" s="94"/>
      <c r="AS100" s="94"/>
      <c r="AT100" s="94" t="n">
        <v>490</v>
      </c>
      <c r="AU100" s="94"/>
      <c r="AV100" s="94"/>
      <c r="AW100" s="94"/>
      <c r="AX100" s="94"/>
      <c r="AY100" s="94"/>
      <c r="AZ100" s="94"/>
      <c r="BA100" s="94" t="n">
        <v>1050</v>
      </c>
      <c r="BB100" s="94"/>
      <c r="BC100" s="94" t="n">
        <v>1250</v>
      </c>
      <c r="BD100" s="94"/>
      <c r="BE100" s="94"/>
      <c r="BF100" s="94"/>
      <c r="BG100" s="94" t="n">
        <v>460</v>
      </c>
      <c r="BH100" s="94"/>
      <c r="BI100" s="94"/>
      <c r="BJ100" s="94"/>
      <c r="BK100" s="94"/>
      <c r="BL100" s="94"/>
      <c r="BM100" s="100"/>
      <c r="BN100" s="94" t="n">
        <v>450</v>
      </c>
      <c r="BO100" s="94"/>
      <c r="BP100" s="100"/>
      <c r="BQ100" s="100"/>
      <c r="BR100" s="93"/>
      <c r="BS100" s="93"/>
      <c r="BT100" s="94"/>
      <c r="BU100" s="94"/>
      <c r="BV100" s="94"/>
      <c r="BW100" s="94"/>
      <c r="BX100" s="94"/>
      <c r="BY100" s="94"/>
      <c r="BZ100" s="94"/>
      <c r="CA100" s="94"/>
      <c r="CB100" s="94"/>
      <c r="CC100" s="94"/>
      <c r="CD100" s="94"/>
      <c r="CE100" s="94"/>
      <c r="CF100" s="94"/>
      <c r="CG100" s="94"/>
      <c r="CH100" s="94"/>
      <c r="CI100" s="94"/>
      <c r="CJ100" s="94"/>
      <c r="CK100" s="94"/>
      <c r="CL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C100" s="45"/>
      <c r="DD100" s="45"/>
      <c r="DE100" s="45"/>
      <c r="DF100" s="45"/>
      <c r="DG100" s="45"/>
      <c r="DH100" s="45"/>
      <c r="DI100" s="45"/>
      <c r="DJ100" s="45"/>
      <c r="DK100" s="45"/>
      <c r="DL100" s="45"/>
      <c r="DM100" s="45"/>
      <c r="DN100" s="45"/>
      <c r="DO100" s="45"/>
      <c r="DP100" s="45"/>
      <c r="DQ100" s="45"/>
      <c r="DR100" s="45"/>
      <c r="DS100" s="45"/>
      <c r="DT100" s="45"/>
      <c r="DU100" s="45"/>
      <c r="DV100" s="45"/>
      <c r="DW100" s="45"/>
      <c r="DX100" s="45"/>
      <c r="DY100" s="45"/>
    </row>
    <row r="101" customFormat="false" ht="13.5" hidden="false" customHeight="true" outlineLevel="0" collapsed="false">
      <c r="A101" s="107"/>
      <c r="B101" s="96" t="s">
        <v>5953</v>
      </c>
      <c r="C101" s="96"/>
      <c r="D101" s="96" t="s">
        <v>5953</v>
      </c>
      <c r="E101" s="96"/>
      <c r="F101" s="96"/>
      <c r="G101" s="96"/>
      <c r="H101" s="96"/>
      <c r="I101" s="96"/>
      <c r="J101" s="96"/>
      <c r="K101" s="96"/>
      <c r="L101" s="96" t="s">
        <v>5953</v>
      </c>
      <c r="M101" s="108"/>
      <c r="N101" s="102"/>
      <c r="O101" s="96"/>
      <c r="P101" s="102"/>
      <c r="Q101" s="102"/>
      <c r="R101" s="102"/>
      <c r="S101" s="102"/>
      <c r="T101" s="109" t="s">
        <v>6175</v>
      </c>
      <c r="U101" s="102"/>
      <c r="V101" s="102"/>
      <c r="W101" s="102"/>
      <c r="X101" s="102"/>
      <c r="Y101" s="96" t="s">
        <v>5953</v>
      </c>
      <c r="Z101" s="108"/>
      <c r="AA101" s="96"/>
      <c r="AB101" s="96"/>
      <c r="AC101" s="96"/>
      <c r="AD101" s="96"/>
      <c r="AE101" s="103" t="s">
        <v>6176</v>
      </c>
      <c r="AF101" s="108"/>
      <c r="AG101" s="108"/>
      <c r="AH101" s="108"/>
      <c r="AI101" s="108"/>
      <c r="AJ101" s="108"/>
      <c r="AK101" s="108"/>
      <c r="AL101" s="47" t="s">
        <v>6177</v>
      </c>
      <c r="AM101" s="108"/>
      <c r="AN101" s="102" t="s">
        <v>6147</v>
      </c>
      <c r="AO101" s="108"/>
      <c r="AP101" s="96"/>
      <c r="AQ101" s="96"/>
      <c r="AR101" s="96"/>
      <c r="AS101" s="96"/>
      <c r="AT101" s="47" t="s">
        <v>6178</v>
      </c>
      <c r="AU101" s="96"/>
      <c r="AV101" s="96"/>
      <c r="AW101" s="96"/>
      <c r="AX101" s="96"/>
      <c r="AY101" s="96"/>
      <c r="AZ101" s="96"/>
      <c r="BA101" s="47" t="s">
        <v>6179</v>
      </c>
      <c r="BB101" s="96"/>
      <c r="BC101" s="102" t="s">
        <v>6180</v>
      </c>
      <c r="BD101" s="102"/>
      <c r="BE101" s="102"/>
      <c r="BF101" s="102"/>
      <c r="BG101" s="102" t="s">
        <v>6180</v>
      </c>
      <c r="BH101" s="96"/>
      <c r="BI101" s="96"/>
      <c r="BJ101" s="96"/>
      <c r="BK101" s="96"/>
      <c r="BL101" s="96"/>
      <c r="BM101" s="96"/>
      <c r="BN101" s="102" t="s">
        <v>6181</v>
      </c>
      <c r="BO101" s="102"/>
      <c r="BP101" s="97"/>
      <c r="BQ101" s="97"/>
      <c r="BR101" s="97"/>
      <c r="BS101" s="97"/>
      <c r="BT101" s="102"/>
      <c r="BU101" s="97"/>
      <c r="BV101" s="97"/>
      <c r="BW101" s="102" t="s">
        <v>6024</v>
      </c>
      <c r="BX101" s="97"/>
      <c r="BY101" s="97"/>
      <c r="BZ101" s="97"/>
      <c r="CA101" s="97"/>
      <c r="CB101" s="97"/>
      <c r="CC101" s="97"/>
      <c r="CD101" s="97"/>
      <c r="CE101" s="97"/>
      <c r="CF101" s="97"/>
      <c r="CG101" s="97"/>
      <c r="CH101" s="97"/>
      <c r="CI101" s="97"/>
      <c r="CJ101" s="97"/>
      <c r="CK101" s="97"/>
      <c r="CL101" s="97"/>
      <c r="CM101" s="97"/>
      <c r="CN101" s="97"/>
      <c r="CO101" s="97"/>
      <c r="CP101" s="97"/>
      <c r="CQ101" s="97"/>
      <c r="CR101" s="97"/>
      <c r="CS101" s="97"/>
      <c r="CT101" s="97"/>
      <c r="CU101" s="97"/>
      <c r="CV101" s="97"/>
      <c r="CW101" s="97"/>
      <c r="CX101" s="97"/>
      <c r="CY101" s="97"/>
      <c r="CZ101" s="97"/>
      <c r="DA101" s="97"/>
      <c r="DB101" s="97"/>
      <c r="DC101" s="49"/>
      <c r="DD101" s="49"/>
      <c r="DE101" s="49"/>
      <c r="DF101" s="49"/>
      <c r="DG101" s="49"/>
      <c r="DH101" s="49"/>
      <c r="DI101" s="49"/>
      <c r="DJ101" s="49"/>
      <c r="DK101" s="49"/>
      <c r="DL101" s="49"/>
      <c r="DM101" s="49"/>
      <c r="DN101" s="49"/>
      <c r="DO101" s="49"/>
      <c r="DP101" s="49"/>
      <c r="DQ101" s="49"/>
      <c r="DR101" s="49"/>
      <c r="DS101" s="49"/>
      <c r="DT101" s="49"/>
      <c r="DU101" s="49"/>
      <c r="DV101" s="49"/>
      <c r="DW101" s="49"/>
      <c r="DX101" s="49"/>
      <c r="DY101" s="49"/>
    </row>
    <row r="102" customFormat="false" ht="13.5" hidden="false" customHeight="true" outlineLevel="0" collapsed="false">
      <c r="A102" s="98" t="s">
        <v>5960</v>
      </c>
      <c r="B102" s="104" t="n">
        <v>13</v>
      </c>
      <c r="C102" s="104" t="n">
        <v>13</v>
      </c>
      <c r="D102" s="104" t="n">
        <v>13</v>
      </c>
      <c r="E102" s="104" t="n">
        <v>13</v>
      </c>
      <c r="F102" s="104" t="n">
        <v>13</v>
      </c>
      <c r="G102" s="104" t="n">
        <v>13</v>
      </c>
      <c r="H102" s="104" t="n">
        <v>13</v>
      </c>
      <c r="I102" s="104" t="n">
        <v>13</v>
      </c>
      <c r="J102" s="104" t="n">
        <v>13</v>
      </c>
      <c r="K102" s="104" t="n">
        <v>13</v>
      </c>
      <c r="L102" s="104" t="n">
        <v>13</v>
      </c>
      <c r="M102" s="104" t="n">
        <v>13</v>
      </c>
      <c r="N102" s="104" t="n">
        <v>13</v>
      </c>
      <c r="O102" s="104" t="n">
        <v>13</v>
      </c>
      <c r="P102" s="104" t="n">
        <v>13</v>
      </c>
      <c r="Q102" s="104" t="n">
        <v>13</v>
      </c>
      <c r="R102" s="104" t="n">
        <v>13</v>
      </c>
      <c r="S102" s="104" t="n">
        <v>13</v>
      </c>
      <c r="T102" s="104" t="n">
        <v>13</v>
      </c>
      <c r="U102" s="104" t="n">
        <v>13</v>
      </c>
      <c r="V102" s="104" t="n">
        <v>13</v>
      </c>
      <c r="W102" s="104" t="n">
        <v>13</v>
      </c>
      <c r="X102" s="104" t="n">
        <v>13</v>
      </c>
      <c r="Y102" s="104" t="n">
        <v>13</v>
      </c>
      <c r="Z102" s="104" t="n">
        <v>13</v>
      </c>
      <c r="AA102" s="104" t="n">
        <v>13</v>
      </c>
      <c r="AB102" s="104" t="n">
        <v>13</v>
      </c>
      <c r="AC102" s="104" t="n">
        <v>13</v>
      </c>
      <c r="AD102" s="104" t="n">
        <v>13</v>
      </c>
      <c r="AE102" s="104" t="n">
        <v>13</v>
      </c>
      <c r="AF102" s="104" t="n">
        <v>13</v>
      </c>
      <c r="AG102" s="104" t="n">
        <v>13</v>
      </c>
      <c r="AH102" s="104" t="n">
        <v>13</v>
      </c>
      <c r="AI102" s="104" t="n">
        <v>13</v>
      </c>
      <c r="AJ102" s="104" t="n">
        <v>13</v>
      </c>
      <c r="AK102" s="104" t="n">
        <v>13</v>
      </c>
      <c r="AL102" s="104" t="n">
        <v>13</v>
      </c>
      <c r="AM102" s="104" t="n">
        <v>13</v>
      </c>
      <c r="AN102" s="104" t="n">
        <v>13</v>
      </c>
      <c r="AO102" s="104" t="n">
        <v>13</v>
      </c>
      <c r="AP102" s="104" t="n">
        <v>13</v>
      </c>
      <c r="AQ102" s="104" t="n">
        <v>13</v>
      </c>
      <c r="AR102" s="104" t="n">
        <v>13</v>
      </c>
      <c r="AS102" s="104" t="n">
        <v>13</v>
      </c>
      <c r="AT102" s="104" t="n">
        <v>13</v>
      </c>
      <c r="AU102" s="104" t="n">
        <v>13</v>
      </c>
      <c r="AV102" s="104" t="n">
        <v>13</v>
      </c>
      <c r="AW102" s="104" t="n">
        <v>13</v>
      </c>
      <c r="AX102" s="104" t="n">
        <v>13</v>
      </c>
      <c r="AY102" s="104" t="n">
        <v>13</v>
      </c>
      <c r="AZ102" s="104" t="n">
        <v>13</v>
      </c>
      <c r="BA102" s="104" t="n">
        <v>13</v>
      </c>
      <c r="BB102" s="104" t="n">
        <v>13</v>
      </c>
      <c r="BC102" s="104" t="n">
        <v>13</v>
      </c>
      <c r="BD102" s="104" t="n">
        <v>13</v>
      </c>
      <c r="BE102" s="104" t="n">
        <v>13</v>
      </c>
      <c r="BF102" s="104" t="n">
        <v>13</v>
      </c>
      <c r="BG102" s="104" t="n">
        <v>13</v>
      </c>
      <c r="BH102" s="104" t="n">
        <v>13</v>
      </c>
      <c r="BI102" s="104" t="n">
        <v>13</v>
      </c>
      <c r="BJ102" s="104" t="n">
        <v>13</v>
      </c>
      <c r="BK102" s="104" t="n">
        <v>13</v>
      </c>
      <c r="BL102" s="104" t="n">
        <v>13</v>
      </c>
      <c r="BM102" s="104" t="n">
        <v>13</v>
      </c>
      <c r="BN102" s="104" t="n">
        <v>13</v>
      </c>
      <c r="BO102" s="104" t="n">
        <v>13</v>
      </c>
      <c r="BP102" s="104" t="n">
        <v>13</v>
      </c>
      <c r="BQ102" s="104" t="n">
        <v>13</v>
      </c>
      <c r="BR102" s="104" t="n">
        <v>13</v>
      </c>
      <c r="BS102" s="104" t="n">
        <v>13</v>
      </c>
      <c r="BT102" s="104" t="n">
        <v>13</v>
      </c>
      <c r="BU102" s="104" t="n">
        <v>13</v>
      </c>
      <c r="BV102" s="104" t="n">
        <v>13</v>
      </c>
      <c r="BW102" s="104" t="n">
        <v>13</v>
      </c>
      <c r="BX102" s="104" t="n">
        <v>13</v>
      </c>
      <c r="BY102" s="104" t="n">
        <v>13</v>
      </c>
      <c r="BZ102" s="104" t="n">
        <v>13</v>
      </c>
      <c r="CA102" s="104" t="n">
        <v>13</v>
      </c>
      <c r="CB102" s="104" t="n">
        <v>13</v>
      </c>
      <c r="CC102" s="104" t="n">
        <v>13</v>
      </c>
      <c r="CD102" s="104" t="n">
        <v>13</v>
      </c>
      <c r="CE102" s="104" t="n">
        <v>13</v>
      </c>
      <c r="CF102" s="104" t="n">
        <v>13</v>
      </c>
      <c r="CG102" s="104" t="n">
        <v>13</v>
      </c>
      <c r="CH102" s="104" t="n">
        <v>13</v>
      </c>
      <c r="CI102" s="104" t="n">
        <v>13</v>
      </c>
      <c r="CJ102" s="104" t="n">
        <v>13</v>
      </c>
      <c r="CK102" s="104" t="n">
        <v>13</v>
      </c>
      <c r="CL102" s="104" t="n">
        <v>13</v>
      </c>
      <c r="CM102" s="104" t="n">
        <v>13</v>
      </c>
      <c r="CN102" s="104" t="n">
        <v>13</v>
      </c>
      <c r="CO102" s="104" t="n">
        <v>13</v>
      </c>
      <c r="CP102" s="104" t="n">
        <v>13</v>
      </c>
      <c r="CQ102" s="104" t="n">
        <v>13</v>
      </c>
      <c r="CR102" s="104" t="n">
        <v>13</v>
      </c>
      <c r="CS102" s="104" t="n">
        <v>13</v>
      </c>
      <c r="CT102" s="104" t="n">
        <v>13</v>
      </c>
      <c r="CU102" s="104" t="n">
        <v>13</v>
      </c>
      <c r="CV102" s="104" t="n">
        <v>13</v>
      </c>
      <c r="CW102" s="104" t="n">
        <v>13</v>
      </c>
      <c r="CX102" s="104" t="n">
        <v>13</v>
      </c>
      <c r="CY102" s="104" t="n">
        <v>13</v>
      </c>
      <c r="CZ102" s="104" t="n">
        <v>13</v>
      </c>
      <c r="DA102" s="104" t="n">
        <v>13</v>
      </c>
      <c r="DB102" s="104" t="n">
        <v>13</v>
      </c>
      <c r="DC102" s="53"/>
      <c r="DD102" s="53"/>
      <c r="DE102" s="53"/>
      <c r="DF102" s="53"/>
      <c r="DG102" s="53"/>
      <c r="DH102" s="53"/>
      <c r="DI102" s="53"/>
      <c r="DJ102" s="53"/>
      <c r="DK102" s="53"/>
      <c r="DL102" s="53"/>
      <c r="DM102" s="53"/>
      <c r="DN102" s="53"/>
      <c r="DO102" s="53"/>
      <c r="DP102" s="53"/>
      <c r="DQ102" s="53"/>
      <c r="DR102" s="53"/>
      <c r="DS102" s="53"/>
      <c r="DT102" s="53"/>
      <c r="DU102" s="53"/>
      <c r="DV102" s="53"/>
      <c r="DW102" s="53"/>
      <c r="DX102" s="53"/>
      <c r="DY102" s="53"/>
    </row>
    <row r="103" customFormat="false" ht="13.5" hidden="false" customHeight="true" outlineLevel="0" collapsed="false">
      <c r="A103" s="107"/>
      <c r="B103" s="110"/>
      <c r="C103" s="110"/>
      <c r="D103" s="110"/>
      <c r="E103" s="107"/>
      <c r="F103" s="110"/>
      <c r="G103" s="110"/>
      <c r="H103" s="110"/>
      <c r="I103" s="110"/>
      <c r="J103" s="111" t="s">
        <v>6182</v>
      </c>
      <c r="K103" s="110"/>
      <c r="L103" s="110"/>
      <c r="M103" s="111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  <c r="AH103" s="110"/>
      <c r="AI103" s="110"/>
      <c r="AJ103" s="110"/>
      <c r="AK103" s="110"/>
      <c r="AL103" s="110"/>
      <c r="AM103" s="110"/>
      <c r="AN103" s="110"/>
      <c r="AO103" s="110"/>
      <c r="AP103" s="110"/>
      <c r="AQ103" s="110"/>
      <c r="AR103" s="110"/>
      <c r="AS103" s="110"/>
      <c r="AT103" s="110"/>
      <c r="AU103" s="110"/>
      <c r="AV103" s="110"/>
      <c r="AW103" s="110"/>
      <c r="AX103" s="110"/>
      <c r="AY103" s="110"/>
      <c r="AZ103" s="110"/>
      <c r="BA103" s="110"/>
      <c r="BB103" s="110"/>
      <c r="BC103" s="110"/>
      <c r="BD103" s="110"/>
      <c r="BE103" s="110"/>
      <c r="BF103" s="110"/>
      <c r="BG103" s="110"/>
      <c r="BH103" s="110"/>
      <c r="BI103" s="110"/>
      <c r="BJ103" s="110"/>
      <c r="BK103" s="110"/>
      <c r="BL103" s="110"/>
      <c r="BM103" s="110"/>
      <c r="BN103" s="110"/>
      <c r="BO103" s="110"/>
    </row>
    <row r="104" customFormat="false" ht="13.5" hidden="false" customHeight="true" outlineLevel="0" collapsed="false">
      <c r="A104" s="85" t="s">
        <v>6183</v>
      </c>
      <c r="B104" s="65" t="s">
        <v>6184</v>
      </c>
      <c r="C104" s="65" t="s">
        <v>5947</v>
      </c>
      <c r="D104" s="65"/>
      <c r="E104" s="65" t="s">
        <v>6184</v>
      </c>
      <c r="F104" s="65"/>
      <c r="G104" s="65"/>
      <c r="H104" s="65"/>
      <c r="I104" s="65"/>
      <c r="J104" s="65" t="s">
        <v>5947</v>
      </c>
      <c r="K104" s="65"/>
      <c r="L104" s="65"/>
      <c r="M104" s="65" t="s">
        <v>5948</v>
      </c>
      <c r="N104" s="65"/>
      <c r="O104" s="65"/>
      <c r="P104" s="65" t="s">
        <v>5947</v>
      </c>
      <c r="Q104" s="65"/>
      <c r="R104" s="65"/>
      <c r="S104" s="65"/>
      <c r="T104" s="65"/>
      <c r="U104" s="65"/>
      <c r="V104" s="65"/>
      <c r="W104" s="65"/>
      <c r="X104" s="65"/>
      <c r="Y104" s="65" t="s">
        <v>5948</v>
      </c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30"/>
      <c r="AK104" s="65"/>
      <c r="AL104" s="65"/>
      <c r="AM104" s="65" t="s">
        <v>5947</v>
      </c>
      <c r="AN104" s="30"/>
      <c r="AO104" s="30"/>
      <c r="AP104" s="65"/>
      <c r="AQ104" s="65"/>
      <c r="AR104" s="65"/>
      <c r="AS104" s="65"/>
      <c r="AT104" s="65"/>
      <c r="AU104" s="65" t="s">
        <v>5947</v>
      </c>
      <c r="AV104" s="65"/>
      <c r="AW104" s="65"/>
      <c r="AX104" s="65"/>
      <c r="AY104" s="65"/>
      <c r="AZ104" s="65" t="s">
        <v>5949</v>
      </c>
      <c r="BA104" s="30"/>
      <c r="BB104" s="30"/>
      <c r="BC104" s="30"/>
      <c r="BD104" s="30"/>
      <c r="BE104" s="30"/>
      <c r="BF104" s="30"/>
      <c r="BG104" s="30"/>
      <c r="BH104" s="65"/>
      <c r="BI104" s="65"/>
      <c r="BJ104" s="30"/>
      <c r="BK104" s="30"/>
      <c r="BL104" s="30"/>
      <c r="BM104" s="30"/>
      <c r="BN104" s="30"/>
      <c r="BO104" s="30"/>
      <c r="BP104" s="30"/>
      <c r="BQ104" s="30"/>
      <c r="BR104" s="30"/>
      <c r="BS104" s="30"/>
      <c r="BT104" s="30"/>
      <c r="BU104" s="65" t="s">
        <v>5949</v>
      </c>
      <c r="BV104" s="30"/>
      <c r="BW104" s="30"/>
      <c r="BX104" s="30"/>
      <c r="BY104" s="30"/>
      <c r="BZ104" s="30"/>
      <c r="CA104" s="30"/>
      <c r="CB104" s="30"/>
      <c r="CC104" s="30"/>
      <c r="CD104" s="30"/>
      <c r="CE104" s="30"/>
      <c r="CF104" s="30"/>
      <c r="CG104" s="30"/>
      <c r="CH104" s="30"/>
      <c r="CI104" s="30"/>
      <c r="CJ104" s="30"/>
      <c r="CK104" s="30"/>
      <c r="CL104" s="30"/>
      <c r="CM104" s="30"/>
      <c r="CN104" s="30"/>
      <c r="CO104" s="30"/>
      <c r="CP104" s="30"/>
      <c r="CQ104" s="30"/>
      <c r="CR104" s="30"/>
      <c r="CS104" s="30"/>
      <c r="CT104" s="30"/>
      <c r="CU104" s="30"/>
      <c r="CV104" s="30"/>
      <c r="CW104" s="30"/>
      <c r="CX104" s="30"/>
      <c r="CY104" s="30"/>
      <c r="CZ104" s="30"/>
      <c r="DA104" s="30"/>
      <c r="DB104" s="30"/>
      <c r="DC104" s="30"/>
      <c r="DD104" s="30"/>
      <c r="DE104" s="30"/>
      <c r="DF104" s="30"/>
      <c r="DG104" s="30"/>
      <c r="DH104" s="30"/>
      <c r="DI104" s="30"/>
      <c r="DJ104" s="30"/>
      <c r="DK104" s="30"/>
      <c r="DL104" s="30"/>
      <c r="DM104" s="30"/>
      <c r="DN104" s="30"/>
      <c r="DO104" s="30"/>
      <c r="DP104" s="30"/>
      <c r="DQ104" s="30"/>
      <c r="DR104" s="30"/>
      <c r="DS104" s="30"/>
      <c r="DT104" s="30"/>
      <c r="DU104" s="30"/>
      <c r="DV104" s="30"/>
      <c r="DW104" s="30"/>
      <c r="DX104" s="30"/>
      <c r="DY104" s="30"/>
    </row>
    <row r="105" customFormat="false" ht="13.5" hidden="false" customHeight="true" outlineLevel="0" collapsed="false">
      <c r="A105" s="112" t="s">
        <v>6185</v>
      </c>
      <c r="B105" s="86" t="s">
        <v>4797</v>
      </c>
      <c r="C105" s="86" t="s">
        <v>511</v>
      </c>
      <c r="E105" s="88" t="s">
        <v>510</v>
      </c>
      <c r="J105" s="88" t="s">
        <v>469</v>
      </c>
      <c r="M105" s="86" t="s">
        <v>511</v>
      </c>
      <c r="P105" s="88" t="s">
        <v>469</v>
      </c>
      <c r="Y105" s="88" t="s">
        <v>469</v>
      </c>
      <c r="AF105" s="88"/>
      <c r="AI105" s="88"/>
      <c r="AM105" s="86" t="s">
        <v>2380</v>
      </c>
      <c r="AP105" s="86"/>
      <c r="AR105" s="88"/>
      <c r="AU105" s="88" t="s">
        <v>463</v>
      </c>
      <c r="AW105" s="88"/>
      <c r="AX105" s="88"/>
      <c r="AZ105" s="86" t="s">
        <v>469</v>
      </c>
      <c r="BG105" s="88"/>
      <c r="BH105" s="86"/>
      <c r="BI105" s="86"/>
      <c r="BM105" s="88"/>
      <c r="BP105" s="88"/>
      <c r="BQ105" s="88"/>
      <c r="BR105" s="88"/>
      <c r="BU105" s="86" t="s">
        <v>205</v>
      </c>
      <c r="BX105" s="86"/>
    </row>
    <row r="106" customFormat="false" ht="13.5" hidden="false" customHeight="true" outlineLevel="0" collapsed="false">
      <c r="A106" s="86"/>
      <c r="B106" s="86" t="s">
        <v>6186</v>
      </c>
      <c r="C106" s="86" t="s">
        <v>6187</v>
      </c>
      <c r="E106" s="88" t="s">
        <v>6188</v>
      </c>
      <c r="J106" s="88" t="s">
        <v>6189</v>
      </c>
      <c r="M106" s="86" t="s">
        <v>6190</v>
      </c>
      <c r="P106" s="88" t="s">
        <v>6189</v>
      </c>
      <c r="Y106" s="88" t="s">
        <v>6191</v>
      </c>
      <c r="AF106" s="88"/>
      <c r="AI106" s="88"/>
      <c r="AM106" s="86" t="s">
        <v>6192</v>
      </c>
      <c r="AP106" s="86"/>
      <c r="AR106" s="88"/>
      <c r="AU106" s="88" t="s">
        <v>6193</v>
      </c>
      <c r="AW106" s="88"/>
      <c r="AX106" s="88"/>
      <c r="AZ106" s="86" t="s">
        <v>6194</v>
      </c>
      <c r="BG106" s="88"/>
      <c r="BH106" s="86"/>
      <c r="BI106" s="86"/>
      <c r="BM106" s="88"/>
      <c r="BP106" s="88"/>
      <c r="BQ106" s="88"/>
      <c r="BR106" s="88"/>
      <c r="BU106" s="86" t="s">
        <v>6195</v>
      </c>
      <c r="BX106" s="86"/>
    </row>
    <row r="107" customFormat="false" ht="13.5" hidden="false" customHeight="true" outlineLevel="0" collapsed="false">
      <c r="A107" s="89"/>
      <c r="B107" s="89" t="s">
        <v>6196</v>
      </c>
      <c r="C107" s="89" t="s">
        <v>6197</v>
      </c>
      <c r="E107" s="113" t="s">
        <v>6144</v>
      </c>
      <c r="J107" s="113" t="s">
        <v>6198</v>
      </c>
      <c r="M107" s="89" t="s">
        <v>6197</v>
      </c>
      <c r="P107" s="113" t="s">
        <v>6199</v>
      </c>
      <c r="Y107" s="113" t="s">
        <v>6200</v>
      </c>
      <c r="AF107" s="88"/>
      <c r="AI107" s="88"/>
      <c r="AM107" s="89" t="s">
        <v>6173</v>
      </c>
      <c r="AP107" s="89"/>
      <c r="AR107" s="86"/>
      <c r="AU107" s="89" t="s">
        <v>6144</v>
      </c>
      <c r="AW107" s="88"/>
      <c r="AX107" s="88"/>
      <c r="AZ107" s="86" t="s">
        <v>6200</v>
      </c>
      <c r="BG107" s="88"/>
      <c r="BH107" s="86"/>
      <c r="BI107" s="86"/>
      <c r="BM107" s="88"/>
      <c r="BP107" s="88"/>
      <c r="BQ107" s="88"/>
      <c r="BR107" s="88"/>
      <c r="BS107" s="92"/>
      <c r="BT107" s="92"/>
      <c r="BU107" s="86" t="s">
        <v>6173</v>
      </c>
      <c r="BX107" s="86"/>
      <c r="BY107" s="92"/>
      <c r="BZ107" s="92"/>
      <c r="CA107" s="92"/>
      <c r="CB107" s="92"/>
      <c r="CC107" s="92"/>
      <c r="CD107" s="92"/>
      <c r="CE107" s="92"/>
      <c r="CF107" s="92"/>
      <c r="CG107" s="92"/>
      <c r="CH107" s="92"/>
      <c r="CI107" s="92"/>
      <c r="CJ107" s="92"/>
      <c r="CK107" s="92"/>
      <c r="CL107" s="92"/>
      <c r="CM107" s="92"/>
      <c r="CN107" s="92"/>
      <c r="CO107" s="92"/>
      <c r="CP107" s="92"/>
      <c r="CQ107" s="92"/>
      <c r="CR107" s="92"/>
      <c r="CS107" s="92"/>
      <c r="CT107" s="92"/>
    </row>
    <row r="108" customFormat="false" ht="13.5" hidden="false" customHeight="true" outlineLevel="0" collapsed="false">
      <c r="A108" s="41" t="s">
        <v>5946</v>
      </c>
      <c r="B108" s="42" t="n">
        <v>23</v>
      </c>
      <c r="C108" s="42" t="n">
        <v>24</v>
      </c>
      <c r="D108" s="42" t="n">
        <v>25</v>
      </c>
      <c r="E108" s="42" t="n">
        <v>26</v>
      </c>
      <c r="F108" s="42" t="n">
        <v>27</v>
      </c>
      <c r="G108" s="43" t="n">
        <v>28</v>
      </c>
      <c r="H108" s="43" t="s">
        <v>5947</v>
      </c>
      <c r="I108" s="42" t="n">
        <v>2</v>
      </c>
      <c r="J108" s="42" t="n">
        <v>3</v>
      </c>
      <c r="K108" s="42" t="n">
        <v>4</v>
      </c>
      <c r="L108" s="42" t="n">
        <v>5</v>
      </c>
      <c r="M108" s="42" t="n">
        <v>6</v>
      </c>
      <c r="N108" s="43" t="n">
        <v>7</v>
      </c>
      <c r="O108" s="43" t="n">
        <v>8</v>
      </c>
      <c r="P108" s="42" t="n">
        <v>9</v>
      </c>
      <c r="Q108" s="42" t="n">
        <v>10</v>
      </c>
      <c r="R108" s="42" t="n">
        <v>11</v>
      </c>
      <c r="S108" s="42" t="n">
        <v>12</v>
      </c>
      <c r="T108" s="42" t="n">
        <v>13</v>
      </c>
      <c r="U108" s="43" t="n">
        <v>14</v>
      </c>
      <c r="V108" s="43" t="n">
        <v>15</v>
      </c>
      <c r="W108" s="42" t="n">
        <v>16</v>
      </c>
      <c r="X108" s="42" t="n">
        <v>17</v>
      </c>
      <c r="Y108" s="42" t="n">
        <v>18</v>
      </c>
      <c r="Z108" s="42" t="n">
        <v>19</v>
      </c>
      <c r="AA108" s="42" t="n">
        <v>20</v>
      </c>
      <c r="AB108" s="43" t="n">
        <v>21</v>
      </c>
      <c r="AC108" s="43" t="n">
        <v>22</v>
      </c>
      <c r="AD108" s="42" t="n">
        <v>23</v>
      </c>
      <c r="AE108" s="42" t="n">
        <v>24</v>
      </c>
      <c r="AF108" s="42" t="n">
        <v>25</v>
      </c>
      <c r="AG108" s="42" t="n">
        <v>26</v>
      </c>
      <c r="AH108" s="42" t="n">
        <v>27</v>
      </c>
      <c r="AI108" s="43" t="n">
        <v>28</v>
      </c>
      <c r="AJ108" s="43" t="n">
        <v>29</v>
      </c>
      <c r="AK108" s="42" t="n">
        <v>30</v>
      </c>
      <c r="AL108" s="42" t="n">
        <v>31</v>
      </c>
      <c r="AM108" s="42" t="s">
        <v>5948</v>
      </c>
      <c r="AN108" s="42" t="n">
        <v>2</v>
      </c>
      <c r="AO108" s="42" t="n">
        <v>3</v>
      </c>
      <c r="AP108" s="43" t="n">
        <v>4</v>
      </c>
      <c r="AQ108" s="43" t="n">
        <v>5</v>
      </c>
      <c r="AR108" s="42" t="n">
        <v>6</v>
      </c>
      <c r="AS108" s="42" t="n">
        <v>7</v>
      </c>
      <c r="AT108" s="42" t="n">
        <v>8</v>
      </c>
      <c r="AU108" s="42" t="n">
        <v>9</v>
      </c>
      <c r="AV108" s="42" t="n">
        <v>10</v>
      </c>
      <c r="AW108" s="43" t="n">
        <v>11</v>
      </c>
      <c r="AX108" s="43" t="n">
        <v>12</v>
      </c>
      <c r="AY108" s="42" t="n">
        <v>13</v>
      </c>
      <c r="AZ108" s="42" t="n">
        <v>14</v>
      </c>
      <c r="BA108" s="42" t="n">
        <v>15</v>
      </c>
      <c r="BB108" s="42" t="n">
        <v>16</v>
      </c>
      <c r="BC108" s="42" t="n">
        <v>17</v>
      </c>
      <c r="BD108" s="43" t="n">
        <v>18</v>
      </c>
      <c r="BE108" s="43" t="n">
        <v>19</v>
      </c>
      <c r="BF108" s="42" t="n">
        <v>20</v>
      </c>
      <c r="BG108" s="42" t="n">
        <v>21</v>
      </c>
      <c r="BH108" s="42" t="n">
        <v>22</v>
      </c>
      <c r="BI108" s="42" t="n">
        <v>23</v>
      </c>
      <c r="BJ108" s="42" t="n">
        <v>24</v>
      </c>
      <c r="BK108" s="43" t="n">
        <v>25</v>
      </c>
      <c r="BL108" s="43" t="n">
        <v>26</v>
      </c>
      <c r="BM108" s="43" t="n">
        <v>27</v>
      </c>
      <c r="BN108" s="42" t="n">
        <v>28</v>
      </c>
      <c r="BO108" s="42" t="n">
        <v>29</v>
      </c>
      <c r="BP108" s="43" t="n">
        <v>30</v>
      </c>
      <c r="BQ108" s="43" t="s">
        <v>5949</v>
      </c>
      <c r="BR108" s="43" t="n">
        <v>2</v>
      </c>
      <c r="BS108" s="43" t="n">
        <v>3</v>
      </c>
      <c r="BT108" s="42" t="n">
        <v>4</v>
      </c>
      <c r="BU108" s="42" t="n">
        <v>5</v>
      </c>
      <c r="BV108" s="42" t="n">
        <v>6</v>
      </c>
      <c r="BW108" s="42" t="n">
        <v>7</v>
      </c>
      <c r="BX108" s="42" t="n">
        <v>8</v>
      </c>
      <c r="BY108" s="43" t="n">
        <v>9</v>
      </c>
      <c r="BZ108" s="43" t="n">
        <v>10</v>
      </c>
      <c r="CA108" s="42" t="n">
        <v>11</v>
      </c>
      <c r="CB108" s="42" t="n">
        <v>12</v>
      </c>
      <c r="CC108" s="42" t="n">
        <v>13</v>
      </c>
      <c r="CD108" s="42" t="n">
        <v>14</v>
      </c>
      <c r="CE108" s="42" t="n">
        <v>15</v>
      </c>
      <c r="CF108" s="43" t="n">
        <v>16</v>
      </c>
      <c r="CG108" s="43" t="n">
        <v>17</v>
      </c>
      <c r="CH108" s="42" t="n">
        <v>18</v>
      </c>
      <c r="CI108" s="42" t="n">
        <v>19</v>
      </c>
      <c r="CJ108" s="42" t="n">
        <v>20</v>
      </c>
      <c r="CK108" s="42" t="n">
        <v>21</v>
      </c>
      <c r="CL108" s="42" t="n">
        <v>22</v>
      </c>
      <c r="CM108" s="43" t="n">
        <v>23</v>
      </c>
      <c r="CN108" s="43" t="n">
        <v>24</v>
      </c>
      <c r="CO108" s="42" t="n">
        <v>25</v>
      </c>
      <c r="CP108" s="42" t="n">
        <v>26</v>
      </c>
      <c r="CQ108" s="42" t="n">
        <v>27</v>
      </c>
      <c r="CR108" s="42" t="n">
        <v>28</v>
      </c>
      <c r="CS108" s="42" t="n">
        <v>29</v>
      </c>
      <c r="CT108" s="43" t="n">
        <v>30</v>
      </c>
      <c r="CU108" s="43" t="n">
        <v>31</v>
      </c>
      <c r="CV108" s="42" t="n">
        <v>25</v>
      </c>
      <c r="CW108" s="42" t="n">
        <v>26</v>
      </c>
      <c r="CX108" s="42" t="n">
        <v>27</v>
      </c>
      <c r="CY108" s="42" t="n">
        <v>28</v>
      </c>
      <c r="CZ108" s="42" t="n">
        <v>29</v>
      </c>
      <c r="DA108" s="43" t="n">
        <v>30</v>
      </c>
      <c r="DB108" s="43" t="n">
        <v>31</v>
      </c>
      <c r="DC108" s="42" t="n">
        <v>8</v>
      </c>
      <c r="DD108" s="42" t="n">
        <v>9</v>
      </c>
      <c r="DE108" s="42" t="n">
        <v>10</v>
      </c>
      <c r="DF108" s="42" t="n">
        <v>11</v>
      </c>
      <c r="DG108" s="42" t="n">
        <v>12</v>
      </c>
      <c r="DH108" s="43" t="n">
        <v>13</v>
      </c>
      <c r="DI108" s="43" t="n">
        <v>14</v>
      </c>
      <c r="DJ108" s="42" t="n">
        <v>15</v>
      </c>
      <c r="DK108" s="42" t="n">
        <v>16</v>
      </c>
      <c r="DL108" s="42" t="n">
        <v>17</v>
      </c>
      <c r="DM108" s="42" t="n">
        <v>18</v>
      </c>
      <c r="DN108" s="42" t="n">
        <v>19</v>
      </c>
      <c r="DO108" s="43" t="n">
        <v>20</v>
      </c>
      <c r="DP108" s="43" t="n">
        <v>21</v>
      </c>
      <c r="DQ108" s="42" t="n">
        <v>22</v>
      </c>
      <c r="DR108" s="42" t="n">
        <v>23</v>
      </c>
      <c r="DS108" s="42" t="n">
        <v>24</v>
      </c>
      <c r="DT108" s="42" t="n">
        <v>25</v>
      </c>
      <c r="DU108" s="42" t="n">
        <v>26</v>
      </c>
      <c r="DV108" s="43" t="n">
        <v>27</v>
      </c>
      <c r="DW108" s="43" t="n">
        <v>28</v>
      </c>
      <c r="DX108" s="42" t="n">
        <v>29</v>
      </c>
      <c r="DY108" s="42" t="n">
        <v>30</v>
      </c>
    </row>
    <row r="109" customFormat="false" ht="13.5" hidden="false" customHeight="true" outlineLevel="0" collapsed="false">
      <c r="A109" s="41" t="s">
        <v>5952</v>
      </c>
      <c r="B109" s="99" t="n">
        <v>402</v>
      </c>
      <c r="C109" s="99" t="n">
        <v>402</v>
      </c>
      <c r="D109" s="99" t="n">
        <v>259</v>
      </c>
      <c r="E109" s="99" t="n">
        <v>333</v>
      </c>
      <c r="F109" s="44" t="n">
        <v>630</v>
      </c>
      <c r="G109" s="44"/>
      <c r="H109" s="44"/>
      <c r="I109" s="44" t="n">
        <v>630</v>
      </c>
      <c r="J109" s="44" t="n">
        <v>409</v>
      </c>
      <c r="K109" s="44" t="n">
        <v>3000</v>
      </c>
      <c r="L109" s="44" t="n">
        <v>3000</v>
      </c>
      <c r="M109" s="44" t="n">
        <v>600</v>
      </c>
      <c r="N109" s="44"/>
      <c r="O109" s="44"/>
      <c r="P109" s="44" t="n">
        <v>3000</v>
      </c>
      <c r="Q109" s="44" t="n">
        <v>3000</v>
      </c>
      <c r="R109" s="44" t="n">
        <v>3000</v>
      </c>
      <c r="S109" s="44" t="n">
        <v>3000</v>
      </c>
      <c r="T109" s="44" t="n">
        <v>3000</v>
      </c>
      <c r="U109" s="44"/>
      <c r="V109" s="44"/>
      <c r="W109" s="44" t="n">
        <v>3000</v>
      </c>
      <c r="X109" s="44" t="n">
        <v>3000</v>
      </c>
      <c r="Y109" s="44" t="n">
        <v>700</v>
      </c>
      <c r="Z109" s="44" t="n">
        <v>3000</v>
      </c>
      <c r="AA109" s="44" t="n">
        <v>3000</v>
      </c>
      <c r="AB109" s="44"/>
      <c r="AC109" s="44"/>
      <c r="AD109" s="44" t="n">
        <v>3000</v>
      </c>
      <c r="AE109" s="44" t="n">
        <v>3000</v>
      </c>
      <c r="AF109" s="44" t="n">
        <v>3000</v>
      </c>
      <c r="AG109" s="44" t="n">
        <v>3000</v>
      </c>
      <c r="AH109" s="44" t="n">
        <v>3000</v>
      </c>
      <c r="AI109" s="44"/>
      <c r="AJ109" s="44"/>
      <c r="AK109" s="44" t="n">
        <v>3000</v>
      </c>
      <c r="AL109" s="44" t="n">
        <v>3000</v>
      </c>
      <c r="AM109" s="44" t="n">
        <v>800</v>
      </c>
      <c r="AN109" s="44" t="n">
        <v>630</v>
      </c>
      <c r="AO109" s="44" t="n">
        <v>630</v>
      </c>
      <c r="AP109" s="44"/>
      <c r="AQ109" s="44"/>
      <c r="AR109" s="44" t="n">
        <v>630</v>
      </c>
      <c r="AS109" s="44" t="n">
        <v>630</v>
      </c>
      <c r="AT109" s="44" t="n">
        <v>630</v>
      </c>
      <c r="AU109" s="44" t="n">
        <v>302</v>
      </c>
      <c r="AV109" s="44" t="n">
        <v>620</v>
      </c>
      <c r="AW109" s="44"/>
      <c r="AX109" s="44"/>
      <c r="AY109" s="44" t="n">
        <v>620</v>
      </c>
      <c r="AZ109" s="44" t="n">
        <v>442</v>
      </c>
      <c r="BA109" s="44" t="n">
        <v>3000</v>
      </c>
      <c r="BB109" s="44" t="n">
        <v>3000</v>
      </c>
      <c r="BC109" s="44" t="n">
        <v>3000</v>
      </c>
      <c r="BD109" s="44"/>
      <c r="BE109" s="44"/>
      <c r="BF109" s="44" t="n">
        <v>2500</v>
      </c>
      <c r="BG109" s="44" t="n">
        <v>2500</v>
      </c>
      <c r="BH109" s="44" t="n">
        <v>2500</v>
      </c>
      <c r="BI109" s="44" t="n">
        <v>2500</v>
      </c>
      <c r="BJ109" s="44" t="n">
        <v>2500</v>
      </c>
      <c r="BK109" s="44"/>
      <c r="BL109" s="44"/>
      <c r="BM109" s="100" t="s">
        <v>6145</v>
      </c>
      <c r="BN109" s="44" t="n">
        <v>2500</v>
      </c>
      <c r="BO109" s="44" t="n">
        <v>2500</v>
      </c>
      <c r="BP109" s="100" t="s">
        <v>6145</v>
      </c>
      <c r="BQ109" s="100" t="s">
        <v>6145</v>
      </c>
      <c r="BR109" s="93"/>
      <c r="BS109" s="93"/>
      <c r="BT109" s="44" t="n">
        <v>2500</v>
      </c>
      <c r="BU109" s="44" t="n">
        <v>200</v>
      </c>
      <c r="BV109" s="44" t="n">
        <v>500</v>
      </c>
      <c r="BW109" s="44" t="n">
        <v>500</v>
      </c>
      <c r="BX109" s="44" t="n">
        <v>500</v>
      </c>
      <c r="BY109" s="44"/>
      <c r="BZ109" s="44"/>
      <c r="CA109" s="44" t="n">
        <v>500</v>
      </c>
      <c r="CB109" s="44" t="n">
        <v>500</v>
      </c>
      <c r="CC109" s="44" t="n">
        <v>500</v>
      </c>
      <c r="CD109" s="44" t="n">
        <v>502</v>
      </c>
      <c r="CE109" s="44"/>
      <c r="CF109" s="44"/>
      <c r="CG109" s="44"/>
      <c r="CH109" s="44"/>
      <c r="CI109" s="44"/>
      <c r="CJ109" s="44"/>
      <c r="CK109" s="44"/>
      <c r="CL109" s="44"/>
      <c r="CM109" s="44"/>
      <c r="CN109" s="44"/>
      <c r="CO109" s="44"/>
      <c r="CP109" s="44"/>
      <c r="CQ109" s="44"/>
      <c r="CR109" s="44"/>
      <c r="CS109" s="44"/>
      <c r="CT109" s="44"/>
      <c r="CU109" s="44"/>
      <c r="CV109" s="44"/>
      <c r="CW109" s="44"/>
      <c r="CX109" s="44"/>
      <c r="CY109" s="44"/>
      <c r="CZ109" s="44"/>
      <c r="DA109" s="44"/>
      <c r="DB109" s="44"/>
      <c r="DC109" s="44"/>
      <c r="DD109" s="44"/>
      <c r="DE109" s="44"/>
      <c r="DF109" s="44"/>
      <c r="DG109" s="44"/>
      <c r="DH109" s="44"/>
      <c r="DI109" s="44"/>
      <c r="DJ109" s="44"/>
      <c r="DK109" s="44"/>
      <c r="DL109" s="44"/>
      <c r="DM109" s="44"/>
      <c r="DN109" s="44"/>
      <c r="DO109" s="44"/>
      <c r="DP109" s="44"/>
      <c r="DQ109" s="44"/>
      <c r="DR109" s="44"/>
      <c r="DS109" s="44"/>
      <c r="DT109" s="44"/>
      <c r="DU109" s="44"/>
      <c r="DV109" s="44"/>
      <c r="DW109" s="44"/>
      <c r="DX109" s="44"/>
      <c r="DY109" s="44"/>
    </row>
    <row r="110" customFormat="false" ht="13.5" hidden="false" customHeight="true" outlineLevel="0" collapsed="false">
      <c r="A110" s="41"/>
      <c r="B110" s="114" t="n">
        <v>100</v>
      </c>
      <c r="C110" s="114" t="n">
        <v>243</v>
      </c>
      <c r="D110" s="94"/>
      <c r="E110" s="94"/>
      <c r="F110" s="94"/>
      <c r="G110" s="94"/>
      <c r="H110" s="94"/>
      <c r="I110" s="94"/>
      <c r="J110" s="94" t="n">
        <v>1800</v>
      </c>
      <c r="K110" s="94"/>
      <c r="L110" s="94"/>
      <c r="M110" s="94" t="n">
        <v>502</v>
      </c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 t="n">
        <v>2300</v>
      </c>
      <c r="Z110" s="94"/>
      <c r="AA110" s="94"/>
      <c r="AB110" s="94"/>
      <c r="AC110" s="94"/>
      <c r="AD110" s="94"/>
      <c r="AE110" s="94"/>
      <c r="AF110" s="94"/>
      <c r="AG110" s="94"/>
      <c r="AH110" s="94"/>
      <c r="AI110" s="94"/>
      <c r="AJ110" s="94"/>
      <c r="AK110" s="94"/>
      <c r="AL110" s="94"/>
      <c r="AM110" s="94" t="n">
        <v>550</v>
      </c>
      <c r="AN110" s="94"/>
      <c r="AO110" s="94"/>
      <c r="AP110" s="94"/>
      <c r="AQ110" s="94"/>
      <c r="AR110" s="94"/>
      <c r="AS110" s="94"/>
      <c r="AT110" s="94"/>
      <c r="AU110" s="94" t="n">
        <v>320</v>
      </c>
      <c r="AV110" s="94"/>
      <c r="AW110" s="94"/>
      <c r="AX110" s="94"/>
      <c r="AY110" s="94"/>
      <c r="AZ110" s="94" t="n">
        <v>900</v>
      </c>
      <c r="BA110" s="94"/>
      <c r="BB110" s="94"/>
      <c r="BC110" s="94"/>
      <c r="BD110" s="94"/>
      <c r="BE110" s="94"/>
      <c r="BF110" s="94"/>
      <c r="BG110" s="94"/>
      <c r="BH110" s="94"/>
      <c r="BI110" s="94"/>
      <c r="BJ110" s="94"/>
      <c r="BK110" s="94"/>
      <c r="BL110" s="94"/>
      <c r="BM110" s="100"/>
      <c r="BN110" s="94"/>
      <c r="BO110" s="94"/>
      <c r="BP110" s="100"/>
      <c r="BQ110" s="100"/>
      <c r="BR110" s="93"/>
      <c r="BS110" s="93"/>
      <c r="BT110" s="94"/>
      <c r="BU110" s="94" t="n">
        <v>500</v>
      </c>
      <c r="BV110" s="94"/>
      <c r="BW110" s="94"/>
      <c r="BX110" s="94"/>
      <c r="BY110" s="94"/>
      <c r="BZ110" s="94"/>
      <c r="CA110" s="94"/>
      <c r="CB110" s="94"/>
      <c r="CC110" s="94"/>
      <c r="CD110" s="94"/>
      <c r="CE110" s="94"/>
      <c r="CF110" s="94"/>
      <c r="CG110" s="94"/>
      <c r="CH110" s="94"/>
      <c r="CI110" s="94"/>
      <c r="CJ110" s="94"/>
      <c r="CK110" s="94"/>
      <c r="CL110" s="94"/>
      <c r="CM110" s="94"/>
      <c r="CN110" s="94"/>
      <c r="CO110" s="94"/>
      <c r="CP110" s="94"/>
      <c r="CQ110" s="94"/>
      <c r="CR110" s="94"/>
      <c r="CS110" s="94"/>
      <c r="CT110" s="94"/>
      <c r="CU110" s="94"/>
      <c r="CV110" s="94"/>
      <c r="CW110" s="94"/>
      <c r="CX110" s="94"/>
      <c r="CY110" s="94"/>
      <c r="CZ110" s="94"/>
      <c r="DA110" s="94"/>
      <c r="DB110" s="94"/>
      <c r="DC110" s="45"/>
      <c r="DD110" s="45"/>
      <c r="DE110" s="45"/>
      <c r="DF110" s="45"/>
      <c r="DG110" s="45"/>
      <c r="DH110" s="45"/>
      <c r="DI110" s="45"/>
      <c r="DJ110" s="45"/>
      <c r="DK110" s="45"/>
      <c r="DL110" s="45"/>
      <c r="DM110" s="45"/>
      <c r="DN110" s="45"/>
      <c r="DO110" s="45"/>
      <c r="DP110" s="45"/>
      <c r="DQ110" s="45"/>
      <c r="DR110" s="45"/>
      <c r="DS110" s="45"/>
      <c r="DT110" s="45"/>
      <c r="DU110" s="45"/>
      <c r="DV110" s="45"/>
      <c r="DW110" s="45"/>
      <c r="DX110" s="45"/>
      <c r="DY110" s="45"/>
    </row>
    <row r="111" customFormat="false" ht="13.5" hidden="false" customHeight="true" outlineLevel="0" collapsed="false">
      <c r="A111" s="115"/>
      <c r="B111" s="116" t="s">
        <v>5953</v>
      </c>
      <c r="C111" s="96" t="s">
        <v>5953</v>
      </c>
      <c r="D111" s="53"/>
      <c r="E111" s="96" t="s">
        <v>5953</v>
      </c>
      <c r="F111" s="53"/>
      <c r="G111" s="53"/>
      <c r="H111" s="94"/>
      <c r="I111" s="94"/>
      <c r="J111" s="96" t="s">
        <v>5953</v>
      </c>
      <c r="K111" s="102"/>
      <c r="L111" s="102"/>
      <c r="M111" s="96" t="s">
        <v>5953</v>
      </c>
      <c r="N111" s="102"/>
      <c r="O111" s="102"/>
      <c r="P111" s="96" t="s">
        <v>5953</v>
      </c>
      <c r="Q111" s="102"/>
      <c r="R111" s="102"/>
      <c r="S111" s="102"/>
      <c r="T111" s="102"/>
      <c r="U111" s="102"/>
      <c r="V111" s="102"/>
      <c r="W111" s="102"/>
      <c r="X111" s="102"/>
      <c r="Y111" s="47" t="s">
        <v>6201</v>
      </c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117" t="s">
        <v>6022</v>
      </c>
      <c r="AN111" s="102"/>
      <c r="AO111" s="102"/>
      <c r="AP111" s="53"/>
      <c r="AQ111" s="102"/>
      <c r="AR111" s="102"/>
      <c r="AS111" s="102"/>
      <c r="AT111" s="102"/>
      <c r="AU111" s="47" t="s">
        <v>5953</v>
      </c>
      <c r="AV111" s="102"/>
      <c r="AW111" s="96"/>
      <c r="AX111" s="96"/>
      <c r="AY111" s="96"/>
      <c r="AZ111" s="102" t="s">
        <v>6148</v>
      </c>
      <c r="BA111" s="53"/>
      <c r="BB111" s="53"/>
      <c r="BC111" s="53"/>
      <c r="BD111" s="53"/>
      <c r="BE111" s="53"/>
      <c r="BF111" s="53"/>
      <c r="BG111" s="53"/>
      <c r="BH111" s="102"/>
      <c r="BI111" s="102"/>
      <c r="BJ111" s="92"/>
      <c r="BK111" s="53"/>
      <c r="BL111" s="53"/>
      <c r="BM111" s="53"/>
      <c r="BN111" s="53"/>
      <c r="BP111" s="53"/>
      <c r="BQ111" s="53"/>
      <c r="BR111" s="53"/>
      <c r="BS111" s="53"/>
      <c r="BT111" s="53"/>
      <c r="BU111" s="102" t="s">
        <v>6202</v>
      </c>
      <c r="BV111" s="97"/>
      <c r="BW111" s="97"/>
      <c r="BX111" s="97"/>
      <c r="BY111" s="97"/>
      <c r="BZ111" s="97"/>
      <c r="CA111" s="97"/>
      <c r="CB111" s="97"/>
      <c r="CC111" s="97"/>
      <c r="CD111" s="97"/>
      <c r="CE111" s="97"/>
      <c r="CF111" s="97"/>
      <c r="CG111" s="97"/>
      <c r="CH111" s="97"/>
      <c r="CI111" s="97"/>
      <c r="CJ111" s="97"/>
      <c r="CK111" s="97"/>
      <c r="CL111" s="97"/>
      <c r="CM111" s="97"/>
      <c r="CN111" s="97"/>
      <c r="CO111" s="97"/>
      <c r="CP111" s="97"/>
      <c r="CQ111" s="97"/>
      <c r="CR111" s="97"/>
      <c r="CS111" s="97"/>
      <c r="CT111" s="97"/>
      <c r="CU111" s="97"/>
      <c r="CV111" s="97"/>
      <c r="CW111" s="97"/>
      <c r="CX111" s="97"/>
      <c r="CY111" s="97"/>
      <c r="CZ111" s="97"/>
      <c r="DA111" s="97"/>
      <c r="DB111" s="97"/>
      <c r="DC111" s="49"/>
      <c r="DD111" s="49"/>
      <c r="DE111" s="49"/>
      <c r="DF111" s="49"/>
      <c r="DG111" s="49"/>
      <c r="DH111" s="49"/>
      <c r="DI111" s="49"/>
      <c r="DJ111" s="49"/>
      <c r="DK111" s="49"/>
      <c r="DL111" s="49"/>
      <c r="DM111" s="49"/>
      <c r="DN111" s="49"/>
      <c r="DO111" s="49"/>
      <c r="DP111" s="49"/>
      <c r="DQ111" s="49"/>
      <c r="DR111" s="49"/>
      <c r="DS111" s="49"/>
      <c r="DT111" s="49"/>
      <c r="DU111" s="49"/>
      <c r="DV111" s="49"/>
      <c r="DW111" s="49"/>
      <c r="DX111" s="49"/>
      <c r="DY111" s="49"/>
    </row>
    <row r="112" customFormat="false" ht="13.5" hidden="false" customHeight="true" outlineLevel="0" collapsed="false">
      <c r="A112" s="98" t="s">
        <v>5960</v>
      </c>
      <c r="B112" s="104" t="n">
        <v>17</v>
      </c>
      <c r="C112" s="104" t="n">
        <v>17</v>
      </c>
      <c r="D112" s="104" t="n">
        <v>17</v>
      </c>
      <c r="E112" s="104" t="n">
        <v>17</v>
      </c>
      <c r="F112" s="104" t="n">
        <v>17</v>
      </c>
      <c r="G112" s="104" t="n">
        <v>17</v>
      </c>
      <c r="H112" s="104" t="n">
        <v>17</v>
      </c>
      <c r="I112" s="104" t="n">
        <v>17</v>
      </c>
      <c r="J112" s="104" t="n">
        <v>17</v>
      </c>
      <c r="K112" s="104" t="n">
        <v>17</v>
      </c>
      <c r="L112" s="104" t="n">
        <v>17</v>
      </c>
      <c r="M112" s="104" t="n">
        <v>17</v>
      </c>
      <c r="N112" s="104" t="n">
        <v>17</v>
      </c>
      <c r="O112" s="104" t="n">
        <v>17</v>
      </c>
      <c r="P112" s="104" t="n">
        <v>17</v>
      </c>
      <c r="Q112" s="104" t="n">
        <v>17</v>
      </c>
      <c r="R112" s="104" t="n">
        <v>17</v>
      </c>
      <c r="S112" s="104" t="n">
        <v>17</v>
      </c>
      <c r="T112" s="104" t="n">
        <v>17</v>
      </c>
      <c r="U112" s="104" t="n">
        <v>17</v>
      </c>
      <c r="V112" s="104" t="n">
        <v>17</v>
      </c>
      <c r="W112" s="104" t="n">
        <v>17</v>
      </c>
      <c r="X112" s="104" t="n">
        <v>17</v>
      </c>
      <c r="Y112" s="104" t="n">
        <v>17</v>
      </c>
      <c r="Z112" s="104" t="n">
        <v>17</v>
      </c>
      <c r="AA112" s="104" t="n">
        <v>17</v>
      </c>
      <c r="AB112" s="104" t="n">
        <v>17</v>
      </c>
      <c r="AC112" s="104" t="n">
        <v>17</v>
      </c>
      <c r="AD112" s="104" t="n">
        <v>17</v>
      </c>
      <c r="AE112" s="104" t="n">
        <v>17</v>
      </c>
      <c r="AF112" s="104" t="n">
        <v>17</v>
      </c>
      <c r="AG112" s="104" t="n">
        <v>17</v>
      </c>
      <c r="AH112" s="104" t="n">
        <v>17</v>
      </c>
      <c r="AI112" s="104" t="n">
        <v>17</v>
      </c>
      <c r="AJ112" s="104" t="n">
        <v>17</v>
      </c>
      <c r="AK112" s="104" t="n">
        <v>17</v>
      </c>
      <c r="AL112" s="104" t="n">
        <v>17</v>
      </c>
      <c r="AM112" s="104" t="n">
        <v>17</v>
      </c>
      <c r="AN112" s="104" t="n">
        <v>17</v>
      </c>
      <c r="AO112" s="104" t="n">
        <v>17</v>
      </c>
      <c r="AP112" s="104" t="n">
        <v>17</v>
      </c>
      <c r="AQ112" s="118" t="n">
        <v>17</v>
      </c>
      <c r="AR112" s="118" t="n">
        <v>17</v>
      </c>
      <c r="AS112" s="118" t="n">
        <v>17</v>
      </c>
      <c r="AT112" s="118" t="n">
        <v>17</v>
      </c>
      <c r="AU112" s="118" t="n">
        <v>23</v>
      </c>
      <c r="AV112" s="118" t="n">
        <v>23</v>
      </c>
      <c r="AW112" s="118" t="n">
        <v>23</v>
      </c>
      <c r="AX112" s="118" t="n">
        <v>23</v>
      </c>
      <c r="AY112" s="118" t="n">
        <v>23</v>
      </c>
      <c r="AZ112" s="118" t="n">
        <v>23</v>
      </c>
      <c r="BA112" s="118" t="n">
        <v>17</v>
      </c>
      <c r="BB112" s="118" t="n">
        <v>17</v>
      </c>
      <c r="BC112" s="118" t="n">
        <v>17</v>
      </c>
      <c r="BD112" s="118" t="n">
        <v>17</v>
      </c>
      <c r="BE112" s="118" t="n">
        <v>17</v>
      </c>
      <c r="BF112" s="118" t="n">
        <v>17</v>
      </c>
      <c r="BG112" s="118" t="n">
        <v>17</v>
      </c>
      <c r="BH112" s="118" t="n">
        <v>17</v>
      </c>
      <c r="BI112" s="118" t="n">
        <v>17</v>
      </c>
      <c r="BJ112" s="118" t="n">
        <v>17</v>
      </c>
      <c r="BK112" s="118" t="n">
        <v>17</v>
      </c>
      <c r="BL112" s="118" t="n">
        <v>17</v>
      </c>
      <c r="BM112" s="118" t="n">
        <v>17</v>
      </c>
      <c r="BN112" s="118" t="n">
        <v>17</v>
      </c>
      <c r="BO112" s="118" t="n">
        <v>17</v>
      </c>
      <c r="BP112" s="118" t="n">
        <v>17</v>
      </c>
      <c r="BQ112" s="118" t="n">
        <v>17</v>
      </c>
      <c r="BR112" s="118" t="n">
        <v>17</v>
      </c>
      <c r="BS112" s="118" t="n">
        <v>17</v>
      </c>
      <c r="BT112" s="118" t="n">
        <v>17</v>
      </c>
      <c r="BU112" s="118" t="n">
        <v>17</v>
      </c>
      <c r="BV112" s="118" t="n">
        <v>17</v>
      </c>
      <c r="BW112" s="118" t="n">
        <v>17</v>
      </c>
      <c r="BX112" s="118" t="n">
        <v>17</v>
      </c>
      <c r="BY112" s="118" t="n">
        <v>17</v>
      </c>
      <c r="BZ112" s="118" t="n">
        <v>17</v>
      </c>
      <c r="CA112" s="118" t="n">
        <v>17</v>
      </c>
      <c r="CB112" s="118" t="n">
        <v>17</v>
      </c>
      <c r="CC112" s="118" t="n">
        <v>17</v>
      </c>
      <c r="CD112" s="118" t="n">
        <v>17</v>
      </c>
      <c r="CE112" s="118" t="n">
        <v>17</v>
      </c>
      <c r="CF112" s="118" t="n">
        <v>17</v>
      </c>
      <c r="CG112" s="118" t="n">
        <v>17</v>
      </c>
      <c r="CH112" s="118" t="n">
        <v>17</v>
      </c>
      <c r="CI112" s="118" t="n">
        <v>17</v>
      </c>
      <c r="CJ112" s="118" t="n">
        <v>17</v>
      </c>
      <c r="CK112" s="118" t="n">
        <v>17</v>
      </c>
      <c r="CL112" s="118" t="n">
        <v>17</v>
      </c>
      <c r="CM112" s="118" t="n">
        <v>17</v>
      </c>
      <c r="CN112" s="118" t="n">
        <v>17</v>
      </c>
      <c r="CO112" s="118" t="n">
        <v>17</v>
      </c>
      <c r="CP112" s="118" t="n">
        <v>17</v>
      </c>
      <c r="CQ112" s="118" t="n">
        <v>17</v>
      </c>
      <c r="CR112" s="118" t="n">
        <v>17</v>
      </c>
      <c r="CS112" s="118" t="n">
        <v>17</v>
      </c>
      <c r="CT112" s="118" t="n">
        <v>17</v>
      </c>
      <c r="CU112" s="118" t="n">
        <v>17</v>
      </c>
      <c r="CV112" s="118" t="n">
        <v>17</v>
      </c>
      <c r="CW112" s="118" t="n">
        <v>17</v>
      </c>
      <c r="CX112" s="118" t="n">
        <v>17</v>
      </c>
      <c r="CY112" s="118" t="n">
        <v>17</v>
      </c>
      <c r="CZ112" s="118" t="n">
        <v>17</v>
      </c>
      <c r="DA112" s="118" t="n">
        <v>17</v>
      </c>
      <c r="DB112" s="118" t="n">
        <v>17</v>
      </c>
      <c r="DC112" s="53"/>
      <c r="DD112" s="53"/>
      <c r="DE112" s="53"/>
      <c r="DF112" s="53"/>
      <c r="DG112" s="53"/>
      <c r="DH112" s="53"/>
      <c r="DI112" s="53"/>
      <c r="DJ112" s="53"/>
      <c r="DK112" s="53"/>
      <c r="DL112" s="53"/>
      <c r="DM112" s="53"/>
      <c r="DN112" s="53"/>
      <c r="DO112" s="53"/>
      <c r="DP112" s="53"/>
      <c r="DQ112" s="53"/>
      <c r="DR112" s="53"/>
      <c r="DS112" s="53"/>
      <c r="DT112" s="53"/>
      <c r="DU112" s="53"/>
      <c r="DV112" s="53"/>
      <c r="DW112" s="53"/>
      <c r="DX112" s="53"/>
      <c r="DY112" s="53"/>
    </row>
    <row r="113" customFormat="false" ht="13.5" hidden="false" customHeight="true" outlineLevel="0" collapsed="false">
      <c r="A113" s="107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  <c r="AD113" s="110"/>
      <c r="AE113" s="110"/>
      <c r="AF113" s="110"/>
      <c r="AG113" s="110"/>
      <c r="AH113" s="110"/>
      <c r="AI113" s="110"/>
      <c r="AJ113" s="110"/>
      <c r="AK113" s="110"/>
      <c r="AL113" s="110"/>
      <c r="AM113" s="110"/>
      <c r="AN113" s="110"/>
      <c r="AO113" s="110"/>
      <c r="AP113" s="110"/>
      <c r="AQ113" s="110"/>
      <c r="AR113" s="110"/>
      <c r="AS113" s="110"/>
      <c r="AT113" s="110"/>
      <c r="AU113" s="110"/>
      <c r="AV113" s="110"/>
      <c r="AW113" s="110"/>
      <c r="AX113" s="110"/>
      <c r="AY113" s="110"/>
      <c r="AZ113" s="110"/>
      <c r="BA113" s="110"/>
      <c r="BB113" s="110"/>
      <c r="BC113" s="110"/>
      <c r="BD113" s="110"/>
      <c r="BE113" s="110"/>
      <c r="BF113" s="110"/>
      <c r="BG113" s="110"/>
      <c r="BH113" s="110"/>
      <c r="BI113" s="110"/>
      <c r="BJ113" s="110"/>
      <c r="BK113" s="110"/>
      <c r="BL113" s="110"/>
      <c r="BM113" s="110"/>
      <c r="BN113" s="110"/>
      <c r="BO113" s="110"/>
    </row>
    <row r="114" customFormat="false" ht="13.5" hidden="false" customHeight="true" outlineLevel="0" collapsed="false">
      <c r="A114" s="85" t="s">
        <v>6203</v>
      </c>
      <c r="B114" s="119" t="s">
        <v>6204</v>
      </c>
      <c r="C114" s="119" t="s">
        <v>6205</v>
      </c>
      <c r="D114" s="119" t="s">
        <v>6130</v>
      </c>
      <c r="E114" s="119"/>
      <c r="F114" s="119" t="s">
        <v>6206</v>
      </c>
      <c r="G114" s="119"/>
      <c r="H114" s="119"/>
      <c r="I114" s="30"/>
      <c r="J114" s="120" t="s">
        <v>6207</v>
      </c>
      <c r="K114" s="30"/>
      <c r="L114" s="30"/>
      <c r="M114" s="120" t="s">
        <v>6207</v>
      </c>
      <c r="N114" s="30"/>
      <c r="O114" s="30"/>
      <c r="P114" s="30" t="s">
        <v>6184</v>
      </c>
      <c r="Q114" s="30"/>
      <c r="R114" s="119" t="s">
        <v>6208</v>
      </c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 t="s">
        <v>5948</v>
      </c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30"/>
      <c r="BV114" s="30"/>
      <c r="BW114" s="30"/>
      <c r="BX114" s="30"/>
      <c r="BY114" s="30"/>
      <c r="BZ114" s="30"/>
      <c r="CA114" s="30"/>
      <c r="CB114" s="30"/>
      <c r="CC114" s="30"/>
      <c r="CD114" s="30"/>
      <c r="CE114" s="30"/>
      <c r="CF114" s="30"/>
      <c r="CG114" s="30"/>
      <c r="CH114" s="30"/>
      <c r="CI114" s="30"/>
      <c r="CJ114" s="30"/>
      <c r="CK114" s="30"/>
      <c r="CL114" s="30"/>
      <c r="CM114" s="30"/>
      <c r="CN114" s="30"/>
      <c r="CO114" s="30"/>
      <c r="CP114" s="30"/>
      <c r="CQ114" s="30"/>
      <c r="CR114" s="30"/>
      <c r="CS114" s="30"/>
      <c r="CT114" s="30"/>
      <c r="CU114" s="30"/>
      <c r="CV114" s="30"/>
      <c r="CW114" s="30"/>
      <c r="CX114" s="30"/>
      <c r="CY114" s="30"/>
      <c r="CZ114" s="30"/>
      <c r="DA114" s="30"/>
      <c r="DB114" s="30"/>
      <c r="DC114" s="30"/>
      <c r="DD114" s="30"/>
      <c r="DE114" s="30"/>
      <c r="DF114" s="30"/>
      <c r="DG114" s="30"/>
      <c r="DH114" s="30"/>
      <c r="DI114" s="30"/>
      <c r="DJ114" s="30"/>
      <c r="DK114" s="30"/>
      <c r="DL114" s="30"/>
      <c r="DM114" s="30"/>
      <c r="DN114" s="30"/>
      <c r="DO114" s="30"/>
      <c r="DP114" s="30"/>
      <c r="DQ114" s="30"/>
      <c r="DR114" s="30"/>
      <c r="DS114" s="30"/>
      <c r="DT114" s="30"/>
      <c r="DU114" s="30"/>
      <c r="DV114" s="30"/>
      <c r="DW114" s="30"/>
      <c r="DX114" s="30"/>
      <c r="DY114" s="30"/>
    </row>
    <row r="115" customFormat="false" ht="13.5" hidden="false" customHeight="true" outlineLevel="0" collapsed="false">
      <c r="A115" s="88"/>
      <c r="B115" s="86" t="s">
        <v>6209</v>
      </c>
      <c r="C115" s="86" t="s">
        <v>3709</v>
      </c>
      <c r="D115" s="86" t="s">
        <v>3709</v>
      </c>
      <c r="E115" s="86"/>
      <c r="F115" s="86" t="s">
        <v>6209</v>
      </c>
      <c r="G115" s="86"/>
      <c r="H115" s="86"/>
      <c r="I115" s="88"/>
      <c r="J115" s="121" t="s">
        <v>6210</v>
      </c>
      <c r="K115" s="88"/>
      <c r="L115" s="88"/>
      <c r="M115" s="122" t="s">
        <v>3580</v>
      </c>
      <c r="N115" s="88"/>
      <c r="O115" s="88"/>
      <c r="P115" s="88" t="s">
        <v>6211</v>
      </c>
      <c r="Q115" s="88"/>
      <c r="R115" s="86" t="s">
        <v>6209</v>
      </c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 t="s">
        <v>6212</v>
      </c>
      <c r="AP115" s="88"/>
      <c r="AQ115" s="88"/>
      <c r="AR115" s="88"/>
      <c r="AS115" s="88"/>
      <c r="AT115" s="88"/>
      <c r="AU115" s="88"/>
      <c r="AV115" s="88"/>
      <c r="AW115" s="88"/>
      <c r="AX115" s="88"/>
      <c r="AY115" s="88"/>
      <c r="AZ115" s="88"/>
      <c r="BA115" s="88"/>
      <c r="BB115" s="88"/>
      <c r="BC115" s="88"/>
      <c r="BD115" s="88"/>
      <c r="BE115" s="88"/>
      <c r="BF115" s="88"/>
      <c r="BG115" s="88"/>
      <c r="BH115" s="88"/>
      <c r="BI115" s="88"/>
      <c r="BJ115" s="88"/>
      <c r="BK115" s="88"/>
      <c r="BL115" s="88"/>
      <c r="BM115" s="88"/>
      <c r="BN115" s="88"/>
      <c r="BO115" s="88"/>
      <c r="BP115" s="88"/>
      <c r="BQ115" s="88"/>
    </row>
    <row r="116" customFormat="false" ht="13.5" hidden="false" customHeight="true" outlineLevel="0" collapsed="false">
      <c r="A116" s="88"/>
      <c r="B116" s="86" t="s">
        <v>6213</v>
      </c>
      <c r="C116" s="86" t="s">
        <v>6214</v>
      </c>
      <c r="D116" s="86" t="s">
        <v>6215</v>
      </c>
      <c r="E116" s="86"/>
      <c r="F116" s="86" t="s">
        <v>6216</v>
      </c>
      <c r="G116" s="86"/>
      <c r="H116" s="86"/>
      <c r="I116" s="88"/>
      <c r="J116" s="121" t="s">
        <v>6217</v>
      </c>
      <c r="K116" s="88"/>
      <c r="L116" s="88"/>
      <c r="M116" s="122" t="s">
        <v>6218</v>
      </c>
      <c r="N116" s="88"/>
      <c r="O116" s="88"/>
      <c r="P116" s="88" t="s">
        <v>6219</v>
      </c>
      <c r="Q116" s="88"/>
      <c r="R116" s="86" t="s">
        <v>6220</v>
      </c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 t="s">
        <v>6221</v>
      </c>
      <c r="AP116" s="88"/>
      <c r="AQ116" s="88"/>
      <c r="AR116" s="88"/>
      <c r="AS116" s="88"/>
      <c r="AT116" s="88"/>
      <c r="AU116" s="88"/>
      <c r="AV116" s="88"/>
      <c r="AW116" s="88"/>
      <c r="AX116" s="88"/>
      <c r="AY116" s="88"/>
      <c r="AZ116" s="88"/>
      <c r="BA116" s="88"/>
      <c r="BB116" s="88"/>
      <c r="BC116" s="88"/>
      <c r="BD116" s="88"/>
      <c r="BE116" s="88"/>
      <c r="BF116" s="88"/>
      <c r="BG116" s="88"/>
      <c r="BH116" s="88"/>
      <c r="BI116" s="88"/>
      <c r="BJ116" s="88"/>
      <c r="BK116" s="88"/>
      <c r="BL116" s="88"/>
      <c r="BM116" s="88"/>
      <c r="BN116" s="88"/>
      <c r="BO116" s="88"/>
      <c r="BP116" s="88"/>
      <c r="BQ116" s="88"/>
    </row>
    <row r="117" customFormat="false" ht="13.5" hidden="false" customHeight="true" outlineLevel="0" collapsed="false">
      <c r="A117" s="88"/>
      <c r="B117" s="89" t="s">
        <v>6222</v>
      </c>
      <c r="C117" s="89" t="s">
        <v>6223</v>
      </c>
      <c r="D117" s="89" t="s">
        <v>6224</v>
      </c>
      <c r="E117" s="89"/>
      <c r="F117" s="89" t="s">
        <v>6041</v>
      </c>
      <c r="G117" s="86"/>
      <c r="H117" s="86"/>
      <c r="I117" s="88"/>
      <c r="J117" s="123" t="s">
        <v>6144</v>
      </c>
      <c r="K117" s="88"/>
      <c r="L117" s="88"/>
      <c r="M117" s="124" t="s">
        <v>6140</v>
      </c>
      <c r="N117" s="88"/>
      <c r="O117" s="88"/>
      <c r="P117" s="113" t="s">
        <v>6125</v>
      </c>
      <c r="Q117" s="88"/>
      <c r="R117" s="89" t="s">
        <v>6225</v>
      </c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113" t="s">
        <v>6226</v>
      </c>
      <c r="AP117" s="88"/>
      <c r="AQ117" s="88"/>
      <c r="AR117" s="88"/>
      <c r="AS117" s="88"/>
      <c r="AT117" s="88"/>
      <c r="AU117" s="88"/>
      <c r="AV117" s="88"/>
      <c r="AW117" s="88"/>
      <c r="AX117" s="88"/>
      <c r="AY117" s="88"/>
      <c r="AZ117" s="88"/>
      <c r="BA117" s="88"/>
      <c r="BB117" s="88"/>
      <c r="BC117" s="88"/>
      <c r="BD117" s="88"/>
      <c r="BE117" s="88"/>
      <c r="BF117" s="88"/>
      <c r="BG117" s="88"/>
      <c r="BH117" s="88"/>
      <c r="BI117" s="88"/>
      <c r="BJ117" s="88"/>
      <c r="BK117" s="88"/>
      <c r="BL117" s="88"/>
      <c r="BM117" s="88"/>
      <c r="BN117" s="88"/>
      <c r="BO117" s="88"/>
      <c r="BP117" s="88"/>
      <c r="BQ117" s="88"/>
      <c r="BR117" s="92"/>
      <c r="BS117" s="92"/>
      <c r="BT117" s="92"/>
      <c r="BU117" s="92"/>
      <c r="BV117" s="92"/>
      <c r="BW117" s="92"/>
      <c r="BX117" s="92"/>
      <c r="BY117" s="92"/>
      <c r="BZ117" s="92"/>
      <c r="CA117" s="92"/>
      <c r="CB117" s="92"/>
      <c r="CC117" s="92"/>
      <c r="CD117" s="92"/>
      <c r="CE117" s="92"/>
      <c r="CF117" s="92"/>
      <c r="CG117" s="92"/>
      <c r="CH117" s="92"/>
      <c r="CI117" s="92"/>
      <c r="CJ117" s="92"/>
      <c r="CK117" s="92"/>
      <c r="CL117" s="92"/>
      <c r="CM117" s="92"/>
      <c r="CN117" s="92"/>
      <c r="CO117" s="92"/>
      <c r="CP117" s="92"/>
      <c r="CQ117" s="92"/>
      <c r="CR117" s="92"/>
      <c r="CS117" s="92"/>
      <c r="CT117" s="92"/>
      <c r="CU117" s="92"/>
      <c r="CV117" s="92"/>
      <c r="CW117" s="92"/>
      <c r="CX117" s="92"/>
      <c r="CY117" s="92"/>
      <c r="CZ117" s="92"/>
      <c r="DA117" s="92"/>
      <c r="DB117" s="92"/>
    </row>
    <row r="118" customFormat="false" ht="13.5" hidden="false" customHeight="true" outlineLevel="0" collapsed="false">
      <c r="A118" s="41" t="s">
        <v>5946</v>
      </c>
      <c r="B118" s="42" t="n">
        <v>23</v>
      </c>
      <c r="C118" s="42" t="n">
        <v>24</v>
      </c>
      <c r="D118" s="42" t="n">
        <v>25</v>
      </c>
      <c r="E118" s="42" t="n">
        <v>26</v>
      </c>
      <c r="F118" s="42" t="n">
        <v>27</v>
      </c>
      <c r="G118" s="43" t="n">
        <v>28</v>
      </c>
      <c r="H118" s="43" t="s">
        <v>5947</v>
      </c>
      <c r="I118" s="42" t="n">
        <v>2</v>
      </c>
      <c r="J118" s="42" t="n">
        <v>3</v>
      </c>
      <c r="K118" s="42" t="n">
        <v>4</v>
      </c>
      <c r="L118" s="42" t="n">
        <v>5</v>
      </c>
      <c r="M118" s="42" t="n">
        <v>6</v>
      </c>
      <c r="N118" s="43" t="n">
        <v>7</v>
      </c>
      <c r="O118" s="43" t="n">
        <v>8</v>
      </c>
      <c r="P118" s="42" t="n">
        <v>9</v>
      </c>
      <c r="Q118" s="42" t="n">
        <v>10</v>
      </c>
      <c r="R118" s="42" t="n">
        <v>11</v>
      </c>
      <c r="S118" s="42" t="n">
        <v>12</v>
      </c>
      <c r="T118" s="42" t="n">
        <v>13</v>
      </c>
      <c r="U118" s="43" t="n">
        <v>14</v>
      </c>
      <c r="V118" s="43" t="n">
        <v>15</v>
      </c>
      <c r="W118" s="42" t="n">
        <v>16</v>
      </c>
      <c r="X118" s="42" t="n">
        <v>17</v>
      </c>
      <c r="Y118" s="42" t="n">
        <v>18</v>
      </c>
      <c r="Z118" s="42" t="n">
        <v>19</v>
      </c>
      <c r="AA118" s="42" t="n">
        <v>20</v>
      </c>
      <c r="AB118" s="43" t="n">
        <v>21</v>
      </c>
      <c r="AC118" s="43" t="n">
        <v>22</v>
      </c>
      <c r="AD118" s="42" t="n">
        <v>23</v>
      </c>
      <c r="AE118" s="42" t="n">
        <v>24</v>
      </c>
      <c r="AF118" s="42" t="n">
        <v>25</v>
      </c>
      <c r="AG118" s="42" t="n">
        <v>26</v>
      </c>
      <c r="AH118" s="42" t="n">
        <v>27</v>
      </c>
      <c r="AI118" s="43" t="n">
        <v>28</v>
      </c>
      <c r="AJ118" s="43" t="n">
        <v>29</v>
      </c>
      <c r="AK118" s="42" t="n">
        <v>30</v>
      </c>
      <c r="AL118" s="42" t="n">
        <v>31</v>
      </c>
      <c r="AM118" s="42" t="s">
        <v>5948</v>
      </c>
      <c r="AN118" s="42" t="n">
        <v>2</v>
      </c>
      <c r="AO118" s="42" t="n">
        <v>3</v>
      </c>
      <c r="AP118" s="43" t="n">
        <v>4</v>
      </c>
      <c r="AQ118" s="43" t="n">
        <v>5</v>
      </c>
      <c r="AR118" s="42" t="n">
        <v>6</v>
      </c>
      <c r="AS118" s="42" t="n">
        <v>7</v>
      </c>
      <c r="AT118" s="42" t="n">
        <v>8</v>
      </c>
      <c r="AU118" s="42" t="n">
        <v>9</v>
      </c>
      <c r="AV118" s="42" t="n">
        <v>10</v>
      </c>
      <c r="AW118" s="43" t="n">
        <v>11</v>
      </c>
      <c r="AX118" s="43" t="n">
        <v>12</v>
      </c>
      <c r="AY118" s="42" t="n">
        <v>13</v>
      </c>
      <c r="AZ118" s="42" t="n">
        <v>14</v>
      </c>
      <c r="BA118" s="42" t="n">
        <v>15</v>
      </c>
      <c r="BB118" s="42" t="n">
        <v>16</v>
      </c>
      <c r="BC118" s="42" t="n">
        <v>17</v>
      </c>
      <c r="BD118" s="43" t="n">
        <v>18</v>
      </c>
      <c r="BE118" s="43" t="n">
        <v>19</v>
      </c>
      <c r="BF118" s="42" t="n">
        <v>20</v>
      </c>
      <c r="BG118" s="42" t="n">
        <v>21</v>
      </c>
      <c r="BH118" s="42" t="n">
        <v>22</v>
      </c>
      <c r="BI118" s="42" t="n">
        <v>23</v>
      </c>
      <c r="BJ118" s="42" t="n">
        <v>24</v>
      </c>
      <c r="BK118" s="43" t="n">
        <v>25</v>
      </c>
      <c r="BL118" s="43" t="n">
        <v>26</v>
      </c>
      <c r="BM118" s="43" t="n">
        <v>27</v>
      </c>
      <c r="BN118" s="42" t="n">
        <v>28</v>
      </c>
      <c r="BO118" s="42" t="n">
        <v>29</v>
      </c>
      <c r="BP118" s="43" t="n">
        <v>30</v>
      </c>
      <c r="BQ118" s="43" t="s">
        <v>5949</v>
      </c>
      <c r="BR118" s="43" t="n">
        <v>2</v>
      </c>
      <c r="BS118" s="43" t="n">
        <v>3</v>
      </c>
      <c r="BT118" s="42" t="n">
        <v>4</v>
      </c>
      <c r="BU118" s="42" t="n">
        <v>5</v>
      </c>
      <c r="BV118" s="42" t="n">
        <v>6</v>
      </c>
      <c r="BW118" s="42" t="n">
        <v>7</v>
      </c>
      <c r="BX118" s="42" t="n">
        <v>8</v>
      </c>
      <c r="BY118" s="43" t="n">
        <v>9</v>
      </c>
      <c r="BZ118" s="43" t="n">
        <v>10</v>
      </c>
      <c r="CA118" s="42" t="n">
        <v>11</v>
      </c>
      <c r="CB118" s="42" t="n">
        <v>12</v>
      </c>
      <c r="CC118" s="42" t="n">
        <v>13</v>
      </c>
      <c r="CD118" s="42" t="n">
        <v>14</v>
      </c>
      <c r="CE118" s="42" t="n">
        <v>15</v>
      </c>
      <c r="CF118" s="43" t="n">
        <v>16</v>
      </c>
      <c r="CG118" s="43" t="n">
        <v>17</v>
      </c>
      <c r="CH118" s="42" t="n">
        <v>18</v>
      </c>
      <c r="CI118" s="42" t="n">
        <v>19</v>
      </c>
      <c r="CJ118" s="42" t="n">
        <v>20</v>
      </c>
      <c r="CK118" s="42" t="n">
        <v>21</v>
      </c>
      <c r="CL118" s="42" t="n">
        <v>22</v>
      </c>
      <c r="CM118" s="43" t="n">
        <v>23</v>
      </c>
      <c r="CN118" s="43" t="n">
        <v>24</v>
      </c>
      <c r="CO118" s="42" t="n">
        <v>25</v>
      </c>
      <c r="CP118" s="42" t="n">
        <v>26</v>
      </c>
      <c r="CQ118" s="42" t="n">
        <v>27</v>
      </c>
      <c r="CR118" s="42" t="n">
        <v>28</v>
      </c>
      <c r="CS118" s="42" t="n">
        <v>29</v>
      </c>
      <c r="CT118" s="43" t="n">
        <v>30</v>
      </c>
      <c r="CU118" s="43" t="n">
        <v>31</v>
      </c>
      <c r="CV118" s="42" t="n">
        <v>25</v>
      </c>
      <c r="CW118" s="42" t="n">
        <v>26</v>
      </c>
      <c r="CX118" s="42" t="n">
        <v>27</v>
      </c>
      <c r="CY118" s="42" t="n">
        <v>28</v>
      </c>
      <c r="CZ118" s="42" t="n">
        <v>29</v>
      </c>
      <c r="DA118" s="43" t="n">
        <v>30</v>
      </c>
      <c r="DB118" s="43" t="n">
        <v>31</v>
      </c>
      <c r="DC118" s="42" t="n">
        <v>8</v>
      </c>
      <c r="DD118" s="42" t="n">
        <v>9</v>
      </c>
      <c r="DE118" s="42" t="n">
        <v>10</v>
      </c>
      <c r="DF118" s="42" t="n">
        <v>11</v>
      </c>
      <c r="DG118" s="42" t="n">
        <v>12</v>
      </c>
      <c r="DH118" s="43" t="n">
        <v>13</v>
      </c>
      <c r="DI118" s="43" t="n">
        <v>14</v>
      </c>
      <c r="DJ118" s="42" t="n">
        <v>15</v>
      </c>
      <c r="DK118" s="42" t="n">
        <v>16</v>
      </c>
      <c r="DL118" s="42" t="n">
        <v>17</v>
      </c>
      <c r="DM118" s="42" t="n">
        <v>18</v>
      </c>
      <c r="DN118" s="42" t="n">
        <v>19</v>
      </c>
      <c r="DO118" s="43" t="n">
        <v>20</v>
      </c>
      <c r="DP118" s="43" t="n">
        <v>21</v>
      </c>
      <c r="DQ118" s="42" t="n">
        <v>22</v>
      </c>
      <c r="DR118" s="42" t="n">
        <v>23</v>
      </c>
      <c r="DS118" s="42" t="n">
        <v>24</v>
      </c>
      <c r="DT118" s="42" t="n">
        <v>25</v>
      </c>
      <c r="DU118" s="42" t="n">
        <v>26</v>
      </c>
      <c r="DV118" s="43" t="n">
        <v>27</v>
      </c>
      <c r="DW118" s="43" t="n">
        <v>28</v>
      </c>
      <c r="DX118" s="42" t="n">
        <v>29</v>
      </c>
      <c r="DY118" s="42" t="n">
        <v>30</v>
      </c>
    </row>
    <row r="119" customFormat="false" ht="13.5" hidden="false" customHeight="true" outlineLevel="0" collapsed="false">
      <c r="A119" s="41" t="s">
        <v>5952</v>
      </c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  <c r="AK119" s="44"/>
      <c r="AL119" s="44"/>
      <c r="AM119" s="44"/>
      <c r="AN119" s="44"/>
      <c r="AO119" s="44"/>
      <c r="AP119" s="44"/>
      <c r="AQ119" s="44"/>
      <c r="AR119" s="44"/>
      <c r="AS119" s="44"/>
      <c r="AT119" s="44"/>
      <c r="AU119" s="44"/>
      <c r="AV119" s="44"/>
      <c r="AW119" s="44"/>
      <c r="AX119" s="44"/>
      <c r="AY119" s="44"/>
      <c r="AZ119" s="44"/>
      <c r="BA119" s="44"/>
      <c r="BB119" s="44"/>
      <c r="BC119" s="44"/>
      <c r="BD119" s="44"/>
      <c r="BE119" s="44"/>
      <c r="BF119" s="44"/>
      <c r="BG119" s="44"/>
      <c r="BH119" s="44"/>
      <c r="BI119" s="44"/>
      <c r="BJ119" s="44"/>
      <c r="BK119" s="44"/>
      <c r="BL119" s="44"/>
      <c r="BM119" s="100" t="s">
        <v>6145</v>
      </c>
      <c r="BN119" s="44"/>
      <c r="BO119" s="44"/>
      <c r="BP119" s="100" t="s">
        <v>6145</v>
      </c>
      <c r="BQ119" s="100" t="s">
        <v>6145</v>
      </c>
      <c r="BR119" s="93"/>
      <c r="BS119" s="93"/>
      <c r="BT119" s="44"/>
      <c r="BU119" s="44"/>
      <c r="BV119" s="44"/>
      <c r="BW119" s="44"/>
      <c r="BX119" s="44"/>
      <c r="BY119" s="44"/>
      <c r="BZ119" s="44"/>
      <c r="CA119" s="44"/>
      <c r="CB119" s="44"/>
      <c r="CC119" s="44"/>
      <c r="CD119" s="44"/>
      <c r="CE119" s="44"/>
      <c r="CF119" s="44"/>
      <c r="CG119" s="44"/>
      <c r="CH119" s="44"/>
      <c r="CI119" s="44"/>
      <c r="CJ119" s="44"/>
      <c r="CK119" s="44"/>
      <c r="CL119" s="44"/>
      <c r="CM119" s="44"/>
      <c r="CN119" s="44"/>
      <c r="CO119" s="44"/>
      <c r="CP119" s="44"/>
      <c r="CQ119" s="44"/>
      <c r="CR119" s="44"/>
      <c r="CS119" s="44"/>
      <c r="CT119" s="44"/>
      <c r="CU119" s="44"/>
      <c r="CV119" s="44"/>
      <c r="CW119" s="44"/>
      <c r="CX119" s="44"/>
      <c r="CY119" s="44"/>
      <c r="CZ119" s="44"/>
      <c r="DA119" s="44"/>
      <c r="DB119" s="44"/>
      <c r="DC119" s="44"/>
      <c r="DD119" s="44"/>
      <c r="DE119" s="44"/>
      <c r="DF119" s="44"/>
      <c r="DG119" s="44"/>
      <c r="DH119" s="44"/>
      <c r="DI119" s="44"/>
      <c r="DJ119" s="44"/>
      <c r="DK119" s="44"/>
      <c r="DL119" s="44"/>
      <c r="DM119" s="44"/>
      <c r="DN119" s="44"/>
      <c r="DO119" s="44"/>
      <c r="DP119" s="44"/>
      <c r="DQ119" s="44"/>
      <c r="DR119" s="44"/>
      <c r="DS119" s="44"/>
      <c r="DT119" s="44"/>
      <c r="DU119" s="44"/>
      <c r="DV119" s="44"/>
      <c r="DW119" s="44"/>
      <c r="DX119" s="44"/>
      <c r="DY119" s="44"/>
      <c r="IJ119" s="44"/>
      <c r="IQ119" s="44"/>
      <c r="IR119" s="44"/>
      <c r="IS119" s="44"/>
      <c r="IT119" s="44"/>
      <c r="IU119" s="44"/>
      <c r="IV119" s="44"/>
      <c r="IW119" s="44"/>
    </row>
    <row r="120" customFormat="false" ht="13.5" hidden="false" customHeight="true" outlineLevel="0" collapsed="false">
      <c r="A120" s="41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125" t="s">
        <v>6227</v>
      </c>
      <c r="Q120" s="94"/>
      <c r="R120" s="126"/>
      <c r="S120" s="94"/>
      <c r="T120" s="94"/>
      <c r="U120" s="94"/>
      <c r="V120" s="94"/>
      <c r="W120" s="94"/>
      <c r="X120" s="94"/>
      <c r="Y120" s="94"/>
      <c r="Z120" s="94"/>
      <c r="AA120" s="94"/>
      <c r="AB120" s="94"/>
      <c r="AC120" s="94"/>
      <c r="AD120" s="94"/>
      <c r="AE120" s="94"/>
      <c r="AF120" s="94"/>
      <c r="AG120" s="94"/>
      <c r="AH120" s="94"/>
      <c r="AI120" s="94"/>
      <c r="AJ120" s="94"/>
      <c r="AK120" s="94"/>
      <c r="AL120" s="94"/>
      <c r="AM120" s="94"/>
      <c r="AN120" s="94"/>
      <c r="AO120" s="125" t="s">
        <v>6227</v>
      </c>
      <c r="AP120" s="94"/>
      <c r="AQ120" s="94"/>
      <c r="AR120" s="94"/>
      <c r="AS120" s="94"/>
      <c r="AT120" s="94"/>
      <c r="AU120" s="94"/>
      <c r="AV120" s="94"/>
      <c r="AW120" s="94"/>
      <c r="AX120" s="94"/>
      <c r="AY120" s="94"/>
      <c r="AZ120" s="94"/>
      <c r="BA120" s="94"/>
      <c r="BB120" s="94"/>
      <c r="BC120" s="94"/>
      <c r="BD120" s="94"/>
      <c r="BE120" s="94"/>
      <c r="BF120" s="94"/>
      <c r="BG120" s="94"/>
      <c r="BH120" s="94"/>
      <c r="BI120" s="94"/>
      <c r="BJ120" s="94"/>
      <c r="BK120" s="94"/>
      <c r="BL120" s="94"/>
      <c r="BM120" s="100"/>
      <c r="BN120" s="94"/>
      <c r="BO120" s="94"/>
      <c r="BP120" s="100"/>
      <c r="BQ120" s="100"/>
      <c r="BR120" s="93"/>
      <c r="BS120" s="93"/>
      <c r="BT120" s="94"/>
      <c r="BU120" s="94"/>
      <c r="BV120" s="94"/>
      <c r="BW120" s="94"/>
      <c r="BX120" s="94"/>
      <c r="BY120" s="94"/>
      <c r="BZ120" s="94"/>
      <c r="CA120" s="94"/>
      <c r="CB120" s="94"/>
      <c r="CC120" s="94"/>
      <c r="CD120" s="94"/>
      <c r="CE120" s="94"/>
      <c r="CF120" s="94"/>
      <c r="CG120" s="94"/>
      <c r="CH120" s="94"/>
      <c r="CI120" s="94"/>
      <c r="CJ120" s="94"/>
      <c r="CK120" s="94"/>
      <c r="CL120" s="94"/>
      <c r="CM120" s="94"/>
      <c r="CN120" s="94"/>
      <c r="CO120" s="94"/>
      <c r="CP120" s="94"/>
      <c r="CQ120" s="94"/>
      <c r="CR120" s="94"/>
      <c r="CS120" s="94"/>
      <c r="CT120" s="94"/>
      <c r="CU120" s="94"/>
      <c r="CV120" s="94"/>
      <c r="CW120" s="94"/>
      <c r="CX120" s="94"/>
      <c r="CY120" s="94"/>
      <c r="CZ120" s="94"/>
      <c r="DA120" s="94"/>
      <c r="DB120" s="94"/>
      <c r="DC120" s="45"/>
      <c r="DD120" s="45"/>
      <c r="DE120" s="45"/>
      <c r="DF120" s="45"/>
      <c r="DG120" s="45"/>
      <c r="DH120" s="45"/>
      <c r="DI120" s="45"/>
      <c r="DJ120" s="45"/>
      <c r="DK120" s="45"/>
      <c r="DL120" s="45"/>
      <c r="DM120" s="45"/>
      <c r="DN120" s="45"/>
      <c r="DO120" s="45"/>
      <c r="DP120" s="45"/>
      <c r="DQ120" s="45"/>
      <c r="DR120" s="45"/>
      <c r="DS120" s="45"/>
      <c r="DT120" s="45"/>
      <c r="DU120" s="45"/>
      <c r="DV120" s="45"/>
      <c r="DW120" s="45"/>
      <c r="DX120" s="45"/>
      <c r="DY120" s="45"/>
    </row>
    <row r="121" customFormat="false" ht="13.5" hidden="false" customHeight="true" outlineLevel="0" collapsed="false">
      <c r="A121" s="127"/>
      <c r="B121" s="96" t="s">
        <v>5953</v>
      </c>
      <c r="C121" s="96" t="s">
        <v>5953</v>
      </c>
      <c r="D121" s="96" t="s">
        <v>5953</v>
      </c>
      <c r="E121" s="102"/>
      <c r="F121" s="96" t="s">
        <v>5953</v>
      </c>
      <c r="G121" s="102"/>
      <c r="H121" s="102"/>
      <c r="I121" s="102"/>
      <c r="J121" s="96" t="s">
        <v>5953</v>
      </c>
      <c r="K121" s="102"/>
      <c r="L121" s="102"/>
      <c r="M121" s="47" t="s">
        <v>6228</v>
      </c>
      <c r="N121" s="102"/>
      <c r="O121" s="102"/>
      <c r="P121" s="117" t="s">
        <v>5955</v>
      </c>
      <c r="Q121" s="102"/>
      <c r="R121" s="96" t="s">
        <v>5953</v>
      </c>
      <c r="S121" s="102"/>
      <c r="T121" s="102"/>
      <c r="U121" s="102"/>
      <c r="V121" s="102"/>
      <c r="W121" s="102"/>
      <c r="X121" s="102"/>
      <c r="Y121" s="102"/>
      <c r="Z121" s="102"/>
      <c r="AA121" s="102"/>
      <c r="AB121" s="102"/>
      <c r="AC121" s="102"/>
      <c r="AD121" s="102"/>
      <c r="AE121" s="102"/>
      <c r="AF121" s="102"/>
      <c r="AG121" s="102"/>
      <c r="AH121" s="102"/>
      <c r="AI121" s="102"/>
      <c r="AJ121" s="102"/>
      <c r="AK121" s="102"/>
      <c r="AL121" s="102"/>
      <c r="AM121" s="102"/>
      <c r="AN121" s="102"/>
      <c r="AO121" s="102" t="s">
        <v>6147</v>
      </c>
      <c r="AP121" s="102"/>
      <c r="AQ121" s="102"/>
      <c r="AR121" s="102"/>
      <c r="AS121" s="102"/>
      <c r="AT121" s="102"/>
      <c r="AU121" s="102"/>
      <c r="AV121" s="102"/>
      <c r="AW121" s="102"/>
      <c r="AX121" s="102"/>
      <c r="AY121" s="102"/>
      <c r="AZ121" s="102"/>
      <c r="BA121" s="102"/>
      <c r="BB121" s="102"/>
      <c r="BC121" s="102"/>
      <c r="BD121" s="102"/>
      <c r="BE121" s="102"/>
      <c r="BF121" s="102"/>
      <c r="BG121" s="102"/>
      <c r="BH121" s="102"/>
      <c r="BI121" s="102"/>
      <c r="BJ121" s="102"/>
      <c r="BK121" s="102"/>
      <c r="BL121" s="102"/>
      <c r="BM121" s="102"/>
      <c r="BN121" s="102"/>
      <c r="BO121" s="102"/>
      <c r="BP121" s="97"/>
      <c r="BQ121" s="97"/>
      <c r="BR121" s="97"/>
      <c r="BS121" s="97"/>
      <c r="BT121" s="97"/>
      <c r="BU121" s="97"/>
      <c r="BV121" s="97"/>
      <c r="BW121" s="97"/>
      <c r="BX121" s="97"/>
      <c r="BY121" s="97"/>
      <c r="BZ121" s="97"/>
      <c r="CA121" s="97"/>
      <c r="CB121" s="97"/>
      <c r="CC121" s="97"/>
      <c r="CD121" s="97"/>
      <c r="CE121" s="97"/>
      <c r="CF121" s="97"/>
      <c r="CG121" s="97"/>
      <c r="CH121" s="97"/>
      <c r="CI121" s="97"/>
      <c r="CJ121" s="97"/>
      <c r="CK121" s="97"/>
      <c r="CL121" s="97"/>
      <c r="CM121" s="97"/>
      <c r="CN121" s="97"/>
      <c r="CO121" s="97"/>
      <c r="CP121" s="97"/>
      <c r="CQ121" s="97"/>
      <c r="CR121" s="97"/>
      <c r="CS121" s="97"/>
      <c r="CT121" s="97"/>
      <c r="CU121" s="97"/>
      <c r="CV121" s="97"/>
      <c r="CW121" s="97"/>
      <c r="CX121" s="97"/>
      <c r="CY121" s="97"/>
      <c r="CZ121" s="97"/>
      <c r="DA121" s="97"/>
      <c r="DB121" s="97"/>
      <c r="DC121" s="49"/>
      <c r="DD121" s="49"/>
      <c r="DE121" s="49"/>
      <c r="DF121" s="49"/>
      <c r="DG121" s="49"/>
      <c r="DH121" s="49"/>
      <c r="DI121" s="49"/>
      <c r="DJ121" s="49"/>
      <c r="DK121" s="49"/>
      <c r="DL121" s="49"/>
      <c r="DM121" s="49"/>
      <c r="DN121" s="49"/>
      <c r="DO121" s="49"/>
      <c r="DP121" s="49"/>
      <c r="DQ121" s="49"/>
      <c r="DR121" s="49"/>
      <c r="DS121" s="49"/>
      <c r="DT121" s="49"/>
      <c r="DU121" s="49"/>
      <c r="DV121" s="49"/>
      <c r="DW121" s="49"/>
      <c r="DX121" s="49"/>
      <c r="DY121" s="49"/>
    </row>
    <row r="122" customFormat="false" ht="13.5" hidden="false" customHeight="true" outlineLevel="0" collapsed="false">
      <c r="A122" s="98" t="s">
        <v>5960</v>
      </c>
      <c r="B122" s="104"/>
      <c r="C122" s="104"/>
      <c r="D122" s="104"/>
      <c r="E122" s="104"/>
      <c r="F122" s="126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26"/>
      <c r="S122" s="104"/>
      <c r="T122" s="104"/>
      <c r="U122" s="104"/>
      <c r="V122" s="104"/>
      <c r="W122" s="104"/>
      <c r="X122" s="104"/>
      <c r="Y122" s="104"/>
      <c r="Z122" s="104"/>
      <c r="AA122" s="104"/>
      <c r="AB122" s="104"/>
      <c r="AC122" s="104"/>
      <c r="AD122" s="104"/>
      <c r="AE122" s="104"/>
      <c r="AF122" s="104"/>
      <c r="AG122" s="104"/>
      <c r="AH122" s="104"/>
      <c r="AI122" s="104"/>
      <c r="AJ122" s="104"/>
      <c r="AK122" s="104"/>
      <c r="AL122" s="104"/>
      <c r="AM122" s="104"/>
      <c r="AN122" s="104"/>
      <c r="AO122" s="104"/>
      <c r="AP122" s="104"/>
      <c r="AQ122" s="104"/>
      <c r="AR122" s="104"/>
      <c r="AS122" s="104"/>
      <c r="AT122" s="104"/>
      <c r="AU122" s="104"/>
      <c r="AV122" s="104"/>
      <c r="AW122" s="104"/>
      <c r="AX122" s="104"/>
      <c r="AY122" s="104"/>
      <c r="AZ122" s="104"/>
      <c r="BA122" s="104"/>
      <c r="BB122" s="104"/>
      <c r="BC122" s="104"/>
      <c r="BD122" s="104"/>
      <c r="BE122" s="104"/>
      <c r="BF122" s="104"/>
      <c r="BG122" s="104"/>
      <c r="BH122" s="104"/>
      <c r="BI122" s="104"/>
      <c r="BJ122" s="104"/>
      <c r="BK122" s="104"/>
      <c r="BL122" s="104"/>
      <c r="BM122" s="104"/>
      <c r="BN122" s="104"/>
      <c r="BO122" s="104"/>
      <c r="BP122" s="104"/>
      <c r="BQ122" s="104"/>
      <c r="BR122" s="104"/>
      <c r="BS122" s="104"/>
      <c r="BT122" s="104"/>
      <c r="BU122" s="104"/>
      <c r="BV122" s="104"/>
      <c r="BW122" s="104"/>
      <c r="BX122" s="104"/>
      <c r="BY122" s="104"/>
      <c r="BZ122" s="104"/>
      <c r="CA122" s="104"/>
      <c r="CB122" s="104"/>
      <c r="CC122" s="104"/>
      <c r="CD122" s="104"/>
      <c r="CE122" s="104"/>
      <c r="CF122" s="104"/>
      <c r="CG122" s="104"/>
      <c r="CH122" s="104"/>
      <c r="CI122" s="104"/>
      <c r="CJ122" s="104"/>
      <c r="CK122" s="104"/>
      <c r="CL122" s="104"/>
      <c r="CM122" s="104"/>
      <c r="CN122" s="104"/>
      <c r="CO122" s="104"/>
      <c r="CP122" s="104"/>
      <c r="CQ122" s="104"/>
      <c r="CR122" s="104"/>
      <c r="CS122" s="104"/>
      <c r="CT122" s="104"/>
      <c r="CU122" s="104"/>
      <c r="CV122" s="104"/>
      <c r="CW122" s="104"/>
      <c r="CX122" s="104"/>
      <c r="CY122" s="104"/>
      <c r="CZ122" s="104"/>
      <c r="DA122" s="104"/>
      <c r="DB122" s="104"/>
      <c r="DC122" s="53"/>
      <c r="DD122" s="53"/>
      <c r="DE122" s="53"/>
      <c r="DF122" s="53"/>
      <c r="DG122" s="53"/>
      <c r="DH122" s="53"/>
      <c r="DI122" s="53"/>
      <c r="DJ122" s="53"/>
      <c r="DK122" s="53"/>
      <c r="DL122" s="53"/>
      <c r="DM122" s="53"/>
      <c r="DN122" s="53"/>
      <c r="DO122" s="53"/>
      <c r="DP122" s="53"/>
      <c r="DQ122" s="53"/>
      <c r="DR122" s="53"/>
      <c r="DS122" s="53"/>
      <c r="DT122" s="53"/>
      <c r="DU122" s="53"/>
      <c r="DV122" s="53"/>
      <c r="DW122" s="53"/>
      <c r="DX122" s="53"/>
      <c r="DY122" s="53"/>
    </row>
    <row r="123" customFormat="false" ht="13.5" hidden="false" customHeight="true" outlineLevel="0" collapsed="false">
      <c r="A123" s="128"/>
      <c r="B123" s="111"/>
      <c r="C123" s="111"/>
      <c r="D123" s="111"/>
      <c r="E123" s="111"/>
      <c r="F123" s="111"/>
      <c r="G123" s="111"/>
      <c r="H123" s="111"/>
      <c r="I123" s="111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  <c r="AC123" s="110"/>
      <c r="AD123" s="110"/>
      <c r="AE123" s="110"/>
      <c r="AF123" s="110"/>
      <c r="AG123" s="110"/>
      <c r="AH123" s="110"/>
      <c r="AI123" s="110"/>
      <c r="AJ123" s="110"/>
      <c r="AK123" s="110"/>
      <c r="AL123" s="110"/>
      <c r="AM123" s="110"/>
      <c r="AN123" s="110"/>
      <c r="AO123" s="110"/>
      <c r="AP123" s="110"/>
      <c r="AQ123" s="110"/>
      <c r="AR123" s="110"/>
      <c r="AS123" s="110"/>
      <c r="AT123" s="110"/>
      <c r="AU123" s="110"/>
      <c r="AV123" s="110"/>
      <c r="AW123" s="110"/>
      <c r="AX123" s="110"/>
      <c r="AY123" s="110"/>
      <c r="AZ123" s="110"/>
      <c r="BA123" s="110"/>
      <c r="BB123" s="110"/>
      <c r="BC123" s="110"/>
      <c r="BD123" s="110"/>
      <c r="BE123" s="110"/>
      <c r="BF123" s="110"/>
      <c r="BG123" s="110"/>
      <c r="BH123" s="110"/>
      <c r="BI123" s="110"/>
      <c r="BJ123" s="110"/>
      <c r="BK123" s="110"/>
      <c r="BL123" s="110"/>
      <c r="BM123" s="110"/>
      <c r="BN123" s="110"/>
      <c r="BO123" s="110"/>
      <c r="BP123" s="110"/>
      <c r="BQ123" s="110"/>
      <c r="BR123" s="110"/>
      <c r="BS123" s="110"/>
      <c r="BT123" s="110"/>
      <c r="BU123" s="110"/>
      <c r="BV123" s="110"/>
      <c r="BW123" s="110"/>
      <c r="BX123" s="110"/>
      <c r="BY123" s="110"/>
      <c r="BZ123" s="110"/>
      <c r="CA123" s="110"/>
      <c r="CB123" s="110"/>
      <c r="CC123" s="110"/>
      <c r="CD123" s="110"/>
      <c r="CE123" s="110"/>
      <c r="CF123" s="110"/>
      <c r="CG123" s="129"/>
      <c r="CH123" s="129"/>
      <c r="CI123" s="129"/>
      <c r="CJ123" s="129"/>
      <c r="CK123" s="110"/>
      <c r="CL123" s="129"/>
      <c r="CM123" s="129"/>
      <c r="CN123" s="129"/>
      <c r="CO123" s="129"/>
      <c r="CP123" s="129"/>
      <c r="CQ123" s="129"/>
      <c r="CR123" s="110"/>
      <c r="CY123" s="110"/>
      <c r="DF123" s="110"/>
      <c r="DM123" s="110"/>
      <c r="DT123" s="130"/>
      <c r="DU123" s="130"/>
      <c r="DV123" s="130"/>
      <c r="DW123" s="130"/>
      <c r="DX123" s="130"/>
      <c r="DY123" s="130"/>
      <c r="DZ123" s="130"/>
      <c r="EA123" s="130"/>
      <c r="EH123" s="130"/>
      <c r="EW123" s="130"/>
      <c r="FD123" s="130"/>
      <c r="FK123" s="130"/>
      <c r="FR123" s="130"/>
      <c r="FY123" s="110"/>
      <c r="FZ123" s="110"/>
      <c r="GA123" s="110"/>
      <c r="GB123" s="110"/>
      <c r="GC123" s="110"/>
      <c r="GD123" s="110"/>
      <c r="GE123" s="110"/>
      <c r="GF123" s="110"/>
      <c r="GG123" s="110"/>
      <c r="GH123" s="110"/>
      <c r="GI123" s="110"/>
      <c r="GJ123" s="110"/>
      <c r="GK123" s="110"/>
      <c r="GL123" s="110"/>
      <c r="GM123" s="110"/>
      <c r="GN123" s="110"/>
      <c r="GO123" s="110"/>
      <c r="GP123" s="110"/>
      <c r="GQ123" s="110"/>
      <c r="GR123" s="110"/>
      <c r="GS123" s="110"/>
      <c r="GT123" s="110"/>
      <c r="GU123" s="110"/>
      <c r="GV123" s="110"/>
      <c r="GW123" s="110"/>
      <c r="GX123" s="110"/>
      <c r="GY123" s="110"/>
      <c r="GZ123" s="110"/>
      <c r="HA123" s="110"/>
      <c r="HB123" s="110"/>
      <c r="HC123" s="110"/>
      <c r="HD123" s="110"/>
      <c r="HE123" s="110"/>
      <c r="HF123" s="110"/>
      <c r="HG123" s="110"/>
      <c r="HH123" s="110"/>
      <c r="HI123" s="110"/>
      <c r="HJ123" s="110"/>
      <c r="HK123" s="110"/>
      <c r="HL123" s="110"/>
      <c r="HM123" s="110"/>
      <c r="HN123" s="110"/>
      <c r="HO123" s="110"/>
      <c r="HP123" s="110"/>
      <c r="HQ123" s="110"/>
      <c r="HR123" s="110"/>
      <c r="HS123" s="110"/>
      <c r="HT123" s="110"/>
      <c r="HU123" s="110"/>
      <c r="HV123" s="110"/>
      <c r="HW123" s="110"/>
      <c r="HX123" s="110"/>
      <c r="HY123" s="110"/>
      <c r="HZ123" s="110"/>
      <c r="IA123" s="110"/>
      <c r="IB123" s="110"/>
      <c r="IC123" s="110"/>
      <c r="IJ123" s="110"/>
      <c r="IQ123" s="110"/>
      <c r="IR123" s="110"/>
      <c r="IS123" s="110"/>
      <c r="IT123" s="110"/>
      <c r="IU123" s="110"/>
      <c r="IV123" s="110"/>
      <c r="IW123" s="110"/>
    </row>
    <row r="124" customFormat="false" ht="13.5" hidden="false" customHeight="true" outlineLevel="0" collapsed="false">
      <c r="A124" s="85" t="s">
        <v>6229</v>
      </c>
      <c r="B124" s="30" t="s">
        <v>6130</v>
      </c>
      <c r="C124" s="30"/>
      <c r="D124" s="30" t="s">
        <v>6130</v>
      </c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 t="s">
        <v>6208</v>
      </c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 t="s">
        <v>5949</v>
      </c>
      <c r="BN124" s="30"/>
      <c r="BO124" s="30"/>
      <c r="BP124" s="30"/>
      <c r="BQ124" s="30"/>
      <c r="BR124" s="30"/>
      <c r="BS124" s="30"/>
      <c r="BT124" s="30"/>
      <c r="BU124" s="30"/>
      <c r="BV124" s="30"/>
      <c r="BW124" s="30"/>
      <c r="BX124" s="30"/>
      <c r="BY124" s="30"/>
      <c r="BZ124" s="30"/>
      <c r="CA124" s="30"/>
      <c r="CB124" s="30"/>
      <c r="CC124" s="30"/>
      <c r="CD124" s="30"/>
      <c r="CE124" s="30"/>
      <c r="CF124" s="30"/>
      <c r="CG124" s="30"/>
      <c r="CH124" s="30"/>
      <c r="CI124" s="30"/>
      <c r="CJ124" s="30"/>
      <c r="CK124" s="30"/>
      <c r="CL124" s="30"/>
      <c r="CM124" s="30"/>
      <c r="CN124" s="30"/>
      <c r="CO124" s="30"/>
      <c r="CP124" s="30"/>
      <c r="CQ124" s="30"/>
      <c r="CR124" s="30"/>
      <c r="CS124" s="30"/>
      <c r="CT124" s="30"/>
      <c r="CU124" s="30"/>
      <c r="CV124" s="30"/>
      <c r="CW124" s="30"/>
      <c r="CX124" s="30"/>
      <c r="CY124" s="30"/>
      <c r="CZ124" s="30"/>
      <c r="DA124" s="30"/>
      <c r="DB124" s="30"/>
      <c r="DC124" s="30"/>
      <c r="DD124" s="30"/>
      <c r="DE124" s="30"/>
      <c r="DF124" s="30"/>
      <c r="DG124" s="30"/>
      <c r="DH124" s="30"/>
      <c r="DI124" s="30"/>
      <c r="DJ124" s="30"/>
      <c r="DK124" s="30"/>
      <c r="DL124" s="30"/>
      <c r="DM124" s="30"/>
      <c r="DN124" s="30"/>
      <c r="DO124" s="30"/>
      <c r="DP124" s="30"/>
      <c r="DQ124" s="30"/>
      <c r="DR124" s="30"/>
      <c r="DS124" s="30"/>
      <c r="DT124" s="30"/>
      <c r="DU124" s="30"/>
      <c r="DV124" s="30"/>
      <c r="DW124" s="30"/>
      <c r="DX124" s="30"/>
      <c r="DY124" s="30"/>
      <c r="DZ124" s="30"/>
      <c r="EA124" s="30"/>
      <c r="EB124" s="30"/>
      <c r="EC124" s="30"/>
      <c r="ED124" s="30"/>
      <c r="EE124" s="30"/>
      <c r="EF124" s="30"/>
      <c r="EG124" s="30"/>
      <c r="EH124" s="30"/>
      <c r="EI124" s="30"/>
      <c r="EJ124" s="30"/>
      <c r="EK124" s="30"/>
      <c r="EL124" s="30"/>
      <c r="EM124" s="30"/>
      <c r="EN124" s="30"/>
      <c r="EO124" s="30"/>
      <c r="EP124" s="30"/>
      <c r="EQ124" s="30"/>
      <c r="ER124" s="30"/>
      <c r="ES124" s="30"/>
      <c r="ET124" s="30"/>
      <c r="EU124" s="30"/>
      <c r="EV124" s="30"/>
      <c r="EW124" s="30"/>
      <c r="EX124" s="30"/>
      <c r="EY124" s="30"/>
      <c r="EZ124" s="30"/>
      <c r="FA124" s="30"/>
      <c r="FB124" s="30"/>
      <c r="FC124" s="30"/>
      <c r="FD124" s="30"/>
      <c r="FE124" s="30"/>
      <c r="FF124" s="30"/>
      <c r="FG124" s="30"/>
      <c r="FH124" s="30"/>
      <c r="FI124" s="30"/>
      <c r="FJ124" s="30"/>
      <c r="FK124" s="30"/>
      <c r="FL124" s="30"/>
      <c r="FM124" s="30"/>
      <c r="FN124" s="30"/>
      <c r="FO124" s="30"/>
      <c r="FP124" s="30"/>
      <c r="FQ124" s="30"/>
      <c r="FR124" s="30"/>
      <c r="FS124" s="30"/>
      <c r="FT124" s="30"/>
      <c r="FU124" s="30"/>
      <c r="FV124" s="30"/>
      <c r="FW124" s="30"/>
      <c r="FX124" s="30"/>
      <c r="FY124" s="30"/>
      <c r="FZ124" s="30"/>
      <c r="GA124" s="30"/>
      <c r="GB124" s="30"/>
      <c r="GC124" s="30"/>
      <c r="GD124" s="30"/>
      <c r="GE124" s="30"/>
      <c r="GF124" s="30"/>
      <c r="GG124" s="30"/>
      <c r="GH124" s="30"/>
      <c r="GI124" s="30"/>
      <c r="GJ124" s="30"/>
      <c r="GK124" s="30"/>
      <c r="GL124" s="30"/>
      <c r="GM124" s="30"/>
      <c r="GN124" s="30"/>
      <c r="GO124" s="30"/>
      <c r="GP124" s="30"/>
      <c r="GQ124" s="30"/>
      <c r="GR124" s="30"/>
      <c r="GS124" s="30"/>
      <c r="GT124" s="30"/>
      <c r="GU124" s="30"/>
      <c r="GV124" s="30"/>
      <c r="GW124" s="30"/>
      <c r="GX124" s="30"/>
      <c r="GY124" s="30"/>
      <c r="GZ124" s="30"/>
      <c r="HA124" s="30"/>
      <c r="HB124" s="30"/>
      <c r="HC124" s="30"/>
      <c r="HD124" s="30"/>
      <c r="HE124" s="30"/>
      <c r="HF124" s="30"/>
      <c r="HG124" s="30"/>
      <c r="HH124" s="30"/>
      <c r="HI124" s="30"/>
      <c r="HJ124" s="30"/>
      <c r="HK124" s="30"/>
      <c r="HL124" s="30"/>
      <c r="HM124" s="30"/>
      <c r="HN124" s="30"/>
      <c r="HO124" s="30"/>
      <c r="HP124" s="30"/>
      <c r="HQ124" s="30"/>
      <c r="HR124" s="30"/>
      <c r="HS124" s="30"/>
      <c r="HT124" s="30"/>
      <c r="HU124" s="30"/>
      <c r="HV124" s="30"/>
      <c r="HW124" s="30"/>
      <c r="HX124" s="30"/>
      <c r="HY124" s="30"/>
      <c r="HZ124" s="30"/>
      <c r="IA124" s="30"/>
      <c r="IB124" s="30"/>
      <c r="IC124" s="30"/>
      <c r="ID124" s="30"/>
      <c r="IE124" s="30"/>
      <c r="IF124" s="30"/>
      <c r="IG124" s="30"/>
      <c r="IH124" s="30"/>
      <c r="II124" s="30"/>
      <c r="IJ124" s="30"/>
      <c r="IK124" s="30"/>
      <c r="IL124" s="30"/>
      <c r="IM124" s="30"/>
      <c r="IN124" s="30"/>
      <c r="IO124" s="30"/>
      <c r="IP124" s="30"/>
      <c r="IQ124" s="30"/>
      <c r="IR124" s="30"/>
      <c r="IS124" s="30"/>
      <c r="IT124" s="30"/>
      <c r="IU124" s="30"/>
      <c r="IV124" s="30"/>
      <c r="IW124" s="30"/>
    </row>
    <row r="125" customFormat="false" ht="13.5" hidden="false" customHeight="true" outlineLevel="0" collapsed="false">
      <c r="A125" s="131"/>
      <c r="B125" s="132" t="s">
        <v>4800</v>
      </c>
      <c r="C125" s="133"/>
      <c r="D125" s="133" t="s">
        <v>452</v>
      </c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132" t="s">
        <v>4947</v>
      </c>
      <c r="S125" s="70"/>
      <c r="T125" s="70"/>
      <c r="U125" s="70"/>
      <c r="V125" s="70"/>
      <c r="W125" s="70"/>
      <c r="X125" s="70"/>
      <c r="Y125" s="70"/>
      <c r="Z125" s="70"/>
      <c r="AA125" s="70"/>
      <c r="AG125" s="133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132"/>
      <c r="AU125" s="70"/>
      <c r="AV125" s="70"/>
      <c r="AW125" s="70"/>
      <c r="AX125" s="70"/>
      <c r="AY125" s="70"/>
      <c r="AZ125" s="70"/>
      <c r="BA125" s="70"/>
      <c r="BB125" s="70"/>
      <c r="BC125" s="70"/>
      <c r="BD125" s="70"/>
      <c r="BE125" s="70"/>
      <c r="BF125" s="70"/>
      <c r="BG125" s="70"/>
      <c r="BH125" s="70"/>
      <c r="BI125" s="70"/>
      <c r="BJ125" s="70"/>
      <c r="BK125" s="70"/>
      <c r="BL125" s="70"/>
      <c r="BM125" s="133" t="s">
        <v>5426</v>
      </c>
      <c r="BN125" s="70"/>
      <c r="BO125" s="70"/>
      <c r="BP125" s="70"/>
      <c r="BQ125" s="70"/>
      <c r="BR125" s="70"/>
      <c r="BS125" s="70"/>
      <c r="BT125" s="70"/>
      <c r="BU125" s="70"/>
      <c r="BV125" s="70"/>
      <c r="BW125" s="70"/>
      <c r="BX125" s="70"/>
      <c r="BY125" s="70"/>
      <c r="BZ125" s="70"/>
      <c r="CA125" s="70"/>
      <c r="CB125" s="70"/>
      <c r="CC125" s="70"/>
      <c r="CD125" s="70"/>
      <c r="CE125" s="70"/>
      <c r="CF125" s="70"/>
      <c r="CG125" s="70"/>
      <c r="CH125" s="70"/>
      <c r="CI125" s="70"/>
      <c r="CJ125" s="70"/>
      <c r="CK125" s="70"/>
      <c r="CL125" s="70"/>
      <c r="CM125" s="70"/>
      <c r="CN125" s="70"/>
      <c r="CO125" s="70"/>
      <c r="CP125" s="70"/>
      <c r="CQ125" s="70"/>
      <c r="CR125" s="70"/>
      <c r="CS125" s="70"/>
      <c r="CT125" s="70"/>
      <c r="CU125" s="70"/>
      <c r="CV125" s="70"/>
      <c r="CW125" s="70"/>
      <c r="CX125" s="70"/>
      <c r="CY125" s="70"/>
      <c r="CZ125" s="70"/>
      <c r="DA125" s="70"/>
      <c r="DB125" s="70"/>
      <c r="DC125" s="70"/>
      <c r="DD125" s="70"/>
      <c r="DE125" s="70"/>
      <c r="DF125" s="70"/>
      <c r="DG125" s="70"/>
      <c r="DH125" s="70"/>
      <c r="DI125" s="70"/>
      <c r="DJ125" s="70"/>
      <c r="DK125" s="70"/>
      <c r="DL125" s="70"/>
      <c r="DM125" s="70"/>
      <c r="DN125" s="70"/>
      <c r="DO125" s="70"/>
      <c r="DP125" s="70"/>
      <c r="DQ125" s="70"/>
      <c r="DR125" s="70"/>
      <c r="DS125" s="70"/>
      <c r="DT125" s="70"/>
      <c r="DU125" s="70"/>
      <c r="DV125" s="70"/>
      <c r="DW125" s="70"/>
      <c r="DX125" s="70"/>
      <c r="DY125" s="70"/>
      <c r="DZ125" s="70"/>
      <c r="EA125" s="70"/>
      <c r="EB125" s="70"/>
      <c r="EC125" s="70"/>
      <c r="ED125" s="70"/>
      <c r="EE125" s="70"/>
      <c r="EF125" s="70"/>
      <c r="EG125" s="70"/>
      <c r="EH125" s="70"/>
      <c r="EI125" s="70"/>
      <c r="EJ125" s="70"/>
      <c r="EK125" s="70"/>
      <c r="EL125" s="70"/>
      <c r="EM125" s="70"/>
      <c r="EN125" s="70"/>
      <c r="EO125" s="70"/>
      <c r="EP125" s="70"/>
      <c r="EQ125" s="70"/>
      <c r="ER125" s="70"/>
      <c r="ES125" s="70"/>
      <c r="ET125" s="70"/>
      <c r="EU125" s="70"/>
      <c r="EV125" s="70"/>
      <c r="EW125" s="70"/>
      <c r="EX125" s="70"/>
      <c r="EY125" s="70"/>
      <c r="EZ125" s="70"/>
      <c r="FA125" s="70"/>
      <c r="FB125" s="70"/>
      <c r="FC125" s="70"/>
      <c r="FD125" s="70"/>
      <c r="FE125" s="70"/>
      <c r="FF125" s="70"/>
      <c r="FG125" s="70"/>
      <c r="FH125" s="70"/>
      <c r="FI125" s="70"/>
      <c r="FJ125" s="70"/>
      <c r="FK125" s="70"/>
      <c r="FL125" s="70"/>
      <c r="FM125" s="70"/>
      <c r="FN125" s="70"/>
      <c r="FO125" s="70"/>
      <c r="FP125" s="70"/>
      <c r="FQ125" s="70"/>
      <c r="FR125" s="70"/>
      <c r="FS125" s="70"/>
      <c r="FT125" s="70"/>
      <c r="FU125" s="70"/>
      <c r="FV125" s="70"/>
      <c r="FW125" s="70"/>
      <c r="FX125" s="70"/>
      <c r="FY125" s="70"/>
      <c r="FZ125" s="70"/>
      <c r="GA125" s="70"/>
      <c r="GB125" s="70"/>
      <c r="GC125" s="70"/>
      <c r="GD125" s="70"/>
      <c r="GE125" s="70"/>
      <c r="GF125" s="70"/>
      <c r="GG125" s="70"/>
      <c r="GH125" s="70"/>
      <c r="GI125" s="70"/>
      <c r="GJ125" s="70"/>
      <c r="GK125" s="70"/>
      <c r="GL125" s="70"/>
      <c r="GM125" s="70"/>
      <c r="GN125" s="70"/>
      <c r="GO125" s="70"/>
      <c r="GP125" s="70"/>
      <c r="GQ125" s="70"/>
      <c r="GR125" s="70"/>
      <c r="GS125" s="70"/>
      <c r="GT125" s="70"/>
      <c r="GU125" s="70"/>
      <c r="GV125" s="70"/>
      <c r="GW125" s="70"/>
      <c r="GX125" s="70"/>
      <c r="GY125" s="70"/>
      <c r="GZ125" s="70"/>
      <c r="HA125" s="70"/>
      <c r="HB125" s="70"/>
      <c r="HC125" s="70"/>
      <c r="HD125" s="70"/>
      <c r="HE125" s="70"/>
      <c r="HF125" s="70"/>
      <c r="HG125" s="70"/>
      <c r="HH125" s="70"/>
      <c r="HI125" s="70"/>
      <c r="HJ125" s="70"/>
      <c r="HK125" s="70"/>
      <c r="HL125" s="70"/>
      <c r="HM125" s="70"/>
      <c r="HN125" s="70"/>
      <c r="HO125" s="70"/>
      <c r="HP125" s="70"/>
      <c r="HQ125" s="70"/>
      <c r="HR125" s="70"/>
      <c r="HS125" s="70"/>
      <c r="HT125" s="70"/>
      <c r="HU125" s="70"/>
      <c r="HV125" s="70"/>
      <c r="HW125" s="70"/>
      <c r="HX125" s="70"/>
      <c r="HY125" s="70"/>
      <c r="HZ125" s="70"/>
      <c r="IA125" s="70"/>
      <c r="IB125" s="70"/>
      <c r="IC125" s="70"/>
      <c r="ID125" s="70"/>
      <c r="IE125" s="70"/>
      <c r="IF125" s="70"/>
      <c r="IG125" s="70"/>
      <c r="IH125" s="70"/>
      <c r="II125" s="70"/>
      <c r="IJ125" s="70"/>
      <c r="IK125" s="70"/>
      <c r="IL125" s="70"/>
      <c r="IM125" s="70"/>
      <c r="IN125" s="70"/>
      <c r="IO125" s="70"/>
      <c r="IP125" s="70"/>
      <c r="IQ125" s="70"/>
      <c r="IR125" s="70"/>
      <c r="IS125" s="70"/>
      <c r="IT125" s="70"/>
      <c r="IU125" s="70"/>
      <c r="IV125" s="70"/>
      <c r="IW125" s="70"/>
    </row>
    <row r="126" customFormat="false" ht="13.5" hidden="false" customHeight="true" outlineLevel="0" collapsed="false">
      <c r="A126" s="134"/>
      <c r="B126" s="135" t="s">
        <v>6230</v>
      </c>
      <c r="C126" s="136"/>
      <c r="D126" s="136" t="s">
        <v>6231</v>
      </c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137" t="s">
        <v>6232</v>
      </c>
      <c r="S126" s="70"/>
      <c r="T126" s="70"/>
      <c r="U126" s="70"/>
      <c r="V126" s="70"/>
      <c r="W126" s="70"/>
      <c r="X126" s="70"/>
      <c r="Y126" s="70"/>
      <c r="Z126" s="70"/>
      <c r="AA126" s="70"/>
      <c r="AG126" s="138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137"/>
      <c r="AU126" s="70"/>
      <c r="AV126" s="70"/>
      <c r="AW126" s="70"/>
      <c r="AX126" s="70"/>
      <c r="AY126" s="70"/>
      <c r="AZ126" s="70"/>
      <c r="BA126" s="70"/>
      <c r="BB126" s="70"/>
      <c r="BC126" s="70"/>
      <c r="BD126" s="70"/>
      <c r="BE126" s="70"/>
      <c r="BF126" s="70"/>
      <c r="BG126" s="70"/>
      <c r="BH126" s="70"/>
      <c r="BI126" s="70"/>
      <c r="BJ126" s="70"/>
      <c r="BK126" s="70"/>
      <c r="BL126" s="70"/>
      <c r="BM126" s="138" t="s">
        <v>6232</v>
      </c>
      <c r="BN126" s="70"/>
      <c r="BO126" s="70"/>
      <c r="BP126" s="70"/>
      <c r="BQ126" s="70"/>
      <c r="BR126" s="70"/>
      <c r="BS126" s="70"/>
      <c r="BT126" s="70"/>
      <c r="BU126" s="70"/>
      <c r="BV126" s="70"/>
      <c r="BW126" s="70"/>
      <c r="BX126" s="70"/>
      <c r="BY126" s="70"/>
      <c r="BZ126" s="70"/>
      <c r="CA126" s="70"/>
      <c r="CB126" s="70"/>
      <c r="CC126" s="70"/>
      <c r="CD126" s="70"/>
      <c r="CE126" s="70"/>
      <c r="CF126" s="70"/>
      <c r="CG126" s="70"/>
      <c r="CH126" s="70"/>
      <c r="CI126" s="70"/>
      <c r="CJ126" s="70"/>
      <c r="CK126" s="70"/>
      <c r="CL126" s="70"/>
      <c r="CM126" s="70"/>
      <c r="CN126" s="70"/>
      <c r="CO126" s="70"/>
      <c r="CP126" s="70"/>
      <c r="CQ126" s="70"/>
      <c r="CR126" s="70"/>
      <c r="CS126" s="70"/>
      <c r="CT126" s="70"/>
      <c r="CU126" s="70"/>
      <c r="CV126" s="70"/>
      <c r="CW126" s="70"/>
      <c r="CX126" s="70"/>
      <c r="CY126" s="70"/>
      <c r="CZ126" s="70"/>
      <c r="DA126" s="70"/>
      <c r="DB126" s="70"/>
      <c r="DC126" s="70"/>
      <c r="DD126" s="70"/>
      <c r="DE126" s="70"/>
      <c r="DF126" s="70"/>
      <c r="DG126" s="70"/>
      <c r="DH126" s="70"/>
      <c r="DI126" s="70"/>
      <c r="DJ126" s="70"/>
      <c r="DK126" s="70"/>
      <c r="DL126" s="70"/>
      <c r="DM126" s="70"/>
      <c r="DN126" s="70"/>
      <c r="DO126" s="70"/>
      <c r="DP126" s="70"/>
      <c r="DQ126" s="70"/>
      <c r="DR126" s="70"/>
      <c r="DS126" s="70"/>
      <c r="DT126" s="70"/>
      <c r="DU126" s="70"/>
      <c r="DV126" s="70"/>
      <c r="DW126" s="70"/>
      <c r="DX126" s="70"/>
      <c r="DY126" s="70"/>
      <c r="DZ126" s="70"/>
      <c r="EA126" s="70"/>
      <c r="EB126" s="70"/>
      <c r="EC126" s="70"/>
      <c r="ED126" s="70"/>
      <c r="EE126" s="70"/>
      <c r="EF126" s="70"/>
      <c r="EG126" s="70"/>
      <c r="EH126" s="70"/>
      <c r="EI126" s="70"/>
      <c r="EJ126" s="70"/>
      <c r="EK126" s="70"/>
      <c r="EL126" s="70"/>
      <c r="EM126" s="70"/>
      <c r="EN126" s="70"/>
      <c r="EO126" s="70"/>
      <c r="EP126" s="70"/>
      <c r="EQ126" s="70"/>
      <c r="ER126" s="70"/>
      <c r="ES126" s="70"/>
      <c r="ET126" s="70"/>
      <c r="EU126" s="70"/>
      <c r="EV126" s="70"/>
      <c r="EW126" s="70"/>
      <c r="EX126" s="70"/>
      <c r="EY126" s="70"/>
      <c r="EZ126" s="70"/>
      <c r="FA126" s="70"/>
      <c r="FB126" s="70"/>
      <c r="FC126" s="70"/>
      <c r="FD126" s="70"/>
      <c r="FE126" s="70"/>
      <c r="FF126" s="70"/>
      <c r="FG126" s="70"/>
      <c r="FH126" s="70"/>
      <c r="FI126" s="70"/>
      <c r="FJ126" s="70"/>
      <c r="FK126" s="70"/>
      <c r="FL126" s="70"/>
      <c r="FM126" s="70"/>
      <c r="FN126" s="70"/>
      <c r="FO126" s="70"/>
      <c r="FP126" s="70"/>
      <c r="FQ126" s="70"/>
      <c r="FR126" s="70"/>
      <c r="FS126" s="70"/>
      <c r="FT126" s="70"/>
      <c r="FU126" s="70"/>
      <c r="FV126" s="70"/>
      <c r="FW126" s="70"/>
      <c r="FX126" s="70"/>
      <c r="FY126" s="70"/>
      <c r="FZ126" s="70"/>
      <c r="GA126" s="70"/>
      <c r="GB126" s="70"/>
      <c r="GC126" s="70"/>
      <c r="GD126" s="70"/>
      <c r="GE126" s="70"/>
      <c r="GF126" s="70"/>
      <c r="GG126" s="70"/>
      <c r="GH126" s="70"/>
      <c r="GI126" s="70"/>
      <c r="GJ126" s="70"/>
      <c r="GK126" s="70"/>
      <c r="GL126" s="70"/>
      <c r="GM126" s="70"/>
      <c r="GN126" s="70"/>
      <c r="GO126" s="70"/>
      <c r="GP126" s="70"/>
      <c r="GQ126" s="70"/>
      <c r="GR126" s="70"/>
      <c r="GS126" s="70"/>
      <c r="GT126" s="70"/>
      <c r="GU126" s="70"/>
      <c r="GV126" s="70"/>
      <c r="GW126" s="70"/>
      <c r="GX126" s="70"/>
      <c r="GY126" s="70"/>
      <c r="GZ126" s="70"/>
      <c r="HA126" s="70"/>
      <c r="HB126" s="70"/>
      <c r="HC126" s="70"/>
      <c r="HD126" s="70"/>
      <c r="HE126" s="70"/>
      <c r="HF126" s="70"/>
      <c r="HG126" s="70"/>
      <c r="HH126" s="70"/>
      <c r="HI126" s="70"/>
      <c r="HJ126" s="70"/>
      <c r="HK126" s="70"/>
      <c r="HL126" s="70"/>
      <c r="HM126" s="70"/>
      <c r="HN126" s="70"/>
      <c r="HO126" s="70"/>
      <c r="HP126" s="70"/>
      <c r="HQ126" s="70"/>
      <c r="HR126" s="70"/>
      <c r="HS126" s="70"/>
      <c r="HT126" s="70"/>
      <c r="HU126" s="70"/>
      <c r="HV126" s="70"/>
      <c r="HW126" s="70"/>
      <c r="HX126" s="70"/>
      <c r="HY126" s="70"/>
      <c r="HZ126" s="70"/>
      <c r="IA126" s="70"/>
      <c r="IB126" s="70"/>
      <c r="IC126" s="70"/>
      <c r="ID126" s="70"/>
      <c r="IE126" s="70"/>
      <c r="IF126" s="70"/>
      <c r="IG126" s="70"/>
      <c r="IH126" s="70"/>
      <c r="II126" s="70"/>
      <c r="IJ126" s="70"/>
      <c r="IK126" s="70"/>
      <c r="IL126" s="70"/>
      <c r="IM126" s="70"/>
      <c r="IN126" s="70"/>
      <c r="IO126" s="70"/>
      <c r="IP126" s="70"/>
      <c r="IQ126" s="70"/>
      <c r="IR126" s="70"/>
      <c r="IS126" s="70"/>
      <c r="IT126" s="70"/>
      <c r="IU126" s="70"/>
      <c r="IV126" s="70"/>
      <c r="IW126" s="70"/>
    </row>
    <row r="127" customFormat="false" ht="13.5" hidden="false" customHeight="true" outlineLevel="0" collapsed="false">
      <c r="A127" s="139"/>
      <c r="B127" s="140" t="s">
        <v>6233</v>
      </c>
      <c r="C127" s="140"/>
      <c r="D127" s="140" t="s">
        <v>6234</v>
      </c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141" t="s">
        <v>6235</v>
      </c>
      <c r="S127" s="70"/>
      <c r="T127" s="70"/>
      <c r="U127" s="70"/>
      <c r="V127" s="70"/>
      <c r="W127" s="70"/>
      <c r="X127" s="70"/>
      <c r="Y127" s="70"/>
      <c r="Z127" s="70"/>
      <c r="AA127" s="70"/>
      <c r="AG127" s="142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141"/>
      <c r="AU127" s="70"/>
      <c r="AV127" s="70"/>
      <c r="AW127" s="70"/>
      <c r="AX127" s="70"/>
      <c r="AY127" s="70"/>
      <c r="AZ127" s="70"/>
      <c r="BA127" s="70"/>
      <c r="BB127" s="70"/>
      <c r="BC127" s="70"/>
      <c r="BD127" s="70"/>
      <c r="BE127" s="70"/>
      <c r="BF127" s="70"/>
      <c r="BG127" s="70"/>
      <c r="BH127" s="70"/>
      <c r="BI127" s="70"/>
      <c r="BJ127" s="70"/>
      <c r="BK127" s="70"/>
      <c r="BL127" s="70"/>
      <c r="BM127" s="142" t="s">
        <v>6235</v>
      </c>
      <c r="BN127" s="70"/>
      <c r="BO127" s="70"/>
      <c r="BP127" s="70"/>
      <c r="BQ127" s="70"/>
      <c r="BR127" s="70"/>
      <c r="BS127" s="70"/>
      <c r="BT127" s="70"/>
      <c r="BU127" s="70"/>
      <c r="BV127" s="70"/>
      <c r="BW127" s="70"/>
      <c r="BX127" s="70"/>
      <c r="BY127" s="70"/>
      <c r="BZ127" s="70"/>
      <c r="CA127" s="70"/>
      <c r="CB127" s="70"/>
      <c r="CC127" s="70"/>
      <c r="CD127" s="70"/>
      <c r="CE127" s="70"/>
      <c r="CF127" s="70"/>
      <c r="CG127" s="70"/>
      <c r="CH127" s="70"/>
      <c r="CI127" s="70"/>
      <c r="CJ127" s="70"/>
      <c r="CK127" s="70"/>
      <c r="CL127" s="70"/>
      <c r="CM127" s="70"/>
      <c r="CN127" s="70"/>
      <c r="CO127" s="70"/>
      <c r="CP127" s="70"/>
      <c r="CQ127" s="70"/>
      <c r="CR127" s="70"/>
      <c r="CS127" s="70"/>
      <c r="CT127" s="70"/>
      <c r="CU127" s="70"/>
      <c r="CV127" s="70"/>
      <c r="CW127" s="70"/>
      <c r="CX127" s="70"/>
      <c r="CY127" s="70"/>
      <c r="CZ127" s="70"/>
      <c r="DA127" s="70"/>
      <c r="DB127" s="70"/>
      <c r="DC127" s="70"/>
      <c r="DD127" s="70"/>
      <c r="DE127" s="70"/>
      <c r="DF127" s="70"/>
      <c r="DG127" s="70"/>
      <c r="DH127" s="70"/>
      <c r="DI127" s="70"/>
      <c r="DJ127" s="70"/>
      <c r="DK127" s="70"/>
      <c r="DL127" s="70"/>
      <c r="DM127" s="70"/>
      <c r="DN127" s="70"/>
      <c r="DO127" s="70"/>
      <c r="DP127" s="70"/>
      <c r="DQ127" s="70"/>
      <c r="DR127" s="70"/>
      <c r="DS127" s="70"/>
      <c r="DT127" s="70"/>
      <c r="DU127" s="70"/>
      <c r="DV127" s="70"/>
      <c r="DW127" s="70"/>
      <c r="DX127" s="70"/>
      <c r="DY127" s="70"/>
      <c r="DZ127" s="70"/>
      <c r="EA127" s="70"/>
      <c r="EB127" s="70"/>
      <c r="EC127" s="70"/>
      <c r="ED127" s="70"/>
      <c r="EE127" s="70"/>
      <c r="EF127" s="70"/>
      <c r="EG127" s="70"/>
      <c r="EH127" s="70"/>
      <c r="EI127" s="70"/>
      <c r="EJ127" s="70"/>
      <c r="EK127" s="70"/>
      <c r="EL127" s="70"/>
      <c r="EM127" s="70"/>
      <c r="EN127" s="70"/>
      <c r="EO127" s="70"/>
      <c r="EP127" s="70"/>
      <c r="EQ127" s="70"/>
      <c r="ER127" s="70"/>
      <c r="ES127" s="70"/>
      <c r="ET127" s="70"/>
      <c r="EU127" s="70"/>
      <c r="EV127" s="70"/>
      <c r="EW127" s="70"/>
      <c r="EX127" s="70"/>
      <c r="EY127" s="70"/>
      <c r="EZ127" s="70"/>
      <c r="FA127" s="70"/>
      <c r="FB127" s="70"/>
      <c r="FC127" s="70"/>
      <c r="FD127" s="70"/>
      <c r="FE127" s="70"/>
      <c r="FF127" s="70"/>
      <c r="FG127" s="70"/>
      <c r="FH127" s="70"/>
      <c r="FI127" s="70"/>
      <c r="FJ127" s="70"/>
      <c r="FK127" s="70"/>
      <c r="FL127" s="70"/>
      <c r="FM127" s="70"/>
      <c r="FN127" s="70"/>
      <c r="FO127" s="70"/>
      <c r="FP127" s="70"/>
      <c r="FQ127" s="70"/>
      <c r="FR127" s="70"/>
      <c r="FS127" s="70"/>
      <c r="FT127" s="70"/>
      <c r="FU127" s="70"/>
      <c r="FV127" s="70"/>
      <c r="FW127" s="70"/>
      <c r="FX127" s="70"/>
      <c r="FY127" s="70"/>
      <c r="FZ127" s="70"/>
      <c r="GA127" s="70"/>
      <c r="GB127" s="70"/>
      <c r="GC127" s="70"/>
      <c r="GD127" s="70"/>
      <c r="GE127" s="70"/>
      <c r="GF127" s="70"/>
      <c r="GG127" s="70"/>
      <c r="GH127" s="70"/>
      <c r="GI127" s="70"/>
      <c r="GJ127" s="70"/>
      <c r="GK127" s="70"/>
      <c r="GL127" s="70"/>
      <c r="GM127" s="70"/>
      <c r="GN127" s="70"/>
      <c r="GO127" s="70"/>
      <c r="GP127" s="70"/>
      <c r="GQ127" s="70"/>
      <c r="GR127" s="70"/>
      <c r="GS127" s="70"/>
      <c r="GT127" s="70"/>
      <c r="GU127" s="70"/>
      <c r="GV127" s="70"/>
      <c r="GW127" s="70"/>
      <c r="GX127" s="70"/>
      <c r="GY127" s="70"/>
      <c r="GZ127" s="70"/>
      <c r="HA127" s="70"/>
      <c r="HB127" s="70"/>
      <c r="HC127" s="70"/>
      <c r="HD127" s="70"/>
      <c r="HE127" s="70"/>
      <c r="HF127" s="70"/>
      <c r="HG127" s="70"/>
      <c r="HH127" s="70"/>
      <c r="HI127" s="70"/>
      <c r="HJ127" s="70"/>
      <c r="HK127" s="70"/>
      <c r="HL127" s="70"/>
      <c r="HM127" s="70"/>
      <c r="HN127" s="70"/>
      <c r="HO127" s="70"/>
      <c r="HP127" s="70"/>
      <c r="HQ127" s="70"/>
      <c r="HR127" s="70"/>
      <c r="HS127" s="70"/>
      <c r="HT127" s="70"/>
      <c r="HU127" s="70"/>
      <c r="HV127" s="70"/>
      <c r="HW127" s="70"/>
      <c r="HX127" s="70"/>
      <c r="HY127" s="70"/>
      <c r="HZ127" s="70"/>
      <c r="IA127" s="70"/>
      <c r="IB127" s="70"/>
      <c r="IC127" s="70"/>
      <c r="ID127" s="70"/>
      <c r="IE127" s="70"/>
      <c r="IF127" s="70"/>
      <c r="IG127" s="70"/>
      <c r="IH127" s="70"/>
      <c r="II127" s="70"/>
      <c r="IJ127" s="70"/>
      <c r="IK127" s="70"/>
      <c r="IL127" s="70"/>
      <c r="IM127" s="70"/>
      <c r="IN127" s="70"/>
      <c r="IO127" s="70"/>
      <c r="IP127" s="70"/>
      <c r="IQ127" s="70"/>
      <c r="IR127" s="70"/>
      <c r="IS127" s="70"/>
      <c r="IT127" s="70"/>
      <c r="IU127" s="70"/>
      <c r="IV127" s="70"/>
      <c r="IW127" s="70"/>
    </row>
    <row r="128" customFormat="false" ht="13.5" hidden="false" customHeight="true" outlineLevel="0" collapsed="false">
      <c r="A128" s="41" t="s">
        <v>5946</v>
      </c>
      <c r="B128" s="42" t="n">
        <v>23</v>
      </c>
      <c r="C128" s="42" t="n">
        <v>24</v>
      </c>
      <c r="D128" s="42" t="n">
        <v>25</v>
      </c>
      <c r="E128" s="42" t="n">
        <v>26</v>
      </c>
      <c r="F128" s="42" t="n">
        <v>27</v>
      </c>
      <c r="G128" s="43" t="n">
        <v>28</v>
      </c>
      <c r="H128" s="43" t="s">
        <v>5947</v>
      </c>
      <c r="I128" s="42" t="n">
        <v>2</v>
      </c>
      <c r="J128" s="42" t="n">
        <v>3</v>
      </c>
      <c r="K128" s="42" t="n">
        <v>4</v>
      </c>
      <c r="L128" s="42" t="n">
        <v>5</v>
      </c>
      <c r="M128" s="42" t="n">
        <v>6</v>
      </c>
      <c r="N128" s="43" t="n">
        <v>7</v>
      </c>
      <c r="O128" s="43" t="n">
        <v>8</v>
      </c>
      <c r="P128" s="42" t="n">
        <v>9</v>
      </c>
      <c r="Q128" s="42" t="n">
        <v>10</v>
      </c>
      <c r="R128" s="42" t="n">
        <v>11</v>
      </c>
      <c r="S128" s="42" t="n">
        <v>12</v>
      </c>
      <c r="T128" s="42" t="n">
        <v>13</v>
      </c>
      <c r="U128" s="43" t="n">
        <v>14</v>
      </c>
      <c r="V128" s="43" t="n">
        <v>15</v>
      </c>
      <c r="W128" s="42" t="n">
        <v>16</v>
      </c>
      <c r="X128" s="42" t="n">
        <v>17</v>
      </c>
      <c r="Y128" s="42" t="n">
        <v>18</v>
      </c>
      <c r="Z128" s="42" t="n">
        <v>19</v>
      </c>
      <c r="AA128" s="42" t="n">
        <v>20</v>
      </c>
      <c r="AB128" s="43" t="n">
        <v>21</v>
      </c>
      <c r="AC128" s="43" t="n">
        <v>22</v>
      </c>
      <c r="AD128" s="42" t="n">
        <v>23</v>
      </c>
      <c r="AE128" s="42" t="n">
        <v>24</v>
      </c>
      <c r="AF128" s="42" t="n">
        <v>25</v>
      </c>
      <c r="AG128" s="42" t="n">
        <v>26</v>
      </c>
      <c r="AH128" s="42" t="n">
        <v>27</v>
      </c>
      <c r="AI128" s="43" t="n">
        <v>28</v>
      </c>
      <c r="AJ128" s="43" t="n">
        <v>29</v>
      </c>
      <c r="AK128" s="42" t="n">
        <v>30</v>
      </c>
      <c r="AL128" s="42" t="n">
        <v>31</v>
      </c>
      <c r="AM128" s="42" t="s">
        <v>5948</v>
      </c>
      <c r="AN128" s="42" t="n">
        <v>2</v>
      </c>
      <c r="AO128" s="42" t="n">
        <v>3</v>
      </c>
      <c r="AP128" s="43" t="n">
        <v>4</v>
      </c>
      <c r="AQ128" s="43" t="n">
        <v>5</v>
      </c>
      <c r="AR128" s="42" t="n">
        <v>6</v>
      </c>
      <c r="AS128" s="42" t="n">
        <v>7</v>
      </c>
      <c r="AT128" s="42" t="n">
        <v>8</v>
      </c>
      <c r="AU128" s="42" t="n">
        <v>9</v>
      </c>
      <c r="AV128" s="42" t="n">
        <v>10</v>
      </c>
      <c r="AW128" s="43" t="n">
        <v>11</v>
      </c>
      <c r="AX128" s="43" t="n">
        <v>12</v>
      </c>
      <c r="AY128" s="42" t="n">
        <v>13</v>
      </c>
      <c r="AZ128" s="42" t="n">
        <v>14</v>
      </c>
      <c r="BA128" s="42" t="n">
        <v>15</v>
      </c>
      <c r="BB128" s="42" t="n">
        <v>16</v>
      </c>
      <c r="BC128" s="42" t="n">
        <v>17</v>
      </c>
      <c r="BD128" s="43" t="n">
        <v>18</v>
      </c>
      <c r="BE128" s="43" t="n">
        <v>19</v>
      </c>
      <c r="BF128" s="42" t="n">
        <v>20</v>
      </c>
      <c r="BG128" s="42" t="n">
        <v>21</v>
      </c>
      <c r="BH128" s="42" t="n">
        <v>22</v>
      </c>
      <c r="BI128" s="42" t="n">
        <v>23</v>
      </c>
      <c r="BJ128" s="42" t="n">
        <v>24</v>
      </c>
      <c r="BK128" s="43" t="n">
        <v>25</v>
      </c>
      <c r="BL128" s="43" t="n">
        <v>26</v>
      </c>
      <c r="BM128" s="43" t="n">
        <v>27</v>
      </c>
      <c r="BN128" s="42" t="n">
        <v>28</v>
      </c>
      <c r="BO128" s="42" t="n">
        <v>29</v>
      </c>
      <c r="BP128" s="43" t="n">
        <v>30</v>
      </c>
      <c r="BQ128" s="43" t="s">
        <v>5949</v>
      </c>
      <c r="BR128" s="43" t="n">
        <v>2</v>
      </c>
      <c r="BS128" s="43" t="n">
        <v>3</v>
      </c>
      <c r="BT128" s="42" t="n">
        <v>4</v>
      </c>
      <c r="BU128" s="42" t="n">
        <v>5</v>
      </c>
      <c r="BV128" s="42" t="n">
        <v>6</v>
      </c>
      <c r="BW128" s="42" t="n">
        <v>7</v>
      </c>
      <c r="BX128" s="42" t="n">
        <v>8</v>
      </c>
      <c r="BY128" s="43" t="n">
        <v>9</v>
      </c>
      <c r="BZ128" s="43" t="n">
        <v>10</v>
      </c>
      <c r="CA128" s="42" t="n">
        <v>11</v>
      </c>
      <c r="CB128" s="42" t="n">
        <v>12</v>
      </c>
      <c r="CC128" s="42" t="n">
        <v>13</v>
      </c>
      <c r="CD128" s="42" t="n">
        <v>14</v>
      </c>
      <c r="CE128" s="42" t="n">
        <v>15</v>
      </c>
      <c r="CF128" s="43" t="n">
        <v>16</v>
      </c>
      <c r="CG128" s="43" t="n">
        <v>17</v>
      </c>
      <c r="CH128" s="42" t="n">
        <v>18</v>
      </c>
      <c r="CI128" s="42" t="n">
        <v>19</v>
      </c>
      <c r="CJ128" s="42" t="n">
        <v>20</v>
      </c>
      <c r="CK128" s="42" t="n">
        <v>21</v>
      </c>
      <c r="CL128" s="42" t="n">
        <v>22</v>
      </c>
      <c r="CM128" s="43" t="n">
        <v>23</v>
      </c>
      <c r="CN128" s="43" t="n">
        <v>24</v>
      </c>
      <c r="CO128" s="42" t="n">
        <v>25</v>
      </c>
      <c r="CP128" s="42" t="n">
        <v>26</v>
      </c>
      <c r="CQ128" s="42" t="n">
        <v>27</v>
      </c>
      <c r="CR128" s="42" t="n">
        <v>28</v>
      </c>
      <c r="CS128" s="42" t="n">
        <v>29</v>
      </c>
      <c r="CT128" s="43" t="n">
        <v>30</v>
      </c>
      <c r="CU128" s="43" t="n">
        <v>31</v>
      </c>
      <c r="CV128" s="42" t="s">
        <v>5950</v>
      </c>
      <c r="CW128" s="42" t="n">
        <v>2</v>
      </c>
      <c r="CX128" s="42" t="n">
        <v>3</v>
      </c>
      <c r="CY128" s="42" t="n">
        <v>4</v>
      </c>
      <c r="CZ128" s="42" t="n">
        <v>5</v>
      </c>
      <c r="DA128" s="43" t="n">
        <v>6</v>
      </c>
      <c r="DB128" s="43" t="n">
        <v>7</v>
      </c>
      <c r="DC128" s="42" t="n">
        <v>8</v>
      </c>
      <c r="DD128" s="42" t="n">
        <v>9</v>
      </c>
      <c r="DE128" s="42" t="n">
        <v>10</v>
      </c>
      <c r="DF128" s="42" t="n">
        <v>11</v>
      </c>
      <c r="DG128" s="42" t="n">
        <v>12</v>
      </c>
      <c r="DH128" s="43" t="n">
        <v>13</v>
      </c>
      <c r="DI128" s="43" t="n">
        <v>14</v>
      </c>
      <c r="DJ128" s="42" t="n">
        <v>15</v>
      </c>
      <c r="DK128" s="42" t="n">
        <v>16</v>
      </c>
      <c r="DL128" s="42" t="n">
        <v>17</v>
      </c>
      <c r="DM128" s="42" t="n">
        <v>18</v>
      </c>
      <c r="DN128" s="42" t="n">
        <v>19</v>
      </c>
      <c r="DO128" s="43" t="n">
        <v>20</v>
      </c>
      <c r="DP128" s="43" t="n">
        <v>21</v>
      </c>
      <c r="DQ128" s="42" t="n">
        <v>22</v>
      </c>
      <c r="DR128" s="42" t="n">
        <v>23</v>
      </c>
      <c r="DS128" s="42" t="n">
        <v>24</v>
      </c>
      <c r="DT128" s="42" t="n">
        <v>25</v>
      </c>
      <c r="DU128" s="42" t="n">
        <v>26</v>
      </c>
      <c r="DV128" s="43" t="n">
        <v>27</v>
      </c>
      <c r="DW128" s="43" t="n">
        <v>28</v>
      </c>
      <c r="DX128" s="42" t="n">
        <v>29</v>
      </c>
      <c r="DY128" s="42" t="n">
        <v>30</v>
      </c>
      <c r="DZ128" s="42"/>
      <c r="EA128" s="42"/>
      <c r="EB128" s="42"/>
      <c r="EC128" s="42"/>
      <c r="ED128" s="42"/>
      <c r="EE128" s="42"/>
      <c r="EF128" s="42"/>
      <c r="EG128" s="42"/>
      <c r="EH128" s="42"/>
      <c r="EI128" s="42"/>
      <c r="EJ128" s="42"/>
      <c r="EK128" s="70"/>
      <c r="EL128" s="70"/>
      <c r="EM128" s="70"/>
      <c r="EN128" s="70"/>
      <c r="EO128" s="70"/>
      <c r="EP128" s="70"/>
      <c r="EQ128" s="70"/>
      <c r="ER128" s="70"/>
      <c r="ES128" s="70"/>
      <c r="ET128" s="70"/>
      <c r="EU128" s="70"/>
      <c r="EV128" s="70"/>
      <c r="EW128" s="70"/>
      <c r="EX128" s="70"/>
      <c r="EY128" s="70"/>
      <c r="EZ128" s="70"/>
      <c r="FA128" s="70"/>
      <c r="FB128" s="70"/>
      <c r="FC128" s="70"/>
      <c r="FD128" s="70"/>
      <c r="FE128" s="70"/>
      <c r="FF128" s="70"/>
      <c r="FG128" s="70"/>
      <c r="FH128" s="70"/>
      <c r="FI128" s="70"/>
      <c r="FJ128" s="70"/>
      <c r="FK128" s="70"/>
      <c r="FL128" s="70"/>
      <c r="FM128" s="70"/>
      <c r="FN128" s="70"/>
      <c r="FO128" s="70"/>
      <c r="FP128" s="70"/>
      <c r="FQ128" s="70"/>
      <c r="FR128" s="70"/>
      <c r="FS128" s="70"/>
      <c r="FT128" s="70"/>
      <c r="FU128" s="70"/>
      <c r="FV128" s="70"/>
      <c r="FW128" s="70"/>
      <c r="FX128" s="70"/>
      <c r="FY128" s="70"/>
      <c r="FZ128" s="70"/>
      <c r="GA128" s="70"/>
      <c r="GB128" s="70"/>
      <c r="GC128" s="70"/>
      <c r="GD128" s="70"/>
      <c r="GE128" s="70"/>
      <c r="GF128" s="70"/>
      <c r="GG128" s="70"/>
      <c r="GH128" s="70"/>
      <c r="GI128" s="70"/>
      <c r="GJ128" s="70"/>
      <c r="GK128" s="70"/>
      <c r="GL128" s="70"/>
      <c r="GM128" s="70"/>
      <c r="GN128" s="70"/>
      <c r="GO128" s="70"/>
      <c r="GP128" s="70"/>
      <c r="GQ128" s="70"/>
      <c r="GR128" s="70"/>
      <c r="GS128" s="70"/>
      <c r="GT128" s="70"/>
      <c r="GU128" s="70"/>
      <c r="GV128" s="70"/>
      <c r="GW128" s="70"/>
      <c r="GX128" s="70"/>
      <c r="GY128" s="70"/>
      <c r="GZ128" s="70"/>
      <c r="HA128" s="70"/>
      <c r="HB128" s="70"/>
      <c r="HC128" s="70"/>
      <c r="HD128" s="70"/>
      <c r="HE128" s="70"/>
      <c r="HF128" s="70"/>
      <c r="HG128" s="70"/>
      <c r="HH128" s="70"/>
      <c r="HI128" s="70"/>
      <c r="HJ128" s="70"/>
      <c r="HK128" s="70"/>
      <c r="HL128" s="70"/>
      <c r="HM128" s="70"/>
      <c r="HN128" s="70"/>
      <c r="HO128" s="70"/>
      <c r="HP128" s="70"/>
      <c r="HQ128" s="70"/>
      <c r="HR128" s="70"/>
      <c r="HS128" s="70"/>
      <c r="HT128" s="70"/>
      <c r="HU128" s="70"/>
      <c r="HV128" s="70"/>
      <c r="HW128" s="70"/>
      <c r="HX128" s="70"/>
      <c r="HY128" s="70"/>
      <c r="HZ128" s="70"/>
      <c r="IA128" s="70"/>
      <c r="IB128" s="70"/>
      <c r="IC128" s="70"/>
      <c r="ID128" s="70"/>
      <c r="IE128" s="70"/>
      <c r="IF128" s="70"/>
      <c r="IG128" s="70"/>
      <c r="IH128" s="70"/>
      <c r="II128" s="70"/>
      <c r="IJ128" s="70"/>
      <c r="IK128" s="70"/>
      <c r="IL128" s="70"/>
      <c r="IM128" s="70"/>
      <c r="IN128" s="70"/>
      <c r="IO128" s="70"/>
      <c r="IP128" s="70"/>
      <c r="IQ128" s="70"/>
      <c r="IR128" s="70"/>
      <c r="IS128" s="70"/>
      <c r="IT128" s="70"/>
      <c r="IU128" s="70"/>
      <c r="IV128" s="70"/>
      <c r="IW128" s="70"/>
    </row>
    <row r="129" customFormat="false" ht="13.5" hidden="false" customHeight="true" outlineLevel="0" collapsed="false">
      <c r="A129" s="41" t="s">
        <v>5952</v>
      </c>
      <c r="B129" s="143" t="n">
        <f aca="false">+35+20</f>
        <v>55</v>
      </c>
      <c r="C129" s="143"/>
      <c r="D129" s="143" t="n">
        <v>10</v>
      </c>
      <c r="E129" s="143" t="n">
        <v>5</v>
      </c>
      <c r="F129" s="143"/>
      <c r="G129" s="143"/>
      <c r="H129" s="143"/>
      <c r="I129" s="143"/>
      <c r="J129" s="143"/>
      <c r="K129" s="143"/>
      <c r="L129" s="143"/>
      <c r="M129" s="143"/>
      <c r="N129" s="143"/>
      <c r="O129" s="143"/>
      <c r="P129" s="143"/>
      <c r="Q129" s="143"/>
      <c r="R129" s="144" t="n">
        <v>10</v>
      </c>
      <c r="S129" s="144" t="n">
        <v>40</v>
      </c>
      <c r="T129" s="143"/>
      <c r="U129" s="143"/>
      <c r="V129" s="143"/>
      <c r="W129" s="143"/>
      <c r="X129" s="143"/>
      <c r="Y129" s="143"/>
      <c r="Z129" s="143"/>
      <c r="AA129" s="143"/>
      <c r="AB129" s="143"/>
      <c r="AC129" s="143"/>
      <c r="AD129" s="143"/>
      <c r="AE129" s="143"/>
      <c r="AF129" s="143"/>
      <c r="AG129" s="143"/>
      <c r="AH129" s="143"/>
      <c r="AI129" s="143"/>
      <c r="AJ129" s="143"/>
      <c r="AK129" s="143"/>
      <c r="AL129" s="143"/>
      <c r="AM129" s="143"/>
      <c r="AN129" s="143"/>
      <c r="AO129" s="143"/>
      <c r="AP129" s="143"/>
      <c r="AQ129" s="143"/>
      <c r="AR129" s="143"/>
      <c r="AS129" s="143"/>
      <c r="AT129" s="143"/>
      <c r="AU129" s="143"/>
      <c r="AV129" s="143"/>
      <c r="AW129" s="143"/>
      <c r="AX129" s="143"/>
      <c r="AY129" s="143"/>
      <c r="AZ129" s="143"/>
      <c r="BA129" s="143"/>
      <c r="BB129" s="143"/>
      <c r="BC129" s="143"/>
      <c r="BD129" s="143"/>
      <c r="BE129" s="143"/>
      <c r="BF129" s="143"/>
      <c r="BG129" s="143"/>
      <c r="BH129" s="143"/>
      <c r="BI129" s="143"/>
      <c r="BJ129" s="143"/>
      <c r="BK129" s="143"/>
      <c r="BL129" s="143"/>
      <c r="BM129" s="143" t="n">
        <v>50</v>
      </c>
      <c r="BN129" s="143"/>
      <c r="BO129" s="143"/>
      <c r="BP129" s="143"/>
      <c r="BQ129" s="143"/>
      <c r="BR129" s="143"/>
      <c r="BS129" s="143"/>
      <c r="BT129" s="143"/>
      <c r="BU129" s="143"/>
      <c r="BV129" s="143"/>
      <c r="BW129" s="143"/>
      <c r="BX129" s="143"/>
      <c r="BY129" s="143"/>
      <c r="BZ129" s="143"/>
      <c r="CA129" s="143"/>
      <c r="CB129" s="143"/>
      <c r="CC129" s="143"/>
      <c r="CD129" s="143"/>
      <c r="CE129" s="143"/>
      <c r="CF129" s="143"/>
      <c r="CG129" s="143"/>
      <c r="CH129" s="143"/>
      <c r="CI129" s="143"/>
      <c r="CJ129" s="143"/>
      <c r="CK129" s="143"/>
      <c r="CL129" s="143"/>
      <c r="CM129" s="143"/>
      <c r="CN129" s="143"/>
      <c r="CO129" s="143"/>
      <c r="CP129" s="143"/>
      <c r="CQ129" s="143"/>
      <c r="CR129" s="143"/>
      <c r="CS129" s="143"/>
      <c r="CT129" s="143"/>
      <c r="CU129" s="143"/>
      <c r="CV129" s="143"/>
      <c r="CW129" s="143"/>
      <c r="CX129" s="143"/>
      <c r="CY129" s="143"/>
      <c r="CZ129" s="143"/>
      <c r="DA129" s="143"/>
      <c r="DB129" s="143"/>
      <c r="DC129" s="143"/>
      <c r="DD129" s="143"/>
      <c r="DE129" s="143"/>
      <c r="DF129" s="143"/>
      <c r="DG129" s="143"/>
      <c r="DH129" s="143"/>
      <c r="DI129" s="143"/>
      <c r="DJ129" s="143"/>
      <c r="DK129" s="143"/>
      <c r="DL129" s="143"/>
      <c r="DM129" s="143"/>
      <c r="DN129" s="143"/>
      <c r="DO129" s="143"/>
      <c r="DP129" s="143"/>
      <c r="DQ129" s="143"/>
      <c r="DR129" s="143"/>
      <c r="DS129" s="143"/>
      <c r="DT129" s="143"/>
      <c r="DU129" s="143"/>
      <c r="DV129" s="143"/>
      <c r="DW129" s="143"/>
      <c r="DX129" s="143"/>
      <c r="DY129" s="143"/>
      <c r="DZ129" s="143"/>
      <c r="EA129" s="143"/>
      <c r="EB129" s="143"/>
      <c r="EC129" s="143"/>
      <c r="ED129" s="143"/>
      <c r="EE129" s="143"/>
      <c r="EF129" s="143"/>
      <c r="EG129" s="143"/>
      <c r="EH129" s="143"/>
      <c r="EI129" s="143"/>
      <c r="EJ129" s="143"/>
      <c r="EK129" s="70"/>
      <c r="EL129" s="70"/>
      <c r="EM129" s="70"/>
      <c r="EN129" s="70"/>
      <c r="EO129" s="70"/>
      <c r="EP129" s="70"/>
      <c r="EQ129" s="70"/>
      <c r="ER129" s="70"/>
      <c r="ES129" s="70"/>
      <c r="ET129" s="70"/>
      <c r="EU129" s="70"/>
      <c r="EV129" s="70"/>
      <c r="EW129" s="70"/>
      <c r="EX129" s="70"/>
      <c r="EY129" s="70"/>
      <c r="EZ129" s="70"/>
      <c r="FA129" s="70"/>
      <c r="FB129" s="70"/>
      <c r="FC129" s="70"/>
      <c r="FD129" s="70"/>
      <c r="FE129" s="70"/>
      <c r="FF129" s="70"/>
      <c r="FG129" s="70"/>
      <c r="FH129" s="70"/>
      <c r="FI129" s="70"/>
      <c r="FJ129" s="70"/>
      <c r="FK129" s="70"/>
      <c r="FL129" s="70"/>
      <c r="FM129" s="70"/>
      <c r="FN129" s="70"/>
      <c r="FO129" s="70"/>
      <c r="FP129" s="70"/>
      <c r="FQ129" s="70"/>
      <c r="FR129" s="70"/>
      <c r="FS129" s="70"/>
      <c r="FT129" s="70"/>
      <c r="FU129" s="70"/>
      <c r="FV129" s="70"/>
      <c r="FW129" s="70"/>
      <c r="FX129" s="70"/>
      <c r="FY129" s="70"/>
      <c r="FZ129" s="70"/>
      <c r="GA129" s="70"/>
      <c r="GB129" s="70"/>
      <c r="GC129" s="70"/>
      <c r="GD129" s="70"/>
      <c r="GE129" s="70"/>
      <c r="GF129" s="70"/>
      <c r="GG129" s="70"/>
      <c r="GH129" s="70"/>
      <c r="GI129" s="70"/>
      <c r="GJ129" s="70"/>
      <c r="GK129" s="70"/>
      <c r="GL129" s="70"/>
      <c r="GM129" s="70"/>
      <c r="GN129" s="70"/>
      <c r="GO129" s="70"/>
      <c r="GP129" s="70"/>
      <c r="GQ129" s="70"/>
      <c r="GR129" s="70"/>
      <c r="GS129" s="70"/>
      <c r="GT129" s="70"/>
      <c r="GU129" s="70"/>
      <c r="GV129" s="70"/>
      <c r="GW129" s="70"/>
      <c r="GX129" s="70"/>
      <c r="GY129" s="70"/>
      <c r="GZ129" s="70"/>
      <c r="HA129" s="70"/>
      <c r="HB129" s="70"/>
      <c r="HC129" s="70"/>
      <c r="HD129" s="70"/>
      <c r="HE129" s="70"/>
      <c r="HF129" s="70"/>
      <c r="HG129" s="70"/>
      <c r="HH129" s="70"/>
      <c r="HI129" s="70"/>
      <c r="HJ129" s="70"/>
      <c r="HK129" s="70"/>
      <c r="HL129" s="70"/>
      <c r="HM129" s="70"/>
      <c r="HN129" s="70"/>
      <c r="HO129" s="70"/>
      <c r="HP129" s="70"/>
      <c r="HQ129" s="70"/>
      <c r="HR129" s="70"/>
      <c r="HS129" s="70"/>
      <c r="HT129" s="70"/>
      <c r="HU129" s="70"/>
      <c r="HV129" s="143"/>
      <c r="HW129" s="143"/>
      <c r="HX129" s="143"/>
      <c r="HY129" s="143"/>
      <c r="HZ129" s="143"/>
      <c r="IA129" s="143"/>
      <c r="IB129" s="143"/>
      <c r="IC129" s="143"/>
      <c r="ID129" s="143"/>
      <c r="IE129" s="143"/>
      <c r="IF129" s="143"/>
      <c r="IG129" s="143"/>
      <c r="IH129" s="143"/>
      <c r="II129" s="143"/>
      <c r="IJ129" s="143"/>
      <c r="IK129" s="143"/>
      <c r="IL129" s="143"/>
      <c r="IM129" s="143"/>
      <c r="IN129" s="143"/>
      <c r="IO129" s="143"/>
      <c r="IP129" s="143"/>
      <c r="IQ129" s="143"/>
      <c r="IR129" s="143"/>
      <c r="IS129" s="143"/>
      <c r="IT129" s="143"/>
      <c r="IU129" s="143"/>
      <c r="IV129" s="143"/>
      <c r="IW129" s="143"/>
    </row>
    <row r="130" customFormat="false" ht="13.5" hidden="false" customHeight="true" outlineLevel="0" collapsed="false">
      <c r="A130" s="41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145"/>
      <c r="S130" s="1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  <c r="AL130" s="45"/>
      <c r="AM130" s="45"/>
      <c r="AN130" s="45"/>
      <c r="AO130" s="45"/>
      <c r="AP130" s="45"/>
      <c r="AQ130" s="45"/>
      <c r="AR130" s="45"/>
      <c r="AS130" s="45"/>
      <c r="AT130" s="45"/>
      <c r="AU130" s="45"/>
      <c r="AV130" s="45"/>
      <c r="AW130" s="45"/>
      <c r="AX130" s="45"/>
      <c r="AY130" s="45"/>
      <c r="AZ130" s="45"/>
      <c r="BA130" s="45"/>
      <c r="BB130" s="45"/>
      <c r="BC130" s="45"/>
      <c r="BD130" s="45"/>
      <c r="BE130" s="45"/>
      <c r="BF130" s="45"/>
      <c r="BG130" s="45"/>
      <c r="BH130" s="45"/>
      <c r="BI130" s="45"/>
      <c r="BJ130" s="45"/>
      <c r="BK130" s="45"/>
      <c r="BL130" s="45"/>
      <c r="BM130" s="45"/>
      <c r="BN130" s="45"/>
      <c r="BO130" s="45"/>
      <c r="BP130" s="45"/>
      <c r="BQ130" s="45"/>
      <c r="BR130" s="45"/>
      <c r="BS130" s="45"/>
      <c r="BT130" s="45"/>
      <c r="BU130" s="45"/>
      <c r="BV130" s="45"/>
      <c r="BW130" s="45"/>
      <c r="BX130" s="45"/>
      <c r="BY130" s="45"/>
      <c r="BZ130" s="45"/>
      <c r="CA130" s="45"/>
      <c r="CB130" s="45"/>
      <c r="CC130" s="45"/>
      <c r="CD130" s="45"/>
      <c r="CE130" s="45"/>
      <c r="CF130" s="45"/>
      <c r="CG130" s="45"/>
      <c r="CH130" s="45"/>
      <c r="CI130" s="45"/>
      <c r="CJ130" s="45"/>
      <c r="CK130" s="45"/>
      <c r="CL130" s="45"/>
      <c r="CM130" s="45"/>
      <c r="CN130" s="45"/>
      <c r="CO130" s="45"/>
      <c r="CP130" s="45"/>
      <c r="CQ130" s="45"/>
      <c r="CR130" s="45"/>
      <c r="CS130" s="45"/>
      <c r="CT130" s="45"/>
      <c r="CU130" s="45"/>
      <c r="CV130" s="45"/>
      <c r="CW130" s="45"/>
      <c r="CX130" s="45"/>
      <c r="CY130" s="45"/>
      <c r="CZ130" s="45"/>
      <c r="DA130" s="45"/>
      <c r="DB130" s="45"/>
      <c r="DC130" s="45"/>
      <c r="DD130" s="45"/>
      <c r="DE130" s="45"/>
      <c r="DF130" s="45"/>
      <c r="DG130" s="45"/>
      <c r="DH130" s="45"/>
      <c r="DI130" s="45"/>
      <c r="DJ130" s="45"/>
      <c r="DK130" s="45"/>
      <c r="DL130" s="45"/>
      <c r="DM130" s="45"/>
      <c r="DN130" s="45"/>
      <c r="DO130" s="45"/>
      <c r="DP130" s="45"/>
      <c r="DQ130" s="45"/>
      <c r="DR130" s="45"/>
      <c r="DS130" s="45"/>
      <c r="DT130" s="45"/>
      <c r="DU130" s="45"/>
      <c r="DV130" s="45"/>
      <c r="DW130" s="45"/>
      <c r="DX130" s="45"/>
      <c r="DY130" s="45"/>
      <c r="DZ130" s="45"/>
      <c r="EA130" s="45"/>
      <c r="EB130" s="45"/>
      <c r="EC130" s="45"/>
      <c r="ED130" s="45"/>
      <c r="EE130" s="45"/>
      <c r="EF130" s="45"/>
      <c r="EG130" s="45"/>
      <c r="EH130" s="45"/>
      <c r="EI130" s="45"/>
      <c r="EJ130" s="45"/>
      <c r="EK130" s="70"/>
      <c r="EL130" s="70"/>
      <c r="EM130" s="70"/>
      <c r="EN130" s="70"/>
      <c r="EO130" s="70"/>
      <c r="EP130" s="70"/>
      <c r="EQ130" s="70"/>
      <c r="ER130" s="70"/>
      <c r="ES130" s="70"/>
      <c r="ET130" s="70"/>
      <c r="EU130" s="70"/>
      <c r="EV130" s="70"/>
      <c r="EW130" s="70"/>
      <c r="EX130" s="70"/>
      <c r="EY130" s="70"/>
      <c r="EZ130" s="70"/>
      <c r="FA130" s="70"/>
      <c r="FB130" s="70"/>
      <c r="FC130" s="70"/>
      <c r="FD130" s="70"/>
      <c r="FE130" s="70"/>
      <c r="FF130" s="70"/>
      <c r="FG130" s="70"/>
      <c r="FH130" s="70"/>
      <c r="FI130" s="70"/>
      <c r="FJ130" s="70"/>
      <c r="FK130" s="70"/>
      <c r="FL130" s="70"/>
      <c r="FM130" s="70"/>
      <c r="FN130" s="70"/>
      <c r="FO130" s="70"/>
      <c r="FP130" s="70"/>
      <c r="FQ130" s="70"/>
      <c r="FR130" s="70"/>
      <c r="FS130" s="70"/>
      <c r="FT130" s="70"/>
      <c r="FU130" s="70"/>
      <c r="FV130" s="70"/>
      <c r="FW130" s="70"/>
      <c r="FX130" s="70"/>
      <c r="FY130" s="70"/>
      <c r="FZ130" s="70"/>
      <c r="GA130" s="70"/>
      <c r="GB130" s="70"/>
      <c r="GC130" s="70"/>
      <c r="GD130" s="70"/>
      <c r="GE130" s="70"/>
      <c r="GF130" s="70"/>
      <c r="GG130" s="70"/>
      <c r="GH130" s="70"/>
      <c r="GI130" s="70"/>
      <c r="GJ130" s="70"/>
      <c r="GK130" s="70"/>
      <c r="GL130" s="70"/>
      <c r="GM130" s="70"/>
      <c r="GN130" s="70"/>
      <c r="GO130" s="70"/>
      <c r="GP130" s="70"/>
      <c r="GQ130" s="70"/>
      <c r="GR130" s="70"/>
      <c r="GS130" s="70"/>
      <c r="GT130" s="70"/>
      <c r="GU130" s="70"/>
      <c r="GV130" s="70"/>
      <c r="GW130" s="70"/>
      <c r="GX130" s="70"/>
      <c r="GY130" s="70"/>
      <c r="GZ130" s="70"/>
      <c r="HA130" s="70"/>
      <c r="HB130" s="70"/>
      <c r="HC130" s="70"/>
      <c r="HD130" s="70"/>
      <c r="HE130" s="70"/>
      <c r="HF130" s="70"/>
      <c r="HG130" s="70"/>
      <c r="HH130" s="70"/>
      <c r="HI130" s="70"/>
      <c r="HJ130" s="70"/>
      <c r="HK130" s="70"/>
      <c r="HL130" s="70"/>
      <c r="HM130" s="70"/>
      <c r="HN130" s="70"/>
      <c r="HO130" s="70"/>
      <c r="HP130" s="70"/>
      <c r="HQ130" s="70"/>
      <c r="HR130" s="70"/>
      <c r="HS130" s="70"/>
      <c r="HT130" s="70"/>
      <c r="HU130" s="70"/>
      <c r="HV130" s="45"/>
      <c r="HW130" s="45"/>
      <c r="HX130" s="45"/>
      <c r="HY130" s="45"/>
      <c r="HZ130" s="45"/>
      <c r="IA130" s="45"/>
      <c r="IB130" s="45"/>
      <c r="IC130" s="45"/>
      <c r="ID130" s="45"/>
      <c r="IE130" s="45"/>
      <c r="IF130" s="45"/>
      <c r="IG130" s="45"/>
      <c r="IH130" s="45"/>
      <c r="II130" s="45"/>
      <c r="IJ130" s="45"/>
      <c r="IK130" s="45"/>
      <c r="IL130" s="45"/>
      <c r="IM130" s="45"/>
      <c r="IN130" s="45"/>
      <c r="IO130" s="45"/>
      <c r="IP130" s="45"/>
      <c r="IQ130" s="45"/>
      <c r="IR130" s="45"/>
      <c r="IS130" s="45"/>
      <c r="IT130" s="45"/>
      <c r="IU130" s="45"/>
      <c r="IV130" s="45"/>
      <c r="IW130" s="45"/>
    </row>
    <row r="131" customFormat="false" ht="13.5" hidden="false" customHeight="true" outlineLevel="0" collapsed="false">
      <c r="A131" s="146"/>
      <c r="B131" s="147" t="s">
        <v>5953</v>
      </c>
      <c r="C131" s="106"/>
      <c r="D131" s="53"/>
      <c r="E131" s="53"/>
      <c r="F131" s="148"/>
      <c r="G131" s="148"/>
      <c r="H131" s="148"/>
      <c r="I131" s="148"/>
      <c r="J131" s="148"/>
      <c r="K131" s="148"/>
      <c r="L131" s="148"/>
      <c r="M131" s="148"/>
      <c r="N131" s="148"/>
      <c r="O131" s="148"/>
      <c r="P131" s="148"/>
      <c r="Q131" s="148"/>
      <c r="R131" s="149" t="s">
        <v>6236</v>
      </c>
      <c r="S131" s="148"/>
      <c r="T131" s="148"/>
      <c r="U131" s="148"/>
      <c r="V131" s="148"/>
      <c r="W131" s="148"/>
      <c r="X131" s="148"/>
      <c r="Y131" s="148"/>
      <c r="Z131" s="148"/>
      <c r="AA131" s="148"/>
      <c r="AB131" s="148"/>
      <c r="AC131" s="148"/>
      <c r="AD131" s="148"/>
      <c r="AE131" s="148"/>
      <c r="AF131" s="148"/>
      <c r="AG131" s="106"/>
      <c r="AH131" s="148"/>
      <c r="AI131" s="148"/>
      <c r="AJ131" s="148"/>
      <c r="AK131" s="148"/>
      <c r="AL131" s="148"/>
      <c r="AM131" s="148"/>
      <c r="AN131" s="148"/>
      <c r="AO131" s="148"/>
      <c r="AP131" s="148"/>
      <c r="AQ131" s="148"/>
      <c r="AR131" s="148"/>
      <c r="AS131" s="148"/>
      <c r="AT131" s="106"/>
      <c r="AU131" s="148"/>
      <c r="AV131" s="148"/>
      <c r="AW131" s="148"/>
      <c r="AX131" s="148"/>
      <c r="AY131" s="148"/>
      <c r="AZ131" s="148"/>
      <c r="BA131" s="148"/>
      <c r="BB131" s="148"/>
      <c r="BC131" s="148"/>
      <c r="BD131" s="148"/>
      <c r="BE131" s="148"/>
      <c r="BF131" s="148"/>
      <c r="BG131" s="148"/>
      <c r="BH131" s="148"/>
      <c r="BI131" s="148"/>
      <c r="BJ131" s="148"/>
      <c r="BK131" s="148"/>
      <c r="BL131" s="148"/>
      <c r="BM131" s="106" t="s">
        <v>6237</v>
      </c>
      <c r="BN131" s="148"/>
      <c r="BO131" s="148"/>
      <c r="BP131" s="148"/>
      <c r="BQ131" s="148"/>
      <c r="BR131" s="148"/>
      <c r="BS131" s="148"/>
      <c r="BT131" s="148"/>
      <c r="BU131" s="148"/>
      <c r="BV131" s="148"/>
      <c r="BW131" s="148"/>
      <c r="BX131" s="148"/>
      <c r="BY131" s="148"/>
      <c r="BZ131" s="148"/>
      <c r="CA131" s="148"/>
      <c r="CB131" s="148"/>
      <c r="CC131" s="148"/>
      <c r="CD131" s="148"/>
      <c r="CE131" s="148"/>
      <c r="CF131" s="148"/>
      <c r="CG131" s="148"/>
      <c r="CH131" s="148"/>
      <c r="CI131" s="148"/>
      <c r="CJ131" s="148"/>
      <c r="CK131" s="148"/>
      <c r="CL131" s="148"/>
      <c r="CM131" s="148"/>
      <c r="CN131" s="148"/>
      <c r="CO131" s="148"/>
      <c r="CP131" s="148"/>
      <c r="CQ131" s="148"/>
      <c r="CR131" s="148"/>
      <c r="CS131" s="148"/>
      <c r="CT131" s="148"/>
      <c r="CU131" s="148"/>
      <c r="CV131" s="148"/>
      <c r="CW131" s="148"/>
      <c r="CX131" s="148"/>
      <c r="CY131" s="148"/>
      <c r="CZ131" s="148"/>
      <c r="DA131" s="148"/>
      <c r="DB131" s="148"/>
      <c r="DC131" s="148"/>
      <c r="DD131" s="148"/>
      <c r="DE131" s="148"/>
      <c r="DF131" s="148"/>
      <c r="DG131" s="148"/>
      <c r="DH131" s="148"/>
      <c r="DI131" s="148"/>
      <c r="DJ131" s="148"/>
      <c r="DK131" s="148"/>
      <c r="DL131" s="148"/>
      <c r="DM131" s="148"/>
      <c r="DN131" s="148"/>
      <c r="DO131" s="148"/>
      <c r="DP131" s="148"/>
      <c r="DQ131" s="148"/>
      <c r="DR131" s="148"/>
      <c r="DS131" s="148"/>
      <c r="DT131" s="148"/>
      <c r="DU131" s="148"/>
      <c r="DV131" s="148"/>
      <c r="DW131" s="148"/>
      <c r="DX131" s="148"/>
      <c r="DY131" s="148"/>
      <c r="DZ131" s="148"/>
      <c r="EA131" s="148"/>
      <c r="EB131" s="148"/>
      <c r="EC131" s="148"/>
      <c r="ED131" s="148"/>
      <c r="EE131" s="148"/>
      <c r="EF131" s="148"/>
      <c r="EG131" s="148"/>
      <c r="EH131" s="148"/>
      <c r="EI131" s="148"/>
      <c r="EJ131" s="148"/>
      <c r="EK131" s="70"/>
      <c r="EL131" s="70"/>
      <c r="EM131" s="70"/>
      <c r="EN131" s="70"/>
      <c r="EO131" s="70"/>
      <c r="EP131" s="70"/>
      <c r="EQ131" s="70"/>
      <c r="ER131" s="70"/>
      <c r="ES131" s="70"/>
      <c r="ET131" s="70"/>
      <c r="EU131" s="70"/>
      <c r="EV131" s="70"/>
      <c r="EW131" s="70"/>
      <c r="EX131" s="70"/>
      <c r="EY131" s="70"/>
      <c r="EZ131" s="70"/>
      <c r="FA131" s="70"/>
      <c r="FB131" s="70"/>
      <c r="FC131" s="70"/>
      <c r="FD131" s="70"/>
      <c r="FE131" s="70"/>
      <c r="FF131" s="70"/>
      <c r="FG131" s="70"/>
      <c r="FH131" s="70"/>
      <c r="FI131" s="70"/>
      <c r="FJ131" s="70"/>
      <c r="FK131" s="70"/>
      <c r="FL131" s="70"/>
      <c r="FM131" s="70"/>
      <c r="FN131" s="70"/>
      <c r="FO131" s="70"/>
      <c r="FP131" s="70"/>
      <c r="FQ131" s="70"/>
      <c r="FR131" s="70"/>
      <c r="FS131" s="70"/>
      <c r="FT131" s="70"/>
      <c r="FU131" s="70"/>
      <c r="FV131" s="70"/>
      <c r="FW131" s="70"/>
      <c r="FX131" s="70"/>
      <c r="FY131" s="70"/>
      <c r="FZ131" s="70"/>
      <c r="GA131" s="70"/>
      <c r="GB131" s="70"/>
      <c r="GC131" s="70"/>
      <c r="GD131" s="70"/>
      <c r="GE131" s="70"/>
      <c r="GF131" s="70"/>
      <c r="GG131" s="70"/>
      <c r="GH131" s="70"/>
      <c r="GI131" s="70"/>
      <c r="GJ131" s="70"/>
      <c r="GK131" s="70"/>
      <c r="GL131" s="70"/>
      <c r="GM131" s="70"/>
      <c r="GN131" s="70"/>
      <c r="GO131" s="70"/>
      <c r="GP131" s="70"/>
      <c r="GQ131" s="70"/>
      <c r="GR131" s="70"/>
      <c r="GS131" s="70"/>
      <c r="GT131" s="70"/>
      <c r="GU131" s="70"/>
      <c r="GV131" s="70"/>
      <c r="GW131" s="70"/>
      <c r="GX131" s="70"/>
      <c r="GY131" s="70"/>
      <c r="GZ131" s="70"/>
      <c r="HA131" s="70"/>
      <c r="HB131" s="70"/>
      <c r="HC131" s="70"/>
      <c r="HD131" s="70"/>
      <c r="HE131" s="70"/>
      <c r="HF131" s="70"/>
      <c r="HG131" s="70"/>
      <c r="HH131" s="70"/>
      <c r="HI131" s="70"/>
      <c r="HJ131" s="70"/>
      <c r="HK131" s="70"/>
      <c r="HL131" s="70"/>
      <c r="HM131" s="70"/>
      <c r="HN131" s="70"/>
      <c r="HO131" s="70"/>
      <c r="HP131" s="70"/>
      <c r="HQ131" s="70"/>
      <c r="HR131" s="70"/>
      <c r="HS131" s="70"/>
      <c r="HT131" s="70"/>
      <c r="HU131" s="70"/>
      <c r="HV131" s="148"/>
      <c r="HW131" s="148"/>
      <c r="HX131" s="148"/>
      <c r="HY131" s="148"/>
      <c r="HZ131" s="148"/>
      <c r="IA131" s="148"/>
      <c r="IB131" s="148"/>
      <c r="IC131" s="148"/>
      <c r="ID131" s="148"/>
      <c r="IE131" s="148"/>
      <c r="IF131" s="148"/>
      <c r="IG131" s="148"/>
      <c r="IH131" s="148"/>
      <c r="II131" s="148"/>
      <c r="IJ131" s="148"/>
      <c r="IK131" s="148"/>
      <c r="IL131" s="148"/>
      <c r="IM131" s="148"/>
      <c r="IN131" s="148"/>
      <c r="IO131" s="148"/>
      <c r="IP131" s="148"/>
      <c r="IQ131" s="148"/>
      <c r="IR131" s="148"/>
      <c r="IS131" s="148"/>
      <c r="IT131" s="148"/>
      <c r="IU131" s="148"/>
      <c r="IV131" s="148"/>
      <c r="IW131" s="148"/>
    </row>
    <row r="132" customFormat="false" ht="13.5" hidden="false" customHeight="true" outlineLevel="0" collapsed="false">
      <c r="A132" s="52" t="s">
        <v>5960</v>
      </c>
      <c r="B132" s="150" t="n">
        <v>5</v>
      </c>
      <c r="C132" s="150"/>
      <c r="D132" s="150"/>
      <c r="E132" s="150"/>
      <c r="F132" s="150"/>
      <c r="G132" s="150"/>
      <c r="H132" s="150"/>
      <c r="I132" s="150"/>
      <c r="J132" s="150"/>
      <c r="K132" s="150"/>
      <c r="L132" s="150"/>
      <c r="M132" s="150"/>
      <c r="N132" s="150"/>
      <c r="O132" s="150"/>
      <c r="P132" s="150"/>
      <c r="Q132" s="150"/>
      <c r="R132" s="150"/>
      <c r="S132" s="150"/>
      <c r="T132" s="150"/>
      <c r="U132" s="150"/>
      <c r="V132" s="150"/>
      <c r="W132" s="150"/>
      <c r="X132" s="150"/>
      <c r="Y132" s="150"/>
      <c r="Z132" s="150"/>
      <c r="AA132" s="150"/>
      <c r="AB132" s="150"/>
      <c r="AC132" s="150"/>
      <c r="AD132" s="150"/>
      <c r="AE132" s="150"/>
      <c r="AF132" s="150"/>
      <c r="AG132" s="150"/>
      <c r="AH132" s="150"/>
      <c r="AI132" s="150"/>
      <c r="AJ132" s="150"/>
      <c r="AK132" s="150"/>
      <c r="AL132" s="150"/>
      <c r="AM132" s="150"/>
      <c r="AN132" s="150"/>
      <c r="AO132" s="150"/>
      <c r="AP132" s="150"/>
      <c r="AQ132" s="150"/>
      <c r="AR132" s="150"/>
      <c r="AS132" s="150"/>
      <c r="AT132" s="150"/>
      <c r="AU132" s="150"/>
      <c r="AV132" s="150"/>
      <c r="AW132" s="150"/>
      <c r="AX132" s="150"/>
      <c r="AY132" s="150"/>
      <c r="AZ132" s="150"/>
      <c r="BA132" s="150"/>
      <c r="BB132" s="150"/>
      <c r="BC132" s="150"/>
      <c r="BD132" s="150"/>
      <c r="BE132" s="150"/>
      <c r="BF132" s="150"/>
      <c r="BG132" s="150"/>
      <c r="BH132" s="150"/>
      <c r="BI132" s="150"/>
      <c r="BJ132" s="150"/>
      <c r="BK132" s="150"/>
      <c r="BL132" s="150"/>
      <c r="BM132" s="150"/>
      <c r="BN132" s="150"/>
      <c r="BO132" s="150"/>
      <c r="BP132" s="150"/>
      <c r="BQ132" s="150"/>
      <c r="BR132" s="150"/>
      <c r="BS132" s="150"/>
      <c r="BT132" s="150"/>
      <c r="BU132" s="150"/>
      <c r="BV132" s="150"/>
      <c r="BW132" s="150"/>
      <c r="BX132" s="150"/>
      <c r="BY132" s="150"/>
      <c r="BZ132" s="150"/>
      <c r="CA132" s="150"/>
      <c r="CB132" s="150"/>
      <c r="CC132" s="150"/>
      <c r="CD132" s="150"/>
      <c r="CE132" s="150"/>
      <c r="CF132" s="150"/>
      <c r="CG132" s="150"/>
      <c r="CH132" s="150"/>
      <c r="CI132" s="150"/>
      <c r="CJ132" s="150"/>
      <c r="CK132" s="150"/>
      <c r="CL132" s="150"/>
      <c r="CM132" s="150"/>
      <c r="CN132" s="150"/>
      <c r="CO132" s="150"/>
      <c r="CP132" s="150"/>
      <c r="CQ132" s="150"/>
      <c r="CR132" s="150"/>
      <c r="CS132" s="150"/>
      <c r="CT132" s="150"/>
      <c r="CU132" s="150"/>
      <c r="CV132" s="150"/>
      <c r="CW132" s="150"/>
      <c r="CX132" s="150"/>
      <c r="CY132" s="150"/>
      <c r="CZ132" s="150"/>
      <c r="DA132" s="150"/>
      <c r="DB132" s="150"/>
      <c r="DC132" s="150"/>
      <c r="DD132" s="150"/>
      <c r="DE132" s="150"/>
      <c r="DF132" s="150"/>
      <c r="DG132" s="150"/>
      <c r="DH132" s="150"/>
      <c r="DI132" s="150"/>
      <c r="DJ132" s="150"/>
      <c r="DK132" s="150"/>
      <c r="DL132" s="150"/>
      <c r="DM132" s="150"/>
      <c r="DN132" s="150"/>
      <c r="DO132" s="150"/>
      <c r="DP132" s="150"/>
      <c r="DQ132" s="150"/>
      <c r="DR132" s="150"/>
      <c r="DS132" s="150"/>
      <c r="DT132" s="150"/>
      <c r="DU132" s="150"/>
      <c r="DV132" s="150"/>
      <c r="DW132" s="150"/>
      <c r="DX132" s="150"/>
      <c r="DY132" s="150"/>
      <c r="DZ132" s="150"/>
      <c r="EA132" s="150"/>
      <c r="EB132" s="150"/>
      <c r="EC132" s="150"/>
      <c r="ED132" s="150"/>
      <c r="EE132" s="150"/>
      <c r="EF132" s="150"/>
      <c r="EG132" s="150"/>
      <c r="EH132" s="150"/>
      <c r="EI132" s="150"/>
      <c r="EJ132" s="150"/>
      <c r="EK132" s="70"/>
      <c r="EL132" s="70"/>
      <c r="EM132" s="70"/>
      <c r="EN132" s="70"/>
      <c r="EO132" s="70"/>
      <c r="EP132" s="70"/>
      <c r="EQ132" s="70"/>
      <c r="ER132" s="70"/>
      <c r="ES132" s="70"/>
      <c r="ET132" s="70"/>
      <c r="EU132" s="70"/>
      <c r="EV132" s="70"/>
      <c r="EW132" s="70"/>
      <c r="EX132" s="70"/>
      <c r="EY132" s="70"/>
      <c r="EZ132" s="70"/>
      <c r="FA132" s="70"/>
      <c r="FB132" s="70"/>
      <c r="FC132" s="70"/>
      <c r="FD132" s="70"/>
      <c r="FE132" s="70"/>
      <c r="FF132" s="70"/>
      <c r="FG132" s="70"/>
      <c r="FH132" s="70"/>
      <c r="FI132" s="70"/>
      <c r="FJ132" s="70"/>
      <c r="FK132" s="70"/>
      <c r="FL132" s="70"/>
      <c r="FM132" s="70"/>
      <c r="FN132" s="70"/>
      <c r="FO132" s="70"/>
      <c r="FP132" s="70"/>
      <c r="FQ132" s="70"/>
      <c r="FR132" s="70"/>
      <c r="FS132" s="70"/>
      <c r="FT132" s="70"/>
      <c r="FU132" s="70"/>
      <c r="FV132" s="70"/>
      <c r="FW132" s="70"/>
      <c r="FX132" s="70"/>
      <c r="FY132" s="70"/>
      <c r="FZ132" s="70"/>
      <c r="GA132" s="70"/>
      <c r="GB132" s="70"/>
      <c r="GC132" s="70"/>
      <c r="GD132" s="70"/>
      <c r="GE132" s="70"/>
      <c r="GF132" s="70"/>
      <c r="GG132" s="70"/>
      <c r="GH132" s="70"/>
      <c r="GI132" s="70"/>
      <c r="GJ132" s="70"/>
      <c r="GK132" s="70"/>
      <c r="GL132" s="70"/>
      <c r="GM132" s="70"/>
      <c r="GN132" s="70"/>
      <c r="GO132" s="70"/>
      <c r="GP132" s="70"/>
      <c r="GQ132" s="70"/>
      <c r="GR132" s="70"/>
      <c r="GS132" s="70"/>
      <c r="GT132" s="70"/>
      <c r="GU132" s="70"/>
      <c r="GV132" s="70"/>
      <c r="GW132" s="70"/>
      <c r="GX132" s="70"/>
      <c r="GY132" s="70"/>
      <c r="GZ132" s="70"/>
      <c r="HA132" s="70"/>
      <c r="HB132" s="70"/>
      <c r="HC132" s="70"/>
      <c r="HD132" s="70"/>
      <c r="HE132" s="70"/>
      <c r="HF132" s="70"/>
      <c r="HG132" s="70"/>
      <c r="HH132" s="70"/>
      <c r="HI132" s="70"/>
      <c r="HJ132" s="70"/>
      <c r="HK132" s="70"/>
      <c r="HL132" s="70"/>
      <c r="HM132" s="70"/>
      <c r="HN132" s="70"/>
      <c r="HO132" s="70"/>
      <c r="HP132" s="70"/>
      <c r="HQ132" s="70"/>
      <c r="HR132" s="70"/>
      <c r="HS132" s="70"/>
      <c r="HT132" s="70"/>
      <c r="HU132" s="70"/>
      <c r="HV132" s="150"/>
      <c r="HW132" s="150"/>
      <c r="HX132" s="150"/>
      <c r="HY132" s="150"/>
      <c r="HZ132" s="150"/>
      <c r="IA132" s="150"/>
      <c r="IB132" s="150"/>
      <c r="IC132" s="150"/>
      <c r="ID132" s="150"/>
      <c r="IE132" s="150"/>
      <c r="IF132" s="150"/>
      <c r="IG132" s="150"/>
      <c r="IH132" s="150"/>
      <c r="II132" s="150"/>
      <c r="IJ132" s="150"/>
      <c r="IK132" s="150"/>
      <c r="IL132" s="150"/>
      <c r="IM132" s="150"/>
      <c r="IN132" s="150"/>
      <c r="IO132" s="150"/>
      <c r="IP132" s="150"/>
      <c r="IQ132" s="150"/>
      <c r="IR132" s="150"/>
      <c r="IS132" s="150"/>
      <c r="IT132" s="150"/>
      <c r="IU132" s="150"/>
      <c r="IV132" s="150"/>
      <c r="IW132" s="150"/>
    </row>
    <row r="133" customFormat="false" ht="13.5" hidden="false" customHeight="true" outlineLevel="0" collapsed="false">
      <c r="A133" s="151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  <c r="AA133" s="152"/>
      <c r="AB133" s="152"/>
      <c r="AC133" s="152"/>
      <c r="AD133" s="152"/>
      <c r="AE133" s="152"/>
      <c r="AF133" s="152"/>
      <c r="AG133" s="152"/>
      <c r="AH133" s="152"/>
      <c r="AI133" s="152"/>
      <c r="AJ133" s="152"/>
      <c r="AK133" s="152"/>
      <c r="AL133" s="152"/>
      <c r="AM133" s="152"/>
    </row>
    <row r="134" customFormat="false" ht="13.5" hidden="false" customHeight="true" outlineLevel="0" collapsed="false">
      <c r="A134" s="85" t="s">
        <v>6238</v>
      </c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 t="s">
        <v>6239</v>
      </c>
      <c r="Q134" s="30" t="s">
        <v>6208</v>
      </c>
      <c r="R134" s="30"/>
      <c r="S134" s="30" t="s">
        <v>6130</v>
      </c>
      <c r="T134" s="30"/>
      <c r="U134" s="30"/>
      <c r="V134" s="30"/>
      <c r="W134" s="30" t="s">
        <v>6240</v>
      </c>
      <c r="X134" s="30"/>
      <c r="Y134" s="30" t="s">
        <v>6240</v>
      </c>
      <c r="Z134" s="30" t="s">
        <v>5947</v>
      </c>
      <c r="AA134" s="30"/>
      <c r="AB134" s="30"/>
      <c r="AC134" s="30"/>
      <c r="AD134" s="30" t="s">
        <v>6130</v>
      </c>
      <c r="AE134" s="30" t="s">
        <v>5947</v>
      </c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 t="s">
        <v>5947</v>
      </c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30"/>
      <c r="BI134" s="30"/>
      <c r="BJ134" s="30"/>
      <c r="BK134" s="30"/>
      <c r="BL134" s="30"/>
      <c r="BM134" s="30"/>
      <c r="BN134" s="30"/>
      <c r="BO134" s="30"/>
      <c r="BP134" s="30"/>
      <c r="BQ134" s="30"/>
      <c r="BR134" s="30"/>
      <c r="BS134" s="30"/>
      <c r="BT134" s="30"/>
      <c r="BU134" s="30"/>
      <c r="BV134" s="30"/>
      <c r="BW134" s="30"/>
      <c r="BX134" s="30"/>
      <c r="BY134" s="30"/>
      <c r="BZ134" s="30"/>
      <c r="CA134" s="30"/>
      <c r="CB134" s="30"/>
      <c r="CC134" s="30"/>
      <c r="CD134" s="30"/>
      <c r="CE134" s="30"/>
      <c r="CF134" s="30"/>
      <c r="CG134" s="30"/>
      <c r="CH134" s="30" t="s">
        <v>6241</v>
      </c>
      <c r="CI134" s="30"/>
      <c r="CJ134" s="30" t="s">
        <v>6241</v>
      </c>
      <c r="CK134" s="30"/>
      <c r="CL134" s="30"/>
      <c r="CM134" s="30"/>
      <c r="CN134" s="30"/>
      <c r="CO134" s="30"/>
      <c r="CP134" s="30"/>
      <c r="CQ134" s="30"/>
      <c r="CR134" s="30"/>
      <c r="CS134" s="30"/>
      <c r="CT134" s="30"/>
      <c r="CU134" s="30"/>
      <c r="CV134" s="30"/>
      <c r="CW134" s="30"/>
      <c r="CX134" s="30"/>
      <c r="CY134" s="30"/>
      <c r="CZ134" s="30"/>
      <c r="DA134" s="30"/>
      <c r="DB134" s="30"/>
      <c r="DC134" s="30"/>
      <c r="DD134" s="30"/>
      <c r="DE134" s="30"/>
      <c r="DF134" s="30"/>
      <c r="DG134" s="30"/>
      <c r="DH134" s="30"/>
      <c r="DI134" s="30"/>
      <c r="DJ134" s="30"/>
      <c r="DK134" s="30"/>
      <c r="DL134" s="30"/>
      <c r="DM134" s="30"/>
      <c r="DN134" s="30"/>
      <c r="DO134" s="30"/>
      <c r="DP134" s="30"/>
      <c r="DQ134" s="30"/>
      <c r="DR134" s="30"/>
      <c r="DS134" s="30"/>
      <c r="DT134" s="30"/>
      <c r="DU134" s="30"/>
      <c r="DV134" s="30"/>
      <c r="DW134" s="30"/>
      <c r="DX134" s="30"/>
      <c r="DY134" s="30"/>
      <c r="DZ134" s="30"/>
      <c r="EA134" s="30"/>
      <c r="EB134" s="30"/>
      <c r="EC134" s="30"/>
      <c r="ED134" s="30"/>
      <c r="EE134" s="30"/>
      <c r="EF134" s="30"/>
      <c r="EG134" s="30"/>
      <c r="EH134" s="30"/>
      <c r="EI134" s="30"/>
      <c r="EJ134" s="30"/>
      <c r="EK134" s="30"/>
      <c r="EL134" s="30"/>
      <c r="EM134" s="30"/>
      <c r="EN134" s="30"/>
      <c r="EO134" s="30"/>
      <c r="EP134" s="30"/>
      <c r="EQ134" s="30"/>
      <c r="ER134" s="30"/>
      <c r="ES134" s="30"/>
      <c r="ET134" s="30"/>
      <c r="EU134" s="30"/>
      <c r="EV134" s="30"/>
      <c r="EW134" s="30"/>
      <c r="EX134" s="30"/>
      <c r="EY134" s="30"/>
      <c r="EZ134" s="30"/>
      <c r="FA134" s="30"/>
      <c r="FB134" s="30"/>
      <c r="FC134" s="30"/>
      <c r="FD134" s="30"/>
      <c r="FE134" s="30"/>
      <c r="FF134" s="30"/>
      <c r="FG134" s="30"/>
      <c r="FH134" s="30"/>
      <c r="FI134" s="30"/>
      <c r="FJ134" s="30"/>
      <c r="FK134" s="30"/>
      <c r="FL134" s="30"/>
      <c r="FM134" s="30"/>
      <c r="FN134" s="30"/>
      <c r="FO134" s="30"/>
      <c r="FP134" s="30"/>
      <c r="FQ134" s="30"/>
      <c r="FR134" s="30"/>
      <c r="FS134" s="30"/>
      <c r="FT134" s="30"/>
      <c r="FU134" s="30"/>
      <c r="FV134" s="30"/>
      <c r="FW134" s="30"/>
      <c r="FX134" s="30"/>
      <c r="FY134" s="30"/>
      <c r="FZ134" s="30"/>
      <c r="GA134" s="30"/>
      <c r="GB134" s="30"/>
      <c r="GC134" s="30"/>
      <c r="GD134" s="30"/>
      <c r="GE134" s="30"/>
      <c r="GF134" s="30"/>
      <c r="GG134" s="30"/>
      <c r="GH134" s="30"/>
      <c r="GI134" s="30"/>
      <c r="GJ134" s="30"/>
      <c r="GK134" s="30"/>
      <c r="GL134" s="30"/>
      <c r="GM134" s="30"/>
      <c r="GN134" s="30"/>
      <c r="GO134" s="30"/>
      <c r="GP134" s="30"/>
      <c r="GQ134" s="30"/>
      <c r="GR134" s="30"/>
      <c r="GS134" s="30"/>
      <c r="GT134" s="30"/>
      <c r="GU134" s="30"/>
      <c r="GV134" s="30"/>
      <c r="GW134" s="30"/>
      <c r="GX134" s="30"/>
      <c r="GY134" s="30"/>
      <c r="GZ134" s="30"/>
      <c r="HA134" s="30"/>
      <c r="HB134" s="30"/>
      <c r="HC134" s="30"/>
      <c r="HD134" s="30"/>
      <c r="HE134" s="30"/>
      <c r="HF134" s="30"/>
      <c r="HG134" s="30"/>
      <c r="HH134" s="30"/>
      <c r="HI134" s="30"/>
      <c r="HJ134" s="30"/>
      <c r="HK134" s="30"/>
      <c r="HL134" s="30"/>
      <c r="HM134" s="30"/>
      <c r="HN134" s="30"/>
      <c r="HO134" s="30"/>
      <c r="HP134" s="30"/>
      <c r="HQ134" s="30"/>
      <c r="HR134" s="30"/>
      <c r="HS134" s="30"/>
      <c r="HT134" s="30"/>
      <c r="HU134" s="30"/>
      <c r="HV134" s="30"/>
      <c r="HW134" s="30"/>
      <c r="HX134" s="30"/>
      <c r="HY134" s="30"/>
      <c r="HZ134" s="30"/>
      <c r="IA134" s="30"/>
      <c r="IB134" s="30"/>
      <c r="IC134" s="30"/>
      <c r="ID134" s="30"/>
      <c r="IE134" s="30"/>
      <c r="IF134" s="30"/>
      <c r="IG134" s="30"/>
      <c r="IH134" s="30"/>
      <c r="II134" s="30"/>
      <c r="IJ134" s="30"/>
      <c r="IK134" s="30"/>
      <c r="IL134" s="30"/>
      <c r="IM134" s="30"/>
      <c r="IN134" s="30"/>
      <c r="IO134" s="30"/>
      <c r="IP134" s="30"/>
      <c r="IQ134" s="30"/>
      <c r="IR134" s="30"/>
      <c r="IS134" s="30"/>
      <c r="IT134" s="30"/>
      <c r="IU134" s="30"/>
      <c r="IV134" s="30"/>
      <c r="IW134" s="30"/>
    </row>
    <row r="135" customFormat="false" ht="13.5" hidden="false" customHeight="true" outlineLevel="0" collapsed="false">
      <c r="A135" s="131"/>
      <c r="B135" s="133"/>
      <c r="C135" s="70"/>
      <c r="D135" s="70"/>
      <c r="E135" s="133"/>
      <c r="F135" s="70"/>
      <c r="G135" s="70"/>
      <c r="H135" s="70"/>
      <c r="I135" s="133"/>
      <c r="J135" s="133"/>
      <c r="K135" s="133"/>
      <c r="L135" s="133"/>
      <c r="M135" s="133"/>
      <c r="N135" s="133"/>
      <c r="O135" s="133"/>
      <c r="P135" s="133" t="s">
        <v>452</v>
      </c>
      <c r="Q135" s="133" t="s">
        <v>452</v>
      </c>
      <c r="R135" s="133"/>
      <c r="S135" s="133" t="s">
        <v>452</v>
      </c>
      <c r="T135" s="70"/>
      <c r="U135" s="70"/>
      <c r="V135" s="70"/>
      <c r="W135" s="132" t="s">
        <v>4989</v>
      </c>
      <c r="X135" s="132"/>
      <c r="Y135" s="132" t="s">
        <v>482</v>
      </c>
      <c r="Z135" s="133" t="s">
        <v>452</v>
      </c>
      <c r="AA135" s="133"/>
      <c r="AD135" s="133" t="s">
        <v>5063</v>
      </c>
      <c r="AE135" s="133" t="s">
        <v>5063</v>
      </c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132" t="s">
        <v>5233</v>
      </c>
      <c r="AU135" s="70"/>
      <c r="AV135" s="70"/>
      <c r="AW135" s="70"/>
      <c r="AX135" s="70"/>
      <c r="AY135" s="70"/>
      <c r="AZ135" s="70"/>
      <c r="BA135" s="70"/>
      <c r="BB135" s="70"/>
      <c r="BC135" s="70"/>
      <c r="BD135" s="70"/>
      <c r="BE135" s="70"/>
      <c r="BF135" s="132"/>
      <c r="BG135" s="132"/>
      <c r="BH135" s="132"/>
      <c r="BI135" s="70"/>
      <c r="BJ135" s="70"/>
      <c r="BK135" s="70"/>
      <c r="BL135" s="70"/>
      <c r="BM135" s="70"/>
      <c r="BN135" s="70"/>
      <c r="BO135" s="70"/>
      <c r="BP135" s="70"/>
      <c r="BQ135" s="70"/>
      <c r="BR135" s="70"/>
      <c r="BS135" s="70"/>
      <c r="BT135" s="70"/>
      <c r="BU135" s="70"/>
      <c r="BV135" s="70"/>
      <c r="BW135" s="70"/>
      <c r="BX135" s="70"/>
      <c r="BY135" s="70"/>
      <c r="BZ135" s="70"/>
      <c r="CA135" s="70"/>
      <c r="CB135" s="70"/>
      <c r="CC135" s="70"/>
      <c r="CD135" s="70"/>
      <c r="CE135" s="70"/>
      <c r="CF135" s="70"/>
      <c r="CG135" s="70"/>
      <c r="CH135" s="132" t="s">
        <v>4989</v>
      </c>
      <c r="CI135" s="132"/>
      <c r="CJ135" s="132" t="s">
        <v>482</v>
      </c>
      <c r="CK135" s="70"/>
      <c r="CL135" s="70"/>
      <c r="CM135" s="70"/>
      <c r="CN135" s="70"/>
      <c r="CO135" s="70"/>
      <c r="CP135" s="70"/>
      <c r="CQ135" s="70"/>
      <c r="CR135" s="70"/>
      <c r="CS135" s="70"/>
      <c r="CT135" s="70"/>
      <c r="CU135" s="70"/>
      <c r="CV135" s="70"/>
      <c r="CW135" s="70"/>
      <c r="CX135" s="70"/>
      <c r="CY135" s="70"/>
      <c r="CZ135" s="70"/>
      <c r="DA135" s="70"/>
      <c r="DB135" s="70"/>
      <c r="DC135" s="70"/>
      <c r="DD135" s="70"/>
      <c r="DE135" s="70"/>
      <c r="DF135" s="70"/>
      <c r="DG135" s="70"/>
      <c r="DH135" s="70"/>
      <c r="DI135" s="70"/>
      <c r="DJ135" s="70"/>
      <c r="DK135" s="70"/>
      <c r="DL135" s="70"/>
      <c r="DM135" s="70"/>
      <c r="DN135" s="70"/>
      <c r="DO135" s="70"/>
      <c r="DP135" s="70"/>
      <c r="DQ135" s="70"/>
      <c r="DR135" s="70"/>
      <c r="DS135" s="70"/>
      <c r="DT135" s="70"/>
      <c r="DU135" s="70"/>
      <c r="DV135" s="70"/>
      <c r="DW135" s="70"/>
      <c r="DX135" s="70"/>
      <c r="DY135" s="70"/>
      <c r="DZ135" s="70"/>
      <c r="EA135" s="70"/>
      <c r="EB135" s="70"/>
      <c r="EC135" s="70"/>
      <c r="ED135" s="70"/>
      <c r="EE135" s="70"/>
      <c r="EF135" s="70"/>
      <c r="EG135" s="70"/>
      <c r="EH135" s="70"/>
      <c r="EI135" s="70"/>
      <c r="EJ135" s="70"/>
      <c r="EK135" s="70"/>
      <c r="EL135" s="70"/>
      <c r="EM135" s="70"/>
      <c r="EN135" s="70"/>
      <c r="EO135" s="70"/>
      <c r="EP135" s="70"/>
      <c r="EQ135" s="70"/>
      <c r="ER135" s="70"/>
      <c r="ES135" s="70"/>
      <c r="ET135" s="70"/>
      <c r="EU135" s="70"/>
      <c r="EV135" s="70"/>
      <c r="EW135" s="70"/>
      <c r="EX135" s="70"/>
      <c r="EY135" s="70"/>
      <c r="EZ135" s="70"/>
      <c r="FA135" s="70"/>
      <c r="FB135" s="70"/>
      <c r="FC135" s="70"/>
      <c r="FD135" s="70"/>
      <c r="FE135" s="70"/>
      <c r="FF135" s="70"/>
      <c r="FG135" s="70"/>
      <c r="FH135" s="70"/>
      <c r="FI135" s="70"/>
      <c r="FJ135" s="70"/>
      <c r="FK135" s="70"/>
      <c r="FL135" s="70"/>
      <c r="FM135" s="70"/>
      <c r="FN135" s="70"/>
      <c r="FO135" s="70"/>
      <c r="FP135" s="70"/>
      <c r="FQ135" s="70"/>
      <c r="FR135" s="70"/>
      <c r="FS135" s="70"/>
      <c r="FT135" s="70"/>
      <c r="FU135" s="70"/>
      <c r="FV135" s="70"/>
      <c r="FW135" s="70"/>
      <c r="FX135" s="70"/>
      <c r="FY135" s="70"/>
      <c r="FZ135" s="70"/>
      <c r="GA135" s="70"/>
      <c r="GB135" s="70"/>
      <c r="GC135" s="70"/>
      <c r="GD135" s="70"/>
      <c r="GE135" s="70"/>
      <c r="GF135" s="70"/>
      <c r="GG135" s="70"/>
      <c r="GH135" s="70"/>
      <c r="GI135" s="70"/>
      <c r="GJ135" s="70"/>
      <c r="GK135" s="70"/>
      <c r="GL135" s="70"/>
      <c r="GM135" s="70"/>
      <c r="GN135" s="70"/>
      <c r="GO135" s="70"/>
      <c r="GP135" s="70"/>
      <c r="GQ135" s="70"/>
      <c r="GR135" s="70"/>
      <c r="GS135" s="70"/>
      <c r="GT135" s="70"/>
      <c r="GU135" s="70"/>
      <c r="GV135" s="70"/>
      <c r="GW135" s="70"/>
      <c r="GX135" s="70"/>
      <c r="GY135" s="70"/>
      <c r="GZ135" s="70"/>
      <c r="HA135" s="70"/>
      <c r="HB135" s="70"/>
      <c r="HC135" s="70"/>
      <c r="HD135" s="70"/>
      <c r="HE135" s="70"/>
      <c r="HF135" s="70"/>
      <c r="HG135" s="70"/>
      <c r="HH135" s="70"/>
      <c r="HI135" s="70"/>
      <c r="HJ135" s="70"/>
      <c r="HK135" s="70"/>
      <c r="HL135" s="70"/>
      <c r="HM135" s="70"/>
      <c r="HN135" s="70"/>
      <c r="HO135" s="70"/>
      <c r="HP135" s="70"/>
      <c r="HQ135" s="70"/>
      <c r="HR135" s="70"/>
      <c r="HS135" s="70"/>
      <c r="HT135" s="70"/>
      <c r="HU135" s="70"/>
      <c r="HV135" s="70"/>
      <c r="HW135" s="70"/>
      <c r="HX135" s="70"/>
      <c r="HY135" s="70"/>
      <c r="HZ135" s="70"/>
      <c r="IA135" s="70"/>
      <c r="IB135" s="70"/>
      <c r="IC135" s="70"/>
      <c r="ID135" s="70"/>
      <c r="IE135" s="70"/>
      <c r="IF135" s="70"/>
      <c r="IG135" s="70"/>
      <c r="IH135" s="70"/>
      <c r="II135" s="70"/>
      <c r="IJ135" s="70"/>
      <c r="IK135" s="70"/>
      <c r="IL135" s="70"/>
      <c r="IM135" s="70"/>
      <c r="IN135" s="70"/>
      <c r="IO135" s="70"/>
      <c r="IP135" s="70"/>
      <c r="IQ135" s="70"/>
      <c r="IR135" s="70"/>
      <c r="IS135" s="70"/>
      <c r="IT135" s="70"/>
      <c r="IU135" s="70"/>
      <c r="IV135" s="70"/>
      <c r="IW135" s="70"/>
    </row>
    <row r="136" customFormat="false" ht="13.5" hidden="false" customHeight="true" outlineLevel="0" collapsed="false">
      <c r="A136" s="134"/>
      <c r="B136" s="141"/>
      <c r="C136" s="70"/>
      <c r="D136" s="70"/>
      <c r="E136" s="141"/>
      <c r="F136" s="70"/>
      <c r="G136" s="70"/>
      <c r="H136" s="70"/>
      <c r="I136" s="141"/>
      <c r="J136" s="141"/>
      <c r="K136" s="141"/>
      <c r="L136" s="142"/>
      <c r="M136" s="141"/>
      <c r="N136" s="141"/>
      <c r="O136" s="141"/>
      <c r="P136" s="141" t="s">
        <v>6242</v>
      </c>
      <c r="Q136" s="141" t="s">
        <v>6243</v>
      </c>
      <c r="R136" s="141"/>
      <c r="S136" s="142" t="s">
        <v>6244</v>
      </c>
      <c r="T136" s="70"/>
      <c r="U136" s="70"/>
      <c r="V136" s="70"/>
      <c r="W136" s="135" t="s">
        <v>6245</v>
      </c>
      <c r="X136" s="135"/>
      <c r="Y136" s="135" t="s">
        <v>6246</v>
      </c>
      <c r="Z136" s="141" t="s">
        <v>6247</v>
      </c>
      <c r="AA136" s="141"/>
      <c r="AD136" s="138" t="s">
        <v>6248</v>
      </c>
      <c r="AE136" s="138" t="s">
        <v>6249</v>
      </c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137" t="s">
        <v>6250</v>
      </c>
      <c r="AU136" s="70"/>
      <c r="AV136" s="70"/>
      <c r="AW136" s="70"/>
      <c r="AX136" s="70"/>
      <c r="AY136" s="70"/>
      <c r="AZ136" s="70"/>
      <c r="BA136" s="70"/>
      <c r="BB136" s="70"/>
      <c r="BC136" s="70"/>
      <c r="BD136" s="70"/>
      <c r="BE136" s="70"/>
      <c r="BF136" s="135"/>
      <c r="BG136" s="135"/>
      <c r="BH136" s="135"/>
      <c r="BI136" s="70"/>
      <c r="BJ136" s="70"/>
      <c r="BK136" s="70"/>
      <c r="BL136" s="70"/>
      <c r="BM136" s="70"/>
      <c r="BN136" s="70"/>
      <c r="BO136" s="70"/>
      <c r="BP136" s="70"/>
      <c r="BQ136" s="70"/>
      <c r="BR136" s="70"/>
      <c r="BS136" s="70"/>
      <c r="BT136" s="70"/>
      <c r="BU136" s="70"/>
      <c r="BV136" s="70"/>
      <c r="BW136" s="70"/>
      <c r="BX136" s="70"/>
      <c r="BY136" s="70"/>
      <c r="BZ136" s="70"/>
      <c r="CA136" s="70"/>
      <c r="CB136" s="70"/>
      <c r="CC136" s="70"/>
      <c r="CD136" s="70"/>
      <c r="CE136" s="70"/>
      <c r="CF136" s="70"/>
      <c r="CG136" s="70"/>
      <c r="CH136" s="135" t="s">
        <v>6251</v>
      </c>
      <c r="CI136" s="135"/>
      <c r="CJ136" s="135" t="s">
        <v>6252</v>
      </c>
      <c r="CK136" s="70"/>
      <c r="CL136" s="70"/>
      <c r="CM136" s="70"/>
      <c r="CN136" s="70"/>
      <c r="CO136" s="70"/>
      <c r="CP136" s="70"/>
      <c r="CQ136" s="70"/>
      <c r="CR136" s="70"/>
      <c r="CS136" s="70"/>
      <c r="CT136" s="70"/>
      <c r="CU136" s="70"/>
      <c r="CV136" s="70"/>
      <c r="CW136" s="70"/>
      <c r="CX136" s="70"/>
      <c r="CY136" s="70"/>
      <c r="CZ136" s="70"/>
      <c r="DA136" s="70"/>
      <c r="DB136" s="70"/>
      <c r="DC136" s="70"/>
      <c r="DD136" s="70"/>
      <c r="DE136" s="70"/>
      <c r="DF136" s="70"/>
      <c r="DG136" s="70"/>
      <c r="DH136" s="70"/>
      <c r="DI136" s="70"/>
      <c r="DJ136" s="70"/>
      <c r="DK136" s="70"/>
      <c r="DL136" s="70"/>
      <c r="DM136" s="70"/>
      <c r="DN136" s="70"/>
      <c r="DO136" s="70"/>
      <c r="DP136" s="70"/>
      <c r="DQ136" s="70"/>
      <c r="DR136" s="70"/>
      <c r="DS136" s="70"/>
      <c r="DT136" s="70"/>
      <c r="DU136" s="70"/>
      <c r="DV136" s="70"/>
      <c r="DW136" s="70"/>
      <c r="DX136" s="70"/>
      <c r="DY136" s="70"/>
      <c r="DZ136" s="70"/>
      <c r="EA136" s="70"/>
      <c r="EB136" s="70"/>
      <c r="EC136" s="70"/>
      <c r="ED136" s="70"/>
      <c r="EE136" s="70"/>
      <c r="EF136" s="70"/>
      <c r="EG136" s="70"/>
      <c r="EH136" s="70"/>
      <c r="EI136" s="70"/>
      <c r="EJ136" s="70"/>
      <c r="EK136" s="70"/>
      <c r="EL136" s="70"/>
      <c r="EM136" s="70"/>
      <c r="EN136" s="70"/>
      <c r="EO136" s="70"/>
      <c r="EP136" s="70"/>
      <c r="EQ136" s="70"/>
      <c r="ER136" s="70"/>
      <c r="ES136" s="70"/>
      <c r="ET136" s="70"/>
      <c r="EU136" s="70"/>
      <c r="EV136" s="70"/>
      <c r="EW136" s="70"/>
      <c r="EX136" s="70"/>
      <c r="EY136" s="70"/>
      <c r="EZ136" s="70"/>
      <c r="FA136" s="70"/>
      <c r="FB136" s="70"/>
      <c r="FC136" s="70"/>
      <c r="FD136" s="70"/>
      <c r="FE136" s="70"/>
      <c r="FF136" s="70"/>
      <c r="FG136" s="70"/>
      <c r="FH136" s="70"/>
      <c r="FI136" s="70"/>
      <c r="FJ136" s="70"/>
      <c r="FK136" s="70"/>
      <c r="FL136" s="70"/>
      <c r="FM136" s="70"/>
      <c r="FN136" s="70"/>
      <c r="FO136" s="70"/>
      <c r="FP136" s="70"/>
      <c r="FQ136" s="70"/>
      <c r="FR136" s="70"/>
      <c r="FS136" s="70"/>
      <c r="FT136" s="70"/>
      <c r="FU136" s="70"/>
      <c r="FV136" s="70"/>
      <c r="FW136" s="70"/>
      <c r="FX136" s="70"/>
      <c r="FY136" s="70"/>
      <c r="FZ136" s="70"/>
      <c r="GA136" s="70"/>
      <c r="GB136" s="70"/>
      <c r="GC136" s="70"/>
      <c r="GD136" s="70"/>
      <c r="GE136" s="70"/>
      <c r="GF136" s="70"/>
      <c r="GG136" s="70"/>
      <c r="GH136" s="70"/>
      <c r="GI136" s="70"/>
      <c r="GJ136" s="70"/>
      <c r="GK136" s="70"/>
      <c r="GL136" s="70"/>
      <c r="GM136" s="70"/>
      <c r="GN136" s="70"/>
      <c r="GO136" s="70"/>
      <c r="GP136" s="70"/>
      <c r="GQ136" s="70"/>
      <c r="GR136" s="70"/>
      <c r="GS136" s="70"/>
      <c r="GT136" s="70"/>
      <c r="GU136" s="70"/>
      <c r="GV136" s="70"/>
      <c r="GW136" s="70"/>
      <c r="GX136" s="70"/>
      <c r="GY136" s="70"/>
      <c r="GZ136" s="70"/>
      <c r="HA136" s="70"/>
      <c r="HB136" s="70"/>
      <c r="HC136" s="70"/>
      <c r="HD136" s="70"/>
      <c r="HE136" s="70"/>
      <c r="HF136" s="70"/>
      <c r="HG136" s="70"/>
      <c r="HH136" s="70"/>
      <c r="HI136" s="70"/>
      <c r="HJ136" s="70"/>
      <c r="HK136" s="70"/>
      <c r="HL136" s="70"/>
      <c r="HM136" s="70"/>
      <c r="HN136" s="70"/>
      <c r="HO136" s="70"/>
      <c r="HP136" s="70"/>
      <c r="HQ136" s="70"/>
      <c r="HR136" s="70"/>
      <c r="HS136" s="70"/>
      <c r="HT136" s="70"/>
      <c r="HU136" s="70"/>
      <c r="HV136" s="70"/>
      <c r="HW136" s="70"/>
      <c r="HX136" s="70"/>
      <c r="HY136" s="70"/>
      <c r="HZ136" s="70"/>
      <c r="IA136" s="70"/>
      <c r="IB136" s="70"/>
      <c r="IC136" s="70"/>
      <c r="ID136" s="70"/>
      <c r="IE136" s="70"/>
      <c r="IF136" s="70"/>
      <c r="IG136" s="70"/>
      <c r="IH136" s="70"/>
      <c r="II136" s="70"/>
      <c r="IJ136" s="70"/>
      <c r="IK136" s="70"/>
      <c r="IL136" s="70"/>
      <c r="IM136" s="70"/>
      <c r="IN136" s="70"/>
      <c r="IO136" s="70"/>
      <c r="IP136" s="70"/>
      <c r="IQ136" s="70"/>
      <c r="IR136" s="70"/>
      <c r="IS136" s="70"/>
      <c r="IT136" s="70"/>
      <c r="IU136" s="70"/>
      <c r="IV136" s="70"/>
      <c r="IW136" s="70"/>
    </row>
    <row r="137" customFormat="false" ht="13.5" hidden="false" customHeight="true" outlineLevel="0" collapsed="false">
      <c r="A137" s="139"/>
      <c r="B137" s="153"/>
      <c r="C137" s="70"/>
      <c r="D137" s="70"/>
      <c r="E137" s="153"/>
      <c r="F137" s="70"/>
      <c r="G137" s="70"/>
      <c r="H137" s="70"/>
      <c r="I137" s="153"/>
      <c r="J137" s="153"/>
      <c r="K137" s="153"/>
      <c r="L137" s="140"/>
      <c r="M137" s="153"/>
      <c r="N137" s="153"/>
      <c r="O137" s="153"/>
      <c r="P137" s="153" t="s">
        <v>6253</v>
      </c>
      <c r="Q137" s="153" t="s">
        <v>6254</v>
      </c>
      <c r="R137" s="153"/>
      <c r="S137" s="140" t="s">
        <v>6255</v>
      </c>
      <c r="T137" s="70"/>
      <c r="U137" s="70"/>
      <c r="V137" s="70"/>
      <c r="W137" s="140" t="s">
        <v>6256</v>
      </c>
      <c r="X137" s="141"/>
      <c r="Y137" s="140" t="s">
        <v>6257</v>
      </c>
      <c r="Z137" s="153" t="s">
        <v>6258</v>
      </c>
      <c r="AA137" s="153"/>
      <c r="AD137" s="140" t="s">
        <v>6259</v>
      </c>
      <c r="AE137" s="142" t="s">
        <v>6260</v>
      </c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141" t="s">
        <v>6261</v>
      </c>
      <c r="AU137" s="70"/>
      <c r="AV137" s="70"/>
      <c r="AW137" s="70"/>
      <c r="AX137" s="70"/>
      <c r="AY137" s="70"/>
      <c r="AZ137" s="70"/>
      <c r="BA137" s="70"/>
      <c r="BB137" s="70"/>
      <c r="BC137" s="70"/>
      <c r="BD137" s="70"/>
      <c r="BE137" s="70"/>
      <c r="BF137" s="141"/>
      <c r="BG137" s="141"/>
      <c r="BH137" s="141"/>
      <c r="BI137" s="70"/>
      <c r="BJ137" s="70"/>
      <c r="BK137" s="70"/>
      <c r="BL137" s="70"/>
      <c r="BM137" s="70"/>
      <c r="BN137" s="70"/>
      <c r="BO137" s="70"/>
      <c r="BP137" s="70"/>
      <c r="BQ137" s="70"/>
      <c r="BR137" s="70"/>
      <c r="BS137" s="70"/>
      <c r="BT137" s="70"/>
      <c r="BU137" s="70"/>
      <c r="BV137" s="70"/>
      <c r="BW137" s="70"/>
      <c r="BX137" s="70"/>
      <c r="BY137" s="70"/>
      <c r="BZ137" s="70"/>
      <c r="CA137" s="70"/>
      <c r="CB137" s="70"/>
      <c r="CC137" s="70"/>
      <c r="CD137" s="70"/>
      <c r="CE137" s="70"/>
      <c r="CF137" s="70"/>
      <c r="CG137" s="70"/>
      <c r="CH137" s="141" t="s">
        <v>6262</v>
      </c>
      <c r="CI137" s="141"/>
      <c r="CJ137" s="141" t="s">
        <v>6263</v>
      </c>
      <c r="CK137" s="70"/>
      <c r="CL137" s="70"/>
      <c r="CM137" s="70"/>
      <c r="CN137" s="70"/>
      <c r="CO137" s="70"/>
      <c r="CP137" s="70"/>
      <c r="CQ137" s="70"/>
      <c r="CR137" s="70"/>
      <c r="CS137" s="70"/>
      <c r="CT137" s="70"/>
      <c r="CU137" s="70"/>
      <c r="CV137" s="70"/>
      <c r="CW137" s="70"/>
      <c r="CX137" s="70"/>
      <c r="CY137" s="70"/>
      <c r="CZ137" s="70"/>
      <c r="DA137" s="70"/>
      <c r="DB137" s="70"/>
      <c r="DC137" s="70"/>
      <c r="DD137" s="70"/>
      <c r="DE137" s="70"/>
      <c r="DF137" s="70"/>
      <c r="DG137" s="70"/>
      <c r="DH137" s="70"/>
      <c r="DI137" s="70"/>
      <c r="DJ137" s="70"/>
      <c r="DK137" s="70"/>
      <c r="DL137" s="70"/>
      <c r="DM137" s="70"/>
      <c r="DN137" s="70"/>
      <c r="DO137" s="70"/>
      <c r="DP137" s="70"/>
      <c r="DQ137" s="70"/>
      <c r="DR137" s="70"/>
      <c r="DS137" s="70"/>
      <c r="DT137" s="70"/>
      <c r="DU137" s="70"/>
      <c r="DV137" s="70"/>
      <c r="DW137" s="70"/>
      <c r="DX137" s="70"/>
      <c r="DY137" s="70"/>
      <c r="DZ137" s="70"/>
      <c r="EA137" s="70"/>
      <c r="EB137" s="70"/>
      <c r="EC137" s="70"/>
      <c r="ED137" s="70"/>
      <c r="EE137" s="70"/>
      <c r="EF137" s="70"/>
      <c r="EG137" s="70"/>
      <c r="EH137" s="70"/>
      <c r="EI137" s="70"/>
      <c r="EJ137" s="70"/>
      <c r="EK137" s="70"/>
      <c r="EL137" s="70"/>
      <c r="EM137" s="70"/>
      <c r="EN137" s="70"/>
      <c r="EO137" s="70"/>
      <c r="EP137" s="70"/>
      <c r="EQ137" s="70"/>
      <c r="ER137" s="70"/>
      <c r="ES137" s="70"/>
      <c r="ET137" s="70"/>
      <c r="EU137" s="70"/>
      <c r="EV137" s="70"/>
      <c r="EW137" s="70"/>
      <c r="EX137" s="70"/>
      <c r="EY137" s="70"/>
      <c r="EZ137" s="70"/>
      <c r="FA137" s="70"/>
      <c r="FB137" s="70"/>
      <c r="FC137" s="70"/>
      <c r="FD137" s="70"/>
      <c r="FE137" s="70"/>
      <c r="FF137" s="70"/>
      <c r="FG137" s="70"/>
      <c r="FH137" s="70"/>
      <c r="FI137" s="70"/>
      <c r="FJ137" s="70"/>
      <c r="FK137" s="70"/>
      <c r="FL137" s="70"/>
      <c r="FM137" s="70"/>
      <c r="FN137" s="70"/>
      <c r="FO137" s="70"/>
      <c r="FP137" s="70"/>
      <c r="FQ137" s="70"/>
      <c r="FR137" s="70"/>
      <c r="FS137" s="70"/>
      <c r="FT137" s="70"/>
      <c r="FU137" s="70"/>
      <c r="FV137" s="70"/>
      <c r="FW137" s="70"/>
      <c r="FX137" s="70"/>
      <c r="FY137" s="70"/>
      <c r="FZ137" s="70"/>
      <c r="GA137" s="70"/>
      <c r="GB137" s="70"/>
      <c r="GC137" s="70"/>
      <c r="GD137" s="70"/>
      <c r="GE137" s="70"/>
      <c r="GF137" s="70"/>
      <c r="GG137" s="70"/>
      <c r="GH137" s="70"/>
      <c r="GI137" s="70"/>
      <c r="GJ137" s="70"/>
      <c r="GK137" s="70"/>
      <c r="GL137" s="70"/>
      <c r="GM137" s="70"/>
      <c r="GN137" s="70"/>
      <c r="GO137" s="70"/>
      <c r="GP137" s="70"/>
      <c r="GQ137" s="70"/>
      <c r="GR137" s="70"/>
      <c r="GS137" s="70"/>
      <c r="GT137" s="70"/>
      <c r="GU137" s="70"/>
      <c r="GV137" s="70"/>
      <c r="GW137" s="70"/>
      <c r="GX137" s="70"/>
      <c r="GY137" s="70"/>
      <c r="GZ137" s="70"/>
      <c r="HA137" s="70"/>
      <c r="HB137" s="70"/>
      <c r="HC137" s="70"/>
      <c r="HD137" s="70"/>
      <c r="HE137" s="70"/>
      <c r="HF137" s="70"/>
      <c r="HG137" s="70"/>
      <c r="HH137" s="70"/>
      <c r="HI137" s="70"/>
      <c r="HJ137" s="70"/>
      <c r="HK137" s="70"/>
      <c r="HL137" s="70"/>
      <c r="HM137" s="70"/>
      <c r="HN137" s="70"/>
      <c r="HO137" s="70"/>
      <c r="HP137" s="70"/>
      <c r="HQ137" s="70"/>
      <c r="HR137" s="70"/>
      <c r="HS137" s="70"/>
      <c r="HT137" s="70"/>
      <c r="HU137" s="70"/>
      <c r="HV137" s="70"/>
      <c r="HW137" s="70"/>
      <c r="HX137" s="70"/>
      <c r="HY137" s="70"/>
      <c r="HZ137" s="70"/>
      <c r="IA137" s="70"/>
      <c r="IB137" s="70"/>
      <c r="IC137" s="70"/>
      <c r="ID137" s="70"/>
      <c r="IE137" s="70"/>
      <c r="IF137" s="70"/>
      <c r="IG137" s="70"/>
      <c r="IH137" s="70"/>
      <c r="II137" s="70"/>
      <c r="IJ137" s="70"/>
      <c r="IK137" s="70"/>
      <c r="IL137" s="70"/>
      <c r="IM137" s="70"/>
      <c r="IN137" s="70"/>
      <c r="IO137" s="70"/>
      <c r="IP137" s="70"/>
      <c r="IQ137" s="70"/>
      <c r="IR137" s="70"/>
      <c r="IS137" s="70"/>
      <c r="IT137" s="70"/>
      <c r="IU137" s="70"/>
      <c r="IV137" s="70"/>
      <c r="IW137" s="70"/>
    </row>
    <row r="138" customFormat="false" ht="13.5" hidden="false" customHeight="true" outlineLevel="0" collapsed="false">
      <c r="A138" s="41" t="s">
        <v>5946</v>
      </c>
      <c r="B138" s="42" t="n">
        <v>23</v>
      </c>
      <c r="C138" s="42" t="n">
        <v>24</v>
      </c>
      <c r="D138" s="42" t="n">
        <v>25</v>
      </c>
      <c r="E138" s="42" t="n">
        <v>26</v>
      </c>
      <c r="F138" s="42" t="n">
        <v>27</v>
      </c>
      <c r="G138" s="43" t="n">
        <v>28</v>
      </c>
      <c r="H138" s="43" t="s">
        <v>5947</v>
      </c>
      <c r="I138" s="42" t="n">
        <v>2</v>
      </c>
      <c r="J138" s="42" t="n">
        <v>3</v>
      </c>
      <c r="K138" s="42" t="n">
        <v>4</v>
      </c>
      <c r="L138" s="42" t="n">
        <v>5</v>
      </c>
      <c r="M138" s="42" t="n">
        <v>6</v>
      </c>
      <c r="N138" s="43" t="n">
        <v>7</v>
      </c>
      <c r="O138" s="43" t="n">
        <v>8</v>
      </c>
      <c r="P138" s="42" t="n">
        <v>9</v>
      </c>
      <c r="Q138" s="42" t="n">
        <v>10</v>
      </c>
      <c r="R138" s="42" t="n">
        <v>11</v>
      </c>
      <c r="S138" s="42" t="n">
        <v>12</v>
      </c>
      <c r="T138" s="42" t="n">
        <v>13</v>
      </c>
      <c r="U138" s="43" t="n">
        <v>14</v>
      </c>
      <c r="V138" s="43" t="n">
        <v>15</v>
      </c>
      <c r="W138" s="42" t="n">
        <v>16</v>
      </c>
      <c r="X138" s="42" t="n">
        <v>17</v>
      </c>
      <c r="Y138" s="42" t="n">
        <v>18</v>
      </c>
      <c r="Z138" s="42" t="n">
        <v>19</v>
      </c>
      <c r="AA138" s="42" t="n">
        <v>20</v>
      </c>
      <c r="AB138" s="43" t="n">
        <v>21</v>
      </c>
      <c r="AC138" s="43" t="n">
        <v>22</v>
      </c>
      <c r="AD138" s="42" t="n">
        <v>23</v>
      </c>
      <c r="AE138" s="42" t="n">
        <v>24</v>
      </c>
      <c r="AF138" s="42" t="n">
        <v>25</v>
      </c>
      <c r="AG138" s="42" t="n">
        <v>26</v>
      </c>
      <c r="AH138" s="42" t="n">
        <v>27</v>
      </c>
      <c r="AI138" s="43" t="n">
        <v>28</v>
      </c>
      <c r="AJ138" s="43" t="n">
        <v>29</v>
      </c>
      <c r="AK138" s="42" t="n">
        <v>30</v>
      </c>
      <c r="AL138" s="42" t="n">
        <v>31</v>
      </c>
      <c r="AM138" s="42" t="s">
        <v>5948</v>
      </c>
      <c r="AN138" s="42" t="n">
        <v>2</v>
      </c>
      <c r="AO138" s="42" t="n">
        <v>3</v>
      </c>
      <c r="AP138" s="43" t="n">
        <v>4</v>
      </c>
      <c r="AQ138" s="43" t="n">
        <v>5</v>
      </c>
      <c r="AR138" s="42" t="n">
        <v>6</v>
      </c>
      <c r="AS138" s="42" t="n">
        <v>7</v>
      </c>
      <c r="AT138" s="42" t="n">
        <v>8</v>
      </c>
      <c r="AU138" s="42" t="n">
        <v>9</v>
      </c>
      <c r="AV138" s="42" t="n">
        <v>10</v>
      </c>
      <c r="AW138" s="43" t="n">
        <v>11</v>
      </c>
      <c r="AX138" s="43" t="n">
        <v>12</v>
      </c>
      <c r="AY138" s="42" t="n">
        <v>13</v>
      </c>
      <c r="AZ138" s="42" t="n">
        <v>14</v>
      </c>
      <c r="BA138" s="42" t="n">
        <v>15</v>
      </c>
      <c r="BB138" s="42" t="n">
        <v>16</v>
      </c>
      <c r="BC138" s="42" t="n">
        <v>17</v>
      </c>
      <c r="BD138" s="43" t="n">
        <v>18</v>
      </c>
      <c r="BE138" s="43" t="n">
        <v>19</v>
      </c>
      <c r="BF138" s="42" t="n">
        <v>20</v>
      </c>
      <c r="BG138" s="42" t="n">
        <v>21</v>
      </c>
      <c r="BH138" s="42" t="n">
        <v>22</v>
      </c>
      <c r="BI138" s="42" t="n">
        <v>23</v>
      </c>
      <c r="BJ138" s="42" t="n">
        <v>24</v>
      </c>
      <c r="BK138" s="43" t="n">
        <v>25</v>
      </c>
      <c r="BL138" s="43" t="n">
        <v>26</v>
      </c>
      <c r="BM138" s="43" t="n">
        <v>27</v>
      </c>
      <c r="BN138" s="42" t="n">
        <v>28</v>
      </c>
      <c r="BO138" s="42" t="n">
        <v>29</v>
      </c>
      <c r="BP138" s="43" t="n">
        <v>30</v>
      </c>
      <c r="BQ138" s="43" t="s">
        <v>5949</v>
      </c>
      <c r="BR138" s="43" t="n">
        <v>2</v>
      </c>
      <c r="BS138" s="43" t="n">
        <v>3</v>
      </c>
      <c r="BT138" s="42" t="n">
        <v>4</v>
      </c>
      <c r="BU138" s="42" t="n">
        <v>5</v>
      </c>
      <c r="BV138" s="42" t="n">
        <v>6</v>
      </c>
      <c r="BW138" s="42" t="n">
        <v>7</v>
      </c>
      <c r="BX138" s="42" t="n">
        <v>8</v>
      </c>
      <c r="BY138" s="43" t="n">
        <v>9</v>
      </c>
      <c r="BZ138" s="43" t="n">
        <v>10</v>
      </c>
      <c r="CA138" s="42" t="n">
        <v>11</v>
      </c>
      <c r="CB138" s="42" t="n">
        <v>12</v>
      </c>
      <c r="CC138" s="42" t="n">
        <v>13</v>
      </c>
      <c r="CD138" s="42" t="n">
        <v>14</v>
      </c>
      <c r="CE138" s="42" t="n">
        <v>15</v>
      </c>
      <c r="CF138" s="43" t="n">
        <v>16</v>
      </c>
      <c r="CG138" s="43" t="n">
        <v>17</v>
      </c>
      <c r="CH138" s="42" t="n">
        <v>18</v>
      </c>
      <c r="CI138" s="42" t="n">
        <v>19</v>
      </c>
      <c r="CJ138" s="42" t="n">
        <v>20</v>
      </c>
      <c r="CK138" s="42" t="n">
        <v>21</v>
      </c>
      <c r="CL138" s="42" t="n">
        <v>22</v>
      </c>
      <c r="CM138" s="43" t="n">
        <v>23</v>
      </c>
      <c r="CN138" s="43" t="n">
        <v>24</v>
      </c>
      <c r="CO138" s="42" t="n">
        <v>25</v>
      </c>
      <c r="CP138" s="42" t="n">
        <v>26</v>
      </c>
      <c r="CQ138" s="42" t="n">
        <v>27</v>
      </c>
      <c r="CR138" s="42" t="n">
        <v>28</v>
      </c>
      <c r="CS138" s="42" t="n">
        <v>29</v>
      </c>
      <c r="CT138" s="43" t="n">
        <v>30</v>
      </c>
      <c r="CU138" s="43" t="n">
        <v>31</v>
      </c>
      <c r="CV138" s="42" t="s">
        <v>5950</v>
      </c>
      <c r="CW138" s="42" t="n">
        <v>2</v>
      </c>
      <c r="CX138" s="42" t="n">
        <v>3</v>
      </c>
      <c r="CY138" s="42" t="n">
        <v>4</v>
      </c>
      <c r="CZ138" s="42" t="n">
        <v>5</v>
      </c>
      <c r="DA138" s="43" t="n">
        <v>6</v>
      </c>
      <c r="DB138" s="43" t="n">
        <v>7</v>
      </c>
      <c r="DC138" s="42" t="n">
        <v>8</v>
      </c>
      <c r="DD138" s="42" t="n">
        <v>9</v>
      </c>
      <c r="DE138" s="42" t="n">
        <v>10</v>
      </c>
      <c r="DF138" s="42" t="n">
        <v>11</v>
      </c>
      <c r="DG138" s="42" t="n">
        <v>12</v>
      </c>
      <c r="DH138" s="43" t="n">
        <v>13</v>
      </c>
      <c r="DI138" s="43" t="n">
        <v>14</v>
      </c>
      <c r="DJ138" s="42" t="n">
        <v>15</v>
      </c>
      <c r="DK138" s="42" t="n">
        <v>16</v>
      </c>
      <c r="DL138" s="42" t="n">
        <v>17</v>
      </c>
      <c r="DM138" s="42" t="n">
        <v>18</v>
      </c>
      <c r="DN138" s="42" t="n">
        <v>19</v>
      </c>
      <c r="DO138" s="43" t="n">
        <v>20</v>
      </c>
      <c r="DP138" s="43" t="n">
        <v>21</v>
      </c>
      <c r="DQ138" s="42" t="n">
        <v>22</v>
      </c>
      <c r="DR138" s="42" t="n">
        <v>23</v>
      </c>
      <c r="DS138" s="42" t="n">
        <v>24</v>
      </c>
      <c r="DT138" s="42" t="n">
        <v>25</v>
      </c>
      <c r="DU138" s="42" t="n">
        <v>26</v>
      </c>
      <c r="DV138" s="43" t="n">
        <v>27</v>
      </c>
      <c r="DW138" s="43" t="n">
        <v>28</v>
      </c>
      <c r="DX138" s="42" t="n">
        <v>29</v>
      </c>
      <c r="DY138" s="42" t="n">
        <v>30</v>
      </c>
      <c r="DZ138" s="42"/>
      <c r="EA138" s="42"/>
      <c r="EB138" s="42"/>
      <c r="EC138" s="42"/>
      <c r="ED138" s="42"/>
      <c r="EE138" s="42"/>
      <c r="EF138" s="42"/>
      <c r="EG138" s="42"/>
      <c r="EH138" s="42"/>
      <c r="EI138" s="42"/>
      <c r="EJ138" s="42"/>
      <c r="EK138" s="70"/>
      <c r="EL138" s="70"/>
      <c r="EM138" s="70"/>
      <c r="EN138" s="70"/>
      <c r="EO138" s="70"/>
      <c r="EP138" s="70"/>
      <c r="EQ138" s="70"/>
      <c r="ER138" s="70"/>
      <c r="ES138" s="70"/>
      <c r="ET138" s="70"/>
      <c r="EU138" s="70"/>
      <c r="EV138" s="70"/>
      <c r="EW138" s="70"/>
      <c r="EX138" s="70"/>
      <c r="EY138" s="70"/>
      <c r="EZ138" s="70"/>
      <c r="FA138" s="70"/>
      <c r="FB138" s="70"/>
      <c r="FC138" s="70"/>
      <c r="FD138" s="70"/>
      <c r="FE138" s="70"/>
      <c r="FF138" s="70"/>
      <c r="FG138" s="70"/>
      <c r="FH138" s="70"/>
      <c r="FI138" s="70"/>
      <c r="FJ138" s="70"/>
      <c r="FK138" s="70"/>
      <c r="FL138" s="70"/>
      <c r="FM138" s="70"/>
      <c r="FN138" s="70"/>
      <c r="FO138" s="70"/>
      <c r="FP138" s="70"/>
      <c r="FQ138" s="70"/>
      <c r="FR138" s="70"/>
      <c r="FS138" s="70"/>
      <c r="FT138" s="70"/>
      <c r="FU138" s="70"/>
      <c r="FV138" s="70"/>
      <c r="FW138" s="70"/>
      <c r="FX138" s="70"/>
      <c r="FY138" s="70"/>
      <c r="FZ138" s="70"/>
      <c r="GA138" s="70"/>
      <c r="GB138" s="70"/>
      <c r="GC138" s="70"/>
      <c r="GD138" s="70"/>
      <c r="GE138" s="70"/>
      <c r="GF138" s="70"/>
      <c r="GG138" s="70"/>
      <c r="GH138" s="70"/>
      <c r="GI138" s="70"/>
      <c r="GJ138" s="70"/>
      <c r="GK138" s="70"/>
      <c r="GL138" s="70"/>
      <c r="GM138" s="70"/>
      <c r="GN138" s="70"/>
      <c r="GO138" s="70"/>
      <c r="GP138" s="70"/>
      <c r="GQ138" s="70"/>
      <c r="GR138" s="70"/>
      <c r="GS138" s="70"/>
      <c r="GT138" s="70"/>
      <c r="GU138" s="70"/>
      <c r="GV138" s="70"/>
      <c r="GW138" s="70"/>
      <c r="GX138" s="70"/>
      <c r="GY138" s="70"/>
      <c r="GZ138" s="70"/>
      <c r="HA138" s="70"/>
      <c r="HB138" s="70"/>
      <c r="HC138" s="70"/>
      <c r="HD138" s="70"/>
      <c r="HE138" s="70"/>
      <c r="HF138" s="70"/>
      <c r="HG138" s="70"/>
      <c r="HH138" s="70"/>
      <c r="HI138" s="70"/>
      <c r="HJ138" s="70"/>
      <c r="HK138" s="70"/>
      <c r="HL138" s="70"/>
      <c r="HM138" s="70"/>
      <c r="HN138" s="70"/>
      <c r="HO138" s="70"/>
      <c r="HP138" s="70"/>
      <c r="HQ138" s="70"/>
      <c r="HR138" s="70"/>
      <c r="HS138" s="70"/>
      <c r="HT138" s="70"/>
      <c r="HU138" s="70"/>
      <c r="HV138" s="70"/>
      <c r="HW138" s="70"/>
      <c r="HX138" s="70"/>
      <c r="HY138" s="70"/>
      <c r="HZ138" s="70"/>
      <c r="IA138" s="70"/>
      <c r="IB138" s="70"/>
      <c r="IC138" s="70"/>
      <c r="ID138" s="70"/>
      <c r="IE138" s="70"/>
      <c r="IF138" s="70"/>
      <c r="IG138" s="70"/>
      <c r="IH138" s="70"/>
      <c r="II138" s="70"/>
      <c r="IJ138" s="70"/>
      <c r="IK138" s="70"/>
      <c r="IL138" s="70"/>
      <c r="IM138" s="70"/>
      <c r="IN138" s="70"/>
      <c r="IO138" s="70"/>
      <c r="IP138" s="70"/>
      <c r="IQ138" s="70"/>
      <c r="IR138" s="70"/>
      <c r="IS138" s="70"/>
      <c r="IT138" s="70"/>
      <c r="IU138" s="70"/>
      <c r="IV138" s="70"/>
      <c r="IW138" s="70"/>
    </row>
    <row r="139" customFormat="false" ht="13.5" hidden="false" customHeight="true" outlineLevel="0" collapsed="false">
      <c r="A139" s="41" t="s">
        <v>5952</v>
      </c>
      <c r="B139" s="143"/>
      <c r="C139" s="143"/>
      <c r="D139" s="143"/>
      <c r="E139" s="143"/>
      <c r="F139" s="143"/>
      <c r="G139" s="143"/>
      <c r="H139" s="143"/>
      <c r="I139" s="143"/>
      <c r="J139" s="143"/>
      <c r="K139" s="143"/>
      <c r="L139" s="143"/>
      <c r="M139" s="143"/>
      <c r="N139" s="143" t="n">
        <v>0</v>
      </c>
      <c r="O139" s="143" t="n">
        <v>0</v>
      </c>
      <c r="P139" s="143" t="n">
        <v>47</v>
      </c>
      <c r="Q139" s="143" t="n">
        <v>120</v>
      </c>
      <c r="R139" s="143" t="n">
        <v>124</v>
      </c>
      <c r="S139" s="143" t="n">
        <v>100</v>
      </c>
      <c r="T139" s="143" t="n">
        <v>104</v>
      </c>
      <c r="U139" s="143"/>
      <c r="V139" s="143"/>
      <c r="W139" s="143" t="n">
        <v>399</v>
      </c>
      <c r="X139" s="143" t="n">
        <v>237</v>
      </c>
      <c r="Y139" s="143" t="n">
        <v>400</v>
      </c>
      <c r="Z139" s="143" t="n">
        <v>120</v>
      </c>
      <c r="AA139" s="143" t="n">
        <v>120</v>
      </c>
      <c r="AB139" s="143"/>
      <c r="AC139" s="143"/>
      <c r="AD139" s="143" t="n">
        <v>32</v>
      </c>
      <c r="AE139" s="143" t="n">
        <v>130</v>
      </c>
      <c r="AF139" s="143"/>
      <c r="AG139" s="143"/>
      <c r="AH139" s="143"/>
      <c r="AI139" s="143"/>
      <c r="AJ139" s="143"/>
      <c r="AK139" s="143"/>
      <c r="AL139" s="143"/>
      <c r="AM139" s="143"/>
      <c r="AN139" s="143"/>
      <c r="AO139" s="143"/>
      <c r="AP139" s="143"/>
      <c r="AQ139" s="143"/>
      <c r="AR139" s="143"/>
      <c r="AS139" s="143"/>
      <c r="AT139" s="143" t="n">
        <v>70</v>
      </c>
      <c r="AU139" s="143"/>
      <c r="AV139" s="143"/>
      <c r="AW139" s="143"/>
      <c r="AX139" s="143"/>
      <c r="AY139" s="143"/>
      <c r="AZ139" s="143"/>
      <c r="BA139" s="143"/>
      <c r="BB139" s="143"/>
      <c r="BC139" s="143"/>
      <c r="BD139" s="143"/>
      <c r="BE139" s="143"/>
      <c r="BF139" s="143"/>
      <c r="BG139" s="143"/>
      <c r="BH139" s="143"/>
      <c r="BI139" s="143"/>
      <c r="BJ139" s="143"/>
      <c r="BK139" s="143"/>
      <c r="BL139" s="143"/>
      <c r="BM139" s="143"/>
      <c r="BN139" s="143"/>
      <c r="BO139" s="143"/>
      <c r="BP139" s="143"/>
      <c r="BQ139" s="143"/>
      <c r="BR139" s="143"/>
      <c r="BS139" s="143"/>
      <c r="BT139" s="143"/>
      <c r="BU139" s="143"/>
      <c r="BV139" s="143"/>
      <c r="BW139" s="143"/>
      <c r="BX139" s="143"/>
      <c r="BY139" s="143"/>
      <c r="BZ139" s="143"/>
      <c r="CA139" s="143"/>
      <c r="CB139" s="143"/>
      <c r="CC139" s="143"/>
      <c r="CD139" s="143"/>
      <c r="CE139" s="143"/>
      <c r="CF139" s="143"/>
      <c r="CG139" s="143"/>
      <c r="CH139" s="143"/>
      <c r="CI139" s="143"/>
      <c r="CJ139" s="143"/>
      <c r="CK139" s="143"/>
      <c r="CL139" s="143"/>
      <c r="CM139" s="143"/>
      <c r="CN139" s="143"/>
      <c r="CO139" s="143"/>
      <c r="CP139" s="143"/>
      <c r="CQ139" s="143"/>
      <c r="CR139" s="143"/>
      <c r="CS139" s="143"/>
      <c r="CT139" s="143"/>
      <c r="CU139" s="143"/>
      <c r="CV139" s="143"/>
      <c r="CW139" s="143"/>
      <c r="CX139" s="143"/>
      <c r="CY139" s="143"/>
      <c r="CZ139" s="143"/>
      <c r="DA139" s="143"/>
      <c r="DB139" s="143"/>
      <c r="DC139" s="143"/>
      <c r="DD139" s="143"/>
      <c r="DE139" s="143"/>
      <c r="DF139" s="143"/>
      <c r="DG139" s="143"/>
      <c r="DH139" s="143"/>
      <c r="DI139" s="143"/>
      <c r="DJ139" s="143"/>
      <c r="DK139" s="143"/>
      <c r="DL139" s="143"/>
      <c r="DM139" s="143"/>
      <c r="DN139" s="143"/>
      <c r="DO139" s="143"/>
      <c r="DP139" s="143"/>
      <c r="DQ139" s="143"/>
      <c r="DR139" s="143"/>
      <c r="DS139" s="143"/>
      <c r="DT139" s="143"/>
      <c r="DU139" s="143"/>
      <c r="DV139" s="143"/>
      <c r="DW139" s="143"/>
      <c r="DX139" s="143"/>
      <c r="DY139" s="143"/>
      <c r="DZ139" s="143"/>
      <c r="EA139" s="143"/>
      <c r="EB139" s="143"/>
      <c r="EC139" s="143"/>
      <c r="ED139" s="143"/>
      <c r="EE139" s="143"/>
      <c r="EF139" s="143"/>
      <c r="EG139" s="143"/>
      <c r="EH139" s="143"/>
      <c r="EI139" s="143"/>
      <c r="EJ139" s="143"/>
      <c r="EK139" s="70"/>
      <c r="EL139" s="70"/>
      <c r="EM139" s="70"/>
      <c r="EN139" s="70"/>
      <c r="EO139" s="70"/>
      <c r="EP139" s="70"/>
      <c r="EQ139" s="70"/>
      <c r="ER139" s="70"/>
      <c r="ES139" s="70"/>
      <c r="ET139" s="70"/>
      <c r="EU139" s="70"/>
      <c r="EV139" s="70"/>
      <c r="EW139" s="70"/>
      <c r="EX139" s="70"/>
      <c r="EY139" s="70"/>
      <c r="EZ139" s="70"/>
      <c r="FA139" s="70"/>
      <c r="FB139" s="70"/>
      <c r="FC139" s="70"/>
      <c r="FD139" s="70"/>
      <c r="FE139" s="70"/>
      <c r="FF139" s="70"/>
      <c r="FG139" s="70"/>
      <c r="FH139" s="70"/>
      <c r="FI139" s="70"/>
      <c r="FJ139" s="70"/>
      <c r="FK139" s="70"/>
      <c r="FL139" s="70"/>
      <c r="FM139" s="70"/>
      <c r="FN139" s="70"/>
      <c r="FO139" s="70"/>
      <c r="FP139" s="70"/>
      <c r="FQ139" s="70"/>
      <c r="FR139" s="70"/>
      <c r="FS139" s="70"/>
      <c r="FT139" s="70"/>
      <c r="FU139" s="70"/>
      <c r="FV139" s="70"/>
      <c r="FW139" s="70"/>
      <c r="FX139" s="70"/>
      <c r="FY139" s="70"/>
      <c r="FZ139" s="70"/>
      <c r="GA139" s="70"/>
      <c r="GB139" s="70"/>
      <c r="GC139" s="70"/>
      <c r="GD139" s="70"/>
      <c r="GE139" s="70"/>
      <c r="GF139" s="70"/>
      <c r="GG139" s="70"/>
      <c r="GH139" s="70"/>
      <c r="GI139" s="70"/>
      <c r="GJ139" s="70"/>
      <c r="GK139" s="70"/>
      <c r="GL139" s="70"/>
      <c r="GM139" s="70"/>
      <c r="GN139" s="70"/>
      <c r="GO139" s="70"/>
      <c r="GP139" s="70"/>
      <c r="GQ139" s="70"/>
      <c r="GR139" s="70"/>
      <c r="GS139" s="70"/>
      <c r="GT139" s="70"/>
      <c r="GU139" s="70"/>
      <c r="GV139" s="70"/>
      <c r="GW139" s="70"/>
      <c r="GX139" s="70"/>
      <c r="GY139" s="70"/>
      <c r="GZ139" s="70"/>
      <c r="HA139" s="70"/>
      <c r="HB139" s="70"/>
      <c r="HC139" s="70"/>
      <c r="HD139" s="70"/>
      <c r="HE139" s="70"/>
      <c r="HF139" s="70"/>
      <c r="HG139" s="70"/>
      <c r="HH139" s="70"/>
      <c r="HI139" s="70"/>
      <c r="HJ139" s="70"/>
      <c r="HK139" s="70"/>
      <c r="HL139" s="70"/>
      <c r="HM139" s="70"/>
      <c r="HN139" s="70"/>
      <c r="HO139" s="70"/>
      <c r="HP139" s="70"/>
      <c r="HQ139" s="70"/>
      <c r="HR139" s="70"/>
      <c r="HS139" s="70"/>
      <c r="HT139" s="70"/>
      <c r="HU139" s="70"/>
      <c r="HV139" s="143"/>
      <c r="HW139" s="143"/>
      <c r="HX139" s="143"/>
      <c r="HY139" s="143"/>
      <c r="HZ139" s="143"/>
      <c r="IA139" s="143"/>
      <c r="IB139" s="143"/>
      <c r="IC139" s="143"/>
      <c r="ID139" s="143"/>
      <c r="IE139" s="143"/>
      <c r="IF139" s="143"/>
      <c r="IG139" s="143"/>
      <c r="IH139" s="143"/>
      <c r="II139" s="143"/>
      <c r="IJ139" s="143"/>
      <c r="IK139" s="143"/>
      <c r="IL139" s="143"/>
      <c r="IM139" s="143"/>
      <c r="IN139" s="143"/>
      <c r="IO139" s="143"/>
      <c r="IP139" s="143"/>
      <c r="IQ139" s="143"/>
      <c r="IR139" s="143"/>
      <c r="IS139" s="143"/>
      <c r="IT139" s="143"/>
      <c r="IU139" s="143"/>
      <c r="IV139" s="143"/>
      <c r="IW139" s="143"/>
    </row>
    <row r="140" customFormat="false" ht="13.5" hidden="false" customHeight="true" outlineLevel="0" collapsed="false">
      <c r="A140" s="41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154"/>
      <c r="N140" s="45"/>
      <c r="O140" s="45"/>
      <c r="P140" s="154" t="s">
        <v>6264</v>
      </c>
      <c r="Q140" s="45"/>
      <c r="R140" s="45"/>
      <c r="S140" s="45"/>
      <c r="T140" s="45"/>
      <c r="U140" s="45"/>
      <c r="V140" s="45"/>
      <c r="W140" s="45"/>
      <c r="X140" s="45"/>
      <c r="Y140" s="45" t="n">
        <v>550</v>
      </c>
      <c r="Z140" s="45"/>
      <c r="AA140" s="45"/>
      <c r="AB140" s="45"/>
      <c r="AC140" s="45"/>
      <c r="AD140" s="45" t="n">
        <v>140</v>
      </c>
      <c r="AE140" s="45"/>
      <c r="AF140" s="45"/>
      <c r="AG140" s="45"/>
      <c r="AH140" s="45"/>
      <c r="AI140" s="45"/>
      <c r="AJ140" s="45"/>
      <c r="AK140" s="45"/>
      <c r="AL140" s="45"/>
      <c r="AM140" s="45"/>
      <c r="AN140" s="45"/>
      <c r="AO140" s="45"/>
      <c r="AP140" s="45"/>
      <c r="AQ140" s="45"/>
      <c r="AR140" s="45"/>
      <c r="AS140" s="45"/>
      <c r="AT140" s="45"/>
      <c r="AU140" s="45"/>
      <c r="AV140" s="45"/>
      <c r="AW140" s="45"/>
      <c r="AX140" s="45"/>
      <c r="AY140" s="45"/>
      <c r="AZ140" s="45"/>
      <c r="BA140" s="45"/>
      <c r="BB140" s="45"/>
      <c r="BC140" s="45"/>
      <c r="BD140" s="45"/>
      <c r="BE140" s="45"/>
      <c r="BF140" s="45"/>
      <c r="BG140" s="45"/>
      <c r="BH140" s="45"/>
      <c r="BI140" s="45"/>
      <c r="BJ140" s="45"/>
      <c r="BK140" s="45"/>
      <c r="BL140" s="45"/>
      <c r="BM140" s="45"/>
      <c r="BN140" s="45"/>
      <c r="BO140" s="45"/>
      <c r="BP140" s="45"/>
      <c r="BQ140" s="45"/>
      <c r="BR140" s="45"/>
      <c r="BS140" s="45"/>
      <c r="BT140" s="45"/>
      <c r="BU140" s="45"/>
      <c r="BV140" s="45"/>
      <c r="BW140" s="45"/>
      <c r="BX140" s="45"/>
      <c r="BY140" s="45"/>
      <c r="BZ140" s="45"/>
      <c r="CA140" s="45"/>
      <c r="CB140" s="45"/>
      <c r="CC140" s="45"/>
      <c r="CD140" s="45"/>
      <c r="CE140" s="45"/>
      <c r="CF140" s="45"/>
      <c r="CG140" s="45"/>
      <c r="CH140" s="45"/>
      <c r="CI140" s="45"/>
      <c r="CJ140" s="45"/>
      <c r="CK140" s="45"/>
      <c r="CL140" s="45"/>
      <c r="CM140" s="45"/>
      <c r="CN140" s="45"/>
      <c r="CO140" s="45"/>
      <c r="CP140" s="45"/>
      <c r="CQ140" s="45"/>
      <c r="CR140" s="45"/>
      <c r="CS140" s="45"/>
      <c r="CT140" s="45"/>
      <c r="CU140" s="45"/>
      <c r="CV140" s="45"/>
      <c r="CW140" s="45"/>
      <c r="CX140" s="45"/>
      <c r="CY140" s="45"/>
      <c r="CZ140" s="45"/>
      <c r="DA140" s="45"/>
      <c r="DB140" s="45"/>
      <c r="DC140" s="45"/>
      <c r="DD140" s="45"/>
      <c r="DE140" s="45"/>
      <c r="DF140" s="45"/>
      <c r="DG140" s="45"/>
      <c r="DH140" s="45"/>
      <c r="DI140" s="45"/>
      <c r="DJ140" s="45"/>
      <c r="DK140" s="45"/>
      <c r="DL140" s="45"/>
      <c r="DM140" s="45"/>
      <c r="DN140" s="45"/>
      <c r="DO140" s="45"/>
      <c r="DP140" s="45"/>
      <c r="DQ140" s="45"/>
      <c r="DR140" s="45"/>
      <c r="DS140" s="45"/>
      <c r="DT140" s="45"/>
      <c r="DU140" s="45"/>
      <c r="DV140" s="45"/>
      <c r="DW140" s="45"/>
      <c r="DX140" s="45"/>
      <c r="DY140" s="45"/>
      <c r="DZ140" s="45"/>
      <c r="EA140" s="45"/>
      <c r="EB140" s="45"/>
      <c r="EC140" s="45"/>
      <c r="ED140" s="45"/>
      <c r="EE140" s="45"/>
      <c r="EF140" s="45"/>
      <c r="EG140" s="45"/>
      <c r="EH140" s="45"/>
      <c r="EI140" s="45"/>
      <c r="EJ140" s="45"/>
      <c r="EK140" s="70"/>
      <c r="EL140" s="70"/>
      <c r="EM140" s="70"/>
      <c r="EN140" s="70"/>
      <c r="EO140" s="70"/>
      <c r="EP140" s="70"/>
      <c r="EQ140" s="70"/>
      <c r="ER140" s="70"/>
      <c r="ES140" s="70"/>
      <c r="ET140" s="70"/>
      <c r="EU140" s="70"/>
      <c r="EV140" s="70"/>
      <c r="EW140" s="70"/>
      <c r="EX140" s="70"/>
      <c r="EY140" s="70"/>
      <c r="EZ140" s="70"/>
      <c r="FA140" s="70"/>
      <c r="FB140" s="70"/>
      <c r="FC140" s="70"/>
      <c r="FD140" s="70"/>
      <c r="FE140" s="70"/>
      <c r="FF140" s="70"/>
      <c r="FG140" s="70"/>
      <c r="FH140" s="70"/>
      <c r="FI140" s="70"/>
      <c r="FJ140" s="70"/>
      <c r="FK140" s="70"/>
      <c r="FL140" s="70"/>
      <c r="FM140" s="70"/>
      <c r="FN140" s="70"/>
      <c r="FO140" s="70"/>
      <c r="FP140" s="70"/>
      <c r="FQ140" s="70"/>
      <c r="FR140" s="70"/>
      <c r="FS140" s="70"/>
      <c r="FT140" s="70"/>
      <c r="FU140" s="70"/>
      <c r="FV140" s="70"/>
      <c r="FW140" s="70"/>
      <c r="FX140" s="70"/>
      <c r="FY140" s="70"/>
      <c r="FZ140" s="70"/>
      <c r="GA140" s="70"/>
      <c r="GB140" s="70"/>
      <c r="GC140" s="70"/>
      <c r="GD140" s="70"/>
      <c r="GE140" s="70"/>
      <c r="GF140" s="45"/>
      <c r="GG140" s="45"/>
      <c r="GH140" s="45"/>
      <c r="GI140" s="45"/>
      <c r="GJ140" s="45"/>
      <c r="GK140" s="45"/>
      <c r="GL140" s="45"/>
      <c r="GM140" s="45"/>
      <c r="GN140" s="45"/>
      <c r="GO140" s="45"/>
      <c r="GP140" s="45"/>
      <c r="GQ140" s="45"/>
      <c r="GR140" s="45"/>
      <c r="GS140" s="45"/>
      <c r="GT140" s="45"/>
      <c r="GU140" s="45"/>
      <c r="GV140" s="45"/>
      <c r="GW140" s="45"/>
      <c r="GX140" s="45"/>
      <c r="GY140" s="45"/>
      <c r="GZ140" s="45"/>
      <c r="HA140" s="45"/>
      <c r="HB140" s="45"/>
      <c r="HC140" s="45"/>
      <c r="HD140" s="45"/>
      <c r="HE140" s="45"/>
      <c r="HF140" s="45"/>
      <c r="HG140" s="45"/>
      <c r="HH140" s="45"/>
      <c r="HI140" s="45"/>
      <c r="HJ140" s="45"/>
      <c r="HK140" s="45"/>
      <c r="HL140" s="45"/>
      <c r="HM140" s="45"/>
      <c r="HN140" s="45"/>
      <c r="HO140" s="45"/>
      <c r="HP140" s="45"/>
      <c r="HQ140" s="45"/>
      <c r="HR140" s="45"/>
      <c r="HS140" s="45"/>
      <c r="HT140" s="45"/>
      <c r="HU140" s="45"/>
      <c r="HV140" s="45"/>
      <c r="HW140" s="45"/>
      <c r="HX140" s="45"/>
      <c r="HY140" s="45"/>
      <c r="HZ140" s="45"/>
      <c r="IA140" s="45"/>
      <c r="IB140" s="45"/>
      <c r="IC140" s="45"/>
      <c r="ID140" s="45"/>
      <c r="IE140" s="45"/>
      <c r="IF140" s="45"/>
      <c r="IG140" s="45"/>
      <c r="IH140" s="45"/>
      <c r="II140" s="45"/>
      <c r="IJ140" s="45"/>
      <c r="IK140" s="45"/>
      <c r="IL140" s="45"/>
      <c r="IM140" s="45"/>
      <c r="IN140" s="45"/>
      <c r="IO140" s="45"/>
      <c r="IP140" s="45"/>
      <c r="IQ140" s="45"/>
      <c r="IR140" s="45"/>
      <c r="IS140" s="45"/>
      <c r="IT140" s="45"/>
      <c r="IU140" s="45"/>
      <c r="IV140" s="45"/>
      <c r="IW140" s="45"/>
    </row>
    <row r="141" customFormat="false" ht="13.5" hidden="false" customHeight="true" outlineLevel="0" collapsed="false">
      <c r="A141" s="146"/>
      <c r="B141" s="155"/>
      <c r="C141" s="53"/>
      <c r="D141" s="53"/>
      <c r="E141" s="155"/>
      <c r="F141" s="149"/>
      <c r="G141" s="53"/>
      <c r="H141" s="53"/>
      <c r="I141" s="149"/>
      <c r="J141" s="149"/>
      <c r="K141" s="149"/>
      <c r="L141" s="149"/>
      <c r="M141" s="149"/>
      <c r="N141" s="149"/>
      <c r="O141" s="149"/>
      <c r="P141" s="149" t="s">
        <v>6265</v>
      </c>
      <c r="Q141" s="149" t="s">
        <v>6265</v>
      </c>
      <c r="R141" s="149"/>
      <c r="S141" s="149" t="s">
        <v>6265</v>
      </c>
      <c r="T141" s="53"/>
      <c r="U141" s="53"/>
      <c r="V141" s="53"/>
      <c r="W141" s="156" t="s">
        <v>5955</v>
      </c>
      <c r="X141" s="156" t="s">
        <v>5996</v>
      </c>
      <c r="Y141" s="156" t="s">
        <v>5955</v>
      </c>
      <c r="Z141" s="156" t="s">
        <v>6266</v>
      </c>
      <c r="AA141" s="156"/>
      <c r="AB141" s="53"/>
      <c r="AC141" s="53"/>
      <c r="AD141" s="157" t="s">
        <v>6267</v>
      </c>
      <c r="AE141" s="157" t="s">
        <v>6267</v>
      </c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106" t="s">
        <v>6268</v>
      </c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  <c r="BE141" s="53"/>
      <c r="BF141" s="53"/>
      <c r="BG141" s="53"/>
      <c r="BH141" s="53"/>
      <c r="BI141" s="53"/>
      <c r="BJ141" s="53"/>
      <c r="BK141" s="53"/>
      <c r="BL141" s="53"/>
      <c r="BM141" s="53"/>
      <c r="BN141" s="53"/>
      <c r="BO141" s="53"/>
      <c r="BP141" s="53"/>
      <c r="BQ141" s="148"/>
      <c r="BR141" s="148"/>
      <c r="BS141" s="148"/>
      <c r="BT141" s="148"/>
      <c r="BU141" s="148"/>
      <c r="BV141" s="148"/>
      <c r="BW141" s="148"/>
      <c r="BX141" s="148"/>
      <c r="BY141" s="148"/>
      <c r="BZ141" s="148"/>
      <c r="CA141" s="148"/>
      <c r="CB141" s="148"/>
      <c r="CC141" s="148"/>
      <c r="CD141" s="148"/>
      <c r="CE141" s="148"/>
      <c r="CF141" s="148"/>
      <c r="CG141" s="148"/>
      <c r="CH141" s="106" t="s">
        <v>6269</v>
      </c>
      <c r="CI141" s="148"/>
      <c r="CJ141" s="106" t="s">
        <v>6269</v>
      </c>
      <c r="CK141" s="148"/>
      <c r="CL141" s="148"/>
      <c r="CM141" s="148"/>
      <c r="CN141" s="148"/>
      <c r="CO141" s="148"/>
      <c r="CP141" s="148"/>
      <c r="CQ141" s="148"/>
      <c r="CR141" s="148"/>
      <c r="CS141" s="148"/>
      <c r="CT141" s="148"/>
      <c r="CU141" s="148"/>
      <c r="CV141" s="148"/>
      <c r="CW141" s="148"/>
      <c r="CX141" s="148"/>
      <c r="CY141" s="148"/>
      <c r="CZ141" s="148"/>
      <c r="DA141" s="148"/>
      <c r="DB141" s="148"/>
      <c r="DC141" s="148"/>
      <c r="DD141" s="148"/>
      <c r="DE141" s="148"/>
      <c r="DF141" s="148"/>
      <c r="DG141" s="148"/>
      <c r="DH141" s="148"/>
      <c r="DI141" s="148"/>
      <c r="DJ141" s="148"/>
      <c r="DK141" s="148"/>
      <c r="DL141" s="148"/>
      <c r="DM141" s="148"/>
      <c r="DN141" s="148"/>
      <c r="DO141" s="148"/>
      <c r="DP141" s="148"/>
      <c r="DQ141" s="148"/>
      <c r="DR141" s="148"/>
      <c r="DS141" s="148"/>
      <c r="DT141" s="148"/>
      <c r="DU141" s="148"/>
      <c r="DV141" s="148"/>
      <c r="DW141" s="148"/>
      <c r="DX141" s="148"/>
      <c r="DY141" s="148"/>
      <c r="DZ141" s="148"/>
      <c r="EA141" s="148"/>
      <c r="EB141" s="148"/>
      <c r="EC141" s="148"/>
      <c r="ED141" s="148"/>
      <c r="EE141" s="148"/>
      <c r="EF141" s="148"/>
      <c r="EG141" s="148"/>
      <c r="EH141" s="148"/>
      <c r="EI141" s="148"/>
      <c r="EJ141" s="148"/>
      <c r="EK141" s="70"/>
      <c r="EL141" s="70"/>
      <c r="EM141" s="70"/>
      <c r="EN141" s="70"/>
      <c r="EO141" s="70"/>
      <c r="EP141" s="70"/>
      <c r="EQ141" s="70"/>
      <c r="ER141" s="70"/>
      <c r="ES141" s="70"/>
      <c r="ET141" s="70"/>
      <c r="EU141" s="70"/>
      <c r="EV141" s="70"/>
      <c r="EW141" s="70"/>
      <c r="EX141" s="70"/>
      <c r="EY141" s="70"/>
      <c r="EZ141" s="70"/>
      <c r="FA141" s="70"/>
      <c r="FB141" s="70"/>
      <c r="FC141" s="70"/>
      <c r="FD141" s="70"/>
      <c r="FE141" s="70"/>
      <c r="FF141" s="70"/>
      <c r="FG141" s="70"/>
      <c r="FH141" s="70"/>
      <c r="FI141" s="70"/>
      <c r="FJ141" s="70"/>
      <c r="FK141" s="70"/>
      <c r="FL141" s="70"/>
      <c r="FM141" s="70"/>
      <c r="FN141" s="70"/>
      <c r="FO141" s="70"/>
      <c r="FP141" s="70"/>
      <c r="FQ141" s="70"/>
      <c r="FR141" s="70"/>
      <c r="FS141" s="70"/>
      <c r="FT141" s="70"/>
      <c r="FU141" s="70"/>
      <c r="FV141" s="70"/>
      <c r="FW141" s="70"/>
      <c r="FX141" s="70"/>
      <c r="FY141" s="70"/>
      <c r="FZ141" s="70"/>
      <c r="GA141" s="70"/>
      <c r="GB141" s="70"/>
      <c r="GC141" s="70"/>
      <c r="GD141" s="70"/>
      <c r="GE141" s="70"/>
      <c r="GF141" s="70"/>
      <c r="GG141" s="70"/>
      <c r="GH141" s="70"/>
      <c r="GI141" s="70"/>
      <c r="GJ141" s="70"/>
      <c r="GK141" s="70"/>
      <c r="GL141" s="70"/>
      <c r="GM141" s="70"/>
      <c r="GN141" s="70"/>
      <c r="GO141" s="70"/>
      <c r="GP141" s="70"/>
      <c r="GQ141" s="70"/>
      <c r="GR141" s="70"/>
      <c r="GS141" s="70"/>
      <c r="GT141" s="70"/>
      <c r="GU141" s="70"/>
      <c r="GV141" s="70"/>
      <c r="GW141" s="70"/>
      <c r="GX141" s="70"/>
      <c r="GY141" s="70"/>
      <c r="GZ141" s="70"/>
      <c r="HA141" s="70"/>
      <c r="HB141" s="70"/>
      <c r="HC141" s="70"/>
      <c r="HD141" s="70"/>
      <c r="HE141" s="70"/>
      <c r="HF141" s="70"/>
      <c r="HG141" s="70"/>
      <c r="HH141" s="70"/>
      <c r="HI141" s="70"/>
      <c r="HJ141" s="70"/>
      <c r="HK141" s="70"/>
      <c r="HL141" s="70"/>
      <c r="HM141" s="70"/>
      <c r="HN141" s="70"/>
      <c r="HO141" s="70"/>
      <c r="HP141" s="70"/>
      <c r="HQ141" s="70"/>
      <c r="HR141" s="70"/>
      <c r="HS141" s="70"/>
      <c r="HT141" s="70"/>
      <c r="HU141" s="70"/>
      <c r="HV141" s="70"/>
      <c r="HW141" s="70"/>
      <c r="HX141" s="70"/>
      <c r="HY141" s="70"/>
      <c r="HZ141" s="70"/>
      <c r="IA141" s="70"/>
      <c r="IB141" s="70"/>
      <c r="IC141" s="70"/>
      <c r="ID141" s="70"/>
      <c r="IE141" s="70"/>
      <c r="IF141" s="70"/>
      <c r="IG141" s="70"/>
      <c r="IH141" s="70"/>
      <c r="II141" s="70"/>
      <c r="IJ141" s="70"/>
      <c r="IK141" s="70"/>
      <c r="IL141" s="70"/>
      <c r="IM141" s="70"/>
      <c r="IN141" s="70"/>
      <c r="IO141" s="70"/>
      <c r="IP141" s="70"/>
      <c r="IQ141" s="70"/>
      <c r="IR141" s="70"/>
      <c r="IS141" s="70"/>
      <c r="IT141" s="70"/>
      <c r="IU141" s="70"/>
      <c r="IV141" s="70"/>
      <c r="IW141" s="70"/>
    </row>
    <row r="142" customFormat="false" ht="13.5" hidden="false" customHeight="true" outlineLevel="0" collapsed="false">
      <c r="A142" s="52" t="s">
        <v>5960</v>
      </c>
      <c r="B142" s="150"/>
      <c r="C142" s="150"/>
      <c r="D142" s="150"/>
      <c r="E142" s="150"/>
      <c r="F142" s="150"/>
      <c r="G142" s="150"/>
      <c r="H142" s="150"/>
      <c r="I142" s="150"/>
      <c r="J142" s="150"/>
      <c r="K142" s="150"/>
      <c r="L142" s="150"/>
      <c r="M142" s="150"/>
      <c r="N142" s="150"/>
      <c r="O142" s="150"/>
      <c r="P142" s="150"/>
      <c r="Q142" s="150"/>
      <c r="R142" s="150"/>
      <c r="S142" s="150"/>
      <c r="T142" s="150"/>
      <c r="U142" s="150"/>
      <c r="V142" s="150"/>
      <c r="W142" s="150" t="n">
        <v>5</v>
      </c>
      <c r="X142" s="150" t="n">
        <v>5</v>
      </c>
      <c r="Y142" s="150" t="n">
        <v>5</v>
      </c>
      <c r="Z142" s="150"/>
      <c r="AA142" s="150"/>
      <c r="AB142" s="150"/>
      <c r="AC142" s="150"/>
      <c r="AD142" s="150" t="n">
        <v>22</v>
      </c>
      <c r="AE142" s="150" t="n">
        <v>22</v>
      </c>
      <c r="AF142" s="150"/>
      <c r="AG142" s="150"/>
      <c r="AH142" s="150"/>
      <c r="AI142" s="150"/>
      <c r="AJ142" s="150"/>
      <c r="AK142" s="150"/>
      <c r="AL142" s="150"/>
      <c r="AM142" s="150"/>
      <c r="AN142" s="150"/>
      <c r="AO142" s="150"/>
      <c r="AP142" s="150"/>
      <c r="AQ142" s="150"/>
      <c r="AR142" s="150"/>
      <c r="AS142" s="150"/>
      <c r="AT142" s="150"/>
      <c r="AU142" s="150"/>
      <c r="AV142" s="150"/>
      <c r="AW142" s="150"/>
      <c r="AX142" s="150"/>
      <c r="AY142" s="150"/>
      <c r="AZ142" s="150"/>
      <c r="BA142" s="150"/>
      <c r="BB142" s="150"/>
      <c r="BC142" s="150"/>
      <c r="BD142" s="150"/>
      <c r="BE142" s="150"/>
      <c r="BF142" s="150"/>
      <c r="BG142" s="150"/>
      <c r="BH142" s="150"/>
      <c r="BI142" s="150"/>
      <c r="BJ142" s="150"/>
      <c r="BK142" s="150"/>
      <c r="BL142" s="150"/>
      <c r="BM142" s="150"/>
      <c r="BN142" s="150"/>
      <c r="BO142" s="150"/>
      <c r="BP142" s="150"/>
      <c r="BQ142" s="150"/>
      <c r="BR142" s="150"/>
      <c r="BS142" s="150"/>
      <c r="BT142" s="150"/>
      <c r="BU142" s="150"/>
      <c r="BV142" s="150"/>
      <c r="BW142" s="150"/>
      <c r="BX142" s="150"/>
      <c r="BY142" s="150"/>
      <c r="BZ142" s="150"/>
      <c r="CA142" s="150"/>
      <c r="CB142" s="150"/>
      <c r="CC142" s="150"/>
      <c r="CD142" s="150"/>
      <c r="CE142" s="150"/>
      <c r="CF142" s="150"/>
      <c r="CG142" s="150"/>
      <c r="CH142" s="150" t="n">
        <v>5</v>
      </c>
      <c r="CI142" s="150" t="n">
        <v>5</v>
      </c>
      <c r="CJ142" s="150" t="n">
        <v>6</v>
      </c>
      <c r="CK142" s="150" t="n">
        <v>6</v>
      </c>
      <c r="CL142" s="150"/>
      <c r="CM142" s="150"/>
      <c r="CN142" s="150"/>
      <c r="CO142" s="150"/>
      <c r="CP142" s="150"/>
      <c r="CQ142" s="150"/>
      <c r="CR142" s="150"/>
      <c r="CS142" s="150"/>
      <c r="CT142" s="150"/>
      <c r="CU142" s="150"/>
      <c r="CV142" s="150"/>
      <c r="CW142" s="150"/>
      <c r="CX142" s="150"/>
      <c r="CY142" s="150"/>
      <c r="CZ142" s="150"/>
      <c r="DA142" s="150"/>
      <c r="DB142" s="150"/>
      <c r="DC142" s="150"/>
      <c r="DD142" s="150"/>
      <c r="DE142" s="150"/>
      <c r="DF142" s="150"/>
      <c r="DG142" s="150"/>
      <c r="DH142" s="150"/>
      <c r="DI142" s="150"/>
      <c r="DJ142" s="150"/>
      <c r="DK142" s="150"/>
      <c r="DL142" s="150"/>
      <c r="DM142" s="150"/>
      <c r="DN142" s="150"/>
      <c r="DO142" s="150"/>
      <c r="DP142" s="150"/>
      <c r="DQ142" s="150"/>
      <c r="DR142" s="150"/>
      <c r="DS142" s="150"/>
      <c r="DT142" s="150"/>
      <c r="DU142" s="150"/>
      <c r="DV142" s="150"/>
      <c r="DW142" s="150"/>
      <c r="DX142" s="150"/>
      <c r="DY142" s="150"/>
      <c r="DZ142" s="150"/>
      <c r="EA142" s="150"/>
      <c r="EB142" s="150"/>
      <c r="EC142" s="150"/>
      <c r="ED142" s="150"/>
      <c r="EE142" s="150"/>
      <c r="EF142" s="150"/>
      <c r="EG142" s="150"/>
      <c r="EH142" s="150"/>
      <c r="EI142" s="150"/>
      <c r="EJ142" s="150"/>
      <c r="EK142" s="70"/>
      <c r="EL142" s="70"/>
      <c r="EM142" s="70"/>
      <c r="EN142" s="70"/>
      <c r="EO142" s="70"/>
      <c r="EP142" s="70"/>
      <c r="EQ142" s="70"/>
      <c r="ER142" s="70"/>
      <c r="ES142" s="70"/>
      <c r="ET142" s="70"/>
      <c r="EU142" s="70"/>
      <c r="EV142" s="70"/>
      <c r="EW142" s="70"/>
      <c r="EX142" s="70"/>
      <c r="EY142" s="70"/>
      <c r="EZ142" s="70"/>
      <c r="FA142" s="70"/>
      <c r="FB142" s="70"/>
      <c r="FC142" s="70"/>
      <c r="FD142" s="70"/>
      <c r="FE142" s="70"/>
      <c r="FF142" s="70"/>
      <c r="FG142" s="70"/>
      <c r="FH142" s="70"/>
      <c r="FI142" s="70"/>
      <c r="FJ142" s="70"/>
      <c r="FK142" s="70"/>
      <c r="FL142" s="70"/>
      <c r="FM142" s="70"/>
      <c r="FN142" s="70"/>
      <c r="FO142" s="70"/>
      <c r="FP142" s="70"/>
      <c r="FQ142" s="70"/>
      <c r="FR142" s="70"/>
      <c r="FS142" s="70"/>
      <c r="FT142" s="70"/>
      <c r="FU142" s="70"/>
      <c r="FV142" s="70"/>
      <c r="FW142" s="70"/>
      <c r="FX142" s="70"/>
      <c r="FY142" s="70"/>
      <c r="FZ142" s="70"/>
      <c r="GA142" s="70"/>
      <c r="GB142" s="70"/>
      <c r="GC142" s="70"/>
      <c r="GD142" s="70"/>
      <c r="GE142" s="70"/>
      <c r="GF142" s="70"/>
      <c r="GG142" s="70"/>
      <c r="GH142" s="70"/>
      <c r="GI142" s="70"/>
      <c r="GJ142" s="70"/>
      <c r="GK142" s="70"/>
      <c r="GL142" s="70"/>
      <c r="GM142" s="70"/>
      <c r="GN142" s="70"/>
      <c r="GO142" s="70"/>
      <c r="GP142" s="70"/>
      <c r="GQ142" s="70"/>
      <c r="GR142" s="70"/>
      <c r="GS142" s="70"/>
      <c r="GT142" s="70"/>
      <c r="GU142" s="70"/>
      <c r="GV142" s="70"/>
      <c r="GW142" s="70"/>
      <c r="GX142" s="70"/>
      <c r="GY142" s="70"/>
      <c r="GZ142" s="70"/>
      <c r="HA142" s="70"/>
      <c r="HB142" s="70"/>
      <c r="HC142" s="70"/>
      <c r="HD142" s="70"/>
      <c r="HE142" s="70"/>
      <c r="HF142" s="70"/>
      <c r="HG142" s="70"/>
      <c r="HH142" s="70"/>
      <c r="HI142" s="70"/>
      <c r="HJ142" s="70"/>
      <c r="HK142" s="70"/>
      <c r="HL142" s="70"/>
      <c r="HM142" s="70"/>
      <c r="HN142" s="70"/>
      <c r="HO142" s="70"/>
      <c r="HP142" s="70"/>
      <c r="HQ142" s="70"/>
      <c r="HR142" s="70"/>
      <c r="HS142" s="70"/>
      <c r="HT142" s="70"/>
      <c r="HU142" s="70"/>
      <c r="HV142" s="150"/>
      <c r="HW142" s="150"/>
      <c r="HX142" s="150"/>
      <c r="HY142" s="150"/>
      <c r="HZ142" s="150"/>
      <c r="IA142" s="150"/>
      <c r="IB142" s="150"/>
      <c r="IC142" s="150"/>
      <c r="ID142" s="150"/>
      <c r="IE142" s="150"/>
      <c r="IF142" s="150"/>
      <c r="IG142" s="150"/>
      <c r="IH142" s="150"/>
      <c r="II142" s="150"/>
      <c r="IJ142" s="150"/>
      <c r="IK142" s="150"/>
      <c r="IL142" s="150"/>
      <c r="IM142" s="150"/>
      <c r="IN142" s="150"/>
      <c r="IO142" s="150"/>
      <c r="IP142" s="150"/>
      <c r="IQ142" s="150"/>
      <c r="IR142" s="150"/>
      <c r="IS142" s="150"/>
      <c r="IT142" s="150"/>
      <c r="IU142" s="150"/>
      <c r="IV142" s="150"/>
      <c r="IW142" s="150"/>
    </row>
    <row r="143" customFormat="false" ht="13.5" hidden="false" customHeight="true" outlineLevel="0" collapsed="false">
      <c r="A143" s="30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  <c r="AA143" s="152"/>
      <c r="AB143" s="152"/>
      <c r="AC143" s="152"/>
      <c r="AD143" s="152"/>
      <c r="AE143" s="152"/>
      <c r="AF143" s="152"/>
      <c r="AG143" s="152"/>
      <c r="AH143" s="152"/>
      <c r="AI143" s="152"/>
      <c r="AJ143" s="152"/>
      <c r="AK143" s="152"/>
      <c r="AL143" s="152"/>
      <c r="AM143" s="152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  <c r="BI143" s="30"/>
      <c r="BJ143" s="30"/>
      <c r="BK143" s="30"/>
      <c r="BL143" s="30"/>
      <c r="BM143" s="30"/>
      <c r="BN143" s="30"/>
      <c r="BO143" s="30"/>
      <c r="BP143" s="30"/>
      <c r="BQ143" s="30"/>
      <c r="BR143" s="30"/>
      <c r="BS143" s="30"/>
      <c r="BT143" s="30"/>
      <c r="BU143" s="30"/>
      <c r="BV143" s="30"/>
      <c r="BW143" s="30"/>
      <c r="BX143" s="30"/>
      <c r="BY143" s="30"/>
      <c r="BZ143" s="30"/>
      <c r="CA143" s="30"/>
      <c r="CB143" s="30"/>
      <c r="CC143" s="30"/>
      <c r="CD143" s="30"/>
      <c r="CE143" s="30"/>
      <c r="CF143" s="30"/>
      <c r="CG143" s="30"/>
      <c r="CH143" s="30"/>
      <c r="CI143" s="30"/>
      <c r="CJ143" s="30"/>
      <c r="CK143" s="30"/>
      <c r="CL143" s="30"/>
      <c r="CM143" s="30"/>
      <c r="CN143" s="30"/>
      <c r="CO143" s="30"/>
      <c r="CP143" s="30"/>
      <c r="CQ143" s="30"/>
      <c r="CR143" s="30"/>
      <c r="CS143" s="30"/>
      <c r="CT143" s="30"/>
      <c r="CU143" s="30"/>
      <c r="CV143" s="30"/>
      <c r="CW143" s="30"/>
      <c r="CX143" s="30"/>
      <c r="CY143" s="30"/>
      <c r="CZ143" s="30"/>
      <c r="DA143" s="30"/>
      <c r="DB143" s="30"/>
      <c r="DC143" s="30"/>
      <c r="DD143" s="30"/>
      <c r="DE143" s="30"/>
      <c r="DF143" s="30"/>
      <c r="DG143" s="30"/>
      <c r="DH143" s="30"/>
      <c r="DI143" s="30"/>
      <c r="DJ143" s="30"/>
      <c r="DK143" s="30"/>
      <c r="DL143" s="30"/>
      <c r="DM143" s="30"/>
      <c r="DN143" s="30"/>
      <c r="DO143" s="30"/>
      <c r="DP143" s="30"/>
      <c r="DQ143" s="30"/>
      <c r="DR143" s="30"/>
      <c r="DS143" s="30"/>
      <c r="DT143" s="30"/>
      <c r="DU143" s="30"/>
      <c r="DV143" s="30"/>
      <c r="DW143" s="30"/>
      <c r="DX143" s="30"/>
      <c r="DY143" s="30"/>
      <c r="DZ143" s="30"/>
      <c r="EA143" s="30"/>
      <c r="EB143" s="30"/>
      <c r="EC143" s="30"/>
      <c r="ED143" s="30"/>
      <c r="EE143" s="30"/>
      <c r="EF143" s="30"/>
      <c r="EG143" s="30"/>
      <c r="EH143" s="30"/>
      <c r="EI143" s="30"/>
      <c r="EJ143" s="30"/>
      <c r="EK143" s="30"/>
      <c r="EL143" s="30"/>
      <c r="EM143" s="30"/>
      <c r="EN143" s="30"/>
      <c r="EO143" s="30"/>
      <c r="EP143" s="30"/>
      <c r="EQ143" s="30"/>
      <c r="ER143" s="30"/>
      <c r="ES143" s="30"/>
      <c r="ET143" s="30"/>
      <c r="EU143" s="30"/>
      <c r="EV143" s="30"/>
      <c r="EW143" s="30"/>
      <c r="EX143" s="30"/>
      <c r="EY143" s="30"/>
      <c r="EZ143" s="30"/>
      <c r="FA143" s="30"/>
      <c r="FB143" s="30"/>
      <c r="FC143" s="30"/>
      <c r="FD143" s="30"/>
      <c r="FE143" s="30"/>
      <c r="FF143" s="30"/>
      <c r="FG143" s="30"/>
      <c r="FH143" s="30"/>
      <c r="FI143" s="30"/>
      <c r="FJ143" s="30"/>
      <c r="FK143" s="30"/>
      <c r="FL143" s="30"/>
      <c r="FM143" s="30"/>
      <c r="FN143" s="30"/>
      <c r="FO143" s="30"/>
      <c r="FP143" s="30"/>
      <c r="FQ143" s="30"/>
      <c r="FR143" s="30"/>
      <c r="FS143" s="30"/>
      <c r="FT143" s="30"/>
      <c r="FU143" s="30"/>
      <c r="FV143" s="30"/>
      <c r="FW143" s="30"/>
      <c r="FX143" s="30"/>
      <c r="FY143" s="30"/>
      <c r="FZ143" s="30"/>
      <c r="GA143" s="30"/>
      <c r="GB143" s="30"/>
      <c r="GC143" s="30"/>
      <c r="GD143" s="30"/>
      <c r="GE143" s="30"/>
      <c r="GF143" s="30"/>
      <c r="GG143" s="30"/>
      <c r="GH143" s="30"/>
      <c r="GI143" s="30"/>
      <c r="GJ143" s="30"/>
      <c r="GK143" s="30"/>
      <c r="GL143" s="30"/>
      <c r="GM143" s="30"/>
      <c r="GN143" s="30"/>
      <c r="GO143" s="30"/>
      <c r="GP143" s="30"/>
      <c r="GQ143" s="30"/>
      <c r="GR143" s="30"/>
      <c r="GS143" s="30"/>
      <c r="GT143" s="30"/>
      <c r="GU143" s="30"/>
      <c r="GV143" s="30"/>
      <c r="GW143" s="30"/>
      <c r="GX143" s="30"/>
      <c r="GY143" s="30"/>
      <c r="GZ143" s="30"/>
      <c r="HA143" s="30"/>
      <c r="HB143" s="30"/>
      <c r="HC143" s="30"/>
      <c r="HD143" s="30"/>
      <c r="HE143" s="30"/>
      <c r="HF143" s="30"/>
      <c r="HG143" s="30"/>
      <c r="HH143" s="30"/>
      <c r="HI143" s="30"/>
      <c r="HJ143" s="30"/>
      <c r="HK143" s="30"/>
      <c r="HL143" s="30"/>
      <c r="HM143" s="30"/>
      <c r="HN143" s="30"/>
      <c r="HO143" s="30"/>
      <c r="HP143" s="30"/>
      <c r="HQ143" s="30"/>
      <c r="HR143" s="30"/>
      <c r="HS143" s="30"/>
      <c r="HT143" s="30"/>
      <c r="HU143" s="30"/>
      <c r="HV143" s="30"/>
      <c r="HW143" s="30"/>
      <c r="HX143" s="30"/>
      <c r="HY143" s="30"/>
      <c r="HZ143" s="30"/>
      <c r="IA143" s="30"/>
      <c r="IB143" s="30"/>
      <c r="IC143" s="30"/>
      <c r="ID143" s="30"/>
      <c r="IE143" s="30"/>
      <c r="IF143" s="30"/>
      <c r="IG143" s="30"/>
      <c r="IH143" s="30"/>
      <c r="II143" s="30"/>
      <c r="IJ143" s="30"/>
      <c r="IK143" s="30"/>
      <c r="IL143" s="30"/>
      <c r="IM143" s="30"/>
      <c r="IN143" s="30"/>
      <c r="IO143" s="30"/>
      <c r="IP143" s="30"/>
      <c r="IQ143" s="30"/>
      <c r="IR143" s="30"/>
      <c r="IS143" s="30"/>
      <c r="IT143" s="30"/>
      <c r="IU143" s="30"/>
      <c r="IV143" s="30"/>
      <c r="IW143" s="30"/>
    </row>
    <row r="144" customFormat="false" ht="13.5" hidden="false" customHeight="true" outlineLevel="0" collapsed="false">
      <c r="A144" s="85" t="s">
        <v>6270</v>
      </c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 t="s">
        <v>5947</v>
      </c>
      <c r="Y144" s="30"/>
      <c r="Z144" s="30" t="s">
        <v>6271</v>
      </c>
      <c r="AA144" s="30"/>
      <c r="AB144" s="30"/>
      <c r="AC144" s="30"/>
      <c r="AD144" s="30"/>
      <c r="AE144" s="30" t="s">
        <v>5948</v>
      </c>
      <c r="AF144" s="30"/>
      <c r="AG144" s="30"/>
      <c r="AH144" s="30"/>
      <c r="AI144" s="30"/>
      <c r="AJ144" s="30"/>
      <c r="AK144" s="30"/>
      <c r="AL144" s="30" t="s">
        <v>5948</v>
      </c>
      <c r="AM144" s="30"/>
      <c r="AN144" s="30"/>
      <c r="AO144" s="30"/>
      <c r="AP144" s="30"/>
      <c r="AQ144" s="30"/>
      <c r="AR144" s="30" t="s">
        <v>5948</v>
      </c>
      <c r="AS144" s="30" t="s">
        <v>5948</v>
      </c>
      <c r="AT144" s="30"/>
      <c r="AU144" s="30"/>
      <c r="AV144" s="30" t="s">
        <v>5949</v>
      </c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 t="s">
        <v>6272</v>
      </c>
      <c r="BH144" s="30" t="s">
        <v>5948</v>
      </c>
      <c r="BI144" s="30" t="s">
        <v>5949</v>
      </c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  <c r="BV144" s="30"/>
      <c r="BW144" s="30"/>
      <c r="BX144" s="30"/>
      <c r="BY144" s="30"/>
      <c r="BZ144" s="30"/>
      <c r="CA144" s="30"/>
      <c r="CB144" s="30"/>
      <c r="CC144" s="30"/>
      <c r="CD144" s="30"/>
      <c r="CE144" s="30"/>
      <c r="CF144" s="30"/>
      <c r="CG144" s="30"/>
      <c r="CH144" s="30"/>
      <c r="CI144" s="30"/>
      <c r="CJ144" s="30"/>
      <c r="CK144" s="30"/>
      <c r="CL144" s="30"/>
      <c r="CM144" s="30"/>
      <c r="CN144" s="30"/>
      <c r="CO144" s="30"/>
      <c r="CP144" s="30"/>
      <c r="CQ144" s="30"/>
      <c r="CR144" s="30"/>
      <c r="CS144" s="30"/>
      <c r="CT144" s="30"/>
      <c r="CU144" s="30"/>
      <c r="CV144" s="30"/>
      <c r="CW144" s="30"/>
      <c r="CX144" s="30"/>
      <c r="CY144" s="30"/>
      <c r="CZ144" s="30"/>
      <c r="DA144" s="30"/>
      <c r="DB144" s="30"/>
      <c r="DC144" s="30"/>
      <c r="DD144" s="30"/>
      <c r="DE144" s="30"/>
      <c r="DF144" s="30"/>
      <c r="DG144" s="30"/>
      <c r="DH144" s="30"/>
      <c r="DI144" s="30"/>
      <c r="DJ144" s="30"/>
      <c r="DK144" s="30"/>
      <c r="DL144" s="30"/>
      <c r="DM144" s="30"/>
      <c r="DN144" s="30"/>
      <c r="DO144" s="30"/>
      <c r="DP144" s="30"/>
      <c r="DQ144" s="30"/>
      <c r="DR144" s="30"/>
      <c r="DS144" s="30"/>
      <c r="DT144" s="30"/>
      <c r="DU144" s="30"/>
      <c r="DV144" s="30"/>
      <c r="DW144" s="30"/>
      <c r="DX144" s="30"/>
      <c r="DY144" s="30"/>
      <c r="DZ144" s="30"/>
      <c r="EA144" s="30"/>
      <c r="EB144" s="30"/>
      <c r="EC144" s="30"/>
      <c r="ED144" s="30"/>
      <c r="EE144" s="30"/>
      <c r="EF144" s="30"/>
      <c r="EG144" s="30"/>
      <c r="EH144" s="30"/>
      <c r="EI144" s="30"/>
      <c r="EJ144" s="30"/>
      <c r="EK144" s="30"/>
      <c r="EL144" s="30"/>
      <c r="EM144" s="30"/>
      <c r="EN144" s="30"/>
      <c r="EO144" s="30"/>
      <c r="EP144" s="30"/>
      <c r="EQ144" s="30"/>
      <c r="ER144" s="30"/>
      <c r="ES144" s="30"/>
      <c r="ET144" s="30"/>
      <c r="EU144" s="30"/>
      <c r="EV144" s="30"/>
      <c r="EW144" s="30"/>
      <c r="EX144" s="30"/>
      <c r="EY144" s="30"/>
      <c r="EZ144" s="30"/>
      <c r="FA144" s="30"/>
      <c r="FB144" s="30"/>
      <c r="FC144" s="30"/>
      <c r="FD144" s="30"/>
      <c r="FE144" s="30"/>
      <c r="FF144" s="30"/>
      <c r="FG144" s="30"/>
      <c r="FH144" s="30"/>
      <c r="FI144" s="30"/>
      <c r="FJ144" s="30"/>
      <c r="FK144" s="30"/>
      <c r="FL144" s="30"/>
      <c r="FM144" s="30"/>
      <c r="FN144" s="30"/>
      <c r="FO144" s="30"/>
      <c r="FP144" s="30"/>
      <c r="FQ144" s="30"/>
      <c r="FR144" s="30"/>
      <c r="FS144" s="30"/>
      <c r="FT144" s="30"/>
      <c r="FU144" s="30"/>
      <c r="FV144" s="30"/>
      <c r="FW144" s="30"/>
      <c r="FX144" s="30"/>
      <c r="FY144" s="30"/>
      <c r="FZ144" s="30"/>
      <c r="GA144" s="30"/>
      <c r="GB144" s="30"/>
      <c r="GC144" s="30"/>
      <c r="GD144" s="30"/>
      <c r="GE144" s="30"/>
      <c r="GF144" s="30"/>
      <c r="GG144" s="30"/>
      <c r="GH144" s="30"/>
      <c r="GI144" s="30"/>
      <c r="GJ144" s="30"/>
      <c r="GK144" s="30"/>
      <c r="GL144" s="30"/>
      <c r="GM144" s="30"/>
      <c r="GN144" s="30"/>
      <c r="GO144" s="30"/>
      <c r="GP144" s="30"/>
      <c r="GQ144" s="30"/>
      <c r="GR144" s="30"/>
      <c r="GS144" s="30"/>
      <c r="GT144" s="30"/>
      <c r="GU144" s="30"/>
      <c r="GV144" s="30"/>
      <c r="GW144" s="30"/>
      <c r="GX144" s="30"/>
      <c r="GY144" s="30"/>
      <c r="GZ144" s="30"/>
      <c r="HA144" s="30"/>
      <c r="HB144" s="30"/>
      <c r="HC144" s="30"/>
      <c r="HD144" s="30"/>
      <c r="HE144" s="30"/>
      <c r="HF144" s="30"/>
      <c r="HG144" s="30"/>
      <c r="HH144" s="30"/>
      <c r="HI144" s="30"/>
      <c r="HJ144" s="30"/>
      <c r="HK144" s="30"/>
      <c r="HL144" s="30"/>
      <c r="HM144" s="30"/>
      <c r="HN144" s="30"/>
      <c r="HO144" s="30"/>
      <c r="HP144" s="30"/>
      <c r="HQ144" s="30"/>
      <c r="HR144" s="30"/>
      <c r="HS144" s="30"/>
      <c r="HT144" s="30"/>
      <c r="HU144" s="30"/>
      <c r="HV144" s="30"/>
      <c r="HW144" s="30"/>
      <c r="HX144" s="30"/>
      <c r="HY144" s="30"/>
      <c r="HZ144" s="30"/>
      <c r="IA144" s="30"/>
      <c r="IB144" s="30"/>
      <c r="IC144" s="30"/>
      <c r="ID144" s="30"/>
      <c r="IE144" s="30"/>
      <c r="IF144" s="30"/>
      <c r="IG144" s="30"/>
      <c r="IH144" s="30"/>
      <c r="II144" s="30"/>
      <c r="IJ144" s="30"/>
      <c r="IK144" s="30"/>
      <c r="IL144" s="30"/>
      <c r="IM144" s="30"/>
      <c r="IN144" s="30"/>
      <c r="IO144" s="30"/>
      <c r="IP144" s="30"/>
      <c r="IQ144" s="30"/>
      <c r="IR144" s="30"/>
      <c r="IS144" s="30"/>
      <c r="IT144" s="30"/>
      <c r="IU144" s="30"/>
      <c r="IV144" s="30"/>
      <c r="IW144" s="30"/>
    </row>
    <row r="145" customFormat="false" ht="13.5" hidden="false" customHeight="true" outlineLevel="0" collapsed="false">
      <c r="A145" s="158"/>
      <c r="B145" s="141"/>
      <c r="C145" s="133"/>
      <c r="D145" s="159"/>
      <c r="E145" s="159"/>
      <c r="F145" s="133"/>
      <c r="G145" s="70"/>
      <c r="H145" s="70"/>
      <c r="I145" s="133"/>
      <c r="J145" s="133"/>
      <c r="K145" s="132"/>
      <c r="L145" s="70"/>
      <c r="M145" s="70"/>
      <c r="N145" s="70"/>
      <c r="O145" s="70"/>
      <c r="P145" s="70"/>
      <c r="Q145" s="133"/>
      <c r="R145" s="70"/>
      <c r="S145" s="70"/>
      <c r="T145" s="132"/>
      <c r="U145" s="132"/>
      <c r="V145" s="132"/>
      <c r="W145" s="132"/>
      <c r="X145" s="132" t="s">
        <v>5004</v>
      </c>
      <c r="Y145" s="132"/>
      <c r="Z145" s="133" t="s">
        <v>5034</v>
      </c>
      <c r="AA145" s="70"/>
      <c r="AB145" s="132"/>
      <c r="AC145" s="132"/>
      <c r="AE145" s="160" t="s">
        <v>4901</v>
      </c>
      <c r="AF145" s="133"/>
      <c r="AH145" s="160"/>
      <c r="AI145" s="70"/>
      <c r="AJ145" s="70"/>
      <c r="AK145" s="160"/>
      <c r="AL145" s="161" t="s">
        <v>4820</v>
      </c>
      <c r="AM145" s="70"/>
      <c r="AN145" s="161"/>
      <c r="AO145" s="161"/>
      <c r="AP145" s="70"/>
      <c r="AQ145" s="70"/>
      <c r="AR145" s="132" t="s">
        <v>4809</v>
      </c>
      <c r="AS145" s="132" t="s">
        <v>5218</v>
      </c>
      <c r="AT145" s="132"/>
      <c r="AU145" s="132"/>
      <c r="AV145" s="132" t="s">
        <v>5192</v>
      </c>
      <c r="AW145" s="132"/>
      <c r="AX145" s="70"/>
      <c r="AY145" s="132"/>
      <c r="AZ145" s="132"/>
      <c r="BA145" s="132"/>
      <c r="BB145" s="70"/>
      <c r="BC145" s="70"/>
      <c r="BD145" s="70"/>
      <c r="BE145" s="70"/>
      <c r="BF145" s="132"/>
      <c r="BG145" s="132" t="s">
        <v>5373</v>
      </c>
      <c r="BH145" s="132" t="s">
        <v>5389</v>
      </c>
      <c r="BI145" s="132" t="s">
        <v>5218</v>
      </c>
      <c r="BJ145" s="132"/>
      <c r="BK145" s="70"/>
      <c r="BL145" s="70"/>
      <c r="BM145" s="132"/>
      <c r="BN145" s="132"/>
      <c r="BO145" s="70"/>
      <c r="BP145" s="70"/>
      <c r="BQ145" s="70"/>
      <c r="BR145" s="70"/>
      <c r="BS145" s="70"/>
      <c r="BT145" s="70"/>
      <c r="BU145" s="70"/>
      <c r="BV145" s="70"/>
      <c r="BW145" s="70"/>
      <c r="BX145" s="70"/>
      <c r="BY145" s="70"/>
      <c r="BZ145" s="70"/>
      <c r="CA145" s="70"/>
      <c r="CB145" s="70"/>
      <c r="CC145" s="70"/>
      <c r="CD145" s="70"/>
      <c r="CE145" s="70"/>
      <c r="CF145" s="70"/>
      <c r="CG145" s="70"/>
      <c r="CH145" s="70"/>
      <c r="CI145" s="70"/>
      <c r="CJ145" s="70"/>
      <c r="CK145" s="70"/>
      <c r="CL145" s="70"/>
      <c r="CM145" s="70"/>
      <c r="CN145" s="70"/>
      <c r="CO145" s="70"/>
      <c r="CP145" s="70"/>
      <c r="CQ145" s="70"/>
      <c r="CR145" s="70"/>
      <c r="CS145" s="70"/>
      <c r="CT145" s="70"/>
      <c r="CU145" s="70"/>
      <c r="CV145" s="70"/>
      <c r="CW145" s="70"/>
      <c r="CX145" s="70"/>
      <c r="CY145" s="70"/>
      <c r="CZ145" s="70"/>
      <c r="DA145" s="70"/>
      <c r="DB145" s="70"/>
      <c r="DC145" s="70"/>
      <c r="DD145" s="70"/>
      <c r="DE145" s="70"/>
      <c r="DF145" s="70"/>
      <c r="DG145" s="70"/>
      <c r="DH145" s="70"/>
      <c r="DI145" s="70"/>
      <c r="DJ145" s="70"/>
      <c r="DK145" s="70"/>
      <c r="DL145" s="70"/>
      <c r="DM145" s="70"/>
      <c r="DN145" s="70"/>
      <c r="DO145" s="70"/>
      <c r="DP145" s="70"/>
      <c r="DQ145" s="70"/>
      <c r="DR145" s="70"/>
      <c r="DS145" s="70"/>
      <c r="DT145" s="70"/>
      <c r="DU145" s="70"/>
      <c r="DV145" s="70"/>
      <c r="DW145" s="70"/>
      <c r="DX145" s="70"/>
      <c r="DY145" s="70"/>
      <c r="DZ145" s="70"/>
      <c r="EA145" s="70"/>
      <c r="EB145" s="70"/>
      <c r="EC145" s="70"/>
      <c r="ED145" s="70"/>
      <c r="EE145" s="70"/>
      <c r="EF145" s="70"/>
      <c r="EG145" s="70"/>
      <c r="EH145" s="70"/>
      <c r="EI145" s="70"/>
      <c r="EJ145" s="70"/>
      <c r="EK145" s="70"/>
      <c r="EL145" s="70"/>
      <c r="EM145" s="70"/>
      <c r="EN145" s="70"/>
      <c r="EO145" s="70"/>
      <c r="EP145" s="70"/>
      <c r="EQ145" s="70"/>
      <c r="ER145" s="70"/>
      <c r="ES145" s="70"/>
      <c r="ET145" s="70"/>
      <c r="EU145" s="70"/>
      <c r="EV145" s="70"/>
      <c r="EW145" s="70"/>
      <c r="EX145" s="70"/>
      <c r="EY145" s="70"/>
      <c r="EZ145" s="70"/>
      <c r="FA145" s="70"/>
      <c r="FB145" s="70"/>
      <c r="FC145" s="70"/>
      <c r="FD145" s="70"/>
      <c r="FE145" s="70"/>
      <c r="FF145" s="70"/>
      <c r="FG145" s="70"/>
      <c r="FH145" s="70"/>
      <c r="FI145" s="70"/>
      <c r="FJ145" s="70"/>
      <c r="FK145" s="70"/>
      <c r="FL145" s="70"/>
      <c r="FM145" s="70"/>
      <c r="FN145" s="70"/>
      <c r="FO145" s="70"/>
      <c r="FP145" s="70"/>
      <c r="FQ145" s="70"/>
      <c r="FR145" s="70"/>
      <c r="FS145" s="70"/>
      <c r="FT145" s="70"/>
      <c r="FU145" s="70"/>
      <c r="FV145" s="70"/>
      <c r="FW145" s="70"/>
      <c r="FX145" s="70"/>
      <c r="FY145" s="70"/>
      <c r="FZ145" s="70"/>
      <c r="GA145" s="70"/>
      <c r="GB145" s="70"/>
      <c r="GC145" s="70"/>
      <c r="GD145" s="70"/>
      <c r="GE145" s="70"/>
      <c r="GF145" s="70"/>
      <c r="GG145" s="70"/>
      <c r="GH145" s="70"/>
      <c r="GI145" s="70"/>
      <c r="GJ145" s="70"/>
      <c r="GK145" s="70"/>
      <c r="GL145" s="70"/>
      <c r="GM145" s="70"/>
      <c r="GN145" s="70"/>
      <c r="GO145" s="70"/>
      <c r="GP145" s="70"/>
      <c r="GQ145" s="70"/>
      <c r="GR145" s="70"/>
      <c r="GS145" s="70"/>
      <c r="GT145" s="70"/>
      <c r="GU145" s="70"/>
      <c r="GV145" s="70"/>
      <c r="GW145" s="70"/>
      <c r="GX145" s="70"/>
      <c r="GY145" s="70"/>
      <c r="GZ145" s="70"/>
      <c r="HA145" s="70"/>
      <c r="HB145" s="70"/>
      <c r="HC145" s="70"/>
      <c r="HD145" s="70"/>
      <c r="HE145" s="70"/>
      <c r="HF145" s="70"/>
      <c r="HG145" s="70"/>
      <c r="HH145" s="70"/>
      <c r="HI145" s="70"/>
      <c r="HJ145" s="70"/>
      <c r="HK145" s="70"/>
      <c r="HL145" s="70"/>
      <c r="HM145" s="70"/>
      <c r="HN145" s="70"/>
      <c r="HO145" s="70"/>
      <c r="HP145" s="70"/>
      <c r="HQ145" s="70"/>
      <c r="HR145" s="70"/>
      <c r="HS145" s="70"/>
      <c r="HT145" s="70"/>
      <c r="HU145" s="70"/>
      <c r="HV145" s="70"/>
      <c r="HW145" s="70"/>
      <c r="HX145" s="70"/>
      <c r="HY145" s="70"/>
      <c r="HZ145" s="70"/>
      <c r="IA145" s="70"/>
      <c r="IB145" s="70"/>
      <c r="IC145" s="70"/>
      <c r="ID145" s="70"/>
      <c r="IE145" s="70"/>
      <c r="IF145" s="70"/>
      <c r="IG145" s="70"/>
      <c r="IH145" s="70"/>
      <c r="II145" s="70"/>
      <c r="IJ145" s="70"/>
      <c r="IK145" s="70"/>
      <c r="IL145" s="70"/>
      <c r="IM145" s="70"/>
      <c r="IN145" s="70"/>
      <c r="IO145" s="70"/>
      <c r="IP145" s="70"/>
      <c r="IQ145" s="70"/>
      <c r="IR145" s="70"/>
      <c r="IS145" s="70"/>
      <c r="IT145" s="70"/>
      <c r="IU145" s="70"/>
      <c r="IV145" s="70"/>
      <c r="IW145" s="70"/>
    </row>
    <row r="146" customFormat="false" ht="13.5" hidden="false" customHeight="true" outlineLevel="0" collapsed="false">
      <c r="A146" s="134"/>
      <c r="B146" s="141"/>
      <c r="C146" s="138"/>
      <c r="D146" s="141"/>
      <c r="E146" s="141"/>
      <c r="F146" s="138"/>
      <c r="G146" s="70"/>
      <c r="H146" s="70"/>
      <c r="I146" s="138"/>
      <c r="J146" s="138"/>
      <c r="K146" s="135"/>
      <c r="L146" s="70"/>
      <c r="M146" s="70"/>
      <c r="N146" s="70"/>
      <c r="O146" s="70"/>
      <c r="P146" s="70"/>
      <c r="Q146" s="141"/>
      <c r="R146" s="70"/>
      <c r="S146" s="70"/>
      <c r="T146" s="135"/>
      <c r="U146" s="135"/>
      <c r="V146" s="135"/>
      <c r="W146" s="135"/>
      <c r="X146" s="135" t="s">
        <v>6273</v>
      </c>
      <c r="Y146" s="135"/>
      <c r="Z146" s="141" t="s">
        <v>6274</v>
      </c>
      <c r="AA146" s="70"/>
      <c r="AB146" s="135"/>
      <c r="AC146" s="135"/>
      <c r="AE146" s="135" t="s">
        <v>6275</v>
      </c>
      <c r="AF146" s="141"/>
      <c r="AH146" s="135"/>
      <c r="AI146" s="70"/>
      <c r="AJ146" s="70"/>
      <c r="AK146" s="135"/>
      <c r="AL146" s="162" t="s">
        <v>6275</v>
      </c>
      <c r="AM146" s="70"/>
      <c r="AN146" s="162"/>
      <c r="AO146" s="162"/>
      <c r="AP146" s="70"/>
      <c r="AQ146" s="70"/>
      <c r="AR146" s="135" t="s">
        <v>6276</v>
      </c>
      <c r="AS146" s="135" t="s">
        <v>6277</v>
      </c>
      <c r="AT146" s="135"/>
      <c r="AU146" s="137"/>
      <c r="AV146" s="135" t="s">
        <v>6275</v>
      </c>
      <c r="AW146" s="135"/>
      <c r="AX146" s="70"/>
      <c r="AY146" s="137"/>
      <c r="AZ146" s="135"/>
      <c r="BA146" s="135"/>
      <c r="BB146" s="70"/>
      <c r="BC146" s="70"/>
      <c r="BD146" s="70"/>
      <c r="BE146" s="70"/>
      <c r="BF146" s="137"/>
      <c r="BG146" s="137" t="s">
        <v>6278</v>
      </c>
      <c r="BH146" s="135" t="s">
        <v>6277</v>
      </c>
      <c r="BI146" s="135" t="s">
        <v>6276</v>
      </c>
      <c r="BJ146" s="135"/>
      <c r="BK146" s="70"/>
      <c r="BL146" s="70"/>
      <c r="BM146" s="135"/>
      <c r="BN146" s="135"/>
      <c r="BO146" s="70"/>
      <c r="BP146" s="70"/>
      <c r="BQ146" s="70"/>
      <c r="BR146" s="70"/>
      <c r="BS146" s="70"/>
      <c r="BT146" s="70"/>
      <c r="BU146" s="70"/>
      <c r="BV146" s="70"/>
      <c r="BW146" s="70"/>
      <c r="BX146" s="70"/>
      <c r="BY146" s="70"/>
      <c r="BZ146" s="70"/>
      <c r="CA146" s="70"/>
      <c r="CB146" s="70"/>
      <c r="CC146" s="70"/>
      <c r="CD146" s="70"/>
      <c r="CE146" s="70"/>
      <c r="CF146" s="70"/>
      <c r="CG146" s="70"/>
      <c r="CH146" s="70"/>
      <c r="CI146" s="70"/>
      <c r="CJ146" s="70"/>
      <c r="CK146" s="70"/>
      <c r="CL146" s="70"/>
      <c r="CM146" s="70"/>
      <c r="CN146" s="70"/>
      <c r="CO146" s="70"/>
      <c r="CP146" s="70"/>
      <c r="CQ146" s="70"/>
      <c r="CR146" s="70"/>
      <c r="CS146" s="70"/>
      <c r="CT146" s="70"/>
      <c r="CU146" s="70"/>
      <c r="CV146" s="70"/>
      <c r="CW146" s="70"/>
      <c r="CX146" s="70"/>
      <c r="CY146" s="70"/>
      <c r="CZ146" s="70"/>
      <c r="DA146" s="70"/>
      <c r="DB146" s="70"/>
      <c r="DC146" s="70"/>
      <c r="DD146" s="70"/>
      <c r="DE146" s="70"/>
      <c r="DF146" s="70"/>
      <c r="DG146" s="70"/>
      <c r="DH146" s="70"/>
      <c r="DI146" s="70"/>
      <c r="DJ146" s="70"/>
      <c r="DK146" s="70"/>
      <c r="DL146" s="70"/>
      <c r="DM146" s="70"/>
      <c r="DN146" s="70"/>
      <c r="DO146" s="70"/>
      <c r="DP146" s="70"/>
      <c r="DQ146" s="70"/>
      <c r="DR146" s="70"/>
      <c r="DS146" s="70"/>
      <c r="DT146" s="70"/>
      <c r="DU146" s="70"/>
      <c r="DV146" s="70"/>
      <c r="DW146" s="70"/>
      <c r="DX146" s="70"/>
      <c r="DY146" s="70"/>
      <c r="DZ146" s="70"/>
      <c r="EA146" s="70"/>
      <c r="EB146" s="70"/>
      <c r="EC146" s="70"/>
      <c r="ED146" s="70"/>
      <c r="EE146" s="70"/>
      <c r="EF146" s="70"/>
      <c r="EG146" s="70"/>
      <c r="EH146" s="70"/>
      <c r="EI146" s="70"/>
      <c r="EJ146" s="70"/>
      <c r="EK146" s="70"/>
      <c r="EL146" s="70"/>
      <c r="EM146" s="70"/>
      <c r="EN146" s="70"/>
      <c r="EO146" s="70"/>
      <c r="EP146" s="70"/>
      <c r="EQ146" s="70"/>
      <c r="ER146" s="70"/>
      <c r="ES146" s="70"/>
      <c r="ET146" s="70"/>
      <c r="EU146" s="70"/>
      <c r="EV146" s="70"/>
      <c r="EW146" s="70"/>
      <c r="EX146" s="70"/>
      <c r="EY146" s="70"/>
      <c r="EZ146" s="70"/>
      <c r="FA146" s="70"/>
      <c r="FB146" s="70"/>
      <c r="FC146" s="70"/>
      <c r="FD146" s="70"/>
      <c r="FE146" s="70"/>
      <c r="FF146" s="70"/>
      <c r="FG146" s="70"/>
      <c r="FH146" s="70"/>
      <c r="FI146" s="70"/>
      <c r="FJ146" s="70"/>
      <c r="FK146" s="70"/>
      <c r="FL146" s="70"/>
      <c r="FM146" s="70"/>
      <c r="FN146" s="70"/>
      <c r="FO146" s="70"/>
      <c r="FP146" s="70"/>
      <c r="FQ146" s="70"/>
      <c r="FR146" s="70"/>
      <c r="FS146" s="70"/>
      <c r="FT146" s="70"/>
      <c r="FU146" s="70"/>
      <c r="FV146" s="70"/>
      <c r="FW146" s="70"/>
      <c r="FX146" s="70"/>
      <c r="FY146" s="70"/>
      <c r="FZ146" s="70"/>
      <c r="GA146" s="70"/>
      <c r="GB146" s="70"/>
      <c r="GC146" s="70"/>
      <c r="GD146" s="70"/>
      <c r="GE146" s="70"/>
      <c r="GF146" s="70"/>
      <c r="GG146" s="70"/>
      <c r="GH146" s="70"/>
      <c r="GI146" s="70"/>
      <c r="GJ146" s="70"/>
      <c r="GK146" s="70"/>
      <c r="GL146" s="70"/>
      <c r="GM146" s="70"/>
      <c r="GN146" s="70"/>
      <c r="GO146" s="70"/>
      <c r="GP146" s="70"/>
      <c r="GQ146" s="70"/>
      <c r="GR146" s="70"/>
      <c r="GS146" s="70"/>
      <c r="GT146" s="70"/>
      <c r="GU146" s="70"/>
      <c r="GV146" s="70"/>
      <c r="GW146" s="70"/>
      <c r="GX146" s="70"/>
      <c r="GY146" s="70"/>
      <c r="GZ146" s="70"/>
      <c r="HA146" s="70"/>
      <c r="HB146" s="70"/>
      <c r="HC146" s="70"/>
      <c r="HD146" s="70"/>
      <c r="HE146" s="70"/>
      <c r="HF146" s="70"/>
      <c r="HG146" s="70"/>
      <c r="HH146" s="70"/>
      <c r="HI146" s="70"/>
      <c r="HJ146" s="70"/>
      <c r="HK146" s="70"/>
      <c r="HL146" s="70"/>
      <c r="HM146" s="70"/>
      <c r="HN146" s="70"/>
      <c r="HO146" s="70"/>
      <c r="HP146" s="70"/>
      <c r="HQ146" s="70"/>
      <c r="HR146" s="70"/>
      <c r="HS146" s="70"/>
      <c r="HT146" s="70"/>
      <c r="HU146" s="70"/>
      <c r="HV146" s="70"/>
      <c r="HW146" s="70"/>
      <c r="HX146" s="70"/>
      <c r="HY146" s="70"/>
      <c r="HZ146" s="70"/>
      <c r="IA146" s="70"/>
      <c r="IB146" s="70"/>
      <c r="IC146" s="70"/>
      <c r="ID146" s="70"/>
      <c r="IE146" s="70"/>
      <c r="IF146" s="70"/>
      <c r="IG146" s="70"/>
      <c r="IH146" s="70"/>
      <c r="II146" s="70"/>
      <c r="IJ146" s="70"/>
      <c r="IK146" s="70"/>
      <c r="IL146" s="70"/>
      <c r="IM146" s="70"/>
      <c r="IN146" s="70"/>
      <c r="IO146" s="70"/>
      <c r="IP146" s="70"/>
      <c r="IQ146" s="70"/>
      <c r="IR146" s="70"/>
      <c r="IS146" s="70"/>
      <c r="IT146" s="70"/>
      <c r="IU146" s="70"/>
      <c r="IV146" s="70"/>
      <c r="IW146" s="70"/>
    </row>
    <row r="147" customFormat="false" ht="13.5" hidden="false" customHeight="true" outlineLevel="0" collapsed="false">
      <c r="A147" s="139"/>
      <c r="B147" s="141"/>
      <c r="C147" s="142"/>
      <c r="D147" s="141"/>
      <c r="E147" s="141"/>
      <c r="F147" s="142"/>
      <c r="G147" s="70"/>
      <c r="H147" s="70"/>
      <c r="I147" s="140"/>
      <c r="J147" s="142"/>
      <c r="K147" s="141"/>
      <c r="L147" s="70"/>
      <c r="M147" s="70"/>
      <c r="N147" s="70"/>
      <c r="O147" s="70"/>
      <c r="P147" s="70"/>
      <c r="Q147" s="141"/>
      <c r="R147" s="70"/>
      <c r="S147" s="70"/>
      <c r="T147" s="140"/>
      <c r="U147" s="140"/>
      <c r="V147" s="141"/>
      <c r="W147" s="141"/>
      <c r="X147" s="140" t="s">
        <v>6279</v>
      </c>
      <c r="Y147" s="159"/>
      <c r="Z147" s="140" t="s">
        <v>6280</v>
      </c>
      <c r="AA147" s="70"/>
      <c r="AB147" s="141"/>
      <c r="AC147" s="141"/>
      <c r="AE147" s="140" t="s">
        <v>6224</v>
      </c>
      <c r="AF147" s="141"/>
      <c r="AH147" s="141"/>
      <c r="AI147" s="70"/>
      <c r="AJ147" s="70"/>
      <c r="AK147" s="141"/>
      <c r="AL147" s="140" t="s">
        <v>6281</v>
      </c>
      <c r="AM147" s="70"/>
      <c r="AN147" s="141"/>
      <c r="AO147" s="141"/>
      <c r="AP147" s="70"/>
      <c r="AQ147" s="70"/>
      <c r="AR147" s="142" t="s">
        <v>6282</v>
      </c>
      <c r="AS147" s="141" t="s">
        <v>6283</v>
      </c>
      <c r="AT147" s="141"/>
      <c r="AU147" s="141"/>
      <c r="AV147" s="141" t="s">
        <v>6284</v>
      </c>
      <c r="AW147" s="141"/>
      <c r="AX147" s="70"/>
      <c r="AY147" s="141"/>
      <c r="AZ147" s="141"/>
      <c r="BA147" s="141"/>
      <c r="BB147" s="70"/>
      <c r="BC147" s="70"/>
      <c r="BD147" s="70"/>
      <c r="BE147" s="70"/>
      <c r="BF147" s="141"/>
      <c r="BG147" s="141" t="s">
        <v>6285</v>
      </c>
      <c r="BH147" s="141" t="s">
        <v>6286</v>
      </c>
      <c r="BI147" s="141" t="s">
        <v>6287</v>
      </c>
      <c r="BJ147" s="141"/>
      <c r="BK147" s="70"/>
      <c r="BL147" s="70"/>
      <c r="BM147" s="141"/>
      <c r="BN147" s="141"/>
      <c r="BO147" s="70"/>
      <c r="BP147" s="70"/>
      <c r="BQ147" s="70"/>
      <c r="BR147" s="70"/>
      <c r="BS147" s="70"/>
      <c r="BT147" s="70"/>
      <c r="BU147" s="70"/>
      <c r="BV147" s="70"/>
      <c r="BW147" s="70"/>
      <c r="BX147" s="70"/>
      <c r="BY147" s="70"/>
      <c r="BZ147" s="70"/>
      <c r="CA147" s="70"/>
      <c r="CB147" s="70"/>
      <c r="CC147" s="70"/>
      <c r="CD147" s="70"/>
      <c r="CE147" s="70"/>
      <c r="CF147" s="70"/>
      <c r="CG147" s="70"/>
      <c r="CH147" s="70"/>
      <c r="CI147" s="70"/>
      <c r="CJ147" s="70"/>
      <c r="CK147" s="70"/>
      <c r="CL147" s="70"/>
      <c r="CM147" s="70"/>
      <c r="CN147" s="70"/>
      <c r="CO147" s="70"/>
      <c r="CP147" s="70"/>
      <c r="CQ147" s="70"/>
      <c r="CR147" s="70"/>
      <c r="CS147" s="70"/>
      <c r="CT147" s="70"/>
      <c r="CU147" s="70"/>
      <c r="CV147" s="70"/>
      <c r="CW147" s="70"/>
      <c r="CX147" s="70"/>
      <c r="CY147" s="70"/>
      <c r="CZ147" s="70"/>
      <c r="DA147" s="70"/>
      <c r="DB147" s="70"/>
      <c r="DC147" s="70"/>
      <c r="DD147" s="70"/>
      <c r="DE147" s="70"/>
      <c r="DF147" s="70"/>
      <c r="DG147" s="70"/>
      <c r="DH147" s="70"/>
      <c r="DI147" s="70"/>
      <c r="DJ147" s="70"/>
      <c r="DK147" s="70"/>
      <c r="DL147" s="70"/>
      <c r="DM147" s="70"/>
      <c r="DN147" s="70"/>
      <c r="DO147" s="70"/>
      <c r="DP147" s="70"/>
      <c r="DQ147" s="70"/>
      <c r="DR147" s="70"/>
      <c r="DS147" s="70"/>
      <c r="DT147" s="70"/>
      <c r="DU147" s="70"/>
      <c r="DV147" s="70"/>
      <c r="DW147" s="70"/>
      <c r="DX147" s="70"/>
      <c r="DY147" s="70"/>
      <c r="DZ147" s="70"/>
      <c r="EA147" s="70"/>
      <c r="EB147" s="70"/>
      <c r="EC147" s="70"/>
      <c r="ED147" s="70"/>
      <c r="EE147" s="70"/>
      <c r="EF147" s="70"/>
      <c r="EG147" s="70"/>
      <c r="EH147" s="70"/>
      <c r="EI147" s="70"/>
      <c r="EJ147" s="70"/>
      <c r="EK147" s="70"/>
      <c r="EL147" s="70"/>
      <c r="EM147" s="70"/>
      <c r="EN147" s="70"/>
      <c r="EO147" s="70"/>
      <c r="EP147" s="70"/>
      <c r="EQ147" s="70"/>
      <c r="ER147" s="70"/>
      <c r="ES147" s="70"/>
      <c r="ET147" s="70"/>
      <c r="EU147" s="70"/>
      <c r="EV147" s="70"/>
      <c r="EW147" s="70"/>
      <c r="EX147" s="70"/>
      <c r="EY147" s="70"/>
      <c r="EZ147" s="70"/>
      <c r="FA147" s="70"/>
      <c r="FB147" s="70"/>
      <c r="FC147" s="70"/>
      <c r="FD147" s="70"/>
      <c r="FE147" s="70"/>
      <c r="FF147" s="70"/>
      <c r="FG147" s="70"/>
      <c r="FH147" s="70"/>
      <c r="FI147" s="70"/>
      <c r="FJ147" s="70"/>
      <c r="FK147" s="70"/>
      <c r="FL147" s="70"/>
      <c r="FM147" s="70"/>
      <c r="FN147" s="70"/>
      <c r="FO147" s="70"/>
      <c r="FP147" s="70"/>
      <c r="FQ147" s="70"/>
      <c r="FR147" s="70"/>
      <c r="FS147" s="70"/>
      <c r="FT147" s="70"/>
      <c r="FU147" s="70"/>
      <c r="FV147" s="70"/>
      <c r="FW147" s="70"/>
      <c r="FX147" s="70"/>
      <c r="FY147" s="70"/>
      <c r="FZ147" s="70"/>
      <c r="GA147" s="70"/>
      <c r="GB147" s="70"/>
      <c r="GC147" s="70"/>
      <c r="GD147" s="70"/>
      <c r="GE147" s="70"/>
      <c r="GF147" s="70"/>
      <c r="GG147" s="70"/>
      <c r="GH147" s="70"/>
      <c r="GI147" s="70"/>
      <c r="GJ147" s="70"/>
      <c r="GK147" s="70"/>
      <c r="GL147" s="70"/>
      <c r="GM147" s="70"/>
      <c r="GN147" s="70"/>
      <c r="GO147" s="70"/>
      <c r="GP147" s="70"/>
      <c r="GQ147" s="70"/>
      <c r="GR147" s="70"/>
      <c r="GS147" s="70"/>
      <c r="GT147" s="70"/>
      <c r="GU147" s="70"/>
      <c r="GV147" s="70"/>
      <c r="GW147" s="70"/>
      <c r="GX147" s="70"/>
      <c r="GY147" s="70"/>
      <c r="GZ147" s="70"/>
      <c r="HA147" s="70"/>
      <c r="HB147" s="70"/>
      <c r="HC147" s="70"/>
      <c r="HD147" s="70"/>
      <c r="HE147" s="70"/>
      <c r="HF147" s="70"/>
      <c r="HG147" s="70"/>
      <c r="HH147" s="70"/>
      <c r="HI147" s="70"/>
      <c r="HJ147" s="70"/>
      <c r="HK147" s="70"/>
      <c r="HL147" s="70"/>
      <c r="HM147" s="70"/>
      <c r="HN147" s="70"/>
      <c r="HO147" s="70"/>
      <c r="HP147" s="70"/>
      <c r="HQ147" s="70"/>
      <c r="HR147" s="70"/>
      <c r="HS147" s="70"/>
      <c r="HT147" s="70"/>
      <c r="HU147" s="70"/>
      <c r="HV147" s="70"/>
      <c r="HW147" s="70"/>
      <c r="HX147" s="70"/>
      <c r="HY147" s="70"/>
      <c r="HZ147" s="70"/>
      <c r="IA147" s="70"/>
      <c r="IB147" s="70"/>
      <c r="IC147" s="70"/>
      <c r="ID147" s="70"/>
      <c r="IE147" s="70"/>
      <c r="IF147" s="70"/>
      <c r="IG147" s="70"/>
      <c r="IH147" s="70"/>
      <c r="II147" s="70"/>
      <c r="IJ147" s="70"/>
      <c r="IK147" s="70"/>
      <c r="IL147" s="70"/>
      <c r="IM147" s="70"/>
      <c r="IN147" s="70"/>
      <c r="IO147" s="70"/>
      <c r="IP147" s="70"/>
      <c r="IQ147" s="70"/>
      <c r="IR147" s="70"/>
      <c r="IS147" s="70"/>
      <c r="IT147" s="70"/>
      <c r="IU147" s="70"/>
      <c r="IV147" s="70"/>
      <c r="IW147" s="70"/>
    </row>
    <row r="148" customFormat="false" ht="13.5" hidden="false" customHeight="true" outlineLevel="0" collapsed="false">
      <c r="A148" s="41" t="s">
        <v>5946</v>
      </c>
      <c r="B148" s="42" t="n">
        <v>23</v>
      </c>
      <c r="C148" s="42" t="n">
        <v>24</v>
      </c>
      <c r="D148" s="42" t="n">
        <v>25</v>
      </c>
      <c r="E148" s="42" t="n">
        <v>26</v>
      </c>
      <c r="F148" s="42" t="n">
        <v>27</v>
      </c>
      <c r="G148" s="43" t="n">
        <v>28</v>
      </c>
      <c r="H148" s="43" t="s">
        <v>5947</v>
      </c>
      <c r="I148" s="42" t="n">
        <v>2</v>
      </c>
      <c r="J148" s="42" t="n">
        <v>3</v>
      </c>
      <c r="K148" s="42" t="n">
        <v>4</v>
      </c>
      <c r="L148" s="42" t="n">
        <v>5</v>
      </c>
      <c r="M148" s="42" t="n">
        <v>6</v>
      </c>
      <c r="N148" s="43" t="n">
        <v>7</v>
      </c>
      <c r="O148" s="43" t="n">
        <v>8</v>
      </c>
      <c r="P148" s="42" t="n">
        <v>9</v>
      </c>
      <c r="Q148" s="42" t="n">
        <v>10</v>
      </c>
      <c r="R148" s="42" t="n">
        <v>11</v>
      </c>
      <c r="S148" s="42" t="n">
        <v>12</v>
      </c>
      <c r="T148" s="42" t="n">
        <v>13</v>
      </c>
      <c r="U148" s="43" t="n">
        <v>14</v>
      </c>
      <c r="V148" s="43" t="n">
        <v>15</v>
      </c>
      <c r="W148" s="42" t="n">
        <v>16</v>
      </c>
      <c r="X148" s="42" t="n">
        <v>17</v>
      </c>
      <c r="Y148" s="42" t="n">
        <v>18</v>
      </c>
      <c r="Z148" s="42" t="n">
        <v>19</v>
      </c>
      <c r="AA148" s="42" t="n">
        <v>20</v>
      </c>
      <c r="AB148" s="43" t="n">
        <v>21</v>
      </c>
      <c r="AC148" s="43" t="n">
        <v>22</v>
      </c>
      <c r="AD148" s="42" t="n">
        <v>23</v>
      </c>
      <c r="AE148" s="42" t="n">
        <v>24</v>
      </c>
      <c r="AF148" s="42" t="n">
        <v>25</v>
      </c>
      <c r="AG148" s="42" t="n">
        <v>26</v>
      </c>
      <c r="AH148" s="42" t="n">
        <v>27</v>
      </c>
      <c r="AI148" s="43" t="n">
        <v>28</v>
      </c>
      <c r="AJ148" s="43" t="n">
        <v>29</v>
      </c>
      <c r="AK148" s="42" t="n">
        <v>30</v>
      </c>
      <c r="AL148" s="42" t="n">
        <v>31</v>
      </c>
      <c r="AM148" s="42" t="s">
        <v>5948</v>
      </c>
      <c r="AN148" s="42" t="n">
        <v>2</v>
      </c>
      <c r="AO148" s="42" t="n">
        <v>3</v>
      </c>
      <c r="AP148" s="43" t="n">
        <v>4</v>
      </c>
      <c r="AQ148" s="43" t="n">
        <v>5</v>
      </c>
      <c r="AR148" s="42" t="n">
        <v>6</v>
      </c>
      <c r="AS148" s="42" t="n">
        <v>7</v>
      </c>
      <c r="AT148" s="42" t="n">
        <v>8</v>
      </c>
      <c r="AU148" s="42" t="n">
        <v>9</v>
      </c>
      <c r="AV148" s="42" t="n">
        <v>10</v>
      </c>
      <c r="AW148" s="43" t="n">
        <v>11</v>
      </c>
      <c r="AX148" s="43" t="n">
        <v>12</v>
      </c>
      <c r="AY148" s="42" t="n">
        <v>13</v>
      </c>
      <c r="AZ148" s="42" t="n">
        <v>14</v>
      </c>
      <c r="BA148" s="42" t="n">
        <v>15</v>
      </c>
      <c r="BB148" s="42" t="n">
        <v>16</v>
      </c>
      <c r="BC148" s="42" t="n">
        <v>17</v>
      </c>
      <c r="BD148" s="43" t="n">
        <v>18</v>
      </c>
      <c r="BE148" s="43" t="n">
        <v>19</v>
      </c>
      <c r="BF148" s="42" t="n">
        <v>20</v>
      </c>
      <c r="BG148" s="42" t="n">
        <v>21</v>
      </c>
      <c r="BH148" s="42" t="n">
        <v>22</v>
      </c>
      <c r="BI148" s="42" t="n">
        <v>23</v>
      </c>
      <c r="BJ148" s="42" t="n">
        <v>24</v>
      </c>
      <c r="BK148" s="43" t="n">
        <v>25</v>
      </c>
      <c r="BL148" s="43" t="n">
        <v>26</v>
      </c>
      <c r="BM148" s="43" t="n">
        <v>27</v>
      </c>
      <c r="BN148" s="42" t="n">
        <v>28</v>
      </c>
      <c r="BO148" s="42" t="n">
        <v>29</v>
      </c>
      <c r="BP148" s="43" t="n">
        <v>30</v>
      </c>
      <c r="BQ148" s="43" t="s">
        <v>5949</v>
      </c>
      <c r="BR148" s="43" t="n">
        <v>2</v>
      </c>
      <c r="BS148" s="43" t="n">
        <v>3</v>
      </c>
      <c r="BT148" s="42" t="n">
        <v>4</v>
      </c>
      <c r="BU148" s="42" t="n">
        <v>5</v>
      </c>
      <c r="BV148" s="42" t="n">
        <v>6</v>
      </c>
      <c r="BW148" s="42" t="n">
        <v>7</v>
      </c>
      <c r="BX148" s="42" t="n">
        <v>8</v>
      </c>
      <c r="BY148" s="43" t="n">
        <v>9</v>
      </c>
      <c r="BZ148" s="43" t="n">
        <v>10</v>
      </c>
      <c r="CA148" s="42" t="n">
        <v>11</v>
      </c>
      <c r="CB148" s="42" t="n">
        <v>12</v>
      </c>
      <c r="CC148" s="42" t="n">
        <v>13</v>
      </c>
      <c r="CD148" s="42" t="n">
        <v>14</v>
      </c>
      <c r="CE148" s="42" t="n">
        <v>15</v>
      </c>
      <c r="CF148" s="43" t="n">
        <v>16</v>
      </c>
      <c r="CG148" s="43" t="n">
        <v>17</v>
      </c>
      <c r="CH148" s="42" t="n">
        <v>18</v>
      </c>
      <c r="CI148" s="42" t="n">
        <v>19</v>
      </c>
      <c r="CJ148" s="42" t="n">
        <v>20</v>
      </c>
      <c r="CK148" s="42" t="n">
        <v>21</v>
      </c>
      <c r="CL148" s="42" t="n">
        <v>22</v>
      </c>
      <c r="CM148" s="43" t="n">
        <v>23</v>
      </c>
      <c r="CN148" s="43" t="n">
        <v>24</v>
      </c>
      <c r="CO148" s="42" t="n">
        <v>25</v>
      </c>
      <c r="CP148" s="42" t="n">
        <v>26</v>
      </c>
      <c r="CQ148" s="42" t="n">
        <v>27</v>
      </c>
      <c r="CR148" s="42" t="n">
        <v>28</v>
      </c>
      <c r="CS148" s="42" t="n">
        <v>29</v>
      </c>
      <c r="CT148" s="43" t="n">
        <v>30</v>
      </c>
      <c r="CU148" s="43" t="n">
        <v>31</v>
      </c>
      <c r="CV148" s="42" t="s">
        <v>5950</v>
      </c>
      <c r="CW148" s="42" t="n">
        <v>2</v>
      </c>
      <c r="CX148" s="42" t="n">
        <v>3</v>
      </c>
      <c r="CY148" s="42" t="n">
        <v>4</v>
      </c>
      <c r="CZ148" s="42" t="n">
        <v>5</v>
      </c>
      <c r="DA148" s="43" t="n">
        <v>6</v>
      </c>
      <c r="DB148" s="43" t="n">
        <v>7</v>
      </c>
      <c r="DC148" s="42" t="n">
        <v>8</v>
      </c>
      <c r="DD148" s="42" t="n">
        <v>9</v>
      </c>
      <c r="DE148" s="42" t="n">
        <v>10</v>
      </c>
      <c r="DF148" s="42" t="n">
        <v>11</v>
      </c>
      <c r="DG148" s="42" t="n">
        <v>12</v>
      </c>
      <c r="DH148" s="43" t="n">
        <v>13</v>
      </c>
      <c r="DI148" s="43" t="n">
        <v>14</v>
      </c>
      <c r="DJ148" s="42" t="n">
        <v>15</v>
      </c>
      <c r="DK148" s="42" t="n">
        <v>16</v>
      </c>
      <c r="DL148" s="42" t="n">
        <v>17</v>
      </c>
      <c r="DM148" s="42" t="n">
        <v>18</v>
      </c>
      <c r="DN148" s="42" t="n">
        <v>19</v>
      </c>
      <c r="DO148" s="43" t="n">
        <v>20</v>
      </c>
      <c r="DP148" s="43" t="n">
        <v>21</v>
      </c>
      <c r="DQ148" s="42" t="n">
        <v>22</v>
      </c>
      <c r="DR148" s="42" t="n">
        <v>23</v>
      </c>
      <c r="DS148" s="42" t="n">
        <v>24</v>
      </c>
      <c r="DT148" s="42" t="n">
        <v>25</v>
      </c>
      <c r="DU148" s="42" t="n">
        <v>26</v>
      </c>
      <c r="DV148" s="43" t="n">
        <v>27</v>
      </c>
      <c r="DW148" s="43" t="n">
        <v>28</v>
      </c>
      <c r="DX148" s="42" t="n">
        <v>29</v>
      </c>
      <c r="DY148" s="42" t="n">
        <v>30</v>
      </c>
      <c r="DZ148" s="42"/>
      <c r="EA148" s="42"/>
      <c r="EB148" s="42"/>
      <c r="EC148" s="42"/>
      <c r="ED148" s="42"/>
      <c r="EE148" s="42"/>
      <c r="EF148" s="42"/>
      <c r="EG148" s="42"/>
      <c r="EH148" s="42"/>
      <c r="EI148" s="42"/>
      <c r="EJ148" s="42"/>
      <c r="EK148" s="70"/>
      <c r="EL148" s="70"/>
      <c r="EM148" s="70"/>
      <c r="EN148" s="70"/>
      <c r="EO148" s="70"/>
      <c r="EP148" s="70"/>
      <c r="EQ148" s="70"/>
      <c r="ER148" s="70"/>
      <c r="ES148" s="70"/>
      <c r="ET148" s="70"/>
      <c r="EU148" s="70"/>
      <c r="EV148" s="70"/>
      <c r="EW148" s="70"/>
      <c r="EX148" s="70"/>
      <c r="EY148" s="70"/>
      <c r="EZ148" s="70"/>
      <c r="FA148" s="70"/>
      <c r="FB148" s="70"/>
      <c r="FC148" s="70"/>
      <c r="FD148" s="70"/>
      <c r="FE148" s="70"/>
      <c r="FF148" s="70"/>
      <c r="FG148" s="70"/>
      <c r="FH148" s="70"/>
      <c r="FI148" s="70"/>
      <c r="FJ148" s="70"/>
      <c r="FK148" s="70"/>
      <c r="FL148" s="70"/>
      <c r="FM148" s="70"/>
      <c r="FN148" s="70"/>
      <c r="FO148" s="70"/>
      <c r="FP148" s="70"/>
      <c r="FQ148" s="70"/>
      <c r="FR148" s="70"/>
      <c r="FS148" s="70"/>
      <c r="FT148" s="70"/>
      <c r="FU148" s="70"/>
      <c r="FV148" s="70"/>
      <c r="FW148" s="70"/>
      <c r="FX148" s="70"/>
      <c r="FY148" s="70"/>
      <c r="FZ148" s="70"/>
      <c r="GA148" s="70"/>
      <c r="GB148" s="70"/>
      <c r="GC148" s="70"/>
      <c r="GD148" s="70"/>
      <c r="GE148" s="70"/>
      <c r="GF148" s="70"/>
      <c r="GG148" s="70"/>
      <c r="GH148" s="70"/>
      <c r="GI148" s="70"/>
      <c r="GJ148" s="70"/>
      <c r="GK148" s="70"/>
      <c r="GL148" s="70"/>
      <c r="GM148" s="70"/>
      <c r="GN148" s="70"/>
      <c r="GO148" s="70"/>
      <c r="GP148" s="70"/>
      <c r="GQ148" s="70"/>
      <c r="GR148" s="70"/>
      <c r="GS148" s="70"/>
      <c r="GT148" s="70"/>
      <c r="GU148" s="70"/>
      <c r="GV148" s="70"/>
      <c r="GW148" s="70"/>
      <c r="GX148" s="70"/>
      <c r="GY148" s="70"/>
      <c r="GZ148" s="70"/>
      <c r="HA148" s="70"/>
      <c r="HB148" s="70"/>
      <c r="HC148" s="70"/>
      <c r="HD148" s="70"/>
      <c r="HE148" s="70"/>
      <c r="HF148" s="70"/>
      <c r="HG148" s="70"/>
      <c r="HH148" s="70"/>
      <c r="HI148" s="70"/>
      <c r="HJ148" s="70"/>
      <c r="HK148" s="70"/>
      <c r="HL148" s="70"/>
      <c r="HM148" s="70"/>
      <c r="HN148" s="70"/>
      <c r="HO148" s="70"/>
      <c r="HP148" s="70"/>
      <c r="HQ148" s="70"/>
      <c r="HR148" s="70"/>
      <c r="HS148" s="70"/>
      <c r="HT148" s="70"/>
      <c r="HU148" s="70"/>
      <c r="HV148" s="70"/>
      <c r="HW148" s="70"/>
      <c r="HX148" s="70"/>
      <c r="HY148" s="70"/>
      <c r="HZ148" s="70"/>
      <c r="IA148" s="70"/>
      <c r="IB148" s="70"/>
      <c r="IC148" s="70"/>
      <c r="ID148" s="70"/>
      <c r="IE148" s="70"/>
      <c r="IF148" s="70"/>
      <c r="IG148" s="70"/>
      <c r="IH148" s="70"/>
      <c r="II148" s="70"/>
      <c r="IJ148" s="70"/>
      <c r="IK148" s="70"/>
      <c r="IL148" s="70"/>
      <c r="IM148" s="70"/>
      <c r="IN148" s="70"/>
      <c r="IO148" s="70"/>
      <c r="IP148" s="70"/>
      <c r="IQ148" s="70"/>
      <c r="IR148" s="70"/>
      <c r="IS148" s="70"/>
      <c r="IT148" s="70"/>
      <c r="IU148" s="70"/>
      <c r="IV148" s="70"/>
      <c r="IW148" s="70"/>
    </row>
    <row r="149" customFormat="false" ht="13.5" hidden="false" customHeight="true" outlineLevel="0" collapsed="false">
      <c r="A149" s="41" t="s">
        <v>5952</v>
      </c>
      <c r="B149" s="143"/>
      <c r="C149" s="143"/>
      <c r="D149" s="143"/>
      <c r="E149" s="143"/>
      <c r="F149" s="143"/>
      <c r="G149" s="143" t="n">
        <v>0</v>
      </c>
      <c r="H149" s="143" t="n">
        <v>0</v>
      </c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 t="n">
        <v>0</v>
      </c>
      <c r="V149" s="143" t="n">
        <v>0</v>
      </c>
      <c r="W149" s="143"/>
      <c r="X149" s="143" t="n">
        <v>260</v>
      </c>
      <c r="Y149" s="143" t="n">
        <v>260</v>
      </c>
      <c r="Z149" s="143" t="n">
        <v>130</v>
      </c>
      <c r="AA149" s="143" t="n">
        <v>150</v>
      </c>
      <c r="AB149" s="143" t="n">
        <v>0</v>
      </c>
      <c r="AC149" s="143" t="n">
        <v>0</v>
      </c>
      <c r="AD149" s="143" t="n">
        <v>150</v>
      </c>
      <c r="AE149" s="143" t="n">
        <v>15</v>
      </c>
      <c r="AF149" s="143" t="n">
        <v>270</v>
      </c>
      <c r="AG149" s="143" t="n">
        <v>270</v>
      </c>
      <c r="AH149" s="143" t="n">
        <v>270</v>
      </c>
      <c r="AI149" s="143" t="n">
        <v>0</v>
      </c>
      <c r="AJ149" s="143" t="n">
        <v>0</v>
      </c>
      <c r="AK149" s="143" t="n">
        <v>270</v>
      </c>
      <c r="AL149" s="143" t="n">
        <v>130</v>
      </c>
      <c r="AM149" s="143" t="n">
        <v>270</v>
      </c>
      <c r="AN149" s="143" t="n">
        <v>270</v>
      </c>
      <c r="AO149" s="143" t="n">
        <v>270</v>
      </c>
      <c r="AP149" s="143" t="n">
        <v>0</v>
      </c>
      <c r="AQ149" s="143" t="n">
        <v>0</v>
      </c>
      <c r="AR149" s="143" t="n">
        <f aca="false">+18+80</f>
        <v>98</v>
      </c>
      <c r="AS149" s="143" t="n">
        <v>150</v>
      </c>
      <c r="AT149" s="143" t="n">
        <v>0</v>
      </c>
      <c r="AU149" s="143" t="n">
        <v>150</v>
      </c>
      <c r="AV149" s="143" t="n">
        <v>260</v>
      </c>
      <c r="AW149" s="143" t="n">
        <v>0</v>
      </c>
      <c r="AX149" s="143" t="n">
        <v>0</v>
      </c>
      <c r="AY149" s="143" t="n">
        <v>260</v>
      </c>
      <c r="AZ149" s="143" t="n">
        <v>260</v>
      </c>
      <c r="BA149" s="143" t="n">
        <v>260</v>
      </c>
      <c r="BB149" s="143" t="n">
        <v>260</v>
      </c>
      <c r="BC149" s="143" t="n">
        <v>260</v>
      </c>
      <c r="BD149" s="143" t="n">
        <v>0</v>
      </c>
      <c r="BE149" s="143" t="n">
        <v>0</v>
      </c>
      <c r="BF149" s="143" t="n">
        <v>240</v>
      </c>
      <c r="BG149" s="143" t="n">
        <v>45</v>
      </c>
      <c r="BH149" s="143" t="n">
        <v>220</v>
      </c>
      <c r="BI149" s="143" t="n">
        <v>130</v>
      </c>
      <c r="BJ149" s="143" t="n">
        <v>220</v>
      </c>
      <c r="BK149" s="143" t="n">
        <v>0</v>
      </c>
      <c r="BL149" s="143" t="n">
        <v>0</v>
      </c>
      <c r="BM149" s="143" t="n">
        <v>0</v>
      </c>
      <c r="BN149" s="143" t="n">
        <v>220</v>
      </c>
      <c r="BO149" s="143" t="n">
        <v>220</v>
      </c>
      <c r="BP149" s="143" t="n">
        <v>0</v>
      </c>
      <c r="BQ149" s="143" t="n">
        <v>0</v>
      </c>
      <c r="BR149" s="143" t="n">
        <v>0</v>
      </c>
      <c r="BS149" s="143" t="n">
        <v>0</v>
      </c>
      <c r="BT149" s="143"/>
      <c r="BU149" s="143"/>
      <c r="BV149" s="143"/>
      <c r="BW149" s="143"/>
      <c r="BX149" s="143"/>
      <c r="BY149" s="143"/>
      <c r="BZ149" s="143"/>
      <c r="CA149" s="143"/>
      <c r="CB149" s="143"/>
      <c r="CC149" s="143"/>
      <c r="CD149" s="143"/>
      <c r="CE149" s="143"/>
      <c r="CF149" s="143"/>
      <c r="CG149" s="143"/>
      <c r="CH149" s="143"/>
      <c r="CI149" s="143"/>
      <c r="CJ149" s="143"/>
      <c r="CK149" s="143"/>
      <c r="CL149" s="143"/>
      <c r="CM149" s="143"/>
      <c r="CN149" s="143"/>
      <c r="CO149" s="143"/>
      <c r="CP149" s="143"/>
      <c r="CQ149" s="143"/>
      <c r="CR149" s="143"/>
      <c r="CS149" s="143"/>
      <c r="CT149" s="143"/>
      <c r="CU149" s="143"/>
      <c r="CV149" s="143"/>
      <c r="CW149" s="143"/>
      <c r="CX149" s="143"/>
      <c r="CY149" s="143"/>
      <c r="CZ149" s="143"/>
      <c r="DA149" s="143"/>
      <c r="DB149" s="143"/>
      <c r="DC149" s="143"/>
      <c r="DD149" s="143"/>
      <c r="DE149" s="143"/>
      <c r="DF149" s="143"/>
      <c r="DG149" s="143"/>
      <c r="DH149" s="143"/>
      <c r="DI149" s="143"/>
      <c r="DJ149" s="143"/>
      <c r="DK149" s="143"/>
      <c r="DL149" s="143"/>
      <c r="DM149" s="143"/>
      <c r="DN149" s="143"/>
      <c r="DO149" s="143"/>
      <c r="DP149" s="143"/>
      <c r="DQ149" s="143"/>
      <c r="DR149" s="143"/>
      <c r="DS149" s="143"/>
      <c r="DT149" s="143"/>
      <c r="DU149" s="143"/>
      <c r="DV149" s="143"/>
      <c r="DW149" s="143"/>
      <c r="DX149" s="143"/>
      <c r="DY149" s="143"/>
      <c r="DZ149" s="143"/>
      <c r="EA149" s="143"/>
      <c r="EB149" s="143"/>
      <c r="EC149" s="143"/>
      <c r="ED149" s="143"/>
      <c r="EE149" s="143"/>
      <c r="EF149" s="143"/>
      <c r="EG149" s="143"/>
      <c r="EH149" s="143"/>
      <c r="EI149" s="143"/>
      <c r="EJ149" s="143"/>
      <c r="EK149" s="70"/>
      <c r="EL149" s="70"/>
      <c r="EM149" s="70"/>
      <c r="EN149" s="70"/>
      <c r="EO149" s="70"/>
      <c r="EP149" s="70"/>
      <c r="EQ149" s="70"/>
      <c r="ER149" s="70"/>
      <c r="ES149" s="70"/>
      <c r="ET149" s="70"/>
      <c r="EU149" s="70"/>
      <c r="EV149" s="70"/>
      <c r="EW149" s="70"/>
      <c r="EX149" s="70"/>
      <c r="EY149" s="70"/>
      <c r="EZ149" s="70"/>
      <c r="FA149" s="70"/>
      <c r="FB149" s="70"/>
      <c r="FC149" s="70"/>
      <c r="FD149" s="70"/>
      <c r="FE149" s="70"/>
      <c r="FF149" s="70"/>
      <c r="FG149" s="70"/>
      <c r="FH149" s="70"/>
      <c r="FI149" s="70"/>
      <c r="FJ149" s="70"/>
      <c r="FK149" s="70"/>
      <c r="FL149" s="70"/>
      <c r="FM149" s="70"/>
      <c r="FN149" s="70"/>
      <c r="FO149" s="70"/>
      <c r="FP149" s="70"/>
      <c r="FQ149" s="70"/>
      <c r="FR149" s="70"/>
      <c r="FS149" s="70"/>
      <c r="FT149" s="70"/>
      <c r="FU149" s="70"/>
      <c r="FV149" s="70"/>
      <c r="FW149" s="70"/>
      <c r="FX149" s="70"/>
      <c r="FY149" s="70"/>
      <c r="FZ149" s="70"/>
      <c r="GA149" s="70"/>
      <c r="GB149" s="70"/>
      <c r="GC149" s="70"/>
      <c r="GD149" s="70"/>
      <c r="GE149" s="70"/>
      <c r="GF149" s="70"/>
      <c r="GG149" s="70"/>
      <c r="GH149" s="70"/>
      <c r="GI149" s="70"/>
      <c r="GJ149" s="70"/>
      <c r="GK149" s="70"/>
      <c r="GL149" s="70"/>
      <c r="GM149" s="70"/>
      <c r="GN149" s="70"/>
      <c r="GO149" s="70"/>
      <c r="GP149" s="70"/>
      <c r="GQ149" s="70"/>
      <c r="GR149" s="70"/>
      <c r="GS149" s="70"/>
      <c r="GT149" s="70"/>
      <c r="GU149" s="70"/>
      <c r="GV149" s="70"/>
      <c r="GW149" s="70"/>
      <c r="GX149" s="70"/>
      <c r="GY149" s="70"/>
      <c r="GZ149" s="70"/>
      <c r="HA149" s="70"/>
      <c r="HB149" s="70"/>
      <c r="HC149" s="70"/>
      <c r="HD149" s="70"/>
      <c r="HE149" s="70"/>
      <c r="HF149" s="70"/>
      <c r="HG149" s="70"/>
      <c r="HH149" s="70"/>
      <c r="HI149" s="70"/>
      <c r="HJ149" s="70"/>
      <c r="HK149" s="70"/>
      <c r="HL149" s="70"/>
      <c r="HM149" s="70"/>
      <c r="HN149" s="70"/>
      <c r="HO149" s="70"/>
      <c r="HP149" s="70"/>
      <c r="HQ149" s="70"/>
      <c r="HR149" s="70"/>
      <c r="HS149" s="70"/>
      <c r="HT149" s="70"/>
      <c r="HU149" s="70"/>
      <c r="HV149" s="143"/>
      <c r="HW149" s="143"/>
      <c r="HX149" s="143"/>
      <c r="HY149" s="143"/>
      <c r="HZ149" s="143"/>
      <c r="IA149" s="143"/>
      <c r="IB149" s="143"/>
      <c r="IC149" s="143"/>
      <c r="ID149" s="143"/>
      <c r="IE149" s="143"/>
      <c r="IF149" s="143"/>
      <c r="IG149" s="143"/>
      <c r="IH149" s="143"/>
      <c r="II149" s="143"/>
      <c r="IJ149" s="143"/>
      <c r="IK149" s="143"/>
      <c r="IL149" s="143"/>
      <c r="IM149" s="143"/>
      <c r="IN149" s="143"/>
      <c r="IO149" s="143"/>
      <c r="IP149" s="143"/>
      <c r="IQ149" s="143"/>
      <c r="IR149" s="143"/>
      <c r="IS149" s="143"/>
      <c r="IT149" s="143"/>
      <c r="IU149" s="143"/>
      <c r="IV149" s="143"/>
      <c r="IW149" s="143"/>
    </row>
    <row r="150" customFormat="false" ht="13.5" hidden="false" customHeight="true" outlineLevel="0" collapsed="false">
      <c r="A150" s="41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 t="n">
        <v>70</v>
      </c>
      <c r="AA150" s="45"/>
      <c r="AB150" s="45"/>
      <c r="AC150" s="45"/>
      <c r="AD150" s="45"/>
      <c r="AE150" s="45" t="n">
        <v>240</v>
      </c>
      <c r="AF150" s="45"/>
      <c r="AG150" s="45"/>
      <c r="AH150" s="45"/>
      <c r="AI150" s="45"/>
      <c r="AJ150" s="45"/>
      <c r="AK150" s="45"/>
      <c r="AL150" s="45" t="n">
        <v>140</v>
      </c>
      <c r="AM150" s="45"/>
      <c r="AN150" s="45"/>
      <c r="AO150" s="45"/>
      <c r="AP150" s="45"/>
      <c r="AQ150" s="45"/>
      <c r="AR150" s="45" t="n">
        <v>60</v>
      </c>
      <c r="AS150" s="45"/>
      <c r="AT150" s="163" t="s">
        <v>6288</v>
      </c>
      <c r="AU150" s="45"/>
      <c r="AV150" s="45"/>
      <c r="AW150" s="45"/>
      <c r="AX150" s="45"/>
      <c r="AY150" s="45"/>
      <c r="AZ150" s="45"/>
      <c r="BA150" s="45"/>
      <c r="BB150" s="45"/>
      <c r="BC150" s="45"/>
      <c r="BD150" s="45"/>
      <c r="BE150" s="45"/>
      <c r="BF150" s="45"/>
      <c r="BG150" s="45" t="n">
        <v>110</v>
      </c>
      <c r="BH150" s="45"/>
      <c r="BI150" s="45" t="n">
        <v>120</v>
      </c>
      <c r="BJ150" s="45"/>
      <c r="BK150" s="45"/>
      <c r="BL150" s="164" t="s">
        <v>6289</v>
      </c>
      <c r="BM150" s="45"/>
      <c r="BN150" s="45"/>
      <c r="BO150" s="45"/>
      <c r="BP150" s="45"/>
      <c r="BQ150" s="45"/>
      <c r="BR150" s="45"/>
      <c r="BS150" s="45"/>
      <c r="BT150" s="45"/>
      <c r="BU150" s="45"/>
      <c r="BV150" s="45"/>
      <c r="BW150" s="45"/>
      <c r="BX150" s="45"/>
      <c r="BY150" s="45"/>
      <c r="BZ150" s="45"/>
      <c r="CA150" s="45"/>
      <c r="CB150" s="45"/>
      <c r="CC150" s="45"/>
      <c r="CD150" s="45"/>
      <c r="CE150" s="45"/>
      <c r="CF150" s="45"/>
      <c r="CG150" s="45"/>
      <c r="CH150" s="45"/>
      <c r="CI150" s="45"/>
      <c r="CJ150" s="45"/>
      <c r="CK150" s="45"/>
      <c r="CL150" s="45"/>
      <c r="CM150" s="45"/>
      <c r="CN150" s="45"/>
      <c r="CO150" s="45"/>
      <c r="CP150" s="45"/>
      <c r="CQ150" s="45"/>
      <c r="CR150" s="45"/>
      <c r="CS150" s="45"/>
      <c r="CT150" s="45"/>
      <c r="CU150" s="45"/>
      <c r="CV150" s="45"/>
      <c r="CW150" s="45"/>
      <c r="CX150" s="45"/>
      <c r="CY150" s="45"/>
      <c r="CZ150" s="45"/>
      <c r="DA150" s="45"/>
      <c r="DB150" s="45"/>
      <c r="DC150" s="45"/>
      <c r="DD150" s="45"/>
      <c r="DE150" s="45"/>
      <c r="DF150" s="45"/>
      <c r="DG150" s="45"/>
      <c r="DH150" s="45"/>
      <c r="DI150" s="45"/>
      <c r="DJ150" s="45"/>
      <c r="DK150" s="45"/>
      <c r="DL150" s="45"/>
      <c r="DM150" s="45"/>
      <c r="DN150" s="45"/>
      <c r="DO150" s="45"/>
      <c r="DP150" s="45"/>
      <c r="DQ150" s="45"/>
      <c r="DR150" s="45"/>
      <c r="DS150" s="45"/>
      <c r="DT150" s="45"/>
      <c r="DU150" s="45"/>
      <c r="DV150" s="45"/>
      <c r="DW150" s="45"/>
      <c r="DX150" s="45"/>
      <c r="DY150" s="45"/>
      <c r="DZ150" s="45"/>
      <c r="EA150" s="45"/>
      <c r="EB150" s="45"/>
      <c r="EC150" s="45"/>
      <c r="ED150" s="45"/>
      <c r="EE150" s="45"/>
      <c r="EF150" s="45"/>
      <c r="EG150" s="45"/>
      <c r="EH150" s="45"/>
      <c r="EI150" s="45"/>
      <c r="EJ150" s="45"/>
      <c r="EK150" s="70"/>
      <c r="EL150" s="70"/>
      <c r="EM150" s="70"/>
      <c r="EN150" s="70"/>
      <c r="EO150" s="70"/>
      <c r="EP150" s="70"/>
      <c r="EQ150" s="70"/>
      <c r="ER150" s="70"/>
      <c r="ES150" s="70"/>
      <c r="ET150" s="70"/>
      <c r="EU150" s="70"/>
      <c r="EV150" s="70"/>
      <c r="EW150" s="70"/>
      <c r="EX150" s="70"/>
      <c r="EY150" s="70"/>
      <c r="EZ150" s="70"/>
      <c r="FA150" s="70"/>
      <c r="FB150" s="70"/>
      <c r="FC150" s="70"/>
      <c r="FD150" s="70"/>
      <c r="FE150" s="70"/>
      <c r="FF150" s="70"/>
      <c r="FG150" s="70"/>
      <c r="FH150" s="70"/>
      <c r="FI150" s="70"/>
      <c r="FJ150" s="70"/>
      <c r="FK150" s="70"/>
      <c r="FL150" s="70"/>
      <c r="FM150" s="70"/>
      <c r="FN150" s="70"/>
      <c r="FO150" s="70"/>
      <c r="FP150" s="70"/>
      <c r="FQ150" s="70"/>
      <c r="FR150" s="70"/>
      <c r="FS150" s="70"/>
      <c r="FT150" s="70"/>
      <c r="FU150" s="70"/>
      <c r="FV150" s="70"/>
      <c r="FW150" s="70"/>
      <c r="FX150" s="70"/>
      <c r="FY150" s="70"/>
      <c r="FZ150" s="70"/>
      <c r="GA150" s="70"/>
      <c r="GB150" s="70"/>
      <c r="GC150" s="70"/>
      <c r="GD150" s="70"/>
      <c r="GE150" s="70"/>
      <c r="GF150" s="70"/>
      <c r="GG150" s="70"/>
      <c r="GH150" s="70"/>
      <c r="GI150" s="70"/>
      <c r="GJ150" s="70"/>
      <c r="GK150" s="70"/>
      <c r="GL150" s="70"/>
      <c r="GM150" s="70"/>
      <c r="GN150" s="70"/>
      <c r="GO150" s="70"/>
      <c r="GP150" s="70"/>
      <c r="GQ150" s="70"/>
      <c r="GR150" s="70"/>
      <c r="GS150" s="70"/>
      <c r="GT150" s="70"/>
      <c r="GU150" s="70"/>
      <c r="GV150" s="70"/>
      <c r="GW150" s="70"/>
      <c r="GX150" s="70"/>
      <c r="GY150" s="70"/>
      <c r="GZ150" s="70"/>
      <c r="HA150" s="70"/>
      <c r="HB150" s="70"/>
      <c r="HC150" s="70"/>
      <c r="HD150" s="70"/>
      <c r="HE150" s="70"/>
      <c r="HF150" s="70"/>
      <c r="HG150" s="70"/>
      <c r="HH150" s="70"/>
      <c r="HI150" s="70"/>
      <c r="HJ150" s="70"/>
      <c r="HK150" s="70"/>
      <c r="HL150" s="70"/>
      <c r="HM150" s="70"/>
      <c r="HN150" s="70"/>
      <c r="HO150" s="70"/>
      <c r="HP150" s="70"/>
      <c r="HQ150" s="70"/>
      <c r="HR150" s="70"/>
      <c r="HS150" s="70"/>
      <c r="HT150" s="70"/>
      <c r="HU150" s="70"/>
      <c r="HV150" s="45"/>
      <c r="HW150" s="45"/>
      <c r="HX150" s="45"/>
      <c r="HY150" s="45"/>
      <c r="HZ150" s="45"/>
      <c r="IA150" s="45"/>
      <c r="IB150" s="45"/>
      <c r="IC150" s="45"/>
      <c r="ID150" s="45"/>
      <c r="IE150" s="45"/>
      <c r="IF150" s="45"/>
      <c r="IG150" s="45"/>
      <c r="IH150" s="45"/>
      <c r="II150" s="45"/>
      <c r="IJ150" s="45"/>
      <c r="IK150" s="45"/>
      <c r="IL150" s="45"/>
      <c r="IM150" s="45"/>
      <c r="IN150" s="45"/>
      <c r="IO150" s="45"/>
      <c r="IP150" s="45"/>
      <c r="IQ150" s="45"/>
      <c r="IR150" s="45"/>
      <c r="IS150" s="45"/>
      <c r="IT150" s="45"/>
      <c r="IU150" s="45"/>
      <c r="IV150" s="45"/>
      <c r="IW150" s="45"/>
    </row>
    <row r="151" customFormat="false" ht="13.5" hidden="false" customHeight="true" outlineLevel="0" collapsed="false">
      <c r="A151" s="146"/>
      <c r="B151" s="147"/>
      <c r="C151" s="157"/>
      <c r="D151" s="156"/>
      <c r="E151" s="106"/>
      <c r="F151" s="106"/>
      <c r="G151" s="106"/>
      <c r="H151" s="148"/>
      <c r="I151" s="157"/>
      <c r="J151" s="157"/>
      <c r="K151" s="157"/>
      <c r="L151" s="148"/>
      <c r="M151" s="148"/>
      <c r="N151" s="148"/>
      <c r="O151" s="148"/>
      <c r="P151" s="148"/>
      <c r="Q151" s="106"/>
      <c r="R151" s="148"/>
      <c r="S151" s="148"/>
      <c r="T151" s="106"/>
      <c r="U151" s="148"/>
      <c r="V151" s="148"/>
      <c r="W151" s="106"/>
      <c r="X151" s="147" t="s">
        <v>6290</v>
      </c>
      <c r="Y151" s="106"/>
      <c r="Z151" s="156" t="s">
        <v>6022</v>
      </c>
      <c r="AA151" s="106"/>
      <c r="AB151" s="148"/>
      <c r="AC151" s="106"/>
      <c r="AD151" s="148"/>
      <c r="AE151" s="106" t="s">
        <v>6237</v>
      </c>
      <c r="AF151" s="106"/>
      <c r="AG151" s="148"/>
      <c r="AH151" s="106"/>
      <c r="AI151" s="148"/>
      <c r="AJ151" s="148"/>
      <c r="AK151" s="106"/>
      <c r="AL151" s="106" t="s">
        <v>6237</v>
      </c>
      <c r="AM151" s="148"/>
      <c r="AN151" s="106"/>
      <c r="AO151" s="106"/>
      <c r="AP151" s="148"/>
      <c r="AQ151" s="148"/>
      <c r="AR151" s="106" t="s">
        <v>5998</v>
      </c>
      <c r="AS151" s="106" t="s">
        <v>5998</v>
      </c>
      <c r="AT151" s="148"/>
      <c r="AU151" s="148"/>
      <c r="AV151" s="106" t="s">
        <v>6291</v>
      </c>
      <c r="AW151" s="106"/>
      <c r="AX151" s="148"/>
      <c r="AY151" s="106"/>
      <c r="AZ151" s="148"/>
      <c r="BA151" s="106"/>
      <c r="BB151" s="148"/>
      <c r="BC151" s="148"/>
      <c r="BD151" s="148"/>
      <c r="BE151" s="148"/>
      <c r="BF151" s="106"/>
      <c r="BG151" s="106" t="s">
        <v>5998</v>
      </c>
      <c r="BH151" s="106" t="s">
        <v>6291</v>
      </c>
      <c r="BI151" s="106" t="s">
        <v>6291</v>
      </c>
      <c r="BJ151" s="106"/>
      <c r="BK151" s="148"/>
      <c r="BL151" s="148"/>
      <c r="BM151" s="106"/>
      <c r="BN151" s="106"/>
      <c r="BO151" s="148"/>
      <c r="BP151" s="148"/>
      <c r="BQ151" s="148"/>
      <c r="BR151" s="148"/>
      <c r="BS151" s="148"/>
      <c r="BT151" s="148"/>
      <c r="BU151" s="148"/>
      <c r="BV151" s="148"/>
      <c r="BW151" s="148"/>
      <c r="BX151" s="148"/>
      <c r="BY151" s="148"/>
      <c r="BZ151" s="148"/>
      <c r="CA151" s="148"/>
      <c r="CB151" s="148"/>
      <c r="CC151" s="148"/>
      <c r="CD151" s="148"/>
      <c r="CE151" s="148"/>
      <c r="CF151" s="148"/>
      <c r="CG151" s="148"/>
      <c r="CH151" s="148"/>
      <c r="CI151" s="148"/>
      <c r="CJ151" s="148"/>
      <c r="CK151" s="148"/>
      <c r="CL151" s="148"/>
      <c r="CM151" s="148"/>
      <c r="CN151" s="148"/>
      <c r="CO151" s="148"/>
      <c r="CP151" s="148"/>
      <c r="CQ151" s="148"/>
      <c r="CR151" s="148"/>
      <c r="CS151" s="148"/>
      <c r="CT151" s="148"/>
      <c r="CU151" s="148"/>
      <c r="CV151" s="148"/>
      <c r="CW151" s="148"/>
      <c r="CX151" s="148"/>
      <c r="CY151" s="148"/>
      <c r="CZ151" s="148"/>
      <c r="DA151" s="148"/>
      <c r="DB151" s="148"/>
      <c r="DC151" s="148"/>
      <c r="DD151" s="148"/>
      <c r="DE151" s="148"/>
      <c r="DF151" s="148"/>
      <c r="DG151" s="148"/>
      <c r="DH151" s="148"/>
      <c r="DI151" s="148"/>
      <c r="DJ151" s="148"/>
      <c r="DK151" s="148"/>
      <c r="DL151" s="148"/>
      <c r="DM151" s="148"/>
      <c r="DN151" s="148"/>
      <c r="DO151" s="148"/>
      <c r="DP151" s="148"/>
      <c r="DQ151" s="148"/>
      <c r="DR151" s="148"/>
      <c r="DS151" s="148"/>
      <c r="DT151" s="148"/>
      <c r="DU151" s="148"/>
      <c r="DV151" s="148"/>
      <c r="DW151" s="148"/>
      <c r="DX151" s="148"/>
      <c r="DY151" s="148"/>
      <c r="DZ151" s="148"/>
      <c r="EA151" s="148"/>
      <c r="EB151" s="148"/>
      <c r="EC151" s="148"/>
      <c r="ED151" s="148"/>
      <c r="EE151" s="148"/>
      <c r="EF151" s="148"/>
      <c r="EG151" s="148"/>
      <c r="EH151" s="148"/>
      <c r="EI151" s="148"/>
      <c r="EJ151" s="148"/>
      <c r="EK151" s="70"/>
      <c r="EL151" s="70"/>
      <c r="EM151" s="70"/>
      <c r="EN151" s="70"/>
      <c r="EO151" s="70"/>
      <c r="EP151" s="70"/>
      <c r="EQ151" s="70"/>
      <c r="ER151" s="70"/>
      <c r="ES151" s="70"/>
      <c r="ET151" s="70"/>
      <c r="EU151" s="70"/>
      <c r="EV151" s="70"/>
      <c r="EW151" s="70"/>
      <c r="EX151" s="70"/>
      <c r="EY151" s="70"/>
      <c r="EZ151" s="70"/>
      <c r="FA151" s="70"/>
      <c r="FB151" s="70"/>
      <c r="FC151" s="70"/>
      <c r="FD151" s="70"/>
      <c r="FE151" s="70"/>
      <c r="FF151" s="70"/>
      <c r="FG151" s="70"/>
      <c r="FH151" s="70"/>
      <c r="FI151" s="70"/>
      <c r="FJ151" s="70"/>
      <c r="FK151" s="70"/>
      <c r="FL151" s="70"/>
      <c r="FM151" s="70"/>
      <c r="FN151" s="70"/>
      <c r="FO151" s="70"/>
      <c r="FP151" s="70"/>
      <c r="FQ151" s="70"/>
      <c r="FR151" s="70"/>
      <c r="FS151" s="70"/>
      <c r="FT151" s="70"/>
      <c r="FU151" s="70"/>
      <c r="FV151" s="70"/>
      <c r="FW151" s="70"/>
      <c r="FX151" s="70"/>
      <c r="FY151" s="70"/>
      <c r="FZ151" s="70"/>
      <c r="GA151" s="70"/>
      <c r="GB151" s="70"/>
      <c r="GC151" s="70"/>
      <c r="GD151" s="70"/>
      <c r="GE151" s="70"/>
      <c r="GF151" s="70"/>
      <c r="GG151" s="70"/>
      <c r="GH151" s="70"/>
      <c r="GI151" s="70"/>
      <c r="GJ151" s="70"/>
      <c r="GK151" s="70"/>
      <c r="GL151" s="70"/>
      <c r="GM151" s="70"/>
      <c r="GN151" s="70"/>
      <c r="GO151" s="70"/>
      <c r="GP151" s="70"/>
      <c r="GQ151" s="70"/>
      <c r="GR151" s="70"/>
      <c r="GS151" s="70"/>
      <c r="GT151" s="70"/>
      <c r="GU151" s="70"/>
      <c r="GV151" s="70"/>
      <c r="GW151" s="70"/>
      <c r="GX151" s="70"/>
      <c r="GY151" s="70"/>
      <c r="GZ151" s="70"/>
      <c r="HA151" s="70"/>
      <c r="HB151" s="70"/>
      <c r="HC151" s="70"/>
      <c r="HD151" s="70"/>
      <c r="HE151" s="70"/>
      <c r="HF151" s="70"/>
      <c r="HG151" s="70"/>
      <c r="HH151" s="70"/>
      <c r="HI151" s="70"/>
      <c r="HJ151" s="70"/>
      <c r="HK151" s="70"/>
      <c r="HL151" s="70"/>
      <c r="HM151" s="70"/>
      <c r="HN151" s="70"/>
      <c r="HO151" s="70"/>
      <c r="HP151" s="70"/>
      <c r="HQ151" s="70"/>
      <c r="HR151" s="70"/>
      <c r="HS151" s="70"/>
      <c r="HT151" s="70"/>
      <c r="HU151" s="70"/>
      <c r="HV151" s="148"/>
      <c r="HW151" s="148"/>
      <c r="HX151" s="148"/>
      <c r="HY151" s="148"/>
      <c r="HZ151" s="148"/>
      <c r="IA151" s="148"/>
      <c r="IB151" s="148"/>
      <c r="IC151" s="148"/>
      <c r="ID151" s="148"/>
      <c r="IE151" s="148"/>
      <c r="IF151" s="148"/>
      <c r="IG151" s="148"/>
      <c r="IH151" s="148"/>
      <c r="II151" s="148"/>
      <c r="IJ151" s="148"/>
      <c r="IK151" s="148"/>
      <c r="IL151" s="148"/>
      <c r="IM151" s="148"/>
      <c r="IN151" s="148"/>
      <c r="IO151" s="148"/>
      <c r="IP151" s="148"/>
      <c r="IQ151" s="148"/>
      <c r="IR151" s="148"/>
      <c r="IS151" s="148"/>
      <c r="IT151" s="148"/>
      <c r="IU151" s="148"/>
      <c r="IV151" s="148"/>
      <c r="IW151" s="148"/>
    </row>
    <row r="152" customFormat="false" ht="13.5" hidden="false" customHeight="true" outlineLevel="0" collapsed="false">
      <c r="A152" s="52" t="s">
        <v>5960</v>
      </c>
      <c r="B152" s="150"/>
      <c r="C152" s="150"/>
      <c r="D152" s="150"/>
      <c r="E152" s="150"/>
      <c r="F152" s="150"/>
      <c r="G152" s="150"/>
      <c r="H152" s="150"/>
      <c r="I152" s="150"/>
      <c r="J152" s="150"/>
      <c r="K152" s="150"/>
      <c r="L152" s="150"/>
      <c r="M152" s="150"/>
      <c r="N152" s="150"/>
      <c r="O152" s="150"/>
      <c r="P152" s="150"/>
      <c r="Q152" s="150"/>
      <c r="R152" s="150"/>
      <c r="S152" s="150"/>
      <c r="T152" s="150"/>
      <c r="U152" s="150"/>
      <c r="V152" s="150"/>
      <c r="W152" s="150"/>
      <c r="X152" s="150" t="n">
        <v>15</v>
      </c>
      <c r="Y152" s="150" t="n">
        <v>15</v>
      </c>
      <c r="Z152" s="150" t="n">
        <v>15</v>
      </c>
      <c r="AA152" s="150" t="n">
        <v>15</v>
      </c>
      <c r="AB152" s="150" t="n">
        <v>15</v>
      </c>
      <c r="AC152" s="150" t="n">
        <v>15</v>
      </c>
      <c r="AD152" s="150" t="n">
        <v>15</v>
      </c>
      <c r="AE152" s="150" t="n">
        <v>17</v>
      </c>
      <c r="AF152" s="150" t="n">
        <v>17</v>
      </c>
      <c r="AG152" s="150" t="n">
        <v>17</v>
      </c>
      <c r="AH152" s="150" t="n">
        <v>17</v>
      </c>
      <c r="AI152" s="150" t="n">
        <v>17</v>
      </c>
      <c r="AJ152" s="150" t="n">
        <v>17</v>
      </c>
      <c r="AK152" s="150" t="n">
        <v>17</v>
      </c>
      <c r="AL152" s="150" t="n">
        <v>17</v>
      </c>
      <c r="AM152" s="150" t="n">
        <v>17</v>
      </c>
      <c r="AN152" s="150" t="n">
        <v>17</v>
      </c>
      <c r="AO152" s="150" t="n">
        <v>17</v>
      </c>
      <c r="AP152" s="150" t="n">
        <v>17</v>
      </c>
      <c r="AQ152" s="150" t="n">
        <v>17</v>
      </c>
      <c r="AR152" s="150" t="n">
        <v>16</v>
      </c>
      <c r="AS152" s="150" t="n">
        <v>15</v>
      </c>
      <c r="AT152" s="150" t="n">
        <v>15</v>
      </c>
      <c r="AU152" s="150" t="n">
        <v>15</v>
      </c>
      <c r="AV152" s="150" t="n">
        <v>19</v>
      </c>
      <c r="AW152" s="150" t="n">
        <v>19</v>
      </c>
      <c r="AX152" s="150" t="n">
        <v>19</v>
      </c>
      <c r="AY152" s="150" t="n">
        <v>19</v>
      </c>
      <c r="AZ152" s="150" t="n">
        <v>19</v>
      </c>
      <c r="BA152" s="150" t="n">
        <v>19</v>
      </c>
      <c r="BB152" s="150" t="n">
        <v>19</v>
      </c>
      <c r="BC152" s="150" t="n">
        <v>19</v>
      </c>
      <c r="BD152" s="150" t="n">
        <v>19</v>
      </c>
      <c r="BE152" s="150" t="n">
        <v>19</v>
      </c>
      <c r="BF152" s="150" t="n">
        <v>19</v>
      </c>
      <c r="BG152" s="150" t="n">
        <v>17</v>
      </c>
      <c r="BH152" s="150" t="n">
        <v>15</v>
      </c>
      <c r="BI152" s="150" t="n">
        <v>15</v>
      </c>
      <c r="BJ152" s="150" t="n">
        <v>15</v>
      </c>
      <c r="BK152" s="150" t="n">
        <v>15</v>
      </c>
      <c r="BL152" s="150" t="n">
        <v>15</v>
      </c>
      <c r="BM152" s="150" t="n">
        <v>15</v>
      </c>
      <c r="BN152" s="150" t="n">
        <v>15</v>
      </c>
      <c r="BO152" s="150" t="n">
        <v>15</v>
      </c>
      <c r="BP152" s="150" t="n">
        <v>15</v>
      </c>
      <c r="BQ152" s="150" t="n">
        <v>15</v>
      </c>
      <c r="BR152" s="150" t="n">
        <v>15</v>
      </c>
      <c r="BS152" s="150" t="n">
        <v>15</v>
      </c>
      <c r="BT152" s="150"/>
      <c r="BU152" s="150"/>
      <c r="BV152" s="150"/>
      <c r="BW152" s="150"/>
      <c r="BX152" s="150"/>
      <c r="BY152" s="150"/>
      <c r="BZ152" s="150"/>
      <c r="CA152" s="150"/>
      <c r="CB152" s="150"/>
      <c r="CC152" s="150"/>
      <c r="CD152" s="150"/>
      <c r="CE152" s="150"/>
      <c r="CF152" s="150"/>
      <c r="CG152" s="150"/>
      <c r="CH152" s="150"/>
      <c r="CI152" s="150"/>
      <c r="CJ152" s="150"/>
      <c r="CK152" s="150"/>
      <c r="CL152" s="150"/>
      <c r="CM152" s="150"/>
      <c r="CN152" s="150"/>
      <c r="CO152" s="150"/>
      <c r="CP152" s="150"/>
      <c r="CQ152" s="150"/>
      <c r="CR152" s="150"/>
      <c r="CS152" s="150"/>
      <c r="CT152" s="150"/>
      <c r="CU152" s="150"/>
      <c r="CV152" s="150"/>
      <c r="CW152" s="150"/>
      <c r="CX152" s="150"/>
      <c r="CY152" s="150"/>
      <c r="CZ152" s="150"/>
      <c r="DA152" s="150"/>
      <c r="DB152" s="150"/>
      <c r="DC152" s="150"/>
      <c r="DD152" s="150"/>
      <c r="DE152" s="150"/>
      <c r="DF152" s="150"/>
      <c r="DG152" s="150"/>
      <c r="DH152" s="150"/>
      <c r="DI152" s="150"/>
      <c r="DJ152" s="150"/>
      <c r="DK152" s="150"/>
      <c r="DL152" s="150"/>
      <c r="DM152" s="150"/>
      <c r="DN152" s="150"/>
      <c r="DO152" s="150"/>
      <c r="DP152" s="150"/>
      <c r="DQ152" s="150"/>
      <c r="DR152" s="150"/>
      <c r="DS152" s="150"/>
      <c r="DT152" s="150"/>
      <c r="DU152" s="150"/>
      <c r="DV152" s="150"/>
      <c r="DW152" s="150"/>
      <c r="DX152" s="150"/>
      <c r="DY152" s="150"/>
      <c r="DZ152" s="150"/>
      <c r="EA152" s="150"/>
      <c r="EB152" s="150"/>
      <c r="EC152" s="150"/>
      <c r="ED152" s="150"/>
      <c r="EE152" s="150"/>
      <c r="EF152" s="150"/>
      <c r="EG152" s="150"/>
      <c r="EH152" s="150"/>
      <c r="EI152" s="150"/>
      <c r="EJ152" s="150"/>
      <c r="EK152" s="70"/>
      <c r="EL152" s="70"/>
      <c r="EM152" s="70"/>
      <c r="EN152" s="70"/>
      <c r="EO152" s="70"/>
      <c r="EP152" s="70"/>
      <c r="EQ152" s="70"/>
      <c r="ER152" s="70"/>
      <c r="ES152" s="70"/>
      <c r="ET152" s="70"/>
      <c r="EU152" s="70"/>
      <c r="EV152" s="70"/>
      <c r="EW152" s="70"/>
      <c r="EX152" s="70"/>
      <c r="EY152" s="70"/>
      <c r="EZ152" s="70"/>
      <c r="FA152" s="70"/>
      <c r="FB152" s="70"/>
      <c r="FC152" s="70"/>
      <c r="FD152" s="70"/>
      <c r="FE152" s="70"/>
      <c r="FF152" s="70"/>
      <c r="FG152" s="70"/>
      <c r="FH152" s="70"/>
      <c r="FI152" s="70"/>
      <c r="FJ152" s="70"/>
      <c r="FK152" s="70"/>
      <c r="FL152" s="70"/>
      <c r="FM152" s="70"/>
      <c r="FN152" s="70"/>
      <c r="FO152" s="70"/>
      <c r="FP152" s="70"/>
      <c r="FQ152" s="70"/>
      <c r="FR152" s="70"/>
      <c r="FS152" s="70"/>
      <c r="FT152" s="70"/>
      <c r="FU152" s="70"/>
      <c r="FV152" s="70"/>
      <c r="FW152" s="70"/>
      <c r="FX152" s="70"/>
      <c r="FY152" s="70"/>
      <c r="FZ152" s="70"/>
      <c r="GA152" s="70"/>
      <c r="GB152" s="70"/>
      <c r="GC152" s="70"/>
      <c r="GD152" s="70"/>
      <c r="GE152" s="70"/>
      <c r="GF152" s="70"/>
      <c r="GG152" s="70"/>
      <c r="GH152" s="70"/>
      <c r="GI152" s="70"/>
      <c r="GJ152" s="70"/>
      <c r="GK152" s="70"/>
      <c r="GL152" s="70"/>
      <c r="GM152" s="70"/>
      <c r="GN152" s="70"/>
      <c r="GO152" s="70"/>
      <c r="GP152" s="70"/>
      <c r="GQ152" s="70"/>
      <c r="GR152" s="70"/>
      <c r="GS152" s="70"/>
      <c r="GT152" s="70"/>
      <c r="GU152" s="70"/>
      <c r="GV152" s="70"/>
      <c r="GW152" s="70"/>
      <c r="GX152" s="70"/>
      <c r="GY152" s="70"/>
      <c r="GZ152" s="70"/>
      <c r="HA152" s="70"/>
      <c r="HB152" s="70"/>
      <c r="HC152" s="70"/>
      <c r="HD152" s="70"/>
      <c r="HE152" s="70"/>
      <c r="HF152" s="70"/>
      <c r="HG152" s="70"/>
      <c r="HH152" s="70"/>
      <c r="HI152" s="70"/>
      <c r="HJ152" s="70"/>
      <c r="HK152" s="70"/>
      <c r="HL152" s="70"/>
      <c r="HM152" s="70"/>
      <c r="HN152" s="70"/>
      <c r="HO152" s="70"/>
      <c r="HP152" s="70"/>
      <c r="HQ152" s="70"/>
      <c r="HR152" s="70"/>
      <c r="HS152" s="70"/>
      <c r="HT152" s="70"/>
      <c r="HU152" s="70"/>
      <c r="HV152" s="150"/>
      <c r="HW152" s="150"/>
      <c r="HX152" s="150"/>
      <c r="HY152" s="150"/>
      <c r="HZ152" s="150"/>
      <c r="IA152" s="150"/>
      <c r="IB152" s="150"/>
      <c r="IC152" s="150"/>
      <c r="ID152" s="150"/>
      <c r="IE152" s="150"/>
      <c r="IF152" s="150"/>
      <c r="IG152" s="150"/>
      <c r="IH152" s="150"/>
      <c r="II152" s="150"/>
      <c r="IJ152" s="150"/>
      <c r="IK152" s="150"/>
      <c r="IL152" s="150"/>
      <c r="IM152" s="150"/>
      <c r="IN152" s="150"/>
      <c r="IO152" s="150"/>
      <c r="IP152" s="150"/>
      <c r="IQ152" s="150"/>
      <c r="IR152" s="150"/>
      <c r="IS152" s="150"/>
      <c r="IT152" s="150"/>
      <c r="IU152" s="150"/>
      <c r="IV152" s="150"/>
      <c r="IW152" s="150"/>
    </row>
    <row r="153" customFormat="false" ht="13.5" hidden="false" customHeight="true" outlineLevel="0" collapsed="false">
      <c r="A153" s="88"/>
      <c r="B153" s="165" t="s">
        <v>6292</v>
      </c>
      <c r="C153" s="152"/>
      <c r="D153" s="152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Q153" s="152"/>
      <c r="R153" s="152"/>
      <c r="S153" s="152"/>
      <c r="T153" s="152"/>
      <c r="U153" s="152"/>
      <c r="V153" s="152"/>
      <c r="W153" s="152"/>
      <c r="X153" s="152"/>
      <c r="Y153" s="166"/>
      <c r="Z153" s="152"/>
      <c r="AA153" s="152"/>
      <c r="AB153" s="152"/>
      <c r="AC153" s="152"/>
      <c r="AD153" s="152"/>
      <c r="AE153" s="152"/>
      <c r="AF153" s="152"/>
      <c r="AG153" s="152"/>
      <c r="AH153" s="166"/>
      <c r="AI153" s="152"/>
      <c r="AJ153" s="152"/>
      <c r="AK153" s="152"/>
      <c r="AL153" s="166"/>
      <c r="AM153" s="166"/>
      <c r="AN153" s="70"/>
      <c r="AO153" s="70"/>
      <c r="AP153" s="70"/>
      <c r="AQ153" s="70"/>
      <c r="AR153" s="70"/>
      <c r="AS153" s="70"/>
      <c r="AT153" s="70"/>
      <c r="AU153" s="70"/>
      <c r="AV153" s="70"/>
      <c r="AW153" s="70"/>
      <c r="AX153" s="70"/>
      <c r="AY153" s="70"/>
      <c r="AZ153" s="70"/>
      <c r="BA153" s="70"/>
      <c r="BB153" s="70"/>
      <c r="BC153" s="70"/>
      <c r="BD153" s="70"/>
      <c r="BE153" s="70"/>
      <c r="BF153" s="70"/>
      <c r="BG153" s="70"/>
      <c r="BH153" s="70"/>
      <c r="BI153" s="70"/>
      <c r="BJ153" s="70"/>
      <c r="BK153" s="70"/>
      <c r="BL153" s="70"/>
      <c r="BM153" s="70"/>
      <c r="BN153" s="70"/>
      <c r="BO153" s="70"/>
      <c r="BP153" s="70"/>
      <c r="BQ153" s="70"/>
      <c r="BR153" s="70"/>
      <c r="BS153" s="70"/>
      <c r="BT153" s="70"/>
      <c r="BU153" s="70"/>
      <c r="BV153" s="70"/>
      <c r="BW153" s="70"/>
      <c r="BX153" s="70"/>
      <c r="BY153" s="70"/>
      <c r="BZ153" s="70"/>
      <c r="CA153" s="70"/>
      <c r="CB153" s="70"/>
      <c r="CC153" s="70"/>
      <c r="CD153" s="70"/>
      <c r="CE153" s="70"/>
      <c r="CF153" s="70"/>
      <c r="CG153" s="70"/>
      <c r="CH153" s="70"/>
      <c r="CI153" s="70"/>
      <c r="CJ153" s="70"/>
      <c r="CK153" s="70"/>
      <c r="CL153" s="70"/>
      <c r="CM153" s="70"/>
      <c r="CN153" s="70"/>
      <c r="CO153" s="70"/>
      <c r="CP153" s="70"/>
      <c r="CQ153" s="70"/>
      <c r="CR153" s="70"/>
      <c r="CS153" s="70"/>
      <c r="CT153" s="70"/>
      <c r="CU153" s="70"/>
      <c r="CV153" s="70"/>
      <c r="CW153" s="70"/>
      <c r="CX153" s="70"/>
      <c r="CY153" s="70"/>
      <c r="CZ153" s="70"/>
      <c r="DA153" s="70"/>
      <c r="DB153" s="70"/>
      <c r="DC153" s="70"/>
      <c r="DD153" s="70"/>
      <c r="DE153" s="70"/>
      <c r="DF153" s="70"/>
      <c r="DG153" s="70"/>
      <c r="DH153" s="70"/>
      <c r="DI153" s="70"/>
      <c r="DJ153" s="70"/>
      <c r="DK153" s="70"/>
      <c r="DL153" s="70"/>
      <c r="DM153" s="70"/>
      <c r="DN153" s="70"/>
      <c r="DO153" s="70"/>
      <c r="DP153" s="70"/>
      <c r="DQ153" s="70"/>
      <c r="DR153" s="70"/>
      <c r="DS153" s="70"/>
      <c r="DT153" s="70"/>
      <c r="DU153" s="70"/>
      <c r="DV153" s="70"/>
      <c r="DW153" s="70"/>
      <c r="DX153" s="70"/>
      <c r="DY153" s="70"/>
      <c r="DZ153" s="70"/>
      <c r="EA153" s="70"/>
      <c r="EB153" s="70"/>
      <c r="EC153" s="70"/>
      <c r="ED153" s="70"/>
      <c r="EE153" s="70"/>
      <c r="EF153" s="70"/>
      <c r="EG153" s="70"/>
      <c r="EH153" s="70"/>
      <c r="EI153" s="70"/>
      <c r="EJ153" s="70"/>
      <c r="EK153" s="70"/>
      <c r="EL153" s="70"/>
      <c r="EM153" s="70"/>
      <c r="EN153" s="70"/>
      <c r="EO153" s="70"/>
      <c r="EP153" s="70"/>
      <c r="EQ153" s="70"/>
      <c r="ER153" s="70"/>
      <c r="ES153" s="70"/>
      <c r="ET153" s="70"/>
      <c r="EU153" s="70"/>
      <c r="EV153" s="70"/>
      <c r="EW153" s="70"/>
      <c r="EX153" s="70"/>
      <c r="EY153" s="70"/>
      <c r="EZ153" s="70"/>
      <c r="FA153" s="70"/>
      <c r="FB153" s="70"/>
      <c r="FC153" s="70"/>
      <c r="FD153" s="70"/>
      <c r="FE153" s="70"/>
      <c r="FF153" s="70"/>
      <c r="FG153" s="70"/>
      <c r="FH153" s="70"/>
      <c r="FI153" s="70"/>
      <c r="FJ153" s="70"/>
      <c r="FK153" s="70"/>
      <c r="FL153" s="70"/>
      <c r="FM153" s="70"/>
      <c r="FN153" s="70"/>
      <c r="FO153" s="70"/>
      <c r="FP153" s="70"/>
      <c r="FQ153" s="70"/>
      <c r="FR153" s="70"/>
      <c r="FS153" s="70"/>
      <c r="FT153" s="70"/>
      <c r="FU153" s="70"/>
      <c r="FV153" s="70"/>
      <c r="FW153" s="70"/>
      <c r="FX153" s="70"/>
      <c r="FY153" s="70"/>
      <c r="FZ153" s="70"/>
      <c r="GA153" s="70"/>
      <c r="GB153" s="70"/>
      <c r="GC153" s="70"/>
      <c r="GD153" s="70"/>
      <c r="GE153" s="70"/>
      <c r="GF153" s="70"/>
      <c r="GG153" s="70"/>
      <c r="GH153" s="70"/>
      <c r="GI153" s="70"/>
      <c r="GJ153" s="70"/>
      <c r="GK153" s="70"/>
      <c r="GL153" s="70"/>
      <c r="GM153" s="70"/>
      <c r="GN153" s="70"/>
      <c r="GO153" s="70"/>
      <c r="GP153" s="70"/>
      <c r="GQ153" s="70"/>
      <c r="GR153" s="70"/>
      <c r="GS153" s="70"/>
      <c r="GT153" s="70"/>
      <c r="GU153" s="70"/>
      <c r="GV153" s="70"/>
      <c r="GW153" s="70"/>
      <c r="GX153" s="70"/>
      <c r="GY153" s="70"/>
      <c r="GZ153" s="70"/>
      <c r="HA153" s="70"/>
      <c r="HB153" s="70"/>
      <c r="HC153" s="70"/>
      <c r="HD153" s="70"/>
      <c r="HE153" s="70"/>
      <c r="HF153" s="70"/>
      <c r="HG153" s="70"/>
      <c r="HH153" s="70"/>
      <c r="HI153" s="70"/>
      <c r="HJ153" s="70"/>
      <c r="HK153" s="70"/>
      <c r="HL153" s="70"/>
      <c r="HM153" s="70"/>
      <c r="HN153" s="70"/>
      <c r="HO153" s="70"/>
      <c r="HP153" s="70"/>
      <c r="HQ153" s="70"/>
      <c r="HR153" s="70"/>
      <c r="HS153" s="70"/>
      <c r="HT153" s="70"/>
      <c r="HU153" s="70"/>
      <c r="HV153" s="70"/>
      <c r="HW153" s="70"/>
      <c r="HX153" s="70"/>
      <c r="HY153" s="70"/>
      <c r="HZ153" s="70"/>
      <c r="IA153" s="70"/>
      <c r="IB153" s="70"/>
      <c r="IC153" s="70"/>
      <c r="ID153" s="70"/>
      <c r="IE153" s="70"/>
      <c r="IF153" s="70"/>
      <c r="IG153" s="70"/>
      <c r="IH153" s="70"/>
      <c r="II153" s="70"/>
      <c r="IJ153" s="70"/>
      <c r="IK153" s="70"/>
      <c r="IL153" s="70"/>
      <c r="IM153" s="70"/>
      <c r="IN153" s="70"/>
      <c r="IO153" s="70"/>
      <c r="IP153" s="70"/>
      <c r="IQ153" s="70"/>
      <c r="IR153" s="70"/>
      <c r="IS153" s="70"/>
      <c r="IT153" s="70"/>
      <c r="IU153" s="70"/>
      <c r="IV153" s="70"/>
      <c r="IW153" s="70"/>
    </row>
    <row r="154" customFormat="false" ht="13.5" hidden="false" customHeight="true" outlineLevel="0" collapsed="false">
      <c r="A154" s="29" t="s">
        <v>6293</v>
      </c>
      <c r="B154" s="30" t="s">
        <v>6130</v>
      </c>
      <c r="C154" s="30"/>
      <c r="D154" s="30"/>
      <c r="E154" s="30"/>
      <c r="F154" s="30"/>
      <c r="G154" s="30"/>
      <c r="H154" s="30"/>
      <c r="I154" s="30"/>
      <c r="J154" s="30"/>
      <c r="K154" s="30" t="s">
        <v>5947</v>
      </c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 t="s">
        <v>5947</v>
      </c>
      <c r="X154" s="30"/>
      <c r="Y154" s="30"/>
      <c r="Z154" s="30"/>
      <c r="AA154" s="30"/>
      <c r="AB154" s="30"/>
      <c r="AC154" s="30"/>
      <c r="AD154" s="30"/>
      <c r="AE154" s="30" t="s">
        <v>5948</v>
      </c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 t="s">
        <v>6130</v>
      </c>
      <c r="AQ154" s="30"/>
      <c r="AR154" s="30" t="s">
        <v>6130</v>
      </c>
      <c r="AS154" s="30"/>
      <c r="AT154" s="30" t="s">
        <v>5947</v>
      </c>
      <c r="AU154" s="30"/>
      <c r="AV154" s="30"/>
      <c r="AW154" s="30"/>
      <c r="AX154" s="30"/>
      <c r="AY154" s="30" t="s">
        <v>5947</v>
      </c>
      <c r="AZ154" s="30"/>
      <c r="BA154" s="30"/>
      <c r="BB154" s="30" t="s">
        <v>5949</v>
      </c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30"/>
      <c r="BN154" s="30" t="s">
        <v>5949</v>
      </c>
      <c r="BO154" s="30"/>
      <c r="BP154" s="30"/>
      <c r="BQ154" s="30"/>
      <c r="BR154" s="30"/>
      <c r="BS154" s="30"/>
      <c r="BT154" s="30"/>
      <c r="BU154" s="30"/>
      <c r="BV154" s="30"/>
      <c r="BW154" s="30"/>
      <c r="BX154" s="30"/>
      <c r="BY154" s="30"/>
      <c r="BZ154" s="30"/>
      <c r="CA154" s="30"/>
      <c r="CB154" s="30"/>
      <c r="CC154" s="30" t="s">
        <v>5949</v>
      </c>
      <c r="CD154" s="30"/>
      <c r="CE154" s="30" t="s">
        <v>5949</v>
      </c>
      <c r="CF154" s="30"/>
      <c r="CG154" s="30"/>
      <c r="CH154" s="30" t="s">
        <v>5949</v>
      </c>
      <c r="CI154" s="30"/>
      <c r="CJ154" s="30"/>
      <c r="CK154" s="30"/>
      <c r="CL154" s="30"/>
      <c r="CM154" s="30"/>
      <c r="CN154" s="30"/>
      <c r="CO154" s="30"/>
      <c r="CP154" s="30"/>
      <c r="CQ154" s="30"/>
      <c r="CR154" s="30"/>
      <c r="CS154" s="30"/>
      <c r="CT154" s="30"/>
      <c r="CU154" s="30"/>
      <c r="CV154" s="30"/>
      <c r="CW154" s="30"/>
      <c r="CX154" s="30"/>
      <c r="CY154" s="30"/>
      <c r="CZ154" s="30"/>
      <c r="DA154" s="30"/>
      <c r="DB154" s="30"/>
      <c r="DC154" s="30"/>
      <c r="DD154" s="30"/>
      <c r="DE154" s="30"/>
      <c r="DF154" s="30"/>
      <c r="DG154" s="30"/>
      <c r="DH154" s="30"/>
      <c r="DI154" s="30"/>
      <c r="DJ154" s="30"/>
      <c r="DK154" s="30"/>
      <c r="DL154" s="30"/>
      <c r="DM154" s="30"/>
      <c r="DN154" s="30"/>
      <c r="DO154" s="30"/>
      <c r="DP154" s="30"/>
      <c r="DQ154" s="30"/>
      <c r="DR154" s="30"/>
      <c r="DS154" s="30"/>
      <c r="DT154" s="30"/>
      <c r="DU154" s="30"/>
      <c r="DV154" s="30"/>
      <c r="DW154" s="30"/>
      <c r="DX154" s="30"/>
      <c r="DY154" s="30"/>
      <c r="DZ154" s="30"/>
      <c r="EA154" s="30"/>
      <c r="EB154" s="30"/>
      <c r="EC154" s="30"/>
      <c r="ED154" s="30"/>
      <c r="EE154" s="30"/>
      <c r="EF154" s="30"/>
      <c r="EG154" s="30"/>
      <c r="EH154" s="30"/>
      <c r="EI154" s="30"/>
      <c r="EJ154" s="30"/>
      <c r="EK154" s="30"/>
      <c r="EL154" s="30"/>
      <c r="EM154" s="30"/>
      <c r="EN154" s="30"/>
      <c r="EO154" s="30"/>
      <c r="EP154" s="30"/>
      <c r="EQ154" s="30"/>
      <c r="ER154" s="30"/>
      <c r="ES154" s="30"/>
      <c r="ET154" s="30"/>
      <c r="EU154" s="30"/>
      <c r="EV154" s="30"/>
      <c r="EW154" s="30"/>
      <c r="EX154" s="30"/>
      <c r="EY154" s="30"/>
      <c r="EZ154" s="30"/>
      <c r="FA154" s="30"/>
      <c r="FB154" s="30"/>
      <c r="FC154" s="30"/>
      <c r="FD154" s="30"/>
      <c r="FE154" s="30"/>
      <c r="FF154" s="30"/>
      <c r="FG154" s="30"/>
      <c r="FH154" s="30"/>
      <c r="FI154" s="30"/>
      <c r="FJ154" s="30"/>
      <c r="FK154" s="30"/>
      <c r="FL154" s="30"/>
      <c r="FM154" s="30"/>
      <c r="FN154" s="30"/>
      <c r="FO154" s="30"/>
      <c r="FP154" s="30"/>
      <c r="FQ154" s="30"/>
      <c r="FR154" s="30"/>
      <c r="FS154" s="30"/>
      <c r="FT154" s="30"/>
      <c r="FU154" s="30"/>
      <c r="FV154" s="30"/>
      <c r="FW154" s="30"/>
      <c r="FX154" s="30"/>
      <c r="FY154" s="30"/>
      <c r="FZ154" s="30"/>
      <c r="GA154" s="30"/>
      <c r="GB154" s="30"/>
      <c r="GC154" s="30"/>
      <c r="GD154" s="30"/>
      <c r="GE154" s="30"/>
      <c r="GF154" s="30"/>
      <c r="GG154" s="30"/>
      <c r="GH154" s="30"/>
      <c r="GI154" s="30"/>
      <c r="GJ154" s="30"/>
      <c r="GK154" s="30"/>
      <c r="GL154" s="30"/>
      <c r="GM154" s="30"/>
      <c r="GN154" s="30"/>
      <c r="GO154" s="30"/>
      <c r="GP154" s="30"/>
      <c r="GQ154" s="30"/>
      <c r="GR154" s="30"/>
      <c r="GS154" s="30"/>
      <c r="GT154" s="30"/>
      <c r="GU154" s="30"/>
      <c r="GV154" s="30"/>
      <c r="GW154" s="30"/>
      <c r="GX154" s="30"/>
      <c r="GY154" s="30"/>
      <c r="GZ154" s="30"/>
      <c r="HA154" s="30"/>
      <c r="HB154" s="30"/>
      <c r="HC154" s="30"/>
      <c r="HD154" s="30"/>
      <c r="HE154" s="30"/>
      <c r="HF154" s="30"/>
      <c r="HG154" s="30"/>
      <c r="HH154" s="30"/>
      <c r="HI154" s="30"/>
      <c r="HJ154" s="30"/>
      <c r="HK154" s="30"/>
      <c r="HL154" s="30"/>
      <c r="HM154" s="30"/>
      <c r="HN154" s="30"/>
      <c r="HO154" s="30"/>
      <c r="HP154" s="30"/>
      <c r="HQ154" s="30"/>
      <c r="HR154" s="30"/>
      <c r="HS154" s="30"/>
      <c r="HT154" s="30"/>
      <c r="HU154" s="30"/>
      <c r="HV154" s="30"/>
      <c r="HW154" s="30"/>
      <c r="HX154" s="30"/>
      <c r="HY154" s="30"/>
      <c r="HZ154" s="30"/>
      <c r="IA154" s="30"/>
      <c r="IB154" s="30"/>
      <c r="IC154" s="30"/>
      <c r="ID154" s="30"/>
      <c r="IE154" s="30"/>
      <c r="IF154" s="30"/>
      <c r="IG154" s="30"/>
      <c r="IH154" s="30"/>
      <c r="II154" s="30"/>
      <c r="IJ154" s="30"/>
      <c r="IK154" s="30"/>
      <c r="IL154" s="30"/>
      <c r="IM154" s="30"/>
      <c r="IN154" s="30"/>
      <c r="IO154" s="30"/>
      <c r="IP154" s="30"/>
      <c r="IQ154" s="30"/>
      <c r="IR154" s="30"/>
      <c r="IS154" s="30"/>
      <c r="IT154" s="30"/>
      <c r="IU154" s="30"/>
      <c r="IV154" s="30"/>
      <c r="IW154" s="30"/>
    </row>
    <row r="155" customFormat="false" ht="13.5" hidden="false" customHeight="true" outlineLevel="0" collapsed="false">
      <c r="A155" s="158"/>
      <c r="B155" s="141" t="s">
        <v>4804</v>
      </c>
      <c r="C155" s="133"/>
      <c r="D155" s="159"/>
      <c r="E155" s="159"/>
      <c r="F155" s="133"/>
      <c r="G155" s="159"/>
      <c r="H155" s="70"/>
      <c r="I155" s="141"/>
      <c r="J155" s="141"/>
      <c r="K155" s="141" t="s">
        <v>4804</v>
      </c>
      <c r="L155" s="70"/>
      <c r="M155" s="70"/>
      <c r="N155" s="70"/>
      <c r="O155" s="70"/>
      <c r="P155" s="70"/>
      <c r="Q155" s="70"/>
      <c r="R155" s="70"/>
      <c r="S155" s="132"/>
      <c r="T155" s="34"/>
      <c r="U155" s="70"/>
      <c r="V155" s="70"/>
      <c r="W155" s="34" t="s">
        <v>495</v>
      </c>
      <c r="X155" s="34"/>
      <c r="Y155" s="133"/>
      <c r="Z155" s="70"/>
      <c r="AA155" s="70"/>
      <c r="AD155" s="141"/>
      <c r="AE155" s="141" t="s">
        <v>4804</v>
      </c>
      <c r="AF155" s="141"/>
      <c r="AG155" s="133"/>
      <c r="AH155" s="133"/>
      <c r="AI155" s="70"/>
      <c r="AJ155" s="70"/>
      <c r="AK155" s="133"/>
      <c r="AL155" s="133"/>
      <c r="AM155" s="70"/>
      <c r="AN155" s="132"/>
      <c r="AO155" s="132"/>
      <c r="AP155" s="132" t="s">
        <v>5192</v>
      </c>
      <c r="AQ155" s="133"/>
      <c r="AR155" s="133" t="s">
        <v>486</v>
      </c>
      <c r="AS155" s="133"/>
      <c r="AT155" s="132" t="s">
        <v>5192</v>
      </c>
      <c r="AU155" s="70"/>
      <c r="AV155" s="133"/>
      <c r="AW155" s="70"/>
      <c r="AX155" s="70"/>
      <c r="AY155" s="133" t="s">
        <v>486</v>
      </c>
      <c r="AZ155" s="70"/>
      <c r="BA155" s="133"/>
      <c r="BB155" s="133" t="s">
        <v>486</v>
      </c>
      <c r="BC155" s="70"/>
      <c r="BD155" s="70"/>
      <c r="BE155" s="70"/>
      <c r="BF155" s="70"/>
      <c r="BG155" s="70"/>
      <c r="BH155" s="70"/>
      <c r="BI155" s="70"/>
      <c r="BJ155" s="70"/>
      <c r="BK155" s="70"/>
      <c r="BL155" s="70"/>
      <c r="BM155" s="70"/>
      <c r="BN155" s="141" t="s">
        <v>4804</v>
      </c>
      <c r="BO155" s="70"/>
      <c r="BP155" s="70"/>
      <c r="BQ155" s="70"/>
      <c r="BR155" s="70"/>
      <c r="BS155" s="141"/>
      <c r="BT155" s="70"/>
      <c r="BU155" s="70"/>
      <c r="BV155" s="70"/>
      <c r="BW155" s="70"/>
      <c r="BX155" s="70"/>
      <c r="BY155" s="70"/>
      <c r="BZ155" s="70"/>
      <c r="CA155" s="70"/>
      <c r="CB155" s="70"/>
      <c r="CC155" s="167" t="s">
        <v>5021</v>
      </c>
      <c r="CD155" s="167"/>
      <c r="CE155" s="133" t="s">
        <v>5034</v>
      </c>
      <c r="CF155" s="70"/>
      <c r="CG155" s="70"/>
      <c r="CH155" s="133" t="s">
        <v>4868</v>
      </c>
      <c r="CI155" s="133"/>
      <c r="CJ155" s="70"/>
      <c r="CK155" s="70"/>
      <c r="CL155" s="70"/>
      <c r="CM155" s="70"/>
      <c r="CN155" s="70"/>
      <c r="CO155" s="167"/>
      <c r="CP155" s="70"/>
      <c r="CQ155" s="70"/>
      <c r="CR155" s="70"/>
      <c r="CS155" s="133"/>
      <c r="CT155" s="70"/>
      <c r="CU155" s="70"/>
      <c r="CV155" s="70"/>
      <c r="CW155" s="70"/>
      <c r="CX155" s="70"/>
      <c r="CY155" s="70"/>
      <c r="CZ155" s="70"/>
      <c r="DA155" s="70"/>
      <c r="DB155" s="70"/>
      <c r="DC155" s="70"/>
      <c r="DD155" s="70"/>
      <c r="DE155" s="70"/>
      <c r="DF155" s="70"/>
      <c r="DG155" s="70"/>
      <c r="DH155" s="70"/>
      <c r="DI155" s="70"/>
      <c r="DJ155" s="70"/>
      <c r="DK155" s="70"/>
      <c r="DL155" s="70"/>
      <c r="DM155" s="70"/>
      <c r="DN155" s="70"/>
      <c r="DO155" s="70"/>
      <c r="DP155" s="70"/>
      <c r="DQ155" s="70"/>
      <c r="DR155" s="70"/>
      <c r="DS155" s="70"/>
      <c r="DT155" s="70"/>
      <c r="DU155" s="70"/>
      <c r="DV155" s="70"/>
      <c r="DW155" s="70"/>
      <c r="DX155" s="70"/>
      <c r="DY155" s="70"/>
      <c r="DZ155" s="70"/>
      <c r="EA155" s="70"/>
      <c r="EB155" s="70"/>
      <c r="EC155" s="70"/>
      <c r="ED155" s="70"/>
      <c r="EE155" s="70"/>
      <c r="EF155" s="70"/>
      <c r="EG155" s="70"/>
      <c r="EH155" s="70"/>
      <c r="EI155" s="70"/>
      <c r="EJ155" s="70"/>
      <c r="EK155" s="70"/>
      <c r="EL155" s="70"/>
      <c r="EM155" s="70"/>
      <c r="EN155" s="70"/>
      <c r="EO155" s="70"/>
      <c r="EP155" s="70"/>
      <c r="EQ155" s="70"/>
      <c r="ER155" s="70"/>
      <c r="ES155" s="70"/>
      <c r="ET155" s="70"/>
      <c r="EU155" s="70"/>
      <c r="EV155" s="70"/>
      <c r="EW155" s="70"/>
      <c r="EX155" s="70"/>
      <c r="EY155" s="70"/>
      <c r="EZ155" s="70"/>
      <c r="FA155" s="70"/>
      <c r="FB155" s="70"/>
      <c r="FC155" s="70"/>
      <c r="FD155" s="70"/>
      <c r="FE155" s="70"/>
      <c r="FF155" s="70"/>
      <c r="FG155" s="70"/>
      <c r="FH155" s="70"/>
      <c r="FI155" s="70"/>
      <c r="FJ155" s="70"/>
      <c r="FK155" s="70"/>
      <c r="FL155" s="70"/>
      <c r="FM155" s="70"/>
      <c r="FN155" s="70"/>
      <c r="FO155" s="70"/>
      <c r="FP155" s="70"/>
      <c r="FQ155" s="70"/>
      <c r="FR155" s="70"/>
      <c r="FS155" s="70"/>
      <c r="FT155" s="70"/>
      <c r="FU155" s="70"/>
      <c r="FV155" s="70"/>
      <c r="FW155" s="70"/>
      <c r="FX155" s="70"/>
      <c r="FY155" s="70"/>
      <c r="FZ155" s="70"/>
      <c r="GA155" s="70"/>
      <c r="GB155" s="70"/>
      <c r="GC155" s="70"/>
      <c r="GD155" s="70"/>
      <c r="GE155" s="70"/>
      <c r="GF155" s="70"/>
      <c r="GG155" s="70"/>
      <c r="GH155" s="70"/>
      <c r="GI155" s="70"/>
      <c r="GJ155" s="70"/>
      <c r="GK155" s="70"/>
      <c r="GL155" s="70"/>
      <c r="GM155" s="70"/>
      <c r="GN155" s="70"/>
      <c r="GO155" s="70"/>
      <c r="GP155" s="70"/>
      <c r="GQ155" s="70"/>
      <c r="GR155" s="70"/>
      <c r="GS155" s="70"/>
      <c r="GT155" s="70"/>
      <c r="GU155" s="70"/>
      <c r="GV155" s="70"/>
      <c r="GW155" s="70"/>
      <c r="GX155" s="70"/>
      <c r="GY155" s="70"/>
      <c r="GZ155" s="70"/>
      <c r="HA155" s="70"/>
      <c r="HB155" s="70"/>
      <c r="HC155" s="70"/>
      <c r="HD155" s="70"/>
      <c r="HE155" s="70"/>
      <c r="HF155" s="70"/>
      <c r="HG155" s="70"/>
      <c r="HH155" s="70"/>
      <c r="HI155" s="70"/>
      <c r="HJ155" s="70"/>
      <c r="HK155" s="70"/>
      <c r="HL155" s="70"/>
      <c r="HM155" s="70"/>
      <c r="HN155" s="70"/>
      <c r="HO155" s="70"/>
      <c r="HP155" s="70"/>
      <c r="HQ155" s="70"/>
      <c r="HR155" s="70"/>
      <c r="HS155" s="70"/>
      <c r="HT155" s="70"/>
      <c r="HU155" s="70"/>
      <c r="HV155" s="70"/>
      <c r="HW155" s="70"/>
      <c r="HX155" s="70"/>
      <c r="HY155" s="70"/>
      <c r="HZ155" s="70"/>
      <c r="IA155" s="70"/>
      <c r="IB155" s="70"/>
      <c r="IC155" s="70"/>
      <c r="ID155" s="70"/>
      <c r="IE155" s="70"/>
      <c r="IF155" s="70"/>
      <c r="IG155" s="70"/>
      <c r="IH155" s="70"/>
      <c r="II155" s="70"/>
      <c r="IJ155" s="70"/>
      <c r="IK155" s="70"/>
      <c r="IL155" s="70"/>
      <c r="IM155" s="70"/>
      <c r="IN155" s="70"/>
      <c r="IO155" s="70"/>
      <c r="IP155" s="70"/>
      <c r="IQ155" s="70"/>
      <c r="IR155" s="70"/>
      <c r="IS155" s="70"/>
      <c r="IT155" s="70"/>
      <c r="IU155" s="70"/>
      <c r="IV155" s="70"/>
      <c r="IW155" s="70"/>
    </row>
    <row r="156" customFormat="false" ht="13.5" hidden="false" customHeight="true" outlineLevel="0" collapsed="false">
      <c r="A156" s="134"/>
      <c r="B156" s="34" t="s">
        <v>6294</v>
      </c>
      <c r="C156" s="138"/>
      <c r="D156" s="141"/>
      <c r="E156" s="141"/>
      <c r="F156" s="138"/>
      <c r="G156" s="141"/>
      <c r="H156" s="70"/>
      <c r="I156" s="34"/>
      <c r="J156" s="34"/>
      <c r="K156" s="34" t="s">
        <v>6295</v>
      </c>
      <c r="L156" s="70"/>
      <c r="M156" s="70"/>
      <c r="N156" s="70"/>
      <c r="O156" s="70"/>
      <c r="P156" s="70"/>
      <c r="Q156" s="70"/>
      <c r="R156" s="70"/>
      <c r="S156" s="135"/>
      <c r="T156" s="141"/>
      <c r="U156" s="70"/>
      <c r="V156" s="70"/>
      <c r="W156" s="141" t="s">
        <v>6296</v>
      </c>
      <c r="X156" s="141"/>
      <c r="Y156" s="141"/>
      <c r="Z156" s="70"/>
      <c r="AA156" s="70"/>
      <c r="AD156" s="34"/>
      <c r="AE156" s="34" t="s">
        <v>6297</v>
      </c>
      <c r="AF156" s="34"/>
      <c r="AG156" s="141"/>
      <c r="AH156" s="141"/>
      <c r="AI156" s="70"/>
      <c r="AJ156" s="70"/>
      <c r="AK156" s="141"/>
      <c r="AL156" s="141"/>
      <c r="AM156" s="70"/>
      <c r="AN156" s="135"/>
      <c r="AO156" s="135"/>
      <c r="AP156" s="135" t="s">
        <v>6275</v>
      </c>
      <c r="AQ156" s="141"/>
      <c r="AR156" s="141" t="s">
        <v>6298</v>
      </c>
      <c r="AS156" s="141"/>
      <c r="AT156" s="135" t="s">
        <v>6275</v>
      </c>
      <c r="AU156" s="70"/>
      <c r="AV156" s="141"/>
      <c r="AW156" s="70"/>
      <c r="AX156" s="70"/>
      <c r="AY156" s="141" t="s">
        <v>6296</v>
      </c>
      <c r="AZ156" s="70"/>
      <c r="BA156" s="141"/>
      <c r="BB156" s="141" t="s">
        <v>6299</v>
      </c>
      <c r="BC156" s="70"/>
      <c r="BD156" s="70"/>
      <c r="BE156" s="70"/>
      <c r="BF156" s="70"/>
      <c r="BG156" s="70"/>
      <c r="BH156" s="70"/>
      <c r="BI156" s="70"/>
      <c r="BJ156" s="70"/>
      <c r="BK156" s="70"/>
      <c r="BL156" s="70"/>
      <c r="BM156" s="70"/>
      <c r="BN156" s="34" t="s">
        <v>6300</v>
      </c>
      <c r="BO156" s="70"/>
      <c r="BP156" s="70"/>
      <c r="BQ156" s="70"/>
      <c r="BR156" s="70"/>
      <c r="BS156" s="34"/>
      <c r="BT156" s="70"/>
      <c r="BU156" s="70"/>
      <c r="BV156" s="70"/>
      <c r="BW156" s="70"/>
      <c r="BX156" s="70"/>
      <c r="BY156" s="70"/>
      <c r="BZ156" s="70"/>
      <c r="CA156" s="70"/>
      <c r="CB156" s="70"/>
      <c r="CC156" s="141" t="s">
        <v>6301</v>
      </c>
      <c r="CD156" s="141"/>
      <c r="CE156" s="141" t="s">
        <v>6302</v>
      </c>
      <c r="CF156" s="70"/>
      <c r="CG156" s="70"/>
      <c r="CH156" s="34" t="s">
        <v>6303</v>
      </c>
      <c r="CI156" s="141"/>
      <c r="CJ156" s="70"/>
      <c r="CK156" s="70"/>
      <c r="CL156" s="70"/>
      <c r="CM156" s="70"/>
      <c r="CN156" s="70"/>
      <c r="CO156" s="141"/>
      <c r="CP156" s="70"/>
      <c r="CQ156" s="70"/>
      <c r="CR156" s="70"/>
      <c r="CS156" s="141"/>
      <c r="CT156" s="70"/>
      <c r="CU156" s="70"/>
      <c r="CV156" s="70"/>
      <c r="CW156" s="70"/>
      <c r="CX156" s="70"/>
      <c r="CY156" s="70"/>
      <c r="CZ156" s="70"/>
      <c r="DA156" s="70"/>
      <c r="DB156" s="70"/>
      <c r="DC156" s="70"/>
      <c r="DD156" s="70"/>
      <c r="DE156" s="70"/>
      <c r="DF156" s="70"/>
      <c r="DG156" s="70"/>
      <c r="DH156" s="70"/>
      <c r="DI156" s="70"/>
      <c r="DJ156" s="70"/>
      <c r="DK156" s="70"/>
      <c r="DL156" s="70"/>
      <c r="DM156" s="70"/>
      <c r="DN156" s="70"/>
      <c r="DO156" s="70"/>
      <c r="DP156" s="70"/>
      <c r="DQ156" s="70"/>
      <c r="DR156" s="70"/>
      <c r="DS156" s="70"/>
      <c r="DT156" s="70"/>
      <c r="DU156" s="70"/>
      <c r="DV156" s="70"/>
      <c r="DW156" s="70"/>
      <c r="DX156" s="70"/>
      <c r="DY156" s="70"/>
      <c r="DZ156" s="70"/>
      <c r="EA156" s="70"/>
      <c r="EB156" s="70"/>
      <c r="EC156" s="70"/>
      <c r="ED156" s="70"/>
      <c r="EE156" s="70"/>
      <c r="EF156" s="70"/>
      <c r="EG156" s="70"/>
      <c r="EH156" s="70"/>
      <c r="EI156" s="70"/>
      <c r="EJ156" s="70"/>
      <c r="EK156" s="70"/>
      <c r="EL156" s="70"/>
      <c r="EM156" s="70"/>
      <c r="EN156" s="70"/>
      <c r="EO156" s="70"/>
      <c r="EP156" s="70"/>
      <c r="EQ156" s="70"/>
      <c r="ER156" s="70"/>
      <c r="ES156" s="70"/>
      <c r="ET156" s="70"/>
      <c r="EU156" s="70"/>
      <c r="EV156" s="70"/>
      <c r="EW156" s="70"/>
      <c r="EX156" s="70"/>
      <c r="EY156" s="70"/>
      <c r="EZ156" s="70"/>
      <c r="FA156" s="70"/>
      <c r="FB156" s="70"/>
      <c r="FC156" s="70"/>
      <c r="FD156" s="70"/>
      <c r="FE156" s="70"/>
      <c r="FF156" s="70"/>
      <c r="FG156" s="70"/>
      <c r="FH156" s="70"/>
      <c r="FI156" s="70"/>
      <c r="FJ156" s="70"/>
      <c r="FK156" s="70"/>
      <c r="FL156" s="70"/>
      <c r="FM156" s="70"/>
      <c r="FN156" s="70"/>
      <c r="FO156" s="70"/>
      <c r="FP156" s="70"/>
      <c r="FQ156" s="70"/>
      <c r="FR156" s="70"/>
      <c r="FS156" s="70"/>
      <c r="FT156" s="70"/>
      <c r="FU156" s="70"/>
      <c r="FV156" s="70"/>
      <c r="FW156" s="70"/>
      <c r="FX156" s="70"/>
      <c r="FY156" s="70"/>
      <c r="FZ156" s="70"/>
      <c r="GA156" s="70"/>
      <c r="GB156" s="70"/>
      <c r="GC156" s="70"/>
      <c r="GD156" s="70"/>
      <c r="GE156" s="70"/>
      <c r="GF156" s="70"/>
      <c r="GG156" s="70"/>
      <c r="GH156" s="70"/>
      <c r="GI156" s="70"/>
      <c r="GJ156" s="70"/>
      <c r="GK156" s="70"/>
      <c r="GL156" s="70"/>
      <c r="GM156" s="70"/>
      <c r="GN156" s="70"/>
      <c r="GO156" s="70"/>
      <c r="GP156" s="70"/>
      <c r="GQ156" s="70"/>
      <c r="GR156" s="70"/>
      <c r="GS156" s="70"/>
      <c r="GT156" s="70"/>
      <c r="GU156" s="70"/>
      <c r="GV156" s="70"/>
      <c r="GW156" s="70"/>
      <c r="GX156" s="70"/>
      <c r="GY156" s="70"/>
      <c r="GZ156" s="70"/>
      <c r="HA156" s="70"/>
      <c r="HB156" s="70"/>
      <c r="HC156" s="70"/>
      <c r="HD156" s="70"/>
      <c r="HE156" s="70"/>
      <c r="HF156" s="70"/>
      <c r="HG156" s="70"/>
      <c r="HH156" s="70"/>
      <c r="HI156" s="70"/>
      <c r="HJ156" s="70"/>
      <c r="HK156" s="70"/>
      <c r="HL156" s="70"/>
      <c r="HM156" s="70"/>
      <c r="HN156" s="70"/>
      <c r="HO156" s="70"/>
      <c r="HP156" s="70"/>
      <c r="HQ156" s="70"/>
      <c r="HR156" s="70"/>
      <c r="HS156" s="70"/>
      <c r="HT156" s="70"/>
      <c r="HU156" s="70"/>
      <c r="HV156" s="70"/>
      <c r="HW156" s="70"/>
      <c r="HX156" s="70"/>
      <c r="HY156" s="70"/>
      <c r="HZ156" s="70"/>
      <c r="IA156" s="70"/>
      <c r="IB156" s="70"/>
      <c r="IC156" s="70"/>
      <c r="ID156" s="70"/>
      <c r="IE156" s="70"/>
      <c r="IF156" s="70"/>
      <c r="IG156" s="70"/>
      <c r="IH156" s="70"/>
      <c r="II156" s="70"/>
      <c r="IJ156" s="70"/>
      <c r="IK156" s="70"/>
      <c r="IL156" s="70"/>
      <c r="IM156" s="70"/>
      <c r="IN156" s="70"/>
      <c r="IO156" s="70"/>
      <c r="IP156" s="70"/>
      <c r="IQ156" s="70"/>
      <c r="IR156" s="70"/>
      <c r="IS156" s="70"/>
      <c r="IT156" s="70"/>
      <c r="IU156" s="70"/>
      <c r="IV156" s="70"/>
      <c r="IW156" s="70"/>
    </row>
    <row r="157" customFormat="false" ht="13.5" hidden="false" customHeight="true" outlineLevel="0" collapsed="false">
      <c r="A157" s="168"/>
      <c r="B157" s="140" t="s">
        <v>6304</v>
      </c>
      <c r="C157" s="153"/>
      <c r="D157" s="140"/>
      <c r="E157" s="159"/>
      <c r="F157" s="153"/>
      <c r="G157" s="159"/>
      <c r="H157" s="169"/>
      <c r="I157" s="141"/>
      <c r="J157" s="140"/>
      <c r="K157" s="140" t="s">
        <v>6305</v>
      </c>
      <c r="L157" s="70"/>
      <c r="M157" s="70"/>
      <c r="N157" s="70"/>
      <c r="O157" s="70"/>
      <c r="P157" s="70"/>
      <c r="Q157" s="70"/>
      <c r="R157" s="70"/>
      <c r="S157" s="141"/>
      <c r="T157" s="140"/>
      <c r="U157" s="70"/>
      <c r="V157" s="70"/>
      <c r="W157" s="140" t="s">
        <v>6306</v>
      </c>
      <c r="X157" s="140"/>
      <c r="Y157" s="141"/>
      <c r="Z157" s="70"/>
      <c r="AA157" s="70"/>
      <c r="AD157" s="140"/>
      <c r="AE157" s="140" t="s">
        <v>6307</v>
      </c>
      <c r="AF157" s="140"/>
      <c r="AG157" s="140"/>
      <c r="AH157" s="140"/>
      <c r="AI157" s="70"/>
      <c r="AJ157" s="70"/>
      <c r="AK157" s="141"/>
      <c r="AL157" s="141"/>
      <c r="AM157" s="70"/>
      <c r="AN157" s="140"/>
      <c r="AO157" s="140"/>
      <c r="AP157" s="140" t="s">
        <v>6308</v>
      </c>
      <c r="AQ157" s="141"/>
      <c r="AR157" s="140" t="s">
        <v>6309</v>
      </c>
      <c r="AS157" s="140"/>
      <c r="AT157" s="141" t="s">
        <v>6310</v>
      </c>
      <c r="AU157" s="70"/>
      <c r="AV157" s="141"/>
      <c r="AW157" s="70"/>
      <c r="AX157" s="70"/>
      <c r="AY157" s="141" t="s">
        <v>6310</v>
      </c>
      <c r="AZ157" s="70"/>
      <c r="BA157" s="141"/>
      <c r="BB157" s="141" t="s">
        <v>6284</v>
      </c>
      <c r="BC157" s="70"/>
      <c r="BD157" s="70"/>
      <c r="BE157" s="70"/>
      <c r="BF157" s="70"/>
      <c r="BG157" s="70"/>
      <c r="BH157" s="70"/>
      <c r="BI157" s="70"/>
      <c r="BJ157" s="70"/>
      <c r="BK157" s="70"/>
      <c r="BL157" s="70"/>
      <c r="BM157" s="70"/>
      <c r="BN157" s="141" t="s">
        <v>6311</v>
      </c>
      <c r="BO157" s="70"/>
      <c r="BP157" s="70"/>
      <c r="BQ157" s="70"/>
      <c r="BR157" s="70"/>
      <c r="BS157" s="141"/>
      <c r="BT157" s="70"/>
      <c r="BU157" s="70"/>
      <c r="BV157" s="70"/>
      <c r="BW157" s="70"/>
      <c r="BX157" s="70"/>
      <c r="BY157" s="70"/>
      <c r="BZ157" s="70"/>
      <c r="CA157" s="70"/>
      <c r="CB157" s="70"/>
      <c r="CC157" s="141" t="s">
        <v>6312</v>
      </c>
      <c r="CD157" s="141"/>
      <c r="CE157" s="141" t="s">
        <v>6313</v>
      </c>
      <c r="CF157" s="70"/>
      <c r="CG157" s="70"/>
      <c r="CH157" s="141" t="s">
        <v>6314</v>
      </c>
      <c r="CI157" s="141"/>
      <c r="CJ157" s="70"/>
      <c r="CK157" s="70"/>
      <c r="CL157" s="70"/>
      <c r="CM157" s="70"/>
      <c r="CN157" s="70"/>
      <c r="CO157" s="141"/>
      <c r="CP157" s="70"/>
      <c r="CQ157" s="70"/>
      <c r="CR157" s="70"/>
      <c r="CS157" s="141"/>
      <c r="CT157" s="70"/>
      <c r="CU157" s="70"/>
      <c r="CV157" s="70"/>
      <c r="CW157" s="70"/>
      <c r="CX157" s="70"/>
      <c r="CY157" s="70"/>
      <c r="CZ157" s="70"/>
      <c r="DA157" s="70"/>
      <c r="DB157" s="70"/>
      <c r="DC157" s="70"/>
      <c r="DD157" s="70"/>
      <c r="DE157" s="70"/>
      <c r="DF157" s="70"/>
      <c r="DG157" s="70"/>
      <c r="DH157" s="70"/>
      <c r="DI157" s="70"/>
      <c r="DJ157" s="70"/>
      <c r="DK157" s="70"/>
      <c r="DL157" s="70"/>
      <c r="DM157" s="70"/>
      <c r="DN157" s="70"/>
      <c r="DO157" s="70"/>
      <c r="DP157" s="70"/>
      <c r="DQ157" s="70"/>
      <c r="DR157" s="70"/>
      <c r="DS157" s="70"/>
      <c r="DT157" s="70"/>
      <c r="DU157" s="70"/>
      <c r="DV157" s="70"/>
      <c r="DW157" s="70"/>
      <c r="DX157" s="70"/>
      <c r="DY157" s="70"/>
      <c r="DZ157" s="70"/>
      <c r="EA157" s="70"/>
      <c r="EB157" s="70"/>
      <c r="EC157" s="70"/>
      <c r="ED157" s="70"/>
      <c r="EE157" s="70"/>
      <c r="EF157" s="70"/>
      <c r="EG157" s="70"/>
      <c r="EH157" s="70"/>
      <c r="EI157" s="70"/>
      <c r="EJ157" s="70"/>
      <c r="EK157" s="70"/>
      <c r="EL157" s="70"/>
      <c r="EM157" s="70"/>
      <c r="EN157" s="70"/>
      <c r="EO157" s="70"/>
      <c r="EP157" s="70"/>
      <c r="EQ157" s="70"/>
      <c r="ER157" s="70"/>
      <c r="ES157" s="70"/>
      <c r="ET157" s="70"/>
      <c r="EU157" s="70"/>
      <c r="EV157" s="70"/>
      <c r="EW157" s="70"/>
      <c r="EX157" s="70"/>
      <c r="EY157" s="70"/>
      <c r="EZ157" s="70"/>
      <c r="FA157" s="70"/>
      <c r="FB157" s="70"/>
      <c r="FC157" s="70"/>
      <c r="FD157" s="70"/>
      <c r="FE157" s="70"/>
      <c r="FF157" s="70"/>
      <c r="FG157" s="70"/>
      <c r="FH157" s="70"/>
      <c r="FI157" s="70"/>
      <c r="FJ157" s="70"/>
      <c r="FK157" s="70"/>
      <c r="FL157" s="70"/>
      <c r="FM157" s="70"/>
      <c r="FN157" s="70"/>
      <c r="FO157" s="70"/>
      <c r="FP157" s="70"/>
      <c r="FQ157" s="70"/>
      <c r="FR157" s="70"/>
      <c r="FS157" s="70"/>
      <c r="FT157" s="70"/>
      <c r="FU157" s="70"/>
      <c r="FV157" s="70"/>
      <c r="FW157" s="70"/>
      <c r="FX157" s="70"/>
      <c r="FY157" s="70"/>
      <c r="FZ157" s="70"/>
      <c r="GA157" s="70"/>
      <c r="GB157" s="70"/>
      <c r="GC157" s="70"/>
      <c r="GD157" s="70"/>
      <c r="GE157" s="70"/>
      <c r="GF157" s="70"/>
      <c r="GG157" s="70"/>
      <c r="GH157" s="70"/>
      <c r="GI157" s="70"/>
      <c r="GJ157" s="70"/>
      <c r="GK157" s="70"/>
      <c r="GL157" s="70"/>
      <c r="GM157" s="70"/>
      <c r="GN157" s="70"/>
      <c r="GO157" s="70"/>
      <c r="GP157" s="70"/>
      <c r="GQ157" s="70"/>
      <c r="GR157" s="70"/>
      <c r="GS157" s="70"/>
      <c r="GT157" s="70"/>
      <c r="GU157" s="70"/>
      <c r="GV157" s="70"/>
      <c r="GW157" s="70"/>
      <c r="GX157" s="70"/>
      <c r="GY157" s="70"/>
      <c r="GZ157" s="70"/>
      <c r="HA157" s="70"/>
      <c r="HB157" s="70"/>
      <c r="HC157" s="70"/>
      <c r="HD157" s="70"/>
      <c r="HE157" s="70"/>
      <c r="HF157" s="70"/>
      <c r="HG157" s="70"/>
      <c r="HH157" s="70"/>
      <c r="HI157" s="70"/>
      <c r="HJ157" s="70"/>
      <c r="HK157" s="70"/>
      <c r="HL157" s="70"/>
      <c r="HM157" s="70"/>
      <c r="HN157" s="70"/>
      <c r="HO157" s="70"/>
      <c r="HP157" s="70"/>
      <c r="HQ157" s="70"/>
      <c r="HR157" s="70"/>
      <c r="HS157" s="70"/>
      <c r="HT157" s="70"/>
      <c r="HU157" s="70"/>
      <c r="HV157" s="70"/>
      <c r="HW157" s="70"/>
      <c r="HX157" s="70"/>
      <c r="HY157" s="70"/>
      <c r="HZ157" s="70"/>
      <c r="IA157" s="70"/>
      <c r="IB157" s="70"/>
      <c r="IC157" s="70"/>
      <c r="ID157" s="70"/>
      <c r="IE157" s="70"/>
      <c r="IF157" s="70"/>
      <c r="IG157" s="70"/>
      <c r="IH157" s="70"/>
      <c r="II157" s="70"/>
      <c r="IJ157" s="70"/>
      <c r="IK157" s="70"/>
      <c r="IL157" s="70"/>
      <c r="IM157" s="70"/>
      <c r="IN157" s="70"/>
      <c r="IO157" s="70"/>
      <c r="IP157" s="70"/>
      <c r="IQ157" s="70"/>
      <c r="IR157" s="70"/>
      <c r="IS157" s="70"/>
      <c r="IT157" s="70"/>
      <c r="IU157" s="70"/>
      <c r="IV157" s="70"/>
      <c r="IW157" s="70"/>
    </row>
    <row r="158" customFormat="false" ht="13.5" hidden="false" customHeight="true" outlineLevel="0" collapsed="false">
      <c r="A158" s="41" t="s">
        <v>5946</v>
      </c>
      <c r="B158" s="42" t="n">
        <v>23</v>
      </c>
      <c r="C158" s="42" t="n">
        <v>24</v>
      </c>
      <c r="D158" s="42" t="n">
        <v>25</v>
      </c>
      <c r="E158" s="42" t="n">
        <v>26</v>
      </c>
      <c r="F158" s="42" t="n">
        <v>27</v>
      </c>
      <c r="G158" s="43" t="n">
        <v>28</v>
      </c>
      <c r="H158" s="43" t="s">
        <v>5947</v>
      </c>
      <c r="I158" s="42" t="n">
        <v>2</v>
      </c>
      <c r="J158" s="42" t="n">
        <v>3</v>
      </c>
      <c r="K158" s="42" t="n">
        <v>4</v>
      </c>
      <c r="L158" s="42" t="n">
        <v>5</v>
      </c>
      <c r="M158" s="42" t="n">
        <v>6</v>
      </c>
      <c r="N158" s="43" t="n">
        <v>7</v>
      </c>
      <c r="O158" s="43" t="n">
        <v>8</v>
      </c>
      <c r="P158" s="42" t="n">
        <v>9</v>
      </c>
      <c r="Q158" s="42" t="n">
        <v>10</v>
      </c>
      <c r="R158" s="42" t="n">
        <v>11</v>
      </c>
      <c r="S158" s="42" t="n">
        <v>12</v>
      </c>
      <c r="T158" s="42" t="n">
        <v>13</v>
      </c>
      <c r="U158" s="43" t="n">
        <v>14</v>
      </c>
      <c r="V158" s="43" t="n">
        <v>15</v>
      </c>
      <c r="W158" s="42" t="n">
        <v>16</v>
      </c>
      <c r="X158" s="42" t="n">
        <v>17</v>
      </c>
      <c r="Y158" s="42" t="n">
        <v>18</v>
      </c>
      <c r="Z158" s="42" t="n">
        <v>19</v>
      </c>
      <c r="AA158" s="42" t="n">
        <v>20</v>
      </c>
      <c r="AB158" s="43" t="n">
        <v>21</v>
      </c>
      <c r="AC158" s="43" t="n">
        <v>22</v>
      </c>
      <c r="AD158" s="42" t="n">
        <v>23</v>
      </c>
      <c r="AE158" s="42" t="n">
        <v>24</v>
      </c>
      <c r="AF158" s="42" t="n">
        <v>25</v>
      </c>
      <c r="AG158" s="42" t="n">
        <v>26</v>
      </c>
      <c r="AH158" s="42" t="n">
        <v>27</v>
      </c>
      <c r="AI158" s="43" t="n">
        <v>28</v>
      </c>
      <c r="AJ158" s="43" t="n">
        <v>29</v>
      </c>
      <c r="AK158" s="42" t="n">
        <v>30</v>
      </c>
      <c r="AL158" s="42" t="n">
        <v>31</v>
      </c>
      <c r="AM158" s="42" t="s">
        <v>5948</v>
      </c>
      <c r="AN158" s="42" t="n">
        <v>2</v>
      </c>
      <c r="AO158" s="42" t="n">
        <v>3</v>
      </c>
      <c r="AP158" s="43" t="n">
        <v>4</v>
      </c>
      <c r="AQ158" s="43" t="n">
        <v>5</v>
      </c>
      <c r="AR158" s="42" t="n">
        <v>6</v>
      </c>
      <c r="AS158" s="42" t="n">
        <v>7</v>
      </c>
      <c r="AT158" s="42" t="n">
        <v>8</v>
      </c>
      <c r="AU158" s="42" t="n">
        <v>9</v>
      </c>
      <c r="AV158" s="42" t="n">
        <v>10</v>
      </c>
      <c r="AW158" s="43" t="n">
        <v>11</v>
      </c>
      <c r="AX158" s="43" t="n">
        <v>12</v>
      </c>
      <c r="AY158" s="42" t="n">
        <v>13</v>
      </c>
      <c r="AZ158" s="42" t="n">
        <v>14</v>
      </c>
      <c r="BA158" s="42" t="n">
        <v>15</v>
      </c>
      <c r="BB158" s="42" t="n">
        <v>16</v>
      </c>
      <c r="BC158" s="42" t="n">
        <v>17</v>
      </c>
      <c r="BD158" s="43" t="n">
        <v>18</v>
      </c>
      <c r="BE158" s="43" t="n">
        <v>19</v>
      </c>
      <c r="BF158" s="42" t="n">
        <v>20</v>
      </c>
      <c r="BG158" s="42" t="n">
        <v>21</v>
      </c>
      <c r="BH158" s="42" t="n">
        <v>22</v>
      </c>
      <c r="BI158" s="42" t="n">
        <v>23</v>
      </c>
      <c r="BJ158" s="42" t="n">
        <v>24</v>
      </c>
      <c r="BK158" s="43" t="n">
        <v>25</v>
      </c>
      <c r="BL158" s="43" t="n">
        <v>26</v>
      </c>
      <c r="BM158" s="43" t="n">
        <v>27</v>
      </c>
      <c r="BN158" s="42" t="n">
        <v>28</v>
      </c>
      <c r="BO158" s="42" t="n">
        <v>29</v>
      </c>
      <c r="BP158" s="43" t="n">
        <v>30</v>
      </c>
      <c r="BQ158" s="43" t="s">
        <v>5949</v>
      </c>
      <c r="BR158" s="43" t="n">
        <v>2</v>
      </c>
      <c r="BS158" s="43" t="n">
        <v>3</v>
      </c>
      <c r="BT158" s="42" t="n">
        <v>4</v>
      </c>
      <c r="BU158" s="42" t="n">
        <v>5</v>
      </c>
      <c r="BV158" s="42" t="n">
        <v>6</v>
      </c>
      <c r="BW158" s="42" t="n">
        <v>7</v>
      </c>
      <c r="BX158" s="42" t="n">
        <v>8</v>
      </c>
      <c r="BY158" s="43" t="n">
        <v>9</v>
      </c>
      <c r="BZ158" s="43" t="n">
        <v>10</v>
      </c>
      <c r="CA158" s="42" t="n">
        <v>11</v>
      </c>
      <c r="CB158" s="42" t="n">
        <v>12</v>
      </c>
      <c r="CC158" s="42" t="n">
        <v>13</v>
      </c>
      <c r="CD158" s="42" t="n">
        <v>14</v>
      </c>
      <c r="CE158" s="42" t="n">
        <v>15</v>
      </c>
      <c r="CF158" s="43" t="n">
        <v>16</v>
      </c>
      <c r="CG158" s="43" t="n">
        <v>17</v>
      </c>
      <c r="CH158" s="42" t="n">
        <v>18</v>
      </c>
      <c r="CI158" s="42" t="n">
        <v>19</v>
      </c>
      <c r="CJ158" s="42" t="n">
        <v>20</v>
      </c>
      <c r="CK158" s="42" t="n">
        <v>21</v>
      </c>
      <c r="CL158" s="42" t="n">
        <v>22</v>
      </c>
      <c r="CM158" s="43" t="n">
        <v>23</v>
      </c>
      <c r="CN158" s="43" t="n">
        <v>24</v>
      </c>
      <c r="CO158" s="42" t="n">
        <v>25</v>
      </c>
      <c r="CP158" s="42" t="n">
        <v>26</v>
      </c>
      <c r="CQ158" s="42" t="n">
        <v>27</v>
      </c>
      <c r="CR158" s="42" t="n">
        <v>28</v>
      </c>
      <c r="CS158" s="42" t="n">
        <v>29</v>
      </c>
      <c r="CT158" s="43" t="n">
        <v>30</v>
      </c>
      <c r="CU158" s="43" t="n">
        <v>31</v>
      </c>
      <c r="CV158" s="42" t="s">
        <v>5950</v>
      </c>
      <c r="CW158" s="42" t="n">
        <v>2</v>
      </c>
      <c r="CX158" s="42" t="n">
        <v>3</v>
      </c>
      <c r="CY158" s="42" t="n">
        <v>4</v>
      </c>
      <c r="CZ158" s="42" t="n">
        <v>5</v>
      </c>
      <c r="DA158" s="43" t="n">
        <v>6</v>
      </c>
      <c r="DB158" s="43" t="n">
        <v>7</v>
      </c>
      <c r="DC158" s="42" t="n">
        <v>8</v>
      </c>
      <c r="DD158" s="42" t="n">
        <v>9</v>
      </c>
      <c r="DE158" s="42" t="n">
        <v>10</v>
      </c>
      <c r="DF158" s="42" t="n">
        <v>11</v>
      </c>
      <c r="DG158" s="42" t="n">
        <v>12</v>
      </c>
      <c r="DH158" s="43" t="n">
        <v>13</v>
      </c>
      <c r="DI158" s="43" t="n">
        <v>14</v>
      </c>
      <c r="DJ158" s="42" t="n">
        <v>15</v>
      </c>
      <c r="DK158" s="42" t="n">
        <v>16</v>
      </c>
      <c r="DL158" s="42" t="n">
        <v>17</v>
      </c>
      <c r="DM158" s="42" t="n">
        <v>18</v>
      </c>
      <c r="DN158" s="42" t="n">
        <v>19</v>
      </c>
      <c r="DO158" s="43" t="n">
        <v>20</v>
      </c>
      <c r="DP158" s="43" t="n">
        <v>21</v>
      </c>
      <c r="DQ158" s="42" t="n">
        <v>22</v>
      </c>
      <c r="DR158" s="42" t="n">
        <v>23</v>
      </c>
      <c r="DS158" s="42" t="n">
        <v>24</v>
      </c>
      <c r="DT158" s="42" t="n">
        <v>25</v>
      </c>
      <c r="DU158" s="42" t="n">
        <v>26</v>
      </c>
      <c r="DV158" s="43" t="n">
        <v>27</v>
      </c>
      <c r="DW158" s="43" t="n">
        <v>28</v>
      </c>
      <c r="DX158" s="42" t="n">
        <v>29</v>
      </c>
      <c r="DY158" s="42" t="n">
        <v>30</v>
      </c>
      <c r="DZ158" s="42"/>
      <c r="EA158" s="42"/>
      <c r="EB158" s="42"/>
      <c r="EC158" s="42"/>
      <c r="ED158" s="42"/>
      <c r="EE158" s="42"/>
      <c r="EF158" s="42"/>
      <c r="EG158" s="42"/>
      <c r="EH158" s="42"/>
      <c r="EI158" s="42"/>
      <c r="EJ158" s="42"/>
      <c r="EK158" s="70"/>
      <c r="EL158" s="70"/>
      <c r="EM158" s="70"/>
      <c r="EN158" s="70"/>
      <c r="EO158" s="70"/>
      <c r="EP158" s="70"/>
      <c r="EQ158" s="70"/>
      <c r="ER158" s="70"/>
      <c r="ES158" s="70"/>
      <c r="ET158" s="70"/>
      <c r="EU158" s="70"/>
      <c r="EV158" s="70"/>
      <c r="EW158" s="70"/>
      <c r="EX158" s="70"/>
      <c r="EY158" s="70"/>
      <c r="EZ158" s="70"/>
      <c r="FA158" s="70"/>
      <c r="FB158" s="70"/>
      <c r="FC158" s="70"/>
      <c r="FD158" s="70"/>
      <c r="FE158" s="70"/>
      <c r="FF158" s="70"/>
      <c r="FG158" s="70"/>
      <c r="FH158" s="70"/>
      <c r="FI158" s="70"/>
      <c r="FJ158" s="70"/>
      <c r="FK158" s="70"/>
      <c r="FL158" s="70"/>
      <c r="FM158" s="70"/>
      <c r="FN158" s="70"/>
      <c r="FO158" s="70"/>
      <c r="FP158" s="70"/>
      <c r="FQ158" s="70"/>
      <c r="FR158" s="70"/>
      <c r="FS158" s="70"/>
      <c r="FT158" s="70"/>
      <c r="FU158" s="70"/>
      <c r="FV158" s="70"/>
      <c r="FW158" s="70"/>
      <c r="FX158" s="70"/>
      <c r="FY158" s="70"/>
      <c r="FZ158" s="70"/>
      <c r="GA158" s="70"/>
      <c r="GB158" s="70"/>
      <c r="GC158" s="70"/>
      <c r="GD158" s="70"/>
      <c r="GE158" s="70"/>
      <c r="GF158" s="70"/>
      <c r="GG158" s="70"/>
      <c r="GH158" s="70"/>
      <c r="GI158" s="70"/>
      <c r="GJ158" s="70"/>
      <c r="GK158" s="70"/>
      <c r="GL158" s="70"/>
      <c r="GM158" s="70"/>
      <c r="GN158" s="70"/>
      <c r="GO158" s="70"/>
      <c r="GP158" s="70"/>
      <c r="GQ158" s="70"/>
      <c r="GR158" s="70"/>
      <c r="GS158" s="70"/>
      <c r="GT158" s="70"/>
      <c r="GU158" s="70"/>
      <c r="GV158" s="70"/>
      <c r="GW158" s="70"/>
      <c r="GX158" s="70"/>
      <c r="GY158" s="70"/>
      <c r="GZ158" s="70"/>
      <c r="HA158" s="70"/>
      <c r="HB158" s="70"/>
      <c r="HC158" s="70"/>
      <c r="HD158" s="70"/>
      <c r="HE158" s="70"/>
      <c r="HF158" s="70"/>
      <c r="HG158" s="70"/>
      <c r="HH158" s="70"/>
      <c r="HI158" s="70"/>
      <c r="HJ158" s="70"/>
      <c r="HK158" s="70"/>
      <c r="HL158" s="70"/>
      <c r="HM158" s="70"/>
      <c r="HN158" s="70"/>
      <c r="HO158" s="70"/>
      <c r="HP158" s="70"/>
      <c r="HQ158" s="70"/>
      <c r="HR158" s="70"/>
      <c r="HS158" s="70"/>
      <c r="HT158" s="70"/>
      <c r="HU158" s="70"/>
      <c r="HV158" s="70"/>
      <c r="HW158" s="70"/>
      <c r="HX158" s="70"/>
      <c r="HY158" s="70"/>
      <c r="HZ158" s="70"/>
      <c r="IA158" s="70"/>
      <c r="IB158" s="70"/>
      <c r="IC158" s="70"/>
      <c r="ID158" s="70"/>
      <c r="IE158" s="70"/>
      <c r="IF158" s="70"/>
      <c r="IG158" s="70"/>
      <c r="IH158" s="70"/>
      <c r="II158" s="70"/>
      <c r="IJ158" s="70"/>
      <c r="IK158" s="70"/>
      <c r="IL158" s="70"/>
      <c r="IM158" s="70"/>
      <c r="IN158" s="70"/>
      <c r="IO158" s="70"/>
      <c r="IP158" s="70"/>
      <c r="IQ158" s="70"/>
      <c r="IR158" s="70"/>
      <c r="IS158" s="70"/>
      <c r="IT158" s="70"/>
      <c r="IU158" s="70"/>
      <c r="IV158" s="70"/>
      <c r="IW158" s="70"/>
    </row>
    <row r="159" customFormat="false" ht="13.5" hidden="false" customHeight="true" outlineLevel="0" collapsed="false">
      <c r="A159" s="41" t="s">
        <v>5952</v>
      </c>
      <c r="B159" s="143" t="n">
        <v>420</v>
      </c>
      <c r="C159" s="143" t="n">
        <v>520</v>
      </c>
      <c r="D159" s="143" t="n">
        <v>520</v>
      </c>
      <c r="E159" s="143" t="n">
        <v>520</v>
      </c>
      <c r="F159" s="143" t="n">
        <v>520</v>
      </c>
      <c r="G159" s="143" t="n">
        <v>0</v>
      </c>
      <c r="H159" s="143" t="n">
        <v>0</v>
      </c>
      <c r="I159" s="143" t="n">
        <v>520</v>
      </c>
      <c r="J159" s="143" t="n">
        <v>520</v>
      </c>
      <c r="K159" s="143" t="n">
        <v>186</v>
      </c>
      <c r="L159" s="143" t="n">
        <v>520</v>
      </c>
      <c r="M159" s="143" t="n">
        <v>520</v>
      </c>
      <c r="N159" s="143" t="n">
        <v>0</v>
      </c>
      <c r="O159" s="143" t="n">
        <v>0</v>
      </c>
      <c r="P159" s="143" t="n">
        <v>520</v>
      </c>
      <c r="Q159" s="143" t="n">
        <v>520</v>
      </c>
      <c r="R159" s="143" t="n">
        <v>520</v>
      </c>
      <c r="S159" s="143" t="n">
        <v>520</v>
      </c>
      <c r="T159" s="143" t="n">
        <v>520</v>
      </c>
      <c r="U159" s="143" t="n">
        <v>0</v>
      </c>
      <c r="V159" s="143" t="n">
        <v>0</v>
      </c>
      <c r="W159" s="143" t="n">
        <v>106</v>
      </c>
      <c r="X159" s="143" t="n">
        <v>600</v>
      </c>
      <c r="Y159" s="143" t="n">
        <v>700</v>
      </c>
      <c r="Z159" s="143" t="n">
        <v>800</v>
      </c>
      <c r="AA159" s="143" t="n">
        <v>900</v>
      </c>
      <c r="AB159" s="143" t="n">
        <v>0</v>
      </c>
      <c r="AC159" s="143" t="n">
        <v>0</v>
      </c>
      <c r="AD159" s="143" t="n">
        <v>900</v>
      </c>
      <c r="AE159" s="143" t="n">
        <v>60</v>
      </c>
      <c r="AF159" s="143" t="n">
        <v>520</v>
      </c>
      <c r="AG159" s="143" t="n">
        <v>520</v>
      </c>
      <c r="AH159" s="143" t="n">
        <v>520</v>
      </c>
      <c r="AI159" s="143" t="n">
        <v>0</v>
      </c>
      <c r="AJ159" s="143" t="n">
        <v>0</v>
      </c>
      <c r="AK159" s="143" t="n">
        <v>520</v>
      </c>
      <c r="AL159" s="143" t="n">
        <v>520</v>
      </c>
      <c r="AM159" s="143" t="n">
        <v>520</v>
      </c>
      <c r="AN159" s="143" t="n">
        <v>520</v>
      </c>
      <c r="AO159" s="143" t="n">
        <v>510</v>
      </c>
      <c r="AP159" s="143" t="n">
        <v>210</v>
      </c>
      <c r="AQ159" s="143" t="n">
        <v>0</v>
      </c>
      <c r="AR159" s="143" t="n">
        <v>242</v>
      </c>
      <c r="AS159" s="143" t="n">
        <v>260</v>
      </c>
      <c r="AT159" s="143" t="n">
        <v>200</v>
      </c>
      <c r="AU159" s="143" t="n">
        <v>260</v>
      </c>
      <c r="AV159" s="143" t="n">
        <v>260</v>
      </c>
      <c r="AW159" s="143" t="n">
        <v>0</v>
      </c>
      <c r="AX159" s="143" t="n">
        <v>0</v>
      </c>
      <c r="AY159" s="143" t="n">
        <v>118</v>
      </c>
      <c r="AZ159" s="143" t="n">
        <v>260</v>
      </c>
      <c r="BA159" s="143" t="n">
        <v>260</v>
      </c>
      <c r="BB159" s="143" t="n">
        <v>98</v>
      </c>
      <c r="BC159" s="143" t="n">
        <v>260</v>
      </c>
      <c r="BD159" s="143" t="n">
        <v>210</v>
      </c>
      <c r="BE159" s="143" t="n">
        <v>0</v>
      </c>
      <c r="BF159" s="143" t="n">
        <v>260</v>
      </c>
      <c r="BG159" s="143" t="n">
        <v>260</v>
      </c>
      <c r="BH159" s="143" t="n">
        <v>260</v>
      </c>
      <c r="BI159" s="143" t="n">
        <v>260</v>
      </c>
      <c r="BJ159" s="143" t="n">
        <v>178</v>
      </c>
      <c r="BK159" s="143" t="n">
        <v>0</v>
      </c>
      <c r="BL159" s="143" t="n">
        <v>0</v>
      </c>
      <c r="BM159" s="143" t="n">
        <v>0</v>
      </c>
      <c r="BN159" s="143" t="n">
        <v>400</v>
      </c>
      <c r="BO159" s="143" t="n">
        <v>520</v>
      </c>
      <c r="BP159" s="143" t="n">
        <v>0</v>
      </c>
      <c r="BQ159" s="143" t="n">
        <v>0</v>
      </c>
      <c r="BR159" s="143" t="n">
        <v>0</v>
      </c>
      <c r="BS159" s="143" t="n">
        <v>0</v>
      </c>
      <c r="BT159" s="143" t="n">
        <v>520</v>
      </c>
      <c r="BU159" s="143" t="n">
        <v>520</v>
      </c>
      <c r="BV159" s="143" t="n">
        <v>520</v>
      </c>
      <c r="BW159" s="143" t="n">
        <v>520</v>
      </c>
      <c r="BX159" s="143" t="n">
        <v>520</v>
      </c>
      <c r="BY159" s="143" t="n">
        <v>0</v>
      </c>
      <c r="BZ159" s="143" t="n">
        <v>0</v>
      </c>
      <c r="CA159" s="143" t="n">
        <v>520</v>
      </c>
      <c r="CB159" s="143" t="n">
        <v>520</v>
      </c>
      <c r="CC159" s="143" t="n">
        <v>120</v>
      </c>
      <c r="CD159" s="143" t="n">
        <v>700</v>
      </c>
      <c r="CE159" s="143" t="n">
        <v>150</v>
      </c>
      <c r="CF159" s="143" t="n">
        <v>0</v>
      </c>
      <c r="CG159" s="143" t="n">
        <v>0</v>
      </c>
      <c r="CH159" s="143" t="n">
        <v>85</v>
      </c>
      <c r="CI159" s="143" t="n">
        <v>156</v>
      </c>
      <c r="CJ159" s="143" t="n">
        <v>62</v>
      </c>
      <c r="CK159" s="143"/>
      <c r="CL159" s="143"/>
      <c r="CM159" s="143"/>
      <c r="CN159" s="143"/>
      <c r="CO159" s="143"/>
      <c r="CP159" s="143"/>
      <c r="CQ159" s="143"/>
      <c r="CR159" s="143"/>
      <c r="CS159" s="143"/>
      <c r="CT159" s="143"/>
      <c r="CU159" s="143"/>
      <c r="CV159" s="143"/>
      <c r="CW159" s="143"/>
      <c r="CX159" s="143"/>
      <c r="CY159" s="143"/>
      <c r="CZ159" s="143"/>
      <c r="DA159" s="143"/>
      <c r="DB159" s="143"/>
      <c r="DC159" s="143"/>
      <c r="DD159" s="143"/>
      <c r="DE159" s="143"/>
      <c r="DF159" s="143"/>
      <c r="DG159" s="143"/>
      <c r="DH159" s="143"/>
      <c r="DI159" s="143"/>
      <c r="DJ159" s="143"/>
      <c r="DK159" s="143"/>
      <c r="DL159" s="143"/>
      <c r="DM159" s="143"/>
      <c r="DN159" s="143"/>
      <c r="DO159" s="143"/>
      <c r="DP159" s="143"/>
      <c r="DQ159" s="143"/>
      <c r="DR159" s="143"/>
      <c r="DS159" s="143"/>
      <c r="DT159" s="143"/>
      <c r="DU159" s="143"/>
      <c r="DV159" s="143"/>
      <c r="DW159" s="143"/>
      <c r="DX159" s="143"/>
      <c r="DY159" s="143"/>
      <c r="DZ159" s="143"/>
      <c r="EA159" s="143"/>
      <c r="EB159" s="143"/>
      <c r="EC159" s="143"/>
      <c r="ED159" s="143"/>
      <c r="EE159" s="143"/>
      <c r="EF159" s="143"/>
      <c r="EG159" s="143"/>
      <c r="EH159" s="143"/>
      <c r="EI159" s="143"/>
      <c r="EJ159" s="143"/>
      <c r="EK159" s="70"/>
      <c r="EL159" s="70"/>
      <c r="EM159" s="70"/>
      <c r="EN159" s="70"/>
      <c r="EO159" s="70"/>
      <c r="EP159" s="70"/>
      <c r="EQ159" s="70"/>
      <c r="ER159" s="70"/>
      <c r="ES159" s="70"/>
      <c r="ET159" s="70"/>
      <c r="EU159" s="70"/>
      <c r="EV159" s="70"/>
      <c r="EW159" s="70"/>
      <c r="EX159" s="70"/>
      <c r="EY159" s="70"/>
      <c r="EZ159" s="70"/>
      <c r="FA159" s="70"/>
      <c r="FB159" s="70"/>
      <c r="FC159" s="70"/>
      <c r="FD159" s="70"/>
      <c r="FE159" s="70"/>
      <c r="FF159" s="70"/>
      <c r="FG159" s="70"/>
      <c r="FH159" s="70"/>
      <c r="FI159" s="70"/>
      <c r="FJ159" s="70"/>
      <c r="FK159" s="70"/>
      <c r="FL159" s="70"/>
      <c r="FM159" s="70"/>
      <c r="FN159" s="70"/>
      <c r="FO159" s="70"/>
      <c r="FP159" s="70"/>
      <c r="FQ159" s="70"/>
      <c r="FR159" s="70"/>
      <c r="FS159" s="70"/>
      <c r="FT159" s="70"/>
      <c r="FU159" s="70"/>
      <c r="FV159" s="70"/>
      <c r="FW159" s="70"/>
      <c r="FX159" s="70"/>
      <c r="FY159" s="70"/>
      <c r="FZ159" s="70"/>
      <c r="GA159" s="70"/>
      <c r="GB159" s="70"/>
      <c r="GC159" s="70"/>
      <c r="GD159" s="70"/>
      <c r="GE159" s="70"/>
      <c r="GF159" s="70"/>
      <c r="GG159" s="70"/>
      <c r="GH159" s="70"/>
      <c r="GI159" s="70"/>
      <c r="GJ159" s="70"/>
      <c r="GK159" s="70"/>
      <c r="GL159" s="70"/>
      <c r="GM159" s="70"/>
      <c r="GN159" s="70"/>
      <c r="GO159" s="70"/>
      <c r="GP159" s="70"/>
      <c r="GQ159" s="70"/>
      <c r="GR159" s="70"/>
      <c r="GS159" s="70"/>
      <c r="GT159" s="70"/>
      <c r="GU159" s="70"/>
      <c r="GV159" s="70"/>
      <c r="GW159" s="70"/>
      <c r="GX159" s="70"/>
      <c r="GY159" s="70"/>
      <c r="GZ159" s="70"/>
      <c r="HA159" s="70"/>
      <c r="HB159" s="70"/>
      <c r="HC159" s="70"/>
      <c r="HD159" s="70"/>
      <c r="HE159" s="70"/>
      <c r="HF159" s="70"/>
      <c r="HG159" s="70"/>
      <c r="HH159" s="70"/>
      <c r="HI159" s="70"/>
      <c r="HJ159" s="70"/>
      <c r="HK159" s="70"/>
      <c r="HL159" s="70"/>
      <c r="HM159" s="70"/>
      <c r="HN159" s="70"/>
      <c r="HO159" s="70"/>
      <c r="HP159" s="70"/>
      <c r="HQ159" s="70"/>
      <c r="HR159" s="70"/>
      <c r="HS159" s="70"/>
      <c r="HT159" s="70"/>
      <c r="HU159" s="70"/>
      <c r="HV159" s="70"/>
      <c r="HW159" s="70"/>
      <c r="HX159" s="70"/>
      <c r="HY159" s="70"/>
      <c r="HZ159" s="70"/>
      <c r="IA159" s="70"/>
      <c r="IB159" s="70"/>
      <c r="IC159" s="70"/>
      <c r="ID159" s="70"/>
      <c r="IE159" s="70"/>
      <c r="IF159" s="70"/>
      <c r="IG159" s="70"/>
      <c r="IH159" s="70"/>
      <c r="II159" s="70"/>
      <c r="IJ159" s="70"/>
      <c r="IK159" s="70"/>
      <c r="IL159" s="70"/>
      <c r="IM159" s="70"/>
      <c r="IN159" s="70"/>
      <c r="IO159" s="70"/>
      <c r="IP159" s="70"/>
      <c r="IQ159" s="70"/>
      <c r="IR159" s="70"/>
      <c r="IS159" s="70"/>
      <c r="IT159" s="70"/>
      <c r="IU159" s="70"/>
      <c r="IV159" s="70"/>
      <c r="IW159" s="70"/>
    </row>
    <row r="160" customFormat="false" ht="13.5" hidden="false" customHeight="true" outlineLevel="0" collapsed="false">
      <c r="A160" s="41"/>
      <c r="B160" s="45"/>
      <c r="C160" s="45"/>
      <c r="D160" s="45"/>
      <c r="E160" s="45"/>
      <c r="F160" s="45"/>
      <c r="G160" s="45"/>
      <c r="H160" s="45"/>
      <c r="I160" s="45"/>
      <c r="J160" s="45"/>
      <c r="K160" s="45" t="n">
        <f aca="false">+520-K159</f>
        <v>334</v>
      </c>
      <c r="L160" s="45"/>
      <c r="M160" s="45"/>
      <c r="N160" s="45"/>
      <c r="O160" s="45"/>
      <c r="P160" s="45"/>
      <c r="Q160" s="45"/>
      <c r="R160" s="163" t="s">
        <v>6315</v>
      </c>
      <c r="S160" s="45"/>
      <c r="T160" s="163"/>
      <c r="U160" s="45"/>
      <c r="V160" s="45"/>
      <c r="W160" s="45" t="n">
        <v>400</v>
      </c>
      <c r="X160" s="163" t="s">
        <v>6316</v>
      </c>
      <c r="Y160" s="45"/>
      <c r="Z160" s="45"/>
      <c r="AA160" s="45"/>
      <c r="AB160" s="45"/>
      <c r="AC160" s="45"/>
      <c r="AD160" s="45"/>
      <c r="AE160" s="45" t="n">
        <v>450</v>
      </c>
      <c r="AF160" s="45"/>
      <c r="AG160" s="45"/>
      <c r="AH160" s="45"/>
      <c r="AI160" s="45"/>
      <c r="AJ160" s="45"/>
      <c r="AK160" s="45"/>
      <c r="AL160" s="45"/>
      <c r="AM160" s="45"/>
      <c r="AN160" s="45"/>
      <c r="AO160" s="45"/>
      <c r="AP160" s="45"/>
      <c r="AQ160" s="45"/>
      <c r="AR160" s="45" t="n">
        <v>52</v>
      </c>
      <c r="AS160" s="45"/>
      <c r="AT160" s="45" t="n">
        <v>80</v>
      </c>
      <c r="AU160" s="45"/>
      <c r="AV160" s="45"/>
      <c r="AW160" s="45"/>
      <c r="AX160" s="45"/>
      <c r="AY160" s="45" t="n">
        <v>100</v>
      </c>
      <c r="AZ160" s="45"/>
      <c r="BA160" s="45"/>
      <c r="BB160" s="45" t="n">
        <v>112</v>
      </c>
      <c r="BC160" s="45"/>
      <c r="BD160" s="45"/>
      <c r="BE160" s="45"/>
      <c r="BF160" s="45"/>
      <c r="BG160" s="45"/>
      <c r="BH160" s="45"/>
      <c r="BI160" s="45"/>
      <c r="BJ160" s="45"/>
      <c r="BK160" s="45"/>
      <c r="BL160" s="45"/>
      <c r="BM160" s="45"/>
      <c r="BN160" s="45"/>
      <c r="BO160" s="45"/>
      <c r="BP160" s="45"/>
      <c r="BQ160" s="45"/>
      <c r="BR160" s="45"/>
      <c r="BS160" s="45"/>
      <c r="BT160" s="45"/>
      <c r="BU160" s="45"/>
      <c r="BV160" s="45"/>
      <c r="BW160" s="45"/>
      <c r="BX160" s="45"/>
      <c r="BY160" s="45"/>
      <c r="BZ160" s="45"/>
      <c r="CA160" s="45"/>
      <c r="CB160" s="45"/>
      <c r="CC160" s="45" t="n">
        <v>90</v>
      </c>
      <c r="CD160" s="45"/>
      <c r="CE160" s="45"/>
      <c r="CF160" s="45"/>
      <c r="CG160" s="45"/>
      <c r="CH160" s="45" t="n">
        <v>60</v>
      </c>
      <c r="CI160" s="45" t="n">
        <v>50</v>
      </c>
      <c r="CJ160" s="45"/>
      <c r="CK160" s="45"/>
      <c r="CL160" s="45"/>
      <c r="CM160" s="45"/>
      <c r="CN160" s="45"/>
      <c r="CO160" s="45"/>
      <c r="CP160" s="45"/>
      <c r="CQ160" s="45"/>
      <c r="CR160" s="45"/>
      <c r="CS160" s="45"/>
      <c r="CT160" s="45"/>
      <c r="CU160" s="45"/>
      <c r="CV160" s="45"/>
      <c r="CW160" s="45"/>
      <c r="CX160" s="45"/>
      <c r="CY160" s="45"/>
      <c r="CZ160" s="45"/>
      <c r="DA160" s="45"/>
      <c r="DB160" s="45"/>
      <c r="DC160" s="45"/>
      <c r="DD160" s="45"/>
      <c r="DE160" s="45"/>
      <c r="DF160" s="45"/>
      <c r="DG160" s="45"/>
      <c r="DH160" s="45"/>
      <c r="DI160" s="45"/>
      <c r="DJ160" s="45"/>
      <c r="DK160" s="45"/>
      <c r="DL160" s="45"/>
      <c r="DM160" s="45"/>
      <c r="DN160" s="45"/>
      <c r="DO160" s="45"/>
      <c r="DP160" s="45"/>
      <c r="DQ160" s="45"/>
      <c r="DR160" s="45"/>
      <c r="DS160" s="45"/>
      <c r="DT160" s="45"/>
      <c r="DU160" s="45"/>
      <c r="DV160" s="45"/>
      <c r="DW160" s="45"/>
      <c r="DX160" s="45"/>
      <c r="DY160" s="45"/>
      <c r="DZ160" s="45"/>
      <c r="EA160" s="45"/>
      <c r="EB160" s="45"/>
      <c r="EC160" s="45"/>
      <c r="ED160" s="45"/>
      <c r="EE160" s="45"/>
      <c r="EF160" s="45"/>
      <c r="EG160" s="45"/>
      <c r="EH160" s="45"/>
      <c r="EI160" s="45"/>
      <c r="EJ160" s="45"/>
      <c r="EK160" s="170"/>
      <c r="EL160" s="170"/>
      <c r="EM160" s="170"/>
      <c r="EN160" s="170"/>
      <c r="EO160" s="170"/>
      <c r="EP160" s="170"/>
      <c r="EQ160" s="170"/>
      <c r="ER160" s="170"/>
      <c r="ES160" s="170"/>
      <c r="ET160" s="170"/>
      <c r="EU160" s="170"/>
      <c r="EV160" s="170"/>
      <c r="EW160" s="170"/>
      <c r="EX160" s="170"/>
      <c r="EY160" s="170"/>
      <c r="EZ160" s="170"/>
      <c r="FA160" s="170"/>
      <c r="FB160" s="170"/>
      <c r="FC160" s="170"/>
      <c r="FD160" s="170"/>
      <c r="FE160" s="170"/>
      <c r="FF160" s="170"/>
      <c r="FG160" s="170"/>
      <c r="FH160" s="170"/>
      <c r="FI160" s="170"/>
      <c r="FJ160" s="170"/>
      <c r="FK160" s="170"/>
      <c r="FL160" s="170"/>
      <c r="FM160" s="170"/>
      <c r="FN160" s="170"/>
      <c r="FO160" s="170"/>
      <c r="FP160" s="170"/>
      <c r="FQ160" s="170"/>
      <c r="FR160" s="170"/>
      <c r="FS160" s="170"/>
      <c r="FT160" s="170"/>
      <c r="FU160" s="170"/>
      <c r="FV160" s="170"/>
      <c r="FW160" s="170"/>
      <c r="FX160" s="170"/>
      <c r="FY160" s="170"/>
      <c r="FZ160" s="170"/>
      <c r="GA160" s="170"/>
      <c r="GB160" s="170"/>
      <c r="GC160" s="170"/>
      <c r="GD160" s="170"/>
      <c r="GE160" s="170"/>
      <c r="GF160" s="45"/>
      <c r="GG160" s="45"/>
      <c r="GH160" s="45"/>
      <c r="GI160" s="45"/>
      <c r="GJ160" s="45"/>
      <c r="GK160" s="45"/>
      <c r="GL160" s="45"/>
      <c r="GM160" s="170"/>
      <c r="GN160" s="170"/>
      <c r="GO160" s="170"/>
      <c r="GP160" s="170"/>
      <c r="GQ160" s="170"/>
      <c r="GR160" s="170"/>
      <c r="GS160" s="170"/>
      <c r="GT160" s="170"/>
      <c r="GU160" s="170"/>
      <c r="GV160" s="170"/>
      <c r="GW160" s="170"/>
      <c r="GX160" s="170"/>
      <c r="GY160" s="170"/>
      <c r="GZ160" s="170"/>
      <c r="HA160" s="170"/>
      <c r="HB160" s="170"/>
      <c r="HC160" s="170"/>
      <c r="HD160" s="170"/>
      <c r="HE160" s="170"/>
      <c r="HF160" s="170"/>
      <c r="HG160" s="170"/>
      <c r="HH160" s="170"/>
      <c r="HI160" s="170"/>
      <c r="HJ160" s="170"/>
      <c r="HK160" s="170"/>
      <c r="HL160" s="170"/>
      <c r="HM160" s="170"/>
      <c r="HN160" s="170"/>
      <c r="HO160" s="170"/>
      <c r="HP160" s="170"/>
      <c r="HQ160" s="170"/>
      <c r="HR160" s="170"/>
      <c r="HS160" s="170"/>
      <c r="HT160" s="170"/>
      <c r="HU160" s="170"/>
      <c r="HV160" s="45"/>
      <c r="HW160" s="45"/>
      <c r="HX160" s="45"/>
      <c r="HY160" s="45"/>
      <c r="HZ160" s="45"/>
      <c r="IA160" s="45"/>
      <c r="IB160" s="45"/>
      <c r="IC160" s="45"/>
      <c r="ID160" s="45"/>
      <c r="IE160" s="45"/>
      <c r="IF160" s="45"/>
      <c r="IG160" s="45"/>
      <c r="IH160" s="45"/>
      <c r="II160" s="45"/>
      <c r="IJ160" s="45"/>
      <c r="IK160" s="45"/>
      <c r="IL160" s="45"/>
      <c r="IM160" s="45"/>
      <c r="IN160" s="45"/>
      <c r="IO160" s="45"/>
      <c r="IP160" s="45"/>
      <c r="IQ160" s="45"/>
      <c r="IR160" s="45"/>
      <c r="IS160" s="45"/>
      <c r="IT160" s="45"/>
      <c r="IU160" s="45"/>
      <c r="IV160" s="45"/>
      <c r="IW160" s="45"/>
    </row>
    <row r="161" customFormat="false" ht="13.5" hidden="false" customHeight="true" outlineLevel="0" collapsed="false">
      <c r="A161" s="146"/>
      <c r="B161" s="147" t="s">
        <v>5953</v>
      </c>
      <c r="C161" s="157"/>
      <c r="D161" s="148"/>
      <c r="E161" s="156"/>
      <c r="F161" s="106"/>
      <c r="G161" s="106"/>
      <c r="H161" s="148"/>
      <c r="I161" s="171"/>
      <c r="J161" s="171"/>
      <c r="K161" s="171" t="s">
        <v>6317</v>
      </c>
      <c r="L161" s="148"/>
      <c r="M161" s="148"/>
      <c r="N161" s="148"/>
      <c r="O161" s="148"/>
      <c r="P161" s="148"/>
      <c r="Q161" s="148"/>
      <c r="R161" s="148"/>
      <c r="S161" s="148"/>
      <c r="T161" s="106"/>
      <c r="U161" s="148"/>
      <c r="V161" s="148"/>
      <c r="W161" s="156" t="s">
        <v>5955</v>
      </c>
      <c r="X161" s="106"/>
      <c r="Y161" s="148"/>
      <c r="Z161" s="148"/>
      <c r="AA161" s="148"/>
      <c r="AB161" s="148"/>
      <c r="AC161" s="148"/>
      <c r="AD161" s="106"/>
      <c r="AE161" s="156" t="s">
        <v>6318</v>
      </c>
      <c r="AF161" s="106"/>
      <c r="AG161" s="166"/>
      <c r="AH161" s="166"/>
      <c r="AI161" s="148"/>
      <c r="AJ161" s="148"/>
      <c r="AK161" s="166"/>
      <c r="AL161" s="106"/>
      <c r="AM161" s="148"/>
      <c r="AN161" s="106"/>
      <c r="AO161" s="106"/>
      <c r="AP161" s="106" t="s">
        <v>6319</v>
      </c>
      <c r="AQ161" s="106"/>
      <c r="AR161" s="166" t="s">
        <v>6320</v>
      </c>
      <c r="AS161" s="166"/>
      <c r="AT161" s="106" t="s">
        <v>5998</v>
      </c>
      <c r="AU161" s="148"/>
      <c r="AV161" s="166"/>
      <c r="AW161" s="148"/>
      <c r="AX161" s="148"/>
      <c r="AY161" s="166" t="s">
        <v>6321</v>
      </c>
      <c r="AZ161" s="148"/>
      <c r="BA161" s="106"/>
      <c r="BB161" s="106" t="s">
        <v>6291</v>
      </c>
      <c r="BC161" s="148"/>
      <c r="BD161" s="148"/>
      <c r="BE161" s="148"/>
      <c r="BF161" s="148"/>
      <c r="BG161" s="148"/>
      <c r="BH161" s="148"/>
      <c r="BI161" s="148"/>
      <c r="BJ161" s="148"/>
      <c r="BK161" s="148"/>
      <c r="BL161" s="164" t="s">
        <v>6289</v>
      </c>
      <c r="BM161" s="148"/>
      <c r="BN161" s="106" t="s">
        <v>6322</v>
      </c>
      <c r="BO161" s="148"/>
      <c r="BP161" s="148"/>
      <c r="BQ161" s="148"/>
      <c r="BR161" s="148"/>
      <c r="BS161" s="106"/>
      <c r="BT161" s="148"/>
      <c r="BU161" s="148"/>
      <c r="BV161" s="148"/>
      <c r="BW161" s="148"/>
      <c r="BX161" s="148"/>
      <c r="BY161" s="148"/>
      <c r="BZ161" s="148"/>
      <c r="CA161" s="148"/>
      <c r="CB161" s="148"/>
      <c r="CC161" s="106" t="s">
        <v>6323</v>
      </c>
      <c r="CD161" s="106"/>
      <c r="CE161" s="106" t="s">
        <v>6323</v>
      </c>
      <c r="CF161" s="148"/>
      <c r="CG161" s="148"/>
      <c r="CH161" s="106" t="s">
        <v>6323</v>
      </c>
      <c r="CI161" s="106"/>
      <c r="CJ161" s="148"/>
      <c r="CK161" s="148"/>
      <c r="CL161" s="148"/>
      <c r="CM161" s="148"/>
      <c r="CN161" s="148"/>
      <c r="CO161" s="106"/>
      <c r="CP161" s="148"/>
      <c r="CQ161" s="148"/>
      <c r="CR161" s="148"/>
      <c r="CS161" s="106"/>
      <c r="CT161" s="148"/>
      <c r="CU161" s="148"/>
      <c r="CV161" s="148"/>
      <c r="CW161" s="148"/>
      <c r="CX161" s="148"/>
      <c r="CY161" s="148"/>
      <c r="CZ161" s="148"/>
      <c r="DA161" s="148"/>
      <c r="DB161" s="148"/>
      <c r="DC161" s="148"/>
      <c r="DD161" s="148"/>
      <c r="DE161" s="148"/>
      <c r="DF161" s="148"/>
      <c r="DG161" s="148"/>
      <c r="DH161" s="148"/>
      <c r="DI161" s="148"/>
      <c r="DJ161" s="148"/>
      <c r="DK161" s="148"/>
      <c r="DL161" s="148"/>
      <c r="DM161" s="148"/>
      <c r="DN161" s="148"/>
      <c r="DO161" s="148"/>
      <c r="DP161" s="148"/>
      <c r="DQ161" s="148"/>
      <c r="DR161" s="148"/>
      <c r="DS161" s="148"/>
      <c r="DT161" s="148"/>
      <c r="DU161" s="148"/>
      <c r="DV161" s="148"/>
      <c r="DW161" s="148"/>
      <c r="DX161" s="148"/>
      <c r="DY161" s="148"/>
      <c r="DZ161" s="148"/>
      <c r="EA161" s="148"/>
      <c r="EB161" s="148"/>
      <c r="EC161" s="148"/>
      <c r="ED161" s="148"/>
      <c r="EE161" s="148"/>
      <c r="EF161" s="148"/>
      <c r="EG161" s="148"/>
      <c r="EH161" s="148"/>
      <c r="EI161" s="148"/>
      <c r="EJ161" s="148"/>
      <c r="EK161" s="70"/>
      <c r="EL161" s="70"/>
      <c r="EM161" s="70"/>
      <c r="EN161" s="70"/>
      <c r="EO161" s="70"/>
      <c r="EP161" s="70"/>
      <c r="EQ161" s="70"/>
      <c r="ER161" s="70"/>
      <c r="ES161" s="70"/>
      <c r="ET161" s="70"/>
      <c r="EU161" s="70"/>
      <c r="EV161" s="70"/>
      <c r="EW161" s="70"/>
      <c r="EX161" s="70"/>
      <c r="EY161" s="70"/>
      <c r="EZ161" s="70"/>
      <c r="FA161" s="70"/>
      <c r="FB161" s="70"/>
      <c r="FC161" s="70"/>
      <c r="FD161" s="70"/>
      <c r="FE161" s="70"/>
      <c r="FF161" s="70"/>
      <c r="FG161" s="70"/>
      <c r="FH161" s="70"/>
      <c r="FI161" s="70"/>
      <c r="FJ161" s="70"/>
      <c r="FK161" s="70"/>
      <c r="FL161" s="70"/>
      <c r="FM161" s="70"/>
      <c r="FN161" s="70"/>
      <c r="FO161" s="70"/>
      <c r="FP161" s="70"/>
      <c r="FQ161" s="70"/>
      <c r="FR161" s="70"/>
      <c r="FS161" s="70"/>
      <c r="FT161" s="70"/>
      <c r="FU161" s="70"/>
      <c r="FV161" s="70"/>
      <c r="FW161" s="70"/>
      <c r="FX161" s="70"/>
      <c r="FY161" s="70"/>
      <c r="FZ161" s="70"/>
      <c r="GA161" s="70"/>
      <c r="GB161" s="70"/>
      <c r="GC161" s="70"/>
      <c r="GD161" s="70"/>
      <c r="GE161" s="70"/>
      <c r="GF161" s="70"/>
      <c r="GG161" s="70"/>
      <c r="GH161" s="70"/>
      <c r="GI161" s="70"/>
      <c r="GJ161" s="70"/>
      <c r="GK161" s="70"/>
      <c r="GL161" s="70"/>
      <c r="GM161" s="70"/>
      <c r="GN161" s="70"/>
      <c r="GO161" s="70"/>
      <c r="GP161" s="70"/>
      <c r="GQ161" s="70"/>
      <c r="GR161" s="70"/>
      <c r="GS161" s="70"/>
      <c r="GT161" s="70"/>
      <c r="GU161" s="70"/>
      <c r="GV161" s="70"/>
      <c r="GW161" s="70"/>
      <c r="GX161" s="70"/>
      <c r="GY161" s="70"/>
      <c r="GZ161" s="70"/>
      <c r="HA161" s="70"/>
      <c r="HB161" s="70"/>
      <c r="HC161" s="70"/>
      <c r="HD161" s="70"/>
      <c r="HE161" s="70"/>
      <c r="HF161" s="70"/>
      <c r="HG161" s="70"/>
      <c r="HH161" s="70"/>
      <c r="HI161" s="70"/>
      <c r="HJ161" s="70"/>
      <c r="HK161" s="70"/>
      <c r="HL161" s="70"/>
      <c r="HM161" s="70"/>
      <c r="HN161" s="70"/>
      <c r="HO161" s="70"/>
      <c r="HP161" s="70"/>
      <c r="HQ161" s="70"/>
      <c r="HR161" s="70"/>
      <c r="HS161" s="70"/>
      <c r="HT161" s="70"/>
      <c r="HU161" s="70"/>
      <c r="HV161" s="148"/>
      <c r="HW161" s="148"/>
      <c r="HX161" s="148"/>
      <c r="HY161" s="148"/>
      <c r="HZ161" s="148"/>
      <c r="IA161" s="148"/>
      <c r="IB161" s="148"/>
      <c r="IC161" s="148"/>
      <c r="ID161" s="148"/>
      <c r="IE161" s="148"/>
      <c r="IF161" s="148"/>
      <c r="IG161" s="148"/>
      <c r="IH161" s="148"/>
      <c r="II161" s="148"/>
      <c r="IJ161" s="148"/>
      <c r="IK161" s="148"/>
      <c r="IL161" s="148"/>
      <c r="IM161" s="148"/>
      <c r="IN161" s="148"/>
      <c r="IO161" s="148"/>
      <c r="IP161" s="148"/>
      <c r="IQ161" s="148"/>
      <c r="IR161" s="148"/>
      <c r="IS161" s="148"/>
      <c r="IT161" s="148"/>
      <c r="IU161" s="148"/>
      <c r="IV161" s="148"/>
      <c r="IW161" s="148"/>
    </row>
    <row r="162" customFormat="false" ht="13.5" hidden="false" customHeight="true" outlineLevel="0" collapsed="false">
      <c r="A162" s="52" t="s">
        <v>5960</v>
      </c>
      <c r="B162" s="150" t="n">
        <v>21</v>
      </c>
      <c r="C162" s="150" t="n">
        <v>21</v>
      </c>
      <c r="D162" s="150" t="n">
        <v>21</v>
      </c>
      <c r="E162" s="150" t="n">
        <v>21</v>
      </c>
      <c r="F162" s="150" t="n">
        <v>21</v>
      </c>
      <c r="G162" s="150" t="n">
        <v>21</v>
      </c>
      <c r="H162" s="150" t="n">
        <v>21</v>
      </c>
      <c r="I162" s="150" t="n">
        <v>21</v>
      </c>
      <c r="J162" s="150" t="n">
        <v>21</v>
      </c>
      <c r="K162" s="150" t="n">
        <v>21</v>
      </c>
      <c r="L162" s="150" t="n">
        <v>21</v>
      </c>
      <c r="M162" s="150" t="n">
        <v>21</v>
      </c>
      <c r="N162" s="150" t="n">
        <v>21</v>
      </c>
      <c r="O162" s="150" t="n">
        <v>21</v>
      </c>
      <c r="P162" s="150" t="n">
        <v>21</v>
      </c>
      <c r="Q162" s="150" t="n">
        <v>21</v>
      </c>
      <c r="R162" s="150" t="n">
        <v>21</v>
      </c>
      <c r="S162" s="150" t="n">
        <v>21</v>
      </c>
      <c r="T162" s="150" t="n">
        <v>21</v>
      </c>
      <c r="U162" s="150" t="n">
        <v>21</v>
      </c>
      <c r="V162" s="150" t="n">
        <v>21</v>
      </c>
      <c r="W162" s="150" t="n">
        <v>21</v>
      </c>
      <c r="X162" s="150" t="n">
        <v>17</v>
      </c>
      <c r="Y162" s="150" t="n">
        <v>17</v>
      </c>
      <c r="Z162" s="150" t="n">
        <v>17</v>
      </c>
      <c r="AA162" s="150" t="n">
        <v>17</v>
      </c>
      <c r="AB162" s="150" t="n">
        <v>17</v>
      </c>
      <c r="AC162" s="150" t="n">
        <v>17</v>
      </c>
      <c r="AD162" s="150" t="n">
        <v>17</v>
      </c>
      <c r="AE162" s="150" t="n">
        <v>21</v>
      </c>
      <c r="AF162" s="150" t="n">
        <v>21</v>
      </c>
      <c r="AG162" s="150" t="n">
        <v>21</v>
      </c>
      <c r="AH162" s="150" t="n">
        <v>21</v>
      </c>
      <c r="AI162" s="150" t="n">
        <v>21</v>
      </c>
      <c r="AJ162" s="150" t="n">
        <v>21</v>
      </c>
      <c r="AK162" s="150" t="n">
        <v>21</v>
      </c>
      <c r="AL162" s="150" t="n">
        <v>21</v>
      </c>
      <c r="AM162" s="150" t="n">
        <v>21</v>
      </c>
      <c r="AN162" s="150" t="n">
        <v>21</v>
      </c>
      <c r="AO162" s="150" t="n">
        <v>21</v>
      </c>
      <c r="AP162" s="150" t="n">
        <v>19</v>
      </c>
      <c r="AQ162" s="150" t="n">
        <v>19</v>
      </c>
      <c r="AR162" s="150" t="n">
        <v>20</v>
      </c>
      <c r="AS162" s="150" t="n">
        <v>20</v>
      </c>
      <c r="AT162" s="150" t="n">
        <v>19</v>
      </c>
      <c r="AU162" s="150" t="n">
        <v>19</v>
      </c>
      <c r="AV162" s="150" t="n">
        <v>19</v>
      </c>
      <c r="AW162" s="150" t="n">
        <v>19</v>
      </c>
      <c r="AX162" s="150" t="n">
        <v>19</v>
      </c>
      <c r="AY162" s="150" t="n">
        <v>20</v>
      </c>
      <c r="AZ162" s="150" t="n">
        <v>20</v>
      </c>
      <c r="BA162" s="150" t="n">
        <v>20</v>
      </c>
      <c r="BB162" s="150" t="n">
        <v>20</v>
      </c>
      <c r="BC162" s="150" t="n">
        <v>20</v>
      </c>
      <c r="BD162" s="150" t="n">
        <v>20</v>
      </c>
      <c r="BE162" s="150" t="n">
        <v>20</v>
      </c>
      <c r="BF162" s="150" t="n">
        <v>20</v>
      </c>
      <c r="BG162" s="150" t="n">
        <v>20</v>
      </c>
      <c r="BH162" s="150" t="n">
        <v>20</v>
      </c>
      <c r="BI162" s="150" t="n">
        <v>20</v>
      </c>
      <c r="BJ162" s="150" t="n">
        <v>20</v>
      </c>
      <c r="BK162" s="150" t="n">
        <v>20</v>
      </c>
      <c r="BL162" s="150" t="n">
        <v>20</v>
      </c>
      <c r="BM162" s="150" t="n">
        <v>20</v>
      </c>
      <c r="BN162" s="150" t="n">
        <v>21</v>
      </c>
      <c r="BO162" s="150" t="n">
        <v>21</v>
      </c>
      <c r="BP162" s="150" t="n">
        <v>21</v>
      </c>
      <c r="BQ162" s="150" t="n">
        <v>21</v>
      </c>
      <c r="BR162" s="150" t="n">
        <v>21</v>
      </c>
      <c r="BS162" s="150" t="n">
        <v>21</v>
      </c>
      <c r="BT162" s="150" t="n">
        <v>21</v>
      </c>
      <c r="BU162" s="150" t="n">
        <v>21</v>
      </c>
      <c r="BV162" s="150" t="n">
        <v>21</v>
      </c>
      <c r="BW162" s="150" t="n">
        <v>21</v>
      </c>
      <c r="BX162" s="150" t="n">
        <v>21</v>
      </c>
      <c r="BY162" s="150" t="n">
        <v>21</v>
      </c>
      <c r="BZ162" s="150" t="n">
        <v>21</v>
      </c>
      <c r="CA162" s="150" t="n">
        <v>21</v>
      </c>
      <c r="CB162" s="150" t="n">
        <v>21</v>
      </c>
      <c r="CC162" s="150" t="n">
        <v>21</v>
      </c>
      <c r="CD162" s="150" t="n">
        <v>13</v>
      </c>
      <c r="CE162" s="150" t="n">
        <v>15</v>
      </c>
      <c r="CF162" s="150" t="n">
        <v>15</v>
      </c>
      <c r="CG162" s="150" t="n">
        <v>15</v>
      </c>
      <c r="CH162" s="150" t="n">
        <v>22</v>
      </c>
      <c r="CI162" s="150" t="n">
        <v>22</v>
      </c>
      <c r="CJ162" s="150" t="n">
        <v>22</v>
      </c>
      <c r="CK162" s="150"/>
      <c r="CL162" s="150"/>
      <c r="CM162" s="150"/>
      <c r="CN162" s="150"/>
      <c r="CO162" s="150"/>
      <c r="CP162" s="150"/>
      <c r="CQ162" s="150"/>
      <c r="CR162" s="150"/>
      <c r="CS162" s="150"/>
      <c r="CT162" s="150"/>
      <c r="CU162" s="150"/>
      <c r="CV162" s="150"/>
      <c r="CW162" s="150"/>
      <c r="CX162" s="150"/>
      <c r="CY162" s="150"/>
      <c r="CZ162" s="150"/>
      <c r="DA162" s="150"/>
      <c r="DB162" s="150"/>
      <c r="DC162" s="150"/>
      <c r="DD162" s="150"/>
      <c r="DE162" s="150"/>
      <c r="DF162" s="150"/>
      <c r="DG162" s="150"/>
      <c r="DH162" s="150"/>
      <c r="DI162" s="150"/>
      <c r="DJ162" s="150"/>
      <c r="DK162" s="150"/>
      <c r="DL162" s="150"/>
      <c r="DM162" s="150"/>
      <c r="DN162" s="150"/>
      <c r="DO162" s="150"/>
      <c r="DP162" s="150"/>
      <c r="DQ162" s="150"/>
      <c r="DR162" s="150"/>
      <c r="DS162" s="150"/>
      <c r="DT162" s="150"/>
      <c r="DU162" s="150"/>
      <c r="DV162" s="150"/>
      <c r="DW162" s="150"/>
      <c r="DX162" s="150"/>
      <c r="DY162" s="150"/>
      <c r="DZ162" s="150"/>
      <c r="EA162" s="150"/>
      <c r="EB162" s="150"/>
      <c r="EC162" s="150"/>
      <c r="ED162" s="150"/>
      <c r="EE162" s="150"/>
      <c r="EF162" s="150"/>
      <c r="EG162" s="150"/>
      <c r="EH162" s="150"/>
      <c r="EI162" s="150"/>
      <c r="EJ162" s="150"/>
      <c r="EK162" s="70"/>
      <c r="EL162" s="70"/>
      <c r="EM162" s="70"/>
      <c r="EN162" s="70"/>
      <c r="EO162" s="70"/>
      <c r="EP162" s="70"/>
      <c r="EQ162" s="70"/>
      <c r="ER162" s="70"/>
      <c r="ES162" s="70"/>
      <c r="ET162" s="70"/>
      <c r="EU162" s="70"/>
      <c r="EV162" s="70"/>
      <c r="EW162" s="70"/>
      <c r="EX162" s="70"/>
      <c r="EY162" s="70"/>
      <c r="EZ162" s="70"/>
      <c r="FA162" s="70"/>
      <c r="FB162" s="70"/>
      <c r="FC162" s="70"/>
      <c r="FD162" s="70"/>
      <c r="FE162" s="70"/>
      <c r="FF162" s="70"/>
      <c r="FG162" s="70"/>
      <c r="FH162" s="70"/>
      <c r="FI162" s="70"/>
      <c r="FJ162" s="70"/>
      <c r="FK162" s="70"/>
      <c r="FL162" s="70"/>
      <c r="FM162" s="70"/>
      <c r="FN162" s="70"/>
      <c r="FO162" s="70"/>
      <c r="FP162" s="70"/>
      <c r="FQ162" s="70"/>
      <c r="FR162" s="70"/>
      <c r="FS162" s="70"/>
      <c r="FT162" s="70"/>
      <c r="FU162" s="70"/>
      <c r="FV162" s="70"/>
      <c r="FW162" s="70"/>
      <c r="FX162" s="70"/>
      <c r="FY162" s="70"/>
      <c r="FZ162" s="70"/>
      <c r="GA162" s="70"/>
      <c r="GB162" s="70"/>
      <c r="GC162" s="70"/>
      <c r="GD162" s="70"/>
      <c r="GE162" s="70"/>
      <c r="GF162" s="70"/>
      <c r="GG162" s="70"/>
      <c r="GH162" s="70"/>
      <c r="GI162" s="70"/>
      <c r="GJ162" s="70"/>
      <c r="GK162" s="70"/>
      <c r="GL162" s="70"/>
      <c r="GM162" s="70"/>
      <c r="GN162" s="70"/>
      <c r="GO162" s="70"/>
      <c r="GP162" s="70"/>
      <c r="GQ162" s="70"/>
      <c r="GR162" s="70"/>
      <c r="GS162" s="70"/>
      <c r="GT162" s="70"/>
      <c r="GU162" s="70"/>
      <c r="GV162" s="70"/>
      <c r="GW162" s="70"/>
      <c r="GX162" s="70"/>
      <c r="GY162" s="70"/>
      <c r="GZ162" s="70"/>
      <c r="HA162" s="70"/>
      <c r="HB162" s="70"/>
      <c r="HC162" s="70"/>
      <c r="HD162" s="70"/>
      <c r="HE162" s="70"/>
      <c r="HF162" s="70"/>
      <c r="HG162" s="70"/>
      <c r="HH162" s="70"/>
      <c r="HI162" s="70"/>
      <c r="HJ162" s="70"/>
      <c r="HK162" s="70"/>
      <c r="HL162" s="70"/>
      <c r="HM162" s="70"/>
      <c r="HN162" s="70"/>
      <c r="HO162" s="70"/>
      <c r="HP162" s="70"/>
      <c r="HQ162" s="70"/>
      <c r="HR162" s="70"/>
      <c r="HS162" s="70"/>
      <c r="HT162" s="70"/>
      <c r="HU162" s="70"/>
      <c r="HV162" s="70"/>
      <c r="HW162" s="70"/>
      <c r="HX162" s="70"/>
      <c r="HY162" s="70"/>
      <c r="HZ162" s="70"/>
      <c r="IA162" s="70"/>
      <c r="IB162" s="70"/>
      <c r="IC162" s="70"/>
      <c r="ID162" s="70"/>
      <c r="IE162" s="70"/>
      <c r="IF162" s="70"/>
      <c r="IG162" s="70"/>
      <c r="IH162" s="70"/>
      <c r="II162" s="70"/>
      <c r="IJ162" s="70"/>
      <c r="IK162" s="70"/>
      <c r="IL162" s="70"/>
      <c r="IM162" s="70"/>
      <c r="IN162" s="70"/>
      <c r="IO162" s="70"/>
      <c r="IP162" s="70"/>
      <c r="IQ162" s="70"/>
      <c r="IR162" s="70"/>
      <c r="IS162" s="70"/>
      <c r="IT162" s="70"/>
      <c r="IU162" s="70"/>
      <c r="IV162" s="70"/>
      <c r="IW162" s="70"/>
    </row>
    <row r="163" customFormat="false" ht="13.5" hidden="false" customHeight="true" outlineLevel="0" collapsed="false">
      <c r="A163" s="172" t="s">
        <v>6324</v>
      </c>
      <c r="B163" s="152"/>
      <c r="C163" s="152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2"/>
      <c r="AH163" s="152"/>
      <c r="AI163" s="152"/>
      <c r="AJ163" s="152"/>
      <c r="AK163" s="152"/>
      <c r="AL163" s="152"/>
      <c r="AM163" s="152"/>
      <c r="AN163" s="173"/>
      <c r="AO163" s="173"/>
      <c r="AP163" s="173"/>
      <c r="AQ163" s="173"/>
      <c r="AR163" s="173"/>
      <c r="AS163" s="173"/>
      <c r="AT163" s="173"/>
      <c r="AU163" s="173"/>
      <c r="AV163" s="173"/>
      <c r="AW163" s="173"/>
      <c r="AX163" s="173"/>
      <c r="AY163" s="173"/>
      <c r="AZ163" s="173"/>
      <c r="BA163" s="173"/>
      <c r="BB163" s="173"/>
      <c r="BC163" s="173"/>
      <c r="BD163" s="173"/>
      <c r="BE163" s="173"/>
      <c r="BF163" s="173"/>
      <c r="BG163" s="173"/>
      <c r="BH163" s="173"/>
      <c r="BI163" s="173"/>
      <c r="BJ163" s="173"/>
      <c r="BK163" s="173"/>
      <c r="BL163" s="173"/>
      <c r="BM163" s="173"/>
      <c r="BN163" s="173"/>
      <c r="BO163" s="173"/>
      <c r="BP163" s="173"/>
      <c r="BQ163" s="173"/>
      <c r="BR163" s="173"/>
      <c r="BS163" s="173"/>
      <c r="BT163" s="173"/>
      <c r="BU163" s="173"/>
      <c r="BV163" s="173"/>
      <c r="BW163" s="173"/>
      <c r="BX163" s="173"/>
      <c r="BY163" s="173"/>
      <c r="BZ163" s="173"/>
      <c r="CA163" s="173"/>
      <c r="CB163" s="173"/>
      <c r="CC163" s="173"/>
      <c r="CD163" s="173"/>
      <c r="CE163" s="173"/>
      <c r="CF163" s="173"/>
      <c r="CG163" s="173"/>
      <c r="CH163" s="173"/>
      <c r="CI163" s="173"/>
      <c r="CJ163" s="173"/>
      <c r="CK163" s="173"/>
      <c r="CL163" s="173"/>
      <c r="CM163" s="173"/>
      <c r="CN163" s="173"/>
      <c r="CO163" s="173"/>
      <c r="CP163" s="173"/>
      <c r="CQ163" s="173"/>
      <c r="CR163" s="173"/>
      <c r="CS163" s="173"/>
      <c r="CT163" s="173"/>
      <c r="CU163" s="173"/>
      <c r="CV163" s="173"/>
      <c r="CW163" s="173"/>
      <c r="CX163" s="173"/>
      <c r="CY163" s="173"/>
      <c r="CZ163" s="173"/>
      <c r="DA163" s="173"/>
      <c r="DB163" s="173"/>
      <c r="DC163" s="173"/>
      <c r="DD163" s="173"/>
      <c r="DE163" s="173"/>
      <c r="DF163" s="173"/>
      <c r="DG163" s="173"/>
      <c r="DH163" s="173"/>
      <c r="DI163" s="173"/>
      <c r="DJ163" s="173"/>
      <c r="DK163" s="173"/>
      <c r="DL163" s="173"/>
      <c r="DM163" s="173"/>
      <c r="DN163" s="173"/>
      <c r="DO163" s="173"/>
      <c r="DP163" s="173"/>
      <c r="DQ163" s="173"/>
      <c r="DR163" s="173"/>
      <c r="DS163" s="173"/>
      <c r="DT163" s="173"/>
      <c r="DU163" s="173"/>
      <c r="DV163" s="173"/>
      <c r="DW163" s="173"/>
      <c r="DX163" s="173"/>
      <c r="DY163" s="173"/>
      <c r="DZ163" s="173"/>
      <c r="EA163" s="173"/>
      <c r="EB163" s="173"/>
      <c r="EC163" s="173"/>
      <c r="ED163" s="173"/>
      <c r="EE163" s="173"/>
      <c r="EF163" s="173"/>
      <c r="EG163" s="173"/>
      <c r="EH163" s="173"/>
      <c r="EI163" s="173"/>
      <c r="EJ163" s="173"/>
      <c r="EK163" s="173"/>
      <c r="EL163" s="173"/>
      <c r="EM163" s="173"/>
      <c r="EN163" s="173"/>
      <c r="EO163" s="173"/>
      <c r="EP163" s="173"/>
      <c r="EQ163" s="173"/>
      <c r="ER163" s="173"/>
      <c r="ES163" s="173"/>
      <c r="ET163" s="173"/>
      <c r="EU163" s="173"/>
      <c r="EV163" s="173"/>
      <c r="EW163" s="173"/>
      <c r="EX163" s="173"/>
      <c r="EY163" s="173"/>
      <c r="EZ163" s="173"/>
      <c r="FA163" s="173"/>
      <c r="FB163" s="173"/>
      <c r="FC163" s="173"/>
      <c r="FD163" s="173"/>
      <c r="FE163" s="173"/>
      <c r="FF163" s="173"/>
      <c r="FG163" s="173"/>
      <c r="FH163" s="173"/>
      <c r="FI163" s="173"/>
      <c r="FJ163" s="173"/>
      <c r="FK163" s="173"/>
      <c r="FL163" s="173"/>
      <c r="FM163" s="173"/>
      <c r="FN163" s="173"/>
      <c r="FO163" s="173"/>
      <c r="FP163" s="173"/>
      <c r="FQ163" s="173"/>
      <c r="FR163" s="173"/>
      <c r="FS163" s="173"/>
      <c r="FT163" s="173"/>
      <c r="FU163" s="173"/>
      <c r="FV163" s="173"/>
      <c r="FW163" s="173"/>
      <c r="FX163" s="173"/>
      <c r="FY163" s="173"/>
      <c r="FZ163" s="173"/>
      <c r="GA163" s="173"/>
      <c r="GB163" s="173"/>
      <c r="GC163" s="173"/>
      <c r="GD163" s="173"/>
      <c r="GE163" s="173"/>
      <c r="GF163" s="173"/>
      <c r="GG163" s="173"/>
      <c r="GH163" s="173"/>
      <c r="GI163" s="173"/>
      <c r="GJ163" s="173"/>
      <c r="GK163" s="173"/>
      <c r="GL163" s="173"/>
      <c r="GM163" s="173"/>
      <c r="GN163" s="173"/>
      <c r="GO163" s="173"/>
      <c r="GP163" s="173"/>
      <c r="GQ163" s="173"/>
      <c r="GR163" s="173"/>
      <c r="GS163" s="173"/>
      <c r="GT163" s="173"/>
      <c r="GU163" s="173"/>
      <c r="GV163" s="173"/>
      <c r="GW163" s="173"/>
      <c r="GX163" s="173"/>
      <c r="GY163" s="173"/>
      <c r="GZ163" s="173"/>
      <c r="HA163" s="173"/>
      <c r="HB163" s="173"/>
      <c r="HC163" s="173"/>
      <c r="HD163" s="173"/>
      <c r="HE163" s="173"/>
      <c r="HF163" s="173"/>
      <c r="HG163" s="173"/>
      <c r="HH163" s="173"/>
      <c r="HI163" s="173"/>
      <c r="HJ163" s="173"/>
      <c r="HK163" s="173"/>
      <c r="HL163" s="173"/>
      <c r="HM163" s="173"/>
      <c r="HN163" s="173"/>
      <c r="HO163" s="173"/>
      <c r="HP163" s="173"/>
      <c r="HQ163" s="173"/>
      <c r="HR163" s="173"/>
      <c r="HS163" s="173"/>
      <c r="HT163" s="173"/>
      <c r="HU163" s="173"/>
      <c r="HV163" s="173"/>
      <c r="HW163" s="173"/>
      <c r="HX163" s="173"/>
      <c r="HY163" s="173"/>
      <c r="HZ163" s="173"/>
      <c r="IA163" s="173"/>
      <c r="IB163" s="173"/>
      <c r="IC163" s="173"/>
      <c r="ID163" s="173"/>
      <c r="IE163" s="173"/>
      <c r="IF163" s="173"/>
      <c r="IG163" s="173"/>
      <c r="IH163" s="173"/>
      <c r="II163" s="173"/>
      <c r="IJ163" s="173"/>
      <c r="IK163" s="173"/>
      <c r="IL163" s="173"/>
      <c r="IM163" s="173"/>
      <c r="IN163" s="173"/>
      <c r="IO163" s="173"/>
      <c r="IP163" s="173"/>
      <c r="IQ163" s="173"/>
      <c r="IR163" s="173"/>
      <c r="IS163" s="173"/>
      <c r="IT163" s="173"/>
      <c r="IU163" s="173"/>
      <c r="IV163" s="173"/>
      <c r="IW163" s="173"/>
    </row>
    <row r="164" customFormat="false" ht="13.5" hidden="false" customHeight="true" outlineLevel="0" collapsed="false">
      <c r="A164" s="29" t="s">
        <v>6325</v>
      </c>
      <c r="B164" s="30" t="s">
        <v>6326</v>
      </c>
      <c r="C164" s="30" t="s">
        <v>5947</v>
      </c>
      <c r="D164" s="30"/>
      <c r="E164" s="30"/>
      <c r="F164" s="30" t="s">
        <v>5947</v>
      </c>
      <c r="G164" s="30"/>
      <c r="H164" s="30"/>
      <c r="I164" s="30"/>
      <c r="J164" s="30"/>
      <c r="K164" s="30"/>
      <c r="L164" s="30" t="s">
        <v>5947</v>
      </c>
      <c r="M164" s="30"/>
      <c r="N164" s="30"/>
      <c r="O164" s="30"/>
      <c r="P164" s="30"/>
      <c r="Q164" s="30"/>
      <c r="R164" s="30" t="s">
        <v>5947</v>
      </c>
      <c r="S164" s="30"/>
      <c r="T164" s="30"/>
      <c r="U164" s="30"/>
      <c r="V164" s="30"/>
      <c r="W164" s="30"/>
      <c r="X164" s="30" t="s">
        <v>5947</v>
      </c>
      <c r="Y164" s="30" t="s">
        <v>6271</v>
      </c>
      <c r="Z164" s="65"/>
      <c r="AA164" s="30"/>
      <c r="AB164" s="30"/>
      <c r="AC164" s="65"/>
      <c r="AD164" s="30" t="s">
        <v>5948</v>
      </c>
      <c r="AE164" s="30"/>
      <c r="AF164" s="30"/>
      <c r="AG164" s="30"/>
      <c r="AH164" s="30" t="s">
        <v>5948</v>
      </c>
      <c r="AI164" s="30"/>
      <c r="AJ164" s="30"/>
      <c r="AK164" s="30" t="s">
        <v>5948</v>
      </c>
      <c r="AL164" s="30"/>
      <c r="AM164" s="30"/>
      <c r="AN164" s="30"/>
      <c r="AO164" s="30"/>
      <c r="AP164" s="30"/>
      <c r="AQ164" s="30"/>
      <c r="AR164" s="30" t="s">
        <v>5948</v>
      </c>
      <c r="AS164" s="30"/>
      <c r="AT164" s="30"/>
      <c r="AU164" s="30"/>
      <c r="AV164" s="30" t="s">
        <v>5948</v>
      </c>
      <c r="AW164" s="30"/>
      <c r="AX164" s="30"/>
      <c r="AY164" s="30"/>
      <c r="AZ164" s="30" t="s">
        <v>5948</v>
      </c>
      <c r="BA164" s="30"/>
      <c r="BB164" s="30"/>
      <c r="BC164" s="30" t="s">
        <v>5949</v>
      </c>
      <c r="BD164" s="30"/>
      <c r="BE164" s="30"/>
      <c r="BF164" s="30"/>
      <c r="BG164" s="30" t="s">
        <v>5949</v>
      </c>
      <c r="BH164" s="30"/>
      <c r="BI164" s="30"/>
      <c r="BJ164" s="30" t="s">
        <v>5949</v>
      </c>
      <c r="BK164" s="30"/>
      <c r="BL164" s="30"/>
      <c r="BM164" s="30"/>
      <c r="BN164" s="30"/>
      <c r="BO164" s="30"/>
      <c r="BP164" s="30"/>
      <c r="BQ164" s="30"/>
      <c r="BR164" s="30"/>
      <c r="BS164" s="30"/>
      <c r="BT164" s="30" t="s">
        <v>5949</v>
      </c>
      <c r="BU164" s="30"/>
      <c r="BV164" s="30"/>
      <c r="BW164" s="30"/>
      <c r="BX164" s="30"/>
      <c r="BY164" s="30"/>
      <c r="BZ164" s="30"/>
      <c r="CA164" s="30" t="s">
        <v>5949</v>
      </c>
      <c r="CB164" s="30"/>
      <c r="CC164" s="30"/>
      <c r="CD164" s="30"/>
      <c r="CE164" s="30"/>
      <c r="CF164" s="30"/>
      <c r="CG164" s="30"/>
      <c r="CH164" s="30" t="s">
        <v>5949</v>
      </c>
      <c r="CI164" s="30" t="s">
        <v>5949</v>
      </c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  <c r="CW164" s="30"/>
      <c r="CX164" s="30"/>
      <c r="CY164" s="30"/>
      <c r="CZ164" s="30"/>
      <c r="DA164" s="30"/>
      <c r="DB164" s="30"/>
      <c r="DC164" s="30"/>
      <c r="DD164" s="30"/>
      <c r="DE164" s="30"/>
      <c r="DF164" s="30"/>
      <c r="DG164" s="30"/>
      <c r="DH164" s="30"/>
      <c r="DI164" s="30"/>
      <c r="DJ164" s="30"/>
      <c r="DK164" s="30"/>
      <c r="DL164" s="30"/>
      <c r="DM164" s="30"/>
      <c r="DN164" s="30"/>
      <c r="DO164" s="30"/>
      <c r="DP164" s="30"/>
      <c r="DQ164" s="30"/>
      <c r="DR164" s="30"/>
      <c r="DS164" s="30"/>
      <c r="DT164" s="30"/>
      <c r="DU164" s="30"/>
      <c r="DV164" s="30"/>
      <c r="DW164" s="30"/>
      <c r="DX164" s="30"/>
      <c r="DY164" s="30"/>
      <c r="DZ164" s="30"/>
      <c r="EA164" s="30"/>
      <c r="EB164" s="30"/>
      <c r="EC164" s="30"/>
      <c r="ED164" s="30"/>
      <c r="EE164" s="30"/>
      <c r="EF164" s="30"/>
      <c r="EG164" s="30"/>
      <c r="EH164" s="30"/>
      <c r="EI164" s="30"/>
      <c r="EJ164" s="30"/>
      <c r="EK164" s="30"/>
      <c r="EL164" s="30"/>
      <c r="EM164" s="30"/>
      <c r="EN164" s="30"/>
      <c r="EO164" s="30"/>
      <c r="EP164" s="30"/>
      <c r="EQ164" s="30"/>
      <c r="ER164" s="30"/>
      <c r="ES164" s="30"/>
      <c r="ET164" s="30"/>
      <c r="EU164" s="30"/>
      <c r="EV164" s="30"/>
      <c r="EW164" s="30"/>
      <c r="EX164" s="30"/>
      <c r="EY164" s="30"/>
      <c r="EZ164" s="30"/>
      <c r="FA164" s="30"/>
      <c r="FB164" s="30"/>
      <c r="FC164" s="30"/>
      <c r="FD164" s="30"/>
      <c r="FE164" s="30"/>
      <c r="FF164" s="30"/>
      <c r="FG164" s="30"/>
      <c r="FH164" s="30"/>
      <c r="FI164" s="30"/>
      <c r="FJ164" s="30"/>
      <c r="FK164" s="30"/>
      <c r="FL164" s="30"/>
      <c r="FM164" s="30"/>
      <c r="FN164" s="30"/>
      <c r="FO164" s="30"/>
      <c r="FP164" s="30"/>
      <c r="FQ164" s="30"/>
      <c r="FR164" s="30"/>
      <c r="FS164" s="30"/>
      <c r="FT164" s="30"/>
      <c r="FU164" s="30"/>
      <c r="FV164" s="30"/>
      <c r="FW164" s="30"/>
      <c r="FX164" s="30"/>
      <c r="FY164" s="30"/>
      <c r="FZ164" s="30"/>
      <c r="GA164" s="30"/>
      <c r="GB164" s="30"/>
      <c r="GC164" s="30"/>
      <c r="GD164" s="30"/>
      <c r="GE164" s="30"/>
      <c r="GF164" s="30"/>
      <c r="GG164" s="30"/>
      <c r="GH164" s="30"/>
      <c r="GI164" s="30"/>
      <c r="GJ164" s="30"/>
      <c r="GK164" s="30"/>
      <c r="GL164" s="30"/>
      <c r="GM164" s="30"/>
      <c r="GN164" s="30"/>
      <c r="GO164" s="30"/>
      <c r="GP164" s="30"/>
      <c r="GQ164" s="30"/>
      <c r="GR164" s="30"/>
      <c r="GS164" s="30"/>
      <c r="GT164" s="30"/>
      <c r="GU164" s="30"/>
      <c r="GV164" s="30"/>
      <c r="GW164" s="30"/>
      <c r="GX164" s="30"/>
      <c r="GY164" s="30"/>
      <c r="GZ164" s="30"/>
      <c r="HA164" s="30"/>
      <c r="HB164" s="30"/>
      <c r="HC164" s="30"/>
      <c r="HD164" s="30"/>
      <c r="HE164" s="30"/>
      <c r="HF164" s="30"/>
      <c r="HG164" s="30"/>
      <c r="HH164" s="30"/>
      <c r="HI164" s="30"/>
      <c r="HJ164" s="30"/>
      <c r="HK164" s="30"/>
      <c r="HL164" s="30"/>
      <c r="HM164" s="30"/>
      <c r="HN164" s="30"/>
      <c r="HO164" s="30"/>
      <c r="HP164" s="30"/>
      <c r="HQ164" s="30"/>
      <c r="HR164" s="30"/>
      <c r="HS164" s="30"/>
      <c r="HT164" s="30"/>
      <c r="HU164" s="30"/>
      <c r="HV164" s="30"/>
      <c r="HW164" s="30"/>
      <c r="HX164" s="30"/>
      <c r="HY164" s="30"/>
      <c r="HZ164" s="30"/>
      <c r="IA164" s="30"/>
      <c r="IB164" s="30"/>
      <c r="IC164" s="30"/>
      <c r="ID164" s="30"/>
      <c r="IE164" s="30"/>
      <c r="IF164" s="30"/>
      <c r="IG164" s="30"/>
      <c r="IH164" s="30"/>
      <c r="II164" s="30"/>
      <c r="IJ164" s="30"/>
      <c r="IK164" s="30"/>
      <c r="IL164" s="30"/>
      <c r="IM164" s="30"/>
      <c r="IN164" s="30"/>
      <c r="IO164" s="30"/>
      <c r="IP164" s="30"/>
      <c r="IQ164" s="30"/>
      <c r="IR164" s="30"/>
      <c r="IS164" s="30"/>
      <c r="IT164" s="30"/>
      <c r="IU164" s="30"/>
      <c r="IV164" s="30"/>
      <c r="IW164" s="30"/>
    </row>
    <row r="165" customFormat="false" ht="13.5" hidden="false" customHeight="true" outlineLevel="0" collapsed="false">
      <c r="A165" s="158"/>
      <c r="B165" s="141" t="s">
        <v>489</v>
      </c>
      <c r="C165" s="161" t="s">
        <v>4820</v>
      </c>
      <c r="D165" s="161"/>
      <c r="E165" s="70"/>
      <c r="F165" s="174" t="s">
        <v>4855</v>
      </c>
      <c r="G165" s="70"/>
      <c r="H165" s="70"/>
      <c r="I165" s="174"/>
      <c r="J165" s="174"/>
      <c r="K165" s="70"/>
      <c r="L165" s="160" t="s">
        <v>4901</v>
      </c>
      <c r="M165" s="160"/>
      <c r="N165" s="70"/>
      <c r="O165" s="70"/>
      <c r="P165" s="70"/>
      <c r="Q165" s="70"/>
      <c r="R165" s="141" t="s">
        <v>4951</v>
      </c>
      <c r="S165" s="141"/>
      <c r="T165" s="70"/>
      <c r="U165" s="70"/>
      <c r="V165" s="70"/>
      <c r="W165" s="70"/>
      <c r="X165" s="133" t="s">
        <v>5007</v>
      </c>
      <c r="Y165" s="167" t="s">
        <v>5021</v>
      </c>
      <c r="Z165" s="175"/>
      <c r="AA165" s="133"/>
      <c r="AB165" s="133"/>
      <c r="AC165" s="92"/>
      <c r="AD165" s="141" t="s">
        <v>6327</v>
      </c>
      <c r="AE165" s="141"/>
      <c r="AF165" s="141"/>
      <c r="AH165" s="133" t="s">
        <v>5063</v>
      </c>
      <c r="AI165" s="70"/>
      <c r="AJ165" s="70"/>
      <c r="AK165" s="141" t="s">
        <v>4951</v>
      </c>
      <c r="AL165" s="70"/>
      <c r="AM165" s="70"/>
      <c r="AN165" s="70"/>
      <c r="AO165" s="70"/>
      <c r="AP165" s="70"/>
      <c r="AQ165" s="70"/>
      <c r="AR165" s="174" t="s">
        <v>4855</v>
      </c>
      <c r="AS165" s="174"/>
      <c r="AT165" s="70"/>
      <c r="AU165" s="70"/>
      <c r="AV165" s="141" t="s">
        <v>6328</v>
      </c>
      <c r="AW165" s="70"/>
      <c r="AX165" s="70"/>
      <c r="AY165" s="141"/>
      <c r="AZ165" s="141" t="s">
        <v>489</v>
      </c>
      <c r="BA165" s="141"/>
      <c r="BB165" s="141"/>
      <c r="BC165" s="141" t="s">
        <v>489</v>
      </c>
      <c r="BD165" s="70"/>
      <c r="BE165" s="70"/>
      <c r="BF165" s="161"/>
      <c r="BG165" s="161" t="s">
        <v>4820</v>
      </c>
      <c r="BI165" s="160"/>
      <c r="BJ165" s="174" t="s">
        <v>4855</v>
      </c>
      <c r="BK165" s="70"/>
      <c r="BL165" s="160"/>
      <c r="BM165" s="174"/>
      <c r="BN165" s="174"/>
      <c r="BO165" s="70"/>
      <c r="BP165" s="70"/>
      <c r="BQ165" s="70"/>
      <c r="BR165" s="70"/>
      <c r="BS165" s="70"/>
      <c r="BT165" s="160" t="s">
        <v>4901</v>
      </c>
      <c r="BU165" s="70"/>
      <c r="BV165" s="70"/>
      <c r="BW165" s="70"/>
      <c r="BX165" s="70"/>
      <c r="BY165" s="70"/>
      <c r="BZ165" s="70"/>
      <c r="CA165" s="141" t="s">
        <v>4951</v>
      </c>
      <c r="CB165" s="70"/>
      <c r="CC165" s="70"/>
      <c r="CD165" s="70"/>
      <c r="CE165" s="70"/>
      <c r="CF165" s="70"/>
      <c r="CG165" s="70"/>
      <c r="CH165" s="133" t="s">
        <v>5007</v>
      </c>
      <c r="CI165" s="141" t="s">
        <v>6327</v>
      </c>
      <c r="CJ165" s="70"/>
      <c r="CK165" s="70"/>
      <c r="CL165" s="70"/>
      <c r="CM165" s="70"/>
      <c r="CN165" s="70"/>
      <c r="CO165" s="70"/>
      <c r="CP165" s="70"/>
      <c r="CQ165" s="70"/>
      <c r="CR165" s="70"/>
      <c r="CS165" s="70"/>
      <c r="CT165" s="70"/>
      <c r="CU165" s="70"/>
      <c r="CV165" s="70"/>
      <c r="CW165" s="70"/>
      <c r="CX165" s="70"/>
      <c r="CY165" s="70"/>
      <c r="CZ165" s="70"/>
      <c r="DA165" s="70"/>
      <c r="DB165" s="70"/>
      <c r="DC165" s="70"/>
      <c r="DD165" s="70"/>
      <c r="DE165" s="70"/>
      <c r="DF165" s="70"/>
      <c r="DG165" s="70"/>
      <c r="DH165" s="70"/>
      <c r="DI165" s="70"/>
      <c r="DJ165" s="70"/>
      <c r="DK165" s="70"/>
      <c r="DL165" s="70"/>
      <c r="DM165" s="70"/>
      <c r="DN165" s="70"/>
      <c r="DO165" s="70"/>
      <c r="DP165" s="70"/>
      <c r="DQ165" s="70"/>
      <c r="DR165" s="70"/>
      <c r="DS165" s="70"/>
      <c r="DT165" s="70"/>
      <c r="DU165" s="70"/>
      <c r="DV165" s="70"/>
      <c r="DW165" s="70"/>
      <c r="DX165" s="70"/>
      <c r="DY165" s="70"/>
      <c r="DZ165" s="70"/>
      <c r="EA165" s="70"/>
      <c r="EB165" s="70"/>
      <c r="EC165" s="70"/>
      <c r="ED165" s="70"/>
      <c r="EE165" s="70"/>
      <c r="EF165" s="70"/>
      <c r="EG165" s="70"/>
      <c r="EH165" s="70"/>
      <c r="EI165" s="70"/>
      <c r="EJ165" s="70"/>
      <c r="EK165" s="70"/>
      <c r="EL165" s="70"/>
      <c r="EM165" s="70"/>
      <c r="EN165" s="70"/>
      <c r="EO165" s="70"/>
      <c r="EP165" s="70"/>
      <c r="EQ165" s="70"/>
      <c r="ER165" s="70"/>
      <c r="ES165" s="70"/>
      <c r="ET165" s="70"/>
      <c r="EU165" s="70"/>
      <c r="EV165" s="70"/>
      <c r="EW165" s="70"/>
      <c r="EX165" s="70"/>
      <c r="EY165" s="70"/>
      <c r="EZ165" s="70"/>
      <c r="FA165" s="70"/>
      <c r="FB165" s="70"/>
      <c r="FC165" s="70"/>
      <c r="FD165" s="70"/>
      <c r="FE165" s="70"/>
      <c r="FF165" s="70"/>
      <c r="FG165" s="70"/>
      <c r="FH165" s="70"/>
      <c r="FI165" s="70"/>
      <c r="FJ165" s="70"/>
      <c r="FK165" s="70"/>
      <c r="FL165" s="70"/>
      <c r="FM165" s="70"/>
      <c r="FN165" s="70"/>
      <c r="FO165" s="70"/>
      <c r="FP165" s="70"/>
      <c r="FQ165" s="70"/>
      <c r="FR165" s="70"/>
      <c r="FS165" s="70"/>
      <c r="FT165" s="70"/>
      <c r="FU165" s="70"/>
      <c r="FV165" s="70"/>
      <c r="FW165" s="70"/>
      <c r="FX165" s="70"/>
      <c r="FY165" s="70"/>
      <c r="FZ165" s="70"/>
      <c r="GA165" s="70"/>
      <c r="GB165" s="70"/>
      <c r="GC165" s="70"/>
      <c r="GD165" s="70"/>
      <c r="GE165" s="70"/>
      <c r="GF165" s="70"/>
      <c r="GG165" s="70"/>
      <c r="GH165" s="70"/>
      <c r="GI165" s="70"/>
      <c r="GJ165" s="70"/>
      <c r="GK165" s="70"/>
      <c r="GL165" s="70"/>
      <c r="GM165" s="70"/>
      <c r="GN165" s="70"/>
      <c r="GO165" s="70"/>
      <c r="GP165" s="70"/>
      <c r="GQ165" s="70"/>
      <c r="GR165" s="70"/>
      <c r="GS165" s="70"/>
      <c r="GT165" s="70"/>
      <c r="GU165" s="70"/>
      <c r="GV165" s="70"/>
      <c r="GW165" s="70"/>
      <c r="GX165" s="70"/>
      <c r="GY165" s="70"/>
      <c r="GZ165" s="70"/>
      <c r="HA165" s="70"/>
      <c r="HB165" s="70"/>
      <c r="HC165" s="70"/>
      <c r="HD165" s="70"/>
      <c r="HE165" s="70"/>
      <c r="HF165" s="70"/>
      <c r="HG165" s="70"/>
      <c r="HH165" s="70"/>
      <c r="HI165" s="70"/>
      <c r="HJ165" s="70"/>
      <c r="HK165" s="70"/>
      <c r="HL165" s="70"/>
      <c r="HM165" s="70"/>
      <c r="HN165" s="70"/>
      <c r="HO165" s="70"/>
      <c r="HP165" s="70"/>
      <c r="HQ165" s="70"/>
      <c r="HR165" s="70"/>
      <c r="HS165" s="70"/>
      <c r="HT165" s="70"/>
      <c r="HU165" s="70"/>
      <c r="HV165" s="70"/>
      <c r="HW165" s="70"/>
      <c r="HX165" s="70"/>
      <c r="HY165" s="70"/>
      <c r="HZ165" s="70"/>
      <c r="IA165" s="70"/>
      <c r="IB165" s="70"/>
      <c r="IC165" s="70"/>
      <c r="ID165" s="70"/>
      <c r="IE165" s="70"/>
      <c r="IF165" s="70"/>
      <c r="IG165" s="70"/>
      <c r="IH165" s="70"/>
      <c r="II165" s="70"/>
      <c r="IJ165" s="70"/>
      <c r="IK165" s="70"/>
      <c r="IL165" s="70"/>
      <c r="IM165" s="70"/>
      <c r="IN165" s="70"/>
      <c r="IO165" s="70"/>
      <c r="IP165" s="70"/>
      <c r="IQ165" s="70"/>
      <c r="IR165" s="70"/>
      <c r="IS165" s="70"/>
      <c r="IT165" s="70"/>
      <c r="IU165" s="70"/>
      <c r="IV165" s="70"/>
      <c r="IW165" s="70"/>
    </row>
    <row r="166" customFormat="false" ht="13.5" hidden="false" customHeight="true" outlineLevel="0" collapsed="false">
      <c r="A166" s="134"/>
      <c r="B166" s="141" t="s">
        <v>6252</v>
      </c>
      <c r="C166" s="162" t="s">
        <v>6275</v>
      </c>
      <c r="D166" s="162"/>
      <c r="E166" s="70"/>
      <c r="F166" s="141" t="s">
        <v>6329</v>
      </c>
      <c r="G166" s="70"/>
      <c r="H166" s="70"/>
      <c r="I166" s="141"/>
      <c r="J166" s="141"/>
      <c r="K166" s="70"/>
      <c r="L166" s="135" t="s">
        <v>6275</v>
      </c>
      <c r="M166" s="135"/>
      <c r="N166" s="70"/>
      <c r="O166" s="70"/>
      <c r="P166" s="70"/>
      <c r="Q166" s="70"/>
      <c r="R166" s="141" t="s">
        <v>6330</v>
      </c>
      <c r="S166" s="141"/>
      <c r="T166" s="70"/>
      <c r="U166" s="70"/>
      <c r="V166" s="70"/>
      <c r="W166" s="70"/>
      <c r="X166" s="141" t="s">
        <v>6244</v>
      </c>
      <c r="Y166" s="141" t="s">
        <v>6331</v>
      </c>
      <c r="Z166" s="141"/>
      <c r="AA166" s="141"/>
      <c r="AB166" s="141"/>
      <c r="AC166" s="92"/>
      <c r="AD166" s="141" t="s">
        <v>6332</v>
      </c>
      <c r="AE166" s="141"/>
      <c r="AF166" s="141"/>
      <c r="AH166" s="138" t="s">
        <v>6298</v>
      </c>
      <c r="AI166" s="70"/>
      <c r="AJ166" s="70"/>
      <c r="AK166" s="141" t="s">
        <v>6333</v>
      </c>
      <c r="AL166" s="70"/>
      <c r="AM166" s="70"/>
      <c r="AN166" s="70"/>
      <c r="AO166" s="70"/>
      <c r="AP166" s="70"/>
      <c r="AQ166" s="70"/>
      <c r="AR166" s="141" t="s">
        <v>6334</v>
      </c>
      <c r="AS166" s="141"/>
      <c r="AT166" s="70"/>
      <c r="AU166" s="70"/>
      <c r="AV166" s="141" t="s">
        <v>6335</v>
      </c>
      <c r="AW166" s="70"/>
      <c r="AX166" s="70"/>
      <c r="AY166" s="141"/>
      <c r="AZ166" s="141" t="s">
        <v>6244</v>
      </c>
      <c r="BA166" s="141"/>
      <c r="BB166" s="141"/>
      <c r="BC166" s="141" t="s">
        <v>6247</v>
      </c>
      <c r="BD166" s="70"/>
      <c r="BE166" s="70"/>
      <c r="BF166" s="162"/>
      <c r="BG166" s="162" t="s">
        <v>6275</v>
      </c>
      <c r="BI166" s="135"/>
      <c r="BJ166" s="141" t="s">
        <v>6336</v>
      </c>
      <c r="BK166" s="70"/>
      <c r="BL166" s="135"/>
      <c r="BM166" s="141"/>
      <c r="BN166" s="141"/>
      <c r="BO166" s="70"/>
      <c r="BP166" s="70"/>
      <c r="BQ166" s="70"/>
      <c r="BR166" s="70"/>
      <c r="BS166" s="70"/>
      <c r="BT166" s="135" t="s">
        <v>6275</v>
      </c>
      <c r="BU166" s="70"/>
      <c r="BV166" s="70"/>
      <c r="BW166" s="70"/>
      <c r="BX166" s="70"/>
      <c r="BY166" s="70"/>
      <c r="BZ166" s="70"/>
      <c r="CA166" s="141" t="s">
        <v>6333</v>
      </c>
      <c r="CB166" s="70"/>
      <c r="CC166" s="70"/>
      <c r="CD166" s="70"/>
      <c r="CE166" s="70"/>
      <c r="CF166" s="70"/>
      <c r="CG166" s="70"/>
      <c r="CH166" s="141" t="s">
        <v>6247</v>
      </c>
      <c r="CI166" s="141" t="s">
        <v>6337</v>
      </c>
      <c r="CJ166" s="70"/>
      <c r="CK166" s="70"/>
      <c r="CL166" s="70"/>
      <c r="CM166" s="70"/>
      <c r="CN166" s="70"/>
      <c r="CO166" s="70"/>
      <c r="CP166" s="70"/>
      <c r="CQ166" s="70"/>
      <c r="CR166" s="70"/>
      <c r="CS166" s="70"/>
      <c r="CT166" s="70"/>
      <c r="CU166" s="70"/>
      <c r="CV166" s="70"/>
      <c r="CW166" s="70"/>
      <c r="CX166" s="70"/>
      <c r="CY166" s="70"/>
      <c r="CZ166" s="70"/>
      <c r="DA166" s="70"/>
      <c r="DB166" s="70"/>
      <c r="DC166" s="70"/>
      <c r="DD166" s="70"/>
      <c r="DE166" s="70"/>
      <c r="DF166" s="70"/>
      <c r="DG166" s="70"/>
      <c r="DH166" s="70"/>
      <c r="DI166" s="70"/>
      <c r="DJ166" s="70"/>
      <c r="DK166" s="70"/>
      <c r="DL166" s="70"/>
      <c r="DM166" s="70"/>
      <c r="DN166" s="70"/>
      <c r="DO166" s="70"/>
      <c r="DP166" s="70"/>
      <c r="DQ166" s="70"/>
      <c r="DR166" s="70"/>
      <c r="DS166" s="70"/>
      <c r="DT166" s="70"/>
      <c r="DU166" s="70"/>
      <c r="DV166" s="70"/>
      <c r="DW166" s="70"/>
      <c r="DX166" s="70"/>
      <c r="DY166" s="70"/>
      <c r="DZ166" s="70"/>
      <c r="EA166" s="70"/>
      <c r="EB166" s="70"/>
      <c r="EC166" s="70"/>
      <c r="ED166" s="70"/>
      <c r="EE166" s="70"/>
      <c r="EF166" s="70"/>
      <c r="EG166" s="70"/>
      <c r="EH166" s="70"/>
      <c r="EI166" s="70"/>
      <c r="EJ166" s="70"/>
      <c r="EK166" s="70"/>
      <c r="EL166" s="70"/>
      <c r="EM166" s="70"/>
      <c r="EN166" s="70"/>
      <c r="EO166" s="70"/>
      <c r="EP166" s="70"/>
      <c r="EQ166" s="70"/>
      <c r="ER166" s="70"/>
      <c r="ES166" s="70"/>
      <c r="ET166" s="70"/>
      <c r="EU166" s="70"/>
      <c r="EV166" s="70"/>
      <c r="EW166" s="70"/>
      <c r="EX166" s="70"/>
      <c r="EY166" s="70"/>
      <c r="EZ166" s="70"/>
      <c r="FA166" s="70"/>
      <c r="FB166" s="70"/>
      <c r="FC166" s="70"/>
      <c r="FD166" s="70"/>
      <c r="FE166" s="70"/>
      <c r="FF166" s="70"/>
      <c r="FG166" s="70"/>
      <c r="FH166" s="70"/>
      <c r="FI166" s="70"/>
      <c r="FJ166" s="70"/>
      <c r="FK166" s="70"/>
      <c r="FL166" s="70"/>
      <c r="FM166" s="70"/>
      <c r="FN166" s="70"/>
      <c r="FO166" s="70"/>
      <c r="FP166" s="70"/>
      <c r="FQ166" s="70"/>
      <c r="FR166" s="70"/>
      <c r="FS166" s="70"/>
      <c r="FT166" s="70"/>
      <c r="FU166" s="70"/>
      <c r="FV166" s="70"/>
      <c r="FW166" s="70"/>
      <c r="FX166" s="70"/>
      <c r="FY166" s="70"/>
      <c r="FZ166" s="70"/>
      <c r="GA166" s="70"/>
      <c r="GB166" s="70"/>
      <c r="GC166" s="70"/>
      <c r="GD166" s="70"/>
      <c r="GE166" s="70"/>
      <c r="GF166" s="70"/>
      <c r="GG166" s="70"/>
      <c r="GH166" s="70"/>
      <c r="GI166" s="70"/>
      <c r="GJ166" s="70"/>
      <c r="GK166" s="70"/>
      <c r="GL166" s="70"/>
      <c r="GM166" s="70"/>
      <c r="GN166" s="70"/>
      <c r="GO166" s="70"/>
      <c r="GP166" s="70"/>
      <c r="GQ166" s="70"/>
      <c r="GR166" s="70"/>
      <c r="GS166" s="70"/>
      <c r="GT166" s="70"/>
      <c r="GU166" s="70"/>
      <c r="GV166" s="70"/>
      <c r="GW166" s="70"/>
      <c r="GX166" s="70"/>
      <c r="GY166" s="70"/>
      <c r="GZ166" s="70"/>
      <c r="HA166" s="70"/>
      <c r="HB166" s="70"/>
      <c r="HC166" s="70"/>
      <c r="HD166" s="70"/>
      <c r="HE166" s="70"/>
      <c r="HF166" s="70"/>
      <c r="HG166" s="70"/>
      <c r="HH166" s="70"/>
      <c r="HI166" s="70"/>
      <c r="HJ166" s="70"/>
      <c r="HK166" s="70"/>
      <c r="HL166" s="70"/>
      <c r="HM166" s="70"/>
      <c r="HN166" s="70"/>
      <c r="HO166" s="70"/>
      <c r="HP166" s="70"/>
      <c r="HQ166" s="70"/>
      <c r="HR166" s="70"/>
      <c r="HS166" s="70"/>
      <c r="HT166" s="70"/>
      <c r="HU166" s="70"/>
      <c r="HV166" s="70"/>
      <c r="HW166" s="70"/>
      <c r="HX166" s="70"/>
      <c r="HY166" s="70"/>
      <c r="HZ166" s="70"/>
      <c r="IA166" s="70"/>
      <c r="IB166" s="70"/>
      <c r="IC166" s="70"/>
      <c r="ID166" s="70"/>
      <c r="IE166" s="70"/>
      <c r="IF166" s="70"/>
      <c r="IG166" s="70"/>
      <c r="IH166" s="70"/>
      <c r="II166" s="70"/>
      <c r="IJ166" s="70"/>
      <c r="IK166" s="70"/>
      <c r="IL166" s="70"/>
      <c r="IM166" s="70"/>
      <c r="IN166" s="70"/>
      <c r="IO166" s="70"/>
      <c r="IP166" s="70"/>
      <c r="IQ166" s="70"/>
      <c r="IR166" s="70"/>
      <c r="IS166" s="70"/>
      <c r="IT166" s="70"/>
      <c r="IU166" s="70"/>
      <c r="IV166" s="70"/>
      <c r="IW166" s="70"/>
    </row>
    <row r="167" customFormat="false" ht="13.5" hidden="false" customHeight="true" outlineLevel="0" collapsed="false">
      <c r="A167" s="139"/>
      <c r="B167" s="153" t="s">
        <v>6338</v>
      </c>
      <c r="C167" s="140" t="s">
        <v>6339</v>
      </c>
      <c r="D167" s="159"/>
      <c r="E167" s="169"/>
      <c r="F167" s="140" t="s">
        <v>6340</v>
      </c>
      <c r="G167" s="169"/>
      <c r="H167" s="169"/>
      <c r="I167" s="159"/>
      <c r="J167" s="159"/>
      <c r="K167" s="169"/>
      <c r="L167" s="140" t="s">
        <v>6341</v>
      </c>
      <c r="M167" s="159"/>
      <c r="N167" s="169"/>
      <c r="O167" s="169"/>
      <c r="P167" s="169"/>
      <c r="Q167" s="169"/>
      <c r="R167" s="140" t="s">
        <v>6342</v>
      </c>
      <c r="S167" s="159"/>
      <c r="T167" s="169"/>
      <c r="U167" s="70"/>
      <c r="V167" s="70"/>
      <c r="W167" s="70"/>
      <c r="X167" s="140" t="s">
        <v>6343</v>
      </c>
      <c r="Y167" s="140" t="s">
        <v>6344</v>
      </c>
      <c r="Z167" s="141"/>
      <c r="AA167" s="140"/>
      <c r="AB167" s="140"/>
      <c r="AD167" s="140" t="s">
        <v>6345</v>
      </c>
      <c r="AE167" s="141"/>
      <c r="AF167" s="141"/>
      <c r="AH167" s="153" t="s">
        <v>6343</v>
      </c>
      <c r="AI167" s="70"/>
      <c r="AJ167" s="70"/>
      <c r="AK167" s="140" t="s">
        <v>6346</v>
      </c>
      <c r="AL167" s="70"/>
      <c r="AM167" s="70"/>
      <c r="AN167" s="70"/>
      <c r="AO167" s="70"/>
      <c r="AP167" s="70"/>
      <c r="AQ167" s="70"/>
      <c r="AR167" s="140" t="s">
        <v>6347</v>
      </c>
      <c r="AS167" s="141"/>
      <c r="AT167" s="70"/>
      <c r="AU167" s="70"/>
      <c r="AV167" s="141" t="s">
        <v>6348</v>
      </c>
      <c r="AW167" s="70"/>
      <c r="AX167" s="70"/>
      <c r="AY167" s="141"/>
      <c r="AZ167" s="142" t="s">
        <v>6349</v>
      </c>
      <c r="BA167" s="142"/>
      <c r="BB167" s="142"/>
      <c r="BC167" s="142" t="s">
        <v>6350</v>
      </c>
      <c r="BD167" s="70"/>
      <c r="BE167" s="70"/>
      <c r="BF167" s="141"/>
      <c r="BG167" s="141" t="s">
        <v>6351</v>
      </c>
      <c r="BI167" s="141"/>
      <c r="BJ167" s="141" t="s">
        <v>6352</v>
      </c>
      <c r="BK167" s="70"/>
      <c r="BL167" s="141"/>
      <c r="BM167" s="141"/>
      <c r="BN167" s="141"/>
      <c r="BO167" s="70"/>
      <c r="BP167" s="70"/>
      <c r="BQ167" s="70"/>
      <c r="BR167" s="70"/>
      <c r="BS167" s="70"/>
      <c r="BT167" s="141" t="s">
        <v>6353</v>
      </c>
      <c r="BU167" s="70"/>
      <c r="BV167" s="70"/>
      <c r="BW167" s="70"/>
      <c r="BX167" s="70"/>
      <c r="BY167" s="70"/>
      <c r="BZ167" s="70"/>
      <c r="CA167" s="141" t="s">
        <v>6354</v>
      </c>
      <c r="CB167" s="70"/>
      <c r="CC167" s="70"/>
      <c r="CD167" s="70"/>
      <c r="CE167" s="70"/>
      <c r="CF167" s="70"/>
      <c r="CG167" s="70"/>
      <c r="CH167" s="141" t="s">
        <v>6355</v>
      </c>
      <c r="CI167" s="141" t="s">
        <v>6356</v>
      </c>
      <c r="CJ167" s="70"/>
      <c r="CK167" s="70"/>
      <c r="CL167" s="70"/>
      <c r="CM167" s="70"/>
      <c r="CN167" s="70"/>
      <c r="CO167" s="70"/>
      <c r="CP167" s="70"/>
      <c r="CQ167" s="70"/>
      <c r="CR167" s="70"/>
      <c r="CS167" s="70"/>
      <c r="CT167" s="70"/>
      <c r="CU167" s="70"/>
      <c r="CV167" s="70"/>
      <c r="CW167" s="70"/>
      <c r="CX167" s="70"/>
      <c r="CY167" s="70"/>
      <c r="CZ167" s="70"/>
      <c r="DA167" s="70"/>
      <c r="DB167" s="70"/>
      <c r="DC167" s="70"/>
      <c r="DD167" s="70"/>
      <c r="DE167" s="70"/>
      <c r="DF167" s="70"/>
      <c r="DG167" s="70"/>
      <c r="DH167" s="70"/>
      <c r="DI167" s="70"/>
      <c r="DJ167" s="70"/>
      <c r="DK167" s="70"/>
      <c r="DL167" s="70"/>
      <c r="DM167" s="70"/>
      <c r="DN167" s="70"/>
      <c r="DO167" s="70"/>
      <c r="DP167" s="70"/>
      <c r="DQ167" s="70"/>
      <c r="DR167" s="70"/>
      <c r="DS167" s="70"/>
      <c r="DT167" s="70"/>
      <c r="DU167" s="70"/>
      <c r="DV167" s="70"/>
      <c r="DW167" s="70"/>
      <c r="DX167" s="70"/>
      <c r="DY167" s="70"/>
      <c r="DZ167" s="70"/>
      <c r="EA167" s="70"/>
      <c r="EB167" s="70"/>
      <c r="EC167" s="70"/>
      <c r="ED167" s="70"/>
      <c r="EE167" s="70"/>
      <c r="EF167" s="70"/>
      <c r="EG167" s="70"/>
      <c r="EH167" s="70"/>
      <c r="EI167" s="70"/>
      <c r="EJ167" s="70"/>
      <c r="EK167" s="70"/>
      <c r="EL167" s="70"/>
      <c r="EM167" s="70"/>
      <c r="EN167" s="70"/>
      <c r="EO167" s="70"/>
      <c r="EP167" s="70"/>
      <c r="EQ167" s="70"/>
      <c r="ER167" s="70"/>
      <c r="ES167" s="70"/>
      <c r="ET167" s="70"/>
      <c r="EU167" s="70"/>
      <c r="EV167" s="70"/>
      <c r="EW167" s="70"/>
      <c r="EX167" s="70"/>
      <c r="EY167" s="70"/>
      <c r="EZ167" s="70"/>
      <c r="FA167" s="70"/>
      <c r="FB167" s="70"/>
      <c r="FC167" s="70"/>
      <c r="FD167" s="70"/>
      <c r="FE167" s="70"/>
      <c r="FF167" s="70"/>
      <c r="FG167" s="70"/>
      <c r="FH167" s="70"/>
      <c r="FI167" s="70"/>
      <c r="FJ167" s="70"/>
      <c r="FK167" s="70"/>
      <c r="FL167" s="70"/>
      <c r="FM167" s="70"/>
      <c r="FN167" s="70"/>
      <c r="FO167" s="70"/>
      <c r="FP167" s="70"/>
      <c r="FQ167" s="70"/>
      <c r="FR167" s="70"/>
      <c r="FS167" s="70"/>
      <c r="FT167" s="70"/>
      <c r="FU167" s="70"/>
      <c r="FV167" s="70"/>
      <c r="FW167" s="70"/>
      <c r="FX167" s="70"/>
      <c r="FY167" s="70"/>
      <c r="FZ167" s="70"/>
      <c r="GA167" s="70"/>
      <c r="GB167" s="70"/>
      <c r="GC167" s="70"/>
      <c r="GD167" s="70"/>
      <c r="GE167" s="70"/>
      <c r="GF167" s="70"/>
      <c r="GG167" s="70"/>
      <c r="GH167" s="70"/>
      <c r="GI167" s="70"/>
      <c r="GJ167" s="70"/>
      <c r="GK167" s="70"/>
      <c r="GL167" s="70"/>
      <c r="GM167" s="70"/>
      <c r="GN167" s="70"/>
      <c r="GO167" s="70"/>
      <c r="GP167" s="70"/>
      <c r="GQ167" s="70"/>
      <c r="GR167" s="70"/>
      <c r="GS167" s="70"/>
      <c r="GT167" s="70"/>
      <c r="GU167" s="70"/>
      <c r="GV167" s="70"/>
      <c r="GW167" s="70"/>
      <c r="GX167" s="70"/>
      <c r="GY167" s="70"/>
      <c r="GZ167" s="70"/>
      <c r="HA167" s="70"/>
      <c r="HB167" s="70"/>
      <c r="HC167" s="70"/>
      <c r="HD167" s="70"/>
      <c r="HE167" s="70"/>
      <c r="HF167" s="70"/>
      <c r="HG167" s="70"/>
      <c r="HH167" s="70"/>
      <c r="HI167" s="70"/>
      <c r="HJ167" s="70"/>
      <c r="HK167" s="70"/>
      <c r="HL167" s="70"/>
      <c r="HM167" s="70"/>
      <c r="HN167" s="70"/>
      <c r="HO167" s="70"/>
      <c r="HP167" s="70"/>
      <c r="HQ167" s="70"/>
      <c r="HR167" s="70"/>
      <c r="HS167" s="70"/>
      <c r="HT167" s="70"/>
      <c r="HU167" s="70"/>
      <c r="HV167" s="70"/>
      <c r="HW167" s="70"/>
      <c r="HX167" s="70"/>
      <c r="HY167" s="70"/>
      <c r="HZ167" s="70"/>
      <c r="IA167" s="70"/>
      <c r="IB167" s="70"/>
      <c r="IC167" s="70"/>
      <c r="ID167" s="70"/>
      <c r="IE167" s="70"/>
      <c r="IF167" s="70"/>
      <c r="IG167" s="70"/>
      <c r="IH167" s="70"/>
      <c r="II167" s="70"/>
      <c r="IJ167" s="70"/>
      <c r="IK167" s="70"/>
      <c r="IL167" s="70"/>
      <c r="IM167" s="70"/>
      <c r="IN167" s="70"/>
      <c r="IO167" s="70"/>
      <c r="IP167" s="70"/>
      <c r="IQ167" s="70"/>
      <c r="IR167" s="70"/>
      <c r="IS167" s="70"/>
      <c r="IT167" s="70"/>
      <c r="IU167" s="70"/>
      <c r="IV167" s="70"/>
      <c r="IW167" s="70"/>
    </row>
    <row r="168" customFormat="false" ht="13.5" hidden="false" customHeight="true" outlineLevel="0" collapsed="false">
      <c r="A168" s="41" t="s">
        <v>5946</v>
      </c>
      <c r="B168" s="42" t="n">
        <v>23</v>
      </c>
      <c r="C168" s="42" t="n">
        <v>24</v>
      </c>
      <c r="D168" s="42" t="n">
        <v>25</v>
      </c>
      <c r="E168" s="42" t="n">
        <v>26</v>
      </c>
      <c r="F168" s="42" t="n">
        <v>27</v>
      </c>
      <c r="G168" s="43" t="n">
        <v>28</v>
      </c>
      <c r="H168" s="43" t="s">
        <v>5947</v>
      </c>
      <c r="I168" s="42" t="n">
        <v>2</v>
      </c>
      <c r="J168" s="42" t="n">
        <v>3</v>
      </c>
      <c r="K168" s="42" t="n">
        <v>4</v>
      </c>
      <c r="L168" s="42" t="n">
        <v>5</v>
      </c>
      <c r="M168" s="42" t="n">
        <v>6</v>
      </c>
      <c r="N168" s="43" t="n">
        <v>7</v>
      </c>
      <c r="O168" s="43" t="n">
        <v>8</v>
      </c>
      <c r="P168" s="42" t="n">
        <v>9</v>
      </c>
      <c r="Q168" s="42" t="n">
        <v>10</v>
      </c>
      <c r="R168" s="42" t="n">
        <v>11</v>
      </c>
      <c r="S168" s="42" t="n">
        <v>12</v>
      </c>
      <c r="T168" s="42" t="n">
        <v>13</v>
      </c>
      <c r="U168" s="43" t="n">
        <v>14</v>
      </c>
      <c r="V168" s="43" t="n">
        <v>15</v>
      </c>
      <c r="W168" s="42" t="n">
        <v>16</v>
      </c>
      <c r="X168" s="42" t="n">
        <v>17</v>
      </c>
      <c r="Y168" s="42" t="n">
        <v>18</v>
      </c>
      <c r="Z168" s="42" t="n">
        <v>19</v>
      </c>
      <c r="AA168" s="42" t="n">
        <v>20</v>
      </c>
      <c r="AB168" s="43" t="n">
        <v>21</v>
      </c>
      <c r="AC168" s="43" t="n">
        <v>22</v>
      </c>
      <c r="AD168" s="42" t="n">
        <v>23</v>
      </c>
      <c r="AE168" s="42" t="n">
        <v>24</v>
      </c>
      <c r="AF168" s="42" t="n">
        <v>25</v>
      </c>
      <c r="AG168" s="42" t="n">
        <v>26</v>
      </c>
      <c r="AH168" s="42" t="n">
        <v>27</v>
      </c>
      <c r="AI168" s="43" t="n">
        <v>28</v>
      </c>
      <c r="AJ168" s="43" t="n">
        <v>29</v>
      </c>
      <c r="AK168" s="42" t="n">
        <v>30</v>
      </c>
      <c r="AL168" s="42" t="n">
        <v>31</v>
      </c>
      <c r="AM168" s="42" t="s">
        <v>5948</v>
      </c>
      <c r="AN168" s="42" t="n">
        <v>2</v>
      </c>
      <c r="AO168" s="42" t="n">
        <v>3</v>
      </c>
      <c r="AP168" s="43" t="n">
        <v>4</v>
      </c>
      <c r="AQ168" s="43" t="n">
        <v>5</v>
      </c>
      <c r="AR168" s="42" t="n">
        <v>6</v>
      </c>
      <c r="AS168" s="42" t="n">
        <v>7</v>
      </c>
      <c r="AT168" s="42" t="n">
        <v>8</v>
      </c>
      <c r="AU168" s="42" t="n">
        <v>9</v>
      </c>
      <c r="AV168" s="42" t="n">
        <v>10</v>
      </c>
      <c r="AW168" s="43" t="n">
        <v>11</v>
      </c>
      <c r="AX168" s="43" t="n">
        <v>12</v>
      </c>
      <c r="AY168" s="42" t="n">
        <v>13</v>
      </c>
      <c r="AZ168" s="42" t="n">
        <v>14</v>
      </c>
      <c r="BA168" s="42" t="n">
        <v>15</v>
      </c>
      <c r="BB168" s="42" t="n">
        <v>16</v>
      </c>
      <c r="BC168" s="42" t="n">
        <v>17</v>
      </c>
      <c r="BD168" s="43" t="n">
        <v>18</v>
      </c>
      <c r="BE168" s="43" t="n">
        <v>19</v>
      </c>
      <c r="BF168" s="42" t="n">
        <v>20</v>
      </c>
      <c r="BG168" s="42" t="n">
        <v>21</v>
      </c>
      <c r="BH168" s="42" t="n">
        <v>22</v>
      </c>
      <c r="BI168" s="42" t="n">
        <v>23</v>
      </c>
      <c r="BJ168" s="42" t="n">
        <v>24</v>
      </c>
      <c r="BK168" s="43" t="n">
        <v>25</v>
      </c>
      <c r="BL168" s="43" t="n">
        <v>26</v>
      </c>
      <c r="BM168" s="43" t="n">
        <v>27</v>
      </c>
      <c r="BN168" s="42" t="n">
        <v>28</v>
      </c>
      <c r="BO168" s="42" t="n">
        <v>29</v>
      </c>
      <c r="BP168" s="43" t="n">
        <v>30</v>
      </c>
      <c r="BQ168" s="43" t="s">
        <v>5949</v>
      </c>
      <c r="BR168" s="43" t="n">
        <v>2</v>
      </c>
      <c r="BS168" s="43" t="n">
        <v>3</v>
      </c>
      <c r="BT168" s="42" t="n">
        <v>4</v>
      </c>
      <c r="BU168" s="42" t="n">
        <v>5</v>
      </c>
      <c r="BV168" s="42" t="n">
        <v>6</v>
      </c>
      <c r="BW168" s="42" t="n">
        <v>7</v>
      </c>
      <c r="BX168" s="42" t="n">
        <v>8</v>
      </c>
      <c r="BY168" s="43" t="n">
        <v>9</v>
      </c>
      <c r="BZ168" s="43" t="n">
        <v>10</v>
      </c>
      <c r="CA168" s="42" t="n">
        <v>11</v>
      </c>
      <c r="CB168" s="42" t="n">
        <v>12</v>
      </c>
      <c r="CC168" s="42" t="n">
        <v>13</v>
      </c>
      <c r="CD168" s="42" t="n">
        <v>14</v>
      </c>
      <c r="CE168" s="42" t="n">
        <v>15</v>
      </c>
      <c r="CF168" s="43" t="n">
        <v>16</v>
      </c>
      <c r="CG168" s="43" t="n">
        <v>17</v>
      </c>
      <c r="CH168" s="42" t="n">
        <v>18</v>
      </c>
      <c r="CI168" s="42" t="n">
        <v>19</v>
      </c>
      <c r="CJ168" s="42" t="n">
        <v>20</v>
      </c>
      <c r="CK168" s="42" t="n">
        <v>21</v>
      </c>
      <c r="CL168" s="42" t="n">
        <v>22</v>
      </c>
      <c r="CM168" s="43" t="n">
        <v>23</v>
      </c>
      <c r="CN168" s="43" t="n">
        <v>24</v>
      </c>
      <c r="CO168" s="42" t="n">
        <v>25</v>
      </c>
      <c r="CP168" s="42" t="n">
        <v>26</v>
      </c>
      <c r="CQ168" s="42" t="n">
        <v>27</v>
      </c>
      <c r="CR168" s="42" t="n">
        <v>28</v>
      </c>
      <c r="CS168" s="42" t="n">
        <v>29</v>
      </c>
      <c r="CT168" s="43" t="n">
        <v>30</v>
      </c>
      <c r="CU168" s="43" t="n">
        <v>31</v>
      </c>
      <c r="CV168" s="42" t="s">
        <v>5950</v>
      </c>
      <c r="CW168" s="42" t="n">
        <v>2</v>
      </c>
      <c r="CX168" s="42" t="n">
        <v>3</v>
      </c>
      <c r="CY168" s="42" t="n">
        <v>4</v>
      </c>
      <c r="CZ168" s="42" t="n">
        <v>5</v>
      </c>
      <c r="DA168" s="43" t="n">
        <v>6</v>
      </c>
      <c r="DB168" s="43" t="n">
        <v>7</v>
      </c>
      <c r="DC168" s="42" t="n">
        <v>8</v>
      </c>
      <c r="DD168" s="42" t="n">
        <v>9</v>
      </c>
      <c r="DE168" s="42" t="n">
        <v>10</v>
      </c>
      <c r="DF168" s="42" t="n">
        <v>11</v>
      </c>
      <c r="DG168" s="42" t="n">
        <v>12</v>
      </c>
      <c r="DH168" s="43" t="n">
        <v>13</v>
      </c>
      <c r="DI168" s="43" t="n">
        <v>14</v>
      </c>
      <c r="DJ168" s="42" t="n">
        <v>15</v>
      </c>
      <c r="DK168" s="42" t="n">
        <v>16</v>
      </c>
      <c r="DL168" s="42" t="n">
        <v>17</v>
      </c>
      <c r="DM168" s="42" t="n">
        <v>18</v>
      </c>
      <c r="DN168" s="42" t="n">
        <v>19</v>
      </c>
      <c r="DO168" s="43" t="n">
        <v>20</v>
      </c>
      <c r="DP168" s="43" t="n">
        <v>21</v>
      </c>
      <c r="DQ168" s="42" t="n">
        <v>22</v>
      </c>
      <c r="DR168" s="42" t="n">
        <v>23</v>
      </c>
      <c r="DS168" s="42" t="n">
        <v>24</v>
      </c>
      <c r="DT168" s="42" t="n">
        <v>25</v>
      </c>
      <c r="DU168" s="42" t="n">
        <v>26</v>
      </c>
      <c r="DV168" s="43" t="n">
        <v>27</v>
      </c>
      <c r="DW168" s="43" t="n">
        <v>28</v>
      </c>
      <c r="DX168" s="42" t="n">
        <v>29</v>
      </c>
      <c r="DY168" s="42" t="n">
        <v>30</v>
      </c>
      <c r="DZ168" s="42"/>
      <c r="EA168" s="42"/>
      <c r="EB168" s="42"/>
      <c r="EC168" s="42"/>
      <c r="ED168" s="42"/>
      <c r="EE168" s="42"/>
      <c r="EF168" s="42"/>
      <c r="EG168" s="42"/>
      <c r="EH168" s="42"/>
      <c r="EI168" s="42"/>
      <c r="EJ168" s="42"/>
      <c r="EK168" s="70"/>
      <c r="EL168" s="70"/>
      <c r="EM168" s="70"/>
      <c r="EN168" s="70"/>
      <c r="EO168" s="70"/>
      <c r="EP168" s="70"/>
      <c r="EQ168" s="70"/>
      <c r="ER168" s="70"/>
      <c r="ES168" s="70"/>
      <c r="ET168" s="70"/>
      <c r="EU168" s="70"/>
      <c r="EV168" s="70"/>
      <c r="EW168" s="70"/>
      <c r="EX168" s="70"/>
      <c r="EY168" s="70"/>
      <c r="EZ168" s="70"/>
      <c r="FA168" s="70"/>
      <c r="FB168" s="70"/>
      <c r="FC168" s="70"/>
      <c r="FD168" s="70"/>
      <c r="FE168" s="70"/>
      <c r="FF168" s="70"/>
      <c r="FG168" s="70"/>
      <c r="FH168" s="70"/>
      <c r="FI168" s="70"/>
      <c r="FJ168" s="70"/>
      <c r="FK168" s="70"/>
      <c r="FL168" s="70"/>
      <c r="FM168" s="70"/>
      <c r="FN168" s="70"/>
      <c r="FO168" s="70"/>
      <c r="FP168" s="70"/>
      <c r="FQ168" s="70"/>
      <c r="FR168" s="70"/>
      <c r="FS168" s="70"/>
      <c r="FT168" s="70"/>
      <c r="FU168" s="70"/>
      <c r="FV168" s="70"/>
      <c r="FW168" s="70"/>
      <c r="FX168" s="70"/>
      <c r="FY168" s="70"/>
      <c r="FZ168" s="70"/>
      <c r="GA168" s="70"/>
      <c r="GB168" s="70"/>
      <c r="GC168" s="70"/>
      <c r="GD168" s="70"/>
      <c r="GE168" s="70"/>
      <c r="GF168" s="70"/>
      <c r="GG168" s="70"/>
      <c r="GH168" s="70"/>
      <c r="GI168" s="70"/>
      <c r="GJ168" s="70"/>
      <c r="GK168" s="70"/>
      <c r="GL168" s="70"/>
      <c r="GM168" s="70"/>
      <c r="GN168" s="70"/>
      <c r="GO168" s="70"/>
      <c r="GP168" s="70"/>
      <c r="GQ168" s="70"/>
      <c r="GR168" s="70"/>
      <c r="GS168" s="70"/>
      <c r="GT168" s="70"/>
      <c r="GU168" s="70"/>
      <c r="GV168" s="70"/>
      <c r="GW168" s="70"/>
      <c r="GX168" s="70"/>
      <c r="GY168" s="70"/>
      <c r="GZ168" s="70"/>
      <c r="HA168" s="70"/>
      <c r="HB168" s="70"/>
      <c r="HC168" s="70"/>
      <c r="HD168" s="70"/>
      <c r="HE168" s="70"/>
      <c r="HF168" s="70"/>
      <c r="HG168" s="70"/>
      <c r="HH168" s="70"/>
      <c r="HI168" s="70"/>
      <c r="HJ168" s="70"/>
      <c r="HK168" s="70"/>
      <c r="HL168" s="70"/>
      <c r="HM168" s="70"/>
      <c r="HN168" s="70"/>
      <c r="HO168" s="70"/>
      <c r="HP168" s="70"/>
      <c r="HQ168" s="70"/>
      <c r="HR168" s="70"/>
      <c r="HS168" s="70"/>
      <c r="HT168" s="70"/>
      <c r="HU168" s="70"/>
      <c r="HV168" s="70"/>
      <c r="HW168" s="70"/>
      <c r="HX168" s="70"/>
      <c r="HY168" s="70"/>
      <c r="HZ168" s="70"/>
      <c r="IA168" s="70"/>
      <c r="IB168" s="70"/>
      <c r="IC168" s="70"/>
      <c r="ID168" s="70"/>
      <c r="IE168" s="70"/>
      <c r="IF168" s="70"/>
      <c r="IG168" s="70"/>
      <c r="IH168" s="70"/>
      <c r="II168" s="70"/>
      <c r="IJ168" s="70"/>
      <c r="IK168" s="70"/>
      <c r="IL168" s="70"/>
      <c r="IM168" s="70"/>
      <c r="IN168" s="70"/>
      <c r="IO168" s="70"/>
      <c r="IP168" s="70"/>
      <c r="IQ168" s="70"/>
      <c r="IR168" s="70"/>
      <c r="IS168" s="70"/>
      <c r="IT168" s="70"/>
      <c r="IU168" s="70"/>
      <c r="IV168" s="70"/>
      <c r="IW168" s="70"/>
    </row>
    <row r="169" customFormat="false" ht="13.5" hidden="false" customHeight="true" outlineLevel="0" collapsed="false">
      <c r="A169" s="41" t="s">
        <v>5952</v>
      </c>
      <c r="B169" s="143" t="n">
        <v>86</v>
      </c>
      <c r="C169" s="143" t="n">
        <v>95</v>
      </c>
      <c r="D169" s="143" t="n">
        <v>270</v>
      </c>
      <c r="E169" s="143" t="n">
        <v>270</v>
      </c>
      <c r="F169" s="143" t="n">
        <v>220</v>
      </c>
      <c r="G169" s="143" t="n">
        <v>0</v>
      </c>
      <c r="H169" s="143" t="n">
        <v>0</v>
      </c>
      <c r="I169" s="143" t="n">
        <v>270</v>
      </c>
      <c r="J169" s="143" t="n">
        <v>270</v>
      </c>
      <c r="K169" s="143" t="n">
        <v>270</v>
      </c>
      <c r="L169" s="143" t="n">
        <v>110</v>
      </c>
      <c r="M169" s="143" t="n">
        <v>270</v>
      </c>
      <c r="N169" s="143" t="n">
        <v>0</v>
      </c>
      <c r="O169" s="143" t="n">
        <v>0</v>
      </c>
      <c r="P169" s="143" t="n">
        <v>270</v>
      </c>
      <c r="Q169" s="143" t="n">
        <v>270</v>
      </c>
      <c r="R169" s="143" t="n">
        <v>154</v>
      </c>
      <c r="S169" s="143" t="n">
        <v>270</v>
      </c>
      <c r="T169" s="143" t="n">
        <v>270</v>
      </c>
      <c r="U169" s="143" t="n">
        <v>0</v>
      </c>
      <c r="V169" s="143" t="n">
        <v>0</v>
      </c>
      <c r="W169" s="143" t="n">
        <v>270</v>
      </c>
      <c r="X169" s="176" t="n">
        <v>194</v>
      </c>
      <c r="Y169" s="176" t="n">
        <v>56</v>
      </c>
      <c r="Z169" s="176" t="n">
        <v>700</v>
      </c>
      <c r="AA169" s="176" t="n">
        <v>700</v>
      </c>
      <c r="AB169" s="176" t="n">
        <v>0</v>
      </c>
      <c r="AC169" s="176" t="n">
        <v>0</v>
      </c>
      <c r="AD169" s="143" t="n">
        <v>260</v>
      </c>
      <c r="AE169" s="143" t="n">
        <v>400</v>
      </c>
      <c r="AF169" s="143" t="n">
        <v>400</v>
      </c>
      <c r="AG169" s="143" t="n">
        <v>400</v>
      </c>
      <c r="AH169" s="143" t="n">
        <v>106</v>
      </c>
      <c r="AI169" s="143" t="n">
        <v>0</v>
      </c>
      <c r="AJ169" s="143" t="n">
        <v>0</v>
      </c>
      <c r="AK169" s="143" t="n">
        <v>270</v>
      </c>
      <c r="AL169" s="143" t="n">
        <v>270</v>
      </c>
      <c r="AM169" s="143" t="n">
        <v>270</v>
      </c>
      <c r="AN169" s="143" t="n">
        <v>270</v>
      </c>
      <c r="AO169" s="143" t="n">
        <v>270</v>
      </c>
      <c r="AP169" s="143" t="n">
        <v>0</v>
      </c>
      <c r="AQ169" s="143" t="n">
        <v>0</v>
      </c>
      <c r="AR169" s="143" t="n">
        <v>58</v>
      </c>
      <c r="AS169" s="143" t="n">
        <v>270</v>
      </c>
      <c r="AT169" s="143" t="n">
        <v>270</v>
      </c>
      <c r="AU169" s="143" t="n">
        <v>270</v>
      </c>
      <c r="AV169" s="143" t="n">
        <v>38</v>
      </c>
      <c r="AW169" s="143" t="n">
        <v>0</v>
      </c>
      <c r="AX169" s="143" t="n">
        <v>0</v>
      </c>
      <c r="AY169" s="143" t="n">
        <v>290</v>
      </c>
      <c r="AZ169" s="143" t="n">
        <v>80</v>
      </c>
      <c r="BA169" s="143" t="n">
        <v>170</v>
      </c>
      <c r="BB169" s="143" t="n">
        <v>170</v>
      </c>
      <c r="BC169" s="143" t="n">
        <v>190</v>
      </c>
      <c r="BD169" s="143" t="n">
        <v>0</v>
      </c>
      <c r="BE169" s="143" t="n">
        <v>0</v>
      </c>
      <c r="BF169" s="143" t="n">
        <v>190</v>
      </c>
      <c r="BG169" s="143" t="n">
        <v>270</v>
      </c>
      <c r="BH169" s="143" t="n">
        <v>270</v>
      </c>
      <c r="BI169" s="143" t="n">
        <v>272</v>
      </c>
      <c r="BJ169" s="143" t="n">
        <v>272</v>
      </c>
      <c r="BK169" s="143" t="n">
        <v>0</v>
      </c>
      <c r="BL169" s="143" t="n">
        <v>0</v>
      </c>
      <c r="BM169" s="143" t="n">
        <v>0</v>
      </c>
      <c r="BN169" s="143" t="n">
        <v>270</v>
      </c>
      <c r="BO169" s="143" t="n">
        <v>246</v>
      </c>
      <c r="BP169" s="143" t="n">
        <v>0</v>
      </c>
      <c r="BQ169" s="143" t="n">
        <v>0</v>
      </c>
      <c r="BR169" s="143" t="n">
        <v>0</v>
      </c>
      <c r="BS169" s="143" t="n">
        <v>0</v>
      </c>
      <c r="BT169" s="143" t="n">
        <v>270</v>
      </c>
      <c r="BU169" s="143" t="n">
        <v>270</v>
      </c>
      <c r="BV169" s="143" t="n">
        <v>270</v>
      </c>
      <c r="BW169" s="143" t="n">
        <v>270</v>
      </c>
      <c r="BX169" s="143" t="n">
        <v>258</v>
      </c>
      <c r="BY169" s="143" t="n">
        <v>0</v>
      </c>
      <c r="BZ169" s="143" t="n">
        <v>0</v>
      </c>
      <c r="CA169" s="143" t="n">
        <v>270</v>
      </c>
      <c r="CB169" s="143" t="n">
        <v>270</v>
      </c>
      <c r="CC169" s="143" t="n">
        <v>270</v>
      </c>
      <c r="CD169" s="143" t="n">
        <v>270</v>
      </c>
      <c r="CE169" s="143" t="n">
        <v>152</v>
      </c>
      <c r="CF169" s="143" t="n">
        <v>0</v>
      </c>
      <c r="CG169" s="143" t="n">
        <v>0</v>
      </c>
      <c r="CH169" s="143" t="n">
        <v>100</v>
      </c>
      <c r="CI169" s="143" t="n">
        <v>400</v>
      </c>
      <c r="CJ169" s="143" t="n">
        <v>400</v>
      </c>
      <c r="CK169" s="143" t="n">
        <v>400</v>
      </c>
      <c r="CL169" s="143" t="n">
        <v>120</v>
      </c>
      <c r="CM169" s="143"/>
      <c r="CN169" s="143"/>
      <c r="CO169" s="143"/>
      <c r="CP169" s="143"/>
      <c r="CQ169" s="143"/>
      <c r="CR169" s="143"/>
      <c r="CS169" s="143"/>
      <c r="CT169" s="143"/>
      <c r="CU169" s="143"/>
      <c r="CV169" s="143"/>
      <c r="CW169" s="143"/>
      <c r="CX169" s="143"/>
      <c r="CY169" s="143"/>
      <c r="CZ169" s="143"/>
      <c r="DA169" s="143"/>
      <c r="DB169" s="143"/>
      <c r="DC169" s="143"/>
      <c r="DD169" s="143"/>
      <c r="DE169" s="143"/>
      <c r="DF169" s="143"/>
      <c r="DG169" s="143"/>
      <c r="DH169" s="143"/>
      <c r="DI169" s="143"/>
      <c r="DJ169" s="143"/>
      <c r="DK169" s="143"/>
      <c r="DL169" s="143"/>
      <c r="DM169" s="143"/>
      <c r="DN169" s="143"/>
      <c r="DO169" s="143"/>
      <c r="DP169" s="143"/>
      <c r="DQ169" s="143"/>
      <c r="DR169" s="143"/>
      <c r="DS169" s="143"/>
      <c r="DT169" s="143"/>
      <c r="DU169" s="143"/>
      <c r="DV169" s="143"/>
      <c r="DW169" s="143"/>
      <c r="DX169" s="143"/>
      <c r="DY169" s="143"/>
      <c r="DZ169" s="143"/>
      <c r="EA169" s="143"/>
      <c r="EB169" s="143"/>
      <c r="EC169" s="143"/>
      <c r="ED169" s="143"/>
      <c r="EE169" s="143"/>
      <c r="EF169" s="143"/>
      <c r="EG169" s="143"/>
      <c r="EH169" s="143"/>
      <c r="EI169" s="143"/>
      <c r="EJ169" s="143"/>
      <c r="EK169" s="70"/>
      <c r="EL169" s="70"/>
      <c r="EM169" s="70"/>
      <c r="EN169" s="70"/>
      <c r="EO169" s="70"/>
      <c r="EP169" s="70"/>
      <c r="EQ169" s="70"/>
      <c r="ER169" s="70"/>
      <c r="ES169" s="70"/>
      <c r="ET169" s="70"/>
      <c r="EU169" s="70"/>
      <c r="EV169" s="70"/>
      <c r="EW169" s="70"/>
      <c r="EX169" s="70"/>
      <c r="EY169" s="70"/>
      <c r="EZ169" s="70"/>
      <c r="FA169" s="70"/>
      <c r="FB169" s="70"/>
      <c r="FC169" s="70"/>
      <c r="FD169" s="70"/>
      <c r="FE169" s="70"/>
      <c r="FF169" s="70"/>
      <c r="FG169" s="70"/>
      <c r="FH169" s="70"/>
      <c r="FI169" s="70"/>
      <c r="FJ169" s="70"/>
      <c r="FK169" s="70"/>
      <c r="FL169" s="70"/>
      <c r="FM169" s="70"/>
      <c r="FN169" s="70"/>
      <c r="FO169" s="70"/>
      <c r="FP169" s="70"/>
      <c r="FQ169" s="70"/>
      <c r="FR169" s="70"/>
      <c r="FS169" s="70"/>
      <c r="FT169" s="70"/>
      <c r="FU169" s="70"/>
      <c r="FV169" s="70"/>
      <c r="FW169" s="70"/>
      <c r="FX169" s="70"/>
      <c r="FY169" s="70"/>
      <c r="FZ169" s="70"/>
      <c r="GA169" s="70"/>
      <c r="GB169" s="70"/>
      <c r="GC169" s="70"/>
      <c r="GD169" s="70"/>
      <c r="GE169" s="70"/>
      <c r="GF169" s="70"/>
      <c r="GG169" s="70"/>
      <c r="GH169" s="70"/>
      <c r="GI169" s="70"/>
      <c r="GJ169" s="70"/>
      <c r="GK169" s="70"/>
      <c r="GL169" s="70"/>
      <c r="GM169" s="70"/>
      <c r="GN169" s="70"/>
      <c r="GO169" s="70"/>
      <c r="GP169" s="70"/>
      <c r="GQ169" s="70"/>
      <c r="GR169" s="70"/>
      <c r="GS169" s="70"/>
      <c r="GT169" s="70"/>
      <c r="GU169" s="70"/>
      <c r="GV169" s="70"/>
      <c r="GW169" s="70"/>
      <c r="GX169" s="70"/>
      <c r="GY169" s="70"/>
      <c r="GZ169" s="70"/>
      <c r="HA169" s="70"/>
      <c r="HB169" s="70"/>
      <c r="HC169" s="70"/>
      <c r="HD169" s="70"/>
      <c r="HE169" s="70"/>
      <c r="HF169" s="70"/>
      <c r="HG169" s="70"/>
      <c r="HH169" s="70"/>
      <c r="HI169" s="70"/>
      <c r="HJ169" s="70"/>
      <c r="HK169" s="70"/>
      <c r="HL169" s="70"/>
      <c r="HM169" s="70"/>
      <c r="HN169" s="70"/>
      <c r="HO169" s="70"/>
      <c r="HP169" s="70"/>
      <c r="HQ169" s="70"/>
      <c r="HR169" s="70"/>
      <c r="HS169" s="70"/>
      <c r="HT169" s="70"/>
      <c r="HU169" s="70"/>
      <c r="HV169" s="70"/>
      <c r="HW169" s="70"/>
      <c r="HX169" s="70"/>
      <c r="HY169" s="70"/>
      <c r="HZ169" s="70"/>
      <c r="IA169" s="70"/>
      <c r="IB169" s="70"/>
      <c r="IC169" s="70"/>
      <c r="ID169" s="70"/>
      <c r="IE169" s="70"/>
      <c r="IF169" s="70"/>
      <c r="IG169" s="70"/>
      <c r="IH169" s="70"/>
      <c r="II169" s="70"/>
      <c r="IJ169" s="70"/>
      <c r="IK169" s="70"/>
      <c r="IL169" s="70"/>
      <c r="IM169" s="70"/>
      <c r="IN169" s="70"/>
      <c r="IO169" s="70"/>
      <c r="IP169" s="70"/>
      <c r="IQ169" s="70"/>
      <c r="IR169" s="70"/>
      <c r="IS169" s="70"/>
      <c r="IT169" s="70"/>
      <c r="IU169" s="70"/>
      <c r="IV169" s="70"/>
      <c r="IW169" s="70"/>
    </row>
    <row r="170" customFormat="false" ht="13.5" hidden="false" customHeight="true" outlineLevel="0" collapsed="false">
      <c r="A170" s="41"/>
      <c r="B170" s="45" t="n">
        <v>40</v>
      </c>
      <c r="C170" s="45" t="n">
        <v>210</v>
      </c>
      <c r="D170" s="45"/>
      <c r="E170" s="45"/>
      <c r="F170" s="45" t="n">
        <v>50</v>
      </c>
      <c r="G170" s="45"/>
      <c r="H170" s="45"/>
      <c r="I170" s="45"/>
      <c r="J170" s="45"/>
      <c r="K170" s="45"/>
      <c r="L170" s="45" t="n">
        <v>140</v>
      </c>
      <c r="M170" s="45"/>
      <c r="N170" s="45"/>
      <c r="O170" s="45"/>
      <c r="P170" s="45"/>
      <c r="Q170" s="45"/>
      <c r="R170" s="45" t="n">
        <v>100</v>
      </c>
      <c r="S170" s="45"/>
      <c r="T170" s="45"/>
      <c r="U170" s="45"/>
      <c r="V170" s="45"/>
      <c r="W170" s="45"/>
      <c r="X170" s="177" t="n">
        <v>50</v>
      </c>
      <c r="Y170" s="177" t="n">
        <v>500</v>
      </c>
      <c r="Z170" s="177"/>
      <c r="AA170" s="177"/>
      <c r="AB170" s="177"/>
      <c r="AC170" s="177"/>
      <c r="AD170" s="45" t="n">
        <v>100</v>
      </c>
      <c r="AE170" s="45"/>
      <c r="AF170" s="45"/>
      <c r="AG170" s="45"/>
      <c r="AH170" s="45"/>
      <c r="AI170" s="45"/>
      <c r="AJ170" s="45"/>
      <c r="AK170" s="45"/>
      <c r="AL170" s="45"/>
      <c r="AM170" s="45"/>
      <c r="AN170" s="45"/>
      <c r="AO170" s="45"/>
      <c r="AP170" s="45"/>
      <c r="AQ170" s="45"/>
      <c r="AR170" s="45" t="n">
        <v>120</v>
      </c>
      <c r="AS170" s="45"/>
      <c r="AT170" s="45"/>
      <c r="AU170" s="45"/>
      <c r="AV170" s="45" t="n">
        <v>180</v>
      </c>
      <c r="AW170" s="45"/>
      <c r="AX170" s="45"/>
      <c r="AY170" s="45"/>
      <c r="AZ170" s="45" t="n">
        <v>130</v>
      </c>
      <c r="BA170" s="45"/>
      <c r="BB170" s="45"/>
      <c r="BC170" s="45"/>
      <c r="BD170" s="45"/>
      <c r="BE170" s="45"/>
      <c r="BF170" s="45"/>
      <c r="BG170" s="45"/>
      <c r="BH170" s="45"/>
      <c r="BI170" s="45"/>
      <c r="BJ170" s="45"/>
      <c r="BK170" s="45"/>
      <c r="BL170" s="45"/>
      <c r="BM170" s="45"/>
      <c r="BN170" s="45"/>
      <c r="BO170" s="45"/>
      <c r="BP170" s="45"/>
      <c r="BQ170" s="45"/>
      <c r="BR170" s="45"/>
      <c r="BS170" s="45"/>
      <c r="BT170" s="45"/>
      <c r="BU170" s="45"/>
      <c r="BV170" s="45"/>
      <c r="BW170" s="45"/>
      <c r="BX170" s="45"/>
      <c r="BY170" s="45"/>
      <c r="BZ170" s="45"/>
      <c r="CA170" s="45"/>
      <c r="CB170" s="45"/>
      <c r="CC170" s="45"/>
      <c r="CD170" s="45"/>
      <c r="CE170" s="45"/>
      <c r="CF170" s="45"/>
      <c r="CG170" s="45"/>
      <c r="CH170" s="45"/>
      <c r="CI170" s="45"/>
      <c r="CJ170" s="45"/>
      <c r="CK170" s="45"/>
      <c r="CL170" s="45"/>
      <c r="CM170" s="45"/>
      <c r="CN170" s="45"/>
      <c r="CO170" s="45"/>
      <c r="CP170" s="45"/>
      <c r="CQ170" s="45"/>
      <c r="CR170" s="45"/>
      <c r="CS170" s="45"/>
      <c r="CT170" s="45"/>
      <c r="CU170" s="45"/>
      <c r="CV170" s="45"/>
      <c r="CW170" s="45"/>
      <c r="CX170" s="45"/>
      <c r="CY170" s="45"/>
      <c r="CZ170" s="45"/>
      <c r="DA170" s="45"/>
      <c r="DB170" s="45"/>
      <c r="DC170" s="45"/>
      <c r="DD170" s="45"/>
      <c r="DE170" s="45"/>
      <c r="DF170" s="45"/>
      <c r="DG170" s="45"/>
      <c r="DH170" s="45"/>
      <c r="DI170" s="45"/>
      <c r="DJ170" s="45"/>
      <c r="DK170" s="45"/>
      <c r="DL170" s="45"/>
      <c r="DM170" s="45"/>
      <c r="DN170" s="45"/>
      <c r="DO170" s="45"/>
      <c r="DP170" s="45"/>
      <c r="DQ170" s="45"/>
      <c r="DR170" s="45"/>
      <c r="DS170" s="45"/>
      <c r="DT170" s="45"/>
      <c r="DU170" s="45"/>
      <c r="DV170" s="45"/>
      <c r="DW170" s="45"/>
      <c r="DX170" s="45"/>
      <c r="DY170" s="45"/>
      <c r="DZ170" s="45"/>
      <c r="EA170" s="45"/>
      <c r="EB170" s="45"/>
      <c r="EC170" s="45"/>
      <c r="ED170" s="45"/>
      <c r="EE170" s="45"/>
      <c r="EF170" s="45"/>
      <c r="EG170" s="45"/>
      <c r="EH170" s="45"/>
      <c r="EI170" s="45"/>
      <c r="EJ170" s="45"/>
      <c r="EK170" s="170"/>
      <c r="EL170" s="170"/>
      <c r="EM170" s="170"/>
      <c r="EN170" s="170"/>
      <c r="EO170" s="170"/>
      <c r="EP170" s="170"/>
      <c r="EQ170" s="170"/>
      <c r="ER170" s="170"/>
      <c r="ES170" s="170"/>
      <c r="ET170" s="170"/>
      <c r="EU170" s="170"/>
      <c r="EV170" s="170"/>
      <c r="EW170" s="170"/>
      <c r="EX170" s="170"/>
      <c r="EY170" s="170"/>
      <c r="EZ170" s="170"/>
      <c r="FA170" s="170"/>
      <c r="FB170" s="170"/>
      <c r="FC170" s="170"/>
      <c r="FD170" s="170"/>
      <c r="FE170" s="170"/>
      <c r="FF170" s="170"/>
      <c r="FG170" s="170"/>
      <c r="FH170" s="170"/>
      <c r="FI170" s="170"/>
      <c r="FJ170" s="170"/>
      <c r="FK170" s="170"/>
      <c r="FL170" s="170"/>
      <c r="FM170" s="170"/>
      <c r="FN170" s="170"/>
      <c r="FO170" s="170"/>
      <c r="FP170" s="170"/>
      <c r="FQ170" s="170"/>
      <c r="FR170" s="170"/>
      <c r="FS170" s="170"/>
      <c r="FT170" s="170"/>
      <c r="FU170" s="170"/>
      <c r="FV170" s="170"/>
      <c r="FW170" s="170"/>
      <c r="FX170" s="170"/>
      <c r="FY170" s="170"/>
      <c r="FZ170" s="170"/>
      <c r="GA170" s="170"/>
      <c r="GB170" s="170"/>
      <c r="GC170" s="170"/>
      <c r="GD170" s="170"/>
      <c r="GE170" s="170"/>
      <c r="GF170" s="170"/>
      <c r="GG170" s="170"/>
      <c r="GH170" s="170"/>
      <c r="GI170" s="170"/>
      <c r="GJ170" s="170"/>
      <c r="GK170" s="170"/>
      <c r="GL170" s="170"/>
      <c r="GM170" s="170"/>
      <c r="GN170" s="170"/>
      <c r="GO170" s="170"/>
      <c r="GP170" s="170"/>
      <c r="GQ170" s="170"/>
      <c r="GR170" s="170"/>
      <c r="GS170" s="170"/>
      <c r="GT170" s="170"/>
      <c r="GU170" s="170"/>
      <c r="GV170" s="170"/>
      <c r="GW170" s="170"/>
      <c r="GX170" s="170"/>
      <c r="GY170" s="170"/>
      <c r="GZ170" s="170"/>
      <c r="HA170" s="170"/>
      <c r="HB170" s="170"/>
      <c r="HC170" s="170"/>
      <c r="HD170" s="170"/>
      <c r="HE170" s="170"/>
      <c r="HF170" s="170"/>
      <c r="HG170" s="170"/>
      <c r="HH170" s="170"/>
      <c r="HI170" s="170"/>
      <c r="HJ170" s="170"/>
      <c r="HK170" s="170"/>
      <c r="HL170" s="170"/>
      <c r="HM170" s="170"/>
      <c r="HN170" s="170"/>
      <c r="HO170" s="170"/>
      <c r="HP170" s="170"/>
      <c r="HQ170" s="170"/>
      <c r="HR170" s="170"/>
      <c r="HS170" s="170"/>
      <c r="HT170" s="170"/>
      <c r="HU170" s="170"/>
      <c r="HV170" s="45"/>
      <c r="HW170" s="45"/>
      <c r="HX170" s="45"/>
      <c r="HY170" s="45"/>
      <c r="HZ170" s="45"/>
      <c r="IA170" s="45"/>
      <c r="IB170" s="45"/>
      <c r="IC170" s="45"/>
      <c r="ID170" s="45"/>
      <c r="IE170" s="45"/>
      <c r="IF170" s="45"/>
      <c r="IG170" s="45"/>
      <c r="IH170" s="45"/>
      <c r="II170" s="45"/>
      <c r="IJ170" s="45"/>
      <c r="IK170" s="45"/>
      <c r="IL170" s="45"/>
      <c r="IM170" s="45"/>
      <c r="IN170" s="45"/>
      <c r="IO170" s="45"/>
      <c r="IP170" s="45"/>
      <c r="IQ170" s="45"/>
      <c r="IR170" s="45"/>
      <c r="IS170" s="45"/>
      <c r="IT170" s="45"/>
      <c r="IU170" s="45"/>
      <c r="IV170" s="45"/>
      <c r="IW170" s="45"/>
    </row>
    <row r="171" customFormat="false" ht="13.5" hidden="false" customHeight="true" outlineLevel="0" collapsed="false">
      <c r="A171" s="146"/>
      <c r="B171" s="147" t="s">
        <v>5953</v>
      </c>
      <c r="C171" s="147" t="s">
        <v>5953</v>
      </c>
      <c r="D171" s="106"/>
      <c r="E171" s="178"/>
      <c r="F171" s="147" t="s">
        <v>6290</v>
      </c>
      <c r="G171" s="178"/>
      <c r="H171" s="178"/>
      <c r="I171" s="106"/>
      <c r="J171" s="106"/>
      <c r="K171" s="178"/>
      <c r="L171" s="147" t="s">
        <v>5953</v>
      </c>
      <c r="M171" s="106"/>
      <c r="N171" s="178"/>
      <c r="O171" s="178"/>
      <c r="P171" s="178"/>
      <c r="Q171" s="178"/>
      <c r="R171" s="147" t="s">
        <v>6290</v>
      </c>
      <c r="S171" s="106"/>
      <c r="T171" s="178"/>
      <c r="U171" s="178"/>
      <c r="V171" s="178"/>
      <c r="W171" s="178"/>
      <c r="X171" s="156" t="s">
        <v>5955</v>
      </c>
      <c r="Y171" s="156" t="s">
        <v>5955</v>
      </c>
      <c r="Z171" s="148"/>
      <c r="AA171" s="106"/>
      <c r="AB171" s="106"/>
      <c r="AC171" s="148"/>
      <c r="AD171" s="106" t="s">
        <v>6237</v>
      </c>
      <c r="AE171" s="106"/>
      <c r="AF171" s="148"/>
      <c r="AG171" s="148"/>
      <c r="AH171" s="106" t="s">
        <v>6237</v>
      </c>
      <c r="AI171" s="148"/>
      <c r="AJ171" s="148"/>
      <c r="AK171" s="106" t="s">
        <v>6237</v>
      </c>
      <c r="AL171" s="148"/>
      <c r="AM171" s="148"/>
      <c r="AN171" s="148"/>
      <c r="AO171" s="148"/>
      <c r="AP171" s="148"/>
      <c r="AQ171" s="148"/>
      <c r="AR171" s="106" t="s">
        <v>6237</v>
      </c>
      <c r="AS171" s="106"/>
      <c r="AT171" s="148"/>
      <c r="AU171" s="148"/>
      <c r="AV171" s="106" t="s">
        <v>5998</v>
      </c>
      <c r="AW171" s="148"/>
      <c r="AX171" s="148"/>
      <c r="AY171" s="106"/>
      <c r="AZ171" s="106" t="s">
        <v>5998</v>
      </c>
      <c r="BA171" s="148"/>
      <c r="BB171" s="106"/>
      <c r="BC171" s="106" t="s">
        <v>6291</v>
      </c>
      <c r="BD171" s="148"/>
      <c r="BE171" s="148"/>
      <c r="BF171" s="106"/>
      <c r="BG171" s="106" t="s">
        <v>6291</v>
      </c>
      <c r="BH171" s="148"/>
      <c r="BI171" s="148"/>
      <c r="BJ171" s="106" t="s">
        <v>6291</v>
      </c>
      <c r="BK171" s="148"/>
      <c r="BL171" s="164" t="s">
        <v>6289</v>
      </c>
      <c r="BM171" s="106"/>
      <c r="BN171" s="106"/>
      <c r="BO171" s="148"/>
      <c r="BP171" s="148"/>
      <c r="BQ171" s="148"/>
      <c r="BR171" s="148"/>
      <c r="BS171" s="148"/>
      <c r="BT171" s="106" t="s">
        <v>6291</v>
      </c>
      <c r="BU171" s="148"/>
      <c r="BV171" s="148"/>
      <c r="BW171" s="148"/>
      <c r="BX171" s="148"/>
      <c r="BY171" s="148"/>
      <c r="BZ171" s="148"/>
      <c r="CA171" s="106" t="s">
        <v>6291</v>
      </c>
      <c r="CB171" s="148"/>
      <c r="CC171" s="148"/>
      <c r="CD171" s="148"/>
      <c r="CE171" s="148"/>
      <c r="CF171" s="148"/>
      <c r="CG171" s="148"/>
      <c r="CH171" s="106" t="s">
        <v>6322</v>
      </c>
      <c r="CI171" s="106" t="s">
        <v>6322</v>
      </c>
      <c r="CJ171" s="148"/>
      <c r="CK171" s="148"/>
      <c r="CL171" s="148"/>
      <c r="CM171" s="148"/>
      <c r="CN171" s="148"/>
      <c r="CO171" s="148"/>
      <c r="CP171" s="148"/>
      <c r="CQ171" s="148"/>
      <c r="CR171" s="148"/>
      <c r="CS171" s="148"/>
      <c r="CT171" s="148"/>
      <c r="CU171" s="148"/>
      <c r="CV171" s="148"/>
      <c r="CW171" s="148"/>
      <c r="CX171" s="148"/>
      <c r="CY171" s="148"/>
      <c r="CZ171" s="148"/>
      <c r="DA171" s="148"/>
      <c r="DB171" s="148"/>
      <c r="DC171" s="148"/>
      <c r="DD171" s="148"/>
      <c r="DE171" s="148"/>
      <c r="DF171" s="148"/>
      <c r="DG171" s="148"/>
      <c r="DH171" s="148"/>
      <c r="DI171" s="148"/>
      <c r="DJ171" s="148"/>
      <c r="DK171" s="148"/>
      <c r="DL171" s="148"/>
      <c r="DM171" s="148"/>
      <c r="DN171" s="148"/>
      <c r="DO171" s="148"/>
      <c r="DP171" s="148"/>
      <c r="DQ171" s="148"/>
      <c r="DR171" s="148"/>
      <c r="DS171" s="148"/>
      <c r="DT171" s="148"/>
      <c r="DU171" s="148"/>
      <c r="DV171" s="148"/>
      <c r="DW171" s="148"/>
      <c r="DX171" s="148"/>
      <c r="DY171" s="148"/>
      <c r="DZ171" s="148"/>
      <c r="EA171" s="148"/>
      <c r="EB171" s="148"/>
      <c r="EC171" s="148"/>
      <c r="ED171" s="148"/>
      <c r="EE171" s="148"/>
      <c r="EF171" s="148"/>
      <c r="EG171" s="148"/>
      <c r="EH171" s="148"/>
      <c r="EI171" s="148"/>
      <c r="EJ171" s="148"/>
      <c r="EK171" s="70"/>
      <c r="EL171" s="70"/>
      <c r="EM171" s="70"/>
      <c r="EN171" s="70"/>
      <c r="EO171" s="70"/>
      <c r="EP171" s="70"/>
      <c r="EQ171" s="70"/>
      <c r="ER171" s="70"/>
      <c r="ES171" s="70"/>
      <c r="ET171" s="70"/>
      <c r="EU171" s="70"/>
      <c r="EV171" s="70"/>
      <c r="EW171" s="70"/>
      <c r="EX171" s="70"/>
      <c r="EY171" s="70"/>
      <c r="EZ171" s="70"/>
      <c r="FA171" s="70"/>
      <c r="FB171" s="70"/>
      <c r="FC171" s="70"/>
      <c r="FD171" s="70"/>
      <c r="FE171" s="70"/>
      <c r="FF171" s="70"/>
      <c r="FG171" s="70"/>
      <c r="FH171" s="70"/>
      <c r="FI171" s="70"/>
      <c r="FJ171" s="70"/>
      <c r="FK171" s="70"/>
      <c r="FL171" s="70"/>
      <c r="FM171" s="70"/>
      <c r="FN171" s="70"/>
      <c r="FO171" s="70"/>
      <c r="FP171" s="70"/>
      <c r="FQ171" s="70"/>
      <c r="FR171" s="70"/>
      <c r="FS171" s="70"/>
      <c r="FT171" s="70"/>
      <c r="FU171" s="70"/>
      <c r="FV171" s="70"/>
      <c r="FW171" s="70"/>
      <c r="FX171" s="70"/>
      <c r="FY171" s="70"/>
      <c r="FZ171" s="70"/>
      <c r="GA171" s="70"/>
      <c r="GB171" s="70"/>
      <c r="GC171" s="70"/>
      <c r="GD171" s="70"/>
      <c r="GE171" s="70"/>
      <c r="GF171" s="70"/>
      <c r="GG171" s="70"/>
      <c r="GH171" s="70"/>
      <c r="GI171" s="70"/>
      <c r="GJ171" s="70"/>
      <c r="GK171" s="70"/>
      <c r="GL171" s="70"/>
      <c r="GM171" s="70"/>
      <c r="GN171" s="70"/>
      <c r="GO171" s="70"/>
      <c r="GP171" s="70"/>
      <c r="GQ171" s="70"/>
      <c r="GR171" s="70"/>
      <c r="GS171" s="70"/>
      <c r="GT171" s="70"/>
      <c r="GU171" s="70"/>
      <c r="GV171" s="70"/>
      <c r="GW171" s="70"/>
      <c r="GX171" s="70"/>
      <c r="GY171" s="70"/>
      <c r="GZ171" s="70"/>
      <c r="HA171" s="70"/>
      <c r="HB171" s="70"/>
      <c r="HC171" s="70"/>
      <c r="HD171" s="70"/>
      <c r="HE171" s="70"/>
      <c r="HF171" s="70"/>
      <c r="HG171" s="70"/>
      <c r="HH171" s="70"/>
      <c r="HI171" s="70"/>
      <c r="HJ171" s="70"/>
      <c r="HK171" s="70"/>
      <c r="HL171" s="70"/>
      <c r="HM171" s="70"/>
      <c r="HN171" s="70"/>
      <c r="HO171" s="70"/>
      <c r="HP171" s="70"/>
      <c r="HQ171" s="70"/>
      <c r="HR171" s="70"/>
      <c r="HS171" s="70"/>
      <c r="HT171" s="70"/>
      <c r="HU171" s="70"/>
      <c r="HV171" s="148"/>
      <c r="HW171" s="148"/>
      <c r="HX171" s="148"/>
      <c r="HY171" s="148"/>
      <c r="HZ171" s="148"/>
      <c r="IA171" s="148"/>
      <c r="IB171" s="148"/>
      <c r="IC171" s="148"/>
      <c r="ID171" s="148"/>
      <c r="IE171" s="148"/>
      <c r="IF171" s="148"/>
      <c r="IG171" s="148"/>
      <c r="IH171" s="148"/>
      <c r="II171" s="148"/>
      <c r="IJ171" s="148"/>
      <c r="IK171" s="148"/>
      <c r="IL171" s="148"/>
      <c r="IM171" s="148"/>
      <c r="IN171" s="148"/>
      <c r="IO171" s="148"/>
      <c r="IP171" s="148"/>
      <c r="IQ171" s="148"/>
      <c r="IR171" s="148"/>
      <c r="IS171" s="148"/>
      <c r="IT171" s="148"/>
      <c r="IU171" s="148"/>
      <c r="IV171" s="148"/>
      <c r="IW171" s="148"/>
    </row>
    <row r="172" customFormat="false" ht="13.5" hidden="false" customHeight="true" outlineLevel="0" collapsed="false">
      <c r="A172" s="52" t="s">
        <v>5960</v>
      </c>
      <c r="B172" s="150" t="n">
        <v>13</v>
      </c>
      <c r="C172" s="150" t="n">
        <v>17</v>
      </c>
      <c r="D172" s="150" t="n">
        <v>17</v>
      </c>
      <c r="E172" s="150" t="n">
        <v>17</v>
      </c>
      <c r="F172" s="150" t="n">
        <v>17</v>
      </c>
      <c r="G172" s="150" t="n">
        <v>28</v>
      </c>
      <c r="H172" s="150" t="n">
        <v>28</v>
      </c>
      <c r="I172" s="150" t="n">
        <v>28</v>
      </c>
      <c r="J172" s="150" t="n">
        <v>28</v>
      </c>
      <c r="K172" s="150" t="n">
        <v>28</v>
      </c>
      <c r="L172" s="150" t="n">
        <v>28</v>
      </c>
      <c r="M172" s="150" t="n">
        <v>17</v>
      </c>
      <c r="N172" s="150" t="n">
        <v>17</v>
      </c>
      <c r="O172" s="150" t="n">
        <v>17</v>
      </c>
      <c r="P172" s="150" t="n">
        <v>17</v>
      </c>
      <c r="Q172" s="150" t="n">
        <v>17</v>
      </c>
      <c r="R172" s="150" t="n">
        <v>17</v>
      </c>
      <c r="S172" s="150" t="n">
        <v>25</v>
      </c>
      <c r="T172" s="150" t="n">
        <v>25</v>
      </c>
      <c r="U172" s="150" t="n">
        <v>25</v>
      </c>
      <c r="V172" s="150" t="n">
        <v>25</v>
      </c>
      <c r="W172" s="150" t="n">
        <v>25</v>
      </c>
      <c r="X172" s="150" t="n">
        <v>25</v>
      </c>
      <c r="Y172" s="150" t="n">
        <v>22</v>
      </c>
      <c r="Z172" s="150" t="n">
        <v>13</v>
      </c>
      <c r="AA172" s="150" t="n">
        <v>13</v>
      </c>
      <c r="AB172" s="150" t="n">
        <v>13</v>
      </c>
      <c r="AC172" s="150" t="n">
        <v>13</v>
      </c>
      <c r="AD172" s="150" t="n">
        <v>22</v>
      </c>
      <c r="AE172" s="150" t="n">
        <v>12</v>
      </c>
      <c r="AF172" s="150" t="n">
        <v>12</v>
      </c>
      <c r="AG172" s="150" t="n">
        <v>12</v>
      </c>
      <c r="AH172" s="150" t="n">
        <v>22</v>
      </c>
      <c r="AI172" s="150" t="n">
        <v>22</v>
      </c>
      <c r="AJ172" s="150" t="n">
        <v>22</v>
      </c>
      <c r="AK172" s="150" t="n">
        <v>25</v>
      </c>
      <c r="AL172" s="150" t="n">
        <v>25</v>
      </c>
      <c r="AM172" s="150" t="n">
        <v>25</v>
      </c>
      <c r="AN172" s="150" t="n">
        <v>25</v>
      </c>
      <c r="AO172" s="150" t="n">
        <v>25</v>
      </c>
      <c r="AP172" s="150" t="n">
        <v>25</v>
      </c>
      <c r="AQ172" s="150" t="n">
        <v>25</v>
      </c>
      <c r="AR172" s="150" t="n">
        <v>28</v>
      </c>
      <c r="AS172" s="150" t="n">
        <v>28</v>
      </c>
      <c r="AT172" s="150" t="n">
        <v>28</v>
      </c>
      <c r="AU172" s="150" t="n">
        <v>28</v>
      </c>
      <c r="AV172" s="150" t="n">
        <v>28</v>
      </c>
      <c r="AW172" s="150" t="n">
        <v>16</v>
      </c>
      <c r="AX172" s="150" t="n">
        <v>16</v>
      </c>
      <c r="AY172" s="150" t="n">
        <v>16</v>
      </c>
      <c r="AZ172" s="150" t="n">
        <v>16</v>
      </c>
      <c r="BA172" s="150" t="n">
        <v>22</v>
      </c>
      <c r="BB172" s="150" t="n">
        <v>22</v>
      </c>
      <c r="BC172" s="150" t="n">
        <v>22</v>
      </c>
      <c r="BD172" s="150" t="n">
        <v>22</v>
      </c>
      <c r="BE172" s="150" t="n">
        <v>22</v>
      </c>
      <c r="BF172" s="150" t="n">
        <v>22</v>
      </c>
      <c r="BG172" s="150" t="n">
        <v>17</v>
      </c>
      <c r="BH172" s="150" t="n">
        <v>17</v>
      </c>
      <c r="BI172" s="150" t="n">
        <v>17</v>
      </c>
      <c r="BJ172" s="150" t="n">
        <v>28</v>
      </c>
      <c r="BK172" s="150" t="n">
        <v>28</v>
      </c>
      <c r="BL172" s="150" t="n">
        <v>28</v>
      </c>
      <c r="BM172" s="150" t="n">
        <v>28</v>
      </c>
      <c r="BN172" s="150" t="n">
        <v>28</v>
      </c>
      <c r="BO172" s="150" t="n">
        <v>28</v>
      </c>
      <c r="BP172" s="150" t="n">
        <v>28</v>
      </c>
      <c r="BQ172" s="150" t="n">
        <v>28</v>
      </c>
      <c r="BR172" s="150" t="n">
        <v>28</v>
      </c>
      <c r="BS172" s="150" t="n">
        <v>28</v>
      </c>
      <c r="BT172" s="150" t="n">
        <v>17</v>
      </c>
      <c r="BU172" s="150" t="n">
        <v>17</v>
      </c>
      <c r="BV172" s="150" t="n">
        <v>17</v>
      </c>
      <c r="BW172" s="150" t="n">
        <v>17</v>
      </c>
      <c r="BX172" s="150" t="n">
        <v>17</v>
      </c>
      <c r="BY172" s="150" t="n">
        <v>17</v>
      </c>
      <c r="BZ172" s="150" t="n">
        <v>17</v>
      </c>
      <c r="CA172" s="150" t="n">
        <v>25</v>
      </c>
      <c r="CB172" s="150" t="n">
        <v>25</v>
      </c>
      <c r="CC172" s="150" t="n">
        <v>25</v>
      </c>
      <c r="CD172" s="150" t="n">
        <v>25</v>
      </c>
      <c r="CE172" s="150" t="n">
        <v>25</v>
      </c>
      <c r="CF172" s="150" t="n">
        <v>25</v>
      </c>
      <c r="CG172" s="150" t="n">
        <v>25</v>
      </c>
      <c r="CH172" s="150" t="n">
        <v>22</v>
      </c>
      <c r="CI172" s="150" t="n">
        <v>12</v>
      </c>
      <c r="CJ172" s="150" t="n">
        <v>12</v>
      </c>
      <c r="CK172" s="150" t="n">
        <v>12</v>
      </c>
      <c r="CL172" s="150" t="n">
        <v>12</v>
      </c>
      <c r="CM172" s="150"/>
      <c r="CN172" s="150"/>
      <c r="CO172" s="150"/>
      <c r="CP172" s="150"/>
      <c r="CQ172" s="150"/>
      <c r="CR172" s="150"/>
      <c r="CS172" s="150"/>
      <c r="CT172" s="150"/>
      <c r="CU172" s="150"/>
      <c r="CV172" s="150"/>
      <c r="CW172" s="150"/>
      <c r="CX172" s="150"/>
      <c r="CY172" s="150"/>
      <c r="CZ172" s="150"/>
      <c r="DA172" s="150"/>
      <c r="DB172" s="150"/>
      <c r="DC172" s="150"/>
      <c r="DD172" s="150"/>
      <c r="DE172" s="150"/>
      <c r="DF172" s="150"/>
      <c r="DG172" s="150"/>
      <c r="DH172" s="150"/>
      <c r="DI172" s="150"/>
      <c r="DJ172" s="150"/>
      <c r="DK172" s="150"/>
      <c r="DL172" s="150"/>
      <c r="DM172" s="150"/>
      <c r="DN172" s="150"/>
      <c r="DO172" s="150"/>
      <c r="DP172" s="150"/>
      <c r="DQ172" s="150"/>
      <c r="DR172" s="150"/>
      <c r="DS172" s="150"/>
      <c r="DT172" s="150"/>
      <c r="DU172" s="150"/>
      <c r="DV172" s="150"/>
      <c r="DW172" s="150"/>
      <c r="DX172" s="150"/>
      <c r="DY172" s="150"/>
      <c r="DZ172" s="150"/>
      <c r="EA172" s="150"/>
      <c r="EB172" s="150"/>
      <c r="EC172" s="150"/>
      <c r="ED172" s="150"/>
      <c r="EE172" s="150"/>
      <c r="EF172" s="150"/>
      <c r="EG172" s="150"/>
      <c r="EH172" s="150"/>
      <c r="EI172" s="150"/>
      <c r="EJ172" s="150"/>
      <c r="EK172" s="70"/>
      <c r="EL172" s="70"/>
      <c r="EM172" s="70"/>
      <c r="EN172" s="70"/>
      <c r="EO172" s="70"/>
      <c r="EP172" s="70"/>
      <c r="EQ172" s="70"/>
      <c r="ER172" s="70"/>
      <c r="ES172" s="70"/>
      <c r="ET172" s="70"/>
      <c r="EU172" s="70"/>
      <c r="EV172" s="70"/>
      <c r="EW172" s="70"/>
      <c r="EX172" s="70"/>
      <c r="EY172" s="70"/>
      <c r="EZ172" s="70"/>
      <c r="FA172" s="70"/>
      <c r="FB172" s="70"/>
      <c r="FC172" s="70"/>
      <c r="FD172" s="70"/>
      <c r="FE172" s="70"/>
      <c r="FF172" s="70"/>
      <c r="FG172" s="70"/>
      <c r="FH172" s="70"/>
      <c r="FI172" s="70"/>
      <c r="FJ172" s="70"/>
      <c r="FK172" s="70"/>
      <c r="FL172" s="70"/>
      <c r="FM172" s="70"/>
      <c r="FN172" s="70"/>
      <c r="FO172" s="70"/>
      <c r="FP172" s="70"/>
      <c r="FQ172" s="70"/>
      <c r="FR172" s="70"/>
      <c r="FS172" s="70"/>
      <c r="FT172" s="70"/>
      <c r="FU172" s="70"/>
      <c r="FV172" s="70"/>
      <c r="FW172" s="70"/>
      <c r="FX172" s="70"/>
      <c r="FY172" s="70"/>
      <c r="FZ172" s="70"/>
      <c r="GA172" s="70"/>
      <c r="GB172" s="70"/>
      <c r="GC172" s="70"/>
      <c r="GD172" s="70"/>
      <c r="GE172" s="70"/>
      <c r="GF172" s="70"/>
      <c r="GG172" s="70"/>
      <c r="GH172" s="70"/>
      <c r="GI172" s="70"/>
      <c r="GJ172" s="70"/>
      <c r="GK172" s="70"/>
      <c r="GL172" s="70"/>
      <c r="GM172" s="70"/>
      <c r="GN172" s="70"/>
      <c r="GO172" s="70"/>
      <c r="GP172" s="70"/>
      <c r="GQ172" s="70"/>
      <c r="GR172" s="70"/>
      <c r="GS172" s="70"/>
      <c r="GT172" s="70"/>
      <c r="GU172" s="70"/>
      <c r="GV172" s="70"/>
      <c r="GW172" s="70"/>
      <c r="GX172" s="70"/>
      <c r="GY172" s="70"/>
      <c r="GZ172" s="70"/>
      <c r="HA172" s="70"/>
      <c r="HB172" s="70"/>
      <c r="HC172" s="70"/>
      <c r="HD172" s="70"/>
      <c r="HE172" s="70"/>
      <c r="HF172" s="70"/>
      <c r="HG172" s="70"/>
      <c r="HH172" s="70"/>
      <c r="HI172" s="70"/>
      <c r="HJ172" s="70"/>
      <c r="HK172" s="70"/>
      <c r="HL172" s="70"/>
      <c r="HM172" s="70"/>
      <c r="HN172" s="70"/>
      <c r="HO172" s="70"/>
      <c r="HP172" s="70"/>
      <c r="HQ172" s="70"/>
      <c r="HR172" s="70"/>
      <c r="HS172" s="70"/>
      <c r="HT172" s="70"/>
      <c r="HU172" s="70"/>
      <c r="HV172" s="70"/>
      <c r="HW172" s="70"/>
      <c r="HX172" s="70"/>
      <c r="HY172" s="70"/>
      <c r="HZ172" s="70"/>
      <c r="IA172" s="70"/>
      <c r="IB172" s="70"/>
      <c r="IC172" s="70"/>
      <c r="ID172" s="70"/>
      <c r="IE172" s="70"/>
      <c r="IF172" s="70"/>
      <c r="IG172" s="70"/>
      <c r="IH172" s="70"/>
      <c r="II172" s="70"/>
      <c r="IJ172" s="70"/>
      <c r="IK172" s="70"/>
      <c r="IL172" s="70"/>
      <c r="IM172" s="70"/>
      <c r="IN172" s="70"/>
      <c r="IO172" s="70"/>
      <c r="IP172" s="70"/>
      <c r="IQ172" s="70"/>
      <c r="IR172" s="70"/>
      <c r="IS172" s="70"/>
      <c r="IT172" s="70"/>
      <c r="IU172" s="70"/>
      <c r="IV172" s="70"/>
      <c r="IW172" s="70"/>
    </row>
    <row r="173" customFormat="false" ht="17.1" hidden="false" customHeight="true" outlineLevel="0" collapsed="false">
      <c r="A173" s="179"/>
      <c r="B173" s="152"/>
      <c r="C173" s="152"/>
      <c r="D173" s="152"/>
      <c r="E173" s="152"/>
      <c r="F173" s="166"/>
      <c r="G173" s="152"/>
      <c r="H173" s="166"/>
      <c r="I173" s="166" t="s">
        <v>6357</v>
      </c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65" t="s">
        <v>6358</v>
      </c>
      <c r="Z173" s="152"/>
      <c r="AA173" s="152"/>
      <c r="AB173" s="152"/>
      <c r="AC173" s="152"/>
      <c r="AD173" s="152"/>
      <c r="AE173" s="152"/>
      <c r="AF173" s="152"/>
      <c r="AG173" s="152"/>
      <c r="AH173" s="152"/>
      <c r="AI173" s="152"/>
      <c r="AJ173" s="152"/>
      <c r="AK173" s="152"/>
      <c r="AL173" s="152"/>
      <c r="AM173" s="152"/>
      <c r="AN173" s="70"/>
      <c r="AO173" s="70"/>
      <c r="AP173" s="70"/>
      <c r="AQ173" s="70"/>
      <c r="AR173" s="70"/>
      <c r="AS173" s="70"/>
      <c r="AT173" s="70"/>
      <c r="AU173" s="70"/>
      <c r="AV173" s="70"/>
      <c r="AW173" s="70"/>
      <c r="AX173" s="70"/>
      <c r="AY173" s="70"/>
      <c r="AZ173" s="70"/>
      <c r="BA173" s="70"/>
      <c r="BB173" s="70"/>
      <c r="BC173" s="70"/>
      <c r="BD173" s="70"/>
      <c r="BE173" s="70"/>
      <c r="BF173" s="70"/>
      <c r="BG173" s="70"/>
      <c r="BH173" s="70"/>
      <c r="BI173" s="70"/>
      <c r="BJ173" s="70"/>
      <c r="BK173" s="70"/>
      <c r="BL173" s="70"/>
      <c r="BM173" s="70"/>
      <c r="BN173" s="70"/>
      <c r="BO173" s="70"/>
      <c r="BP173" s="70"/>
      <c r="BQ173" s="70"/>
      <c r="BR173" s="70"/>
      <c r="BS173" s="70"/>
      <c r="BT173" s="70"/>
      <c r="BU173" s="70"/>
      <c r="BV173" s="70"/>
      <c r="BW173" s="70"/>
      <c r="BX173" s="70"/>
      <c r="BY173" s="70"/>
      <c r="BZ173" s="70"/>
      <c r="CA173" s="70"/>
      <c r="CB173" s="70"/>
      <c r="CC173" s="70"/>
      <c r="CD173" s="70"/>
      <c r="CE173" s="70"/>
      <c r="CF173" s="70"/>
      <c r="CG173" s="70"/>
      <c r="CH173" s="70"/>
      <c r="CI173" s="70"/>
      <c r="CJ173" s="70"/>
      <c r="CK173" s="70"/>
      <c r="CL173" s="70"/>
      <c r="CM173" s="70"/>
      <c r="CN173" s="70"/>
      <c r="CO173" s="70"/>
      <c r="CP173" s="70"/>
      <c r="CQ173" s="70"/>
      <c r="CR173" s="70"/>
      <c r="CS173" s="70"/>
      <c r="CT173" s="70"/>
      <c r="CU173" s="70"/>
      <c r="CV173" s="70"/>
      <c r="CW173" s="70"/>
      <c r="CX173" s="70"/>
      <c r="CY173" s="70"/>
      <c r="CZ173" s="70"/>
      <c r="DA173" s="70"/>
      <c r="DB173" s="70"/>
      <c r="DC173" s="70"/>
      <c r="DD173" s="70"/>
      <c r="DE173" s="70"/>
      <c r="DF173" s="70"/>
      <c r="DG173" s="70"/>
      <c r="DH173" s="70"/>
      <c r="DI173" s="70"/>
      <c r="DJ173" s="70"/>
      <c r="DK173" s="70"/>
      <c r="DL173" s="70"/>
      <c r="DM173" s="70"/>
      <c r="DN173" s="70"/>
      <c r="DO173" s="70"/>
      <c r="DP173" s="70"/>
      <c r="DQ173" s="70"/>
      <c r="DR173" s="70"/>
      <c r="DS173" s="70"/>
      <c r="DT173" s="70"/>
      <c r="DU173" s="70"/>
      <c r="DV173" s="70"/>
      <c r="DW173" s="70"/>
      <c r="DX173" s="70"/>
      <c r="DY173" s="70"/>
      <c r="DZ173" s="70"/>
      <c r="EA173" s="70"/>
      <c r="EB173" s="70"/>
      <c r="EC173" s="70"/>
      <c r="ED173" s="70"/>
      <c r="EE173" s="70"/>
      <c r="EF173" s="70"/>
      <c r="EG173" s="70"/>
      <c r="EH173" s="70"/>
      <c r="EI173" s="70"/>
      <c r="EJ173" s="70"/>
      <c r="EK173" s="70"/>
      <c r="EL173" s="70"/>
      <c r="EM173" s="70"/>
      <c r="EN173" s="70"/>
      <c r="EO173" s="70"/>
      <c r="EP173" s="70"/>
      <c r="EQ173" s="70"/>
      <c r="ER173" s="70"/>
      <c r="ES173" s="70"/>
      <c r="ET173" s="70"/>
      <c r="EU173" s="70"/>
      <c r="EV173" s="70"/>
      <c r="EW173" s="70"/>
      <c r="EX173" s="70"/>
      <c r="EY173" s="70"/>
      <c r="EZ173" s="70"/>
      <c r="FA173" s="70"/>
      <c r="FB173" s="70"/>
      <c r="FC173" s="70"/>
      <c r="FD173" s="70"/>
      <c r="FE173" s="70"/>
      <c r="FF173" s="70"/>
      <c r="FG173" s="70"/>
      <c r="FH173" s="70"/>
      <c r="FI173" s="70"/>
      <c r="FJ173" s="70"/>
      <c r="FK173" s="70"/>
      <c r="FL173" s="70"/>
      <c r="FM173" s="70"/>
      <c r="FN173" s="70"/>
      <c r="FO173" s="70"/>
      <c r="FP173" s="70"/>
      <c r="FQ173" s="70"/>
      <c r="FR173" s="70"/>
      <c r="FS173" s="70"/>
      <c r="FT173" s="70"/>
      <c r="FU173" s="70"/>
      <c r="FV173" s="70"/>
      <c r="FW173" s="70"/>
      <c r="FX173" s="70"/>
      <c r="FY173" s="70"/>
      <c r="FZ173" s="70"/>
      <c r="GA173" s="70"/>
      <c r="GB173" s="70"/>
      <c r="GC173" s="70"/>
      <c r="GD173" s="70"/>
      <c r="GE173" s="70"/>
      <c r="GF173" s="70"/>
      <c r="GG173" s="70"/>
      <c r="GH173" s="70"/>
      <c r="GI173" s="70"/>
      <c r="GJ173" s="70"/>
      <c r="GK173" s="70"/>
      <c r="GL173" s="70"/>
      <c r="GM173" s="70"/>
      <c r="GN173" s="70"/>
      <c r="GO173" s="70"/>
      <c r="GP173" s="70"/>
      <c r="GQ173" s="70"/>
      <c r="GR173" s="70"/>
      <c r="GS173" s="70"/>
      <c r="GT173" s="70"/>
      <c r="GU173" s="70"/>
      <c r="GV173" s="70"/>
      <c r="GW173" s="70"/>
      <c r="GX173" s="70"/>
      <c r="GY173" s="70"/>
      <c r="GZ173" s="70"/>
      <c r="HA173" s="70"/>
      <c r="HB173" s="70"/>
      <c r="HC173" s="70"/>
      <c r="HD173" s="70"/>
      <c r="HE173" s="70"/>
      <c r="HF173" s="70"/>
      <c r="HG173" s="70"/>
      <c r="HH173" s="70"/>
      <c r="HI173" s="70"/>
      <c r="HJ173" s="70"/>
      <c r="HK173" s="70"/>
      <c r="HL173" s="70"/>
      <c r="HM173" s="70"/>
      <c r="HN173" s="70"/>
      <c r="HO173" s="70"/>
      <c r="HP173" s="70"/>
      <c r="HQ173" s="70"/>
      <c r="HR173" s="70"/>
      <c r="HS173" s="70"/>
      <c r="HT173" s="70"/>
      <c r="HU173" s="70"/>
      <c r="HV173" s="70"/>
      <c r="HW173" s="70"/>
      <c r="HX173" s="70"/>
      <c r="HY173" s="70"/>
      <c r="HZ173" s="70"/>
      <c r="IA173" s="70"/>
      <c r="IB173" s="70"/>
      <c r="IC173" s="70"/>
      <c r="ID173" s="70"/>
      <c r="IE173" s="70"/>
      <c r="IF173" s="70"/>
      <c r="IG173" s="70"/>
      <c r="IH173" s="70"/>
      <c r="II173" s="70"/>
      <c r="IJ173" s="70"/>
      <c r="IK173" s="70"/>
      <c r="IL173" s="70"/>
      <c r="IM173" s="70"/>
      <c r="IN173" s="70"/>
      <c r="IO173" s="70"/>
      <c r="IP173" s="70"/>
      <c r="IQ173" s="70"/>
      <c r="IR173" s="70"/>
      <c r="IS173" s="70"/>
      <c r="IT173" s="70"/>
      <c r="IU173" s="70"/>
      <c r="IV173" s="70"/>
      <c r="IW173" s="70"/>
    </row>
    <row r="174" customFormat="false" ht="13.5" hidden="false" customHeight="true" outlineLevel="0" collapsed="false">
      <c r="A174" s="29" t="s">
        <v>6359</v>
      </c>
      <c r="B174" s="30" t="s">
        <v>5947</v>
      </c>
      <c r="C174" s="30" t="s">
        <v>5947</v>
      </c>
      <c r="D174" s="30"/>
      <c r="E174" s="30" t="s">
        <v>5947</v>
      </c>
      <c r="F174" s="30"/>
      <c r="G174" s="30"/>
      <c r="H174" s="30"/>
      <c r="I174" s="30" t="s">
        <v>5947</v>
      </c>
      <c r="J174" s="65"/>
      <c r="K174" s="65" t="s">
        <v>5947</v>
      </c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 t="s">
        <v>5947</v>
      </c>
      <c r="Z174" s="30" t="s">
        <v>5947</v>
      </c>
      <c r="AA174" s="30"/>
      <c r="AB174" s="30"/>
      <c r="AC174" s="30"/>
      <c r="AD174" s="30"/>
      <c r="AE174" s="30" t="s">
        <v>5948</v>
      </c>
      <c r="AF174" s="30"/>
      <c r="AG174" s="30"/>
      <c r="AH174" s="30" t="s">
        <v>5948</v>
      </c>
      <c r="AI174" s="30"/>
      <c r="AJ174" s="30"/>
      <c r="AK174" s="30"/>
      <c r="AL174" s="30" t="s">
        <v>5948</v>
      </c>
      <c r="AM174" s="30"/>
      <c r="AN174" s="30"/>
      <c r="AO174" s="30"/>
      <c r="AP174" s="30"/>
      <c r="AQ174" s="30"/>
      <c r="AR174" s="30"/>
      <c r="AS174" s="30"/>
      <c r="AT174" s="30"/>
      <c r="AU174" s="30"/>
      <c r="AV174" s="30" t="s">
        <v>5948</v>
      </c>
      <c r="AW174" s="30"/>
      <c r="AX174" s="30"/>
      <c r="AY174" s="30"/>
      <c r="AZ174" s="30"/>
      <c r="BA174" s="30" t="s">
        <v>5948</v>
      </c>
      <c r="BB174" s="30"/>
      <c r="BC174" s="30"/>
      <c r="BD174" s="30"/>
      <c r="BE174" s="30"/>
      <c r="BF174" s="30"/>
      <c r="BG174" s="30" t="s">
        <v>5949</v>
      </c>
      <c r="BH174" s="30"/>
      <c r="BI174" s="30" t="s">
        <v>5949</v>
      </c>
      <c r="BJ174" s="30"/>
      <c r="BK174" s="30"/>
      <c r="BL174" s="30"/>
      <c r="BM174" s="30"/>
      <c r="BN174" s="30"/>
      <c r="BO174" s="30"/>
      <c r="BP174" s="30"/>
      <c r="BQ174" s="30"/>
      <c r="BR174" s="30"/>
      <c r="BS174" s="30"/>
      <c r="BT174" s="30" t="s">
        <v>5949</v>
      </c>
      <c r="BU174" s="30"/>
      <c r="BV174" s="30" t="s">
        <v>5949</v>
      </c>
      <c r="BW174" s="30"/>
      <c r="BX174" s="30"/>
      <c r="BY174" s="30"/>
      <c r="BZ174" s="30"/>
      <c r="CA174" s="30"/>
      <c r="CB174" s="30"/>
      <c r="CC174" s="30"/>
      <c r="CD174" s="30"/>
      <c r="CE174" s="30" t="s">
        <v>5949</v>
      </c>
      <c r="CF174" s="30"/>
      <c r="CG174" s="30"/>
      <c r="CH174" s="30" t="s">
        <v>5949</v>
      </c>
      <c r="CI174" s="30"/>
      <c r="CJ174" s="30"/>
      <c r="CK174" s="30" t="s">
        <v>5949</v>
      </c>
      <c r="CL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C174" s="30"/>
      <c r="DD174" s="30"/>
      <c r="DE174" s="30"/>
      <c r="DF174" s="30"/>
      <c r="DG174" s="30"/>
      <c r="DH174" s="30"/>
      <c r="DI174" s="30"/>
      <c r="DJ174" s="30"/>
      <c r="DK174" s="30"/>
      <c r="DL174" s="30"/>
      <c r="DM174" s="30"/>
      <c r="DN174" s="30"/>
      <c r="DO174" s="30"/>
      <c r="DP174" s="30"/>
      <c r="DQ174" s="30"/>
      <c r="DR174" s="30"/>
      <c r="DS174" s="30"/>
      <c r="DT174" s="30"/>
      <c r="DU174" s="30"/>
      <c r="DV174" s="30"/>
      <c r="DW174" s="30"/>
      <c r="DX174" s="30"/>
      <c r="DY174" s="30"/>
      <c r="DZ174" s="30"/>
      <c r="EA174" s="30"/>
      <c r="EB174" s="30"/>
      <c r="EC174" s="30"/>
      <c r="ED174" s="30"/>
      <c r="EE174" s="30"/>
      <c r="EF174" s="30"/>
      <c r="EG174" s="30"/>
      <c r="EH174" s="30"/>
      <c r="EI174" s="30"/>
      <c r="EJ174" s="30"/>
      <c r="EK174" s="30"/>
      <c r="EL174" s="30"/>
      <c r="EM174" s="30"/>
      <c r="EN174" s="30"/>
      <c r="EO174" s="30"/>
      <c r="EP174" s="30"/>
      <c r="EQ174" s="30"/>
      <c r="ER174" s="30"/>
      <c r="ES174" s="30"/>
      <c r="ET174" s="30"/>
      <c r="EU174" s="30"/>
      <c r="EV174" s="30"/>
      <c r="EW174" s="30"/>
      <c r="EX174" s="30"/>
      <c r="EY174" s="30"/>
      <c r="EZ174" s="30"/>
      <c r="FA174" s="30"/>
      <c r="FB174" s="30"/>
      <c r="FC174" s="30"/>
      <c r="FD174" s="30"/>
      <c r="FE174" s="30"/>
      <c r="FF174" s="30"/>
      <c r="FG174" s="30"/>
      <c r="FH174" s="30"/>
      <c r="FI174" s="30"/>
      <c r="FJ174" s="30"/>
      <c r="FK174" s="30"/>
      <c r="FL174" s="30"/>
      <c r="FM174" s="30"/>
      <c r="FN174" s="30"/>
      <c r="FO174" s="30"/>
      <c r="FP174" s="30"/>
      <c r="FQ174" s="30"/>
      <c r="FR174" s="30"/>
      <c r="FS174" s="30"/>
      <c r="FT174" s="30"/>
      <c r="FU174" s="30"/>
      <c r="FV174" s="30"/>
      <c r="FW174" s="30"/>
      <c r="FX174" s="30"/>
      <c r="FY174" s="30"/>
      <c r="FZ174" s="30"/>
      <c r="GA174" s="30"/>
      <c r="GB174" s="30"/>
      <c r="GC174" s="30"/>
      <c r="GD174" s="30"/>
      <c r="GE174" s="30"/>
      <c r="GF174" s="30"/>
      <c r="GG174" s="30"/>
      <c r="GH174" s="30"/>
      <c r="GI174" s="30"/>
      <c r="GJ174" s="30"/>
      <c r="GK174" s="30"/>
      <c r="GL174" s="30"/>
      <c r="GM174" s="30"/>
      <c r="GN174" s="30"/>
      <c r="GO174" s="30"/>
      <c r="GP174" s="30"/>
      <c r="GQ174" s="30"/>
      <c r="GR174" s="30"/>
      <c r="GS174" s="30"/>
      <c r="GT174" s="30"/>
      <c r="GU174" s="30"/>
      <c r="GV174" s="30"/>
      <c r="GW174" s="30"/>
      <c r="GX174" s="30"/>
      <c r="GY174" s="30"/>
      <c r="GZ174" s="30"/>
      <c r="HA174" s="30"/>
      <c r="HB174" s="30"/>
      <c r="HC174" s="30"/>
      <c r="HD174" s="30"/>
      <c r="HE174" s="30"/>
      <c r="HF174" s="30"/>
      <c r="HG174" s="30"/>
      <c r="HH174" s="30"/>
      <c r="HI174" s="30"/>
      <c r="HJ174" s="30"/>
      <c r="HK174" s="30"/>
      <c r="HL174" s="30"/>
      <c r="HM174" s="30"/>
      <c r="HN174" s="30"/>
      <c r="HO174" s="30"/>
      <c r="HP174" s="30"/>
      <c r="HQ174" s="30"/>
      <c r="HR174" s="30"/>
      <c r="HS174" s="30"/>
      <c r="HT174" s="30"/>
      <c r="HU174" s="30"/>
      <c r="HV174" s="30"/>
      <c r="HW174" s="30"/>
      <c r="HX174" s="30"/>
      <c r="HY174" s="30"/>
      <c r="HZ174" s="30"/>
      <c r="IA174" s="30"/>
      <c r="IB174" s="30"/>
      <c r="IC174" s="30"/>
      <c r="ID174" s="30"/>
      <c r="IE174" s="30"/>
      <c r="IF174" s="30"/>
      <c r="IG174" s="30"/>
      <c r="IH174" s="30"/>
      <c r="II174" s="30"/>
      <c r="IJ174" s="30"/>
      <c r="IK174" s="30"/>
      <c r="IL174" s="30"/>
      <c r="IM174" s="30"/>
      <c r="IN174" s="30"/>
      <c r="IO174" s="30"/>
      <c r="IP174" s="30"/>
      <c r="IQ174" s="30"/>
      <c r="IR174" s="30"/>
      <c r="IS174" s="30"/>
      <c r="IT174" s="30"/>
      <c r="IU174" s="30"/>
      <c r="IV174" s="30"/>
      <c r="IW174" s="30"/>
    </row>
    <row r="175" customFormat="false" ht="13.5" hidden="false" customHeight="true" outlineLevel="0" collapsed="false">
      <c r="A175" s="180"/>
      <c r="B175" s="132" t="s">
        <v>4809</v>
      </c>
      <c r="C175" s="141" t="s">
        <v>6328</v>
      </c>
      <c r="D175" s="141"/>
      <c r="E175" s="141" t="s">
        <v>4845</v>
      </c>
      <c r="F175" s="133"/>
      <c r="G175" s="70"/>
      <c r="H175" s="133"/>
      <c r="I175" s="133" t="s">
        <v>4868</v>
      </c>
      <c r="J175" s="133"/>
      <c r="K175" s="133" t="s">
        <v>4889</v>
      </c>
      <c r="L175" s="70"/>
      <c r="M175" s="70"/>
      <c r="N175" s="70"/>
      <c r="O175" s="70"/>
      <c r="P175" s="133"/>
      <c r="Q175" s="141"/>
      <c r="R175" s="133"/>
      <c r="S175" s="70"/>
      <c r="T175" s="133"/>
      <c r="U175" s="70"/>
      <c r="V175" s="70"/>
      <c r="W175" s="141"/>
      <c r="X175" s="34"/>
      <c r="Y175" s="141" t="s">
        <v>5023</v>
      </c>
      <c r="Z175" s="133" t="s">
        <v>5038</v>
      </c>
      <c r="AA175" s="141"/>
      <c r="AB175" s="70"/>
      <c r="AC175" s="141"/>
      <c r="AE175" s="133" t="s">
        <v>5038</v>
      </c>
      <c r="AF175" s="141"/>
      <c r="AH175" s="133" t="s">
        <v>5126</v>
      </c>
      <c r="AI175" s="70"/>
      <c r="AJ175" s="70"/>
      <c r="AK175" s="141"/>
      <c r="AL175" s="133" t="s">
        <v>4889</v>
      </c>
      <c r="AM175" s="70"/>
      <c r="AN175" s="70"/>
      <c r="AO175" s="70"/>
      <c r="AP175" s="70"/>
      <c r="AQ175" s="70"/>
      <c r="AR175" s="70"/>
      <c r="AS175" s="141"/>
      <c r="AT175" s="133"/>
      <c r="AU175" s="70"/>
      <c r="AV175" s="133" t="s">
        <v>452</v>
      </c>
      <c r="AW175" s="70"/>
      <c r="AX175" s="70"/>
      <c r="AY175" s="133"/>
      <c r="AZ175" s="70"/>
      <c r="BA175" s="34" t="s">
        <v>495</v>
      </c>
      <c r="BB175" s="70"/>
      <c r="BC175" s="141"/>
      <c r="BD175" s="70"/>
      <c r="BE175" s="70"/>
      <c r="BF175" s="70"/>
      <c r="BG175" s="34" t="s">
        <v>495</v>
      </c>
      <c r="BH175" s="34"/>
      <c r="BI175" s="141" t="s">
        <v>6328</v>
      </c>
      <c r="BJ175" s="70"/>
      <c r="BK175" s="70"/>
      <c r="BL175" s="70"/>
      <c r="BM175" s="70"/>
      <c r="BN175" s="141"/>
      <c r="BO175" s="70"/>
      <c r="BP175" s="70"/>
      <c r="BQ175" s="70"/>
      <c r="BR175" s="70"/>
      <c r="BS175" s="70"/>
      <c r="BT175" s="132" t="s">
        <v>4809</v>
      </c>
      <c r="BU175" s="70"/>
      <c r="BV175" s="133" t="s">
        <v>4889</v>
      </c>
      <c r="BW175" s="141"/>
      <c r="BX175" s="70"/>
      <c r="BY175" s="70"/>
      <c r="BZ175" s="70"/>
      <c r="CA175" s="70"/>
      <c r="CB175" s="70"/>
      <c r="CC175" s="70"/>
      <c r="CD175" s="141"/>
      <c r="CE175" s="133" t="s">
        <v>452</v>
      </c>
      <c r="CF175" s="70"/>
      <c r="CG175" s="70"/>
      <c r="CH175" s="133" t="s">
        <v>5038</v>
      </c>
      <c r="CI175" s="70"/>
      <c r="CJ175" s="70"/>
      <c r="CK175" s="141" t="s">
        <v>5023</v>
      </c>
      <c r="CL175" s="70"/>
      <c r="CM175" s="141"/>
      <c r="CN175" s="70"/>
      <c r="CO175" s="141"/>
      <c r="CP175" s="70"/>
      <c r="CQ175" s="70"/>
      <c r="CR175" s="70"/>
      <c r="CS175" s="141"/>
      <c r="CT175" s="70"/>
      <c r="CU175" s="70"/>
      <c r="CV175" s="70"/>
      <c r="CW175" s="70"/>
      <c r="CX175" s="70"/>
      <c r="CY175" s="70"/>
      <c r="CZ175" s="70"/>
      <c r="DA175" s="70"/>
      <c r="DB175" s="70"/>
      <c r="DC175" s="70"/>
      <c r="DD175" s="70"/>
      <c r="DE175" s="70"/>
      <c r="DF175" s="70"/>
      <c r="DG175" s="70"/>
      <c r="DH175" s="70"/>
      <c r="DI175" s="70"/>
      <c r="DJ175" s="70"/>
      <c r="DK175" s="70"/>
      <c r="DL175" s="70"/>
      <c r="DM175" s="70"/>
      <c r="DN175" s="70"/>
      <c r="DO175" s="70"/>
      <c r="DP175" s="70"/>
      <c r="DQ175" s="70"/>
      <c r="DR175" s="70"/>
      <c r="DS175" s="70"/>
      <c r="DT175" s="70"/>
      <c r="DU175" s="70"/>
      <c r="DV175" s="70"/>
      <c r="DW175" s="70"/>
      <c r="DX175" s="70"/>
      <c r="DY175" s="70"/>
      <c r="DZ175" s="70"/>
      <c r="EA175" s="70"/>
      <c r="EB175" s="70"/>
      <c r="EC175" s="70"/>
      <c r="ED175" s="70"/>
      <c r="EE175" s="70"/>
      <c r="EF175" s="70"/>
      <c r="EG175" s="70"/>
      <c r="EH175" s="70"/>
      <c r="EI175" s="70"/>
      <c r="EJ175" s="70"/>
      <c r="EK175" s="70"/>
      <c r="EL175" s="70"/>
      <c r="EM175" s="70"/>
      <c r="EN175" s="70"/>
      <c r="EO175" s="70"/>
      <c r="EP175" s="70"/>
      <c r="EQ175" s="70"/>
      <c r="ER175" s="70"/>
      <c r="ES175" s="70"/>
      <c r="ET175" s="70"/>
      <c r="EU175" s="70"/>
      <c r="EV175" s="70"/>
      <c r="EW175" s="70"/>
      <c r="EX175" s="70"/>
      <c r="EY175" s="70"/>
      <c r="EZ175" s="70"/>
      <c r="FA175" s="70"/>
      <c r="FB175" s="70"/>
      <c r="FC175" s="70"/>
      <c r="FD175" s="70"/>
      <c r="FE175" s="70"/>
      <c r="FF175" s="70"/>
      <c r="FG175" s="70"/>
      <c r="FH175" s="70"/>
      <c r="FI175" s="70"/>
      <c r="FJ175" s="70"/>
      <c r="FK175" s="70"/>
      <c r="FL175" s="70"/>
      <c r="FM175" s="70"/>
      <c r="FN175" s="70"/>
      <c r="FO175" s="70"/>
      <c r="FP175" s="70"/>
      <c r="FQ175" s="70"/>
      <c r="FR175" s="70"/>
      <c r="FS175" s="70"/>
      <c r="FT175" s="70"/>
      <c r="FU175" s="70"/>
      <c r="FV175" s="70"/>
      <c r="FW175" s="70"/>
      <c r="FX175" s="70"/>
      <c r="FY175" s="70"/>
      <c r="FZ175" s="70"/>
      <c r="GA175" s="70"/>
      <c r="GB175" s="70"/>
      <c r="GC175" s="70"/>
      <c r="GD175" s="70"/>
      <c r="GE175" s="70"/>
      <c r="GF175" s="70"/>
      <c r="GG175" s="70"/>
      <c r="GH175" s="70"/>
      <c r="GI175" s="70"/>
      <c r="GJ175" s="70"/>
      <c r="GK175" s="70"/>
      <c r="GL175" s="70"/>
      <c r="GM175" s="70"/>
      <c r="GN175" s="70"/>
      <c r="GO175" s="70"/>
      <c r="GP175" s="70"/>
      <c r="GQ175" s="70"/>
      <c r="GR175" s="70"/>
      <c r="GS175" s="70"/>
      <c r="GT175" s="70"/>
      <c r="GU175" s="70"/>
      <c r="GV175" s="70"/>
      <c r="GW175" s="70"/>
      <c r="GX175" s="70"/>
      <c r="GY175" s="70"/>
      <c r="GZ175" s="70"/>
      <c r="HA175" s="70"/>
      <c r="HB175" s="70"/>
      <c r="HC175" s="70"/>
      <c r="HD175" s="70"/>
      <c r="HE175" s="70"/>
      <c r="HF175" s="70"/>
      <c r="HG175" s="70"/>
      <c r="HH175" s="70"/>
      <c r="HI175" s="70"/>
      <c r="HJ175" s="70"/>
      <c r="HK175" s="70"/>
      <c r="HL175" s="70"/>
      <c r="HM175" s="70"/>
      <c r="HN175" s="70"/>
      <c r="HO175" s="70"/>
      <c r="HP175" s="70"/>
      <c r="HQ175" s="70"/>
      <c r="HR175" s="70"/>
      <c r="HS175" s="70"/>
      <c r="HT175" s="70"/>
      <c r="HU175" s="70"/>
      <c r="HV175" s="70"/>
      <c r="HW175" s="70"/>
      <c r="HX175" s="70"/>
      <c r="HY175" s="70"/>
      <c r="HZ175" s="70"/>
      <c r="IA175" s="70"/>
      <c r="IB175" s="70"/>
      <c r="IC175" s="70"/>
      <c r="ID175" s="70"/>
      <c r="IE175" s="70"/>
      <c r="IF175" s="70"/>
      <c r="IG175" s="70"/>
      <c r="IH175" s="70"/>
      <c r="II175" s="70"/>
      <c r="IJ175" s="70"/>
      <c r="IK175" s="70"/>
      <c r="IL175" s="70"/>
      <c r="IM175" s="70"/>
      <c r="IN175" s="70"/>
      <c r="IO175" s="70"/>
      <c r="IP175" s="70"/>
      <c r="IQ175" s="70"/>
      <c r="IR175" s="70"/>
      <c r="IS175" s="70"/>
      <c r="IT175" s="70"/>
      <c r="IU175" s="70"/>
      <c r="IV175" s="70"/>
      <c r="IW175" s="70"/>
    </row>
    <row r="176" customFormat="false" ht="13.5" hidden="false" customHeight="true" outlineLevel="0" collapsed="false">
      <c r="A176" s="134"/>
      <c r="B176" s="135" t="s">
        <v>6277</v>
      </c>
      <c r="C176" s="141" t="s">
        <v>6360</v>
      </c>
      <c r="D176" s="141"/>
      <c r="E176" s="141" t="s">
        <v>6361</v>
      </c>
      <c r="F176" s="34"/>
      <c r="G176" s="70"/>
      <c r="H176" s="34"/>
      <c r="I176" s="34" t="s">
        <v>6362</v>
      </c>
      <c r="J176" s="141"/>
      <c r="K176" s="141" t="s">
        <v>6363</v>
      </c>
      <c r="L176" s="70"/>
      <c r="M176" s="70"/>
      <c r="N176" s="70"/>
      <c r="O176" s="70"/>
      <c r="P176" s="141"/>
      <c r="Q176" s="34"/>
      <c r="R176" s="34"/>
      <c r="S176" s="70"/>
      <c r="T176" s="141"/>
      <c r="U176" s="70"/>
      <c r="V176" s="70"/>
      <c r="W176" s="141"/>
      <c r="X176" s="141"/>
      <c r="Y176" s="141" t="s">
        <v>6364</v>
      </c>
      <c r="Z176" s="141" t="s">
        <v>6365</v>
      </c>
      <c r="AA176" s="141"/>
      <c r="AB176" s="70"/>
      <c r="AC176" s="141"/>
      <c r="AE176" s="141" t="s">
        <v>6366</v>
      </c>
      <c r="AF176" s="141"/>
      <c r="AH176" s="34" t="s">
        <v>6367</v>
      </c>
      <c r="AI176" s="70"/>
      <c r="AJ176" s="70"/>
      <c r="AK176" s="141"/>
      <c r="AL176" s="141" t="s">
        <v>6368</v>
      </c>
      <c r="AM176" s="70"/>
      <c r="AN176" s="70"/>
      <c r="AO176" s="70"/>
      <c r="AP176" s="70"/>
      <c r="AQ176" s="70"/>
      <c r="AR176" s="70"/>
      <c r="AS176" s="141"/>
      <c r="AT176" s="141"/>
      <c r="AU176" s="70"/>
      <c r="AV176" s="141" t="s">
        <v>6369</v>
      </c>
      <c r="AW176" s="70"/>
      <c r="AX176" s="70"/>
      <c r="AY176" s="34"/>
      <c r="AZ176" s="70"/>
      <c r="BA176" s="141" t="s">
        <v>6299</v>
      </c>
      <c r="BB176" s="70"/>
      <c r="BC176" s="34"/>
      <c r="BD176" s="70"/>
      <c r="BE176" s="70"/>
      <c r="BF176" s="70"/>
      <c r="BG176" s="141" t="s">
        <v>6370</v>
      </c>
      <c r="BH176" s="141"/>
      <c r="BI176" s="141" t="s">
        <v>6371</v>
      </c>
      <c r="BJ176" s="70"/>
      <c r="BK176" s="70"/>
      <c r="BL176" s="70"/>
      <c r="BM176" s="70"/>
      <c r="BN176" s="141"/>
      <c r="BO176" s="70"/>
      <c r="BP176" s="70"/>
      <c r="BQ176" s="70"/>
      <c r="BR176" s="70"/>
      <c r="BS176" s="70"/>
      <c r="BT176" s="135" t="s">
        <v>6372</v>
      </c>
      <c r="BU176" s="70"/>
      <c r="BV176" s="141" t="s">
        <v>6373</v>
      </c>
      <c r="BW176" s="141"/>
      <c r="BX176" s="70"/>
      <c r="BY176" s="70"/>
      <c r="BZ176" s="70"/>
      <c r="CA176" s="70"/>
      <c r="CB176" s="70"/>
      <c r="CC176" s="70"/>
      <c r="CD176" s="141"/>
      <c r="CE176" s="141" t="s">
        <v>6374</v>
      </c>
      <c r="CF176" s="70"/>
      <c r="CG176" s="70"/>
      <c r="CH176" s="141" t="s">
        <v>6375</v>
      </c>
      <c r="CI176" s="70"/>
      <c r="CJ176" s="70"/>
      <c r="CK176" s="141" t="s">
        <v>6376</v>
      </c>
      <c r="CL176" s="70"/>
      <c r="CM176" s="141"/>
      <c r="CN176" s="70"/>
      <c r="CO176" s="141"/>
      <c r="CP176" s="70"/>
      <c r="CQ176" s="70"/>
      <c r="CR176" s="70"/>
      <c r="CS176" s="34"/>
      <c r="CT176" s="70"/>
      <c r="CU176" s="70"/>
      <c r="CV176" s="70"/>
      <c r="CW176" s="70"/>
      <c r="CX176" s="70"/>
      <c r="CY176" s="70"/>
      <c r="CZ176" s="70"/>
      <c r="DA176" s="70"/>
      <c r="DB176" s="70"/>
      <c r="DC176" s="70"/>
      <c r="DD176" s="70"/>
      <c r="DE176" s="70"/>
      <c r="DF176" s="70"/>
      <c r="DG176" s="70"/>
      <c r="DH176" s="70"/>
      <c r="DI176" s="70"/>
      <c r="DJ176" s="70"/>
      <c r="DK176" s="70"/>
      <c r="DL176" s="70"/>
      <c r="DM176" s="70"/>
      <c r="DN176" s="70"/>
      <c r="DO176" s="70"/>
      <c r="DP176" s="70"/>
      <c r="DQ176" s="70"/>
      <c r="DR176" s="70"/>
      <c r="DS176" s="70"/>
      <c r="DT176" s="70"/>
      <c r="DU176" s="70"/>
      <c r="DV176" s="70"/>
      <c r="DW176" s="70"/>
      <c r="DX176" s="70"/>
      <c r="DY176" s="70"/>
      <c r="DZ176" s="70"/>
      <c r="EA176" s="70"/>
      <c r="EB176" s="70"/>
      <c r="EC176" s="70"/>
      <c r="ED176" s="70"/>
      <c r="EE176" s="70"/>
      <c r="EF176" s="70"/>
      <c r="EG176" s="70"/>
      <c r="EH176" s="70"/>
      <c r="EI176" s="70"/>
      <c r="EJ176" s="70"/>
      <c r="EK176" s="70"/>
      <c r="EL176" s="70"/>
      <c r="EM176" s="70"/>
      <c r="EN176" s="70"/>
      <c r="EO176" s="70"/>
      <c r="EP176" s="70"/>
      <c r="EQ176" s="70"/>
      <c r="ER176" s="70"/>
      <c r="ES176" s="70"/>
      <c r="ET176" s="70"/>
      <c r="EU176" s="70"/>
      <c r="EV176" s="70"/>
      <c r="EW176" s="70"/>
      <c r="EX176" s="70"/>
      <c r="EY176" s="70"/>
      <c r="EZ176" s="70"/>
      <c r="FA176" s="70"/>
      <c r="FB176" s="70"/>
      <c r="FC176" s="70"/>
      <c r="FD176" s="70"/>
      <c r="FE176" s="70"/>
      <c r="FF176" s="70"/>
      <c r="FG176" s="70"/>
      <c r="FH176" s="70"/>
      <c r="FI176" s="70"/>
      <c r="FJ176" s="70"/>
      <c r="FK176" s="70"/>
      <c r="FL176" s="70"/>
      <c r="FM176" s="70"/>
      <c r="FN176" s="70"/>
      <c r="FO176" s="70"/>
      <c r="FP176" s="70"/>
      <c r="FQ176" s="70"/>
      <c r="FR176" s="70"/>
      <c r="FS176" s="70"/>
      <c r="FT176" s="70"/>
      <c r="FU176" s="70"/>
      <c r="FV176" s="70"/>
      <c r="FW176" s="70"/>
      <c r="FX176" s="70"/>
      <c r="FY176" s="70"/>
      <c r="FZ176" s="70"/>
      <c r="GA176" s="70"/>
      <c r="GB176" s="70"/>
      <c r="GC176" s="70"/>
      <c r="GD176" s="70"/>
      <c r="GE176" s="70"/>
      <c r="GF176" s="70"/>
      <c r="GG176" s="70"/>
      <c r="GH176" s="70"/>
      <c r="GI176" s="70"/>
      <c r="GJ176" s="70"/>
      <c r="GK176" s="70"/>
      <c r="GL176" s="70"/>
      <c r="GM176" s="70"/>
      <c r="GN176" s="70"/>
      <c r="GO176" s="70"/>
      <c r="GP176" s="70"/>
      <c r="GQ176" s="70"/>
      <c r="GR176" s="70"/>
      <c r="GS176" s="70"/>
      <c r="GT176" s="70"/>
      <c r="GU176" s="70"/>
      <c r="GV176" s="70"/>
      <c r="GW176" s="70"/>
      <c r="GX176" s="70"/>
      <c r="GY176" s="70"/>
      <c r="GZ176" s="70"/>
      <c r="HA176" s="70"/>
      <c r="HB176" s="70"/>
      <c r="HC176" s="70"/>
      <c r="HD176" s="70"/>
      <c r="HE176" s="70"/>
      <c r="HF176" s="70"/>
      <c r="HG176" s="70"/>
      <c r="HH176" s="70"/>
      <c r="HI176" s="70"/>
      <c r="HJ176" s="70"/>
      <c r="HK176" s="70"/>
      <c r="HL176" s="70"/>
      <c r="HM176" s="70"/>
      <c r="HN176" s="70"/>
      <c r="HO176" s="70"/>
      <c r="HP176" s="70"/>
      <c r="HQ176" s="70"/>
      <c r="HR176" s="70"/>
      <c r="HS176" s="70"/>
      <c r="HT176" s="70"/>
      <c r="HU176" s="70"/>
      <c r="HV176" s="70"/>
      <c r="HW176" s="70"/>
      <c r="HX176" s="70"/>
      <c r="HY176" s="70"/>
      <c r="HZ176" s="70"/>
      <c r="IA176" s="70"/>
      <c r="IB176" s="70"/>
      <c r="IC176" s="70"/>
      <c r="ID176" s="70"/>
      <c r="IE176" s="70"/>
      <c r="IF176" s="70"/>
      <c r="IG176" s="70"/>
      <c r="IH176" s="70"/>
      <c r="II176" s="70"/>
      <c r="IJ176" s="70"/>
      <c r="IK176" s="70"/>
      <c r="IL176" s="70"/>
      <c r="IM176" s="70"/>
      <c r="IN176" s="70"/>
      <c r="IO176" s="70"/>
      <c r="IP176" s="70"/>
      <c r="IQ176" s="70"/>
      <c r="IR176" s="70"/>
      <c r="IS176" s="70"/>
      <c r="IT176" s="70"/>
      <c r="IU176" s="70"/>
      <c r="IV176" s="70"/>
      <c r="IW176" s="70"/>
    </row>
    <row r="177" customFormat="false" ht="13.5" hidden="false" customHeight="true" outlineLevel="0" collapsed="false">
      <c r="A177" s="139"/>
      <c r="B177" s="140" t="s">
        <v>6377</v>
      </c>
      <c r="C177" s="140" t="s">
        <v>6378</v>
      </c>
      <c r="D177" s="140"/>
      <c r="E177" s="140" t="s">
        <v>6379</v>
      </c>
      <c r="F177" s="140"/>
      <c r="G177" s="169"/>
      <c r="H177" s="140"/>
      <c r="I177" s="140" t="s">
        <v>6380</v>
      </c>
      <c r="J177" s="153"/>
      <c r="K177" s="153" t="s">
        <v>6381</v>
      </c>
      <c r="L177" s="169"/>
      <c r="M177" s="169"/>
      <c r="N177" s="169"/>
      <c r="O177" s="169"/>
      <c r="P177" s="153"/>
      <c r="Q177" s="159"/>
      <c r="R177" s="140"/>
      <c r="S177" s="169"/>
      <c r="T177" s="153"/>
      <c r="U177" s="169"/>
      <c r="V177" s="169"/>
      <c r="W177" s="159"/>
      <c r="X177" s="159"/>
      <c r="Y177" s="140" t="s">
        <v>6382</v>
      </c>
      <c r="Z177" s="140" t="s">
        <v>6383</v>
      </c>
      <c r="AA177" s="159"/>
      <c r="AB177" s="70"/>
      <c r="AC177" s="141"/>
      <c r="AE177" s="140" t="s">
        <v>6384</v>
      </c>
      <c r="AF177" s="141"/>
      <c r="AH177" s="140" t="s">
        <v>6385</v>
      </c>
      <c r="AI177" s="70"/>
      <c r="AJ177" s="70"/>
      <c r="AK177" s="142"/>
      <c r="AL177" s="153" t="s">
        <v>6386</v>
      </c>
      <c r="AM177" s="70"/>
      <c r="AN177" s="70"/>
      <c r="AO177" s="70"/>
      <c r="AP177" s="70"/>
      <c r="AQ177" s="70"/>
      <c r="AR177" s="70"/>
      <c r="AS177" s="142"/>
      <c r="AT177" s="142"/>
      <c r="AU177" s="70"/>
      <c r="AV177" s="142" t="s">
        <v>6387</v>
      </c>
      <c r="AW177" s="70"/>
      <c r="AX177" s="70"/>
      <c r="AY177" s="141"/>
      <c r="AZ177" s="70"/>
      <c r="BA177" s="141" t="s">
        <v>6388</v>
      </c>
      <c r="BB177" s="70"/>
      <c r="BC177" s="141"/>
      <c r="BD177" s="70"/>
      <c r="BE177" s="70"/>
      <c r="BF177" s="70"/>
      <c r="BG177" s="141" t="s">
        <v>6389</v>
      </c>
      <c r="BH177" s="141"/>
      <c r="BI177" s="141" t="s">
        <v>6390</v>
      </c>
      <c r="BJ177" s="70"/>
      <c r="BK177" s="70"/>
      <c r="BL177" s="70"/>
      <c r="BM177" s="70"/>
      <c r="BN177" s="141"/>
      <c r="BO177" s="70"/>
      <c r="BP177" s="70"/>
      <c r="BQ177" s="70"/>
      <c r="BR177" s="70"/>
      <c r="BS177" s="70"/>
      <c r="BT177" s="142" t="s">
        <v>6391</v>
      </c>
      <c r="BU177" s="70"/>
      <c r="BV177" s="142" t="s">
        <v>6392</v>
      </c>
      <c r="BW177" s="142"/>
      <c r="BX177" s="70"/>
      <c r="BY177" s="70"/>
      <c r="BZ177" s="70"/>
      <c r="CA177" s="70"/>
      <c r="CB177" s="70"/>
      <c r="CC177" s="70"/>
      <c r="CD177" s="142"/>
      <c r="CE177" s="142" t="s">
        <v>6393</v>
      </c>
      <c r="CF177" s="70"/>
      <c r="CG177" s="70"/>
      <c r="CH177" s="141" t="s">
        <v>6394</v>
      </c>
      <c r="CI177" s="70"/>
      <c r="CJ177" s="70"/>
      <c r="CK177" s="141" t="s">
        <v>6395</v>
      </c>
      <c r="CL177" s="70"/>
      <c r="CM177" s="141"/>
      <c r="CN177" s="70"/>
      <c r="CO177" s="141"/>
      <c r="CP177" s="70"/>
      <c r="CQ177" s="70"/>
      <c r="CR177" s="70"/>
      <c r="CS177" s="141"/>
      <c r="CT177" s="70"/>
      <c r="CU177" s="70"/>
      <c r="CV177" s="70"/>
      <c r="CW177" s="70"/>
      <c r="CX177" s="70"/>
      <c r="CY177" s="70"/>
      <c r="CZ177" s="70"/>
      <c r="DA177" s="70"/>
      <c r="DB177" s="70"/>
      <c r="DC177" s="70"/>
      <c r="DD177" s="70"/>
      <c r="DE177" s="70"/>
      <c r="DF177" s="70"/>
      <c r="DG177" s="70"/>
      <c r="DH177" s="70"/>
      <c r="DI177" s="70"/>
      <c r="DJ177" s="70"/>
      <c r="DK177" s="70"/>
      <c r="DL177" s="70"/>
      <c r="DM177" s="70"/>
      <c r="DN177" s="70"/>
      <c r="DO177" s="70"/>
      <c r="DP177" s="70"/>
      <c r="DQ177" s="70"/>
      <c r="DR177" s="70"/>
      <c r="DS177" s="70"/>
      <c r="DT177" s="70"/>
      <c r="DU177" s="70"/>
      <c r="DV177" s="70"/>
      <c r="DW177" s="70"/>
      <c r="DX177" s="70"/>
      <c r="DY177" s="70"/>
      <c r="DZ177" s="70"/>
      <c r="EA177" s="70"/>
      <c r="EB177" s="70"/>
      <c r="EC177" s="70"/>
      <c r="ED177" s="70"/>
      <c r="EE177" s="70"/>
      <c r="EF177" s="70"/>
      <c r="EG177" s="70"/>
      <c r="EH177" s="70"/>
      <c r="EI177" s="70"/>
      <c r="EJ177" s="70"/>
      <c r="EK177" s="70"/>
      <c r="EL177" s="70"/>
      <c r="EM177" s="70"/>
      <c r="EN177" s="70"/>
      <c r="EO177" s="70"/>
      <c r="EP177" s="70"/>
      <c r="EQ177" s="70"/>
      <c r="ER177" s="70"/>
      <c r="ES177" s="70"/>
      <c r="ET177" s="70"/>
      <c r="EU177" s="70"/>
      <c r="EV177" s="70"/>
      <c r="EW177" s="70"/>
      <c r="EX177" s="70"/>
      <c r="EY177" s="70"/>
      <c r="EZ177" s="70"/>
      <c r="FA177" s="70"/>
      <c r="FB177" s="70"/>
      <c r="FC177" s="70"/>
      <c r="FD177" s="70"/>
      <c r="FE177" s="70"/>
      <c r="FF177" s="70"/>
      <c r="FG177" s="70"/>
      <c r="FH177" s="70"/>
      <c r="FI177" s="70"/>
      <c r="FJ177" s="70"/>
      <c r="FK177" s="70"/>
      <c r="FL177" s="70"/>
      <c r="FM177" s="70"/>
      <c r="FN177" s="70"/>
      <c r="FO177" s="70"/>
      <c r="FP177" s="70"/>
      <c r="FQ177" s="70"/>
      <c r="FR177" s="70"/>
      <c r="FS177" s="70"/>
      <c r="FT177" s="70"/>
      <c r="FU177" s="70"/>
      <c r="FV177" s="70"/>
      <c r="FW177" s="70"/>
      <c r="FX177" s="70"/>
      <c r="FY177" s="70"/>
      <c r="FZ177" s="70"/>
      <c r="GA177" s="70"/>
      <c r="GB177" s="70"/>
      <c r="GC177" s="70"/>
      <c r="GD177" s="70"/>
      <c r="GE177" s="70"/>
      <c r="GF177" s="70"/>
      <c r="GG177" s="70"/>
      <c r="GH177" s="70"/>
      <c r="GI177" s="70"/>
      <c r="GJ177" s="70"/>
      <c r="GK177" s="70"/>
      <c r="GL177" s="70"/>
      <c r="GM177" s="70"/>
      <c r="GN177" s="70"/>
      <c r="GO177" s="70"/>
      <c r="GP177" s="70"/>
      <c r="GQ177" s="70"/>
      <c r="GR177" s="70"/>
      <c r="GS177" s="70"/>
      <c r="GT177" s="70"/>
      <c r="GU177" s="70"/>
      <c r="GV177" s="70"/>
      <c r="GW177" s="70"/>
      <c r="GX177" s="70"/>
      <c r="GY177" s="70"/>
      <c r="GZ177" s="70"/>
      <c r="HA177" s="70"/>
      <c r="HB177" s="70"/>
      <c r="HC177" s="70"/>
      <c r="HD177" s="70"/>
      <c r="HE177" s="70"/>
      <c r="HF177" s="70"/>
      <c r="HG177" s="70"/>
      <c r="HH177" s="70"/>
      <c r="HI177" s="70"/>
      <c r="HJ177" s="70"/>
      <c r="HK177" s="70"/>
      <c r="HL177" s="70"/>
      <c r="HM177" s="70"/>
      <c r="HN177" s="70"/>
      <c r="HO177" s="70"/>
      <c r="HP177" s="70"/>
      <c r="HQ177" s="70"/>
      <c r="HR177" s="70"/>
      <c r="HS177" s="70"/>
      <c r="HT177" s="70"/>
      <c r="HU177" s="70"/>
      <c r="HV177" s="70"/>
      <c r="HW177" s="70"/>
      <c r="HX177" s="70"/>
      <c r="HY177" s="70"/>
      <c r="HZ177" s="70"/>
      <c r="IA177" s="70"/>
      <c r="IB177" s="70"/>
      <c r="IC177" s="70"/>
      <c r="ID177" s="70"/>
      <c r="IE177" s="70"/>
      <c r="IF177" s="70"/>
      <c r="IG177" s="70"/>
      <c r="IH177" s="70"/>
      <c r="II177" s="70"/>
      <c r="IJ177" s="70"/>
      <c r="IK177" s="70"/>
      <c r="IL177" s="70"/>
      <c r="IM177" s="70"/>
      <c r="IN177" s="70"/>
      <c r="IO177" s="70"/>
      <c r="IP177" s="70"/>
      <c r="IQ177" s="70"/>
      <c r="IR177" s="70"/>
      <c r="IS177" s="70"/>
      <c r="IT177" s="70"/>
      <c r="IU177" s="70"/>
      <c r="IV177" s="70"/>
      <c r="IW177" s="70"/>
    </row>
    <row r="178" customFormat="false" ht="13.5" hidden="false" customHeight="true" outlineLevel="0" collapsed="false">
      <c r="A178" s="41" t="s">
        <v>5946</v>
      </c>
      <c r="B178" s="42" t="n">
        <v>23</v>
      </c>
      <c r="C178" s="42" t="n">
        <v>24</v>
      </c>
      <c r="D178" s="42" t="n">
        <v>25</v>
      </c>
      <c r="E178" s="42" t="n">
        <v>26</v>
      </c>
      <c r="F178" s="42" t="n">
        <v>27</v>
      </c>
      <c r="G178" s="43" t="n">
        <v>28</v>
      </c>
      <c r="H178" s="43" t="s">
        <v>5947</v>
      </c>
      <c r="I178" s="42" t="n">
        <v>2</v>
      </c>
      <c r="J178" s="42" t="n">
        <v>3</v>
      </c>
      <c r="K178" s="42" t="n">
        <v>4</v>
      </c>
      <c r="L178" s="42" t="n">
        <v>5</v>
      </c>
      <c r="M178" s="42" t="n">
        <v>6</v>
      </c>
      <c r="N178" s="43" t="n">
        <v>7</v>
      </c>
      <c r="O178" s="43" t="n">
        <v>8</v>
      </c>
      <c r="P178" s="42" t="n">
        <v>9</v>
      </c>
      <c r="Q178" s="42" t="n">
        <v>10</v>
      </c>
      <c r="R178" s="42" t="n">
        <v>11</v>
      </c>
      <c r="S178" s="42" t="n">
        <v>12</v>
      </c>
      <c r="T178" s="42" t="n">
        <v>13</v>
      </c>
      <c r="U178" s="43" t="n">
        <v>14</v>
      </c>
      <c r="V178" s="43" t="n">
        <v>15</v>
      </c>
      <c r="W178" s="42" t="n">
        <v>16</v>
      </c>
      <c r="X178" s="42" t="n">
        <v>17</v>
      </c>
      <c r="Y178" s="42" t="n">
        <v>18</v>
      </c>
      <c r="Z178" s="42" t="n">
        <v>19</v>
      </c>
      <c r="AA178" s="42" t="n">
        <v>20</v>
      </c>
      <c r="AB178" s="43" t="n">
        <v>21</v>
      </c>
      <c r="AC178" s="43" t="n">
        <v>22</v>
      </c>
      <c r="AD178" s="42" t="n">
        <v>23</v>
      </c>
      <c r="AE178" s="42" t="n">
        <v>24</v>
      </c>
      <c r="AF178" s="42" t="n">
        <v>25</v>
      </c>
      <c r="AG178" s="42" t="n">
        <v>26</v>
      </c>
      <c r="AH178" s="42" t="n">
        <v>27</v>
      </c>
      <c r="AI178" s="43" t="n">
        <v>28</v>
      </c>
      <c r="AJ178" s="43" t="n">
        <v>29</v>
      </c>
      <c r="AK178" s="42" t="n">
        <v>30</v>
      </c>
      <c r="AL178" s="42" t="n">
        <v>31</v>
      </c>
      <c r="AM178" s="42" t="s">
        <v>5948</v>
      </c>
      <c r="AN178" s="42" t="n">
        <v>2</v>
      </c>
      <c r="AO178" s="42" t="n">
        <v>3</v>
      </c>
      <c r="AP178" s="43" t="n">
        <v>4</v>
      </c>
      <c r="AQ178" s="43" t="n">
        <v>5</v>
      </c>
      <c r="AR178" s="42" t="n">
        <v>6</v>
      </c>
      <c r="AS178" s="42" t="n">
        <v>7</v>
      </c>
      <c r="AT178" s="42" t="n">
        <v>8</v>
      </c>
      <c r="AU178" s="42" t="n">
        <v>9</v>
      </c>
      <c r="AV178" s="42" t="n">
        <v>10</v>
      </c>
      <c r="AW178" s="43" t="n">
        <v>11</v>
      </c>
      <c r="AX178" s="43" t="n">
        <v>12</v>
      </c>
      <c r="AY178" s="42" t="n">
        <v>13</v>
      </c>
      <c r="AZ178" s="42" t="n">
        <v>14</v>
      </c>
      <c r="BA178" s="42" t="n">
        <v>15</v>
      </c>
      <c r="BB178" s="42" t="n">
        <v>16</v>
      </c>
      <c r="BC178" s="42" t="n">
        <v>17</v>
      </c>
      <c r="BD178" s="43" t="n">
        <v>18</v>
      </c>
      <c r="BE178" s="43" t="n">
        <v>19</v>
      </c>
      <c r="BF178" s="42" t="n">
        <v>20</v>
      </c>
      <c r="BG178" s="42" t="n">
        <v>21</v>
      </c>
      <c r="BH178" s="42" t="n">
        <v>22</v>
      </c>
      <c r="BI178" s="42" t="n">
        <v>23</v>
      </c>
      <c r="BJ178" s="42" t="n">
        <v>24</v>
      </c>
      <c r="BK178" s="43" t="n">
        <v>25</v>
      </c>
      <c r="BL178" s="43" t="n">
        <v>26</v>
      </c>
      <c r="BM178" s="43" t="n">
        <v>27</v>
      </c>
      <c r="BN178" s="42" t="n">
        <v>28</v>
      </c>
      <c r="BO178" s="42" t="n">
        <v>29</v>
      </c>
      <c r="BP178" s="43" t="n">
        <v>30</v>
      </c>
      <c r="BQ178" s="43" t="s">
        <v>5949</v>
      </c>
      <c r="BR178" s="43" t="n">
        <v>2</v>
      </c>
      <c r="BS178" s="43" t="n">
        <v>3</v>
      </c>
      <c r="BT178" s="42" t="n">
        <v>4</v>
      </c>
      <c r="BU178" s="42" t="n">
        <v>5</v>
      </c>
      <c r="BV178" s="42" t="n">
        <v>6</v>
      </c>
      <c r="BW178" s="42" t="n">
        <v>7</v>
      </c>
      <c r="BX178" s="42" t="n">
        <v>8</v>
      </c>
      <c r="BY178" s="43" t="n">
        <v>9</v>
      </c>
      <c r="BZ178" s="43" t="n">
        <v>10</v>
      </c>
      <c r="CA178" s="42" t="n">
        <v>11</v>
      </c>
      <c r="CB178" s="42" t="n">
        <v>12</v>
      </c>
      <c r="CC178" s="42" t="n">
        <v>13</v>
      </c>
      <c r="CD178" s="42" t="n">
        <v>14</v>
      </c>
      <c r="CE178" s="42" t="n">
        <v>15</v>
      </c>
      <c r="CF178" s="43" t="n">
        <v>16</v>
      </c>
      <c r="CG178" s="43" t="n">
        <v>17</v>
      </c>
      <c r="CH178" s="42" t="n">
        <v>18</v>
      </c>
      <c r="CI178" s="42" t="n">
        <v>19</v>
      </c>
      <c r="CJ178" s="42" t="n">
        <v>20</v>
      </c>
      <c r="CK178" s="42" t="n">
        <v>21</v>
      </c>
      <c r="CL178" s="42" t="n">
        <v>22</v>
      </c>
      <c r="CM178" s="43" t="n">
        <v>23</v>
      </c>
      <c r="CN178" s="43" t="n">
        <v>24</v>
      </c>
      <c r="CO178" s="42" t="n">
        <v>25</v>
      </c>
      <c r="CP178" s="42" t="n">
        <v>26</v>
      </c>
      <c r="CQ178" s="42" t="n">
        <v>27</v>
      </c>
      <c r="CR178" s="42" t="n">
        <v>28</v>
      </c>
      <c r="CS178" s="42" t="n">
        <v>29</v>
      </c>
      <c r="CT178" s="43" t="n">
        <v>30</v>
      </c>
      <c r="CU178" s="43" t="n">
        <v>31</v>
      </c>
      <c r="CV178" s="42" t="s">
        <v>5950</v>
      </c>
      <c r="CW178" s="42" t="n">
        <v>2</v>
      </c>
      <c r="CX178" s="42" t="n">
        <v>3</v>
      </c>
      <c r="CY178" s="42" t="n">
        <v>4</v>
      </c>
      <c r="CZ178" s="42" t="n">
        <v>5</v>
      </c>
      <c r="DA178" s="43" t="n">
        <v>6</v>
      </c>
      <c r="DB178" s="43" t="n">
        <v>7</v>
      </c>
      <c r="DC178" s="42" t="n">
        <v>8</v>
      </c>
      <c r="DD178" s="42" t="n">
        <v>9</v>
      </c>
      <c r="DE178" s="42" t="n">
        <v>10</v>
      </c>
      <c r="DF178" s="42" t="n">
        <v>11</v>
      </c>
      <c r="DG178" s="42" t="n">
        <v>12</v>
      </c>
      <c r="DH178" s="43" t="n">
        <v>13</v>
      </c>
      <c r="DI178" s="43" t="n">
        <v>14</v>
      </c>
      <c r="DJ178" s="42" t="n">
        <v>15</v>
      </c>
      <c r="DK178" s="42" t="n">
        <v>16</v>
      </c>
      <c r="DL178" s="42" t="n">
        <v>17</v>
      </c>
      <c r="DM178" s="42" t="n">
        <v>18</v>
      </c>
      <c r="DN178" s="42" t="n">
        <v>19</v>
      </c>
      <c r="DO178" s="43" t="n">
        <v>20</v>
      </c>
      <c r="DP178" s="43" t="n">
        <v>21</v>
      </c>
      <c r="DQ178" s="42" t="n">
        <v>22</v>
      </c>
      <c r="DR178" s="42" t="n">
        <v>23</v>
      </c>
      <c r="DS178" s="42" t="n">
        <v>24</v>
      </c>
      <c r="DT178" s="42" t="n">
        <v>25</v>
      </c>
      <c r="DU178" s="42" t="n">
        <v>26</v>
      </c>
      <c r="DV178" s="43" t="n">
        <v>27</v>
      </c>
      <c r="DW178" s="43" t="n">
        <v>28</v>
      </c>
      <c r="DX178" s="42" t="n">
        <v>29</v>
      </c>
      <c r="DY178" s="42" t="n">
        <v>30</v>
      </c>
      <c r="DZ178" s="42"/>
      <c r="EA178" s="42"/>
      <c r="EB178" s="42"/>
      <c r="EC178" s="42"/>
      <c r="ED178" s="42"/>
      <c r="EE178" s="42"/>
      <c r="EF178" s="42"/>
      <c r="EG178" s="42"/>
      <c r="EH178" s="42"/>
      <c r="EI178" s="42"/>
      <c r="EJ178" s="42"/>
      <c r="EK178" s="70"/>
      <c r="EL178" s="70"/>
      <c r="EM178" s="70"/>
      <c r="EN178" s="70"/>
      <c r="EO178" s="70"/>
      <c r="EP178" s="70"/>
      <c r="EQ178" s="70"/>
      <c r="ER178" s="70"/>
      <c r="ES178" s="70"/>
      <c r="ET178" s="70"/>
      <c r="EU178" s="70"/>
      <c r="EV178" s="70"/>
      <c r="EW178" s="70"/>
      <c r="EX178" s="70"/>
      <c r="EY178" s="70"/>
      <c r="EZ178" s="70"/>
      <c r="FA178" s="70"/>
      <c r="FB178" s="70"/>
      <c r="FC178" s="70"/>
      <c r="FD178" s="70"/>
      <c r="FE178" s="70"/>
      <c r="FF178" s="70"/>
      <c r="FG178" s="70"/>
      <c r="FH178" s="70"/>
      <c r="FI178" s="70"/>
      <c r="FJ178" s="70"/>
      <c r="FK178" s="70"/>
      <c r="FL178" s="70"/>
      <c r="FM178" s="70"/>
      <c r="FN178" s="70"/>
      <c r="FO178" s="70"/>
      <c r="FP178" s="70"/>
      <c r="FQ178" s="70"/>
      <c r="FR178" s="70"/>
      <c r="FS178" s="70"/>
      <c r="FT178" s="70"/>
      <c r="FU178" s="70"/>
      <c r="FV178" s="70"/>
      <c r="FW178" s="70"/>
      <c r="FX178" s="70"/>
      <c r="FY178" s="70"/>
      <c r="FZ178" s="70"/>
      <c r="GA178" s="70"/>
      <c r="GB178" s="70"/>
      <c r="GC178" s="70"/>
      <c r="GD178" s="70"/>
      <c r="GE178" s="70"/>
      <c r="GF178" s="70"/>
      <c r="GG178" s="70"/>
      <c r="GH178" s="70"/>
      <c r="GI178" s="70"/>
      <c r="GJ178" s="70"/>
      <c r="GK178" s="70"/>
      <c r="GL178" s="70"/>
      <c r="GM178" s="70"/>
      <c r="GN178" s="70"/>
      <c r="GO178" s="70"/>
      <c r="GP178" s="70"/>
      <c r="GQ178" s="70"/>
      <c r="GR178" s="70"/>
      <c r="GS178" s="70"/>
      <c r="GT178" s="70"/>
      <c r="GU178" s="70"/>
      <c r="GV178" s="70"/>
      <c r="GW178" s="70"/>
      <c r="GX178" s="70"/>
      <c r="GY178" s="70"/>
      <c r="GZ178" s="70"/>
      <c r="HA178" s="70"/>
      <c r="HB178" s="70"/>
      <c r="HC178" s="70"/>
      <c r="HD178" s="70"/>
      <c r="HE178" s="70"/>
      <c r="HF178" s="70"/>
      <c r="HG178" s="70"/>
      <c r="HH178" s="70"/>
      <c r="HI178" s="70"/>
      <c r="HJ178" s="70"/>
      <c r="HK178" s="70"/>
      <c r="HL178" s="70"/>
      <c r="HM178" s="70"/>
      <c r="HN178" s="70"/>
      <c r="HO178" s="70"/>
      <c r="HP178" s="70"/>
      <c r="HQ178" s="70"/>
      <c r="HR178" s="70"/>
      <c r="HS178" s="70"/>
      <c r="HT178" s="70"/>
      <c r="HU178" s="70"/>
      <c r="HV178" s="70"/>
      <c r="HW178" s="70"/>
      <c r="HX178" s="70"/>
      <c r="HY178" s="70"/>
      <c r="HZ178" s="70"/>
      <c r="IA178" s="70"/>
      <c r="IB178" s="70"/>
      <c r="IC178" s="70"/>
      <c r="ID178" s="70"/>
      <c r="IE178" s="70"/>
      <c r="IF178" s="70"/>
      <c r="IG178" s="70"/>
      <c r="IH178" s="70"/>
      <c r="II178" s="70"/>
      <c r="IJ178" s="70"/>
      <c r="IK178" s="70"/>
      <c r="IL178" s="70"/>
      <c r="IM178" s="70"/>
      <c r="IN178" s="70"/>
      <c r="IO178" s="70"/>
      <c r="IP178" s="70"/>
      <c r="IQ178" s="70"/>
      <c r="IR178" s="70"/>
      <c r="IS178" s="70"/>
      <c r="IT178" s="70"/>
      <c r="IU178" s="70"/>
      <c r="IV178" s="70"/>
      <c r="IW178" s="70"/>
    </row>
    <row r="179" customFormat="false" ht="13.5" hidden="false" customHeight="true" outlineLevel="0" collapsed="false">
      <c r="A179" s="41" t="s">
        <v>5952</v>
      </c>
      <c r="B179" s="143" t="n">
        <f aca="false">+130-43</f>
        <v>87</v>
      </c>
      <c r="C179" s="143" t="n">
        <v>200</v>
      </c>
      <c r="D179" s="143" t="n">
        <v>220</v>
      </c>
      <c r="E179" s="143" t="n">
        <v>80</v>
      </c>
      <c r="F179" s="143" t="n">
        <v>340</v>
      </c>
      <c r="G179" s="143" t="n">
        <v>0</v>
      </c>
      <c r="H179" s="143" t="n">
        <v>0</v>
      </c>
      <c r="I179" s="143" t="n">
        <v>210</v>
      </c>
      <c r="J179" s="143" t="n">
        <v>210</v>
      </c>
      <c r="K179" s="143" t="n">
        <v>48</v>
      </c>
      <c r="L179" s="143" t="n">
        <v>370</v>
      </c>
      <c r="M179" s="143" t="n">
        <v>370</v>
      </c>
      <c r="N179" s="143" t="n">
        <v>0</v>
      </c>
      <c r="O179" s="143" t="n">
        <v>0</v>
      </c>
      <c r="P179" s="143" t="n">
        <v>300</v>
      </c>
      <c r="Q179" s="143" t="n">
        <v>300</v>
      </c>
      <c r="R179" s="143" t="n">
        <v>300</v>
      </c>
      <c r="S179" s="143" t="n">
        <v>300</v>
      </c>
      <c r="T179" s="143" t="n">
        <v>370</v>
      </c>
      <c r="U179" s="143" t="n">
        <v>300</v>
      </c>
      <c r="V179" s="143" t="n">
        <v>0</v>
      </c>
      <c r="W179" s="143" t="n">
        <v>370</v>
      </c>
      <c r="X179" s="143" t="n">
        <v>370</v>
      </c>
      <c r="Y179" s="143" t="n">
        <v>210</v>
      </c>
      <c r="Z179" s="143" t="n">
        <v>83</v>
      </c>
      <c r="AA179" s="143" t="n">
        <v>210</v>
      </c>
      <c r="AB179" s="143" t="n">
        <v>0</v>
      </c>
      <c r="AC179" s="143" t="n">
        <v>0</v>
      </c>
      <c r="AD179" s="143" t="n">
        <v>210</v>
      </c>
      <c r="AE179" s="143" t="n">
        <v>34</v>
      </c>
      <c r="AF179" s="143" t="n">
        <v>210</v>
      </c>
      <c r="AG179" s="143" t="n">
        <v>210</v>
      </c>
      <c r="AH179" s="143" t="n">
        <v>210</v>
      </c>
      <c r="AI179" s="143" t="n">
        <v>0</v>
      </c>
      <c r="AJ179" s="143" t="n">
        <v>0</v>
      </c>
      <c r="AK179" s="143" t="n">
        <v>210</v>
      </c>
      <c r="AL179" s="143" t="n">
        <v>14</v>
      </c>
      <c r="AM179" s="143" t="n">
        <v>370</v>
      </c>
      <c r="AN179" s="143" t="n">
        <v>370</v>
      </c>
      <c r="AO179" s="143" t="n">
        <v>370</v>
      </c>
      <c r="AP179" s="143" t="n">
        <v>0</v>
      </c>
      <c r="AQ179" s="143" t="n">
        <v>0</v>
      </c>
      <c r="AR179" s="143" t="n">
        <v>370</v>
      </c>
      <c r="AS179" s="143" t="n">
        <v>370</v>
      </c>
      <c r="AT179" s="143" t="n">
        <v>370</v>
      </c>
      <c r="AU179" s="143" t="n">
        <v>370</v>
      </c>
      <c r="AV179" s="143" t="n">
        <v>165</v>
      </c>
      <c r="AW179" s="143" t="n">
        <v>0</v>
      </c>
      <c r="AX179" s="143" t="n">
        <v>0</v>
      </c>
      <c r="AY179" s="143" t="n">
        <v>120</v>
      </c>
      <c r="AZ179" s="143" t="n">
        <v>120</v>
      </c>
      <c r="BA179" s="143" t="n">
        <v>1100</v>
      </c>
      <c r="BB179" s="143" t="n">
        <v>1100</v>
      </c>
      <c r="BC179" s="143" t="n">
        <v>1100</v>
      </c>
      <c r="BD179" s="143" t="n">
        <v>0</v>
      </c>
      <c r="BE179" s="143" t="n">
        <v>0</v>
      </c>
      <c r="BF179" s="143" t="n">
        <v>1080</v>
      </c>
      <c r="BG179" s="143" t="n">
        <v>1100</v>
      </c>
      <c r="BH179" s="143" t="n">
        <v>1100</v>
      </c>
      <c r="BI179" s="143" t="n">
        <v>560</v>
      </c>
      <c r="BJ179" s="143" t="n">
        <v>290</v>
      </c>
      <c r="BK179" s="143" t="n">
        <v>0</v>
      </c>
      <c r="BL179" s="143" t="n">
        <v>0</v>
      </c>
      <c r="BM179" s="143" t="n">
        <v>0</v>
      </c>
      <c r="BN179" s="143" t="n">
        <v>290</v>
      </c>
      <c r="BO179" s="143" t="n">
        <v>290</v>
      </c>
      <c r="BP179" s="143" t="n">
        <v>0</v>
      </c>
      <c r="BQ179" s="143" t="n">
        <v>0</v>
      </c>
      <c r="BR179" s="143" t="n">
        <v>0</v>
      </c>
      <c r="BS179" s="143" t="n">
        <v>0</v>
      </c>
      <c r="BT179" s="143" t="n">
        <v>230</v>
      </c>
      <c r="BU179" s="143" t="n">
        <v>110</v>
      </c>
      <c r="BV179" s="143" t="n">
        <v>370</v>
      </c>
      <c r="BW179" s="143" t="n">
        <v>370</v>
      </c>
      <c r="BX179" s="143" t="n">
        <v>370</v>
      </c>
      <c r="BY179" s="143" t="n">
        <v>0</v>
      </c>
      <c r="BZ179" s="143" t="n">
        <v>0</v>
      </c>
      <c r="CA179" s="143" t="n">
        <v>370</v>
      </c>
      <c r="CB179" s="143" t="n">
        <v>370</v>
      </c>
      <c r="CC179" s="143" t="n">
        <v>370</v>
      </c>
      <c r="CD179" s="143" t="n">
        <v>370</v>
      </c>
      <c r="CE179" s="143" t="n">
        <v>225</v>
      </c>
      <c r="CF179" s="143" t="n">
        <v>0</v>
      </c>
      <c r="CG179" s="143" t="n">
        <v>0</v>
      </c>
      <c r="CH179" s="143" t="n">
        <v>210</v>
      </c>
      <c r="CI179" s="143" t="n">
        <v>210</v>
      </c>
      <c r="CJ179" s="143" t="n">
        <v>177</v>
      </c>
      <c r="CK179" s="143" t="n">
        <v>210</v>
      </c>
      <c r="CL179" s="143" t="n">
        <v>210</v>
      </c>
      <c r="CM179" s="143"/>
      <c r="CN179" s="143"/>
      <c r="CO179" s="143"/>
      <c r="CP179" s="143"/>
      <c r="CQ179" s="143"/>
      <c r="CR179" s="143"/>
      <c r="CS179" s="143"/>
      <c r="CT179" s="143"/>
      <c r="CU179" s="143"/>
      <c r="CV179" s="143"/>
      <c r="CW179" s="143"/>
      <c r="CX179" s="143"/>
      <c r="CY179" s="143"/>
      <c r="CZ179" s="143"/>
      <c r="DA179" s="143"/>
      <c r="DB179" s="143"/>
      <c r="DC179" s="143"/>
      <c r="DD179" s="143"/>
      <c r="DE179" s="143"/>
      <c r="DF179" s="143"/>
      <c r="DG179" s="143"/>
      <c r="DH179" s="143"/>
      <c r="DI179" s="143"/>
      <c r="DJ179" s="143"/>
      <c r="DK179" s="143"/>
      <c r="DL179" s="143"/>
      <c r="DM179" s="143"/>
      <c r="DN179" s="143"/>
      <c r="DO179" s="143"/>
      <c r="DP179" s="143"/>
      <c r="DQ179" s="143"/>
      <c r="DR179" s="143"/>
      <c r="DS179" s="143"/>
      <c r="DT179" s="143"/>
      <c r="DU179" s="143"/>
      <c r="DV179" s="143"/>
      <c r="DW179" s="143"/>
      <c r="DX179" s="143"/>
      <c r="DY179" s="143"/>
      <c r="DZ179" s="143"/>
      <c r="EA179" s="143"/>
      <c r="EB179" s="143"/>
      <c r="EC179" s="143"/>
      <c r="ED179" s="143"/>
      <c r="EE179" s="143"/>
      <c r="EF179" s="143"/>
      <c r="EG179" s="143"/>
      <c r="EH179" s="143"/>
      <c r="EI179" s="143"/>
      <c r="EJ179" s="143"/>
      <c r="EK179" s="70"/>
      <c r="EL179" s="70"/>
      <c r="EM179" s="70"/>
      <c r="EN179" s="70"/>
      <c r="EO179" s="70"/>
      <c r="EP179" s="70"/>
      <c r="EQ179" s="70"/>
      <c r="ER179" s="70"/>
      <c r="ES179" s="70"/>
      <c r="ET179" s="70"/>
      <c r="EU179" s="70"/>
      <c r="EV179" s="70"/>
      <c r="EW179" s="70"/>
      <c r="EX179" s="70"/>
      <c r="EY179" s="70"/>
      <c r="EZ179" s="70"/>
      <c r="FA179" s="70"/>
      <c r="FB179" s="70"/>
      <c r="FC179" s="70"/>
      <c r="FD179" s="70"/>
      <c r="FE179" s="70"/>
      <c r="FF179" s="70"/>
      <c r="FG179" s="70"/>
      <c r="FH179" s="70"/>
      <c r="FI179" s="70"/>
      <c r="FJ179" s="70"/>
      <c r="FK179" s="70"/>
      <c r="FL179" s="70"/>
      <c r="FM179" s="70"/>
      <c r="FN179" s="70"/>
      <c r="FO179" s="70"/>
      <c r="FP179" s="70"/>
      <c r="FQ179" s="70"/>
      <c r="FR179" s="70"/>
      <c r="FS179" s="70"/>
      <c r="FT179" s="70"/>
      <c r="FU179" s="70"/>
      <c r="FV179" s="70"/>
      <c r="FW179" s="70"/>
      <c r="FX179" s="70"/>
      <c r="FY179" s="70"/>
      <c r="FZ179" s="70"/>
      <c r="GA179" s="70"/>
      <c r="GB179" s="70"/>
      <c r="GC179" s="70"/>
      <c r="GD179" s="70"/>
      <c r="GE179" s="70"/>
      <c r="GF179" s="70"/>
      <c r="GG179" s="70"/>
      <c r="GH179" s="70"/>
      <c r="GI179" s="70"/>
      <c r="GJ179" s="70"/>
      <c r="GK179" s="70"/>
      <c r="GL179" s="70"/>
      <c r="GM179" s="70"/>
      <c r="GN179" s="70"/>
      <c r="GO179" s="70"/>
      <c r="GP179" s="70"/>
      <c r="GQ179" s="70"/>
      <c r="GR179" s="70"/>
      <c r="GS179" s="70"/>
      <c r="GT179" s="70"/>
      <c r="GU179" s="70"/>
      <c r="GV179" s="70"/>
      <c r="GW179" s="70"/>
      <c r="GX179" s="70"/>
      <c r="GY179" s="70"/>
      <c r="GZ179" s="70"/>
      <c r="HA179" s="70"/>
      <c r="HB179" s="70"/>
      <c r="HC179" s="70"/>
      <c r="HD179" s="70"/>
      <c r="HE179" s="70"/>
      <c r="HF179" s="70"/>
      <c r="HG179" s="70"/>
      <c r="HH179" s="70"/>
      <c r="HI179" s="70"/>
      <c r="HJ179" s="70"/>
      <c r="HK179" s="70"/>
      <c r="HL179" s="70"/>
      <c r="HM179" s="70"/>
      <c r="HN179" s="70"/>
      <c r="HO179" s="70"/>
      <c r="HP179" s="70"/>
      <c r="HQ179" s="70"/>
      <c r="HR179" s="70"/>
      <c r="HS179" s="70"/>
      <c r="HT179" s="70"/>
      <c r="HU179" s="70"/>
      <c r="HV179" s="70"/>
      <c r="HW179" s="70"/>
      <c r="HX179" s="70"/>
      <c r="HY179" s="70"/>
      <c r="HZ179" s="70"/>
      <c r="IA179" s="70"/>
      <c r="IB179" s="70"/>
      <c r="IC179" s="70"/>
      <c r="ID179" s="70"/>
      <c r="IE179" s="70"/>
      <c r="IF179" s="70"/>
      <c r="IG179" s="70"/>
      <c r="IH179" s="70"/>
      <c r="II179" s="70"/>
      <c r="IJ179" s="70"/>
      <c r="IK179" s="70"/>
      <c r="IL179" s="70"/>
      <c r="IM179" s="70"/>
      <c r="IN179" s="70"/>
      <c r="IO179" s="70"/>
      <c r="IP179" s="70"/>
      <c r="IQ179" s="70"/>
      <c r="IR179" s="70"/>
      <c r="IS179" s="70"/>
      <c r="IT179" s="70"/>
      <c r="IU179" s="70"/>
      <c r="IV179" s="70"/>
      <c r="IW179" s="70"/>
    </row>
    <row r="180" customFormat="false" ht="13.5" hidden="false" customHeight="true" outlineLevel="0" collapsed="false">
      <c r="A180" s="41"/>
      <c r="B180" s="45"/>
      <c r="C180" s="45"/>
      <c r="D180" s="45"/>
      <c r="E180" s="45" t="n">
        <v>200</v>
      </c>
      <c r="F180" s="45"/>
      <c r="G180" s="45"/>
      <c r="H180" s="45"/>
      <c r="I180" s="45" t="n">
        <v>100</v>
      </c>
      <c r="J180" s="45"/>
      <c r="K180" s="45" t="n">
        <v>340</v>
      </c>
      <c r="L180" s="163"/>
      <c r="M180" s="163"/>
      <c r="N180" s="45"/>
      <c r="O180" s="45"/>
      <c r="P180" s="163" t="s">
        <v>6396</v>
      </c>
      <c r="Q180" s="45"/>
      <c r="R180" s="45"/>
      <c r="S180" s="45"/>
      <c r="T180" s="45"/>
      <c r="U180" s="45"/>
      <c r="V180" s="45"/>
      <c r="W180" s="45"/>
      <c r="X180" s="45"/>
      <c r="Y180" s="45"/>
      <c r="Z180" s="45" t="n">
        <v>100</v>
      </c>
      <c r="AA180" s="45"/>
      <c r="AB180" s="45"/>
      <c r="AC180" s="45"/>
      <c r="AD180" s="45"/>
      <c r="AE180" s="45" t="n">
        <v>170</v>
      </c>
      <c r="AF180" s="45"/>
      <c r="AG180" s="45"/>
      <c r="AH180" s="45"/>
      <c r="AI180" s="45"/>
      <c r="AJ180" s="45"/>
      <c r="AK180" s="45"/>
      <c r="AL180" s="45" t="n">
        <v>370</v>
      </c>
      <c r="AM180" s="45"/>
      <c r="AN180" s="45"/>
      <c r="AO180" s="45"/>
      <c r="AP180" s="45"/>
      <c r="AQ180" s="45"/>
      <c r="AR180" s="45"/>
      <c r="AS180" s="45"/>
      <c r="AT180" s="45"/>
      <c r="AU180" s="45"/>
      <c r="AV180" s="45" t="n">
        <v>80</v>
      </c>
      <c r="AW180" s="45"/>
      <c r="AX180" s="45"/>
      <c r="AY180" s="45"/>
      <c r="AZ180" s="45"/>
      <c r="BA180" s="45"/>
      <c r="BB180" s="45"/>
      <c r="BC180" s="45"/>
      <c r="BD180" s="45"/>
      <c r="BE180" s="45"/>
      <c r="BF180" s="45"/>
      <c r="BG180" s="45"/>
      <c r="BH180" s="45"/>
      <c r="BI180" s="45" t="n">
        <v>100</v>
      </c>
      <c r="BJ180" s="45"/>
      <c r="BK180" s="45"/>
      <c r="BL180" s="45"/>
      <c r="BM180" s="45"/>
      <c r="BN180" s="45"/>
      <c r="BO180" s="45"/>
      <c r="BP180" s="45"/>
      <c r="BQ180" s="45"/>
      <c r="BR180" s="45"/>
      <c r="BS180" s="45"/>
      <c r="BT180" s="45" t="n">
        <v>40</v>
      </c>
      <c r="BU180" s="45"/>
      <c r="BV180" s="45"/>
      <c r="BW180" s="45"/>
      <c r="BX180" s="45"/>
      <c r="BY180" s="45"/>
      <c r="BZ180" s="45"/>
      <c r="CA180" s="45"/>
      <c r="CB180" s="45"/>
      <c r="CC180" s="45"/>
      <c r="CD180" s="45"/>
      <c r="CE180" s="45"/>
      <c r="CF180" s="45"/>
      <c r="CG180" s="45"/>
      <c r="CH180" s="45"/>
      <c r="CI180" s="45"/>
      <c r="CJ180" s="45"/>
      <c r="CK180" s="45"/>
      <c r="CL180" s="45"/>
      <c r="CM180" s="45"/>
      <c r="CN180" s="45"/>
      <c r="CO180" s="45"/>
      <c r="CP180" s="45"/>
      <c r="CQ180" s="45"/>
      <c r="CR180" s="45"/>
      <c r="CS180" s="45"/>
      <c r="CT180" s="45"/>
      <c r="CU180" s="45"/>
      <c r="CV180" s="45"/>
      <c r="CW180" s="45"/>
      <c r="CX180" s="45"/>
      <c r="CY180" s="45"/>
      <c r="CZ180" s="45"/>
      <c r="DA180" s="45"/>
      <c r="DB180" s="45"/>
      <c r="DC180" s="45"/>
      <c r="DD180" s="45"/>
      <c r="DE180" s="45"/>
      <c r="DF180" s="45"/>
      <c r="DG180" s="45"/>
      <c r="DH180" s="45"/>
      <c r="DI180" s="45"/>
      <c r="DJ180" s="45"/>
      <c r="DK180" s="45"/>
      <c r="DL180" s="45"/>
      <c r="DM180" s="45"/>
      <c r="DN180" s="45"/>
      <c r="DO180" s="45"/>
      <c r="DP180" s="45"/>
      <c r="DQ180" s="45"/>
      <c r="DR180" s="45"/>
      <c r="DS180" s="45"/>
      <c r="DT180" s="45"/>
      <c r="DU180" s="45"/>
      <c r="DV180" s="45"/>
      <c r="DW180" s="45"/>
      <c r="DX180" s="45"/>
      <c r="DY180" s="45"/>
      <c r="DZ180" s="45"/>
      <c r="EA180" s="45"/>
      <c r="EB180" s="45"/>
      <c r="EC180" s="45"/>
      <c r="ED180" s="45"/>
      <c r="EE180" s="45"/>
      <c r="EF180" s="45"/>
      <c r="EG180" s="45"/>
      <c r="EH180" s="45"/>
      <c r="EI180" s="45"/>
      <c r="EJ180" s="45"/>
      <c r="EK180" s="170"/>
      <c r="EL180" s="170"/>
      <c r="EM180" s="170"/>
      <c r="EN180" s="170"/>
      <c r="EO180" s="170"/>
      <c r="EP180" s="170"/>
      <c r="EQ180" s="170"/>
      <c r="ER180" s="170"/>
      <c r="ES180" s="170"/>
      <c r="ET180" s="170"/>
      <c r="EU180" s="170"/>
      <c r="EV180" s="170"/>
      <c r="EW180" s="170"/>
      <c r="EX180" s="170"/>
      <c r="EY180" s="170"/>
      <c r="EZ180" s="170"/>
      <c r="FA180" s="170"/>
      <c r="FB180" s="170"/>
      <c r="FC180" s="170"/>
      <c r="FD180" s="170"/>
      <c r="FE180" s="170"/>
      <c r="FF180" s="170"/>
      <c r="FG180" s="170"/>
      <c r="FH180" s="170"/>
      <c r="FI180" s="170"/>
      <c r="FJ180" s="170"/>
      <c r="FK180" s="170"/>
      <c r="FL180" s="170"/>
      <c r="FM180" s="170"/>
      <c r="FN180" s="170"/>
      <c r="FO180" s="170"/>
      <c r="FP180" s="170"/>
      <c r="FQ180" s="170"/>
      <c r="FR180" s="170"/>
      <c r="FS180" s="170"/>
      <c r="FT180" s="170"/>
      <c r="FU180" s="170"/>
      <c r="FV180" s="170"/>
      <c r="FW180" s="170"/>
      <c r="FX180" s="170"/>
      <c r="FY180" s="170"/>
      <c r="FZ180" s="170"/>
      <c r="GA180" s="170"/>
      <c r="GB180" s="170"/>
      <c r="GC180" s="170"/>
      <c r="GD180" s="170"/>
      <c r="GE180" s="170"/>
      <c r="GF180" s="45"/>
      <c r="GG180" s="45"/>
      <c r="GH180" s="45"/>
      <c r="GI180" s="45"/>
      <c r="GJ180" s="45"/>
      <c r="GK180" s="45"/>
      <c r="GL180" s="45"/>
      <c r="GM180" s="45"/>
      <c r="GN180" s="45"/>
      <c r="GO180" s="45"/>
      <c r="GP180" s="45"/>
      <c r="GQ180" s="45"/>
      <c r="GR180" s="45"/>
      <c r="GS180" s="45"/>
      <c r="GT180" s="45"/>
      <c r="GU180" s="45"/>
      <c r="GV180" s="45"/>
      <c r="GW180" s="45"/>
      <c r="GX180" s="45"/>
      <c r="GY180" s="45"/>
      <c r="GZ180" s="45"/>
      <c r="HA180" s="45"/>
      <c r="HB180" s="45"/>
      <c r="HC180" s="45"/>
      <c r="HD180" s="45"/>
      <c r="HE180" s="45"/>
      <c r="HF180" s="45"/>
      <c r="HG180" s="45"/>
      <c r="HH180" s="45"/>
      <c r="HI180" s="45"/>
      <c r="HJ180" s="45"/>
      <c r="HK180" s="45"/>
      <c r="HL180" s="45"/>
      <c r="HM180" s="45"/>
      <c r="HN180" s="45"/>
      <c r="HO180" s="45"/>
      <c r="HP180" s="45"/>
      <c r="HQ180" s="45"/>
      <c r="HR180" s="45"/>
      <c r="HS180" s="45"/>
      <c r="HT180" s="45"/>
      <c r="HU180" s="45"/>
      <c r="HV180" s="45"/>
      <c r="HW180" s="45"/>
      <c r="HX180" s="45"/>
      <c r="HY180" s="45"/>
      <c r="HZ180" s="45"/>
      <c r="IA180" s="45"/>
      <c r="IB180" s="45"/>
      <c r="IC180" s="45"/>
      <c r="ID180" s="45"/>
      <c r="IE180" s="45"/>
      <c r="IF180" s="45"/>
      <c r="IG180" s="45"/>
      <c r="IH180" s="45"/>
      <c r="II180" s="45"/>
      <c r="IJ180" s="45"/>
      <c r="IK180" s="45"/>
      <c r="IL180" s="45"/>
      <c r="IM180" s="45"/>
      <c r="IN180" s="45"/>
      <c r="IO180" s="45"/>
      <c r="IP180" s="45"/>
      <c r="IQ180" s="45"/>
      <c r="IR180" s="45"/>
      <c r="IS180" s="45"/>
      <c r="IT180" s="45"/>
      <c r="IU180" s="45"/>
      <c r="IV180" s="45"/>
      <c r="IW180" s="45"/>
    </row>
    <row r="181" customFormat="false" ht="17.9" hidden="false" customHeight="true" outlineLevel="0" collapsed="false">
      <c r="A181" s="146"/>
      <c r="B181" s="147" t="s">
        <v>5953</v>
      </c>
      <c r="C181" s="147" t="s">
        <v>5953</v>
      </c>
      <c r="D181" s="147"/>
      <c r="E181" s="147" t="s">
        <v>5953</v>
      </c>
      <c r="F181" s="147"/>
      <c r="G181" s="148"/>
      <c r="H181" s="147"/>
      <c r="I181" s="171" t="s">
        <v>6397</v>
      </c>
      <c r="J181" s="171"/>
      <c r="K181" s="171" t="s">
        <v>6398</v>
      </c>
      <c r="L181" s="148"/>
      <c r="M181" s="148"/>
      <c r="N181" s="148"/>
      <c r="O181" s="148"/>
      <c r="P181" s="163"/>
      <c r="Q181" s="106"/>
      <c r="R181" s="156"/>
      <c r="S181" s="148"/>
      <c r="T181" s="106"/>
      <c r="U181" s="148"/>
      <c r="V181" s="148"/>
      <c r="W181" s="106"/>
      <c r="X181" s="148"/>
      <c r="Y181" s="156" t="s">
        <v>5999</v>
      </c>
      <c r="Z181" s="156" t="s">
        <v>6399</v>
      </c>
      <c r="AA181" s="106"/>
      <c r="AB181" s="148"/>
      <c r="AC181" s="106"/>
      <c r="AD181" s="148"/>
      <c r="AE181" s="156" t="s">
        <v>6400</v>
      </c>
      <c r="AF181" s="106"/>
      <c r="AG181" s="106"/>
      <c r="AH181" s="106" t="s">
        <v>6237</v>
      </c>
      <c r="AI181" s="148"/>
      <c r="AJ181" s="148"/>
      <c r="AK181" s="106"/>
      <c r="AL181" s="106" t="s">
        <v>6237</v>
      </c>
      <c r="AM181" s="148"/>
      <c r="AN181" s="148"/>
      <c r="AO181" s="148"/>
      <c r="AP181" s="148"/>
      <c r="AQ181" s="148"/>
      <c r="AR181" s="148"/>
      <c r="AS181" s="106"/>
      <c r="AT181" s="106"/>
      <c r="AU181" s="148"/>
      <c r="AV181" s="106" t="s">
        <v>6237</v>
      </c>
      <c r="AW181" s="148"/>
      <c r="AX181" s="148"/>
      <c r="AY181" s="106"/>
      <c r="AZ181" s="148"/>
      <c r="BA181" s="106" t="s">
        <v>5998</v>
      </c>
      <c r="BB181" s="148"/>
      <c r="BC181" s="148"/>
      <c r="BD181" s="148"/>
      <c r="BE181" s="148"/>
      <c r="BF181" s="148"/>
      <c r="BG181" s="106" t="s">
        <v>6291</v>
      </c>
      <c r="BH181" s="106"/>
      <c r="BI181" s="106" t="s">
        <v>6291</v>
      </c>
      <c r="BJ181" s="148"/>
      <c r="BK181" s="148"/>
      <c r="BL181" s="164" t="s">
        <v>6289</v>
      </c>
      <c r="BM181" s="148"/>
      <c r="BN181" s="106"/>
      <c r="BO181" s="148"/>
      <c r="BP181" s="148"/>
      <c r="BQ181" s="148"/>
      <c r="BR181" s="148"/>
      <c r="BS181" s="148"/>
      <c r="BT181" s="106" t="s">
        <v>6291</v>
      </c>
      <c r="BU181" s="148"/>
      <c r="BV181" s="106" t="s">
        <v>6322</v>
      </c>
      <c r="BW181" s="106"/>
      <c r="BX181" s="148"/>
      <c r="BY181" s="148"/>
      <c r="BZ181" s="148"/>
      <c r="CA181" s="148"/>
      <c r="CB181" s="148"/>
      <c r="CC181" s="148"/>
      <c r="CD181" s="106"/>
      <c r="CE181" s="106" t="s">
        <v>6322</v>
      </c>
      <c r="CF181" s="148"/>
      <c r="CG181" s="148"/>
      <c r="CH181" s="106" t="s">
        <v>6322</v>
      </c>
      <c r="CI181" s="148"/>
      <c r="CJ181" s="148"/>
      <c r="CK181" s="106" t="s">
        <v>6401</v>
      </c>
      <c r="CL181" s="148"/>
      <c r="CM181" s="106"/>
      <c r="CN181" s="148"/>
      <c r="CO181" s="106"/>
      <c r="CP181" s="148"/>
      <c r="CQ181" s="148"/>
      <c r="CR181" s="148"/>
      <c r="CS181" s="106"/>
      <c r="CT181" s="148"/>
      <c r="CU181" s="148"/>
      <c r="CV181" s="148"/>
      <c r="CW181" s="148"/>
      <c r="CX181" s="148"/>
      <c r="CY181" s="148"/>
      <c r="CZ181" s="148"/>
      <c r="DA181" s="148"/>
      <c r="DB181" s="148"/>
      <c r="DC181" s="148"/>
      <c r="DD181" s="148"/>
      <c r="DE181" s="148"/>
      <c r="DF181" s="148"/>
      <c r="DG181" s="148"/>
      <c r="DH181" s="148"/>
      <c r="DI181" s="148"/>
      <c r="DJ181" s="148"/>
      <c r="DK181" s="148"/>
      <c r="DL181" s="148"/>
      <c r="DM181" s="148"/>
      <c r="DN181" s="148"/>
      <c r="DO181" s="148"/>
      <c r="DP181" s="148"/>
      <c r="DQ181" s="148"/>
      <c r="DR181" s="148"/>
      <c r="DS181" s="148"/>
      <c r="DT181" s="148"/>
      <c r="DU181" s="148"/>
      <c r="DV181" s="148"/>
      <c r="DW181" s="148"/>
      <c r="DX181" s="148"/>
      <c r="DY181" s="148"/>
      <c r="DZ181" s="148"/>
      <c r="EA181" s="148"/>
      <c r="EB181" s="148"/>
      <c r="EC181" s="148"/>
      <c r="ED181" s="148"/>
      <c r="EE181" s="148"/>
      <c r="EF181" s="148"/>
      <c r="EG181" s="148"/>
      <c r="EH181" s="148"/>
      <c r="EI181" s="148"/>
      <c r="EJ181" s="148"/>
      <c r="EK181" s="70"/>
      <c r="EL181" s="70"/>
      <c r="EM181" s="70"/>
      <c r="EN181" s="70"/>
      <c r="EO181" s="70"/>
      <c r="EP181" s="70"/>
      <c r="EQ181" s="70"/>
      <c r="ER181" s="70"/>
      <c r="ES181" s="70"/>
      <c r="ET181" s="70"/>
      <c r="EU181" s="70"/>
      <c r="EV181" s="70"/>
      <c r="EW181" s="70"/>
      <c r="EX181" s="70"/>
      <c r="EY181" s="70"/>
      <c r="EZ181" s="70"/>
      <c r="FA181" s="70"/>
      <c r="FB181" s="70"/>
      <c r="FC181" s="70"/>
      <c r="FD181" s="70"/>
      <c r="FE181" s="70"/>
      <c r="FF181" s="70"/>
      <c r="FG181" s="70"/>
      <c r="FH181" s="70"/>
      <c r="FI181" s="70"/>
      <c r="FJ181" s="70"/>
      <c r="FK181" s="70"/>
      <c r="FL181" s="70"/>
      <c r="FM181" s="70"/>
      <c r="FN181" s="70"/>
      <c r="FO181" s="70"/>
      <c r="FP181" s="70"/>
      <c r="FQ181" s="70"/>
      <c r="FR181" s="70"/>
      <c r="FS181" s="70"/>
      <c r="FT181" s="70"/>
      <c r="FU181" s="70"/>
      <c r="FV181" s="70"/>
      <c r="FW181" s="70"/>
      <c r="FX181" s="70"/>
      <c r="FY181" s="70"/>
      <c r="FZ181" s="70"/>
      <c r="GA181" s="70"/>
      <c r="GB181" s="70"/>
      <c r="GC181" s="70"/>
      <c r="GD181" s="70"/>
      <c r="GE181" s="70"/>
      <c r="GF181" s="70"/>
      <c r="GG181" s="70"/>
      <c r="GH181" s="70"/>
      <c r="GI181" s="70"/>
      <c r="GJ181" s="70"/>
      <c r="GK181" s="70"/>
      <c r="GL181" s="70"/>
      <c r="GM181" s="70"/>
      <c r="GN181" s="70"/>
      <c r="GO181" s="70"/>
      <c r="GP181" s="70"/>
      <c r="GQ181" s="70"/>
      <c r="GR181" s="70"/>
      <c r="GS181" s="70"/>
      <c r="GT181" s="70"/>
      <c r="GU181" s="70"/>
      <c r="GV181" s="70"/>
      <c r="GW181" s="70"/>
      <c r="GX181" s="70"/>
      <c r="GY181" s="70"/>
      <c r="GZ181" s="70"/>
      <c r="HA181" s="70"/>
      <c r="HB181" s="70"/>
      <c r="HC181" s="70"/>
      <c r="HD181" s="70"/>
      <c r="HE181" s="70"/>
      <c r="HF181" s="70"/>
      <c r="HG181" s="70"/>
      <c r="HH181" s="70"/>
      <c r="HI181" s="70"/>
      <c r="HJ181" s="70"/>
      <c r="HK181" s="70"/>
      <c r="HL181" s="70"/>
      <c r="HM181" s="70"/>
      <c r="HN181" s="70"/>
      <c r="HO181" s="70"/>
      <c r="HP181" s="70"/>
      <c r="HQ181" s="70"/>
      <c r="HR181" s="70"/>
      <c r="HS181" s="70"/>
      <c r="HT181" s="70"/>
      <c r="HU181" s="70"/>
      <c r="HV181" s="148"/>
      <c r="HW181" s="148"/>
      <c r="HX181" s="148"/>
      <c r="HY181" s="148"/>
      <c r="HZ181" s="148"/>
      <c r="IA181" s="148"/>
      <c r="IB181" s="148"/>
      <c r="IC181" s="148"/>
      <c r="ID181" s="148"/>
      <c r="IE181" s="148"/>
      <c r="IF181" s="148"/>
      <c r="IG181" s="148"/>
      <c r="IH181" s="148"/>
      <c r="II181" s="148"/>
      <c r="IJ181" s="148"/>
      <c r="IK181" s="148"/>
      <c r="IL181" s="148"/>
      <c r="IM181" s="148"/>
      <c r="IN181" s="148"/>
      <c r="IO181" s="148"/>
      <c r="IP181" s="148"/>
      <c r="IQ181" s="148"/>
      <c r="IR181" s="148"/>
      <c r="IS181" s="148"/>
      <c r="IT181" s="148"/>
      <c r="IU181" s="148"/>
      <c r="IV181" s="148"/>
      <c r="IW181" s="148"/>
    </row>
    <row r="182" customFormat="false" ht="13.5" hidden="false" customHeight="true" outlineLevel="0" collapsed="false">
      <c r="A182" s="52" t="s">
        <v>5960</v>
      </c>
      <c r="B182" s="150" t="n">
        <v>15</v>
      </c>
      <c r="C182" s="150" t="n">
        <v>16</v>
      </c>
      <c r="D182" s="150" t="n">
        <v>16</v>
      </c>
      <c r="E182" s="150" t="n">
        <v>12</v>
      </c>
      <c r="F182" s="150" t="n">
        <v>12</v>
      </c>
      <c r="G182" s="150" t="n">
        <v>12</v>
      </c>
      <c r="H182" s="150" t="n">
        <v>12</v>
      </c>
      <c r="I182" s="150" t="n">
        <v>22</v>
      </c>
      <c r="J182" s="150" t="n">
        <v>22</v>
      </c>
      <c r="K182" s="150" t="n">
        <v>22</v>
      </c>
      <c r="L182" s="150" t="n">
        <v>20</v>
      </c>
      <c r="M182" s="150" t="n">
        <v>20</v>
      </c>
      <c r="N182" s="150" t="n">
        <v>20</v>
      </c>
      <c r="O182" s="150" t="n">
        <v>20</v>
      </c>
      <c r="P182" s="150" t="n">
        <v>20</v>
      </c>
      <c r="Q182" s="150" t="n">
        <v>20</v>
      </c>
      <c r="R182" s="150" t="n">
        <v>20</v>
      </c>
      <c r="S182" s="150" t="n">
        <v>20</v>
      </c>
      <c r="T182" s="150" t="n">
        <v>20</v>
      </c>
      <c r="U182" s="150" t="n">
        <v>20</v>
      </c>
      <c r="V182" s="150" t="n">
        <v>20</v>
      </c>
      <c r="W182" s="150" t="n">
        <v>20</v>
      </c>
      <c r="X182" s="150" t="n">
        <v>20</v>
      </c>
      <c r="Y182" s="150" t="n">
        <v>22</v>
      </c>
      <c r="Z182" s="150" t="n">
        <v>22</v>
      </c>
      <c r="AA182" s="150" t="n">
        <v>22</v>
      </c>
      <c r="AB182" s="150" t="n">
        <v>22</v>
      </c>
      <c r="AC182" s="150" t="n">
        <v>22</v>
      </c>
      <c r="AD182" s="150" t="n">
        <v>22</v>
      </c>
      <c r="AE182" s="150" t="n">
        <v>22</v>
      </c>
      <c r="AF182" s="150" t="n">
        <v>22</v>
      </c>
      <c r="AG182" s="150" t="n">
        <v>22</v>
      </c>
      <c r="AH182" s="150" t="n">
        <v>20</v>
      </c>
      <c r="AI182" s="150" t="n">
        <v>20</v>
      </c>
      <c r="AJ182" s="150" t="n">
        <v>20</v>
      </c>
      <c r="AK182" s="150" t="n">
        <v>20</v>
      </c>
      <c r="AL182" s="150" t="n">
        <v>20</v>
      </c>
      <c r="AM182" s="150" t="n">
        <v>20</v>
      </c>
      <c r="AN182" s="150" t="n">
        <v>20</v>
      </c>
      <c r="AO182" s="150" t="n">
        <v>20</v>
      </c>
      <c r="AP182" s="150" t="n">
        <v>20</v>
      </c>
      <c r="AQ182" s="150" t="n">
        <v>20</v>
      </c>
      <c r="AR182" s="150" t="n">
        <v>20</v>
      </c>
      <c r="AS182" s="150" t="n">
        <v>20</v>
      </c>
      <c r="AT182" s="150" t="n">
        <v>24</v>
      </c>
      <c r="AU182" s="150" t="n">
        <v>24</v>
      </c>
      <c r="AV182" s="150" t="n">
        <v>24</v>
      </c>
      <c r="AW182" s="150" t="n">
        <v>24</v>
      </c>
      <c r="AX182" s="150" t="n">
        <v>24</v>
      </c>
      <c r="AY182" s="150" t="n">
        <v>22</v>
      </c>
      <c r="AZ182" s="150" t="n">
        <v>28</v>
      </c>
      <c r="BA182" s="150" t="n">
        <v>17</v>
      </c>
      <c r="BB182" s="150" t="n">
        <v>17</v>
      </c>
      <c r="BC182" s="150" t="n">
        <v>17</v>
      </c>
      <c r="BD182" s="150" t="n">
        <v>17</v>
      </c>
      <c r="BE182" s="150" t="n">
        <v>17</v>
      </c>
      <c r="BF182" s="150" t="n">
        <v>17</v>
      </c>
      <c r="BG182" s="150" t="n">
        <v>17</v>
      </c>
      <c r="BH182" s="150" t="n">
        <v>17</v>
      </c>
      <c r="BI182" s="150" t="n">
        <v>17</v>
      </c>
      <c r="BJ182" s="150" t="n">
        <v>16</v>
      </c>
      <c r="BK182" s="150" t="n">
        <v>16</v>
      </c>
      <c r="BL182" s="150" t="n">
        <v>16</v>
      </c>
      <c r="BM182" s="150" t="n">
        <v>16</v>
      </c>
      <c r="BN182" s="150" t="n">
        <v>16</v>
      </c>
      <c r="BO182" s="150" t="n">
        <v>16</v>
      </c>
      <c r="BP182" s="150" t="n">
        <v>16</v>
      </c>
      <c r="BQ182" s="150" t="n">
        <v>16</v>
      </c>
      <c r="BR182" s="150" t="n">
        <v>16</v>
      </c>
      <c r="BS182" s="150" t="n">
        <v>16</v>
      </c>
      <c r="BT182" s="150" t="n">
        <v>16</v>
      </c>
      <c r="BU182" s="150" t="n">
        <v>16</v>
      </c>
      <c r="BV182" s="150" t="n">
        <v>20</v>
      </c>
      <c r="BW182" s="150" t="n">
        <v>20</v>
      </c>
      <c r="BX182" s="150" t="n">
        <v>20</v>
      </c>
      <c r="BY182" s="150" t="n">
        <v>20</v>
      </c>
      <c r="BZ182" s="150" t="n">
        <v>20</v>
      </c>
      <c r="CA182" s="150" t="n">
        <v>20</v>
      </c>
      <c r="CB182" s="150" t="n">
        <v>20</v>
      </c>
      <c r="CC182" s="150" t="n">
        <v>20</v>
      </c>
      <c r="CD182" s="150" t="n">
        <v>20</v>
      </c>
      <c r="CE182" s="150" t="n">
        <v>24</v>
      </c>
      <c r="CF182" s="150" t="n">
        <v>24</v>
      </c>
      <c r="CG182" s="150" t="n">
        <v>24</v>
      </c>
      <c r="CH182" s="150" t="n">
        <v>22</v>
      </c>
      <c r="CI182" s="150" t="n">
        <v>22</v>
      </c>
      <c r="CJ182" s="150" t="n">
        <v>22</v>
      </c>
      <c r="CK182" s="150" t="n">
        <v>22</v>
      </c>
      <c r="CL182" s="150" t="n">
        <v>22</v>
      </c>
      <c r="CM182" s="150"/>
      <c r="CN182" s="150"/>
      <c r="CO182" s="150"/>
      <c r="CP182" s="150"/>
      <c r="CQ182" s="150"/>
      <c r="CR182" s="150"/>
      <c r="CS182" s="150"/>
      <c r="CT182" s="150"/>
      <c r="CU182" s="150"/>
      <c r="CV182" s="150"/>
      <c r="CW182" s="150"/>
      <c r="CX182" s="150"/>
      <c r="CY182" s="150"/>
      <c r="CZ182" s="150"/>
      <c r="DA182" s="150"/>
      <c r="DB182" s="150"/>
      <c r="DC182" s="150"/>
      <c r="DD182" s="150"/>
      <c r="DE182" s="150"/>
      <c r="DF182" s="150"/>
      <c r="DG182" s="150"/>
      <c r="DH182" s="150"/>
      <c r="DI182" s="150"/>
      <c r="DJ182" s="150"/>
      <c r="DK182" s="150"/>
      <c r="DL182" s="150"/>
      <c r="DM182" s="150"/>
      <c r="DN182" s="150"/>
      <c r="DO182" s="150"/>
      <c r="DP182" s="150"/>
      <c r="DQ182" s="150"/>
      <c r="DR182" s="150"/>
      <c r="DS182" s="150"/>
      <c r="DT182" s="150"/>
      <c r="DU182" s="150"/>
      <c r="DV182" s="150"/>
      <c r="DW182" s="150"/>
      <c r="DX182" s="150"/>
      <c r="DY182" s="150"/>
      <c r="DZ182" s="150"/>
      <c r="EA182" s="150"/>
      <c r="EB182" s="150"/>
      <c r="EC182" s="150"/>
      <c r="ED182" s="150"/>
      <c r="EE182" s="150"/>
      <c r="EF182" s="150"/>
      <c r="EG182" s="150"/>
      <c r="EH182" s="150"/>
      <c r="EI182" s="150"/>
      <c r="EJ182" s="150"/>
      <c r="EK182" s="70"/>
      <c r="EL182" s="70"/>
      <c r="EM182" s="70"/>
      <c r="EN182" s="70"/>
      <c r="EO182" s="70"/>
      <c r="EP182" s="70"/>
      <c r="EQ182" s="70"/>
      <c r="ER182" s="70"/>
      <c r="ES182" s="70"/>
      <c r="ET182" s="70"/>
      <c r="EU182" s="70"/>
      <c r="EV182" s="70"/>
      <c r="EW182" s="70"/>
      <c r="EX182" s="70"/>
      <c r="EY182" s="70"/>
      <c r="EZ182" s="70"/>
      <c r="FA182" s="70"/>
      <c r="FB182" s="70"/>
      <c r="FC182" s="70"/>
      <c r="FD182" s="70"/>
      <c r="FE182" s="70"/>
      <c r="FF182" s="70"/>
      <c r="FG182" s="70"/>
      <c r="FH182" s="70"/>
      <c r="FI182" s="70"/>
      <c r="FJ182" s="70"/>
      <c r="FK182" s="70"/>
      <c r="FL182" s="70"/>
      <c r="FM182" s="70"/>
      <c r="FN182" s="70"/>
      <c r="FO182" s="70"/>
      <c r="FP182" s="70"/>
      <c r="FQ182" s="70"/>
      <c r="FR182" s="70"/>
      <c r="FS182" s="70"/>
      <c r="FT182" s="70"/>
      <c r="FU182" s="70"/>
      <c r="FV182" s="70"/>
      <c r="FW182" s="70"/>
      <c r="FX182" s="70"/>
      <c r="FY182" s="70"/>
      <c r="FZ182" s="70"/>
      <c r="GA182" s="70"/>
      <c r="GB182" s="70"/>
      <c r="GC182" s="70"/>
      <c r="GD182" s="70"/>
      <c r="GE182" s="70"/>
      <c r="GF182" s="70"/>
      <c r="GG182" s="70"/>
      <c r="GH182" s="70"/>
      <c r="GI182" s="70"/>
      <c r="GJ182" s="70"/>
      <c r="GK182" s="70"/>
      <c r="GL182" s="70"/>
      <c r="GM182" s="70"/>
      <c r="GN182" s="70"/>
      <c r="GO182" s="70"/>
      <c r="GP182" s="70"/>
      <c r="GQ182" s="70"/>
      <c r="GR182" s="70"/>
      <c r="GS182" s="70"/>
      <c r="GT182" s="70"/>
      <c r="GU182" s="70"/>
      <c r="GV182" s="70"/>
      <c r="GW182" s="70"/>
      <c r="GX182" s="70"/>
      <c r="GY182" s="70"/>
      <c r="GZ182" s="70"/>
      <c r="HA182" s="70"/>
      <c r="HB182" s="70"/>
      <c r="HC182" s="70"/>
      <c r="HD182" s="70"/>
      <c r="HE182" s="70"/>
      <c r="HF182" s="70"/>
      <c r="HG182" s="70"/>
      <c r="HH182" s="70"/>
      <c r="HI182" s="70"/>
      <c r="HJ182" s="70"/>
      <c r="HK182" s="70"/>
      <c r="HL182" s="70"/>
      <c r="HM182" s="70"/>
      <c r="HN182" s="70"/>
      <c r="HO182" s="70"/>
      <c r="HP182" s="70"/>
      <c r="HQ182" s="70"/>
      <c r="HR182" s="70"/>
      <c r="HS182" s="70"/>
      <c r="HT182" s="70"/>
      <c r="HU182" s="70"/>
      <c r="HV182" s="70"/>
      <c r="HW182" s="70"/>
      <c r="HX182" s="70"/>
      <c r="HY182" s="70"/>
      <c r="HZ182" s="70"/>
      <c r="IA182" s="70"/>
      <c r="IB182" s="70"/>
      <c r="IC182" s="70"/>
      <c r="ID182" s="70"/>
      <c r="IE182" s="70"/>
      <c r="IF182" s="70"/>
      <c r="IG182" s="70"/>
      <c r="IH182" s="70"/>
      <c r="II182" s="70"/>
      <c r="IJ182" s="70"/>
      <c r="IK182" s="70"/>
      <c r="IL182" s="70"/>
      <c r="IM182" s="70"/>
      <c r="IN182" s="70"/>
      <c r="IO182" s="70"/>
      <c r="IP182" s="70"/>
      <c r="IQ182" s="70"/>
      <c r="IR182" s="70"/>
      <c r="IS182" s="70"/>
      <c r="IT182" s="70"/>
      <c r="IU182" s="70"/>
      <c r="IV182" s="70"/>
      <c r="IW182" s="70"/>
    </row>
    <row r="183" customFormat="false" ht="13.5" hidden="false" customHeight="true" outlineLevel="0" collapsed="false">
      <c r="A183" s="181"/>
      <c r="B183" s="152"/>
      <c r="C183" s="152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2"/>
      <c r="AH183" s="152"/>
      <c r="AI183" s="152"/>
      <c r="AJ183" s="152"/>
      <c r="AK183" s="152"/>
      <c r="AL183" s="152"/>
      <c r="AM183" s="152"/>
      <c r="AN183" s="152"/>
      <c r="AO183" s="152"/>
      <c r="AP183" s="152"/>
      <c r="AQ183" s="152"/>
      <c r="AR183" s="152"/>
      <c r="AS183" s="152"/>
      <c r="AT183" s="152"/>
      <c r="AU183" s="152"/>
      <c r="AV183" s="152"/>
      <c r="AW183" s="152"/>
      <c r="AX183" s="152"/>
      <c r="AY183" s="152"/>
      <c r="AZ183" s="152"/>
      <c r="BA183" s="152"/>
      <c r="BB183" s="152"/>
      <c r="BC183" s="152"/>
      <c r="BD183" s="152"/>
      <c r="BE183" s="152"/>
      <c r="BF183" s="152"/>
      <c r="BG183" s="152"/>
      <c r="BH183" s="152"/>
      <c r="BI183" s="152"/>
      <c r="BJ183" s="152"/>
      <c r="BK183" s="152"/>
      <c r="BL183" s="152"/>
      <c r="BM183" s="152"/>
      <c r="BN183" s="152"/>
      <c r="BO183" s="152"/>
      <c r="BP183" s="152"/>
      <c r="BQ183" s="152"/>
      <c r="BR183" s="152"/>
      <c r="BS183" s="152"/>
      <c r="BT183" s="152"/>
      <c r="BU183" s="152"/>
      <c r="BV183" s="152"/>
      <c r="BW183" s="152"/>
      <c r="BX183" s="152"/>
      <c r="BY183" s="152"/>
      <c r="BZ183" s="152"/>
      <c r="CA183" s="152"/>
      <c r="CB183" s="152"/>
      <c r="CC183" s="152"/>
      <c r="CD183" s="152"/>
      <c r="CE183" s="152"/>
      <c r="CF183" s="152"/>
      <c r="CG183" s="152"/>
      <c r="CH183" s="152"/>
      <c r="CI183" s="152"/>
      <c r="CJ183" s="152"/>
      <c r="CK183" s="152"/>
      <c r="CL183" s="152"/>
      <c r="CM183" s="152"/>
      <c r="CN183" s="152"/>
      <c r="CO183" s="152"/>
      <c r="CP183" s="152"/>
      <c r="CQ183" s="152"/>
      <c r="CR183" s="152"/>
      <c r="CS183" s="152"/>
      <c r="CT183" s="152"/>
      <c r="CU183" s="152"/>
      <c r="CV183" s="152"/>
      <c r="CW183" s="152"/>
      <c r="CX183" s="152"/>
      <c r="CY183" s="152"/>
      <c r="CZ183" s="152"/>
      <c r="DA183" s="152"/>
      <c r="DB183" s="152"/>
      <c r="DC183" s="152"/>
      <c r="DD183" s="152"/>
      <c r="DE183" s="152"/>
      <c r="DF183" s="152"/>
      <c r="DG183" s="152"/>
      <c r="DH183" s="152"/>
      <c r="DI183" s="152"/>
      <c r="DJ183" s="152"/>
      <c r="DK183" s="152"/>
      <c r="DL183" s="152"/>
      <c r="DM183" s="152"/>
      <c r="DT183" s="152"/>
      <c r="DU183" s="152"/>
      <c r="DV183" s="152"/>
      <c r="DW183" s="152"/>
      <c r="DX183" s="152"/>
      <c r="DY183" s="152"/>
      <c r="DZ183" s="152"/>
      <c r="EA183" s="152"/>
      <c r="EH183" s="152"/>
      <c r="EW183" s="152"/>
      <c r="FD183" s="152"/>
      <c r="FK183" s="152"/>
      <c r="FR183" s="152"/>
      <c r="FY183" s="152"/>
      <c r="FZ183" s="152"/>
      <c r="GA183" s="152"/>
      <c r="GB183" s="152"/>
      <c r="GC183" s="152"/>
      <c r="GD183" s="152"/>
      <c r="GE183" s="152"/>
      <c r="GF183" s="152"/>
      <c r="GM183" s="152"/>
      <c r="GT183" s="152"/>
      <c r="HE183" s="152"/>
      <c r="HO183" s="152"/>
      <c r="HP183" s="152"/>
      <c r="HQ183" s="152"/>
      <c r="HR183" s="152"/>
      <c r="HS183" s="152"/>
      <c r="HT183" s="152"/>
      <c r="HU183" s="152"/>
      <c r="HV183" s="152"/>
      <c r="HW183" s="152"/>
      <c r="HX183" s="152"/>
      <c r="HY183" s="152"/>
      <c r="HZ183" s="152"/>
      <c r="IA183" s="152"/>
      <c r="IB183" s="152"/>
      <c r="IC183" s="152"/>
      <c r="IJ183" s="152"/>
      <c r="IQ183" s="152"/>
      <c r="IR183" s="152"/>
      <c r="IS183" s="152"/>
      <c r="IT183" s="152"/>
      <c r="IU183" s="152"/>
      <c r="IV183" s="152"/>
      <c r="IW183" s="152"/>
    </row>
    <row r="184" customFormat="false" ht="13.5" hidden="false" customHeight="true" outlineLevel="0" collapsed="false">
      <c r="A184" s="182" t="s">
        <v>6402</v>
      </c>
      <c r="B184" s="183" t="n">
        <f aca="false">B12+B22+B32+B42+B52+B62+B72+B82+B92+B102+B112+B122+B132+B142+B152+B162+B172+B182</f>
        <v>246</v>
      </c>
      <c r="C184" s="183" t="n">
        <f aca="false">C12+C22+C32+C42+C52+C62+C72+C82+C92+C102+C112+C122+C132+C142+C152+C162+C172+C182</f>
        <v>246</v>
      </c>
      <c r="D184" s="183" t="n">
        <f aca="false">D12+D22+D32+D42+D52+D62+D72+D82+D92+D102+D112+D122+D132+D142+D152+D162+D172+D182</f>
        <v>219</v>
      </c>
      <c r="E184" s="183" t="n">
        <f aca="false">E12+E22+E32+E42+E52+E62+E72+E82+E92+E102+E112+E122+E132+E142+E152+E162+E172+E182</f>
        <v>242</v>
      </c>
      <c r="F184" s="183" t="n">
        <f aca="false">F12+F22+F32+F42+F52+F62+F72+F82+F92+F102+F112+F122+F132+F142+F152+F162+F172+F182</f>
        <v>212</v>
      </c>
      <c r="G184" s="183" t="n">
        <f aca="false">G12+G22+G32+G42+G52+G62+G72+G82+G92+G102+G112+G122+G132+G142+G152+G162+G172+G182</f>
        <v>223</v>
      </c>
      <c r="H184" s="183" t="n">
        <f aca="false">H12+H22+H32+H42+H52+H62+H72+H82+H92+H102+H112+H122+H132+H142+H152+H162+H172+H182</f>
        <v>223</v>
      </c>
      <c r="I184" s="183" t="n">
        <f aca="false">I12+I22+I32+I42+I52+I62+I72+I82+I92+I102+I112+I122+I132+I142+I152+I162+I172+I182</f>
        <v>233</v>
      </c>
      <c r="J184" s="183" t="n">
        <f aca="false">J12+J22+J32+J42+J52+J62+J72+J82+J92+J102+J112+J122+J132+J142+J152+J162+J172+J182</f>
        <v>217</v>
      </c>
      <c r="K184" s="183" t="n">
        <f aca="false">K12+K22+K32+K42+K52+K62+K72+K82+K92+K102+K112+K122+K132+K142+K152+K162+K172+K182</f>
        <v>217</v>
      </c>
      <c r="L184" s="183" t="n">
        <f aca="false">L12+L22+L32+L42+L52+L62+L72+L82+L92+L102+L112+L122+L132+L142+L152+L162+L172+L182</f>
        <v>227</v>
      </c>
      <c r="M184" s="183" t="n">
        <f aca="false">M12+M22+M32+M42+M52+M62+M72+M82+M92+M102+M112+M122+M132+M142+M152+M162+M172+M182</f>
        <v>216</v>
      </c>
      <c r="N184" s="183" t="n">
        <f aca="false">N12+N22+N32+N42+N52+N62+N72+N82+N92+N102+N112+N122+N132+N142+N152+N162+N172+N182</f>
        <v>216</v>
      </c>
      <c r="O184" s="183" t="n">
        <f aca="false">O12+O22+O32+O42+O52+O62+O72+O82+O92+O102+O112+O122+O132+O142+O152+O162+O172+O182</f>
        <v>216</v>
      </c>
      <c r="P184" s="183" t="n">
        <f aca="false">P12+P22+P32+P42+P52+P62+P72+P82+P92+P102+P112+P122+P132+P142+P152+P162+P172+P182</f>
        <v>235</v>
      </c>
      <c r="Q184" s="183" t="n">
        <f aca="false">Q12+Q22+Q32+Q42+Q52+Q62+Q72+Q82+Q92+Q102+Q112+Q122+Q132+Q142+Q152+Q162+Q172+Q182</f>
        <v>235</v>
      </c>
      <c r="R184" s="183" t="n">
        <f aca="false">R12+R22+R32+R42+R52+R62+R72+R82+R92+R102+R112+R122+R132+R142+R152+R162+R172+R182</f>
        <v>235</v>
      </c>
      <c r="S184" s="183" t="n">
        <f aca="false">S12+S22+S32+S42+S52+S62+S72+S82+S92+S102+S112+S122+S132+S142+S152+S162+S172+S182</f>
        <v>243</v>
      </c>
      <c r="T184" s="183" t="n">
        <f aca="false">T12+T22+T32+T42+T52+T62+T72+T82+T92+T102+T112+T122+T132+T142+T152+T162+T172+T182</f>
        <v>266</v>
      </c>
      <c r="U184" s="183" t="n">
        <f aca="false">U12+U22+U32+U42+U52+U62+U72+U82+U92+U102+U112+U122+U132+U142+U152+U162+U172+U182</f>
        <v>266</v>
      </c>
      <c r="V184" s="183" t="n">
        <f aca="false">V12+V22+V32+V42+V52+V62+V72+V82+V92+V102+V112+V122+V132+V142+V152+V162+V172+V182</f>
        <v>266</v>
      </c>
      <c r="W184" s="183" t="n">
        <f aca="false">W12+W22+W32+W42+W52+W62+W72+W82+W92+W102+W112+W122+W132+W142+W152+W162+W172+W182</f>
        <v>271</v>
      </c>
      <c r="X184" s="183" t="n">
        <f aca="false">X12+X22+X32+X42+X52+X62+X72+X82+X92+X102+X112+X122+X132+X142+X152+X162+X172+X182</f>
        <v>282</v>
      </c>
      <c r="Y184" s="183" t="n">
        <f aca="false">Y12+Y22+Y32+Y42+Y52+Y62+Y72+Y82+Y92+Y102+Y112+Y122+Y132+Y142+Y152+Y162+Y172+Y182</f>
        <v>281</v>
      </c>
      <c r="Z184" s="183" t="n">
        <f aca="false">Z12+Z22+Z32+Z42+Z52+Z62+Z72+Z82+Z92+Z102+Z112+Z122+Z132+Z142+Z152+Z162+Z172+Z182</f>
        <v>255</v>
      </c>
      <c r="AA184" s="183" t="n">
        <f aca="false">AA12+AA22+AA32+AA42+AA52+AA62+AA72+AA82+AA92+AA102+AA112+AA122+AA132+AA142+AA152+AA162+AA172+AA182</f>
        <v>255</v>
      </c>
      <c r="AB184" s="183" t="n">
        <f aca="false">AB12+AB22+AB32+AB42+AB52+AB62+AB72+AB82+AB92+AB102+AB112+AB122+AB132+AB142+AB152+AB162+AB172+AB182</f>
        <v>255</v>
      </c>
      <c r="AC184" s="183" t="n">
        <f aca="false">AC12+AC22+AC32+AC42+AC52+AC62+AC72+AC82+AC92+AC102+AC112+AC122+AC132+AC142+AC152+AC162+AC172+AC182</f>
        <v>255</v>
      </c>
      <c r="AD184" s="183" t="n">
        <f aca="false">AD12+AD22+AD32+AD42+AD52+AD62+AD72+AD82+AD92+AD102+AD112+AD122+AD132+AD142+AD152+AD162+AD172+AD182</f>
        <v>286</v>
      </c>
      <c r="AE184" s="183" t="n">
        <f aca="false">AE12+AE22+AE32+AE42+AE52+AE62+AE72+AE82+AE92+AE102+AE112+AE122+AE132+AE142+AE152+AE162+AE172+AE182</f>
        <v>275</v>
      </c>
      <c r="AF184" s="183" t="n">
        <f aca="false">AF12+AF22+AF32+AF42+AF52+AF62+AF72+AF82+AF92+AF102+AF112+AF122+AF132+AF142+AF152+AF162+AF172+AF182</f>
        <v>283</v>
      </c>
      <c r="AG184" s="183" t="n">
        <f aca="false">AG12+AG22+AG32+AG42+AG52+AG62+AG72+AG82+AG92+AG102+AG112+AG122+AG132+AG142+AG152+AG162+AG172+AG182</f>
        <v>313</v>
      </c>
      <c r="AH184" s="183" t="n">
        <f aca="false">AH12+AH22+AH32+AH42+AH52+AH62+AH72+AH82+AH92+AH102+AH112+AH122+AH132+AH142+AH152+AH162+AH172+AH182</f>
        <v>322</v>
      </c>
      <c r="AI184" s="183" t="n">
        <f aca="false">AI12+AI22+AI32+AI42+AI52+AI62+AI72+AI82+AI92+AI102+AI112+AI122+AI132+AI142+AI152+AI162+AI172+AI182</f>
        <v>322</v>
      </c>
      <c r="AJ184" s="183" t="n">
        <f aca="false">AJ12+AJ22+AJ32+AJ42+AJ52+AJ62+AJ72+AJ82+AJ92+AJ102+AJ112+AJ122+AJ132+AJ142+AJ152+AJ162+AJ172+AJ182</f>
        <v>322</v>
      </c>
      <c r="AK184" s="183" t="n">
        <f aca="false">AK12+AK22+AK32+AK42+AK52+AK62+AK72+AK82+AK92+AK102+AK112+AK122+AK132+AK142+AK152+AK162+AK172+AK182</f>
        <v>325</v>
      </c>
      <c r="AL184" s="183" t="n">
        <f aca="false">AL12+AL22+AL32+AL42+AL52+AL62+AL72+AL82+AL92+AL102+AL112+AL122+AL132+AL142+AL152+AL162+AL172+AL182</f>
        <v>325</v>
      </c>
      <c r="AM184" s="183" t="n">
        <f aca="false">AM12+AM22+AM32+AM42+AM52+AM62+AM72+AM82+AM92+AM102+AM112+AM122+AM132+AM142+AM152+AM162+AM172+AM182</f>
        <v>325</v>
      </c>
      <c r="AN184" s="183" t="n">
        <f aca="false">AN12+AN22+AN32+AN42+AN52+AN62+AN72+AN82+AN92+AN102+AN112+AN122+AN132+AN142+AN152+AN162+AN172+AN182</f>
        <v>325</v>
      </c>
      <c r="AO184" s="183" t="n">
        <f aca="false">AO12+AO22+AO32+AO42+AO52+AO62+AO72+AO82+AO92+AO102+AO112+AO122+AO132+AO142+AO152+AO162+AO172+AO182</f>
        <v>325</v>
      </c>
      <c r="AP184" s="183" t="n">
        <f aca="false">AP12+AP22+AP32+AP42+AP52+AP62+AP72+AP82+AP92+AP102+AP112+AP122+AP132+AP142+AP152+AP162+AP172+AP182</f>
        <v>323</v>
      </c>
      <c r="AQ184" s="183" t="n">
        <f aca="false">AQ12+AQ22+AQ32+AQ42+AQ52+AQ62+AQ72+AQ82+AQ92+AQ102+AQ112+AQ122+AQ132+AQ142+AQ152+AQ162+AQ172+AQ182</f>
        <v>323</v>
      </c>
      <c r="AR184" s="183" t="n">
        <f aca="false">AR12+AR22+AR32+AR42+AR52+AR62+AR72+AR82+AR92+AR102+AR112+AR122+AR132+AR142+AR152+AR162+AR172+AR182</f>
        <v>326</v>
      </c>
      <c r="AS184" s="183" t="n">
        <f aca="false">AS12+AS22+AS32+AS42+AS52+AS62+AS72+AS82+AS92+AS102+AS112+AS122+AS132+AS142+AS152+AS162+AS172+AS182</f>
        <v>325</v>
      </c>
      <c r="AT184" s="183" t="n">
        <f aca="false">AT12+AT22+AT32+AT42+AT52+AT62+AT72+AT82+AT92+AT102+AT112+AT122+AT132+AT142+AT152+AT162+AT172+AT182</f>
        <v>328</v>
      </c>
      <c r="AU184" s="183" t="n">
        <f aca="false">AU12+AU22+AU32+AU42+AU52+AU62+AU72+AU82+AU92+AU102+AU112+AU122+AU132+AU142+AU152+AU162+AU172+AU182</f>
        <v>334</v>
      </c>
      <c r="AV184" s="183" t="n">
        <f aca="false">AV12+AV22+AV32+AV42+AV52+AV62+AV72+AV82+AV92+AV102+AV112+AV122+AV132+AV142+AV152+AV162+AV172+AV182</f>
        <v>338</v>
      </c>
      <c r="AW184" s="183" t="n">
        <f aca="false">AW12+AW22+AW32+AW42+AW52+AW62+AW72+AW82+AW92+AW102+AW112+AW122+AW132+AW142+AW152+AW162+AW172+AW182</f>
        <v>326</v>
      </c>
      <c r="AX184" s="183" t="n">
        <f aca="false">AX12+AX22+AX32+AX42+AX52+AX62+AX72+AX82+AX92+AX102+AX112+AX122+AX132+AX142+AX152+AX162+AX172+AX182</f>
        <v>326</v>
      </c>
      <c r="AY184" s="183" t="n">
        <f aca="false">AY12+AY22+AY32+AY42+AY52+AY62+AY72+AY82+AY92+AY102+AY112+AY122+AY132+AY142+AY152+AY162+AY172+AY182</f>
        <v>355</v>
      </c>
      <c r="AZ184" s="183" t="n">
        <f aca="false">AZ12+AZ22+AZ32+AZ42+AZ52+AZ62+AZ72+AZ82+AZ92+AZ102+AZ112+AZ122+AZ132+AZ142+AZ152+AZ162+AZ172+AZ182</f>
        <v>361</v>
      </c>
      <c r="BA184" s="183" t="n">
        <f aca="false">BA12+BA22+BA32+BA42+BA52+BA62+BA72+BA82+BA92+BA102+BA112+BA122+BA132+BA142+BA152+BA162+BA172+BA182</f>
        <v>350</v>
      </c>
      <c r="BB184" s="183" t="n">
        <f aca="false">BB12+BB22+BB32+BB42+BB52+BB62+BB72+BB82+BB92+BB102+BB112+BB122+BB132+BB142+BB152+BB162+BB172+BB182</f>
        <v>350</v>
      </c>
      <c r="BC184" s="183" t="n">
        <f aca="false">BC12+BC22+BC32+BC42+BC52+BC62+BC72+BC82+BC92+BC102+BC112+BC122+BC132+BC142+BC152+BC162+BC172+BC182</f>
        <v>350</v>
      </c>
      <c r="BD184" s="183" t="n">
        <f aca="false">BD12+BD22+BD32+BD42+BD52+BD62+BD72+BD82+BD92+BD102+BD112+BD122+BD132+BD142+BD152+BD162+BD172+BD182</f>
        <v>350</v>
      </c>
      <c r="BE184" s="183" t="n">
        <f aca="false">BE12+BE22+BE32+BE42+BE52+BE62+BE72+BE82+BE92+BE102+BE112+BE122+BE132+BE142+BE152+BE162+BE172+BE182</f>
        <v>350</v>
      </c>
      <c r="BF184" s="183" t="n">
        <f aca="false">BF12+BF22+BF32+BF42+BF52+BF62+BF72+BF82+BF92+BF102+BF112+BF122+BF132+BF142+BF152+BF162+BF172+BF182</f>
        <v>350</v>
      </c>
      <c r="BG184" s="183" t="n">
        <f aca="false">BG12+BG22+BG32+BG42+BG52+BG62+BG72+BG82+BG92+BG102+BG112+BG122+BG132+BG142+BG152+BG162+BG172+BG182</f>
        <v>343</v>
      </c>
      <c r="BH184" s="183" t="n">
        <f aca="false">BH12+BH22+BH32+BH42+BH52+BH62+BH72+BH82+BH92+BH102+BH112+BH122+BH132+BH142+BH152+BH162+BH172+BH182</f>
        <v>341</v>
      </c>
      <c r="BI184" s="183" t="n">
        <f aca="false">BI12+BI22+BI32+BI42+BI52+BI62+BI72+BI82+BI92+BI102+BI112+BI122+BI132+BI142+BI152+BI162+BI172+BI182</f>
        <v>345</v>
      </c>
      <c r="BJ184" s="183" t="n">
        <f aca="false">BJ12+BJ22+BJ32+BJ42+BJ52+BJ62+BJ72+BJ82+BJ92+BJ102+BJ112+BJ122+BJ132+BJ142+BJ152+BJ162+BJ172+BJ182</f>
        <v>355</v>
      </c>
      <c r="BK184" s="183" t="n">
        <f aca="false">BK12+BK22+BK32+BK42+BK52+BK62+BK72+BK82+BK92+BK102+BK112+BK122+BK132+BK142+BK152+BK162+BK172+BK182</f>
        <v>355</v>
      </c>
      <c r="BL184" s="183" t="n">
        <f aca="false">BL12+BL22+BL32+BL42+BL52+BL62+BL72+BL82+BL92+BL102+BL112+BL122+BL132+BL142+BL152+BL162+BL172+BL182</f>
        <v>355</v>
      </c>
      <c r="BM184" s="183" t="n">
        <f aca="false">BM12+BM22+BM32+BM42+BM52+BM62+BM72+BM82+BM92+BM102+BM112+BM122+BM132+BM142+BM152+BM162+BM172+BM182</f>
        <v>355</v>
      </c>
      <c r="BN184" s="183" t="n">
        <f aca="false">BN12+BN22+BN32+BN42+BN52+BN62+BN72+BN82+BN92+BN102+BN112+BN122+BN132+BN142+BN152+BN162+BN172+BN182</f>
        <v>355</v>
      </c>
      <c r="BO184" s="183" t="n">
        <f aca="false">BO12+BO22+BO32+BO42+BO52+BO62+BO72+BO82+BO92+BO102+BO112+BO122+BO132+BO142+BO152+BO162+BO172+BO182</f>
        <v>355</v>
      </c>
      <c r="BP184" s="183" t="n">
        <f aca="false">BP12+BP22+BP32+BP42+BP52+BP62+BP72+BP82+BP92+BP102+BP112+BP122+BP132+BP142+BP152+BP162+BP172+BP182</f>
        <v>355</v>
      </c>
      <c r="BQ184" s="183" t="n">
        <f aca="false">BQ12+BQ22+BQ32+BQ42+BQ52+BQ62+BQ72+BQ82+BQ92+BQ102+BQ112+BQ122+BQ132+BQ142+BQ152+BQ162+BQ172+BQ182</f>
        <v>355</v>
      </c>
      <c r="BR184" s="183" t="n">
        <f aca="false">BR12+BR22+BR32+BR42+BR52+BR62+BR72+BR82+BR92+BR102+BR112+BR122+BR132+BR142+BR152+BR162+BR172+BR182</f>
        <v>355</v>
      </c>
      <c r="BS184" s="183" t="n">
        <f aca="false">BS12+BS22+BS32+BS42+BS52+BS62+BS72+BS82+BS92+BS102+BS112+BS122+BS132+BS142+BS152+BS162+BS172+BS182</f>
        <v>355</v>
      </c>
      <c r="BT184" s="183" t="n">
        <f aca="false">BT12+BT22+BT32+BT42+BT52+BT62+BT72+BT82+BT92+BT102+BT112+BT122+BT132+BT142+BT152+BT162+BT172+BT182</f>
        <v>329</v>
      </c>
      <c r="BU184" s="183" t="n">
        <f aca="false">BU12+BU22+BU32+BU42+BU52+BU62+BU72+BU82+BU92+BU102+BU112+BU122+BU132+BU142+BU152+BU162+BU172+BU182</f>
        <v>329</v>
      </c>
      <c r="BV184" s="183" t="n">
        <f aca="false">BV12+BV22+BV32+BV42+BV52+BV62+BV72+BV82+BV92+BV102+BV112+BV122+BV132+BV142+BV152+BV162+BV172+BV182</f>
        <v>333</v>
      </c>
      <c r="BW184" s="183" t="n">
        <f aca="false">BW12+BW22+BW32+BW42+BW52+BW62+BW72+BW82+BW92+BW102+BW112+BW122+BW132+BW142+BW152+BW162+BW172+BW182</f>
        <v>333</v>
      </c>
      <c r="BX184" s="183" t="n">
        <f aca="false">BX12+BX22+BX32+BX42+BX52+BX62+BX72+BX82+BX92+BX102+BX112+BX122+BX132+BX142+BX152+BX162+BX172+BX182</f>
        <v>333</v>
      </c>
      <c r="BY184" s="183" t="n">
        <f aca="false">BY12+BY22+BY32+BY42+BY52+BY62+BY72+BY82+BY92+BY102+BY112+BY122+BY132+BY142+BY152+BY162+BY172+BY182</f>
        <v>333</v>
      </c>
      <c r="BZ184" s="183" t="n">
        <f aca="false">BZ12+BZ22+BZ32+BZ42+BZ52+BZ62+BZ72+BZ82+BZ92+BZ102+BZ112+BZ122+BZ132+BZ142+BZ152+BZ162+BZ172+BZ182</f>
        <v>333</v>
      </c>
      <c r="CA184" s="183" t="n">
        <f aca="false">CA12+CA22+CA32+CA42+CA52+CA62+CA72+CA82+CA92+CA102+CA112+CA122+CA132+CA142+CA152+CA162+CA172+CA182</f>
        <v>333</v>
      </c>
      <c r="CB184" s="183" t="n">
        <f aca="false">CB12+CB22+CB32+CB42+CB52+CB62+CB72+CB82+CB92+CB102+CB112+CB122+CB132+CB142+CB152+CB162+CB172+CB182</f>
        <v>333</v>
      </c>
      <c r="CC184" s="183" t="n">
        <f aca="false">CC12+CC22+CC32+CC42+CC52+CC62+CC72+CC82+CC92+CC102+CC112+CC122+CC132+CC142+CC152+CC162+CC172+CC182</f>
        <v>333</v>
      </c>
      <c r="CD184" s="183" t="n">
        <f aca="false">CD12+CD22+CD32+CD42+CD52+CD62+CD72+CD82+CD92+CD102+CD112+CD122+CD132+CD142+CD152+CD162+CD172+CD182</f>
        <v>324</v>
      </c>
      <c r="CE184" s="183" t="n">
        <f aca="false">CE12+CE22+CE32+CE42+CE52+CE62+CE72+CE82+CE92+CE102+CE112+CE122+CE132+CE142+CE152+CE162+CE172+CE182</f>
        <v>330</v>
      </c>
      <c r="CF184" s="183" t="n">
        <f aca="false">CF12+CF22+CF32+CF42+CF52+CF62+CF72+CF82+CF92+CF102+CF112+CF122+CF132+CF142+CF152+CF162+CF172+CF182</f>
        <v>330</v>
      </c>
      <c r="CG184" s="183" t="n">
        <f aca="false">CG12+CG22+CG32+CG42+CG52+CG62+CG72+CG82+CG92+CG102+CG112+CG122+CG132+CG142+CG152+CG162+CG172+CG182</f>
        <v>330</v>
      </c>
      <c r="CH184" s="183" t="n">
        <f aca="false">CH12+CH22+CH32+CH42+CH52+CH62+CH72+CH82+CH92+CH102+CH112+CH122+CH132+CH142+CH152+CH162+CH172+CH182</f>
        <v>343</v>
      </c>
      <c r="CI184" s="183" t="n">
        <f aca="false">CI12+CI22+CI32+CI42+CI52+CI62+CI72+CI82+CI92+CI102+CI112+CI122+CI132+CI142+CI152+CI162+CI172+CI182</f>
        <v>333</v>
      </c>
      <c r="CJ184" s="183" t="n">
        <f aca="false">CJ12+CJ22+CJ32+CJ42+CJ52+CJ62+CJ72+CJ82+CJ92+CJ102+CJ112+CJ122+CJ132+CJ142+CJ152+CJ162+CJ172+CJ182</f>
        <v>334</v>
      </c>
      <c r="CK184" s="183" t="n">
        <f aca="false">CK12+CK22+CK32+CK42+CK52+CK62+CK72+CK82+CK92+CK102+CK112+CK122+CK132+CK142+CK152+CK162+CK172+CK182</f>
        <v>312</v>
      </c>
      <c r="CL184" s="183" t="n">
        <f aca="false">CL12+CL22+CL32+CL42+CL52+CL62+CL72+CL82+CL92+CL102+CL112+CL122+CL132+CL142+CL152+CL162+CL172+CL182</f>
        <v>306</v>
      </c>
      <c r="CM184" s="183" t="n">
        <f aca="false">CM12+CM22+CM32+CM42+CM52+CM62+CM72+CM82+CM92+CM102+CM112+CM122+CM132+CM142+CM152+CM162+CM172+CM182</f>
        <v>272</v>
      </c>
      <c r="CN184" s="183" t="n">
        <f aca="false">CN12+CN22+CN32+CN42+CN52+CN62+CN72+CN82+CN92+CN102+CN112+CN122+CN132+CN142+CN152+CN162+CN172+CN182</f>
        <v>272</v>
      </c>
      <c r="CO184" s="183" t="n">
        <f aca="false">CO12+CO22+CO32+CO42+CO52+CO62+CO72+CO82+CO92+CO102+CO112+CO122+CO132+CO142+CO152+CO162+CO172+CO182</f>
        <v>272</v>
      </c>
      <c r="CP184" s="183" t="n">
        <f aca="false">CP12+CP22+CP32+CP42+CP52+CP62+CP72+CP82+CP92+CP102+CP112+CP122+CP132+CP142+CP152+CP162+CP172+CP182</f>
        <v>273</v>
      </c>
      <c r="CQ184" s="183" t="n">
        <f aca="false">CQ12+CQ22+CQ32+CQ42+CQ52+CQ62+CQ72+CQ82+CQ92+CQ102+CQ112+CQ122+CQ132+CQ142+CQ152+CQ162+CQ172+CQ182</f>
        <v>273</v>
      </c>
      <c r="CR184" s="183" t="n">
        <f aca="false">CR12+CR22+CR32+CR42+CR52+CR62+CR72+CR82+CR92+CR102+CR112+CR122+CR132+CR142+CR152+CR162+CR172+CR182</f>
        <v>273</v>
      </c>
      <c r="CS184" s="183" t="n">
        <f aca="false">CS12+CS22+CS32+CS42+CS52+CS62+CS72+CS82+CS92+CS102+CS112+CS122+CS132+CS142+CS152+CS162+CS172+CS182</f>
        <v>273</v>
      </c>
      <c r="CT184" s="183" t="n">
        <f aca="false">CT12+CT22+CT32+CT42+CT52+CT62+CT72+CT82+CT92+CT102+CT112+CT122+CT132+CT142+CT152+CT162+CT172+CT182</f>
        <v>273</v>
      </c>
      <c r="CU184" s="183" t="n">
        <f aca="false">CU12+CU22+CU32+CU42+CU52+CU62+CU72+CU82+CU92+CU102+CU112+CU122+CU132+CU142+CU152+CU162+CU172+CU182</f>
        <v>273</v>
      </c>
      <c r="CV184" s="183" t="n">
        <f aca="false">CV12+CV22+CV32+CV42+CV52+CV62+CV72+CV82+CV92+CV102+CV112+CV122+CV132+CV142+CV152+CV162+CV172+CV182</f>
        <v>273</v>
      </c>
      <c r="CW184" s="183" t="n">
        <f aca="false">CW12+CW22+CW32+CW42+CW52+CW62+CW72+CW82+CW92+CW102+CW112+CW122+CW132+CW142+CW152+CW162+CW172+CW182</f>
        <v>273</v>
      </c>
      <c r="CX184" s="183" t="n">
        <f aca="false">CX12+CX22+CX32+CX42+CX52+CX62+CX72+CX82+CX92+CX102+CX112+CX122+CX132+CX142+CX152+CX162+CX172+CX182</f>
        <v>273</v>
      </c>
      <c r="CY184" s="183" t="n">
        <f aca="false">CY12+CY22+CY32+CY42+CY52+CY62+CY72+CY82+CY92+CY102+CY112+CY122+CY132+CY142+CY152+CY162+CY172+CY182</f>
        <v>273</v>
      </c>
      <c r="CZ184" s="183" t="n">
        <f aca="false">CZ12+CZ22+CZ32+CZ42+CZ52+CZ62+CZ72+CZ82+CZ92+CZ102+CZ112+CZ122+CZ132+CZ142+CZ152+CZ162+CZ172+CZ182</f>
        <v>273</v>
      </c>
      <c r="DA184" s="183" t="n">
        <f aca="false">DA12+DA22+DA32+DA42+DA52+DA62+DA72+DA82+DA92+DA102+DA112+DA122+DA132+DA142+DA152+DA162+DA172+DA182</f>
        <v>273</v>
      </c>
      <c r="DB184" s="183" t="n">
        <f aca="false">DB12+DB22+DB32+DB42+DB52+DB62+DB72+DB82+DB92+DB102+DB112+DB122+DB132+DB142+DB152+DB162+DB172+DB182</f>
        <v>273</v>
      </c>
      <c r="DC184" s="183" t="n">
        <f aca="false">DC12+DC22+DC32+DC42+DC52+DC62+DC72+DC82+DC92+DC102+DC112+DC122+DC132+DC142+DC152+DC162+DC172+DC182</f>
        <v>230</v>
      </c>
      <c r="DD184" s="183" t="n">
        <f aca="false">DD12+DD22+DD32+DD42+DD52+DD62+DD72+DD82+DD92+DD102+DD112+DD122+DD132+DD142+DD152+DD162+DD172+DD182</f>
        <v>230</v>
      </c>
      <c r="DE184" s="183" t="n">
        <f aca="false">DE12+DE22+DE32+DE42+DE52+DE62+DE72+DE82+DE92+DE102+DE112+DE122+DE132+DE142+DE152+DE162+DE172+DE182</f>
        <v>200</v>
      </c>
      <c r="DF184" s="183" t="n">
        <f aca="false">DF12+DF22+DF32+DF42+DF52+DF62+DF72+DF82+DF92+DF102+DF112+DF122+DF132+DF142+DF152+DF162+DF172+DF182</f>
        <v>170</v>
      </c>
      <c r="DG184" s="183" t="n">
        <f aca="false">DG12+DG22+DG32+DG42+DG52+DG62+DG72+DG82+DG92+DG102+DG112+DG122+DG132+DG142+DG152+DG162+DG172+DG182</f>
        <v>143</v>
      </c>
      <c r="DH184" s="183" t="n">
        <f aca="false">DH12+DH22+DH32+DH42+DH52+DH62+DH72+DH82+DH92+DH102+DH112+DH122+DH132+DH142+DH152+DH162+DH172+DH182</f>
        <v>107</v>
      </c>
      <c r="DI184" s="183" t="n">
        <f aca="false">DI12+DI22+DI32+DI42+DI52+DI62+DI72+DI82+DI92+DI102+DI112+DI122+DI132+DI142+DI152+DI162+DI172+DI182</f>
        <v>107</v>
      </c>
    </row>
    <row r="185" customFormat="false" ht="14.65" hidden="false" customHeight="true" outlineLevel="0" collapsed="false">
      <c r="A185" s="35" t="s">
        <v>6403</v>
      </c>
      <c r="B185" s="184" t="n">
        <v>236</v>
      </c>
      <c r="D185" s="0" t="n">
        <v>220</v>
      </c>
    </row>
    <row r="186" customFormat="false" ht="14.65" hidden="false" customHeight="true" outlineLevel="0" collapsed="false">
      <c r="A186" s="36" t="s">
        <v>6404</v>
      </c>
    </row>
    <row r="187" customFormat="false" ht="14.65" hidden="false" customHeight="true" outlineLevel="0" collapsed="false">
      <c r="A187" s="35" t="s">
        <v>6405</v>
      </c>
      <c r="B187" s="184" t="n">
        <f aca="false">B185+B186</f>
        <v>236</v>
      </c>
      <c r="C187" s="184" t="n">
        <f aca="false">B187</f>
        <v>236</v>
      </c>
      <c r="D187" s="184" t="n">
        <f aca="false">D185+D186</f>
        <v>220</v>
      </c>
      <c r="E187" s="184" t="n">
        <f aca="false">D187</f>
        <v>220</v>
      </c>
      <c r="F187" s="184" t="n">
        <f aca="false">E187</f>
        <v>220</v>
      </c>
      <c r="G187" s="185" t="n">
        <f aca="false">F187</f>
        <v>220</v>
      </c>
      <c r="H187" s="185" t="n">
        <f aca="false">G187</f>
        <v>220</v>
      </c>
      <c r="I187" s="184" t="n">
        <f aca="false">H187</f>
        <v>220</v>
      </c>
      <c r="J187" s="184" t="n">
        <f aca="false">I187</f>
        <v>220</v>
      </c>
      <c r="K187" s="184" t="n">
        <f aca="false">J187</f>
        <v>220</v>
      </c>
      <c r="L187" s="184" t="n">
        <f aca="false">K187</f>
        <v>220</v>
      </c>
      <c r="M187" s="184" t="n">
        <f aca="false">L187</f>
        <v>220</v>
      </c>
      <c r="N187" s="185" t="n">
        <f aca="false">M187</f>
        <v>220</v>
      </c>
      <c r="O187" s="185" t="n">
        <f aca="false">N187</f>
        <v>220</v>
      </c>
      <c r="P187" s="184" t="n">
        <f aca="false">O187</f>
        <v>220</v>
      </c>
      <c r="Q187" s="184" t="n">
        <f aca="false">P187</f>
        <v>220</v>
      </c>
      <c r="R187" s="184" t="n">
        <f aca="false">Q187</f>
        <v>220</v>
      </c>
      <c r="S187" s="184" t="n">
        <f aca="false">R187</f>
        <v>220</v>
      </c>
      <c r="T187" s="184" t="n">
        <f aca="false">S187</f>
        <v>220</v>
      </c>
      <c r="U187" s="184" t="n">
        <f aca="false">T187</f>
        <v>220</v>
      </c>
      <c r="V187" s="184" t="n">
        <f aca="false">U187</f>
        <v>220</v>
      </c>
      <c r="W187" s="184" t="n">
        <f aca="false">V187</f>
        <v>220</v>
      </c>
      <c r="X187" s="184" t="n">
        <f aca="false">W187</f>
        <v>220</v>
      </c>
      <c r="Y187" s="184" t="n">
        <f aca="false">X187</f>
        <v>220</v>
      </c>
      <c r="Z187" s="184" t="n">
        <f aca="false">Y187</f>
        <v>220</v>
      </c>
      <c r="AA187" s="184" t="n">
        <f aca="false">Z187</f>
        <v>220</v>
      </c>
      <c r="AB187" s="184" t="n">
        <f aca="false">AA187</f>
        <v>220</v>
      </c>
      <c r="AC187" s="184" t="n">
        <f aca="false">AB187</f>
        <v>220</v>
      </c>
      <c r="AD187" s="184" t="n">
        <f aca="false">AC187</f>
        <v>220</v>
      </c>
      <c r="AE187" s="184" t="n">
        <f aca="false">AD187</f>
        <v>220</v>
      </c>
      <c r="AF187" s="184" t="n">
        <f aca="false">AE187</f>
        <v>220</v>
      </c>
      <c r="AG187" s="184" t="n">
        <f aca="false">AF187</f>
        <v>220</v>
      </c>
      <c r="AH187" s="184" t="n">
        <f aca="false">AG187</f>
        <v>220</v>
      </c>
      <c r="AI187" s="184" t="n">
        <f aca="false">AH187</f>
        <v>220</v>
      </c>
      <c r="AJ187" s="184" t="n">
        <f aca="false">AI187</f>
        <v>220</v>
      </c>
      <c r="AK187" s="184" t="n">
        <f aca="false">AJ187</f>
        <v>220</v>
      </c>
      <c r="AL187" s="184" t="n">
        <f aca="false">AK187</f>
        <v>220</v>
      </c>
      <c r="AM187" s="184" t="n">
        <f aca="false">AL187</f>
        <v>220</v>
      </c>
      <c r="AN187" s="184" t="n">
        <f aca="false">AM187</f>
        <v>220</v>
      </c>
      <c r="AO187" s="184" t="n">
        <f aca="false">AN187</f>
        <v>220</v>
      </c>
      <c r="AP187" s="184" t="n">
        <f aca="false">AO187</f>
        <v>220</v>
      </c>
      <c r="AQ187" s="184" t="n">
        <f aca="false">AP187</f>
        <v>220</v>
      </c>
      <c r="AR187" s="184" t="n">
        <f aca="false">AQ187</f>
        <v>220</v>
      </c>
      <c r="AS187" s="184" t="n">
        <f aca="false">AR187</f>
        <v>220</v>
      </c>
      <c r="AT187" s="184" t="n">
        <f aca="false">AS187</f>
        <v>220</v>
      </c>
      <c r="AU187" s="184" t="n">
        <f aca="false">AT187</f>
        <v>220</v>
      </c>
      <c r="AV187" s="184" t="n">
        <f aca="false">AU187</f>
        <v>220</v>
      </c>
      <c r="AW187" s="184" t="n">
        <f aca="false">AV187</f>
        <v>220</v>
      </c>
      <c r="AX187" s="184" t="n">
        <f aca="false">AW187</f>
        <v>220</v>
      </c>
      <c r="AY187" s="184" t="n">
        <f aca="false">AX187</f>
        <v>220</v>
      </c>
      <c r="AZ187" s="184" t="n">
        <f aca="false">AY187</f>
        <v>220</v>
      </c>
      <c r="BA187" s="184" t="n">
        <f aca="false">AZ187</f>
        <v>220</v>
      </c>
      <c r="BB187" s="184" t="n">
        <f aca="false">BA187</f>
        <v>220</v>
      </c>
      <c r="BC187" s="184" t="n">
        <f aca="false">BB187</f>
        <v>220</v>
      </c>
      <c r="BD187" s="184" t="n">
        <f aca="false">BC187</f>
        <v>220</v>
      </c>
      <c r="BE187" s="184" t="n">
        <f aca="false">BD187</f>
        <v>220</v>
      </c>
      <c r="BF187" s="184" t="n">
        <f aca="false">BE187</f>
        <v>220</v>
      </c>
      <c r="BG187" s="184" t="n">
        <f aca="false">BF187</f>
        <v>220</v>
      </c>
      <c r="BH187" s="184" t="n">
        <f aca="false">BG187</f>
        <v>220</v>
      </c>
      <c r="BI187" s="184" t="n">
        <f aca="false">BH187</f>
        <v>220</v>
      </c>
      <c r="BJ187" s="184" t="n">
        <f aca="false">BI187</f>
        <v>220</v>
      </c>
      <c r="BK187" s="184" t="n">
        <f aca="false">BJ187</f>
        <v>220</v>
      </c>
      <c r="BL187" s="184" t="n">
        <f aca="false">BK187</f>
        <v>220</v>
      </c>
      <c r="BM187" s="184" t="n">
        <f aca="false">BL187</f>
        <v>220</v>
      </c>
      <c r="BN187" s="184" t="n">
        <f aca="false">BM187</f>
        <v>220</v>
      </c>
      <c r="BO187" s="184" t="n">
        <f aca="false">BN187</f>
        <v>220</v>
      </c>
      <c r="BP187" s="184" t="n">
        <f aca="false">BO187</f>
        <v>220</v>
      </c>
      <c r="BQ187" s="184" t="n">
        <f aca="false">BP187</f>
        <v>220</v>
      </c>
      <c r="BR187" s="184" t="n">
        <f aca="false">BQ187</f>
        <v>220</v>
      </c>
      <c r="BS187" s="184" t="n">
        <f aca="false">BR187</f>
        <v>220</v>
      </c>
      <c r="BT187" s="184" t="n">
        <f aca="false">BS187</f>
        <v>220</v>
      </c>
      <c r="BU187" s="184" t="n">
        <f aca="false">BT187</f>
        <v>220</v>
      </c>
      <c r="BV187" s="184" t="n">
        <f aca="false">BU187</f>
        <v>220</v>
      </c>
      <c r="BW187" s="184" t="n">
        <f aca="false">BV187</f>
        <v>220</v>
      </c>
      <c r="BX187" s="184" t="n">
        <f aca="false">BW187</f>
        <v>220</v>
      </c>
      <c r="BY187" s="184" t="n">
        <f aca="false">BX187</f>
        <v>220</v>
      </c>
      <c r="BZ187" s="184" t="n">
        <f aca="false">BY187</f>
        <v>220</v>
      </c>
      <c r="CA187" s="184" t="n">
        <f aca="false">BZ187</f>
        <v>220</v>
      </c>
      <c r="CB187" s="184" t="n">
        <f aca="false">CA187</f>
        <v>220</v>
      </c>
      <c r="CC187" s="184" t="n">
        <f aca="false">CB187</f>
        <v>220</v>
      </c>
      <c r="CD187" s="184" t="n">
        <f aca="false">CC187</f>
        <v>220</v>
      </c>
      <c r="CE187" s="184" t="n">
        <f aca="false">CD187</f>
        <v>220</v>
      </c>
      <c r="CF187" s="184" t="n">
        <f aca="false">CE187</f>
        <v>220</v>
      </c>
      <c r="CG187" s="184" t="n">
        <f aca="false">CF187</f>
        <v>220</v>
      </c>
      <c r="CH187" s="184" t="n">
        <f aca="false">CG187</f>
        <v>220</v>
      </c>
      <c r="CI187" s="184" t="n">
        <f aca="false">CH187</f>
        <v>220</v>
      </c>
      <c r="CJ187" s="184" t="n">
        <f aca="false">CI187</f>
        <v>220</v>
      </c>
      <c r="CK187" s="184" t="n">
        <f aca="false">CJ187</f>
        <v>220</v>
      </c>
      <c r="CL187" s="184" t="n">
        <f aca="false">CK187</f>
        <v>220</v>
      </c>
      <c r="CM187" s="184" t="n">
        <f aca="false">CL187</f>
        <v>220</v>
      </c>
      <c r="CN187" s="184" t="n">
        <f aca="false">CM187</f>
        <v>220</v>
      </c>
      <c r="CO187" s="184" t="n">
        <f aca="false">CN187</f>
        <v>220</v>
      </c>
      <c r="CP187" s="184" t="n">
        <f aca="false">CO187</f>
        <v>220</v>
      </c>
      <c r="CQ187" s="184" t="n">
        <f aca="false">CP187</f>
        <v>220</v>
      </c>
      <c r="CR187" s="184" t="n">
        <f aca="false">CQ187</f>
        <v>220</v>
      </c>
      <c r="CS187" s="184" t="n">
        <f aca="false">CR187</f>
        <v>220</v>
      </c>
      <c r="CT187" s="184" t="n">
        <f aca="false">CS187</f>
        <v>220</v>
      </c>
      <c r="CU187" s="184" t="n">
        <f aca="false">CT187</f>
        <v>220</v>
      </c>
      <c r="CV187" s="184" t="n">
        <f aca="false">CU187</f>
        <v>220</v>
      </c>
      <c r="CW187" s="184" t="n">
        <f aca="false">CV187</f>
        <v>220</v>
      </c>
      <c r="CX187" s="184" t="n">
        <f aca="false">CW187</f>
        <v>220</v>
      </c>
      <c r="CY187" s="184" t="n">
        <f aca="false">CX187</f>
        <v>220</v>
      </c>
      <c r="CZ187" s="184" t="n">
        <f aca="false">CY187</f>
        <v>220</v>
      </c>
      <c r="DA187" s="184" t="n">
        <f aca="false">CZ187</f>
        <v>220</v>
      </c>
      <c r="DB187" s="184" t="n">
        <f aca="false">DA187</f>
        <v>220</v>
      </c>
      <c r="DC187" s="184" t="n">
        <f aca="false">DB187</f>
        <v>220</v>
      </c>
      <c r="DD187" s="184" t="n">
        <f aca="false">DC187</f>
        <v>220</v>
      </c>
      <c r="DE187" s="184" t="n">
        <f aca="false">DD187</f>
        <v>220</v>
      </c>
      <c r="DF187" s="184" t="n">
        <f aca="false">DE187</f>
        <v>220</v>
      </c>
      <c r="DG187" s="184" t="n">
        <f aca="false">DF187</f>
        <v>220</v>
      </c>
      <c r="DH187" s="184" t="n">
        <f aca="false">DG187</f>
        <v>220</v>
      </c>
      <c r="DI187" s="184" t="n">
        <f aca="false">DH187</f>
        <v>220</v>
      </c>
      <c r="DJ187" s="184" t="n">
        <f aca="false">DI187</f>
        <v>220</v>
      </c>
    </row>
    <row r="188" customFormat="false" ht="14.65" hidden="false" customHeight="true" outlineLevel="0" collapsed="false">
      <c r="A188" s="35" t="s">
        <v>6406</v>
      </c>
      <c r="B188" s="78" t="n">
        <f aca="false">B187-B184</f>
        <v>-10</v>
      </c>
      <c r="C188" s="78" t="n">
        <f aca="false">C187-C184</f>
        <v>-10</v>
      </c>
      <c r="D188" s="78" t="n">
        <f aca="false">D187-D184</f>
        <v>1</v>
      </c>
      <c r="E188" s="78" t="n">
        <f aca="false">E187-E184</f>
        <v>-22</v>
      </c>
      <c r="F188" s="78" t="n">
        <f aca="false">F187-F184</f>
        <v>8</v>
      </c>
      <c r="G188" s="186" t="n">
        <f aca="false">G187-G184</f>
        <v>-3</v>
      </c>
      <c r="H188" s="186" t="n">
        <f aca="false">H187-H184</f>
        <v>-3</v>
      </c>
      <c r="I188" s="78" t="n">
        <f aca="false">I187-I184</f>
        <v>-13</v>
      </c>
      <c r="J188" s="78" t="n">
        <f aca="false">J187-J184</f>
        <v>3</v>
      </c>
      <c r="K188" s="78" t="n">
        <f aca="false">K187-K184</f>
        <v>3</v>
      </c>
      <c r="L188" s="78" t="n">
        <f aca="false">L187-L184</f>
        <v>-7</v>
      </c>
      <c r="M188" s="78" t="n">
        <f aca="false">M187-M184</f>
        <v>4</v>
      </c>
      <c r="N188" s="186" t="n">
        <f aca="false">N187-N184</f>
        <v>4</v>
      </c>
      <c r="O188" s="186" t="n">
        <f aca="false">O187-O184</f>
        <v>4</v>
      </c>
      <c r="P188" s="78" t="n">
        <f aca="false">P187-P184</f>
        <v>-15</v>
      </c>
      <c r="Q188" s="78" t="n">
        <f aca="false">Q187-Q184</f>
        <v>-15</v>
      </c>
      <c r="R188" s="78" t="n">
        <f aca="false">R187-R184</f>
        <v>-15</v>
      </c>
      <c r="S188" s="78" t="n">
        <f aca="false">S187-S184</f>
        <v>-23</v>
      </c>
      <c r="T188" s="78" t="n">
        <f aca="false">T187-T184</f>
        <v>-46</v>
      </c>
      <c r="U188" s="78" t="n">
        <f aca="false">U187-U184</f>
        <v>-46</v>
      </c>
      <c r="V188" s="78" t="n">
        <f aca="false">V187-V184</f>
        <v>-46</v>
      </c>
      <c r="W188" s="78" t="n">
        <f aca="false">W187-W184</f>
        <v>-51</v>
      </c>
      <c r="X188" s="78" t="n">
        <f aca="false">X187-X184</f>
        <v>-62</v>
      </c>
      <c r="Y188" s="78" t="n">
        <f aca="false">Y187-Y184</f>
        <v>-61</v>
      </c>
      <c r="Z188" s="78" t="n">
        <f aca="false">Z187-Z184</f>
        <v>-35</v>
      </c>
      <c r="AA188" s="78" t="n">
        <f aca="false">AA187-AA184</f>
        <v>-35</v>
      </c>
      <c r="AB188" s="78" t="n">
        <f aca="false">AB187-AB184</f>
        <v>-35</v>
      </c>
      <c r="AC188" s="78" t="n">
        <f aca="false">AC187-AC184</f>
        <v>-35</v>
      </c>
      <c r="AD188" s="78" t="n">
        <f aca="false">AD187-AD184</f>
        <v>-66</v>
      </c>
      <c r="AE188" s="78" t="n">
        <f aca="false">AE187-AE184</f>
        <v>-55</v>
      </c>
      <c r="AF188" s="78" t="n">
        <f aca="false">AF187-AF184</f>
        <v>-63</v>
      </c>
      <c r="AG188" s="78" t="n">
        <f aca="false">AG187-AG184</f>
        <v>-93</v>
      </c>
      <c r="AH188" s="78" t="n">
        <f aca="false">AH187-AH184</f>
        <v>-102</v>
      </c>
      <c r="AI188" s="78" t="n">
        <f aca="false">AI187-AI184</f>
        <v>-102</v>
      </c>
      <c r="AJ188" s="78" t="n">
        <f aca="false">AJ187-AJ184</f>
        <v>-102</v>
      </c>
      <c r="AK188" s="78" t="n">
        <f aca="false">AK187-AK184</f>
        <v>-105</v>
      </c>
      <c r="AL188" s="78" t="n">
        <f aca="false">AL187-AL184</f>
        <v>-105</v>
      </c>
      <c r="AM188" s="78" t="n">
        <f aca="false">AM187-AM184</f>
        <v>-105</v>
      </c>
      <c r="AN188" s="78" t="n">
        <f aca="false">AN187-AN184</f>
        <v>-105</v>
      </c>
      <c r="AO188" s="78" t="n">
        <f aca="false">AO187-AO184</f>
        <v>-105</v>
      </c>
      <c r="AP188" s="78" t="n">
        <f aca="false">AP187-AP184</f>
        <v>-103</v>
      </c>
      <c r="AQ188" s="78" t="n">
        <f aca="false">AQ187-AQ184</f>
        <v>-103</v>
      </c>
      <c r="AR188" s="78" t="n">
        <f aca="false">AR187-AR184</f>
        <v>-106</v>
      </c>
      <c r="AS188" s="78" t="n">
        <f aca="false">AS187-AS184</f>
        <v>-105</v>
      </c>
      <c r="AT188" s="78" t="n">
        <f aca="false">AT187-AT184</f>
        <v>-108</v>
      </c>
      <c r="AU188" s="78" t="n">
        <f aca="false">AU187-AU184</f>
        <v>-114</v>
      </c>
      <c r="AV188" s="78" t="n">
        <f aca="false">AV187-AV184</f>
        <v>-118</v>
      </c>
      <c r="AW188" s="78" t="n">
        <f aca="false">AW187-AW184</f>
        <v>-106</v>
      </c>
      <c r="AX188" s="78" t="n">
        <f aca="false">AX187-AX184</f>
        <v>-106</v>
      </c>
      <c r="AY188" s="78" t="n">
        <f aca="false">AY187-AY184</f>
        <v>-135</v>
      </c>
      <c r="AZ188" s="78" t="n">
        <f aca="false">AZ187-AZ184</f>
        <v>-141</v>
      </c>
      <c r="BA188" s="78" t="n">
        <f aca="false">BA187-BA184</f>
        <v>-130</v>
      </c>
      <c r="BB188" s="78" t="n">
        <f aca="false">BB187-BB184</f>
        <v>-130</v>
      </c>
      <c r="BC188" s="78" t="n">
        <f aca="false">BC187-BC184</f>
        <v>-130</v>
      </c>
      <c r="BD188" s="78" t="n">
        <f aca="false">BD187-BD184</f>
        <v>-130</v>
      </c>
      <c r="BE188" s="78" t="n">
        <f aca="false">BE187-BE184</f>
        <v>-130</v>
      </c>
      <c r="BF188" s="78" t="n">
        <f aca="false">BF187-BF184</f>
        <v>-130</v>
      </c>
      <c r="BG188" s="78" t="n">
        <f aca="false">BG187-BG184</f>
        <v>-123</v>
      </c>
      <c r="BH188" s="78" t="n">
        <f aca="false">BH187-BH184</f>
        <v>-121</v>
      </c>
      <c r="BI188" s="78" t="n">
        <f aca="false">BI187-BI184</f>
        <v>-125</v>
      </c>
      <c r="BJ188" s="78" t="n">
        <f aca="false">BJ187-BJ184</f>
        <v>-135</v>
      </c>
      <c r="BK188" s="78" t="n">
        <f aca="false">BK187-BK184</f>
        <v>-135</v>
      </c>
      <c r="BL188" s="78" t="n">
        <f aca="false">BL187-BL184</f>
        <v>-135</v>
      </c>
      <c r="BM188" s="78" t="n">
        <f aca="false">BM187-BM184</f>
        <v>-135</v>
      </c>
      <c r="BN188" s="78" t="n">
        <f aca="false">BN187-BN184</f>
        <v>-135</v>
      </c>
      <c r="BO188" s="78" t="n">
        <f aca="false">BO187-BO184</f>
        <v>-135</v>
      </c>
      <c r="BP188" s="78" t="n">
        <f aca="false">BP187-BP184</f>
        <v>-135</v>
      </c>
      <c r="BQ188" s="78" t="n">
        <f aca="false">BQ187-BQ184</f>
        <v>-135</v>
      </c>
      <c r="BR188" s="78" t="n">
        <f aca="false">BR187-BR184</f>
        <v>-135</v>
      </c>
      <c r="BS188" s="78" t="n">
        <f aca="false">BS187-BS184</f>
        <v>-135</v>
      </c>
      <c r="BT188" s="78" t="n">
        <f aca="false">BT187-BT184</f>
        <v>-109</v>
      </c>
      <c r="BU188" s="78" t="n">
        <f aca="false">BU187-BU184</f>
        <v>-109</v>
      </c>
      <c r="BV188" s="78" t="n">
        <f aca="false">BV187-BV184</f>
        <v>-113</v>
      </c>
      <c r="BW188" s="78" t="n">
        <f aca="false">BW187-BW184</f>
        <v>-113</v>
      </c>
      <c r="BX188" s="78" t="n">
        <f aca="false">BX187-BX184</f>
        <v>-113</v>
      </c>
      <c r="BY188" s="78" t="n">
        <f aca="false">BY187-BY184</f>
        <v>-113</v>
      </c>
      <c r="BZ188" s="78" t="n">
        <f aca="false">BZ187-BZ184</f>
        <v>-113</v>
      </c>
      <c r="CA188" s="78" t="n">
        <f aca="false">CA187-CA184</f>
        <v>-113</v>
      </c>
      <c r="CB188" s="78" t="n">
        <f aca="false">CB187-CB184</f>
        <v>-113</v>
      </c>
      <c r="CC188" s="78" t="n">
        <f aca="false">CC187-CC184</f>
        <v>-113</v>
      </c>
      <c r="CD188" s="78" t="n">
        <f aca="false">CD187-CD184</f>
        <v>-104</v>
      </c>
      <c r="CE188" s="78" t="n">
        <f aca="false">CE187-CE184</f>
        <v>-110</v>
      </c>
      <c r="CF188" s="78" t="n">
        <f aca="false">CF187-CF184</f>
        <v>-110</v>
      </c>
      <c r="CG188" s="78" t="n">
        <f aca="false">CG187-CG184</f>
        <v>-110</v>
      </c>
      <c r="CH188" s="78" t="n">
        <f aca="false">CH187-CH184</f>
        <v>-123</v>
      </c>
      <c r="CI188" s="78" t="n">
        <f aca="false">CI187-CI184</f>
        <v>-113</v>
      </c>
      <c r="CJ188" s="78" t="n">
        <f aca="false">CJ187-CJ184</f>
        <v>-114</v>
      </c>
      <c r="CK188" s="78" t="n">
        <f aca="false">CK187-CK184</f>
        <v>-92</v>
      </c>
      <c r="CL188" s="78" t="n">
        <f aca="false">CL187-CL184</f>
        <v>-86</v>
      </c>
      <c r="CM188" s="78" t="n">
        <f aca="false">CM187-CM184</f>
        <v>-52</v>
      </c>
      <c r="CN188" s="78" t="n">
        <f aca="false">CN187-CN184</f>
        <v>-52</v>
      </c>
      <c r="CO188" s="78" t="n">
        <f aca="false">CO187-CO184</f>
        <v>-52</v>
      </c>
      <c r="CP188" s="78" t="n">
        <f aca="false">CP187-CP184</f>
        <v>-53</v>
      </c>
      <c r="CQ188" s="78" t="n">
        <f aca="false">CQ187-CQ184</f>
        <v>-53</v>
      </c>
      <c r="CR188" s="78" t="n">
        <f aca="false">CR187-CR184</f>
        <v>-53</v>
      </c>
      <c r="CS188" s="78" t="n">
        <f aca="false">CS187-CS184</f>
        <v>-53</v>
      </c>
      <c r="CT188" s="78" t="n">
        <f aca="false">CT187-CT184</f>
        <v>-53</v>
      </c>
      <c r="CU188" s="78" t="n">
        <f aca="false">CU187-CU184</f>
        <v>-53</v>
      </c>
      <c r="CV188" s="78" t="n">
        <f aca="false">CV187-CV184</f>
        <v>-53</v>
      </c>
      <c r="CW188" s="78" t="n">
        <f aca="false">CW187-CW184</f>
        <v>-53</v>
      </c>
      <c r="CX188" s="78" t="n">
        <f aca="false">CX187-CX184</f>
        <v>-53</v>
      </c>
      <c r="CY188" s="78" t="n">
        <f aca="false">CY187-CY184</f>
        <v>-53</v>
      </c>
      <c r="CZ188" s="78" t="n">
        <f aca="false">CZ187-CZ184</f>
        <v>-53</v>
      </c>
      <c r="DA188" s="78" t="n">
        <f aca="false">DA187-DA184</f>
        <v>-53</v>
      </c>
      <c r="DB188" s="78" t="n">
        <f aca="false">DB187-DB184</f>
        <v>-53</v>
      </c>
      <c r="DC188" s="78" t="n">
        <f aca="false">DC187-DC184</f>
        <v>-10</v>
      </c>
      <c r="DD188" s="78" t="n">
        <f aca="false">DD187-DD184</f>
        <v>-10</v>
      </c>
      <c r="DE188" s="78" t="n">
        <f aca="false">DE187-DE184</f>
        <v>20</v>
      </c>
      <c r="DF188" s="78" t="n">
        <f aca="false">DF187-DF184</f>
        <v>50</v>
      </c>
      <c r="DG188" s="78" t="n">
        <f aca="false">DG187-DG184</f>
        <v>77</v>
      </c>
      <c r="DH188" s="78" t="n">
        <f aca="false">DH187-DH184</f>
        <v>113</v>
      </c>
      <c r="DI188" s="78" t="n">
        <f aca="false">DI187-DI184</f>
        <v>113</v>
      </c>
      <c r="DJ188" s="78" t="n">
        <f aca="false">DJ187-DJ184</f>
        <v>220</v>
      </c>
      <c r="DK188" s="78" t="n">
        <f aca="false">DK187-DK184</f>
        <v>0</v>
      </c>
      <c r="DL188" s="78" t="n">
        <f aca="false">DL187-DL184</f>
        <v>0</v>
      </c>
      <c r="DM188" s="78" t="n">
        <f aca="false">DM187-DM184</f>
        <v>0</v>
      </c>
    </row>
    <row r="65533" customFormat="false" ht="12.8" hidden="false" customHeight="true" outlineLevel="0" collapsed="false"/>
    <row r="65534" customFormat="false" ht="12.8" hidden="false" customHeight="true" outlineLevel="0" collapsed="false"/>
    <row r="65535" customFormat="false" ht="12.8" hidden="false" customHeight="true" outlineLevel="0" collapsed="false"/>
    <row r="65536" customFormat="false" ht="12.8" hidden="false" customHeight="true" outlineLevel="0" collapsed="false"/>
  </sheetData>
  <mergeCells count="40">
    <mergeCell ref="A9:A10"/>
    <mergeCell ref="A19:A20"/>
    <mergeCell ref="A29:A30"/>
    <mergeCell ref="A39:A40"/>
    <mergeCell ref="A49:A50"/>
    <mergeCell ref="A59:A60"/>
    <mergeCell ref="A69:A70"/>
    <mergeCell ref="A79:A80"/>
    <mergeCell ref="BR79:BR80"/>
    <mergeCell ref="BS79:BS80"/>
    <mergeCell ref="A89:A90"/>
    <mergeCell ref="BM89:BM90"/>
    <mergeCell ref="BP89:BP90"/>
    <mergeCell ref="BQ89:BQ90"/>
    <mergeCell ref="BR89:BR90"/>
    <mergeCell ref="BS89:BS90"/>
    <mergeCell ref="A99:A100"/>
    <mergeCell ref="BM99:BM100"/>
    <mergeCell ref="BP99:BP100"/>
    <mergeCell ref="BQ99:BQ100"/>
    <mergeCell ref="BR99:BR100"/>
    <mergeCell ref="BS99:BS100"/>
    <mergeCell ref="A109:A110"/>
    <mergeCell ref="BM109:BM110"/>
    <mergeCell ref="BP109:BP110"/>
    <mergeCell ref="BQ109:BQ110"/>
    <mergeCell ref="BR109:BR110"/>
    <mergeCell ref="BS109:BS110"/>
    <mergeCell ref="A119:A120"/>
    <mergeCell ref="BM119:BM120"/>
    <mergeCell ref="BP119:BP120"/>
    <mergeCell ref="BQ119:BQ120"/>
    <mergeCell ref="BR119:BR120"/>
    <mergeCell ref="BS119:BS120"/>
    <mergeCell ref="A129:A130"/>
    <mergeCell ref="A139:A140"/>
    <mergeCell ref="A149:A150"/>
    <mergeCell ref="A159:A160"/>
    <mergeCell ref="A169:A170"/>
    <mergeCell ref="A179:A18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LibreOffice/7.6.6.3$Windows_X86_64 LibreOffice_project/d97b2716a9a4a2ce1391dee1765565ea469b0ae7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2026-03-05T07:48:46Z</dcterms:created>
  <dc:creator>admin</dc:creator>
  <dc:description/>
  <dc:language>en-US</dc:language>
  <cp:lastModifiedBy/>
  <dcterms:modified xsi:type="dcterms:W3CDTF">2026-03-06T08:33:35Z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